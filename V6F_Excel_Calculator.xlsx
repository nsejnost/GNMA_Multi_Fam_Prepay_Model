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efficients" sheetId="2" state="visible" r:id="rId2"/>
    <sheet name="Loan_Snapshot" sheetId="3" state="visible" r:id="rId3"/>
    <sheet name="Deal_Aggregator" sheetId="4" state="visible" r:id="rId4"/>
  </sheets>
  <definedNames>
    <definedName name="INTERCEPT_SCALED">Coefficients!$B$32</definedName>
    <definedName name="BASELINE_SMM">Coefficients!$B$33</definedName>
    <definedName name="BASELINE_CPR">Coefficients!$B$34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00"/>
    <numFmt numFmtId="165" formatCode="0.00000000"/>
    <numFmt numFmtId="166" formatCode="0.0000%"/>
    <numFmt numFmtId="167" formatCode="0.000"/>
    <numFmt numFmtId="168" formatCode="0.0"/>
    <numFmt numFmtId="169" formatCode="0.0000"/>
    <numFmt numFmtId="170" formatCode="0.000000%"/>
  </numFmts>
  <fonts count="7">
    <font>
      <name val="Calibri"/>
      <family val="2"/>
      <color theme="1"/>
      <sz val="11"/>
      <scheme val="minor"/>
    </font>
    <font>
      <b val="1"/>
    </font>
    <font>
      <name val="Consolas"/>
    </font>
    <font>
      <b val="1"/>
      <sz val="14"/>
    </font>
    <font>
      <i val="1"/>
      <color rgb="006B7280"/>
    </font>
    <font>
      <b val="1"/>
      <color rgb="00FFFFFF"/>
    </font>
    <font>
      <i val="1"/>
    </font>
  </fonts>
  <fills count="11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  <fill>
      <patternFill patternType="solid">
        <fgColor rgb="00FFEDD5"/>
      </patternFill>
    </fill>
    <fill>
      <patternFill patternType="solid">
        <fgColor rgb="00374151"/>
      </patternFill>
    </fill>
    <fill>
      <patternFill patternType="solid">
        <fgColor rgb="00064E3B"/>
      </patternFill>
    </fill>
    <fill>
      <patternFill patternType="solid">
        <fgColor rgb="00312E81"/>
      </patternFill>
    </fill>
    <fill>
      <patternFill patternType="solid">
        <fgColor rgb="0092400E"/>
      </patternFill>
    </fill>
    <fill>
      <patternFill patternType="solid">
        <fgColor rgb="009D174D"/>
      </patternFill>
    </fill>
    <fill>
      <patternFill patternType="solid">
        <fgColor rgb="006B7280"/>
      </patternFill>
    </fill>
  </fills>
  <borders count="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6" fillId="0" borderId="0" pivotButton="0" quotePrefix="0" xfId="0"/>
    <xf numFmtId="0" fontId="2" fillId="3" borderId="0" pivotButton="0" quotePrefix="0" xfId="0"/>
    <xf numFmtId="165" fontId="2" fillId="4" borderId="0" pivotButton="0" quotePrefix="0" xfId="0"/>
    <xf numFmtId="166" fontId="2" fillId="4" borderId="0" pivotButton="0" quotePrefix="0" xfId="0"/>
    <xf numFmtId="166" fontId="0" fillId="0" borderId="0" pivotButton="0" quotePrefix="0" xfId="0"/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164" fontId="2" fillId="3" borderId="0" pivotButton="0" quotePrefix="0" xfId="0"/>
    <xf numFmtId="165" fontId="2" fillId="3" borderId="0" pivotButton="0" quotePrefix="0" xfId="0"/>
    <xf numFmtId="3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169" fontId="0" fillId="0" borderId="0" pivotButton="0" quotePrefix="0" xfId="0"/>
    <xf numFmtId="165" fontId="0" fillId="0" borderId="0" pivotButton="0" quotePrefix="0" xfId="0"/>
    <xf numFmtId="170" fontId="0" fillId="0" borderId="0" pivotButton="0" quotePrefix="0" xfId="0"/>
    <xf numFmtId="0" fontId="1" fillId="4" borderId="0" pivotButton="0" quotePrefix="0" xfId="0"/>
    <xf numFmtId="0" fontId="0" fillId="4" borderId="0" pivotButton="0" quotePrefix="0" xfId="0"/>
    <xf numFmtId="3" fontId="0" fillId="4" borderId="0" pivotButton="0" quotePrefix="0" xfId="0"/>
    <xf numFmtId="166" fontId="0" fillId="4" borderId="0" pivotButton="0" quotePrefix="0" xfId="0"/>
    <xf numFmtId="17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V6F Voluntary Prepayment Calculator</t>
        </is>
      </c>
    </row>
    <row r="2">
      <c r="A2" t="inlineStr"/>
    </row>
    <row r="3">
      <c r="A3" t="inlineStr">
        <is>
          <t>Model: V6F (24-feature logistic regression, test AUC 0.7854)</t>
        </is>
      </c>
    </row>
    <row r="4">
      <c r="A4" t="inlineStr">
        <is>
          <t>Training period: 201812 to 202602</t>
        </is>
      </c>
    </row>
    <row r="5">
      <c r="A5" t="inlineStr">
        <is>
          <t>Training events: 7,686 voluntary prepays in 982,361 eligible loan-months</t>
        </is>
      </c>
    </row>
    <row r="6">
      <c r="A6" t="inlineStr"/>
    </row>
    <row r="7">
      <c r="A7" s="1" t="inlineStr">
        <is>
          <t>Tabs</t>
        </is>
      </c>
    </row>
    <row r="8">
      <c r="A8" t="inlineStr">
        <is>
          <t xml:space="preserve">  Coefficients     - 24 feature parameters + intercept + diagnostics. Edit at your own risk.</t>
        </is>
      </c>
    </row>
    <row r="9">
      <c r="A9" t="inlineStr">
        <is>
          <t xml:space="preserve">  Loan_Snapshot    - one row per loan, current-period CPR + per-feature attribution.</t>
        </is>
      </c>
    </row>
    <row r="10">
      <c r="A10" t="inlineStr">
        <is>
          <t xml:space="preserve">                     Paste new loans into rows below the existing data; formulas autopopulate.</t>
        </is>
      </c>
    </row>
    <row r="11">
      <c r="A11" t="inlineStr">
        <is>
          <t xml:space="preserve">  Deal_Aggregator  - UPB-weighted deal-level rollup. Edit Deal_ID column in Loan_Snapshot to control grouping.</t>
        </is>
      </c>
    </row>
    <row r="12">
      <c r="A12" t="inlineStr"/>
    </row>
    <row r="13">
      <c r="A13" s="1" t="inlineStr">
        <is>
          <t>Math (centered native form)</t>
        </is>
      </c>
    </row>
    <row r="14">
      <c r="A14" s="2" t="inlineStr">
        <is>
          <t xml:space="preserve">  contribution_j = beta_native_j * (x_j - mean_j)</t>
        </is>
      </c>
    </row>
    <row r="15">
      <c r="A15" s="2" t="inlineStr">
        <is>
          <t xml:space="preserve">  logit_z        = intercept_scaled + SUM(contributions)</t>
        </is>
      </c>
    </row>
    <row r="16">
      <c r="A16" s="2" t="inlineStr">
        <is>
          <t xml:space="preserve">  SMM            = 1 / (1 + EXP(-logit_z))</t>
        </is>
      </c>
    </row>
    <row r="17">
      <c r="A17" s="2" t="inlineStr">
        <is>
          <t xml:space="preserve">  pred_CPR       = 1 - (1 - SMM)^12</t>
        </is>
      </c>
    </row>
    <row r="18">
      <c r="A18" s="2" t="inlineStr">
        <is>
          <t xml:space="preserve">  baseline_CPR   = CPR of a hypothetical loan with all features at their training-mean values</t>
        </is>
      </c>
    </row>
    <row r="19">
      <c r="A19" s="2" t="inlineStr">
        <is>
          <t xml:space="preserve">  attribution_j  = (contribution_j / SUM(contributions)) * (pred_CPR - baseline_CPR)</t>
        </is>
      </c>
    </row>
    <row r="20">
      <c r="A20" t="inlineStr"/>
    </row>
    <row r="21">
      <c r="A21" s="1" t="inlineStr">
        <is>
          <t>Sanity check (column 'Sanity' in Loan_Snapshot)</t>
        </is>
      </c>
    </row>
    <row r="22">
      <c r="A22" s="2" t="inlineStr">
        <is>
          <t xml:space="preserve">  baseline_CPR + SUM(attribution) - pred_CPR  should equal 0 (within rounding).</t>
        </is>
      </c>
    </row>
    <row r="23">
      <c r="A23" t="inlineStr"/>
    </row>
    <row r="24">
      <c r="A24" s="1" t="inlineStr">
        <is>
          <t>Scope and caveats</t>
        </is>
      </c>
    </row>
    <row r="25">
      <c r="A25" t="inlineStr">
        <is>
          <t xml:space="preserve">  - Snapshot CPR only. Forward projection (rate-shock vectors, monthly amortization) is NOT in this</t>
        </is>
      </c>
    </row>
    <row r="26">
      <c r="A26" t="inlineStr">
        <is>
          <t xml:space="preserve">    workbook; it lives in the dashboard's Loan Projector tab.</t>
        </is>
      </c>
    </row>
    <row r="27">
      <c r="A27" t="inlineStr">
        <is>
          <t xml:space="preserve">  - Refi incentive is RECOMPUTED in Excel from loan_rate, plc_rate, and prepay_penalty_points so</t>
        </is>
      </c>
    </row>
    <row r="28">
      <c r="A28" t="inlineStr">
        <is>
          <t xml:space="preserve">    you can run what-ifs by editing those inputs.</t>
        </is>
      </c>
    </row>
    <row r="29">
      <c r="A29" t="inlineStr">
        <is>
          <t xml:space="preserve">  - cum_itm is a STATE variable carried in from the panel. To do forward what-ifs, you must roll it</t>
        </is>
      </c>
    </row>
    <row r="30">
      <c r="A30" t="inlineStr">
        <is>
          <t xml:space="preserve">    forward yourself (add 1 each month the projected refi_incentive &gt; 0).</t>
        </is>
      </c>
    </row>
    <row r="31">
      <c r="A31" t="inlineStr">
        <is>
          <t xml:space="preserve">  - is_post_covid is currently a vintage&gt;=2021 flag. It captures real cohort behavior today but is</t>
        </is>
      </c>
    </row>
    <row r="32">
      <c r="A32" t="inlineStr">
        <is>
          <t xml:space="preserve">    fragile in low-rate forward scenarios.</t>
        </is>
      </c>
    </row>
    <row r="33">
      <c r="A33" t="inlineStr">
        <is>
          <t xml:space="preserve">  - Issuer dummies cover 7 names; all other issuers (incl. Lument, Greystone) sit in 'other' baseline.</t>
        </is>
      </c>
    </row>
    <row r="34">
      <c r="A34" t="inlineStr"/>
    </row>
    <row r="35">
      <c r="A35" s="1" t="inlineStr">
        <is>
          <t>File built from</t>
        </is>
      </c>
    </row>
    <row r="36">
      <c r="A36" s="2" t="inlineStr">
        <is>
          <t xml:space="preserve">  Panel: gnma_mf_raw_data_20260504_135955.parquet (1,314,304 rows, 88 cols)</t>
        </is>
      </c>
    </row>
    <row r="37">
      <c r="A37" s="2" t="inlineStr">
        <is>
          <t xml:space="preserve">  Model: model_data_v6e.json (snapshot 202603)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14" customWidth="1" min="4" max="4"/>
    <col width="16" customWidth="1" min="5" max="5"/>
    <col width="14" customWidth="1" min="6" max="6"/>
    <col width="14" customWidth="1" min="7" max="7"/>
    <col width="36" customWidth="1" min="8" max="8"/>
  </cols>
  <sheetData>
    <row r="1">
      <c r="A1" s="3" t="inlineStr">
        <is>
          <t>V6F Voluntary Prepayment Model - Coefficients</t>
        </is>
      </c>
    </row>
    <row r="2">
      <c r="A2" s="4" t="inlineStr">
        <is>
          <t>Edit at your own risk. Loan_Snapshot pulls mean/std/beta_native from this tab.</t>
        </is>
      </c>
    </row>
    <row r="4">
      <c r="A4" s="5" t="inlineStr">
        <is>
          <t>#</t>
        </is>
      </c>
      <c r="B4" s="5" t="inlineStr">
        <is>
          <t>feature</t>
        </is>
      </c>
      <c r="C4" s="5" t="inlineStr">
        <is>
          <t>group</t>
        </is>
      </c>
      <c r="D4" s="5" t="inlineStr">
        <is>
          <t>beta_scaled</t>
        </is>
      </c>
      <c r="E4" s="5" t="inlineStr">
        <is>
          <t>beta_native</t>
        </is>
      </c>
      <c r="F4" s="5" t="inlineStr">
        <is>
          <t>mean</t>
        </is>
      </c>
      <c r="G4" s="5" t="inlineStr">
        <is>
          <t>std</t>
        </is>
      </c>
      <c r="H4" s="5" t="inlineStr">
        <is>
          <t>label</t>
        </is>
      </c>
    </row>
    <row r="5">
      <c r="A5" s="6" t="n">
        <v>1</v>
      </c>
      <c r="B5" s="7" t="inlineStr">
        <is>
          <t>gross_refi_incentive_bps</t>
        </is>
      </c>
      <c r="C5" s="6" t="inlineStr">
        <is>
          <t>Rate &amp; Penalty</t>
        </is>
      </c>
      <c r="D5" s="8" t="n">
        <v>0.570192</v>
      </c>
      <c r="E5" s="8" t="n">
        <v>0.00310379</v>
      </c>
      <c r="F5" s="8" t="n">
        <v>2.265188</v>
      </c>
      <c r="G5" s="8" t="n">
        <v>183.708317</v>
      </c>
      <c r="H5" s="6" t="inlineStr">
        <is>
          <t>Gross refi incentive (bp, penalty-neutral)</t>
        </is>
      </c>
    </row>
    <row r="6">
      <c r="A6" s="6" t="n">
        <v>2</v>
      </c>
      <c r="B6" s="7" t="inlineStr">
        <is>
          <t>prepay_penalty_points</t>
        </is>
      </c>
      <c r="C6" s="6" t="inlineStr">
        <is>
          <t>Rate &amp; Penalty</t>
        </is>
      </c>
      <c r="D6" s="8" t="n">
        <v>-0.363185</v>
      </c>
      <c r="E6" s="8" t="n">
        <v>-0.10008426</v>
      </c>
      <c r="F6" s="8" t="n">
        <v>5.076951</v>
      </c>
      <c r="G6" s="8" t="n">
        <v>3.628791</v>
      </c>
      <c r="H6" s="6" t="inlineStr">
        <is>
          <t>Prepay penalty points (continuous 0-10)</t>
        </is>
      </c>
    </row>
    <row r="7">
      <c r="A7" s="6" t="n">
        <v>3</v>
      </c>
      <c r="B7" s="7" t="inlineStr">
        <is>
          <t>age_0_36</t>
        </is>
      </c>
      <c r="C7" s="6" t="inlineStr">
        <is>
          <t>Seasoning (piecewise)</t>
        </is>
      </c>
      <c r="D7" s="8" t="n">
        <v>0.271688</v>
      </c>
      <c r="E7" s="8" t="n">
        <v>0.0319566</v>
      </c>
      <c r="F7" s="8" t="n">
        <v>32.292252</v>
      </c>
      <c r="G7" s="8" t="n">
        <v>8.501787</v>
      </c>
      <c r="H7" s="6" t="inlineStr">
        <is>
          <t>Age 0-36m (piecewise)</t>
        </is>
      </c>
    </row>
    <row r="8">
      <c r="A8" s="6" t="n">
        <v>4</v>
      </c>
      <c r="B8" s="7" t="inlineStr">
        <is>
          <t>age_36_120</t>
        </is>
      </c>
      <c r="C8" s="6" t="inlineStr">
        <is>
          <t>Seasoning (piecewise)</t>
        </is>
      </c>
      <c r="D8" s="8" t="n">
        <v>0.193293</v>
      </c>
      <c r="E8" s="8" t="n">
        <v>0.00577619</v>
      </c>
      <c r="F8" s="8" t="n">
        <v>40.759952</v>
      </c>
      <c r="G8" s="8" t="n">
        <v>33.463732</v>
      </c>
      <c r="H8" s="6" t="inlineStr">
        <is>
          <t>Age 36-120m (piecewise)</t>
        </is>
      </c>
    </row>
    <row r="9">
      <c r="A9" s="6" t="n">
        <v>5</v>
      </c>
      <c r="B9" s="7" t="inlineStr">
        <is>
          <t>age_120plus</t>
        </is>
      </c>
      <c r="C9" s="6" t="inlineStr">
        <is>
          <t>Seasoning (piecewise)</t>
        </is>
      </c>
      <c r="D9" s="8" t="n">
        <v>-0.098758</v>
      </c>
      <c r="E9" s="8" t="n">
        <v>-0.00340313</v>
      </c>
      <c r="F9" s="8" t="n">
        <v>11.313631</v>
      </c>
      <c r="G9" s="8" t="n">
        <v>29.01982</v>
      </c>
      <c r="H9" s="6" t="inlineStr">
        <is>
          <t>Age 120m+ (piecewise)</t>
        </is>
      </c>
    </row>
    <row r="10">
      <c r="A10" s="6" t="n">
        <v>6</v>
      </c>
      <c r="B10" s="7" t="inlineStr">
        <is>
          <t>months_to_maturity</t>
        </is>
      </c>
      <c r="C10" s="6" t="inlineStr">
        <is>
          <t>Maturity</t>
        </is>
      </c>
      <c r="D10" s="8" t="n">
        <v>-0.032003</v>
      </c>
      <c r="E10" s="8" t="n">
        <v>-0.00036144</v>
      </c>
      <c r="F10" s="8" t="n">
        <v>328.587083</v>
      </c>
      <c r="G10" s="8" t="n">
        <v>88.544231</v>
      </c>
      <c r="H10" s="6" t="inlineStr">
        <is>
          <t>Months to maturity</t>
        </is>
      </c>
    </row>
    <row r="11">
      <c r="A11" s="6" t="n">
        <v>7</v>
      </c>
      <c r="B11" s="7" t="inlineStr">
        <is>
          <t>pre_maturity_flag</t>
        </is>
      </c>
      <c r="C11" s="6" t="inlineStr">
        <is>
          <t>Maturity</t>
        </is>
      </c>
      <c r="D11" s="8" t="n">
        <v>0.11705</v>
      </c>
      <c r="E11" s="8" t="n">
        <v>2.78846819</v>
      </c>
      <c r="F11" s="8" t="n">
        <v>0.001765</v>
      </c>
      <c r="G11" s="8" t="n">
        <v>0.041976</v>
      </c>
      <c r="H11" s="6" t="inlineStr">
        <is>
          <t>Within 0-24m of maturity (1/0)</t>
        </is>
      </c>
    </row>
    <row r="12">
      <c r="A12" s="6" t="n">
        <v>8</v>
      </c>
      <c r="B12" s="7" t="inlineStr">
        <is>
          <t>months_since_lockout_end</t>
        </is>
      </c>
      <c r="C12" s="6" t="inlineStr">
        <is>
          <t>Post-lockout surge</t>
        </is>
      </c>
      <c r="D12" s="8" t="n">
        <v>-0.012941</v>
      </c>
      <c r="E12" s="8" t="n">
        <v>-0.0012261</v>
      </c>
      <c r="F12" s="8" t="n">
        <v>6.432159</v>
      </c>
      <c r="G12" s="8" t="n">
        <v>10.554518</v>
      </c>
      <c r="H12" s="6" t="inlineStr">
        <is>
          <t>Months since lockout end (cap 24)</t>
        </is>
      </c>
    </row>
    <row r="13">
      <c r="A13" s="6" t="n">
        <v>9</v>
      </c>
      <c r="B13" s="7" t="inlineStr">
        <is>
          <t>log_upb</t>
        </is>
      </c>
      <c r="C13" s="6" t="inlineStr">
        <is>
          <t>Size</t>
        </is>
      </c>
      <c r="D13" s="8" t="n">
        <v>0.41296</v>
      </c>
      <c r="E13" s="8" t="n">
        <v>0.33366269</v>
      </c>
      <c r="F13" s="8" t="n">
        <v>15.369157</v>
      </c>
      <c r="G13" s="8" t="n">
        <v>1.237657</v>
      </c>
      <c r="H13" s="6" t="inlineStr">
        <is>
          <t>Log UPB</t>
        </is>
      </c>
    </row>
    <row r="14">
      <c r="A14" s="6" t="n">
        <v>10</v>
      </c>
      <c r="B14" s="7" t="inlineStr">
        <is>
          <t>small_loan</t>
        </is>
      </c>
      <c r="C14" s="6" t="inlineStr">
        <is>
          <t>Size</t>
        </is>
      </c>
      <c r="D14" s="8" t="n">
        <v>-0.101312</v>
      </c>
      <c r="E14" s="8" t="n">
        <v>-0.23837744</v>
      </c>
      <c r="F14" s="8" t="n">
        <v>0.236621</v>
      </c>
      <c r="G14" s="8" t="n">
        <v>0.425007</v>
      </c>
      <c r="H14" s="6" t="inlineStr">
        <is>
          <t>UPB &lt; $2M (1/0)</t>
        </is>
      </c>
    </row>
    <row r="15">
      <c r="A15" s="6" t="n">
        <v>11</v>
      </c>
      <c r="B15" s="7" t="inlineStr">
        <is>
          <t>large_loan</t>
        </is>
      </c>
      <c r="C15" s="6" t="inlineStr">
        <is>
          <t>Size</t>
        </is>
      </c>
      <c r="D15" s="8" t="n">
        <v>-0.04312</v>
      </c>
      <c r="E15" s="8" t="n">
        <v>-0.38151918</v>
      </c>
      <c r="F15" s="8" t="n">
        <v>0.012941</v>
      </c>
      <c r="G15" s="8" t="n">
        <v>0.113021</v>
      </c>
      <c r="H15" s="6" t="inlineStr">
        <is>
          <t>UPB &gt; $50M (1/0)</t>
        </is>
      </c>
    </row>
    <row r="16">
      <c r="A16" s="6" t="n">
        <v>12</v>
      </c>
      <c r="B16" s="7" t="inlineStr">
        <is>
          <t>burn_ratio</t>
        </is>
      </c>
      <c r="C16" s="6" t="inlineStr">
        <is>
          <t>Burnout &amp; Regime</t>
        </is>
      </c>
      <c r="D16" s="8" t="n">
        <v>0.178127</v>
      </c>
      <c r="E16" s="8" t="n">
        <v>0.72898702</v>
      </c>
      <c r="F16" s="8" t="n">
        <v>0.195122</v>
      </c>
      <c r="G16" s="8" t="n">
        <v>0.244349</v>
      </c>
      <c r="H16" s="6" t="inlineStr">
        <is>
          <t>Burnout ratio (cum_itm / age)</t>
        </is>
      </c>
    </row>
    <row r="17">
      <c r="A17" s="6" t="n">
        <v>13</v>
      </c>
      <c r="B17" s="7" t="inlineStr">
        <is>
          <t>is_post_covid</t>
        </is>
      </c>
      <c r="C17" s="6" t="inlineStr">
        <is>
          <t>Burnout &amp; Regime</t>
        </is>
      </c>
      <c r="D17" s="8" t="n">
        <v>-0.100645</v>
      </c>
      <c r="E17" s="8" t="n">
        <v>-0.28383942</v>
      </c>
      <c r="F17" s="8" t="n">
        <v>0.147481</v>
      </c>
      <c r="G17" s="8" t="n">
        <v>0.354585</v>
      </c>
      <c r="H17" s="6" t="inlineStr">
        <is>
          <t>Post-COVID vintage (&gt;=2021)</t>
        </is>
      </c>
    </row>
    <row r="18">
      <c r="A18" s="6" t="n">
        <v>14</v>
      </c>
      <c r="B18" s="7" t="inlineStr">
        <is>
          <t>is_223a7</t>
        </is>
      </c>
      <c r="C18" s="6" t="inlineStr">
        <is>
          <t>Program &amp; Purpose</t>
        </is>
      </c>
      <c r="D18" s="8" t="n">
        <v>0.025813</v>
      </c>
      <c r="E18" s="8" t="n">
        <v>0.06000057</v>
      </c>
      <c r="F18" s="8" t="n">
        <v>0.24521</v>
      </c>
      <c r="G18" s="8" t="n">
        <v>0.430212</v>
      </c>
      <c r="H18" s="6" t="inlineStr">
        <is>
          <t>223(a)(7) Streamlined refi</t>
        </is>
      </c>
    </row>
    <row r="19">
      <c r="A19" s="6" t="n">
        <v>15</v>
      </c>
      <c r="B19" s="7" t="inlineStr">
        <is>
          <t>is_538</t>
        </is>
      </c>
      <c r="C19" s="6" t="inlineStr">
        <is>
          <t>Program &amp; Purpose</t>
        </is>
      </c>
      <c r="D19" s="8" t="n">
        <v>-0.19302</v>
      </c>
      <c r="E19" s="8" t="n">
        <v>-0.77022495</v>
      </c>
      <c r="F19" s="8" t="n">
        <v>0.06733599999999999</v>
      </c>
      <c r="G19" s="8" t="n">
        <v>0.250603</v>
      </c>
      <c r="H19" s="6" t="inlineStr">
        <is>
          <t>538 USDA Rural</t>
        </is>
      </c>
    </row>
    <row r="20">
      <c r="A20" s="6" t="n">
        <v>16</v>
      </c>
      <c r="B20" s="7" t="inlineStr">
        <is>
          <t>is_hc_232</t>
        </is>
      </c>
      <c r="C20" s="6" t="inlineStr">
        <is>
          <t>Program &amp; Purpose</t>
        </is>
      </c>
      <c r="D20" s="8" t="n">
        <v>-0.031843</v>
      </c>
      <c r="E20" s="8" t="n">
        <v>-0.07295154</v>
      </c>
      <c r="F20" s="8" t="n">
        <v>0.256124</v>
      </c>
      <c r="G20" s="8" t="n">
        <v>0.436491</v>
      </c>
      <c r="H20" s="6" t="inlineStr">
        <is>
          <t>232 Healthcare flag</t>
        </is>
      </c>
    </row>
    <row r="21">
      <c r="A21" s="6" t="n">
        <v>17</v>
      </c>
      <c r="B21" s="7" t="inlineStr">
        <is>
          <t>lp_NC</t>
        </is>
      </c>
      <c r="C21" s="6" t="inlineStr">
        <is>
          <t>Program &amp; Purpose</t>
        </is>
      </c>
      <c r="D21" s="8" t="n">
        <v>-0.041684</v>
      </c>
      <c r="E21" s="8" t="n">
        <v>-0.1277122</v>
      </c>
      <c r="F21" s="8" t="n">
        <v>0.121227</v>
      </c>
      <c r="G21" s="8" t="n">
        <v>0.326391</v>
      </c>
      <c r="H21" s="6" t="inlineStr">
        <is>
          <t>Loan purpose: New Construction</t>
        </is>
      </c>
    </row>
    <row r="22">
      <c r="A22" s="6" t="n">
        <v>18</v>
      </c>
      <c r="B22" s="7" t="inlineStr">
        <is>
          <t>iss_capital_funding</t>
        </is>
      </c>
      <c r="C22" s="6" t="inlineStr">
        <is>
          <t>Issuer (Servicer)</t>
        </is>
      </c>
      <c r="D22" s="8" t="n">
        <v>-0.083746</v>
      </c>
      <c r="E22" s="8" t="n">
        <v>-0.45965248</v>
      </c>
      <c r="F22" s="8" t="n">
        <v>0.034376</v>
      </c>
      <c r="G22" s="8" t="n">
        <v>0.182194</v>
      </c>
      <c r="H22" s="6" t="inlineStr">
        <is>
          <t>Issuer: Capital Funding</t>
        </is>
      </c>
    </row>
    <row r="23">
      <c r="A23" s="6" t="n">
        <v>19</v>
      </c>
      <c r="B23" s="7" t="inlineStr">
        <is>
          <t>iss_pnc</t>
        </is>
      </c>
      <c r="C23" s="6" t="inlineStr">
        <is>
          <t>Issuer (Servicer)</t>
        </is>
      </c>
      <c r="D23" s="8" t="n">
        <v>-0.062494</v>
      </c>
      <c r="E23" s="8" t="n">
        <v>-0.33626121</v>
      </c>
      <c r="F23" s="8" t="n">
        <v>0.035824</v>
      </c>
      <c r="G23" s="8" t="n">
        <v>0.185851</v>
      </c>
      <c r="H23" s="6" t="inlineStr">
        <is>
          <t>Issuer: PNC Bank</t>
        </is>
      </c>
    </row>
    <row r="24">
      <c r="A24" s="6" t="n">
        <v>20</v>
      </c>
      <c r="B24" s="7" t="inlineStr">
        <is>
          <t>iss_wells_fargo</t>
        </is>
      </c>
      <c r="C24" s="6" t="inlineStr">
        <is>
          <t>Issuer (Servicer)</t>
        </is>
      </c>
      <c r="D24" s="8" t="n">
        <v>-0.040287</v>
      </c>
      <c r="E24" s="8" t="n">
        <v>-0.19753202</v>
      </c>
      <c r="F24" s="8" t="n">
        <v>0.043487</v>
      </c>
      <c r="G24" s="8" t="n">
        <v>0.203951</v>
      </c>
      <c r="H24" s="6" t="inlineStr">
        <is>
          <t>Issuer: Wells Fargo</t>
        </is>
      </c>
    </row>
    <row r="25">
      <c r="A25" s="6" t="n">
        <v>21</v>
      </c>
      <c r="B25" s="7" t="inlineStr">
        <is>
          <t>iss_dwight</t>
        </is>
      </c>
      <c r="C25" s="6" t="inlineStr">
        <is>
          <t>Issuer (Servicer)</t>
        </is>
      </c>
      <c r="D25" s="8" t="n">
        <v>0.044013</v>
      </c>
      <c r="E25" s="8" t="n">
        <v>0.25323781</v>
      </c>
      <c r="F25" s="8" t="n">
        <v>0.031179</v>
      </c>
      <c r="G25" s="8" t="n">
        <v>0.173801</v>
      </c>
      <c r="H25" s="6" t="inlineStr">
        <is>
          <t>Issuer: Dwight Capital</t>
        </is>
      </c>
    </row>
    <row r="26">
      <c r="A26" s="6" t="n">
        <v>22</v>
      </c>
      <c r="B26" s="7" t="inlineStr">
        <is>
          <t>iss_greystone</t>
        </is>
      </c>
      <c r="C26" s="6" t="inlineStr">
        <is>
          <t>Issuer (Servicer)</t>
        </is>
      </c>
      <c r="D26" s="8" t="n">
        <v>0.049625</v>
      </c>
      <c r="E26" s="8" t="n">
        <v>0.20682827</v>
      </c>
      <c r="F26" s="8" t="n">
        <v>0.06133</v>
      </c>
      <c r="G26" s="8" t="n">
        <v>0.239934</v>
      </c>
      <c r="H26" s="6" t="inlineStr">
        <is>
          <t>Issuer: Greystone</t>
        </is>
      </c>
    </row>
    <row r="27">
      <c r="A27" s="6" t="n">
        <v>23</v>
      </c>
      <c r="B27" s="7" t="inlineStr">
        <is>
          <t>iss_lument_combined</t>
        </is>
      </c>
      <c r="C27" s="6" t="inlineStr">
        <is>
          <t>Issuer (Servicer)</t>
        </is>
      </c>
      <c r="D27" s="8" t="n">
        <v>-0.003365</v>
      </c>
      <c r="E27" s="8" t="n">
        <v>-0.008977779999999999</v>
      </c>
      <c r="F27" s="8" t="n">
        <v>0.169072</v>
      </c>
      <c r="G27" s="8" t="n">
        <v>0.374816</v>
      </c>
      <c r="H27" s="6" t="inlineStr">
        <is>
          <t>Issuer: Lument (incl. Red Mortgage + Hunt)</t>
        </is>
      </c>
    </row>
    <row r="28">
      <c r="A28" s="6" t="n">
        <v>24</v>
      </c>
      <c r="B28" s="7" t="inlineStr">
        <is>
          <t>gross_refi__x__prepay_pen</t>
        </is>
      </c>
      <c r="C28" s="6" t="inlineStr">
        <is>
          <t>Interactions</t>
        </is>
      </c>
      <c r="D28" s="8" t="n">
        <v>0.637551</v>
      </c>
      <c r="E28" s="8" t="n">
        <v>0.00059719</v>
      </c>
      <c r="F28" s="8" t="n">
        <v>-65.14869899999999</v>
      </c>
      <c r="G28" s="8" t="n">
        <v>1067.575916</v>
      </c>
      <c r="H28" s="6" t="inlineStr">
        <is>
          <t>Interaction: gross_refi_incentive_bps x prepay_penalty_points</t>
        </is>
      </c>
    </row>
    <row r="31">
      <c r="A31" s="1" t="inlineStr">
        <is>
          <t>Model constants</t>
        </is>
      </c>
    </row>
    <row r="32">
      <c r="A32" s="9" t="inlineStr">
        <is>
          <t>intercept_scaled</t>
        </is>
      </c>
      <c r="B32" s="10" t="n">
        <v>-5.525031</v>
      </c>
    </row>
    <row r="33">
      <c r="A33" s="9" t="inlineStr">
        <is>
          <t>baseline_SMM (sigmoid of intercept_scaled)</t>
        </is>
      </c>
      <c r="B33" s="11">
        <f>1/(1+EXP(-B32))</f>
        <v/>
      </c>
    </row>
    <row r="34">
      <c r="A34" s="9" t="inlineStr">
        <is>
          <t>baseline_CPR (annualized from baseline_SMM)</t>
        </is>
      </c>
      <c r="B34" s="12">
        <f>1-(1-B33)^12</f>
        <v/>
      </c>
    </row>
    <row r="36">
      <c r="A36" s="1" t="inlineStr">
        <is>
          <t>Diagnostics</t>
        </is>
      </c>
    </row>
    <row r="37">
      <c r="A37" s="9" t="inlineStr">
        <is>
          <t>test_AUC</t>
        </is>
      </c>
      <c r="B37" t="n">
        <v>0.7854</v>
      </c>
    </row>
    <row r="38">
      <c r="A38" s="9" t="inlineStr">
        <is>
          <t>panel_mean_CPR</t>
        </is>
      </c>
      <c r="B38" s="13" t="n">
        <v>0.089951</v>
      </c>
    </row>
    <row r="39">
      <c r="A39" s="9" t="inlineStr">
        <is>
          <t>training_pop_n</t>
        </is>
      </c>
      <c r="B39" t="n">
        <v>982361</v>
      </c>
    </row>
    <row r="40">
      <c r="A40" s="9" t="inlineStr">
        <is>
          <t>training_events</t>
        </is>
      </c>
      <c r="B40" t="n">
        <v>7686</v>
      </c>
    </row>
    <row r="41">
      <c r="A41" s="9" t="inlineStr">
        <is>
          <t>panel_period_range</t>
        </is>
      </c>
      <c r="B41" t="inlineStr">
        <is>
          <t>201812 - 202602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T256"/>
  <sheetViews>
    <sheetView workbookViewId="0">
      <pane xSplit="21" ySplit="4" topLeftCell="V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2" customWidth="1" min="70" max="70"/>
    <col width="12" customWidth="1" min="71" max="71"/>
    <col width="12" customWidth="1" min="72" max="72"/>
    <col width="12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</cols>
  <sheetData>
    <row r="1">
      <c r="A1" s="14" t="inlineStr">
        <is>
          <t>Loan Identifiers</t>
        </is>
      </c>
      <c r="I1" s="15" t="inlineStr">
        <is>
          <t>Raw Inputs (editable)</t>
        </is>
      </c>
      <c r="V1" s="14" t="inlineStr">
        <is>
          <t>V6E Feature Values (formulas - do not edit)</t>
        </is>
      </c>
      <c r="AT1" s="16" t="inlineStr">
        <is>
          <t>Logit Contributions (β_native × (x − mean))</t>
        </is>
      </c>
      <c r="BR1" s="17" t="inlineStr">
        <is>
          <t>CPR Summary</t>
        </is>
      </c>
      <c r="BV1" s="18" t="inlineStr">
        <is>
          <t>CPR Attribution (proportional method)</t>
        </is>
      </c>
      <c r="CT1" s="19" t="inlineStr">
        <is>
          <t>Check</t>
        </is>
      </c>
    </row>
    <row r="2">
      <c r="A2" s="5" t="inlineStr">
        <is>
          <t>loan_id</t>
        </is>
      </c>
      <c r="B2" s="5" t="inlineStr">
        <is>
          <t>deal_id</t>
        </is>
      </c>
      <c r="C2" s="5" t="inlineStr">
        <is>
          <t>pool_cusip</t>
        </is>
      </c>
      <c r="D2" s="5" t="inlineStr">
        <is>
          <t>issuer_name</t>
        </is>
      </c>
      <c r="E2" s="5" t="inlineStr">
        <is>
          <t>fha_category</t>
        </is>
      </c>
      <c r="F2" s="5" t="inlineStr">
        <is>
          <t>loan_purpose</t>
        </is>
      </c>
      <c r="G2" s="5" t="inlineStr">
        <is>
          <t>vintage_year</t>
        </is>
      </c>
      <c r="H2" s="5" t="inlineStr">
        <is>
          <t>period</t>
        </is>
      </c>
      <c r="I2" s="5" t="inlineStr">
        <is>
          <t>upb</t>
        </is>
      </c>
      <c r="J2" s="5" t="inlineStr">
        <is>
          <t>loan_rate_pct</t>
        </is>
      </c>
      <c r="K2" s="5" t="inlineStr">
        <is>
          <t>plc_rate_bps</t>
        </is>
      </c>
      <c r="L2" s="5" t="inlineStr">
        <is>
          <t>prepay_penalty_points</t>
        </is>
      </c>
      <c r="M2" s="5" t="inlineStr">
        <is>
          <t>loan_age_months_in</t>
        </is>
      </c>
      <c r="N2" s="5" t="inlineStr">
        <is>
          <t>cum_itm_in</t>
        </is>
      </c>
      <c r="O2" s="5" t="inlineStr">
        <is>
          <t>loan_maturity_yyyymm</t>
        </is>
      </c>
      <c r="P2" s="5" t="inlineStr">
        <is>
          <t>lockout_end_yyyymm</t>
        </is>
      </c>
      <c r="Q2" s="5" t="inlineStr">
        <is>
          <t>issuer_number_str</t>
        </is>
      </c>
      <c r="R2" s="5" t="inlineStr">
        <is>
          <t>is_hc_232_raw</t>
        </is>
      </c>
      <c r="S2" s="5" t="inlineStr">
        <is>
          <t>is_223a7_raw</t>
        </is>
      </c>
      <c r="T2" s="5" t="inlineStr">
        <is>
          <t>is_538_raw</t>
        </is>
      </c>
      <c r="U2" s="5" t="inlineStr">
        <is>
          <t>is_new_construction_raw</t>
        </is>
      </c>
      <c r="V2" s="5" t="inlineStr">
        <is>
          <t>gross_refi_incentive_bps</t>
        </is>
      </c>
      <c r="W2" s="5" t="inlineStr">
        <is>
          <t>prepay_penalty_points</t>
        </is>
      </c>
      <c r="X2" s="5" t="inlineStr">
        <is>
          <t>age_0_36</t>
        </is>
      </c>
      <c r="Y2" s="5" t="inlineStr">
        <is>
          <t>age_36_120</t>
        </is>
      </c>
      <c r="Z2" s="5" t="inlineStr">
        <is>
          <t>age_120plus</t>
        </is>
      </c>
      <c r="AA2" s="5" t="inlineStr">
        <is>
          <t>months_to_maturity</t>
        </is>
      </c>
      <c r="AB2" s="5" t="inlineStr">
        <is>
          <t>pre_maturity_flag</t>
        </is>
      </c>
      <c r="AC2" s="5" t="inlineStr">
        <is>
          <t>months_since_lockout_end</t>
        </is>
      </c>
      <c r="AD2" s="5" t="inlineStr">
        <is>
          <t>log_upb</t>
        </is>
      </c>
      <c r="AE2" s="5" t="inlineStr">
        <is>
          <t>small_loan</t>
        </is>
      </c>
      <c r="AF2" s="5" t="inlineStr">
        <is>
          <t>large_loan</t>
        </is>
      </c>
      <c r="AG2" s="5" t="inlineStr">
        <is>
          <t>burn_ratio</t>
        </is>
      </c>
      <c r="AH2" s="5" t="inlineStr">
        <is>
          <t>is_post_covid</t>
        </is>
      </c>
      <c r="AI2" s="5" t="inlineStr">
        <is>
          <t>is_223a7</t>
        </is>
      </c>
      <c r="AJ2" s="5" t="inlineStr">
        <is>
          <t>is_538</t>
        </is>
      </c>
      <c r="AK2" s="5" t="inlineStr">
        <is>
          <t>is_hc_232</t>
        </is>
      </c>
      <c r="AL2" s="5" t="inlineStr">
        <is>
          <t>lp_NC</t>
        </is>
      </c>
      <c r="AM2" s="5" t="inlineStr">
        <is>
          <t>iss_capital_funding</t>
        </is>
      </c>
      <c r="AN2" s="5" t="inlineStr">
        <is>
          <t>iss_pnc</t>
        </is>
      </c>
      <c r="AO2" s="5" t="inlineStr">
        <is>
          <t>iss_wells_fargo</t>
        </is>
      </c>
      <c r="AP2" s="5" t="inlineStr">
        <is>
          <t>iss_dwight</t>
        </is>
      </c>
      <c r="AQ2" s="5" t="inlineStr">
        <is>
          <t>iss_greystone</t>
        </is>
      </c>
      <c r="AR2" s="5" t="inlineStr">
        <is>
          <t>iss_lument_combined</t>
        </is>
      </c>
      <c r="AS2" s="5" t="inlineStr">
        <is>
          <t>gross_refi__x__prepay_pen</t>
        </is>
      </c>
      <c r="AT2" s="5" t="inlineStr">
        <is>
          <t>contrib_gross_refi_incentive_bps</t>
        </is>
      </c>
      <c r="AU2" s="5" t="inlineStr">
        <is>
          <t>contrib_prepay_penalty_points</t>
        </is>
      </c>
      <c r="AV2" s="5" t="inlineStr">
        <is>
          <t>contrib_age_0_36</t>
        </is>
      </c>
      <c r="AW2" s="5" t="inlineStr">
        <is>
          <t>contrib_age_36_120</t>
        </is>
      </c>
      <c r="AX2" s="5" t="inlineStr">
        <is>
          <t>contrib_age_120plus</t>
        </is>
      </c>
      <c r="AY2" s="5" t="inlineStr">
        <is>
          <t>contrib_months_to_maturity</t>
        </is>
      </c>
      <c r="AZ2" s="5" t="inlineStr">
        <is>
          <t>contrib_pre_maturity_flag</t>
        </is>
      </c>
      <c r="BA2" s="5" t="inlineStr">
        <is>
          <t>contrib_months_since_lockout_end</t>
        </is>
      </c>
      <c r="BB2" s="5" t="inlineStr">
        <is>
          <t>contrib_log_upb</t>
        </is>
      </c>
      <c r="BC2" s="5" t="inlineStr">
        <is>
          <t>contrib_small_loan</t>
        </is>
      </c>
      <c r="BD2" s="5" t="inlineStr">
        <is>
          <t>contrib_large_loan</t>
        </is>
      </c>
      <c r="BE2" s="5" t="inlineStr">
        <is>
          <t>contrib_burn_ratio</t>
        </is>
      </c>
      <c r="BF2" s="5" t="inlineStr">
        <is>
          <t>contrib_is_post_covid</t>
        </is>
      </c>
      <c r="BG2" s="5" t="inlineStr">
        <is>
          <t>contrib_is_223a7</t>
        </is>
      </c>
      <c r="BH2" s="5" t="inlineStr">
        <is>
          <t>contrib_is_538</t>
        </is>
      </c>
      <c r="BI2" s="5" t="inlineStr">
        <is>
          <t>contrib_is_hc_232</t>
        </is>
      </c>
      <c r="BJ2" s="5" t="inlineStr">
        <is>
          <t>contrib_lp_NC</t>
        </is>
      </c>
      <c r="BK2" s="5" t="inlineStr">
        <is>
          <t>contrib_iss_capital_funding</t>
        </is>
      </c>
      <c r="BL2" s="5" t="inlineStr">
        <is>
          <t>contrib_iss_pnc</t>
        </is>
      </c>
      <c r="BM2" s="5" t="inlineStr">
        <is>
          <t>contrib_iss_wells_fargo</t>
        </is>
      </c>
      <c r="BN2" s="5" t="inlineStr">
        <is>
          <t>contrib_iss_dwight</t>
        </is>
      </c>
      <c r="BO2" s="5" t="inlineStr">
        <is>
          <t>contrib_iss_greystone</t>
        </is>
      </c>
      <c r="BP2" s="5" t="inlineStr">
        <is>
          <t>contrib_iss_lument_combined</t>
        </is>
      </c>
      <c r="BQ2" s="5" t="inlineStr">
        <is>
          <t>contrib_gross_refi__x__prepay_pen</t>
        </is>
      </c>
      <c r="BR2" s="5" t="inlineStr">
        <is>
          <t>total_logit_dev</t>
        </is>
      </c>
      <c r="BS2" s="5" t="inlineStr">
        <is>
          <t>logit_z</t>
        </is>
      </c>
      <c r="BT2" s="5" t="inlineStr">
        <is>
          <t>SMM</t>
        </is>
      </c>
      <c r="BU2" s="5" t="inlineStr">
        <is>
          <t>pred_CPR</t>
        </is>
      </c>
      <c r="BV2" s="5" t="inlineStr">
        <is>
          <t>attr_gross_refi_incentive_bps</t>
        </is>
      </c>
      <c r="BW2" s="5" t="inlineStr">
        <is>
          <t>attr_prepay_penalty_points</t>
        </is>
      </c>
      <c r="BX2" s="5" t="inlineStr">
        <is>
          <t>attr_age_0_36</t>
        </is>
      </c>
      <c r="BY2" s="5" t="inlineStr">
        <is>
          <t>attr_age_36_120</t>
        </is>
      </c>
      <c r="BZ2" s="5" t="inlineStr">
        <is>
          <t>attr_age_120plus</t>
        </is>
      </c>
      <c r="CA2" s="5" t="inlineStr">
        <is>
          <t>attr_months_to_maturity</t>
        </is>
      </c>
      <c r="CB2" s="5" t="inlineStr">
        <is>
          <t>attr_pre_maturity_flag</t>
        </is>
      </c>
      <c r="CC2" s="5" t="inlineStr">
        <is>
          <t>attr_months_since_lockout_end</t>
        </is>
      </c>
      <c r="CD2" s="5" t="inlineStr">
        <is>
          <t>attr_log_upb</t>
        </is>
      </c>
      <c r="CE2" s="5" t="inlineStr">
        <is>
          <t>attr_small_loan</t>
        </is>
      </c>
      <c r="CF2" s="5" t="inlineStr">
        <is>
          <t>attr_large_loan</t>
        </is>
      </c>
      <c r="CG2" s="5" t="inlineStr">
        <is>
          <t>attr_burn_ratio</t>
        </is>
      </c>
      <c r="CH2" s="5" t="inlineStr">
        <is>
          <t>attr_is_post_covid</t>
        </is>
      </c>
      <c r="CI2" s="5" t="inlineStr">
        <is>
          <t>attr_is_223a7</t>
        </is>
      </c>
      <c r="CJ2" s="5" t="inlineStr">
        <is>
          <t>attr_is_538</t>
        </is>
      </c>
      <c r="CK2" s="5" t="inlineStr">
        <is>
          <t>attr_is_hc_232</t>
        </is>
      </c>
      <c r="CL2" s="5" t="inlineStr">
        <is>
          <t>attr_lp_NC</t>
        </is>
      </c>
      <c r="CM2" s="5" t="inlineStr">
        <is>
          <t>attr_iss_capital_funding</t>
        </is>
      </c>
      <c r="CN2" s="5" t="inlineStr">
        <is>
          <t>attr_iss_pnc</t>
        </is>
      </c>
      <c r="CO2" s="5" t="inlineStr">
        <is>
          <t>attr_iss_wells_fargo</t>
        </is>
      </c>
      <c r="CP2" s="5" t="inlineStr">
        <is>
          <t>attr_iss_dwight</t>
        </is>
      </c>
      <c r="CQ2" s="5" t="inlineStr">
        <is>
          <t>attr_iss_greystone</t>
        </is>
      </c>
      <c r="CR2" s="5" t="inlineStr">
        <is>
          <t>attr_iss_lument_combined</t>
        </is>
      </c>
      <c r="CS2" s="5" t="inlineStr">
        <is>
          <t>attr_gross_refi__x__prepay_pen</t>
        </is>
      </c>
      <c r="CT2" s="5" t="inlineStr">
        <is>
          <t>Sanity</t>
        </is>
      </c>
    </row>
    <row r="3">
      <c r="A3" s="1" t="inlineStr">
        <is>
          <t>mean</t>
        </is>
      </c>
      <c r="V3" s="20">
        <f>Coefficients!$F$5</f>
        <v/>
      </c>
      <c r="W3" s="20">
        <f>Coefficients!$F$6</f>
        <v/>
      </c>
      <c r="X3" s="20">
        <f>Coefficients!$F$7</f>
        <v/>
      </c>
      <c r="Y3" s="20">
        <f>Coefficients!$F$8</f>
        <v/>
      </c>
      <c r="Z3" s="20">
        <f>Coefficients!$F$9</f>
        <v/>
      </c>
      <c r="AA3" s="20">
        <f>Coefficients!$F$10</f>
        <v/>
      </c>
      <c r="AB3" s="20">
        <f>Coefficients!$F$11</f>
        <v/>
      </c>
      <c r="AC3" s="20">
        <f>Coefficients!$F$12</f>
        <v/>
      </c>
      <c r="AD3" s="20">
        <f>Coefficients!$F$13</f>
        <v/>
      </c>
      <c r="AE3" s="20">
        <f>Coefficients!$F$14</f>
        <v/>
      </c>
      <c r="AF3" s="20">
        <f>Coefficients!$F$15</f>
        <v/>
      </c>
      <c r="AG3" s="20">
        <f>Coefficients!$F$16</f>
        <v/>
      </c>
      <c r="AH3" s="20">
        <f>Coefficients!$F$17</f>
        <v/>
      </c>
      <c r="AI3" s="20">
        <f>Coefficients!$F$18</f>
        <v/>
      </c>
      <c r="AJ3" s="20">
        <f>Coefficients!$F$19</f>
        <v/>
      </c>
      <c r="AK3" s="20">
        <f>Coefficients!$F$20</f>
        <v/>
      </c>
      <c r="AL3" s="20">
        <f>Coefficients!$F$21</f>
        <v/>
      </c>
      <c r="AM3" s="20">
        <f>Coefficients!$F$22</f>
        <v/>
      </c>
      <c r="AN3" s="20">
        <f>Coefficients!$F$23</f>
        <v/>
      </c>
      <c r="AO3" s="20">
        <f>Coefficients!$F$24</f>
        <v/>
      </c>
      <c r="AP3" s="20">
        <f>Coefficients!$F$25</f>
        <v/>
      </c>
      <c r="AQ3" s="20">
        <f>Coefficients!$F$26</f>
        <v/>
      </c>
      <c r="AR3" s="20">
        <f>Coefficients!$F$27</f>
        <v/>
      </c>
      <c r="AS3" s="20">
        <f>Coefficients!$F$28</f>
        <v/>
      </c>
    </row>
    <row r="4">
      <c r="A4" s="1" t="inlineStr">
        <is>
          <t>β_native</t>
        </is>
      </c>
      <c r="V4" s="21">
        <f>Coefficients!$E$5</f>
        <v/>
      </c>
      <c r="W4" s="21">
        <f>Coefficients!$E$6</f>
        <v/>
      </c>
      <c r="X4" s="21">
        <f>Coefficients!$E$7</f>
        <v/>
      </c>
      <c r="Y4" s="21">
        <f>Coefficients!$E$8</f>
        <v/>
      </c>
      <c r="Z4" s="21">
        <f>Coefficients!$E$9</f>
        <v/>
      </c>
      <c r="AA4" s="21">
        <f>Coefficients!$E$10</f>
        <v/>
      </c>
      <c r="AB4" s="21">
        <f>Coefficients!$E$11</f>
        <v/>
      </c>
      <c r="AC4" s="21">
        <f>Coefficients!$E$12</f>
        <v/>
      </c>
      <c r="AD4" s="21">
        <f>Coefficients!$E$13</f>
        <v/>
      </c>
      <c r="AE4" s="21">
        <f>Coefficients!$E$14</f>
        <v/>
      </c>
      <c r="AF4" s="21">
        <f>Coefficients!$E$15</f>
        <v/>
      </c>
      <c r="AG4" s="21">
        <f>Coefficients!$E$16</f>
        <v/>
      </c>
      <c r="AH4" s="21">
        <f>Coefficients!$E$17</f>
        <v/>
      </c>
      <c r="AI4" s="21">
        <f>Coefficients!$E$18</f>
        <v/>
      </c>
      <c r="AJ4" s="21">
        <f>Coefficients!$E$19</f>
        <v/>
      </c>
      <c r="AK4" s="21">
        <f>Coefficients!$E$20</f>
        <v/>
      </c>
      <c r="AL4" s="21">
        <f>Coefficients!$E$21</f>
        <v/>
      </c>
      <c r="AM4" s="21">
        <f>Coefficients!$E$22</f>
        <v/>
      </c>
      <c r="AN4" s="21">
        <f>Coefficients!$E$23</f>
        <v/>
      </c>
      <c r="AO4" s="21">
        <f>Coefficients!$E$24</f>
        <v/>
      </c>
      <c r="AP4" s="21">
        <f>Coefficients!$E$25</f>
        <v/>
      </c>
      <c r="AQ4" s="21">
        <f>Coefficients!$E$26</f>
        <v/>
      </c>
      <c r="AR4" s="21">
        <f>Coefficients!$E$27</f>
        <v/>
      </c>
      <c r="AS4" s="21">
        <f>Coefficients!$E$28</f>
        <v/>
      </c>
    </row>
    <row r="5">
      <c r="A5" s="2" t="inlineStr">
        <is>
          <t>3617UAX72_000000012211373</t>
        </is>
      </c>
      <c r="B5" t="inlineStr">
        <is>
          <t>LUMENT_PRE21</t>
        </is>
      </c>
      <c r="C5" s="2" t="inlineStr">
        <is>
          <t>3617UAX72</t>
        </is>
      </c>
      <c r="D5" t="inlineStr">
        <is>
          <t>LUMENT REAL ESTATE CAPITAL,LLC</t>
        </is>
      </c>
      <c r="E5" t="inlineStr">
        <is>
          <t>223f</t>
        </is>
      </c>
      <c r="F5" t="inlineStr">
        <is>
          <t>RP</t>
        </is>
      </c>
      <c r="G5" t="n">
        <v>2015</v>
      </c>
      <c r="H5" t="inlineStr">
        <is>
          <t>202602</t>
        </is>
      </c>
      <c r="I5" s="22" t="n">
        <v>4746336.84</v>
      </c>
      <c r="J5" s="23" t="n">
        <v>2.96</v>
      </c>
      <c r="K5" s="24" t="n">
        <v>447</v>
      </c>
      <c r="L5" s="24" t="n">
        <v>5</v>
      </c>
      <c r="M5" t="n">
        <v>122</v>
      </c>
      <c r="N5" t="n">
        <v>1</v>
      </c>
      <c r="O5" t="n">
        <v>205101</v>
      </c>
      <c r="P5" t="inlineStr"/>
      <c r="Q5" t="inlineStr">
        <is>
          <t>3896</t>
        </is>
      </c>
      <c r="R5" t="n">
        <v>0</v>
      </c>
      <c r="S5" t="n">
        <v>0</v>
      </c>
      <c r="T5" t="n">
        <v>0</v>
      </c>
      <c r="U5" t="n">
        <v>0</v>
      </c>
      <c r="V5" s="24">
        <f>J5*100-K5</f>
        <v/>
      </c>
      <c r="W5" s="24">
        <f>L5</f>
        <v/>
      </c>
      <c r="X5" s="25">
        <f>MIN(M5,36)</f>
        <v/>
      </c>
      <c r="Y5" s="25">
        <f>MIN(MAX(M5-36,0),84)</f>
        <v/>
      </c>
      <c r="Z5" s="25">
        <f>MAX(M5-120,0)</f>
        <v/>
      </c>
      <c r="AA5" s="25">
        <f>IF(OR(O5="",NOT(ISNUMBER(O5))),360,MAX(0,MIN(480,(INT(O5/100)-INT(VALUE(H5)/100))*12+MOD(O5,100)-MOD(VALUE(H5),100))))</f>
        <v/>
      </c>
      <c r="AB5">
        <f>IF(AND(AA5&gt;0,AA5&lt;=24),1,0)</f>
        <v/>
      </c>
      <c r="AC5" s="25">
        <f>IF(OR(P5="",NOT(ISNUMBER(P5))),0,MAX(0,MIN(24,(INT(VALUE(H5)/100)-INT(P5/100))*12+MOD(VALUE(H5),100)-MOD(P5,100))))</f>
        <v/>
      </c>
      <c r="AD5" s="23">
        <f>LN(1+I5)</f>
        <v/>
      </c>
      <c r="AE5">
        <f>IF(I5&lt;2000000,1,0)</f>
        <v/>
      </c>
      <c r="AF5">
        <f>IF(I5&gt;50000000,1,0)</f>
        <v/>
      </c>
      <c r="AG5" s="23">
        <f>IF(ISNUMBER(M5),N5/MAX(M5,1),0)</f>
        <v/>
      </c>
      <c r="AH5">
        <f>IF(G5&gt;=2021,1,0)</f>
        <v/>
      </c>
      <c r="AI5">
        <f>S5</f>
        <v/>
      </c>
      <c r="AJ5">
        <f>T5</f>
        <v/>
      </c>
      <c r="AK5">
        <f>R5</f>
        <v/>
      </c>
      <c r="AL5">
        <f>U5</f>
        <v/>
      </c>
      <c r="AM5">
        <f>IF(ISNUMBER(SEARCH("CAPITAL FUNDING",D5)),1,0)</f>
        <v/>
      </c>
      <c r="AN5">
        <f>IF(ISNUMBER(SEARCH("PNC",D5)),1,0)</f>
        <v/>
      </c>
      <c r="AO5">
        <f>IF(ISNUMBER(SEARCH("WELLS FARGO",D5)),1,0)</f>
        <v/>
      </c>
      <c r="AP5">
        <f>IF(ISNUMBER(SEARCH("DWIGHT",D5)),1,0)</f>
        <v/>
      </c>
      <c r="AQ5">
        <f>IF(ISNUMBER(SEARCH("GREYSTONE",D5)),1,0)</f>
        <v/>
      </c>
      <c r="AR5">
        <f>IF(OR(Q5="3896",Q5="3557"),1,0)</f>
        <v/>
      </c>
      <c r="AS5" s="24">
        <f>V5*W5</f>
        <v/>
      </c>
      <c r="AT5" s="26">
        <f>V$4*(V5-V$3)</f>
        <v/>
      </c>
      <c r="AU5" s="26">
        <f>W$4*(W5-W$3)</f>
        <v/>
      </c>
      <c r="AV5" s="26">
        <f>X$4*(X5-X$3)</f>
        <v/>
      </c>
      <c r="AW5" s="26">
        <f>Y$4*(Y5-Y$3)</f>
        <v/>
      </c>
      <c r="AX5" s="26">
        <f>Z$4*(Z5-Z$3)</f>
        <v/>
      </c>
      <c r="AY5" s="26">
        <f>AA$4*(AA5-AA$3)</f>
        <v/>
      </c>
      <c r="AZ5" s="26">
        <f>AB$4*(AB5-AB$3)</f>
        <v/>
      </c>
      <c r="BA5" s="26">
        <f>AC$4*(AC5-AC$3)</f>
        <v/>
      </c>
      <c r="BB5" s="26">
        <f>AD$4*(AD5-AD$3)</f>
        <v/>
      </c>
      <c r="BC5" s="26">
        <f>AE$4*(AE5-AE$3)</f>
        <v/>
      </c>
      <c r="BD5" s="26">
        <f>AF$4*(AF5-AF$3)</f>
        <v/>
      </c>
      <c r="BE5" s="26">
        <f>AG$4*(AG5-AG$3)</f>
        <v/>
      </c>
      <c r="BF5" s="26">
        <f>AH$4*(AH5-AH$3)</f>
        <v/>
      </c>
      <c r="BG5" s="26">
        <f>AI$4*(AI5-AI$3)</f>
        <v/>
      </c>
      <c r="BH5" s="26">
        <f>AJ$4*(AJ5-AJ$3)</f>
        <v/>
      </c>
      <c r="BI5" s="26">
        <f>AK$4*(AK5-AK$3)</f>
        <v/>
      </c>
      <c r="BJ5" s="26">
        <f>AL$4*(AL5-AL$3)</f>
        <v/>
      </c>
      <c r="BK5" s="26">
        <f>AM$4*(AM5-AM$3)</f>
        <v/>
      </c>
      <c r="BL5" s="26">
        <f>AN$4*(AN5-AN$3)</f>
        <v/>
      </c>
      <c r="BM5" s="26">
        <f>AO$4*(AO5-AO$3)</f>
        <v/>
      </c>
      <c r="BN5" s="26">
        <f>AP$4*(AP5-AP$3)</f>
        <v/>
      </c>
      <c r="BO5" s="26">
        <f>AQ$4*(AQ5-AQ$3)</f>
        <v/>
      </c>
      <c r="BP5" s="26">
        <f>AR$4*(AR5-AR$3)</f>
        <v/>
      </c>
      <c r="BQ5" s="26">
        <f>AS$4*(AS5-AS$3)</f>
        <v/>
      </c>
      <c r="BR5" s="27">
        <f>SUM(AT5:BQ5)</f>
        <v/>
      </c>
      <c r="BS5" s="27">
        <f>INTERCEPT_SCALED+BR5</f>
        <v/>
      </c>
      <c r="BT5" s="28">
        <f>1/(1+EXP(-BS5))</f>
        <v/>
      </c>
      <c r="BU5" s="13">
        <f>1-(1-BT5)^12</f>
        <v/>
      </c>
      <c r="BV5" s="13">
        <f>IFERROR(AT5/BR5*(BU5-BASELINE_CPR),0)</f>
        <v/>
      </c>
      <c r="BW5" s="13">
        <f>IFERROR(AU5/BR5*(BU5-BASELINE_CPR),0)</f>
        <v/>
      </c>
      <c r="BX5" s="13">
        <f>IFERROR(AV5/BR5*(BU5-BASELINE_CPR),0)</f>
        <v/>
      </c>
      <c r="BY5" s="13">
        <f>IFERROR(AW5/BR5*(BU5-BASELINE_CPR),0)</f>
        <v/>
      </c>
      <c r="BZ5" s="13">
        <f>IFERROR(AX5/BR5*(BU5-BASELINE_CPR),0)</f>
        <v/>
      </c>
      <c r="CA5" s="13">
        <f>IFERROR(AY5/BR5*(BU5-BASELINE_CPR),0)</f>
        <v/>
      </c>
      <c r="CB5" s="13">
        <f>IFERROR(AZ5/BR5*(BU5-BASELINE_CPR),0)</f>
        <v/>
      </c>
      <c r="CC5" s="13">
        <f>IFERROR(BA5/BR5*(BU5-BASELINE_CPR),0)</f>
        <v/>
      </c>
      <c r="CD5" s="13">
        <f>IFERROR(BB5/BR5*(BU5-BASELINE_CPR),0)</f>
        <v/>
      </c>
      <c r="CE5" s="13">
        <f>IFERROR(BC5/BR5*(BU5-BASELINE_CPR),0)</f>
        <v/>
      </c>
      <c r="CF5" s="13">
        <f>IFERROR(BD5/BR5*(BU5-BASELINE_CPR),0)</f>
        <v/>
      </c>
      <c r="CG5" s="13">
        <f>IFERROR(BE5/BR5*(BU5-BASELINE_CPR),0)</f>
        <v/>
      </c>
      <c r="CH5" s="13">
        <f>IFERROR(BF5/BR5*(BU5-BASELINE_CPR),0)</f>
        <v/>
      </c>
      <c r="CI5" s="13">
        <f>IFERROR(BG5/BR5*(BU5-BASELINE_CPR),0)</f>
        <v/>
      </c>
      <c r="CJ5" s="13">
        <f>IFERROR(BH5/BR5*(BU5-BASELINE_CPR),0)</f>
        <v/>
      </c>
      <c r="CK5" s="13">
        <f>IFERROR(BI5/BR5*(BU5-BASELINE_CPR),0)</f>
        <v/>
      </c>
      <c r="CL5" s="13">
        <f>IFERROR(BJ5/BR5*(BU5-BASELINE_CPR),0)</f>
        <v/>
      </c>
      <c r="CM5" s="13">
        <f>IFERROR(BK5/BR5*(BU5-BASELINE_CPR),0)</f>
        <v/>
      </c>
      <c r="CN5" s="13">
        <f>IFERROR(BL5/BR5*(BU5-BASELINE_CPR),0)</f>
        <v/>
      </c>
      <c r="CO5" s="13">
        <f>IFERROR(BM5/BR5*(BU5-BASELINE_CPR),0)</f>
        <v/>
      </c>
      <c r="CP5" s="13">
        <f>IFERROR(BN5/BR5*(BU5-BASELINE_CPR),0)</f>
        <v/>
      </c>
      <c r="CQ5" s="13">
        <f>IFERROR(BO5/BR5*(BU5-BASELINE_CPR),0)</f>
        <v/>
      </c>
      <c r="CR5" s="13">
        <f>IFERROR(BP5/BR5*(BU5-BASELINE_CPR),0)</f>
        <v/>
      </c>
      <c r="CS5" s="13">
        <f>IFERROR(BQ5/BR5*(BU5-BASELINE_CPR),0)</f>
        <v/>
      </c>
      <c r="CT5" s="29">
        <f>BASELINE_CPR+SUM(BV5:CS5)-BU5</f>
        <v/>
      </c>
    </row>
    <row r="6">
      <c r="A6" s="2" t="inlineStr">
        <is>
          <t>3617H4UL3_000000012322093</t>
        </is>
      </c>
      <c r="B6" t="inlineStr">
        <is>
          <t>LUMENT_PRE21</t>
        </is>
      </c>
      <c r="C6" s="2" t="inlineStr">
        <is>
          <t>3617H4UL3</t>
        </is>
      </c>
      <c r="D6" t="inlineStr">
        <is>
          <t>LUMENT REAL ESTATE CAPITAL,LLC</t>
        </is>
      </c>
      <c r="E6" t="inlineStr">
        <is>
          <t>232</t>
        </is>
      </c>
      <c r="F6" t="inlineStr">
        <is>
          <t>RP</t>
        </is>
      </c>
      <c r="G6" t="n">
        <v>2018</v>
      </c>
      <c r="H6" t="inlineStr">
        <is>
          <t>202602</t>
        </is>
      </c>
      <c r="I6" s="22" t="n">
        <v>11482585.08</v>
      </c>
      <c r="J6" s="23" t="n">
        <v>4.35</v>
      </c>
      <c r="K6" s="24" t="n">
        <v>447</v>
      </c>
      <c r="L6" s="24" t="n">
        <v>0</v>
      </c>
      <c r="M6" t="n">
        <v>91</v>
      </c>
      <c r="N6" t="n">
        <v>35</v>
      </c>
      <c r="O6" t="n">
        <v>205308</v>
      </c>
      <c r="P6" t="inlineStr"/>
      <c r="Q6" t="inlineStr">
        <is>
          <t>3896</t>
        </is>
      </c>
      <c r="R6" t="n">
        <v>1</v>
      </c>
      <c r="S6" t="n">
        <v>0</v>
      </c>
      <c r="T6" t="n">
        <v>0</v>
      </c>
      <c r="U6" t="n">
        <v>0</v>
      </c>
      <c r="V6" s="24">
        <f>J6*100-K6</f>
        <v/>
      </c>
      <c r="W6" s="24">
        <f>L6</f>
        <v/>
      </c>
      <c r="X6" s="25">
        <f>MIN(M6,36)</f>
        <v/>
      </c>
      <c r="Y6" s="25">
        <f>MIN(MAX(M6-36,0),84)</f>
        <v/>
      </c>
      <c r="Z6" s="25">
        <f>MAX(M6-120,0)</f>
        <v/>
      </c>
      <c r="AA6" s="25">
        <f>IF(OR(O6="",NOT(ISNUMBER(O6))),360,MAX(0,MIN(480,(INT(O6/100)-INT(VALUE(H6)/100))*12+MOD(O6,100)-MOD(VALUE(H6),100))))</f>
        <v/>
      </c>
      <c r="AB6">
        <f>IF(AND(AA6&gt;0,AA6&lt;=24),1,0)</f>
        <v/>
      </c>
      <c r="AC6" s="25">
        <f>IF(OR(P6="",NOT(ISNUMBER(P6))),0,MAX(0,MIN(24,(INT(VALUE(H6)/100)-INT(P6/100))*12+MOD(VALUE(H6),100)-MOD(P6,100))))</f>
        <v/>
      </c>
      <c r="AD6" s="23">
        <f>LN(1+I6)</f>
        <v/>
      </c>
      <c r="AE6">
        <f>IF(I6&lt;2000000,1,0)</f>
        <v/>
      </c>
      <c r="AF6">
        <f>IF(I6&gt;50000000,1,0)</f>
        <v/>
      </c>
      <c r="AG6" s="23">
        <f>IF(ISNUMBER(M6),N6/MAX(M6,1),0)</f>
        <v/>
      </c>
      <c r="AH6">
        <f>IF(G6&gt;=2021,1,0)</f>
        <v/>
      </c>
      <c r="AI6">
        <f>S6</f>
        <v/>
      </c>
      <c r="AJ6">
        <f>T6</f>
        <v/>
      </c>
      <c r="AK6">
        <f>R6</f>
        <v/>
      </c>
      <c r="AL6">
        <f>U6</f>
        <v/>
      </c>
      <c r="AM6">
        <f>IF(ISNUMBER(SEARCH("CAPITAL FUNDING",D6)),1,0)</f>
        <v/>
      </c>
      <c r="AN6">
        <f>IF(ISNUMBER(SEARCH("PNC",D6)),1,0)</f>
        <v/>
      </c>
      <c r="AO6">
        <f>IF(ISNUMBER(SEARCH("WELLS FARGO",D6)),1,0)</f>
        <v/>
      </c>
      <c r="AP6">
        <f>IF(ISNUMBER(SEARCH("DWIGHT",D6)),1,0)</f>
        <v/>
      </c>
      <c r="AQ6">
        <f>IF(ISNUMBER(SEARCH("GREYSTONE",D6)),1,0)</f>
        <v/>
      </c>
      <c r="AR6">
        <f>IF(OR(Q6="3896",Q6="3557"),1,0)</f>
        <v/>
      </c>
      <c r="AS6" s="24">
        <f>V6*W6</f>
        <v/>
      </c>
      <c r="AT6" s="26">
        <f>V$4*(V6-V$3)</f>
        <v/>
      </c>
      <c r="AU6" s="26">
        <f>W$4*(W6-W$3)</f>
        <v/>
      </c>
      <c r="AV6" s="26">
        <f>X$4*(X6-X$3)</f>
        <v/>
      </c>
      <c r="AW6" s="26">
        <f>Y$4*(Y6-Y$3)</f>
        <v/>
      </c>
      <c r="AX6" s="26">
        <f>Z$4*(Z6-Z$3)</f>
        <v/>
      </c>
      <c r="AY6" s="26">
        <f>AA$4*(AA6-AA$3)</f>
        <v/>
      </c>
      <c r="AZ6" s="26">
        <f>AB$4*(AB6-AB$3)</f>
        <v/>
      </c>
      <c r="BA6" s="26">
        <f>AC$4*(AC6-AC$3)</f>
        <v/>
      </c>
      <c r="BB6" s="26">
        <f>AD$4*(AD6-AD$3)</f>
        <v/>
      </c>
      <c r="BC6" s="26">
        <f>AE$4*(AE6-AE$3)</f>
        <v/>
      </c>
      <c r="BD6" s="26">
        <f>AF$4*(AF6-AF$3)</f>
        <v/>
      </c>
      <c r="BE6" s="26">
        <f>AG$4*(AG6-AG$3)</f>
        <v/>
      </c>
      <c r="BF6" s="26">
        <f>AH$4*(AH6-AH$3)</f>
        <v/>
      </c>
      <c r="BG6" s="26">
        <f>AI$4*(AI6-AI$3)</f>
        <v/>
      </c>
      <c r="BH6" s="26">
        <f>AJ$4*(AJ6-AJ$3)</f>
        <v/>
      </c>
      <c r="BI6" s="26">
        <f>AK$4*(AK6-AK$3)</f>
        <v/>
      </c>
      <c r="BJ6" s="26">
        <f>AL$4*(AL6-AL$3)</f>
        <v/>
      </c>
      <c r="BK6" s="26">
        <f>AM$4*(AM6-AM$3)</f>
        <v/>
      </c>
      <c r="BL6" s="26">
        <f>AN$4*(AN6-AN$3)</f>
        <v/>
      </c>
      <c r="BM6" s="26">
        <f>AO$4*(AO6-AO$3)</f>
        <v/>
      </c>
      <c r="BN6" s="26">
        <f>AP$4*(AP6-AP$3)</f>
        <v/>
      </c>
      <c r="BO6" s="26">
        <f>AQ$4*(AQ6-AQ$3)</f>
        <v/>
      </c>
      <c r="BP6" s="26">
        <f>AR$4*(AR6-AR$3)</f>
        <v/>
      </c>
      <c r="BQ6" s="26">
        <f>AS$4*(AS6-AS$3)</f>
        <v/>
      </c>
      <c r="BR6" s="27">
        <f>SUM(AT6:BQ6)</f>
        <v/>
      </c>
      <c r="BS6" s="27">
        <f>INTERCEPT_SCALED+BR6</f>
        <v/>
      </c>
      <c r="BT6" s="28">
        <f>1/(1+EXP(-BS6))</f>
        <v/>
      </c>
      <c r="BU6" s="13">
        <f>1-(1-BT6)^12</f>
        <v/>
      </c>
      <c r="BV6" s="13">
        <f>IFERROR(AT6/BR6*(BU6-BASELINE_CPR),0)</f>
        <v/>
      </c>
      <c r="BW6" s="13">
        <f>IFERROR(AU6/BR6*(BU6-BASELINE_CPR),0)</f>
        <v/>
      </c>
      <c r="BX6" s="13">
        <f>IFERROR(AV6/BR6*(BU6-BASELINE_CPR),0)</f>
        <v/>
      </c>
      <c r="BY6" s="13">
        <f>IFERROR(AW6/BR6*(BU6-BASELINE_CPR),0)</f>
        <v/>
      </c>
      <c r="BZ6" s="13">
        <f>IFERROR(AX6/BR6*(BU6-BASELINE_CPR),0)</f>
        <v/>
      </c>
      <c r="CA6" s="13">
        <f>IFERROR(AY6/BR6*(BU6-BASELINE_CPR),0)</f>
        <v/>
      </c>
      <c r="CB6" s="13">
        <f>IFERROR(AZ6/BR6*(BU6-BASELINE_CPR),0)</f>
        <v/>
      </c>
      <c r="CC6" s="13">
        <f>IFERROR(BA6/BR6*(BU6-BASELINE_CPR),0)</f>
        <v/>
      </c>
      <c r="CD6" s="13">
        <f>IFERROR(BB6/BR6*(BU6-BASELINE_CPR),0)</f>
        <v/>
      </c>
      <c r="CE6" s="13">
        <f>IFERROR(BC6/BR6*(BU6-BASELINE_CPR),0)</f>
        <v/>
      </c>
      <c r="CF6" s="13">
        <f>IFERROR(BD6/BR6*(BU6-BASELINE_CPR),0)</f>
        <v/>
      </c>
      <c r="CG6" s="13">
        <f>IFERROR(BE6/BR6*(BU6-BASELINE_CPR),0)</f>
        <v/>
      </c>
      <c r="CH6" s="13">
        <f>IFERROR(BF6/BR6*(BU6-BASELINE_CPR),0)</f>
        <v/>
      </c>
      <c r="CI6" s="13">
        <f>IFERROR(BG6/BR6*(BU6-BASELINE_CPR),0)</f>
        <v/>
      </c>
      <c r="CJ6" s="13">
        <f>IFERROR(BH6/BR6*(BU6-BASELINE_CPR),0)</f>
        <v/>
      </c>
      <c r="CK6" s="13">
        <f>IFERROR(BI6/BR6*(BU6-BASELINE_CPR),0)</f>
        <v/>
      </c>
      <c r="CL6" s="13">
        <f>IFERROR(BJ6/BR6*(BU6-BASELINE_CPR),0)</f>
        <v/>
      </c>
      <c r="CM6" s="13">
        <f>IFERROR(BK6/BR6*(BU6-BASELINE_CPR),0)</f>
        <v/>
      </c>
      <c r="CN6" s="13">
        <f>IFERROR(BL6/BR6*(BU6-BASELINE_CPR),0)</f>
        <v/>
      </c>
      <c r="CO6" s="13">
        <f>IFERROR(BM6/BR6*(BU6-BASELINE_CPR),0)</f>
        <v/>
      </c>
      <c r="CP6" s="13">
        <f>IFERROR(BN6/BR6*(BU6-BASELINE_CPR),0)</f>
        <v/>
      </c>
      <c r="CQ6" s="13">
        <f>IFERROR(BO6/BR6*(BU6-BASELINE_CPR),0)</f>
        <v/>
      </c>
      <c r="CR6" s="13">
        <f>IFERROR(BP6/BR6*(BU6-BASELINE_CPR),0)</f>
        <v/>
      </c>
      <c r="CS6" s="13">
        <f>IFERROR(BQ6/BR6*(BU6-BASELINE_CPR),0)</f>
        <v/>
      </c>
      <c r="CT6" s="29">
        <f>BASELINE_CPR+SUM(BV6:CS6)-BU6</f>
        <v/>
      </c>
    </row>
    <row r="7">
      <c r="A7" s="2" t="inlineStr">
        <is>
          <t>3617QRGV6_000000002311435</t>
        </is>
      </c>
      <c r="B7" t="inlineStr">
        <is>
          <t>LUMENT_PRE21</t>
        </is>
      </c>
      <c r="C7" s="2" t="inlineStr">
        <is>
          <t>3617QRGV6</t>
        </is>
      </c>
      <c r="D7" t="inlineStr">
        <is>
          <t>LUMENT REAL ESTATE CAPITAL,LLC</t>
        </is>
      </c>
      <c r="E7" t="inlineStr">
        <is>
          <t>223f</t>
        </is>
      </c>
      <c r="F7" t="inlineStr">
        <is>
          <t>RP</t>
        </is>
      </c>
      <c r="G7" t="n">
        <v>2017</v>
      </c>
      <c r="H7" t="inlineStr">
        <is>
          <t>202602</t>
        </is>
      </c>
      <c r="I7" s="22" t="n">
        <v>13751711.14</v>
      </c>
      <c r="J7" s="23" t="n">
        <v>3.15</v>
      </c>
      <c r="K7" s="24" t="n">
        <v>447</v>
      </c>
      <c r="L7" s="24" t="n">
        <v>5</v>
      </c>
      <c r="M7" t="n">
        <v>106</v>
      </c>
      <c r="N7" t="n">
        <v>9</v>
      </c>
      <c r="O7" t="n">
        <v>205205</v>
      </c>
      <c r="P7" t="inlineStr"/>
      <c r="Q7" t="inlineStr">
        <is>
          <t>3896</t>
        </is>
      </c>
      <c r="R7" t="n">
        <v>0</v>
      </c>
      <c r="S7" t="n">
        <v>0</v>
      </c>
      <c r="T7" t="n">
        <v>0</v>
      </c>
      <c r="U7" t="n">
        <v>0</v>
      </c>
      <c r="V7" s="24">
        <f>J7*100-K7</f>
        <v/>
      </c>
      <c r="W7" s="24">
        <f>L7</f>
        <v/>
      </c>
      <c r="X7" s="25">
        <f>MIN(M7,36)</f>
        <v/>
      </c>
      <c r="Y7" s="25">
        <f>MIN(MAX(M7-36,0),84)</f>
        <v/>
      </c>
      <c r="Z7" s="25">
        <f>MAX(M7-120,0)</f>
        <v/>
      </c>
      <c r="AA7" s="25">
        <f>IF(OR(O7="",NOT(ISNUMBER(O7))),360,MAX(0,MIN(480,(INT(O7/100)-INT(VALUE(H7)/100))*12+MOD(O7,100)-MOD(VALUE(H7),100))))</f>
        <v/>
      </c>
      <c r="AB7">
        <f>IF(AND(AA7&gt;0,AA7&lt;=24),1,0)</f>
        <v/>
      </c>
      <c r="AC7" s="25">
        <f>IF(OR(P7="",NOT(ISNUMBER(P7))),0,MAX(0,MIN(24,(INT(VALUE(H7)/100)-INT(P7/100))*12+MOD(VALUE(H7),100)-MOD(P7,100))))</f>
        <v/>
      </c>
      <c r="AD7" s="23">
        <f>LN(1+I7)</f>
        <v/>
      </c>
      <c r="AE7">
        <f>IF(I7&lt;2000000,1,0)</f>
        <v/>
      </c>
      <c r="AF7">
        <f>IF(I7&gt;50000000,1,0)</f>
        <v/>
      </c>
      <c r="AG7" s="23">
        <f>IF(ISNUMBER(M7),N7/MAX(M7,1),0)</f>
        <v/>
      </c>
      <c r="AH7">
        <f>IF(G7&gt;=2021,1,0)</f>
        <v/>
      </c>
      <c r="AI7">
        <f>S7</f>
        <v/>
      </c>
      <c r="AJ7">
        <f>T7</f>
        <v/>
      </c>
      <c r="AK7">
        <f>R7</f>
        <v/>
      </c>
      <c r="AL7">
        <f>U7</f>
        <v/>
      </c>
      <c r="AM7">
        <f>IF(ISNUMBER(SEARCH("CAPITAL FUNDING",D7)),1,0)</f>
        <v/>
      </c>
      <c r="AN7">
        <f>IF(ISNUMBER(SEARCH("PNC",D7)),1,0)</f>
        <v/>
      </c>
      <c r="AO7">
        <f>IF(ISNUMBER(SEARCH("WELLS FARGO",D7)),1,0)</f>
        <v/>
      </c>
      <c r="AP7">
        <f>IF(ISNUMBER(SEARCH("DWIGHT",D7)),1,0)</f>
        <v/>
      </c>
      <c r="AQ7">
        <f>IF(ISNUMBER(SEARCH("GREYSTONE",D7)),1,0)</f>
        <v/>
      </c>
      <c r="AR7">
        <f>IF(OR(Q7="3896",Q7="3557"),1,0)</f>
        <v/>
      </c>
      <c r="AS7" s="24">
        <f>V7*W7</f>
        <v/>
      </c>
      <c r="AT7" s="26">
        <f>V$4*(V7-V$3)</f>
        <v/>
      </c>
      <c r="AU7" s="26">
        <f>W$4*(W7-W$3)</f>
        <v/>
      </c>
      <c r="AV7" s="26">
        <f>X$4*(X7-X$3)</f>
        <v/>
      </c>
      <c r="AW7" s="26">
        <f>Y$4*(Y7-Y$3)</f>
        <v/>
      </c>
      <c r="AX7" s="26">
        <f>Z$4*(Z7-Z$3)</f>
        <v/>
      </c>
      <c r="AY7" s="26">
        <f>AA$4*(AA7-AA$3)</f>
        <v/>
      </c>
      <c r="AZ7" s="26">
        <f>AB$4*(AB7-AB$3)</f>
        <v/>
      </c>
      <c r="BA7" s="26">
        <f>AC$4*(AC7-AC$3)</f>
        <v/>
      </c>
      <c r="BB7" s="26">
        <f>AD$4*(AD7-AD$3)</f>
        <v/>
      </c>
      <c r="BC7" s="26">
        <f>AE$4*(AE7-AE$3)</f>
        <v/>
      </c>
      <c r="BD7" s="26">
        <f>AF$4*(AF7-AF$3)</f>
        <v/>
      </c>
      <c r="BE7" s="26">
        <f>AG$4*(AG7-AG$3)</f>
        <v/>
      </c>
      <c r="BF7" s="26">
        <f>AH$4*(AH7-AH$3)</f>
        <v/>
      </c>
      <c r="BG7" s="26">
        <f>AI$4*(AI7-AI$3)</f>
        <v/>
      </c>
      <c r="BH7" s="26">
        <f>AJ$4*(AJ7-AJ$3)</f>
        <v/>
      </c>
      <c r="BI7" s="26">
        <f>AK$4*(AK7-AK$3)</f>
        <v/>
      </c>
      <c r="BJ7" s="26">
        <f>AL$4*(AL7-AL$3)</f>
        <v/>
      </c>
      <c r="BK7" s="26">
        <f>AM$4*(AM7-AM$3)</f>
        <v/>
      </c>
      <c r="BL7" s="26">
        <f>AN$4*(AN7-AN$3)</f>
        <v/>
      </c>
      <c r="BM7" s="26">
        <f>AO$4*(AO7-AO$3)</f>
        <v/>
      </c>
      <c r="BN7" s="26">
        <f>AP$4*(AP7-AP$3)</f>
        <v/>
      </c>
      <c r="BO7" s="26">
        <f>AQ$4*(AQ7-AQ$3)</f>
        <v/>
      </c>
      <c r="BP7" s="26">
        <f>AR$4*(AR7-AR$3)</f>
        <v/>
      </c>
      <c r="BQ7" s="26">
        <f>AS$4*(AS7-AS$3)</f>
        <v/>
      </c>
      <c r="BR7" s="27">
        <f>SUM(AT7:BQ7)</f>
        <v/>
      </c>
      <c r="BS7" s="27">
        <f>INTERCEPT_SCALED+BR7</f>
        <v/>
      </c>
      <c r="BT7" s="28">
        <f>1/(1+EXP(-BS7))</f>
        <v/>
      </c>
      <c r="BU7" s="13">
        <f>1-(1-BT7)^12</f>
        <v/>
      </c>
      <c r="BV7" s="13">
        <f>IFERROR(AT7/BR7*(BU7-BASELINE_CPR),0)</f>
        <v/>
      </c>
      <c r="BW7" s="13">
        <f>IFERROR(AU7/BR7*(BU7-BASELINE_CPR),0)</f>
        <v/>
      </c>
      <c r="BX7" s="13">
        <f>IFERROR(AV7/BR7*(BU7-BASELINE_CPR),0)</f>
        <v/>
      </c>
      <c r="BY7" s="13">
        <f>IFERROR(AW7/BR7*(BU7-BASELINE_CPR),0)</f>
        <v/>
      </c>
      <c r="BZ7" s="13">
        <f>IFERROR(AX7/BR7*(BU7-BASELINE_CPR),0)</f>
        <v/>
      </c>
      <c r="CA7" s="13">
        <f>IFERROR(AY7/BR7*(BU7-BASELINE_CPR),0)</f>
        <v/>
      </c>
      <c r="CB7" s="13">
        <f>IFERROR(AZ7/BR7*(BU7-BASELINE_CPR),0)</f>
        <v/>
      </c>
      <c r="CC7" s="13">
        <f>IFERROR(BA7/BR7*(BU7-BASELINE_CPR),0)</f>
        <v/>
      </c>
      <c r="CD7" s="13">
        <f>IFERROR(BB7/BR7*(BU7-BASELINE_CPR),0)</f>
        <v/>
      </c>
      <c r="CE7" s="13">
        <f>IFERROR(BC7/BR7*(BU7-BASELINE_CPR),0)</f>
        <v/>
      </c>
      <c r="CF7" s="13">
        <f>IFERROR(BD7/BR7*(BU7-BASELINE_CPR),0)</f>
        <v/>
      </c>
      <c r="CG7" s="13">
        <f>IFERROR(BE7/BR7*(BU7-BASELINE_CPR),0)</f>
        <v/>
      </c>
      <c r="CH7" s="13">
        <f>IFERROR(BF7/BR7*(BU7-BASELINE_CPR),0)</f>
        <v/>
      </c>
      <c r="CI7" s="13">
        <f>IFERROR(BG7/BR7*(BU7-BASELINE_CPR),0)</f>
        <v/>
      </c>
      <c r="CJ7" s="13">
        <f>IFERROR(BH7/BR7*(BU7-BASELINE_CPR),0)</f>
        <v/>
      </c>
      <c r="CK7" s="13">
        <f>IFERROR(BI7/BR7*(BU7-BASELINE_CPR),0)</f>
        <v/>
      </c>
      <c r="CL7" s="13">
        <f>IFERROR(BJ7/BR7*(BU7-BASELINE_CPR),0)</f>
        <v/>
      </c>
      <c r="CM7" s="13">
        <f>IFERROR(BK7/BR7*(BU7-BASELINE_CPR),0)</f>
        <v/>
      </c>
      <c r="CN7" s="13">
        <f>IFERROR(BL7/BR7*(BU7-BASELINE_CPR),0)</f>
        <v/>
      </c>
      <c r="CO7" s="13">
        <f>IFERROR(BM7/BR7*(BU7-BASELINE_CPR),0)</f>
        <v/>
      </c>
      <c r="CP7" s="13">
        <f>IFERROR(BN7/BR7*(BU7-BASELINE_CPR),0)</f>
        <v/>
      </c>
      <c r="CQ7" s="13">
        <f>IFERROR(BO7/BR7*(BU7-BASELINE_CPR),0)</f>
        <v/>
      </c>
      <c r="CR7" s="13">
        <f>IFERROR(BP7/BR7*(BU7-BASELINE_CPR),0)</f>
        <v/>
      </c>
      <c r="CS7" s="13">
        <f>IFERROR(BQ7/BR7*(BU7-BASELINE_CPR),0)</f>
        <v/>
      </c>
      <c r="CT7" s="29">
        <f>BASELINE_CPR+SUM(BV7:CS7)-BU7</f>
        <v/>
      </c>
    </row>
    <row r="8">
      <c r="A8" s="2" t="inlineStr">
        <is>
          <t>3617GAE46_000000007122391</t>
        </is>
      </c>
      <c r="B8" t="inlineStr">
        <is>
          <t>LUMENT_PRE21</t>
        </is>
      </c>
      <c r="C8" s="2" t="inlineStr">
        <is>
          <t>3617GAE46</t>
        </is>
      </c>
      <c r="D8" t="inlineStr">
        <is>
          <t>LUMENT REAL ESTATE CAPITAL,LLC</t>
        </is>
      </c>
      <c r="E8" t="inlineStr">
        <is>
          <t>232</t>
        </is>
      </c>
      <c r="F8" t="inlineStr">
        <is>
          <t>RP</t>
        </is>
      </c>
      <c r="G8" t="n">
        <v>2018</v>
      </c>
      <c r="H8" t="inlineStr">
        <is>
          <t>202602</t>
        </is>
      </c>
      <c r="I8" s="22" t="n">
        <v>9767084.699999999</v>
      </c>
      <c r="J8" s="23" t="n">
        <v>3.58</v>
      </c>
      <c r="K8" s="24" t="n">
        <v>447</v>
      </c>
      <c r="L8" s="24" t="n">
        <v>4</v>
      </c>
      <c r="M8" t="n">
        <v>95</v>
      </c>
      <c r="N8" t="n">
        <v>27</v>
      </c>
      <c r="O8" t="n">
        <v>205304</v>
      </c>
      <c r="P8" t="inlineStr"/>
      <c r="Q8" t="inlineStr">
        <is>
          <t>3896</t>
        </is>
      </c>
      <c r="R8" t="n">
        <v>1</v>
      </c>
      <c r="S8" t="n">
        <v>0</v>
      </c>
      <c r="T8" t="n">
        <v>0</v>
      </c>
      <c r="U8" t="n">
        <v>0</v>
      </c>
      <c r="V8" s="24">
        <f>J8*100-K8</f>
        <v/>
      </c>
      <c r="W8" s="24">
        <f>L8</f>
        <v/>
      </c>
      <c r="X8" s="25">
        <f>MIN(M8,36)</f>
        <v/>
      </c>
      <c r="Y8" s="25">
        <f>MIN(MAX(M8-36,0),84)</f>
        <v/>
      </c>
      <c r="Z8" s="25">
        <f>MAX(M8-120,0)</f>
        <v/>
      </c>
      <c r="AA8" s="25">
        <f>IF(OR(O8="",NOT(ISNUMBER(O8))),360,MAX(0,MIN(480,(INT(O8/100)-INT(VALUE(H8)/100))*12+MOD(O8,100)-MOD(VALUE(H8),100))))</f>
        <v/>
      </c>
      <c r="AB8">
        <f>IF(AND(AA8&gt;0,AA8&lt;=24),1,0)</f>
        <v/>
      </c>
      <c r="AC8" s="25">
        <f>IF(OR(P8="",NOT(ISNUMBER(P8))),0,MAX(0,MIN(24,(INT(VALUE(H8)/100)-INT(P8/100))*12+MOD(VALUE(H8),100)-MOD(P8,100))))</f>
        <v/>
      </c>
      <c r="AD8" s="23">
        <f>LN(1+I8)</f>
        <v/>
      </c>
      <c r="AE8">
        <f>IF(I8&lt;2000000,1,0)</f>
        <v/>
      </c>
      <c r="AF8">
        <f>IF(I8&gt;50000000,1,0)</f>
        <v/>
      </c>
      <c r="AG8" s="23">
        <f>IF(ISNUMBER(M8),N8/MAX(M8,1),0)</f>
        <v/>
      </c>
      <c r="AH8">
        <f>IF(G8&gt;=2021,1,0)</f>
        <v/>
      </c>
      <c r="AI8">
        <f>S8</f>
        <v/>
      </c>
      <c r="AJ8">
        <f>T8</f>
        <v/>
      </c>
      <c r="AK8">
        <f>R8</f>
        <v/>
      </c>
      <c r="AL8">
        <f>U8</f>
        <v/>
      </c>
      <c r="AM8">
        <f>IF(ISNUMBER(SEARCH("CAPITAL FUNDING",D8)),1,0)</f>
        <v/>
      </c>
      <c r="AN8">
        <f>IF(ISNUMBER(SEARCH("PNC",D8)),1,0)</f>
        <v/>
      </c>
      <c r="AO8">
        <f>IF(ISNUMBER(SEARCH("WELLS FARGO",D8)),1,0)</f>
        <v/>
      </c>
      <c r="AP8">
        <f>IF(ISNUMBER(SEARCH("DWIGHT",D8)),1,0)</f>
        <v/>
      </c>
      <c r="AQ8">
        <f>IF(ISNUMBER(SEARCH("GREYSTONE",D8)),1,0)</f>
        <v/>
      </c>
      <c r="AR8">
        <f>IF(OR(Q8="3896",Q8="3557"),1,0)</f>
        <v/>
      </c>
      <c r="AS8" s="24">
        <f>V8*W8</f>
        <v/>
      </c>
      <c r="AT8" s="26">
        <f>V$4*(V8-V$3)</f>
        <v/>
      </c>
      <c r="AU8" s="26">
        <f>W$4*(W8-W$3)</f>
        <v/>
      </c>
      <c r="AV8" s="26">
        <f>X$4*(X8-X$3)</f>
        <v/>
      </c>
      <c r="AW8" s="26">
        <f>Y$4*(Y8-Y$3)</f>
        <v/>
      </c>
      <c r="AX8" s="26">
        <f>Z$4*(Z8-Z$3)</f>
        <v/>
      </c>
      <c r="AY8" s="26">
        <f>AA$4*(AA8-AA$3)</f>
        <v/>
      </c>
      <c r="AZ8" s="26">
        <f>AB$4*(AB8-AB$3)</f>
        <v/>
      </c>
      <c r="BA8" s="26">
        <f>AC$4*(AC8-AC$3)</f>
        <v/>
      </c>
      <c r="BB8" s="26">
        <f>AD$4*(AD8-AD$3)</f>
        <v/>
      </c>
      <c r="BC8" s="26">
        <f>AE$4*(AE8-AE$3)</f>
        <v/>
      </c>
      <c r="BD8" s="26">
        <f>AF$4*(AF8-AF$3)</f>
        <v/>
      </c>
      <c r="BE8" s="26">
        <f>AG$4*(AG8-AG$3)</f>
        <v/>
      </c>
      <c r="BF8" s="26">
        <f>AH$4*(AH8-AH$3)</f>
        <v/>
      </c>
      <c r="BG8" s="26">
        <f>AI$4*(AI8-AI$3)</f>
        <v/>
      </c>
      <c r="BH8" s="26">
        <f>AJ$4*(AJ8-AJ$3)</f>
        <v/>
      </c>
      <c r="BI8" s="26">
        <f>AK$4*(AK8-AK$3)</f>
        <v/>
      </c>
      <c r="BJ8" s="26">
        <f>AL$4*(AL8-AL$3)</f>
        <v/>
      </c>
      <c r="BK8" s="26">
        <f>AM$4*(AM8-AM$3)</f>
        <v/>
      </c>
      <c r="BL8" s="26">
        <f>AN$4*(AN8-AN$3)</f>
        <v/>
      </c>
      <c r="BM8" s="26">
        <f>AO$4*(AO8-AO$3)</f>
        <v/>
      </c>
      <c r="BN8" s="26">
        <f>AP$4*(AP8-AP$3)</f>
        <v/>
      </c>
      <c r="BO8" s="26">
        <f>AQ$4*(AQ8-AQ$3)</f>
        <v/>
      </c>
      <c r="BP8" s="26">
        <f>AR$4*(AR8-AR$3)</f>
        <v/>
      </c>
      <c r="BQ8" s="26">
        <f>AS$4*(AS8-AS$3)</f>
        <v/>
      </c>
      <c r="BR8" s="27">
        <f>SUM(AT8:BQ8)</f>
        <v/>
      </c>
      <c r="BS8" s="27">
        <f>INTERCEPT_SCALED+BR8</f>
        <v/>
      </c>
      <c r="BT8" s="28">
        <f>1/(1+EXP(-BS8))</f>
        <v/>
      </c>
      <c r="BU8" s="13">
        <f>1-(1-BT8)^12</f>
        <v/>
      </c>
      <c r="BV8" s="13">
        <f>IFERROR(AT8/BR8*(BU8-BASELINE_CPR),0)</f>
        <v/>
      </c>
      <c r="BW8" s="13">
        <f>IFERROR(AU8/BR8*(BU8-BASELINE_CPR),0)</f>
        <v/>
      </c>
      <c r="BX8" s="13">
        <f>IFERROR(AV8/BR8*(BU8-BASELINE_CPR),0)</f>
        <v/>
      </c>
      <c r="BY8" s="13">
        <f>IFERROR(AW8/BR8*(BU8-BASELINE_CPR),0)</f>
        <v/>
      </c>
      <c r="BZ8" s="13">
        <f>IFERROR(AX8/BR8*(BU8-BASELINE_CPR),0)</f>
        <v/>
      </c>
      <c r="CA8" s="13">
        <f>IFERROR(AY8/BR8*(BU8-BASELINE_CPR),0)</f>
        <v/>
      </c>
      <c r="CB8" s="13">
        <f>IFERROR(AZ8/BR8*(BU8-BASELINE_CPR),0)</f>
        <v/>
      </c>
      <c r="CC8" s="13">
        <f>IFERROR(BA8/BR8*(BU8-BASELINE_CPR),0)</f>
        <v/>
      </c>
      <c r="CD8" s="13">
        <f>IFERROR(BB8/BR8*(BU8-BASELINE_CPR),0)</f>
        <v/>
      </c>
      <c r="CE8" s="13">
        <f>IFERROR(BC8/BR8*(BU8-BASELINE_CPR),0)</f>
        <v/>
      </c>
      <c r="CF8" s="13">
        <f>IFERROR(BD8/BR8*(BU8-BASELINE_CPR),0)</f>
        <v/>
      </c>
      <c r="CG8" s="13">
        <f>IFERROR(BE8/BR8*(BU8-BASELINE_CPR),0)</f>
        <v/>
      </c>
      <c r="CH8" s="13">
        <f>IFERROR(BF8/BR8*(BU8-BASELINE_CPR),0)</f>
        <v/>
      </c>
      <c r="CI8" s="13">
        <f>IFERROR(BG8/BR8*(BU8-BASELINE_CPR),0)</f>
        <v/>
      </c>
      <c r="CJ8" s="13">
        <f>IFERROR(BH8/BR8*(BU8-BASELINE_CPR),0)</f>
        <v/>
      </c>
      <c r="CK8" s="13">
        <f>IFERROR(BI8/BR8*(BU8-BASELINE_CPR),0)</f>
        <v/>
      </c>
      <c r="CL8" s="13">
        <f>IFERROR(BJ8/BR8*(BU8-BASELINE_CPR),0)</f>
        <v/>
      </c>
      <c r="CM8" s="13">
        <f>IFERROR(BK8/BR8*(BU8-BASELINE_CPR),0)</f>
        <v/>
      </c>
      <c r="CN8" s="13">
        <f>IFERROR(BL8/BR8*(BU8-BASELINE_CPR),0)</f>
        <v/>
      </c>
      <c r="CO8" s="13">
        <f>IFERROR(BM8/BR8*(BU8-BASELINE_CPR),0)</f>
        <v/>
      </c>
      <c r="CP8" s="13">
        <f>IFERROR(BN8/BR8*(BU8-BASELINE_CPR),0)</f>
        <v/>
      </c>
      <c r="CQ8" s="13">
        <f>IFERROR(BO8/BR8*(BU8-BASELINE_CPR),0)</f>
        <v/>
      </c>
      <c r="CR8" s="13">
        <f>IFERROR(BP8/BR8*(BU8-BASELINE_CPR),0)</f>
        <v/>
      </c>
      <c r="CS8" s="13">
        <f>IFERROR(BQ8/BR8*(BU8-BASELINE_CPR),0)</f>
        <v/>
      </c>
      <c r="CT8" s="29">
        <f>BASELINE_CPR+SUM(BV8:CS8)-BU8</f>
        <v/>
      </c>
    </row>
    <row r="9">
      <c r="A9" s="2" t="inlineStr">
        <is>
          <t>3617X72J4_000000003422052</t>
        </is>
      </c>
      <c r="B9" t="inlineStr">
        <is>
          <t>LUMENT_PRE21</t>
        </is>
      </c>
      <c r="C9" s="2" t="inlineStr">
        <is>
          <t>3617X72J4</t>
        </is>
      </c>
      <c r="D9" t="inlineStr">
        <is>
          <t>LUMENT REAL ESTATE CAPITAL,LLC</t>
        </is>
      </c>
      <c r="E9" t="inlineStr">
        <is>
          <t>232</t>
        </is>
      </c>
      <c r="F9" t="inlineStr">
        <is>
          <t>RP</t>
        </is>
      </c>
      <c r="G9" t="n">
        <v>2011</v>
      </c>
      <c r="H9" t="inlineStr">
        <is>
          <t>202602</t>
        </is>
      </c>
      <c r="I9" s="22" t="n">
        <v>5069016.55</v>
      </c>
      <c r="J9" s="23" t="n">
        <v>3.05</v>
      </c>
      <c r="K9" s="24" t="n">
        <v>447</v>
      </c>
      <c r="L9" s="24" t="n">
        <v>6</v>
      </c>
      <c r="M9" t="n">
        <v>176</v>
      </c>
      <c r="N9" t="n">
        <v>0</v>
      </c>
      <c r="O9" t="n">
        <v>204607</v>
      </c>
      <c r="P9" t="inlineStr"/>
      <c r="Q9" t="inlineStr">
        <is>
          <t>3896</t>
        </is>
      </c>
      <c r="R9" t="n">
        <v>1</v>
      </c>
      <c r="S9" t="n">
        <v>0</v>
      </c>
      <c r="T9" t="n">
        <v>0</v>
      </c>
      <c r="U9" t="n">
        <v>0</v>
      </c>
      <c r="V9" s="24">
        <f>J9*100-K9</f>
        <v/>
      </c>
      <c r="W9" s="24">
        <f>L9</f>
        <v/>
      </c>
      <c r="X9" s="25">
        <f>MIN(M9,36)</f>
        <v/>
      </c>
      <c r="Y9" s="25">
        <f>MIN(MAX(M9-36,0),84)</f>
        <v/>
      </c>
      <c r="Z9" s="25">
        <f>MAX(M9-120,0)</f>
        <v/>
      </c>
      <c r="AA9" s="25">
        <f>IF(OR(O9="",NOT(ISNUMBER(O9))),360,MAX(0,MIN(480,(INT(O9/100)-INT(VALUE(H9)/100))*12+MOD(O9,100)-MOD(VALUE(H9),100))))</f>
        <v/>
      </c>
      <c r="AB9">
        <f>IF(AND(AA9&gt;0,AA9&lt;=24),1,0)</f>
        <v/>
      </c>
      <c r="AC9" s="25">
        <f>IF(OR(P9="",NOT(ISNUMBER(P9))),0,MAX(0,MIN(24,(INT(VALUE(H9)/100)-INT(P9/100))*12+MOD(VALUE(H9),100)-MOD(P9,100))))</f>
        <v/>
      </c>
      <c r="AD9" s="23">
        <f>LN(1+I9)</f>
        <v/>
      </c>
      <c r="AE9">
        <f>IF(I9&lt;2000000,1,0)</f>
        <v/>
      </c>
      <c r="AF9">
        <f>IF(I9&gt;50000000,1,0)</f>
        <v/>
      </c>
      <c r="AG9" s="23">
        <f>IF(ISNUMBER(M9),N9/MAX(M9,1),0)</f>
        <v/>
      </c>
      <c r="AH9">
        <f>IF(G9&gt;=2021,1,0)</f>
        <v/>
      </c>
      <c r="AI9">
        <f>S9</f>
        <v/>
      </c>
      <c r="AJ9">
        <f>T9</f>
        <v/>
      </c>
      <c r="AK9">
        <f>R9</f>
        <v/>
      </c>
      <c r="AL9">
        <f>U9</f>
        <v/>
      </c>
      <c r="AM9">
        <f>IF(ISNUMBER(SEARCH("CAPITAL FUNDING",D9)),1,0)</f>
        <v/>
      </c>
      <c r="AN9">
        <f>IF(ISNUMBER(SEARCH("PNC",D9)),1,0)</f>
        <v/>
      </c>
      <c r="AO9">
        <f>IF(ISNUMBER(SEARCH("WELLS FARGO",D9)),1,0)</f>
        <v/>
      </c>
      <c r="AP9">
        <f>IF(ISNUMBER(SEARCH("DWIGHT",D9)),1,0)</f>
        <v/>
      </c>
      <c r="AQ9">
        <f>IF(ISNUMBER(SEARCH("GREYSTONE",D9)),1,0)</f>
        <v/>
      </c>
      <c r="AR9">
        <f>IF(OR(Q9="3896",Q9="3557"),1,0)</f>
        <v/>
      </c>
      <c r="AS9" s="24">
        <f>V9*W9</f>
        <v/>
      </c>
      <c r="AT9" s="26">
        <f>V$4*(V9-V$3)</f>
        <v/>
      </c>
      <c r="AU9" s="26">
        <f>W$4*(W9-W$3)</f>
        <v/>
      </c>
      <c r="AV9" s="26">
        <f>X$4*(X9-X$3)</f>
        <v/>
      </c>
      <c r="AW9" s="26">
        <f>Y$4*(Y9-Y$3)</f>
        <v/>
      </c>
      <c r="AX9" s="26">
        <f>Z$4*(Z9-Z$3)</f>
        <v/>
      </c>
      <c r="AY9" s="26">
        <f>AA$4*(AA9-AA$3)</f>
        <v/>
      </c>
      <c r="AZ9" s="26">
        <f>AB$4*(AB9-AB$3)</f>
        <v/>
      </c>
      <c r="BA9" s="26">
        <f>AC$4*(AC9-AC$3)</f>
        <v/>
      </c>
      <c r="BB9" s="26">
        <f>AD$4*(AD9-AD$3)</f>
        <v/>
      </c>
      <c r="BC9" s="26">
        <f>AE$4*(AE9-AE$3)</f>
        <v/>
      </c>
      <c r="BD9" s="26">
        <f>AF$4*(AF9-AF$3)</f>
        <v/>
      </c>
      <c r="BE9" s="26">
        <f>AG$4*(AG9-AG$3)</f>
        <v/>
      </c>
      <c r="BF9" s="26">
        <f>AH$4*(AH9-AH$3)</f>
        <v/>
      </c>
      <c r="BG9" s="26">
        <f>AI$4*(AI9-AI$3)</f>
        <v/>
      </c>
      <c r="BH9" s="26">
        <f>AJ$4*(AJ9-AJ$3)</f>
        <v/>
      </c>
      <c r="BI9" s="26">
        <f>AK$4*(AK9-AK$3)</f>
        <v/>
      </c>
      <c r="BJ9" s="26">
        <f>AL$4*(AL9-AL$3)</f>
        <v/>
      </c>
      <c r="BK9" s="26">
        <f>AM$4*(AM9-AM$3)</f>
        <v/>
      </c>
      <c r="BL9" s="26">
        <f>AN$4*(AN9-AN$3)</f>
        <v/>
      </c>
      <c r="BM9" s="26">
        <f>AO$4*(AO9-AO$3)</f>
        <v/>
      </c>
      <c r="BN9" s="26">
        <f>AP$4*(AP9-AP$3)</f>
        <v/>
      </c>
      <c r="BO9" s="26">
        <f>AQ$4*(AQ9-AQ$3)</f>
        <v/>
      </c>
      <c r="BP9" s="26">
        <f>AR$4*(AR9-AR$3)</f>
        <v/>
      </c>
      <c r="BQ9" s="26">
        <f>AS$4*(AS9-AS$3)</f>
        <v/>
      </c>
      <c r="BR9" s="27">
        <f>SUM(AT9:BQ9)</f>
        <v/>
      </c>
      <c r="BS9" s="27">
        <f>INTERCEPT_SCALED+BR9</f>
        <v/>
      </c>
      <c r="BT9" s="28">
        <f>1/(1+EXP(-BS9))</f>
        <v/>
      </c>
      <c r="BU9" s="13">
        <f>1-(1-BT9)^12</f>
        <v/>
      </c>
      <c r="BV9" s="13">
        <f>IFERROR(AT9/BR9*(BU9-BASELINE_CPR),0)</f>
        <v/>
      </c>
      <c r="BW9" s="13">
        <f>IFERROR(AU9/BR9*(BU9-BASELINE_CPR),0)</f>
        <v/>
      </c>
      <c r="BX9" s="13">
        <f>IFERROR(AV9/BR9*(BU9-BASELINE_CPR),0)</f>
        <v/>
      </c>
      <c r="BY9" s="13">
        <f>IFERROR(AW9/BR9*(BU9-BASELINE_CPR),0)</f>
        <v/>
      </c>
      <c r="BZ9" s="13">
        <f>IFERROR(AX9/BR9*(BU9-BASELINE_CPR),0)</f>
        <v/>
      </c>
      <c r="CA9" s="13">
        <f>IFERROR(AY9/BR9*(BU9-BASELINE_CPR),0)</f>
        <v/>
      </c>
      <c r="CB9" s="13">
        <f>IFERROR(AZ9/BR9*(BU9-BASELINE_CPR),0)</f>
        <v/>
      </c>
      <c r="CC9" s="13">
        <f>IFERROR(BA9/BR9*(BU9-BASELINE_CPR),0)</f>
        <v/>
      </c>
      <c r="CD9" s="13">
        <f>IFERROR(BB9/BR9*(BU9-BASELINE_CPR),0)</f>
        <v/>
      </c>
      <c r="CE9" s="13">
        <f>IFERROR(BC9/BR9*(BU9-BASELINE_CPR),0)</f>
        <v/>
      </c>
      <c r="CF9" s="13">
        <f>IFERROR(BD9/BR9*(BU9-BASELINE_CPR),0)</f>
        <v/>
      </c>
      <c r="CG9" s="13">
        <f>IFERROR(BE9/BR9*(BU9-BASELINE_CPR),0)</f>
        <v/>
      </c>
      <c r="CH9" s="13">
        <f>IFERROR(BF9/BR9*(BU9-BASELINE_CPR),0)</f>
        <v/>
      </c>
      <c r="CI9" s="13">
        <f>IFERROR(BG9/BR9*(BU9-BASELINE_CPR),0)</f>
        <v/>
      </c>
      <c r="CJ9" s="13">
        <f>IFERROR(BH9/BR9*(BU9-BASELINE_CPR),0)</f>
        <v/>
      </c>
      <c r="CK9" s="13">
        <f>IFERROR(BI9/BR9*(BU9-BASELINE_CPR),0)</f>
        <v/>
      </c>
      <c r="CL9" s="13">
        <f>IFERROR(BJ9/BR9*(BU9-BASELINE_CPR),0)</f>
        <v/>
      </c>
      <c r="CM9" s="13">
        <f>IFERROR(BK9/BR9*(BU9-BASELINE_CPR),0)</f>
        <v/>
      </c>
      <c r="CN9" s="13">
        <f>IFERROR(BL9/BR9*(BU9-BASELINE_CPR),0)</f>
        <v/>
      </c>
      <c r="CO9" s="13">
        <f>IFERROR(BM9/BR9*(BU9-BASELINE_CPR),0)</f>
        <v/>
      </c>
      <c r="CP9" s="13">
        <f>IFERROR(BN9/BR9*(BU9-BASELINE_CPR),0)</f>
        <v/>
      </c>
      <c r="CQ9" s="13">
        <f>IFERROR(BO9/BR9*(BU9-BASELINE_CPR),0)</f>
        <v/>
      </c>
      <c r="CR9" s="13">
        <f>IFERROR(BP9/BR9*(BU9-BASELINE_CPR),0)</f>
        <v/>
      </c>
      <c r="CS9" s="13">
        <f>IFERROR(BQ9/BR9*(BU9-BASELINE_CPR),0)</f>
        <v/>
      </c>
      <c r="CT9" s="29">
        <f>BASELINE_CPR+SUM(BV9:CS9)-BU9</f>
        <v/>
      </c>
    </row>
    <row r="10">
      <c r="A10" s="2" t="inlineStr">
        <is>
          <t>3617X74P8_000000007343145</t>
        </is>
      </c>
      <c r="B10" t="inlineStr">
        <is>
          <t>LUMENT_PRE21</t>
        </is>
      </c>
      <c r="C10" s="2" t="inlineStr">
        <is>
          <t>3617X74P8</t>
        </is>
      </c>
      <c r="D10" t="inlineStr">
        <is>
          <t>LUMENT REAL ESTATE CAPITAL,LLC</t>
        </is>
      </c>
      <c r="E10" t="inlineStr">
        <is>
          <t>232</t>
        </is>
      </c>
      <c r="F10" t="inlineStr">
        <is>
          <t>RP</t>
        </is>
      </c>
      <c r="G10" t="n">
        <v>2013</v>
      </c>
      <c r="H10" t="inlineStr">
        <is>
          <t>202602</t>
        </is>
      </c>
      <c r="I10" s="22" t="n">
        <v>11587614.33</v>
      </c>
      <c r="J10" s="23" t="n">
        <v>3.42</v>
      </c>
      <c r="K10" s="24" t="n">
        <v>447</v>
      </c>
      <c r="L10" s="24" t="n">
        <v>6</v>
      </c>
      <c r="M10" t="n">
        <v>148</v>
      </c>
      <c r="N10" t="n">
        <v>1</v>
      </c>
      <c r="O10" t="n">
        <v>205108</v>
      </c>
      <c r="P10" t="inlineStr"/>
      <c r="Q10" t="inlineStr">
        <is>
          <t>3896</t>
        </is>
      </c>
      <c r="R10" t="n">
        <v>1</v>
      </c>
      <c r="S10" t="n">
        <v>1</v>
      </c>
      <c r="T10" t="n">
        <v>0</v>
      </c>
      <c r="U10" t="n">
        <v>0</v>
      </c>
      <c r="V10" s="24">
        <f>J10*100-K10</f>
        <v/>
      </c>
      <c r="W10" s="24">
        <f>L10</f>
        <v/>
      </c>
      <c r="X10" s="25">
        <f>MIN(M10,36)</f>
        <v/>
      </c>
      <c r="Y10" s="25">
        <f>MIN(MAX(M10-36,0),84)</f>
        <v/>
      </c>
      <c r="Z10" s="25">
        <f>MAX(M10-120,0)</f>
        <v/>
      </c>
      <c r="AA10" s="25">
        <f>IF(OR(O10="",NOT(ISNUMBER(O10))),360,MAX(0,MIN(480,(INT(O10/100)-INT(VALUE(H10)/100))*12+MOD(O10,100)-MOD(VALUE(H10),100))))</f>
        <v/>
      </c>
      <c r="AB10">
        <f>IF(AND(AA10&gt;0,AA10&lt;=24),1,0)</f>
        <v/>
      </c>
      <c r="AC10" s="25">
        <f>IF(OR(P10="",NOT(ISNUMBER(P10))),0,MAX(0,MIN(24,(INT(VALUE(H10)/100)-INT(P10/100))*12+MOD(VALUE(H10),100)-MOD(P10,100))))</f>
        <v/>
      </c>
      <c r="AD10" s="23">
        <f>LN(1+I10)</f>
        <v/>
      </c>
      <c r="AE10">
        <f>IF(I10&lt;2000000,1,0)</f>
        <v/>
      </c>
      <c r="AF10">
        <f>IF(I10&gt;50000000,1,0)</f>
        <v/>
      </c>
      <c r="AG10" s="23">
        <f>IF(ISNUMBER(M10),N10/MAX(M10,1),0)</f>
        <v/>
      </c>
      <c r="AH10">
        <f>IF(G10&gt;=2021,1,0)</f>
        <v/>
      </c>
      <c r="AI10">
        <f>S10</f>
        <v/>
      </c>
      <c r="AJ10">
        <f>T10</f>
        <v/>
      </c>
      <c r="AK10">
        <f>R10</f>
        <v/>
      </c>
      <c r="AL10">
        <f>U10</f>
        <v/>
      </c>
      <c r="AM10">
        <f>IF(ISNUMBER(SEARCH("CAPITAL FUNDING",D10)),1,0)</f>
        <v/>
      </c>
      <c r="AN10">
        <f>IF(ISNUMBER(SEARCH("PNC",D10)),1,0)</f>
        <v/>
      </c>
      <c r="AO10">
        <f>IF(ISNUMBER(SEARCH("WELLS FARGO",D10)),1,0)</f>
        <v/>
      </c>
      <c r="AP10">
        <f>IF(ISNUMBER(SEARCH("DWIGHT",D10)),1,0)</f>
        <v/>
      </c>
      <c r="AQ10">
        <f>IF(ISNUMBER(SEARCH("GREYSTONE",D10)),1,0)</f>
        <v/>
      </c>
      <c r="AR10">
        <f>IF(OR(Q10="3896",Q10="3557"),1,0)</f>
        <v/>
      </c>
      <c r="AS10" s="24">
        <f>V10*W10</f>
        <v/>
      </c>
      <c r="AT10" s="26">
        <f>V$4*(V10-V$3)</f>
        <v/>
      </c>
      <c r="AU10" s="26">
        <f>W$4*(W10-W$3)</f>
        <v/>
      </c>
      <c r="AV10" s="26">
        <f>X$4*(X10-X$3)</f>
        <v/>
      </c>
      <c r="AW10" s="26">
        <f>Y$4*(Y10-Y$3)</f>
        <v/>
      </c>
      <c r="AX10" s="26">
        <f>Z$4*(Z10-Z$3)</f>
        <v/>
      </c>
      <c r="AY10" s="26">
        <f>AA$4*(AA10-AA$3)</f>
        <v/>
      </c>
      <c r="AZ10" s="26">
        <f>AB$4*(AB10-AB$3)</f>
        <v/>
      </c>
      <c r="BA10" s="26">
        <f>AC$4*(AC10-AC$3)</f>
        <v/>
      </c>
      <c r="BB10" s="26">
        <f>AD$4*(AD10-AD$3)</f>
        <v/>
      </c>
      <c r="BC10" s="26">
        <f>AE$4*(AE10-AE$3)</f>
        <v/>
      </c>
      <c r="BD10" s="26">
        <f>AF$4*(AF10-AF$3)</f>
        <v/>
      </c>
      <c r="BE10" s="26">
        <f>AG$4*(AG10-AG$3)</f>
        <v/>
      </c>
      <c r="BF10" s="26">
        <f>AH$4*(AH10-AH$3)</f>
        <v/>
      </c>
      <c r="BG10" s="26">
        <f>AI$4*(AI10-AI$3)</f>
        <v/>
      </c>
      <c r="BH10" s="26">
        <f>AJ$4*(AJ10-AJ$3)</f>
        <v/>
      </c>
      <c r="BI10" s="26">
        <f>AK$4*(AK10-AK$3)</f>
        <v/>
      </c>
      <c r="BJ10" s="26">
        <f>AL$4*(AL10-AL$3)</f>
        <v/>
      </c>
      <c r="BK10" s="26">
        <f>AM$4*(AM10-AM$3)</f>
        <v/>
      </c>
      <c r="BL10" s="26">
        <f>AN$4*(AN10-AN$3)</f>
        <v/>
      </c>
      <c r="BM10" s="26">
        <f>AO$4*(AO10-AO$3)</f>
        <v/>
      </c>
      <c r="BN10" s="26">
        <f>AP$4*(AP10-AP$3)</f>
        <v/>
      </c>
      <c r="BO10" s="26">
        <f>AQ$4*(AQ10-AQ$3)</f>
        <v/>
      </c>
      <c r="BP10" s="26">
        <f>AR$4*(AR10-AR$3)</f>
        <v/>
      </c>
      <c r="BQ10" s="26">
        <f>AS$4*(AS10-AS$3)</f>
        <v/>
      </c>
      <c r="BR10" s="27">
        <f>SUM(AT10:BQ10)</f>
        <v/>
      </c>
      <c r="BS10" s="27">
        <f>INTERCEPT_SCALED+BR10</f>
        <v/>
      </c>
      <c r="BT10" s="28">
        <f>1/(1+EXP(-BS10))</f>
        <v/>
      </c>
      <c r="BU10" s="13">
        <f>1-(1-BT10)^12</f>
        <v/>
      </c>
      <c r="BV10" s="13">
        <f>IFERROR(AT10/BR10*(BU10-BASELINE_CPR),0)</f>
        <v/>
      </c>
      <c r="BW10" s="13">
        <f>IFERROR(AU10/BR10*(BU10-BASELINE_CPR),0)</f>
        <v/>
      </c>
      <c r="BX10" s="13">
        <f>IFERROR(AV10/BR10*(BU10-BASELINE_CPR),0)</f>
        <v/>
      </c>
      <c r="BY10" s="13">
        <f>IFERROR(AW10/BR10*(BU10-BASELINE_CPR),0)</f>
        <v/>
      </c>
      <c r="BZ10" s="13">
        <f>IFERROR(AX10/BR10*(BU10-BASELINE_CPR),0)</f>
        <v/>
      </c>
      <c r="CA10" s="13">
        <f>IFERROR(AY10/BR10*(BU10-BASELINE_CPR),0)</f>
        <v/>
      </c>
      <c r="CB10" s="13">
        <f>IFERROR(AZ10/BR10*(BU10-BASELINE_CPR),0)</f>
        <v/>
      </c>
      <c r="CC10" s="13">
        <f>IFERROR(BA10/BR10*(BU10-BASELINE_CPR),0)</f>
        <v/>
      </c>
      <c r="CD10" s="13">
        <f>IFERROR(BB10/BR10*(BU10-BASELINE_CPR),0)</f>
        <v/>
      </c>
      <c r="CE10" s="13">
        <f>IFERROR(BC10/BR10*(BU10-BASELINE_CPR),0)</f>
        <v/>
      </c>
      <c r="CF10" s="13">
        <f>IFERROR(BD10/BR10*(BU10-BASELINE_CPR),0)</f>
        <v/>
      </c>
      <c r="CG10" s="13">
        <f>IFERROR(BE10/BR10*(BU10-BASELINE_CPR),0)</f>
        <v/>
      </c>
      <c r="CH10" s="13">
        <f>IFERROR(BF10/BR10*(BU10-BASELINE_CPR),0)</f>
        <v/>
      </c>
      <c r="CI10" s="13">
        <f>IFERROR(BG10/BR10*(BU10-BASELINE_CPR),0)</f>
        <v/>
      </c>
      <c r="CJ10" s="13">
        <f>IFERROR(BH10/BR10*(BU10-BASELINE_CPR),0)</f>
        <v/>
      </c>
      <c r="CK10" s="13">
        <f>IFERROR(BI10/BR10*(BU10-BASELINE_CPR),0)</f>
        <v/>
      </c>
      <c r="CL10" s="13">
        <f>IFERROR(BJ10/BR10*(BU10-BASELINE_CPR),0)</f>
        <v/>
      </c>
      <c r="CM10" s="13">
        <f>IFERROR(BK10/BR10*(BU10-BASELINE_CPR),0)</f>
        <v/>
      </c>
      <c r="CN10" s="13">
        <f>IFERROR(BL10/BR10*(BU10-BASELINE_CPR),0)</f>
        <v/>
      </c>
      <c r="CO10" s="13">
        <f>IFERROR(BM10/BR10*(BU10-BASELINE_CPR),0)</f>
        <v/>
      </c>
      <c r="CP10" s="13">
        <f>IFERROR(BN10/BR10*(BU10-BASELINE_CPR),0)</f>
        <v/>
      </c>
      <c r="CQ10" s="13">
        <f>IFERROR(BO10/BR10*(BU10-BASELINE_CPR),0)</f>
        <v/>
      </c>
      <c r="CR10" s="13">
        <f>IFERROR(BP10/BR10*(BU10-BASELINE_CPR),0)</f>
        <v/>
      </c>
      <c r="CS10" s="13">
        <f>IFERROR(BQ10/BR10*(BU10-BASELINE_CPR),0)</f>
        <v/>
      </c>
      <c r="CT10" s="29">
        <f>BASELINE_CPR+SUM(BV10:CS10)-BU10</f>
        <v/>
      </c>
    </row>
    <row r="11">
      <c r="A11" s="2" t="inlineStr">
        <is>
          <t>3620AEYZ7_000000010535179</t>
        </is>
      </c>
      <c r="B11" t="inlineStr">
        <is>
          <t>LUMENT_PRE21</t>
        </is>
      </c>
      <c r="C11" s="2" t="inlineStr">
        <is>
          <t>3620AEYZ7</t>
        </is>
      </c>
      <c r="D11" t="inlineStr">
        <is>
          <t>LUMENT REAL ESTATE CAPITAL,LLC</t>
        </is>
      </c>
      <c r="E11" t="inlineStr">
        <is>
          <t>OTHER</t>
        </is>
      </c>
      <c r="F11" t="inlineStr">
        <is>
          <t>OTHER</t>
        </is>
      </c>
      <c r="G11" t="n">
        <v>2010</v>
      </c>
      <c r="H11" t="inlineStr">
        <is>
          <t>202602</t>
        </is>
      </c>
      <c r="I11" s="22" t="n">
        <v>7782165.94</v>
      </c>
      <c r="J11" s="23" t="n">
        <v>3.38</v>
      </c>
      <c r="K11" s="24" t="n">
        <v>447</v>
      </c>
      <c r="L11" s="24" t="n">
        <v>0</v>
      </c>
      <c r="M11" t="n">
        <v>182</v>
      </c>
      <c r="N11" t="n">
        <v>36</v>
      </c>
      <c r="O11" t="n">
        <v>205206</v>
      </c>
      <c r="P11" t="inlineStr"/>
      <c r="Q11" t="inlineStr">
        <is>
          <t>3896</t>
        </is>
      </c>
      <c r="R11" t="n">
        <v>0</v>
      </c>
      <c r="S11" t="n">
        <v>0</v>
      </c>
      <c r="T11" t="n">
        <v>0</v>
      </c>
      <c r="U11" t="n">
        <v>0</v>
      </c>
      <c r="V11" s="24">
        <f>J11*100-K11</f>
        <v/>
      </c>
      <c r="W11" s="24">
        <f>L11</f>
        <v/>
      </c>
      <c r="X11" s="25">
        <f>MIN(M11,36)</f>
        <v/>
      </c>
      <c r="Y11" s="25">
        <f>MIN(MAX(M11-36,0),84)</f>
        <v/>
      </c>
      <c r="Z11" s="25">
        <f>MAX(M11-120,0)</f>
        <v/>
      </c>
      <c r="AA11" s="25">
        <f>IF(OR(O11="",NOT(ISNUMBER(O11))),360,MAX(0,MIN(480,(INT(O11/100)-INT(VALUE(H11)/100))*12+MOD(O11,100)-MOD(VALUE(H11),100))))</f>
        <v/>
      </c>
      <c r="AB11">
        <f>IF(AND(AA11&gt;0,AA11&lt;=24),1,0)</f>
        <v/>
      </c>
      <c r="AC11" s="25">
        <f>IF(OR(P11="",NOT(ISNUMBER(P11))),0,MAX(0,MIN(24,(INT(VALUE(H11)/100)-INT(P11/100))*12+MOD(VALUE(H11),100)-MOD(P11,100))))</f>
        <v/>
      </c>
      <c r="AD11" s="23">
        <f>LN(1+I11)</f>
        <v/>
      </c>
      <c r="AE11">
        <f>IF(I11&lt;2000000,1,0)</f>
        <v/>
      </c>
      <c r="AF11">
        <f>IF(I11&gt;50000000,1,0)</f>
        <v/>
      </c>
      <c r="AG11" s="23">
        <f>IF(ISNUMBER(M11),N11/MAX(M11,1),0)</f>
        <v/>
      </c>
      <c r="AH11">
        <f>IF(G11&gt;=2021,1,0)</f>
        <v/>
      </c>
      <c r="AI11">
        <f>S11</f>
        <v/>
      </c>
      <c r="AJ11">
        <f>T11</f>
        <v/>
      </c>
      <c r="AK11">
        <f>R11</f>
        <v/>
      </c>
      <c r="AL11">
        <f>U11</f>
        <v/>
      </c>
      <c r="AM11">
        <f>IF(ISNUMBER(SEARCH("CAPITAL FUNDING",D11)),1,0)</f>
        <v/>
      </c>
      <c r="AN11">
        <f>IF(ISNUMBER(SEARCH("PNC",D11)),1,0)</f>
        <v/>
      </c>
      <c r="AO11">
        <f>IF(ISNUMBER(SEARCH("WELLS FARGO",D11)),1,0)</f>
        <v/>
      </c>
      <c r="AP11">
        <f>IF(ISNUMBER(SEARCH("DWIGHT",D11)),1,0)</f>
        <v/>
      </c>
      <c r="AQ11">
        <f>IF(ISNUMBER(SEARCH("GREYSTONE",D11)),1,0)</f>
        <v/>
      </c>
      <c r="AR11">
        <f>IF(OR(Q11="3896",Q11="3557"),1,0)</f>
        <v/>
      </c>
      <c r="AS11" s="24">
        <f>V11*W11</f>
        <v/>
      </c>
      <c r="AT11" s="26">
        <f>V$4*(V11-V$3)</f>
        <v/>
      </c>
      <c r="AU11" s="26">
        <f>W$4*(W11-W$3)</f>
        <v/>
      </c>
      <c r="AV11" s="26">
        <f>X$4*(X11-X$3)</f>
        <v/>
      </c>
      <c r="AW11" s="26">
        <f>Y$4*(Y11-Y$3)</f>
        <v/>
      </c>
      <c r="AX11" s="26">
        <f>Z$4*(Z11-Z$3)</f>
        <v/>
      </c>
      <c r="AY11" s="26">
        <f>AA$4*(AA11-AA$3)</f>
        <v/>
      </c>
      <c r="AZ11" s="26">
        <f>AB$4*(AB11-AB$3)</f>
        <v/>
      </c>
      <c r="BA11" s="26">
        <f>AC$4*(AC11-AC$3)</f>
        <v/>
      </c>
      <c r="BB11" s="26">
        <f>AD$4*(AD11-AD$3)</f>
        <v/>
      </c>
      <c r="BC11" s="26">
        <f>AE$4*(AE11-AE$3)</f>
        <v/>
      </c>
      <c r="BD11" s="26">
        <f>AF$4*(AF11-AF$3)</f>
        <v/>
      </c>
      <c r="BE11" s="26">
        <f>AG$4*(AG11-AG$3)</f>
        <v/>
      </c>
      <c r="BF11" s="26">
        <f>AH$4*(AH11-AH$3)</f>
        <v/>
      </c>
      <c r="BG11" s="26">
        <f>AI$4*(AI11-AI$3)</f>
        <v/>
      </c>
      <c r="BH11" s="26">
        <f>AJ$4*(AJ11-AJ$3)</f>
        <v/>
      </c>
      <c r="BI11" s="26">
        <f>AK$4*(AK11-AK$3)</f>
        <v/>
      </c>
      <c r="BJ11" s="26">
        <f>AL$4*(AL11-AL$3)</f>
        <v/>
      </c>
      <c r="BK11" s="26">
        <f>AM$4*(AM11-AM$3)</f>
        <v/>
      </c>
      <c r="BL11" s="26">
        <f>AN$4*(AN11-AN$3)</f>
        <v/>
      </c>
      <c r="BM11" s="26">
        <f>AO$4*(AO11-AO$3)</f>
        <v/>
      </c>
      <c r="BN11" s="26">
        <f>AP$4*(AP11-AP$3)</f>
        <v/>
      </c>
      <c r="BO11" s="26">
        <f>AQ$4*(AQ11-AQ$3)</f>
        <v/>
      </c>
      <c r="BP11" s="26">
        <f>AR$4*(AR11-AR$3)</f>
        <v/>
      </c>
      <c r="BQ11" s="26">
        <f>AS$4*(AS11-AS$3)</f>
        <v/>
      </c>
      <c r="BR11" s="27">
        <f>SUM(AT11:BQ11)</f>
        <v/>
      </c>
      <c r="BS11" s="27">
        <f>INTERCEPT_SCALED+BR11</f>
        <v/>
      </c>
      <c r="BT11" s="28">
        <f>1/(1+EXP(-BS11))</f>
        <v/>
      </c>
      <c r="BU11" s="13">
        <f>1-(1-BT11)^12</f>
        <v/>
      </c>
      <c r="BV11" s="13">
        <f>IFERROR(AT11/BR11*(BU11-BASELINE_CPR),0)</f>
        <v/>
      </c>
      <c r="BW11" s="13">
        <f>IFERROR(AU11/BR11*(BU11-BASELINE_CPR),0)</f>
        <v/>
      </c>
      <c r="BX11" s="13">
        <f>IFERROR(AV11/BR11*(BU11-BASELINE_CPR),0)</f>
        <v/>
      </c>
      <c r="BY11" s="13">
        <f>IFERROR(AW11/BR11*(BU11-BASELINE_CPR),0)</f>
        <v/>
      </c>
      <c r="BZ11" s="13">
        <f>IFERROR(AX11/BR11*(BU11-BASELINE_CPR),0)</f>
        <v/>
      </c>
      <c r="CA11" s="13">
        <f>IFERROR(AY11/BR11*(BU11-BASELINE_CPR),0)</f>
        <v/>
      </c>
      <c r="CB11" s="13">
        <f>IFERROR(AZ11/BR11*(BU11-BASELINE_CPR),0)</f>
        <v/>
      </c>
      <c r="CC11" s="13">
        <f>IFERROR(BA11/BR11*(BU11-BASELINE_CPR),0)</f>
        <v/>
      </c>
      <c r="CD11" s="13">
        <f>IFERROR(BB11/BR11*(BU11-BASELINE_CPR),0)</f>
        <v/>
      </c>
      <c r="CE11" s="13">
        <f>IFERROR(BC11/BR11*(BU11-BASELINE_CPR),0)</f>
        <v/>
      </c>
      <c r="CF11" s="13">
        <f>IFERROR(BD11/BR11*(BU11-BASELINE_CPR),0)</f>
        <v/>
      </c>
      <c r="CG11" s="13">
        <f>IFERROR(BE11/BR11*(BU11-BASELINE_CPR),0)</f>
        <v/>
      </c>
      <c r="CH11" s="13">
        <f>IFERROR(BF11/BR11*(BU11-BASELINE_CPR),0)</f>
        <v/>
      </c>
      <c r="CI11" s="13">
        <f>IFERROR(BG11/BR11*(BU11-BASELINE_CPR),0)</f>
        <v/>
      </c>
      <c r="CJ11" s="13">
        <f>IFERROR(BH11/BR11*(BU11-BASELINE_CPR),0)</f>
        <v/>
      </c>
      <c r="CK11" s="13">
        <f>IFERROR(BI11/BR11*(BU11-BASELINE_CPR),0)</f>
        <v/>
      </c>
      <c r="CL11" s="13">
        <f>IFERROR(BJ11/BR11*(BU11-BASELINE_CPR),0)</f>
        <v/>
      </c>
      <c r="CM11" s="13">
        <f>IFERROR(BK11/BR11*(BU11-BASELINE_CPR),0)</f>
        <v/>
      </c>
      <c r="CN11" s="13">
        <f>IFERROR(BL11/BR11*(BU11-BASELINE_CPR),0)</f>
        <v/>
      </c>
      <c r="CO11" s="13">
        <f>IFERROR(BM11/BR11*(BU11-BASELINE_CPR),0)</f>
        <v/>
      </c>
      <c r="CP11" s="13">
        <f>IFERROR(BN11/BR11*(BU11-BASELINE_CPR),0)</f>
        <v/>
      </c>
      <c r="CQ11" s="13">
        <f>IFERROR(BO11/BR11*(BU11-BASELINE_CPR),0)</f>
        <v/>
      </c>
      <c r="CR11" s="13">
        <f>IFERROR(BP11/BR11*(BU11-BASELINE_CPR),0)</f>
        <v/>
      </c>
      <c r="CS11" s="13">
        <f>IFERROR(BQ11/BR11*(BU11-BASELINE_CPR),0)</f>
        <v/>
      </c>
      <c r="CT11" s="29">
        <f>BASELINE_CPR+SUM(BV11:CS11)-BU11</f>
        <v/>
      </c>
    </row>
    <row r="12">
      <c r="A12" s="2" t="inlineStr">
        <is>
          <t>3618BNC43_000000001211581</t>
        </is>
      </c>
      <c r="B12" t="inlineStr">
        <is>
          <t>LUMENT_POST21</t>
        </is>
      </c>
      <c r="C12" s="2" t="inlineStr">
        <is>
          <t>3618BNC43</t>
        </is>
      </c>
      <c r="D12" t="inlineStr">
        <is>
          <t>LUMENT REAL ESTATE CAPITAL,LLC</t>
        </is>
      </c>
      <c r="E12" t="inlineStr">
        <is>
          <t>223f</t>
        </is>
      </c>
      <c r="F12" t="inlineStr">
        <is>
          <t>RP</t>
        </is>
      </c>
      <c r="G12" t="n">
        <v>2023</v>
      </c>
      <c r="H12" t="inlineStr">
        <is>
          <t>202602</t>
        </is>
      </c>
      <c r="I12" s="22" t="n">
        <v>30791262.42</v>
      </c>
      <c r="J12" s="23" t="n">
        <v>5.36</v>
      </c>
      <c r="K12" s="24" t="n">
        <v>447</v>
      </c>
      <c r="L12" s="24" t="n">
        <v>8</v>
      </c>
      <c r="M12" t="n">
        <v>32</v>
      </c>
      <c r="N12" t="n">
        <v>0</v>
      </c>
      <c r="O12" t="n">
        <v>205707</v>
      </c>
      <c r="P12" t="inlineStr"/>
      <c r="Q12" t="inlineStr">
        <is>
          <t>3896</t>
        </is>
      </c>
      <c r="R12" t="n">
        <v>0</v>
      </c>
      <c r="S12" t="n">
        <v>0</v>
      </c>
      <c r="T12" t="n">
        <v>0</v>
      </c>
      <c r="U12" t="n">
        <v>0</v>
      </c>
      <c r="V12" s="24">
        <f>J12*100-K12</f>
        <v/>
      </c>
      <c r="W12" s="24">
        <f>L12</f>
        <v/>
      </c>
      <c r="X12" s="25">
        <f>MIN(M12,36)</f>
        <v/>
      </c>
      <c r="Y12" s="25">
        <f>MIN(MAX(M12-36,0),84)</f>
        <v/>
      </c>
      <c r="Z12" s="25">
        <f>MAX(M12-120,0)</f>
        <v/>
      </c>
      <c r="AA12" s="25">
        <f>IF(OR(O12="",NOT(ISNUMBER(O12))),360,MAX(0,MIN(480,(INT(O12/100)-INT(VALUE(H12)/100))*12+MOD(O12,100)-MOD(VALUE(H12),100))))</f>
        <v/>
      </c>
      <c r="AB12">
        <f>IF(AND(AA12&gt;0,AA12&lt;=24),1,0)</f>
        <v/>
      </c>
      <c r="AC12" s="25">
        <f>IF(OR(P12="",NOT(ISNUMBER(P12))),0,MAX(0,MIN(24,(INT(VALUE(H12)/100)-INT(P12/100))*12+MOD(VALUE(H12),100)-MOD(P12,100))))</f>
        <v/>
      </c>
      <c r="AD12" s="23">
        <f>LN(1+I12)</f>
        <v/>
      </c>
      <c r="AE12">
        <f>IF(I12&lt;2000000,1,0)</f>
        <v/>
      </c>
      <c r="AF12">
        <f>IF(I12&gt;50000000,1,0)</f>
        <v/>
      </c>
      <c r="AG12" s="23">
        <f>IF(ISNUMBER(M12),N12/MAX(M12,1),0)</f>
        <v/>
      </c>
      <c r="AH12">
        <f>IF(G12&gt;=2021,1,0)</f>
        <v/>
      </c>
      <c r="AI12">
        <f>S12</f>
        <v/>
      </c>
      <c r="AJ12">
        <f>T12</f>
        <v/>
      </c>
      <c r="AK12">
        <f>R12</f>
        <v/>
      </c>
      <c r="AL12">
        <f>U12</f>
        <v/>
      </c>
      <c r="AM12">
        <f>IF(ISNUMBER(SEARCH("CAPITAL FUNDING",D12)),1,0)</f>
        <v/>
      </c>
      <c r="AN12">
        <f>IF(ISNUMBER(SEARCH("PNC",D12)),1,0)</f>
        <v/>
      </c>
      <c r="AO12">
        <f>IF(ISNUMBER(SEARCH("WELLS FARGO",D12)),1,0)</f>
        <v/>
      </c>
      <c r="AP12">
        <f>IF(ISNUMBER(SEARCH("DWIGHT",D12)),1,0)</f>
        <v/>
      </c>
      <c r="AQ12">
        <f>IF(ISNUMBER(SEARCH("GREYSTONE",D12)),1,0)</f>
        <v/>
      </c>
      <c r="AR12">
        <f>IF(OR(Q12="3896",Q12="3557"),1,0)</f>
        <v/>
      </c>
      <c r="AS12" s="24">
        <f>V12*W12</f>
        <v/>
      </c>
      <c r="AT12" s="26">
        <f>V$4*(V12-V$3)</f>
        <v/>
      </c>
      <c r="AU12" s="26">
        <f>W$4*(W12-W$3)</f>
        <v/>
      </c>
      <c r="AV12" s="26">
        <f>X$4*(X12-X$3)</f>
        <v/>
      </c>
      <c r="AW12" s="26">
        <f>Y$4*(Y12-Y$3)</f>
        <v/>
      </c>
      <c r="AX12" s="26">
        <f>Z$4*(Z12-Z$3)</f>
        <v/>
      </c>
      <c r="AY12" s="26">
        <f>AA$4*(AA12-AA$3)</f>
        <v/>
      </c>
      <c r="AZ12" s="26">
        <f>AB$4*(AB12-AB$3)</f>
        <v/>
      </c>
      <c r="BA12" s="26">
        <f>AC$4*(AC12-AC$3)</f>
        <v/>
      </c>
      <c r="BB12" s="26">
        <f>AD$4*(AD12-AD$3)</f>
        <v/>
      </c>
      <c r="BC12" s="26">
        <f>AE$4*(AE12-AE$3)</f>
        <v/>
      </c>
      <c r="BD12" s="26">
        <f>AF$4*(AF12-AF$3)</f>
        <v/>
      </c>
      <c r="BE12" s="26">
        <f>AG$4*(AG12-AG$3)</f>
        <v/>
      </c>
      <c r="BF12" s="26">
        <f>AH$4*(AH12-AH$3)</f>
        <v/>
      </c>
      <c r="BG12" s="26">
        <f>AI$4*(AI12-AI$3)</f>
        <v/>
      </c>
      <c r="BH12" s="26">
        <f>AJ$4*(AJ12-AJ$3)</f>
        <v/>
      </c>
      <c r="BI12" s="26">
        <f>AK$4*(AK12-AK$3)</f>
        <v/>
      </c>
      <c r="BJ12" s="26">
        <f>AL$4*(AL12-AL$3)</f>
        <v/>
      </c>
      <c r="BK12" s="26">
        <f>AM$4*(AM12-AM$3)</f>
        <v/>
      </c>
      <c r="BL12" s="26">
        <f>AN$4*(AN12-AN$3)</f>
        <v/>
      </c>
      <c r="BM12" s="26">
        <f>AO$4*(AO12-AO$3)</f>
        <v/>
      </c>
      <c r="BN12" s="26">
        <f>AP$4*(AP12-AP$3)</f>
        <v/>
      </c>
      <c r="BO12" s="26">
        <f>AQ$4*(AQ12-AQ$3)</f>
        <v/>
      </c>
      <c r="BP12" s="26">
        <f>AR$4*(AR12-AR$3)</f>
        <v/>
      </c>
      <c r="BQ12" s="26">
        <f>AS$4*(AS12-AS$3)</f>
        <v/>
      </c>
      <c r="BR12" s="27">
        <f>SUM(AT12:BQ12)</f>
        <v/>
      </c>
      <c r="BS12" s="27">
        <f>INTERCEPT_SCALED+BR12</f>
        <v/>
      </c>
      <c r="BT12" s="28">
        <f>1/(1+EXP(-BS12))</f>
        <v/>
      </c>
      <c r="BU12" s="13">
        <f>1-(1-BT12)^12</f>
        <v/>
      </c>
      <c r="BV12" s="13">
        <f>IFERROR(AT12/BR12*(BU12-BASELINE_CPR),0)</f>
        <v/>
      </c>
      <c r="BW12" s="13">
        <f>IFERROR(AU12/BR12*(BU12-BASELINE_CPR),0)</f>
        <v/>
      </c>
      <c r="BX12" s="13">
        <f>IFERROR(AV12/BR12*(BU12-BASELINE_CPR),0)</f>
        <v/>
      </c>
      <c r="BY12" s="13">
        <f>IFERROR(AW12/BR12*(BU12-BASELINE_CPR),0)</f>
        <v/>
      </c>
      <c r="BZ12" s="13">
        <f>IFERROR(AX12/BR12*(BU12-BASELINE_CPR),0)</f>
        <v/>
      </c>
      <c r="CA12" s="13">
        <f>IFERROR(AY12/BR12*(BU12-BASELINE_CPR),0)</f>
        <v/>
      </c>
      <c r="CB12" s="13">
        <f>IFERROR(AZ12/BR12*(BU12-BASELINE_CPR),0)</f>
        <v/>
      </c>
      <c r="CC12" s="13">
        <f>IFERROR(BA12/BR12*(BU12-BASELINE_CPR),0)</f>
        <v/>
      </c>
      <c r="CD12" s="13">
        <f>IFERROR(BB12/BR12*(BU12-BASELINE_CPR),0)</f>
        <v/>
      </c>
      <c r="CE12" s="13">
        <f>IFERROR(BC12/BR12*(BU12-BASELINE_CPR),0)</f>
        <v/>
      </c>
      <c r="CF12" s="13">
        <f>IFERROR(BD12/BR12*(BU12-BASELINE_CPR),0)</f>
        <v/>
      </c>
      <c r="CG12" s="13">
        <f>IFERROR(BE12/BR12*(BU12-BASELINE_CPR),0)</f>
        <v/>
      </c>
      <c r="CH12" s="13">
        <f>IFERROR(BF12/BR12*(BU12-BASELINE_CPR),0)</f>
        <v/>
      </c>
      <c r="CI12" s="13">
        <f>IFERROR(BG12/BR12*(BU12-BASELINE_CPR),0)</f>
        <v/>
      </c>
      <c r="CJ12" s="13">
        <f>IFERROR(BH12/BR12*(BU12-BASELINE_CPR),0)</f>
        <v/>
      </c>
      <c r="CK12" s="13">
        <f>IFERROR(BI12/BR12*(BU12-BASELINE_CPR),0)</f>
        <v/>
      </c>
      <c r="CL12" s="13">
        <f>IFERROR(BJ12/BR12*(BU12-BASELINE_CPR),0)</f>
        <v/>
      </c>
      <c r="CM12" s="13">
        <f>IFERROR(BK12/BR12*(BU12-BASELINE_CPR),0)</f>
        <v/>
      </c>
      <c r="CN12" s="13">
        <f>IFERROR(BL12/BR12*(BU12-BASELINE_CPR),0)</f>
        <v/>
      </c>
      <c r="CO12" s="13">
        <f>IFERROR(BM12/BR12*(BU12-BASELINE_CPR),0)</f>
        <v/>
      </c>
      <c r="CP12" s="13">
        <f>IFERROR(BN12/BR12*(BU12-BASELINE_CPR),0)</f>
        <v/>
      </c>
      <c r="CQ12" s="13">
        <f>IFERROR(BO12/BR12*(BU12-BASELINE_CPR),0)</f>
        <v/>
      </c>
      <c r="CR12" s="13">
        <f>IFERROR(BP12/BR12*(BU12-BASELINE_CPR),0)</f>
        <v/>
      </c>
      <c r="CS12" s="13">
        <f>IFERROR(BQ12/BR12*(BU12-BASELINE_CPR),0)</f>
        <v/>
      </c>
      <c r="CT12" s="29">
        <f>BASELINE_CPR+SUM(BV12:CS12)-BU12</f>
        <v/>
      </c>
    </row>
    <row r="13">
      <c r="A13" s="2" t="inlineStr">
        <is>
          <t>3618KLMG9_000000001211630</t>
        </is>
      </c>
      <c r="B13" t="inlineStr">
        <is>
          <t>LUMENT_POST21</t>
        </is>
      </c>
      <c r="C13" s="2" t="inlineStr">
        <is>
          <t>3618KLMG9</t>
        </is>
      </c>
      <c r="D13" t="inlineStr">
        <is>
          <t>LUMENT REAL ESTATE CAPITAL,LLC</t>
        </is>
      </c>
      <c r="E13" t="inlineStr">
        <is>
          <t>223f</t>
        </is>
      </c>
      <c r="F13" t="inlineStr">
        <is>
          <t>RP</t>
        </is>
      </c>
      <c r="G13" t="n">
        <v>2025</v>
      </c>
      <c r="H13" t="inlineStr">
        <is>
          <t>202602</t>
        </is>
      </c>
      <c r="I13" s="22" t="n">
        <v>59508579.86</v>
      </c>
      <c r="J13" s="23" t="n">
        <v>5.65</v>
      </c>
      <c r="K13" s="24" t="n">
        <v>447</v>
      </c>
      <c r="L13" s="24" t="n">
        <v>10</v>
      </c>
      <c r="M13" t="n">
        <v>4</v>
      </c>
      <c r="N13" t="n">
        <v>0</v>
      </c>
      <c r="O13" t="n">
        <v>206011</v>
      </c>
      <c r="P13" t="inlineStr"/>
      <c r="Q13" t="inlineStr">
        <is>
          <t>3896</t>
        </is>
      </c>
      <c r="R13" t="n">
        <v>0</v>
      </c>
      <c r="S13" t="n">
        <v>0</v>
      </c>
      <c r="T13" t="n">
        <v>0</v>
      </c>
      <c r="U13" t="n">
        <v>0</v>
      </c>
      <c r="V13" s="24">
        <f>J13*100-K13</f>
        <v/>
      </c>
      <c r="W13" s="24">
        <f>L13</f>
        <v/>
      </c>
      <c r="X13" s="25">
        <f>MIN(M13,36)</f>
        <v/>
      </c>
      <c r="Y13" s="25">
        <f>MIN(MAX(M13-36,0),84)</f>
        <v/>
      </c>
      <c r="Z13" s="25">
        <f>MAX(M13-120,0)</f>
        <v/>
      </c>
      <c r="AA13" s="25">
        <f>IF(OR(O13="",NOT(ISNUMBER(O13))),360,MAX(0,MIN(480,(INT(O13/100)-INT(VALUE(H13)/100))*12+MOD(O13,100)-MOD(VALUE(H13),100))))</f>
        <v/>
      </c>
      <c r="AB13">
        <f>IF(AND(AA13&gt;0,AA13&lt;=24),1,0)</f>
        <v/>
      </c>
      <c r="AC13" s="25">
        <f>IF(OR(P13="",NOT(ISNUMBER(P13))),0,MAX(0,MIN(24,(INT(VALUE(H13)/100)-INT(P13/100))*12+MOD(VALUE(H13),100)-MOD(P13,100))))</f>
        <v/>
      </c>
      <c r="AD13" s="23">
        <f>LN(1+I13)</f>
        <v/>
      </c>
      <c r="AE13">
        <f>IF(I13&lt;2000000,1,0)</f>
        <v/>
      </c>
      <c r="AF13">
        <f>IF(I13&gt;50000000,1,0)</f>
        <v/>
      </c>
      <c r="AG13" s="23">
        <f>IF(ISNUMBER(M13),N13/MAX(M13,1),0)</f>
        <v/>
      </c>
      <c r="AH13">
        <f>IF(G13&gt;=2021,1,0)</f>
        <v/>
      </c>
      <c r="AI13">
        <f>S13</f>
        <v/>
      </c>
      <c r="AJ13">
        <f>T13</f>
        <v/>
      </c>
      <c r="AK13">
        <f>R13</f>
        <v/>
      </c>
      <c r="AL13">
        <f>U13</f>
        <v/>
      </c>
      <c r="AM13">
        <f>IF(ISNUMBER(SEARCH("CAPITAL FUNDING",D13)),1,0)</f>
        <v/>
      </c>
      <c r="AN13">
        <f>IF(ISNUMBER(SEARCH("PNC",D13)),1,0)</f>
        <v/>
      </c>
      <c r="AO13">
        <f>IF(ISNUMBER(SEARCH("WELLS FARGO",D13)),1,0)</f>
        <v/>
      </c>
      <c r="AP13">
        <f>IF(ISNUMBER(SEARCH("DWIGHT",D13)),1,0)</f>
        <v/>
      </c>
      <c r="AQ13">
        <f>IF(ISNUMBER(SEARCH("GREYSTONE",D13)),1,0)</f>
        <v/>
      </c>
      <c r="AR13">
        <f>IF(OR(Q13="3896",Q13="3557"),1,0)</f>
        <v/>
      </c>
      <c r="AS13" s="24">
        <f>V13*W13</f>
        <v/>
      </c>
      <c r="AT13" s="26">
        <f>V$4*(V13-V$3)</f>
        <v/>
      </c>
      <c r="AU13" s="26">
        <f>W$4*(W13-W$3)</f>
        <v/>
      </c>
      <c r="AV13" s="26">
        <f>X$4*(X13-X$3)</f>
        <v/>
      </c>
      <c r="AW13" s="26">
        <f>Y$4*(Y13-Y$3)</f>
        <v/>
      </c>
      <c r="AX13" s="26">
        <f>Z$4*(Z13-Z$3)</f>
        <v/>
      </c>
      <c r="AY13" s="26">
        <f>AA$4*(AA13-AA$3)</f>
        <v/>
      </c>
      <c r="AZ13" s="26">
        <f>AB$4*(AB13-AB$3)</f>
        <v/>
      </c>
      <c r="BA13" s="26">
        <f>AC$4*(AC13-AC$3)</f>
        <v/>
      </c>
      <c r="BB13" s="26">
        <f>AD$4*(AD13-AD$3)</f>
        <v/>
      </c>
      <c r="BC13" s="26">
        <f>AE$4*(AE13-AE$3)</f>
        <v/>
      </c>
      <c r="BD13" s="26">
        <f>AF$4*(AF13-AF$3)</f>
        <v/>
      </c>
      <c r="BE13" s="26">
        <f>AG$4*(AG13-AG$3)</f>
        <v/>
      </c>
      <c r="BF13" s="26">
        <f>AH$4*(AH13-AH$3)</f>
        <v/>
      </c>
      <c r="BG13" s="26">
        <f>AI$4*(AI13-AI$3)</f>
        <v/>
      </c>
      <c r="BH13" s="26">
        <f>AJ$4*(AJ13-AJ$3)</f>
        <v/>
      </c>
      <c r="BI13" s="26">
        <f>AK$4*(AK13-AK$3)</f>
        <v/>
      </c>
      <c r="BJ13" s="26">
        <f>AL$4*(AL13-AL$3)</f>
        <v/>
      </c>
      <c r="BK13" s="26">
        <f>AM$4*(AM13-AM$3)</f>
        <v/>
      </c>
      <c r="BL13" s="26">
        <f>AN$4*(AN13-AN$3)</f>
        <v/>
      </c>
      <c r="BM13" s="26">
        <f>AO$4*(AO13-AO$3)</f>
        <v/>
      </c>
      <c r="BN13" s="26">
        <f>AP$4*(AP13-AP$3)</f>
        <v/>
      </c>
      <c r="BO13" s="26">
        <f>AQ$4*(AQ13-AQ$3)</f>
        <v/>
      </c>
      <c r="BP13" s="26">
        <f>AR$4*(AR13-AR$3)</f>
        <v/>
      </c>
      <c r="BQ13" s="26">
        <f>AS$4*(AS13-AS$3)</f>
        <v/>
      </c>
      <c r="BR13" s="27">
        <f>SUM(AT13:BQ13)</f>
        <v/>
      </c>
      <c r="BS13" s="27">
        <f>INTERCEPT_SCALED+BR13</f>
        <v/>
      </c>
      <c r="BT13" s="28">
        <f>1/(1+EXP(-BS13))</f>
        <v/>
      </c>
      <c r="BU13" s="13">
        <f>1-(1-BT13)^12</f>
        <v/>
      </c>
      <c r="BV13" s="13">
        <f>IFERROR(AT13/BR13*(BU13-BASELINE_CPR),0)</f>
        <v/>
      </c>
      <c r="BW13" s="13">
        <f>IFERROR(AU13/BR13*(BU13-BASELINE_CPR),0)</f>
        <v/>
      </c>
      <c r="BX13" s="13">
        <f>IFERROR(AV13/BR13*(BU13-BASELINE_CPR),0)</f>
        <v/>
      </c>
      <c r="BY13" s="13">
        <f>IFERROR(AW13/BR13*(BU13-BASELINE_CPR),0)</f>
        <v/>
      </c>
      <c r="BZ13" s="13">
        <f>IFERROR(AX13/BR13*(BU13-BASELINE_CPR),0)</f>
        <v/>
      </c>
      <c r="CA13" s="13">
        <f>IFERROR(AY13/BR13*(BU13-BASELINE_CPR),0)</f>
        <v/>
      </c>
      <c r="CB13" s="13">
        <f>IFERROR(AZ13/BR13*(BU13-BASELINE_CPR),0)</f>
        <v/>
      </c>
      <c r="CC13" s="13">
        <f>IFERROR(BA13/BR13*(BU13-BASELINE_CPR),0)</f>
        <v/>
      </c>
      <c r="CD13" s="13">
        <f>IFERROR(BB13/BR13*(BU13-BASELINE_CPR),0)</f>
        <v/>
      </c>
      <c r="CE13" s="13">
        <f>IFERROR(BC13/BR13*(BU13-BASELINE_CPR),0)</f>
        <v/>
      </c>
      <c r="CF13" s="13">
        <f>IFERROR(BD13/BR13*(BU13-BASELINE_CPR),0)</f>
        <v/>
      </c>
      <c r="CG13" s="13">
        <f>IFERROR(BE13/BR13*(BU13-BASELINE_CPR),0)</f>
        <v/>
      </c>
      <c r="CH13" s="13">
        <f>IFERROR(BF13/BR13*(BU13-BASELINE_CPR),0)</f>
        <v/>
      </c>
      <c r="CI13" s="13">
        <f>IFERROR(BG13/BR13*(BU13-BASELINE_CPR),0)</f>
        <v/>
      </c>
      <c r="CJ13" s="13">
        <f>IFERROR(BH13/BR13*(BU13-BASELINE_CPR),0)</f>
        <v/>
      </c>
      <c r="CK13" s="13">
        <f>IFERROR(BI13/BR13*(BU13-BASELINE_CPR),0)</f>
        <v/>
      </c>
      <c r="CL13" s="13">
        <f>IFERROR(BJ13/BR13*(BU13-BASELINE_CPR),0)</f>
        <v/>
      </c>
      <c r="CM13" s="13">
        <f>IFERROR(BK13/BR13*(BU13-BASELINE_CPR),0)</f>
        <v/>
      </c>
      <c r="CN13" s="13">
        <f>IFERROR(BL13/BR13*(BU13-BASELINE_CPR),0)</f>
        <v/>
      </c>
      <c r="CO13" s="13">
        <f>IFERROR(BM13/BR13*(BU13-BASELINE_CPR),0)</f>
        <v/>
      </c>
      <c r="CP13" s="13">
        <f>IFERROR(BN13/BR13*(BU13-BASELINE_CPR),0)</f>
        <v/>
      </c>
      <c r="CQ13" s="13">
        <f>IFERROR(BO13/BR13*(BU13-BASELINE_CPR),0)</f>
        <v/>
      </c>
      <c r="CR13" s="13">
        <f>IFERROR(BP13/BR13*(BU13-BASELINE_CPR),0)</f>
        <v/>
      </c>
      <c r="CS13" s="13">
        <f>IFERROR(BQ13/BR13*(BU13-BASELINE_CPR),0)</f>
        <v/>
      </c>
      <c r="CT13" s="29">
        <f>BASELINE_CPR+SUM(BV13:CS13)-BU13</f>
        <v/>
      </c>
    </row>
    <row r="14">
      <c r="A14" s="2" t="inlineStr">
        <is>
          <t>36297HB49_000000010222024</t>
        </is>
      </c>
      <c r="B14" t="inlineStr">
        <is>
          <t>LUMENT_PRE21</t>
        </is>
      </c>
      <c r="C14" s="2" t="inlineStr">
        <is>
          <t>36297HB49</t>
        </is>
      </c>
      <c r="D14" t="inlineStr">
        <is>
          <t>LUMENT REAL ESTATE CAPITAL,LLC</t>
        </is>
      </c>
      <c r="E14" t="inlineStr">
        <is>
          <t>232</t>
        </is>
      </c>
      <c r="F14" t="inlineStr">
        <is>
          <t>RP</t>
        </is>
      </c>
      <c r="G14" t="n">
        <v>2009</v>
      </c>
      <c r="H14" t="inlineStr">
        <is>
          <t>202602</t>
        </is>
      </c>
      <c r="I14" s="22" t="n">
        <v>2318598.5</v>
      </c>
      <c r="J14" s="23" t="n">
        <v>5.65</v>
      </c>
      <c r="K14" s="24" t="n">
        <v>447</v>
      </c>
      <c r="L14" s="24" t="n">
        <v>0</v>
      </c>
      <c r="M14" t="n">
        <v>200</v>
      </c>
      <c r="N14" t="n">
        <v>84</v>
      </c>
      <c r="O14" t="n">
        <v>203907</v>
      </c>
      <c r="P14" t="n">
        <v>201108</v>
      </c>
      <c r="Q14" t="inlineStr">
        <is>
          <t>3896</t>
        </is>
      </c>
      <c r="R14" t="n">
        <v>1</v>
      </c>
      <c r="S14" t="n">
        <v>0</v>
      </c>
      <c r="T14" t="n">
        <v>0</v>
      </c>
      <c r="U14" t="n">
        <v>0</v>
      </c>
      <c r="V14" s="24">
        <f>J14*100-K14</f>
        <v/>
      </c>
      <c r="W14" s="24">
        <f>L14</f>
        <v/>
      </c>
      <c r="X14" s="25">
        <f>MIN(M14,36)</f>
        <v/>
      </c>
      <c r="Y14" s="25">
        <f>MIN(MAX(M14-36,0),84)</f>
        <v/>
      </c>
      <c r="Z14" s="25">
        <f>MAX(M14-120,0)</f>
        <v/>
      </c>
      <c r="AA14" s="25">
        <f>IF(OR(O14="",NOT(ISNUMBER(O14))),360,MAX(0,MIN(480,(INT(O14/100)-INT(VALUE(H14)/100))*12+MOD(O14,100)-MOD(VALUE(H14),100))))</f>
        <v/>
      </c>
      <c r="AB14">
        <f>IF(AND(AA14&gt;0,AA14&lt;=24),1,0)</f>
        <v/>
      </c>
      <c r="AC14" s="25">
        <f>IF(OR(P14="",NOT(ISNUMBER(P14))),0,MAX(0,MIN(24,(INT(VALUE(H14)/100)-INT(P14/100))*12+MOD(VALUE(H14),100)-MOD(P14,100))))</f>
        <v/>
      </c>
      <c r="AD14" s="23">
        <f>LN(1+I14)</f>
        <v/>
      </c>
      <c r="AE14">
        <f>IF(I14&lt;2000000,1,0)</f>
        <v/>
      </c>
      <c r="AF14">
        <f>IF(I14&gt;50000000,1,0)</f>
        <v/>
      </c>
      <c r="AG14" s="23">
        <f>IF(ISNUMBER(M14),N14/MAX(M14,1),0)</f>
        <v/>
      </c>
      <c r="AH14">
        <f>IF(G14&gt;=2021,1,0)</f>
        <v/>
      </c>
      <c r="AI14">
        <f>S14</f>
        <v/>
      </c>
      <c r="AJ14">
        <f>T14</f>
        <v/>
      </c>
      <c r="AK14">
        <f>R14</f>
        <v/>
      </c>
      <c r="AL14">
        <f>U14</f>
        <v/>
      </c>
      <c r="AM14">
        <f>IF(ISNUMBER(SEARCH("CAPITAL FUNDING",D14)),1,0)</f>
        <v/>
      </c>
      <c r="AN14">
        <f>IF(ISNUMBER(SEARCH("PNC",D14)),1,0)</f>
        <v/>
      </c>
      <c r="AO14">
        <f>IF(ISNUMBER(SEARCH("WELLS FARGO",D14)),1,0)</f>
        <v/>
      </c>
      <c r="AP14">
        <f>IF(ISNUMBER(SEARCH("DWIGHT",D14)),1,0)</f>
        <v/>
      </c>
      <c r="AQ14">
        <f>IF(ISNUMBER(SEARCH("GREYSTONE",D14)),1,0)</f>
        <v/>
      </c>
      <c r="AR14">
        <f>IF(OR(Q14="3896",Q14="3557"),1,0)</f>
        <v/>
      </c>
      <c r="AS14" s="24">
        <f>V14*W14</f>
        <v/>
      </c>
      <c r="AT14" s="26">
        <f>V$4*(V14-V$3)</f>
        <v/>
      </c>
      <c r="AU14" s="26">
        <f>W$4*(W14-W$3)</f>
        <v/>
      </c>
      <c r="AV14" s="26">
        <f>X$4*(X14-X$3)</f>
        <v/>
      </c>
      <c r="AW14" s="26">
        <f>Y$4*(Y14-Y$3)</f>
        <v/>
      </c>
      <c r="AX14" s="26">
        <f>Z$4*(Z14-Z$3)</f>
        <v/>
      </c>
      <c r="AY14" s="26">
        <f>AA$4*(AA14-AA$3)</f>
        <v/>
      </c>
      <c r="AZ14" s="26">
        <f>AB$4*(AB14-AB$3)</f>
        <v/>
      </c>
      <c r="BA14" s="26">
        <f>AC$4*(AC14-AC$3)</f>
        <v/>
      </c>
      <c r="BB14" s="26">
        <f>AD$4*(AD14-AD$3)</f>
        <v/>
      </c>
      <c r="BC14" s="26">
        <f>AE$4*(AE14-AE$3)</f>
        <v/>
      </c>
      <c r="BD14" s="26">
        <f>AF$4*(AF14-AF$3)</f>
        <v/>
      </c>
      <c r="BE14" s="26">
        <f>AG$4*(AG14-AG$3)</f>
        <v/>
      </c>
      <c r="BF14" s="26">
        <f>AH$4*(AH14-AH$3)</f>
        <v/>
      </c>
      <c r="BG14" s="26">
        <f>AI$4*(AI14-AI$3)</f>
        <v/>
      </c>
      <c r="BH14" s="26">
        <f>AJ$4*(AJ14-AJ$3)</f>
        <v/>
      </c>
      <c r="BI14" s="26">
        <f>AK$4*(AK14-AK$3)</f>
        <v/>
      </c>
      <c r="BJ14" s="26">
        <f>AL$4*(AL14-AL$3)</f>
        <v/>
      </c>
      <c r="BK14" s="26">
        <f>AM$4*(AM14-AM$3)</f>
        <v/>
      </c>
      <c r="BL14" s="26">
        <f>AN$4*(AN14-AN$3)</f>
        <v/>
      </c>
      <c r="BM14" s="26">
        <f>AO$4*(AO14-AO$3)</f>
        <v/>
      </c>
      <c r="BN14" s="26">
        <f>AP$4*(AP14-AP$3)</f>
        <v/>
      </c>
      <c r="BO14" s="26">
        <f>AQ$4*(AQ14-AQ$3)</f>
        <v/>
      </c>
      <c r="BP14" s="26">
        <f>AR$4*(AR14-AR$3)</f>
        <v/>
      </c>
      <c r="BQ14" s="26">
        <f>AS$4*(AS14-AS$3)</f>
        <v/>
      </c>
      <c r="BR14" s="27">
        <f>SUM(AT14:BQ14)</f>
        <v/>
      </c>
      <c r="BS14" s="27">
        <f>INTERCEPT_SCALED+BR14</f>
        <v/>
      </c>
      <c r="BT14" s="28">
        <f>1/(1+EXP(-BS14))</f>
        <v/>
      </c>
      <c r="BU14" s="13">
        <f>1-(1-BT14)^12</f>
        <v/>
      </c>
      <c r="BV14" s="13">
        <f>IFERROR(AT14/BR14*(BU14-BASELINE_CPR),0)</f>
        <v/>
      </c>
      <c r="BW14" s="13">
        <f>IFERROR(AU14/BR14*(BU14-BASELINE_CPR),0)</f>
        <v/>
      </c>
      <c r="BX14" s="13">
        <f>IFERROR(AV14/BR14*(BU14-BASELINE_CPR),0)</f>
        <v/>
      </c>
      <c r="BY14" s="13">
        <f>IFERROR(AW14/BR14*(BU14-BASELINE_CPR),0)</f>
        <v/>
      </c>
      <c r="BZ14" s="13">
        <f>IFERROR(AX14/BR14*(BU14-BASELINE_CPR),0)</f>
        <v/>
      </c>
      <c r="CA14" s="13">
        <f>IFERROR(AY14/BR14*(BU14-BASELINE_CPR),0)</f>
        <v/>
      </c>
      <c r="CB14" s="13">
        <f>IFERROR(AZ14/BR14*(BU14-BASELINE_CPR),0)</f>
        <v/>
      </c>
      <c r="CC14" s="13">
        <f>IFERROR(BA14/BR14*(BU14-BASELINE_CPR),0)</f>
        <v/>
      </c>
      <c r="CD14" s="13">
        <f>IFERROR(BB14/BR14*(BU14-BASELINE_CPR),0)</f>
        <v/>
      </c>
      <c r="CE14" s="13">
        <f>IFERROR(BC14/BR14*(BU14-BASELINE_CPR),0)</f>
        <v/>
      </c>
      <c r="CF14" s="13">
        <f>IFERROR(BD14/BR14*(BU14-BASELINE_CPR),0)</f>
        <v/>
      </c>
      <c r="CG14" s="13">
        <f>IFERROR(BE14/BR14*(BU14-BASELINE_CPR),0)</f>
        <v/>
      </c>
      <c r="CH14" s="13">
        <f>IFERROR(BF14/BR14*(BU14-BASELINE_CPR),0)</f>
        <v/>
      </c>
      <c r="CI14" s="13">
        <f>IFERROR(BG14/BR14*(BU14-BASELINE_CPR),0)</f>
        <v/>
      </c>
      <c r="CJ14" s="13">
        <f>IFERROR(BH14/BR14*(BU14-BASELINE_CPR),0)</f>
        <v/>
      </c>
      <c r="CK14" s="13">
        <f>IFERROR(BI14/BR14*(BU14-BASELINE_CPR),0)</f>
        <v/>
      </c>
      <c r="CL14" s="13">
        <f>IFERROR(BJ14/BR14*(BU14-BASELINE_CPR),0)</f>
        <v/>
      </c>
      <c r="CM14" s="13">
        <f>IFERROR(BK14/BR14*(BU14-BASELINE_CPR),0)</f>
        <v/>
      </c>
      <c r="CN14" s="13">
        <f>IFERROR(BL14/BR14*(BU14-BASELINE_CPR),0)</f>
        <v/>
      </c>
      <c r="CO14" s="13">
        <f>IFERROR(BM14/BR14*(BU14-BASELINE_CPR),0)</f>
        <v/>
      </c>
      <c r="CP14" s="13">
        <f>IFERROR(BN14/BR14*(BU14-BASELINE_CPR),0)</f>
        <v/>
      </c>
      <c r="CQ14" s="13">
        <f>IFERROR(BO14/BR14*(BU14-BASELINE_CPR),0)</f>
        <v/>
      </c>
      <c r="CR14" s="13">
        <f>IFERROR(BP14/BR14*(BU14-BASELINE_CPR),0)</f>
        <v/>
      </c>
      <c r="CS14" s="13">
        <f>IFERROR(BQ14/BR14*(BU14-BASELINE_CPR),0)</f>
        <v/>
      </c>
      <c r="CT14" s="29">
        <f>BASELINE_CPR+SUM(BV14:CS14)-BU14</f>
        <v/>
      </c>
    </row>
    <row r="15">
      <c r="A15" s="2" t="inlineStr">
        <is>
          <t>3618HNAN7_000000006122229</t>
        </is>
      </c>
      <c r="B15" t="inlineStr">
        <is>
          <t>LUMENT_POST21</t>
        </is>
      </c>
      <c r="C15" s="2" t="inlineStr">
        <is>
          <t>3618HNAN7</t>
        </is>
      </c>
      <c r="D15" t="inlineStr">
        <is>
          <t>LUMENT REAL ESTATE CAPITAL,LLC</t>
        </is>
      </c>
      <c r="E15" t="inlineStr">
        <is>
          <t>232</t>
        </is>
      </c>
      <c r="F15" t="inlineStr">
        <is>
          <t>RP</t>
        </is>
      </c>
      <c r="G15" t="n">
        <v>2024</v>
      </c>
      <c r="H15" t="inlineStr">
        <is>
          <t>202602</t>
        </is>
      </c>
      <c r="I15" s="22" t="n">
        <v>10649282.81</v>
      </c>
      <c r="J15" s="23" t="n">
        <v>5.35</v>
      </c>
      <c r="K15" s="24" t="n">
        <v>447</v>
      </c>
      <c r="L15" s="24" t="n">
        <v>9</v>
      </c>
      <c r="M15" t="n">
        <v>14</v>
      </c>
      <c r="N15" t="n">
        <v>0</v>
      </c>
      <c r="O15" t="n">
        <v>206001</v>
      </c>
      <c r="P15" t="inlineStr"/>
      <c r="Q15" t="inlineStr">
        <is>
          <t>3896</t>
        </is>
      </c>
      <c r="R15" t="n">
        <v>1</v>
      </c>
      <c r="S15" t="n">
        <v>0</v>
      </c>
      <c r="T15" t="n">
        <v>0</v>
      </c>
      <c r="U15" t="n">
        <v>0</v>
      </c>
      <c r="V15" s="24">
        <f>J15*100-K15</f>
        <v/>
      </c>
      <c r="W15" s="24">
        <f>L15</f>
        <v/>
      </c>
      <c r="X15" s="25">
        <f>MIN(M15,36)</f>
        <v/>
      </c>
      <c r="Y15" s="25">
        <f>MIN(MAX(M15-36,0),84)</f>
        <v/>
      </c>
      <c r="Z15" s="25">
        <f>MAX(M15-120,0)</f>
        <v/>
      </c>
      <c r="AA15" s="25">
        <f>IF(OR(O15="",NOT(ISNUMBER(O15))),360,MAX(0,MIN(480,(INT(O15/100)-INT(VALUE(H15)/100))*12+MOD(O15,100)-MOD(VALUE(H15),100))))</f>
        <v/>
      </c>
      <c r="AB15">
        <f>IF(AND(AA15&gt;0,AA15&lt;=24),1,0)</f>
        <v/>
      </c>
      <c r="AC15" s="25">
        <f>IF(OR(P15="",NOT(ISNUMBER(P15))),0,MAX(0,MIN(24,(INT(VALUE(H15)/100)-INT(P15/100))*12+MOD(VALUE(H15),100)-MOD(P15,100))))</f>
        <v/>
      </c>
      <c r="AD15" s="23">
        <f>LN(1+I15)</f>
        <v/>
      </c>
      <c r="AE15">
        <f>IF(I15&lt;2000000,1,0)</f>
        <v/>
      </c>
      <c r="AF15">
        <f>IF(I15&gt;50000000,1,0)</f>
        <v/>
      </c>
      <c r="AG15" s="23">
        <f>IF(ISNUMBER(M15),N15/MAX(M15,1),0)</f>
        <v/>
      </c>
      <c r="AH15">
        <f>IF(G15&gt;=2021,1,0)</f>
        <v/>
      </c>
      <c r="AI15">
        <f>S15</f>
        <v/>
      </c>
      <c r="AJ15">
        <f>T15</f>
        <v/>
      </c>
      <c r="AK15">
        <f>R15</f>
        <v/>
      </c>
      <c r="AL15">
        <f>U15</f>
        <v/>
      </c>
      <c r="AM15">
        <f>IF(ISNUMBER(SEARCH("CAPITAL FUNDING",D15)),1,0)</f>
        <v/>
      </c>
      <c r="AN15">
        <f>IF(ISNUMBER(SEARCH("PNC",D15)),1,0)</f>
        <v/>
      </c>
      <c r="AO15">
        <f>IF(ISNUMBER(SEARCH("WELLS FARGO",D15)),1,0)</f>
        <v/>
      </c>
      <c r="AP15">
        <f>IF(ISNUMBER(SEARCH("DWIGHT",D15)),1,0)</f>
        <v/>
      </c>
      <c r="AQ15">
        <f>IF(ISNUMBER(SEARCH("GREYSTONE",D15)),1,0)</f>
        <v/>
      </c>
      <c r="AR15">
        <f>IF(OR(Q15="3896",Q15="3557"),1,0)</f>
        <v/>
      </c>
      <c r="AS15" s="24">
        <f>V15*W15</f>
        <v/>
      </c>
      <c r="AT15" s="26">
        <f>V$4*(V15-V$3)</f>
        <v/>
      </c>
      <c r="AU15" s="26">
        <f>W$4*(W15-W$3)</f>
        <v/>
      </c>
      <c r="AV15" s="26">
        <f>X$4*(X15-X$3)</f>
        <v/>
      </c>
      <c r="AW15" s="26">
        <f>Y$4*(Y15-Y$3)</f>
        <v/>
      </c>
      <c r="AX15" s="26">
        <f>Z$4*(Z15-Z$3)</f>
        <v/>
      </c>
      <c r="AY15" s="26">
        <f>AA$4*(AA15-AA$3)</f>
        <v/>
      </c>
      <c r="AZ15" s="26">
        <f>AB$4*(AB15-AB$3)</f>
        <v/>
      </c>
      <c r="BA15" s="26">
        <f>AC$4*(AC15-AC$3)</f>
        <v/>
      </c>
      <c r="BB15" s="26">
        <f>AD$4*(AD15-AD$3)</f>
        <v/>
      </c>
      <c r="BC15" s="26">
        <f>AE$4*(AE15-AE$3)</f>
        <v/>
      </c>
      <c r="BD15" s="26">
        <f>AF$4*(AF15-AF$3)</f>
        <v/>
      </c>
      <c r="BE15" s="26">
        <f>AG$4*(AG15-AG$3)</f>
        <v/>
      </c>
      <c r="BF15" s="26">
        <f>AH$4*(AH15-AH$3)</f>
        <v/>
      </c>
      <c r="BG15" s="26">
        <f>AI$4*(AI15-AI$3)</f>
        <v/>
      </c>
      <c r="BH15" s="26">
        <f>AJ$4*(AJ15-AJ$3)</f>
        <v/>
      </c>
      <c r="BI15" s="26">
        <f>AK$4*(AK15-AK$3)</f>
        <v/>
      </c>
      <c r="BJ15" s="26">
        <f>AL$4*(AL15-AL$3)</f>
        <v/>
      </c>
      <c r="BK15" s="26">
        <f>AM$4*(AM15-AM$3)</f>
        <v/>
      </c>
      <c r="BL15" s="26">
        <f>AN$4*(AN15-AN$3)</f>
        <v/>
      </c>
      <c r="BM15" s="26">
        <f>AO$4*(AO15-AO$3)</f>
        <v/>
      </c>
      <c r="BN15" s="26">
        <f>AP$4*(AP15-AP$3)</f>
        <v/>
      </c>
      <c r="BO15" s="26">
        <f>AQ$4*(AQ15-AQ$3)</f>
        <v/>
      </c>
      <c r="BP15" s="26">
        <f>AR$4*(AR15-AR$3)</f>
        <v/>
      </c>
      <c r="BQ15" s="26">
        <f>AS$4*(AS15-AS$3)</f>
        <v/>
      </c>
      <c r="BR15" s="27">
        <f>SUM(AT15:BQ15)</f>
        <v/>
      </c>
      <c r="BS15" s="27">
        <f>INTERCEPT_SCALED+BR15</f>
        <v/>
      </c>
      <c r="BT15" s="28">
        <f>1/(1+EXP(-BS15))</f>
        <v/>
      </c>
      <c r="BU15" s="13">
        <f>1-(1-BT15)^12</f>
        <v/>
      </c>
      <c r="BV15" s="13">
        <f>IFERROR(AT15/BR15*(BU15-BASELINE_CPR),0)</f>
        <v/>
      </c>
      <c r="BW15" s="13">
        <f>IFERROR(AU15/BR15*(BU15-BASELINE_CPR),0)</f>
        <v/>
      </c>
      <c r="BX15" s="13">
        <f>IFERROR(AV15/BR15*(BU15-BASELINE_CPR),0)</f>
        <v/>
      </c>
      <c r="BY15" s="13">
        <f>IFERROR(AW15/BR15*(BU15-BASELINE_CPR),0)</f>
        <v/>
      </c>
      <c r="BZ15" s="13">
        <f>IFERROR(AX15/BR15*(BU15-BASELINE_CPR),0)</f>
        <v/>
      </c>
      <c r="CA15" s="13">
        <f>IFERROR(AY15/BR15*(BU15-BASELINE_CPR),0)</f>
        <v/>
      </c>
      <c r="CB15" s="13">
        <f>IFERROR(AZ15/BR15*(BU15-BASELINE_CPR),0)</f>
        <v/>
      </c>
      <c r="CC15" s="13">
        <f>IFERROR(BA15/BR15*(BU15-BASELINE_CPR),0)</f>
        <v/>
      </c>
      <c r="CD15" s="13">
        <f>IFERROR(BB15/BR15*(BU15-BASELINE_CPR),0)</f>
        <v/>
      </c>
      <c r="CE15" s="13">
        <f>IFERROR(BC15/BR15*(BU15-BASELINE_CPR),0)</f>
        <v/>
      </c>
      <c r="CF15" s="13">
        <f>IFERROR(BD15/BR15*(BU15-BASELINE_CPR),0)</f>
        <v/>
      </c>
      <c r="CG15" s="13">
        <f>IFERROR(BE15/BR15*(BU15-BASELINE_CPR),0)</f>
        <v/>
      </c>
      <c r="CH15" s="13">
        <f>IFERROR(BF15/BR15*(BU15-BASELINE_CPR),0)</f>
        <v/>
      </c>
      <c r="CI15" s="13">
        <f>IFERROR(BG15/BR15*(BU15-BASELINE_CPR),0)</f>
        <v/>
      </c>
      <c r="CJ15" s="13">
        <f>IFERROR(BH15/BR15*(BU15-BASELINE_CPR),0)</f>
        <v/>
      </c>
      <c r="CK15" s="13">
        <f>IFERROR(BI15/BR15*(BU15-BASELINE_CPR),0)</f>
        <v/>
      </c>
      <c r="CL15" s="13">
        <f>IFERROR(BJ15/BR15*(BU15-BASELINE_CPR),0)</f>
        <v/>
      </c>
      <c r="CM15" s="13">
        <f>IFERROR(BK15/BR15*(BU15-BASELINE_CPR),0)</f>
        <v/>
      </c>
      <c r="CN15" s="13">
        <f>IFERROR(BL15/BR15*(BU15-BASELINE_CPR),0)</f>
        <v/>
      </c>
      <c r="CO15" s="13">
        <f>IFERROR(BM15/BR15*(BU15-BASELINE_CPR),0)</f>
        <v/>
      </c>
      <c r="CP15" s="13">
        <f>IFERROR(BN15/BR15*(BU15-BASELINE_CPR),0)</f>
        <v/>
      </c>
      <c r="CQ15" s="13">
        <f>IFERROR(BO15/BR15*(BU15-BASELINE_CPR),0)</f>
        <v/>
      </c>
      <c r="CR15" s="13">
        <f>IFERROR(BP15/BR15*(BU15-BASELINE_CPR),0)</f>
        <v/>
      </c>
      <c r="CS15" s="13">
        <f>IFERROR(BQ15/BR15*(BU15-BASELINE_CPR),0)</f>
        <v/>
      </c>
      <c r="CT15" s="29">
        <f>BASELINE_CPR+SUM(BV15:CS15)-BU15</f>
        <v/>
      </c>
    </row>
    <row r="16">
      <c r="A16" s="2" t="inlineStr">
        <is>
          <t>3617LC5T1_000000004611186</t>
        </is>
      </c>
      <c r="B16" t="inlineStr">
        <is>
          <t>LUMENT_PRE21</t>
        </is>
      </c>
      <c r="C16" s="2" t="inlineStr">
        <is>
          <t>3617LC5T1</t>
        </is>
      </c>
      <c r="D16" t="inlineStr">
        <is>
          <t>LUMENT REAL ESTATE CAPITAL,LLC</t>
        </is>
      </c>
      <c r="E16" t="inlineStr">
        <is>
          <t>223f</t>
        </is>
      </c>
      <c r="F16" t="inlineStr">
        <is>
          <t>RP</t>
        </is>
      </c>
      <c r="G16" t="n">
        <v>2019</v>
      </c>
      <c r="H16" t="inlineStr">
        <is>
          <t>202602</t>
        </is>
      </c>
      <c r="I16" s="22" t="n">
        <v>14083195.64</v>
      </c>
      <c r="J16" s="23" t="n">
        <v>2.95</v>
      </c>
      <c r="K16" s="24" t="n">
        <v>447</v>
      </c>
      <c r="L16" s="24" t="n">
        <v>4</v>
      </c>
      <c r="M16" t="n">
        <v>75</v>
      </c>
      <c r="N16" t="n">
        <v>7</v>
      </c>
      <c r="O16" t="n">
        <v>205412</v>
      </c>
      <c r="P16" t="inlineStr"/>
      <c r="Q16" t="inlineStr">
        <is>
          <t>3896</t>
        </is>
      </c>
      <c r="R16" t="n">
        <v>0</v>
      </c>
      <c r="S16" t="n">
        <v>0</v>
      </c>
      <c r="T16" t="n">
        <v>0</v>
      </c>
      <c r="U16" t="n">
        <v>0</v>
      </c>
      <c r="V16" s="24">
        <f>J16*100-K16</f>
        <v/>
      </c>
      <c r="W16" s="24">
        <f>L16</f>
        <v/>
      </c>
      <c r="X16" s="25">
        <f>MIN(M16,36)</f>
        <v/>
      </c>
      <c r="Y16" s="25">
        <f>MIN(MAX(M16-36,0),84)</f>
        <v/>
      </c>
      <c r="Z16" s="25">
        <f>MAX(M16-120,0)</f>
        <v/>
      </c>
      <c r="AA16" s="25">
        <f>IF(OR(O16="",NOT(ISNUMBER(O16))),360,MAX(0,MIN(480,(INT(O16/100)-INT(VALUE(H16)/100))*12+MOD(O16,100)-MOD(VALUE(H16),100))))</f>
        <v/>
      </c>
      <c r="AB16">
        <f>IF(AND(AA16&gt;0,AA16&lt;=24),1,0)</f>
        <v/>
      </c>
      <c r="AC16" s="25">
        <f>IF(OR(P16="",NOT(ISNUMBER(P16))),0,MAX(0,MIN(24,(INT(VALUE(H16)/100)-INT(P16/100))*12+MOD(VALUE(H16),100)-MOD(P16,100))))</f>
        <v/>
      </c>
      <c r="AD16" s="23">
        <f>LN(1+I16)</f>
        <v/>
      </c>
      <c r="AE16">
        <f>IF(I16&lt;2000000,1,0)</f>
        <v/>
      </c>
      <c r="AF16">
        <f>IF(I16&gt;50000000,1,0)</f>
        <v/>
      </c>
      <c r="AG16" s="23">
        <f>IF(ISNUMBER(M16),N16/MAX(M16,1),0)</f>
        <v/>
      </c>
      <c r="AH16">
        <f>IF(G16&gt;=2021,1,0)</f>
        <v/>
      </c>
      <c r="AI16">
        <f>S16</f>
        <v/>
      </c>
      <c r="AJ16">
        <f>T16</f>
        <v/>
      </c>
      <c r="AK16">
        <f>R16</f>
        <v/>
      </c>
      <c r="AL16">
        <f>U16</f>
        <v/>
      </c>
      <c r="AM16">
        <f>IF(ISNUMBER(SEARCH("CAPITAL FUNDING",D16)),1,0)</f>
        <v/>
      </c>
      <c r="AN16">
        <f>IF(ISNUMBER(SEARCH("PNC",D16)),1,0)</f>
        <v/>
      </c>
      <c r="AO16">
        <f>IF(ISNUMBER(SEARCH("WELLS FARGO",D16)),1,0)</f>
        <v/>
      </c>
      <c r="AP16">
        <f>IF(ISNUMBER(SEARCH("DWIGHT",D16)),1,0)</f>
        <v/>
      </c>
      <c r="AQ16">
        <f>IF(ISNUMBER(SEARCH("GREYSTONE",D16)),1,0)</f>
        <v/>
      </c>
      <c r="AR16">
        <f>IF(OR(Q16="3896",Q16="3557"),1,0)</f>
        <v/>
      </c>
      <c r="AS16" s="24">
        <f>V16*W16</f>
        <v/>
      </c>
      <c r="AT16" s="26">
        <f>V$4*(V16-V$3)</f>
        <v/>
      </c>
      <c r="AU16" s="26">
        <f>W$4*(W16-W$3)</f>
        <v/>
      </c>
      <c r="AV16" s="26">
        <f>X$4*(X16-X$3)</f>
        <v/>
      </c>
      <c r="AW16" s="26">
        <f>Y$4*(Y16-Y$3)</f>
        <v/>
      </c>
      <c r="AX16" s="26">
        <f>Z$4*(Z16-Z$3)</f>
        <v/>
      </c>
      <c r="AY16" s="26">
        <f>AA$4*(AA16-AA$3)</f>
        <v/>
      </c>
      <c r="AZ16" s="26">
        <f>AB$4*(AB16-AB$3)</f>
        <v/>
      </c>
      <c r="BA16" s="26">
        <f>AC$4*(AC16-AC$3)</f>
        <v/>
      </c>
      <c r="BB16" s="26">
        <f>AD$4*(AD16-AD$3)</f>
        <v/>
      </c>
      <c r="BC16" s="26">
        <f>AE$4*(AE16-AE$3)</f>
        <v/>
      </c>
      <c r="BD16" s="26">
        <f>AF$4*(AF16-AF$3)</f>
        <v/>
      </c>
      <c r="BE16" s="26">
        <f>AG$4*(AG16-AG$3)</f>
        <v/>
      </c>
      <c r="BF16" s="26">
        <f>AH$4*(AH16-AH$3)</f>
        <v/>
      </c>
      <c r="BG16" s="26">
        <f>AI$4*(AI16-AI$3)</f>
        <v/>
      </c>
      <c r="BH16" s="26">
        <f>AJ$4*(AJ16-AJ$3)</f>
        <v/>
      </c>
      <c r="BI16" s="26">
        <f>AK$4*(AK16-AK$3)</f>
        <v/>
      </c>
      <c r="BJ16" s="26">
        <f>AL$4*(AL16-AL$3)</f>
        <v/>
      </c>
      <c r="BK16" s="26">
        <f>AM$4*(AM16-AM$3)</f>
        <v/>
      </c>
      <c r="BL16" s="26">
        <f>AN$4*(AN16-AN$3)</f>
        <v/>
      </c>
      <c r="BM16" s="26">
        <f>AO$4*(AO16-AO$3)</f>
        <v/>
      </c>
      <c r="BN16" s="26">
        <f>AP$4*(AP16-AP$3)</f>
        <v/>
      </c>
      <c r="BO16" s="26">
        <f>AQ$4*(AQ16-AQ$3)</f>
        <v/>
      </c>
      <c r="BP16" s="26">
        <f>AR$4*(AR16-AR$3)</f>
        <v/>
      </c>
      <c r="BQ16" s="26">
        <f>AS$4*(AS16-AS$3)</f>
        <v/>
      </c>
      <c r="BR16" s="27">
        <f>SUM(AT16:BQ16)</f>
        <v/>
      </c>
      <c r="BS16" s="27">
        <f>INTERCEPT_SCALED+BR16</f>
        <v/>
      </c>
      <c r="BT16" s="28">
        <f>1/(1+EXP(-BS16))</f>
        <v/>
      </c>
      <c r="BU16" s="13">
        <f>1-(1-BT16)^12</f>
        <v/>
      </c>
      <c r="BV16" s="13">
        <f>IFERROR(AT16/BR16*(BU16-BASELINE_CPR),0)</f>
        <v/>
      </c>
      <c r="BW16" s="13">
        <f>IFERROR(AU16/BR16*(BU16-BASELINE_CPR),0)</f>
        <v/>
      </c>
      <c r="BX16" s="13">
        <f>IFERROR(AV16/BR16*(BU16-BASELINE_CPR),0)</f>
        <v/>
      </c>
      <c r="BY16" s="13">
        <f>IFERROR(AW16/BR16*(BU16-BASELINE_CPR),0)</f>
        <v/>
      </c>
      <c r="BZ16" s="13">
        <f>IFERROR(AX16/BR16*(BU16-BASELINE_CPR),0)</f>
        <v/>
      </c>
      <c r="CA16" s="13">
        <f>IFERROR(AY16/BR16*(BU16-BASELINE_CPR),0)</f>
        <v/>
      </c>
      <c r="CB16" s="13">
        <f>IFERROR(AZ16/BR16*(BU16-BASELINE_CPR),0)</f>
        <v/>
      </c>
      <c r="CC16" s="13">
        <f>IFERROR(BA16/BR16*(BU16-BASELINE_CPR),0)</f>
        <v/>
      </c>
      <c r="CD16" s="13">
        <f>IFERROR(BB16/BR16*(BU16-BASELINE_CPR),0)</f>
        <v/>
      </c>
      <c r="CE16" s="13">
        <f>IFERROR(BC16/BR16*(BU16-BASELINE_CPR),0)</f>
        <v/>
      </c>
      <c r="CF16" s="13">
        <f>IFERROR(BD16/BR16*(BU16-BASELINE_CPR),0)</f>
        <v/>
      </c>
      <c r="CG16" s="13">
        <f>IFERROR(BE16/BR16*(BU16-BASELINE_CPR),0)</f>
        <v/>
      </c>
      <c r="CH16" s="13">
        <f>IFERROR(BF16/BR16*(BU16-BASELINE_CPR),0)</f>
        <v/>
      </c>
      <c r="CI16" s="13">
        <f>IFERROR(BG16/BR16*(BU16-BASELINE_CPR),0)</f>
        <v/>
      </c>
      <c r="CJ16" s="13">
        <f>IFERROR(BH16/BR16*(BU16-BASELINE_CPR),0)</f>
        <v/>
      </c>
      <c r="CK16" s="13">
        <f>IFERROR(BI16/BR16*(BU16-BASELINE_CPR),0)</f>
        <v/>
      </c>
      <c r="CL16" s="13">
        <f>IFERROR(BJ16/BR16*(BU16-BASELINE_CPR),0)</f>
        <v/>
      </c>
      <c r="CM16" s="13">
        <f>IFERROR(BK16/BR16*(BU16-BASELINE_CPR),0)</f>
        <v/>
      </c>
      <c r="CN16" s="13">
        <f>IFERROR(BL16/BR16*(BU16-BASELINE_CPR),0)</f>
        <v/>
      </c>
      <c r="CO16" s="13">
        <f>IFERROR(BM16/BR16*(BU16-BASELINE_CPR),0)</f>
        <v/>
      </c>
      <c r="CP16" s="13">
        <f>IFERROR(BN16/BR16*(BU16-BASELINE_CPR),0)</f>
        <v/>
      </c>
      <c r="CQ16" s="13">
        <f>IFERROR(BO16/BR16*(BU16-BASELINE_CPR),0)</f>
        <v/>
      </c>
      <c r="CR16" s="13">
        <f>IFERROR(BP16/BR16*(BU16-BASELINE_CPR),0)</f>
        <v/>
      </c>
      <c r="CS16" s="13">
        <f>IFERROR(BQ16/BR16*(BU16-BASELINE_CPR),0)</f>
        <v/>
      </c>
      <c r="CT16" s="29">
        <f>BASELINE_CPR+SUM(BV16:CS16)-BU16</f>
        <v/>
      </c>
    </row>
    <row r="17">
      <c r="A17" s="2" t="inlineStr">
        <is>
          <t>3617J9LY2_000000001411271</t>
        </is>
      </c>
      <c r="B17" t="inlineStr">
        <is>
          <t>LUMENT_PRE21</t>
        </is>
      </c>
      <c r="C17" s="2" t="inlineStr">
        <is>
          <t>3617J9LY2</t>
        </is>
      </c>
      <c r="D17" t="inlineStr">
        <is>
          <t>LUMENT REAL ESTATE CAPITAL,LLC</t>
        </is>
      </c>
      <c r="E17" t="inlineStr">
        <is>
          <t>223f</t>
        </is>
      </c>
      <c r="F17" t="inlineStr">
        <is>
          <t>RP</t>
        </is>
      </c>
      <c r="G17" t="n">
        <v>2019</v>
      </c>
      <c r="H17" t="inlineStr">
        <is>
          <t>202602</t>
        </is>
      </c>
      <c r="I17" s="22" t="n">
        <v>6145581.88</v>
      </c>
      <c r="J17" s="23" t="n">
        <v>4.3</v>
      </c>
      <c r="K17" s="24" t="n">
        <v>447</v>
      </c>
      <c r="L17" s="24" t="n">
        <v>4</v>
      </c>
      <c r="M17" t="n">
        <v>82</v>
      </c>
      <c r="N17" t="n">
        <v>35</v>
      </c>
      <c r="O17" t="n">
        <v>205405</v>
      </c>
      <c r="P17" t="inlineStr"/>
      <c r="Q17" t="inlineStr">
        <is>
          <t>3896</t>
        </is>
      </c>
      <c r="R17" t="n">
        <v>0</v>
      </c>
      <c r="S17" t="n">
        <v>0</v>
      </c>
      <c r="T17" t="n">
        <v>0</v>
      </c>
      <c r="U17" t="n">
        <v>0</v>
      </c>
      <c r="V17" s="24">
        <f>J17*100-K17</f>
        <v/>
      </c>
      <c r="W17" s="24">
        <f>L17</f>
        <v/>
      </c>
      <c r="X17" s="25">
        <f>MIN(M17,36)</f>
        <v/>
      </c>
      <c r="Y17" s="25">
        <f>MIN(MAX(M17-36,0),84)</f>
        <v/>
      </c>
      <c r="Z17" s="25">
        <f>MAX(M17-120,0)</f>
        <v/>
      </c>
      <c r="AA17" s="25">
        <f>IF(OR(O17="",NOT(ISNUMBER(O17))),360,MAX(0,MIN(480,(INT(O17/100)-INT(VALUE(H17)/100))*12+MOD(O17,100)-MOD(VALUE(H17),100))))</f>
        <v/>
      </c>
      <c r="AB17">
        <f>IF(AND(AA17&gt;0,AA17&lt;=24),1,0)</f>
        <v/>
      </c>
      <c r="AC17" s="25">
        <f>IF(OR(P17="",NOT(ISNUMBER(P17))),0,MAX(0,MIN(24,(INT(VALUE(H17)/100)-INT(P17/100))*12+MOD(VALUE(H17),100)-MOD(P17,100))))</f>
        <v/>
      </c>
      <c r="AD17" s="23">
        <f>LN(1+I17)</f>
        <v/>
      </c>
      <c r="AE17">
        <f>IF(I17&lt;2000000,1,0)</f>
        <v/>
      </c>
      <c r="AF17">
        <f>IF(I17&gt;50000000,1,0)</f>
        <v/>
      </c>
      <c r="AG17" s="23">
        <f>IF(ISNUMBER(M17),N17/MAX(M17,1),0)</f>
        <v/>
      </c>
      <c r="AH17">
        <f>IF(G17&gt;=2021,1,0)</f>
        <v/>
      </c>
      <c r="AI17">
        <f>S17</f>
        <v/>
      </c>
      <c r="AJ17">
        <f>T17</f>
        <v/>
      </c>
      <c r="AK17">
        <f>R17</f>
        <v/>
      </c>
      <c r="AL17">
        <f>U17</f>
        <v/>
      </c>
      <c r="AM17">
        <f>IF(ISNUMBER(SEARCH("CAPITAL FUNDING",D17)),1,0)</f>
        <v/>
      </c>
      <c r="AN17">
        <f>IF(ISNUMBER(SEARCH("PNC",D17)),1,0)</f>
        <v/>
      </c>
      <c r="AO17">
        <f>IF(ISNUMBER(SEARCH("WELLS FARGO",D17)),1,0)</f>
        <v/>
      </c>
      <c r="AP17">
        <f>IF(ISNUMBER(SEARCH("DWIGHT",D17)),1,0)</f>
        <v/>
      </c>
      <c r="AQ17">
        <f>IF(ISNUMBER(SEARCH("GREYSTONE",D17)),1,0)</f>
        <v/>
      </c>
      <c r="AR17">
        <f>IF(OR(Q17="3896",Q17="3557"),1,0)</f>
        <v/>
      </c>
      <c r="AS17" s="24">
        <f>V17*W17</f>
        <v/>
      </c>
      <c r="AT17" s="26">
        <f>V$4*(V17-V$3)</f>
        <v/>
      </c>
      <c r="AU17" s="26">
        <f>W$4*(W17-W$3)</f>
        <v/>
      </c>
      <c r="AV17" s="26">
        <f>X$4*(X17-X$3)</f>
        <v/>
      </c>
      <c r="AW17" s="26">
        <f>Y$4*(Y17-Y$3)</f>
        <v/>
      </c>
      <c r="AX17" s="26">
        <f>Z$4*(Z17-Z$3)</f>
        <v/>
      </c>
      <c r="AY17" s="26">
        <f>AA$4*(AA17-AA$3)</f>
        <v/>
      </c>
      <c r="AZ17" s="26">
        <f>AB$4*(AB17-AB$3)</f>
        <v/>
      </c>
      <c r="BA17" s="26">
        <f>AC$4*(AC17-AC$3)</f>
        <v/>
      </c>
      <c r="BB17" s="26">
        <f>AD$4*(AD17-AD$3)</f>
        <v/>
      </c>
      <c r="BC17" s="26">
        <f>AE$4*(AE17-AE$3)</f>
        <v/>
      </c>
      <c r="BD17" s="26">
        <f>AF$4*(AF17-AF$3)</f>
        <v/>
      </c>
      <c r="BE17" s="26">
        <f>AG$4*(AG17-AG$3)</f>
        <v/>
      </c>
      <c r="BF17" s="26">
        <f>AH$4*(AH17-AH$3)</f>
        <v/>
      </c>
      <c r="BG17" s="26">
        <f>AI$4*(AI17-AI$3)</f>
        <v/>
      </c>
      <c r="BH17" s="26">
        <f>AJ$4*(AJ17-AJ$3)</f>
        <v/>
      </c>
      <c r="BI17" s="26">
        <f>AK$4*(AK17-AK$3)</f>
        <v/>
      </c>
      <c r="BJ17" s="26">
        <f>AL$4*(AL17-AL$3)</f>
        <v/>
      </c>
      <c r="BK17" s="26">
        <f>AM$4*(AM17-AM$3)</f>
        <v/>
      </c>
      <c r="BL17" s="26">
        <f>AN$4*(AN17-AN$3)</f>
        <v/>
      </c>
      <c r="BM17" s="26">
        <f>AO$4*(AO17-AO$3)</f>
        <v/>
      </c>
      <c r="BN17" s="26">
        <f>AP$4*(AP17-AP$3)</f>
        <v/>
      </c>
      <c r="BO17" s="26">
        <f>AQ$4*(AQ17-AQ$3)</f>
        <v/>
      </c>
      <c r="BP17" s="26">
        <f>AR$4*(AR17-AR$3)</f>
        <v/>
      </c>
      <c r="BQ17" s="26">
        <f>AS$4*(AS17-AS$3)</f>
        <v/>
      </c>
      <c r="BR17" s="27">
        <f>SUM(AT17:BQ17)</f>
        <v/>
      </c>
      <c r="BS17" s="27">
        <f>INTERCEPT_SCALED+BR17</f>
        <v/>
      </c>
      <c r="BT17" s="28">
        <f>1/(1+EXP(-BS17))</f>
        <v/>
      </c>
      <c r="BU17" s="13">
        <f>1-(1-BT17)^12</f>
        <v/>
      </c>
      <c r="BV17" s="13">
        <f>IFERROR(AT17/BR17*(BU17-BASELINE_CPR),0)</f>
        <v/>
      </c>
      <c r="BW17" s="13">
        <f>IFERROR(AU17/BR17*(BU17-BASELINE_CPR),0)</f>
        <v/>
      </c>
      <c r="BX17" s="13">
        <f>IFERROR(AV17/BR17*(BU17-BASELINE_CPR),0)</f>
        <v/>
      </c>
      <c r="BY17" s="13">
        <f>IFERROR(AW17/BR17*(BU17-BASELINE_CPR),0)</f>
        <v/>
      </c>
      <c r="BZ17" s="13">
        <f>IFERROR(AX17/BR17*(BU17-BASELINE_CPR),0)</f>
        <v/>
      </c>
      <c r="CA17" s="13">
        <f>IFERROR(AY17/BR17*(BU17-BASELINE_CPR),0)</f>
        <v/>
      </c>
      <c r="CB17" s="13">
        <f>IFERROR(AZ17/BR17*(BU17-BASELINE_CPR),0)</f>
        <v/>
      </c>
      <c r="CC17" s="13">
        <f>IFERROR(BA17/BR17*(BU17-BASELINE_CPR),0)</f>
        <v/>
      </c>
      <c r="CD17" s="13">
        <f>IFERROR(BB17/BR17*(BU17-BASELINE_CPR),0)</f>
        <v/>
      </c>
      <c r="CE17" s="13">
        <f>IFERROR(BC17/BR17*(BU17-BASELINE_CPR),0)</f>
        <v/>
      </c>
      <c r="CF17" s="13">
        <f>IFERROR(BD17/BR17*(BU17-BASELINE_CPR),0)</f>
        <v/>
      </c>
      <c r="CG17" s="13">
        <f>IFERROR(BE17/BR17*(BU17-BASELINE_CPR),0)</f>
        <v/>
      </c>
      <c r="CH17" s="13">
        <f>IFERROR(BF17/BR17*(BU17-BASELINE_CPR),0)</f>
        <v/>
      </c>
      <c r="CI17" s="13">
        <f>IFERROR(BG17/BR17*(BU17-BASELINE_CPR),0)</f>
        <v/>
      </c>
      <c r="CJ17" s="13">
        <f>IFERROR(BH17/BR17*(BU17-BASELINE_CPR),0)</f>
        <v/>
      </c>
      <c r="CK17" s="13">
        <f>IFERROR(BI17/BR17*(BU17-BASELINE_CPR),0)</f>
        <v/>
      </c>
      <c r="CL17" s="13">
        <f>IFERROR(BJ17/BR17*(BU17-BASELINE_CPR),0)</f>
        <v/>
      </c>
      <c r="CM17" s="13">
        <f>IFERROR(BK17/BR17*(BU17-BASELINE_CPR),0)</f>
        <v/>
      </c>
      <c r="CN17" s="13">
        <f>IFERROR(BL17/BR17*(BU17-BASELINE_CPR),0)</f>
        <v/>
      </c>
      <c r="CO17" s="13">
        <f>IFERROR(BM17/BR17*(BU17-BASELINE_CPR),0)</f>
        <v/>
      </c>
      <c r="CP17" s="13">
        <f>IFERROR(BN17/BR17*(BU17-BASELINE_CPR),0)</f>
        <v/>
      </c>
      <c r="CQ17" s="13">
        <f>IFERROR(BO17/BR17*(BU17-BASELINE_CPR),0)</f>
        <v/>
      </c>
      <c r="CR17" s="13">
        <f>IFERROR(BP17/BR17*(BU17-BASELINE_CPR),0)</f>
        <v/>
      </c>
      <c r="CS17" s="13">
        <f>IFERROR(BQ17/BR17*(BU17-BASELINE_CPR),0)</f>
        <v/>
      </c>
      <c r="CT17" s="29">
        <f>BASELINE_CPR+SUM(BV17:CS17)-BU17</f>
        <v/>
      </c>
    </row>
    <row r="18">
      <c r="A18" s="2" t="inlineStr">
        <is>
          <t>3617FTDM7_000000008311235</t>
        </is>
      </c>
      <c r="B18" t="inlineStr">
        <is>
          <t>LUMENT_POST21</t>
        </is>
      </c>
      <c r="C18" s="2" t="inlineStr">
        <is>
          <t>3617FTDM7</t>
        </is>
      </c>
      <c r="D18" t="inlineStr">
        <is>
          <t>LUMENT REAL ESTATE CAPITAL,LLC</t>
        </is>
      </c>
      <c r="E18" t="inlineStr">
        <is>
          <t>223f</t>
        </is>
      </c>
      <c r="F18" t="inlineStr">
        <is>
          <t>RP</t>
        </is>
      </c>
      <c r="G18" t="n">
        <v>2023</v>
      </c>
      <c r="H18" t="inlineStr">
        <is>
          <t>202602</t>
        </is>
      </c>
      <c r="I18" s="22" t="n">
        <v>15752462.19</v>
      </c>
      <c r="J18" s="23" t="n">
        <v>5.1</v>
      </c>
      <c r="K18" s="24" t="n">
        <v>447</v>
      </c>
      <c r="L18" s="24" t="n">
        <v>8</v>
      </c>
      <c r="M18" t="n">
        <v>34</v>
      </c>
      <c r="N18" t="n">
        <v>0</v>
      </c>
      <c r="O18" t="n">
        <v>205805</v>
      </c>
      <c r="P18" t="inlineStr"/>
      <c r="Q18" t="inlineStr">
        <is>
          <t>3896</t>
        </is>
      </c>
      <c r="R18" t="n">
        <v>0</v>
      </c>
      <c r="S18" t="n">
        <v>0</v>
      </c>
      <c r="T18" t="n">
        <v>0</v>
      </c>
      <c r="U18" t="n">
        <v>0</v>
      </c>
      <c r="V18" s="24">
        <f>J18*100-K18</f>
        <v/>
      </c>
      <c r="W18" s="24">
        <f>L18</f>
        <v/>
      </c>
      <c r="X18" s="25">
        <f>MIN(M18,36)</f>
        <v/>
      </c>
      <c r="Y18" s="25">
        <f>MIN(MAX(M18-36,0),84)</f>
        <v/>
      </c>
      <c r="Z18" s="25">
        <f>MAX(M18-120,0)</f>
        <v/>
      </c>
      <c r="AA18" s="25">
        <f>IF(OR(O18="",NOT(ISNUMBER(O18))),360,MAX(0,MIN(480,(INT(O18/100)-INT(VALUE(H18)/100))*12+MOD(O18,100)-MOD(VALUE(H18),100))))</f>
        <v/>
      </c>
      <c r="AB18">
        <f>IF(AND(AA18&gt;0,AA18&lt;=24),1,0)</f>
        <v/>
      </c>
      <c r="AC18" s="25">
        <f>IF(OR(P18="",NOT(ISNUMBER(P18))),0,MAX(0,MIN(24,(INT(VALUE(H18)/100)-INT(P18/100))*12+MOD(VALUE(H18),100)-MOD(P18,100))))</f>
        <v/>
      </c>
      <c r="AD18" s="23">
        <f>LN(1+I18)</f>
        <v/>
      </c>
      <c r="AE18">
        <f>IF(I18&lt;2000000,1,0)</f>
        <v/>
      </c>
      <c r="AF18">
        <f>IF(I18&gt;50000000,1,0)</f>
        <v/>
      </c>
      <c r="AG18" s="23">
        <f>IF(ISNUMBER(M18),N18/MAX(M18,1),0)</f>
        <v/>
      </c>
      <c r="AH18">
        <f>IF(G18&gt;=2021,1,0)</f>
        <v/>
      </c>
      <c r="AI18">
        <f>S18</f>
        <v/>
      </c>
      <c r="AJ18">
        <f>T18</f>
        <v/>
      </c>
      <c r="AK18">
        <f>R18</f>
        <v/>
      </c>
      <c r="AL18">
        <f>U18</f>
        <v/>
      </c>
      <c r="AM18">
        <f>IF(ISNUMBER(SEARCH("CAPITAL FUNDING",D18)),1,0)</f>
        <v/>
      </c>
      <c r="AN18">
        <f>IF(ISNUMBER(SEARCH("PNC",D18)),1,0)</f>
        <v/>
      </c>
      <c r="AO18">
        <f>IF(ISNUMBER(SEARCH("WELLS FARGO",D18)),1,0)</f>
        <v/>
      </c>
      <c r="AP18">
        <f>IF(ISNUMBER(SEARCH("DWIGHT",D18)),1,0)</f>
        <v/>
      </c>
      <c r="AQ18">
        <f>IF(ISNUMBER(SEARCH("GREYSTONE",D18)),1,0)</f>
        <v/>
      </c>
      <c r="AR18">
        <f>IF(OR(Q18="3896",Q18="3557"),1,0)</f>
        <v/>
      </c>
      <c r="AS18" s="24">
        <f>V18*W18</f>
        <v/>
      </c>
      <c r="AT18" s="26">
        <f>V$4*(V18-V$3)</f>
        <v/>
      </c>
      <c r="AU18" s="26">
        <f>W$4*(W18-W$3)</f>
        <v/>
      </c>
      <c r="AV18" s="26">
        <f>X$4*(X18-X$3)</f>
        <v/>
      </c>
      <c r="AW18" s="26">
        <f>Y$4*(Y18-Y$3)</f>
        <v/>
      </c>
      <c r="AX18" s="26">
        <f>Z$4*(Z18-Z$3)</f>
        <v/>
      </c>
      <c r="AY18" s="26">
        <f>AA$4*(AA18-AA$3)</f>
        <v/>
      </c>
      <c r="AZ18" s="26">
        <f>AB$4*(AB18-AB$3)</f>
        <v/>
      </c>
      <c r="BA18" s="26">
        <f>AC$4*(AC18-AC$3)</f>
        <v/>
      </c>
      <c r="BB18" s="26">
        <f>AD$4*(AD18-AD$3)</f>
        <v/>
      </c>
      <c r="BC18" s="26">
        <f>AE$4*(AE18-AE$3)</f>
        <v/>
      </c>
      <c r="BD18" s="26">
        <f>AF$4*(AF18-AF$3)</f>
        <v/>
      </c>
      <c r="BE18" s="26">
        <f>AG$4*(AG18-AG$3)</f>
        <v/>
      </c>
      <c r="BF18" s="26">
        <f>AH$4*(AH18-AH$3)</f>
        <v/>
      </c>
      <c r="BG18" s="26">
        <f>AI$4*(AI18-AI$3)</f>
        <v/>
      </c>
      <c r="BH18" s="26">
        <f>AJ$4*(AJ18-AJ$3)</f>
        <v/>
      </c>
      <c r="BI18" s="26">
        <f>AK$4*(AK18-AK$3)</f>
        <v/>
      </c>
      <c r="BJ18" s="26">
        <f>AL$4*(AL18-AL$3)</f>
        <v/>
      </c>
      <c r="BK18" s="26">
        <f>AM$4*(AM18-AM$3)</f>
        <v/>
      </c>
      <c r="BL18" s="26">
        <f>AN$4*(AN18-AN$3)</f>
        <v/>
      </c>
      <c r="BM18" s="26">
        <f>AO$4*(AO18-AO$3)</f>
        <v/>
      </c>
      <c r="BN18" s="26">
        <f>AP$4*(AP18-AP$3)</f>
        <v/>
      </c>
      <c r="BO18" s="26">
        <f>AQ$4*(AQ18-AQ$3)</f>
        <v/>
      </c>
      <c r="BP18" s="26">
        <f>AR$4*(AR18-AR$3)</f>
        <v/>
      </c>
      <c r="BQ18" s="26">
        <f>AS$4*(AS18-AS$3)</f>
        <v/>
      </c>
      <c r="BR18" s="27">
        <f>SUM(AT18:BQ18)</f>
        <v/>
      </c>
      <c r="BS18" s="27">
        <f>INTERCEPT_SCALED+BR18</f>
        <v/>
      </c>
      <c r="BT18" s="28">
        <f>1/(1+EXP(-BS18))</f>
        <v/>
      </c>
      <c r="BU18" s="13">
        <f>1-(1-BT18)^12</f>
        <v/>
      </c>
      <c r="BV18" s="13">
        <f>IFERROR(AT18/BR18*(BU18-BASELINE_CPR),0)</f>
        <v/>
      </c>
      <c r="BW18" s="13">
        <f>IFERROR(AU18/BR18*(BU18-BASELINE_CPR),0)</f>
        <v/>
      </c>
      <c r="BX18" s="13">
        <f>IFERROR(AV18/BR18*(BU18-BASELINE_CPR),0)</f>
        <v/>
      </c>
      <c r="BY18" s="13">
        <f>IFERROR(AW18/BR18*(BU18-BASELINE_CPR),0)</f>
        <v/>
      </c>
      <c r="BZ18" s="13">
        <f>IFERROR(AX18/BR18*(BU18-BASELINE_CPR),0)</f>
        <v/>
      </c>
      <c r="CA18" s="13">
        <f>IFERROR(AY18/BR18*(BU18-BASELINE_CPR),0)</f>
        <v/>
      </c>
      <c r="CB18" s="13">
        <f>IFERROR(AZ18/BR18*(BU18-BASELINE_CPR),0)</f>
        <v/>
      </c>
      <c r="CC18" s="13">
        <f>IFERROR(BA18/BR18*(BU18-BASELINE_CPR),0)</f>
        <v/>
      </c>
      <c r="CD18" s="13">
        <f>IFERROR(BB18/BR18*(BU18-BASELINE_CPR),0)</f>
        <v/>
      </c>
      <c r="CE18" s="13">
        <f>IFERROR(BC18/BR18*(BU18-BASELINE_CPR),0)</f>
        <v/>
      </c>
      <c r="CF18" s="13">
        <f>IFERROR(BD18/BR18*(BU18-BASELINE_CPR),0)</f>
        <v/>
      </c>
      <c r="CG18" s="13">
        <f>IFERROR(BE18/BR18*(BU18-BASELINE_CPR),0)</f>
        <v/>
      </c>
      <c r="CH18" s="13">
        <f>IFERROR(BF18/BR18*(BU18-BASELINE_CPR),0)</f>
        <v/>
      </c>
      <c r="CI18" s="13">
        <f>IFERROR(BG18/BR18*(BU18-BASELINE_CPR),0)</f>
        <v/>
      </c>
      <c r="CJ18" s="13">
        <f>IFERROR(BH18/BR18*(BU18-BASELINE_CPR),0)</f>
        <v/>
      </c>
      <c r="CK18" s="13">
        <f>IFERROR(BI18/BR18*(BU18-BASELINE_CPR),0)</f>
        <v/>
      </c>
      <c r="CL18" s="13">
        <f>IFERROR(BJ18/BR18*(BU18-BASELINE_CPR),0)</f>
        <v/>
      </c>
      <c r="CM18" s="13">
        <f>IFERROR(BK18/BR18*(BU18-BASELINE_CPR),0)</f>
        <v/>
      </c>
      <c r="CN18" s="13">
        <f>IFERROR(BL18/BR18*(BU18-BASELINE_CPR),0)</f>
        <v/>
      </c>
      <c r="CO18" s="13">
        <f>IFERROR(BM18/BR18*(BU18-BASELINE_CPR),0)</f>
        <v/>
      </c>
      <c r="CP18" s="13">
        <f>IFERROR(BN18/BR18*(BU18-BASELINE_CPR),0)</f>
        <v/>
      </c>
      <c r="CQ18" s="13">
        <f>IFERROR(BO18/BR18*(BU18-BASELINE_CPR),0)</f>
        <v/>
      </c>
      <c r="CR18" s="13">
        <f>IFERROR(BP18/BR18*(BU18-BASELINE_CPR),0)</f>
        <v/>
      </c>
      <c r="CS18" s="13">
        <f>IFERROR(BQ18/BR18*(BU18-BASELINE_CPR),0)</f>
        <v/>
      </c>
      <c r="CT18" s="29">
        <f>BASELINE_CPR+SUM(BV18:CS18)-BU18</f>
        <v/>
      </c>
    </row>
    <row r="19">
      <c r="A19" s="2" t="inlineStr">
        <is>
          <t>36187SCA3_000000001411159</t>
        </is>
      </c>
      <c r="B19" t="inlineStr">
        <is>
          <t>LUMENT_PRE21</t>
        </is>
      </c>
      <c r="C19" s="2" t="inlineStr">
        <is>
          <t>36187SCA3</t>
        </is>
      </c>
      <c r="D19" t="inlineStr">
        <is>
          <t>LUMENT REAL ESTATE CAPITAL,LLC</t>
        </is>
      </c>
      <c r="E19" t="inlineStr">
        <is>
          <t>223f</t>
        </is>
      </c>
      <c r="F19" t="inlineStr">
        <is>
          <t>RP</t>
        </is>
      </c>
      <c r="G19" t="n">
        <v>2009</v>
      </c>
      <c r="H19" t="inlineStr">
        <is>
          <t>202602</t>
        </is>
      </c>
      <c r="I19" s="22" t="n">
        <v>1334344.32</v>
      </c>
      <c r="J19" s="23" t="n">
        <v>4.29</v>
      </c>
      <c r="K19" s="24" t="n">
        <v>447</v>
      </c>
      <c r="L19" s="24" t="n">
        <v>0</v>
      </c>
      <c r="M19" t="n">
        <v>205</v>
      </c>
      <c r="N19" t="n">
        <v>38</v>
      </c>
      <c r="O19" t="n">
        <v>204403</v>
      </c>
      <c r="P19" t="inlineStr"/>
      <c r="Q19" t="inlineStr">
        <is>
          <t>3896</t>
        </is>
      </c>
      <c r="R19" t="n">
        <v>0</v>
      </c>
      <c r="S19" t="n">
        <v>0</v>
      </c>
      <c r="T19" t="n">
        <v>0</v>
      </c>
      <c r="U19" t="n">
        <v>0</v>
      </c>
      <c r="V19" s="24">
        <f>J19*100-K19</f>
        <v/>
      </c>
      <c r="W19" s="24">
        <f>L19</f>
        <v/>
      </c>
      <c r="X19" s="25">
        <f>MIN(M19,36)</f>
        <v/>
      </c>
      <c r="Y19" s="25">
        <f>MIN(MAX(M19-36,0),84)</f>
        <v/>
      </c>
      <c r="Z19" s="25">
        <f>MAX(M19-120,0)</f>
        <v/>
      </c>
      <c r="AA19" s="25">
        <f>IF(OR(O19="",NOT(ISNUMBER(O19))),360,MAX(0,MIN(480,(INT(O19/100)-INT(VALUE(H19)/100))*12+MOD(O19,100)-MOD(VALUE(H19),100))))</f>
        <v/>
      </c>
      <c r="AB19">
        <f>IF(AND(AA19&gt;0,AA19&lt;=24),1,0)</f>
        <v/>
      </c>
      <c r="AC19" s="25">
        <f>IF(OR(P19="",NOT(ISNUMBER(P19))),0,MAX(0,MIN(24,(INT(VALUE(H19)/100)-INT(P19/100))*12+MOD(VALUE(H19),100)-MOD(P19,100))))</f>
        <v/>
      </c>
      <c r="AD19" s="23">
        <f>LN(1+I19)</f>
        <v/>
      </c>
      <c r="AE19">
        <f>IF(I19&lt;2000000,1,0)</f>
        <v/>
      </c>
      <c r="AF19">
        <f>IF(I19&gt;50000000,1,0)</f>
        <v/>
      </c>
      <c r="AG19" s="23">
        <f>IF(ISNUMBER(M19),N19/MAX(M19,1),0)</f>
        <v/>
      </c>
      <c r="AH19">
        <f>IF(G19&gt;=2021,1,0)</f>
        <v/>
      </c>
      <c r="AI19">
        <f>S19</f>
        <v/>
      </c>
      <c r="AJ19">
        <f>T19</f>
        <v/>
      </c>
      <c r="AK19">
        <f>R19</f>
        <v/>
      </c>
      <c r="AL19">
        <f>U19</f>
        <v/>
      </c>
      <c r="AM19">
        <f>IF(ISNUMBER(SEARCH("CAPITAL FUNDING",D19)),1,0)</f>
        <v/>
      </c>
      <c r="AN19">
        <f>IF(ISNUMBER(SEARCH("PNC",D19)),1,0)</f>
        <v/>
      </c>
      <c r="AO19">
        <f>IF(ISNUMBER(SEARCH("WELLS FARGO",D19)),1,0)</f>
        <v/>
      </c>
      <c r="AP19">
        <f>IF(ISNUMBER(SEARCH("DWIGHT",D19)),1,0)</f>
        <v/>
      </c>
      <c r="AQ19">
        <f>IF(ISNUMBER(SEARCH("GREYSTONE",D19)),1,0)</f>
        <v/>
      </c>
      <c r="AR19">
        <f>IF(OR(Q19="3896",Q19="3557"),1,0)</f>
        <v/>
      </c>
      <c r="AS19" s="24">
        <f>V19*W19</f>
        <v/>
      </c>
      <c r="AT19" s="26">
        <f>V$4*(V19-V$3)</f>
        <v/>
      </c>
      <c r="AU19" s="26">
        <f>W$4*(W19-W$3)</f>
        <v/>
      </c>
      <c r="AV19" s="26">
        <f>X$4*(X19-X$3)</f>
        <v/>
      </c>
      <c r="AW19" s="26">
        <f>Y$4*(Y19-Y$3)</f>
        <v/>
      </c>
      <c r="AX19" s="26">
        <f>Z$4*(Z19-Z$3)</f>
        <v/>
      </c>
      <c r="AY19" s="26">
        <f>AA$4*(AA19-AA$3)</f>
        <v/>
      </c>
      <c r="AZ19" s="26">
        <f>AB$4*(AB19-AB$3)</f>
        <v/>
      </c>
      <c r="BA19" s="26">
        <f>AC$4*(AC19-AC$3)</f>
        <v/>
      </c>
      <c r="BB19" s="26">
        <f>AD$4*(AD19-AD$3)</f>
        <v/>
      </c>
      <c r="BC19" s="26">
        <f>AE$4*(AE19-AE$3)</f>
        <v/>
      </c>
      <c r="BD19" s="26">
        <f>AF$4*(AF19-AF$3)</f>
        <v/>
      </c>
      <c r="BE19" s="26">
        <f>AG$4*(AG19-AG$3)</f>
        <v/>
      </c>
      <c r="BF19" s="26">
        <f>AH$4*(AH19-AH$3)</f>
        <v/>
      </c>
      <c r="BG19" s="26">
        <f>AI$4*(AI19-AI$3)</f>
        <v/>
      </c>
      <c r="BH19" s="26">
        <f>AJ$4*(AJ19-AJ$3)</f>
        <v/>
      </c>
      <c r="BI19" s="26">
        <f>AK$4*(AK19-AK$3)</f>
        <v/>
      </c>
      <c r="BJ19" s="26">
        <f>AL$4*(AL19-AL$3)</f>
        <v/>
      </c>
      <c r="BK19" s="26">
        <f>AM$4*(AM19-AM$3)</f>
        <v/>
      </c>
      <c r="BL19" s="26">
        <f>AN$4*(AN19-AN$3)</f>
        <v/>
      </c>
      <c r="BM19" s="26">
        <f>AO$4*(AO19-AO$3)</f>
        <v/>
      </c>
      <c r="BN19" s="26">
        <f>AP$4*(AP19-AP$3)</f>
        <v/>
      </c>
      <c r="BO19" s="26">
        <f>AQ$4*(AQ19-AQ$3)</f>
        <v/>
      </c>
      <c r="BP19" s="26">
        <f>AR$4*(AR19-AR$3)</f>
        <v/>
      </c>
      <c r="BQ19" s="26">
        <f>AS$4*(AS19-AS$3)</f>
        <v/>
      </c>
      <c r="BR19" s="27">
        <f>SUM(AT19:BQ19)</f>
        <v/>
      </c>
      <c r="BS19" s="27">
        <f>INTERCEPT_SCALED+BR19</f>
        <v/>
      </c>
      <c r="BT19" s="28">
        <f>1/(1+EXP(-BS19))</f>
        <v/>
      </c>
      <c r="BU19" s="13">
        <f>1-(1-BT19)^12</f>
        <v/>
      </c>
      <c r="BV19" s="13">
        <f>IFERROR(AT19/BR19*(BU19-BASELINE_CPR),0)</f>
        <v/>
      </c>
      <c r="BW19" s="13">
        <f>IFERROR(AU19/BR19*(BU19-BASELINE_CPR),0)</f>
        <v/>
      </c>
      <c r="BX19" s="13">
        <f>IFERROR(AV19/BR19*(BU19-BASELINE_CPR),0)</f>
        <v/>
      </c>
      <c r="BY19" s="13">
        <f>IFERROR(AW19/BR19*(BU19-BASELINE_CPR),0)</f>
        <v/>
      </c>
      <c r="BZ19" s="13">
        <f>IFERROR(AX19/BR19*(BU19-BASELINE_CPR),0)</f>
        <v/>
      </c>
      <c r="CA19" s="13">
        <f>IFERROR(AY19/BR19*(BU19-BASELINE_CPR),0)</f>
        <v/>
      </c>
      <c r="CB19" s="13">
        <f>IFERROR(AZ19/BR19*(BU19-BASELINE_CPR),0)</f>
        <v/>
      </c>
      <c r="CC19" s="13">
        <f>IFERROR(BA19/BR19*(BU19-BASELINE_CPR),0)</f>
        <v/>
      </c>
      <c r="CD19" s="13">
        <f>IFERROR(BB19/BR19*(BU19-BASELINE_CPR),0)</f>
        <v/>
      </c>
      <c r="CE19" s="13">
        <f>IFERROR(BC19/BR19*(BU19-BASELINE_CPR),0)</f>
        <v/>
      </c>
      <c r="CF19" s="13">
        <f>IFERROR(BD19/BR19*(BU19-BASELINE_CPR),0)</f>
        <v/>
      </c>
      <c r="CG19" s="13">
        <f>IFERROR(BE19/BR19*(BU19-BASELINE_CPR),0)</f>
        <v/>
      </c>
      <c r="CH19" s="13">
        <f>IFERROR(BF19/BR19*(BU19-BASELINE_CPR),0)</f>
        <v/>
      </c>
      <c r="CI19" s="13">
        <f>IFERROR(BG19/BR19*(BU19-BASELINE_CPR),0)</f>
        <v/>
      </c>
      <c r="CJ19" s="13">
        <f>IFERROR(BH19/BR19*(BU19-BASELINE_CPR),0)</f>
        <v/>
      </c>
      <c r="CK19" s="13">
        <f>IFERROR(BI19/BR19*(BU19-BASELINE_CPR),0)</f>
        <v/>
      </c>
      <c r="CL19" s="13">
        <f>IFERROR(BJ19/BR19*(BU19-BASELINE_CPR),0)</f>
        <v/>
      </c>
      <c r="CM19" s="13">
        <f>IFERROR(BK19/BR19*(BU19-BASELINE_CPR),0)</f>
        <v/>
      </c>
      <c r="CN19" s="13">
        <f>IFERROR(BL19/BR19*(BU19-BASELINE_CPR),0)</f>
        <v/>
      </c>
      <c r="CO19" s="13">
        <f>IFERROR(BM19/BR19*(BU19-BASELINE_CPR),0)</f>
        <v/>
      </c>
      <c r="CP19" s="13">
        <f>IFERROR(BN19/BR19*(BU19-BASELINE_CPR),0)</f>
        <v/>
      </c>
      <c r="CQ19" s="13">
        <f>IFERROR(BO19/BR19*(BU19-BASELINE_CPR),0)</f>
        <v/>
      </c>
      <c r="CR19" s="13">
        <f>IFERROR(BP19/BR19*(BU19-BASELINE_CPR),0)</f>
        <v/>
      </c>
      <c r="CS19" s="13">
        <f>IFERROR(BQ19/BR19*(BU19-BASELINE_CPR),0)</f>
        <v/>
      </c>
      <c r="CT19" s="29">
        <f>BASELINE_CPR+SUM(BV19:CS19)-BU19</f>
        <v/>
      </c>
    </row>
    <row r="20">
      <c r="A20" s="2" t="inlineStr">
        <is>
          <t>3617AVUR7_049031028004210</t>
        </is>
      </c>
      <c r="B20" t="inlineStr">
        <is>
          <t>LUMENT_PRE21</t>
        </is>
      </c>
      <c r="C20" s="2" t="inlineStr">
        <is>
          <t>3617AVUR7</t>
        </is>
      </c>
      <c r="D20" t="inlineStr">
        <is>
          <t>LUMENT REAL ESTATE CAPITAL,LLC</t>
        </is>
      </c>
      <c r="E20" t="inlineStr">
        <is>
          <t>538</t>
        </is>
      </c>
      <c r="F20" t="inlineStr">
        <is>
          <t>538</t>
        </is>
      </c>
      <c r="G20" t="n">
        <v>2017</v>
      </c>
      <c r="H20" t="inlineStr">
        <is>
          <t>202602</t>
        </is>
      </c>
      <c r="I20" s="22" t="n">
        <v>1419192.88</v>
      </c>
      <c r="J20" s="23" t="n">
        <v>3.89</v>
      </c>
      <c r="K20" s="24" t="n">
        <v>447</v>
      </c>
      <c r="L20" s="24" t="n">
        <v>3</v>
      </c>
      <c r="M20" t="n">
        <v>103</v>
      </c>
      <c r="N20" t="n">
        <v>31</v>
      </c>
      <c r="O20" t="n">
        <v>204708</v>
      </c>
      <c r="P20" t="inlineStr"/>
      <c r="Q20" t="inlineStr">
        <is>
          <t>3896</t>
        </is>
      </c>
      <c r="R20" t="n">
        <v>0</v>
      </c>
      <c r="S20" t="n">
        <v>0</v>
      </c>
      <c r="T20" t="n">
        <v>1</v>
      </c>
      <c r="U20" t="n">
        <v>0</v>
      </c>
      <c r="V20" s="24">
        <f>J20*100-K20</f>
        <v/>
      </c>
      <c r="W20" s="24">
        <f>L20</f>
        <v/>
      </c>
      <c r="X20" s="25">
        <f>MIN(M20,36)</f>
        <v/>
      </c>
      <c r="Y20" s="25">
        <f>MIN(MAX(M20-36,0),84)</f>
        <v/>
      </c>
      <c r="Z20" s="25">
        <f>MAX(M20-120,0)</f>
        <v/>
      </c>
      <c r="AA20" s="25">
        <f>IF(OR(O20="",NOT(ISNUMBER(O20))),360,MAX(0,MIN(480,(INT(O20/100)-INT(VALUE(H20)/100))*12+MOD(O20,100)-MOD(VALUE(H20),100))))</f>
        <v/>
      </c>
      <c r="AB20">
        <f>IF(AND(AA20&gt;0,AA20&lt;=24),1,0)</f>
        <v/>
      </c>
      <c r="AC20" s="25">
        <f>IF(OR(P20="",NOT(ISNUMBER(P20))),0,MAX(0,MIN(24,(INT(VALUE(H20)/100)-INT(P20/100))*12+MOD(VALUE(H20),100)-MOD(P20,100))))</f>
        <v/>
      </c>
      <c r="AD20" s="23">
        <f>LN(1+I20)</f>
        <v/>
      </c>
      <c r="AE20">
        <f>IF(I20&lt;2000000,1,0)</f>
        <v/>
      </c>
      <c r="AF20">
        <f>IF(I20&gt;50000000,1,0)</f>
        <v/>
      </c>
      <c r="AG20" s="23">
        <f>IF(ISNUMBER(M20),N20/MAX(M20,1),0)</f>
        <v/>
      </c>
      <c r="AH20">
        <f>IF(G20&gt;=2021,1,0)</f>
        <v/>
      </c>
      <c r="AI20">
        <f>S20</f>
        <v/>
      </c>
      <c r="AJ20">
        <f>T20</f>
        <v/>
      </c>
      <c r="AK20">
        <f>R20</f>
        <v/>
      </c>
      <c r="AL20">
        <f>U20</f>
        <v/>
      </c>
      <c r="AM20">
        <f>IF(ISNUMBER(SEARCH("CAPITAL FUNDING",D20)),1,0)</f>
        <v/>
      </c>
      <c r="AN20">
        <f>IF(ISNUMBER(SEARCH("PNC",D20)),1,0)</f>
        <v/>
      </c>
      <c r="AO20">
        <f>IF(ISNUMBER(SEARCH("WELLS FARGO",D20)),1,0)</f>
        <v/>
      </c>
      <c r="AP20">
        <f>IF(ISNUMBER(SEARCH("DWIGHT",D20)),1,0)</f>
        <v/>
      </c>
      <c r="AQ20">
        <f>IF(ISNUMBER(SEARCH("GREYSTONE",D20)),1,0)</f>
        <v/>
      </c>
      <c r="AR20">
        <f>IF(OR(Q20="3896",Q20="3557"),1,0)</f>
        <v/>
      </c>
      <c r="AS20" s="24">
        <f>V20*W20</f>
        <v/>
      </c>
      <c r="AT20" s="26">
        <f>V$4*(V20-V$3)</f>
        <v/>
      </c>
      <c r="AU20" s="26">
        <f>W$4*(W20-W$3)</f>
        <v/>
      </c>
      <c r="AV20" s="26">
        <f>X$4*(X20-X$3)</f>
        <v/>
      </c>
      <c r="AW20" s="26">
        <f>Y$4*(Y20-Y$3)</f>
        <v/>
      </c>
      <c r="AX20" s="26">
        <f>Z$4*(Z20-Z$3)</f>
        <v/>
      </c>
      <c r="AY20" s="26">
        <f>AA$4*(AA20-AA$3)</f>
        <v/>
      </c>
      <c r="AZ20" s="26">
        <f>AB$4*(AB20-AB$3)</f>
        <v/>
      </c>
      <c r="BA20" s="26">
        <f>AC$4*(AC20-AC$3)</f>
        <v/>
      </c>
      <c r="BB20" s="26">
        <f>AD$4*(AD20-AD$3)</f>
        <v/>
      </c>
      <c r="BC20" s="26">
        <f>AE$4*(AE20-AE$3)</f>
        <v/>
      </c>
      <c r="BD20" s="26">
        <f>AF$4*(AF20-AF$3)</f>
        <v/>
      </c>
      <c r="BE20" s="26">
        <f>AG$4*(AG20-AG$3)</f>
        <v/>
      </c>
      <c r="BF20" s="26">
        <f>AH$4*(AH20-AH$3)</f>
        <v/>
      </c>
      <c r="BG20" s="26">
        <f>AI$4*(AI20-AI$3)</f>
        <v/>
      </c>
      <c r="BH20" s="26">
        <f>AJ$4*(AJ20-AJ$3)</f>
        <v/>
      </c>
      <c r="BI20" s="26">
        <f>AK$4*(AK20-AK$3)</f>
        <v/>
      </c>
      <c r="BJ20" s="26">
        <f>AL$4*(AL20-AL$3)</f>
        <v/>
      </c>
      <c r="BK20" s="26">
        <f>AM$4*(AM20-AM$3)</f>
        <v/>
      </c>
      <c r="BL20" s="26">
        <f>AN$4*(AN20-AN$3)</f>
        <v/>
      </c>
      <c r="BM20" s="26">
        <f>AO$4*(AO20-AO$3)</f>
        <v/>
      </c>
      <c r="BN20" s="26">
        <f>AP$4*(AP20-AP$3)</f>
        <v/>
      </c>
      <c r="BO20" s="26">
        <f>AQ$4*(AQ20-AQ$3)</f>
        <v/>
      </c>
      <c r="BP20" s="26">
        <f>AR$4*(AR20-AR$3)</f>
        <v/>
      </c>
      <c r="BQ20" s="26">
        <f>AS$4*(AS20-AS$3)</f>
        <v/>
      </c>
      <c r="BR20" s="27">
        <f>SUM(AT20:BQ20)</f>
        <v/>
      </c>
      <c r="BS20" s="27">
        <f>INTERCEPT_SCALED+BR20</f>
        <v/>
      </c>
      <c r="BT20" s="28">
        <f>1/(1+EXP(-BS20))</f>
        <v/>
      </c>
      <c r="BU20" s="13">
        <f>1-(1-BT20)^12</f>
        <v/>
      </c>
      <c r="BV20" s="13">
        <f>IFERROR(AT20/BR20*(BU20-BASELINE_CPR),0)</f>
        <v/>
      </c>
      <c r="BW20" s="13">
        <f>IFERROR(AU20/BR20*(BU20-BASELINE_CPR),0)</f>
        <v/>
      </c>
      <c r="BX20" s="13">
        <f>IFERROR(AV20/BR20*(BU20-BASELINE_CPR),0)</f>
        <v/>
      </c>
      <c r="BY20" s="13">
        <f>IFERROR(AW20/BR20*(BU20-BASELINE_CPR),0)</f>
        <v/>
      </c>
      <c r="BZ20" s="13">
        <f>IFERROR(AX20/BR20*(BU20-BASELINE_CPR),0)</f>
        <v/>
      </c>
      <c r="CA20" s="13">
        <f>IFERROR(AY20/BR20*(BU20-BASELINE_CPR),0)</f>
        <v/>
      </c>
      <c r="CB20" s="13">
        <f>IFERROR(AZ20/BR20*(BU20-BASELINE_CPR),0)</f>
        <v/>
      </c>
      <c r="CC20" s="13">
        <f>IFERROR(BA20/BR20*(BU20-BASELINE_CPR),0)</f>
        <v/>
      </c>
      <c r="CD20" s="13">
        <f>IFERROR(BB20/BR20*(BU20-BASELINE_CPR),0)</f>
        <v/>
      </c>
      <c r="CE20" s="13">
        <f>IFERROR(BC20/BR20*(BU20-BASELINE_CPR),0)</f>
        <v/>
      </c>
      <c r="CF20" s="13">
        <f>IFERROR(BD20/BR20*(BU20-BASELINE_CPR),0)</f>
        <v/>
      </c>
      <c r="CG20" s="13">
        <f>IFERROR(BE20/BR20*(BU20-BASELINE_CPR),0)</f>
        <v/>
      </c>
      <c r="CH20" s="13">
        <f>IFERROR(BF20/BR20*(BU20-BASELINE_CPR),0)</f>
        <v/>
      </c>
      <c r="CI20" s="13">
        <f>IFERROR(BG20/BR20*(BU20-BASELINE_CPR),0)</f>
        <v/>
      </c>
      <c r="CJ20" s="13">
        <f>IFERROR(BH20/BR20*(BU20-BASELINE_CPR),0)</f>
        <v/>
      </c>
      <c r="CK20" s="13">
        <f>IFERROR(BI20/BR20*(BU20-BASELINE_CPR),0)</f>
        <v/>
      </c>
      <c r="CL20" s="13">
        <f>IFERROR(BJ20/BR20*(BU20-BASELINE_CPR),0)</f>
        <v/>
      </c>
      <c r="CM20" s="13">
        <f>IFERROR(BK20/BR20*(BU20-BASELINE_CPR),0)</f>
        <v/>
      </c>
      <c r="CN20" s="13">
        <f>IFERROR(BL20/BR20*(BU20-BASELINE_CPR),0)</f>
        <v/>
      </c>
      <c r="CO20" s="13">
        <f>IFERROR(BM20/BR20*(BU20-BASELINE_CPR),0)</f>
        <v/>
      </c>
      <c r="CP20" s="13">
        <f>IFERROR(BN20/BR20*(BU20-BASELINE_CPR),0)</f>
        <v/>
      </c>
      <c r="CQ20" s="13">
        <f>IFERROR(BO20/BR20*(BU20-BASELINE_CPR),0)</f>
        <v/>
      </c>
      <c r="CR20" s="13">
        <f>IFERROR(BP20/BR20*(BU20-BASELINE_CPR),0)</f>
        <v/>
      </c>
      <c r="CS20" s="13">
        <f>IFERROR(BQ20/BR20*(BU20-BASELINE_CPR),0)</f>
        <v/>
      </c>
      <c r="CT20" s="29">
        <f>BASELINE_CPR+SUM(BV20:CS20)-BU20</f>
        <v/>
      </c>
    </row>
    <row r="21">
      <c r="A21" s="2" t="inlineStr">
        <is>
          <t>3617GKP67_000000002411077</t>
        </is>
      </c>
      <c r="B21" t="inlineStr">
        <is>
          <t>LUMENT_PRE21</t>
        </is>
      </c>
      <c r="C21" s="2" t="inlineStr">
        <is>
          <t>3617GKP67</t>
        </is>
      </c>
      <c r="D21" t="inlineStr">
        <is>
          <t>LUMENT REAL ESTATE CAPITAL,LLC</t>
        </is>
      </c>
      <c r="E21" t="inlineStr">
        <is>
          <t>223f</t>
        </is>
      </c>
      <c r="F21" t="inlineStr">
        <is>
          <t>RP</t>
        </is>
      </c>
      <c r="G21" t="n">
        <v>2018</v>
      </c>
      <c r="H21" t="inlineStr">
        <is>
          <t>202602</t>
        </is>
      </c>
      <c r="I21" s="22" t="n">
        <v>5685256.38</v>
      </c>
      <c r="J21" s="23" t="n">
        <v>4.02</v>
      </c>
      <c r="K21" s="24" t="n">
        <v>447</v>
      </c>
      <c r="L21" s="24" t="n">
        <v>3</v>
      </c>
      <c r="M21" t="n">
        <v>93</v>
      </c>
      <c r="N21" t="n">
        <v>32</v>
      </c>
      <c r="O21" t="n">
        <v>205306</v>
      </c>
      <c r="P21" t="inlineStr"/>
      <c r="Q21" t="inlineStr">
        <is>
          <t>3896</t>
        </is>
      </c>
      <c r="R21" t="n">
        <v>0</v>
      </c>
      <c r="S21" t="n">
        <v>0</v>
      </c>
      <c r="T21" t="n">
        <v>0</v>
      </c>
      <c r="U21" t="n">
        <v>0</v>
      </c>
      <c r="V21" s="24">
        <f>J21*100-K21</f>
        <v/>
      </c>
      <c r="W21" s="24">
        <f>L21</f>
        <v/>
      </c>
      <c r="X21" s="25">
        <f>MIN(M21,36)</f>
        <v/>
      </c>
      <c r="Y21" s="25">
        <f>MIN(MAX(M21-36,0),84)</f>
        <v/>
      </c>
      <c r="Z21" s="25">
        <f>MAX(M21-120,0)</f>
        <v/>
      </c>
      <c r="AA21" s="25">
        <f>IF(OR(O21="",NOT(ISNUMBER(O21))),360,MAX(0,MIN(480,(INT(O21/100)-INT(VALUE(H21)/100))*12+MOD(O21,100)-MOD(VALUE(H21),100))))</f>
        <v/>
      </c>
      <c r="AB21">
        <f>IF(AND(AA21&gt;0,AA21&lt;=24),1,0)</f>
        <v/>
      </c>
      <c r="AC21" s="25">
        <f>IF(OR(P21="",NOT(ISNUMBER(P21))),0,MAX(0,MIN(24,(INT(VALUE(H21)/100)-INT(P21/100))*12+MOD(VALUE(H21),100)-MOD(P21,100))))</f>
        <v/>
      </c>
      <c r="AD21" s="23">
        <f>LN(1+I21)</f>
        <v/>
      </c>
      <c r="AE21">
        <f>IF(I21&lt;2000000,1,0)</f>
        <v/>
      </c>
      <c r="AF21">
        <f>IF(I21&gt;50000000,1,0)</f>
        <v/>
      </c>
      <c r="AG21" s="23">
        <f>IF(ISNUMBER(M21),N21/MAX(M21,1),0)</f>
        <v/>
      </c>
      <c r="AH21">
        <f>IF(G21&gt;=2021,1,0)</f>
        <v/>
      </c>
      <c r="AI21">
        <f>S21</f>
        <v/>
      </c>
      <c r="AJ21">
        <f>T21</f>
        <v/>
      </c>
      <c r="AK21">
        <f>R21</f>
        <v/>
      </c>
      <c r="AL21">
        <f>U21</f>
        <v/>
      </c>
      <c r="AM21">
        <f>IF(ISNUMBER(SEARCH("CAPITAL FUNDING",D21)),1,0)</f>
        <v/>
      </c>
      <c r="AN21">
        <f>IF(ISNUMBER(SEARCH("PNC",D21)),1,0)</f>
        <v/>
      </c>
      <c r="AO21">
        <f>IF(ISNUMBER(SEARCH("WELLS FARGO",D21)),1,0)</f>
        <v/>
      </c>
      <c r="AP21">
        <f>IF(ISNUMBER(SEARCH("DWIGHT",D21)),1,0)</f>
        <v/>
      </c>
      <c r="AQ21">
        <f>IF(ISNUMBER(SEARCH("GREYSTONE",D21)),1,0)</f>
        <v/>
      </c>
      <c r="AR21">
        <f>IF(OR(Q21="3896",Q21="3557"),1,0)</f>
        <v/>
      </c>
      <c r="AS21" s="24">
        <f>V21*W21</f>
        <v/>
      </c>
      <c r="AT21" s="26">
        <f>V$4*(V21-V$3)</f>
        <v/>
      </c>
      <c r="AU21" s="26">
        <f>W$4*(W21-W$3)</f>
        <v/>
      </c>
      <c r="AV21" s="26">
        <f>X$4*(X21-X$3)</f>
        <v/>
      </c>
      <c r="AW21" s="26">
        <f>Y$4*(Y21-Y$3)</f>
        <v/>
      </c>
      <c r="AX21" s="26">
        <f>Z$4*(Z21-Z$3)</f>
        <v/>
      </c>
      <c r="AY21" s="26">
        <f>AA$4*(AA21-AA$3)</f>
        <v/>
      </c>
      <c r="AZ21" s="26">
        <f>AB$4*(AB21-AB$3)</f>
        <v/>
      </c>
      <c r="BA21" s="26">
        <f>AC$4*(AC21-AC$3)</f>
        <v/>
      </c>
      <c r="BB21" s="26">
        <f>AD$4*(AD21-AD$3)</f>
        <v/>
      </c>
      <c r="BC21" s="26">
        <f>AE$4*(AE21-AE$3)</f>
        <v/>
      </c>
      <c r="BD21" s="26">
        <f>AF$4*(AF21-AF$3)</f>
        <v/>
      </c>
      <c r="BE21" s="26">
        <f>AG$4*(AG21-AG$3)</f>
        <v/>
      </c>
      <c r="BF21" s="26">
        <f>AH$4*(AH21-AH$3)</f>
        <v/>
      </c>
      <c r="BG21" s="26">
        <f>AI$4*(AI21-AI$3)</f>
        <v/>
      </c>
      <c r="BH21" s="26">
        <f>AJ$4*(AJ21-AJ$3)</f>
        <v/>
      </c>
      <c r="BI21" s="26">
        <f>AK$4*(AK21-AK$3)</f>
        <v/>
      </c>
      <c r="BJ21" s="26">
        <f>AL$4*(AL21-AL$3)</f>
        <v/>
      </c>
      <c r="BK21" s="26">
        <f>AM$4*(AM21-AM$3)</f>
        <v/>
      </c>
      <c r="BL21" s="26">
        <f>AN$4*(AN21-AN$3)</f>
        <v/>
      </c>
      <c r="BM21" s="26">
        <f>AO$4*(AO21-AO$3)</f>
        <v/>
      </c>
      <c r="BN21" s="26">
        <f>AP$4*(AP21-AP$3)</f>
        <v/>
      </c>
      <c r="BO21" s="26">
        <f>AQ$4*(AQ21-AQ$3)</f>
        <v/>
      </c>
      <c r="BP21" s="26">
        <f>AR$4*(AR21-AR$3)</f>
        <v/>
      </c>
      <c r="BQ21" s="26">
        <f>AS$4*(AS21-AS$3)</f>
        <v/>
      </c>
      <c r="BR21" s="27">
        <f>SUM(AT21:BQ21)</f>
        <v/>
      </c>
      <c r="BS21" s="27">
        <f>INTERCEPT_SCALED+BR21</f>
        <v/>
      </c>
      <c r="BT21" s="28">
        <f>1/(1+EXP(-BS21))</f>
        <v/>
      </c>
      <c r="BU21" s="13">
        <f>1-(1-BT21)^12</f>
        <v/>
      </c>
      <c r="BV21" s="13">
        <f>IFERROR(AT21/BR21*(BU21-BASELINE_CPR),0)</f>
        <v/>
      </c>
      <c r="BW21" s="13">
        <f>IFERROR(AU21/BR21*(BU21-BASELINE_CPR),0)</f>
        <v/>
      </c>
      <c r="BX21" s="13">
        <f>IFERROR(AV21/BR21*(BU21-BASELINE_CPR),0)</f>
        <v/>
      </c>
      <c r="BY21" s="13">
        <f>IFERROR(AW21/BR21*(BU21-BASELINE_CPR),0)</f>
        <v/>
      </c>
      <c r="BZ21" s="13">
        <f>IFERROR(AX21/BR21*(BU21-BASELINE_CPR),0)</f>
        <v/>
      </c>
      <c r="CA21" s="13">
        <f>IFERROR(AY21/BR21*(BU21-BASELINE_CPR),0)</f>
        <v/>
      </c>
      <c r="CB21" s="13">
        <f>IFERROR(AZ21/BR21*(BU21-BASELINE_CPR),0)</f>
        <v/>
      </c>
      <c r="CC21" s="13">
        <f>IFERROR(BA21/BR21*(BU21-BASELINE_CPR),0)</f>
        <v/>
      </c>
      <c r="CD21" s="13">
        <f>IFERROR(BB21/BR21*(BU21-BASELINE_CPR),0)</f>
        <v/>
      </c>
      <c r="CE21" s="13">
        <f>IFERROR(BC21/BR21*(BU21-BASELINE_CPR),0)</f>
        <v/>
      </c>
      <c r="CF21" s="13">
        <f>IFERROR(BD21/BR21*(BU21-BASELINE_CPR),0)</f>
        <v/>
      </c>
      <c r="CG21" s="13">
        <f>IFERROR(BE21/BR21*(BU21-BASELINE_CPR),0)</f>
        <v/>
      </c>
      <c r="CH21" s="13">
        <f>IFERROR(BF21/BR21*(BU21-BASELINE_CPR),0)</f>
        <v/>
      </c>
      <c r="CI21" s="13">
        <f>IFERROR(BG21/BR21*(BU21-BASELINE_CPR),0)</f>
        <v/>
      </c>
      <c r="CJ21" s="13">
        <f>IFERROR(BH21/BR21*(BU21-BASELINE_CPR),0)</f>
        <v/>
      </c>
      <c r="CK21" s="13">
        <f>IFERROR(BI21/BR21*(BU21-BASELINE_CPR),0)</f>
        <v/>
      </c>
      <c r="CL21" s="13">
        <f>IFERROR(BJ21/BR21*(BU21-BASELINE_CPR),0)</f>
        <v/>
      </c>
      <c r="CM21" s="13">
        <f>IFERROR(BK21/BR21*(BU21-BASELINE_CPR),0)</f>
        <v/>
      </c>
      <c r="CN21" s="13">
        <f>IFERROR(BL21/BR21*(BU21-BASELINE_CPR),0)</f>
        <v/>
      </c>
      <c r="CO21" s="13">
        <f>IFERROR(BM21/BR21*(BU21-BASELINE_CPR),0)</f>
        <v/>
      </c>
      <c r="CP21" s="13">
        <f>IFERROR(BN21/BR21*(BU21-BASELINE_CPR),0)</f>
        <v/>
      </c>
      <c r="CQ21" s="13">
        <f>IFERROR(BO21/BR21*(BU21-BASELINE_CPR),0)</f>
        <v/>
      </c>
      <c r="CR21" s="13">
        <f>IFERROR(BP21/BR21*(BU21-BASELINE_CPR),0)</f>
        <v/>
      </c>
      <c r="CS21" s="13">
        <f>IFERROR(BQ21/BR21*(BU21-BASELINE_CPR),0)</f>
        <v/>
      </c>
      <c r="CT21" s="29">
        <f>BASELINE_CPR+SUM(BV21:CS21)-BU21</f>
        <v/>
      </c>
    </row>
    <row r="22">
      <c r="A22" s="2" t="inlineStr">
        <is>
          <t>36180QCV8_000000010535250</t>
        </is>
      </c>
      <c r="B22" t="inlineStr">
        <is>
          <t>LUMENT_PRE21</t>
        </is>
      </c>
      <c r="C22" s="2" t="inlineStr">
        <is>
          <t>36180QCV8</t>
        </is>
      </c>
      <c r="D22" t="inlineStr">
        <is>
          <t>LUMENT REAL ESTATE CAPITAL,LLC</t>
        </is>
      </c>
      <c r="E22" t="inlineStr">
        <is>
          <t>221d4</t>
        </is>
      </c>
      <c r="F22" t="inlineStr">
        <is>
          <t>NC</t>
        </is>
      </c>
      <c r="G22" t="n">
        <v>2015</v>
      </c>
      <c r="H22" t="inlineStr">
        <is>
          <t>202602</t>
        </is>
      </c>
      <c r="I22" s="22" t="n">
        <v>2808410.87</v>
      </c>
      <c r="J22" s="23" t="n">
        <v>3.35</v>
      </c>
      <c r="K22" s="24" t="n">
        <v>447</v>
      </c>
      <c r="L22" s="24" t="n">
        <v>1</v>
      </c>
      <c r="M22" t="n">
        <v>128</v>
      </c>
      <c r="N22" t="n">
        <v>27</v>
      </c>
      <c r="O22" t="n">
        <v>205604</v>
      </c>
      <c r="P22" t="inlineStr"/>
      <c r="Q22" t="inlineStr">
        <is>
          <t>3896</t>
        </is>
      </c>
      <c r="R22" t="n">
        <v>0</v>
      </c>
      <c r="S22" t="n">
        <v>0</v>
      </c>
      <c r="T22" t="n">
        <v>0</v>
      </c>
      <c r="U22" t="n">
        <v>1</v>
      </c>
      <c r="V22" s="24">
        <f>J22*100-K22</f>
        <v/>
      </c>
      <c r="W22" s="24">
        <f>L22</f>
        <v/>
      </c>
      <c r="X22" s="25">
        <f>MIN(M22,36)</f>
        <v/>
      </c>
      <c r="Y22" s="25">
        <f>MIN(MAX(M22-36,0),84)</f>
        <v/>
      </c>
      <c r="Z22" s="25">
        <f>MAX(M22-120,0)</f>
        <v/>
      </c>
      <c r="AA22" s="25">
        <f>IF(OR(O22="",NOT(ISNUMBER(O22))),360,MAX(0,MIN(480,(INT(O22/100)-INT(VALUE(H22)/100))*12+MOD(O22,100)-MOD(VALUE(H22),100))))</f>
        <v/>
      </c>
      <c r="AB22">
        <f>IF(AND(AA22&gt;0,AA22&lt;=24),1,0)</f>
        <v/>
      </c>
      <c r="AC22" s="25">
        <f>IF(OR(P22="",NOT(ISNUMBER(P22))),0,MAX(0,MIN(24,(INT(VALUE(H22)/100)-INT(P22/100))*12+MOD(VALUE(H22),100)-MOD(P22,100))))</f>
        <v/>
      </c>
      <c r="AD22" s="23">
        <f>LN(1+I22)</f>
        <v/>
      </c>
      <c r="AE22">
        <f>IF(I22&lt;2000000,1,0)</f>
        <v/>
      </c>
      <c r="AF22">
        <f>IF(I22&gt;50000000,1,0)</f>
        <v/>
      </c>
      <c r="AG22" s="23">
        <f>IF(ISNUMBER(M22),N22/MAX(M22,1),0)</f>
        <v/>
      </c>
      <c r="AH22">
        <f>IF(G22&gt;=2021,1,0)</f>
        <v/>
      </c>
      <c r="AI22">
        <f>S22</f>
        <v/>
      </c>
      <c r="AJ22">
        <f>T22</f>
        <v/>
      </c>
      <c r="AK22">
        <f>R22</f>
        <v/>
      </c>
      <c r="AL22">
        <f>U22</f>
        <v/>
      </c>
      <c r="AM22">
        <f>IF(ISNUMBER(SEARCH("CAPITAL FUNDING",D22)),1,0)</f>
        <v/>
      </c>
      <c r="AN22">
        <f>IF(ISNUMBER(SEARCH("PNC",D22)),1,0)</f>
        <v/>
      </c>
      <c r="AO22">
        <f>IF(ISNUMBER(SEARCH("WELLS FARGO",D22)),1,0)</f>
        <v/>
      </c>
      <c r="AP22">
        <f>IF(ISNUMBER(SEARCH("DWIGHT",D22)),1,0)</f>
        <v/>
      </c>
      <c r="AQ22">
        <f>IF(ISNUMBER(SEARCH("GREYSTONE",D22)),1,0)</f>
        <v/>
      </c>
      <c r="AR22">
        <f>IF(OR(Q22="3896",Q22="3557"),1,0)</f>
        <v/>
      </c>
      <c r="AS22" s="24">
        <f>V22*W22</f>
        <v/>
      </c>
      <c r="AT22" s="26">
        <f>V$4*(V22-V$3)</f>
        <v/>
      </c>
      <c r="AU22" s="26">
        <f>W$4*(W22-W$3)</f>
        <v/>
      </c>
      <c r="AV22" s="26">
        <f>X$4*(X22-X$3)</f>
        <v/>
      </c>
      <c r="AW22" s="26">
        <f>Y$4*(Y22-Y$3)</f>
        <v/>
      </c>
      <c r="AX22" s="26">
        <f>Z$4*(Z22-Z$3)</f>
        <v/>
      </c>
      <c r="AY22" s="26">
        <f>AA$4*(AA22-AA$3)</f>
        <v/>
      </c>
      <c r="AZ22" s="26">
        <f>AB$4*(AB22-AB$3)</f>
        <v/>
      </c>
      <c r="BA22" s="26">
        <f>AC$4*(AC22-AC$3)</f>
        <v/>
      </c>
      <c r="BB22" s="26">
        <f>AD$4*(AD22-AD$3)</f>
        <v/>
      </c>
      <c r="BC22" s="26">
        <f>AE$4*(AE22-AE$3)</f>
        <v/>
      </c>
      <c r="BD22" s="26">
        <f>AF$4*(AF22-AF$3)</f>
        <v/>
      </c>
      <c r="BE22" s="26">
        <f>AG$4*(AG22-AG$3)</f>
        <v/>
      </c>
      <c r="BF22" s="26">
        <f>AH$4*(AH22-AH$3)</f>
        <v/>
      </c>
      <c r="BG22" s="26">
        <f>AI$4*(AI22-AI$3)</f>
        <v/>
      </c>
      <c r="BH22" s="26">
        <f>AJ$4*(AJ22-AJ$3)</f>
        <v/>
      </c>
      <c r="BI22" s="26">
        <f>AK$4*(AK22-AK$3)</f>
        <v/>
      </c>
      <c r="BJ22" s="26">
        <f>AL$4*(AL22-AL$3)</f>
        <v/>
      </c>
      <c r="BK22" s="26">
        <f>AM$4*(AM22-AM$3)</f>
        <v/>
      </c>
      <c r="BL22" s="26">
        <f>AN$4*(AN22-AN$3)</f>
        <v/>
      </c>
      <c r="BM22" s="26">
        <f>AO$4*(AO22-AO$3)</f>
        <v/>
      </c>
      <c r="BN22" s="26">
        <f>AP$4*(AP22-AP$3)</f>
        <v/>
      </c>
      <c r="BO22" s="26">
        <f>AQ$4*(AQ22-AQ$3)</f>
        <v/>
      </c>
      <c r="BP22" s="26">
        <f>AR$4*(AR22-AR$3)</f>
        <v/>
      </c>
      <c r="BQ22" s="26">
        <f>AS$4*(AS22-AS$3)</f>
        <v/>
      </c>
      <c r="BR22" s="27">
        <f>SUM(AT22:BQ22)</f>
        <v/>
      </c>
      <c r="BS22" s="27">
        <f>INTERCEPT_SCALED+BR22</f>
        <v/>
      </c>
      <c r="BT22" s="28">
        <f>1/(1+EXP(-BS22))</f>
        <v/>
      </c>
      <c r="BU22" s="13">
        <f>1-(1-BT22)^12</f>
        <v/>
      </c>
      <c r="BV22" s="13">
        <f>IFERROR(AT22/BR22*(BU22-BASELINE_CPR),0)</f>
        <v/>
      </c>
      <c r="BW22" s="13">
        <f>IFERROR(AU22/BR22*(BU22-BASELINE_CPR),0)</f>
        <v/>
      </c>
      <c r="BX22" s="13">
        <f>IFERROR(AV22/BR22*(BU22-BASELINE_CPR),0)</f>
        <v/>
      </c>
      <c r="BY22" s="13">
        <f>IFERROR(AW22/BR22*(BU22-BASELINE_CPR),0)</f>
        <v/>
      </c>
      <c r="BZ22" s="13">
        <f>IFERROR(AX22/BR22*(BU22-BASELINE_CPR),0)</f>
        <v/>
      </c>
      <c r="CA22" s="13">
        <f>IFERROR(AY22/BR22*(BU22-BASELINE_CPR),0)</f>
        <v/>
      </c>
      <c r="CB22" s="13">
        <f>IFERROR(AZ22/BR22*(BU22-BASELINE_CPR),0)</f>
        <v/>
      </c>
      <c r="CC22" s="13">
        <f>IFERROR(BA22/BR22*(BU22-BASELINE_CPR),0)</f>
        <v/>
      </c>
      <c r="CD22" s="13">
        <f>IFERROR(BB22/BR22*(BU22-BASELINE_CPR),0)</f>
        <v/>
      </c>
      <c r="CE22" s="13">
        <f>IFERROR(BC22/BR22*(BU22-BASELINE_CPR),0)</f>
        <v/>
      </c>
      <c r="CF22" s="13">
        <f>IFERROR(BD22/BR22*(BU22-BASELINE_CPR),0)</f>
        <v/>
      </c>
      <c r="CG22" s="13">
        <f>IFERROR(BE22/BR22*(BU22-BASELINE_CPR),0)</f>
        <v/>
      </c>
      <c r="CH22" s="13">
        <f>IFERROR(BF22/BR22*(BU22-BASELINE_CPR),0)</f>
        <v/>
      </c>
      <c r="CI22" s="13">
        <f>IFERROR(BG22/BR22*(BU22-BASELINE_CPR),0)</f>
        <v/>
      </c>
      <c r="CJ22" s="13">
        <f>IFERROR(BH22/BR22*(BU22-BASELINE_CPR),0)</f>
        <v/>
      </c>
      <c r="CK22" s="13">
        <f>IFERROR(BI22/BR22*(BU22-BASELINE_CPR),0)</f>
        <v/>
      </c>
      <c r="CL22" s="13">
        <f>IFERROR(BJ22/BR22*(BU22-BASELINE_CPR),0)</f>
        <v/>
      </c>
      <c r="CM22" s="13">
        <f>IFERROR(BK22/BR22*(BU22-BASELINE_CPR),0)</f>
        <v/>
      </c>
      <c r="CN22" s="13">
        <f>IFERROR(BL22/BR22*(BU22-BASELINE_CPR),0)</f>
        <v/>
      </c>
      <c r="CO22" s="13">
        <f>IFERROR(BM22/BR22*(BU22-BASELINE_CPR),0)</f>
        <v/>
      </c>
      <c r="CP22" s="13">
        <f>IFERROR(BN22/BR22*(BU22-BASELINE_CPR),0)</f>
        <v/>
      </c>
      <c r="CQ22" s="13">
        <f>IFERROR(BO22/BR22*(BU22-BASELINE_CPR),0)</f>
        <v/>
      </c>
      <c r="CR22" s="13">
        <f>IFERROR(BP22/BR22*(BU22-BASELINE_CPR),0)</f>
        <v/>
      </c>
      <c r="CS22" s="13">
        <f>IFERROR(BQ22/BR22*(BU22-BASELINE_CPR),0)</f>
        <v/>
      </c>
      <c r="CT22" s="29">
        <f>BASELINE_CPR+SUM(BV22:CS22)-BU22</f>
        <v/>
      </c>
    </row>
    <row r="23">
      <c r="A23" s="2" t="inlineStr">
        <is>
          <t>3617X76V3_000000012211483</t>
        </is>
      </c>
      <c r="B23" t="inlineStr">
        <is>
          <t>LUMENT_POST21</t>
        </is>
      </c>
      <c r="C23" s="2" t="inlineStr">
        <is>
          <t>3617X76V3</t>
        </is>
      </c>
      <c r="D23" t="inlineStr">
        <is>
          <t>LUMENT REAL ESTATE CAPITAL,LLC</t>
        </is>
      </c>
      <c r="E23" t="inlineStr">
        <is>
          <t>223f</t>
        </is>
      </c>
      <c r="F23" t="inlineStr">
        <is>
          <t>RP</t>
        </is>
      </c>
      <c r="G23" t="n">
        <v>2022</v>
      </c>
      <c r="H23" t="inlineStr">
        <is>
          <t>202602</t>
        </is>
      </c>
      <c r="I23" s="22" t="n">
        <v>11152290.91</v>
      </c>
      <c r="J23" s="23" t="n">
        <v>2.6</v>
      </c>
      <c r="K23" s="24" t="n">
        <v>447</v>
      </c>
      <c r="L23" s="24" t="n">
        <v>7</v>
      </c>
      <c r="M23" t="n">
        <v>47</v>
      </c>
      <c r="N23" t="n">
        <v>0</v>
      </c>
      <c r="O23" t="n">
        <v>205704</v>
      </c>
      <c r="P23" t="inlineStr"/>
      <c r="Q23" t="inlineStr">
        <is>
          <t>3896</t>
        </is>
      </c>
      <c r="R23" t="n">
        <v>0</v>
      </c>
      <c r="S23" t="n">
        <v>0</v>
      </c>
      <c r="T23" t="n">
        <v>0</v>
      </c>
      <c r="U23" t="n">
        <v>0</v>
      </c>
      <c r="V23" s="24">
        <f>J23*100-K23</f>
        <v/>
      </c>
      <c r="W23" s="24">
        <f>L23</f>
        <v/>
      </c>
      <c r="X23" s="25">
        <f>MIN(M23,36)</f>
        <v/>
      </c>
      <c r="Y23" s="25">
        <f>MIN(MAX(M23-36,0),84)</f>
        <v/>
      </c>
      <c r="Z23" s="25">
        <f>MAX(M23-120,0)</f>
        <v/>
      </c>
      <c r="AA23" s="25">
        <f>IF(OR(O23="",NOT(ISNUMBER(O23))),360,MAX(0,MIN(480,(INT(O23/100)-INT(VALUE(H23)/100))*12+MOD(O23,100)-MOD(VALUE(H23),100))))</f>
        <v/>
      </c>
      <c r="AB23">
        <f>IF(AND(AA23&gt;0,AA23&lt;=24),1,0)</f>
        <v/>
      </c>
      <c r="AC23" s="25">
        <f>IF(OR(P23="",NOT(ISNUMBER(P23))),0,MAX(0,MIN(24,(INT(VALUE(H23)/100)-INT(P23/100))*12+MOD(VALUE(H23),100)-MOD(P23,100))))</f>
        <v/>
      </c>
      <c r="AD23" s="23">
        <f>LN(1+I23)</f>
        <v/>
      </c>
      <c r="AE23">
        <f>IF(I23&lt;2000000,1,0)</f>
        <v/>
      </c>
      <c r="AF23">
        <f>IF(I23&gt;50000000,1,0)</f>
        <v/>
      </c>
      <c r="AG23" s="23">
        <f>IF(ISNUMBER(M23),N23/MAX(M23,1),0)</f>
        <v/>
      </c>
      <c r="AH23">
        <f>IF(G23&gt;=2021,1,0)</f>
        <v/>
      </c>
      <c r="AI23">
        <f>S23</f>
        <v/>
      </c>
      <c r="AJ23">
        <f>T23</f>
        <v/>
      </c>
      <c r="AK23">
        <f>R23</f>
        <v/>
      </c>
      <c r="AL23">
        <f>U23</f>
        <v/>
      </c>
      <c r="AM23">
        <f>IF(ISNUMBER(SEARCH("CAPITAL FUNDING",D23)),1,0)</f>
        <v/>
      </c>
      <c r="AN23">
        <f>IF(ISNUMBER(SEARCH("PNC",D23)),1,0)</f>
        <v/>
      </c>
      <c r="AO23">
        <f>IF(ISNUMBER(SEARCH("WELLS FARGO",D23)),1,0)</f>
        <v/>
      </c>
      <c r="AP23">
        <f>IF(ISNUMBER(SEARCH("DWIGHT",D23)),1,0)</f>
        <v/>
      </c>
      <c r="AQ23">
        <f>IF(ISNUMBER(SEARCH("GREYSTONE",D23)),1,0)</f>
        <v/>
      </c>
      <c r="AR23">
        <f>IF(OR(Q23="3896",Q23="3557"),1,0)</f>
        <v/>
      </c>
      <c r="AS23" s="24">
        <f>V23*W23</f>
        <v/>
      </c>
      <c r="AT23" s="26">
        <f>V$4*(V23-V$3)</f>
        <v/>
      </c>
      <c r="AU23" s="26">
        <f>W$4*(W23-W$3)</f>
        <v/>
      </c>
      <c r="AV23" s="26">
        <f>X$4*(X23-X$3)</f>
        <v/>
      </c>
      <c r="AW23" s="26">
        <f>Y$4*(Y23-Y$3)</f>
        <v/>
      </c>
      <c r="AX23" s="26">
        <f>Z$4*(Z23-Z$3)</f>
        <v/>
      </c>
      <c r="AY23" s="26">
        <f>AA$4*(AA23-AA$3)</f>
        <v/>
      </c>
      <c r="AZ23" s="26">
        <f>AB$4*(AB23-AB$3)</f>
        <v/>
      </c>
      <c r="BA23" s="26">
        <f>AC$4*(AC23-AC$3)</f>
        <v/>
      </c>
      <c r="BB23" s="26">
        <f>AD$4*(AD23-AD$3)</f>
        <v/>
      </c>
      <c r="BC23" s="26">
        <f>AE$4*(AE23-AE$3)</f>
        <v/>
      </c>
      <c r="BD23" s="26">
        <f>AF$4*(AF23-AF$3)</f>
        <v/>
      </c>
      <c r="BE23" s="26">
        <f>AG$4*(AG23-AG$3)</f>
        <v/>
      </c>
      <c r="BF23" s="26">
        <f>AH$4*(AH23-AH$3)</f>
        <v/>
      </c>
      <c r="BG23" s="26">
        <f>AI$4*(AI23-AI$3)</f>
        <v/>
      </c>
      <c r="BH23" s="26">
        <f>AJ$4*(AJ23-AJ$3)</f>
        <v/>
      </c>
      <c r="BI23" s="26">
        <f>AK$4*(AK23-AK$3)</f>
        <v/>
      </c>
      <c r="BJ23" s="26">
        <f>AL$4*(AL23-AL$3)</f>
        <v/>
      </c>
      <c r="BK23" s="26">
        <f>AM$4*(AM23-AM$3)</f>
        <v/>
      </c>
      <c r="BL23" s="26">
        <f>AN$4*(AN23-AN$3)</f>
        <v/>
      </c>
      <c r="BM23" s="26">
        <f>AO$4*(AO23-AO$3)</f>
        <v/>
      </c>
      <c r="BN23" s="26">
        <f>AP$4*(AP23-AP$3)</f>
        <v/>
      </c>
      <c r="BO23" s="26">
        <f>AQ$4*(AQ23-AQ$3)</f>
        <v/>
      </c>
      <c r="BP23" s="26">
        <f>AR$4*(AR23-AR$3)</f>
        <v/>
      </c>
      <c r="BQ23" s="26">
        <f>AS$4*(AS23-AS$3)</f>
        <v/>
      </c>
      <c r="BR23" s="27">
        <f>SUM(AT23:BQ23)</f>
        <v/>
      </c>
      <c r="BS23" s="27">
        <f>INTERCEPT_SCALED+BR23</f>
        <v/>
      </c>
      <c r="BT23" s="28">
        <f>1/(1+EXP(-BS23))</f>
        <v/>
      </c>
      <c r="BU23" s="13">
        <f>1-(1-BT23)^12</f>
        <v/>
      </c>
      <c r="BV23" s="13">
        <f>IFERROR(AT23/BR23*(BU23-BASELINE_CPR),0)</f>
        <v/>
      </c>
      <c r="BW23" s="13">
        <f>IFERROR(AU23/BR23*(BU23-BASELINE_CPR),0)</f>
        <v/>
      </c>
      <c r="BX23" s="13">
        <f>IFERROR(AV23/BR23*(BU23-BASELINE_CPR),0)</f>
        <v/>
      </c>
      <c r="BY23" s="13">
        <f>IFERROR(AW23/BR23*(BU23-BASELINE_CPR),0)</f>
        <v/>
      </c>
      <c r="BZ23" s="13">
        <f>IFERROR(AX23/BR23*(BU23-BASELINE_CPR),0)</f>
        <v/>
      </c>
      <c r="CA23" s="13">
        <f>IFERROR(AY23/BR23*(BU23-BASELINE_CPR),0)</f>
        <v/>
      </c>
      <c r="CB23" s="13">
        <f>IFERROR(AZ23/BR23*(BU23-BASELINE_CPR),0)</f>
        <v/>
      </c>
      <c r="CC23" s="13">
        <f>IFERROR(BA23/BR23*(BU23-BASELINE_CPR),0)</f>
        <v/>
      </c>
      <c r="CD23" s="13">
        <f>IFERROR(BB23/BR23*(BU23-BASELINE_CPR),0)</f>
        <v/>
      </c>
      <c r="CE23" s="13">
        <f>IFERROR(BC23/BR23*(BU23-BASELINE_CPR),0)</f>
        <v/>
      </c>
      <c r="CF23" s="13">
        <f>IFERROR(BD23/BR23*(BU23-BASELINE_CPR),0)</f>
        <v/>
      </c>
      <c r="CG23" s="13">
        <f>IFERROR(BE23/BR23*(BU23-BASELINE_CPR),0)</f>
        <v/>
      </c>
      <c r="CH23" s="13">
        <f>IFERROR(BF23/BR23*(BU23-BASELINE_CPR),0)</f>
        <v/>
      </c>
      <c r="CI23" s="13">
        <f>IFERROR(BG23/BR23*(BU23-BASELINE_CPR),0)</f>
        <v/>
      </c>
      <c r="CJ23" s="13">
        <f>IFERROR(BH23/BR23*(BU23-BASELINE_CPR),0)</f>
        <v/>
      </c>
      <c r="CK23" s="13">
        <f>IFERROR(BI23/BR23*(BU23-BASELINE_CPR),0)</f>
        <v/>
      </c>
      <c r="CL23" s="13">
        <f>IFERROR(BJ23/BR23*(BU23-BASELINE_CPR),0)</f>
        <v/>
      </c>
      <c r="CM23" s="13">
        <f>IFERROR(BK23/BR23*(BU23-BASELINE_CPR),0)</f>
        <v/>
      </c>
      <c r="CN23" s="13">
        <f>IFERROR(BL23/BR23*(BU23-BASELINE_CPR),0)</f>
        <v/>
      </c>
      <c r="CO23" s="13">
        <f>IFERROR(BM23/BR23*(BU23-BASELINE_CPR),0)</f>
        <v/>
      </c>
      <c r="CP23" s="13">
        <f>IFERROR(BN23/BR23*(BU23-BASELINE_CPR),0)</f>
        <v/>
      </c>
      <c r="CQ23" s="13">
        <f>IFERROR(BO23/BR23*(BU23-BASELINE_CPR),0)</f>
        <v/>
      </c>
      <c r="CR23" s="13">
        <f>IFERROR(BP23/BR23*(BU23-BASELINE_CPR),0)</f>
        <v/>
      </c>
      <c r="CS23" s="13">
        <f>IFERROR(BQ23/BR23*(BU23-BASELINE_CPR),0)</f>
        <v/>
      </c>
      <c r="CT23" s="29">
        <f>BASELINE_CPR+SUM(BV23:CS23)-BU23</f>
        <v/>
      </c>
    </row>
    <row r="24">
      <c r="A24" s="2" t="inlineStr">
        <is>
          <t>3617W8NP6_000000011335648</t>
        </is>
      </c>
      <c r="B24" t="inlineStr">
        <is>
          <t>LUMENT_PRE21</t>
        </is>
      </c>
      <c r="C24" s="2" t="inlineStr">
        <is>
          <t>3617W8NP6</t>
        </is>
      </c>
      <c r="D24" t="inlineStr">
        <is>
          <t>LUMENT REAL ESTATE CAPITAL,LLC</t>
        </is>
      </c>
      <c r="E24" t="inlineStr">
        <is>
          <t>221d4</t>
        </is>
      </c>
      <c r="F24" t="inlineStr">
        <is>
          <t>NC</t>
        </is>
      </c>
      <c r="G24" t="n">
        <v>2016</v>
      </c>
      <c r="H24" t="inlineStr">
        <is>
          <t>202602</t>
        </is>
      </c>
      <c r="I24" s="22" t="n">
        <v>17567640.14</v>
      </c>
      <c r="J24" s="23" t="n">
        <v>2.65</v>
      </c>
      <c r="K24" s="24" t="n">
        <v>447</v>
      </c>
      <c r="L24" s="24" t="n">
        <v>6</v>
      </c>
      <c r="M24" t="n">
        <v>114</v>
      </c>
      <c r="N24" t="n">
        <v>0</v>
      </c>
      <c r="O24" t="n">
        <v>205802</v>
      </c>
      <c r="P24" t="inlineStr"/>
      <c r="Q24" t="inlineStr">
        <is>
          <t>3896</t>
        </is>
      </c>
      <c r="R24" t="n">
        <v>0</v>
      </c>
      <c r="S24" t="n">
        <v>0</v>
      </c>
      <c r="T24" t="n">
        <v>0</v>
      </c>
      <c r="U24" t="n">
        <v>1</v>
      </c>
      <c r="V24" s="24">
        <f>J24*100-K24</f>
        <v/>
      </c>
      <c r="W24" s="24">
        <f>L24</f>
        <v/>
      </c>
      <c r="X24" s="25">
        <f>MIN(M24,36)</f>
        <v/>
      </c>
      <c r="Y24" s="25">
        <f>MIN(MAX(M24-36,0),84)</f>
        <v/>
      </c>
      <c r="Z24" s="25">
        <f>MAX(M24-120,0)</f>
        <v/>
      </c>
      <c r="AA24" s="25">
        <f>IF(OR(O24="",NOT(ISNUMBER(O24))),360,MAX(0,MIN(480,(INT(O24/100)-INT(VALUE(H24)/100))*12+MOD(O24,100)-MOD(VALUE(H24),100))))</f>
        <v/>
      </c>
      <c r="AB24">
        <f>IF(AND(AA24&gt;0,AA24&lt;=24),1,0)</f>
        <v/>
      </c>
      <c r="AC24" s="25">
        <f>IF(OR(P24="",NOT(ISNUMBER(P24))),0,MAX(0,MIN(24,(INT(VALUE(H24)/100)-INT(P24/100))*12+MOD(VALUE(H24),100)-MOD(P24,100))))</f>
        <v/>
      </c>
      <c r="AD24" s="23">
        <f>LN(1+I24)</f>
        <v/>
      </c>
      <c r="AE24">
        <f>IF(I24&lt;2000000,1,0)</f>
        <v/>
      </c>
      <c r="AF24">
        <f>IF(I24&gt;50000000,1,0)</f>
        <v/>
      </c>
      <c r="AG24" s="23">
        <f>IF(ISNUMBER(M24),N24/MAX(M24,1),0)</f>
        <v/>
      </c>
      <c r="AH24">
        <f>IF(G24&gt;=2021,1,0)</f>
        <v/>
      </c>
      <c r="AI24">
        <f>S24</f>
        <v/>
      </c>
      <c r="AJ24">
        <f>T24</f>
        <v/>
      </c>
      <c r="AK24">
        <f>R24</f>
        <v/>
      </c>
      <c r="AL24">
        <f>U24</f>
        <v/>
      </c>
      <c r="AM24">
        <f>IF(ISNUMBER(SEARCH("CAPITAL FUNDING",D24)),1,0)</f>
        <v/>
      </c>
      <c r="AN24">
        <f>IF(ISNUMBER(SEARCH("PNC",D24)),1,0)</f>
        <v/>
      </c>
      <c r="AO24">
        <f>IF(ISNUMBER(SEARCH("WELLS FARGO",D24)),1,0)</f>
        <v/>
      </c>
      <c r="AP24">
        <f>IF(ISNUMBER(SEARCH("DWIGHT",D24)),1,0)</f>
        <v/>
      </c>
      <c r="AQ24">
        <f>IF(ISNUMBER(SEARCH("GREYSTONE",D24)),1,0)</f>
        <v/>
      </c>
      <c r="AR24">
        <f>IF(OR(Q24="3896",Q24="3557"),1,0)</f>
        <v/>
      </c>
      <c r="AS24" s="24">
        <f>V24*W24</f>
        <v/>
      </c>
      <c r="AT24" s="26">
        <f>V$4*(V24-V$3)</f>
        <v/>
      </c>
      <c r="AU24" s="26">
        <f>W$4*(W24-W$3)</f>
        <v/>
      </c>
      <c r="AV24" s="26">
        <f>X$4*(X24-X$3)</f>
        <v/>
      </c>
      <c r="AW24" s="26">
        <f>Y$4*(Y24-Y$3)</f>
        <v/>
      </c>
      <c r="AX24" s="26">
        <f>Z$4*(Z24-Z$3)</f>
        <v/>
      </c>
      <c r="AY24" s="26">
        <f>AA$4*(AA24-AA$3)</f>
        <v/>
      </c>
      <c r="AZ24" s="26">
        <f>AB$4*(AB24-AB$3)</f>
        <v/>
      </c>
      <c r="BA24" s="26">
        <f>AC$4*(AC24-AC$3)</f>
        <v/>
      </c>
      <c r="BB24" s="26">
        <f>AD$4*(AD24-AD$3)</f>
        <v/>
      </c>
      <c r="BC24" s="26">
        <f>AE$4*(AE24-AE$3)</f>
        <v/>
      </c>
      <c r="BD24" s="26">
        <f>AF$4*(AF24-AF$3)</f>
        <v/>
      </c>
      <c r="BE24" s="26">
        <f>AG$4*(AG24-AG$3)</f>
        <v/>
      </c>
      <c r="BF24" s="26">
        <f>AH$4*(AH24-AH$3)</f>
        <v/>
      </c>
      <c r="BG24" s="26">
        <f>AI$4*(AI24-AI$3)</f>
        <v/>
      </c>
      <c r="BH24" s="26">
        <f>AJ$4*(AJ24-AJ$3)</f>
        <v/>
      </c>
      <c r="BI24" s="26">
        <f>AK$4*(AK24-AK$3)</f>
        <v/>
      </c>
      <c r="BJ24" s="26">
        <f>AL$4*(AL24-AL$3)</f>
        <v/>
      </c>
      <c r="BK24" s="26">
        <f>AM$4*(AM24-AM$3)</f>
        <v/>
      </c>
      <c r="BL24" s="26">
        <f>AN$4*(AN24-AN$3)</f>
        <v/>
      </c>
      <c r="BM24" s="26">
        <f>AO$4*(AO24-AO$3)</f>
        <v/>
      </c>
      <c r="BN24" s="26">
        <f>AP$4*(AP24-AP$3)</f>
        <v/>
      </c>
      <c r="BO24" s="26">
        <f>AQ$4*(AQ24-AQ$3)</f>
        <v/>
      </c>
      <c r="BP24" s="26">
        <f>AR$4*(AR24-AR$3)</f>
        <v/>
      </c>
      <c r="BQ24" s="26">
        <f>AS$4*(AS24-AS$3)</f>
        <v/>
      </c>
      <c r="BR24" s="27">
        <f>SUM(AT24:BQ24)</f>
        <v/>
      </c>
      <c r="BS24" s="27">
        <f>INTERCEPT_SCALED+BR24</f>
        <v/>
      </c>
      <c r="BT24" s="28">
        <f>1/(1+EXP(-BS24))</f>
        <v/>
      </c>
      <c r="BU24" s="13">
        <f>1-(1-BT24)^12</f>
        <v/>
      </c>
      <c r="BV24" s="13">
        <f>IFERROR(AT24/BR24*(BU24-BASELINE_CPR),0)</f>
        <v/>
      </c>
      <c r="BW24" s="13">
        <f>IFERROR(AU24/BR24*(BU24-BASELINE_CPR),0)</f>
        <v/>
      </c>
      <c r="BX24" s="13">
        <f>IFERROR(AV24/BR24*(BU24-BASELINE_CPR),0)</f>
        <v/>
      </c>
      <c r="BY24" s="13">
        <f>IFERROR(AW24/BR24*(BU24-BASELINE_CPR),0)</f>
        <v/>
      </c>
      <c r="BZ24" s="13">
        <f>IFERROR(AX24/BR24*(BU24-BASELINE_CPR),0)</f>
        <v/>
      </c>
      <c r="CA24" s="13">
        <f>IFERROR(AY24/BR24*(BU24-BASELINE_CPR),0)</f>
        <v/>
      </c>
      <c r="CB24" s="13">
        <f>IFERROR(AZ24/BR24*(BU24-BASELINE_CPR),0)</f>
        <v/>
      </c>
      <c r="CC24" s="13">
        <f>IFERROR(BA24/BR24*(BU24-BASELINE_CPR),0)</f>
        <v/>
      </c>
      <c r="CD24" s="13">
        <f>IFERROR(BB24/BR24*(BU24-BASELINE_CPR),0)</f>
        <v/>
      </c>
      <c r="CE24" s="13">
        <f>IFERROR(BC24/BR24*(BU24-BASELINE_CPR),0)</f>
        <v/>
      </c>
      <c r="CF24" s="13">
        <f>IFERROR(BD24/BR24*(BU24-BASELINE_CPR),0)</f>
        <v/>
      </c>
      <c r="CG24" s="13">
        <f>IFERROR(BE24/BR24*(BU24-BASELINE_CPR),0)</f>
        <v/>
      </c>
      <c r="CH24" s="13">
        <f>IFERROR(BF24/BR24*(BU24-BASELINE_CPR),0)</f>
        <v/>
      </c>
      <c r="CI24" s="13">
        <f>IFERROR(BG24/BR24*(BU24-BASELINE_CPR),0)</f>
        <v/>
      </c>
      <c r="CJ24" s="13">
        <f>IFERROR(BH24/BR24*(BU24-BASELINE_CPR),0)</f>
        <v/>
      </c>
      <c r="CK24" s="13">
        <f>IFERROR(BI24/BR24*(BU24-BASELINE_CPR),0)</f>
        <v/>
      </c>
      <c r="CL24" s="13">
        <f>IFERROR(BJ24/BR24*(BU24-BASELINE_CPR),0)</f>
        <v/>
      </c>
      <c r="CM24" s="13">
        <f>IFERROR(BK24/BR24*(BU24-BASELINE_CPR),0)</f>
        <v/>
      </c>
      <c r="CN24" s="13">
        <f>IFERROR(BL24/BR24*(BU24-BASELINE_CPR),0)</f>
        <v/>
      </c>
      <c r="CO24" s="13">
        <f>IFERROR(BM24/BR24*(BU24-BASELINE_CPR),0)</f>
        <v/>
      </c>
      <c r="CP24" s="13">
        <f>IFERROR(BN24/BR24*(BU24-BASELINE_CPR),0)</f>
        <v/>
      </c>
      <c r="CQ24" s="13">
        <f>IFERROR(BO24/BR24*(BU24-BASELINE_CPR),0)</f>
        <v/>
      </c>
      <c r="CR24" s="13">
        <f>IFERROR(BP24/BR24*(BU24-BASELINE_CPR),0)</f>
        <v/>
      </c>
      <c r="CS24" s="13">
        <f>IFERROR(BQ24/BR24*(BU24-BASELINE_CPR),0)</f>
        <v/>
      </c>
      <c r="CT24" s="29">
        <f>BASELINE_CPR+SUM(BV24:CS24)-BU24</f>
        <v/>
      </c>
    </row>
    <row r="25">
      <c r="A25" s="2" t="inlineStr">
        <is>
          <t>3617AVU89_000000003222025</t>
        </is>
      </c>
      <c r="B25" t="inlineStr">
        <is>
          <t>LUMENT_PRE21</t>
        </is>
      </c>
      <c r="C25" s="2" t="inlineStr">
        <is>
          <t>3617AVU89</t>
        </is>
      </c>
      <c r="D25" t="inlineStr">
        <is>
          <t>LUMENT REAL ESTATE CAPITAL,LLC</t>
        </is>
      </c>
      <c r="E25" t="inlineStr">
        <is>
          <t>232</t>
        </is>
      </c>
      <c r="F25" t="inlineStr">
        <is>
          <t>RP</t>
        </is>
      </c>
      <c r="G25" t="n">
        <v>2017</v>
      </c>
      <c r="H25" t="inlineStr">
        <is>
          <t>202602</t>
        </is>
      </c>
      <c r="I25" s="22" t="n">
        <v>18702496.16</v>
      </c>
      <c r="J25" s="23" t="n">
        <v>3.48</v>
      </c>
      <c r="K25" s="24" t="n">
        <v>447</v>
      </c>
      <c r="L25" s="24" t="n">
        <v>3</v>
      </c>
      <c r="M25" t="n">
        <v>101</v>
      </c>
      <c r="N25" t="n">
        <v>25</v>
      </c>
      <c r="O25" t="n">
        <v>205210</v>
      </c>
      <c r="P25" t="inlineStr"/>
      <c r="Q25" t="inlineStr">
        <is>
          <t>3896</t>
        </is>
      </c>
      <c r="R25" t="n">
        <v>1</v>
      </c>
      <c r="S25" t="n">
        <v>0</v>
      </c>
      <c r="T25" t="n">
        <v>0</v>
      </c>
      <c r="U25" t="n">
        <v>0</v>
      </c>
      <c r="V25" s="24">
        <f>J25*100-K25</f>
        <v/>
      </c>
      <c r="W25" s="24">
        <f>L25</f>
        <v/>
      </c>
      <c r="X25" s="25">
        <f>MIN(M25,36)</f>
        <v/>
      </c>
      <c r="Y25" s="25">
        <f>MIN(MAX(M25-36,0),84)</f>
        <v/>
      </c>
      <c r="Z25" s="25">
        <f>MAX(M25-120,0)</f>
        <v/>
      </c>
      <c r="AA25" s="25">
        <f>IF(OR(O25="",NOT(ISNUMBER(O25))),360,MAX(0,MIN(480,(INT(O25/100)-INT(VALUE(H25)/100))*12+MOD(O25,100)-MOD(VALUE(H25),100))))</f>
        <v/>
      </c>
      <c r="AB25">
        <f>IF(AND(AA25&gt;0,AA25&lt;=24),1,0)</f>
        <v/>
      </c>
      <c r="AC25" s="25">
        <f>IF(OR(P25="",NOT(ISNUMBER(P25))),0,MAX(0,MIN(24,(INT(VALUE(H25)/100)-INT(P25/100))*12+MOD(VALUE(H25),100)-MOD(P25,100))))</f>
        <v/>
      </c>
      <c r="AD25" s="23">
        <f>LN(1+I25)</f>
        <v/>
      </c>
      <c r="AE25">
        <f>IF(I25&lt;2000000,1,0)</f>
        <v/>
      </c>
      <c r="AF25">
        <f>IF(I25&gt;50000000,1,0)</f>
        <v/>
      </c>
      <c r="AG25" s="23">
        <f>IF(ISNUMBER(M25),N25/MAX(M25,1),0)</f>
        <v/>
      </c>
      <c r="AH25">
        <f>IF(G25&gt;=2021,1,0)</f>
        <v/>
      </c>
      <c r="AI25">
        <f>S25</f>
        <v/>
      </c>
      <c r="AJ25">
        <f>T25</f>
        <v/>
      </c>
      <c r="AK25">
        <f>R25</f>
        <v/>
      </c>
      <c r="AL25">
        <f>U25</f>
        <v/>
      </c>
      <c r="AM25">
        <f>IF(ISNUMBER(SEARCH("CAPITAL FUNDING",D25)),1,0)</f>
        <v/>
      </c>
      <c r="AN25">
        <f>IF(ISNUMBER(SEARCH("PNC",D25)),1,0)</f>
        <v/>
      </c>
      <c r="AO25">
        <f>IF(ISNUMBER(SEARCH("WELLS FARGO",D25)),1,0)</f>
        <v/>
      </c>
      <c r="AP25">
        <f>IF(ISNUMBER(SEARCH("DWIGHT",D25)),1,0)</f>
        <v/>
      </c>
      <c r="AQ25">
        <f>IF(ISNUMBER(SEARCH("GREYSTONE",D25)),1,0)</f>
        <v/>
      </c>
      <c r="AR25">
        <f>IF(OR(Q25="3896",Q25="3557"),1,0)</f>
        <v/>
      </c>
      <c r="AS25" s="24">
        <f>V25*W25</f>
        <v/>
      </c>
      <c r="AT25" s="26">
        <f>V$4*(V25-V$3)</f>
        <v/>
      </c>
      <c r="AU25" s="26">
        <f>W$4*(W25-W$3)</f>
        <v/>
      </c>
      <c r="AV25" s="26">
        <f>X$4*(X25-X$3)</f>
        <v/>
      </c>
      <c r="AW25" s="26">
        <f>Y$4*(Y25-Y$3)</f>
        <v/>
      </c>
      <c r="AX25" s="26">
        <f>Z$4*(Z25-Z$3)</f>
        <v/>
      </c>
      <c r="AY25" s="26">
        <f>AA$4*(AA25-AA$3)</f>
        <v/>
      </c>
      <c r="AZ25" s="26">
        <f>AB$4*(AB25-AB$3)</f>
        <v/>
      </c>
      <c r="BA25" s="26">
        <f>AC$4*(AC25-AC$3)</f>
        <v/>
      </c>
      <c r="BB25" s="26">
        <f>AD$4*(AD25-AD$3)</f>
        <v/>
      </c>
      <c r="BC25" s="26">
        <f>AE$4*(AE25-AE$3)</f>
        <v/>
      </c>
      <c r="BD25" s="26">
        <f>AF$4*(AF25-AF$3)</f>
        <v/>
      </c>
      <c r="BE25" s="26">
        <f>AG$4*(AG25-AG$3)</f>
        <v/>
      </c>
      <c r="BF25" s="26">
        <f>AH$4*(AH25-AH$3)</f>
        <v/>
      </c>
      <c r="BG25" s="26">
        <f>AI$4*(AI25-AI$3)</f>
        <v/>
      </c>
      <c r="BH25" s="26">
        <f>AJ$4*(AJ25-AJ$3)</f>
        <v/>
      </c>
      <c r="BI25" s="26">
        <f>AK$4*(AK25-AK$3)</f>
        <v/>
      </c>
      <c r="BJ25" s="26">
        <f>AL$4*(AL25-AL$3)</f>
        <v/>
      </c>
      <c r="BK25" s="26">
        <f>AM$4*(AM25-AM$3)</f>
        <v/>
      </c>
      <c r="BL25" s="26">
        <f>AN$4*(AN25-AN$3)</f>
        <v/>
      </c>
      <c r="BM25" s="26">
        <f>AO$4*(AO25-AO$3)</f>
        <v/>
      </c>
      <c r="BN25" s="26">
        <f>AP$4*(AP25-AP$3)</f>
        <v/>
      </c>
      <c r="BO25" s="26">
        <f>AQ$4*(AQ25-AQ$3)</f>
        <v/>
      </c>
      <c r="BP25" s="26">
        <f>AR$4*(AR25-AR$3)</f>
        <v/>
      </c>
      <c r="BQ25" s="26">
        <f>AS$4*(AS25-AS$3)</f>
        <v/>
      </c>
      <c r="BR25" s="27">
        <f>SUM(AT25:BQ25)</f>
        <v/>
      </c>
      <c r="BS25" s="27">
        <f>INTERCEPT_SCALED+BR25</f>
        <v/>
      </c>
      <c r="BT25" s="28">
        <f>1/(1+EXP(-BS25))</f>
        <v/>
      </c>
      <c r="BU25" s="13">
        <f>1-(1-BT25)^12</f>
        <v/>
      </c>
      <c r="BV25" s="13">
        <f>IFERROR(AT25/BR25*(BU25-BASELINE_CPR),0)</f>
        <v/>
      </c>
      <c r="BW25" s="13">
        <f>IFERROR(AU25/BR25*(BU25-BASELINE_CPR),0)</f>
        <v/>
      </c>
      <c r="BX25" s="13">
        <f>IFERROR(AV25/BR25*(BU25-BASELINE_CPR),0)</f>
        <v/>
      </c>
      <c r="BY25" s="13">
        <f>IFERROR(AW25/BR25*(BU25-BASELINE_CPR),0)</f>
        <v/>
      </c>
      <c r="BZ25" s="13">
        <f>IFERROR(AX25/BR25*(BU25-BASELINE_CPR),0)</f>
        <v/>
      </c>
      <c r="CA25" s="13">
        <f>IFERROR(AY25/BR25*(BU25-BASELINE_CPR),0)</f>
        <v/>
      </c>
      <c r="CB25" s="13">
        <f>IFERROR(AZ25/BR25*(BU25-BASELINE_CPR),0)</f>
        <v/>
      </c>
      <c r="CC25" s="13">
        <f>IFERROR(BA25/BR25*(BU25-BASELINE_CPR),0)</f>
        <v/>
      </c>
      <c r="CD25" s="13">
        <f>IFERROR(BB25/BR25*(BU25-BASELINE_CPR),0)</f>
        <v/>
      </c>
      <c r="CE25" s="13">
        <f>IFERROR(BC25/BR25*(BU25-BASELINE_CPR),0)</f>
        <v/>
      </c>
      <c r="CF25" s="13">
        <f>IFERROR(BD25/BR25*(BU25-BASELINE_CPR),0)</f>
        <v/>
      </c>
      <c r="CG25" s="13">
        <f>IFERROR(BE25/BR25*(BU25-BASELINE_CPR),0)</f>
        <v/>
      </c>
      <c r="CH25" s="13">
        <f>IFERROR(BF25/BR25*(BU25-BASELINE_CPR),0)</f>
        <v/>
      </c>
      <c r="CI25" s="13">
        <f>IFERROR(BG25/BR25*(BU25-BASELINE_CPR),0)</f>
        <v/>
      </c>
      <c r="CJ25" s="13">
        <f>IFERROR(BH25/BR25*(BU25-BASELINE_CPR),0)</f>
        <v/>
      </c>
      <c r="CK25" s="13">
        <f>IFERROR(BI25/BR25*(BU25-BASELINE_CPR),0)</f>
        <v/>
      </c>
      <c r="CL25" s="13">
        <f>IFERROR(BJ25/BR25*(BU25-BASELINE_CPR),0)</f>
        <v/>
      </c>
      <c r="CM25" s="13">
        <f>IFERROR(BK25/BR25*(BU25-BASELINE_CPR),0)</f>
        <v/>
      </c>
      <c r="CN25" s="13">
        <f>IFERROR(BL25/BR25*(BU25-BASELINE_CPR),0)</f>
        <v/>
      </c>
      <c r="CO25" s="13">
        <f>IFERROR(BM25/BR25*(BU25-BASELINE_CPR),0)</f>
        <v/>
      </c>
      <c r="CP25" s="13">
        <f>IFERROR(BN25/BR25*(BU25-BASELINE_CPR),0)</f>
        <v/>
      </c>
      <c r="CQ25" s="13">
        <f>IFERROR(BO25/BR25*(BU25-BASELINE_CPR),0)</f>
        <v/>
      </c>
      <c r="CR25" s="13">
        <f>IFERROR(BP25/BR25*(BU25-BASELINE_CPR),0)</f>
        <v/>
      </c>
      <c r="CS25" s="13">
        <f>IFERROR(BQ25/BR25*(BU25-BASELINE_CPR),0)</f>
        <v/>
      </c>
      <c r="CT25" s="29">
        <f>BASELINE_CPR+SUM(BV25:CS25)-BU25</f>
        <v/>
      </c>
    </row>
    <row r="26">
      <c r="A26" s="2" t="inlineStr">
        <is>
          <t>3617UAXY3_000000010522063</t>
        </is>
      </c>
      <c r="B26" t="inlineStr">
        <is>
          <t>LUMENT_PRE21</t>
        </is>
      </c>
      <c r="C26" s="2" t="inlineStr">
        <is>
          <t>3617UAXY3</t>
        </is>
      </c>
      <c r="D26" t="inlineStr">
        <is>
          <t>LUMENT REAL ESTATE CAPITAL,LLC</t>
        </is>
      </c>
      <c r="E26" t="inlineStr">
        <is>
          <t>232</t>
        </is>
      </c>
      <c r="F26" t="inlineStr">
        <is>
          <t>RP</t>
        </is>
      </c>
      <c r="G26" t="n">
        <v>2015</v>
      </c>
      <c r="H26" t="inlineStr">
        <is>
          <t>202602</t>
        </is>
      </c>
      <c r="I26" s="22" t="n">
        <v>8582540.029999999</v>
      </c>
      <c r="J26" s="23" t="n">
        <v>2.8</v>
      </c>
      <c r="K26" s="24" t="n">
        <v>447</v>
      </c>
      <c r="L26" s="24" t="n">
        <v>10</v>
      </c>
      <c r="M26" t="n">
        <v>124</v>
      </c>
      <c r="N26" t="n">
        <v>0</v>
      </c>
      <c r="O26" t="n">
        <v>205011</v>
      </c>
      <c r="P26" t="inlineStr"/>
      <c r="Q26" t="inlineStr">
        <is>
          <t>3896</t>
        </is>
      </c>
      <c r="R26" t="n">
        <v>1</v>
      </c>
      <c r="S26" t="n">
        <v>0</v>
      </c>
      <c r="T26" t="n">
        <v>0</v>
      </c>
      <c r="U26" t="n">
        <v>0</v>
      </c>
      <c r="V26" s="24">
        <f>J26*100-K26</f>
        <v/>
      </c>
      <c r="W26" s="24">
        <f>L26</f>
        <v/>
      </c>
      <c r="X26" s="25">
        <f>MIN(M26,36)</f>
        <v/>
      </c>
      <c r="Y26" s="25">
        <f>MIN(MAX(M26-36,0),84)</f>
        <v/>
      </c>
      <c r="Z26" s="25">
        <f>MAX(M26-120,0)</f>
        <v/>
      </c>
      <c r="AA26" s="25">
        <f>IF(OR(O26="",NOT(ISNUMBER(O26))),360,MAX(0,MIN(480,(INT(O26/100)-INT(VALUE(H26)/100))*12+MOD(O26,100)-MOD(VALUE(H26),100))))</f>
        <v/>
      </c>
      <c r="AB26">
        <f>IF(AND(AA26&gt;0,AA26&lt;=24),1,0)</f>
        <v/>
      </c>
      <c r="AC26" s="25">
        <f>IF(OR(P26="",NOT(ISNUMBER(P26))),0,MAX(0,MIN(24,(INT(VALUE(H26)/100)-INT(P26/100))*12+MOD(VALUE(H26),100)-MOD(P26,100))))</f>
        <v/>
      </c>
      <c r="AD26" s="23">
        <f>LN(1+I26)</f>
        <v/>
      </c>
      <c r="AE26">
        <f>IF(I26&lt;2000000,1,0)</f>
        <v/>
      </c>
      <c r="AF26">
        <f>IF(I26&gt;50000000,1,0)</f>
        <v/>
      </c>
      <c r="AG26" s="23">
        <f>IF(ISNUMBER(M26),N26/MAX(M26,1),0)</f>
        <v/>
      </c>
      <c r="AH26">
        <f>IF(G26&gt;=2021,1,0)</f>
        <v/>
      </c>
      <c r="AI26">
        <f>S26</f>
        <v/>
      </c>
      <c r="AJ26">
        <f>T26</f>
        <v/>
      </c>
      <c r="AK26">
        <f>R26</f>
        <v/>
      </c>
      <c r="AL26">
        <f>U26</f>
        <v/>
      </c>
      <c r="AM26">
        <f>IF(ISNUMBER(SEARCH("CAPITAL FUNDING",D26)),1,0)</f>
        <v/>
      </c>
      <c r="AN26">
        <f>IF(ISNUMBER(SEARCH("PNC",D26)),1,0)</f>
        <v/>
      </c>
      <c r="AO26">
        <f>IF(ISNUMBER(SEARCH("WELLS FARGO",D26)),1,0)</f>
        <v/>
      </c>
      <c r="AP26">
        <f>IF(ISNUMBER(SEARCH("DWIGHT",D26)),1,0)</f>
        <v/>
      </c>
      <c r="AQ26">
        <f>IF(ISNUMBER(SEARCH("GREYSTONE",D26)),1,0)</f>
        <v/>
      </c>
      <c r="AR26">
        <f>IF(OR(Q26="3896",Q26="3557"),1,0)</f>
        <v/>
      </c>
      <c r="AS26" s="24">
        <f>V26*W26</f>
        <v/>
      </c>
      <c r="AT26" s="26">
        <f>V$4*(V26-V$3)</f>
        <v/>
      </c>
      <c r="AU26" s="26">
        <f>W$4*(W26-W$3)</f>
        <v/>
      </c>
      <c r="AV26" s="26">
        <f>X$4*(X26-X$3)</f>
        <v/>
      </c>
      <c r="AW26" s="26">
        <f>Y$4*(Y26-Y$3)</f>
        <v/>
      </c>
      <c r="AX26" s="26">
        <f>Z$4*(Z26-Z$3)</f>
        <v/>
      </c>
      <c r="AY26" s="26">
        <f>AA$4*(AA26-AA$3)</f>
        <v/>
      </c>
      <c r="AZ26" s="26">
        <f>AB$4*(AB26-AB$3)</f>
        <v/>
      </c>
      <c r="BA26" s="26">
        <f>AC$4*(AC26-AC$3)</f>
        <v/>
      </c>
      <c r="BB26" s="26">
        <f>AD$4*(AD26-AD$3)</f>
        <v/>
      </c>
      <c r="BC26" s="26">
        <f>AE$4*(AE26-AE$3)</f>
        <v/>
      </c>
      <c r="BD26" s="26">
        <f>AF$4*(AF26-AF$3)</f>
        <v/>
      </c>
      <c r="BE26" s="26">
        <f>AG$4*(AG26-AG$3)</f>
        <v/>
      </c>
      <c r="BF26" s="26">
        <f>AH$4*(AH26-AH$3)</f>
        <v/>
      </c>
      <c r="BG26" s="26">
        <f>AI$4*(AI26-AI$3)</f>
        <v/>
      </c>
      <c r="BH26" s="26">
        <f>AJ$4*(AJ26-AJ$3)</f>
        <v/>
      </c>
      <c r="BI26" s="26">
        <f>AK$4*(AK26-AK$3)</f>
        <v/>
      </c>
      <c r="BJ26" s="26">
        <f>AL$4*(AL26-AL$3)</f>
        <v/>
      </c>
      <c r="BK26" s="26">
        <f>AM$4*(AM26-AM$3)</f>
        <v/>
      </c>
      <c r="BL26" s="26">
        <f>AN$4*(AN26-AN$3)</f>
        <v/>
      </c>
      <c r="BM26" s="26">
        <f>AO$4*(AO26-AO$3)</f>
        <v/>
      </c>
      <c r="BN26" s="26">
        <f>AP$4*(AP26-AP$3)</f>
        <v/>
      </c>
      <c r="BO26" s="26">
        <f>AQ$4*(AQ26-AQ$3)</f>
        <v/>
      </c>
      <c r="BP26" s="26">
        <f>AR$4*(AR26-AR$3)</f>
        <v/>
      </c>
      <c r="BQ26" s="26">
        <f>AS$4*(AS26-AS$3)</f>
        <v/>
      </c>
      <c r="BR26" s="27">
        <f>SUM(AT26:BQ26)</f>
        <v/>
      </c>
      <c r="BS26" s="27">
        <f>INTERCEPT_SCALED+BR26</f>
        <v/>
      </c>
      <c r="BT26" s="28">
        <f>1/(1+EXP(-BS26))</f>
        <v/>
      </c>
      <c r="BU26" s="13">
        <f>1-(1-BT26)^12</f>
        <v/>
      </c>
      <c r="BV26" s="13">
        <f>IFERROR(AT26/BR26*(BU26-BASELINE_CPR),0)</f>
        <v/>
      </c>
      <c r="BW26" s="13">
        <f>IFERROR(AU26/BR26*(BU26-BASELINE_CPR),0)</f>
        <v/>
      </c>
      <c r="BX26" s="13">
        <f>IFERROR(AV26/BR26*(BU26-BASELINE_CPR),0)</f>
        <v/>
      </c>
      <c r="BY26" s="13">
        <f>IFERROR(AW26/BR26*(BU26-BASELINE_CPR),0)</f>
        <v/>
      </c>
      <c r="BZ26" s="13">
        <f>IFERROR(AX26/BR26*(BU26-BASELINE_CPR),0)</f>
        <v/>
      </c>
      <c r="CA26" s="13">
        <f>IFERROR(AY26/BR26*(BU26-BASELINE_CPR),0)</f>
        <v/>
      </c>
      <c r="CB26" s="13">
        <f>IFERROR(AZ26/BR26*(BU26-BASELINE_CPR),0)</f>
        <v/>
      </c>
      <c r="CC26" s="13">
        <f>IFERROR(BA26/BR26*(BU26-BASELINE_CPR),0)</f>
        <v/>
      </c>
      <c r="CD26" s="13">
        <f>IFERROR(BB26/BR26*(BU26-BASELINE_CPR),0)</f>
        <v/>
      </c>
      <c r="CE26" s="13">
        <f>IFERROR(BC26/BR26*(BU26-BASELINE_CPR),0)</f>
        <v/>
      </c>
      <c r="CF26" s="13">
        <f>IFERROR(BD26/BR26*(BU26-BASELINE_CPR),0)</f>
        <v/>
      </c>
      <c r="CG26" s="13">
        <f>IFERROR(BE26/BR26*(BU26-BASELINE_CPR),0)</f>
        <v/>
      </c>
      <c r="CH26" s="13">
        <f>IFERROR(BF26/BR26*(BU26-BASELINE_CPR),0)</f>
        <v/>
      </c>
      <c r="CI26" s="13">
        <f>IFERROR(BG26/BR26*(BU26-BASELINE_CPR),0)</f>
        <v/>
      </c>
      <c r="CJ26" s="13">
        <f>IFERROR(BH26/BR26*(BU26-BASELINE_CPR),0)</f>
        <v/>
      </c>
      <c r="CK26" s="13">
        <f>IFERROR(BI26/BR26*(BU26-BASELINE_CPR),0)</f>
        <v/>
      </c>
      <c r="CL26" s="13">
        <f>IFERROR(BJ26/BR26*(BU26-BASELINE_CPR),0)</f>
        <v/>
      </c>
      <c r="CM26" s="13">
        <f>IFERROR(BK26/BR26*(BU26-BASELINE_CPR),0)</f>
        <v/>
      </c>
      <c r="CN26" s="13">
        <f>IFERROR(BL26/BR26*(BU26-BASELINE_CPR),0)</f>
        <v/>
      </c>
      <c r="CO26" s="13">
        <f>IFERROR(BM26/BR26*(BU26-BASELINE_CPR),0)</f>
        <v/>
      </c>
      <c r="CP26" s="13">
        <f>IFERROR(BN26/BR26*(BU26-BASELINE_CPR),0)</f>
        <v/>
      </c>
      <c r="CQ26" s="13">
        <f>IFERROR(BO26/BR26*(BU26-BASELINE_CPR),0)</f>
        <v/>
      </c>
      <c r="CR26" s="13">
        <f>IFERROR(BP26/BR26*(BU26-BASELINE_CPR),0)</f>
        <v/>
      </c>
      <c r="CS26" s="13">
        <f>IFERROR(BQ26/BR26*(BU26-BASELINE_CPR),0)</f>
        <v/>
      </c>
      <c r="CT26" s="29">
        <f>BASELINE_CPR+SUM(BV26:CS26)-BU26</f>
        <v/>
      </c>
    </row>
    <row r="27">
      <c r="A27" s="2" t="inlineStr">
        <is>
          <t>36183RVJ9_000000012311228</t>
        </is>
      </c>
      <c r="B27" t="inlineStr">
        <is>
          <t>LUMENT_PRE21</t>
        </is>
      </c>
      <c r="C27" s="2" t="inlineStr">
        <is>
          <t>36183RVJ9</t>
        </is>
      </c>
      <c r="D27" t="inlineStr">
        <is>
          <t>LUMENT REAL ESTATE CAPITAL,LLC</t>
        </is>
      </c>
      <c r="E27" t="inlineStr">
        <is>
          <t>223f</t>
        </is>
      </c>
      <c r="F27" t="inlineStr">
        <is>
          <t>RP</t>
        </is>
      </c>
      <c r="G27" t="n">
        <v>2014</v>
      </c>
      <c r="H27" t="inlineStr">
        <is>
          <t>202602</t>
        </is>
      </c>
      <c r="I27" s="22" t="n">
        <v>3346424.31</v>
      </c>
      <c r="J27" s="23" t="n">
        <v>3.69</v>
      </c>
      <c r="K27" s="24" t="n">
        <v>447</v>
      </c>
      <c r="L27" s="24" t="n">
        <v>0</v>
      </c>
      <c r="M27" t="n">
        <v>136</v>
      </c>
      <c r="N27" t="n">
        <v>32</v>
      </c>
      <c r="O27" t="n">
        <v>205001</v>
      </c>
      <c r="P27" t="inlineStr"/>
      <c r="Q27" t="inlineStr">
        <is>
          <t>3896</t>
        </is>
      </c>
      <c r="R27" t="n">
        <v>0</v>
      </c>
      <c r="S27" t="n">
        <v>0</v>
      </c>
      <c r="T27" t="n">
        <v>0</v>
      </c>
      <c r="U27" t="n">
        <v>0</v>
      </c>
      <c r="V27" s="24">
        <f>J27*100-K27</f>
        <v/>
      </c>
      <c r="W27" s="24">
        <f>L27</f>
        <v/>
      </c>
      <c r="X27" s="25">
        <f>MIN(M27,36)</f>
        <v/>
      </c>
      <c r="Y27" s="25">
        <f>MIN(MAX(M27-36,0),84)</f>
        <v/>
      </c>
      <c r="Z27" s="25">
        <f>MAX(M27-120,0)</f>
        <v/>
      </c>
      <c r="AA27" s="25">
        <f>IF(OR(O27="",NOT(ISNUMBER(O27))),360,MAX(0,MIN(480,(INT(O27/100)-INT(VALUE(H27)/100))*12+MOD(O27,100)-MOD(VALUE(H27),100))))</f>
        <v/>
      </c>
      <c r="AB27">
        <f>IF(AND(AA27&gt;0,AA27&lt;=24),1,0)</f>
        <v/>
      </c>
      <c r="AC27" s="25">
        <f>IF(OR(P27="",NOT(ISNUMBER(P27))),0,MAX(0,MIN(24,(INT(VALUE(H27)/100)-INT(P27/100))*12+MOD(VALUE(H27),100)-MOD(P27,100))))</f>
        <v/>
      </c>
      <c r="AD27" s="23">
        <f>LN(1+I27)</f>
        <v/>
      </c>
      <c r="AE27">
        <f>IF(I27&lt;2000000,1,0)</f>
        <v/>
      </c>
      <c r="AF27">
        <f>IF(I27&gt;50000000,1,0)</f>
        <v/>
      </c>
      <c r="AG27" s="23">
        <f>IF(ISNUMBER(M27),N27/MAX(M27,1),0)</f>
        <v/>
      </c>
      <c r="AH27">
        <f>IF(G27&gt;=2021,1,0)</f>
        <v/>
      </c>
      <c r="AI27">
        <f>S27</f>
        <v/>
      </c>
      <c r="AJ27">
        <f>T27</f>
        <v/>
      </c>
      <c r="AK27">
        <f>R27</f>
        <v/>
      </c>
      <c r="AL27">
        <f>U27</f>
        <v/>
      </c>
      <c r="AM27">
        <f>IF(ISNUMBER(SEARCH("CAPITAL FUNDING",D27)),1,0)</f>
        <v/>
      </c>
      <c r="AN27">
        <f>IF(ISNUMBER(SEARCH("PNC",D27)),1,0)</f>
        <v/>
      </c>
      <c r="AO27">
        <f>IF(ISNUMBER(SEARCH("WELLS FARGO",D27)),1,0)</f>
        <v/>
      </c>
      <c r="AP27">
        <f>IF(ISNUMBER(SEARCH("DWIGHT",D27)),1,0)</f>
        <v/>
      </c>
      <c r="AQ27">
        <f>IF(ISNUMBER(SEARCH("GREYSTONE",D27)),1,0)</f>
        <v/>
      </c>
      <c r="AR27">
        <f>IF(OR(Q27="3896",Q27="3557"),1,0)</f>
        <v/>
      </c>
      <c r="AS27" s="24">
        <f>V27*W27</f>
        <v/>
      </c>
      <c r="AT27" s="26">
        <f>V$4*(V27-V$3)</f>
        <v/>
      </c>
      <c r="AU27" s="26">
        <f>W$4*(W27-W$3)</f>
        <v/>
      </c>
      <c r="AV27" s="26">
        <f>X$4*(X27-X$3)</f>
        <v/>
      </c>
      <c r="AW27" s="26">
        <f>Y$4*(Y27-Y$3)</f>
        <v/>
      </c>
      <c r="AX27" s="26">
        <f>Z$4*(Z27-Z$3)</f>
        <v/>
      </c>
      <c r="AY27" s="26">
        <f>AA$4*(AA27-AA$3)</f>
        <v/>
      </c>
      <c r="AZ27" s="26">
        <f>AB$4*(AB27-AB$3)</f>
        <v/>
      </c>
      <c r="BA27" s="26">
        <f>AC$4*(AC27-AC$3)</f>
        <v/>
      </c>
      <c r="BB27" s="26">
        <f>AD$4*(AD27-AD$3)</f>
        <v/>
      </c>
      <c r="BC27" s="26">
        <f>AE$4*(AE27-AE$3)</f>
        <v/>
      </c>
      <c r="BD27" s="26">
        <f>AF$4*(AF27-AF$3)</f>
        <v/>
      </c>
      <c r="BE27" s="26">
        <f>AG$4*(AG27-AG$3)</f>
        <v/>
      </c>
      <c r="BF27" s="26">
        <f>AH$4*(AH27-AH$3)</f>
        <v/>
      </c>
      <c r="BG27" s="26">
        <f>AI$4*(AI27-AI$3)</f>
        <v/>
      </c>
      <c r="BH27" s="26">
        <f>AJ$4*(AJ27-AJ$3)</f>
        <v/>
      </c>
      <c r="BI27" s="26">
        <f>AK$4*(AK27-AK$3)</f>
        <v/>
      </c>
      <c r="BJ27" s="26">
        <f>AL$4*(AL27-AL$3)</f>
        <v/>
      </c>
      <c r="BK27" s="26">
        <f>AM$4*(AM27-AM$3)</f>
        <v/>
      </c>
      <c r="BL27" s="26">
        <f>AN$4*(AN27-AN$3)</f>
        <v/>
      </c>
      <c r="BM27" s="26">
        <f>AO$4*(AO27-AO$3)</f>
        <v/>
      </c>
      <c r="BN27" s="26">
        <f>AP$4*(AP27-AP$3)</f>
        <v/>
      </c>
      <c r="BO27" s="26">
        <f>AQ$4*(AQ27-AQ$3)</f>
        <v/>
      </c>
      <c r="BP27" s="26">
        <f>AR$4*(AR27-AR$3)</f>
        <v/>
      </c>
      <c r="BQ27" s="26">
        <f>AS$4*(AS27-AS$3)</f>
        <v/>
      </c>
      <c r="BR27" s="27">
        <f>SUM(AT27:BQ27)</f>
        <v/>
      </c>
      <c r="BS27" s="27">
        <f>INTERCEPT_SCALED+BR27</f>
        <v/>
      </c>
      <c r="BT27" s="28">
        <f>1/(1+EXP(-BS27))</f>
        <v/>
      </c>
      <c r="BU27" s="13">
        <f>1-(1-BT27)^12</f>
        <v/>
      </c>
      <c r="BV27" s="13">
        <f>IFERROR(AT27/BR27*(BU27-BASELINE_CPR),0)</f>
        <v/>
      </c>
      <c r="BW27" s="13">
        <f>IFERROR(AU27/BR27*(BU27-BASELINE_CPR),0)</f>
        <v/>
      </c>
      <c r="BX27" s="13">
        <f>IFERROR(AV27/BR27*(BU27-BASELINE_CPR),0)</f>
        <v/>
      </c>
      <c r="BY27" s="13">
        <f>IFERROR(AW27/BR27*(BU27-BASELINE_CPR),0)</f>
        <v/>
      </c>
      <c r="BZ27" s="13">
        <f>IFERROR(AX27/BR27*(BU27-BASELINE_CPR),0)</f>
        <v/>
      </c>
      <c r="CA27" s="13">
        <f>IFERROR(AY27/BR27*(BU27-BASELINE_CPR),0)</f>
        <v/>
      </c>
      <c r="CB27" s="13">
        <f>IFERROR(AZ27/BR27*(BU27-BASELINE_CPR),0)</f>
        <v/>
      </c>
      <c r="CC27" s="13">
        <f>IFERROR(BA27/BR27*(BU27-BASELINE_CPR),0)</f>
        <v/>
      </c>
      <c r="CD27" s="13">
        <f>IFERROR(BB27/BR27*(BU27-BASELINE_CPR),0)</f>
        <v/>
      </c>
      <c r="CE27" s="13">
        <f>IFERROR(BC27/BR27*(BU27-BASELINE_CPR),0)</f>
        <v/>
      </c>
      <c r="CF27" s="13">
        <f>IFERROR(BD27/BR27*(BU27-BASELINE_CPR),0)</f>
        <v/>
      </c>
      <c r="CG27" s="13">
        <f>IFERROR(BE27/BR27*(BU27-BASELINE_CPR),0)</f>
        <v/>
      </c>
      <c r="CH27" s="13">
        <f>IFERROR(BF27/BR27*(BU27-BASELINE_CPR),0)</f>
        <v/>
      </c>
      <c r="CI27" s="13">
        <f>IFERROR(BG27/BR27*(BU27-BASELINE_CPR),0)</f>
        <v/>
      </c>
      <c r="CJ27" s="13">
        <f>IFERROR(BH27/BR27*(BU27-BASELINE_CPR),0)</f>
        <v/>
      </c>
      <c r="CK27" s="13">
        <f>IFERROR(BI27/BR27*(BU27-BASELINE_CPR),0)</f>
        <v/>
      </c>
      <c r="CL27" s="13">
        <f>IFERROR(BJ27/BR27*(BU27-BASELINE_CPR),0)</f>
        <v/>
      </c>
      <c r="CM27" s="13">
        <f>IFERROR(BK27/BR27*(BU27-BASELINE_CPR),0)</f>
        <v/>
      </c>
      <c r="CN27" s="13">
        <f>IFERROR(BL27/BR27*(BU27-BASELINE_CPR),0)</f>
        <v/>
      </c>
      <c r="CO27" s="13">
        <f>IFERROR(BM27/BR27*(BU27-BASELINE_CPR),0)</f>
        <v/>
      </c>
      <c r="CP27" s="13">
        <f>IFERROR(BN27/BR27*(BU27-BASELINE_CPR),0)</f>
        <v/>
      </c>
      <c r="CQ27" s="13">
        <f>IFERROR(BO27/BR27*(BU27-BASELINE_CPR),0)</f>
        <v/>
      </c>
      <c r="CR27" s="13">
        <f>IFERROR(BP27/BR27*(BU27-BASELINE_CPR),0)</f>
        <v/>
      </c>
      <c r="CS27" s="13">
        <f>IFERROR(BQ27/BR27*(BU27-BASELINE_CPR),0)</f>
        <v/>
      </c>
      <c r="CT27" s="29">
        <f>BASELINE_CPR+SUM(BV27:CS27)-BU27</f>
        <v/>
      </c>
    </row>
    <row r="28">
      <c r="A28" s="2" t="inlineStr">
        <is>
          <t>3617Y97A3_000000004335611</t>
        </is>
      </c>
      <c r="B28" t="inlineStr">
        <is>
          <t>LUMENT_POST21</t>
        </is>
      </c>
      <c r="C28" s="2" t="inlineStr">
        <is>
          <t>3617Y97A3</t>
        </is>
      </c>
      <c r="D28" t="inlineStr">
        <is>
          <t>LUMENT REAL ESTATE CAPITAL,LLC</t>
        </is>
      </c>
      <c r="E28" t="inlineStr">
        <is>
          <t>221d4</t>
        </is>
      </c>
      <c r="F28" t="inlineStr">
        <is>
          <t>NC</t>
        </is>
      </c>
      <c r="G28" t="n">
        <v>2022</v>
      </c>
      <c r="H28" t="inlineStr">
        <is>
          <t>202602</t>
        </is>
      </c>
      <c r="I28" s="22" t="n">
        <v>12731864.12</v>
      </c>
      <c r="J28" s="23" t="n">
        <v>2.47</v>
      </c>
      <c r="K28" s="24" t="n">
        <v>447</v>
      </c>
      <c r="L28" s="24" t="n">
        <v>8</v>
      </c>
      <c r="M28" t="n">
        <v>47</v>
      </c>
      <c r="N28" t="n">
        <v>0</v>
      </c>
      <c r="O28" t="n">
        <v>206307</v>
      </c>
      <c r="P28" t="inlineStr"/>
      <c r="Q28" t="inlineStr">
        <is>
          <t>3896</t>
        </is>
      </c>
      <c r="R28" t="n">
        <v>0</v>
      </c>
      <c r="S28" t="n">
        <v>0</v>
      </c>
      <c r="T28" t="n">
        <v>0</v>
      </c>
      <c r="U28" t="n">
        <v>1</v>
      </c>
      <c r="V28" s="24">
        <f>J28*100-K28</f>
        <v/>
      </c>
      <c r="W28" s="24">
        <f>L28</f>
        <v/>
      </c>
      <c r="X28" s="25">
        <f>MIN(M28,36)</f>
        <v/>
      </c>
      <c r="Y28" s="25">
        <f>MIN(MAX(M28-36,0),84)</f>
        <v/>
      </c>
      <c r="Z28" s="25">
        <f>MAX(M28-120,0)</f>
        <v/>
      </c>
      <c r="AA28" s="25">
        <f>IF(OR(O28="",NOT(ISNUMBER(O28))),360,MAX(0,MIN(480,(INT(O28/100)-INT(VALUE(H28)/100))*12+MOD(O28,100)-MOD(VALUE(H28),100))))</f>
        <v/>
      </c>
      <c r="AB28">
        <f>IF(AND(AA28&gt;0,AA28&lt;=24),1,0)</f>
        <v/>
      </c>
      <c r="AC28" s="25">
        <f>IF(OR(P28="",NOT(ISNUMBER(P28))),0,MAX(0,MIN(24,(INT(VALUE(H28)/100)-INT(P28/100))*12+MOD(VALUE(H28),100)-MOD(P28,100))))</f>
        <v/>
      </c>
      <c r="AD28" s="23">
        <f>LN(1+I28)</f>
        <v/>
      </c>
      <c r="AE28">
        <f>IF(I28&lt;2000000,1,0)</f>
        <v/>
      </c>
      <c r="AF28">
        <f>IF(I28&gt;50000000,1,0)</f>
        <v/>
      </c>
      <c r="AG28" s="23">
        <f>IF(ISNUMBER(M28),N28/MAX(M28,1),0)</f>
        <v/>
      </c>
      <c r="AH28">
        <f>IF(G28&gt;=2021,1,0)</f>
        <v/>
      </c>
      <c r="AI28">
        <f>S28</f>
        <v/>
      </c>
      <c r="AJ28">
        <f>T28</f>
        <v/>
      </c>
      <c r="AK28">
        <f>R28</f>
        <v/>
      </c>
      <c r="AL28">
        <f>U28</f>
        <v/>
      </c>
      <c r="AM28">
        <f>IF(ISNUMBER(SEARCH("CAPITAL FUNDING",D28)),1,0)</f>
        <v/>
      </c>
      <c r="AN28">
        <f>IF(ISNUMBER(SEARCH("PNC",D28)),1,0)</f>
        <v/>
      </c>
      <c r="AO28">
        <f>IF(ISNUMBER(SEARCH("WELLS FARGO",D28)),1,0)</f>
        <v/>
      </c>
      <c r="AP28">
        <f>IF(ISNUMBER(SEARCH("DWIGHT",D28)),1,0)</f>
        <v/>
      </c>
      <c r="AQ28">
        <f>IF(ISNUMBER(SEARCH("GREYSTONE",D28)),1,0)</f>
        <v/>
      </c>
      <c r="AR28">
        <f>IF(OR(Q28="3896",Q28="3557"),1,0)</f>
        <v/>
      </c>
      <c r="AS28" s="24">
        <f>V28*W28</f>
        <v/>
      </c>
      <c r="AT28" s="26">
        <f>V$4*(V28-V$3)</f>
        <v/>
      </c>
      <c r="AU28" s="26">
        <f>W$4*(W28-W$3)</f>
        <v/>
      </c>
      <c r="AV28" s="26">
        <f>X$4*(X28-X$3)</f>
        <v/>
      </c>
      <c r="AW28" s="26">
        <f>Y$4*(Y28-Y$3)</f>
        <v/>
      </c>
      <c r="AX28" s="26">
        <f>Z$4*(Z28-Z$3)</f>
        <v/>
      </c>
      <c r="AY28" s="26">
        <f>AA$4*(AA28-AA$3)</f>
        <v/>
      </c>
      <c r="AZ28" s="26">
        <f>AB$4*(AB28-AB$3)</f>
        <v/>
      </c>
      <c r="BA28" s="26">
        <f>AC$4*(AC28-AC$3)</f>
        <v/>
      </c>
      <c r="BB28" s="26">
        <f>AD$4*(AD28-AD$3)</f>
        <v/>
      </c>
      <c r="BC28" s="26">
        <f>AE$4*(AE28-AE$3)</f>
        <v/>
      </c>
      <c r="BD28" s="26">
        <f>AF$4*(AF28-AF$3)</f>
        <v/>
      </c>
      <c r="BE28" s="26">
        <f>AG$4*(AG28-AG$3)</f>
        <v/>
      </c>
      <c r="BF28" s="26">
        <f>AH$4*(AH28-AH$3)</f>
        <v/>
      </c>
      <c r="BG28" s="26">
        <f>AI$4*(AI28-AI$3)</f>
        <v/>
      </c>
      <c r="BH28" s="26">
        <f>AJ$4*(AJ28-AJ$3)</f>
        <v/>
      </c>
      <c r="BI28" s="26">
        <f>AK$4*(AK28-AK$3)</f>
        <v/>
      </c>
      <c r="BJ28" s="26">
        <f>AL$4*(AL28-AL$3)</f>
        <v/>
      </c>
      <c r="BK28" s="26">
        <f>AM$4*(AM28-AM$3)</f>
        <v/>
      </c>
      <c r="BL28" s="26">
        <f>AN$4*(AN28-AN$3)</f>
        <v/>
      </c>
      <c r="BM28" s="26">
        <f>AO$4*(AO28-AO$3)</f>
        <v/>
      </c>
      <c r="BN28" s="26">
        <f>AP$4*(AP28-AP$3)</f>
        <v/>
      </c>
      <c r="BO28" s="26">
        <f>AQ$4*(AQ28-AQ$3)</f>
        <v/>
      </c>
      <c r="BP28" s="26">
        <f>AR$4*(AR28-AR$3)</f>
        <v/>
      </c>
      <c r="BQ28" s="26">
        <f>AS$4*(AS28-AS$3)</f>
        <v/>
      </c>
      <c r="BR28" s="27">
        <f>SUM(AT28:BQ28)</f>
        <v/>
      </c>
      <c r="BS28" s="27">
        <f>INTERCEPT_SCALED+BR28</f>
        <v/>
      </c>
      <c r="BT28" s="28">
        <f>1/(1+EXP(-BS28))</f>
        <v/>
      </c>
      <c r="BU28" s="13">
        <f>1-(1-BT28)^12</f>
        <v/>
      </c>
      <c r="BV28" s="13">
        <f>IFERROR(AT28/BR28*(BU28-BASELINE_CPR),0)</f>
        <v/>
      </c>
      <c r="BW28" s="13">
        <f>IFERROR(AU28/BR28*(BU28-BASELINE_CPR),0)</f>
        <v/>
      </c>
      <c r="BX28" s="13">
        <f>IFERROR(AV28/BR28*(BU28-BASELINE_CPR),0)</f>
        <v/>
      </c>
      <c r="BY28" s="13">
        <f>IFERROR(AW28/BR28*(BU28-BASELINE_CPR),0)</f>
        <v/>
      </c>
      <c r="BZ28" s="13">
        <f>IFERROR(AX28/BR28*(BU28-BASELINE_CPR),0)</f>
        <v/>
      </c>
      <c r="CA28" s="13">
        <f>IFERROR(AY28/BR28*(BU28-BASELINE_CPR),0)</f>
        <v/>
      </c>
      <c r="CB28" s="13">
        <f>IFERROR(AZ28/BR28*(BU28-BASELINE_CPR),0)</f>
        <v/>
      </c>
      <c r="CC28" s="13">
        <f>IFERROR(BA28/BR28*(BU28-BASELINE_CPR),0)</f>
        <v/>
      </c>
      <c r="CD28" s="13">
        <f>IFERROR(BB28/BR28*(BU28-BASELINE_CPR),0)</f>
        <v/>
      </c>
      <c r="CE28" s="13">
        <f>IFERROR(BC28/BR28*(BU28-BASELINE_CPR),0)</f>
        <v/>
      </c>
      <c r="CF28" s="13">
        <f>IFERROR(BD28/BR28*(BU28-BASELINE_CPR),0)</f>
        <v/>
      </c>
      <c r="CG28" s="13">
        <f>IFERROR(BE28/BR28*(BU28-BASELINE_CPR),0)</f>
        <v/>
      </c>
      <c r="CH28" s="13">
        <f>IFERROR(BF28/BR28*(BU28-BASELINE_CPR),0)</f>
        <v/>
      </c>
      <c r="CI28" s="13">
        <f>IFERROR(BG28/BR28*(BU28-BASELINE_CPR),0)</f>
        <v/>
      </c>
      <c r="CJ28" s="13">
        <f>IFERROR(BH28/BR28*(BU28-BASELINE_CPR),0)</f>
        <v/>
      </c>
      <c r="CK28" s="13">
        <f>IFERROR(BI28/BR28*(BU28-BASELINE_CPR),0)</f>
        <v/>
      </c>
      <c r="CL28" s="13">
        <f>IFERROR(BJ28/BR28*(BU28-BASELINE_CPR),0)</f>
        <v/>
      </c>
      <c r="CM28" s="13">
        <f>IFERROR(BK28/BR28*(BU28-BASELINE_CPR),0)</f>
        <v/>
      </c>
      <c r="CN28" s="13">
        <f>IFERROR(BL28/BR28*(BU28-BASELINE_CPR),0)</f>
        <v/>
      </c>
      <c r="CO28" s="13">
        <f>IFERROR(BM28/BR28*(BU28-BASELINE_CPR),0)</f>
        <v/>
      </c>
      <c r="CP28" s="13">
        <f>IFERROR(BN28/BR28*(BU28-BASELINE_CPR),0)</f>
        <v/>
      </c>
      <c r="CQ28" s="13">
        <f>IFERROR(BO28/BR28*(BU28-BASELINE_CPR),0)</f>
        <v/>
      </c>
      <c r="CR28" s="13">
        <f>IFERROR(BP28/BR28*(BU28-BASELINE_CPR),0)</f>
        <v/>
      </c>
      <c r="CS28" s="13">
        <f>IFERROR(BQ28/BR28*(BU28-BASELINE_CPR),0)</f>
        <v/>
      </c>
      <c r="CT28" s="29">
        <f>BASELINE_CPR+SUM(BV28:CS28)-BU28</f>
        <v/>
      </c>
    </row>
    <row r="29">
      <c r="A29" s="2" t="inlineStr">
        <is>
          <t>3617FTCS5_000000004635780</t>
        </is>
      </c>
      <c r="B29" t="inlineStr">
        <is>
          <t>LUMENT_POST21</t>
        </is>
      </c>
      <c r="C29" s="2" t="inlineStr">
        <is>
          <t>3617FTCS5</t>
        </is>
      </c>
      <c r="D29" t="inlineStr">
        <is>
          <t>LUMENT REAL ESTATE CAPITAL,LLC</t>
        </is>
      </c>
      <c r="E29" t="inlineStr">
        <is>
          <t>221d4</t>
        </is>
      </c>
      <c r="F29" t="inlineStr">
        <is>
          <t>NC</t>
        </is>
      </c>
      <c r="G29" t="n">
        <v>2022</v>
      </c>
      <c r="H29" t="inlineStr">
        <is>
          <t>202602</t>
        </is>
      </c>
      <c r="I29" s="22" t="n">
        <v>9678159.77</v>
      </c>
      <c r="J29" s="23" t="n">
        <v>5.75</v>
      </c>
      <c r="K29" s="24" t="n">
        <v>447</v>
      </c>
      <c r="L29" s="24" t="n">
        <v>9</v>
      </c>
      <c r="M29" t="n">
        <v>38</v>
      </c>
      <c r="N29" t="n">
        <v>1</v>
      </c>
      <c r="O29" t="n">
        <v>206404</v>
      </c>
      <c r="P29" t="inlineStr"/>
      <c r="Q29" t="inlineStr">
        <is>
          <t>3896</t>
        </is>
      </c>
      <c r="R29" t="n">
        <v>0</v>
      </c>
      <c r="S29" t="n">
        <v>0</v>
      </c>
      <c r="T29" t="n">
        <v>0</v>
      </c>
      <c r="U29" t="n">
        <v>1</v>
      </c>
      <c r="V29" s="24">
        <f>J29*100-K29</f>
        <v/>
      </c>
      <c r="W29" s="24">
        <f>L29</f>
        <v/>
      </c>
      <c r="X29" s="25">
        <f>MIN(M29,36)</f>
        <v/>
      </c>
      <c r="Y29" s="25">
        <f>MIN(MAX(M29-36,0),84)</f>
        <v/>
      </c>
      <c r="Z29" s="25">
        <f>MAX(M29-120,0)</f>
        <v/>
      </c>
      <c r="AA29" s="25">
        <f>IF(OR(O29="",NOT(ISNUMBER(O29))),360,MAX(0,MIN(480,(INT(O29/100)-INT(VALUE(H29)/100))*12+MOD(O29,100)-MOD(VALUE(H29),100))))</f>
        <v/>
      </c>
      <c r="AB29">
        <f>IF(AND(AA29&gt;0,AA29&lt;=24),1,0)</f>
        <v/>
      </c>
      <c r="AC29" s="25">
        <f>IF(OR(P29="",NOT(ISNUMBER(P29))),0,MAX(0,MIN(24,(INT(VALUE(H29)/100)-INT(P29/100))*12+MOD(VALUE(H29),100)-MOD(P29,100))))</f>
        <v/>
      </c>
      <c r="AD29" s="23">
        <f>LN(1+I29)</f>
        <v/>
      </c>
      <c r="AE29">
        <f>IF(I29&lt;2000000,1,0)</f>
        <v/>
      </c>
      <c r="AF29">
        <f>IF(I29&gt;50000000,1,0)</f>
        <v/>
      </c>
      <c r="AG29" s="23">
        <f>IF(ISNUMBER(M29),N29/MAX(M29,1),0)</f>
        <v/>
      </c>
      <c r="AH29">
        <f>IF(G29&gt;=2021,1,0)</f>
        <v/>
      </c>
      <c r="AI29">
        <f>S29</f>
        <v/>
      </c>
      <c r="AJ29">
        <f>T29</f>
        <v/>
      </c>
      <c r="AK29">
        <f>R29</f>
        <v/>
      </c>
      <c r="AL29">
        <f>U29</f>
        <v/>
      </c>
      <c r="AM29">
        <f>IF(ISNUMBER(SEARCH("CAPITAL FUNDING",D29)),1,0)</f>
        <v/>
      </c>
      <c r="AN29">
        <f>IF(ISNUMBER(SEARCH("PNC",D29)),1,0)</f>
        <v/>
      </c>
      <c r="AO29">
        <f>IF(ISNUMBER(SEARCH("WELLS FARGO",D29)),1,0)</f>
        <v/>
      </c>
      <c r="AP29">
        <f>IF(ISNUMBER(SEARCH("DWIGHT",D29)),1,0)</f>
        <v/>
      </c>
      <c r="AQ29">
        <f>IF(ISNUMBER(SEARCH("GREYSTONE",D29)),1,0)</f>
        <v/>
      </c>
      <c r="AR29">
        <f>IF(OR(Q29="3896",Q29="3557"),1,0)</f>
        <v/>
      </c>
      <c r="AS29" s="24">
        <f>V29*W29</f>
        <v/>
      </c>
      <c r="AT29" s="26">
        <f>V$4*(V29-V$3)</f>
        <v/>
      </c>
      <c r="AU29" s="26">
        <f>W$4*(W29-W$3)</f>
        <v/>
      </c>
      <c r="AV29" s="26">
        <f>X$4*(X29-X$3)</f>
        <v/>
      </c>
      <c r="AW29" s="26">
        <f>Y$4*(Y29-Y$3)</f>
        <v/>
      </c>
      <c r="AX29" s="26">
        <f>Z$4*(Z29-Z$3)</f>
        <v/>
      </c>
      <c r="AY29" s="26">
        <f>AA$4*(AA29-AA$3)</f>
        <v/>
      </c>
      <c r="AZ29" s="26">
        <f>AB$4*(AB29-AB$3)</f>
        <v/>
      </c>
      <c r="BA29" s="26">
        <f>AC$4*(AC29-AC$3)</f>
        <v/>
      </c>
      <c r="BB29" s="26">
        <f>AD$4*(AD29-AD$3)</f>
        <v/>
      </c>
      <c r="BC29" s="26">
        <f>AE$4*(AE29-AE$3)</f>
        <v/>
      </c>
      <c r="BD29" s="26">
        <f>AF$4*(AF29-AF$3)</f>
        <v/>
      </c>
      <c r="BE29" s="26">
        <f>AG$4*(AG29-AG$3)</f>
        <v/>
      </c>
      <c r="BF29" s="26">
        <f>AH$4*(AH29-AH$3)</f>
        <v/>
      </c>
      <c r="BG29" s="26">
        <f>AI$4*(AI29-AI$3)</f>
        <v/>
      </c>
      <c r="BH29" s="26">
        <f>AJ$4*(AJ29-AJ$3)</f>
        <v/>
      </c>
      <c r="BI29" s="26">
        <f>AK$4*(AK29-AK$3)</f>
        <v/>
      </c>
      <c r="BJ29" s="26">
        <f>AL$4*(AL29-AL$3)</f>
        <v/>
      </c>
      <c r="BK29" s="26">
        <f>AM$4*(AM29-AM$3)</f>
        <v/>
      </c>
      <c r="BL29" s="26">
        <f>AN$4*(AN29-AN$3)</f>
        <v/>
      </c>
      <c r="BM29" s="26">
        <f>AO$4*(AO29-AO$3)</f>
        <v/>
      </c>
      <c r="BN29" s="26">
        <f>AP$4*(AP29-AP$3)</f>
        <v/>
      </c>
      <c r="BO29" s="26">
        <f>AQ$4*(AQ29-AQ$3)</f>
        <v/>
      </c>
      <c r="BP29" s="26">
        <f>AR$4*(AR29-AR$3)</f>
        <v/>
      </c>
      <c r="BQ29" s="26">
        <f>AS$4*(AS29-AS$3)</f>
        <v/>
      </c>
      <c r="BR29" s="27">
        <f>SUM(AT29:BQ29)</f>
        <v/>
      </c>
      <c r="BS29" s="27">
        <f>INTERCEPT_SCALED+BR29</f>
        <v/>
      </c>
      <c r="BT29" s="28">
        <f>1/(1+EXP(-BS29))</f>
        <v/>
      </c>
      <c r="BU29" s="13">
        <f>1-(1-BT29)^12</f>
        <v/>
      </c>
      <c r="BV29" s="13">
        <f>IFERROR(AT29/BR29*(BU29-BASELINE_CPR),0)</f>
        <v/>
      </c>
      <c r="BW29" s="13">
        <f>IFERROR(AU29/BR29*(BU29-BASELINE_CPR),0)</f>
        <v/>
      </c>
      <c r="BX29" s="13">
        <f>IFERROR(AV29/BR29*(BU29-BASELINE_CPR),0)</f>
        <v/>
      </c>
      <c r="BY29" s="13">
        <f>IFERROR(AW29/BR29*(BU29-BASELINE_CPR),0)</f>
        <v/>
      </c>
      <c r="BZ29" s="13">
        <f>IFERROR(AX29/BR29*(BU29-BASELINE_CPR),0)</f>
        <v/>
      </c>
      <c r="CA29" s="13">
        <f>IFERROR(AY29/BR29*(BU29-BASELINE_CPR),0)</f>
        <v/>
      </c>
      <c r="CB29" s="13">
        <f>IFERROR(AZ29/BR29*(BU29-BASELINE_CPR),0)</f>
        <v/>
      </c>
      <c r="CC29" s="13">
        <f>IFERROR(BA29/BR29*(BU29-BASELINE_CPR),0)</f>
        <v/>
      </c>
      <c r="CD29" s="13">
        <f>IFERROR(BB29/BR29*(BU29-BASELINE_CPR),0)</f>
        <v/>
      </c>
      <c r="CE29" s="13">
        <f>IFERROR(BC29/BR29*(BU29-BASELINE_CPR),0)</f>
        <v/>
      </c>
      <c r="CF29" s="13">
        <f>IFERROR(BD29/BR29*(BU29-BASELINE_CPR),0)</f>
        <v/>
      </c>
      <c r="CG29" s="13">
        <f>IFERROR(BE29/BR29*(BU29-BASELINE_CPR),0)</f>
        <v/>
      </c>
      <c r="CH29" s="13">
        <f>IFERROR(BF29/BR29*(BU29-BASELINE_CPR),0)</f>
        <v/>
      </c>
      <c r="CI29" s="13">
        <f>IFERROR(BG29/BR29*(BU29-BASELINE_CPR),0)</f>
        <v/>
      </c>
      <c r="CJ29" s="13">
        <f>IFERROR(BH29/BR29*(BU29-BASELINE_CPR),0)</f>
        <v/>
      </c>
      <c r="CK29" s="13">
        <f>IFERROR(BI29/BR29*(BU29-BASELINE_CPR),0)</f>
        <v/>
      </c>
      <c r="CL29" s="13">
        <f>IFERROR(BJ29/BR29*(BU29-BASELINE_CPR),0)</f>
        <v/>
      </c>
      <c r="CM29" s="13">
        <f>IFERROR(BK29/BR29*(BU29-BASELINE_CPR),0)</f>
        <v/>
      </c>
      <c r="CN29" s="13">
        <f>IFERROR(BL29/BR29*(BU29-BASELINE_CPR),0)</f>
        <v/>
      </c>
      <c r="CO29" s="13">
        <f>IFERROR(BM29/BR29*(BU29-BASELINE_CPR),0)</f>
        <v/>
      </c>
      <c r="CP29" s="13">
        <f>IFERROR(BN29/BR29*(BU29-BASELINE_CPR),0)</f>
        <v/>
      </c>
      <c r="CQ29" s="13">
        <f>IFERROR(BO29/BR29*(BU29-BASELINE_CPR),0)</f>
        <v/>
      </c>
      <c r="CR29" s="13">
        <f>IFERROR(BP29/BR29*(BU29-BASELINE_CPR),0)</f>
        <v/>
      </c>
      <c r="CS29" s="13">
        <f>IFERROR(BQ29/BR29*(BU29-BASELINE_CPR),0)</f>
        <v/>
      </c>
      <c r="CT29" s="29">
        <f>BASELINE_CPR+SUM(BV29:CS29)-BU29</f>
        <v/>
      </c>
    </row>
    <row r="30">
      <c r="A30" s="2" t="inlineStr">
        <is>
          <t>3618HNA98_000000005122220</t>
        </is>
      </c>
      <c r="B30" t="inlineStr">
        <is>
          <t>LUMENT_POST21</t>
        </is>
      </c>
      <c r="C30" s="2" t="inlineStr">
        <is>
          <t>3618HNA98</t>
        </is>
      </c>
      <c r="D30" t="inlineStr">
        <is>
          <t>LUMENT REAL ESTATE CAPITAL,LLC</t>
        </is>
      </c>
      <c r="E30" t="inlineStr">
        <is>
          <t>232</t>
        </is>
      </c>
      <c r="F30" t="inlineStr">
        <is>
          <t>RP</t>
        </is>
      </c>
      <c r="G30" t="n">
        <v>2025</v>
      </c>
      <c r="H30" t="inlineStr">
        <is>
          <t>202602</t>
        </is>
      </c>
      <c r="I30" s="22" t="n">
        <v>15537179.74</v>
      </c>
      <c r="J30" s="23" t="n">
        <v>6.07</v>
      </c>
      <c r="K30" s="24" t="n">
        <v>447</v>
      </c>
      <c r="L30" s="24" t="n">
        <v>10</v>
      </c>
      <c r="M30" t="n">
        <v>12</v>
      </c>
      <c r="N30" t="n">
        <v>2</v>
      </c>
      <c r="O30" t="n">
        <v>206003</v>
      </c>
      <c r="P30" t="inlineStr"/>
      <c r="Q30" t="inlineStr">
        <is>
          <t>3896</t>
        </is>
      </c>
      <c r="R30" t="n">
        <v>1</v>
      </c>
      <c r="S30" t="n">
        <v>0</v>
      </c>
      <c r="T30" t="n">
        <v>0</v>
      </c>
      <c r="U30" t="n">
        <v>0</v>
      </c>
      <c r="V30" s="24">
        <f>J30*100-K30</f>
        <v/>
      </c>
      <c r="W30" s="24">
        <f>L30</f>
        <v/>
      </c>
      <c r="X30" s="25">
        <f>MIN(M30,36)</f>
        <v/>
      </c>
      <c r="Y30" s="25">
        <f>MIN(MAX(M30-36,0),84)</f>
        <v/>
      </c>
      <c r="Z30" s="25">
        <f>MAX(M30-120,0)</f>
        <v/>
      </c>
      <c r="AA30" s="25">
        <f>IF(OR(O30="",NOT(ISNUMBER(O30))),360,MAX(0,MIN(480,(INT(O30/100)-INT(VALUE(H30)/100))*12+MOD(O30,100)-MOD(VALUE(H30),100))))</f>
        <v/>
      </c>
      <c r="AB30">
        <f>IF(AND(AA30&gt;0,AA30&lt;=24),1,0)</f>
        <v/>
      </c>
      <c r="AC30" s="25">
        <f>IF(OR(P30="",NOT(ISNUMBER(P30))),0,MAX(0,MIN(24,(INT(VALUE(H30)/100)-INT(P30/100))*12+MOD(VALUE(H30),100)-MOD(P30,100))))</f>
        <v/>
      </c>
      <c r="AD30" s="23">
        <f>LN(1+I30)</f>
        <v/>
      </c>
      <c r="AE30">
        <f>IF(I30&lt;2000000,1,0)</f>
        <v/>
      </c>
      <c r="AF30">
        <f>IF(I30&gt;50000000,1,0)</f>
        <v/>
      </c>
      <c r="AG30" s="23">
        <f>IF(ISNUMBER(M30),N30/MAX(M30,1),0)</f>
        <v/>
      </c>
      <c r="AH30">
        <f>IF(G30&gt;=2021,1,0)</f>
        <v/>
      </c>
      <c r="AI30">
        <f>S30</f>
        <v/>
      </c>
      <c r="AJ30">
        <f>T30</f>
        <v/>
      </c>
      <c r="AK30">
        <f>R30</f>
        <v/>
      </c>
      <c r="AL30">
        <f>U30</f>
        <v/>
      </c>
      <c r="AM30">
        <f>IF(ISNUMBER(SEARCH("CAPITAL FUNDING",D30)),1,0)</f>
        <v/>
      </c>
      <c r="AN30">
        <f>IF(ISNUMBER(SEARCH("PNC",D30)),1,0)</f>
        <v/>
      </c>
      <c r="AO30">
        <f>IF(ISNUMBER(SEARCH("WELLS FARGO",D30)),1,0)</f>
        <v/>
      </c>
      <c r="AP30">
        <f>IF(ISNUMBER(SEARCH("DWIGHT",D30)),1,0)</f>
        <v/>
      </c>
      <c r="AQ30">
        <f>IF(ISNUMBER(SEARCH("GREYSTONE",D30)),1,0)</f>
        <v/>
      </c>
      <c r="AR30">
        <f>IF(OR(Q30="3896",Q30="3557"),1,0)</f>
        <v/>
      </c>
      <c r="AS30" s="24">
        <f>V30*W30</f>
        <v/>
      </c>
      <c r="AT30" s="26">
        <f>V$4*(V30-V$3)</f>
        <v/>
      </c>
      <c r="AU30" s="26">
        <f>W$4*(W30-W$3)</f>
        <v/>
      </c>
      <c r="AV30" s="26">
        <f>X$4*(X30-X$3)</f>
        <v/>
      </c>
      <c r="AW30" s="26">
        <f>Y$4*(Y30-Y$3)</f>
        <v/>
      </c>
      <c r="AX30" s="26">
        <f>Z$4*(Z30-Z$3)</f>
        <v/>
      </c>
      <c r="AY30" s="26">
        <f>AA$4*(AA30-AA$3)</f>
        <v/>
      </c>
      <c r="AZ30" s="26">
        <f>AB$4*(AB30-AB$3)</f>
        <v/>
      </c>
      <c r="BA30" s="26">
        <f>AC$4*(AC30-AC$3)</f>
        <v/>
      </c>
      <c r="BB30" s="26">
        <f>AD$4*(AD30-AD$3)</f>
        <v/>
      </c>
      <c r="BC30" s="26">
        <f>AE$4*(AE30-AE$3)</f>
        <v/>
      </c>
      <c r="BD30" s="26">
        <f>AF$4*(AF30-AF$3)</f>
        <v/>
      </c>
      <c r="BE30" s="26">
        <f>AG$4*(AG30-AG$3)</f>
        <v/>
      </c>
      <c r="BF30" s="26">
        <f>AH$4*(AH30-AH$3)</f>
        <v/>
      </c>
      <c r="BG30" s="26">
        <f>AI$4*(AI30-AI$3)</f>
        <v/>
      </c>
      <c r="BH30" s="26">
        <f>AJ$4*(AJ30-AJ$3)</f>
        <v/>
      </c>
      <c r="BI30" s="26">
        <f>AK$4*(AK30-AK$3)</f>
        <v/>
      </c>
      <c r="BJ30" s="26">
        <f>AL$4*(AL30-AL$3)</f>
        <v/>
      </c>
      <c r="BK30" s="26">
        <f>AM$4*(AM30-AM$3)</f>
        <v/>
      </c>
      <c r="BL30" s="26">
        <f>AN$4*(AN30-AN$3)</f>
        <v/>
      </c>
      <c r="BM30" s="26">
        <f>AO$4*(AO30-AO$3)</f>
        <v/>
      </c>
      <c r="BN30" s="26">
        <f>AP$4*(AP30-AP$3)</f>
        <v/>
      </c>
      <c r="BO30" s="26">
        <f>AQ$4*(AQ30-AQ$3)</f>
        <v/>
      </c>
      <c r="BP30" s="26">
        <f>AR$4*(AR30-AR$3)</f>
        <v/>
      </c>
      <c r="BQ30" s="26">
        <f>AS$4*(AS30-AS$3)</f>
        <v/>
      </c>
      <c r="BR30" s="27">
        <f>SUM(AT30:BQ30)</f>
        <v/>
      </c>
      <c r="BS30" s="27">
        <f>INTERCEPT_SCALED+BR30</f>
        <v/>
      </c>
      <c r="BT30" s="28">
        <f>1/(1+EXP(-BS30))</f>
        <v/>
      </c>
      <c r="BU30" s="13">
        <f>1-(1-BT30)^12</f>
        <v/>
      </c>
      <c r="BV30" s="13">
        <f>IFERROR(AT30/BR30*(BU30-BASELINE_CPR),0)</f>
        <v/>
      </c>
      <c r="BW30" s="13">
        <f>IFERROR(AU30/BR30*(BU30-BASELINE_CPR),0)</f>
        <v/>
      </c>
      <c r="BX30" s="13">
        <f>IFERROR(AV30/BR30*(BU30-BASELINE_CPR),0)</f>
        <v/>
      </c>
      <c r="BY30" s="13">
        <f>IFERROR(AW30/BR30*(BU30-BASELINE_CPR),0)</f>
        <v/>
      </c>
      <c r="BZ30" s="13">
        <f>IFERROR(AX30/BR30*(BU30-BASELINE_CPR),0)</f>
        <v/>
      </c>
      <c r="CA30" s="13">
        <f>IFERROR(AY30/BR30*(BU30-BASELINE_CPR),0)</f>
        <v/>
      </c>
      <c r="CB30" s="13">
        <f>IFERROR(AZ30/BR30*(BU30-BASELINE_CPR),0)</f>
        <v/>
      </c>
      <c r="CC30" s="13">
        <f>IFERROR(BA30/BR30*(BU30-BASELINE_CPR),0)</f>
        <v/>
      </c>
      <c r="CD30" s="13">
        <f>IFERROR(BB30/BR30*(BU30-BASELINE_CPR),0)</f>
        <v/>
      </c>
      <c r="CE30" s="13">
        <f>IFERROR(BC30/BR30*(BU30-BASELINE_CPR),0)</f>
        <v/>
      </c>
      <c r="CF30" s="13">
        <f>IFERROR(BD30/BR30*(BU30-BASELINE_CPR),0)</f>
        <v/>
      </c>
      <c r="CG30" s="13">
        <f>IFERROR(BE30/BR30*(BU30-BASELINE_CPR),0)</f>
        <v/>
      </c>
      <c r="CH30" s="13">
        <f>IFERROR(BF30/BR30*(BU30-BASELINE_CPR),0)</f>
        <v/>
      </c>
      <c r="CI30" s="13">
        <f>IFERROR(BG30/BR30*(BU30-BASELINE_CPR),0)</f>
        <v/>
      </c>
      <c r="CJ30" s="13">
        <f>IFERROR(BH30/BR30*(BU30-BASELINE_CPR),0)</f>
        <v/>
      </c>
      <c r="CK30" s="13">
        <f>IFERROR(BI30/BR30*(BU30-BASELINE_CPR),0)</f>
        <v/>
      </c>
      <c r="CL30" s="13">
        <f>IFERROR(BJ30/BR30*(BU30-BASELINE_CPR),0)</f>
        <v/>
      </c>
      <c r="CM30" s="13">
        <f>IFERROR(BK30/BR30*(BU30-BASELINE_CPR),0)</f>
        <v/>
      </c>
      <c r="CN30" s="13">
        <f>IFERROR(BL30/BR30*(BU30-BASELINE_CPR),0)</f>
        <v/>
      </c>
      <c r="CO30" s="13">
        <f>IFERROR(BM30/BR30*(BU30-BASELINE_CPR),0)</f>
        <v/>
      </c>
      <c r="CP30" s="13">
        <f>IFERROR(BN30/BR30*(BU30-BASELINE_CPR),0)</f>
        <v/>
      </c>
      <c r="CQ30" s="13">
        <f>IFERROR(BO30/BR30*(BU30-BASELINE_CPR),0)</f>
        <v/>
      </c>
      <c r="CR30" s="13">
        <f>IFERROR(BP30/BR30*(BU30-BASELINE_CPR),0)</f>
        <v/>
      </c>
      <c r="CS30" s="13">
        <f>IFERROR(BQ30/BR30*(BU30-BASELINE_CPR),0)</f>
        <v/>
      </c>
      <c r="CT30" s="29">
        <f>BASELINE_CPR+SUM(BV30:CS30)-BU30</f>
        <v/>
      </c>
    </row>
    <row r="31">
      <c r="A31" s="2" t="inlineStr">
        <is>
          <t>36181F4E8_000000006322064</t>
        </is>
      </c>
      <c r="B31" t="inlineStr">
        <is>
          <t>LUMENT_PRE21</t>
        </is>
      </c>
      <c r="C31" s="2" t="inlineStr">
        <is>
          <t>36181F4E8</t>
        </is>
      </c>
      <c r="D31" t="inlineStr">
        <is>
          <t>LUMENT REAL ESTATE CAPITAL,LLC</t>
        </is>
      </c>
      <c r="E31" t="inlineStr">
        <is>
          <t>232</t>
        </is>
      </c>
      <c r="F31" t="inlineStr">
        <is>
          <t>RP</t>
        </is>
      </c>
      <c r="G31" t="n">
        <v>2013</v>
      </c>
      <c r="H31" t="inlineStr">
        <is>
          <t>202602</t>
        </is>
      </c>
      <c r="I31" s="22" t="n">
        <v>8085044.96</v>
      </c>
      <c r="J31" s="23" t="n">
        <v>2.9</v>
      </c>
      <c r="K31" s="24" t="n">
        <v>447</v>
      </c>
      <c r="L31" s="24" t="n">
        <v>0</v>
      </c>
      <c r="M31" t="n">
        <v>152</v>
      </c>
      <c r="N31" t="n">
        <v>25</v>
      </c>
      <c r="O31" t="n">
        <v>204807</v>
      </c>
      <c r="P31" t="inlineStr"/>
      <c r="Q31" t="inlineStr">
        <is>
          <t>3896</t>
        </is>
      </c>
      <c r="R31" t="n">
        <v>1</v>
      </c>
      <c r="S31" t="n">
        <v>0</v>
      </c>
      <c r="T31" t="n">
        <v>0</v>
      </c>
      <c r="U31" t="n">
        <v>0</v>
      </c>
      <c r="V31" s="24">
        <f>J31*100-K31</f>
        <v/>
      </c>
      <c r="W31" s="24">
        <f>L31</f>
        <v/>
      </c>
      <c r="X31" s="25">
        <f>MIN(M31,36)</f>
        <v/>
      </c>
      <c r="Y31" s="25">
        <f>MIN(MAX(M31-36,0),84)</f>
        <v/>
      </c>
      <c r="Z31" s="25">
        <f>MAX(M31-120,0)</f>
        <v/>
      </c>
      <c r="AA31" s="25">
        <f>IF(OR(O31="",NOT(ISNUMBER(O31))),360,MAX(0,MIN(480,(INT(O31/100)-INT(VALUE(H31)/100))*12+MOD(O31,100)-MOD(VALUE(H31),100))))</f>
        <v/>
      </c>
      <c r="AB31">
        <f>IF(AND(AA31&gt;0,AA31&lt;=24),1,0)</f>
        <v/>
      </c>
      <c r="AC31" s="25">
        <f>IF(OR(P31="",NOT(ISNUMBER(P31))),0,MAX(0,MIN(24,(INT(VALUE(H31)/100)-INT(P31/100))*12+MOD(VALUE(H31),100)-MOD(P31,100))))</f>
        <v/>
      </c>
      <c r="AD31" s="23">
        <f>LN(1+I31)</f>
        <v/>
      </c>
      <c r="AE31">
        <f>IF(I31&lt;2000000,1,0)</f>
        <v/>
      </c>
      <c r="AF31">
        <f>IF(I31&gt;50000000,1,0)</f>
        <v/>
      </c>
      <c r="AG31" s="23">
        <f>IF(ISNUMBER(M31),N31/MAX(M31,1),0)</f>
        <v/>
      </c>
      <c r="AH31">
        <f>IF(G31&gt;=2021,1,0)</f>
        <v/>
      </c>
      <c r="AI31">
        <f>S31</f>
        <v/>
      </c>
      <c r="AJ31">
        <f>T31</f>
        <v/>
      </c>
      <c r="AK31">
        <f>R31</f>
        <v/>
      </c>
      <c r="AL31">
        <f>U31</f>
        <v/>
      </c>
      <c r="AM31">
        <f>IF(ISNUMBER(SEARCH("CAPITAL FUNDING",D31)),1,0)</f>
        <v/>
      </c>
      <c r="AN31">
        <f>IF(ISNUMBER(SEARCH("PNC",D31)),1,0)</f>
        <v/>
      </c>
      <c r="AO31">
        <f>IF(ISNUMBER(SEARCH("WELLS FARGO",D31)),1,0)</f>
        <v/>
      </c>
      <c r="AP31">
        <f>IF(ISNUMBER(SEARCH("DWIGHT",D31)),1,0)</f>
        <v/>
      </c>
      <c r="AQ31">
        <f>IF(ISNUMBER(SEARCH("GREYSTONE",D31)),1,0)</f>
        <v/>
      </c>
      <c r="AR31">
        <f>IF(OR(Q31="3896",Q31="3557"),1,0)</f>
        <v/>
      </c>
      <c r="AS31" s="24">
        <f>V31*W31</f>
        <v/>
      </c>
      <c r="AT31" s="26">
        <f>V$4*(V31-V$3)</f>
        <v/>
      </c>
      <c r="AU31" s="26">
        <f>W$4*(W31-W$3)</f>
        <v/>
      </c>
      <c r="AV31" s="26">
        <f>X$4*(X31-X$3)</f>
        <v/>
      </c>
      <c r="AW31" s="26">
        <f>Y$4*(Y31-Y$3)</f>
        <v/>
      </c>
      <c r="AX31" s="26">
        <f>Z$4*(Z31-Z$3)</f>
        <v/>
      </c>
      <c r="AY31" s="26">
        <f>AA$4*(AA31-AA$3)</f>
        <v/>
      </c>
      <c r="AZ31" s="26">
        <f>AB$4*(AB31-AB$3)</f>
        <v/>
      </c>
      <c r="BA31" s="26">
        <f>AC$4*(AC31-AC$3)</f>
        <v/>
      </c>
      <c r="BB31" s="26">
        <f>AD$4*(AD31-AD$3)</f>
        <v/>
      </c>
      <c r="BC31" s="26">
        <f>AE$4*(AE31-AE$3)</f>
        <v/>
      </c>
      <c r="BD31" s="26">
        <f>AF$4*(AF31-AF$3)</f>
        <v/>
      </c>
      <c r="BE31" s="26">
        <f>AG$4*(AG31-AG$3)</f>
        <v/>
      </c>
      <c r="BF31" s="26">
        <f>AH$4*(AH31-AH$3)</f>
        <v/>
      </c>
      <c r="BG31" s="26">
        <f>AI$4*(AI31-AI$3)</f>
        <v/>
      </c>
      <c r="BH31" s="26">
        <f>AJ$4*(AJ31-AJ$3)</f>
        <v/>
      </c>
      <c r="BI31" s="26">
        <f>AK$4*(AK31-AK$3)</f>
        <v/>
      </c>
      <c r="BJ31" s="26">
        <f>AL$4*(AL31-AL$3)</f>
        <v/>
      </c>
      <c r="BK31" s="26">
        <f>AM$4*(AM31-AM$3)</f>
        <v/>
      </c>
      <c r="BL31" s="26">
        <f>AN$4*(AN31-AN$3)</f>
        <v/>
      </c>
      <c r="BM31" s="26">
        <f>AO$4*(AO31-AO$3)</f>
        <v/>
      </c>
      <c r="BN31" s="26">
        <f>AP$4*(AP31-AP$3)</f>
        <v/>
      </c>
      <c r="BO31" s="26">
        <f>AQ$4*(AQ31-AQ$3)</f>
        <v/>
      </c>
      <c r="BP31" s="26">
        <f>AR$4*(AR31-AR$3)</f>
        <v/>
      </c>
      <c r="BQ31" s="26">
        <f>AS$4*(AS31-AS$3)</f>
        <v/>
      </c>
      <c r="BR31" s="27">
        <f>SUM(AT31:BQ31)</f>
        <v/>
      </c>
      <c r="BS31" s="27">
        <f>INTERCEPT_SCALED+BR31</f>
        <v/>
      </c>
      <c r="BT31" s="28">
        <f>1/(1+EXP(-BS31))</f>
        <v/>
      </c>
      <c r="BU31" s="13">
        <f>1-(1-BT31)^12</f>
        <v/>
      </c>
      <c r="BV31" s="13">
        <f>IFERROR(AT31/BR31*(BU31-BASELINE_CPR),0)</f>
        <v/>
      </c>
      <c r="BW31" s="13">
        <f>IFERROR(AU31/BR31*(BU31-BASELINE_CPR),0)</f>
        <v/>
      </c>
      <c r="BX31" s="13">
        <f>IFERROR(AV31/BR31*(BU31-BASELINE_CPR),0)</f>
        <v/>
      </c>
      <c r="BY31" s="13">
        <f>IFERROR(AW31/BR31*(BU31-BASELINE_CPR),0)</f>
        <v/>
      </c>
      <c r="BZ31" s="13">
        <f>IFERROR(AX31/BR31*(BU31-BASELINE_CPR),0)</f>
        <v/>
      </c>
      <c r="CA31" s="13">
        <f>IFERROR(AY31/BR31*(BU31-BASELINE_CPR),0)</f>
        <v/>
      </c>
      <c r="CB31" s="13">
        <f>IFERROR(AZ31/BR31*(BU31-BASELINE_CPR),0)</f>
        <v/>
      </c>
      <c r="CC31" s="13">
        <f>IFERROR(BA31/BR31*(BU31-BASELINE_CPR),0)</f>
        <v/>
      </c>
      <c r="CD31" s="13">
        <f>IFERROR(BB31/BR31*(BU31-BASELINE_CPR),0)</f>
        <v/>
      </c>
      <c r="CE31" s="13">
        <f>IFERROR(BC31/BR31*(BU31-BASELINE_CPR),0)</f>
        <v/>
      </c>
      <c r="CF31" s="13">
        <f>IFERROR(BD31/BR31*(BU31-BASELINE_CPR),0)</f>
        <v/>
      </c>
      <c r="CG31" s="13">
        <f>IFERROR(BE31/BR31*(BU31-BASELINE_CPR),0)</f>
        <v/>
      </c>
      <c r="CH31" s="13">
        <f>IFERROR(BF31/BR31*(BU31-BASELINE_CPR),0)</f>
        <v/>
      </c>
      <c r="CI31" s="13">
        <f>IFERROR(BG31/BR31*(BU31-BASELINE_CPR),0)</f>
        <v/>
      </c>
      <c r="CJ31" s="13">
        <f>IFERROR(BH31/BR31*(BU31-BASELINE_CPR),0)</f>
        <v/>
      </c>
      <c r="CK31" s="13">
        <f>IFERROR(BI31/BR31*(BU31-BASELINE_CPR),0)</f>
        <v/>
      </c>
      <c r="CL31" s="13">
        <f>IFERROR(BJ31/BR31*(BU31-BASELINE_CPR),0)</f>
        <v/>
      </c>
      <c r="CM31" s="13">
        <f>IFERROR(BK31/BR31*(BU31-BASELINE_CPR),0)</f>
        <v/>
      </c>
      <c r="CN31" s="13">
        <f>IFERROR(BL31/BR31*(BU31-BASELINE_CPR),0)</f>
        <v/>
      </c>
      <c r="CO31" s="13">
        <f>IFERROR(BM31/BR31*(BU31-BASELINE_CPR),0)</f>
        <v/>
      </c>
      <c r="CP31" s="13">
        <f>IFERROR(BN31/BR31*(BU31-BASELINE_CPR),0)</f>
        <v/>
      </c>
      <c r="CQ31" s="13">
        <f>IFERROR(BO31/BR31*(BU31-BASELINE_CPR),0)</f>
        <v/>
      </c>
      <c r="CR31" s="13">
        <f>IFERROR(BP31/BR31*(BU31-BASELINE_CPR),0)</f>
        <v/>
      </c>
      <c r="CS31" s="13">
        <f>IFERROR(BQ31/BR31*(BU31-BASELINE_CPR),0)</f>
        <v/>
      </c>
      <c r="CT31" s="29">
        <f>BASELINE_CPR+SUM(BV31:CS31)-BU31</f>
        <v/>
      </c>
    </row>
    <row r="32">
      <c r="A32" s="2" t="inlineStr">
        <is>
          <t>36193UPJ7_000000007311376</t>
        </is>
      </c>
      <c r="B32" t="inlineStr">
        <is>
          <t>LUMENT_PRE21</t>
        </is>
      </c>
      <c r="C32" s="2" t="inlineStr">
        <is>
          <t>36193UPJ7</t>
        </is>
      </c>
      <c r="D32" t="inlineStr">
        <is>
          <t>LUMENT REAL ESTATE CAPITAL,LLC</t>
        </is>
      </c>
      <c r="E32" t="inlineStr">
        <is>
          <t>223f</t>
        </is>
      </c>
      <c r="F32" t="inlineStr">
        <is>
          <t>RP</t>
        </is>
      </c>
      <c r="G32" t="n">
        <v>2008</v>
      </c>
      <c r="H32" t="inlineStr">
        <is>
          <t>202602</t>
        </is>
      </c>
      <c r="I32" s="22" t="n">
        <v>1740203.09</v>
      </c>
      <c r="J32" s="23" t="n">
        <v>3.65</v>
      </c>
      <c r="K32" s="24" t="n">
        <v>447</v>
      </c>
      <c r="L32" s="24" t="n">
        <v>1</v>
      </c>
      <c r="M32" t="n">
        <v>206</v>
      </c>
      <c r="N32" t="n">
        <v>32</v>
      </c>
      <c r="O32" t="n">
        <v>204401</v>
      </c>
      <c r="P32" t="inlineStr"/>
      <c r="Q32" t="inlineStr">
        <is>
          <t>3896</t>
        </is>
      </c>
      <c r="R32" t="n">
        <v>0</v>
      </c>
      <c r="S32" t="n">
        <v>0</v>
      </c>
      <c r="T32" t="n">
        <v>0</v>
      </c>
      <c r="U32" t="n">
        <v>0</v>
      </c>
      <c r="V32" s="24">
        <f>J32*100-K32</f>
        <v/>
      </c>
      <c r="W32" s="24">
        <f>L32</f>
        <v/>
      </c>
      <c r="X32" s="25">
        <f>MIN(M32,36)</f>
        <v/>
      </c>
      <c r="Y32" s="25">
        <f>MIN(MAX(M32-36,0),84)</f>
        <v/>
      </c>
      <c r="Z32" s="25">
        <f>MAX(M32-120,0)</f>
        <v/>
      </c>
      <c r="AA32" s="25">
        <f>IF(OR(O32="",NOT(ISNUMBER(O32))),360,MAX(0,MIN(480,(INT(O32/100)-INT(VALUE(H32)/100))*12+MOD(O32,100)-MOD(VALUE(H32),100))))</f>
        <v/>
      </c>
      <c r="AB32">
        <f>IF(AND(AA32&gt;0,AA32&lt;=24),1,0)</f>
        <v/>
      </c>
      <c r="AC32" s="25">
        <f>IF(OR(P32="",NOT(ISNUMBER(P32))),0,MAX(0,MIN(24,(INT(VALUE(H32)/100)-INT(P32/100))*12+MOD(VALUE(H32),100)-MOD(P32,100))))</f>
        <v/>
      </c>
      <c r="AD32" s="23">
        <f>LN(1+I32)</f>
        <v/>
      </c>
      <c r="AE32">
        <f>IF(I32&lt;2000000,1,0)</f>
        <v/>
      </c>
      <c r="AF32">
        <f>IF(I32&gt;50000000,1,0)</f>
        <v/>
      </c>
      <c r="AG32" s="23">
        <f>IF(ISNUMBER(M32),N32/MAX(M32,1),0)</f>
        <v/>
      </c>
      <c r="AH32">
        <f>IF(G32&gt;=2021,1,0)</f>
        <v/>
      </c>
      <c r="AI32">
        <f>S32</f>
        <v/>
      </c>
      <c r="AJ32">
        <f>T32</f>
        <v/>
      </c>
      <c r="AK32">
        <f>R32</f>
        <v/>
      </c>
      <c r="AL32">
        <f>U32</f>
        <v/>
      </c>
      <c r="AM32">
        <f>IF(ISNUMBER(SEARCH("CAPITAL FUNDING",D32)),1,0)</f>
        <v/>
      </c>
      <c r="AN32">
        <f>IF(ISNUMBER(SEARCH("PNC",D32)),1,0)</f>
        <v/>
      </c>
      <c r="AO32">
        <f>IF(ISNUMBER(SEARCH("WELLS FARGO",D32)),1,0)</f>
        <v/>
      </c>
      <c r="AP32">
        <f>IF(ISNUMBER(SEARCH("DWIGHT",D32)),1,0)</f>
        <v/>
      </c>
      <c r="AQ32">
        <f>IF(ISNUMBER(SEARCH("GREYSTONE",D32)),1,0)</f>
        <v/>
      </c>
      <c r="AR32">
        <f>IF(OR(Q32="3896",Q32="3557"),1,0)</f>
        <v/>
      </c>
      <c r="AS32" s="24">
        <f>V32*W32</f>
        <v/>
      </c>
      <c r="AT32" s="26">
        <f>V$4*(V32-V$3)</f>
        <v/>
      </c>
      <c r="AU32" s="26">
        <f>W$4*(W32-W$3)</f>
        <v/>
      </c>
      <c r="AV32" s="26">
        <f>X$4*(X32-X$3)</f>
        <v/>
      </c>
      <c r="AW32" s="26">
        <f>Y$4*(Y32-Y$3)</f>
        <v/>
      </c>
      <c r="AX32" s="26">
        <f>Z$4*(Z32-Z$3)</f>
        <v/>
      </c>
      <c r="AY32" s="26">
        <f>AA$4*(AA32-AA$3)</f>
        <v/>
      </c>
      <c r="AZ32" s="26">
        <f>AB$4*(AB32-AB$3)</f>
        <v/>
      </c>
      <c r="BA32" s="26">
        <f>AC$4*(AC32-AC$3)</f>
        <v/>
      </c>
      <c r="BB32" s="26">
        <f>AD$4*(AD32-AD$3)</f>
        <v/>
      </c>
      <c r="BC32" s="26">
        <f>AE$4*(AE32-AE$3)</f>
        <v/>
      </c>
      <c r="BD32" s="26">
        <f>AF$4*(AF32-AF$3)</f>
        <v/>
      </c>
      <c r="BE32" s="26">
        <f>AG$4*(AG32-AG$3)</f>
        <v/>
      </c>
      <c r="BF32" s="26">
        <f>AH$4*(AH32-AH$3)</f>
        <v/>
      </c>
      <c r="BG32" s="26">
        <f>AI$4*(AI32-AI$3)</f>
        <v/>
      </c>
      <c r="BH32" s="26">
        <f>AJ$4*(AJ32-AJ$3)</f>
        <v/>
      </c>
      <c r="BI32" s="26">
        <f>AK$4*(AK32-AK$3)</f>
        <v/>
      </c>
      <c r="BJ32" s="26">
        <f>AL$4*(AL32-AL$3)</f>
        <v/>
      </c>
      <c r="BK32" s="26">
        <f>AM$4*(AM32-AM$3)</f>
        <v/>
      </c>
      <c r="BL32" s="26">
        <f>AN$4*(AN32-AN$3)</f>
        <v/>
      </c>
      <c r="BM32" s="26">
        <f>AO$4*(AO32-AO$3)</f>
        <v/>
      </c>
      <c r="BN32" s="26">
        <f>AP$4*(AP32-AP$3)</f>
        <v/>
      </c>
      <c r="BO32" s="26">
        <f>AQ$4*(AQ32-AQ$3)</f>
        <v/>
      </c>
      <c r="BP32" s="26">
        <f>AR$4*(AR32-AR$3)</f>
        <v/>
      </c>
      <c r="BQ32" s="26">
        <f>AS$4*(AS32-AS$3)</f>
        <v/>
      </c>
      <c r="BR32" s="27">
        <f>SUM(AT32:BQ32)</f>
        <v/>
      </c>
      <c r="BS32" s="27">
        <f>INTERCEPT_SCALED+BR32</f>
        <v/>
      </c>
      <c r="BT32" s="28">
        <f>1/(1+EXP(-BS32))</f>
        <v/>
      </c>
      <c r="BU32" s="13">
        <f>1-(1-BT32)^12</f>
        <v/>
      </c>
      <c r="BV32" s="13">
        <f>IFERROR(AT32/BR32*(BU32-BASELINE_CPR),0)</f>
        <v/>
      </c>
      <c r="BW32" s="13">
        <f>IFERROR(AU32/BR32*(BU32-BASELINE_CPR),0)</f>
        <v/>
      </c>
      <c r="BX32" s="13">
        <f>IFERROR(AV32/BR32*(BU32-BASELINE_CPR),0)</f>
        <v/>
      </c>
      <c r="BY32" s="13">
        <f>IFERROR(AW32/BR32*(BU32-BASELINE_CPR),0)</f>
        <v/>
      </c>
      <c r="BZ32" s="13">
        <f>IFERROR(AX32/BR32*(BU32-BASELINE_CPR),0)</f>
        <v/>
      </c>
      <c r="CA32" s="13">
        <f>IFERROR(AY32/BR32*(BU32-BASELINE_CPR),0)</f>
        <v/>
      </c>
      <c r="CB32" s="13">
        <f>IFERROR(AZ32/BR32*(BU32-BASELINE_CPR),0)</f>
        <v/>
      </c>
      <c r="CC32" s="13">
        <f>IFERROR(BA32/BR32*(BU32-BASELINE_CPR),0)</f>
        <v/>
      </c>
      <c r="CD32" s="13">
        <f>IFERROR(BB32/BR32*(BU32-BASELINE_CPR),0)</f>
        <v/>
      </c>
      <c r="CE32" s="13">
        <f>IFERROR(BC32/BR32*(BU32-BASELINE_CPR),0)</f>
        <v/>
      </c>
      <c r="CF32" s="13">
        <f>IFERROR(BD32/BR32*(BU32-BASELINE_CPR),0)</f>
        <v/>
      </c>
      <c r="CG32" s="13">
        <f>IFERROR(BE32/BR32*(BU32-BASELINE_CPR),0)</f>
        <v/>
      </c>
      <c r="CH32" s="13">
        <f>IFERROR(BF32/BR32*(BU32-BASELINE_CPR),0)</f>
        <v/>
      </c>
      <c r="CI32" s="13">
        <f>IFERROR(BG32/BR32*(BU32-BASELINE_CPR),0)</f>
        <v/>
      </c>
      <c r="CJ32" s="13">
        <f>IFERROR(BH32/BR32*(BU32-BASELINE_CPR),0)</f>
        <v/>
      </c>
      <c r="CK32" s="13">
        <f>IFERROR(BI32/BR32*(BU32-BASELINE_CPR),0)</f>
        <v/>
      </c>
      <c r="CL32" s="13">
        <f>IFERROR(BJ32/BR32*(BU32-BASELINE_CPR),0)</f>
        <v/>
      </c>
      <c r="CM32" s="13">
        <f>IFERROR(BK32/BR32*(BU32-BASELINE_CPR),0)</f>
        <v/>
      </c>
      <c r="CN32" s="13">
        <f>IFERROR(BL32/BR32*(BU32-BASELINE_CPR),0)</f>
        <v/>
      </c>
      <c r="CO32" s="13">
        <f>IFERROR(BM32/BR32*(BU32-BASELINE_CPR),0)</f>
        <v/>
      </c>
      <c r="CP32" s="13">
        <f>IFERROR(BN32/BR32*(BU32-BASELINE_CPR),0)</f>
        <v/>
      </c>
      <c r="CQ32" s="13">
        <f>IFERROR(BO32/BR32*(BU32-BASELINE_CPR),0)</f>
        <v/>
      </c>
      <c r="CR32" s="13">
        <f>IFERROR(BP32/BR32*(BU32-BASELINE_CPR),0)</f>
        <v/>
      </c>
      <c r="CS32" s="13">
        <f>IFERROR(BQ32/BR32*(BU32-BASELINE_CPR),0)</f>
        <v/>
      </c>
      <c r="CT32" s="29">
        <f>BASELINE_CPR+SUM(BV32:CS32)-BU32</f>
        <v/>
      </c>
    </row>
    <row r="33">
      <c r="A33" s="2" t="inlineStr">
        <is>
          <t>3617QRFY1_000000007222191</t>
        </is>
      </c>
      <c r="B33" t="inlineStr">
        <is>
          <t>LUMENT_PRE21</t>
        </is>
      </c>
      <c r="C33" s="2" t="inlineStr">
        <is>
          <t>3617QRFY1</t>
        </is>
      </c>
      <c r="D33" t="inlineStr">
        <is>
          <t>LUMENT REAL ESTATE CAPITAL,LLC</t>
        </is>
      </c>
      <c r="E33" t="inlineStr">
        <is>
          <t>232</t>
        </is>
      </c>
      <c r="F33" t="inlineStr">
        <is>
          <t>RP</t>
        </is>
      </c>
      <c r="G33" t="n">
        <v>2020</v>
      </c>
      <c r="H33" t="inlineStr">
        <is>
          <t>202602</t>
        </is>
      </c>
      <c r="I33" s="22" t="n">
        <v>8618776.17</v>
      </c>
      <c r="J33" s="23" t="n">
        <v>2.4</v>
      </c>
      <c r="K33" s="24" t="n">
        <v>447</v>
      </c>
      <c r="L33" s="24" t="n">
        <v>5</v>
      </c>
      <c r="M33" t="n">
        <v>64</v>
      </c>
      <c r="N33" t="n">
        <v>0</v>
      </c>
      <c r="O33" t="n">
        <v>205511</v>
      </c>
      <c r="P33" t="inlineStr"/>
      <c r="Q33" t="inlineStr">
        <is>
          <t>3896</t>
        </is>
      </c>
      <c r="R33" t="n">
        <v>1</v>
      </c>
      <c r="S33" t="n">
        <v>0</v>
      </c>
      <c r="T33" t="n">
        <v>0</v>
      </c>
      <c r="U33" t="n">
        <v>0</v>
      </c>
      <c r="V33" s="24">
        <f>J33*100-K33</f>
        <v/>
      </c>
      <c r="W33" s="24">
        <f>L33</f>
        <v/>
      </c>
      <c r="X33" s="25">
        <f>MIN(M33,36)</f>
        <v/>
      </c>
      <c r="Y33" s="25">
        <f>MIN(MAX(M33-36,0),84)</f>
        <v/>
      </c>
      <c r="Z33" s="25">
        <f>MAX(M33-120,0)</f>
        <v/>
      </c>
      <c r="AA33" s="25">
        <f>IF(OR(O33="",NOT(ISNUMBER(O33))),360,MAX(0,MIN(480,(INT(O33/100)-INT(VALUE(H33)/100))*12+MOD(O33,100)-MOD(VALUE(H33),100))))</f>
        <v/>
      </c>
      <c r="AB33">
        <f>IF(AND(AA33&gt;0,AA33&lt;=24),1,0)</f>
        <v/>
      </c>
      <c r="AC33" s="25">
        <f>IF(OR(P33="",NOT(ISNUMBER(P33))),0,MAX(0,MIN(24,(INT(VALUE(H33)/100)-INT(P33/100))*12+MOD(VALUE(H33),100)-MOD(P33,100))))</f>
        <v/>
      </c>
      <c r="AD33" s="23">
        <f>LN(1+I33)</f>
        <v/>
      </c>
      <c r="AE33">
        <f>IF(I33&lt;2000000,1,0)</f>
        <v/>
      </c>
      <c r="AF33">
        <f>IF(I33&gt;50000000,1,0)</f>
        <v/>
      </c>
      <c r="AG33" s="23">
        <f>IF(ISNUMBER(M33),N33/MAX(M33,1),0)</f>
        <v/>
      </c>
      <c r="AH33">
        <f>IF(G33&gt;=2021,1,0)</f>
        <v/>
      </c>
      <c r="AI33">
        <f>S33</f>
        <v/>
      </c>
      <c r="AJ33">
        <f>T33</f>
        <v/>
      </c>
      <c r="AK33">
        <f>R33</f>
        <v/>
      </c>
      <c r="AL33">
        <f>U33</f>
        <v/>
      </c>
      <c r="AM33">
        <f>IF(ISNUMBER(SEARCH("CAPITAL FUNDING",D33)),1,0)</f>
        <v/>
      </c>
      <c r="AN33">
        <f>IF(ISNUMBER(SEARCH("PNC",D33)),1,0)</f>
        <v/>
      </c>
      <c r="AO33">
        <f>IF(ISNUMBER(SEARCH("WELLS FARGO",D33)),1,0)</f>
        <v/>
      </c>
      <c r="AP33">
        <f>IF(ISNUMBER(SEARCH("DWIGHT",D33)),1,0)</f>
        <v/>
      </c>
      <c r="AQ33">
        <f>IF(ISNUMBER(SEARCH("GREYSTONE",D33)),1,0)</f>
        <v/>
      </c>
      <c r="AR33">
        <f>IF(OR(Q33="3896",Q33="3557"),1,0)</f>
        <v/>
      </c>
      <c r="AS33" s="24">
        <f>V33*W33</f>
        <v/>
      </c>
      <c r="AT33" s="26">
        <f>V$4*(V33-V$3)</f>
        <v/>
      </c>
      <c r="AU33" s="26">
        <f>W$4*(W33-W$3)</f>
        <v/>
      </c>
      <c r="AV33" s="26">
        <f>X$4*(X33-X$3)</f>
        <v/>
      </c>
      <c r="AW33" s="26">
        <f>Y$4*(Y33-Y$3)</f>
        <v/>
      </c>
      <c r="AX33" s="26">
        <f>Z$4*(Z33-Z$3)</f>
        <v/>
      </c>
      <c r="AY33" s="26">
        <f>AA$4*(AA33-AA$3)</f>
        <v/>
      </c>
      <c r="AZ33" s="26">
        <f>AB$4*(AB33-AB$3)</f>
        <v/>
      </c>
      <c r="BA33" s="26">
        <f>AC$4*(AC33-AC$3)</f>
        <v/>
      </c>
      <c r="BB33" s="26">
        <f>AD$4*(AD33-AD$3)</f>
        <v/>
      </c>
      <c r="BC33" s="26">
        <f>AE$4*(AE33-AE$3)</f>
        <v/>
      </c>
      <c r="BD33" s="26">
        <f>AF$4*(AF33-AF$3)</f>
        <v/>
      </c>
      <c r="BE33" s="26">
        <f>AG$4*(AG33-AG$3)</f>
        <v/>
      </c>
      <c r="BF33" s="26">
        <f>AH$4*(AH33-AH$3)</f>
        <v/>
      </c>
      <c r="BG33" s="26">
        <f>AI$4*(AI33-AI$3)</f>
        <v/>
      </c>
      <c r="BH33" s="26">
        <f>AJ$4*(AJ33-AJ$3)</f>
        <v/>
      </c>
      <c r="BI33" s="26">
        <f>AK$4*(AK33-AK$3)</f>
        <v/>
      </c>
      <c r="BJ33" s="26">
        <f>AL$4*(AL33-AL$3)</f>
        <v/>
      </c>
      <c r="BK33" s="26">
        <f>AM$4*(AM33-AM$3)</f>
        <v/>
      </c>
      <c r="BL33" s="26">
        <f>AN$4*(AN33-AN$3)</f>
        <v/>
      </c>
      <c r="BM33" s="26">
        <f>AO$4*(AO33-AO$3)</f>
        <v/>
      </c>
      <c r="BN33" s="26">
        <f>AP$4*(AP33-AP$3)</f>
        <v/>
      </c>
      <c r="BO33" s="26">
        <f>AQ$4*(AQ33-AQ$3)</f>
        <v/>
      </c>
      <c r="BP33" s="26">
        <f>AR$4*(AR33-AR$3)</f>
        <v/>
      </c>
      <c r="BQ33" s="26">
        <f>AS$4*(AS33-AS$3)</f>
        <v/>
      </c>
      <c r="BR33" s="27">
        <f>SUM(AT33:BQ33)</f>
        <v/>
      </c>
      <c r="BS33" s="27">
        <f>INTERCEPT_SCALED+BR33</f>
        <v/>
      </c>
      <c r="BT33" s="28">
        <f>1/(1+EXP(-BS33))</f>
        <v/>
      </c>
      <c r="BU33" s="13">
        <f>1-(1-BT33)^12</f>
        <v/>
      </c>
      <c r="BV33" s="13">
        <f>IFERROR(AT33/BR33*(BU33-BASELINE_CPR),0)</f>
        <v/>
      </c>
      <c r="BW33" s="13">
        <f>IFERROR(AU33/BR33*(BU33-BASELINE_CPR),0)</f>
        <v/>
      </c>
      <c r="BX33" s="13">
        <f>IFERROR(AV33/BR33*(BU33-BASELINE_CPR),0)</f>
        <v/>
      </c>
      <c r="BY33" s="13">
        <f>IFERROR(AW33/BR33*(BU33-BASELINE_CPR),0)</f>
        <v/>
      </c>
      <c r="BZ33" s="13">
        <f>IFERROR(AX33/BR33*(BU33-BASELINE_CPR),0)</f>
        <v/>
      </c>
      <c r="CA33" s="13">
        <f>IFERROR(AY33/BR33*(BU33-BASELINE_CPR),0)</f>
        <v/>
      </c>
      <c r="CB33" s="13">
        <f>IFERROR(AZ33/BR33*(BU33-BASELINE_CPR),0)</f>
        <v/>
      </c>
      <c r="CC33" s="13">
        <f>IFERROR(BA33/BR33*(BU33-BASELINE_CPR),0)</f>
        <v/>
      </c>
      <c r="CD33" s="13">
        <f>IFERROR(BB33/BR33*(BU33-BASELINE_CPR),0)</f>
        <v/>
      </c>
      <c r="CE33" s="13">
        <f>IFERROR(BC33/BR33*(BU33-BASELINE_CPR),0)</f>
        <v/>
      </c>
      <c r="CF33" s="13">
        <f>IFERROR(BD33/BR33*(BU33-BASELINE_CPR),0)</f>
        <v/>
      </c>
      <c r="CG33" s="13">
        <f>IFERROR(BE33/BR33*(BU33-BASELINE_CPR),0)</f>
        <v/>
      </c>
      <c r="CH33" s="13">
        <f>IFERROR(BF33/BR33*(BU33-BASELINE_CPR),0)</f>
        <v/>
      </c>
      <c r="CI33" s="13">
        <f>IFERROR(BG33/BR33*(BU33-BASELINE_CPR),0)</f>
        <v/>
      </c>
      <c r="CJ33" s="13">
        <f>IFERROR(BH33/BR33*(BU33-BASELINE_CPR),0)</f>
        <v/>
      </c>
      <c r="CK33" s="13">
        <f>IFERROR(BI33/BR33*(BU33-BASELINE_CPR),0)</f>
        <v/>
      </c>
      <c r="CL33" s="13">
        <f>IFERROR(BJ33/BR33*(BU33-BASELINE_CPR),0)</f>
        <v/>
      </c>
      <c r="CM33" s="13">
        <f>IFERROR(BK33/BR33*(BU33-BASELINE_CPR),0)</f>
        <v/>
      </c>
      <c r="CN33" s="13">
        <f>IFERROR(BL33/BR33*(BU33-BASELINE_CPR),0)</f>
        <v/>
      </c>
      <c r="CO33" s="13">
        <f>IFERROR(BM33/BR33*(BU33-BASELINE_CPR),0)</f>
        <v/>
      </c>
      <c r="CP33" s="13">
        <f>IFERROR(BN33/BR33*(BU33-BASELINE_CPR),0)</f>
        <v/>
      </c>
      <c r="CQ33" s="13">
        <f>IFERROR(BO33/BR33*(BU33-BASELINE_CPR),0)</f>
        <v/>
      </c>
      <c r="CR33" s="13">
        <f>IFERROR(BP33/BR33*(BU33-BASELINE_CPR),0)</f>
        <v/>
      </c>
      <c r="CS33" s="13">
        <f>IFERROR(BQ33/BR33*(BU33-BASELINE_CPR),0)</f>
        <v/>
      </c>
      <c r="CT33" s="29">
        <f>BASELINE_CPR+SUM(BV33:CS33)-BU33</f>
        <v/>
      </c>
    </row>
    <row r="34">
      <c r="A34" s="2" t="inlineStr">
        <is>
          <t>3617VA6U0_000000004311278</t>
        </is>
      </c>
      <c r="B34" t="inlineStr">
        <is>
          <t>LUMENT_POST21</t>
        </is>
      </c>
      <c r="C34" s="2" t="inlineStr">
        <is>
          <t>3617VA6U0</t>
        </is>
      </c>
      <c r="D34" t="inlineStr">
        <is>
          <t>LUMENT REAL ESTATE CAPITAL,LLC</t>
        </is>
      </c>
      <c r="E34" t="inlineStr">
        <is>
          <t>223f</t>
        </is>
      </c>
      <c r="F34" t="inlineStr">
        <is>
          <t>RP</t>
        </is>
      </c>
      <c r="G34" t="n">
        <v>2021</v>
      </c>
      <c r="H34" t="inlineStr">
        <is>
          <t>202602</t>
        </is>
      </c>
      <c r="I34" s="22" t="n">
        <v>7838412.72</v>
      </c>
      <c r="J34" s="23" t="n">
        <v>2.23</v>
      </c>
      <c r="K34" s="24" t="n">
        <v>447</v>
      </c>
      <c r="L34" s="24" t="n">
        <v>6</v>
      </c>
      <c r="M34" t="n">
        <v>57</v>
      </c>
      <c r="N34" t="n">
        <v>0</v>
      </c>
      <c r="O34" t="n">
        <v>205606</v>
      </c>
      <c r="P34" t="inlineStr"/>
      <c r="Q34" t="inlineStr">
        <is>
          <t>3896</t>
        </is>
      </c>
      <c r="R34" t="n">
        <v>0</v>
      </c>
      <c r="S34" t="n">
        <v>0</v>
      </c>
      <c r="T34" t="n">
        <v>0</v>
      </c>
      <c r="U34" t="n">
        <v>0</v>
      </c>
      <c r="V34" s="24">
        <f>J34*100-K34</f>
        <v/>
      </c>
      <c r="W34" s="24">
        <f>L34</f>
        <v/>
      </c>
      <c r="X34" s="25">
        <f>MIN(M34,36)</f>
        <v/>
      </c>
      <c r="Y34" s="25">
        <f>MIN(MAX(M34-36,0),84)</f>
        <v/>
      </c>
      <c r="Z34" s="25">
        <f>MAX(M34-120,0)</f>
        <v/>
      </c>
      <c r="AA34" s="25">
        <f>IF(OR(O34="",NOT(ISNUMBER(O34))),360,MAX(0,MIN(480,(INT(O34/100)-INT(VALUE(H34)/100))*12+MOD(O34,100)-MOD(VALUE(H34),100))))</f>
        <v/>
      </c>
      <c r="AB34">
        <f>IF(AND(AA34&gt;0,AA34&lt;=24),1,0)</f>
        <v/>
      </c>
      <c r="AC34" s="25">
        <f>IF(OR(P34="",NOT(ISNUMBER(P34))),0,MAX(0,MIN(24,(INT(VALUE(H34)/100)-INT(P34/100))*12+MOD(VALUE(H34),100)-MOD(P34,100))))</f>
        <v/>
      </c>
      <c r="AD34" s="23">
        <f>LN(1+I34)</f>
        <v/>
      </c>
      <c r="AE34">
        <f>IF(I34&lt;2000000,1,0)</f>
        <v/>
      </c>
      <c r="AF34">
        <f>IF(I34&gt;50000000,1,0)</f>
        <v/>
      </c>
      <c r="AG34" s="23">
        <f>IF(ISNUMBER(M34),N34/MAX(M34,1),0)</f>
        <v/>
      </c>
      <c r="AH34">
        <f>IF(G34&gt;=2021,1,0)</f>
        <v/>
      </c>
      <c r="AI34">
        <f>S34</f>
        <v/>
      </c>
      <c r="AJ34">
        <f>T34</f>
        <v/>
      </c>
      <c r="AK34">
        <f>R34</f>
        <v/>
      </c>
      <c r="AL34">
        <f>U34</f>
        <v/>
      </c>
      <c r="AM34">
        <f>IF(ISNUMBER(SEARCH("CAPITAL FUNDING",D34)),1,0)</f>
        <v/>
      </c>
      <c r="AN34">
        <f>IF(ISNUMBER(SEARCH("PNC",D34)),1,0)</f>
        <v/>
      </c>
      <c r="AO34">
        <f>IF(ISNUMBER(SEARCH("WELLS FARGO",D34)),1,0)</f>
        <v/>
      </c>
      <c r="AP34">
        <f>IF(ISNUMBER(SEARCH("DWIGHT",D34)),1,0)</f>
        <v/>
      </c>
      <c r="AQ34">
        <f>IF(ISNUMBER(SEARCH("GREYSTONE",D34)),1,0)</f>
        <v/>
      </c>
      <c r="AR34">
        <f>IF(OR(Q34="3896",Q34="3557"),1,0)</f>
        <v/>
      </c>
      <c r="AS34" s="24">
        <f>V34*W34</f>
        <v/>
      </c>
      <c r="AT34" s="26">
        <f>V$4*(V34-V$3)</f>
        <v/>
      </c>
      <c r="AU34" s="26">
        <f>W$4*(W34-W$3)</f>
        <v/>
      </c>
      <c r="AV34" s="26">
        <f>X$4*(X34-X$3)</f>
        <v/>
      </c>
      <c r="AW34" s="26">
        <f>Y$4*(Y34-Y$3)</f>
        <v/>
      </c>
      <c r="AX34" s="26">
        <f>Z$4*(Z34-Z$3)</f>
        <v/>
      </c>
      <c r="AY34" s="26">
        <f>AA$4*(AA34-AA$3)</f>
        <v/>
      </c>
      <c r="AZ34" s="26">
        <f>AB$4*(AB34-AB$3)</f>
        <v/>
      </c>
      <c r="BA34" s="26">
        <f>AC$4*(AC34-AC$3)</f>
        <v/>
      </c>
      <c r="BB34" s="26">
        <f>AD$4*(AD34-AD$3)</f>
        <v/>
      </c>
      <c r="BC34" s="26">
        <f>AE$4*(AE34-AE$3)</f>
        <v/>
      </c>
      <c r="BD34" s="26">
        <f>AF$4*(AF34-AF$3)</f>
        <v/>
      </c>
      <c r="BE34" s="26">
        <f>AG$4*(AG34-AG$3)</f>
        <v/>
      </c>
      <c r="BF34" s="26">
        <f>AH$4*(AH34-AH$3)</f>
        <v/>
      </c>
      <c r="BG34" s="26">
        <f>AI$4*(AI34-AI$3)</f>
        <v/>
      </c>
      <c r="BH34" s="26">
        <f>AJ$4*(AJ34-AJ$3)</f>
        <v/>
      </c>
      <c r="BI34" s="26">
        <f>AK$4*(AK34-AK$3)</f>
        <v/>
      </c>
      <c r="BJ34" s="26">
        <f>AL$4*(AL34-AL$3)</f>
        <v/>
      </c>
      <c r="BK34" s="26">
        <f>AM$4*(AM34-AM$3)</f>
        <v/>
      </c>
      <c r="BL34" s="26">
        <f>AN$4*(AN34-AN$3)</f>
        <v/>
      </c>
      <c r="BM34" s="26">
        <f>AO$4*(AO34-AO$3)</f>
        <v/>
      </c>
      <c r="BN34" s="26">
        <f>AP$4*(AP34-AP$3)</f>
        <v/>
      </c>
      <c r="BO34" s="26">
        <f>AQ$4*(AQ34-AQ$3)</f>
        <v/>
      </c>
      <c r="BP34" s="26">
        <f>AR$4*(AR34-AR$3)</f>
        <v/>
      </c>
      <c r="BQ34" s="26">
        <f>AS$4*(AS34-AS$3)</f>
        <v/>
      </c>
      <c r="BR34" s="27">
        <f>SUM(AT34:BQ34)</f>
        <v/>
      </c>
      <c r="BS34" s="27">
        <f>INTERCEPT_SCALED+BR34</f>
        <v/>
      </c>
      <c r="BT34" s="28">
        <f>1/(1+EXP(-BS34))</f>
        <v/>
      </c>
      <c r="BU34" s="13">
        <f>1-(1-BT34)^12</f>
        <v/>
      </c>
      <c r="BV34" s="13">
        <f>IFERROR(AT34/BR34*(BU34-BASELINE_CPR),0)</f>
        <v/>
      </c>
      <c r="BW34" s="13">
        <f>IFERROR(AU34/BR34*(BU34-BASELINE_CPR),0)</f>
        <v/>
      </c>
      <c r="BX34" s="13">
        <f>IFERROR(AV34/BR34*(BU34-BASELINE_CPR),0)</f>
        <v/>
      </c>
      <c r="BY34" s="13">
        <f>IFERROR(AW34/BR34*(BU34-BASELINE_CPR),0)</f>
        <v/>
      </c>
      <c r="BZ34" s="13">
        <f>IFERROR(AX34/BR34*(BU34-BASELINE_CPR),0)</f>
        <v/>
      </c>
      <c r="CA34" s="13">
        <f>IFERROR(AY34/BR34*(BU34-BASELINE_CPR),0)</f>
        <v/>
      </c>
      <c r="CB34" s="13">
        <f>IFERROR(AZ34/BR34*(BU34-BASELINE_CPR),0)</f>
        <v/>
      </c>
      <c r="CC34" s="13">
        <f>IFERROR(BA34/BR34*(BU34-BASELINE_CPR),0)</f>
        <v/>
      </c>
      <c r="CD34" s="13">
        <f>IFERROR(BB34/BR34*(BU34-BASELINE_CPR),0)</f>
        <v/>
      </c>
      <c r="CE34" s="13">
        <f>IFERROR(BC34/BR34*(BU34-BASELINE_CPR),0)</f>
        <v/>
      </c>
      <c r="CF34" s="13">
        <f>IFERROR(BD34/BR34*(BU34-BASELINE_CPR),0)</f>
        <v/>
      </c>
      <c r="CG34" s="13">
        <f>IFERROR(BE34/BR34*(BU34-BASELINE_CPR),0)</f>
        <v/>
      </c>
      <c r="CH34" s="13">
        <f>IFERROR(BF34/BR34*(BU34-BASELINE_CPR),0)</f>
        <v/>
      </c>
      <c r="CI34" s="13">
        <f>IFERROR(BG34/BR34*(BU34-BASELINE_CPR),0)</f>
        <v/>
      </c>
      <c r="CJ34" s="13">
        <f>IFERROR(BH34/BR34*(BU34-BASELINE_CPR),0)</f>
        <v/>
      </c>
      <c r="CK34" s="13">
        <f>IFERROR(BI34/BR34*(BU34-BASELINE_CPR),0)</f>
        <v/>
      </c>
      <c r="CL34" s="13">
        <f>IFERROR(BJ34/BR34*(BU34-BASELINE_CPR),0)</f>
        <v/>
      </c>
      <c r="CM34" s="13">
        <f>IFERROR(BK34/BR34*(BU34-BASELINE_CPR),0)</f>
        <v/>
      </c>
      <c r="CN34" s="13">
        <f>IFERROR(BL34/BR34*(BU34-BASELINE_CPR),0)</f>
        <v/>
      </c>
      <c r="CO34" s="13">
        <f>IFERROR(BM34/BR34*(BU34-BASELINE_CPR),0)</f>
        <v/>
      </c>
      <c r="CP34" s="13">
        <f>IFERROR(BN34/BR34*(BU34-BASELINE_CPR),0)</f>
        <v/>
      </c>
      <c r="CQ34" s="13">
        <f>IFERROR(BO34/BR34*(BU34-BASELINE_CPR),0)</f>
        <v/>
      </c>
      <c r="CR34" s="13">
        <f>IFERROR(BP34/BR34*(BU34-BASELINE_CPR),0)</f>
        <v/>
      </c>
      <c r="CS34" s="13">
        <f>IFERROR(BQ34/BR34*(BU34-BASELINE_CPR),0)</f>
        <v/>
      </c>
      <c r="CT34" s="29">
        <f>BASELINE_CPR+SUM(BV34:CS34)-BU34</f>
        <v/>
      </c>
    </row>
    <row r="35">
      <c r="A35" s="2" t="inlineStr">
        <is>
          <t>3617X74U7_000000007322280</t>
        </is>
      </c>
      <c r="B35" t="inlineStr">
        <is>
          <t>LUMENT_PRE21</t>
        </is>
      </c>
      <c r="C35" s="2" t="inlineStr">
        <is>
          <t>3617X74U7</t>
        </is>
      </c>
      <c r="D35" t="inlineStr">
        <is>
          <t>LUMENT REAL ESTATE CAPITAL,LLC</t>
        </is>
      </c>
      <c r="E35" t="inlineStr">
        <is>
          <t>232</t>
        </is>
      </c>
      <c r="F35" t="inlineStr">
        <is>
          <t>RP</t>
        </is>
      </c>
      <c r="G35" t="n">
        <v>2017</v>
      </c>
      <c r="H35" t="inlineStr">
        <is>
          <t>202602</t>
        </is>
      </c>
      <c r="I35" s="22" t="n">
        <v>16054037.47</v>
      </c>
      <c r="J35" s="23" t="n">
        <v>3.03</v>
      </c>
      <c r="K35" s="24" t="n">
        <v>447</v>
      </c>
      <c r="L35" s="24" t="n">
        <v>6</v>
      </c>
      <c r="M35" t="n">
        <v>106</v>
      </c>
      <c r="N35" t="n">
        <v>0</v>
      </c>
      <c r="O35" t="n">
        <v>205205</v>
      </c>
      <c r="P35" t="inlineStr"/>
      <c r="Q35" t="inlineStr">
        <is>
          <t>3896</t>
        </is>
      </c>
      <c r="R35" t="n">
        <v>1</v>
      </c>
      <c r="S35" t="n">
        <v>0</v>
      </c>
      <c r="T35" t="n">
        <v>0</v>
      </c>
      <c r="U35" t="n">
        <v>0</v>
      </c>
      <c r="V35" s="24">
        <f>J35*100-K35</f>
        <v/>
      </c>
      <c r="W35" s="24">
        <f>L35</f>
        <v/>
      </c>
      <c r="X35" s="25">
        <f>MIN(M35,36)</f>
        <v/>
      </c>
      <c r="Y35" s="25">
        <f>MIN(MAX(M35-36,0),84)</f>
        <v/>
      </c>
      <c r="Z35" s="25">
        <f>MAX(M35-120,0)</f>
        <v/>
      </c>
      <c r="AA35" s="25">
        <f>IF(OR(O35="",NOT(ISNUMBER(O35))),360,MAX(0,MIN(480,(INT(O35/100)-INT(VALUE(H35)/100))*12+MOD(O35,100)-MOD(VALUE(H35),100))))</f>
        <v/>
      </c>
      <c r="AB35">
        <f>IF(AND(AA35&gt;0,AA35&lt;=24),1,0)</f>
        <v/>
      </c>
      <c r="AC35" s="25">
        <f>IF(OR(P35="",NOT(ISNUMBER(P35))),0,MAX(0,MIN(24,(INT(VALUE(H35)/100)-INT(P35/100))*12+MOD(VALUE(H35),100)-MOD(P35,100))))</f>
        <v/>
      </c>
      <c r="AD35" s="23">
        <f>LN(1+I35)</f>
        <v/>
      </c>
      <c r="AE35">
        <f>IF(I35&lt;2000000,1,0)</f>
        <v/>
      </c>
      <c r="AF35">
        <f>IF(I35&gt;50000000,1,0)</f>
        <v/>
      </c>
      <c r="AG35" s="23">
        <f>IF(ISNUMBER(M35),N35/MAX(M35,1),0)</f>
        <v/>
      </c>
      <c r="AH35">
        <f>IF(G35&gt;=2021,1,0)</f>
        <v/>
      </c>
      <c r="AI35">
        <f>S35</f>
        <v/>
      </c>
      <c r="AJ35">
        <f>T35</f>
        <v/>
      </c>
      <c r="AK35">
        <f>R35</f>
        <v/>
      </c>
      <c r="AL35">
        <f>U35</f>
        <v/>
      </c>
      <c r="AM35">
        <f>IF(ISNUMBER(SEARCH("CAPITAL FUNDING",D35)),1,0)</f>
        <v/>
      </c>
      <c r="AN35">
        <f>IF(ISNUMBER(SEARCH("PNC",D35)),1,0)</f>
        <v/>
      </c>
      <c r="AO35">
        <f>IF(ISNUMBER(SEARCH("WELLS FARGO",D35)),1,0)</f>
        <v/>
      </c>
      <c r="AP35">
        <f>IF(ISNUMBER(SEARCH("DWIGHT",D35)),1,0)</f>
        <v/>
      </c>
      <c r="AQ35">
        <f>IF(ISNUMBER(SEARCH("GREYSTONE",D35)),1,0)</f>
        <v/>
      </c>
      <c r="AR35">
        <f>IF(OR(Q35="3896",Q35="3557"),1,0)</f>
        <v/>
      </c>
      <c r="AS35" s="24">
        <f>V35*W35</f>
        <v/>
      </c>
      <c r="AT35" s="26">
        <f>V$4*(V35-V$3)</f>
        <v/>
      </c>
      <c r="AU35" s="26">
        <f>W$4*(W35-W$3)</f>
        <v/>
      </c>
      <c r="AV35" s="26">
        <f>X$4*(X35-X$3)</f>
        <v/>
      </c>
      <c r="AW35" s="26">
        <f>Y$4*(Y35-Y$3)</f>
        <v/>
      </c>
      <c r="AX35" s="26">
        <f>Z$4*(Z35-Z$3)</f>
        <v/>
      </c>
      <c r="AY35" s="26">
        <f>AA$4*(AA35-AA$3)</f>
        <v/>
      </c>
      <c r="AZ35" s="26">
        <f>AB$4*(AB35-AB$3)</f>
        <v/>
      </c>
      <c r="BA35" s="26">
        <f>AC$4*(AC35-AC$3)</f>
        <v/>
      </c>
      <c r="BB35" s="26">
        <f>AD$4*(AD35-AD$3)</f>
        <v/>
      </c>
      <c r="BC35" s="26">
        <f>AE$4*(AE35-AE$3)</f>
        <v/>
      </c>
      <c r="BD35" s="26">
        <f>AF$4*(AF35-AF$3)</f>
        <v/>
      </c>
      <c r="BE35" s="26">
        <f>AG$4*(AG35-AG$3)</f>
        <v/>
      </c>
      <c r="BF35" s="26">
        <f>AH$4*(AH35-AH$3)</f>
        <v/>
      </c>
      <c r="BG35" s="26">
        <f>AI$4*(AI35-AI$3)</f>
        <v/>
      </c>
      <c r="BH35" s="26">
        <f>AJ$4*(AJ35-AJ$3)</f>
        <v/>
      </c>
      <c r="BI35" s="26">
        <f>AK$4*(AK35-AK$3)</f>
        <v/>
      </c>
      <c r="BJ35" s="26">
        <f>AL$4*(AL35-AL$3)</f>
        <v/>
      </c>
      <c r="BK35" s="26">
        <f>AM$4*(AM35-AM$3)</f>
        <v/>
      </c>
      <c r="BL35" s="26">
        <f>AN$4*(AN35-AN$3)</f>
        <v/>
      </c>
      <c r="BM35" s="26">
        <f>AO$4*(AO35-AO$3)</f>
        <v/>
      </c>
      <c r="BN35" s="26">
        <f>AP$4*(AP35-AP$3)</f>
        <v/>
      </c>
      <c r="BO35" s="26">
        <f>AQ$4*(AQ35-AQ$3)</f>
        <v/>
      </c>
      <c r="BP35" s="26">
        <f>AR$4*(AR35-AR$3)</f>
        <v/>
      </c>
      <c r="BQ35" s="26">
        <f>AS$4*(AS35-AS$3)</f>
        <v/>
      </c>
      <c r="BR35" s="27">
        <f>SUM(AT35:BQ35)</f>
        <v/>
      </c>
      <c r="BS35" s="27">
        <f>INTERCEPT_SCALED+BR35</f>
        <v/>
      </c>
      <c r="BT35" s="28">
        <f>1/(1+EXP(-BS35))</f>
        <v/>
      </c>
      <c r="BU35" s="13">
        <f>1-(1-BT35)^12</f>
        <v/>
      </c>
      <c r="BV35" s="13">
        <f>IFERROR(AT35/BR35*(BU35-BASELINE_CPR),0)</f>
        <v/>
      </c>
      <c r="BW35" s="13">
        <f>IFERROR(AU35/BR35*(BU35-BASELINE_CPR),0)</f>
        <v/>
      </c>
      <c r="BX35" s="13">
        <f>IFERROR(AV35/BR35*(BU35-BASELINE_CPR),0)</f>
        <v/>
      </c>
      <c r="BY35" s="13">
        <f>IFERROR(AW35/BR35*(BU35-BASELINE_CPR),0)</f>
        <v/>
      </c>
      <c r="BZ35" s="13">
        <f>IFERROR(AX35/BR35*(BU35-BASELINE_CPR),0)</f>
        <v/>
      </c>
      <c r="CA35" s="13">
        <f>IFERROR(AY35/BR35*(BU35-BASELINE_CPR),0)</f>
        <v/>
      </c>
      <c r="CB35" s="13">
        <f>IFERROR(AZ35/BR35*(BU35-BASELINE_CPR),0)</f>
        <v/>
      </c>
      <c r="CC35" s="13">
        <f>IFERROR(BA35/BR35*(BU35-BASELINE_CPR),0)</f>
        <v/>
      </c>
      <c r="CD35" s="13">
        <f>IFERROR(BB35/BR35*(BU35-BASELINE_CPR),0)</f>
        <v/>
      </c>
      <c r="CE35" s="13">
        <f>IFERROR(BC35/BR35*(BU35-BASELINE_CPR),0)</f>
        <v/>
      </c>
      <c r="CF35" s="13">
        <f>IFERROR(BD35/BR35*(BU35-BASELINE_CPR),0)</f>
        <v/>
      </c>
      <c r="CG35" s="13">
        <f>IFERROR(BE35/BR35*(BU35-BASELINE_CPR),0)</f>
        <v/>
      </c>
      <c r="CH35" s="13">
        <f>IFERROR(BF35/BR35*(BU35-BASELINE_CPR),0)</f>
        <v/>
      </c>
      <c r="CI35" s="13">
        <f>IFERROR(BG35/BR35*(BU35-BASELINE_CPR),0)</f>
        <v/>
      </c>
      <c r="CJ35" s="13">
        <f>IFERROR(BH35/BR35*(BU35-BASELINE_CPR),0)</f>
        <v/>
      </c>
      <c r="CK35" s="13">
        <f>IFERROR(BI35/BR35*(BU35-BASELINE_CPR),0)</f>
        <v/>
      </c>
      <c r="CL35" s="13">
        <f>IFERROR(BJ35/BR35*(BU35-BASELINE_CPR),0)</f>
        <v/>
      </c>
      <c r="CM35" s="13">
        <f>IFERROR(BK35/BR35*(BU35-BASELINE_CPR),0)</f>
        <v/>
      </c>
      <c r="CN35" s="13">
        <f>IFERROR(BL35/BR35*(BU35-BASELINE_CPR),0)</f>
        <v/>
      </c>
      <c r="CO35" s="13">
        <f>IFERROR(BM35/BR35*(BU35-BASELINE_CPR),0)</f>
        <v/>
      </c>
      <c r="CP35" s="13">
        <f>IFERROR(BN35/BR35*(BU35-BASELINE_CPR),0)</f>
        <v/>
      </c>
      <c r="CQ35" s="13">
        <f>IFERROR(BO35/BR35*(BU35-BASELINE_CPR),0)</f>
        <v/>
      </c>
      <c r="CR35" s="13">
        <f>IFERROR(BP35/BR35*(BU35-BASELINE_CPR),0)</f>
        <v/>
      </c>
      <c r="CS35" s="13">
        <f>IFERROR(BQ35/BR35*(BU35-BASELINE_CPR),0)</f>
        <v/>
      </c>
      <c r="CT35" s="29">
        <f>BASELINE_CPR+SUM(BV35:CS35)-BU35</f>
        <v/>
      </c>
    </row>
    <row r="36">
      <c r="A36" s="2" t="inlineStr">
        <is>
          <t>36180KY54_000000004635742</t>
        </is>
      </c>
      <c r="B36" t="inlineStr">
        <is>
          <t>LUMENT_PRE21</t>
        </is>
      </c>
      <c r="C36" s="2" t="inlineStr">
        <is>
          <t>36180KY54</t>
        </is>
      </c>
      <c r="D36" t="inlineStr">
        <is>
          <t>LUMENT REAL ESTATE CAPITAL,LLC</t>
        </is>
      </c>
      <c r="E36" t="inlineStr">
        <is>
          <t>221d4</t>
        </is>
      </c>
      <c r="F36" t="inlineStr">
        <is>
          <t>RP</t>
        </is>
      </c>
      <c r="G36" t="n">
        <v>2013</v>
      </c>
      <c r="H36" t="inlineStr">
        <is>
          <t>202602</t>
        </is>
      </c>
      <c r="I36" s="22" t="n">
        <v>1221401.95</v>
      </c>
      <c r="J36" s="23" t="n">
        <v>3.45</v>
      </c>
      <c r="K36" s="24" t="n">
        <v>447</v>
      </c>
      <c r="L36" s="24" t="n">
        <v>0</v>
      </c>
      <c r="M36" t="n">
        <v>152</v>
      </c>
      <c r="N36" t="n">
        <v>33</v>
      </c>
      <c r="O36" t="n">
        <v>203301</v>
      </c>
      <c r="P36" t="inlineStr"/>
      <c r="Q36" t="inlineStr">
        <is>
          <t>3896</t>
        </is>
      </c>
      <c r="R36" t="n">
        <v>0</v>
      </c>
      <c r="S36" t="n">
        <v>1</v>
      </c>
      <c r="T36" t="n">
        <v>0</v>
      </c>
      <c r="U36" t="n">
        <v>0</v>
      </c>
      <c r="V36" s="24">
        <f>J36*100-K36</f>
        <v/>
      </c>
      <c r="W36" s="24">
        <f>L36</f>
        <v/>
      </c>
      <c r="X36" s="25">
        <f>MIN(M36,36)</f>
        <v/>
      </c>
      <c r="Y36" s="25">
        <f>MIN(MAX(M36-36,0),84)</f>
        <v/>
      </c>
      <c r="Z36" s="25">
        <f>MAX(M36-120,0)</f>
        <v/>
      </c>
      <c r="AA36" s="25">
        <f>IF(OR(O36="",NOT(ISNUMBER(O36))),360,MAX(0,MIN(480,(INT(O36/100)-INT(VALUE(H36)/100))*12+MOD(O36,100)-MOD(VALUE(H36),100))))</f>
        <v/>
      </c>
      <c r="AB36">
        <f>IF(AND(AA36&gt;0,AA36&lt;=24),1,0)</f>
        <v/>
      </c>
      <c r="AC36" s="25">
        <f>IF(OR(P36="",NOT(ISNUMBER(P36))),0,MAX(0,MIN(24,(INT(VALUE(H36)/100)-INT(P36/100))*12+MOD(VALUE(H36),100)-MOD(P36,100))))</f>
        <v/>
      </c>
      <c r="AD36" s="23">
        <f>LN(1+I36)</f>
        <v/>
      </c>
      <c r="AE36">
        <f>IF(I36&lt;2000000,1,0)</f>
        <v/>
      </c>
      <c r="AF36">
        <f>IF(I36&gt;50000000,1,0)</f>
        <v/>
      </c>
      <c r="AG36" s="23">
        <f>IF(ISNUMBER(M36),N36/MAX(M36,1),0)</f>
        <v/>
      </c>
      <c r="AH36">
        <f>IF(G36&gt;=2021,1,0)</f>
        <v/>
      </c>
      <c r="AI36">
        <f>S36</f>
        <v/>
      </c>
      <c r="AJ36">
        <f>T36</f>
        <v/>
      </c>
      <c r="AK36">
        <f>R36</f>
        <v/>
      </c>
      <c r="AL36">
        <f>U36</f>
        <v/>
      </c>
      <c r="AM36">
        <f>IF(ISNUMBER(SEARCH("CAPITAL FUNDING",D36)),1,0)</f>
        <v/>
      </c>
      <c r="AN36">
        <f>IF(ISNUMBER(SEARCH("PNC",D36)),1,0)</f>
        <v/>
      </c>
      <c r="AO36">
        <f>IF(ISNUMBER(SEARCH("WELLS FARGO",D36)),1,0)</f>
        <v/>
      </c>
      <c r="AP36">
        <f>IF(ISNUMBER(SEARCH("DWIGHT",D36)),1,0)</f>
        <v/>
      </c>
      <c r="AQ36">
        <f>IF(ISNUMBER(SEARCH("GREYSTONE",D36)),1,0)</f>
        <v/>
      </c>
      <c r="AR36">
        <f>IF(OR(Q36="3896",Q36="3557"),1,0)</f>
        <v/>
      </c>
      <c r="AS36" s="24">
        <f>V36*W36</f>
        <v/>
      </c>
      <c r="AT36" s="26">
        <f>V$4*(V36-V$3)</f>
        <v/>
      </c>
      <c r="AU36" s="26">
        <f>W$4*(W36-W$3)</f>
        <v/>
      </c>
      <c r="AV36" s="26">
        <f>X$4*(X36-X$3)</f>
        <v/>
      </c>
      <c r="AW36" s="26">
        <f>Y$4*(Y36-Y$3)</f>
        <v/>
      </c>
      <c r="AX36" s="26">
        <f>Z$4*(Z36-Z$3)</f>
        <v/>
      </c>
      <c r="AY36" s="26">
        <f>AA$4*(AA36-AA$3)</f>
        <v/>
      </c>
      <c r="AZ36" s="26">
        <f>AB$4*(AB36-AB$3)</f>
        <v/>
      </c>
      <c r="BA36" s="26">
        <f>AC$4*(AC36-AC$3)</f>
        <v/>
      </c>
      <c r="BB36" s="26">
        <f>AD$4*(AD36-AD$3)</f>
        <v/>
      </c>
      <c r="BC36" s="26">
        <f>AE$4*(AE36-AE$3)</f>
        <v/>
      </c>
      <c r="BD36" s="26">
        <f>AF$4*(AF36-AF$3)</f>
        <v/>
      </c>
      <c r="BE36" s="26">
        <f>AG$4*(AG36-AG$3)</f>
        <v/>
      </c>
      <c r="BF36" s="26">
        <f>AH$4*(AH36-AH$3)</f>
        <v/>
      </c>
      <c r="BG36" s="26">
        <f>AI$4*(AI36-AI$3)</f>
        <v/>
      </c>
      <c r="BH36" s="26">
        <f>AJ$4*(AJ36-AJ$3)</f>
        <v/>
      </c>
      <c r="BI36" s="26">
        <f>AK$4*(AK36-AK$3)</f>
        <v/>
      </c>
      <c r="BJ36" s="26">
        <f>AL$4*(AL36-AL$3)</f>
        <v/>
      </c>
      <c r="BK36" s="26">
        <f>AM$4*(AM36-AM$3)</f>
        <v/>
      </c>
      <c r="BL36" s="26">
        <f>AN$4*(AN36-AN$3)</f>
        <v/>
      </c>
      <c r="BM36" s="26">
        <f>AO$4*(AO36-AO$3)</f>
        <v/>
      </c>
      <c r="BN36" s="26">
        <f>AP$4*(AP36-AP$3)</f>
        <v/>
      </c>
      <c r="BO36" s="26">
        <f>AQ$4*(AQ36-AQ$3)</f>
        <v/>
      </c>
      <c r="BP36" s="26">
        <f>AR$4*(AR36-AR$3)</f>
        <v/>
      </c>
      <c r="BQ36" s="26">
        <f>AS$4*(AS36-AS$3)</f>
        <v/>
      </c>
      <c r="BR36" s="27">
        <f>SUM(AT36:BQ36)</f>
        <v/>
      </c>
      <c r="BS36" s="27">
        <f>INTERCEPT_SCALED+BR36</f>
        <v/>
      </c>
      <c r="BT36" s="28">
        <f>1/(1+EXP(-BS36))</f>
        <v/>
      </c>
      <c r="BU36" s="13">
        <f>1-(1-BT36)^12</f>
        <v/>
      </c>
      <c r="BV36" s="13">
        <f>IFERROR(AT36/BR36*(BU36-BASELINE_CPR),0)</f>
        <v/>
      </c>
      <c r="BW36" s="13">
        <f>IFERROR(AU36/BR36*(BU36-BASELINE_CPR),0)</f>
        <v/>
      </c>
      <c r="BX36" s="13">
        <f>IFERROR(AV36/BR36*(BU36-BASELINE_CPR),0)</f>
        <v/>
      </c>
      <c r="BY36" s="13">
        <f>IFERROR(AW36/BR36*(BU36-BASELINE_CPR),0)</f>
        <v/>
      </c>
      <c r="BZ36" s="13">
        <f>IFERROR(AX36/BR36*(BU36-BASELINE_CPR),0)</f>
        <v/>
      </c>
      <c r="CA36" s="13">
        <f>IFERROR(AY36/BR36*(BU36-BASELINE_CPR),0)</f>
        <v/>
      </c>
      <c r="CB36" s="13">
        <f>IFERROR(AZ36/BR36*(BU36-BASELINE_CPR),0)</f>
        <v/>
      </c>
      <c r="CC36" s="13">
        <f>IFERROR(BA36/BR36*(BU36-BASELINE_CPR),0)</f>
        <v/>
      </c>
      <c r="CD36" s="13">
        <f>IFERROR(BB36/BR36*(BU36-BASELINE_CPR),0)</f>
        <v/>
      </c>
      <c r="CE36" s="13">
        <f>IFERROR(BC36/BR36*(BU36-BASELINE_CPR),0)</f>
        <v/>
      </c>
      <c r="CF36" s="13">
        <f>IFERROR(BD36/BR36*(BU36-BASELINE_CPR),0)</f>
        <v/>
      </c>
      <c r="CG36" s="13">
        <f>IFERROR(BE36/BR36*(BU36-BASELINE_CPR),0)</f>
        <v/>
      </c>
      <c r="CH36" s="13">
        <f>IFERROR(BF36/BR36*(BU36-BASELINE_CPR),0)</f>
        <v/>
      </c>
      <c r="CI36" s="13">
        <f>IFERROR(BG36/BR36*(BU36-BASELINE_CPR),0)</f>
        <v/>
      </c>
      <c r="CJ36" s="13">
        <f>IFERROR(BH36/BR36*(BU36-BASELINE_CPR),0)</f>
        <v/>
      </c>
      <c r="CK36" s="13">
        <f>IFERROR(BI36/BR36*(BU36-BASELINE_CPR),0)</f>
        <v/>
      </c>
      <c r="CL36" s="13">
        <f>IFERROR(BJ36/BR36*(BU36-BASELINE_CPR),0)</f>
        <v/>
      </c>
      <c r="CM36" s="13">
        <f>IFERROR(BK36/BR36*(BU36-BASELINE_CPR),0)</f>
        <v/>
      </c>
      <c r="CN36" s="13">
        <f>IFERROR(BL36/BR36*(BU36-BASELINE_CPR),0)</f>
        <v/>
      </c>
      <c r="CO36" s="13">
        <f>IFERROR(BM36/BR36*(BU36-BASELINE_CPR),0)</f>
        <v/>
      </c>
      <c r="CP36" s="13">
        <f>IFERROR(BN36/BR36*(BU36-BASELINE_CPR),0)</f>
        <v/>
      </c>
      <c r="CQ36" s="13">
        <f>IFERROR(BO36/BR36*(BU36-BASELINE_CPR),0)</f>
        <v/>
      </c>
      <c r="CR36" s="13">
        <f>IFERROR(BP36/BR36*(BU36-BASELINE_CPR),0)</f>
        <v/>
      </c>
      <c r="CS36" s="13">
        <f>IFERROR(BQ36/BR36*(BU36-BASELINE_CPR),0)</f>
        <v/>
      </c>
      <c r="CT36" s="29">
        <f>BASELINE_CPR+SUM(BV36:CS36)-BU36</f>
        <v/>
      </c>
    </row>
    <row r="37">
      <c r="A37" s="2" t="inlineStr">
        <is>
          <t>3617Q5XK9_000000011335892</t>
        </is>
      </c>
      <c r="B37" t="inlineStr">
        <is>
          <t>LUMENT_PRE21</t>
        </is>
      </c>
      <c r="C37" s="2" t="inlineStr">
        <is>
          <t>3617Q5XK9</t>
        </is>
      </c>
      <c r="D37" t="inlineStr">
        <is>
          <t>LUMENT REAL ESTATE CAPITAL,LLC</t>
        </is>
      </c>
      <c r="E37" t="inlineStr">
        <is>
          <t>221d4</t>
        </is>
      </c>
      <c r="F37" t="inlineStr">
        <is>
          <t>RP</t>
        </is>
      </c>
      <c r="G37" t="n">
        <v>2020</v>
      </c>
      <c r="H37" t="inlineStr">
        <is>
          <t>202602</t>
        </is>
      </c>
      <c r="I37" s="22" t="n">
        <v>17268555.72</v>
      </c>
      <c r="J37" s="23" t="n">
        <v>2.6</v>
      </c>
      <c r="K37" s="24" t="n">
        <v>447</v>
      </c>
      <c r="L37" s="24" t="n">
        <v>5</v>
      </c>
      <c r="M37" t="n">
        <v>64</v>
      </c>
      <c r="N37" t="n">
        <v>0</v>
      </c>
      <c r="O37" t="n">
        <v>206011</v>
      </c>
      <c r="P37" t="inlineStr"/>
      <c r="Q37" t="inlineStr">
        <is>
          <t>3896</t>
        </is>
      </c>
      <c r="R37" t="n">
        <v>0</v>
      </c>
      <c r="S37" t="n">
        <v>1</v>
      </c>
      <c r="T37" t="n">
        <v>0</v>
      </c>
      <c r="U37" t="n">
        <v>0</v>
      </c>
      <c r="V37" s="24">
        <f>J37*100-K37</f>
        <v/>
      </c>
      <c r="W37" s="24">
        <f>L37</f>
        <v/>
      </c>
      <c r="X37" s="25">
        <f>MIN(M37,36)</f>
        <v/>
      </c>
      <c r="Y37" s="25">
        <f>MIN(MAX(M37-36,0),84)</f>
        <v/>
      </c>
      <c r="Z37" s="25">
        <f>MAX(M37-120,0)</f>
        <v/>
      </c>
      <c r="AA37" s="25">
        <f>IF(OR(O37="",NOT(ISNUMBER(O37))),360,MAX(0,MIN(480,(INT(O37/100)-INT(VALUE(H37)/100))*12+MOD(O37,100)-MOD(VALUE(H37),100))))</f>
        <v/>
      </c>
      <c r="AB37">
        <f>IF(AND(AA37&gt;0,AA37&lt;=24),1,0)</f>
        <v/>
      </c>
      <c r="AC37" s="25">
        <f>IF(OR(P37="",NOT(ISNUMBER(P37))),0,MAX(0,MIN(24,(INT(VALUE(H37)/100)-INT(P37/100))*12+MOD(VALUE(H37),100)-MOD(P37,100))))</f>
        <v/>
      </c>
      <c r="AD37" s="23">
        <f>LN(1+I37)</f>
        <v/>
      </c>
      <c r="AE37">
        <f>IF(I37&lt;2000000,1,0)</f>
        <v/>
      </c>
      <c r="AF37">
        <f>IF(I37&gt;50000000,1,0)</f>
        <v/>
      </c>
      <c r="AG37" s="23">
        <f>IF(ISNUMBER(M37),N37/MAX(M37,1),0)</f>
        <v/>
      </c>
      <c r="AH37">
        <f>IF(G37&gt;=2021,1,0)</f>
        <v/>
      </c>
      <c r="AI37">
        <f>S37</f>
        <v/>
      </c>
      <c r="AJ37">
        <f>T37</f>
        <v/>
      </c>
      <c r="AK37">
        <f>R37</f>
        <v/>
      </c>
      <c r="AL37">
        <f>U37</f>
        <v/>
      </c>
      <c r="AM37">
        <f>IF(ISNUMBER(SEARCH("CAPITAL FUNDING",D37)),1,0)</f>
        <v/>
      </c>
      <c r="AN37">
        <f>IF(ISNUMBER(SEARCH("PNC",D37)),1,0)</f>
        <v/>
      </c>
      <c r="AO37">
        <f>IF(ISNUMBER(SEARCH("WELLS FARGO",D37)),1,0)</f>
        <v/>
      </c>
      <c r="AP37">
        <f>IF(ISNUMBER(SEARCH("DWIGHT",D37)),1,0)</f>
        <v/>
      </c>
      <c r="AQ37">
        <f>IF(ISNUMBER(SEARCH("GREYSTONE",D37)),1,0)</f>
        <v/>
      </c>
      <c r="AR37">
        <f>IF(OR(Q37="3896",Q37="3557"),1,0)</f>
        <v/>
      </c>
      <c r="AS37" s="24">
        <f>V37*W37</f>
        <v/>
      </c>
      <c r="AT37" s="26">
        <f>V$4*(V37-V$3)</f>
        <v/>
      </c>
      <c r="AU37" s="26">
        <f>W$4*(W37-W$3)</f>
        <v/>
      </c>
      <c r="AV37" s="26">
        <f>X$4*(X37-X$3)</f>
        <v/>
      </c>
      <c r="AW37" s="26">
        <f>Y$4*(Y37-Y$3)</f>
        <v/>
      </c>
      <c r="AX37" s="26">
        <f>Z$4*(Z37-Z$3)</f>
        <v/>
      </c>
      <c r="AY37" s="26">
        <f>AA$4*(AA37-AA$3)</f>
        <v/>
      </c>
      <c r="AZ37" s="26">
        <f>AB$4*(AB37-AB$3)</f>
        <v/>
      </c>
      <c r="BA37" s="26">
        <f>AC$4*(AC37-AC$3)</f>
        <v/>
      </c>
      <c r="BB37" s="26">
        <f>AD$4*(AD37-AD$3)</f>
        <v/>
      </c>
      <c r="BC37" s="26">
        <f>AE$4*(AE37-AE$3)</f>
        <v/>
      </c>
      <c r="BD37" s="26">
        <f>AF$4*(AF37-AF$3)</f>
        <v/>
      </c>
      <c r="BE37" s="26">
        <f>AG$4*(AG37-AG$3)</f>
        <v/>
      </c>
      <c r="BF37" s="26">
        <f>AH$4*(AH37-AH$3)</f>
        <v/>
      </c>
      <c r="BG37" s="26">
        <f>AI$4*(AI37-AI$3)</f>
        <v/>
      </c>
      <c r="BH37" s="26">
        <f>AJ$4*(AJ37-AJ$3)</f>
        <v/>
      </c>
      <c r="BI37" s="26">
        <f>AK$4*(AK37-AK$3)</f>
        <v/>
      </c>
      <c r="BJ37" s="26">
        <f>AL$4*(AL37-AL$3)</f>
        <v/>
      </c>
      <c r="BK37" s="26">
        <f>AM$4*(AM37-AM$3)</f>
        <v/>
      </c>
      <c r="BL37" s="26">
        <f>AN$4*(AN37-AN$3)</f>
        <v/>
      </c>
      <c r="BM37" s="26">
        <f>AO$4*(AO37-AO$3)</f>
        <v/>
      </c>
      <c r="BN37" s="26">
        <f>AP$4*(AP37-AP$3)</f>
        <v/>
      </c>
      <c r="BO37" s="26">
        <f>AQ$4*(AQ37-AQ$3)</f>
        <v/>
      </c>
      <c r="BP37" s="26">
        <f>AR$4*(AR37-AR$3)</f>
        <v/>
      </c>
      <c r="BQ37" s="26">
        <f>AS$4*(AS37-AS$3)</f>
        <v/>
      </c>
      <c r="BR37" s="27">
        <f>SUM(AT37:BQ37)</f>
        <v/>
      </c>
      <c r="BS37" s="27">
        <f>INTERCEPT_SCALED+BR37</f>
        <v/>
      </c>
      <c r="BT37" s="28">
        <f>1/(1+EXP(-BS37))</f>
        <v/>
      </c>
      <c r="BU37" s="13">
        <f>1-(1-BT37)^12</f>
        <v/>
      </c>
      <c r="BV37" s="13">
        <f>IFERROR(AT37/BR37*(BU37-BASELINE_CPR),0)</f>
        <v/>
      </c>
      <c r="BW37" s="13">
        <f>IFERROR(AU37/BR37*(BU37-BASELINE_CPR),0)</f>
        <v/>
      </c>
      <c r="BX37" s="13">
        <f>IFERROR(AV37/BR37*(BU37-BASELINE_CPR),0)</f>
        <v/>
      </c>
      <c r="BY37" s="13">
        <f>IFERROR(AW37/BR37*(BU37-BASELINE_CPR),0)</f>
        <v/>
      </c>
      <c r="BZ37" s="13">
        <f>IFERROR(AX37/BR37*(BU37-BASELINE_CPR),0)</f>
        <v/>
      </c>
      <c r="CA37" s="13">
        <f>IFERROR(AY37/BR37*(BU37-BASELINE_CPR),0)</f>
        <v/>
      </c>
      <c r="CB37" s="13">
        <f>IFERROR(AZ37/BR37*(BU37-BASELINE_CPR),0)</f>
        <v/>
      </c>
      <c r="CC37" s="13">
        <f>IFERROR(BA37/BR37*(BU37-BASELINE_CPR),0)</f>
        <v/>
      </c>
      <c r="CD37" s="13">
        <f>IFERROR(BB37/BR37*(BU37-BASELINE_CPR),0)</f>
        <v/>
      </c>
      <c r="CE37" s="13">
        <f>IFERROR(BC37/BR37*(BU37-BASELINE_CPR),0)</f>
        <v/>
      </c>
      <c r="CF37" s="13">
        <f>IFERROR(BD37/BR37*(BU37-BASELINE_CPR),0)</f>
        <v/>
      </c>
      <c r="CG37" s="13">
        <f>IFERROR(BE37/BR37*(BU37-BASELINE_CPR),0)</f>
        <v/>
      </c>
      <c r="CH37" s="13">
        <f>IFERROR(BF37/BR37*(BU37-BASELINE_CPR),0)</f>
        <v/>
      </c>
      <c r="CI37" s="13">
        <f>IFERROR(BG37/BR37*(BU37-BASELINE_CPR),0)</f>
        <v/>
      </c>
      <c r="CJ37" s="13">
        <f>IFERROR(BH37/BR37*(BU37-BASELINE_CPR),0)</f>
        <v/>
      </c>
      <c r="CK37" s="13">
        <f>IFERROR(BI37/BR37*(BU37-BASELINE_CPR),0)</f>
        <v/>
      </c>
      <c r="CL37" s="13">
        <f>IFERROR(BJ37/BR37*(BU37-BASELINE_CPR),0)</f>
        <v/>
      </c>
      <c r="CM37" s="13">
        <f>IFERROR(BK37/BR37*(BU37-BASELINE_CPR),0)</f>
        <v/>
      </c>
      <c r="CN37" s="13">
        <f>IFERROR(BL37/BR37*(BU37-BASELINE_CPR),0)</f>
        <v/>
      </c>
      <c r="CO37" s="13">
        <f>IFERROR(BM37/BR37*(BU37-BASELINE_CPR),0)</f>
        <v/>
      </c>
      <c r="CP37" s="13">
        <f>IFERROR(BN37/BR37*(BU37-BASELINE_CPR),0)</f>
        <v/>
      </c>
      <c r="CQ37" s="13">
        <f>IFERROR(BO37/BR37*(BU37-BASELINE_CPR),0)</f>
        <v/>
      </c>
      <c r="CR37" s="13">
        <f>IFERROR(BP37/BR37*(BU37-BASELINE_CPR),0)</f>
        <v/>
      </c>
      <c r="CS37" s="13">
        <f>IFERROR(BQ37/BR37*(BU37-BASELINE_CPR),0)</f>
        <v/>
      </c>
      <c r="CT37" s="29">
        <f>BASELINE_CPR+SUM(BV37:CS37)-BU37</f>
        <v/>
      </c>
    </row>
    <row r="38">
      <c r="A38" s="2" t="inlineStr">
        <is>
          <t>36196VRU5_000000004622096</t>
        </is>
      </c>
      <c r="B38" t="inlineStr">
        <is>
          <t>LUMENT_PRE21</t>
        </is>
      </c>
      <c r="C38" s="2" t="inlineStr">
        <is>
          <t>36196VRU5</t>
        </is>
      </c>
      <c r="D38" t="inlineStr">
        <is>
          <t>LUMENT REAL ESTATE CAPITAL,LLC</t>
        </is>
      </c>
      <c r="E38" t="inlineStr">
        <is>
          <t>232</t>
        </is>
      </c>
      <c r="F38" t="inlineStr">
        <is>
          <t>RP</t>
        </is>
      </c>
      <c r="G38" t="n">
        <v>2017</v>
      </c>
      <c r="H38" t="inlineStr">
        <is>
          <t>202602</t>
        </is>
      </c>
      <c r="I38" s="22" t="n">
        <v>13590843.4</v>
      </c>
      <c r="J38" s="23" t="n">
        <v>3.51</v>
      </c>
      <c r="K38" s="24" t="n">
        <v>447</v>
      </c>
      <c r="L38" s="24" t="n">
        <v>3</v>
      </c>
      <c r="M38" t="n">
        <v>107</v>
      </c>
      <c r="N38" t="n">
        <v>25</v>
      </c>
      <c r="O38" t="n">
        <v>205204</v>
      </c>
      <c r="P38" t="inlineStr"/>
      <c r="Q38" t="inlineStr">
        <is>
          <t>3896</t>
        </is>
      </c>
      <c r="R38" t="n">
        <v>1</v>
      </c>
      <c r="S38" t="n">
        <v>0</v>
      </c>
      <c r="T38" t="n">
        <v>0</v>
      </c>
      <c r="U38" t="n">
        <v>0</v>
      </c>
      <c r="V38" s="24">
        <f>J38*100-K38</f>
        <v/>
      </c>
      <c r="W38" s="24">
        <f>L38</f>
        <v/>
      </c>
      <c r="X38" s="25">
        <f>MIN(M38,36)</f>
        <v/>
      </c>
      <c r="Y38" s="25">
        <f>MIN(MAX(M38-36,0),84)</f>
        <v/>
      </c>
      <c r="Z38" s="25">
        <f>MAX(M38-120,0)</f>
        <v/>
      </c>
      <c r="AA38" s="25">
        <f>IF(OR(O38="",NOT(ISNUMBER(O38))),360,MAX(0,MIN(480,(INT(O38/100)-INT(VALUE(H38)/100))*12+MOD(O38,100)-MOD(VALUE(H38),100))))</f>
        <v/>
      </c>
      <c r="AB38">
        <f>IF(AND(AA38&gt;0,AA38&lt;=24),1,0)</f>
        <v/>
      </c>
      <c r="AC38" s="25">
        <f>IF(OR(P38="",NOT(ISNUMBER(P38))),0,MAX(0,MIN(24,(INT(VALUE(H38)/100)-INT(P38/100))*12+MOD(VALUE(H38),100)-MOD(P38,100))))</f>
        <v/>
      </c>
      <c r="AD38" s="23">
        <f>LN(1+I38)</f>
        <v/>
      </c>
      <c r="AE38">
        <f>IF(I38&lt;2000000,1,0)</f>
        <v/>
      </c>
      <c r="AF38">
        <f>IF(I38&gt;50000000,1,0)</f>
        <v/>
      </c>
      <c r="AG38" s="23">
        <f>IF(ISNUMBER(M38),N38/MAX(M38,1),0)</f>
        <v/>
      </c>
      <c r="AH38">
        <f>IF(G38&gt;=2021,1,0)</f>
        <v/>
      </c>
      <c r="AI38">
        <f>S38</f>
        <v/>
      </c>
      <c r="AJ38">
        <f>T38</f>
        <v/>
      </c>
      <c r="AK38">
        <f>R38</f>
        <v/>
      </c>
      <c r="AL38">
        <f>U38</f>
        <v/>
      </c>
      <c r="AM38">
        <f>IF(ISNUMBER(SEARCH("CAPITAL FUNDING",D38)),1,0)</f>
        <v/>
      </c>
      <c r="AN38">
        <f>IF(ISNUMBER(SEARCH("PNC",D38)),1,0)</f>
        <v/>
      </c>
      <c r="AO38">
        <f>IF(ISNUMBER(SEARCH("WELLS FARGO",D38)),1,0)</f>
        <v/>
      </c>
      <c r="AP38">
        <f>IF(ISNUMBER(SEARCH("DWIGHT",D38)),1,0)</f>
        <v/>
      </c>
      <c r="AQ38">
        <f>IF(ISNUMBER(SEARCH("GREYSTONE",D38)),1,0)</f>
        <v/>
      </c>
      <c r="AR38">
        <f>IF(OR(Q38="3896",Q38="3557"),1,0)</f>
        <v/>
      </c>
      <c r="AS38" s="24">
        <f>V38*W38</f>
        <v/>
      </c>
      <c r="AT38" s="26">
        <f>V$4*(V38-V$3)</f>
        <v/>
      </c>
      <c r="AU38" s="26">
        <f>W$4*(W38-W$3)</f>
        <v/>
      </c>
      <c r="AV38" s="26">
        <f>X$4*(X38-X$3)</f>
        <v/>
      </c>
      <c r="AW38" s="26">
        <f>Y$4*(Y38-Y$3)</f>
        <v/>
      </c>
      <c r="AX38" s="26">
        <f>Z$4*(Z38-Z$3)</f>
        <v/>
      </c>
      <c r="AY38" s="26">
        <f>AA$4*(AA38-AA$3)</f>
        <v/>
      </c>
      <c r="AZ38" s="26">
        <f>AB$4*(AB38-AB$3)</f>
        <v/>
      </c>
      <c r="BA38" s="26">
        <f>AC$4*(AC38-AC$3)</f>
        <v/>
      </c>
      <c r="BB38" s="26">
        <f>AD$4*(AD38-AD$3)</f>
        <v/>
      </c>
      <c r="BC38" s="26">
        <f>AE$4*(AE38-AE$3)</f>
        <v/>
      </c>
      <c r="BD38" s="26">
        <f>AF$4*(AF38-AF$3)</f>
        <v/>
      </c>
      <c r="BE38" s="26">
        <f>AG$4*(AG38-AG$3)</f>
        <v/>
      </c>
      <c r="BF38" s="26">
        <f>AH$4*(AH38-AH$3)</f>
        <v/>
      </c>
      <c r="BG38" s="26">
        <f>AI$4*(AI38-AI$3)</f>
        <v/>
      </c>
      <c r="BH38" s="26">
        <f>AJ$4*(AJ38-AJ$3)</f>
        <v/>
      </c>
      <c r="BI38" s="26">
        <f>AK$4*(AK38-AK$3)</f>
        <v/>
      </c>
      <c r="BJ38" s="26">
        <f>AL$4*(AL38-AL$3)</f>
        <v/>
      </c>
      <c r="BK38" s="26">
        <f>AM$4*(AM38-AM$3)</f>
        <v/>
      </c>
      <c r="BL38" s="26">
        <f>AN$4*(AN38-AN$3)</f>
        <v/>
      </c>
      <c r="BM38" s="26">
        <f>AO$4*(AO38-AO$3)</f>
        <v/>
      </c>
      <c r="BN38" s="26">
        <f>AP$4*(AP38-AP$3)</f>
        <v/>
      </c>
      <c r="BO38" s="26">
        <f>AQ$4*(AQ38-AQ$3)</f>
        <v/>
      </c>
      <c r="BP38" s="26">
        <f>AR$4*(AR38-AR$3)</f>
        <v/>
      </c>
      <c r="BQ38" s="26">
        <f>AS$4*(AS38-AS$3)</f>
        <v/>
      </c>
      <c r="BR38" s="27">
        <f>SUM(AT38:BQ38)</f>
        <v/>
      </c>
      <c r="BS38" s="27">
        <f>INTERCEPT_SCALED+BR38</f>
        <v/>
      </c>
      <c r="BT38" s="28">
        <f>1/(1+EXP(-BS38))</f>
        <v/>
      </c>
      <c r="BU38" s="13">
        <f>1-(1-BT38)^12</f>
        <v/>
      </c>
      <c r="BV38" s="13">
        <f>IFERROR(AT38/BR38*(BU38-BASELINE_CPR),0)</f>
        <v/>
      </c>
      <c r="BW38" s="13">
        <f>IFERROR(AU38/BR38*(BU38-BASELINE_CPR),0)</f>
        <v/>
      </c>
      <c r="BX38" s="13">
        <f>IFERROR(AV38/BR38*(BU38-BASELINE_CPR),0)</f>
        <v/>
      </c>
      <c r="BY38" s="13">
        <f>IFERROR(AW38/BR38*(BU38-BASELINE_CPR),0)</f>
        <v/>
      </c>
      <c r="BZ38" s="13">
        <f>IFERROR(AX38/BR38*(BU38-BASELINE_CPR),0)</f>
        <v/>
      </c>
      <c r="CA38" s="13">
        <f>IFERROR(AY38/BR38*(BU38-BASELINE_CPR),0)</f>
        <v/>
      </c>
      <c r="CB38" s="13">
        <f>IFERROR(AZ38/BR38*(BU38-BASELINE_CPR),0)</f>
        <v/>
      </c>
      <c r="CC38" s="13">
        <f>IFERROR(BA38/BR38*(BU38-BASELINE_CPR),0)</f>
        <v/>
      </c>
      <c r="CD38" s="13">
        <f>IFERROR(BB38/BR38*(BU38-BASELINE_CPR),0)</f>
        <v/>
      </c>
      <c r="CE38" s="13">
        <f>IFERROR(BC38/BR38*(BU38-BASELINE_CPR),0)</f>
        <v/>
      </c>
      <c r="CF38" s="13">
        <f>IFERROR(BD38/BR38*(BU38-BASELINE_CPR),0)</f>
        <v/>
      </c>
      <c r="CG38" s="13">
        <f>IFERROR(BE38/BR38*(BU38-BASELINE_CPR),0)</f>
        <v/>
      </c>
      <c r="CH38" s="13">
        <f>IFERROR(BF38/BR38*(BU38-BASELINE_CPR),0)</f>
        <v/>
      </c>
      <c r="CI38" s="13">
        <f>IFERROR(BG38/BR38*(BU38-BASELINE_CPR),0)</f>
        <v/>
      </c>
      <c r="CJ38" s="13">
        <f>IFERROR(BH38/BR38*(BU38-BASELINE_CPR),0)</f>
        <v/>
      </c>
      <c r="CK38" s="13">
        <f>IFERROR(BI38/BR38*(BU38-BASELINE_CPR),0)</f>
        <v/>
      </c>
      <c r="CL38" s="13">
        <f>IFERROR(BJ38/BR38*(BU38-BASELINE_CPR),0)</f>
        <v/>
      </c>
      <c r="CM38" s="13">
        <f>IFERROR(BK38/BR38*(BU38-BASELINE_CPR),0)</f>
        <v/>
      </c>
      <c r="CN38" s="13">
        <f>IFERROR(BL38/BR38*(BU38-BASELINE_CPR),0)</f>
        <v/>
      </c>
      <c r="CO38" s="13">
        <f>IFERROR(BM38/BR38*(BU38-BASELINE_CPR),0)</f>
        <v/>
      </c>
      <c r="CP38" s="13">
        <f>IFERROR(BN38/BR38*(BU38-BASELINE_CPR),0)</f>
        <v/>
      </c>
      <c r="CQ38" s="13">
        <f>IFERROR(BO38/BR38*(BU38-BASELINE_CPR),0)</f>
        <v/>
      </c>
      <c r="CR38" s="13">
        <f>IFERROR(BP38/BR38*(BU38-BASELINE_CPR),0)</f>
        <v/>
      </c>
      <c r="CS38" s="13">
        <f>IFERROR(BQ38/BR38*(BU38-BASELINE_CPR),0)</f>
        <v/>
      </c>
      <c r="CT38" s="29">
        <f>BASELINE_CPR+SUM(BV38:CS38)-BU38</f>
        <v/>
      </c>
    </row>
    <row r="39">
      <c r="A39" s="2" t="inlineStr">
        <is>
          <t>3617Q5WR5_000000008335768</t>
        </is>
      </c>
      <c r="B39" t="inlineStr">
        <is>
          <t>LUMENT_PRE21</t>
        </is>
      </c>
      <c r="C39" s="2" t="inlineStr">
        <is>
          <t>3617Q5WR5</t>
        </is>
      </c>
      <c r="D39" t="inlineStr">
        <is>
          <t>LUMENT REAL ESTATE CAPITAL,LLC</t>
        </is>
      </c>
      <c r="E39" t="inlineStr">
        <is>
          <t>221d4</t>
        </is>
      </c>
      <c r="F39" t="inlineStr">
        <is>
          <t>NC</t>
        </is>
      </c>
      <c r="G39" t="n">
        <v>2020</v>
      </c>
      <c r="H39" t="inlineStr">
        <is>
          <t>202602</t>
        </is>
      </c>
      <c r="I39" s="22" t="n">
        <v>8926065.5</v>
      </c>
      <c r="J39" s="23" t="n">
        <v>3.05</v>
      </c>
      <c r="K39" s="24" t="n">
        <v>447</v>
      </c>
      <c r="L39" s="24" t="n">
        <v>7</v>
      </c>
      <c r="M39" t="n">
        <v>66</v>
      </c>
      <c r="N39" t="n">
        <v>0</v>
      </c>
      <c r="O39" t="n">
        <v>206206</v>
      </c>
      <c r="P39" t="inlineStr"/>
      <c r="Q39" t="inlineStr">
        <is>
          <t>3896</t>
        </is>
      </c>
      <c r="R39" t="n">
        <v>0</v>
      </c>
      <c r="S39" t="n">
        <v>0</v>
      </c>
      <c r="T39" t="n">
        <v>0</v>
      </c>
      <c r="U39" t="n">
        <v>1</v>
      </c>
      <c r="V39" s="24">
        <f>J39*100-K39</f>
        <v/>
      </c>
      <c r="W39" s="24">
        <f>L39</f>
        <v/>
      </c>
      <c r="X39" s="25">
        <f>MIN(M39,36)</f>
        <v/>
      </c>
      <c r="Y39" s="25">
        <f>MIN(MAX(M39-36,0),84)</f>
        <v/>
      </c>
      <c r="Z39" s="25">
        <f>MAX(M39-120,0)</f>
        <v/>
      </c>
      <c r="AA39" s="25">
        <f>IF(OR(O39="",NOT(ISNUMBER(O39))),360,MAX(0,MIN(480,(INT(O39/100)-INT(VALUE(H39)/100))*12+MOD(O39,100)-MOD(VALUE(H39),100))))</f>
        <v/>
      </c>
      <c r="AB39">
        <f>IF(AND(AA39&gt;0,AA39&lt;=24),1,0)</f>
        <v/>
      </c>
      <c r="AC39" s="25">
        <f>IF(OR(P39="",NOT(ISNUMBER(P39))),0,MAX(0,MIN(24,(INT(VALUE(H39)/100)-INT(P39/100))*12+MOD(VALUE(H39),100)-MOD(P39,100))))</f>
        <v/>
      </c>
      <c r="AD39" s="23">
        <f>LN(1+I39)</f>
        <v/>
      </c>
      <c r="AE39">
        <f>IF(I39&lt;2000000,1,0)</f>
        <v/>
      </c>
      <c r="AF39">
        <f>IF(I39&gt;50000000,1,0)</f>
        <v/>
      </c>
      <c r="AG39" s="23">
        <f>IF(ISNUMBER(M39),N39/MAX(M39,1),0)</f>
        <v/>
      </c>
      <c r="AH39">
        <f>IF(G39&gt;=2021,1,0)</f>
        <v/>
      </c>
      <c r="AI39">
        <f>S39</f>
        <v/>
      </c>
      <c r="AJ39">
        <f>T39</f>
        <v/>
      </c>
      <c r="AK39">
        <f>R39</f>
        <v/>
      </c>
      <c r="AL39">
        <f>U39</f>
        <v/>
      </c>
      <c r="AM39">
        <f>IF(ISNUMBER(SEARCH("CAPITAL FUNDING",D39)),1,0)</f>
        <v/>
      </c>
      <c r="AN39">
        <f>IF(ISNUMBER(SEARCH("PNC",D39)),1,0)</f>
        <v/>
      </c>
      <c r="AO39">
        <f>IF(ISNUMBER(SEARCH("WELLS FARGO",D39)),1,0)</f>
        <v/>
      </c>
      <c r="AP39">
        <f>IF(ISNUMBER(SEARCH("DWIGHT",D39)),1,0)</f>
        <v/>
      </c>
      <c r="AQ39">
        <f>IF(ISNUMBER(SEARCH("GREYSTONE",D39)),1,0)</f>
        <v/>
      </c>
      <c r="AR39">
        <f>IF(OR(Q39="3896",Q39="3557"),1,0)</f>
        <v/>
      </c>
      <c r="AS39" s="24">
        <f>V39*W39</f>
        <v/>
      </c>
      <c r="AT39" s="26">
        <f>V$4*(V39-V$3)</f>
        <v/>
      </c>
      <c r="AU39" s="26">
        <f>W$4*(W39-W$3)</f>
        <v/>
      </c>
      <c r="AV39" s="26">
        <f>X$4*(X39-X$3)</f>
        <v/>
      </c>
      <c r="AW39" s="26">
        <f>Y$4*(Y39-Y$3)</f>
        <v/>
      </c>
      <c r="AX39" s="26">
        <f>Z$4*(Z39-Z$3)</f>
        <v/>
      </c>
      <c r="AY39" s="26">
        <f>AA$4*(AA39-AA$3)</f>
        <v/>
      </c>
      <c r="AZ39" s="26">
        <f>AB$4*(AB39-AB$3)</f>
        <v/>
      </c>
      <c r="BA39" s="26">
        <f>AC$4*(AC39-AC$3)</f>
        <v/>
      </c>
      <c r="BB39" s="26">
        <f>AD$4*(AD39-AD$3)</f>
        <v/>
      </c>
      <c r="BC39" s="26">
        <f>AE$4*(AE39-AE$3)</f>
        <v/>
      </c>
      <c r="BD39" s="26">
        <f>AF$4*(AF39-AF$3)</f>
        <v/>
      </c>
      <c r="BE39" s="26">
        <f>AG$4*(AG39-AG$3)</f>
        <v/>
      </c>
      <c r="BF39" s="26">
        <f>AH$4*(AH39-AH$3)</f>
        <v/>
      </c>
      <c r="BG39" s="26">
        <f>AI$4*(AI39-AI$3)</f>
        <v/>
      </c>
      <c r="BH39" s="26">
        <f>AJ$4*(AJ39-AJ$3)</f>
        <v/>
      </c>
      <c r="BI39" s="26">
        <f>AK$4*(AK39-AK$3)</f>
        <v/>
      </c>
      <c r="BJ39" s="26">
        <f>AL$4*(AL39-AL$3)</f>
        <v/>
      </c>
      <c r="BK39" s="26">
        <f>AM$4*(AM39-AM$3)</f>
        <v/>
      </c>
      <c r="BL39" s="26">
        <f>AN$4*(AN39-AN$3)</f>
        <v/>
      </c>
      <c r="BM39" s="26">
        <f>AO$4*(AO39-AO$3)</f>
        <v/>
      </c>
      <c r="BN39" s="26">
        <f>AP$4*(AP39-AP$3)</f>
        <v/>
      </c>
      <c r="BO39" s="26">
        <f>AQ$4*(AQ39-AQ$3)</f>
        <v/>
      </c>
      <c r="BP39" s="26">
        <f>AR$4*(AR39-AR$3)</f>
        <v/>
      </c>
      <c r="BQ39" s="26">
        <f>AS$4*(AS39-AS$3)</f>
        <v/>
      </c>
      <c r="BR39" s="27">
        <f>SUM(AT39:BQ39)</f>
        <v/>
      </c>
      <c r="BS39" s="27">
        <f>INTERCEPT_SCALED+BR39</f>
        <v/>
      </c>
      <c r="BT39" s="28">
        <f>1/(1+EXP(-BS39))</f>
        <v/>
      </c>
      <c r="BU39" s="13">
        <f>1-(1-BT39)^12</f>
        <v/>
      </c>
      <c r="BV39" s="13">
        <f>IFERROR(AT39/BR39*(BU39-BASELINE_CPR),0)</f>
        <v/>
      </c>
      <c r="BW39" s="13">
        <f>IFERROR(AU39/BR39*(BU39-BASELINE_CPR),0)</f>
        <v/>
      </c>
      <c r="BX39" s="13">
        <f>IFERROR(AV39/BR39*(BU39-BASELINE_CPR),0)</f>
        <v/>
      </c>
      <c r="BY39" s="13">
        <f>IFERROR(AW39/BR39*(BU39-BASELINE_CPR),0)</f>
        <v/>
      </c>
      <c r="BZ39" s="13">
        <f>IFERROR(AX39/BR39*(BU39-BASELINE_CPR),0)</f>
        <v/>
      </c>
      <c r="CA39" s="13">
        <f>IFERROR(AY39/BR39*(BU39-BASELINE_CPR),0)</f>
        <v/>
      </c>
      <c r="CB39" s="13">
        <f>IFERROR(AZ39/BR39*(BU39-BASELINE_CPR),0)</f>
        <v/>
      </c>
      <c r="CC39" s="13">
        <f>IFERROR(BA39/BR39*(BU39-BASELINE_CPR),0)</f>
        <v/>
      </c>
      <c r="CD39" s="13">
        <f>IFERROR(BB39/BR39*(BU39-BASELINE_CPR),0)</f>
        <v/>
      </c>
      <c r="CE39" s="13">
        <f>IFERROR(BC39/BR39*(BU39-BASELINE_CPR),0)</f>
        <v/>
      </c>
      <c r="CF39" s="13">
        <f>IFERROR(BD39/BR39*(BU39-BASELINE_CPR),0)</f>
        <v/>
      </c>
      <c r="CG39" s="13">
        <f>IFERROR(BE39/BR39*(BU39-BASELINE_CPR),0)</f>
        <v/>
      </c>
      <c r="CH39" s="13">
        <f>IFERROR(BF39/BR39*(BU39-BASELINE_CPR),0)</f>
        <v/>
      </c>
      <c r="CI39" s="13">
        <f>IFERROR(BG39/BR39*(BU39-BASELINE_CPR),0)</f>
        <v/>
      </c>
      <c r="CJ39" s="13">
        <f>IFERROR(BH39/BR39*(BU39-BASELINE_CPR),0)</f>
        <v/>
      </c>
      <c r="CK39" s="13">
        <f>IFERROR(BI39/BR39*(BU39-BASELINE_CPR),0)</f>
        <v/>
      </c>
      <c r="CL39" s="13">
        <f>IFERROR(BJ39/BR39*(BU39-BASELINE_CPR),0)</f>
        <v/>
      </c>
      <c r="CM39" s="13">
        <f>IFERROR(BK39/BR39*(BU39-BASELINE_CPR),0)</f>
        <v/>
      </c>
      <c r="CN39" s="13">
        <f>IFERROR(BL39/BR39*(BU39-BASELINE_CPR),0)</f>
        <v/>
      </c>
      <c r="CO39" s="13">
        <f>IFERROR(BM39/BR39*(BU39-BASELINE_CPR),0)</f>
        <v/>
      </c>
      <c r="CP39" s="13">
        <f>IFERROR(BN39/BR39*(BU39-BASELINE_CPR),0)</f>
        <v/>
      </c>
      <c r="CQ39" s="13">
        <f>IFERROR(BO39/BR39*(BU39-BASELINE_CPR),0)</f>
        <v/>
      </c>
      <c r="CR39" s="13">
        <f>IFERROR(BP39/BR39*(BU39-BASELINE_CPR),0)</f>
        <v/>
      </c>
      <c r="CS39" s="13">
        <f>IFERROR(BQ39/BR39*(BU39-BASELINE_CPR),0)</f>
        <v/>
      </c>
      <c r="CT39" s="29">
        <f>BASELINE_CPR+SUM(BV39:CS39)-BU39</f>
        <v/>
      </c>
    </row>
    <row r="40">
      <c r="A40" s="2" t="inlineStr">
        <is>
          <t>3617U85F0_000000006535598</t>
        </is>
      </c>
      <c r="B40" t="inlineStr">
        <is>
          <t>BERKADIA_PRE21</t>
        </is>
      </c>
      <c r="C40" s="2" t="inlineStr">
        <is>
          <t>3617U85F0</t>
        </is>
      </c>
      <c r="D40" t="inlineStr">
        <is>
          <t>BERKADIA COMMERCIAL MORTGAGE, LLC</t>
        </is>
      </c>
      <c r="E40" t="inlineStr">
        <is>
          <t>221d4</t>
        </is>
      </c>
      <c r="F40" t="inlineStr">
        <is>
          <t>RP</t>
        </is>
      </c>
      <c r="G40" t="n">
        <v>2003</v>
      </c>
      <c r="H40" t="inlineStr">
        <is>
          <t>202602</t>
        </is>
      </c>
      <c r="I40" s="22" t="n">
        <v>500721.89</v>
      </c>
      <c r="J40" s="23" t="n">
        <v>2.45</v>
      </c>
      <c r="K40" s="24" t="n">
        <v>447</v>
      </c>
      <c r="L40" s="24" t="n">
        <v>6</v>
      </c>
      <c r="M40" t="n">
        <v>268</v>
      </c>
      <c r="N40" t="n">
        <v>13</v>
      </c>
      <c r="O40" t="n">
        <v>203311</v>
      </c>
      <c r="P40" t="inlineStr"/>
      <c r="Q40" t="inlineStr">
        <is>
          <t>4082</t>
        </is>
      </c>
      <c r="R40" t="n">
        <v>0</v>
      </c>
      <c r="S40" t="n">
        <v>1</v>
      </c>
      <c r="T40" t="n">
        <v>0</v>
      </c>
      <c r="U40" t="n">
        <v>0</v>
      </c>
      <c r="V40" s="24">
        <f>J40*100-K40</f>
        <v/>
      </c>
      <c r="W40" s="24">
        <f>L40</f>
        <v/>
      </c>
      <c r="X40" s="25">
        <f>MIN(M40,36)</f>
        <v/>
      </c>
      <c r="Y40" s="25">
        <f>MIN(MAX(M40-36,0),84)</f>
        <v/>
      </c>
      <c r="Z40" s="25">
        <f>MAX(M40-120,0)</f>
        <v/>
      </c>
      <c r="AA40" s="25">
        <f>IF(OR(O40="",NOT(ISNUMBER(O40))),360,MAX(0,MIN(480,(INT(O40/100)-INT(VALUE(H40)/100))*12+MOD(O40,100)-MOD(VALUE(H40),100))))</f>
        <v/>
      </c>
      <c r="AB40">
        <f>IF(AND(AA40&gt;0,AA40&lt;=24),1,0)</f>
        <v/>
      </c>
      <c r="AC40" s="25">
        <f>IF(OR(P40="",NOT(ISNUMBER(P40))),0,MAX(0,MIN(24,(INT(VALUE(H40)/100)-INT(P40/100))*12+MOD(VALUE(H40),100)-MOD(P40,100))))</f>
        <v/>
      </c>
      <c r="AD40" s="23">
        <f>LN(1+I40)</f>
        <v/>
      </c>
      <c r="AE40">
        <f>IF(I40&lt;2000000,1,0)</f>
        <v/>
      </c>
      <c r="AF40">
        <f>IF(I40&gt;50000000,1,0)</f>
        <v/>
      </c>
      <c r="AG40" s="23">
        <f>IF(ISNUMBER(M40),N40/MAX(M40,1),0)</f>
        <v/>
      </c>
      <c r="AH40">
        <f>IF(G40&gt;=2021,1,0)</f>
        <v/>
      </c>
      <c r="AI40">
        <f>S40</f>
        <v/>
      </c>
      <c r="AJ40">
        <f>T40</f>
        <v/>
      </c>
      <c r="AK40">
        <f>R40</f>
        <v/>
      </c>
      <c r="AL40">
        <f>U40</f>
        <v/>
      </c>
      <c r="AM40">
        <f>IF(ISNUMBER(SEARCH("CAPITAL FUNDING",D40)),1,0)</f>
        <v/>
      </c>
      <c r="AN40">
        <f>IF(ISNUMBER(SEARCH("PNC",D40)),1,0)</f>
        <v/>
      </c>
      <c r="AO40">
        <f>IF(ISNUMBER(SEARCH("WELLS FARGO",D40)),1,0)</f>
        <v/>
      </c>
      <c r="AP40">
        <f>IF(ISNUMBER(SEARCH("DWIGHT",D40)),1,0)</f>
        <v/>
      </c>
      <c r="AQ40">
        <f>IF(ISNUMBER(SEARCH("GREYSTONE",D40)),1,0)</f>
        <v/>
      </c>
      <c r="AR40">
        <f>IF(OR(Q40="3896",Q40="3557"),1,0)</f>
        <v/>
      </c>
      <c r="AS40" s="24">
        <f>V40*W40</f>
        <v/>
      </c>
      <c r="AT40" s="26">
        <f>V$4*(V40-V$3)</f>
        <v/>
      </c>
      <c r="AU40" s="26">
        <f>W$4*(W40-W$3)</f>
        <v/>
      </c>
      <c r="AV40" s="26">
        <f>X$4*(X40-X$3)</f>
        <v/>
      </c>
      <c r="AW40" s="26">
        <f>Y$4*(Y40-Y$3)</f>
        <v/>
      </c>
      <c r="AX40" s="26">
        <f>Z$4*(Z40-Z$3)</f>
        <v/>
      </c>
      <c r="AY40" s="26">
        <f>AA$4*(AA40-AA$3)</f>
        <v/>
      </c>
      <c r="AZ40" s="26">
        <f>AB$4*(AB40-AB$3)</f>
        <v/>
      </c>
      <c r="BA40" s="26">
        <f>AC$4*(AC40-AC$3)</f>
        <v/>
      </c>
      <c r="BB40" s="26">
        <f>AD$4*(AD40-AD$3)</f>
        <v/>
      </c>
      <c r="BC40" s="26">
        <f>AE$4*(AE40-AE$3)</f>
        <v/>
      </c>
      <c r="BD40" s="26">
        <f>AF$4*(AF40-AF$3)</f>
        <v/>
      </c>
      <c r="BE40" s="26">
        <f>AG$4*(AG40-AG$3)</f>
        <v/>
      </c>
      <c r="BF40" s="26">
        <f>AH$4*(AH40-AH$3)</f>
        <v/>
      </c>
      <c r="BG40" s="26">
        <f>AI$4*(AI40-AI$3)</f>
        <v/>
      </c>
      <c r="BH40" s="26">
        <f>AJ$4*(AJ40-AJ$3)</f>
        <v/>
      </c>
      <c r="BI40" s="26">
        <f>AK$4*(AK40-AK$3)</f>
        <v/>
      </c>
      <c r="BJ40" s="26">
        <f>AL$4*(AL40-AL$3)</f>
        <v/>
      </c>
      <c r="BK40" s="26">
        <f>AM$4*(AM40-AM$3)</f>
        <v/>
      </c>
      <c r="BL40" s="26">
        <f>AN$4*(AN40-AN$3)</f>
        <v/>
      </c>
      <c r="BM40" s="26">
        <f>AO$4*(AO40-AO$3)</f>
        <v/>
      </c>
      <c r="BN40" s="26">
        <f>AP$4*(AP40-AP$3)</f>
        <v/>
      </c>
      <c r="BO40" s="26">
        <f>AQ$4*(AQ40-AQ$3)</f>
        <v/>
      </c>
      <c r="BP40" s="26">
        <f>AR$4*(AR40-AR$3)</f>
        <v/>
      </c>
      <c r="BQ40" s="26">
        <f>AS$4*(AS40-AS$3)</f>
        <v/>
      </c>
      <c r="BR40" s="27">
        <f>SUM(AT40:BQ40)</f>
        <v/>
      </c>
      <c r="BS40" s="27">
        <f>INTERCEPT_SCALED+BR40</f>
        <v/>
      </c>
      <c r="BT40" s="28">
        <f>1/(1+EXP(-BS40))</f>
        <v/>
      </c>
      <c r="BU40" s="13">
        <f>1-(1-BT40)^12</f>
        <v/>
      </c>
      <c r="BV40" s="13">
        <f>IFERROR(AT40/BR40*(BU40-BASELINE_CPR),0)</f>
        <v/>
      </c>
      <c r="BW40" s="13">
        <f>IFERROR(AU40/BR40*(BU40-BASELINE_CPR),0)</f>
        <v/>
      </c>
      <c r="BX40" s="13">
        <f>IFERROR(AV40/BR40*(BU40-BASELINE_CPR),0)</f>
        <v/>
      </c>
      <c r="BY40" s="13">
        <f>IFERROR(AW40/BR40*(BU40-BASELINE_CPR),0)</f>
        <v/>
      </c>
      <c r="BZ40" s="13">
        <f>IFERROR(AX40/BR40*(BU40-BASELINE_CPR),0)</f>
        <v/>
      </c>
      <c r="CA40" s="13">
        <f>IFERROR(AY40/BR40*(BU40-BASELINE_CPR),0)</f>
        <v/>
      </c>
      <c r="CB40" s="13">
        <f>IFERROR(AZ40/BR40*(BU40-BASELINE_CPR),0)</f>
        <v/>
      </c>
      <c r="CC40" s="13">
        <f>IFERROR(BA40/BR40*(BU40-BASELINE_CPR),0)</f>
        <v/>
      </c>
      <c r="CD40" s="13">
        <f>IFERROR(BB40/BR40*(BU40-BASELINE_CPR),0)</f>
        <v/>
      </c>
      <c r="CE40" s="13">
        <f>IFERROR(BC40/BR40*(BU40-BASELINE_CPR),0)</f>
        <v/>
      </c>
      <c r="CF40" s="13">
        <f>IFERROR(BD40/BR40*(BU40-BASELINE_CPR),0)</f>
        <v/>
      </c>
      <c r="CG40" s="13">
        <f>IFERROR(BE40/BR40*(BU40-BASELINE_CPR),0)</f>
        <v/>
      </c>
      <c r="CH40" s="13">
        <f>IFERROR(BF40/BR40*(BU40-BASELINE_CPR),0)</f>
        <v/>
      </c>
      <c r="CI40" s="13">
        <f>IFERROR(BG40/BR40*(BU40-BASELINE_CPR),0)</f>
        <v/>
      </c>
      <c r="CJ40" s="13">
        <f>IFERROR(BH40/BR40*(BU40-BASELINE_CPR),0)</f>
        <v/>
      </c>
      <c r="CK40" s="13">
        <f>IFERROR(BI40/BR40*(BU40-BASELINE_CPR),0)</f>
        <v/>
      </c>
      <c r="CL40" s="13">
        <f>IFERROR(BJ40/BR40*(BU40-BASELINE_CPR),0)</f>
        <v/>
      </c>
      <c r="CM40" s="13">
        <f>IFERROR(BK40/BR40*(BU40-BASELINE_CPR),0)</f>
        <v/>
      </c>
      <c r="CN40" s="13">
        <f>IFERROR(BL40/BR40*(BU40-BASELINE_CPR),0)</f>
        <v/>
      </c>
      <c r="CO40" s="13">
        <f>IFERROR(BM40/BR40*(BU40-BASELINE_CPR),0)</f>
        <v/>
      </c>
      <c r="CP40" s="13">
        <f>IFERROR(BN40/BR40*(BU40-BASELINE_CPR),0)</f>
        <v/>
      </c>
      <c r="CQ40" s="13">
        <f>IFERROR(BO40/BR40*(BU40-BASELINE_CPR),0)</f>
        <v/>
      </c>
      <c r="CR40" s="13">
        <f>IFERROR(BP40/BR40*(BU40-BASELINE_CPR),0)</f>
        <v/>
      </c>
      <c r="CS40" s="13">
        <f>IFERROR(BQ40/BR40*(BU40-BASELINE_CPR),0)</f>
        <v/>
      </c>
      <c r="CT40" s="29">
        <f>BASELINE_CPR+SUM(BV40:CS40)-BU40</f>
        <v/>
      </c>
    </row>
    <row r="41">
      <c r="A41" s="2" t="inlineStr">
        <is>
          <t>36189MGT9_000000007111384</t>
        </is>
      </c>
      <c r="B41" t="inlineStr">
        <is>
          <t>BERKADIA_PRE21</t>
        </is>
      </c>
      <c r="C41" s="2" t="inlineStr">
        <is>
          <t>36189MGT9</t>
        </is>
      </c>
      <c r="D41" t="inlineStr">
        <is>
          <t>BERKADIA COMMERCIAL MORTGAGE, LLC</t>
        </is>
      </c>
      <c r="E41" t="inlineStr">
        <is>
          <t>223f</t>
        </is>
      </c>
      <c r="F41" t="inlineStr">
        <is>
          <t>RP</t>
        </is>
      </c>
      <c r="G41" t="n">
        <v>2015</v>
      </c>
      <c r="H41" t="inlineStr">
        <is>
          <t>202602</t>
        </is>
      </c>
      <c r="I41" s="22" t="n">
        <v>3434607.45</v>
      </c>
      <c r="J41" s="23" t="n">
        <v>3.25</v>
      </c>
      <c r="K41" s="24" t="n">
        <v>447</v>
      </c>
      <c r="L41" s="24" t="n">
        <v>0</v>
      </c>
      <c r="M41" t="n">
        <v>125</v>
      </c>
      <c r="N41" t="n">
        <v>25</v>
      </c>
      <c r="O41" t="n">
        <v>205101</v>
      </c>
      <c r="P41" t="inlineStr"/>
      <c r="Q41" t="inlineStr">
        <is>
          <t>4082</t>
        </is>
      </c>
      <c r="R41" t="n">
        <v>0</v>
      </c>
      <c r="S41" t="n">
        <v>0</v>
      </c>
      <c r="T41" t="n">
        <v>0</v>
      </c>
      <c r="U41" t="n">
        <v>0</v>
      </c>
      <c r="V41" s="24">
        <f>J41*100-K41</f>
        <v/>
      </c>
      <c r="W41" s="24">
        <f>L41</f>
        <v/>
      </c>
      <c r="X41" s="25">
        <f>MIN(M41,36)</f>
        <v/>
      </c>
      <c r="Y41" s="25">
        <f>MIN(MAX(M41-36,0),84)</f>
        <v/>
      </c>
      <c r="Z41" s="25">
        <f>MAX(M41-120,0)</f>
        <v/>
      </c>
      <c r="AA41" s="25">
        <f>IF(OR(O41="",NOT(ISNUMBER(O41))),360,MAX(0,MIN(480,(INT(O41/100)-INT(VALUE(H41)/100))*12+MOD(O41,100)-MOD(VALUE(H41),100))))</f>
        <v/>
      </c>
      <c r="AB41">
        <f>IF(AND(AA41&gt;0,AA41&lt;=24),1,0)</f>
        <v/>
      </c>
      <c r="AC41" s="25">
        <f>IF(OR(P41="",NOT(ISNUMBER(P41))),0,MAX(0,MIN(24,(INT(VALUE(H41)/100)-INT(P41/100))*12+MOD(VALUE(H41),100)-MOD(P41,100))))</f>
        <v/>
      </c>
      <c r="AD41" s="23">
        <f>LN(1+I41)</f>
        <v/>
      </c>
      <c r="AE41">
        <f>IF(I41&lt;2000000,1,0)</f>
        <v/>
      </c>
      <c r="AF41">
        <f>IF(I41&gt;50000000,1,0)</f>
        <v/>
      </c>
      <c r="AG41" s="23">
        <f>IF(ISNUMBER(M41),N41/MAX(M41,1),0)</f>
        <v/>
      </c>
      <c r="AH41">
        <f>IF(G41&gt;=2021,1,0)</f>
        <v/>
      </c>
      <c r="AI41">
        <f>S41</f>
        <v/>
      </c>
      <c r="AJ41">
        <f>T41</f>
        <v/>
      </c>
      <c r="AK41">
        <f>R41</f>
        <v/>
      </c>
      <c r="AL41">
        <f>U41</f>
        <v/>
      </c>
      <c r="AM41">
        <f>IF(ISNUMBER(SEARCH("CAPITAL FUNDING",D41)),1,0)</f>
        <v/>
      </c>
      <c r="AN41">
        <f>IF(ISNUMBER(SEARCH("PNC",D41)),1,0)</f>
        <v/>
      </c>
      <c r="AO41">
        <f>IF(ISNUMBER(SEARCH("WELLS FARGO",D41)),1,0)</f>
        <v/>
      </c>
      <c r="AP41">
        <f>IF(ISNUMBER(SEARCH("DWIGHT",D41)),1,0)</f>
        <v/>
      </c>
      <c r="AQ41">
        <f>IF(ISNUMBER(SEARCH("GREYSTONE",D41)),1,0)</f>
        <v/>
      </c>
      <c r="AR41">
        <f>IF(OR(Q41="3896",Q41="3557"),1,0)</f>
        <v/>
      </c>
      <c r="AS41" s="24">
        <f>V41*W41</f>
        <v/>
      </c>
      <c r="AT41" s="26">
        <f>V$4*(V41-V$3)</f>
        <v/>
      </c>
      <c r="AU41" s="26">
        <f>W$4*(W41-W$3)</f>
        <v/>
      </c>
      <c r="AV41" s="26">
        <f>X$4*(X41-X$3)</f>
        <v/>
      </c>
      <c r="AW41" s="26">
        <f>Y$4*(Y41-Y$3)</f>
        <v/>
      </c>
      <c r="AX41" s="26">
        <f>Z$4*(Z41-Z$3)</f>
        <v/>
      </c>
      <c r="AY41" s="26">
        <f>AA$4*(AA41-AA$3)</f>
        <v/>
      </c>
      <c r="AZ41" s="26">
        <f>AB$4*(AB41-AB$3)</f>
        <v/>
      </c>
      <c r="BA41" s="26">
        <f>AC$4*(AC41-AC$3)</f>
        <v/>
      </c>
      <c r="BB41" s="26">
        <f>AD$4*(AD41-AD$3)</f>
        <v/>
      </c>
      <c r="BC41" s="26">
        <f>AE$4*(AE41-AE$3)</f>
        <v/>
      </c>
      <c r="BD41" s="26">
        <f>AF$4*(AF41-AF$3)</f>
        <v/>
      </c>
      <c r="BE41" s="26">
        <f>AG$4*(AG41-AG$3)</f>
        <v/>
      </c>
      <c r="BF41" s="26">
        <f>AH$4*(AH41-AH$3)</f>
        <v/>
      </c>
      <c r="BG41" s="26">
        <f>AI$4*(AI41-AI$3)</f>
        <v/>
      </c>
      <c r="BH41" s="26">
        <f>AJ$4*(AJ41-AJ$3)</f>
        <v/>
      </c>
      <c r="BI41" s="26">
        <f>AK$4*(AK41-AK$3)</f>
        <v/>
      </c>
      <c r="BJ41" s="26">
        <f>AL$4*(AL41-AL$3)</f>
        <v/>
      </c>
      <c r="BK41" s="26">
        <f>AM$4*(AM41-AM$3)</f>
        <v/>
      </c>
      <c r="BL41" s="26">
        <f>AN$4*(AN41-AN$3)</f>
        <v/>
      </c>
      <c r="BM41" s="26">
        <f>AO$4*(AO41-AO$3)</f>
        <v/>
      </c>
      <c r="BN41" s="26">
        <f>AP$4*(AP41-AP$3)</f>
        <v/>
      </c>
      <c r="BO41" s="26">
        <f>AQ$4*(AQ41-AQ$3)</f>
        <v/>
      </c>
      <c r="BP41" s="26">
        <f>AR$4*(AR41-AR$3)</f>
        <v/>
      </c>
      <c r="BQ41" s="26">
        <f>AS$4*(AS41-AS$3)</f>
        <v/>
      </c>
      <c r="BR41" s="27">
        <f>SUM(AT41:BQ41)</f>
        <v/>
      </c>
      <c r="BS41" s="27">
        <f>INTERCEPT_SCALED+BR41</f>
        <v/>
      </c>
      <c r="BT41" s="28">
        <f>1/(1+EXP(-BS41))</f>
        <v/>
      </c>
      <c r="BU41" s="13">
        <f>1-(1-BT41)^12</f>
        <v/>
      </c>
      <c r="BV41" s="13">
        <f>IFERROR(AT41/BR41*(BU41-BASELINE_CPR),0)</f>
        <v/>
      </c>
      <c r="BW41" s="13">
        <f>IFERROR(AU41/BR41*(BU41-BASELINE_CPR),0)</f>
        <v/>
      </c>
      <c r="BX41" s="13">
        <f>IFERROR(AV41/BR41*(BU41-BASELINE_CPR),0)</f>
        <v/>
      </c>
      <c r="BY41" s="13">
        <f>IFERROR(AW41/BR41*(BU41-BASELINE_CPR),0)</f>
        <v/>
      </c>
      <c r="BZ41" s="13">
        <f>IFERROR(AX41/BR41*(BU41-BASELINE_CPR),0)</f>
        <v/>
      </c>
      <c r="CA41" s="13">
        <f>IFERROR(AY41/BR41*(BU41-BASELINE_CPR),0)</f>
        <v/>
      </c>
      <c r="CB41" s="13">
        <f>IFERROR(AZ41/BR41*(BU41-BASELINE_CPR),0)</f>
        <v/>
      </c>
      <c r="CC41" s="13">
        <f>IFERROR(BA41/BR41*(BU41-BASELINE_CPR),0)</f>
        <v/>
      </c>
      <c r="CD41" s="13">
        <f>IFERROR(BB41/BR41*(BU41-BASELINE_CPR),0)</f>
        <v/>
      </c>
      <c r="CE41" s="13">
        <f>IFERROR(BC41/BR41*(BU41-BASELINE_CPR),0)</f>
        <v/>
      </c>
      <c r="CF41" s="13">
        <f>IFERROR(BD41/BR41*(BU41-BASELINE_CPR),0)</f>
        <v/>
      </c>
      <c r="CG41" s="13">
        <f>IFERROR(BE41/BR41*(BU41-BASELINE_CPR),0)</f>
        <v/>
      </c>
      <c r="CH41" s="13">
        <f>IFERROR(BF41/BR41*(BU41-BASELINE_CPR),0)</f>
        <v/>
      </c>
      <c r="CI41" s="13">
        <f>IFERROR(BG41/BR41*(BU41-BASELINE_CPR),0)</f>
        <v/>
      </c>
      <c r="CJ41" s="13">
        <f>IFERROR(BH41/BR41*(BU41-BASELINE_CPR),0)</f>
        <v/>
      </c>
      <c r="CK41" s="13">
        <f>IFERROR(BI41/BR41*(BU41-BASELINE_CPR),0)</f>
        <v/>
      </c>
      <c r="CL41" s="13">
        <f>IFERROR(BJ41/BR41*(BU41-BASELINE_CPR),0)</f>
        <v/>
      </c>
      <c r="CM41" s="13">
        <f>IFERROR(BK41/BR41*(BU41-BASELINE_CPR),0)</f>
        <v/>
      </c>
      <c r="CN41" s="13">
        <f>IFERROR(BL41/BR41*(BU41-BASELINE_CPR),0)</f>
        <v/>
      </c>
      <c r="CO41" s="13">
        <f>IFERROR(BM41/BR41*(BU41-BASELINE_CPR),0)</f>
        <v/>
      </c>
      <c r="CP41" s="13">
        <f>IFERROR(BN41/BR41*(BU41-BASELINE_CPR),0)</f>
        <v/>
      </c>
      <c r="CQ41" s="13">
        <f>IFERROR(BO41/BR41*(BU41-BASELINE_CPR),0)</f>
        <v/>
      </c>
      <c r="CR41" s="13">
        <f>IFERROR(BP41/BR41*(BU41-BASELINE_CPR),0)</f>
        <v/>
      </c>
      <c r="CS41" s="13">
        <f>IFERROR(BQ41/BR41*(BU41-BASELINE_CPR),0)</f>
        <v/>
      </c>
      <c r="CT41" s="29">
        <f>BASELINE_CPR+SUM(BV41:CS41)-BU41</f>
        <v/>
      </c>
    </row>
    <row r="42">
      <c r="A42" s="2" t="inlineStr">
        <is>
          <t>36177YET9_000000006311078</t>
        </is>
      </c>
      <c r="B42" t="inlineStr">
        <is>
          <t>BERKADIA_PRE21</t>
        </is>
      </c>
      <c r="C42" s="2" t="inlineStr">
        <is>
          <t>36177YET9</t>
        </is>
      </c>
      <c r="D42" t="inlineStr">
        <is>
          <t>BERKADIA COMMERCIAL MORTGAGE, LLC</t>
        </is>
      </c>
      <c r="E42" t="inlineStr">
        <is>
          <t>223f</t>
        </is>
      </c>
      <c r="F42" t="inlineStr">
        <is>
          <t>RP</t>
        </is>
      </c>
      <c r="G42" t="n">
        <v>2012</v>
      </c>
      <c r="H42" t="inlineStr">
        <is>
          <t>202602</t>
        </is>
      </c>
      <c r="I42" s="22" t="n">
        <v>8184805.03</v>
      </c>
      <c r="J42" s="23" t="n">
        <v>3.2</v>
      </c>
      <c r="K42" s="24" t="n">
        <v>447</v>
      </c>
      <c r="L42" s="24" t="n">
        <v>0</v>
      </c>
      <c r="M42" t="n">
        <v>167</v>
      </c>
      <c r="N42" t="n">
        <v>30</v>
      </c>
      <c r="O42" t="n">
        <v>204708</v>
      </c>
      <c r="P42" t="n">
        <v>201409</v>
      </c>
      <c r="Q42" t="inlineStr">
        <is>
          <t>4082</t>
        </is>
      </c>
      <c r="R42" t="n">
        <v>0</v>
      </c>
      <c r="S42" t="n">
        <v>0</v>
      </c>
      <c r="T42" t="n">
        <v>0</v>
      </c>
      <c r="U42" t="n">
        <v>0</v>
      </c>
      <c r="V42" s="24">
        <f>J42*100-K42</f>
        <v/>
      </c>
      <c r="W42" s="24">
        <f>L42</f>
        <v/>
      </c>
      <c r="X42" s="25">
        <f>MIN(M42,36)</f>
        <v/>
      </c>
      <c r="Y42" s="25">
        <f>MIN(MAX(M42-36,0),84)</f>
        <v/>
      </c>
      <c r="Z42" s="25">
        <f>MAX(M42-120,0)</f>
        <v/>
      </c>
      <c r="AA42" s="25">
        <f>IF(OR(O42="",NOT(ISNUMBER(O42))),360,MAX(0,MIN(480,(INT(O42/100)-INT(VALUE(H42)/100))*12+MOD(O42,100)-MOD(VALUE(H42),100))))</f>
        <v/>
      </c>
      <c r="AB42">
        <f>IF(AND(AA42&gt;0,AA42&lt;=24),1,0)</f>
        <v/>
      </c>
      <c r="AC42" s="25">
        <f>IF(OR(P42="",NOT(ISNUMBER(P42))),0,MAX(0,MIN(24,(INT(VALUE(H42)/100)-INT(P42/100))*12+MOD(VALUE(H42),100)-MOD(P42,100))))</f>
        <v/>
      </c>
      <c r="AD42" s="23">
        <f>LN(1+I42)</f>
        <v/>
      </c>
      <c r="AE42">
        <f>IF(I42&lt;2000000,1,0)</f>
        <v/>
      </c>
      <c r="AF42">
        <f>IF(I42&gt;50000000,1,0)</f>
        <v/>
      </c>
      <c r="AG42" s="23">
        <f>IF(ISNUMBER(M42),N42/MAX(M42,1),0)</f>
        <v/>
      </c>
      <c r="AH42">
        <f>IF(G42&gt;=2021,1,0)</f>
        <v/>
      </c>
      <c r="AI42">
        <f>S42</f>
        <v/>
      </c>
      <c r="AJ42">
        <f>T42</f>
        <v/>
      </c>
      <c r="AK42">
        <f>R42</f>
        <v/>
      </c>
      <c r="AL42">
        <f>U42</f>
        <v/>
      </c>
      <c r="AM42">
        <f>IF(ISNUMBER(SEARCH("CAPITAL FUNDING",D42)),1,0)</f>
        <v/>
      </c>
      <c r="AN42">
        <f>IF(ISNUMBER(SEARCH("PNC",D42)),1,0)</f>
        <v/>
      </c>
      <c r="AO42">
        <f>IF(ISNUMBER(SEARCH("WELLS FARGO",D42)),1,0)</f>
        <v/>
      </c>
      <c r="AP42">
        <f>IF(ISNUMBER(SEARCH("DWIGHT",D42)),1,0)</f>
        <v/>
      </c>
      <c r="AQ42">
        <f>IF(ISNUMBER(SEARCH("GREYSTONE",D42)),1,0)</f>
        <v/>
      </c>
      <c r="AR42">
        <f>IF(OR(Q42="3896",Q42="3557"),1,0)</f>
        <v/>
      </c>
      <c r="AS42" s="24">
        <f>V42*W42</f>
        <v/>
      </c>
      <c r="AT42" s="26">
        <f>V$4*(V42-V$3)</f>
        <v/>
      </c>
      <c r="AU42" s="26">
        <f>W$4*(W42-W$3)</f>
        <v/>
      </c>
      <c r="AV42" s="26">
        <f>X$4*(X42-X$3)</f>
        <v/>
      </c>
      <c r="AW42" s="26">
        <f>Y$4*(Y42-Y$3)</f>
        <v/>
      </c>
      <c r="AX42" s="26">
        <f>Z$4*(Z42-Z$3)</f>
        <v/>
      </c>
      <c r="AY42" s="26">
        <f>AA$4*(AA42-AA$3)</f>
        <v/>
      </c>
      <c r="AZ42" s="26">
        <f>AB$4*(AB42-AB$3)</f>
        <v/>
      </c>
      <c r="BA42" s="26">
        <f>AC$4*(AC42-AC$3)</f>
        <v/>
      </c>
      <c r="BB42" s="26">
        <f>AD$4*(AD42-AD$3)</f>
        <v/>
      </c>
      <c r="BC42" s="26">
        <f>AE$4*(AE42-AE$3)</f>
        <v/>
      </c>
      <c r="BD42" s="26">
        <f>AF$4*(AF42-AF$3)</f>
        <v/>
      </c>
      <c r="BE42" s="26">
        <f>AG$4*(AG42-AG$3)</f>
        <v/>
      </c>
      <c r="BF42" s="26">
        <f>AH$4*(AH42-AH$3)</f>
        <v/>
      </c>
      <c r="BG42" s="26">
        <f>AI$4*(AI42-AI$3)</f>
        <v/>
      </c>
      <c r="BH42" s="26">
        <f>AJ$4*(AJ42-AJ$3)</f>
        <v/>
      </c>
      <c r="BI42" s="26">
        <f>AK$4*(AK42-AK$3)</f>
        <v/>
      </c>
      <c r="BJ42" s="26">
        <f>AL$4*(AL42-AL$3)</f>
        <v/>
      </c>
      <c r="BK42" s="26">
        <f>AM$4*(AM42-AM$3)</f>
        <v/>
      </c>
      <c r="BL42" s="26">
        <f>AN$4*(AN42-AN$3)</f>
        <v/>
      </c>
      <c r="BM42" s="26">
        <f>AO$4*(AO42-AO$3)</f>
        <v/>
      </c>
      <c r="BN42" s="26">
        <f>AP$4*(AP42-AP$3)</f>
        <v/>
      </c>
      <c r="BO42" s="26">
        <f>AQ$4*(AQ42-AQ$3)</f>
        <v/>
      </c>
      <c r="BP42" s="26">
        <f>AR$4*(AR42-AR$3)</f>
        <v/>
      </c>
      <c r="BQ42" s="26">
        <f>AS$4*(AS42-AS$3)</f>
        <v/>
      </c>
      <c r="BR42" s="27">
        <f>SUM(AT42:BQ42)</f>
        <v/>
      </c>
      <c r="BS42" s="27">
        <f>INTERCEPT_SCALED+BR42</f>
        <v/>
      </c>
      <c r="BT42" s="28">
        <f>1/(1+EXP(-BS42))</f>
        <v/>
      </c>
      <c r="BU42" s="13">
        <f>1-(1-BT42)^12</f>
        <v/>
      </c>
      <c r="BV42" s="13">
        <f>IFERROR(AT42/BR42*(BU42-BASELINE_CPR),0)</f>
        <v/>
      </c>
      <c r="BW42" s="13">
        <f>IFERROR(AU42/BR42*(BU42-BASELINE_CPR),0)</f>
        <v/>
      </c>
      <c r="BX42" s="13">
        <f>IFERROR(AV42/BR42*(BU42-BASELINE_CPR),0)</f>
        <v/>
      </c>
      <c r="BY42" s="13">
        <f>IFERROR(AW42/BR42*(BU42-BASELINE_CPR),0)</f>
        <v/>
      </c>
      <c r="BZ42" s="13">
        <f>IFERROR(AX42/BR42*(BU42-BASELINE_CPR),0)</f>
        <v/>
      </c>
      <c r="CA42" s="13">
        <f>IFERROR(AY42/BR42*(BU42-BASELINE_CPR),0)</f>
        <v/>
      </c>
      <c r="CB42" s="13">
        <f>IFERROR(AZ42/BR42*(BU42-BASELINE_CPR),0)</f>
        <v/>
      </c>
      <c r="CC42" s="13">
        <f>IFERROR(BA42/BR42*(BU42-BASELINE_CPR),0)</f>
        <v/>
      </c>
      <c r="CD42" s="13">
        <f>IFERROR(BB42/BR42*(BU42-BASELINE_CPR),0)</f>
        <v/>
      </c>
      <c r="CE42" s="13">
        <f>IFERROR(BC42/BR42*(BU42-BASELINE_CPR),0)</f>
        <v/>
      </c>
      <c r="CF42" s="13">
        <f>IFERROR(BD42/BR42*(BU42-BASELINE_CPR),0)</f>
        <v/>
      </c>
      <c r="CG42" s="13">
        <f>IFERROR(BE42/BR42*(BU42-BASELINE_CPR),0)</f>
        <v/>
      </c>
      <c r="CH42" s="13">
        <f>IFERROR(BF42/BR42*(BU42-BASELINE_CPR),0)</f>
        <v/>
      </c>
      <c r="CI42" s="13">
        <f>IFERROR(BG42/BR42*(BU42-BASELINE_CPR),0)</f>
        <v/>
      </c>
      <c r="CJ42" s="13">
        <f>IFERROR(BH42/BR42*(BU42-BASELINE_CPR),0)</f>
        <v/>
      </c>
      <c r="CK42" s="13">
        <f>IFERROR(BI42/BR42*(BU42-BASELINE_CPR),0)</f>
        <v/>
      </c>
      <c r="CL42" s="13">
        <f>IFERROR(BJ42/BR42*(BU42-BASELINE_CPR),0)</f>
        <v/>
      </c>
      <c r="CM42" s="13">
        <f>IFERROR(BK42/BR42*(BU42-BASELINE_CPR),0)</f>
        <v/>
      </c>
      <c r="CN42" s="13">
        <f>IFERROR(BL42/BR42*(BU42-BASELINE_CPR),0)</f>
        <v/>
      </c>
      <c r="CO42" s="13">
        <f>IFERROR(BM42/BR42*(BU42-BASELINE_CPR),0)</f>
        <v/>
      </c>
      <c r="CP42" s="13">
        <f>IFERROR(BN42/BR42*(BU42-BASELINE_CPR),0)</f>
        <v/>
      </c>
      <c r="CQ42" s="13">
        <f>IFERROR(BO42/BR42*(BU42-BASELINE_CPR),0)</f>
        <v/>
      </c>
      <c r="CR42" s="13">
        <f>IFERROR(BP42/BR42*(BU42-BASELINE_CPR),0)</f>
        <v/>
      </c>
      <c r="CS42" s="13">
        <f>IFERROR(BQ42/BR42*(BU42-BASELINE_CPR),0)</f>
        <v/>
      </c>
      <c r="CT42" s="29">
        <f>BASELINE_CPR+SUM(BV42:CS42)-BU42</f>
        <v/>
      </c>
    </row>
    <row r="43">
      <c r="A43" s="2" t="inlineStr">
        <is>
          <t>3617F6YS1_000000005111525</t>
        </is>
      </c>
      <c r="B43" t="inlineStr">
        <is>
          <t>BERKADIA_POST21</t>
        </is>
      </c>
      <c r="C43" s="2" t="inlineStr">
        <is>
          <t>3617F6YS1</t>
        </is>
      </c>
      <c r="D43" t="inlineStr">
        <is>
          <t>BERKADIA COMMERCIAL MORTGAGE, LLC</t>
        </is>
      </c>
      <c r="E43" t="inlineStr">
        <is>
          <t>223f</t>
        </is>
      </c>
      <c r="F43" t="inlineStr">
        <is>
          <t>RP</t>
        </is>
      </c>
      <c r="G43" t="n">
        <v>2022</v>
      </c>
      <c r="H43" t="inlineStr">
        <is>
          <t>202602</t>
        </is>
      </c>
      <c r="I43" s="22" t="n">
        <v>19717396.4</v>
      </c>
      <c r="J43" s="23" t="n">
        <v>4.45</v>
      </c>
      <c r="K43" s="24" t="n">
        <v>447</v>
      </c>
      <c r="L43" s="24" t="n">
        <v>8</v>
      </c>
      <c r="M43" t="n">
        <v>43</v>
      </c>
      <c r="N43" t="n">
        <v>1</v>
      </c>
      <c r="O43" t="n">
        <v>205711</v>
      </c>
      <c r="P43" t="inlineStr"/>
      <c r="Q43" t="inlineStr">
        <is>
          <t>4082</t>
        </is>
      </c>
      <c r="R43" t="n">
        <v>0</v>
      </c>
      <c r="S43" t="n">
        <v>0</v>
      </c>
      <c r="T43" t="n">
        <v>0</v>
      </c>
      <c r="U43" t="n">
        <v>0</v>
      </c>
      <c r="V43" s="24">
        <f>J43*100-K43</f>
        <v/>
      </c>
      <c r="W43" s="24">
        <f>L43</f>
        <v/>
      </c>
      <c r="X43" s="25">
        <f>MIN(M43,36)</f>
        <v/>
      </c>
      <c r="Y43" s="25">
        <f>MIN(MAX(M43-36,0),84)</f>
        <v/>
      </c>
      <c r="Z43" s="25">
        <f>MAX(M43-120,0)</f>
        <v/>
      </c>
      <c r="AA43" s="25">
        <f>IF(OR(O43="",NOT(ISNUMBER(O43))),360,MAX(0,MIN(480,(INT(O43/100)-INT(VALUE(H43)/100))*12+MOD(O43,100)-MOD(VALUE(H43),100))))</f>
        <v/>
      </c>
      <c r="AB43">
        <f>IF(AND(AA43&gt;0,AA43&lt;=24),1,0)</f>
        <v/>
      </c>
      <c r="AC43" s="25">
        <f>IF(OR(P43="",NOT(ISNUMBER(P43))),0,MAX(0,MIN(24,(INT(VALUE(H43)/100)-INT(P43/100))*12+MOD(VALUE(H43),100)-MOD(P43,100))))</f>
        <v/>
      </c>
      <c r="AD43" s="23">
        <f>LN(1+I43)</f>
        <v/>
      </c>
      <c r="AE43">
        <f>IF(I43&lt;2000000,1,0)</f>
        <v/>
      </c>
      <c r="AF43">
        <f>IF(I43&gt;50000000,1,0)</f>
        <v/>
      </c>
      <c r="AG43" s="23">
        <f>IF(ISNUMBER(M43),N43/MAX(M43,1),0)</f>
        <v/>
      </c>
      <c r="AH43">
        <f>IF(G43&gt;=2021,1,0)</f>
        <v/>
      </c>
      <c r="AI43">
        <f>S43</f>
        <v/>
      </c>
      <c r="AJ43">
        <f>T43</f>
        <v/>
      </c>
      <c r="AK43">
        <f>R43</f>
        <v/>
      </c>
      <c r="AL43">
        <f>U43</f>
        <v/>
      </c>
      <c r="AM43">
        <f>IF(ISNUMBER(SEARCH("CAPITAL FUNDING",D43)),1,0)</f>
        <v/>
      </c>
      <c r="AN43">
        <f>IF(ISNUMBER(SEARCH("PNC",D43)),1,0)</f>
        <v/>
      </c>
      <c r="AO43">
        <f>IF(ISNUMBER(SEARCH("WELLS FARGO",D43)),1,0)</f>
        <v/>
      </c>
      <c r="AP43">
        <f>IF(ISNUMBER(SEARCH("DWIGHT",D43)),1,0)</f>
        <v/>
      </c>
      <c r="AQ43">
        <f>IF(ISNUMBER(SEARCH("GREYSTONE",D43)),1,0)</f>
        <v/>
      </c>
      <c r="AR43">
        <f>IF(OR(Q43="3896",Q43="3557"),1,0)</f>
        <v/>
      </c>
      <c r="AS43" s="24">
        <f>V43*W43</f>
        <v/>
      </c>
      <c r="AT43" s="26">
        <f>V$4*(V43-V$3)</f>
        <v/>
      </c>
      <c r="AU43" s="26">
        <f>W$4*(W43-W$3)</f>
        <v/>
      </c>
      <c r="AV43" s="26">
        <f>X$4*(X43-X$3)</f>
        <v/>
      </c>
      <c r="AW43" s="26">
        <f>Y$4*(Y43-Y$3)</f>
        <v/>
      </c>
      <c r="AX43" s="26">
        <f>Z$4*(Z43-Z$3)</f>
        <v/>
      </c>
      <c r="AY43" s="26">
        <f>AA$4*(AA43-AA$3)</f>
        <v/>
      </c>
      <c r="AZ43" s="26">
        <f>AB$4*(AB43-AB$3)</f>
        <v/>
      </c>
      <c r="BA43" s="26">
        <f>AC$4*(AC43-AC$3)</f>
        <v/>
      </c>
      <c r="BB43" s="26">
        <f>AD$4*(AD43-AD$3)</f>
        <v/>
      </c>
      <c r="BC43" s="26">
        <f>AE$4*(AE43-AE$3)</f>
        <v/>
      </c>
      <c r="BD43" s="26">
        <f>AF$4*(AF43-AF$3)</f>
        <v/>
      </c>
      <c r="BE43" s="26">
        <f>AG$4*(AG43-AG$3)</f>
        <v/>
      </c>
      <c r="BF43" s="26">
        <f>AH$4*(AH43-AH$3)</f>
        <v/>
      </c>
      <c r="BG43" s="26">
        <f>AI$4*(AI43-AI$3)</f>
        <v/>
      </c>
      <c r="BH43" s="26">
        <f>AJ$4*(AJ43-AJ$3)</f>
        <v/>
      </c>
      <c r="BI43" s="26">
        <f>AK$4*(AK43-AK$3)</f>
        <v/>
      </c>
      <c r="BJ43" s="26">
        <f>AL$4*(AL43-AL$3)</f>
        <v/>
      </c>
      <c r="BK43" s="26">
        <f>AM$4*(AM43-AM$3)</f>
        <v/>
      </c>
      <c r="BL43" s="26">
        <f>AN$4*(AN43-AN$3)</f>
        <v/>
      </c>
      <c r="BM43" s="26">
        <f>AO$4*(AO43-AO$3)</f>
        <v/>
      </c>
      <c r="BN43" s="26">
        <f>AP$4*(AP43-AP$3)</f>
        <v/>
      </c>
      <c r="BO43" s="26">
        <f>AQ$4*(AQ43-AQ$3)</f>
        <v/>
      </c>
      <c r="BP43" s="26">
        <f>AR$4*(AR43-AR$3)</f>
        <v/>
      </c>
      <c r="BQ43" s="26">
        <f>AS$4*(AS43-AS$3)</f>
        <v/>
      </c>
      <c r="BR43" s="27">
        <f>SUM(AT43:BQ43)</f>
        <v/>
      </c>
      <c r="BS43" s="27">
        <f>INTERCEPT_SCALED+BR43</f>
        <v/>
      </c>
      <c r="BT43" s="28">
        <f>1/(1+EXP(-BS43))</f>
        <v/>
      </c>
      <c r="BU43" s="13">
        <f>1-(1-BT43)^12</f>
        <v/>
      </c>
      <c r="BV43" s="13">
        <f>IFERROR(AT43/BR43*(BU43-BASELINE_CPR),0)</f>
        <v/>
      </c>
      <c r="BW43" s="13">
        <f>IFERROR(AU43/BR43*(BU43-BASELINE_CPR),0)</f>
        <v/>
      </c>
      <c r="BX43" s="13">
        <f>IFERROR(AV43/BR43*(BU43-BASELINE_CPR),0)</f>
        <v/>
      </c>
      <c r="BY43" s="13">
        <f>IFERROR(AW43/BR43*(BU43-BASELINE_CPR),0)</f>
        <v/>
      </c>
      <c r="BZ43" s="13">
        <f>IFERROR(AX43/BR43*(BU43-BASELINE_CPR),0)</f>
        <v/>
      </c>
      <c r="CA43" s="13">
        <f>IFERROR(AY43/BR43*(BU43-BASELINE_CPR),0)</f>
        <v/>
      </c>
      <c r="CB43" s="13">
        <f>IFERROR(AZ43/BR43*(BU43-BASELINE_CPR),0)</f>
        <v/>
      </c>
      <c r="CC43" s="13">
        <f>IFERROR(BA43/BR43*(BU43-BASELINE_CPR),0)</f>
        <v/>
      </c>
      <c r="CD43" s="13">
        <f>IFERROR(BB43/BR43*(BU43-BASELINE_CPR),0)</f>
        <v/>
      </c>
      <c r="CE43" s="13">
        <f>IFERROR(BC43/BR43*(BU43-BASELINE_CPR),0)</f>
        <v/>
      </c>
      <c r="CF43" s="13">
        <f>IFERROR(BD43/BR43*(BU43-BASELINE_CPR),0)</f>
        <v/>
      </c>
      <c r="CG43" s="13">
        <f>IFERROR(BE43/BR43*(BU43-BASELINE_CPR),0)</f>
        <v/>
      </c>
      <c r="CH43" s="13">
        <f>IFERROR(BF43/BR43*(BU43-BASELINE_CPR),0)</f>
        <v/>
      </c>
      <c r="CI43" s="13">
        <f>IFERROR(BG43/BR43*(BU43-BASELINE_CPR),0)</f>
        <v/>
      </c>
      <c r="CJ43" s="13">
        <f>IFERROR(BH43/BR43*(BU43-BASELINE_CPR),0)</f>
        <v/>
      </c>
      <c r="CK43" s="13">
        <f>IFERROR(BI43/BR43*(BU43-BASELINE_CPR),0)</f>
        <v/>
      </c>
      <c r="CL43" s="13">
        <f>IFERROR(BJ43/BR43*(BU43-BASELINE_CPR),0)</f>
        <v/>
      </c>
      <c r="CM43" s="13">
        <f>IFERROR(BK43/BR43*(BU43-BASELINE_CPR),0)</f>
        <v/>
      </c>
      <c r="CN43" s="13">
        <f>IFERROR(BL43/BR43*(BU43-BASELINE_CPR),0)</f>
        <v/>
      </c>
      <c r="CO43" s="13">
        <f>IFERROR(BM43/BR43*(BU43-BASELINE_CPR),0)</f>
        <v/>
      </c>
      <c r="CP43" s="13">
        <f>IFERROR(BN43/BR43*(BU43-BASELINE_CPR),0)</f>
        <v/>
      </c>
      <c r="CQ43" s="13">
        <f>IFERROR(BO43/BR43*(BU43-BASELINE_CPR),0)</f>
        <v/>
      </c>
      <c r="CR43" s="13">
        <f>IFERROR(BP43/BR43*(BU43-BASELINE_CPR),0)</f>
        <v/>
      </c>
      <c r="CS43" s="13">
        <f>IFERROR(BQ43/BR43*(BU43-BASELINE_CPR),0)</f>
        <v/>
      </c>
      <c r="CT43" s="29">
        <f>BASELINE_CPR+SUM(BV43:CS43)-BU43</f>
        <v/>
      </c>
    </row>
    <row r="44">
      <c r="A44" s="2" t="inlineStr">
        <is>
          <t>3617VFMT4_000000004711152</t>
        </is>
      </c>
      <c r="B44" t="inlineStr">
        <is>
          <t>BERKADIA_PRE21</t>
        </is>
      </c>
      <c r="C44" s="2" t="inlineStr">
        <is>
          <t>3617VFMT4</t>
        </is>
      </c>
      <c r="D44" t="inlineStr">
        <is>
          <t>BERKADIA COMMERCIAL MORTGAGE, LLC</t>
        </is>
      </c>
      <c r="E44" t="inlineStr">
        <is>
          <t>223f</t>
        </is>
      </c>
      <c r="F44" t="inlineStr">
        <is>
          <t>RP</t>
        </is>
      </c>
      <c r="G44" t="n">
        <v>2013</v>
      </c>
      <c r="H44" t="inlineStr">
        <is>
          <t>202602</t>
        </is>
      </c>
      <c r="I44" s="22" t="n">
        <v>345445.31</v>
      </c>
      <c r="J44" s="23" t="n">
        <v>2.9</v>
      </c>
      <c r="K44" s="24" t="n">
        <v>447</v>
      </c>
      <c r="L44" s="24" t="n">
        <v>7</v>
      </c>
      <c r="M44" t="n">
        <v>149</v>
      </c>
      <c r="N44" t="n">
        <v>9</v>
      </c>
      <c r="O44" t="n">
        <v>203401</v>
      </c>
      <c r="P44" t="inlineStr"/>
      <c r="Q44" t="inlineStr">
        <is>
          <t>4082</t>
        </is>
      </c>
      <c r="R44" t="n">
        <v>0</v>
      </c>
      <c r="S44" t="n">
        <v>0</v>
      </c>
      <c r="T44" t="n">
        <v>0</v>
      </c>
      <c r="U44" t="n">
        <v>0</v>
      </c>
      <c r="V44" s="24">
        <f>J44*100-K44</f>
        <v/>
      </c>
      <c r="W44" s="24">
        <f>L44</f>
        <v/>
      </c>
      <c r="X44" s="25">
        <f>MIN(M44,36)</f>
        <v/>
      </c>
      <c r="Y44" s="25">
        <f>MIN(MAX(M44-36,0),84)</f>
        <v/>
      </c>
      <c r="Z44" s="25">
        <f>MAX(M44-120,0)</f>
        <v/>
      </c>
      <c r="AA44" s="25">
        <f>IF(OR(O44="",NOT(ISNUMBER(O44))),360,MAX(0,MIN(480,(INT(O44/100)-INT(VALUE(H44)/100))*12+MOD(O44,100)-MOD(VALUE(H44),100))))</f>
        <v/>
      </c>
      <c r="AB44">
        <f>IF(AND(AA44&gt;0,AA44&lt;=24),1,0)</f>
        <v/>
      </c>
      <c r="AC44" s="25">
        <f>IF(OR(P44="",NOT(ISNUMBER(P44))),0,MAX(0,MIN(24,(INT(VALUE(H44)/100)-INT(P44/100))*12+MOD(VALUE(H44),100)-MOD(P44,100))))</f>
        <v/>
      </c>
      <c r="AD44" s="23">
        <f>LN(1+I44)</f>
        <v/>
      </c>
      <c r="AE44">
        <f>IF(I44&lt;2000000,1,0)</f>
        <v/>
      </c>
      <c r="AF44">
        <f>IF(I44&gt;50000000,1,0)</f>
        <v/>
      </c>
      <c r="AG44" s="23">
        <f>IF(ISNUMBER(M44),N44/MAX(M44,1),0)</f>
        <v/>
      </c>
      <c r="AH44">
        <f>IF(G44&gt;=2021,1,0)</f>
        <v/>
      </c>
      <c r="AI44">
        <f>S44</f>
        <v/>
      </c>
      <c r="AJ44">
        <f>T44</f>
        <v/>
      </c>
      <c r="AK44">
        <f>R44</f>
        <v/>
      </c>
      <c r="AL44">
        <f>U44</f>
        <v/>
      </c>
      <c r="AM44">
        <f>IF(ISNUMBER(SEARCH("CAPITAL FUNDING",D44)),1,0)</f>
        <v/>
      </c>
      <c r="AN44">
        <f>IF(ISNUMBER(SEARCH("PNC",D44)),1,0)</f>
        <v/>
      </c>
      <c r="AO44">
        <f>IF(ISNUMBER(SEARCH("WELLS FARGO",D44)),1,0)</f>
        <v/>
      </c>
      <c r="AP44">
        <f>IF(ISNUMBER(SEARCH("DWIGHT",D44)),1,0)</f>
        <v/>
      </c>
      <c r="AQ44">
        <f>IF(ISNUMBER(SEARCH("GREYSTONE",D44)),1,0)</f>
        <v/>
      </c>
      <c r="AR44">
        <f>IF(OR(Q44="3896",Q44="3557"),1,0)</f>
        <v/>
      </c>
      <c r="AS44" s="24">
        <f>V44*W44</f>
        <v/>
      </c>
      <c r="AT44" s="26">
        <f>V$4*(V44-V$3)</f>
        <v/>
      </c>
      <c r="AU44" s="26">
        <f>W$4*(W44-W$3)</f>
        <v/>
      </c>
      <c r="AV44" s="26">
        <f>X$4*(X44-X$3)</f>
        <v/>
      </c>
      <c r="AW44" s="26">
        <f>Y$4*(Y44-Y$3)</f>
        <v/>
      </c>
      <c r="AX44" s="26">
        <f>Z$4*(Z44-Z$3)</f>
        <v/>
      </c>
      <c r="AY44" s="26">
        <f>AA$4*(AA44-AA$3)</f>
        <v/>
      </c>
      <c r="AZ44" s="26">
        <f>AB$4*(AB44-AB$3)</f>
        <v/>
      </c>
      <c r="BA44" s="26">
        <f>AC$4*(AC44-AC$3)</f>
        <v/>
      </c>
      <c r="BB44" s="26">
        <f>AD$4*(AD44-AD$3)</f>
        <v/>
      </c>
      <c r="BC44" s="26">
        <f>AE$4*(AE44-AE$3)</f>
        <v/>
      </c>
      <c r="BD44" s="26">
        <f>AF$4*(AF44-AF$3)</f>
        <v/>
      </c>
      <c r="BE44" s="26">
        <f>AG$4*(AG44-AG$3)</f>
        <v/>
      </c>
      <c r="BF44" s="26">
        <f>AH$4*(AH44-AH$3)</f>
        <v/>
      </c>
      <c r="BG44" s="26">
        <f>AI$4*(AI44-AI$3)</f>
        <v/>
      </c>
      <c r="BH44" s="26">
        <f>AJ$4*(AJ44-AJ$3)</f>
        <v/>
      </c>
      <c r="BI44" s="26">
        <f>AK$4*(AK44-AK$3)</f>
        <v/>
      </c>
      <c r="BJ44" s="26">
        <f>AL$4*(AL44-AL$3)</f>
        <v/>
      </c>
      <c r="BK44" s="26">
        <f>AM$4*(AM44-AM$3)</f>
        <v/>
      </c>
      <c r="BL44" s="26">
        <f>AN$4*(AN44-AN$3)</f>
        <v/>
      </c>
      <c r="BM44" s="26">
        <f>AO$4*(AO44-AO$3)</f>
        <v/>
      </c>
      <c r="BN44" s="26">
        <f>AP$4*(AP44-AP$3)</f>
        <v/>
      </c>
      <c r="BO44" s="26">
        <f>AQ$4*(AQ44-AQ$3)</f>
        <v/>
      </c>
      <c r="BP44" s="26">
        <f>AR$4*(AR44-AR$3)</f>
        <v/>
      </c>
      <c r="BQ44" s="26">
        <f>AS$4*(AS44-AS$3)</f>
        <v/>
      </c>
      <c r="BR44" s="27">
        <f>SUM(AT44:BQ44)</f>
        <v/>
      </c>
      <c r="BS44" s="27">
        <f>INTERCEPT_SCALED+BR44</f>
        <v/>
      </c>
      <c r="BT44" s="28">
        <f>1/(1+EXP(-BS44))</f>
        <v/>
      </c>
      <c r="BU44" s="13">
        <f>1-(1-BT44)^12</f>
        <v/>
      </c>
      <c r="BV44" s="13">
        <f>IFERROR(AT44/BR44*(BU44-BASELINE_CPR),0)</f>
        <v/>
      </c>
      <c r="BW44" s="13">
        <f>IFERROR(AU44/BR44*(BU44-BASELINE_CPR),0)</f>
        <v/>
      </c>
      <c r="BX44" s="13">
        <f>IFERROR(AV44/BR44*(BU44-BASELINE_CPR),0)</f>
        <v/>
      </c>
      <c r="BY44" s="13">
        <f>IFERROR(AW44/BR44*(BU44-BASELINE_CPR),0)</f>
        <v/>
      </c>
      <c r="BZ44" s="13">
        <f>IFERROR(AX44/BR44*(BU44-BASELINE_CPR),0)</f>
        <v/>
      </c>
      <c r="CA44" s="13">
        <f>IFERROR(AY44/BR44*(BU44-BASELINE_CPR),0)</f>
        <v/>
      </c>
      <c r="CB44" s="13">
        <f>IFERROR(AZ44/BR44*(BU44-BASELINE_CPR),0)</f>
        <v/>
      </c>
      <c r="CC44" s="13">
        <f>IFERROR(BA44/BR44*(BU44-BASELINE_CPR),0)</f>
        <v/>
      </c>
      <c r="CD44" s="13">
        <f>IFERROR(BB44/BR44*(BU44-BASELINE_CPR),0)</f>
        <v/>
      </c>
      <c r="CE44" s="13">
        <f>IFERROR(BC44/BR44*(BU44-BASELINE_CPR),0)</f>
        <v/>
      </c>
      <c r="CF44" s="13">
        <f>IFERROR(BD44/BR44*(BU44-BASELINE_CPR),0)</f>
        <v/>
      </c>
      <c r="CG44" s="13">
        <f>IFERROR(BE44/BR44*(BU44-BASELINE_CPR),0)</f>
        <v/>
      </c>
      <c r="CH44" s="13">
        <f>IFERROR(BF44/BR44*(BU44-BASELINE_CPR),0)</f>
        <v/>
      </c>
      <c r="CI44" s="13">
        <f>IFERROR(BG44/BR44*(BU44-BASELINE_CPR),0)</f>
        <v/>
      </c>
      <c r="CJ44" s="13">
        <f>IFERROR(BH44/BR44*(BU44-BASELINE_CPR),0)</f>
        <v/>
      </c>
      <c r="CK44" s="13">
        <f>IFERROR(BI44/BR44*(BU44-BASELINE_CPR),0)</f>
        <v/>
      </c>
      <c r="CL44" s="13">
        <f>IFERROR(BJ44/BR44*(BU44-BASELINE_CPR),0)</f>
        <v/>
      </c>
      <c r="CM44" s="13">
        <f>IFERROR(BK44/BR44*(BU44-BASELINE_CPR),0)</f>
        <v/>
      </c>
      <c r="CN44" s="13">
        <f>IFERROR(BL44/BR44*(BU44-BASELINE_CPR),0)</f>
        <v/>
      </c>
      <c r="CO44" s="13">
        <f>IFERROR(BM44/BR44*(BU44-BASELINE_CPR),0)</f>
        <v/>
      </c>
      <c r="CP44" s="13">
        <f>IFERROR(BN44/BR44*(BU44-BASELINE_CPR),0)</f>
        <v/>
      </c>
      <c r="CQ44" s="13">
        <f>IFERROR(BO44/BR44*(BU44-BASELINE_CPR),0)</f>
        <v/>
      </c>
      <c r="CR44" s="13">
        <f>IFERROR(BP44/BR44*(BU44-BASELINE_CPR),0)</f>
        <v/>
      </c>
      <c r="CS44" s="13">
        <f>IFERROR(BQ44/BR44*(BU44-BASELINE_CPR),0)</f>
        <v/>
      </c>
      <c r="CT44" s="29">
        <f>BASELINE_CPR+SUM(BV44:CS44)-BU44</f>
        <v/>
      </c>
    </row>
    <row r="45">
      <c r="A45" s="2" t="inlineStr">
        <is>
          <t>3617XJ2A7_000000004811084</t>
        </is>
      </c>
      <c r="B45" t="inlineStr">
        <is>
          <t>BERKADIA_POST21</t>
        </is>
      </c>
      <c r="C45" s="2" t="inlineStr">
        <is>
          <t>3617XJ2A7</t>
        </is>
      </c>
      <c r="D45" t="inlineStr">
        <is>
          <t>BERKADIA COMMERCIAL MORTGAGE, LLC</t>
        </is>
      </c>
      <c r="E45" t="inlineStr">
        <is>
          <t>223f</t>
        </is>
      </c>
      <c r="F45" t="inlineStr">
        <is>
          <t>RP</t>
        </is>
      </c>
      <c r="G45" t="n">
        <v>2021</v>
      </c>
      <c r="H45" t="inlineStr">
        <is>
          <t>202602</t>
        </is>
      </c>
      <c r="I45" s="22" t="n">
        <v>6267503.13</v>
      </c>
      <c r="J45" s="23" t="n">
        <v>2.15</v>
      </c>
      <c r="K45" s="24" t="n">
        <v>447</v>
      </c>
      <c r="L45" s="24" t="n">
        <v>8</v>
      </c>
      <c r="M45" t="n">
        <v>51</v>
      </c>
      <c r="N45" t="n">
        <v>0</v>
      </c>
      <c r="O45" t="n">
        <v>205703</v>
      </c>
      <c r="P45" t="inlineStr"/>
      <c r="Q45" t="inlineStr">
        <is>
          <t>4082</t>
        </is>
      </c>
      <c r="R45" t="n">
        <v>0</v>
      </c>
      <c r="S45" t="n">
        <v>0</v>
      </c>
      <c r="T45" t="n">
        <v>0</v>
      </c>
      <c r="U45" t="n">
        <v>0</v>
      </c>
      <c r="V45" s="24">
        <f>J45*100-K45</f>
        <v/>
      </c>
      <c r="W45" s="24">
        <f>L45</f>
        <v/>
      </c>
      <c r="X45" s="25">
        <f>MIN(M45,36)</f>
        <v/>
      </c>
      <c r="Y45" s="25">
        <f>MIN(MAX(M45-36,0),84)</f>
        <v/>
      </c>
      <c r="Z45" s="25">
        <f>MAX(M45-120,0)</f>
        <v/>
      </c>
      <c r="AA45" s="25">
        <f>IF(OR(O45="",NOT(ISNUMBER(O45))),360,MAX(0,MIN(480,(INT(O45/100)-INT(VALUE(H45)/100))*12+MOD(O45,100)-MOD(VALUE(H45),100))))</f>
        <v/>
      </c>
      <c r="AB45">
        <f>IF(AND(AA45&gt;0,AA45&lt;=24),1,0)</f>
        <v/>
      </c>
      <c r="AC45" s="25">
        <f>IF(OR(P45="",NOT(ISNUMBER(P45))),0,MAX(0,MIN(24,(INT(VALUE(H45)/100)-INT(P45/100))*12+MOD(VALUE(H45),100)-MOD(P45,100))))</f>
        <v/>
      </c>
      <c r="AD45" s="23">
        <f>LN(1+I45)</f>
        <v/>
      </c>
      <c r="AE45">
        <f>IF(I45&lt;2000000,1,0)</f>
        <v/>
      </c>
      <c r="AF45">
        <f>IF(I45&gt;50000000,1,0)</f>
        <v/>
      </c>
      <c r="AG45" s="23">
        <f>IF(ISNUMBER(M45),N45/MAX(M45,1),0)</f>
        <v/>
      </c>
      <c r="AH45">
        <f>IF(G45&gt;=2021,1,0)</f>
        <v/>
      </c>
      <c r="AI45">
        <f>S45</f>
        <v/>
      </c>
      <c r="AJ45">
        <f>T45</f>
        <v/>
      </c>
      <c r="AK45">
        <f>R45</f>
        <v/>
      </c>
      <c r="AL45">
        <f>U45</f>
        <v/>
      </c>
      <c r="AM45">
        <f>IF(ISNUMBER(SEARCH("CAPITAL FUNDING",D45)),1,0)</f>
        <v/>
      </c>
      <c r="AN45">
        <f>IF(ISNUMBER(SEARCH("PNC",D45)),1,0)</f>
        <v/>
      </c>
      <c r="AO45">
        <f>IF(ISNUMBER(SEARCH("WELLS FARGO",D45)),1,0)</f>
        <v/>
      </c>
      <c r="AP45">
        <f>IF(ISNUMBER(SEARCH("DWIGHT",D45)),1,0)</f>
        <v/>
      </c>
      <c r="AQ45">
        <f>IF(ISNUMBER(SEARCH("GREYSTONE",D45)),1,0)</f>
        <v/>
      </c>
      <c r="AR45">
        <f>IF(OR(Q45="3896",Q45="3557"),1,0)</f>
        <v/>
      </c>
      <c r="AS45" s="24">
        <f>V45*W45</f>
        <v/>
      </c>
      <c r="AT45" s="26">
        <f>V$4*(V45-V$3)</f>
        <v/>
      </c>
      <c r="AU45" s="26">
        <f>W$4*(W45-W$3)</f>
        <v/>
      </c>
      <c r="AV45" s="26">
        <f>X$4*(X45-X$3)</f>
        <v/>
      </c>
      <c r="AW45" s="26">
        <f>Y$4*(Y45-Y$3)</f>
        <v/>
      </c>
      <c r="AX45" s="26">
        <f>Z$4*(Z45-Z$3)</f>
        <v/>
      </c>
      <c r="AY45" s="26">
        <f>AA$4*(AA45-AA$3)</f>
        <v/>
      </c>
      <c r="AZ45" s="26">
        <f>AB$4*(AB45-AB$3)</f>
        <v/>
      </c>
      <c r="BA45" s="26">
        <f>AC$4*(AC45-AC$3)</f>
        <v/>
      </c>
      <c r="BB45" s="26">
        <f>AD$4*(AD45-AD$3)</f>
        <v/>
      </c>
      <c r="BC45" s="26">
        <f>AE$4*(AE45-AE$3)</f>
        <v/>
      </c>
      <c r="BD45" s="26">
        <f>AF$4*(AF45-AF$3)</f>
        <v/>
      </c>
      <c r="BE45" s="26">
        <f>AG$4*(AG45-AG$3)</f>
        <v/>
      </c>
      <c r="BF45" s="26">
        <f>AH$4*(AH45-AH$3)</f>
        <v/>
      </c>
      <c r="BG45" s="26">
        <f>AI$4*(AI45-AI$3)</f>
        <v/>
      </c>
      <c r="BH45" s="26">
        <f>AJ$4*(AJ45-AJ$3)</f>
        <v/>
      </c>
      <c r="BI45" s="26">
        <f>AK$4*(AK45-AK$3)</f>
        <v/>
      </c>
      <c r="BJ45" s="26">
        <f>AL$4*(AL45-AL$3)</f>
        <v/>
      </c>
      <c r="BK45" s="26">
        <f>AM$4*(AM45-AM$3)</f>
        <v/>
      </c>
      <c r="BL45" s="26">
        <f>AN$4*(AN45-AN$3)</f>
        <v/>
      </c>
      <c r="BM45" s="26">
        <f>AO$4*(AO45-AO$3)</f>
        <v/>
      </c>
      <c r="BN45" s="26">
        <f>AP$4*(AP45-AP$3)</f>
        <v/>
      </c>
      <c r="BO45" s="26">
        <f>AQ$4*(AQ45-AQ$3)</f>
        <v/>
      </c>
      <c r="BP45" s="26">
        <f>AR$4*(AR45-AR$3)</f>
        <v/>
      </c>
      <c r="BQ45" s="26">
        <f>AS$4*(AS45-AS$3)</f>
        <v/>
      </c>
      <c r="BR45" s="27">
        <f>SUM(AT45:BQ45)</f>
        <v/>
      </c>
      <c r="BS45" s="27">
        <f>INTERCEPT_SCALED+BR45</f>
        <v/>
      </c>
      <c r="BT45" s="28">
        <f>1/(1+EXP(-BS45))</f>
        <v/>
      </c>
      <c r="BU45" s="13">
        <f>1-(1-BT45)^12</f>
        <v/>
      </c>
      <c r="BV45" s="13">
        <f>IFERROR(AT45/BR45*(BU45-BASELINE_CPR),0)</f>
        <v/>
      </c>
      <c r="BW45" s="13">
        <f>IFERROR(AU45/BR45*(BU45-BASELINE_CPR),0)</f>
        <v/>
      </c>
      <c r="BX45" s="13">
        <f>IFERROR(AV45/BR45*(BU45-BASELINE_CPR),0)</f>
        <v/>
      </c>
      <c r="BY45" s="13">
        <f>IFERROR(AW45/BR45*(BU45-BASELINE_CPR),0)</f>
        <v/>
      </c>
      <c r="BZ45" s="13">
        <f>IFERROR(AX45/BR45*(BU45-BASELINE_CPR),0)</f>
        <v/>
      </c>
      <c r="CA45" s="13">
        <f>IFERROR(AY45/BR45*(BU45-BASELINE_CPR),0)</f>
        <v/>
      </c>
      <c r="CB45" s="13">
        <f>IFERROR(AZ45/BR45*(BU45-BASELINE_CPR),0)</f>
        <v/>
      </c>
      <c r="CC45" s="13">
        <f>IFERROR(BA45/BR45*(BU45-BASELINE_CPR),0)</f>
        <v/>
      </c>
      <c r="CD45" s="13">
        <f>IFERROR(BB45/BR45*(BU45-BASELINE_CPR),0)</f>
        <v/>
      </c>
      <c r="CE45" s="13">
        <f>IFERROR(BC45/BR45*(BU45-BASELINE_CPR),0)</f>
        <v/>
      </c>
      <c r="CF45" s="13">
        <f>IFERROR(BD45/BR45*(BU45-BASELINE_CPR),0)</f>
        <v/>
      </c>
      <c r="CG45" s="13">
        <f>IFERROR(BE45/BR45*(BU45-BASELINE_CPR),0)</f>
        <v/>
      </c>
      <c r="CH45" s="13">
        <f>IFERROR(BF45/BR45*(BU45-BASELINE_CPR),0)</f>
        <v/>
      </c>
      <c r="CI45" s="13">
        <f>IFERROR(BG45/BR45*(BU45-BASELINE_CPR),0)</f>
        <v/>
      </c>
      <c r="CJ45" s="13">
        <f>IFERROR(BH45/BR45*(BU45-BASELINE_CPR),0)</f>
        <v/>
      </c>
      <c r="CK45" s="13">
        <f>IFERROR(BI45/BR45*(BU45-BASELINE_CPR),0)</f>
        <v/>
      </c>
      <c r="CL45" s="13">
        <f>IFERROR(BJ45/BR45*(BU45-BASELINE_CPR),0)</f>
        <v/>
      </c>
      <c r="CM45" s="13">
        <f>IFERROR(BK45/BR45*(BU45-BASELINE_CPR),0)</f>
        <v/>
      </c>
      <c r="CN45" s="13">
        <f>IFERROR(BL45/BR45*(BU45-BASELINE_CPR),0)</f>
        <v/>
      </c>
      <c r="CO45" s="13">
        <f>IFERROR(BM45/BR45*(BU45-BASELINE_CPR),0)</f>
        <v/>
      </c>
      <c r="CP45" s="13">
        <f>IFERROR(BN45/BR45*(BU45-BASELINE_CPR),0)</f>
        <v/>
      </c>
      <c r="CQ45" s="13">
        <f>IFERROR(BO45/BR45*(BU45-BASELINE_CPR),0)</f>
        <v/>
      </c>
      <c r="CR45" s="13">
        <f>IFERROR(BP45/BR45*(BU45-BASELINE_CPR),0)</f>
        <v/>
      </c>
      <c r="CS45" s="13">
        <f>IFERROR(BQ45/BR45*(BU45-BASELINE_CPR),0)</f>
        <v/>
      </c>
      <c r="CT45" s="29">
        <f>BASELINE_CPR+SUM(BV45:CS45)-BU45</f>
        <v/>
      </c>
    </row>
    <row r="46">
      <c r="A46" s="2" t="inlineStr">
        <is>
          <t>3617NEBN1_000000006722139</t>
        </is>
      </c>
      <c r="B46" t="inlineStr">
        <is>
          <t>BERKADIA_PRE21</t>
        </is>
      </c>
      <c r="C46" s="2" t="inlineStr">
        <is>
          <t>3617NEBN1</t>
        </is>
      </c>
      <c r="D46" t="inlineStr">
        <is>
          <t>BERKADIA COMMERCIAL MORTGAGE, LLC</t>
        </is>
      </c>
      <c r="E46" t="inlineStr">
        <is>
          <t>232</t>
        </is>
      </c>
      <c r="F46" t="inlineStr">
        <is>
          <t>RP</t>
        </is>
      </c>
      <c r="G46" t="n">
        <v>2013</v>
      </c>
      <c r="H46" t="inlineStr">
        <is>
          <t>202602</t>
        </is>
      </c>
      <c r="I46" s="22" t="n">
        <v>8404084.77</v>
      </c>
      <c r="J46" s="23" t="n">
        <v>2.95</v>
      </c>
      <c r="K46" s="24" t="n">
        <v>447</v>
      </c>
      <c r="L46" s="24" t="n">
        <v>6</v>
      </c>
      <c r="M46" t="n">
        <v>148</v>
      </c>
      <c r="N46" t="n">
        <v>14</v>
      </c>
      <c r="O46" t="n">
        <v>204508</v>
      </c>
      <c r="P46" t="inlineStr"/>
      <c r="Q46" t="inlineStr">
        <is>
          <t>4082</t>
        </is>
      </c>
      <c r="R46" t="n">
        <v>1</v>
      </c>
      <c r="S46" t="n">
        <v>0</v>
      </c>
      <c r="T46" t="n">
        <v>0</v>
      </c>
      <c r="U46" t="n">
        <v>0</v>
      </c>
      <c r="V46" s="24">
        <f>J46*100-K46</f>
        <v/>
      </c>
      <c r="W46" s="24">
        <f>L46</f>
        <v/>
      </c>
      <c r="X46" s="25">
        <f>MIN(M46,36)</f>
        <v/>
      </c>
      <c r="Y46" s="25">
        <f>MIN(MAX(M46-36,0),84)</f>
        <v/>
      </c>
      <c r="Z46" s="25">
        <f>MAX(M46-120,0)</f>
        <v/>
      </c>
      <c r="AA46" s="25">
        <f>IF(OR(O46="",NOT(ISNUMBER(O46))),360,MAX(0,MIN(480,(INT(O46/100)-INT(VALUE(H46)/100))*12+MOD(O46,100)-MOD(VALUE(H46),100))))</f>
        <v/>
      </c>
      <c r="AB46">
        <f>IF(AND(AA46&gt;0,AA46&lt;=24),1,0)</f>
        <v/>
      </c>
      <c r="AC46" s="25">
        <f>IF(OR(P46="",NOT(ISNUMBER(P46))),0,MAX(0,MIN(24,(INT(VALUE(H46)/100)-INT(P46/100))*12+MOD(VALUE(H46),100)-MOD(P46,100))))</f>
        <v/>
      </c>
      <c r="AD46" s="23">
        <f>LN(1+I46)</f>
        <v/>
      </c>
      <c r="AE46">
        <f>IF(I46&lt;2000000,1,0)</f>
        <v/>
      </c>
      <c r="AF46">
        <f>IF(I46&gt;50000000,1,0)</f>
        <v/>
      </c>
      <c r="AG46" s="23">
        <f>IF(ISNUMBER(M46),N46/MAX(M46,1),0)</f>
        <v/>
      </c>
      <c r="AH46">
        <f>IF(G46&gt;=2021,1,0)</f>
        <v/>
      </c>
      <c r="AI46">
        <f>S46</f>
        <v/>
      </c>
      <c r="AJ46">
        <f>T46</f>
        <v/>
      </c>
      <c r="AK46">
        <f>R46</f>
        <v/>
      </c>
      <c r="AL46">
        <f>U46</f>
        <v/>
      </c>
      <c r="AM46">
        <f>IF(ISNUMBER(SEARCH("CAPITAL FUNDING",D46)),1,0)</f>
        <v/>
      </c>
      <c r="AN46">
        <f>IF(ISNUMBER(SEARCH("PNC",D46)),1,0)</f>
        <v/>
      </c>
      <c r="AO46">
        <f>IF(ISNUMBER(SEARCH("WELLS FARGO",D46)),1,0)</f>
        <v/>
      </c>
      <c r="AP46">
        <f>IF(ISNUMBER(SEARCH("DWIGHT",D46)),1,0)</f>
        <v/>
      </c>
      <c r="AQ46">
        <f>IF(ISNUMBER(SEARCH("GREYSTONE",D46)),1,0)</f>
        <v/>
      </c>
      <c r="AR46">
        <f>IF(OR(Q46="3896",Q46="3557"),1,0)</f>
        <v/>
      </c>
      <c r="AS46" s="24">
        <f>V46*W46</f>
        <v/>
      </c>
      <c r="AT46" s="26">
        <f>V$4*(V46-V$3)</f>
        <v/>
      </c>
      <c r="AU46" s="26">
        <f>W$4*(W46-W$3)</f>
        <v/>
      </c>
      <c r="AV46" s="26">
        <f>X$4*(X46-X$3)</f>
        <v/>
      </c>
      <c r="AW46" s="26">
        <f>Y$4*(Y46-Y$3)</f>
        <v/>
      </c>
      <c r="AX46" s="26">
        <f>Z$4*(Z46-Z$3)</f>
        <v/>
      </c>
      <c r="AY46" s="26">
        <f>AA$4*(AA46-AA$3)</f>
        <v/>
      </c>
      <c r="AZ46" s="26">
        <f>AB$4*(AB46-AB$3)</f>
        <v/>
      </c>
      <c r="BA46" s="26">
        <f>AC$4*(AC46-AC$3)</f>
        <v/>
      </c>
      <c r="BB46" s="26">
        <f>AD$4*(AD46-AD$3)</f>
        <v/>
      </c>
      <c r="BC46" s="26">
        <f>AE$4*(AE46-AE$3)</f>
        <v/>
      </c>
      <c r="BD46" s="26">
        <f>AF$4*(AF46-AF$3)</f>
        <v/>
      </c>
      <c r="BE46" s="26">
        <f>AG$4*(AG46-AG$3)</f>
        <v/>
      </c>
      <c r="BF46" s="26">
        <f>AH$4*(AH46-AH$3)</f>
        <v/>
      </c>
      <c r="BG46" s="26">
        <f>AI$4*(AI46-AI$3)</f>
        <v/>
      </c>
      <c r="BH46" s="26">
        <f>AJ$4*(AJ46-AJ$3)</f>
        <v/>
      </c>
      <c r="BI46" s="26">
        <f>AK$4*(AK46-AK$3)</f>
        <v/>
      </c>
      <c r="BJ46" s="26">
        <f>AL$4*(AL46-AL$3)</f>
        <v/>
      </c>
      <c r="BK46" s="26">
        <f>AM$4*(AM46-AM$3)</f>
        <v/>
      </c>
      <c r="BL46" s="26">
        <f>AN$4*(AN46-AN$3)</f>
        <v/>
      </c>
      <c r="BM46" s="26">
        <f>AO$4*(AO46-AO$3)</f>
        <v/>
      </c>
      <c r="BN46" s="26">
        <f>AP$4*(AP46-AP$3)</f>
        <v/>
      </c>
      <c r="BO46" s="26">
        <f>AQ$4*(AQ46-AQ$3)</f>
        <v/>
      </c>
      <c r="BP46" s="26">
        <f>AR$4*(AR46-AR$3)</f>
        <v/>
      </c>
      <c r="BQ46" s="26">
        <f>AS$4*(AS46-AS$3)</f>
        <v/>
      </c>
      <c r="BR46" s="27">
        <f>SUM(AT46:BQ46)</f>
        <v/>
      </c>
      <c r="BS46" s="27">
        <f>INTERCEPT_SCALED+BR46</f>
        <v/>
      </c>
      <c r="BT46" s="28">
        <f>1/(1+EXP(-BS46))</f>
        <v/>
      </c>
      <c r="BU46" s="13">
        <f>1-(1-BT46)^12</f>
        <v/>
      </c>
      <c r="BV46" s="13">
        <f>IFERROR(AT46/BR46*(BU46-BASELINE_CPR),0)</f>
        <v/>
      </c>
      <c r="BW46" s="13">
        <f>IFERROR(AU46/BR46*(BU46-BASELINE_CPR),0)</f>
        <v/>
      </c>
      <c r="BX46" s="13">
        <f>IFERROR(AV46/BR46*(BU46-BASELINE_CPR),0)</f>
        <v/>
      </c>
      <c r="BY46" s="13">
        <f>IFERROR(AW46/BR46*(BU46-BASELINE_CPR),0)</f>
        <v/>
      </c>
      <c r="BZ46" s="13">
        <f>IFERROR(AX46/BR46*(BU46-BASELINE_CPR),0)</f>
        <v/>
      </c>
      <c r="CA46" s="13">
        <f>IFERROR(AY46/BR46*(BU46-BASELINE_CPR),0)</f>
        <v/>
      </c>
      <c r="CB46" s="13">
        <f>IFERROR(AZ46/BR46*(BU46-BASELINE_CPR),0)</f>
        <v/>
      </c>
      <c r="CC46" s="13">
        <f>IFERROR(BA46/BR46*(BU46-BASELINE_CPR),0)</f>
        <v/>
      </c>
      <c r="CD46" s="13">
        <f>IFERROR(BB46/BR46*(BU46-BASELINE_CPR),0)</f>
        <v/>
      </c>
      <c r="CE46" s="13">
        <f>IFERROR(BC46/BR46*(BU46-BASELINE_CPR),0)</f>
        <v/>
      </c>
      <c r="CF46" s="13">
        <f>IFERROR(BD46/BR46*(BU46-BASELINE_CPR),0)</f>
        <v/>
      </c>
      <c r="CG46" s="13">
        <f>IFERROR(BE46/BR46*(BU46-BASELINE_CPR),0)</f>
        <v/>
      </c>
      <c r="CH46" s="13">
        <f>IFERROR(BF46/BR46*(BU46-BASELINE_CPR),0)</f>
        <v/>
      </c>
      <c r="CI46" s="13">
        <f>IFERROR(BG46/BR46*(BU46-BASELINE_CPR),0)</f>
        <v/>
      </c>
      <c r="CJ46" s="13">
        <f>IFERROR(BH46/BR46*(BU46-BASELINE_CPR),0)</f>
        <v/>
      </c>
      <c r="CK46" s="13">
        <f>IFERROR(BI46/BR46*(BU46-BASELINE_CPR),0)</f>
        <v/>
      </c>
      <c r="CL46" s="13">
        <f>IFERROR(BJ46/BR46*(BU46-BASELINE_CPR),0)</f>
        <v/>
      </c>
      <c r="CM46" s="13">
        <f>IFERROR(BK46/BR46*(BU46-BASELINE_CPR),0)</f>
        <v/>
      </c>
      <c r="CN46" s="13">
        <f>IFERROR(BL46/BR46*(BU46-BASELINE_CPR),0)</f>
        <v/>
      </c>
      <c r="CO46" s="13">
        <f>IFERROR(BM46/BR46*(BU46-BASELINE_CPR),0)</f>
        <v/>
      </c>
      <c r="CP46" s="13">
        <f>IFERROR(BN46/BR46*(BU46-BASELINE_CPR),0)</f>
        <v/>
      </c>
      <c r="CQ46" s="13">
        <f>IFERROR(BO46/BR46*(BU46-BASELINE_CPR),0)</f>
        <v/>
      </c>
      <c r="CR46" s="13">
        <f>IFERROR(BP46/BR46*(BU46-BASELINE_CPR),0)</f>
        <v/>
      </c>
      <c r="CS46" s="13">
        <f>IFERROR(BQ46/BR46*(BU46-BASELINE_CPR),0)</f>
        <v/>
      </c>
      <c r="CT46" s="29">
        <f>BASELINE_CPR+SUM(BV46:CS46)-BU46</f>
        <v/>
      </c>
    </row>
    <row r="47">
      <c r="A47" s="2" t="inlineStr">
        <is>
          <t>3617XJY61_000000012122239</t>
        </is>
      </c>
      <c r="B47" t="inlineStr">
        <is>
          <t>BERKADIA_POST21</t>
        </is>
      </c>
      <c r="C47" s="2" t="inlineStr">
        <is>
          <t>3617XJY61</t>
        </is>
      </c>
      <c r="D47" t="inlineStr">
        <is>
          <t>BERKADIA COMMERCIAL MORTGAGE, LLC</t>
        </is>
      </c>
      <c r="E47" t="inlineStr">
        <is>
          <t>232</t>
        </is>
      </c>
      <c r="F47" t="inlineStr">
        <is>
          <t>RP</t>
        </is>
      </c>
      <c r="G47" t="n">
        <v>2021</v>
      </c>
      <c r="H47" t="inlineStr">
        <is>
          <t>202602</t>
        </is>
      </c>
      <c r="I47" s="22" t="n">
        <v>4130019.17</v>
      </c>
      <c r="J47" s="23" t="n">
        <v>2.58</v>
      </c>
      <c r="K47" s="24" t="n">
        <v>447</v>
      </c>
      <c r="L47" s="24" t="n">
        <v>8</v>
      </c>
      <c r="M47" t="n">
        <v>53</v>
      </c>
      <c r="N47" t="n">
        <v>0</v>
      </c>
      <c r="O47" t="n">
        <v>204206</v>
      </c>
      <c r="P47" t="inlineStr"/>
      <c r="Q47" t="inlineStr">
        <is>
          <t>4082</t>
        </is>
      </c>
      <c r="R47" t="n">
        <v>1</v>
      </c>
      <c r="S47" t="n">
        <v>1</v>
      </c>
      <c r="T47" t="n">
        <v>0</v>
      </c>
      <c r="U47" t="n">
        <v>0</v>
      </c>
      <c r="V47" s="24">
        <f>J47*100-K47</f>
        <v/>
      </c>
      <c r="W47" s="24">
        <f>L47</f>
        <v/>
      </c>
      <c r="X47" s="25">
        <f>MIN(M47,36)</f>
        <v/>
      </c>
      <c r="Y47" s="25">
        <f>MIN(MAX(M47-36,0),84)</f>
        <v/>
      </c>
      <c r="Z47" s="25">
        <f>MAX(M47-120,0)</f>
        <v/>
      </c>
      <c r="AA47" s="25">
        <f>IF(OR(O47="",NOT(ISNUMBER(O47))),360,MAX(0,MIN(480,(INT(O47/100)-INT(VALUE(H47)/100))*12+MOD(O47,100)-MOD(VALUE(H47),100))))</f>
        <v/>
      </c>
      <c r="AB47">
        <f>IF(AND(AA47&gt;0,AA47&lt;=24),1,0)</f>
        <v/>
      </c>
      <c r="AC47" s="25">
        <f>IF(OR(P47="",NOT(ISNUMBER(P47))),0,MAX(0,MIN(24,(INT(VALUE(H47)/100)-INT(P47/100))*12+MOD(VALUE(H47),100)-MOD(P47,100))))</f>
        <v/>
      </c>
      <c r="AD47" s="23">
        <f>LN(1+I47)</f>
        <v/>
      </c>
      <c r="AE47">
        <f>IF(I47&lt;2000000,1,0)</f>
        <v/>
      </c>
      <c r="AF47">
        <f>IF(I47&gt;50000000,1,0)</f>
        <v/>
      </c>
      <c r="AG47" s="23">
        <f>IF(ISNUMBER(M47),N47/MAX(M47,1),0)</f>
        <v/>
      </c>
      <c r="AH47">
        <f>IF(G47&gt;=2021,1,0)</f>
        <v/>
      </c>
      <c r="AI47">
        <f>S47</f>
        <v/>
      </c>
      <c r="AJ47">
        <f>T47</f>
        <v/>
      </c>
      <c r="AK47">
        <f>R47</f>
        <v/>
      </c>
      <c r="AL47">
        <f>U47</f>
        <v/>
      </c>
      <c r="AM47">
        <f>IF(ISNUMBER(SEARCH("CAPITAL FUNDING",D47)),1,0)</f>
        <v/>
      </c>
      <c r="AN47">
        <f>IF(ISNUMBER(SEARCH("PNC",D47)),1,0)</f>
        <v/>
      </c>
      <c r="AO47">
        <f>IF(ISNUMBER(SEARCH("WELLS FARGO",D47)),1,0)</f>
        <v/>
      </c>
      <c r="AP47">
        <f>IF(ISNUMBER(SEARCH("DWIGHT",D47)),1,0)</f>
        <v/>
      </c>
      <c r="AQ47">
        <f>IF(ISNUMBER(SEARCH("GREYSTONE",D47)),1,0)</f>
        <v/>
      </c>
      <c r="AR47">
        <f>IF(OR(Q47="3896",Q47="3557"),1,0)</f>
        <v/>
      </c>
      <c r="AS47" s="24">
        <f>V47*W47</f>
        <v/>
      </c>
      <c r="AT47" s="26">
        <f>V$4*(V47-V$3)</f>
        <v/>
      </c>
      <c r="AU47" s="26">
        <f>W$4*(W47-W$3)</f>
        <v/>
      </c>
      <c r="AV47" s="26">
        <f>X$4*(X47-X$3)</f>
        <v/>
      </c>
      <c r="AW47" s="26">
        <f>Y$4*(Y47-Y$3)</f>
        <v/>
      </c>
      <c r="AX47" s="26">
        <f>Z$4*(Z47-Z$3)</f>
        <v/>
      </c>
      <c r="AY47" s="26">
        <f>AA$4*(AA47-AA$3)</f>
        <v/>
      </c>
      <c r="AZ47" s="26">
        <f>AB$4*(AB47-AB$3)</f>
        <v/>
      </c>
      <c r="BA47" s="26">
        <f>AC$4*(AC47-AC$3)</f>
        <v/>
      </c>
      <c r="BB47" s="26">
        <f>AD$4*(AD47-AD$3)</f>
        <v/>
      </c>
      <c r="BC47" s="26">
        <f>AE$4*(AE47-AE$3)</f>
        <v/>
      </c>
      <c r="BD47" s="26">
        <f>AF$4*(AF47-AF$3)</f>
        <v/>
      </c>
      <c r="BE47" s="26">
        <f>AG$4*(AG47-AG$3)</f>
        <v/>
      </c>
      <c r="BF47" s="26">
        <f>AH$4*(AH47-AH$3)</f>
        <v/>
      </c>
      <c r="BG47" s="26">
        <f>AI$4*(AI47-AI$3)</f>
        <v/>
      </c>
      <c r="BH47" s="26">
        <f>AJ$4*(AJ47-AJ$3)</f>
        <v/>
      </c>
      <c r="BI47" s="26">
        <f>AK$4*(AK47-AK$3)</f>
        <v/>
      </c>
      <c r="BJ47" s="26">
        <f>AL$4*(AL47-AL$3)</f>
        <v/>
      </c>
      <c r="BK47" s="26">
        <f>AM$4*(AM47-AM$3)</f>
        <v/>
      </c>
      <c r="BL47" s="26">
        <f>AN$4*(AN47-AN$3)</f>
        <v/>
      </c>
      <c r="BM47" s="26">
        <f>AO$4*(AO47-AO$3)</f>
        <v/>
      </c>
      <c r="BN47" s="26">
        <f>AP$4*(AP47-AP$3)</f>
        <v/>
      </c>
      <c r="BO47" s="26">
        <f>AQ$4*(AQ47-AQ$3)</f>
        <v/>
      </c>
      <c r="BP47" s="26">
        <f>AR$4*(AR47-AR$3)</f>
        <v/>
      </c>
      <c r="BQ47" s="26">
        <f>AS$4*(AS47-AS$3)</f>
        <v/>
      </c>
      <c r="BR47" s="27">
        <f>SUM(AT47:BQ47)</f>
        <v/>
      </c>
      <c r="BS47" s="27">
        <f>INTERCEPT_SCALED+BR47</f>
        <v/>
      </c>
      <c r="BT47" s="28">
        <f>1/(1+EXP(-BS47))</f>
        <v/>
      </c>
      <c r="BU47" s="13">
        <f>1-(1-BT47)^12</f>
        <v/>
      </c>
      <c r="BV47" s="13">
        <f>IFERROR(AT47/BR47*(BU47-BASELINE_CPR),0)</f>
        <v/>
      </c>
      <c r="BW47" s="13">
        <f>IFERROR(AU47/BR47*(BU47-BASELINE_CPR),0)</f>
        <v/>
      </c>
      <c r="BX47" s="13">
        <f>IFERROR(AV47/BR47*(BU47-BASELINE_CPR),0)</f>
        <v/>
      </c>
      <c r="BY47" s="13">
        <f>IFERROR(AW47/BR47*(BU47-BASELINE_CPR),0)</f>
        <v/>
      </c>
      <c r="BZ47" s="13">
        <f>IFERROR(AX47/BR47*(BU47-BASELINE_CPR),0)</f>
        <v/>
      </c>
      <c r="CA47" s="13">
        <f>IFERROR(AY47/BR47*(BU47-BASELINE_CPR),0)</f>
        <v/>
      </c>
      <c r="CB47" s="13">
        <f>IFERROR(AZ47/BR47*(BU47-BASELINE_CPR),0)</f>
        <v/>
      </c>
      <c r="CC47" s="13">
        <f>IFERROR(BA47/BR47*(BU47-BASELINE_CPR),0)</f>
        <v/>
      </c>
      <c r="CD47" s="13">
        <f>IFERROR(BB47/BR47*(BU47-BASELINE_CPR),0)</f>
        <v/>
      </c>
      <c r="CE47" s="13">
        <f>IFERROR(BC47/BR47*(BU47-BASELINE_CPR),0)</f>
        <v/>
      </c>
      <c r="CF47" s="13">
        <f>IFERROR(BD47/BR47*(BU47-BASELINE_CPR),0)</f>
        <v/>
      </c>
      <c r="CG47" s="13">
        <f>IFERROR(BE47/BR47*(BU47-BASELINE_CPR),0)</f>
        <v/>
      </c>
      <c r="CH47" s="13">
        <f>IFERROR(BF47/BR47*(BU47-BASELINE_CPR),0)</f>
        <v/>
      </c>
      <c r="CI47" s="13">
        <f>IFERROR(BG47/BR47*(BU47-BASELINE_CPR),0)</f>
        <v/>
      </c>
      <c r="CJ47" s="13">
        <f>IFERROR(BH47/BR47*(BU47-BASELINE_CPR),0)</f>
        <v/>
      </c>
      <c r="CK47" s="13">
        <f>IFERROR(BI47/BR47*(BU47-BASELINE_CPR),0)</f>
        <v/>
      </c>
      <c r="CL47" s="13">
        <f>IFERROR(BJ47/BR47*(BU47-BASELINE_CPR),0)</f>
        <v/>
      </c>
      <c r="CM47" s="13">
        <f>IFERROR(BK47/BR47*(BU47-BASELINE_CPR),0)</f>
        <v/>
      </c>
      <c r="CN47" s="13">
        <f>IFERROR(BL47/BR47*(BU47-BASELINE_CPR),0)</f>
        <v/>
      </c>
      <c r="CO47" s="13">
        <f>IFERROR(BM47/BR47*(BU47-BASELINE_CPR),0)</f>
        <v/>
      </c>
      <c r="CP47" s="13">
        <f>IFERROR(BN47/BR47*(BU47-BASELINE_CPR),0)</f>
        <v/>
      </c>
      <c r="CQ47" s="13">
        <f>IFERROR(BO47/BR47*(BU47-BASELINE_CPR),0)</f>
        <v/>
      </c>
      <c r="CR47" s="13">
        <f>IFERROR(BP47/BR47*(BU47-BASELINE_CPR),0)</f>
        <v/>
      </c>
      <c r="CS47" s="13">
        <f>IFERROR(BQ47/BR47*(BU47-BASELINE_CPR),0)</f>
        <v/>
      </c>
      <c r="CT47" s="29">
        <f>BASELINE_CPR+SUM(BV47:CS47)-BU47</f>
        <v/>
      </c>
    </row>
    <row r="48">
      <c r="A48" s="2" t="inlineStr">
        <is>
          <t>3617BRKN5_000000005111395</t>
        </is>
      </c>
      <c r="B48" t="inlineStr">
        <is>
          <t>BERKADIA_PRE21</t>
        </is>
      </c>
      <c r="C48" s="2" t="inlineStr">
        <is>
          <t>3617BRKN5</t>
        </is>
      </c>
      <c r="D48" t="inlineStr">
        <is>
          <t>BERKADIA COMMERCIAL MORTGAGE, LLC</t>
        </is>
      </c>
      <c r="E48" t="inlineStr">
        <is>
          <t>223f</t>
        </is>
      </c>
      <c r="F48" t="inlineStr">
        <is>
          <t>RP</t>
        </is>
      </c>
      <c r="G48" t="n">
        <v>2017</v>
      </c>
      <c r="H48" t="inlineStr">
        <is>
          <t>202602</t>
        </is>
      </c>
      <c r="I48" s="22" t="n">
        <v>6113588.54</v>
      </c>
      <c r="J48" s="23" t="n">
        <v>3.13</v>
      </c>
      <c r="K48" s="24" t="n">
        <v>447</v>
      </c>
      <c r="L48" s="24" t="n">
        <v>4</v>
      </c>
      <c r="M48" t="n">
        <v>98</v>
      </c>
      <c r="N48" t="n">
        <v>19</v>
      </c>
      <c r="O48" t="n">
        <v>205303</v>
      </c>
      <c r="P48" t="inlineStr"/>
      <c r="Q48" t="inlineStr">
        <is>
          <t>4082</t>
        </is>
      </c>
      <c r="R48" t="n">
        <v>0</v>
      </c>
      <c r="S48" t="n">
        <v>0</v>
      </c>
      <c r="T48" t="n">
        <v>0</v>
      </c>
      <c r="U48" t="n">
        <v>0</v>
      </c>
      <c r="V48" s="24">
        <f>J48*100-K48</f>
        <v/>
      </c>
      <c r="W48" s="24">
        <f>L48</f>
        <v/>
      </c>
      <c r="X48" s="25">
        <f>MIN(M48,36)</f>
        <v/>
      </c>
      <c r="Y48" s="25">
        <f>MIN(MAX(M48-36,0),84)</f>
        <v/>
      </c>
      <c r="Z48" s="25">
        <f>MAX(M48-120,0)</f>
        <v/>
      </c>
      <c r="AA48" s="25">
        <f>IF(OR(O48="",NOT(ISNUMBER(O48))),360,MAX(0,MIN(480,(INT(O48/100)-INT(VALUE(H48)/100))*12+MOD(O48,100)-MOD(VALUE(H48),100))))</f>
        <v/>
      </c>
      <c r="AB48">
        <f>IF(AND(AA48&gt;0,AA48&lt;=24),1,0)</f>
        <v/>
      </c>
      <c r="AC48" s="25">
        <f>IF(OR(P48="",NOT(ISNUMBER(P48))),0,MAX(0,MIN(24,(INT(VALUE(H48)/100)-INT(P48/100))*12+MOD(VALUE(H48),100)-MOD(P48,100))))</f>
        <v/>
      </c>
      <c r="AD48" s="23">
        <f>LN(1+I48)</f>
        <v/>
      </c>
      <c r="AE48">
        <f>IF(I48&lt;2000000,1,0)</f>
        <v/>
      </c>
      <c r="AF48">
        <f>IF(I48&gt;50000000,1,0)</f>
        <v/>
      </c>
      <c r="AG48" s="23">
        <f>IF(ISNUMBER(M48),N48/MAX(M48,1),0)</f>
        <v/>
      </c>
      <c r="AH48">
        <f>IF(G48&gt;=2021,1,0)</f>
        <v/>
      </c>
      <c r="AI48">
        <f>S48</f>
        <v/>
      </c>
      <c r="AJ48">
        <f>T48</f>
        <v/>
      </c>
      <c r="AK48">
        <f>R48</f>
        <v/>
      </c>
      <c r="AL48">
        <f>U48</f>
        <v/>
      </c>
      <c r="AM48">
        <f>IF(ISNUMBER(SEARCH("CAPITAL FUNDING",D48)),1,0)</f>
        <v/>
      </c>
      <c r="AN48">
        <f>IF(ISNUMBER(SEARCH("PNC",D48)),1,0)</f>
        <v/>
      </c>
      <c r="AO48">
        <f>IF(ISNUMBER(SEARCH("WELLS FARGO",D48)),1,0)</f>
        <v/>
      </c>
      <c r="AP48">
        <f>IF(ISNUMBER(SEARCH("DWIGHT",D48)),1,0)</f>
        <v/>
      </c>
      <c r="AQ48">
        <f>IF(ISNUMBER(SEARCH("GREYSTONE",D48)),1,0)</f>
        <v/>
      </c>
      <c r="AR48">
        <f>IF(OR(Q48="3896",Q48="3557"),1,0)</f>
        <v/>
      </c>
      <c r="AS48" s="24">
        <f>V48*W48</f>
        <v/>
      </c>
      <c r="AT48" s="26">
        <f>V$4*(V48-V$3)</f>
        <v/>
      </c>
      <c r="AU48" s="26">
        <f>W$4*(W48-W$3)</f>
        <v/>
      </c>
      <c r="AV48" s="26">
        <f>X$4*(X48-X$3)</f>
        <v/>
      </c>
      <c r="AW48" s="26">
        <f>Y$4*(Y48-Y$3)</f>
        <v/>
      </c>
      <c r="AX48" s="26">
        <f>Z$4*(Z48-Z$3)</f>
        <v/>
      </c>
      <c r="AY48" s="26">
        <f>AA$4*(AA48-AA$3)</f>
        <v/>
      </c>
      <c r="AZ48" s="26">
        <f>AB$4*(AB48-AB$3)</f>
        <v/>
      </c>
      <c r="BA48" s="26">
        <f>AC$4*(AC48-AC$3)</f>
        <v/>
      </c>
      <c r="BB48" s="26">
        <f>AD$4*(AD48-AD$3)</f>
        <v/>
      </c>
      <c r="BC48" s="26">
        <f>AE$4*(AE48-AE$3)</f>
        <v/>
      </c>
      <c r="BD48" s="26">
        <f>AF$4*(AF48-AF$3)</f>
        <v/>
      </c>
      <c r="BE48" s="26">
        <f>AG$4*(AG48-AG$3)</f>
        <v/>
      </c>
      <c r="BF48" s="26">
        <f>AH$4*(AH48-AH$3)</f>
        <v/>
      </c>
      <c r="BG48" s="26">
        <f>AI$4*(AI48-AI$3)</f>
        <v/>
      </c>
      <c r="BH48" s="26">
        <f>AJ$4*(AJ48-AJ$3)</f>
        <v/>
      </c>
      <c r="BI48" s="26">
        <f>AK$4*(AK48-AK$3)</f>
        <v/>
      </c>
      <c r="BJ48" s="26">
        <f>AL$4*(AL48-AL$3)</f>
        <v/>
      </c>
      <c r="BK48" s="26">
        <f>AM$4*(AM48-AM$3)</f>
        <v/>
      </c>
      <c r="BL48" s="26">
        <f>AN$4*(AN48-AN$3)</f>
        <v/>
      </c>
      <c r="BM48" s="26">
        <f>AO$4*(AO48-AO$3)</f>
        <v/>
      </c>
      <c r="BN48" s="26">
        <f>AP$4*(AP48-AP$3)</f>
        <v/>
      </c>
      <c r="BO48" s="26">
        <f>AQ$4*(AQ48-AQ$3)</f>
        <v/>
      </c>
      <c r="BP48" s="26">
        <f>AR$4*(AR48-AR$3)</f>
        <v/>
      </c>
      <c r="BQ48" s="26">
        <f>AS$4*(AS48-AS$3)</f>
        <v/>
      </c>
      <c r="BR48" s="27">
        <f>SUM(AT48:BQ48)</f>
        <v/>
      </c>
      <c r="BS48" s="27">
        <f>INTERCEPT_SCALED+BR48</f>
        <v/>
      </c>
      <c r="BT48" s="28">
        <f>1/(1+EXP(-BS48))</f>
        <v/>
      </c>
      <c r="BU48" s="13">
        <f>1-(1-BT48)^12</f>
        <v/>
      </c>
      <c r="BV48" s="13">
        <f>IFERROR(AT48/BR48*(BU48-BASELINE_CPR),0)</f>
        <v/>
      </c>
      <c r="BW48" s="13">
        <f>IFERROR(AU48/BR48*(BU48-BASELINE_CPR),0)</f>
        <v/>
      </c>
      <c r="BX48" s="13">
        <f>IFERROR(AV48/BR48*(BU48-BASELINE_CPR),0)</f>
        <v/>
      </c>
      <c r="BY48" s="13">
        <f>IFERROR(AW48/BR48*(BU48-BASELINE_CPR),0)</f>
        <v/>
      </c>
      <c r="BZ48" s="13">
        <f>IFERROR(AX48/BR48*(BU48-BASELINE_CPR),0)</f>
        <v/>
      </c>
      <c r="CA48" s="13">
        <f>IFERROR(AY48/BR48*(BU48-BASELINE_CPR),0)</f>
        <v/>
      </c>
      <c r="CB48" s="13">
        <f>IFERROR(AZ48/BR48*(BU48-BASELINE_CPR),0)</f>
        <v/>
      </c>
      <c r="CC48" s="13">
        <f>IFERROR(BA48/BR48*(BU48-BASELINE_CPR),0)</f>
        <v/>
      </c>
      <c r="CD48" s="13">
        <f>IFERROR(BB48/BR48*(BU48-BASELINE_CPR),0)</f>
        <v/>
      </c>
      <c r="CE48" s="13">
        <f>IFERROR(BC48/BR48*(BU48-BASELINE_CPR),0)</f>
        <v/>
      </c>
      <c r="CF48" s="13">
        <f>IFERROR(BD48/BR48*(BU48-BASELINE_CPR),0)</f>
        <v/>
      </c>
      <c r="CG48" s="13">
        <f>IFERROR(BE48/BR48*(BU48-BASELINE_CPR),0)</f>
        <v/>
      </c>
      <c r="CH48" s="13">
        <f>IFERROR(BF48/BR48*(BU48-BASELINE_CPR),0)</f>
        <v/>
      </c>
      <c r="CI48" s="13">
        <f>IFERROR(BG48/BR48*(BU48-BASELINE_CPR),0)</f>
        <v/>
      </c>
      <c r="CJ48" s="13">
        <f>IFERROR(BH48/BR48*(BU48-BASELINE_CPR),0)</f>
        <v/>
      </c>
      <c r="CK48" s="13">
        <f>IFERROR(BI48/BR48*(BU48-BASELINE_CPR),0)</f>
        <v/>
      </c>
      <c r="CL48" s="13">
        <f>IFERROR(BJ48/BR48*(BU48-BASELINE_CPR),0)</f>
        <v/>
      </c>
      <c r="CM48" s="13">
        <f>IFERROR(BK48/BR48*(BU48-BASELINE_CPR),0)</f>
        <v/>
      </c>
      <c r="CN48" s="13">
        <f>IFERROR(BL48/BR48*(BU48-BASELINE_CPR),0)</f>
        <v/>
      </c>
      <c r="CO48" s="13">
        <f>IFERROR(BM48/BR48*(BU48-BASELINE_CPR),0)</f>
        <v/>
      </c>
      <c r="CP48" s="13">
        <f>IFERROR(BN48/BR48*(BU48-BASELINE_CPR),0)</f>
        <v/>
      </c>
      <c r="CQ48" s="13">
        <f>IFERROR(BO48/BR48*(BU48-BASELINE_CPR),0)</f>
        <v/>
      </c>
      <c r="CR48" s="13">
        <f>IFERROR(BP48/BR48*(BU48-BASELINE_CPR),0)</f>
        <v/>
      </c>
      <c r="CS48" s="13">
        <f>IFERROR(BQ48/BR48*(BU48-BASELINE_CPR),0)</f>
        <v/>
      </c>
      <c r="CT48" s="29">
        <f>BASELINE_CPR+SUM(BV48:CS48)-BU48</f>
        <v/>
      </c>
    </row>
    <row r="49">
      <c r="A49" s="2" t="inlineStr">
        <is>
          <t>3617AGRX1_000000007311922</t>
        </is>
      </c>
      <c r="B49" t="inlineStr">
        <is>
          <t>BERKADIA_PRE21</t>
        </is>
      </c>
      <c r="C49" s="2" t="inlineStr">
        <is>
          <t>3617AGRX1</t>
        </is>
      </c>
      <c r="D49" t="inlineStr">
        <is>
          <t>BERKADIA COMMERCIAL MORTGAGE, LLC</t>
        </is>
      </c>
      <c r="E49" t="inlineStr">
        <is>
          <t>221d4</t>
        </is>
      </c>
      <c r="F49" t="inlineStr">
        <is>
          <t>RP</t>
        </is>
      </c>
      <c r="G49" t="n">
        <v>2017</v>
      </c>
      <c r="H49" t="inlineStr">
        <is>
          <t>202602</t>
        </is>
      </c>
      <c r="I49" s="22" t="n">
        <v>137331.58</v>
      </c>
      <c r="J49" s="23" t="n">
        <v>4.25</v>
      </c>
      <c r="K49" s="24" t="n">
        <v>447</v>
      </c>
      <c r="L49" s="24" t="n">
        <v>3</v>
      </c>
      <c r="M49" t="n">
        <v>102</v>
      </c>
      <c r="N49" t="n">
        <v>36</v>
      </c>
      <c r="O49" t="n">
        <v>204712</v>
      </c>
      <c r="P49" t="inlineStr"/>
      <c r="Q49" t="inlineStr">
        <is>
          <t>4082</t>
        </is>
      </c>
      <c r="R49" t="n">
        <v>0</v>
      </c>
      <c r="S49" t="n">
        <v>1</v>
      </c>
      <c r="T49" t="n">
        <v>0</v>
      </c>
      <c r="U49" t="n">
        <v>0</v>
      </c>
      <c r="V49" s="24">
        <f>J49*100-K49</f>
        <v/>
      </c>
      <c r="W49" s="24">
        <f>L49</f>
        <v/>
      </c>
      <c r="X49" s="25">
        <f>MIN(M49,36)</f>
        <v/>
      </c>
      <c r="Y49" s="25">
        <f>MIN(MAX(M49-36,0),84)</f>
        <v/>
      </c>
      <c r="Z49" s="25">
        <f>MAX(M49-120,0)</f>
        <v/>
      </c>
      <c r="AA49" s="25">
        <f>IF(OR(O49="",NOT(ISNUMBER(O49))),360,MAX(0,MIN(480,(INT(O49/100)-INT(VALUE(H49)/100))*12+MOD(O49,100)-MOD(VALUE(H49),100))))</f>
        <v/>
      </c>
      <c r="AB49">
        <f>IF(AND(AA49&gt;0,AA49&lt;=24),1,0)</f>
        <v/>
      </c>
      <c r="AC49" s="25">
        <f>IF(OR(P49="",NOT(ISNUMBER(P49))),0,MAX(0,MIN(24,(INT(VALUE(H49)/100)-INT(P49/100))*12+MOD(VALUE(H49),100)-MOD(P49,100))))</f>
        <v/>
      </c>
      <c r="AD49" s="23">
        <f>LN(1+I49)</f>
        <v/>
      </c>
      <c r="AE49">
        <f>IF(I49&lt;2000000,1,0)</f>
        <v/>
      </c>
      <c r="AF49">
        <f>IF(I49&gt;50000000,1,0)</f>
        <v/>
      </c>
      <c r="AG49" s="23">
        <f>IF(ISNUMBER(M49),N49/MAX(M49,1),0)</f>
        <v/>
      </c>
      <c r="AH49">
        <f>IF(G49&gt;=2021,1,0)</f>
        <v/>
      </c>
      <c r="AI49">
        <f>S49</f>
        <v/>
      </c>
      <c r="AJ49">
        <f>T49</f>
        <v/>
      </c>
      <c r="AK49">
        <f>R49</f>
        <v/>
      </c>
      <c r="AL49">
        <f>U49</f>
        <v/>
      </c>
      <c r="AM49">
        <f>IF(ISNUMBER(SEARCH("CAPITAL FUNDING",D49)),1,0)</f>
        <v/>
      </c>
      <c r="AN49">
        <f>IF(ISNUMBER(SEARCH("PNC",D49)),1,0)</f>
        <v/>
      </c>
      <c r="AO49">
        <f>IF(ISNUMBER(SEARCH("WELLS FARGO",D49)),1,0)</f>
        <v/>
      </c>
      <c r="AP49">
        <f>IF(ISNUMBER(SEARCH("DWIGHT",D49)),1,0)</f>
        <v/>
      </c>
      <c r="AQ49">
        <f>IF(ISNUMBER(SEARCH("GREYSTONE",D49)),1,0)</f>
        <v/>
      </c>
      <c r="AR49">
        <f>IF(OR(Q49="3896",Q49="3557"),1,0)</f>
        <v/>
      </c>
      <c r="AS49" s="24">
        <f>V49*W49</f>
        <v/>
      </c>
      <c r="AT49" s="26">
        <f>V$4*(V49-V$3)</f>
        <v/>
      </c>
      <c r="AU49" s="26">
        <f>W$4*(W49-W$3)</f>
        <v/>
      </c>
      <c r="AV49" s="26">
        <f>X$4*(X49-X$3)</f>
        <v/>
      </c>
      <c r="AW49" s="26">
        <f>Y$4*(Y49-Y$3)</f>
        <v/>
      </c>
      <c r="AX49" s="26">
        <f>Z$4*(Z49-Z$3)</f>
        <v/>
      </c>
      <c r="AY49" s="26">
        <f>AA$4*(AA49-AA$3)</f>
        <v/>
      </c>
      <c r="AZ49" s="26">
        <f>AB$4*(AB49-AB$3)</f>
        <v/>
      </c>
      <c r="BA49" s="26">
        <f>AC$4*(AC49-AC$3)</f>
        <v/>
      </c>
      <c r="BB49" s="26">
        <f>AD$4*(AD49-AD$3)</f>
        <v/>
      </c>
      <c r="BC49" s="26">
        <f>AE$4*(AE49-AE$3)</f>
        <v/>
      </c>
      <c r="BD49" s="26">
        <f>AF$4*(AF49-AF$3)</f>
        <v/>
      </c>
      <c r="BE49" s="26">
        <f>AG$4*(AG49-AG$3)</f>
        <v/>
      </c>
      <c r="BF49" s="26">
        <f>AH$4*(AH49-AH$3)</f>
        <v/>
      </c>
      <c r="BG49" s="26">
        <f>AI$4*(AI49-AI$3)</f>
        <v/>
      </c>
      <c r="BH49" s="26">
        <f>AJ$4*(AJ49-AJ$3)</f>
        <v/>
      </c>
      <c r="BI49" s="26">
        <f>AK$4*(AK49-AK$3)</f>
        <v/>
      </c>
      <c r="BJ49" s="26">
        <f>AL$4*(AL49-AL$3)</f>
        <v/>
      </c>
      <c r="BK49" s="26">
        <f>AM$4*(AM49-AM$3)</f>
        <v/>
      </c>
      <c r="BL49" s="26">
        <f>AN$4*(AN49-AN$3)</f>
        <v/>
      </c>
      <c r="BM49" s="26">
        <f>AO$4*(AO49-AO$3)</f>
        <v/>
      </c>
      <c r="BN49" s="26">
        <f>AP$4*(AP49-AP$3)</f>
        <v/>
      </c>
      <c r="BO49" s="26">
        <f>AQ$4*(AQ49-AQ$3)</f>
        <v/>
      </c>
      <c r="BP49" s="26">
        <f>AR$4*(AR49-AR$3)</f>
        <v/>
      </c>
      <c r="BQ49" s="26">
        <f>AS$4*(AS49-AS$3)</f>
        <v/>
      </c>
      <c r="BR49" s="27">
        <f>SUM(AT49:BQ49)</f>
        <v/>
      </c>
      <c r="BS49" s="27">
        <f>INTERCEPT_SCALED+BR49</f>
        <v/>
      </c>
      <c r="BT49" s="28">
        <f>1/(1+EXP(-BS49))</f>
        <v/>
      </c>
      <c r="BU49" s="13">
        <f>1-(1-BT49)^12</f>
        <v/>
      </c>
      <c r="BV49" s="13">
        <f>IFERROR(AT49/BR49*(BU49-BASELINE_CPR),0)</f>
        <v/>
      </c>
      <c r="BW49" s="13">
        <f>IFERROR(AU49/BR49*(BU49-BASELINE_CPR),0)</f>
        <v/>
      </c>
      <c r="BX49" s="13">
        <f>IFERROR(AV49/BR49*(BU49-BASELINE_CPR),0)</f>
        <v/>
      </c>
      <c r="BY49" s="13">
        <f>IFERROR(AW49/BR49*(BU49-BASELINE_CPR),0)</f>
        <v/>
      </c>
      <c r="BZ49" s="13">
        <f>IFERROR(AX49/BR49*(BU49-BASELINE_CPR),0)</f>
        <v/>
      </c>
      <c r="CA49" s="13">
        <f>IFERROR(AY49/BR49*(BU49-BASELINE_CPR),0)</f>
        <v/>
      </c>
      <c r="CB49" s="13">
        <f>IFERROR(AZ49/BR49*(BU49-BASELINE_CPR),0)</f>
        <v/>
      </c>
      <c r="CC49" s="13">
        <f>IFERROR(BA49/BR49*(BU49-BASELINE_CPR),0)</f>
        <v/>
      </c>
      <c r="CD49" s="13">
        <f>IFERROR(BB49/BR49*(BU49-BASELINE_CPR),0)</f>
        <v/>
      </c>
      <c r="CE49" s="13">
        <f>IFERROR(BC49/BR49*(BU49-BASELINE_CPR),0)</f>
        <v/>
      </c>
      <c r="CF49" s="13">
        <f>IFERROR(BD49/BR49*(BU49-BASELINE_CPR),0)</f>
        <v/>
      </c>
      <c r="CG49" s="13">
        <f>IFERROR(BE49/BR49*(BU49-BASELINE_CPR),0)</f>
        <v/>
      </c>
      <c r="CH49" s="13">
        <f>IFERROR(BF49/BR49*(BU49-BASELINE_CPR),0)</f>
        <v/>
      </c>
      <c r="CI49" s="13">
        <f>IFERROR(BG49/BR49*(BU49-BASELINE_CPR),0)</f>
        <v/>
      </c>
      <c r="CJ49" s="13">
        <f>IFERROR(BH49/BR49*(BU49-BASELINE_CPR),0)</f>
        <v/>
      </c>
      <c r="CK49" s="13">
        <f>IFERROR(BI49/BR49*(BU49-BASELINE_CPR),0)</f>
        <v/>
      </c>
      <c r="CL49" s="13">
        <f>IFERROR(BJ49/BR49*(BU49-BASELINE_CPR),0)</f>
        <v/>
      </c>
      <c r="CM49" s="13">
        <f>IFERROR(BK49/BR49*(BU49-BASELINE_CPR),0)</f>
        <v/>
      </c>
      <c r="CN49" s="13">
        <f>IFERROR(BL49/BR49*(BU49-BASELINE_CPR),0)</f>
        <v/>
      </c>
      <c r="CO49" s="13">
        <f>IFERROR(BM49/BR49*(BU49-BASELINE_CPR),0)</f>
        <v/>
      </c>
      <c r="CP49" s="13">
        <f>IFERROR(BN49/BR49*(BU49-BASELINE_CPR),0)</f>
        <v/>
      </c>
      <c r="CQ49" s="13">
        <f>IFERROR(BO49/BR49*(BU49-BASELINE_CPR),0)</f>
        <v/>
      </c>
      <c r="CR49" s="13">
        <f>IFERROR(BP49/BR49*(BU49-BASELINE_CPR),0)</f>
        <v/>
      </c>
      <c r="CS49" s="13">
        <f>IFERROR(BQ49/BR49*(BU49-BASELINE_CPR),0)</f>
        <v/>
      </c>
      <c r="CT49" s="29">
        <f>BASELINE_CPR+SUM(BV49:CS49)-BU49</f>
        <v/>
      </c>
    </row>
    <row r="50">
      <c r="A50" s="2" t="inlineStr">
        <is>
          <t>3617XJZZ6_000000011535902</t>
        </is>
      </c>
      <c r="B50" t="inlineStr">
        <is>
          <t>BERKADIA_POST21</t>
        </is>
      </c>
      <c r="C50" s="2" t="inlineStr">
        <is>
          <t>3617XJZZ6</t>
        </is>
      </c>
      <c r="D50" t="inlineStr">
        <is>
          <t>BERKADIA COMMERCIAL MORTGAGE, LLC</t>
        </is>
      </c>
      <c r="E50" t="inlineStr">
        <is>
          <t>221d4</t>
        </is>
      </c>
      <c r="F50" t="inlineStr">
        <is>
          <t>NC</t>
        </is>
      </c>
      <c r="G50" t="n">
        <v>2021</v>
      </c>
      <c r="H50" t="inlineStr">
        <is>
          <t>202602</t>
        </is>
      </c>
      <c r="I50" s="22" t="n">
        <v>45179299.6</v>
      </c>
      <c r="J50" s="23" t="n">
        <v>2.96</v>
      </c>
      <c r="K50" s="24" t="n">
        <v>447</v>
      </c>
      <c r="L50" s="24" t="n">
        <v>10</v>
      </c>
      <c r="M50" t="n">
        <v>50</v>
      </c>
      <c r="N50" t="n">
        <v>0</v>
      </c>
      <c r="O50" t="n">
        <v>206408</v>
      </c>
      <c r="P50" t="inlineStr"/>
      <c r="Q50" t="inlineStr">
        <is>
          <t>4082</t>
        </is>
      </c>
      <c r="R50" t="n">
        <v>0</v>
      </c>
      <c r="S50" t="n">
        <v>0</v>
      </c>
      <c r="T50" t="n">
        <v>0</v>
      </c>
      <c r="U50" t="n">
        <v>1</v>
      </c>
      <c r="V50" s="24">
        <f>J50*100-K50</f>
        <v/>
      </c>
      <c r="W50" s="24">
        <f>L50</f>
        <v/>
      </c>
      <c r="X50" s="25">
        <f>MIN(M50,36)</f>
        <v/>
      </c>
      <c r="Y50" s="25">
        <f>MIN(MAX(M50-36,0),84)</f>
        <v/>
      </c>
      <c r="Z50" s="25">
        <f>MAX(M50-120,0)</f>
        <v/>
      </c>
      <c r="AA50" s="25">
        <f>IF(OR(O50="",NOT(ISNUMBER(O50))),360,MAX(0,MIN(480,(INT(O50/100)-INT(VALUE(H50)/100))*12+MOD(O50,100)-MOD(VALUE(H50),100))))</f>
        <v/>
      </c>
      <c r="AB50">
        <f>IF(AND(AA50&gt;0,AA50&lt;=24),1,0)</f>
        <v/>
      </c>
      <c r="AC50" s="25">
        <f>IF(OR(P50="",NOT(ISNUMBER(P50))),0,MAX(0,MIN(24,(INT(VALUE(H50)/100)-INT(P50/100))*12+MOD(VALUE(H50),100)-MOD(P50,100))))</f>
        <v/>
      </c>
      <c r="AD50" s="23">
        <f>LN(1+I50)</f>
        <v/>
      </c>
      <c r="AE50">
        <f>IF(I50&lt;2000000,1,0)</f>
        <v/>
      </c>
      <c r="AF50">
        <f>IF(I50&gt;50000000,1,0)</f>
        <v/>
      </c>
      <c r="AG50" s="23">
        <f>IF(ISNUMBER(M50),N50/MAX(M50,1),0)</f>
        <v/>
      </c>
      <c r="AH50">
        <f>IF(G50&gt;=2021,1,0)</f>
        <v/>
      </c>
      <c r="AI50">
        <f>S50</f>
        <v/>
      </c>
      <c r="AJ50">
        <f>T50</f>
        <v/>
      </c>
      <c r="AK50">
        <f>R50</f>
        <v/>
      </c>
      <c r="AL50">
        <f>U50</f>
        <v/>
      </c>
      <c r="AM50">
        <f>IF(ISNUMBER(SEARCH("CAPITAL FUNDING",D50)),1,0)</f>
        <v/>
      </c>
      <c r="AN50">
        <f>IF(ISNUMBER(SEARCH("PNC",D50)),1,0)</f>
        <v/>
      </c>
      <c r="AO50">
        <f>IF(ISNUMBER(SEARCH("WELLS FARGO",D50)),1,0)</f>
        <v/>
      </c>
      <c r="AP50">
        <f>IF(ISNUMBER(SEARCH("DWIGHT",D50)),1,0)</f>
        <v/>
      </c>
      <c r="AQ50">
        <f>IF(ISNUMBER(SEARCH("GREYSTONE",D50)),1,0)</f>
        <v/>
      </c>
      <c r="AR50">
        <f>IF(OR(Q50="3896",Q50="3557"),1,0)</f>
        <v/>
      </c>
      <c r="AS50" s="24">
        <f>V50*W50</f>
        <v/>
      </c>
      <c r="AT50" s="26">
        <f>V$4*(V50-V$3)</f>
        <v/>
      </c>
      <c r="AU50" s="26">
        <f>W$4*(W50-W$3)</f>
        <v/>
      </c>
      <c r="AV50" s="26">
        <f>X$4*(X50-X$3)</f>
        <v/>
      </c>
      <c r="AW50" s="26">
        <f>Y$4*(Y50-Y$3)</f>
        <v/>
      </c>
      <c r="AX50" s="26">
        <f>Z$4*(Z50-Z$3)</f>
        <v/>
      </c>
      <c r="AY50" s="26">
        <f>AA$4*(AA50-AA$3)</f>
        <v/>
      </c>
      <c r="AZ50" s="26">
        <f>AB$4*(AB50-AB$3)</f>
        <v/>
      </c>
      <c r="BA50" s="26">
        <f>AC$4*(AC50-AC$3)</f>
        <v/>
      </c>
      <c r="BB50" s="26">
        <f>AD$4*(AD50-AD$3)</f>
        <v/>
      </c>
      <c r="BC50" s="26">
        <f>AE$4*(AE50-AE$3)</f>
        <v/>
      </c>
      <c r="BD50" s="26">
        <f>AF$4*(AF50-AF$3)</f>
        <v/>
      </c>
      <c r="BE50" s="26">
        <f>AG$4*(AG50-AG$3)</f>
        <v/>
      </c>
      <c r="BF50" s="26">
        <f>AH$4*(AH50-AH$3)</f>
        <v/>
      </c>
      <c r="BG50" s="26">
        <f>AI$4*(AI50-AI$3)</f>
        <v/>
      </c>
      <c r="BH50" s="26">
        <f>AJ$4*(AJ50-AJ$3)</f>
        <v/>
      </c>
      <c r="BI50" s="26">
        <f>AK$4*(AK50-AK$3)</f>
        <v/>
      </c>
      <c r="BJ50" s="26">
        <f>AL$4*(AL50-AL$3)</f>
        <v/>
      </c>
      <c r="BK50" s="26">
        <f>AM$4*(AM50-AM$3)</f>
        <v/>
      </c>
      <c r="BL50" s="26">
        <f>AN$4*(AN50-AN$3)</f>
        <v/>
      </c>
      <c r="BM50" s="26">
        <f>AO$4*(AO50-AO$3)</f>
        <v/>
      </c>
      <c r="BN50" s="26">
        <f>AP$4*(AP50-AP$3)</f>
        <v/>
      </c>
      <c r="BO50" s="26">
        <f>AQ$4*(AQ50-AQ$3)</f>
        <v/>
      </c>
      <c r="BP50" s="26">
        <f>AR$4*(AR50-AR$3)</f>
        <v/>
      </c>
      <c r="BQ50" s="26">
        <f>AS$4*(AS50-AS$3)</f>
        <v/>
      </c>
      <c r="BR50" s="27">
        <f>SUM(AT50:BQ50)</f>
        <v/>
      </c>
      <c r="BS50" s="27">
        <f>INTERCEPT_SCALED+BR50</f>
        <v/>
      </c>
      <c r="BT50" s="28">
        <f>1/(1+EXP(-BS50))</f>
        <v/>
      </c>
      <c r="BU50" s="13">
        <f>1-(1-BT50)^12</f>
        <v/>
      </c>
      <c r="BV50" s="13">
        <f>IFERROR(AT50/BR50*(BU50-BASELINE_CPR),0)</f>
        <v/>
      </c>
      <c r="BW50" s="13">
        <f>IFERROR(AU50/BR50*(BU50-BASELINE_CPR),0)</f>
        <v/>
      </c>
      <c r="BX50" s="13">
        <f>IFERROR(AV50/BR50*(BU50-BASELINE_CPR),0)</f>
        <v/>
      </c>
      <c r="BY50" s="13">
        <f>IFERROR(AW50/BR50*(BU50-BASELINE_CPR),0)</f>
        <v/>
      </c>
      <c r="BZ50" s="13">
        <f>IFERROR(AX50/BR50*(BU50-BASELINE_CPR),0)</f>
        <v/>
      </c>
      <c r="CA50" s="13">
        <f>IFERROR(AY50/BR50*(BU50-BASELINE_CPR),0)</f>
        <v/>
      </c>
      <c r="CB50" s="13">
        <f>IFERROR(AZ50/BR50*(BU50-BASELINE_CPR),0)</f>
        <v/>
      </c>
      <c r="CC50" s="13">
        <f>IFERROR(BA50/BR50*(BU50-BASELINE_CPR),0)</f>
        <v/>
      </c>
      <c r="CD50" s="13">
        <f>IFERROR(BB50/BR50*(BU50-BASELINE_CPR),0)</f>
        <v/>
      </c>
      <c r="CE50" s="13">
        <f>IFERROR(BC50/BR50*(BU50-BASELINE_CPR),0)</f>
        <v/>
      </c>
      <c r="CF50" s="13">
        <f>IFERROR(BD50/BR50*(BU50-BASELINE_CPR),0)</f>
        <v/>
      </c>
      <c r="CG50" s="13">
        <f>IFERROR(BE50/BR50*(BU50-BASELINE_CPR),0)</f>
        <v/>
      </c>
      <c r="CH50" s="13">
        <f>IFERROR(BF50/BR50*(BU50-BASELINE_CPR),0)</f>
        <v/>
      </c>
      <c r="CI50" s="13">
        <f>IFERROR(BG50/BR50*(BU50-BASELINE_CPR),0)</f>
        <v/>
      </c>
      <c r="CJ50" s="13">
        <f>IFERROR(BH50/BR50*(BU50-BASELINE_CPR),0)</f>
        <v/>
      </c>
      <c r="CK50" s="13">
        <f>IFERROR(BI50/BR50*(BU50-BASELINE_CPR),0)</f>
        <v/>
      </c>
      <c r="CL50" s="13">
        <f>IFERROR(BJ50/BR50*(BU50-BASELINE_CPR),0)</f>
        <v/>
      </c>
      <c r="CM50" s="13">
        <f>IFERROR(BK50/BR50*(BU50-BASELINE_CPR),0)</f>
        <v/>
      </c>
      <c r="CN50" s="13">
        <f>IFERROR(BL50/BR50*(BU50-BASELINE_CPR),0)</f>
        <v/>
      </c>
      <c r="CO50" s="13">
        <f>IFERROR(BM50/BR50*(BU50-BASELINE_CPR),0)</f>
        <v/>
      </c>
      <c r="CP50" s="13">
        <f>IFERROR(BN50/BR50*(BU50-BASELINE_CPR),0)</f>
        <v/>
      </c>
      <c r="CQ50" s="13">
        <f>IFERROR(BO50/BR50*(BU50-BASELINE_CPR),0)</f>
        <v/>
      </c>
      <c r="CR50" s="13">
        <f>IFERROR(BP50/BR50*(BU50-BASELINE_CPR),0)</f>
        <v/>
      </c>
      <c r="CS50" s="13">
        <f>IFERROR(BQ50/BR50*(BU50-BASELINE_CPR),0)</f>
        <v/>
      </c>
      <c r="CT50" s="29">
        <f>BASELINE_CPR+SUM(BV50:CS50)-BU50</f>
        <v/>
      </c>
    </row>
    <row r="51">
      <c r="A51" s="2" t="inlineStr">
        <is>
          <t>3617BRLC8_000000005411156</t>
        </is>
      </c>
      <c r="B51" t="inlineStr">
        <is>
          <t>BERKADIA_PRE21</t>
        </is>
      </c>
      <c r="C51" s="2" t="inlineStr">
        <is>
          <t>3617BRLC8</t>
        </is>
      </c>
      <c r="D51" t="inlineStr">
        <is>
          <t>BERKADIA COMMERCIAL MORTGAGE, LLC</t>
        </is>
      </c>
      <c r="E51" t="inlineStr">
        <is>
          <t>223f</t>
        </is>
      </c>
      <c r="F51" t="inlineStr">
        <is>
          <t>RP</t>
        </is>
      </c>
      <c r="G51" t="n">
        <v>2017</v>
      </c>
      <c r="H51" t="inlineStr">
        <is>
          <t>202602</t>
        </is>
      </c>
      <c r="I51" s="22" t="n">
        <v>3384137.38</v>
      </c>
      <c r="J51" s="23" t="n">
        <v>3.99</v>
      </c>
      <c r="K51" s="24" t="n">
        <v>447</v>
      </c>
      <c r="L51" s="24" t="n">
        <v>0</v>
      </c>
      <c r="M51" t="n">
        <v>99</v>
      </c>
      <c r="N51" t="n">
        <v>41</v>
      </c>
      <c r="O51" t="n">
        <v>204806</v>
      </c>
      <c r="P51" t="inlineStr"/>
      <c r="Q51" t="inlineStr">
        <is>
          <t>4082</t>
        </is>
      </c>
      <c r="R51" t="n">
        <v>0</v>
      </c>
      <c r="S51" t="n">
        <v>0</v>
      </c>
      <c r="T51" t="n">
        <v>0</v>
      </c>
      <c r="U51" t="n">
        <v>0</v>
      </c>
      <c r="V51" s="24">
        <f>J51*100-K51</f>
        <v/>
      </c>
      <c r="W51" s="24">
        <f>L51</f>
        <v/>
      </c>
      <c r="X51" s="25">
        <f>MIN(M51,36)</f>
        <v/>
      </c>
      <c r="Y51" s="25">
        <f>MIN(MAX(M51-36,0),84)</f>
        <v/>
      </c>
      <c r="Z51" s="25">
        <f>MAX(M51-120,0)</f>
        <v/>
      </c>
      <c r="AA51" s="25">
        <f>IF(OR(O51="",NOT(ISNUMBER(O51))),360,MAX(0,MIN(480,(INT(O51/100)-INT(VALUE(H51)/100))*12+MOD(O51,100)-MOD(VALUE(H51),100))))</f>
        <v/>
      </c>
      <c r="AB51">
        <f>IF(AND(AA51&gt;0,AA51&lt;=24),1,0)</f>
        <v/>
      </c>
      <c r="AC51" s="25">
        <f>IF(OR(P51="",NOT(ISNUMBER(P51))),0,MAX(0,MIN(24,(INT(VALUE(H51)/100)-INT(P51/100))*12+MOD(VALUE(H51),100)-MOD(P51,100))))</f>
        <v/>
      </c>
      <c r="AD51" s="23">
        <f>LN(1+I51)</f>
        <v/>
      </c>
      <c r="AE51">
        <f>IF(I51&lt;2000000,1,0)</f>
        <v/>
      </c>
      <c r="AF51">
        <f>IF(I51&gt;50000000,1,0)</f>
        <v/>
      </c>
      <c r="AG51" s="23">
        <f>IF(ISNUMBER(M51),N51/MAX(M51,1),0)</f>
        <v/>
      </c>
      <c r="AH51">
        <f>IF(G51&gt;=2021,1,0)</f>
        <v/>
      </c>
      <c r="AI51">
        <f>S51</f>
        <v/>
      </c>
      <c r="AJ51">
        <f>T51</f>
        <v/>
      </c>
      <c r="AK51">
        <f>R51</f>
        <v/>
      </c>
      <c r="AL51">
        <f>U51</f>
        <v/>
      </c>
      <c r="AM51">
        <f>IF(ISNUMBER(SEARCH("CAPITAL FUNDING",D51)),1,0)</f>
        <v/>
      </c>
      <c r="AN51">
        <f>IF(ISNUMBER(SEARCH("PNC",D51)),1,0)</f>
        <v/>
      </c>
      <c r="AO51">
        <f>IF(ISNUMBER(SEARCH("WELLS FARGO",D51)),1,0)</f>
        <v/>
      </c>
      <c r="AP51">
        <f>IF(ISNUMBER(SEARCH("DWIGHT",D51)),1,0)</f>
        <v/>
      </c>
      <c r="AQ51">
        <f>IF(ISNUMBER(SEARCH("GREYSTONE",D51)),1,0)</f>
        <v/>
      </c>
      <c r="AR51">
        <f>IF(OR(Q51="3896",Q51="3557"),1,0)</f>
        <v/>
      </c>
      <c r="AS51" s="24">
        <f>V51*W51</f>
        <v/>
      </c>
      <c r="AT51" s="26">
        <f>V$4*(V51-V$3)</f>
        <v/>
      </c>
      <c r="AU51" s="26">
        <f>W$4*(W51-W$3)</f>
        <v/>
      </c>
      <c r="AV51" s="26">
        <f>X$4*(X51-X$3)</f>
        <v/>
      </c>
      <c r="AW51" s="26">
        <f>Y$4*(Y51-Y$3)</f>
        <v/>
      </c>
      <c r="AX51" s="26">
        <f>Z$4*(Z51-Z$3)</f>
        <v/>
      </c>
      <c r="AY51" s="26">
        <f>AA$4*(AA51-AA$3)</f>
        <v/>
      </c>
      <c r="AZ51" s="26">
        <f>AB$4*(AB51-AB$3)</f>
        <v/>
      </c>
      <c r="BA51" s="26">
        <f>AC$4*(AC51-AC$3)</f>
        <v/>
      </c>
      <c r="BB51" s="26">
        <f>AD$4*(AD51-AD$3)</f>
        <v/>
      </c>
      <c r="BC51" s="26">
        <f>AE$4*(AE51-AE$3)</f>
        <v/>
      </c>
      <c r="BD51" s="26">
        <f>AF$4*(AF51-AF$3)</f>
        <v/>
      </c>
      <c r="BE51" s="26">
        <f>AG$4*(AG51-AG$3)</f>
        <v/>
      </c>
      <c r="BF51" s="26">
        <f>AH$4*(AH51-AH$3)</f>
        <v/>
      </c>
      <c r="BG51" s="26">
        <f>AI$4*(AI51-AI$3)</f>
        <v/>
      </c>
      <c r="BH51" s="26">
        <f>AJ$4*(AJ51-AJ$3)</f>
        <v/>
      </c>
      <c r="BI51" s="26">
        <f>AK$4*(AK51-AK$3)</f>
        <v/>
      </c>
      <c r="BJ51" s="26">
        <f>AL$4*(AL51-AL$3)</f>
        <v/>
      </c>
      <c r="BK51" s="26">
        <f>AM$4*(AM51-AM$3)</f>
        <v/>
      </c>
      <c r="BL51" s="26">
        <f>AN$4*(AN51-AN$3)</f>
        <v/>
      </c>
      <c r="BM51" s="26">
        <f>AO$4*(AO51-AO$3)</f>
        <v/>
      </c>
      <c r="BN51" s="26">
        <f>AP$4*(AP51-AP$3)</f>
        <v/>
      </c>
      <c r="BO51" s="26">
        <f>AQ$4*(AQ51-AQ$3)</f>
        <v/>
      </c>
      <c r="BP51" s="26">
        <f>AR$4*(AR51-AR$3)</f>
        <v/>
      </c>
      <c r="BQ51" s="26">
        <f>AS$4*(AS51-AS$3)</f>
        <v/>
      </c>
      <c r="BR51" s="27">
        <f>SUM(AT51:BQ51)</f>
        <v/>
      </c>
      <c r="BS51" s="27">
        <f>INTERCEPT_SCALED+BR51</f>
        <v/>
      </c>
      <c r="BT51" s="28">
        <f>1/(1+EXP(-BS51))</f>
        <v/>
      </c>
      <c r="BU51" s="13">
        <f>1-(1-BT51)^12</f>
        <v/>
      </c>
      <c r="BV51" s="13">
        <f>IFERROR(AT51/BR51*(BU51-BASELINE_CPR),0)</f>
        <v/>
      </c>
      <c r="BW51" s="13">
        <f>IFERROR(AU51/BR51*(BU51-BASELINE_CPR),0)</f>
        <v/>
      </c>
      <c r="BX51" s="13">
        <f>IFERROR(AV51/BR51*(BU51-BASELINE_CPR),0)</f>
        <v/>
      </c>
      <c r="BY51" s="13">
        <f>IFERROR(AW51/BR51*(BU51-BASELINE_CPR),0)</f>
        <v/>
      </c>
      <c r="BZ51" s="13">
        <f>IFERROR(AX51/BR51*(BU51-BASELINE_CPR),0)</f>
        <v/>
      </c>
      <c r="CA51" s="13">
        <f>IFERROR(AY51/BR51*(BU51-BASELINE_CPR),0)</f>
        <v/>
      </c>
      <c r="CB51" s="13">
        <f>IFERROR(AZ51/BR51*(BU51-BASELINE_CPR),0)</f>
        <v/>
      </c>
      <c r="CC51" s="13">
        <f>IFERROR(BA51/BR51*(BU51-BASELINE_CPR),0)</f>
        <v/>
      </c>
      <c r="CD51" s="13">
        <f>IFERROR(BB51/BR51*(BU51-BASELINE_CPR),0)</f>
        <v/>
      </c>
      <c r="CE51" s="13">
        <f>IFERROR(BC51/BR51*(BU51-BASELINE_CPR),0)</f>
        <v/>
      </c>
      <c r="CF51" s="13">
        <f>IFERROR(BD51/BR51*(BU51-BASELINE_CPR),0)</f>
        <v/>
      </c>
      <c r="CG51" s="13">
        <f>IFERROR(BE51/BR51*(BU51-BASELINE_CPR),0)</f>
        <v/>
      </c>
      <c r="CH51" s="13">
        <f>IFERROR(BF51/BR51*(BU51-BASELINE_CPR),0)</f>
        <v/>
      </c>
      <c r="CI51" s="13">
        <f>IFERROR(BG51/BR51*(BU51-BASELINE_CPR),0)</f>
        <v/>
      </c>
      <c r="CJ51" s="13">
        <f>IFERROR(BH51/BR51*(BU51-BASELINE_CPR),0)</f>
        <v/>
      </c>
      <c r="CK51" s="13">
        <f>IFERROR(BI51/BR51*(BU51-BASELINE_CPR),0)</f>
        <v/>
      </c>
      <c r="CL51" s="13">
        <f>IFERROR(BJ51/BR51*(BU51-BASELINE_CPR),0)</f>
        <v/>
      </c>
      <c r="CM51" s="13">
        <f>IFERROR(BK51/BR51*(BU51-BASELINE_CPR),0)</f>
        <v/>
      </c>
      <c r="CN51" s="13">
        <f>IFERROR(BL51/BR51*(BU51-BASELINE_CPR),0)</f>
        <v/>
      </c>
      <c r="CO51" s="13">
        <f>IFERROR(BM51/BR51*(BU51-BASELINE_CPR),0)</f>
        <v/>
      </c>
      <c r="CP51" s="13">
        <f>IFERROR(BN51/BR51*(BU51-BASELINE_CPR),0)</f>
        <v/>
      </c>
      <c r="CQ51" s="13">
        <f>IFERROR(BO51/BR51*(BU51-BASELINE_CPR),0)</f>
        <v/>
      </c>
      <c r="CR51" s="13">
        <f>IFERROR(BP51/BR51*(BU51-BASELINE_CPR),0)</f>
        <v/>
      </c>
      <c r="CS51" s="13">
        <f>IFERROR(BQ51/BR51*(BU51-BASELINE_CPR),0)</f>
        <v/>
      </c>
      <c r="CT51" s="29">
        <f>BASELINE_CPR+SUM(BV51:CS51)-BU51</f>
        <v/>
      </c>
    </row>
    <row r="52">
      <c r="A52" s="2" t="inlineStr">
        <is>
          <t>3617XJ2D1_000000004711281</t>
        </is>
      </c>
      <c r="B52" t="inlineStr">
        <is>
          <t>BERKADIA_POST21</t>
        </is>
      </c>
      <c r="C52" s="2" t="inlineStr">
        <is>
          <t>3617XJ2D1</t>
        </is>
      </c>
      <c r="D52" t="inlineStr">
        <is>
          <t>BERKADIA COMMERCIAL MORTGAGE, LLC</t>
        </is>
      </c>
      <c r="E52" t="inlineStr">
        <is>
          <t>223f</t>
        </is>
      </c>
      <c r="F52" t="inlineStr">
        <is>
          <t>RP</t>
        </is>
      </c>
      <c r="G52" t="n">
        <v>2021</v>
      </c>
      <c r="H52" t="inlineStr">
        <is>
          <t>202602</t>
        </is>
      </c>
      <c r="I52" s="22" t="n">
        <v>5205375.79</v>
      </c>
      <c r="J52" s="23" t="n">
        <v>2.49</v>
      </c>
      <c r="K52" s="24" t="n">
        <v>447</v>
      </c>
      <c r="L52" s="24" t="n">
        <v>8</v>
      </c>
      <c r="M52" t="n">
        <v>54</v>
      </c>
      <c r="N52" t="n">
        <v>0</v>
      </c>
      <c r="O52" t="n">
        <v>205604</v>
      </c>
      <c r="P52" t="inlineStr"/>
      <c r="Q52" t="inlineStr">
        <is>
          <t>4082</t>
        </is>
      </c>
      <c r="R52" t="n">
        <v>0</v>
      </c>
      <c r="S52" t="n">
        <v>0</v>
      </c>
      <c r="T52" t="n">
        <v>0</v>
      </c>
      <c r="U52" t="n">
        <v>0</v>
      </c>
      <c r="V52" s="24">
        <f>J52*100-K52</f>
        <v/>
      </c>
      <c r="W52" s="24">
        <f>L52</f>
        <v/>
      </c>
      <c r="X52" s="25">
        <f>MIN(M52,36)</f>
        <v/>
      </c>
      <c r="Y52" s="25">
        <f>MIN(MAX(M52-36,0),84)</f>
        <v/>
      </c>
      <c r="Z52" s="25">
        <f>MAX(M52-120,0)</f>
        <v/>
      </c>
      <c r="AA52" s="25">
        <f>IF(OR(O52="",NOT(ISNUMBER(O52))),360,MAX(0,MIN(480,(INT(O52/100)-INT(VALUE(H52)/100))*12+MOD(O52,100)-MOD(VALUE(H52),100))))</f>
        <v/>
      </c>
      <c r="AB52">
        <f>IF(AND(AA52&gt;0,AA52&lt;=24),1,0)</f>
        <v/>
      </c>
      <c r="AC52" s="25">
        <f>IF(OR(P52="",NOT(ISNUMBER(P52))),0,MAX(0,MIN(24,(INT(VALUE(H52)/100)-INT(P52/100))*12+MOD(VALUE(H52),100)-MOD(P52,100))))</f>
        <v/>
      </c>
      <c r="AD52" s="23">
        <f>LN(1+I52)</f>
        <v/>
      </c>
      <c r="AE52">
        <f>IF(I52&lt;2000000,1,0)</f>
        <v/>
      </c>
      <c r="AF52">
        <f>IF(I52&gt;50000000,1,0)</f>
        <v/>
      </c>
      <c r="AG52" s="23">
        <f>IF(ISNUMBER(M52),N52/MAX(M52,1),0)</f>
        <v/>
      </c>
      <c r="AH52">
        <f>IF(G52&gt;=2021,1,0)</f>
        <v/>
      </c>
      <c r="AI52">
        <f>S52</f>
        <v/>
      </c>
      <c r="AJ52">
        <f>T52</f>
        <v/>
      </c>
      <c r="AK52">
        <f>R52</f>
        <v/>
      </c>
      <c r="AL52">
        <f>U52</f>
        <v/>
      </c>
      <c r="AM52">
        <f>IF(ISNUMBER(SEARCH("CAPITAL FUNDING",D52)),1,0)</f>
        <v/>
      </c>
      <c r="AN52">
        <f>IF(ISNUMBER(SEARCH("PNC",D52)),1,0)</f>
        <v/>
      </c>
      <c r="AO52">
        <f>IF(ISNUMBER(SEARCH("WELLS FARGO",D52)),1,0)</f>
        <v/>
      </c>
      <c r="AP52">
        <f>IF(ISNUMBER(SEARCH("DWIGHT",D52)),1,0)</f>
        <v/>
      </c>
      <c r="AQ52">
        <f>IF(ISNUMBER(SEARCH("GREYSTONE",D52)),1,0)</f>
        <v/>
      </c>
      <c r="AR52">
        <f>IF(OR(Q52="3896",Q52="3557"),1,0)</f>
        <v/>
      </c>
      <c r="AS52" s="24">
        <f>V52*W52</f>
        <v/>
      </c>
      <c r="AT52" s="26">
        <f>V$4*(V52-V$3)</f>
        <v/>
      </c>
      <c r="AU52" s="26">
        <f>W$4*(W52-W$3)</f>
        <v/>
      </c>
      <c r="AV52" s="26">
        <f>X$4*(X52-X$3)</f>
        <v/>
      </c>
      <c r="AW52" s="26">
        <f>Y$4*(Y52-Y$3)</f>
        <v/>
      </c>
      <c r="AX52" s="26">
        <f>Z$4*(Z52-Z$3)</f>
        <v/>
      </c>
      <c r="AY52" s="26">
        <f>AA$4*(AA52-AA$3)</f>
        <v/>
      </c>
      <c r="AZ52" s="26">
        <f>AB$4*(AB52-AB$3)</f>
        <v/>
      </c>
      <c r="BA52" s="26">
        <f>AC$4*(AC52-AC$3)</f>
        <v/>
      </c>
      <c r="BB52" s="26">
        <f>AD$4*(AD52-AD$3)</f>
        <v/>
      </c>
      <c r="BC52" s="26">
        <f>AE$4*(AE52-AE$3)</f>
        <v/>
      </c>
      <c r="BD52" s="26">
        <f>AF$4*(AF52-AF$3)</f>
        <v/>
      </c>
      <c r="BE52" s="26">
        <f>AG$4*(AG52-AG$3)</f>
        <v/>
      </c>
      <c r="BF52" s="26">
        <f>AH$4*(AH52-AH$3)</f>
        <v/>
      </c>
      <c r="BG52" s="26">
        <f>AI$4*(AI52-AI$3)</f>
        <v/>
      </c>
      <c r="BH52" s="26">
        <f>AJ$4*(AJ52-AJ$3)</f>
        <v/>
      </c>
      <c r="BI52" s="26">
        <f>AK$4*(AK52-AK$3)</f>
        <v/>
      </c>
      <c r="BJ52" s="26">
        <f>AL$4*(AL52-AL$3)</f>
        <v/>
      </c>
      <c r="BK52" s="26">
        <f>AM$4*(AM52-AM$3)</f>
        <v/>
      </c>
      <c r="BL52" s="26">
        <f>AN$4*(AN52-AN$3)</f>
        <v/>
      </c>
      <c r="BM52" s="26">
        <f>AO$4*(AO52-AO$3)</f>
        <v/>
      </c>
      <c r="BN52" s="26">
        <f>AP$4*(AP52-AP$3)</f>
        <v/>
      </c>
      <c r="BO52" s="26">
        <f>AQ$4*(AQ52-AQ$3)</f>
        <v/>
      </c>
      <c r="BP52" s="26">
        <f>AR$4*(AR52-AR$3)</f>
        <v/>
      </c>
      <c r="BQ52" s="26">
        <f>AS$4*(AS52-AS$3)</f>
        <v/>
      </c>
      <c r="BR52" s="27">
        <f>SUM(AT52:BQ52)</f>
        <v/>
      </c>
      <c r="BS52" s="27">
        <f>INTERCEPT_SCALED+BR52</f>
        <v/>
      </c>
      <c r="BT52" s="28">
        <f>1/(1+EXP(-BS52))</f>
        <v/>
      </c>
      <c r="BU52" s="13">
        <f>1-(1-BT52)^12</f>
        <v/>
      </c>
      <c r="BV52" s="13">
        <f>IFERROR(AT52/BR52*(BU52-BASELINE_CPR),0)</f>
        <v/>
      </c>
      <c r="BW52" s="13">
        <f>IFERROR(AU52/BR52*(BU52-BASELINE_CPR),0)</f>
        <v/>
      </c>
      <c r="BX52" s="13">
        <f>IFERROR(AV52/BR52*(BU52-BASELINE_CPR),0)</f>
        <v/>
      </c>
      <c r="BY52" s="13">
        <f>IFERROR(AW52/BR52*(BU52-BASELINE_CPR),0)</f>
        <v/>
      </c>
      <c r="BZ52" s="13">
        <f>IFERROR(AX52/BR52*(BU52-BASELINE_CPR),0)</f>
        <v/>
      </c>
      <c r="CA52" s="13">
        <f>IFERROR(AY52/BR52*(BU52-BASELINE_CPR),0)</f>
        <v/>
      </c>
      <c r="CB52" s="13">
        <f>IFERROR(AZ52/BR52*(BU52-BASELINE_CPR),0)</f>
        <v/>
      </c>
      <c r="CC52" s="13">
        <f>IFERROR(BA52/BR52*(BU52-BASELINE_CPR),0)</f>
        <v/>
      </c>
      <c r="CD52" s="13">
        <f>IFERROR(BB52/BR52*(BU52-BASELINE_CPR),0)</f>
        <v/>
      </c>
      <c r="CE52" s="13">
        <f>IFERROR(BC52/BR52*(BU52-BASELINE_CPR),0)</f>
        <v/>
      </c>
      <c r="CF52" s="13">
        <f>IFERROR(BD52/BR52*(BU52-BASELINE_CPR),0)</f>
        <v/>
      </c>
      <c r="CG52" s="13">
        <f>IFERROR(BE52/BR52*(BU52-BASELINE_CPR),0)</f>
        <v/>
      </c>
      <c r="CH52" s="13">
        <f>IFERROR(BF52/BR52*(BU52-BASELINE_CPR),0)</f>
        <v/>
      </c>
      <c r="CI52" s="13">
        <f>IFERROR(BG52/BR52*(BU52-BASELINE_CPR),0)</f>
        <v/>
      </c>
      <c r="CJ52" s="13">
        <f>IFERROR(BH52/BR52*(BU52-BASELINE_CPR),0)</f>
        <v/>
      </c>
      <c r="CK52" s="13">
        <f>IFERROR(BI52/BR52*(BU52-BASELINE_CPR),0)</f>
        <v/>
      </c>
      <c r="CL52" s="13">
        <f>IFERROR(BJ52/BR52*(BU52-BASELINE_CPR),0)</f>
        <v/>
      </c>
      <c r="CM52" s="13">
        <f>IFERROR(BK52/BR52*(BU52-BASELINE_CPR),0)</f>
        <v/>
      </c>
      <c r="CN52" s="13">
        <f>IFERROR(BL52/BR52*(BU52-BASELINE_CPR),0)</f>
        <v/>
      </c>
      <c r="CO52" s="13">
        <f>IFERROR(BM52/BR52*(BU52-BASELINE_CPR),0)</f>
        <v/>
      </c>
      <c r="CP52" s="13">
        <f>IFERROR(BN52/BR52*(BU52-BASELINE_CPR),0)</f>
        <v/>
      </c>
      <c r="CQ52" s="13">
        <f>IFERROR(BO52/BR52*(BU52-BASELINE_CPR),0)</f>
        <v/>
      </c>
      <c r="CR52" s="13">
        <f>IFERROR(BP52/BR52*(BU52-BASELINE_CPR),0)</f>
        <v/>
      </c>
      <c r="CS52" s="13">
        <f>IFERROR(BQ52/BR52*(BU52-BASELINE_CPR),0)</f>
        <v/>
      </c>
      <c r="CT52" s="29">
        <f>BASELINE_CPR+SUM(BV52:CS52)-BU52</f>
        <v/>
      </c>
    </row>
    <row r="53">
      <c r="A53" s="2" t="inlineStr">
        <is>
          <t>3617UNW83_000000005135817</t>
        </is>
      </c>
      <c r="B53" t="inlineStr">
        <is>
          <t>BERKADIA_PRE21</t>
        </is>
      </c>
      <c r="C53" s="2" t="inlineStr">
        <is>
          <t>3617UNW83</t>
        </is>
      </c>
      <c r="D53" t="inlineStr">
        <is>
          <t>BERKADIA COMMERCIAL MORTGAGE, LLC</t>
        </is>
      </c>
      <c r="E53" t="inlineStr">
        <is>
          <t>221d4</t>
        </is>
      </c>
      <c r="F53" t="inlineStr">
        <is>
          <t>RP</t>
        </is>
      </c>
      <c r="G53" t="n">
        <v>2020</v>
      </c>
      <c r="H53" t="inlineStr">
        <is>
          <t>202602</t>
        </is>
      </c>
      <c r="I53" s="22" t="n">
        <v>36370658.07</v>
      </c>
      <c r="J53" s="23" t="n">
        <v>2.3</v>
      </c>
      <c r="K53" s="24" t="n">
        <v>447</v>
      </c>
      <c r="L53" s="24" t="n">
        <v>7</v>
      </c>
      <c r="M53" t="n">
        <v>64</v>
      </c>
      <c r="N53" t="n">
        <v>12</v>
      </c>
      <c r="O53" t="n">
        <v>206103</v>
      </c>
      <c r="P53" t="inlineStr"/>
      <c r="Q53" t="inlineStr">
        <is>
          <t>4082</t>
        </is>
      </c>
      <c r="R53" t="n">
        <v>0</v>
      </c>
      <c r="S53" t="n">
        <v>1</v>
      </c>
      <c r="T53" t="n">
        <v>0</v>
      </c>
      <c r="U53" t="n">
        <v>0</v>
      </c>
      <c r="V53" s="24">
        <f>J53*100-K53</f>
        <v/>
      </c>
      <c r="W53" s="24">
        <f>L53</f>
        <v/>
      </c>
      <c r="X53" s="25">
        <f>MIN(M53,36)</f>
        <v/>
      </c>
      <c r="Y53" s="25">
        <f>MIN(MAX(M53-36,0),84)</f>
        <v/>
      </c>
      <c r="Z53" s="25">
        <f>MAX(M53-120,0)</f>
        <v/>
      </c>
      <c r="AA53" s="25">
        <f>IF(OR(O53="",NOT(ISNUMBER(O53))),360,MAX(0,MIN(480,(INT(O53/100)-INT(VALUE(H53)/100))*12+MOD(O53,100)-MOD(VALUE(H53),100))))</f>
        <v/>
      </c>
      <c r="AB53">
        <f>IF(AND(AA53&gt;0,AA53&lt;=24),1,0)</f>
        <v/>
      </c>
      <c r="AC53" s="25">
        <f>IF(OR(P53="",NOT(ISNUMBER(P53))),0,MAX(0,MIN(24,(INT(VALUE(H53)/100)-INT(P53/100))*12+MOD(VALUE(H53),100)-MOD(P53,100))))</f>
        <v/>
      </c>
      <c r="AD53" s="23">
        <f>LN(1+I53)</f>
        <v/>
      </c>
      <c r="AE53">
        <f>IF(I53&lt;2000000,1,0)</f>
        <v/>
      </c>
      <c r="AF53">
        <f>IF(I53&gt;50000000,1,0)</f>
        <v/>
      </c>
      <c r="AG53" s="23">
        <f>IF(ISNUMBER(M53),N53/MAX(M53,1),0)</f>
        <v/>
      </c>
      <c r="AH53">
        <f>IF(G53&gt;=2021,1,0)</f>
        <v/>
      </c>
      <c r="AI53">
        <f>S53</f>
        <v/>
      </c>
      <c r="AJ53">
        <f>T53</f>
        <v/>
      </c>
      <c r="AK53">
        <f>R53</f>
        <v/>
      </c>
      <c r="AL53">
        <f>U53</f>
        <v/>
      </c>
      <c r="AM53">
        <f>IF(ISNUMBER(SEARCH("CAPITAL FUNDING",D53)),1,0)</f>
        <v/>
      </c>
      <c r="AN53">
        <f>IF(ISNUMBER(SEARCH("PNC",D53)),1,0)</f>
        <v/>
      </c>
      <c r="AO53">
        <f>IF(ISNUMBER(SEARCH("WELLS FARGO",D53)),1,0)</f>
        <v/>
      </c>
      <c r="AP53">
        <f>IF(ISNUMBER(SEARCH("DWIGHT",D53)),1,0)</f>
        <v/>
      </c>
      <c r="AQ53">
        <f>IF(ISNUMBER(SEARCH("GREYSTONE",D53)),1,0)</f>
        <v/>
      </c>
      <c r="AR53">
        <f>IF(OR(Q53="3896",Q53="3557"),1,0)</f>
        <v/>
      </c>
      <c r="AS53" s="24">
        <f>V53*W53</f>
        <v/>
      </c>
      <c r="AT53" s="26">
        <f>V$4*(V53-V$3)</f>
        <v/>
      </c>
      <c r="AU53" s="26">
        <f>W$4*(W53-W$3)</f>
        <v/>
      </c>
      <c r="AV53" s="26">
        <f>X$4*(X53-X$3)</f>
        <v/>
      </c>
      <c r="AW53" s="26">
        <f>Y$4*(Y53-Y$3)</f>
        <v/>
      </c>
      <c r="AX53" s="26">
        <f>Z$4*(Z53-Z$3)</f>
        <v/>
      </c>
      <c r="AY53" s="26">
        <f>AA$4*(AA53-AA$3)</f>
        <v/>
      </c>
      <c r="AZ53" s="26">
        <f>AB$4*(AB53-AB$3)</f>
        <v/>
      </c>
      <c r="BA53" s="26">
        <f>AC$4*(AC53-AC$3)</f>
        <v/>
      </c>
      <c r="BB53" s="26">
        <f>AD$4*(AD53-AD$3)</f>
        <v/>
      </c>
      <c r="BC53" s="26">
        <f>AE$4*(AE53-AE$3)</f>
        <v/>
      </c>
      <c r="BD53" s="26">
        <f>AF$4*(AF53-AF$3)</f>
        <v/>
      </c>
      <c r="BE53" s="26">
        <f>AG$4*(AG53-AG$3)</f>
        <v/>
      </c>
      <c r="BF53" s="26">
        <f>AH$4*(AH53-AH$3)</f>
        <v/>
      </c>
      <c r="BG53" s="26">
        <f>AI$4*(AI53-AI$3)</f>
        <v/>
      </c>
      <c r="BH53" s="26">
        <f>AJ$4*(AJ53-AJ$3)</f>
        <v/>
      </c>
      <c r="BI53" s="26">
        <f>AK$4*(AK53-AK$3)</f>
        <v/>
      </c>
      <c r="BJ53" s="26">
        <f>AL$4*(AL53-AL$3)</f>
        <v/>
      </c>
      <c r="BK53" s="26">
        <f>AM$4*(AM53-AM$3)</f>
        <v/>
      </c>
      <c r="BL53" s="26">
        <f>AN$4*(AN53-AN$3)</f>
        <v/>
      </c>
      <c r="BM53" s="26">
        <f>AO$4*(AO53-AO$3)</f>
        <v/>
      </c>
      <c r="BN53" s="26">
        <f>AP$4*(AP53-AP$3)</f>
        <v/>
      </c>
      <c r="BO53" s="26">
        <f>AQ$4*(AQ53-AQ$3)</f>
        <v/>
      </c>
      <c r="BP53" s="26">
        <f>AR$4*(AR53-AR$3)</f>
        <v/>
      </c>
      <c r="BQ53" s="26">
        <f>AS$4*(AS53-AS$3)</f>
        <v/>
      </c>
      <c r="BR53" s="27">
        <f>SUM(AT53:BQ53)</f>
        <v/>
      </c>
      <c r="BS53" s="27">
        <f>INTERCEPT_SCALED+BR53</f>
        <v/>
      </c>
      <c r="BT53" s="28">
        <f>1/(1+EXP(-BS53))</f>
        <v/>
      </c>
      <c r="BU53" s="13">
        <f>1-(1-BT53)^12</f>
        <v/>
      </c>
      <c r="BV53" s="13">
        <f>IFERROR(AT53/BR53*(BU53-BASELINE_CPR),0)</f>
        <v/>
      </c>
      <c r="BW53" s="13">
        <f>IFERROR(AU53/BR53*(BU53-BASELINE_CPR),0)</f>
        <v/>
      </c>
      <c r="BX53" s="13">
        <f>IFERROR(AV53/BR53*(BU53-BASELINE_CPR),0)</f>
        <v/>
      </c>
      <c r="BY53" s="13">
        <f>IFERROR(AW53/BR53*(BU53-BASELINE_CPR),0)</f>
        <v/>
      </c>
      <c r="BZ53" s="13">
        <f>IFERROR(AX53/BR53*(BU53-BASELINE_CPR),0)</f>
        <v/>
      </c>
      <c r="CA53" s="13">
        <f>IFERROR(AY53/BR53*(BU53-BASELINE_CPR),0)</f>
        <v/>
      </c>
      <c r="CB53" s="13">
        <f>IFERROR(AZ53/BR53*(BU53-BASELINE_CPR),0)</f>
        <v/>
      </c>
      <c r="CC53" s="13">
        <f>IFERROR(BA53/BR53*(BU53-BASELINE_CPR),0)</f>
        <v/>
      </c>
      <c r="CD53" s="13">
        <f>IFERROR(BB53/BR53*(BU53-BASELINE_CPR),0)</f>
        <v/>
      </c>
      <c r="CE53" s="13">
        <f>IFERROR(BC53/BR53*(BU53-BASELINE_CPR),0)</f>
        <v/>
      </c>
      <c r="CF53" s="13">
        <f>IFERROR(BD53/BR53*(BU53-BASELINE_CPR),0)</f>
        <v/>
      </c>
      <c r="CG53" s="13">
        <f>IFERROR(BE53/BR53*(BU53-BASELINE_CPR),0)</f>
        <v/>
      </c>
      <c r="CH53" s="13">
        <f>IFERROR(BF53/BR53*(BU53-BASELINE_CPR),0)</f>
        <v/>
      </c>
      <c r="CI53" s="13">
        <f>IFERROR(BG53/BR53*(BU53-BASELINE_CPR),0)</f>
        <v/>
      </c>
      <c r="CJ53" s="13">
        <f>IFERROR(BH53/BR53*(BU53-BASELINE_CPR),0)</f>
        <v/>
      </c>
      <c r="CK53" s="13">
        <f>IFERROR(BI53/BR53*(BU53-BASELINE_CPR),0)</f>
        <v/>
      </c>
      <c r="CL53" s="13">
        <f>IFERROR(BJ53/BR53*(BU53-BASELINE_CPR),0)</f>
        <v/>
      </c>
      <c r="CM53" s="13">
        <f>IFERROR(BK53/BR53*(BU53-BASELINE_CPR),0)</f>
        <v/>
      </c>
      <c r="CN53" s="13">
        <f>IFERROR(BL53/BR53*(BU53-BASELINE_CPR),0)</f>
        <v/>
      </c>
      <c r="CO53" s="13">
        <f>IFERROR(BM53/BR53*(BU53-BASELINE_CPR),0)</f>
        <v/>
      </c>
      <c r="CP53" s="13">
        <f>IFERROR(BN53/BR53*(BU53-BASELINE_CPR),0)</f>
        <v/>
      </c>
      <c r="CQ53" s="13">
        <f>IFERROR(BO53/BR53*(BU53-BASELINE_CPR),0)</f>
        <v/>
      </c>
      <c r="CR53" s="13">
        <f>IFERROR(BP53/BR53*(BU53-BASELINE_CPR),0)</f>
        <v/>
      </c>
      <c r="CS53" s="13">
        <f>IFERROR(BQ53/BR53*(BU53-BASELINE_CPR),0)</f>
        <v/>
      </c>
      <c r="CT53" s="29">
        <f>BASELINE_CPR+SUM(BV53:CS53)-BU53</f>
        <v/>
      </c>
    </row>
    <row r="54">
      <c r="A54" s="2" t="inlineStr">
        <is>
          <t>3617F6YH5_000000010511134</t>
        </is>
      </c>
      <c r="B54" t="inlineStr">
        <is>
          <t>BERKADIA_POST21</t>
        </is>
      </c>
      <c r="C54" s="2" t="inlineStr">
        <is>
          <t>3617F6YH5</t>
        </is>
      </c>
      <c r="D54" t="inlineStr">
        <is>
          <t>BERKADIA COMMERCIAL MORTGAGE, LLC</t>
        </is>
      </c>
      <c r="E54" t="inlineStr">
        <is>
          <t>223f</t>
        </is>
      </c>
      <c r="F54" t="inlineStr">
        <is>
          <t>RP</t>
        </is>
      </c>
      <c r="G54" t="n">
        <v>2022</v>
      </c>
      <c r="H54" t="inlineStr">
        <is>
          <t>202602</t>
        </is>
      </c>
      <c r="I54" s="22" t="n">
        <v>40172297.82</v>
      </c>
      <c r="J54" s="23" t="n">
        <v>3.68</v>
      </c>
      <c r="K54" s="24" t="n">
        <v>447</v>
      </c>
      <c r="L54" s="24" t="n">
        <v>8</v>
      </c>
      <c r="M54" t="n">
        <v>46</v>
      </c>
      <c r="N54" t="n">
        <v>0</v>
      </c>
      <c r="O54" t="n">
        <v>205709</v>
      </c>
      <c r="P54" t="inlineStr"/>
      <c r="Q54" t="inlineStr">
        <is>
          <t>4082</t>
        </is>
      </c>
      <c r="R54" t="n">
        <v>0</v>
      </c>
      <c r="S54" t="n">
        <v>0</v>
      </c>
      <c r="T54" t="n">
        <v>0</v>
      </c>
      <c r="U54" t="n">
        <v>0</v>
      </c>
      <c r="V54" s="24">
        <f>J54*100-K54</f>
        <v/>
      </c>
      <c r="W54" s="24">
        <f>L54</f>
        <v/>
      </c>
      <c r="X54" s="25">
        <f>MIN(M54,36)</f>
        <v/>
      </c>
      <c r="Y54" s="25">
        <f>MIN(MAX(M54-36,0),84)</f>
        <v/>
      </c>
      <c r="Z54" s="25">
        <f>MAX(M54-120,0)</f>
        <v/>
      </c>
      <c r="AA54" s="25">
        <f>IF(OR(O54="",NOT(ISNUMBER(O54))),360,MAX(0,MIN(480,(INT(O54/100)-INT(VALUE(H54)/100))*12+MOD(O54,100)-MOD(VALUE(H54),100))))</f>
        <v/>
      </c>
      <c r="AB54">
        <f>IF(AND(AA54&gt;0,AA54&lt;=24),1,0)</f>
        <v/>
      </c>
      <c r="AC54" s="25">
        <f>IF(OR(P54="",NOT(ISNUMBER(P54))),0,MAX(0,MIN(24,(INT(VALUE(H54)/100)-INT(P54/100))*12+MOD(VALUE(H54),100)-MOD(P54,100))))</f>
        <v/>
      </c>
      <c r="AD54" s="23">
        <f>LN(1+I54)</f>
        <v/>
      </c>
      <c r="AE54">
        <f>IF(I54&lt;2000000,1,0)</f>
        <v/>
      </c>
      <c r="AF54">
        <f>IF(I54&gt;50000000,1,0)</f>
        <v/>
      </c>
      <c r="AG54" s="23">
        <f>IF(ISNUMBER(M54),N54/MAX(M54,1),0)</f>
        <v/>
      </c>
      <c r="AH54">
        <f>IF(G54&gt;=2021,1,0)</f>
        <v/>
      </c>
      <c r="AI54">
        <f>S54</f>
        <v/>
      </c>
      <c r="AJ54">
        <f>T54</f>
        <v/>
      </c>
      <c r="AK54">
        <f>R54</f>
        <v/>
      </c>
      <c r="AL54">
        <f>U54</f>
        <v/>
      </c>
      <c r="AM54">
        <f>IF(ISNUMBER(SEARCH("CAPITAL FUNDING",D54)),1,0)</f>
        <v/>
      </c>
      <c r="AN54">
        <f>IF(ISNUMBER(SEARCH("PNC",D54)),1,0)</f>
        <v/>
      </c>
      <c r="AO54">
        <f>IF(ISNUMBER(SEARCH("WELLS FARGO",D54)),1,0)</f>
        <v/>
      </c>
      <c r="AP54">
        <f>IF(ISNUMBER(SEARCH("DWIGHT",D54)),1,0)</f>
        <v/>
      </c>
      <c r="AQ54">
        <f>IF(ISNUMBER(SEARCH("GREYSTONE",D54)),1,0)</f>
        <v/>
      </c>
      <c r="AR54">
        <f>IF(OR(Q54="3896",Q54="3557"),1,0)</f>
        <v/>
      </c>
      <c r="AS54" s="24">
        <f>V54*W54</f>
        <v/>
      </c>
      <c r="AT54" s="26">
        <f>V$4*(V54-V$3)</f>
        <v/>
      </c>
      <c r="AU54" s="26">
        <f>W$4*(W54-W$3)</f>
        <v/>
      </c>
      <c r="AV54" s="26">
        <f>X$4*(X54-X$3)</f>
        <v/>
      </c>
      <c r="AW54" s="26">
        <f>Y$4*(Y54-Y$3)</f>
        <v/>
      </c>
      <c r="AX54" s="26">
        <f>Z$4*(Z54-Z$3)</f>
        <v/>
      </c>
      <c r="AY54" s="26">
        <f>AA$4*(AA54-AA$3)</f>
        <v/>
      </c>
      <c r="AZ54" s="26">
        <f>AB$4*(AB54-AB$3)</f>
        <v/>
      </c>
      <c r="BA54" s="26">
        <f>AC$4*(AC54-AC$3)</f>
        <v/>
      </c>
      <c r="BB54" s="26">
        <f>AD$4*(AD54-AD$3)</f>
        <v/>
      </c>
      <c r="BC54" s="26">
        <f>AE$4*(AE54-AE$3)</f>
        <v/>
      </c>
      <c r="BD54" s="26">
        <f>AF$4*(AF54-AF$3)</f>
        <v/>
      </c>
      <c r="BE54" s="26">
        <f>AG$4*(AG54-AG$3)</f>
        <v/>
      </c>
      <c r="BF54" s="26">
        <f>AH$4*(AH54-AH$3)</f>
        <v/>
      </c>
      <c r="BG54" s="26">
        <f>AI$4*(AI54-AI$3)</f>
        <v/>
      </c>
      <c r="BH54" s="26">
        <f>AJ$4*(AJ54-AJ$3)</f>
        <v/>
      </c>
      <c r="BI54" s="26">
        <f>AK$4*(AK54-AK$3)</f>
        <v/>
      </c>
      <c r="BJ54" s="26">
        <f>AL$4*(AL54-AL$3)</f>
        <v/>
      </c>
      <c r="BK54" s="26">
        <f>AM$4*(AM54-AM$3)</f>
        <v/>
      </c>
      <c r="BL54" s="26">
        <f>AN$4*(AN54-AN$3)</f>
        <v/>
      </c>
      <c r="BM54" s="26">
        <f>AO$4*(AO54-AO$3)</f>
        <v/>
      </c>
      <c r="BN54" s="26">
        <f>AP$4*(AP54-AP$3)</f>
        <v/>
      </c>
      <c r="BO54" s="26">
        <f>AQ$4*(AQ54-AQ$3)</f>
        <v/>
      </c>
      <c r="BP54" s="26">
        <f>AR$4*(AR54-AR$3)</f>
        <v/>
      </c>
      <c r="BQ54" s="26">
        <f>AS$4*(AS54-AS$3)</f>
        <v/>
      </c>
      <c r="BR54" s="27">
        <f>SUM(AT54:BQ54)</f>
        <v/>
      </c>
      <c r="BS54" s="27">
        <f>INTERCEPT_SCALED+BR54</f>
        <v/>
      </c>
      <c r="BT54" s="28">
        <f>1/(1+EXP(-BS54))</f>
        <v/>
      </c>
      <c r="BU54" s="13">
        <f>1-(1-BT54)^12</f>
        <v/>
      </c>
      <c r="BV54" s="13">
        <f>IFERROR(AT54/BR54*(BU54-BASELINE_CPR),0)</f>
        <v/>
      </c>
      <c r="BW54" s="13">
        <f>IFERROR(AU54/BR54*(BU54-BASELINE_CPR),0)</f>
        <v/>
      </c>
      <c r="BX54" s="13">
        <f>IFERROR(AV54/BR54*(BU54-BASELINE_CPR),0)</f>
        <v/>
      </c>
      <c r="BY54" s="13">
        <f>IFERROR(AW54/BR54*(BU54-BASELINE_CPR),0)</f>
        <v/>
      </c>
      <c r="BZ54" s="13">
        <f>IFERROR(AX54/BR54*(BU54-BASELINE_CPR),0)</f>
        <v/>
      </c>
      <c r="CA54" s="13">
        <f>IFERROR(AY54/BR54*(BU54-BASELINE_CPR),0)</f>
        <v/>
      </c>
      <c r="CB54" s="13">
        <f>IFERROR(AZ54/BR54*(BU54-BASELINE_CPR),0)</f>
        <v/>
      </c>
      <c r="CC54" s="13">
        <f>IFERROR(BA54/BR54*(BU54-BASELINE_CPR),0)</f>
        <v/>
      </c>
      <c r="CD54" s="13">
        <f>IFERROR(BB54/BR54*(BU54-BASELINE_CPR),0)</f>
        <v/>
      </c>
      <c r="CE54" s="13">
        <f>IFERROR(BC54/BR54*(BU54-BASELINE_CPR),0)</f>
        <v/>
      </c>
      <c r="CF54" s="13">
        <f>IFERROR(BD54/BR54*(BU54-BASELINE_CPR),0)</f>
        <v/>
      </c>
      <c r="CG54" s="13">
        <f>IFERROR(BE54/BR54*(BU54-BASELINE_CPR),0)</f>
        <v/>
      </c>
      <c r="CH54" s="13">
        <f>IFERROR(BF54/BR54*(BU54-BASELINE_CPR),0)</f>
        <v/>
      </c>
      <c r="CI54" s="13">
        <f>IFERROR(BG54/BR54*(BU54-BASELINE_CPR),0)</f>
        <v/>
      </c>
      <c r="CJ54" s="13">
        <f>IFERROR(BH54/BR54*(BU54-BASELINE_CPR),0)</f>
        <v/>
      </c>
      <c r="CK54" s="13">
        <f>IFERROR(BI54/BR54*(BU54-BASELINE_CPR),0)</f>
        <v/>
      </c>
      <c r="CL54" s="13">
        <f>IFERROR(BJ54/BR54*(BU54-BASELINE_CPR),0)</f>
        <v/>
      </c>
      <c r="CM54" s="13">
        <f>IFERROR(BK54/BR54*(BU54-BASELINE_CPR),0)</f>
        <v/>
      </c>
      <c r="CN54" s="13">
        <f>IFERROR(BL54/BR54*(BU54-BASELINE_CPR),0)</f>
        <v/>
      </c>
      <c r="CO54" s="13">
        <f>IFERROR(BM54/BR54*(BU54-BASELINE_CPR),0)</f>
        <v/>
      </c>
      <c r="CP54" s="13">
        <f>IFERROR(BN54/BR54*(BU54-BASELINE_CPR),0)</f>
        <v/>
      </c>
      <c r="CQ54" s="13">
        <f>IFERROR(BO54/BR54*(BU54-BASELINE_CPR),0)</f>
        <v/>
      </c>
      <c r="CR54" s="13">
        <f>IFERROR(BP54/BR54*(BU54-BASELINE_CPR),0)</f>
        <v/>
      </c>
      <c r="CS54" s="13">
        <f>IFERROR(BQ54/BR54*(BU54-BASELINE_CPR),0)</f>
        <v/>
      </c>
      <c r="CT54" s="29">
        <f>BASELINE_CPR+SUM(BV54:CS54)-BU54</f>
        <v/>
      </c>
    </row>
    <row r="55">
      <c r="A55" s="2" t="inlineStr">
        <is>
          <t>36196KXU2_000000005135731</t>
        </is>
      </c>
      <c r="B55" t="inlineStr">
        <is>
          <t>BERKADIA_PRE21</t>
        </is>
      </c>
      <c r="C55" s="2" t="inlineStr">
        <is>
          <t>36196KXU2</t>
        </is>
      </c>
      <c r="D55" t="inlineStr">
        <is>
          <t>BERKADIA COMMERCIAL MORTGAGE, LLC</t>
        </is>
      </c>
      <c r="E55" t="inlineStr">
        <is>
          <t>221d4</t>
        </is>
      </c>
      <c r="F55" t="inlineStr">
        <is>
          <t>RP</t>
        </is>
      </c>
      <c r="G55" t="n">
        <v>2016</v>
      </c>
      <c r="H55" t="inlineStr">
        <is>
          <t>202602</t>
        </is>
      </c>
      <c r="I55" s="22" t="n">
        <v>14661111.14</v>
      </c>
      <c r="J55" s="23" t="n">
        <v>3.43</v>
      </c>
      <c r="K55" s="24" t="n">
        <v>447</v>
      </c>
      <c r="L55" s="24" t="n">
        <v>2</v>
      </c>
      <c r="M55" t="n">
        <v>112</v>
      </c>
      <c r="N55" t="n">
        <v>25</v>
      </c>
      <c r="O55" t="n">
        <v>205612</v>
      </c>
      <c r="P55" t="inlineStr"/>
      <c r="Q55" t="inlineStr">
        <is>
          <t>4082</t>
        </is>
      </c>
      <c r="R55" t="n">
        <v>0</v>
      </c>
      <c r="S55" t="n">
        <v>1</v>
      </c>
      <c r="T55" t="n">
        <v>0</v>
      </c>
      <c r="U55" t="n">
        <v>0</v>
      </c>
      <c r="V55" s="24">
        <f>J55*100-K55</f>
        <v/>
      </c>
      <c r="W55" s="24">
        <f>L55</f>
        <v/>
      </c>
      <c r="X55" s="25">
        <f>MIN(M55,36)</f>
        <v/>
      </c>
      <c r="Y55" s="25">
        <f>MIN(MAX(M55-36,0),84)</f>
        <v/>
      </c>
      <c r="Z55" s="25">
        <f>MAX(M55-120,0)</f>
        <v/>
      </c>
      <c r="AA55" s="25">
        <f>IF(OR(O55="",NOT(ISNUMBER(O55))),360,MAX(0,MIN(480,(INT(O55/100)-INT(VALUE(H55)/100))*12+MOD(O55,100)-MOD(VALUE(H55),100))))</f>
        <v/>
      </c>
      <c r="AB55">
        <f>IF(AND(AA55&gt;0,AA55&lt;=24),1,0)</f>
        <v/>
      </c>
      <c r="AC55" s="25">
        <f>IF(OR(P55="",NOT(ISNUMBER(P55))),0,MAX(0,MIN(24,(INT(VALUE(H55)/100)-INT(P55/100))*12+MOD(VALUE(H55),100)-MOD(P55,100))))</f>
        <v/>
      </c>
      <c r="AD55" s="23">
        <f>LN(1+I55)</f>
        <v/>
      </c>
      <c r="AE55">
        <f>IF(I55&lt;2000000,1,0)</f>
        <v/>
      </c>
      <c r="AF55">
        <f>IF(I55&gt;50000000,1,0)</f>
        <v/>
      </c>
      <c r="AG55" s="23">
        <f>IF(ISNUMBER(M55),N55/MAX(M55,1),0)</f>
        <v/>
      </c>
      <c r="AH55">
        <f>IF(G55&gt;=2021,1,0)</f>
        <v/>
      </c>
      <c r="AI55">
        <f>S55</f>
        <v/>
      </c>
      <c r="AJ55">
        <f>T55</f>
        <v/>
      </c>
      <c r="AK55">
        <f>R55</f>
        <v/>
      </c>
      <c r="AL55">
        <f>U55</f>
        <v/>
      </c>
      <c r="AM55">
        <f>IF(ISNUMBER(SEARCH("CAPITAL FUNDING",D55)),1,0)</f>
        <v/>
      </c>
      <c r="AN55">
        <f>IF(ISNUMBER(SEARCH("PNC",D55)),1,0)</f>
        <v/>
      </c>
      <c r="AO55">
        <f>IF(ISNUMBER(SEARCH("WELLS FARGO",D55)),1,0)</f>
        <v/>
      </c>
      <c r="AP55">
        <f>IF(ISNUMBER(SEARCH("DWIGHT",D55)),1,0)</f>
        <v/>
      </c>
      <c r="AQ55">
        <f>IF(ISNUMBER(SEARCH("GREYSTONE",D55)),1,0)</f>
        <v/>
      </c>
      <c r="AR55">
        <f>IF(OR(Q55="3896",Q55="3557"),1,0)</f>
        <v/>
      </c>
      <c r="AS55" s="24">
        <f>V55*W55</f>
        <v/>
      </c>
      <c r="AT55" s="26">
        <f>V$4*(V55-V$3)</f>
        <v/>
      </c>
      <c r="AU55" s="26">
        <f>W$4*(W55-W$3)</f>
        <v/>
      </c>
      <c r="AV55" s="26">
        <f>X$4*(X55-X$3)</f>
        <v/>
      </c>
      <c r="AW55" s="26">
        <f>Y$4*(Y55-Y$3)</f>
        <v/>
      </c>
      <c r="AX55" s="26">
        <f>Z$4*(Z55-Z$3)</f>
        <v/>
      </c>
      <c r="AY55" s="26">
        <f>AA$4*(AA55-AA$3)</f>
        <v/>
      </c>
      <c r="AZ55" s="26">
        <f>AB$4*(AB55-AB$3)</f>
        <v/>
      </c>
      <c r="BA55" s="26">
        <f>AC$4*(AC55-AC$3)</f>
        <v/>
      </c>
      <c r="BB55" s="26">
        <f>AD$4*(AD55-AD$3)</f>
        <v/>
      </c>
      <c r="BC55" s="26">
        <f>AE$4*(AE55-AE$3)</f>
        <v/>
      </c>
      <c r="BD55" s="26">
        <f>AF$4*(AF55-AF$3)</f>
        <v/>
      </c>
      <c r="BE55" s="26">
        <f>AG$4*(AG55-AG$3)</f>
        <v/>
      </c>
      <c r="BF55" s="26">
        <f>AH$4*(AH55-AH$3)</f>
        <v/>
      </c>
      <c r="BG55" s="26">
        <f>AI$4*(AI55-AI$3)</f>
        <v/>
      </c>
      <c r="BH55" s="26">
        <f>AJ$4*(AJ55-AJ$3)</f>
        <v/>
      </c>
      <c r="BI55" s="26">
        <f>AK$4*(AK55-AK$3)</f>
        <v/>
      </c>
      <c r="BJ55" s="26">
        <f>AL$4*(AL55-AL$3)</f>
        <v/>
      </c>
      <c r="BK55" s="26">
        <f>AM$4*(AM55-AM$3)</f>
        <v/>
      </c>
      <c r="BL55" s="26">
        <f>AN$4*(AN55-AN$3)</f>
        <v/>
      </c>
      <c r="BM55" s="26">
        <f>AO$4*(AO55-AO$3)</f>
        <v/>
      </c>
      <c r="BN55" s="26">
        <f>AP$4*(AP55-AP$3)</f>
        <v/>
      </c>
      <c r="BO55" s="26">
        <f>AQ$4*(AQ55-AQ$3)</f>
        <v/>
      </c>
      <c r="BP55" s="26">
        <f>AR$4*(AR55-AR$3)</f>
        <v/>
      </c>
      <c r="BQ55" s="26">
        <f>AS$4*(AS55-AS$3)</f>
        <v/>
      </c>
      <c r="BR55" s="27">
        <f>SUM(AT55:BQ55)</f>
        <v/>
      </c>
      <c r="BS55" s="27">
        <f>INTERCEPT_SCALED+BR55</f>
        <v/>
      </c>
      <c r="BT55" s="28">
        <f>1/(1+EXP(-BS55))</f>
        <v/>
      </c>
      <c r="BU55" s="13">
        <f>1-(1-BT55)^12</f>
        <v/>
      </c>
      <c r="BV55" s="13">
        <f>IFERROR(AT55/BR55*(BU55-BASELINE_CPR),0)</f>
        <v/>
      </c>
      <c r="BW55" s="13">
        <f>IFERROR(AU55/BR55*(BU55-BASELINE_CPR),0)</f>
        <v/>
      </c>
      <c r="BX55" s="13">
        <f>IFERROR(AV55/BR55*(BU55-BASELINE_CPR),0)</f>
        <v/>
      </c>
      <c r="BY55" s="13">
        <f>IFERROR(AW55/BR55*(BU55-BASELINE_CPR),0)</f>
        <v/>
      </c>
      <c r="BZ55" s="13">
        <f>IFERROR(AX55/BR55*(BU55-BASELINE_CPR),0)</f>
        <v/>
      </c>
      <c r="CA55" s="13">
        <f>IFERROR(AY55/BR55*(BU55-BASELINE_CPR),0)</f>
        <v/>
      </c>
      <c r="CB55" s="13">
        <f>IFERROR(AZ55/BR55*(BU55-BASELINE_CPR),0)</f>
        <v/>
      </c>
      <c r="CC55" s="13">
        <f>IFERROR(BA55/BR55*(BU55-BASELINE_CPR),0)</f>
        <v/>
      </c>
      <c r="CD55" s="13">
        <f>IFERROR(BB55/BR55*(BU55-BASELINE_CPR),0)</f>
        <v/>
      </c>
      <c r="CE55" s="13">
        <f>IFERROR(BC55/BR55*(BU55-BASELINE_CPR),0)</f>
        <v/>
      </c>
      <c r="CF55" s="13">
        <f>IFERROR(BD55/BR55*(BU55-BASELINE_CPR),0)</f>
        <v/>
      </c>
      <c r="CG55" s="13">
        <f>IFERROR(BE55/BR55*(BU55-BASELINE_CPR),0)</f>
        <v/>
      </c>
      <c r="CH55" s="13">
        <f>IFERROR(BF55/BR55*(BU55-BASELINE_CPR),0)</f>
        <v/>
      </c>
      <c r="CI55" s="13">
        <f>IFERROR(BG55/BR55*(BU55-BASELINE_CPR),0)</f>
        <v/>
      </c>
      <c r="CJ55" s="13">
        <f>IFERROR(BH55/BR55*(BU55-BASELINE_CPR),0)</f>
        <v/>
      </c>
      <c r="CK55" s="13">
        <f>IFERROR(BI55/BR55*(BU55-BASELINE_CPR),0)</f>
        <v/>
      </c>
      <c r="CL55" s="13">
        <f>IFERROR(BJ55/BR55*(BU55-BASELINE_CPR),0)</f>
        <v/>
      </c>
      <c r="CM55" s="13">
        <f>IFERROR(BK55/BR55*(BU55-BASELINE_CPR),0)</f>
        <v/>
      </c>
      <c r="CN55" s="13">
        <f>IFERROR(BL55/BR55*(BU55-BASELINE_CPR),0)</f>
        <v/>
      </c>
      <c r="CO55" s="13">
        <f>IFERROR(BM55/BR55*(BU55-BASELINE_CPR),0)</f>
        <v/>
      </c>
      <c r="CP55" s="13">
        <f>IFERROR(BN55/BR55*(BU55-BASELINE_CPR),0)</f>
        <v/>
      </c>
      <c r="CQ55" s="13">
        <f>IFERROR(BO55/BR55*(BU55-BASELINE_CPR),0)</f>
        <v/>
      </c>
      <c r="CR55" s="13">
        <f>IFERROR(BP55/BR55*(BU55-BASELINE_CPR),0)</f>
        <v/>
      </c>
      <c r="CS55" s="13">
        <f>IFERROR(BQ55/BR55*(BU55-BASELINE_CPR),0)</f>
        <v/>
      </c>
      <c r="CT55" s="29">
        <f>BASELINE_CPR+SUM(BV55:CS55)-BU55</f>
        <v/>
      </c>
    </row>
    <row r="56">
      <c r="A56" s="2" t="inlineStr">
        <is>
          <t>36186QD66_000000012711148</t>
        </is>
      </c>
      <c r="B56" t="inlineStr">
        <is>
          <t>BERKADIA_PRE21</t>
        </is>
      </c>
      <c r="C56" s="2" t="inlineStr">
        <is>
          <t>36186QD66</t>
        </is>
      </c>
      <c r="D56" t="inlineStr">
        <is>
          <t>BERKADIA COMMERCIAL MORTGAGE, LLC</t>
        </is>
      </c>
      <c r="E56" t="inlineStr">
        <is>
          <t>223f</t>
        </is>
      </c>
      <c r="F56" t="inlineStr">
        <is>
          <t>RP</t>
        </is>
      </c>
      <c r="G56" t="n">
        <v>2010</v>
      </c>
      <c r="H56" t="inlineStr">
        <is>
          <t>202602</t>
        </is>
      </c>
      <c r="I56" s="22" t="n">
        <v>1950356.32</v>
      </c>
      <c r="J56" s="23" t="n">
        <v>4.34</v>
      </c>
      <c r="K56" s="24" t="n">
        <v>447</v>
      </c>
      <c r="L56" s="24" t="n">
        <v>0</v>
      </c>
      <c r="M56" t="n">
        <v>191</v>
      </c>
      <c r="N56" t="n">
        <v>39</v>
      </c>
      <c r="O56" t="n">
        <v>204508</v>
      </c>
      <c r="P56" t="inlineStr"/>
      <c r="Q56" t="inlineStr">
        <is>
          <t>4082</t>
        </is>
      </c>
      <c r="R56" t="n">
        <v>0</v>
      </c>
      <c r="S56" t="n">
        <v>0</v>
      </c>
      <c r="T56" t="n">
        <v>0</v>
      </c>
      <c r="U56" t="n">
        <v>0</v>
      </c>
      <c r="V56" s="24">
        <f>J56*100-K56</f>
        <v/>
      </c>
      <c r="W56" s="24">
        <f>L56</f>
        <v/>
      </c>
      <c r="X56" s="25">
        <f>MIN(M56,36)</f>
        <v/>
      </c>
      <c r="Y56" s="25">
        <f>MIN(MAX(M56-36,0),84)</f>
        <v/>
      </c>
      <c r="Z56" s="25">
        <f>MAX(M56-120,0)</f>
        <v/>
      </c>
      <c r="AA56" s="25">
        <f>IF(OR(O56="",NOT(ISNUMBER(O56))),360,MAX(0,MIN(480,(INT(O56/100)-INT(VALUE(H56)/100))*12+MOD(O56,100)-MOD(VALUE(H56),100))))</f>
        <v/>
      </c>
      <c r="AB56">
        <f>IF(AND(AA56&gt;0,AA56&lt;=24),1,0)</f>
        <v/>
      </c>
      <c r="AC56" s="25">
        <f>IF(OR(P56="",NOT(ISNUMBER(P56))),0,MAX(0,MIN(24,(INT(VALUE(H56)/100)-INT(P56/100))*12+MOD(VALUE(H56),100)-MOD(P56,100))))</f>
        <v/>
      </c>
      <c r="AD56" s="23">
        <f>LN(1+I56)</f>
        <v/>
      </c>
      <c r="AE56">
        <f>IF(I56&lt;2000000,1,0)</f>
        <v/>
      </c>
      <c r="AF56">
        <f>IF(I56&gt;50000000,1,0)</f>
        <v/>
      </c>
      <c r="AG56" s="23">
        <f>IF(ISNUMBER(M56),N56/MAX(M56,1),0)</f>
        <v/>
      </c>
      <c r="AH56">
        <f>IF(G56&gt;=2021,1,0)</f>
        <v/>
      </c>
      <c r="AI56">
        <f>S56</f>
        <v/>
      </c>
      <c r="AJ56">
        <f>T56</f>
        <v/>
      </c>
      <c r="AK56">
        <f>R56</f>
        <v/>
      </c>
      <c r="AL56">
        <f>U56</f>
        <v/>
      </c>
      <c r="AM56">
        <f>IF(ISNUMBER(SEARCH("CAPITAL FUNDING",D56)),1,0)</f>
        <v/>
      </c>
      <c r="AN56">
        <f>IF(ISNUMBER(SEARCH("PNC",D56)),1,0)</f>
        <v/>
      </c>
      <c r="AO56">
        <f>IF(ISNUMBER(SEARCH("WELLS FARGO",D56)),1,0)</f>
        <v/>
      </c>
      <c r="AP56">
        <f>IF(ISNUMBER(SEARCH("DWIGHT",D56)),1,0)</f>
        <v/>
      </c>
      <c r="AQ56">
        <f>IF(ISNUMBER(SEARCH("GREYSTONE",D56)),1,0)</f>
        <v/>
      </c>
      <c r="AR56">
        <f>IF(OR(Q56="3896",Q56="3557"),1,0)</f>
        <v/>
      </c>
      <c r="AS56" s="24">
        <f>V56*W56</f>
        <v/>
      </c>
      <c r="AT56" s="26">
        <f>V$4*(V56-V$3)</f>
        <v/>
      </c>
      <c r="AU56" s="26">
        <f>W$4*(W56-W$3)</f>
        <v/>
      </c>
      <c r="AV56" s="26">
        <f>X$4*(X56-X$3)</f>
        <v/>
      </c>
      <c r="AW56" s="26">
        <f>Y$4*(Y56-Y$3)</f>
        <v/>
      </c>
      <c r="AX56" s="26">
        <f>Z$4*(Z56-Z$3)</f>
        <v/>
      </c>
      <c r="AY56" s="26">
        <f>AA$4*(AA56-AA$3)</f>
        <v/>
      </c>
      <c r="AZ56" s="26">
        <f>AB$4*(AB56-AB$3)</f>
        <v/>
      </c>
      <c r="BA56" s="26">
        <f>AC$4*(AC56-AC$3)</f>
        <v/>
      </c>
      <c r="BB56" s="26">
        <f>AD$4*(AD56-AD$3)</f>
        <v/>
      </c>
      <c r="BC56" s="26">
        <f>AE$4*(AE56-AE$3)</f>
        <v/>
      </c>
      <c r="BD56" s="26">
        <f>AF$4*(AF56-AF$3)</f>
        <v/>
      </c>
      <c r="BE56" s="26">
        <f>AG$4*(AG56-AG$3)</f>
        <v/>
      </c>
      <c r="BF56" s="26">
        <f>AH$4*(AH56-AH$3)</f>
        <v/>
      </c>
      <c r="BG56" s="26">
        <f>AI$4*(AI56-AI$3)</f>
        <v/>
      </c>
      <c r="BH56" s="26">
        <f>AJ$4*(AJ56-AJ$3)</f>
        <v/>
      </c>
      <c r="BI56" s="26">
        <f>AK$4*(AK56-AK$3)</f>
        <v/>
      </c>
      <c r="BJ56" s="26">
        <f>AL$4*(AL56-AL$3)</f>
        <v/>
      </c>
      <c r="BK56" s="26">
        <f>AM$4*(AM56-AM$3)</f>
        <v/>
      </c>
      <c r="BL56" s="26">
        <f>AN$4*(AN56-AN$3)</f>
        <v/>
      </c>
      <c r="BM56" s="26">
        <f>AO$4*(AO56-AO$3)</f>
        <v/>
      </c>
      <c r="BN56" s="26">
        <f>AP$4*(AP56-AP$3)</f>
        <v/>
      </c>
      <c r="BO56" s="26">
        <f>AQ$4*(AQ56-AQ$3)</f>
        <v/>
      </c>
      <c r="BP56" s="26">
        <f>AR$4*(AR56-AR$3)</f>
        <v/>
      </c>
      <c r="BQ56" s="26">
        <f>AS$4*(AS56-AS$3)</f>
        <v/>
      </c>
      <c r="BR56" s="27">
        <f>SUM(AT56:BQ56)</f>
        <v/>
      </c>
      <c r="BS56" s="27">
        <f>INTERCEPT_SCALED+BR56</f>
        <v/>
      </c>
      <c r="BT56" s="28">
        <f>1/(1+EXP(-BS56))</f>
        <v/>
      </c>
      <c r="BU56" s="13">
        <f>1-(1-BT56)^12</f>
        <v/>
      </c>
      <c r="BV56" s="13">
        <f>IFERROR(AT56/BR56*(BU56-BASELINE_CPR),0)</f>
        <v/>
      </c>
      <c r="BW56" s="13">
        <f>IFERROR(AU56/BR56*(BU56-BASELINE_CPR),0)</f>
        <v/>
      </c>
      <c r="BX56" s="13">
        <f>IFERROR(AV56/BR56*(BU56-BASELINE_CPR),0)</f>
        <v/>
      </c>
      <c r="BY56" s="13">
        <f>IFERROR(AW56/BR56*(BU56-BASELINE_CPR),0)</f>
        <v/>
      </c>
      <c r="BZ56" s="13">
        <f>IFERROR(AX56/BR56*(BU56-BASELINE_CPR),0)</f>
        <v/>
      </c>
      <c r="CA56" s="13">
        <f>IFERROR(AY56/BR56*(BU56-BASELINE_CPR),0)</f>
        <v/>
      </c>
      <c r="CB56" s="13">
        <f>IFERROR(AZ56/BR56*(BU56-BASELINE_CPR),0)</f>
        <v/>
      </c>
      <c r="CC56" s="13">
        <f>IFERROR(BA56/BR56*(BU56-BASELINE_CPR),0)</f>
        <v/>
      </c>
      <c r="CD56" s="13">
        <f>IFERROR(BB56/BR56*(BU56-BASELINE_CPR),0)</f>
        <v/>
      </c>
      <c r="CE56" s="13">
        <f>IFERROR(BC56/BR56*(BU56-BASELINE_CPR),0)</f>
        <v/>
      </c>
      <c r="CF56" s="13">
        <f>IFERROR(BD56/BR56*(BU56-BASELINE_CPR),0)</f>
        <v/>
      </c>
      <c r="CG56" s="13">
        <f>IFERROR(BE56/BR56*(BU56-BASELINE_CPR),0)</f>
        <v/>
      </c>
      <c r="CH56" s="13">
        <f>IFERROR(BF56/BR56*(BU56-BASELINE_CPR),0)</f>
        <v/>
      </c>
      <c r="CI56" s="13">
        <f>IFERROR(BG56/BR56*(BU56-BASELINE_CPR),0)</f>
        <v/>
      </c>
      <c r="CJ56" s="13">
        <f>IFERROR(BH56/BR56*(BU56-BASELINE_CPR),0)</f>
        <v/>
      </c>
      <c r="CK56" s="13">
        <f>IFERROR(BI56/BR56*(BU56-BASELINE_CPR),0)</f>
        <v/>
      </c>
      <c r="CL56" s="13">
        <f>IFERROR(BJ56/BR56*(BU56-BASELINE_CPR),0)</f>
        <v/>
      </c>
      <c r="CM56" s="13">
        <f>IFERROR(BK56/BR56*(BU56-BASELINE_CPR),0)</f>
        <v/>
      </c>
      <c r="CN56" s="13">
        <f>IFERROR(BL56/BR56*(BU56-BASELINE_CPR),0)</f>
        <v/>
      </c>
      <c r="CO56" s="13">
        <f>IFERROR(BM56/BR56*(BU56-BASELINE_CPR),0)</f>
        <v/>
      </c>
      <c r="CP56" s="13">
        <f>IFERROR(BN56/BR56*(BU56-BASELINE_CPR),0)</f>
        <v/>
      </c>
      <c r="CQ56" s="13">
        <f>IFERROR(BO56/BR56*(BU56-BASELINE_CPR),0)</f>
        <v/>
      </c>
      <c r="CR56" s="13">
        <f>IFERROR(BP56/BR56*(BU56-BASELINE_CPR),0)</f>
        <v/>
      </c>
      <c r="CS56" s="13">
        <f>IFERROR(BQ56/BR56*(BU56-BASELINE_CPR),0)</f>
        <v/>
      </c>
      <c r="CT56" s="29">
        <f>BASELINE_CPR+SUM(BV56:CS56)-BU56</f>
        <v/>
      </c>
    </row>
    <row r="57">
      <c r="A57" s="2" t="inlineStr">
        <is>
          <t>3617K2C25_000000007111460</t>
        </is>
      </c>
      <c r="B57" t="inlineStr">
        <is>
          <t>BERKADIA_PRE21</t>
        </is>
      </c>
      <c r="C57" s="2" t="inlineStr">
        <is>
          <t>3617K2C25</t>
        </is>
      </c>
      <c r="D57" t="inlineStr">
        <is>
          <t>BERKADIA COMMERCIAL MORTGAGE, LLC</t>
        </is>
      </c>
      <c r="E57" t="inlineStr">
        <is>
          <t>223f</t>
        </is>
      </c>
      <c r="F57" t="inlineStr">
        <is>
          <t>RP</t>
        </is>
      </c>
      <c r="G57" t="n">
        <v>2019</v>
      </c>
      <c r="H57" t="inlineStr">
        <is>
          <t>202602</t>
        </is>
      </c>
      <c r="I57" s="22" t="n">
        <v>7426656.74</v>
      </c>
      <c r="J57" s="23" t="n">
        <v>3.4</v>
      </c>
      <c r="K57" s="24" t="n">
        <v>447</v>
      </c>
      <c r="L57" s="24" t="n">
        <v>5</v>
      </c>
      <c r="M57" t="n">
        <v>80</v>
      </c>
      <c r="N57" t="n">
        <v>29</v>
      </c>
      <c r="O57" t="n">
        <v>205408</v>
      </c>
      <c r="P57" t="inlineStr"/>
      <c r="Q57" t="inlineStr">
        <is>
          <t>4082</t>
        </is>
      </c>
      <c r="R57" t="n">
        <v>0</v>
      </c>
      <c r="S57" t="n">
        <v>0</v>
      </c>
      <c r="T57" t="n">
        <v>0</v>
      </c>
      <c r="U57" t="n">
        <v>0</v>
      </c>
      <c r="V57" s="24">
        <f>J57*100-K57</f>
        <v/>
      </c>
      <c r="W57" s="24">
        <f>L57</f>
        <v/>
      </c>
      <c r="X57" s="25">
        <f>MIN(M57,36)</f>
        <v/>
      </c>
      <c r="Y57" s="25">
        <f>MIN(MAX(M57-36,0),84)</f>
        <v/>
      </c>
      <c r="Z57" s="25">
        <f>MAX(M57-120,0)</f>
        <v/>
      </c>
      <c r="AA57" s="25">
        <f>IF(OR(O57="",NOT(ISNUMBER(O57))),360,MAX(0,MIN(480,(INT(O57/100)-INT(VALUE(H57)/100))*12+MOD(O57,100)-MOD(VALUE(H57),100))))</f>
        <v/>
      </c>
      <c r="AB57">
        <f>IF(AND(AA57&gt;0,AA57&lt;=24),1,0)</f>
        <v/>
      </c>
      <c r="AC57" s="25">
        <f>IF(OR(P57="",NOT(ISNUMBER(P57))),0,MAX(0,MIN(24,(INT(VALUE(H57)/100)-INT(P57/100))*12+MOD(VALUE(H57),100)-MOD(P57,100))))</f>
        <v/>
      </c>
      <c r="AD57" s="23">
        <f>LN(1+I57)</f>
        <v/>
      </c>
      <c r="AE57">
        <f>IF(I57&lt;2000000,1,0)</f>
        <v/>
      </c>
      <c r="AF57">
        <f>IF(I57&gt;50000000,1,0)</f>
        <v/>
      </c>
      <c r="AG57" s="23">
        <f>IF(ISNUMBER(M57),N57/MAX(M57,1),0)</f>
        <v/>
      </c>
      <c r="AH57">
        <f>IF(G57&gt;=2021,1,0)</f>
        <v/>
      </c>
      <c r="AI57">
        <f>S57</f>
        <v/>
      </c>
      <c r="AJ57">
        <f>T57</f>
        <v/>
      </c>
      <c r="AK57">
        <f>R57</f>
        <v/>
      </c>
      <c r="AL57">
        <f>U57</f>
        <v/>
      </c>
      <c r="AM57">
        <f>IF(ISNUMBER(SEARCH("CAPITAL FUNDING",D57)),1,0)</f>
        <v/>
      </c>
      <c r="AN57">
        <f>IF(ISNUMBER(SEARCH("PNC",D57)),1,0)</f>
        <v/>
      </c>
      <c r="AO57">
        <f>IF(ISNUMBER(SEARCH("WELLS FARGO",D57)),1,0)</f>
        <v/>
      </c>
      <c r="AP57">
        <f>IF(ISNUMBER(SEARCH("DWIGHT",D57)),1,0)</f>
        <v/>
      </c>
      <c r="AQ57">
        <f>IF(ISNUMBER(SEARCH("GREYSTONE",D57)),1,0)</f>
        <v/>
      </c>
      <c r="AR57">
        <f>IF(OR(Q57="3896",Q57="3557"),1,0)</f>
        <v/>
      </c>
      <c r="AS57" s="24">
        <f>V57*W57</f>
        <v/>
      </c>
      <c r="AT57" s="26">
        <f>V$4*(V57-V$3)</f>
        <v/>
      </c>
      <c r="AU57" s="26">
        <f>W$4*(W57-W$3)</f>
        <v/>
      </c>
      <c r="AV57" s="26">
        <f>X$4*(X57-X$3)</f>
        <v/>
      </c>
      <c r="AW57" s="26">
        <f>Y$4*(Y57-Y$3)</f>
        <v/>
      </c>
      <c r="AX57" s="26">
        <f>Z$4*(Z57-Z$3)</f>
        <v/>
      </c>
      <c r="AY57" s="26">
        <f>AA$4*(AA57-AA$3)</f>
        <v/>
      </c>
      <c r="AZ57" s="26">
        <f>AB$4*(AB57-AB$3)</f>
        <v/>
      </c>
      <c r="BA57" s="26">
        <f>AC$4*(AC57-AC$3)</f>
        <v/>
      </c>
      <c r="BB57" s="26">
        <f>AD$4*(AD57-AD$3)</f>
        <v/>
      </c>
      <c r="BC57" s="26">
        <f>AE$4*(AE57-AE$3)</f>
        <v/>
      </c>
      <c r="BD57" s="26">
        <f>AF$4*(AF57-AF$3)</f>
        <v/>
      </c>
      <c r="BE57" s="26">
        <f>AG$4*(AG57-AG$3)</f>
        <v/>
      </c>
      <c r="BF57" s="26">
        <f>AH$4*(AH57-AH$3)</f>
        <v/>
      </c>
      <c r="BG57" s="26">
        <f>AI$4*(AI57-AI$3)</f>
        <v/>
      </c>
      <c r="BH57" s="26">
        <f>AJ$4*(AJ57-AJ$3)</f>
        <v/>
      </c>
      <c r="BI57" s="26">
        <f>AK$4*(AK57-AK$3)</f>
        <v/>
      </c>
      <c r="BJ57" s="26">
        <f>AL$4*(AL57-AL$3)</f>
        <v/>
      </c>
      <c r="BK57" s="26">
        <f>AM$4*(AM57-AM$3)</f>
        <v/>
      </c>
      <c r="BL57" s="26">
        <f>AN$4*(AN57-AN$3)</f>
        <v/>
      </c>
      <c r="BM57" s="26">
        <f>AO$4*(AO57-AO$3)</f>
        <v/>
      </c>
      <c r="BN57" s="26">
        <f>AP$4*(AP57-AP$3)</f>
        <v/>
      </c>
      <c r="BO57" s="26">
        <f>AQ$4*(AQ57-AQ$3)</f>
        <v/>
      </c>
      <c r="BP57" s="26">
        <f>AR$4*(AR57-AR$3)</f>
        <v/>
      </c>
      <c r="BQ57" s="26">
        <f>AS$4*(AS57-AS$3)</f>
        <v/>
      </c>
      <c r="BR57" s="27">
        <f>SUM(AT57:BQ57)</f>
        <v/>
      </c>
      <c r="BS57" s="27">
        <f>INTERCEPT_SCALED+BR57</f>
        <v/>
      </c>
      <c r="BT57" s="28">
        <f>1/(1+EXP(-BS57))</f>
        <v/>
      </c>
      <c r="BU57" s="13">
        <f>1-(1-BT57)^12</f>
        <v/>
      </c>
      <c r="BV57" s="13">
        <f>IFERROR(AT57/BR57*(BU57-BASELINE_CPR),0)</f>
        <v/>
      </c>
      <c r="BW57" s="13">
        <f>IFERROR(AU57/BR57*(BU57-BASELINE_CPR),0)</f>
        <v/>
      </c>
      <c r="BX57" s="13">
        <f>IFERROR(AV57/BR57*(BU57-BASELINE_CPR),0)</f>
        <v/>
      </c>
      <c r="BY57" s="13">
        <f>IFERROR(AW57/BR57*(BU57-BASELINE_CPR),0)</f>
        <v/>
      </c>
      <c r="BZ57" s="13">
        <f>IFERROR(AX57/BR57*(BU57-BASELINE_CPR),0)</f>
        <v/>
      </c>
      <c r="CA57" s="13">
        <f>IFERROR(AY57/BR57*(BU57-BASELINE_CPR),0)</f>
        <v/>
      </c>
      <c r="CB57" s="13">
        <f>IFERROR(AZ57/BR57*(BU57-BASELINE_CPR),0)</f>
        <v/>
      </c>
      <c r="CC57" s="13">
        <f>IFERROR(BA57/BR57*(BU57-BASELINE_CPR),0)</f>
        <v/>
      </c>
      <c r="CD57" s="13">
        <f>IFERROR(BB57/BR57*(BU57-BASELINE_CPR),0)</f>
        <v/>
      </c>
      <c r="CE57" s="13">
        <f>IFERROR(BC57/BR57*(BU57-BASELINE_CPR),0)</f>
        <v/>
      </c>
      <c r="CF57" s="13">
        <f>IFERROR(BD57/BR57*(BU57-BASELINE_CPR),0)</f>
        <v/>
      </c>
      <c r="CG57" s="13">
        <f>IFERROR(BE57/BR57*(BU57-BASELINE_CPR),0)</f>
        <v/>
      </c>
      <c r="CH57" s="13">
        <f>IFERROR(BF57/BR57*(BU57-BASELINE_CPR),0)</f>
        <v/>
      </c>
      <c r="CI57" s="13">
        <f>IFERROR(BG57/BR57*(BU57-BASELINE_CPR),0)</f>
        <v/>
      </c>
      <c r="CJ57" s="13">
        <f>IFERROR(BH57/BR57*(BU57-BASELINE_CPR),0)</f>
        <v/>
      </c>
      <c r="CK57" s="13">
        <f>IFERROR(BI57/BR57*(BU57-BASELINE_CPR),0)</f>
        <v/>
      </c>
      <c r="CL57" s="13">
        <f>IFERROR(BJ57/BR57*(BU57-BASELINE_CPR),0)</f>
        <v/>
      </c>
      <c r="CM57" s="13">
        <f>IFERROR(BK57/BR57*(BU57-BASELINE_CPR),0)</f>
        <v/>
      </c>
      <c r="CN57" s="13">
        <f>IFERROR(BL57/BR57*(BU57-BASELINE_CPR),0)</f>
        <v/>
      </c>
      <c r="CO57" s="13">
        <f>IFERROR(BM57/BR57*(BU57-BASELINE_CPR),0)</f>
        <v/>
      </c>
      <c r="CP57" s="13">
        <f>IFERROR(BN57/BR57*(BU57-BASELINE_CPR),0)</f>
        <v/>
      </c>
      <c r="CQ57" s="13">
        <f>IFERROR(BO57/BR57*(BU57-BASELINE_CPR),0)</f>
        <v/>
      </c>
      <c r="CR57" s="13">
        <f>IFERROR(BP57/BR57*(BU57-BASELINE_CPR),0)</f>
        <v/>
      </c>
      <c r="CS57" s="13">
        <f>IFERROR(BQ57/BR57*(BU57-BASELINE_CPR),0)</f>
        <v/>
      </c>
      <c r="CT57" s="29">
        <f>BASELINE_CPR+SUM(BV57:CS57)-BU57</f>
        <v/>
      </c>
    </row>
    <row r="58">
      <c r="A58" s="2" t="inlineStr">
        <is>
          <t>3617QM5L1_000000001411229</t>
        </is>
      </c>
      <c r="B58" t="inlineStr">
        <is>
          <t>BERKADIA_PRE21</t>
        </is>
      </c>
      <c r="C58" s="2" t="inlineStr">
        <is>
          <t>3617QM5L1</t>
        </is>
      </c>
      <c r="D58" t="inlineStr">
        <is>
          <t>BERKADIA COMMERCIAL MORTGAGE, LLC</t>
        </is>
      </c>
      <c r="E58" t="inlineStr">
        <is>
          <t>223f</t>
        </is>
      </c>
      <c r="F58" t="inlineStr">
        <is>
          <t>RP</t>
        </is>
      </c>
      <c r="G58" t="n">
        <v>2014</v>
      </c>
      <c r="H58" t="inlineStr">
        <is>
          <t>202602</t>
        </is>
      </c>
      <c r="I58" s="22" t="n">
        <v>894262.78</v>
      </c>
      <c r="J58" s="23" t="n">
        <v>3.1</v>
      </c>
      <c r="K58" s="24" t="n">
        <v>447</v>
      </c>
      <c r="L58" s="24" t="n">
        <v>6</v>
      </c>
      <c r="M58" t="n">
        <v>142</v>
      </c>
      <c r="N58" t="n">
        <v>13</v>
      </c>
      <c r="O58" t="n">
        <v>204710</v>
      </c>
      <c r="P58" t="inlineStr"/>
      <c r="Q58" t="inlineStr">
        <is>
          <t>4082</t>
        </is>
      </c>
      <c r="R58" t="n">
        <v>0</v>
      </c>
      <c r="S58" t="n">
        <v>0</v>
      </c>
      <c r="T58" t="n">
        <v>0</v>
      </c>
      <c r="U58" t="n">
        <v>0</v>
      </c>
      <c r="V58" s="24">
        <f>J58*100-K58</f>
        <v/>
      </c>
      <c r="W58" s="24">
        <f>L58</f>
        <v/>
      </c>
      <c r="X58" s="25">
        <f>MIN(M58,36)</f>
        <v/>
      </c>
      <c r="Y58" s="25">
        <f>MIN(MAX(M58-36,0),84)</f>
        <v/>
      </c>
      <c r="Z58" s="25">
        <f>MAX(M58-120,0)</f>
        <v/>
      </c>
      <c r="AA58" s="25">
        <f>IF(OR(O58="",NOT(ISNUMBER(O58))),360,MAX(0,MIN(480,(INT(O58/100)-INT(VALUE(H58)/100))*12+MOD(O58,100)-MOD(VALUE(H58),100))))</f>
        <v/>
      </c>
      <c r="AB58">
        <f>IF(AND(AA58&gt;0,AA58&lt;=24),1,0)</f>
        <v/>
      </c>
      <c r="AC58" s="25">
        <f>IF(OR(P58="",NOT(ISNUMBER(P58))),0,MAX(0,MIN(24,(INT(VALUE(H58)/100)-INT(P58/100))*12+MOD(VALUE(H58),100)-MOD(P58,100))))</f>
        <v/>
      </c>
      <c r="AD58" s="23">
        <f>LN(1+I58)</f>
        <v/>
      </c>
      <c r="AE58">
        <f>IF(I58&lt;2000000,1,0)</f>
        <v/>
      </c>
      <c r="AF58">
        <f>IF(I58&gt;50000000,1,0)</f>
        <v/>
      </c>
      <c r="AG58" s="23">
        <f>IF(ISNUMBER(M58),N58/MAX(M58,1),0)</f>
        <v/>
      </c>
      <c r="AH58">
        <f>IF(G58&gt;=2021,1,0)</f>
        <v/>
      </c>
      <c r="AI58">
        <f>S58</f>
        <v/>
      </c>
      <c r="AJ58">
        <f>T58</f>
        <v/>
      </c>
      <c r="AK58">
        <f>R58</f>
        <v/>
      </c>
      <c r="AL58">
        <f>U58</f>
        <v/>
      </c>
      <c r="AM58">
        <f>IF(ISNUMBER(SEARCH("CAPITAL FUNDING",D58)),1,0)</f>
        <v/>
      </c>
      <c r="AN58">
        <f>IF(ISNUMBER(SEARCH("PNC",D58)),1,0)</f>
        <v/>
      </c>
      <c r="AO58">
        <f>IF(ISNUMBER(SEARCH("WELLS FARGO",D58)),1,0)</f>
        <v/>
      </c>
      <c r="AP58">
        <f>IF(ISNUMBER(SEARCH("DWIGHT",D58)),1,0)</f>
        <v/>
      </c>
      <c r="AQ58">
        <f>IF(ISNUMBER(SEARCH("GREYSTONE",D58)),1,0)</f>
        <v/>
      </c>
      <c r="AR58">
        <f>IF(OR(Q58="3896",Q58="3557"),1,0)</f>
        <v/>
      </c>
      <c r="AS58" s="24">
        <f>V58*W58</f>
        <v/>
      </c>
      <c r="AT58" s="26">
        <f>V$4*(V58-V$3)</f>
        <v/>
      </c>
      <c r="AU58" s="26">
        <f>W$4*(W58-W$3)</f>
        <v/>
      </c>
      <c r="AV58" s="26">
        <f>X$4*(X58-X$3)</f>
        <v/>
      </c>
      <c r="AW58" s="26">
        <f>Y$4*(Y58-Y$3)</f>
        <v/>
      </c>
      <c r="AX58" s="26">
        <f>Z$4*(Z58-Z$3)</f>
        <v/>
      </c>
      <c r="AY58" s="26">
        <f>AA$4*(AA58-AA$3)</f>
        <v/>
      </c>
      <c r="AZ58" s="26">
        <f>AB$4*(AB58-AB$3)</f>
        <v/>
      </c>
      <c r="BA58" s="26">
        <f>AC$4*(AC58-AC$3)</f>
        <v/>
      </c>
      <c r="BB58" s="26">
        <f>AD$4*(AD58-AD$3)</f>
        <v/>
      </c>
      <c r="BC58" s="26">
        <f>AE$4*(AE58-AE$3)</f>
        <v/>
      </c>
      <c r="BD58" s="26">
        <f>AF$4*(AF58-AF$3)</f>
        <v/>
      </c>
      <c r="BE58" s="26">
        <f>AG$4*(AG58-AG$3)</f>
        <v/>
      </c>
      <c r="BF58" s="26">
        <f>AH$4*(AH58-AH$3)</f>
        <v/>
      </c>
      <c r="BG58" s="26">
        <f>AI$4*(AI58-AI$3)</f>
        <v/>
      </c>
      <c r="BH58" s="26">
        <f>AJ$4*(AJ58-AJ$3)</f>
        <v/>
      </c>
      <c r="BI58" s="26">
        <f>AK$4*(AK58-AK$3)</f>
        <v/>
      </c>
      <c r="BJ58" s="26">
        <f>AL$4*(AL58-AL$3)</f>
        <v/>
      </c>
      <c r="BK58" s="26">
        <f>AM$4*(AM58-AM$3)</f>
        <v/>
      </c>
      <c r="BL58" s="26">
        <f>AN$4*(AN58-AN$3)</f>
        <v/>
      </c>
      <c r="BM58" s="26">
        <f>AO$4*(AO58-AO$3)</f>
        <v/>
      </c>
      <c r="BN58" s="26">
        <f>AP$4*(AP58-AP$3)</f>
        <v/>
      </c>
      <c r="BO58" s="26">
        <f>AQ$4*(AQ58-AQ$3)</f>
        <v/>
      </c>
      <c r="BP58" s="26">
        <f>AR$4*(AR58-AR$3)</f>
        <v/>
      </c>
      <c r="BQ58" s="26">
        <f>AS$4*(AS58-AS$3)</f>
        <v/>
      </c>
      <c r="BR58" s="27">
        <f>SUM(AT58:BQ58)</f>
        <v/>
      </c>
      <c r="BS58" s="27">
        <f>INTERCEPT_SCALED+BR58</f>
        <v/>
      </c>
      <c r="BT58" s="28">
        <f>1/(1+EXP(-BS58))</f>
        <v/>
      </c>
      <c r="BU58" s="13">
        <f>1-(1-BT58)^12</f>
        <v/>
      </c>
      <c r="BV58" s="13">
        <f>IFERROR(AT58/BR58*(BU58-BASELINE_CPR),0)</f>
        <v/>
      </c>
      <c r="BW58" s="13">
        <f>IFERROR(AU58/BR58*(BU58-BASELINE_CPR),0)</f>
        <v/>
      </c>
      <c r="BX58" s="13">
        <f>IFERROR(AV58/BR58*(BU58-BASELINE_CPR),0)</f>
        <v/>
      </c>
      <c r="BY58" s="13">
        <f>IFERROR(AW58/BR58*(BU58-BASELINE_CPR),0)</f>
        <v/>
      </c>
      <c r="BZ58" s="13">
        <f>IFERROR(AX58/BR58*(BU58-BASELINE_CPR),0)</f>
        <v/>
      </c>
      <c r="CA58" s="13">
        <f>IFERROR(AY58/BR58*(BU58-BASELINE_CPR),0)</f>
        <v/>
      </c>
      <c r="CB58" s="13">
        <f>IFERROR(AZ58/BR58*(BU58-BASELINE_CPR),0)</f>
        <v/>
      </c>
      <c r="CC58" s="13">
        <f>IFERROR(BA58/BR58*(BU58-BASELINE_CPR),0)</f>
        <v/>
      </c>
      <c r="CD58" s="13">
        <f>IFERROR(BB58/BR58*(BU58-BASELINE_CPR),0)</f>
        <v/>
      </c>
      <c r="CE58" s="13">
        <f>IFERROR(BC58/BR58*(BU58-BASELINE_CPR),0)</f>
        <v/>
      </c>
      <c r="CF58" s="13">
        <f>IFERROR(BD58/BR58*(BU58-BASELINE_CPR),0)</f>
        <v/>
      </c>
      <c r="CG58" s="13">
        <f>IFERROR(BE58/BR58*(BU58-BASELINE_CPR),0)</f>
        <v/>
      </c>
      <c r="CH58" s="13">
        <f>IFERROR(BF58/BR58*(BU58-BASELINE_CPR),0)</f>
        <v/>
      </c>
      <c r="CI58" s="13">
        <f>IFERROR(BG58/BR58*(BU58-BASELINE_CPR),0)</f>
        <v/>
      </c>
      <c r="CJ58" s="13">
        <f>IFERROR(BH58/BR58*(BU58-BASELINE_CPR),0)</f>
        <v/>
      </c>
      <c r="CK58" s="13">
        <f>IFERROR(BI58/BR58*(BU58-BASELINE_CPR),0)</f>
        <v/>
      </c>
      <c r="CL58" s="13">
        <f>IFERROR(BJ58/BR58*(BU58-BASELINE_CPR),0)</f>
        <v/>
      </c>
      <c r="CM58" s="13">
        <f>IFERROR(BK58/BR58*(BU58-BASELINE_CPR),0)</f>
        <v/>
      </c>
      <c r="CN58" s="13">
        <f>IFERROR(BL58/BR58*(BU58-BASELINE_CPR),0)</f>
        <v/>
      </c>
      <c r="CO58" s="13">
        <f>IFERROR(BM58/BR58*(BU58-BASELINE_CPR),0)</f>
        <v/>
      </c>
      <c r="CP58" s="13">
        <f>IFERROR(BN58/BR58*(BU58-BASELINE_CPR),0)</f>
        <v/>
      </c>
      <c r="CQ58" s="13">
        <f>IFERROR(BO58/BR58*(BU58-BASELINE_CPR),0)</f>
        <v/>
      </c>
      <c r="CR58" s="13">
        <f>IFERROR(BP58/BR58*(BU58-BASELINE_CPR),0)</f>
        <v/>
      </c>
      <c r="CS58" s="13">
        <f>IFERROR(BQ58/BR58*(BU58-BASELINE_CPR),0)</f>
        <v/>
      </c>
      <c r="CT58" s="29">
        <f>BASELINE_CPR+SUM(BV58:CS58)-BU58</f>
        <v/>
      </c>
    </row>
    <row r="59">
      <c r="A59" s="2" t="inlineStr">
        <is>
          <t>3617M15Y3_000000012622168</t>
        </is>
      </c>
      <c r="B59" t="inlineStr">
        <is>
          <t>BERKADIA_PRE21</t>
        </is>
      </c>
      <c r="C59" s="2" t="inlineStr">
        <is>
          <t>3617M15Y3</t>
        </is>
      </c>
      <c r="D59" t="inlineStr">
        <is>
          <t>BERKADIA COMMERCIAL MORTGAGE, LLC</t>
        </is>
      </c>
      <c r="E59" t="inlineStr">
        <is>
          <t>232</t>
        </is>
      </c>
      <c r="F59" t="inlineStr">
        <is>
          <t>RP</t>
        </is>
      </c>
      <c r="G59" t="n">
        <v>2018</v>
      </c>
      <c r="H59" t="inlineStr">
        <is>
          <t>202602</t>
        </is>
      </c>
      <c r="I59" s="22" t="n">
        <v>8760424.359999999</v>
      </c>
      <c r="J59" s="23" t="n">
        <v>4.1</v>
      </c>
      <c r="K59" s="24" t="n">
        <v>447</v>
      </c>
      <c r="L59" s="24" t="n">
        <v>6</v>
      </c>
      <c r="M59" t="n">
        <v>87</v>
      </c>
      <c r="N59" t="n">
        <v>22</v>
      </c>
      <c r="O59" t="n">
        <v>204901</v>
      </c>
      <c r="P59" t="inlineStr"/>
      <c r="Q59" t="inlineStr">
        <is>
          <t>4082</t>
        </is>
      </c>
      <c r="R59" t="n">
        <v>1</v>
      </c>
      <c r="S59" t="n">
        <v>0</v>
      </c>
      <c r="T59" t="n">
        <v>0</v>
      </c>
      <c r="U59" t="n">
        <v>0</v>
      </c>
      <c r="V59" s="24">
        <f>J59*100-K59</f>
        <v/>
      </c>
      <c r="W59" s="24">
        <f>L59</f>
        <v/>
      </c>
      <c r="X59" s="25">
        <f>MIN(M59,36)</f>
        <v/>
      </c>
      <c r="Y59" s="25">
        <f>MIN(MAX(M59-36,0),84)</f>
        <v/>
      </c>
      <c r="Z59" s="25">
        <f>MAX(M59-120,0)</f>
        <v/>
      </c>
      <c r="AA59" s="25">
        <f>IF(OR(O59="",NOT(ISNUMBER(O59))),360,MAX(0,MIN(480,(INT(O59/100)-INT(VALUE(H59)/100))*12+MOD(O59,100)-MOD(VALUE(H59),100))))</f>
        <v/>
      </c>
      <c r="AB59">
        <f>IF(AND(AA59&gt;0,AA59&lt;=24),1,0)</f>
        <v/>
      </c>
      <c r="AC59" s="25">
        <f>IF(OR(P59="",NOT(ISNUMBER(P59))),0,MAX(0,MIN(24,(INT(VALUE(H59)/100)-INT(P59/100))*12+MOD(VALUE(H59),100)-MOD(P59,100))))</f>
        <v/>
      </c>
      <c r="AD59" s="23">
        <f>LN(1+I59)</f>
        <v/>
      </c>
      <c r="AE59">
        <f>IF(I59&lt;2000000,1,0)</f>
        <v/>
      </c>
      <c r="AF59">
        <f>IF(I59&gt;50000000,1,0)</f>
        <v/>
      </c>
      <c r="AG59" s="23">
        <f>IF(ISNUMBER(M59),N59/MAX(M59,1),0)</f>
        <v/>
      </c>
      <c r="AH59">
        <f>IF(G59&gt;=2021,1,0)</f>
        <v/>
      </c>
      <c r="AI59">
        <f>S59</f>
        <v/>
      </c>
      <c r="AJ59">
        <f>T59</f>
        <v/>
      </c>
      <c r="AK59">
        <f>R59</f>
        <v/>
      </c>
      <c r="AL59">
        <f>U59</f>
        <v/>
      </c>
      <c r="AM59">
        <f>IF(ISNUMBER(SEARCH("CAPITAL FUNDING",D59)),1,0)</f>
        <v/>
      </c>
      <c r="AN59">
        <f>IF(ISNUMBER(SEARCH("PNC",D59)),1,0)</f>
        <v/>
      </c>
      <c r="AO59">
        <f>IF(ISNUMBER(SEARCH("WELLS FARGO",D59)),1,0)</f>
        <v/>
      </c>
      <c r="AP59">
        <f>IF(ISNUMBER(SEARCH("DWIGHT",D59)),1,0)</f>
        <v/>
      </c>
      <c r="AQ59">
        <f>IF(ISNUMBER(SEARCH("GREYSTONE",D59)),1,0)</f>
        <v/>
      </c>
      <c r="AR59">
        <f>IF(OR(Q59="3896",Q59="3557"),1,0)</f>
        <v/>
      </c>
      <c r="AS59" s="24">
        <f>V59*W59</f>
        <v/>
      </c>
      <c r="AT59" s="26">
        <f>V$4*(V59-V$3)</f>
        <v/>
      </c>
      <c r="AU59" s="26">
        <f>W$4*(W59-W$3)</f>
        <v/>
      </c>
      <c r="AV59" s="26">
        <f>X$4*(X59-X$3)</f>
        <v/>
      </c>
      <c r="AW59" s="26">
        <f>Y$4*(Y59-Y$3)</f>
        <v/>
      </c>
      <c r="AX59" s="26">
        <f>Z$4*(Z59-Z$3)</f>
        <v/>
      </c>
      <c r="AY59" s="26">
        <f>AA$4*(AA59-AA$3)</f>
        <v/>
      </c>
      <c r="AZ59" s="26">
        <f>AB$4*(AB59-AB$3)</f>
        <v/>
      </c>
      <c r="BA59" s="26">
        <f>AC$4*(AC59-AC$3)</f>
        <v/>
      </c>
      <c r="BB59" s="26">
        <f>AD$4*(AD59-AD$3)</f>
        <v/>
      </c>
      <c r="BC59" s="26">
        <f>AE$4*(AE59-AE$3)</f>
        <v/>
      </c>
      <c r="BD59" s="26">
        <f>AF$4*(AF59-AF$3)</f>
        <v/>
      </c>
      <c r="BE59" s="26">
        <f>AG$4*(AG59-AG$3)</f>
        <v/>
      </c>
      <c r="BF59" s="26">
        <f>AH$4*(AH59-AH$3)</f>
        <v/>
      </c>
      <c r="BG59" s="26">
        <f>AI$4*(AI59-AI$3)</f>
        <v/>
      </c>
      <c r="BH59" s="26">
        <f>AJ$4*(AJ59-AJ$3)</f>
        <v/>
      </c>
      <c r="BI59" s="26">
        <f>AK$4*(AK59-AK$3)</f>
        <v/>
      </c>
      <c r="BJ59" s="26">
        <f>AL$4*(AL59-AL$3)</f>
        <v/>
      </c>
      <c r="BK59" s="26">
        <f>AM$4*(AM59-AM$3)</f>
        <v/>
      </c>
      <c r="BL59" s="26">
        <f>AN$4*(AN59-AN$3)</f>
        <v/>
      </c>
      <c r="BM59" s="26">
        <f>AO$4*(AO59-AO$3)</f>
        <v/>
      </c>
      <c r="BN59" s="26">
        <f>AP$4*(AP59-AP$3)</f>
        <v/>
      </c>
      <c r="BO59" s="26">
        <f>AQ$4*(AQ59-AQ$3)</f>
        <v/>
      </c>
      <c r="BP59" s="26">
        <f>AR$4*(AR59-AR$3)</f>
        <v/>
      </c>
      <c r="BQ59" s="26">
        <f>AS$4*(AS59-AS$3)</f>
        <v/>
      </c>
      <c r="BR59" s="27">
        <f>SUM(AT59:BQ59)</f>
        <v/>
      </c>
      <c r="BS59" s="27">
        <f>INTERCEPT_SCALED+BR59</f>
        <v/>
      </c>
      <c r="BT59" s="28">
        <f>1/(1+EXP(-BS59))</f>
        <v/>
      </c>
      <c r="BU59" s="13">
        <f>1-(1-BT59)^12</f>
        <v/>
      </c>
      <c r="BV59" s="13">
        <f>IFERROR(AT59/BR59*(BU59-BASELINE_CPR),0)</f>
        <v/>
      </c>
      <c r="BW59" s="13">
        <f>IFERROR(AU59/BR59*(BU59-BASELINE_CPR),0)</f>
        <v/>
      </c>
      <c r="BX59" s="13">
        <f>IFERROR(AV59/BR59*(BU59-BASELINE_CPR),0)</f>
        <v/>
      </c>
      <c r="BY59" s="13">
        <f>IFERROR(AW59/BR59*(BU59-BASELINE_CPR),0)</f>
        <v/>
      </c>
      <c r="BZ59" s="13">
        <f>IFERROR(AX59/BR59*(BU59-BASELINE_CPR),0)</f>
        <v/>
      </c>
      <c r="CA59" s="13">
        <f>IFERROR(AY59/BR59*(BU59-BASELINE_CPR),0)</f>
        <v/>
      </c>
      <c r="CB59" s="13">
        <f>IFERROR(AZ59/BR59*(BU59-BASELINE_CPR),0)</f>
        <v/>
      </c>
      <c r="CC59" s="13">
        <f>IFERROR(BA59/BR59*(BU59-BASELINE_CPR),0)</f>
        <v/>
      </c>
      <c r="CD59" s="13">
        <f>IFERROR(BB59/BR59*(BU59-BASELINE_CPR),0)</f>
        <v/>
      </c>
      <c r="CE59" s="13">
        <f>IFERROR(BC59/BR59*(BU59-BASELINE_CPR),0)</f>
        <v/>
      </c>
      <c r="CF59" s="13">
        <f>IFERROR(BD59/BR59*(BU59-BASELINE_CPR),0)</f>
        <v/>
      </c>
      <c r="CG59" s="13">
        <f>IFERROR(BE59/BR59*(BU59-BASELINE_CPR),0)</f>
        <v/>
      </c>
      <c r="CH59" s="13">
        <f>IFERROR(BF59/BR59*(BU59-BASELINE_CPR),0)</f>
        <v/>
      </c>
      <c r="CI59" s="13">
        <f>IFERROR(BG59/BR59*(BU59-BASELINE_CPR),0)</f>
        <v/>
      </c>
      <c r="CJ59" s="13">
        <f>IFERROR(BH59/BR59*(BU59-BASELINE_CPR),0)</f>
        <v/>
      </c>
      <c r="CK59" s="13">
        <f>IFERROR(BI59/BR59*(BU59-BASELINE_CPR),0)</f>
        <v/>
      </c>
      <c r="CL59" s="13">
        <f>IFERROR(BJ59/BR59*(BU59-BASELINE_CPR),0)</f>
        <v/>
      </c>
      <c r="CM59" s="13">
        <f>IFERROR(BK59/BR59*(BU59-BASELINE_CPR),0)</f>
        <v/>
      </c>
      <c r="CN59" s="13">
        <f>IFERROR(BL59/BR59*(BU59-BASELINE_CPR),0)</f>
        <v/>
      </c>
      <c r="CO59" s="13">
        <f>IFERROR(BM59/BR59*(BU59-BASELINE_CPR),0)</f>
        <v/>
      </c>
      <c r="CP59" s="13">
        <f>IFERROR(BN59/BR59*(BU59-BASELINE_CPR),0)</f>
        <v/>
      </c>
      <c r="CQ59" s="13">
        <f>IFERROR(BO59/BR59*(BU59-BASELINE_CPR),0)</f>
        <v/>
      </c>
      <c r="CR59" s="13">
        <f>IFERROR(BP59/BR59*(BU59-BASELINE_CPR),0)</f>
        <v/>
      </c>
      <c r="CS59" s="13">
        <f>IFERROR(BQ59/BR59*(BU59-BASELINE_CPR),0)</f>
        <v/>
      </c>
      <c r="CT59" s="29">
        <f>BASELINE_CPR+SUM(BV59:CS59)-BU59</f>
        <v/>
      </c>
    </row>
    <row r="60">
      <c r="A60" s="2" t="inlineStr">
        <is>
          <t>3617U85A1_000000010511032</t>
        </is>
      </c>
      <c r="B60" t="inlineStr">
        <is>
          <t>BERKADIA_PRE21</t>
        </is>
      </c>
      <c r="C60" s="2" t="inlineStr">
        <is>
          <t>3617U85A1</t>
        </is>
      </c>
      <c r="D60" t="inlineStr">
        <is>
          <t>BERKADIA COMMERCIAL MORTGAGE, LLC</t>
        </is>
      </c>
      <c r="E60" t="inlineStr">
        <is>
          <t>223f</t>
        </is>
      </c>
      <c r="F60" t="inlineStr">
        <is>
          <t>RP</t>
        </is>
      </c>
      <c r="G60" t="n">
        <v>2007</v>
      </c>
      <c r="H60" t="inlineStr">
        <is>
          <t>202602</t>
        </is>
      </c>
      <c r="I60" s="22" t="n">
        <v>2605551.37</v>
      </c>
      <c r="J60" s="23" t="n">
        <v>2.83</v>
      </c>
      <c r="K60" s="24" t="n">
        <v>447</v>
      </c>
      <c r="L60" s="24" t="n">
        <v>6</v>
      </c>
      <c r="M60" t="n">
        <v>229</v>
      </c>
      <c r="N60" t="n">
        <v>13</v>
      </c>
      <c r="O60" t="n">
        <v>204205</v>
      </c>
      <c r="P60" t="inlineStr"/>
      <c r="Q60" t="inlineStr">
        <is>
          <t>4082</t>
        </is>
      </c>
      <c r="R60" t="n">
        <v>0</v>
      </c>
      <c r="S60" t="n">
        <v>0</v>
      </c>
      <c r="T60" t="n">
        <v>0</v>
      </c>
      <c r="U60" t="n">
        <v>0</v>
      </c>
      <c r="V60" s="24">
        <f>J60*100-K60</f>
        <v/>
      </c>
      <c r="W60" s="24">
        <f>L60</f>
        <v/>
      </c>
      <c r="X60" s="25">
        <f>MIN(M60,36)</f>
        <v/>
      </c>
      <c r="Y60" s="25">
        <f>MIN(MAX(M60-36,0),84)</f>
        <v/>
      </c>
      <c r="Z60" s="25">
        <f>MAX(M60-120,0)</f>
        <v/>
      </c>
      <c r="AA60" s="25">
        <f>IF(OR(O60="",NOT(ISNUMBER(O60))),360,MAX(0,MIN(480,(INT(O60/100)-INT(VALUE(H60)/100))*12+MOD(O60,100)-MOD(VALUE(H60),100))))</f>
        <v/>
      </c>
      <c r="AB60">
        <f>IF(AND(AA60&gt;0,AA60&lt;=24),1,0)</f>
        <v/>
      </c>
      <c r="AC60" s="25">
        <f>IF(OR(P60="",NOT(ISNUMBER(P60))),0,MAX(0,MIN(24,(INT(VALUE(H60)/100)-INT(P60/100))*12+MOD(VALUE(H60),100)-MOD(P60,100))))</f>
        <v/>
      </c>
      <c r="AD60" s="23">
        <f>LN(1+I60)</f>
        <v/>
      </c>
      <c r="AE60">
        <f>IF(I60&lt;2000000,1,0)</f>
        <v/>
      </c>
      <c r="AF60">
        <f>IF(I60&gt;50000000,1,0)</f>
        <v/>
      </c>
      <c r="AG60" s="23">
        <f>IF(ISNUMBER(M60),N60/MAX(M60,1),0)</f>
        <v/>
      </c>
      <c r="AH60">
        <f>IF(G60&gt;=2021,1,0)</f>
        <v/>
      </c>
      <c r="AI60">
        <f>S60</f>
        <v/>
      </c>
      <c r="AJ60">
        <f>T60</f>
        <v/>
      </c>
      <c r="AK60">
        <f>R60</f>
        <v/>
      </c>
      <c r="AL60">
        <f>U60</f>
        <v/>
      </c>
      <c r="AM60">
        <f>IF(ISNUMBER(SEARCH("CAPITAL FUNDING",D60)),1,0)</f>
        <v/>
      </c>
      <c r="AN60">
        <f>IF(ISNUMBER(SEARCH("PNC",D60)),1,0)</f>
        <v/>
      </c>
      <c r="AO60">
        <f>IF(ISNUMBER(SEARCH("WELLS FARGO",D60)),1,0)</f>
        <v/>
      </c>
      <c r="AP60">
        <f>IF(ISNUMBER(SEARCH("DWIGHT",D60)),1,0)</f>
        <v/>
      </c>
      <c r="AQ60">
        <f>IF(ISNUMBER(SEARCH("GREYSTONE",D60)),1,0)</f>
        <v/>
      </c>
      <c r="AR60">
        <f>IF(OR(Q60="3896",Q60="3557"),1,0)</f>
        <v/>
      </c>
      <c r="AS60" s="24">
        <f>V60*W60</f>
        <v/>
      </c>
      <c r="AT60" s="26">
        <f>V$4*(V60-V$3)</f>
        <v/>
      </c>
      <c r="AU60" s="26">
        <f>W$4*(W60-W$3)</f>
        <v/>
      </c>
      <c r="AV60" s="26">
        <f>X$4*(X60-X$3)</f>
        <v/>
      </c>
      <c r="AW60" s="26">
        <f>Y$4*(Y60-Y$3)</f>
        <v/>
      </c>
      <c r="AX60" s="26">
        <f>Z$4*(Z60-Z$3)</f>
        <v/>
      </c>
      <c r="AY60" s="26">
        <f>AA$4*(AA60-AA$3)</f>
        <v/>
      </c>
      <c r="AZ60" s="26">
        <f>AB$4*(AB60-AB$3)</f>
        <v/>
      </c>
      <c r="BA60" s="26">
        <f>AC$4*(AC60-AC$3)</f>
        <v/>
      </c>
      <c r="BB60" s="26">
        <f>AD$4*(AD60-AD$3)</f>
        <v/>
      </c>
      <c r="BC60" s="26">
        <f>AE$4*(AE60-AE$3)</f>
        <v/>
      </c>
      <c r="BD60" s="26">
        <f>AF$4*(AF60-AF$3)</f>
        <v/>
      </c>
      <c r="BE60" s="26">
        <f>AG$4*(AG60-AG$3)</f>
        <v/>
      </c>
      <c r="BF60" s="26">
        <f>AH$4*(AH60-AH$3)</f>
        <v/>
      </c>
      <c r="BG60" s="26">
        <f>AI$4*(AI60-AI$3)</f>
        <v/>
      </c>
      <c r="BH60" s="26">
        <f>AJ$4*(AJ60-AJ$3)</f>
        <v/>
      </c>
      <c r="BI60" s="26">
        <f>AK$4*(AK60-AK$3)</f>
        <v/>
      </c>
      <c r="BJ60" s="26">
        <f>AL$4*(AL60-AL$3)</f>
        <v/>
      </c>
      <c r="BK60" s="26">
        <f>AM$4*(AM60-AM$3)</f>
        <v/>
      </c>
      <c r="BL60" s="26">
        <f>AN$4*(AN60-AN$3)</f>
        <v/>
      </c>
      <c r="BM60" s="26">
        <f>AO$4*(AO60-AO$3)</f>
        <v/>
      </c>
      <c r="BN60" s="26">
        <f>AP$4*(AP60-AP$3)</f>
        <v/>
      </c>
      <c r="BO60" s="26">
        <f>AQ$4*(AQ60-AQ$3)</f>
        <v/>
      </c>
      <c r="BP60" s="26">
        <f>AR$4*(AR60-AR$3)</f>
        <v/>
      </c>
      <c r="BQ60" s="26">
        <f>AS$4*(AS60-AS$3)</f>
        <v/>
      </c>
      <c r="BR60" s="27">
        <f>SUM(AT60:BQ60)</f>
        <v/>
      </c>
      <c r="BS60" s="27">
        <f>INTERCEPT_SCALED+BR60</f>
        <v/>
      </c>
      <c r="BT60" s="28">
        <f>1/(1+EXP(-BS60))</f>
        <v/>
      </c>
      <c r="BU60" s="13">
        <f>1-(1-BT60)^12</f>
        <v/>
      </c>
      <c r="BV60" s="13">
        <f>IFERROR(AT60/BR60*(BU60-BASELINE_CPR),0)</f>
        <v/>
      </c>
      <c r="BW60" s="13">
        <f>IFERROR(AU60/BR60*(BU60-BASELINE_CPR),0)</f>
        <v/>
      </c>
      <c r="BX60" s="13">
        <f>IFERROR(AV60/BR60*(BU60-BASELINE_CPR),0)</f>
        <v/>
      </c>
      <c r="BY60" s="13">
        <f>IFERROR(AW60/BR60*(BU60-BASELINE_CPR),0)</f>
        <v/>
      </c>
      <c r="BZ60" s="13">
        <f>IFERROR(AX60/BR60*(BU60-BASELINE_CPR),0)</f>
        <v/>
      </c>
      <c r="CA60" s="13">
        <f>IFERROR(AY60/BR60*(BU60-BASELINE_CPR),0)</f>
        <v/>
      </c>
      <c r="CB60" s="13">
        <f>IFERROR(AZ60/BR60*(BU60-BASELINE_CPR),0)</f>
        <v/>
      </c>
      <c r="CC60" s="13">
        <f>IFERROR(BA60/BR60*(BU60-BASELINE_CPR),0)</f>
        <v/>
      </c>
      <c r="CD60" s="13">
        <f>IFERROR(BB60/BR60*(BU60-BASELINE_CPR),0)</f>
        <v/>
      </c>
      <c r="CE60" s="13">
        <f>IFERROR(BC60/BR60*(BU60-BASELINE_CPR),0)</f>
        <v/>
      </c>
      <c r="CF60" s="13">
        <f>IFERROR(BD60/BR60*(BU60-BASELINE_CPR),0)</f>
        <v/>
      </c>
      <c r="CG60" s="13">
        <f>IFERROR(BE60/BR60*(BU60-BASELINE_CPR),0)</f>
        <v/>
      </c>
      <c r="CH60" s="13">
        <f>IFERROR(BF60/BR60*(BU60-BASELINE_CPR),0)</f>
        <v/>
      </c>
      <c r="CI60" s="13">
        <f>IFERROR(BG60/BR60*(BU60-BASELINE_CPR),0)</f>
        <v/>
      </c>
      <c r="CJ60" s="13">
        <f>IFERROR(BH60/BR60*(BU60-BASELINE_CPR),0)</f>
        <v/>
      </c>
      <c r="CK60" s="13">
        <f>IFERROR(BI60/BR60*(BU60-BASELINE_CPR),0)</f>
        <v/>
      </c>
      <c r="CL60" s="13">
        <f>IFERROR(BJ60/BR60*(BU60-BASELINE_CPR),0)</f>
        <v/>
      </c>
      <c r="CM60" s="13">
        <f>IFERROR(BK60/BR60*(BU60-BASELINE_CPR),0)</f>
        <v/>
      </c>
      <c r="CN60" s="13">
        <f>IFERROR(BL60/BR60*(BU60-BASELINE_CPR),0)</f>
        <v/>
      </c>
      <c r="CO60" s="13">
        <f>IFERROR(BM60/BR60*(BU60-BASELINE_CPR),0)</f>
        <v/>
      </c>
      <c r="CP60" s="13">
        <f>IFERROR(BN60/BR60*(BU60-BASELINE_CPR),0)</f>
        <v/>
      </c>
      <c r="CQ60" s="13">
        <f>IFERROR(BO60/BR60*(BU60-BASELINE_CPR),0)</f>
        <v/>
      </c>
      <c r="CR60" s="13">
        <f>IFERROR(BP60/BR60*(BU60-BASELINE_CPR),0)</f>
        <v/>
      </c>
      <c r="CS60" s="13">
        <f>IFERROR(BQ60/BR60*(BU60-BASELINE_CPR),0)</f>
        <v/>
      </c>
      <c r="CT60" s="29">
        <f>BASELINE_CPR+SUM(BV60:CS60)-BU60</f>
        <v/>
      </c>
    </row>
    <row r="61">
      <c r="A61" s="2" t="inlineStr">
        <is>
          <t>3617XJY46_000000012222261</t>
        </is>
      </c>
      <c r="B61" t="inlineStr">
        <is>
          <t>BERKADIA_POST21</t>
        </is>
      </c>
      <c r="C61" s="2" t="inlineStr">
        <is>
          <t>3617XJY46</t>
        </is>
      </c>
      <c r="D61" t="inlineStr">
        <is>
          <t>BERKADIA COMMERCIAL MORTGAGE, LLC</t>
        </is>
      </c>
      <c r="E61" t="inlineStr">
        <is>
          <t>232</t>
        </is>
      </c>
      <c r="F61" t="inlineStr">
        <is>
          <t>RP</t>
        </is>
      </c>
      <c r="G61" t="n">
        <v>2021</v>
      </c>
      <c r="H61" t="inlineStr">
        <is>
          <t>202602</t>
        </is>
      </c>
      <c r="I61" s="22" t="n">
        <v>1287013.14</v>
      </c>
      <c r="J61" s="23" t="n">
        <v>2.58</v>
      </c>
      <c r="K61" s="24" t="n">
        <v>447</v>
      </c>
      <c r="L61" s="24" t="n">
        <v>8</v>
      </c>
      <c r="M61" t="n">
        <v>52</v>
      </c>
      <c r="N61" t="n">
        <v>0</v>
      </c>
      <c r="O61" t="n">
        <v>204407</v>
      </c>
      <c r="P61" t="inlineStr"/>
      <c r="Q61" t="inlineStr">
        <is>
          <t>4082</t>
        </is>
      </c>
      <c r="R61" t="n">
        <v>1</v>
      </c>
      <c r="S61" t="n">
        <v>1</v>
      </c>
      <c r="T61" t="n">
        <v>0</v>
      </c>
      <c r="U61" t="n">
        <v>0</v>
      </c>
      <c r="V61" s="24">
        <f>J61*100-K61</f>
        <v/>
      </c>
      <c r="W61" s="24">
        <f>L61</f>
        <v/>
      </c>
      <c r="X61" s="25">
        <f>MIN(M61,36)</f>
        <v/>
      </c>
      <c r="Y61" s="25">
        <f>MIN(MAX(M61-36,0),84)</f>
        <v/>
      </c>
      <c r="Z61" s="25">
        <f>MAX(M61-120,0)</f>
        <v/>
      </c>
      <c r="AA61" s="25">
        <f>IF(OR(O61="",NOT(ISNUMBER(O61))),360,MAX(0,MIN(480,(INT(O61/100)-INT(VALUE(H61)/100))*12+MOD(O61,100)-MOD(VALUE(H61),100))))</f>
        <v/>
      </c>
      <c r="AB61">
        <f>IF(AND(AA61&gt;0,AA61&lt;=24),1,0)</f>
        <v/>
      </c>
      <c r="AC61" s="25">
        <f>IF(OR(P61="",NOT(ISNUMBER(P61))),0,MAX(0,MIN(24,(INT(VALUE(H61)/100)-INT(P61/100))*12+MOD(VALUE(H61),100)-MOD(P61,100))))</f>
        <v/>
      </c>
      <c r="AD61" s="23">
        <f>LN(1+I61)</f>
        <v/>
      </c>
      <c r="AE61">
        <f>IF(I61&lt;2000000,1,0)</f>
        <v/>
      </c>
      <c r="AF61">
        <f>IF(I61&gt;50000000,1,0)</f>
        <v/>
      </c>
      <c r="AG61" s="23">
        <f>IF(ISNUMBER(M61),N61/MAX(M61,1),0)</f>
        <v/>
      </c>
      <c r="AH61">
        <f>IF(G61&gt;=2021,1,0)</f>
        <v/>
      </c>
      <c r="AI61">
        <f>S61</f>
        <v/>
      </c>
      <c r="AJ61">
        <f>T61</f>
        <v/>
      </c>
      <c r="AK61">
        <f>R61</f>
        <v/>
      </c>
      <c r="AL61">
        <f>U61</f>
        <v/>
      </c>
      <c r="AM61">
        <f>IF(ISNUMBER(SEARCH("CAPITAL FUNDING",D61)),1,0)</f>
        <v/>
      </c>
      <c r="AN61">
        <f>IF(ISNUMBER(SEARCH("PNC",D61)),1,0)</f>
        <v/>
      </c>
      <c r="AO61">
        <f>IF(ISNUMBER(SEARCH("WELLS FARGO",D61)),1,0)</f>
        <v/>
      </c>
      <c r="AP61">
        <f>IF(ISNUMBER(SEARCH("DWIGHT",D61)),1,0)</f>
        <v/>
      </c>
      <c r="AQ61">
        <f>IF(ISNUMBER(SEARCH("GREYSTONE",D61)),1,0)</f>
        <v/>
      </c>
      <c r="AR61">
        <f>IF(OR(Q61="3896",Q61="3557"),1,0)</f>
        <v/>
      </c>
      <c r="AS61" s="24">
        <f>V61*W61</f>
        <v/>
      </c>
      <c r="AT61" s="26">
        <f>V$4*(V61-V$3)</f>
        <v/>
      </c>
      <c r="AU61" s="26">
        <f>W$4*(W61-W$3)</f>
        <v/>
      </c>
      <c r="AV61" s="26">
        <f>X$4*(X61-X$3)</f>
        <v/>
      </c>
      <c r="AW61" s="26">
        <f>Y$4*(Y61-Y$3)</f>
        <v/>
      </c>
      <c r="AX61" s="26">
        <f>Z$4*(Z61-Z$3)</f>
        <v/>
      </c>
      <c r="AY61" s="26">
        <f>AA$4*(AA61-AA$3)</f>
        <v/>
      </c>
      <c r="AZ61" s="26">
        <f>AB$4*(AB61-AB$3)</f>
        <v/>
      </c>
      <c r="BA61" s="26">
        <f>AC$4*(AC61-AC$3)</f>
        <v/>
      </c>
      <c r="BB61" s="26">
        <f>AD$4*(AD61-AD$3)</f>
        <v/>
      </c>
      <c r="BC61" s="26">
        <f>AE$4*(AE61-AE$3)</f>
        <v/>
      </c>
      <c r="BD61" s="26">
        <f>AF$4*(AF61-AF$3)</f>
        <v/>
      </c>
      <c r="BE61" s="26">
        <f>AG$4*(AG61-AG$3)</f>
        <v/>
      </c>
      <c r="BF61" s="26">
        <f>AH$4*(AH61-AH$3)</f>
        <v/>
      </c>
      <c r="BG61" s="26">
        <f>AI$4*(AI61-AI$3)</f>
        <v/>
      </c>
      <c r="BH61" s="26">
        <f>AJ$4*(AJ61-AJ$3)</f>
        <v/>
      </c>
      <c r="BI61" s="26">
        <f>AK$4*(AK61-AK$3)</f>
        <v/>
      </c>
      <c r="BJ61" s="26">
        <f>AL$4*(AL61-AL$3)</f>
        <v/>
      </c>
      <c r="BK61" s="26">
        <f>AM$4*(AM61-AM$3)</f>
        <v/>
      </c>
      <c r="BL61" s="26">
        <f>AN$4*(AN61-AN$3)</f>
        <v/>
      </c>
      <c r="BM61" s="26">
        <f>AO$4*(AO61-AO$3)</f>
        <v/>
      </c>
      <c r="BN61" s="26">
        <f>AP$4*(AP61-AP$3)</f>
        <v/>
      </c>
      <c r="BO61" s="26">
        <f>AQ$4*(AQ61-AQ$3)</f>
        <v/>
      </c>
      <c r="BP61" s="26">
        <f>AR$4*(AR61-AR$3)</f>
        <v/>
      </c>
      <c r="BQ61" s="26">
        <f>AS$4*(AS61-AS$3)</f>
        <v/>
      </c>
      <c r="BR61" s="27">
        <f>SUM(AT61:BQ61)</f>
        <v/>
      </c>
      <c r="BS61" s="27">
        <f>INTERCEPT_SCALED+BR61</f>
        <v/>
      </c>
      <c r="BT61" s="28">
        <f>1/(1+EXP(-BS61))</f>
        <v/>
      </c>
      <c r="BU61" s="13">
        <f>1-(1-BT61)^12</f>
        <v/>
      </c>
      <c r="BV61" s="13">
        <f>IFERROR(AT61/BR61*(BU61-BASELINE_CPR),0)</f>
        <v/>
      </c>
      <c r="BW61" s="13">
        <f>IFERROR(AU61/BR61*(BU61-BASELINE_CPR),0)</f>
        <v/>
      </c>
      <c r="BX61" s="13">
        <f>IFERROR(AV61/BR61*(BU61-BASELINE_CPR),0)</f>
        <v/>
      </c>
      <c r="BY61" s="13">
        <f>IFERROR(AW61/BR61*(BU61-BASELINE_CPR),0)</f>
        <v/>
      </c>
      <c r="BZ61" s="13">
        <f>IFERROR(AX61/BR61*(BU61-BASELINE_CPR),0)</f>
        <v/>
      </c>
      <c r="CA61" s="13">
        <f>IFERROR(AY61/BR61*(BU61-BASELINE_CPR),0)</f>
        <v/>
      </c>
      <c r="CB61" s="13">
        <f>IFERROR(AZ61/BR61*(BU61-BASELINE_CPR),0)</f>
        <v/>
      </c>
      <c r="CC61" s="13">
        <f>IFERROR(BA61/BR61*(BU61-BASELINE_CPR),0)</f>
        <v/>
      </c>
      <c r="CD61" s="13">
        <f>IFERROR(BB61/BR61*(BU61-BASELINE_CPR),0)</f>
        <v/>
      </c>
      <c r="CE61" s="13">
        <f>IFERROR(BC61/BR61*(BU61-BASELINE_CPR),0)</f>
        <v/>
      </c>
      <c r="CF61" s="13">
        <f>IFERROR(BD61/BR61*(BU61-BASELINE_CPR),0)</f>
        <v/>
      </c>
      <c r="CG61" s="13">
        <f>IFERROR(BE61/BR61*(BU61-BASELINE_CPR),0)</f>
        <v/>
      </c>
      <c r="CH61" s="13">
        <f>IFERROR(BF61/BR61*(BU61-BASELINE_CPR),0)</f>
        <v/>
      </c>
      <c r="CI61" s="13">
        <f>IFERROR(BG61/BR61*(BU61-BASELINE_CPR),0)</f>
        <v/>
      </c>
      <c r="CJ61" s="13">
        <f>IFERROR(BH61/BR61*(BU61-BASELINE_CPR),0)</f>
        <v/>
      </c>
      <c r="CK61" s="13">
        <f>IFERROR(BI61/BR61*(BU61-BASELINE_CPR),0)</f>
        <v/>
      </c>
      <c r="CL61" s="13">
        <f>IFERROR(BJ61/BR61*(BU61-BASELINE_CPR),0)</f>
        <v/>
      </c>
      <c r="CM61" s="13">
        <f>IFERROR(BK61/BR61*(BU61-BASELINE_CPR),0)</f>
        <v/>
      </c>
      <c r="CN61" s="13">
        <f>IFERROR(BL61/BR61*(BU61-BASELINE_CPR),0)</f>
        <v/>
      </c>
      <c r="CO61" s="13">
        <f>IFERROR(BM61/BR61*(BU61-BASELINE_CPR),0)</f>
        <v/>
      </c>
      <c r="CP61" s="13">
        <f>IFERROR(BN61/BR61*(BU61-BASELINE_CPR),0)</f>
        <v/>
      </c>
      <c r="CQ61" s="13">
        <f>IFERROR(BO61/BR61*(BU61-BASELINE_CPR),0)</f>
        <v/>
      </c>
      <c r="CR61" s="13">
        <f>IFERROR(BP61/BR61*(BU61-BASELINE_CPR),0)</f>
        <v/>
      </c>
      <c r="CS61" s="13">
        <f>IFERROR(BQ61/BR61*(BU61-BASELINE_CPR),0)</f>
        <v/>
      </c>
      <c r="CT61" s="29">
        <f>BASELINE_CPR+SUM(BV61:CS61)-BU61</f>
        <v/>
      </c>
    </row>
    <row r="62">
      <c r="A62" s="2" t="inlineStr">
        <is>
          <t>3617NWA44_000000012711198</t>
        </is>
      </c>
      <c r="B62" t="inlineStr">
        <is>
          <t>BERKADIA_PRE21</t>
        </is>
      </c>
      <c r="C62" s="2" t="inlineStr">
        <is>
          <t>3617NWA44</t>
        </is>
      </c>
      <c r="D62" t="inlineStr">
        <is>
          <t>BERKADIA COMMERCIAL MORTGAGE, LLC</t>
        </is>
      </c>
      <c r="E62" t="inlineStr">
        <is>
          <t>223f</t>
        </is>
      </c>
      <c r="F62" t="inlineStr">
        <is>
          <t>RP</t>
        </is>
      </c>
      <c r="G62" t="n">
        <v>2013</v>
      </c>
      <c r="H62" t="inlineStr">
        <is>
          <t>202602</t>
        </is>
      </c>
      <c r="I62" s="22" t="n">
        <v>13509058.06</v>
      </c>
      <c r="J62" s="23" t="n">
        <v>2.65</v>
      </c>
      <c r="K62" s="24" t="n">
        <v>447</v>
      </c>
      <c r="L62" s="24" t="n">
        <v>6</v>
      </c>
      <c r="M62" t="n">
        <v>155</v>
      </c>
      <c r="N62" t="n">
        <v>13</v>
      </c>
      <c r="O62" t="n">
        <v>204806</v>
      </c>
      <c r="P62" t="inlineStr"/>
      <c r="Q62" t="inlineStr">
        <is>
          <t>4082</t>
        </is>
      </c>
      <c r="R62" t="n">
        <v>0</v>
      </c>
      <c r="S62" t="n">
        <v>0</v>
      </c>
      <c r="T62" t="n">
        <v>0</v>
      </c>
      <c r="U62" t="n">
        <v>0</v>
      </c>
      <c r="V62" s="24">
        <f>J62*100-K62</f>
        <v/>
      </c>
      <c r="W62" s="24">
        <f>L62</f>
        <v/>
      </c>
      <c r="X62" s="25">
        <f>MIN(M62,36)</f>
        <v/>
      </c>
      <c r="Y62" s="25">
        <f>MIN(MAX(M62-36,0),84)</f>
        <v/>
      </c>
      <c r="Z62" s="25">
        <f>MAX(M62-120,0)</f>
        <v/>
      </c>
      <c r="AA62" s="25">
        <f>IF(OR(O62="",NOT(ISNUMBER(O62))),360,MAX(0,MIN(480,(INT(O62/100)-INT(VALUE(H62)/100))*12+MOD(O62,100)-MOD(VALUE(H62),100))))</f>
        <v/>
      </c>
      <c r="AB62">
        <f>IF(AND(AA62&gt;0,AA62&lt;=24),1,0)</f>
        <v/>
      </c>
      <c r="AC62" s="25">
        <f>IF(OR(P62="",NOT(ISNUMBER(P62))),0,MAX(0,MIN(24,(INT(VALUE(H62)/100)-INT(P62/100))*12+MOD(VALUE(H62),100)-MOD(P62,100))))</f>
        <v/>
      </c>
      <c r="AD62" s="23">
        <f>LN(1+I62)</f>
        <v/>
      </c>
      <c r="AE62">
        <f>IF(I62&lt;2000000,1,0)</f>
        <v/>
      </c>
      <c r="AF62">
        <f>IF(I62&gt;50000000,1,0)</f>
        <v/>
      </c>
      <c r="AG62" s="23">
        <f>IF(ISNUMBER(M62),N62/MAX(M62,1),0)</f>
        <v/>
      </c>
      <c r="AH62">
        <f>IF(G62&gt;=2021,1,0)</f>
        <v/>
      </c>
      <c r="AI62">
        <f>S62</f>
        <v/>
      </c>
      <c r="AJ62">
        <f>T62</f>
        <v/>
      </c>
      <c r="AK62">
        <f>R62</f>
        <v/>
      </c>
      <c r="AL62">
        <f>U62</f>
        <v/>
      </c>
      <c r="AM62">
        <f>IF(ISNUMBER(SEARCH("CAPITAL FUNDING",D62)),1,0)</f>
        <v/>
      </c>
      <c r="AN62">
        <f>IF(ISNUMBER(SEARCH("PNC",D62)),1,0)</f>
        <v/>
      </c>
      <c r="AO62">
        <f>IF(ISNUMBER(SEARCH("WELLS FARGO",D62)),1,0)</f>
        <v/>
      </c>
      <c r="AP62">
        <f>IF(ISNUMBER(SEARCH("DWIGHT",D62)),1,0)</f>
        <v/>
      </c>
      <c r="AQ62">
        <f>IF(ISNUMBER(SEARCH("GREYSTONE",D62)),1,0)</f>
        <v/>
      </c>
      <c r="AR62">
        <f>IF(OR(Q62="3896",Q62="3557"),1,0)</f>
        <v/>
      </c>
      <c r="AS62" s="24">
        <f>V62*W62</f>
        <v/>
      </c>
      <c r="AT62" s="26">
        <f>V$4*(V62-V$3)</f>
        <v/>
      </c>
      <c r="AU62" s="26">
        <f>W$4*(W62-W$3)</f>
        <v/>
      </c>
      <c r="AV62" s="26">
        <f>X$4*(X62-X$3)</f>
        <v/>
      </c>
      <c r="AW62" s="26">
        <f>Y$4*(Y62-Y$3)</f>
        <v/>
      </c>
      <c r="AX62" s="26">
        <f>Z$4*(Z62-Z$3)</f>
        <v/>
      </c>
      <c r="AY62" s="26">
        <f>AA$4*(AA62-AA$3)</f>
        <v/>
      </c>
      <c r="AZ62" s="26">
        <f>AB$4*(AB62-AB$3)</f>
        <v/>
      </c>
      <c r="BA62" s="26">
        <f>AC$4*(AC62-AC$3)</f>
        <v/>
      </c>
      <c r="BB62" s="26">
        <f>AD$4*(AD62-AD$3)</f>
        <v/>
      </c>
      <c r="BC62" s="26">
        <f>AE$4*(AE62-AE$3)</f>
        <v/>
      </c>
      <c r="BD62" s="26">
        <f>AF$4*(AF62-AF$3)</f>
        <v/>
      </c>
      <c r="BE62" s="26">
        <f>AG$4*(AG62-AG$3)</f>
        <v/>
      </c>
      <c r="BF62" s="26">
        <f>AH$4*(AH62-AH$3)</f>
        <v/>
      </c>
      <c r="BG62" s="26">
        <f>AI$4*(AI62-AI$3)</f>
        <v/>
      </c>
      <c r="BH62" s="26">
        <f>AJ$4*(AJ62-AJ$3)</f>
        <v/>
      </c>
      <c r="BI62" s="26">
        <f>AK$4*(AK62-AK$3)</f>
        <v/>
      </c>
      <c r="BJ62" s="26">
        <f>AL$4*(AL62-AL$3)</f>
        <v/>
      </c>
      <c r="BK62" s="26">
        <f>AM$4*(AM62-AM$3)</f>
        <v/>
      </c>
      <c r="BL62" s="26">
        <f>AN$4*(AN62-AN$3)</f>
        <v/>
      </c>
      <c r="BM62" s="26">
        <f>AO$4*(AO62-AO$3)</f>
        <v/>
      </c>
      <c r="BN62" s="26">
        <f>AP$4*(AP62-AP$3)</f>
        <v/>
      </c>
      <c r="BO62" s="26">
        <f>AQ$4*(AQ62-AQ$3)</f>
        <v/>
      </c>
      <c r="BP62" s="26">
        <f>AR$4*(AR62-AR$3)</f>
        <v/>
      </c>
      <c r="BQ62" s="26">
        <f>AS$4*(AS62-AS$3)</f>
        <v/>
      </c>
      <c r="BR62" s="27">
        <f>SUM(AT62:BQ62)</f>
        <v/>
      </c>
      <c r="BS62" s="27">
        <f>INTERCEPT_SCALED+BR62</f>
        <v/>
      </c>
      <c r="BT62" s="28">
        <f>1/(1+EXP(-BS62))</f>
        <v/>
      </c>
      <c r="BU62" s="13">
        <f>1-(1-BT62)^12</f>
        <v/>
      </c>
      <c r="BV62" s="13">
        <f>IFERROR(AT62/BR62*(BU62-BASELINE_CPR),0)</f>
        <v/>
      </c>
      <c r="BW62" s="13">
        <f>IFERROR(AU62/BR62*(BU62-BASELINE_CPR),0)</f>
        <v/>
      </c>
      <c r="BX62" s="13">
        <f>IFERROR(AV62/BR62*(BU62-BASELINE_CPR),0)</f>
        <v/>
      </c>
      <c r="BY62" s="13">
        <f>IFERROR(AW62/BR62*(BU62-BASELINE_CPR),0)</f>
        <v/>
      </c>
      <c r="BZ62" s="13">
        <f>IFERROR(AX62/BR62*(BU62-BASELINE_CPR),0)</f>
        <v/>
      </c>
      <c r="CA62" s="13">
        <f>IFERROR(AY62/BR62*(BU62-BASELINE_CPR),0)</f>
        <v/>
      </c>
      <c r="CB62" s="13">
        <f>IFERROR(AZ62/BR62*(BU62-BASELINE_CPR),0)</f>
        <v/>
      </c>
      <c r="CC62" s="13">
        <f>IFERROR(BA62/BR62*(BU62-BASELINE_CPR),0)</f>
        <v/>
      </c>
      <c r="CD62" s="13">
        <f>IFERROR(BB62/BR62*(BU62-BASELINE_CPR),0)</f>
        <v/>
      </c>
      <c r="CE62" s="13">
        <f>IFERROR(BC62/BR62*(BU62-BASELINE_CPR),0)</f>
        <v/>
      </c>
      <c r="CF62" s="13">
        <f>IFERROR(BD62/BR62*(BU62-BASELINE_CPR),0)</f>
        <v/>
      </c>
      <c r="CG62" s="13">
        <f>IFERROR(BE62/BR62*(BU62-BASELINE_CPR),0)</f>
        <v/>
      </c>
      <c r="CH62" s="13">
        <f>IFERROR(BF62/BR62*(BU62-BASELINE_CPR),0)</f>
        <v/>
      </c>
      <c r="CI62" s="13">
        <f>IFERROR(BG62/BR62*(BU62-BASELINE_CPR),0)</f>
        <v/>
      </c>
      <c r="CJ62" s="13">
        <f>IFERROR(BH62/BR62*(BU62-BASELINE_CPR),0)</f>
        <v/>
      </c>
      <c r="CK62" s="13">
        <f>IFERROR(BI62/BR62*(BU62-BASELINE_CPR),0)</f>
        <v/>
      </c>
      <c r="CL62" s="13">
        <f>IFERROR(BJ62/BR62*(BU62-BASELINE_CPR),0)</f>
        <v/>
      </c>
      <c r="CM62" s="13">
        <f>IFERROR(BK62/BR62*(BU62-BASELINE_CPR),0)</f>
        <v/>
      </c>
      <c r="CN62" s="13">
        <f>IFERROR(BL62/BR62*(BU62-BASELINE_CPR),0)</f>
        <v/>
      </c>
      <c r="CO62" s="13">
        <f>IFERROR(BM62/BR62*(BU62-BASELINE_CPR),0)</f>
        <v/>
      </c>
      <c r="CP62" s="13">
        <f>IFERROR(BN62/BR62*(BU62-BASELINE_CPR),0)</f>
        <v/>
      </c>
      <c r="CQ62" s="13">
        <f>IFERROR(BO62/BR62*(BU62-BASELINE_CPR),0)</f>
        <v/>
      </c>
      <c r="CR62" s="13">
        <f>IFERROR(BP62/BR62*(BU62-BASELINE_CPR),0)</f>
        <v/>
      </c>
      <c r="CS62" s="13">
        <f>IFERROR(BQ62/BR62*(BU62-BASELINE_CPR),0)</f>
        <v/>
      </c>
      <c r="CT62" s="29">
        <f>BASELINE_CPR+SUM(BV62:CS62)-BU62</f>
        <v/>
      </c>
    </row>
    <row r="63">
      <c r="A63" s="2" t="inlineStr">
        <is>
          <t>36189MGG7_000000005311191</t>
        </is>
      </c>
      <c r="B63" t="inlineStr">
        <is>
          <t>BERKADIA_PRE21</t>
        </is>
      </c>
      <c r="C63" s="2" t="inlineStr">
        <is>
          <t>36189MGG7</t>
        </is>
      </c>
      <c r="D63" t="inlineStr">
        <is>
          <t>BERKADIA COMMERCIAL MORTGAGE, LLC</t>
        </is>
      </c>
      <c r="E63" t="inlineStr">
        <is>
          <t>223f</t>
        </is>
      </c>
      <c r="F63" t="inlineStr">
        <is>
          <t>RP</t>
        </is>
      </c>
      <c r="G63" t="n">
        <v>2006</v>
      </c>
      <c r="H63" t="inlineStr">
        <is>
          <t>202602</t>
        </is>
      </c>
      <c r="I63" s="22" t="n">
        <v>1200023.12</v>
      </c>
      <c r="J63" s="23" t="n">
        <v>3.85</v>
      </c>
      <c r="K63" s="24" t="n">
        <v>447</v>
      </c>
      <c r="L63" s="24" t="n">
        <v>0</v>
      </c>
      <c r="M63" t="n">
        <v>239</v>
      </c>
      <c r="N63" t="n">
        <v>33</v>
      </c>
      <c r="O63" t="n">
        <v>204106</v>
      </c>
      <c r="P63" t="inlineStr"/>
      <c r="Q63" t="inlineStr">
        <is>
          <t>4082</t>
        </is>
      </c>
      <c r="R63" t="n">
        <v>0</v>
      </c>
      <c r="S63" t="n">
        <v>0</v>
      </c>
      <c r="T63" t="n">
        <v>0</v>
      </c>
      <c r="U63" t="n">
        <v>0</v>
      </c>
      <c r="V63" s="24">
        <f>J63*100-K63</f>
        <v/>
      </c>
      <c r="W63" s="24">
        <f>L63</f>
        <v/>
      </c>
      <c r="X63" s="25">
        <f>MIN(M63,36)</f>
        <v/>
      </c>
      <c r="Y63" s="25">
        <f>MIN(MAX(M63-36,0),84)</f>
        <v/>
      </c>
      <c r="Z63" s="25">
        <f>MAX(M63-120,0)</f>
        <v/>
      </c>
      <c r="AA63" s="25">
        <f>IF(OR(O63="",NOT(ISNUMBER(O63))),360,MAX(0,MIN(480,(INT(O63/100)-INT(VALUE(H63)/100))*12+MOD(O63,100)-MOD(VALUE(H63),100))))</f>
        <v/>
      </c>
      <c r="AB63">
        <f>IF(AND(AA63&gt;0,AA63&lt;=24),1,0)</f>
        <v/>
      </c>
      <c r="AC63" s="25">
        <f>IF(OR(P63="",NOT(ISNUMBER(P63))),0,MAX(0,MIN(24,(INT(VALUE(H63)/100)-INT(P63/100))*12+MOD(VALUE(H63),100)-MOD(P63,100))))</f>
        <v/>
      </c>
      <c r="AD63" s="23">
        <f>LN(1+I63)</f>
        <v/>
      </c>
      <c r="AE63">
        <f>IF(I63&lt;2000000,1,0)</f>
        <v/>
      </c>
      <c r="AF63">
        <f>IF(I63&gt;50000000,1,0)</f>
        <v/>
      </c>
      <c r="AG63" s="23">
        <f>IF(ISNUMBER(M63),N63/MAX(M63,1),0)</f>
        <v/>
      </c>
      <c r="AH63">
        <f>IF(G63&gt;=2021,1,0)</f>
        <v/>
      </c>
      <c r="AI63">
        <f>S63</f>
        <v/>
      </c>
      <c r="AJ63">
        <f>T63</f>
        <v/>
      </c>
      <c r="AK63">
        <f>R63</f>
        <v/>
      </c>
      <c r="AL63">
        <f>U63</f>
        <v/>
      </c>
      <c r="AM63">
        <f>IF(ISNUMBER(SEARCH("CAPITAL FUNDING",D63)),1,0)</f>
        <v/>
      </c>
      <c r="AN63">
        <f>IF(ISNUMBER(SEARCH("PNC",D63)),1,0)</f>
        <v/>
      </c>
      <c r="AO63">
        <f>IF(ISNUMBER(SEARCH("WELLS FARGO",D63)),1,0)</f>
        <v/>
      </c>
      <c r="AP63">
        <f>IF(ISNUMBER(SEARCH("DWIGHT",D63)),1,0)</f>
        <v/>
      </c>
      <c r="AQ63">
        <f>IF(ISNUMBER(SEARCH("GREYSTONE",D63)),1,0)</f>
        <v/>
      </c>
      <c r="AR63">
        <f>IF(OR(Q63="3896",Q63="3557"),1,0)</f>
        <v/>
      </c>
      <c r="AS63" s="24">
        <f>V63*W63</f>
        <v/>
      </c>
      <c r="AT63" s="26">
        <f>V$4*(V63-V$3)</f>
        <v/>
      </c>
      <c r="AU63" s="26">
        <f>W$4*(W63-W$3)</f>
        <v/>
      </c>
      <c r="AV63" s="26">
        <f>X$4*(X63-X$3)</f>
        <v/>
      </c>
      <c r="AW63" s="26">
        <f>Y$4*(Y63-Y$3)</f>
        <v/>
      </c>
      <c r="AX63" s="26">
        <f>Z$4*(Z63-Z$3)</f>
        <v/>
      </c>
      <c r="AY63" s="26">
        <f>AA$4*(AA63-AA$3)</f>
        <v/>
      </c>
      <c r="AZ63" s="26">
        <f>AB$4*(AB63-AB$3)</f>
        <v/>
      </c>
      <c r="BA63" s="26">
        <f>AC$4*(AC63-AC$3)</f>
        <v/>
      </c>
      <c r="BB63" s="26">
        <f>AD$4*(AD63-AD$3)</f>
        <v/>
      </c>
      <c r="BC63" s="26">
        <f>AE$4*(AE63-AE$3)</f>
        <v/>
      </c>
      <c r="BD63" s="26">
        <f>AF$4*(AF63-AF$3)</f>
        <v/>
      </c>
      <c r="BE63" s="26">
        <f>AG$4*(AG63-AG$3)</f>
        <v/>
      </c>
      <c r="BF63" s="26">
        <f>AH$4*(AH63-AH$3)</f>
        <v/>
      </c>
      <c r="BG63" s="26">
        <f>AI$4*(AI63-AI$3)</f>
        <v/>
      </c>
      <c r="BH63" s="26">
        <f>AJ$4*(AJ63-AJ$3)</f>
        <v/>
      </c>
      <c r="BI63" s="26">
        <f>AK$4*(AK63-AK$3)</f>
        <v/>
      </c>
      <c r="BJ63" s="26">
        <f>AL$4*(AL63-AL$3)</f>
        <v/>
      </c>
      <c r="BK63" s="26">
        <f>AM$4*(AM63-AM$3)</f>
        <v/>
      </c>
      <c r="BL63" s="26">
        <f>AN$4*(AN63-AN$3)</f>
        <v/>
      </c>
      <c r="BM63" s="26">
        <f>AO$4*(AO63-AO$3)</f>
        <v/>
      </c>
      <c r="BN63" s="26">
        <f>AP$4*(AP63-AP$3)</f>
        <v/>
      </c>
      <c r="BO63" s="26">
        <f>AQ$4*(AQ63-AQ$3)</f>
        <v/>
      </c>
      <c r="BP63" s="26">
        <f>AR$4*(AR63-AR$3)</f>
        <v/>
      </c>
      <c r="BQ63" s="26">
        <f>AS$4*(AS63-AS$3)</f>
        <v/>
      </c>
      <c r="BR63" s="27">
        <f>SUM(AT63:BQ63)</f>
        <v/>
      </c>
      <c r="BS63" s="27">
        <f>INTERCEPT_SCALED+BR63</f>
        <v/>
      </c>
      <c r="BT63" s="28">
        <f>1/(1+EXP(-BS63))</f>
        <v/>
      </c>
      <c r="BU63" s="13">
        <f>1-(1-BT63)^12</f>
        <v/>
      </c>
      <c r="BV63" s="13">
        <f>IFERROR(AT63/BR63*(BU63-BASELINE_CPR),0)</f>
        <v/>
      </c>
      <c r="BW63" s="13">
        <f>IFERROR(AU63/BR63*(BU63-BASELINE_CPR),0)</f>
        <v/>
      </c>
      <c r="BX63" s="13">
        <f>IFERROR(AV63/BR63*(BU63-BASELINE_CPR),0)</f>
        <v/>
      </c>
      <c r="BY63" s="13">
        <f>IFERROR(AW63/BR63*(BU63-BASELINE_CPR),0)</f>
        <v/>
      </c>
      <c r="BZ63" s="13">
        <f>IFERROR(AX63/BR63*(BU63-BASELINE_CPR),0)</f>
        <v/>
      </c>
      <c r="CA63" s="13">
        <f>IFERROR(AY63/BR63*(BU63-BASELINE_CPR),0)</f>
        <v/>
      </c>
      <c r="CB63" s="13">
        <f>IFERROR(AZ63/BR63*(BU63-BASELINE_CPR),0)</f>
        <v/>
      </c>
      <c r="CC63" s="13">
        <f>IFERROR(BA63/BR63*(BU63-BASELINE_CPR),0)</f>
        <v/>
      </c>
      <c r="CD63" s="13">
        <f>IFERROR(BB63/BR63*(BU63-BASELINE_CPR),0)</f>
        <v/>
      </c>
      <c r="CE63" s="13">
        <f>IFERROR(BC63/BR63*(BU63-BASELINE_CPR),0)</f>
        <v/>
      </c>
      <c r="CF63" s="13">
        <f>IFERROR(BD63/BR63*(BU63-BASELINE_CPR),0)</f>
        <v/>
      </c>
      <c r="CG63" s="13">
        <f>IFERROR(BE63/BR63*(BU63-BASELINE_CPR),0)</f>
        <v/>
      </c>
      <c r="CH63" s="13">
        <f>IFERROR(BF63/BR63*(BU63-BASELINE_CPR),0)</f>
        <v/>
      </c>
      <c r="CI63" s="13">
        <f>IFERROR(BG63/BR63*(BU63-BASELINE_CPR),0)</f>
        <v/>
      </c>
      <c r="CJ63" s="13">
        <f>IFERROR(BH63/BR63*(BU63-BASELINE_CPR),0)</f>
        <v/>
      </c>
      <c r="CK63" s="13">
        <f>IFERROR(BI63/BR63*(BU63-BASELINE_CPR),0)</f>
        <v/>
      </c>
      <c r="CL63" s="13">
        <f>IFERROR(BJ63/BR63*(BU63-BASELINE_CPR),0)</f>
        <v/>
      </c>
      <c r="CM63" s="13">
        <f>IFERROR(BK63/BR63*(BU63-BASELINE_CPR),0)</f>
        <v/>
      </c>
      <c r="CN63" s="13">
        <f>IFERROR(BL63/BR63*(BU63-BASELINE_CPR),0)</f>
        <v/>
      </c>
      <c r="CO63" s="13">
        <f>IFERROR(BM63/BR63*(BU63-BASELINE_CPR),0)</f>
        <v/>
      </c>
      <c r="CP63" s="13">
        <f>IFERROR(BN63/BR63*(BU63-BASELINE_CPR),0)</f>
        <v/>
      </c>
      <c r="CQ63" s="13">
        <f>IFERROR(BO63/BR63*(BU63-BASELINE_CPR),0)</f>
        <v/>
      </c>
      <c r="CR63" s="13">
        <f>IFERROR(BP63/BR63*(BU63-BASELINE_CPR),0)</f>
        <v/>
      </c>
      <c r="CS63" s="13">
        <f>IFERROR(BQ63/BR63*(BU63-BASELINE_CPR),0)</f>
        <v/>
      </c>
      <c r="CT63" s="29">
        <f>BASELINE_CPR+SUM(BV63:CS63)-BU63</f>
        <v/>
      </c>
    </row>
    <row r="64">
      <c r="A64" s="2" t="inlineStr">
        <is>
          <t>3617NWA77_000000007535464</t>
        </is>
      </c>
      <c r="B64" t="inlineStr">
        <is>
          <t>BERKADIA_PRE21</t>
        </is>
      </c>
      <c r="C64" s="2" t="inlineStr">
        <is>
          <t>3617NWA77</t>
        </is>
      </c>
      <c r="D64" t="inlineStr">
        <is>
          <t>BERKADIA COMMERCIAL MORTGAGE, LLC</t>
        </is>
      </c>
      <c r="E64" t="inlineStr">
        <is>
          <t>221d4</t>
        </is>
      </c>
      <c r="F64" t="inlineStr">
        <is>
          <t>NC</t>
        </is>
      </c>
      <c r="G64" t="n">
        <v>2016</v>
      </c>
      <c r="H64" t="inlineStr">
        <is>
          <t>202602</t>
        </is>
      </c>
      <c r="I64" s="22" t="n">
        <v>17297981.93</v>
      </c>
      <c r="J64" s="23" t="n">
        <v>3.25</v>
      </c>
      <c r="K64" s="24" t="n">
        <v>447</v>
      </c>
      <c r="L64" s="24" t="n">
        <v>6</v>
      </c>
      <c r="M64" t="n">
        <v>113</v>
      </c>
      <c r="N64" t="n">
        <v>16</v>
      </c>
      <c r="O64" t="n">
        <v>205806</v>
      </c>
      <c r="P64" t="inlineStr"/>
      <c r="Q64" t="inlineStr">
        <is>
          <t>4082</t>
        </is>
      </c>
      <c r="R64" t="n">
        <v>0</v>
      </c>
      <c r="S64" t="n">
        <v>0</v>
      </c>
      <c r="T64" t="n">
        <v>0</v>
      </c>
      <c r="U64" t="n">
        <v>1</v>
      </c>
      <c r="V64" s="24">
        <f>J64*100-K64</f>
        <v/>
      </c>
      <c r="W64" s="24">
        <f>L64</f>
        <v/>
      </c>
      <c r="X64" s="25">
        <f>MIN(M64,36)</f>
        <v/>
      </c>
      <c r="Y64" s="25">
        <f>MIN(MAX(M64-36,0),84)</f>
        <v/>
      </c>
      <c r="Z64" s="25">
        <f>MAX(M64-120,0)</f>
        <v/>
      </c>
      <c r="AA64" s="25">
        <f>IF(OR(O64="",NOT(ISNUMBER(O64))),360,MAX(0,MIN(480,(INT(O64/100)-INT(VALUE(H64)/100))*12+MOD(O64,100)-MOD(VALUE(H64),100))))</f>
        <v/>
      </c>
      <c r="AB64">
        <f>IF(AND(AA64&gt;0,AA64&lt;=24),1,0)</f>
        <v/>
      </c>
      <c r="AC64" s="25">
        <f>IF(OR(P64="",NOT(ISNUMBER(P64))),0,MAX(0,MIN(24,(INT(VALUE(H64)/100)-INT(P64/100))*12+MOD(VALUE(H64),100)-MOD(P64,100))))</f>
        <v/>
      </c>
      <c r="AD64" s="23">
        <f>LN(1+I64)</f>
        <v/>
      </c>
      <c r="AE64">
        <f>IF(I64&lt;2000000,1,0)</f>
        <v/>
      </c>
      <c r="AF64">
        <f>IF(I64&gt;50000000,1,0)</f>
        <v/>
      </c>
      <c r="AG64" s="23">
        <f>IF(ISNUMBER(M64),N64/MAX(M64,1),0)</f>
        <v/>
      </c>
      <c r="AH64">
        <f>IF(G64&gt;=2021,1,0)</f>
        <v/>
      </c>
      <c r="AI64">
        <f>S64</f>
        <v/>
      </c>
      <c r="AJ64">
        <f>T64</f>
        <v/>
      </c>
      <c r="AK64">
        <f>R64</f>
        <v/>
      </c>
      <c r="AL64">
        <f>U64</f>
        <v/>
      </c>
      <c r="AM64">
        <f>IF(ISNUMBER(SEARCH("CAPITAL FUNDING",D64)),1,0)</f>
        <v/>
      </c>
      <c r="AN64">
        <f>IF(ISNUMBER(SEARCH("PNC",D64)),1,0)</f>
        <v/>
      </c>
      <c r="AO64">
        <f>IF(ISNUMBER(SEARCH("WELLS FARGO",D64)),1,0)</f>
        <v/>
      </c>
      <c r="AP64">
        <f>IF(ISNUMBER(SEARCH("DWIGHT",D64)),1,0)</f>
        <v/>
      </c>
      <c r="AQ64">
        <f>IF(ISNUMBER(SEARCH("GREYSTONE",D64)),1,0)</f>
        <v/>
      </c>
      <c r="AR64">
        <f>IF(OR(Q64="3896",Q64="3557"),1,0)</f>
        <v/>
      </c>
      <c r="AS64" s="24">
        <f>V64*W64</f>
        <v/>
      </c>
      <c r="AT64" s="26">
        <f>V$4*(V64-V$3)</f>
        <v/>
      </c>
      <c r="AU64" s="26">
        <f>W$4*(W64-W$3)</f>
        <v/>
      </c>
      <c r="AV64" s="26">
        <f>X$4*(X64-X$3)</f>
        <v/>
      </c>
      <c r="AW64" s="26">
        <f>Y$4*(Y64-Y$3)</f>
        <v/>
      </c>
      <c r="AX64" s="26">
        <f>Z$4*(Z64-Z$3)</f>
        <v/>
      </c>
      <c r="AY64" s="26">
        <f>AA$4*(AA64-AA$3)</f>
        <v/>
      </c>
      <c r="AZ64" s="26">
        <f>AB$4*(AB64-AB$3)</f>
        <v/>
      </c>
      <c r="BA64" s="26">
        <f>AC$4*(AC64-AC$3)</f>
        <v/>
      </c>
      <c r="BB64" s="26">
        <f>AD$4*(AD64-AD$3)</f>
        <v/>
      </c>
      <c r="BC64" s="26">
        <f>AE$4*(AE64-AE$3)</f>
        <v/>
      </c>
      <c r="BD64" s="26">
        <f>AF$4*(AF64-AF$3)</f>
        <v/>
      </c>
      <c r="BE64" s="26">
        <f>AG$4*(AG64-AG$3)</f>
        <v/>
      </c>
      <c r="BF64" s="26">
        <f>AH$4*(AH64-AH$3)</f>
        <v/>
      </c>
      <c r="BG64" s="26">
        <f>AI$4*(AI64-AI$3)</f>
        <v/>
      </c>
      <c r="BH64" s="26">
        <f>AJ$4*(AJ64-AJ$3)</f>
        <v/>
      </c>
      <c r="BI64" s="26">
        <f>AK$4*(AK64-AK$3)</f>
        <v/>
      </c>
      <c r="BJ64" s="26">
        <f>AL$4*(AL64-AL$3)</f>
        <v/>
      </c>
      <c r="BK64" s="26">
        <f>AM$4*(AM64-AM$3)</f>
        <v/>
      </c>
      <c r="BL64" s="26">
        <f>AN$4*(AN64-AN$3)</f>
        <v/>
      </c>
      <c r="BM64" s="26">
        <f>AO$4*(AO64-AO$3)</f>
        <v/>
      </c>
      <c r="BN64" s="26">
        <f>AP$4*(AP64-AP$3)</f>
        <v/>
      </c>
      <c r="BO64" s="26">
        <f>AQ$4*(AQ64-AQ$3)</f>
        <v/>
      </c>
      <c r="BP64" s="26">
        <f>AR$4*(AR64-AR$3)</f>
        <v/>
      </c>
      <c r="BQ64" s="26">
        <f>AS$4*(AS64-AS$3)</f>
        <v/>
      </c>
      <c r="BR64" s="27">
        <f>SUM(AT64:BQ64)</f>
        <v/>
      </c>
      <c r="BS64" s="27">
        <f>INTERCEPT_SCALED+BR64</f>
        <v/>
      </c>
      <c r="BT64" s="28">
        <f>1/(1+EXP(-BS64))</f>
        <v/>
      </c>
      <c r="BU64" s="13">
        <f>1-(1-BT64)^12</f>
        <v/>
      </c>
      <c r="BV64" s="13">
        <f>IFERROR(AT64/BR64*(BU64-BASELINE_CPR),0)</f>
        <v/>
      </c>
      <c r="BW64" s="13">
        <f>IFERROR(AU64/BR64*(BU64-BASELINE_CPR),0)</f>
        <v/>
      </c>
      <c r="BX64" s="13">
        <f>IFERROR(AV64/BR64*(BU64-BASELINE_CPR),0)</f>
        <v/>
      </c>
      <c r="BY64" s="13">
        <f>IFERROR(AW64/BR64*(BU64-BASELINE_CPR),0)</f>
        <v/>
      </c>
      <c r="BZ64" s="13">
        <f>IFERROR(AX64/BR64*(BU64-BASELINE_CPR),0)</f>
        <v/>
      </c>
      <c r="CA64" s="13">
        <f>IFERROR(AY64/BR64*(BU64-BASELINE_CPR),0)</f>
        <v/>
      </c>
      <c r="CB64" s="13">
        <f>IFERROR(AZ64/BR64*(BU64-BASELINE_CPR),0)</f>
        <v/>
      </c>
      <c r="CC64" s="13">
        <f>IFERROR(BA64/BR64*(BU64-BASELINE_CPR),0)</f>
        <v/>
      </c>
      <c r="CD64" s="13">
        <f>IFERROR(BB64/BR64*(BU64-BASELINE_CPR),0)</f>
        <v/>
      </c>
      <c r="CE64" s="13">
        <f>IFERROR(BC64/BR64*(BU64-BASELINE_CPR),0)</f>
        <v/>
      </c>
      <c r="CF64" s="13">
        <f>IFERROR(BD64/BR64*(BU64-BASELINE_CPR),0)</f>
        <v/>
      </c>
      <c r="CG64" s="13">
        <f>IFERROR(BE64/BR64*(BU64-BASELINE_CPR),0)</f>
        <v/>
      </c>
      <c r="CH64" s="13">
        <f>IFERROR(BF64/BR64*(BU64-BASELINE_CPR),0)</f>
        <v/>
      </c>
      <c r="CI64" s="13">
        <f>IFERROR(BG64/BR64*(BU64-BASELINE_CPR),0)</f>
        <v/>
      </c>
      <c r="CJ64" s="13">
        <f>IFERROR(BH64/BR64*(BU64-BASELINE_CPR),0)</f>
        <v/>
      </c>
      <c r="CK64" s="13">
        <f>IFERROR(BI64/BR64*(BU64-BASELINE_CPR),0)</f>
        <v/>
      </c>
      <c r="CL64" s="13">
        <f>IFERROR(BJ64/BR64*(BU64-BASELINE_CPR),0)</f>
        <v/>
      </c>
      <c r="CM64" s="13">
        <f>IFERROR(BK64/BR64*(BU64-BASELINE_CPR),0)</f>
        <v/>
      </c>
      <c r="CN64" s="13">
        <f>IFERROR(BL64/BR64*(BU64-BASELINE_CPR),0)</f>
        <v/>
      </c>
      <c r="CO64" s="13">
        <f>IFERROR(BM64/BR64*(BU64-BASELINE_CPR),0)</f>
        <v/>
      </c>
      <c r="CP64" s="13">
        <f>IFERROR(BN64/BR64*(BU64-BASELINE_CPR),0)</f>
        <v/>
      </c>
      <c r="CQ64" s="13">
        <f>IFERROR(BO64/BR64*(BU64-BASELINE_CPR),0)</f>
        <v/>
      </c>
      <c r="CR64" s="13">
        <f>IFERROR(BP64/BR64*(BU64-BASELINE_CPR),0)</f>
        <v/>
      </c>
      <c r="CS64" s="13">
        <f>IFERROR(BQ64/BR64*(BU64-BASELINE_CPR),0)</f>
        <v/>
      </c>
      <c r="CT64" s="29">
        <f>BASELINE_CPR+SUM(BV64:CS64)-BU64</f>
        <v/>
      </c>
    </row>
    <row r="65">
      <c r="A65" s="2" t="inlineStr">
        <is>
          <t>3617W0B92_000000003111141</t>
        </is>
      </c>
      <c r="B65" t="inlineStr">
        <is>
          <t>BERKADIA_POST21</t>
        </is>
      </c>
      <c r="C65" s="2" t="inlineStr">
        <is>
          <t>3617W0B92</t>
        </is>
      </c>
      <c r="D65" t="inlineStr">
        <is>
          <t>BERKADIA COMMERCIAL MORTGAGE, LLC</t>
        </is>
      </c>
      <c r="E65" t="inlineStr">
        <is>
          <t>223f</t>
        </is>
      </c>
      <c r="F65" t="inlineStr">
        <is>
          <t>RP</t>
        </is>
      </c>
      <c r="G65" t="n">
        <v>2021</v>
      </c>
      <c r="H65" t="inlineStr">
        <is>
          <t>202602</t>
        </is>
      </c>
      <c r="I65" s="22" t="n">
        <v>23902483.14</v>
      </c>
      <c r="J65" s="23" t="n">
        <v>2.58</v>
      </c>
      <c r="K65" s="24" t="n">
        <v>447</v>
      </c>
      <c r="L65" s="24" t="n">
        <v>7</v>
      </c>
      <c r="M65" t="n">
        <v>58</v>
      </c>
      <c r="N65" t="n">
        <v>6</v>
      </c>
      <c r="O65" t="n">
        <v>205610</v>
      </c>
      <c r="P65" t="inlineStr"/>
      <c r="Q65" t="inlineStr">
        <is>
          <t>4082</t>
        </is>
      </c>
      <c r="R65" t="n">
        <v>0</v>
      </c>
      <c r="S65" t="n">
        <v>0</v>
      </c>
      <c r="T65" t="n">
        <v>0</v>
      </c>
      <c r="U65" t="n">
        <v>0</v>
      </c>
      <c r="V65" s="24">
        <f>J65*100-K65</f>
        <v/>
      </c>
      <c r="W65" s="24">
        <f>L65</f>
        <v/>
      </c>
      <c r="X65" s="25">
        <f>MIN(M65,36)</f>
        <v/>
      </c>
      <c r="Y65" s="25">
        <f>MIN(MAX(M65-36,0),84)</f>
        <v/>
      </c>
      <c r="Z65" s="25">
        <f>MAX(M65-120,0)</f>
        <v/>
      </c>
      <c r="AA65" s="25">
        <f>IF(OR(O65="",NOT(ISNUMBER(O65))),360,MAX(0,MIN(480,(INT(O65/100)-INT(VALUE(H65)/100))*12+MOD(O65,100)-MOD(VALUE(H65),100))))</f>
        <v/>
      </c>
      <c r="AB65">
        <f>IF(AND(AA65&gt;0,AA65&lt;=24),1,0)</f>
        <v/>
      </c>
      <c r="AC65" s="25">
        <f>IF(OR(P65="",NOT(ISNUMBER(P65))),0,MAX(0,MIN(24,(INT(VALUE(H65)/100)-INT(P65/100))*12+MOD(VALUE(H65),100)-MOD(P65,100))))</f>
        <v/>
      </c>
      <c r="AD65" s="23">
        <f>LN(1+I65)</f>
        <v/>
      </c>
      <c r="AE65">
        <f>IF(I65&lt;2000000,1,0)</f>
        <v/>
      </c>
      <c r="AF65">
        <f>IF(I65&gt;50000000,1,0)</f>
        <v/>
      </c>
      <c r="AG65" s="23">
        <f>IF(ISNUMBER(M65),N65/MAX(M65,1),0)</f>
        <v/>
      </c>
      <c r="AH65">
        <f>IF(G65&gt;=2021,1,0)</f>
        <v/>
      </c>
      <c r="AI65">
        <f>S65</f>
        <v/>
      </c>
      <c r="AJ65">
        <f>T65</f>
        <v/>
      </c>
      <c r="AK65">
        <f>R65</f>
        <v/>
      </c>
      <c r="AL65">
        <f>U65</f>
        <v/>
      </c>
      <c r="AM65">
        <f>IF(ISNUMBER(SEARCH("CAPITAL FUNDING",D65)),1,0)</f>
        <v/>
      </c>
      <c r="AN65">
        <f>IF(ISNUMBER(SEARCH("PNC",D65)),1,0)</f>
        <v/>
      </c>
      <c r="AO65">
        <f>IF(ISNUMBER(SEARCH("WELLS FARGO",D65)),1,0)</f>
        <v/>
      </c>
      <c r="AP65">
        <f>IF(ISNUMBER(SEARCH("DWIGHT",D65)),1,0)</f>
        <v/>
      </c>
      <c r="AQ65">
        <f>IF(ISNUMBER(SEARCH("GREYSTONE",D65)),1,0)</f>
        <v/>
      </c>
      <c r="AR65">
        <f>IF(OR(Q65="3896",Q65="3557"),1,0)</f>
        <v/>
      </c>
      <c r="AS65" s="24">
        <f>V65*W65</f>
        <v/>
      </c>
      <c r="AT65" s="26">
        <f>V$4*(V65-V$3)</f>
        <v/>
      </c>
      <c r="AU65" s="26">
        <f>W$4*(W65-W$3)</f>
        <v/>
      </c>
      <c r="AV65" s="26">
        <f>X$4*(X65-X$3)</f>
        <v/>
      </c>
      <c r="AW65" s="26">
        <f>Y$4*(Y65-Y$3)</f>
        <v/>
      </c>
      <c r="AX65" s="26">
        <f>Z$4*(Z65-Z$3)</f>
        <v/>
      </c>
      <c r="AY65" s="26">
        <f>AA$4*(AA65-AA$3)</f>
        <v/>
      </c>
      <c r="AZ65" s="26">
        <f>AB$4*(AB65-AB$3)</f>
        <v/>
      </c>
      <c r="BA65" s="26">
        <f>AC$4*(AC65-AC$3)</f>
        <v/>
      </c>
      <c r="BB65" s="26">
        <f>AD$4*(AD65-AD$3)</f>
        <v/>
      </c>
      <c r="BC65" s="26">
        <f>AE$4*(AE65-AE$3)</f>
        <v/>
      </c>
      <c r="BD65" s="26">
        <f>AF$4*(AF65-AF$3)</f>
        <v/>
      </c>
      <c r="BE65" s="26">
        <f>AG$4*(AG65-AG$3)</f>
        <v/>
      </c>
      <c r="BF65" s="26">
        <f>AH$4*(AH65-AH$3)</f>
        <v/>
      </c>
      <c r="BG65" s="26">
        <f>AI$4*(AI65-AI$3)</f>
        <v/>
      </c>
      <c r="BH65" s="26">
        <f>AJ$4*(AJ65-AJ$3)</f>
        <v/>
      </c>
      <c r="BI65" s="26">
        <f>AK$4*(AK65-AK$3)</f>
        <v/>
      </c>
      <c r="BJ65" s="26">
        <f>AL$4*(AL65-AL$3)</f>
        <v/>
      </c>
      <c r="BK65" s="26">
        <f>AM$4*(AM65-AM$3)</f>
        <v/>
      </c>
      <c r="BL65" s="26">
        <f>AN$4*(AN65-AN$3)</f>
        <v/>
      </c>
      <c r="BM65" s="26">
        <f>AO$4*(AO65-AO$3)</f>
        <v/>
      </c>
      <c r="BN65" s="26">
        <f>AP$4*(AP65-AP$3)</f>
        <v/>
      </c>
      <c r="BO65" s="26">
        <f>AQ$4*(AQ65-AQ$3)</f>
        <v/>
      </c>
      <c r="BP65" s="26">
        <f>AR$4*(AR65-AR$3)</f>
        <v/>
      </c>
      <c r="BQ65" s="26">
        <f>AS$4*(AS65-AS$3)</f>
        <v/>
      </c>
      <c r="BR65" s="27">
        <f>SUM(AT65:BQ65)</f>
        <v/>
      </c>
      <c r="BS65" s="27">
        <f>INTERCEPT_SCALED+BR65</f>
        <v/>
      </c>
      <c r="BT65" s="28">
        <f>1/(1+EXP(-BS65))</f>
        <v/>
      </c>
      <c r="BU65" s="13">
        <f>1-(1-BT65)^12</f>
        <v/>
      </c>
      <c r="BV65" s="13">
        <f>IFERROR(AT65/BR65*(BU65-BASELINE_CPR),0)</f>
        <v/>
      </c>
      <c r="BW65" s="13">
        <f>IFERROR(AU65/BR65*(BU65-BASELINE_CPR),0)</f>
        <v/>
      </c>
      <c r="BX65" s="13">
        <f>IFERROR(AV65/BR65*(BU65-BASELINE_CPR),0)</f>
        <v/>
      </c>
      <c r="BY65" s="13">
        <f>IFERROR(AW65/BR65*(BU65-BASELINE_CPR),0)</f>
        <v/>
      </c>
      <c r="BZ65" s="13">
        <f>IFERROR(AX65/BR65*(BU65-BASELINE_CPR),0)</f>
        <v/>
      </c>
      <c r="CA65" s="13">
        <f>IFERROR(AY65/BR65*(BU65-BASELINE_CPR),0)</f>
        <v/>
      </c>
      <c r="CB65" s="13">
        <f>IFERROR(AZ65/BR65*(BU65-BASELINE_CPR),0)</f>
        <v/>
      </c>
      <c r="CC65" s="13">
        <f>IFERROR(BA65/BR65*(BU65-BASELINE_CPR),0)</f>
        <v/>
      </c>
      <c r="CD65" s="13">
        <f>IFERROR(BB65/BR65*(BU65-BASELINE_CPR),0)</f>
        <v/>
      </c>
      <c r="CE65" s="13">
        <f>IFERROR(BC65/BR65*(BU65-BASELINE_CPR),0)</f>
        <v/>
      </c>
      <c r="CF65" s="13">
        <f>IFERROR(BD65/BR65*(BU65-BASELINE_CPR),0)</f>
        <v/>
      </c>
      <c r="CG65" s="13">
        <f>IFERROR(BE65/BR65*(BU65-BASELINE_CPR),0)</f>
        <v/>
      </c>
      <c r="CH65" s="13">
        <f>IFERROR(BF65/BR65*(BU65-BASELINE_CPR),0)</f>
        <v/>
      </c>
      <c r="CI65" s="13">
        <f>IFERROR(BG65/BR65*(BU65-BASELINE_CPR),0)</f>
        <v/>
      </c>
      <c r="CJ65" s="13">
        <f>IFERROR(BH65/BR65*(BU65-BASELINE_CPR),0)</f>
        <v/>
      </c>
      <c r="CK65" s="13">
        <f>IFERROR(BI65/BR65*(BU65-BASELINE_CPR),0)</f>
        <v/>
      </c>
      <c r="CL65" s="13">
        <f>IFERROR(BJ65/BR65*(BU65-BASELINE_CPR),0)</f>
        <v/>
      </c>
      <c r="CM65" s="13">
        <f>IFERROR(BK65/BR65*(BU65-BASELINE_CPR),0)</f>
        <v/>
      </c>
      <c r="CN65" s="13">
        <f>IFERROR(BL65/BR65*(BU65-BASELINE_CPR),0)</f>
        <v/>
      </c>
      <c r="CO65" s="13">
        <f>IFERROR(BM65/BR65*(BU65-BASELINE_CPR),0)</f>
        <v/>
      </c>
      <c r="CP65" s="13">
        <f>IFERROR(BN65/BR65*(BU65-BASELINE_CPR),0)</f>
        <v/>
      </c>
      <c r="CQ65" s="13">
        <f>IFERROR(BO65/BR65*(BU65-BASELINE_CPR),0)</f>
        <v/>
      </c>
      <c r="CR65" s="13">
        <f>IFERROR(BP65/BR65*(BU65-BASELINE_CPR),0)</f>
        <v/>
      </c>
      <c r="CS65" s="13">
        <f>IFERROR(BQ65/BR65*(BU65-BASELINE_CPR),0)</f>
        <v/>
      </c>
      <c r="CT65" s="29">
        <f>BASELINE_CPR+SUM(BV65:CS65)-BU65</f>
        <v/>
      </c>
    </row>
    <row r="66">
      <c r="A66" s="2" t="inlineStr">
        <is>
          <t>36296MNL8_000000001410045</t>
        </is>
      </c>
      <c r="B66" t="inlineStr">
        <is>
          <t>BERKADIA_PRE21</t>
        </is>
      </c>
      <c r="C66" s="2" t="inlineStr">
        <is>
          <t>36296MNL8</t>
        </is>
      </c>
      <c r="D66" t="inlineStr">
        <is>
          <t>BERKADIA COMMERCIAL MORTGAGE, LLC</t>
        </is>
      </c>
      <c r="E66" t="inlineStr">
        <is>
          <t>241</t>
        </is>
      </c>
      <c r="F66" t="inlineStr">
        <is>
          <t>NC</t>
        </is>
      </c>
      <c r="G66" t="n">
        <v>2009</v>
      </c>
      <c r="H66" t="inlineStr">
        <is>
          <t>202602</t>
        </is>
      </c>
      <c r="I66" s="22" t="n">
        <v>662700.64</v>
      </c>
      <c r="J66" s="23" t="n">
        <v>6.2</v>
      </c>
      <c r="K66" s="24" t="n">
        <v>447</v>
      </c>
      <c r="L66" s="24" t="n">
        <v>0</v>
      </c>
      <c r="M66" t="n">
        <v>197</v>
      </c>
      <c r="N66" t="n">
        <v>86</v>
      </c>
      <c r="O66" t="n">
        <v>203811</v>
      </c>
      <c r="P66" t="n">
        <v>201205</v>
      </c>
      <c r="Q66" t="inlineStr">
        <is>
          <t>4082</t>
        </is>
      </c>
      <c r="R66" t="n">
        <v>0</v>
      </c>
      <c r="S66" t="n">
        <v>0</v>
      </c>
      <c r="T66" t="n">
        <v>0</v>
      </c>
      <c r="U66" t="n">
        <v>1</v>
      </c>
      <c r="V66" s="24">
        <f>J66*100-K66</f>
        <v/>
      </c>
      <c r="W66" s="24">
        <f>L66</f>
        <v/>
      </c>
      <c r="X66" s="25">
        <f>MIN(M66,36)</f>
        <v/>
      </c>
      <c r="Y66" s="25">
        <f>MIN(MAX(M66-36,0),84)</f>
        <v/>
      </c>
      <c r="Z66" s="25">
        <f>MAX(M66-120,0)</f>
        <v/>
      </c>
      <c r="AA66" s="25">
        <f>IF(OR(O66="",NOT(ISNUMBER(O66))),360,MAX(0,MIN(480,(INT(O66/100)-INT(VALUE(H66)/100))*12+MOD(O66,100)-MOD(VALUE(H66),100))))</f>
        <v/>
      </c>
      <c r="AB66">
        <f>IF(AND(AA66&gt;0,AA66&lt;=24),1,0)</f>
        <v/>
      </c>
      <c r="AC66" s="25">
        <f>IF(OR(P66="",NOT(ISNUMBER(P66))),0,MAX(0,MIN(24,(INT(VALUE(H66)/100)-INT(P66/100))*12+MOD(VALUE(H66),100)-MOD(P66,100))))</f>
        <v/>
      </c>
      <c r="AD66" s="23">
        <f>LN(1+I66)</f>
        <v/>
      </c>
      <c r="AE66">
        <f>IF(I66&lt;2000000,1,0)</f>
        <v/>
      </c>
      <c r="AF66">
        <f>IF(I66&gt;50000000,1,0)</f>
        <v/>
      </c>
      <c r="AG66" s="23">
        <f>IF(ISNUMBER(M66),N66/MAX(M66,1),0)</f>
        <v/>
      </c>
      <c r="AH66">
        <f>IF(G66&gt;=2021,1,0)</f>
        <v/>
      </c>
      <c r="AI66">
        <f>S66</f>
        <v/>
      </c>
      <c r="AJ66">
        <f>T66</f>
        <v/>
      </c>
      <c r="AK66">
        <f>R66</f>
        <v/>
      </c>
      <c r="AL66">
        <f>U66</f>
        <v/>
      </c>
      <c r="AM66">
        <f>IF(ISNUMBER(SEARCH("CAPITAL FUNDING",D66)),1,0)</f>
        <v/>
      </c>
      <c r="AN66">
        <f>IF(ISNUMBER(SEARCH("PNC",D66)),1,0)</f>
        <v/>
      </c>
      <c r="AO66">
        <f>IF(ISNUMBER(SEARCH("WELLS FARGO",D66)),1,0)</f>
        <v/>
      </c>
      <c r="AP66">
        <f>IF(ISNUMBER(SEARCH("DWIGHT",D66)),1,0)</f>
        <v/>
      </c>
      <c r="AQ66">
        <f>IF(ISNUMBER(SEARCH("GREYSTONE",D66)),1,0)</f>
        <v/>
      </c>
      <c r="AR66">
        <f>IF(OR(Q66="3896",Q66="3557"),1,0)</f>
        <v/>
      </c>
      <c r="AS66" s="24">
        <f>V66*W66</f>
        <v/>
      </c>
      <c r="AT66" s="26">
        <f>V$4*(V66-V$3)</f>
        <v/>
      </c>
      <c r="AU66" s="26">
        <f>W$4*(W66-W$3)</f>
        <v/>
      </c>
      <c r="AV66" s="26">
        <f>X$4*(X66-X$3)</f>
        <v/>
      </c>
      <c r="AW66" s="26">
        <f>Y$4*(Y66-Y$3)</f>
        <v/>
      </c>
      <c r="AX66" s="26">
        <f>Z$4*(Z66-Z$3)</f>
        <v/>
      </c>
      <c r="AY66" s="26">
        <f>AA$4*(AA66-AA$3)</f>
        <v/>
      </c>
      <c r="AZ66" s="26">
        <f>AB$4*(AB66-AB$3)</f>
        <v/>
      </c>
      <c r="BA66" s="26">
        <f>AC$4*(AC66-AC$3)</f>
        <v/>
      </c>
      <c r="BB66" s="26">
        <f>AD$4*(AD66-AD$3)</f>
        <v/>
      </c>
      <c r="BC66" s="26">
        <f>AE$4*(AE66-AE$3)</f>
        <v/>
      </c>
      <c r="BD66" s="26">
        <f>AF$4*(AF66-AF$3)</f>
        <v/>
      </c>
      <c r="BE66" s="26">
        <f>AG$4*(AG66-AG$3)</f>
        <v/>
      </c>
      <c r="BF66" s="26">
        <f>AH$4*(AH66-AH$3)</f>
        <v/>
      </c>
      <c r="BG66" s="26">
        <f>AI$4*(AI66-AI$3)</f>
        <v/>
      </c>
      <c r="BH66" s="26">
        <f>AJ$4*(AJ66-AJ$3)</f>
        <v/>
      </c>
      <c r="BI66" s="26">
        <f>AK$4*(AK66-AK$3)</f>
        <v/>
      </c>
      <c r="BJ66" s="26">
        <f>AL$4*(AL66-AL$3)</f>
        <v/>
      </c>
      <c r="BK66" s="26">
        <f>AM$4*(AM66-AM$3)</f>
        <v/>
      </c>
      <c r="BL66" s="26">
        <f>AN$4*(AN66-AN$3)</f>
        <v/>
      </c>
      <c r="BM66" s="26">
        <f>AO$4*(AO66-AO$3)</f>
        <v/>
      </c>
      <c r="BN66" s="26">
        <f>AP$4*(AP66-AP$3)</f>
        <v/>
      </c>
      <c r="BO66" s="26">
        <f>AQ$4*(AQ66-AQ$3)</f>
        <v/>
      </c>
      <c r="BP66" s="26">
        <f>AR$4*(AR66-AR$3)</f>
        <v/>
      </c>
      <c r="BQ66" s="26">
        <f>AS$4*(AS66-AS$3)</f>
        <v/>
      </c>
      <c r="BR66" s="27">
        <f>SUM(AT66:BQ66)</f>
        <v/>
      </c>
      <c r="BS66" s="27">
        <f>INTERCEPT_SCALED+BR66</f>
        <v/>
      </c>
      <c r="BT66" s="28">
        <f>1/(1+EXP(-BS66))</f>
        <v/>
      </c>
      <c r="BU66" s="13">
        <f>1-(1-BT66)^12</f>
        <v/>
      </c>
      <c r="BV66" s="13">
        <f>IFERROR(AT66/BR66*(BU66-BASELINE_CPR),0)</f>
        <v/>
      </c>
      <c r="BW66" s="13">
        <f>IFERROR(AU66/BR66*(BU66-BASELINE_CPR),0)</f>
        <v/>
      </c>
      <c r="BX66" s="13">
        <f>IFERROR(AV66/BR66*(BU66-BASELINE_CPR),0)</f>
        <v/>
      </c>
      <c r="BY66" s="13">
        <f>IFERROR(AW66/BR66*(BU66-BASELINE_CPR),0)</f>
        <v/>
      </c>
      <c r="BZ66" s="13">
        <f>IFERROR(AX66/BR66*(BU66-BASELINE_CPR),0)</f>
        <v/>
      </c>
      <c r="CA66" s="13">
        <f>IFERROR(AY66/BR66*(BU66-BASELINE_CPR),0)</f>
        <v/>
      </c>
      <c r="CB66" s="13">
        <f>IFERROR(AZ66/BR66*(BU66-BASELINE_CPR),0)</f>
        <v/>
      </c>
      <c r="CC66" s="13">
        <f>IFERROR(BA66/BR66*(BU66-BASELINE_CPR),0)</f>
        <v/>
      </c>
      <c r="CD66" s="13">
        <f>IFERROR(BB66/BR66*(BU66-BASELINE_CPR),0)</f>
        <v/>
      </c>
      <c r="CE66" s="13">
        <f>IFERROR(BC66/BR66*(BU66-BASELINE_CPR),0)</f>
        <v/>
      </c>
      <c r="CF66" s="13">
        <f>IFERROR(BD66/BR66*(BU66-BASELINE_CPR),0)</f>
        <v/>
      </c>
      <c r="CG66" s="13">
        <f>IFERROR(BE66/BR66*(BU66-BASELINE_CPR),0)</f>
        <v/>
      </c>
      <c r="CH66" s="13">
        <f>IFERROR(BF66/BR66*(BU66-BASELINE_CPR),0)</f>
        <v/>
      </c>
      <c r="CI66" s="13">
        <f>IFERROR(BG66/BR66*(BU66-BASELINE_CPR),0)</f>
        <v/>
      </c>
      <c r="CJ66" s="13">
        <f>IFERROR(BH66/BR66*(BU66-BASELINE_CPR),0)</f>
        <v/>
      </c>
      <c r="CK66" s="13">
        <f>IFERROR(BI66/BR66*(BU66-BASELINE_CPR),0)</f>
        <v/>
      </c>
      <c r="CL66" s="13">
        <f>IFERROR(BJ66/BR66*(BU66-BASELINE_CPR),0)</f>
        <v/>
      </c>
      <c r="CM66" s="13">
        <f>IFERROR(BK66/BR66*(BU66-BASELINE_CPR),0)</f>
        <v/>
      </c>
      <c r="CN66" s="13">
        <f>IFERROR(BL66/BR66*(BU66-BASELINE_CPR),0)</f>
        <v/>
      </c>
      <c r="CO66" s="13">
        <f>IFERROR(BM66/BR66*(BU66-BASELINE_CPR),0)</f>
        <v/>
      </c>
      <c r="CP66" s="13">
        <f>IFERROR(BN66/BR66*(BU66-BASELINE_CPR),0)</f>
        <v/>
      </c>
      <c r="CQ66" s="13">
        <f>IFERROR(BO66/BR66*(BU66-BASELINE_CPR),0)</f>
        <v/>
      </c>
      <c r="CR66" s="13">
        <f>IFERROR(BP66/BR66*(BU66-BASELINE_CPR),0)</f>
        <v/>
      </c>
      <c r="CS66" s="13">
        <f>IFERROR(BQ66/BR66*(BU66-BASELINE_CPR),0)</f>
        <v/>
      </c>
      <c r="CT66" s="29">
        <f>BASELINE_CPR+SUM(BV66:CS66)-BU66</f>
        <v/>
      </c>
    </row>
    <row r="67">
      <c r="A67" s="2" t="inlineStr">
        <is>
          <t>3618A9ZB4_000000009335146</t>
        </is>
      </c>
      <c r="B67" t="inlineStr">
        <is>
          <t>BERKADIA_POST21</t>
        </is>
      </c>
      <c r="C67" s="2" t="inlineStr">
        <is>
          <t>3618A9ZB4</t>
        </is>
      </c>
      <c r="D67" t="inlineStr">
        <is>
          <t>BERKADIA COMMERCIAL MORTGAGE, LLC</t>
        </is>
      </c>
      <c r="E67" t="inlineStr">
        <is>
          <t>221d4</t>
        </is>
      </c>
      <c r="F67" t="inlineStr">
        <is>
          <t>NC</t>
        </is>
      </c>
      <c r="G67" t="n">
        <v>2022</v>
      </c>
      <c r="H67" t="inlineStr">
        <is>
          <t>202602</t>
        </is>
      </c>
      <c r="I67" s="22" t="n">
        <v>9907257.279999999</v>
      </c>
      <c r="J67" s="23" t="n">
        <v>4.6</v>
      </c>
      <c r="K67" s="24" t="n">
        <v>447</v>
      </c>
      <c r="L67" s="24" t="n">
        <v>10</v>
      </c>
      <c r="M67" t="n">
        <v>41</v>
      </c>
      <c r="N67" t="n">
        <v>0</v>
      </c>
      <c r="O67" t="n">
        <v>206404</v>
      </c>
      <c r="P67" t="inlineStr"/>
      <c r="Q67" t="inlineStr">
        <is>
          <t>4082</t>
        </is>
      </c>
      <c r="R67" t="n">
        <v>0</v>
      </c>
      <c r="S67" t="n">
        <v>0</v>
      </c>
      <c r="T67" t="n">
        <v>0</v>
      </c>
      <c r="U67" t="n">
        <v>1</v>
      </c>
      <c r="V67" s="24">
        <f>J67*100-K67</f>
        <v/>
      </c>
      <c r="W67" s="24">
        <f>L67</f>
        <v/>
      </c>
      <c r="X67" s="25">
        <f>MIN(M67,36)</f>
        <v/>
      </c>
      <c r="Y67" s="25">
        <f>MIN(MAX(M67-36,0),84)</f>
        <v/>
      </c>
      <c r="Z67" s="25">
        <f>MAX(M67-120,0)</f>
        <v/>
      </c>
      <c r="AA67" s="25">
        <f>IF(OR(O67="",NOT(ISNUMBER(O67))),360,MAX(0,MIN(480,(INT(O67/100)-INT(VALUE(H67)/100))*12+MOD(O67,100)-MOD(VALUE(H67),100))))</f>
        <v/>
      </c>
      <c r="AB67">
        <f>IF(AND(AA67&gt;0,AA67&lt;=24),1,0)</f>
        <v/>
      </c>
      <c r="AC67" s="25">
        <f>IF(OR(P67="",NOT(ISNUMBER(P67))),0,MAX(0,MIN(24,(INT(VALUE(H67)/100)-INT(P67/100))*12+MOD(VALUE(H67),100)-MOD(P67,100))))</f>
        <v/>
      </c>
      <c r="AD67" s="23">
        <f>LN(1+I67)</f>
        <v/>
      </c>
      <c r="AE67">
        <f>IF(I67&lt;2000000,1,0)</f>
        <v/>
      </c>
      <c r="AF67">
        <f>IF(I67&gt;50000000,1,0)</f>
        <v/>
      </c>
      <c r="AG67" s="23">
        <f>IF(ISNUMBER(M67),N67/MAX(M67,1),0)</f>
        <v/>
      </c>
      <c r="AH67">
        <f>IF(G67&gt;=2021,1,0)</f>
        <v/>
      </c>
      <c r="AI67">
        <f>S67</f>
        <v/>
      </c>
      <c r="AJ67">
        <f>T67</f>
        <v/>
      </c>
      <c r="AK67">
        <f>R67</f>
        <v/>
      </c>
      <c r="AL67">
        <f>U67</f>
        <v/>
      </c>
      <c r="AM67">
        <f>IF(ISNUMBER(SEARCH("CAPITAL FUNDING",D67)),1,0)</f>
        <v/>
      </c>
      <c r="AN67">
        <f>IF(ISNUMBER(SEARCH("PNC",D67)),1,0)</f>
        <v/>
      </c>
      <c r="AO67">
        <f>IF(ISNUMBER(SEARCH("WELLS FARGO",D67)),1,0)</f>
        <v/>
      </c>
      <c r="AP67">
        <f>IF(ISNUMBER(SEARCH("DWIGHT",D67)),1,0)</f>
        <v/>
      </c>
      <c r="AQ67">
        <f>IF(ISNUMBER(SEARCH("GREYSTONE",D67)),1,0)</f>
        <v/>
      </c>
      <c r="AR67">
        <f>IF(OR(Q67="3896",Q67="3557"),1,0)</f>
        <v/>
      </c>
      <c r="AS67" s="24">
        <f>V67*W67</f>
        <v/>
      </c>
      <c r="AT67" s="26">
        <f>V$4*(V67-V$3)</f>
        <v/>
      </c>
      <c r="AU67" s="26">
        <f>W$4*(W67-W$3)</f>
        <v/>
      </c>
      <c r="AV67" s="26">
        <f>X$4*(X67-X$3)</f>
        <v/>
      </c>
      <c r="AW67" s="26">
        <f>Y$4*(Y67-Y$3)</f>
        <v/>
      </c>
      <c r="AX67" s="26">
        <f>Z$4*(Z67-Z$3)</f>
        <v/>
      </c>
      <c r="AY67" s="26">
        <f>AA$4*(AA67-AA$3)</f>
        <v/>
      </c>
      <c r="AZ67" s="26">
        <f>AB$4*(AB67-AB$3)</f>
        <v/>
      </c>
      <c r="BA67" s="26">
        <f>AC$4*(AC67-AC$3)</f>
        <v/>
      </c>
      <c r="BB67" s="26">
        <f>AD$4*(AD67-AD$3)</f>
        <v/>
      </c>
      <c r="BC67" s="26">
        <f>AE$4*(AE67-AE$3)</f>
        <v/>
      </c>
      <c r="BD67" s="26">
        <f>AF$4*(AF67-AF$3)</f>
        <v/>
      </c>
      <c r="BE67" s="26">
        <f>AG$4*(AG67-AG$3)</f>
        <v/>
      </c>
      <c r="BF67" s="26">
        <f>AH$4*(AH67-AH$3)</f>
        <v/>
      </c>
      <c r="BG67" s="26">
        <f>AI$4*(AI67-AI$3)</f>
        <v/>
      </c>
      <c r="BH67" s="26">
        <f>AJ$4*(AJ67-AJ$3)</f>
        <v/>
      </c>
      <c r="BI67" s="26">
        <f>AK$4*(AK67-AK$3)</f>
        <v/>
      </c>
      <c r="BJ67" s="26">
        <f>AL$4*(AL67-AL$3)</f>
        <v/>
      </c>
      <c r="BK67" s="26">
        <f>AM$4*(AM67-AM$3)</f>
        <v/>
      </c>
      <c r="BL67" s="26">
        <f>AN$4*(AN67-AN$3)</f>
        <v/>
      </c>
      <c r="BM67" s="26">
        <f>AO$4*(AO67-AO$3)</f>
        <v/>
      </c>
      <c r="BN67" s="26">
        <f>AP$4*(AP67-AP$3)</f>
        <v/>
      </c>
      <c r="BO67" s="26">
        <f>AQ$4*(AQ67-AQ$3)</f>
        <v/>
      </c>
      <c r="BP67" s="26">
        <f>AR$4*(AR67-AR$3)</f>
        <v/>
      </c>
      <c r="BQ67" s="26">
        <f>AS$4*(AS67-AS$3)</f>
        <v/>
      </c>
      <c r="BR67" s="27">
        <f>SUM(AT67:BQ67)</f>
        <v/>
      </c>
      <c r="BS67" s="27">
        <f>INTERCEPT_SCALED+BR67</f>
        <v/>
      </c>
      <c r="BT67" s="28">
        <f>1/(1+EXP(-BS67))</f>
        <v/>
      </c>
      <c r="BU67" s="13">
        <f>1-(1-BT67)^12</f>
        <v/>
      </c>
      <c r="BV67" s="13">
        <f>IFERROR(AT67/BR67*(BU67-BASELINE_CPR),0)</f>
        <v/>
      </c>
      <c r="BW67" s="13">
        <f>IFERROR(AU67/BR67*(BU67-BASELINE_CPR),0)</f>
        <v/>
      </c>
      <c r="BX67" s="13">
        <f>IFERROR(AV67/BR67*(BU67-BASELINE_CPR),0)</f>
        <v/>
      </c>
      <c r="BY67" s="13">
        <f>IFERROR(AW67/BR67*(BU67-BASELINE_CPR),0)</f>
        <v/>
      </c>
      <c r="BZ67" s="13">
        <f>IFERROR(AX67/BR67*(BU67-BASELINE_CPR),0)</f>
        <v/>
      </c>
      <c r="CA67" s="13">
        <f>IFERROR(AY67/BR67*(BU67-BASELINE_CPR),0)</f>
        <v/>
      </c>
      <c r="CB67" s="13">
        <f>IFERROR(AZ67/BR67*(BU67-BASELINE_CPR),0)</f>
        <v/>
      </c>
      <c r="CC67" s="13">
        <f>IFERROR(BA67/BR67*(BU67-BASELINE_CPR),0)</f>
        <v/>
      </c>
      <c r="CD67" s="13">
        <f>IFERROR(BB67/BR67*(BU67-BASELINE_CPR),0)</f>
        <v/>
      </c>
      <c r="CE67" s="13">
        <f>IFERROR(BC67/BR67*(BU67-BASELINE_CPR),0)</f>
        <v/>
      </c>
      <c r="CF67" s="13">
        <f>IFERROR(BD67/BR67*(BU67-BASELINE_CPR),0)</f>
        <v/>
      </c>
      <c r="CG67" s="13">
        <f>IFERROR(BE67/BR67*(BU67-BASELINE_CPR),0)</f>
        <v/>
      </c>
      <c r="CH67" s="13">
        <f>IFERROR(BF67/BR67*(BU67-BASELINE_CPR),0)</f>
        <v/>
      </c>
      <c r="CI67" s="13">
        <f>IFERROR(BG67/BR67*(BU67-BASELINE_CPR),0)</f>
        <v/>
      </c>
      <c r="CJ67" s="13">
        <f>IFERROR(BH67/BR67*(BU67-BASELINE_CPR),0)</f>
        <v/>
      </c>
      <c r="CK67" s="13">
        <f>IFERROR(BI67/BR67*(BU67-BASELINE_CPR),0)</f>
        <v/>
      </c>
      <c r="CL67" s="13">
        <f>IFERROR(BJ67/BR67*(BU67-BASELINE_CPR),0)</f>
        <v/>
      </c>
      <c r="CM67" s="13">
        <f>IFERROR(BK67/BR67*(BU67-BASELINE_CPR),0)</f>
        <v/>
      </c>
      <c r="CN67" s="13">
        <f>IFERROR(BL67/BR67*(BU67-BASELINE_CPR),0)</f>
        <v/>
      </c>
      <c r="CO67" s="13">
        <f>IFERROR(BM67/BR67*(BU67-BASELINE_CPR),0)</f>
        <v/>
      </c>
      <c r="CP67" s="13">
        <f>IFERROR(BN67/BR67*(BU67-BASELINE_CPR),0)</f>
        <v/>
      </c>
      <c r="CQ67" s="13">
        <f>IFERROR(BO67/BR67*(BU67-BASELINE_CPR),0)</f>
        <v/>
      </c>
      <c r="CR67" s="13">
        <f>IFERROR(BP67/BR67*(BU67-BASELINE_CPR),0)</f>
        <v/>
      </c>
      <c r="CS67" s="13">
        <f>IFERROR(BQ67/BR67*(BU67-BASELINE_CPR),0)</f>
        <v/>
      </c>
      <c r="CT67" s="29">
        <f>BASELINE_CPR+SUM(BV67:CS67)-BU67</f>
        <v/>
      </c>
    </row>
    <row r="68">
      <c r="A68" s="2" t="inlineStr">
        <is>
          <t>36178VAE1_000000005111250</t>
        </is>
      </c>
      <c r="B68" t="inlineStr">
        <is>
          <t>BERKADIA_PRE21</t>
        </is>
      </c>
      <c r="C68" s="2" t="inlineStr">
        <is>
          <t>36178VAE1</t>
        </is>
      </c>
      <c r="D68" t="inlineStr">
        <is>
          <t>BERKADIA COMMERCIAL MORTGAGE, LLC</t>
        </is>
      </c>
      <c r="E68" t="inlineStr">
        <is>
          <t>223a7</t>
        </is>
      </c>
      <c r="F68" t="inlineStr">
        <is>
          <t>RP</t>
        </is>
      </c>
      <c r="G68" t="n">
        <v>2012</v>
      </c>
      <c r="H68" t="inlineStr">
        <is>
          <t>202602</t>
        </is>
      </c>
      <c r="I68" s="22" t="n">
        <v>17841211.06</v>
      </c>
      <c r="J68" s="23" t="n">
        <v>3.05</v>
      </c>
      <c r="K68" s="24" t="n">
        <v>447</v>
      </c>
      <c r="L68" s="24" t="n">
        <v>0</v>
      </c>
      <c r="M68" t="n">
        <v>160</v>
      </c>
      <c r="N68" t="n">
        <v>26</v>
      </c>
      <c r="O68" t="n">
        <v>204801</v>
      </c>
      <c r="P68" t="n">
        <v>201402</v>
      </c>
      <c r="Q68" t="inlineStr">
        <is>
          <t>4082</t>
        </is>
      </c>
      <c r="R68" t="n">
        <v>0</v>
      </c>
      <c r="S68" t="n">
        <v>1</v>
      </c>
      <c r="T68" t="n">
        <v>0</v>
      </c>
      <c r="U68" t="n">
        <v>0</v>
      </c>
      <c r="V68" s="24">
        <f>J68*100-K68</f>
        <v/>
      </c>
      <c r="W68" s="24">
        <f>L68</f>
        <v/>
      </c>
      <c r="X68" s="25">
        <f>MIN(M68,36)</f>
        <v/>
      </c>
      <c r="Y68" s="25">
        <f>MIN(MAX(M68-36,0),84)</f>
        <v/>
      </c>
      <c r="Z68" s="25">
        <f>MAX(M68-120,0)</f>
        <v/>
      </c>
      <c r="AA68" s="25">
        <f>IF(OR(O68="",NOT(ISNUMBER(O68))),360,MAX(0,MIN(480,(INT(O68/100)-INT(VALUE(H68)/100))*12+MOD(O68,100)-MOD(VALUE(H68),100))))</f>
        <v/>
      </c>
      <c r="AB68">
        <f>IF(AND(AA68&gt;0,AA68&lt;=24),1,0)</f>
        <v/>
      </c>
      <c r="AC68" s="25">
        <f>IF(OR(P68="",NOT(ISNUMBER(P68))),0,MAX(0,MIN(24,(INT(VALUE(H68)/100)-INT(P68/100))*12+MOD(VALUE(H68),100)-MOD(P68,100))))</f>
        <v/>
      </c>
      <c r="AD68" s="23">
        <f>LN(1+I68)</f>
        <v/>
      </c>
      <c r="AE68">
        <f>IF(I68&lt;2000000,1,0)</f>
        <v/>
      </c>
      <c r="AF68">
        <f>IF(I68&gt;50000000,1,0)</f>
        <v/>
      </c>
      <c r="AG68" s="23">
        <f>IF(ISNUMBER(M68),N68/MAX(M68,1),0)</f>
        <v/>
      </c>
      <c r="AH68">
        <f>IF(G68&gt;=2021,1,0)</f>
        <v/>
      </c>
      <c r="AI68">
        <f>S68</f>
        <v/>
      </c>
      <c r="AJ68">
        <f>T68</f>
        <v/>
      </c>
      <c r="AK68">
        <f>R68</f>
        <v/>
      </c>
      <c r="AL68">
        <f>U68</f>
        <v/>
      </c>
      <c r="AM68">
        <f>IF(ISNUMBER(SEARCH("CAPITAL FUNDING",D68)),1,0)</f>
        <v/>
      </c>
      <c r="AN68">
        <f>IF(ISNUMBER(SEARCH("PNC",D68)),1,0)</f>
        <v/>
      </c>
      <c r="AO68">
        <f>IF(ISNUMBER(SEARCH("WELLS FARGO",D68)),1,0)</f>
        <v/>
      </c>
      <c r="AP68">
        <f>IF(ISNUMBER(SEARCH("DWIGHT",D68)),1,0)</f>
        <v/>
      </c>
      <c r="AQ68">
        <f>IF(ISNUMBER(SEARCH("GREYSTONE",D68)),1,0)</f>
        <v/>
      </c>
      <c r="AR68">
        <f>IF(OR(Q68="3896",Q68="3557"),1,0)</f>
        <v/>
      </c>
      <c r="AS68" s="24">
        <f>V68*W68</f>
        <v/>
      </c>
      <c r="AT68" s="26">
        <f>V$4*(V68-V$3)</f>
        <v/>
      </c>
      <c r="AU68" s="26">
        <f>W$4*(W68-W$3)</f>
        <v/>
      </c>
      <c r="AV68" s="26">
        <f>X$4*(X68-X$3)</f>
        <v/>
      </c>
      <c r="AW68" s="26">
        <f>Y$4*(Y68-Y$3)</f>
        <v/>
      </c>
      <c r="AX68" s="26">
        <f>Z$4*(Z68-Z$3)</f>
        <v/>
      </c>
      <c r="AY68" s="26">
        <f>AA$4*(AA68-AA$3)</f>
        <v/>
      </c>
      <c r="AZ68" s="26">
        <f>AB$4*(AB68-AB$3)</f>
        <v/>
      </c>
      <c r="BA68" s="26">
        <f>AC$4*(AC68-AC$3)</f>
        <v/>
      </c>
      <c r="BB68" s="26">
        <f>AD$4*(AD68-AD$3)</f>
        <v/>
      </c>
      <c r="BC68" s="26">
        <f>AE$4*(AE68-AE$3)</f>
        <v/>
      </c>
      <c r="BD68" s="26">
        <f>AF$4*(AF68-AF$3)</f>
        <v/>
      </c>
      <c r="BE68" s="26">
        <f>AG$4*(AG68-AG$3)</f>
        <v/>
      </c>
      <c r="BF68" s="26">
        <f>AH$4*(AH68-AH$3)</f>
        <v/>
      </c>
      <c r="BG68" s="26">
        <f>AI$4*(AI68-AI$3)</f>
        <v/>
      </c>
      <c r="BH68" s="26">
        <f>AJ$4*(AJ68-AJ$3)</f>
        <v/>
      </c>
      <c r="BI68" s="26">
        <f>AK$4*(AK68-AK$3)</f>
        <v/>
      </c>
      <c r="BJ68" s="26">
        <f>AL$4*(AL68-AL$3)</f>
        <v/>
      </c>
      <c r="BK68" s="26">
        <f>AM$4*(AM68-AM$3)</f>
        <v/>
      </c>
      <c r="BL68" s="26">
        <f>AN$4*(AN68-AN$3)</f>
        <v/>
      </c>
      <c r="BM68" s="26">
        <f>AO$4*(AO68-AO$3)</f>
        <v/>
      </c>
      <c r="BN68" s="26">
        <f>AP$4*(AP68-AP$3)</f>
        <v/>
      </c>
      <c r="BO68" s="26">
        <f>AQ$4*(AQ68-AQ$3)</f>
        <v/>
      </c>
      <c r="BP68" s="26">
        <f>AR$4*(AR68-AR$3)</f>
        <v/>
      </c>
      <c r="BQ68" s="26">
        <f>AS$4*(AS68-AS$3)</f>
        <v/>
      </c>
      <c r="BR68" s="27">
        <f>SUM(AT68:BQ68)</f>
        <v/>
      </c>
      <c r="BS68" s="27">
        <f>INTERCEPT_SCALED+BR68</f>
        <v/>
      </c>
      <c r="BT68" s="28">
        <f>1/(1+EXP(-BS68))</f>
        <v/>
      </c>
      <c r="BU68" s="13">
        <f>1-(1-BT68)^12</f>
        <v/>
      </c>
      <c r="BV68" s="13">
        <f>IFERROR(AT68/BR68*(BU68-BASELINE_CPR),0)</f>
        <v/>
      </c>
      <c r="BW68" s="13">
        <f>IFERROR(AU68/BR68*(BU68-BASELINE_CPR),0)</f>
        <v/>
      </c>
      <c r="BX68" s="13">
        <f>IFERROR(AV68/BR68*(BU68-BASELINE_CPR),0)</f>
        <v/>
      </c>
      <c r="BY68" s="13">
        <f>IFERROR(AW68/BR68*(BU68-BASELINE_CPR),0)</f>
        <v/>
      </c>
      <c r="BZ68" s="13">
        <f>IFERROR(AX68/BR68*(BU68-BASELINE_CPR),0)</f>
        <v/>
      </c>
      <c r="CA68" s="13">
        <f>IFERROR(AY68/BR68*(BU68-BASELINE_CPR),0)</f>
        <v/>
      </c>
      <c r="CB68" s="13">
        <f>IFERROR(AZ68/BR68*(BU68-BASELINE_CPR),0)</f>
        <v/>
      </c>
      <c r="CC68" s="13">
        <f>IFERROR(BA68/BR68*(BU68-BASELINE_CPR),0)</f>
        <v/>
      </c>
      <c r="CD68" s="13">
        <f>IFERROR(BB68/BR68*(BU68-BASELINE_CPR),0)</f>
        <v/>
      </c>
      <c r="CE68" s="13">
        <f>IFERROR(BC68/BR68*(BU68-BASELINE_CPR),0)</f>
        <v/>
      </c>
      <c r="CF68" s="13">
        <f>IFERROR(BD68/BR68*(BU68-BASELINE_CPR),0)</f>
        <v/>
      </c>
      <c r="CG68" s="13">
        <f>IFERROR(BE68/BR68*(BU68-BASELINE_CPR),0)</f>
        <v/>
      </c>
      <c r="CH68" s="13">
        <f>IFERROR(BF68/BR68*(BU68-BASELINE_CPR),0)</f>
        <v/>
      </c>
      <c r="CI68" s="13">
        <f>IFERROR(BG68/BR68*(BU68-BASELINE_CPR),0)</f>
        <v/>
      </c>
      <c r="CJ68" s="13">
        <f>IFERROR(BH68/BR68*(BU68-BASELINE_CPR),0)</f>
        <v/>
      </c>
      <c r="CK68" s="13">
        <f>IFERROR(BI68/BR68*(BU68-BASELINE_CPR),0)</f>
        <v/>
      </c>
      <c r="CL68" s="13">
        <f>IFERROR(BJ68/BR68*(BU68-BASELINE_CPR),0)</f>
        <v/>
      </c>
      <c r="CM68" s="13">
        <f>IFERROR(BK68/BR68*(BU68-BASELINE_CPR),0)</f>
        <v/>
      </c>
      <c r="CN68" s="13">
        <f>IFERROR(BL68/BR68*(BU68-BASELINE_CPR),0)</f>
        <v/>
      </c>
      <c r="CO68" s="13">
        <f>IFERROR(BM68/BR68*(BU68-BASELINE_CPR),0)</f>
        <v/>
      </c>
      <c r="CP68" s="13">
        <f>IFERROR(BN68/BR68*(BU68-BASELINE_CPR),0)</f>
        <v/>
      </c>
      <c r="CQ68" s="13">
        <f>IFERROR(BO68/BR68*(BU68-BASELINE_CPR),0)</f>
        <v/>
      </c>
      <c r="CR68" s="13">
        <f>IFERROR(BP68/BR68*(BU68-BASELINE_CPR),0)</f>
        <v/>
      </c>
      <c r="CS68" s="13">
        <f>IFERROR(BQ68/BR68*(BU68-BASELINE_CPR),0)</f>
        <v/>
      </c>
      <c r="CT68" s="29">
        <f>BASELINE_CPR+SUM(BV68:CS68)-BU68</f>
        <v/>
      </c>
    </row>
    <row r="69">
      <c r="A69" s="2" t="inlineStr">
        <is>
          <t>3617M16P1_000000011422098</t>
        </is>
      </c>
      <c r="B69" t="inlineStr">
        <is>
          <t>BERKADIA_PRE21</t>
        </is>
      </c>
      <c r="C69" s="2" t="inlineStr">
        <is>
          <t>3617M16P1</t>
        </is>
      </c>
      <c r="D69" t="inlineStr">
        <is>
          <t>BERKADIA COMMERCIAL MORTGAGE, LLC</t>
        </is>
      </c>
      <c r="E69" t="inlineStr">
        <is>
          <t>232</t>
        </is>
      </c>
      <c r="F69" t="inlineStr">
        <is>
          <t>RP</t>
        </is>
      </c>
      <c r="G69" t="n">
        <v>2020</v>
      </c>
      <c r="H69" t="inlineStr">
        <is>
          <t>202602</t>
        </is>
      </c>
      <c r="I69" s="22" t="n">
        <v>6103063.28</v>
      </c>
      <c r="J69" s="23" t="n">
        <v>2.63</v>
      </c>
      <c r="K69" s="24" t="n">
        <v>447</v>
      </c>
      <c r="L69" s="24" t="n">
        <v>6</v>
      </c>
      <c r="M69" t="n">
        <v>71</v>
      </c>
      <c r="N69" t="n">
        <v>13</v>
      </c>
      <c r="O69" t="n">
        <v>205506</v>
      </c>
      <c r="P69" t="inlineStr"/>
      <c r="Q69" t="inlineStr">
        <is>
          <t>4082</t>
        </is>
      </c>
      <c r="R69" t="n">
        <v>1</v>
      </c>
      <c r="S69" t="n">
        <v>0</v>
      </c>
      <c r="T69" t="n">
        <v>0</v>
      </c>
      <c r="U69" t="n">
        <v>0</v>
      </c>
      <c r="V69" s="24">
        <f>J69*100-K69</f>
        <v/>
      </c>
      <c r="W69" s="24">
        <f>L69</f>
        <v/>
      </c>
      <c r="X69" s="25">
        <f>MIN(M69,36)</f>
        <v/>
      </c>
      <c r="Y69" s="25">
        <f>MIN(MAX(M69-36,0),84)</f>
        <v/>
      </c>
      <c r="Z69" s="25">
        <f>MAX(M69-120,0)</f>
        <v/>
      </c>
      <c r="AA69" s="25">
        <f>IF(OR(O69="",NOT(ISNUMBER(O69))),360,MAX(0,MIN(480,(INT(O69/100)-INT(VALUE(H69)/100))*12+MOD(O69,100)-MOD(VALUE(H69),100))))</f>
        <v/>
      </c>
      <c r="AB69">
        <f>IF(AND(AA69&gt;0,AA69&lt;=24),1,0)</f>
        <v/>
      </c>
      <c r="AC69" s="25">
        <f>IF(OR(P69="",NOT(ISNUMBER(P69))),0,MAX(0,MIN(24,(INT(VALUE(H69)/100)-INT(P69/100))*12+MOD(VALUE(H69),100)-MOD(P69,100))))</f>
        <v/>
      </c>
      <c r="AD69" s="23">
        <f>LN(1+I69)</f>
        <v/>
      </c>
      <c r="AE69">
        <f>IF(I69&lt;2000000,1,0)</f>
        <v/>
      </c>
      <c r="AF69">
        <f>IF(I69&gt;50000000,1,0)</f>
        <v/>
      </c>
      <c r="AG69" s="23">
        <f>IF(ISNUMBER(M69),N69/MAX(M69,1),0)</f>
        <v/>
      </c>
      <c r="AH69">
        <f>IF(G69&gt;=2021,1,0)</f>
        <v/>
      </c>
      <c r="AI69">
        <f>S69</f>
        <v/>
      </c>
      <c r="AJ69">
        <f>T69</f>
        <v/>
      </c>
      <c r="AK69">
        <f>R69</f>
        <v/>
      </c>
      <c r="AL69">
        <f>U69</f>
        <v/>
      </c>
      <c r="AM69">
        <f>IF(ISNUMBER(SEARCH("CAPITAL FUNDING",D69)),1,0)</f>
        <v/>
      </c>
      <c r="AN69">
        <f>IF(ISNUMBER(SEARCH("PNC",D69)),1,0)</f>
        <v/>
      </c>
      <c r="AO69">
        <f>IF(ISNUMBER(SEARCH("WELLS FARGO",D69)),1,0)</f>
        <v/>
      </c>
      <c r="AP69">
        <f>IF(ISNUMBER(SEARCH("DWIGHT",D69)),1,0)</f>
        <v/>
      </c>
      <c r="AQ69">
        <f>IF(ISNUMBER(SEARCH("GREYSTONE",D69)),1,0)</f>
        <v/>
      </c>
      <c r="AR69">
        <f>IF(OR(Q69="3896",Q69="3557"),1,0)</f>
        <v/>
      </c>
      <c r="AS69" s="24">
        <f>V69*W69</f>
        <v/>
      </c>
      <c r="AT69" s="26">
        <f>V$4*(V69-V$3)</f>
        <v/>
      </c>
      <c r="AU69" s="26">
        <f>W$4*(W69-W$3)</f>
        <v/>
      </c>
      <c r="AV69" s="26">
        <f>X$4*(X69-X$3)</f>
        <v/>
      </c>
      <c r="AW69" s="26">
        <f>Y$4*(Y69-Y$3)</f>
        <v/>
      </c>
      <c r="AX69" s="26">
        <f>Z$4*(Z69-Z$3)</f>
        <v/>
      </c>
      <c r="AY69" s="26">
        <f>AA$4*(AA69-AA$3)</f>
        <v/>
      </c>
      <c r="AZ69" s="26">
        <f>AB$4*(AB69-AB$3)</f>
        <v/>
      </c>
      <c r="BA69" s="26">
        <f>AC$4*(AC69-AC$3)</f>
        <v/>
      </c>
      <c r="BB69" s="26">
        <f>AD$4*(AD69-AD$3)</f>
        <v/>
      </c>
      <c r="BC69" s="26">
        <f>AE$4*(AE69-AE$3)</f>
        <v/>
      </c>
      <c r="BD69" s="26">
        <f>AF$4*(AF69-AF$3)</f>
        <v/>
      </c>
      <c r="BE69" s="26">
        <f>AG$4*(AG69-AG$3)</f>
        <v/>
      </c>
      <c r="BF69" s="26">
        <f>AH$4*(AH69-AH$3)</f>
        <v/>
      </c>
      <c r="BG69" s="26">
        <f>AI$4*(AI69-AI$3)</f>
        <v/>
      </c>
      <c r="BH69" s="26">
        <f>AJ$4*(AJ69-AJ$3)</f>
        <v/>
      </c>
      <c r="BI69" s="26">
        <f>AK$4*(AK69-AK$3)</f>
        <v/>
      </c>
      <c r="BJ69" s="26">
        <f>AL$4*(AL69-AL$3)</f>
        <v/>
      </c>
      <c r="BK69" s="26">
        <f>AM$4*(AM69-AM$3)</f>
        <v/>
      </c>
      <c r="BL69" s="26">
        <f>AN$4*(AN69-AN$3)</f>
        <v/>
      </c>
      <c r="BM69" s="26">
        <f>AO$4*(AO69-AO$3)</f>
        <v/>
      </c>
      <c r="BN69" s="26">
        <f>AP$4*(AP69-AP$3)</f>
        <v/>
      </c>
      <c r="BO69" s="26">
        <f>AQ$4*(AQ69-AQ$3)</f>
        <v/>
      </c>
      <c r="BP69" s="26">
        <f>AR$4*(AR69-AR$3)</f>
        <v/>
      </c>
      <c r="BQ69" s="26">
        <f>AS$4*(AS69-AS$3)</f>
        <v/>
      </c>
      <c r="BR69" s="27">
        <f>SUM(AT69:BQ69)</f>
        <v/>
      </c>
      <c r="BS69" s="27">
        <f>INTERCEPT_SCALED+BR69</f>
        <v/>
      </c>
      <c r="BT69" s="28">
        <f>1/(1+EXP(-BS69))</f>
        <v/>
      </c>
      <c r="BU69" s="13">
        <f>1-(1-BT69)^12</f>
        <v/>
      </c>
      <c r="BV69" s="13">
        <f>IFERROR(AT69/BR69*(BU69-BASELINE_CPR),0)</f>
        <v/>
      </c>
      <c r="BW69" s="13">
        <f>IFERROR(AU69/BR69*(BU69-BASELINE_CPR),0)</f>
        <v/>
      </c>
      <c r="BX69" s="13">
        <f>IFERROR(AV69/BR69*(BU69-BASELINE_CPR),0)</f>
        <v/>
      </c>
      <c r="BY69" s="13">
        <f>IFERROR(AW69/BR69*(BU69-BASELINE_CPR),0)</f>
        <v/>
      </c>
      <c r="BZ69" s="13">
        <f>IFERROR(AX69/BR69*(BU69-BASELINE_CPR),0)</f>
        <v/>
      </c>
      <c r="CA69" s="13">
        <f>IFERROR(AY69/BR69*(BU69-BASELINE_CPR),0)</f>
        <v/>
      </c>
      <c r="CB69" s="13">
        <f>IFERROR(AZ69/BR69*(BU69-BASELINE_CPR),0)</f>
        <v/>
      </c>
      <c r="CC69" s="13">
        <f>IFERROR(BA69/BR69*(BU69-BASELINE_CPR),0)</f>
        <v/>
      </c>
      <c r="CD69" s="13">
        <f>IFERROR(BB69/BR69*(BU69-BASELINE_CPR),0)</f>
        <v/>
      </c>
      <c r="CE69" s="13">
        <f>IFERROR(BC69/BR69*(BU69-BASELINE_CPR),0)</f>
        <v/>
      </c>
      <c r="CF69" s="13">
        <f>IFERROR(BD69/BR69*(BU69-BASELINE_CPR),0)</f>
        <v/>
      </c>
      <c r="CG69" s="13">
        <f>IFERROR(BE69/BR69*(BU69-BASELINE_CPR),0)</f>
        <v/>
      </c>
      <c r="CH69" s="13">
        <f>IFERROR(BF69/BR69*(BU69-BASELINE_CPR),0)</f>
        <v/>
      </c>
      <c r="CI69" s="13">
        <f>IFERROR(BG69/BR69*(BU69-BASELINE_CPR),0)</f>
        <v/>
      </c>
      <c r="CJ69" s="13">
        <f>IFERROR(BH69/BR69*(BU69-BASELINE_CPR),0)</f>
        <v/>
      </c>
      <c r="CK69" s="13">
        <f>IFERROR(BI69/BR69*(BU69-BASELINE_CPR),0)</f>
        <v/>
      </c>
      <c r="CL69" s="13">
        <f>IFERROR(BJ69/BR69*(BU69-BASELINE_CPR),0)</f>
        <v/>
      </c>
      <c r="CM69" s="13">
        <f>IFERROR(BK69/BR69*(BU69-BASELINE_CPR),0)</f>
        <v/>
      </c>
      <c r="CN69" s="13">
        <f>IFERROR(BL69/BR69*(BU69-BASELINE_CPR),0)</f>
        <v/>
      </c>
      <c r="CO69" s="13">
        <f>IFERROR(BM69/BR69*(BU69-BASELINE_CPR),0)</f>
        <v/>
      </c>
      <c r="CP69" s="13">
        <f>IFERROR(BN69/BR69*(BU69-BASELINE_CPR),0)</f>
        <v/>
      </c>
      <c r="CQ69" s="13">
        <f>IFERROR(BO69/BR69*(BU69-BASELINE_CPR),0)</f>
        <v/>
      </c>
      <c r="CR69" s="13">
        <f>IFERROR(BP69/BR69*(BU69-BASELINE_CPR),0)</f>
        <v/>
      </c>
      <c r="CS69" s="13">
        <f>IFERROR(BQ69/BR69*(BU69-BASELINE_CPR),0)</f>
        <v/>
      </c>
      <c r="CT69" s="29">
        <f>BASELINE_CPR+SUM(BV69:CS69)-BU69</f>
        <v/>
      </c>
    </row>
    <row r="70">
      <c r="A70" s="2" t="inlineStr">
        <is>
          <t>36194RP61_000000007111200</t>
        </is>
      </c>
      <c r="B70" t="inlineStr">
        <is>
          <t>WALKER_PRE21</t>
        </is>
      </c>
      <c r="C70" s="2" t="inlineStr">
        <is>
          <t>36194RP61</t>
        </is>
      </c>
      <c r="D70" t="inlineStr">
        <is>
          <t>WALKER &amp; DUNLOP, LLC</t>
        </is>
      </c>
      <c r="E70" t="inlineStr">
        <is>
          <t>223f</t>
        </is>
      </c>
      <c r="F70" t="inlineStr">
        <is>
          <t>RP</t>
        </is>
      </c>
      <c r="G70" t="n">
        <v>2010</v>
      </c>
      <c r="H70" t="inlineStr">
        <is>
          <t>202602</t>
        </is>
      </c>
      <c r="I70" s="22" t="n">
        <v>3987517.41</v>
      </c>
      <c r="J70" s="23" t="n">
        <v>3.65</v>
      </c>
      <c r="K70" s="24" t="n">
        <v>447</v>
      </c>
      <c r="L70" s="24" t="n">
        <v>1</v>
      </c>
      <c r="M70" t="n">
        <v>188</v>
      </c>
      <c r="N70" t="n">
        <v>29</v>
      </c>
      <c r="O70" t="n">
        <v>204507</v>
      </c>
      <c r="P70" t="inlineStr"/>
      <c r="Q70" t="inlineStr">
        <is>
          <t>4080</t>
        </is>
      </c>
      <c r="R70" t="n">
        <v>0</v>
      </c>
      <c r="S70" t="n">
        <v>0</v>
      </c>
      <c r="T70" t="n">
        <v>0</v>
      </c>
      <c r="U70" t="n">
        <v>0</v>
      </c>
      <c r="V70" s="24">
        <f>J70*100-K70</f>
        <v/>
      </c>
      <c r="W70" s="24">
        <f>L70</f>
        <v/>
      </c>
      <c r="X70" s="25">
        <f>MIN(M70,36)</f>
        <v/>
      </c>
      <c r="Y70" s="25">
        <f>MIN(MAX(M70-36,0),84)</f>
        <v/>
      </c>
      <c r="Z70" s="25">
        <f>MAX(M70-120,0)</f>
        <v/>
      </c>
      <c r="AA70" s="25">
        <f>IF(OR(O70="",NOT(ISNUMBER(O70))),360,MAX(0,MIN(480,(INT(O70/100)-INT(VALUE(H70)/100))*12+MOD(O70,100)-MOD(VALUE(H70),100))))</f>
        <v/>
      </c>
      <c r="AB70">
        <f>IF(AND(AA70&gt;0,AA70&lt;=24),1,0)</f>
        <v/>
      </c>
      <c r="AC70" s="25">
        <f>IF(OR(P70="",NOT(ISNUMBER(P70))),0,MAX(0,MIN(24,(INT(VALUE(H70)/100)-INT(P70/100))*12+MOD(VALUE(H70),100)-MOD(P70,100))))</f>
        <v/>
      </c>
      <c r="AD70" s="23">
        <f>LN(1+I70)</f>
        <v/>
      </c>
      <c r="AE70">
        <f>IF(I70&lt;2000000,1,0)</f>
        <v/>
      </c>
      <c r="AF70">
        <f>IF(I70&gt;50000000,1,0)</f>
        <v/>
      </c>
      <c r="AG70" s="23">
        <f>IF(ISNUMBER(M70),N70/MAX(M70,1),0)</f>
        <v/>
      </c>
      <c r="AH70">
        <f>IF(G70&gt;=2021,1,0)</f>
        <v/>
      </c>
      <c r="AI70">
        <f>S70</f>
        <v/>
      </c>
      <c r="AJ70">
        <f>T70</f>
        <v/>
      </c>
      <c r="AK70">
        <f>R70</f>
        <v/>
      </c>
      <c r="AL70">
        <f>U70</f>
        <v/>
      </c>
      <c r="AM70">
        <f>IF(ISNUMBER(SEARCH("CAPITAL FUNDING",D70)),1,0)</f>
        <v/>
      </c>
      <c r="AN70">
        <f>IF(ISNUMBER(SEARCH("PNC",D70)),1,0)</f>
        <v/>
      </c>
      <c r="AO70">
        <f>IF(ISNUMBER(SEARCH("WELLS FARGO",D70)),1,0)</f>
        <v/>
      </c>
      <c r="AP70">
        <f>IF(ISNUMBER(SEARCH("DWIGHT",D70)),1,0)</f>
        <v/>
      </c>
      <c r="AQ70">
        <f>IF(ISNUMBER(SEARCH("GREYSTONE",D70)),1,0)</f>
        <v/>
      </c>
      <c r="AR70">
        <f>IF(OR(Q70="3896",Q70="3557"),1,0)</f>
        <v/>
      </c>
      <c r="AS70" s="24">
        <f>V70*W70</f>
        <v/>
      </c>
      <c r="AT70" s="26">
        <f>V$4*(V70-V$3)</f>
        <v/>
      </c>
      <c r="AU70" s="26">
        <f>W$4*(W70-W$3)</f>
        <v/>
      </c>
      <c r="AV70" s="26">
        <f>X$4*(X70-X$3)</f>
        <v/>
      </c>
      <c r="AW70" s="26">
        <f>Y$4*(Y70-Y$3)</f>
        <v/>
      </c>
      <c r="AX70" s="26">
        <f>Z$4*(Z70-Z$3)</f>
        <v/>
      </c>
      <c r="AY70" s="26">
        <f>AA$4*(AA70-AA$3)</f>
        <v/>
      </c>
      <c r="AZ70" s="26">
        <f>AB$4*(AB70-AB$3)</f>
        <v/>
      </c>
      <c r="BA70" s="26">
        <f>AC$4*(AC70-AC$3)</f>
        <v/>
      </c>
      <c r="BB70" s="26">
        <f>AD$4*(AD70-AD$3)</f>
        <v/>
      </c>
      <c r="BC70" s="26">
        <f>AE$4*(AE70-AE$3)</f>
        <v/>
      </c>
      <c r="BD70" s="26">
        <f>AF$4*(AF70-AF$3)</f>
        <v/>
      </c>
      <c r="BE70" s="26">
        <f>AG$4*(AG70-AG$3)</f>
        <v/>
      </c>
      <c r="BF70" s="26">
        <f>AH$4*(AH70-AH$3)</f>
        <v/>
      </c>
      <c r="BG70" s="26">
        <f>AI$4*(AI70-AI$3)</f>
        <v/>
      </c>
      <c r="BH70" s="26">
        <f>AJ$4*(AJ70-AJ$3)</f>
        <v/>
      </c>
      <c r="BI70" s="26">
        <f>AK$4*(AK70-AK$3)</f>
        <v/>
      </c>
      <c r="BJ70" s="26">
        <f>AL$4*(AL70-AL$3)</f>
        <v/>
      </c>
      <c r="BK70" s="26">
        <f>AM$4*(AM70-AM$3)</f>
        <v/>
      </c>
      <c r="BL70" s="26">
        <f>AN$4*(AN70-AN$3)</f>
        <v/>
      </c>
      <c r="BM70" s="26">
        <f>AO$4*(AO70-AO$3)</f>
        <v/>
      </c>
      <c r="BN70" s="26">
        <f>AP$4*(AP70-AP$3)</f>
        <v/>
      </c>
      <c r="BO70" s="26">
        <f>AQ$4*(AQ70-AQ$3)</f>
        <v/>
      </c>
      <c r="BP70" s="26">
        <f>AR$4*(AR70-AR$3)</f>
        <v/>
      </c>
      <c r="BQ70" s="26">
        <f>AS$4*(AS70-AS$3)</f>
        <v/>
      </c>
      <c r="BR70" s="27">
        <f>SUM(AT70:BQ70)</f>
        <v/>
      </c>
      <c r="BS70" s="27">
        <f>INTERCEPT_SCALED+BR70</f>
        <v/>
      </c>
      <c r="BT70" s="28">
        <f>1/(1+EXP(-BS70))</f>
        <v/>
      </c>
      <c r="BU70" s="13">
        <f>1-(1-BT70)^12</f>
        <v/>
      </c>
      <c r="BV70" s="13">
        <f>IFERROR(AT70/BR70*(BU70-BASELINE_CPR),0)</f>
        <v/>
      </c>
      <c r="BW70" s="13">
        <f>IFERROR(AU70/BR70*(BU70-BASELINE_CPR),0)</f>
        <v/>
      </c>
      <c r="BX70" s="13">
        <f>IFERROR(AV70/BR70*(BU70-BASELINE_CPR),0)</f>
        <v/>
      </c>
      <c r="BY70" s="13">
        <f>IFERROR(AW70/BR70*(BU70-BASELINE_CPR),0)</f>
        <v/>
      </c>
      <c r="BZ70" s="13">
        <f>IFERROR(AX70/BR70*(BU70-BASELINE_CPR),0)</f>
        <v/>
      </c>
      <c r="CA70" s="13">
        <f>IFERROR(AY70/BR70*(BU70-BASELINE_CPR),0)</f>
        <v/>
      </c>
      <c r="CB70" s="13">
        <f>IFERROR(AZ70/BR70*(BU70-BASELINE_CPR),0)</f>
        <v/>
      </c>
      <c r="CC70" s="13">
        <f>IFERROR(BA70/BR70*(BU70-BASELINE_CPR),0)</f>
        <v/>
      </c>
      <c r="CD70" s="13">
        <f>IFERROR(BB70/BR70*(BU70-BASELINE_CPR),0)</f>
        <v/>
      </c>
      <c r="CE70" s="13">
        <f>IFERROR(BC70/BR70*(BU70-BASELINE_CPR),0)</f>
        <v/>
      </c>
      <c r="CF70" s="13">
        <f>IFERROR(BD70/BR70*(BU70-BASELINE_CPR),0)</f>
        <v/>
      </c>
      <c r="CG70" s="13">
        <f>IFERROR(BE70/BR70*(BU70-BASELINE_CPR),0)</f>
        <v/>
      </c>
      <c r="CH70" s="13">
        <f>IFERROR(BF70/BR70*(BU70-BASELINE_CPR),0)</f>
        <v/>
      </c>
      <c r="CI70" s="13">
        <f>IFERROR(BG70/BR70*(BU70-BASELINE_CPR),0)</f>
        <v/>
      </c>
      <c r="CJ70" s="13">
        <f>IFERROR(BH70/BR70*(BU70-BASELINE_CPR),0)</f>
        <v/>
      </c>
      <c r="CK70" s="13">
        <f>IFERROR(BI70/BR70*(BU70-BASELINE_CPR),0)</f>
        <v/>
      </c>
      <c r="CL70" s="13">
        <f>IFERROR(BJ70/BR70*(BU70-BASELINE_CPR),0)</f>
        <v/>
      </c>
      <c r="CM70" s="13">
        <f>IFERROR(BK70/BR70*(BU70-BASELINE_CPR),0)</f>
        <v/>
      </c>
      <c r="CN70" s="13">
        <f>IFERROR(BL70/BR70*(BU70-BASELINE_CPR),0)</f>
        <v/>
      </c>
      <c r="CO70" s="13">
        <f>IFERROR(BM70/BR70*(BU70-BASELINE_CPR),0)</f>
        <v/>
      </c>
      <c r="CP70" s="13">
        <f>IFERROR(BN70/BR70*(BU70-BASELINE_CPR),0)</f>
        <v/>
      </c>
      <c r="CQ70" s="13">
        <f>IFERROR(BO70/BR70*(BU70-BASELINE_CPR),0)</f>
        <v/>
      </c>
      <c r="CR70" s="13">
        <f>IFERROR(BP70/BR70*(BU70-BASELINE_CPR),0)</f>
        <v/>
      </c>
      <c r="CS70" s="13">
        <f>IFERROR(BQ70/BR70*(BU70-BASELINE_CPR),0)</f>
        <v/>
      </c>
      <c r="CT70" s="29">
        <f>BASELINE_CPR+SUM(BV70:CS70)-BU70</f>
        <v/>
      </c>
    </row>
    <row r="71">
      <c r="A71" s="2" t="inlineStr">
        <is>
          <t>3617X5EB2_000000011311435</t>
        </is>
      </c>
      <c r="B71" t="inlineStr">
        <is>
          <t>WALKER_POST21</t>
        </is>
      </c>
      <c r="C71" s="2" t="inlineStr">
        <is>
          <t>3617X5EB2</t>
        </is>
      </c>
      <c r="D71" t="inlineStr">
        <is>
          <t>WALKER &amp; DUNLOP, LLC</t>
        </is>
      </c>
      <c r="E71" t="inlineStr">
        <is>
          <t>223f</t>
        </is>
      </c>
      <c r="F71" t="inlineStr">
        <is>
          <t>RP</t>
        </is>
      </c>
      <c r="G71" t="n">
        <v>2021</v>
      </c>
      <c r="H71" t="inlineStr">
        <is>
          <t>202602</t>
        </is>
      </c>
      <c r="I71" s="22" t="n">
        <v>17646196.84</v>
      </c>
      <c r="J71" s="23" t="n">
        <v>2.33</v>
      </c>
      <c r="K71" s="24" t="n">
        <v>447</v>
      </c>
      <c r="L71" s="24" t="n">
        <v>6</v>
      </c>
      <c r="M71" t="n">
        <v>51</v>
      </c>
      <c r="N71" t="n">
        <v>0</v>
      </c>
      <c r="O71" t="n">
        <v>205612</v>
      </c>
      <c r="P71" t="inlineStr"/>
      <c r="Q71" t="inlineStr">
        <is>
          <t>4080</t>
        </is>
      </c>
      <c r="R71" t="n">
        <v>0</v>
      </c>
      <c r="S71" t="n">
        <v>0</v>
      </c>
      <c r="T71" t="n">
        <v>0</v>
      </c>
      <c r="U71" t="n">
        <v>0</v>
      </c>
      <c r="V71" s="24">
        <f>J71*100-K71</f>
        <v/>
      </c>
      <c r="W71" s="24">
        <f>L71</f>
        <v/>
      </c>
      <c r="X71" s="25">
        <f>MIN(M71,36)</f>
        <v/>
      </c>
      <c r="Y71" s="25">
        <f>MIN(MAX(M71-36,0),84)</f>
        <v/>
      </c>
      <c r="Z71" s="25">
        <f>MAX(M71-120,0)</f>
        <v/>
      </c>
      <c r="AA71" s="25">
        <f>IF(OR(O71="",NOT(ISNUMBER(O71))),360,MAX(0,MIN(480,(INT(O71/100)-INT(VALUE(H71)/100))*12+MOD(O71,100)-MOD(VALUE(H71),100))))</f>
        <v/>
      </c>
      <c r="AB71">
        <f>IF(AND(AA71&gt;0,AA71&lt;=24),1,0)</f>
        <v/>
      </c>
      <c r="AC71" s="25">
        <f>IF(OR(P71="",NOT(ISNUMBER(P71))),0,MAX(0,MIN(24,(INT(VALUE(H71)/100)-INT(P71/100))*12+MOD(VALUE(H71),100)-MOD(P71,100))))</f>
        <v/>
      </c>
      <c r="AD71" s="23">
        <f>LN(1+I71)</f>
        <v/>
      </c>
      <c r="AE71">
        <f>IF(I71&lt;2000000,1,0)</f>
        <v/>
      </c>
      <c r="AF71">
        <f>IF(I71&gt;50000000,1,0)</f>
        <v/>
      </c>
      <c r="AG71" s="23">
        <f>IF(ISNUMBER(M71),N71/MAX(M71,1),0)</f>
        <v/>
      </c>
      <c r="AH71">
        <f>IF(G71&gt;=2021,1,0)</f>
        <v/>
      </c>
      <c r="AI71">
        <f>S71</f>
        <v/>
      </c>
      <c r="AJ71">
        <f>T71</f>
        <v/>
      </c>
      <c r="AK71">
        <f>R71</f>
        <v/>
      </c>
      <c r="AL71">
        <f>U71</f>
        <v/>
      </c>
      <c r="AM71">
        <f>IF(ISNUMBER(SEARCH("CAPITAL FUNDING",D71)),1,0)</f>
        <v/>
      </c>
      <c r="AN71">
        <f>IF(ISNUMBER(SEARCH("PNC",D71)),1,0)</f>
        <v/>
      </c>
      <c r="AO71">
        <f>IF(ISNUMBER(SEARCH("WELLS FARGO",D71)),1,0)</f>
        <v/>
      </c>
      <c r="AP71">
        <f>IF(ISNUMBER(SEARCH("DWIGHT",D71)),1,0)</f>
        <v/>
      </c>
      <c r="AQ71">
        <f>IF(ISNUMBER(SEARCH("GREYSTONE",D71)),1,0)</f>
        <v/>
      </c>
      <c r="AR71">
        <f>IF(OR(Q71="3896",Q71="3557"),1,0)</f>
        <v/>
      </c>
      <c r="AS71" s="24">
        <f>V71*W71</f>
        <v/>
      </c>
      <c r="AT71" s="26">
        <f>V$4*(V71-V$3)</f>
        <v/>
      </c>
      <c r="AU71" s="26">
        <f>W$4*(W71-W$3)</f>
        <v/>
      </c>
      <c r="AV71" s="26">
        <f>X$4*(X71-X$3)</f>
        <v/>
      </c>
      <c r="AW71" s="26">
        <f>Y$4*(Y71-Y$3)</f>
        <v/>
      </c>
      <c r="AX71" s="26">
        <f>Z$4*(Z71-Z$3)</f>
        <v/>
      </c>
      <c r="AY71" s="26">
        <f>AA$4*(AA71-AA$3)</f>
        <v/>
      </c>
      <c r="AZ71" s="26">
        <f>AB$4*(AB71-AB$3)</f>
        <v/>
      </c>
      <c r="BA71" s="26">
        <f>AC$4*(AC71-AC$3)</f>
        <v/>
      </c>
      <c r="BB71" s="26">
        <f>AD$4*(AD71-AD$3)</f>
        <v/>
      </c>
      <c r="BC71" s="26">
        <f>AE$4*(AE71-AE$3)</f>
        <v/>
      </c>
      <c r="BD71" s="26">
        <f>AF$4*(AF71-AF$3)</f>
        <v/>
      </c>
      <c r="BE71" s="26">
        <f>AG$4*(AG71-AG$3)</f>
        <v/>
      </c>
      <c r="BF71" s="26">
        <f>AH$4*(AH71-AH$3)</f>
        <v/>
      </c>
      <c r="BG71" s="26">
        <f>AI$4*(AI71-AI$3)</f>
        <v/>
      </c>
      <c r="BH71" s="26">
        <f>AJ$4*(AJ71-AJ$3)</f>
        <v/>
      </c>
      <c r="BI71" s="26">
        <f>AK$4*(AK71-AK$3)</f>
        <v/>
      </c>
      <c r="BJ71" s="26">
        <f>AL$4*(AL71-AL$3)</f>
        <v/>
      </c>
      <c r="BK71" s="26">
        <f>AM$4*(AM71-AM$3)</f>
        <v/>
      </c>
      <c r="BL71" s="26">
        <f>AN$4*(AN71-AN$3)</f>
        <v/>
      </c>
      <c r="BM71" s="26">
        <f>AO$4*(AO71-AO$3)</f>
        <v/>
      </c>
      <c r="BN71" s="26">
        <f>AP$4*(AP71-AP$3)</f>
        <v/>
      </c>
      <c r="BO71" s="26">
        <f>AQ$4*(AQ71-AQ$3)</f>
        <v/>
      </c>
      <c r="BP71" s="26">
        <f>AR$4*(AR71-AR$3)</f>
        <v/>
      </c>
      <c r="BQ71" s="26">
        <f>AS$4*(AS71-AS$3)</f>
        <v/>
      </c>
      <c r="BR71" s="27">
        <f>SUM(AT71:BQ71)</f>
        <v/>
      </c>
      <c r="BS71" s="27">
        <f>INTERCEPT_SCALED+BR71</f>
        <v/>
      </c>
      <c r="BT71" s="28">
        <f>1/(1+EXP(-BS71))</f>
        <v/>
      </c>
      <c r="BU71" s="13">
        <f>1-(1-BT71)^12</f>
        <v/>
      </c>
      <c r="BV71" s="13">
        <f>IFERROR(AT71/BR71*(BU71-BASELINE_CPR),0)</f>
        <v/>
      </c>
      <c r="BW71" s="13">
        <f>IFERROR(AU71/BR71*(BU71-BASELINE_CPR),0)</f>
        <v/>
      </c>
      <c r="BX71" s="13">
        <f>IFERROR(AV71/BR71*(BU71-BASELINE_CPR),0)</f>
        <v/>
      </c>
      <c r="BY71" s="13">
        <f>IFERROR(AW71/BR71*(BU71-BASELINE_CPR),0)</f>
        <v/>
      </c>
      <c r="BZ71" s="13">
        <f>IFERROR(AX71/BR71*(BU71-BASELINE_CPR),0)</f>
        <v/>
      </c>
      <c r="CA71" s="13">
        <f>IFERROR(AY71/BR71*(BU71-BASELINE_CPR),0)</f>
        <v/>
      </c>
      <c r="CB71" s="13">
        <f>IFERROR(AZ71/BR71*(BU71-BASELINE_CPR),0)</f>
        <v/>
      </c>
      <c r="CC71" s="13">
        <f>IFERROR(BA71/BR71*(BU71-BASELINE_CPR),0)</f>
        <v/>
      </c>
      <c r="CD71" s="13">
        <f>IFERROR(BB71/BR71*(BU71-BASELINE_CPR),0)</f>
        <v/>
      </c>
      <c r="CE71" s="13">
        <f>IFERROR(BC71/BR71*(BU71-BASELINE_CPR),0)</f>
        <v/>
      </c>
      <c r="CF71" s="13">
        <f>IFERROR(BD71/BR71*(BU71-BASELINE_CPR),0)</f>
        <v/>
      </c>
      <c r="CG71" s="13">
        <f>IFERROR(BE71/BR71*(BU71-BASELINE_CPR),0)</f>
        <v/>
      </c>
      <c r="CH71" s="13">
        <f>IFERROR(BF71/BR71*(BU71-BASELINE_CPR),0)</f>
        <v/>
      </c>
      <c r="CI71" s="13">
        <f>IFERROR(BG71/BR71*(BU71-BASELINE_CPR),0)</f>
        <v/>
      </c>
      <c r="CJ71" s="13">
        <f>IFERROR(BH71/BR71*(BU71-BASELINE_CPR),0)</f>
        <v/>
      </c>
      <c r="CK71" s="13">
        <f>IFERROR(BI71/BR71*(BU71-BASELINE_CPR),0)</f>
        <v/>
      </c>
      <c r="CL71" s="13">
        <f>IFERROR(BJ71/BR71*(BU71-BASELINE_CPR),0)</f>
        <v/>
      </c>
      <c r="CM71" s="13">
        <f>IFERROR(BK71/BR71*(BU71-BASELINE_CPR),0)</f>
        <v/>
      </c>
      <c r="CN71" s="13">
        <f>IFERROR(BL71/BR71*(BU71-BASELINE_CPR),0)</f>
        <v/>
      </c>
      <c r="CO71" s="13">
        <f>IFERROR(BM71/BR71*(BU71-BASELINE_CPR),0)</f>
        <v/>
      </c>
      <c r="CP71" s="13">
        <f>IFERROR(BN71/BR71*(BU71-BASELINE_CPR),0)</f>
        <v/>
      </c>
      <c r="CQ71" s="13">
        <f>IFERROR(BO71/BR71*(BU71-BASELINE_CPR),0)</f>
        <v/>
      </c>
      <c r="CR71" s="13">
        <f>IFERROR(BP71/BR71*(BU71-BASELINE_CPR),0)</f>
        <v/>
      </c>
      <c r="CS71" s="13">
        <f>IFERROR(BQ71/BR71*(BU71-BASELINE_CPR),0)</f>
        <v/>
      </c>
      <c r="CT71" s="29">
        <f>BASELINE_CPR+SUM(BV71:CS71)-BU71</f>
        <v/>
      </c>
    </row>
    <row r="72">
      <c r="A72" s="2" t="inlineStr">
        <is>
          <t>3617UQNP8_000000005111489</t>
        </is>
      </c>
      <c r="B72" t="inlineStr">
        <is>
          <t>WALKER_POST21</t>
        </is>
      </c>
      <c r="C72" s="2" t="inlineStr">
        <is>
          <t>3617UQNP8</t>
        </is>
      </c>
      <c r="D72" t="inlineStr">
        <is>
          <t>WALKER &amp; DUNLOP, LLC</t>
        </is>
      </c>
      <c r="E72" t="inlineStr">
        <is>
          <t>223a7</t>
        </is>
      </c>
      <c r="F72" t="inlineStr">
        <is>
          <t>RP</t>
        </is>
      </c>
      <c r="G72" t="n">
        <v>2021</v>
      </c>
      <c r="H72" t="inlineStr">
        <is>
          <t>202602</t>
        </is>
      </c>
      <c r="I72" s="22" t="n">
        <v>5985368.08</v>
      </c>
      <c r="J72" s="23" t="n">
        <v>2.29</v>
      </c>
      <c r="K72" s="24" t="n">
        <v>447</v>
      </c>
      <c r="L72" s="24" t="n">
        <v>6</v>
      </c>
      <c r="M72" t="n">
        <v>60</v>
      </c>
      <c r="N72" t="n">
        <v>0</v>
      </c>
      <c r="O72" t="n">
        <v>205103</v>
      </c>
      <c r="P72" t="inlineStr"/>
      <c r="Q72" t="inlineStr">
        <is>
          <t>4080</t>
        </is>
      </c>
      <c r="R72" t="n">
        <v>0</v>
      </c>
      <c r="S72" t="n">
        <v>1</v>
      </c>
      <c r="T72" t="n">
        <v>0</v>
      </c>
      <c r="U72" t="n">
        <v>0</v>
      </c>
      <c r="V72" s="24">
        <f>J72*100-K72</f>
        <v/>
      </c>
      <c r="W72" s="24">
        <f>L72</f>
        <v/>
      </c>
      <c r="X72" s="25">
        <f>MIN(M72,36)</f>
        <v/>
      </c>
      <c r="Y72" s="25">
        <f>MIN(MAX(M72-36,0),84)</f>
        <v/>
      </c>
      <c r="Z72" s="25">
        <f>MAX(M72-120,0)</f>
        <v/>
      </c>
      <c r="AA72" s="25">
        <f>IF(OR(O72="",NOT(ISNUMBER(O72))),360,MAX(0,MIN(480,(INT(O72/100)-INT(VALUE(H72)/100))*12+MOD(O72,100)-MOD(VALUE(H72),100))))</f>
        <v/>
      </c>
      <c r="AB72">
        <f>IF(AND(AA72&gt;0,AA72&lt;=24),1,0)</f>
        <v/>
      </c>
      <c r="AC72" s="25">
        <f>IF(OR(P72="",NOT(ISNUMBER(P72))),0,MAX(0,MIN(24,(INT(VALUE(H72)/100)-INT(P72/100))*12+MOD(VALUE(H72),100)-MOD(P72,100))))</f>
        <v/>
      </c>
      <c r="AD72" s="23">
        <f>LN(1+I72)</f>
        <v/>
      </c>
      <c r="AE72">
        <f>IF(I72&lt;2000000,1,0)</f>
        <v/>
      </c>
      <c r="AF72">
        <f>IF(I72&gt;50000000,1,0)</f>
        <v/>
      </c>
      <c r="AG72" s="23">
        <f>IF(ISNUMBER(M72),N72/MAX(M72,1),0)</f>
        <v/>
      </c>
      <c r="AH72">
        <f>IF(G72&gt;=2021,1,0)</f>
        <v/>
      </c>
      <c r="AI72">
        <f>S72</f>
        <v/>
      </c>
      <c r="AJ72">
        <f>T72</f>
        <v/>
      </c>
      <c r="AK72">
        <f>R72</f>
        <v/>
      </c>
      <c r="AL72">
        <f>U72</f>
        <v/>
      </c>
      <c r="AM72">
        <f>IF(ISNUMBER(SEARCH("CAPITAL FUNDING",D72)),1,0)</f>
        <v/>
      </c>
      <c r="AN72">
        <f>IF(ISNUMBER(SEARCH("PNC",D72)),1,0)</f>
        <v/>
      </c>
      <c r="AO72">
        <f>IF(ISNUMBER(SEARCH("WELLS FARGO",D72)),1,0)</f>
        <v/>
      </c>
      <c r="AP72">
        <f>IF(ISNUMBER(SEARCH("DWIGHT",D72)),1,0)</f>
        <v/>
      </c>
      <c r="AQ72">
        <f>IF(ISNUMBER(SEARCH("GREYSTONE",D72)),1,0)</f>
        <v/>
      </c>
      <c r="AR72">
        <f>IF(OR(Q72="3896",Q72="3557"),1,0)</f>
        <v/>
      </c>
      <c r="AS72" s="24">
        <f>V72*W72</f>
        <v/>
      </c>
      <c r="AT72" s="26">
        <f>V$4*(V72-V$3)</f>
        <v/>
      </c>
      <c r="AU72" s="26">
        <f>W$4*(W72-W$3)</f>
        <v/>
      </c>
      <c r="AV72" s="26">
        <f>X$4*(X72-X$3)</f>
        <v/>
      </c>
      <c r="AW72" s="26">
        <f>Y$4*(Y72-Y$3)</f>
        <v/>
      </c>
      <c r="AX72" s="26">
        <f>Z$4*(Z72-Z$3)</f>
        <v/>
      </c>
      <c r="AY72" s="26">
        <f>AA$4*(AA72-AA$3)</f>
        <v/>
      </c>
      <c r="AZ72" s="26">
        <f>AB$4*(AB72-AB$3)</f>
        <v/>
      </c>
      <c r="BA72" s="26">
        <f>AC$4*(AC72-AC$3)</f>
        <v/>
      </c>
      <c r="BB72" s="26">
        <f>AD$4*(AD72-AD$3)</f>
        <v/>
      </c>
      <c r="BC72" s="26">
        <f>AE$4*(AE72-AE$3)</f>
        <v/>
      </c>
      <c r="BD72" s="26">
        <f>AF$4*(AF72-AF$3)</f>
        <v/>
      </c>
      <c r="BE72" s="26">
        <f>AG$4*(AG72-AG$3)</f>
        <v/>
      </c>
      <c r="BF72" s="26">
        <f>AH$4*(AH72-AH$3)</f>
        <v/>
      </c>
      <c r="BG72" s="26">
        <f>AI$4*(AI72-AI$3)</f>
        <v/>
      </c>
      <c r="BH72" s="26">
        <f>AJ$4*(AJ72-AJ$3)</f>
        <v/>
      </c>
      <c r="BI72" s="26">
        <f>AK$4*(AK72-AK$3)</f>
        <v/>
      </c>
      <c r="BJ72" s="26">
        <f>AL$4*(AL72-AL$3)</f>
        <v/>
      </c>
      <c r="BK72" s="26">
        <f>AM$4*(AM72-AM$3)</f>
        <v/>
      </c>
      <c r="BL72" s="26">
        <f>AN$4*(AN72-AN$3)</f>
        <v/>
      </c>
      <c r="BM72" s="26">
        <f>AO$4*(AO72-AO$3)</f>
        <v/>
      </c>
      <c r="BN72" s="26">
        <f>AP$4*(AP72-AP$3)</f>
        <v/>
      </c>
      <c r="BO72" s="26">
        <f>AQ$4*(AQ72-AQ$3)</f>
        <v/>
      </c>
      <c r="BP72" s="26">
        <f>AR$4*(AR72-AR$3)</f>
        <v/>
      </c>
      <c r="BQ72" s="26">
        <f>AS$4*(AS72-AS$3)</f>
        <v/>
      </c>
      <c r="BR72" s="27">
        <f>SUM(AT72:BQ72)</f>
        <v/>
      </c>
      <c r="BS72" s="27">
        <f>INTERCEPT_SCALED+BR72</f>
        <v/>
      </c>
      <c r="BT72" s="28">
        <f>1/(1+EXP(-BS72))</f>
        <v/>
      </c>
      <c r="BU72" s="13">
        <f>1-(1-BT72)^12</f>
        <v/>
      </c>
      <c r="BV72" s="13">
        <f>IFERROR(AT72/BR72*(BU72-BASELINE_CPR),0)</f>
        <v/>
      </c>
      <c r="BW72" s="13">
        <f>IFERROR(AU72/BR72*(BU72-BASELINE_CPR),0)</f>
        <v/>
      </c>
      <c r="BX72" s="13">
        <f>IFERROR(AV72/BR72*(BU72-BASELINE_CPR),0)</f>
        <v/>
      </c>
      <c r="BY72" s="13">
        <f>IFERROR(AW72/BR72*(BU72-BASELINE_CPR),0)</f>
        <v/>
      </c>
      <c r="BZ72" s="13">
        <f>IFERROR(AX72/BR72*(BU72-BASELINE_CPR),0)</f>
        <v/>
      </c>
      <c r="CA72" s="13">
        <f>IFERROR(AY72/BR72*(BU72-BASELINE_CPR),0)</f>
        <v/>
      </c>
      <c r="CB72" s="13">
        <f>IFERROR(AZ72/BR72*(BU72-BASELINE_CPR),0)</f>
        <v/>
      </c>
      <c r="CC72" s="13">
        <f>IFERROR(BA72/BR72*(BU72-BASELINE_CPR),0)</f>
        <v/>
      </c>
      <c r="CD72" s="13">
        <f>IFERROR(BB72/BR72*(BU72-BASELINE_CPR),0)</f>
        <v/>
      </c>
      <c r="CE72" s="13">
        <f>IFERROR(BC72/BR72*(BU72-BASELINE_CPR),0)</f>
        <v/>
      </c>
      <c r="CF72" s="13">
        <f>IFERROR(BD72/BR72*(BU72-BASELINE_CPR),0)</f>
        <v/>
      </c>
      <c r="CG72" s="13">
        <f>IFERROR(BE72/BR72*(BU72-BASELINE_CPR),0)</f>
        <v/>
      </c>
      <c r="CH72" s="13">
        <f>IFERROR(BF72/BR72*(BU72-BASELINE_CPR),0)</f>
        <v/>
      </c>
      <c r="CI72" s="13">
        <f>IFERROR(BG72/BR72*(BU72-BASELINE_CPR),0)</f>
        <v/>
      </c>
      <c r="CJ72" s="13">
        <f>IFERROR(BH72/BR72*(BU72-BASELINE_CPR),0)</f>
        <v/>
      </c>
      <c r="CK72" s="13">
        <f>IFERROR(BI72/BR72*(BU72-BASELINE_CPR),0)</f>
        <v/>
      </c>
      <c r="CL72" s="13">
        <f>IFERROR(BJ72/BR72*(BU72-BASELINE_CPR),0)</f>
        <v/>
      </c>
      <c r="CM72" s="13">
        <f>IFERROR(BK72/BR72*(BU72-BASELINE_CPR),0)</f>
        <v/>
      </c>
      <c r="CN72" s="13">
        <f>IFERROR(BL72/BR72*(BU72-BASELINE_CPR),0)</f>
        <v/>
      </c>
      <c r="CO72" s="13">
        <f>IFERROR(BM72/BR72*(BU72-BASELINE_CPR),0)</f>
        <v/>
      </c>
      <c r="CP72" s="13">
        <f>IFERROR(BN72/BR72*(BU72-BASELINE_CPR),0)</f>
        <v/>
      </c>
      <c r="CQ72" s="13">
        <f>IFERROR(BO72/BR72*(BU72-BASELINE_CPR),0)</f>
        <v/>
      </c>
      <c r="CR72" s="13">
        <f>IFERROR(BP72/BR72*(BU72-BASELINE_CPR),0)</f>
        <v/>
      </c>
      <c r="CS72" s="13">
        <f>IFERROR(BQ72/BR72*(BU72-BASELINE_CPR),0)</f>
        <v/>
      </c>
      <c r="CT72" s="29">
        <f>BASELINE_CPR+SUM(BV72:CS72)-BU72</f>
        <v/>
      </c>
    </row>
    <row r="73">
      <c r="A73" s="2" t="inlineStr">
        <is>
          <t>3620ANPX2_000000004322064</t>
        </is>
      </c>
      <c r="B73" t="inlineStr">
        <is>
          <t>WALKER_PRE21</t>
        </is>
      </c>
      <c r="C73" s="2" t="inlineStr">
        <is>
          <t>3620ANPX2</t>
        </is>
      </c>
      <c r="D73" t="inlineStr">
        <is>
          <t>WALKER &amp; DUNLOP, LLC</t>
        </is>
      </c>
      <c r="E73" t="inlineStr">
        <is>
          <t>232</t>
        </is>
      </c>
      <c r="F73" t="inlineStr">
        <is>
          <t>RP</t>
        </is>
      </c>
      <c r="G73" t="n">
        <v>2011</v>
      </c>
      <c r="H73" t="inlineStr">
        <is>
          <t>202602</t>
        </is>
      </c>
      <c r="I73" s="22" t="n">
        <v>4469240.88</v>
      </c>
      <c r="J73" s="23" t="n">
        <v>3.73</v>
      </c>
      <c r="K73" s="24" t="n">
        <v>447</v>
      </c>
      <c r="L73" s="24" t="n">
        <v>0</v>
      </c>
      <c r="M73" t="n">
        <v>172</v>
      </c>
      <c r="N73" t="n">
        <v>38</v>
      </c>
      <c r="O73" t="n">
        <v>204611</v>
      </c>
      <c r="P73" t="n">
        <v>201312</v>
      </c>
      <c r="Q73" t="inlineStr">
        <is>
          <t>4080</t>
        </is>
      </c>
      <c r="R73" t="n">
        <v>1</v>
      </c>
      <c r="S73" t="n">
        <v>0</v>
      </c>
      <c r="T73" t="n">
        <v>0</v>
      </c>
      <c r="U73" t="n">
        <v>0</v>
      </c>
      <c r="V73" s="24">
        <f>J73*100-K73</f>
        <v/>
      </c>
      <c r="W73" s="24">
        <f>L73</f>
        <v/>
      </c>
      <c r="X73" s="25">
        <f>MIN(M73,36)</f>
        <v/>
      </c>
      <c r="Y73" s="25">
        <f>MIN(MAX(M73-36,0),84)</f>
        <v/>
      </c>
      <c r="Z73" s="25">
        <f>MAX(M73-120,0)</f>
        <v/>
      </c>
      <c r="AA73" s="25">
        <f>IF(OR(O73="",NOT(ISNUMBER(O73))),360,MAX(0,MIN(480,(INT(O73/100)-INT(VALUE(H73)/100))*12+MOD(O73,100)-MOD(VALUE(H73),100))))</f>
        <v/>
      </c>
      <c r="AB73">
        <f>IF(AND(AA73&gt;0,AA73&lt;=24),1,0)</f>
        <v/>
      </c>
      <c r="AC73" s="25">
        <f>IF(OR(P73="",NOT(ISNUMBER(P73))),0,MAX(0,MIN(24,(INT(VALUE(H73)/100)-INT(P73/100))*12+MOD(VALUE(H73),100)-MOD(P73,100))))</f>
        <v/>
      </c>
      <c r="AD73" s="23">
        <f>LN(1+I73)</f>
        <v/>
      </c>
      <c r="AE73">
        <f>IF(I73&lt;2000000,1,0)</f>
        <v/>
      </c>
      <c r="AF73">
        <f>IF(I73&gt;50000000,1,0)</f>
        <v/>
      </c>
      <c r="AG73" s="23">
        <f>IF(ISNUMBER(M73),N73/MAX(M73,1),0)</f>
        <v/>
      </c>
      <c r="AH73">
        <f>IF(G73&gt;=2021,1,0)</f>
        <v/>
      </c>
      <c r="AI73">
        <f>S73</f>
        <v/>
      </c>
      <c r="AJ73">
        <f>T73</f>
        <v/>
      </c>
      <c r="AK73">
        <f>R73</f>
        <v/>
      </c>
      <c r="AL73">
        <f>U73</f>
        <v/>
      </c>
      <c r="AM73">
        <f>IF(ISNUMBER(SEARCH("CAPITAL FUNDING",D73)),1,0)</f>
        <v/>
      </c>
      <c r="AN73">
        <f>IF(ISNUMBER(SEARCH("PNC",D73)),1,0)</f>
        <v/>
      </c>
      <c r="AO73">
        <f>IF(ISNUMBER(SEARCH("WELLS FARGO",D73)),1,0)</f>
        <v/>
      </c>
      <c r="AP73">
        <f>IF(ISNUMBER(SEARCH("DWIGHT",D73)),1,0)</f>
        <v/>
      </c>
      <c r="AQ73">
        <f>IF(ISNUMBER(SEARCH("GREYSTONE",D73)),1,0)</f>
        <v/>
      </c>
      <c r="AR73">
        <f>IF(OR(Q73="3896",Q73="3557"),1,0)</f>
        <v/>
      </c>
      <c r="AS73" s="24">
        <f>V73*W73</f>
        <v/>
      </c>
      <c r="AT73" s="26">
        <f>V$4*(V73-V$3)</f>
        <v/>
      </c>
      <c r="AU73" s="26">
        <f>W$4*(W73-W$3)</f>
        <v/>
      </c>
      <c r="AV73" s="26">
        <f>X$4*(X73-X$3)</f>
        <v/>
      </c>
      <c r="AW73" s="26">
        <f>Y$4*(Y73-Y$3)</f>
        <v/>
      </c>
      <c r="AX73" s="26">
        <f>Z$4*(Z73-Z$3)</f>
        <v/>
      </c>
      <c r="AY73" s="26">
        <f>AA$4*(AA73-AA$3)</f>
        <v/>
      </c>
      <c r="AZ73" s="26">
        <f>AB$4*(AB73-AB$3)</f>
        <v/>
      </c>
      <c r="BA73" s="26">
        <f>AC$4*(AC73-AC$3)</f>
        <v/>
      </c>
      <c r="BB73" s="26">
        <f>AD$4*(AD73-AD$3)</f>
        <v/>
      </c>
      <c r="BC73" s="26">
        <f>AE$4*(AE73-AE$3)</f>
        <v/>
      </c>
      <c r="BD73" s="26">
        <f>AF$4*(AF73-AF$3)</f>
        <v/>
      </c>
      <c r="BE73" s="26">
        <f>AG$4*(AG73-AG$3)</f>
        <v/>
      </c>
      <c r="BF73" s="26">
        <f>AH$4*(AH73-AH$3)</f>
        <v/>
      </c>
      <c r="BG73" s="26">
        <f>AI$4*(AI73-AI$3)</f>
        <v/>
      </c>
      <c r="BH73" s="26">
        <f>AJ$4*(AJ73-AJ$3)</f>
        <v/>
      </c>
      <c r="BI73" s="26">
        <f>AK$4*(AK73-AK$3)</f>
        <v/>
      </c>
      <c r="BJ73" s="26">
        <f>AL$4*(AL73-AL$3)</f>
        <v/>
      </c>
      <c r="BK73" s="26">
        <f>AM$4*(AM73-AM$3)</f>
        <v/>
      </c>
      <c r="BL73" s="26">
        <f>AN$4*(AN73-AN$3)</f>
        <v/>
      </c>
      <c r="BM73" s="26">
        <f>AO$4*(AO73-AO$3)</f>
        <v/>
      </c>
      <c r="BN73" s="26">
        <f>AP$4*(AP73-AP$3)</f>
        <v/>
      </c>
      <c r="BO73" s="26">
        <f>AQ$4*(AQ73-AQ$3)</f>
        <v/>
      </c>
      <c r="BP73" s="26">
        <f>AR$4*(AR73-AR$3)</f>
        <v/>
      </c>
      <c r="BQ73" s="26">
        <f>AS$4*(AS73-AS$3)</f>
        <v/>
      </c>
      <c r="BR73" s="27">
        <f>SUM(AT73:BQ73)</f>
        <v/>
      </c>
      <c r="BS73" s="27">
        <f>INTERCEPT_SCALED+BR73</f>
        <v/>
      </c>
      <c r="BT73" s="28">
        <f>1/(1+EXP(-BS73))</f>
        <v/>
      </c>
      <c r="BU73" s="13">
        <f>1-(1-BT73)^12</f>
        <v/>
      </c>
      <c r="BV73" s="13">
        <f>IFERROR(AT73/BR73*(BU73-BASELINE_CPR),0)</f>
        <v/>
      </c>
      <c r="BW73" s="13">
        <f>IFERROR(AU73/BR73*(BU73-BASELINE_CPR),0)</f>
        <v/>
      </c>
      <c r="BX73" s="13">
        <f>IFERROR(AV73/BR73*(BU73-BASELINE_CPR),0)</f>
        <v/>
      </c>
      <c r="BY73" s="13">
        <f>IFERROR(AW73/BR73*(BU73-BASELINE_CPR),0)</f>
        <v/>
      </c>
      <c r="BZ73" s="13">
        <f>IFERROR(AX73/BR73*(BU73-BASELINE_CPR),0)</f>
        <v/>
      </c>
      <c r="CA73" s="13">
        <f>IFERROR(AY73/BR73*(BU73-BASELINE_CPR),0)</f>
        <v/>
      </c>
      <c r="CB73" s="13">
        <f>IFERROR(AZ73/BR73*(BU73-BASELINE_CPR),0)</f>
        <v/>
      </c>
      <c r="CC73" s="13">
        <f>IFERROR(BA73/BR73*(BU73-BASELINE_CPR),0)</f>
        <v/>
      </c>
      <c r="CD73" s="13">
        <f>IFERROR(BB73/BR73*(BU73-BASELINE_CPR),0)</f>
        <v/>
      </c>
      <c r="CE73" s="13">
        <f>IFERROR(BC73/BR73*(BU73-BASELINE_CPR),0)</f>
        <v/>
      </c>
      <c r="CF73" s="13">
        <f>IFERROR(BD73/BR73*(BU73-BASELINE_CPR),0)</f>
        <v/>
      </c>
      <c r="CG73" s="13">
        <f>IFERROR(BE73/BR73*(BU73-BASELINE_CPR),0)</f>
        <v/>
      </c>
      <c r="CH73" s="13">
        <f>IFERROR(BF73/BR73*(BU73-BASELINE_CPR),0)</f>
        <v/>
      </c>
      <c r="CI73" s="13">
        <f>IFERROR(BG73/BR73*(BU73-BASELINE_CPR),0)</f>
        <v/>
      </c>
      <c r="CJ73" s="13">
        <f>IFERROR(BH73/BR73*(BU73-BASELINE_CPR),0)</f>
        <v/>
      </c>
      <c r="CK73" s="13">
        <f>IFERROR(BI73/BR73*(BU73-BASELINE_CPR),0)</f>
        <v/>
      </c>
      <c r="CL73" s="13">
        <f>IFERROR(BJ73/BR73*(BU73-BASELINE_CPR),0)</f>
        <v/>
      </c>
      <c r="CM73" s="13">
        <f>IFERROR(BK73/BR73*(BU73-BASELINE_CPR),0)</f>
        <v/>
      </c>
      <c r="CN73" s="13">
        <f>IFERROR(BL73/BR73*(BU73-BASELINE_CPR),0)</f>
        <v/>
      </c>
      <c r="CO73" s="13">
        <f>IFERROR(BM73/BR73*(BU73-BASELINE_CPR),0)</f>
        <v/>
      </c>
      <c r="CP73" s="13">
        <f>IFERROR(BN73/BR73*(BU73-BASELINE_CPR),0)</f>
        <v/>
      </c>
      <c r="CQ73" s="13">
        <f>IFERROR(BO73/BR73*(BU73-BASELINE_CPR),0)</f>
        <v/>
      </c>
      <c r="CR73" s="13">
        <f>IFERROR(BP73/BR73*(BU73-BASELINE_CPR),0)</f>
        <v/>
      </c>
      <c r="CS73" s="13">
        <f>IFERROR(BQ73/BR73*(BU73-BASELINE_CPR),0)</f>
        <v/>
      </c>
      <c r="CT73" s="29">
        <f>BASELINE_CPR+SUM(BV73:CS73)-BU73</f>
        <v/>
      </c>
    </row>
    <row r="74">
      <c r="A74" s="2" t="inlineStr">
        <is>
          <t>36195LZX3_000000004722066</t>
        </is>
      </c>
      <c r="B74" t="inlineStr">
        <is>
          <t>WALKER_PRE21</t>
        </is>
      </c>
      <c r="C74" s="2" t="inlineStr">
        <is>
          <t>36195LZX3</t>
        </is>
      </c>
      <c r="D74" t="inlineStr">
        <is>
          <t>WALKER &amp; DUNLOP, LLC</t>
        </is>
      </c>
      <c r="E74" t="inlineStr">
        <is>
          <t>232</t>
        </is>
      </c>
      <c r="F74" t="inlineStr">
        <is>
          <t>RP</t>
        </is>
      </c>
      <c r="G74" t="n">
        <v>2011</v>
      </c>
      <c r="H74" t="inlineStr">
        <is>
          <t>202602</t>
        </is>
      </c>
      <c r="I74" s="22" t="n">
        <v>1687095.6</v>
      </c>
      <c r="J74" s="23" t="n">
        <v>3.58</v>
      </c>
      <c r="K74" s="24" t="n">
        <v>447</v>
      </c>
      <c r="L74" s="24" t="n">
        <v>1</v>
      </c>
      <c r="M74" t="n">
        <v>176</v>
      </c>
      <c r="N74" t="n">
        <v>27</v>
      </c>
      <c r="O74" t="n">
        <v>204107</v>
      </c>
      <c r="P74" t="inlineStr"/>
      <c r="Q74" t="inlineStr">
        <is>
          <t>4080</t>
        </is>
      </c>
      <c r="R74" t="n">
        <v>1</v>
      </c>
      <c r="S74" t="n">
        <v>0</v>
      </c>
      <c r="T74" t="n">
        <v>0</v>
      </c>
      <c r="U74" t="n">
        <v>0</v>
      </c>
      <c r="V74" s="24">
        <f>J74*100-K74</f>
        <v/>
      </c>
      <c r="W74" s="24">
        <f>L74</f>
        <v/>
      </c>
      <c r="X74" s="25">
        <f>MIN(M74,36)</f>
        <v/>
      </c>
      <c r="Y74" s="25">
        <f>MIN(MAX(M74-36,0),84)</f>
        <v/>
      </c>
      <c r="Z74" s="25">
        <f>MAX(M74-120,0)</f>
        <v/>
      </c>
      <c r="AA74" s="25">
        <f>IF(OR(O74="",NOT(ISNUMBER(O74))),360,MAX(0,MIN(480,(INT(O74/100)-INT(VALUE(H74)/100))*12+MOD(O74,100)-MOD(VALUE(H74),100))))</f>
        <v/>
      </c>
      <c r="AB74">
        <f>IF(AND(AA74&gt;0,AA74&lt;=24),1,0)</f>
        <v/>
      </c>
      <c r="AC74" s="25">
        <f>IF(OR(P74="",NOT(ISNUMBER(P74))),0,MAX(0,MIN(24,(INT(VALUE(H74)/100)-INT(P74/100))*12+MOD(VALUE(H74),100)-MOD(P74,100))))</f>
        <v/>
      </c>
      <c r="AD74" s="23">
        <f>LN(1+I74)</f>
        <v/>
      </c>
      <c r="AE74">
        <f>IF(I74&lt;2000000,1,0)</f>
        <v/>
      </c>
      <c r="AF74">
        <f>IF(I74&gt;50000000,1,0)</f>
        <v/>
      </c>
      <c r="AG74" s="23">
        <f>IF(ISNUMBER(M74),N74/MAX(M74,1),0)</f>
        <v/>
      </c>
      <c r="AH74">
        <f>IF(G74&gt;=2021,1,0)</f>
        <v/>
      </c>
      <c r="AI74">
        <f>S74</f>
        <v/>
      </c>
      <c r="AJ74">
        <f>T74</f>
        <v/>
      </c>
      <c r="AK74">
        <f>R74</f>
        <v/>
      </c>
      <c r="AL74">
        <f>U74</f>
        <v/>
      </c>
      <c r="AM74">
        <f>IF(ISNUMBER(SEARCH("CAPITAL FUNDING",D74)),1,0)</f>
        <v/>
      </c>
      <c r="AN74">
        <f>IF(ISNUMBER(SEARCH("PNC",D74)),1,0)</f>
        <v/>
      </c>
      <c r="AO74">
        <f>IF(ISNUMBER(SEARCH("WELLS FARGO",D74)),1,0)</f>
        <v/>
      </c>
      <c r="AP74">
        <f>IF(ISNUMBER(SEARCH("DWIGHT",D74)),1,0)</f>
        <v/>
      </c>
      <c r="AQ74">
        <f>IF(ISNUMBER(SEARCH("GREYSTONE",D74)),1,0)</f>
        <v/>
      </c>
      <c r="AR74">
        <f>IF(OR(Q74="3896",Q74="3557"),1,0)</f>
        <v/>
      </c>
      <c r="AS74" s="24">
        <f>V74*W74</f>
        <v/>
      </c>
      <c r="AT74" s="26">
        <f>V$4*(V74-V$3)</f>
        <v/>
      </c>
      <c r="AU74" s="26">
        <f>W$4*(W74-W$3)</f>
        <v/>
      </c>
      <c r="AV74" s="26">
        <f>X$4*(X74-X$3)</f>
        <v/>
      </c>
      <c r="AW74" s="26">
        <f>Y$4*(Y74-Y$3)</f>
        <v/>
      </c>
      <c r="AX74" s="26">
        <f>Z$4*(Z74-Z$3)</f>
        <v/>
      </c>
      <c r="AY74" s="26">
        <f>AA$4*(AA74-AA$3)</f>
        <v/>
      </c>
      <c r="AZ74" s="26">
        <f>AB$4*(AB74-AB$3)</f>
        <v/>
      </c>
      <c r="BA74" s="26">
        <f>AC$4*(AC74-AC$3)</f>
        <v/>
      </c>
      <c r="BB74" s="26">
        <f>AD$4*(AD74-AD$3)</f>
        <v/>
      </c>
      <c r="BC74" s="26">
        <f>AE$4*(AE74-AE$3)</f>
        <v/>
      </c>
      <c r="BD74" s="26">
        <f>AF$4*(AF74-AF$3)</f>
        <v/>
      </c>
      <c r="BE74" s="26">
        <f>AG$4*(AG74-AG$3)</f>
        <v/>
      </c>
      <c r="BF74" s="26">
        <f>AH$4*(AH74-AH$3)</f>
        <v/>
      </c>
      <c r="BG74" s="26">
        <f>AI$4*(AI74-AI$3)</f>
        <v/>
      </c>
      <c r="BH74" s="26">
        <f>AJ$4*(AJ74-AJ$3)</f>
        <v/>
      </c>
      <c r="BI74" s="26">
        <f>AK$4*(AK74-AK$3)</f>
        <v/>
      </c>
      <c r="BJ74" s="26">
        <f>AL$4*(AL74-AL$3)</f>
        <v/>
      </c>
      <c r="BK74" s="26">
        <f>AM$4*(AM74-AM$3)</f>
        <v/>
      </c>
      <c r="BL74" s="26">
        <f>AN$4*(AN74-AN$3)</f>
        <v/>
      </c>
      <c r="BM74" s="26">
        <f>AO$4*(AO74-AO$3)</f>
        <v/>
      </c>
      <c r="BN74" s="26">
        <f>AP$4*(AP74-AP$3)</f>
        <v/>
      </c>
      <c r="BO74" s="26">
        <f>AQ$4*(AQ74-AQ$3)</f>
        <v/>
      </c>
      <c r="BP74" s="26">
        <f>AR$4*(AR74-AR$3)</f>
        <v/>
      </c>
      <c r="BQ74" s="26">
        <f>AS$4*(AS74-AS$3)</f>
        <v/>
      </c>
      <c r="BR74" s="27">
        <f>SUM(AT74:BQ74)</f>
        <v/>
      </c>
      <c r="BS74" s="27">
        <f>INTERCEPT_SCALED+BR74</f>
        <v/>
      </c>
      <c r="BT74" s="28">
        <f>1/(1+EXP(-BS74))</f>
        <v/>
      </c>
      <c r="BU74" s="13">
        <f>1-(1-BT74)^12</f>
        <v/>
      </c>
      <c r="BV74" s="13">
        <f>IFERROR(AT74/BR74*(BU74-BASELINE_CPR),0)</f>
        <v/>
      </c>
      <c r="BW74" s="13">
        <f>IFERROR(AU74/BR74*(BU74-BASELINE_CPR),0)</f>
        <v/>
      </c>
      <c r="BX74" s="13">
        <f>IFERROR(AV74/BR74*(BU74-BASELINE_CPR),0)</f>
        <v/>
      </c>
      <c r="BY74" s="13">
        <f>IFERROR(AW74/BR74*(BU74-BASELINE_CPR),0)</f>
        <v/>
      </c>
      <c r="BZ74" s="13">
        <f>IFERROR(AX74/BR74*(BU74-BASELINE_CPR),0)</f>
        <v/>
      </c>
      <c r="CA74" s="13">
        <f>IFERROR(AY74/BR74*(BU74-BASELINE_CPR),0)</f>
        <v/>
      </c>
      <c r="CB74" s="13">
        <f>IFERROR(AZ74/BR74*(BU74-BASELINE_CPR),0)</f>
        <v/>
      </c>
      <c r="CC74" s="13">
        <f>IFERROR(BA74/BR74*(BU74-BASELINE_CPR),0)</f>
        <v/>
      </c>
      <c r="CD74" s="13">
        <f>IFERROR(BB74/BR74*(BU74-BASELINE_CPR),0)</f>
        <v/>
      </c>
      <c r="CE74" s="13">
        <f>IFERROR(BC74/BR74*(BU74-BASELINE_CPR),0)</f>
        <v/>
      </c>
      <c r="CF74" s="13">
        <f>IFERROR(BD74/BR74*(BU74-BASELINE_CPR),0)</f>
        <v/>
      </c>
      <c r="CG74" s="13">
        <f>IFERROR(BE74/BR74*(BU74-BASELINE_CPR),0)</f>
        <v/>
      </c>
      <c r="CH74" s="13">
        <f>IFERROR(BF74/BR74*(BU74-BASELINE_CPR),0)</f>
        <v/>
      </c>
      <c r="CI74" s="13">
        <f>IFERROR(BG74/BR74*(BU74-BASELINE_CPR),0)</f>
        <v/>
      </c>
      <c r="CJ74" s="13">
        <f>IFERROR(BH74/BR74*(BU74-BASELINE_CPR),0)</f>
        <v/>
      </c>
      <c r="CK74" s="13">
        <f>IFERROR(BI74/BR74*(BU74-BASELINE_CPR),0)</f>
        <v/>
      </c>
      <c r="CL74" s="13">
        <f>IFERROR(BJ74/BR74*(BU74-BASELINE_CPR),0)</f>
        <v/>
      </c>
      <c r="CM74" s="13">
        <f>IFERROR(BK74/BR74*(BU74-BASELINE_CPR),0)</f>
        <v/>
      </c>
      <c r="CN74" s="13">
        <f>IFERROR(BL74/BR74*(BU74-BASELINE_CPR),0)</f>
        <v/>
      </c>
      <c r="CO74" s="13">
        <f>IFERROR(BM74/BR74*(BU74-BASELINE_CPR),0)</f>
        <v/>
      </c>
      <c r="CP74" s="13">
        <f>IFERROR(BN74/BR74*(BU74-BASELINE_CPR),0)</f>
        <v/>
      </c>
      <c r="CQ74" s="13">
        <f>IFERROR(BO74/BR74*(BU74-BASELINE_CPR),0)</f>
        <v/>
      </c>
      <c r="CR74" s="13">
        <f>IFERROR(BP74/BR74*(BU74-BASELINE_CPR),0)</f>
        <v/>
      </c>
      <c r="CS74" s="13">
        <f>IFERROR(BQ74/BR74*(BU74-BASELINE_CPR),0)</f>
        <v/>
      </c>
      <c r="CT74" s="29">
        <f>BASELINE_CPR+SUM(BV74:CS74)-BU74</f>
        <v/>
      </c>
    </row>
    <row r="75">
      <c r="A75" s="2" t="inlineStr">
        <is>
          <t>3617NYVC9_000000002311566</t>
        </is>
      </c>
      <c r="B75" t="inlineStr">
        <is>
          <t>WALKER_PRE21</t>
        </is>
      </c>
      <c r="C75" s="2" t="inlineStr">
        <is>
          <t>3617NYVC9</t>
        </is>
      </c>
      <c r="D75" t="inlineStr">
        <is>
          <t>WALKER &amp; DUNLOP, LLC</t>
        </is>
      </c>
      <c r="E75" t="inlineStr">
        <is>
          <t>223f</t>
        </is>
      </c>
      <c r="F75" t="inlineStr">
        <is>
          <t>RP</t>
        </is>
      </c>
      <c r="G75" t="n">
        <v>2020</v>
      </c>
      <c r="H75" t="inlineStr">
        <is>
          <t>202602</t>
        </is>
      </c>
      <c r="I75" s="22" t="n">
        <v>13589483.51</v>
      </c>
      <c r="J75" s="23" t="n">
        <v>2.25</v>
      </c>
      <c r="K75" s="24" t="n">
        <v>447</v>
      </c>
      <c r="L75" s="24" t="n">
        <v>5</v>
      </c>
      <c r="M75" t="n">
        <v>65</v>
      </c>
      <c r="N75" t="n">
        <v>0</v>
      </c>
      <c r="O75" t="n">
        <v>205510</v>
      </c>
      <c r="P75" t="inlineStr"/>
      <c r="Q75" t="inlineStr">
        <is>
          <t>4080</t>
        </is>
      </c>
      <c r="R75" t="n">
        <v>0</v>
      </c>
      <c r="S75" t="n">
        <v>0</v>
      </c>
      <c r="T75" t="n">
        <v>0</v>
      </c>
      <c r="U75" t="n">
        <v>0</v>
      </c>
      <c r="V75" s="24">
        <f>J75*100-K75</f>
        <v/>
      </c>
      <c r="W75" s="24">
        <f>L75</f>
        <v/>
      </c>
      <c r="X75" s="25">
        <f>MIN(M75,36)</f>
        <v/>
      </c>
      <c r="Y75" s="25">
        <f>MIN(MAX(M75-36,0),84)</f>
        <v/>
      </c>
      <c r="Z75" s="25">
        <f>MAX(M75-120,0)</f>
        <v/>
      </c>
      <c r="AA75" s="25">
        <f>IF(OR(O75="",NOT(ISNUMBER(O75))),360,MAX(0,MIN(480,(INT(O75/100)-INT(VALUE(H75)/100))*12+MOD(O75,100)-MOD(VALUE(H75),100))))</f>
        <v/>
      </c>
      <c r="AB75">
        <f>IF(AND(AA75&gt;0,AA75&lt;=24),1,0)</f>
        <v/>
      </c>
      <c r="AC75" s="25">
        <f>IF(OR(P75="",NOT(ISNUMBER(P75))),0,MAX(0,MIN(24,(INT(VALUE(H75)/100)-INT(P75/100))*12+MOD(VALUE(H75),100)-MOD(P75,100))))</f>
        <v/>
      </c>
      <c r="AD75" s="23">
        <f>LN(1+I75)</f>
        <v/>
      </c>
      <c r="AE75">
        <f>IF(I75&lt;2000000,1,0)</f>
        <v/>
      </c>
      <c r="AF75">
        <f>IF(I75&gt;50000000,1,0)</f>
        <v/>
      </c>
      <c r="AG75" s="23">
        <f>IF(ISNUMBER(M75),N75/MAX(M75,1),0)</f>
        <v/>
      </c>
      <c r="AH75">
        <f>IF(G75&gt;=2021,1,0)</f>
        <v/>
      </c>
      <c r="AI75">
        <f>S75</f>
        <v/>
      </c>
      <c r="AJ75">
        <f>T75</f>
        <v/>
      </c>
      <c r="AK75">
        <f>R75</f>
        <v/>
      </c>
      <c r="AL75">
        <f>U75</f>
        <v/>
      </c>
      <c r="AM75">
        <f>IF(ISNUMBER(SEARCH("CAPITAL FUNDING",D75)),1,0)</f>
        <v/>
      </c>
      <c r="AN75">
        <f>IF(ISNUMBER(SEARCH("PNC",D75)),1,0)</f>
        <v/>
      </c>
      <c r="AO75">
        <f>IF(ISNUMBER(SEARCH("WELLS FARGO",D75)),1,0)</f>
        <v/>
      </c>
      <c r="AP75">
        <f>IF(ISNUMBER(SEARCH("DWIGHT",D75)),1,0)</f>
        <v/>
      </c>
      <c r="AQ75">
        <f>IF(ISNUMBER(SEARCH("GREYSTONE",D75)),1,0)</f>
        <v/>
      </c>
      <c r="AR75">
        <f>IF(OR(Q75="3896",Q75="3557"),1,0)</f>
        <v/>
      </c>
      <c r="AS75" s="24">
        <f>V75*W75</f>
        <v/>
      </c>
      <c r="AT75" s="26">
        <f>V$4*(V75-V$3)</f>
        <v/>
      </c>
      <c r="AU75" s="26">
        <f>W$4*(W75-W$3)</f>
        <v/>
      </c>
      <c r="AV75" s="26">
        <f>X$4*(X75-X$3)</f>
        <v/>
      </c>
      <c r="AW75" s="26">
        <f>Y$4*(Y75-Y$3)</f>
        <v/>
      </c>
      <c r="AX75" s="26">
        <f>Z$4*(Z75-Z$3)</f>
        <v/>
      </c>
      <c r="AY75" s="26">
        <f>AA$4*(AA75-AA$3)</f>
        <v/>
      </c>
      <c r="AZ75" s="26">
        <f>AB$4*(AB75-AB$3)</f>
        <v/>
      </c>
      <c r="BA75" s="26">
        <f>AC$4*(AC75-AC$3)</f>
        <v/>
      </c>
      <c r="BB75" s="26">
        <f>AD$4*(AD75-AD$3)</f>
        <v/>
      </c>
      <c r="BC75" s="26">
        <f>AE$4*(AE75-AE$3)</f>
        <v/>
      </c>
      <c r="BD75" s="26">
        <f>AF$4*(AF75-AF$3)</f>
        <v/>
      </c>
      <c r="BE75" s="26">
        <f>AG$4*(AG75-AG$3)</f>
        <v/>
      </c>
      <c r="BF75" s="26">
        <f>AH$4*(AH75-AH$3)</f>
        <v/>
      </c>
      <c r="BG75" s="26">
        <f>AI$4*(AI75-AI$3)</f>
        <v/>
      </c>
      <c r="BH75" s="26">
        <f>AJ$4*(AJ75-AJ$3)</f>
        <v/>
      </c>
      <c r="BI75" s="26">
        <f>AK$4*(AK75-AK$3)</f>
        <v/>
      </c>
      <c r="BJ75" s="26">
        <f>AL$4*(AL75-AL$3)</f>
        <v/>
      </c>
      <c r="BK75" s="26">
        <f>AM$4*(AM75-AM$3)</f>
        <v/>
      </c>
      <c r="BL75" s="26">
        <f>AN$4*(AN75-AN$3)</f>
        <v/>
      </c>
      <c r="BM75" s="26">
        <f>AO$4*(AO75-AO$3)</f>
        <v/>
      </c>
      <c r="BN75" s="26">
        <f>AP$4*(AP75-AP$3)</f>
        <v/>
      </c>
      <c r="BO75" s="26">
        <f>AQ$4*(AQ75-AQ$3)</f>
        <v/>
      </c>
      <c r="BP75" s="26">
        <f>AR$4*(AR75-AR$3)</f>
        <v/>
      </c>
      <c r="BQ75" s="26">
        <f>AS$4*(AS75-AS$3)</f>
        <v/>
      </c>
      <c r="BR75" s="27">
        <f>SUM(AT75:BQ75)</f>
        <v/>
      </c>
      <c r="BS75" s="27">
        <f>INTERCEPT_SCALED+BR75</f>
        <v/>
      </c>
      <c r="BT75" s="28">
        <f>1/(1+EXP(-BS75))</f>
        <v/>
      </c>
      <c r="BU75" s="13">
        <f>1-(1-BT75)^12</f>
        <v/>
      </c>
      <c r="BV75" s="13">
        <f>IFERROR(AT75/BR75*(BU75-BASELINE_CPR),0)</f>
        <v/>
      </c>
      <c r="BW75" s="13">
        <f>IFERROR(AU75/BR75*(BU75-BASELINE_CPR),0)</f>
        <v/>
      </c>
      <c r="BX75" s="13">
        <f>IFERROR(AV75/BR75*(BU75-BASELINE_CPR),0)</f>
        <v/>
      </c>
      <c r="BY75" s="13">
        <f>IFERROR(AW75/BR75*(BU75-BASELINE_CPR),0)</f>
        <v/>
      </c>
      <c r="BZ75" s="13">
        <f>IFERROR(AX75/BR75*(BU75-BASELINE_CPR),0)</f>
        <v/>
      </c>
      <c r="CA75" s="13">
        <f>IFERROR(AY75/BR75*(BU75-BASELINE_CPR),0)</f>
        <v/>
      </c>
      <c r="CB75" s="13">
        <f>IFERROR(AZ75/BR75*(BU75-BASELINE_CPR),0)</f>
        <v/>
      </c>
      <c r="CC75" s="13">
        <f>IFERROR(BA75/BR75*(BU75-BASELINE_CPR),0)</f>
        <v/>
      </c>
      <c r="CD75" s="13">
        <f>IFERROR(BB75/BR75*(BU75-BASELINE_CPR),0)</f>
        <v/>
      </c>
      <c r="CE75" s="13">
        <f>IFERROR(BC75/BR75*(BU75-BASELINE_CPR),0)</f>
        <v/>
      </c>
      <c r="CF75" s="13">
        <f>IFERROR(BD75/BR75*(BU75-BASELINE_CPR),0)</f>
        <v/>
      </c>
      <c r="CG75" s="13">
        <f>IFERROR(BE75/BR75*(BU75-BASELINE_CPR),0)</f>
        <v/>
      </c>
      <c r="CH75" s="13">
        <f>IFERROR(BF75/BR75*(BU75-BASELINE_CPR),0)</f>
        <v/>
      </c>
      <c r="CI75" s="13">
        <f>IFERROR(BG75/BR75*(BU75-BASELINE_CPR),0)</f>
        <v/>
      </c>
      <c r="CJ75" s="13">
        <f>IFERROR(BH75/BR75*(BU75-BASELINE_CPR),0)</f>
        <v/>
      </c>
      <c r="CK75" s="13">
        <f>IFERROR(BI75/BR75*(BU75-BASELINE_CPR),0)</f>
        <v/>
      </c>
      <c r="CL75" s="13">
        <f>IFERROR(BJ75/BR75*(BU75-BASELINE_CPR),0)</f>
        <v/>
      </c>
      <c r="CM75" s="13">
        <f>IFERROR(BK75/BR75*(BU75-BASELINE_CPR),0)</f>
        <v/>
      </c>
      <c r="CN75" s="13">
        <f>IFERROR(BL75/BR75*(BU75-BASELINE_CPR),0)</f>
        <v/>
      </c>
      <c r="CO75" s="13">
        <f>IFERROR(BM75/BR75*(BU75-BASELINE_CPR),0)</f>
        <v/>
      </c>
      <c r="CP75" s="13">
        <f>IFERROR(BN75/BR75*(BU75-BASELINE_CPR),0)</f>
        <v/>
      </c>
      <c r="CQ75" s="13">
        <f>IFERROR(BO75/BR75*(BU75-BASELINE_CPR),0)</f>
        <v/>
      </c>
      <c r="CR75" s="13">
        <f>IFERROR(BP75/BR75*(BU75-BASELINE_CPR),0)</f>
        <v/>
      </c>
      <c r="CS75" s="13">
        <f>IFERROR(BQ75/BR75*(BU75-BASELINE_CPR),0)</f>
        <v/>
      </c>
      <c r="CT75" s="29">
        <f>BASELINE_CPR+SUM(BV75:CS75)-BU75</f>
        <v/>
      </c>
    </row>
    <row r="76">
      <c r="A76" s="2" t="inlineStr">
        <is>
          <t>3617N1EE6_000000004211125</t>
        </is>
      </c>
      <c r="B76" t="inlineStr">
        <is>
          <t>WALKER_PRE21</t>
        </is>
      </c>
      <c r="C76" s="2" t="inlineStr">
        <is>
          <t>3617N1EE6</t>
        </is>
      </c>
      <c r="D76" t="inlineStr">
        <is>
          <t>WALKER &amp; DUNLOP, LLC</t>
        </is>
      </c>
      <c r="E76" t="inlineStr">
        <is>
          <t>223f</t>
        </is>
      </c>
      <c r="F76" t="inlineStr">
        <is>
          <t>RP</t>
        </is>
      </c>
      <c r="G76" t="n">
        <v>2009</v>
      </c>
      <c r="H76" t="inlineStr">
        <is>
          <t>202602</t>
        </is>
      </c>
      <c r="I76" s="22" t="n">
        <v>2401815.05</v>
      </c>
      <c r="J76" s="23" t="n">
        <v>3.65</v>
      </c>
      <c r="K76" s="24" t="n">
        <v>447</v>
      </c>
      <c r="L76" s="24" t="n">
        <v>5</v>
      </c>
      <c r="M76" t="n">
        <v>203</v>
      </c>
      <c r="N76" t="n">
        <v>21</v>
      </c>
      <c r="O76" t="n">
        <v>204404</v>
      </c>
      <c r="P76" t="inlineStr"/>
      <c r="Q76" t="inlineStr">
        <is>
          <t>4080</t>
        </is>
      </c>
      <c r="R76" t="n">
        <v>0</v>
      </c>
      <c r="S76" t="n">
        <v>0</v>
      </c>
      <c r="T76" t="n">
        <v>0</v>
      </c>
      <c r="U76" t="n">
        <v>0</v>
      </c>
      <c r="V76" s="24">
        <f>J76*100-K76</f>
        <v/>
      </c>
      <c r="W76" s="24">
        <f>L76</f>
        <v/>
      </c>
      <c r="X76" s="25">
        <f>MIN(M76,36)</f>
        <v/>
      </c>
      <c r="Y76" s="25">
        <f>MIN(MAX(M76-36,0),84)</f>
        <v/>
      </c>
      <c r="Z76" s="25">
        <f>MAX(M76-120,0)</f>
        <v/>
      </c>
      <c r="AA76" s="25">
        <f>IF(OR(O76="",NOT(ISNUMBER(O76))),360,MAX(0,MIN(480,(INT(O76/100)-INT(VALUE(H76)/100))*12+MOD(O76,100)-MOD(VALUE(H76),100))))</f>
        <v/>
      </c>
      <c r="AB76">
        <f>IF(AND(AA76&gt;0,AA76&lt;=24),1,0)</f>
        <v/>
      </c>
      <c r="AC76" s="25">
        <f>IF(OR(P76="",NOT(ISNUMBER(P76))),0,MAX(0,MIN(24,(INT(VALUE(H76)/100)-INT(P76/100))*12+MOD(VALUE(H76),100)-MOD(P76,100))))</f>
        <v/>
      </c>
      <c r="AD76" s="23">
        <f>LN(1+I76)</f>
        <v/>
      </c>
      <c r="AE76">
        <f>IF(I76&lt;2000000,1,0)</f>
        <v/>
      </c>
      <c r="AF76">
        <f>IF(I76&gt;50000000,1,0)</f>
        <v/>
      </c>
      <c r="AG76" s="23">
        <f>IF(ISNUMBER(M76),N76/MAX(M76,1),0)</f>
        <v/>
      </c>
      <c r="AH76">
        <f>IF(G76&gt;=2021,1,0)</f>
        <v/>
      </c>
      <c r="AI76">
        <f>S76</f>
        <v/>
      </c>
      <c r="AJ76">
        <f>T76</f>
        <v/>
      </c>
      <c r="AK76">
        <f>R76</f>
        <v/>
      </c>
      <c r="AL76">
        <f>U76</f>
        <v/>
      </c>
      <c r="AM76">
        <f>IF(ISNUMBER(SEARCH("CAPITAL FUNDING",D76)),1,0)</f>
        <v/>
      </c>
      <c r="AN76">
        <f>IF(ISNUMBER(SEARCH("PNC",D76)),1,0)</f>
        <v/>
      </c>
      <c r="AO76">
        <f>IF(ISNUMBER(SEARCH("WELLS FARGO",D76)),1,0)</f>
        <v/>
      </c>
      <c r="AP76">
        <f>IF(ISNUMBER(SEARCH("DWIGHT",D76)),1,0)</f>
        <v/>
      </c>
      <c r="AQ76">
        <f>IF(ISNUMBER(SEARCH("GREYSTONE",D76)),1,0)</f>
        <v/>
      </c>
      <c r="AR76">
        <f>IF(OR(Q76="3896",Q76="3557"),1,0)</f>
        <v/>
      </c>
      <c r="AS76" s="24">
        <f>V76*W76</f>
        <v/>
      </c>
      <c r="AT76" s="26">
        <f>V$4*(V76-V$3)</f>
        <v/>
      </c>
      <c r="AU76" s="26">
        <f>W$4*(W76-W$3)</f>
        <v/>
      </c>
      <c r="AV76" s="26">
        <f>X$4*(X76-X$3)</f>
        <v/>
      </c>
      <c r="AW76" s="26">
        <f>Y$4*(Y76-Y$3)</f>
        <v/>
      </c>
      <c r="AX76" s="26">
        <f>Z$4*(Z76-Z$3)</f>
        <v/>
      </c>
      <c r="AY76" s="26">
        <f>AA$4*(AA76-AA$3)</f>
        <v/>
      </c>
      <c r="AZ76" s="26">
        <f>AB$4*(AB76-AB$3)</f>
        <v/>
      </c>
      <c r="BA76" s="26">
        <f>AC$4*(AC76-AC$3)</f>
        <v/>
      </c>
      <c r="BB76" s="26">
        <f>AD$4*(AD76-AD$3)</f>
        <v/>
      </c>
      <c r="BC76" s="26">
        <f>AE$4*(AE76-AE$3)</f>
        <v/>
      </c>
      <c r="BD76" s="26">
        <f>AF$4*(AF76-AF$3)</f>
        <v/>
      </c>
      <c r="BE76" s="26">
        <f>AG$4*(AG76-AG$3)</f>
        <v/>
      </c>
      <c r="BF76" s="26">
        <f>AH$4*(AH76-AH$3)</f>
        <v/>
      </c>
      <c r="BG76" s="26">
        <f>AI$4*(AI76-AI$3)</f>
        <v/>
      </c>
      <c r="BH76" s="26">
        <f>AJ$4*(AJ76-AJ$3)</f>
        <v/>
      </c>
      <c r="BI76" s="26">
        <f>AK$4*(AK76-AK$3)</f>
        <v/>
      </c>
      <c r="BJ76" s="26">
        <f>AL$4*(AL76-AL$3)</f>
        <v/>
      </c>
      <c r="BK76" s="26">
        <f>AM$4*(AM76-AM$3)</f>
        <v/>
      </c>
      <c r="BL76" s="26">
        <f>AN$4*(AN76-AN$3)</f>
        <v/>
      </c>
      <c r="BM76" s="26">
        <f>AO$4*(AO76-AO$3)</f>
        <v/>
      </c>
      <c r="BN76" s="26">
        <f>AP$4*(AP76-AP$3)</f>
        <v/>
      </c>
      <c r="BO76" s="26">
        <f>AQ$4*(AQ76-AQ$3)</f>
        <v/>
      </c>
      <c r="BP76" s="26">
        <f>AR$4*(AR76-AR$3)</f>
        <v/>
      </c>
      <c r="BQ76" s="26">
        <f>AS$4*(AS76-AS$3)</f>
        <v/>
      </c>
      <c r="BR76" s="27">
        <f>SUM(AT76:BQ76)</f>
        <v/>
      </c>
      <c r="BS76" s="27">
        <f>INTERCEPT_SCALED+BR76</f>
        <v/>
      </c>
      <c r="BT76" s="28">
        <f>1/(1+EXP(-BS76))</f>
        <v/>
      </c>
      <c r="BU76" s="13">
        <f>1-(1-BT76)^12</f>
        <v/>
      </c>
      <c r="BV76" s="13">
        <f>IFERROR(AT76/BR76*(BU76-BASELINE_CPR),0)</f>
        <v/>
      </c>
      <c r="BW76" s="13">
        <f>IFERROR(AU76/BR76*(BU76-BASELINE_CPR),0)</f>
        <v/>
      </c>
      <c r="BX76" s="13">
        <f>IFERROR(AV76/BR76*(BU76-BASELINE_CPR),0)</f>
        <v/>
      </c>
      <c r="BY76" s="13">
        <f>IFERROR(AW76/BR76*(BU76-BASELINE_CPR),0)</f>
        <v/>
      </c>
      <c r="BZ76" s="13">
        <f>IFERROR(AX76/BR76*(BU76-BASELINE_CPR),0)</f>
        <v/>
      </c>
      <c r="CA76" s="13">
        <f>IFERROR(AY76/BR76*(BU76-BASELINE_CPR),0)</f>
        <v/>
      </c>
      <c r="CB76" s="13">
        <f>IFERROR(AZ76/BR76*(BU76-BASELINE_CPR),0)</f>
        <v/>
      </c>
      <c r="CC76" s="13">
        <f>IFERROR(BA76/BR76*(BU76-BASELINE_CPR),0)</f>
        <v/>
      </c>
      <c r="CD76" s="13">
        <f>IFERROR(BB76/BR76*(BU76-BASELINE_CPR),0)</f>
        <v/>
      </c>
      <c r="CE76" s="13">
        <f>IFERROR(BC76/BR76*(BU76-BASELINE_CPR),0)</f>
        <v/>
      </c>
      <c r="CF76" s="13">
        <f>IFERROR(BD76/BR76*(BU76-BASELINE_CPR),0)</f>
        <v/>
      </c>
      <c r="CG76" s="13">
        <f>IFERROR(BE76/BR76*(BU76-BASELINE_CPR),0)</f>
        <v/>
      </c>
      <c r="CH76" s="13">
        <f>IFERROR(BF76/BR76*(BU76-BASELINE_CPR),0)</f>
        <v/>
      </c>
      <c r="CI76" s="13">
        <f>IFERROR(BG76/BR76*(BU76-BASELINE_CPR),0)</f>
        <v/>
      </c>
      <c r="CJ76" s="13">
        <f>IFERROR(BH76/BR76*(BU76-BASELINE_CPR),0)</f>
        <v/>
      </c>
      <c r="CK76" s="13">
        <f>IFERROR(BI76/BR76*(BU76-BASELINE_CPR),0)</f>
        <v/>
      </c>
      <c r="CL76" s="13">
        <f>IFERROR(BJ76/BR76*(BU76-BASELINE_CPR),0)</f>
        <v/>
      </c>
      <c r="CM76" s="13">
        <f>IFERROR(BK76/BR76*(BU76-BASELINE_CPR),0)</f>
        <v/>
      </c>
      <c r="CN76" s="13">
        <f>IFERROR(BL76/BR76*(BU76-BASELINE_CPR),0)</f>
        <v/>
      </c>
      <c r="CO76" s="13">
        <f>IFERROR(BM76/BR76*(BU76-BASELINE_CPR),0)</f>
        <v/>
      </c>
      <c r="CP76" s="13">
        <f>IFERROR(BN76/BR76*(BU76-BASELINE_CPR),0)</f>
        <v/>
      </c>
      <c r="CQ76" s="13">
        <f>IFERROR(BO76/BR76*(BU76-BASELINE_CPR),0)</f>
        <v/>
      </c>
      <c r="CR76" s="13">
        <f>IFERROR(BP76/BR76*(BU76-BASELINE_CPR),0)</f>
        <v/>
      </c>
      <c r="CS76" s="13">
        <f>IFERROR(BQ76/BR76*(BU76-BASELINE_CPR),0)</f>
        <v/>
      </c>
      <c r="CT76" s="29">
        <f>BASELINE_CPR+SUM(BV76:CS76)-BU76</f>
        <v/>
      </c>
    </row>
    <row r="77">
      <c r="A77" s="2" t="inlineStr">
        <is>
          <t>3617UDKP0_000000007111196</t>
        </is>
      </c>
      <c r="B77" t="inlineStr">
        <is>
          <t>WALKER_PRE21</t>
        </is>
      </c>
      <c r="C77" s="2" t="inlineStr">
        <is>
          <t>3617UDKP0</t>
        </is>
      </c>
      <c r="D77" t="inlineStr">
        <is>
          <t>WALKER &amp; DUNLOP, LLC</t>
        </is>
      </c>
      <c r="E77" t="inlineStr">
        <is>
          <t>223f</t>
        </is>
      </c>
      <c r="F77" t="inlineStr">
        <is>
          <t>RP</t>
        </is>
      </c>
      <c r="G77" t="n">
        <v>2010</v>
      </c>
      <c r="H77" t="inlineStr">
        <is>
          <t>202602</t>
        </is>
      </c>
      <c r="I77" s="22" t="n">
        <v>3458376.57</v>
      </c>
      <c r="J77" s="23" t="n">
        <v>3.49</v>
      </c>
      <c r="K77" s="24" t="n">
        <v>447</v>
      </c>
      <c r="L77" s="24" t="n">
        <v>6</v>
      </c>
      <c r="M77" t="n">
        <v>190</v>
      </c>
      <c r="N77" t="n">
        <v>12</v>
      </c>
      <c r="O77" t="n">
        <v>204505</v>
      </c>
      <c r="P77" t="inlineStr"/>
      <c r="Q77" t="inlineStr">
        <is>
          <t>4080</t>
        </is>
      </c>
      <c r="R77" t="n">
        <v>0</v>
      </c>
      <c r="S77" t="n">
        <v>0</v>
      </c>
      <c r="T77" t="n">
        <v>0</v>
      </c>
      <c r="U77" t="n">
        <v>0</v>
      </c>
      <c r="V77" s="24">
        <f>J77*100-K77</f>
        <v/>
      </c>
      <c r="W77" s="24">
        <f>L77</f>
        <v/>
      </c>
      <c r="X77" s="25">
        <f>MIN(M77,36)</f>
        <v/>
      </c>
      <c r="Y77" s="25">
        <f>MIN(MAX(M77-36,0),84)</f>
        <v/>
      </c>
      <c r="Z77" s="25">
        <f>MAX(M77-120,0)</f>
        <v/>
      </c>
      <c r="AA77" s="25">
        <f>IF(OR(O77="",NOT(ISNUMBER(O77))),360,MAX(0,MIN(480,(INT(O77/100)-INT(VALUE(H77)/100))*12+MOD(O77,100)-MOD(VALUE(H77),100))))</f>
        <v/>
      </c>
      <c r="AB77">
        <f>IF(AND(AA77&gt;0,AA77&lt;=24),1,0)</f>
        <v/>
      </c>
      <c r="AC77" s="25">
        <f>IF(OR(P77="",NOT(ISNUMBER(P77))),0,MAX(0,MIN(24,(INT(VALUE(H77)/100)-INT(P77/100))*12+MOD(VALUE(H77),100)-MOD(P77,100))))</f>
        <v/>
      </c>
      <c r="AD77" s="23">
        <f>LN(1+I77)</f>
        <v/>
      </c>
      <c r="AE77">
        <f>IF(I77&lt;2000000,1,0)</f>
        <v/>
      </c>
      <c r="AF77">
        <f>IF(I77&gt;50000000,1,0)</f>
        <v/>
      </c>
      <c r="AG77" s="23">
        <f>IF(ISNUMBER(M77),N77/MAX(M77,1),0)</f>
        <v/>
      </c>
      <c r="AH77">
        <f>IF(G77&gt;=2021,1,0)</f>
        <v/>
      </c>
      <c r="AI77">
        <f>S77</f>
        <v/>
      </c>
      <c r="AJ77">
        <f>T77</f>
        <v/>
      </c>
      <c r="AK77">
        <f>R77</f>
        <v/>
      </c>
      <c r="AL77">
        <f>U77</f>
        <v/>
      </c>
      <c r="AM77">
        <f>IF(ISNUMBER(SEARCH("CAPITAL FUNDING",D77)),1,0)</f>
        <v/>
      </c>
      <c r="AN77">
        <f>IF(ISNUMBER(SEARCH("PNC",D77)),1,0)</f>
        <v/>
      </c>
      <c r="AO77">
        <f>IF(ISNUMBER(SEARCH("WELLS FARGO",D77)),1,0)</f>
        <v/>
      </c>
      <c r="AP77">
        <f>IF(ISNUMBER(SEARCH("DWIGHT",D77)),1,0)</f>
        <v/>
      </c>
      <c r="AQ77">
        <f>IF(ISNUMBER(SEARCH("GREYSTONE",D77)),1,0)</f>
        <v/>
      </c>
      <c r="AR77">
        <f>IF(OR(Q77="3896",Q77="3557"),1,0)</f>
        <v/>
      </c>
      <c r="AS77" s="24">
        <f>V77*W77</f>
        <v/>
      </c>
      <c r="AT77" s="26">
        <f>V$4*(V77-V$3)</f>
        <v/>
      </c>
      <c r="AU77" s="26">
        <f>W$4*(W77-W$3)</f>
        <v/>
      </c>
      <c r="AV77" s="26">
        <f>X$4*(X77-X$3)</f>
        <v/>
      </c>
      <c r="AW77" s="26">
        <f>Y$4*(Y77-Y$3)</f>
        <v/>
      </c>
      <c r="AX77" s="26">
        <f>Z$4*(Z77-Z$3)</f>
        <v/>
      </c>
      <c r="AY77" s="26">
        <f>AA$4*(AA77-AA$3)</f>
        <v/>
      </c>
      <c r="AZ77" s="26">
        <f>AB$4*(AB77-AB$3)</f>
        <v/>
      </c>
      <c r="BA77" s="26">
        <f>AC$4*(AC77-AC$3)</f>
        <v/>
      </c>
      <c r="BB77" s="26">
        <f>AD$4*(AD77-AD$3)</f>
        <v/>
      </c>
      <c r="BC77" s="26">
        <f>AE$4*(AE77-AE$3)</f>
        <v/>
      </c>
      <c r="BD77" s="26">
        <f>AF$4*(AF77-AF$3)</f>
        <v/>
      </c>
      <c r="BE77" s="26">
        <f>AG$4*(AG77-AG$3)</f>
        <v/>
      </c>
      <c r="BF77" s="26">
        <f>AH$4*(AH77-AH$3)</f>
        <v/>
      </c>
      <c r="BG77" s="26">
        <f>AI$4*(AI77-AI$3)</f>
        <v/>
      </c>
      <c r="BH77" s="26">
        <f>AJ$4*(AJ77-AJ$3)</f>
        <v/>
      </c>
      <c r="BI77" s="26">
        <f>AK$4*(AK77-AK$3)</f>
        <v/>
      </c>
      <c r="BJ77" s="26">
        <f>AL$4*(AL77-AL$3)</f>
        <v/>
      </c>
      <c r="BK77" s="26">
        <f>AM$4*(AM77-AM$3)</f>
        <v/>
      </c>
      <c r="BL77" s="26">
        <f>AN$4*(AN77-AN$3)</f>
        <v/>
      </c>
      <c r="BM77" s="26">
        <f>AO$4*(AO77-AO$3)</f>
        <v/>
      </c>
      <c r="BN77" s="26">
        <f>AP$4*(AP77-AP$3)</f>
        <v/>
      </c>
      <c r="BO77" s="26">
        <f>AQ$4*(AQ77-AQ$3)</f>
        <v/>
      </c>
      <c r="BP77" s="26">
        <f>AR$4*(AR77-AR$3)</f>
        <v/>
      </c>
      <c r="BQ77" s="26">
        <f>AS$4*(AS77-AS$3)</f>
        <v/>
      </c>
      <c r="BR77" s="27">
        <f>SUM(AT77:BQ77)</f>
        <v/>
      </c>
      <c r="BS77" s="27">
        <f>INTERCEPT_SCALED+BR77</f>
        <v/>
      </c>
      <c r="BT77" s="28">
        <f>1/(1+EXP(-BS77))</f>
        <v/>
      </c>
      <c r="BU77" s="13">
        <f>1-(1-BT77)^12</f>
        <v/>
      </c>
      <c r="BV77" s="13">
        <f>IFERROR(AT77/BR77*(BU77-BASELINE_CPR),0)</f>
        <v/>
      </c>
      <c r="BW77" s="13">
        <f>IFERROR(AU77/BR77*(BU77-BASELINE_CPR),0)</f>
        <v/>
      </c>
      <c r="BX77" s="13">
        <f>IFERROR(AV77/BR77*(BU77-BASELINE_CPR),0)</f>
        <v/>
      </c>
      <c r="BY77" s="13">
        <f>IFERROR(AW77/BR77*(BU77-BASELINE_CPR),0)</f>
        <v/>
      </c>
      <c r="BZ77" s="13">
        <f>IFERROR(AX77/BR77*(BU77-BASELINE_CPR),0)</f>
        <v/>
      </c>
      <c r="CA77" s="13">
        <f>IFERROR(AY77/BR77*(BU77-BASELINE_CPR),0)</f>
        <v/>
      </c>
      <c r="CB77" s="13">
        <f>IFERROR(AZ77/BR77*(BU77-BASELINE_CPR),0)</f>
        <v/>
      </c>
      <c r="CC77" s="13">
        <f>IFERROR(BA77/BR77*(BU77-BASELINE_CPR),0)</f>
        <v/>
      </c>
      <c r="CD77" s="13">
        <f>IFERROR(BB77/BR77*(BU77-BASELINE_CPR),0)</f>
        <v/>
      </c>
      <c r="CE77" s="13">
        <f>IFERROR(BC77/BR77*(BU77-BASELINE_CPR),0)</f>
        <v/>
      </c>
      <c r="CF77" s="13">
        <f>IFERROR(BD77/BR77*(BU77-BASELINE_CPR),0)</f>
        <v/>
      </c>
      <c r="CG77" s="13">
        <f>IFERROR(BE77/BR77*(BU77-BASELINE_CPR),0)</f>
        <v/>
      </c>
      <c r="CH77" s="13">
        <f>IFERROR(BF77/BR77*(BU77-BASELINE_CPR),0)</f>
        <v/>
      </c>
      <c r="CI77" s="13">
        <f>IFERROR(BG77/BR77*(BU77-BASELINE_CPR),0)</f>
        <v/>
      </c>
      <c r="CJ77" s="13">
        <f>IFERROR(BH77/BR77*(BU77-BASELINE_CPR),0)</f>
        <v/>
      </c>
      <c r="CK77" s="13">
        <f>IFERROR(BI77/BR77*(BU77-BASELINE_CPR),0)</f>
        <v/>
      </c>
      <c r="CL77" s="13">
        <f>IFERROR(BJ77/BR77*(BU77-BASELINE_CPR),0)</f>
        <v/>
      </c>
      <c r="CM77" s="13">
        <f>IFERROR(BK77/BR77*(BU77-BASELINE_CPR),0)</f>
        <v/>
      </c>
      <c r="CN77" s="13">
        <f>IFERROR(BL77/BR77*(BU77-BASELINE_CPR),0)</f>
        <v/>
      </c>
      <c r="CO77" s="13">
        <f>IFERROR(BM77/BR77*(BU77-BASELINE_CPR),0)</f>
        <v/>
      </c>
      <c r="CP77" s="13">
        <f>IFERROR(BN77/BR77*(BU77-BASELINE_CPR),0)</f>
        <v/>
      </c>
      <c r="CQ77" s="13">
        <f>IFERROR(BO77/BR77*(BU77-BASELINE_CPR),0)</f>
        <v/>
      </c>
      <c r="CR77" s="13">
        <f>IFERROR(BP77/BR77*(BU77-BASELINE_CPR),0)</f>
        <v/>
      </c>
      <c r="CS77" s="13">
        <f>IFERROR(BQ77/BR77*(BU77-BASELINE_CPR),0)</f>
        <v/>
      </c>
      <c r="CT77" s="29">
        <f>BASELINE_CPR+SUM(BV77:CS77)-BU77</f>
        <v/>
      </c>
    </row>
    <row r="78">
      <c r="A78" s="2" t="inlineStr">
        <is>
          <t>36179ARA6_000000010222049</t>
        </is>
      </c>
      <c r="B78" t="inlineStr">
        <is>
          <t>WALKER_PRE21</t>
        </is>
      </c>
      <c r="C78" s="2" t="inlineStr">
        <is>
          <t>36179ARA6</t>
        </is>
      </c>
      <c r="D78" t="inlineStr">
        <is>
          <t>WALKER &amp; DUNLOP, LLC</t>
        </is>
      </c>
      <c r="E78" t="inlineStr">
        <is>
          <t>232</t>
        </is>
      </c>
      <c r="F78" t="inlineStr">
        <is>
          <t>RP</t>
        </is>
      </c>
      <c r="G78" t="n">
        <v>2012</v>
      </c>
      <c r="H78" t="inlineStr">
        <is>
          <t>202602</t>
        </is>
      </c>
      <c r="I78" s="22" t="n">
        <v>9942041.35</v>
      </c>
      <c r="J78" s="23" t="n">
        <v>3.35</v>
      </c>
      <c r="K78" s="24" t="n">
        <v>447</v>
      </c>
      <c r="L78" s="24" t="n">
        <v>0</v>
      </c>
      <c r="M78" t="n">
        <v>158</v>
      </c>
      <c r="N78" t="n">
        <v>32</v>
      </c>
      <c r="O78" t="n">
        <v>204801</v>
      </c>
      <c r="P78" t="n">
        <v>201401</v>
      </c>
      <c r="Q78" t="inlineStr">
        <is>
          <t>4080</t>
        </is>
      </c>
      <c r="R78" t="n">
        <v>1</v>
      </c>
      <c r="S78" t="n">
        <v>0</v>
      </c>
      <c r="T78" t="n">
        <v>0</v>
      </c>
      <c r="U78" t="n">
        <v>0</v>
      </c>
      <c r="V78" s="24">
        <f>J78*100-K78</f>
        <v/>
      </c>
      <c r="W78" s="24">
        <f>L78</f>
        <v/>
      </c>
      <c r="X78" s="25">
        <f>MIN(M78,36)</f>
        <v/>
      </c>
      <c r="Y78" s="25">
        <f>MIN(MAX(M78-36,0),84)</f>
        <v/>
      </c>
      <c r="Z78" s="25">
        <f>MAX(M78-120,0)</f>
        <v/>
      </c>
      <c r="AA78" s="25">
        <f>IF(OR(O78="",NOT(ISNUMBER(O78))),360,MAX(0,MIN(480,(INT(O78/100)-INT(VALUE(H78)/100))*12+MOD(O78,100)-MOD(VALUE(H78),100))))</f>
        <v/>
      </c>
      <c r="AB78">
        <f>IF(AND(AA78&gt;0,AA78&lt;=24),1,0)</f>
        <v/>
      </c>
      <c r="AC78" s="25">
        <f>IF(OR(P78="",NOT(ISNUMBER(P78))),0,MAX(0,MIN(24,(INT(VALUE(H78)/100)-INT(P78/100))*12+MOD(VALUE(H78),100)-MOD(P78,100))))</f>
        <v/>
      </c>
      <c r="AD78" s="23">
        <f>LN(1+I78)</f>
        <v/>
      </c>
      <c r="AE78">
        <f>IF(I78&lt;2000000,1,0)</f>
        <v/>
      </c>
      <c r="AF78">
        <f>IF(I78&gt;50000000,1,0)</f>
        <v/>
      </c>
      <c r="AG78" s="23">
        <f>IF(ISNUMBER(M78),N78/MAX(M78,1),0)</f>
        <v/>
      </c>
      <c r="AH78">
        <f>IF(G78&gt;=2021,1,0)</f>
        <v/>
      </c>
      <c r="AI78">
        <f>S78</f>
        <v/>
      </c>
      <c r="AJ78">
        <f>T78</f>
        <v/>
      </c>
      <c r="AK78">
        <f>R78</f>
        <v/>
      </c>
      <c r="AL78">
        <f>U78</f>
        <v/>
      </c>
      <c r="AM78">
        <f>IF(ISNUMBER(SEARCH("CAPITAL FUNDING",D78)),1,0)</f>
        <v/>
      </c>
      <c r="AN78">
        <f>IF(ISNUMBER(SEARCH("PNC",D78)),1,0)</f>
        <v/>
      </c>
      <c r="AO78">
        <f>IF(ISNUMBER(SEARCH("WELLS FARGO",D78)),1,0)</f>
        <v/>
      </c>
      <c r="AP78">
        <f>IF(ISNUMBER(SEARCH("DWIGHT",D78)),1,0)</f>
        <v/>
      </c>
      <c r="AQ78">
        <f>IF(ISNUMBER(SEARCH("GREYSTONE",D78)),1,0)</f>
        <v/>
      </c>
      <c r="AR78">
        <f>IF(OR(Q78="3896",Q78="3557"),1,0)</f>
        <v/>
      </c>
      <c r="AS78" s="24">
        <f>V78*W78</f>
        <v/>
      </c>
      <c r="AT78" s="26">
        <f>V$4*(V78-V$3)</f>
        <v/>
      </c>
      <c r="AU78" s="26">
        <f>W$4*(W78-W$3)</f>
        <v/>
      </c>
      <c r="AV78" s="26">
        <f>X$4*(X78-X$3)</f>
        <v/>
      </c>
      <c r="AW78" s="26">
        <f>Y$4*(Y78-Y$3)</f>
        <v/>
      </c>
      <c r="AX78" s="26">
        <f>Z$4*(Z78-Z$3)</f>
        <v/>
      </c>
      <c r="AY78" s="26">
        <f>AA$4*(AA78-AA$3)</f>
        <v/>
      </c>
      <c r="AZ78" s="26">
        <f>AB$4*(AB78-AB$3)</f>
        <v/>
      </c>
      <c r="BA78" s="26">
        <f>AC$4*(AC78-AC$3)</f>
        <v/>
      </c>
      <c r="BB78" s="26">
        <f>AD$4*(AD78-AD$3)</f>
        <v/>
      </c>
      <c r="BC78" s="26">
        <f>AE$4*(AE78-AE$3)</f>
        <v/>
      </c>
      <c r="BD78" s="26">
        <f>AF$4*(AF78-AF$3)</f>
        <v/>
      </c>
      <c r="BE78" s="26">
        <f>AG$4*(AG78-AG$3)</f>
        <v/>
      </c>
      <c r="BF78" s="26">
        <f>AH$4*(AH78-AH$3)</f>
        <v/>
      </c>
      <c r="BG78" s="26">
        <f>AI$4*(AI78-AI$3)</f>
        <v/>
      </c>
      <c r="BH78" s="26">
        <f>AJ$4*(AJ78-AJ$3)</f>
        <v/>
      </c>
      <c r="BI78" s="26">
        <f>AK$4*(AK78-AK$3)</f>
        <v/>
      </c>
      <c r="BJ78" s="26">
        <f>AL$4*(AL78-AL$3)</f>
        <v/>
      </c>
      <c r="BK78" s="26">
        <f>AM$4*(AM78-AM$3)</f>
        <v/>
      </c>
      <c r="BL78" s="26">
        <f>AN$4*(AN78-AN$3)</f>
        <v/>
      </c>
      <c r="BM78" s="26">
        <f>AO$4*(AO78-AO$3)</f>
        <v/>
      </c>
      <c r="BN78" s="26">
        <f>AP$4*(AP78-AP$3)</f>
        <v/>
      </c>
      <c r="BO78" s="26">
        <f>AQ$4*(AQ78-AQ$3)</f>
        <v/>
      </c>
      <c r="BP78" s="26">
        <f>AR$4*(AR78-AR$3)</f>
        <v/>
      </c>
      <c r="BQ78" s="26">
        <f>AS$4*(AS78-AS$3)</f>
        <v/>
      </c>
      <c r="BR78" s="27">
        <f>SUM(AT78:BQ78)</f>
        <v/>
      </c>
      <c r="BS78" s="27">
        <f>INTERCEPT_SCALED+BR78</f>
        <v/>
      </c>
      <c r="BT78" s="28">
        <f>1/(1+EXP(-BS78))</f>
        <v/>
      </c>
      <c r="BU78" s="13">
        <f>1-(1-BT78)^12</f>
        <v/>
      </c>
      <c r="BV78" s="13">
        <f>IFERROR(AT78/BR78*(BU78-BASELINE_CPR),0)</f>
        <v/>
      </c>
      <c r="BW78" s="13">
        <f>IFERROR(AU78/BR78*(BU78-BASELINE_CPR),0)</f>
        <v/>
      </c>
      <c r="BX78" s="13">
        <f>IFERROR(AV78/BR78*(BU78-BASELINE_CPR),0)</f>
        <v/>
      </c>
      <c r="BY78" s="13">
        <f>IFERROR(AW78/BR78*(BU78-BASELINE_CPR),0)</f>
        <v/>
      </c>
      <c r="BZ78" s="13">
        <f>IFERROR(AX78/BR78*(BU78-BASELINE_CPR),0)</f>
        <v/>
      </c>
      <c r="CA78" s="13">
        <f>IFERROR(AY78/BR78*(BU78-BASELINE_CPR),0)</f>
        <v/>
      </c>
      <c r="CB78" s="13">
        <f>IFERROR(AZ78/BR78*(BU78-BASELINE_CPR),0)</f>
        <v/>
      </c>
      <c r="CC78" s="13">
        <f>IFERROR(BA78/BR78*(BU78-BASELINE_CPR),0)</f>
        <v/>
      </c>
      <c r="CD78" s="13">
        <f>IFERROR(BB78/BR78*(BU78-BASELINE_CPR),0)</f>
        <v/>
      </c>
      <c r="CE78" s="13">
        <f>IFERROR(BC78/BR78*(BU78-BASELINE_CPR),0)</f>
        <v/>
      </c>
      <c r="CF78" s="13">
        <f>IFERROR(BD78/BR78*(BU78-BASELINE_CPR),0)</f>
        <v/>
      </c>
      <c r="CG78" s="13">
        <f>IFERROR(BE78/BR78*(BU78-BASELINE_CPR),0)</f>
        <v/>
      </c>
      <c r="CH78" s="13">
        <f>IFERROR(BF78/BR78*(BU78-BASELINE_CPR),0)</f>
        <v/>
      </c>
      <c r="CI78" s="13">
        <f>IFERROR(BG78/BR78*(BU78-BASELINE_CPR),0)</f>
        <v/>
      </c>
      <c r="CJ78" s="13">
        <f>IFERROR(BH78/BR78*(BU78-BASELINE_CPR),0)</f>
        <v/>
      </c>
      <c r="CK78" s="13">
        <f>IFERROR(BI78/BR78*(BU78-BASELINE_CPR),0)</f>
        <v/>
      </c>
      <c r="CL78" s="13">
        <f>IFERROR(BJ78/BR78*(BU78-BASELINE_CPR),0)</f>
        <v/>
      </c>
      <c r="CM78" s="13">
        <f>IFERROR(BK78/BR78*(BU78-BASELINE_CPR),0)</f>
        <v/>
      </c>
      <c r="CN78" s="13">
        <f>IFERROR(BL78/BR78*(BU78-BASELINE_CPR),0)</f>
        <v/>
      </c>
      <c r="CO78" s="13">
        <f>IFERROR(BM78/BR78*(BU78-BASELINE_CPR),0)</f>
        <v/>
      </c>
      <c r="CP78" s="13">
        <f>IFERROR(BN78/BR78*(BU78-BASELINE_CPR),0)</f>
        <v/>
      </c>
      <c r="CQ78" s="13">
        <f>IFERROR(BO78/BR78*(BU78-BASELINE_CPR),0)</f>
        <v/>
      </c>
      <c r="CR78" s="13">
        <f>IFERROR(BP78/BR78*(BU78-BASELINE_CPR),0)</f>
        <v/>
      </c>
      <c r="CS78" s="13">
        <f>IFERROR(BQ78/BR78*(BU78-BASELINE_CPR),0)</f>
        <v/>
      </c>
      <c r="CT78" s="29">
        <f>BASELINE_CPR+SUM(BV78:CS78)-BU78</f>
        <v/>
      </c>
    </row>
    <row r="79">
      <c r="A79" s="2" t="inlineStr">
        <is>
          <t>36200EL25_000000001711151</t>
        </is>
      </c>
      <c r="B79" t="inlineStr">
        <is>
          <t>WALKER_PRE21</t>
        </is>
      </c>
      <c r="C79" s="2" t="inlineStr">
        <is>
          <t>36200EL25</t>
        </is>
      </c>
      <c r="D79" t="inlineStr">
        <is>
          <t>WALKER &amp; DUNLOP, LLC</t>
        </is>
      </c>
      <c r="E79" t="inlineStr">
        <is>
          <t>223f</t>
        </is>
      </c>
      <c r="F79" t="inlineStr">
        <is>
          <t>RP</t>
        </is>
      </c>
      <c r="G79" t="n">
        <v>2012</v>
      </c>
      <c r="H79" t="inlineStr">
        <is>
          <t>202602</t>
        </is>
      </c>
      <c r="I79" s="22" t="n">
        <v>1567346.24</v>
      </c>
      <c r="J79" s="23" t="n">
        <v>3.33</v>
      </c>
      <c r="K79" s="24" t="n">
        <v>447</v>
      </c>
      <c r="L79" s="24" t="n">
        <v>0</v>
      </c>
      <c r="M79" t="n">
        <v>167</v>
      </c>
      <c r="N79" t="n">
        <v>35</v>
      </c>
      <c r="O79" t="n">
        <v>204705</v>
      </c>
      <c r="P79" t="n">
        <v>201305</v>
      </c>
      <c r="Q79" t="inlineStr">
        <is>
          <t>4080</t>
        </is>
      </c>
      <c r="R79" t="n">
        <v>0</v>
      </c>
      <c r="S79" t="n">
        <v>0</v>
      </c>
      <c r="T79" t="n">
        <v>0</v>
      </c>
      <c r="U79" t="n">
        <v>0</v>
      </c>
      <c r="V79" s="24">
        <f>J79*100-K79</f>
        <v/>
      </c>
      <c r="W79" s="24">
        <f>L79</f>
        <v/>
      </c>
      <c r="X79" s="25">
        <f>MIN(M79,36)</f>
        <v/>
      </c>
      <c r="Y79" s="25">
        <f>MIN(MAX(M79-36,0),84)</f>
        <v/>
      </c>
      <c r="Z79" s="25">
        <f>MAX(M79-120,0)</f>
        <v/>
      </c>
      <c r="AA79" s="25">
        <f>IF(OR(O79="",NOT(ISNUMBER(O79))),360,MAX(0,MIN(480,(INT(O79/100)-INT(VALUE(H79)/100))*12+MOD(O79,100)-MOD(VALUE(H79),100))))</f>
        <v/>
      </c>
      <c r="AB79">
        <f>IF(AND(AA79&gt;0,AA79&lt;=24),1,0)</f>
        <v/>
      </c>
      <c r="AC79" s="25">
        <f>IF(OR(P79="",NOT(ISNUMBER(P79))),0,MAX(0,MIN(24,(INT(VALUE(H79)/100)-INT(P79/100))*12+MOD(VALUE(H79),100)-MOD(P79,100))))</f>
        <v/>
      </c>
      <c r="AD79" s="23">
        <f>LN(1+I79)</f>
        <v/>
      </c>
      <c r="AE79">
        <f>IF(I79&lt;2000000,1,0)</f>
        <v/>
      </c>
      <c r="AF79">
        <f>IF(I79&gt;50000000,1,0)</f>
        <v/>
      </c>
      <c r="AG79" s="23">
        <f>IF(ISNUMBER(M79),N79/MAX(M79,1),0)</f>
        <v/>
      </c>
      <c r="AH79">
        <f>IF(G79&gt;=2021,1,0)</f>
        <v/>
      </c>
      <c r="AI79">
        <f>S79</f>
        <v/>
      </c>
      <c r="AJ79">
        <f>T79</f>
        <v/>
      </c>
      <c r="AK79">
        <f>R79</f>
        <v/>
      </c>
      <c r="AL79">
        <f>U79</f>
        <v/>
      </c>
      <c r="AM79">
        <f>IF(ISNUMBER(SEARCH("CAPITAL FUNDING",D79)),1,0)</f>
        <v/>
      </c>
      <c r="AN79">
        <f>IF(ISNUMBER(SEARCH("PNC",D79)),1,0)</f>
        <v/>
      </c>
      <c r="AO79">
        <f>IF(ISNUMBER(SEARCH("WELLS FARGO",D79)),1,0)</f>
        <v/>
      </c>
      <c r="AP79">
        <f>IF(ISNUMBER(SEARCH("DWIGHT",D79)),1,0)</f>
        <v/>
      </c>
      <c r="AQ79">
        <f>IF(ISNUMBER(SEARCH("GREYSTONE",D79)),1,0)</f>
        <v/>
      </c>
      <c r="AR79">
        <f>IF(OR(Q79="3896",Q79="3557"),1,0)</f>
        <v/>
      </c>
      <c r="AS79" s="24">
        <f>V79*W79</f>
        <v/>
      </c>
      <c r="AT79" s="26">
        <f>V$4*(V79-V$3)</f>
        <v/>
      </c>
      <c r="AU79" s="26">
        <f>W$4*(W79-W$3)</f>
        <v/>
      </c>
      <c r="AV79" s="26">
        <f>X$4*(X79-X$3)</f>
        <v/>
      </c>
      <c r="AW79" s="26">
        <f>Y$4*(Y79-Y$3)</f>
        <v/>
      </c>
      <c r="AX79" s="26">
        <f>Z$4*(Z79-Z$3)</f>
        <v/>
      </c>
      <c r="AY79" s="26">
        <f>AA$4*(AA79-AA$3)</f>
        <v/>
      </c>
      <c r="AZ79" s="26">
        <f>AB$4*(AB79-AB$3)</f>
        <v/>
      </c>
      <c r="BA79" s="26">
        <f>AC$4*(AC79-AC$3)</f>
        <v/>
      </c>
      <c r="BB79" s="26">
        <f>AD$4*(AD79-AD$3)</f>
        <v/>
      </c>
      <c r="BC79" s="26">
        <f>AE$4*(AE79-AE$3)</f>
        <v/>
      </c>
      <c r="BD79" s="26">
        <f>AF$4*(AF79-AF$3)</f>
        <v/>
      </c>
      <c r="BE79" s="26">
        <f>AG$4*(AG79-AG$3)</f>
        <v/>
      </c>
      <c r="BF79" s="26">
        <f>AH$4*(AH79-AH$3)</f>
        <v/>
      </c>
      <c r="BG79" s="26">
        <f>AI$4*(AI79-AI$3)</f>
        <v/>
      </c>
      <c r="BH79" s="26">
        <f>AJ$4*(AJ79-AJ$3)</f>
        <v/>
      </c>
      <c r="BI79" s="26">
        <f>AK$4*(AK79-AK$3)</f>
        <v/>
      </c>
      <c r="BJ79" s="26">
        <f>AL$4*(AL79-AL$3)</f>
        <v/>
      </c>
      <c r="BK79" s="26">
        <f>AM$4*(AM79-AM$3)</f>
        <v/>
      </c>
      <c r="BL79" s="26">
        <f>AN$4*(AN79-AN$3)</f>
        <v/>
      </c>
      <c r="BM79" s="26">
        <f>AO$4*(AO79-AO$3)</f>
        <v/>
      </c>
      <c r="BN79" s="26">
        <f>AP$4*(AP79-AP$3)</f>
        <v/>
      </c>
      <c r="BO79" s="26">
        <f>AQ$4*(AQ79-AQ$3)</f>
        <v/>
      </c>
      <c r="BP79" s="26">
        <f>AR$4*(AR79-AR$3)</f>
        <v/>
      </c>
      <c r="BQ79" s="26">
        <f>AS$4*(AS79-AS$3)</f>
        <v/>
      </c>
      <c r="BR79" s="27">
        <f>SUM(AT79:BQ79)</f>
        <v/>
      </c>
      <c r="BS79" s="27">
        <f>INTERCEPT_SCALED+BR79</f>
        <v/>
      </c>
      <c r="BT79" s="28">
        <f>1/(1+EXP(-BS79))</f>
        <v/>
      </c>
      <c r="BU79" s="13">
        <f>1-(1-BT79)^12</f>
        <v/>
      </c>
      <c r="BV79" s="13">
        <f>IFERROR(AT79/BR79*(BU79-BASELINE_CPR),0)</f>
        <v/>
      </c>
      <c r="BW79" s="13">
        <f>IFERROR(AU79/BR79*(BU79-BASELINE_CPR),0)</f>
        <v/>
      </c>
      <c r="BX79" s="13">
        <f>IFERROR(AV79/BR79*(BU79-BASELINE_CPR),0)</f>
        <v/>
      </c>
      <c r="BY79" s="13">
        <f>IFERROR(AW79/BR79*(BU79-BASELINE_CPR),0)</f>
        <v/>
      </c>
      <c r="BZ79" s="13">
        <f>IFERROR(AX79/BR79*(BU79-BASELINE_CPR),0)</f>
        <v/>
      </c>
      <c r="CA79" s="13">
        <f>IFERROR(AY79/BR79*(BU79-BASELINE_CPR),0)</f>
        <v/>
      </c>
      <c r="CB79" s="13">
        <f>IFERROR(AZ79/BR79*(BU79-BASELINE_CPR),0)</f>
        <v/>
      </c>
      <c r="CC79" s="13">
        <f>IFERROR(BA79/BR79*(BU79-BASELINE_CPR),0)</f>
        <v/>
      </c>
      <c r="CD79" s="13">
        <f>IFERROR(BB79/BR79*(BU79-BASELINE_CPR),0)</f>
        <v/>
      </c>
      <c r="CE79" s="13">
        <f>IFERROR(BC79/BR79*(BU79-BASELINE_CPR),0)</f>
        <v/>
      </c>
      <c r="CF79" s="13">
        <f>IFERROR(BD79/BR79*(BU79-BASELINE_CPR),0)</f>
        <v/>
      </c>
      <c r="CG79" s="13">
        <f>IFERROR(BE79/BR79*(BU79-BASELINE_CPR),0)</f>
        <v/>
      </c>
      <c r="CH79" s="13">
        <f>IFERROR(BF79/BR79*(BU79-BASELINE_CPR),0)</f>
        <v/>
      </c>
      <c r="CI79" s="13">
        <f>IFERROR(BG79/BR79*(BU79-BASELINE_CPR),0)</f>
        <v/>
      </c>
      <c r="CJ79" s="13">
        <f>IFERROR(BH79/BR79*(BU79-BASELINE_CPR),0)</f>
        <v/>
      </c>
      <c r="CK79" s="13">
        <f>IFERROR(BI79/BR79*(BU79-BASELINE_CPR),0)</f>
        <v/>
      </c>
      <c r="CL79" s="13">
        <f>IFERROR(BJ79/BR79*(BU79-BASELINE_CPR),0)</f>
        <v/>
      </c>
      <c r="CM79" s="13">
        <f>IFERROR(BK79/BR79*(BU79-BASELINE_CPR),0)</f>
        <v/>
      </c>
      <c r="CN79" s="13">
        <f>IFERROR(BL79/BR79*(BU79-BASELINE_CPR),0)</f>
        <v/>
      </c>
      <c r="CO79" s="13">
        <f>IFERROR(BM79/BR79*(BU79-BASELINE_CPR),0)</f>
        <v/>
      </c>
      <c r="CP79" s="13">
        <f>IFERROR(BN79/BR79*(BU79-BASELINE_CPR),0)</f>
        <v/>
      </c>
      <c r="CQ79" s="13">
        <f>IFERROR(BO79/BR79*(BU79-BASELINE_CPR),0)</f>
        <v/>
      </c>
      <c r="CR79" s="13">
        <f>IFERROR(BP79/BR79*(BU79-BASELINE_CPR),0)</f>
        <v/>
      </c>
      <c r="CS79" s="13">
        <f>IFERROR(BQ79/BR79*(BU79-BASELINE_CPR),0)</f>
        <v/>
      </c>
      <c r="CT79" s="29">
        <f>BASELINE_CPR+SUM(BV79:CS79)-BU79</f>
        <v/>
      </c>
    </row>
    <row r="80">
      <c r="A80" s="2" t="inlineStr">
        <is>
          <t>36180GT83_000000012111176</t>
        </is>
      </c>
      <c r="B80" t="inlineStr">
        <is>
          <t>WALKER_PRE21</t>
        </is>
      </c>
      <c r="C80" s="2" t="inlineStr">
        <is>
          <t>36180GT83</t>
        </is>
      </c>
      <c r="D80" t="inlineStr">
        <is>
          <t>WALKER &amp; DUNLOP, LLC</t>
        </is>
      </c>
      <c r="E80" t="inlineStr">
        <is>
          <t>223f</t>
        </is>
      </c>
      <c r="F80" t="inlineStr">
        <is>
          <t>RP</t>
        </is>
      </c>
      <c r="G80" t="n">
        <v>2013</v>
      </c>
      <c r="H80" t="inlineStr">
        <is>
          <t>202602</t>
        </is>
      </c>
      <c r="I80" s="22" t="n">
        <v>4626699.62</v>
      </c>
      <c r="J80" s="23" t="n">
        <v>4.35</v>
      </c>
      <c r="K80" s="24" t="n">
        <v>447</v>
      </c>
      <c r="L80" s="24" t="n">
        <v>0</v>
      </c>
      <c r="M80" t="n">
        <v>146</v>
      </c>
      <c r="N80" t="n">
        <v>41</v>
      </c>
      <c r="O80" t="n">
        <v>204904</v>
      </c>
      <c r="P80" t="n">
        <v>201605</v>
      </c>
      <c r="Q80" t="inlineStr">
        <is>
          <t>4080</t>
        </is>
      </c>
      <c r="R80" t="n">
        <v>0</v>
      </c>
      <c r="S80" t="n">
        <v>0</v>
      </c>
      <c r="T80" t="n">
        <v>0</v>
      </c>
      <c r="U80" t="n">
        <v>0</v>
      </c>
      <c r="V80" s="24">
        <f>J80*100-K80</f>
        <v/>
      </c>
      <c r="W80" s="24">
        <f>L80</f>
        <v/>
      </c>
      <c r="X80" s="25">
        <f>MIN(M80,36)</f>
        <v/>
      </c>
      <c r="Y80" s="25">
        <f>MIN(MAX(M80-36,0),84)</f>
        <v/>
      </c>
      <c r="Z80" s="25">
        <f>MAX(M80-120,0)</f>
        <v/>
      </c>
      <c r="AA80" s="25">
        <f>IF(OR(O80="",NOT(ISNUMBER(O80))),360,MAX(0,MIN(480,(INT(O80/100)-INT(VALUE(H80)/100))*12+MOD(O80,100)-MOD(VALUE(H80),100))))</f>
        <v/>
      </c>
      <c r="AB80">
        <f>IF(AND(AA80&gt;0,AA80&lt;=24),1,0)</f>
        <v/>
      </c>
      <c r="AC80" s="25">
        <f>IF(OR(P80="",NOT(ISNUMBER(P80))),0,MAX(0,MIN(24,(INT(VALUE(H80)/100)-INT(P80/100))*12+MOD(VALUE(H80),100)-MOD(P80,100))))</f>
        <v/>
      </c>
      <c r="AD80" s="23">
        <f>LN(1+I80)</f>
        <v/>
      </c>
      <c r="AE80">
        <f>IF(I80&lt;2000000,1,0)</f>
        <v/>
      </c>
      <c r="AF80">
        <f>IF(I80&gt;50000000,1,0)</f>
        <v/>
      </c>
      <c r="AG80" s="23">
        <f>IF(ISNUMBER(M80),N80/MAX(M80,1),0)</f>
        <v/>
      </c>
      <c r="AH80">
        <f>IF(G80&gt;=2021,1,0)</f>
        <v/>
      </c>
      <c r="AI80">
        <f>S80</f>
        <v/>
      </c>
      <c r="AJ80">
        <f>T80</f>
        <v/>
      </c>
      <c r="AK80">
        <f>R80</f>
        <v/>
      </c>
      <c r="AL80">
        <f>U80</f>
        <v/>
      </c>
      <c r="AM80">
        <f>IF(ISNUMBER(SEARCH("CAPITAL FUNDING",D80)),1,0)</f>
        <v/>
      </c>
      <c r="AN80">
        <f>IF(ISNUMBER(SEARCH("PNC",D80)),1,0)</f>
        <v/>
      </c>
      <c r="AO80">
        <f>IF(ISNUMBER(SEARCH("WELLS FARGO",D80)),1,0)</f>
        <v/>
      </c>
      <c r="AP80">
        <f>IF(ISNUMBER(SEARCH("DWIGHT",D80)),1,0)</f>
        <v/>
      </c>
      <c r="AQ80">
        <f>IF(ISNUMBER(SEARCH("GREYSTONE",D80)),1,0)</f>
        <v/>
      </c>
      <c r="AR80">
        <f>IF(OR(Q80="3896",Q80="3557"),1,0)</f>
        <v/>
      </c>
      <c r="AS80" s="24">
        <f>V80*W80</f>
        <v/>
      </c>
      <c r="AT80" s="26">
        <f>V$4*(V80-V$3)</f>
        <v/>
      </c>
      <c r="AU80" s="26">
        <f>W$4*(W80-W$3)</f>
        <v/>
      </c>
      <c r="AV80" s="26">
        <f>X$4*(X80-X$3)</f>
        <v/>
      </c>
      <c r="AW80" s="26">
        <f>Y$4*(Y80-Y$3)</f>
        <v/>
      </c>
      <c r="AX80" s="26">
        <f>Z$4*(Z80-Z$3)</f>
        <v/>
      </c>
      <c r="AY80" s="26">
        <f>AA$4*(AA80-AA$3)</f>
        <v/>
      </c>
      <c r="AZ80" s="26">
        <f>AB$4*(AB80-AB$3)</f>
        <v/>
      </c>
      <c r="BA80" s="26">
        <f>AC$4*(AC80-AC$3)</f>
        <v/>
      </c>
      <c r="BB80" s="26">
        <f>AD$4*(AD80-AD$3)</f>
        <v/>
      </c>
      <c r="BC80" s="26">
        <f>AE$4*(AE80-AE$3)</f>
        <v/>
      </c>
      <c r="BD80" s="26">
        <f>AF$4*(AF80-AF$3)</f>
        <v/>
      </c>
      <c r="BE80" s="26">
        <f>AG$4*(AG80-AG$3)</f>
        <v/>
      </c>
      <c r="BF80" s="26">
        <f>AH$4*(AH80-AH$3)</f>
        <v/>
      </c>
      <c r="BG80" s="26">
        <f>AI$4*(AI80-AI$3)</f>
        <v/>
      </c>
      <c r="BH80" s="26">
        <f>AJ$4*(AJ80-AJ$3)</f>
        <v/>
      </c>
      <c r="BI80" s="26">
        <f>AK$4*(AK80-AK$3)</f>
        <v/>
      </c>
      <c r="BJ80" s="26">
        <f>AL$4*(AL80-AL$3)</f>
        <v/>
      </c>
      <c r="BK80" s="26">
        <f>AM$4*(AM80-AM$3)</f>
        <v/>
      </c>
      <c r="BL80" s="26">
        <f>AN$4*(AN80-AN$3)</f>
        <v/>
      </c>
      <c r="BM80" s="26">
        <f>AO$4*(AO80-AO$3)</f>
        <v/>
      </c>
      <c r="BN80" s="26">
        <f>AP$4*(AP80-AP$3)</f>
        <v/>
      </c>
      <c r="BO80" s="26">
        <f>AQ$4*(AQ80-AQ$3)</f>
        <v/>
      </c>
      <c r="BP80" s="26">
        <f>AR$4*(AR80-AR$3)</f>
        <v/>
      </c>
      <c r="BQ80" s="26">
        <f>AS$4*(AS80-AS$3)</f>
        <v/>
      </c>
      <c r="BR80" s="27">
        <f>SUM(AT80:BQ80)</f>
        <v/>
      </c>
      <c r="BS80" s="27">
        <f>INTERCEPT_SCALED+BR80</f>
        <v/>
      </c>
      <c r="BT80" s="28">
        <f>1/(1+EXP(-BS80))</f>
        <v/>
      </c>
      <c r="BU80" s="13">
        <f>1-(1-BT80)^12</f>
        <v/>
      </c>
      <c r="BV80" s="13">
        <f>IFERROR(AT80/BR80*(BU80-BASELINE_CPR),0)</f>
        <v/>
      </c>
      <c r="BW80" s="13">
        <f>IFERROR(AU80/BR80*(BU80-BASELINE_CPR),0)</f>
        <v/>
      </c>
      <c r="BX80" s="13">
        <f>IFERROR(AV80/BR80*(BU80-BASELINE_CPR),0)</f>
        <v/>
      </c>
      <c r="BY80" s="13">
        <f>IFERROR(AW80/BR80*(BU80-BASELINE_CPR),0)</f>
        <v/>
      </c>
      <c r="BZ80" s="13">
        <f>IFERROR(AX80/BR80*(BU80-BASELINE_CPR),0)</f>
        <v/>
      </c>
      <c r="CA80" s="13">
        <f>IFERROR(AY80/BR80*(BU80-BASELINE_CPR),0)</f>
        <v/>
      </c>
      <c r="CB80" s="13">
        <f>IFERROR(AZ80/BR80*(BU80-BASELINE_CPR),0)</f>
        <v/>
      </c>
      <c r="CC80" s="13">
        <f>IFERROR(BA80/BR80*(BU80-BASELINE_CPR),0)</f>
        <v/>
      </c>
      <c r="CD80" s="13">
        <f>IFERROR(BB80/BR80*(BU80-BASELINE_CPR),0)</f>
        <v/>
      </c>
      <c r="CE80" s="13">
        <f>IFERROR(BC80/BR80*(BU80-BASELINE_CPR),0)</f>
        <v/>
      </c>
      <c r="CF80" s="13">
        <f>IFERROR(BD80/BR80*(BU80-BASELINE_CPR),0)</f>
        <v/>
      </c>
      <c r="CG80" s="13">
        <f>IFERROR(BE80/BR80*(BU80-BASELINE_CPR),0)</f>
        <v/>
      </c>
      <c r="CH80" s="13">
        <f>IFERROR(BF80/BR80*(BU80-BASELINE_CPR),0)</f>
        <v/>
      </c>
      <c r="CI80" s="13">
        <f>IFERROR(BG80/BR80*(BU80-BASELINE_CPR),0)</f>
        <v/>
      </c>
      <c r="CJ80" s="13">
        <f>IFERROR(BH80/BR80*(BU80-BASELINE_CPR),0)</f>
        <v/>
      </c>
      <c r="CK80" s="13">
        <f>IFERROR(BI80/BR80*(BU80-BASELINE_CPR),0)</f>
        <v/>
      </c>
      <c r="CL80" s="13">
        <f>IFERROR(BJ80/BR80*(BU80-BASELINE_CPR),0)</f>
        <v/>
      </c>
      <c r="CM80" s="13">
        <f>IFERROR(BK80/BR80*(BU80-BASELINE_CPR),0)</f>
        <v/>
      </c>
      <c r="CN80" s="13">
        <f>IFERROR(BL80/BR80*(BU80-BASELINE_CPR),0)</f>
        <v/>
      </c>
      <c r="CO80" s="13">
        <f>IFERROR(BM80/BR80*(BU80-BASELINE_CPR),0)</f>
        <v/>
      </c>
      <c r="CP80" s="13">
        <f>IFERROR(BN80/BR80*(BU80-BASELINE_CPR),0)</f>
        <v/>
      </c>
      <c r="CQ80" s="13">
        <f>IFERROR(BO80/BR80*(BU80-BASELINE_CPR),0)</f>
        <v/>
      </c>
      <c r="CR80" s="13">
        <f>IFERROR(BP80/BR80*(BU80-BASELINE_CPR),0)</f>
        <v/>
      </c>
      <c r="CS80" s="13">
        <f>IFERROR(BQ80/BR80*(BU80-BASELINE_CPR),0)</f>
        <v/>
      </c>
      <c r="CT80" s="29">
        <f>BASELINE_CPR+SUM(BV80:CS80)-BU80</f>
        <v/>
      </c>
    </row>
    <row r="81">
      <c r="A81" s="2" t="inlineStr">
        <is>
          <t>36178FVA1_000000012722086</t>
        </is>
      </c>
      <c r="B81" t="inlineStr">
        <is>
          <t>WALKER_PRE21</t>
        </is>
      </c>
      <c r="C81" s="2" t="inlineStr">
        <is>
          <t>36178FVA1</t>
        </is>
      </c>
      <c r="D81" t="inlineStr">
        <is>
          <t>WALKER &amp; DUNLOP, LLC</t>
        </is>
      </c>
      <c r="E81" t="inlineStr">
        <is>
          <t>232</t>
        </is>
      </c>
      <c r="F81" t="inlineStr">
        <is>
          <t>RP</t>
        </is>
      </c>
      <c r="G81" t="n">
        <v>2012</v>
      </c>
      <c r="H81" t="inlineStr">
        <is>
          <t>202602</t>
        </is>
      </c>
      <c r="I81" s="22" t="n">
        <v>2391566.61</v>
      </c>
      <c r="J81" s="23" t="n">
        <v>2.8</v>
      </c>
      <c r="K81" s="24" t="n">
        <v>447</v>
      </c>
      <c r="L81" s="24" t="n">
        <v>0</v>
      </c>
      <c r="M81" t="n">
        <v>164</v>
      </c>
      <c r="N81" t="n">
        <v>26</v>
      </c>
      <c r="O81" t="n">
        <v>203708</v>
      </c>
      <c r="P81" t="n">
        <v>201308</v>
      </c>
      <c r="Q81" t="inlineStr">
        <is>
          <t>4080</t>
        </is>
      </c>
      <c r="R81" t="n">
        <v>1</v>
      </c>
      <c r="S81" t="n">
        <v>1</v>
      </c>
      <c r="T81" t="n">
        <v>0</v>
      </c>
      <c r="U81" t="n">
        <v>0</v>
      </c>
      <c r="V81" s="24">
        <f>J81*100-K81</f>
        <v/>
      </c>
      <c r="W81" s="24">
        <f>L81</f>
        <v/>
      </c>
      <c r="X81" s="25">
        <f>MIN(M81,36)</f>
        <v/>
      </c>
      <c r="Y81" s="25">
        <f>MIN(MAX(M81-36,0),84)</f>
        <v/>
      </c>
      <c r="Z81" s="25">
        <f>MAX(M81-120,0)</f>
        <v/>
      </c>
      <c r="AA81" s="25">
        <f>IF(OR(O81="",NOT(ISNUMBER(O81))),360,MAX(0,MIN(480,(INT(O81/100)-INT(VALUE(H81)/100))*12+MOD(O81,100)-MOD(VALUE(H81),100))))</f>
        <v/>
      </c>
      <c r="AB81">
        <f>IF(AND(AA81&gt;0,AA81&lt;=24),1,0)</f>
        <v/>
      </c>
      <c r="AC81" s="25">
        <f>IF(OR(P81="",NOT(ISNUMBER(P81))),0,MAX(0,MIN(24,(INT(VALUE(H81)/100)-INT(P81/100))*12+MOD(VALUE(H81),100)-MOD(P81,100))))</f>
        <v/>
      </c>
      <c r="AD81" s="23">
        <f>LN(1+I81)</f>
        <v/>
      </c>
      <c r="AE81">
        <f>IF(I81&lt;2000000,1,0)</f>
        <v/>
      </c>
      <c r="AF81">
        <f>IF(I81&gt;50000000,1,0)</f>
        <v/>
      </c>
      <c r="AG81" s="23">
        <f>IF(ISNUMBER(M81),N81/MAX(M81,1),0)</f>
        <v/>
      </c>
      <c r="AH81">
        <f>IF(G81&gt;=2021,1,0)</f>
        <v/>
      </c>
      <c r="AI81">
        <f>S81</f>
        <v/>
      </c>
      <c r="AJ81">
        <f>T81</f>
        <v/>
      </c>
      <c r="AK81">
        <f>R81</f>
        <v/>
      </c>
      <c r="AL81">
        <f>U81</f>
        <v/>
      </c>
      <c r="AM81">
        <f>IF(ISNUMBER(SEARCH("CAPITAL FUNDING",D81)),1,0)</f>
        <v/>
      </c>
      <c r="AN81">
        <f>IF(ISNUMBER(SEARCH("PNC",D81)),1,0)</f>
        <v/>
      </c>
      <c r="AO81">
        <f>IF(ISNUMBER(SEARCH("WELLS FARGO",D81)),1,0)</f>
        <v/>
      </c>
      <c r="AP81">
        <f>IF(ISNUMBER(SEARCH("DWIGHT",D81)),1,0)</f>
        <v/>
      </c>
      <c r="AQ81">
        <f>IF(ISNUMBER(SEARCH("GREYSTONE",D81)),1,0)</f>
        <v/>
      </c>
      <c r="AR81">
        <f>IF(OR(Q81="3896",Q81="3557"),1,0)</f>
        <v/>
      </c>
      <c r="AS81" s="24">
        <f>V81*W81</f>
        <v/>
      </c>
      <c r="AT81" s="26">
        <f>V$4*(V81-V$3)</f>
        <v/>
      </c>
      <c r="AU81" s="26">
        <f>W$4*(W81-W$3)</f>
        <v/>
      </c>
      <c r="AV81" s="26">
        <f>X$4*(X81-X$3)</f>
        <v/>
      </c>
      <c r="AW81" s="26">
        <f>Y$4*(Y81-Y$3)</f>
        <v/>
      </c>
      <c r="AX81" s="26">
        <f>Z$4*(Z81-Z$3)</f>
        <v/>
      </c>
      <c r="AY81" s="26">
        <f>AA$4*(AA81-AA$3)</f>
        <v/>
      </c>
      <c r="AZ81" s="26">
        <f>AB$4*(AB81-AB$3)</f>
        <v/>
      </c>
      <c r="BA81" s="26">
        <f>AC$4*(AC81-AC$3)</f>
        <v/>
      </c>
      <c r="BB81" s="26">
        <f>AD$4*(AD81-AD$3)</f>
        <v/>
      </c>
      <c r="BC81" s="26">
        <f>AE$4*(AE81-AE$3)</f>
        <v/>
      </c>
      <c r="BD81" s="26">
        <f>AF$4*(AF81-AF$3)</f>
        <v/>
      </c>
      <c r="BE81" s="26">
        <f>AG$4*(AG81-AG$3)</f>
        <v/>
      </c>
      <c r="BF81" s="26">
        <f>AH$4*(AH81-AH$3)</f>
        <v/>
      </c>
      <c r="BG81" s="26">
        <f>AI$4*(AI81-AI$3)</f>
        <v/>
      </c>
      <c r="BH81" s="26">
        <f>AJ$4*(AJ81-AJ$3)</f>
        <v/>
      </c>
      <c r="BI81" s="26">
        <f>AK$4*(AK81-AK$3)</f>
        <v/>
      </c>
      <c r="BJ81" s="26">
        <f>AL$4*(AL81-AL$3)</f>
        <v/>
      </c>
      <c r="BK81" s="26">
        <f>AM$4*(AM81-AM$3)</f>
        <v/>
      </c>
      <c r="BL81" s="26">
        <f>AN$4*(AN81-AN$3)</f>
        <v/>
      </c>
      <c r="BM81" s="26">
        <f>AO$4*(AO81-AO$3)</f>
        <v/>
      </c>
      <c r="BN81" s="26">
        <f>AP$4*(AP81-AP$3)</f>
        <v/>
      </c>
      <c r="BO81" s="26">
        <f>AQ$4*(AQ81-AQ$3)</f>
        <v/>
      </c>
      <c r="BP81" s="26">
        <f>AR$4*(AR81-AR$3)</f>
        <v/>
      </c>
      <c r="BQ81" s="26">
        <f>AS$4*(AS81-AS$3)</f>
        <v/>
      </c>
      <c r="BR81" s="27">
        <f>SUM(AT81:BQ81)</f>
        <v/>
      </c>
      <c r="BS81" s="27">
        <f>INTERCEPT_SCALED+BR81</f>
        <v/>
      </c>
      <c r="BT81" s="28">
        <f>1/(1+EXP(-BS81))</f>
        <v/>
      </c>
      <c r="BU81" s="13">
        <f>1-(1-BT81)^12</f>
        <v/>
      </c>
      <c r="BV81" s="13">
        <f>IFERROR(AT81/BR81*(BU81-BASELINE_CPR),0)</f>
        <v/>
      </c>
      <c r="BW81" s="13">
        <f>IFERROR(AU81/BR81*(BU81-BASELINE_CPR),0)</f>
        <v/>
      </c>
      <c r="BX81" s="13">
        <f>IFERROR(AV81/BR81*(BU81-BASELINE_CPR),0)</f>
        <v/>
      </c>
      <c r="BY81" s="13">
        <f>IFERROR(AW81/BR81*(BU81-BASELINE_CPR),0)</f>
        <v/>
      </c>
      <c r="BZ81" s="13">
        <f>IFERROR(AX81/BR81*(BU81-BASELINE_CPR),0)</f>
        <v/>
      </c>
      <c r="CA81" s="13">
        <f>IFERROR(AY81/BR81*(BU81-BASELINE_CPR),0)</f>
        <v/>
      </c>
      <c r="CB81" s="13">
        <f>IFERROR(AZ81/BR81*(BU81-BASELINE_CPR),0)</f>
        <v/>
      </c>
      <c r="CC81" s="13">
        <f>IFERROR(BA81/BR81*(BU81-BASELINE_CPR),0)</f>
        <v/>
      </c>
      <c r="CD81" s="13">
        <f>IFERROR(BB81/BR81*(BU81-BASELINE_CPR),0)</f>
        <v/>
      </c>
      <c r="CE81" s="13">
        <f>IFERROR(BC81/BR81*(BU81-BASELINE_CPR),0)</f>
        <v/>
      </c>
      <c r="CF81" s="13">
        <f>IFERROR(BD81/BR81*(BU81-BASELINE_CPR),0)</f>
        <v/>
      </c>
      <c r="CG81" s="13">
        <f>IFERROR(BE81/BR81*(BU81-BASELINE_CPR),0)</f>
        <v/>
      </c>
      <c r="CH81" s="13">
        <f>IFERROR(BF81/BR81*(BU81-BASELINE_CPR),0)</f>
        <v/>
      </c>
      <c r="CI81" s="13">
        <f>IFERROR(BG81/BR81*(BU81-BASELINE_CPR),0)</f>
        <v/>
      </c>
      <c r="CJ81" s="13">
        <f>IFERROR(BH81/BR81*(BU81-BASELINE_CPR),0)</f>
        <v/>
      </c>
      <c r="CK81" s="13">
        <f>IFERROR(BI81/BR81*(BU81-BASELINE_CPR),0)</f>
        <v/>
      </c>
      <c r="CL81" s="13">
        <f>IFERROR(BJ81/BR81*(BU81-BASELINE_CPR),0)</f>
        <v/>
      </c>
      <c r="CM81" s="13">
        <f>IFERROR(BK81/BR81*(BU81-BASELINE_CPR),0)</f>
        <v/>
      </c>
      <c r="CN81" s="13">
        <f>IFERROR(BL81/BR81*(BU81-BASELINE_CPR),0)</f>
        <v/>
      </c>
      <c r="CO81" s="13">
        <f>IFERROR(BM81/BR81*(BU81-BASELINE_CPR),0)</f>
        <v/>
      </c>
      <c r="CP81" s="13">
        <f>IFERROR(BN81/BR81*(BU81-BASELINE_CPR),0)</f>
        <v/>
      </c>
      <c r="CQ81" s="13">
        <f>IFERROR(BO81/BR81*(BU81-BASELINE_CPR),0)</f>
        <v/>
      </c>
      <c r="CR81" s="13">
        <f>IFERROR(BP81/BR81*(BU81-BASELINE_CPR),0)</f>
        <v/>
      </c>
      <c r="CS81" s="13">
        <f>IFERROR(BQ81/BR81*(BU81-BASELINE_CPR),0)</f>
        <v/>
      </c>
      <c r="CT81" s="29">
        <f>BASELINE_CPR+SUM(BV81:CS81)-BU81</f>
        <v/>
      </c>
    </row>
    <row r="82">
      <c r="A82" s="2" t="inlineStr">
        <is>
          <t>3617N1EH9_000000002311546</t>
        </is>
      </c>
      <c r="B82" t="inlineStr">
        <is>
          <t>WALKER_PRE21</t>
        </is>
      </c>
      <c r="C82" s="2" t="inlineStr">
        <is>
          <t>3617N1EH9</t>
        </is>
      </c>
      <c r="D82" t="inlineStr">
        <is>
          <t>WALKER &amp; DUNLOP, LLC</t>
        </is>
      </c>
      <c r="E82" t="inlineStr">
        <is>
          <t>223f</t>
        </is>
      </c>
      <c r="F82" t="inlineStr">
        <is>
          <t>RP</t>
        </is>
      </c>
      <c r="G82" t="n">
        <v>2020</v>
      </c>
      <c r="H82" t="inlineStr">
        <is>
          <t>202602</t>
        </is>
      </c>
      <c r="I82" s="22" t="n">
        <v>5130860.07</v>
      </c>
      <c r="J82" s="23" t="n">
        <v>2.55</v>
      </c>
      <c r="K82" s="24" t="n">
        <v>447</v>
      </c>
      <c r="L82" s="24" t="n">
        <v>5</v>
      </c>
      <c r="M82" t="n">
        <v>68</v>
      </c>
      <c r="N82" t="n">
        <v>0</v>
      </c>
      <c r="O82" t="n">
        <v>205507</v>
      </c>
      <c r="P82" t="inlineStr"/>
      <c r="Q82" t="inlineStr">
        <is>
          <t>4080</t>
        </is>
      </c>
      <c r="R82" t="n">
        <v>0</v>
      </c>
      <c r="S82" t="n">
        <v>0</v>
      </c>
      <c r="T82" t="n">
        <v>0</v>
      </c>
      <c r="U82" t="n">
        <v>0</v>
      </c>
      <c r="V82" s="24">
        <f>J82*100-K82</f>
        <v/>
      </c>
      <c r="W82" s="24">
        <f>L82</f>
        <v/>
      </c>
      <c r="X82" s="25">
        <f>MIN(M82,36)</f>
        <v/>
      </c>
      <c r="Y82" s="25">
        <f>MIN(MAX(M82-36,0),84)</f>
        <v/>
      </c>
      <c r="Z82" s="25">
        <f>MAX(M82-120,0)</f>
        <v/>
      </c>
      <c r="AA82" s="25">
        <f>IF(OR(O82="",NOT(ISNUMBER(O82))),360,MAX(0,MIN(480,(INT(O82/100)-INT(VALUE(H82)/100))*12+MOD(O82,100)-MOD(VALUE(H82),100))))</f>
        <v/>
      </c>
      <c r="AB82">
        <f>IF(AND(AA82&gt;0,AA82&lt;=24),1,0)</f>
        <v/>
      </c>
      <c r="AC82" s="25">
        <f>IF(OR(P82="",NOT(ISNUMBER(P82))),0,MAX(0,MIN(24,(INT(VALUE(H82)/100)-INT(P82/100))*12+MOD(VALUE(H82),100)-MOD(P82,100))))</f>
        <v/>
      </c>
      <c r="AD82" s="23">
        <f>LN(1+I82)</f>
        <v/>
      </c>
      <c r="AE82">
        <f>IF(I82&lt;2000000,1,0)</f>
        <v/>
      </c>
      <c r="AF82">
        <f>IF(I82&gt;50000000,1,0)</f>
        <v/>
      </c>
      <c r="AG82" s="23">
        <f>IF(ISNUMBER(M82),N82/MAX(M82,1),0)</f>
        <v/>
      </c>
      <c r="AH82">
        <f>IF(G82&gt;=2021,1,0)</f>
        <v/>
      </c>
      <c r="AI82">
        <f>S82</f>
        <v/>
      </c>
      <c r="AJ82">
        <f>T82</f>
        <v/>
      </c>
      <c r="AK82">
        <f>R82</f>
        <v/>
      </c>
      <c r="AL82">
        <f>U82</f>
        <v/>
      </c>
      <c r="AM82">
        <f>IF(ISNUMBER(SEARCH("CAPITAL FUNDING",D82)),1,0)</f>
        <v/>
      </c>
      <c r="AN82">
        <f>IF(ISNUMBER(SEARCH("PNC",D82)),1,0)</f>
        <v/>
      </c>
      <c r="AO82">
        <f>IF(ISNUMBER(SEARCH("WELLS FARGO",D82)),1,0)</f>
        <v/>
      </c>
      <c r="AP82">
        <f>IF(ISNUMBER(SEARCH("DWIGHT",D82)),1,0)</f>
        <v/>
      </c>
      <c r="AQ82">
        <f>IF(ISNUMBER(SEARCH("GREYSTONE",D82)),1,0)</f>
        <v/>
      </c>
      <c r="AR82">
        <f>IF(OR(Q82="3896",Q82="3557"),1,0)</f>
        <v/>
      </c>
      <c r="AS82" s="24">
        <f>V82*W82</f>
        <v/>
      </c>
      <c r="AT82" s="26">
        <f>V$4*(V82-V$3)</f>
        <v/>
      </c>
      <c r="AU82" s="26">
        <f>W$4*(W82-W$3)</f>
        <v/>
      </c>
      <c r="AV82" s="26">
        <f>X$4*(X82-X$3)</f>
        <v/>
      </c>
      <c r="AW82" s="26">
        <f>Y$4*(Y82-Y$3)</f>
        <v/>
      </c>
      <c r="AX82" s="26">
        <f>Z$4*(Z82-Z$3)</f>
        <v/>
      </c>
      <c r="AY82" s="26">
        <f>AA$4*(AA82-AA$3)</f>
        <v/>
      </c>
      <c r="AZ82" s="26">
        <f>AB$4*(AB82-AB$3)</f>
        <v/>
      </c>
      <c r="BA82" s="26">
        <f>AC$4*(AC82-AC$3)</f>
        <v/>
      </c>
      <c r="BB82" s="26">
        <f>AD$4*(AD82-AD$3)</f>
        <v/>
      </c>
      <c r="BC82" s="26">
        <f>AE$4*(AE82-AE$3)</f>
        <v/>
      </c>
      <c r="BD82" s="26">
        <f>AF$4*(AF82-AF$3)</f>
        <v/>
      </c>
      <c r="BE82" s="26">
        <f>AG$4*(AG82-AG$3)</f>
        <v/>
      </c>
      <c r="BF82" s="26">
        <f>AH$4*(AH82-AH$3)</f>
        <v/>
      </c>
      <c r="BG82" s="26">
        <f>AI$4*(AI82-AI$3)</f>
        <v/>
      </c>
      <c r="BH82" s="26">
        <f>AJ$4*(AJ82-AJ$3)</f>
        <v/>
      </c>
      <c r="BI82" s="26">
        <f>AK$4*(AK82-AK$3)</f>
        <v/>
      </c>
      <c r="BJ82" s="26">
        <f>AL$4*(AL82-AL$3)</f>
        <v/>
      </c>
      <c r="BK82" s="26">
        <f>AM$4*(AM82-AM$3)</f>
        <v/>
      </c>
      <c r="BL82" s="26">
        <f>AN$4*(AN82-AN$3)</f>
        <v/>
      </c>
      <c r="BM82" s="26">
        <f>AO$4*(AO82-AO$3)</f>
        <v/>
      </c>
      <c r="BN82" s="26">
        <f>AP$4*(AP82-AP$3)</f>
        <v/>
      </c>
      <c r="BO82" s="26">
        <f>AQ$4*(AQ82-AQ$3)</f>
        <v/>
      </c>
      <c r="BP82" s="26">
        <f>AR$4*(AR82-AR$3)</f>
        <v/>
      </c>
      <c r="BQ82" s="26">
        <f>AS$4*(AS82-AS$3)</f>
        <v/>
      </c>
      <c r="BR82" s="27">
        <f>SUM(AT82:BQ82)</f>
        <v/>
      </c>
      <c r="BS82" s="27">
        <f>INTERCEPT_SCALED+BR82</f>
        <v/>
      </c>
      <c r="BT82" s="28">
        <f>1/(1+EXP(-BS82))</f>
        <v/>
      </c>
      <c r="BU82" s="13">
        <f>1-(1-BT82)^12</f>
        <v/>
      </c>
      <c r="BV82" s="13">
        <f>IFERROR(AT82/BR82*(BU82-BASELINE_CPR),0)</f>
        <v/>
      </c>
      <c r="BW82" s="13">
        <f>IFERROR(AU82/BR82*(BU82-BASELINE_CPR),0)</f>
        <v/>
      </c>
      <c r="BX82" s="13">
        <f>IFERROR(AV82/BR82*(BU82-BASELINE_CPR),0)</f>
        <v/>
      </c>
      <c r="BY82" s="13">
        <f>IFERROR(AW82/BR82*(BU82-BASELINE_CPR),0)</f>
        <v/>
      </c>
      <c r="BZ82" s="13">
        <f>IFERROR(AX82/BR82*(BU82-BASELINE_CPR),0)</f>
        <v/>
      </c>
      <c r="CA82" s="13">
        <f>IFERROR(AY82/BR82*(BU82-BASELINE_CPR),0)</f>
        <v/>
      </c>
      <c r="CB82" s="13">
        <f>IFERROR(AZ82/BR82*(BU82-BASELINE_CPR),0)</f>
        <v/>
      </c>
      <c r="CC82" s="13">
        <f>IFERROR(BA82/BR82*(BU82-BASELINE_CPR),0)</f>
        <v/>
      </c>
      <c r="CD82" s="13">
        <f>IFERROR(BB82/BR82*(BU82-BASELINE_CPR),0)</f>
        <v/>
      </c>
      <c r="CE82" s="13">
        <f>IFERROR(BC82/BR82*(BU82-BASELINE_CPR),0)</f>
        <v/>
      </c>
      <c r="CF82" s="13">
        <f>IFERROR(BD82/BR82*(BU82-BASELINE_CPR),0)</f>
        <v/>
      </c>
      <c r="CG82" s="13">
        <f>IFERROR(BE82/BR82*(BU82-BASELINE_CPR),0)</f>
        <v/>
      </c>
      <c r="CH82" s="13">
        <f>IFERROR(BF82/BR82*(BU82-BASELINE_CPR),0)</f>
        <v/>
      </c>
      <c r="CI82" s="13">
        <f>IFERROR(BG82/BR82*(BU82-BASELINE_CPR),0)</f>
        <v/>
      </c>
      <c r="CJ82" s="13">
        <f>IFERROR(BH82/BR82*(BU82-BASELINE_CPR),0)</f>
        <v/>
      </c>
      <c r="CK82" s="13">
        <f>IFERROR(BI82/BR82*(BU82-BASELINE_CPR),0)</f>
        <v/>
      </c>
      <c r="CL82" s="13">
        <f>IFERROR(BJ82/BR82*(BU82-BASELINE_CPR),0)</f>
        <v/>
      </c>
      <c r="CM82" s="13">
        <f>IFERROR(BK82/BR82*(BU82-BASELINE_CPR),0)</f>
        <v/>
      </c>
      <c r="CN82" s="13">
        <f>IFERROR(BL82/BR82*(BU82-BASELINE_CPR),0)</f>
        <v/>
      </c>
      <c r="CO82" s="13">
        <f>IFERROR(BM82/BR82*(BU82-BASELINE_CPR),0)</f>
        <v/>
      </c>
      <c r="CP82" s="13">
        <f>IFERROR(BN82/BR82*(BU82-BASELINE_CPR),0)</f>
        <v/>
      </c>
      <c r="CQ82" s="13">
        <f>IFERROR(BO82/BR82*(BU82-BASELINE_CPR),0)</f>
        <v/>
      </c>
      <c r="CR82" s="13">
        <f>IFERROR(BP82/BR82*(BU82-BASELINE_CPR),0)</f>
        <v/>
      </c>
      <c r="CS82" s="13">
        <f>IFERROR(BQ82/BR82*(BU82-BASELINE_CPR),0)</f>
        <v/>
      </c>
      <c r="CT82" s="29">
        <f>BASELINE_CPR+SUM(BV82:CS82)-BU82</f>
        <v/>
      </c>
    </row>
    <row r="83">
      <c r="A83" s="2" t="inlineStr">
        <is>
          <t>36295SBS4_000000001711123</t>
        </is>
      </c>
      <c r="B83" t="inlineStr">
        <is>
          <t>WALKER_PRE21</t>
        </is>
      </c>
      <c r="C83" s="2" t="inlineStr">
        <is>
          <t>36295SBS4</t>
        </is>
      </c>
      <c r="D83" t="inlineStr">
        <is>
          <t>WALKER &amp; DUNLOP, LLC</t>
        </is>
      </c>
      <c r="E83" t="inlineStr">
        <is>
          <t>223f</t>
        </is>
      </c>
      <c r="F83" t="inlineStr">
        <is>
          <t>RP</t>
        </is>
      </c>
      <c r="G83" t="n">
        <v>2010</v>
      </c>
      <c r="H83" t="inlineStr">
        <is>
          <t>202602</t>
        </is>
      </c>
      <c r="I83" s="22" t="n">
        <v>1165207.31</v>
      </c>
      <c r="J83" s="23" t="n">
        <v>4.6</v>
      </c>
      <c r="K83" s="24" t="n">
        <v>447</v>
      </c>
      <c r="L83" s="24" t="n">
        <v>0</v>
      </c>
      <c r="M83" t="n">
        <v>189</v>
      </c>
      <c r="N83" t="n">
        <v>47</v>
      </c>
      <c r="O83" t="n">
        <v>204507</v>
      </c>
      <c r="P83" t="n">
        <v>201207</v>
      </c>
      <c r="Q83" t="inlineStr">
        <is>
          <t>4080</t>
        </is>
      </c>
      <c r="R83" t="n">
        <v>0</v>
      </c>
      <c r="S83" t="n">
        <v>0</v>
      </c>
      <c r="T83" t="n">
        <v>0</v>
      </c>
      <c r="U83" t="n">
        <v>0</v>
      </c>
      <c r="V83" s="24">
        <f>J83*100-K83</f>
        <v/>
      </c>
      <c r="W83" s="24">
        <f>L83</f>
        <v/>
      </c>
      <c r="X83" s="25">
        <f>MIN(M83,36)</f>
        <v/>
      </c>
      <c r="Y83" s="25">
        <f>MIN(MAX(M83-36,0),84)</f>
        <v/>
      </c>
      <c r="Z83" s="25">
        <f>MAX(M83-120,0)</f>
        <v/>
      </c>
      <c r="AA83" s="25">
        <f>IF(OR(O83="",NOT(ISNUMBER(O83))),360,MAX(0,MIN(480,(INT(O83/100)-INT(VALUE(H83)/100))*12+MOD(O83,100)-MOD(VALUE(H83),100))))</f>
        <v/>
      </c>
      <c r="AB83">
        <f>IF(AND(AA83&gt;0,AA83&lt;=24),1,0)</f>
        <v/>
      </c>
      <c r="AC83" s="25">
        <f>IF(OR(P83="",NOT(ISNUMBER(P83))),0,MAX(0,MIN(24,(INT(VALUE(H83)/100)-INT(P83/100))*12+MOD(VALUE(H83),100)-MOD(P83,100))))</f>
        <v/>
      </c>
      <c r="AD83" s="23">
        <f>LN(1+I83)</f>
        <v/>
      </c>
      <c r="AE83">
        <f>IF(I83&lt;2000000,1,0)</f>
        <v/>
      </c>
      <c r="AF83">
        <f>IF(I83&gt;50000000,1,0)</f>
        <v/>
      </c>
      <c r="AG83" s="23">
        <f>IF(ISNUMBER(M83),N83/MAX(M83,1),0)</f>
        <v/>
      </c>
      <c r="AH83">
        <f>IF(G83&gt;=2021,1,0)</f>
        <v/>
      </c>
      <c r="AI83">
        <f>S83</f>
        <v/>
      </c>
      <c r="AJ83">
        <f>T83</f>
        <v/>
      </c>
      <c r="AK83">
        <f>R83</f>
        <v/>
      </c>
      <c r="AL83">
        <f>U83</f>
        <v/>
      </c>
      <c r="AM83">
        <f>IF(ISNUMBER(SEARCH("CAPITAL FUNDING",D83)),1,0)</f>
        <v/>
      </c>
      <c r="AN83">
        <f>IF(ISNUMBER(SEARCH("PNC",D83)),1,0)</f>
        <v/>
      </c>
      <c r="AO83">
        <f>IF(ISNUMBER(SEARCH("WELLS FARGO",D83)),1,0)</f>
        <v/>
      </c>
      <c r="AP83">
        <f>IF(ISNUMBER(SEARCH("DWIGHT",D83)),1,0)</f>
        <v/>
      </c>
      <c r="AQ83">
        <f>IF(ISNUMBER(SEARCH("GREYSTONE",D83)),1,0)</f>
        <v/>
      </c>
      <c r="AR83">
        <f>IF(OR(Q83="3896",Q83="3557"),1,0)</f>
        <v/>
      </c>
      <c r="AS83" s="24">
        <f>V83*W83</f>
        <v/>
      </c>
      <c r="AT83" s="26">
        <f>V$4*(V83-V$3)</f>
        <v/>
      </c>
      <c r="AU83" s="26">
        <f>W$4*(W83-W$3)</f>
        <v/>
      </c>
      <c r="AV83" s="26">
        <f>X$4*(X83-X$3)</f>
        <v/>
      </c>
      <c r="AW83" s="26">
        <f>Y$4*(Y83-Y$3)</f>
        <v/>
      </c>
      <c r="AX83" s="26">
        <f>Z$4*(Z83-Z$3)</f>
        <v/>
      </c>
      <c r="AY83" s="26">
        <f>AA$4*(AA83-AA$3)</f>
        <v/>
      </c>
      <c r="AZ83" s="26">
        <f>AB$4*(AB83-AB$3)</f>
        <v/>
      </c>
      <c r="BA83" s="26">
        <f>AC$4*(AC83-AC$3)</f>
        <v/>
      </c>
      <c r="BB83" s="26">
        <f>AD$4*(AD83-AD$3)</f>
        <v/>
      </c>
      <c r="BC83" s="26">
        <f>AE$4*(AE83-AE$3)</f>
        <v/>
      </c>
      <c r="BD83" s="26">
        <f>AF$4*(AF83-AF$3)</f>
        <v/>
      </c>
      <c r="BE83" s="26">
        <f>AG$4*(AG83-AG$3)</f>
        <v/>
      </c>
      <c r="BF83" s="26">
        <f>AH$4*(AH83-AH$3)</f>
        <v/>
      </c>
      <c r="BG83" s="26">
        <f>AI$4*(AI83-AI$3)</f>
        <v/>
      </c>
      <c r="BH83" s="26">
        <f>AJ$4*(AJ83-AJ$3)</f>
        <v/>
      </c>
      <c r="BI83" s="26">
        <f>AK$4*(AK83-AK$3)</f>
        <v/>
      </c>
      <c r="BJ83" s="26">
        <f>AL$4*(AL83-AL$3)</f>
        <v/>
      </c>
      <c r="BK83" s="26">
        <f>AM$4*(AM83-AM$3)</f>
        <v/>
      </c>
      <c r="BL83" s="26">
        <f>AN$4*(AN83-AN$3)</f>
        <v/>
      </c>
      <c r="BM83" s="26">
        <f>AO$4*(AO83-AO$3)</f>
        <v/>
      </c>
      <c r="BN83" s="26">
        <f>AP$4*(AP83-AP$3)</f>
        <v/>
      </c>
      <c r="BO83" s="26">
        <f>AQ$4*(AQ83-AQ$3)</f>
        <v/>
      </c>
      <c r="BP83" s="26">
        <f>AR$4*(AR83-AR$3)</f>
        <v/>
      </c>
      <c r="BQ83" s="26">
        <f>AS$4*(AS83-AS$3)</f>
        <v/>
      </c>
      <c r="BR83" s="27">
        <f>SUM(AT83:BQ83)</f>
        <v/>
      </c>
      <c r="BS83" s="27">
        <f>INTERCEPT_SCALED+BR83</f>
        <v/>
      </c>
      <c r="BT83" s="28">
        <f>1/(1+EXP(-BS83))</f>
        <v/>
      </c>
      <c r="BU83" s="13">
        <f>1-(1-BT83)^12</f>
        <v/>
      </c>
      <c r="BV83" s="13">
        <f>IFERROR(AT83/BR83*(BU83-BASELINE_CPR),0)</f>
        <v/>
      </c>
      <c r="BW83" s="13">
        <f>IFERROR(AU83/BR83*(BU83-BASELINE_CPR),0)</f>
        <v/>
      </c>
      <c r="BX83" s="13">
        <f>IFERROR(AV83/BR83*(BU83-BASELINE_CPR),0)</f>
        <v/>
      </c>
      <c r="BY83" s="13">
        <f>IFERROR(AW83/BR83*(BU83-BASELINE_CPR),0)</f>
        <v/>
      </c>
      <c r="BZ83" s="13">
        <f>IFERROR(AX83/BR83*(BU83-BASELINE_CPR),0)</f>
        <v/>
      </c>
      <c r="CA83" s="13">
        <f>IFERROR(AY83/BR83*(BU83-BASELINE_CPR),0)</f>
        <v/>
      </c>
      <c r="CB83" s="13">
        <f>IFERROR(AZ83/BR83*(BU83-BASELINE_CPR),0)</f>
        <v/>
      </c>
      <c r="CC83" s="13">
        <f>IFERROR(BA83/BR83*(BU83-BASELINE_CPR),0)</f>
        <v/>
      </c>
      <c r="CD83" s="13">
        <f>IFERROR(BB83/BR83*(BU83-BASELINE_CPR),0)</f>
        <v/>
      </c>
      <c r="CE83" s="13">
        <f>IFERROR(BC83/BR83*(BU83-BASELINE_CPR),0)</f>
        <v/>
      </c>
      <c r="CF83" s="13">
        <f>IFERROR(BD83/BR83*(BU83-BASELINE_CPR),0)</f>
        <v/>
      </c>
      <c r="CG83" s="13">
        <f>IFERROR(BE83/BR83*(BU83-BASELINE_CPR),0)</f>
        <v/>
      </c>
      <c r="CH83" s="13">
        <f>IFERROR(BF83/BR83*(BU83-BASELINE_CPR),0)</f>
        <v/>
      </c>
      <c r="CI83" s="13">
        <f>IFERROR(BG83/BR83*(BU83-BASELINE_CPR),0)</f>
        <v/>
      </c>
      <c r="CJ83" s="13">
        <f>IFERROR(BH83/BR83*(BU83-BASELINE_CPR),0)</f>
        <v/>
      </c>
      <c r="CK83" s="13">
        <f>IFERROR(BI83/BR83*(BU83-BASELINE_CPR),0)</f>
        <v/>
      </c>
      <c r="CL83" s="13">
        <f>IFERROR(BJ83/BR83*(BU83-BASELINE_CPR),0)</f>
        <v/>
      </c>
      <c r="CM83" s="13">
        <f>IFERROR(BK83/BR83*(BU83-BASELINE_CPR),0)</f>
        <v/>
      </c>
      <c r="CN83" s="13">
        <f>IFERROR(BL83/BR83*(BU83-BASELINE_CPR),0)</f>
        <v/>
      </c>
      <c r="CO83" s="13">
        <f>IFERROR(BM83/BR83*(BU83-BASELINE_CPR),0)</f>
        <v/>
      </c>
      <c r="CP83" s="13">
        <f>IFERROR(BN83/BR83*(BU83-BASELINE_CPR),0)</f>
        <v/>
      </c>
      <c r="CQ83" s="13">
        <f>IFERROR(BO83/BR83*(BU83-BASELINE_CPR),0)</f>
        <v/>
      </c>
      <c r="CR83" s="13">
        <f>IFERROR(BP83/BR83*(BU83-BASELINE_CPR),0)</f>
        <v/>
      </c>
      <c r="CS83" s="13">
        <f>IFERROR(BQ83/BR83*(BU83-BASELINE_CPR),0)</f>
        <v/>
      </c>
      <c r="CT83" s="29">
        <f>BASELINE_CPR+SUM(BV83:CS83)-BU83</f>
        <v/>
      </c>
    </row>
    <row r="84">
      <c r="A84" s="2" t="inlineStr">
        <is>
          <t>36180M4N4_000000008111083</t>
        </is>
      </c>
      <c r="B84" t="inlineStr">
        <is>
          <t>WALKER_PRE21</t>
        </is>
      </c>
      <c r="C84" s="2" t="inlineStr">
        <is>
          <t>36180M4N4</t>
        </is>
      </c>
      <c r="D84" t="inlineStr">
        <is>
          <t>WALKER &amp; DUNLOP, LLC</t>
        </is>
      </c>
      <c r="E84" t="inlineStr">
        <is>
          <t>223f</t>
        </is>
      </c>
      <c r="F84" t="inlineStr">
        <is>
          <t>RP</t>
        </is>
      </c>
      <c r="G84" t="n">
        <v>2013</v>
      </c>
      <c r="H84" t="inlineStr">
        <is>
          <t>202602</t>
        </is>
      </c>
      <c r="I84" s="22" t="n">
        <v>696510.77</v>
      </c>
      <c r="J84" s="23" t="n">
        <v>2.97</v>
      </c>
      <c r="K84" s="24" t="n">
        <v>447</v>
      </c>
      <c r="L84" s="24" t="n">
        <v>0</v>
      </c>
      <c r="M84" t="n">
        <v>152</v>
      </c>
      <c r="N84" t="n">
        <v>27</v>
      </c>
      <c r="O84" t="n">
        <v>204307</v>
      </c>
      <c r="P84" t="inlineStr"/>
      <c r="Q84" t="inlineStr">
        <is>
          <t>4080</t>
        </is>
      </c>
      <c r="R84" t="n">
        <v>0</v>
      </c>
      <c r="S84" t="n">
        <v>0</v>
      </c>
      <c r="T84" t="n">
        <v>0</v>
      </c>
      <c r="U84" t="n">
        <v>0</v>
      </c>
      <c r="V84" s="24">
        <f>J84*100-K84</f>
        <v/>
      </c>
      <c r="W84" s="24">
        <f>L84</f>
        <v/>
      </c>
      <c r="X84" s="25">
        <f>MIN(M84,36)</f>
        <v/>
      </c>
      <c r="Y84" s="25">
        <f>MIN(MAX(M84-36,0),84)</f>
        <v/>
      </c>
      <c r="Z84" s="25">
        <f>MAX(M84-120,0)</f>
        <v/>
      </c>
      <c r="AA84" s="25">
        <f>IF(OR(O84="",NOT(ISNUMBER(O84))),360,MAX(0,MIN(480,(INT(O84/100)-INT(VALUE(H84)/100))*12+MOD(O84,100)-MOD(VALUE(H84),100))))</f>
        <v/>
      </c>
      <c r="AB84">
        <f>IF(AND(AA84&gt;0,AA84&lt;=24),1,0)</f>
        <v/>
      </c>
      <c r="AC84" s="25">
        <f>IF(OR(P84="",NOT(ISNUMBER(P84))),0,MAX(0,MIN(24,(INT(VALUE(H84)/100)-INT(P84/100))*12+MOD(VALUE(H84),100)-MOD(P84,100))))</f>
        <v/>
      </c>
      <c r="AD84" s="23">
        <f>LN(1+I84)</f>
        <v/>
      </c>
      <c r="AE84">
        <f>IF(I84&lt;2000000,1,0)</f>
        <v/>
      </c>
      <c r="AF84">
        <f>IF(I84&gt;50000000,1,0)</f>
        <v/>
      </c>
      <c r="AG84" s="23">
        <f>IF(ISNUMBER(M84),N84/MAX(M84,1),0)</f>
        <v/>
      </c>
      <c r="AH84">
        <f>IF(G84&gt;=2021,1,0)</f>
        <v/>
      </c>
      <c r="AI84">
        <f>S84</f>
        <v/>
      </c>
      <c r="AJ84">
        <f>T84</f>
        <v/>
      </c>
      <c r="AK84">
        <f>R84</f>
        <v/>
      </c>
      <c r="AL84">
        <f>U84</f>
        <v/>
      </c>
      <c r="AM84">
        <f>IF(ISNUMBER(SEARCH("CAPITAL FUNDING",D84)),1,0)</f>
        <v/>
      </c>
      <c r="AN84">
        <f>IF(ISNUMBER(SEARCH("PNC",D84)),1,0)</f>
        <v/>
      </c>
      <c r="AO84">
        <f>IF(ISNUMBER(SEARCH("WELLS FARGO",D84)),1,0)</f>
        <v/>
      </c>
      <c r="AP84">
        <f>IF(ISNUMBER(SEARCH("DWIGHT",D84)),1,0)</f>
        <v/>
      </c>
      <c r="AQ84">
        <f>IF(ISNUMBER(SEARCH("GREYSTONE",D84)),1,0)</f>
        <v/>
      </c>
      <c r="AR84">
        <f>IF(OR(Q84="3896",Q84="3557"),1,0)</f>
        <v/>
      </c>
      <c r="AS84" s="24">
        <f>V84*W84</f>
        <v/>
      </c>
      <c r="AT84" s="26">
        <f>V$4*(V84-V$3)</f>
        <v/>
      </c>
      <c r="AU84" s="26">
        <f>W$4*(W84-W$3)</f>
        <v/>
      </c>
      <c r="AV84" s="26">
        <f>X$4*(X84-X$3)</f>
        <v/>
      </c>
      <c r="AW84" s="26">
        <f>Y$4*(Y84-Y$3)</f>
        <v/>
      </c>
      <c r="AX84" s="26">
        <f>Z$4*(Z84-Z$3)</f>
        <v/>
      </c>
      <c r="AY84" s="26">
        <f>AA$4*(AA84-AA$3)</f>
        <v/>
      </c>
      <c r="AZ84" s="26">
        <f>AB$4*(AB84-AB$3)</f>
        <v/>
      </c>
      <c r="BA84" s="26">
        <f>AC$4*(AC84-AC$3)</f>
        <v/>
      </c>
      <c r="BB84" s="26">
        <f>AD$4*(AD84-AD$3)</f>
        <v/>
      </c>
      <c r="BC84" s="26">
        <f>AE$4*(AE84-AE$3)</f>
        <v/>
      </c>
      <c r="BD84" s="26">
        <f>AF$4*(AF84-AF$3)</f>
        <v/>
      </c>
      <c r="BE84" s="26">
        <f>AG$4*(AG84-AG$3)</f>
        <v/>
      </c>
      <c r="BF84" s="26">
        <f>AH$4*(AH84-AH$3)</f>
        <v/>
      </c>
      <c r="BG84" s="26">
        <f>AI$4*(AI84-AI$3)</f>
        <v/>
      </c>
      <c r="BH84" s="26">
        <f>AJ$4*(AJ84-AJ$3)</f>
        <v/>
      </c>
      <c r="BI84" s="26">
        <f>AK$4*(AK84-AK$3)</f>
        <v/>
      </c>
      <c r="BJ84" s="26">
        <f>AL$4*(AL84-AL$3)</f>
        <v/>
      </c>
      <c r="BK84" s="26">
        <f>AM$4*(AM84-AM$3)</f>
        <v/>
      </c>
      <c r="BL84" s="26">
        <f>AN$4*(AN84-AN$3)</f>
        <v/>
      </c>
      <c r="BM84" s="26">
        <f>AO$4*(AO84-AO$3)</f>
        <v/>
      </c>
      <c r="BN84" s="26">
        <f>AP$4*(AP84-AP$3)</f>
        <v/>
      </c>
      <c r="BO84" s="26">
        <f>AQ$4*(AQ84-AQ$3)</f>
        <v/>
      </c>
      <c r="BP84" s="26">
        <f>AR$4*(AR84-AR$3)</f>
        <v/>
      </c>
      <c r="BQ84" s="26">
        <f>AS$4*(AS84-AS$3)</f>
        <v/>
      </c>
      <c r="BR84" s="27">
        <f>SUM(AT84:BQ84)</f>
        <v/>
      </c>
      <c r="BS84" s="27">
        <f>INTERCEPT_SCALED+BR84</f>
        <v/>
      </c>
      <c r="BT84" s="28">
        <f>1/(1+EXP(-BS84))</f>
        <v/>
      </c>
      <c r="BU84" s="13">
        <f>1-(1-BT84)^12</f>
        <v/>
      </c>
      <c r="BV84" s="13">
        <f>IFERROR(AT84/BR84*(BU84-BASELINE_CPR),0)</f>
        <v/>
      </c>
      <c r="BW84" s="13">
        <f>IFERROR(AU84/BR84*(BU84-BASELINE_CPR),0)</f>
        <v/>
      </c>
      <c r="BX84" s="13">
        <f>IFERROR(AV84/BR84*(BU84-BASELINE_CPR),0)</f>
        <v/>
      </c>
      <c r="BY84" s="13">
        <f>IFERROR(AW84/BR84*(BU84-BASELINE_CPR),0)</f>
        <v/>
      </c>
      <c r="BZ84" s="13">
        <f>IFERROR(AX84/BR84*(BU84-BASELINE_CPR),0)</f>
        <v/>
      </c>
      <c r="CA84" s="13">
        <f>IFERROR(AY84/BR84*(BU84-BASELINE_CPR),0)</f>
        <v/>
      </c>
      <c r="CB84" s="13">
        <f>IFERROR(AZ84/BR84*(BU84-BASELINE_CPR),0)</f>
        <v/>
      </c>
      <c r="CC84" s="13">
        <f>IFERROR(BA84/BR84*(BU84-BASELINE_CPR),0)</f>
        <v/>
      </c>
      <c r="CD84" s="13">
        <f>IFERROR(BB84/BR84*(BU84-BASELINE_CPR),0)</f>
        <v/>
      </c>
      <c r="CE84" s="13">
        <f>IFERROR(BC84/BR84*(BU84-BASELINE_CPR),0)</f>
        <v/>
      </c>
      <c r="CF84" s="13">
        <f>IFERROR(BD84/BR84*(BU84-BASELINE_CPR),0)</f>
        <v/>
      </c>
      <c r="CG84" s="13">
        <f>IFERROR(BE84/BR84*(BU84-BASELINE_CPR),0)</f>
        <v/>
      </c>
      <c r="CH84" s="13">
        <f>IFERROR(BF84/BR84*(BU84-BASELINE_CPR),0)</f>
        <v/>
      </c>
      <c r="CI84" s="13">
        <f>IFERROR(BG84/BR84*(BU84-BASELINE_CPR),0)</f>
        <v/>
      </c>
      <c r="CJ84" s="13">
        <f>IFERROR(BH84/BR84*(BU84-BASELINE_CPR),0)</f>
        <v/>
      </c>
      <c r="CK84" s="13">
        <f>IFERROR(BI84/BR84*(BU84-BASELINE_CPR),0)</f>
        <v/>
      </c>
      <c r="CL84" s="13">
        <f>IFERROR(BJ84/BR84*(BU84-BASELINE_CPR),0)</f>
        <v/>
      </c>
      <c r="CM84" s="13">
        <f>IFERROR(BK84/BR84*(BU84-BASELINE_CPR),0)</f>
        <v/>
      </c>
      <c r="CN84" s="13">
        <f>IFERROR(BL84/BR84*(BU84-BASELINE_CPR),0)</f>
        <v/>
      </c>
      <c r="CO84" s="13">
        <f>IFERROR(BM84/BR84*(BU84-BASELINE_CPR),0)</f>
        <v/>
      </c>
      <c r="CP84" s="13">
        <f>IFERROR(BN84/BR84*(BU84-BASELINE_CPR),0)</f>
        <v/>
      </c>
      <c r="CQ84" s="13">
        <f>IFERROR(BO84/BR84*(BU84-BASELINE_CPR),0)</f>
        <v/>
      </c>
      <c r="CR84" s="13">
        <f>IFERROR(BP84/BR84*(BU84-BASELINE_CPR),0)</f>
        <v/>
      </c>
      <c r="CS84" s="13">
        <f>IFERROR(BQ84/BR84*(BU84-BASELINE_CPR),0)</f>
        <v/>
      </c>
      <c r="CT84" s="29">
        <f>BASELINE_CPR+SUM(BV84:CS84)-BU84</f>
        <v/>
      </c>
    </row>
    <row r="85">
      <c r="A85" s="2" t="inlineStr">
        <is>
          <t>3617YC4K7_000000005138032</t>
        </is>
      </c>
      <c r="B85" t="inlineStr">
        <is>
          <t>WALKER_POST21</t>
        </is>
      </c>
      <c r="C85" s="2" t="inlineStr">
        <is>
          <t>3617YC4K7</t>
        </is>
      </c>
      <c r="D85" t="inlineStr">
        <is>
          <t>WALKER &amp; DUNLOP, LLC</t>
        </is>
      </c>
      <c r="E85" t="inlineStr">
        <is>
          <t>OTHER</t>
        </is>
      </c>
      <c r="F85" t="inlineStr">
        <is>
          <t>OTHER</t>
        </is>
      </c>
      <c r="G85" t="n">
        <v>2022</v>
      </c>
      <c r="H85" t="inlineStr">
        <is>
          <t>202602</t>
        </is>
      </c>
      <c r="I85" s="22" t="n">
        <v>31181676.4</v>
      </c>
      <c r="J85" s="23" t="n">
        <v>3.15</v>
      </c>
      <c r="K85" s="24" t="n">
        <v>447</v>
      </c>
      <c r="L85" s="24" t="n">
        <v>9</v>
      </c>
      <c r="M85" t="n">
        <v>45</v>
      </c>
      <c r="N85" t="n">
        <v>0</v>
      </c>
      <c r="O85" t="n">
        <v>206406</v>
      </c>
      <c r="P85" t="inlineStr"/>
      <c r="Q85" t="inlineStr">
        <is>
          <t>4080</t>
        </is>
      </c>
      <c r="R85" t="n">
        <v>0</v>
      </c>
      <c r="S85" t="n">
        <v>0</v>
      </c>
      <c r="T85" t="n">
        <v>0</v>
      </c>
      <c r="U85" t="n">
        <v>0</v>
      </c>
      <c r="V85" s="24">
        <f>J85*100-K85</f>
        <v/>
      </c>
      <c r="W85" s="24">
        <f>L85</f>
        <v/>
      </c>
      <c r="X85" s="25">
        <f>MIN(M85,36)</f>
        <v/>
      </c>
      <c r="Y85" s="25">
        <f>MIN(MAX(M85-36,0),84)</f>
        <v/>
      </c>
      <c r="Z85" s="25">
        <f>MAX(M85-120,0)</f>
        <v/>
      </c>
      <c r="AA85" s="25">
        <f>IF(OR(O85="",NOT(ISNUMBER(O85))),360,MAX(0,MIN(480,(INT(O85/100)-INT(VALUE(H85)/100))*12+MOD(O85,100)-MOD(VALUE(H85),100))))</f>
        <v/>
      </c>
      <c r="AB85">
        <f>IF(AND(AA85&gt;0,AA85&lt;=24),1,0)</f>
        <v/>
      </c>
      <c r="AC85" s="25">
        <f>IF(OR(P85="",NOT(ISNUMBER(P85))),0,MAX(0,MIN(24,(INT(VALUE(H85)/100)-INT(P85/100))*12+MOD(VALUE(H85),100)-MOD(P85,100))))</f>
        <v/>
      </c>
      <c r="AD85" s="23">
        <f>LN(1+I85)</f>
        <v/>
      </c>
      <c r="AE85">
        <f>IF(I85&lt;2000000,1,0)</f>
        <v/>
      </c>
      <c r="AF85">
        <f>IF(I85&gt;50000000,1,0)</f>
        <v/>
      </c>
      <c r="AG85" s="23">
        <f>IF(ISNUMBER(M85),N85/MAX(M85,1),0)</f>
        <v/>
      </c>
      <c r="AH85">
        <f>IF(G85&gt;=2021,1,0)</f>
        <v/>
      </c>
      <c r="AI85">
        <f>S85</f>
        <v/>
      </c>
      <c r="AJ85">
        <f>T85</f>
        <v/>
      </c>
      <c r="AK85">
        <f>R85</f>
        <v/>
      </c>
      <c r="AL85">
        <f>U85</f>
        <v/>
      </c>
      <c r="AM85">
        <f>IF(ISNUMBER(SEARCH("CAPITAL FUNDING",D85)),1,0)</f>
        <v/>
      </c>
      <c r="AN85">
        <f>IF(ISNUMBER(SEARCH("PNC",D85)),1,0)</f>
        <v/>
      </c>
      <c r="AO85">
        <f>IF(ISNUMBER(SEARCH("WELLS FARGO",D85)),1,0)</f>
        <v/>
      </c>
      <c r="AP85">
        <f>IF(ISNUMBER(SEARCH("DWIGHT",D85)),1,0)</f>
        <v/>
      </c>
      <c r="AQ85">
        <f>IF(ISNUMBER(SEARCH("GREYSTONE",D85)),1,0)</f>
        <v/>
      </c>
      <c r="AR85">
        <f>IF(OR(Q85="3896",Q85="3557"),1,0)</f>
        <v/>
      </c>
      <c r="AS85" s="24">
        <f>V85*W85</f>
        <v/>
      </c>
      <c r="AT85" s="26">
        <f>V$4*(V85-V$3)</f>
        <v/>
      </c>
      <c r="AU85" s="26">
        <f>W$4*(W85-W$3)</f>
        <v/>
      </c>
      <c r="AV85" s="26">
        <f>X$4*(X85-X$3)</f>
        <v/>
      </c>
      <c r="AW85" s="26">
        <f>Y$4*(Y85-Y$3)</f>
        <v/>
      </c>
      <c r="AX85" s="26">
        <f>Z$4*(Z85-Z$3)</f>
        <v/>
      </c>
      <c r="AY85" s="26">
        <f>AA$4*(AA85-AA$3)</f>
        <v/>
      </c>
      <c r="AZ85" s="26">
        <f>AB$4*(AB85-AB$3)</f>
        <v/>
      </c>
      <c r="BA85" s="26">
        <f>AC$4*(AC85-AC$3)</f>
        <v/>
      </c>
      <c r="BB85" s="26">
        <f>AD$4*(AD85-AD$3)</f>
        <v/>
      </c>
      <c r="BC85" s="26">
        <f>AE$4*(AE85-AE$3)</f>
        <v/>
      </c>
      <c r="BD85" s="26">
        <f>AF$4*(AF85-AF$3)</f>
        <v/>
      </c>
      <c r="BE85" s="26">
        <f>AG$4*(AG85-AG$3)</f>
        <v/>
      </c>
      <c r="BF85" s="26">
        <f>AH$4*(AH85-AH$3)</f>
        <v/>
      </c>
      <c r="BG85" s="26">
        <f>AI$4*(AI85-AI$3)</f>
        <v/>
      </c>
      <c r="BH85" s="26">
        <f>AJ$4*(AJ85-AJ$3)</f>
        <v/>
      </c>
      <c r="BI85" s="26">
        <f>AK$4*(AK85-AK$3)</f>
        <v/>
      </c>
      <c r="BJ85" s="26">
        <f>AL$4*(AL85-AL$3)</f>
        <v/>
      </c>
      <c r="BK85" s="26">
        <f>AM$4*(AM85-AM$3)</f>
        <v/>
      </c>
      <c r="BL85" s="26">
        <f>AN$4*(AN85-AN$3)</f>
        <v/>
      </c>
      <c r="BM85" s="26">
        <f>AO$4*(AO85-AO$3)</f>
        <v/>
      </c>
      <c r="BN85" s="26">
        <f>AP$4*(AP85-AP$3)</f>
        <v/>
      </c>
      <c r="BO85" s="26">
        <f>AQ$4*(AQ85-AQ$3)</f>
        <v/>
      </c>
      <c r="BP85" s="26">
        <f>AR$4*(AR85-AR$3)</f>
        <v/>
      </c>
      <c r="BQ85" s="26">
        <f>AS$4*(AS85-AS$3)</f>
        <v/>
      </c>
      <c r="BR85" s="27">
        <f>SUM(AT85:BQ85)</f>
        <v/>
      </c>
      <c r="BS85" s="27">
        <f>INTERCEPT_SCALED+BR85</f>
        <v/>
      </c>
      <c r="BT85" s="28">
        <f>1/(1+EXP(-BS85))</f>
        <v/>
      </c>
      <c r="BU85" s="13">
        <f>1-(1-BT85)^12</f>
        <v/>
      </c>
      <c r="BV85" s="13">
        <f>IFERROR(AT85/BR85*(BU85-BASELINE_CPR),0)</f>
        <v/>
      </c>
      <c r="BW85" s="13">
        <f>IFERROR(AU85/BR85*(BU85-BASELINE_CPR),0)</f>
        <v/>
      </c>
      <c r="BX85" s="13">
        <f>IFERROR(AV85/BR85*(BU85-BASELINE_CPR),0)</f>
        <v/>
      </c>
      <c r="BY85" s="13">
        <f>IFERROR(AW85/BR85*(BU85-BASELINE_CPR),0)</f>
        <v/>
      </c>
      <c r="BZ85" s="13">
        <f>IFERROR(AX85/BR85*(BU85-BASELINE_CPR),0)</f>
        <v/>
      </c>
      <c r="CA85" s="13">
        <f>IFERROR(AY85/BR85*(BU85-BASELINE_CPR),0)</f>
        <v/>
      </c>
      <c r="CB85" s="13">
        <f>IFERROR(AZ85/BR85*(BU85-BASELINE_CPR),0)</f>
        <v/>
      </c>
      <c r="CC85" s="13">
        <f>IFERROR(BA85/BR85*(BU85-BASELINE_CPR),0)</f>
        <v/>
      </c>
      <c r="CD85" s="13">
        <f>IFERROR(BB85/BR85*(BU85-BASELINE_CPR),0)</f>
        <v/>
      </c>
      <c r="CE85" s="13">
        <f>IFERROR(BC85/BR85*(BU85-BASELINE_CPR),0)</f>
        <v/>
      </c>
      <c r="CF85" s="13">
        <f>IFERROR(BD85/BR85*(BU85-BASELINE_CPR),0)</f>
        <v/>
      </c>
      <c r="CG85" s="13">
        <f>IFERROR(BE85/BR85*(BU85-BASELINE_CPR),0)</f>
        <v/>
      </c>
      <c r="CH85" s="13">
        <f>IFERROR(BF85/BR85*(BU85-BASELINE_CPR),0)</f>
        <v/>
      </c>
      <c r="CI85" s="13">
        <f>IFERROR(BG85/BR85*(BU85-BASELINE_CPR),0)</f>
        <v/>
      </c>
      <c r="CJ85" s="13">
        <f>IFERROR(BH85/BR85*(BU85-BASELINE_CPR),0)</f>
        <v/>
      </c>
      <c r="CK85" s="13">
        <f>IFERROR(BI85/BR85*(BU85-BASELINE_CPR),0)</f>
        <v/>
      </c>
      <c r="CL85" s="13">
        <f>IFERROR(BJ85/BR85*(BU85-BASELINE_CPR),0)</f>
        <v/>
      </c>
      <c r="CM85" s="13">
        <f>IFERROR(BK85/BR85*(BU85-BASELINE_CPR),0)</f>
        <v/>
      </c>
      <c r="CN85" s="13">
        <f>IFERROR(BL85/BR85*(BU85-BASELINE_CPR),0)</f>
        <v/>
      </c>
      <c r="CO85" s="13">
        <f>IFERROR(BM85/BR85*(BU85-BASELINE_CPR),0)</f>
        <v/>
      </c>
      <c r="CP85" s="13">
        <f>IFERROR(BN85/BR85*(BU85-BASELINE_CPR),0)</f>
        <v/>
      </c>
      <c r="CQ85" s="13">
        <f>IFERROR(BO85/BR85*(BU85-BASELINE_CPR),0)</f>
        <v/>
      </c>
      <c r="CR85" s="13">
        <f>IFERROR(BP85/BR85*(BU85-BASELINE_CPR),0)</f>
        <v/>
      </c>
      <c r="CS85" s="13">
        <f>IFERROR(BQ85/BR85*(BU85-BASELINE_CPR),0)</f>
        <v/>
      </c>
      <c r="CT85" s="29">
        <f>BASELINE_CPR+SUM(BV85:CS85)-BU85</f>
        <v/>
      </c>
    </row>
    <row r="86">
      <c r="A86" s="2" t="inlineStr">
        <is>
          <t>36177KSB3_000000012711174</t>
        </is>
      </c>
      <c r="B86" t="inlineStr">
        <is>
          <t>WALKER_PRE21</t>
        </is>
      </c>
      <c r="C86" s="2" t="inlineStr">
        <is>
          <t>36177KSB3</t>
        </is>
      </c>
      <c r="D86" t="inlineStr">
        <is>
          <t>WALKER &amp; DUNLOP, LLC</t>
        </is>
      </c>
      <c r="E86" t="inlineStr">
        <is>
          <t>223f</t>
        </is>
      </c>
      <c r="F86" t="inlineStr">
        <is>
          <t>RP</t>
        </is>
      </c>
      <c r="G86" t="n">
        <v>2012</v>
      </c>
      <c r="H86" t="inlineStr">
        <is>
          <t>202602</t>
        </is>
      </c>
      <c r="I86" s="22" t="n">
        <v>1897260.93</v>
      </c>
      <c r="J86" s="23" t="n">
        <v>3.35</v>
      </c>
      <c r="K86" s="24" t="n">
        <v>447</v>
      </c>
      <c r="L86" s="24" t="n">
        <v>0</v>
      </c>
      <c r="M86" t="n">
        <v>163</v>
      </c>
      <c r="N86" t="n">
        <v>33</v>
      </c>
      <c r="O86" t="n">
        <v>204708</v>
      </c>
      <c r="P86" t="n">
        <v>201409</v>
      </c>
      <c r="Q86" t="inlineStr">
        <is>
          <t>4080</t>
        </is>
      </c>
      <c r="R86" t="n">
        <v>0</v>
      </c>
      <c r="S86" t="n">
        <v>0</v>
      </c>
      <c r="T86" t="n">
        <v>0</v>
      </c>
      <c r="U86" t="n">
        <v>0</v>
      </c>
      <c r="V86" s="24">
        <f>J86*100-K86</f>
        <v/>
      </c>
      <c r="W86" s="24">
        <f>L86</f>
        <v/>
      </c>
      <c r="X86" s="25">
        <f>MIN(M86,36)</f>
        <v/>
      </c>
      <c r="Y86" s="25">
        <f>MIN(MAX(M86-36,0),84)</f>
        <v/>
      </c>
      <c r="Z86" s="25">
        <f>MAX(M86-120,0)</f>
        <v/>
      </c>
      <c r="AA86" s="25">
        <f>IF(OR(O86="",NOT(ISNUMBER(O86))),360,MAX(0,MIN(480,(INT(O86/100)-INT(VALUE(H86)/100))*12+MOD(O86,100)-MOD(VALUE(H86),100))))</f>
        <v/>
      </c>
      <c r="AB86">
        <f>IF(AND(AA86&gt;0,AA86&lt;=24),1,0)</f>
        <v/>
      </c>
      <c r="AC86" s="25">
        <f>IF(OR(P86="",NOT(ISNUMBER(P86))),0,MAX(0,MIN(24,(INT(VALUE(H86)/100)-INT(P86/100))*12+MOD(VALUE(H86),100)-MOD(P86,100))))</f>
        <v/>
      </c>
      <c r="AD86" s="23">
        <f>LN(1+I86)</f>
        <v/>
      </c>
      <c r="AE86">
        <f>IF(I86&lt;2000000,1,0)</f>
        <v/>
      </c>
      <c r="AF86">
        <f>IF(I86&gt;50000000,1,0)</f>
        <v/>
      </c>
      <c r="AG86" s="23">
        <f>IF(ISNUMBER(M86),N86/MAX(M86,1),0)</f>
        <v/>
      </c>
      <c r="AH86">
        <f>IF(G86&gt;=2021,1,0)</f>
        <v/>
      </c>
      <c r="AI86">
        <f>S86</f>
        <v/>
      </c>
      <c r="AJ86">
        <f>T86</f>
        <v/>
      </c>
      <c r="AK86">
        <f>R86</f>
        <v/>
      </c>
      <c r="AL86">
        <f>U86</f>
        <v/>
      </c>
      <c r="AM86">
        <f>IF(ISNUMBER(SEARCH("CAPITAL FUNDING",D86)),1,0)</f>
        <v/>
      </c>
      <c r="AN86">
        <f>IF(ISNUMBER(SEARCH("PNC",D86)),1,0)</f>
        <v/>
      </c>
      <c r="AO86">
        <f>IF(ISNUMBER(SEARCH("WELLS FARGO",D86)),1,0)</f>
        <v/>
      </c>
      <c r="AP86">
        <f>IF(ISNUMBER(SEARCH("DWIGHT",D86)),1,0)</f>
        <v/>
      </c>
      <c r="AQ86">
        <f>IF(ISNUMBER(SEARCH("GREYSTONE",D86)),1,0)</f>
        <v/>
      </c>
      <c r="AR86">
        <f>IF(OR(Q86="3896",Q86="3557"),1,0)</f>
        <v/>
      </c>
      <c r="AS86" s="24">
        <f>V86*W86</f>
        <v/>
      </c>
      <c r="AT86" s="26">
        <f>V$4*(V86-V$3)</f>
        <v/>
      </c>
      <c r="AU86" s="26">
        <f>W$4*(W86-W$3)</f>
        <v/>
      </c>
      <c r="AV86" s="26">
        <f>X$4*(X86-X$3)</f>
        <v/>
      </c>
      <c r="AW86" s="26">
        <f>Y$4*(Y86-Y$3)</f>
        <v/>
      </c>
      <c r="AX86" s="26">
        <f>Z$4*(Z86-Z$3)</f>
        <v/>
      </c>
      <c r="AY86" s="26">
        <f>AA$4*(AA86-AA$3)</f>
        <v/>
      </c>
      <c r="AZ86" s="26">
        <f>AB$4*(AB86-AB$3)</f>
        <v/>
      </c>
      <c r="BA86" s="26">
        <f>AC$4*(AC86-AC$3)</f>
        <v/>
      </c>
      <c r="BB86" s="26">
        <f>AD$4*(AD86-AD$3)</f>
        <v/>
      </c>
      <c r="BC86" s="26">
        <f>AE$4*(AE86-AE$3)</f>
        <v/>
      </c>
      <c r="BD86" s="26">
        <f>AF$4*(AF86-AF$3)</f>
        <v/>
      </c>
      <c r="BE86" s="26">
        <f>AG$4*(AG86-AG$3)</f>
        <v/>
      </c>
      <c r="BF86" s="26">
        <f>AH$4*(AH86-AH$3)</f>
        <v/>
      </c>
      <c r="BG86" s="26">
        <f>AI$4*(AI86-AI$3)</f>
        <v/>
      </c>
      <c r="BH86" s="26">
        <f>AJ$4*(AJ86-AJ$3)</f>
        <v/>
      </c>
      <c r="BI86" s="26">
        <f>AK$4*(AK86-AK$3)</f>
        <v/>
      </c>
      <c r="BJ86" s="26">
        <f>AL$4*(AL86-AL$3)</f>
        <v/>
      </c>
      <c r="BK86" s="26">
        <f>AM$4*(AM86-AM$3)</f>
        <v/>
      </c>
      <c r="BL86" s="26">
        <f>AN$4*(AN86-AN$3)</f>
        <v/>
      </c>
      <c r="BM86" s="26">
        <f>AO$4*(AO86-AO$3)</f>
        <v/>
      </c>
      <c r="BN86" s="26">
        <f>AP$4*(AP86-AP$3)</f>
        <v/>
      </c>
      <c r="BO86" s="26">
        <f>AQ$4*(AQ86-AQ$3)</f>
        <v/>
      </c>
      <c r="BP86" s="26">
        <f>AR$4*(AR86-AR$3)</f>
        <v/>
      </c>
      <c r="BQ86" s="26">
        <f>AS$4*(AS86-AS$3)</f>
        <v/>
      </c>
      <c r="BR86" s="27">
        <f>SUM(AT86:BQ86)</f>
        <v/>
      </c>
      <c r="BS86" s="27">
        <f>INTERCEPT_SCALED+BR86</f>
        <v/>
      </c>
      <c r="BT86" s="28">
        <f>1/(1+EXP(-BS86))</f>
        <v/>
      </c>
      <c r="BU86" s="13">
        <f>1-(1-BT86)^12</f>
        <v/>
      </c>
      <c r="BV86" s="13">
        <f>IFERROR(AT86/BR86*(BU86-BASELINE_CPR),0)</f>
        <v/>
      </c>
      <c r="BW86" s="13">
        <f>IFERROR(AU86/BR86*(BU86-BASELINE_CPR),0)</f>
        <v/>
      </c>
      <c r="BX86" s="13">
        <f>IFERROR(AV86/BR86*(BU86-BASELINE_CPR),0)</f>
        <v/>
      </c>
      <c r="BY86" s="13">
        <f>IFERROR(AW86/BR86*(BU86-BASELINE_CPR),0)</f>
        <v/>
      </c>
      <c r="BZ86" s="13">
        <f>IFERROR(AX86/BR86*(BU86-BASELINE_CPR),0)</f>
        <v/>
      </c>
      <c r="CA86" s="13">
        <f>IFERROR(AY86/BR86*(BU86-BASELINE_CPR),0)</f>
        <v/>
      </c>
      <c r="CB86" s="13">
        <f>IFERROR(AZ86/BR86*(BU86-BASELINE_CPR),0)</f>
        <v/>
      </c>
      <c r="CC86" s="13">
        <f>IFERROR(BA86/BR86*(BU86-BASELINE_CPR),0)</f>
        <v/>
      </c>
      <c r="CD86" s="13">
        <f>IFERROR(BB86/BR86*(BU86-BASELINE_CPR),0)</f>
        <v/>
      </c>
      <c r="CE86" s="13">
        <f>IFERROR(BC86/BR86*(BU86-BASELINE_CPR),0)</f>
        <v/>
      </c>
      <c r="CF86" s="13">
        <f>IFERROR(BD86/BR86*(BU86-BASELINE_CPR),0)</f>
        <v/>
      </c>
      <c r="CG86" s="13">
        <f>IFERROR(BE86/BR86*(BU86-BASELINE_CPR),0)</f>
        <v/>
      </c>
      <c r="CH86" s="13">
        <f>IFERROR(BF86/BR86*(BU86-BASELINE_CPR),0)</f>
        <v/>
      </c>
      <c r="CI86" s="13">
        <f>IFERROR(BG86/BR86*(BU86-BASELINE_CPR),0)</f>
        <v/>
      </c>
      <c r="CJ86" s="13">
        <f>IFERROR(BH86/BR86*(BU86-BASELINE_CPR),0)</f>
        <v/>
      </c>
      <c r="CK86" s="13">
        <f>IFERROR(BI86/BR86*(BU86-BASELINE_CPR),0)</f>
        <v/>
      </c>
      <c r="CL86" s="13">
        <f>IFERROR(BJ86/BR86*(BU86-BASELINE_CPR),0)</f>
        <v/>
      </c>
      <c r="CM86" s="13">
        <f>IFERROR(BK86/BR86*(BU86-BASELINE_CPR),0)</f>
        <v/>
      </c>
      <c r="CN86" s="13">
        <f>IFERROR(BL86/BR86*(BU86-BASELINE_CPR),0)</f>
        <v/>
      </c>
      <c r="CO86" s="13">
        <f>IFERROR(BM86/BR86*(BU86-BASELINE_CPR),0)</f>
        <v/>
      </c>
      <c r="CP86" s="13">
        <f>IFERROR(BN86/BR86*(BU86-BASELINE_CPR),0)</f>
        <v/>
      </c>
      <c r="CQ86" s="13">
        <f>IFERROR(BO86/BR86*(BU86-BASELINE_CPR),0)</f>
        <v/>
      </c>
      <c r="CR86" s="13">
        <f>IFERROR(BP86/BR86*(BU86-BASELINE_CPR),0)</f>
        <v/>
      </c>
      <c r="CS86" s="13">
        <f>IFERROR(BQ86/BR86*(BU86-BASELINE_CPR),0)</f>
        <v/>
      </c>
      <c r="CT86" s="29">
        <f>BASELINE_CPR+SUM(BV86:CS86)-BU86</f>
        <v/>
      </c>
    </row>
    <row r="87">
      <c r="A87" s="2" t="inlineStr">
        <is>
          <t>3617WNQG0_000000005143257</t>
        </is>
      </c>
      <c r="B87" t="inlineStr">
        <is>
          <t>WALKER_POST21</t>
        </is>
      </c>
      <c r="C87" s="2" t="inlineStr">
        <is>
          <t>3617WNQG0</t>
        </is>
      </c>
      <c r="D87" t="inlineStr">
        <is>
          <t>WALKER &amp; DUNLOP, LLC</t>
        </is>
      </c>
      <c r="E87" t="inlineStr">
        <is>
          <t>232</t>
        </is>
      </c>
      <c r="F87" t="inlineStr">
        <is>
          <t>NC</t>
        </is>
      </c>
      <c r="G87" t="n">
        <v>2021</v>
      </c>
      <c r="H87" t="inlineStr">
        <is>
          <t>202602</t>
        </is>
      </c>
      <c r="I87" s="22" t="n">
        <v>20697799.73</v>
      </c>
      <c r="J87" s="23" t="n">
        <v>2.69</v>
      </c>
      <c r="K87" s="24" t="n">
        <v>447</v>
      </c>
      <c r="L87" s="24" t="n">
        <v>8</v>
      </c>
      <c r="M87" t="n">
        <v>50</v>
      </c>
      <c r="N87" t="n">
        <v>0</v>
      </c>
      <c r="O87" t="n">
        <v>206310</v>
      </c>
      <c r="P87" t="inlineStr"/>
      <c r="Q87" t="inlineStr">
        <is>
          <t>4080</t>
        </is>
      </c>
      <c r="R87" t="n">
        <v>1</v>
      </c>
      <c r="S87" t="n">
        <v>0</v>
      </c>
      <c r="T87" t="n">
        <v>0</v>
      </c>
      <c r="U87" t="n">
        <v>1</v>
      </c>
      <c r="V87" s="24">
        <f>J87*100-K87</f>
        <v/>
      </c>
      <c r="W87" s="24">
        <f>L87</f>
        <v/>
      </c>
      <c r="X87" s="25">
        <f>MIN(M87,36)</f>
        <v/>
      </c>
      <c r="Y87" s="25">
        <f>MIN(MAX(M87-36,0),84)</f>
        <v/>
      </c>
      <c r="Z87" s="25">
        <f>MAX(M87-120,0)</f>
        <v/>
      </c>
      <c r="AA87" s="25">
        <f>IF(OR(O87="",NOT(ISNUMBER(O87))),360,MAX(0,MIN(480,(INT(O87/100)-INT(VALUE(H87)/100))*12+MOD(O87,100)-MOD(VALUE(H87),100))))</f>
        <v/>
      </c>
      <c r="AB87">
        <f>IF(AND(AA87&gt;0,AA87&lt;=24),1,0)</f>
        <v/>
      </c>
      <c r="AC87" s="25">
        <f>IF(OR(P87="",NOT(ISNUMBER(P87))),0,MAX(0,MIN(24,(INT(VALUE(H87)/100)-INT(P87/100))*12+MOD(VALUE(H87),100)-MOD(P87,100))))</f>
        <v/>
      </c>
      <c r="AD87" s="23">
        <f>LN(1+I87)</f>
        <v/>
      </c>
      <c r="AE87">
        <f>IF(I87&lt;2000000,1,0)</f>
        <v/>
      </c>
      <c r="AF87">
        <f>IF(I87&gt;50000000,1,0)</f>
        <v/>
      </c>
      <c r="AG87" s="23">
        <f>IF(ISNUMBER(M87),N87/MAX(M87,1),0)</f>
        <v/>
      </c>
      <c r="AH87">
        <f>IF(G87&gt;=2021,1,0)</f>
        <v/>
      </c>
      <c r="AI87">
        <f>S87</f>
        <v/>
      </c>
      <c r="AJ87">
        <f>T87</f>
        <v/>
      </c>
      <c r="AK87">
        <f>R87</f>
        <v/>
      </c>
      <c r="AL87">
        <f>U87</f>
        <v/>
      </c>
      <c r="AM87">
        <f>IF(ISNUMBER(SEARCH("CAPITAL FUNDING",D87)),1,0)</f>
        <v/>
      </c>
      <c r="AN87">
        <f>IF(ISNUMBER(SEARCH("PNC",D87)),1,0)</f>
        <v/>
      </c>
      <c r="AO87">
        <f>IF(ISNUMBER(SEARCH("WELLS FARGO",D87)),1,0)</f>
        <v/>
      </c>
      <c r="AP87">
        <f>IF(ISNUMBER(SEARCH("DWIGHT",D87)),1,0)</f>
        <v/>
      </c>
      <c r="AQ87">
        <f>IF(ISNUMBER(SEARCH("GREYSTONE",D87)),1,0)</f>
        <v/>
      </c>
      <c r="AR87">
        <f>IF(OR(Q87="3896",Q87="3557"),1,0)</f>
        <v/>
      </c>
      <c r="AS87" s="24">
        <f>V87*W87</f>
        <v/>
      </c>
      <c r="AT87" s="26">
        <f>V$4*(V87-V$3)</f>
        <v/>
      </c>
      <c r="AU87" s="26">
        <f>W$4*(W87-W$3)</f>
        <v/>
      </c>
      <c r="AV87" s="26">
        <f>X$4*(X87-X$3)</f>
        <v/>
      </c>
      <c r="AW87" s="26">
        <f>Y$4*(Y87-Y$3)</f>
        <v/>
      </c>
      <c r="AX87" s="26">
        <f>Z$4*(Z87-Z$3)</f>
        <v/>
      </c>
      <c r="AY87" s="26">
        <f>AA$4*(AA87-AA$3)</f>
        <v/>
      </c>
      <c r="AZ87" s="26">
        <f>AB$4*(AB87-AB$3)</f>
        <v/>
      </c>
      <c r="BA87" s="26">
        <f>AC$4*(AC87-AC$3)</f>
        <v/>
      </c>
      <c r="BB87" s="26">
        <f>AD$4*(AD87-AD$3)</f>
        <v/>
      </c>
      <c r="BC87" s="26">
        <f>AE$4*(AE87-AE$3)</f>
        <v/>
      </c>
      <c r="BD87" s="26">
        <f>AF$4*(AF87-AF$3)</f>
        <v/>
      </c>
      <c r="BE87" s="26">
        <f>AG$4*(AG87-AG$3)</f>
        <v/>
      </c>
      <c r="BF87" s="26">
        <f>AH$4*(AH87-AH$3)</f>
        <v/>
      </c>
      <c r="BG87" s="26">
        <f>AI$4*(AI87-AI$3)</f>
        <v/>
      </c>
      <c r="BH87" s="26">
        <f>AJ$4*(AJ87-AJ$3)</f>
        <v/>
      </c>
      <c r="BI87" s="26">
        <f>AK$4*(AK87-AK$3)</f>
        <v/>
      </c>
      <c r="BJ87" s="26">
        <f>AL$4*(AL87-AL$3)</f>
        <v/>
      </c>
      <c r="BK87" s="26">
        <f>AM$4*(AM87-AM$3)</f>
        <v/>
      </c>
      <c r="BL87" s="26">
        <f>AN$4*(AN87-AN$3)</f>
        <v/>
      </c>
      <c r="BM87" s="26">
        <f>AO$4*(AO87-AO$3)</f>
        <v/>
      </c>
      <c r="BN87" s="26">
        <f>AP$4*(AP87-AP$3)</f>
        <v/>
      </c>
      <c r="BO87" s="26">
        <f>AQ$4*(AQ87-AQ$3)</f>
        <v/>
      </c>
      <c r="BP87" s="26">
        <f>AR$4*(AR87-AR$3)</f>
        <v/>
      </c>
      <c r="BQ87" s="26">
        <f>AS$4*(AS87-AS$3)</f>
        <v/>
      </c>
      <c r="BR87" s="27">
        <f>SUM(AT87:BQ87)</f>
        <v/>
      </c>
      <c r="BS87" s="27">
        <f>INTERCEPT_SCALED+BR87</f>
        <v/>
      </c>
      <c r="BT87" s="28">
        <f>1/(1+EXP(-BS87))</f>
        <v/>
      </c>
      <c r="BU87" s="13">
        <f>1-(1-BT87)^12</f>
        <v/>
      </c>
      <c r="BV87" s="13">
        <f>IFERROR(AT87/BR87*(BU87-BASELINE_CPR),0)</f>
        <v/>
      </c>
      <c r="BW87" s="13">
        <f>IFERROR(AU87/BR87*(BU87-BASELINE_CPR),0)</f>
        <v/>
      </c>
      <c r="BX87" s="13">
        <f>IFERROR(AV87/BR87*(BU87-BASELINE_CPR),0)</f>
        <v/>
      </c>
      <c r="BY87" s="13">
        <f>IFERROR(AW87/BR87*(BU87-BASELINE_CPR),0)</f>
        <v/>
      </c>
      <c r="BZ87" s="13">
        <f>IFERROR(AX87/BR87*(BU87-BASELINE_CPR),0)</f>
        <v/>
      </c>
      <c r="CA87" s="13">
        <f>IFERROR(AY87/BR87*(BU87-BASELINE_CPR),0)</f>
        <v/>
      </c>
      <c r="CB87" s="13">
        <f>IFERROR(AZ87/BR87*(BU87-BASELINE_CPR),0)</f>
        <v/>
      </c>
      <c r="CC87" s="13">
        <f>IFERROR(BA87/BR87*(BU87-BASELINE_CPR),0)</f>
        <v/>
      </c>
      <c r="CD87" s="13">
        <f>IFERROR(BB87/BR87*(BU87-BASELINE_CPR),0)</f>
        <v/>
      </c>
      <c r="CE87" s="13">
        <f>IFERROR(BC87/BR87*(BU87-BASELINE_CPR),0)</f>
        <v/>
      </c>
      <c r="CF87" s="13">
        <f>IFERROR(BD87/BR87*(BU87-BASELINE_CPR),0)</f>
        <v/>
      </c>
      <c r="CG87" s="13">
        <f>IFERROR(BE87/BR87*(BU87-BASELINE_CPR),0)</f>
        <v/>
      </c>
      <c r="CH87" s="13">
        <f>IFERROR(BF87/BR87*(BU87-BASELINE_CPR),0)</f>
        <v/>
      </c>
      <c r="CI87" s="13">
        <f>IFERROR(BG87/BR87*(BU87-BASELINE_CPR),0)</f>
        <v/>
      </c>
      <c r="CJ87" s="13">
        <f>IFERROR(BH87/BR87*(BU87-BASELINE_CPR),0)</f>
        <v/>
      </c>
      <c r="CK87" s="13">
        <f>IFERROR(BI87/BR87*(BU87-BASELINE_CPR),0)</f>
        <v/>
      </c>
      <c r="CL87" s="13">
        <f>IFERROR(BJ87/BR87*(BU87-BASELINE_CPR),0)</f>
        <v/>
      </c>
      <c r="CM87" s="13">
        <f>IFERROR(BK87/BR87*(BU87-BASELINE_CPR),0)</f>
        <v/>
      </c>
      <c r="CN87" s="13">
        <f>IFERROR(BL87/BR87*(BU87-BASELINE_CPR),0)</f>
        <v/>
      </c>
      <c r="CO87" s="13">
        <f>IFERROR(BM87/BR87*(BU87-BASELINE_CPR),0)</f>
        <v/>
      </c>
      <c r="CP87" s="13">
        <f>IFERROR(BN87/BR87*(BU87-BASELINE_CPR),0)</f>
        <v/>
      </c>
      <c r="CQ87" s="13">
        <f>IFERROR(BO87/BR87*(BU87-BASELINE_CPR),0)</f>
        <v/>
      </c>
      <c r="CR87" s="13">
        <f>IFERROR(BP87/BR87*(BU87-BASELINE_CPR),0)</f>
        <v/>
      </c>
      <c r="CS87" s="13">
        <f>IFERROR(BQ87/BR87*(BU87-BASELINE_CPR),0)</f>
        <v/>
      </c>
      <c r="CT87" s="29">
        <f>BASELINE_CPR+SUM(BV87:CS87)-BU87</f>
        <v/>
      </c>
    </row>
    <row r="88">
      <c r="A88" s="2" t="inlineStr">
        <is>
          <t>3618KST93_000000012911145</t>
        </is>
      </c>
      <c r="B88" t="inlineStr">
        <is>
          <t>WALKER_POST21</t>
        </is>
      </c>
      <c r="C88" s="2" t="inlineStr">
        <is>
          <t>3618KST93</t>
        </is>
      </c>
      <c r="D88" t="inlineStr">
        <is>
          <t>WALKER &amp; DUNLOP, LLC</t>
        </is>
      </c>
      <c r="E88" t="inlineStr">
        <is>
          <t>223f</t>
        </is>
      </c>
      <c r="F88" t="inlineStr">
        <is>
          <t>RP</t>
        </is>
      </c>
      <c r="G88" t="n">
        <v>2025</v>
      </c>
      <c r="H88" t="inlineStr">
        <is>
          <t>202602</t>
        </is>
      </c>
      <c r="I88" s="22" t="n">
        <v>69885954.31999999</v>
      </c>
      <c r="J88" s="23" t="n">
        <v>5.95</v>
      </c>
      <c r="K88" s="24" t="n">
        <v>447</v>
      </c>
      <c r="L88" s="24" t="n">
        <v>10</v>
      </c>
      <c r="M88" t="n">
        <v>7</v>
      </c>
      <c r="N88" t="n">
        <v>1</v>
      </c>
      <c r="O88" t="n">
        <v>206008</v>
      </c>
      <c r="P88" t="inlineStr"/>
      <c r="Q88" t="inlineStr">
        <is>
          <t>4080</t>
        </is>
      </c>
      <c r="R88" t="n">
        <v>0</v>
      </c>
      <c r="S88" t="n">
        <v>0</v>
      </c>
      <c r="T88" t="n">
        <v>0</v>
      </c>
      <c r="U88" t="n">
        <v>0</v>
      </c>
      <c r="V88" s="24">
        <f>J88*100-K88</f>
        <v/>
      </c>
      <c r="W88" s="24">
        <f>L88</f>
        <v/>
      </c>
      <c r="X88" s="25">
        <f>MIN(M88,36)</f>
        <v/>
      </c>
      <c r="Y88" s="25">
        <f>MIN(MAX(M88-36,0),84)</f>
        <v/>
      </c>
      <c r="Z88" s="25">
        <f>MAX(M88-120,0)</f>
        <v/>
      </c>
      <c r="AA88" s="25">
        <f>IF(OR(O88="",NOT(ISNUMBER(O88))),360,MAX(0,MIN(480,(INT(O88/100)-INT(VALUE(H88)/100))*12+MOD(O88,100)-MOD(VALUE(H88),100))))</f>
        <v/>
      </c>
      <c r="AB88">
        <f>IF(AND(AA88&gt;0,AA88&lt;=24),1,0)</f>
        <v/>
      </c>
      <c r="AC88" s="25">
        <f>IF(OR(P88="",NOT(ISNUMBER(P88))),0,MAX(0,MIN(24,(INT(VALUE(H88)/100)-INT(P88/100))*12+MOD(VALUE(H88),100)-MOD(P88,100))))</f>
        <v/>
      </c>
      <c r="AD88" s="23">
        <f>LN(1+I88)</f>
        <v/>
      </c>
      <c r="AE88">
        <f>IF(I88&lt;2000000,1,0)</f>
        <v/>
      </c>
      <c r="AF88">
        <f>IF(I88&gt;50000000,1,0)</f>
        <v/>
      </c>
      <c r="AG88" s="23">
        <f>IF(ISNUMBER(M88),N88/MAX(M88,1),0)</f>
        <v/>
      </c>
      <c r="AH88">
        <f>IF(G88&gt;=2021,1,0)</f>
        <v/>
      </c>
      <c r="AI88">
        <f>S88</f>
        <v/>
      </c>
      <c r="AJ88">
        <f>T88</f>
        <v/>
      </c>
      <c r="AK88">
        <f>R88</f>
        <v/>
      </c>
      <c r="AL88">
        <f>U88</f>
        <v/>
      </c>
      <c r="AM88">
        <f>IF(ISNUMBER(SEARCH("CAPITAL FUNDING",D88)),1,0)</f>
        <v/>
      </c>
      <c r="AN88">
        <f>IF(ISNUMBER(SEARCH("PNC",D88)),1,0)</f>
        <v/>
      </c>
      <c r="AO88">
        <f>IF(ISNUMBER(SEARCH("WELLS FARGO",D88)),1,0)</f>
        <v/>
      </c>
      <c r="AP88">
        <f>IF(ISNUMBER(SEARCH("DWIGHT",D88)),1,0)</f>
        <v/>
      </c>
      <c r="AQ88">
        <f>IF(ISNUMBER(SEARCH("GREYSTONE",D88)),1,0)</f>
        <v/>
      </c>
      <c r="AR88">
        <f>IF(OR(Q88="3896",Q88="3557"),1,0)</f>
        <v/>
      </c>
      <c r="AS88" s="24">
        <f>V88*W88</f>
        <v/>
      </c>
      <c r="AT88" s="26">
        <f>V$4*(V88-V$3)</f>
        <v/>
      </c>
      <c r="AU88" s="26">
        <f>W$4*(W88-W$3)</f>
        <v/>
      </c>
      <c r="AV88" s="26">
        <f>X$4*(X88-X$3)</f>
        <v/>
      </c>
      <c r="AW88" s="26">
        <f>Y$4*(Y88-Y$3)</f>
        <v/>
      </c>
      <c r="AX88" s="26">
        <f>Z$4*(Z88-Z$3)</f>
        <v/>
      </c>
      <c r="AY88" s="26">
        <f>AA$4*(AA88-AA$3)</f>
        <v/>
      </c>
      <c r="AZ88" s="26">
        <f>AB$4*(AB88-AB$3)</f>
        <v/>
      </c>
      <c r="BA88" s="26">
        <f>AC$4*(AC88-AC$3)</f>
        <v/>
      </c>
      <c r="BB88" s="26">
        <f>AD$4*(AD88-AD$3)</f>
        <v/>
      </c>
      <c r="BC88" s="26">
        <f>AE$4*(AE88-AE$3)</f>
        <v/>
      </c>
      <c r="BD88" s="26">
        <f>AF$4*(AF88-AF$3)</f>
        <v/>
      </c>
      <c r="BE88" s="26">
        <f>AG$4*(AG88-AG$3)</f>
        <v/>
      </c>
      <c r="BF88" s="26">
        <f>AH$4*(AH88-AH$3)</f>
        <v/>
      </c>
      <c r="BG88" s="26">
        <f>AI$4*(AI88-AI$3)</f>
        <v/>
      </c>
      <c r="BH88" s="26">
        <f>AJ$4*(AJ88-AJ$3)</f>
        <v/>
      </c>
      <c r="BI88" s="26">
        <f>AK$4*(AK88-AK$3)</f>
        <v/>
      </c>
      <c r="BJ88" s="26">
        <f>AL$4*(AL88-AL$3)</f>
        <v/>
      </c>
      <c r="BK88" s="26">
        <f>AM$4*(AM88-AM$3)</f>
        <v/>
      </c>
      <c r="BL88" s="26">
        <f>AN$4*(AN88-AN$3)</f>
        <v/>
      </c>
      <c r="BM88" s="26">
        <f>AO$4*(AO88-AO$3)</f>
        <v/>
      </c>
      <c r="BN88" s="26">
        <f>AP$4*(AP88-AP$3)</f>
        <v/>
      </c>
      <c r="BO88" s="26">
        <f>AQ$4*(AQ88-AQ$3)</f>
        <v/>
      </c>
      <c r="BP88" s="26">
        <f>AR$4*(AR88-AR$3)</f>
        <v/>
      </c>
      <c r="BQ88" s="26">
        <f>AS$4*(AS88-AS$3)</f>
        <v/>
      </c>
      <c r="BR88" s="27">
        <f>SUM(AT88:BQ88)</f>
        <v/>
      </c>
      <c r="BS88" s="27">
        <f>INTERCEPT_SCALED+BR88</f>
        <v/>
      </c>
      <c r="BT88" s="28">
        <f>1/(1+EXP(-BS88))</f>
        <v/>
      </c>
      <c r="BU88" s="13">
        <f>1-(1-BT88)^12</f>
        <v/>
      </c>
      <c r="BV88" s="13">
        <f>IFERROR(AT88/BR88*(BU88-BASELINE_CPR),0)</f>
        <v/>
      </c>
      <c r="BW88" s="13">
        <f>IFERROR(AU88/BR88*(BU88-BASELINE_CPR),0)</f>
        <v/>
      </c>
      <c r="BX88" s="13">
        <f>IFERROR(AV88/BR88*(BU88-BASELINE_CPR),0)</f>
        <v/>
      </c>
      <c r="BY88" s="13">
        <f>IFERROR(AW88/BR88*(BU88-BASELINE_CPR),0)</f>
        <v/>
      </c>
      <c r="BZ88" s="13">
        <f>IFERROR(AX88/BR88*(BU88-BASELINE_CPR),0)</f>
        <v/>
      </c>
      <c r="CA88" s="13">
        <f>IFERROR(AY88/BR88*(BU88-BASELINE_CPR),0)</f>
        <v/>
      </c>
      <c r="CB88" s="13">
        <f>IFERROR(AZ88/BR88*(BU88-BASELINE_CPR),0)</f>
        <v/>
      </c>
      <c r="CC88" s="13">
        <f>IFERROR(BA88/BR88*(BU88-BASELINE_CPR),0)</f>
        <v/>
      </c>
      <c r="CD88" s="13">
        <f>IFERROR(BB88/BR88*(BU88-BASELINE_CPR),0)</f>
        <v/>
      </c>
      <c r="CE88" s="13">
        <f>IFERROR(BC88/BR88*(BU88-BASELINE_CPR),0)</f>
        <v/>
      </c>
      <c r="CF88" s="13">
        <f>IFERROR(BD88/BR88*(BU88-BASELINE_CPR),0)</f>
        <v/>
      </c>
      <c r="CG88" s="13">
        <f>IFERROR(BE88/BR88*(BU88-BASELINE_CPR),0)</f>
        <v/>
      </c>
      <c r="CH88" s="13">
        <f>IFERROR(BF88/BR88*(BU88-BASELINE_CPR),0)</f>
        <v/>
      </c>
      <c r="CI88" s="13">
        <f>IFERROR(BG88/BR88*(BU88-BASELINE_CPR),0)</f>
        <v/>
      </c>
      <c r="CJ88" s="13">
        <f>IFERROR(BH88/BR88*(BU88-BASELINE_CPR),0)</f>
        <v/>
      </c>
      <c r="CK88" s="13">
        <f>IFERROR(BI88/BR88*(BU88-BASELINE_CPR),0)</f>
        <v/>
      </c>
      <c r="CL88" s="13">
        <f>IFERROR(BJ88/BR88*(BU88-BASELINE_CPR),0)</f>
        <v/>
      </c>
      <c r="CM88" s="13">
        <f>IFERROR(BK88/BR88*(BU88-BASELINE_CPR),0)</f>
        <v/>
      </c>
      <c r="CN88" s="13">
        <f>IFERROR(BL88/BR88*(BU88-BASELINE_CPR),0)</f>
        <v/>
      </c>
      <c r="CO88" s="13">
        <f>IFERROR(BM88/BR88*(BU88-BASELINE_CPR),0)</f>
        <v/>
      </c>
      <c r="CP88" s="13">
        <f>IFERROR(BN88/BR88*(BU88-BASELINE_CPR),0)</f>
        <v/>
      </c>
      <c r="CQ88" s="13">
        <f>IFERROR(BO88/BR88*(BU88-BASELINE_CPR),0)</f>
        <v/>
      </c>
      <c r="CR88" s="13">
        <f>IFERROR(BP88/BR88*(BU88-BASELINE_CPR),0)</f>
        <v/>
      </c>
      <c r="CS88" s="13">
        <f>IFERROR(BQ88/BR88*(BU88-BASELINE_CPR),0)</f>
        <v/>
      </c>
      <c r="CT88" s="29">
        <f>BASELINE_CPR+SUM(BV88:CS88)-BU88</f>
        <v/>
      </c>
    </row>
    <row r="89">
      <c r="A89" s="2" t="inlineStr">
        <is>
          <t>3620C25U4_000000007235671</t>
        </is>
      </c>
      <c r="B89" t="inlineStr">
        <is>
          <t>WALKER_PRE21</t>
        </is>
      </c>
      <c r="C89" s="2" t="inlineStr">
        <is>
          <t>3620C25U4</t>
        </is>
      </c>
      <c r="D89" t="inlineStr">
        <is>
          <t>WALKER &amp; DUNLOP, LLC</t>
        </is>
      </c>
      <c r="E89" t="inlineStr">
        <is>
          <t>221d4</t>
        </is>
      </c>
      <c r="F89" t="inlineStr">
        <is>
          <t>RP</t>
        </is>
      </c>
      <c r="G89" t="n">
        <v>2010</v>
      </c>
      <c r="H89" t="inlineStr">
        <is>
          <t>202602</t>
        </is>
      </c>
      <c r="I89" s="22" t="n">
        <v>383060.16</v>
      </c>
      <c r="J89" s="23" t="n">
        <v>4.65</v>
      </c>
      <c r="K89" s="24" t="n">
        <v>447</v>
      </c>
      <c r="L89" s="24" t="n">
        <v>0</v>
      </c>
      <c r="M89" t="n">
        <v>187</v>
      </c>
      <c r="N89" t="n">
        <v>49</v>
      </c>
      <c r="O89" t="n">
        <v>203403</v>
      </c>
      <c r="P89" t="n">
        <v>201209</v>
      </c>
      <c r="Q89" t="inlineStr">
        <is>
          <t>4080</t>
        </is>
      </c>
      <c r="R89" t="n">
        <v>0</v>
      </c>
      <c r="S89" t="n">
        <v>1</v>
      </c>
      <c r="T89" t="n">
        <v>0</v>
      </c>
      <c r="U89" t="n">
        <v>0</v>
      </c>
      <c r="V89" s="24">
        <f>J89*100-K89</f>
        <v/>
      </c>
      <c r="W89" s="24">
        <f>L89</f>
        <v/>
      </c>
      <c r="X89" s="25">
        <f>MIN(M89,36)</f>
        <v/>
      </c>
      <c r="Y89" s="25">
        <f>MIN(MAX(M89-36,0),84)</f>
        <v/>
      </c>
      <c r="Z89" s="25">
        <f>MAX(M89-120,0)</f>
        <v/>
      </c>
      <c r="AA89" s="25">
        <f>IF(OR(O89="",NOT(ISNUMBER(O89))),360,MAX(0,MIN(480,(INT(O89/100)-INT(VALUE(H89)/100))*12+MOD(O89,100)-MOD(VALUE(H89),100))))</f>
        <v/>
      </c>
      <c r="AB89">
        <f>IF(AND(AA89&gt;0,AA89&lt;=24),1,0)</f>
        <v/>
      </c>
      <c r="AC89" s="25">
        <f>IF(OR(P89="",NOT(ISNUMBER(P89))),0,MAX(0,MIN(24,(INT(VALUE(H89)/100)-INT(P89/100))*12+MOD(VALUE(H89),100)-MOD(P89,100))))</f>
        <v/>
      </c>
      <c r="AD89" s="23">
        <f>LN(1+I89)</f>
        <v/>
      </c>
      <c r="AE89">
        <f>IF(I89&lt;2000000,1,0)</f>
        <v/>
      </c>
      <c r="AF89">
        <f>IF(I89&gt;50000000,1,0)</f>
        <v/>
      </c>
      <c r="AG89" s="23">
        <f>IF(ISNUMBER(M89),N89/MAX(M89,1),0)</f>
        <v/>
      </c>
      <c r="AH89">
        <f>IF(G89&gt;=2021,1,0)</f>
        <v/>
      </c>
      <c r="AI89">
        <f>S89</f>
        <v/>
      </c>
      <c r="AJ89">
        <f>T89</f>
        <v/>
      </c>
      <c r="AK89">
        <f>R89</f>
        <v/>
      </c>
      <c r="AL89">
        <f>U89</f>
        <v/>
      </c>
      <c r="AM89">
        <f>IF(ISNUMBER(SEARCH("CAPITAL FUNDING",D89)),1,0)</f>
        <v/>
      </c>
      <c r="AN89">
        <f>IF(ISNUMBER(SEARCH("PNC",D89)),1,0)</f>
        <v/>
      </c>
      <c r="AO89">
        <f>IF(ISNUMBER(SEARCH("WELLS FARGO",D89)),1,0)</f>
        <v/>
      </c>
      <c r="AP89">
        <f>IF(ISNUMBER(SEARCH("DWIGHT",D89)),1,0)</f>
        <v/>
      </c>
      <c r="AQ89">
        <f>IF(ISNUMBER(SEARCH("GREYSTONE",D89)),1,0)</f>
        <v/>
      </c>
      <c r="AR89">
        <f>IF(OR(Q89="3896",Q89="3557"),1,0)</f>
        <v/>
      </c>
      <c r="AS89" s="24">
        <f>V89*W89</f>
        <v/>
      </c>
      <c r="AT89" s="26">
        <f>V$4*(V89-V$3)</f>
        <v/>
      </c>
      <c r="AU89" s="26">
        <f>W$4*(W89-W$3)</f>
        <v/>
      </c>
      <c r="AV89" s="26">
        <f>X$4*(X89-X$3)</f>
        <v/>
      </c>
      <c r="AW89" s="26">
        <f>Y$4*(Y89-Y$3)</f>
        <v/>
      </c>
      <c r="AX89" s="26">
        <f>Z$4*(Z89-Z$3)</f>
        <v/>
      </c>
      <c r="AY89" s="26">
        <f>AA$4*(AA89-AA$3)</f>
        <v/>
      </c>
      <c r="AZ89" s="26">
        <f>AB$4*(AB89-AB$3)</f>
        <v/>
      </c>
      <c r="BA89" s="26">
        <f>AC$4*(AC89-AC$3)</f>
        <v/>
      </c>
      <c r="BB89" s="26">
        <f>AD$4*(AD89-AD$3)</f>
        <v/>
      </c>
      <c r="BC89" s="26">
        <f>AE$4*(AE89-AE$3)</f>
        <v/>
      </c>
      <c r="BD89" s="26">
        <f>AF$4*(AF89-AF$3)</f>
        <v/>
      </c>
      <c r="BE89" s="26">
        <f>AG$4*(AG89-AG$3)</f>
        <v/>
      </c>
      <c r="BF89" s="26">
        <f>AH$4*(AH89-AH$3)</f>
        <v/>
      </c>
      <c r="BG89" s="26">
        <f>AI$4*(AI89-AI$3)</f>
        <v/>
      </c>
      <c r="BH89" s="26">
        <f>AJ$4*(AJ89-AJ$3)</f>
        <v/>
      </c>
      <c r="BI89" s="26">
        <f>AK$4*(AK89-AK$3)</f>
        <v/>
      </c>
      <c r="BJ89" s="26">
        <f>AL$4*(AL89-AL$3)</f>
        <v/>
      </c>
      <c r="BK89" s="26">
        <f>AM$4*(AM89-AM$3)</f>
        <v/>
      </c>
      <c r="BL89" s="26">
        <f>AN$4*(AN89-AN$3)</f>
        <v/>
      </c>
      <c r="BM89" s="26">
        <f>AO$4*(AO89-AO$3)</f>
        <v/>
      </c>
      <c r="BN89" s="26">
        <f>AP$4*(AP89-AP$3)</f>
        <v/>
      </c>
      <c r="BO89" s="26">
        <f>AQ$4*(AQ89-AQ$3)</f>
        <v/>
      </c>
      <c r="BP89" s="26">
        <f>AR$4*(AR89-AR$3)</f>
        <v/>
      </c>
      <c r="BQ89" s="26">
        <f>AS$4*(AS89-AS$3)</f>
        <v/>
      </c>
      <c r="BR89" s="27">
        <f>SUM(AT89:BQ89)</f>
        <v/>
      </c>
      <c r="BS89" s="27">
        <f>INTERCEPT_SCALED+BR89</f>
        <v/>
      </c>
      <c r="BT89" s="28">
        <f>1/(1+EXP(-BS89))</f>
        <v/>
      </c>
      <c r="BU89" s="13">
        <f>1-(1-BT89)^12</f>
        <v/>
      </c>
      <c r="BV89" s="13">
        <f>IFERROR(AT89/BR89*(BU89-BASELINE_CPR),0)</f>
        <v/>
      </c>
      <c r="BW89" s="13">
        <f>IFERROR(AU89/BR89*(BU89-BASELINE_CPR),0)</f>
        <v/>
      </c>
      <c r="BX89" s="13">
        <f>IFERROR(AV89/BR89*(BU89-BASELINE_CPR),0)</f>
        <v/>
      </c>
      <c r="BY89" s="13">
        <f>IFERROR(AW89/BR89*(BU89-BASELINE_CPR),0)</f>
        <v/>
      </c>
      <c r="BZ89" s="13">
        <f>IFERROR(AX89/BR89*(BU89-BASELINE_CPR),0)</f>
        <v/>
      </c>
      <c r="CA89" s="13">
        <f>IFERROR(AY89/BR89*(BU89-BASELINE_CPR),0)</f>
        <v/>
      </c>
      <c r="CB89" s="13">
        <f>IFERROR(AZ89/BR89*(BU89-BASELINE_CPR),0)</f>
        <v/>
      </c>
      <c r="CC89" s="13">
        <f>IFERROR(BA89/BR89*(BU89-BASELINE_CPR),0)</f>
        <v/>
      </c>
      <c r="CD89" s="13">
        <f>IFERROR(BB89/BR89*(BU89-BASELINE_CPR),0)</f>
        <v/>
      </c>
      <c r="CE89" s="13">
        <f>IFERROR(BC89/BR89*(BU89-BASELINE_CPR),0)</f>
        <v/>
      </c>
      <c r="CF89" s="13">
        <f>IFERROR(BD89/BR89*(BU89-BASELINE_CPR),0)</f>
        <v/>
      </c>
      <c r="CG89" s="13">
        <f>IFERROR(BE89/BR89*(BU89-BASELINE_CPR),0)</f>
        <v/>
      </c>
      <c r="CH89" s="13">
        <f>IFERROR(BF89/BR89*(BU89-BASELINE_CPR),0)</f>
        <v/>
      </c>
      <c r="CI89" s="13">
        <f>IFERROR(BG89/BR89*(BU89-BASELINE_CPR),0)</f>
        <v/>
      </c>
      <c r="CJ89" s="13">
        <f>IFERROR(BH89/BR89*(BU89-BASELINE_CPR),0)</f>
        <v/>
      </c>
      <c r="CK89" s="13">
        <f>IFERROR(BI89/BR89*(BU89-BASELINE_CPR),0)</f>
        <v/>
      </c>
      <c r="CL89" s="13">
        <f>IFERROR(BJ89/BR89*(BU89-BASELINE_CPR),0)</f>
        <v/>
      </c>
      <c r="CM89" s="13">
        <f>IFERROR(BK89/BR89*(BU89-BASELINE_CPR),0)</f>
        <v/>
      </c>
      <c r="CN89" s="13">
        <f>IFERROR(BL89/BR89*(BU89-BASELINE_CPR),0)</f>
        <v/>
      </c>
      <c r="CO89" s="13">
        <f>IFERROR(BM89/BR89*(BU89-BASELINE_CPR),0)</f>
        <v/>
      </c>
      <c r="CP89" s="13">
        <f>IFERROR(BN89/BR89*(BU89-BASELINE_CPR),0)</f>
        <v/>
      </c>
      <c r="CQ89" s="13">
        <f>IFERROR(BO89/BR89*(BU89-BASELINE_CPR),0)</f>
        <v/>
      </c>
      <c r="CR89" s="13">
        <f>IFERROR(BP89/BR89*(BU89-BASELINE_CPR),0)</f>
        <v/>
      </c>
      <c r="CS89" s="13">
        <f>IFERROR(BQ89/BR89*(BU89-BASELINE_CPR),0)</f>
        <v/>
      </c>
      <c r="CT89" s="29">
        <f>BASELINE_CPR+SUM(BV89:CS89)-BU89</f>
        <v/>
      </c>
    </row>
    <row r="90">
      <c r="A90" s="2" t="inlineStr">
        <is>
          <t>3620C5WG8_000000012635300</t>
        </is>
      </c>
      <c r="B90" t="inlineStr">
        <is>
          <t>WALKER_PRE21</t>
        </is>
      </c>
      <c r="C90" s="2" t="inlineStr">
        <is>
          <t>3620C5WG8</t>
        </is>
      </c>
      <c r="D90" t="inlineStr">
        <is>
          <t>WALKER &amp; DUNLOP, LLC</t>
        </is>
      </c>
      <c r="E90" t="inlineStr">
        <is>
          <t>OTHER</t>
        </is>
      </c>
      <c r="F90" t="inlineStr">
        <is>
          <t>OTHER</t>
        </is>
      </c>
      <c r="G90" t="n">
        <v>2011</v>
      </c>
      <c r="H90" t="inlineStr">
        <is>
          <t>202602</t>
        </is>
      </c>
      <c r="I90" s="22" t="n">
        <v>1739264.07</v>
      </c>
      <c r="J90" s="23" t="n">
        <v>6.25</v>
      </c>
      <c r="K90" s="24" t="n">
        <v>447</v>
      </c>
      <c r="L90" s="24" t="n">
        <v>0</v>
      </c>
      <c r="M90" t="n">
        <v>174</v>
      </c>
      <c r="N90" t="n">
        <v>86</v>
      </c>
      <c r="O90" t="n">
        <v>205304</v>
      </c>
      <c r="P90" t="n">
        <v>201405</v>
      </c>
      <c r="Q90" t="inlineStr">
        <is>
          <t>4080</t>
        </is>
      </c>
      <c r="R90" t="n">
        <v>0</v>
      </c>
      <c r="S90" t="n">
        <v>0</v>
      </c>
      <c r="T90" t="n">
        <v>0</v>
      </c>
      <c r="U90" t="n">
        <v>0</v>
      </c>
      <c r="V90" s="24">
        <f>J90*100-K90</f>
        <v/>
      </c>
      <c r="W90" s="24">
        <f>L90</f>
        <v/>
      </c>
      <c r="X90" s="25">
        <f>MIN(M90,36)</f>
        <v/>
      </c>
      <c r="Y90" s="25">
        <f>MIN(MAX(M90-36,0),84)</f>
        <v/>
      </c>
      <c r="Z90" s="25">
        <f>MAX(M90-120,0)</f>
        <v/>
      </c>
      <c r="AA90" s="25">
        <f>IF(OR(O90="",NOT(ISNUMBER(O90))),360,MAX(0,MIN(480,(INT(O90/100)-INT(VALUE(H90)/100))*12+MOD(O90,100)-MOD(VALUE(H90),100))))</f>
        <v/>
      </c>
      <c r="AB90">
        <f>IF(AND(AA90&gt;0,AA90&lt;=24),1,0)</f>
        <v/>
      </c>
      <c r="AC90" s="25">
        <f>IF(OR(P90="",NOT(ISNUMBER(P90))),0,MAX(0,MIN(24,(INT(VALUE(H90)/100)-INT(P90/100))*12+MOD(VALUE(H90),100)-MOD(P90,100))))</f>
        <v/>
      </c>
      <c r="AD90" s="23">
        <f>LN(1+I90)</f>
        <v/>
      </c>
      <c r="AE90">
        <f>IF(I90&lt;2000000,1,0)</f>
        <v/>
      </c>
      <c r="AF90">
        <f>IF(I90&gt;50000000,1,0)</f>
        <v/>
      </c>
      <c r="AG90" s="23">
        <f>IF(ISNUMBER(M90),N90/MAX(M90,1),0)</f>
        <v/>
      </c>
      <c r="AH90">
        <f>IF(G90&gt;=2021,1,0)</f>
        <v/>
      </c>
      <c r="AI90">
        <f>S90</f>
        <v/>
      </c>
      <c r="AJ90">
        <f>T90</f>
        <v/>
      </c>
      <c r="AK90">
        <f>R90</f>
        <v/>
      </c>
      <c r="AL90">
        <f>U90</f>
        <v/>
      </c>
      <c r="AM90">
        <f>IF(ISNUMBER(SEARCH("CAPITAL FUNDING",D90)),1,0)</f>
        <v/>
      </c>
      <c r="AN90">
        <f>IF(ISNUMBER(SEARCH("PNC",D90)),1,0)</f>
        <v/>
      </c>
      <c r="AO90">
        <f>IF(ISNUMBER(SEARCH("WELLS FARGO",D90)),1,0)</f>
        <v/>
      </c>
      <c r="AP90">
        <f>IF(ISNUMBER(SEARCH("DWIGHT",D90)),1,0)</f>
        <v/>
      </c>
      <c r="AQ90">
        <f>IF(ISNUMBER(SEARCH("GREYSTONE",D90)),1,0)</f>
        <v/>
      </c>
      <c r="AR90">
        <f>IF(OR(Q90="3896",Q90="3557"),1,0)</f>
        <v/>
      </c>
      <c r="AS90" s="24">
        <f>V90*W90</f>
        <v/>
      </c>
      <c r="AT90" s="26">
        <f>V$4*(V90-V$3)</f>
        <v/>
      </c>
      <c r="AU90" s="26">
        <f>W$4*(W90-W$3)</f>
        <v/>
      </c>
      <c r="AV90" s="26">
        <f>X$4*(X90-X$3)</f>
        <v/>
      </c>
      <c r="AW90" s="26">
        <f>Y$4*(Y90-Y$3)</f>
        <v/>
      </c>
      <c r="AX90" s="26">
        <f>Z$4*(Z90-Z$3)</f>
        <v/>
      </c>
      <c r="AY90" s="26">
        <f>AA$4*(AA90-AA$3)</f>
        <v/>
      </c>
      <c r="AZ90" s="26">
        <f>AB$4*(AB90-AB$3)</f>
        <v/>
      </c>
      <c r="BA90" s="26">
        <f>AC$4*(AC90-AC$3)</f>
        <v/>
      </c>
      <c r="BB90" s="26">
        <f>AD$4*(AD90-AD$3)</f>
        <v/>
      </c>
      <c r="BC90" s="26">
        <f>AE$4*(AE90-AE$3)</f>
        <v/>
      </c>
      <c r="BD90" s="26">
        <f>AF$4*(AF90-AF$3)</f>
        <v/>
      </c>
      <c r="BE90" s="26">
        <f>AG$4*(AG90-AG$3)</f>
        <v/>
      </c>
      <c r="BF90" s="26">
        <f>AH$4*(AH90-AH$3)</f>
        <v/>
      </c>
      <c r="BG90" s="26">
        <f>AI$4*(AI90-AI$3)</f>
        <v/>
      </c>
      <c r="BH90" s="26">
        <f>AJ$4*(AJ90-AJ$3)</f>
        <v/>
      </c>
      <c r="BI90" s="26">
        <f>AK$4*(AK90-AK$3)</f>
        <v/>
      </c>
      <c r="BJ90" s="26">
        <f>AL$4*(AL90-AL$3)</f>
        <v/>
      </c>
      <c r="BK90" s="26">
        <f>AM$4*(AM90-AM$3)</f>
        <v/>
      </c>
      <c r="BL90" s="26">
        <f>AN$4*(AN90-AN$3)</f>
        <v/>
      </c>
      <c r="BM90" s="26">
        <f>AO$4*(AO90-AO$3)</f>
        <v/>
      </c>
      <c r="BN90" s="26">
        <f>AP$4*(AP90-AP$3)</f>
        <v/>
      </c>
      <c r="BO90" s="26">
        <f>AQ$4*(AQ90-AQ$3)</f>
        <v/>
      </c>
      <c r="BP90" s="26">
        <f>AR$4*(AR90-AR$3)</f>
        <v/>
      </c>
      <c r="BQ90" s="26">
        <f>AS$4*(AS90-AS$3)</f>
        <v/>
      </c>
      <c r="BR90" s="27">
        <f>SUM(AT90:BQ90)</f>
        <v/>
      </c>
      <c r="BS90" s="27">
        <f>INTERCEPT_SCALED+BR90</f>
        <v/>
      </c>
      <c r="BT90" s="28">
        <f>1/(1+EXP(-BS90))</f>
        <v/>
      </c>
      <c r="BU90" s="13">
        <f>1-(1-BT90)^12</f>
        <v/>
      </c>
      <c r="BV90" s="13">
        <f>IFERROR(AT90/BR90*(BU90-BASELINE_CPR),0)</f>
        <v/>
      </c>
      <c r="BW90" s="13">
        <f>IFERROR(AU90/BR90*(BU90-BASELINE_CPR),0)</f>
        <v/>
      </c>
      <c r="BX90" s="13">
        <f>IFERROR(AV90/BR90*(BU90-BASELINE_CPR),0)</f>
        <v/>
      </c>
      <c r="BY90" s="13">
        <f>IFERROR(AW90/BR90*(BU90-BASELINE_CPR),0)</f>
        <v/>
      </c>
      <c r="BZ90" s="13">
        <f>IFERROR(AX90/BR90*(BU90-BASELINE_CPR),0)</f>
        <v/>
      </c>
      <c r="CA90" s="13">
        <f>IFERROR(AY90/BR90*(BU90-BASELINE_CPR),0)</f>
        <v/>
      </c>
      <c r="CB90" s="13">
        <f>IFERROR(AZ90/BR90*(BU90-BASELINE_CPR),0)</f>
        <v/>
      </c>
      <c r="CC90" s="13">
        <f>IFERROR(BA90/BR90*(BU90-BASELINE_CPR),0)</f>
        <v/>
      </c>
      <c r="CD90" s="13">
        <f>IFERROR(BB90/BR90*(BU90-BASELINE_CPR),0)</f>
        <v/>
      </c>
      <c r="CE90" s="13">
        <f>IFERROR(BC90/BR90*(BU90-BASELINE_CPR),0)</f>
        <v/>
      </c>
      <c r="CF90" s="13">
        <f>IFERROR(BD90/BR90*(BU90-BASELINE_CPR),0)</f>
        <v/>
      </c>
      <c r="CG90" s="13">
        <f>IFERROR(BE90/BR90*(BU90-BASELINE_CPR),0)</f>
        <v/>
      </c>
      <c r="CH90" s="13">
        <f>IFERROR(BF90/BR90*(BU90-BASELINE_CPR),0)</f>
        <v/>
      </c>
      <c r="CI90" s="13">
        <f>IFERROR(BG90/BR90*(BU90-BASELINE_CPR),0)</f>
        <v/>
      </c>
      <c r="CJ90" s="13">
        <f>IFERROR(BH90/BR90*(BU90-BASELINE_CPR),0)</f>
        <v/>
      </c>
      <c r="CK90" s="13">
        <f>IFERROR(BI90/BR90*(BU90-BASELINE_CPR),0)</f>
        <v/>
      </c>
      <c r="CL90" s="13">
        <f>IFERROR(BJ90/BR90*(BU90-BASELINE_CPR),0)</f>
        <v/>
      </c>
      <c r="CM90" s="13">
        <f>IFERROR(BK90/BR90*(BU90-BASELINE_CPR),0)</f>
        <v/>
      </c>
      <c r="CN90" s="13">
        <f>IFERROR(BL90/BR90*(BU90-BASELINE_CPR),0)</f>
        <v/>
      </c>
      <c r="CO90" s="13">
        <f>IFERROR(BM90/BR90*(BU90-BASELINE_CPR),0)</f>
        <v/>
      </c>
      <c r="CP90" s="13">
        <f>IFERROR(BN90/BR90*(BU90-BASELINE_CPR),0)</f>
        <v/>
      </c>
      <c r="CQ90" s="13">
        <f>IFERROR(BO90/BR90*(BU90-BASELINE_CPR),0)</f>
        <v/>
      </c>
      <c r="CR90" s="13">
        <f>IFERROR(BP90/BR90*(BU90-BASELINE_CPR),0)</f>
        <v/>
      </c>
      <c r="CS90" s="13">
        <f>IFERROR(BQ90/BR90*(BU90-BASELINE_CPR),0)</f>
        <v/>
      </c>
      <c r="CT90" s="29">
        <f>BASELINE_CPR+SUM(BV90:CS90)-BU90</f>
        <v/>
      </c>
    </row>
    <row r="91">
      <c r="A91" s="2" t="inlineStr">
        <is>
          <t>3617F7NC6_000000012311329</t>
        </is>
      </c>
      <c r="B91" t="inlineStr">
        <is>
          <t>WALKER_POST21</t>
        </is>
      </c>
      <c r="C91" s="2" t="inlineStr">
        <is>
          <t>3617F7NC6</t>
        </is>
      </c>
      <c r="D91" t="inlineStr">
        <is>
          <t>WALKER &amp; DUNLOP, LLC</t>
        </is>
      </c>
      <c r="E91" t="inlineStr">
        <is>
          <t>223f</t>
        </is>
      </c>
      <c r="F91" t="inlineStr">
        <is>
          <t>RP</t>
        </is>
      </c>
      <c r="G91" t="n">
        <v>2022</v>
      </c>
      <c r="H91" t="inlineStr">
        <is>
          <t>202602</t>
        </is>
      </c>
      <c r="I91" s="22" t="n">
        <v>64446669.9</v>
      </c>
      <c r="J91" s="23" t="n">
        <v>4.25</v>
      </c>
      <c r="K91" s="24" t="n">
        <v>447</v>
      </c>
      <c r="L91" s="24" t="n">
        <v>7</v>
      </c>
      <c r="M91" t="n">
        <v>42</v>
      </c>
      <c r="N91" t="n">
        <v>0</v>
      </c>
      <c r="O91" t="n">
        <v>205709</v>
      </c>
      <c r="P91" t="inlineStr"/>
      <c r="Q91" t="inlineStr">
        <is>
          <t>4080</t>
        </is>
      </c>
      <c r="R91" t="n">
        <v>0</v>
      </c>
      <c r="S91" t="n">
        <v>0</v>
      </c>
      <c r="T91" t="n">
        <v>0</v>
      </c>
      <c r="U91" t="n">
        <v>0</v>
      </c>
      <c r="V91" s="24">
        <f>J91*100-K91</f>
        <v/>
      </c>
      <c r="W91" s="24">
        <f>L91</f>
        <v/>
      </c>
      <c r="X91" s="25">
        <f>MIN(M91,36)</f>
        <v/>
      </c>
      <c r="Y91" s="25">
        <f>MIN(MAX(M91-36,0),84)</f>
        <v/>
      </c>
      <c r="Z91" s="25">
        <f>MAX(M91-120,0)</f>
        <v/>
      </c>
      <c r="AA91" s="25">
        <f>IF(OR(O91="",NOT(ISNUMBER(O91))),360,MAX(0,MIN(480,(INT(O91/100)-INT(VALUE(H91)/100))*12+MOD(O91,100)-MOD(VALUE(H91),100))))</f>
        <v/>
      </c>
      <c r="AB91">
        <f>IF(AND(AA91&gt;0,AA91&lt;=24),1,0)</f>
        <v/>
      </c>
      <c r="AC91" s="25">
        <f>IF(OR(P91="",NOT(ISNUMBER(P91))),0,MAX(0,MIN(24,(INT(VALUE(H91)/100)-INT(P91/100))*12+MOD(VALUE(H91),100)-MOD(P91,100))))</f>
        <v/>
      </c>
      <c r="AD91" s="23">
        <f>LN(1+I91)</f>
        <v/>
      </c>
      <c r="AE91">
        <f>IF(I91&lt;2000000,1,0)</f>
        <v/>
      </c>
      <c r="AF91">
        <f>IF(I91&gt;50000000,1,0)</f>
        <v/>
      </c>
      <c r="AG91" s="23">
        <f>IF(ISNUMBER(M91),N91/MAX(M91,1),0)</f>
        <v/>
      </c>
      <c r="AH91">
        <f>IF(G91&gt;=2021,1,0)</f>
        <v/>
      </c>
      <c r="AI91">
        <f>S91</f>
        <v/>
      </c>
      <c r="AJ91">
        <f>T91</f>
        <v/>
      </c>
      <c r="AK91">
        <f>R91</f>
        <v/>
      </c>
      <c r="AL91">
        <f>U91</f>
        <v/>
      </c>
      <c r="AM91">
        <f>IF(ISNUMBER(SEARCH("CAPITAL FUNDING",D91)),1,0)</f>
        <v/>
      </c>
      <c r="AN91">
        <f>IF(ISNUMBER(SEARCH("PNC",D91)),1,0)</f>
        <v/>
      </c>
      <c r="AO91">
        <f>IF(ISNUMBER(SEARCH("WELLS FARGO",D91)),1,0)</f>
        <v/>
      </c>
      <c r="AP91">
        <f>IF(ISNUMBER(SEARCH("DWIGHT",D91)),1,0)</f>
        <v/>
      </c>
      <c r="AQ91">
        <f>IF(ISNUMBER(SEARCH("GREYSTONE",D91)),1,0)</f>
        <v/>
      </c>
      <c r="AR91">
        <f>IF(OR(Q91="3896",Q91="3557"),1,0)</f>
        <v/>
      </c>
      <c r="AS91" s="24">
        <f>V91*W91</f>
        <v/>
      </c>
      <c r="AT91" s="26">
        <f>V$4*(V91-V$3)</f>
        <v/>
      </c>
      <c r="AU91" s="26">
        <f>W$4*(W91-W$3)</f>
        <v/>
      </c>
      <c r="AV91" s="26">
        <f>X$4*(X91-X$3)</f>
        <v/>
      </c>
      <c r="AW91" s="26">
        <f>Y$4*(Y91-Y$3)</f>
        <v/>
      </c>
      <c r="AX91" s="26">
        <f>Z$4*(Z91-Z$3)</f>
        <v/>
      </c>
      <c r="AY91" s="26">
        <f>AA$4*(AA91-AA$3)</f>
        <v/>
      </c>
      <c r="AZ91" s="26">
        <f>AB$4*(AB91-AB$3)</f>
        <v/>
      </c>
      <c r="BA91" s="26">
        <f>AC$4*(AC91-AC$3)</f>
        <v/>
      </c>
      <c r="BB91" s="26">
        <f>AD$4*(AD91-AD$3)</f>
        <v/>
      </c>
      <c r="BC91" s="26">
        <f>AE$4*(AE91-AE$3)</f>
        <v/>
      </c>
      <c r="BD91" s="26">
        <f>AF$4*(AF91-AF$3)</f>
        <v/>
      </c>
      <c r="BE91" s="26">
        <f>AG$4*(AG91-AG$3)</f>
        <v/>
      </c>
      <c r="BF91" s="26">
        <f>AH$4*(AH91-AH$3)</f>
        <v/>
      </c>
      <c r="BG91" s="26">
        <f>AI$4*(AI91-AI$3)</f>
        <v/>
      </c>
      <c r="BH91" s="26">
        <f>AJ$4*(AJ91-AJ$3)</f>
        <v/>
      </c>
      <c r="BI91" s="26">
        <f>AK$4*(AK91-AK$3)</f>
        <v/>
      </c>
      <c r="BJ91" s="26">
        <f>AL$4*(AL91-AL$3)</f>
        <v/>
      </c>
      <c r="BK91" s="26">
        <f>AM$4*(AM91-AM$3)</f>
        <v/>
      </c>
      <c r="BL91" s="26">
        <f>AN$4*(AN91-AN$3)</f>
        <v/>
      </c>
      <c r="BM91" s="26">
        <f>AO$4*(AO91-AO$3)</f>
        <v/>
      </c>
      <c r="BN91" s="26">
        <f>AP$4*(AP91-AP$3)</f>
        <v/>
      </c>
      <c r="BO91" s="26">
        <f>AQ$4*(AQ91-AQ$3)</f>
        <v/>
      </c>
      <c r="BP91" s="26">
        <f>AR$4*(AR91-AR$3)</f>
        <v/>
      </c>
      <c r="BQ91" s="26">
        <f>AS$4*(AS91-AS$3)</f>
        <v/>
      </c>
      <c r="BR91" s="27">
        <f>SUM(AT91:BQ91)</f>
        <v/>
      </c>
      <c r="BS91" s="27">
        <f>INTERCEPT_SCALED+BR91</f>
        <v/>
      </c>
      <c r="BT91" s="28">
        <f>1/(1+EXP(-BS91))</f>
        <v/>
      </c>
      <c r="BU91" s="13">
        <f>1-(1-BT91)^12</f>
        <v/>
      </c>
      <c r="BV91" s="13">
        <f>IFERROR(AT91/BR91*(BU91-BASELINE_CPR),0)</f>
        <v/>
      </c>
      <c r="BW91" s="13">
        <f>IFERROR(AU91/BR91*(BU91-BASELINE_CPR),0)</f>
        <v/>
      </c>
      <c r="BX91" s="13">
        <f>IFERROR(AV91/BR91*(BU91-BASELINE_CPR),0)</f>
        <v/>
      </c>
      <c r="BY91" s="13">
        <f>IFERROR(AW91/BR91*(BU91-BASELINE_CPR),0)</f>
        <v/>
      </c>
      <c r="BZ91" s="13">
        <f>IFERROR(AX91/BR91*(BU91-BASELINE_CPR),0)</f>
        <v/>
      </c>
      <c r="CA91" s="13">
        <f>IFERROR(AY91/BR91*(BU91-BASELINE_CPR),0)</f>
        <v/>
      </c>
      <c r="CB91" s="13">
        <f>IFERROR(AZ91/BR91*(BU91-BASELINE_CPR),0)</f>
        <v/>
      </c>
      <c r="CC91" s="13">
        <f>IFERROR(BA91/BR91*(BU91-BASELINE_CPR),0)</f>
        <v/>
      </c>
      <c r="CD91" s="13">
        <f>IFERROR(BB91/BR91*(BU91-BASELINE_CPR),0)</f>
        <v/>
      </c>
      <c r="CE91" s="13">
        <f>IFERROR(BC91/BR91*(BU91-BASELINE_CPR),0)</f>
        <v/>
      </c>
      <c r="CF91" s="13">
        <f>IFERROR(BD91/BR91*(BU91-BASELINE_CPR),0)</f>
        <v/>
      </c>
      <c r="CG91" s="13">
        <f>IFERROR(BE91/BR91*(BU91-BASELINE_CPR),0)</f>
        <v/>
      </c>
      <c r="CH91" s="13">
        <f>IFERROR(BF91/BR91*(BU91-BASELINE_CPR),0)</f>
        <v/>
      </c>
      <c r="CI91" s="13">
        <f>IFERROR(BG91/BR91*(BU91-BASELINE_CPR),0)</f>
        <v/>
      </c>
      <c r="CJ91" s="13">
        <f>IFERROR(BH91/BR91*(BU91-BASELINE_CPR),0)</f>
        <v/>
      </c>
      <c r="CK91" s="13">
        <f>IFERROR(BI91/BR91*(BU91-BASELINE_CPR),0)</f>
        <v/>
      </c>
      <c r="CL91" s="13">
        <f>IFERROR(BJ91/BR91*(BU91-BASELINE_CPR),0)</f>
        <v/>
      </c>
      <c r="CM91" s="13">
        <f>IFERROR(BK91/BR91*(BU91-BASELINE_CPR),0)</f>
        <v/>
      </c>
      <c r="CN91" s="13">
        <f>IFERROR(BL91/BR91*(BU91-BASELINE_CPR),0)</f>
        <v/>
      </c>
      <c r="CO91" s="13">
        <f>IFERROR(BM91/BR91*(BU91-BASELINE_CPR),0)</f>
        <v/>
      </c>
      <c r="CP91" s="13">
        <f>IFERROR(BN91/BR91*(BU91-BASELINE_CPR),0)</f>
        <v/>
      </c>
      <c r="CQ91" s="13">
        <f>IFERROR(BO91/BR91*(BU91-BASELINE_CPR),0)</f>
        <v/>
      </c>
      <c r="CR91" s="13">
        <f>IFERROR(BP91/BR91*(BU91-BASELINE_CPR),0)</f>
        <v/>
      </c>
      <c r="CS91" s="13">
        <f>IFERROR(BQ91/BR91*(BU91-BASELINE_CPR),0)</f>
        <v/>
      </c>
      <c r="CT91" s="29">
        <f>BASELINE_CPR+SUM(BV91:CS91)-BU91</f>
        <v/>
      </c>
    </row>
    <row r="92">
      <c r="A92" s="2" t="inlineStr">
        <is>
          <t>3618AWG40_000000008711151</t>
        </is>
      </c>
      <c r="B92" t="inlineStr">
        <is>
          <t>WALKER_POST21</t>
        </is>
      </c>
      <c r="C92" s="2" t="inlineStr">
        <is>
          <t>3618AWG40</t>
        </is>
      </c>
      <c r="D92" t="inlineStr">
        <is>
          <t>WALKER &amp; DUNLOP, LLC</t>
        </is>
      </c>
      <c r="E92" t="inlineStr">
        <is>
          <t>223f</t>
        </is>
      </c>
      <c r="F92" t="inlineStr">
        <is>
          <t>RP</t>
        </is>
      </c>
      <c r="G92" t="n">
        <v>2023</v>
      </c>
      <c r="H92" t="inlineStr">
        <is>
          <t>202602</t>
        </is>
      </c>
      <c r="I92" s="22" t="n">
        <v>6005643.3</v>
      </c>
      <c r="J92" s="23" t="n">
        <v>6.19</v>
      </c>
      <c r="K92" s="24" t="n">
        <v>447</v>
      </c>
      <c r="L92" s="24" t="n">
        <v>8</v>
      </c>
      <c r="M92" t="n">
        <v>28</v>
      </c>
      <c r="N92" t="n">
        <v>7</v>
      </c>
      <c r="O92" t="n">
        <v>205811</v>
      </c>
      <c r="P92" t="inlineStr"/>
      <c r="Q92" t="inlineStr">
        <is>
          <t>4080</t>
        </is>
      </c>
      <c r="R92" t="n">
        <v>0</v>
      </c>
      <c r="S92" t="n">
        <v>0</v>
      </c>
      <c r="T92" t="n">
        <v>0</v>
      </c>
      <c r="U92" t="n">
        <v>0</v>
      </c>
      <c r="V92" s="24">
        <f>J92*100-K92</f>
        <v/>
      </c>
      <c r="W92" s="24">
        <f>L92</f>
        <v/>
      </c>
      <c r="X92" s="25">
        <f>MIN(M92,36)</f>
        <v/>
      </c>
      <c r="Y92" s="25">
        <f>MIN(MAX(M92-36,0),84)</f>
        <v/>
      </c>
      <c r="Z92" s="25">
        <f>MAX(M92-120,0)</f>
        <v/>
      </c>
      <c r="AA92" s="25">
        <f>IF(OR(O92="",NOT(ISNUMBER(O92))),360,MAX(0,MIN(480,(INT(O92/100)-INT(VALUE(H92)/100))*12+MOD(O92,100)-MOD(VALUE(H92),100))))</f>
        <v/>
      </c>
      <c r="AB92">
        <f>IF(AND(AA92&gt;0,AA92&lt;=24),1,0)</f>
        <v/>
      </c>
      <c r="AC92" s="25">
        <f>IF(OR(P92="",NOT(ISNUMBER(P92))),0,MAX(0,MIN(24,(INT(VALUE(H92)/100)-INT(P92/100))*12+MOD(VALUE(H92),100)-MOD(P92,100))))</f>
        <v/>
      </c>
      <c r="AD92" s="23">
        <f>LN(1+I92)</f>
        <v/>
      </c>
      <c r="AE92">
        <f>IF(I92&lt;2000000,1,0)</f>
        <v/>
      </c>
      <c r="AF92">
        <f>IF(I92&gt;50000000,1,0)</f>
        <v/>
      </c>
      <c r="AG92" s="23">
        <f>IF(ISNUMBER(M92),N92/MAX(M92,1),0)</f>
        <v/>
      </c>
      <c r="AH92">
        <f>IF(G92&gt;=2021,1,0)</f>
        <v/>
      </c>
      <c r="AI92">
        <f>S92</f>
        <v/>
      </c>
      <c r="AJ92">
        <f>T92</f>
        <v/>
      </c>
      <c r="AK92">
        <f>R92</f>
        <v/>
      </c>
      <c r="AL92">
        <f>U92</f>
        <v/>
      </c>
      <c r="AM92">
        <f>IF(ISNUMBER(SEARCH("CAPITAL FUNDING",D92)),1,0)</f>
        <v/>
      </c>
      <c r="AN92">
        <f>IF(ISNUMBER(SEARCH("PNC",D92)),1,0)</f>
        <v/>
      </c>
      <c r="AO92">
        <f>IF(ISNUMBER(SEARCH("WELLS FARGO",D92)),1,0)</f>
        <v/>
      </c>
      <c r="AP92">
        <f>IF(ISNUMBER(SEARCH("DWIGHT",D92)),1,0)</f>
        <v/>
      </c>
      <c r="AQ92">
        <f>IF(ISNUMBER(SEARCH("GREYSTONE",D92)),1,0)</f>
        <v/>
      </c>
      <c r="AR92">
        <f>IF(OR(Q92="3896",Q92="3557"),1,0)</f>
        <v/>
      </c>
      <c r="AS92" s="24">
        <f>V92*W92</f>
        <v/>
      </c>
      <c r="AT92" s="26">
        <f>V$4*(V92-V$3)</f>
        <v/>
      </c>
      <c r="AU92" s="26">
        <f>W$4*(W92-W$3)</f>
        <v/>
      </c>
      <c r="AV92" s="26">
        <f>X$4*(X92-X$3)</f>
        <v/>
      </c>
      <c r="AW92" s="26">
        <f>Y$4*(Y92-Y$3)</f>
        <v/>
      </c>
      <c r="AX92" s="26">
        <f>Z$4*(Z92-Z$3)</f>
        <v/>
      </c>
      <c r="AY92" s="26">
        <f>AA$4*(AA92-AA$3)</f>
        <v/>
      </c>
      <c r="AZ92" s="26">
        <f>AB$4*(AB92-AB$3)</f>
        <v/>
      </c>
      <c r="BA92" s="26">
        <f>AC$4*(AC92-AC$3)</f>
        <v/>
      </c>
      <c r="BB92" s="26">
        <f>AD$4*(AD92-AD$3)</f>
        <v/>
      </c>
      <c r="BC92" s="26">
        <f>AE$4*(AE92-AE$3)</f>
        <v/>
      </c>
      <c r="BD92" s="26">
        <f>AF$4*(AF92-AF$3)</f>
        <v/>
      </c>
      <c r="BE92" s="26">
        <f>AG$4*(AG92-AG$3)</f>
        <v/>
      </c>
      <c r="BF92" s="26">
        <f>AH$4*(AH92-AH$3)</f>
        <v/>
      </c>
      <c r="BG92" s="26">
        <f>AI$4*(AI92-AI$3)</f>
        <v/>
      </c>
      <c r="BH92" s="26">
        <f>AJ$4*(AJ92-AJ$3)</f>
        <v/>
      </c>
      <c r="BI92" s="26">
        <f>AK$4*(AK92-AK$3)</f>
        <v/>
      </c>
      <c r="BJ92" s="26">
        <f>AL$4*(AL92-AL$3)</f>
        <v/>
      </c>
      <c r="BK92" s="26">
        <f>AM$4*(AM92-AM$3)</f>
        <v/>
      </c>
      <c r="BL92" s="26">
        <f>AN$4*(AN92-AN$3)</f>
        <v/>
      </c>
      <c r="BM92" s="26">
        <f>AO$4*(AO92-AO$3)</f>
        <v/>
      </c>
      <c r="BN92" s="26">
        <f>AP$4*(AP92-AP$3)</f>
        <v/>
      </c>
      <c r="BO92" s="26">
        <f>AQ$4*(AQ92-AQ$3)</f>
        <v/>
      </c>
      <c r="BP92" s="26">
        <f>AR$4*(AR92-AR$3)</f>
        <v/>
      </c>
      <c r="BQ92" s="26">
        <f>AS$4*(AS92-AS$3)</f>
        <v/>
      </c>
      <c r="BR92" s="27">
        <f>SUM(AT92:BQ92)</f>
        <v/>
      </c>
      <c r="BS92" s="27">
        <f>INTERCEPT_SCALED+BR92</f>
        <v/>
      </c>
      <c r="BT92" s="28">
        <f>1/(1+EXP(-BS92))</f>
        <v/>
      </c>
      <c r="BU92" s="13">
        <f>1-(1-BT92)^12</f>
        <v/>
      </c>
      <c r="BV92" s="13">
        <f>IFERROR(AT92/BR92*(BU92-BASELINE_CPR),0)</f>
        <v/>
      </c>
      <c r="BW92" s="13">
        <f>IFERROR(AU92/BR92*(BU92-BASELINE_CPR),0)</f>
        <v/>
      </c>
      <c r="BX92" s="13">
        <f>IFERROR(AV92/BR92*(BU92-BASELINE_CPR),0)</f>
        <v/>
      </c>
      <c r="BY92" s="13">
        <f>IFERROR(AW92/BR92*(BU92-BASELINE_CPR),0)</f>
        <v/>
      </c>
      <c r="BZ92" s="13">
        <f>IFERROR(AX92/BR92*(BU92-BASELINE_CPR),0)</f>
        <v/>
      </c>
      <c r="CA92" s="13">
        <f>IFERROR(AY92/BR92*(BU92-BASELINE_CPR),0)</f>
        <v/>
      </c>
      <c r="CB92" s="13">
        <f>IFERROR(AZ92/BR92*(BU92-BASELINE_CPR),0)</f>
        <v/>
      </c>
      <c r="CC92" s="13">
        <f>IFERROR(BA92/BR92*(BU92-BASELINE_CPR),0)</f>
        <v/>
      </c>
      <c r="CD92" s="13">
        <f>IFERROR(BB92/BR92*(BU92-BASELINE_CPR),0)</f>
        <v/>
      </c>
      <c r="CE92" s="13">
        <f>IFERROR(BC92/BR92*(BU92-BASELINE_CPR),0)</f>
        <v/>
      </c>
      <c r="CF92" s="13">
        <f>IFERROR(BD92/BR92*(BU92-BASELINE_CPR),0)</f>
        <v/>
      </c>
      <c r="CG92" s="13">
        <f>IFERROR(BE92/BR92*(BU92-BASELINE_CPR),0)</f>
        <v/>
      </c>
      <c r="CH92" s="13">
        <f>IFERROR(BF92/BR92*(BU92-BASELINE_CPR),0)</f>
        <v/>
      </c>
      <c r="CI92" s="13">
        <f>IFERROR(BG92/BR92*(BU92-BASELINE_CPR),0)</f>
        <v/>
      </c>
      <c r="CJ92" s="13">
        <f>IFERROR(BH92/BR92*(BU92-BASELINE_CPR),0)</f>
        <v/>
      </c>
      <c r="CK92" s="13">
        <f>IFERROR(BI92/BR92*(BU92-BASELINE_CPR),0)</f>
        <v/>
      </c>
      <c r="CL92" s="13">
        <f>IFERROR(BJ92/BR92*(BU92-BASELINE_CPR),0)</f>
        <v/>
      </c>
      <c r="CM92" s="13">
        <f>IFERROR(BK92/BR92*(BU92-BASELINE_CPR),0)</f>
        <v/>
      </c>
      <c r="CN92" s="13">
        <f>IFERROR(BL92/BR92*(BU92-BASELINE_CPR),0)</f>
        <v/>
      </c>
      <c r="CO92" s="13">
        <f>IFERROR(BM92/BR92*(BU92-BASELINE_CPR),0)</f>
        <v/>
      </c>
      <c r="CP92" s="13">
        <f>IFERROR(BN92/BR92*(BU92-BASELINE_CPR),0)</f>
        <v/>
      </c>
      <c r="CQ92" s="13">
        <f>IFERROR(BO92/BR92*(BU92-BASELINE_CPR),0)</f>
        <v/>
      </c>
      <c r="CR92" s="13">
        <f>IFERROR(BP92/BR92*(BU92-BASELINE_CPR),0)</f>
        <v/>
      </c>
      <c r="CS92" s="13">
        <f>IFERROR(BQ92/BR92*(BU92-BASELINE_CPR),0)</f>
        <v/>
      </c>
      <c r="CT92" s="29">
        <f>BASELINE_CPR+SUM(BV92:CS92)-BU92</f>
        <v/>
      </c>
    </row>
    <row r="93">
      <c r="A93" s="2" t="inlineStr">
        <is>
          <t>3617UQN29_000000014311196</t>
        </is>
      </c>
      <c r="B93" t="inlineStr">
        <is>
          <t>WALKER_PRE21</t>
        </is>
      </c>
      <c r="C93" s="2" t="inlineStr">
        <is>
          <t>3617UQN29</t>
        </is>
      </c>
      <c r="D93" t="inlineStr">
        <is>
          <t>WALKER &amp; DUNLOP, LLC</t>
        </is>
      </c>
      <c r="E93" t="inlineStr">
        <is>
          <t>223f</t>
        </is>
      </c>
      <c r="F93" t="inlineStr">
        <is>
          <t>RP</t>
        </is>
      </c>
      <c r="G93" t="n">
        <v>2018</v>
      </c>
      <c r="H93" t="inlineStr">
        <is>
          <t>202602</t>
        </is>
      </c>
      <c r="I93" s="22" t="n">
        <v>39007699.47</v>
      </c>
      <c r="J93" s="23" t="n">
        <v>3.38</v>
      </c>
      <c r="K93" s="24" t="n">
        <v>447</v>
      </c>
      <c r="L93" s="24" t="n">
        <v>7</v>
      </c>
      <c r="M93" t="n">
        <v>88</v>
      </c>
      <c r="N93" t="n">
        <v>9</v>
      </c>
      <c r="O93" t="n">
        <v>205311</v>
      </c>
      <c r="P93" t="n">
        <v>202204</v>
      </c>
      <c r="Q93" t="inlineStr">
        <is>
          <t>4080</t>
        </is>
      </c>
      <c r="R93" t="n">
        <v>0</v>
      </c>
      <c r="S93" t="n">
        <v>0</v>
      </c>
      <c r="T93" t="n">
        <v>0</v>
      </c>
      <c r="U93" t="n">
        <v>0</v>
      </c>
      <c r="V93" s="24">
        <f>J93*100-K93</f>
        <v/>
      </c>
      <c r="W93" s="24">
        <f>L93</f>
        <v/>
      </c>
      <c r="X93" s="25">
        <f>MIN(M93,36)</f>
        <v/>
      </c>
      <c r="Y93" s="25">
        <f>MIN(MAX(M93-36,0),84)</f>
        <v/>
      </c>
      <c r="Z93" s="25">
        <f>MAX(M93-120,0)</f>
        <v/>
      </c>
      <c r="AA93" s="25">
        <f>IF(OR(O93="",NOT(ISNUMBER(O93))),360,MAX(0,MIN(480,(INT(O93/100)-INT(VALUE(H93)/100))*12+MOD(O93,100)-MOD(VALUE(H93),100))))</f>
        <v/>
      </c>
      <c r="AB93">
        <f>IF(AND(AA93&gt;0,AA93&lt;=24),1,0)</f>
        <v/>
      </c>
      <c r="AC93" s="25">
        <f>IF(OR(P93="",NOT(ISNUMBER(P93))),0,MAX(0,MIN(24,(INT(VALUE(H93)/100)-INT(P93/100))*12+MOD(VALUE(H93),100)-MOD(P93,100))))</f>
        <v/>
      </c>
      <c r="AD93" s="23">
        <f>LN(1+I93)</f>
        <v/>
      </c>
      <c r="AE93">
        <f>IF(I93&lt;2000000,1,0)</f>
        <v/>
      </c>
      <c r="AF93">
        <f>IF(I93&gt;50000000,1,0)</f>
        <v/>
      </c>
      <c r="AG93" s="23">
        <f>IF(ISNUMBER(M93),N93/MAX(M93,1),0)</f>
        <v/>
      </c>
      <c r="AH93">
        <f>IF(G93&gt;=2021,1,0)</f>
        <v/>
      </c>
      <c r="AI93">
        <f>S93</f>
        <v/>
      </c>
      <c r="AJ93">
        <f>T93</f>
        <v/>
      </c>
      <c r="AK93">
        <f>R93</f>
        <v/>
      </c>
      <c r="AL93">
        <f>U93</f>
        <v/>
      </c>
      <c r="AM93">
        <f>IF(ISNUMBER(SEARCH("CAPITAL FUNDING",D93)),1,0)</f>
        <v/>
      </c>
      <c r="AN93">
        <f>IF(ISNUMBER(SEARCH("PNC",D93)),1,0)</f>
        <v/>
      </c>
      <c r="AO93">
        <f>IF(ISNUMBER(SEARCH("WELLS FARGO",D93)),1,0)</f>
        <v/>
      </c>
      <c r="AP93">
        <f>IF(ISNUMBER(SEARCH("DWIGHT",D93)),1,0)</f>
        <v/>
      </c>
      <c r="AQ93">
        <f>IF(ISNUMBER(SEARCH("GREYSTONE",D93)),1,0)</f>
        <v/>
      </c>
      <c r="AR93">
        <f>IF(OR(Q93="3896",Q93="3557"),1,0)</f>
        <v/>
      </c>
      <c r="AS93" s="24">
        <f>V93*W93</f>
        <v/>
      </c>
      <c r="AT93" s="26">
        <f>V$4*(V93-V$3)</f>
        <v/>
      </c>
      <c r="AU93" s="26">
        <f>W$4*(W93-W$3)</f>
        <v/>
      </c>
      <c r="AV93" s="26">
        <f>X$4*(X93-X$3)</f>
        <v/>
      </c>
      <c r="AW93" s="26">
        <f>Y$4*(Y93-Y$3)</f>
        <v/>
      </c>
      <c r="AX93" s="26">
        <f>Z$4*(Z93-Z$3)</f>
        <v/>
      </c>
      <c r="AY93" s="26">
        <f>AA$4*(AA93-AA$3)</f>
        <v/>
      </c>
      <c r="AZ93" s="26">
        <f>AB$4*(AB93-AB$3)</f>
        <v/>
      </c>
      <c r="BA93" s="26">
        <f>AC$4*(AC93-AC$3)</f>
        <v/>
      </c>
      <c r="BB93" s="26">
        <f>AD$4*(AD93-AD$3)</f>
        <v/>
      </c>
      <c r="BC93" s="26">
        <f>AE$4*(AE93-AE$3)</f>
        <v/>
      </c>
      <c r="BD93" s="26">
        <f>AF$4*(AF93-AF$3)</f>
        <v/>
      </c>
      <c r="BE93" s="26">
        <f>AG$4*(AG93-AG$3)</f>
        <v/>
      </c>
      <c r="BF93" s="26">
        <f>AH$4*(AH93-AH$3)</f>
        <v/>
      </c>
      <c r="BG93" s="26">
        <f>AI$4*(AI93-AI$3)</f>
        <v/>
      </c>
      <c r="BH93" s="26">
        <f>AJ$4*(AJ93-AJ$3)</f>
        <v/>
      </c>
      <c r="BI93" s="26">
        <f>AK$4*(AK93-AK$3)</f>
        <v/>
      </c>
      <c r="BJ93" s="26">
        <f>AL$4*(AL93-AL$3)</f>
        <v/>
      </c>
      <c r="BK93" s="26">
        <f>AM$4*(AM93-AM$3)</f>
        <v/>
      </c>
      <c r="BL93" s="26">
        <f>AN$4*(AN93-AN$3)</f>
        <v/>
      </c>
      <c r="BM93" s="26">
        <f>AO$4*(AO93-AO$3)</f>
        <v/>
      </c>
      <c r="BN93" s="26">
        <f>AP$4*(AP93-AP$3)</f>
        <v/>
      </c>
      <c r="BO93" s="26">
        <f>AQ$4*(AQ93-AQ$3)</f>
        <v/>
      </c>
      <c r="BP93" s="26">
        <f>AR$4*(AR93-AR$3)</f>
        <v/>
      </c>
      <c r="BQ93" s="26">
        <f>AS$4*(AS93-AS$3)</f>
        <v/>
      </c>
      <c r="BR93" s="27">
        <f>SUM(AT93:BQ93)</f>
        <v/>
      </c>
      <c r="BS93" s="27">
        <f>INTERCEPT_SCALED+BR93</f>
        <v/>
      </c>
      <c r="BT93" s="28">
        <f>1/(1+EXP(-BS93))</f>
        <v/>
      </c>
      <c r="BU93" s="13">
        <f>1-(1-BT93)^12</f>
        <v/>
      </c>
      <c r="BV93" s="13">
        <f>IFERROR(AT93/BR93*(BU93-BASELINE_CPR),0)</f>
        <v/>
      </c>
      <c r="BW93" s="13">
        <f>IFERROR(AU93/BR93*(BU93-BASELINE_CPR),0)</f>
        <v/>
      </c>
      <c r="BX93" s="13">
        <f>IFERROR(AV93/BR93*(BU93-BASELINE_CPR),0)</f>
        <v/>
      </c>
      <c r="BY93" s="13">
        <f>IFERROR(AW93/BR93*(BU93-BASELINE_CPR),0)</f>
        <v/>
      </c>
      <c r="BZ93" s="13">
        <f>IFERROR(AX93/BR93*(BU93-BASELINE_CPR),0)</f>
        <v/>
      </c>
      <c r="CA93" s="13">
        <f>IFERROR(AY93/BR93*(BU93-BASELINE_CPR),0)</f>
        <v/>
      </c>
      <c r="CB93" s="13">
        <f>IFERROR(AZ93/BR93*(BU93-BASELINE_CPR),0)</f>
        <v/>
      </c>
      <c r="CC93" s="13">
        <f>IFERROR(BA93/BR93*(BU93-BASELINE_CPR),0)</f>
        <v/>
      </c>
      <c r="CD93" s="13">
        <f>IFERROR(BB93/BR93*(BU93-BASELINE_CPR),0)</f>
        <v/>
      </c>
      <c r="CE93" s="13">
        <f>IFERROR(BC93/BR93*(BU93-BASELINE_CPR),0)</f>
        <v/>
      </c>
      <c r="CF93" s="13">
        <f>IFERROR(BD93/BR93*(BU93-BASELINE_CPR),0)</f>
        <v/>
      </c>
      <c r="CG93" s="13">
        <f>IFERROR(BE93/BR93*(BU93-BASELINE_CPR),0)</f>
        <v/>
      </c>
      <c r="CH93" s="13">
        <f>IFERROR(BF93/BR93*(BU93-BASELINE_CPR),0)</f>
        <v/>
      </c>
      <c r="CI93" s="13">
        <f>IFERROR(BG93/BR93*(BU93-BASELINE_CPR),0)</f>
        <v/>
      </c>
      <c r="CJ93" s="13">
        <f>IFERROR(BH93/BR93*(BU93-BASELINE_CPR),0)</f>
        <v/>
      </c>
      <c r="CK93" s="13">
        <f>IFERROR(BI93/BR93*(BU93-BASELINE_CPR),0)</f>
        <v/>
      </c>
      <c r="CL93" s="13">
        <f>IFERROR(BJ93/BR93*(BU93-BASELINE_CPR),0)</f>
        <v/>
      </c>
      <c r="CM93" s="13">
        <f>IFERROR(BK93/BR93*(BU93-BASELINE_CPR),0)</f>
        <v/>
      </c>
      <c r="CN93" s="13">
        <f>IFERROR(BL93/BR93*(BU93-BASELINE_CPR),0)</f>
        <v/>
      </c>
      <c r="CO93" s="13">
        <f>IFERROR(BM93/BR93*(BU93-BASELINE_CPR),0)</f>
        <v/>
      </c>
      <c r="CP93" s="13">
        <f>IFERROR(BN93/BR93*(BU93-BASELINE_CPR),0)</f>
        <v/>
      </c>
      <c r="CQ93" s="13">
        <f>IFERROR(BO93/BR93*(BU93-BASELINE_CPR),0)</f>
        <v/>
      </c>
      <c r="CR93" s="13">
        <f>IFERROR(BP93/BR93*(BU93-BASELINE_CPR),0)</f>
        <v/>
      </c>
      <c r="CS93" s="13">
        <f>IFERROR(BQ93/BR93*(BU93-BASELINE_CPR),0)</f>
        <v/>
      </c>
      <c r="CT93" s="29">
        <f>BASELINE_CPR+SUM(BV93:CS93)-BU93</f>
        <v/>
      </c>
    </row>
    <row r="94">
      <c r="A94" s="2" t="inlineStr">
        <is>
          <t>3618A7L72_000000010322077</t>
        </is>
      </c>
      <c r="B94" t="inlineStr">
        <is>
          <t>WALKER_POST21</t>
        </is>
      </c>
      <c r="C94" s="2" t="inlineStr">
        <is>
          <t>3618A7L72</t>
        </is>
      </c>
      <c r="D94" t="inlineStr">
        <is>
          <t>WALKER &amp; DUNLOP, LLC</t>
        </is>
      </c>
      <c r="E94" t="inlineStr">
        <is>
          <t>232</t>
        </is>
      </c>
      <c r="F94" t="inlineStr">
        <is>
          <t>RP</t>
        </is>
      </c>
      <c r="G94" t="n">
        <v>2022</v>
      </c>
      <c r="H94" t="inlineStr">
        <is>
          <t>202602</t>
        </is>
      </c>
      <c r="I94" s="22" t="n">
        <v>7367099.98</v>
      </c>
      <c r="J94" s="23" t="n">
        <v>5.7</v>
      </c>
      <c r="K94" s="24" t="n">
        <v>447</v>
      </c>
      <c r="L94" s="24" t="n">
        <v>7</v>
      </c>
      <c r="M94" t="n">
        <v>39</v>
      </c>
      <c r="N94" t="n">
        <v>3</v>
      </c>
      <c r="O94" t="n">
        <v>205712</v>
      </c>
      <c r="P94" t="inlineStr"/>
      <c r="Q94" t="inlineStr">
        <is>
          <t>4080</t>
        </is>
      </c>
      <c r="R94" t="n">
        <v>1</v>
      </c>
      <c r="S94" t="n">
        <v>0</v>
      </c>
      <c r="T94" t="n">
        <v>0</v>
      </c>
      <c r="U94" t="n">
        <v>0</v>
      </c>
      <c r="V94" s="24">
        <f>J94*100-K94</f>
        <v/>
      </c>
      <c r="W94" s="24">
        <f>L94</f>
        <v/>
      </c>
      <c r="X94" s="25">
        <f>MIN(M94,36)</f>
        <v/>
      </c>
      <c r="Y94" s="25">
        <f>MIN(MAX(M94-36,0),84)</f>
        <v/>
      </c>
      <c r="Z94" s="25">
        <f>MAX(M94-120,0)</f>
        <v/>
      </c>
      <c r="AA94" s="25">
        <f>IF(OR(O94="",NOT(ISNUMBER(O94))),360,MAX(0,MIN(480,(INT(O94/100)-INT(VALUE(H94)/100))*12+MOD(O94,100)-MOD(VALUE(H94),100))))</f>
        <v/>
      </c>
      <c r="AB94">
        <f>IF(AND(AA94&gt;0,AA94&lt;=24),1,0)</f>
        <v/>
      </c>
      <c r="AC94" s="25">
        <f>IF(OR(P94="",NOT(ISNUMBER(P94))),0,MAX(0,MIN(24,(INT(VALUE(H94)/100)-INT(P94/100))*12+MOD(VALUE(H94),100)-MOD(P94,100))))</f>
        <v/>
      </c>
      <c r="AD94" s="23">
        <f>LN(1+I94)</f>
        <v/>
      </c>
      <c r="AE94">
        <f>IF(I94&lt;2000000,1,0)</f>
        <v/>
      </c>
      <c r="AF94">
        <f>IF(I94&gt;50000000,1,0)</f>
        <v/>
      </c>
      <c r="AG94" s="23">
        <f>IF(ISNUMBER(M94),N94/MAX(M94,1),0)</f>
        <v/>
      </c>
      <c r="AH94">
        <f>IF(G94&gt;=2021,1,0)</f>
        <v/>
      </c>
      <c r="AI94">
        <f>S94</f>
        <v/>
      </c>
      <c r="AJ94">
        <f>T94</f>
        <v/>
      </c>
      <c r="AK94">
        <f>R94</f>
        <v/>
      </c>
      <c r="AL94">
        <f>U94</f>
        <v/>
      </c>
      <c r="AM94">
        <f>IF(ISNUMBER(SEARCH("CAPITAL FUNDING",D94)),1,0)</f>
        <v/>
      </c>
      <c r="AN94">
        <f>IF(ISNUMBER(SEARCH("PNC",D94)),1,0)</f>
        <v/>
      </c>
      <c r="AO94">
        <f>IF(ISNUMBER(SEARCH("WELLS FARGO",D94)),1,0)</f>
        <v/>
      </c>
      <c r="AP94">
        <f>IF(ISNUMBER(SEARCH("DWIGHT",D94)),1,0)</f>
        <v/>
      </c>
      <c r="AQ94">
        <f>IF(ISNUMBER(SEARCH("GREYSTONE",D94)),1,0)</f>
        <v/>
      </c>
      <c r="AR94">
        <f>IF(OR(Q94="3896",Q94="3557"),1,0)</f>
        <v/>
      </c>
      <c r="AS94" s="24">
        <f>V94*W94</f>
        <v/>
      </c>
      <c r="AT94" s="26">
        <f>V$4*(V94-V$3)</f>
        <v/>
      </c>
      <c r="AU94" s="26">
        <f>W$4*(W94-W$3)</f>
        <v/>
      </c>
      <c r="AV94" s="26">
        <f>X$4*(X94-X$3)</f>
        <v/>
      </c>
      <c r="AW94" s="26">
        <f>Y$4*(Y94-Y$3)</f>
        <v/>
      </c>
      <c r="AX94" s="26">
        <f>Z$4*(Z94-Z$3)</f>
        <v/>
      </c>
      <c r="AY94" s="26">
        <f>AA$4*(AA94-AA$3)</f>
        <v/>
      </c>
      <c r="AZ94" s="26">
        <f>AB$4*(AB94-AB$3)</f>
        <v/>
      </c>
      <c r="BA94" s="26">
        <f>AC$4*(AC94-AC$3)</f>
        <v/>
      </c>
      <c r="BB94" s="26">
        <f>AD$4*(AD94-AD$3)</f>
        <v/>
      </c>
      <c r="BC94" s="26">
        <f>AE$4*(AE94-AE$3)</f>
        <v/>
      </c>
      <c r="BD94" s="26">
        <f>AF$4*(AF94-AF$3)</f>
        <v/>
      </c>
      <c r="BE94" s="26">
        <f>AG$4*(AG94-AG$3)</f>
        <v/>
      </c>
      <c r="BF94" s="26">
        <f>AH$4*(AH94-AH$3)</f>
        <v/>
      </c>
      <c r="BG94" s="26">
        <f>AI$4*(AI94-AI$3)</f>
        <v/>
      </c>
      <c r="BH94" s="26">
        <f>AJ$4*(AJ94-AJ$3)</f>
        <v/>
      </c>
      <c r="BI94" s="26">
        <f>AK$4*(AK94-AK$3)</f>
        <v/>
      </c>
      <c r="BJ94" s="26">
        <f>AL$4*(AL94-AL$3)</f>
        <v/>
      </c>
      <c r="BK94" s="26">
        <f>AM$4*(AM94-AM$3)</f>
        <v/>
      </c>
      <c r="BL94" s="26">
        <f>AN$4*(AN94-AN$3)</f>
        <v/>
      </c>
      <c r="BM94" s="26">
        <f>AO$4*(AO94-AO$3)</f>
        <v/>
      </c>
      <c r="BN94" s="26">
        <f>AP$4*(AP94-AP$3)</f>
        <v/>
      </c>
      <c r="BO94" s="26">
        <f>AQ$4*(AQ94-AQ$3)</f>
        <v/>
      </c>
      <c r="BP94" s="26">
        <f>AR$4*(AR94-AR$3)</f>
        <v/>
      </c>
      <c r="BQ94" s="26">
        <f>AS$4*(AS94-AS$3)</f>
        <v/>
      </c>
      <c r="BR94" s="27">
        <f>SUM(AT94:BQ94)</f>
        <v/>
      </c>
      <c r="BS94" s="27">
        <f>INTERCEPT_SCALED+BR94</f>
        <v/>
      </c>
      <c r="BT94" s="28">
        <f>1/(1+EXP(-BS94))</f>
        <v/>
      </c>
      <c r="BU94" s="13">
        <f>1-(1-BT94)^12</f>
        <v/>
      </c>
      <c r="BV94" s="13">
        <f>IFERROR(AT94/BR94*(BU94-BASELINE_CPR),0)</f>
        <v/>
      </c>
      <c r="BW94" s="13">
        <f>IFERROR(AU94/BR94*(BU94-BASELINE_CPR),0)</f>
        <v/>
      </c>
      <c r="BX94" s="13">
        <f>IFERROR(AV94/BR94*(BU94-BASELINE_CPR),0)</f>
        <v/>
      </c>
      <c r="BY94" s="13">
        <f>IFERROR(AW94/BR94*(BU94-BASELINE_CPR),0)</f>
        <v/>
      </c>
      <c r="BZ94" s="13">
        <f>IFERROR(AX94/BR94*(BU94-BASELINE_CPR),0)</f>
        <v/>
      </c>
      <c r="CA94" s="13">
        <f>IFERROR(AY94/BR94*(BU94-BASELINE_CPR),0)</f>
        <v/>
      </c>
      <c r="CB94" s="13">
        <f>IFERROR(AZ94/BR94*(BU94-BASELINE_CPR),0)</f>
        <v/>
      </c>
      <c r="CC94" s="13">
        <f>IFERROR(BA94/BR94*(BU94-BASELINE_CPR),0)</f>
        <v/>
      </c>
      <c r="CD94" s="13">
        <f>IFERROR(BB94/BR94*(BU94-BASELINE_CPR),0)</f>
        <v/>
      </c>
      <c r="CE94" s="13">
        <f>IFERROR(BC94/BR94*(BU94-BASELINE_CPR),0)</f>
        <v/>
      </c>
      <c r="CF94" s="13">
        <f>IFERROR(BD94/BR94*(BU94-BASELINE_CPR),0)</f>
        <v/>
      </c>
      <c r="CG94" s="13">
        <f>IFERROR(BE94/BR94*(BU94-BASELINE_CPR),0)</f>
        <v/>
      </c>
      <c r="CH94" s="13">
        <f>IFERROR(BF94/BR94*(BU94-BASELINE_CPR),0)</f>
        <v/>
      </c>
      <c r="CI94" s="13">
        <f>IFERROR(BG94/BR94*(BU94-BASELINE_CPR),0)</f>
        <v/>
      </c>
      <c r="CJ94" s="13">
        <f>IFERROR(BH94/BR94*(BU94-BASELINE_CPR),0)</f>
        <v/>
      </c>
      <c r="CK94" s="13">
        <f>IFERROR(BI94/BR94*(BU94-BASELINE_CPR),0)</f>
        <v/>
      </c>
      <c r="CL94" s="13">
        <f>IFERROR(BJ94/BR94*(BU94-BASELINE_CPR),0)</f>
        <v/>
      </c>
      <c r="CM94" s="13">
        <f>IFERROR(BK94/BR94*(BU94-BASELINE_CPR),0)</f>
        <v/>
      </c>
      <c r="CN94" s="13">
        <f>IFERROR(BL94/BR94*(BU94-BASELINE_CPR),0)</f>
        <v/>
      </c>
      <c r="CO94" s="13">
        <f>IFERROR(BM94/BR94*(BU94-BASELINE_CPR),0)</f>
        <v/>
      </c>
      <c r="CP94" s="13">
        <f>IFERROR(BN94/BR94*(BU94-BASELINE_CPR),0)</f>
        <v/>
      </c>
      <c r="CQ94" s="13">
        <f>IFERROR(BO94/BR94*(BU94-BASELINE_CPR),0)</f>
        <v/>
      </c>
      <c r="CR94" s="13">
        <f>IFERROR(BP94/BR94*(BU94-BASELINE_CPR),0)</f>
        <v/>
      </c>
      <c r="CS94" s="13">
        <f>IFERROR(BQ94/BR94*(BU94-BASELINE_CPR),0)</f>
        <v/>
      </c>
      <c r="CT94" s="29">
        <f>BASELINE_CPR+SUM(BV94:CS94)-BU94</f>
        <v/>
      </c>
    </row>
    <row r="95">
      <c r="A95" s="2" t="inlineStr">
        <is>
          <t>3617YBQV1_000000004611202</t>
        </is>
      </c>
      <c r="B95" t="inlineStr">
        <is>
          <t>GREYSTONE_POST21</t>
        </is>
      </c>
      <c r="C95" s="2" t="inlineStr">
        <is>
          <t>3617YBQV1</t>
        </is>
      </c>
      <c r="D95" t="inlineStr">
        <is>
          <t>GREYSTONE FUNDING COMPANY LLC</t>
        </is>
      </c>
      <c r="E95" t="inlineStr">
        <is>
          <t>223f</t>
        </is>
      </c>
      <c r="F95" t="inlineStr">
        <is>
          <t>RP</t>
        </is>
      </c>
      <c r="G95" t="n">
        <v>2022</v>
      </c>
      <c r="H95" t="inlineStr">
        <is>
          <t>202602</t>
        </is>
      </c>
      <c r="I95" s="22" t="n">
        <v>6334987</v>
      </c>
      <c r="J95" s="23" t="n">
        <v>2.9</v>
      </c>
      <c r="K95" s="24" t="n">
        <v>447</v>
      </c>
      <c r="L95" s="24" t="n">
        <v>0</v>
      </c>
      <c r="M95" t="n">
        <v>47</v>
      </c>
      <c r="N95" t="n">
        <v>0</v>
      </c>
      <c r="O95" t="n">
        <v>205704</v>
      </c>
      <c r="P95" t="inlineStr"/>
      <c r="Q95" t="inlineStr">
        <is>
          <t>4168</t>
        </is>
      </c>
      <c r="R95" t="n">
        <v>0</v>
      </c>
      <c r="S95" t="n">
        <v>0</v>
      </c>
      <c r="T95" t="n">
        <v>0</v>
      </c>
      <c r="U95" t="n">
        <v>0</v>
      </c>
      <c r="V95" s="24">
        <f>J95*100-K95</f>
        <v/>
      </c>
      <c r="W95" s="24">
        <f>L95</f>
        <v/>
      </c>
      <c r="X95" s="25">
        <f>MIN(M95,36)</f>
        <v/>
      </c>
      <c r="Y95" s="25">
        <f>MIN(MAX(M95-36,0),84)</f>
        <v/>
      </c>
      <c r="Z95" s="25">
        <f>MAX(M95-120,0)</f>
        <v/>
      </c>
      <c r="AA95" s="25">
        <f>IF(OR(O95="",NOT(ISNUMBER(O95))),360,MAX(0,MIN(480,(INT(O95/100)-INT(VALUE(H95)/100))*12+MOD(O95,100)-MOD(VALUE(H95),100))))</f>
        <v/>
      </c>
      <c r="AB95">
        <f>IF(AND(AA95&gt;0,AA95&lt;=24),1,0)</f>
        <v/>
      </c>
      <c r="AC95" s="25">
        <f>IF(OR(P95="",NOT(ISNUMBER(P95))),0,MAX(0,MIN(24,(INT(VALUE(H95)/100)-INT(P95/100))*12+MOD(VALUE(H95),100)-MOD(P95,100))))</f>
        <v/>
      </c>
      <c r="AD95" s="23">
        <f>LN(1+I95)</f>
        <v/>
      </c>
      <c r="AE95">
        <f>IF(I95&lt;2000000,1,0)</f>
        <v/>
      </c>
      <c r="AF95">
        <f>IF(I95&gt;50000000,1,0)</f>
        <v/>
      </c>
      <c r="AG95" s="23">
        <f>IF(ISNUMBER(M95),N95/MAX(M95,1),0)</f>
        <v/>
      </c>
      <c r="AH95">
        <f>IF(G95&gt;=2021,1,0)</f>
        <v/>
      </c>
      <c r="AI95">
        <f>S95</f>
        <v/>
      </c>
      <c r="AJ95">
        <f>T95</f>
        <v/>
      </c>
      <c r="AK95">
        <f>R95</f>
        <v/>
      </c>
      <c r="AL95">
        <f>U95</f>
        <v/>
      </c>
      <c r="AM95">
        <f>IF(ISNUMBER(SEARCH("CAPITAL FUNDING",D95)),1,0)</f>
        <v/>
      </c>
      <c r="AN95">
        <f>IF(ISNUMBER(SEARCH("PNC",D95)),1,0)</f>
        <v/>
      </c>
      <c r="AO95">
        <f>IF(ISNUMBER(SEARCH("WELLS FARGO",D95)),1,0)</f>
        <v/>
      </c>
      <c r="AP95">
        <f>IF(ISNUMBER(SEARCH("DWIGHT",D95)),1,0)</f>
        <v/>
      </c>
      <c r="AQ95">
        <f>IF(ISNUMBER(SEARCH("GREYSTONE",D95)),1,0)</f>
        <v/>
      </c>
      <c r="AR95">
        <f>IF(OR(Q95="3896",Q95="3557"),1,0)</f>
        <v/>
      </c>
      <c r="AS95" s="24">
        <f>V95*W95</f>
        <v/>
      </c>
      <c r="AT95" s="26">
        <f>V$4*(V95-V$3)</f>
        <v/>
      </c>
      <c r="AU95" s="26">
        <f>W$4*(W95-W$3)</f>
        <v/>
      </c>
      <c r="AV95" s="26">
        <f>X$4*(X95-X$3)</f>
        <v/>
      </c>
      <c r="AW95" s="26">
        <f>Y$4*(Y95-Y$3)</f>
        <v/>
      </c>
      <c r="AX95" s="26">
        <f>Z$4*(Z95-Z$3)</f>
        <v/>
      </c>
      <c r="AY95" s="26">
        <f>AA$4*(AA95-AA$3)</f>
        <v/>
      </c>
      <c r="AZ95" s="26">
        <f>AB$4*(AB95-AB$3)</f>
        <v/>
      </c>
      <c r="BA95" s="26">
        <f>AC$4*(AC95-AC$3)</f>
        <v/>
      </c>
      <c r="BB95" s="26">
        <f>AD$4*(AD95-AD$3)</f>
        <v/>
      </c>
      <c r="BC95" s="26">
        <f>AE$4*(AE95-AE$3)</f>
        <v/>
      </c>
      <c r="BD95" s="26">
        <f>AF$4*(AF95-AF$3)</f>
        <v/>
      </c>
      <c r="BE95" s="26">
        <f>AG$4*(AG95-AG$3)</f>
        <v/>
      </c>
      <c r="BF95" s="26">
        <f>AH$4*(AH95-AH$3)</f>
        <v/>
      </c>
      <c r="BG95" s="26">
        <f>AI$4*(AI95-AI$3)</f>
        <v/>
      </c>
      <c r="BH95" s="26">
        <f>AJ$4*(AJ95-AJ$3)</f>
        <v/>
      </c>
      <c r="BI95" s="26">
        <f>AK$4*(AK95-AK$3)</f>
        <v/>
      </c>
      <c r="BJ95" s="26">
        <f>AL$4*(AL95-AL$3)</f>
        <v/>
      </c>
      <c r="BK95" s="26">
        <f>AM$4*(AM95-AM$3)</f>
        <v/>
      </c>
      <c r="BL95" s="26">
        <f>AN$4*(AN95-AN$3)</f>
        <v/>
      </c>
      <c r="BM95" s="26">
        <f>AO$4*(AO95-AO$3)</f>
        <v/>
      </c>
      <c r="BN95" s="26">
        <f>AP$4*(AP95-AP$3)</f>
        <v/>
      </c>
      <c r="BO95" s="26">
        <f>AQ$4*(AQ95-AQ$3)</f>
        <v/>
      </c>
      <c r="BP95" s="26">
        <f>AR$4*(AR95-AR$3)</f>
        <v/>
      </c>
      <c r="BQ95" s="26">
        <f>AS$4*(AS95-AS$3)</f>
        <v/>
      </c>
      <c r="BR95" s="27">
        <f>SUM(AT95:BQ95)</f>
        <v/>
      </c>
      <c r="BS95" s="27">
        <f>INTERCEPT_SCALED+BR95</f>
        <v/>
      </c>
      <c r="BT95" s="28">
        <f>1/(1+EXP(-BS95))</f>
        <v/>
      </c>
      <c r="BU95" s="13">
        <f>1-(1-BT95)^12</f>
        <v/>
      </c>
      <c r="BV95" s="13">
        <f>IFERROR(AT95/BR95*(BU95-BASELINE_CPR),0)</f>
        <v/>
      </c>
      <c r="BW95" s="13">
        <f>IFERROR(AU95/BR95*(BU95-BASELINE_CPR),0)</f>
        <v/>
      </c>
      <c r="BX95" s="13">
        <f>IFERROR(AV95/BR95*(BU95-BASELINE_CPR),0)</f>
        <v/>
      </c>
      <c r="BY95" s="13">
        <f>IFERROR(AW95/BR95*(BU95-BASELINE_CPR),0)</f>
        <v/>
      </c>
      <c r="BZ95" s="13">
        <f>IFERROR(AX95/BR95*(BU95-BASELINE_CPR),0)</f>
        <v/>
      </c>
      <c r="CA95" s="13">
        <f>IFERROR(AY95/BR95*(BU95-BASELINE_CPR),0)</f>
        <v/>
      </c>
      <c r="CB95" s="13">
        <f>IFERROR(AZ95/BR95*(BU95-BASELINE_CPR),0)</f>
        <v/>
      </c>
      <c r="CC95" s="13">
        <f>IFERROR(BA95/BR95*(BU95-BASELINE_CPR),0)</f>
        <v/>
      </c>
      <c r="CD95" s="13">
        <f>IFERROR(BB95/BR95*(BU95-BASELINE_CPR),0)</f>
        <v/>
      </c>
      <c r="CE95" s="13">
        <f>IFERROR(BC95/BR95*(BU95-BASELINE_CPR),0)</f>
        <v/>
      </c>
      <c r="CF95" s="13">
        <f>IFERROR(BD95/BR95*(BU95-BASELINE_CPR),0)</f>
        <v/>
      </c>
      <c r="CG95" s="13">
        <f>IFERROR(BE95/BR95*(BU95-BASELINE_CPR),0)</f>
        <v/>
      </c>
      <c r="CH95" s="13">
        <f>IFERROR(BF95/BR95*(BU95-BASELINE_CPR),0)</f>
        <v/>
      </c>
      <c r="CI95" s="13">
        <f>IFERROR(BG95/BR95*(BU95-BASELINE_CPR),0)</f>
        <v/>
      </c>
      <c r="CJ95" s="13">
        <f>IFERROR(BH95/BR95*(BU95-BASELINE_CPR),0)</f>
        <v/>
      </c>
      <c r="CK95" s="13">
        <f>IFERROR(BI95/BR95*(BU95-BASELINE_CPR),0)</f>
        <v/>
      </c>
      <c r="CL95" s="13">
        <f>IFERROR(BJ95/BR95*(BU95-BASELINE_CPR),0)</f>
        <v/>
      </c>
      <c r="CM95" s="13">
        <f>IFERROR(BK95/BR95*(BU95-BASELINE_CPR),0)</f>
        <v/>
      </c>
      <c r="CN95" s="13">
        <f>IFERROR(BL95/BR95*(BU95-BASELINE_CPR),0)</f>
        <v/>
      </c>
      <c r="CO95" s="13">
        <f>IFERROR(BM95/BR95*(BU95-BASELINE_CPR),0)</f>
        <v/>
      </c>
      <c r="CP95" s="13">
        <f>IFERROR(BN95/BR95*(BU95-BASELINE_CPR),0)</f>
        <v/>
      </c>
      <c r="CQ95" s="13">
        <f>IFERROR(BO95/BR95*(BU95-BASELINE_CPR),0)</f>
        <v/>
      </c>
      <c r="CR95" s="13">
        <f>IFERROR(BP95/BR95*(BU95-BASELINE_CPR),0)</f>
        <v/>
      </c>
      <c r="CS95" s="13">
        <f>IFERROR(BQ95/BR95*(BU95-BASELINE_CPR),0)</f>
        <v/>
      </c>
      <c r="CT95" s="29">
        <f>BASELINE_CPR+SUM(BV95:CS95)-BU95</f>
        <v/>
      </c>
    </row>
    <row r="96">
      <c r="A96" s="2" t="inlineStr">
        <is>
          <t>3618BKU31_000000004222412</t>
        </is>
      </c>
      <c r="B96" t="inlineStr">
        <is>
          <t>GREYSTONE_POST21</t>
        </is>
      </c>
      <c r="C96" s="2" t="inlineStr">
        <is>
          <t>3618BKU31</t>
        </is>
      </c>
      <c r="D96" t="inlineStr">
        <is>
          <t>GREYSTONE FUNDING COMPANY LLC</t>
        </is>
      </c>
      <c r="E96" t="inlineStr">
        <is>
          <t>232</t>
        </is>
      </c>
      <c r="F96" t="inlineStr">
        <is>
          <t>RP</t>
        </is>
      </c>
      <c r="G96" t="n">
        <v>2023</v>
      </c>
      <c r="H96" t="inlineStr">
        <is>
          <t>202602</t>
        </is>
      </c>
      <c r="I96" s="22" t="n">
        <v>8313205.86</v>
      </c>
      <c r="J96" s="23" t="n">
        <v>6.09</v>
      </c>
      <c r="K96" s="24" t="n">
        <v>447</v>
      </c>
      <c r="L96" s="24" t="n">
        <v>8</v>
      </c>
      <c r="M96" t="n">
        <v>29</v>
      </c>
      <c r="N96" t="n">
        <v>5</v>
      </c>
      <c r="O96" t="n">
        <v>205810</v>
      </c>
      <c r="P96" t="inlineStr"/>
      <c r="Q96" t="inlineStr">
        <is>
          <t>4168</t>
        </is>
      </c>
      <c r="R96" t="n">
        <v>1</v>
      </c>
      <c r="S96" t="n">
        <v>0</v>
      </c>
      <c r="T96" t="n">
        <v>0</v>
      </c>
      <c r="U96" t="n">
        <v>0</v>
      </c>
      <c r="V96" s="24">
        <f>J96*100-K96</f>
        <v/>
      </c>
      <c r="W96" s="24">
        <f>L96</f>
        <v/>
      </c>
      <c r="X96" s="25">
        <f>MIN(M96,36)</f>
        <v/>
      </c>
      <c r="Y96" s="25">
        <f>MIN(MAX(M96-36,0),84)</f>
        <v/>
      </c>
      <c r="Z96" s="25">
        <f>MAX(M96-120,0)</f>
        <v/>
      </c>
      <c r="AA96" s="25">
        <f>IF(OR(O96="",NOT(ISNUMBER(O96))),360,MAX(0,MIN(480,(INT(O96/100)-INT(VALUE(H96)/100))*12+MOD(O96,100)-MOD(VALUE(H96),100))))</f>
        <v/>
      </c>
      <c r="AB96">
        <f>IF(AND(AA96&gt;0,AA96&lt;=24),1,0)</f>
        <v/>
      </c>
      <c r="AC96" s="25">
        <f>IF(OR(P96="",NOT(ISNUMBER(P96))),0,MAX(0,MIN(24,(INT(VALUE(H96)/100)-INT(P96/100))*12+MOD(VALUE(H96),100)-MOD(P96,100))))</f>
        <v/>
      </c>
      <c r="AD96" s="23">
        <f>LN(1+I96)</f>
        <v/>
      </c>
      <c r="AE96">
        <f>IF(I96&lt;2000000,1,0)</f>
        <v/>
      </c>
      <c r="AF96">
        <f>IF(I96&gt;50000000,1,0)</f>
        <v/>
      </c>
      <c r="AG96" s="23">
        <f>IF(ISNUMBER(M96),N96/MAX(M96,1),0)</f>
        <v/>
      </c>
      <c r="AH96">
        <f>IF(G96&gt;=2021,1,0)</f>
        <v/>
      </c>
      <c r="AI96">
        <f>S96</f>
        <v/>
      </c>
      <c r="AJ96">
        <f>T96</f>
        <v/>
      </c>
      <c r="AK96">
        <f>R96</f>
        <v/>
      </c>
      <c r="AL96">
        <f>U96</f>
        <v/>
      </c>
      <c r="AM96">
        <f>IF(ISNUMBER(SEARCH("CAPITAL FUNDING",D96)),1,0)</f>
        <v/>
      </c>
      <c r="AN96">
        <f>IF(ISNUMBER(SEARCH("PNC",D96)),1,0)</f>
        <v/>
      </c>
      <c r="AO96">
        <f>IF(ISNUMBER(SEARCH("WELLS FARGO",D96)),1,0)</f>
        <v/>
      </c>
      <c r="AP96">
        <f>IF(ISNUMBER(SEARCH("DWIGHT",D96)),1,0)</f>
        <v/>
      </c>
      <c r="AQ96">
        <f>IF(ISNUMBER(SEARCH("GREYSTONE",D96)),1,0)</f>
        <v/>
      </c>
      <c r="AR96">
        <f>IF(OR(Q96="3896",Q96="3557"),1,0)</f>
        <v/>
      </c>
      <c r="AS96" s="24">
        <f>V96*W96</f>
        <v/>
      </c>
      <c r="AT96" s="26">
        <f>V$4*(V96-V$3)</f>
        <v/>
      </c>
      <c r="AU96" s="26">
        <f>W$4*(W96-W$3)</f>
        <v/>
      </c>
      <c r="AV96" s="26">
        <f>X$4*(X96-X$3)</f>
        <v/>
      </c>
      <c r="AW96" s="26">
        <f>Y$4*(Y96-Y$3)</f>
        <v/>
      </c>
      <c r="AX96" s="26">
        <f>Z$4*(Z96-Z$3)</f>
        <v/>
      </c>
      <c r="AY96" s="26">
        <f>AA$4*(AA96-AA$3)</f>
        <v/>
      </c>
      <c r="AZ96" s="26">
        <f>AB$4*(AB96-AB$3)</f>
        <v/>
      </c>
      <c r="BA96" s="26">
        <f>AC$4*(AC96-AC$3)</f>
        <v/>
      </c>
      <c r="BB96" s="26">
        <f>AD$4*(AD96-AD$3)</f>
        <v/>
      </c>
      <c r="BC96" s="26">
        <f>AE$4*(AE96-AE$3)</f>
        <v/>
      </c>
      <c r="BD96" s="26">
        <f>AF$4*(AF96-AF$3)</f>
        <v/>
      </c>
      <c r="BE96" s="26">
        <f>AG$4*(AG96-AG$3)</f>
        <v/>
      </c>
      <c r="BF96" s="26">
        <f>AH$4*(AH96-AH$3)</f>
        <v/>
      </c>
      <c r="BG96" s="26">
        <f>AI$4*(AI96-AI$3)</f>
        <v/>
      </c>
      <c r="BH96" s="26">
        <f>AJ$4*(AJ96-AJ$3)</f>
        <v/>
      </c>
      <c r="BI96" s="26">
        <f>AK$4*(AK96-AK$3)</f>
        <v/>
      </c>
      <c r="BJ96" s="26">
        <f>AL$4*(AL96-AL$3)</f>
        <v/>
      </c>
      <c r="BK96" s="26">
        <f>AM$4*(AM96-AM$3)</f>
        <v/>
      </c>
      <c r="BL96" s="26">
        <f>AN$4*(AN96-AN$3)</f>
        <v/>
      </c>
      <c r="BM96" s="26">
        <f>AO$4*(AO96-AO$3)</f>
        <v/>
      </c>
      <c r="BN96" s="26">
        <f>AP$4*(AP96-AP$3)</f>
        <v/>
      </c>
      <c r="BO96" s="26">
        <f>AQ$4*(AQ96-AQ$3)</f>
        <v/>
      </c>
      <c r="BP96" s="26">
        <f>AR$4*(AR96-AR$3)</f>
        <v/>
      </c>
      <c r="BQ96" s="26">
        <f>AS$4*(AS96-AS$3)</f>
        <v/>
      </c>
      <c r="BR96" s="27">
        <f>SUM(AT96:BQ96)</f>
        <v/>
      </c>
      <c r="BS96" s="27">
        <f>INTERCEPT_SCALED+BR96</f>
        <v/>
      </c>
      <c r="BT96" s="28">
        <f>1/(1+EXP(-BS96))</f>
        <v/>
      </c>
      <c r="BU96" s="13">
        <f>1-(1-BT96)^12</f>
        <v/>
      </c>
      <c r="BV96" s="13">
        <f>IFERROR(AT96/BR96*(BU96-BASELINE_CPR),0)</f>
        <v/>
      </c>
      <c r="BW96" s="13">
        <f>IFERROR(AU96/BR96*(BU96-BASELINE_CPR),0)</f>
        <v/>
      </c>
      <c r="BX96" s="13">
        <f>IFERROR(AV96/BR96*(BU96-BASELINE_CPR),0)</f>
        <v/>
      </c>
      <c r="BY96" s="13">
        <f>IFERROR(AW96/BR96*(BU96-BASELINE_CPR),0)</f>
        <v/>
      </c>
      <c r="BZ96" s="13">
        <f>IFERROR(AX96/BR96*(BU96-BASELINE_CPR),0)</f>
        <v/>
      </c>
      <c r="CA96" s="13">
        <f>IFERROR(AY96/BR96*(BU96-BASELINE_CPR),0)</f>
        <v/>
      </c>
      <c r="CB96" s="13">
        <f>IFERROR(AZ96/BR96*(BU96-BASELINE_CPR),0)</f>
        <v/>
      </c>
      <c r="CC96" s="13">
        <f>IFERROR(BA96/BR96*(BU96-BASELINE_CPR),0)</f>
        <v/>
      </c>
      <c r="CD96" s="13">
        <f>IFERROR(BB96/BR96*(BU96-BASELINE_CPR),0)</f>
        <v/>
      </c>
      <c r="CE96" s="13">
        <f>IFERROR(BC96/BR96*(BU96-BASELINE_CPR),0)</f>
        <v/>
      </c>
      <c r="CF96" s="13">
        <f>IFERROR(BD96/BR96*(BU96-BASELINE_CPR),0)</f>
        <v/>
      </c>
      <c r="CG96" s="13">
        <f>IFERROR(BE96/BR96*(BU96-BASELINE_CPR),0)</f>
        <v/>
      </c>
      <c r="CH96" s="13">
        <f>IFERROR(BF96/BR96*(BU96-BASELINE_CPR),0)</f>
        <v/>
      </c>
      <c r="CI96" s="13">
        <f>IFERROR(BG96/BR96*(BU96-BASELINE_CPR),0)</f>
        <v/>
      </c>
      <c r="CJ96" s="13">
        <f>IFERROR(BH96/BR96*(BU96-BASELINE_CPR),0)</f>
        <v/>
      </c>
      <c r="CK96" s="13">
        <f>IFERROR(BI96/BR96*(BU96-BASELINE_CPR),0)</f>
        <v/>
      </c>
      <c r="CL96" s="13">
        <f>IFERROR(BJ96/BR96*(BU96-BASELINE_CPR),0)</f>
        <v/>
      </c>
      <c r="CM96" s="13">
        <f>IFERROR(BK96/BR96*(BU96-BASELINE_CPR),0)</f>
        <v/>
      </c>
      <c r="CN96" s="13">
        <f>IFERROR(BL96/BR96*(BU96-BASELINE_CPR),0)</f>
        <v/>
      </c>
      <c r="CO96" s="13">
        <f>IFERROR(BM96/BR96*(BU96-BASELINE_CPR),0)</f>
        <v/>
      </c>
      <c r="CP96" s="13">
        <f>IFERROR(BN96/BR96*(BU96-BASELINE_CPR),0)</f>
        <v/>
      </c>
      <c r="CQ96" s="13">
        <f>IFERROR(BO96/BR96*(BU96-BASELINE_CPR),0)</f>
        <v/>
      </c>
      <c r="CR96" s="13">
        <f>IFERROR(BP96/BR96*(BU96-BASELINE_CPR),0)</f>
        <v/>
      </c>
      <c r="CS96" s="13">
        <f>IFERROR(BQ96/BR96*(BU96-BASELINE_CPR),0)</f>
        <v/>
      </c>
      <c r="CT96" s="29">
        <f>BASELINE_CPR+SUM(BV96:CS96)-BU96</f>
        <v/>
      </c>
    </row>
    <row r="97">
      <c r="A97" s="2" t="inlineStr">
        <is>
          <t>3617QKDG7_000000012335554</t>
        </is>
      </c>
      <c r="B97" t="inlineStr">
        <is>
          <t>GREYSTONE_PRE21</t>
        </is>
      </c>
      <c r="C97" s="2" t="inlineStr">
        <is>
          <t>3617QKDG7</t>
        </is>
      </c>
      <c r="D97" t="inlineStr">
        <is>
          <t>GREYSTONE FUNDING COMPANY LLC</t>
        </is>
      </c>
      <c r="E97" t="inlineStr">
        <is>
          <t>221d4</t>
        </is>
      </c>
      <c r="F97" t="inlineStr">
        <is>
          <t>NC</t>
        </is>
      </c>
      <c r="G97" t="n">
        <v>2020</v>
      </c>
      <c r="H97" t="inlineStr">
        <is>
          <t>202602</t>
        </is>
      </c>
      <c r="I97" s="22" t="n">
        <v>28046987.97</v>
      </c>
      <c r="J97" s="23" t="n">
        <v>3.25</v>
      </c>
      <c r="K97" s="24" t="n">
        <v>447</v>
      </c>
      <c r="L97" s="24" t="n">
        <v>7</v>
      </c>
      <c r="M97" t="n">
        <v>65</v>
      </c>
      <c r="N97" t="n">
        <v>0</v>
      </c>
      <c r="O97" t="n">
        <v>206209</v>
      </c>
      <c r="P97" t="inlineStr"/>
      <c r="Q97" t="inlineStr">
        <is>
          <t>4168</t>
        </is>
      </c>
      <c r="R97" t="n">
        <v>0</v>
      </c>
      <c r="S97" t="n">
        <v>0</v>
      </c>
      <c r="T97" t="n">
        <v>0</v>
      </c>
      <c r="U97" t="n">
        <v>1</v>
      </c>
      <c r="V97" s="24">
        <f>J97*100-K97</f>
        <v/>
      </c>
      <c r="W97" s="24">
        <f>L97</f>
        <v/>
      </c>
      <c r="X97" s="25">
        <f>MIN(M97,36)</f>
        <v/>
      </c>
      <c r="Y97" s="25">
        <f>MIN(MAX(M97-36,0),84)</f>
        <v/>
      </c>
      <c r="Z97" s="25">
        <f>MAX(M97-120,0)</f>
        <v/>
      </c>
      <c r="AA97" s="25">
        <f>IF(OR(O97="",NOT(ISNUMBER(O97))),360,MAX(0,MIN(480,(INT(O97/100)-INT(VALUE(H97)/100))*12+MOD(O97,100)-MOD(VALUE(H97),100))))</f>
        <v/>
      </c>
      <c r="AB97">
        <f>IF(AND(AA97&gt;0,AA97&lt;=24),1,0)</f>
        <v/>
      </c>
      <c r="AC97" s="25">
        <f>IF(OR(P97="",NOT(ISNUMBER(P97))),0,MAX(0,MIN(24,(INT(VALUE(H97)/100)-INT(P97/100))*12+MOD(VALUE(H97),100)-MOD(P97,100))))</f>
        <v/>
      </c>
      <c r="AD97" s="23">
        <f>LN(1+I97)</f>
        <v/>
      </c>
      <c r="AE97">
        <f>IF(I97&lt;2000000,1,0)</f>
        <v/>
      </c>
      <c r="AF97">
        <f>IF(I97&gt;50000000,1,0)</f>
        <v/>
      </c>
      <c r="AG97" s="23">
        <f>IF(ISNUMBER(M97),N97/MAX(M97,1),0)</f>
        <v/>
      </c>
      <c r="AH97">
        <f>IF(G97&gt;=2021,1,0)</f>
        <v/>
      </c>
      <c r="AI97">
        <f>S97</f>
        <v/>
      </c>
      <c r="AJ97">
        <f>T97</f>
        <v/>
      </c>
      <c r="AK97">
        <f>R97</f>
        <v/>
      </c>
      <c r="AL97">
        <f>U97</f>
        <v/>
      </c>
      <c r="AM97">
        <f>IF(ISNUMBER(SEARCH("CAPITAL FUNDING",D97)),1,0)</f>
        <v/>
      </c>
      <c r="AN97">
        <f>IF(ISNUMBER(SEARCH("PNC",D97)),1,0)</f>
        <v/>
      </c>
      <c r="AO97">
        <f>IF(ISNUMBER(SEARCH("WELLS FARGO",D97)),1,0)</f>
        <v/>
      </c>
      <c r="AP97">
        <f>IF(ISNUMBER(SEARCH("DWIGHT",D97)),1,0)</f>
        <v/>
      </c>
      <c r="AQ97">
        <f>IF(ISNUMBER(SEARCH("GREYSTONE",D97)),1,0)</f>
        <v/>
      </c>
      <c r="AR97">
        <f>IF(OR(Q97="3896",Q97="3557"),1,0)</f>
        <v/>
      </c>
      <c r="AS97" s="24">
        <f>V97*W97</f>
        <v/>
      </c>
      <c r="AT97" s="26">
        <f>V$4*(V97-V$3)</f>
        <v/>
      </c>
      <c r="AU97" s="26">
        <f>W$4*(W97-W$3)</f>
        <v/>
      </c>
      <c r="AV97" s="26">
        <f>X$4*(X97-X$3)</f>
        <v/>
      </c>
      <c r="AW97" s="26">
        <f>Y$4*(Y97-Y$3)</f>
        <v/>
      </c>
      <c r="AX97" s="26">
        <f>Z$4*(Z97-Z$3)</f>
        <v/>
      </c>
      <c r="AY97" s="26">
        <f>AA$4*(AA97-AA$3)</f>
        <v/>
      </c>
      <c r="AZ97" s="26">
        <f>AB$4*(AB97-AB$3)</f>
        <v/>
      </c>
      <c r="BA97" s="26">
        <f>AC$4*(AC97-AC$3)</f>
        <v/>
      </c>
      <c r="BB97" s="26">
        <f>AD$4*(AD97-AD$3)</f>
        <v/>
      </c>
      <c r="BC97" s="26">
        <f>AE$4*(AE97-AE$3)</f>
        <v/>
      </c>
      <c r="BD97" s="26">
        <f>AF$4*(AF97-AF$3)</f>
        <v/>
      </c>
      <c r="BE97" s="26">
        <f>AG$4*(AG97-AG$3)</f>
        <v/>
      </c>
      <c r="BF97" s="26">
        <f>AH$4*(AH97-AH$3)</f>
        <v/>
      </c>
      <c r="BG97" s="26">
        <f>AI$4*(AI97-AI$3)</f>
        <v/>
      </c>
      <c r="BH97" s="26">
        <f>AJ$4*(AJ97-AJ$3)</f>
        <v/>
      </c>
      <c r="BI97" s="26">
        <f>AK$4*(AK97-AK$3)</f>
        <v/>
      </c>
      <c r="BJ97" s="26">
        <f>AL$4*(AL97-AL$3)</f>
        <v/>
      </c>
      <c r="BK97" s="26">
        <f>AM$4*(AM97-AM$3)</f>
        <v/>
      </c>
      <c r="BL97" s="26">
        <f>AN$4*(AN97-AN$3)</f>
        <v/>
      </c>
      <c r="BM97" s="26">
        <f>AO$4*(AO97-AO$3)</f>
        <v/>
      </c>
      <c r="BN97" s="26">
        <f>AP$4*(AP97-AP$3)</f>
        <v/>
      </c>
      <c r="BO97" s="26">
        <f>AQ$4*(AQ97-AQ$3)</f>
        <v/>
      </c>
      <c r="BP97" s="26">
        <f>AR$4*(AR97-AR$3)</f>
        <v/>
      </c>
      <c r="BQ97" s="26">
        <f>AS$4*(AS97-AS$3)</f>
        <v/>
      </c>
      <c r="BR97" s="27">
        <f>SUM(AT97:BQ97)</f>
        <v/>
      </c>
      <c r="BS97" s="27">
        <f>INTERCEPT_SCALED+BR97</f>
        <v/>
      </c>
      <c r="BT97" s="28">
        <f>1/(1+EXP(-BS97))</f>
        <v/>
      </c>
      <c r="BU97" s="13">
        <f>1-(1-BT97)^12</f>
        <v/>
      </c>
      <c r="BV97" s="13">
        <f>IFERROR(AT97/BR97*(BU97-BASELINE_CPR),0)</f>
        <v/>
      </c>
      <c r="BW97" s="13">
        <f>IFERROR(AU97/BR97*(BU97-BASELINE_CPR),0)</f>
        <v/>
      </c>
      <c r="BX97" s="13">
        <f>IFERROR(AV97/BR97*(BU97-BASELINE_CPR),0)</f>
        <v/>
      </c>
      <c r="BY97" s="13">
        <f>IFERROR(AW97/BR97*(BU97-BASELINE_CPR),0)</f>
        <v/>
      </c>
      <c r="BZ97" s="13">
        <f>IFERROR(AX97/BR97*(BU97-BASELINE_CPR),0)</f>
        <v/>
      </c>
      <c r="CA97" s="13">
        <f>IFERROR(AY97/BR97*(BU97-BASELINE_CPR),0)</f>
        <v/>
      </c>
      <c r="CB97" s="13">
        <f>IFERROR(AZ97/BR97*(BU97-BASELINE_CPR),0)</f>
        <v/>
      </c>
      <c r="CC97" s="13">
        <f>IFERROR(BA97/BR97*(BU97-BASELINE_CPR),0)</f>
        <v/>
      </c>
      <c r="CD97" s="13">
        <f>IFERROR(BB97/BR97*(BU97-BASELINE_CPR),0)</f>
        <v/>
      </c>
      <c r="CE97" s="13">
        <f>IFERROR(BC97/BR97*(BU97-BASELINE_CPR),0)</f>
        <v/>
      </c>
      <c r="CF97" s="13">
        <f>IFERROR(BD97/BR97*(BU97-BASELINE_CPR),0)</f>
        <v/>
      </c>
      <c r="CG97" s="13">
        <f>IFERROR(BE97/BR97*(BU97-BASELINE_CPR),0)</f>
        <v/>
      </c>
      <c r="CH97" s="13">
        <f>IFERROR(BF97/BR97*(BU97-BASELINE_CPR),0)</f>
        <v/>
      </c>
      <c r="CI97" s="13">
        <f>IFERROR(BG97/BR97*(BU97-BASELINE_CPR),0)</f>
        <v/>
      </c>
      <c r="CJ97" s="13">
        <f>IFERROR(BH97/BR97*(BU97-BASELINE_CPR),0)</f>
        <v/>
      </c>
      <c r="CK97" s="13">
        <f>IFERROR(BI97/BR97*(BU97-BASELINE_CPR),0)</f>
        <v/>
      </c>
      <c r="CL97" s="13">
        <f>IFERROR(BJ97/BR97*(BU97-BASELINE_CPR),0)</f>
        <v/>
      </c>
      <c r="CM97" s="13">
        <f>IFERROR(BK97/BR97*(BU97-BASELINE_CPR),0)</f>
        <v/>
      </c>
      <c r="CN97" s="13">
        <f>IFERROR(BL97/BR97*(BU97-BASELINE_CPR),0)</f>
        <v/>
      </c>
      <c r="CO97" s="13">
        <f>IFERROR(BM97/BR97*(BU97-BASELINE_CPR),0)</f>
        <v/>
      </c>
      <c r="CP97" s="13">
        <f>IFERROR(BN97/BR97*(BU97-BASELINE_CPR),0)</f>
        <v/>
      </c>
      <c r="CQ97" s="13">
        <f>IFERROR(BO97/BR97*(BU97-BASELINE_CPR),0)</f>
        <v/>
      </c>
      <c r="CR97" s="13">
        <f>IFERROR(BP97/BR97*(BU97-BASELINE_CPR),0)</f>
        <v/>
      </c>
      <c r="CS97" s="13">
        <f>IFERROR(BQ97/BR97*(BU97-BASELINE_CPR),0)</f>
        <v/>
      </c>
      <c r="CT97" s="29">
        <f>BASELINE_CPR+SUM(BV97:CS97)-BU97</f>
        <v/>
      </c>
    </row>
    <row r="98">
      <c r="A98" s="2" t="inlineStr">
        <is>
          <t>3617UAWB4_000000009211486</t>
        </is>
      </c>
      <c r="B98" t="inlineStr">
        <is>
          <t>GREYSTONE_PRE21</t>
        </is>
      </c>
      <c r="C98" s="2" t="inlineStr">
        <is>
          <t>3617UAWB4</t>
        </is>
      </c>
      <c r="D98" t="inlineStr">
        <is>
          <t>GREYSTONE FUNDING COMPANY LLC</t>
        </is>
      </c>
      <c r="E98" t="inlineStr">
        <is>
          <t>223f</t>
        </is>
      </c>
      <c r="F98" t="inlineStr">
        <is>
          <t>RP</t>
        </is>
      </c>
      <c r="G98" t="n">
        <v>2020</v>
      </c>
      <c r="H98" t="inlineStr">
        <is>
          <t>202602</t>
        </is>
      </c>
      <c r="I98" s="22" t="n">
        <v>4214790.92</v>
      </c>
      <c r="J98" s="23" t="n">
        <v>2.41</v>
      </c>
      <c r="K98" s="24" t="n">
        <v>447</v>
      </c>
      <c r="L98" s="24" t="n">
        <v>5</v>
      </c>
      <c r="M98" t="n">
        <v>62</v>
      </c>
      <c r="N98" t="n">
        <v>0</v>
      </c>
      <c r="O98" t="n">
        <v>205601</v>
      </c>
      <c r="P98" t="inlineStr"/>
      <c r="Q98" t="inlineStr">
        <is>
          <t>4168</t>
        </is>
      </c>
      <c r="R98" t="n">
        <v>0</v>
      </c>
      <c r="S98" t="n">
        <v>0</v>
      </c>
      <c r="T98" t="n">
        <v>0</v>
      </c>
      <c r="U98" t="n">
        <v>0</v>
      </c>
      <c r="V98" s="24">
        <f>J98*100-K98</f>
        <v/>
      </c>
      <c r="W98" s="24">
        <f>L98</f>
        <v/>
      </c>
      <c r="X98" s="25">
        <f>MIN(M98,36)</f>
        <v/>
      </c>
      <c r="Y98" s="25">
        <f>MIN(MAX(M98-36,0),84)</f>
        <v/>
      </c>
      <c r="Z98" s="25">
        <f>MAX(M98-120,0)</f>
        <v/>
      </c>
      <c r="AA98" s="25">
        <f>IF(OR(O98="",NOT(ISNUMBER(O98))),360,MAX(0,MIN(480,(INT(O98/100)-INT(VALUE(H98)/100))*12+MOD(O98,100)-MOD(VALUE(H98),100))))</f>
        <v/>
      </c>
      <c r="AB98">
        <f>IF(AND(AA98&gt;0,AA98&lt;=24),1,0)</f>
        <v/>
      </c>
      <c r="AC98" s="25">
        <f>IF(OR(P98="",NOT(ISNUMBER(P98))),0,MAX(0,MIN(24,(INT(VALUE(H98)/100)-INT(P98/100))*12+MOD(VALUE(H98),100)-MOD(P98,100))))</f>
        <v/>
      </c>
      <c r="AD98" s="23">
        <f>LN(1+I98)</f>
        <v/>
      </c>
      <c r="AE98">
        <f>IF(I98&lt;2000000,1,0)</f>
        <v/>
      </c>
      <c r="AF98">
        <f>IF(I98&gt;50000000,1,0)</f>
        <v/>
      </c>
      <c r="AG98" s="23">
        <f>IF(ISNUMBER(M98),N98/MAX(M98,1),0)</f>
        <v/>
      </c>
      <c r="AH98">
        <f>IF(G98&gt;=2021,1,0)</f>
        <v/>
      </c>
      <c r="AI98">
        <f>S98</f>
        <v/>
      </c>
      <c r="AJ98">
        <f>T98</f>
        <v/>
      </c>
      <c r="AK98">
        <f>R98</f>
        <v/>
      </c>
      <c r="AL98">
        <f>U98</f>
        <v/>
      </c>
      <c r="AM98">
        <f>IF(ISNUMBER(SEARCH("CAPITAL FUNDING",D98)),1,0)</f>
        <v/>
      </c>
      <c r="AN98">
        <f>IF(ISNUMBER(SEARCH("PNC",D98)),1,0)</f>
        <v/>
      </c>
      <c r="AO98">
        <f>IF(ISNUMBER(SEARCH("WELLS FARGO",D98)),1,0)</f>
        <v/>
      </c>
      <c r="AP98">
        <f>IF(ISNUMBER(SEARCH("DWIGHT",D98)),1,0)</f>
        <v/>
      </c>
      <c r="AQ98">
        <f>IF(ISNUMBER(SEARCH("GREYSTONE",D98)),1,0)</f>
        <v/>
      </c>
      <c r="AR98">
        <f>IF(OR(Q98="3896",Q98="3557"),1,0)</f>
        <v/>
      </c>
      <c r="AS98" s="24">
        <f>V98*W98</f>
        <v/>
      </c>
      <c r="AT98" s="26">
        <f>V$4*(V98-V$3)</f>
        <v/>
      </c>
      <c r="AU98" s="26">
        <f>W$4*(W98-W$3)</f>
        <v/>
      </c>
      <c r="AV98" s="26">
        <f>X$4*(X98-X$3)</f>
        <v/>
      </c>
      <c r="AW98" s="26">
        <f>Y$4*(Y98-Y$3)</f>
        <v/>
      </c>
      <c r="AX98" s="26">
        <f>Z$4*(Z98-Z$3)</f>
        <v/>
      </c>
      <c r="AY98" s="26">
        <f>AA$4*(AA98-AA$3)</f>
        <v/>
      </c>
      <c r="AZ98" s="26">
        <f>AB$4*(AB98-AB$3)</f>
        <v/>
      </c>
      <c r="BA98" s="26">
        <f>AC$4*(AC98-AC$3)</f>
        <v/>
      </c>
      <c r="BB98" s="26">
        <f>AD$4*(AD98-AD$3)</f>
        <v/>
      </c>
      <c r="BC98" s="26">
        <f>AE$4*(AE98-AE$3)</f>
        <v/>
      </c>
      <c r="BD98" s="26">
        <f>AF$4*(AF98-AF$3)</f>
        <v/>
      </c>
      <c r="BE98" s="26">
        <f>AG$4*(AG98-AG$3)</f>
        <v/>
      </c>
      <c r="BF98" s="26">
        <f>AH$4*(AH98-AH$3)</f>
        <v/>
      </c>
      <c r="BG98" s="26">
        <f>AI$4*(AI98-AI$3)</f>
        <v/>
      </c>
      <c r="BH98" s="26">
        <f>AJ$4*(AJ98-AJ$3)</f>
        <v/>
      </c>
      <c r="BI98" s="26">
        <f>AK$4*(AK98-AK$3)</f>
        <v/>
      </c>
      <c r="BJ98" s="26">
        <f>AL$4*(AL98-AL$3)</f>
        <v/>
      </c>
      <c r="BK98" s="26">
        <f>AM$4*(AM98-AM$3)</f>
        <v/>
      </c>
      <c r="BL98" s="26">
        <f>AN$4*(AN98-AN$3)</f>
        <v/>
      </c>
      <c r="BM98" s="26">
        <f>AO$4*(AO98-AO$3)</f>
        <v/>
      </c>
      <c r="BN98" s="26">
        <f>AP$4*(AP98-AP$3)</f>
        <v/>
      </c>
      <c r="BO98" s="26">
        <f>AQ$4*(AQ98-AQ$3)</f>
        <v/>
      </c>
      <c r="BP98" s="26">
        <f>AR$4*(AR98-AR$3)</f>
        <v/>
      </c>
      <c r="BQ98" s="26">
        <f>AS$4*(AS98-AS$3)</f>
        <v/>
      </c>
      <c r="BR98" s="27">
        <f>SUM(AT98:BQ98)</f>
        <v/>
      </c>
      <c r="BS98" s="27">
        <f>INTERCEPT_SCALED+BR98</f>
        <v/>
      </c>
      <c r="BT98" s="28">
        <f>1/(1+EXP(-BS98))</f>
        <v/>
      </c>
      <c r="BU98" s="13">
        <f>1-(1-BT98)^12</f>
        <v/>
      </c>
      <c r="BV98" s="13">
        <f>IFERROR(AT98/BR98*(BU98-BASELINE_CPR),0)</f>
        <v/>
      </c>
      <c r="BW98" s="13">
        <f>IFERROR(AU98/BR98*(BU98-BASELINE_CPR),0)</f>
        <v/>
      </c>
      <c r="BX98" s="13">
        <f>IFERROR(AV98/BR98*(BU98-BASELINE_CPR),0)</f>
        <v/>
      </c>
      <c r="BY98" s="13">
        <f>IFERROR(AW98/BR98*(BU98-BASELINE_CPR),0)</f>
        <v/>
      </c>
      <c r="BZ98" s="13">
        <f>IFERROR(AX98/BR98*(BU98-BASELINE_CPR),0)</f>
        <v/>
      </c>
      <c r="CA98" s="13">
        <f>IFERROR(AY98/BR98*(BU98-BASELINE_CPR),0)</f>
        <v/>
      </c>
      <c r="CB98" s="13">
        <f>IFERROR(AZ98/BR98*(BU98-BASELINE_CPR),0)</f>
        <v/>
      </c>
      <c r="CC98" s="13">
        <f>IFERROR(BA98/BR98*(BU98-BASELINE_CPR),0)</f>
        <v/>
      </c>
      <c r="CD98" s="13">
        <f>IFERROR(BB98/BR98*(BU98-BASELINE_CPR),0)</f>
        <v/>
      </c>
      <c r="CE98" s="13">
        <f>IFERROR(BC98/BR98*(BU98-BASELINE_CPR),0)</f>
        <v/>
      </c>
      <c r="CF98" s="13">
        <f>IFERROR(BD98/BR98*(BU98-BASELINE_CPR),0)</f>
        <v/>
      </c>
      <c r="CG98" s="13">
        <f>IFERROR(BE98/BR98*(BU98-BASELINE_CPR),0)</f>
        <v/>
      </c>
      <c r="CH98" s="13">
        <f>IFERROR(BF98/BR98*(BU98-BASELINE_CPR),0)</f>
        <v/>
      </c>
      <c r="CI98" s="13">
        <f>IFERROR(BG98/BR98*(BU98-BASELINE_CPR),0)</f>
        <v/>
      </c>
      <c r="CJ98" s="13">
        <f>IFERROR(BH98/BR98*(BU98-BASELINE_CPR),0)</f>
        <v/>
      </c>
      <c r="CK98" s="13">
        <f>IFERROR(BI98/BR98*(BU98-BASELINE_CPR),0)</f>
        <v/>
      </c>
      <c r="CL98" s="13">
        <f>IFERROR(BJ98/BR98*(BU98-BASELINE_CPR),0)</f>
        <v/>
      </c>
      <c r="CM98" s="13">
        <f>IFERROR(BK98/BR98*(BU98-BASELINE_CPR),0)</f>
        <v/>
      </c>
      <c r="CN98" s="13">
        <f>IFERROR(BL98/BR98*(BU98-BASELINE_CPR),0)</f>
        <v/>
      </c>
      <c r="CO98" s="13">
        <f>IFERROR(BM98/BR98*(BU98-BASELINE_CPR),0)</f>
        <v/>
      </c>
      <c r="CP98" s="13">
        <f>IFERROR(BN98/BR98*(BU98-BASELINE_CPR),0)</f>
        <v/>
      </c>
      <c r="CQ98" s="13">
        <f>IFERROR(BO98/BR98*(BU98-BASELINE_CPR),0)</f>
        <v/>
      </c>
      <c r="CR98" s="13">
        <f>IFERROR(BP98/BR98*(BU98-BASELINE_CPR),0)</f>
        <v/>
      </c>
      <c r="CS98" s="13">
        <f>IFERROR(BQ98/BR98*(BU98-BASELINE_CPR),0)</f>
        <v/>
      </c>
      <c r="CT98" s="29">
        <f>BASELINE_CPR+SUM(BV98:CS98)-BU98</f>
        <v/>
      </c>
    </row>
    <row r="99">
      <c r="A99" s="2" t="inlineStr">
        <is>
          <t>3617XRA51_000000011722043</t>
        </is>
      </c>
      <c r="B99" t="inlineStr">
        <is>
          <t>GREYSTONE_POST21</t>
        </is>
      </c>
      <c r="C99" s="2" t="inlineStr">
        <is>
          <t>3617XRA51</t>
        </is>
      </c>
      <c r="D99" t="inlineStr">
        <is>
          <t>GREYSTONE FUNDING COMPANY LLC</t>
        </is>
      </c>
      <c r="E99" t="inlineStr">
        <is>
          <t>232</t>
        </is>
      </c>
      <c r="F99" t="inlineStr">
        <is>
          <t>RP</t>
        </is>
      </c>
      <c r="G99" t="n">
        <v>2021</v>
      </c>
      <c r="H99" t="inlineStr">
        <is>
          <t>202602</t>
        </is>
      </c>
      <c r="I99" s="22" t="n">
        <v>3120938.09</v>
      </c>
      <c r="J99" s="23" t="n">
        <v>2.75</v>
      </c>
      <c r="K99" s="24" t="n">
        <v>447</v>
      </c>
      <c r="L99" s="24" t="n">
        <v>6</v>
      </c>
      <c r="M99" t="n">
        <v>50</v>
      </c>
      <c r="N99" t="n">
        <v>0</v>
      </c>
      <c r="O99" t="n">
        <v>205201</v>
      </c>
      <c r="P99" t="inlineStr"/>
      <c r="Q99" t="inlineStr">
        <is>
          <t>4168</t>
        </is>
      </c>
      <c r="R99" t="n">
        <v>1</v>
      </c>
      <c r="S99" t="n">
        <v>0</v>
      </c>
      <c r="T99" t="n">
        <v>0</v>
      </c>
      <c r="U99" t="n">
        <v>0</v>
      </c>
      <c r="V99" s="24">
        <f>J99*100-K99</f>
        <v/>
      </c>
      <c r="W99" s="24">
        <f>L99</f>
        <v/>
      </c>
      <c r="X99" s="25">
        <f>MIN(M99,36)</f>
        <v/>
      </c>
      <c r="Y99" s="25">
        <f>MIN(MAX(M99-36,0),84)</f>
        <v/>
      </c>
      <c r="Z99" s="25">
        <f>MAX(M99-120,0)</f>
        <v/>
      </c>
      <c r="AA99" s="25">
        <f>IF(OR(O99="",NOT(ISNUMBER(O99))),360,MAX(0,MIN(480,(INT(O99/100)-INT(VALUE(H99)/100))*12+MOD(O99,100)-MOD(VALUE(H99),100))))</f>
        <v/>
      </c>
      <c r="AB99">
        <f>IF(AND(AA99&gt;0,AA99&lt;=24),1,0)</f>
        <v/>
      </c>
      <c r="AC99" s="25">
        <f>IF(OR(P99="",NOT(ISNUMBER(P99))),0,MAX(0,MIN(24,(INT(VALUE(H99)/100)-INT(P99/100))*12+MOD(VALUE(H99),100)-MOD(P99,100))))</f>
        <v/>
      </c>
      <c r="AD99" s="23">
        <f>LN(1+I99)</f>
        <v/>
      </c>
      <c r="AE99">
        <f>IF(I99&lt;2000000,1,0)</f>
        <v/>
      </c>
      <c r="AF99">
        <f>IF(I99&gt;50000000,1,0)</f>
        <v/>
      </c>
      <c r="AG99" s="23">
        <f>IF(ISNUMBER(M99),N99/MAX(M99,1),0)</f>
        <v/>
      </c>
      <c r="AH99">
        <f>IF(G99&gt;=2021,1,0)</f>
        <v/>
      </c>
      <c r="AI99">
        <f>S99</f>
        <v/>
      </c>
      <c r="AJ99">
        <f>T99</f>
        <v/>
      </c>
      <c r="AK99">
        <f>R99</f>
        <v/>
      </c>
      <c r="AL99">
        <f>U99</f>
        <v/>
      </c>
      <c r="AM99">
        <f>IF(ISNUMBER(SEARCH("CAPITAL FUNDING",D99)),1,0)</f>
        <v/>
      </c>
      <c r="AN99">
        <f>IF(ISNUMBER(SEARCH("PNC",D99)),1,0)</f>
        <v/>
      </c>
      <c r="AO99">
        <f>IF(ISNUMBER(SEARCH("WELLS FARGO",D99)),1,0)</f>
        <v/>
      </c>
      <c r="AP99">
        <f>IF(ISNUMBER(SEARCH("DWIGHT",D99)),1,0)</f>
        <v/>
      </c>
      <c r="AQ99">
        <f>IF(ISNUMBER(SEARCH("GREYSTONE",D99)),1,0)</f>
        <v/>
      </c>
      <c r="AR99">
        <f>IF(OR(Q99="3896",Q99="3557"),1,0)</f>
        <v/>
      </c>
      <c r="AS99" s="24">
        <f>V99*W99</f>
        <v/>
      </c>
      <c r="AT99" s="26">
        <f>V$4*(V99-V$3)</f>
        <v/>
      </c>
      <c r="AU99" s="26">
        <f>W$4*(W99-W$3)</f>
        <v/>
      </c>
      <c r="AV99" s="26">
        <f>X$4*(X99-X$3)</f>
        <v/>
      </c>
      <c r="AW99" s="26">
        <f>Y$4*(Y99-Y$3)</f>
        <v/>
      </c>
      <c r="AX99" s="26">
        <f>Z$4*(Z99-Z$3)</f>
        <v/>
      </c>
      <c r="AY99" s="26">
        <f>AA$4*(AA99-AA$3)</f>
        <v/>
      </c>
      <c r="AZ99" s="26">
        <f>AB$4*(AB99-AB$3)</f>
        <v/>
      </c>
      <c r="BA99" s="26">
        <f>AC$4*(AC99-AC$3)</f>
        <v/>
      </c>
      <c r="BB99" s="26">
        <f>AD$4*(AD99-AD$3)</f>
        <v/>
      </c>
      <c r="BC99" s="26">
        <f>AE$4*(AE99-AE$3)</f>
        <v/>
      </c>
      <c r="BD99" s="26">
        <f>AF$4*(AF99-AF$3)</f>
        <v/>
      </c>
      <c r="BE99" s="26">
        <f>AG$4*(AG99-AG$3)</f>
        <v/>
      </c>
      <c r="BF99" s="26">
        <f>AH$4*(AH99-AH$3)</f>
        <v/>
      </c>
      <c r="BG99" s="26">
        <f>AI$4*(AI99-AI$3)</f>
        <v/>
      </c>
      <c r="BH99" s="26">
        <f>AJ$4*(AJ99-AJ$3)</f>
        <v/>
      </c>
      <c r="BI99" s="26">
        <f>AK$4*(AK99-AK$3)</f>
        <v/>
      </c>
      <c r="BJ99" s="26">
        <f>AL$4*(AL99-AL$3)</f>
        <v/>
      </c>
      <c r="BK99" s="26">
        <f>AM$4*(AM99-AM$3)</f>
        <v/>
      </c>
      <c r="BL99" s="26">
        <f>AN$4*(AN99-AN$3)</f>
        <v/>
      </c>
      <c r="BM99" s="26">
        <f>AO$4*(AO99-AO$3)</f>
        <v/>
      </c>
      <c r="BN99" s="26">
        <f>AP$4*(AP99-AP$3)</f>
        <v/>
      </c>
      <c r="BO99" s="26">
        <f>AQ$4*(AQ99-AQ$3)</f>
        <v/>
      </c>
      <c r="BP99" s="26">
        <f>AR$4*(AR99-AR$3)</f>
        <v/>
      </c>
      <c r="BQ99" s="26">
        <f>AS$4*(AS99-AS$3)</f>
        <v/>
      </c>
      <c r="BR99" s="27">
        <f>SUM(AT99:BQ99)</f>
        <v/>
      </c>
      <c r="BS99" s="27">
        <f>INTERCEPT_SCALED+BR99</f>
        <v/>
      </c>
      <c r="BT99" s="28">
        <f>1/(1+EXP(-BS99))</f>
        <v/>
      </c>
      <c r="BU99" s="13">
        <f>1-(1-BT99)^12</f>
        <v/>
      </c>
      <c r="BV99" s="13">
        <f>IFERROR(AT99/BR99*(BU99-BASELINE_CPR),0)</f>
        <v/>
      </c>
      <c r="BW99" s="13">
        <f>IFERROR(AU99/BR99*(BU99-BASELINE_CPR),0)</f>
        <v/>
      </c>
      <c r="BX99" s="13">
        <f>IFERROR(AV99/BR99*(BU99-BASELINE_CPR),0)</f>
        <v/>
      </c>
      <c r="BY99" s="13">
        <f>IFERROR(AW99/BR99*(BU99-BASELINE_CPR),0)</f>
        <v/>
      </c>
      <c r="BZ99" s="13">
        <f>IFERROR(AX99/BR99*(BU99-BASELINE_CPR),0)</f>
        <v/>
      </c>
      <c r="CA99" s="13">
        <f>IFERROR(AY99/BR99*(BU99-BASELINE_CPR),0)</f>
        <v/>
      </c>
      <c r="CB99" s="13">
        <f>IFERROR(AZ99/BR99*(BU99-BASELINE_CPR),0)</f>
        <v/>
      </c>
      <c r="CC99" s="13">
        <f>IFERROR(BA99/BR99*(BU99-BASELINE_CPR),0)</f>
        <v/>
      </c>
      <c r="CD99" s="13">
        <f>IFERROR(BB99/BR99*(BU99-BASELINE_CPR),0)</f>
        <v/>
      </c>
      <c r="CE99" s="13">
        <f>IFERROR(BC99/BR99*(BU99-BASELINE_CPR),0)</f>
        <v/>
      </c>
      <c r="CF99" s="13">
        <f>IFERROR(BD99/BR99*(BU99-BASELINE_CPR),0)</f>
        <v/>
      </c>
      <c r="CG99" s="13">
        <f>IFERROR(BE99/BR99*(BU99-BASELINE_CPR),0)</f>
        <v/>
      </c>
      <c r="CH99" s="13">
        <f>IFERROR(BF99/BR99*(BU99-BASELINE_CPR),0)</f>
        <v/>
      </c>
      <c r="CI99" s="13">
        <f>IFERROR(BG99/BR99*(BU99-BASELINE_CPR),0)</f>
        <v/>
      </c>
      <c r="CJ99" s="13">
        <f>IFERROR(BH99/BR99*(BU99-BASELINE_CPR),0)</f>
        <v/>
      </c>
      <c r="CK99" s="13">
        <f>IFERROR(BI99/BR99*(BU99-BASELINE_CPR),0)</f>
        <v/>
      </c>
      <c r="CL99" s="13">
        <f>IFERROR(BJ99/BR99*(BU99-BASELINE_CPR),0)</f>
        <v/>
      </c>
      <c r="CM99" s="13">
        <f>IFERROR(BK99/BR99*(BU99-BASELINE_CPR),0)</f>
        <v/>
      </c>
      <c r="CN99" s="13">
        <f>IFERROR(BL99/BR99*(BU99-BASELINE_CPR),0)</f>
        <v/>
      </c>
      <c r="CO99" s="13">
        <f>IFERROR(BM99/BR99*(BU99-BASELINE_CPR),0)</f>
        <v/>
      </c>
      <c r="CP99" s="13">
        <f>IFERROR(BN99/BR99*(BU99-BASELINE_CPR),0)</f>
        <v/>
      </c>
      <c r="CQ99" s="13">
        <f>IFERROR(BO99/BR99*(BU99-BASELINE_CPR),0)</f>
        <v/>
      </c>
      <c r="CR99" s="13">
        <f>IFERROR(BP99/BR99*(BU99-BASELINE_CPR),0)</f>
        <v/>
      </c>
      <c r="CS99" s="13">
        <f>IFERROR(BQ99/BR99*(BU99-BASELINE_CPR),0)</f>
        <v/>
      </c>
      <c r="CT99" s="29">
        <f>BASELINE_CPR+SUM(BV99:CS99)-BU99</f>
        <v/>
      </c>
    </row>
    <row r="100">
      <c r="A100" s="2" t="inlineStr">
        <is>
          <t>3617FXAM1_000000011311514</t>
        </is>
      </c>
      <c r="B100" t="inlineStr">
        <is>
          <t>GREYSTONE_POST21</t>
        </is>
      </c>
      <c r="C100" s="2" t="inlineStr">
        <is>
          <t>3617FXAM1</t>
        </is>
      </c>
      <c r="D100" t="inlineStr">
        <is>
          <t>GREYSTONE FUNDING COMPANY LLC</t>
        </is>
      </c>
      <c r="E100" t="inlineStr">
        <is>
          <t>223f</t>
        </is>
      </c>
      <c r="F100" t="inlineStr">
        <is>
          <t>RP</t>
        </is>
      </c>
      <c r="G100" t="n">
        <v>2022</v>
      </c>
      <c r="H100" t="inlineStr">
        <is>
          <t>202602</t>
        </is>
      </c>
      <c r="I100" s="22" t="n">
        <v>40409683.54</v>
      </c>
      <c r="J100" s="23" t="n">
        <v>4.08</v>
      </c>
      <c r="K100" s="24" t="n">
        <v>447</v>
      </c>
      <c r="L100" s="24" t="n">
        <v>7</v>
      </c>
      <c r="M100" t="n">
        <v>41</v>
      </c>
      <c r="N100" t="n">
        <v>0</v>
      </c>
      <c r="O100" t="n">
        <v>205710</v>
      </c>
      <c r="P100" t="inlineStr"/>
      <c r="Q100" t="inlineStr">
        <is>
          <t>4168</t>
        </is>
      </c>
      <c r="R100" t="n">
        <v>0</v>
      </c>
      <c r="S100" t="n">
        <v>0</v>
      </c>
      <c r="T100" t="n">
        <v>0</v>
      </c>
      <c r="U100" t="n">
        <v>0</v>
      </c>
      <c r="V100" s="24">
        <f>J100*100-K100</f>
        <v/>
      </c>
      <c r="W100" s="24">
        <f>L100</f>
        <v/>
      </c>
      <c r="X100" s="25">
        <f>MIN(M100,36)</f>
        <v/>
      </c>
      <c r="Y100" s="25">
        <f>MIN(MAX(M100-36,0),84)</f>
        <v/>
      </c>
      <c r="Z100" s="25">
        <f>MAX(M100-120,0)</f>
        <v/>
      </c>
      <c r="AA100" s="25">
        <f>IF(OR(O100="",NOT(ISNUMBER(O100))),360,MAX(0,MIN(480,(INT(O100/100)-INT(VALUE(H100)/100))*12+MOD(O100,100)-MOD(VALUE(H100),100))))</f>
        <v/>
      </c>
      <c r="AB100">
        <f>IF(AND(AA100&gt;0,AA100&lt;=24),1,0)</f>
        <v/>
      </c>
      <c r="AC100" s="25">
        <f>IF(OR(P100="",NOT(ISNUMBER(P100))),0,MAX(0,MIN(24,(INT(VALUE(H100)/100)-INT(P100/100))*12+MOD(VALUE(H100),100)-MOD(P100,100))))</f>
        <v/>
      </c>
      <c r="AD100" s="23">
        <f>LN(1+I100)</f>
        <v/>
      </c>
      <c r="AE100">
        <f>IF(I100&lt;2000000,1,0)</f>
        <v/>
      </c>
      <c r="AF100">
        <f>IF(I100&gt;50000000,1,0)</f>
        <v/>
      </c>
      <c r="AG100" s="23">
        <f>IF(ISNUMBER(M100),N100/MAX(M100,1),0)</f>
        <v/>
      </c>
      <c r="AH100">
        <f>IF(G100&gt;=2021,1,0)</f>
        <v/>
      </c>
      <c r="AI100">
        <f>S100</f>
        <v/>
      </c>
      <c r="AJ100">
        <f>T100</f>
        <v/>
      </c>
      <c r="AK100">
        <f>R100</f>
        <v/>
      </c>
      <c r="AL100">
        <f>U100</f>
        <v/>
      </c>
      <c r="AM100">
        <f>IF(ISNUMBER(SEARCH("CAPITAL FUNDING",D100)),1,0)</f>
        <v/>
      </c>
      <c r="AN100">
        <f>IF(ISNUMBER(SEARCH("PNC",D100)),1,0)</f>
        <v/>
      </c>
      <c r="AO100">
        <f>IF(ISNUMBER(SEARCH("WELLS FARGO",D100)),1,0)</f>
        <v/>
      </c>
      <c r="AP100">
        <f>IF(ISNUMBER(SEARCH("DWIGHT",D100)),1,0)</f>
        <v/>
      </c>
      <c r="AQ100">
        <f>IF(ISNUMBER(SEARCH("GREYSTONE",D100)),1,0)</f>
        <v/>
      </c>
      <c r="AR100">
        <f>IF(OR(Q100="3896",Q100="3557"),1,0)</f>
        <v/>
      </c>
      <c r="AS100" s="24">
        <f>V100*W100</f>
        <v/>
      </c>
      <c r="AT100" s="26">
        <f>V$4*(V100-V$3)</f>
        <v/>
      </c>
      <c r="AU100" s="26">
        <f>W$4*(W100-W$3)</f>
        <v/>
      </c>
      <c r="AV100" s="26">
        <f>X$4*(X100-X$3)</f>
        <v/>
      </c>
      <c r="AW100" s="26">
        <f>Y$4*(Y100-Y$3)</f>
        <v/>
      </c>
      <c r="AX100" s="26">
        <f>Z$4*(Z100-Z$3)</f>
        <v/>
      </c>
      <c r="AY100" s="26">
        <f>AA$4*(AA100-AA$3)</f>
        <v/>
      </c>
      <c r="AZ100" s="26">
        <f>AB$4*(AB100-AB$3)</f>
        <v/>
      </c>
      <c r="BA100" s="26">
        <f>AC$4*(AC100-AC$3)</f>
        <v/>
      </c>
      <c r="BB100" s="26">
        <f>AD$4*(AD100-AD$3)</f>
        <v/>
      </c>
      <c r="BC100" s="26">
        <f>AE$4*(AE100-AE$3)</f>
        <v/>
      </c>
      <c r="BD100" s="26">
        <f>AF$4*(AF100-AF$3)</f>
        <v/>
      </c>
      <c r="BE100" s="26">
        <f>AG$4*(AG100-AG$3)</f>
        <v/>
      </c>
      <c r="BF100" s="26">
        <f>AH$4*(AH100-AH$3)</f>
        <v/>
      </c>
      <c r="BG100" s="26">
        <f>AI$4*(AI100-AI$3)</f>
        <v/>
      </c>
      <c r="BH100" s="26">
        <f>AJ$4*(AJ100-AJ$3)</f>
        <v/>
      </c>
      <c r="BI100" s="26">
        <f>AK$4*(AK100-AK$3)</f>
        <v/>
      </c>
      <c r="BJ100" s="26">
        <f>AL$4*(AL100-AL$3)</f>
        <v/>
      </c>
      <c r="BK100" s="26">
        <f>AM$4*(AM100-AM$3)</f>
        <v/>
      </c>
      <c r="BL100" s="26">
        <f>AN$4*(AN100-AN$3)</f>
        <v/>
      </c>
      <c r="BM100" s="26">
        <f>AO$4*(AO100-AO$3)</f>
        <v/>
      </c>
      <c r="BN100" s="26">
        <f>AP$4*(AP100-AP$3)</f>
        <v/>
      </c>
      <c r="BO100" s="26">
        <f>AQ$4*(AQ100-AQ$3)</f>
        <v/>
      </c>
      <c r="BP100" s="26">
        <f>AR$4*(AR100-AR$3)</f>
        <v/>
      </c>
      <c r="BQ100" s="26">
        <f>AS$4*(AS100-AS$3)</f>
        <v/>
      </c>
      <c r="BR100" s="27">
        <f>SUM(AT100:BQ100)</f>
        <v/>
      </c>
      <c r="BS100" s="27">
        <f>INTERCEPT_SCALED+BR100</f>
        <v/>
      </c>
      <c r="BT100" s="28">
        <f>1/(1+EXP(-BS100))</f>
        <v/>
      </c>
      <c r="BU100" s="13">
        <f>1-(1-BT100)^12</f>
        <v/>
      </c>
      <c r="BV100" s="13">
        <f>IFERROR(AT100/BR100*(BU100-BASELINE_CPR),0)</f>
        <v/>
      </c>
      <c r="BW100" s="13">
        <f>IFERROR(AU100/BR100*(BU100-BASELINE_CPR),0)</f>
        <v/>
      </c>
      <c r="BX100" s="13">
        <f>IFERROR(AV100/BR100*(BU100-BASELINE_CPR),0)</f>
        <v/>
      </c>
      <c r="BY100" s="13">
        <f>IFERROR(AW100/BR100*(BU100-BASELINE_CPR),0)</f>
        <v/>
      </c>
      <c r="BZ100" s="13">
        <f>IFERROR(AX100/BR100*(BU100-BASELINE_CPR),0)</f>
        <v/>
      </c>
      <c r="CA100" s="13">
        <f>IFERROR(AY100/BR100*(BU100-BASELINE_CPR),0)</f>
        <v/>
      </c>
      <c r="CB100" s="13">
        <f>IFERROR(AZ100/BR100*(BU100-BASELINE_CPR),0)</f>
        <v/>
      </c>
      <c r="CC100" s="13">
        <f>IFERROR(BA100/BR100*(BU100-BASELINE_CPR),0)</f>
        <v/>
      </c>
      <c r="CD100" s="13">
        <f>IFERROR(BB100/BR100*(BU100-BASELINE_CPR),0)</f>
        <v/>
      </c>
      <c r="CE100" s="13">
        <f>IFERROR(BC100/BR100*(BU100-BASELINE_CPR),0)</f>
        <v/>
      </c>
      <c r="CF100" s="13">
        <f>IFERROR(BD100/BR100*(BU100-BASELINE_CPR),0)</f>
        <v/>
      </c>
      <c r="CG100" s="13">
        <f>IFERROR(BE100/BR100*(BU100-BASELINE_CPR),0)</f>
        <v/>
      </c>
      <c r="CH100" s="13">
        <f>IFERROR(BF100/BR100*(BU100-BASELINE_CPR),0)</f>
        <v/>
      </c>
      <c r="CI100" s="13">
        <f>IFERROR(BG100/BR100*(BU100-BASELINE_CPR),0)</f>
        <v/>
      </c>
      <c r="CJ100" s="13">
        <f>IFERROR(BH100/BR100*(BU100-BASELINE_CPR),0)</f>
        <v/>
      </c>
      <c r="CK100" s="13">
        <f>IFERROR(BI100/BR100*(BU100-BASELINE_CPR),0)</f>
        <v/>
      </c>
      <c r="CL100" s="13">
        <f>IFERROR(BJ100/BR100*(BU100-BASELINE_CPR),0)</f>
        <v/>
      </c>
      <c r="CM100" s="13">
        <f>IFERROR(BK100/BR100*(BU100-BASELINE_CPR),0)</f>
        <v/>
      </c>
      <c r="CN100" s="13">
        <f>IFERROR(BL100/BR100*(BU100-BASELINE_CPR),0)</f>
        <v/>
      </c>
      <c r="CO100" s="13">
        <f>IFERROR(BM100/BR100*(BU100-BASELINE_CPR),0)</f>
        <v/>
      </c>
      <c r="CP100" s="13">
        <f>IFERROR(BN100/BR100*(BU100-BASELINE_CPR),0)</f>
        <v/>
      </c>
      <c r="CQ100" s="13">
        <f>IFERROR(BO100/BR100*(BU100-BASELINE_CPR),0)</f>
        <v/>
      </c>
      <c r="CR100" s="13">
        <f>IFERROR(BP100/BR100*(BU100-BASELINE_CPR),0)</f>
        <v/>
      </c>
      <c r="CS100" s="13">
        <f>IFERROR(BQ100/BR100*(BU100-BASELINE_CPR),0)</f>
        <v/>
      </c>
      <c r="CT100" s="29">
        <f>BASELINE_CPR+SUM(BV100:CS100)-BU100</f>
        <v/>
      </c>
    </row>
    <row r="101">
      <c r="A101" s="2" t="inlineStr">
        <is>
          <t>3617USKM4_000000003122133</t>
        </is>
      </c>
      <c r="B101" t="inlineStr">
        <is>
          <t>GREYSTONE_POST21</t>
        </is>
      </c>
      <c r="C101" s="2" t="inlineStr">
        <is>
          <t>3617USKM4</t>
        </is>
      </c>
      <c r="D101" t="inlineStr">
        <is>
          <t>GREYSTONE FUNDING COMPANY LLC</t>
        </is>
      </c>
      <c r="E101" t="inlineStr">
        <is>
          <t>232</t>
        </is>
      </c>
      <c r="F101" t="inlineStr">
        <is>
          <t>RP</t>
        </is>
      </c>
      <c r="G101" t="n">
        <v>2021</v>
      </c>
      <c r="H101" t="inlineStr">
        <is>
          <t>202602</t>
        </is>
      </c>
      <c r="I101" s="22" t="n">
        <v>33132361.37</v>
      </c>
      <c r="J101" s="23" t="n">
        <v>2.29</v>
      </c>
      <c r="K101" s="24" t="n">
        <v>447</v>
      </c>
      <c r="L101" s="24" t="n">
        <v>6</v>
      </c>
      <c r="M101" t="n">
        <v>60</v>
      </c>
      <c r="N101" t="n">
        <v>0</v>
      </c>
      <c r="O101" t="n">
        <v>205103</v>
      </c>
      <c r="P101" t="inlineStr"/>
      <c r="Q101" t="inlineStr">
        <is>
          <t>4168</t>
        </is>
      </c>
      <c r="R101" t="n">
        <v>1</v>
      </c>
      <c r="S101" t="n">
        <v>0</v>
      </c>
      <c r="T101" t="n">
        <v>0</v>
      </c>
      <c r="U101" t="n">
        <v>0</v>
      </c>
      <c r="V101" s="24">
        <f>J101*100-K101</f>
        <v/>
      </c>
      <c r="W101" s="24">
        <f>L101</f>
        <v/>
      </c>
      <c r="X101" s="25">
        <f>MIN(M101,36)</f>
        <v/>
      </c>
      <c r="Y101" s="25">
        <f>MIN(MAX(M101-36,0),84)</f>
        <v/>
      </c>
      <c r="Z101" s="25">
        <f>MAX(M101-120,0)</f>
        <v/>
      </c>
      <c r="AA101" s="25">
        <f>IF(OR(O101="",NOT(ISNUMBER(O101))),360,MAX(0,MIN(480,(INT(O101/100)-INT(VALUE(H101)/100))*12+MOD(O101,100)-MOD(VALUE(H101),100))))</f>
        <v/>
      </c>
      <c r="AB101">
        <f>IF(AND(AA101&gt;0,AA101&lt;=24),1,0)</f>
        <v/>
      </c>
      <c r="AC101" s="25">
        <f>IF(OR(P101="",NOT(ISNUMBER(P101))),0,MAX(0,MIN(24,(INT(VALUE(H101)/100)-INT(P101/100))*12+MOD(VALUE(H101),100)-MOD(P101,100))))</f>
        <v/>
      </c>
      <c r="AD101" s="23">
        <f>LN(1+I101)</f>
        <v/>
      </c>
      <c r="AE101">
        <f>IF(I101&lt;2000000,1,0)</f>
        <v/>
      </c>
      <c r="AF101">
        <f>IF(I101&gt;50000000,1,0)</f>
        <v/>
      </c>
      <c r="AG101" s="23">
        <f>IF(ISNUMBER(M101),N101/MAX(M101,1),0)</f>
        <v/>
      </c>
      <c r="AH101">
        <f>IF(G101&gt;=2021,1,0)</f>
        <v/>
      </c>
      <c r="AI101">
        <f>S101</f>
        <v/>
      </c>
      <c r="AJ101">
        <f>T101</f>
        <v/>
      </c>
      <c r="AK101">
        <f>R101</f>
        <v/>
      </c>
      <c r="AL101">
        <f>U101</f>
        <v/>
      </c>
      <c r="AM101">
        <f>IF(ISNUMBER(SEARCH("CAPITAL FUNDING",D101)),1,0)</f>
        <v/>
      </c>
      <c r="AN101">
        <f>IF(ISNUMBER(SEARCH("PNC",D101)),1,0)</f>
        <v/>
      </c>
      <c r="AO101">
        <f>IF(ISNUMBER(SEARCH("WELLS FARGO",D101)),1,0)</f>
        <v/>
      </c>
      <c r="AP101">
        <f>IF(ISNUMBER(SEARCH("DWIGHT",D101)),1,0)</f>
        <v/>
      </c>
      <c r="AQ101">
        <f>IF(ISNUMBER(SEARCH("GREYSTONE",D101)),1,0)</f>
        <v/>
      </c>
      <c r="AR101">
        <f>IF(OR(Q101="3896",Q101="3557"),1,0)</f>
        <v/>
      </c>
      <c r="AS101" s="24">
        <f>V101*W101</f>
        <v/>
      </c>
      <c r="AT101" s="26">
        <f>V$4*(V101-V$3)</f>
        <v/>
      </c>
      <c r="AU101" s="26">
        <f>W$4*(W101-W$3)</f>
        <v/>
      </c>
      <c r="AV101" s="26">
        <f>X$4*(X101-X$3)</f>
        <v/>
      </c>
      <c r="AW101" s="26">
        <f>Y$4*(Y101-Y$3)</f>
        <v/>
      </c>
      <c r="AX101" s="26">
        <f>Z$4*(Z101-Z$3)</f>
        <v/>
      </c>
      <c r="AY101" s="26">
        <f>AA$4*(AA101-AA$3)</f>
        <v/>
      </c>
      <c r="AZ101" s="26">
        <f>AB$4*(AB101-AB$3)</f>
        <v/>
      </c>
      <c r="BA101" s="26">
        <f>AC$4*(AC101-AC$3)</f>
        <v/>
      </c>
      <c r="BB101" s="26">
        <f>AD$4*(AD101-AD$3)</f>
        <v/>
      </c>
      <c r="BC101" s="26">
        <f>AE$4*(AE101-AE$3)</f>
        <v/>
      </c>
      <c r="BD101" s="26">
        <f>AF$4*(AF101-AF$3)</f>
        <v/>
      </c>
      <c r="BE101" s="26">
        <f>AG$4*(AG101-AG$3)</f>
        <v/>
      </c>
      <c r="BF101" s="26">
        <f>AH$4*(AH101-AH$3)</f>
        <v/>
      </c>
      <c r="BG101" s="26">
        <f>AI$4*(AI101-AI$3)</f>
        <v/>
      </c>
      <c r="BH101" s="26">
        <f>AJ$4*(AJ101-AJ$3)</f>
        <v/>
      </c>
      <c r="BI101" s="26">
        <f>AK$4*(AK101-AK$3)</f>
        <v/>
      </c>
      <c r="BJ101" s="26">
        <f>AL$4*(AL101-AL$3)</f>
        <v/>
      </c>
      <c r="BK101" s="26">
        <f>AM$4*(AM101-AM$3)</f>
        <v/>
      </c>
      <c r="BL101" s="26">
        <f>AN$4*(AN101-AN$3)</f>
        <v/>
      </c>
      <c r="BM101" s="26">
        <f>AO$4*(AO101-AO$3)</f>
        <v/>
      </c>
      <c r="BN101" s="26">
        <f>AP$4*(AP101-AP$3)</f>
        <v/>
      </c>
      <c r="BO101" s="26">
        <f>AQ$4*(AQ101-AQ$3)</f>
        <v/>
      </c>
      <c r="BP101" s="26">
        <f>AR$4*(AR101-AR$3)</f>
        <v/>
      </c>
      <c r="BQ101" s="26">
        <f>AS$4*(AS101-AS$3)</f>
        <v/>
      </c>
      <c r="BR101" s="27">
        <f>SUM(AT101:BQ101)</f>
        <v/>
      </c>
      <c r="BS101" s="27">
        <f>INTERCEPT_SCALED+BR101</f>
        <v/>
      </c>
      <c r="BT101" s="28">
        <f>1/(1+EXP(-BS101))</f>
        <v/>
      </c>
      <c r="BU101" s="13">
        <f>1-(1-BT101)^12</f>
        <v/>
      </c>
      <c r="BV101" s="13">
        <f>IFERROR(AT101/BR101*(BU101-BASELINE_CPR),0)</f>
        <v/>
      </c>
      <c r="BW101" s="13">
        <f>IFERROR(AU101/BR101*(BU101-BASELINE_CPR),0)</f>
        <v/>
      </c>
      <c r="BX101" s="13">
        <f>IFERROR(AV101/BR101*(BU101-BASELINE_CPR),0)</f>
        <v/>
      </c>
      <c r="BY101" s="13">
        <f>IFERROR(AW101/BR101*(BU101-BASELINE_CPR),0)</f>
        <v/>
      </c>
      <c r="BZ101" s="13">
        <f>IFERROR(AX101/BR101*(BU101-BASELINE_CPR),0)</f>
        <v/>
      </c>
      <c r="CA101" s="13">
        <f>IFERROR(AY101/BR101*(BU101-BASELINE_CPR),0)</f>
        <v/>
      </c>
      <c r="CB101" s="13">
        <f>IFERROR(AZ101/BR101*(BU101-BASELINE_CPR),0)</f>
        <v/>
      </c>
      <c r="CC101" s="13">
        <f>IFERROR(BA101/BR101*(BU101-BASELINE_CPR),0)</f>
        <v/>
      </c>
      <c r="CD101" s="13">
        <f>IFERROR(BB101/BR101*(BU101-BASELINE_CPR),0)</f>
        <v/>
      </c>
      <c r="CE101" s="13">
        <f>IFERROR(BC101/BR101*(BU101-BASELINE_CPR),0)</f>
        <v/>
      </c>
      <c r="CF101" s="13">
        <f>IFERROR(BD101/BR101*(BU101-BASELINE_CPR),0)</f>
        <v/>
      </c>
      <c r="CG101" s="13">
        <f>IFERROR(BE101/BR101*(BU101-BASELINE_CPR),0)</f>
        <v/>
      </c>
      <c r="CH101" s="13">
        <f>IFERROR(BF101/BR101*(BU101-BASELINE_CPR),0)</f>
        <v/>
      </c>
      <c r="CI101" s="13">
        <f>IFERROR(BG101/BR101*(BU101-BASELINE_CPR),0)</f>
        <v/>
      </c>
      <c r="CJ101" s="13">
        <f>IFERROR(BH101/BR101*(BU101-BASELINE_CPR),0)</f>
        <v/>
      </c>
      <c r="CK101" s="13">
        <f>IFERROR(BI101/BR101*(BU101-BASELINE_CPR),0)</f>
        <v/>
      </c>
      <c r="CL101" s="13">
        <f>IFERROR(BJ101/BR101*(BU101-BASELINE_CPR),0)</f>
        <v/>
      </c>
      <c r="CM101" s="13">
        <f>IFERROR(BK101/BR101*(BU101-BASELINE_CPR),0)</f>
        <v/>
      </c>
      <c r="CN101" s="13">
        <f>IFERROR(BL101/BR101*(BU101-BASELINE_CPR),0)</f>
        <v/>
      </c>
      <c r="CO101" s="13">
        <f>IFERROR(BM101/BR101*(BU101-BASELINE_CPR),0)</f>
        <v/>
      </c>
      <c r="CP101" s="13">
        <f>IFERROR(BN101/BR101*(BU101-BASELINE_CPR),0)</f>
        <v/>
      </c>
      <c r="CQ101" s="13">
        <f>IFERROR(BO101/BR101*(BU101-BASELINE_CPR),0)</f>
        <v/>
      </c>
      <c r="CR101" s="13">
        <f>IFERROR(BP101/BR101*(BU101-BASELINE_CPR),0)</f>
        <v/>
      </c>
      <c r="CS101" s="13">
        <f>IFERROR(BQ101/BR101*(BU101-BASELINE_CPR),0)</f>
        <v/>
      </c>
      <c r="CT101" s="29">
        <f>BASELINE_CPR+SUM(BV101:CS101)-BU101</f>
        <v/>
      </c>
    </row>
    <row r="102">
      <c r="A102" s="2" t="inlineStr">
        <is>
          <t>3617B9FP6_046046048226800</t>
        </is>
      </c>
      <c r="B102" t="inlineStr">
        <is>
          <t>GREYSTONE_PRE21</t>
        </is>
      </c>
      <c r="C102" s="2" t="inlineStr">
        <is>
          <t>3617B9FP6</t>
        </is>
      </c>
      <c r="D102" t="inlineStr">
        <is>
          <t>GREYSTONE SERVICING COMPANY LLC</t>
        </is>
      </c>
      <c r="E102" t="inlineStr">
        <is>
          <t>538</t>
        </is>
      </c>
      <c r="F102" t="inlineStr">
        <is>
          <t>538</t>
        </is>
      </c>
      <c r="G102" t="n">
        <v>2017</v>
      </c>
      <c r="H102" t="inlineStr">
        <is>
          <t>202602</t>
        </is>
      </c>
      <c r="I102" s="22" t="n">
        <v>1023320.89</v>
      </c>
      <c r="J102" s="23" t="n">
        <v>3.95</v>
      </c>
      <c r="K102" s="24" t="n">
        <v>447</v>
      </c>
      <c r="L102" s="24" t="n">
        <v>3</v>
      </c>
      <c r="M102" t="n">
        <v>103</v>
      </c>
      <c r="N102" t="n">
        <v>29</v>
      </c>
      <c r="O102" t="n">
        <v>205901</v>
      </c>
      <c r="P102" t="inlineStr"/>
      <c r="Q102" t="inlineStr">
        <is>
          <t>3500</t>
        </is>
      </c>
      <c r="R102" t="n">
        <v>0</v>
      </c>
      <c r="S102" t="n">
        <v>0</v>
      </c>
      <c r="T102" t="n">
        <v>1</v>
      </c>
      <c r="U102" t="n">
        <v>0</v>
      </c>
      <c r="V102" s="24">
        <f>J102*100-K102</f>
        <v/>
      </c>
      <c r="W102" s="24">
        <f>L102</f>
        <v/>
      </c>
      <c r="X102" s="25">
        <f>MIN(M102,36)</f>
        <v/>
      </c>
      <c r="Y102" s="25">
        <f>MIN(MAX(M102-36,0),84)</f>
        <v/>
      </c>
      <c r="Z102" s="25">
        <f>MAX(M102-120,0)</f>
        <v/>
      </c>
      <c r="AA102" s="25">
        <f>IF(OR(O102="",NOT(ISNUMBER(O102))),360,MAX(0,MIN(480,(INT(O102/100)-INT(VALUE(H102)/100))*12+MOD(O102,100)-MOD(VALUE(H102),100))))</f>
        <v/>
      </c>
      <c r="AB102">
        <f>IF(AND(AA102&gt;0,AA102&lt;=24),1,0)</f>
        <v/>
      </c>
      <c r="AC102" s="25">
        <f>IF(OR(P102="",NOT(ISNUMBER(P102))),0,MAX(0,MIN(24,(INT(VALUE(H102)/100)-INT(P102/100))*12+MOD(VALUE(H102),100)-MOD(P102,100))))</f>
        <v/>
      </c>
      <c r="AD102" s="23">
        <f>LN(1+I102)</f>
        <v/>
      </c>
      <c r="AE102">
        <f>IF(I102&lt;2000000,1,0)</f>
        <v/>
      </c>
      <c r="AF102">
        <f>IF(I102&gt;50000000,1,0)</f>
        <v/>
      </c>
      <c r="AG102" s="23">
        <f>IF(ISNUMBER(M102),N102/MAX(M102,1),0)</f>
        <v/>
      </c>
      <c r="AH102">
        <f>IF(G102&gt;=2021,1,0)</f>
        <v/>
      </c>
      <c r="AI102">
        <f>S102</f>
        <v/>
      </c>
      <c r="AJ102">
        <f>T102</f>
        <v/>
      </c>
      <c r="AK102">
        <f>R102</f>
        <v/>
      </c>
      <c r="AL102">
        <f>U102</f>
        <v/>
      </c>
      <c r="AM102">
        <f>IF(ISNUMBER(SEARCH("CAPITAL FUNDING",D102)),1,0)</f>
        <v/>
      </c>
      <c r="AN102">
        <f>IF(ISNUMBER(SEARCH("PNC",D102)),1,0)</f>
        <v/>
      </c>
      <c r="AO102">
        <f>IF(ISNUMBER(SEARCH("WELLS FARGO",D102)),1,0)</f>
        <v/>
      </c>
      <c r="AP102">
        <f>IF(ISNUMBER(SEARCH("DWIGHT",D102)),1,0)</f>
        <v/>
      </c>
      <c r="AQ102">
        <f>IF(ISNUMBER(SEARCH("GREYSTONE",D102)),1,0)</f>
        <v/>
      </c>
      <c r="AR102">
        <f>IF(OR(Q102="3896",Q102="3557"),1,0)</f>
        <v/>
      </c>
      <c r="AS102" s="24">
        <f>V102*W102</f>
        <v/>
      </c>
      <c r="AT102" s="26">
        <f>V$4*(V102-V$3)</f>
        <v/>
      </c>
      <c r="AU102" s="26">
        <f>W$4*(W102-W$3)</f>
        <v/>
      </c>
      <c r="AV102" s="26">
        <f>X$4*(X102-X$3)</f>
        <v/>
      </c>
      <c r="AW102" s="26">
        <f>Y$4*(Y102-Y$3)</f>
        <v/>
      </c>
      <c r="AX102" s="26">
        <f>Z$4*(Z102-Z$3)</f>
        <v/>
      </c>
      <c r="AY102" s="26">
        <f>AA$4*(AA102-AA$3)</f>
        <v/>
      </c>
      <c r="AZ102" s="26">
        <f>AB$4*(AB102-AB$3)</f>
        <v/>
      </c>
      <c r="BA102" s="26">
        <f>AC$4*(AC102-AC$3)</f>
        <v/>
      </c>
      <c r="BB102" s="26">
        <f>AD$4*(AD102-AD$3)</f>
        <v/>
      </c>
      <c r="BC102" s="26">
        <f>AE$4*(AE102-AE$3)</f>
        <v/>
      </c>
      <c r="BD102" s="26">
        <f>AF$4*(AF102-AF$3)</f>
        <v/>
      </c>
      <c r="BE102" s="26">
        <f>AG$4*(AG102-AG$3)</f>
        <v/>
      </c>
      <c r="BF102" s="26">
        <f>AH$4*(AH102-AH$3)</f>
        <v/>
      </c>
      <c r="BG102" s="26">
        <f>AI$4*(AI102-AI$3)</f>
        <v/>
      </c>
      <c r="BH102" s="26">
        <f>AJ$4*(AJ102-AJ$3)</f>
        <v/>
      </c>
      <c r="BI102" s="26">
        <f>AK$4*(AK102-AK$3)</f>
        <v/>
      </c>
      <c r="BJ102" s="26">
        <f>AL$4*(AL102-AL$3)</f>
        <v/>
      </c>
      <c r="BK102" s="26">
        <f>AM$4*(AM102-AM$3)</f>
        <v/>
      </c>
      <c r="BL102" s="26">
        <f>AN$4*(AN102-AN$3)</f>
        <v/>
      </c>
      <c r="BM102" s="26">
        <f>AO$4*(AO102-AO$3)</f>
        <v/>
      </c>
      <c r="BN102" s="26">
        <f>AP$4*(AP102-AP$3)</f>
        <v/>
      </c>
      <c r="BO102" s="26">
        <f>AQ$4*(AQ102-AQ$3)</f>
        <v/>
      </c>
      <c r="BP102" s="26">
        <f>AR$4*(AR102-AR$3)</f>
        <v/>
      </c>
      <c r="BQ102" s="26">
        <f>AS$4*(AS102-AS$3)</f>
        <v/>
      </c>
      <c r="BR102" s="27">
        <f>SUM(AT102:BQ102)</f>
        <v/>
      </c>
      <c r="BS102" s="27">
        <f>INTERCEPT_SCALED+BR102</f>
        <v/>
      </c>
      <c r="BT102" s="28">
        <f>1/(1+EXP(-BS102))</f>
        <v/>
      </c>
      <c r="BU102" s="13">
        <f>1-(1-BT102)^12</f>
        <v/>
      </c>
      <c r="BV102" s="13">
        <f>IFERROR(AT102/BR102*(BU102-BASELINE_CPR),0)</f>
        <v/>
      </c>
      <c r="BW102" s="13">
        <f>IFERROR(AU102/BR102*(BU102-BASELINE_CPR),0)</f>
        <v/>
      </c>
      <c r="BX102" s="13">
        <f>IFERROR(AV102/BR102*(BU102-BASELINE_CPR),0)</f>
        <v/>
      </c>
      <c r="BY102" s="13">
        <f>IFERROR(AW102/BR102*(BU102-BASELINE_CPR),0)</f>
        <v/>
      </c>
      <c r="BZ102" s="13">
        <f>IFERROR(AX102/BR102*(BU102-BASELINE_CPR),0)</f>
        <v/>
      </c>
      <c r="CA102" s="13">
        <f>IFERROR(AY102/BR102*(BU102-BASELINE_CPR),0)</f>
        <v/>
      </c>
      <c r="CB102" s="13">
        <f>IFERROR(AZ102/BR102*(BU102-BASELINE_CPR),0)</f>
        <v/>
      </c>
      <c r="CC102" s="13">
        <f>IFERROR(BA102/BR102*(BU102-BASELINE_CPR),0)</f>
        <v/>
      </c>
      <c r="CD102" s="13">
        <f>IFERROR(BB102/BR102*(BU102-BASELINE_CPR),0)</f>
        <v/>
      </c>
      <c r="CE102" s="13">
        <f>IFERROR(BC102/BR102*(BU102-BASELINE_CPR),0)</f>
        <v/>
      </c>
      <c r="CF102" s="13">
        <f>IFERROR(BD102/BR102*(BU102-BASELINE_CPR),0)</f>
        <v/>
      </c>
      <c r="CG102" s="13">
        <f>IFERROR(BE102/BR102*(BU102-BASELINE_CPR),0)</f>
        <v/>
      </c>
      <c r="CH102" s="13">
        <f>IFERROR(BF102/BR102*(BU102-BASELINE_CPR),0)</f>
        <v/>
      </c>
      <c r="CI102" s="13">
        <f>IFERROR(BG102/BR102*(BU102-BASELINE_CPR),0)</f>
        <v/>
      </c>
      <c r="CJ102" s="13">
        <f>IFERROR(BH102/BR102*(BU102-BASELINE_CPR),0)</f>
        <v/>
      </c>
      <c r="CK102" s="13">
        <f>IFERROR(BI102/BR102*(BU102-BASELINE_CPR),0)</f>
        <v/>
      </c>
      <c r="CL102" s="13">
        <f>IFERROR(BJ102/BR102*(BU102-BASELINE_CPR),0)</f>
        <v/>
      </c>
      <c r="CM102" s="13">
        <f>IFERROR(BK102/BR102*(BU102-BASELINE_CPR),0)</f>
        <v/>
      </c>
      <c r="CN102" s="13">
        <f>IFERROR(BL102/BR102*(BU102-BASELINE_CPR),0)</f>
        <v/>
      </c>
      <c r="CO102" s="13">
        <f>IFERROR(BM102/BR102*(BU102-BASELINE_CPR),0)</f>
        <v/>
      </c>
      <c r="CP102" s="13">
        <f>IFERROR(BN102/BR102*(BU102-BASELINE_CPR),0)</f>
        <v/>
      </c>
      <c r="CQ102" s="13">
        <f>IFERROR(BO102/BR102*(BU102-BASELINE_CPR),0)</f>
        <v/>
      </c>
      <c r="CR102" s="13">
        <f>IFERROR(BP102/BR102*(BU102-BASELINE_CPR),0)</f>
        <v/>
      </c>
      <c r="CS102" s="13">
        <f>IFERROR(BQ102/BR102*(BU102-BASELINE_CPR),0)</f>
        <v/>
      </c>
      <c r="CT102" s="29">
        <f>BASELINE_CPR+SUM(BV102:CS102)-BU102</f>
        <v/>
      </c>
    </row>
    <row r="103">
      <c r="A103" s="2" t="inlineStr">
        <is>
          <t>36195YXV1_000000010111250</t>
        </is>
      </c>
      <c r="B103" t="inlineStr">
        <is>
          <t>GREYSTONE_PRE21</t>
        </is>
      </c>
      <c r="C103" s="2" t="inlineStr">
        <is>
          <t>36195YXV1</t>
        </is>
      </c>
      <c r="D103" t="inlineStr">
        <is>
          <t>GREYSTONE FUNDING COMPANY LLC</t>
        </is>
      </c>
      <c r="E103" t="inlineStr">
        <is>
          <t>223a7</t>
        </is>
      </c>
      <c r="F103" t="inlineStr">
        <is>
          <t>RP</t>
        </is>
      </c>
      <c r="G103" t="n">
        <v>2016</v>
      </c>
      <c r="H103" t="inlineStr">
        <is>
          <t>202602</t>
        </is>
      </c>
      <c r="I103" s="22" t="n">
        <v>9943905.23</v>
      </c>
      <c r="J103" s="23" t="n">
        <v>3.39</v>
      </c>
      <c r="K103" s="24" t="n">
        <v>447</v>
      </c>
      <c r="L103" s="24" t="n">
        <v>1</v>
      </c>
      <c r="M103" t="n">
        <v>111</v>
      </c>
      <c r="N103" t="n">
        <v>26</v>
      </c>
      <c r="O103" t="n">
        <v>205112</v>
      </c>
      <c r="P103" t="inlineStr"/>
      <c r="Q103" t="inlineStr">
        <is>
          <t>4168</t>
        </is>
      </c>
      <c r="R103" t="n">
        <v>0</v>
      </c>
      <c r="S103" t="n">
        <v>1</v>
      </c>
      <c r="T103" t="n">
        <v>0</v>
      </c>
      <c r="U103" t="n">
        <v>0</v>
      </c>
      <c r="V103" s="24">
        <f>J103*100-K103</f>
        <v/>
      </c>
      <c r="W103" s="24">
        <f>L103</f>
        <v/>
      </c>
      <c r="X103" s="25">
        <f>MIN(M103,36)</f>
        <v/>
      </c>
      <c r="Y103" s="25">
        <f>MIN(MAX(M103-36,0),84)</f>
        <v/>
      </c>
      <c r="Z103" s="25">
        <f>MAX(M103-120,0)</f>
        <v/>
      </c>
      <c r="AA103" s="25">
        <f>IF(OR(O103="",NOT(ISNUMBER(O103))),360,MAX(0,MIN(480,(INT(O103/100)-INT(VALUE(H103)/100))*12+MOD(O103,100)-MOD(VALUE(H103),100))))</f>
        <v/>
      </c>
      <c r="AB103">
        <f>IF(AND(AA103&gt;0,AA103&lt;=24),1,0)</f>
        <v/>
      </c>
      <c r="AC103" s="25">
        <f>IF(OR(P103="",NOT(ISNUMBER(P103))),0,MAX(0,MIN(24,(INT(VALUE(H103)/100)-INT(P103/100))*12+MOD(VALUE(H103),100)-MOD(P103,100))))</f>
        <v/>
      </c>
      <c r="AD103" s="23">
        <f>LN(1+I103)</f>
        <v/>
      </c>
      <c r="AE103">
        <f>IF(I103&lt;2000000,1,0)</f>
        <v/>
      </c>
      <c r="AF103">
        <f>IF(I103&gt;50000000,1,0)</f>
        <v/>
      </c>
      <c r="AG103" s="23">
        <f>IF(ISNUMBER(M103),N103/MAX(M103,1),0)</f>
        <v/>
      </c>
      <c r="AH103">
        <f>IF(G103&gt;=2021,1,0)</f>
        <v/>
      </c>
      <c r="AI103">
        <f>S103</f>
        <v/>
      </c>
      <c r="AJ103">
        <f>T103</f>
        <v/>
      </c>
      <c r="AK103">
        <f>R103</f>
        <v/>
      </c>
      <c r="AL103">
        <f>U103</f>
        <v/>
      </c>
      <c r="AM103">
        <f>IF(ISNUMBER(SEARCH("CAPITAL FUNDING",D103)),1,0)</f>
        <v/>
      </c>
      <c r="AN103">
        <f>IF(ISNUMBER(SEARCH("PNC",D103)),1,0)</f>
        <v/>
      </c>
      <c r="AO103">
        <f>IF(ISNUMBER(SEARCH("WELLS FARGO",D103)),1,0)</f>
        <v/>
      </c>
      <c r="AP103">
        <f>IF(ISNUMBER(SEARCH("DWIGHT",D103)),1,0)</f>
        <v/>
      </c>
      <c r="AQ103">
        <f>IF(ISNUMBER(SEARCH("GREYSTONE",D103)),1,0)</f>
        <v/>
      </c>
      <c r="AR103">
        <f>IF(OR(Q103="3896",Q103="3557"),1,0)</f>
        <v/>
      </c>
      <c r="AS103" s="24">
        <f>V103*W103</f>
        <v/>
      </c>
      <c r="AT103" s="26">
        <f>V$4*(V103-V$3)</f>
        <v/>
      </c>
      <c r="AU103" s="26">
        <f>W$4*(W103-W$3)</f>
        <v/>
      </c>
      <c r="AV103" s="26">
        <f>X$4*(X103-X$3)</f>
        <v/>
      </c>
      <c r="AW103" s="26">
        <f>Y$4*(Y103-Y$3)</f>
        <v/>
      </c>
      <c r="AX103" s="26">
        <f>Z$4*(Z103-Z$3)</f>
        <v/>
      </c>
      <c r="AY103" s="26">
        <f>AA$4*(AA103-AA$3)</f>
        <v/>
      </c>
      <c r="AZ103" s="26">
        <f>AB$4*(AB103-AB$3)</f>
        <v/>
      </c>
      <c r="BA103" s="26">
        <f>AC$4*(AC103-AC$3)</f>
        <v/>
      </c>
      <c r="BB103" s="26">
        <f>AD$4*(AD103-AD$3)</f>
        <v/>
      </c>
      <c r="BC103" s="26">
        <f>AE$4*(AE103-AE$3)</f>
        <v/>
      </c>
      <c r="BD103" s="26">
        <f>AF$4*(AF103-AF$3)</f>
        <v/>
      </c>
      <c r="BE103" s="26">
        <f>AG$4*(AG103-AG$3)</f>
        <v/>
      </c>
      <c r="BF103" s="26">
        <f>AH$4*(AH103-AH$3)</f>
        <v/>
      </c>
      <c r="BG103" s="26">
        <f>AI$4*(AI103-AI$3)</f>
        <v/>
      </c>
      <c r="BH103" s="26">
        <f>AJ$4*(AJ103-AJ$3)</f>
        <v/>
      </c>
      <c r="BI103" s="26">
        <f>AK$4*(AK103-AK$3)</f>
        <v/>
      </c>
      <c r="BJ103" s="26">
        <f>AL$4*(AL103-AL$3)</f>
        <v/>
      </c>
      <c r="BK103" s="26">
        <f>AM$4*(AM103-AM$3)</f>
        <v/>
      </c>
      <c r="BL103" s="26">
        <f>AN$4*(AN103-AN$3)</f>
        <v/>
      </c>
      <c r="BM103" s="26">
        <f>AO$4*(AO103-AO$3)</f>
        <v/>
      </c>
      <c r="BN103" s="26">
        <f>AP$4*(AP103-AP$3)</f>
        <v/>
      </c>
      <c r="BO103" s="26">
        <f>AQ$4*(AQ103-AQ$3)</f>
        <v/>
      </c>
      <c r="BP103" s="26">
        <f>AR$4*(AR103-AR$3)</f>
        <v/>
      </c>
      <c r="BQ103" s="26">
        <f>AS$4*(AS103-AS$3)</f>
        <v/>
      </c>
      <c r="BR103" s="27">
        <f>SUM(AT103:BQ103)</f>
        <v/>
      </c>
      <c r="BS103" s="27">
        <f>INTERCEPT_SCALED+BR103</f>
        <v/>
      </c>
      <c r="BT103" s="28">
        <f>1/(1+EXP(-BS103))</f>
        <v/>
      </c>
      <c r="BU103" s="13">
        <f>1-(1-BT103)^12</f>
        <v/>
      </c>
      <c r="BV103" s="13">
        <f>IFERROR(AT103/BR103*(BU103-BASELINE_CPR),0)</f>
        <v/>
      </c>
      <c r="BW103" s="13">
        <f>IFERROR(AU103/BR103*(BU103-BASELINE_CPR),0)</f>
        <v/>
      </c>
      <c r="BX103" s="13">
        <f>IFERROR(AV103/BR103*(BU103-BASELINE_CPR),0)</f>
        <v/>
      </c>
      <c r="BY103" s="13">
        <f>IFERROR(AW103/BR103*(BU103-BASELINE_CPR),0)</f>
        <v/>
      </c>
      <c r="BZ103" s="13">
        <f>IFERROR(AX103/BR103*(BU103-BASELINE_CPR),0)</f>
        <v/>
      </c>
      <c r="CA103" s="13">
        <f>IFERROR(AY103/BR103*(BU103-BASELINE_CPR),0)</f>
        <v/>
      </c>
      <c r="CB103" s="13">
        <f>IFERROR(AZ103/BR103*(BU103-BASELINE_CPR),0)</f>
        <v/>
      </c>
      <c r="CC103" s="13">
        <f>IFERROR(BA103/BR103*(BU103-BASELINE_CPR),0)</f>
        <v/>
      </c>
      <c r="CD103" s="13">
        <f>IFERROR(BB103/BR103*(BU103-BASELINE_CPR),0)</f>
        <v/>
      </c>
      <c r="CE103" s="13">
        <f>IFERROR(BC103/BR103*(BU103-BASELINE_CPR),0)</f>
        <v/>
      </c>
      <c r="CF103" s="13">
        <f>IFERROR(BD103/BR103*(BU103-BASELINE_CPR),0)</f>
        <v/>
      </c>
      <c r="CG103" s="13">
        <f>IFERROR(BE103/BR103*(BU103-BASELINE_CPR),0)</f>
        <v/>
      </c>
      <c r="CH103" s="13">
        <f>IFERROR(BF103/BR103*(BU103-BASELINE_CPR),0)</f>
        <v/>
      </c>
      <c r="CI103" s="13">
        <f>IFERROR(BG103/BR103*(BU103-BASELINE_CPR),0)</f>
        <v/>
      </c>
      <c r="CJ103" s="13">
        <f>IFERROR(BH103/BR103*(BU103-BASELINE_CPR),0)</f>
        <v/>
      </c>
      <c r="CK103" s="13">
        <f>IFERROR(BI103/BR103*(BU103-BASELINE_CPR),0)</f>
        <v/>
      </c>
      <c r="CL103" s="13">
        <f>IFERROR(BJ103/BR103*(BU103-BASELINE_CPR),0)</f>
        <v/>
      </c>
      <c r="CM103" s="13">
        <f>IFERROR(BK103/BR103*(BU103-BASELINE_CPR),0)</f>
        <v/>
      </c>
      <c r="CN103" s="13">
        <f>IFERROR(BL103/BR103*(BU103-BASELINE_CPR),0)</f>
        <v/>
      </c>
      <c r="CO103" s="13">
        <f>IFERROR(BM103/BR103*(BU103-BASELINE_CPR),0)</f>
        <v/>
      </c>
      <c r="CP103" s="13">
        <f>IFERROR(BN103/BR103*(BU103-BASELINE_CPR),0)</f>
        <v/>
      </c>
      <c r="CQ103" s="13">
        <f>IFERROR(BO103/BR103*(BU103-BASELINE_CPR),0)</f>
        <v/>
      </c>
      <c r="CR103" s="13">
        <f>IFERROR(BP103/BR103*(BU103-BASELINE_CPR),0)</f>
        <v/>
      </c>
      <c r="CS103" s="13">
        <f>IFERROR(BQ103/BR103*(BU103-BASELINE_CPR),0)</f>
        <v/>
      </c>
      <c r="CT103" s="29">
        <f>BASELINE_CPR+SUM(BV103:CS103)-BU103</f>
        <v/>
      </c>
    </row>
    <row r="104">
      <c r="A104" s="2" t="inlineStr">
        <is>
          <t>3617YUSS4_000000008522106</t>
        </is>
      </c>
      <c r="B104" t="inlineStr">
        <is>
          <t>GREYSTONE_POST21</t>
        </is>
      </c>
      <c r="C104" s="2" t="inlineStr">
        <is>
          <t>3617YUSS4</t>
        </is>
      </c>
      <c r="D104" t="inlineStr">
        <is>
          <t>GREYSTONE FUNDING COMPANY LLC</t>
        </is>
      </c>
      <c r="E104" t="inlineStr">
        <is>
          <t>232</t>
        </is>
      </c>
      <c r="F104" t="inlineStr">
        <is>
          <t>RP</t>
        </is>
      </c>
      <c r="G104" t="n">
        <v>2022</v>
      </c>
      <c r="H104" t="inlineStr">
        <is>
          <t>202602</t>
        </is>
      </c>
      <c r="I104" s="22" t="n">
        <v>11574005.09</v>
      </c>
      <c r="J104" s="23" t="n">
        <v>3.3</v>
      </c>
      <c r="K104" s="24" t="n">
        <v>447</v>
      </c>
      <c r="L104" s="24" t="n">
        <v>7</v>
      </c>
      <c r="M104" t="n">
        <v>45</v>
      </c>
      <c r="N104" t="n">
        <v>0</v>
      </c>
      <c r="O104" t="n">
        <v>205706</v>
      </c>
      <c r="P104" t="inlineStr"/>
      <c r="Q104" t="inlineStr">
        <is>
          <t>4168</t>
        </is>
      </c>
      <c r="R104" t="n">
        <v>1</v>
      </c>
      <c r="S104" t="n">
        <v>0</v>
      </c>
      <c r="T104" t="n">
        <v>0</v>
      </c>
      <c r="U104" t="n">
        <v>0</v>
      </c>
      <c r="V104" s="24">
        <f>J104*100-K104</f>
        <v/>
      </c>
      <c r="W104" s="24">
        <f>L104</f>
        <v/>
      </c>
      <c r="X104" s="25">
        <f>MIN(M104,36)</f>
        <v/>
      </c>
      <c r="Y104" s="25">
        <f>MIN(MAX(M104-36,0),84)</f>
        <v/>
      </c>
      <c r="Z104" s="25">
        <f>MAX(M104-120,0)</f>
        <v/>
      </c>
      <c r="AA104" s="25">
        <f>IF(OR(O104="",NOT(ISNUMBER(O104))),360,MAX(0,MIN(480,(INT(O104/100)-INT(VALUE(H104)/100))*12+MOD(O104,100)-MOD(VALUE(H104),100))))</f>
        <v/>
      </c>
      <c r="AB104">
        <f>IF(AND(AA104&gt;0,AA104&lt;=24),1,0)</f>
        <v/>
      </c>
      <c r="AC104" s="25">
        <f>IF(OR(P104="",NOT(ISNUMBER(P104))),0,MAX(0,MIN(24,(INT(VALUE(H104)/100)-INT(P104/100))*12+MOD(VALUE(H104),100)-MOD(P104,100))))</f>
        <v/>
      </c>
      <c r="AD104" s="23">
        <f>LN(1+I104)</f>
        <v/>
      </c>
      <c r="AE104">
        <f>IF(I104&lt;2000000,1,0)</f>
        <v/>
      </c>
      <c r="AF104">
        <f>IF(I104&gt;50000000,1,0)</f>
        <v/>
      </c>
      <c r="AG104" s="23">
        <f>IF(ISNUMBER(M104),N104/MAX(M104,1),0)</f>
        <v/>
      </c>
      <c r="AH104">
        <f>IF(G104&gt;=2021,1,0)</f>
        <v/>
      </c>
      <c r="AI104">
        <f>S104</f>
        <v/>
      </c>
      <c r="AJ104">
        <f>T104</f>
        <v/>
      </c>
      <c r="AK104">
        <f>R104</f>
        <v/>
      </c>
      <c r="AL104">
        <f>U104</f>
        <v/>
      </c>
      <c r="AM104">
        <f>IF(ISNUMBER(SEARCH("CAPITAL FUNDING",D104)),1,0)</f>
        <v/>
      </c>
      <c r="AN104">
        <f>IF(ISNUMBER(SEARCH("PNC",D104)),1,0)</f>
        <v/>
      </c>
      <c r="AO104">
        <f>IF(ISNUMBER(SEARCH("WELLS FARGO",D104)),1,0)</f>
        <v/>
      </c>
      <c r="AP104">
        <f>IF(ISNUMBER(SEARCH("DWIGHT",D104)),1,0)</f>
        <v/>
      </c>
      <c r="AQ104">
        <f>IF(ISNUMBER(SEARCH("GREYSTONE",D104)),1,0)</f>
        <v/>
      </c>
      <c r="AR104">
        <f>IF(OR(Q104="3896",Q104="3557"),1,0)</f>
        <v/>
      </c>
      <c r="AS104" s="24">
        <f>V104*W104</f>
        <v/>
      </c>
      <c r="AT104" s="26">
        <f>V$4*(V104-V$3)</f>
        <v/>
      </c>
      <c r="AU104" s="26">
        <f>W$4*(W104-W$3)</f>
        <v/>
      </c>
      <c r="AV104" s="26">
        <f>X$4*(X104-X$3)</f>
        <v/>
      </c>
      <c r="AW104" s="26">
        <f>Y$4*(Y104-Y$3)</f>
        <v/>
      </c>
      <c r="AX104" s="26">
        <f>Z$4*(Z104-Z$3)</f>
        <v/>
      </c>
      <c r="AY104" s="26">
        <f>AA$4*(AA104-AA$3)</f>
        <v/>
      </c>
      <c r="AZ104" s="26">
        <f>AB$4*(AB104-AB$3)</f>
        <v/>
      </c>
      <c r="BA104" s="26">
        <f>AC$4*(AC104-AC$3)</f>
        <v/>
      </c>
      <c r="BB104" s="26">
        <f>AD$4*(AD104-AD$3)</f>
        <v/>
      </c>
      <c r="BC104" s="26">
        <f>AE$4*(AE104-AE$3)</f>
        <v/>
      </c>
      <c r="BD104" s="26">
        <f>AF$4*(AF104-AF$3)</f>
        <v/>
      </c>
      <c r="BE104" s="26">
        <f>AG$4*(AG104-AG$3)</f>
        <v/>
      </c>
      <c r="BF104" s="26">
        <f>AH$4*(AH104-AH$3)</f>
        <v/>
      </c>
      <c r="BG104" s="26">
        <f>AI$4*(AI104-AI$3)</f>
        <v/>
      </c>
      <c r="BH104" s="26">
        <f>AJ$4*(AJ104-AJ$3)</f>
        <v/>
      </c>
      <c r="BI104" s="26">
        <f>AK$4*(AK104-AK$3)</f>
        <v/>
      </c>
      <c r="BJ104" s="26">
        <f>AL$4*(AL104-AL$3)</f>
        <v/>
      </c>
      <c r="BK104" s="26">
        <f>AM$4*(AM104-AM$3)</f>
        <v/>
      </c>
      <c r="BL104" s="26">
        <f>AN$4*(AN104-AN$3)</f>
        <v/>
      </c>
      <c r="BM104" s="26">
        <f>AO$4*(AO104-AO$3)</f>
        <v/>
      </c>
      <c r="BN104" s="26">
        <f>AP$4*(AP104-AP$3)</f>
        <v/>
      </c>
      <c r="BO104" s="26">
        <f>AQ$4*(AQ104-AQ$3)</f>
        <v/>
      </c>
      <c r="BP104" s="26">
        <f>AR$4*(AR104-AR$3)</f>
        <v/>
      </c>
      <c r="BQ104" s="26">
        <f>AS$4*(AS104-AS$3)</f>
        <v/>
      </c>
      <c r="BR104" s="27">
        <f>SUM(AT104:BQ104)</f>
        <v/>
      </c>
      <c r="BS104" s="27">
        <f>INTERCEPT_SCALED+BR104</f>
        <v/>
      </c>
      <c r="BT104" s="28">
        <f>1/(1+EXP(-BS104))</f>
        <v/>
      </c>
      <c r="BU104" s="13">
        <f>1-(1-BT104)^12</f>
        <v/>
      </c>
      <c r="BV104" s="13">
        <f>IFERROR(AT104/BR104*(BU104-BASELINE_CPR),0)</f>
        <v/>
      </c>
      <c r="BW104" s="13">
        <f>IFERROR(AU104/BR104*(BU104-BASELINE_CPR),0)</f>
        <v/>
      </c>
      <c r="BX104" s="13">
        <f>IFERROR(AV104/BR104*(BU104-BASELINE_CPR),0)</f>
        <v/>
      </c>
      <c r="BY104" s="13">
        <f>IFERROR(AW104/BR104*(BU104-BASELINE_CPR),0)</f>
        <v/>
      </c>
      <c r="BZ104" s="13">
        <f>IFERROR(AX104/BR104*(BU104-BASELINE_CPR),0)</f>
        <v/>
      </c>
      <c r="CA104" s="13">
        <f>IFERROR(AY104/BR104*(BU104-BASELINE_CPR),0)</f>
        <v/>
      </c>
      <c r="CB104" s="13">
        <f>IFERROR(AZ104/BR104*(BU104-BASELINE_CPR),0)</f>
        <v/>
      </c>
      <c r="CC104" s="13">
        <f>IFERROR(BA104/BR104*(BU104-BASELINE_CPR),0)</f>
        <v/>
      </c>
      <c r="CD104" s="13">
        <f>IFERROR(BB104/BR104*(BU104-BASELINE_CPR),0)</f>
        <v/>
      </c>
      <c r="CE104" s="13">
        <f>IFERROR(BC104/BR104*(BU104-BASELINE_CPR),0)</f>
        <v/>
      </c>
      <c r="CF104" s="13">
        <f>IFERROR(BD104/BR104*(BU104-BASELINE_CPR),0)</f>
        <v/>
      </c>
      <c r="CG104" s="13">
        <f>IFERROR(BE104/BR104*(BU104-BASELINE_CPR),0)</f>
        <v/>
      </c>
      <c r="CH104" s="13">
        <f>IFERROR(BF104/BR104*(BU104-BASELINE_CPR),0)</f>
        <v/>
      </c>
      <c r="CI104" s="13">
        <f>IFERROR(BG104/BR104*(BU104-BASELINE_CPR),0)</f>
        <v/>
      </c>
      <c r="CJ104" s="13">
        <f>IFERROR(BH104/BR104*(BU104-BASELINE_CPR),0)</f>
        <v/>
      </c>
      <c r="CK104" s="13">
        <f>IFERROR(BI104/BR104*(BU104-BASELINE_CPR),0)</f>
        <v/>
      </c>
      <c r="CL104" s="13">
        <f>IFERROR(BJ104/BR104*(BU104-BASELINE_CPR),0)</f>
        <v/>
      </c>
      <c r="CM104" s="13">
        <f>IFERROR(BK104/BR104*(BU104-BASELINE_CPR),0)</f>
        <v/>
      </c>
      <c r="CN104" s="13">
        <f>IFERROR(BL104/BR104*(BU104-BASELINE_CPR),0)</f>
        <v/>
      </c>
      <c r="CO104" s="13">
        <f>IFERROR(BM104/BR104*(BU104-BASELINE_CPR),0)</f>
        <v/>
      </c>
      <c r="CP104" s="13">
        <f>IFERROR(BN104/BR104*(BU104-BASELINE_CPR),0)</f>
        <v/>
      </c>
      <c r="CQ104" s="13">
        <f>IFERROR(BO104/BR104*(BU104-BASELINE_CPR),0)</f>
        <v/>
      </c>
      <c r="CR104" s="13">
        <f>IFERROR(BP104/BR104*(BU104-BASELINE_CPR),0)</f>
        <v/>
      </c>
      <c r="CS104" s="13">
        <f>IFERROR(BQ104/BR104*(BU104-BASELINE_CPR),0)</f>
        <v/>
      </c>
      <c r="CT104" s="29">
        <f>BASELINE_CPR+SUM(BV104:CS104)-BU104</f>
        <v/>
      </c>
    </row>
    <row r="105">
      <c r="A105" s="2" t="inlineStr">
        <is>
          <t>3617XRBC5_000000011411535</t>
        </is>
      </c>
      <c r="B105" t="inlineStr">
        <is>
          <t>GREYSTONE_POST21</t>
        </is>
      </c>
      <c r="C105" s="2" t="inlineStr">
        <is>
          <t>3617XRBC5</t>
        </is>
      </c>
      <c r="D105" t="inlineStr">
        <is>
          <t>GREYSTONE FUNDING COMPANY LLC</t>
        </is>
      </c>
      <c r="E105" t="inlineStr">
        <is>
          <t>223f</t>
        </is>
      </c>
      <c r="F105" t="inlineStr">
        <is>
          <t>RP</t>
        </is>
      </c>
      <c r="G105" t="n">
        <v>2022</v>
      </c>
      <c r="H105" t="inlineStr">
        <is>
          <t>202602</t>
        </is>
      </c>
      <c r="I105" s="22" t="n">
        <v>11232891.01</v>
      </c>
      <c r="J105" s="23" t="n">
        <v>2.38</v>
      </c>
      <c r="K105" s="24" t="n">
        <v>447</v>
      </c>
      <c r="L105" s="24" t="n">
        <v>7</v>
      </c>
      <c r="M105" t="n">
        <v>49</v>
      </c>
      <c r="N105" t="n">
        <v>0</v>
      </c>
      <c r="O105" t="n">
        <v>205702</v>
      </c>
      <c r="P105" t="inlineStr"/>
      <c r="Q105" t="inlineStr">
        <is>
          <t>4168</t>
        </is>
      </c>
      <c r="R105" t="n">
        <v>0</v>
      </c>
      <c r="S105" t="n">
        <v>0</v>
      </c>
      <c r="T105" t="n">
        <v>0</v>
      </c>
      <c r="U105" t="n">
        <v>0</v>
      </c>
      <c r="V105" s="24">
        <f>J105*100-K105</f>
        <v/>
      </c>
      <c r="W105" s="24">
        <f>L105</f>
        <v/>
      </c>
      <c r="X105" s="25">
        <f>MIN(M105,36)</f>
        <v/>
      </c>
      <c r="Y105" s="25">
        <f>MIN(MAX(M105-36,0),84)</f>
        <v/>
      </c>
      <c r="Z105" s="25">
        <f>MAX(M105-120,0)</f>
        <v/>
      </c>
      <c r="AA105" s="25">
        <f>IF(OR(O105="",NOT(ISNUMBER(O105))),360,MAX(0,MIN(480,(INT(O105/100)-INT(VALUE(H105)/100))*12+MOD(O105,100)-MOD(VALUE(H105),100))))</f>
        <v/>
      </c>
      <c r="AB105">
        <f>IF(AND(AA105&gt;0,AA105&lt;=24),1,0)</f>
        <v/>
      </c>
      <c r="AC105" s="25">
        <f>IF(OR(P105="",NOT(ISNUMBER(P105))),0,MAX(0,MIN(24,(INT(VALUE(H105)/100)-INT(P105/100))*12+MOD(VALUE(H105),100)-MOD(P105,100))))</f>
        <v/>
      </c>
      <c r="AD105" s="23">
        <f>LN(1+I105)</f>
        <v/>
      </c>
      <c r="AE105">
        <f>IF(I105&lt;2000000,1,0)</f>
        <v/>
      </c>
      <c r="AF105">
        <f>IF(I105&gt;50000000,1,0)</f>
        <v/>
      </c>
      <c r="AG105" s="23">
        <f>IF(ISNUMBER(M105),N105/MAX(M105,1),0)</f>
        <v/>
      </c>
      <c r="AH105">
        <f>IF(G105&gt;=2021,1,0)</f>
        <v/>
      </c>
      <c r="AI105">
        <f>S105</f>
        <v/>
      </c>
      <c r="AJ105">
        <f>T105</f>
        <v/>
      </c>
      <c r="AK105">
        <f>R105</f>
        <v/>
      </c>
      <c r="AL105">
        <f>U105</f>
        <v/>
      </c>
      <c r="AM105">
        <f>IF(ISNUMBER(SEARCH("CAPITAL FUNDING",D105)),1,0)</f>
        <v/>
      </c>
      <c r="AN105">
        <f>IF(ISNUMBER(SEARCH("PNC",D105)),1,0)</f>
        <v/>
      </c>
      <c r="AO105">
        <f>IF(ISNUMBER(SEARCH("WELLS FARGO",D105)),1,0)</f>
        <v/>
      </c>
      <c r="AP105">
        <f>IF(ISNUMBER(SEARCH("DWIGHT",D105)),1,0)</f>
        <v/>
      </c>
      <c r="AQ105">
        <f>IF(ISNUMBER(SEARCH("GREYSTONE",D105)),1,0)</f>
        <v/>
      </c>
      <c r="AR105">
        <f>IF(OR(Q105="3896",Q105="3557"),1,0)</f>
        <v/>
      </c>
      <c r="AS105" s="24">
        <f>V105*W105</f>
        <v/>
      </c>
      <c r="AT105" s="26">
        <f>V$4*(V105-V$3)</f>
        <v/>
      </c>
      <c r="AU105" s="26">
        <f>W$4*(W105-W$3)</f>
        <v/>
      </c>
      <c r="AV105" s="26">
        <f>X$4*(X105-X$3)</f>
        <v/>
      </c>
      <c r="AW105" s="26">
        <f>Y$4*(Y105-Y$3)</f>
        <v/>
      </c>
      <c r="AX105" s="26">
        <f>Z$4*(Z105-Z$3)</f>
        <v/>
      </c>
      <c r="AY105" s="26">
        <f>AA$4*(AA105-AA$3)</f>
        <v/>
      </c>
      <c r="AZ105" s="26">
        <f>AB$4*(AB105-AB$3)</f>
        <v/>
      </c>
      <c r="BA105" s="26">
        <f>AC$4*(AC105-AC$3)</f>
        <v/>
      </c>
      <c r="BB105" s="26">
        <f>AD$4*(AD105-AD$3)</f>
        <v/>
      </c>
      <c r="BC105" s="26">
        <f>AE$4*(AE105-AE$3)</f>
        <v/>
      </c>
      <c r="BD105" s="26">
        <f>AF$4*(AF105-AF$3)</f>
        <v/>
      </c>
      <c r="BE105" s="26">
        <f>AG$4*(AG105-AG$3)</f>
        <v/>
      </c>
      <c r="BF105" s="26">
        <f>AH$4*(AH105-AH$3)</f>
        <v/>
      </c>
      <c r="BG105" s="26">
        <f>AI$4*(AI105-AI$3)</f>
        <v/>
      </c>
      <c r="BH105" s="26">
        <f>AJ$4*(AJ105-AJ$3)</f>
        <v/>
      </c>
      <c r="BI105" s="26">
        <f>AK$4*(AK105-AK$3)</f>
        <v/>
      </c>
      <c r="BJ105" s="26">
        <f>AL$4*(AL105-AL$3)</f>
        <v/>
      </c>
      <c r="BK105" s="26">
        <f>AM$4*(AM105-AM$3)</f>
        <v/>
      </c>
      <c r="BL105" s="26">
        <f>AN$4*(AN105-AN$3)</f>
        <v/>
      </c>
      <c r="BM105" s="26">
        <f>AO$4*(AO105-AO$3)</f>
        <v/>
      </c>
      <c r="BN105" s="26">
        <f>AP$4*(AP105-AP$3)</f>
        <v/>
      </c>
      <c r="BO105" s="26">
        <f>AQ$4*(AQ105-AQ$3)</f>
        <v/>
      </c>
      <c r="BP105" s="26">
        <f>AR$4*(AR105-AR$3)</f>
        <v/>
      </c>
      <c r="BQ105" s="26">
        <f>AS$4*(AS105-AS$3)</f>
        <v/>
      </c>
      <c r="BR105" s="27">
        <f>SUM(AT105:BQ105)</f>
        <v/>
      </c>
      <c r="BS105" s="27">
        <f>INTERCEPT_SCALED+BR105</f>
        <v/>
      </c>
      <c r="BT105" s="28">
        <f>1/(1+EXP(-BS105))</f>
        <v/>
      </c>
      <c r="BU105" s="13">
        <f>1-(1-BT105)^12</f>
        <v/>
      </c>
      <c r="BV105" s="13">
        <f>IFERROR(AT105/BR105*(BU105-BASELINE_CPR),0)</f>
        <v/>
      </c>
      <c r="BW105" s="13">
        <f>IFERROR(AU105/BR105*(BU105-BASELINE_CPR),0)</f>
        <v/>
      </c>
      <c r="BX105" s="13">
        <f>IFERROR(AV105/BR105*(BU105-BASELINE_CPR),0)</f>
        <v/>
      </c>
      <c r="BY105" s="13">
        <f>IFERROR(AW105/BR105*(BU105-BASELINE_CPR),0)</f>
        <v/>
      </c>
      <c r="BZ105" s="13">
        <f>IFERROR(AX105/BR105*(BU105-BASELINE_CPR),0)</f>
        <v/>
      </c>
      <c r="CA105" s="13">
        <f>IFERROR(AY105/BR105*(BU105-BASELINE_CPR),0)</f>
        <v/>
      </c>
      <c r="CB105" s="13">
        <f>IFERROR(AZ105/BR105*(BU105-BASELINE_CPR),0)</f>
        <v/>
      </c>
      <c r="CC105" s="13">
        <f>IFERROR(BA105/BR105*(BU105-BASELINE_CPR),0)</f>
        <v/>
      </c>
      <c r="CD105" s="13">
        <f>IFERROR(BB105/BR105*(BU105-BASELINE_CPR),0)</f>
        <v/>
      </c>
      <c r="CE105" s="13">
        <f>IFERROR(BC105/BR105*(BU105-BASELINE_CPR),0)</f>
        <v/>
      </c>
      <c r="CF105" s="13">
        <f>IFERROR(BD105/BR105*(BU105-BASELINE_CPR),0)</f>
        <v/>
      </c>
      <c r="CG105" s="13">
        <f>IFERROR(BE105/BR105*(BU105-BASELINE_CPR),0)</f>
        <v/>
      </c>
      <c r="CH105" s="13">
        <f>IFERROR(BF105/BR105*(BU105-BASELINE_CPR),0)</f>
        <v/>
      </c>
      <c r="CI105" s="13">
        <f>IFERROR(BG105/BR105*(BU105-BASELINE_CPR),0)</f>
        <v/>
      </c>
      <c r="CJ105" s="13">
        <f>IFERROR(BH105/BR105*(BU105-BASELINE_CPR),0)</f>
        <v/>
      </c>
      <c r="CK105" s="13">
        <f>IFERROR(BI105/BR105*(BU105-BASELINE_CPR),0)</f>
        <v/>
      </c>
      <c r="CL105" s="13">
        <f>IFERROR(BJ105/BR105*(BU105-BASELINE_CPR),0)</f>
        <v/>
      </c>
      <c r="CM105" s="13">
        <f>IFERROR(BK105/BR105*(BU105-BASELINE_CPR),0)</f>
        <v/>
      </c>
      <c r="CN105" s="13">
        <f>IFERROR(BL105/BR105*(BU105-BASELINE_CPR),0)</f>
        <v/>
      </c>
      <c r="CO105" s="13">
        <f>IFERROR(BM105/BR105*(BU105-BASELINE_CPR),0)</f>
        <v/>
      </c>
      <c r="CP105" s="13">
        <f>IFERROR(BN105/BR105*(BU105-BASELINE_CPR),0)</f>
        <v/>
      </c>
      <c r="CQ105" s="13">
        <f>IFERROR(BO105/BR105*(BU105-BASELINE_CPR),0)</f>
        <v/>
      </c>
      <c r="CR105" s="13">
        <f>IFERROR(BP105/BR105*(BU105-BASELINE_CPR),0)</f>
        <v/>
      </c>
      <c r="CS105" s="13">
        <f>IFERROR(BQ105/BR105*(BU105-BASELINE_CPR),0)</f>
        <v/>
      </c>
      <c r="CT105" s="29">
        <f>BASELINE_CPR+SUM(BV105:CS105)-BU105</f>
        <v/>
      </c>
    </row>
    <row r="106">
      <c r="A106" s="2" t="inlineStr">
        <is>
          <t>3617FEQQ7_000000001711241</t>
        </is>
      </c>
      <c r="B106" t="inlineStr">
        <is>
          <t>GREYSTONE_POST21</t>
        </is>
      </c>
      <c r="C106" s="2" t="inlineStr">
        <is>
          <t>3617FEQQ7</t>
        </is>
      </c>
      <c r="D106" t="inlineStr">
        <is>
          <t>GREYSTONE FUNDING COMPANY LLC</t>
        </is>
      </c>
      <c r="E106" t="inlineStr">
        <is>
          <t>223f</t>
        </is>
      </c>
      <c r="F106" t="inlineStr">
        <is>
          <t>RP</t>
        </is>
      </c>
      <c r="G106" t="n">
        <v>2022</v>
      </c>
      <c r="H106" t="inlineStr">
        <is>
          <t>202602</t>
        </is>
      </c>
      <c r="I106" s="22" t="n">
        <v>30292588.75</v>
      </c>
      <c r="J106" s="23" t="n">
        <v>3.9</v>
      </c>
      <c r="K106" s="24" t="n">
        <v>447</v>
      </c>
      <c r="L106" s="24" t="n">
        <v>7</v>
      </c>
      <c r="M106" t="n">
        <v>44</v>
      </c>
      <c r="N106" t="n">
        <v>0</v>
      </c>
      <c r="O106" t="n">
        <v>205707</v>
      </c>
      <c r="P106" t="inlineStr"/>
      <c r="Q106" t="inlineStr">
        <is>
          <t>4168</t>
        </is>
      </c>
      <c r="R106" t="n">
        <v>0</v>
      </c>
      <c r="S106" t="n">
        <v>0</v>
      </c>
      <c r="T106" t="n">
        <v>0</v>
      </c>
      <c r="U106" t="n">
        <v>0</v>
      </c>
      <c r="V106" s="24">
        <f>J106*100-K106</f>
        <v/>
      </c>
      <c r="W106" s="24">
        <f>L106</f>
        <v/>
      </c>
      <c r="X106" s="25">
        <f>MIN(M106,36)</f>
        <v/>
      </c>
      <c r="Y106" s="25">
        <f>MIN(MAX(M106-36,0),84)</f>
        <v/>
      </c>
      <c r="Z106" s="25">
        <f>MAX(M106-120,0)</f>
        <v/>
      </c>
      <c r="AA106" s="25">
        <f>IF(OR(O106="",NOT(ISNUMBER(O106))),360,MAX(0,MIN(480,(INT(O106/100)-INT(VALUE(H106)/100))*12+MOD(O106,100)-MOD(VALUE(H106),100))))</f>
        <v/>
      </c>
      <c r="AB106">
        <f>IF(AND(AA106&gt;0,AA106&lt;=24),1,0)</f>
        <v/>
      </c>
      <c r="AC106" s="25">
        <f>IF(OR(P106="",NOT(ISNUMBER(P106))),0,MAX(0,MIN(24,(INT(VALUE(H106)/100)-INT(P106/100))*12+MOD(VALUE(H106),100)-MOD(P106,100))))</f>
        <v/>
      </c>
      <c r="AD106" s="23">
        <f>LN(1+I106)</f>
        <v/>
      </c>
      <c r="AE106">
        <f>IF(I106&lt;2000000,1,0)</f>
        <v/>
      </c>
      <c r="AF106">
        <f>IF(I106&gt;50000000,1,0)</f>
        <v/>
      </c>
      <c r="AG106" s="23">
        <f>IF(ISNUMBER(M106),N106/MAX(M106,1),0)</f>
        <v/>
      </c>
      <c r="AH106">
        <f>IF(G106&gt;=2021,1,0)</f>
        <v/>
      </c>
      <c r="AI106">
        <f>S106</f>
        <v/>
      </c>
      <c r="AJ106">
        <f>T106</f>
        <v/>
      </c>
      <c r="AK106">
        <f>R106</f>
        <v/>
      </c>
      <c r="AL106">
        <f>U106</f>
        <v/>
      </c>
      <c r="AM106">
        <f>IF(ISNUMBER(SEARCH("CAPITAL FUNDING",D106)),1,0)</f>
        <v/>
      </c>
      <c r="AN106">
        <f>IF(ISNUMBER(SEARCH("PNC",D106)),1,0)</f>
        <v/>
      </c>
      <c r="AO106">
        <f>IF(ISNUMBER(SEARCH("WELLS FARGO",D106)),1,0)</f>
        <v/>
      </c>
      <c r="AP106">
        <f>IF(ISNUMBER(SEARCH("DWIGHT",D106)),1,0)</f>
        <v/>
      </c>
      <c r="AQ106">
        <f>IF(ISNUMBER(SEARCH("GREYSTONE",D106)),1,0)</f>
        <v/>
      </c>
      <c r="AR106">
        <f>IF(OR(Q106="3896",Q106="3557"),1,0)</f>
        <v/>
      </c>
      <c r="AS106" s="24">
        <f>V106*W106</f>
        <v/>
      </c>
      <c r="AT106" s="26">
        <f>V$4*(V106-V$3)</f>
        <v/>
      </c>
      <c r="AU106" s="26">
        <f>W$4*(W106-W$3)</f>
        <v/>
      </c>
      <c r="AV106" s="26">
        <f>X$4*(X106-X$3)</f>
        <v/>
      </c>
      <c r="AW106" s="26">
        <f>Y$4*(Y106-Y$3)</f>
        <v/>
      </c>
      <c r="AX106" s="26">
        <f>Z$4*(Z106-Z$3)</f>
        <v/>
      </c>
      <c r="AY106" s="26">
        <f>AA$4*(AA106-AA$3)</f>
        <v/>
      </c>
      <c r="AZ106" s="26">
        <f>AB$4*(AB106-AB$3)</f>
        <v/>
      </c>
      <c r="BA106" s="26">
        <f>AC$4*(AC106-AC$3)</f>
        <v/>
      </c>
      <c r="BB106" s="26">
        <f>AD$4*(AD106-AD$3)</f>
        <v/>
      </c>
      <c r="BC106" s="26">
        <f>AE$4*(AE106-AE$3)</f>
        <v/>
      </c>
      <c r="BD106" s="26">
        <f>AF$4*(AF106-AF$3)</f>
        <v/>
      </c>
      <c r="BE106" s="26">
        <f>AG$4*(AG106-AG$3)</f>
        <v/>
      </c>
      <c r="BF106" s="26">
        <f>AH$4*(AH106-AH$3)</f>
        <v/>
      </c>
      <c r="BG106" s="26">
        <f>AI$4*(AI106-AI$3)</f>
        <v/>
      </c>
      <c r="BH106" s="26">
        <f>AJ$4*(AJ106-AJ$3)</f>
        <v/>
      </c>
      <c r="BI106" s="26">
        <f>AK$4*(AK106-AK$3)</f>
        <v/>
      </c>
      <c r="BJ106" s="26">
        <f>AL$4*(AL106-AL$3)</f>
        <v/>
      </c>
      <c r="BK106" s="26">
        <f>AM$4*(AM106-AM$3)</f>
        <v/>
      </c>
      <c r="BL106" s="26">
        <f>AN$4*(AN106-AN$3)</f>
        <v/>
      </c>
      <c r="BM106" s="26">
        <f>AO$4*(AO106-AO$3)</f>
        <v/>
      </c>
      <c r="BN106" s="26">
        <f>AP$4*(AP106-AP$3)</f>
        <v/>
      </c>
      <c r="BO106" s="26">
        <f>AQ$4*(AQ106-AQ$3)</f>
        <v/>
      </c>
      <c r="BP106" s="26">
        <f>AR$4*(AR106-AR$3)</f>
        <v/>
      </c>
      <c r="BQ106" s="26">
        <f>AS$4*(AS106-AS$3)</f>
        <v/>
      </c>
      <c r="BR106" s="27">
        <f>SUM(AT106:BQ106)</f>
        <v/>
      </c>
      <c r="BS106" s="27">
        <f>INTERCEPT_SCALED+BR106</f>
        <v/>
      </c>
      <c r="BT106" s="28">
        <f>1/(1+EXP(-BS106))</f>
        <v/>
      </c>
      <c r="BU106" s="13">
        <f>1-(1-BT106)^12</f>
        <v/>
      </c>
      <c r="BV106" s="13">
        <f>IFERROR(AT106/BR106*(BU106-BASELINE_CPR),0)</f>
        <v/>
      </c>
      <c r="BW106" s="13">
        <f>IFERROR(AU106/BR106*(BU106-BASELINE_CPR),0)</f>
        <v/>
      </c>
      <c r="BX106" s="13">
        <f>IFERROR(AV106/BR106*(BU106-BASELINE_CPR),0)</f>
        <v/>
      </c>
      <c r="BY106" s="13">
        <f>IFERROR(AW106/BR106*(BU106-BASELINE_CPR),0)</f>
        <v/>
      </c>
      <c r="BZ106" s="13">
        <f>IFERROR(AX106/BR106*(BU106-BASELINE_CPR),0)</f>
        <v/>
      </c>
      <c r="CA106" s="13">
        <f>IFERROR(AY106/BR106*(BU106-BASELINE_CPR),0)</f>
        <v/>
      </c>
      <c r="CB106" s="13">
        <f>IFERROR(AZ106/BR106*(BU106-BASELINE_CPR),0)</f>
        <v/>
      </c>
      <c r="CC106" s="13">
        <f>IFERROR(BA106/BR106*(BU106-BASELINE_CPR),0)</f>
        <v/>
      </c>
      <c r="CD106" s="13">
        <f>IFERROR(BB106/BR106*(BU106-BASELINE_CPR),0)</f>
        <v/>
      </c>
      <c r="CE106" s="13">
        <f>IFERROR(BC106/BR106*(BU106-BASELINE_CPR),0)</f>
        <v/>
      </c>
      <c r="CF106" s="13">
        <f>IFERROR(BD106/BR106*(BU106-BASELINE_CPR),0)</f>
        <v/>
      </c>
      <c r="CG106" s="13">
        <f>IFERROR(BE106/BR106*(BU106-BASELINE_CPR),0)</f>
        <v/>
      </c>
      <c r="CH106" s="13">
        <f>IFERROR(BF106/BR106*(BU106-BASELINE_CPR),0)</f>
        <v/>
      </c>
      <c r="CI106" s="13">
        <f>IFERROR(BG106/BR106*(BU106-BASELINE_CPR),0)</f>
        <v/>
      </c>
      <c r="CJ106" s="13">
        <f>IFERROR(BH106/BR106*(BU106-BASELINE_CPR),0)</f>
        <v/>
      </c>
      <c r="CK106" s="13">
        <f>IFERROR(BI106/BR106*(BU106-BASELINE_CPR),0)</f>
        <v/>
      </c>
      <c r="CL106" s="13">
        <f>IFERROR(BJ106/BR106*(BU106-BASELINE_CPR),0)</f>
        <v/>
      </c>
      <c r="CM106" s="13">
        <f>IFERROR(BK106/BR106*(BU106-BASELINE_CPR),0)</f>
        <v/>
      </c>
      <c r="CN106" s="13">
        <f>IFERROR(BL106/BR106*(BU106-BASELINE_CPR),0)</f>
        <v/>
      </c>
      <c r="CO106" s="13">
        <f>IFERROR(BM106/BR106*(BU106-BASELINE_CPR),0)</f>
        <v/>
      </c>
      <c r="CP106" s="13">
        <f>IFERROR(BN106/BR106*(BU106-BASELINE_CPR),0)</f>
        <v/>
      </c>
      <c r="CQ106" s="13">
        <f>IFERROR(BO106/BR106*(BU106-BASELINE_CPR),0)</f>
        <v/>
      </c>
      <c r="CR106" s="13">
        <f>IFERROR(BP106/BR106*(BU106-BASELINE_CPR),0)</f>
        <v/>
      </c>
      <c r="CS106" s="13">
        <f>IFERROR(BQ106/BR106*(BU106-BASELINE_CPR),0)</f>
        <v/>
      </c>
      <c r="CT106" s="29">
        <f>BASELINE_CPR+SUM(BV106:CS106)-BU106</f>
        <v/>
      </c>
    </row>
    <row r="107">
      <c r="A107" s="2" t="inlineStr">
        <is>
          <t>3617VLSV0_000000004222338</t>
        </is>
      </c>
      <c r="B107" t="inlineStr">
        <is>
          <t>GREYSTONE_POST21</t>
        </is>
      </c>
      <c r="C107" s="2" t="inlineStr">
        <is>
          <t>3617VLSV0</t>
        </is>
      </c>
      <c r="D107" t="inlineStr">
        <is>
          <t>GREYSTONE FUNDING COMPANY LLC</t>
        </is>
      </c>
      <c r="E107" t="inlineStr">
        <is>
          <t>232</t>
        </is>
      </c>
      <c r="F107" t="inlineStr">
        <is>
          <t>RP</t>
        </is>
      </c>
      <c r="G107" t="n">
        <v>2021</v>
      </c>
      <c r="H107" t="inlineStr">
        <is>
          <t>202602</t>
        </is>
      </c>
      <c r="I107" s="22" t="n">
        <v>5731386.6</v>
      </c>
      <c r="J107" s="23" t="n">
        <v>2.94</v>
      </c>
      <c r="K107" s="24" t="n">
        <v>447</v>
      </c>
      <c r="L107" s="24" t="n">
        <v>6</v>
      </c>
      <c r="M107" t="n">
        <v>58</v>
      </c>
      <c r="N107" t="n">
        <v>1</v>
      </c>
      <c r="O107" t="n">
        <v>205405</v>
      </c>
      <c r="P107" t="inlineStr"/>
      <c r="Q107" t="inlineStr">
        <is>
          <t>4168</t>
        </is>
      </c>
      <c r="R107" t="n">
        <v>1</v>
      </c>
      <c r="S107" t="n">
        <v>1</v>
      </c>
      <c r="T107" t="n">
        <v>0</v>
      </c>
      <c r="U107" t="n">
        <v>0</v>
      </c>
      <c r="V107" s="24">
        <f>J107*100-K107</f>
        <v/>
      </c>
      <c r="W107" s="24">
        <f>L107</f>
        <v/>
      </c>
      <c r="X107" s="25">
        <f>MIN(M107,36)</f>
        <v/>
      </c>
      <c r="Y107" s="25">
        <f>MIN(MAX(M107-36,0),84)</f>
        <v/>
      </c>
      <c r="Z107" s="25">
        <f>MAX(M107-120,0)</f>
        <v/>
      </c>
      <c r="AA107" s="25">
        <f>IF(OR(O107="",NOT(ISNUMBER(O107))),360,MAX(0,MIN(480,(INT(O107/100)-INT(VALUE(H107)/100))*12+MOD(O107,100)-MOD(VALUE(H107),100))))</f>
        <v/>
      </c>
      <c r="AB107">
        <f>IF(AND(AA107&gt;0,AA107&lt;=24),1,0)</f>
        <v/>
      </c>
      <c r="AC107" s="25">
        <f>IF(OR(P107="",NOT(ISNUMBER(P107))),0,MAX(0,MIN(24,(INT(VALUE(H107)/100)-INT(P107/100))*12+MOD(VALUE(H107),100)-MOD(P107,100))))</f>
        <v/>
      </c>
      <c r="AD107" s="23">
        <f>LN(1+I107)</f>
        <v/>
      </c>
      <c r="AE107">
        <f>IF(I107&lt;2000000,1,0)</f>
        <v/>
      </c>
      <c r="AF107">
        <f>IF(I107&gt;50000000,1,0)</f>
        <v/>
      </c>
      <c r="AG107" s="23">
        <f>IF(ISNUMBER(M107),N107/MAX(M107,1),0)</f>
        <v/>
      </c>
      <c r="AH107">
        <f>IF(G107&gt;=2021,1,0)</f>
        <v/>
      </c>
      <c r="AI107">
        <f>S107</f>
        <v/>
      </c>
      <c r="AJ107">
        <f>T107</f>
        <v/>
      </c>
      <c r="AK107">
        <f>R107</f>
        <v/>
      </c>
      <c r="AL107">
        <f>U107</f>
        <v/>
      </c>
      <c r="AM107">
        <f>IF(ISNUMBER(SEARCH("CAPITAL FUNDING",D107)),1,0)</f>
        <v/>
      </c>
      <c r="AN107">
        <f>IF(ISNUMBER(SEARCH("PNC",D107)),1,0)</f>
        <v/>
      </c>
      <c r="AO107">
        <f>IF(ISNUMBER(SEARCH("WELLS FARGO",D107)),1,0)</f>
        <v/>
      </c>
      <c r="AP107">
        <f>IF(ISNUMBER(SEARCH("DWIGHT",D107)),1,0)</f>
        <v/>
      </c>
      <c r="AQ107">
        <f>IF(ISNUMBER(SEARCH("GREYSTONE",D107)),1,0)</f>
        <v/>
      </c>
      <c r="AR107">
        <f>IF(OR(Q107="3896",Q107="3557"),1,0)</f>
        <v/>
      </c>
      <c r="AS107" s="24">
        <f>V107*W107</f>
        <v/>
      </c>
      <c r="AT107" s="26">
        <f>V$4*(V107-V$3)</f>
        <v/>
      </c>
      <c r="AU107" s="26">
        <f>W$4*(W107-W$3)</f>
        <v/>
      </c>
      <c r="AV107" s="26">
        <f>X$4*(X107-X$3)</f>
        <v/>
      </c>
      <c r="AW107" s="26">
        <f>Y$4*(Y107-Y$3)</f>
        <v/>
      </c>
      <c r="AX107" s="26">
        <f>Z$4*(Z107-Z$3)</f>
        <v/>
      </c>
      <c r="AY107" s="26">
        <f>AA$4*(AA107-AA$3)</f>
        <v/>
      </c>
      <c r="AZ107" s="26">
        <f>AB$4*(AB107-AB$3)</f>
        <v/>
      </c>
      <c r="BA107" s="26">
        <f>AC$4*(AC107-AC$3)</f>
        <v/>
      </c>
      <c r="BB107" s="26">
        <f>AD$4*(AD107-AD$3)</f>
        <v/>
      </c>
      <c r="BC107" s="26">
        <f>AE$4*(AE107-AE$3)</f>
        <v/>
      </c>
      <c r="BD107" s="26">
        <f>AF$4*(AF107-AF$3)</f>
        <v/>
      </c>
      <c r="BE107" s="26">
        <f>AG$4*(AG107-AG$3)</f>
        <v/>
      </c>
      <c r="BF107" s="26">
        <f>AH$4*(AH107-AH$3)</f>
        <v/>
      </c>
      <c r="BG107" s="26">
        <f>AI$4*(AI107-AI$3)</f>
        <v/>
      </c>
      <c r="BH107" s="26">
        <f>AJ$4*(AJ107-AJ$3)</f>
        <v/>
      </c>
      <c r="BI107" s="26">
        <f>AK$4*(AK107-AK$3)</f>
        <v/>
      </c>
      <c r="BJ107" s="26">
        <f>AL$4*(AL107-AL$3)</f>
        <v/>
      </c>
      <c r="BK107" s="26">
        <f>AM$4*(AM107-AM$3)</f>
        <v/>
      </c>
      <c r="BL107" s="26">
        <f>AN$4*(AN107-AN$3)</f>
        <v/>
      </c>
      <c r="BM107" s="26">
        <f>AO$4*(AO107-AO$3)</f>
        <v/>
      </c>
      <c r="BN107" s="26">
        <f>AP$4*(AP107-AP$3)</f>
        <v/>
      </c>
      <c r="BO107" s="26">
        <f>AQ$4*(AQ107-AQ$3)</f>
        <v/>
      </c>
      <c r="BP107" s="26">
        <f>AR$4*(AR107-AR$3)</f>
        <v/>
      </c>
      <c r="BQ107" s="26">
        <f>AS$4*(AS107-AS$3)</f>
        <v/>
      </c>
      <c r="BR107" s="27">
        <f>SUM(AT107:BQ107)</f>
        <v/>
      </c>
      <c r="BS107" s="27">
        <f>INTERCEPT_SCALED+BR107</f>
        <v/>
      </c>
      <c r="BT107" s="28">
        <f>1/(1+EXP(-BS107))</f>
        <v/>
      </c>
      <c r="BU107" s="13">
        <f>1-(1-BT107)^12</f>
        <v/>
      </c>
      <c r="BV107" s="13">
        <f>IFERROR(AT107/BR107*(BU107-BASELINE_CPR),0)</f>
        <v/>
      </c>
      <c r="BW107" s="13">
        <f>IFERROR(AU107/BR107*(BU107-BASELINE_CPR),0)</f>
        <v/>
      </c>
      <c r="BX107" s="13">
        <f>IFERROR(AV107/BR107*(BU107-BASELINE_CPR),0)</f>
        <v/>
      </c>
      <c r="BY107" s="13">
        <f>IFERROR(AW107/BR107*(BU107-BASELINE_CPR),0)</f>
        <v/>
      </c>
      <c r="BZ107" s="13">
        <f>IFERROR(AX107/BR107*(BU107-BASELINE_CPR),0)</f>
        <v/>
      </c>
      <c r="CA107" s="13">
        <f>IFERROR(AY107/BR107*(BU107-BASELINE_CPR),0)</f>
        <v/>
      </c>
      <c r="CB107" s="13">
        <f>IFERROR(AZ107/BR107*(BU107-BASELINE_CPR),0)</f>
        <v/>
      </c>
      <c r="CC107" s="13">
        <f>IFERROR(BA107/BR107*(BU107-BASELINE_CPR),0)</f>
        <v/>
      </c>
      <c r="CD107" s="13">
        <f>IFERROR(BB107/BR107*(BU107-BASELINE_CPR),0)</f>
        <v/>
      </c>
      <c r="CE107" s="13">
        <f>IFERROR(BC107/BR107*(BU107-BASELINE_CPR),0)</f>
        <v/>
      </c>
      <c r="CF107" s="13">
        <f>IFERROR(BD107/BR107*(BU107-BASELINE_CPR),0)</f>
        <v/>
      </c>
      <c r="CG107" s="13">
        <f>IFERROR(BE107/BR107*(BU107-BASELINE_CPR),0)</f>
        <v/>
      </c>
      <c r="CH107" s="13">
        <f>IFERROR(BF107/BR107*(BU107-BASELINE_CPR),0)</f>
        <v/>
      </c>
      <c r="CI107" s="13">
        <f>IFERROR(BG107/BR107*(BU107-BASELINE_CPR),0)</f>
        <v/>
      </c>
      <c r="CJ107" s="13">
        <f>IFERROR(BH107/BR107*(BU107-BASELINE_CPR),0)</f>
        <v/>
      </c>
      <c r="CK107" s="13">
        <f>IFERROR(BI107/BR107*(BU107-BASELINE_CPR),0)</f>
        <v/>
      </c>
      <c r="CL107" s="13">
        <f>IFERROR(BJ107/BR107*(BU107-BASELINE_CPR),0)</f>
        <v/>
      </c>
      <c r="CM107" s="13">
        <f>IFERROR(BK107/BR107*(BU107-BASELINE_CPR),0)</f>
        <v/>
      </c>
      <c r="CN107" s="13">
        <f>IFERROR(BL107/BR107*(BU107-BASELINE_CPR),0)</f>
        <v/>
      </c>
      <c r="CO107" s="13">
        <f>IFERROR(BM107/BR107*(BU107-BASELINE_CPR),0)</f>
        <v/>
      </c>
      <c r="CP107" s="13">
        <f>IFERROR(BN107/BR107*(BU107-BASELINE_CPR),0)</f>
        <v/>
      </c>
      <c r="CQ107" s="13">
        <f>IFERROR(BO107/BR107*(BU107-BASELINE_CPR),0)</f>
        <v/>
      </c>
      <c r="CR107" s="13">
        <f>IFERROR(BP107/BR107*(BU107-BASELINE_CPR),0)</f>
        <v/>
      </c>
      <c r="CS107" s="13">
        <f>IFERROR(BQ107/BR107*(BU107-BASELINE_CPR),0)</f>
        <v/>
      </c>
      <c r="CT107" s="29">
        <f>BASELINE_CPR+SUM(BV107:CS107)-BU107</f>
        <v/>
      </c>
    </row>
    <row r="108">
      <c r="A108" s="2" t="inlineStr">
        <is>
          <t>3617XRBK7_000000003122150</t>
        </is>
      </c>
      <c r="B108" t="inlineStr">
        <is>
          <t>GREYSTONE_POST21</t>
        </is>
      </c>
      <c r="C108" s="2" t="inlineStr">
        <is>
          <t>3617XRBK7</t>
        </is>
      </c>
      <c r="D108" t="inlineStr">
        <is>
          <t>GREYSTONE FUNDING COMPANY LLC</t>
        </is>
      </c>
      <c r="E108" t="inlineStr">
        <is>
          <t>232</t>
        </is>
      </c>
      <c r="F108" t="inlineStr">
        <is>
          <t>RP</t>
        </is>
      </c>
      <c r="G108" t="n">
        <v>2022</v>
      </c>
      <c r="H108" t="inlineStr">
        <is>
          <t>202602</t>
        </is>
      </c>
      <c r="I108" s="22" t="n">
        <v>5481862.74</v>
      </c>
      <c r="J108" s="23" t="n">
        <v>2.59</v>
      </c>
      <c r="K108" s="24" t="n">
        <v>447</v>
      </c>
      <c r="L108" s="24" t="n">
        <v>7</v>
      </c>
      <c r="M108" t="n">
        <v>49</v>
      </c>
      <c r="N108" t="n">
        <v>0</v>
      </c>
      <c r="O108" t="n">
        <v>205702</v>
      </c>
      <c r="P108" t="inlineStr"/>
      <c r="Q108" t="inlineStr">
        <is>
          <t>4168</t>
        </is>
      </c>
      <c r="R108" t="n">
        <v>1</v>
      </c>
      <c r="S108" t="n">
        <v>0</v>
      </c>
      <c r="T108" t="n">
        <v>0</v>
      </c>
      <c r="U108" t="n">
        <v>0</v>
      </c>
      <c r="V108" s="24">
        <f>J108*100-K108</f>
        <v/>
      </c>
      <c r="W108" s="24">
        <f>L108</f>
        <v/>
      </c>
      <c r="X108" s="25">
        <f>MIN(M108,36)</f>
        <v/>
      </c>
      <c r="Y108" s="25">
        <f>MIN(MAX(M108-36,0),84)</f>
        <v/>
      </c>
      <c r="Z108" s="25">
        <f>MAX(M108-120,0)</f>
        <v/>
      </c>
      <c r="AA108" s="25">
        <f>IF(OR(O108="",NOT(ISNUMBER(O108))),360,MAX(0,MIN(480,(INT(O108/100)-INT(VALUE(H108)/100))*12+MOD(O108,100)-MOD(VALUE(H108),100))))</f>
        <v/>
      </c>
      <c r="AB108">
        <f>IF(AND(AA108&gt;0,AA108&lt;=24),1,0)</f>
        <v/>
      </c>
      <c r="AC108" s="25">
        <f>IF(OR(P108="",NOT(ISNUMBER(P108))),0,MAX(0,MIN(24,(INT(VALUE(H108)/100)-INT(P108/100))*12+MOD(VALUE(H108),100)-MOD(P108,100))))</f>
        <v/>
      </c>
      <c r="AD108" s="23">
        <f>LN(1+I108)</f>
        <v/>
      </c>
      <c r="AE108">
        <f>IF(I108&lt;2000000,1,0)</f>
        <v/>
      </c>
      <c r="AF108">
        <f>IF(I108&gt;50000000,1,0)</f>
        <v/>
      </c>
      <c r="AG108" s="23">
        <f>IF(ISNUMBER(M108),N108/MAX(M108,1),0)</f>
        <v/>
      </c>
      <c r="AH108">
        <f>IF(G108&gt;=2021,1,0)</f>
        <v/>
      </c>
      <c r="AI108">
        <f>S108</f>
        <v/>
      </c>
      <c r="AJ108">
        <f>T108</f>
        <v/>
      </c>
      <c r="AK108">
        <f>R108</f>
        <v/>
      </c>
      <c r="AL108">
        <f>U108</f>
        <v/>
      </c>
      <c r="AM108">
        <f>IF(ISNUMBER(SEARCH("CAPITAL FUNDING",D108)),1,0)</f>
        <v/>
      </c>
      <c r="AN108">
        <f>IF(ISNUMBER(SEARCH("PNC",D108)),1,0)</f>
        <v/>
      </c>
      <c r="AO108">
        <f>IF(ISNUMBER(SEARCH("WELLS FARGO",D108)),1,0)</f>
        <v/>
      </c>
      <c r="AP108">
        <f>IF(ISNUMBER(SEARCH("DWIGHT",D108)),1,0)</f>
        <v/>
      </c>
      <c r="AQ108">
        <f>IF(ISNUMBER(SEARCH("GREYSTONE",D108)),1,0)</f>
        <v/>
      </c>
      <c r="AR108">
        <f>IF(OR(Q108="3896",Q108="3557"),1,0)</f>
        <v/>
      </c>
      <c r="AS108" s="24">
        <f>V108*W108</f>
        <v/>
      </c>
      <c r="AT108" s="26">
        <f>V$4*(V108-V$3)</f>
        <v/>
      </c>
      <c r="AU108" s="26">
        <f>W$4*(W108-W$3)</f>
        <v/>
      </c>
      <c r="AV108" s="26">
        <f>X$4*(X108-X$3)</f>
        <v/>
      </c>
      <c r="AW108" s="26">
        <f>Y$4*(Y108-Y$3)</f>
        <v/>
      </c>
      <c r="AX108" s="26">
        <f>Z$4*(Z108-Z$3)</f>
        <v/>
      </c>
      <c r="AY108" s="26">
        <f>AA$4*(AA108-AA$3)</f>
        <v/>
      </c>
      <c r="AZ108" s="26">
        <f>AB$4*(AB108-AB$3)</f>
        <v/>
      </c>
      <c r="BA108" s="26">
        <f>AC$4*(AC108-AC$3)</f>
        <v/>
      </c>
      <c r="BB108" s="26">
        <f>AD$4*(AD108-AD$3)</f>
        <v/>
      </c>
      <c r="BC108" s="26">
        <f>AE$4*(AE108-AE$3)</f>
        <v/>
      </c>
      <c r="BD108" s="26">
        <f>AF$4*(AF108-AF$3)</f>
        <v/>
      </c>
      <c r="BE108" s="26">
        <f>AG$4*(AG108-AG$3)</f>
        <v/>
      </c>
      <c r="BF108" s="26">
        <f>AH$4*(AH108-AH$3)</f>
        <v/>
      </c>
      <c r="BG108" s="26">
        <f>AI$4*(AI108-AI$3)</f>
        <v/>
      </c>
      <c r="BH108" s="26">
        <f>AJ$4*(AJ108-AJ$3)</f>
        <v/>
      </c>
      <c r="BI108" s="26">
        <f>AK$4*(AK108-AK$3)</f>
        <v/>
      </c>
      <c r="BJ108" s="26">
        <f>AL$4*(AL108-AL$3)</f>
        <v/>
      </c>
      <c r="BK108" s="26">
        <f>AM$4*(AM108-AM$3)</f>
        <v/>
      </c>
      <c r="BL108" s="26">
        <f>AN$4*(AN108-AN$3)</f>
        <v/>
      </c>
      <c r="BM108" s="26">
        <f>AO$4*(AO108-AO$3)</f>
        <v/>
      </c>
      <c r="BN108" s="26">
        <f>AP$4*(AP108-AP$3)</f>
        <v/>
      </c>
      <c r="BO108" s="26">
        <f>AQ$4*(AQ108-AQ$3)</f>
        <v/>
      </c>
      <c r="BP108" s="26">
        <f>AR$4*(AR108-AR$3)</f>
        <v/>
      </c>
      <c r="BQ108" s="26">
        <f>AS$4*(AS108-AS$3)</f>
        <v/>
      </c>
      <c r="BR108" s="27">
        <f>SUM(AT108:BQ108)</f>
        <v/>
      </c>
      <c r="BS108" s="27">
        <f>INTERCEPT_SCALED+BR108</f>
        <v/>
      </c>
      <c r="BT108" s="28">
        <f>1/(1+EXP(-BS108))</f>
        <v/>
      </c>
      <c r="BU108" s="13">
        <f>1-(1-BT108)^12</f>
        <v/>
      </c>
      <c r="BV108" s="13">
        <f>IFERROR(AT108/BR108*(BU108-BASELINE_CPR),0)</f>
        <v/>
      </c>
      <c r="BW108" s="13">
        <f>IFERROR(AU108/BR108*(BU108-BASELINE_CPR),0)</f>
        <v/>
      </c>
      <c r="BX108" s="13">
        <f>IFERROR(AV108/BR108*(BU108-BASELINE_CPR),0)</f>
        <v/>
      </c>
      <c r="BY108" s="13">
        <f>IFERROR(AW108/BR108*(BU108-BASELINE_CPR),0)</f>
        <v/>
      </c>
      <c r="BZ108" s="13">
        <f>IFERROR(AX108/BR108*(BU108-BASELINE_CPR),0)</f>
        <v/>
      </c>
      <c r="CA108" s="13">
        <f>IFERROR(AY108/BR108*(BU108-BASELINE_CPR),0)</f>
        <v/>
      </c>
      <c r="CB108" s="13">
        <f>IFERROR(AZ108/BR108*(BU108-BASELINE_CPR),0)</f>
        <v/>
      </c>
      <c r="CC108" s="13">
        <f>IFERROR(BA108/BR108*(BU108-BASELINE_CPR),0)</f>
        <v/>
      </c>
      <c r="CD108" s="13">
        <f>IFERROR(BB108/BR108*(BU108-BASELINE_CPR),0)</f>
        <v/>
      </c>
      <c r="CE108" s="13">
        <f>IFERROR(BC108/BR108*(BU108-BASELINE_CPR),0)</f>
        <v/>
      </c>
      <c r="CF108" s="13">
        <f>IFERROR(BD108/BR108*(BU108-BASELINE_CPR),0)</f>
        <v/>
      </c>
      <c r="CG108" s="13">
        <f>IFERROR(BE108/BR108*(BU108-BASELINE_CPR),0)</f>
        <v/>
      </c>
      <c r="CH108" s="13">
        <f>IFERROR(BF108/BR108*(BU108-BASELINE_CPR),0)</f>
        <v/>
      </c>
      <c r="CI108" s="13">
        <f>IFERROR(BG108/BR108*(BU108-BASELINE_CPR),0)</f>
        <v/>
      </c>
      <c r="CJ108" s="13">
        <f>IFERROR(BH108/BR108*(BU108-BASELINE_CPR),0)</f>
        <v/>
      </c>
      <c r="CK108" s="13">
        <f>IFERROR(BI108/BR108*(BU108-BASELINE_CPR),0)</f>
        <v/>
      </c>
      <c r="CL108" s="13">
        <f>IFERROR(BJ108/BR108*(BU108-BASELINE_CPR),0)</f>
        <v/>
      </c>
      <c r="CM108" s="13">
        <f>IFERROR(BK108/BR108*(BU108-BASELINE_CPR),0)</f>
        <v/>
      </c>
      <c r="CN108" s="13">
        <f>IFERROR(BL108/BR108*(BU108-BASELINE_CPR),0)</f>
        <v/>
      </c>
      <c r="CO108" s="13">
        <f>IFERROR(BM108/BR108*(BU108-BASELINE_CPR),0)</f>
        <v/>
      </c>
      <c r="CP108" s="13">
        <f>IFERROR(BN108/BR108*(BU108-BASELINE_CPR),0)</f>
        <v/>
      </c>
      <c r="CQ108" s="13">
        <f>IFERROR(BO108/BR108*(BU108-BASELINE_CPR),0)</f>
        <v/>
      </c>
      <c r="CR108" s="13">
        <f>IFERROR(BP108/BR108*(BU108-BASELINE_CPR),0)</f>
        <v/>
      </c>
      <c r="CS108" s="13">
        <f>IFERROR(BQ108/BR108*(BU108-BASELINE_CPR),0)</f>
        <v/>
      </c>
      <c r="CT108" s="29">
        <f>BASELINE_CPR+SUM(BV108:CS108)-BU108</f>
        <v/>
      </c>
    </row>
    <row r="109">
      <c r="A109" s="2" t="inlineStr">
        <is>
          <t>3618BKU80_000000001243322</t>
        </is>
      </c>
      <c r="B109" t="inlineStr">
        <is>
          <t>GREYSTONE_POST21</t>
        </is>
      </c>
      <c r="C109" s="2" t="inlineStr">
        <is>
          <t>3618BKU80</t>
        </is>
      </c>
      <c r="D109" t="inlineStr">
        <is>
          <t>GREYSTONE FUNDING COMPANY LLC</t>
        </is>
      </c>
      <c r="E109" t="inlineStr">
        <is>
          <t>232</t>
        </is>
      </c>
      <c r="F109" t="inlineStr">
        <is>
          <t>NC</t>
        </is>
      </c>
      <c r="G109" t="n">
        <v>2023</v>
      </c>
      <c r="H109" t="inlineStr">
        <is>
          <t>202602</t>
        </is>
      </c>
      <c r="I109" s="22" t="n">
        <v>25884385.79</v>
      </c>
      <c r="J109" s="23" t="n">
        <v>5.69</v>
      </c>
      <c r="K109" s="24" t="n">
        <v>447</v>
      </c>
      <c r="L109" s="24" t="n">
        <v>9</v>
      </c>
      <c r="M109" t="n">
        <v>32</v>
      </c>
      <c r="N109" t="n">
        <v>0</v>
      </c>
      <c r="O109" t="n">
        <v>206501</v>
      </c>
      <c r="P109" t="inlineStr"/>
      <c r="Q109" t="inlineStr">
        <is>
          <t>4168</t>
        </is>
      </c>
      <c r="R109" t="n">
        <v>1</v>
      </c>
      <c r="S109" t="n">
        <v>0</v>
      </c>
      <c r="T109" t="n">
        <v>0</v>
      </c>
      <c r="U109" t="n">
        <v>1</v>
      </c>
      <c r="V109" s="24">
        <f>J109*100-K109</f>
        <v/>
      </c>
      <c r="W109" s="24">
        <f>L109</f>
        <v/>
      </c>
      <c r="X109" s="25">
        <f>MIN(M109,36)</f>
        <v/>
      </c>
      <c r="Y109" s="25">
        <f>MIN(MAX(M109-36,0),84)</f>
        <v/>
      </c>
      <c r="Z109" s="25">
        <f>MAX(M109-120,0)</f>
        <v/>
      </c>
      <c r="AA109" s="25">
        <f>IF(OR(O109="",NOT(ISNUMBER(O109))),360,MAX(0,MIN(480,(INT(O109/100)-INT(VALUE(H109)/100))*12+MOD(O109,100)-MOD(VALUE(H109),100))))</f>
        <v/>
      </c>
      <c r="AB109">
        <f>IF(AND(AA109&gt;0,AA109&lt;=24),1,0)</f>
        <v/>
      </c>
      <c r="AC109" s="25">
        <f>IF(OR(P109="",NOT(ISNUMBER(P109))),0,MAX(0,MIN(24,(INT(VALUE(H109)/100)-INT(P109/100))*12+MOD(VALUE(H109),100)-MOD(P109,100))))</f>
        <v/>
      </c>
      <c r="AD109" s="23">
        <f>LN(1+I109)</f>
        <v/>
      </c>
      <c r="AE109">
        <f>IF(I109&lt;2000000,1,0)</f>
        <v/>
      </c>
      <c r="AF109">
        <f>IF(I109&gt;50000000,1,0)</f>
        <v/>
      </c>
      <c r="AG109" s="23">
        <f>IF(ISNUMBER(M109),N109/MAX(M109,1),0)</f>
        <v/>
      </c>
      <c r="AH109">
        <f>IF(G109&gt;=2021,1,0)</f>
        <v/>
      </c>
      <c r="AI109">
        <f>S109</f>
        <v/>
      </c>
      <c r="AJ109">
        <f>T109</f>
        <v/>
      </c>
      <c r="AK109">
        <f>R109</f>
        <v/>
      </c>
      <c r="AL109">
        <f>U109</f>
        <v/>
      </c>
      <c r="AM109">
        <f>IF(ISNUMBER(SEARCH("CAPITAL FUNDING",D109)),1,0)</f>
        <v/>
      </c>
      <c r="AN109">
        <f>IF(ISNUMBER(SEARCH("PNC",D109)),1,0)</f>
        <v/>
      </c>
      <c r="AO109">
        <f>IF(ISNUMBER(SEARCH("WELLS FARGO",D109)),1,0)</f>
        <v/>
      </c>
      <c r="AP109">
        <f>IF(ISNUMBER(SEARCH("DWIGHT",D109)),1,0)</f>
        <v/>
      </c>
      <c r="AQ109">
        <f>IF(ISNUMBER(SEARCH("GREYSTONE",D109)),1,0)</f>
        <v/>
      </c>
      <c r="AR109">
        <f>IF(OR(Q109="3896",Q109="3557"),1,0)</f>
        <v/>
      </c>
      <c r="AS109" s="24">
        <f>V109*W109</f>
        <v/>
      </c>
      <c r="AT109" s="26">
        <f>V$4*(V109-V$3)</f>
        <v/>
      </c>
      <c r="AU109" s="26">
        <f>W$4*(W109-W$3)</f>
        <v/>
      </c>
      <c r="AV109" s="26">
        <f>X$4*(X109-X$3)</f>
        <v/>
      </c>
      <c r="AW109" s="26">
        <f>Y$4*(Y109-Y$3)</f>
        <v/>
      </c>
      <c r="AX109" s="26">
        <f>Z$4*(Z109-Z$3)</f>
        <v/>
      </c>
      <c r="AY109" s="26">
        <f>AA$4*(AA109-AA$3)</f>
        <v/>
      </c>
      <c r="AZ109" s="26">
        <f>AB$4*(AB109-AB$3)</f>
        <v/>
      </c>
      <c r="BA109" s="26">
        <f>AC$4*(AC109-AC$3)</f>
        <v/>
      </c>
      <c r="BB109" s="26">
        <f>AD$4*(AD109-AD$3)</f>
        <v/>
      </c>
      <c r="BC109" s="26">
        <f>AE$4*(AE109-AE$3)</f>
        <v/>
      </c>
      <c r="BD109" s="26">
        <f>AF$4*(AF109-AF$3)</f>
        <v/>
      </c>
      <c r="BE109" s="26">
        <f>AG$4*(AG109-AG$3)</f>
        <v/>
      </c>
      <c r="BF109" s="26">
        <f>AH$4*(AH109-AH$3)</f>
        <v/>
      </c>
      <c r="BG109" s="26">
        <f>AI$4*(AI109-AI$3)</f>
        <v/>
      </c>
      <c r="BH109" s="26">
        <f>AJ$4*(AJ109-AJ$3)</f>
        <v/>
      </c>
      <c r="BI109" s="26">
        <f>AK$4*(AK109-AK$3)</f>
        <v/>
      </c>
      <c r="BJ109" s="26">
        <f>AL$4*(AL109-AL$3)</f>
        <v/>
      </c>
      <c r="BK109" s="26">
        <f>AM$4*(AM109-AM$3)</f>
        <v/>
      </c>
      <c r="BL109" s="26">
        <f>AN$4*(AN109-AN$3)</f>
        <v/>
      </c>
      <c r="BM109" s="26">
        <f>AO$4*(AO109-AO$3)</f>
        <v/>
      </c>
      <c r="BN109" s="26">
        <f>AP$4*(AP109-AP$3)</f>
        <v/>
      </c>
      <c r="BO109" s="26">
        <f>AQ$4*(AQ109-AQ$3)</f>
        <v/>
      </c>
      <c r="BP109" s="26">
        <f>AR$4*(AR109-AR$3)</f>
        <v/>
      </c>
      <c r="BQ109" s="26">
        <f>AS$4*(AS109-AS$3)</f>
        <v/>
      </c>
      <c r="BR109" s="27">
        <f>SUM(AT109:BQ109)</f>
        <v/>
      </c>
      <c r="BS109" s="27">
        <f>INTERCEPT_SCALED+BR109</f>
        <v/>
      </c>
      <c r="BT109" s="28">
        <f>1/(1+EXP(-BS109))</f>
        <v/>
      </c>
      <c r="BU109" s="13">
        <f>1-(1-BT109)^12</f>
        <v/>
      </c>
      <c r="BV109" s="13">
        <f>IFERROR(AT109/BR109*(BU109-BASELINE_CPR),0)</f>
        <v/>
      </c>
      <c r="BW109" s="13">
        <f>IFERROR(AU109/BR109*(BU109-BASELINE_CPR),0)</f>
        <v/>
      </c>
      <c r="BX109" s="13">
        <f>IFERROR(AV109/BR109*(BU109-BASELINE_CPR),0)</f>
        <v/>
      </c>
      <c r="BY109" s="13">
        <f>IFERROR(AW109/BR109*(BU109-BASELINE_CPR),0)</f>
        <v/>
      </c>
      <c r="BZ109" s="13">
        <f>IFERROR(AX109/BR109*(BU109-BASELINE_CPR),0)</f>
        <v/>
      </c>
      <c r="CA109" s="13">
        <f>IFERROR(AY109/BR109*(BU109-BASELINE_CPR),0)</f>
        <v/>
      </c>
      <c r="CB109" s="13">
        <f>IFERROR(AZ109/BR109*(BU109-BASELINE_CPR),0)</f>
        <v/>
      </c>
      <c r="CC109" s="13">
        <f>IFERROR(BA109/BR109*(BU109-BASELINE_CPR),0)</f>
        <v/>
      </c>
      <c r="CD109" s="13">
        <f>IFERROR(BB109/BR109*(BU109-BASELINE_CPR),0)</f>
        <v/>
      </c>
      <c r="CE109" s="13">
        <f>IFERROR(BC109/BR109*(BU109-BASELINE_CPR),0)</f>
        <v/>
      </c>
      <c r="CF109" s="13">
        <f>IFERROR(BD109/BR109*(BU109-BASELINE_CPR),0)</f>
        <v/>
      </c>
      <c r="CG109" s="13">
        <f>IFERROR(BE109/BR109*(BU109-BASELINE_CPR),0)</f>
        <v/>
      </c>
      <c r="CH109" s="13">
        <f>IFERROR(BF109/BR109*(BU109-BASELINE_CPR),0)</f>
        <v/>
      </c>
      <c r="CI109" s="13">
        <f>IFERROR(BG109/BR109*(BU109-BASELINE_CPR),0)</f>
        <v/>
      </c>
      <c r="CJ109" s="13">
        <f>IFERROR(BH109/BR109*(BU109-BASELINE_CPR),0)</f>
        <v/>
      </c>
      <c r="CK109" s="13">
        <f>IFERROR(BI109/BR109*(BU109-BASELINE_CPR),0)</f>
        <v/>
      </c>
      <c r="CL109" s="13">
        <f>IFERROR(BJ109/BR109*(BU109-BASELINE_CPR),0)</f>
        <v/>
      </c>
      <c r="CM109" s="13">
        <f>IFERROR(BK109/BR109*(BU109-BASELINE_CPR),0)</f>
        <v/>
      </c>
      <c r="CN109" s="13">
        <f>IFERROR(BL109/BR109*(BU109-BASELINE_CPR),0)</f>
        <v/>
      </c>
      <c r="CO109" s="13">
        <f>IFERROR(BM109/BR109*(BU109-BASELINE_CPR),0)</f>
        <v/>
      </c>
      <c r="CP109" s="13">
        <f>IFERROR(BN109/BR109*(BU109-BASELINE_CPR),0)</f>
        <v/>
      </c>
      <c r="CQ109" s="13">
        <f>IFERROR(BO109/BR109*(BU109-BASELINE_CPR),0)</f>
        <v/>
      </c>
      <c r="CR109" s="13">
        <f>IFERROR(BP109/BR109*(BU109-BASELINE_CPR),0)</f>
        <v/>
      </c>
      <c r="CS109" s="13">
        <f>IFERROR(BQ109/BR109*(BU109-BASELINE_CPR),0)</f>
        <v/>
      </c>
      <c r="CT109" s="29">
        <f>BASELINE_CPR+SUM(BV109:CS109)-BU109</f>
        <v/>
      </c>
    </row>
    <row r="110">
      <c r="A110" s="2" t="inlineStr">
        <is>
          <t>3618BKVK2_000000011511423</t>
        </is>
      </c>
      <c r="B110" t="inlineStr">
        <is>
          <t>GREYSTONE_POST21</t>
        </is>
      </c>
      <c r="C110" s="2" t="inlineStr">
        <is>
          <t>3618BKVK2</t>
        </is>
      </c>
      <c r="D110" t="inlineStr">
        <is>
          <t>GREYSTONE FUNDING COMPANY LLC</t>
        </is>
      </c>
      <c r="E110" t="inlineStr">
        <is>
          <t>223f</t>
        </is>
      </c>
      <c r="F110" t="inlineStr">
        <is>
          <t>RP</t>
        </is>
      </c>
      <c r="G110" t="n">
        <v>2023</v>
      </c>
      <c r="H110" t="inlineStr">
        <is>
          <t>202602</t>
        </is>
      </c>
      <c r="I110" s="22" t="n">
        <v>3566840.6</v>
      </c>
      <c r="J110" s="23" t="n">
        <v>5.9</v>
      </c>
      <c r="K110" s="24" t="n">
        <v>447</v>
      </c>
      <c r="L110" s="24" t="n">
        <v>8</v>
      </c>
      <c r="M110" t="n">
        <v>30</v>
      </c>
      <c r="N110" t="n">
        <v>2</v>
      </c>
      <c r="O110" t="n">
        <v>205809</v>
      </c>
      <c r="P110" t="inlineStr"/>
      <c r="Q110" t="inlineStr">
        <is>
          <t>4168</t>
        </is>
      </c>
      <c r="R110" t="n">
        <v>0</v>
      </c>
      <c r="S110" t="n">
        <v>0</v>
      </c>
      <c r="T110" t="n">
        <v>0</v>
      </c>
      <c r="U110" t="n">
        <v>0</v>
      </c>
      <c r="V110" s="24">
        <f>J110*100-K110</f>
        <v/>
      </c>
      <c r="W110" s="24">
        <f>L110</f>
        <v/>
      </c>
      <c r="X110" s="25">
        <f>MIN(M110,36)</f>
        <v/>
      </c>
      <c r="Y110" s="25">
        <f>MIN(MAX(M110-36,0),84)</f>
        <v/>
      </c>
      <c r="Z110" s="25">
        <f>MAX(M110-120,0)</f>
        <v/>
      </c>
      <c r="AA110" s="25">
        <f>IF(OR(O110="",NOT(ISNUMBER(O110))),360,MAX(0,MIN(480,(INT(O110/100)-INT(VALUE(H110)/100))*12+MOD(O110,100)-MOD(VALUE(H110),100))))</f>
        <v/>
      </c>
      <c r="AB110">
        <f>IF(AND(AA110&gt;0,AA110&lt;=24),1,0)</f>
        <v/>
      </c>
      <c r="AC110" s="25">
        <f>IF(OR(P110="",NOT(ISNUMBER(P110))),0,MAX(0,MIN(24,(INT(VALUE(H110)/100)-INT(P110/100))*12+MOD(VALUE(H110),100)-MOD(P110,100))))</f>
        <v/>
      </c>
      <c r="AD110" s="23">
        <f>LN(1+I110)</f>
        <v/>
      </c>
      <c r="AE110">
        <f>IF(I110&lt;2000000,1,0)</f>
        <v/>
      </c>
      <c r="AF110">
        <f>IF(I110&gt;50000000,1,0)</f>
        <v/>
      </c>
      <c r="AG110" s="23">
        <f>IF(ISNUMBER(M110),N110/MAX(M110,1),0)</f>
        <v/>
      </c>
      <c r="AH110">
        <f>IF(G110&gt;=2021,1,0)</f>
        <v/>
      </c>
      <c r="AI110">
        <f>S110</f>
        <v/>
      </c>
      <c r="AJ110">
        <f>T110</f>
        <v/>
      </c>
      <c r="AK110">
        <f>R110</f>
        <v/>
      </c>
      <c r="AL110">
        <f>U110</f>
        <v/>
      </c>
      <c r="AM110">
        <f>IF(ISNUMBER(SEARCH("CAPITAL FUNDING",D110)),1,0)</f>
        <v/>
      </c>
      <c r="AN110">
        <f>IF(ISNUMBER(SEARCH("PNC",D110)),1,0)</f>
        <v/>
      </c>
      <c r="AO110">
        <f>IF(ISNUMBER(SEARCH("WELLS FARGO",D110)),1,0)</f>
        <v/>
      </c>
      <c r="AP110">
        <f>IF(ISNUMBER(SEARCH("DWIGHT",D110)),1,0)</f>
        <v/>
      </c>
      <c r="AQ110">
        <f>IF(ISNUMBER(SEARCH("GREYSTONE",D110)),1,0)</f>
        <v/>
      </c>
      <c r="AR110">
        <f>IF(OR(Q110="3896",Q110="3557"),1,0)</f>
        <v/>
      </c>
      <c r="AS110" s="24">
        <f>V110*W110</f>
        <v/>
      </c>
      <c r="AT110" s="26">
        <f>V$4*(V110-V$3)</f>
        <v/>
      </c>
      <c r="AU110" s="26">
        <f>W$4*(W110-W$3)</f>
        <v/>
      </c>
      <c r="AV110" s="26">
        <f>X$4*(X110-X$3)</f>
        <v/>
      </c>
      <c r="AW110" s="26">
        <f>Y$4*(Y110-Y$3)</f>
        <v/>
      </c>
      <c r="AX110" s="26">
        <f>Z$4*(Z110-Z$3)</f>
        <v/>
      </c>
      <c r="AY110" s="26">
        <f>AA$4*(AA110-AA$3)</f>
        <v/>
      </c>
      <c r="AZ110" s="26">
        <f>AB$4*(AB110-AB$3)</f>
        <v/>
      </c>
      <c r="BA110" s="26">
        <f>AC$4*(AC110-AC$3)</f>
        <v/>
      </c>
      <c r="BB110" s="26">
        <f>AD$4*(AD110-AD$3)</f>
        <v/>
      </c>
      <c r="BC110" s="26">
        <f>AE$4*(AE110-AE$3)</f>
        <v/>
      </c>
      <c r="BD110" s="26">
        <f>AF$4*(AF110-AF$3)</f>
        <v/>
      </c>
      <c r="BE110" s="26">
        <f>AG$4*(AG110-AG$3)</f>
        <v/>
      </c>
      <c r="BF110" s="26">
        <f>AH$4*(AH110-AH$3)</f>
        <v/>
      </c>
      <c r="BG110" s="26">
        <f>AI$4*(AI110-AI$3)</f>
        <v/>
      </c>
      <c r="BH110" s="26">
        <f>AJ$4*(AJ110-AJ$3)</f>
        <v/>
      </c>
      <c r="BI110" s="26">
        <f>AK$4*(AK110-AK$3)</f>
        <v/>
      </c>
      <c r="BJ110" s="26">
        <f>AL$4*(AL110-AL$3)</f>
        <v/>
      </c>
      <c r="BK110" s="26">
        <f>AM$4*(AM110-AM$3)</f>
        <v/>
      </c>
      <c r="BL110" s="26">
        <f>AN$4*(AN110-AN$3)</f>
        <v/>
      </c>
      <c r="BM110" s="26">
        <f>AO$4*(AO110-AO$3)</f>
        <v/>
      </c>
      <c r="BN110" s="26">
        <f>AP$4*(AP110-AP$3)</f>
        <v/>
      </c>
      <c r="BO110" s="26">
        <f>AQ$4*(AQ110-AQ$3)</f>
        <v/>
      </c>
      <c r="BP110" s="26">
        <f>AR$4*(AR110-AR$3)</f>
        <v/>
      </c>
      <c r="BQ110" s="26">
        <f>AS$4*(AS110-AS$3)</f>
        <v/>
      </c>
      <c r="BR110" s="27">
        <f>SUM(AT110:BQ110)</f>
        <v/>
      </c>
      <c r="BS110" s="27">
        <f>INTERCEPT_SCALED+BR110</f>
        <v/>
      </c>
      <c r="BT110" s="28">
        <f>1/(1+EXP(-BS110))</f>
        <v/>
      </c>
      <c r="BU110" s="13">
        <f>1-(1-BT110)^12</f>
        <v/>
      </c>
      <c r="BV110" s="13">
        <f>IFERROR(AT110/BR110*(BU110-BASELINE_CPR),0)</f>
        <v/>
      </c>
      <c r="BW110" s="13">
        <f>IFERROR(AU110/BR110*(BU110-BASELINE_CPR),0)</f>
        <v/>
      </c>
      <c r="BX110" s="13">
        <f>IFERROR(AV110/BR110*(BU110-BASELINE_CPR),0)</f>
        <v/>
      </c>
      <c r="BY110" s="13">
        <f>IFERROR(AW110/BR110*(BU110-BASELINE_CPR),0)</f>
        <v/>
      </c>
      <c r="BZ110" s="13">
        <f>IFERROR(AX110/BR110*(BU110-BASELINE_CPR),0)</f>
        <v/>
      </c>
      <c r="CA110" s="13">
        <f>IFERROR(AY110/BR110*(BU110-BASELINE_CPR),0)</f>
        <v/>
      </c>
      <c r="CB110" s="13">
        <f>IFERROR(AZ110/BR110*(BU110-BASELINE_CPR),0)</f>
        <v/>
      </c>
      <c r="CC110" s="13">
        <f>IFERROR(BA110/BR110*(BU110-BASELINE_CPR),0)</f>
        <v/>
      </c>
      <c r="CD110" s="13">
        <f>IFERROR(BB110/BR110*(BU110-BASELINE_CPR),0)</f>
        <v/>
      </c>
      <c r="CE110" s="13">
        <f>IFERROR(BC110/BR110*(BU110-BASELINE_CPR),0)</f>
        <v/>
      </c>
      <c r="CF110" s="13">
        <f>IFERROR(BD110/BR110*(BU110-BASELINE_CPR),0)</f>
        <v/>
      </c>
      <c r="CG110" s="13">
        <f>IFERROR(BE110/BR110*(BU110-BASELINE_CPR),0)</f>
        <v/>
      </c>
      <c r="CH110" s="13">
        <f>IFERROR(BF110/BR110*(BU110-BASELINE_CPR),0)</f>
        <v/>
      </c>
      <c r="CI110" s="13">
        <f>IFERROR(BG110/BR110*(BU110-BASELINE_CPR),0)</f>
        <v/>
      </c>
      <c r="CJ110" s="13">
        <f>IFERROR(BH110/BR110*(BU110-BASELINE_CPR),0)</f>
        <v/>
      </c>
      <c r="CK110" s="13">
        <f>IFERROR(BI110/BR110*(BU110-BASELINE_CPR),0)</f>
        <v/>
      </c>
      <c r="CL110" s="13">
        <f>IFERROR(BJ110/BR110*(BU110-BASELINE_CPR),0)</f>
        <v/>
      </c>
      <c r="CM110" s="13">
        <f>IFERROR(BK110/BR110*(BU110-BASELINE_CPR),0)</f>
        <v/>
      </c>
      <c r="CN110" s="13">
        <f>IFERROR(BL110/BR110*(BU110-BASELINE_CPR),0)</f>
        <v/>
      </c>
      <c r="CO110" s="13">
        <f>IFERROR(BM110/BR110*(BU110-BASELINE_CPR),0)</f>
        <v/>
      </c>
      <c r="CP110" s="13">
        <f>IFERROR(BN110/BR110*(BU110-BASELINE_CPR),0)</f>
        <v/>
      </c>
      <c r="CQ110" s="13">
        <f>IFERROR(BO110/BR110*(BU110-BASELINE_CPR),0)</f>
        <v/>
      </c>
      <c r="CR110" s="13">
        <f>IFERROR(BP110/BR110*(BU110-BASELINE_CPR),0)</f>
        <v/>
      </c>
      <c r="CS110" s="13">
        <f>IFERROR(BQ110/BR110*(BU110-BASELINE_CPR),0)</f>
        <v/>
      </c>
      <c r="CT110" s="29">
        <f>BASELINE_CPR+SUM(BV110:CS110)-BU110</f>
        <v/>
      </c>
    </row>
    <row r="111">
      <c r="A111" s="2" t="inlineStr">
        <is>
          <t>3617WSAE1_000000006311131</t>
        </is>
      </c>
      <c r="B111" t="inlineStr">
        <is>
          <t>GREYSTONE_PRE21</t>
        </is>
      </c>
      <c r="C111" s="2" t="inlineStr">
        <is>
          <t>3617WSAE1</t>
        </is>
      </c>
      <c r="D111" t="inlineStr">
        <is>
          <t>GREYSTONE FUNDING COMPANY LLC</t>
        </is>
      </c>
      <c r="E111" t="inlineStr">
        <is>
          <t>223f</t>
        </is>
      </c>
      <c r="F111" t="inlineStr">
        <is>
          <t>RP</t>
        </is>
      </c>
      <c r="G111" t="n">
        <v>2018</v>
      </c>
      <c r="H111" t="inlineStr">
        <is>
          <t>202602</t>
        </is>
      </c>
      <c r="I111" s="22" t="n">
        <v>22168905.15</v>
      </c>
      <c r="J111" s="23" t="n">
        <v>2.7</v>
      </c>
      <c r="K111" s="24" t="n">
        <v>447</v>
      </c>
      <c r="L111" s="24" t="n">
        <v>6</v>
      </c>
      <c r="M111" t="n">
        <v>96</v>
      </c>
      <c r="N111" t="n">
        <v>0</v>
      </c>
      <c r="O111" t="n">
        <v>205303</v>
      </c>
      <c r="P111" t="inlineStr"/>
      <c r="Q111" t="inlineStr">
        <is>
          <t>4168</t>
        </is>
      </c>
      <c r="R111" t="n">
        <v>0</v>
      </c>
      <c r="S111" t="n">
        <v>0</v>
      </c>
      <c r="T111" t="n">
        <v>0</v>
      </c>
      <c r="U111" t="n">
        <v>0</v>
      </c>
      <c r="V111" s="24">
        <f>J111*100-K111</f>
        <v/>
      </c>
      <c r="W111" s="24">
        <f>L111</f>
        <v/>
      </c>
      <c r="X111" s="25">
        <f>MIN(M111,36)</f>
        <v/>
      </c>
      <c r="Y111" s="25">
        <f>MIN(MAX(M111-36,0),84)</f>
        <v/>
      </c>
      <c r="Z111" s="25">
        <f>MAX(M111-120,0)</f>
        <v/>
      </c>
      <c r="AA111" s="25">
        <f>IF(OR(O111="",NOT(ISNUMBER(O111))),360,MAX(0,MIN(480,(INT(O111/100)-INT(VALUE(H111)/100))*12+MOD(O111,100)-MOD(VALUE(H111),100))))</f>
        <v/>
      </c>
      <c r="AB111">
        <f>IF(AND(AA111&gt;0,AA111&lt;=24),1,0)</f>
        <v/>
      </c>
      <c r="AC111" s="25">
        <f>IF(OR(P111="",NOT(ISNUMBER(P111))),0,MAX(0,MIN(24,(INT(VALUE(H111)/100)-INT(P111/100))*12+MOD(VALUE(H111),100)-MOD(P111,100))))</f>
        <v/>
      </c>
      <c r="AD111" s="23">
        <f>LN(1+I111)</f>
        <v/>
      </c>
      <c r="AE111">
        <f>IF(I111&lt;2000000,1,0)</f>
        <v/>
      </c>
      <c r="AF111">
        <f>IF(I111&gt;50000000,1,0)</f>
        <v/>
      </c>
      <c r="AG111" s="23">
        <f>IF(ISNUMBER(M111),N111/MAX(M111,1),0)</f>
        <v/>
      </c>
      <c r="AH111">
        <f>IF(G111&gt;=2021,1,0)</f>
        <v/>
      </c>
      <c r="AI111">
        <f>S111</f>
        <v/>
      </c>
      <c r="AJ111">
        <f>T111</f>
        <v/>
      </c>
      <c r="AK111">
        <f>R111</f>
        <v/>
      </c>
      <c r="AL111">
        <f>U111</f>
        <v/>
      </c>
      <c r="AM111">
        <f>IF(ISNUMBER(SEARCH("CAPITAL FUNDING",D111)),1,0)</f>
        <v/>
      </c>
      <c r="AN111">
        <f>IF(ISNUMBER(SEARCH("PNC",D111)),1,0)</f>
        <v/>
      </c>
      <c r="AO111">
        <f>IF(ISNUMBER(SEARCH("WELLS FARGO",D111)),1,0)</f>
        <v/>
      </c>
      <c r="AP111">
        <f>IF(ISNUMBER(SEARCH("DWIGHT",D111)),1,0)</f>
        <v/>
      </c>
      <c r="AQ111">
        <f>IF(ISNUMBER(SEARCH("GREYSTONE",D111)),1,0)</f>
        <v/>
      </c>
      <c r="AR111">
        <f>IF(OR(Q111="3896",Q111="3557"),1,0)</f>
        <v/>
      </c>
      <c r="AS111" s="24">
        <f>V111*W111</f>
        <v/>
      </c>
      <c r="AT111" s="26">
        <f>V$4*(V111-V$3)</f>
        <v/>
      </c>
      <c r="AU111" s="26">
        <f>W$4*(W111-W$3)</f>
        <v/>
      </c>
      <c r="AV111" s="26">
        <f>X$4*(X111-X$3)</f>
        <v/>
      </c>
      <c r="AW111" s="26">
        <f>Y$4*(Y111-Y$3)</f>
        <v/>
      </c>
      <c r="AX111" s="26">
        <f>Z$4*(Z111-Z$3)</f>
        <v/>
      </c>
      <c r="AY111" s="26">
        <f>AA$4*(AA111-AA$3)</f>
        <v/>
      </c>
      <c r="AZ111" s="26">
        <f>AB$4*(AB111-AB$3)</f>
        <v/>
      </c>
      <c r="BA111" s="26">
        <f>AC$4*(AC111-AC$3)</f>
        <v/>
      </c>
      <c r="BB111" s="26">
        <f>AD$4*(AD111-AD$3)</f>
        <v/>
      </c>
      <c r="BC111" s="26">
        <f>AE$4*(AE111-AE$3)</f>
        <v/>
      </c>
      <c r="BD111" s="26">
        <f>AF$4*(AF111-AF$3)</f>
        <v/>
      </c>
      <c r="BE111" s="26">
        <f>AG$4*(AG111-AG$3)</f>
        <v/>
      </c>
      <c r="BF111" s="26">
        <f>AH$4*(AH111-AH$3)</f>
        <v/>
      </c>
      <c r="BG111" s="26">
        <f>AI$4*(AI111-AI$3)</f>
        <v/>
      </c>
      <c r="BH111" s="26">
        <f>AJ$4*(AJ111-AJ$3)</f>
        <v/>
      </c>
      <c r="BI111" s="26">
        <f>AK$4*(AK111-AK$3)</f>
        <v/>
      </c>
      <c r="BJ111" s="26">
        <f>AL$4*(AL111-AL$3)</f>
        <v/>
      </c>
      <c r="BK111" s="26">
        <f>AM$4*(AM111-AM$3)</f>
        <v/>
      </c>
      <c r="BL111" s="26">
        <f>AN$4*(AN111-AN$3)</f>
        <v/>
      </c>
      <c r="BM111" s="26">
        <f>AO$4*(AO111-AO$3)</f>
        <v/>
      </c>
      <c r="BN111" s="26">
        <f>AP$4*(AP111-AP$3)</f>
        <v/>
      </c>
      <c r="BO111" s="26">
        <f>AQ$4*(AQ111-AQ$3)</f>
        <v/>
      </c>
      <c r="BP111" s="26">
        <f>AR$4*(AR111-AR$3)</f>
        <v/>
      </c>
      <c r="BQ111" s="26">
        <f>AS$4*(AS111-AS$3)</f>
        <v/>
      </c>
      <c r="BR111" s="27">
        <f>SUM(AT111:BQ111)</f>
        <v/>
      </c>
      <c r="BS111" s="27">
        <f>INTERCEPT_SCALED+BR111</f>
        <v/>
      </c>
      <c r="BT111" s="28">
        <f>1/(1+EXP(-BS111))</f>
        <v/>
      </c>
      <c r="BU111" s="13">
        <f>1-(1-BT111)^12</f>
        <v/>
      </c>
      <c r="BV111" s="13">
        <f>IFERROR(AT111/BR111*(BU111-BASELINE_CPR),0)</f>
        <v/>
      </c>
      <c r="BW111" s="13">
        <f>IFERROR(AU111/BR111*(BU111-BASELINE_CPR),0)</f>
        <v/>
      </c>
      <c r="BX111" s="13">
        <f>IFERROR(AV111/BR111*(BU111-BASELINE_CPR),0)</f>
        <v/>
      </c>
      <c r="BY111" s="13">
        <f>IFERROR(AW111/BR111*(BU111-BASELINE_CPR),0)</f>
        <v/>
      </c>
      <c r="BZ111" s="13">
        <f>IFERROR(AX111/BR111*(BU111-BASELINE_CPR),0)</f>
        <v/>
      </c>
      <c r="CA111" s="13">
        <f>IFERROR(AY111/BR111*(BU111-BASELINE_CPR),0)</f>
        <v/>
      </c>
      <c r="CB111" s="13">
        <f>IFERROR(AZ111/BR111*(BU111-BASELINE_CPR),0)</f>
        <v/>
      </c>
      <c r="CC111" s="13">
        <f>IFERROR(BA111/BR111*(BU111-BASELINE_CPR),0)</f>
        <v/>
      </c>
      <c r="CD111" s="13">
        <f>IFERROR(BB111/BR111*(BU111-BASELINE_CPR),0)</f>
        <v/>
      </c>
      <c r="CE111" s="13">
        <f>IFERROR(BC111/BR111*(BU111-BASELINE_CPR),0)</f>
        <v/>
      </c>
      <c r="CF111" s="13">
        <f>IFERROR(BD111/BR111*(BU111-BASELINE_CPR),0)</f>
        <v/>
      </c>
      <c r="CG111" s="13">
        <f>IFERROR(BE111/BR111*(BU111-BASELINE_CPR),0)</f>
        <v/>
      </c>
      <c r="CH111" s="13">
        <f>IFERROR(BF111/BR111*(BU111-BASELINE_CPR),0)</f>
        <v/>
      </c>
      <c r="CI111" s="13">
        <f>IFERROR(BG111/BR111*(BU111-BASELINE_CPR),0)</f>
        <v/>
      </c>
      <c r="CJ111" s="13">
        <f>IFERROR(BH111/BR111*(BU111-BASELINE_CPR),0)</f>
        <v/>
      </c>
      <c r="CK111" s="13">
        <f>IFERROR(BI111/BR111*(BU111-BASELINE_CPR),0)</f>
        <v/>
      </c>
      <c r="CL111" s="13">
        <f>IFERROR(BJ111/BR111*(BU111-BASELINE_CPR),0)</f>
        <v/>
      </c>
      <c r="CM111" s="13">
        <f>IFERROR(BK111/BR111*(BU111-BASELINE_CPR),0)</f>
        <v/>
      </c>
      <c r="CN111" s="13">
        <f>IFERROR(BL111/BR111*(BU111-BASELINE_CPR),0)</f>
        <v/>
      </c>
      <c r="CO111" s="13">
        <f>IFERROR(BM111/BR111*(BU111-BASELINE_CPR),0)</f>
        <v/>
      </c>
      <c r="CP111" s="13">
        <f>IFERROR(BN111/BR111*(BU111-BASELINE_CPR),0)</f>
        <v/>
      </c>
      <c r="CQ111" s="13">
        <f>IFERROR(BO111/BR111*(BU111-BASELINE_CPR),0)</f>
        <v/>
      </c>
      <c r="CR111" s="13">
        <f>IFERROR(BP111/BR111*(BU111-BASELINE_CPR),0)</f>
        <v/>
      </c>
      <c r="CS111" s="13">
        <f>IFERROR(BQ111/BR111*(BU111-BASELINE_CPR),0)</f>
        <v/>
      </c>
      <c r="CT111" s="29">
        <f>BASELINE_CPR+SUM(BV111:CS111)-BU111</f>
        <v/>
      </c>
    </row>
    <row r="112">
      <c r="A112" s="2" t="inlineStr">
        <is>
          <t>3618HJ3X2_000000004222419</t>
        </is>
      </c>
      <c r="B112" t="inlineStr">
        <is>
          <t>GREYSTONE_POST21</t>
        </is>
      </c>
      <c r="C112" s="2" t="inlineStr">
        <is>
          <t>3618HJ3X2</t>
        </is>
      </c>
      <c r="D112" t="inlineStr">
        <is>
          <t>GREYSTONE FUNDING COMPANY LLC</t>
        </is>
      </c>
      <c r="E112" t="inlineStr">
        <is>
          <t>232</t>
        </is>
      </c>
      <c r="F112" t="inlineStr">
        <is>
          <t>RP</t>
        </is>
      </c>
      <c r="G112" t="n">
        <v>2024</v>
      </c>
      <c r="H112" t="inlineStr">
        <is>
          <t>202602</t>
        </is>
      </c>
      <c r="I112" s="22" t="n">
        <v>8449315.109999999</v>
      </c>
      <c r="J112" s="23" t="n">
        <v>5.82</v>
      </c>
      <c r="K112" s="24" t="n">
        <v>447</v>
      </c>
      <c r="L112" s="24" t="n">
        <v>10</v>
      </c>
      <c r="M112" t="n">
        <v>18</v>
      </c>
      <c r="N112" t="n">
        <v>0</v>
      </c>
      <c r="O112" t="n">
        <v>205909</v>
      </c>
      <c r="P112" t="inlineStr"/>
      <c r="Q112" t="inlineStr">
        <is>
          <t>4168</t>
        </is>
      </c>
      <c r="R112" t="n">
        <v>1</v>
      </c>
      <c r="S112" t="n">
        <v>0</v>
      </c>
      <c r="T112" t="n">
        <v>0</v>
      </c>
      <c r="U112" t="n">
        <v>0</v>
      </c>
      <c r="V112" s="24">
        <f>J112*100-K112</f>
        <v/>
      </c>
      <c r="W112" s="24">
        <f>L112</f>
        <v/>
      </c>
      <c r="X112" s="25">
        <f>MIN(M112,36)</f>
        <v/>
      </c>
      <c r="Y112" s="25">
        <f>MIN(MAX(M112-36,0),84)</f>
        <v/>
      </c>
      <c r="Z112" s="25">
        <f>MAX(M112-120,0)</f>
        <v/>
      </c>
      <c r="AA112" s="25">
        <f>IF(OR(O112="",NOT(ISNUMBER(O112))),360,MAX(0,MIN(480,(INT(O112/100)-INT(VALUE(H112)/100))*12+MOD(O112,100)-MOD(VALUE(H112),100))))</f>
        <v/>
      </c>
      <c r="AB112">
        <f>IF(AND(AA112&gt;0,AA112&lt;=24),1,0)</f>
        <v/>
      </c>
      <c r="AC112" s="25">
        <f>IF(OR(P112="",NOT(ISNUMBER(P112))),0,MAX(0,MIN(24,(INT(VALUE(H112)/100)-INT(P112/100))*12+MOD(VALUE(H112),100)-MOD(P112,100))))</f>
        <v/>
      </c>
      <c r="AD112" s="23">
        <f>LN(1+I112)</f>
        <v/>
      </c>
      <c r="AE112">
        <f>IF(I112&lt;2000000,1,0)</f>
        <v/>
      </c>
      <c r="AF112">
        <f>IF(I112&gt;50000000,1,0)</f>
        <v/>
      </c>
      <c r="AG112" s="23">
        <f>IF(ISNUMBER(M112),N112/MAX(M112,1),0)</f>
        <v/>
      </c>
      <c r="AH112">
        <f>IF(G112&gt;=2021,1,0)</f>
        <v/>
      </c>
      <c r="AI112">
        <f>S112</f>
        <v/>
      </c>
      <c r="AJ112">
        <f>T112</f>
        <v/>
      </c>
      <c r="AK112">
        <f>R112</f>
        <v/>
      </c>
      <c r="AL112">
        <f>U112</f>
        <v/>
      </c>
      <c r="AM112">
        <f>IF(ISNUMBER(SEARCH("CAPITAL FUNDING",D112)),1,0)</f>
        <v/>
      </c>
      <c r="AN112">
        <f>IF(ISNUMBER(SEARCH("PNC",D112)),1,0)</f>
        <v/>
      </c>
      <c r="AO112">
        <f>IF(ISNUMBER(SEARCH("WELLS FARGO",D112)),1,0)</f>
        <v/>
      </c>
      <c r="AP112">
        <f>IF(ISNUMBER(SEARCH("DWIGHT",D112)),1,0)</f>
        <v/>
      </c>
      <c r="AQ112">
        <f>IF(ISNUMBER(SEARCH("GREYSTONE",D112)),1,0)</f>
        <v/>
      </c>
      <c r="AR112">
        <f>IF(OR(Q112="3896",Q112="3557"),1,0)</f>
        <v/>
      </c>
      <c r="AS112" s="24">
        <f>V112*W112</f>
        <v/>
      </c>
      <c r="AT112" s="26">
        <f>V$4*(V112-V$3)</f>
        <v/>
      </c>
      <c r="AU112" s="26">
        <f>W$4*(W112-W$3)</f>
        <v/>
      </c>
      <c r="AV112" s="26">
        <f>X$4*(X112-X$3)</f>
        <v/>
      </c>
      <c r="AW112" s="26">
        <f>Y$4*(Y112-Y$3)</f>
        <v/>
      </c>
      <c r="AX112" s="26">
        <f>Z$4*(Z112-Z$3)</f>
        <v/>
      </c>
      <c r="AY112" s="26">
        <f>AA$4*(AA112-AA$3)</f>
        <v/>
      </c>
      <c r="AZ112" s="26">
        <f>AB$4*(AB112-AB$3)</f>
        <v/>
      </c>
      <c r="BA112" s="26">
        <f>AC$4*(AC112-AC$3)</f>
        <v/>
      </c>
      <c r="BB112" s="26">
        <f>AD$4*(AD112-AD$3)</f>
        <v/>
      </c>
      <c r="BC112" s="26">
        <f>AE$4*(AE112-AE$3)</f>
        <v/>
      </c>
      <c r="BD112" s="26">
        <f>AF$4*(AF112-AF$3)</f>
        <v/>
      </c>
      <c r="BE112" s="26">
        <f>AG$4*(AG112-AG$3)</f>
        <v/>
      </c>
      <c r="BF112" s="26">
        <f>AH$4*(AH112-AH$3)</f>
        <v/>
      </c>
      <c r="BG112" s="26">
        <f>AI$4*(AI112-AI$3)</f>
        <v/>
      </c>
      <c r="BH112" s="26">
        <f>AJ$4*(AJ112-AJ$3)</f>
        <v/>
      </c>
      <c r="BI112" s="26">
        <f>AK$4*(AK112-AK$3)</f>
        <v/>
      </c>
      <c r="BJ112" s="26">
        <f>AL$4*(AL112-AL$3)</f>
        <v/>
      </c>
      <c r="BK112" s="26">
        <f>AM$4*(AM112-AM$3)</f>
        <v/>
      </c>
      <c r="BL112" s="26">
        <f>AN$4*(AN112-AN$3)</f>
        <v/>
      </c>
      <c r="BM112" s="26">
        <f>AO$4*(AO112-AO$3)</f>
        <v/>
      </c>
      <c r="BN112" s="26">
        <f>AP$4*(AP112-AP$3)</f>
        <v/>
      </c>
      <c r="BO112" s="26">
        <f>AQ$4*(AQ112-AQ$3)</f>
        <v/>
      </c>
      <c r="BP112" s="26">
        <f>AR$4*(AR112-AR$3)</f>
        <v/>
      </c>
      <c r="BQ112" s="26">
        <f>AS$4*(AS112-AS$3)</f>
        <v/>
      </c>
      <c r="BR112" s="27">
        <f>SUM(AT112:BQ112)</f>
        <v/>
      </c>
      <c r="BS112" s="27">
        <f>INTERCEPT_SCALED+BR112</f>
        <v/>
      </c>
      <c r="BT112" s="28">
        <f>1/(1+EXP(-BS112))</f>
        <v/>
      </c>
      <c r="BU112" s="13">
        <f>1-(1-BT112)^12</f>
        <v/>
      </c>
      <c r="BV112" s="13">
        <f>IFERROR(AT112/BR112*(BU112-BASELINE_CPR),0)</f>
        <v/>
      </c>
      <c r="BW112" s="13">
        <f>IFERROR(AU112/BR112*(BU112-BASELINE_CPR),0)</f>
        <v/>
      </c>
      <c r="BX112" s="13">
        <f>IFERROR(AV112/BR112*(BU112-BASELINE_CPR),0)</f>
        <v/>
      </c>
      <c r="BY112" s="13">
        <f>IFERROR(AW112/BR112*(BU112-BASELINE_CPR),0)</f>
        <v/>
      </c>
      <c r="BZ112" s="13">
        <f>IFERROR(AX112/BR112*(BU112-BASELINE_CPR),0)</f>
        <v/>
      </c>
      <c r="CA112" s="13">
        <f>IFERROR(AY112/BR112*(BU112-BASELINE_CPR),0)</f>
        <v/>
      </c>
      <c r="CB112" s="13">
        <f>IFERROR(AZ112/BR112*(BU112-BASELINE_CPR),0)</f>
        <v/>
      </c>
      <c r="CC112" s="13">
        <f>IFERROR(BA112/BR112*(BU112-BASELINE_CPR),0)</f>
        <v/>
      </c>
      <c r="CD112" s="13">
        <f>IFERROR(BB112/BR112*(BU112-BASELINE_CPR),0)</f>
        <v/>
      </c>
      <c r="CE112" s="13">
        <f>IFERROR(BC112/BR112*(BU112-BASELINE_CPR),0)</f>
        <v/>
      </c>
      <c r="CF112" s="13">
        <f>IFERROR(BD112/BR112*(BU112-BASELINE_CPR),0)</f>
        <v/>
      </c>
      <c r="CG112" s="13">
        <f>IFERROR(BE112/BR112*(BU112-BASELINE_CPR),0)</f>
        <v/>
      </c>
      <c r="CH112" s="13">
        <f>IFERROR(BF112/BR112*(BU112-BASELINE_CPR),0)</f>
        <v/>
      </c>
      <c r="CI112" s="13">
        <f>IFERROR(BG112/BR112*(BU112-BASELINE_CPR),0)</f>
        <v/>
      </c>
      <c r="CJ112" s="13">
        <f>IFERROR(BH112/BR112*(BU112-BASELINE_CPR),0)</f>
        <v/>
      </c>
      <c r="CK112" s="13">
        <f>IFERROR(BI112/BR112*(BU112-BASELINE_CPR),0)</f>
        <v/>
      </c>
      <c r="CL112" s="13">
        <f>IFERROR(BJ112/BR112*(BU112-BASELINE_CPR),0)</f>
        <v/>
      </c>
      <c r="CM112" s="13">
        <f>IFERROR(BK112/BR112*(BU112-BASELINE_CPR),0)</f>
        <v/>
      </c>
      <c r="CN112" s="13">
        <f>IFERROR(BL112/BR112*(BU112-BASELINE_CPR),0)</f>
        <v/>
      </c>
      <c r="CO112" s="13">
        <f>IFERROR(BM112/BR112*(BU112-BASELINE_CPR),0)</f>
        <v/>
      </c>
      <c r="CP112" s="13">
        <f>IFERROR(BN112/BR112*(BU112-BASELINE_CPR),0)</f>
        <v/>
      </c>
      <c r="CQ112" s="13">
        <f>IFERROR(BO112/BR112*(BU112-BASELINE_CPR),0)</f>
        <v/>
      </c>
      <c r="CR112" s="13">
        <f>IFERROR(BP112/BR112*(BU112-BASELINE_CPR),0)</f>
        <v/>
      </c>
      <c r="CS112" s="13">
        <f>IFERROR(BQ112/BR112*(BU112-BASELINE_CPR),0)</f>
        <v/>
      </c>
      <c r="CT112" s="29">
        <f>BASELINE_CPR+SUM(BV112:CS112)-BU112</f>
        <v/>
      </c>
    </row>
    <row r="113">
      <c r="A113" s="2" t="inlineStr">
        <is>
          <t>3618K96A7_000000006322135</t>
        </is>
      </c>
      <c r="B113" t="inlineStr">
        <is>
          <t>GREYSTONE_POST21</t>
        </is>
      </c>
      <c r="C113" s="2" t="inlineStr">
        <is>
          <t>3618K96A7</t>
        </is>
      </c>
      <c r="D113" t="inlineStr">
        <is>
          <t>GREYSTONE FUNDING COMPANY LLC</t>
        </is>
      </c>
      <c r="E113" t="inlineStr">
        <is>
          <t>232</t>
        </is>
      </c>
      <c r="F113" t="inlineStr">
        <is>
          <t>RP</t>
        </is>
      </c>
      <c r="G113" t="n">
        <v>2025</v>
      </c>
      <c r="H113" t="inlineStr">
        <is>
          <t>202602</t>
        </is>
      </c>
      <c r="I113" s="22" t="n">
        <v>27332938.98</v>
      </c>
      <c r="J113" s="23" t="n">
        <v>6.24</v>
      </c>
      <c r="K113" s="24" t="n">
        <v>447</v>
      </c>
      <c r="L113" s="24" t="n">
        <v>10</v>
      </c>
      <c r="M113" t="n">
        <v>11</v>
      </c>
      <c r="N113" t="n">
        <v>4</v>
      </c>
      <c r="O113" t="n">
        <v>206004</v>
      </c>
      <c r="P113" t="inlineStr"/>
      <c r="Q113" t="inlineStr">
        <is>
          <t>4168</t>
        </is>
      </c>
      <c r="R113" t="n">
        <v>1</v>
      </c>
      <c r="S113" t="n">
        <v>0</v>
      </c>
      <c r="T113" t="n">
        <v>0</v>
      </c>
      <c r="U113" t="n">
        <v>0</v>
      </c>
      <c r="V113" s="24">
        <f>J113*100-K113</f>
        <v/>
      </c>
      <c r="W113" s="24">
        <f>L113</f>
        <v/>
      </c>
      <c r="X113" s="25">
        <f>MIN(M113,36)</f>
        <v/>
      </c>
      <c r="Y113" s="25">
        <f>MIN(MAX(M113-36,0),84)</f>
        <v/>
      </c>
      <c r="Z113" s="25">
        <f>MAX(M113-120,0)</f>
        <v/>
      </c>
      <c r="AA113" s="25">
        <f>IF(OR(O113="",NOT(ISNUMBER(O113))),360,MAX(0,MIN(480,(INT(O113/100)-INT(VALUE(H113)/100))*12+MOD(O113,100)-MOD(VALUE(H113),100))))</f>
        <v/>
      </c>
      <c r="AB113">
        <f>IF(AND(AA113&gt;0,AA113&lt;=24),1,0)</f>
        <v/>
      </c>
      <c r="AC113" s="25">
        <f>IF(OR(P113="",NOT(ISNUMBER(P113))),0,MAX(0,MIN(24,(INT(VALUE(H113)/100)-INT(P113/100))*12+MOD(VALUE(H113),100)-MOD(P113,100))))</f>
        <v/>
      </c>
      <c r="AD113" s="23">
        <f>LN(1+I113)</f>
        <v/>
      </c>
      <c r="AE113">
        <f>IF(I113&lt;2000000,1,0)</f>
        <v/>
      </c>
      <c r="AF113">
        <f>IF(I113&gt;50000000,1,0)</f>
        <v/>
      </c>
      <c r="AG113" s="23">
        <f>IF(ISNUMBER(M113),N113/MAX(M113,1),0)</f>
        <v/>
      </c>
      <c r="AH113">
        <f>IF(G113&gt;=2021,1,0)</f>
        <v/>
      </c>
      <c r="AI113">
        <f>S113</f>
        <v/>
      </c>
      <c r="AJ113">
        <f>T113</f>
        <v/>
      </c>
      <c r="AK113">
        <f>R113</f>
        <v/>
      </c>
      <c r="AL113">
        <f>U113</f>
        <v/>
      </c>
      <c r="AM113">
        <f>IF(ISNUMBER(SEARCH("CAPITAL FUNDING",D113)),1,0)</f>
        <v/>
      </c>
      <c r="AN113">
        <f>IF(ISNUMBER(SEARCH("PNC",D113)),1,0)</f>
        <v/>
      </c>
      <c r="AO113">
        <f>IF(ISNUMBER(SEARCH("WELLS FARGO",D113)),1,0)</f>
        <v/>
      </c>
      <c r="AP113">
        <f>IF(ISNUMBER(SEARCH("DWIGHT",D113)),1,0)</f>
        <v/>
      </c>
      <c r="AQ113">
        <f>IF(ISNUMBER(SEARCH("GREYSTONE",D113)),1,0)</f>
        <v/>
      </c>
      <c r="AR113">
        <f>IF(OR(Q113="3896",Q113="3557"),1,0)</f>
        <v/>
      </c>
      <c r="AS113" s="24">
        <f>V113*W113</f>
        <v/>
      </c>
      <c r="AT113" s="26">
        <f>V$4*(V113-V$3)</f>
        <v/>
      </c>
      <c r="AU113" s="26">
        <f>W$4*(W113-W$3)</f>
        <v/>
      </c>
      <c r="AV113" s="26">
        <f>X$4*(X113-X$3)</f>
        <v/>
      </c>
      <c r="AW113" s="26">
        <f>Y$4*(Y113-Y$3)</f>
        <v/>
      </c>
      <c r="AX113" s="26">
        <f>Z$4*(Z113-Z$3)</f>
        <v/>
      </c>
      <c r="AY113" s="26">
        <f>AA$4*(AA113-AA$3)</f>
        <v/>
      </c>
      <c r="AZ113" s="26">
        <f>AB$4*(AB113-AB$3)</f>
        <v/>
      </c>
      <c r="BA113" s="26">
        <f>AC$4*(AC113-AC$3)</f>
        <v/>
      </c>
      <c r="BB113" s="26">
        <f>AD$4*(AD113-AD$3)</f>
        <v/>
      </c>
      <c r="BC113" s="26">
        <f>AE$4*(AE113-AE$3)</f>
        <v/>
      </c>
      <c r="BD113" s="26">
        <f>AF$4*(AF113-AF$3)</f>
        <v/>
      </c>
      <c r="BE113" s="26">
        <f>AG$4*(AG113-AG$3)</f>
        <v/>
      </c>
      <c r="BF113" s="26">
        <f>AH$4*(AH113-AH$3)</f>
        <v/>
      </c>
      <c r="BG113" s="26">
        <f>AI$4*(AI113-AI$3)</f>
        <v/>
      </c>
      <c r="BH113" s="26">
        <f>AJ$4*(AJ113-AJ$3)</f>
        <v/>
      </c>
      <c r="BI113" s="26">
        <f>AK$4*(AK113-AK$3)</f>
        <v/>
      </c>
      <c r="BJ113" s="26">
        <f>AL$4*(AL113-AL$3)</f>
        <v/>
      </c>
      <c r="BK113" s="26">
        <f>AM$4*(AM113-AM$3)</f>
        <v/>
      </c>
      <c r="BL113" s="26">
        <f>AN$4*(AN113-AN$3)</f>
        <v/>
      </c>
      <c r="BM113" s="26">
        <f>AO$4*(AO113-AO$3)</f>
        <v/>
      </c>
      <c r="BN113" s="26">
        <f>AP$4*(AP113-AP$3)</f>
        <v/>
      </c>
      <c r="BO113" s="26">
        <f>AQ$4*(AQ113-AQ$3)</f>
        <v/>
      </c>
      <c r="BP113" s="26">
        <f>AR$4*(AR113-AR$3)</f>
        <v/>
      </c>
      <c r="BQ113" s="26">
        <f>AS$4*(AS113-AS$3)</f>
        <v/>
      </c>
      <c r="BR113" s="27">
        <f>SUM(AT113:BQ113)</f>
        <v/>
      </c>
      <c r="BS113" s="27">
        <f>INTERCEPT_SCALED+BR113</f>
        <v/>
      </c>
      <c r="BT113" s="28">
        <f>1/(1+EXP(-BS113))</f>
        <v/>
      </c>
      <c r="BU113" s="13">
        <f>1-(1-BT113)^12</f>
        <v/>
      </c>
      <c r="BV113" s="13">
        <f>IFERROR(AT113/BR113*(BU113-BASELINE_CPR),0)</f>
        <v/>
      </c>
      <c r="BW113" s="13">
        <f>IFERROR(AU113/BR113*(BU113-BASELINE_CPR),0)</f>
        <v/>
      </c>
      <c r="BX113" s="13">
        <f>IFERROR(AV113/BR113*(BU113-BASELINE_CPR),0)</f>
        <v/>
      </c>
      <c r="BY113" s="13">
        <f>IFERROR(AW113/BR113*(BU113-BASELINE_CPR),0)</f>
        <v/>
      </c>
      <c r="BZ113" s="13">
        <f>IFERROR(AX113/BR113*(BU113-BASELINE_CPR),0)</f>
        <v/>
      </c>
      <c r="CA113" s="13">
        <f>IFERROR(AY113/BR113*(BU113-BASELINE_CPR),0)</f>
        <v/>
      </c>
      <c r="CB113" s="13">
        <f>IFERROR(AZ113/BR113*(BU113-BASELINE_CPR),0)</f>
        <v/>
      </c>
      <c r="CC113" s="13">
        <f>IFERROR(BA113/BR113*(BU113-BASELINE_CPR),0)</f>
        <v/>
      </c>
      <c r="CD113" s="13">
        <f>IFERROR(BB113/BR113*(BU113-BASELINE_CPR),0)</f>
        <v/>
      </c>
      <c r="CE113" s="13">
        <f>IFERROR(BC113/BR113*(BU113-BASELINE_CPR),0)</f>
        <v/>
      </c>
      <c r="CF113" s="13">
        <f>IFERROR(BD113/BR113*(BU113-BASELINE_CPR),0)</f>
        <v/>
      </c>
      <c r="CG113" s="13">
        <f>IFERROR(BE113/BR113*(BU113-BASELINE_CPR),0)</f>
        <v/>
      </c>
      <c r="CH113" s="13">
        <f>IFERROR(BF113/BR113*(BU113-BASELINE_CPR),0)</f>
        <v/>
      </c>
      <c r="CI113" s="13">
        <f>IFERROR(BG113/BR113*(BU113-BASELINE_CPR),0)</f>
        <v/>
      </c>
      <c r="CJ113" s="13">
        <f>IFERROR(BH113/BR113*(BU113-BASELINE_CPR),0)</f>
        <v/>
      </c>
      <c r="CK113" s="13">
        <f>IFERROR(BI113/BR113*(BU113-BASELINE_CPR),0)</f>
        <v/>
      </c>
      <c r="CL113" s="13">
        <f>IFERROR(BJ113/BR113*(BU113-BASELINE_CPR),0)</f>
        <v/>
      </c>
      <c r="CM113" s="13">
        <f>IFERROR(BK113/BR113*(BU113-BASELINE_CPR),0)</f>
        <v/>
      </c>
      <c r="CN113" s="13">
        <f>IFERROR(BL113/BR113*(BU113-BASELINE_CPR),0)</f>
        <v/>
      </c>
      <c r="CO113" s="13">
        <f>IFERROR(BM113/BR113*(BU113-BASELINE_CPR),0)</f>
        <v/>
      </c>
      <c r="CP113" s="13">
        <f>IFERROR(BN113/BR113*(BU113-BASELINE_CPR),0)</f>
        <v/>
      </c>
      <c r="CQ113" s="13">
        <f>IFERROR(BO113/BR113*(BU113-BASELINE_CPR),0)</f>
        <v/>
      </c>
      <c r="CR113" s="13">
        <f>IFERROR(BP113/BR113*(BU113-BASELINE_CPR),0)</f>
        <v/>
      </c>
      <c r="CS113" s="13">
        <f>IFERROR(BQ113/BR113*(BU113-BASELINE_CPR),0)</f>
        <v/>
      </c>
      <c r="CT113" s="29">
        <f>BASELINE_CPR+SUM(BV113:CS113)-BU113</f>
        <v/>
      </c>
    </row>
    <row r="114">
      <c r="A114" s="2" t="inlineStr">
        <is>
          <t>3617QVL25_000000004711254</t>
        </is>
      </c>
      <c r="B114" t="inlineStr">
        <is>
          <t>GREYSTONE_PRE21</t>
        </is>
      </c>
      <c r="C114" s="2" t="inlineStr">
        <is>
          <t>3617QVL25</t>
        </is>
      </c>
      <c r="D114" t="inlineStr">
        <is>
          <t>GREYSTONE FUNDING COMPANY LLC</t>
        </is>
      </c>
      <c r="E114" t="inlineStr">
        <is>
          <t>223f</t>
        </is>
      </c>
      <c r="F114" t="inlineStr">
        <is>
          <t>RP</t>
        </is>
      </c>
      <c r="G114" t="n">
        <v>2020</v>
      </c>
      <c r="H114" t="inlineStr">
        <is>
          <t>202602</t>
        </is>
      </c>
      <c r="I114" s="22" t="n">
        <v>7797494.64</v>
      </c>
      <c r="J114" s="23" t="n">
        <v>2.09</v>
      </c>
      <c r="K114" s="24" t="n">
        <v>447</v>
      </c>
      <c r="L114" s="24" t="n">
        <v>5</v>
      </c>
      <c r="M114" t="n">
        <v>63</v>
      </c>
      <c r="N114" t="n">
        <v>0</v>
      </c>
      <c r="O114" t="n">
        <v>205512</v>
      </c>
      <c r="P114" t="inlineStr"/>
      <c r="Q114" t="inlineStr">
        <is>
          <t>4168</t>
        </is>
      </c>
      <c r="R114" t="n">
        <v>0</v>
      </c>
      <c r="S114" t="n">
        <v>0</v>
      </c>
      <c r="T114" t="n">
        <v>0</v>
      </c>
      <c r="U114" t="n">
        <v>0</v>
      </c>
      <c r="V114" s="24">
        <f>J114*100-K114</f>
        <v/>
      </c>
      <c r="W114" s="24">
        <f>L114</f>
        <v/>
      </c>
      <c r="X114" s="25">
        <f>MIN(M114,36)</f>
        <v/>
      </c>
      <c r="Y114" s="25">
        <f>MIN(MAX(M114-36,0),84)</f>
        <v/>
      </c>
      <c r="Z114" s="25">
        <f>MAX(M114-120,0)</f>
        <v/>
      </c>
      <c r="AA114" s="25">
        <f>IF(OR(O114="",NOT(ISNUMBER(O114))),360,MAX(0,MIN(480,(INT(O114/100)-INT(VALUE(H114)/100))*12+MOD(O114,100)-MOD(VALUE(H114),100))))</f>
        <v/>
      </c>
      <c r="AB114">
        <f>IF(AND(AA114&gt;0,AA114&lt;=24),1,0)</f>
        <v/>
      </c>
      <c r="AC114" s="25">
        <f>IF(OR(P114="",NOT(ISNUMBER(P114))),0,MAX(0,MIN(24,(INT(VALUE(H114)/100)-INT(P114/100))*12+MOD(VALUE(H114),100)-MOD(P114,100))))</f>
        <v/>
      </c>
      <c r="AD114" s="23">
        <f>LN(1+I114)</f>
        <v/>
      </c>
      <c r="AE114">
        <f>IF(I114&lt;2000000,1,0)</f>
        <v/>
      </c>
      <c r="AF114">
        <f>IF(I114&gt;50000000,1,0)</f>
        <v/>
      </c>
      <c r="AG114" s="23">
        <f>IF(ISNUMBER(M114),N114/MAX(M114,1),0)</f>
        <v/>
      </c>
      <c r="AH114">
        <f>IF(G114&gt;=2021,1,0)</f>
        <v/>
      </c>
      <c r="AI114">
        <f>S114</f>
        <v/>
      </c>
      <c r="AJ114">
        <f>T114</f>
        <v/>
      </c>
      <c r="AK114">
        <f>R114</f>
        <v/>
      </c>
      <c r="AL114">
        <f>U114</f>
        <v/>
      </c>
      <c r="AM114">
        <f>IF(ISNUMBER(SEARCH("CAPITAL FUNDING",D114)),1,0)</f>
        <v/>
      </c>
      <c r="AN114">
        <f>IF(ISNUMBER(SEARCH("PNC",D114)),1,0)</f>
        <v/>
      </c>
      <c r="AO114">
        <f>IF(ISNUMBER(SEARCH("WELLS FARGO",D114)),1,0)</f>
        <v/>
      </c>
      <c r="AP114">
        <f>IF(ISNUMBER(SEARCH("DWIGHT",D114)),1,0)</f>
        <v/>
      </c>
      <c r="AQ114">
        <f>IF(ISNUMBER(SEARCH("GREYSTONE",D114)),1,0)</f>
        <v/>
      </c>
      <c r="AR114">
        <f>IF(OR(Q114="3896",Q114="3557"),1,0)</f>
        <v/>
      </c>
      <c r="AS114" s="24">
        <f>V114*W114</f>
        <v/>
      </c>
      <c r="AT114" s="26">
        <f>V$4*(V114-V$3)</f>
        <v/>
      </c>
      <c r="AU114" s="26">
        <f>W$4*(W114-W$3)</f>
        <v/>
      </c>
      <c r="AV114" s="26">
        <f>X$4*(X114-X$3)</f>
        <v/>
      </c>
      <c r="AW114" s="26">
        <f>Y$4*(Y114-Y$3)</f>
        <v/>
      </c>
      <c r="AX114" s="26">
        <f>Z$4*(Z114-Z$3)</f>
        <v/>
      </c>
      <c r="AY114" s="26">
        <f>AA$4*(AA114-AA$3)</f>
        <v/>
      </c>
      <c r="AZ114" s="26">
        <f>AB$4*(AB114-AB$3)</f>
        <v/>
      </c>
      <c r="BA114" s="26">
        <f>AC$4*(AC114-AC$3)</f>
        <v/>
      </c>
      <c r="BB114" s="26">
        <f>AD$4*(AD114-AD$3)</f>
        <v/>
      </c>
      <c r="BC114" s="26">
        <f>AE$4*(AE114-AE$3)</f>
        <v/>
      </c>
      <c r="BD114" s="26">
        <f>AF$4*(AF114-AF$3)</f>
        <v/>
      </c>
      <c r="BE114" s="26">
        <f>AG$4*(AG114-AG$3)</f>
        <v/>
      </c>
      <c r="BF114" s="26">
        <f>AH$4*(AH114-AH$3)</f>
        <v/>
      </c>
      <c r="BG114" s="26">
        <f>AI$4*(AI114-AI$3)</f>
        <v/>
      </c>
      <c r="BH114" s="26">
        <f>AJ$4*(AJ114-AJ$3)</f>
        <v/>
      </c>
      <c r="BI114" s="26">
        <f>AK$4*(AK114-AK$3)</f>
        <v/>
      </c>
      <c r="BJ114" s="26">
        <f>AL$4*(AL114-AL$3)</f>
        <v/>
      </c>
      <c r="BK114" s="26">
        <f>AM$4*(AM114-AM$3)</f>
        <v/>
      </c>
      <c r="BL114" s="26">
        <f>AN$4*(AN114-AN$3)</f>
        <v/>
      </c>
      <c r="BM114" s="26">
        <f>AO$4*(AO114-AO$3)</f>
        <v/>
      </c>
      <c r="BN114" s="26">
        <f>AP$4*(AP114-AP$3)</f>
        <v/>
      </c>
      <c r="BO114" s="26">
        <f>AQ$4*(AQ114-AQ$3)</f>
        <v/>
      </c>
      <c r="BP114" s="26">
        <f>AR$4*(AR114-AR$3)</f>
        <v/>
      </c>
      <c r="BQ114" s="26">
        <f>AS$4*(AS114-AS$3)</f>
        <v/>
      </c>
      <c r="BR114" s="27">
        <f>SUM(AT114:BQ114)</f>
        <v/>
      </c>
      <c r="BS114" s="27">
        <f>INTERCEPT_SCALED+BR114</f>
        <v/>
      </c>
      <c r="BT114" s="28">
        <f>1/(1+EXP(-BS114))</f>
        <v/>
      </c>
      <c r="BU114" s="13">
        <f>1-(1-BT114)^12</f>
        <v/>
      </c>
      <c r="BV114" s="13">
        <f>IFERROR(AT114/BR114*(BU114-BASELINE_CPR),0)</f>
        <v/>
      </c>
      <c r="BW114" s="13">
        <f>IFERROR(AU114/BR114*(BU114-BASELINE_CPR),0)</f>
        <v/>
      </c>
      <c r="BX114" s="13">
        <f>IFERROR(AV114/BR114*(BU114-BASELINE_CPR),0)</f>
        <v/>
      </c>
      <c r="BY114" s="13">
        <f>IFERROR(AW114/BR114*(BU114-BASELINE_CPR),0)</f>
        <v/>
      </c>
      <c r="BZ114" s="13">
        <f>IFERROR(AX114/BR114*(BU114-BASELINE_CPR),0)</f>
        <v/>
      </c>
      <c r="CA114" s="13">
        <f>IFERROR(AY114/BR114*(BU114-BASELINE_CPR),0)</f>
        <v/>
      </c>
      <c r="CB114" s="13">
        <f>IFERROR(AZ114/BR114*(BU114-BASELINE_CPR),0)</f>
        <v/>
      </c>
      <c r="CC114" s="13">
        <f>IFERROR(BA114/BR114*(BU114-BASELINE_CPR),0)</f>
        <v/>
      </c>
      <c r="CD114" s="13">
        <f>IFERROR(BB114/BR114*(BU114-BASELINE_CPR),0)</f>
        <v/>
      </c>
      <c r="CE114" s="13">
        <f>IFERROR(BC114/BR114*(BU114-BASELINE_CPR),0)</f>
        <v/>
      </c>
      <c r="CF114" s="13">
        <f>IFERROR(BD114/BR114*(BU114-BASELINE_CPR),0)</f>
        <v/>
      </c>
      <c r="CG114" s="13">
        <f>IFERROR(BE114/BR114*(BU114-BASELINE_CPR),0)</f>
        <v/>
      </c>
      <c r="CH114" s="13">
        <f>IFERROR(BF114/BR114*(BU114-BASELINE_CPR),0)</f>
        <v/>
      </c>
      <c r="CI114" s="13">
        <f>IFERROR(BG114/BR114*(BU114-BASELINE_CPR),0)</f>
        <v/>
      </c>
      <c r="CJ114" s="13">
        <f>IFERROR(BH114/BR114*(BU114-BASELINE_CPR),0)</f>
        <v/>
      </c>
      <c r="CK114" s="13">
        <f>IFERROR(BI114/BR114*(BU114-BASELINE_CPR),0)</f>
        <v/>
      </c>
      <c r="CL114" s="13">
        <f>IFERROR(BJ114/BR114*(BU114-BASELINE_CPR),0)</f>
        <v/>
      </c>
      <c r="CM114" s="13">
        <f>IFERROR(BK114/BR114*(BU114-BASELINE_CPR),0)</f>
        <v/>
      </c>
      <c r="CN114" s="13">
        <f>IFERROR(BL114/BR114*(BU114-BASELINE_CPR),0)</f>
        <v/>
      </c>
      <c r="CO114" s="13">
        <f>IFERROR(BM114/BR114*(BU114-BASELINE_CPR),0)</f>
        <v/>
      </c>
      <c r="CP114" s="13">
        <f>IFERROR(BN114/BR114*(BU114-BASELINE_CPR),0)</f>
        <v/>
      </c>
      <c r="CQ114" s="13">
        <f>IFERROR(BO114/BR114*(BU114-BASELINE_CPR),0)</f>
        <v/>
      </c>
      <c r="CR114" s="13">
        <f>IFERROR(BP114/BR114*(BU114-BASELINE_CPR),0)</f>
        <v/>
      </c>
      <c r="CS114" s="13">
        <f>IFERROR(BQ114/BR114*(BU114-BASELINE_CPR),0)</f>
        <v/>
      </c>
      <c r="CT114" s="29">
        <f>BASELINE_CPR+SUM(BV114:CS114)-BU114</f>
        <v/>
      </c>
    </row>
    <row r="115">
      <c r="A115" s="2" t="inlineStr">
        <is>
          <t>3617FXA90_000000003422183</t>
        </is>
      </c>
      <c r="B115" t="inlineStr">
        <is>
          <t>GREYSTONE_POST21</t>
        </is>
      </c>
      <c r="C115" s="2" t="inlineStr">
        <is>
          <t>3617FXA90</t>
        </is>
      </c>
      <c r="D115" t="inlineStr">
        <is>
          <t>GREYSTONE FUNDING COMPANY LLC</t>
        </is>
      </c>
      <c r="E115" t="inlineStr">
        <is>
          <t>232</t>
        </is>
      </c>
      <c r="F115" t="inlineStr">
        <is>
          <t>RP</t>
        </is>
      </c>
      <c r="G115" t="n">
        <v>2022</v>
      </c>
      <c r="H115" t="inlineStr">
        <is>
          <t>202602</t>
        </is>
      </c>
      <c r="I115" s="22" t="n">
        <v>69082495.2</v>
      </c>
      <c r="J115" s="23" t="n">
        <v>4.58</v>
      </c>
      <c r="K115" s="24" t="n">
        <v>447</v>
      </c>
      <c r="L115" s="24" t="n">
        <v>7</v>
      </c>
      <c r="M115" t="n">
        <v>40</v>
      </c>
      <c r="N115" t="n">
        <v>0</v>
      </c>
      <c r="O115" t="n">
        <v>205711</v>
      </c>
      <c r="P115" t="inlineStr"/>
      <c r="Q115" t="inlineStr">
        <is>
          <t>4168</t>
        </is>
      </c>
      <c r="R115" t="n">
        <v>1</v>
      </c>
      <c r="S115" t="n">
        <v>0</v>
      </c>
      <c r="T115" t="n">
        <v>0</v>
      </c>
      <c r="U115" t="n">
        <v>0</v>
      </c>
      <c r="V115" s="24">
        <f>J115*100-K115</f>
        <v/>
      </c>
      <c r="W115" s="24">
        <f>L115</f>
        <v/>
      </c>
      <c r="X115" s="25">
        <f>MIN(M115,36)</f>
        <v/>
      </c>
      <c r="Y115" s="25">
        <f>MIN(MAX(M115-36,0),84)</f>
        <v/>
      </c>
      <c r="Z115" s="25">
        <f>MAX(M115-120,0)</f>
        <v/>
      </c>
      <c r="AA115" s="25">
        <f>IF(OR(O115="",NOT(ISNUMBER(O115))),360,MAX(0,MIN(480,(INT(O115/100)-INT(VALUE(H115)/100))*12+MOD(O115,100)-MOD(VALUE(H115),100))))</f>
        <v/>
      </c>
      <c r="AB115">
        <f>IF(AND(AA115&gt;0,AA115&lt;=24),1,0)</f>
        <v/>
      </c>
      <c r="AC115" s="25">
        <f>IF(OR(P115="",NOT(ISNUMBER(P115))),0,MAX(0,MIN(24,(INT(VALUE(H115)/100)-INT(P115/100))*12+MOD(VALUE(H115),100)-MOD(P115,100))))</f>
        <v/>
      </c>
      <c r="AD115" s="23">
        <f>LN(1+I115)</f>
        <v/>
      </c>
      <c r="AE115">
        <f>IF(I115&lt;2000000,1,0)</f>
        <v/>
      </c>
      <c r="AF115">
        <f>IF(I115&gt;50000000,1,0)</f>
        <v/>
      </c>
      <c r="AG115" s="23">
        <f>IF(ISNUMBER(M115),N115/MAX(M115,1),0)</f>
        <v/>
      </c>
      <c r="AH115">
        <f>IF(G115&gt;=2021,1,0)</f>
        <v/>
      </c>
      <c r="AI115">
        <f>S115</f>
        <v/>
      </c>
      <c r="AJ115">
        <f>T115</f>
        <v/>
      </c>
      <c r="AK115">
        <f>R115</f>
        <v/>
      </c>
      <c r="AL115">
        <f>U115</f>
        <v/>
      </c>
      <c r="AM115">
        <f>IF(ISNUMBER(SEARCH("CAPITAL FUNDING",D115)),1,0)</f>
        <v/>
      </c>
      <c r="AN115">
        <f>IF(ISNUMBER(SEARCH("PNC",D115)),1,0)</f>
        <v/>
      </c>
      <c r="AO115">
        <f>IF(ISNUMBER(SEARCH("WELLS FARGO",D115)),1,0)</f>
        <v/>
      </c>
      <c r="AP115">
        <f>IF(ISNUMBER(SEARCH("DWIGHT",D115)),1,0)</f>
        <v/>
      </c>
      <c r="AQ115">
        <f>IF(ISNUMBER(SEARCH("GREYSTONE",D115)),1,0)</f>
        <v/>
      </c>
      <c r="AR115">
        <f>IF(OR(Q115="3896",Q115="3557"),1,0)</f>
        <v/>
      </c>
      <c r="AS115" s="24">
        <f>V115*W115</f>
        <v/>
      </c>
      <c r="AT115" s="26">
        <f>V$4*(V115-V$3)</f>
        <v/>
      </c>
      <c r="AU115" s="26">
        <f>W$4*(W115-W$3)</f>
        <v/>
      </c>
      <c r="AV115" s="26">
        <f>X$4*(X115-X$3)</f>
        <v/>
      </c>
      <c r="AW115" s="26">
        <f>Y$4*(Y115-Y$3)</f>
        <v/>
      </c>
      <c r="AX115" s="26">
        <f>Z$4*(Z115-Z$3)</f>
        <v/>
      </c>
      <c r="AY115" s="26">
        <f>AA$4*(AA115-AA$3)</f>
        <v/>
      </c>
      <c r="AZ115" s="26">
        <f>AB$4*(AB115-AB$3)</f>
        <v/>
      </c>
      <c r="BA115" s="26">
        <f>AC$4*(AC115-AC$3)</f>
        <v/>
      </c>
      <c r="BB115" s="26">
        <f>AD$4*(AD115-AD$3)</f>
        <v/>
      </c>
      <c r="BC115" s="26">
        <f>AE$4*(AE115-AE$3)</f>
        <v/>
      </c>
      <c r="BD115" s="26">
        <f>AF$4*(AF115-AF$3)</f>
        <v/>
      </c>
      <c r="BE115" s="26">
        <f>AG$4*(AG115-AG$3)</f>
        <v/>
      </c>
      <c r="BF115" s="26">
        <f>AH$4*(AH115-AH$3)</f>
        <v/>
      </c>
      <c r="BG115" s="26">
        <f>AI$4*(AI115-AI$3)</f>
        <v/>
      </c>
      <c r="BH115" s="26">
        <f>AJ$4*(AJ115-AJ$3)</f>
        <v/>
      </c>
      <c r="BI115" s="26">
        <f>AK$4*(AK115-AK$3)</f>
        <v/>
      </c>
      <c r="BJ115" s="26">
        <f>AL$4*(AL115-AL$3)</f>
        <v/>
      </c>
      <c r="BK115" s="26">
        <f>AM$4*(AM115-AM$3)</f>
        <v/>
      </c>
      <c r="BL115" s="26">
        <f>AN$4*(AN115-AN$3)</f>
        <v/>
      </c>
      <c r="BM115" s="26">
        <f>AO$4*(AO115-AO$3)</f>
        <v/>
      </c>
      <c r="BN115" s="26">
        <f>AP$4*(AP115-AP$3)</f>
        <v/>
      </c>
      <c r="BO115" s="26">
        <f>AQ$4*(AQ115-AQ$3)</f>
        <v/>
      </c>
      <c r="BP115" s="26">
        <f>AR$4*(AR115-AR$3)</f>
        <v/>
      </c>
      <c r="BQ115" s="26">
        <f>AS$4*(AS115-AS$3)</f>
        <v/>
      </c>
      <c r="BR115" s="27">
        <f>SUM(AT115:BQ115)</f>
        <v/>
      </c>
      <c r="BS115" s="27">
        <f>INTERCEPT_SCALED+BR115</f>
        <v/>
      </c>
      <c r="BT115" s="28">
        <f>1/(1+EXP(-BS115))</f>
        <v/>
      </c>
      <c r="BU115" s="13">
        <f>1-(1-BT115)^12</f>
        <v/>
      </c>
      <c r="BV115" s="13">
        <f>IFERROR(AT115/BR115*(BU115-BASELINE_CPR),0)</f>
        <v/>
      </c>
      <c r="BW115" s="13">
        <f>IFERROR(AU115/BR115*(BU115-BASELINE_CPR),0)</f>
        <v/>
      </c>
      <c r="BX115" s="13">
        <f>IFERROR(AV115/BR115*(BU115-BASELINE_CPR),0)</f>
        <v/>
      </c>
      <c r="BY115" s="13">
        <f>IFERROR(AW115/BR115*(BU115-BASELINE_CPR),0)</f>
        <v/>
      </c>
      <c r="BZ115" s="13">
        <f>IFERROR(AX115/BR115*(BU115-BASELINE_CPR),0)</f>
        <v/>
      </c>
      <c r="CA115" s="13">
        <f>IFERROR(AY115/BR115*(BU115-BASELINE_CPR),0)</f>
        <v/>
      </c>
      <c r="CB115" s="13">
        <f>IFERROR(AZ115/BR115*(BU115-BASELINE_CPR),0)</f>
        <v/>
      </c>
      <c r="CC115" s="13">
        <f>IFERROR(BA115/BR115*(BU115-BASELINE_CPR),0)</f>
        <v/>
      </c>
      <c r="CD115" s="13">
        <f>IFERROR(BB115/BR115*(BU115-BASELINE_CPR),0)</f>
        <v/>
      </c>
      <c r="CE115" s="13">
        <f>IFERROR(BC115/BR115*(BU115-BASELINE_CPR),0)</f>
        <v/>
      </c>
      <c r="CF115" s="13">
        <f>IFERROR(BD115/BR115*(BU115-BASELINE_CPR),0)</f>
        <v/>
      </c>
      <c r="CG115" s="13">
        <f>IFERROR(BE115/BR115*(BU115-BASELINE_CPR),0)</f>
        <v/>
      </c>
      <c r="CH115" s="13">
        <f>IFERROR(BF115/BR115*(BU115-BASELINE_CPR),0)</f>
        <v/>
      </c>
      <c r="CI115" s="13">
        <f>IFERROR(BG115/BR115*(BU115-BASELINE_CPR),0)</f>
        <v/>
      </c>
      <c r="CJ115" s="13">
        <f>IFERROR(BH115/BR115*(BU115-BASELINE_CPR),0)</f>
        <v/>
      </c>
      <c r="CK115" s="13">
        <f>IFERROR(BI115/BR115*(BU115-BASELINE_CPR),0)</f>
        <v/>
      </c>
      <c r="CL115" s="13">
        <f>IFERROR(BJ115/BR115*(BU115-BASELINE_CPR),0)</f>
        <v/>
      </c>
      <c r="CM115" s="13">
        <f>IFERROR(BK115/BR115*(BU115-BASELINE_CPR),0)</f>
        <v/>
      </c>
      <c r="CN115" s="13">
        <f>IFERROR(BL115/BR115*(BU115-BASELINE_CPR),0)</f>
        <v/>
      </c>
      <c r="CO115" s="13">
        <f>IFERROR(BM115/BR115*(BU115-BASELINE_CPR),0)</f>
        <v/>
      </c>
      <c r="CP115" s="13">
        <f>IFERROR(BN115/BR115*(BU115-BASELINE_CPR),0)</f>
        <v/>
      </c>
      <c r="CQ115" s="13">
        <f>IFERROR(BO115/BR115*(BU115-BASELINE_CPR),0)</f>
        <v/>
      </c>
      <c r="CR115" s="13">
        <f>IFERROR(BP115/BR115*(BU115-BASELINE_CPR),0)</f>
        <v/>
      </c>
      <c r="CS115" s="13">
        <f>IFERROR(BQ115/BR115*(BU115-BASELINE_CPR),0)</f>
        <v/>
      </c>
      <c r="CT115" s="29">
        <f>BASELINE_CPR+SUM(BV115:CS115)-BU115</f>
        <v/>
      </c>
    </row>
    <row r="116">
      <c r="A116" s="2" t="inlineStr">
        <is>
          <t>3617NBYQ5_050008946585285</t>
        </is>
      </c>
      <c r="B116" t="inlineStr">
        <is>
          <t>GREYSTONE_PRE21</t>
        </is>
      </c>
      <c r="C116" s="2" t="inlineStr">
        <is>
          <t>3617NBYQ5</t>
        </is>
      </c>
      <c r="D116" t="inlineStr">
        <is>
          <t>GREYSTONE SERVICING COMPANY LLC</t>
        </is>
      </c>
      <c r="E116" t="inlineStr">
        <is>
          <t>538</t>
        </is>
      </c>
      <c r="F116" t="inlineStr">
        <is>
          <t>538</t>
        </is>
      </c>
      <c r="G116" t="n">
        <v>2020</v>
      </c>
      <c r="H116" t="inlineStr">
        <is>
          <t>202602</t>
        </is>
      </c>
      <c r="I116" s="22" t="n">
        <v>1751473.04</v>
      </c>
      <c r="J116" s="23" t="n">
        <v>4.15</v>
      </c>
      <c r="K116" s="24" t="n">
        <v>447</v>
      </c>
      <c r="L116" s="24" t="n">
        <v>7</v>
      </c>
      <c r="M116" t="n">
        <v>68</v>
      </c>
      <c r="N116" t="n">
        <v>0</v>
      </c>
      <c r="O116" t="n">
        <v>206007</v>
      </c>
      <c r="P116" t="n">
        <v>202205</v>
      </c>
      <c r="Q116" t="inlineStr">
        <is>
          <t>3500</t>
        </is>
      </c>
      <c r="R116" t="n">
        <v>0</v>
      </c>
      <c r="S116" t="n">
        <v>0</v>
      </c>
      <c r="T116" t="n">
        <v>1</v>
      </c>
      <c r="U116" t="n">
        <v>0</v>
      </c>
      <c r="V116" s="24">
        <f>J116*100-K116</f>
        <v/>
      </c>
      <c r="W116" s="24">
        <f>L116</f>
        <v/>
      </c>
      <c r="X116" s="25">
        <f>MIN(M116,36)</f>
        <v/>
      </c>
      <c r="Y116" s="25">
        <f>MIN(MAX(M116-36,0),84)</f>
        <v/>
      </c>
      <c r="Z116" s="25">
        <f>MAX(M116-120,0)</f>
        <v/>
      </c>
      <c r="AA116" s="25">
        <f>IF(OR(O116="",NOT(ISNUMBER(O116))),360,MAX(0,MIN(480,(INT(O116/100)-INT(VALUE(H116)/100))*12+MOD(O116,100)-MOD(VALUE(H116),100))))</f>
        <v/>
      </c>
      <c r="AB116">
        <f>IF(AND(AA116&gt;0,AA116&lt;=24),1,0)</f>
        <v/>
      </c>
      <c r="AC116" s="25">
        <f>IF(OR(P116="",NOT(ISNUMBER(P116))),0,MAX(0,MIN(24,(INT(VALUE(H116)/100)-INT(P116/100))*12+MOD(VALUE(H116),100)-MOD(P116,100))))</f>
        <v/>
      </c>
      <c r="AD116" s="23">
        <f>LN(1+I116)</f>
        <v/>
      </c>
      <c r="AE116">
        <f>IF(I116&lt;2000000,1,0)</f>
        <v/>
      </c>
      <c r="AF116">
        <f>IF(I116&gt;50000000,1,0)</f>
        <v/>
      </c>
      <c r="AG116" s="23">
        <f>IF(ISNUMBER(M116),N116/MAX(M116,1),0)</f>
        <v/>
      </c>
      <c r="AH116">
        <f>IF(G116&gt;=2021,1,0)</f>
        <v/>
      </c>
      <c r="AI116">
        <f>S116</f>
        <v/>
      </c>
      <c r="AJ116">
        <f>T116</f>
        <v/>
      </c>
      <c r="AK116">
        <f>R116</f>
        <v/>
      </c>
      <c r="AL116">
        <f>U116</f>
        <v/>
      </c>
      <c r="AM116">
        <f>IF(ISNUMBER(SEARCH("CAPITAL FUNDING",D116)),1,0)</f>
        <v/>
      </c>
      <c r="AN116">
        <f>IF(ISNUMBER(SEARCH("PNC",D116)),1,0)</f>
        <v/>
      </c>
      <c r="AO116">
        <f>IF(ISNUMBER(SEARCH("WELLS FARGO",D116)),1,0)</f>
        <v/>
      </c>
      <c r="AP116">
        <f>IF(ISNUMBER(SEARCH("DWIGHT",D116)),1,0)</f>
        <v/>
      </c>
      <c r="AQ116">
        <f>IF(ISNUMBER(SEARCH("GREYSTONE",D116)),1,0)</f>
        <v/>
      </c>
      <c r="AR116">
        <f>IF(OR(Q116="3896",Q116="3557"),1,0)</f>
        <v/>
      </c>
      <c r="AS116" s="24">
        <f>V116*W116</f>
        <v/>
      </c>
      <c r="AT116" s="26">
        <f>V$4*(V116-V$3)</f>
        <v/>
      </c>
      <c r="AU116" s="26">
        <f>W$4*(W116-W$3)</f>
        <v/>
      </c>
      <c r="AV116" s="26">
        <f>X$4*(X116-X$3)</f>
        <v/>
      </c>
      <c r="AW116" s="26">
        <f>Y$4*(Y116-Y$3)</f>
        <v/>
      </c>
      <c r="AX116" s="26">
        <f>Z$4*(Z116-Z$3)</f>
        <v/>
      </c>
      <c r="AY116" s="26">
        <f>AA$4*(AA116-AA$3)</f>
        <v/>
      </c>
      <c r="AZ116" s="26">
        <f>AB$4*(AB116-AB$3)</f>
        <v/>
      </c>
      <c r="BA116" s="26">
        <f>AC$4*(AC116-AC$3)</f>
        <v/>
      </c>
      <c r="BB116" s="26">
        <f>AD$4*(AD116-AD$3)</f>
        <v/>
      </c>
      <c r="BC116" s="26">
        <f>AE$4*(AE116-AE$3)</f>
        <v/>
      </c>
      <c r="BD116" s="26">
        <f>AF$4*(AF116-AF$3)</f>
        <v/>
      </c>
      <c r="BE116" s="26">
        <f>AG$4*(AG116-AG$3)</f>
        <v/>
      </c>
      <c r="BF116" s="26">
        <f>AH$4*(AH116-AH$3)</f>
        <v/>
      </c>
      <c r="BG116" s="26">
        <f>AI$4*(AI116-AI$3)</f>
        <v/>
      </c>
      <c r="BH116" s="26">
        <f>AJ$4*(AJ116-AJ$3)</f>
        <v/>
      </c>
      <c r="BI116" s="26">
        <f>AK$4*(AK116-AK$3)</f>
        <v/>
      </c>
      <c r="BJ116" s="26">
        <f>AL$4*(AL116-AL$3)</f>
        <v/>
      </c>
      <c r="BK116" s="26">
        <f>AM$4*(AM116-AM$3)</f>
        <v/>
      </c>
      <c r="BL116" s="26">
        <f>AN$4*(AN116-AN$3)</f>
        <v/>
      </c>
      <c r="BM116" s="26">
        <f>AO$4*(AO116-AO$3)</f>
        <v/>
      </c>
      <c r="BN116" s="26">
        <f>AP$4*(AP116-AP$3)</f>
        <v/>
      </c>
      <c r="BO116" s="26">
        <f>AQ$4*(AQ116-AQ$3)</f>
        <v/>
      </c>
      <c r="BP116" s="26">
        <f>AR$4*(AR116-AR$3)</f>
        <v/>
      </c>
      <c r="BQ116" s="26">
        <f>AS$4*(AS116-AS$3)</f>
        <v/>
      </c>
      <c r="BR116" s="27">
        <f>SUM(AT116:BQ116)</f>
        <v/>
      </c>
      <c r="BS116" s="27">
        <f>INTERCEPT_SCALED+BR116</f>
        <v/>
      </c>
      <c r="BT116" s="28">
        <f>1/(1+EXP(-BS116))</f>
        <v/>
      </c>
      <c r="BU116" s="13">
        <f>1-(1-BT116)^12</f>
        <v/>
      </c>
      <c r="BV116" s="13">
        <f>IFERROR(AT116/BR116*(BU116-BASELINE_CPR),0)</f>
        <v/>
      </c>
      <c r="BW116" s="13">
        <f>IFERROR(AU116/BR116*(BU116-BASELINE_CPR),0)</f>
        <v/>
      </c>
      <c r="BX116" s="13">
        <f>IFERROR(AV116/BR116*(BU116-BASELINE_CPR),0)</f>
        <v/>
      </c>
      <c r="BY116" s="13">
        <f>IFERROR(AW116/BR116*(BU116-BASELINE_CPR),0)</f>
        <v/>
      </c>
      <c r="BZ116" s="13">
        <f>IFERROR(AX116/BR116*(BU116-BASELINE_CPR),0)</f>
        <v/>
      </c>
      <c r="CA116" s="13">
        <f>IFERROR(AY116/BR116*(BU116-BASELINE_CPR),0)</f>
        <v/>
      </c>
      <c r="CB116" s="13">
        <f>IFERROR(AZ116/BR116*(BU116-BASELINE_CPR),0)</f>
        <v/>
      </c>
      <c r="CC116" s="13">
        <f>IFERROR(BA116/BR116*(BU116-BASELINE_CPR),0)</f>
        <v/>
      </c>
      <c r="CD116" s="13">
        <f>IFERROR(BB116/BR116*(BU116-BASELINE_CPR),0)</f>
        <v/>
      </c>
      <c r="CE116" s="13">
        <f>IFERROR(BC116/BR116*(BU116-BASELINE_CPR),0)</f>
        <v/>
      </c>
      <c r="CF116" s="13">
        <f>IFERROR(BD116/BR116*(BU116-BASELINE_CPR),0)</f>
        <v/>
      </c>
      <c r="CG116" s="13">
        <f>IFERROR(BE116/BR116*(BU116-BASELINE_CPR),0)</f>
        <v/>
      </c>
      <c r="CH116" s="13">
        <f>IFERROR(BF116/BR116*(BU116-BASELINE_CPR),0)</f>
        <v/>
      </c>
      <c r="CI116" s="13">
        <f>IFERROR(BG116/BR116*(BU116-BASELINE_CPR),0)</f>
        <v/>
      </c>
      <c r="CJ116" s="13">
        <f>IFERROR(BH116/BR116*(BU116-BASELINE_CPR),0)</f>
        <v/>
      </c>
      <c r="CK116" s="13">
        <f>IFERROR(BI116/BR116*(BU116-BASELINE_CPR),0)</f>
        <v/>
      </c>
      <c r="CL116" s="13">
        <f>IFERROR(BJ116/BR116*(BU116-BASELINE_CPR),0)</f>
        <v/>
      </c>
      <c r="CM116" s="13">
        <f>IFERROR(BK116/BR116*(BU116-BASELINE_CPR),0)</f>
        <v/>
      </c>
      <c r="CN116" s="13">
        <f>IFERROR(BL116/BR116*(BU116-BASELINE_CPR),0)</f>
        <v/>
      </c>
      <c r="CO116" s="13">
        <f>IFERROR(BM116/BR116*(BU116-BASELINE_CPR),0)</f>
        <v/>
      </c>
      <c r="CP116" s="13">
        <f>IFERROR(BN116/BR116*(BU116-BASELINE_CPR),0)</f>
        <v/>
      </c>
      <c r="CQ116" s="13">
        <f>IFERROR(BO116/BR116*(BU116-BASELINE_CPR),0)</f>
        <v/>
      </c>
      <c r="CR116" s="13">
        <f>IFERROR(BP116/BR116*(BU116-BASELINE_CPR),0)</f>
        <v/>
      </c>
      <c r="CS116" s="13">
        <f>IFERROR(BQ116/BR116*(BU116-BASELINE_CPR),0)</f>
        <v/>
      </c>
      <c r="CT116" s="29">
        <f>BASELINE_CPR+SUM(BV116:CS116)-BU116</f>
        <v/>
      </c>
    </row>
    <row r="117">
      <c r="A117" s="2" t="inlineStr">
        <is>
          <t>3618KUZD2_000000006411265</t>
        </is>
      </c>
      <c r="B117" t="inlineStr">
        <is>
          <t>GREYSTONE_POST21</t>
        </is>
      </c>
      <c r="C117" s="2" t="inlineStr">
        <is>
          <t>3618KUZD2</t>
        </is>
      </c>
      <c r="D117" t="inlineStr">
        <is>
          <t>GREYSTONE FUNDING COMPANY LLC</t>
        </is>
      </c>
      <c r="E117" t="inlineStr">
        <is>
          <t>223f</t>
        </is>
      </c>
      <c r="F117" t="inlineStr">
        <is>
          <t>RP</t>
        </is>
      </c>
      <c r="G117" t="n">
        <v>2025</v>
      </c>
      <c r="H117" t="inlineStr">
        <is>
          <t>202602</t>
        </is>
      </c>
      <c r="I117" s="22" t="n">
        <v>5322544.26</v>
      </c>
      <c r="J117" s="23" t="n">
        <v>5.85</v>
      </c>
      <c r="K117" s="24" t="n">
        <v>447</v>
      </c>
      <c r="L117" s="24" t="n">
        <v>10</v>
      </c>
      <c r="M117" t="n">
        <v>9</v>
      </c>
      <c r="N117" t="n">
        <v>1</v>
      </c>
      <c r="O117" t="n">
        <v>206006</v>
      </c>
      <c r="P117" t="inlineStr"/>
      <c r="Q117" t="inlineStr">
        <is>
          <t>4168</t>
        </is>
      </c>
      <c r="R117" t="n">
        <v>0</v>
      </c>
      <c r="S117" t="n">
        <v>0</v>
      </c>
      <c r="T117" t="n">
        <v>0</v>
      </c>
      <c r="U117" t="n">
        <v>0</v>
      </c>
      <c r="V117" s="24">
        <f>J117*100-K117</f>
        <v/>
      </c>
      <c r="W117" s="24">
        <f>L117</f>
        <v/>
      </c>
      <c r="X117" s="25">
        <f>MIN(M117,36)</f>
        <v/>
      </c>
      <c r="Y117" s="25">
        <f>MIN(MAX(M117-36,0),84)</f>
        <v/>
      </c>
      <c r="Z117" s="25">
        <f>MAX(M117-120,0)</f>
        <v/>
      </c>
      <c r="AA117" s="25">
        <f>IF(OR(O117="",NOT(ISNUMBER(O117))),360,MAX(0,MIN(480,(INT(O117/100)-INT(VALUE(H117)/100))*12+MOD(O117,100)-MOD(VALUE(H117),100))))</f>
        <v/>
      </c>
      <c r="AB117">
        <f>IF(AND(AA117&gt;0,AA117&lt;=24),1,0)</f>
        <v/>
      </c>
      <c r="AC117" s="25">
        <f>IF(OR(P117="",NOT(ISNUMBER(P117))),0,MAX(0,MIN(24,(INT(VALUE(H117)/100)-INT(P117/100))*12+MOD(VALUE(H117),100)-MOD(P117,100))))</f>
        <v/>
      </c>
      <c r="AD117" s="23">
        <f>LN(1+I117)</f>
        <v/>
      </c>
      <c r="AE117">
        <f>IF(I117&lt;2000000,1,0)</f>
        <v/>
      </c>
      <c r="AF117">
        <f>IF(I117&gt;50000000,1,0)</f>
        <v/>
      </c>
      <c r="AG117" s="23">
        <f>IF(ISNUMBER(M117),N117/MAX(M117,1),0)</f>
        <v/>
      </c>
      <c r="AH117">
        <f>IF(G117&gt;=2021,1,0)</f>
        <v/>
      </c>
      <c r="AI117">
        <f>S117</f>
        <v/>
      </c>
      <c r="AJ117">
        <f>T117</f>
        <v/>
      </c>
      <c r="AK117">
        <f>R117</f>
        <v/>
      </c>
      <c r="AL117">
        <f>U117</f>
        <v/>
      </c>
      <c r="AM117">
        <f>IF(ISNUMBER(SEARCH("CAPITAL FUNDING",D117)),1,0)</f>
        <v/>
      </c>
      <c r="AN117">
        <f>IF(ISNUMBER(SEARCH("PNC",D117)),1,0)</f>
        <v/>
      </c>
      <c r="AO117">
        <f>IF(ISNUMBER(SEARCH("WELLS FARGO",D117)),1,0)</f>
        <v/>
      </c>
      <c r="AP117">
        <f>IF(ISNUMBER(SEARCH("DWIGHT",D117)),1,0)</f>
        <v/>
      </c>
      <c r="AQ117">
        <f>IF(ISNUMBER(SEARCH("GREYSTONE",D117)),1,0)</f>
        <v/>
      </c>
      <c r="AR117">
        <f>IF(OR(Q117="3896",Q117="3557"),1,0)</f>
        <v/>
      </c>
      <c r="AS117" s="24">
        <f>V117*W117</f>
        <v/>
      </c>
      <c r="AT117" s="26">
        <f>V$4*(V117-V$3)</f>
        <v/>
      </c>
      <c r="AU117" s="26">
        <f>W$4*(W117-W$3)</f>
        <v/>
      </c>
      <c r="AV117" s="26">
        <f>X$4*(X117-X$3)</f>
        <v/>
      </c>
      <c r="AW117" s="26">
        <f>Y$4*(Y117-Y$3)</f>
        <v/>
      </c>
      <c r="AX117" s="26">
        <f>Z$4*(Z117-Z$3)</f>
        <v/>
      </c>
      <c r="AY117" s="26">
        <f>AA$4*(AA117-AA$3)</f>
        <v/>
      </c>
      <c r="AZ117" s="26">
        <f>AB$4*(AB117-AB$3)</f>
        <v/>
      </c>
      <c r="BA117" s="26">
        <f>AC$4*(AC117-AC$3)</f>
        <v/>
      </c>
      <c r="BB117" s="26">
        <f>AD$4*(AD117-AD$3)</f>
        <v/>
      </c>
      <c r="BC117" s="26">
        <f>AE$4*(AE117-AE$3)</f>
        <v/>
      </c>
      <c r="BD117" s="26">
        <f>AF$4*(AF117-AF$3)</f>
        <v/>
      </c>
      <c r="BE117" s="26">
        <f>AG$4*(AG117-AG$3)</f>
        <v/>
      </c>
      <c r="BF117" s="26">
        <f>AH$4*(AH117-AH$3)</f>
        <v/>
      </c>
      <c r="BG117" s="26">
        <f>AI$4*(AI117-AI$3)</f>
        <v/>
      </c>
      <c r="BH117" s="26">
        <f>AJ$4*(AJ117-AJ$3)</f>
        <v/>
      </c>
      <c r="BI117" s="26">
        <f>AK$4*(AK117-AK$3)</f>
        <v/>
      </c>
      <c r="BJ117" s="26">
        <f>AL$4*(AL117-AL$3)</f>
        <v/>
      </c>
      <c r="BK117" s="26">
        <f>AM$4*(AM117-AM$3)</f>
        <v/>
      </c>
      <c r="BL117" s="26">
        <f>AN$4*(AN117-AN$3)</f>
        <v/>
      </c>
      <c r="BM117" s="26">
        <f>AO$4*(AO117-AO$3)</f>
        <v/>
      </c>
      <c r="BN117" s="26">
        <f>AP$4*(AP117-AP$3)</f>
        <v/>
      </c>
      <c r="BO117" s="26">
        <f>AQ$4*(AQ117-AQ$3)</f>
        <v/>
      </c>
      <c r="BP117" s="26">
        <f>AR$4*(AR117-AR$3)</f>
        <v/>
      </c>
      <c r="BQ117" s="26">
        <f>AS$4*(AS117-AS$3)</f>
        <v/>
      </c>
      <c r="BR117" s="27">
        <f>SUM(AT117:BQ117)</f>
        <v/>
      </c>
      <c r="BS117" s="27">
        <f>INTERCEPT_SCALED+BR117</f>
        <v/>
      </c>
      <c r="BT117" s="28">
        <f>1/(1+EXP(-BS117))</f>
        <v/>
      </c>
      <c r="BU117" s="13">
        <f>1-(1-BT117)^12</f>
        <v/>
      </c>
      <c r="BV117" s="13">
        <f>IFERROR(AT117/BR117*(BU117-BASELINE_CPR),0)</f>
        <v/>
      </c>
      <c r="BW117" s="13">
        <f>IFERROR(AU117/BR117*(BU117-BASELINE_CPR),0)</f>
        <v/>
      </c>
      <c r="BX117" s="13">
        <f>IFERROR(AV117/BR117*(BU117-BASELINE_CPR),0)</f>
        <v/>
      </c>
      <c r="BY117" s="13">
        <f>IFERROR(AW117/BR117*(BU117-BASELINE_CPR),0)</f>
        <v/>
      </c>
      <c r="BZ117" s="13">
        <f>IFERROR(AX117/BR117*(BU117-BASELINE_CPR),0)</f>
        <v/>
      </c>
      <c r="CA117" s="13">
        <f>IFERROR(AY117/BR117*(BU117-BASELINE_CPR),0)</f>
        <v/>
      </c>
      <c r="CB117" s="13">
        <f>IFERROR(AZ117/BR117*(BU117-BASELINE_CPR),0)</f>
        <v/>
      </c>
      <c r="CC117" s="13">
        <f>IFERROR(BA117/BR117*(BU117-BASELINE_CPR),0)</f>
        <v/>
      </c>
      <c r="CD117" s="13">
        <f>IFERROR(BB117/BR117*(BU117-BASELINE_CPR),0)</f>
        <v/>
      </c>
      <c r="CE117" s="13">
        <f>IFERROR(BC117/BR117*(BU117-BASELINE_CPR),0)</f>
        <v/>
      </c>
      <c r="CF117" s="13">
        <f>IFERROR(BD117/BR117*(BU117-BASELINE_CPR),0)</f>
        <v/>
      </c>
      <c r="CG117" s="13">
        <f>IFERROR(BE117/BR117*(BU117-BASELINE_CPR),0)</f>
        <v/>
      </c>
      <c r="CH117" s="13">
        <f>IFERROR(BF117/BR117*(BU117-BASELINE_CPR),0)</f>
        <v/>
      </c>
      <c r="CI117" s="13">
        <f>IFERROR(BG117/BR117*(BU117-BASELINE_CPR),0)</f>
        <v/>
      </c>
      <c r="CJ117" s="13">
        <f>IFERROR(BH117/BR117*(BU117-BASELINE_CPR),0)</f>
        <v/>
      </c>
      <c r="CK117" s="13">
        <f>IFERROR(BI117/BR117*(BU117-BASELINE_CPR),0)</f>
        <v/>
      </c>
      <c r="CL117" s="13">
        <f>IFERROR(BJ117/BR117*(BU117-BASELINE_CPR),0)</f>
        <v/>
      </c>
      <c r="CM117" s="13">
        <f>IFERROR(BK117/BR117*(BU117-BASELINE_CPR),0)</f>
        <v/>
      </c>
      <c r="CN117" s="13">
        <f>IFERROR(BL117/BR117*(BU117-BASELINE_CPR),0)</f>
        <v/>
      </c>
      <c r="CO117" s="13">
        <f>IFERROR(BM117/BR117*(BU117-BASELINE_CPR),0)</f>
        <v/>
      </c>
      <c r="CP117" s="13">
        <f>IFERROR(BN117/BR117*(BU117-BASELINE_CPR),0)</f>
        <v/>
      </c>
      <c r="CQ117" s="13">
        <f>IFERROR(BO117/BR117*(BU117-BASELINE_CPR),0)</f>
        <v/>
      </c>
      <c r="CR117" s="13">
        <f>IFERROR(BP117/BR117*(BU117-BASELINE_CPR),0)</f>
        <v/>
      </c>
      <c r="CS117" s="13">
        <f>IFERROR(BQ117/BR117*(BU117-BASELINE_CPR),0)</f>
        <v/>
      </c>
      <c r="CT117" s="29">
        <f>BASELINE_CPR+SUM(BV117:CS117)-BU117</f>
        <v/>
      </c>
    </row>
    <row r="118">
      <c r="A118" s="2" t="inlineStr">
        <is>
          <t>3617GNAF7_011001803759912</t>
        </is>
      </c>
      <c r="B118" t="inlineStr">
        <is>
          <t>GREYSTONE_PRE21</t>
        </is>
      </c>
      <c r="C118" s="2" t="inlineStr">
        <is>
          <t>3617GNAF7</t>
        </is>
      </c>
      <c r="D118" t="inlineStr">
        <is>
          <t>GREYSTONE SERVICING COMPANY LLC</t>
        </is>
      </c>
      <c r="E118" t="inlineStr">
        <is>
          <t>538</t>
        </is>
      </c>
      <c r="F118" t="inlineStr">
        <is>
          <t>538</t>
        </is>
      </c>
      <c r="G118" t="n">
        <v>2018</v>
      </c>
      <c r="H118" t="inlineStr">
        <is>
          <t>202602</t>
        </is>
      </c>
      <c r="I118" s="22" t="n">
        <v>859779.96</v>
      </c>
      <c r="J118" s="23" t="n">
        <v>4.5</v>
      </c>
      <c r="K118" s="24" t="n">
        <v>447</v>
      </c>
      <c r="L118" s="24" t="n">
        <v>3</v>
      </c>
      <c r="M118" t="n">
        <v>95</v>
      </c>
      <c r="N118" t="n">
        <v>38</v>
      </c>
      <c r="O118" t="n">
        <v>205804</v>
      </c>
      <c r="P118" t="inlineStr"/>
      <c r="Q118" t="inlineStr">
        <is>
          <t>3500</t>
        </is>
      </c>
      <c r="R118" t="n">
        <v>0</v>
      </c>
      <c r="S118" t="n">
        <v>0</v>
      </c>
      <c r="T118" t="n">
        <v>1</v>
      </c>
      <c r="U118" t="n">
        <v>0</v>
      </c>
      <c r="V118" s="24">
        <f>J118*100-K118</f>
        <v/>
      </c>
      <c r="W118" s="24">
        <f>L118</f>
        <v/>
      </c>
      <c r="X118" s="25">
        <f>MIN(M118,36)</f>
        <v/>
      </c>
      <c r="Y118" s="25">
        <f>MIN(MAX(M118-36,0),84)</f>
        <v/>
      </c>
      <c r="Z118" s="25">
        <f>MAX(M118-120,0)</f>
        <v/>
      </c>
      <c r="AA118" s="25">
        <f>IF(OR(O118="",NOT(ISNUMBER(O118))),360,MAX(0,MIN(480,(INT(O118/100)-INT(VALUE(H118)/100))*12+MOD(O118,100)-MOD(VALUE(H118),100))))</f>
        <v/>
      </c>
      <c r="AB118">
        <f>IF(AND(AA118&gt;0,AA118&lt;=24),1,0)</f>
        <v/>
      </c>
      <c r="AC118" s="25">
        <f>IF(OR(P118="",NOT(ISNUMBER(P118))),0,MAX(0,MIN(24,(INT(VALUE(H118)/100)-INT(P118/100))*12+MOD(VALUE(H118),100)-MOD(P118,100))))</f>
        <v/>
      </c>
      <c r="AD118" s="23">
        <f>LN(1+I118)</f>
        <v/>
      </c>
      <c r="AE118">
        <f>IF(I118&lt;2000000,1,0)</f>
        <v/>
      </c>
      <c r="AF118">
        <f>IF(I118&gt;50000000,1,0)</f>
        <v/>
      </c>
      <c r="AG118" s="23">
        <f>IF(ISNUMBER(M118),N118/MAX(M118,1),0)</f>
        <v/>
      </c>
      <c r="AH118">
        <f>IF(G118&gt;=2021,1,0)</f>
        <v/>
      </c>
      <c r="AI118">
        <f>S118</f>
        <v/>
      </c>
      <c r="AJ118">
        <f>T118</f>
        <v/>
      </c>
      <c r="AK118">
        <f>R118</f>
        <v/>
      </c>
      <c r="AL118">
        <f>U118</f>
        <v/>
      </c>
      <c r="AM118">
        <f>IF(ISNUMBER(SEARCH("CAPITAL FUNDING",D118)),1,0)</f>
        <v/>
      </c>
      <c r="AN118">
        <f>IF(ISNUMBER(SEARCH("PNC",D118)),1,0)</f>
        <v/>
      </c>
      <c r="AO118">
        <f>IF(ISNUMBER(SEARCH("WELLS FARGO",D118)),1,0)</f>
        <v/>
      </c>
      <c r="AP118">
        <f>IF(ISNUMBER(SEARCH("DWIGHT",D118)),1,0)</f>
        <v/>
      </c>
      <c r="AQ118">
        <f>IF(ISNUMBER(SEARCH("GREYSTONE",D118)),1,0)</f>
        <v/>
      </c>
      <c r="AR118">
        <f>IF(OR(Q118="3896",Q118="3557"),1,0)</f>
        <v/>
      </c>
      <c r="AS118" s="24">
        <f>V118*W118</f>
        <v/>
      </c>
      <c r="AT118" s="26">
        <f>V$4*(V118-V$3)</f>
        <v/>
      </c>
      <c r="AU118" s="26">
        <f>W$4*(W118-W$3)</f>
        <v/>
      </c>
      <c r="AV118" s="26">
        <f>X$4*(X118-X$3)</f>
        <v/>
      </c>
      <c r="AW118" s="26">
        <f>Y$4*(Y118-Y$3)</f>
        <v/>
      </c>
      <c r="AX118" s="26">
        <f>Z$4*(Z118-Z$3)</f>
        <v/>
      </c>
      <c r="AY118" s="26">
        <f>AA$4*(AA118-AA$3)</f>
        <v/>
      </c>
      <c r="AZ118" s="26">
        <f>AB$4*(AB118-AB$3)</f>
        <v/>
      </c>
      <c r="BA118" s="26">
        <f>AC$4*(AC118-AC$3)</f>
        <v/>
      </c>
      <c r="BB118" s="26">
        <f>AD$4*(AD118-AD$3)</f>
        <v/>
      </c>
      <c r="BC118" s="26">
        <f>AE$4*(AE118-AE$3)</f>
        <v/>
      </c>
      <c r="BD118" s="26">
        <f>AF$4*(AF118-AF$3)</f>
        <v/>
      </c>
      <c r="BE118" s="26">
        <f>AG$4*(AG118-AG$3)</f>
        <v/>
      </c>
      <c r="BF118" s="26">
        <f>AH$4*(AH118-AH$3)</f>
        <v/>
      </c>
      <c r="BG118" s="26">
        <f>AI$4*(AI118-AI$3)</f>
        <v/>
      </c>
      <c r="BH118" s="26">
        <f>AJ$4*(AJ118-AJ$3)</f>
        <v/>
      </c>
      <c r="BI118" s="26">
        <f>AK$4*(AK118-AK$3)</f>
        <v/>
      </c>
      <c r="BJ118" s="26">
        <f>AL$4*(AL118-AL$3)</f>
        <v/>
      </c>
      <c r="BK118" s="26">
        <f>AM$4*(AM118-AM$3)</f>
        <v/>
      </c>
      <c r="BL118" s="26">
        <f>AN$4*(AN118-AN$3)</f>
        <v/>
      </c>
      <c r="BM118" s="26">
        <f>AO$4*(AO118-AO$3)</f>
        <v/>
      </c>
      <c r="BN118" s="26">
        <f>AP$4*(AP118-AP$3)</f>
        <v/>
      </c>
      <c r="BO118" s="26">
        <f>AQ$4*(AQ118-AQ$3)</f>
        <v/>
      </c>
      <c r="BP118" s="26">
        <f>AR$4*(AR118-AR$3)</f>
        <v/>
      </c>
      <c r="BQ118" s="26">
        <f>AS$4*(AS118-AS$3)</f>
        <v/>
      </c>
      <c r="BR118" s="27">
        <f>SUM(AT118:BQ118)</f>
        <v/>
      </c>
      <c r="BS118" s="27">
        <f>INTERCEPT_SCALED+BR118</f>
        <v/>
      </c>
      <c r="BT118" s="28">
        <f>1/(1+EXP(-BS118))</f>
        <v/>
      </c>
      <c r="BU118" s="13">
        <f>1-(1-BT118)^12</f>
        <v/>
      </c>
      <c r="BV118" s="13">
        <f>IFERROR(AT118/BR118*(BU118-BASELINE_CPR),0)</f>
        <v/>
      </c>
      <c r="BW118" s="13">
        <f>IFERROR(AU118/BR118*(BU118-BASELINE_CPR),0)</f>
        <v/>
      </c>
      <c r="BX118" s="13">
        <f>IFERROR(AV118/BR118*(BU118-BASELINE_CPR),0)</f>
        <v/>
      </c>
      <c r="BY118" s="13">
        <f>IFERROR(AW118/BR118*(BU118-BASELINE_CPR),0)</f>
        <v/>
      </c>
      <c r="BZ118" s="13">
        <f>IFERROR(AX118/BR118*(BU118-BASELINE_CPR),0)</f>
        <v/>
      </c>
      <c r="CA118" s="13">
        <f>IFERROR(AY118/BR118*(BU118-BASELINE_CPR),0)</f>
        <v/>
      </c>
      <c r="CB118" s="13">
        <f>IFERROR(AZ118/BR118*(BU118-BASELINE_CPR),0)</f>
        <v/>
      </c>
      <c r="CC118" s="13">
        <f>IFERROR(BA118/BR118*(BU118-BASELINE_CPR),0)</f>
        <v/>
      </c>
      <c r="CD118" s="13">
        <f>IFERROR(BB118/BR118*(BU118-BASELINE_CPR),0)</f>
        <v/>
      </c>
      <c r="CE118" s="13">
        <f>IFERROR(BC118/BR118*(BU118-BASELINE_CPR),0)</f>
        <v/>
      </c>
      <c r="CF118" s="13">
        <f>IFERROR(BD118/BR118*(BU118-BASELINE_CPR),0)</f>
        <v/>
      </c>
      <c r="CG118" s="13">
        <f>IFERROR(BE118/BR118*(BU118-BASELINE_CPR),0)</f>
        <v/>
      </c>
      <c r="CH118" s="13">
        <f>IFERROR(BF118/BR118*(BU118-BASELINE_CPR),0)</f>
        <v/>
      </c>
      <c r="CI118" s="13">
        <f>IFERROR(BG118/BR118*(BU118-BASELINE_CPR),0)</f>
        <v/>
      </c>
      <c r="CJ118" s="13">
        <f>IFERROR(BH118/BR118*(BU118-BASELINE_CPR),0)</f>
        <v/>
      </c>
      <c r="CK118" s="13">
        <f>IFERROR(BI118/BR118*(BU118-BASELINE_CPR),0)</f>
        <v/>
      </c>
      <c r="CL118" s="13">
        <f>IFERROR(BJ118/BR118*(BU118-BASELINE_CPR),0)</f>
        <v/>
      </c>
      <c r="CM118" s="13">
        <f>IFERROR(BK118/BR118*(BU118-BASELINE_CPR),0)</f>
        <v/>
      </c>
      <c r="CN118" s="13">
        <f>IFERROR(BL118/BR118*(BU118-BASELINE_CPR),0)</f>
        <v/>
      </c>
      <c r="CO118" s="13">
        <f>IFERROR(BM118/BR118*(BU118-BASELINE_CPR),0)</f>
        <v/>
      </c>
      <c r="CP118" s="13">
        <f>IFERROR(BN118/BR118*(BU118-BASELINE_CPR),0)</f>
        <v/>
      </c>
      <c r="CQ118" s="13">
        <f>IFERROR(BO118/BR118*(BU118-BASELINE_CPR),0)</f>
        <v/>
      </c>
      <c r="CR118" s="13">
        <f>IFERROR(BP118/BR118*(BU118-BASELINE_CPR),0)</f>
        <v/>
      </c>
      <c r="CS118" s="13">
        <f>IFERROR(BQ118/BR118*(BU118-BASELINE_CPR),0)</f>
        <v/>
      </c>
      <c r="CT118" s="29">
        <f>BASELINE_CPR+SUM(BV118:CS118)-BU118</f>
        <v/>
      </c>
    </row>
    <row r="119">
      <c r="A119" s="2" t="inlineStr">
        <is>
          <t>3617GNAK6_010020895936416</t>
        </is>
      </c>
      <c r="B119" t="inlineStr">
        <is>
          <t>GREYSTONE_PRE21</t>
        </is>
      </c>
      <c r="C119" s="2" t="inlineStr">
        <is>
          <t>3617GNAK6</t>
        </is>
      </c>
      <c r="D119" t="inlineStr">
        <is>
          <t>GREYSTONE SERVICING COMPANY LLC</t>
        </is>
      </c>
      <c r="E119" t="inlineStr">
        <is>
          <t>538</t>
        </is>
      </c>
      <c r="F119" t="inlineStr">
        <is>
          <t>538</t>
        </is>
      </c>
      <c r="G119" t="n">
        <v>2018</v>
      </c>
      <c r="H119" t="inlineStr">
        <is>
          <t>202602</t>
        </is>
      </c>
      <c r="I119" s="22" t="n">
        <v>1338183.97</v>
      </c>
      <c r="J119" s="23" t="n">
        <v>4.5</v>
      </c>
      <c r="K119" s="24" t="n">
        <v>447</v>
      </c>
      <c r="L119" s="24" t="n">
        <v>4</v>
      </c>
      <c r="M119" t="n">
        <v>95</v>
      </c>
      <c r="N119" t="n">
        <v>34</v>
      </c>
      <c r="O119" t="n">
        <v>205804</v>
      </c>
      <c r="P119" t="inlineStr"/>
      <c r="Q119" t="inlineStr">
        <is>
          <t>3500</t>
        </is>
      </c>
      <c r="R119" t="n">
        <v>0</v>
      </c>
      <c r="S119" t="n">
        <v>0</v>
      </c>
      <c r="T119" t="n">
        <v>1</v>
      </c>
      <c r="U119" t="n">
        <v>0</v>
      </c>
      <c r="V119" s="24">
        <f>J119*100-K119</f>
        <v/>
      </c>
      <c r="W119" s="24">
        <f>L119</f>
        <v/>
      </c>
      <c r="X119" s="25">
        <f>MIN(M119,36)</f>
        <v/>
      </c>
      <c r="Y119" s="25">
        <f>MIN(MAX(M119-36,0),84)</f>
        <v/>
      </c>
      <c r="Z119" s="25">
        <f>MAX(M119-120,0)</f>
        <v/>
      </c>
      <c r="AA119" s="25">
        <f>IF(OR(O119="",NOT(ISNUMBER(O119))),360,MAX(0,MIN(480,(INT(O119/100)-INT(VALUE(H119)/100))*12+MOD(O119,100)-MOD(VALUE(H119),100))))</f>
        <v/>
      </c>
      <c r="AB119">
        <f>IF(AND(AA119&gt;0,AA119&lt;=24),1,0)</f>
        <v/>
      </c>
      <c r="AC119" s="25">
        <f>IF(OR(P119="",NOT(ISNUMBER(P119))),0,MAX(0,MIN(24,(INT(VALUE(H119)/100)-INT(P119/100))*12+MOD(VALUE(H119),100)-MOD(P119,100))))</f>
        <v/>
      </c>
      <c r="AD119" s="23">
        <f>LN(1+I119)</f>
        <v/>
      </c>
      <c r="AE119">
        <f>IF(I119&lt;2000000,1,0)</f>
        <v/>
      </c>
      <c r="AF119">
        <f>IF(I119&gt;50000000,1,0)</f>
        <v/>
      </c>
      <c r="AG119" s="23">
        <f>IF(ISNUMBER(M119),N119/MAX(M119,1),0)</f>
        <v/>
      </c>
      <c r="AH119">
        <f>IF(G119&gt;=2021,1,0)</f>
        <v/>
      </c>
      <c r="AI119">
        <f>S119</f>
        <v/>
      </c>
      <c r="AJ119">
        <f>T119</f>
        <v/>
      </c>
      <c r="AK119">
        <f>R119</f>
        <v/>
      </c>
      <c r="AL119">
        <f>U119</f>
        <v/>
      </c>
      <c r="AM119">
        <f>IF(ISNUMBER(SEARCH("CAPITAL FUNDING",D119)),1,0)</f>
        <v/>
      </c>
      <c r="AN119">
        <f>IF(ISNUMBER(SEARCH("PNC",D119)),1,0)</f>
        <v/>
      </c>
      <c r="AO119">
        <f>IF(ISNUMBER(SEARCH("WELLS FARGO",D119)),1,0)</f>
        <v/>
      </c>
      <c r="AP119">
        <f>IF(ISNUMBER(SEARCH("DWIGHT",D119)),1,0)</f>
        <v/>
      </c>
      <c r="AQ119">
        <f>IF(ISNUMBER(SEARCH("GREYSTONE",D119)),1,0)</f>
        <v/>
      </c>
      <c r="AR119">
        <f>IF(OR(Q119="3896",Q119="3557"),1,0)</f>
        <v/>
      </c>
      <c r="AS119" s="24">
        <f>V119*W119</f>
        <v/>
      </c>
      <c r="AT119" s="26">
        <f>V$4*(V119-V$3)</f>
        <v/>
      </c>
      <c r="AU119" s="26">
        <f>W$4*(W119-W$3)</f>
        <v/>
      </c>
      <c r="AV119" s="26">
        <f>X$4*(X119-X$3)</f>
        <v/>
      </c>
      <c r="AW119" s="26">
        <f>Y$4*(Y119-Y$3)</f>
        <v/>
      </c>
      <c r="AX119" s="26">
        <f>Z$4*(Z119-Z$3)</f>
        <v/>
      </c>
      <c r="AY119" s="26">
        <f>AA$4*(AA119-AA$3)</f>
        <v/>
      </c>
      <c r="AZ119" s="26">
        <f>AB$4*(AB119-AB$3)</f>
        <v/>
      </c>
      <c r="BA119" s="26">
        <f>AC$4*(AC119-AC$3)</f>
        <v/>
      </c>
      <c r="BB119" s="26">
        <f>AD$4*(AD119-AD$3)</f>
        <v/>
      </c>
      <c r="BC119" s="26">
        <f>AE$4*(AE119-AE$3)</f>
        <v/>
      </c>
      <c r="BD119" s="26">
        <f>AF$4*(AF119-AF$3)</f>
        <v/>
      </c>
      <c r="BE119" s="26">
        <f>AG$4*(AG119-AG$3)</f>
        <v/>
      </c>
      <c r="BF119" s="26">
        <f>AH$4*(AH119-AH$3)</f>
        <v/>
      </c>
      <c r="BG119" s="26">
        <f>AI$4*(AI119-AI$3)</f>
        <v/>
      </c>
      <c r="BH119" s="26">
        <f>AJ$4*(AJ119-AJ$3)</f>
        <v/>
      </c>
      <c r="BI119" s="26">
        <f>AK$4*(AK119-AK$3)</f>
        <v/>
      </c>
      <c r="BJ119" s="26">
        <f>AL$4*(AL119-AL$3)</f>
        <v/>
      </c>
      <c r="BK119" s="26">
        <f>AM$4*(AM119-AM$3)</f>
        <v/>
      </c>
      <c r="BL119" s="26">
        <f>AN$4*(AN119-AN$3)</f>
        <v/>
      </c>
      <c r="BM119" s="26">
        <f>AO$4*(AO119-AO$3)</f>
        <v/>
      </c>
      <c r="BN119" s="26">
        <f>AP$4*(AP119-AP$3)</f>
        <v/>
      </c>
      <c r="BO119" s="26">
        <f>AQ$4*(AQ119-AQ$3)</f>
        <v/>
      </c>
      <c r="BP119" s="26">
        <f>AR$4*(AR119-AR$3)</f>
        <v/>
      </c>
      <c r="BQ119" s="26">
        <f>AS$4*(AS119-AS$3)</f>
        <v/>
      </c>
      <c r="BR119" s="27">
        <f>SUM(AT119:BQ119)</f>
        <v/>
      </c>
      <c r="BS119" s="27">
        <f>INTERCEPT_SCALED+BR119</f>
        <v/>
      </c>
      <c r="BT119" s="28">
        <f>1/(1+EXP(-BS119))</f>
        <v/>
      </c>
      <c r="BU119" s="13">
        <f>1-(1-BT119)^12</f>
        <v/>
      </c>
      <c r="BV119" s="13">
        <f>IFERROR(AT119/BR119*(BU119-BASELINE_CPR),0)</f>
        <v/>
      </c>
      <c r="BW119" s="13">
        <f>IFERROR(AU119/BR119*(BU119-BASELINE_CPR),0)</f>
        <v/>
      </c>
      <c r="BX119" s="13">
        <f>IFERROR(AV119/BR119*(BU119-BASELINE_CPR),0)</f>
        <v/>
      </c>
      <c r="BY119" s="13">
        <f>IFERROR(AW119/BR119*(BU119-BASELINE_CPR),0)</f>
        <v/>
      </c>
      <c r="BZ119" s="13">
        <f>IFERROR(AX119/BR119*(BU119-BASELINE_CPR),0)</f>
        <v/>
      </c>
      <c r="CA119" s="13">
        <f>IFERROR(AY119/BR119*(BU119-BASELINE_CPR),0)</f>
        <v/>
      </c>
      <c r="CB119" s="13">
        <f>IFERROR(AZ119/BR119*(BU119-BASELINE_CPR),0)</f>
        <v/>
      </c>
      <c r="CC119" s="13">
        <f>IFERROR(BA119/BR119*(BU119-BASELINE_CPR),0)</f>
        <v/>
      </c>
      <c r="CD119" s="13">
        <f>IFERROR(BB119/BR119*(BU119-BASELINE_CPR),0)</f>
        <v/>
      </c>
      <c r="CE119" s="13">
        <f>IFERROR(BC119/BR119*(BU119-BASELINE_CPR),0)</f>
        <v/>
      </c>
      <c r="CF119" s="13">
        <f>IFERROR(BD119/BR119*(BU119-BASELINE_CPR),0)</f>
        <v/>
      </c>
      <c r="CG119" s="13">
        <f>IFERROR(BE119/BR119*(BU119-BASELINE_CPR),0)</f>
        <v/>
      </c>
      <c r="CH119" s="13">
        <f>IFERROR(BF119/BR119*(BU119-BASELINE_CPR),0)</f>
        <v/>
      </c>
      <c r="CI119" s="13">
        <f>IFERROR(BG119/BR119*(BU119-BASELINE_CPR),0)</f>
        <v/>
      </c>
      <c r="CJ119" s="13">
        <f>IFERROR(BH119/BR119*(BU119-BASELINE_CPR),0)</f>
        <v/>
      </c>
      <c r="CK119" s="13">
        <f>IFERROR(BI119/BR119*(BU119-BASELINE_CPR),0)</f>
        <v/>
      </c>
      <c r="CL119" s="13">
        <f>IFERROR(BJ119/BR119*(BU119-BASELINE_CPR),0)</f>
        <v/>
      </c>
      <c r="CM119" s="13">
        <f>IFERROR(BK119/BR119*(BU119-BASELINE_CPR),0)</f>
        <v/>
      </c>
      <c r="CN119" s="13">
        <f>IFERROR(BL119/BR119*(BU119-BASELINE_CPR),0)</f>
        <v/>
      </c>
      <c r="CO119" s="13">
        <f>IFERROR(BM119/BR119*(BU119-BASELINE_CPR),0)</f>
        <v/>
      </c>
      <c r="CP119" s="13">
        <f>IFERROR(BN119/BR119*(BU119-BASELINE_CPR),0)</f>
        <v/>
      </c>
      <c r="CQ119" s="13">
        <f>IFERROR(BO119/BR119*(BU119-BASELINE_CPR),0)</f>
        <v/>
      </c>
      <c r="CR119" s="13">
        <f>IFERROR(BP119/BR119*(BU119-BASELINE_CPR),0)</f>
        <v/>
      </c>
      <c r="CS119" s="13">
        <f>IFERROR(BQ119/BR119*(BU119-BASELINE_CPR),0)</f>
        <v/>
      </c>
      <c r="CT119" s="29">
        <f>BASELINE_CPR+SUM(BV119:CS119)-BU119</f>
        <v/>
      </c>
    </row>
    <row r="120">
      <c r="A120" s="2" t="inlineStr">
        <is>
          <t>3617QMXL0_000000002311576</t>
        </is>
      </c>
      <c r="B120" t="inlineStr">
        <is>
          <t>MERCHANTS_PRE21</t>
        </is>
      </c>
      <c r="C120" s="2" t="inlineStr">
        <is>
          <t>3617QMXL0</t>
        </is>
      </c>
      <c r="D120" t="inlineStr">
        <is>
          <t>MERCHANTS CAPITAL CORP.</t>
        </is>
      </c>
      <c r="E120" t="inlineStr">
        <is>
          <t>223f</t>
        </is>
      </c>
      <c r="F120" t="inlineStr">
        <is>
          <t>RP</t>
        </is>
      </c>
      <c r="G120" t="n">
        <v>2020</v>
      </c>
      <c r="H120" t="inlineStr">
        <is>
          <t>202602</t>
        </is>
      </c>
      <c r="I120" s="22" t="n">
        <v>10194656.76</v>
      </c>
      <c r="J120" s="23" t="n">
        <v>2.2</v>
      </c>
      <c r="K120" s="24" t="n">
        <v>447</v>
      </c>
      <c r="L120" s="24" t="n">
        <v>5</v>
      </c>
      <c r="M120" t="n">
        <v>62</v>
      </c>
      <c r="N120" t="n">
        <v>0</v>
      </c>
      <c r="O120" t="n">
        <v>205601</v>
      </c>
      <c r="P120" t="inlineStr"/>
      <c r="Q120" t="inlineStr">
        <is>
          <t>3487</t>
        </is>
      </c>
      <c r="R120" t="n">
        <v>0</v>
      </c>
      <c r="S120" t="n">
        <v>0</v>
      </c>
      <c r="T120" t="n">
        <v>0</v>
      </c>
      <c r="U120" t="n">
        <v>0</v>
      </c>
      <c r="V120" s="24">
        <f>J120*100-K120</f>
        <v/>
      </c>
      <c r="W120" s="24">
        <f>L120</f>
        <v/>
      </c>
      <c r="X120" s="25">
        <f>MIN(M120,36)</f>
        <v/>
      </c>
      <c r="Y120" s="25">
        <f>MIN(MAX(M120-36,0),84)</f>
        <v/>
      </c>
      <c r="Z120" s="25">
        <f>MAX(M120-120,0)</f>
        <v/>
      </c>
      <c r="AA120" s="25">
        <f>IF(OR(O120="",NOT(ISNUMBER(O120))),360,MAX(0,MIN(480,(INT(O120/100)-INT(VALUE(H120)/100))*12+MOD(O120,100)-MOD(VALUE(H120),100))))</f>
        <v/>
      </c>
      <c r="AB120">
        <f>IF(AND(AA120&gt;0,AA120&lt;=24),1,0)</f>
        <v/>
      </c>
      <c r="AC120" s="25">
        <f>IF(OR(P120="",NOT(ISNUMBER(P120))),0,MAX(0,MIN(24,(INT(VALUE(H120)/100)-INT(P120/100))*12+MOD(VALUE(H120),100)-MOD(P120,100))))</f>
        <v/>
      </c>
      <c r="AD120" s="23">
        <f>LN(1+I120)</f>
        <v/>
      </c>
      <c r="AE120">
        <f>IF(I120&lt;2000000,1,0)</f>
        <v/>
      </c>
      <c r="AF120">
        <f>IF(I120&gt;50000000,1,0)</f>
        <v/>
      </c>
      <c r="AG120" s="23">
        <f>IF(ISNUMBER(M120),N120/MAX(M120,1),0)</f>
        <v/>
      </c>
      <c r="AH120">
        <f>IF(G120&gt;=2021,1,0)</f>
        <v/>
      </c>
      <c r="AI120">
        <f>S120</f>
        <v/>
      </c>
      <c r="AJ120">
        <f>T120</f>
        <v/>
      </c>
      <c r="AK120">
        <f>R120</f>
        <v/>
      </c>
      <c r="AL120">
        <f>U120</f>
        <v/>
      </c>
      <c r="AM120">
        <f>IF(ISNUMBER(SEARCH("CAPITAL FUNDING",D120)),1,0)</f>
        <v/>
      </c>
      <c r="AN120">
        <f>IF(ISNUMBER(SEARCH("PNC",D120)),1,0)</f>
        <v/>
      </c>
      <c r="AO120">
        <f>IF(ISNUMBER(SEARCH("WELLS FARGO",D120)),1,0)</f>
        <v/>
      </c>
      <c r="AP120">
        <f>IF(ISNUMBER(SEARCH("DWIGHT",D120)),1,0)</f>
        <v/>
      </c>
      <c r="AQ120">
        <f>IF(ISNUMBER(SEARCH("GREYSTONE",D120)),1,0)</f>
        <v/>
      </c>
      <c r="AR120">
        <f>IF(OR(Q120="3896",Q120="3557"),1,0)</f>
        <v/>
      </c>
      <c r="AS120" s="24">
        <f>V120*W120</f>
        <v/>
      </c>
      <c r="AT120" s="26">
        <f>V$4*(V120-V$3)</f>
        <v/>
      </c>
      <c r="AU120" s="26">
        <f>W$4*(W120-W$3)</f>
        <v/>
      </c>
      <c r="AV120" s="26">
        <f>X$4*(X120-X$3)</f>
        <v/>
      </c>
      <c r="AW120" s="26">
        <f>Y$4*(Y120-Y$3)</f>
        <v/>
      </c>
      <c r="AX120" s="26">
        <f>Z$4*(Z120-Z$3)</f>
        <v/>
      </c>
      <c r="AY120" s="26">
        <f>AA$4*(AA120-AA$3)</f>
        <v/>
      </c>
      <c r="AZ120" s="26">
        <f>AB$4*(AB120-AB$3)</f>
        <v/>
      </c>
      <c r="BA120" s="26">
        <f>AC$4*(AC120-AC$3)</f>
        <v/>
      </c>
      <c r="BB120" s="26">
        <f>AD$4*(AD120-AD$3)</f>
        <v/>
      </c>
      <c r="BC120" s="26">
        <f>AE$4*(AE120-AE$3)</f>
        <v/>
      </c>
      <c r="BD120" s="26">
        <f>AF$4*(AF120-AF$3)</f>
        <v/>
      </c>
      <c r="BE120" s="26">
        <f>AG$4*(AG120-AG$3)</f>
        <v/>
      </c>
      <c r="BF120" s="26">
        <f>AH$4*(AH120-AH$3)</f>
        <v/>
      </c>
      <c r="BG120" s="26">
        <f>AI$4*(AI120-AI$3)</f>
        <v/>
      </c>
      <c r="BH120" s="26">
        <f>AJ$4*(AJ120-AJ$3)</f>
        <v/>
      </c>
      <c r="BI120" s="26">
        <f>AK$4*(AK120-AK$3)</f>
        <v/>
      </c>
      <c r="BJ120" s="26">
        <f>AL$4*(AL120-AL$3)</f>
        <v/>
      </c>
      <c r="BK120" s="26">
        <f>AM$4*(AM120-AM$3)</f>
        <v/>
      </c>
      <c r="BL120" s="26">
        <f>AN$4*(AN120-AN$3)</f>
        <v/>
      </c>
      <c r="BM120" s="26">
        <f>AO$4*(AO120-AO$3)</f>
        <v/>
      </c>
      <c r="BN120" s="26">
        <f>AP$4*(AP120-AP$3)</f>
        <v/>
      </c>
      <c r="BO120" s="26">
        <f>AQ$4*(AQ120-AQ$3)</f>
        <v/>
      </c>
      <c r="BP120" s="26">
        <f>AR$4*(AR120-AR$3)</f>
        <v/>
      </c>
      <c r="BQ120" s="26">
        <f>AS$4*(AS120-AS$3)</f>
        <v/>
      </c>
      <c r="BR120" s="27">
        <f>SUM(AT120:BQ120)</f>
        <v/>
      </c>
      <c r="BS120" s="27">
        <f>INTERCEPT_SCALED+BR120</f>
        <v/>
      </c>
      <c r="BT120" s="28">
        <f>1/(1+EXP(-BS120))</f>
        <v/>
      </c>
      <c r="BU120" s="13">
        <f>1-(1-BT120)^12</f>
        <v/>
      </c>
      <c r="BV120" s="13">
        <f>IFERROR(AT120/BR120*(BU120-BASELINE_CPR),0)</f>
        <v/>
      </c>
      <c r="BW120" s="13">
        <f>IFERROR(AU120/BR120*(BU120-BASELINE_CPR),0)</f>
        <v/>
      </c>
      <c r="BX120" s="13">
        <f>IFERROR(AV120/BR120*(BU120-BASELINE_CPR),0)</f>
        <v/>
      </c>
      <c r="BY120" s="13">
        <f>IFERROR(AW120/BR120*(BU120-BASELINE_CPR),0)</f>
        <v/>
      </c>
      <c r="BZ120" s="13">
        <f>IFERROR(AX120/BR120*(BU120-BASELINE_CPR),0)</f>
        <v/>
      </c>
      <c r="CA120" s="13">
        <f>IFERROR(AY120/BR120*(BU120-BASELINE_CPR),0)</f>
        <v/>
      </c>
      <c r="CB120" s="13">
        <f>IFERROR(AZ120/BR120*(BU120-BASELINE_CPR),0)</f>
        <v/>
      </c>
      <c r="CC120" s="13">
        <f>IFERROR(BA120/BR120*(BU120-BASELINE_CPR),0)</f>
        <v/>
      </c>
      <c r="CD120" s="13">
        <f>IFERROR(BB120/BR120*(BU120-BASELINE_CPR),0)</f>
        <v/>
      </c>
      <c r="CE120" s="13">
        <f>IFERROR(BC120/BR120*(BU120-BASELINE_CPR),0)</f>
        <v/>
      </c>
      <c r="CF120" s="13">
        <f>IFERROR(BD120/BR120*(BU120-BASELINE_CPR),0)</f>
        <v/>
      </c>
      <c r="CG120" s="13">
        <f>IFERROR(BE120/BR120*(BU120-BASELINE_CPR),0)</f>
        <v/>
      </c>
      <c r="CH120" s="13">
        <f>IFERROR(BF120/BR120*(BU120-BASELINE_CPR),0)</f>
        <v/>
      </c>
      <c r="CI120" s="13">
        <f>IFERROR(BG120/BR120*(BU120-BASELINE_CPR),0)</f>
        <v/>
      </c>
      <c r="CJ120" s="13">
        <f>IFERROR(BH120/BR120*(BU120-BASELINE_CPR),0)</f>
        <v/>
      </c>
      <c r="CK120" s="13">
        <f>IFERROR(BI120/BR120*(BU120-BASELINE_CPR),0)</f>
        <v/>
      </c>
      <c r="CL120" s="13">
        <f>IFERROR(BJ120/BR120*(BU120-BASELINE_CPR),0)</f>
        <v/>
      </c>
      <c r="CM120" s="13">
        <f>IFERROR(BK120/BR120*(BU120-BASELINE_CPR),0)</f>
        <v/>
      </c>
      <c r="CN120" s="13">
        <f>IFERROR(BL120/BR120*(BU120-BASELINE_CPR),0)</f>
        <v/>
      </c>
      <c r="CO120" s="13">
        <f>IFERROR(BM120/BR120*(BU120-BASELINE_CPR),0)</f>
        <v/>
      </c>
      <c r="CP120" s="13">
        <f>IFERROR(BN120/BR120*(BU120-BASELINE_CPR),0)</f>
        <v/>
      </c>
      <c r="CQ120" s="13">
        <f>IFERROR(BO120/BR120*(BU120-BASELINE_CPR),0)</f>
        <v/>
      </c>
      <c r="CR120" s="13">
        <f>IFERROR(BP120/BR120*(BU120-BASELINE_CPR),0)</f>
        <v/>
      </c>
      <c r="CS120" s="13">
        <f>IFERROR(BQ120/BR120*(BU120-BASELINE_CPR),0)</f>
        <v/>
      </c>
      <c r="CT120" s="29">
        <f>BASELINE_CPR+SUM(BV120:CS120)-BU120</f>
        <v/>
      </c>
    </row>
    <row r="121">
      <c r="A121" s="2" t="inlineStr">
        <is>
          <t>3618AABA9_000000007522246</t>
        </is>
      </c>
      <c r="B121" t="inlineStr">
        <is>
          <t>MERCHANTS_POST21</t>
        </is>
      </c>
      <c r="C121" s="2" t="inlineStr">
        <is>
          <t>3618AABA9</t>
        </is>
      </c>
      <c r="D121" t="inlineStr">
        <is>
          <t>MERCHANTS CAPITAL CORP.</t>
        </is>
      </c>
      <c r="E121" t="inlineStr">
        <is>
          <t>232</t>
        </is>
      </c>
      <c r="F121" t="inlineStr">
        <is>
          <t>RP</t>
        </is>
      </c>
      <c r="G121" t="n">
        <v>2022</v>
      </c>
      <c r="H121" t="inlineStr">
        <is>
          <t>202602</t>
        </is>
      </c>
      <c r="I121" s="22" t="n">
        <v>3906768.91</v>
      </c>
      <c r="J121" s="23" t="n">
        <v>4</v>
      </c>
      <c r="K121" s="24" t="n">
        <v>447</v>
      </c>
      <c r="L121" s="24" t="n">
        <v>7</v>
      </c>
      <c r="M121" t="n">
        <v>40</v>
      </c>
      <c r="N121" t="n">
        <v>0</v>
      </c>
      <c r="O121" t="n">
        <v>205711</v>
      </c>
      <c r="P121" t="inlineStr"/>
      <c r="Q121" t="inlineStr">
        <is>
          <t>3487</t>
        </is>
      </c>
      <c r="R121" t="n">
        <v>1</v>
      </c>
      <c r="S121" t="n">
        <v>1</v>
      </c>
      <c r="T121" t="n">
        <v>0</v>
      </c>
      <c r="U121" t="n">
        <v>0</v>
      </c>
      <c r="V121" s="24">
        <f>J121*100-K121</f>
        <v/>
      </c>
      <c r="W121" s="24">
        <f>L121</f>
        <v/>
      </c>
      <c r="X121" s="25">
        <f>MIN(M121,36)</f>
        <v/>
      </c>
      <c r="Y121" s="25">
        <f>MIN(MAX(M121-36,0),84)</f>
        <v/>
      </c>
      <c r="Z121" s="25">
        <f>MAX(M121-120,0)</f>
        <v/>
      </c>
      <c r="AA121" s="25">
        <f>IF(OR(O121="",NOT(ISNUMBER(O121))),360,MAX(0,MIN(480,(INT(O121/100)-INT(VALUE(H121)/100))*12+MOD(O121,100)-MOD(VALUE(H121),100))))</f>
        <v/>
      </c>
      <c r="AB121">
        <f>IF(AND(AA121&gt;0,AA121&lt;=24),1,0)</f>
        <v/>
      </c>
      <c r="AC121" s="25">
        <f>IF(OR(P121="",NOT(ISNUMBER(P121))),0,MAX(0,MIN(24,(INT(VALUE(H121)/100)-INT(P121/100))*12+MOD(VALUE(H121),100)-MOD(P121,100))))</f>
        <v/>
      </c>
      <c r="AD121" s="23">
        <f>LN(1+I121)</f>
        <v/>
      </c>
      <c r="AE121">
        <f>IF(I121&lt;2000000,1,0)</f>
        <v/>
      </c>
      <c r="AF121">
        <f>IF(I121&gt;50000000,1,0)</f>
        <v/>
      </c>
      <c r="AG121" s="23">
        <f>IF(ISNUMBER(M121),N121/MAX(M121,1),0)</f>
        <v/>
      </c>
      <c r="AH121">
        <f>IF(G121&gt;=2021,1,0)</f>
        <v/>
      </c>
      <c r="AI121">
        <f>S121</f>
        <v/>
      </c>
      <c r="AJ121">
        <f>T121</f>
        <v/>
      </c>
      <c r="AK121">
        <f>R121</f>
        <v/>
      </c>
      <c r="AL121">
        <f>U121</f>
        <v/>
      </c>
      <c r="AM121">
        <f>IF(ISNUMBER(SEARCH("CAPITAL FUNDING",D121)),1,0)</f>
        <v/>
      </c>
      <c r="AN121">
        <f>IF(ISNUMBER(SEARCH("PNC",D121)),1,0)</f>
        <v/>
      </c>
      <c r="AO121">
        <f>IF(ISNUMBER(SEARCH("WELLS FARGO",D121)),1,0)</f>
        <v/>
      </c>
      <c r="AP121">
        <f>IF(ISNUMBER(SEARCH("DWIGHT",D121)),1,0)</f>
        <v/>
      </c>
      <c r="AQ121">
        <f>IF(ISNUMBER(SEARCH("GREYSTONE",D121)),1,0)</f>
        <v/>
      </c>
      <c r="AR121">
        <f>IF(OR(Q121="3896",Q121="3557"),1,0)</f>
        <v/>
      </c>
      <c r="AS121" s="24">
        <f>V121*W121</f>
        <v/>
      </c>
      <c r="AT121" s="26">
        <f>V$4*(V121-V$3)</f>
        <v/>
      </c>
      <c r="AU121" s="26">
        <f>W$4*(W121-W$3)</f>
        <v/>
      </c>
      <c r="AV121" s="26">
        <f>X$4*(X121-X$3)</f>
        <v/>
      </c>
      <c r="AW121" s="26">
        <f>Y$4*(Y121-Y$3)</f>
        <v/>
      </c>
      <c r="AX121" s="26">
        <f>Z$4*(Z121-Z$3)</f>
        <v/>
      </c>
      <c r="AY121" s="26">
        <f>AA$4*(AA121-AA$3)</f>
        <v/>
      </c>
      <c r="AZ121" s="26">
        <f>AB$4*(AB121-AB$3)</f>
        <v/>
      </c>
      <c r="BA121" s="26">
        <f>AC$4*(AC121-AC$3)</f>
        <v/>
      </c>
      <c r="BB121" s="26">
        <f>AD$4*(AD121-AD$3)</f>
        <v/>
      </c>
      <c r="BC121" s="26">
        <f>AE$4*(AE121-AE$3)</f>
        <v/>
      </c>
      <c r="BD121" s="26">
        <f>AF$4*(AF121-AF$3)</f>
        <v/>
      </c>
      <c r="BE121" s="26">
        <f>AG$4*(AG121-AG$3)</f>
        <v/>
      </c>
      <c r="BF121" s="26">
        <f>AH$4*(AH121-AH$3)</f>
        <v/>
      </c>
      <c r="BG121" s="26">
        <f>AI$4*(AI121-AI$3)</f>
        <v/>
      </c>
      <c r="BH121" s="26">
        <f>AJ$4*(AJ121-AJ$3)</f>
        <v/>
      </c>
      <c r="BI121" s="26">
        <f>AK$4*(AK121-AK$3)</f>
        <v/>
      </c>
      <c r="BJ121" s="26">
        <f>AL$4*(AL121-AL$3)</f>
        <v/>
      </c>
      <c r="BK121" s="26">
        <f>AM$4*(AM121-AM$3)</f>
        <v/>
      </c>
      <c r="BL121" s="26">
        <f>AN$4*(AN121-AN$3)</f>
        <v/>
      </c>
      <c r="BM121" s="26">
        <f>AO$4*(AO121-AO$3)</f>
        <v/>
      </c>
      <c r="BN121" s="26">
        <f>AP$4*(AP121-AP$3)</f>
        <v/>
      </c>
      <c r="BO121" s="26">
        <f>AQ$4*(AQ121-AQ$3)</f>
        <v/>
      </c>
      <c r="BP121" s="26">
        <f>AR$4*(AR121-AR$3)</f>
        <v/>
      </c>
      <c r="BQ121" s="26">
        <f>AS$4*(AS121-AS$3)</f>
        <v/>
      </c>
      <c r="BR121" s="27">
        <f>SUM(AT121:BQ121)</f>
        <v/>
      </c>
      <c r="BS121" s="27">
        <f>INTERCEPT_SCALED+BR121</f>
        <v/>
      </c>
      <c r="BT121" s="28">
        <f>1/(1+EXP(-BS121))</f>
        <v/>
      </c>
      <c r="BU121" s="13">
        <f>1-(1-BT121)^12</f>
        <v/>
      </c>
      <c r="BV121" s="13">
        <f>IFERROR(AT121/BR121*(BU121-BASELINE_CPR),0)</f>
        <v/>
      </c>
      <c r="BW121" s="13">
        <f>IFERROR(AU121/BR121*(BU121-BASELINE_CPR),0)</f>
        <v/>
      </c>
      <c r="BX121" s="13">
        <f>IFERROR(AV121/BR121*(BU121-BASELINE_CPR),0)</f>
        <v/>
      </c>
      <c r="BY121" s="13">
        <f>IFERROR(AW121/BR121*(BU121-BASELINE_CPR),0)</f>
        <v/>
      </c>
      <c r="BZ121" s="13">
        <f>IFERROR(AX121/BR121*(BU121-BASELINE_CPR),0)</f>
        <v/>
      </c>
      <c r="CA121" s="13">
        <f>IFERROR(AY121/BR121*(BU121-BASELINE_CPR),0)</f>
        <v/>
      </c>
      <c r="CB121" s="13">
        <f>IFERROR(AZ121/BR121*(BU121-BASELINE_CPR),0)</f>
        <v/>
      </c>
      <c r="CC121" s="13">
        <f>IFERROR(BA121/BR121*(BU121-BASELINE_CPR),0)</f>
        <v/>
      </c>
      <c r="CD121" s="13">
        <f>IFERROR(BB121/BR121*(BU121-BASELINE_CPR),0)</f>
        <v/>
      </c>
      <c r="CE121" s="13">
        <f>IFERROR(BC121/BR121*(BU121-BASELINE_CPR),0)</f>
        <v/>
      </c>
      <c r="CF121" s="13">
        <f>IFERROR(BD121/BR121*(BU121-BASELINE_CPR),0)</f>
        <v/>
      </c>
      <c r="CG121" s="13">
        <f>IFERROR(BE121/BR121*(BU121-BASELINE_CPR),0)</f>
        <v/>
      </c>
      <c r="CH121" s="13">
        <f>IFERROR(BF121/BR121*(BU121-BASELINE_CPR),0)</f>
        <v/>
      </c>
      <c r="CI121" s="13">
        <f>IFERROR(BG121/BR121*(BU121-BASELINE_CPR),0)</f>
        <v/>
      </c>
      <c r="CJ121" s="13">
        <f>IFERROR(BH121/BR121*(BU121-BASELINE_CPR),0)</f>
        <v/>
      </c>
      <c r="CK121" s="13">
        <f>IFERROR(BI121/BR121*(BU121-BASELINE_CPR),0)</f>
        <v/>
      </c>
      <c r="CL121" s="13">
        <f>IFERROR(BJ121/BR121*(BU121-BASELINE_CPR),0)</f>
        <v/>
      </c>
      <c r="CM121" s="13">
        <f>IFERROR(BK121/BR121*(BU121-BASELINE_CPR),0)</f>
        <v/>
      </c>
      <c r="CN121" s="13">
        <f>IFERROR(BL121/BR121*(BU121-BASELINE_CPR),0)</f>
        <v/>
      </c>
      <c r="CO121" s="13">
        <f>IFERROR(BM121/BR121*(BU121-BASELINE_CPR),0)</f>
        <v/>
      </c>
      <c r="CP121" s="13">
        <f>IFERROR(BN121/BR121*(BU121-BASELINE_CPR),0)</f>
        <v/>
      </c>
      <c r="CQ121" s="13">
        <f>IFERROR(BO121/BR121*(BU121-BASELINE_CPR),0)</f>
        <v/>
      </c>
      <c r="CR121" s="13">
        <f>IFERROR(BP121/BR121*(BU121-BASELINE_CPR),0)</f>
        <v/>
      </c>
      <c r="CS121" s="13">
        <f>IFERROR(BQ121/BR121*(BU121-BASELINE_CPR),0)</f>
        <v/>
      </c>
      <c r="CT121" s="29">
        <f>BASELINE_CPR+SUM(BV121:CS121)-BU121</f>
        <v/>
      </c>
    </row>
    <row r="122">
      <c r="A122" s="2" t="inlineStr">
        <is>
          <t>36198T2P6_000000007311284</t>
        </is>
      </c>
      <c r="B122" t="inlineStr">
        <is>
          <t>MERCHANTS_PRE21</t>
        </is>
      </c>
      <c r="C122" s="2" t="inlineStr">
        <is>
          <t>36198T2P6</t>
        </is>
      </c>
      <c r="D122" t="inlineStr">
        <is>
          <t>MERCHANTS CAPITAL CORP.</t>
        </is>
      </c>
      <c r="E122" t="inlineStr">
        <is>
          <t>223f</t>
        </is>
      </c>
      <c r="F122" t="inlineStr">
        <is>
          <t>RP</t>
        </is>
      </c>
      <c r="G122" t="n">
        <v>2004</v>
      </c>
      <c r="H122" t="inlineStr">
        <is>
          <t>202602</t>
        </is>
      </c>
      <c r="I122" s="22" t="n">
        <v>25063.28</v>
      </c>
      <c r="J122" s="23" t="n">
        <v>3.45</v>
      </c>
      <c r="K122" s="24" t="n">
        <v>447</v>
      </c>
      <c r="L122" s="24" t="n">
        <v>0</v>
      </c>
      <c r="M122" t="n">
        <v>258</v>
      </c>
      <c r="N122" t="n">
        <v>30</v>
      </c>
      <c r="O122" t="n">
        <v>202609</v>
      </c>
      <c r="P122" t="inlineStr"/>
      <c r="Q122" t="inlineStr">
        <is>
          <t>3487</t>
        </is>
      </c>
      <c r="R122" t="n">
        <v>0</v>
      </c>
      <c r="S122" t="n">
        <v>0</v>
      </c>
      <c r="T122" t="n">
        <v>0</v>
      </c>
      <c r="U122" t="n">
        <v>0</v>
      </c>
      <c r="V122" s="24">
        <f>J122*100-K122</f>
        <v/>
      </c>
      <c r="W122" s="24">
        <f>L122</f>
        <v/>
      </c>
      <c r="X122" s="25">
        <f>MIN(M122,36)</f>
        <v/>
      </c>
      <c r="Y122" s="25">
        <f>MIN(MAX(M122-36,0),84)</f>
        <v/>
      </c>
      <c r="Z122" s="25">
        <f>MAX(M122-120,0)</f>
        <v/>
      </c>
      <c r="AA122" s="25">
        <f>IF(OR(O122="",NOT(ISNUMBER(O122))),360,MAX(0,MIN(480,(INT(O122/100)-INT(VALUE(H122)/100))*12+MOD(O122,100)-MOD(VALUE(H122),100))))</f>
        <v/>
      </c>
      <c r="AB122">
        <f>IF(AND(AA122&gt;0,AA122&lt;=24),1,0)</f>
        <v/>
      </c>
      <c r="AC122" s="25">
        <f>IF(OR(P122="",NOT(ISNUMBER(P122))),0,MAX(0,MIN(24,(INT(VALUE(H122)/100)-INT(P122/100))*12+MOD(VALUE(H122),100)-MOD(P122,100))))</f>
        <v/>
      </c>
      <c r="AD122" s="23">
        <f>LN(1+I122)</f>
        <v/>
      </c>
      <c r="AE122">
        <f>IF(I122&lt;2000000,1,0)</f>
        <v/>
      </c>
      <c r="AF122">
        <f>IF(I122&gt;50000000,1,0)</f>
        <v/>
      </c>
      <c r="AG122" s="23">
        <f>IF(ISNUMBER(M122),N122/MAX(M122,1),0)</f>
        <v/>
      </c>
      <c r="AH122">
        <f>IF(G122&gt;=2021,1,0)</f>
        <v/>
      </c>
      <c r="AI122">
        <f>S122</f>
        <v/>
      </c>
      <c r="AJ122">
        <f>T122</f>
        <v/>
      </c>
      <c r="AK122">
        <f>R122</f>
        <v/>
      </c>
      <c r="AL122">
        <f>U122</f>
        <v/>
      </c>
      <c r="AM122">
        <f>IF(ISNUMBER(SEARCH("CAPITAL FUNDING",D122)),1,0)</f>
        <v/>
      </c>
      <c r="AN122">
        <f>IF(ISNUMBER(SEARCH("PNC",D122)),1,0)</f>
        <v/>
      </c>
      <c r="AO122">
        <f>IF(ISNUMBER(SEARCH("WELLS FARGO",D122)),1,0)</f>
        <v/>
      </c>
      <c r="AP122">
        <f>IF(ISNUMBER(SEARCH("DWIGHT",D122)),1,0)</f>
        <v/>
      </c>
      <c r="AQ122">
        <f>IF(ISNUMBER(SEARCH("GREYSTONE",D122)),1,0)</f>
        <v/>
      </c>
      <c r="AR122">
        <f>IF(OR(Q122="3896",Q122="3557"),1,0)</f>
        <v/>
      </c>
      <c r="AS122" s="24">
        <f>V122*W122</f>
        <v/>
      </c>
      <c r="AT122" s="26">
        <f>V$4*(V122-V$3)</f>
        <v/>
      </c>
      <c r="AU122" s="26">
        <f>W$4*(W122-W$3)</f>
        <v/>
      </c>
      <c r="AV122" s="26">
        <f>X$4*(X122-X$3)</f>
        <v/>
      </c>
      <c r="AW122" s="26">
        <f>Y$4*(Y122-Y$3)</f>
        <v/>
      </c>
      <c r="AX122" s="26">
        <f>Z$4*(Z122-Z$3)</f>
        <v/>
      </c>
      <c r="AY122" s="26">
        <f>AA$4*(AA122-AA$3)</f>
        <v/>
      </c>
      <c r="AZ122" s="26">
        <f>AB$4*(AB122-AB$3)</f>
        <v/>
      </c>
      <c r="BA122" s="26">
        <f>AC$4*(AC122-AC$3)</f>
        <v/>
      </c>
      <c r="BB122" s="26">
        <f>AD$4*(AD122-AD$3)</f>
        <v/>
      </c>
      <c r="BC122" s="26">
        <f>AE$4*(AE122-AE$3)</f>
        <v/>
      </c>
      <c r="BD122" s="26">
        <f>AF$4*(AF122-AF$3)</f>
        <v/>
      </c>
      <c r="BE122" s="26">
        <f>AG$4*(AG122-AG$3)</f>
        <v/>
      </c>
      <c r="BF122" s="26">
        <f>AH$4*(AH122-AH$3)</f>
        <v/>
      </c>
      <c r="BG122" s="26">
        <f>AI$4*(AI122-AI$3)</f>
        <v/>
      </c>
      <c r="BH122" s="26">
        <f>AJ$4*(AJ122-AJ$3)</f>
        <v/>
      </c>
      <c r="BI122" s="26">
        <f>AK$4*(AK122-AK$3)</f>
        <v/>
      </c>
      <c r="BJ122" s="26">
        <f>AL$4*(AL122-AL$3)</f>
        <v/>
      </c>
      <c r="BK122" s="26">
        <f>AM$4*(AM122-AM$3)</f>
        <v/>
      </c>
      <c r="BL122" s="26">
        <f>AN$4*(AN122-AN$3)</f>
        <v/>
      </c>
      <c r="BM122" s="26">
        <f>AO$4*(AO122-AO$3)</f>
        <v/>
      </c>
      <c r="BN122" s="26">
        <f>AP$4*(AP122-AP$3)</f>
        <v/>
      </c>
      <c r="BO122" s="26">
        <f>AQ$4*(AQ122-AQ$3)</f>
        <v/>
      </c>
      <c r="BP122" s="26">
        <f>AR$4*(AR122-AR$3)</f>
        <v/>
      </c>
      <c r="BQ122" s="26">
        <f>AS$4*(AS122-AS$3)</f>
        <v/>
      </c>
      <c r="BR122" s="27">
        <f>SUM(AT122:BQ122)</f>
        <v/>
      </c>
      <c r="BS122" s="27">
        <f>INTERCEPT_SCALED+BR122</f>
        <v/>
      </c>
      <c r="BT122" s="28">
        <f>1/(1+EXP(-BS122))</f>
        <v/>
      </c>
      <c r="BU122" s="13">
        <f>1-(1-BT122)^12</f>
        <v/>
      </c>
      <c r="BV122" s="13">
        <f>IFERROR(AT122/BR122*(BU122-BASELINE_CPR),0)</f>
        <v/>
      </c>
      <c r="BW122" s="13">
        <f>IFERROR(AU122/BR122*(BU122-BASELINE_CPR),0)</f>
        <v/>
      </c>
      <c r="BX122" s="13">
        <f>IFERROR(AV122/BR122*(BU122-BASELINE_CPR),0)</f>
        <v/>
      </c>
      <c r="BY122" s="13">
        <f>IFERROR(AW122/BR122*(BU122-BASELINE_CPR),0)</f>
        <v/>
      </c>
      <c r="BZ122" s="13">
        <f>IFERROR(AX122/BR122*(BU122-BASELINE_CPR),0)</f>
        <v/>
      </c>
      <c r="CA122" s="13">
        <f>IFERROR(AY122/BR122*(BU122-BASELINE_CPR),0)</f>
        <v/>
      </c>
      <c r="CB122" s="13">
        <f>IFERROR(AZ122/BR122*(BU122-BASELINE_CPR),0)</f>
        <v/>
      </c>
      <c r="CC122" s="13">
        <f>IFERROR(BA122/BR122*(BU122-BASELINE_CPR),0)</f>
        <v/>
      </c>
      <c r="CD122" s="13">
        <f>IFERROR(BB122/BR122*(BU122-BASELINE_CPR),0)</f>
        <v/>
      </c>
      <c r="CE122" s="13">
        <f>IFERROR(BC122/BR122*(BU122-BASELINE_CPR),0)</f>
        <v/>
      </c>
      <c r="CF122" s="13">
        <f>IFERROR(BD122/BR122*(BU122-BASELINE_CPR),0)</f>
        <v/>
      </c>
      <c r="CG122" s="13">
        <f>IFERROR(BE122/BR122*(BU122-BASELINE_CPR),0)</f>
        <v/>
      </c>
      <c r="CH122" s="13">
        <f>IFERROR(BF122/BR122*(BU122-BASELINE_CPR),0)</f>
        <v/>
      </c>
      <c r="CI122" s="13">
        <f>IFERROR(BG122/BR122*(BU122-BASELINE_CPR),0)</f>
        <v/>
      </c>
      <c r="CJ122" s="13">
        <f>IFERROR(BH122/BR122*(BU122-BASELINE_CPR),0)</f>
        <v/>
      </c>
      <c r="CK122" s="13">
        <f>IFERROR(BI122/BR122*(BU122-BASELINE_CPR),0)</f>
        <v/>
      </c>
      <c r="CL122" s="13">
        <f>IFERROR(BJ122/BR122*(BU122-BASELINE_CPR),0)</f>
        <v/>
      </c>
      <c r="CM122" s="13">
        <f>IFERROR(BK122/BR122*(BU122-BASELINE_CPR),0)</f>
        <v/>
      </c>
      <c r="CN122" s="13">
        <f>IFERROR(BL122/BR122*(BU122-BASELINE_CPR),0)</f>
        <v/>
      </c>
      <c r="CO122" s="13">
        <f>IFERROR(BM122/BR122*(BU122-BASELINE_CPR),0)</f>
        <v/>
      </c>
      <c r="CP122" s="13">
        <f>IFERROR(BN122/BR122*(BU122-BASELINE_CPR),0)</f>
        <v/>
      </c>
      <c r="CQ122" s="13">
        <f>IFERROR(BO122/BR122*(BU122-BASELINE_CPR),0)</f>
        <v/>
      </c>
      <c r="CR122" s="13">
        <f>IFERROR(BP122/BR122*(BU122-BASELINE_CPR),0)</f>
        <v/>
      </c>
      <c r="CS122" s="13">
        <f>IFERROR(BQ122/BR122*(BU122-BASELINE_CPR),0)</f>
        <v/>
      </c>
      <c r="CT122" s="29">
        <f>BASELINE_CPR+SUM(BV122:CS122)-BU122</f>
        <v/>
      </c>
    </row>
    <row r="123">
      <c r="A123" s="2" t="inlineStr">
        <is>
          <t>3618FUEN9_004015247586480</t>
        </is>
      </c>
      <c r="B123" t="inlineStr">
        <is>
          <t>MERCHANTS_POST21</t>
        </is>
      </c>
      <c r="C123" s="2" t="inlineStr">
        <is>
          <t>3618FUEN9</t>
        </is>
      </c>
      <c r="D123" t="inlineStr">
        <is>
          <t>MERCHANTS CAPITAL CORP.</t>
        </is>
      </c>
      <c r="E123" t="inlineStr">
        <is>
          <t>538</t>
        </is>
      </c>
      <c r="F123" t="inlineStr">
        <is>
          <t>538</t>
        </is>
      </c>
      <c r="G123" t="n">
        <v>2023</v>
      </c>
      <c r="H123" t="inlineStr">
        <is>
          <t>202602</t>
        </is>
      </c>
      <c r="I123" s="22" t="n">
        <v>3935901.15</v>
      </c>
      <c r="J123" s="23" t="n">
        <v>5.45</v>
      </c>
      <c r="K123" s="24" t="n">
        <v>447</v>
      </c>
      <c r="L123" s="24" t="n">
        <v>10</v>
      </c>
      <c r="M123" t="n">
        <v>27</v>
      </c>
      <c r="N123" t="n">
        <v>0</v>
      </c>
      <c r="O123" t="n">
        <v>206312</v>
      </c>
      <c r="P123" t="inlineStr"/>
      <c r="Q123" t="inlineStr">
        <is>
          <t>3487</t>
        </is>
      </c>
      <c r="R123" t="n">
        <v>0</v>
      </c>
      <c r="S123" t="n">
        <v>0</v>
      </c>
      <c r="T123" t="n">
        <v>1</v>
      </c>
      <c r="U123" t="n">
        <v>0</v>
      </c>
      <c r="V123" s="24">
        <f>J123*100-K123</f>
        <v/>
      </c>
      <c r="W123" s="24">
        <f>L123</f>
        <v/>
      </c>
      <c r="X123" s="25">
        <f>MIN(M123,36)</f>
        <v/>
      </c>
      <c r="Y123" s="25">
        <f>MIN(MAX(M123-36,0),84)</f>
        <v/>
      </c>
      <c r="Z123" s="25">
        <f>MAX(M123-120,0)</f>
        <v/>
      </c>
      <c r="AA123" s="25">
        <f>IF(OR(O123="",NOT(ISNUMBER(O123))),360,MAX(0,MIN(480,(INT(O123/100)-INT(VALUE(H123)/100))*12+MOD(O123,100)-MOD(VALUE(H123),100))))</f>
        <v/>
      </c>
      <c r="AB123">
        <f>IF(AND(AA123&gt;0,AA123&lt;=24),1,0)</f>
        <v/>
      </c>
      <c r="AC123" s="25">
        <f>IF(OR(P123="",NOT(ISNUMBER(P123))),0,MAX(0,MIN(24,(INT(VALUE(H123)/100)-INT(P123/100))*12+MOD(VALUE(H123),100)-MOD(P123,100))))</f>
        <v/>
      </c>
      <c r="AD123" s="23">
        <f>LN(1+I123)</f>
        <v/>
      </c>
      <c r="AE123">
        <f>IF(I123&lt;2000000,1,0)</f>
        <v/>
      </c>
      <c r="AF123">
        <f>IF(I123&gt;50000000,1,0)</f>
        <v/>
      </c>
      <c r="AG123" s="23">
        <f>IF(ISNUMBER(M123),N123/MAX(M123,1),0)</f>
        <v/>
      </c>
      <c r="AH123">
        <f>IF(G123&gt;=2021,1,0)</f>
        <v/>
      </c>
      <c r="AI123">
        <f>S123</f>
        <v/>
      </c>
      <c r="AJ123">
        <f>T123</f>
        <v/>
      </c>
      <c r="AK123">
        <f>R123</f>
        <v/>
      </c>
      <c r="AL123">
        <f>U123</f>
        <v/>
      </c>
      <c r="AM123">
        <f>IF(ISNUMBER(SEARCH("CAPITAL FUNDING",D123)),1,0)</f>
        <v/>
      </c>
      <c r="AN123">
        <f>IF(ISNUMBER(SEARCH("PNC",D123)),1,0)</f>
        <v/>
      </c>
      <c r="AO123">
        <f>IF(ISNUMBER(SEARCH("WELLS FARGO",D123)),1,0)</f>
        <v/>
      </c>
      <c r="AP123">
        <f>IF(ISNUMBER(SEARCH("DWIGHT",D123)),1,0)</f>
        <v/>
      </c>
      <c r="AQ123">
        <f>IF(ISNUMBER(SEARCH("GREYSTONE",D123)),1,0)</f>
        <v/>
      </c>
      <c r="AR123">
        <f>IF(OR(Q123="3896",Q123="3557"),1,0)</f>
        <v/>
      </c>
      <c r="AS123" s="24">
        <f>V123*W123</f>
        <v/>
      </c>
      <c r="AT123" s="26">
        <f>V$4*(V123-V$3)</f>
        <v/>
      </c>
      <c r="AU123" s="26">
        <f>W$4*(W123-W$3)</f>
        <v/>
      </c>
      <c r="AV123" s="26">
        <f>X$4*(X123-X$3)</f>
        <v/>
      </c>
      <c r="AW123" s="26">
        <f>Y$4*(Y123-Y$3)</f>
        <v/>
      </c>
      <c r="AX123" s="26">
        <f>Z$4*(Z123-Z$3)</f>
        <v/>
      </c>
      <c r="AY123" s="26">
        <f>AA$4*(AA123-AA$3)</f>
        <v/>
      </c>
      <c r="AZ123" s="26">
        <f>AB$4*(AB123-AB$3)</f>
        <v/>
      </c>
      <c r="BA123" s="26">
        <f>AC$4*(AC123-AC$3)</f>
        <v/>
      </c>
      <c r="BB123" s="26">
        <f>AD$4*(AD123-AD$3)</f>
        <v/>
      </c>
      <c r="BC123" s="26">
        <f>AE$4*(AE123-AE$3)</f>
        <v/>
      </c>
      <c r="BD123" s="26">
        <f>AF$4*(AF123-AF$3)</f>
        <v/>
      </c>
      <c r="BE123" s="26">
        <f>AG$4*(AG123-AG$3)</f>
        <v/>
      </c>
      <c r="BF123" s="26">
        <f>AH$4*(AH123-AH$3)</f>
        <v/>
      </c>
      <c r="BG123" s="26">
        <f>AI$4*(AI123-AI$3)</f>
        <v/>
      </c>
      <c r="BH123" s="26">
        <f>AJ$4*(AJ123-AJ$3)</f>
        <v/>
      </c>
      <c r="BI123" s="26">
        <f>AK$4*(AK123-AK$3)</f>
        <v/>
      </c>
      <c r="BJ123" s="26">
        <f>AL$4*(AL123-AL$3)</f>
        <v/>
      </c>
      <c r="BK123" s="26">
        <f>AM$4*(AM123-AM$3)</f>
        <v/>
      </c>
      <c r="BL123" s="26">
        <f>AN$4*(AN123-AN$3)</f>
        <v/>
      </c>
      <c r="BM123" s="26">
        <f>AO$4*(AO123-AO$3)</f>
        <v/>
      </c>
      <c r="BN123" s="26">
        <f>AP$4*(AP123-AP$3)</f>
        <v/>
      </c>
      <c r="BO123" s="26">
        <f>AQ$4*(AQ123-AQ$3)</f>
        <v/>
      </c>
      <c r="BP123" s="26">
        <f>AR$4*(AR123-AR$3)</f>
        <v/>
      </c>
      <c r="BQ123" s="26">
        <f>AS$4*(AS123-AS$3)</f>
        <v/>
      </c>
      <c r="BR123" s="27">
        <f>SUM(AT123:BQ123)</f>
        <v/>
      </c>
      <c r="BS123" s="27">
        <f>INTERCEPT_SCALED+BR123</f>
        <v/>
      </c>
      <c r="BT123" s="28">
        <f>1/(1+EXP(-BS123))</f>
        <v/>
      </c>
      <c r="BU123" s="13">
        <f>1-(1-BT123)^12</f>
        <v/>
      </c>
      <c r="BV123" s="13">
        <f>IFERROR(AT123/BR123*(BU123-BASELINE_CPR),0)</f>
        <v/>
      </c>
      <c r="BW123" s="13">
        <f>IFERROR(AU123/BR123*(BU123-BASELINE_CPR),0)</f>
        <v/>
      </c>
      <c r="BX123" s="13">
        <f>IFERROR(AV123/BR123*(BU123-BASELINE_CPR),0)</f>
        <v/>
      </c>
      <c r="BY123" s="13">
        <f>IFERROR(AW123/BR123*(BU123-BASELINE_CPR),0)</f>
        <v/>
      </c>
      <c r="BZ123" s="13">
        <f>IFERROR(AX123/BR123*(BU123-BASELINE_CPR),0)</f>
        <v/>
      </c>
      <c r="CA123" s="13">
        <f>IFERROR(AY123/BR123*(BU123-BASELINE_CPR),0)</f>
        <v/>
      </c>
      <c r="CB123" s="13">
        <f>IFERROR(AZ123/BR123*(BU123-BASELINE_CPR),0)</f>
        <v/>
      </c>
      <c r="CC123" s="13">
        <f>IFERROR(BA123/BR123*(BU123-BASELINE_CPR),0)</f>
        <v/>
      </c>
      <c r="CD123" s="13">
        <f>IFERROR(BB123/BR123*(BU123-BASELINE_CPR),0)</f>
        <v/>
      </c>
      <c r="CE123" s="13">
        <f>IFERROR(BC123/BR123*(BU123-BASELINE_CPR),0)</f>
        <v/>
      </c>
      <c r="CF123" s="13">
        <f>IFERROR(BD123/BR123*(BU123-BASELINE_CPR),0)</f>
        <v/>
      </c>
      <c r="CG123" s="13">
        <f>IFERROR(BE123/BR123*(BU123-BASELINE_CPR),0)</f>
        <v/>
      </c>
      <c r="CH123" s="13">
        <f>IFERROR(BF123/BR123*(BU123-BASELINE_CPR),0)</f>
        <v/>
      </c>
      <c r="CI123" s="13">
        <f>IFERROR(BG123/BR123*(BU123-BASELINE_CPR),0)</f>
        <v/>
      </c>
      <c r="CJ123" s="13">
        <f>IFERROR(BH123/BR123*(BU123-BASELINE_CPR),0)</f>
        <v/>
      </c>
      <c r="CK123" s="13">
        <f>IFERROR(BI123/BR123*(BU123-BASELINE_CPR),0)</f>
        <v/>
      </c>
      <c r="CL123" s="13">
        <f>IFERROR(BJ123/BR123*(BU123-BASELINE_CPR),0)</f>
        <v/>
      </c>
      <c r="CM123" s="13">
        <f>IFERROR(BK123/BR123*(BU123-BASELINE_CPR),0)</f>
        <v/>
      </c>
      <c r="CN123" s="13">
        <f>IFERROR(BL123/BR123*(BU123-BASELINE_CPR),0)</f>
        <v/>
      </c>
      <c r="CO123" s="13">
        <f>IFERROR(BM123/BR123*(BU123-BASELINE_CPR),0)</f>
        <v/>
      </c>
      <c r="CP123" s="13">
        <f>IFERROR(BN123/BR123*(BU123-BASELINE_CPR),0)</f>
        <v/>
      </c>
      <c r="CQ123" s="13">
        <f>IFERROR(BO123/BR123*(BU123-BASELINE_CPR),0)</f>
        <v/>
      </c>
      <c r="CR123" s="13">
        <f>IFERROR(BP123/BR123*(BU123-BASELINE_CPR),0)</f>
        <v/>
      </c>
      <c r="CS123" s="13">
        <f>IFERROR(BQ123/BR123*(BU123-BASELINE_CPR),0)</f>
        <v/>
      </c>
      <c r="CT123" s="29">
        <f>BASELINE_CPR+SUM(BV123:CS123)-BU123</f>
        <v/>
      </c>
    </row>
    <row r="124">
      <c r="A124" s="2" t="inlineStr">
        <is>
          <t>3617FTA40_000000007135941</t>
        </is>
      </c>
      <c r="B124" t="inlineStr">
        <is>
          <t>MERCHANTS_POST21</t>
        </is>
      </c>
      <c r="C124" s="2" t="inlineStr">
        <is>
          <t>3617FTA40</t>
        </is>
      </c>
      <c r="D124" t="inlineStr">
        <is>
          <t>MERCHANTS CAPITAL CORP.</t>
        </is>
      </c>
      <c r="E124" t="inlineStr">
        <is>
          <t>221d4</t>
        </is>
      </c>
      <c r="F124" t="inlineStr">
        <is>
          <t>NC</t>
        </is>
      </c>
      <c r="G124" t="n">
        <v>2022</v>
      </c>
      <c r="H124" t="inlineStr">
        <is>
          <t>202602</t>
        </is>
      </c>
      <c r="I124" s="22" t="n">
        <v>5535314.39</v>
      </c>
      <c r="J124" s="23" t="n">
        <v>4</v>
      </c>
      <c r="K124" s="24" t="n">
        <v>447</v>
      </c>
      <c r="L124" s="24" t="n">
        <v>8</v>
      </c>
      <c r="M124" t="n">
        <v>41</v>
      </c>
      <c r="N124" t="n">
        <v>0</v>
      </c>
      <c r="O124" t="n">
        <v>206401</v>
      </c>
      <c r="P124" t="n">
        <v>202402</v>
      </c>
      <c r="Q124" t="inlineStr">
        <is>
          <t>3487</t>
        </is>
      </c>
      <c r="R124" t="n">
        <v>0</v>
      </c>
      <c r="S124" t="n">
        <v>0</v>
      </c>
      <c r="T124" t="n">
        <v>0</v>
      </c>
      <c r="U124" t="n">
        <v>1</v>
      </c>
      <c r="V124" s="24">
        <f>J124*100-K124</f>
        <v/>
      </c>
      <c r="W124" s="24">
        <f>L124</f>
        <v/>
      </c>
      <c r="X124" s="25">
        <f>MIN(M124,36)</f>
        <v/>
      </c>
      <c r="Y124" s="25">
        <f>MIN(MAX(M124-36,0),84)</f>
        <v/>
      </c>
      <c r="Z124" s="25">
        <f>MAX(M124-120,0)</f>
        <v/>
      </c>
      <c r="AA124" s="25">
        <f>IF(OR(O124="",NOT(ISNUMBER(O124))),360,MAX(0,MIN(480,(INT(O124/100)-INT(VALUE(H124)/100))*12+MOD(O124,100)-MOD(VALUE(H124),100))))</f>
        <v/>
      </c>
      <c r="AB124">
        <f>IF(AND(AA124&gt;0,AA124&lt;=24),1,0)</f>
        <v/>
      </c>
      <c r="AC124" s="25">
        <f>IF(OR(P124="",NOT(ISNUMBER(P124))),0,MAX(0,MIN(24,(INT(VALUE(H124)/100)-INT(P124/100))*12+MOD(VALUE(H124),100)-MOD(P124,100))))</f>
        <v/>
      </c>
      <c r="AD124" s="23">
        <f>LN(1+I124)</f>
        <v/>
      </c>
      <c r="AE124">
        <f>IF(I124&lt;2000000,1,0)</f>
        <v/>
      </c>
      <c r="AF124">
        <f>IF(I124&gt;50000000,1,0)</f>
        <v/>
      </c>
      <c r="AG124" s="23">
        <f>IF(ISNUMBER(M124),N124/MAX(M124,1),0)</f>
        <v/>
      </c>
      <c r="AH124">
        <f>IF(G124&gt;=2021,1,0)</f>
        <v/>
      </c>
      <c r="AI124">
        <f>S124</f>
        <v/>
      </c>
      <c r="AJ124">
        <f>T124</f>
        <v/>
      </c>
      <c r="AK124">
        <f>R124</f>
        <v/>
      </c>
      <c r="AL124">
        <f>U124</f>
        <v/>
      </c>
      <c r="AM124">
        <f>IF(ISNUMBER(SEARCH("CAPITAL FUNDING",D124)),1,0)</f>
        <v/>
      </c>
      <c r="AN124">
        <f>IF(ISNUMBER(SEARCH("PNC",D124)),1,0)</f>
        <v/>
      </c>
      <c r="AO124">
        <f>IF(ISNUMBER(SEARCH("WELLS FARGO",D124)),1,0)</f>
        <v/>
      </c>
      <c r="AP124">
        <f>IF(ISNUMBER(SEARCH("DWIGHT",D124)),1,0)</f>
        <v/>
      </c>
      <c r="AQ124">
        <f>IF(ISNUMBER(SEARCH("GREYSTONE",D124)),1,0)</f>
        <v/>
      </c>
      <c r="AR124">
        <f>IF(OR(Q124="3896",Q124="3557"),1,0)</f>
        <v/>
      </c>
      <c r="AS124" s="24">
        <f>V124*W124</f>
        <v/>
      </c>
      <c r="AT124" s="26">
        <f>V$4*(V124-V$3)</f>
        <v/>
      </c>
      <c r="AU124" s="26">
        <f>W$4*(W124-W$3)</f>
        <v/>
      </c>
      <c r="AV124" s="26">
        <f>X$4*(X124-X$3)</f>
        <v/>
      </c>
      <c r="AW124" s="26">
        <f>Y$4*(Y124-Y$3)</f>
        <v/>
      </c>
      <c r="AX124" s="26">
        <f>Z$4*(Z124-Z$3)</f>
        <v/>
      </c>
      <c r="AY124" s="26">
        <f>AA$4*(AA124-AA$3)</f>
        <v/>
      </c>
      <c r="AZ124" s="26">
        <f>AB$4*(AB124-AB$3)</f>
        <v/>
      </c>
      <c r="BA124" s="26">
        <f>AC$4*(AC124-AC$3)</f>
        <v/>
      </c>
      <c r="BB124" s="26">
        <f>AD$4*(AD124-AD$3)</f>
        <v/>
      </c>
      <c r="BC124" s="26">
        <f>AE$4*(AE124-AE$3)</f>
        <v/>
      </c>
      <c r="BD124" s="26">
        <f>AF$4*(AF124-AF$3)</f>
        <v/>
      </c>
      <c r="BE124" s="26">
        <f>AG$4*(AG124-AG$3)</f>
        <v/>
      </c>
      <c r="BF124" s="26">
        <f>AH$4*(AH124-AH$3)</f>
        <v/>
      </c>
      <c r="BG124" s="26">
        <f>AI$4*(AI124-AI$3)</f>
        <v/>
      </c>
      <c r="BH124" s="26">
        <f>AJ$4*(AJ124-AJ$3)</f>
        <v/>
      </c>
      <c r="BI124" s="26">
        <f>AK$4*(AK124-AK$3)</f>
        <v/>
      </c>
      <c r="BJ124" s="26">
        <f>AL$4*(AL124-AL$3)</f>
        <v/>
      </c>
      <c r="BK124" s="26">
        <f>AM$4*(AM124-AM$3)</f>
        <v/>
      </c>
      <c r="BL124" s="26">
        <f>AN$4*(AN124-AN$3)</f>
        <v/>
      </c>
      <c r="BM124" s="26">
        <f>AO$4*(AO124-AO$3)</f>
        <v/>
      </c>
      <c r="BN124" s="26">
        <f>AP$4*(AP124-AP$3)</f>
        <v/>
      </c>
      <c r="BO124" s="26">
        <f>AQ$4*(AQ124-AQ$3)</f>
        <v/>
      </c>
      <c r="BP124" s="26">
        <f>AR$4*(AR124-AR$3)</f>
        <v/>
      </c>
      <c r="BQ124" s="26">
        <f>AS$4*(AS124-AS$3)</f>
        <v/>
      </c>
      <c r="BR124" s="27">
        <f>SUM(AT124:BQ124)</f>
        <v/>
      </c>
      <c r="BS124" s="27">
        <f>INTERCEPT_SCALED+BR124</f>
        <v/>
      </c>
      <c r="BT124" s="28">
        <f>1/(1+EXP(-BS124))</f>
        <v/>
      </c>
      <c r="BU124" s="13">
        <f>1-(1-BT124)^12</f>
        <v/>
      </c>
      <c r="BV124" s="13">
        <f>IFERROR(AT124/BR124*(BU124-BASELINE_CPR),0)</f>
        <v/>
      </c>
      <c r="BW124" s="13">
        <f>IFERROR(AU124/BR124*(BU124-BASELINE_CPR),0)</f>
        <v/>
      </c>
      <c r="BX124" s="13">
        <f>IFERROR(AV124/BR124*(BU124-BASELINE_CPR),0)</f>
        <v/>
      </c>
      <c r="BY124" s="13">
        <f>IFERROR(AW124/BR124*(BU124-BASELINE_CPR),0)</f>
        <v/>
      </c>
      <c r="BZ124" s="13">
        <f>IFERROR(AX124/BR124*(BU124-BASELINE_CPR),0)</f>
        <v/>
      </c>
      <c r="CA124" s="13">
        <f>IFERROR(AY124/BR124*(BU124-BASELINE_CPR),0)</f>
        <v/>
      </c>
      <c r="CB124" s="13">
        <f>IFERROR(AZ124/BR124*(BU124-BASELINE_CPR),0)</f>
        <v/>
      </c>
      <c r="CC124" s="13">
        <f>IFERROR(BA124/BR124*(BU124-BASELINE_CPR),0)</f>
        <v/>
      </c>
      <c r="CD124" s="13">
        <f>IFERROR(BB124/BR124*(BU124-BASELINE_CPR),0)</f>
        <v/>
      </c>
      <c r="CE124" s="13">
        <f>IFERROR(BC124/BR124*(BU124-BASELINE_CPR),0)</f>
        <v/>
      </c>
      <c r="CF124" s="13">
        <f>IFERROR(BD124/BR124*(BU124-BASELINE_CPR),0)</f>
        <v/>
      </c>
      <c r="CG124" s="13">
        <f>IFERROR(BE124/BR124*(BU124-BASELINE_CPR),0)</f>
        <v/>
      </c>
      <c r="CH124" s="13">
        <f>IFERROR(BF124/BR124*(BU124-BASELINE_CPR),0)</f>
        <v/>
      </c>
      <c r="CI124" s="13">
        <f>IFERROR(BG124/BR124*(BU124-BASELINE_CPR),0)</f>
        <v/>
      </c>
      <c r="CJ124" s="13">
        <f>IFERROR(BH124/BR124*(BU124-BASELINE_CPR),0)</f>
        <v/>
      </c>
      <c r="CK124" s="13">
        <f>IFERROR(BI124/BR124*(BU124-BASELINE_CPR),0)</f>
        <v/>
      </c>
      <c r="CL124" s="13">
        <f>IFERROR(BJ124/BR124*(BU124-BASELINE_CPR),0)</f>
        <v/>
      </c>
      <c r="CM124" s="13">
        <f>IFERROR(BK124/BR124*(BU124-BASELINE_CPR),0)</f>
        <v/>
      </c>
      <c r="CN124" s="13">
        <f>IFERROR(BL124/BR124*(BU124-BASELINE_CPR),0)</f>
        <v/>
      </c>
      <c r="CO124" s="13">
        <f>IFERROR(BM124/BR124*(BU124-BASELINE_CPR),0)</f>
        <v/>
      </c>
      <c r="CP124" s="13">
        <f>IFERROR(BN124/BR124*(BU124-BASELINE_CPR),0)</f>
        <v/>
      </c>
      <c r="CQ124" s="13">
        <f>IFERROR(BO124/BR124*(BU124-BASELINE_CPR),0)</f>
        <v/>
      </c>
      <c r="CR124" s="13">
        <f>IFERROR(BP124/BR124*(BU124-BASELINE_CPR),0)</f>
        <v/>
      </c>
      <c r="CS124" s="13">
        <f>IFERROR(BQ124/BR124*(BU124-BASELINE_CPR),0)</f>
        <v/>
      </c>
      <c r="CT124" s="29">
        <f>BASELINE_CPR+SUM(BV124:CS124)-BU124</f>
        <v/>
      </c>
    </row>
    <row r="125">
      <c r="A125" s="2" t="inlineStr">
        <is>
          <t>3618GPF40_000000012222294</t>
        </is>
      </c>
      <c r="B125" t="inlineStr">
        <is>
          <t>MERCHANTS_POST21</t>
        </is>
      </c>
      <c r="C125" s="2" t="inlineStr">
        <is>
          <t>3618GPF40</t>
        </is>
      </c>
      <c r="D125" t="inlineStr">
        <is>
          <t>MERCHANTS CAPITAL CORP.</t>
        </is>
      </c>
      <c r="E125" t="inlineStr">
        <is>
          <t>232</t>
        </is>
      </c>
      <c r="F125" t="inlineStr">
        <is>
          <t>RP</t>
        </is>
      </c>
      <c r="G125" t="n">
        <v>2024</v>
      </c>
      <c r="H125" t="inlineStr">
        <is>
          <t>202602</t>
        </is>
      </c>
      <c r="I125" s="22" t="n">
        <v>36786426.13</v>
      </c>
      <c r="J125" s="23" t="n">
        <v>5.75</v>
      </c>
      <c r="K125" s="24" t="n">
        <v>447</v>
      </c>
      <c r="L125" s="24" t="n">
        <v>9</v>
      </c>
      <c r="M125" t="n">
        <v>21</v>
      </c>
      <c r="N125" t="n">
        <v>1</v>
      </c>
      <c r="O125" t="n">
        <v>205906</v>
      </c>
      <c r="P125" t="inlineStr"/>
      <c r="Q125" t="inlineStr">
        <is>
          <t>3487</t>
        </is>
      </c>
      <c r="R125" t="n">
        <v>1</v>
      </c>
      <c r="S125" t="n">
        <v>0</v>
      </c>
      <c r="T125" t="n">
        <v>0</v>
      </c>
      <c r="U125" t="n">
        <v>0</v>
      </c>
      <c r="V125" s="24">
        <f>J125*100-K125</f>
        <v/>
      </c>
      <c r="W125" s="24">
        <f>L125</f>
        <v/>
      </c>
      <c r="X125" s="25">
        <f>MIN(M125,36)</f>
        <v/>
      </c>
      <c r="Y125" s="25">
        <f>MIN(MAX(M125-36,0),84)</f>
        <v/>
      </c>
      <c r="Z125" s="25">
        <f>MAX(M125-120,0)</f>
        <v/>
      </c>
      <c r="AA125" s="25">
        <f>IF(OR(O125="",NOT(ISNUMBER(O125))),360,MAX(0,MIN(480,(INT(O125/100)-INT(VALUE(H125)/100))*12+MOD(O125,100)-MOD(VALUE(H125),100))))</f>
        <v/>
      </c>
      <c r="AB125">
        <f>IF(AND(AA125&gt;0,AA125&lt;=24),1,0)</f>
        <v/>
      </c>
      <c r="AC125" s="25">
        <f>IF(OR(P125="",NOT(ISNUMBER(P125))),0,MAX(0,MIN(24,(INT(VALUE(H125)/100)-INT(P125/100))*12+MOD(VALUE(H125),100)-MOD(P125,100))))</f>
        <v/>
      </c>
      <c r="AD125" s="23">
        <f>LN(1+I125)</f>
        <v/>
      </c>
      <c r="AE125">
        <f>IF(I125&lt;2000000,1,0)</f>
        <v/>
      </c>
      <c r="AF125">
        <f>IF(I125&gt;50000000,1,0)</f>
        <v/>
      </c>
      <c r="AG125" s="23">
        <f>IF(ISNUMBER(M125),N125/MAX(M125,1),0)</f>
        <v/>
      </c>
      <c r="AH125">
        <f>IF(G125&gt;=2021,1,0)</f>
        <v/>
      </c>
      <c r="AI125">
        <f>S125</f>
        <v/>
      </c>
      <c r="AJ125">
        <f>T125</f>
        <v/>
      </c>
      <c r="AK125">
        <f>R125</f>
        <v/>
      </c>
      <c r="AL125">
        <f>U125</f>
        <v/>
      </c>
      <c r="AM125">
        <f>IF(ISNUMBER(SEARCH("CAPITAL FUNDING",D125)),1,0)</f>
        <v/>
      </c>
      <c r="AN125">
        <f>IF(ISNUMBER(SEARCH("PNC",D125)),1,0)</f>
        <v/>
      </c>
      <c r="AO125">
        <f>IF(ISNUMBER(SEARCH("WELLS FARGO",D125)),1,0)</f>
        <v/>
      </c>
      <c r="AP125">
        <f>IF(ISNUMBER(SEARCH("DWIGHT",D125)),1,0)</f>
        <v/>
      </c>
      <c r="AQ125">
        <f>IF(ISNUMBER(SEARCH("GREYSTONE",D125)),1,0)</f>
        <v/>
      </c>
      <c r="AR125">
        <f>IF(OR(Q125="3896",Q125="3557"),1,0)</f>
        <v/>
      </c>
      <c r="AS125" s="24">
        <f>V125*W125</f>
        <v/>
      </c>
      <c r="AT125" s="26">
        <f>V$4*(V125-V$3)</f>
        <v/>
      </c>
      <c r="AU125" s="26">
        <f>W$4*(W125-W$3)</f>
        <v/>
      </c>
      <c r="AV125" s="26">
        <f>X$4*(X125-X$3)</f>
        <v/>
      </c>
      <c r="AW125" s="26">
        <f>Y$4*(Y125-Y$3)</f>
        <v/>
      </c>
      <c r="AX125" s="26">
        <f>Z$4*(Z125-Z$3)</f>
        <v/>
      </c>
      <c r="AY125" s="26">
        <f>AA$4*(AA125-AA$3)</f>
        <v/>
      </c>
      <c r="AZ125" s="26">
        <f>AB$4*(AB125-AB$3)</f>
        <v/>
      </c>
      <c r="BA125" s="26">
        <f>AC$4*(AC125-AC$3)</f>
        <v/>
      </c>
      <c r="BB125" s="26">
        <f>AD$4*(AD125-AD$3)</f>
        <v/>
      </c>
      <c r="BC125" s="26">
        <f>AE$4*(AE125-AE$3)</f>
        <v/>
      </c>
      <c r="BD125" s="26">
        <f>AF$4*(AF125-AF$3)</f>
        <v/>
      </c>
      <c r="BE125" s="26">
        <f>AG$4*(AG125-AG$3)</f>
        <v/>
      </c>
      <c r="BF125" s="26">
        <f>AH$4*(AH125-AH$3)</f>
        <v/>
      </c>
      <c r="BG125" s="26">
        <f>AI$4*(AI125-AI$3)</f>
        <v/>
      </c>
      <c r="BH125" s="26">
        <f>AJ$4*(AJ125-AJ$3)</f>
        <v/>
      </c>
      <c r="BI125" s="26">
        <f>AK$4*(AK125-AK$3)</f>
        <v/>
      </c>
      <c r="BJ125" s="26">
        <f>AL$4*(AL125-AL$3)</f>
        <v/>
      </c>
      <c r="BK125" s="26">
        <f>AM$4*(AM125-AM$3)</f>
        <v/>
      </c>
      <c r="BL125" s="26">
        <f>AN$4*(AN125-AN$3)</f>
        <v/>
      </c>
      <c r="BM125" s="26">
        <f>AO$4*(AO125-AO$3)</f>
        <v/>
      </c>
      <c r="BN125" s="26">
        <f>AP$4*(AP125-AP$3)</f>
        <v/>
      </c>
      <c r="BO125" s="26">
        <f>AQ$4*(AQ125-AQ$3)</f>
        <v/>
      </c>
      <c r="BP125" s="26">
        <f>AR$4*(AR125-AR$3)</f>
        <v/>
      </c>
      <c r="BQ125" s="26">
        <f>AS$4*(AS125-AS$3)</f>
        <v/>
      </c>
      <c r="BR125" s="27">
        <f>SUM(AT125:BQ125)</f>
        <v/>
      </c>
      <c r="BS125" s="27">
        <f>INTERCEPT_SCALED+BR125</f>
        <v/>
      </c>
      <c r="BT125" s="28">
        <f>1/(1+EXP(-BS125))</f>
        <v/>
      </c>
      <c r="BU125" s="13">
        <f>1-(1-BT125)^12</f>
        <v/>
      </c>
      <c r="BV125" s="13">
        <f>IFERROR(AT125/BR125*(BU125-BASELINE_CPR),0)</f>
        <v/>
      </c>
      <c r="BW125" s="13">
        <f>IFERROR(AU125/BR125*(BU125-BASELINE_CPR),0)</f>
        <v/>
      </c>
      <c r="BX125" s="13">
        <f>IFERROR(AV125/BR125*(BU125-BASELINE_CPR),0)</f>
        <v/>
      </c>
      <c r="BY125" s="13">
        <f>IFERROR(AW125/BR125*(BU125-BASELINE_CPR),0)</f>
        <v/>
      </c>
      <c r="BZ125" s="13">
        <f>IFERROR(AX125/BR125*(BU125-BASELINE_CPR),0)</f>
        <v/>
      </c>
      <c r="CA125" s="13">
        <f>IFERROR(AY125/BR125*(BU125-BASELINE_CPR),0)</f>
        <v/>
      </c>
      <c r="CB125" s="13">
        <f>IFERROR(AZ125/BR125*(BU125-BASELINE_CPR),0)</f>
        <v/>
      </c>
      <c r="CC125" s="13">
        <f>IFERROR(BA125/BR125*(BU125-BASELINE_CPR),0)</f>
        <v/>
      </c>
      <c r="CD125" s="13">
        <f>IFERROR(BB125/BR125*(BU125-BASELINE_CPR),0)</f>
        <v/>
      </c>
      <c r="CE125" s="13">
        <f>IFERROR(BC125/BR125*(BU125-BASELINE_CPR),0)</f>
        <v/>
      </c>
      <c r="CF125" s="13">
        <f>IFERROR(BD125/BR125*(BU125-BASELINE_CPR),0)</f>
        <v/>
      </c>
      <c r="CG125" s="13">
        <f>IFERROR(BE125/BR125*(BU125-BASELINE_CPR),0)</f>
        <v/>
      </c>
      <c r="CH125" s="13">
        <f>IFERROR(BF125/BR125*(BU125-BASELINE_CPR),0)</f>
        <v/>
      </c>
      <c r="CI125" s="13">
        <f>IFERROR(BG125/BR125*(BU125-BASELINE_CPR),0)</f>
        <v/>
      </c>
      <c r="CJ125" s="13">
        <f>IFERROR(BH125/BR125*(BU125-BASELINE_CPR),0)</f>
        <v/>
      </c>
      <c r="CK125" s="13">
        <f>IFERROR(BI125/BR125*(BU125-BASELINE_CPR),0)</f>
        <v/>
      </c>
      <c r="CL125" s="13">
        <f>IFERROR(BJ125/BR125*(BU125-BASELINE_CPR),0)</f>
        <v/>
      </c>
      <c r="CM125" s="13">
        <f>IFERROR(BK125/BR125*(BU125-BASELINE_CPR),0)</f>
        <v/>
      </c>
      <c r="CN125" s="13">
        <f>IFERROR(BL125/BR125*(BU125-BASELINE_CPR),0)</f>
        <v/>
      </c>
      <c r="CO125" s="13">
        <f>IFERROR(BM125/BR125*(BU125-BASELINE_CPR),0)</f>
        <v/>
      </c>
      <c r="CP125" s="13">
        <f>IFERROR(BN125/BR125*(BU125-BASELINE_CPR),0)</f>
        <v/>
      </c>
      <c r="CQ125" s="13">
        <f>IFERROR(BO125/BR125*(BU125-BASELINE_CPR),0)</f>
        <v/>
      </c>
      <c r="CR125" s="13">
        <f>IFERROR(BP125/BR125*(BU125-BASELINE_CPR),0)</f>
        <v/>
      </c>
      <c r="CS125" s="13">
        <f>IFERROR(BQ125/BR125*(BU125-BASELINE_CPR),0)</f>
        <v/>
      </c>
      <c r="CT125" s="29">
        <f>BASELINE_CPR+SUM(BV125:CS125)-BU125</f>
        <v/>
      </c>
    </row>
    <row r="126">
      <c r="A126" s="2" t="inlineStr">
        <is>
          <t>3617UDHL3_000000007335768</t>
        </is>
      </c>
      <c r="B126" t="inlineStr">
        <is>
          <t>MERCHANTS_PRE21</t>
        </is>
      </c>
      <c r="C126" s="2" t="inlineStr">
        <is>
          <t>3617UDHL3</t>
        </is>
      </c>
      <c r="D126" t="inlineStr">
        <is>
          <t>MERCHANTS CAPITAL CORP.</t>
        </is>
      </c>
      <c r="E126" t="inlineStr">
        <is>
          <t>221d4</t>
        </is>
      </c>
      <c r="F126" t="inlineStr">
        <is>
          <t>NC</t>
        </is>
      </c>
      <c r="G126" t="n">
        <v>2012</v>
      </c>
      <c r="H126" t="inlineStr">
        <is>
          <t>202602</t>
        </is>
      </c>
      <c r="I126" s="22" t="n">
        <v>18301336.04</v>
      </c>
      <c r="J126" s="23" t="n">
        <v>2.37</v>
      </c>
      <c r="K126" s="24" t="n">
        <v>447</v>
      </c>
      <c r="L126" s="24" t="n">
        <v>6</v>
      </c>
      <c r="M126" t="n">
        <v>158</v>
      </c>
      <c r="N126" t="n">
        <v>0</v>
      </c>
      <c r="O126" t="n">
        <v>205401</v>
      </c>
      <c r="P126" t="inlineStr"/>
      <c r="Q126" t="inlineStr">
        <is>
          <t>3487</t>
        </is>
      </c>
      <c r="R126" t="n">
        <v>0</v>
      </c>
      <c r="S126" t="n">
        <v>0</v>
      </c>
      <c r="T126" t="n">
        <v>0</v>
      </c>
      <c r="U126" t="n">
        <v>1</v>
      </c>
      <c r="V126" s="24">
        <f>J126*100-K126</f>
        <v/>
      </c>
      <c r="W126" s="24">
        <f>L126</f>
        <v/>
      </c>
      <c r="X126" s="25">
        <f>MIN(M126,36)</f>
        <v/>
      </c>
      <c r="Y126" s="25">
        <f>MIN(MAX(M126-36,0),84)</f>
        <v/>
      </c>
      <c r="Z126" s="25">
        <f>MAX(M126-120,0)</f>
        <v/>
      </c>
      <c r="AA126" s="25">
        <f>IF(OR(O126="",NOT(ISNUMBER(O126))),360,MAX(0,MIN(480,(INT(O126/100)-INT(VALUE(H126)/100))*12+MOD(O126,100)-MOD(VALUE(H126),100))))</f>
        <v/>
      </c>
      <c r="AB126">
        <f>IF(AND(AA126&gt;0,AA126&lt;=24),1,0)</f>
        <v/>
      </c>
      <c r="AC126" s="25">
        <f>IF(OR(P126="",NOT(ISNUMBER(P126))),0,MAX(0,MIN(24,(INT(VALUE(H126)/100)-INT(P126/100))*12+MOD(VALUE(H126),100)-MOD(P126,100))))</f>
        <v/>
      </c>
      <c r="AD126" s="23">
        <f>LN(1+I126)</f>
        <v/>
      </c>
      <c r="AE126">
        <f>IF(I126&lt;2000000,1,0)</f>
        <v/>
      </c>
      <c r="AF126">
        <f>IF(I126&gt;50000000,1,0)</f>
        <v/>
      </c>
      <c r="AG126" s="23">
        <f>IF(ISNUMBER(M126),N126/MAX(M126,1),0)</f>
        <v/>
      </c>
      <c r="AH126">
        <f>IF(G126&gt;=2021,1,0)</f>
        <v/>
      </c>
      <c r="AI126">
        <f>S126</f>
        <v/>
      </c>
      <c r="AJ126">
        <f>T126</f>
        <v/>
      </c>
      <c r="AK126">
        <f>R126</f>
        <v/>
      </c>
      <c r="AL126">
        <f>U126</f>
        <v/>
      </c>
      <c r="AM126">
        <f>IF(ISNUMBER(SEARCH("CAPITAL FUNDING",D126)),1,0)</f>
        <v/>
      </c>
      <c r="AN126">
        <f>IF(ISNUMBER(SEARCH("PNC",D126)),1,0)</f>
        <v/>
      </c>
      <c r="AO126">
        <f>IF(ISNUMBER(SEARCH("WELLS FARGO",D126)),1,0)</f>
        <v/>
      </c>
      <c r="AP126">
        <f>IF(ISNUMBER(SEARCH("DWIGHT",D126)),1,0)</f>
        <v/>
      </c>
      <c r="AQ126">
        <f>IF(ISNUMBER(SEARCH("GREYSTONE",D126)),1,0)</f>
        <v/>
      </c>
      <c r="AR126">
        <f>IF(OR(Q126="3896",Q126="3557"),1,0)</f>
        <v/>
      </c>
      <c r="AS126" s="24">
        <f>V126*W126</f>
        <v/>
      </c>
      <c r="AT126" s="26">
        <f>V$4*(V126-V$3)</f>
        <v/>
      </c>
      <c r="AU126" s="26">
        <f>W$4*(W126-W$3)</f>
        <v/>
      </c>
      <c r="AV126" s="26">
        <f>X$4*(X126-X$3)</f>
        <v/>
      </c>
      <c r="AW126" s="26">
        <f>Y$4*(Y126-Y$3)</f>
        <v/>
      </c>
      <c r="AX126" s="26">
        <f>Z$4*(Z126-Z$3)</f>
        <v/>
      </c>
      <c r="AY126" s="26">
        <f>AA$4*(AA126-AA$3)</f>
        <v/>
      </c>
      <c r="AZ126" s="26">
        <f>AB$4*(AB126-AB$3)</f>
        <v/>
      </c>
      <c r="BA126" s="26">
        <f>AC$4*(AC126-AC$3)</f>
        <v/>
      </c>
      <c r="BB126" s="26">
        <f>AD$4*(AD126-AD$3)</f>
        <v/>
      </c>
      <c r="BC126" s="26">
        <f>AE$4*(AE126-AE$3)</f>
        <v/>
      </c>
      <c r="BD126" s="26">
        <f>AF$4*(AF126-AF$3)</f>
        <v/>
      </c>
      <c r="BE126" s="26">
        <f>AG$4*(AG126-AG$3)</f>
        <v/>
      </c>
      <c r="BF126" s="26">
        <f>AH$4*(AH126-AH$3)</f>
        <v/>
      </c>
      <c r="BG126" s="26">
        <f>AI$4*(AI126-AI$3)</f>
        <v/>
      </c>
      <c r="BH126" s="26">
        <f>AJ$4*(AJ126-AJ$3)</f>
        <v/>
      </c>
      <c r="BI126" s="26">
        <f>AK$4*(AK126-AK$3)</f>
        <v/>
      </c>
      <c r="BJ126" s="26">
        <f>AL$4*(AL126-AL$3)</f>
        <v/>
      </c>
      <c r="BK126" s="26">
        <f>AM$4*(AM126-AM$3)</f>
        <v/>
      </c>
      <c r="BL126" s="26">
        <f>AN$4*(AN126-AN$3)</f>
        <v/>
      </c>
      <c r="BM126" s="26">
        <f>AO$4*(AO126-AO$3)</f>
        <v/>
      </c>
      <c r="BN126" s="26">
        <f>AP$4*(AP126-AP$3)</f>
        <v/>
      </c>
      <c r="BO126" s="26">
        <f>AQ$4*(AQ126-AQ$3)</f>
        <v/>
      </c>
      <c r="BP126" s="26">
        <f>AR$4*(AR126-AR$3)</f>
        <v/>
      </c>
      <c r="BQ126" s="26">
        <f>AS$4*(AS126-AS$3)</f>
        <v/>
      </c>
      <c r="BR126" s="27">
        <f>SUM(AT126:BQ126)</f>
        <v/>
      </c>
      <c r="BS126" s="27">
        <f>INTERCEPT_SCALED+BR126</f>
        <v/>
      </c>
      <c r="BT126" s="28">
        <f>1/(1+EXP(-BS126))</f>
        <v/>
      </c>
      <c r="BU126" s="13">
        <f>1-(1-BT126)^12</f>
        <v/>
      </c>
      <c r="BV126" s="13">
        <f>IFERROR(AT126/BR126*(BU126-BASELINE_CPR),0)</f>
        <v/>
      </c>
      <c r="BW126" s="13">
        <f>IFERROR(AU126/BR126*(BU126-BASELINE_CPR),0)</f>
        <v/>
      </c>
      <c r="BX126" s="13">
        <f>IFERROR(AV126/BR126*(BU126-BASELINE_CPR),0)</f>
        <v/>
      </c>
      <c r="BY126" s="13">
        <f>IFERROR(AW126/BR126*(BU126-BASELINE_CPR),0)</f>
        <v/>
      </c>
      <c r="BZ126" s="13">
        <f>IFERROR(AX126/BR126*(BU126-BASELINE_CPR),0)</f>
        <v/>
      </c>
      <c r="CA126" s="13">
        <f>IFERROR(AY126/BR126*(BU126-BASELINE_CPR),0)</f>
        <v/>
      </c>
      <c r="CB126" s="13">
        <f>IFERROR(AZ126/BR126*(BU126-BASELINE_CPR),0)</f>
        <v/>
      </c>
      <c r="CC126" s="13">
        <f>IFERROR(BA126/BR126*(BU126-BASELINE_CPR),0)</f>
        <v/>
      </c>
      <c r="CD126" s="13">
        <f>IFERROR(BB126/BR126*(BU126-BASELINE_CPR),0)</f>
        <v/>
      </c>
      <c r="CE126" s="13">
        <f>IFERROR(BC126/BR126*(BU126-BASELINE_CPR),0)</f>
        <v/>
      </c>
      <c r="CF126" s="13">
        <f>IFERROR(BD126/BR126*(BU126-BASELINE_CPR),0)</f>
        <v/>
      </c>
      <c r="CG126" s="13">
        <f>IFERROR(BE126/BR126*(BU126-BASELINE_CPR),0)</f>
        <v/>
      </c>
      <c r="CH126" s="13">
        <f>IFERROR(BF126/BR126*(BU126-BASELINE_CPR),0)</f>
        <v/>
      </c>
      <c r="CI126" s="13">
        <f>IFERROR(BG126/BR126*(BU126-BASELINE_CPR),0)</f>
        <v/>
      </c>
      <c r="CJ126" s="13">
        <f>IFERROR(BH126/BR126*(BU126-BASELINE_CPR),0)</f>
        <v/>
      </c>
      <c r="CK126" s="13">
        <f>IFERROR(BI126/BR126*(BU126-BASELINE_CPR),0)</f>
        <v/>
      </c>
      <c r="CL126" s="13">
        <f>IFERROR(BJ126/BR126*(BU126-BASELINE_CPR),0)</f>
        <v/>
      </c>
      <c r="CM126" s="13">
        <f>IFERROR(BK126/BR126*(BU126-BASELINE_CPR),0)</f>
        <v/>
      </c>
      <c r="CN126" s="13">
        <f>IFERROR(BL126/BR126*(BU126-BASELINE_CPR),0)</f>
        <v/>
      </c>
      <c r="CO126" s="13">
        <f>IFERROR(BM126/BR126*(BU126-BASELINE_CPR),0)</f>
        <v/>
      </c>
      <c r="CP126" s="13">
        <f>IFERROR(BN126/BR126*(BU126-BASELINE_CPR),0)</f>
        <v/>
      </c>
      <c r="CQ126" s="13">
        <f>IFERROR(BO126/BR126*(BU126-BASELINE_CPR),0)</f>
        <v/>
      </c>
      <c r="CR126" s="13">
        <f>IFERROR(BP126/BR126*(BU126-BASELINE_CPR),0)</f>
        <v/>
      </c>
      <c r="CS126" s="13">
        <f>IFERROR(BQ126/BR126*(BU126-BASELINE_CPR),0)</f>
        <v/>
      </c>
      <c r="CT126" s="29">
        <f>BASELINE_CPR+SUM(BV126:CS126)-BU126</f>
        <v/>
      </c>
    </row>
    <row r="127">
      <c r="A127" s="2" t="inlineStr">
        <is>
          <t>3617K16M0_038012645395099</t>
        </is>
      </c>
      <c r="B127" t="inlineStr">
        <is>
          <t>MERCHANTS_PRE21</t>
        </is>
      </c>
      <c r="C127" s="2" t="inlineStr">
        <is>
          <t>3617K16M0</t>
        </is>
      </c>
      <c r="D127" t="inlineStr">
        <is>
          <t>MERCHANTS CAPITAL CORP.</t>
        </is>
      </c>
      <c r="E127" t="inlineStr">
        <is>
          <t>538</t>
        </is>
      </c>
      <c r="F127" t="inlineStr">
        <is>
          <t>538</t>
        </is>
      </c>
      <c r="G127" t="n">
        <v>2019</v>
      </c>
      <c r="H127" t="inlineStr">
        <is>
          <t>202602</t>
        </is>
      </c>
      <c r="I127" s="22" t="n">
        <v>1122425.57</v>
      </c>
      <c r="J127" s="23" t="n">
        <v>4.55</v>
      </c>
      <c r="K127" s="24" t="n">
        <v>447</v>
      </c>
      <c r="L127" s="24" t="n">
        <v>6</v>
      </c>
      <c r="M127" t="n">
        <v>82</v>
      </c>
      <c r="N127" t="n">
        <v>13</v>
      </c>
      <c r="O127" t="n">
        <v>205904</v>
      </c>
      <c r="P127" t="inlineStr"/>
      <c r="Q127" t="inlineStr">
        <is>
          <t>3487</t>
        </is>
      </c>
      <c r="R127" t="n">
        <v>0</v>
      </c>
      <c r="S127" t="n">
        <v>0</v>
      </c>
      <c r="T127" t="n">
        <v>1</v>
      </c>
      <c r="U127" t="n">
        <v>0</v>
      </c>
      <c r="V127" s="24">
        <f>J127*100-K127</f>
        <v/>
      </c>
      <c r="W127" s="24">
        <f>L127</f>
        <v/>
      </c>
      <c r="X127" s="25">
        <f>MIN(M127,36)</f>
        <v/>
      </c>
      <c r="Y127" s="25">
        <f>MIN(MAX(M127-36,0),84)</f>
        <v/>
      </c>
      <c r="Z127" s="25">
        <f>MAX(M127-120,0)</f>
        <v/>
      </c>
      <c r="AA127" s="25">
        <f>IF(OR(O127="",NOT(ISNUMBER(O127))),360,MAX(0,MIN(480,(INT(O127/100)-INT(VALUE(H127)/100))*12+MOD(O127,100)-MOD(VALUE(H127),100))))</f>
        <v/>
      </c>
      <c r="AB127">
        <f>IF(AND(AA127&gt;0,AA127&lt;=24),1,0)</f>
        <v/>
      </c>
      <c r="AC127" s="25">
        <f>IF(OR(P127="",NOT(ISNUMBER(P127))),0,MAX(0,MIN(24,(INT(VALUE(H127)/100)-INT(P127/100))*12+MOD(VALUE(H127),100)-MOD(P127,100))))</f>
        <v/>
      </c>
      <c r="AD127" s="23">
        <f>LN(1+I127)</f>
        <v/>
      </c>
      <c r="AE127">
        <f>IF(I127&lt;2000000,1,0)</f>
        <v/>
      </c>
      <c r="AF127">
        <f>IF(I127&gt;50000000,1,0)</f>
        <v/>
      </c>
      <c r="AG127" s="23">
        <f>IF(ISNUMBER(M127),N127/MAX(M127,1),0)</f>
        <v/>
      </c>
      <c r="AH127">
        <f>IF(G127&gt;=2021,1,0)</f>
        <v/>
      </c>
      <c r="AI127">
        <f>S127</f>
        <v/>
      </c>
      <c r="AJ127">
        <f>T127</f>
        <v/>
      </c>
      <c r="AK127">
        <f>R127</f>
        <v/>
      </c>
      <c r="AL127">
        <f>U127</f>
        <v/>
      </c>
      <c r="AM127">
        <f>IF(ISNUMBER(SEARCH("CAPITAL FUNDING",D127)),1,0)</f>
        <v/>
      </c>
      <c r="AN127">
        <f>IF(ISNUMBER(SEARCH("PNC",D127)),1,0)</f>
        <v/>
      </c>
      <c r="AO127">
        <f>IF(ISNUMBER(SEARCH("WELLS FARGO",D127)),1,0)</f>
        <v/>
      </c>
      <c r="AP127">
        <f>IF(ISNUMBER(SEARCH("DWIGHT",D127)),1,0)</f>
        <v/>
      </c>
      <c r="AQ127">
        <f>IF(ISNUMBER(SEARCH("GREYSTONE",D127)),1,0)</f>
        <v/>
      </c>
      <c r="AR127">
        <f>IF(OR(Q127="3896",Q127="3557"),1,0)</f>
        <v/>
      </c>
      <c r="AS127" s="24">
        <f>V127*W127</f>
        <v/>
      </c>
      <c r="AT127" s="26">
        <f>V$4*(V127-V$3)</f>
        <v/>
      </c>
      <c r="AU127" s="26">
        <f>W$4*(W127-W$3)</f>
        <v/>
      </c>
      <c r="AV127" s="26">
        <f>X$4*(X127-X$3)</f>
        <v/>
      </c>
      <c r="AW127" s="26">
        <f>Y$4*(Y127-Y$3)</f>
        <v/>
      </c>
      <c r="AX127" s="26">
        <f>Z$4*(Z127-Z$3)</f>
        <v/>
      </c>
      <c r="AY127" s="26">
        <f>AA$4*(AA127-AA$3)</f>
        <v/>
      </c>
      <c r="AZ127" s="26">
        <f>AB$4*(AB127-AB$3)</f>
        <v/>
      </c>
      <c r="BA127" s="26">
        <f>AC$4*(AC127-AC$3)</f>
        <v/>
      </c>
      <c r="BB127" s="26">
        <f>AD$4*(AD127-AD$3)</f>
        <v/>
      </c>
      <c r="BC127" s="26">
        <f>AE$4*(AE127-AE$3)</f>
        <v/>
      </c>
      <c r="BD127" s="26">
        <f>AF$4*(AF127-AF$3)</f>
        <v/>
      </c>
      <c r="BE127" s="26">
        <f>AG$4*(AG127-AG$3)</f>
        <v/>
      </c>
      <c r="BF127" s="26">
        <f>AH$4*(AH127-AH$3)</f>
        <v/>
      </c>
      <c r="BG127" s="26">
        <f>AI$4*(AI127-AI$3)</f>
        <v/>
      </c>
      <c r="BH127" s="26">
        <f>AJ$4*(AJ127-AJ$3)</f>
        <v/>
      </c>
      <c r="BI127" s="26">
        <f>AK$4*(AK127-AK$3)</f>
        <v/>
      </c>
      <c r="BJ127" s="26">
        <f>AL$4*(AL127-AL$3)</f>
        <v/>
      </c>
      <c r="BK127" s="26">
        <f>AM$4*(AM127-AM$3)</f>
        <v/>
      </c>
      <c r="BL127" s="26">
        <f>AN$4*(AN127-AN$3)</f>
        <v/>
      </c>
      <c r="BM127" s="26">
        <f>AO$4*(AO127-AO$3)</f>
        <v/>
      </c>
      <c r="BN127" s="26">
        <f>AP$4*(AP127-AP$3)</f>
        <v/>
      </c>
      <c r="BO127" s="26">
        <f>AQ$4*(AQ127-AQ$3)</f>
        <v/>
      </c>
      <c r="BP127" s="26">
        <f>AR$4*(AR127-AR$3)</f>
        <v/>
      </c>
      <c r="BQ127" s="26">
        <f>AS$4*(AS127-AS$3)</f>
        <v/>
      </c>
      <c r="BR127" s="27">
        <f>SUM(AT127:BQ127)</f>
        <v/>
      </c>
      <c r="BS127" s="27">
        <f>INTERCEPT_SCALED+BR127</f>
        <v/>
      </c>
      <c r="BT127" s="28">
        <f>1/(1+EXP(-BS127))</f>
        <v/>
      </c>
      <c r="BU127" s="13">
        <f>1-(1-BT127)^12</f>
        <v/>
      </c>
      <c r="BV127" s="13">
        <f>IFERROR(AT127/BR127*(BU127-BASELINE_CPR),0)</f>
        <v/>
      </c>
      <c r="BW127" s="13">
        <f>IFERROR(AU127/BR127*(BU127-BASELINE_CPR),0)</f>
        <v/>
      </c>
      <c r="BX127" s="13">
        <f>IFERROR(AV127/BR127*(BU127-BASELINE_CPR),0)</f>
        <v/>
      </c>
      <c r="BY127" s="13">
        <f>IFERROR(AW127/BR127*(BU127-BASELINE_CPR),0)</f>
        <v/>
      </c>
      <c r="BZ127" s="13">
        <f>IFERROR(AX127/BR127*(BU127-BASELINE_CPR),0)</f>
        <v/>
      </c>
      <c r="CA127" s="13">
        <f>IFERROR(AY127/BR127*(BU127-BASELINE_CPR),0)</f>
        <v/>
      </c>
      <c r="CB127" s="13">
        <f>IFERROR(AZ127/BR127*(BU127-BASELINE_CPR),0)</f>
        <v/>
      </c>
      <c r="CC127" s="13">
        <f>IFERROR(BA127/BR127*(BU127-BASELINE_CPR),0)</f>
        <v/>
      </c>
      <c r="CD127" s="13">
        <f>IFERROR(BB127/BR127*(BU127-BASELINE_CPR),0)</f>
        <v/>
      </c>
      <c r="CE127" s="13">
        <f>IFERROR(BC127/BR127*(BU127-BASELINE_CPR),0)</f>
        <v/>
      </c>
      <c r="CF127" s="13">
        <f>IFERROR(BD127/BR127*(BU127-BASELINE_CPR),0)</f>
        <v/>
      </c>
      <c r="CG127" s="13">
        <f>IFERROR(BE127/BR127*(BU127-BASELINE_CPR),0)</f>
        <v/>
      </c>
      <c r="CH127" s="13">
        <f>IFERROR(BF127/BR127*(BU127-BASELINE_CPR),0)</f>
        <v/>
      </c>
      <c r="CI127" s="13">
        <f>IFERROR(BG127/BR127*(BU127-BASELINE_CPR),0)</f>
        <v/>
      </c>
      <c r="CJ127" s="13">
        <f>IFERROR(BH127/BR127*(BU127-BASELINE_CPR),0)</f>
        <v/>
      </c>
      <c r="CK127" s="13">
        <f>IFERROR(BI127/BR127*(BU127-BASELINE_CPR),0)</f>
        <v/>
      </c>
      <c r="CL127" s="13">
        <f>IFERROR(BJ127/BR127*(BU127-BASELINE_CPR),0)</f>
        <v/>
      </c>
      <c r="CM127" s="13">
        <f>IFERROR(BK127/BR127*(BU127-BASELINE_CPR),0)</f>
        <v/>
      </c>
      <c r="CN127" s="13">
        <f>IFERROR(BL127/BR127*(BU127-BASELINE_CPR),0)</f>
        <v/>
      </c>
      <c r="CO127" s="13">
        <f>IFERROR(BM127/BR127*(BU127-BASELINE_CPR),0)</f>
        <v/>
      </c>
      <c r="CP127" s="13">
        <f>IFERROR(BN127/BR127*(BU127-BASELINE_CPR),0)</f>
        <v/>
      </c>
      <c r="CQ127" s="13">
        <f>IFERROR(BO127/BR127*(BU127-BASELINE_CPR),0)</f>
        <v/>
      </c>
      <c r="CR127" s="13">
        <f>IFERROR(BP127/BR127*(BU127-BASELINE_CPR),0)</f>
        <v/>
      </c>
      <c r="CS127" s="13">
        <f>IFERROR(BQ127/BR127*(BU127-BASELINE_CPR),0)</f>
        <v/>
      </c>
      <c r="CT127" s="29">
        <f>BASELINE_CPR+SUM(BV127:CS127)-BU127</f>
        <v/>
      </c>
    </row>
    <row r="128">
      <c r="A128" s="2" t="inlineStr">
        <is>
          <t>3617KG2Y5_000000007311982</t>
        </is>
      </c>
      <c r="B128" t="inlineStr">
        <is>
          <t>MERCHANTS_PRE21</t>
        </is>
      </c>
      <c r="C128" s="2" t="inlineStr">
        <is>
          <t>3617KG2Y5</t>
        </is>
      </c>
      <c r="D128" t="inlineStr">
        <is>
          <t>MERCHANTS CAPITAL SERVICING LLC</t>
        </is>
      </c>
      <c r="E128" t="inlineStr">
        <is>
          <t>223f</t>
        </is>
      </c>
      <c r="F128" t="inlineStr">
        <is>
          <t>RP</t>
        </is>
      </c>
      <c r="G128" t="n">
        <v>2020</v>
      </c>
      <c r="H128" t="inlineStr">
        <is>
          <t>202602</t>
        </is>
      </c>
      <c r="I128" s="22" t="n">
        <v>14899055.27</v>
      </c>
      <c r="J128" s="23" t="n">
        <v>3</v>
      </c>
      <c r="K128" s="24" t="n">
        <v>447</v>
      </c>
      <c r="L128" s="24" t="n">
        <v>5</v>
      </c>
      <c r="M128" t="n">
        <v>72</v>
      </c>
      <c r="N128" t="n">
        <v>9</v>
      </c>
      <c r="O128" t="n">
        <v>205503</v>
      </c>
      <c r="P128" t="inlineStr"/>
      <c r="Q128" t="inlineStr">
        <is>
          <t>4265</t>
        </is>
      </c>
      <c r="R128" t="n">
        <v>0</v>
      </c>
      <c r="S128" t="n">
        <v>0</v>
      </c>
      <c r="T128" t="n">
        <v>0</v>
      </c>
      <c r="U128" t="n">
        <v>0</v>
      </c>
      <c r="V128" s="24">
        <f>J128*100-K128</f>
        <v/>
      </c>
      <c r="W128" s="24">
        <f>L128</f>
        <v/>
      </c>
      <c r="X128" s="25">
        <f>MIN(M128,36)</f>
        <v/>
      </c>
      <c r="Y128" s="25">
        <f>MIN(MAX(M128-36,0),84)</f>
        <v/>
      </c>
      <c r="Z128" s="25">
        <f>MAX(M128-120,0)</f>
        <v/>
      </c>
      <c r="AA128" s="25">
        <f>IF(OR(O128="",NOT(ISNUMBER(O128))),360,MAX(0,MIN(480,(INT(O128/100)-INT(VALUE(H128)/100))*12+MOD(O128,100)-MOD(VALUE(H128),100))))</f>
        <v/>
      </c>
      <c r="AB128">
        <f>IF(AND(AA128&gt;0,AA128&lt;=24),1,0)</f>
        <v/>
      </c>
      <c r="AC128" s="25">
        <f>IF(OR(P128="",NOT(ISNUMBER(P128))),0,MAX(0,MIN(24,(INT(VALUE(H128)/100)-INT(P128/100))*12+MOD(VALUE(H128),100)-MOD(P128,100))))</f>
        <v/>
      </c>
      <c r="AD128" s="23">
        <f>LN(1+I128)</f>
        <v/>
      </c>
      <c r="AE128">
        <f>IF(I128&lt;2000000,1,0)</f>
        <v/>
      </c>
      <c r="AF128">
        <f>IF(I128&gt;50000000,1,0)</f>
        <v/>
      </c>
      <c r="AG128" s="23">
        <f>IF(ISNUMBER(M128),N128/MAX(M128,1),0)</f>
        <v/>
      </c>
      <c r="AH128">
        <f>IF(G128&gt;=2021,1,0)</f>
        <v/>
      </c>
      <c r="AI128">
        <f>S128</f>
        <v/>
      </c>
      <c r="AJ128">
        <f>T128</f>
        <v/>
      </c>
      <c r="AK128">
        <f>R128</f>
        <v/>
      </c>
      <c r="AL128">
        <f>U128</f>
        <v/>
      </c>
      <c r="AM128">
        <f>IF(ISNUMBER(SEARCH("CAPITAL FUNDING",D128)),1,0)</f>
        <v/>
      </c>
      <c r="AN128">
        <f>IF(ISNUMBER(SEARCH("PNC",D128)),1,0)</f>
        <v/>
      </c>
      <c r="AO128">
        <f>IF(ISNUMBER(SEARCH("WELLS FARGO",D128)),1,0)</f>
        <v/>
      </c>
      <c r="AP128">
        <f>IF(ISNUMBER(SEARCH("DWIGHT",D128)),1,0)</f>
        <v/>
      </c>
      <c r="AQ128">
        <f>IF(ISNUMBER(SEARCH("GREYSTONE",D128)),1,0)</f>
        <v/>
      </c>
      <c r="AR128">
        <f>IF(OR(Q128="3896",Q128="3557"),1,0)</f>
        <v/>
      </c>
      <c r="AS128" s="24">
        <f>V128*W128</f>
        <v/>
      </c>
      <c r="AT128" s="26">
        <f>V$4*(V128-V$3)</f>
        <v/>
      </c>
      <c r="AU128" s="26">
        <f>W$4*(W128-W$3)</f>
        <v/>
      </c>
      <c r="AV128" s="26">
        <f>X$4*(X128-X$3)</f>
        <v/>
      </c>
      <c r="AW128" s="26">
        <f>Y$4*(Y128-Y$3)</f>
        <v/>
      </c>
      <c r="AX128" s="26">
        <f>Z$4*(Z128-Z$3)</f>
        <v/>
      </c>
      <c r="AY128" s="26">
        <f>AA$4*(AA128-AA$3)</f>
        <v/>
      </c>
      <c r="AZ128" s="26">
        <f>AB$4*(AB128-AB$3)</f>
        <v/>
      </c>
      <c r="BA128" s="26">
        <f>AC$4*(AC128-AC$3)</f>
        <v/>
      </c>
      <c r="BB128" s="26">
        <f>AD$4*(AD128-AD$3)</f>
        <v/>
      </c>
      <c r="BC128" s="26">
        <f>AE$4*(AE128-AE$3)</f>
        <v/>
      </c>
      <c r="BD128" s="26">
        <f>AF$4*(AF128-AF$3)</f>
        <v/>
      </c>
      <c r="BE128" s="26">
        <f>AG$4*(AG128-AG$3)</f>
        <v/>
      </c>
      <c r="BF128" s="26">
        <f>AH$4*(AH128-AH$3)</f>
        <v/>
      </c>
      <c r="BG128" s="26">
        <f>AI$4*(AI128-AI$3)</f>
        <v/>
      </c>
      <c r="BH128" s="26">
        <f>AJ$4*(AJ128-AJ$3)</f>
        <v/>
      </c>
      <c r="BI128" s="26">
        <f>AK$4*(AK128-AK$3)</f>
        <v/>
      </c>
      <c r="BJ128" s="26">
        <f>AL$4*(AL128-AL$3)</f>
        <v/>
      </c>
      <c r="BK128" s="26">
        <f>AM$4*(AM128-AM$3)</f>
        <v/>
      </c>
      <c r="BL128" s="26">
        <f>AN$4*(AN128-AN$3)</f>
        <v/>
      </c>
      <c r="BM128" s="26">
        <f>AO$4*(AO128-AO$3)</f>
        <v/>
      </c>
      <c r="BN128" s="26">
        <f>AP$4*(AP128-AP$3)</f>
        <v/>
      </c>
      <c r="BO128" s="26">
        <f>AQ$4*(AQ128-AQ$3)</f>
        <v/>
      </c>
      <c r="BP128" s="26">
        <f>AR$4*(AR128-AR$3)</f>
        <v/>
      </c>
      <c r="BQ128" s="26">
        <f>AS$4*(AS128-AS$3)</f>
        <v/>
      </c>
      <c r="BR128" s="27">
        <f>SUM(AT128:BQ128)</f>
        <v/>
      </c>
      <c r="BS128" s="27">
        <f>INTERCEPT_SCALED+BR128</f>
        <v/>
      </c>
      <c r="BT128" s="28">
        <f>1/(1+EXP(-BS128))</f>
        <v/>
      </c>
      <c r="BU128" s="13">
        <f>1-(1-BT128)^12</f>
        <v/>
      </c>
      <c r="BV128" s="13">
        <f>IFERROR(AT128/BR128*(BU128-BASELINE_CPR),0)</f>
        <v/>
      </c>
      <c r="BW128" s="13">
        <f>IFERROR(AU128/BR128*(BU128-BASELINE_CPR),0)</f>
        <v/>
      </c>
      <c r="BX128" s="13">
        <f>IFERROR(AV128/BR128*(BU128-BASELINE_CPR),0)</f>
        <v/>
      </c>
      <c r="BY128" s="13">
        <f>IFERROR(AW128/BR128*(BU128-BASELINE_CPR),0)</f>
        <v/>
      </c>
      <c r="BZ128" s="13">
        <f>IFERROR(AX128/BR128*(BU128-BASELINE_CPR),0)</f>
        <v/>
      </c>
      <c r="CA128" s="13">
        <f>IFERROR(AY128/BR128*(BU128-BASELINE_CPR),0)</f>
        <v/>
      </c>
      <c r="CB128" s="13">
        <f>IFERROR(AZ128/BR128*(BU128-BASELINE_CPR),0)</f>
        <v/>
      </c>
      <c r="CC128" s="13">
        <f>IFERROR(BA128/BR128*(BU128-BASELINE_CPR),0)</f>
        <v/>
      </c>
      <c r="CD128" s="13">
        <f>IFERROR(BB128/BR128*(BU128-BASELINE_CPR),0)</f>
        <v/>
      </c>
      <c r="CE128" s="13">
        <f>IFERROR(BC128/BR128*(BU128-BASELINE_CPR),0)</f>
        <v/>
      </c>
      <c r="CF128" s="13">
        <f>IFERROR(BD128/BR128*(BU128-BASELINE_CPR),0)</f>
        <v/>
      </c>
      <c r="CG128" s="13">
        <f>IFERROR(BE128/BR128*(BU128-BASELINE_CPR),0)</f>
        <v/>
      </c>
      <c r="CH128" s="13">
        <f>IFERROR(BF128/BR128*(BU128-BASELINE_CPR),0)</f>
        <v/>
      </c>
      <c r="CI128" s="13">
        <f>IFERROR(BG128/BR128*(BU128-BASELINE_CPR),0)</f>
        <v/>
      </c>
      <c r="CJ128" s="13">
        <f>IFERROR(BH128/BR128*(BU128-BASELINE_CPR),0)</f>
        <v/>
      </c>
      <c r="CK128" s="13">
        <f>IFERROR(BI128/BR128*(BU128-BASELINE_CPR),0)</f>
        <v/>
      </c>
      <c r="CL128" s="13">
        <f>IFERROR(BJ128/BR128*(BU128-BASELINE_CPR),0)</f>
        <v/>
      </c>
      <c r="CM128" s="13">
        <f>IFERROR(BK128/BR128*(BU128-BASELINE_CPR),0)</f>
        <v/>
      </c>
      <c r="CN128" s="13">
        <f>IFERROR(BL128/BR128*(BU128-BASELINE_CPR),0)</f>
        <v/>
      </c>
      <c r="CO128" s="13">
        <f>IFERROR(BM128/BR128*(BU128-BASELINE_CPR),0)</f>
        <v/>
      </c>
      <c r="CP128" s="13">
        <f>IFERROR(BN128/BR128*(BU128-BASELINE_CPR),0)</f>
        <v/>
      </c>
      <c r="CQ128" s="13">
        <f>IFERROR(BO128/BR128*(BU128-BASELINE_CPR),0)</f>
        <v/>
      </c>
      <c r="CR128" s="13">
        <f>IFERROR(BP128/BR128*(BU128-BASELINE_CPR),0)</f>
        <v/>
      </c>
      <c r="CS128" s="13">
        <f>IFERROR(BQ128/BR128*(BU128-BASELINE_CPR),0)</f>
        <v/>
      </c>
      <c r="CT128" s="29">
        <f>BASELINE_CPR+SUM(BV128:CS128)-BU128</f>
        <v/>
      </c>
    </row>
    <row r="129">
      <c r="A129" s="2" t="inlineStr">
        <is>
          <t>36177NU24_000000004211222</t>
        </is>
      </c>
      <c r="B129" t="inlineStr">
        <is>
          <t>MERCHANTS_PRE21</t>
        </is>
      </c>
      <c r="C129" s="2" t="inlineStr">
        <is>
          <t>36177NU24</t>
        </is>
      </c>
      <c r="D129" t="inlineStr">
        <is>
          <t>MERCHANTS CAPITAL SERVICING LLC</t>
        </is>
      </c>
      <c r="E129" t="inlineStr">
        <is>
          <t>223f</t>
        </is>
      </c>
      <c r="F129" t="inlineStr">
        <is>
          <t>RP</t>
        </is>
      </c>
      <c r="G129" t="n">
        <v>2013</v>
      </c>
      <c r="H129" t="inlineStr">
        <is>
          <t>202602</t>
        </is>
      </c>
      <c r="I129" s="22" t="n">
        <v>1650551.67</v>
      </c>
      <c r="J129" s="23" t="n">
        <v>3.75</v>
      </c>
      <c r="K129" s="24" t="n">
        <v>447</v>
      </c>
      <c r="L129" s="24" t="n">
        <v>0</v>
      </c>
      <c r="M129" t="n">
        <v>155</v>
      </c>
      <c r="N129" t="n">
        <v>37</v>
      </c>
      <c r="O129" t="n">
        <v>204804</v>
      </c>
      <c r="P129" t="inlineStr"/>
      <c r="Q129" t="inlineStr">
        <is>
          <t>4265</t>
        </is>
      </c>
      <c r="R129" t="n">
        <v>0</v>
      </c>
      <c r="S129" t="n">
        <v>0</v>
      </c>
      <c r="T129" t="n">
        <v>0</v>
      </c>
      <c r="U129" t="n">
        <v>0</v>
      </c>
      <c r="V129" s="24">
        <f>J129*100-K129</f>
        <v/>
      </c>
      <c r="W129" s="24">
        <f>L129</f>
        <v/>
      </c>
      <c r="X129" s="25">
        <f>MIN(M129,36)</f>
        <v/>
      </c>
      <c r="Y129" s="25">
        <f>MIN(MAX(M129-36,0),84)</f>
        <v/>
      </c>
      <c r="Z129" s="25">
        <f>MAX(M129-120,0)</f>
        <v/>
      </c>
      <c r="AA129" s="25">
        <f>IF(OR(O129="",NOT(ISNUMBER(O129))),360,MAX(0,MIN(480,(INT(O129/100)-INT(VALUE(H129)/100))*12+MOD(O129,100)-MOD(VALUE(H129),100))))</f>
        <v/>
      </c>
      <c r="AB129">
        <f>IF(AND(AA129&gt;0,AA129&lt;=24),1,0)</f>
        <v/>
      </c>
      <c r="AC129" s="25">
        <f>IF(OR(P129="",NOT(ISNUMBER(P129))),0,MAX(0,MIN(24,(INT(VALUE(H129)/100)-INT(P129/100))*12+MOD(VALUE(H129),100)-MOD(P129,100))))</f>
        <v/>
      </c>
      <c r="AD129" s="23">
        <f>LN(1+I129)</f>
        <v/>
      </c>
      <c r="AE129">
        <f>IF(I129&lt;2000000,1,0)</f>
        <v/>
      </c>
      <c r="AF129">
        <f>IF(I129&gt;50000000,1,0)</f>
        <v/>
      </c>
      <c r="AG129" s="23">
        <f>IF(ISNUMBER(M129),N129/MAX(M129,1),0)</f>
        <v/>
      </c>
      <c r="AH129">
        <f>IF(G129&gt;=2021,1,0)</f>
        <v/>
      </c>
      <c r="AI129">
        <f>S129</f>
        <v/>
      </c>
      <c r="AJ129">
        <f>T129</f>
        <v/>
      </c>
      <c r="AK129">
        <f>R129</f>
        <v/>
      </c>
      <c r="AL129">
        <f>U129</f>
        <v/>
      </c>
      <c r="AM129">
        <f>IF(ISNUMBER(SEARCH("CAPITAL FUNDING",D129)),1,0)</f>
        <v/>
      </c>
      <c r="AN129">
        <f>IF(ISNUMBER(SEARCH("PNC",D129)),1,0)</f>
        <v/>
      </c>
      <c r="AO129">
        <f>IF(ISNUMBER(SEARCH("WELLS FARGO",D129)),1,0)</f>
        <v/>
      </c>
      <c r="AP129">
        <f>IF(ISNUMBER(SEARCH("DWIGHT",D129)),1,0)</f>
        <v/>
      </c>
      <c r="AQ129">
        <f>IF(ISNUMBER(SEARCH("GREYSTONE",D129)),1,0)</f>
        <v/>
      </c>
      <c r="AR129">
        <f>IF(OR(Q129="3896",Q129="3557"),1,0)</f>
        <v/>
      </c>
      <c r="AS129" s="24">
        <f>V129*W129</f>
        <v/>
      </c>
      <c r="AT129" s="26">
        <f>V$4*(V129-V$3)</f>
        <v/>
      </c>
      <c r="AU129" s="26">
        <f>W$4*(W129-W$3)</f>
        <v/>
      </c>
      <c r="AV129" s="26">
        <f>X$4*(X129-X$3)</f>
        <v/>
      </c>
      <c r="AW129" s="26">
        <f>Y$4*(Y129-Y$3)</f>
        <v/>
      </c>
      <c r="AX129" s="26">
        <f>Z$4*(Z129-Z$3)</f>
        <v/>
      </c>
      <c r="AY129" s="26">
        <f>AA$4*(AA129-AA$3)</f>
        <v/>
      </c>
      <c r="AZ129" s="26">
        <f>AB$4*(AB129-AB$3)</f>
        <v/>
      </c>
      <c r="BA129" s="26">
        <f>AC$4*(AC129-AC$3)</f>
        <v/>
      </c>
      <c r="BB129" s="26">
        <f>AD$4*(AD129-AD$3)</f>
        <v/>
      </c>
      <c r="BC129" s="26">
        <f>AE$4*(AE129-AE$3)</f>
        <v/>
      </c>
      <c r="BD129" s="26">
        <f>AF$4*(AF129-AF$3)</f>
        <v/>
      </c>
      <c r="BE129" s="26">
        <f>AG$4*(AG129-AG$3)</f>
        <v/>
      </c>
      <c r="BF129" s="26">
        <f>AH$4*(AH129-AH$3)</f>
        <v/>
      </c>
      <c r="BG129" s="26">
        <f>AI$4*(AI129-AI$3)</f>
        <v/>
      </c>
      <c r="BH129" s="26">
        <f>AJ$4*(AJ129-AJ$3)</f>
        <v/>
      </c>
      <c r="BI129" s="26">
        <f>AK$4*(AK129-AK$3)</f>
        <v/>
      </c>
      <c r="BJ129" s="26">
        <f>AL$4*(AL129-AL$3)</f>
        <v/>
      </c>
      <c r="BK129" s="26">
        <f>AM$4*(AM129-AM$3)</f>
        <v/>
      </c>
      <c r="BL129" s="26">
        <f>AN$4*(AN129-AN$3)</f>
        <v/>
      </c>
      <c r="BM129" s="26">
        <f>AO$4*(AO129-AO$3)</f>
        <v/>
      </c>
      <c r="BN129" s="26">
        <f>AP$4*(AP129-AP$3)</f>
        <v/>
      </c>
      <c r="BO129" s="26">
        <f>AQ$4*(AQ129-AQ$3)</f>
        <v/>
      </c>
      <c r="BP129" s="26">
        <f>AR$4*(AR129-AR$3)</f>
        <v/>
      </c>
      <c r="BQ129" s="26">
        <f>AS$4*(AS129-AS$3)</f>
        <v/>
      </c>
      <c r="BR129" s="27">
        <f>SUM(AT129:BQ129)</f>
        <v/>
      </c>
      <c r="BS129" s="27">
        <f>INTERCEPT_SCALED+BR129</f>
        <v/>
      </c>
      <c r="BT129" s="28">
        <f>1/(1+EXP(-BS129))</f>
        <v/>
      </c>
      <c r="BU129" s="13">
        <f>1-(1-BT129)^12</f>
        <v/>
      </c>
      <c r="BV129" s="13">
        <f>IFERROR(AT129/BR129*(BU129-BASELINE_CPR),0)</f>
        <v/>
      </c>
      <c r="BW129" s="13">
        <f>IFERROR(AU129/BR129*(BU129-BASELINE_CPR),0)</f>
        <v/>
      </c>
      <c r="BX129" s="13">
        <f>IFERROR(AV129/BR129*(BU129-BASELINE_CPR),0)</f>
        <v/>
      </c>
      <c r="BY129" s="13">
        <f>IFERROR(AW129/BR129*(BU129-BASELINE_CPR),0)</f>
        <v/>
      </c>
      <c r="BZ129" s="13">
        <f>IFERROR(AX129/BR129*(BU129-BASELINE_CPR),0)</f>
        <v/>
      </c>
      <c r="CA129" s="13">
        <f>IFERROR(AY129/BR129*(BU129-BASELINE_CPR),0)</f>
        <v/>
      </c>
      <c r="CB129" s="13">
        <f>IFERROR(AZ129/BR129*(BU129-BASELINE_CPR),0)</f>
        <v/>
      </c>
      <c r="CC129" s="13">
        <f>IFERROR(BA129/BR129*(BU129-BASELINE_CPR),0)</f>
        <v/>
      </c>
      <c r="CD129" s="13">
        <f>IFERROR(BB129/BR129*(BU129-BASELINE_CPR),0)</f>
        <v/>
      </c>
      <c r="CE129" s="13">
        <f>IFERROR(BC129/BR129*(BU129-BASELINE_CPR),0)</f>
        <v/>
      </c>
      <c r="CF129" s="13">
        <f>IFERROR(BD129/BR129*(BU129-BASELINE_CPR),0)</f>
        <v/>
      </c>
      <c r="CG129" s="13">
        <f>IFERROR(BE129/BR129*(BU129-BASELINE_CPR),0)</f>
        <v/>
      </c>
      <c r="CH129" s="13">
        <f>IFERROR(BF129/BR129*(BU129-BASELINE_CPR),0)</f>
        <v/>
      </c>
      <c r="CI129" s="13">
        <f>IFERROR(BG129/BR129*(BU129-BASELINE_CPR),0)</f>
        <v/>
      </c>
      <c r="CJ129" s="13">
        <f>IFERROR(BH129/BR129*(BU129-BASELINE_CPR),0)</f>
        <v/>
      </c>
      <c r="CK129" s="13">
        <f>IFERROR(BI129/BR129*(BU129-BASELINE_CPR),0)</f>
        <v/>
      </c>
      <c r="CL129" s="13">
        <f>IFERROR(BJ129/BR129*(BU129-BASELINE_CPR),0)</f>
        <v/>
      </c>
      <c r="CM129" s="13">
        <f>IFERROR(BK129/BR129*(BU129-BASELINE_CPR),0)</f>
        <v/>
      </c>
      <c r="CN129" s="13">
        <f>IFERROR(BL129/BR129*(BU129-BASELINE_CPR),0)</f>
        <v/>
      </c>
      <c r="CO129" s="13">
        <f>IFERROR(BM129/BR129*(BU129-BASELINE_CPR),0)</f>
        <v/>
      </c>
      <c r="CP129" s="13">
        <f>IFERROR(BN129/BR129*(BU129-BASELINE_CPR),0)</f>
        <v/>
      </c>
      <c r="CQ129" s="13">
        <f>IFERROR(BO129/BR129*(BU129-BASELINE_CPR),0)</f>
        <v/>
      </c>
      <c r="CR129" s="13">
        <f>IFERROR(BP129/BR129*(BU129-BASELINE_CPR),0)</f>
        <v/>
      </c>
      <c r="CS129" s="13">
        <f>IFERROR(BQ129/BR129*(BU129-BASELINE_CPR),0)</f>
        <v/>
      </c>
      <c r="CT129" s="29">
        <f>BASELINE_CPR+SUM(BV129:CS129)-BU129</f>
        <v/>
      </c>
    </row>
    <row r="130">
      <c r="A130" s="2" t="inlineStr">
        <is>
          <t>3617VDVL6_000000008335751</t>
        </is>
      </c>
      <c r="B130" t="inlineStr">
        <is>
          <t>MERCHANTS_PRE21</t>
        </is>
      </c>
      <c r="C130" s="2" t="inlineStr">
        <is>
          <t>3617VDVL6</t>
        </is>
      </c>
      <c r="D130" t="inlineStr">
        <is>
          <t>MERCHANTS CAPITAL CORP.</t>
        </is>
      </c>
      <c r="E130" t="inlineStr">
        <is>
          <t>221d4</t>
        </is>
      </c>
      <c r="F130" t="inlineStr">
        <is>
          <t>NC</t>
        </is>
      </c>
      <c r="G130" t="n">
        <v>2018</v>
      </c>
      <c r="H130" t="inlineStr">
        <is>
          <t>202602</t>
        </is>
      </c>
      <c r="I130" s="22" t="n">
        <v>33199053.07</v>
      </c>
      <c r="J130" s="23" t="n">
        <v>3.64</v>
      </c>
      <c r="K130" s="24" t="n">
        <v>447</v>
      </c>
      <c r="L130" s="24" t="n">
        <v>7</v>
      </c>
      <c r="M130" t="n">
        <v>95</v>
      </c>
      <c r="N130" t="n">
        <v>8</v>
      </c>
      <c r="O130" t="n">
        <v>206004</v>
      </c>
      <c r="P130" t="n">
        <v>202206</v>
      </c>
      <c r="Q130" t="inlineStr">
        <is>
          <t>3487</t>
        </is>
      </c>
      <c r="R130" t="n">
        <v>0</v>
      </c>
      <c r="S130" t="n">
        <v>0</v>
      </c>
      <c r="T130" t="n">
        <v>0</v>
      </c>
      <c r="U130" t="n">
        <v>1</v>
      </c>
      <c r="V130" s="24">
        <f>J130*100-K130</f>
        <v/>
      </c>
      <c r="W130" s="24">
        <f>L130</f>
        <v/>
      </c>
      <c r="X130" s="25">
        <f>MIN(M130,36)</f>
        <v/>
      </c>
      <c r="Y130" s="25">
        <f>MIN(MAX(M130-36,0),84)</f>
        <v/>
      </c>
      <c r="Z130" s="25">
        <f>MAX(M130-120,0)</f>
        <v/>
      </c>
      <c r="AA130" s="25">
        <f>IF(OR(O130="",NOT(ISNUMBER(O130))),360,MAX(0,MIN(480,(INT(O130/100)-INT(VALUE(H130)/100))*12+MOD(O130,100)-MOD(VALUE(H130),100))))</f>
        <v/>
      </c>
      <c r="AB130">
        <f>IF(AND(AA130&gt;0,AA130&lt;=24),1,0)</f>
        <v/>
      </c>
      <c r="AC130" s="25">
        <f>IF(OR(P130="",NOT(ISNUMBER(P130))),0,MAX(0,MIN(24,(INT(VALUE(H130)/100)-INT(P130/100))*12+MOD(VALUE(H130),100)-MOD(P130,100))))</f>
        <v/>
      </c>
      <c r="AD130" s="23">
        <f>LN(1+I130)</f>
        <v/>
      </c>
      <c r="AE130">
        <f>IF(I130&lt;2000000,1,0)</f>
        <v/>
      </c>
      <c r="AF130">
        <f>IF(I130&gt;50000000,1,0)</f>
        <v/>
      </c>
      <c r="AG130" s="23">
        <f>IF(ISNUMBER(M130),N130/MAX(M130,1),0)</f>
        <v/>
      </c>
      <c r="AH130">
        <f>IF(G130&gt;=2021,1,0)</f>
        <v/>
      </c>
      <c r="AI130">
        <f>S130</f>
        <v/>
      </c>
      <c r="AJ130">
        <f>T130</f>
        <v/>
      </c>
      <c r="AK130">
        <f>R130</f>
        <v/>
      </c>
      <c r="AL130">
        <f>U130</f>
        <v/>
      </c>
      <c r="AM130">
        <f>IF(ISNUMBER(SEARCH("CAPITAL FUNDING",D130)),1,0)</f>
        <v/>
      </c>
      <c r="AN130">
        <f>IF(ISNUMBER(SEARCH("PNC",D130)),1,0)</f>
        <v/>
      </c>
      <c r="AO130">
        <f>IF(ISNUMBER(SEARCH("WELLS FARGO",D130)),1,0)</f>
        <v/>
      </c>
      <c r="AP130">
        <f>IF(ISNUMBER(SEARCH("DWIGHT",D130)),1,0)</f>
        <v/>
      </c>
      <c r="AQ130">
        <f>IF(ISNUMBER(SEARCH("GREYSTONE",D130)),1,0)</f>
        <v/>
      </c>
      <c r="AR130">
        <f>IF(OR(Q130="3896",Q130="3557"),1,0)</f>
        <v/>
      </c>
      <c r="AS130" s="24">
        <f>V130*W130</f>
        <v/>
      </c>
      <c r="AT130" s="26">
        <f>V$4*(V130-V$3)</f>
        <v/>
      </c>
      <c r="AU130" s="26">
        <f>W$4*(W130-W$3)</f>
        <v/>
      </c>
      <c r="AV130" s="26">
        <f>X$4*(X130-X$3)</f>
        <v/>
      </c>
      <c r="AW130" s="26">
        <f>Y$4*(Y130-Y$3)</f>
        <v/>
      </c>
      <c r="AX130" s="26">
        <f>Z$4*(Z130-Z$3)</f>
        <v/>
      </c>
      <c r="AY130" s="26">
        <f>AA$4*(AA130-AA$3)</f>
        <v/>
      </c>
      <c r="AZ130" s="26">
        <f>AB$4*(AB130-AB$3)</f>
        <v/>
      </c>
      <c r="BA130" s="26">
        <f>AC$4*(AC130-AC$3)</f>
        <v/>
      </c>
      <c r="BB130" s="26">
        <f>AD$4*(AD130-AD$3)</f>
        <v/>
      </c>
      <c r="BC130" s="26">
        <f>AE$4*(AE130-AE$3)</f>
        <v/>
      </c>
      <c r="BD130" s="26">
        <f>AF$4*(AF130-AF$3)</f>
        <v/>
      </c>
      <c r="BE130" s="26">
        <f>AG$4*(AG130-AG$3)</f>
        <v/>
      </c>
      <c r="BF130" s="26">
        <f>AH$4*(AH130-AH$3)</f>
        <v/>
      </c>
      <c r="BG130" s="26">
        <f>AI$4*(AI130-AI$3)</f>
        <v/>
      </c>
      <c r="BH130" s="26">
        <f>AJ$4*(AJ130-AJ$3)</f>
        <v/>
      </c>
      <c r="BI130" s="26">
        <f>AK$4*(AK130-AK$3)</f>
        <v/>
      </c>
      <c r="BJ130" s="26">
        <f>AL$4*(AL130-AL$3)</f>
        <v/>
      </c>
      <c r="BK130" s="26">
        <f>AM$4*(AM130-AM$3)</f>
        <v/>
      </c>
      <c r="BL130" s="26">
        <f>AN$4*(AN130-AN$3)</f>
        <v/>
      </c>
      <c r="BM130" s="26">
        <f>AO$4*(AO130-AO$3)</f>
        <v/>
      </c>
      <c r="BN130" s="26">
        <f>AP$4*(AP130-AP$3)</f>
        <v/>
      </c>
      <c r="BO130" s="26">
        <f>AQ$4*(AQ130-AQ$3)</f>
        <v/>
      </c>
      <c r="BP130" s="26">
        <f>AR$4*(AR130-AR$3)</f>
        <v/>
      </c>
      <c r="BQ130" s="26">
        <f>AS$4*(AS130-AS$3)</f>
        <v/>
      </c>
      <c r="BR130" s="27">
        <f>SUM(AT130:BQ130)</f>
        <v/>
      </c>
      <c r="BS130" s="27">
        <f>INTERCEPT_SCALED+BR130</f>
        <v/>
      </c>
      <c r="BT130" s="28">
        <f>1/(1+EXP(-BS130))</f>
        <v/>
      </c>
      <c r="BU130" s="13">
        <f>1-(1-BT130)^12</f>
        <v/>
      </c>
      <c r="BV130" s="13">
        <f>IFERROR(AT130/BR130*(BU130-BASELINE_CPR),0)</f>
        <v/>
      </c>
      <c r="BW130" s="13">
        <f>IFERROR(AU130/BR130*(BU130-BASELINE_CPR),0)</f>
        <v/>
      </c>
      <c r="BX130" s="13">
        <f>IFERROR(AV130/BR130*(BU130-BASELINE_CPR),0)</f>
        <v/>
      </c>
      <c r="BY130" s="13">
        <f>IFERROR(AW130/BR130*(BU130-BASELINE_CPR),0)</f>
        <v/>
      </c>
      <c r="BZ130" s="13">
        <f>IFERROR(AX130/BR130*(BU130-BASELINE_CPR),0)</f>
        <v/>
      </c>
      <c r="CA130" s="13">
        <f>IFERROR(AY130/BR130*(BU130-BASELINE_CPR),0)</f>
        <v/>
      </c>
      <c r="CB130" s="13">
        <f>IFERROR(AZ130/BR130*(BU130-BASELINE_CPR),0)</f>
        <v/>
      </c>
      <c r="CC130" s="13">
        <f>IFERROR(BA130/BR130*(BU130-BASELINE_CPR),0)</f>
        <v/>
      </c>
      <c r="CD130" s="13">
        <f>IFERROR(BB130/BR130*(BU130-BASELINE_CPR),0)</f>
        <v/>
      </c>
      <c r="CE130" s="13">
        <f>IFERROR(BC130/BR130*(BU130-BASELINE_CPR),0)</f>
        <v/>
      </c>
      <c r="CF130" s="13">
        <f>IFERROR(BD130/BR130*(BU130-BASELINE_CPR),0)</f>
        <v/>
      </c>
      <c r="CG130" s="13">
        <f>IFERROR(BE130/BR130*(BU130-BASELINE_CPR),0)</f>
        <v/>
      </c>
      <c r="CH130" s="13">
        <f>IFERROR(BF130/BR130*(BU130-BASELINE_CPR),0)</f>
        <v/>
      </c>
      <c r="CI130" s="13">
        <f>IFERROR(BG130/BR130*(BU130-BASELINE_CPR),0)</f>
        <v/>
      </c>
      <c r="CJ130" s="13">
        <f>IFERROR(BH130/BR130*(BU130-BASELINE_CPR),0)</f>
        <v/>
      </c>
      <c r="CK130" s="13">
        <f>IFERROR(BI130/BR130*(BU130-BASELINE_CPR),0)</f>
        <v/>
      </c>
      <c r="CL130" s="13">
        <f>IFERROR(BJ130/BR130*(BU130-BASELINE_CPR),0)</f>
        <v/>
      </c>
      <c r="CM130" s="13">
        <f>IFERROR(BK130/BR130*(BU130-BASELINE_CPR),0)</f>
        <v/>
      </c>
      <c r="CN130" s="13">
        <f>IFERROR(BL130/BR130*(BU130-BASELINE_CPR),0)</f>
        <v/>
      </c>
      <c r="CO130" s="13">
        <f>IFERROR(BM130/BR130*(BU130-BASELINE_CPR),0)</f>
        <v/>
      </c>
      <c r="CP130" s="13">
        <f>IFERROR(BN130/BR130*(BU130-BASELINE_CPR),0)</f>
        <v/>
      </c>
      <c r="CQ130" s="13">
        <f>IFERROR(BO130/BR130*(BU130-BASELINE_CPR),0)</f>
        <v/>
      </c>
      <c r="CR130" s="13">
        <f>IFERROR(BP130/BR130*(BU130-BASELINE_CPR),0)</f>
        <v/>
      </c>
      <c r="CS130" s="13">
        <f>IFERROR(BQ130/BR130*(BU130-BASELINE_CPR),0)</f>
        <v/>
      </c>
      <c r="CT130" s="29">
        <f>BASELINE_CPR+SUM(BV130:CS130)-BU130</f>
        <v/>
      </c>
    </row>
    <row r="131">
      <c r="A131" s="2" t="inlineStr">
        <is>
          <t>3617Y4HL9_000000006135951</t>
        </is>
      </c>
      <c r="B131" t="inlineStr">
        <is>
          <t>MERCHANTS_POST21</t>
        </is>
      </c>
      <c r="C131" s="2" t="inlineStr">
        <is>
          <t>3617Y4HL9</t>
        </is>
      </c>
      <c r="D131" t="inlineStr">
        <is>
          <t>MERCHANTS CAPITAL CORP.</t>
        </is>
      </c>
      <c r="E131" t="inlineStr">
        <is>
          <t>221d4</t>
        </is>
      </c>
      <c r="F131" t="inlineStr">
        <is>
          <t>NC</t>
        </is>
      </c>
      <c r="G131" t="n">
        <v>2022</v>
      </c>
      <c r="H131" t="inlineStr">
        <is>
          <t>202602</t>
        </is>
      </c>
      <c r="I131" s="22" t="n">
        <v>14907417.95</v>
      </c>
      <c r="J131" s="23" t="n">
        <v>2.85</v>
      </c>
      <c r="K131" s="24" t="n">
        <v>447</v>
      </c>
      <c r="L131" s="24" t="n">
        <v>9</v>
      </c>
      <c r="M131" t="n">
        <v>49</v>
      </c>
      <c r="N131" t="n">
        <v>0</v>
      </c>
      <c r="O131" t="n">
        <v>206405</v>
      </c>
      <c r="P131" t="inlineStr"/>
      <c r="Q131" t="inlineStr">
        <is>
          <t>3487</t>
        </is>
      </c>
      <c r="R131" t="n">
        <v>0</v>
      </c>
      <c r="S131" t="n">
        <v>0</v>
      </c>
      <c r="T131" t="n">
        <v>0</v>
      </c>
      <c r="U131" t="n">
        <v>1</v>
      </c>
      <c r="V131" s="24">
        <f>J131*100-K131</f>
        <v/>
      </c>
      <c r="W131" s="24">
        <f>L131</f>
        <v/>
      </c>
      <c r="X131" s="25">
        <f>MIN(M131,36)</f>
        <v/>
      </c>
      <c r="Y131" s="25">
        <f>MIN(MAX(M131-36,0),84)</f>
        <v/>
      </c>
      <c r="Z131" s="25">
        <f>MAX(M131-120,0)</f>
        <v/>
      </c>
      <c r="AA131" s="25">
        <f>IF(OR(O131="",NOT(ISNUMBER(O131))),360,MAX(0,MIN(480,(INT(O131/100)-INT(VALUE(H131)/100))*12+MOD(O131,100)-MOD(VALUE(H131),100))))</f>
        <v/>
      </c>
      <c r="AB131">
        <f>IF(AND(AA131&gt;0,AA131&lt;=24),1,0)</f>
        <v/>
      </c>
      <c r="AC131" s="25">
        <f>IF(OR(P131="",NOT(ISNUMBER(P131))),0,MAX(0,MIN(24,(INT(VALUE(H131)/100)-INT(P131/100))*12+MOD(VALUE(H131),100)-MOD(P131,100))))</f>
        <v/>
      </c>
      <c r="AD131" s="23">
        <f>LN(1+I131)</f>
        <v/>
      </c>
      <c r="AE131">
        <f>IF(I131&lt;2000000,1,0)</f>
        <v/>
      </c>
      <c r="AF131">
        <f>IF(I131&gt;50000000,1,0)</f>
        <v/>
      </c>
      <c r="AG131" s="23">
        <f>IF(ISNUMBER(M131),N131/MAX(M131,1),0)</f>
        <v/>
      </c>
      <c r="AH131">
        <f>IF(G131&gt;=2021,1,0)</f>
        <v/>
      </c>
      <c r="AI131">
        <f>S131</f>
        <v/>
      </c>
      <c r="AJ131">
        <f>T131</f>
        <v/>
      </c>
      <c r="AK131">
        <f>R131</f>
        <v/>
      </c>
      <c r="AL131">
        <f>U131</f>
        <v/>
      </c>
      <c r="AM131">
        <f>IF(ISNUMBER(SEARCH("CAPITAL FUNDING",D131)),1,0)</f>
        <v/>
      </c>
      <c r="AN131">
        <f>IF(ISNUMBER(SEARCH("PNC",D131)),1,0)</f>
        <v/>
      </c>
      <c r="AO131">
        <f>IF(ISNUMBER(SEARCH("WELLS FARGO",D131)),1,0)</f>
        <v/>
      </c>
      <c r="AP131">
        <f>IF(ISNUMBER(SEARCH("DWIGHT",D131)),1,0)</f>
        <v/>
      </c>
      <c r="AQ131">
        <f>IF(ISNUMBER(SEARCH("GREYSTONE",D131)),1,0)</f>
        <v/>
      </c>
      <c r="AR131">
        <f>IF(OR(Q131="3896",Q131="3557"),1,0)</f>
        <v/>
      </c>
      <c r="AS131" s="24">
        <f>V131*W131</f>
        <v/>
      </c>
      <c r="AT131" s="26">
        <f>V$4*(V131-V$3)</f>
        <v/>
      </c>
      <c r="AU131" s="26">
        <f>W$4*(W131-W$3)</f>
        <v/>
      </c>
      <c r="AV131" s="26">
        <f>X$4*(X131-X$3)</f>
        <v/>
      </c>
      <c r="AW131" s="26">
        <f>Y$4*(Y131-Y$3)</f>
        <v/>
      </c>
      <c r="AX131" s="26">
        <f>Z$4*(Z131-Z$3)</f>
        <v/>
      </c>
      <c r="AY131" s="26">
        <f>AA$4*(AA131-AA$3)</f>
        <v/>
      </c>
      <c r="AZ131" s="26">
        <f>AB$4*(AB131-AB$3)</f>
        <v/>
      </c>
      <c r="BA131" s="26">
        <f>AC$4*(AC131-AC$3)</f>
        <v/>
      </c>
      <c r="BB131" s="26">
        <f>AD$4*(AD131-AD$3)</f>
        <v/>
      </c>
      <c r="BC131" s="26">
        <f>AE$4*(AE131-AE$3)</f>
        <v/>
      </c>
      <c r="BD131" s="26">
        <f>AF$4*(AF131-AF$3)</f>
        <v/>
      </c>
      <c r="BE131" s="26">
        <f>AG$4*(AG131-AG$3)</f>
        <v/>
      </c>
      <c r="BF131" s="26">
        <f>AH$4*(AH131-AH$3)</f>
        <v/>
      </c>
      <c r="BG131" s="26">
        <f>AI$4*(AI131-AI$3)</f>
        <v/>
      </c>
      <c r="BH131" s="26">
        <f>AJ$4*(AJ131-AJ$3)</f>
        <v/>
      </c>
      <c r="BI131" s="26">
        <f>AK$4*(AK131-AK$3)</f>
        <v/>
      </c>
      <c r="BJ131" s="26">
        <f>AL$4*(AL131-AL$3)</f>
        <v/>
      </c>
      <c r="BK131" s="26">
        <f>AM$4*(AM131-AM$3)</f>
        <v/>
      </c>
      <c r="BL131" s="26">
        <f>AN$4*(AN131-AN$3)</f>
        <v/>
      </c>
      <c r="BM131" s="26">
        <f>AO$4*(AO131-AO$3)</f>
        <v/>
      </c>
      <c r="BN131" s="26">
        <f>AP$4*(AP131-AP$3)</f>
        <v/>
      </c>
      <c r="BO131" s="26">
        <f>AQ$4*(AQ131-AQ$3)</f>
        <v/>
      </c>
      <c r="BP131" s="26">
        <f>AR$4*(AR131-AR$3)</f>
        <v/>
      </c>
      <c r="BQ131" s="26">
        <f>AS$4*(AS131-AS$3)</f>
        <v/>
      </c>
      <c r="BR131" s="27">
        <f>SUM(AT131:BQ131)</f>
        <v/>
      </c>
      <c r="BS131" s="27">
        <f>INTERCEPT_SCALED+BR131</f>
        <v/>
      </c>
      <c r="BT131" s="28">
        <f>1/(1+EXP(-BS131))</f>
        <v/>
      </c>
      <c r="BU131" s="13">
        <f>1-(1-BT131)^12</f>
        <v/>
      </c>
      <c r="BV131" s="13">
        <f>IFERROR(AT131/BR131*(BU131-BASELINE_CPR),0)</f>
        <v/>
      </c>
      <c r="BW131" s="13">
        <f>IFERROR(AU131/BR131*(BU131-BASELINE_CPR),0)</f>
        <v/>
      </c>
      <c r="BX131" s="13">
        <f>IFERROR(AV131/BR131*(BU131-BASELINE_CPR),0)</f>
        <v/>
      </c>
      <c r="BY131" s="13">
        <f>IFERROR(AW131/BR131*(BU131-BASELINE_CPR),0)</f>
        <v/>
      </c>
      <c r="BZ131" s="13">
        <f>IFERROR(AX131/BR131*(BU131-BASELINE_CPR),0)</f>
        <v/>
      </c>
      <c r="CA131" s="13">
        <f>IFERROR(AY131/BR131*(BU131-BASELINE_CPR),0)</f>
        <v/>
      </c>
      <c r="CB131" s="13">
        <f>IFERROR(AZ131/BR131*(BU131-BASELINE_CPR),0)</f>
        <v/>
      </c>
      <c r="CC131" s="13">
        <f>IFERROR(BA131/BR131*(BU131-BASELINE_CPR),0)</f>
        <v/>
      </c>
      <c r="CD131" s="13">
        <f>IFERROR(BB131/BR131*(BU131-BASELINE_CPR),0)</f>
        <v/>
      </c>
      <c r="CE131" s="13">
        <f>IFERROR(BC131/BR131*(BU131-BASELINE_CPR),0)</f>
        <v/>
      </c>
      <c r="CF131" s="13">
        <f>IFERROR(BD131/BR131*(BU131-BASELINE_CPR),0)</f>
        <v/>
      </c>
      <c r="CG131" s="13">
        <f>IFERROR(BE131/BR131*(BU131-BASELINE_CPR),0)</f>
        <v/>
      </c>
      <c r="CH131" s="13">
        <f>IFERROR(BF131/BR131*(BU131-BASELINE_CPR),0)</f>
        <v/>
      </c>
      <c r="CI131" s="13">
        <f>IFERROR(BG131/BR131*(BU131-BASELINE_CPR),0)</f>
        <v/>
      </c>
      <c r="CJ131" s="13">
        <f>IFERROR(BH131/BR131*(BU131-BASELINE_CPR),0)</f>
        <v/>
      </c>
      <c r="CK131" s="13">
        <f>IFERROR(BI131/BR131*(BU131-BASELINE_CPR),0)</f>
        <v/>
      </c>
      <c r="CL131" s="13">
        <f>IFERROR(BJ131/BR131*(BU131-BASELINE_CPR),0)</f>
        <v/>
      </c>
      <c r="CM131" s="13">
        <f>IFERROR(BK131/BR131*(BU131-BASELINE_CPR),0)</f>
        <v/>
      </c>
      <c r="CN131" s="13">
        <f>IFERROR(BL131/BR131*(BU131-BASELINE_CPR),0)</f>
        <v/>
      </c>
      <c r="CO131" s="13">
        <f>IFERROR(BM131/BR131*(BU131-BASELINE_CPR),0)</f>
        <v/>
      </c>
      <c r="CP131" s="13">
        <f>IFERROR(BN131/BR131*(BU131-BASELINE_CPR),0)</f>
        <v/>
      </c>
      <c r="CQ131" s="13">
        <f>IFERROR(BO131/BR131*(BU131-BASELINE_CPR),0)</f>
        <v/>
      </c>
      <c r="CR131" s="13">
        <f>IFERROR(BP131/BR131*(BU131-BASELINE_CPR),0)</f>
        <v/>
      </c>
      <c r="CS131" s="13">
        <f>IFERROR(BQ131/BR131*(BU131-BASELINE_CPR),0)</f>
        <v/>
      </c>
      <c r="CT131" s="29">
        <f>BASELINE_CPR+SUM(BV131:CS131)-BU131</f>
        <v/>
      </c>
    </row>
    <row r="132">
      <c r="A132" s="2" t="inlineStr">
        <is>
          <t>36294WL71_040036388457355</t>
        </is>
      </c>
      <c r="B132" t="inlineStr">
        <is>
          <t>MERCHANTS_PRE21</t>
        </is>
      </c>
      <c r="C132" s="2" t="inlineStr">
        <is>
          <t>36294WL71</t>
        </is>
      </c>
      <c r="D132" t="inlineStr">
        <is>
          <t>MERCHANTS CAPITAL CORP.</t>
        </is>
      </c>
      <c r="E132" t="inlineStr">
        <is>
          <t>OTHER</t>
        </is>
      </c>
      <c r="F132" t="inlineStr">
        <is>
          <t>OTHER</t>
        </is>
      </c>
      <c r="G132" t="n">
        <v>2007</v>
      </c>
      <c r="H132" t="inlineStr">
        <is>
          <t>202602</t>
        </is>
      </c>
      <c r="I132" s="22" t="n">
        <v>359130.32</v>
      </c>
      <c r="J132" s="23" t="n">
        <v>7.28</v>
      </c>
      <c r="K132" s="24" t="n">
        <v>447</v>
      </c>
      <c r="L132" s="24" t="n">
        <v>0</v>
      </c>
      <c r="M132" t="n">
        <v>219</v>
      </c>
      <c r="N132" t="n">
        <v>37</v>
      </c>
      <c r="O132" t="n">
        <v>204711</v>
      </c>
      <c r="P132" t="n">
        <v>200811</v>
      </c>
      <c r="Q132" t="inlineStr">
        <is>
          <t>3487</t>
        </is>
      </c>
      <c r="R132" t="n">
        <v>0</v>
      </c>
      <c r="S132" t="n">
        <v>0</v>
      </c>
      <c r="T132" t="n">
        <v>0</v>
      </c>
      <c r="U132" t="n">
        <v>0</v>
      </c>
      <c r="V132" s="24">
        <f>J132*100-K132</f>
        <v/>
      </c>
      <c r="W132" s="24">
        <f>L132</f>
        <v/>
      </c>
      <c r="X132" s="25">
        <f>MIN(M132,36)</f>
        <v/>
      </c>
      <c r="Y132" s="25">
        <f>MIN(MAX(M132-36,0),84)</f>
        <v/>
      </c>
      <c r="Z132" s="25">
        <f>MAX(M132-120,0)</f>
        <v/>
      </c>
      <c r="AA132" s="25">
        <f>IF(OR(O132="",NOT(ISNUMBER(O132))),360,MAX(0,MIN(480,(INT(O132/100)-INT(VALUE(H132)/100))*12+MOD(O132,100)-MOD(VALUE(H132),100))))</f>
        <v/>
      </c>
      <c r="AB132">
        <f>IF(AND(AA132&gt;0,AA132&lt;=24),1,0)</f>
        <v/>
      </c>
      <c r="AC132" s="25">
        <f>IF(OR(P132="",NOT(ISNUMBER(P132))),0,MAX(0,MIN(24,(INT(VALUE(H132)/100)-INT(P132/100))*12+MOD(VALUE(H132),100)-MOD(P132,100))))</f>
        <v/>
      </c>
      <c r="AD132" s="23">
        <f>LN(1+I132)</f>
        <v/>
      </c>
      <c r="AE132">
        <f>IF(I132&lt;2000000,1,0)</f>
        <v/>
      </c>
      <c r="AF132">
        <f>IF(I132&gt;50000000,1,0)</f>
        <v/>
      </c>
      <c r="AG132" s="23">
        <f>IF(ISNUMBER(M132),N132/MAX(M132,1),0)</f>
        <v/>
      </c>
      <c r="AH132">
        <f>IF(G132&gt;=2021,1,0)</f>
        <v/>
      </c>
      <c r="AI132">
        <f>S132</f>
        <v/>
      </c>
      <c r="AJ132">
        <f>T132</f>
        <v/>
      </c>
      <c r="AK132">
        <f>R132</f>
        <v/>
      </c>
      <c r="AL132">
        <f>U132</f>
        <v/>
      </c>
      <c r="AM132">
        <f>IF(ISNUMBER(SEARCH("CAPITAL FUNDING",D132)),1,0)</f>
        <v/>
      </c>
      <c r="AN132">
        <f>IF(ISNUMBER(SEARCH("PNC",D132)),1,0)</f>
        <v/>
      </c>
      <c r="AO132">
        <f>IF(ISNUMBER(SEARCH("WELLS FARGO",D132)),1,0)</f>
        <v/>
      </c>
      <c r="AP132">
        <f>IF(ISNUMBER(SEARCH("DWIGHT",D132)),1,0)</f>
        <v/>
      </c>
      <c r="AQ132">
        <f>IF(ISNUMBER(SEARCH("GREYSTONE",D132)),1,0)</f>
        <v/>
      </c>
      <c r="AR132">
        <f>IF(OR(Q132="3896",Q132="3557"),1,0)</f>
        <v/>
      </c>
      <c r="AS132" s="24">
        <f>V132*W132</f>
        <v/>
      </c>
      <c r="AT132" s="26">
        <f>V$4*(V132-V$3)</f>
        <v/>
      </c>
      <c r="AU132" s="26">
        <f>W$4*(W132-W$3)</f>
        <v/>
      </c>
      <c r="AV132" s="26">
        <f>X$4*(X132-X$3)</f>
        <v/>
      </c>
      <c r="AW132" s="26">
        <f>Y$4*(Y132-Y$3)</f>
        <v/>
      </c>
      <c r="AX132" s="26">
        <f>Z$4*(Z132-Z$3)</f>
        <v/>
      </c>
      <c r="AY132" s="26">
        <f>AA$4*(AA132-AA$3)</f>
        <v/>
      </c>
      <c r="AZ132" s="26">
        <f>AB$4*(AB132-AB$3)</f>
        <v/>
      </c>
      <c r="BA132" s="26">
        <f>AC$4*(AC132-AC$3)</f>
        <v/>
      </c>
      <c r="BB132" s="26">
        <f>AD$4*(AD132-AD$3)</f>
        <v/>
      </c>
      <c r="BC132" s="26">
        <f>AE$4*(AE132-AE$3)</f>
        <v/>
      </c>
      <c r="BD132" s="26">
        <f>AF$4*(AF132-AF$3)</f>
        <v/>
      </c>
      <c r="BE132" s="26">
        <f>AG$4*(AG132-AG$3)</f>
        <v/>
      </c>
      <c r="BF132" s="26">
        <f>AH$4*(AH132-AH$3)</f>
        <v/>
      </c>
      <c r="BG132" s="26">
        <f>AI$4*(AI132-AI$3)</f>
        <v/>
      </c>
      <c r="BH132" s="26">
        <f>AJ$4*(AJ132-AJ$3)</f>
        <v/>
      </c>
      <c r="BI132" s="26">
        <f>AK$4*(AK132-AK$3)</f>
        <v/>
      </c>
      <c r="BJ132" s="26">
        <f>AL$4*(AL132-AL$3)</f>
        <v/>
      </c>
      <c r="BK132" s="26">
        <f>AM$4*(AM132-AM$3)</f>
        <v/>
      </c>
      <c r="BL132" s="26">
        <f>AN$4*(AN132-AN$3)</f>
        <v/>
      </c>
      <c r="BM132" s="26">
        <f>AO$4*(AO132-AO$3)</f>
        <v/>
      </c>
      <c r="BN132" s="26">
        <f>AP$4*(AP132-AP$3)</f>
        <v/>
      </c>
      <c r="BO132" s="26">
        <f>AQ$4*(AQ132-AQ$3)</f>
        <v/>
      </c>
      <c r="BP132" s="26">
        <f>AR$4*(AR132-AR$3)</f>
        <v/>
      </c>
      <c r="BQ132" s="26">
        <f>AS$4*(AS132-AS$3)</f>
        <v/>
      </c>
      <c r="BR132" s="27">
        <f>SUM(AT132:BQ132)</f>
        <v/>
      </c>
      <c r="BS132" s="27">
        <f>INTERCEPT_SCALED+BR132</f>
        <v/>
      </c>
      <c r="BT132" s="28">
        <f>1/(1+EXP(-BS132))</f>
        <v/>
      </c>
      <c r="BU132" s="13">
        <f>1-(1-BT132)^12</f>
        <v/>
      </c>
      <c r="BV132" s="13">
        <f>IFERROR(AT132/BR132*(BU132-BASELINE_CPR),0)</f>
        <v/>
      </c>
      <c r="BW132" s="13">
        <f>IFERROR(AU132/BR132*(BU132-BASELINE_CPR),0)</f>
        <v/>
      </c>
      <c r="BX132" s="13">
        <f>IFERROR(AV132/BR132*(BU132-BASELINE_CPR),0)</f>
        <v/>
      </c>
      <c r="BY132" s="13">
        <f>IFERROR(AW132/BR132*(BU132-BASELINE_CPR),0)</f>
        <v/>
      </c>
      <c r="BZ132" s="13">
        <f>IFERROR(AX132/BR132*(BU132-BASELINE_CPR),0)</f>
        <v/>
      </c>
      <c r="CA132" s="13">
        <f>IFERROR(AY132/BR132*(BU132-BASELINE_CPR),0)</f>
        <v/>
      </c>
      <c r="CB132" s="13">
        <f>IFERROR(AZ132/BR132*(BU132-BASELINE_CPR),0)</f>
        <v/>
      </c>
      <c r="CC132" s="13">
        <f>IFERROR(BA132/BR132*(BU132-BASELINE_CPR),0)</f>
        <v/>
      </c>
      <c r="CD132" s="13">
        <f>IFERROR(BB132/BR132*(BU132-BASELINE_CPR),0)</f>
        <v/>
      </c>
      <c r="CE132" s="13">
        <f>IFERROR(BC132/BR132*(BU132-BASELINE_CPR),0)</f>
        <v/>
      </c>
      <c r="CF132" s="13">
        <f>IFERROR(BD132/BR132*(BU132-BASELINE_CPR),0)</f>
        <v/>
      </c>
      <c r="CG132" s="13">
        <f>IFERROR(BE132/BR132*(BU132-BASELINE_CPR),0)</f>
        <v/>
      </c>
      <c r="CH132" s="13">
        <f>IFERROR(BF132/BR132*(BU132-BASELINE_CPR),0)</f>
        <v/>
      </c>
      <c r="CI132" s="13">
        <f>IFERROR(BG132/BR132*(BU132-BASELINE_CPR),0)</f>
        <v/>
      </c>
      <c r="CJ132" s="13">
        <f>IFERROR(BH132/BR132*(BU132-BASELINE_CPR),0)</f>
        <v/>
      </c>
      <c r="CK132" s="13">
        <f>IFERROR(BI132/BR132*(BU132-BASELINE_CPR),0)</f>
        <v/>
      </c>
      <c r="CL132" s="13">
        <f>IFERROR(BJ132/BR132*(BU132-BASELINE_CPR),0)</f>
        <v/>
      </c>
      <c r="CM132" s="13">
        <f>IFERROR(BK132/BR132*(BU132-BASELINE_CPR),0)</f>
        <v/>
      </c>
      <c r="CN132" s="13">
        <f>IFERROR(BL132/BR132*(BU132-BASELINE_CPR),0)</f>
        <v/>
      </c>
      <c r="CO132" s="13">
        <f>IFERROR(BM132/BR132*(BU132-BASELINE_CPR),0)</f>
        <v/>
      </c>
      <c r="CP132" s="13">
        <f>IFERROR(BN132/BR132*(BU132-BASELINE_CPR),0)</f>
        <v/>
      </c>
      <c r="CQ132" s="13">
        <f>IFERROR(BO132/BR132*(BU132-BASELINE_CPR),0)</f>
        <v/>
      </c>
      <c r="CR132" s="13">
        <f>IFERROR(BP132/BR132*(BU132-BASELINE_CPR),0)</f>
        <v/>
      </c>
      <c r="CS132" s="13">
        <f>IFERROR(BQ132/BR132*(BU132-BASELINE_CPR),0)</f>
        <v/>
      </c>
      <c r="CT132" s="29">
        <f>BASELINE_CPR+SUM(BV132:CS132)-BU132</f>
        <v/>
      </c>
    </row>
    <row r="133">
      <c r="A133" s="2" t="inlineStr">
        <is>
          <t>3617NHS55_000000007211147</t>
        </is>
      </c>
      <c r="B133" t="inlineStr">
        <is>
          <t>MERCHANTS_PRE21</t>
        </is>
      </c>
      <c r="C133" s="2" t="inlineStr">
        <is>
          <t>3617NHS55</t>
        </is>
      </c>
      <c r="D133" t="inlineStr">
        <is>
          <t>MERCHANTS CAPITAL CORP.</t>
        </is>
      </c>
      <c r="E133" t="inlineStr">
        <is>
          <t>223f</t>
        </is>
      </c>
      <c r="F133" t="inlineStr">
        <is>
          <t>RP</t>
        </is>
      </c>
      <c r="G133" t="n">
        <v>2014</v>
      </c>
      <c r="H133" t="inlineStr">
        <is>
          <t>202602</t>
        </is>
      </c>
      <c r="I133" s="22" t="n">
        <v>4604677.56</v>
      </c>
      <c r="J133" s="23" t="n">
        <v>2.92</v>
      </c>
      <c r="K133" s="24" t="n">
        <v>447</v>
      </c>
      <c r="L133" s="24" t="n">
        <v>4</v>
      </c>
      <c r="M133" t="n">
        <v>135</v>
      </c>
      <c r="N133" t="n">
        <v>10</v>
      </c>
      <c r="O133" t="n">
        <v>204912</v>
      </c>
      <c r="P133" t="inlineStr"/>
      <c r="Q133" t="inlineStr">
        <is>
          <t>3487</t>
        </is>
      </c>
      <c r="R133" t="n">
        <v>0</v>
      </c>
      <c r="S133" t="n">
        <v>0</v>
      </c>
      <c r="T133" t="n">
        <v>0</v>
      </c>
      <c r="U133" t="n">
        <v>0</v>
      </c>
      <c r="V133" s="24">
        <f>J133*100-K133</f>
        <v/>
      </c>
      <c r="W133" s="24">
        <f>L133</f>
        <v/>
      </c>
      <c r="X133" s="25">
        <f>MIN(M133,36)</f>
        <v/>
      </c>
      <c r="Y133" s="25">
        <f>MIN(MAX(M133-36,0),84)</f>
        <v/>
      </c>
      <c r="Z133" s="25">
        <f>MAX(M133-120,0)</f>
        <v/>
      </c>
      <c r="AA133" s="25">
        <f>IF(OR(O133="",NOT(ISNUMBER(O133))),360,MAX(0,MIN(480,(INT(O133/100)-INT(VALUE(H133)/100))*12+MOD(O133,100)-MOD(VALUE(H133),100))))</f>
        <v/>
      </c>
      <c r="AB133">
        <f>IF(AND(AA133&gt;0,AA133&lt;=24),1,0)</f>
        <v/>
      </c>
      <c r="AC133" s="25">
        <f>IF(OR(P133="",NOT(ISNUMBER(P133))),0,MAX(0,MIN(24,(INT(VALUE(H133)/100)-INT(P133/100))*12+MOD(VALUE(H133),100)-MOD(P133,100))))</f>
        <v/>
      </c>
      <c r="AD133" s="23">
        <f>LN(1+I133)</f>
        <v/>
      </c>
      <c r="AE133">
        <f>IF(I133&lt;2000000,1,0)</f>
        <v/>
      </c>
      <c r="AF133">
        <f>IF(I133&gt;50000000,1,0)</f>
        <v/>
      </c>
      <c r="AG133" s="23">
        <f>IF(ISNUMBER(M133),N133/MAX(M133,1),0)</f>
        <v/>
      </c>
      <c r="AH133">
        <f>IF(G133&gt;=2021,1,0)</f>
        <v/>
      </c>
      <c r="AI133">
        <f>S133</f>
        <v/>
      </c>
      <c r="AJ133">
        <f>T133</f>
        <v/>
      </c>
      <c r="AK133">
        <f>R133</f>
        <v/>
      </c>
      <c r="AL133">
        <f>U133</f>
        <v/>
      </c>
      <c r="AM133">
        <f>IF(ISNUMBER(SEARCH("CAPITAL FUNDING",D133)),1,0)</f>
        <v/>
      </c>
      <c r="AN133">
        <f>IF(ISNUMBER(SEARCH("PNC",D133)),1,0)</f>
        <v/>
      </c>
      <c r="AO133">
        <f>IF(ISNUMBER(SEARCH("WELLS FARGO",D133)),1,0)</f>
        <v/>
      </c>
      <c r="AP133">
        <f>IF(ISNUMBER(SEARCH("DWIGHT",D133)),1,0)</f>
        <v/>
      </c>
      <c r="AQ133">
        <f>IF(ISNUMBER(SEARCH("GREYSTONE",D133)),1,0)</f>
        <v/>
      </c>
      <c r="AR133">
        <f>IF(OR(Q133="3896",Q133="3557"),1,0)</f>
        <v/>
      </c>
      <c r="AS133" s="24">
        <f>V133*W133</f>
        <v/>
      </c>
      <c r="AT133" s="26">
        <f>V$4*(V133-V$3)</f>
        <v/>
      </c>
      <c r="AU133" s="26">
        <f>W$4*(W133-W$3)</f>
        <v/>
      </c>
      <c r="AV133" s="26">
        <f>X$4*(X133-X$3)</f>
        <v/>
      </c>
      <c r="AW133" s="26">
        <f>Y$4*(Y133-Y$3)</f>
        <v/>
      </c>
      <c r="AX133" s="26">
        <f>Z$4*(Z133-Z$3)</f>
        <v/>
      </c>
      <c r="AY133" s="26">
        <f>AA$4*(AA133-AA$3)</f>
        <v/>
      </c>
      <c r="AZ133" s="26">
        <f>AB$4*(AB133-AB$3)</f>
        <v/>
      </c>
      <c r="BA133" s="26">
        <f>AC$4*(AC133-AC$3)</f>
        <v/>
      </c>
      <c r="BB133" s="26">
        <f>AD$4*(AD133-AD$3)</f>
        <v/>
      </c>
      <c r="BC133" s="26">
        <f>AE$4*(AE133-AE$3)</f>
        <v/>
      </c>
      <c r="BD133" s="26">
        <f>AF$4*(AF133-AF$3)</f>
        <v/>
      </c>
      <c r="BE133" s="26">
        <f>AG$4*(AG133-AG$3)</f>
        <v/>
      </c>
      <c r="BF133" s="26">
        <f>AH$4*(AH133-AH$3)</f>
        <v/>
      </c>
      <c r="BG133" s="26">
        <f>AI$4*(AI133-AI$3)</f>
        <v/>
      </c>
      <c r="BH133" s="26">
        <f>AJ$4*(AJ133-AJ$3)</f>
        <v/>
      </c>
      <c r="BI133" s="26">
        <f>AK$4*(AK133-AK$3)</f>
        <v/>
      </c>
      <c r="BJ133" s="26">
        <f>AL$4*(AL133-AL$3)</f>
        <v/>
      </c>
      <c r="BK133" s="26">
        <f>AM$4*(AM133-AM$3)</f>
        <v/>
      </c>
      <c r="BL133" s="26">
        <f>AN$4*(AN133-AN$3)</f>
        <v/>
      </c>
      <c r="BM133" s="26">
        <f>AO$4*(AO133-AO$3)</f>
        <v/>
      </c>
      <c r="BN133" s="26">
        <f>AP$4*(AP133-AP$3)</f>
        <v/>
      </c>
      <c r="BO133" s="26">
        <f>AQ$4*(AQ133-AQ$3)</f>
        <v/>
      </c>
      <c r="BP133" s="26">
        <f>AR$4*(AR133-AR$3)</f>
        <v/>
      </c>
      <c r="BQ133" s="26">
        <f>AS$4*(AS133-AS$3)</f>
        <v/>
      </c>
      <c r="BR133" s="27">
        <f>SUM(AT133:BQ133)</f>
        <v/>
      </c>
      <c r="BS133" s="27">
        <f>INTERCEPT_SCALED+BR133</f>
        <v/>
      </c>
      <c r="BT133" s="28">
        <f>1/(1+EXP(-BS133))</f>
        <v/>
      </c>
      <c r="BU133" s="13">
        <f>1-(1-BT133)^12</f>
        <v/>
      </c>
      <c r="BV133" s="13">
        <f>IFERROR(AT133/BR133*(BU133-BASELINE_CPR),0)</f>
        <v/>
      </c>
      <c r="BW133" s="13">
        <f>IFERROR(AU133/BR133*(BU133-BASELINE_CPR),0)</f>
        <v/>
      </c>
      <c r="BX133" s="13">
        <f>IFERROR(AV133/BR133*(BU133-BASELINE_CPR),0)</f>
        <v/>
      </c>
      <c r="BY133" s="13">
        <f>IFERROR(AW133/BR133*(BU133-BASELINE_CPR),0)</f>
        <v/>
      </c>
      <c r="BZ133" s="13">
        <f>IFERROR(AX133/BR133*(BU133-BASELINE_CPR),0)</f>
        <v/>
      </c>
      <c r="CA133" s="13">
        <f>IFERROR(AY133/BR133*(BU133-BASELINE_CPR),0)</f>
        <v/>
      </c>
      <c r="CB133" s="13">
        <f>IFERROR(AZ133/BR133*(BU133-BASELINE_CPR),0)</f>
        <v/>
      </c>
      <c r="CC133" s="13">
        <f>IFERROR(BA133/BR133*(BU133-BASELINE_CPR),0)</f>
        <v/>
      </c>
      <c r="CD133" s="13">
        <f>IFERROR(BB133/BR133*(BU133-BASELINE_CPR),0)</f>
        <v/>
      </c>
      <c r="CE133" s="13">
        <f>IFERROR(BC133/BR133*(BU133-BASELINE_CPR),0)</f>
        <v/>
      </c>
      <c r="CF133" s="13">
        <f>IFERROR(BD133/BR133*(BU133-BASELINE_CPR),0)</f>
        <v/>
      </c>
      <c r="CG133" s="13">
        <f>IFERROR(BE133/BR133*(BU133-BASELINE_CPR),0)</f>
        <v/>
      </c>
      <c r="CH133" s="13">
        <f>IFERROR(BF133/BR133*(BU133-BASELINE_CPR),0)</f>
        <v/>
      </c>
      <c r="CI133" s="13">
        <f>IFERROR(BG133/BR133*(BU133-BASELINE_CPR),0)</f>
        <v/>
      </c>
      <c r="CJ133" s="13">
        <f>IFERROR(BH133/BR133*(BU133-BASELINE_CPR),0)</f>
        <v/>
      </c>
      <c r="CK133" s="13">
        <f>IFERROR(BI133/BR133*(BU133-BASELINE_CPR),0)</f>
        <v/>
      </c>
      <c r="CL133" s="13">
        <f>IFERROR(BJ133/BR133*(BU133-BASELINE_CPR),0)</f>
        <v/>
      </c>
      <c r="CM133" s="13">
        <f>IFERROR(BK133/BR133*(BU133-BASELINE_CPR),0)</f>
        <v/>
      </c>
      <c r="CN133" s="13">
        <f>IFERROR(BL133/BR133*(BU133-BASELINE_CPR),0)</f>
        <v/>
      </c>
      <c r="CO133" s="13">
        <f>IFERROR(BM133/BR133*(BU133-BASELINE_CPR),0)</f>
        <v/>
      </c>
      <c r="CP133" s="13">
        <f>IFERROR(BN133/BR133*(BU133-BASELINE_CPR),0)</f>
        <v/>
      </c>
      <c r="CQ133" s="13">
        <f>IFERROR(BO133/BR133*(BU133-BASELINE_CPR),0)</f>
        <v/>
      </c>
      <c r="CR133" s="13">
        <f>IFERROR(BP133/BR133*(BU133-BASELINE_CPR),0)</f>
        <v/>
      </c>
      <c r="CS133" s="13">
        <f>IFERROR(BQ133/BR133*(BU133-BASELINE_CPR),0)</f>
        <v/>
      </c>
      <c r="CT133" s="29">
        <f>BASELINE_CPR+SUM(BV133:CS133)-BU133</f>
        <v/>
      </c>
    </row>
    <row r="134">
      <c r="A134" s="2" t="inlineStr">
        <is>
          <t>3618AAA77_000000007522247</t>
        </is>
      </c>
      <c r="B134" t="inlineStr">
        <is>
          <t>MERCHANTS_POST21</t>
        </is>
      </c>
      <c r="C134" s="2" t="inlineStr">
        <is>
          <t>3618AAA77</t>
        </is>
      </c>
      <c r="D134" t="inlineStr">
        <is>
          <t>MERCHANTS CAPITAL CORP.</t>
        </is>
      </c>
      <c r="E134" t="inlineStr">
        <is>
          <t>232</t>
        </is>
      </c>
      <c r="F134" t="inlineStr">
        <is>
          <t>RP</t>
        </is>
      </c>
      <c r="G134" t="n">
        <v>2022</v>
      </c>
      <c r="H134" t="inlineStr">
        <is>
          <t>202602</t>
        </is>
      </c>
      <c r="I134" s="22" t="n">
        <v>4811062.66</v>
      </c>
      <c r="J134" s="23" t="n">
        <v>4.18</v>
      </c>
      <c r="K134" s="24" t="n">
        <v>447</v>
      </c>
      <c r="L134" s="24" t="n">
        <v>7</v>
      </c>
      <c r="M134" t="n">
        <v>40</v>
      </c>
      <c r="N134" t="n">
        <v>0</v>
      </c>
      <c r="O134" t="n">
        <v>205711</v>
      </c>
      <c r="P134" t="inlineStr"/>
      <c r="Q134" t="inlineStr">
        <is>
          <t>3487</t>
        </is>
      </c>
      <c r="R134" t="n">
        <v>1</v>
      </c>
      <c r="S134" t="n">
        <v>1</v>
      </c>
      <c r="T134" t="n">
        <v>0</v>
      </c>
      <c r="U134" t="n">
        <v>0</v>
      </c>
      <c r="V134" s="24">
        <f>J134*100-K134</f>
        <v/>
      </c>
      <c r="W134" s="24">
        <f>L134</f>
        <v/>
      </c>
      <c r="X134" s="25">
        <f>MIN(M134,36)</f>
        <v/>
      </c>
      <c r="Y134" s="25">
        <f>MIN(MAX(M134-36,0),84)</f>
        <v/>
      </c>
      <c r="Z134" s="25">
        <f>MAX(M134-120,0)</f>
        <v/>
      </c>
      <c r="AA134" s="25">
        <f>IF(OR(O134="",NOT(ISNUMBER(O134))),360,MAX(0,MIN(480,(INT(O134/100)-INT(VALUE(H134)/100))*12+MOD(O134,100)-MOD(VALUE(H134),100))))</f>
        <v/>
      </c>
      <c r="AB134">
        <f>IF(AND(AA134&gt;0,AA134&lt;=24),1,0)</f>
        <v/>
      </c>
      <c r="AC134" s="25">
        <f>IF(OR(P134="",NOT(ISNUMBER(P134))),0,MAX(0,MIN(24,(INT(VALUE(H134)/100)-INT(P134/100))*12+MOD(VALUE(H134),100)-MOD(P134,100))))</f>
        <v/>
      </c>
      <c r="AD134" s="23">
        <f>LN(1+I134)</f>
        <v/>
      </c>
      <c r="AE134">
        <f>IF(I134&lt;2000000,1,0)</f>
        <v/>
      </c>
      <c r="AF134">
        <f>IF(I134&gt;50000000,1,0)</f>
        <v/>
      </c>
      <c r="AG134" s="23">
        <f>IF(ISNUMBER(M134),N134/MAX(M134,1),0)</f>
        <v/>
      </c>
      <c r="AH134">
        <f>IF(G134&gt;=2021,1,0)</f>
        <v/>
      </c>
      <c r="AI134">
        <f>S134</f>
        <v/>
      </c>
      <c r="AJ134">
        <f>T134</f>
        <v/>
      </c>
      <c r="AK134">
        <f>R134</f>
        <v/>
      </c>
      <c r="AL134">
        <f>U134</f>
        <v/>
      </c>
      <c r="AM134">
        <f>IF(ISNUMBER(SEARCH("CAPITAL FUNDING",D134)),1,0)</f>
        <v/>
      </c>
      <c r="AN134">
        <f>IF(ISNUMBER(SEARCH("PNC",D134)),1,0)</f>
        <v/>
      </c>
      <c r="AO134">
        <f>IF(ISNUMBER(SEARCH("WELLS FARGO",D134)),1,0)</f>
        <v/>
      </c>
      <c r="AP134">
        <f>IF(ISNUMBER(SEARCH("DWIGHT",D134)),1,0)</f>
        <v/>
      </c>
      <c r="AQ134">
        <f>IF(ISNUMBER(SEARCH("GREYSTONE",D134)),1,0)</f>
        <v/>
      </c>
      <c r="AR134">
        <f>IF(OR(Q134="3896",Q134="3557"),1,0)</f>
        <v/>
      </c>
      <c r="AS134" s="24">
        <f>V134*W134</f>
        <v/>
      </c>
      <c r="AT134" s="26">
        <f>V$4*(V134-V$3)</f>
        <v/>
      </c>
      <c r="AU134" s="26">
        <f>W$4*(W134-W$3)</f>
        <v/>
      </c>
      <c r="AV134" s="26">
        <f>X$4*(X134-X$3)</f>
        <v/>
      </c>
      <c r="AW134" s="26">
        <f>Y$4*(Y134-Y$3)</f>
        <v/>
      </c>
      <c r="AX134" s="26">
        <f>Z$4*(Z134-Z$3)</f>
        <v/>
      </c>
      <c r="AY134" s="26">
        <f>AA$4*(AA134-AA$3)</f>
        <v/>
      </c>
      <c r="AZ134" s="26">
        <f>AB$4*(AB134-AB$3)</f>
        <v/>
      </c>
      <c r="BA134" s="26">
        <f>AC$4*(AC134-AC$3)</f>
        <v/>
      </c>
      <c r="BB134" s="26">
        <f>AD$4*(AD134-AD$3)</f>
        <v/>
      </c>
      <c r="BC134" s="26">
        <f>AE$4*(AE134-AE$3)</f>
        <v/>
      </c>
      <c r="BD134" s="26">
        <f>AF$4*(AF134-AF$3)</f>
        <v/>
      </c>
      <c r="BE134" s="26">
        <f>AG$4*(AG134-AG$3)</f>
        <v/>
      </c>
      <c r="BF134" s="26">
        <f>AH$4*(AH134-AH$3)</f>
        <v/>
      </c>
      <c r="BG134" s="26">
        <f>AI$4*(AI134-AI$3)</f>
        <v/>
      </c>
      <c r="BH134" s="26">
        <f>AJ$4*(AJ134-AJ$3)</f>
        <v/>
      </c>
      <c r="BI134" s="26">
        <f>AK$4*(AK134-AK$3)</f>
        <v/>
      </c>
      <c r="BJ134" s="26">
        <f>AL$4*(AL134-AL$3)</f>
        <v/>
      </c>
      <c r="BK134" s="26">
        <f>AM$4*(AM134-AM$3)</f>
        <v/>
      </c>
      <c r="BL134" s="26">
        <f>AN$4*(AN134-AN$3)</f>
        <v/>
      </c>
      <c r="BM134" s="26">
        <f>AO$4*(AO134-AO$3)</f>
        <v/>
      </c>
      <c r="BN134" s="26">
        <f>AP$4*(AP134-AP$3)</f>
        <v/>
      </c>
      <c r="BO134" s="26">
        <f>AQ$4*(AQ134-AQ$3)</f>
        <v/>
      </c>
      <c r="BP134" s="26">
        <f>AR$4*(AR134-AR$3)</f>
        <v/>
      </c>
      <c r="BQ134" s="26">
        <f>AS$4*(AS134-AS$3)</f>
        <v/>
      </c>
      <c r="BR134" s="27">
        <f>SUM(AT134:BQ134)</f>
        <v/>
      </c>
      <c r="BS134" s="27">
        <f>INTERCEPT_SCALED+BR134</f>
        <v/>
      </c>
      <c r="BT134" s="28">
        <f>1/(1+EXP(-BS134))</f>
        <v/>
      </c>
      <c r="BU134" s="13">
        <f>1-(1-BT134)^12</f>
        <v/>
      </c>
      <c r="BV134" s="13">
        <f>IFERROR(AT134/BR134*(BU134-BASELINE_CPR),0)</f>
        <v/>
      </c>
      <c r="BW134" s="13">
        <f>IFERROR(AU134/BR134*(BU134-BASELINE_CPR),0)</f>
        <v/>
      </c>
      <c r="BX134" s="13">
        <f>IFERROR(AV134/BR134*(BU134-BASELINE_CPR),0)</f>
        <v/>
      </c>
      <c r="BY134" s="13">
        <f>IFERROR(AW134/BR134*(BU134-BASELINE_CPR),0)</f>
        <v/>
      </c>
      <c r="BZ134" s="13">
        <f>IFERROR(AX134/BR134*(BU134-BASELINE_CPR),0)</f>
        <v/>
      </c>
      <c r="CA134" s="13">
        <f>IFERROR(AY134/BR134*(BU134-BASELINE_CPR),0)</f>
        <v/>
      </c>
      <c r="CB134" s="13">
        <f>IFERROR(AZ134/BR134*(BU134-BASELINE_CPR),0)</f>
        <v/>
      </c>
      <c r="CC134" s="13">
        <f>IFERROR(BA134/BR134*(BU134-BASELINE_CPR),0)</f>
        <v/>
      </c>
      <c r="CD134" s="13">
        <f>IFERROR(BB134/BR134*(BU134-BASELINE_CPR),0)</f>
        <v/>
      </c>
      <c r="CE134" s="13">
        <f>IFERROR(BC134/BR134*(BU134-BASELINE_CPR),0)</f>
        <v/>
      </c>
      <c r="CF134" s="13">
        <f>IFERROR(BD134/BR134*(BU134-BASELINE_CPR),0)</f>
        <v/>
      </c>
      <c r="CG134" s="13">
        <f>IFERROR(BE134/BR134*(BU134-BASELINE_CPR),0)</f>
        <v/>
      </c>
      <c r="CH134" s="13">
        <f>IFERROR(BF134/BR134*(BU134-BASELINE_CPR),0)</f>
        <v/>
      </c>
      <c r="CI134" s="13">
        <f>IFERROR(BG134/BR134*(BU134-BASELINE_CPR),0)</f>
        <v/>
      </c>
      <c r="CJ134" s="13">
        <f>IFERROR(BH134/BR134*(BU134-BASELINE_CPR),0)</f>
        <v/>
      </c>
      <c r="CK134" s="13">
        <f>IFERROR(BI134/BR134*(BU134-BASELINE_CPR),0)</f>
        <v/>
      </c>
      <c r="CL134" s="13">
        <f>IFERROR(BJ134/BR134*(BU134-BASELINE_CPR),0)</f>
        <v/>
      </c>
      <c r="CM134" s="13">
        <f>IFERROR(BK134/BR134*(BU134-BASELINE_CPR),0)</f>
        <v/>
      </c>
      <c r="CN134" s="13">
        <f>IFERROR(BL134/BR134*(BU134-BASELINE_CPR),0)</f>
        <v/>
      </c>
      <c r="CO134" s="13">
        <f>IFERROR(BM134/BR134*(BU134-BASELINE_CPR),0)</f>
        <v/>
      </c>
      <c r="CP134" s="13">
        <f>IFERROR(BN134/BR134*(BU134-BASELINE_CPR),0)</f>
        <v/>
      </c>
      <c r="CQ134" s="13">
        <f>IFERROR(BO134/BR134*(BU134-BASELINE_CPR),0)</f>
        <v/>
      </c>
      <c r="CR134" s="13">
        <f>IFERROR(BP134/BR134*(BU134-BASELINE_CPR),0)</f>
        <v/>
      </c>
      <c r="CS134" s="13">
        <f>IFERROR(BQ134/BR134*(BU134-BASELINE_CPR),0)</f>
        <v/>
      </c>
      <c r="CT134" s="29">
        <f>BASELINE_CPR+SUM(BV134:CS134)-BU134</f>
        <v/>
      </c>
    </row>
    <row r="135">
      <c r="A135" s="2" t="inlineStr">
        <is>
          <t>36176QXN9_000000004322058</t>
        </is>
      </c>
      <c r="B135" t="inlineStr">
        <is>
          <t>MERCHANTS_PRE21</t>
        </is>
      </c>
      <c r="C135" s="2" t="inlineStr">
        <is>
          <t>36176QXN9</t>
        </is>
      </c>
      <c r="D135" t="inlineStr">
        <is>
          <t>MERCHANTS CAPITAL CORP.</t>
        </is>
      </c>
      <c r="E135" t="inlineStr">
        <is>
          <t>223f</t>
        </is>
      </c>
      <c r="F135" t="inlineStr">
        <is>
          <t>RP</t>
        </is>
      </c>
      <c r="G135" t="n">
        <v>2012</v>
      </c>
      <c r="H135" t="inlineStr">
        <is>
          <t>202602</t>
        </is>
      </c>
      <c r="I135" s="22" t="n">
        <v>1907136.33</v>
      </c>
      <c r="J135" s="23" t="n">
        <v>3.5</v>
      </c>
      <c r="K135" s="24" t="n">
        <v>447</v>
      </c>
      <c r="L135" s="24" t="n">
        <v>0</v>
      </c>
      <c r="M135" t="n">
        <v>167</v>
      </c>
      <c r="N135" t="n">
        <v>35</v>
      </c>
      <c r="O135" t="n">
        <v>204204</v>
      </c>
      <c r="P135" t="n">
        <v>201404</v>
      </c>
      <c r="Q135" t="inlineStr">
        <is>
          <t>3487</t>
        </is>
      </c>
      <c r="R135" t="n">
        <v>0</v>
      </c>
      <c r="S135" t="n">
        <v>0</v>
      </c>
      <c r="T135" t="n">
        <v>0</v>
      </c>
      <c r="U135" t="n">
        <v>0</v>
      </c>
      <c r="V135" s="24">
        <f>J135*100-K135</f>
        <v/>
      </c>
      <c r="W135" s="24">
        <f>L135</f>
        <v/>
      </c>
      <c r="X135" s="25">
        <f>MIN(M135,36)</f>
        <v/>
      </c>
      <c r="Y135" s="25">
        <f>MIN(MAX(M135-36,0),84)</f>
        <v/>
      </c>
      <c r="Z135" s="25">
        <f>MAX(M135-120,0)</f>
        <v/>
      </c>
      <c r="AA135" s="25">
        <f>IF(OR(O135="",NOT(ISNUMBER(O135))),360,MAX(0,MIN(480,(INT(O135/100)-INT(VALUE(H135)/100))*12+MOD(O135,100)-MOD(VALUE(H135),100))))</f>
        <v/>
      </c>
      <c r="AB135">
        <f>IF(AND(AA135&gt;0,AA135&lt;=24),1,0)</f>
        <v/>
      </c>
      <c r="AC135" s="25">
        <f>IF(OR(P135="",NOT(ISNUMBER(P135))),0,MAX(0,MIN(24,(INT(VALUE(H135)/100)-INT(P135/100))*12+MOD(VALUE(H135),100)-MOD(P135,100))))</f>
        <v/>
      </c>
      <c r="AD135" s="23">
        <f>LN(1+I135)</f>
        <v/>
      </c>
      <c r="AE135">
        <f>IF(I135&lt;2000000,1,0)</f>
        <v/>
      </c>
      <c r="AF135">
        <f>IF(I135&gt;50000000,1,0)</f>
        <v/>
      </c>
      <c r="AG135" s="23">
        <f>IF(ISNUMBER(M135),N135/MAX(M135,1),0)</f>
        <v/>
      </c>
      <c r="AH135">
        <f>IF(G135&gt;=2021,1,0)</f>
        <v/>
      </c>
      <c r="AI135">
        <f>S135</f>
        <v/>
      </c>
      <c r="AJ135">
        <f>T135</f>
        <v/>
      </c>
      <c r="AK135">
        <f>R135</f>
        <v/>
      </c>
      <c r="AL135">
        <f>U135</f>
        <v/>
      </c>
      <c r="AM135">
        <f>IF(ISNUMBER(SEARCH("CAPITAL FUNDING",D135)),1,0)</f>
        <v/>
      </c>
      <c r="AN135">
        <f>IF(ISNUMBER(SEARCH("PNC",D135)),1,0)</f>
        <v/>
      </c>
      <c r="AO135">
        <f>IF(ISNUMBER(SEARCH("WELLS FARGO",D135)),1,0)</f>
        <v/>
      </c>
      <c r="AP135">
        <f>IF(ISNUMBER(SEARCH("DWIGHT",D135)),1,0)</f>
        <v/>
      </c>
      <c r="AQ135">
        <f>IF(ISNUMBER(SEARCH("GREYSTONE",D135)),1,0)</f>
        <v/>
      </c>
      <c r="AR135">
        <f>IF(OR(Q135="3896",Q135="3557"),1,0)</f>
        <v/>
      </c>
      <c r="AS135" s="24">
        <f>V135*W135</f>
        <v/>
      </c>
      <c r="AT135" s="26">
        <f>V$4*(V135-V$3)</f>
        <v/>
      </c>
      <c r="AU135" s="26">
        <f>W$4*(W135-W$3)</f>
        <v/>
      </c>
      <c r="AV135" s="26">
        <f>X$4*(X135-X$3)</f>
        <v/>
      </c>
      <c r="AW135" s="26">
        <f>Y$4*(Y135-Y$3)</f>
        <v/>
      </c>
      <c r="AX135" s="26">
        <f>Z$4*(Z135-Z$3)</f>
        <v/>
      </c>
      <c r="AY135" s="26">
        <f>AA$4*(AA135-AA$3)</f>
        <v/>
      </c>
      <c r="AZ135" s="26">
        <f>AB$4*(AB135-AB$3)</f>
        <v/>
      </c>
      <c r="BA135" s="26">
        <f>AC$4*(AC135-AC$3)</f>
        <v/>
      </c>
      <c r="BB135" s="26">
        <f>AD$4*(AD135-AD$3)</f>
        <v/>
      </c>
      <c r="BC135" s="26">
        <f>AE$4*(AE135-AE$3)</f>
        <v/>
      </c>
      <c r="BD135" s="26">
        <f>AF$4*(AF135-AF$3)</f>
        <v/>
      </c>
      <c r="BE135" s="26">
        <f>AG$4*(AG135-AG$3)</f>
        <v/>
      </c>
      <c r="BF135" s="26">
        <f>AH$4*(AH135-AH$3)</f>
        <v/>
      </c>
      <c r="BG135" s="26">
        <f>AI$4*(AI135-AI$3)</f>
        <v/>
      </c>
      <c r="BH135" s="26">
        <f>AJ$4*(AJ135-AJ$3)</f>
        <v/>
      </c>
      <c r="BI135" s="26">
        <f>AK$4*(AK135-AK$3)</f>
        <v/>
      </c>
      <c r="BJ135" s="26">
        <f>AL$4*(AL135-AL$3)</f>
        <v/>
      </c>
      <c r="BK135" s="26">
        <f>AM$4*(AM135-AM$3)</f>
        <v/>
      </c>
      <c r="BL135" s="26">
        <f>AN$4*(AN135-AN$3)</f>
        <v/>
      </c>
      <c r="BM135" s="26">
        <f>AO$4*(AO135-AO$3)</f>
        <v/>
      </c>
      <c r="BN135" s="26">
        <f>AP$4*(AP135-AP$3)</f>
        <v/>
      </c>
      <c r="BO135" s="26">
        <f>AQ$4*(AQ135-AQ$3)</f>
        <v/>
      </c>
      <c r="BP135" s="26">
        <f>AR$4*(AR135-AR$3)</f>
        <v/>
      </c>
      <c r="BQ135" s="26">
        <f>AS$4*(AS135-AS$3)</f>
        <v/>
      </c>
      <c r="BR135" s="27">
        <f>SUM(AT135:BQ135)</f>
        <v/>
      </c>
      <c r="BS135" s="27">
        <f>INTERCEPT_SCALED+BR135</f>
        <v/>
      </c>
      <c r="BT135" s="28">
        <f>1/(1+EXP(-BS135))</f>
        <v/>
      </c>
      <c r="BU135" s="13">
        <f>1-(1-BT135)^12</f>
        <v/>
      </c>
      <c r="BV135" s="13">
        <f>IFERROR(AT135/BR135*(BU135-BASELINE_CPR),0)</f>
        <v/>
      </c>
      <c r="BW135" s="13">
        <f>IFERROR(AU135/BR135*(BU135-BASELINE_CPR),0)</f>
        <v/>
      </c>
      <c r="BX135" s="13">
        <f>IFERROR(AV135/BR135*(BU135-BASELINE_CPR),0)</f>
        <v/>
      </c>
      <c r="BY135" s="13">
        <f>IFERROR(AW135/BR135*(BU135-BASELINE_CPR),0)</f>
        <v/>
      </c>
      <c r="BZ135" s="13">
        <f>IFERROR(AX135/BR135*(BU135-BASELINE_CPR),0)</f>
        <v/>
      </c>
      <c r="CA135" s="13">
        <f>IFERROR(AY135/BR135*(BU135-BASELINE_CPR),0)</f>
        <v/>
      </c>
      <c r="CB135" s="13">
        <f>IFERROR(AZ135/BR135*(BU135-BASELINE_CPR),0)</f>
        <v/>
      </c>
      <c r="CC135" s="13">
        <f>IFERROR(BA135/BR135*(BU135-BASELINE_CPR),0)</f>
        <v/>
      </c>
      <c r="CD135" s="13">
        <f>IFERROR(BB135/BR135*(BU135-BASELINE_CPR),0)</f>
        <v/>
      </c>
      <c r="CE135" s="13">
        <f>IFERROR(BC135/BR135*(BU135-BASELINE_CPR),0)</f>
        <v/>
      </c>
      <c r="CF135" s="13">
        <f>IFERROR(BD135/BR135*(BU135-BASELINE_CPR),0)</f>
        <v/>
      </c>
      <c r="CG135" s="13">
        <f>IFERROR(BE135/BR135*(BU135-BASELINE_CPR),0)</f>
        <v/>
      </c>
      <c r="CH135" s="13">
        <f>IFERROR(BF135/BR135*(BU135-BASELINE_CPR),0)</f>
        <v/>
      </c>
      <c r="CI135" s="13">
        <f>IFERROR(BG135/BR135*(BU135-BASELINE_CPR),0)</f>
        <v/>
      </c>
      <c r="CJ135" s="13">
        <f>IFERROR(BH135/BR135*(BU135-BASELINE_CPR),0)</f>
        <v/>
      </c>
      <c r="CK135" s="13">
        <f>IFERROR(BI135/BR135*(BU135-BASELINE_CPR),0)</f>
        <v/>
      </c>
      <c r="CL135" s="13">
        <f>IFERROR(BJ135/BR135*(BU135-BASELINE_CPR),0)</f>
        <v/>
      </c>
      <c r="CM135" s="13">
        <f>IFERROR(BK135/BR135*(BU135-BASELINE_CPR),0)</f>
        <v/>
      </c>
      <c r="CN135" s="13">
        <f>IFERROR(BL135/BR135*(BU135-BASELINE_CPR),0)</f>
        <v/>
      </c>
      <c r="CO135" s="13">
        <f>IFERROR(BM135/BR135*(BU135-BASELINE_CPR),0)</f>
        <v/>
      </c>
      <c r="CP135" s="13">
        <f>IFERROR(BN135/BR135*(BU135-BASELINE_CPR),0)</f>
        <v/>
      </c>
      <c r="CQ135" s="13">
        <f>IFERROR(BO135/BR135*(BU135-BASELINE_CPR),0)</f>
        <v/>
      </c>
      <c r="CR135" s="13">
        <f>IFERROR(BP135/BR135*(BU135-BASELINE_CPR),0)</f>
        <v/>
      </c>
      <c r="CS135" s="13">
        <f>IFERROR(BQ135/BR135*(BU135-BASELINE_CPR),0)</f>
        <v/>
      </c>
      <c r="CT135" s="29">
        <f>BASELINE_CPR+SUM(BV135:CS135)-BU135</f>
        <v/>
      </c>
    </row>
    <row r="136">
      <c r="A136" s="2" t="inlineStr">
        <is>
          <t>3617N1GQ7_000000007311990</t>
        </is>
      </c>
      <c r="B136" t="inlineStr">
        <is>
          <t>MERCHANTS_PRE21</t>
        </is>
      </c>
      <c r="C136" s="2" t="inlineStr">
        <is>
          <t>3617N1GQ7</t>
        </is>
      </c>
      <c r="D136" t="inlineStr">
        <is>
          <t>MERCHANTS CAPITAL SERVICING LLC</t>
        </is>
      </c>
      <c r="E136" t="inlineStr">
        <is>
          <t>223f</t>
        </is>
      </c>
      <c r="F136" t="inlineStr">
        <is>
          <t>RP</t>
        </is>
      </c>
      <c r="G136" t="n">
        <v>2020</v>
      </c>
      <c r="H136" t="inlineStr">
        <is>
          <t>202602</t>
        </is>
      </c>
      <c r="I136" s="22" t="n">
        <v>35631447.08</v>
      </c>
      <c r="J136" s="23" t="n">
        <v>2.1</v>
      </c>
      <c r="K136" s="24" t="n">
        <v>447</v>
      </c>
      <c r="L136" s="24" t="n">
        <v>5</v>
      </c>
      <c r="M136" t="n">
        <v>65</v>
      </c>
      <c r="N136" t="n">
        <v>0</v>
      </c>
      <c r="O136" t="n">
        <v>205510</v>
      </c>
      <c r="P136" t="inlineStr"/>
      <c r="Q136" t="inlineStr">
        <is>
          <t>4265</t>
        </is>
      </c>
      <c r="R136" t="n">
        <v>0</v>
      </c>
      <c r="S136" t="n">
        <v>0</v>
      </c>
      <c r="T136" t="n">
        <v>0</v>
      </c>
      <c r="U136" t="n">
        <v>0</v>
      </c>
      <c r="V136" s="24">
        <f>J136*100-K136</f>
        <v/>
      </c>
      <c r="W136" s="24">
        <f>L136</f>
        <v/>
      </c>
      <c r="X136" s="25">
        <f>MIN(M136,36)</f>
        <v/>
      </c>
      <c r="Y136" s="25">
        <f>MIN(MAX(M136-36,0),84)</f>
        <v/>
      </c>
      <c r="Z136" s="25">
        <f>MAX(M136-120,0)</f>
        <v/>
      </c>
      <c r="AA136" s="25">
        <f>IF(OR(O136="",NOT(ISNUMBER(O136))),360,MAX(0,MIN(480,(INT(O136/100)-INT(VALUE(H136)/100))*12+MOD(O136,100)-MOD(VALUE(H136),100))))</f>
        <v/>
      </c>
      <c r="AB136">
        <f>IF(AND(AA136&gt;0,AA136&lt;=24),1,0)</f>
        <v/>
      </c>
      <c r="AC136" s="25">
        <f>IF(OR(P136="",NOT(ISNUMBER(P136))),0,MAX(0,MIN(24,(INT(VALUE(H136)/100)-INT(P136/100))*12+MOD(VALUE(H136),100)-MOD(P136,100))))</f>
        <v/>
      </c>
      <c r="AD136" s="23">
        <f>LN(1+I136)</f>
        <v/>
      </c>
      <c r="AE136">
        <f>IF(I136&lt;2000000,1,0)</f>
        <v/>
      </c>
      <c r="AF136">
        <f>IF(I136&gt;50000000,1,0)</f>
        <v/>
      </c>
      <c r="AG136" s="23">
        <f>IF(ISNUMBER(M136),N136/MAX(M136,1),0)</f>
        <v/>
      </c>
      <c r="AH136">
        <f>IF(G136&gt;=2021,1,0)</f>
        <v/>
      </c>
      <c r="AI136">
        <f>S136</f>
        <v/>
      </c>
      <c r="AJ136">
        <f>T136</f>
        <v/>
      </c>
      <c r="AK136">
        <f>R136</f>
        <v/>
      </c>
      <c r="AL136">
        <f>U136</f>
        <v/>
      </c>
      <c r="AM136">
        <f>IF(ISNUMBER(SEARCH("CAPITAL FUNDING",D136)),1,0)</f>
        <v/>
      </c>
      <c r="AN136">
        <f>IF(ISNUMBER(SEARCH("PNC",D136)),1,0)</f>
        <v/>
      </c>
      <c r="AO136">
        <f>IF(ISNUMBER(SEARCH("WELLS FARGO",D136)),1,0)</f>
        <v/>
      </c>
      <c r="AP136">
        <f>IF(ISNUMBER(SEARCH("DWIGHT",D136)),1,0)</f>
        <v/>
      </c>
      <c r="AQ136">
        <f>IF(ISNUMBER(SEARCH("GREYSTONE",D136)),1,0)</f>
        <v/>
      </c>
      <c r="AR136">
        <f>IF(OR(Q136="3896",Q136="3557"),1,0)</f>
        <v/>
      </c>
      <c r="AS136" s="24">
        <f>V136*W136</f>
        <v/>
      </c>
      <c r="AT136" s="26">
        <f>V$4*(V136-V$3)</f>
        <v/>
      </c>
      <c r="AU136" s="26">
        <f>W$4*(W136-W$3)</f>
        <v/>
      </c>
      <c r="AV136" s="26">
        <f>X$4*(X136-X$3)</f>
        <v/>
      </c>
      <c r="AW136" s="26">
        <f>Y$4*(Y136-Y$3)</f>
        <v/>
      </c>
      <c r="AX136" s="26">
        <f>Z$4*(Z136-Z$3)</f>
        <v/>
      </c>
      <c r="AY136" s="26">
        <f>AA$4*(AA136-AA$3)</f>
        <v/>
      </c>
      <c r="AZ136" s="26">
        <f>AB$4*(AB136-AB$3)</f>
        <v/>
      </c>
      <c r="BA136" s="26">
        <f>AC$4*(AC136-AC$3)</f>
        <v/>
      </c>
      <c r="BB136" s="26">
        <f>AD$4*(AD136-AD$3)</f>
        <v/>
      </c>
      <c r="BC136" s="26">
        <f>AE$4*(AE136-AE$3)</f>
        <v/>
      </c>
      <c r="BD136" s="26">
        <f>AF$4*(AF136-AF$3)</f>
        <v/>
      </c>
      <c r="BE136" s="26">
        <f>AG$4*(AG136-AG$3)</f>
        <v/>
      </c>
      <c r="BF136" s="26">
        <f>AH$4*(AH136-AH$3)</f>
        <v/>
      </c>
      <c r="BG136" s="26">
        <f>AI$4*(AI136-AI$3)</f>
        <v/>
      </c>
      <c r="BH136" s="26">
        <f>AJ$4*(AJ136-AJ$3)</f>
        <v/>
      </c>
      <c r="BI136" s="26">
        <f>AK$4*(AK136-AK$3)</f>
        <v/>
      </c>
      <c r="BJ136" s="26">
        <f>AL$4*(AL136-AL$3)</f>
        <v/>
      </c>
      <c r="BK136" s="26">
        <f>AM$4*(AM136-AM$3)</f>
        <v/>
      </c>
      <c r="BL136" s="26">
        <f>AN$4*(AN136-AN$3)</f>
        <v/>
      </c>
      <c r="BM136" s="26">
        <f>AO$4*(AO136-AO$3)</f>
        <v/>
      </c>
      <c r="BN136" s="26">
        <f>AP$4*(AP136-AP$3)</f>
        <v/>
      </c>
      <c r="BO136" s="26">
        <f>AQ$4*(AQ136-AQ$3)</f>
        <v/>
      </c>
      <c r="BP136" s="26">
        <f>AR$4*(AR136-AR$3)</f>
        <v/>
      </c>
      <c r="BQ136" s="26">
        <f>AS$4*(AS136-AS$3)</f>
        <v/>
      </c>
      <c r="BR136" s="27">
        <f>SUM(AT136:BQ136)</f>
        <v/>
      </c>
      <c r="BS136" s="27">
        <f>INTERCEPT_SCALED+BR136</f>
        <v/>
      </c>
      <c r="BT136" s="28">
        <f>1/(1+EXP(-BS136))</f>
        <v/>
      </c>
      <c r="BU136" s="13">
        <f>1-(1-BT136)^12</f>
        <v/>
      </c>
      <c r="BV136" s="13">
        <f>IFERROR(AT136/BR136*(BU136-BASELINE_CPR),0)</f>
        <v/>
      </c>
      <c r="BW136" s="13">
        <f>IFERROR(AU136/BR136*(BU136-BASELINE_CPR),0)</f>
        <v/>
      </c>
      <c r="BX136" s="13">
        <f>IFERROR(AV136/BR136*(BU136-BASELINE_CPR),0)</f>
        <v/>
      </c>
      <c r="BY136" s="13">
        <f>IFERROR(AW136/BR136*(BU136-BASELINE_CPR),0)</f>
        <v/>
      </c>
      <c r="BZ136" s="13">
        <f>IFERROR(AX136/BR136*(BU136-BASELINE_CPR),0)</f>
        <v/>
      </c>
      <c r="CA136" s="13">
        <f>IFERROR(AY136/BR136*(BU136-BASELINE_CPR),0)</f>
        <v/>
      </c>
      <c r="CB136" s="13">
        <f>IFERROR(AZ136/BR136*(BU136-BASELINE_CPR),0)</f>
        <v/>
      </c>
      <c r="CC136" s="13">
        <f>IFERROR(BA136/BR136*(BU136-BASELINE_CPR),0)</f>
        <v/>
      </c>
      <c r="CD136" s="13">
        <f>IFERROR(BB136/BR136*(BU136-BASELINE_CPR),0)</f>
        <v/>
      </c>
      <c r="CE136" s="13">
        <f>IFERROR(BC136/BR136*(BU136-BASELINE_CPR),0)</f>
        <v/>
      </c>
      <c r="CF136" s="13">
        <f>IFERROR(BD136/BR136*(BU136-BASELINE_CPR),0)</f>
        <v/>
      </c>
      <c r="CG136" s="13">
        <f>IFERROR(BE136/BR136*(BU136-BASELINE_CPR),0)</f>
        <v/>
      </c>
      <c r="CH136" s="13">
        <f>IFERROR(BF136/BR136*(BU136-BASELINE_CPR),0)</f>
        <v/>
      </c>
      <c r="CI136" s="13">
        <f>IFERROR(BG136/BR136*(BU136-BASELINE_CPR),0)</f>
        <v/>
      </c>
      <c r="CJ136" s="13">
        <f>IFERROR(BH136/BR136*(BU136-BASELINE_CPR),0)</f>
        <v/>
      </c>
      <c r="CK136" s="13">
        <f>IFERROR(BI136/BR136*(BU136-BASELINE_CPR),0)</f>
        <v/>
      </c>
      <c r="CL136" s="13">
        <f>IFERROR(BJ136/BR136*(BU136-BASELINE_CPR),0)</f>
        <v/>
      </c>
      <c r="CM136" s="13">
        <f>IFERROR(BK136/BR136*(BU136-BASELINE_CPR),0)</f>
        <v/>
      </c>
      <c r="CN136" s="13">
        <f>IFERROR(BL136/BR136*(BU136-BASELINE_CPR),0)</f>
        <v/>
      </c>
      <c r="CO136" s="13">
        <f>IFERROR(BM136/BR136*(BU136-BASELINE_CPR),0)</f>
        <v/>
      </c>
      <c r="CP136" s="13">
        <f>IFERROR(BN136/BR136*(BU136-BASELINE_CPR),0)</f>
        <v/>
      </c>
      <c r="CQ136" s="13">
        <f>IFERROR(BO136/BR136*(BU136-BASELINE_CPR),0)</f>
        <v/>
      </c>
      <c r="CR136" s="13">
        <f>IFERROR(BP136/BR136*(BU136-BASELINE_CPR),0)</f>
        <v/>
      </c>
      <c r="CS136" s="13">
        <f>IFERROR(BQ136/BR136*(BU136-BASELINE_CPR),0)</f>
        <v/>
      </c>
      <c r="CT136" s="29">
        <f>BASELINE_CPR+SUM(BV136:CS136)-BU136</f>
        <v/>
      </c>
    </row>
    <row r="137">
      <c r="A137" s="2" t="inlineStr">
        <is>
          <t>3617YEEM8_000000004322165</t>
        </is>
      </c>
      <c r="B137" t="inlineStr">
        <is>
          <t>MERCHANTS_POST21</t>
        </is>
      </c>
      <c r="C137" s="2" t="inlineStr">
        <is>
          <t>3617YEEM8</t>
        </is>
      </c>
      <c r="D137" t="inlineStr">
        <is>
          <t>MERCHANTS CAPITAL CORP.</t>
        </is>
      </c>
      <c r="E137" t="inlineStr">
        <is>
          <t>232</t>
        </is>
      </c>
      <c r="F137" t="inlineStr">
        <is>
          <t>RP</t>
        </is>
      </c>
      <c r="G137" t="n">
        <v>2022</v>
      </c>
      <c r="H137" t="inlineStr">
        <is>
          <t>202602</t>
        </is>
      </c>
      <c r="I137" s="22" t="n">
        <v>5891589.56</v>
      </c>
      <c r="J137" s="23" t="n">
        <v>2.95</v>
      </c>
      <c r="K137" s="24" t="n">
        <v>447</v>
      </c>
      <c r="L137" s="24" t="n">
        <v>7</v>
      </c>
      <c r="M137" t="n">
        <v>48</v>
      </c>
      <c r="N137" t="n">
        <v>0</v>
      </c>
      <c r="O137" t="n">
        <v>205703</v>
      </c>
      <c r="P137" t="inlineStr"/>
      <c r="Q137" t="inlineStr">
        <is>
          <t>3487</t>
        </is>
      </c>
      <c r="R137" t="n">
        <v>1</v>
      </c>
      <c r="S137" t="n">
        <v>0</v>
      </c>
      <c r="T137" t="n">
        <v>0</v>
      </c>
      <c r="U137" t="n">
        <v>0</v>
      </c>
      <c r="V137" s="24">
        <f>J137*100-K137</f>
        <v/>
      </c>
      <c r="W137" s="24">
        <f>L137</f>
        <v/>
      </c>
      <c r="X137" s="25">
        <f>MIN(M137,36)</f>
        <v/>
      </c>
      <c r="Y137" s="25">
        <f>MIN(MAX(M137-36,0),84)</f>
        <v/>
      </c>
      <c r="Z137" s="25">
        <f>MAX(M137-120,0)</f>
        <v/>
      </c>
      <c r="AA137" s="25">
        <f>IF(OR(O137="",NOT(ISNUMBER(O137))),360,MAX(0,MIN(480,(INT(O137/100)-INT(VALUE(H137)/100))*12+MOD(O137,100)-MOD(VALUE(H137),100))))</f>
        <v/>
      </c>
      <c r="AB137">
        <f>IF(AND(AA137&gt;0,AA137&lt;=24),1,0)</f>
        <v/>
      </c>
      <c r="AC137" s="25">
        <f>IF(OR(P137="",NOT(ISNUMBER(P137))),0,MAX(0,MIN(24,(INT(VALUE(H137)/100)-INT(P137/100))*12+MOD(VALUE(H137),100)-MOD(P137,100))))</f>
        <v/>
      </c>
      <c r="AD137" s="23">
        <f>LN(1+I137)</f>
        <v/>
      </c>
      <c r="AE137">
        <f>IF(I137&lt;2000000,1,0)</f>
        <v/>
      </c>
      <c r="AF137">
        <f>IF(I137&gt;50000000,1,0)</f>
        <v/>
      </c>
      <c r="AG137" s="23">
        <f>IF(ISNUMBER(M137),N137/MAX(M137,1),0)</f>
        <v/>
      </c>
      <c r="AH137">
        <f>IF(G137&gt;=2021,1,0)</f>
        <v/>
      </c>
      <c r="AI137">
        <f>S137</f>
        <v/>
      </c>
      <c r="AJ137">
        <f>T137</f>
        <v/>
      </c>
      <c r="AK137">
        <f>R137</f>
        <v/>
      </c>
      <c r="AL137">
        <f>U137</f>
        <v/>
      </c>
      <c r="AM137">
        <f>IF(ISNUMBER(SEARCH("CAPITAL FUNDING",D137)),1,0)</f>
        <v/>
      </c>
      <c r="AN137">
        <f>IF(ISNUMBER(SEARCH("PNC",D137)),1,0)</f>
        <v/>
      </c>
      <c r="AO137">
        <f>IF(ISNUMBER(SEARCH("WELLS FARGO",D137)),1,0)</f>
        <v/>
      </c>
      <c r="AP137">
        <f>IF(ISNUMBER(SEARCH("DWIGHT",D137)),1,0)</f>
        <v/>
      </c>
      <c r="AQ137">
        <f>IF(ISNUMBER(SEARCH("GREYSTONE",D137)),1,0)</f>
        <v/>
      </c>
      <c r="AR137">
        <f>IF(OR(Q137="3896",Q137="3557"),1,0)</f>
        <v/>
      </c>
      <c r="AS137" s="24">
        <f>V137*W137</f>
        <v/>
      </c>
      <c r="AT137" s="26">
        <f>V$4*(V137-V$3)</f>
        <v/>
      </c>
      <c r="AU137" s="26">
        <f>W$4*(W137-W$3)</f>
        <v/>
      </c>
      <c r="AV137" s="26">
        <f>X$4*(X137-X$3)</f>
        <v/>
      </c>
      <c r="AW137" s="26">
        <f>Y$4*(Y137-Y$3)</f>
        <v/>
      </c>
      <c r="AX137" s="26">
        <f>Z$4*(Z137-Z$3)</f>
        <v/>
      </c>
      <c r="AY137" s="26">
        <f>AA$4*(AA137-AA$3)</f>
        <v/>
      </c>
      <c r="AZ137" s="26">
        <f>AB$4*(AB137-AB$3)</f>
        <v/>
      </c>
      <c r="BA137" s="26">
        <f>AC$4*(AC137-AC$3)</f>
        <v/>
      </c>
      <c r="BB137" s="26">
        <f>AD$4*(AD137-AD$3)</f>
        <v/>
      </c>
      <c r="BC137" s="26">
        <f>AE$4*(AE137-AE$3)</f>
        <v/>
      </c>
      <c r="BD137" s="26">
        <f>AF$4*(AF137-AF$3)</f>
        <v/>
      </c>
      <c r="BE137" s="26">
        <f>AG$4*(AG137-AG$3)</f>
        <v/>
      </c>
      <c r="BF137" s="26">
        <f>AH$4*(AH137-AH$3)</f>
        <v/>
      </c>
      <c r="BG137" s="26">
        <f>AI$4*(AI137-AI$3)</f>
        <v/>
      </c>
      <c r="BH137" s="26">
        <f>AJ$4*(AJ137-AJ$3)</f>
        <v/>
      </c>
      <c r="BI137" s="26">
        <f>AK$4*(AK137-AK$3)</f>
        <v/>
      </c>
      <c r="BJ137" s="26">
        <f>AL$4*(AL137-AL$3)</f>
        <v/>
      </c>
      <c r="BK137" s="26">
        <f>AM$4*(AM137-AM$3)</f>
        <v/>
      </c>
      <c r="BL137" s="26">
        <f>AN$4*(AN137-AN$3)</f>
        <v/>
      </c>
      <c r="BM137" s="26">
        <f>AO$4*(AO137-AO$3)</f>
        <v/>
      </c>
      <c r="BN137" s="26">
        <f>AP$4*(AP137-AP$3)</f>
        <v/>
      </c>
      <c r="BO137" s="26">
        <f>AQ$4*(AQ137-AQ$3)</f>
        <v/>
      </c>
      <c r="BP137" s="26">
        <f>AR$4*(AR137-AR$3)</f>
        <v/>
      </c>
      <c r="BQ137" s="26">
        <f>AS$4*(AS137-AS$3)</f>
        <v/>
      </c>
      <c r="BR137" s="27">
        <f>SUM(AT137:BQ137)</f>
        <v/>
      </c>
      <c r="BS137" s="27">
        <f>INTERCEPT_SCALED+BR137</f>
        <v/>
      </c>
      <c r="BT137" s="28">
        <f>1/(1+EXP(-BS137))</f>
        <v/>
      </c>
      <c r="BU137" s="13">
        <f>1-(1-BT137)^12</f>
        <v/>
      </c>
      <c r="BV137" s="13">
        <f>IFERROR(AT137/BR137*(BU137-BASELINE_CPR),0)</f>
        <v/>
      </c>
      <c r="BW137" s="13">
        <f>IFERROR(AU137/BR137*(BU137-BASELINE_CPR),0)</f>
        <v/>
      </c>
      <c r="BX137" s="13">
        <f>IFERROR(AV137/BR137*(BU137-BASELINE_CPR),0)</f>
        <v/>
      </c>
      <c r="BY137" s="13">
        <f>IFERROR(AW137/BR137*(BU137-BASELINE_CPR),0)</f>
        <v/>
      </c>
      <c r="BZ137" s="13">
        <f>IFERROR(AX137/BR137*(BU137-BASELINE_CPR),0)</f>
        <v/>
      </c>
      <c r="CA137" s="13">
        <f>IFERROR(AY137/BR137*(BU137-BASELINE_CPR),0)</f>
        <v/>
      </c>
      <c r="CB137" s="13">
        <f>IFERROR(AZ137/BR137*(BU137-BASELINE_CPR),0)</f>
        <v/>
      </c>
      <c r="CC137" s="13">
        <f>IFERROR(BA137/BR137*(BU137-BASELINE_CPR),0)</f>
        <v/>
      </c>
      <c r="CD137" s="13">
        <f>IFERROR(BB137/BR137*(BU137-BASELINE_CPR),0)</f>
        <v/>
      </c>
      <c r="CE137" s="13">
        <f>IFERROR(BC137/BR137*(BU137-BASELINE_CPR),0)</f>
        <v/>
      </c>
      <c r="CF137" s="13">
        <f>IFERROR(BD137/BR137*(BU137-BASELINE_CPR),0)</f>
        <v/>
      </c>
      <c r="CG137" s="13">
        <f>IFERROR(BE137/BR137*(BU137-BASELINE_CPR),0)</f>
        <v/>
      </c>
      <c r="CH137" s="13">
        <f>IFERROR(BF137/BR137*(BU137-BASELINE_CPR),0)</f>
        <v/>
      </c>
      <c r="CI137" s="13">
        <f>IFERROR(BG137/BR137*(BU137-BASELINE_CPR),0)</f>
        <v/>
      </c>
      <c r="CJ137" s="13">
        <f>IFERROR(BH137/BR137*(BU137-BASELINE_CPR),0)</f>
        <v/>
      </c>
      <c r="CK137" s="13">
        <f>IFERROR(BI137/BR137*(BU137-BASELINE_CPR),0)</f>
        <v/>
      </c>
      <c r="CL137" s="13">
        <f>IFERROR(BJ137/BR137*(BU137-BASELINE_CPR),0)</f>
        <v/>
      </c>
      <c r="CM137" s="13">
        <f>IFERROR(BK137/BR137*(BU137-BASELINE_CPR),0)</f>
        <v/>
      </c>
      <c r="CN137" s="13">
        <f>IFERROR(BL137/BR137*(BU137-BASELINE_CPR),0)</f>
        <v/>
      </c>
      <c r="CO137" s="13">
        <f>IFERROR(BM137/BR137*(BU137-BASELINE_CPR),0)</f>
        <v/>
      </c>
      <c r="CP137" s="13">
        <f>IFERROR(BN137/BR137*(BU137-BASELINE_CPR),0)</f>
        <v/>
      </c>
      <c r="CQ137" s="13">
        <f>IFERROR(BO137/BR137*(BU137-BASELINE_CPR),0)</f>
        <v/>
      </c>
      <c r="CR137" s="13">
        <f>IFERROR(BP137/BR137*(BU137-BASELINE_CPR),0)</f>
        <v/>
      </c>
      <c r="CS137" s="13">
        <f>IFERROR(BQ137/BR137*(BU137-BASELINE_CPR),0)</f>
        <v/>
      </c>
      <c r="CT137" s="29">
        <f>BASELINE_CPR+SUM(BV137:CS137)-BU137</f>
        <v/>
      </c>
    </row>
    <row r="138">
      <c r="A138" s="2" t="inlineStr">
        <is>
          <t>36179GS87_000000004535249</t>
        </is>
      </c>
      <c r="B138" t="inlineStr">
        <is>
          <t>MERCHANTS_PRE21</t>
        </is>
      </c>
      <c r="C138" s="2" t="inlineStr">
        <is>
          <t>36179GS87</t>
        </is>
      </c>
      <c r="D138" t="inlineStr">
        <is>
          <t>MERCHANTS CAPITAL CORP.</t>
        </is>
      </c>
      <c r="E138" t="inlineStr">
        <is>
          <t>223a7</t>
        </is>
      </c>
      <c r="F138" t="inlineStr">
        <is>
          <t>RP</t>
        </is>
      </c>
      <c r="G138" t="n">
        <v>2013</v>
      </c>
      <c r="H138" t="inlineStr">
        <is>
          <t>202602</t>
        </is>
      </c>
      <c r="I138" s="22" t="n">
        <v>707351.03</v>
      </c>
      <c r="J138" s="23" t="n">
        <v>3.5</v>
      </c>
      <c r="K138" s="24" t="n">
        <v>447</v>
      </c>
      <c r="L138" s="24" t="n">
        <v>0</v>
      </c>
      <c r="M138" t="n">
        <v>151</v>
      </c>
      <c r="N138" t="n">
        <v>33</v>
      </c>
      <c r="O138" t="n">
        <v>204308</v>
      </c>
      <c r="P138" t="inlineStr"/>
      <c r="Q138" t="inlineStr">
        <is>
          <t>3487</t>
        </is>
      </c>
      <c r="R138" t="n">
        <v>0</v>
      </c>
      <c r="S138" t="n">
        <v>1</v>
      </c>
      <c r="T138" t="n">
        <v>0</v>
      </c>
      <c r="U138" t="n">
        <v>0</v>
      </c>
      <c r="V138" s="24">
        <f>J138*100-K138</f>
        <v/>
      </c>
      <c r="W138" s="24">
        <f>L138</f>
        <v/>
      </c>
      <c r="X138" s="25">
        <f>MIN(M138,36)</f>
        <v/>
      </c>
      <c r="Y138" s="25">
        <f>MIN(MAX(M138-36,0),84)</f>
        <v/>
      </c>
      <c r="Z138" s="25">
        <f>MAX(M138-120,0)</f>
        <v/>
      </c>
      <c r="AA138" s="25">
        <f>IF(OR(O138="",NOT(ISNUMBER(O138))),360,MAX(0,MIN(480,(INT(O138/100)-INT(VALUE(H138)/100))*12+MOD(O138,100)-MOD(VALUE(H138),100))))</f>
        <v/>
      </c>
      <c r="AB138">
        <f>IF(AND(AA138&gt;0,AA138&lt;=24),1,0)</f>
        <v/>
      </c>
      <c r="AC138" s="25">
        <f>IF(OR(P138="",NOT(ISNUMBER(P138))),0,MAX(0,MIN(24,(INT(VALUE(H138)/100)-INT(P138/100))*12+MOD(VALUE(H138),100)-MOD(P138,100))))</f>
        <v/>
      </c>
      <c r="AD138" s="23">
        <f>LN(1+I138)</f>
        <v/>
      </c>
      <c r="AE138">
        <f>IF(I138&lt;2000000,1,0)</f>
        <v/>
      </c>
      <c r="AF138">
        <f>IF(I138&gt;50000000,1,0)</f>
        <v/>
      </c>
      <c r="AG138" s="23">
        <f>IF(ISNUMBER(M138),N138/MAX(M138,1),0)</f>
        <v/>
      </c>
      <c r="AH138">
        <f>IF(G138&gt;=2021,1,0)</f>
        <v/>
      </c>
      <c r="AI138">
        <f>S138</f>
        <v/>
      </c>
      <c r="AJ138">
        <f>T138</f>
        <v/>
      </c>
      <c r="AK138">
        <f>R138</f>
        <v/>
      </c>
      <c r="AL138">
        <f>U138</f>
        <v/>
      </c>
      <c r="AM138">
        <f>IF(ISNUMBER(SEARCH("CAPITAL FUNDING",D138)),1,0)</f>
        <v/>
      </c>
      <c r="AN138">
        <f>IF(ISNUMBER(SEARCH("PNC",D138)),1,0)</f>
        <v/>
      </c>
      <c r="AO138">
        <f>IF(ISNUMBER(SEARCH("WELLS FARGO",D138)),1,0)</f>
        <v/>
      </c>
      <c r="AP138">
        <f>IF(ISNUMBER(SEARCH("DWIGHT",D138)),1,0)</f>
        <v/>
      </c>
      <c r="AQ138">
        <f>IF(ISNUMBER(SEARCH("GREYSTONE",D138)),1,0)</f>
        <v/>
      </c>
      <c r="AR138">
        <f>IF(OR(Q138="3896",Q138="3557"),1,0)</f>
        <v/>
      </c>
      <c r="AS138" s="24">
        <f>V138*W138</f>
        <v/>
      </c>
      <c r="AT138" s="26">
        <f>V$4*(V138-V$3)</f>
        <v/>
      </c>
      <c r="AU138" s="26">
        <f>W$4*(W138-W$3)</f>
        <v/>
      </c>
      <c r="AV138" s="26">
        <f>X$4*(X138-X$3)</f>
        <v/>
      </c>
      <c r="AW138" s="26">
        <f>Y$4*(Y138-Y$3)</f>
        <v/>
      </c>
      <c r="AX138" s="26">
        <f>Z$4*(Z138-Z$3)</f>
        <v/>
      </c>
      <c r="AY138" s="26">
        <f>AA$4*(AA138-AA$3)</f>
        <v/>
      </c>
      <c r="AZ138" s="26">
        <f>AB$4*(AB138-AB$3)</f>
        <v/>
      </c>
      <c r="BA138" s="26">
        <f>AC$4*(AC138-AC$3)</f>
        <v/>
      </c>
      <c r="BB138" s="26">
        <f>AD$4*(AD138-AD$3)</f>
        <v/>
      </c>
      <c r="BC138" s="26">
        <f>AE$4*(AE138-AE$3)</f>
        <v/>
      </c>
      <c r="BD138" s="26">
        <f>AF$4*(AF138-AF$3)</f>
        <v/>
      </c>
      <c r="BE138" s="26">
        <f>AG$4*(AG138-AG$3)</f>
        <v/>
      </c>
      <c r="BF138" s="26">
        <f>AH$4*(AH138-AH$3)</f>
        <v/>
      </c>
      <c r="BG138" s="26">
        <f>AI$4*(AI138-AI$3)</f>
        <v/>
      </c>
      <c r="BH138" s="26">
        <f>AJ$4*(AJ138-AJ$3)</f>
        <v/>
      </c>
      <c r="BI138" s="26">
        <f>AK$4*(AK138-AK$3)</f>
        <v/>
      </c>
      <c r="BJ138" s="26">
        <f>AL$4*(AL138-AL$3)</f>
        <v/>
      </c>
      <c r="BK138" s="26">
        <f>AM$4*(AM138-AM$3)</f>
        <v/>
      </c>
      <c r="BL138" s="26">
        <f>AN$4*(AN138-AN$3)</f>
        <v/>
      </c>
      <c r="BM138" s="26">
        <f>AO$4*(AO138-AO$3)</f>
        <v/>
      </c>
      <c r="BN138" s="26">
        <f>AP$4*(AP138-AP$3)</f>
        <v/>
      </c>
      <c r="BO138" s="26">
        <f>AQ$4*(AQ138-AQ$3)</f>
        <v/>
      </c>
      <c r="BP138" s="26">
        <f>AR$4*(AR138-AR$3)</f>
        <v/>
      </c>
      <c r="BQ138" s="26">
        <f>AS$4*(AS138-AS$3)</f>
        <v/>
      </c>
      <c r="BR138" s="27">
        <f>SUM(AT138:BQ138)</f>
        <v/>
      </c>
      <c r="BS138" s="27">
        <f>INTERCEPT_SCALED+BR138</f>
        <v/>
      </c>
      <c r="BT138" s="28">
        <f>1/(1+EXP(-BS138))</f>
        <v/>
      </c>
      <c r="BU138" s="13">
        <f>1-(1-BT138)^12</f>
        <v/>
      </c>
      <c r="BV138" s="13">
        <f>IFERROR(AT138/BR138*(BU138-BASELINE_CPR),0)</f>
        <v/>
      </c>
      <c r="BW138" s="13">
        <f>IFERROR(AU138/BR138*(BU138-BASELINE_CPR),0)</f>
        <v/>
      </c>
      <c r="BX138" s="13">
        <f>IFERROR(AV138/BR138*(BU138-BASELINE_CPR),0)</f>
        <v/>
      </c>
      <c r="BY138" s="13">
        <f>IFERROR(AW138/BR138*(BU138-BASELINE_CPR),0)</f>
        <v/>
      </c>
      <c r="BZ138" s="13">
        <f>IFERROR(AX138/BR138*(BU138-BASELINE_CPR),0)</f>
        <v/>
      </c>
      <c r="CA138" s="13">
        <f>IFERROR(AY138/BR138*(BU138-BASELINE_CPR),0)</f>
        <v/>
      </c>
      <c r="CB138" s="13">
        <f>IFERROR(AZ138/BR138*(BU138-BASELINE_CPR),0)</f>
        <v/>
      </c>
      <c r="CC138" s="13">
        <f>IFERROR(BA138/BR138*(BU138-BASELINE_CPR),0)</f>
        <v/>
      </c>
      <c r="CD138" s="13">
        <f>IFERROR(BB138/BR138*(BU138-BASELINE_CPR),0)</f>
        <v/>
      </c>
      <c r="CE138" s="13">
        <f>IFERROR(BC138/BR138*(BU138-BASELINE_CPR),0)</f>
        <v/>
      </c>
      <c r="CF138" s="13">
        <f>IFERROR(BD138/BR138*(BU138-BASELINE_CPR),0)</f>
        <v/>
      </c>
      <c r="CG138" s="13">
        <f>IFERROR(BE138/BR138*(BU138-BASELINE_CPR),0)</f>
        <v/>
      </c>
      <c r="CH138" s="13">
        <f>IFERROR(BF138/BR138*(BU138-BASELINE_CPR),0)</f>
        <v/>
      </c>
      <c r="CI138" s="13">
        <f>IFERROR(BG138/BR138*(BU138-BASELINE_CPR),0)</f>
        <v/>
      </c>
      <c r="CJ138" s="13">
        <f>IFERROR(BH138/BR138*(BU138-BASELINE_CPR),0)</f>
        <v/>
      </c>
      <c r="CK138" s="13">
        <f>IFERROR(BI138/BR138*(BU138-BASELINE_CPR),0)</f>
        <v/>
      </c>
      <c r="CL138" s="13">
        <f>IFERROR(BJ138/BR138*(BU138-BASELINE_CPR),0)</f>
        <v/>
      </c>
      <c r="CM138" s="13">
        <f>IFERROR(BK138/BR138*(BU138-BASELINE_CPR),0)</f>
        <v/>
      </c>
      <c r="CN138" s="13">
        <f>IFERROR(BL138/BR138*(BU138-BASELINE_CPR),0)</f>
        <v/>
      </c>
      <c r="CO138" s="13">
        <f>IFERROR(BM138/BR138*(BU138-BASELINE_CPR),0)</f>
        <v/>
      </c>
      <c r="CP138" s="13">
        <f>IFERROR(BN138/BR138*(BU138-BASELINE_CPR),0)</f>
        <v/>
      </c>
      <c r="CQ138" s="13">
        <f>IFERROR(BO138/BR138*(BU138-BASELINE_CPR),0)</f>
        <v/>
      </c>
      <c r="CR138" s="13">
        <f>IFERROR(BP138/BR138*(BU138-BASELINE_CPR),0)</f>
        <v/>
      </c>
      <c r="CS138" s="13">
        <f>IFERROR(BQ138/BR138*(BU138-BASELINE_CPR),0)</f>
        <v/>
      </c>
      <c r="CT138" s="29">
        <f>BASELINE_CPR+SUM(BV138:CS138)-BU138</f>
        <v/>
      </c>
    </row>
    <row r="139">
      <c r="A139" s="2" t="inlineStr">
        <is>
          <t>36194VHB0_000000007211158</t>
        </is>
      </c>
      <c r="B139" t="inlineStr">
        <is>
          <t>MERCHANTS_PRE21</t>
        </is>
      </c>
      <c r="C139" s="2" t="inlineStr">
        <is>
          <t>36194VHB0</t>
        </is>
      </c>
      <c r="D139" t="inlineStr">
        <is>
          <t>MERCHANTS CAPITAL CORP.</t>
        </is>
      </c>
      <c r="E139" t="inlineStr">
        <is>
          <t>223f</t>
        </is>
      </c>
      <c r="F139" t="inlineStr">
        <is>
          <t>RP</t>
        </is>
      </c>
      <c r="G139" t="n">
        <v>2016</v>
      </c>
      <c r="H139" t="inlineStr">
        <is>
          <t>202602</t>
        </is>
      </c>
      <c r="I139" s="22" t="n">
        <v>1838375.43</v>
      </c>
      <c r="J139" s="23" t="n">
        <v>3.35</v>
      </c>
      <c r="K139" s="24" t="n">
        <v>447</v>
      </c>
      <c r="L139" s="24" t="n">
        <v>1</v>
      </c>
      <c r="M139" t="n">
        <v>115</v>
      </c>
      <c r="N139" t="n">
        <v>26</v>
      </c>
      <c r="O139" t="n">
        <v>205108</v>
      </c>
      <c r="P139" t="inlineStr"/>
      <c r="Q139" t="inlineStr">
        <is>
          <t>3487</t>
        </is>
      </c>
      <c r="R139" t="n">
        <v>0</v>
      </c>
      <c r="S139" t="n">
        <v>0</v>
      </c>
      <c r="T139" t="n">
        <v>0</v>
      </c>
      <c r="U139" t="n">
        <v>0</v>
      </c>
      <c r="V139" s="24">
        <f>J139*100-K139</f>
        <v/>
      </c>
      <c r="W139" s="24">
        <f>L139</f>
        <v/>
      </c>
      <c r="X139" s="25">
        <f>MIN(M139,36)</f>
        <v/>
      </c>
      <c r="Y139" s="25">
        <f>MIN(MAX(M139-36,0),84)</f>
        <v/>
      </c>
      <c r="Z139" s="25">
        <f>MAX(M139-120,0)</f>
        <v/>
      </c>
      <c r="AA139" s="25">
        <f>IF(OR(O139="",NOT(ISNUMBER(O139))),360,MAX(0,MIN(480,(INT(O139/100)-INT(VALUE(H139)/100))*12+MOD(O139,100)-MOD(VALUE(H139),100))))</f>
        <v/>
      </c>
      <c r="AB139">
        <f>IF(AND(AA139&gt;0,AA139&lt;=24),1,0)</f>
        <v/>
      </c>
      <c r="AC139" s="25">
        <f>IF(OR(P139="",NOT(ISNUMBER(P139))),0,MAX(0,MIN(24,(INT(VALUE(H139)/100)-INT(P139/100))*12+MOD(VALUE(H139),100)-MOD(P139,100))))</f>
        <v/>
      </c>
      <c r="AD139" s="23">
        <f>LN(1+I139)</f>
        <v/>
      </c>
      <c r="AE139">
        <f>IF(I139&lt;2000000,1,0)</f>
        <v/>
      </c>
      <c r="AF139">
        <f>IF(I139&gt;50000000,1,0)</f>
        <v/>
      </c>
      <c r="AG139" s="23">
        <f>IF(ISNUMBER(M139),N139/MAX(M139,1),0)</f>
        <v/>
      </c>
      <c r="AH139">
        <f>IF(G139&gt;=2021,1,0)</f>
        <v/>
      </c>
      <c r="AI139">
        <f>S139</f>
        <v/>
      </c>
      <c r="AJ139">
        <f>T139</f>
        <v/>
      </c>
      <c r="AK139">
        <f>R139</f>
        <v/>
      </c>
      <c r="AL139">
        <f>U139</f>
        <v/>
      </c>
      <c r="AM139">
        <f>IF(ISNUMBER(SEARCH("CAPITAL FUNDING",D139)),1,0)</f>
        <v/>
      </c>
      <c r="AN139">
        <f>IF(ISNUMBER(SEARCH("PNC",D139)),1,0)</f>
        <v/>
      </c>
      <c r="AO139">
        <f>IF(ISNUMBER(SEARCH("WELLS FARGO",D139)),1,0)</f>
        <v/>
      </c>
      <c r="AP139">
        <f>IF(ISNUMBER(SEARCH("DWIGHT",D139)),1,0)</f>
        <v/>
      </c>
      <c r="AQ139">
        <f>IF(ISNUMBER(SEARCH("GREYSTONE",D139)),1,0)</f>
        <v/>
      </c>
      <c r="AR139">
        <f>IF(OR(Q139="3896",Q139="3557"),1,0)</f>
        <v/>
      </c>
      <c r="AS139" s="24">
        <f>V139*W139</f>
        <v/>
      </c>
      <c r="AT139" s="26">
        <f>V$4*(V139-V$3)</f>
        <v/>
      </c>
      <c r="AU139" s="26">
        <f>W$4*(W139-W$3)</f>
        <v/>
      </c>
      <c r="AV139" s="26">
        <f>X$4*(X139-X$3)</f>
        <v/>
      </c>
      <c r="AW139" s="26">
        <f>Y$4*(Y139-Y$3)</f>
        <v/>
      </c>
      <c r="AX139" s="26">
        <f>Z$4*(Z139-Z$3)</f>
        <v/>
      </c>
      <c r="AY139" s="26">
        <f>AA$4*(AA139-AA$3)</f>
        <v/>
      </c>
      <c r="AZ139" s="26">
        <f>AB$4*(AB139-AB$3)</f>
        <v/>
      </c>
      <c r="BA139" s="26">
        <f>AC$4*(AC139-AC$3)</f>
        <v/>
      </c>
      <c r="BB139" s="26">
        <f>AD$4*(AD139-AD$3)</f>
        <v/>
      </c>
      <c r="BC139" s="26">
        <f>AE$4*(AE139-AE$3)</f>
        <v/>
      </c>
      <c r="BD139" s="26">
        <f>AF$4*(AF139-AF$3)</f>
        <v/>
      </c>
      <c r="BE139" s="26">
        <f>AG$4*(AG139-AG$3)</f>
        <v/>
      </c>
      <c r="BF139" s="26">
        <f>AH$4*(AH139-AH$3)</f>
        <v/>
      </c>
      <c r="BG139" s="26">
        <f>AI$4*(AI139-AI$3)</f>
        <v/>
      </c>
      <c r="BH139" s="26">
        <f>AJ$4*(AJ139-AJ$3)</f>
        <v/>
      </c>
      <c r="BI139" s="26">
        <f>AK$4*(AK139-AK$3)</f>
        <v/>
      </c>
      <c r="BJ139" s="26">
        <f>AL$4*(AL139-AL$3)</f>
        <v/>
      </c>
      <c r="BK139" s="26">
        <f>AM$4*(AM139-AM$3)</f>
        <v/>
      </c>
      <c r="BL139" s="26">
        <f>AN$4*(AN139-AN$3)</f>
        <v/>
      </c>
      <c r="BM139" s="26">
        <f>AO$4*(AO139-AO$3)</f>
        <v/>
      </c>
      <c r="BN139" s="26">
        <f>AP$4*(AP139-AP$3)</f>
        <v/>
      </c>
      <c r="BO139" s="26">
        <f>AQ$4*(AQ139-AQ$3)</f>
        <v/>
      </c>
      <c r="BP139" s="26">
        <f>AR$4*(AR139-AR$3)</f>
        <v/>
      </c>
      <c r="BQ139" s="26">
        <f>AS$4*(AS139-AS$3)</f>
        <v/>
      </c>
      <c r="BR139" s="27">
        <f>SUM(AT139:BQ139)</f>
        <v/>
      </c>
      <c r="BS139" s="27">
        <f>INTERCEPT_SCALED+BR139</f>
        <v/>
      </c>
      <c r="BT139" s="28">
        <f>1/(1+EXP(-BS139))</f>
        <v/>
      </c>
      <c r="BU139" s="13">
        <f>1-(1-BT139)^12</f>
        <v/>
      </c>
      <c r="BV139" s="13">
        <f>IFERROR(AT139/BR139*(BU139-BASELINE_CPR),0)</f>
        <v/>
      </c>
      <c r="BW139" s="13">
        <f>IFERROR(AU139/BR139*(BU139-BASELINE_CPR),0)</f>
        <v/>
      </c>
      <c r="BX139" s="13">
        <f>IFERROR(AV139/BR139*(BU139-BASELINE_CPR),0)</f>
        <v/>
      </c>
      <c r="BY139" s="13">
        <f>IFERROR(AW139/BR139*(BU139-BASELINE_CPR),0)</f>
        <v/>
      </c>
      <c r="BZ139" s="13">
        <f>IFERROR(AX139/BR139*(BU139-BASELINE_CPR),0)</f>
        <v/>
      </c>
      <c r="CA139" s="13">
        <f>IFERROR(AY139/BR139*(BU139-BASELINE_CPR),0)</f>
        <v/>
      </c>
      <c r="CB139" s="13">
        <f>IFERROR(AZ139/BR139*(BU139-BASELINE_CPR),0)</f>
        <v/>
      </c>
      <c r="CC139" s="13">
        <f>IFERROR(BA139/BR139*(BU139-BASELINE_CPR),0)</f>
        <v/>
      </c>
      <c r="CD139" s="13">
        <f>IFERROR(BB139/BR139*(BU139-BASELINE_CPR),0)</f>
        <v/>
      </c>
      <c r="CE139" s="13">
        <f>IFERROR(BC139/BR139*(BU139-BASELINE_CPR),0)</f>
        <v/>
      </c>
      <c r="CF139" s="13">
        <f>IFERROR(BD139/BR139*(BU139-BASELINE_CPR),0)</f>
        <v/>
      </c>
      <c r="CG139" s="13">
        <f>IFERROR(BE139/BR139*(BU139-BASELINE_CPR),0)</f>
        <v/>
      </c>
      <c r="CH139" s="13">
        <f>IFERROR(BF139/BR139*(BU139-BASELINE_CPR),0)</f>
        <v/>
      </c>
      <c r="CI139" s="13">
        <f>IFERROR(BG139/BR139*(BU139-BASELINE_CPR),0)</f>
        <v/>
      </c>
      <c r="CJ139" s="13">
        <f>IFERROR(BH139/BR139*(BU139-BASELINE_CPR),0)</f>
        <v/>
      </c>
      <c r="CK139" s="13">
        <f>IFERROR(BI139/BR139*(BU139-BASELINE_CPR),0)</f>
        <v/>
      </c>
      <c r="CL139" s="13">
        <f>IFERROR(BJ139/BR139*(BU139-BASELINE_CPR),0)</f>
        <v/>
      </c>
      <c r="CM139" s="13">
        <f>IFERROR(BK139/BR139*(BU139-BASELINE_CPR),0)</f>
        <v/>
      </c>
      <c r="CN139" s="13">
        <f>IFERROR(BL139/BR139*(BU139-BASELINE_CPR),0)</f>
        <v/>
      </c>
      <c r="CO139" s="13">
        <f>IFERROR(BM139/BR139*(BU139-BASELINE_CPR),0)</f>
        <v/>
      </c>
      <c r="CP139" s="13">
        <f>IFERROR(BN139/BR139*(BU139-BASELINE_CPR),0)</f>
        <v/>
      </c>
      <c r="CQ139" s="13">
        <f>IFERROR(BO139/BR139*(BU139-BASELINE_CPR),0)</f>
        <v/>
      </c>
      <c r="CR139" s="13">
        <f>IFERROR(BP139/BR139*(BU139-BASELINE_CPR),0)</f>
        <v/>
      </c>
      <c r="CS139" s="13">
        <f>IFERROR(BQ139/BR139*(BU139-BASELINE_CPR),0)</f>
        <v/>
      </c>
      <c r="CT139" s="29">
        <f>BASELINE_CPR+SUM(BV139:CS139)-BU139</f>
        <v/>
      </c>
    </row>
    <row r="140">
      <c r="A140" s="2" t="inlineStr">
        <is>
          <t>3617HGV50_000000011535893</t>
        </is>
      </c>
      <c r="B140" t="inlineStr">
        <is>
          <t>PNC_PRE21</t>
        </is>
      </c>
      <c r="C140" s="2" t="inlineStr">
        <is>
          <t>3617HGV50</t>
        </is>
      </c>
      <c r="D140" t="inlineStr">
        <is>
          <t>PNC BANK, NA</t>
        </is>
      </c>
      <c r="E140" t="inlineStr">
        <is>
          <t>221d4</t>
        </is>
      </c>
      <c r="F140" t="inlineStr">
        <is>
          <t>NC</t>
        </is>
      </c>
      <c r="G140" t="n">
        <v>2020</v>
      </c>
      <c r="H140" t="inlineStr">
        <is>
          <t>202602</t>
        </is>
      </c>
      <c r="I140" s="22" t="n">
        <v>15491709.69</v>
      </c>
      <c r="J140" s="23" t="n">
        <v>2.99</v>
      </c>
      <c r="K140" s="24" t="n">
        <v>447</v>
      </c>
      <c r="L140" s="24" t="n">
        <v>7</v>
      </c>
      <c r="M140" t="n">
        <v>68</v>
      </c>
      <c r="N140" t="n">
        <v>0</v>
      </c>
      <c r="O140" t="n">
        <v>206209</v>
      </c>
      <c r="P140" t="inlineStr"/>
      <c r="Q140" t="inlineStr">
        <is>
          <t>3976</t>
        </is>
      </c>
      <c r="R140" t="n">
        <v>0</v>
      </c>
      <c r="S140" t="n">
        <v>0</v>
      </c>
      <c r="T140" t="n">
        <v>0</v>
      </c>
      <c r="U140" t="n">
        <v>1</v>
      </c>
      <c r="V140" s="24">
        <f>J140*100-K140</f>
        <v/>
      </c>
      <c r="W140" s="24">
        <f>L140</f>
        <v/>
      </c>
      <c r="X140" s="25">
        <f>MIN(M140,36)</f>
        <v/>
      </c>
      <c r="Y140" s="25">
        <f>MIN(MAX(M140-36,0),84)</f>
        <v/>
      </c>
      <c r="Z140" s="25">
        <f>MAX(M140-120,0)</f>
        <v/>
      </c>
      <c r="AA140" s="25">
        <f>IF(OR(O140="",NOT(ISNUMBER(O140))),360,MAX(0,MIN(480,(INT(O140/100)-INT(VALUE(H140)/100))*12+MOD(O140,100)-MOD(VALUE(H140),100))))</f>
        <v/>
      </c>
      <c r="AB140">
        <f>IF(AND(AA140&gt;0,AA140&lt;=24),1,0)</f>
        <v/>
      </c>
      <c r="AC140" s="25">
        <f>IF(OR(P140="",NOT(ISNUMBER(P140))),0,MAX(0,MIN(24,(INT(VALUE(H140)/100)-INT(P140/100))*12+MOD(VALUE(H140),100)-MOD(P140,100))))</f>
        <v/>
      </c>
      <c r="AD140" s="23">
        <f>LN(1+I140)</f>
        <v/>
      </c>
      <c r="AE140">
        <f>IF(I140&lt;2000000,1,0)</f>
        <v/>
      </c>
      <c r="AF140">
        <f>IF(I140&gt;50000000,1,0)</f>
        <v/>
      </c>
      <c r="AG140" s="23">
        <f>IF(ISNUMBER(M140),N140/MAX(M140,1),0)</f>
        <v/>
      </c>
      <c r="AH140">
        <f>IF(G140&gt;=2021,1,0)</f>
        <v/>
      </c>
      <c r="AI140">
        <f>S140</f>
        <v/>
      </c>
      <c r="AJ140">
        <f>T140</f>
        <v/>
      </c>
      <c r="AK140">
        <f>R140</f>
        <v/>
      </c>
      <c r="AL140">
        <f>U140</f>
        <v/>
      </c>
      <c r="AM140">
        <f>IF(ISNUMBER(SEARCH("CAPITAL FUNDING",D140)),1,0)</f>
        <v/>
      </c>
      <c r="AN140">
        <f>IF(ISNUMBER(SEARCH("PNC",D140)),1,0)</f>
        <v/>
      </c>
      <c r="AO140">
        <f>IF(ISNUMBER(SEARCH("WELLS FARGO",D140)),1,0)</f>
        <v/>
      </c>
      <c r="AP140">
        <f>IF(ISNUMBER(SEARCH("DWIGHT",D140)),1,0)</f>
        <v/>
      </c>
      <c r="AQ140">
        <f>IF(ISNUMBER(SEARCH("GREYSTONE",D140)),1,0)</f>
        <v/>
      </c>
      <c r="AR140">
        <f>IF(OR(Q140="3896",Q140="3557"),1,0)</f>
        <v/>
      </c>
      <c r="AS140" s="24">
        <f>V140*W140</f>
        <v/>
      </c>
      <c r="AT140" s="26">
        <f>V$4*(V140-V$3)</f>
        <v/>
      </c>
      <c r="AU140" s="26">
        <f>W$4*(W140-W$3)</f>
        <v/>
      </c>
      <c r="AV140" s="26">
        <f>X$4*(X140-X$3)</f>
        <v/>
      </c>
      <c r="AW140" s="26">
        <f>Y$4*(Y140-Y$3)</f>
        <v/>
      </c>
      <c r="AX140" s="26">
        <f>Z$4*(Z140-Z$3)</f>
        <v/>
      </c>
      <c r="AY140" s="26">
        <f>AA$4*(AA140-AA$3)</f>
        <v/>
      </c>
      <c r="AZ140" s="26">
        <f>AB$4*(AB140-AB$3)</f>
        <v/>
      </c>
      <c r="BA140" s="26">
        <f>AC$4*(AC140-AC$3)</f>
        <v/>
      </c>
      <c r="BB140" s="26">
        <f>AD$4*(AD140-AD$3)</f>
        <v/>
      </c>
      <c r="BC140" s="26">
        <f>AE$4*(AE140-AE$3)</f>
        <v/>
      </c>
      <c r="BD140" s="26">
        <f>AF$4*(AF140-AF$3)</f>
        <v/>
      </c>
      <c r="BE140" s="26">
        <f>AG$4*(AG140-AG$3)</f>
        <v/>
      </c>
      <c r="BF140" s="26">
        <f>AH$4*(AH140-AH$3)</f>
        <v/>
      </c>
      <c r="BG140" s="26">
        <f>AI$4*(AI140-AI$3)</f>
        <v/>
      </c>
      <c r="BH140" s="26">
        <f>AJ$4*(AJ140-AJ$3)</f>
        <v/>
      </c>
      <c r="BI140" s="26">
        <f>AK$4*(AK140-AK$3)</f>
        <v/>
      </c>
      <c r="BJ140" s="26">
        <f>AL$4*(AL140-AL$3)</f>
        <v/>
      </c>
      <c r="BK140" s="26">
        <f>AM$4*(AM140-AM$3)</f>
        <v/>
      </c>
      <c r="BL140" s="26">
        <f>AN$4*(AN140-AN$3)</f>
        <v/>
      </c>
      <c r="BM140" s="26">
        <f>AO$4*(AO140-AO$3)</f>
        <v/>
      </c>
      <c r="BN140" s="26">
        <f>AP$4*(AP140-AP$3)</f>
        <v/>
      </c>
      <c r="BO140" s="26">
        <f>AQ$4*(AQ140-AQ$3)</f>
        <v/>
      </c>
      <c r="BP140" s="26">
        <f>AR$4*(AR140-AR$3)</f>
        <v/>
      </c>
      <c r="BQ140" s="26">
        <f>AS$4*(AS140-AS$3)</f>
        <v/>
      </c>
      <c r="BR140" s="27">
        <f>SUM(AT140:BQ140)</f>
        <v/>
      </c>
      <c r="BS140" s="27">
        <f>INTERCEPT_SCALED+BR140</f>
        <v/>
      </c>
      <c r="BT140" s="28">
        <f>1/(1+EXP(-BS140))</f>
        <v/>
      </c>
      <c r="BU140" s="13">
        <f>1-(1-BT140)^12</f>
        <v/>
      </c>
      <c r="BV140" s="13">
        <f>IFERROR(AT140/BR140*(BU140-BASELINE_CPR),0)</f>
        <v/>
      </c>
      <c r="BW140" s="13">
        <f>IFERROR(AU140/BR140*(BU140-BASELINE_CPR),0)</f>
        <v/>
      </c>
      <c r="BX140" s="13">
        <f>IFERROR(AV140/BR140*(BU140-BASELINE_CPR),0)</f>
        <v/>
      </c>
      <c r="BY140" s="13">
        <f>IFERROR(AW140/BR140*(BU140-BASELINE_CPR),0)</f>
        <v/>
      </c>
      <c r="BZ140" s="13">
        <f>IFERROR(AX140/BR140*(BU140-BASELINE_CPR),0)</f>
        <v/>
      </c>
      <c r="CA140" s="13">
        <f>IFERROR(AY140/BR140*(BU140-BASELINE_CPR),0)</f>
        <v/>
      </c>
      <c r="CB140" s="13">
        <f>IFERROR(AZ140/BR140*(BU140-BASELINE_CPR),0)</f>
        <v/>
      </c>
      <c r="CC140" s="13">
        <f>IFERROR(BA140/BR140*(BU140-BASELINE_CPR),0)</f>
        <v/>
      </c>
      <c r="CD140" s="13">
        <f>IFERROR(BB140/BR140*(BU140-BASELINE_CPR),0)</f>
        <v/>
      </c>
      <c r="CE140" s="13">
        <f>IFERROR(BC140/BR140*(BU140-BASELINE_CPR),0)</f>
        <v/>
      </c>
      <c r="CF140" s="13">
        <f>IFERROR(BD140/BR140*(BU140-BASELINE_CPR),0)</f>
        <v/>
      </c>
      <c r="CG140" s="13">
        <f>IFERROR(BE140/BR140*(BU140-BASELINE_CPR),0)</f>
        <v/>
      </c>
      <c r="CH140" s="13">
        <f>IFERROR(BF140/BR140*(BU140-BASELINE_CPR),0)</f>
        <v/>
      </c>
      <c r="CI140" s="13">
        <f>IFERROR(BG140/BR140*(BU140-BASELINE_CPR),0)</f>
        <v/>
      </c>
      <c r="CJ140" s="13">
        <f>IFERROR(BH140/BR140*(BU140-BASELINE_CPR),0)</f>
        <v/>
      </c>
      <c r="CK140" s="13">
        <f>IFERROR(BI140/BR140*(BU140-BASELINE_CPR),0)</f>
        <v/>
      </c>
      <c r="CL140" s="13">
        <f>IFERROR(BJ140/BR140*(BU140-BASELINE_CPR),0)</f>
        <v/>
      </c>
      <c r="CM140" s="13">
        <f>IFERROR(BK140/BR140*(BU140-BASELINE_CPR),0)</f>
        <v/>
      </c>
      <c r="CN140" s="13">
        <f>IFERROR(BL140/BR140*(BU140-BASELINE_CPR),0)</f>
        <v/>
      </c>
      <c r="CO140" s="13">
        <f>IFERROR(BM140/BR140*(BU140-BASELINE_CPR),0)</f>
        <v/>
      </c>
      <c r="CP140" s="13">
        <f>IFERROR(BN140/BR140*(BU140-BASELINE_CPR),0)</f>
        <v/>
      </c>
      <c r="CQ140" s="13">
        <f>IFERROR(BO140/BR140*(BU140-BASELINE_CPR),0)</f>
        <v/>
      </c>
      <c r="CR140" s="13">
        <f>IFERROR(BP140/BR140*(BU140-BASELINE_CPR),0)</f>
        <v/>
      </c>
      <c r="CS140" s="13">
        <f>IFERROR(BQ140/BR140*(BU140-BASELINE_CPR),0)</f>
        <v/>
      </c>
      <c r="CT140" s="29">
        <f>BASELINE_CPR+SUM(BV140:CS140)-BU140</f>
        <v/>
      </c>
    </row>
    <row r="141">
      <c r="A141" s="2" t="inlineStr">
        <is>
          <t>36186PSP0_000000007535415</t>
        </is>
      </c>
      <c r="B141" t="inlineStr">
        <is>
          <t>PNC_PRE21</t>
        </is>
      </c>
      <c r="C141" s="2" t="inlineStr">
        <is>
          <t>36186PSP0</t>
        </is>
      </c>
      <c r="D141" t="inlineStr">
        <is>
          <t>PNC BANK, NA</t>
        </is>
      </c>
      <c r="E141" t="inlineStr">
        <is>
          <t>221d4</t>
        </is>
      </c>
      <c r="F141" t="inlineStr">
        <is>
          <t>NC</t>
        </is>
      </c>
      <c r="G141" t="n">
        <v>2015</v>
      </c>
      <c r="H141" t="inlineStr">
        <is>
          <t>202602</t>
        </is>
      </c>
      <c r="I141" s="22" t="n">
        <v>4231318.11</v>
      </c>
      <c r="J141" s="23" t="n">
        <v>3.35</v>
      </c>
      <c r="K141" s="24" t="n">
        <v>447</v>
      </c>
      <c r="L141" s="24" t="n">
        <v>0</v>
      </c>
      <c r="M141" t="n">
        <v>127</v>
      </c>
      <c r="N141" t="n">
        <v>29</v>
      </c>
      <c r="O141" t="n">
        <v>204504</v>
      </c>
      <c r="P141" t="inlineStr"/>
      <c r="Q141" t="inlineStr">
        <is>
          <t>3976</t>
        </is>
      </c>
      <c r="R141" t="n">
        <v>0</v>
      </c>
      <c r="S141" t="n">
        <v>0</v>
      </c>
      <c r="T141" t="n">
        <v>0</v>
      </c>
      <c r="U141" t="n">
        <v>1</v>
      </c>
      <c r="V141" s="24">
        <f>J141*100-K141</f>
        <v/>
      </c>
      <c r="W141" s="24">
        <f>L141</f>
        <v/>
      </c>
      <c r="X141" s="25">
        <f>MIN(M141,36)</f>
        <v/>
      </c>
      <c r="Y141" s="25">
        <f>MIN(MAX(M141-36,0),84)</f>
        <v/>
      </c>
      <c r="Z141" s="25">
        <f>MAX(M141-120,0)</f>
        <v/>
      </c>
      <c r="AA141" s="25">
        <f>IF(OR(O141="",NOT(ISNUMBER(O141))),360,MAX(0,MIN(480,(INT(O141/100)-INT(VALUE(H141)/100))*12+MOD(O141,100)-MOD(VALUE(H141),100))))</f>
        <v/>
      </c>
      <c r="AB141">
        <f>IF(AND(AA141&gt;0,AA141&lt;=24),1,0)</f>
        <v/>
      </c>
      <c r="AC141" s="25">
        <f>IF(OR(P141="",NOT(ISNUMBER(P141))),0,MAX(0,MIN(24,(INT(VALUE(H141)/100)-INT(P141/100))*12+MOD(VALUE(H141),100)-MOD(P141,100))))</f>
        <v/>
      </c>
      <c r="AD141" s="23">
        <f>LN(1+I141)</f>
        <v/>
      </c>
      <c r="AE141">
        <f>IF(I141&lt;2000000,1,0)</f>
        <v/>
      </c>
      <c r="AF141">
        <f>IF(I141&gt;50000000,1,0)</f>
        <v/>
      </c>
      <c r="AG141" s="23">
        <f>IF(ISNUMBER(M141),N141/MAX(M141,1),0)</f>
        <v/>
      </c>
      <c r="AH141">
        <f>IF(G141&gt;=2021,1,0)</f>
        <v/>
      </c>
      <c r="AI141">
        <f>S141</f>
        <v/>
      </c>
      <c r="AJ141">
        <f>T141</f>
        <v/>
      </c>
      <c r="AK141">
        <f>R141</f>
        <v/>
      </c>
      <c r="AL141">
        <f>U141</f>
        <v/>
      </c>
      <c r="AM141">
        <f>IF(ISNUMBER(SEARCH("CAPITAL FUNDING",D141)),1,0)</f>
        <v/>
      </c>
      <c r="AN141">
        <f>IF(ISNUMBER(SEARCH("PNC",D141)),1,0)</f>
        <v/>
      </c>
      <c r="AO141">
        <f>IF(ISNUMBER(SEARCH("WELLS FARGO",D141)),1,0)</f>
        <v/>
      </c>
      <c r="AP141">
        <f>IF(ISNUMBER(SEARCH("DWIGHT",D141)),1,0)</f>
        <v/>
      </c>
      <c r="AQ141">
        <f>IF(ISNUMBER(SEARCH("GREYSTONE",D141)),1,0)</f>
        <v/>
      </c>
      <c r="AR141">
        <f>IF(OR(Q141="3896",Q141="3557"),1,0)</f>
        <v/>
      </c>
      <c r="AS141" s="24">
        <f>V141*W141</f>
        <v/>
      </c>
      <c r="AT141" s="26">
        <f>V$4*(V141-V$3)</f>
        <v/>
      </c>
      <c r="AU141" s="26">
        <f>W$4*(W141-W$3)</f>
        <v/>
      </c>
      <c r="AV141" s="26">
        <f>X$4*(X141-X$3)</f>
        <v/>
      </c>
      <c r="AW141" s="26">
        <f>Y$4*(Y141-Y$3)</f>
        <v/>
      </c>
      <c r="AX141" s="26">
        <f>Z$4*(Z141-Z$3)</f>
        <v/>
      </c>
      <c r="AY141" s="26">
        <f>AA$4*(AA141-AA$3)</f>
        <v/>
      </c>
      <c r="AZ141" s="26">
        <f>AB$4*(AB141-AB$3)</f>
        <v/>
      </c>
      <c r="BA141" s="26">
        <f>AC$4*(AC141-AC$3)</f>
        <v/>
      </c>
      <c r="BB141" s="26">
        <f>AD$4*(AD141-AD$3)</f>
        <v/>
      </c>
      <c r="BC141" s="26">
        <f>AE$4*(AE141-AE$3)</f>
        <v/>
      </c>
      <c r="BD141" s="26">
        <f>AF$4*(AF141-AF$3)</f>
        <v/>
      </c>
      <c r="BE141" s="26">
        <f>AG$4*(AG141-AG$3)</f>
        <v/>
      </c>
      <c r="BF141" s="26">
        <f>AH$4*(AH141-AH$3)</f>
        <v/>
      </c>
      <c r="BG141" s="26">
        <f>AI$4*(AI141-AI$3)</f>
        <v/>
      </c>
      <c r="BH141" s="26">
        <f>AJ$4*(AJ141-AJ$3)</f>
        <v/>
      </c>
      <c r="BI141" s="26">
        <f>AK$4*(AK141-AK$3)</f>
        <v/>
      </c>
      <c r="BJ141" s="26">
        <f>AL$4*(AL141-AL$3)</f>
        <v/>
      </c>
      <c r="BK141" s="26">
        <f>AM$4*(AM141-AM$3)</f>
        <v/>
      </c>
      <c r="BL141" s="26">
        <f>AN$4*(AN141-AN$3)</f>
        <v/>
      </c>
      <c r="BM141" s="26">
        <f>AO$4*(AO141-AO$3)</f>
        <v/>
      </c>
      <c r="BN141" s="26">
        <f>AP$4*(AP141-AP$3)</f>
        <v/>
      </c>
      <c r="BO141" s="26">
        <f>AQ$4*(AQ141-AQ$3)</f>
        <v/>
      </c>
      <c r="BP141" s="26">
        <f>AR$4*(AR141-AR$3)</f>
        <v/>
      </c>
      <c r="BQ141" s="26">
        <f>AS$4*(AS141-AS$3)</f>
        <v/>
      </c>
      <c r="BR141" s="27">
        <f>SUM(AT141:BQ141)</f>
        <v/>
      </c>
      <c r="BS141" s="27">
        <f>INTERCEPT_SCALED+BR141</f>
        <v/>
      </c>
      <c r="BT141" s="28">
        <f>1/(1+EXP(-BS141))</f>
        <v/>
      </c>
      <c r="BU141" s="13">
        <f>1-(1-BT141)^12</f>
        <v/>
      </c>
      <c r="BV141" s="13">
        <f>IFERROR(AT141/BR141*(BU141-BASELINE_CPR),0)</f>
        <v/>
      </c>
      <c r="BW141" s="13">
        <f>IFERROR(AU141/BR141*(BU141-BASELINE_CPR),0)</f>
        <v/>
      </c>
      <c r="BX141" s="13">
        <f>IFERROR(AV141/BR141*(BU141-BASELINE_CPR),0)</f>
        <v/>
      </c>
      <c r="BY141" s="13">
        <f>IFERROR(AW141/BR141*(BU141-BASELINE_CPR),0)</f>
        <v/>
      </c>
      <c r="BZ141" s="13">
        <f>IFERROR(AX141/BR141*(BU141-BASELINE_CPR),0)</f>
        <v/>
      </c>
      <c r="CA141" s="13">
        <f>IFERROR(AY141/BR141*(BU141-BASELINE_CPR),0)</f>
        <v/>
      </c>
      <c r="CB141" s="13">
        <f>IFERROR(AZ141/BR141*(BU141-BASELINE_CPR),0)</f>
        <v/>
      </c>
      <c r="CC141" s="13">
        <f>IFERROR(BA141/BR141*(BU141-BASELINE_CPR),0)</f>
        <v/>
      </c>
      <c r="CD141" s="13">
        <f>IFERROR(BB141/BR141*(BU141-BASELINE_CPR),0)</f>
        <v/>
      </c>
      <c r="CE141" s="13">
        <f>IFERROR(BC141/BR141*(BU141-BASELINE_CPR),0)</f>
        <v/>
      </c>
      <c r="CF141" s="13">
        <f>IFERROR(BD141/BR141*(BU141-BASELINE_CPR),0)</f>
        <v/>
      </c>
      <c r="CG141" s="13">
        <f>IFERROR(BE141/BR141*(BU141-BASELINE_CPR),0)</f>
        <v/>
      </c>
      <c r="CH141" s="13">
        <f>IFERROR(BF141/BR141*(BU141-BASELINE_CPR),0)</f>
        <v/>
      </c>
      <c r="CI141" s="13">
        <f>IFERROR(BG141/BR141*(BU141-BASELINE_CPR),0)</f>
        <v/>
      </c>
      <c r="CJ141" s="13">
        <f>IFERROR(BH141/BR141*(BU141-BASELINE_CPR),0)</f>
        <v/>
      </c>
      <c r="CK141" s="13">
        <f>IFERROR(BI141/BR141*(BU141-BASELINE_CPR),0)</f>
        <v/>
      </c>
      <c r="CL141" s="13">
        <f>IFERROR(BJ141/BR141*(BU141-BASELINE_CPR),0)</f>
        <v/>
      </c>
      <c r="CM141" s="13">
        <f>IFERROR(BK141/BR141*(BU141-BASELINE_CPR),0)</f>
        <v/>
      </c>
      <c r="CN141" s="13">
        <f>IFERROR(BL141/BR141*(BU141-BASELINE_CPR),0)</f>
        <v/>
      </c>
      <c r="CO141" s="13">
        <f>IFERROR(BM141/BR141*(BU141-BASELINE_CPR),0)</f>
        <v/>
      </c>
      <c r="CP141" s="13">
        <f>IFERROR(BN141/BR141*(BU141-BASELINE_CPR),0)</f>
        <v/>
      </c>
      <c r="CQ141" s="13">
        <f>IFERROR(BO141/BR141*(BU141-BASELINE_CPR),0)</f>
        <v/>
      </c>
      <c r="CR141" s="13">
        <f>IFERROR(BP141/BR141*(BU141-BASELINE_CPR),0)</f>
        <v/>
      </c>
      <c r="CS141" s="13">
        <f>IFERROR(BQ141/BR141*(BU141-BASELINE_CPR),0)</f>
        <v/>
      </c>
      <c r="CT141" s="29">
        <f>BASELINE_CPR+SUM(BV141:CS141)-BU141</f>
        <v/>
      </c>
    </row>
    <row r="142">
      <c r="A142" s="2" t="inlineStr">
        <is>
          <t>36295AMH5_000000004711044</t>
        </is>
      </c>
      <c r="B142" t="inlineStr">
        <is>
          <t>PNC_PRE21</t>
        </is>
      </c>
      <c r="C142" s="2" t="inlineStr">
        <is>
          <t>36295AMH5</t>
        </is>
      </c>
      <c r="D142" t="inlineStr">
        <is>
          <t>PNC BANK, NA</t>
        </is>
      </c>
      <c r="E142" t="inlineStr">
        <is>
          <t>223f</t>
        </is>
      </c>
      <c r="F142" t="inlineStr">
        <is>
          <t>RP</t>
        </is>
      </c>
      <c r="G142" t="n">
        <v>2007</v>
      </c>
      <c r="H142" t="inlineStr">
        <is>
          <t>202602</t>
        </is>
      </c>
      <c r="I142" s="22" t="n">
        <v>656933.48</v>
      </c>
      <c r="J142" s="23" t="n">
        <v>5.8</v>
      </c>
      <c r="K142" s="24" t="n">
        <v>447</v>
      </c>
      <c r="L142" s="24" t="n">
        <v>0</v>
      </c>
      <c r="M142" t="n">
        <v>223</v>
      </c>
      <c r="N142" t="n">
        <v>85</v>
      </c>
      <c r="O142" t="n">
        <v>204208</v>
      </c>
      <c r="P142" t="n">
        <v>200909</v>
      </c>
      <c r="Q142" t="inlineStr">
        <is>
          <t>3976</t>
        </is>
      </c>
      <c r="R142" t="n">
        <v>0</v>
      </c>
      <c r="S142" t="n">
        <v>0</v>
      </c>
      <c r="T142" t="n">
        <v>0</v>
      </c>
      <c r="U142" t="n">
        <v>0</v>
      </c>
      <c r="V142" s="24">
        <f>J142*100-K142</f>
        <v/>
      </c>
      <c r="W142" s="24">
        <f>L142</f>
        <v/>
      </c>
      <c r="X142" s="25">
        <f>MIN(M142,36)</f>
        <v/>
      </c>
      <c r="Y142" s="25">
        <f>MIN(MAX(M142-36,0),84)</f>
        <v/>
      </c>
      <c r="Z142" s="25">
        <f>MAX(M142-120,0)</f>
        <v/>
      </c>
      <c r="AA142" s="25">
        <f>IF(OR(O142="",NOT(ISNUMBER(O142))),360,MAX(0,MIN(480,(INT(O142/100)-INT(VALUE(H142)/100))*12+MOD(O142,100)-MOD(VALUE(H142),100))))</f>
        <v/>
      </c>
      <c r="AB142">
        <f>IF(AND(AA142&gt;0,AA142&lt;=24),1,0)</f>
        <v/>
      </c>
      <c r="AC142" s="25">
        <f>IF(OR(P142="",NOT(ISNUMBER(P142))),0,MAX(0,MIN(24,(INT(VALUE(H142)/100)-INT(P142/100))*12+MOD(VALUE(H142),100)-MOD(P142,100))))</f>
        <v/>
      </c>
      <c r="AD142" s="23">
        <f>LN(1+I142)</f>
        <v/>
      </c>
      <c r="AE142">
        <f>IF(I142&lt;2000000,1,0)</f>
        <v/>
      </c>
      <c r="AF142">
        <f>IF(I142&gt;50000000,1,0)</f>
        <v/>
      </c>
      <c r="AG142" s="23">
        <f>IF(ISNUMBER(M142),N142/MAX(M142,1),0)</f>
        <v/>
      </c>
      <c r="AH142">
        <f>IF(G142&gt;=2021,1,0)</f>
        <v/>
      </c>
      <c r="AI142">
        <f>S142</f>
        <v/>
      </c>
      <c r="AJ142">
        <f>T142</f>
        <v/>
      </c>
      <c r="AK142">
        <f>R142</f>
        <v/>
      </c>
      <c r="AL142">
        <f>U142</f>
        <v/>
      </c>
      <c r="AM142">
        <f>IF(ISNUMBER(SEARCH("CAPITAL FUNDING",D142)),1,0)</f>
        <v/>
      </c>
      <c r="AN142">
        <f>IF(ISNUMBER(SEARCH("PNC",D142)),1,0)</f>
        <v/>
      </c>
      <c r="AO142">
        <f>IF(ISNUMBER(SEARCH("WELLS FARGO",D142)),1,0)</f>
        <v/>
      </c>
      <c r="AP142">
        <f>IF(ISNUMBER(SEARCH("DWIGHT",D142)),1,0)</f>
        <v/>
      </c>
      <c r="AQ142">
        <f>IF(ISNUMBER(SEARCH("GREYSTONE",D142)),1,0)</f>
        <v/>
      </c>
      <c r="AR142">
        <f>IF(OR(Q142="3896",Q142="3557"),1,0)</f>
        <v/>
      </c>
      <c r="AS142" s="24">
        <f>V142*W142</f>
        <v/>
      </c>
      <c r="AT142" s="26">
        <f>V$4*(V142-V$3)</f>
        <v/>
      </c>
      <c r="AU142" s="26">
        <f>W$4*(W142-W$3)</f>
        <v/>
      </c>
      <c r="AV142" s="26">
        <f>X$4*(X142-X$3)</f>
        <v/>
      </c>
      <c r="AW142" s="26">
        <f>Y$4*(Y142-Y$3)</f>
        <v/>
      </c>
      <c r="AX142" s="26">
        <f>Z$4*(Z142-Z$3)</f>
        <v/>
      </c>
      <c r="AY142" s="26">
        <f>AA$4*(AA142-AA$3)</f>
        <v/>
      </c>
      <c r="AZ142" s="26">
        <f>AB$4*(AB142-AB$3)</f>
        <v/>
      </c>
      <c r="BA142" s="26">
        <f>AC$4*(AC142-AC$3)</f>
        <v/>
      </c>
      <c r="BB142" s="26">
        <f>AD$4*(AD142-AD$3)</f>
        <v/>
      </c>
      <c r="BC142" s="26">
        <f>AE$4*(AE142-AE$3)</f>
        <v/>
      </c>
      <c r="BD142" s="26">
        <f>AF$4*(AF142-AF$3)</f>
        <v/>
      </c>
      <c r="BE142" s="26">
        <f>AG$4*(AG142-AG$3)</f>
        <v/>
      </c>
      <c r="BF142" s="26">
        <f>AH$4*(AH142-AH$3)</f>
        <v/>
      </c>
      <c r="BG142" s="26">
        <f>AI$4*(AI142-AI$3)</f>
        <v/>
      </c>
      <c r="BH142" s="26">
        <f>AJ$4*(AJ142-AJ$3)</f>
        <v/>
      </c>
      <c r="BI142" s="26">
        <f>AK$4*(AK142-AK$3)</f>
        <v/>
      </c>
      <c r="BJ142" s="26">
        <f>AL$4*(AL142-AL$3)</f>
        <v/>
      </c>
      <c r="BK142" s="26">
        <f>AM$4*(AM142-AM$3)</f>
        <v/>
      </c>
      <c r="BL142" s="26">
        <f>AN$4*(AN142-AN$3)</f>
        <v/>
      </c>
      <c r="BM142" s="26">
        <f>AO$4*(AO142-AO$3)</f>
        <v/>
      </c>
      <c r="BN142" s="26">
        <f>AP$4*(AP142-AP$3)</f>
        <v/>
      </c>
      <c r="BO142" s="26">
        <f>AQ$4*(AQ142-AQ$3)</f>
        <v/>
      </c>
      <c r="BP142" s="26">
        <f>AR$4*(AR142-AR$3)</f>
        <v/>
      </c>
      <c r="BQ142" s="26">
        <f>AS$4*(AS142-AS$3)</f>
        <v/>
      </c>
      <c r="BR142" s="27">
        <f>SUM(AT142:BQ142)</f>
        <v/>
      </c>
      <c r="BS142" s="27">
        <f>INTERCEPT_SCALED+BR142</f>
        <v/>
      </c>
      <c r="BT142" s="28">
        <f>1/(1+EXP(-BS142))</f>
        <v/>
      </c>
      <c r="BU142" s="13">
        <f>1-(1-BT142)^12</f>
        <v/>
      </c>
      <c r="BV142" s="13">
        <f>IFERROR(AT142/BR142*(BU142-BASELINE_CPR),0)</f>
        <v/>
      </c>
      <c r="BW142" s="13">
        <f>IFERROR(AU142/BR142*(BU142-BASELINE_CPR),0)</f>
        <v/>
      </c>
      <c r="BX142" s="13">
        <f>IFERROR(AV142/BR142*(BU142-BASELINE_CPR),0)</f>
        <v/>
      </c>
      <c r="BY142" s="13">
        <f>IFERROR(AW142/BR142*(BU142-BASELINE_CPR),0)</f>
        <v/>
      </c>
      <c r="BZ142" s="13">
        <f>IFERROR(AX142/BR142*(BU142-BASELINE_CPR),0)</f>
        <v/>
      </c>
      <c r="CA142" s="13">
        <f>IFERROR(AY142/BR142*(BU142-BASELINE_CPR),0)</f>
        <v/>
      </c>
      <c r="CB142" s="13">
        <f>IFERROR(AZ142/BR142*(BU142-BASELINE_CPR),0)</f>
        <v/>
      </c>
      <c r="CC142" s="13">
        <f>IFERROR(BA142/BR142*(BU142-BASELINE_CPR),0)</f>
        <v/>
      </c>
      <c r="CD142" s="13">
        <f>IFERROR(BB142/BR142*(BU142-BASELINE_CPR),0)</f>
        <v/>
      </c>
      <c r="CE142" s="13">
        <f>IFERROR(BC142/BR142*(BU142-BASELINE_CPR),0)</f>
        <v/>
      </c>
      <c r="CF142" s="13">
        <f>IFERROR(BD142/BR142*(BU142-BASELINE_CPR),0)</f>
        <v/>
      </c>
      <c r="CG142" s="13">
        <f>IFERROR(BE142/BR142*(BU142-BASELINE_CPR),0)</f>
        <v/>
      </c>
      <c r="CH142" s="13">
        <f>IFERROR(BF142/BR142*(BU142-BASELINE_CPR),0)</f>
        <v/>
      </c>
      <c r="CI142" s="13">
        <f>IFERROR(BG142/BR142*(BU142-BASELINE_CPR),0)</f>
        <v/>
      </c>
      <c r="CJ142" s="13">
        <f>IFERROR(BH142/BR142*(BU142-BASELINE_CPR),0)</f>
        <v/>
      </c>
      <c r="CK142" s="13">
        <f>IFERROR(BI142/BR142*(BU142-BASELINE_CPR),0)</f>
        <v/>
      </c>
      <c r="CL142" s="13">
        <f>IFERROR(BJ142/BR142*(BU142-BASELINE_CPR),0)</f>
        <v/>
      </c>
      <c r="CM142" s="13">
        <f>IFERROR(BK142/BR142*(BU142-BASELINE_CPR),0)</f>
        <v/>
      </c>
      <c r="CN142" s="13">
        <f>IFERROR(BL142/BR142*(BU142-BASELINE_CPR),0)</f>
        <v/>
      </c>
      <c r="CO142" s="13">
        <f>IFERROR(BM142/BR142*(BU142-BASELINE_CPR),0)</f>
        <v/>
      </c>
      <c r="CP142" s="13">
        <f>IFERROR(BN142/BR142*(BU142-BASELINE_CPR),0)</f>
        <v/>
      </c>
      <c r="CQ142" s="13">
        <f>IFERROR(BO142/BR142*(BU142-BASELINE_CPR),0)</f>
        <v/>
      </c>
      <c r="CR142" s="13">
        <f>IFERROR(BP142/BR142*(BU142-BASELINE_CPR),0)</f>
        <v/>
      </c>
      <c r="CS142" s="13">
        <f>IFERROR(BQ142/BR142*(BU142-BASELINE_CPR),0)</f>
        <v/>
      </c>
      <c r="CT142" s="29">
        <f>BASELINE_CPR+SUM(BV142:CS142)-BU142</f>
        <v/>
      </c>
    </row>
    <row r="143">
      <c r="A143" s="2" t="inlineStr">
        <is>
          <t>3617HGVR2_000000001711215</t>
        </is>
      </c>
      <c r="B143" t="inlineStr">
        <is>
          <t>PNC_PRE21</t>
        </is>
      </c>
      <c r="C143" s="2" t="inlineStr">
        <is>
          <t>3617HGVR2</t>
        </is>
      </c>
      <c r="D143" t="inlineStr">
        <is>
          <t>PNC BANK, NA</t>
        </is>
      </c>
      <c r="E143" t="inlineStr">
        <is>
          <t>223f</t>
        </is>
      </c>
      <c r="F143" t="inlineStr">
        <is>
          <t>RP</t>
        </is>
      </c>
      <c r="G143" t="n">
        <v>2020</v>
      </c>
      <c r="H143" t="inlineStr">
        <is>
          <t>202602</t>
        </is>
      </c>
      <c r="I143" s="22" t="n">
        <v>12716615.97</v>
      </c>
      <c r="J143" s="23" t="n">
        <v>2.38</v>
      </c>
      <c r="K143" s="24" t="n">
        <v>447</v>
      </c>
      <c r="L143" s="24" t="n">
        <v>5</v>
      </c>
      <c r="M143" t="n">
        <v>67</v>
      </c>
      <c r="N143" t="n">
        <v>0</v>
      </c>
      <c r="O143" t="n">
        <v>205508</v>
      </c>
      <c r="P143" t="inlineStr"/>
      <c r="Q143" t="inlineStr">
        <is>
          <t>3976</t>
        </is>
      </c>
      <c r="R143" t="n">
        <v>0</v>
      </c>
      <c r="S143" t="n">
        <v>0</v>
      </c>
      <c r="T143" t="n">
        <v>0</v>
      </c>
      <c r="U143" t="n">
        <v>0</v>
      </c>
      <c r="V143" s="24">
        <f>J143*100-K143</f>
        <v/>
      </c>
      <c r="W143" s="24">
        <f>L143</f>
        <v/>
      </c>
      <c r="X143" s="25">
        <f>MIN(M143,36)</f>
        <v/>
      </c>
      <c r="Y143" s="25">
        <f>MIN(MAX(M143-36,0),84)</f>
        <v/>
      </c>
      <c r="Z143" s="25">
        <f>MAX(M143-120,0)</f>
        <v/>
      </c>
      <c r="AA143" s="25">
        <f>IF(OR(O143="",NOT(ISNUMBER(O143))),360,MAX(0,MIN(480,(INT(O143/100)-INT(VALUE(H143)/100))*12+MOD(O143,100)-MOD(VALUE(H143),100))))</f>
        <v/>
      </c>
      <c r="AB143">
        <f>IF(AND(AA143&gt;0,AA143&lt;=24),1,0)</f>
        <v/>
      </c>
      <c r="AC143" s="25">
        <f>IF(OR(P143="",NOT(ISNUMBER(P143))),0,MAX(0,MIN(24,(INT(VALUE(H143)/100)-INT(P143/100))*12+MOD(VALUE(H143),100)-MOD(P143,100))))</f>
        <v/>
      </c>
      <c r="AD143" s="23">
        <f>LN(1+I143)</f>
        <v/>
      </c>
      <c r="AE143">
        <f>IF(I143&lt;2000000,1,0)</f>
        <v/>
      </c>
      <c r="AF143">
        <f>IF(I143&gt;50000000,1,0)</f>
        <v/>
      </c>
      <c r="AG143" s="23">
        <f>IF(ISNUMBER(M143),N143/MAX(M143,1),0)</f>
        <v/>
      </c>
      <c r="AH143">
        <f>IF(G143&gt;=2021,1,0)</f>
        <v/>
      </c>
      <c r="AI143">
        <f>S143</f>
        <v/>
      </c>
      <c r="AJ143">
        <f>T143</f>
        <v/>
      </c>
      <c r="AK143">
        <f>R143</f>
        <v/>
      </c>
      <c r="AL143">
        <f>U143</f>
        <v/>
      </c>
      <c r="AM143">
        <f>IF(ISNUMBER(SEARCH("CAPITAL FUNDING",D143)),1,0)</f>
        <v/>
      </c>
      <c r="AN143">
        <f>IF(ISNUMBER(SEARCH("PNC",D143)),1,0)</f>
        <v/>
      </c>
      <c r="AO143">
        <f>IF(ISNUMBER(SEARCH("WELLS FARGO",D143)),1,0)</f>
        <v/>
      </c>
      <c r="AP143">
        <f>IF(ISNUMBER(SEARCH("DWIGHT",D143)),1,0)</f>
        <v/>
      </c>
      <c r="AQ143">
        <f>IF(ISNUMBER(SEARCH("GREYSTONE",D143)),1,0)</f>
        <v/>
      </c>
      <c r="AR143">
        <f>IF(OR(Q143="3896",Q143="3557"),1,0)</f>
        <v/>
      </c>
      <c r="AS143" s="24">
        <f>V143*W143</f>
        <v/>
      </c>
      <c r="AT143" s="26">
        <f>V$4*(V143-V$3)</f>
        <v/>
      </c>
      <c r="AU143" s="26">
        <f>W$4*(W143-W$3)</f>
        <v/>
      </c>
      <c r="AV143" s="26">
        <f>X$4*(X143-X$3)</f>
        <v/>
      </c>
      <c r="AW143" s="26">
        <f>Y$4*(Y143-Y$3)</f>
        <v/>
      </c>
      <c r="AX143" s="26">
        <f>Z$4*(Z143-Z$3)</f>
        <v/>
      </c>
      <c r="AY143" s="26">
        <f>AA$4*(AA143-AA$3)</f>
        <v/>
      </c>
      <c r="AZ143" s="26">
        <f>AB$4*(AB143-AB$3)</f>
        <v/>
      </c>
      <c r="BA143" s="26">
        <f>AC$4*(AC143-AC$3)</f>
        <v/>
      </c>
      <c r="BB143" s="26">
        <f>AD$4*(AD143-AD$3)</f>
        <v/>
      </c>
      <c r="BC143" s="26">
        <f>AE$4*(AE143-AE$3)</f>
        <v/>
      </c>
      <c r="BD143" s="26">
        <f>AF$4*(AF143-AF$3)</f>
        <v/>
      </c>
      <c r="BE143" s="26">
        <f>AG$4*(AG143-AG$3)</f>
        <v/>
      </c>
      <c r="BF143" s="26">
        <f>AH$4*(AH143-AH$3)</f>
        <v/>
      </c>
      <c r="BG143" s="26">
        <f>AI$4*(AI143-AI$3)</f>
        <v/>
      </c>
      <c r="BH143" s="26">
        <f>AJ$4*(AJ143-AJ$3)</f>
        <v/>
      </c>
      <c r="BI143" s="26">
        <f>AK$4*(AK143-AK$3)</f>
        <v/>
      </c>
      <c r="BJ143" s="26">
        <f>AL$4*(AL143-AL$3)</f>
        <v/>
      </c>
      <c r="BK143" s="26">
        <f>AM$4*(AM143-AM$3)</f>
        <v/>
      </c>
      <c r="BL143" s="26">
        <f>AN$4*(AN143-AN$3)</f>
        <v/>
      </c>
      <c r="BM143" s="26">
        <f>AO$4*(AO143-AO$3)</f>
        <v/>
      </c>
      <c r="BN143" s="26">
        <f>AP$4*(AP143-AP$3)</f>
        <v/>
      </c>
      <c r="BO143" s="26">
        <f>AQ$4*(AQ143-AQ$3)</f>
        <v/>
      </c>
      <c r="BP143" s="26">
        <f>AR$4*(AR143-AR$3)</f>
        <v/>
      </c>
      <c r="BQ143" s="26">
        <f>AS$4*(AS143-AS$3)</f>
        <v/>
      </c>
      <c r="BR143" s="27">
        <f>SUM(AT143:BQ143)</f>
        <v/>
      </c>
      <c r="BS143" s="27">
        <f>INTERCEPT_SCALED+BR143</f>
        <v/>
      </c>
      <c r="BT143" s="28">
        <f>1/(1+EXP(-BS143))</f>
        <v/>
      </c>
      <c r="BU143" s="13">
        <f>1-(1-BT143)^12</f>
        <v/>
      </c>
      <c r="BV143" s="13">
        <f>IFERROR(AT143/BR143*(BU143-BASELINE_CPR),0)</f>
        <v/>
      </c>
      <c r="BW143" s="13">
        <f>IFERROR(AU143/BR143*(BU143-BASELINE_CPR),0)</f>
        <v/>
      </c>
      <c r="BX143" s="13">
        <f>IFERROR(AV143/BR143*(BU143-BASELINE_CPR),0)</f>
        <v/>
      </c>
      <c r="BY143" s="13">
        <f>IFERROR(AW143/BR143*(BU143-BASELINE_CPR),0)</f>
        <v/>
      </c>
      <c r="BZ143" s="13">
        <f>IFERROR(AX143/BR143*(BU143-BASELINE_CPR),0)</f>
        <v/>
      </c>
      <c r="CA143" s="13">
        <f>IFERROR(AY143/BR143*(BU143-BASELINE_CPR),0)</f>
        <v/>
      </c>
      <c r="CB143" s="13">
        <f>IFERROR(AZ143/BR143*(BU143-BASELINE_CPR),0)</f>
        <v/>
      </c>
      <c r="CC143" s="13">
        <f>IFERROR(BA143/BR143*(BU143-BASELINE_CPR),0)</f>
        <v/>
      </c>
      <c r="CD143" s="13">
        <f>IFERROR(BB143/BR143*(BU143-BASELINE_CPR),0)</f>
        <v/>
      </c>
      <c r="CE143" s="13">
        <f>IFERROR(BC143/BR143*(BU143-BASELINE_CPR),0)</f>
        <v/>
      </c>
      <c r="CF143" s="13">
        <f>IFERROR(BD143/BR143*(BU143-BASELINE_CPR),0)</f>
        <v/>
      </c>
      <c r="CG143" s="13">
        <f>IFERROR(BE143/BR143*(BU143-BASELINE_CPR),0)</f>
        <v/>
      </c>
      <c r="CH143" s="13">
        <f>IFERROR(BF143/BR143*(BU143-BASELINE_CPR),0)</f>
        <v/>
      </c>
      <c r="CI143" s="13">
        <f>IFERROR(BG143/BR143*(BU143-BASELINE_CPR),0)</f>
        <v/>
      </c>
      <c r="CJ143" s="13">
        <f>IFERROR(BH143/BR143*(BU143-BASELINE_CPR),0)</f>
        <v/>
      </c>
      <c r="CK143" s="13">
        <f>IFERROR(BI143/BR143*(BU143-BASELINE_CPR),0)</f>
        <v/>
      </c>
      <c r="CL143" s="13">
        <f>IFERROR(BJ143/BR143*(BU143-BASELINE_CPR),0)</f>
        <v/>
      </c>
      <c r="CM143" s="13">
        <f>IFERROR(BK143/BR143*(BU143-BASELINE_CPR),0)</f>
        <v/>
      </c>
      <c r="CN143" s="13">
        <f>IFERROR(BL143/BR143*(BU143-BASELINE_CPR),0)</f>
        <v/>
      </c>
      <c r="CO143" s="13">
        <f>IFERROR(BM143/BR143*(BU143-BASELINE_CPR),0)</f>
        <v/>
      </c>
      <c r="CP143" s="13">
        <f>IFERROR(BN143/BR143*(BU143-BASELINE_CPR),0)</f>
        <v/>
      </c>
      <c r="CQ143" s="13">
        <f>IFERROR(BO143/BR143*(BU143-BASELINE_CPR),0)</f>
        <v/>
      </c>
      <c r="CR143" s="13">
        <f>IFERROR(BP143/BR143*(BU143-BASELINE_CPR),0)</f>
        <v/>
      </c>
      <c r="CS143" s="13">
        <f>IFERROR(BQ143/BR143*(BU143-BASELINE_CPR),0)</f>
        <v/>
      </c>
      <c r="CT143" s="29">
        <f>BASELINE_CPR+SUM(BV143:CS143)-BU143</f>
        <v/>
      </c>
    </row>
    <row r="144">
      <c r="A144" s="2" t="inlineStr">
        <is>
          <t>36294TCG8_000000005335916</t>
        </is>
      </c>
      <c r="B144" t="inlineStr">
        <is>
          <t>PNC_PRE21</t>
        </is>
      </c>
      <c r="C144" s="2" t="inlineStr">
        <is>
          <t>36294TCG8</t>
        </is>
      </c>
      <c r="D144" t="inlineStr">
        <is>
          <t>PNC BANK, NA</t>
        </is>
      </c>
      <c r="E144" t="inlineStr">
        <is>
          <t>223a7</t>
        </is>
      </c>
      <c r="F144" t="inlineStr">
        <is>
          <t>RP</t>
        </is>
      </c>
      <c r="G144" t="n">
        <v>2006</v>
      </c>
      <c r="H144" t="inlineStr">
        <is>
          <t>202602</t>
        </is>
      </c>
      <c r="I144" s="22" t="n">
        <v>182364.07</v>
      </c>
      <c r="J144" s="23" t="n">
        <v>6.75</v>
      </c>
      <c r="K144" s="24" t="n">
        <v>447</v>
      </c>
      <c r="L144" s="24" t="n">
        <v>0</v>
      </c>
      <c r="M144" t="n">
        <v>232</v>
      </c>
      <c r="N144" t="n">
        <v>87</v>
      </c>
      <c r="O144" t="n">
        <v>203611</v>
      </c>
      <c r="P144" t="n">
        <v>200712</v>
      </c>
      <c r="Q144" t="inlineStr">
        <is>
          <t>3976</t>
        </is>
      </c>
      <c r="R144" t="n">
        <v>0</v>
      </c>
      <c r="S144" t="n">
        <v>1</v>
      </c>
      <c r="T144" t="n">
        <v>0</v>
      </c>
      <c r="U144" t="n">
        <v>0</v>
      </c>
      <c r="V144" s="24">
        <f>J144*100-K144</f>
        <v/>
      </c>
      <c r="W144" s="24">
        <f>L144</f>
        <v/>
      </c>
      <c r="X144" s="25">
        <f>MIN(M144,36)</f>
        <v/>
      </c>
      <c r="Y144" s="25">
        <f>MIN(MAX(M144-36,0),84)</f>
        <v/>
      </c>
      <c r="Z144" s="25">
        <f>MAX(M144-120,0)</f>
        <v/>
      </c>
      <c r="AA144" s="25">
        <f>IF(OR(O144="",NOT(ISNUMBER(O144))),360,MAX(0,MIN(480,(INT(O144/100)-INT(VALUE(H144)/100))*12+MOD(O144,100)-MOD(VALUE(H144),100))))</f>
        <v/>
      </c>
      <c r="AB144">
        <f>IF(AND(AA144&gt;0,AA144&lt;=24),1,0)</f>
        <v/>
      </c>
      <c r="AC144" s="25">
        <f>IF(OR(P144="",NOT(ISNUMBER(P144))),0,MAX(0,MIN(24,(INT(VALUE(H144)/100)-INT(P144/100))*12+MOD(VALUE(H144),100)-MOD(P144,100))))</f>
        <v/>
      </c>
      <c r="AD144" s="23">
        <f>LN(1+I144)</f>
        <v/>
      </c>
      <c r="AE144">
        <f>IF(I144&lt;2000000,1,0)</f>
        <v/>
      </c>
      <c r="AF144">
        <f>IF(I144&gt;50000000,1,0)</f>
        <v/>
      </c>
      <c r="AG144" s="23">
        <f>IF(ISNUMBER(M144),N144/MAX(M144,1),0)</f>
        <v/>
      </c>
      <c r="AH144">
        <f>IF(G144&gt;=2021,1,0)</f>
        <v/>
      </c>
      <c r="AI144">
        <f>S144</f>
        <v/>
      </c>
      <c r="AJ144">
        <f>T144</f>
        <v/>
      </c>
      <c r="AK144">
        <f>R144</f>
        <v/>
      </c>
      <c r="AL144">
        <f>U144</f>
        <v/>
      </c>
      <c r="AM144">
        <f>IF(ISNUMBER(SEARCH("CAPITAL FUNDING",D144)),1,0)</f>
        <v/>
      </c>
      <c r="AN144">
        <f>IF(ISNUMBER(SEARCH("PNC",D144)),1,0)</f>
        <v/>
      </c>
      <c r="AO144">
        <f>IF(ISNUMBER(SEARCH("WELLS FARGO",D144)),1,0)</f>
        <v/>
      </c>
      <c r="AP144">
        <f>IF(ISNUMBER(SEARCH("DWIGHT",D144)),1,0)</f>
        <v/>
      </c>
      <c r="AQ144">
        <f>IF(ISNUMBER(SEARCH("GREYSTONE",D144)),1,0)</f>
        <v/>
      </c>
      <c r="AR144">
        <f>IF(OR(Q144="3896",Q144="3557"),1,0)</f>
        <v/>
      </c>
      <c r="AS144" s="24">
        <f>V144*W144</f>
        <v/>
      </c>
      <c r="AT144" s="26">
        <f>V$4*(V144-V$3)</f>
        <v/>
      </c>
      <c r="AU144" s="26">
        <f>W$4*(W144-W$3)</f>
        <v/>
      </c>
      <c r="AV144" s="26">
        <f>X$4*(X144-X$3)</f>
        <v/>
      </c>
      <c r="AW144" s="26">
        <f>Y$4*(Y144-Y$3)</f>
        <v/>
      </c>
      <c r="AX144" s="26">
        <f>Z$4*(Z144-Z$3)</f>
        <v/>
      </c>
      <c r="AY144" s="26">
        <f>AA$4*(AA144-AA$3)</f>
        <v/>
      </c>
      <c r="AZ144" s="26">
        <f>AB$4*(AB144-AB$3)</f>
        <v/>
      </c>
      <c r="BA144" s="26">
        <f>AC$4*(AC144-AC$3)</f>
        <v/>
      </c>
      <c r="BB144" s="26">
        <f>AD$4*(AD144-AD$3)</f>
        <v/>
      </c>
      <c r="BC144" s="26">
        <f>AE$4*(AE144-AE$3)</f>
        <v/>
      </c>
      <c r="BD144" s="26">
        <f>AF$4*(AF144-AF$3)</f>
        <v/>
      </c>
      <c r="BE144" s="26">
        <f>AG$4*(AG144-AG$3)</f>
        <v/>
      </c>
      <c r="BF144" s="26">
        <f>AH$4*(AH144-AH$3)</f>
        <v/>
      </c>
      <c r="BG144" s="26">
        <f>AI$4*(AI144-AI$3)</f>
        <v/>
      </c>
      <c r="BH144" s="26">
        <f>AJ$4*(AJ144-AJ$3)</f>
        <v/>
      </c>
      <c r="BI144" s="26">
        <f>AK$4*(AK144-AK$3)</f>
        <v/>
      </c>
      <c r="BJ144" s="26">
        <f>AL$4*(AL144-AL$3)</f>
        <v/>
      </c>
      <c r="BK144" s="26">
        <f>AM$4*(AM144-AM$3)</f>
        <v/>
      </c>
      <c r="BL144" s="26">
        <f>AN$4*(AN144-AN$3)</f>
        <v/>
      </c>
      <c r="BM144" s="26">
        <f>AO$4*(AO144-AO$3)</f>
        <v/>
      </c>
      <c r="BN144" s="26">
        <f>AP$4*(AP144-AP$3)</f>
        <v/>
      </c>
      <c r="BO144" s="26">
        <f>AQ$4*(AQ144-AQ$3)</f>
        <v/>
      </c>
      <c r="BP144" s="26">
        <f>AR$4*(AR144-AR$3)</f>
        <v/>
      </c>
      <c r="BQ144" s="26">
        <f>AS$4*(AS144-AS$3)</f>
        <v/>
      </c>
      <c r="BR144" s="27">
        <f>SUM(AT144:BQ144)</f>
        <v/>
      </c>
      <c r="BS144" s="27">
        <f>INTERCEPT_SCALED+BR144</f>
        <v/>
      </c>
      <c r="BT144" s="28">
        <f>1/(1+EXP(-BS144))</f>
        <v/>
      </c>
      <c r="BU144" s="13">
        <f>1-(1-BT144)^12</f>
        <v/>
      </c>
      <c r="BV144" s="13">
        <f>IFERROR(AT144/BR144*(BU144-BASELINE_CPR),0)</f>
        <v/>
      </c>
      <c r="BW144" s="13">
        <f>IFERROR(AU144/BR144*(BU144-BASELINE_CPR),0)</f>
        <v/>
      </c>
      <c r="BX144" s="13">
        <f>IFERROR(AV144/BR144*(BU144-BASELINE_CPR),0)</f>
        <v/>
      </c>
      <c r="BY144" s="13">
        <f>IFERROR(AW144/BR144*(BU144-BASELINE_CPR),0)</f>
        <v/>
      </c>
      <c r="BZ144" s="13">
        <f>IFERROR(AX144/BR144*(BU144-BASELINE_CPR),0)</f>
        <v/>
      </c>
      <c r="CA144" s="13">
        <f>IFERROR(AY144/BR144*(BU144-BASELINE_CPR),0)</f>
        <v/>
      </c>
      <c r="CB144" s="13">
        <f>IFERROR(AZ144/BR144*(BU144-BASELINE_CPR),0)</f>
        <v/>
      </c>
      <c r="CC144" s="13">
        <f>IFERROR(BA144/BR144*(BU144-BASELINE_CPR),0)</f>
        <v/>
      </c>
      <c r="CD144" s="13">
        <f>IFERROR(BB144/BR144*(BU144-BASELINE_CPR),0)</f>
        <v/>
      </c>
      <c r="CE144" s="13">
        <f>IFERROR(BC144/BR144*(BU144-BASELINE_CPR),0)</f>
        <v/>
      </c>
      <c r="CF144" s="13">
        <f>IFERROR(BD144/BR144*(BU144-BASELINE_CPR),0)</f>
        <v/>
      </c>
      <c r="CG144" s="13">
        <f>IFERROR(BE144/BR144*(BU144-BASELINE_CPR),0)</f>
        <v/>
      </c>
      <c r="CH144" s="13">
        <f>IFERROR(BF144/BR144*(BU144-BASELINE_CPR),0)</f>
        <v/>
      </c>
      <c r="CI144" s="13">
        <f>IFERROR(BG144/BR144*(BU144-BASELINE_CPR),0)</f>
        <v/>
      </c>
      <c r="CJ144" s="13">
        <f>IFERROR(BH144/BR144*(BU144-BASELINE_CPR),0)</f>
        <v/>
      </c>
      <c r="CK144" s="13">
        <f>IFERROR(BI144/BR144*(BU144-BASELINE_CPR),0)</f>
        <v/>
      </c>
      <c r="CL144" s="13">
        <f>IFERROR(BJ144/BR144*(BU144-BASELINE_CPR),0)</f>
        <v/>
      </c>
      <c r="CM144" s="13">
        <f>IFERROR(BK144/BR144*(BU144-BASELINE_CPR),0)</f>
        <v/>
      </c>
      <c r="CN144" s="13">
        <f>IFERROR(BL144/BR144*(BU144-BASELINE_CPR),0)</f>
        <v/>
      </c>
      <c r="CO144" s="13">
        <f>IFERROR(BM144/BR144*(BU144-BASELINE_CPR),0)</f>
        <v/>
      </c>
      <c r="CP144" s="13">
        <f>IFERROR(BN144/BR144*(BU144-BASELINE_CPR),0)</f>
        <v/>
      </c>
      <c r="CQ144" s="13">
        <f>IFERROR(BO144/BR144*(BU144-BASELINE_CPR),0)</f>
        <v/>
      </c>
      <c r="CR144" s="13">
        <f>IFERROR(BP144/BR144*(BU144-BASELINE_CPR),0)</f>
        <v/>
      </c>
      <c r="CS144" s="13">
        <f>IFERROR(BQ144/BR144*(BU144-BASELINE_CPR),0)</f>
        <v/>
      </c>
      <c r="CT144" s="29">
        <f>BASELINE_CPR+SUM(BV144:CS144)-BU144</f>
        <v/>
      </c>
    </row>
    <row r="145">
      <c r="A145" s="2" t="inlineStr">
        <is>
          <t>36296SK53_410170032150983</t>
        </is>
      </c>
      <c r="B145" t="inlineStr">
        <is>
          <t>PNC_PRE21</t>
        </is>
      </c>
      <c r="C145" s="2" t="inlineStr">
        <is>
          <t>36296SK53</t>
        </is>
      </c>
      <c r="D145" t="inlineStr">
        <is>
          <t>PNC BANK, NA</t>
        </is>
      </c>
      <c r="E145" t="inlineStr">
        <is>
          <t>OTHER</t>
        </is>
      </c>
      <c r="F145" t="inlineStr">
        <is>
          <t>OTHER</t>
        </is>
      </c>
      <c r="G145" t="n">
        <v>2008</v>
      </c>
      <c r="H145" t="inlineStr">
        <is>
          <t>202602</t>
        </is>
      </c>
      <c r="I145" s="22" t="n">
        <v>1053037.65</v>
      </c>
      <c r="J145" s="23" t="n">
        <v>6.69</v>
      </c>
      <c r="K145" s="24" t="n">
        <v>447</v>
      </c>
      <c r="L145" s="24" t="n">
        <v>0</v>
      </c>
      <c r="M145" t="n">
        <v>215</v>
      </c>
      <c r="N145" t="n">
        <v>87</v>
      </c>
      <c r="O145" t="n">
        <v>204803</v>
      </c>
      <c r="P145" t="n">
        <v>201503</v>
      </c>
      <c r="Q145" t="inlineStr">
        <is>
          <t>3976</t>
        </is>
      </c>
      <c r="R145" t="n">
        <v>0</v>
      </c>
      <c r="S145" t="n">
        <v>0</v>
      </c>
      <c r="T145" t="n">
        <v>0</v>
      </c>
      <c r="U145" t="n">
        <v>0</v>
      </c>
      <c r="V145" s="24">
        <f>J145*100-K145</f>
        <v/>
      </c>
      <c r="W145" s="24">
        <f>L145</f>
        <v/>
      </c>
      <c r="X145" s="25">
        <f>MIN(M145,36)</f>
        <v/>
      </c>
      <c r="Y145" s="25">
        <f>MIN(MAX(M145-36,0),84)</f>
        <v/>
      </c>
      <c r="Z145" s="25">
        <f>MAX(M145-120,0)</f>
        <v/>
      </c>
      <c r="AA145" s="25">
        <f>IF(OR(O145="",NOT(ISNUMBER(O145))),360,MAX(0,MIN(480,(INT(O145/100)-INT(VALUE(H145)/100))*12+MOD(O145,100)-MOD(VALUE(H145),100))))</f>
        <v/>
      </c>
      <c r="AB145">
        <f>IF(AND(AA145&gt;0,AA145&lt;=24),1,0)</f>
        <v/>
      </c>
      <c r="AC145" s="25">
        <f>IF(OR(P145="",NOT(ISNUMBER(P145))),0,MAX(0,MIN(24,(INT(VALUE(H145)/100)-INT(P145/100))*12+MOD(VALUE(H145),100)-MOD(P145,100))))</f>
        <v/>
      </c>
      <c r="AD145" s="23">
        <f>LN(1+I145)</f>
        <v/>
      </c>
      <c r="AE145">
        <f>IF(I145&lt;2000000,1,0)</f>
        <v/>
      </c>
      <c r="AF145">
        <f>IF(I145&gt;50000000,1,0)</f>
        <v/>
      </c>
      <c r="AG145" s="23">
        <f>IF(ISNUMBER(M145),N145/MAX(M145,1),0)</f>
        <v/>
      </c>
      <c r="AH145">
        <f>IF(G145&gt;=2021,1,0)</f>
        <v/>
      </c>
      <c r="AI145">
        <f>S145</f>
        <v/>
      </c>
      <c r="AJ145">
        <f>T145</f>
        <v/>
      </c>
      <c r="AK145">
        <f>R145</f>
        <v/>
      </c>
      <c r="AL145">
        <f>U145</f>
        <v/>
      </c>
      <c r="AM145">
        <f>IF(ISNUMBER(SEARCH("CAPITAL FUNDING",D145)),1,0)</f>
        <v/>
      </c>
      <c r="AN145">
        <f>IF(ISNUMBER(SEARCH("PNC",D145)),1,0)</f>
        <v/>
      </c>
      <c r="AO145">
        <f>IF(ISNUMBER(SEARCH("WELLS FARGO",D145)),1,0)</f>
        <v/>
      </c>
      <c r="AP145">
        <f>IF(ISNUMBER(SEARCH("DWIGHT",D145)),1,0)</f>
        <v/>
      </c>
      <c r="AQ145">
        <f>IF(ISNUMBER(SEARCH("GREYSTONE",D145)),1,0)</f>
        <v/>
      </c>
      <c r="AR145">
        <f>IF(OR(Q145="3896",Q145="3557"),1,0)</f>
        <v/>
      </c>
      <c r="AS145" s="24">
        <f>V145*W145</f>
        <v/>
      </c>
      <c r="AT145" s="26">
        <f>V$4*(V145-V$3)</f>
        <v/>
      </c>
      <c r="AU145" s="26">
        <f>W$4*(W145-W$3)</f>
        <v/>
      </c>
      <c r="AV145" s="26">
        <f>X$4*(X145-X$3)</f>
        <v/>
      </c>
      <c r="AW145" s="26">
        <f>Y$4*(Y145-Y$3)</f>
        <v/>
      </c>
      <c r="AX145" s="26">
        <f>Z$4*(Z145-Z$3)</f>
        <v/>
      </c>
      <c r="AY145" s="26">
        <f>AA$4*(AA145-AA$3)</f>
        <v/>
      </c>
      <c r="AZ145" s="26">
        <f>AB$4*(AB145-AB$3)</f>
        <v/>
      </c>
      <c r="BA145" s="26">
        <f>AC$4*(AC145-AC$3)</f>
        <v/>
      </c>
      <c r="BB145" s="26">
        <f>AD$4*(AD145-AD$3)</f>
        <v/>
      </c>
      <c r="BC145" s="26">
        <f>AE$4*(AE145-AE$3)</f>
        <v/>
      </c>
      <c r="BD145" s="26">
        <f>AF$4*(AF145-AF$3)</f>
        <v/>
      </c>
      <c r="BE145" s="26">
        <f>AG$4*(AG145-AG$3)</f>
        <v/>
      </c>
      <c r="BF145" s="26">
        <f>AH$4*(AH145-AH$3)</f>
        <v/>
      </c>
      <c r="BG145" s="26">
        <f>AI$4*(AI145-AI$3)</f>
        <v/>
      </c>
      <c r="BH145" s="26">
        <f>AJ$4*(AJ145-AJ$3)</f>
        <v/>
      </c>
      <c r="BI145" s="26">
        <f>AK$4*(AK145-AK$3)</f>
        <v/>
      </c>
      <c r="BJ145" s="26">
        <f>AL$4*(AL145-AL$3)</f>
        <v/>
      </c>
      <c r="BK145" s="26">
        <f>AM$4*(AM145-AM$3)</f>
        <v/>
      </c>
      <c r="BL145" s="26">
        <f>AN$4*(AN145-AN$3)</f>
        <v/>
      </c>
      <c r="BM145" s="26">
        <f>AO$4*(AO145-AO$3)</f>
        <v/>
      </c>
      <c r="BN145" s="26">
        <f>AP$4*(AP145-AP$3)</f>
        <v/>
      </c>
      <c r="BO145" s="26">
        <f>AQ$4*(AQ145-AQ$3)</f>
        <v/>
      </c>
      <c r="BP145" s="26">
        <f>AR$4*(AR145-AR$3)</f>
        <v/>
      </c>
      <c r="BQ145" s="26">
        <f>AS$4*(AS145-AS$3)</f>
        <v/>
      </c>
      <c r="BR145" s="27">
        <f>SUM(AT145:BQ145)</f>
        <v/>
      </c>
      <c r="BS145" s="27">
        <f>INTERCEPT_SCALED+BR145</f>
        <v/>
      </c>
      <c r="BT145" s="28">
        <f>1/(1+EXP(-BS145))</f>
        <v/>
      </c>
      <c r="BU145" s="13">
        <f>1-(1-BT145)^12</f>
        <v/>
      </c>
      <c r="BV145" s="13">
        <f>IFERROR(AT145/BR145*(BU145-BASELINE_CPR),0)</f>
        <v/>
      </c>
      <c r="BW145" s="13">
        <f>IFERROR(AU145/BR145*(BU145-BASELINE_CPR),0)</f>
        <v/>
      </c>
      <c r="BX145" s="13">
        <f>IFERROR(AV145/BR145*(BU145-BASELINE_CPR),0)</f>
        <v/>
      </c>
      <c r="BY145" s="13">
        <f>IFERROR(AW145/BR145*(BU145-BASELINE_CPR),0)</f>
        <v/>
      </c>
      <c r="BZ145" s="13">
        <f>IFERROR(AX145/BR145*(BU145-BASELINE_CPR),0)</f>
        <v/>
      </c>
      <c r="CA145" s="13">
        <f>IFERROR(AY145/BR145*(BU145-BASELINE_CPR),0)</f>
        <v/>
      </c>
      <c r="CB145" s="13">
        <f>IFERROR(AZ145/BR145*(BU145-BASELINE_CPR),0)</f>
        <v/>
      </c>
      <c r="CC145" s="13">
        <f>IFERROR(BA145/BR145*(BU145-BASELINE_CPR),0)</f>
        <v/>
      </c>
      <c r="CD145" s="13">
        <f>IFERROR(BB145/BR145*(BU145-BASELINE_CPR),0)</f>
        <v/>
      </c>
      <c r="CE145" s="13">
        <f>IFERROR(BC145/BR145*(BU145-BASELINE_CPR),0)</f>
        <v/>
      </c>
      <c r="CF145" s="13">
        <f>IFERROR(BD145/BR145*(BU145-BASELINE_CPR),0)</f>
        <v/>
      </c>
      <c r="CG145" s="13">
        <f>IFERROR(BE145/BR145*(BU145-BASELINE_CPR),0)</f>
        <v/>
      </c>
      <c r="CH145" s="13">
        <f>IFERROR(BF145/BR145*(BU145-BASELINE_CPR),0)</f>
        <v/>
      </c>
      <c r="CI145" s="13">
        <f>IFERROR(BG145/BR145*(BU145-BASELINE_CPR),0)</f>
        <v/>
      </c>
      <c r="CJ145" s="13">
        <f>IFERROR(BH145/BR145*(BU145-BASELINE_CPR),0)</f>
        <v/>
      </c>
      <c r="CK145" s="13">
        <f>IFERROR(BI145/BR145*(BU145-BASELINE_CPR),0)</f>
        <v/>
      </c>
      <c r="CL145" s="13">
        <f>IFERROR(BJ145/BR145*(BU145-BASELINE_CPR),0)</f>
        <v/>
      </c>
      <c r="CM145" s="13">
        <f>IFERROR(BK145/BR145*(BU145-BASELINE_CPR),0)</f>
        <v/>
      </c>
      <c r="CN145" s="13">
        <f>IFERROR(BL145/BR145*(BU145-BASELINE_CPR),0)</f>
        <v/>
      </c>
      <c r="CO145" s="13">
        <f>IFERROR(BM145/BR145*(BU145-BASELINE_CPR),0)</f>
        <v/>
      </c>
      <c r="CP145" s="13">
        <f>IFERROR(BN145/BR145*(BU145-BASELINE_CPR),0)</f>
        <v/>
      </c>
      <c r="CQ145" s="13">
        <f>IFERROR(BO145/BR145*(BU145-BASELINE_CPR),0)</f>
        <v/>
      </c>
      <c r="CR145" s="13">
        <f>IFERROR(BP145/BR145*(BU145-BASELINE_CPR),0)</f>
        <v/>
      </c>
      <c r="CS145" s="13">
        <f>IFERROR(BQ145/BR145*(BU145-BASELINE_CPR),0)</f>
        <v/>
      </c>
      <c r="CT145" s="29">
        <f>BASELINE_CPR+SUM(BV145:CS145)-BU145</f>
        <v/>
      </c>
    </row>
    <row r="146">
      <c r="A146" s="2" t="inlineStr">
        <is>
          <t>36182WF24_000000003335287</t>
        </is>
      </c>
      <c r="B146" t="inlineStr">
        <is>
          <t>PNC_PRE21</t>
        </is>
      </c>
      <c r="C146" s="2" t="inlineStr">
        <is>
          <t>36182WF24</t>
        </is>
      </c>
      <c r="D146" t="inlineStr">
        <is>
          <t>PNC BANK, NA</t>
        </is>
      </c>
      <c r="E146" t="inlineStr">
        <is>
          <t>221d4</t>
        </is>
      </c>
      <c r="F146" t="inlineStr">
        <is>
          <t>NC</t>
        </is>
      </c>
      <c r="G146" t="n">
        <v>2014</v>
      </c>
      <c r="H146" t="inlineStr">
        <is>
          <t>202602</t>
        </is>
      </c>
      <c r="I146" s="22" t="n">
        <v>1436097.5</v>
      </c>
      <c r="J146" s="23" t="n">
        <v>3.95</v>
      </c>
      <c r="K146" s="24" t="n">
        <v>447</v>
      </c>
      <c r="L146" s="24" t="n">
        <v>0</v>
      </c>
      <c r="M146" t="n">
        <v>138</v>
      </c>
      <c r="N146" t="n">
        <v>35</v>
      </c>
      <c r="O146" t="n">
        <v>205511</v>
      </c>
      <c r="P146" t="n">
        <v>201612</v>
      </c>
      <c r="Q146" t="inlineStr">
        <is>
          <t>3976</t>
        </is>
      </c>
      <c r="R146" t="n">
        <v>0</v>
      </c>
      <c r="S146" t="n">
        <v>0</v>
      </c>
      <c r="T146" t="n">
        <v>0</v>
      </c>
      <c r="U146" t="n">
        <v>1</v>
      </c>
      <c r="V146" s="24">
        <f>J146*100-K146</f>
        <v/>
      </c>
      <c r="W146" s="24">
        <f>L146</f>
        <v/>
      </c>
      <c r="X146" s="25">
        <f>MIN(M146,36)</f>
        <v/>
      </c>
      <c r="Y146" s="25">
        <f>MIN(MAX(M146-36,0),84)</f>
        <v/>
      </c>
      <c r="Z146" s="25">
        <f>MAX(M146-120,0)</f>
        <v/>
      </c>
      <c r="AA146" s="25">
        <f>IF(OR(O146="",NOT(ISNUMBER(O146))),360,MAX(0,MIN(480,(INT(O146/100)-INT(VALUE(H146)/100))*12+MOD(O146,100)-MOD(VALUE(H146),100))))</f>
        <v/>
      </c>
      <c r="AB146">
        <f>IF(AND(AA146&gt;0,AA146&lt;=24),1,0)</f>
        <v/>
      </c>
      <c r="AC146" s="25">
        <f>IF(OR(P146="",NOT(ISNUMBER(P146))),0,MAX(0,MIN(24,(INT(VALUE(H146)/100)-INT(P146/100))*12+MOD(VALUE(H146),100)-MOD(P146,100))))</f>
        <v/>
      </c>
      <c r="AD146" s="23">
        <f>LN(1+I146)</f>
        <v/>
      </c>
      <c r="AE146">
        <f>IF(I146&lt;2000000,1,0)</f>
        <v/>
      </c>
      <c r="AF146">
        <f>IF(I146&gt;50000000,1,0)</f>
        <v/>
      </c>
      <c r="AG146" s="23">
        <f>IF(ISNUMBER(M146),N146/MAX(M146,1),0)</f>
        <v/>
      </c>
      <c r="AH146">
        <f>IF(G146&gt;=2021,1,0)</f>
        <v/>
      </c>
      <c r="AI146">
        <f>S146</f>
        <v/>
      </c>
      <c r="AJ146">
        <f>T146</f>
        <v/>
      </c>
      <c r="AK146">
        <f>R146</f>
        <v/>
      </c>
      <c r="AL146">
        <f>U146</f>
        <v/>
      </c>
      <c r="AM146">
        <f>IF(ISNUMBER(SEARCH("CAPITAL FUNDING",D146)),1,0)</f>
        <v/>
      </c>
      <c r="AN146">
        <f>IF(ISNUMBER(SEARCH("PNC",D146)),1,0)</f>
        <v/>
      </c>
      <c r="AO146">
        <f>IF(ISNUMBER(SEARCH("WELLS FARGO",D146)),1,0)</f>
        <v/>
      </c>
      <c r="AP146">
        <f>IF(ISNUMBER(SEARCH("DWIGHT",D146)),1,0)</f>
        <v/>
      </c>
      <c r="AQ146">
        <f>IF(ISNUMBER(SEARCH("GREYSTONE",D146)),1,0)</f>
        <v/>
      </c>
      <c r="AR146">
        <f>IF(OR(Q146="3896",Q146="3557"),1,0)</f>
        <v/>
      </c>
      <c r="AS146" s="24">
        <f>V146*W146</f>
        <v/>
      </c>
      <c r="AT146" s="26">
        <f>V$4*(V146-V$3)</f>
        <v/>
      </c>
      <c r="AU146" s="26">
        <f>W$4*(W146-W$3)</f>
        <v/>
      </c>
      <c r="AV146" s="26">
        <f>X$4*(X146-X$3)</f>
        <v/>
      </c>
      <c r="AW146" s="26">
        <f>Y$4*(Y146-Y$3)</f>
        <v/>
      </c>
      <c r="AX146" s="26">
        <f>Z$4*(Z146-Z$3)</f>
        <v/>
      </c>
      <c r="AY146" s="26">
        <f>AA$4*(AA146-AA$3)</f>
        <v/>
      </c>
      <c r="AZ146" s="26">
        <f>AB$4*(AB146-AB$3)</f>
        <v/>
      </c>
      <c r="BA146" s="26">
        <f>AC$4*(AC146-AC$3)</f>
        <v/>
      </c>
      <c r="BB146" s="26">
        <f>AD$4*(AD146-AD$3)</f>
        <v/>
      </c>
      <c r="BC146" s="26">
        <f>AE$4*(AE146-AE$3)</f>
        <v/>
      </c>
      <c r="BD146" s="26">
        <f>AF$4*(AF146-AF$3)</f>
        <v/>
      </c>
      <c r="BE146" s="26">
        <f>AG$4*(AG146-AG$3)</f>
        <v/>
      </c>
      <c r="BF146" s="26">
        <f>AH$4*(AH146-AH$3)</f>
        <v/>
      </c>
      <c r="BG146" s="26">
        <f>AI$4*(AI146-AI$3)</f>
        <v/>
      </c>
      <c r="BH146" s="26">
        <f>AJ$4*(AJ146-AJ$3)</f>
        <v/>
      </c>
      <c r="BI146" s="26">
        <f>AK$4*(AK146-AK$3)</f>
        <v/>
      </c>
      <c r="BJ146" s="26">
        <f>AL$4*(AL146-AL$3)</f>
        <v/>
      </c>
      <c r="BK146" s="26">
        <f>AM$4*(AM146-AM$3)</f>
        <v/>
      </c>
      <c r="BL146" s="26">
        <f>AN$4*(AN146-AN$3)</f>
        <v/>
      </c>
      <c r="BM146" s="26">
        <f>AO$4*(AO146-AO$3)</f>
        <v/>
      </c>
      <c r="BN146" s="26">
        <f>AP$4*(AP146-AP$3)</f>
        <v/>
      </c>
      <c r="BO146" s="26">
        <f>AQ$4*(AQ146-AQ$3)</f>
        <v/>
      </c>
      <c r="BP146" s="26">
        <f>AR$4*(AR146-AR$3)</f>
        <v/>
      </c>
      <c r="BQ146" s="26">
        <f>AS$4*(AS146-AS$3)</f>
        <v/>
      </c>
      <c r="BR146" s="27">
        <f>SUM(AT146:BQ146)</f>
        <v/>
      </c>
      <c r="BS146" s="27">
        <f>INTERCEPT_SCALED+BR146</f>
        <v/>
      </c>
      <c r="BT146" s="28">
        <f>1/(1+EXP(-BS146))</f>
        <v/>
      </c>
      <c r="BU146" s="13">
        <f>1-(1-BT146)^12</f>
        <v/>
      </c>
      <c r="BV146" s="13">
        <f>IFERROR(AT146/BR146*(BU146-BASELINE_CPR),0)</f>
        <v/>
      </c>
      <c r="BW146" s="13">
        <f>IFERROR(AU146/BR146*(BU146-BASELINE_CPR),0)</f>
        <v/>
      </c>
      <c r="BX146" s="13">
        <f>IFERROR(AV146/BR146*(BU146-BASELINE_CPR),0)</f>
        <v/>
      </c>
      <c r="BY146" s="13">
        <f>IFERROR(AW146/BR146*(BU146-BASELINE_CPR),0)</f>
        <v/>
      </c>
      <c r="BZ146" s="13">
        <f>IFERROR(AX146/BR146*(BU146-BASELINE_CPR),0)</f>
        <v/>
      </c>
      <c r="CA146" s="13">
        <f>IFERROR(AY146/BR146*(BU146-BASELINE_CPR),0)</f>
        <v/>
      </c>
      <c r="CB146" s="13">
        <f>IFERROR(AZ146/BR146*(BU146-BASELINE_CPR),0)</f>
        <v/>
      </c>
      <c r="CC146" s="13">
        <f>IFERROR(BA146/BR146*(BU146-BASELINE_CPR),0)</f>
        <v/>
      </c>
      <c r="CD146" s="13">
        <f>IFERROR(BB146/BR146*(BU146-BASELINE_CPR),0)</f>
        <v/>
      </c>
      <c r="CE146" s="13">
        <f>IFERROR(BC146/BR146*(BU146-BASELINE_CPR),0)</f>
        <v/>
      </c>
      <c r="CF146" s="13">
        <f>IFERROR(BD146/BR146*(BU146-BASELINE_CPR),0)</f>
        <v/>
      </c>
      <c r="CG146" s="13">
        <f>IFERROR(BE146/BR146*(BU146-BASELINE_CPR),0)</f>
        <v/>
      </c>
      <c r="CH146" s="13">
        <f>IFERROR(BF146/BR146*(BU146-BASELINE_CPR),0)</f>
        <v/>
      </c>
      <c r="CI146" s="13">
        <f>IFERROR(BG146/BR146*(BU146-BASELINE_CPR),0)</f>
        <v/>
      </c>
      <c r="CJ146" s="13">
        <f>IFERROR(BH146/BR146*(BU146-BASELINE_CPR),0)</f>
        <v/>
      </c>
      <c r="CK146" s="13">
        <f>IFERROR(BI146/BR146*(BU146-BASELINE_CPR),0)</f>
        <v/>
      </c>
      <c r="CL146" s="13">
        <f>IFERROR(BJ146/BR146*(BU146-BASELINE_CPR),0)</f>
        <v/>
      </c>
      <c r="CM146" s="13">
        <f>IFERROR(BK146/BR146*(BU146-BASELINE_CPR),0)</f>
        <v/>
      </c>
      <c r="CN146" s="13">
        <f>IFERROR(BL146/BR146*(BU146-BASELINE_CPR),0)</f>
        <v/>
      </c>
      <c r="CO146" s="13">
        <f>IFERROR(BM146/BR146*(BU146-BASELINE_CPR),0)</f>
        <v/>
      </c>
      <c r="CP146" s="13">
        <f>IFERROR(BN146/BR146*(BU146-BASELINE_CPR),0)</f>
        <v/>
      </c>
      <c r="CQ146" s="13">
        <f>IFERROR(BO146/BR146*(BU146-BASELINE_CPR),0)</f>
        <v/>
      </c>
      <c r="CR146" s="13">
        <f>IFERROR(BP146/BR146*(BU146-BASELINE_CPR),0)</f>
        <v/>
      </c>
      <c r="CS146" s="13">
        <f>IFERROR(BQ146/BR146*(BU146-BASELINE_CPR),0)</f>
        <v/>
      </c>
      <c r="CT146" s="29">
        <f>BASELINE_CPR+SUM(BV146:CS146)-BU146</f>
        <v/>
      </c>
    </row>
    <row r="147">
      <c r="A147" s="2" t="inlineStr">
        <is>
          <t>3617G9Y96_000000012211432</t>
        </is>
      </c>
      <c r="B147" t="inlineStr">
        <is>
          <t>PNC_PRE21</t>
        </is>
      </c>
      <c r="C147" s="2" t="inlineStr">
        <is>
          <t>3617G9Y96</t>
        </is>
      </c>
      <c r="D147" t="inlineStr">
        <is>
          <t>PNC BANK, NA</t>
        </is>
      </c>
      <c r="E147" t="inlineStr">
        <is>
          <t>223f</t>
        </is>
      </c>
      <c r="F147" t="inlineStr">
        <is>
          <t>RP</t>
        </is>
      </c>
      <c r="G147" t="n">
        <v>2019</v>
      </c>
      <c r="H147" t="inlineStr">
        <is>
          <t>202602</t>
        </is>
      </c>
      <c r="I147" s="22" t="n">
        <v>26299051.2</v>
      </c>
      <c r="J147" s="23" t="n">
        <v>3.22</v>
      </c>
      <c r="K147" s="24" t="n">
        <v>447</v>
      </c>
      <c r="L147" s="24" t="n">
        <v>4</v>
      </c>
      <c r="M147" t="n">
        <v>77</v>
      </c>
      <c r="N147" t="n">
        <v>20</v>
      </c>
      <c r="O147" t="n">
        <v>205410</v>
      </c>
      <c r="P147" t="inlineStr"/>
      <c r="Q147" t="inlineStr">
        <is>
          <t>3976</t>
        </is>
      </c>
      <c r="R147" t="n">
        <v>0</v>
      </c>
      <c r="S147" t="n">
        <v>0</v>
      </c>
      <c r="T147" t="n">
        <v>0</v>
      </c>
      <c r="U147" t="n">
        <v>0</v>
      </c>
      <c r="V147" s="24">
        <f>J147*100-K147</f>
        <v/>
      </c>
      <c r="W147" s="24">
        <f>L147</f>
        <v/>
      </c>
      <c r="X147" s="25">
        <f>MIN(M147,36)</f>
        <v/>
      </c>
      <c r="Y147" s="25">
        <f>MIN(MAX(M147-36,0),84)</f>
        <v/>
      </c>
      <c r="Z147" s="25">
        <f>MAX(M147-120,0)</f>
        <v/>
      </c>
      <c r="AA147" s="25">
        <f>IF(OR(O147="",NOT(ISNUMBER(O147))),360,MAX(0,MIN(480,(INT(O147/100)-INT(VALUE(H147)/100))*12+MOD(O147,100)-MOD(VALUE(H147),100))))</f>
        <v/>
      </c>
      <c r="AB147">
        <f>IF(AND(AA147&gt;0,AA147&lt;=24),1,0)</f>
        <v/>
      </c>
      <c r="AC147" s="25">
        <f>IF(OR(P147="",NOT(ISNUMBER(P147))),0,MAX(0,MIN(24,(INT(VALUE(H147)/100)-INT(P147/100))*12+MOD(VALUE(H147),100)-MOD(P147,100))))</f>
        <v/>
      </c>
      <c r="AD147" s="23">
        <f>LN(1+I147)</f>
        <v/>
      </c>
      <c r="AE147">
        <f>IF(I147&lt;2000000,1,0)</f>
        <v/>
      </c>
      <c r="AF147">
        <f>IF(I147&gt;50000000,1,0)</f>
        <v/>
      </c>
      <c r="AG147" s="23">
        <f>IF(ISNUMBER(M147),N147/MAX(M147,1),0)</f>
        <v/>
      </c>
      <c r="AH147">
        <f>IF(G147&gt;=2021,1,0)</f>
        <v/>
      </c>
      <c r="AI147">
        <f>S147</f>
        <v/>
      </c>
      <c r="AJ147">
        <f>T147</f>
        <v/>
      </c>
      <c r="AK147">
        <f>R147</f>
        <v/>
      </c>
      <c r="AL147">
        <f>U147</f>
        <v/>
      </c>
      <c r="AM147">
        <f>IF(ISNUMBER(SEARCH("CAPITAL FUNDING",D147)),1,0)</f>
        <v/>
      </c>
      <c r="AN147">
        <f>IF(ISNUMBER(SEARCH("PNC",D147)),1,0)</f>
        <v/>
      </c>
      <c r="AO147">
        <f>IF(ISNUMBER(SEARCH("WELLS FARGO",D147)),1,0)</f>
        <v/>
      </c>
      <c r="AP147">
        <f>IF(ISNUMBER(SEARCH("DWIGHT",D147)),1,0)</f>
        <v/>
      </c>
      <c r="AQ147">
        <f>IF(ISNUMBER(SEARCH("GREYSTONE",D147)),1,0)</f>
        <v/>
      </c>
      <c r="AR147">
        <f>IF(OR(Q147="3896",Q147="3557"),1,0)</f>
        <v/>
      </c>
      <c r="AS147" s="24">
        <f>V147*W147</f>
        <v/>
      </c>
      <c r="AT147" s="26">
        <f>V$4*(V147-V$3)</f>
        <v/>
      </c>
      <c r="AU147" s="26">
        <f>W$4*(W147-W$3)</f>
        <v/>
      </c>
      <c r="AV147" s="26">
        <f>X$4*(X147-X$3)</f>
        <v/>
      </c>
      <c r="AW147" s="26">
        <f>Y$4*(Y147-Y$3)</f>
        <v/>
      </c>
      <c r="AX147" s="26">
        <f>Z$4*(Z147-Z$3)</f>
        <v/>
      </c>
      <c r="AY147" s="26">
        <f>AA$4*(AA147-AA$3)</f>
        <v/>
      </c>
      <c r="AZ147" s="26">
        <f>AB$4*(AB147-AB$3)</f>
        <v/>
      </c>
      <c r="BA147" s="26">
        <f>AC$4*(AC147-AC$3)</f>
        <v/>
      </c>
      <c r="BB147" s="26">
        <f>AD$4*(AD147-AD$3)</f>
        <v/>
      </c>
      <c r="BC147" s="26">
        <f>AE$4*(AE147-AE$3)</f>
        <v/>
      </c>
      <c r="BD147" s="26">
        <f>AF$4*(AF147-AF$3)</f>
        <v/>
      </c>
      <c r="BE147" s="26">
        <f>AG$4*(AG147-AG$3)</f>
        <v/>
      </c>
      <c r="BF147" s="26">
        <f>AH$4*(AH147-AH$3)</f>
        <v/>
      </c>
      <c r="BG147" s="26">
        <f>AI$4*(AI147-AI$3)</f>
        <v/>
      </c>
      <c r="BH147" s="26">
        <f>AJ$4*(AJ147-AJ$3)</f>
        <v/>
      </c>
      <c r="BI147" s="26">
        <f>AK$4*(AK147-AK$3)</f>
        <v/>
      </c>
      <c r="BJ147" s="26">
        <f>AL$4*(AL147-AL$3)</f>
        <v/>
      </c>
      <c r="BK147" s="26">
        <f>AM$4*(AM147-AM$3)</f>
        <v/>
      </c>
      <c r="BL147" s="26">
        <f>AN$4*(AN147-AN$3)</f>
        <v/>
      </c>
      <c r="BM147" s="26">
        <f>AO$4*(AO147-AO$3)</f>
        <v/>
      </c>
      <c r="BN147" s="26">
        <f>AP$4*(AP147-AP$3)</f>
        <v/>
      </c>
      <c r="BO147" s="26">
        <f>AQ$4*(AQ147-AQ$3)</f>
        <v/>
      </c>
      <c r="BP147" s="26">
        <f>AR$4*(AR147-AR$3)</f>
        <v/>
      </c>
      <c r="BQ147" s="26">
        <f>AS$4*(AS147-AS$3)</f>
        <v/>
      </c>
      <c r="BR147" s="27">
        <f>SUM(AT147:BQ147)</f>
        <v/>
      </c>
      <c r="BS147" s="27">
        <f>INTERCEPT_SCALED+BR147</f>
        <v/>
      </c>
      <c r="BT147" s="28">
        <f>1/(1+EXP(-BS147))</f>
        <v/>
      </c>
      <c r="BU147" s="13">
        <f>1-(1-BT147)^12</f>
        <v/>
      </c>
      <c r="BV147" s="13">
        <f>IFERROR(AT147/BR147*(BU147-BASELINE_CPR),0)</f>
        <v/>
      </c>
      <c r="BW147" s="13">
        <f>IFERROR(AU147/BR147*(BU147-BASELINE_CPR),0)</f>
        <v/>
      </c>
      <c r="BX147" s="13">
        <f>IFERROR(AV147/BR147*(BU147-BASELINE_CPR),0)</f>
        <v/>
      </c>
      <c r="BY147" s="13">
        <f>IFERROR(AW147/BR147*(BU147-BASELINE_CPR),0)</f>
        <v/>
      </c>
      <c r="BZ147" s="13">
        <f>IFERROR(AX147/BR147*(BU147-BASELINE_CPR),0)</f>
        <v/>
      </c>
      <c r="CA147" s="13">
        <f>IFERROR(AY147/BR147*(BU147-BASELINE_CPR),0)</f>
        <v/>
      </c>
      <c r="CB147" s="13">
        <f>IFERROR(AZ147/BR147*(BU147-BASELINE_CPR),0)</f>
        <v/>
      </c>
      <c r="CC147" s="13">
        <f>IFERROR(BA147/BR147*(BU147-BASELINE_CPR),0)</f>
        <v/>
      </c>
      <c r="CD147" s="13">
        <f>IFERROR(BB147/BR147*(BU147-BASELINE_CPR),0)</f>
        <v/>
      </c>
      <c r="CE147" s="13">
        <f>IFERROR(BC147/BR147*(BU147-BASELINE_CPR),0)</f>
        <v/>
      </c>
      <c r="CF147" s="13">
        <f>IFERROR(BD147/BR147*(BU147-BASELINE_CPR),0)</f>
        <v/>
      </c>
      <c r="CG147" s="13">
        <f>IFERROR(BE147/BR147*(BU147-BASELINE_CPR),0)</f>
        <v/>
      </c>
      <c r="CH147" s="13">
        <f>IFERROR(BF147/BR147*(BU147-BASELINE_CPR),0)</f>
        <v/>
      </c>
      <c r="CI147" s="13">
        <f>IFERROR(BG147/BR147*(BU147-BASELINE_CPR),0)</f>
        <v/>
      </c>
      <c r="CJ147" s="13">
        <f>IFERROR(BH147/BR147*(BU147-BASELINE_CPR),0)</f>
        <v/>
      </c>
      <c r="CK147" s="13">
        <f>IFERROR(BI147/BR147*(BU147-BASELINE_CPR),0)</f>
        <v/>
      </c>
      <c r="CL147" s="13">
        <f>IFERROR(BJ147/BR147*(BU147-BASELINE_CPR),0)</f>
        <v/>
      </c>
      <c r="CM147" s="13">
        <f>IFERROR(BK147/BR147*(BU147-BASELINE_CPR),0)</f>
        <v/>
      </c>
      <c r="CN147" s="13">
        <f>IFERROR(BL147/BR147*(BU147-BASELINE_CPR),0)</f>
        <v/>
      </c>
      <c r="CO147" s="13">
        <f>IFERROR(BM147/BR147*(BU147-BASELINE_CPR),0)</f>
        <v/>
      </c>
      <c r="CP147" s="13">
        <f>IFERROR(BN147/BR147*(BU147-BASELINE_CPR),0)</f>
        <v/>
      </c>
      <c r="CQ147" s="13">
        <f>IFERROR(BO147/BR147*(BU147-BASELINE_CPR),0)</f>
        <v/>
      </c>
      <c r="CR147" s="13">
        <f>IFERROR(BP147/BR147*(BU147-BASELINE_CPR),0)</f>
        <v/>
      </c>
      <c r="CS147" s="13">
        <f>IFERROR(BQ147/BR147*(BU147-BASELINE_CPR),0)</f>
        <v/>
      </c>
      <c r="CT147" s="29">
        <f>BASELINE_CPR+SUM(BV147:CS147)-BU147</f>
        <v/>
      </c>
    </row>
    <row r="148">
      <c r="A148" s="2" t="inlineStr">
        <is>
          <t>3617HGVW1_000000010335188</t>
        </is>
      </c>
      <c r="B148" t="inlineStr">
        <is>
          <t>PNC_PRE21</t>
        </is>
      </c>
      <c r="C148" s="2" t="inlineStr">
        <is>
          <t>3617HGVW1</t>
        </is>
      </c>
      <c r="D148" t="inlineStr">
        <is>
          <t>PNC BANK, NA</t>
        </is>
      </c>
      <c r="E148" t="inlineStr">
        <is>
          <t>221d4</t>
        </is>
      </c>
      <c r="F148" t="inlineStr">
        <is>
          <t>RP</t>
        </is>
      </c>
      <c r="G148" t="n">
        <v>2020</v>
      </c>
      <c r="H148" t="inlineStr">
        <is>
          <t>202602</t>
        </is>
      </c>
      <c r="I148" s="22" t="n">
        <v>22595607.96</v>
      </c>
      <c r="J148" s="23" t="n">
        <v>2.65</v>
      </c>
      <c r="K148" s="24" t="n">
        <v>447</v>
      </c>
      <c r="L148" s="24" t="n">
        <v>5</v>
      </c>
      <c r="M148" t="n">
        <v>69</v>
      </c>
      <c r="N148" t="n">
        <v>0</v>
      </c>
      <c r="O148" t="n">
        <v>206006</v>
      </c>
      <c r="P148" t="inlineStr"/>
      <c r="Q148" t="inlineStr">
        <is>
          <t>3976</t>
        </is>
      </c>
      <c r="R148" t="n">
        <v>0</v>
      </c>
      <c r="S148" t="n">
        <v>1</v>
      </c>
      <c r="T148" t="n">
        <v>0</v>
      </c>
      <c r="U148" t="n">
        <v>0</v>
      </c>
      <c r="V148" s="24">
        <f>J148*100-K148</f>
        <v/>
      </c>
      <c r="W148" s="24">
        <f>L148</f>
        <v/>
      </c>
      <c r="X148" s="25">
        <f>MIN(M148,36)</f>
        <v/>
      </c>
      <c r="Y148" s="25">
        <f>MIN(MAX(M148-36,0),84)</f>
        <v/>
      </c>
      <c r="Z148" s="25">
        <f>MAX(M148-120,0)</f>
        <v/>
      </c>
      <c r="AA148" s="25">
        <f>IF(OR(O148="",NOT(ISNUMBER(O148))),360,MAX(0,MIN(480,(INT(O148/100)-INT(VALUE(H148)/100))*12+MOD(O148,100)-MOD(VALUE(H148),100))))</f>
        <v/>
      </c>
      <c r="AB148">
        <f>IF(AND(AA148&gt;0,AA148&lt;=24),1,0)</f>
        <v/>
      </c>
      <c r="AC148" s="25">
        <f>IF(OR(P148="",NOT(ISNUMBER(P148))),0,MAX(0,MIN(24,(INT(VALUE(H148)/100)-INT(P148/100))*12+MOD(VALUE(H148),100)-MOD(P148,100))))</f>
        <v/>
      </c>
      <c r="AD148" s="23">
        <f>LN(1+I148)</f>
        <v/>
      </c>
      <c r="AE148">
        <f>IF(I148&lt;2000000,1,0)</f>
        <v/>
      </c>
      <c r="AF148">
        <f>IF(I148&gt;50000000,1,0)</f>
        <v/>
      </c>
      <c r="AG148" s="23">
        <f>IF(ISNUMBER(M148),N148/MAX(M148,1),0)</f>
        <v/>
      </c>
      <c r="AH148">
        <f>IF(G148&gt;=2021,1,0)</f>
        <v/>
      </c>
      <c r="AI148">
        <f>S148</f>
        <v/>
      </c>
      <c r="AJ148">
        <f>T148</f>
        <v/>
      </c>
      <c r="AK148">
        <f>R148</f>
        <v/>
      </c>
      <c r="AL148">
        <f>U148</f>
        <v/>
      </c>
      <c r="AM148">
        <f>IF(ISNUMBER(SEARCH("CAPITAL FUNDING",D148)),1,0)</f>
        <v/>
      </c>
      <c r="AN148">
        <f>IF(ISNUMBER(SEARCH("PNC",D148)),1,0)</f>
        <v/>
      </c>
      <c r="AO148">
        <f>IF(ISNUMBER(SEARCH("WELLS FARGO",D148)),1,0)</f>
        <v/>
      </c>
      <c r="AP148">
        <f>IF(ISNUMBER(SEARCH("DWIGHT",D148)),1,0)</f>
        <v/>
      </c>
      <c r="AQ148">
        <f>IF(ISNUMBER(SEARCH("GREYSTONE",D148)),1,0)</f>
        <v/>
      </c>
      <c r="AR148">
        <f>IF(OR(Q148="3896",Q148="3557"),1,0)</f>
        <v/>
      </c>
      <c r="AS148" s="24">
        <f>V148*W148</f>
        <v/>
      </c>
      <c r="AT148" s="26">
        <f>V$4*(V148-V$3)</f>
        <v/>
      </c>
      <c r="AU148" s="26">
        <f>W$4*(W148-W$3)</f>
        <v/>
      </c>
      <c r="AV148" s="26">
        <f>X$4*(X148-X$3)</f>
        <v/>
      </c>
      <c r="AW148" s="26">
        <f>Y$4*(Y148-Y$3)</f>
        <v/>
      </c>
      <c r="AX148" s="26">
        <f>Z$4*(Z148-Z$3)</f>
        <v/>
      </c>
      <c r="AY148" s="26">
        <f>AA$4*(AA148-AA$3)</f>
        <v/>
      </c>
      <c r="AZ148" s="26">
        <f>AB$4*(AB148-AB$3)</f>
        <v/>
      </c>
      <c r="BA148" s="26">
        <f>AC$4*(AC148-AC$3)</f>
        <v/>
      </c>
      <c r="BB148" s="26">
        <f>AD$4*(AD148-AD$3)</f>
        <v/>
      </c>
      <c r="BC148" s="26">
        <f>AE$4*(AE148-AE$3)</f>
        <v/>
      </c>
      <c r="BD148" s="26">
        <f>AF$4*(AF148-AF$3)</f>
        <v/>
      </c>
      <c r="BE148" s="26">
        <f>AG$4*(AG148-AG$3)</f>
        <v/>
      </c>
      <c r="BF148" s="26">
        <f>AH$4*(AH148-AH$3)</f>
        <v/>
      </c>
      <c r="BG148" s="26">
        <f>AI$4*(AI148-AI$3)</f>
        <v/>
      </c>
      <c r="BH148" s="26">
        <f>AJ$4*(AJ148-AJ$3)</f>
        <v/>
      </c>
      <c r="BI148" s="26">
        <f>AK$4*(AK148-AK$3)</f>
        <v/>
      </c>
      <c r="BJ148" s="26">
        <f>AL$4*(AL148-AL$3)</f>
        <v/>
      </c>
      <c r="BK148" s="26">
        <f>AM$4*(AM148-AM$3)</f>
        <v/>
      </c>
      <c r="BL148" s="26">
        <f>AN$4*(AN148-AN$3)</f>
        <v/>
      </c>
      <c r="BM148" s="26">
        <f>AO$4*(AO148-AO$3)</f>
        <v/>
      </c>
      <c r="BN148" s="26">
        <f>AP$4*(AP148-AP$3)</f>
        <v/>
      </c>
      <c r="BO148" s="26">
        <f>AQ$4*(AQ148-AQ$3)</f>
        <v/>
      </c>
      <c r="BP148" s="26">
        <f>AR$4*(AR148-AR$3)</f>
        <v/>
      </c>
      <c r="BQ148" s="26">
        <f>AS$4*(AS148-AS$3)</f>
        <v/>
      </c>
      <c r="BR148" s="27">
        <f>SUM(AT148:BQ148)</f>
        <v/>
      </c>
      <c r="BS148" s="27">
        <f>INTERCEPT_SCALED+BR148</f>
        <v/>
      </c>
      <c r="BT148" s="28">
        <f>1/(1+EXP(-BS148))</f>
        <v/>
      </c>
      <c r="BU148" s="13">
        <f>1-(1-BT148)^12</f>
        <v/>
      </c>
      <c r="BV148" s="13">
        <f>IFERROR(AT148/BR148*(BU148-BASELINE_CPR),0)</f>
        <v/>
      </c>
      <c r="BW148" s="13">
        <f>IFERROR(AU148/BR148*(BU148-BASELINE_CPR),0)</f>
        <v/>
      </c>
      <c r="BX148" s="13">
        <f>IFERROR(AV148/BR148*(BU148-BASELINE_CPR),0)</f>
        <v/>
      </c>
      <c r="BY148" s="13">
        <f>IFERROR(AW148/BR148*(BU148-BASELINE_CPR),0)</f>
        <v/>
      </c>
      <c r="BZ148" s="13">
        <f>IFERROR(AX148/BR148*(BU148-BASELINE_CPR),0)</f>
        <v/>
      </c>
      <c r="CA148" s="13">
        <f>IFERROR(AY148/BR148*(BU148-BASELINE_CPR),0)</f>
        <v/>
      </c>
      <c r="CB148" s="13">
        <f>IFERROR(AZ148/BR148*(BU148-BASELINE_CPR),0)</f>
        <v/>
      </c>
      <c r="CC148" s="13">
        <f>IFERROR(BA148/BR148*(BU148-BASELINE_CPR),0)</f>
        <v/>
      </c>
      <c r="CD148" s="13">
        <f>IFERROR(BB148/BR148*(BU148-BASELINE_CPR),0)</f>
        <v/>
      </c>
      <c r="CE148" s="13">
        <f>IFERROR(BC148/BR148*(BU148-BASELINE_CPR),0)</f>
        <v/>
      </c>
      <c r="CF148" s="13">
        <f>IFERROR(BD148/BR148*(BU148-BASELINE_CPR),0)</f>
        <v/>
      </c>
      <c r="CG148" s="13">
        <f>IFERROR(BE148/BR148*(BU148-BASELINE_CPR),0)</f>
        <v/>
      </c>
      <c r="CH148" s="13">
        <f>IFERROR(BF148/BR148*(BU148-BASELINE_CPR),0)</f>
        <v/>
      </c>
      <c r="CI148" s="13">
        <f>IFERROR(BG148/BR148*(BU148-BASELINE_CPR),0)</f>
        <v/>
      </c>
      <c r="CJ148" s="13">
        <f>IFERROR(BH148/BR148*(BU148-BASELINE_CPR),0)</f>
        <v/>
      </c>
      <c r="CK148" s="13">
        <f>IFERROR(BI148/BR148*(BU148-BASELINE_CPR),0)</f>
        <v/>
      </c>
      <c r="CL148" s="13">
        <f>IFERROR(BJ148/BR148*(BU148-BASELINE_CPR),0)</f>
        <v/>
      </c>
      <c r="CM148" s="13">
        <f>IFERROR(BK148/BR148*(BU148-BASELINE_CPR),0)</f>
        <v/>
      </c>
      <c r="CN148" s="13">
        <f>IFERROR(BL148/BR148*(BU148-BASELINE_CPR),0)</f>
        <v/>
      </c>
      <c r="CO148" s="13">
        <f>IFERROR(BM148/BR148*(BU148-BASELINE_CPR),0)</f>
        <v/>
      </c>
      <c r="CP148" s="13">
        <f>IFERROR(BN148/BR148*(BU148-BASELINE_CPR),0)</f>
        <v/>
      </c>
      <c r="CQ148" s="13">
        <f>IFERROR(BO148/BR148*(BU148-BASELINE_CPR),0)</f>
        <v/>
      </c>
      <c r="CR148" s="13">
        <f>IFERROR(BP148/BR148*(BU148-BASELINE_CPR),0)</f>
        <v/>
      </c>
      <c r="CS148" s="13">
        <f>IFERROR(BQ148/BR148*(BU148-BASELINE_CPR),0)</f>
        <v/>
      </c>
      <c r="CT148" s="29">
        <f>BASELINE_CPR+SUM(BV148:CS148)-BU148</f>
        <v/>
      </c>
    </row>
    <row r="149">
      <c r="A149" s="2" t="inlineStr">
        <is>
          <t>36197CYF1_000000011311100</t>
        </is>
      </c>
      <c r="B149" t="inlineStr">
        <is>
          <t>PNC_PRE21</t>
        </is>
      </c>
      <c r="C149" s="2" t="inlineStr">
        <is>
          <t>36197CYF1</t>
        </is>
      </c>
      <c r="D149" t="inlineStr">
        <is>
          <t>PNC BANK, NA</t>
        </is>
      </c>
      <c r="E149" t="inlineStr">
        <is>
          <t>223f</t>
        </is>
      </c>
      <c r="F149" t="inlineStr">
        <is>
          <t>RP</t>
        </is>
      </c>
      <c r="G149" t="n">
        <v>2017</v>
      </c>
      <c r="H149" t="inlineStr">
        <is>
          <t>202602</t>
        </is>
      </c>
      <c r="I149" s="22" t="n">
        <v>760254.09</v>
      </c>
      <c r="J149" s="23" t="n">
        <v>3.75</v>
      </c>
      <c r="K149" s="24" t="n">
        <v>447</v>
      </c>
      <c r="L149" s="24" t="n">
        <v>2</v>
      </c>
      <c r="M149" t="n">
        <v>109</v>
      </c>
      <c r="N149" t="n">
        <v>31</v>
      </c>
      <c r="O149" t="n">
        <v>203604</v>
      </c>
      <c r="P149" t="inlineStr"/>
      <c r="Q149" t="inlineStr">
        <is>
          <t>3976</t>
        </is>
      </c>
      <c r="R149" t="n">
        <v>0</v>
      </c>
      <c r="S149" t="n">
        <v>0</v>
      </c>
      <c r="T149" t="n">
        <v>0</v>
      </c>
      <c r="U149" t="n">
        <v>0</v>
      </c>
      <c r="V149" s="24">
        <f>J149*100-K149</f>
        <v/>
      </c>
      <c r="W149" s="24">
        <f>L149</f>
        <v/>
      </c>
      <c r="X149" s="25">
        <f>MIN(M149,36)</f>
        <v/>
      </c>
      <c r="Y149" s="25">
        <f>MIN(MAX(M149-36,0),84)</f>
        <v/>
      </c>
      <c r="Z149" s="25">
        <f>MAX(M149-120,0)</f>
        <v/>
      </c>
      <c r="AA149" s="25">
        <f>IF(OR(O149="",NOT(ISNUMBER(O149))),360,MAX(0,MIN(480,(INT(O149/100)-INT(VALUE(H149)/100))*12+MOD(O149,100)-MOD(VALUE(H149),100))))</f>
        <v/>
      </c>
      <c r="AB149">
        <f>IF(AND(AA149&gt;0,AA149&lt;=24),1,0)</f>
        <v/>
      </c>
      <c r="AC149" s="25">
        <f>IF(OR(P149="",NOT(ISNUMBER(P149))),0,MAX(0,MIN(24,(INT(VALUE(H149)/100)-INT(P149/100))*12+MOD(VALUE(H149),100)-MOD(P149,100))))</f>
        <v/>
      </c>
      <c r="AD149" s="23">
        <f>LN(1+I149)</f>
        <v/>
      </c>
      <c r="AE149">
        <f>IF(I149&lt;2000000,1,0)</f>
        <v/>
      </c>
      <c r="AF149">
        <f>IF(I149&gt;50000000,1,0)</f>
        <v/>
      </c>
      <c r="AG149" s="23">
        <f>IF(ISNUMBER(M149),N149/MAX(M149,1),0)</f>
        <v/>
      </c>
      <c r="AH149">
        <f>IF(G149&gt;=2021,1,0)</f>
        <v/>
      </c>
      <c r="AI149">
        <f>S149</f>
        <v/>
      </c>
      <c r="AJ149">
        <f>T149</f>
        <v/>
      </c>
      <c r="AK149">
        <f>R149</f>
        <v/>
      </c>
      <c r="AL149">
        <f>U149</f>
        <v/>
      </c>
      <c r="AM149">
        <f>IF(ISNUMBER(SEARCH("CAPITAL FUNDING",D149)),1,0)</f>
        <v/>
      </c>
      <c r="AN149">
        <f>IF(ISNUMBER(SEARCH("PNC",D149)),1,0)</f>
        <v/>
      </c>
      <c r="AO149">
        <f>IF(ISNUMBER(SEARCH("WELLS FARGO",D149)),1,0)</f>
        <v/>
      </c>
      <c r="AP149">
        <f>IF(ISNUMBER(SEARCH("DWIGHT",D149)),1,0)</f>
        <v/>
      </c>
      <c r="AQ149">
        <f>IF(ISNUMBER(SEARCH("GREYSTONE",D149)),1,0)</f>
        <v/>
      </c>
      <c r="AR149">
        <f>IF(OR(Q149="3896",Q149="3557"),1,0)</f>
        <v/>
      </c>
      <c r="AS149" s="24">
        <f>V149*W149</f>
        <v/>
      </c>
      <c r="AT149" s="26">
        <f>V$4*(V149-V$3)</f>
        <v/>
      </c>
      <c r="AU149" s="26">
        <f>W$4*(W149-W$3)</f>
        <v/>
      </c>
      <c r="AV149" s="26">
        <f>X$4*(X149-X$3)</f>
        <v/>
      </c>
      <c r="AW149" s="26">
        <f>Y$4*(Y149-Y$3)</f>
        <v/>
      </c>
      <c r="AX149" s="26">
        <f>Z$4*(Z149-Z$3)</f>
        <v/>
      </c>
      <c r="AY149" s="26">
        <f>AA$4*(AA149-AA$3)</f>
        <v/>
      </c>
      <c r="AZ149" s="26">
        <f>AB$4*(AB149-AB$3)</f>
        <v/>
      </c>
      <c r="BA149" s="26">
        <f>AC$4*(AC149-AC$3)</f>
        <v/>
      </c>
      <c r="BB149" s="26">
        <f>AD$4*(AD149-AD$3)</f>
        <v/>
      </c>
      <c r="BC149" s="26">
        <f>AE$4*(AE149-AE$3)</f>
        <v/>
      </c>
      <c r="BD149" s="26">
        <f>AF$4*(AF149-AF$3)</f>
        <v/>
      </c>
      <c r="BE149" s="26">
        <f>AG$4*(AG149-AG$3)</f>
        <v/>
      </c>
      <c r="BF149" s="26">
        <f>AH$4*(AH149-AH$3)</f>
        <v/>
      </c>
      <c r="BG149" s="26">
        <f>AI$4*(AI149-AI$3)</f>
        <v/>
      </c>
      <c r="BH149" s="26">
        <f>AJ$4*(AJ149-AJ$3)</f>
        <v/>
      </c>
      <c r="BI149" s="26">
        <f>AK$4*(AK149-AK$3)</f>
        <v/>
      </c>
      <c r="BJ149" s="26">
        <f>AL$4*(AL149-AL$3)</f>
        <v/>
      </c>
      <c r="BK149" s="26">
        <f>AM$4*(AM149-AM$3)</f>
        <v/>
      </c>
      <c r="BL149" s="26">
        <f>AN$4*(AN149-AN$3)</f>
        <v/>
      </c>
      <c r="BM149" s="26">
        <f>AO$4*(AO149-AO$3)</f>
        <v/>
      </c>
      <c r="BN149" s="26">
        <f>AP$4*(AP149-AP$3)</f>
        <v/>
      </c>
      <c r="BO149" s="26">
        <f>AQ$4*(AQ149-AQ$3)</f>
        <v/>
      </c>
      <c r="BP149" s="26">
        <f>AR$4*(AR149-AR$3)</f>
        <v/>
      </c>
      <c r="BQ149" s="26">
        <f>AS$4*(AS149-AS$3)</f>
        <v/>
      </c>
      <c r="BR149" s="27">
        <f>SUM(AT149:BQ149)</f>
        <v/>
      </c>
      <c r="BS149" s="27">
        <f>INTERCEPT_SCALED+BR149</f>
        <v/>
      </c>
      <c r="BT149" s="28">
        <f>1/(1+EXP(-BS149))</f>
        <v/>
      </c>
      <c r="BU149" s="13">
        <f>1-(1-BT149)^12</f>
        <v/>
      </c>
      <c r="BV149" s="13">
        <f>IFERROR(AT149/BR149*(BU149-BASELINE_CPR),0)</f>
        <v/>
      </c>
      <c r="BW149" s="13">
        <f>IFERROR(AU149/BR149*(BU149-BASELINE_CPR),0)</f>
        <v/>
      </c>
      <c r="BX149" s="13">
        <f>IFERROR(AV149/BR149*(BU149-BASELINE_CPR),0)</f>
        <v/>
      </c>
      <c r="BY149" s="13">
        <f>IFERROR(AW149/BR149*(BU149-BASELINE_CPR),0)</f>
        <v/>
      </c>
      <c r="BZ149" s="13">
        <f>IFERROR(AX149/BR149*(BU149-BASELINE_CPR),0)</f>
        <v/>
      </c>
      <c r="CA149" s="13">
        <f>IFERROR(AY149/BR149*(BU149-BASELINE_CPR),0)</f>
        <v/>
      </c>
      <c r="CB149" s="13">
        <f>IFERROR(AZ149/BR149*(BU149-BASELINE_CPR),0)</f>
        <v/>
      </c>
      <c r="CC149" s="13">
        <f>IFERROR(BA149/BR149*(BU149-BASELINE_CPR),0)</f>
        <v/>
      </c>
      <c r="CD149" s="13">
        <f>IFERROR(BB149/BR149*(BU149-BASELINE_CPR),0)</f>
        <v/>
      </c>
      <c r="CE149" s="13">
        <f>IFERROR(BC149/BR149*(BU149-BASELINE_CPR),0)</f>
        <v/>
      </c>
      <c r="CF149" s="13">
        <f>IFERROR(BD149/BR149*(BU149-BASELINE_CPR),0)</f>
        <v/>
      </c>
      <c r="CG149" s="13">
        <f>IFERROR(BE149/BR149*(BU149-BASELINE_CPR),0)</f>
        <v/>
      </c>
      <c r="CH149" s="13">
        <f>IFERROR(BF149/BR149*(BU149-BASELINE_CPR),0)</f>
        <v/>
      </c>
      <c r="CI149" s="13">
        <f>IFERROR(BG149/BR149*(BU149-BASELINE_CPR),0)</f>
        <v/>
      </c>
      <c r="CJ149" s="13">
        <f>IFERROR(BH149/BR149*(BU149-BASELINE_CPR),0)</f>
        <v/>
      </c>
      <c r="CK149" s="13">
        <f>IFERROR(BI149/BR149*(BU149-BASELINE_CPR),0)</f>
        <v/>
      </c>
      <c r="CL149" s="13">
        <f>IFERROR(BJ149/BR149*(BU149-BASELINE_CPR),0)</f>
        <v/>
      </c>
      <c r="CM149" s="13">
        <f>IFERROR(BK149/BR149*(BU149-BASELINE_CPR),0)</f>
        <v/>
      </c>
      <c r="CN149" s="13">
        <f>IFERROR(BL149/BR149*(BU149-BASELINE_CPR),0)</f>
        <v/>
      </c>
      <c r="CO149" s="13">
        <f>IFERROR(BM149/BR149*(BU149-BASELINE_CPR),0)</f>
        <v/>
      </c>
      <c r="CP149" s="13">
        <f>IFERROR(BN149/BR149*(BU149-BASELINE_CPR),0)</f>
        <v/>
      </c>
      <c r="CQ149" s="13">
        <f>IFERROR(BO149/BR149*(BU149-BASELINE_CPR),0)</f>
        <v/>
      </c>
      <c r="CR149" s="13">
        <f>IFERROR(BP149/BR149*(BU149-BASELINE_CPR),0)</f>
        <v/>
      </c>
      <c r="CS149" s="13">
        <f>IFERROR(BQ149/BR149*(BU149-BASELINE_CPR),0)</f>
        <v/>
      </c>
      <c r="CT149" s="29">
        <f>BASELINE_CPR+SUM(BV149:CS149)-BU149</f>
        <v/>
      </c>
    </row>
    <row r="150">
      <c r="A150" s="2" t="inlineStr">
        <is>
          <t>36176RAP7_000000012211229</t>
        </is>
      </c>
      <c r="B150" t="inlineStr">
        <is>
          <t>PNC_PRE21</t>
        </is>
      </c>
      <c r="C150" s="2" t="inlineStr">
        <is>
          <t>36176RAP7</t>
        </is>
      </c>
      <c r="D150" t="inlineStr">
        <is>
          <t>PNC BANK, NA</t>
        </is>
      </c>
      <c r="E150" t="inlineStr">
        <is>
          <t>223a7</t>
        </is>
      </c>
      <c r="F150" t="inlineStr">
        <is>
          <t>RP</t>
        </is>
      </c>
      <c r="G150" t="n">
        <v>2011</v>
      </c>
      <c r="H150" t="inlineStr">
        <is>
          <t>202602</t>
        </is>
      </c>
      <c r="I150" s="22" t="n">
        <v>3177123.41</v>
      </c>
      <c r="J150" s="23" t="n">
        <v>3.3</v>
      </c>
      <c r="K150" s="24" t="n">
        <v>447</v>
      </c>
      <c r="L150" s="24" t="n">
        <v>0</v>
      </c>
      <c r="M150" t="n">
        <v>172</v>
      </c>
      <c r="N150" t="n">
        <v>35</v>
      </c>
      <c r="O150" t="n">
        <v>204611</v>
      </c>
      <c r="P150" t="n">
        <v>201312</v>
      </c>
      <c r="Q150" t="inlineStr">
        <is>
          <t>3976</t>
        </is>
      </c>
      <c r="R150" t="n">
        <v>0</v>
      </c>
      <c r="S150" t="n">
        <v>1</v>
      </c>
      <c r="T150" t="n">
        <v>0</v>
      </c>
      <c r="U150" t="n">
        <v>0</v>
      </c>
      <c r="V150" s="24">
        <f>J150*100-K150</f>
        <v/>
      </c>
      <c r="W150" s="24">
        <f>L150</f>
        <v/>
      </c>
      <c r="X150" s="25">
        <f>MIN(M150,36)</f>
        <v/>
      </c>
      <c r="Y150" s="25">
        <f>MIN(MAX(M150-36,0),84)</f>
        <v/>
      </c>
      <c r="Z150" s="25">
        <f>MAX(M150-120,0)</f>
        <v/>
      </c>
      <c r="AA150" s="25">
        <f>IF(OR(O150="",NOT(ISNUMBER(O150))),360,MAX(0,MIN(480,(INT(O150/100)-INT(VALUE(H150)/100))*12+MOD(O150,100)-MOD(VALUE(H150),100))))</f>
        <v/>
      </c>
      <c r="AB150">
        <f>IF(AND(AA150&gt;0,AA150&lt;=24),1,0)</f>
        <v/>
      </c>
      <c r="AC150" s="25">
        <f>IF(OR(P150="",NOT(ISNUMBER(P150))),0,MAX(0,MIN(24,(INT(VALUE(H150)/100)-INT(P150/100))*12+MOD(VALUE(H150),100)-MOD(P150,100))))</f>
        <v/>
      </c>
      <c r="AD150" s="23">
        <f>LN(1+I150)</f>
        <v/>
      </c>
      <c r="AE150">
        <f>IF(I150&lt;2000000,1,0)</f>
        <v/>
      </c>
      <c r="AF150">
        <f>IF(I150&gt;50000000,1,0)</f>
        <v/>
      </c>
      <c r="AG150" s="23">
        <f>IF(ISNUMBER(M150),N150/MAX(M150,1),0)</f>
        <v/>
      </c>
      <c r="AH150">
        <f>IF(G150&gt;=2021,1,0)</f>
        <v/>
      </c>
      <c r="AI150">
        <f>S150</f>
        <v/>
      </c>
      <c r="AJ150">
        <f>T150</f>
        <v/>
      </c>
      <c r="AK150">
        <f>R150</f>
        <v/>
      </c>
      <c r="AL150">
        <f>U150</f>
        <v/>
      </c>
      <c r="AM150">
        <f>IF(ISNUMBER(SEARCH("CAPITAL FUNDING",D150)),1,0)</f>
        <v/>
      </c>
      <c r="AN150">
        <f>IF(ISNUMBER(SEARCH("PNC",D150)),1,0)</f>
        <v/>
      </c>
      <c r="AO150">
        <f>IF(ISNUMBER(SEARCH("WELLS FARGO",D150)),1,0)</f>
        <v/>
      </c>
      <c r="AP150">
        <f>IF(ISNUMBER(SEARCH("DWIGHT",D150)),1,0)</f>
        <v/>
      </c>
      <c r="AQ150">
        <f>IF(ISNUMBER(SEARCH("GREYSTONE",D150)),1,0)</f>
        <v/>
      </c>
      <c r="AR150">
        <f>IF(OR(Q150="3896",Q150="3557"),1,0)</f>
        <v/>
      </c>
      <c r="AS150" s="24">
        <f>V150*W150</f>
        <v/>
      </c>
      <c r="AT150" s="26">
        <f>V$4*(V150-V$3)</f>
        <v/>
      </c>
      <c r="AU150" s="26">
        <f>W$4*(W150-W$3)</f>
        <v/>
      </c>
      <c r="AV150" s="26">
        <f>X$4*(X150-X$3)</f>
        <v/>
      </c>
      <c r="AW150" s="26">
        <f>Y$4*(Y150-Y$3)</f>
        <v/>
      </c>
      <c r="AX150" s="26">
        <f>Z$4*(Z150-Z$3)</f>
        <v/>
      </c>
      <c r="AY150" s="26">
        <f>AA$4*(AA150-AA$3)</f>
        <v/>
      </c>
      <c r="AZ150" s="26">
        <f>AB$4*(AB150-AB$3)</f>
        <v/>
      </c>
      <c r="BA150" s="26">
        <f>AC$4*(AC150-AC$3)</f>
        <v/>
      </c>
      <c r="BB150" s="26">
        <f>AD$4*(AD150-AD$3)</f>
        <v/>
      </c>
      <c r="BC150" s="26">
        <f>AE$4*(AE150-AE$3)</f>
        <v/>
      </c>
      <c r="BD150" s="26">
        <f>AF$4*(AF150-AF$3)</f>
        <v/>
      </c>
      <c r="BE150" s="26">
        <f>AG$4*(AG150-AG$3)</f>
        <v/>
      </c>
      <c r="BF150" s="26">
        <f>AH$4*(AH150-AH$3)</f>
        <v/>
      </c>
      <c r="BG150" s="26">
        <f>AI$4*(AI150-AI$3)</f>
        <v/>
      </c>
      <c r="BH150" s="26">
        <f>AJ$4*(AJ150-AJ$3)</f>
        <v/>
      </c>
      <c r="BI150" s="26">
        <f>AK$4*(AK150-AK$3)</f>
        <v/>
      </c>
      <c r="BJ150" s="26">
        <f>AL$4*(AL150-AL$3)</f>
        <v/>
      </c>
      <c r="BK150" s="26">
        <f>AM$4*(AM150-AM$3)</f>
        <v/>
      </c>
      <c r="BL150" s="26">
        <f>AN$4*(AN150-AN$3)</f>
        <v/>
      </c>
      <c r="BM150" s="26">
        <f>AO$4*(AO150-AO$3)</f>
        <v/>
      </c>
      <c r="BN150" s="26">
        <f>AP$4*(AP150-AP$3)</f>
        <v/>
      </c>
      <c r="BO150" s="26">
        <f>AQ$4*(AQ150-AQ$3)</f>
        <v/>
      </c>
      <c r="BP150" s="26">
        <f>AR$4*(AR150-AR$3)</f>
        <v/>
      </c>
      <c r="BQ150" s="26">
        <f>AS$4*(AS150-AS$3)</f>
        <v/>
      </c>
      <c r="BR150" s="27">
        <f>SUM(AT150:BQ150)</f>
        <v/>
      </c>
      <c r="BS150" s="27">
        <f>INTERCEPT_SCALED+BR150</f>
        <v/>
      </c>
      <c r="BT150" s="28">
        <f>1/(1+EXP(-BS150))</f>
        <v/>
      </c>
      <c r="BU150" s="13">
        <f>1-(1-BT150)^12</f>
        <v/>
      </c>
      <c r="BV150" s="13">
        <f>IFERROR(AT150/BR150*(BU150-BASELINE_CPR),0)</f>
        <v/>
      </c>
      <c r="BW150" s="13">
        <f>IFERROR(AU150/BR150*(BU150-BASELINE_CPR),0)</f>
        <v/>
      </c>
      <c r="BX150" s="13">
        <f>IFERROR(AV150/BR150*(BU150-BASELINE_CPR),0)</f>
        <v/>
      </c>
      <c r="BY150" s="13">
        <f>IFERROR(AW150/BR150*(BU150-BASELINE_CPR),0)</f>
        <v/>
      </c>
      <c r="BZ150" s="13">
        <f>IFERROR(AX150/BR150*(BU150-BASELINE_CPR),0)</f>
        <v/>
      </c>
      <c r="CA150" s="13">
        <f>IFERROR(AY150/BR150*(BU150-BASELINE_CPR),0)</f>
        <v/>
      </c>
      <c r="CB150" s="13">
        <f>IFERROR(AZ150/BR150*(BU150-BASELINE_CPR),0)</f>
        <v/>
      </c>
      <c r="CC150" s="13">
        <f>IFERROR(BA150/BR150*(BU150-BASELINE_CPR),0)</f>
        <v/>
      </c>
      <c r="CD150" s="13">
        <f>IFERROR(BB150/BR150*(BU150-BASELINE_CPR),0)</f>
        <v/>
      </c>
      <c r="CE150" s="13">
        <f>IFERROR(BC150/BR150*(BU150-BASELINE_CPR),0)</f>
        <v/>
      </c>
      <c r="CF150" s="13">
        <f>IFERROR(BD150/BR150*(BU150-BASELINE_CPR),0)</f>
        <v/>
      </c>
      <c r="CG150" s="13">
        <f>IFERROR(BE150/BR150*(BU150-BASELINE_CPR),0)</f>
        <v/>
      </c>
      <c r="CH150" s="13">
        <f>IFERROR(BF150/BR150*(BU150-BASELINE_CPR),0)</f>
        <v/>
      </c>
      <c r="CI150" s="13">
        <f>IFERROR(BG150/BR150*(BU150-BASELINE_CPR),0)</f>
        <v/>
      </c>
      <c r="CJ150" s="13">
        <f>IFERROR(BH150/BR150*(BU150-BASELINE_CPR),0)</f>
        <v/>
      </c>
      <c r="CK150" s="13">
        <f>IFERROR(BI150/BR150*(BU150-BASELINE_CPR),0)</f>
        <v/>
      </c>
      <c r="CL150" s="13">
        <f>IFERROR(BJ150/BR150*(BU150-BASELINE_CPR),0)</f>
        <v/>
      </c>
      <c r="CM150" s="13">
        <f>IFERROR(BK150/BR150*(BU150-BASELINE_CPR),0)</f>
        <v/>
      </c>
      <c r="CN150" s="13">
        <f>IFERROR(BL150/BR150*(BU150-BASELINE_CPR),0)</f>
        <v/>
      </c>
      <c r="CO150" s="13">
        <f>IFERROR(BM150/BR150*(BU150-BASELINE_CPR),0)</f>
        <v/>
      </c>
      <c r="CP150" s="13">
        <f>IFERROR(BN150/BR150*(BU150-BASELINE_CPR),0)</f>
        <v/>
      </c>
      <c r="CQ150" s="13">
        <f>IFERROR(BO150/BR150*(BU150-BASELINE_CPR),0)</f>
        <v/>
      </c>
      <c r="CR150" s="13">
        <f>IFERROR(BP150/BR150*(BU150-BASELINE_CPR),0)</f>
        <v/>
      </c>
      <c r="CS150" s="13">
        <f>IFERROR(BQ150/BR150*(BU150-BASELINE_CPR),0)</f>
        <v/>
      </c>
      <c r="CT150" s="29">
        <f>BASELINE_CPR+SUM(BV150:CS150)-BU150</f>
        <v/>
      </c>
    </row>
    <row r="151">
      <c r="A151" s="2" t="inlineStr">
        <is>
          <t>3617G9ZC8_000000012135982</t>
        </is>
      </c>
      <c r="B151" t="inlineStr">
        <is>
          <t>PNC_PRE21</t>
        </is>
      </c>
      <c r="C151" s="2" t="inlineStr">
        <is>
          <t>3617G9ZC8</t>
        </is>
      </c>
      <c r="D151" t="inlineStr">
        <is>
          <t>PNC BANK, NA</t>
        </is>
      </c>
      <c r="E151" t="inlineStr">
        <is>
          <t>221d4</t>
        </is>
      </c>
      <c r="F151" t="inlineStr">
        <is>
          <t>NC</t>
        </is>
      </c>
      <c r="G151" t="n">
        <v>2019</v>
      </c>
      <c r="H151" t="inlineStr">
        <is>
          <t>202602</t>
        </is>
      </c>
      <c r="I151" s="22" t="n">
        <v>8882184.109999999</v>
      </c>
      <c r="J151" s="23" t="n">
        <v>3.07</v>
      </c>
      <c r="K151" s="24" t="n">
        <v>447</v>
      </c>
      <c r="L151" s="24" t="n">
        <v>5</v>
      </c>
      <c r="M151" t="n">
        <v>76</v>
      </c>
      <c r="N151" t="n">
        <v>0</v>
      </c>
      <c r="O151" t="n">
        <v>205101</v>
      </c>
      <c r="P151" t="inlineStr"/>
      <c r="Q151" t="inlineStr">
        <is>
          <t>3976</t>
        </is>
      </c>
      <c r="R151" t="n">
        <v>0</v>
      </c>
      <c r="S151" t="n">
        <v>0</v>
      </c>
      <c r="T151" t="n">
        <v>0</v>
      </c>
      <c r="U151" t="n">
        <v>1</v>
      </c>
      <c r="V151" s="24">
        <f>J151*100-K151</f>
        <v/>
      </c>
      <c r="W151" s="24">
        <f>L151</f>
        <v/>
      </c>
      <c r="X151" s="25">
        <f>MIN(M151,36)</f>
        <v/>
      </c>
      <c r="Y151" s="25">
        <f>MIN(MAX(M151-36,0),84)</f>
        <v/>
      </c>
      <c r="Z151" s="25">
        <f>MAX(M151-120,0)</f>
        <v/>
      </c>
      <c r="AA151" s="25">
        <f>IF(OR(O151="",NOT(ISNUMBER(O151))),360,MAX(0,MIN(480,(INT(O151/100)-INT(VALUE(H151)/100))*12+MOD(O151,100)-MOD(VALUE(H151),100))))</f>
        <v/>
      </c>
      <c r="AB151">
        <f>IF(AND(AA151&gt;0,AA151&lt;=24),1,0)</f>
        <v/>
      </c>
      <c r="AC151" s="25">
        <f>IF(OR(P151="",NOT(ISNUMBER(P151))),0,MAX(0,MIN(24,(INT(VALUE(H151)/100)-INT(P151/100))*12+MOD(VALUE(H151),100)-MOD(P151,100))))</f>
        <v/>
      </c>
      <c r="AD151" s="23">
        <f>LN(1+I151)</f>
        <v/>
      </c>
      <c r="AE151">
        <f>IF(I151&lt;2000000,1,0)</f>
        <v/>
      </c>
      <c r="AF151">
        <f>IF(I151&gt;50000000,1,0)</f>
        <v/>
      </c>
      <c r="AG151" s="23">
        <f>IF(ISNUMBER(M151),N151/MAX(M151,1),0)</f>
        <v/>
      </c>
      <c r="AH151">
        <f>IF(G151&gt;=2021,1,0)</f>
        <v/>
      </c>
      <c r="AI151">
        <f>S151</f>
        <v/>
      </c>
      <c r="AJ151">
        <f>T151</f>
        <v/>
      </c>
      <c r="AK151">
        <f>R151</f>
        <v/>
      </c>
      <c r="AL151">
        <f>U151</f>
        <v/>
      </c>
      <c r="AM151">
        <f>IF(ISNUMBER(SEARCH("CAPITAL FUNDING",D151)),1,0)</f>
        <v/>
      </c>
      <c r="AN151">
        <f>IF(ISNUMBER(SEARCH("PNC",D151)),1,0)</f>
        <v/>
      </c>
      <c r="AO151">
        <f>IF(ISNUMBER(SEARCH("WELLS FARGO",D151)),1,0)</f>
        <v/>
      </c>
      <c r="AP151">
        <f>IF(ISNUMBER(SEARCH("DWIGHT",D151)),1,0)</f>
        <v/>
      </c>
      <c r="AQ151">
        <f>IF(ISNUMBER(SEARCH("GREYSTONE",D151)),1,0)</f>
        <v/>
      </c>
      <c r="AR151">
        <f>IF(OR(Q151="3896",Q151="3557"),1,0)</f>
        <v/>
      </c>
      <c r="AS151" s="24">
        <f>V151*W151</f>
        <v/>
      </c>
      <c r="AT151" s="26">
        <f>V$4*(V151-V$3)</f>
        <v/>
      </c>
      <c r="AU151" s="26">
        <f>W$4*(W151-W$3)</f>
        <v/>
      </c>
      <c r="AV151" s="26">
        <f>X$4*(X151-X$3)</f>
        <v/>
      </c>
      <c r="AW151" s="26">
        <f>Y$4*(Y151-Y$3)</f>
        <v/>
      </c>
      <c r="AX151" s="26">
        <f>Z$4*(Z151-Z$3)</f>
        <v/>
      </c>
      <c r="AY151" s="26">
        <f>AA$4*(AA151-AA$3)</f>
        <v/>
      </c>
      <c r="AZ151" s="26">
        <f>AB$4*(AB151-AB$3)</f>
        <v/>
      </c>
      <c r="BA151" s="26">
        <f>AC$4*(AC151-AC$3)</f>
        <v/>
      </c>
      <c r="BB151" s="26">
        <f>AD$4*(AD151-AD$3)</f>
        <v/>
      </c>
      <c r="BC151" s="26">
        <f>AE$4*(AE151-AE$3)</f>
        <v/>
      </c>
      <c r="BD151" s="26">
        <f>AF$4*(AF151-AF$3)</f>
        <v/>
      </c>
      <c r="BE151" s="26">
        <f>AG$4*(AG151-AG$3)</f>
        <v/>
      </c>
      <c r="BF151" s="26">
        <f>AH$4*(AH151-AH$3)</f>
        <v/>
      </c>
      <c r="BG151" s="26">
        <f>AI$4*(AI151-AI$3)</f>
        <v/>
      </c>
      <c r="BH151" s="26">
        <f>AJ$4*(AJ151-AJ$3)</f>
        <v/>
      </c>
      <c r="BI151" s="26">
        <f>AK$4*(AK151-AK$3)</f>
        <v/>
      </c>
      <c r="BJ151" s="26">
        <f>AL$4*(AL151-AL$3)</f>
        <v/>
      </c>
      <c r="BK151" s="26">
        <f>AM$4*(AM151-AM$3)</f>
        <v/>
      </c>
      <c r="BL151" s="26">
        <f>AN$4*(AN151-AN$3)</f>
        <v/>
      </c>
      <c r="BM151" s="26">
        <f>AO$4*(AO151-AO$3)</f>
        <v/>
      </c>
      <c r="BN151" s="26">
        <f>AP$4*(AP151-AP$3)</f>
        <v/>
      </c>
      <c r="BO151" s="26">
        <f>AQ$4*(AQ151-AQ$3)</f>
        <v/>
      </c>
      <c r="BP151" s="26">
        <f>AR$4*(AR151-AR$3)</f>
        <v/>
      </c>
      <c r="BQ151" s="26">
        <f>AS$4*(AS151-AS$3)</f>
        <v/>
      </c>
      <c r="BR151" s="27">
        <f>SUM(AT151:BQ151)</f>
        <v/>
      </c>
      <c r="BS151" s="27">
        <f>INTERCEPT_SCALED+BR151</f>
        <v/>
      </c>
      <c r="BT151" s="28">
        <f>1/(1+EXP(-BS151))</f>
        <v/>
      </c>
      <c r="BU151" s="13">
        <f>1-(1-BT151)^12</f>
        <v/>
      </c>
      <c r="BV151" s="13">
        <f>IFERROR(AT151/BR151*(BU151-BASELINE_CPR),0)</f>
        <v/>
      </c>
      <c r="BW151" s="13">
        <f>IFERROR(AU151/BR151*(BU151-BASELINE_CPR),0)</f>
        <v/>
      </c>
      <c r="BX151" s="13">
        <f>IFERROR(AV151/BR151*(BU151-BASELINE_CPR),0)</f>
        <v/>
      </c>
      <c r="BY151" s="13">
        <f>IFERROR(AW151/BR151*(BU151-BASELINE_CPR),0)</f>
        <v/>
      </c>
      <c r="BZ151" s="13">
        <f>IFERROR(AX151/BR151*(BU151-BASELINE_CPR),0)</f>
        <v/>
      </c>
      <c r="CA151" s="13">
        <f>IFERROR(AY151/BR151*(BU151-BASELINE_CPR),0)</f>
        <v/>
      </c>
      <c r="CB151" s="13">
        <f>IFERROR(AZ151/BR151*(BU151-BASELINE_CPR),0)</f>
        <v/>
      </c>
      <c r="CC151" s="13">
        <f>IFERROR(BA151/BR151*(BU151-BASELINE_CPR),0)</f>
        <v/>
      </c>
      <c r="CD151" s="13">
        <f>IFERROR(BB151/BR151*(BU151-BASELINE_CPR),0)</f>
        <v/>
      </c>
      <c r="CE151" s="13">
        <f>IFERROR(BC151/BR151*(BU151-BASELINE_CPR),0)</f>
        <v/>
      </c>
      <c r="CF151" s="13">
        <f>IFERROR(BD151/BR151*(BU151-BASELINE_CPR),0)</f>
        <v/>
      </c>
      <c r="CG151" s="13">
        <f>IFERROR(BE151/BR151*(BU151-BASELINE_CPR),0)</f>
        <v/>
      </c>
      <c r="CH151" s="13">
        <f>IFERROR(BF151/BR151*(BU151-BASELINE_CPR),0)</f>
        <v/>
      </c>
      <c r="CI151" s="13">
        <f>IFERROR(BG151/BR151*(BU151-BASELINE_CPR),0)</f>
        <v/>
      </c>
      <c r="CJ151" s="13">
        <f>IFERROR(BH151/BR151*(BU151-BASELINE_CPR),0)</f>
        <v/>
      </c>
      <c r="CK151" s="13">
        <f>IFERROR(BI151/BR151*(BU151-BASELINE_CPR),0)</f>
        <v/>
      </c>
      <c r="CL151" s="13">
        <f>IFERROR(BJ151/BR151*(BU151-BASELINE_CPR),0)</f>
        <v/>
      </c>
      <c r="CM151" s="13">
        <f>IFERROR(BK151/BR151*(BU151-BASELINE_CPR),0)</f>
        <v/>
      </c>
      <c r="CN151" s="13">
        <f>IFERROR(BL151/BR151*(BU151-BASELINE_CPR),0)</f>
        <v/>
      </c>
      <c r="CO151" s="13">
        <f>IFERROR(BM151/BR151*(BU151-BASELINE_CPR),0)</f>
        <v/>
      </c>
      <c r="CP151" s="13">
        <f>IFERROR(BN151/BR151*(BU151-BASELINE_CPR),0)</f>
        <v/>
      </c>
      <c r="CQ151" s="13">
        <f>IFERROR(BO151/BR151*(BU151-BASELINE_CPR),0)</f>
        <v/>
      </c>
      <c r="CR151" s="13">
        <f>IFERROR(BP151/BR151*(BU151-BASELINE_CPR),0)</f>
        <v/>
      </c>
      <c r="CS151" s="13">
        <f>IFERROR(BQ151/BR151*(BU151-BASELINE_CPR),0)</f>
        <v/>
      </c>
      <c r="CT151" s="29">
        <f>BASELINE_CPR+SUM(BV151:CS151)-BU151</f>
        <v/>
      </c>
    </row>
    <row r="152">
      <c r="A152" s="2" t="inlineStr">
        <is>
          <t>36295TM68_041003202439995</t>
        </is>
      </c>
      <c r="B152" t="inlineStr">
        <is>
          <t>PNC_PRE21</t>
        </is>
      </c>
      <c r="C152" s="2" t="inlineStr">
        <is>
          <t>36295TM68</t>
        </is>
      </c>
      <c r="D152" t="inlineStr">
        <is>
          <t>PNC BANK, NA</t>
        </is>
      </c>
      <c r="E152" t="inlineStr">
        <is>
          <t>538</t>
        </is>
      </c>
      <c r="F152" t="inlineStr">
        <is>
          <t>538</t>
        </is>
      </c>
      <c r="G152" t="n">
        <v>2006</v>
      </c>
      <c r="H152" t="inlineStr">
        <is>
          <t>202602</t>
        </is>
      </c>
      <c r="I152" s="22" t="n">
        <v>746262.11</v>
      </c>
      <c r="J152" s="23" t="n">
        <v>7.29</v>
      </c>
      <c r="K152" s="24" t="n">
        <v>447</v>
      </c>
      <c r="L152" s="24" t="n">
        <v>0</v>
      </c>
      <c r="M152" t="n">
        <v>230</v>
      </c>
      <c r="N152" t="n">
        <v>87</v>
      </c>
      <c r="O152" t="n">
        <v>204612</v>
      </c>
      <c r="P152" t="n">
        <v>202312</v>
      </c>
      <c r="Q152" t="inlineStr">
        <is>
          <t>3976</t>
        </is>
      </c>
      <c r="R152" t="n">
        <v>0</v>
      </c>
      <c r="S152" t="n">
        <v>0</v>
      </c>
      <c r="T152" t="n">
        <v>1</v>
      </c>
      <c r="U152" t="n">
        <v>0</v>
      </c>
      <c r="V152" s="24">
        <f>J152*100-K152</f>
        <v/>
      </c>
      <c r="W152" s="24">
        <f>L152</f>
        <v/>
      </c>
      <c r="X152" s="25">
        <f>MIN(M152,36)</f>
        <v/>
      </c>
      <c r="Y152" s="25">
        <f>MIN(MAX(M152-36,0),84)</f>
        <v/>
      </c>
      <c r="Z152" s="25">
        <f>MAX(M152-120,0)</f>
        <v/>
      </c>
      <c r="AA152" s="25">
        <f>IF(OR(O152="",NOT(ISNUMBER(O152))),360,MAX(0,MIN(480,(INT(O152/100)-INT(VALUE(H152)/100))*12+MOD(O152,100)-MOD(VALUE(H152),100))))</f>
        <v/>
      </c>
      <c r="AB152">
        <f>IF(AND(AA152&gt;0,AA152&lt;=24),1,0)</f>
        <v/>
      </c>
      <c r="AC152" s="25">
        <f>IF(OR(P152="",NOT(ISNUMBER(P152))),0,MAX(0,MIN(24,(INT(VALUE(H152)/100)-INT(P152/100))*12+MOD(VALUE(H152),100)-MOD(P152,100))))</f>
        <v/>
      </c>
      <c r="AD152" s="23">
        <f>LN(1+I152)</f>
        <v/>
      </c>
      <c r="AE152">
        <f>IF(I152&lt;2000000,1,0)</f>
        <v/>
      </c>
      <c r="AF152">
        <f>IF(I152&gt;50000000,1,0)</f>
        <v/>
      </c>
      <c r="AG152" s="23">
        <f>IF(ISNUMBER(M152),N152/MAX(M152,1),0)</f>
        <v/>
      </c>
      <c r="AH152">
        <f>IF(G152&gt;=2021,1,0)</f>
        <v/>
      </c>
      <c r="AI152">
        <f>S152</f>
        <v/>
      </c>
      <c r="AJ152">
        <f>T152</f>
        <v/>
      </c>
      <c r="AK152">
        <f>R152</f>
        <v/>
      </c>
      <c r="AL152">
        <f>U152</f>
        <v/>
      </c>
      <c r="AM152">
        <f>IF(ISNUMBER(SEARCH("CAPITAL FUNDING",D152)),1,0)</f>
        <v/>
      </c>
      <c r="AN152">
        <f>IF(ISNUMBER(SEARCH("PNC",D152)),1,0)</f>
        <v/>
      </c>
      <c r="AO152">
        <f>IF(ISNUMBER(SEARCH("WELLS FARGO",D152)),1,0)</f>
        <v/>
      </c>
      <c r="AP152">
        <f>IF(ISNUMBER(SEARCH("DWIGHT",D152)),1,0)</f>
        <v/>
      </c>
      <c r="AQ152">
        <f>IF(ISNUMBER(SEARCH("GREYSTONE",D152)),1,0)</f>
        <v/>
      </c>
      <c r="AR152">
        <f>IF(OR(Q152="3896",Q152="3557"),1,0)</f>
        <v/>
      </c>
      <c r="AS152" s="24">
        <f>V152*W152</f>
        <v/>
      </c>
      <c r="AT152" s="26">
        <f>V$4*(V152-V$3)</f>
        <v/>
      </c>
      <c r="AU152" s="26">
        <f>W$4*(W152-W$3)</f>
        <v/>
      </c>
      <c r="AV152" s="26">
        <f>X$4*(X152-X$3)</f>
        <v/>
      </c>
      <c r="AW152" s="26">
        <f>Y$4*(Y152-Y$3)</f>
        <v/>
      </c>
      <c r="AX152" s="26">
        <f>Z$4*(Z152-Z$3)</f>
        <v/>
      </c>
      <c r="AY152" s="26">
        <f>AA$4*(AA152-AA$3)</f>
        <v/>
      </c>
      <c r="AZ152" s="26">
        <f>AB$4*(AB152-AB$3)</f>
        <v/>
      </c>
      <c r="BA152" s="26">
        <f>AC$4*(AC152-AC$3)</f>
        <v/>
      </c>
      <c r="BB152" s="26">
        <f>AD$4*(AD152-AD$3)</f>
        <v/>
      </c>
      <c r="BC152" s="26">
        <f>AE$4*(AE152-AE$3)</f>
        <v/>
      </c>
      <c r="BD152" s="26">
        <f>AF$4*(AF152-AF$3)</f>
        <v/>
      </c>
      <c r="BE152" s="26">
        <f>AG$4*(AG152-AG$3)</f>
        <v/>
      </c>
      <c r="BF152" s="26">
        <f>AH$4*(AH152-AH$3)</f>
        <v/>
      </c>
      <c r="BG152" s="26">
        <f>AI$4*(AI152-AI$3)</f>
        <v/>
      </c>
      <c r="BH152" s="26">
        <f>AJ$4*(AJ152-AJ$3)</f>
        <v/>
      </c>
      <c r="BI152" s="26">
        <f>AK$4*(AK152-AK$3)</f>
        <v/>
      </c>
      <c r="BJ152" s="26">
        <f>AL$4*(AL152-AL$3)</f>
        <v/>
      </c>
      <c r="BK152" s="26">
        <f>AM$4*(AM152-AM$3)</f>
        <v/>
      </c>
      <c r="BL152" s="26">
        <f>AN$4*(AN152-AN$3)</f>
        <v/>
      </c>
      <c r="BM152" s="26">
        <f>AO$4*(AO152-AO$3)</f>
        <v/>
      </c>
      <c r="BN152" s="26">
        <f>AP$4*(AP152-AP$3)</f>
        <v/>
      </c>
      <c r="BO152" s="26">
        <f>AQ$4*(AQ152-AQ$3)</f>
        <v/>
      </c>
      <c r="BP152" s="26">
        <f>AR$4*(AR152-AR$3)</f>
        <v/>
      </c>
      <c r="BQ152" s="26">
        <f>AS$4*(AS152-AS$3)</f>
        <v/>
      </c>
      <c r="BR152" s="27">
        <f>SUM(AT152:BQ152)</f>
        <v/>
      </c>
      <c r="BS152" s="27">
        <f>INTERCEPT_SCALED+BR152</f>
        <v/>
      </c>
      <c r="BT152" s="28">
        <f>1/(1+EXP(-BS152))</f>
        <v/>
      </c>
      <c r="BU152" s="13">
        <f>1-(1-BT152)^12</f>
        <v/>
      </c>
      <c r="BV152" s="13">
        <f>IFERROR(AT152/BR152*(BU152-BASELINE_CPR),0)</f>
        <v/>
      </c>
      <c r="BW152" s="13">
        <f>IFERROR(AU152/BR152*(BU152-BASELINE_CPR),0)</f>
        <v/>
      </c>
      <c r="BX152" s="13">
        <f>IFERROR(AV152/BR152*(BU152-BASELINE_CPR),0)</f>
        <v/>
      </c>
      <c r="BY152" s="13">
        <f>IFERROR(AW152/BR152*(BU152-BASELINE_CPR),0)</f>
        <v/>
      </c>
      <c r="BZ152" s="13">
        <f>IFERROR(AX152/BR152*(BU152-BASELINE_CPR),0)</f>
        <v/>
      </c>
      <c r="CA152" s="13">
        <f>IFERROR(AY152/BR152*(BU152-BASELINE_CPR),0)</f>
        <v/>
      </c>
      <c r="CB152" s="13">
        <f>IFERROR(AZ152/BR152*(BU152-BASELINE_CPR),0)</f>
        <v/>
      </c>
      <c r="CC152" s="13">
        <f>IFERROR(BA152/BR152*(BU152-BASELINE_CPR),0)</f>
        <v/>
      </c>
      <c r="CD152" s="13">
        <f>IFERROR(BB152/BR152*(BU152-BASELINE_CPR),0)</f>
        <v/>
      </c>
      <c r="CE152" s="13">
        <f>IFERROR(BC152/BR152*(BU152-BASELINE_CPR),0)</f>
        <v/>
      </c>
      <c r="CF152" s="13">
        <f>IFERROR(BD152/BR152*(BU152-BASELINE_CPR),0)</f>
        <v/>
      </c>
      <c r="CG152" s="13">
        <f>IFERROR(BE152/BR152*(BU152-BASELINE_CPR),0)</f>
        <v/>
      </c>
      <c r="CH152" s="13">
        <f>IFERROR(BF152/BR152*(BU152-BASELINE_CPR),0)</f>
        <v/>
      </c>
      <c r="CI152" s="13">
        <f>IFERROR(BG152/BR152*(BU152-BASELINE_CPR),0)</f>
        <v/>
      </c>
      <c r="CJ152" s="13">
        <f>IFERROR(BH152/BR152*(BU152-BASELINE_CPR),0)</f>
        <v/>
      </c>
      <c r="CK152" s="13">
        <f>IFERROR(BI152/BR152*(BU152-BASELINE_CPR),0)</f>
        <v/>
      </c>
      <c r="CL152" s="13">
        <f>IFERROR(BJ152/BR152*(BU152-BASELINE_CPR),0)</f>
        <v/>
      </c>
      <c r="CM152" s="13">
        <f>IFERROR(BK152/BR152*(BU152-BASELINE_CPR),0)</f>
        <v/>
      </c>
      <c r="CN152" s="13">
        <f>IFERROR(BL152/BR152*(BU152-BASELINE_CPR),0)</f>
        <v/>
      </c>
      <c r="CO152" s="13">
        <f>IFERROR(BM152/BR152*(BU152-BASELINE_CPR),0)</f>
        <v/>
      </c>
      <c r="CP152" s="13">
        <f>IFERROR(BN152/BR152*(BU152-BASELINE_CPR),0)</f>
        <v/>
      </c>
      <c r="CQ152" s="13">
        <f>IFERROR(BO152/BR152*(BU152-BASELINE_CPR),0)</f>
        <v/>
      </c>
      <c r="CR152" s="13">
        <f>IFERROR(BP152/BR152*(BU152-BASELINE_CPR),0)</f>
        <v/>
      </c>
      <c r="CS152" s="13">
        <f>IFERROR(BQ152/BR152*(BU152-BASELINE_CPR),0)</f>
        <v/>
      </c>
      <c r="CT152" s="29">
        <f>BASELINE_CPR+SUM(BV152:CS152)-BU152</f>
        <v/>
      </c>
    </row>
    <row r="153">
      <c r="A153" s="2" t="inlineStr">
        <is>
          <t>36291YQ59_000000003335263</t>
        </is>
      </c>
      <c r="B153" t="inlineStr">
        <is>
          <t>PNC_PRE21</t>
        </is>
      </c>
      <c r="C153" s="2" t="inlineStr">
        <is>
          <t>36291YQ59</t>
        </is>
      </c>
      <c r="D153" t="inlineStr">
        <is>
          <t>PNC BANK, NA</t>
        </is>
      </c>
      <c r="E153" t="inlineStr">
        <is>
          <t>223a7</t>
        </is>
      </c>
      <c r="F153" t="inlineStr">
        <is>
          <t>RP</t>
        </is>
      </c>
      <c r="G153" t="n">
        <v>2005</v>
      </c>
      <c r="H153" t="inlineStr">
        <is>
          <t>202602</t>
        </is>
      </c>
      <c r="I153" s="22" t="n">
        <v>318126.52</v>
      </c>
      <c r="J153" s="23" t="n">
        <v>6.45</v>
      </c>
      <c r="K153" s="24" t="n">
        <v>447</v>
      </c>
      <c r="L153" s="24" t="n">
        <v>0</v>
      </c>
      <c r="M153" t="n">
        <v>250</v>
      </c>
      <c r="N153" t="n">
        <v>87</v>
      </c>
      <c r="O153" t="n">
        <v>203505</v>
      </c>
      <c r="P153" t="inlineStr"/>
      <c r="Q153" t="inlineStr">
        <is>
          <t>3976</t>
        </is>
      </c>
      <c r="R153" t="n">
        <v>0</v>
      </c>
      <c r="S153" t="n">
        <v>1</v>
      </c>
      <c r="T153" t="n">
        <v>0</v>
      </c>
      <c r="U153" t="n">
        <v>0</v>
      </c>
      <c r="V153" s="24">
        <f>J153*100-K153</f>
        <v/>
      </c>
      <c r="W153" s="24">
        <f>L153</f>
        <v/>
      </c>
      <c r="X153" s="25">
        <f>MIN(M153,36)</f>
        <v/>
      </c>
      <c r="Y153" s="25">
        <f>MIN(MAX(M153-36,0),84)</f>
        <v/>
      </c>
      <c r="Z153" s="25">
        <f>MAX(M153-120,0)</f>
        <v/>
      </c>
      <c r="AA153" s="25">
        <f>IF(OR(O153="",NOT(ISNUMBER(O153))),360,MAX(0,MIN(480,(INT(O153/100)-INT(VALUE(H153)/100))*12+MOD(O153,100)-MOD(VALUE(H153),100))))</f>
        <v/>
      </c>
      <c r="AB153">
        <f>IF(AND(AA153&gt;0,AA153&lt;=24),1,0)</f>
        <v/>
      </c>
      <c r="AC153" s="25">
        <f>IF(OR(P153="",NOT(ISNUMBER(P153))),0,MAX(0,MIN(24,(INT(VALUE(H153)/100)-INT(P153/100))*12+MOD(VALUE(H153),100)-MOD(P153,100))))</f>
        <v/>
      </c>
      <c r="AD153" s="23">
        <f>LN(1+I153)</f>
        <v/>
      </c>
      <c r="AE153">
        <f>IF(I153&lt;2000000,1,0)</f>
        <v/>
      </c>
      <c r="AF153">
        <f>IF(I153&gt;50000000,1,0)</f>
        <v/>
      </c>
      <c r="AG153" s="23">
        <f>IF(ISNUMBER(M153),N153/MAX(M153,1),0)</f>
        <v/>
      </c>
      <c r="AH153">
        <f>IF(G153&gt;=2021,1,0)</f>
        <v/>
      </c>
      <c r="AI153">
        <f>S153</f>
        <v/>
      </c>
      <c r="AJ153">
        <f>T153</f>
        <v/>
      </c>
      <c r="AK153">
        <f>R153</f>
        <v/>
      </c>
      <c r="AL153">
        <f>U153</f>
        <v/>
      </c>
      <c r="AM153">
        <f>IF(ISNUMBER(SEARCH("CAPITAL FUNDING",D153)),1,0)</f>
        <v/>
      </c>
      <c r="AN153">
        <f>IF(ISNUMBER(SEARCH("PNC",D153)),1,0)</f>
        <v/>
      </c>
      <c r="AO153">
        <f>IF(ISNUMBER(SEARCH("WELLS FARGO",D153)),1,0)</f>
        <v/>
      </c>
      <c r="AP153">
        <f>IF(ISNUMBER(SEARCH("DWIGHT",D153)),1,0)</f>
        <v/>
      </c>
      <c r="AQ153">
        <f>IF(ISNUMBER(SEARCH("GREYSTONE",D153)),1,0)</f>
        <v/>
      </c>
      <c r="AR153">
        <f>IF(OR(Q153="3896",Q153="3557"),1,0)</f>
        <v/>
      </c>
      <c r="AS153" s="24">
        <f>V153*W153</f>
        <v/>
      </c>
      <c r="AT153" s="26">
        <f>V$4*(V153-V$3)</f>
        <v/>
      </c>
      <c r="AU153" s="26">
        <f>W$4*(W153-W$3)</f>
        <v/>
      </c>
      <c r="AV153" s="26">
        <f>X$4*(X153-X$3)</f>
        <v/>
      </c>
      <c r="AW153" s="26">
        <f>Y$4*(Y153-Y$3)</f>
        <v/>
      </c>
      <c r="AX153" s="26">
        <f>Z$4*(Z153-Z$3)</f>
        <v/>
      </c>
      <c r="AY153" s="26">
        <f>AA$4*(AA153-AA$3)</f>
        <v/>
      </c>
      <c r="AZ153" s="26">
        <f>AB$4*(AB153-AB$3)</f>
        <v/>
      </c>
      <c r="BA153" s="26">
        <f>AC$4*(AC153-AC$3)</f>
        <v/>
      </c>
      <c r="BB153" s="26">
        <f>AD$4*(AD153-AD$3)</f>
        <v/>
      </c>
      <c r="BC153" s="26">
        <f>AE$4*(AE153-AE$3)</f>
        <v/>
      </c>
      <c r="BD153" s="26">
        <f>AF$4*(AF153-AF$3)</f>
        <v/>
      </c>
      <c r="BE153" s="26">
        <f>AG$4*(AG153-AG$3)</f>
        <v/>
      </c>
      <c r="BF153" s="26">
        <f>AH$4*(AH153-AH$3)</f>
        <v/>
      </c>
      <c r="BG153" s="26">
        <f>AI$4*(AI153-AI$3)</f>
        <v/>
      </c>
      <c r="BH153" s="26">
        <f>AJ$4*(AJ153-AJ$3)</f>
        <v/>
      </c>
      <c r="BI153" s="26">
        <f>AK$4*(AK153-AK$3)</f>
        <v/>
      </c>
      <c r="BJ153" s="26">
        <f>AL$4*(AL153-AL$3)</f>
        <v/>
      </c>
      <c r="BK153" s="26">
        <f>AM$4*(AM153-AM$3)</f>
        <v/>
      </c>
      <c r="BL153" s="26">
        <f>AN$4*(AN153-AN$3)</f>
        <v/>
      </c>
      <c r="BM153" s="26">
        <f>AO$4*(AO153-AO$3)</f>
        <v/>
      </c>
      <c r="BN153" s="26">
        <f>AP$4*(AP153-AP$3)</f>
        <v/>
      </c>
      <c r="BO153" s="26">
        <f>AQ$4*(AQ153-AQ$3)</f>
        <v/>
      </c>
      <c r="BP153" s="26">
        <f>AR$4*(AR153-AR$3)</f>
        <v/>
      </c>
      <c r="BQ153" s="26">
        <f>AS$4*(AS153-AS$3)</f>
        <v/>
      </c>
      <c r="BR153" s="27">
        <f>SUM(AT153:BQ153)</f>
        <v/>
      </c>
      <c r="BS153" s="27">
        <f>INTERCEPT_SCALED+BR153</f>
        <v/>
      </c>
      <c r="BT153" s="28">
        <f>1/(1+EXP(-BS153))</f>
        <v/>
      </c>
      <c r="BU153" s="13">
        <f>1-(1-BT153)^12</f>
        <v/>
      </c>
      <c r="BV153" s="13">
        <f>IFERROR(AT153/BR153*(BU153-BASELINE_CPR),0)</f>
        <v/>
      </c>
      <c r="BW153" s="13">
        <f>IFERROR(AU153/BR153*(BU153-BASELINE_CPR),0)</f>
        <v/>
      </c>
      <c r="BX153" s="13">
        <f>IFERROR(AV153/BR153*(BU153-BASELINE_CPR),0)</f>
        <v/>
      </c>
      <c r="BY153" s="13">
        <f>IFERROR(AW153/BR153*(BU153-BASELINE_CPR),0)</f>
        <v/>
      </c>
      <c r="BZ153" s="13">
        <f>IFERROR(AX153/BR153*(BU153-BASELINE_CPR),0)</f>
        <v/>
      </c>
      <c r="CA153" s="13">
        <f>IFERROR(AY153/BR153*(BU153-BASELINE_CPR),0)</f>
        <v/>
      </c>
      <c r="CB153" s="13">
        <f>IFERROR(AZ153/BR153*(BU153-BASELINE_CPR),0)</f>
        <v/>
      </c>
      <c r="CC153" s="13">
        <f>IFERROR(BA153/BR153*(BU153-BASELINE_CPR),0)</f>
        <v/>
      </c>
      <c r="CD153" s="13">
        <f>IFERROR(BB153/BR153*(BU153-BASELINE_CPR),0)</f>
        <v/>
      </c>
      <c r="CE153" s="13">
        <f>IFERROR(BC153/BR153*(BU153-BASELINE_CPR),0)</f>
        <v/>
      </c>
      <c r="CF153" s="13">
        <f>IFERROR(BD153/BR153*(BU153-BASELINE_CPR),0)</f>
        <v/>
      </c>
      <c r="CG153" s="13">
        <f>IFERROR(BE153/BR153*(BU153-BASELINE_CPR),0)</f>
        <v/>
      </c>
      <c r="CH153" s="13">
        <f>IFERROR(BF153/BR153*(BU153-BASELINE_CPR),0)</f>
        <v/>
      </c>
      <c r="CI153" s="13">
        <f>IFERROR(BG153/BR153*(BU153-BASELINE_CPR),0)</f>
        <v/>
      </c>
      <c r="CJ153" s="13">
        <f>IFERROR(BH153/BR153*(BU153-BASELINE_CPR),0)</f>
        <v/>
      </c>
      <c r="CK153" s="13">
        <f>IFERROR(BI153/BR153*(BU153-BASELINE_CPR),0)</f>
        <v/>
      </c>
      <c r="CL153" s="13">
        <f>IFERROR(BJ153/BR153*(BU153-BASELINE_CPR),0)</f>
        <v/>
      </c>
      <c r="CM153" s="13">
        <f>IFERROR(BK153/BR153*(BU153-BASELINE_CPR),0)</f>
        <v/>
      </c>
      <c r="CN153" s="13">
        <f>IFERROR(BL153/BR153*(BU153-BASELINE_CPR),0)</f>
        <v/>
      </c>
      <c r="CO153" s="13">
        <f>IFERROR(BM153/BR153*(BU153-BASELINE_CPR),0)</f>
        <v/>
      </c>
      <c r="CP153" s="13">
        <f>IFERROR(BN153/BR153*(BU153-BASELINE_CPR),0)</f>
        <v/>
      </c>
      <c r="CQ153" s="13">
        <f>IFERROR(BO153/BR153*(BU153-BASELINE_CPR),0)</f>
        <v/>
      </c>
      <c r="CR153" s="13">
        <f>IFERROR(BP153/BR153*(BU153-BASELINE_CPR),0)</f>
        <v/>
      </c>
      <c r="CS153" s="13">
        <f>IFERROR(BQ153/BR153*(BU153-BASELINE_CPR),0)</f>
        <v/>
      </c>
      <c r="CT153" s="29">
        <f>BASELINE_CPR+SUM(BV153:CS153)-BU153</f>
        <v/>
      </c>
    </row>
    <row r="154">
      <c r="A154" s="2" t="inlineStr">
        <is>
          <t>36291HS96_000000005235634</t>
        </is>
      </c>
      <c r="B154" t="inlineStr">
        <is>
          <t>PNC_PRE21</t>
        </is>
      </c>
      <c r="C154" s="2" t="inlineStr">
        <is>
          <t>36291HS96</t>
        </is>
      </c>
      <c r="D154" t="inlineStr">
        <is>
          <t>PNC BANK, NA</t>
        </is>
      </c>
      <c r="E154" t="inlineStr">
        <is>
          <t>221d4</t>
        </is>
      </c>
      <c r="F154" t="inlineStr">
        <is>
          <t>NC</t>
        </is>
      </c>
      <c r="G154" t="n">
        <v>2006</v>
      </c>
      <c r="H154" t="inlineStr">
        <is>
          <t>202602</t>
        </is>
      </c>
      <c r="I154" s="22" t="n">
        <v>3504869.26</v>
      </c>
      <c r="J154" s="23" t="n">
        <v>5.55</v>
      </c>
      <c r="K154" s="24" t="n">
        <v>447</v>
      </c>
      <c r="L154" s="24" t="n">
        <v>0</v>
      </c>
      <c r="M154" t="n">
        <v>233</v>
      </c>
      <c r="N154" t="n">
        <v>83</v>
      </c>
      <c r="O154" t="n">
        <v>204803</v>
      </c>
      <c r="P154" t="n">
        <v>201804</v>
      </c>
      <c r="Q154" t="inlineStr">
        <is>
          <t>3976</t>
        </is>
      </c>
      <c r="R154" t="n">
        <v>0</v>
      </c>
      <c r="S154" t="n">
        <v>0</v>
      </c>
      <c r="T154" t="n">
        <v>0</v>
      </c>
      <c r="U154" t="n">
        <v>1</v>
      </c>
      <c r="V154" s="24">
        <f>J154*100-K154</f>
        <v/>
      </c>
      <c r="W154" s="24">
        <f>L154</f>
        <v/>
      </c>
      <c r="X154" s="25">
        <f>MIN(M154,36)</f>
        <v/>
      </c>
      <c r="Y154" s="25">
        <f>MIN(MAX(M154-36,0),84)</f>
        <v/>
      </c>
      <c r="Z154" s="25">
        <f>MAX(M154-120,0)</f>
        <v/>
      </c>
      <c r="AA154" s="25">
        <f>IF(OR(O154="",NOT(ISNUMBER(O154))),360,MAX(0,MIN(480,(INT(O154/100)-INT(VALUE(H154)/100))*12+MOD(O154,100)-MOD(VALUE(H154),100))))</f>
        <v/>
      </c>
      <c r="AB154">
        <f>IF(AND(AA154&gt;0,AA154&lt;=24),1,0)</f>
        <v/>
      </c>
      <c r="AC154" s="25">
        <f>IF(OR(P154="",NOT(ISNUMBER(P154))),0,MAX(0,MIN(24,(INT(VALUE(H154)/100)-INT(P154/100))*12+MOD(VALUE(H154),100)-MOD(P154,100))))</f>
        <v/>
      </c>
      <c r="AD154" s="23">
        <f>LN(1+I154)</f>
        <v/>
      </c>
      <c r="AE154">
        <f>IF(I154&lt;2000000,1,0)</f>
        <v/>
      </c>
      <c r="AF154">
        <f>IF(I154&gt;50000000,1,0)</f>
        <v/>
      </c>
      <c r="AG154" s="23">
        <f>IF(ISNUMBER(M154),N154/MAX(M154,1),0)</f>
        <v/>
      </c>
      <c r="AH154">
        <f>IF(G154&gt;=2021,1,0)</f>
        <v/>
      </c>
      <c r="AI154">
        <f>S154</f>
        <v/>
      </c>
      <c r="AJ154">
        <f>T154</f>
        <v/>
      </c>
      <c r="AK154">
        <f>R154</f>
        <v/>
      </c>
      <c r="AL154">
        <f>U154</f>
        <v/>
      </c>
      <c r="AM154">
        <f>IF(ISNUMBER(SEARCH("CAPITAL FUNDING",D154)),1,0)</f>
        <v/>
      </c>
      <c r="AN154">
        <f>IF(ISNUMBER(SEARCH("PNC",D154)),1,0)</f>
        <v/>
      </c>
      <c r="AO154">
        <f>IF(ISNUMBER(SEARCH("WELLS FARGO",D154)),1,0)</f>
        <v/>
      </c>
      <c r="AP154">
        <f>IF(ISNUMBER(SEARCH("DWIGHT",D154)),1,0)</f>
        <v/>
      </c>
      <c r="AQ154">
        <f>IF(ISNUMBER(SEARCH("GREYSTONE",D154)),1,0)</f>
        <v/>
      </c>
      <c r="AR154">
        <f>IF(OR(Q154="3896",Q154="3557"),1,0)</f>
        <v/>
      </c>
      <c r="AS154" s="24">
        <f>V154*W154</f>
        <v/>
      </c>
      <c r="AT154" s="26">
        <f>V$4*(V154-V$3)</f>
        <v/>
      </c>
      <c r="AU154" s="26">
        <f>W$4*(W154-W$3)</f>
        <v/>
      </c>
      <c r="AV154" s="26">
        <f>X$4*(X154-X$3)</f>
        <v/>
      </c>
      <c r="AW154" s="26">
        <f>Y$4*(Y154-Y$3)</f>
        <v/>
      </c>
      <c r="AX154" s="26">
        <f>Z$4*(Z154-Z$3)</f>
        <v/>
      </c>
      <c r="AY154" s="26">
        <f>AA$4*(AA154-AA$3)</f>
        <v/>
      </c>
      <c r="AZ154" s="26">
        <f>AB$4*(AB154-AB$3)</f>
        <v/>
      </c>
      <c r="BA154" s="26">
        <f>AC$4*(AC154-AC$3)</f>
        <v/>
      </c>
      <c r="BB154" s="26">
        <f>AD$4*(AD154-AD$3)</f>
        <v/>
      </c>
      <c r="BC154" s="26">
        <f>AE$4*(AE154-AE$3)</f>
        <v/>
      </c>
      <c r="BD154" s="26">
        <f>AF$4*(AF154-AF$3)</f>
        <v/>
      </c>
      <c r="BE154" s="26">
        <f>AG$4*(AG154-AG$3)</f>
        <v/>
      </c>
      <c r="BF154" s="26">
        <f>AH$4*(AH154-AH$3)</f>
        <v/>
      </c>
      <c r="BG154" s="26">
        <f>AI$4*(AI154-AI$3)</f>
        <v/>
      </c>
      <c r="BH154" s="26">
        <f>AJ$4*(AJ154-AJ$3)</f>
        <v/>
      </c>
      <c r="BI154" s="26">
        <f>AK$4*(AK154-AK$3)</f>
        <v/>
      </c>
      <c r="BJ154" s="26">
        <f>AL$4*(AL154-AL$3)</f>
        <v/>
      </c>
      <c r="BK154" s="26">
        <f>AM$4*(AM154-AM$3)</f>
        <v/>
      </c>
      <c r="BL154" s="26">
        <f>AN$4*(AN154-AN$3)</f>
        <v/>
      </c>
      <c r="BM154" s="26">
        <f>AO$4*(AO154-AO$3)</f>
        <v/>
      </c>
      <c r="BN154" s="26">
        <f>AP$4*(AP154-AP$3)</f>
        <v/>
      </c>
      <c r="BO154" s="26">
        <f>AQ$4*(AQ154-AQ$3)</f>
        <v/>
      </c>
      <c r="BP154" s="26">
        <f>AR$4*(AR154-AR$3)</f>
        <v/>
      </c>
      <c r="BQ154" s="26">
        <f>AS$4*(AS154-AS$3)</f>
        <v/>
      </c>
      <c r="BR154" s="27">
        <f>SUM(AT154:BQ154)</f>
        <v/>
      </c>
      <c r="BS154" s="27">
        <f>INTERCEPT_SCALED+BR154</f>
        <v/>
      </c>
      <c r="BT154" s="28">
        <f>1/(1+EXP(-BS154))</f>
        <v/>
      </c>
      <c r="BU154" s="13">
        <f>1-(1-BT154)^12</f>
        <v/>
      </c>
      <c r="BV154" s="13">
        <f>IFERROR(AT154/BR154*(BU154-BASELINE_CPR),0)</f>
        <v/>
      </c>
      <c r="BW154" s="13">
        <f>IFERROR(AU154/BR154*(BU154-BASELINE_CPR),0)</f>
        <v/>
      </c>
      <c r="BX154" s="13">
        <f>IFERROR(AV154/BR154*(BU154-BASELINE_CPR),0)</f>
        <v/>
      </c>
      <c r="BY154" s="13">
        <f>IFERROR(AW154/BR154*(BU154-BASELINE_CPR),0)</f>
        <v/>
      </c>
      <c r="BZ154" s="13">
        <f>IFERROR(AX154/BR154*(BU154-BASELINE_CPR),0)</f>
        <v/>
      </c>
      <c r="CA154" s="13">
        <f>IFERROR(AY154/BR154*(BU154-BASELINE_CPR),0)</f>
        <v/>
      </c>
      <c r="CB154" s="13">
        <f>IFERROR(AZ154/BR154*(BU154-BASELINE_CPR),0)</f>
        <v/>
      </c>
      <c r="CC154" s="13">
        <f>IFERROR(BA154/BR154*(BU154-BASELINE_CPR),0)</f>
        <v/>
      </c>
      <c r="CD154" s="13">
        <f>IFERROR(BB154/BR154*(BU154-BASELINE_CPR),0)</f>
        <v/>
      </c>
      <c r="CE154" s="13">
        <f>IFERROR(BC154/BR154*(BU154-BASELINE_CPR),0)</f>
        <v/>
      </c>
      <c r="CF154" s="13">
        <f>IFERROR(BD154/BR154*(BU154-BASELINE_CPR),0)</f>
        <v/>
      </c>
      <c r="CG154" s="13">
        <f>IFERROR(BE154/BR154*(BU154-BASELINE_CPR),0)</f>
        <v/>
      </c>
      <c r="CH154" s="13">
        <f>IFERROR(BF154/BR154*(BU154-BASELINE_CPR),0)</f>
        <v/>
      </c>
      <c r="CI154" s="13">
        <f>IFERROR(BG154/BR154*(BU154-BASELINE_CPR),0)</f>
        <v/>
      </c>
      <c r="CJ154" s="13">
        <f>IFERROR(BH154/BR154*(BU154-BASELINE_CPR),0)</f>
        <v/>
      </c>
      <c r="CK154" s="13">
        <f>IFERROR(BI154/BR154*(BU154-BASELINE_CPR),0)</f>
        <v/>
      </c>
      <c r="CL154" s="13">
        <f>IFERROR(BJ154/BR154*(BU154-BASELINE_CPR),0)</f>
        <v/>
      </c>
      <c r="CM154" s="13">
        <f>IFERROR(BK154/BR154*(BU154-BASELINE_CPR),0)</f>
        <v/>
      </c>
      <c r="CN154" s="13">
        <f>IFERROR(BL154/BR154*(BU154-BASELINE_CPR),0)</f>
        <v/>
      </c>
      <c r="CO154" s="13">
        <f>IFERROR(BM154/BR154*(BU154-BASELINE_CPR),0)</f>
        <v/>
      </c>
      <c r="CP154" s="13">
        <f>IFERROR(BN154/BR154*(BU154-BASELINE_CPR),0)</f>
        <v/>
      </c>
      <c r="CQ154" s="13">
        <f>IFERROR(BO154/BR154*(BU154-BASELINE_CPR),0)</f>
        <v/>
      </c>
      <c r="CR154" s="13">
        <f>IFERROR(BP154/BR154*(BU154-BASELINE_CPR),0)</f>
        <v/>
      </c>
      <c r="CS154" s="13">
        <f>IFERROR(BQ154/BR154*(BU154-BASELINE_CPR),0)</f>
        <v/>
      </c>
      <c r="CT154" s="29">
        <f>BASELINE_CPR+SUM(BV154:CS154)-BU154</f>
        <v/>
      </c>
    </row>
    <row r="155">
      <c r="A155" s="2" t="inlineStr">
        <is>
          <t>36294XZW9_004033030406928</t>
        </is>
      </c>
      <c r="B155" t="inlineStr">
        <is>
          <t>PNC_PRE21</t>
        </is>
      </c>
      <c r="C155" s="2" t="inlineStr">
        <is>
          <t>36294XZW9</t>
        </is>
      </c>
      <c r="D155" t="inlineStr">
        <is>
          <t>PNC BANK, NA</t>
        </is>
      </c>
      <c r="E155" t="inlineStr">
        <is>
          <t>538</t>
        </is>
      </c>
      <c r="F155" t="inlineStr">
        <is>
          <t>538</t>
        </is>
      </c>
      <c r="G155" t="n">
        <v>2006</v>
      </c>
      <c r="H155" t="inlineStr">
        <is>
          <t>202602</t>
        </is>
      </c>
      <c r="I155" s="22" t="n">
        <v>1569603.44</v>
      </c>
      <c r="J155" s="23" t="n">
        <v>7.09</v>
      </c>
      <c r="K155" s="24" t="n">
        <v>447</v>
      </c>
      <c r="L155" s="24" t="n">
        <v>5.08</v>
      </c>
      <c r="M155" t="n">
        <v>239</v>
      </c>
      <c r="N155" t="n">
        <v>86</v>
      </c>
      <c r="O155" t="n">
        <v>204104</v>
      </c>
      <c r="P155" t="n">
        <v>202104</v>
      </c>
      <c r="Q155" t="inlineStr">
        <is>
          <t>3976</t>
        </is>
      </c>
      <c r="R155" t="n">
        <v>0</v>
      </c>
      <c r="S155" t="n">
        <v>0</v>
      </c>
      <c r="T155" t="n">
        <v>1</v>
      </c>
      <c r="U155" t="n">
        <v>0</v>
      </c>
      <c r="V155" s="24">
        <f>J155*100-K155</f>
        <v/>
      </c>
      <c r="W155" s="24">
        <f>L155</f>
        <v/>
      </c>
      <c r="X155" s="25">
        <f>MIN(M155,36)</f>
        <v/>
      </c>
      <c r="Y155" s="25">
        <f>MIN(MAX(M155-36,0),84)</f>
        <v/>
      </c>
      <c r="Z155" s="25">
        <f>MAX(M155-120,0)</f>
        <v/>
      </c>
      <c r="AA155" s="25">
        <f>IF(OR(O155="",NOT(ISNUMBER(O155))),360,MAX(0,MIN(480,(INT(O155/100)-INT(VALUE(H155)/100))*12+MOD(O155,100)-MOD(VALUE(H155),100))))</f>
        <v/>
      </c>
      <c r="AB155">
        <f>IF(AND(AA155&gt;0,AA155&lt;=24),1,0)</f>
        <v/>
      </c>
      <c r="AC155" s="25">
        <f>IF(OR(P155="",NOT(ISNUMBER(P155))),0,MAX(0,MIN(24,(INT(VALUE(H155)/100)-INT(P155/100))*12+MOD(VALUE(H155),100)-MOD(P155,100))))</f>
        <v/>
      </c>
      <c r="AD155" s="23">
        <f>LN(1+I155)</f>
        <v/>
      </c>
      <c r="AE155">
        <f>IF(I155&lt;2000000,1,0)</f>
        <v/>
      </c>
      <c r="AF155">
        <f>IF(I155&gt;50000000,1,0)</f>
        <v/>
      </c>
      <c r="AG155" s="23">
        <f>IF(ISNUMBER(M155),N155/MAX(M155,1),0)</f>
        <v/>
      </c>
      <c r="AH155">
        <f>IF(G155&gt;=2021,1,0)</f>
        <v/>
      </c>
      <c r="AI155">
        <f>S155</f>
        <v/>
      </c>
      <c r="AJ155">
        <f>T155</f>
        <v/>
      </c>
      <c r="AK155">
        <f>R155</f>
        <v/>
      </c>
      <c r="AL155">
        <f>U155</f>
        <v/>
      </c>
      <c r="AM155">
        <f>IF(ISNUMBER(SEARCH("CAPITAL FUNDING",D155)),1,0)</f>
        <v/>
      </c>
      <c r="AN155">
        <f>IF(ISNUMBER(SEARCH("PNC",D155)),1,0)</f>
        <v/>
      </c>
      <c r="AO155">
        <f>IF(ISNUMBER(SEARCH("WELLS FARGO",D155)),1,0)</f>
        <v/>
      </c>
      <c r="AP155">
        <f>IF(ISNUMBER(SEARCH("DWIGHT",D155)),1,0)</f>
        <v/>
      </c>
      <c r="AQ155">
        <f>IF(ISNUMBER(SEARCH("GREYSTONE",D155)),1,0)</f>
        <v/>
      </c>
      <c r="AR155">
        <f>IF(OR(Q155="3896",Q155="3557"),1,0)</f>
        <v/>
      </c>
      <c r="AS155" s="24">
        <f>V155*W155</f>
        <v/>
      </c>
      <c r="AT155" s="26">
        <f>V$4*(V155-V$3)</f>
        <v/>
      </c>
      <c r="AU155" s="26">
        <f>W$4*(W155-W$3)</f>
        <v/>
      </c>
      <c r="AV155" s="26">
        <f>X$4*(X155-X$3)</f>
        <v/>
      </c>
      <c r="AW155" s="26">
        <f>Y$4*(Y155-Y$3)</f>
        <v/>
      </c>
      <c r="AX155" s="26">
        <f>Z$4*(Z155-Z$3)</f>
        <v/>
      </c>
      <c r="AY155" s="26">
        <f>AA$4*(AA155-AA$3)</f>
        <v/>
      </c>
      <c r="AZ155" s="26">
        <f>AB$4*(AB155-AB$3)</f>
        <v/>
      </c>
      <c r="BA155" s="26">
        <f>AC$4*(AC155-AC$3)</f>
        <v/>
      </c>
      <c r="BB155" s="26">
        <f>AD$4*(AD155-AD$3)</f>
        <v/>
      </c>
      <c r="BC155" s="26">
        <f>AE$4*(AE155-AE$3)</f>
        <v/>
      </c>
      <c r="BD155" s="26">
        <f>AF$4*(AF155-AF$3)</f>
        <v/>
      </c>
      <c r="BE155" s="26">
        <f>AG$4*(AG155-AG$3)</f>
        <v/>
      </c>
      <c r="BF155" s="26">
        <f>AH$4*(AH155-AH$3)</f>
        <v/>
      </c>
      <c r="BG155" s="26">
        <f>AI$4*(AI155-AI$3)</f>
        <v/>
      </c>
      <c r="BH155" s="26">
        <f>AJ$4*(AJ155-AJ$3)</f>
        <v/>
      </c>
      <c r="BI155" s="26">
        <f>AK$4*(AK155-AK$3)</f>
        <v/>
      </c>
      <c r="BJ155" s="26">
        <f>AL$4*(AL155-AL$3)</f>
        <v/>
      </c>
      <c r="BK155" s="26">
        <f>AM$4*(AM155-AM$3)</f>
        <v/>
      </c>
      <c r="BL155" s="26">
        <f>AN$4*(AN155-AN$3)</f>
        <v/>
      </c>
      <c r="BM155" s="26">
        <f>AO$4*(AO155-AO$3)</f>
        <v/>
      </c>
      <c r="BN155" s="26">
        <f>AP$4*(AP155-AP$3)</f>
        <v/>
      </c>
      <c r="BO155" s="26">
        <f>AQ$4*(AQ155-AQ$3)</f>
        <v/>
      </c>
      <c r="BP155" s="26">
        <f>AR$4*(AR155-AR$3)</f>
        <v/>
      </c>
      <c r="BQ155" s="26">
        <f>AS$4*(AS155-AS$3)</f>
        <v/>
      </c>
      <c r="BR155" s="27">
        <f>SUM(AT155:BQ155)</f>
        <v/>
      </c>
      <c r="BS155" s="27">
        <f>INTERCEPT_SCALED+BR155</f>
        <v/>
      </c>
      <c r="BT155" s="28">
        <f>1/(1+EXP(-BS155))</f>
        <v/>
      </c>
      <c r="BU155" s="13">
        <f>1-(1-BT155)^12</f>
        <v/>
      </c>
      <c r="BV155" s="13">
        <f>IFERROR(AT155/BR155*(BU155-BASELINE_CPR),0)</f>
        <v/>
      </c>
      <c r="BW155" s="13">
        <f>IFERROR(AU155/BR155*(BU155-BASELINE_CPR),0)</f>
        <v/>
      </c>
      <c r="BX155" s="13">
        <f>IFERROR(AV155/BR155*(BU155-BASELINE_CPR),0)</f>
        <v/>
      </c>
      <c r="BY155" s="13">
        <f>IFERROR(AW155/BR155*(BU155-BASELINE_CPR),0)</f>
        <v/>
      </c>
      <c r="BZ155" s="13">
        <f>IFERROR(AX155/BR155*(BU155-BASELINE_CPR),0)</f>
        <v/>
      </c>
      <c r="CA155" s="13">
        <f>IFERROR(AY155/BR155*(BU155-BASELINE_CPR),0)</f>
        <v/>
      </c>
      <c r="CB155" s="13">
        <f>IFERROR(AZ155/BR155*(BU155-BASELINE_CPR),0)</f>
        <v/>
      </c>
      <c r="CC155" s="13">
        <f>IFERROR(BA155/BR155*(BU155-BASELINE_CPR),0)</f>
        <v/>
      </c>
      <c r="CD155" s="13">
        <f>IFERROR(BB155/BR155*(BU155-BASELINE_CPR),0)</f>
        <v/>
      </c>
      <c r="CE155" s="13">
        <f>IFERROR(BC155/BR155*(BU155-BASELINE_CPR),0)</f>
        <v/>
      </c>
      <c r="CF155" s="13">
        <f>IFERROR(BD155/BR155*(BU155-BASELINE_CPR),0)</f>
        <v/>
      </c>
      <c r="CG155" s="13">
        <f>IFERROR(BE155/BR155*(BU155-BASELINE_CPR),0)</f>
        <v/>
      </c>
      <c r="CH155" s="13">
        <f>IFERROR(BF155/BR155*(BU155-BASELINE_CPR),0)</f>
        <v/>
      </c>
      <c r="CI155" s="13">
        <f>IFERROR(BG155/BR155*(BU155-BASELINE_CPR),0)</f>
        <v/>
      </c>
      <c r="CJ155" s="13">
        <f>IFERROR(BH155/BR155*(BU155-BASELINE_CPR),0)</f>
        <v/>
      </c>
      <c r="CK155" s="13">
        <f>IFERROR(BI155/BR155*(BU155-BASELINE_CPR),0)</f>
        <v/>
      </c>
      <c r="CL155" s="13">
        <f>IFERROR(BJ155/BR155*(BU155-BASELINE_CPR),0)</f>
        <v/>
      </c>
      <c r="CM155" s="13">
        <f>IFERROR(BK155/BR155*(BU155-BASELINE_CPR),0)</f>
        <v/>
      </c>
      <c r="CN155" s="13">
        <f>IFERROR(BL155/BR155*(BU155-BASELINE_CPR),0)</f>
        <v/>
      </c>
      <c r="CO155" s="13">
        <f>IFERROR(BM155/BR155*(BU155-BASELINE_CPR),0)</f>
        <v/>
      </c>
      <c r="CP155" s="13">
        <f>IFERROR(BN155/BR155*(BU155-BASELINE_CPR),0)</f>
        <v/>
      </c>
      <c r="CQ155" s="13">
        <f>IFERROR(BO155/BR155*(BU155-BASELINE_CPR),0)</f>
        <v/>
      </c>
      <c r="CR155" s="13">
        <f>IFERROR(BP155/BR155*(BU155-BASELINE_CPR),0)</f>
        <v/>
      </c>
      <c r="CS155" s="13">
        <f>IFERROR(BQ155/BR155*(BU155-BASELINE_CPR),0)</f>
        <v/>
      </c>
      <c r="CT155" s="29">
        <f>BASELINE_CPR+SUM(BV155:CS155)-BU155</f>
        <v/>
      </c>
    </row>
    <row r="156">
      <c r="A156" s="2" t="inlineStr">
        <is>
          <t>3617ATL27_000000009211215</t>
        </is>
      </c>
      <c r="B156" t="inlineStr">
        <is>
          <t>PNC_PRE21</t>
        </is>
      </c>
      <c r="C156" s="2" t="inlineStr">
        <is>
          <t>3617ATL27</t>
        </is>
      </c>
      <c r="D156" t="inlineStr">
        <is>
          <t>PNC BANK, NA</t>
        </is>
      </c>
      <c r="E156" t="inlineStr">
        <is>
          <t>223f</t>
        </is>
      </c>
      <c r="F156" t="inlineStr">
        <is>
          <t>RP</t>
        </is>
      </c>
      <c r="G156" t="n">
        <v>2017</v>
      </c>
      <c r="H156" t="inlineStr">
        <is>
          <t>202602</t>
        </is>
      </c>
      <c r="I156" s="22" t="n">
        <v>893861.5699999999</v>
      </c>
      <c r="J156" s="23" t="n">
        <v>3.9</v>
      </c>
      <c r="K156" s="24" t="n">
        <v>447</v>
      </c>
      <c r="L156" s="24" t="n">
        <v>2</v>
      </c>
      <c r="M156" t="n">
        <v>98</v>
      </c>
      <c r="N156" t="n">
        <v>30</v>
      </c>
      <c r="O156" t="n">
        <v>204109</v>
      </c>
      <c r="P156" t="inlineStr"/>
      <c r="Q156" t="inlineStr">
        <is>
          <t>3976</t>
        </is>
      </c>
      <c r="R156" t="n">
        <v>0</v>
      </c>
      <c r="S156" t="n">
        <v>0</v>
      </c>
      <c r="T156" t="n">
        <v>0</v>
      </c>
      <c r="U156" t="n">
        <v>0</v>
      </c>
      <c r="V156" s="24">
        <f>J156*100-K156</f>
        <v/>
      </c>
      <c r="W156" s="24">
        <f>L156</f>
        <v/>
      </c>
      <c r="X156" s="25">
        <f>MIN(M156,36)</f>
        <v/>
      </c>
      <c r="Y156" s="25">
        <f>MIN(MAX(M156-36,0),84)</f>
        <v/>
      </c>
      <c r="Z156" s="25">
        <f>MAX(M156-120,0)</f>
        <v/>
      </c>
      <c r="AA156" s="25">
        <f>IF(OR(O156="",NOT(ISNUMBER(O156))),360,MAX(0,MIN(480,(INT(O156/100)-INT(VALUE(H156)/100))*12+MOD(O156,100)-MOD(VALUE(H156),100))))</f>
        <v/>
      </c>
      <c r="AB156">
        <f>IF(AND(AA156&gt;0,AA156&lt;=24),1,0)</f>
        <v/>
      </c>
      <c r="AC156" s="25">
        <f>IF(OR(P156="",NOT(ISNUMBER(P156))),0,MAX(0,MIN(24,(INT(VALUE(H156)/100)-INT(P156/100))*12+MOD(VALUE(H156),100)-MOD(P156,100))))</f>
        <v/>
      </c>
      <c r="AD156" s="23">
        <f>LN(1+I156)</f>
        <v/>
      </c>
      <c r="AE156">
        <f>IF(I156&lt;2000000,1,0)</f>
        <v/>
      </c>
      <c r="AF156">
        <f>IF(I156&gt;50000000,1,0)</f>
        <v/>
      </c>
      <c r="AG156" s="23">
        <f>IF(ISNUMBER(M156),N156/MAX(M156,1),0)</f>
        <v/>
      </c>
      <c r="AH156">
        <f>IF(G156&gt;=2021,1,0)</f>
        <v/>
      </c>
      <c r="AI156">
        <f>S156</f>
        <v/>
      </c>
      <c r="AJ156">
        <f>T156</f>
        <v/>
      </c>
      <c r="AK156">
        <f>R156</f>
        <v/>
      </c>
      <c r="AL156">
        <f>U156</f>
        <v/>
      </c>
      <c r="AM156">
        <f>IF(ISNUMBER(SEARCH("CAPITAL FUNDING",D156)),1,0)</f>
        <v/>
      </c>
      <c r="AN156">
        <f>IF(ISNUMBER(SEARCH("PNC",D156)),1,0)</f>
        <v/>
      </c>
      <c r="AO156">
        <f>IF(ISNUMBER(SEARCH("WELLS FARGO",D156)),1,0)</f>
        <v/>
      </c>
      <c r="AP156">
        <f>IF(ISNUMBER(SEARCH("DWIGHT",D156)),1,0)</f>
        <v/>
      </c>
      <c r="AQ156">
        <f>IF(ISNUMBER(SEARCH("GREYSTONE",D156)),1,0)</f>
        <v/>
      </c>
      <c r="AR156">
        <f>IF(OR(Q156="3896",Q156="3557"),1,0)</f>
        <v/>
      </c>
      <c r="AS156" s="24">
        <f>V156*W156</f>
        <v/>
      </c>
      <c r="AT156" s="26">
        <f>V$4*(V156-V$3)</f>
        <v/>
      </c>
      <c r="AU156" s="26">
        <f>W$4*(W156-W$3)</f>
        <v/>
      </c>
      <c r="AV156" s="26">
        <f>X$4*(X156-X$3)</f>
        <v/>
      </c>
      <c r="AW156" s="26">
        <f>Y$4*(Y156-Y$3)</f>
        <v/>
      </c>
      <c r="AX156" s="26">
        <f>Z$4*(Z156-Z$3)</f>
        <v/>
      </c>
      <c r="AY156" s="26">
        <f>AA$4*(AA156-AA$3)</f>
        <v/>
      </c>
      <c r="AZ156" s="26">
        <f>AB$4*(AB156-AB$3)</f>
        <v/>
      </c>
      <c r="BA156" s="26">
        <f>AC$4*(AC156-AC$3)</f>
        <v/>
      </c>
      <c r="BB156" s="26">
        <f>AD$4*(AD156-AD$3)</f>
        <v/>
      </c>
      <c r="BC156" s="26">
        <f>AE$4*(AE156-AE$3)</f>
        <v/>
      </c>
      <c r="BD156" s="26">
        <f>AF$4*(AF156-AF$3)</f>
        <v/>
      </c>
      <c r="BE156" s="26">
        <f>AG$4*(AG156-AG$3)</f>
        <v/>
      </c>
      <c r="BF156" s="26">
        <f>AH$4*(AH156-AH$3)</f>
        <v/>
      </c>
      <c r="BG156" s="26">
        <f>AI$4*(AI156-AI$3)</f>
        <v/>
      </c>
      <c r="BH156" s="26">
        <f>AJ$4*(AJ156-AJ$3)</f>
        <v/>
      </c>
      <c r="BI156" s="26">
        <f>AK$4*(AK156-AK$3)</f>
        <v/>
      </c>
      <c r="BJ156" s="26">
        <f>AL$4*(AL156-AL$3)</f>
        <v/>
      </c>
      <c r="BK156" s="26">
        <f>AM$4*(AM156-AM$3)</f>
        <v/>
      </c>
      <c r="BL156" s="26">
        <f>AN$4*(AN156-AN$3)</f>
        <v/>
      </c>
      <c r="BM156" s="26">
        <f>AO$4*(AO156-AO$3)</f>
        <v/>
      </c>
      <c r="BN156" s="26">
        <f>AP$4*(AP156-AP$3)</f>
        <v/>
      </c>
      <c r="BO156" s="26">
        <f>AQ$4*(AQ156-AQ$3)</f>
        <v/>
      </c>
      <c r="BP156" s="26">
        <f>AR$4*(AR156-AR$3)</f>
        <v/>
      </c>
      <c r="BQ156" s="26">
        <f>AS$4*(AS156-AS$3)</f>
        <v/>
      </c>
      <c r="BR156" s="27">
        <f>SUM(AT156:BQ156)</f>
        <v/>
      </c>
      <c r="BS156" s="27">
        <f>INTERCEPT_SCALED+BR156</f>
        <v/>
      </c>
      <c r="BT156" s="28">
        <f>1/(1+EXP(-BS156))</f>
        <v/>
      </c>
      <c r="BU156" s="13">
        <f>1-(1-BT156)^12</f>
        <v/>
      </c>
      <c r="BV156" s="13">
        <f>IFERROR(AT156/BR156*(BU156-BASELINE_CPR),0)</f>
        <v/>
      </c>
      <c r="BW156" s="13">
        <f>IFERROR(AU156/BR156*(BU156-BASELINE_CPR),0)</f>
        <v/>
      </c>
      <c r="BX156" s="13">
        <f>IFERROR(AV156/BR156*(BU156-BASELINE_CPR),0)</f>
        <v/>
      </c>
      <c r="BY156" s="13">
        <f>IFERROR(AW156/BR156*(BU156-BASELINE_CPR),0)</f>
        <v/>
      </c>
      <c r="BZ156" s="13">
        <f>IFERROR(AX156/BR156*(BU156-BASELINE_CPR),0)</f>
        <v/>
      </c>
      <c r="CA156" s="13">
        <f>IFERROR(AY156/BR156*(BU156-BASELINE_CPR),0)</f>
        <v/>
      </c>
      <c r="CB156" s="13">
        <f>IFERROR(AZ156/BR156*(BU156-BASELINE_CPR),0)</f>
        <v/>
      </c>
      <c r="CC156" s="13">
        <f>IFERROR(BA156/BR156*(BU156-BASELINE_CPR),0)</f>
        <v/>
      </c>
      <c r="CD156" s="13">
        <f>IFERROR(BB156/BR156*(BU156-BASELINE_CPR),0)</f>
        <v/>
      </c>
      <c r="CE156" s="13">
        <f>IFERROR(BC156/BR156*(BU156-BASELINE_CPR),0)</f>
        <v/>
      </c>
      <c r="CF156" s="13">
        <f>IFERROR(BD156/BR156*(BU156-BASELINE_CPR),0)</f>
        <v/>
      </c>
      <c r="CG156" s="13">
        <f>IFERROR(BE156/BR156*(BU156-BASELINE_CPR),0)</f>
        <v/>
      </c>
      <c r="CH156" s="13">
        <f>IFERROR(BF156/BR156*(BU156-BASELINE_CPR),0)</f>
        <v/>
      </c>
      <c r="CI156" s="13">
        <f>IFERROR(BG156/BR156*(BU156-BASELINE_CPR),0)</f>
        <v/>
      </c>
      <c r="CJ156" s="13">
        <f>IFERROR(BH156/BR156*(BU156-BASELINE_CPR),0)</f>
        <v/>
      </c>
      <c r="CK156" s="13">
        <f>IFERROR(BI156/BR156*(BU156-BASELINE_CPR),0)</f>
        <v/>
      </c>
      <c r="CL156" s="13">
        <f>IFERROR(BJ156/BR156*(BU156-BASELINE_CPR),0)</f>
        <v/>
      </c>
      <c r="CM156" s="13">
        <f>IFERROR(BK156/BR156*(BU156-BASELINE_CPR),0)</f>
        <v/>
      </c>
      <c r="CN156" s="13">
        <f>IFERROR(BL156/BR156*(BU156-BASELINE_CPR),0)</f>
        <v/>
      </c>
      <c r="CO156" s="13">
        <f>IFERROR(BM156/BR156*(BU156-BASELINE_CPR),0)</f>
        <v/>
      </c>
      <c r="CP156" s="13">
        <f>IFERROR(BN156/BR156*(BU156-BASELINE_CPR),0)</f>
        <v/>
      </c>
      <c r="CQ156" s="13">
        <f>IFERROR(BO156/BR156*(BU156-BASELINE_CPR),0)</f>
        <v/>
      </c>
      <c r="CR156" s="13">
        <f>IFERROR(BP156/BR156*(BU156-BASELINE_CPR),0)</f>
        <v/>
      </c>
      <c r="CS156" s="13">
        <f>IFERROR(BQ156/BR156*(BU156-BASELINE_CPR),0)</f>
        <v/>
      </c>
      <c r="CT156" s="29">
        <f>BASELINE_CPR+SUM(BV156:CS156)-BU156</f>
        <v/>
      </c>
    </row>
    <row r="157">
      <c r="A157" s="2" t="inlineStr">
        <is>
          <t>3617XD5H2_000000006611270</t>
        </is>
      </c>
      <c r="B157" t="inlineStr">
        <is>
          <t>PNC_POST21</t>
        </is>
      </c>
      <c r="C157" s="2" t="inlineStr">
        <is>
          <t>3617XD5H2</t>
        </is>
      </c>
      <c r="D157" t="inlineStr">
        <is>
          <t>PNC BANK, NA</t>
        </is>
      </c>
      <c r="E157" t="inlineStr">
        <is>
          <t>223f</t>
        </is>
      </c>
      <c r="F157" t="inlineStr">
        <is>
          <t>RP</t>
        </is>
      </c>
      <c r="G157" t="n">
        <v>2022</v>
      </c>
      <c r="H157" t="inlineStr">
        <is>
          <t>202602</t>
        </is>
      </c>
      <c r="I157" s="22" t="n">
        <v>4429820.32</v>
      </c>
      <c r="J157" s="23" t="n">
        <v>2.98</v>
      </c>
      <c r="K157" s="24" t="n">
        <v>447</v>
      </c>
      <c r="L157" s="24" t="n">
        <v>7</v>
      </c>
      <c r="M157" t="n">
        <v>45</v>
      </c>
      <c r="N157" t="n">
        <v>0</v>
      </c>
      <c r="O157" t="n">
        <v>204706</v>
      </c>
      <c r="P157" t="inlineStr"/>
      <c r="Q157" t="inlineStr">
        <is>
          <t>3976</t>
        </is>
      </c>
      <c r="R157" t="n">
        <v>0</v>
      </c>
      <c r="S157" t="n">
        <v>0</v>
      </c>
      <c r="T157" t="n">
        <v>0</v>
      </c>
      <c r="U157" t="n">
        <v>0</v>
      </c>
      <c r="V157" s="24">
        <f>J157*100-K157</f>
        <v/>
      </c>
      <c r="W157" s="24">
        <f>L157</f>
        <v/>
      </c>
      <c r="X157" s="25">
        <f>MIN(M157,36)</f>
        <v/>
      </c>
      <c r="Y157" s="25">
        <f>MIN(MAX(M157-36,0),84)</f>
        <v/>
      </c>
      <c r="Z157" s="25">
        <f>MAX(M157-120,0)</f>
        <v/>
      </c>
      <c r="AA157" s="25">
        <f>IF(OR(O157="",NOT(ISNUMBER(O157))),360,MAX(0,MIN(480,(INT(O157/100)-INT(VALUE(H157)/100))*12+MOD(O157,100)-MOD(VALUE(H157),100))))</f>
        <v/>
      </c>
      <c r="AB157">
        <f>IF(AND(AA157&gt;0,AA157&lt;=24),1,0)</f>
        <v/>
      </c>
      <c r="AC157" s="25">
        <f>IF(OR(P157="",NOT(ISNUMBER(P157))),0,MAX(0,MIN(24,(INT(VALUE(H157)/100)-INT(P157/100))*12+MOD(VALUE(H157),100)-MOD(P157,100))))</f>
        <v/>
      </c>
      <c r="AD157" s="23">
        <f>LN(1+I157)</f>
        <v/>
      </c>
      <c r="AE157">
        <f>IF(I157&lt;2000000,1,0)</f>
        <v/>
      </c>
      <c r="AF157">
        <f>IF(I157&gt;50000000,1,0)</f>
        <v/>
      </c>
      <c r="AG157" s="23">
        <f>IF(ISNUMBER(M157),N157/MAX(M157,1),0)</f>
        <v/>
      </c>
      <c r="AH157">
        <f>IF(G157&gt;=2021,1,0)</f>
        <v/>
      </c>
      <c r="AI157">
        <f>S157</f>
        <v/>
      </c>
      <c r="AJ157">
        <f>T157</f>
        <v/>
      </c>
      <c r="AK157">
        <f>R157</f>
        <v/>
      </c>
      <c r="AL157">
        <f>U157</f>
        <v/>
      </c>
      <c r="AM157">
        <f>IF(ISNUMBER(SEARCH("CAPITAL FUNDING",D157)),1,0)</f>
        <v/>
      </c>
      <c r="AN157">
        <f>IF(ISNUMBER(SEARCH("PNC",D157)),1,0)</f>
        <v/>
      </c>
      <c r="AO157">
        <f>IF(ISNUMBER(SEARCH("WELLS FARGO",D157)),1,0)</f>
        <v/>
      </c>
      <c r="AP157">
        <f>IF(ISNUMBER(SEARCH("DWIGHT",D157)),1,0)</f>
        <v/>
      </c>
      <c r="AQ157">
        <f>IF(ISNUMBER(SEARCH("GREYSTONE",D157)),1,0)</f>
        <v/>
      </c>
      <c r="AR157">
        <f>IF(OR(Q157="3896",Q157="3557"),1,0)</f>
        <v/>
      </c>
      <c r="AS157" s="24">
        <f>V157*W157</f>
        <v/>
      </c>
      <c r="AT157" s="26">
        <f>V$4*(V157-V$3)</f>
        <v/>
      </c>
      <c r="AU157" s="26">
        <f>W$4*(W157-W$3)</f>
        <v/>
      </c>
      <c r="AV157" s="26">
        <f>X$4*(X157-X$3)</f>
        <v/>
      </c>
      <c r="AW157" s="26">
        <f>Y$4*(Y157-Y$3)</f>
        <v/>
      </c>
      <c r="AX157" s="26">
        <f>Z$4*(Z157-Z$3)</f>
        <v/>
      </c>
      <c r="AY157" s="26">
        <f>AA$4*(AA157-AA$3)</f>
        <v/>
      </c>
      <c r="AZ157" s="26">
        <f>AB$4*(AB157-AB$3)</f>
        <v/>
      </c>
      <c r="BA157" s="26">
        <f>AC$4*(AC157-AC$3)</f>
        <v/>
      </c>
      <c r="BB157" s="26">
        <f>AD$4*(AD157-AD$3)</f>
        <v/>
      </c>
      <c r="BC157" s="26">
        <f>AE$4*(AE157-AE$3)</f>
        <v/>
      </c>
      <c r="BD157" s="26">
        <f>AF$4*(AF157-AF$3)</f>
        <v/>
      </c>
      <c r="BE157" s="26">
        <f>AG$4*(AG157-AG$3)</f>
        <v/>
      </c>
      <c r="BF157" s="26">
        <f>AH$4*(AH157-AH$3)</f>
        <v/>
      </c>
      <c r="BG157" s="26">
        <f>AI$4*(AI157-AI$3)</f>
        <v/>
      </c>
      <c r="BH157" s="26">
        <f>AJ$4*(AJ157-AJ$3)</f>
        <v/>
      </c>
      <c r="BI157" s="26">
        <f>AK$4*(AK157-AK$3)</f>
        <v/>
      </c>
      <c r="BJ157" s="26">
        <f>AL$4*(AL157-AL$3)</f>
        <v/>
      </c>
      <c r="BK157" s="26">
        <f>AM$4*(AM157-AM$3)</f>
        <v/>
      </c>
      <c r="BL157" s="26">
        <f>AN$4*(AN157-AN$3)</f>
        <v/>
      </c>
      <c r="BM157" s="26">
        <f>AO$4*(AO157-AO$3)</f>
        <v/>
      </c>
      <c r="BN157" s="26">
        <f>AP$4*(AP157-AP$3)</f>
        <v/>
      </c>
      <c r="BO157" s="26">
        <f>AQ$4*(AQ157-AQ$3)</f>
        <v/>
      </c>
      <c r="BP157" s="26">
        <f>AR$4*(AR157-AR$3)</f>
        <v/>
      </c>
      <c r="BQ157" s="26">
        <f>AS$4*(AS157-AS$3)</f>
        <v/>
      </c>
      <c r="BR157" s="27">
        <f>SUM(AT157:BQ157)</f>
        <v/>
      </c>
      <c r="BS157" s="27">
        <f>INTERCEPT_SCALED+BR157</f>
        <v/>
      </c>
      <c r="BT157" s="28">
        <f>1/(1+EXP(-BS157))</f>
        <v/>
      </c>
      <c r="BU157" s="13">
        <f>1-(1-BT157)^12</f>
        <v/>
      </c>
      <c r="BV157" s="13">
        <f>IFERROR(AT157/BR157*(BU157-BASELINE_CPR),0)</f>
        <v/>
      </c>
      <c r="BW157" s="13">
        <f>IFERROR(AU157/BR157*(BU157-BASELINE_CPR),0)</f>
        <v/>
      </c>
      <c r="BX157" s="13">
        <f>IFERROR(AV157/BR157*(BU157-BASELINE_CPR),0)</f>
        <v/>
      </c>
      <c r="BY157" s="13">
        <f>IFERROR(AW157/BR157*(BU157-BASELINE_CPR),0)</f>
        <v/>
      </c>
      <c r="BZ157" s="13">
        <f>IFERROR(AX157/BR157*(BU157-BASELINE_CPR),0)</f>
        <v/>
      </c>
      <c r="CA157" s="13">
        <f>IFERROR(AY157/BR157*(BU157-BASELINE_CPR),0)</f>
        <v/>
      </c>
      <c r="CB157" s="13">
        <f>IFERROR(AZ157/BR157*(BU157-BASELINE_CPR),0)</f>
        <v/>
      </c>
      <c r="CC157" s="13">
        <f>IFERROR(BA157/BR157*(BU157-BASELINE_CPR),0)</f>
        <v/>
      </c>
      <c r="CD157" s="13">
        <f>IFERROR(BB157/BR157*(BU157-BASELINE_CPR),0)</f>
        <v/>
      </c>
      <c r="CE157" s="13">
        <f>IFERROR(BC157/BR157*(BU157-BASELINE_CPR),0)</f>
        <v/>
      </c>
      <c r="CF157" s="13">
        <f>IFERROR(BD157/BR157*(BU157-BASELINE_CPR),0)</f>
        <v/>
      </c>
      <c r="CG157" s="13">
        <f>IFERROR(BE157/BR157*(BU157-BASELINE_CPR),0)</f>
        <v/>
      </c>
      <c r="CH157" s="13">
        <f>IFERROR(BF157/BR157*(BU157-BASELINE_CPR),0)</f>
        <v/>
      </c>
      <c r="CI157" s="13">
        <f>IFERROR(BG157/BR157*(BU157-BASELINE_CPR),0)</f>
        <v/>
      </c>
      <c r="CJ157" s="13">
        <f>IFERROR(BH157/BR157*(BU157-BASELINE_CPR),0)</f>
        <v/>
      </c>
      <c r="CK157" s="13">
        <f>IFERROR(BI157/BR157*(BU157-BASELINE_CPR),0)</f>
        <v/>
      </c>
      <c r="CL157" s="13">
        <f>IFERROR(BJ157/BR157*(BU157-BASELINE_CPR),0)</f>
        <v/>
      </c>
      <c r="CM157" s="13">
        <f>IFERROR(BK157/BR157*(BU157-BASELINE_CPR),0)</f>
        <v/>
      </c>
      <c r="CN157" s="13">
        <f>IFERROR(BL157/BR157*(BU157-BASELINE_CPR),0)</f>
        <v/>
      </c>
      <c r="CO157" s="13">
        <f>IFERROR(BM157/BR157*(BU157-BASELINE_CPR),0)</f>
        <v/>
      </c>
      <c r="CP157" s="13">
        <f>IFERROR(BN157/BR157*(BU157-BASELINE_CPR),0)</f>
        <v/>
      </c>
      <c r="CQ157" s="13">
        <f>IFERROR(BO157/BR157*(BU157-BASELINE_CPR),0)</f>
        <v/>
      </c>
      <c r="CR157" s="13">
        <f>IFERROR(BP157/BR157*(BU157-BASELINE_CPR),0)</f>
        <v/>
      </c>
      <c r="CS157" s="13">
        <f>IFERROR(BQ157/BR157*(BU157-BASELINE_CPR),0)</f>
        <v/>
      </c>
      <c r="CT157" s="29">
        <f>BASELINE_CPR+SUM(BV157:CS157)-BU157</f>
        <v/>
      </c>
    </row>
    <row r="158">
      <c r="A158" s="2" t="inlineStr">
        <is>
          <t>36295GYK2_000000001438006</t>
        </is>
      </c>
      <c r="B158" t="inlineStr">
        <is>
          <t>PNC_PRE21</t>
        </is>
      </c>
      <c r="C158" s="2" t="inlineStr">
        <is>
          <t>36295GYK2</t>
        </is>
      </c>
      <c r="D158" t="inlineStr">
        <is>
          <t>PNC BANK, NA</t>
        </is>
      </c>
      <c r="E158" t="inlineStr">
        <is>
          <t>223a7</t>
        </is>
      </c>
      <c r="F158" t="inlineStr">
        <is>
          <t>RP</t>
        </is>
      </c>
      <c r="G158" t="n">
        <v>2008</v>
      </c>
      <c r="H158" t="inlineStr">
        <is>
          <t>202602</t>
        </is>
      </c>
      <c r="I158" s="22" t="n">
        <v>773318.4</v>
      </c>
      <c r="J158" s="23" t="n">
        <v>6.22</v>
      </c>
      <c r="K158" s="24" t="n">
        <v>447</v>
      </c>
      <c r="L158" s="24" t="n">
        <v>0</v>
      </c>
      <c r="M158" t="n">
        <v>213</v>
      </c>
      <c r="N158" t="n">
        <v>86</v>
      </c>
      <c r="O158" t="n">
        <v>203111</v>
      </c>
      <c r="P158" t="n">
        <v>201307</v>
      </c>
      <c r="Q158" t="inlineStr">
        <is>
          <t>3976</t>
        </is>
      </c>
      <c r="R158" t="n">
        <v>0</v>
      </c>
      <c r="S158" t="n">
        <v>1</v>
      </c>
      <c r="T158" t="n">
        <v>0</v>
      </c>
      <c r="U158" t="n">
        <v>0</v>
      </c>
      <c r="V158" s="24">
        <f>J158*100-K158</f>
        <v/>
      </c>
      <c r="W158" s="24">
        <f>L158</f>
        <v/>
      </c>
      <c r="X158" s="25">
        <f>MIN(M158,36)</f>
        <v/>
      </c>
      <c r="Y158" s="25">
        <f>MIN(MAX(M158-36,0),84)</f>
        <v/>
      </c>
      <c r="Z158" s="25">
        <f>MAX(M158-120,0)</f>
        <v/>
      </c>
      <c r="AA158" s="25">
        <f>IF(OR(O158="",NOT(ISNUMBER(O158))),360,MAX(0,MIN(480,(INT(O158/100)-INT(VALUE(H158)/100))*12+MOD(O158,100)-MOD(VALUE(H158),100))))</f>
        <v/>
      </c>
      <c r="AB158">
        <f>IF(AND(AA158&gt;0,AA158&lt;=24),1,0)</f>
        <v/>
      </c>
      <c r="AC158" s="25">
        <f>IF(OR(P158="",NOT(ISNUMBER(P158))),0,MAX(0,MIN(24,(INT(VALUE(H158)/100)-INT(P158/100))*12+MOD(VALUE(H158),100)-MOD(P158,100))))</f>
        <v/>
      </c>
      <c r="AD158" s="23">
        <f>LN(1+I158)</f>
        <v/>
      </c>
      <c r="AE158">
        <f>IF(I158&lt;2000000,1,0)</f>
        <v/>
      </c>
      <c r="AF158">
        <f>IF(I158&gt;50000000,1,0)</f>
        <v/>
      </c>
      <c r="AG158" s="23">
        <f>IF(ISNUMBER(M158),N158/MAX(M158,1),0)</f>
        <v/>
      </c>
      <c r="AH158">
        <f>IF(G158&gt;=2021,1,0)</f>
        <v/>
      </c>
      <c r="AI158">
        <f>S158</f>
        <v/>
      </c>
      <c r="AJ158">
        <f>T158</f>
        <v/>
      </c>
      <c r="AK158">
        <f>R158</f>
        <v/>
      </c>
      <c r="AL158">
        <f>U158</f>
        <v/>
      </c>
      <c r="AM158">
        <f>IF(ISNUMBER(SEARCH("CAPITAL FUNDING",D158)),1,0)</f>
        <v/>
      </c>
      <c r="AN158">
        <f>IF(ISNUMBER(SEARCH("PNC",D158)),1,0)</f>
        <v/>
      </c>
      <c r="AO158">
        <f>IF(ISNUMBER(SEARCH("WELLS FARGO",D158)),1,0)</f>
        <v/>
      </c>
      <c r="AP158">
        <f>IF(ISNUMBER(SEARCH("DWIGHT",D158)),1,0)</f>
        <v/>
      </c>
      <c r="AQ158">
        <f>IF(ISNUMBER(SEARCH("GREYSTONE",D158)),1,0)</f>
        <v/>
      </c>
      <c r="AR158">
        <f>IF(OR(Q158="3896",Q158="3557"),1,0)</f>
        <v/>
      </c>
      <c r="AS158" s="24">
        <f>V158*W158</f>
        <v/>
      </c>
      <c r="AT158" s="26">
        <f>V$4*(V158-V$3)</f>
        <v/>
      </c>
      <c r="AU158" s="26">
        <f>W$4*(W158-W$3)</f>
        <v/>
      </c>
      <c r="AV158" s="26">
        <f>X$4*(X158-X$3)</f>
        <v/>
      </c>
      <c r="AW158" s="26">
        <f>Y$4*(Y158-Y$3)</f>
        <v/>
      </c>
      <c r="AX158" s="26">
        <f>Z$4*(Z158-Z$3)</f>
        <v/>
      </c>
      <c r="AY158" s="26">
        <f>AA$4*(AA158-AA$3)</f>
        <v/>
      </c>
      <c r="AZ158" s="26">
        <f>AB$4*(AB158-AB$3)</f>
        <v/>
      </c>
      <c r="BA158" s="26">
        <f>AC$4*(AC158-AC$3)</f>
        <v/>
      </c>
      <c r="BB158" s="26">
        <f>AD$4*(AD158-AD$3)</f>
        <v/>
      </c>
      <c r="BC158" s="26">
        <f>AE$4*(AE158-AE$3)</f>
        <v/>
      </c>
      <c r="BD158" s="26">
        <f>AF$4*(AF158-AF$3)</f>
        <v/>
      </c>
      <c r="BE158" s="26">
        <f>AG$4*(AG158-AG$3)</f>
        <v/>
      </c>
      <c r="BF158" s="26">
        <f>AH$4*(AH158-AH$3)</f>
        <v/>
      </c>
      <c r="BG158" s="26">
        <f>AI$4*(AI158-AI$3)</f>
        <v/>
      </c>
      <c r="BH158" s="26">
        <f>AJ$4*(AJ158-AJ$3)</f>
        <v/>
      </c>
      <c r="BI158" s="26">
        <f>AK$4*(AK158-AK$3)</f>
        <v/>
      </c>
      <c r="BJ158" s="26">
        <f>AL$4*(AL158-AL$3)</f>
        <v/>
      </c>
      <c r="BK158" s="26">
        <f>AM$4*(AM158-AM$3)</f>
        <v/>
      </c>
      <c r="BL158" s="26">
        <f>AN$4*(AN158-AN$3)</f>
        <v/>
      </c>
      <c r="BM158" s="26">
        <f>AO$4*(AO158-AO$3)</f>
        <v/>
      </c>
      <c r="BN158" s="26">
        <f>AP$4*(AP158-AP$3)</f>
        <v/>
      </c>
      <c r="BO158" s="26">
        <f>AQ$4*(AQ158-AQ$3)</f>
        <v/>
      </c>
      <c r="BP158" s="26">
        <f>AR$4*(AR158-AR$3)</f>
        <v/>
      </c>
      <c r="BQ158" s="26">
        <f>AS$4*(AS158-AS$3)</f>
        <v/>
      </c>
      <c r="BR158" s="27">
        <f>SUM(AT158:BQ158)</f>
        <v/>
      </c>
      <c r="BS158" s="27">
        <f>INTERCEPT_SCALED+BR158</f>
        <v/>
      </c>
      <c r="BT158" s="28">
        <f>1/(1+EXP(-BS158))</f>
        <v/>
      </c>
      <c r="BU158" s="13">
        <f>1-(1-BT158)^12</f>
        <v/>
      </c>
      <c r="BV158" s="13">
        <f>IFERROR(AT158/BR158*(BU158-BASELINE_CPR),0)</f>
        <v/>
      </c>
      <c r="BW158" s="13">
        <f>IFERROR(AU158/BR158*(BU158-BASELINE_CPR),0)</f>
        <v/>
      </c>
      <c r="BX158" s="13">
        <f>IFERROR(AV158/BR158*(BU158-BASELINE_CPR),0)</f>
        <v/>
      </c>
      <c r="BY158" s="13">
        <f>IFERROR(AW158/BR158*(BU158-BASELINE_CPR),0)</f>
        <v/>
      </c>
      <c r="BZ158" s="13">
        <f>IFERROR(AX158/BR158*(BU158-BASELINE_CPR),0)</f>
        <v/>
      </c>
      <c r="CA158" s="13">
        <f>IFERROR(AY158/BR158*(BU158-BASELINE_CPR),0)</f>
        <v/>
      </c>
      <c r="CB158" s="13">
        <f>IFERROR(AZ158/BR158*(BU158-BASELINE_CPR),0)</f>
        <v/>
      </c>
      <c r="CC158" s="13">
        <f>IFERROR(BA158/BR158*(BU158-BASELINE_CPR),0)</f>
        <v/>
      </c>
      <c r="CD158" s="13">
        <f>IFERROR(BB158/BR158*(BU158-BASELINE_CPR),0)</f>
        <v/>
      </c>
      <c r="CE158" s="13">
        <f>IFERROR(BC158/BR158*(BU158-BASELINE_CPR),0)</f>
        <v/>
      </c>
      <c r="CF158" s="13">
        <f>IFERROR(BD158/BR158*(BU158-BASELINE_CPR),0)</f>
        <v/>
      </c>
      <c r="CG158" s="13">
        <f>IFERROR(BE158/BR158*(BU158-BASELINE_CPR),0)</f>
        <v/>
      </c>
      <c r="CH158" s="13">
        <f>IFERROR(BF158/BR158*(BU158-BASELINE_CPR),0)</f>
        <v/>
      </c>
      <c r="CI158" s="13">
        <f>IFERROR(BG158/BR158*(BU158-BASELINE_CPR),0)</f>
        <v/>
      </c>
      <c r="CJ158" s="13">
        <f>IFERROR(BH158/BR158*(BU158-BASELINE_CPR),0)</f>
        <v/>
      </c>
      <c r="CK158" s="13">
        <f>IFERROR(BI158/BR158*(BU158-BASELINE_CPR),0)</f>
        <v/>
      </c>
      <c r="CL158" s="13">
        <f>IFERROR(BJ158/BR158*(BU158-BASELINE_CPR),0)</f>
        <v/>
      </c>
      <c r="CM158" s="13">
        <f>IFERROR(BK158/BR158*(BU158-BASELINE_CPR),0)</f>
        <v/>
      </c>
      <c r="CN158" s="13">
        <f>IFERROR(BL158/BR158*(BU158-BASELINE_CPR),0)</f>
        <v/>
      </c>
      <c r="CO158" s="13">
        <f>IFERROR(BM158/BR158*(BU158-BASELINE_CPR),0)</f>
        <v/>
      </c>
      <c r="CP158" s="13">
        <f>IFERROR(BN158/BR158*(BU158-BASELINE_CPR),0)</f>
        <v/>
      </c>
      <c r="CQ158" s="13">
        <f>IFERROR(BO158/BR158*(BU158-BASELINE_CPR),0)</f>
        <v/>
      </c>
      <c r="CR158" s="13">
        <f>IFERROR(BP158/BR158*(BU158-BASELINE_CPR),0)</f>
        <v/>
      </c>
      <c r="CS158" s="13">
        <f>IFERROR(BQ158/BR158*(BU158-BASELINE_CPR),0)</f>
        <v/>
      </c>
      <c r="CT158" s="29">
        <f>BASELINE_CPR+SUM(BV158:CS158)-BU158</f>
        <v/>
      </c>
    </row>
    <row r="159">
      <c r="A159" s="2" t="inlineStr">
        <is>
          <t>3617XKQK6_000000005411219</t>
        </is>
      </c>
      <c r="B159" t="inlineStr">
        <is>
          <t>WELLS_POST21</t>
        </is>
      </c>
      <c r="C159" s="2" t="inlineStr">
        <is>
          <t>3617XKQK6</t>
        </is>
      </c>
      <c r="D159" t="inlineStr">
        <is>
          <t>WELLS FARGO BANK, N.A.</t>
        </is>
      </c>
      <c r="E159" t="inlineStr">
        <is>
          <t>223f</t>
        </is>
      </c>
      <c r="F159" t="inlineStr">
        <is>
          <t>RP</t>
        </is>
      </c>
      <c r="G159" t="n">
        <v>2022</v>
      </c>
      <c r="H159" t="inlineStr">
        <is>
          <t>202602</t>
        </is>
      </c>
      <c r="I159" s="22" t="n">
        <v>19256440.04</v>
      </c>
      <c r="J159" s="23" t="n">
        <v>2.19</v>
      </c>
      <c r="K159" s="24" t="n">
        <v>447</v>
      </c>
      <c r="L159" s="24" t="n">
        <v>7</v>
      </c>
      <c r="M159" t="n">
        <v>48</v>
      </c>
      <c r="N159" t="n">
        <v>0</v>
      </c>
      <c r="O159" t="n">
        <v>205703</v>
      </c>
      <c r="P159" t="inlineStr"/>
      <c r="Q159" t="inlineStr">
        <is>
          <t>3998</t>
        </is>
      </c>
      <c r="R159" t="n">
        <v>0</v>
      </c>
      <c r="S159" t="n">
        <v>0</v>
      </c>
      <c r="T159" t="n">
        <v>0</v>
      </c>
      <c r="U159" t="n">
        <v>0</v>
      </c>
      <c r="V159" s="24">
        <f>J159*100-K159</f>
        <v/>
      </c>
      <c r="W159" s="24">
        <f>L159</f>
        <v/>
      </c>
      <c r="X159" s="25">
        <f>MIN(M159,36)</f>
        <v/>
      </c>
      <c r="Y159" s="25">
        <f>MIN(MAX(M159-36,0),84)</f>
        <v/>
      </c>
      <c r="Z159" s="25">
        <f>MAX(M159-120,0)</f>
        <v/>
      </c>
      <c r="AA159" s="25">
        <f>IF(OR(O159="",NOT(ISNUMBER(O159))),360,MAX(0,MIN(480,(INT(O159/100)-INT(VALUE(H159)/100))*12+MOD(O159,100)-MOD(VALUE(H159),100))))</f>
        <v/>
      </c>
      <c r="AB159">
        <f>IF(AND(AA159&gt;0,AA159&lt;=24),1,0)</f>
        <v/>
      </c>
      <c r="AC159" s="25">
        <f>IF(OR(P159="",NOT(ISNUMBER(P159))),0,MAX(0,MIN(24,(INT(VALUE(H159)/100)-INT(P159/100))*12+MOD(VALUE(H159),100)-MOD(P159,100))))</f>
        <v/>
      </c>
      <c r="AD159" s="23">
        <f>LN(1+I159)</f>
        <v/>
      </c>
      <c r="AE159">
        <f>IF(I159&lt;2000000,1,0)</f>
        <v/>
      </c>
      <c r="AF159">
        <f>IF(I159&gt;50000000,1,0)</f>
        <v/>
      </c>
      <c r="AG159" s="23">
        <f>IF(ISNUMBER(M159),N159/MAX(M159,1),0)</f>
        <v/>
      </c>
      <c r="AH159">
        <f>IF(G159&gt;=2021,1,0)</f>
        <v/>
      </c>
      <c r="AI159">
        <f>S159</f>
        <v/>
      </c>
      <c r="AJ159">
        <f>T159</f>
        <v/>
      </c>
      <c r="AK159">
        <f>R159</f>
        <v/>
      </c>
      <c r="AL159">
        <f>U159</f>
        <v/>
      </c>
      <c r="AM159">
        <f>IF(ISNUMBER(SEARCH("CAPITAL FUNDING",D159)),1,0)</f>
        <v/>
      </c>
      <c r="AN159">
        <f>IF(ISNUMBER(SEARCH("PNC",D159)),1,0)</f>
        <v/>
      </c>
      <c r="AO159">
        <f>IF(ISNUMBER(SEARCH("WELLS FARGO",D159)),1,0)</f>
        <v/>
      </c>
      <c r="AP159">
        <f>IF(ISNUMBER(SEARCH("DWIGHT",D159)),1,0)</f>
        <v/>
      </c>
      <c r="AQ159">
        <f>IF(ISNUMBER(SEARCH("GREYSTONE",D159)),1,0)</f>
        <v/>
      </c>
      <c r="AR159">
        <f>IF(OR(Q159="3896",Q159="3557"),1,0)</f>
        <v/>
      </c>
      <c r="AS159" s="24">
        <f>V159*W159</f>
        <v/>
      </c>
      <c r="AT159" s="26">
        <f>V$4*(V159-V$3)</f>
        <v/>
      </c>
      <c r="AU159" s="26">
        <f>W$4*(W159-W$3)</f>
        <v/>
      </c>
      <c r="AV159" s="26">
        <f>X$4*(X159-X$3)</f>
        <v/>
      </c>
      <c r="AW159" s="26">
        <f>Y$4*(Y159-Y$3)</f>
        <v/>
      </c>
      <c r="AX159" s="26">
        <f>Z$4*(Z159-Z$3)</f>
        <v/>
      </c>
      <c r="AY159" s="26">
        <f>AA$4*(AA159-AA$3)</f>
        <v/>
      </c>
      <c r="AZ159" s="26">
        <f>AB$4*(AB159-AB$3)</f>
        <v/>
      </c>
      <c r="BA159" s="26">
        <f>AC$4*(AC159-AC$3)</f>
        <v/>
      </c>
      <c r="BB159" s="26">
        <f>AD$4*(AD159-AD$3)</f>
        <v/>
      </c>
      <c r="BC159" s="26">
        <f>AE$4*(AE159-AE$3)</f>
        <v/>
      </c>
      <c r="BD159" s="26">
        <f>AF$4*(AF159-AF$3)</f>
        <v/>
      </c>
      <c r="BE159" s="26">
        <f>AG$4*(AG159-AG$3)</f>
        <v/>
      </c>
      <c r="BF159" s="26">
        <f>AH$4*(AH159-AH$3)</f>
        <v/>
      </c>
      <c r="BG159" s="26">
        <f>AI$4*(AI159-AI$3)</f>
        <v/>
      </c>
      <c r="BH159" s="26">
        <f>AJ$4*(AJ159-AJ$3)</f>
        <v/>
      </c>
      <c r="BI159" s="26">
        <f>AK$4*(AK159-AK$3)</f>
        <v/>
      </c>
      <c r="BJ159" s="26">
        <f>AL$4*(AL159-AL$3)</f>
        <v/>
      </c>
      <c r="BK159" s="26">
        <f>AM$4*(AM159-AM$3)</f>
        <v/>
      </c>
      <c r="BL159" s="26">
        <f>AN$4*(AN159-AN$3)</f>
        <v/>
      </c>
      <c r="BM159" s="26">
        <f>AO$4*(AO159-AO$3)</f>
        <v/>
      </c>
      <c r="BN159" s="26">
        <f>AP$4*(AP159-AP$3)</f>
        <v/>
      </c>
      <c r="BO159" s="26">
        <f>AQ$4*(AQ159-AQ$3)</f>
        <v/>
      </c>
      <c r="BP159" s="26">
        <f>AR$4*(AR159-AR$3)</f>
        <v/>
      </c>
      <c r="BQ159" s="26">
        <f>AS$4*(AS159-AS$3)</f>
        <v/>
      </c>
      <c r="BR159" s="27">
        <f>SUM(AT159:BQ159)</f>
        <v/>
      </c>
      <c r="BS159" s="27">
        <f>INTERCEPT_SCALED+BR159</f>
        <v/>
      </c>
      <c r="BT159" s="28">
        <f>1/(1+EXP(-BS159))</f>
        <v/>
      </c>
      <c r="BU159" s="13">
        <f>1-(1-BT159)^12</f>
        <v/>
      </c>
      <c r="BV159" s="13">
        <f>IFERROR(AT159/BR159*(BU159-BASELINE_CPR),0)</f>
        <v/>
      </c>
      <c r="BW159" s="13">
        <f>IFERROR(AU159/BR159*(BU159-BASELINE_CPR),0)</f>
        <v/>
      </c>
      <c r="BX159" s="13">
        <f>IFERROR(AV159/BR159*(BU159-BASELINE_CPR),0)</f>
        <v/>
      </c>
      <c r="BY159" s="13">
        <f>IFERROR(AW159/BR159*(BU159-BASELINE_CPR),0)</f>
        <v/>
      </c>
      <c r="BZ159" s="13">
        <f>IFERROR(AX159/BR159*(BU159-BASELINE_CPR),0)</f>
        <v/>
      </c>
      <c r="CA159" s="13">
        <f>IFERROR(AY159/BR159*(BU159-BASELINE_CPR),0)</f>
        <v/>
      </c>
      <c r="CB159" s="13">
        <f>IFERROR(AZ159/BR159*(BU159-BASELINE_CPR),0)</f>
        <v/>
      </c>
      <c r="CC159" s="13">
        <f>IFERROR(BA159/BR159*(BU159-BASELINE_CPR),0)</f>
        <v/>
      </c>
      <c r="CD159" s="13">
        <f>IFERROR(BB159/BR159*(BU159-BASELINE_CPR),0)</f>
        <v/>
      </c>
      <c r="CE159" s="13">
        <f>IFERROR(BC159/BR159*(BU159-BASELINE_CPR),0)</f>
        <v/>
      </c>
      <c r="CF159" s="13">
        <f>IFERROR(BD159/BR159*(BU159-BASELINE_CPR),0)</f>
        <v/>
      </c>
      <c r="CG159" s="13">
        <f>IFERROR(BE159/BR159*(BU159-BASELINE_CPR),0)</f>
        <v/>
      </c>
      <c r="CH159" s="13">
        <f>IFERROR(BF159/BR159*(BU159-BASELINE_CPR),0)</f>
        <v/>
      </c>
      <c r="CI159" s="13">
        <f>IFERROR(BG159/BR159*(BU159-BASELINE_CPR),0)</f>
        <v/>
      </c>
      <c r="CJ159" s="13">
        <f>IFERROR(BH159/BR159*(BU159-BASELINE_CPR),0)</f>
        <v/>
      </c>
      <c r="CK159" s="13">
        <f>IFERROR(BI159/BR159*(BU159-BASELINE_CPR),0)</f>
        <v/>
      </c>
      <c r="CL159" s="13">
        <f>IFERROR(BJ159/BR159*(BU159-BASELINE_CPR),0)</f>
        <v/>
      </c>
      <c r="CM159" s="13">
        <f>IFERROR(BK159/BR159*(BU159-BASELINE_CPR),0)</f>
        <v/>
      </c>
      <c r="CN159" s="13">
        <f>IFERROR(BL159/BR159*(BU159-BASELINE_CPR),0)</f>
        <v/>
      </c>
      <c r="CO159" s="13">
        <f>IFERROR(BM159/BR159*(BU159-BASELINE_CPR),0)</f>
        <v/>
      </c>
      <c r="CP159" s="13">
        <f>IFERROR(BN159/BR159*(BU159-BASELINE_CPR),0)</f>
        <v/>
      </c>
      <c r="CQ159" s="13">
        <f>IFERROR(BO159/BR159*(BU159-BASELINE_CPR),0)</f>
        <v/>
      </c>
      <c r="CR159" s="13">
        <f>IFERROR(BP159/BR159*(BU159-BASELINE_CPR),0)</f>
        <v/>
      </c>
      <c r="CS159" s="13">
        <f>IFERROR(BQ159/BR159*(BU159-BASELINE_CPR),0)</f>
        <v/>
      </c>
      <c r="CT159" s="29">
        <f>BASELINE_CPR+SUM(BV159:CS159)-BU159</f>
        <v/>
      </c>
    </row>
    <row r="160">
      <c r="A160" s="2" t="inlineStr">
        <is>
          <t>36292DGK2_000000009211228</t>
        </is>
      </c>
      <c r="B160" t="inlineStr">
        <is>
          <t>WELLS_PRE21</t>
        </is>
      </c>
      <c r="C160" s="2" t="inlineStr">
        <is>
          <t>36292DGK2</t>
        </is>
      </c>
      <c r="D160" t="inlineStr">
        <is>
          <t>WELLS FARGO BANK, N.A.</t>
        </is>
      </c>
      <c r="E160" t="inlineStr">
        <is>
          <t>223f</t>
        </is>
      </c>
      <c r="F160" t="inlineStr">
        <is>
          <t>RP</t>
        </is>
      </c>
      <c r="G160" t="n">
        <v>2006</v>
      </c>
      <c r="H160" t="inlineStr">
        <is>
          <t>202602</t>
        </is>
      </c>
      <c r="I160" s="22" t="n">
        <v>1059530.98</v>
      </c>
      <c r="J160" s="23" t="n">
        <v>5.96</v>
      </c>
      <c r="K160" s="24" t="n">
        <v>447</v>
      </c>
      <c r="L160" s="24" t="n">
        <v>0</v>
      </c>
      <c r="M160" t="n">
        <v>230</v>
      </c>
      <c r="N160" t="n">
        <v>86</v>
      </c>
      <c r="O160" t="n">
        <v>204201</v>
      </c>
      <c r="P160" t="n">
        <v>200802</v>
      </c>
      <c r="Q160" t="inlineStr">
        <is>
          <t>3998</t>
        </is>
      </c>
      <c r="R160" t="n">
        <v>0</v>
      </c>
      <c r="S160" t="n">
        <v>0</v>
      </c>
      <c r="T160" t="n">
        <v>0</v>
      </c>
      <c r="U160" t="n">
        <v>0</v>
      </c>
      <c r="V160" s="24">
        <f>J160*100-K160</f>
        <v/>
      </c>
      <c r="W160" s="24">
        <f>L160</f>
        <v/>
      </c>
      <c r="X160" s="25">
        <f>MIN(M160,36)</f>
        <v/>
      </c>
      <c r="Y160" s="25">
        <f>MIN(MAX(M160-36,0),84)</f>
        <v/>
      </c>
      <c r="Z160" s="25">
        <f>MAX(M160-120,0)</f>
        <v/>
      </c>
      <c r="AA160" s="25">
        <f>IF(OR(O160="",NOT(ISNUMBER(O160))),360,MAX(0,MIN(480,(INT(O160/100)-INT(VALUE(H160)/100))*12+MOD(O160,100)-MOD(VALUE(H160),100))))</f>
        <v/>
      </c>
      <c r="AB160">
        <f>IF(AND(AA160&gt;0,AA160&lt;=24),1,0)</f>
        <v/>
      </c>
      <c r="AC160" s="25">
        <f>IF(OR(P160="",NOT(ISNUMBER(P160))),0,MAX(0,MIN(24,(INT(VALUE(H160)/100)-INT(P160/100))*12+MOD(VALUE(H160),100)-MOD(P160,100))))</f>
        <v/>
      </c>
      <c r="AD160" s="23">
        <f>LN(1+I160)</f>
        <v/>
      </c>
      <c r="AE160">
        <f>IF(I160&lt;2000000,1,0)</f>
        <v/>
      </c>
      <c r="AF160">
        <f>IF(I160&gt;50000000,1,0)</f>
        <v/>
      </c>
      <c r="AG160" s="23">
        <f>IF(ISNUMBER(M160),N160/MAX(M160,1),0)</f>
        <v/>
      </c>
      <c r="AH160">
        <f>IF(G160&gt;=2021,1,0)</f>
        <v/>
      </c>
      <c r="AI160">
        <f>S160</f>
        <v/>
      </c>
      <c r="AJ160">
        <f>T160</f>
        <v/>
      </c>
      <c r="AK160">
        <f>R160</f>
        <v/>
      </c>
      <c r="AL160">
        <f>U160</f>
        <v/>
      </c>
      <c r="AM160">
        <f>IF(ISNUMBER(SEARCH("CAPITAL FUNDING",D160)),1,0)</f>
        <v/>
      </c>
      <c r="AN160">
        <f>IF(ISNUMBER(SEARCH("PNC",D160)),1,0)</f>
        <v/>
      </c>
      <c r="AO160">
        <f>IF(ISNUMBER(SEARCH("WELLS FARGO",D160)),1,0)</f>
        <v/>
      </c>
      <c r="AP160">
        <f>IF(ISNUMBER(SEARCH("DWIGHT",D160)),1,0)</f>
        <v/>
      </c>
      <c r="AQ160">
        <f>IF(ISNUMBER(SEARCH("GREYSTONE",D160)),1,0)</f>
        <v/>
      </c>
      <c r="AR160">
        <f>IF(OR(Q160="3896",Q160="3557"),1,0)</f>
        <v/>
      </c>
      <c r="AS160" s="24">
        <f>V160*W160</f>
        <v/>
      </c>
      <c r="AT160" s="26">
        <f>V$4*(V160-V$3)</f>
        <v/>
      </c>
      <c r="AU160" s="26">
        <f>W$4*(W160-W$3)</f>
        <v/>
      </c>
      <c r="AV160" s="26">
        <f>X$4*(X160-X$3)</f>
        <v/>
      </c>
      <c r="AW160" s="26">
        <f>Y$4*(Y160-Y$3)</f>
        <v/>
      </c>
      <c r="AX160" s="26">
        <f>Z$4*(Z160-Z$3)</f>
        <v/>
      </c>
      <c r="AY160" s="26">
        <f>AA$4*(AA160-AA$3)</f>
        <v/>
      </c>
      <c r="AZ160" s="26">
        <f>AB$4*(AB160-AB$3)</f>
        <v/>
      </c>
      <c r="BA160" s="26">
        <f>AC$4*(AC160-AC$3)</f>
        <v/>
      </c>
      <c r="BB160" s="26">
        <f>AD$4*(AD160-AD$3)</f>
        <v/>
      </c>
      <c r="BC160" s="26">
        <f>AE$4*(AE160-AE$3)</f>
        <v/>
      </c>
      <c r="BD160" s="26">
        <f>AF$4*(AF160-AF$3)</f>
        <v/>
      </c>
      <c r="BE160" s="26">
        <f>AG$4*(AG160-AG$3)</f>
        <v/>
      </c>
      <c r="BF160" s="26">
        <f>AH$4*(AH160-AH$3)</f>
        <v/>
      </c>
      <c r="BG160" s="26">
        <f>AI$4*(AI160-AI$3)</f>
        <v/>
      </c>
      <c r="BH160" s="26">
        <f>AJ$4*(AJ160-AJ$3)</f>
        <v/>
      </c>
      <c r="BI160" s="26">
        <f>AK$4*(AK160-AK$3)</f>
        <v/>
      </c>
      <c r="BJ160" s="26">
        <f>AL$4*(AL160-AL$3)</f>
        <v/>
      </c>
      <c r="BK160" s="26">
        <f>AM$4*(AM160-AM$3)</f>
        <v/>
      </c>
      <c r="BL160" s="26">
        <f>AN$4*(AN160-AN$3)</f>
        <v/>
      </c>
      <c r="BM160" s="26">
        <f>AO$4*(AO160-AO$3)</f>
        <v/>
      </c>
      <c r="BN160" s="26">
        <f>AP$4*(AP160-AP$3)</f>
        <v/>
      </c>
      <c r="BO160" s="26">
        <f>AQ$4*(AQ160-AQ$3)</f>
        <v/>
      </c>
      <c r="BP160" s="26">
        <f>AR$4*(AR160-AR$3)</f>
        <v/>
      </c>
      <c r="BQ160" s="26">
        <f>AS$4*(AS160-AS$3)</f>
        <v/>
      </c>
      <c r="BR160" s="27">
        <f>SUM(AT160:BQ160)</f>
        <v/>
      </c>
      <c r="BS160" s="27">
        <f>INTERCEPT_SCALED+BR160</f>
        <v/>
      </c>
      <c r="BT160" s="28">
        <f>1/(1+EXP(-BS160))</f>
        <v/>
      </c>
      <c r="BU160" s="13">
        <f>1-(1-BT160)^12</f>
        <v/>
      </c>
      <c r="BV160" s="13">
        <f>IFERROR(AT160/BR160*(BU160-BASELINE_CPR),0)</f>
        <v/>
      </c>
      <c r="BW160" s="13">
        <f>IFERROR(AU160/BR160*(BU160-BASELINE_CPR),0)</f>
        <v/>
      </c>
      <c r="BX160" s="13">
        <f>IFERROR(AV160/BR160*(BU160-BASELINE_CPR),0)</f>
        <v/>
      </c>
      <c r="BY160" s="13">
        <f>IFERROR(AW160/BR160*(BU160-BASELINE_CPR),0)</f>
        <v/>
      </c>
      <c r="BZ160" s="13">
        <f>IFERROR(AX160/BR160*(BU160-BASELINE_CPR),0)</f>
        <v/>
      </c>
      <c r="CA160" s="13">
        <f>IFERROR(AY160/BR160*(BU160-BASELINE_CPR),0)</f>
        <v/>
      </c>
      <c r="CB160" s="13">
        <f>IFERROR(AZ160/BR160*(BU160-BASELINE_CPR),0)</f>
        <v/>
      </c>
      <c r="CC160" s="13">
        <f>IFERROR(BA160/BR160*(BU160-BASELINE_CPR),0)</f>
        <v/>
      </c>
      <c r="CD160" s="13">
        <f>IFERROR(BB160/BR160*(BU160-BASELINE_CPR),0)</f>
        <v/>
      </c>
      <c r="CE160" s="13">
        <f>IFERROR(BC160/BR160*(BU160-BASELINE_CPR),0)</f>
        <v/>
      </c>
      <c r="CF160" s="13">
        <f>IFERROR(BD160/BR160*(BU160-BASELINE_CPR),0)</f>
        <v/>
      </c>
      <c r="CG160" s="13">
        <f>IFERROR(BE160/BR160*(BU160-BASELINE_CPR),0)</f>
        <v/>
      </c>
      <c r="CH160" s="13">
        <f>IFERROR(BF160/BR160*(BU160-BASELINE_CPR),0)</f>
        <v/>
      </c>
      <c r="CI160" s="13">
        <f>IFERROR(BG160/BR160*(BU160-BASELINE_CPR),0)</f>
        <v/>
      </c>
      <c r="CJ160" s="13">
        <f>IFERROR(BH160/BR160*(BU160-BASELINE_CPR),0)</f>
        <v/>
      </c>
      <c r="CK160" s="13">
        <f>IFERROR(BI160/BR160*(BU160-BASELINE_CPR),0)</f>
        <v/>
      </c>
      <c r="CL160" s="13">
        <f>IFERROR(BJ160/BR160*(BU160-BASELINE_CPR),0)</f>
        <v/>
      </c>
      <c r="CM160" s="13">
        <f>IFERROR(BK160/BR160*(BU160-BASELINE_CPR),0)</f>
        <v/>
      </c>
      <c r="CN160" s="13">
        <f>IFERROR(BL160/BR160*(BU160-BASELINE_CPR),0)</f>
        <v/>
      </c>
      <c r="CO160" s="13">
        <f>IFERROR(BM160/BR160*(BU160-BASELINE_CPR),0)</f>
        <v/>
      </c>
      <c r="CP160" s="13">
        <f>IFERROR(BN160/BR160*(BU160-BASELINE_CPR),0)</f>
        <v/>
      </c>
      <c r="CQ160" s="13">
        <f>IFERROR(BO160/BR160*(BU160-BASELINE_CPR),0)</f>
        <v/>
      </c>
      <c r="CR160" s="13">
        <f>IFERROR(BP160/BR160*(BU160-BASELINE_CPR),0)</f>
        <v/>
      </c>
      <c r="CS160" s="13">
        <f>IFERROR(BQ160/BR160*(BU160-BASELINE_CPR),0)</f>
        <v/>
      </c>
      <c r="CT160" s="29">
        <f>BASELINE_CPR+SUM(BV160:CS160)-BU160</f>
        <v/>
      </c>
    </row>
    <row r="161">
      <c r="A161" s="2" t="inlineStr">
        <is>
          <t>36201TEQ6_000000011394011</t>
        </is>
      </c>
      <c r="B161" t="inlineStr">
        <is>
          <t>WELLS_PRE21</t>
        </is>
      </c>
      <c r="C161" s="2" t="inlineStr">
        <is>
          <t>36201TEQ6</t>
        </is>
      </c>
      <c r="D161" t="inlineStr">
        <is>
          <t>WELLS FARGO BANK, N.A.</t>
        </is>
      </c>
      <c r="E161" t="inlineStr">
        <is>
          <t>223a7</t>
        </is>
      </c>
      <c r="F161" t="inlineStr">
        <is>
          <t>RP</t>
        </is>
      </c>
      <c r="G161" t="n">
        <v>2002</v>
      </c>
      <c r="H161" t="inlineStr">
        <is>
          <t>202602</t>
        </is>
      </c>
      <c r="I161" s="22" t="n">
        <v>1859197.29</v>
      </c>
      <c r="J161" s="23" t="n">
        <v>5.96</v>
      </c>
      <c r="K161" s="24" t="n">
        <v>447</v>
      </c>
      <c r="L161" s="24" t="n">
        <v>0</v>
      </c>
      <c r="M161" t="n">
        <v>279</v>
      </c>
      <c r="N161" t="n">
        <v>86</v>
      </c>
      <c r="O161" t="n">
        <v>203212</v>
      </c>
      <c r="P161" t="n">
        <v>200712</v>
      </c>
      <c r="Q161" t="inlineStr">
        <is>
          <t>3998</t>
        </is>
      </c>
      <c r="R161" t="n">
        <v>0</v>
      </c>
      <c r="S161" t="n">
        <v>1</v>
      </c>
      <c r="T161" t="n">
        <v>0</v>
      </c>
      <c r="U161" t="n">
        <v>0</v>
      </c>
      <c r="V161" s="24">
        <f>J161*100-K161</f>
        <v/>
      </c>
      <c r="W161" s="24">
        <f>L161</f>
        <v/>
      </c>
      <c r="X161" s="25">
        <f>MIN(M161,36)</f>
        <v/>
      </c>
      <c r="Y161" s="25">
        <f>MIN(MAX(M161-36,0),84)</f>
        <v/>
      </c>
      <c r="Z161" s="25">
        <f>MAX(M161-120,0)</f>
        <v/>
      </c>
      <c r="AA161" s="25">
        <f>IF(OR(O161="",NOT(ISNUMBER(O161))),360,MAX(0,MIN(480,(INT(O161/100)-INT(VALUE(H161)/100))*12+MOD(O161,100)-MOD(VALUE(H161),100))))</f>
        <v/>
      </c>
      <c r="AB161">
        <f>IF(AND(AA161&gt;0,AA161&lt;=24),1,0)</f>
        <v/>
      </c>
      <c r="AC161" s="25">
        <f>IF(OR(P161="",NOT(ISNUMBER(P161))),0,MAX(0,MIN(24,(INT(VALUE(H161)/100)-INT(P161/100))*12+MOD(VALUE(H161),100)-MOD(P161,100))))</f>
        <v/>
      </c>
      <c r="AD161" s="23">
        <f>LN(1+I161)</f>
        <v/>
      </c>
      <c r="AE161">
        <f>IF(I161&lt;2000000,1,0)</f>
        <v/>
      </c>
      <c r="AF161">
        <f>IF(I161&gt;50000000,1,0)</f>
        <v/>
      </c>
      <c r="AG161" s="23">
        <f>IF(ISNUMBER(M161),N161/MAX(M161,1),0)</f>
        <v/>
      </c>
      <c r="AH161">
        <f>IF(G161&gt;=2021,1,0)</f>
        <v/>
      </c>
      <c r="AI161">
        <f>S161</f>
        <v/>
      </c>
      <c r="AJ161">
        <f>T161</f>
        <v/>
      </c>
      <c r="AK161">
        <f>R161</f>
        <v/>
      </c>
      <c r="AL161">
        <f>U161</f>
        <v/>
      </c>
      <c r="AM161">
        <f>IF(ISNUMBER(SEARCH("CAPITAL FUNDING",D161)),1,0)</f>
        <v/>
      </c>
      <c r="AN161">
        <f>IF(ISNUMBER(SEARCH("PNC",D161)),1,0)</f>
        <v/>
      </c>
      <c r="AO161">
        <f>IF(ISNUMBER(SEARCH("WELLS FARGO",D161)),1,0)</f>
        <v/>
      </c>
      <c r="AP161">
        <f>IF(ISNUMBER(SEARCH("DWIGHT",D161)),1,0)</f>
        <v/>
      </c>
      <c r="AQ161">
        <f>IF(ISNUMBER(SEARCH("GREYSTONE",D161)),1,0)</f>
        <v/>
      </c>
      <c r="AR161">
        <f>IF(OR(Q161="3896",Q161="3557"),1,0)</f>
        <v/>
      </c>
      <c r="AS161" s="24">
        <f>V161*W161</f>
        <v/>
      </c>
      <c r="AT161" s="26">
        <f>V$4*(V161-V$3)</f>
        <v/>
      </c>
      <c r="AU161" s="26">
        <f>W$4*(W161-W$3)</f>
        <v/>
      </c>
      <c r="AV161" s="26">
        <f>X$4*(X161-X$3)</f>
        <v/>
      </c>
      <c r="AW161" s="26">
        <f>Y$4*(Y161-Y$3)</f>
        <v/>
      </c>
      <c r="AX161" s="26">
        <f>Z$4*(Z161-Z$3)</f>
        <v/>
      </c>
      <c r="AY161" s="26">
        <f>AA$4*(AA161-AA$3)</f>
        <v/>
      </c>
      <c r="AZ161" s="26">
        <f>AB$4*(AB161-AB$3)</f>
        <v/>
      </c>
      <c r="BA161" s="26">
        <f>AC$4*(AC161-AC$3)</f>
        <v/>
      </c>
      <c r="BB161" s="26">
        <f>AD$4*(AD161-AD$3)</f>
        <v/>
      </c>
      <c r="BC161" s="26">
        <f>AE$4*(AE161-AE$3)</f>
        <v/>
      </c>
      <c r="BD161" s="26">
        <f>AF$4*(AF161-AF$3)</f>
        <v/>
      </c>
      <c r="BE161" s="26">
        <f>AG$4*(AG161-AG$3)</f>
        <v/>
      </c>
      <c r="BF161" s="26">
        <f>AH$4*(AH161-AH$3)</f>
        <v/>
      </c>
      <c r="BG161" s="26">
        <f>AI$4*(AI161-AI$3)</f>
        <v/>
      </c>
      <c r="BH161" s="26">
        <f>AJ$4*(AJ161-AJ$3)</f>
        <v/>
      </c>
      <c r="BI161" s="26">
        <f>AK$4*(AK161-AK$3)</f>
        <v/>
      </c>
      <c r="BJ161" s="26">
        <f>AL$4*(AL161-AL$3)</f>
        <v/>
      </c>
      <c r="BK161" s="26">
        <f>AM$4*(AM161-AM$3)</f>
        <v/>
      </c>
      <c r="BL161" s="26">
        <f>AN$4*(AN161-AN$3)</f>
        <v/>
      </c>
      <c r="BM161" s="26">
        <f>AO$4*(AO161-AO$3)</f>
        <v/>
      </c>
      <c r="BN161" s="26">
        <f>AP$4*(AP161-AP$3)</f>
        <v/>
      </c>
      <c r="BO161" s="26">
        <f>AQ$4*(AQ161-AQ$3)</f>
        <v/>
      </c>
      <c r="BP161" s="26">
        <f>AR$4*(AR161-AR$3)</f>
        <v/>
      </c>
      <c r="BQ161" s="26">
        <f>AS$4*(AS161-AS$3)</f>
        <v/>
      </c>
      <c r="BR161" s="27">
        <f>SUM(AT161:BQ161)</f>
        <v/>
      </c>
      <c r="BS161" s="27">
        <f>INTERCEPT_SCALED+BR161</f>
        <v/>
      </c>
      <c r="BT161" s="28">
        <f>1/(1+EXP(-BS161))</f>
        <v/>
      </c>
      <c r="BU161" s="13">
        <f>1-(1-BT161)^12</f>
        <v/>
      </c>
      <c r="BV161" s="13">
        <f>IFERROR(AT161/BR161*(BU161-BASELINE_CPR),0)</f>
        <v/>
      </c>
      <c r="BW161" s="13">
        <f>IFERROR(AU161/BR161*(BU161-BASELINE_CPR),0)</f>
        <v/>
      </c>
      <c r="BX161" s="13">
        <f>IFERROR(AV161/BR161*(BU161-BASELINE_CPR),0)</f>
        <v/>
      </c>
      <c r="BY161" s="13">
        <f>IFERROR(AW161/BR161*(BU161-BASELINE_CPR),0)</f>
        <v/>
      </c>
      <c r="BZ161" s="13">
        <f>IFERROR(AX161/BR161*(BU161-BASELINE_CPR),0)</f>
        <v/>
      </c>
      <c r="CA161" s="13">
        <f>IFERROR(AY161/BR161*(BU161-BASELINE_CPR),0)</f>
        <v/>
      </c>
      <c r="CB161" s="13">
        <f>IFERROR(AZ161/BR161*(BU161-BASELINE_CPR),0)</f>
        <v/>
      </c>
      <c r="CC161" s="13">
        <f>IFERROR(BA161/BR161*(BU161-BASELINE_CPR),0)</f>
        <v/>
      </c>
      <c r="CD161" s="13">
        <f>IFERROR(BB161/BR161*(BU161-BASELINE_CPR),0)</f>
        <v/>
      </c>
      <c r="CE161" s="13">
        <f>IFERROR(BC161/BR161*(BU161-BASELINE_CPR),0)</f>
        <v/>
      </c>
      <c r="CF161" s="13">
        <f>IFERROR(BD161/BR161*(BU161-BASELINE_CPR),0)</f>
        <v/>
      </c>
      <c r="CG161" s="13">
        <f>IFERROR(BE161/BR161*(BU161-BASELINE_CPR),0)</f>
        <v/>
      </c>
      <c r="CH161" s="13">
        <f>IFERROR(BF161/BR161*(BU161-BASELINE_CPR),0)</f>
        <v/>
      </c>
      <c r="CI161" s="13">
        <f>IFERROR(BG161/BR161*(BU161-BASELINE_CPR),0)</f>
        <v/>
      </c>
      <c r="CJ161" s="13">
        <f>IFERROR(BH161/BR161*(BU161-BASELINE_CPR),0)</f>
        <v/>
      </c>
      <c r="CK161" s="13">
        <f>IFERROR(BI161/BR161*(BU161-BASELINE_CPR),0)</f>
        <v/>
      </c>
      <c r="CL161" s="13">
        <f>IFERROR(BJ161/BR161*(BU161-BASELINE_CPR),0)</f>
        <v/>
      </c>
      <c r="CM161" s="13">
        <f>IFERROR(BK161/BR161*(BU161-BASELINE_CPR),0)</f>
        <v/>
      </c>
      <c r="CN161" s="13">
        <f>IFERROR(BL161/BR161*(BU161-BASELINE_CPR),0)</f>
        <v/>
      </c>
      <c r="CO161" s="13">
        <f>IFERROR(BM161/BR161*(BU161-BASELINE_CPR),0)</f>
        <v/>
      </c>
      <c r="CP161" s="13">
        <f>IFERROR(BN161/BR161*(BU161-BASELINE_CPR),0)</f>
        <v/>
      </c>
      <c r="CQ161" s="13">
        <f>IFERROR(BO161/BR161*(BU161-BASELINE_CPR),0)</f>
        <v/>
      </c>
      <c r="CR161" s="13">
        <f>IFERROR(BP161/BR161*(BU161-BASELINE_CPR),0)</f>
        <v/>
      </c>
      <c r="CS161" s="13">
        <f>IFERROR(BQ161/BR161*(BU161-BASELINE_CPR),0)</f>
        <v/>
      </c>
      <c r="CT161" s="29">
        <f>BASELINE_CPR+SUM(BV161:CS161)-BU161</f>
        <v/>
      </c>
    </row>
    <row r="162">
      <c r="A162" s="2" t="inlineStr">
        <is>
          <t>3617GFU88_000000005235792</t>
        </is>
      </c>
      <c r="B162" t="inlineStr">
        <is>
          <t>WELLS_PRE21</t>
        </is>
      </c>
      <c r="C162" s="2" t="inlineStr">
        <is>
          <t>3617GFU88</t>
        </is>
      </c>
      <c r="D162" t="inlineStr">
        <is>
          <t>WELLS FARGO BANK, N.A.</t>
        </is>
      </c>
      <c r="E162" t="inlineStr">
        <is>
          <t>221d4</t>
        </is>
      </c>
      <c r="F162" t="inlineStr">
        <is>
          <t>NC</t>
        </is>
      </c>
      <c r="G162" t="n">
        <v>2018</v>
      </c>
      <c r="H162" t="inlineStr">
        <is>
          <t>202602</t>
        </is>
      </c>
      <c r="I162" s="22" t="n">
        <v>6299265.16</v>
      </c>
      <c r="J162" s="23" t="n">
        <v>3.89</v>
      </c>
      <c r="K162" s="24" t="n">
        <v>447</v>
      </c>
      <c r="L162" s="24" t="n">
        <v>4</v>
      </c>
      <c r="M162" t="n">
        <v>95</v>
      </c>
      <c r="N162" t="n">
        <v>24</v>
      </c>
      <c r="O162" t="n">
        <v>205908</v>
      </c>
      <c r="P162" t="inlineStr"/>
      <c r="Q162" t="inlineStr">
        <is>
          <t>3998</t>
        </is>
      </c>
      <c r="R162" t="n">
        <v>0</v>
      </c>
      <c r="S162" t="n">
        <v>0</v>
      </c>
      <c r="T162" t="n">
        <v>0</v>
      </c>
      <c r="U162" t="n">
        <v>1</v>
      </c>
      <c r="V162" s="24">
        <f>J162*100-K162</f>
        <v/>
      </c>
      <c r="W162" s="24">
        <f>L162</f>
        <v/>
      </c>
      <c r="X162" s="25">
        <f>MIN(M162,36)</f>
        <v/>
      </c>
      <c r="Y162" s="25">
        <f>MIN(MAX(M162-36,0),84)</f>
        <v/>
      </c>
      <c r="Z162" s="25">
        <f>MAX(M162-120,0)</f>
        <v/>
      </c>
      <c r="AA162" s="25">
        <f>IF(OR(O162="",NOT(ISNUMBER(O162))),360,MAX(0,MIN(480,(INT(O162/100)-INT(VALUE(H162)/100))*12+MOD(O162,100)-MOD(VALUE(H162),100))))</f>
        <v/>
      </c>
      <c r="AB162">
        <f>IF(AND(AA162&gt;0,AA162&lt;=24),1,0)</f>
        <v/>
      </c>
      <c r="AC162" s="25">
        <f>IF(OR(P162="",NOT(ISNUMBER(P162))),0,MAX(0,MIN(24,(INT(VALUE(H162)/100)-INT(P162/100))*12+MOD(VALUE(H162),100)-MOD(P162,100))))</f>
        <v/>
      </c>
      <c r="AD162" s="23">
        <f>LN(1+I162)</f>
        <v/>
      </c>
      <c r="AE162">
        <f>IF(I162&lt;2000000,1,0)</f>
        <v/>
      </c>
      <c r="AF162">
        <f>IF(I162&gt;50000000,1,0)</f>
        <v/>
      </c>
      <c r="AG162" s="23">
        <f>IF(ISNUMBER(M162),N162/MAX(M162,1),0)</f>
        <v/>
      </c>
      <c r="AH162">
        <f>IF(G162&gt;=2021,1,0)</f>
        <v/>
      </c>
      <c r="AI162">
        <f>S162</f>
        <v/>
      </c>
      <c r="AJ162">
        <f>T162</f>
        <v/>
      </c>
      <c r="AK162">
        <f>R162</f>
        <v/>
      </c>
      <c r="AL162">
        <f>U162</f>
        <v/>
      </c>
      <c r="AM162">
        <f>IF(ISNUMBER(SEARCH("CAPITAL FUNDING",D162)),1,0)</f>
        <v/>
      </c>
      <c r="AN162">
        <f>IF(ISNUMBER(SEARCH("PNC",D162)),1,0)</f>
        <v/>
      </c>
      <c r="AO162">
        <f>IF(ISNUMBER(SEARCH("WELLS FARGO",D162)),1,0)</f>
        <v/>
      </c>
      <c r="AP162">
        <f>IF(ISNUMBER(SEARCH("DWIGHT",D162)),1,0)</f>
        <v/>
      </c>
      <c r="AQ162">
        <f>IF(ISNUMBER(SEARCH("GREYSTONE",D162)),1,0)</f>
        <v/>
      </c>
      <c r="AR162">
        <f>IF(OR(Q162="3896",Q162="3557"),1,0)</f>
        <v/>
      </c>
      <c r="AS162" s="24">
        <f>V162*W162</f>
        <v/>
      </c>
      <c r="AT162" s="26">
        <f>V$4*(V162-V$3)</f>
        <v/>
      </c>
      <c r="AU162" s="26">
        <f>W$4*(W162-W$3)</f>
        <v/>
      </c>
      <c r="AV162" s="26">
        <f>X$4*(X162-X$3)</f>
        <v/>
      </c>
      <c r="AW162" s="26">
        <f>Y$4*(Y162-Y$3)</f>
        <v/>
      </c>
      <c r="AX162" s="26">
        <f>Z$4*(Z162-Z$3)</f>
        <v/>
      </c>
      <c r="AY162" s="26">
        <f>AA$4*(AA162-AA$3)</f>
        <v/>
      </c>
      <c r="AZ162" s="26">
        <f>AB$4*(AB162-AB$3)</f>
        <v/>
      </c>
      <c r="BA162" s="26">
        <f>AC$4*(AC162-AC$3)</f>
        <v/>
      </c>
      <c r="BB162" s="26">
        <f>AD$4*(AD162-AD$3)</f>
        <v/>
      </c>
      <c r="BC162" s="26">
        <f>AE$4*(AE162-AE$3)</f>
        <v/>
      </c>
      <c r="BD162" s="26">
        <f>AF$4*(AF162-AF$3)</f>
        <v/>
      </c>
      <c r="BE162" s="26">
        <f>AG$4*(AG162-AG$3)</f>
        <v/>
      </c>
      <c r="BF162" s="26">
        <f>AH$4*(AH162-AH$3)</f>
        <v/>
      </c>
      <c r="BG162" s="26">
        <f>AI$4*(AI162-AI$3)</f>
        <v/>
      </c>
      <c r="BH162" s="26">
        <f>AJ$4*(AJ162-AJ$3)</f>
        <v/>
      </c>
      <c r="BI162" s="26">
        <f>AK$4*(AK162-AK$3)</f>
        <v/>
      </c>
      <c r="BJ162" s="26">
        <f>AL$4*(AL162-AL$3)</f>
        <v/>
      </c>
      <c r="BK162" s="26">
        <f>AM$4*(AM162-AM$3)</f>
        <v/>
      </c>
      <c r="BL162" s="26">
        <f>AN$4*(AN162-AN$3)</f>
        <v/>
      </c>
      <c r="BM162" s="26">
        <f>AO$4*(AO162-AO$3)</f>
        <v/>
      </c>
      <c r="BN162" s="26">
        <f>AP$4*(AP162-AP$3)</f>
        <v/>
      </c>
      <c r="BO162" s="26">
        <f>AQ$4*(AQ162-AQ$3)</f>
        <v/>
      </c>
      <c r="BP162" s="26">
        <f>AR$4*(AR162-AR$3)</f>
        <v/>
      </c>
      <c r="BQ162" s="26">
        <f>AS$4*(AS162-AS$3)</f>
        <v/>
      </c>
      <c r="BR162" s="27">
        <f>SUM(AT162:BQ162)</f>
        <v/>
      </c>
      <c r="BS162" s="27">
        <f>INTERCEPT_SCALED+BR162</f>
        <v/>
      </c>
      <c r="BT162" s="28">
        <f>1/(1+EXP(-BS162))</f>
        <v/>
      </c>
      <c r="BU162" s="13">
        <f>1-(1-BT162)^12</f>
        <v/>
      </c>
      <c r="BV162" s="13">
        <f>IFERROR(AT162/BR162*(BU162-BASELINE_CPR),0)</f>
        <v/>
      </c>
      <c r="BW162" s="13">
        <f>IFERROR(AU162/BR162*(BU162-BASELINE_CPR),0)</f>
        <v/>
      </c>
      <c r="BX162" s="13">
        <f>IFERROR(AV162/BR162*(BU162-BASELINE_CPR),0)</f>
        <v/>
      </c>
      <c r="BY162" s="13">
        <f>IFERROR(AW162/BR162*(BU162-BASELINE_CPR),0)</f>
        <v/>
      </c>
      <c r="BZ162" s="13">
        <f>IFERROR(AX162/BR162*(BU162-BASELINE_CPR),0)</f>
        <v/>
      </c>
      <c r="CA162" s="13">
        <f>IFERROR(AY162/BR162*(BU162-BASELINE_CPR),0)</f>
        <v/>
      </c>
      <c r="CB162" s="13">
        <f>IFERROR(AZ162/BR162*(BU162-BASELINE_CPR),0)</f>
        <v/>
      </c>
      <c r="CC162" s="13">
        <f>IFERROR(BA162/BR162*(BU162-BASELINE_CPR),0)</f>
        <v/>
      </c>
      <c r="CD162" s="13">
        <f>IFERROR(BB162/BR162*(BU162-BASELINE_CPR),0)</f>
        <v/>
      </c>
      <c r="CE162" s="13">
        <f>IFERROR(BC162/BR162*(BU162-BASELINE_CPR),0)</f>
        <v/>
      </c>
      <c r="CF162" s="13">
        <f>IFERROR(BD162/BR162*(BU162-BASELINE_CPR),0)</f>
        <v/>
      </c>
      <c r="CG162" s="13">
        <f>IFERROR(BE162/BR162*(BU162-BASELINE_CPR),0)</f>
        <v/>
      </c>
      <c r="CH162" s="13">
        <f>IFERROR(BF162/BR162*(BU162-BASELINE_CPR),0)</f>
        <v/>
      </c>
      <c r="CI162" s="13">
        <f>IFERROR(BG162/BR162*(BU162-BASELINE_CPR),0)</f>
        <v/>
      </c>
      <c r="CJ162" s="13">
        <f>IFERROR(BH162/BR162*(BU162-BASELINE_CPR),0)</f>
        <v/>
      </c>
      <c r="CK162" s="13">
        <f>IFERROR(BI162/BR162*(BU162-BASELINE_CPR),0)</f>
        <v/>
      </c>
      <c r="CL162" s="13">
        <f>IFERROR(BJ162/BR162*(BU162-BASELINE_CPR),0)</f>
        <v/>
      </c>
      <c r="CM162" s="13">
        <f>IFERROR(BK162/BR162*(BU162-BASELINE_CPR),0)</f>
        <v/>
      </c>
      <c r="CN162" s="13">
        <f>IFERROR(BL162/BR162*(BU162-BASELINE_CPR),0)</f>
        <v/>
      </c>
      <c r="CO162" s="13">
        <f>IFERROR(BM162/BR162*(BU162-BASELINE_CPR),0)</f>
        <v/>
      </c>
      <c r="CP162" s="13">
        <f>IFERROR(BN162/BR162*(BU162-BASELINE_CPR),0)</f>
        <v/>
      </c>
      <c r="CQ162" s="13">
        <f>IFERROR(BO162/BR162*(BU162-BASELINE_CPR),0)</f>
        <v/>
      </c>
      <c r="CR162" s="13">
        <f>IFERROR(BP162/BR162*(BU162-BASELINE_CPR),0)</f>
        <v/>
      </c>
      <c r="CS162" s="13">
        <f>IFERROR(BQ162/BR162*(BU162-BASELINE_CPR),0)</f>
        <v/>
      </c>
      <c r="CT162" s="29">
        <f>BASELINE_CPR+SUM(BV162:CS162)-BU162</f>
        <v/>
      </c>
    </row>
    <row r="163">
      <c r="A163" s="2" t="inlineStr">
        <is>
          <t>36292EA75_000000001257419</t>
        </is>
      </c>
      <c r="B163" t="inlineStr">
        <is>
          <t>WELLS_PRE21</t>
        </is>
      </c>
      <c r="C163" s="2" t="inlineStr">
        <is>
          <t>36292EA75</t>
        </is>
      </c>
      <c r="D163" t="inlineStr">
        <is>
          <t>WELLS FARGO BANK, N.A.</t>
        </is>
      </c>
      <c r="E163" t="inlineStr">
        <is>
          <t>223a7</t>
        </is>
      </c>
      <c r="F163" t="inlineStr">
        <is>
          <t>RP</t>
        </is>
      </c>
      <c r="G163" t="n">
        <v>2006</v>
      </c>
      <c r="H163" t="inlineStr">
        <is>
          <t>202602</t>
        </is>
      </c>
      <c r="I163" s="22" t="n">
        <v>237341.87</v>
      </c>
      <c r="J163" s="23" t="n">
        <v>6.75</v>
      </c>
      <c r="K163" s="24" t="n">
        <v>447</v>
      </c>
      <c r="L163" s="24" t="n">
        <v>0</v>
      </c>
      <c r="M163" t="n">
        <v>238</v>
      </c>
      <c r="N163" t="n">
        <v>87</v>
      </c>
      <c r="O163" t="n">
        <v>203605</v>
      </c>
      <c r="P163" t="n">
        <v>200806</v>
      </c>
      <c r="Q163" t="inlineStr">
        <is>
          <t>3998</t>
        </is>
      </c>
      <c r="R163" t="n">
        <v>0</v>
      </c>
      <c r="S163" t="n">
        <v>1</v>
      </c>
      <c r="T163" t="n">
        <v>0</v>
      </c>
      <c r="U163" t="n">
        <v>0</v>
      </c>
      <c r="V163" s="24">
        <f>J163*100-K163</f>
        <v/>
      </c>
      <c r="W163" s="24">
        <f>L163</f>
        <v/>
      </c>
      <c r="X163" s="25">
        <f>MIN(M163,36)</f>
        <v/>
      </c>
      <c r="Y163" s="25">
        <f>MIN(MAX(M163-36,0),84)</f>
        <v/>
      </c>
      <c r="Z163" s="25">
        <f>MAX(M163-120,0)</f>
        <v/>
      </c>
      <c r="AA163" s="25">
        <f>IF(OR(O163="",NOT(ISNUMBER(O163))),360,MAX(0,MIN(480,(INT(O163/100)-INT(VALUE(H163)/100))*12+MOD(O163,100)-MOD(VALUE(H163),100))))</f>
        <v/>
      </c>
      <c r="AB163">
        <f>IF(AND(AA163&gt;0,AA163&lt;=24),1,0)</f>
        <v/>
      </c>
      <c r="AC163" s="25">
        <f>IF(OR(P163="",NOT(ISNUMBER(P163))),0,MAX(0,MIN(24,(INT(VALUE(H163)/100)-INT(P163/100))*12+MOD(VALUE(H163),100)-MOD(P163,100))))</f>
        <v/>
      </c>
      <c r="AD163" s="23">
        <f>LN(1+I163)</f>
        <v/>
      </c>
      <c r="AE163">
        <f>IF(I163&lt;2000000,1,0)</f>
        <v/>
      </c>
      <c r="AF163">
        <f>IF(I163&gt;50000000,1,0)</f>
        <v/>
      </c>
      <c r="AG163" s="23">
        <f>IF(ISNUMBER(M163),N163/MAX(M163,1),0)</f>
        <v/>
      </c>
      <c r="AH163">
        <f>IF(G163&gt;=2021,1,0)</f>
        <v/>
      </c>
      <c r="AI163">
        <f>S163</f>
        <v/>
      </c>
      <c r="AJ163">
        <f>T163</f>
        <v/>
      </c>
      <c r="AK163">
        <f>R163</f>
        <v/>
      </c>
      <c r="AL163">
        <f>U163</f>
        <v/>
      </c>
      <c r="AM163">
        <f>IF(ISNUMBER(SEARCH("CAPITAL FUNDING",D163)),1,0)</f>
        <v/>
      </c>
      <c r="AN163">
        <f>IF(ISNUMBER(SEARCH("PNC",D163)),1,0)</f>
        <v/>
      </c>
      <c r="AO163">
        <f>IF(ISNUMBER(SEARCH("WELLS FARGO",D163)),1,0)</f>
        <v/>
      </c>
      <c r="AP163">
        <f>IF(ISNUMBER(SEARCH("DWIGHT",D163)),1,0)</f>
        <v/>
      </c>
      <c r="AQ163">
        <f>IF(ISNUMBER(SEARCH("GREYSTONE",D163)),1,0)</f>
        <v/>
      </c>
      <c r="AR163">
        <f>IF(OR(Q163="3896",Q163="3557"),1,0)</f>
        <v/>
      </c>
      <c r="AS163" s="24">
        <f>V163*W163</f>
        <v/>
      </c>
      <c r="AT163" s="26">
        <f>V$4*(V163-V$3)</f>
        <v/>
      </c>
      <c r="AU163" s="26">
        <f>W$4*(W163-W$3)</f>
        <v/>
      </c>
      <c r="AV163" s="26">
        <f>X$4*(X163-X$3)</f>
        <v/>
      </c>
      <c r="AW163" s="26">
        <f>Y$4*(Y163-Y$3)</f>
        <v/>
      </c>
      <c r="AX163" s="26">
        <f>Z$4*(Z163-Z$3)</f>
        <v/>
      </c>
      <c r="AY163" s="26">
        <f>AA$4*(AA163-AA$3)</f>
        <v/>
      </c>
      <c r="AZ163" s="26">
        <f>AB$4*(AB163-AB$3)</f>
        <v/>
      </c>
      <c r="BA163" s="26">
        <f>AC$4*(AC163-AC$3)</f>
        <v/>
      </c>
      <c r="BB163" s="26">
        <f>AD$4*(AD163-AD$3)</f>
        <v/>
      </c>
      <c r="BC163" s="26">
        <f>AE$4*(AE163-AE$3)</f>
        <v/>
      </c>
      <c r="BD163" s="26">
        <f>AF$4*(AF163-AF$3)</f>
        <v/>
      </c>
      <c r="BE163" s="26">
        <f>AG$4*(AG163-AG$3)</f>
        <v/>
      </c>
      <c r="BF163" s="26">
        <f>AH$4*(AH163-AH$3)</f>
        <v/>
      </c>
      <c r="BG163" s="26">
        <f>AI$4*(AI163-AI$3)</f>
        <v/>
      </c>
      <c r="BH163" s="26">
        <f>AJ$4*(AJ163-AJ$3)</f>
        <v/>
      </c>
      <c r="BI163" s="26">
        <f>AK$4*(AK163-AK$3)</f>
        <v/>
      </c>
      <c r="BJ163" s="26">
        <f>AL$4*(AL163-AL$3)</f>
        <v/>
      </c>
      <c r="BK163" s="26">
        <f>AM$4*(AM163-AM$3)</f>
        <v/>
      </c>
      <c r="BL163" s="26">
        <f>AN$4*(AN163-AN$3)</f>
        <v/>
      </c>
      <c r="BM163" s="26">
        <f>AO$4*(AO163-AO$3)</f>
        <v/>
      </c>
      <c r="BN163" s="26">
        <f>AP$4*(AP163-AP$3)</f>
        <v/>
      </c>
      <c r="BO163" s="26">
        <f>AQ$4*(AQ163-AQ$3)</f>
        <v/>
      </c>
      <c r="BP163" s="26">
        <f>AR$4*(AR163-AR$3)</f>
        <v/>
      </c>
      <c r="BQ163" s="26">
        <f>AS$4*(AS163-AS$3)</f>
        <v/>
      </c>
      <c r="BR163" s="27">
        <f>SUM(AT163:BQ163)</f>
        <v/>
      </c>
      <c r="BS163" s="27">
        <f>INTERCEPT_SCALED+BR163</f>
        <v/>
      </c>
      <c r="BT163" s="28">
        <f>1/(1+EXP(-BS163))</f>
        <v/>
      </c>
      <c r="BU163" s="13">
        <f>1-(1-BT163)^12</f>
        <v/>
      </c>
      <c r="BV163" s="13">
        <f>IFERROR(AT163/BR163*(BU163-BASELINE_CPR),0)</f>
        <v/>
      </c>
      <c r="BW163" s="13">
        <f>IFERROR(AU163/BR163*(BU163-BASELINE_CPR),0)</f>
        <v/>
      </c>
      <c r="BX163" s="13">
        <f>IFERROR(AV163/BR163*(BU163-BASELINE_CPR),0)</f>
        <v/>
      </c>
      <c r="BY163" s="13">
        <f>IFERROR(AW163/BR163*(BU163-BASELINE_CPR),0)</f>
        <v/>
      </c>
      <c r="BZ163" s="13">
        <f>IFERROR(AX163/BR163*(BU163-BASELINE_CPR),0)</f>
        <v/>
      </c>
      <c r="CA163" s="13">
        <f>IFERROR(AY163/BR163*(BU163-BASELINE_CPR),0)</f>
        <v/>
      </c>
      <c r="CB163" s="13">
        <f>IFERROR(AZ163/BR163*(BU163-BASELINE_CPR),0)</f>
        <v/>
      </c>
      <c r="CC163" s="13">
        <f>IFERROR(BA163/BR163*(BU163-BASELINE_CPR),0)</f>
        <v/>
      </c>
      <c r="CD163" s="13">
        <f>IFERROR(BB163/BR163*(BU163-BASELINE_CPR),0)</f>
        <v/>
      </c>
      <c r="CE163" s="13">
        <f>IFERROR(BC163/BR163*(BU163-BASELINE_CPR),0)</f>
        <v/>
      </c>
      <c r="CF163" s="13">
        <f>IFERROR(BD163/BR163*(BU163-BASELINE_CPR),0)</f>
        <v/>
      </c>
      <c r="CG163" s="13">
        <f>IFERROR(BE163/BR163*(BU163-BASELINE_CPR),0)</f>
        <v/>
      </c>
      <c r="CH163" s="13">
        <f>IFERROR(BF163/BR163*(BU163-BASELINE_CPR),0)</f>
        <v/>
      </c>
      <c r="CI163" s="13">
        <f>IFERROR(BG163/BR163*(BU163-BASELINE_CPR),0)</f>
        <v/>
      </c>
      <c r="CJ163" s="13">
        <f>IFERROR(BH163/BR163*(BU163-BASELINE_CPR),0)</f>
        <v/>
      </c>
      <c r="CK163" s="13">
        <f>IFERROR(BI163/BR163*(BU163-BASELINE_CPR),0)</f>
        <v/>
      </c>
      <c r="CL163" s="13">
        <f>IFERROR(BJ163/BR163*(BU163-BASELINE_CPR),0)</f>
        <v/>
      </c>
      <c r="CM163" s="13">
        <f>IFERROR(BK163/BR163*(BU163-BASELINE_CPR),0)</f>
        <v/>
      </c>
      <c r="CN163" s="13">
        <f>IFERROR(BL163/BR163*(BU163-BASELINE_CPR),0)</f>
        <v/>
      </c>
      <c r="CO163" s="13">
        <f>IFERROR(BM163/BR163*(BU163-BASELINE_CPR),0)</f>
        <v/>
      </c>
      <c r="CP163" s="13">
        <f>IFERROR(BN163/BR163*(BU163-BASELINE_CPR),0)</f>
        <v/>
      </c>
      <c r="CQ163" s="13">
        <f>IFERROR(BO163/BR163*(BU163-BASELINE_CPR),0)</f>
        <v/>
      </c>
      <c r="CR163" s="13">
        <f>IFERROR(BP163/BR163*(BU163-BASELINE_CPR),0)</f>
        <v/>
      </c>
      <c r="CS163" s="13">
        <f>IFERROR(BQ163/BR163*(BU163-BASELINE_CPR),0)</f>
        <v/>
      </c>
      <c r="CT163" s="29">
        <f>BASELINE_CPR+SUM(BV163:CS163)-BU163</f>
        <v/>
      </c>
    </row>
    <row r="164">
      <c r="A164" s="2" t="inlineStr">
        <is>
          <t>3617BBDW8_000000010511085</t>
        </is>
      </c>
      <c r="B164" t="inlineStr">
        <is>
          <t>WELLS_PRE21</t>
        </is>
      </c>
      <c r="C164" s="2" t="inlineStr">
        <is>
          <t>3617BBDW8</t>
        </is>
      </c>
      <c r="D164" t="inlineStr">
        <is>
          <t>WELLS FARGO BANK, N.A.</t>
        </is>
      </c>
      <c r="E164" t="inlineStr">
        <is>
          <t>223f</t>
        </is>
      </c>
      <c r="F164" t="inlineStr">
        <is>
          <t>RP</t>
        </is>
      </c>
      <c r="G164" t="n">
        <v>2017</v>
      </c>
      <c r="H164" t="inlineStr">
        <is>
          <t>202602</t>
        </is>
      </c>
      <c r="I164" s="22" t="n">
        <v>6227483.14</v>
      </c>
      <c r="J164" s="23" t="n">
        <v>3.22</v>
      </c>
      <c r="K164" s="24" t="n">
        <v>447</v>
      </c>
      <c r="L164" s="24" t="n">
        <v>2</v>
      </c>
      <c r="M164" t="n">
        <v>102</v>
      </c>
      <c r="N164" t="n">
        <v>25</v>
      </c>
      <c r="O164" t="n">
        <v>205209</v>
      </c>
      <c r="P164" t="inlineStr"/>
      <c r="Q164" t="inlineStr">
        <is>
          <t>3998</t>
        </is>
      </c>
      <c r="R164" t="n">
        <v>0</v>
      </c>
      <c r="S164" t="n">
        <v>0</v>
      </c>
      <c r="T164" t="n">
        <v>0</v>
      </c>
      <c r="U164" t="n">
        <v>0</v>
      </c>
      <c r="V164" s="24">
        <f>J164*100-K164</f>
        <v/>
      </c>
      <c r="W164" s="24">
        <f>L164</f>
        <v/>
      </c>
      <c r="X164" s="25">
        <f>MIN(M164,36)</f>
        <v/>
      </c>
      <c r="Y164" s="25">
        <f>MIN(MAX(M164-36,0),84)</f>
        <v/>
      </c>
      <c r="Z164" s="25">
        <f>MAX(M164-120,0)</f>
        <v/>
      </c>
      <c r="AA164" s="25">
        <f>IF(OR(O164="",NOT(ISNUMBER(O164))),360,MAX(0,MIN(480,(INT(O164/100)-INT(VALUE(H164)/100))*12+MOD(O164,100)-MOD(VALUE(H164),100))))</f>
        <v/>
      </c>
      <c r="AB164">
        <f>IF(AND(AA164&gt;0,AA164&lt;=24),1,0)</f>
        <v/>
      </c>
      <c r="AC164" s="25">
        <f>IF(OR(P164="",NOT(ISNUMBER(P164))),0,MAX(0,MIN(24,(INT(VALUE(H164)/100)-INT(P164/100))*12+MOD(VALUE(H164),100)-MOD(P164,100))))</f>
        <v/>
      </c>
      <c r="AD164" s="23">
        <f>LN(1+I164)</f>
        <v/>
      </c>
      <c r="AE164">
        <f>IF(I164&lt;2000000,1,0)</f>
        <v/>
      </c>
      <c r="AF164">
        <f>IF(I164&gt;50000000,1,0)</f>
        <v/>
      </c>
      <c r="AG164" s="23">
        <f>IF(ISNUMBER(M164),N164/MAX(M164,1),0)</f>
        <v/>
      </c>
      <c r="AH164">
        <f>IF(G164&gt;=2021,1,0)</f>
        <v/>
      </c>
      <c r="AI164">
        <f>S164</f>
        <v/>
      </c>
      <c r="AJ164">
        <f>T164</f>
        <v/>
      </c>
      <c r="AK164">
        <f>R164</f>
        <v/>
      </c>
      <c r="AL164">
        <f>U164</f>
        <v/>
      </c>
      <c r="AM164">
        <f>IF(ISNUMBER(SEARCH("CAPITAL FUNDING",D164)),1,0)</f>
        <v/>
      </c>
      <c r="AN164">
        <f>IF(ISNUMBER(SEARCH("PNC",D164)),1,0)</f>
        <v/>
      </c>
      <c r="AO164">
        <f>IF(ISNUMBER(SEARCH("WELLS FARGO",D164)),1,0)</f>
        <v/>
      </c>
      <c r="AP164">
        <f>IF(ISNUMBER(SEARCH("DWIGHT",D164)),1,0)</f>
        <v/>
      </c>
      <c r="AQ164">
        <f>IF(ISNUMBER(SEARCH("GREYSTONE",D164)),1,0)</f>
        <v/>
      </c>
      <c r="AR164">
        <f>IF(OR(Q164="3896",Q164="3557"),1,0)</f>
        <v/>
      </c>
      <c r="AS164" s="24">
        <f>V164*W164</f>
        <v/>
      </c>
      <c r="AT164" s="26">
        <f>V$4*(V164-V$3)</f>
        <v/>
      </c>
      <c r="AU164" s="26">
        <f>W$4*(W164-W$3)</f>
        <v/>
      </c>
      <c r="AV164" s="26">
        <f>X$4*(X164-X$3)</f>
        <v/>
      </c>
      <c r="AW164" s="26">
        <f>Y$4*(Y164-Y$3)</f>
        <v/>
      </c>
      <c r="AX164" s="26">
        <f>Z$4*(Z164-Z$3)</f>
        <v/>
      </c>
      <c r="AY164" s="26">
        <f>AA$4*(AA164-AA$3)</f>
        <v/>
      </c>
      <c r="AZ164" s="26">
        <f>AB$4*(AB164-AB$3)</f>
        <v/>
      </c>
      <c r="BA164" s="26">
        <f>AC$4*(AC164-AC$3)</f>
        <v/>
      </c>
      <c r="BB164" s="26">
        <f>AD$4*(AD164-AD$3)</f>
        <v/>
      </c>
      <c r="BC164" s="26">
        <f>AE$4*(AE164-AE$3)</f>
        <v/>
      </c>
      <c r="BD164" s="26">
        <f>AF$4*(AF164-AF$3)</f>
        <v/>
      </c>
      <c r="BE164" s="26">
        <f>AG$4*(AG164-AG$3)</f>
        <v/>
      </c>
      <c r="BF164" s="26">
        <f>AH$4*(AH164-AH$3)</f>
        <v/>
      </c>
      <c r="BG164" s="26">
        <f>AI$4*(AI164-AI$3)</f>
        <v/>
      </c>
      <c r="BH164" s="26">
        <f>AJ$4*(AJ164-AJ$3)</f>
        <v/>
      </c>
      <c r="BI164" s="26">
        <f>AK$4*(AK164-AK$3)</f>
        <v/>
      </c>
      <c r="BJ164" s="26">
        <f>AL$4*(AL164-AL$3)</f>
        <v/>
      </c>
      <c r="BK164" s="26">
        <f>AM$4*(AM164-AM$3)</f>
        <v/>
      </c>
      <c r="BL164" s="26">
        <f>AN$4*(AN164-AN$3)</f>
        <v/>
      </c>
      <c r="BM164" s="26">
        <f>AO$4*(AO164-AO$3)</f>
        <v/>
      </c>
      <c r="BN164" s="26">
        <f>AP$4*(AP164-AP$3)</f>
        <v/>
      </c>
      <c r="BO164" s="26">
        <f>AQ$4*(AQ164-AQ$3)</f>
        <v/>
      </c>
      <c r="BP164" s="26">
        <f>AR$4*(AR164-AR$3)</f>
        <v/>
      </c>
      <c r="BQ164" s="26">
        <f>AS$4*(AS164-AS$3)</f>
        <v/>
      </c>
      <c r="BR164" s="27">
        <f>SUM(AT164:BQ164)</f>
        <v/>
      </c>
      <c r="BS164" s="27">
        <f>INTERCEPT_SCALED+BR164</f>
        <v/>
      </c>
      <c r="BT164" s="28">
        <f>1/(1+EXP(-BS164))</f>
        <v/>
      </c>
      <c r="BU164" s="13">
        <f>1-(1-BT164)^12</f>
        <v/>
      </c>
      <c r="BV164" s="13">
        <f>IFERROR(AT164/BR164*(BU164-BASELINE_CPR),0)</f>
        <v/>
      </c>
      <c r="BW164" s="13">
        <f>IFERROR(AU164/BR164*(BU164-BASELINE_CPR),0)</f>
        <v/>
      </c>
      <c r="BX164" s="13">
        <f>IFERROR(AV164/BR164*(BU164-BASELINE_CPR),0)</f>
        <v/>
      </c>
      <c r="BY164" s="13">
        <f>IFERROR(AW164/BR164*(BU164-BASELINE_CPR),0)</f>
        <v/>
      </c>
      <c r="BZ164" s="13">
        <f>IFERROR(AX164/BR164*(BU164-BASELINE_CPR),0)</f>
        <v/>
      </c>
      <c r="CA164" s="13">
        <f>IFERROR(AY164/BR164*(BU164-BASELINE_CPR),0)</f>
        <v/>
      </c>
      <c r="CB164" s="13">
        <f>IFERROR(AZ164/BR164*(BU164-BASELINE_CPR),0)</f>
        <v/>
      </c>
      <c r="CC164" s="13">
        <f>IFERROR(BA164/BR164*(BU164-BASELINE_CPR),0)</f>
        <v/>
      </c>
      <c r="CD164" s="13">
        <f>IFERROR(BB164/BR164*(BU164-BASELINE_CPR),0)</f>
        <v/>
      </c>
      <c r="CE164" s="13">
        <f>IFERROR(BC164/BR164*(BU164-BASELINE_CPR),0)</f>
        <v/>
      </c>
      <c r="CF164" s="13">
        <f>IFERROR(BD164/BR164*(BU164-BASELINE_CPR),0)</f>
        <v/>
      </c>
      <c r="CG164" s="13">
        <f>IFERROR(BE164/BR164*(BU164-BASELINE_CPR),0)</f>
        <v/>
      </c>
      <c r="CH164" s="13">
        <f>IFERROR(BF164/BR164*(BU164-BASELINE_CPR),0)</f>
        <v/>
      </c>
      <c r="CI164" s="13">
        <f>IFERROR(BG164/BR164*(BU164-BASELINE_CPR),0)</f>
        <v/>
      </c>
      <c r="CJ164" s="13">
        <f>IFERROR(BH164/BR164*(BU164-BASELINE_CPR),0)</f>
        <v/>
      </c>
      <c r="CK164" s="13">
        <f>IFERROR(BI164/BR164*(BU164-BASELINE_CPR),0)</f>
        <v/>
      </c>
      <c r="CL164" s="13">
        <f>IFERROR(BJ164/BR164*(BU164-BASELINE_CPR),0)</f>
        <v/>
      </c>
      <c r="CM164" s="13">
        <f>IFERROR(BK164/BR164*(BU164-BASELINE_CPR),0)</f>
        <v/>
      </c>
      <c r="CN164" s="13">
        <f>IFERROR(BL164/BR164*(BU164-BASELINE_CPR),0)</f>
        <v/>
      </c>
      <c r="CO164" s="13">
        <f>IFERROR(BM164/BR164*(BU164-BASELINE_CPR),0)</f>
        <v/>
      </c>
      <c r="CP164" s="13">
        <f>IFERROR(BN164/BR164*(BU164-BASELINE_CPR),0)</f>
        <v/>
      </c>
      <c r="CQ164" s="13">
        <f>IFERROR(BO164/BR164*(BU164-BASELINE_CPR),0)</f>
        <v/>
      </c>
      <c r="CR164" s="13">
        <f>IFERROR(BP164/BR164*(BU164-BASELINE_CPR),0)</f>
        <v/>
      </c>
      <c r="CS164" s="13">
        <f>IFERROR(BQ164/BR164*(BU164-BASELINE_CPR),0)</f>
        <v/>
      </c>
      <c r="CT164" s="29">
        <f>BASELINE_CPR+SUM(BV164:CS164)-BU164</f>
        <v/>
      </c>
    </row>
    <row r="165">
      <c r="A165" s="2" t="inlineStr">
        <is>
          <t>3617U8L70_000000005311417</t>
        </is>
      </c>
      <c r="B165" t="inlineStr">
        <is>
          <t>WELLS_PRE21</t>
        </is>
      </c>
      <c r="C165" s="2" t="inlineStr">
        <is>
          <t>3617U8L70</t>
        </is>
      </c>
      <c r="D165" t="inlineStr">
        <is>
          <t>WELLS FARGO BANK, N.A.</t>
        </is>
      </c>
      <c r="E165" t="inlineStr">
        <is>
          <t>223f</t>
        </is>
      </c>
      <c r="F165" t="inlineStr">
        <is>
          <t>RP</t>
        </is>
      </c>
      <c r="G165" t="n">
        <v>2018</v>
      </c>
      <c r="H165" t="inlineStr">
        <is>
          <t>202602</t>
        </is>
      </c>
      <c r="I165" s="22" t="n">
        <v>18408131.46</v>
      </c>
      <c r="J165" s="23" t="n">
        <v>3.01</v>
      </c>
      <c r="K165" s="24" t="n">
        <v>447</v>
      </c>
      <c r="L165" s="24" t="n">
        <v>6</v>
      </c>
      <c r="M165" t="n">
        <v>94</v>
      </c>
      <c r="N165" t="n">
        <v>1</v>
      </c>
      <c r="O165" t="n">
        <v>205305</v>
      </c>
      <c r="P165" t="n">
        <v>202202</v>
      </c>
      <c r="Q165" t="inlineStr">
        <is>
          <t>3998</t>
        </is>
      </c>
      <c r="R165" t="n">
        <v>0</v>
      </c>
      <c r="S165" t="n">
        <v>0</v>
      </c>
      <c r="T165" t="n">
        <v>0</v>
      </c>
      <c r="U165" t="n">
        <v>0</v>
      </c>
      <c r="V165" s="24">
        <f>J165*100-K165</f>
        <v/>
      </c>
      <c r="W165" s="24">
        <f>L165</f>
        <v/>
      </c>
      <c r="X165" s="25">
        <f>MIN(M165,36)</f>
        <v/>
      </c>
      <c r="Y165" s="25">
        <f>MIN(MAX(M165-36,0),84)</f>
        <v/>
      </c>
      <c r="Z165" s="25">
        <f>MAX(M165-120,0)</f>
        <v/>
      </c>
      <c r="AA165" s="25">
        <f>IF(OR(O165="",NOT(ISNUMBER(O165))),360,MAX(0,MIN(480,(INT(O165/100)-INT(VALUE(H165)/100))*12+MOD(O165,100)-MOD(VALUE(H165),100))))</f>
        <v/>
      </c>
      <c r="AB165">
        <f>IF(AND(AA165&gt;0,AA165&lt;=24),1,0)</f>
        <v/>
      </c>
      <c r="AC165" s="25">
        <f>IF(OR(P165="",NOT(ISNUMBER(P165))),0,MAX(0,MIN(24,(INT(VALUE(H165)/100)-INT(P165/100))*12+MOD(VALUE(H165),100)-MOD(P165,100))))</f>
        <v/>
      </c>
      <c r="AD165" s="23">
        <f>LN(1+I165)</f>
        <v/>
      </c>
      <c r="AE165">
        <f>IF(I165&lt;2000000,1,0)</f>
        <v/>
      </c>
      <c r="AF165">
        <f>IF(I165&gt;50000000,1,0)</f>
        <v/>
      </c>
      <c r="AG165" s="23">
        <f>IF(ISNUMBER(M165),N165/MAX(M165,1),0)</f>
        <v/>
      </c>
      <c r="AH165">
        <f>IF(G165&gt;=2021,1,0)</f>
        <v/>
      </c>
      <c r="AI165">
        <f>S165</f>
        <v/>
      </c>
      <c r="AJ165">
        <f>T165</f>
        <v/>
      </c>
      <c r="AK165">
        <f>R165</f>
        <v/>
      </c>
      <c r="AL165">
        <f>U165</f>
        <v/>
      </c>
      <c r="AM165">
        <f>IF(ISNUMBER(SEARCH("CAPITAL FUNDING",D165)),1,0)</f>
        <v/>
      </c>
      <c r="AN165">
        <f>IF(ISNUMBER(SEARCH("PNC",D165)),1,0)</f>
        <v/>
      </c>
      <c r="AO165">
        <f>IF(ISNUMBER(SEARCH("WELLS FARGO",D165)),1,0)</f>
        <v/>
      </c>
      <c r="AP165">
        <f>IF(ISNUMBER(SEARCH("DWIGHT",D165)),1,0)</f>
        <v/>
      </c>
      <c r="AQ165">
        <f>IF(ISNUMBER(SEARCH("GREYSTONE",D165)),1,0)</f>
        <v/>
      </c>
      <c r="AR165">
        <f>IF(OR(Q165="3896",Q165="3557"),1,0)</f>
        <v/>
      </c>
      <c r="AS165" s="24">
        <f>V165*W165</f>
        <v/>
      </c>
      <c r="AT165" s="26">
        <f>V$4*(V165-V$3)</f>
        <v/>
      </c>
      <c r="AU165" s="26">
        <f>W$4*(W165-W$3)</f>
        <v/>
      </c>
      <c r="AV165" s="26">
        <f>X$4*(X165-X$3)</f>
        <v/>
      </c>
      <c r="AW165" s="26">
        <f>Y$4*(Y165-Y$3)</f>
        <v/>
      </c>
      <c r="AX165" s="26">
        <f>Z$4*(Z165-Z$3)</f>
        <v/>
      </c>
      <c r="AY165" s="26">
        <f>AA$4*(AA165-AA$3)</f>
        <v/>
      </c>
      <c r="AZ165" s="26">
        <f>AB$4*(AB165-AB$3)</f>
        <v/>
      </c>
      <c r="BA165" s="26">
        <f>AC$4*(AC165-AC$3)</f>
        <v/>
      </c>
      <c r="BB165" s="26">
        <f>AD$4*(AD165-AD$3)</f>
        <v/>
      </c>
      <c r="BC165" s="26">
        <f>AE$4*(AE165-AE$3)</f>
        <v/>
      </c>
      <c r="BD165" s="26">
        <f>AF$4*(AF165-AF$3)</f>
        <v/>
      </c>
      <c r="BE165" s="26">
        <f>AG$4*(AG165-AG$3)</f>
        <v/>
      </c>
      <c r="BF165" s="26">
        <f>AH$4*(AH165-AH$3)</f>
        <v/>
      </c>
      <c r="BG165" s="26">
        <f>AI$4*(AI165-AI$3)</f>
        <v/>
      </c>
      <c r="BH165" s="26">
        <f>AJ$4*(AJ165-AJ$3)</f>
        <v/>
      </c>
      <c r="BI165" s="26">
        <f>AK$4*(AK165-AK$3)</f>
        <v/>
      </c>
      <c r="BJ165" s="26">
        <f>AL$4*(AL165-AL$3)</f>
        <v/>
      </c>
      <c r="BK165" s="26">
        <f>AM$4*(AM165-AM$3)</f>
        <v/>
      </c>
      <c r="BL165" s="26">
        <f>AN$4*(AN165-AN$3)</f>
        <v/>
      </c>
      <c r="BM165" s="26">
        <f>AO$4*(AO165-AO$3)</f>
        <v/>
      </c>
      <c r="BN165" s="26">
        <f>AP$4*(AP165-AP$3)</f>
        <v/>
      </c>
      <c r="BO165" s="26">
        <f>AQ$4*(AQ165-AQ$3)</f>
        <v/>
      </c>
      <c r="BP165" s="26">
        <f>AR$4*(AR165-AR$3)</f>
        <v/>
      </c>
      <c r="BQ165" s="26">
        <f>AS$4*(AS165-AS$3)</f>
        <v/>
      </c>
      <c r="BR165" s="27">
        <f>SUM(AT165:BQ165)</f>
        <v/>
      </c>
      <c r="BS165" s="27">
        <f>INTERCEPT_SCALED+BR165</f>
        <v/>
      </c>
      <c r="BT165" s="28">
        <f>1/(1+EXP(-BS165))</f>
        <v/>
      </c>
      <c r="BU165" s="13">
        <f>1-(1-BT165)^12</f>
        <v/>
      </c>
      <c r="BV165" s="13">
        <f>IFERROR(AT165/BR165*(BU165-BASELINE_CPR),0)</f>
        <v/>
      </c>
      <c r="BW165" s="13">
        <f>IFERROR(AU165/BR165*(BU165-BASELINE_CPR),0)</f>
        <v/>
      </c>
      <c r="BX165" s="13">
        <f>IFERROR(AV165/BR165*(BU165-BASELINE_CPR),0)</f>
        <v/>
      </c>
      <c r="BY165" s="13">
        <f>IFERROR(AW165/BR165*(BU165-BASELINE_CPR),0)</f>
        <v/>
      </c>
      <c r="BZ165" s="13">
        <f>IFERROR(AX165/BR165*(BU165-BASELINE_CPR),0)</f>
        <v/>
      </c>
      <c r="CA165" s="13">
        <f>IFERROR(AY165/BR165*(BU165-BASELINE_CPR),0)</f>
        <v/>
      </c>
      <c r="CB165" s="13">
        <f>IFERROR(AZ165/BR165*(BU165-BASELINE_CPR),0)</f>
        <v/>
      </c>
      <c r="CC165" s="13">
        <f>IFERROR(BA165/BR165*(BU165-BASELINE_CPR),0)</f>
        <v/>
      </c>
      <c r="CD165" s="13">
        <f>IFERROR(BB165/BR165*(BU165-BASELINE_CPR),0)</f>
        <v/>
      </c>
      <c r="CE165" s="13">
        <f>IFERROR(BC165/BR165*(BU165-BASELINE_CPR),0)</f>
        <v/>
      </c>
      <c r="CF165" s="13">
        <f>IFERROR(BD165/BR165*(BU165-BASELINE_CPR),0)</f>
        <v/>
      </c>
      <c r="CG165" s="13">
        <f>IFERROR(BE165/BR165*(BU165-BASELINE_CPR),0)</f>
        <v/>
      </c>
      <c r="CH165" s="13">
        <f>IFERROR(BF165/BR165*(BU165-BASELINE_CPR),0)</f>
        <v/>
      </c>
      <c r="CI165" s="13">
        <f>IFERROR(BG165/BR165*(BU165-BASELINE_CPR),0)</f>
        <v/>
      </c>
      <c r="CJ165" s="13">
        <f>IFERROR(BH165/BR165*(BU165-BASELINE_CPR),0)</f>
        <v/>
      </c>
      <c r="CK165" s="13">
        <f>IFERROR(BI165/BR165*(BU165-BASELINE_CPR),0)</f>
        <v/>
      </c>
      <c r="CL165" s="13">
        <f>IFERROR(BJ165/BR165*(BU165-BASELINE_CPR),0)</f>
        <v/>
      </c>
      <c r="CM165" s="13">
        <f>IFERROR(BK165/BR165*(BU165-BASELINE_CPR),0)</f>
        <v/>
      </c>
      <c r="CN165" s="13">
        <f>IFERROR(BL165/BR165*(BU165-BASELINE_CPR),0)</f>
        <v/>
      </c>
      <c r="CO165" s="13">
        <f>IFERROR(BM165/BR165*(BU165-BASELINE_CPR),0)</f>
        <v/>
      </c>
      <c r="CP165" s="13">
        <f>IFERROR(BN165/BR165*(BU165-BASELINE_CPR),0)</f>
        <v/>
      </c>
      <c r="CQ165" s="13">
        <f>IFERROR(BO165/BR165*(BU165-BASELINE_CPR),0)</f>
        <v/>
      </c>
      <c r="CR165" s="13">
        <f>IFERROR(BP165/BR165*(BU165-BASELINE_CPR),0)</f>
        <v/>
      </c>
      <c r="CS165" s="13">
        <f>IFERROR(BQ165/BR165*(BU165-BASELINE_CPR),0)</f>
        <v/>
      </c>
      <c r="CT165" s="29">
        <f>BASELINE_CPR+SUM(BV165:CS165)-BU165</f>
        <v/>
      </c>
    </row>
    <row r="166">
      <c r="A166" s="2" t="inlineStr">
        <is>
          <t>36295A2V6_000000008211077</t>
        </is>
      </c>
      <c r="B166" t="inlineStr">
        <is>
          <t>WELLS_PRE21</t>
        </is>
      </c>
      <c r="C166" s="2" t="inlineStr">
        <is>
          <t>36295A2V6</t>
        </is>
      </c>
      <c r="D166" t="inlineStr">
        <is>
          <t>WELLS FARGO BANK, N.A.</t>
        </is>
      </c>
      <c r="E166" t="inlineStr">
        <is>
          <t>223f</t>
        </is>
      </c>
      <c r="F166" t="inlineStr">
        <is>
          <t>RP</t>
        </is>
      </c>
      <c r="G166" t="n">
        <v>2009</v>
      </c>
      <c r="H166" t="inlineStr">
        <is>
          <t>202602</t>
        </is>
      </c>
      <c r="I166" s="22" t="n">
        <v>980803.6</v>
      </c>
      <c r="J166" s="23" t="n">
        <v>4.6</v>
      </c>
      <c r="K166" s="24" t="n">
        <v>447</v>
      </c>
      <c r="L166" s="24" t="n">
        <v>0</v>
      </c>
      <c r="M166" t="n">
        <v>194</v>
      </c>
      <c r="N166" t="n">
        <v>47</v>
      </c>
      <c r="O166" t="n">
        <v>204501</v>
      </c>
      <c r="P166" t="n">
        <v>201202</v>
      </c>
      <c r="Q166" t="inlineStr">
        <is>
          <t>3998</t>
        </is>
      </c>
      <c r="R166" t="n">
        <v>0</v>
      </c>
      <c r="S166" t="n">
        <v>0</v>
      </c>
      <c r="T166" t="n">
        <v>0</v>
      </c>
      <c r="U166" t="n">
        <v>0</v>
      </c>
      <c r="V166" s="24">
        <f>J166*100-K166</f>
        <v/>
      </c>
      <c r="W166" s="24">
        <f>L166</f>
        <v/>
      </c>
      <c r="X166" s="25">
        <f>MIN(M166,36)</f>
        <v/>
      </c>
      <c r="Y166" s="25">
        <f>MIN(MAX(M166-36,0),84)</f>
        <v/>
      </c>
      <c r="Z166" s="25">
        <f>MAX(M166-120,0)</f>
        <v/>
      </c>
      <c r="AA166" s="25">
        <f>IF(OR(O166="",NOT(ISNUMBER(O166))),360,MAX(0,MIN(480,(INT(O166/100)-INT(VALUE(H166)/100))*12+MOD(O166,100)-MOD(VALUE(H166),100))))</f>
        <v/>
      </c>
      <c r="AB166">
        <f>IF(AND(AA166&gt;0,AA166&lt;=24),1,0)</f>
        <v/>
      </c>
      <c r="AC166" s="25">
        <f>IF(OR(P166="",NOT(ISNUMBER(P166))),0,MAX(0,MIN(24,(INT(VALUE(H166)/100)-INT(P166/100))*12+MOD(VALUE(H166),100)-MOD(P166,100))))</f>
        <v/>
      </c>
      <c r="AD166" s="23">
        <f>LN(1+I166)</f>
        <v/>
      </c>
      <c r="AE166">
        <f>IF(I166&lt;2000000,1,0)</f>
        <v/>
      </c>
      <c r="AF166">
        <f>IF(I166&gt;50000000,1,0)</f>
        <v/>
      </c>
      <c r="AG166" s="23">
        <f>IF(ISNUMBER(M166),N166/MAX(M166,1),0)</f>
        <v/>
      </c>
      <c r="AH166">
        <f>IF(G166&gt;=2021,1,0)</f>
        <v/>
      </c>
      <c r="AI166">
        <f>S166</f>
        <v/>
      </c>
      <c r="AJ166">
        <f>T166</f>
        <v/>
      </c>
      <c r="AK166">
        <f>R166</f>
        <v/>
      </c>
      <c r="AL166">
        <f>U166</f>
        <v/>
      </c>
      <c r="AM166">
        <f>IF(ISNUMBER(SEARCH("CAPITAL FUNDING",D166)),1,0)</f>
        <v/>
      </c>
      <c r="AN166">
        <f>IF(ISNUMBER(SEARCH("PNC",D166)),1,0)</f>
        <v/>
      </c>
      <c r="AO166">
        <f>IF(ISNUMBER(SEARCH("WELLS FARGO",D166)),1,0)</f>
        <v/>
      </c>
      <c r="AP166">
        <f>IF(ISNUMBER(SEARCH("DWIGHT",D166)),1,0)</f>
        <v/>
      </c>
      <c r="AQ166">
        <f>IF(ISNUMBER(SEARCH("GREYSTONE",D166)),1,0)</f>
        <v/>
      </c>
      <c r="AR166">
        <f>IF(OR(Q166="3896",Q166="3557"),1,0)</f>
        <v/>
      </c>
      <c r="AS166" s="24">
        <f>V166*W166</f>
        <v/>
      </c>
      <c r="AT166" s="26">
        <f>V$4*(V166-V$3)</f>
        <v/>
      </c>
      <c r="AU166" s="26">
        <f>W$4*(W166-W$3)</f>
        <v/>
      </c>
      <c r="AV166" s="26">
        <f>X$4*(X166-X$3)</f>
        <v/>
      </c>
      <c r="AW166" s="26">
        <f>Y$4*(Y166-Y$3)</f>
        <v/>
      </c>
      <c r="AX166" s="26">
        <f>Z$4*(Z166-Z$3)</f>
        <v/>
      </c>
      <c r="AY166" s="26">
        <f>AA$4*(AA166-AA$3)</f>
        <v/>
      </c>
      <c r="AZ166" s="26">
        <f>AB$4*(AB166-AB$3)</f>
        <v/>
      </c>
      <c r="BA166" s="26">
        <f>AC$4*(AC166-AC$3)</f>
        <v/>
      </c>
      <c r="BB166" s="26">
        <f>AD$4*(AD166-AD$3)</f>
        <v/>
      </c>
      <c r="BC166" s="26">
        <f>AE$4*(AE166-AE$3)</f>
        <v/>
      </c>
      <c r="BD166" s="26">
        <f>AF$4*(AF166-AF$3)</f>
        <v/>
      </c>
      <c r="BE166" s="26">
        <f>AG$4*(AG166-AG$3)</f>
        <v/>
      </c>
      <c r="BF166" s="26">
        <f>AH$4*(AH166-AH$3)</f>
        <v/>
      </c>
      <c r="BG166" s="26">
        <f>AI$4*(AI166-AI$3)</f>
        <v/>
      </c>
      <c r="BH166" s="26">
        <f>AJ$4*(AJ166-AJ$3)</f>
        <v/>
      </c>
      <c r="BI166" s="26">
        <f>AK$4*(AK166-AK$3)</f>
        <v/>
      </c>
      <c r="BJ166" s="26">
        <f>AL$4*(AL166-AL$3)</f>
        <v/>
      </c>
      <c r="BK166" s="26">
        <f>AM$4*(AM166-AM$3)</f>
        <v/>
      </c>
      <c r="BL166" s="26">
        <f>AN$4*(AN166-AN$3)</f>
        <v/>
      </c>
      <c r="BM166" s="26">
        <f>AO$4*(AO166-AO$3)</f>
        <v/>
      </c>
      <c r="BN166" s="26">
        <f>AP$4*(AP166-AP$3)</f>
        <v/>
      </c>
      <c r="BO166" s="26">
        <f>AQ$4*(AQ166-AQ$3)</f>
        <v/>
      </c>
      <c r="BP166" s="26">
        <f>AR$4*(AR166-AR$3)</f>
        <v/>
      </c>
      <c r="BQ166" s="26">
        <f>AS$4*(AS166-AS$3)</f>
        <v/>
      </c>
      <c r="BR166" s="27">
        <f>SUM(AT166:BQ166)</f>
        <v/>
      </c>
      <c r="BS166" s="27">
        <f>INTERCEPT_SCALED+BR166</f>
        <v/>
      </c>
      <c r="BT166" s="28">
        <f>1/(1+EXP(-BS166))</f>
        <v/>
      </c>
      <c r="BU166" s="13">
        <f>1-(1-BT166)^12</f>
        <v/>
      </c>
      <c r="BV166" s="13">
        <f>IFERROR(AT166/BR166*(BU166-BASELINE_CPR),0)</f>
        <v/>
      </c>
      <c r="BW166" s="13">
        <f>IFERROR(AU166/BR166*(BU166-BASELINE_CPR),0)</f>
        <v/>
      </c>
      <c r="BX166" s="13">
        <f>IFERROR(AV166/BR166*(BU166-BASELINE_CPR),0)</f>
        <v/>
      </c>
      <c r="BY166" s="13">
        <f>IFERROR(AW166/BR166*(BU166-BASELINE_CPR),0)</f>
        <v/>
      </c>
      <c r="BZ166" s="13">
        <f>IFERROR(AX166/BR166*(BU166-BASELINE_CPR),0)</f>
        <v/>
      </c>
      <c r="CA166" s="13">
        <f>IFERROR(AY166/BR166*(BU166-BASELINE_CPR),0)</f>
        <v/>
      </c>
      <c r="CB166" s="13">
        <f>IFERROR(AZ166/BR166*(BU166-BASELINE_CPR),0)</f>
        <v/>
      </c>
      <c r="CC166" s="13">
        <f>IFERROR(BA166/BR166*(BU166-BASELINE_CPR),0)</f>
        <v/>
      </c>
      <c r="CD166" s="13">
        <f>IFERROR(BB166/BR166*(BU166-BASELINE_CPR),0)</f>
        <v/>
      </c>
      <c r="CE166" s="13">
        <f>IFERROR(BC166/BR166*(BU166-BASELINE_CPR),0)</f>
        <v/>
      </c>
      <c r="CF166" s="13">
        <f>IFERROR(BD166/BR166*(BU166-BASELINE_CPR),0)</f>
        <v/>
      </c>
      <c r="CG166" s="13">
        <f>IFERROR(BE166/BR166*(BU166-BASELINE_CPR),0)</f>
        <v/>
      </c>
      <c r="CH166" s="13">
        <f>IFERROR(BF166/BR166*(BU166-BASELINE_CPR),0)</f>
        <v/>
      </c>
      <c r="CI166" s="13">
        <f>IFERROR(BG166/BR166*(BU166-BASELINE_CPR),0)</f>
        <v/>
      </c>
      <c r="CJ166" s="13">
        <f>IFERROR(BH166/BR166*(BU166-BASELINE_CPR),0)</f>
        <v/>
      </c>
      <c r="CK166" s="13">
        <f>IFERROR(BI166/BR166*(BU166-BASELINE_CPR),0)</f>
        <v/>
      </c>
      <c r="CL166" s="13">
        <f>IFERROR(BJ166/BR166*(BU166-BASELINE_CPR),0)</f>
        <v/>
      </c>
      <c r="CM166" s="13">
        <f>IFERROR(BK166/BR166*(BU166-BASELINE_CPR),0)</f>
        <v/>
      </c>
      <c r="CN166" s="13">
        <f>IFERROR(BL166/BR166*(BU166-BASELINE_CPR),0)</f>
        <v/>
      </c>
      <c r="CO166" s="13">
        <f>IFERROR(BM166/BR166*(BU166-BASELINE_CPR),0)</f>
        <v/>
      </c>
      <c r="CP166" s="13">
        <f>IFERROR(BN166/BR166*(BU166-BASELINE_CPR),0)</f>
        <v/>
      </c>
      <c r="CQ166" s="13">
        <f>IFERROR(BO166/BR166*(BU166-BASELINE_CPR),0)</f>
        <v/>
      </c>
      <c r="CR166" s="13">
        <f>IFERROR(BP166/BR166*(BU166-BASELINE_CPR),0)</f>
        <v/>
      </c>
      <c r="CS166" s="13">
        <f>IFERROR(BQ166/BR166*(BU166-BASELINE_CPR),0)</f>
        <v/>
      </c>
      <c r="CT166" s="29">
        <f>BASELINE_CPR+SUM(BV166:CS166)-BU166</f>
        <v/>
      </c>
    </row>
    <row r="167">
      <c r="A167" s="2" t="inlineStr">
        <is>
          <t>36181GX61_000000005235725</t>
        </is>
      </c>
      <c r="B167" t="inlineStr">
        <is>
          <t>WELLS_PRE21</t>
        </is>
      </c>
      <c r="C167" s="2" t="inlineStr">
        <is>
          <t>36181GX61</t>
        </is>
      </c>
      <c r="D167" t="inlineStr">
        <is>
          <t>WELLS FARGO BANK, N.A.</t>
        </is>
      </c>
      <c r="E167" t="inlineStr">
        <is>
          <t>221d4</t>
        </is>
      </c>
      <c r="F167" t="inlineStr">
        <is>
          <t>NC</t>
        </is>
      </c>
      <c r="G167" t="n">
        <v>2014</v>
      </c>
      <c r="H167" t="inlineStr">
        <is>
          <t>202602</t>
        </is>
      </c>
      <c r="I167" s="22" t="n">
        <v>4248949.93</v>
      </c>
      <c r="J167" s="23" t="n">
        <v>5</v>
      </c>
      <c r="K167" s="24" t="n">
        <v>447</v>
      </c>
      <c r="L167" s="24" t="n">
        <v>0</v>
      </c>
      <c r="M167" t="n">
        <v>144</v>
      </c>
      <c r="N167" t="n">
        <v>52</v>
      </c>
      <c r="O167" t="n">
        <v>205503</v>
      </c>
      <c r="P167" t="n">
        <v>201704</v>
      </c>
      <c r="Q167" t="inlineStr">
        <is>
          <t>3998</t>
        </is>
      </c>
      <c r="R167" t="n">
        <v>0</v>
      </c>
      <c r="S167" t="n">
        <v>0</v>
      </c>
      <c r="T167" t="n">
        <v>0</v>
      </c>
      <c r="U167" t="n">
        <v>1</v>
      </c>
      <c r="V167" s="24">
        <f>J167*100-K167</f>
        <v/>
      </c>
      <c r="W167" s="24">
        <f>L167</f>
        <v/>
      </c>
      <c r="X167" s="25">
        <f>MIN(M167,36)</f>
        <v/>
      </c>
      <c r="Y167" s="25">
        <f>MIN(MAX(M167-36,0),84)</f>
        <v/>
      </c>
      <c r="Z167" s="25">
        <f>MAX(M167-120,0)</f>
        <v/>
      </c>
      <c r="AA167" s="25">
        <f>IF(OR(O167="",NOT(ISNUMBER(O167))),360,MAX(0,MIN(480,(INT(O167/100)-INT(VALUE(H167)/100))*12+MOD(O167,100)-MOD(VALUE(H167),100))))</f>
        <v/>
      </c>
      <c r="AB167">
        <f>IF(AND(AA167&gt;0,AA167&lt;=24),1,0)</f>
        <v/>
      </c>
      <c r="AC167" s="25">
        <f>IF(OR(P167="",NOT(ISNUMBER(P167))),0,MAX(0,MIN(24,(INT(VALUE(H167)/100)-INT(P167/100))*12+MOD(VALUE(H167),100)-MOD(P167,100))))</f>
        <v/>
      </c>
      <c r="AD167" s="23">
        <f>LN(1+I167)</f>
        <v/>
      </c>
      <c r="AE167">
        <f>IF(I167&lt;2000000,1,0)</f>
        <v/>
      </c>
      <c r="AF167">
        <f>IF(I167&gt;50000000,1,0)</f>
        <v/>
      </c>
      <c r="AG167" s="23">
        <f>IF(ISNUMBER(M167),N167/MAX(M167,1),0)</f>
        <v/>
      </c>
      <c r="AH167">
        <f>IF(G167&gt;=2021,1,0)</f>
        <v/>
      </c>
      <c r="AI167">
        <f>S167</f>
        <v/>
      </c>
      <c r="AJ167">
        <f>T167</f>
        <v/>
      </c>
      <c r="AK167">
        <f>R167</f>
        <v/>
      </c>
      <c r="AL167">
        <f>U167</f>
        <v/>
      </c>
      <c r="AM167">
        <f>IF(ISNUMBER(SEARCH("CAPITAL FUNDING",D167)),1,0)</f>
        <v/>
      </c>
      <c r="AN167">
        <f>IF(ISNUMBER(SEARCH("PNC",D167)),1,0)</f>
        <v/>
      </c>
      <c r="AO167">
        <f>IF(ISNUMBER(SEARCH("WELLS FARGO",D167)),1,0)</f>
        <v/>
      </c>
      <c r="AP167">
        <f>IF(ISNUMBER(SEARCH("DWIGHT",D167)),1,0)</f>
        <v/>
      </c>
      <c r="AQ167">
        <f>IF(ISNUMBER(SEARCH("GREYSTONE",D167)),1,0)</f>
        <v/>
      </c>
      <c r="AR167">
        <f>IF(OR(Q167="3896",Q167="3557"),1,0)</f>
        <v/>
      </c>
      <c r="AS167" s="24">
        <f>V167*W167</f>
        <v/>
      </c>
      <c r="AT167" s="26">
        <f>V$4*(V167-V$3)</f>
        <v/>
      </c>
      <c r="AU167" s="26">
        <f>W$4*(W167-W$3)</f>
        <v/>
      </c>
      <c r="AV167" s="26">
        <f>X$4*(X167-X$3)</f>
        <v/>
      </c>
      <c r="AW167" s="26">
        <f>Y$4*(Y167-Y$3)</f>
        <v/>
      </c>
      <c r="AX167" s="26">
        <f>Z$4*(Z167-Z$3)</f>
        <v/>
      </c>
      <c r="AY167" s="26">
        <f>AA$4*(AA167-AA$3)</f>
        <v/>
      </c>
      <c r="AZ167" s="26">
        <f>AB$4*(AB167-AB$3)</f>
        <v/>
      </c>
      <c r="BA167" s="26">
        <f>AC$4*(AC167-AC$3)</f>
        <v/>
      </c>
      <c r="BB167" s="26">
        <f>AD$4*(AD167-AD$3)</f>
        <v/>
      </c>
      <c r="BC167" s="26">
        <f>AE$4*(AE167-AE$3)</f>
        <v/>
      </c>
      <c r="BD167" s="26">
        <f>AF$4*(AF167-AF$3)</f>
        <v/>
      </c>
      <c r="BE167" s="26">
        <f>AG$4*(AG167-AG$3)</f>
        <v/>
      </c>
      <c r="BF167" s="26">
        <f>AH$4*(AH167-AH$3)</f>
        <v/>
      </c>
      <c r="BG167" s="26">
        <f>AI$4*(AI167-AI$3)</f>
        <v/>
      </c>
      <c r="BH167" s="26">
        <f>AJ$4*(AJ167-AJ$3)</f>
        <v/>
      </c>
      <c r="BI167" s="26">
        <f>AK$4*(AK167-AK$3)</f>
        <v/>
      </c>
      <c r="BJ167" s="26">
        <f>AL$4*(AL167-AL$3)</f>
        <v/>
      </c>
      <c r="BK167" s="26">
        <f>AM$4*(AM167-AM$3)</f>
        <v/>
      </c>
      <c r="BL167" s="26">
        <f>AN$4*(AN167-AN$3)</f>
        <v/>
      </c>
      <c r="BM167" s="26">
        <f>AO$4*(AO167-AO$3)</f>
        <v/>
      </c>
      <c r="BN167" s="26">
        <f>AP$4*(AP167-AP$3)</f>
        <v/>
      </c>
      <c r="BO167" s="26">
        <f>AQ$4*(AQ167-AQ$3)</f>
        <v/>
      </c>
      <c r="BP167" s="26">
        <f>AR$4*(AR167-AR$3)</f>
        <v/>
      </c>
      <c r="BQ167" s="26">
        <f>AS$4*(AS167-AS$3)</f>
        <v/>
      </c>
      <c r="BR167" s="27">
        <f>SUM(AT167:BQ167)</f>
        <v/>
      </c>
      <c r="BS167" s="27">
        <f>INTERCEPT_SCALED+BR167</f>
        <v/>
      </c>
      <c r="BT167" s="28">
        <f>1/(1+EXP(-BS167))</f>
        <v/>
      </c>
      <c r="BU167" s="13">
        <f>1-(1-BT167)^12</f>
        <v/>
      </c>
      <c r="BV167" s="13">
        <f>IFERROR(AT167/BR167*(BU167-BASELINE_CPR),0)</f>
        <v/>
      </c>
      <c r="BW167" s="13">
        <f>IFERROR(AU167/BR167*(BU167-BASELINE_CPR),0)</f>
        <v/>
      </c>
      <c r="BX167" s="13">
        <f>IFERROR(AV167/BR167*(BU167-BASELINE_CPR),0)</f>
        <v/>
      </c>
      <c r="BY167" s="13">
        <f>IFERROR(AW167/BR167*(BU167-BASELINE_CPR),0)</f>
        <v/>
      </c>
      <c r="BZ167" s="13">
        <f>IFERROR(AX167/BR167*(BU167-BASELINE_CPR),0)</f>
        <v/>
      </c>
      <c r="CA167" s="13">
        <f>IFERROR(AY167/BR167*(BU167-BASELINE_CPR),0)</f>
        <v/>
      </c>
      <c r="CB167" s="13">
        <f>IFERROR(AZ167/BR167*(BU167-BASELINE_CPR),0)</f>
        <v/>
      </c>
      <c r="CC167" s="13">
        <f>IFERROR(BA167/BR167*(BU167-BASELINE_CPR),0)</f>
        <v/>
      </c>
      <c r="CD167" s="13">
        <f>IFERROR(BB167/BR167*(BU167-BASELINE_CPR),0)</f>
        <v/>
      </c>
      <c r="CE167" s="13">
        <f>IFERROR(BC167/BR167*(BU167-BASELINE_CPR),0)</f>
        <v/>
      </c>
      <c r="CF167" s="13">
        <f>IFERROR(BD167/BR167*(BU167-BASELINE_CPR),0)</f>
        <v/>
      </c>
      <c r="CG167" s="13">
        <f>IFERROR(BE167/BR167*(BU167-BASELINE_CPR),0)</f>
        <v/>
      </c>
      <c r="CH167" s="13">
        <f>IFERROR(BF167/BR167*(BU167-BASELINE_CPR),0)</f>
        <v/>
      </c>
      <c r="CI167" s="13">
        <f>IFERROR(BG167/BR167*(BU167-BASELINE_CPR),0)</f>
        <v/>
      </c>
      <c r="CJ167" s="13">
        <f>IFERROR(BH167/BR167*(BU167-BASELINE_CPR),0)</f>
        <v/>
      </c>
      <c r="CK167" s="13">
        <f>IFERROR(BI167/BR167*(BU167-BASELINE_CPR),0)</f>
        <v/>
      </c>
      <c r="CL167" s="13">
        <f>IFERROR(BJ167/BR167*(BU167-BASELINE_CPR),0)</f>
        <v/>
      </c>
      <c r="CM167" s="13">
        <f>IFERROR(BK167/BR167*(BU167-BASELINE_CPR),0)</f>
        <v/>
      </c>
      <c r="CN167" s="13">
        <f>IFERROR(BL167/BR167*(BU167-BASELINE_CPR),0)</f>
        <v/>
      </c>
      <c r="CO167" s="13">
        <f>IFERROR(BM167/BR167*(BU167-BASELINE_CPR),0)</f>
        <v/>
      </c>
      <c r="CP167" s="13">
        <f>IFERROR(BN167/BR167*(BU167-BASELINE_CPR),0)</f>
        <v/>
      </c>
      <c r="CQ167" s="13">
        <f>IFERROR(BO167/BR167*(BU167-BASELINE_CPR),0)</f>
        <v/>
      </c>
      <c r="CR167" s="13">
        <f>IFERROR(BP167/BR167*(BU167-BASELINE_CPR),0)</f>
        <v/>
      </c>
      <c r="CS167" s="13">
        <f>IFERROR(BQ167/BR167*(BU167-BASELINE_CPR),0)</f>
        <v/>
      </c>
      <c r="CT167" s="29">
        <f>BASELINE_CPR+SUM(BV167:CS167)-BU167</f>
        <v/>
      </c>
    </row>
    <row r="168">
      <c r="A168" s="2" t="inlineStr">
        <is>
          <t>3617VPHC5_000000005311510</t>
        </is>
      </c>
      <c r="B168" t="inlineStr">
        <is>
          <t>WELLS_POST21</t>
        </is>
      </c>
      <c r="C168" s="2" t="inlineStr">
        <is>
          <t>3617VPHC5</t>
        </is>
      </c>
      <c r="D168" t="inlineStr">
        <is>
          <t>WELLS FARGO BANK, N.A.</t>
        </is>
      </c>
      <c r="E168" t="inlineStr">
        <is>
          <t>223a7</t>
        </is>
      </c>
      <c r="F168" t="inlineStr">
        <is>
          <t>RP</t>
        </is>
      </c>
      <c r="G168" t="n">
        <v>2021</v>
      </c>
      <c r="H168" t="inlineStr">
        <is>
          <t>202602</t>
        </is>
      </c>
      <c r="I168" s="22" t="n">
        <v>25079366.37</v>
      </c>
      <c r="J168" s="23" t="n">
        <v>2.6</v>
      </c>
      <c r="K168" s="24" t="n">
        <v>447</v>
      </c>
      <c r="L168" s="24" t="n">
        <v>6</v>
      </c>
      <c r="M168" t="n">
        <v>56</v>
      </c>
      <c r="N168" t="n">
        <v>0</v>
      </c>
      <c r="O168" t="n">
        <v>205607</v>
      </c>
      <c r="P168" t="inlineStr"/>
      <c r="Q168" t="inlineStr">
        <is>
          <t>3998</t>
        </is>
      </c>
      <c r="R168" t="n">
        <v>0</v>
      </c>
      <c r="S168" t="n">
        <v>1</v>
      </c>
      <c r="T168" t="n">
        <v>0</v>
      </c>
      <c r="U168" t="n">
        <v>0</v>
      </c>
      <c r="V168" s="24">
        <f>J168*100-K168</f>
        <v/>
      </c>
      <c r="W168" s="24">
        <f>L168</f>
        <v/>
      </c>
      <c r="X168" s="25">
        <f>MIN(M168,36)</f>
        <v/>
      </c>
      <c r="Y168" s="25">
        <f>MIN(MAX(M168-36,0),84)</f>
        <v/>
      </c>
      <c r="Z168" s="25">
        <f>MAX(M168-120,0)</f>
        <v/>
      </c>
      <c r="AA168" s="25">
        <f>IF(OR(O168="",NOT(ISNUMBER(O168))),360,MAX(0,MIN(480,(INT(O168/100)-INT(VALUE(H168)/100))*12+MOD(O168,100)-MOD(VALUE(H168),100))))</f>
        <v/>
      </c>
      <c r="AB168">
        <f>IF(AND(AA168&gt;0,AA168&lt;=24),1,0)</f>
        <v/>
      </c>
      <c r="AC168" s="25">
        <f>IF(OR(P168="",NOT(ISNUMBER(P168))),0,MAX(0,MIN(24,(INT(VALUE(H168)/100)-INT(P168/100))*12+MOD(VALUE(H168),100)-MOD(P168,100))))</f>
        <v/>
      </c>
      <c r="AD168" s="23">
        <f>LN(1+I168)</f>
        <v/>
      </c>
      <c r="AE168">
        <f>IF(I168&lt;2000000,1,0)</f>
        <v/>
      </c>
      <c r="AF168">
        <f>IF(I168&gt;50000000,1,0)</f>
        <v/>
      </c>
      <c r="AG168" s="23">
        <f>IF(ISNUMBER(M168),N168/MAX(M168,1),0)</f>
        <v/>
      </c>
      <c r="AH168">
        <f>IF(G168&gt;=2021,1,0)</f>
        <v/>
      </c>
      <c r="AI168">
        <f>S168</f>
        <v/>
      </c>
      <c r="AJ168">
        <f>T168</f>
        <v/>
      </c>
      <c r="AK168">
        <f>R168</f>
        <v/>
      </c>
      <c r="AL168">
        <f>U168</f>
        <v/>
      </c>
      <c r="AM168">
        <f>IF(ISNUMBER(SEARCH("CAPITAL FUNDING",D168)),1,0)</f>
        <v/>
      </c>
      <c r="AN168">
        <f>IF(ISNUMBER(SEARCH("PNC",D168)),1,0)</f>
        <v/>
      </c>
      <c r="AO168">
        <f>IF(ISNUMBER(SEARCH("WELLS FARGO",D168)),1,0)</f>
        <v/>
      </c>
      <c r="AP168">
        <f>IF(ISNUMBER(SEARCH("DWIGHT",D168)),1,0)</f>
        <v/>
      </c>
      <c r="AQ168">
        <f>IF(ISNUMBER(SEARCH("GREYSTONE",D168)),1,0)</f>
        <v/>
      </c>
      <c r="AR168">
        <f>IF(OR(Q168="3896",Q168="3557"),1,0)</f>
        <v/>
      </c>
      <c r="AS168" s="24">
        <f>V168*W168</f>
        <v/>
      </c>
      <c r="AT168" s="26">
        <f>V$4*(V168-V$3)</f>
        <v/>
      </c>
      <c r="AU168" s="26">
        <f>W$4*(W168-W$3)</f>
        <v/>
      </c>
      <c r="AV168" s="26">
        <f>X$4*(X168-X$3)</f>
        <v/>
      </c>
      <c r="AW168" s="26">
        <f>Y$4*(Y168-Y$3)</f>
        <v/>
      </c>
      <c r="AX168" s="26">
        <f>Z$4*(Z168-Z$3)</f>
        <v/>
      </c>
      <c r="AY168" s="26">
        <f>AA$4*(AA168-AA$3)</f>
        <v/>
      </c>
      <c r="AZ168" s="26">
        <f>AB$4*(AB168-AB$3)</f>
        <v/>
      </c>
      <c r="BA168" s="26">
        <f>AC$4*(AC168-AC$3)</f>
        <v/>
      </c>
      <c r="BB168" s="26">
        <f>AD$4*(AD168-AD$3)</f>
        <v/>
      </c>
      <c r="BC168" s="26">
        <f>AE$4*(AE168-AE$3)</f>
        <v/>
      </c>
      <c r="BD168" s="26">
        <f>AF$4*(AF168-AF$3)</f>
        <v/>
      </c>
      <c r="BE168" s="26">
        <f>AG$4*(AG168-AG$3)</f>
        <v/>
      </c>
      <c r="BF168" s="26">
        <f>AH$4*(AH168-AH$3)</f>
        <v/>
      </c>
      <c r="BG168" s="26">
        <f>AI$4*(AI168-AI$3)</f>
        <v/>
      </c>
      <c r="BH168" s="26">
        <f>AJ$4*(AJ168-AJ$3)</f>
        <v/>
      </c>
      <c r="BI168" s="26">
        <f>AK$4*(AK168-AK$3)</f>
        <v/>
      </c>
      <c r="BJ168" s="26">
        <f>AL$4*(AL168-AL$3)</f>
        <v/>
      </c>
      <c r="BK168" s="26">
        <f>AM$4*(AM168-AM$3)</f>
        <v/>
      </c>
      <c r="BL168" s="26">
        <f>AN$4*(AN168-AN$3)</f>
        <v/>
      </c>
      <c r="BM168" s="26">
        <f>AO$4*(AO168-AO$3)</f>
        <v/>
      </c>
      <c r="BN168" s="26">
        <f>AP$4*(AP168-AP$3)</f>
        <v/>
      </c>
      <c r="BO168" s="26">
        <f>AQ$4*(AQ168-AQ$3)</f>
        <v/>
      </c>
      <c r="BP168" s="26">
        <f>AR$4*(AR168-AR$3)</f>
        <v/>
      </c>
      <c r="BQ168" s="26">
        <f>AS$4*(AS168-AS$3)</f>
        <v/>
      </c>
      <c r="BR168" s="27">
        <f>SUM(AT168:BQ168)</f>
        <v/>
      </c>
      <c r="BS168" s="27">
        <f>INTERCEPT_SCALED+BR168</f>
        <v/>
      </c>
      <c r="BT168" s="28">
        <f>1/(1+EXP(-BS168))</f>
        <v/>
      </c>
      <c r="BU168" s="13">
        <f>1-(1-BT168)^12</f>
        <v/>
      </c>
      <c r="BV168" s="13">
        <f>IFERROR(AT168/BR168*(BU168-BASELINE_CPR),0)</f>
        <v/>
      </c>
      <c r="BW168" s="13">
        <f>IFERROR(AU168/BR168*(BU168-BASELINE_CPR),0)</f>
        <v/>
      </c>
      <c r="BX168" s="13">
        <f>IFERROR(AV168/BR168*(BU168-BASELINE_CPR),0)</f>
        <v/>
      </c>
      <c r="BY168" s="13">
        <f>IFERROR(AW168/BR168*(BU168-BASELINE_CPR),0)</f>
        <v/>
      </c>
      <c r="BZ168" s="13">
        <f>IFERROR(AX168/BR168*(BU168-BASELINE_CPR),0)</f>
        <v/>
      </c>
      <c r="CA168" s="13">
        <f>IFERROR(AY168/BR168*(BU168-BASELINE_CPR),0)</f>
        <v/>
      </c>
      <c r="CB168" s="13">
        <f>IFERROR(AZ168/BR168*(BU168-BASELINE_CPR),0)</f>
        <v/>
      </c>
      <c r="CC168" s="13">
        <f>IFERROR(BA168/BR168*(BU168-BASELINE_CPR),0)</f>
        <v/>
      </c>
      <c r="CD168" s="13">
        <f>IFERROR(BB168/BR168*(BU168-BASELINE_CPR),0)</f>
        <v/>
      </c>
      <c r="CE168" s="13">
        <f>IFERROR(BC168/BR168*(BU168-BASELINE_CPR),0)</f>
        <v/>
      </c>
      <c r="CF168" s="13">
        <f>IFERROR(BD168/BR168*(BU168-BASELINE_CPR),0)</f>
        <v/>
      </c>
      <c r="CG168" s="13">
        <f>IFERROR(BE168/BR168*(BU168-BASELINE_CPR),0)</f>
        <v/>
      </c>
      <c r="CH168" s="13">
        <f>IFERROR(BF168/BR168*(BU168-BASELINE_CPR),0)</f>
        <v/>
      </c>
      <c r="CI168" s="13">
        <f>IFERROR(BG168/BR168*(BU168-BASELINE_CPR),0)</f>
        <v/>
      </c>
      <c r="CJ168" s="13">
        <f>IFERROR(BH168/BR168*(BU168-BASELINE_CPR),0)</f>
        <v/>
      </c>
      <c r="CK168" s="13">
        <f>IFERROR(BI168/BR168*(BU168-BASELINE_CPR),0)</f>
        <v/>
      </c>
      <c r="CL168" s="13">
        <f>IFERROR(BJ168/BR168*(BU168-BASELINE_CPR),0)</f>
        <v/>
      </c>
      <c r="CM168" s="13">
        <f>IFERROR(BK168/BR168*(BU168-BASELINE_CPR),0)</f>
        <v/>
      </c>
      <c r="CN168" s="13">
        <f>IFERROR(BL168/BR168*(BU168-BASELINE_CPR),0)</f>
        <v/>
      </c>
      <c r="CO168" s="13">
        <f>IFERROR(BM168/BR168*(BU168-BASELINE_CPR),0)</f>
        <v/>
      </c>
      <c r="CP168" s="13">
        <f>IFERROR(BN168/BR168*(BU168-BASELINE_CPR),0)</f>
        <v/>
      </c>
      <c r="CQ168" s="13">
        <f>IFERROR(BO168/BR168*(BU168-BASELINE_CPR),0)</f>
        <v/>
      </c>
      <c r="CR168" s="13">
        <f>IFERROR(BP168/BR168*(BU168-BASELINE_CPR),0)</f>
        <v/>
      </c>
      <c r="CS168" s="13">
        <f>IFERROR(BQ168/BR168*(BU168-BASELINE_CPR),0)</f>
        <v/>
      </c>
      <c r="CT168" s="29">
        <f>BASELINE_CPR+SUM(BV168:CS168)-BU168</f>
        <v/>
      </c>
    </row>
    <row r="169">
      <c r="A169" s="2" t="inlineStr">
        <is>
          <t>36294Y4T8_000000006535650</t>
        </is>
      </c>
      <c r="B169" t="inlineStr">
        <is>
          <t>WELLS_PRE21</t>
        </is>
      </c>
      <c r="C169" s="2" t="inlineStr">
        <is>
          <t>36294Y4T8</t>
        </is>
      </c>
      <c r="D169" t="inlineStr">
        <is>
          <t>WELLS FARGO BANK, N.A.</t>
        </is>
      </c>
      <c r="E169" t="inlineStr">
        <is>
          <t>221d4</t>
        </is>
      </c>
      <c r="F169" t="inlineStr">
        <is>
          <t>RP</t>
        </is>
      </c>
      <c r="G169" t="n">
        <v>2007</v>
      </c>
      <c r="H169" t="inlineStr">
        <is>
          <t>202602</t>
        </is>
      </c>
      <c r="I169" s="22" t="n">
        <v>822660.01</v>
      </c>
      <c r="J169" s="23" t="n">
        <v>6.5</v>
      </c>
      <c r="K169" s="24" t="n">
        <v>447</v>
      </c>
      <c r="L169" s="24" t="n">
        <v>0</v>
      </c>
      <c r="M169" t="n">
        <v>221</v>
      </c>
      <c r="N169" t="n">
        <v>87</v>
      </c>
      <c r="O169" t="n">
        <v>203710</v>
      </c>
      <c r="P169" t="n">
        <v>200811</v>
      </c>
      <c r="Q169" t="inlineStr">
        <is>
          <t>3998</t>
        </is>
      </c>
      <c r="R169" t="n">
        <v>0</v>
      </c>
      <c r="S169" t="n">
        <v>1</v>
      </c>
      <c r="T169" t="n">
        <v>0</v>
      </c>
      <c r="U169" t="n">
        <v>0</v>
      </c>
      <c r="V169" s="24">
        <f>J169*100-K169</f>
        <v/>
      </c>
      <c r="W169" s="24">
        <f>L169</f>
        <v/>
      </c>
      <c r="X169" s="25">
        <f>MIN(M169,36)</f>
        <v/>
      </c>
      <c r="Y169" s="25">
        <f>MIN(MAX(M169-36,0),84)</f>
        <v/>
      </c>
      <c r="Z169" s="25">
        <f>MAX(M169-120,0)</f>
        <v/>
      </c>
      <c r="AA169" s="25">
        <f>IF(OR(O169="",NOT(ISNUMBER(O169))),360,MAX(0,MIN(480,(INT(O169/100)-INT(VALUE(H169)/100))*12+MOD(O169,100)-MOD(VALUE(H169),100))))</f>
        <v/>
      </c>
      <c r="AB169">
        <f>IF(AND(AA169&gt;0,AA169&lt;=24),1,0)</f>
        <v/>
      </c>
      <c r="AC169" s="25">
        <f>IF(OR(P169="",NOT(ISNUMBER(P169))),0,MAX(0,MIN(24,(INT(VALUE(H169)/100)-INT(P169/100))*12+MOD(VALUE(H169),100)-MOD(P169,100))))</f>
        <v/>
      </c>
      <c r="AD169" s="23">
        <f>LN(1+I169)</f>
        <v/>
      </c>
      <c r="AE169">
        <f>IF(I169&lt;2000000,1,0)</f>
        <v/>
      </c>
      <c r="AF169">
        <f>IF(I169&gt;50000000,1,0)</f>
        <v/>
      </c>
      <c r="AG169" s="23">
        <f>IF(ISNUMBER(M169),N169/MAX(M169,1),0)</f>
        <v/>
      </c>
      <c r="AH169">
        <f>IF(G169&gt;=2021,1,0)</f>
        <v/>
      </c>
      <c r="AI169">
        <f>S169</f>
        <v/>
      </c>
      <c r="AJ169">
        <f>T169</f>
        <v/>
      </c>
      <c r="AK169">
        <f>R169</f>
        <v/>
      </c>
      <c r="AL169">
        <f>U169</f>
        <v/>
      </c>
      <c r="AM169">
        <f>IF(ISNUMBER(SEARCH("CAPITAL FUNDING",D169)),1,0)</f>
        <v/>
      </c>
      <c r="AN169">
        <f>IF(ISNUMBER(SEARCH("PNC",D169)),1,0)</f>
        <v/>
      </c>
      <c r="AO169">
        <f>IF(ISNUMBER(SEARCH("WELLS FARGO",D169)),1,0)</f>
        <v/>
      </c>
      <c r="AP169">
        <f>IF(ISNUMBER(SEARCH("DWIGHT",D169)),1,0)</f>
        <v/>
      </c>
      <c r="AQ169">
        <f>IF(ISNUMBER(SEARCH("GREYSTONE",D169)),1,0)</f>
        <v/>
      </c>
      <c r="AR169">
        <f>IF(OR(Q169="3896",Q169="3557"),1,0)</f>
        <v/>
      </c>
      <c r="AS169" s="24">
        <f>V169*W169</f>
        <v/>
      </c>
      <c r="AT169" s="26">
        <f>V$4*(V169-V$3)</f>
        <v/>
      </c>
      <c r="AU169" s="26">
        <f>W$4*(W169-W$3)</f>
        <v/>
      </c>
      <c r="AV169" s="26">
        <f>X$4*(X169-X$3)</f>
        <v/>
      </c>
      <c r="AW169" s="26">
        <f>Y$4*(Y169-Y$3)</f>
        <v/>
      </c>
      <c r="AX169" s="26">
        <f>Z$4*(Z169-Z$3)</f>
        <v/>
      </c>
      <c r="AY169" s="26">
        <f>AA$4*(AA169-AA$3)</f>
        <v/>
      </c>
      <c r="AZ169" s="26">
        <f>AB$4*(AB169-AB$3)</f>
        <v/>
      </c>
      <c r="BA169" s="26">
        <f>AC$4*(AC169-AC$3)</f>
        <v/>
      </c>
      <c r="BB169" s="26">
        <f>AD$4*(AD169-AD$3)</f>
        <v/>
      </c>
      <c r="BC169" s="26">
        <f>AE$4*(AE169-AE$3)</f>
        <v/>
      </c>
      <c r="BD169" s="26">
        <f>AF$4*(AF169-AF$3)</f>
        <v/>
      </c>
      <c r="BE169" s="26">
        <f>AG$4*(AG169-AG$3)</f>
        <v/>
      </c>
      <c r="BF169" s="26">
        <f>AH$4*(AH169-AH$3)</f>
        <v/>
      </c>
      <c r="BG169" s="26">
        <f>AI$4*(AI169-AI$3)</f>
        <v/>
      </c>
      <c r="BH169" s="26">
        <f>AJ$4*(AJ169-AJ$3)</f>
        <v/>
      </c>
      <c r="BI169" s="26">
        <f>AK$4*(AK169-AK$3)</f>
        <v/>
      </c>
      <c r="BJ169" s="26">
        <f>AL$4*(AL169-AL$3)</f>
        <v/>
      </c>
      <c r="BK169" s="26">
        <f>AM$4*(AM169-AM$3)</f>
        <v/>
      </c>
      <c r="BL169" s="26">
        <f>AN$4*(AN169-AN$3)</f>
        <v/>
      </c>
      <c r="BM169" s="26">
        <f>AO$4*(AO169-AO$3)</f>
        <v/>
      </c>
      <c r="BN169" s="26">
        <f>AP$4*(AP169-AP$3)</f>
        <v/>
      </c>
      <c r="BO169" s="26">
        <f>AQ$4*(AQ169-AQ$3)</f>
        <v/>
      </c>
      <c r="BP169" s="26">
        <f>AR$4*(AR169-AR$3)</f>
        <v/>
      </c>
      <c r="BQ169" s="26">
        <f>AS$4*(AS169-AS$3)</f>
        <v/>
      </c>
      <c r="BR169" s="27">
        <f>SUM(AT169:BQ169)</f>
        <v/>
      </c>
      <c r="BS169" s="27">
        <f>INTERCEPT_SCALED+BR169</f>
        <v/>
      </c>
      <c r="BT169" s="28">
        <f>1/(1+EXP(-BS169))</f>
        <v/>
      </c>
      <c r="BU169" s="13">
        <f>1-(1-BT169)^12</f>
        <v/>
      </c>
      <c r="BV169" s="13">
        <f>IFERROR(AT169/BR169*(BU169-BASELINE_CPR),0)</f>
        <v/>
      </c>
      <c r="BW169" s="13">
        <f>IFERROR(AU169/BR169*(BU169-BASELINE_CPR),0)</f>
        <v/>
      </c>
      <c r="BX169" s="13">
        <f>IFERROR(AV169/BR169*(BU169-BASELINE_CPR),0)</f>
        <v/>
      </c>
      <c r="BY169" s="13">
        <f>IFERROR(AW169/BR169*(BU169-BASELINE_CPR),0)</f>
        <v/>
      </c>
      <c r="BZ169" s="13">
        <f>IFERROR(AX169/BR169*(BU169-BASELINE_CPR),0)</f>
        <v/>
      </c>
      <c r="CA169" s="13">
        <f>IFERROR(AY169/BR169*(BU169-BASELINE_CPR),0)</f>
        <v/>
      </c>
      <c r="CB169" s="13">
        <f>IFERROR(AZ169/BR169*(BU169-BASELINE_CPR),0)</f>
        <v/>
      </c>
      <c r="CC169" s="13">
        <f>IFERROR(BA169/BR169*(BU169-BASELINE_CPR),0)</f>
        <v/>
      </c>
      <c r="CD169" s="13">
        <f>IFERROR(BB169/BR169*(BU169-BASELINE_CPR),0)</f>
        <v/>
      </c>
      <c r="CE169" s="13">
        <f>IFERROR(BC169/BR169*(BU169-BASELINE_CPR),0)</f>
        <v/>
      </c>
      <c r="CF169" s="13">
        <f>IFERROR(BD169/BR169*(BU169-BASELINE_CPR),0)</f>
        <v/>
      </c>
      <c r="CG169" s="13">
        <f>IFERROR(BE169/BR169*(BU169-BASELINE_CPR),0)</f>
        <v/>
      </c>
      <c r="CH169" s="13">
        <f>IFERROR(BF169/BR169*(BU169-BASELINE_CPR),0)</f>
        <v/>
      </c>
      <c r="CI169" s="13">
        <f>IFERROR(BG169/BR169*(BU169-BASELINE_CPR),0)</f>
        <v/>
      </c>
      <c r="CJ169" s="13">
        <f>IFERROR(BH169/BR169*(BU169-BASELINE_CPR),0)</f>
        <v/>
      </c>
      <c r="CK169" s="13">
        <f>IFERROR(BI169/BR169*(BU169-BASELINE_CPR),0)</f>
        <v/>
      </c>
      <c r="CL169" s="13">
        <f>IFERROR(BJ169/BR169*(BU169-BASELINE_CPR),0)</f>
        <v/>
      </c>
      <c r="CM169" s="13">
        <f>IFERROR(BK169/BR169*(BU169-BASELINE_CPR),0)</f>
        <v/>
      </c>
      <c r="CN169" s="13">
        <f>IFERROR(BL169/BR169*(BU169-BASELINE_CPR),0)</f>
        <v/>
      </c>
      <c r="CO169" s="13">
        <f>IFERROR(BM169/BR169*(BU169-BASELINE_CPR),0)</f>
        <v/>
      </c>
      <c r="CP169" s="13">
        <f>IFERROR(BN169/BR169*(BU169-BASELINE_CPR),0)</f>
        <v/>
      </c>
      <c r="CQ169" s="13">
        <f>IFERROR(BO169/BR169*(BU169-BASELINE_CPR),0)</f>
        <v/>
      </c>
      <c r="CR169" s="13">
        <f>IFERROR(BP169/BR169*(BU169-BASELINE_CPR),0)</f>
        <v/>
      </c>
      <c r="CS169" s="13">
        <f>IFERROR(BQ169/BR169*(BU169-BASELINE_CPR),0)</f>
        <v/>
      </c>
      <c r="CT169" s="29">
        <f>BASELINE_CPR+SUM(BV169:CS169)-BU169</f>
        <v/>
      </c>
    </row>
    <row r="170">
      <c r="A170" s="2" t="inlineStr">
        <is>
          <t>36181YXA3_000000010135738</t>
        </is>
      </c>
      <c r="B170" t="inlineStr">
        <is>
          <t>WELLS_PRE21</t>
        </is>
      </c>
      <c r="C170" s="2" t="inlineStr">
        <is>
          <t>36181YXA3</t>
        </is>
      </c>
      <c r="D170" t="inlineStr">
        <is>
          <t>WELLS FARGO BANK, N.A.</t>
        </is>
      </c>
      <c r="E170" t="inlineStr">
        <is>
          <t>221d4</t>
        </is>
      </c>
      <c r="F170" t="inlineStr">
        <is>
          <t>NC</t>
        </is>
      </c>
      <c r="G170" t="n">
        <v>2014</v>
      </c>
      <c r="H170" t="inlineStr">
        <is>
          <t>202602</t>
        </is>
      </c>
      <c r="I170" s="22" t="n">
        <v>8511182.23</v>
      </c>
      <c r="J170" s="23" t="n">
        <v>3.72</v>
      </c>
      <c r="K170" s="24" t="n">
        <v>447</v>
      </c>
      <c r="L170" s="24" t="n">
        <v>0</v>
      </c>
      <c r="M170" t="n">
        <v>138</v>
      </c>
      <c r="N170" t="n">
        <v>32</v>
      </c>
      <c r="O170" t="n">
        <v>205601</v>
      </c>
      <c r="P170" t="n">
        <v>201702</v>
      </c>
      <c r="Q170" t="inlineStr">
        <is>
          <t>3998</t>
        </is>
      </c>
      <c r="R170" t="n">
        <v>0</v>
      </c>
      <c r="S170" t="n">
        <v>0</v>
      </c>
      <c r="T170" t="n">
        <v>0</v>
      </c>
      <c r="U170" t="n">
        <v>1</v>
      </c>
      <c r="V170" s="24">
        <f>J170*100-K170</f>
        <v/>
      </c>
      <c r="W170" s="24">
        <f>L170</f>
        <v/>
      </c>
      <c r="X170" s="25">
        <f>MIN(M170,36)</f>
        <v/>
      </c>
      <c r="Y170" s="25">
        <f>MIN(MAX(M170-36,0),84)</f>
        <v/>
      </c>
      <c r="Z170" s="25">
        <f>MAX(M170-120,0)</f>
        <v/>
      </c>
      <c r="AA170" s="25">
        <f>IF(OR(O170="",NOT(ISNUMBER(O170))),360,MAX(0,MIN(480,(INT(O170/100)-INT(VALUE(H170)/100))*12+MOD(O170,100)-MOD(VALUE(H170),100))))</f>
        <v/>
      </c>
      <c r="AB170">
        <f>IF(AND(AA170&gt;0,AA170&lt;=24),1,0)</f>
        <v/>
      </c>
      <c r="AC170" s="25">
        <f>IF(OR(P170="",NOT(ISNUMBER(P170))),0,MAX(0,MIN(24,(INT(VALUE(H170)/100)-INT(P170/100))*12+MOD(VALUE(H170),100)-MOD(P170,100))))</f>
        <v/>
      </c>
      <c r="AD170" s="23">
        <f>LN(1+I170)</f>
        <v/>
      </c>
      <c r="AE170">
        <f>IF(I170&lt;2000000,1,0)</f>
        <v/>
      </c>
      <c r="AF170">
        <f>IF(I170&gt;50000000,1,0)</f>
        <v/>
      </c>
      <c r="AG170" s="23">
        <f>IF(ISNUMBER(M170),N170/MAX(M170,1),0)</f>
        <v/>
      </c>
      <c r="AH170">
        <f>IF(G170&gt;=2021,1,0)</f>
        <v/>
      </c>
      <c r="AI170">
        <f>S170</f>
        <v/>
      </c>
      <c r="AJ170">
        <f>T170</f>
        <v/>
      </c>
      <c r="AK170">
        <f>R170</f>
        <v/>
      </c>
      <c r="AL170">
        <f>U170</f>
        <v/>
      </c>
      <c r="AM170">
        <f>IF(ISNUMBER(SEARCH("CAPITAL FUNDING",D170)),1,0)</f>
        <v/>
      </c>
      <c r="AN170">
        <f>IF(ISNUMBER(SEARCH("PNC",D170)),1,0)</f>
        <v/>
      </c>
      <c r="AO170">
        <f>IF(ISNUMBER(SEARCH("WELLS FARGO",D170)),1,0)</f>
        <v/>
      </c>
      <c r="AP170">
        <f>IF(ISNUMBER(SEARCH("DWIGHT",D170)),1,0)</f>
        <v/>
      </c>
      <c r="AQ170">
        <f>IF(ISNUMBER(SEARCH("GREYSTONE",D170)),1,0)</f>
        <v/>
      </c>
      <c r="AR170">
        <f>IF(OR(Q170="3896",Q170="3557"),1,0)</f>
        <v/>
      </c>
      <c r="AS170" s="24">
        <f>V170*W170</f>
        <v/>
      </c>
      <c r="AT170" s="26">
        <f>V$4*(V170-V$3)</f>
        <v/>
      </c>
      <c r="AU170" s="26">
        <f>W$4*(W170-W$3)</f>
        <v/>
      </c>
      <c r="AV170" s="26">
        <f>X$4*(X170-X$3)</f>
        <v/>
      </c>
      <c r="AW170" s="26">
        <f>Y$4*(Y170-Y$3)</f>
        <v/>
      </c>
      <c r="AX170" s="26">
        <f>Z$4*(Z170-Z$3)</f>
        <v/>
      </c>
      <c r="AY170" s="26">
        <f>AA$4*(AA170-AA$3)</f>
        <v/>
      </c>
      <c r="AZ170" s="26">
        <f>AB$4*(AB170-AB$3)</f>
        <v/>
      </c>
      <c r="BA170" s="26">
        <f>AC$4*(AC170-AC$3)</f>
        <v/>
      </c>
      <c r="BB170" s="26">
        <f>AD$4*(AD170-AD$3)</f>
        <v/>
      </c>
      <c r="BC170" s="26">
        <f>AE$4*(AE170-AE$3)</f>
        <v/>
      </c>
      <c r="BD170" s="26">
        <f>AF$4*(AF170-AF$3)</f>
        <v/>
      </c>
      <c r="BE170" s="26">
        <f>AG$4*(AG170-AG$3)</f>
        <v/>
      </c>
      <c r="BF170" s="26">
        <f>AH$4*(AH170-AH$3)</f>
        <v/>
      </c>
      <c r="BG170" s="26">
        <f>AI$4*(AI170-AI$3)</f>
        <v/>
      </c>
      <c r="BH170" s="26">
        <f>AJ$4*(AJ170-AJ$3)</f>
        <v/>
      </c>
      <c r="BI170" s="26">
        <f>AK$4*(AK170-AK$3)</f>
        <v/>
      </c>
      <c r="BJ170" s="26">
        <f>AL$4*(AL170-AL$3)</f>
        <v/>
      </c>
      <c r="BK170" s="26">
        <f>AM$4*(AM170-AM$3)</f>
        <v/>
      </c>
      <c r="BL170" s="26">
        <f>AN$4*(AN170-AN$3)</f>
        <v/>
      </c>
      <c r="BM170" s="26">
        <f>AO$4*(AO170-AO$3)</f>
        <v/>
      </c>
      <c r="BN170" s="26">
        <f>AP$4*(AP170-AP$3)</f>
        <v/>
      </c>
      <c r="BO170" s="26">
        <f>AQ$4*(AQ170-AQ$3)</f>
        <v/>
      </c>
      <c r="BP170" s="26">
        <f>AR$4*(AR170-AR$3)</f>
        <v/>
      </c>
      <c r="BQ170" s="26">
        <f>AS$4*(AS170-AS$3)</f>
        <v/>
      </c>
      <c r="BR170" s="27">
        <f>SUM(AT170:BQ170)</f>
        <v/>
      </c>
      <c r="BS170" s="27">
        <f>INTERCEPT_SCALED+BR170</f>
        <v/>
      </c>
      <c r="BT170" s="28">
        <f>1/(1+EXP(-BS170))</f>
        <v/>
      </c>
      <c r="BU170" s="13">
        <f>1-(1-BT170)^12</f>
        <v/>
      </c>
      <c r="BV170" s="13">
        <f>IFERROR(AT170/BR170*(BU170-BASELINE_CPR),0)</f>
        <v/>
      </c>
      <c r="BW170" s="13">
        <f>IFERROR(AU170/BR170*(BU170-BASELINE_CPR),0)</f>
        <v/>
      </c>
      <c r="BX170" s="13">
        <f>IFERROR(AV170/BR170*(BU170-BASELINE_CPR),0)</f>
        <v/>
      </c>
      <c r="BY170" s="13">
        <f>IFERROR(AW170/BR170*(BU170-BASELINE_CPR),0)</f>
        <v/>
      </c>
      <c r="BZ170" s="13">
        <f>IFERROR(AX170/BR170*(BU170-BASELINE_CPR),0)</f>
        <v/>
      </c>
      <c r="CA170" s="13">
        <f>IFERROR(AY170/BR170*(BU170-BASELINE_CPR),0)</f>
        <v/>
      </c>
      <c r="CB170" s="13">
        <f>IFERROR(AZ170/BR170*(BU170-BASELINE_CPR),0)</f>
        <v/>
      </c>
      <c r="CC170" s="13">
        <f>IFERROR(BA170/BR170*(BU170-BASELINE_CPR),0)</f>
        <v/>
      </c>
      <c r="CD170" s="13">
        <f>IFERROR(BB170/BR170*(BU170-BASELINE_CPR),0)</f>
        <v/>
      </c>
      <c r="CE170" s="13">
        <f>IFERROR(BC170/BR170*(BU170-BASELINE_CPR),0)</f>
        <v/>
      </c>
      <c r="CF170" s="13">
        <f>IFERROR(BD170/BR170*(BU170-BASELINE_CPR),0)</f>
        <v/>
      </c>
      <c r="CG170" s="13">
        <f>IFERROR(BE170/BR170*(BU170-BASELINE_CPR),0)</f>
        <v/>
      </c>
      <c r="CH170" s="13">
        <f>IFERROR(BF170/BR170*(BU170-BASELINE_CPR),0)</f>
        <v/>
      </c>
      <c r="CI170" s="13">
        <f>IFERROR(BG170/BR170*(BU170-BASELINE_CPR),0)</f>
        <v/>
      </c>
      <c r="CJ170" s="13">
        <f>IFERROR(BH170/BR170*(BU170-BASELINE_CPR),0)</f>
        <v/>
      </c>
      <c r="CK170" s="13">
        <f>IFERROR(BI170/BR170*(BU170-BASELINE_CPR),0)</f>
        <v/>
      </c>
      <c r="CL170" s="13">
        <f>IFERROR(BJ170/BR170*(BU170-BASELINE_CPR),0)</f>
        <v/>
      </c>
      <c r="CM170" s="13">
        <f>IFERROR(BK170/BR170*(BU170-BASELINE_CPR),0)</f>
        <v/>
      </c>
      <c r="CN170" s="13">
        <f>IFERROR(BL170/BR170*(BU170-BASELINE_CPR),0)</f>
        <v/>
      </c>
      <c r="CO170" s="13">
        <f>IFERROR(BM170/BR170*(BU170-BASELINE_CPR),0)</f>
        <v/>
      </c>
      <c r="CP170" s="13">
        <f>IFERROR(BN170/BR170*(BU170-BASELINE_CPR),0)</f>
        <v/>
      </c>
      <c r="CQ170" s="13">
        <f>IFERROR(BO170/BR170*(BU170-BASELINE_CPR),0)</f>
        <v/>
      </c>
      <c r="CR170" s="13">
        <f>IFERROR(BP170/BR170*(BU170-BASELINE_CPR),0)</f>
        <v/>
      </c>
      <c r="CS170" s="13">
        <f>IFERROR(BQ170/BR170*(BU170-BASELINE_CPR),0)</f>
        <v/>
      </c>
      <c r="CT170" s="29">
        <f>BASELINE_CPR+SUM(BV170:CS170)-BU170</f>
        <v/>
      </c>
    </row>
    <row r="171">
      <c r="A171" s="2" t="inlineStr">
        <is>
          <t>3617WUNX0_000000010110019</t>
        </is>
      </c>
      <c r="B171" t="inlineStr">
        <is>
          <t>WELLS_POST21</t>
        </is>
      </c>
      <c r="C171" s="2" t="inlineStr">
        <is>
          <t>3617WUNX0</t>
        </is>
      </c>
      <c r="D171" t="inlineStr">
        <is>
          <t>WELLS FARGO BANK, N.A.</t>
        </is>
      </c>
      <c r="E171" t="inlineStr">
        <is>
          <t>241</t>
        </is>
      </c>
      <c r="F171" t="inlineStr">
        <is>
          <t>NC</t>
        </is>
      </c>
      <c r="G171" t="n">
        <v>2021</v>
      </c>
      <c r="H171" t="inlineStr">
        <is>
          <t>202602</t>
        </is>
      </c>
      <c r="I171" s="22" t="n">
        <v>39414589.03</v>
      </c>
      <c r="J171" s="23" t="n">
        <v>2.78</v>
      </c>
      <c r="K171" s="24" t="n">
        <v>447</v>
      </c>
      <c r="L171" s="24" t="n">
        <v>8</v>
      </c>
      <c r="M171" t="n">
        <v>52</v>
      </c>
      <c r="N171" t="n">
        <v>0</v>
      </c>
      <c r="O171" t="n">
        <v>206006</v>
      </c>
      <c r="P171" t="n">
        <v>202306</v>
      </c>
      <c r="Q171" t="inlineStr">
        <is>
          <t>3998</t>
        </is>
      </c>
      <c r="R171" t="n">
        <v>0</v>
      </c>
      <c r="S171" t="n">
        <v>0</v>
      </c>
      <c r="T171" t="n">
        <v>0</v>
      </c>
      <c r="U171" t="n">
        <v>1</v>
      </c>
      <c r="V171" s="24">
        <f>J171*100-K171</f>
        <v/>
      </c>
      <c r="W171" s="24">
        <f>L171</f>
        <v/>
      </c>
      <c r="X171" s="25">
        <f>MIN(M171,36)</f>
        <v/>
      </c>
      <c r="Y171" s="25">
        <f>MIN(MAX(M171-36,0),84)</f>
        <v/>
      </c>
      <c r="Z171" s="25">
        <f>MAX(M171-120,0)</f>
        <v/>
      </c>
      <c r="AA171" s="25">
        <f>IF(OR(O171="",NOT(ISNUMBER(O171))),360,MAX(0,MIN(480,(INT(O171/100)-INT(VALUE(H171)/100))*12+MOD(O171,100)-MOD(VALUE(H171),100))))</f>
        <v/>
      </c>
      <c r="AB171">
        <f>IF(AND(AA171&gt;0,AA171&lt;=24),1,0)</f>
        <v/>
      </c>
      <c r="AC171" s="25">
        <f>IF(OR(P171="",NOT(ISNUMBER(P171))),0,MAX(0,MIN(24,(INT(VALUE(H171)/100)-INT(P171/100))*12+MOD(VALUE(H171),100)-MOD(P171,100))))</f>
        <v/>
      </c>
      <c r="AD171" s="23">
        <f>LN(1+I171)</f>
        <v/>
      </c>
      <c r="AE171">
        <f>IF(I171&lt;2000000,1,0)</f>
        <v/>
      </c>
      <c r="AF171">
        <f>IF(I171&gt;50000000,1,0)</f>
        <v/>
      </c>
      <c r="AG171" s="23">
        <f>IF(ISNUMBER(M171),N171/MAX(M171,1),0)</f>
        <v/>
      </c>
      <c r="AH171">
        <f>IF(G171&gt;=2021,1,0)</f>
        <v/>
      </c>
      <c r="AI171">
        <f>S171</f>
        <v/>
      </c>
      <c r="AJ171">
        <f>T171</f>
        <v/>
      </c>
      <c r="AK171">
        <f>R171</f>
        <v/>
      </c>
      <c r="AL171">
        <f>U171</f>
        <v/>
      </c>
      <c r="AM171">
        <f>IF(ISNUMBER(SEARCH("CAPITAL FUNDING",D171)),1,0)</f>
        <v/>
      </c>
      <c r="AN171">
        <f>IF(ISNUMBER(SEARCH("PNC",D171)),1,0)</f>
        <v/>
      </c>
      <c r="AO171">
        <f>IF(ISNUMBER(SEARCH("WELLS FARGO",D171)),1,0)</f>
        <v/>
      </c>
      <c r="AP171">
        <f>IF(ISNUMBER(SEARCH("DWIGHT",D171)),1,0)</f>
        <v/>
      </c>
      <c r="AQ171">
        <f>IF(ISNUMBER(SEARCH("GREYSTONE",D171)),1,0)</f>
        <v/>
      </c>
      <c r="AR171">
        <f>IF(OR(Q171="3896",Q171="3557"),1,0)</f>
        <v/>
      </c>
      <c r="AS171" s="24">
        <f>V171*W171</f>
        <v/>
      </c>
      <c r="AT171" s="26">
        <f>V$4*(V171-V$3)</f>
        <v/>
      </c>
      <c r="AU171" s="26">
        <f>W$4*(W171-W$3)</f>
        <v/>
      </c>
      <c r="AV171" s="26">
        <f>X$4*(X171-X$3)</f>
        <v/>
      </c>
      <c r="AW171" s="26">
        <f>Y$4*(Y171-Y$3)</f>
        <v/>
      </c>
      <c r="AX171" s="26">
        <f>Z$4*(Z171-Z$3)</f>
        <v/>
      </c>
      <c r="AY171" s="26">
        <f>AA$4*(AA171-AA$3)</f>
        <v/>
      </c>
      <c r="AZ171" s="26">
        <f>AB$4*(AB171-AB$3)</f>
        <v/>
      </c>
      <c r="BA171" s="26">
        <f>AC$4*(AC171-AC$3)</f>
        <v/>
      </c>
      <c r="BB171" s="26">
        <f>AD$4*(AD171-AD$3)</f>
        <v/>
      </c>
      <c r="BC171" s="26">
        <f>AE$4*(AE171-AE$3)</f>
        <v/>
      </c>
      <c r="BD171" s="26">
        <f>AF$4*(AF171-AF$3)</f>
        <v/>
      </c>
      <c r="BE171" s="26">
        <f>AG$4*(AG171-AG$3)</f>
        <v/>
      </c>
      <c r="BF171" s="26">
        <f>AH$4*(AH171-AH$3)</f>
        <v/>
      </c>
      <c r="BG171" s="26">
        <f>AI$4*(AI171-AI$3)</f>
        <v/>
      </c>
      <c r="BH171" s="26">
        <f>AJ$4*(AJ171-AJ$3)</f>
        <v/>
      </c>
      <c r="BI171" s="26">
        <f>AK$4*(AK171-AK$3)</f>
        <v/>
      </c>
      <c r="BJ171" s="26">
        <f>AL$4*(AL171-AL$3)</f>
        <v/>
      </c>
      <c r="BK171" s="26">
        <f>AM$4*(AM171-AM$3)</f>
        <v/>
      </c>
      <c r="BL171" s="26">
        <f>AN$4*(AN171-AN$3)</f>
        <v/>
      </c>
      <c r="BM171" s="26">
        <f>AO$4*(AO171-AO$3)</f>
        <v/>
      </c>
      <c r="BN171" s="26">
        <f>AP$4*(AP171-AP$3)</f>
        <v/>
      </c>
      <c r="BO171" s="26">
        <f>AQ$4*(AQ171-AQ$3)</f>
        <v/>
      </c>
      <c r="BP171" s="26">
        <f>AR$4*(AR171-AR$3)</f>
        <v/>
      </c>
      <c r="BQ171" s="26">
        <f>AS$4*(AS171-AS$3)</f>
        <v/>
      </c>
      <c r="BR171" s="27">
        <f>SUM(AT171:BQ171)</f>
        <v/>
      </c>
      <c r="BS171" s="27">
        <f>INTERCEPT_SCALED+BR171</f>
        <v/>
      </c>
      <c r="BT171" s="28">
        <f>1/(1+EXP(-BS171))</f>
        <v/>
      </c>
      <c r="BU171" s="13">
        <f>1-(1-BT171)^12</f>
        <v/>
      </c>
      <c r="BV171" s="13">
        <f>IFERROR(AT171/BR171*(BU171-BASELINE_CPR),0)</f>
        <v/>
      </c>
      <c r="BW171" s="13">
        <f>IFERROR(AU171/BR171*(BU171-BASELINE_CPR),0)</f>
        <v/>
      </c>
      <c r="BX171" s="13">
        <f>IFERROR(AV171/BR171*(BU171-BASELINE_CPR),0)</f>
        <v/>
      </c>
      <c r="BY171" s="13">
        <f>IFERROR(AW171/BR171*(BU171-BASELINE_CPR),0)</f>
        <v/>
      </c>
      <c r="BZ171" s="13">
        <f>IFERROR(AX171/BR171*(BU171-BASELINE_CPR),0)</f>
        <v/>
      </c>
      <c r="CA171" s="13">
        <f>IFERROR(AY171/BR171*(BU171-BASELINE_CPR),0)</f>
        <v/>
      </c>
      <c r="CB171" s="13">
        <f>IFERROR(AZ171/BR171*(BU171-BASELINE_CPR),0)</f>
        <v/>
      </c>
      <c r="CC171" s="13">
        <f>IFERROR(BA171/BR171*(BU171-BASELINE_CPR),0)</f>
        <v/>
      </c>
      <c r="CD171" s="13">
        <f>IFERROR(BB171/BR171*(BU171-BASELINE_CPR),0)</f>
        <v/>
      </c>
      <c r="CE171" s="13">
        <f>IFERROR(BC171/BR171*(BU171-BASELINE_CPR),0)</f>
        <v/>
      </c>
      <c r="CF171" s="13">
        <f>IFERROR(BD171/BR171*(BU171-BASELINE_CPR),0)</f>
        <v/>
      </c>
      <c r="CG171" s="13">
        <f>IFERROR(BE171/BR171*(BU171-BASELINE_CPR),0)</f>
        <v/>
      </c>
      <c r="CH171" s="13">
        <f>IFERROR(BF171/BR171*(BU171-BASELINE_CPR),0)</f>
        <v/>
      </c>
      <c r="CI171" s="13">
        <f>IFERROR(BG171/BR171*(BU171-BASELINE_CPR),0)</f>
        <v/>
      </c>
      <c r="CJ171" s="13">
        <f>IFERROR(BH171/BR171*(BU171-BASELINE_CPR),0)</f>
        <v/>
      </c>
      <c r="CK171" s="13">
        <f>IFERROR(BI171/BR171*(BU171-BASELINE_CPR),0)</f>
        <v/>
      </c>
      <c r="CL171" s="13">
        <f>IFERROR(BJ171/BR171*(BU171-BASELINE_CPR),0)</f>
        <v/>
      </c>
      <c r="CM171" s="13">
        <f>IFERROR(BK171/BR171*(BU171-BASELINE_CPR),0)</f>
        <v/>
      </c>
      <c r="CN171" s="13">
        <f>IFERROR(BL171/BR171*(BU171-BASELINE_CPR),0)</f>
        <v/>
      </c>
      <c r="CO171" s="13">
        <f>IFERROR(BM171/BR171*(BU171-BASELINE_CPR),0)</f>
        <v/>
      </c>
      <c r="CP171" s="13">
        <f>IFERROR(BN171/BR171*(BU171-BASELINE_CPR),0)</f>
        <v/>
      </c>
      <c r="CQ171" s="13">
        <f>IFERROR(BO171/BR171*(BU171-BASELINE_CPR),0)</f>
        <v/>
      </c>
      <c r="CR171" s="13">
        <f>IFERROR(BP171/BR171*(BU171-BASELINE_CPR),0)</f>
        <v/>
      </c>
      <c r="CS171" s="13">
        <f>IFERROR(BQ171/BR171*(BU171-BASELINE_CPR),0)</f>
        <v/>
      </c>
      <c r="CT171" s="29">
        <f>BASELINE_CPR+SUM(BV171:CS171)-BU171</f>
        <v/>
      </c>
    </row>
    <row r="172">
      <c r="A172" s="2" t="inlineStr">
        <is>
          <t>36179J4X2_000000005143243</t>
        </is>
      </c>
      <c r="B172" t="inlineStr">
        <is>
          <t>WELLS_PRE21</t>
        </is>
      </c>
      <c r="C172" s="2" t="inlineStr">
        <is>
          <t>36179J4X2</t>
        </is>
      </c>
      <c r="D172" t="inlineStr">
        <is>
          <t>WELLS FARGO BANK, N.A.</t>
        </is>
      </c>
      <c r="E172" t="inlineStr">
        <is>
          <t>232</t>
        </is>
      </c>
      <c r="F172" t="inlineStr">
        <is>
          <t>RP</t>
        </is>
      </c>
      <c r="G172" t="n">
        <v>2013</v>
      </c>
      <c r="H172" t="inlineStr">
        <is>
          <t>202602</t>
        </is>
      </c>
      <c r="I172" s="22" t="n">
        <v>9293553.970000001</v>
      </c>
      <c r="J172" s="23" t="n">
        <v>3.15</v>
      </c>
      <c r="K172" s="24" t="n">
        <v>447</v>
      </c>
      <c r="L172" s="24" t="n">
        <v>0</v>
      </c>
      <c r="M172" t="n">
        <v>153</v>
      </c>
      <c r="N172" t="n">
        <v>29</v>
      </c>
      <c r="O172" t="n">
        <v>205111</v>
      </c>
      <c r="P172" t="inlineStr"/>
      <c r="Q172" t="inlineStr">
        <is>
          <t>3998</t>
        </is>
      </c>
      <c r="R172" t="n">
        <v>1</v>
      </c>
      <c r="S172" t="n">
        <v>1</v>
      </c>
      <c r="T172" t="n">
        <v>0</v>
      </c>
      <c r="U172" t="n">
        <v>0</v>
      </c>
      <c r="V172" s="24">
        <f>J172*100-K172</f>
        <v/>
      </c>
      <c r="W172" s="24">
        <f>L172</f>
        <v/>
      </c>
      <c r="X172" s="25">
        <f>MIN(M172,36)</f>
        <v/>
      </c>
      <c r="Y172" s="25">
        <f>MIN(MAX(M172-36,0),84)</f>
        <v/>
      </c>
      <c r="Z172" s="25">
        <f>MAX(M172-120,0)</f>
        <v/>
      </c>
      <c r="AA172" s="25">
        <f>IF(OR(O172="",NOT(ISNUMBER(O172))),360,MAX(0,MIN(480,(INT(O172/100)-INT(VALUE(H172)/100))*12+MOD(O172,100)-MOD(VALUE(H172),100))))</f>
        <v/>
      </c>
      <c r="AB172">
        <f>IF(AND(AA172&gt;0,AA172&lt;=24),1,0)</f>
        <v/>
      </c>
      <c r="AC172" s="25">
        <f>IF(OR(P172="",NOT(ISNUMBER(P172))),0,MAX(0,MIN(24,(INT(VALUE(H172)/100)-INT(P172/100))*12+MOD(VALUE(H172),100)-MOD(P172,100))))</f>
        <v/>
      </c>
      <c r="AD172" s="23">
        <f>LN(1+I172)</f>
        <v/>
      </c>
      <c r="AE172">
        <f>IF(I172&lt;2000000,1,0)</f>
        <v/>
      </c>
      <c r="AF172">
        <f>IF(I172&gt;50000000,1,0)</f>
        <v/>
      </c>
      <c r="AG172" s="23">
        <f>IF(ISNUMBER(M172),N172/MAX(M172,1),0)</f>
        <v/>
      </c>
      <c r="AH172">
        <f>IF(G172&gt;=2021,1,0)</f>
        <v/>
      </c>
      <c r="AI172">
        <f>S172</f>
        <v/>
      </c>
      <c r="AJ172">
        <f>T172</f>
        <v/>
      </c>
      <c r="AK172">
        <f>R172</f>
        <v/>
      </c>
      <c r="AL172">
        <f>U172</f>
        <v/>
      </c>
      <c r="AM172">
        <f>IF(ISNUMBER(SEARCH("CAPITAL FUNDING",D172)),1,0)</f>
        <v/>
      </c>
      <c r="AN172">
        <f>IF(ISNUMBER(SEARCH("PNC",D172)),1,0)</f>
        <v/>
      </c>
      <c r="AO172">
        <f>IF(ISNUMBER(SEARCH("WELLS FARGO",D172)),1,0)</f>
        <v/>
      </c>
      <c r="AP172">
        <f>IF(ISNUMBER(SEARCH("DWIGHT",D172)),1,0)</f>
        <v/>
      </c>
      <c r="AQ172">
        <f>IF(ISNUMBER(SEARCH("GREYSTONE",D172)),1,0)</f>
        <v/>
      </c>
      <c r="AR172">
        <f>IF(OR(Q172="3896",Q172="3557"),1,0)</f>
        <v/>
      </c>
      <c r="AS172" s="24">
        <f>V172*W172</f>
        <v/>
      </c>
      <c r="AT172" s="26">
        <f>V$4*(V172-V$3)</f>
        <v/>
      </c>
      <c r="AU172" s="26">
        <f>W$4*(W172-W$3)</f>
        <v/>
      </c>
      <c r="AV172" s="26">
        <f>X$4*(X172-X$3)</f>
        <v/>
      </c>
      <c r="AW172" s="26">
        <f>Y$4*(Y172-Y$3)</f>
        <v/>
      </c>
      <c r="AX172" s="26">
        <f>Z$4*(Z172-Z$3)</f>
        <v/>
      </c>
      <c r="AY172" s="26">
        <f>AA$4*(AA172-AA$3)</f>
        <v/>
      </c>
      <c r="AZ172" s="26">
        <f>AB$4*(AB172-AB$3)</f>
        <v/>
      </c>
      <c r="BA172" s="26">
        <f>AC$4*(AC172-AC$3)</f>
        <v/>
      </c>
      <c r="BB172" s="26">
        <f>AD$4*(AD172-AD$3)</f>
        <v/>
      </c>
      <c r="BC172" s="26">
        <f>AE$4*(AE172-AE$3)</f>
        <v/>
      </c>
      <c r="BD172" s="26">
        <f>AF$4*(AF172-AF$3)</f>
        <v/>
      </c>
      <c r="BE172" s="26">
        <f>AG$4*(AG172-AG$3)</f>
        <v/>
      </c>
      <c r="BF172" s="26">
        <f>AH$4*(AH172-AH$3)</f>
        <v/>
      </c>
      <c r="BG172" s="26">
        <f>AI$4*(AI172-AI$3)</f>
        <v/>
      </c>
      <c r="BH172" s="26">
        <f>AJ$4*(AJ172-AJ$3)</f>
        <v/>
      </c>
      <c r="BI172" s="26">
        <f>AK$4*(AK172-AK$3)</f>
        <v/>
      </c>
      <c r="BJ172" s="26">
        <f>AL$4*(AL172-AL$3)</f>
        <v/>
      </c>
      <c r="BK172" s="26">
        <f>AM$4*(AM172-AM$3)</f>
        <v/>
      </c>
      <c r="BL172" s="26">
        <f>AN$4*(AN172-AN$3)</f>
        <v/>
      </c>
      <c r="BM172" s="26">
        <f>AO$4*(AO172-AO$3)</f>
        <v/>
      </c>
      <c r="BN172" s="26">
        <f>AP$4*(AP172-AP$3)</f>
        <v/>
      </c>
      <c r="BO172" s="26">
        <f>AQ$4*(AQ172-AQ$3)</f>
        <v/>
      </c>
      <c r="BP172" s="26">
        <f>AR$4*(AR172-AR$3)</f>
        <v/>
      </c>
      <c r="BQ172" s="26">
        <f>AS$4*(AS172-AS$3)</f>
        <v/>
      </c>
      <c r="BR172" s="27">
        <f>SUM(AT172:BQ172)</f>
        <v/>
      </c>
      <c r="BS172" s="27">
        <f>INTERCEPT_SCALED+BR172</f>
        <v/>
      </c>
      <c r="BT172" s="28">
        <f>1/(1+EXP(-BS172))</f>
        <v/>
      </c>
      <c r="BU172" s="13">
        <f>1-(1-BT172)^12</f>
        <v/>
      </c>
      <c r="BV172" s="13">
        <f>IFERROR(AT172/BR172*(BU172-BASELINE_CPR),0)</f>
        <v/>
      </c>
      <c r="BW172" s="13">
        <f>IFERROR(AU172/BR172*(BU172-BASELINE_CPR),0)</f>
        <v/>
      </c>
      <c r="BX172" s="13">
        <f>IFERROR(AV172/BR172*(BU172-BASELINE_CPR),0)</f>
        <v/>
      </c>
      <c r="BY172" s="13">
        <f>IFERROR(AW172/BR172*(BU172-BASELINE_CPR),0)</f>
        <v/>
      </c>
      <c r="BZ172" s="13">
        <f>IFERROR(AX172/BR172*(BU172-BASELINE_CPR),0)</f>
        <v/>
      </c>
      <c r="CA172" s="13">
        <f>IFERROR(AY172/BR172*(BU172-BASELINE_CPR),0)</f>
        <v/>
      </c>
      <c r="CB172" s="13">
        <f>IFERROR(AZ172/BR172*(BU172-BASELINE_CPR),0)</f>
        <v/>
      </c>
      <c r="CC172" s="13">
        <f>IFERROR(BA172/BR172*(BU172-BASELINE_CPR),0)</f>
        <v/>
      </c>
      <c r="CD172" s="13">
        <f>IFERROR(BB172/BR172*(BU172-BASELINE_CPR),0)</f>
        <v/>
      </c>
      <c r="CE172" s="13">
        <f>IFERROR(BC172/BR172*(BU172-BASELINE_CPR),0)</f>
        <v/>
      </c>
      <c r="CF172" s="13">
        <f>IFERROR(BD172/BR172*(BU172-BASELINE_CPR),0)</f>
        <v/>
      </c>
      <c r="CG172" s="13">
        <f>IFERROR(BE172/BR172*(BU172-BASELINE_CPR),0)</f>
        <v/>
      </c>
      <c r="CH172" s="13">
        <f>IFERROR(BF172/BR172*(BU172-BASELINE_CPR),0)</f>
        <v/>
      </c>
      <c r="CI172" s="13">
        <f>IFERROR(BG172/BR172*(BU172-BASELINE_CPR),0)</f>
        <v/>
      </c>
      <c r="CJ172" s="13">
        <f>IFERROR(BH172/BR172*(BU172-BASELINE_CPR),0)</f>
        <v/>
      </c>
      <c r="CK172" s="13">
        <f>IFERROR(BI172/BR172*(BU172-BASELINE_CPR),0)</f>
        <v/>
      </c>
      <c r="CL172" s="13">
        <f>IFERROR(BJ172/BR172*(BU172-BASELINE_CPR),0)</f>
        <v/>
      </c>
      <c r="CM172" s="13">
        <f>IFERROR(BK172/BR172*(BU172-BASELINE_CPR),0)</f>
        <v/>
      </c>
      <c r="CN172" s="13">
        <f>IFERROR(BL172/BR172*(BU172-BASELINE_CPR),0)</f>
        <v/>
      </c>
      <c r="CO172" s="13">
        <f>IFERROR(BM172/BR172*(BU172-BASELINE_CPR),0)</f>
        <v/>
      </c>
      <c r="CP172" s="13">
        <f>IFERROR(BN172/BR172*(BU172-BASELINE_CPR),0)</f>
        <v/>
      </c>
      <c r="CQ172" s="13">
        <f>IFERROR(BO172/BR172*(BU172-BASELINE_CPR),0)</f>
        <v/>
      </c>
      <c r="CR172" s="13">
        <f>IFERROR(BP172/BR172*(BU172-BASELINE_CPR),0)</f>
        <v/>
      </c>
      <c r="CS172" s="13">
        <f>IFERROR(BQ172/BR172*(BU172-BASELINE_CPR),0)</f>
        <v/>
      </c>
      <c r="CT172" s="29">
        <f>BASELINE_CPR+SUM(BV172:CS172)-BU172</f>
        <v/>
      </c>
    </row>
    <row r="173">
      <c r="A173" s="2" t="inlineStr">
        <is>
          <t>36176KJE8_000000007111253</t>
        </is>
      </c>
      <c r="B173" t="inlineStr">
        <is>
          <t>WELLS_PRE21</t>
        </is>
      </c>
      <c r="C173" s="2" t="inlineStr">
        <is>
          <t>36176KJE8</t>
        </is>
      </c>
      <c r="D173" t="inlineStr">
        <is>
          <t>WELLS FARGO BANK, N.A.</t>
        </is>
      </c>
      <c r="E173" t="inlineStr">
        <is>
          <t>223f</t>
        </is>
      </c>
      <c r="F173" t="inlineStr">
        <is>
          <t>RP</t>
        </is>
      </c>
      <c r="G173" t="n">
        <v>2011</v>
      </c>
      <c r="H173" t="inlineStr">
        <is>
          <t>202602</t>
        </is>
      </c>
      <c r="I173" s="22" t="n">
        <v>1811141.27</v>
      </c>
      <c r="J173" s="23" t="n">
        <v>3.79</v>
      </c>
      <c r="K173" s="24" t="n">
        <v>447</v>
      </c>
      <c r="L173" s="24" t="n">
        <v>0</v>
      </c>
      <c r="M173" t="n">
        <v>172</v>
      </c>
      <c r="N173" t="n">
        <v>40</v>
      </c>
      <c r="O173" t="n">
        <v>204611</v>
      </c>
      <c r="P173" t="n">
        <v>201212</v>
      </c>
      <c r="Q173" t="inlineStr">
        <is>
          <t>3998</t>
        </is>
      </c>
      <c r="R173" t="n">
        <v>0</v>
      </c>
      <c r="S173" t="n">
        <v>0</v>
      </c>
      <c r="T173" t="n">
        <v>0</v>
      </c>
      <c r="U173" t="n">
        <v>0</v>
      </c>
      <c r="V173" s="24">
        <f>J173*100-K173</f>
        <v/>
      </c>
      <c r="W173" s="24">
        <f>L173</f>
        <v/>
      </c>
      <c r="X173" s="25">
        <f>MIN(M173,36)</f>
        <v/>
      </c>
      <c r="Y173" s="25">
        <f>MIN(MAX(M173-36,0),84)</f>
        <v/>
      </c>
      <c r="Z173" s="25">
        <f>MAX(M173-120,0)</f>
        <v/>
      </c>
      <c r="AA173" s="25">
        <f>IF(OR(O173="",NOT(ISNUMBER(O173))),360,MAX(0,MIN(480,(INT(O173/100)-INT(VALUE(H173)/100))*12+MOD(O173,100)-MOD(VALUE(H173),100))))</f>
        <v/>
      </c>
      <c r="AB173">
        <f>IF(AND(AA173&gt;0,AA173&lt;=24),1,0)</f>
        <v/>
      </c>
      <c r="AC173" s="25">
        <f>IF(OR(P173="",NOT(ISNUMBER(P173))),0,MAX(0,MIN(24,(INT(VALUE(H173)/100)-INT(P173/100))*12+MOD(VALUE(H173),100)-MOD(P173,100))))</f>
        <v/>
      </c>
      <c r="AD173" s="23">
        <f>LN(1+I173)</f>
        <v/>
      </c>
      <c r="AE173">
        <f>IF(I173&lt;2000000,1,0)</f>
        <v/>
      </c>
      <c r="AF173">
        <f>IF(I173&gt;50000000,1,0)</f>
        <v/>
      </c>
      <c r="AG173" s="23">
        <f>IF(ISNUMBER(M173),N173/MAX(M173,1),0)</f>
        <v/>
      </c>
      <c r="AH173">
        <f>IF(G173&gt;=2021,1,0)</f>
        <v/>
      </c>
      <c r="AI173">
        <f>S173</f>
        <v/>
      </c>
      <c r="AJ173">
        <f>T173</f>
        <v/>
      </c>
      <c r="AK173">
        <f>R173</f>
        <v/>
      </c>
      <c r="AL173">
        <f>U173</f>
        <v/>
      </c>
      <c r="AM173">
        <f>IF(ISNUMBER(SEARCH("CAPITAL FUNDING",D173)),1,0)</f>
        <v/>
      </c>
      <c r="AN173">
        <f>IF(ISNUMBER(SEARCH("PNC",D173)),1,0)</f>
        <v/>
      </c>
      <c r="AO173">
        <f>IF(ISNUMBER(SEARCH("WELLS FARGO",D173)),1,0)</f>
        <v/>
      </c>
      <c r="AP173">
        <f>IF(ISNUMBER(SEARCH("DWIGHT",D173)),1,0)</f>
        <v/>
      </c>
      <c r="AQ173">
        <f>IF(ISNUMBER(SEARCH("GREYSTONE",D173)),1,0)</f>
        <v/>
      </c>
      <c r="AR173">
        <f>IF(OR(Q173="3896",Q173="3557"),1,0)</f>
        <v/>
      </c>
      <c r="AS173" s="24">
        <f>V173*W173</f>
        <v/>
      </c>
      <c r="AT173" s="26">
        <f>V$4*(V173-V$3)</f>
        <v/>
      </c>
      <c r="AU173" s="26">
        <f>W$4*(W173-W$3)</f>
        <v/>
      </c>
      <c r="AV173" s="26">
        <f>X$4*(X173-X$3)</f>
        <v/>
      </c>
      <c r="AW173" s="26">
        <f>Y$4*(Y173-Y$3)</f>
        <v/>
      </c>
      <c r="AX173" s="26">
        <f>Z$4*(Z173-Z$3)</f>
        <v/>
      </c>
      <c r="AY173" s="26">
        <f>AA$4*(AA173-AA$3)</f>
        <v/>
      </c>
      <c r="AZ173" s="26">
        <f>AB$4*(AB173-AB$3)</f>
        <v/>
      </c>
      <c r="BA173" s="26">
        <f>AC$4*(AC173-AC$3)</f>
        <v/>
      </c>
      <c r="BB173" s="26">
        <f>AD$4*(AD173-AD$3)</f>
        <v/>
      </c>
      <c r="BC173" s="26">
        <f>AE$4*(AE173-AE$3)</f>
        <v/>
      </c>
      <c r="BD173" s="26">
        <f>AF$4*(AF173-AF$3)</f>
        <v/>
      </c>
      <c r="BE173" s="26">
        <f>AG$4*(AG173-AG$3)</f>
        <v/>
      </c>
      <c r="BF173" s="26">
        <f>AH$4*(AH173-AH$3)</f>
        <v/>
      </c>
      <c r="BG173" s="26">
        <f>AI$4*(AI173-AI$3)</f>
        <v/>
      </c>
      <c r="BH173" s="26">
        <f>AJ$4*(AJ173-AJ$3)</f>
        <v/>
      </c>
      <c r="BI173" s="26">
        <f>AK$4*(AK173-AK$3)</f>
        <v/>
      </c>
      <c r="BJ173" s="26">
        <f>AL$4*(AL173-AL$3)</f>
        <v/>
      </c>
      <c r="BK173" s="26">
        <f>AM$4*(AM173-AM$3)</f>
        <v/>
      </c>
      <c r="BL173" s="26">
        <f>AN$4*(AN173-AN$3)</f>
        <v/>
      </c>
      <c r="BM173" s="26">
        <f>AO$4*(AO173-AO$3)</f>
        <v/>
      </c>
      <c r="BN173" s="26">
        <f>AP$4*(AP173-AP$3)</f>
        <v/>
      </c>
      <c r="BO173" s="26">
        <f>AQ$4*(AQ173-AQ$3)</f>
        <v/>
      </c>
      <c r="BP173" s="26">
        <f>AR$4*(AR173-AR$3)</f>
        <v/>
      </c>
      <c r="BQ173" s="26">
        <f>AS$4*(AS173-AS$3)</f>
        <v/>
      </c>
      <c r="BR173" s="27">
        <f>SUM(AT173:BQ173)</f>
        <v/>
      </c>
      <c r="BS173" s="27">
        <f>INTERCEPT_SCALED+BR173</f>
        <v/>
      </c>
      <c r="BT173" s="28">
        <f>1/(1+EXP(-BS173))</f>
        <v/>
      </c>
      <c r="BU173" s="13">
        <f>1-(1-BT173)^12</f>
        <v/>
      </c>
      <c r="BV173" s="13">
        <f>IFERROR(AT173/BR173*(BU173-BASELINE_CPR),0)</f>
        <v/>
      </c>
      <c r="BW173" s="13">
        <f>IFERROR(AU173/BR173*(BU173-BASELINE_CPR),0)</f>
        <v/>
      </c>
      <c r="BX173" s="13">
        <f>IFERROR(AV173/BR173*(BU173-BASELINE_CPR),0)</f>
        <v/>
      </c>
      <c r="BY173" s="13">
        <f>IFERROR(AW173/BR173*(BU173-BASELINE_CPR),0)</f>
        <v/>
      </c>
      <c r="BZ173" s="13">
        <f>IFERROR(AX173/BR173*(BU173-BASELINE_CPR),0)</f>
        <v/>
      </c>
      <c r="CA173" s="13">
        <f>IFERROR(AY173/BR173*(BU173-BASELINE_CPR),0)</f>
        <v/>
      </c>
      <c r="CB173" s="13">
        <f>IFERROR(AZ173/BR173*(BU173-BASELINE_CPR),0)</f>
        <v/>
      </c>
      <c r="CC173" s="13">
        <f>IFERROR(BA173/BR173*(BU173-BASELINE_CPR),0)</f>
        <v/>
      </c>
      <c r="CD173" s="13">
        <f>IFERROR(BB173/BR173*(BU173-BASELINE_CPR),0)</f>
        <v/>
      </c>
      <c r="CE173" s="13">
        <f>IFERROR(BC173/BR173*(BU173-BASELINE_CPR),0)</f>
        <v/>
      </c>
      <c r="CF173" s="13">
        <f>IFERROR(BD173/BR173*(BU173-BASELINE_CPR),0)</f>
        <v/>
      </c>
      <c r="CG173" s="13">
        <f>IFERROR(BE173/BR173*(BU173-BASELINE_CPR),0)</f>
        <v/>
      </c>
      <c r="CH173" s="13">
        <f>IFERROR(BF173/BR173*(BU173-BASELINE_CPR),0)</f>
        <v/>
      </c>
      <c r="CI173" s="13">
        <f>IFERROR(BG173/BR173*(BU173-BASELINE_CPR),0)</f>
        <v/>
      </c>
      <c r="CJ173" s="13">
        <f>IFERROR(BH173/BR173*(BU173-BASELINE_CPR),0)</f>
        <v/>
      </c>
      <c r="CK173" s="13">
        <f>IFERROR(BI173/BR173*(BU173-BASELINE_CPR),0)</f>
        <v/>
      </c>
      <c r="CL173" s="13">
        <f>IFERROR(BJ173/BR173*(BU173-BASELINE_CPR),0)</f>
        <v/>
      </c>
      <c r="CM173" s="13">
        <f>IFERROR(BK173/BR173*(BU173-BASELINE_CPR),0)</f>
        <v/>
      </c>
      <c r="CN173" s="13">
        <f>IFERROR(BL173/BR173*(BU173-BASELINE_CPR),0)</f>
        <v/>
      </c>
      <c r="CO173" s="13">
        <f>IFERROR(BM173/BR173*(BU173-BASELINE_CPR),0)</f>
        <v/>
      </c>
      <c r="CP173" s="13">
        <f>IFERROR(BN173/BR173*(BU173-BASELINE_CPR),0)</f>
        <v/>
      </c>
      <c r="CQ173" s="13">
        <f>IFERROR(BO173/BR173*(BU173-BASELINE_CPR),0)</f>
        <v/>
      </c>
      <c r="CR173" s="13">
        <f>IFERROR(BP173/BR173*(BU173-BASELINE_CPR),0)</f>
        <v/>
      </c>
      <c r="CS173" s="13">
        <f>IFERROR(BQ173/BR173*(BU173-BASELINE_CPR),0)</f>
        <v/>
      </c>
      <c r="CT173" s="29">
        <f>BASELINE_CPR+SUM(BV173:CS173)-BU173</f>
        <v/>
      </c>
    </row>
    <row r="174">
      <c r="A174" s="2" t="inlineStr">
        <is>
          <t>36181GX38_000000012722118</t>
        </is>
      </c>
      <c r="B174" t="inlineStr">
        <is>
          <t>WELLS_PRE21</t>
        </is>
      </c>
      <c r="C174" s="2" t="inlineStr">
        <is>
          <t>36181GX38</t>
        </is>
      </c>
      <c r="D174" t="inlineStr">
        <is>
          <t>WELLS FARGO BANK, N.A.</t>
        </is>
      </c>
      <c r="E174" t="inlineStr">
        <is>
          <t>232</t>
        </is>
      </c>
      <c r="F174" t="inlineStr">
        <is>
          <t>RP</t>
        </is>
      </c>
      <c r="G174" t="n">
        <v>2013</v>
      </c>
      <c r="H174" t="inlineStr">
        <is>
          <t>202602</t>
        </is>
      </c>
      <c r="I174" s="22" t="n">
        <v>2447684.27</v>
      </c>
      <c r="J174" s="23" t="n">
        <v>4.5</v>
      </c>
      <c r="K174" s="24" t="n">
        <v>447</v>
      </c>
      <c r="L174" s="24" t="n">
        <v>0</v>
      </c>
      <c r="M174" t="n">
        <v>146</v>
      </c>
      <c r="N174" t="n">
        <v>45</v>
      </c>
      <c r="O174" t="n">
        <v>204901</v>
      </c>
      <c r="P174" t="n">
        <v>201602</v>
      </c>
      <c r="Q174" t="inlineStr">
        <is>
          <t>3998</t>
        </is>
      </c>
      <c r="R174" t="n">
        <v>1</v>
      </c>
      <c r="S174" t="n">
        <v>1</v>
      </c>
      <c r="T174" t="n">
        <v>0</v>
      </c>
      <c r="U174" t="n">
        <v>0</v>
      </c>
      <c r="V174" s="24">
        <f>J174*100-K174</f>
        <v/>
      </c>
      <c r="W174" s="24">
        <f>L174</f>
        <v/>
      </c>
      <c r="X174" s="25">
        <f>MIN(M174,36)</f>
        <v/>
      </c>
      <c r="Y174" s="25">
        <f>MIN(MAX(M174-36,0),84)</f>
        <v/>
      </c>
      <c r="Z174" s="25">
        <f>MAX(M174-120,0)</f>
        <v/>
      </c>
      <c r="AA174" s="25">
        <f>IF(OR(O174="",NOT(ISNUMBER(O174))),360,MAX(0,MIN(480,(INT(O174/100)-INT(VALUE(H174)/100))*12+MOD(O174,100)-MOD(VALUE(H174),100))))</f>
        <v/>
      </c>
      <c r="AB174">
        <f>IF(AND(AA174&gt;0,AA174&lt;=24),1,0)</f>
        <v/>
      </c>
      <c r="AC174" s="25">
        <f>IF(OR(P174="",NOT(ISNUMBER(P174))),0,MAX(0,MIN(24,(INT(VALUE(H174)/100)-INT(P174/100))*12+MOD(VALUE(H174),100)-MOD(P174,100))))</f>
        <v/>
      </c>
      <c r="AD174" s="23">
        <f>LN(1+I174)</f>
        <v/>
      </c>
      <c r="AE174">
        <f>IF(I174&lt;2000000,1,0)</f>
        <v/>
      </c>
      <c r="AF174">
        <f>IF(I174&gt;50000000,1,0)</f>
        <v/>
      </c>
      <c r="AG174" s="23">
        <f>IF(ISNUMBER(M174),N174/MAX(M174,1),0)</f>
        <v/>
      </c>
      <c r="AH174">
        <f>IF(G174&gt;=2021,1,0)</f>
        <v/>
      </c>
      <c r="AI174">
        <f>S174</f>
        <v/>
      </c>
      <c r="AJ174">
        <f>T174</f>
        <v/>
      </c>
      <c r="AK174">
        <f>R174</f>
        <v/>
      </c>
      <c r="AL174">
        <f>U174</f>
        <v/>
      </c>
      <c r="AM174">
        <f>IF(ISNUMBER(SEARCH("CAPITAL FUNDING",D174)),1,0)</f>
        <v/>
      </c>
      <c r="AN174">
        <f>IF(ISNUMBER(SEARCH("PNC",D174)),1,0)</f>
        <v/>
      </c>
      <c r="AO174">
        <f>IF(ISNUMBER(SEARCH("WELLS FARGO",D174)),1,0)</f>
        <v/>
      </c>
      <c r="AP174">
        <f>IF(ISNUMBER(SEARCH("DWIGHT",D174)),1,0)</f>
        <v/>
      </c>
      <c r="AQ174">
        <f>IF(ISNUMBER(SEARCH("GREYSTONE",D174)),1,0)</f>
        <v/>
      </c>
      <c r="AR174">
        <f>IF(OR(Q174="3896",Q174="3557"),1,0)</f>
        <v/>
      </c>
      <c r="AS174" s="24">
        <f>V174*W174</f>
        <v/>
      </c>
      <c r="AT174" s="26">
        <f>V$4*(V174-V$3)</f>
        <v/>
      </c>
      <c r="AU174" s="26">
        <f>W$4*(W174-W$3)</f>
        <v/>
      </c>
      <c r="AV174" s="26">
        <f>X$4*(X174-X$3)</f>
        <v/>
      </c>
      <c r="AW174" s="26">
        <f>Y$4*(Y174-Y$3)</f>
        <v/>
      </c>
      <c r="AX174" s="26">
        <f>Z$4*(Z174-Z$3)</f>
        <v/>
      </c>
      <c r="AY174" s="26">
        <f>AA$4*(AA174-AA$3)</f>
        <v/>
      </c>
      <c r="AZ174" s="26">
        <f>AB$4*(AB174-AB$3)</f>
        <v/>
      </c>
      <c r="BA174" s="26">
        <f>AC$4*(AC174-AC$3)</f>
        <v/>
      </c>
      <c r="BB174" s="26">
        <f>AD$4*(AD174-AD$3)</f>
        <v/>
      </c>
      <c r="BC174" s="26">
        <f>AE$4*(AE174-AE$3)</f>
        <v/>
      </c>
      <c r="BD174" s="26">
        <f>AF$4*(AF174-AF$3)</f>
        <v/>
      </c>
      <c r="BE174" s="26">
        <f>AG$4*(AG174-AG$3)</f>
        <v/>
      </c>
      <c r="BF174" s="26">
        <f>AH$4*(AH174-AH$3)</f>
        <v/>
      </c>
      <c r="BG174" s="26">
        <f>AI$4*(AI174-AI$3)</f>
        <v/>
      </c>
      <c r="BH174" s="26">
        <f>AJ$4*(AJ174-AJ$3)</f>
        <v/>
      </c>
      <c r="BI174" s="26">
        <f>AK$4*(AK174-AK$3)</f>
        <v/>
      </c>
      <c r="BJ174" s="26">
        <f>AL$4*(AL174-AL$3)</f>
        <v/>
      </c>
      <c r="BK174" s="26">
        <f>AM$4*(AM174-AM$3)</f>
        <v/>
      </c>
      <c r="BL174" s="26">
        <f>AN$4*(AN174-AN$3)</f>
        <v/>
      </c>
      <c r="BM174" s="26">
        <f>AO$4*(AO174-AO$3)</f>
        <v/>
      </c>
      <c r="BN174" s="26">
        <f>AP$4*(AP174-AP$3)</f>
        <v/>
      </c>
      <c r="BO174" s="26">
        <f>AQ$4*(AQ174-AQ$3)</f>
        <v/>
      </c>
      <c r="BP174" s="26">
        <f>AR$4*(AR174-AR$3)</f>
        <v/>
      </c>
      <c r="BQ174" s="26">
        <f>AS$4*(AS174-AS$3)</f>
        <v/>
      </c>
      <c r="BR174" s="27">
        <f>SUM(AT174:BQ174)</f>
        <v/>
      </c>
      <c r="BS174" s="27">
        <f>INTERCEPT_SCALED+BR174</f>
        <v/>
      </c>
      <c r="BT174" s="28">
        <f>1/(1+EXP(-BS174))</f>
        <v/>
      </c>
      <c r="BU174" s="13">
        <f>1-(1-BT174)^12</f>
        <v/>
      </c>
      <c r="BV174" s="13">
        <f>IFERROR(AT174/BR174*(BU174-BASELINE_CPR),0)</f>
        <v/>
      </c>
      <c r="BW174" s="13">
        <f>IFERROR(AU174/BR174*(BU174-BASELINE_CPR),0)</f>
        <v/>
      </c>
      <c r="BX174" s="13">
        <f>IFERROR(AV174/BR174*(BU174-BASELINE_CPR),0)</f>
        <v/>
      </c>
      <c r="BY174" s="13">
        <f>IFERROR(AW174/BR174*(BU174-BASELINE_CPR),0)</f>
        <v/>
      </c>
      <c r="BZ174" s="13">
        <f>IFERROR(AX174/BR174*(BU174-BASELINE_CPR),0)</f>
        <v/>
      </c>
      <c r="CA174" s="13">
        <f>IFERROR(AY174/BR174*(BU174-BASELINE_CPR),0)</f>
        <v/>
      </c>
      <c r="CB174" s="13">
        <f>IFERROR(AZ174/BR174*(BU174-BASELINE_CPR),0)</f>
        <v/>
      </c>
      <c r="CC174" s="13">
        <f>IFERROR(BA174/BR174*(BU174-BASELINE_CPR),0)</f>
        <v/>
      </c>
      <c r="CD174" s="13">
        <f>IFERROR(BB174/BR174*(BU174-BASELINE_CPR),0)</f>
        <v/>
      </c>
      <c r="CE174" s="13">
        <f>IFERROR(BC174/BR174*(BU174-BASELINE_CPR),0)</f>
        <v/>
      </c>
      <c r="CF174" s="13">
        <f>IFERROR(BD174/BR174*(BU174-BASELINE_CPR),0)</f>
        <v/>
      </c>
      <c r="CG174" s="13">
        <f>IFERROR(BE174/BR174*(BU174-BASELINE_CPR),0)</f>
        <v/>
      </c>
      <c r="CH174" s="13">
        <f>IFERROR(BF174/BR174*(BU174-BASELINE_CPR),0)</f>
        <v/>
      </c>
      <c r="CI174" s="13">
        <f>IFERROR(BG174/BR174*(BU174-BASELINE_CPR),0)</f>
        <v/>
      </c>
      <c r="CJ174" s="13">
        <f>IFERROR(BH174/BR174*(BU174-BASELINE_CPR),0)</f>
        <v/>
      </c>
      <c r="CK174" s="13">
        <f>IFERROR(BI174/BR174*(BU174-BASELINE_CPR),0)</f>
        <v/>
      </c>
      <c r="CL174" s="13">
        <f>IFERROR(BJ174/BR174*(BU174-BASELINE_CPR),0)</f>
        <v/>
      </c>
      <c r="CM174" s="13">
        <f>IFERROR(BK174/BR174*(BU174-BASELINE_CPR),0)</f>
        <v/>
      </c>
      <c r="CN174" s="13">
        <f>IFERROR(BL174/BR174*(BU174-BASELINE_CPR),0)</f>
        <v/>
      </c>
      <c r="CO174" s="13">
        <f>IFERROR(BM174/BR174*(BU174-BASELINE_CPR),0)</f>
        <v/>
      </c>
      <c r="CP174" s="13">
        <f>IFERROR(BN174/BR174*(BU174-BASELINE_CPR),0)</f>
        <v/>
      </c>
      <c r="CQ174" s="13">
        <f>IFERROR(BO174/BR174*(BU174-BASELINE_CPR),0)</f>
        <v/>
      </c>
      <c r="CR174" s="13">
        <f>IFERROR(BP174/BR174*(BU174-BASELINE_CPR),0)</f>
        <v/>
      </c>
      <c r="CS174" s="13">
        <f>IFERROR(BQ174/BR174*(BU174-BASELINE_CPR),0)</f>
        <v/>
      </c>
      <c r="CT174" s="29">
        <f>BASELINE_CPR+SUM(BV174:CS174)-BU174</f>
        <v/>
      </c>
    </row>
    <row r="175">
      <c r="A175" s="2" t="inlineStr">
        <is>
          <t>36179J4C8_000000008235439</t>
        </is>
      </c>
      <c r="B175" t="inlineStr">
        <is>
          <t>WELLS_PRE21</t>
        </is>
      </c>
      <c r="C175" s="2" t="inlineStr">
        <is>
          <t>36179J4C8</t>
        </is>
      </c>
      <c r="D175" t="inlineStr">
        <is>
          <t>WELLS FARGO BANK, N.A.</t>
        </is>
      </c>
      <c r="E175" t="inlineStr">
        <is>
          <t>221d4</t>
        </is>
      </c>
      <c r="F175" t="inlineStr">
        <is>
          <t>RP</t>
        </is>
      </c>
      <c r="G175" t="n">
        <v>2013</v>
      </c>
      <c r="H175" t="inlineStr">
        <is>
          <t>202602</t>
        </is>
      </c>
      <c r="I175" s="22" t="n">
        <v>827917.08</v>
      </c>
      <c r="J175" s="23" t="n">
        <v>3.17</v>
      </c>
      <c r="K175" s="24" t="n">
        <v>447</v>
      </c>
      <c r="L175" s="24" t="n">
        <v>0</v>
      </c>
      <c r="M175" t="n">
        <v>154</v>
      </c>
      <c r="N175" t="n">
        <v>30</v>
      </c>
      <c r="O175" t="n">
        <v>203505</v>
      </c>
      <c r="P175" t="inlineStr"/>
      <c r="Q175" t="inlineStr">
        <is>
          <t>3998</t>
        </is>
      </c>
      <c r="R175" t="n">
        <v>0</v>
      </c>
      <c r="S175" t="n">
        <v>1</v>
      </c>
      <c r="T175" t="n">
        <v>0</v>
      </c>
      <c r="U175" t="n">
        <v>0</v>
      </c>
      <c r="V175" s="24">
        <f>J175*100-K175</f>
        <v/>
      </c>
      <c r="W175" s="24">
        <f>L175</f>
        <v/>
      </c>
      <c r="X175" s="25">
        <f>MIN(M175,36)</f>
        <v/>
      </c>
      <c r="Y175" s="25">
        <f>MIN(MAX(M175-36,0),84)</f>
        <v/>
      </c>
      <c r="Z175" s="25">
        <f>MAX(M175-120,0)</f>
        <v/>
      </c>
      <c r="AA175" s="25">
        <f>IF(OR(O175="",NOT(ISNUMBER(O175))),360,MAX(0,MIN(480,(INT(O175/100)-INT(VALUE(H175)/100))*12+MOD(O175,100)-MOD(VALUE(H175),100))))</f>
        <v/>
      </c>
      <c r="AB175">
        <f>IF(AND(AA175&gt;0,AA175&lt;=24),1,0)</f>
        <v/>
      </c>
      <c r="AC175" s="25">
        <f>IF(OR(P175="",NOT(ISNUMBER(P175))),0,MAX(0,MIN(24,(INT(VALUE(H175)/100)-INT(P175/100))*12+MOD(VALUE(H175),100)-MOD(P175,100))))</f>
        <v/>
      </c>
      <c r="AD175" s="23">
        <f>LN(1+I175)</f>
        <v/>
      </c>
      <c r="AE175">
        <f>IF(I175&lt;2000000,1,0)</f>
        <v/>
      </c>
      <c r="AF175">
        <f>IF(I175&gt;50000000,1,0)</f>
        <v/>
      </c>
      <c r="AG175" s="23">
        <f>IF(ISNUMBER(M175),N175/MAX(M175,1),0)</f>
        <v/>
      </c>
      <c r="AH175">
        <f>IF(G175&gt;=2021,1,0)</f>
        <v/>
      </c>
      <c r="AI175">
        <f>S175</f>
        <v/>
      </c>
      <c r="AJ175">
        <f>T175</f>
        <v/>
      </c>
      <c r="AK175">
        <f>R175</f>
        <v/>
      </c>
      <c r="AL175">
        <f>U175</f>
        <v/>
      </c>
      <c r="AM175">
        <f>IF(ISNUMBER(SEARCH("CAPITAL FUNDING",D175)),1,0)</f>
        <v/>
      </c>
      <c r="AN175">
        <f>IF(ISNUMBER(SEARCH("PNC",D175)),1,0)</f>
        <v/>
      </c>
      <c r="AO175">
        <f>IF(ISNUMBER(SEARCH("WELLS FARGO",D175)),1,0)</f>
        <v/>
      </c>
      <c r="AP175">
        <f>IF(ISNUMBER(SEARCH("DWIGHT",D175)),1,0)</f>
        <v/>
      </c>
      <c r="AQ175">
        <f>IF(ISNUMBER(SEARCH("GREYSTONE",D175)),1,0)</f>
        <v/>
      </c>
      <c r="AR175">
        <f>IF(OR(Q175="3896",Q175="3557"),1,0)</f>
        <v/>
      </c>
      <c r="AS175" s="24">
        <f>V175*W175</f>
        <v/>
      </c>
      <c r="AT175" s="26">
        <f>V$4*(V175-V$3)</f>
        <v/>
      </c>
      <c r="AU175" s="26">
        <f>W$4*(W175-W$3)</f>
        <v/>
      </c>
      <c r="AV175" s="26">
        <f>X$4*(X175-X$3)</f>
        <v/>
      </c>
      <c r="AW175" s="26">
        <f>Y$4*(Y175-Y$3)</f>
        <v/>
      </c>
      <c r="AX175" s="26">
        <f>Z$4*(Z175-Z$3)</f>
        <v/>
      </c>
      <c r="AY175" s="26">
        <f>AA$4*(AA175-AA$3)</f>
        <v/>
      </c>
      <c r="AZ175" s="26">
        <f>AB$4*(AB175-AB$3)</f>
        <v/>
      </c>
      <c r="BA175" s="26">
        <f>AC$4*(AC175-AC$3)</f>
        <v/>
      </c>
      <c r="BB175" s="26">
        <f>AD$4*(AD175-AD$3)</f>
        <v/>
      </c>
      <c r="BC175" s="26">
        <f>AE$4*(AE175-AE$3)</f>
        <v/>
      </c>
      <c r="BD175" s="26">
        <f>AF$4*(AF175-AF$3)</f>
        <v/>
      </c>
      <c r="BE175" s="26">
        <f>AG$4*(AG175-AG$3)</f>
        <v/>
      </c>
      <c r="BF175" s="26">
        <f>AH$4*(AH175-AH$3)</f>
        <v/>
      </c>
      <c r="BG175" s="26">
        <f>AI$4*(AI175-AI$3)</f>
        <v/>
      </c>
      <c r="BH175" s="26">
        <f>AJ$4*(AJ175-AJ$3)</f>
        <v/>
      </c>
      <c r="BI175" s="26">
        <f>AK$4*(AK175-AK$3)</f>
        <v/>
      </c>
      <c r="BJ175" s="26">
        <f>AL$4*(AL175-AL$3)</f>
        <v/>
      </c>
      <c r="BK175" s="26">
        <f>AM$4*(AM175-AM$3)</f>
        <v/>
      </c>
      <c r="BL175" s="26">
        <f>AN$4*(AN175-AN$3)</f>
        <v/>
      </c>
      <c r="BM175" s="26">
        <f>AO$4*(AO175-AO$3)</f>
        <v/>
      </c>
      <c r="BN175" s="26">
        <f>AP$4*(AP175-AP$3)</f>
        <v/>
      </c>
      <c r="BO175" s="26">
        <f>AQ$4*(AQ175-AQ$3)</f>
        <v/>
      </c>
      <c r="BP175" s="26">
        <f>AR$4*(AR175-AR$3)</f>
        <v/>
      </c>
      <c r="BQ175" s="26">
        <f>AS$4*(AS175-AS$3)</f>
        <v/>
      </c>
      <c r="BR175" s="27">
        <f>SUM(AT175:BQ175)</f>
        <v/>
      </c>
      <c r="BS175" s="27">
        <f>INTERCEPT_SCALED+BR175</f>
        <v/>
      </c>
      <c r="BT175" s="28">
        <f>1/(1+EXP(-BS175))</f>
        <v/>
      </c>
      <c r="BU175" s="13">
        <f>1-(1-BT175)^12</f>
        <v/>
      </c>
      <c r="BV175" s="13">
        <f>IFERROR(AT175/BR175*(BU175-BASELINE_CPR),0)</f>
        <v/>
      </c>
      <c r="BW175" s="13">
        <f>IFERROR(AU175/BR175*(BU175-BASELINE_CPR),0)</f>
        <v/>
      </c>
      <c r="BX175" s="13">
        <f>IFERROR(AV175/BR175*(BU175-BASELINE_CPR),0)</f>
        <v/>
      </c>
      <c r="BY175" s="13">
        <f>IFERROR(AW175/BR175*(BU175-BASELINE_CPR),0)</f>
        <v/>
      </c>
      <c r="BZ175" s="13">
        <f>IFERROR(AX175/BR175*(BU175-BASELINE_CPR),0)</f>
        <v/>
      </c>
      <c r="CA175" s="13">
        <f>IFERROR(AY175/BR175*(BU175-BASELINE_CPR),0)</f>
        <v/>
      </c>
      <c r="CB175" s="13">
        <f>IFERROR(AZ175/BR175*(BU175-BASELINE_CPR),0)</f>
        <v/>
      </c>
      <c r="CC175" s="13">
        <f>IFERROR(BA175/BR175*(BU175-BASELINE_CPR),0)</f>
        <v/>
      </c>
      <c r="CD175" s="13">
        <f>IFERROR(BB175/BR175*(BU175-BASELINE_CPR),0)</f>
        <v/>
      </c>
      <c r="CE175" s="13">
        <f>IFERROR(BC175/BR175*(BU175-BASELINE_CPR),0)</f>
        <v/>
      </c>
      <c r="CF175" s="13">
        <f>IFERROR(BD175/BR175*(BU175-BASELINE_CPR),0)</f>
        <v/>
      </c>
      <c r="CG175" s="13">
        <f>IFERROR(BE175/BR175*(BU175-BASELINE_CPR),0)</f>
        <v/>
      </c>
      <c r="CH175" s="13">
        <f>IFERROR(BF175/BR175*(BU175-BASELINE_CPR),0)</f>
        <v/>
      </c>
      <c r="CI175" s="13">
        <f>IFERROR(BG175/BR175*(BU175-BASELINE_CPR),0)</f>
        <v/>
      </c>
      <c r="CJ175" s="13">
        <f>IFERROR(BH175/BR175*(BU175-BASELINE_CPR),0)</f>
        <v/>
      </c>
      <c r="CK175" s="13">
        <f>IFERROR(BI175/BR175*(BU175-BASELINE_CPR),0)</f>
        <v/>
      </c>
      <c r="CL175" s="13">
        <f>IFERROR(BJ175/BR175*(BU175-BASELINE_CPR),0)</f>
        <v/>
      </c>
      <c r="CM175" s="13">
        <f>IFERROR(BK175/BR175*(BU175-BASELINE_CPR),0)</f>
        <v/>
      </c>
      <c r="CN175" s="13">
        <f>IFERROR(BL175/BR175*(BU175-BASELINE_CPR),0)</f>
        <v/>
      </c>
      <c r="CO175" s="13">
        <f>IFERROR(BM175/BR175*(BU175-BASELINE_CPR),0)</f>
        <v/>
      </c>
      <c r="CP175" s="13">
        <f>IFERROR(BN175/BR175*(BU175-BASELINE_CPR),0)</f>
        <v/>
      </c>
      <c r="CQ175" s="13">
        <f>IFERROR(BO175/BR175*(BU175-BASELINE_CPR),0)</f>
        <v/>
      </c>
      <c r="CR175" s="13">
        <f>IFERROR(BP175/BR175*(BU175-BASELINE_CPR),0)</f>
        <v/>
      </c>
      <c r="CS175" s="13">
        <f>IFERROR(BQ175/BR175*(BU175-BASELINE_CPR),0)</f>
        <v/>
      </c>
      <c r="CT175" s="29">
        <f>BASELINE_CPR+SUM(BV175:CS175)-BU175</f>
        <v/>
      </c>
    </row>
    <row r="176">
      <c r="A176" s="2" t="inlineStr">
        <is>
          <t>36177MXR8_000000005211167</t>
        </is>
      </c>
      <c r="B176" t="inlineStr">
        <is>
          <t>WELLS_PRE21</t>
        </is>
      </c>
      <c r="C176" s="2" t="inlineStr">
        <is>
          <t>36177MXR8</t>
        </is>
      </c>
      <c r="D176" t="inlineStr">
        <is>
          <t>WELLS FARGO BANK, N.A.</t>
        </is>
      </c>
      <c r="E176" t="inlineStr">
        <is>
          <t>223f</t>
        </is>
      </c>
      <c r="F176" t="inlineStr">
        <is>
          <t>RP</t>
        </is>
      </c>
      <c r="G176" t="n">
        <v>2012</v>
      </c>
      <c r="H176" t="inlineStr">
        <is>
          <t>202602</t>
        </is>
      </c>
      <c r="I176" s="22" t="n">
        <v>3497280.04</v>
      </c>
      <c r="J176" s="23" t="n">
        <v>2.71</v>
      </c>
      <c r="K176" s="24" t="n">
        <v>447</v>
      </c>
      <c r="L176" s="24" t="n">
        <v>0</v>
      </c>
      <c r="M176" t="n">
        <v>164</v>
      </c>
      <c r="N176" t="n">
        <v>25</v>
      </c>
      <c r="O176" t="n">
        <v>204707</v>
      </c>
      <c r="P176" t="n">
        <v>201308</v>
      </c>
      <c r="Q176" t="inlineStr">
        <is>
          <t>3998</t>
        </is>
      </c>
      <c r="R176" t="n">
        <v>0</v>
      </c>
      <c r="S176" t="n">
        <v>0</v>
      </c>
      <c r="T176" t="n">
        <v>0</v>
      </c>
      <c r="U176" t="n">
        <v>0</v>
      </c>
      <c r="V176" s="24">
        <f>J176*100-K176</f>
        <v/>
      </c>
      <c r="W176" s="24">
        <f>L176</f>
        <v/>
      </c>
      <c r="X176" s="25">
        <f>MIN(M176,36)</f>
        <v/>
      </c>
      <c r="Y176" s="25">
        <f>MIN(MAX(M176-36,0),84)</f>
        <v/>
      </c>
      <c r="Z176" s="25">
        <f>MAX(M176-120,0)</f>
        <v/>
      </c>
      <c r="AA176" s="25">
        <f>IF(OR(O176="",NOT(ISNUMBER(O176))),360,MAX(0,MIN(480,(INT(O176/100)-INT(VALUE(H176)/100))*12+MOD(O176,100)-MOD(VALUE(H176),100))))</f>
        <v/>
      </c>
      <c r="AB176">
        <f>IF(AND(AA176&gt;0,AA176&lt;=24),1,0)</f>
        <v/>
      </c>
      <c r="AC176" s="25">
        <f>IF(OR(P176="",NOT(ISNUMBER(P176))),0,MAX(0,MIN(24,(INT(VALUE(H176)/100)-INT(P176/100))*12+MOD(VALUE(H176),100)-MOD(P176,100))))</f>
        <v/>
      </c>
      <c r="AD176" s="23">
        <f>LN(1+I176)</f>
        <v/>
      </c>
      <c r="AE176">
        <f>IF(I176&lt;2000000,1,0)</f>
        <v/>
      </c>
      <c r="AF176">
        <f>IF(I176&gt;50000000,1,0)</f>
        <v/>
      </c>
      <c r="AG176" s="23">
        <f>IF(ISNUMBER(M176),N176/MAX(M176,1),0)</f>
        <v/>
      </c>
      <c r="AH176">
        <f>IF(G176&gt;=2021,1,0)</f>
        <v/>
      </c>
      <c r="AI176">
        <f>S176</f>
        <v/>
      </c>
      <c r="AJ176">
        <f>T176</f>
        <v/>
      </c>
      <c r="AK176">
        <f>R176</f>
        <v/>
      </c>
      <c r="AL176">
        <f>U176</f>
        <v/>
      </c>
      <c r="AM176">
        <f>IF(ISNUMBER(SEARCH("CAPITAL FUNDING",D176)),1,0)</f>
        <v/>
      </c>
      <c r="AN176">
        <f>IF(ISNUMBER(SEARCH("PNC",D176)),1,0)</f>
        <v/>
      </c>
      <c r="AO176">
        <f>IF(ISNUMBER(SEARCH("WELLS FARGO",D176)),1,0)</f>
        <v/>
      </c>
      <c r="AP176">
        <f>IF(ISNUMBER(SEARCH("DWIGHT",D176)),1,0)</f>
        <v/>
      </c>
      <c r="AQ176">
        <f>IF(ISNUMBER(SEARCH("GREYSTONE",D176)),1,0)</f>
        <v/>
      </c>
      <c r="AR176">
        <f>IF(OR(Q176="3896",Q176="3557"),1,0)</f>
        <v/>
      </c>
      <c r="AS176" s="24">
        <f>V176*W176</f>
        <v/>
      </c>
      <c r="AT176" s="26">
        <f>V$4*(V176-V$3)</f>
        <v/>
      </c>
      <c r="AU176" s="26">
        <f>W$4*(W176-W$3)</f>
        <v/>
      </c>
      <c r="AV176" s="26">
        <f>X$4*(X176-X$3)</f>
        <v/>
      </c>
      <c r="AW176" s="26">
        <f>Y$4*(Y176-Y$3)</f>
        <v/>
      </c>
      <c r="AX176" s="26">
        <f>Z$4*(Z176-Z$3)</f>
        <v/>
      </c>
      <c r="AY176" s="26">
        <f>AA$4*(AA176-AA$3)</f>
        <v/>
      </c>
      <c r="AZ176" s="26">
        <f>AB$4*(AB176-AB$3)</f>
        <v/>
      </c>
      <c r="BA176" s="26">
        <f>AC$4*(AC176-AC$3)</f>
        <v/>
      </c>
      <c r="BB176" s="26">
        <f>AD$4*(AD176-AD$3)</f>
        <v/>
      </c>
      <c r="BC176" s="26">
        <f>AE$4*(AE176-AE$3)</f>
        <v/>
      </c>
      <c r="BD176" s="26">
        <f>AF$4*(AF176-AF$3)</f>
        <v/>
      </c>
      <c r="BE176" s="26">
        <f>AG$4*(AG176-AG$3)</f>
        <v/>
      </c>
      <c r="BF176" s="26">
        <f>AH$4*(AH176-AH$3)</f>
        <v/>
      </c>
      <c r="BG176" s="26">
        <f>AI$4*(AI176-AI$3)</f>
        <v/>
      </c>
      <c r="BH176" s="26">
        <f>AJ$4*(AJ176-AJ$3)</f>
        <v/>
      </c>
      <c r="BI176" s="26">
        <f>AK$4*(AK176-AK$3)</f>
        <v/>
      </c>
      <c r="BJ176" s="26">
        <f>AL$4*(AL176-AL$3)</f>
        <v/>
      </c>
      <c r="BK176" s="26">
        <f>AM$4*(AM176-AM$3)</f>
        <v/>
      </c>
      <c r="BL176" s="26">
        <f>AN$4*(AN176-AN$3)</f>
        <v/>
      </c>
      <c r="BM176" s="26">
        <f>AO$4*(AO176-AO$3)</f>
        <v/>
      </c>
      <c r="BN176" s="26">
        <f>AP$4*(AP176-AP$3)</f>
        <v/>
      </c>
      <c r="BO176" s="26">
        <f>AQ$4*(AQ176-AQ$3)</f>
        <v/>
      </c>
      <c r="BP176" s="26">
        <f>AR$4*(AR176-AR$3)</f>
        <v/>
      </c>
      <c r="BQ176" s="26">
        <f>AS$4*(AS176-AS$3)</f>
        <v/>
      </c>
      <c r="BR176" s="27">
        <f>SUM(AT176:BQ176)</f>
        <v/>
      </c>
      <c r="BS176" s="27">
        <f>INTERCEPT_SCALED+BR176</f>
        <v/>
      </c>
      <c r="BT176" s="28">
        <f>1/(1+EXP(-BS176))</f>
        <v/>
      </c>
      <c r="BU176" s="13">
        <f>1-(1-BT176)^12</f>
        <v/>
      </c>
      <c r="BV176" s="13">
        <f>IFERROR(AT176/BR176*(BU176-BASELINE_CPR),0)</f>
        <v/>
      </c>
      <c r="BW176" s="13">
        <f>IFERROR(AU176/BR176*(BU176-BASELINE_CPR),0)</f>
        <v/>
      </c>
      <c r="BX176" s="13">
        <f>IFERROR(AV176/BR176*(BU176-BASELINE_CPR),0)</f>
        <v/>
      </c>
      <c r="BY176" s="13">
        <f>IFERROR(AW176/BR176*(BU176-BASELINE_CPR),0)</f>
        <v/>
      </c>
      <c r="BZ176" s="13">
        <f>IFERROR(AX176/BR176*(BU176-BASELINE_CPR),0)</f>
        <v/>
      </c>
      <c r="CA176" s="13">
        <f>IFERROR(AY176/BR176*(BU176-BASELINE_CPR),0)</f>
        <v/>
      </c>
      <c r="CB176" s="13">
        <f>IFERROR(AZ176/BR176*(BU176-BASELINE_CPR),0)</f>
        <v/>
      </c>
      <c r="CC176" s="13">
        <f>IFERROR(BA176/BR176*(BU176-BASELINE_CPR),0)</f>
        <v/>
      </c>
      <c r="CD176" s="13">
        <f>IFERROR(BB176/BR176*(BU176-BASELINE_CPR),0)</f>
        <v/>
      </c>
      <c r="CE176" s="13">
        <f>IFERROR(BC176/BR176*(BU176-BASELINE_CPR),0)</f>
        <v/>
      </c>
      <c r="CF176" s="13">
        <f>IFERROR(BD176/BR176*(BU176-BASELINE_CPR),0)</f>
        <v/>
      </c>
      <c r="CG176" s="13">
        <f>IFERROR(BE176/BR176*(BU176-BASELINE_CPR),0)</f>
        <v/>
      </c>
      <c r="CH176" s="13">
        <f>IFERROR(BF176/BR176*(BU176-BASELINE_CPR),0)</f>
        <v/>
      </c>
      <c r="CI176" s="13">
        <f>IFERROR(BG176/BR176*(BU176-BASELINE_CPR),0)</f>
        <v/>
      </c>
      <c r="CJ176" s="13">
        <f>IFERROR(BH176/BR176*(BU176-BASELINE_CPR),0)</f>
        <v/>
      </c>
      <c r="CK176" s="13">
        <f>IFERROR(BI176/BR176*(BU176-BASELINE_CPR),0)</f>
        <v/>
      </c>
      <c r="CL176" s="13">
        <f>IFERROR(BJ176/BR176*(BU176-BASELINE_CPR),0)</f>
        <v/>
      </c>
      <c r="CM176" s="13">
        <f>IFERROR(BK176/BR176*(BU176-BASELINE_CPR),0)</f>
        <v/>
      </c>
      <c r="CN176" s="13">
        <f>IFERROR(BL176/BR176*(BU176-BASELINE_CPR),0)</f>
        <v/>
      </c>
      <c r="CO176" s="13">
        <f>IFERROR(BM176/BR176*(BU176-BASELINE_CPR),0)</f>
        <v/>
      </c>
      <c r="CP176" s="13">
        <f>IFERROR(BN176/BR176*(BU176-BASELINE_CPR),0)</f>
        <v/>
      </c>
      <c r="CQ176" s="13">
        <f>IFERROR(BO176/BR176*(BU176-BASELINE_CPR),0)</f>
        <v/>
      </c>
      <c r="CR176" s="13">
        <f>IFERROR(BP176/BR176*(BU176-BASELINE_CPR),0)</f>
        <v/>
      </c>
      <c r="CS176" s="13">
        <f>IFERROR(BQ176/BR176*(BU176-BASELINE_CPR),0)</f>
        <v/>
      </c>
      <c r="CT176" s="29">
        <f>BASELINE_CPR+SUM(BV176:CS176)-BU176</f>
        <v/>
      </c>
    </row>
    <row r="177">
      <c r="A177" s="2" t="inlineStr">
        <is>
          <t>3617MPEM6_000000014335134</t>
        </is>
      </c>
      <c r="B177" t="inlineStr">
        <is>
          <t>WELLS_PRE21</t>
        </is>
      </c>
      <c r="C177" s="2" t="inlineStr">
        <is>
          <t>3617MPEM6</t>
        </is>
      </c>
      <c r="D177" t="inlineStr">
        <is>
          <t>WELLS FARGO BANK, N.A.</t>
        </is>
      </c>
      <c r="E177" t="inlineStr">
        <is>
          <t>221d4</t>
        </is>
      </c>
      <c r="F177" t="inlineStr">
        <is>
          <t>NC</t>
        </is>
      </c>
      <c r="G177" t="n">
        <v>2020</v>
      </c>
      <c r="H177" t="inlineStr">
        <is>
          <t>202602</t>
        </is>
      </c>
      <c r="I177" s="22" t="n">
        <v>44900623.16</v>
      </c>
      <c r="J177" s="23" t="n">
        <v>2.88</v>
      </c>
      <c r="K177" s="24" t="n">
        <v>447</v>
      </c>
      <c r="L177" s="24" t="n">
        <v>7</v>
      </c>
      <c r="M177" t="n">
        <v>70</v>
      </c>
      <c r="N177" t="n">
        <v>0</v>
      </c>
      <c r="O177" t="n">
        <v>206205</v>
      </c>
      <c r="P177" t="inlineStr"/>
      <c r="Q177" t="inlineStr">
        <is>
          <t>3998</t>
        </is>
      </c>
      <c r="R177" t="n">
        <v>0</v>
      </c>
      <c r="S177" t="n">
        <v>0</v>
      </c>
      <c r="T177" t="n">
        <v>0</v>
      </c>
      <c r="U177" t="n">
        <v>1</v>
      </c>
      <c r="V177" s="24">
        <f>J177*100-K177</f>
        <v/>
      </c>
      <c r="W177" s="24">
        <f>L177</f>
        <v/>
      </c>
      <c r="X177" s="25">
        <f>MIN(M177,36)</f>
        <v/>
      </c>
      <c r="Y177" s="25">
        <f>MIN(MAX(M177-36,0),84)</f>
        <v/>
      </c>
      <c r="Z177" s="25">
        <f>MAX(M177-120,0)</f>
        <v/>
      </c>
      <c r="AA177" s="25">
        <f>IF(OR(O177="",NOT(ISNUMBER(O177))),360,MAX(0,MIN(480,(INT(O177/100)-INT(VALUE(H177)/100))*12+MOD(O177,100)-MOD(VALUE(H177),100))))</f>
        <v/>
      </c>
      <c r="AB177">
        <f>IF(AND(AA177&gt;0,AA177&lt;=24),1,0)</f>
        <v/>
      </c>
      <c r="AC177" s="25">
        <f>IF(OR(P177="",NOT(ISNUMBER(P177))),0,MAX(0,MIN(24,(INT(VALUE(H177)/100)-INT(P177/100))*12+MOD(VALUE(H177),100)-MOD(P177,100))))</f>
        <v/>
      </c>
      <c r="AD177" s="23">
        <f>LN(1+I177)</f>
        <v/>
      </c>
      <c r="AE177">
        <f>IF(I177&lt;2000000,1,0)</f>
        <v/>
      </c>
      <c r="AF177">
        <f>IF(I177&gt;50000000,1,0)</f>
        <v/>
      </c>
      <c r="AG177" s="23">
        <f>IF(ISNUMBER(M177),N177/MAX(M177,1),0)</f>
        <v/>
      </c>
      <c r="AH177">
        <f>IF(G177&gt;=2021,1,0)</f>
        <v/>
      </c>
      <c r="AI177">
        <f>S177</f>
        <v/>
      </c>
      <c r="AJ177">
        <f>T177</f>
        <v/>
      </c>
      <c r="AK177">
        <f>R177</f>
        <v/>
      </c>
      <c r="AL177">
        <f>U177</f>
        <v/>
      </c>
      <c r="AM177">
        <f>IF(ISNUMBER(SEARCH("CAPITAL FUNDING",D177)),1,0)</f>
        <v/>
      </c>
      <c r="AN177">
        <f>IF(ISNUMBER(SEARCH("PNC",D177)),1,0)</f>
        <v/>
      </c>
      <c r="AO177">
        <f>IF(ISNUMBER(SEARCH("WELLS FARGO",D177)),1,0)</f>
        <v/>
      </c>
      <c r="AP177">
        <f>IF(ISNUMBER(SEARCH("DWIGHT",D177)),1,0)</f>
        <v/>
      </c>
      <c r="AQ177">
        <f>IF(ISNUMBER(SEARCH("GREYSTONE",D177)),1,0)</f>
        <v/>
      </c>
      <c r="AR177">
        <f>IF(OR(Q177="3896",Q177="3557"),1,0)</f>
        <v/>
      </c>
      <c r="AS177" s="24">
        <f>V177*W177</f>
        <v/>
      </c>
      <c r="AT177" s="26">
        <f>V$4*(V177-V$3)</f>
        <v/>
      </c>
      <c r="AU177" s="26">
        <f>W$4*(W177-W$3)</f>
        <v/>
      </c>
      <c r="AV177" s="26">
        <f>X$4*(X177-X$3)</f>
        <v/>
      </c>
      <c r="AW177" s="26">
        <f>Y$4*(Y177-Y$3)</f>
        <v/>
      </c>
      <c r="AX177" s="26">
        <f>Z$4*(Z177-Z$3)</f>
        <v/>
      </c>
      <c r="AY177" s="26">
        <f>AA$4*(AA177-AA$3)</f>
        <v/>
      </c>
      <c r="AZ177" s="26">
        <f>AB$4*(AB177-AB$3)</f>
        <v/>
      </c>
      <c r="BA177" s="26">
        <f>AC$4*(AC177-AC$3)</f>
        <v/>
      </c>
      <c r="BB177" s="26">
        <f>AD$4*(AD177-AD$3)</f>
        <v/>
      </c>
      <c r="BC177" s="26">
        <f>AE$4*(AE177-AE$3)</f>
        <v/>
      </c>
      <c r="BD177" s="26">
        <f>AF$4*(AF177-AF$3)</f>
        <v/>
      </c>
      <c r="BE177" s="26">
        <f>AG$4*(AG177-AG$3)</f>
        <v/>
      </c>
      <c r="BF177" s="26">
        <f>AH$4*(AH177-AH$3)</f>
        <v/>
      </c>
      <c r="BG177" s="26">
        <f>AI$4*(AI177-AI$3)</f>
        <v/>
      </c>
      <c r="BH177" s="26">
        <f>AJ$4*(AJ177-AJ$3)</f>
        <v/>
      </c>
      <c r="BI177" s="26">
        <f>AK$4*(AK177-AK$3)</f>
        <v/>
      </c>
      <c r="BJ177" s="26">
        <f>AL$4*(AL177-AL$3)</f>
        <v/>
      </c>
      <c r="BK177" s="26">
        <f>AM$4*(AM177-AM$3)</f>
        <v/>
      </c>
      <c r="BL177" s="26">
        <f>AN$4*(AN177-AN$3)</f>
        <v/>
      </c>
      <c r="BM177" s="26">
        <f>AO$4*(AO177-AO$3)</f>
        <v/>
      </c>
      <c r="BN177" s="26">
        <f>AP$4*(AP177-AP$3)</f>
        <v/>
      </c>
      <c r="BO177" s="26">
        <f>AQ$4*(AQ177-AQ$3)</f>
        <v/>
      </c>
      <c r="BP177" s="26">
        <f>AR$4*(AR177-AR$3)</f>
        <v/>
      </c>
      <c r="BQ177" s="26">
        <f>AS$4*(AS177-AS$3)</f>
        <v/>
      </c>
      <c r="BR177" s="27">
        <f>SUM(AT177:BQ177)</f>
        <v/>
      </c>
      <c r="BS177" s="27">
        <f>INTERCEPT_SCALED+BR177</f>
        <v/>
      </c>
      <c r="BT177" s="28">
        <f>1/(1+EXP(-BS177))</f>
        <v/>
      </c>
      <c r="BU177" s="13">
        <f>1-(1-BT177)^12</f>
        <v/>
      </c>
      <c r="BV177" s="13">
        <f>IFERROR(AT177/BR177*(BU177-BASELINE_CPR),0)</f>
        <v/>
      </c>
      <c r="BW177" s="13">
        <f>IFERROR(AU177/BR177*(BU177-BASELINE_CPR),0)</f>
        <v/>
      </c>
      <c r="BX177" s="13">
        <f>IFERROR(AV177/BR177*(BU177-BASELINE_CPR),0)</f>
        <v/>
      </c>
      <c r="BY177" s="13">
        <f>IFERROR(AW177/BR177*(BU177-BASELINE_CPR),0)</f>
        <v/>
      </c>
      <c r="BZ177" s="13">
        <f>IFERROR(AX177/BR177*(BU177-BASELINE_CPR),0)</f>
        <v/>
      </c>
      <c r="CA177" s="13">
        <f>IFERROR(AY177/BR177*(BU177-BASELINE_CPR),0)</f>
        <v/>
      </c>
      <c r="CB177" s="13">
        <f>IFERROR(AZ177/BR177*(BU177-BASELINE_CPR),0)</f>
        <v/>
      </c>
      <c r="CC177" s="13">
        <f>IFERROR(BA177/BR177*(BU177-BASELINE_CPR),0)</f>
        <v/>
      </c>
      <c r="CD177" s="13">
        <f>IFERROR(BB177/BR177*(BU177-BASELINE_CPR),0)</f>
        <v/>
      </c>
      <c r="CE177" s="13">
        <f>IFERROR(BC177/BR177*(BU177-BASELINE_CPR),0)</f>
        <v/>
      </c>
      <c r="CF177" s="13">
        <f>IFERROR(BD177/BR177*(BU177-BASELINE_CPR),0)</f>
        <v/>
      </c>
      <c r="CG177" s="13">
        <f>IFERROR(BE177/BR177*(BU177-BASELINE_CPR),0)</f>
        <v/>
      </c>
      <c r="CH177" s="13">
        <f>IFERROR(BF177/BR177*(BU177-BASELINE_CPR),0)</f>
        <v/>
      </c>
      <c r="CI177" s="13">
        <f>IFERROR(BG177/BR177*(BU177-BASELINE_CPR),0)</f>
        <v/>
      </c>
      <c r="CJ177" s="13">
        <f>IFERROR(BH177/BR177*(BU177-BASELINE_CPR),0)</f>
        <v/>
      </c>
      <c r="CK177" s="13">
        <f>IFERROR(BI177/BR177*(BU177-BASELINE_CPR),0)</f>
        <v/>
      </c>
      <c r="CL177" s="13">
        <f>IFERROR(BJ177/BR177*(BU177-BASELINE_CPR),0)</f>
        <v/>
      </c>
      <c r="CM177" s="13">
        <f>IFERROR(BK177/BR177*(BU177-BASELINE_CPR),0)</f>
        <v/>
      </c>
      <c r="CN177" s="13">
        <f>IFERROR(BL177/BR177*(BU177-BASELINE_CPR),0)</f>
        <v/>
      </c>
      <c r="CO177" s="13">
        <f>IFERROR(BM177/BR177*(BU177-BASELINE_CPR),0)</f>
        <v/>
      </c>
      <c r="CP177" s="13">
        <f>IFERROR(BN177/BR177*(BU177-BASELINE_CPR),0)</f>
        <v/>
      </c>
      <c r="CQ177" s="13">
        <f>IFERROR(BO177/BR177*(BU177-BASELINE_CPR),0)</f>
        <v/>
      </c>
      <c r="CR177" s="13">
        <f>IFERROR(BP177/BR177*(BU177-BASELINE_CPR),0)</f>
        <v/>
      </c>
      <c r="CS177" s="13">
        <f>IFERROR(BQ177/BR177*(BU177-BASELINE_CPR),0)</f>
        <v/>
      </c>
      <c r="CT177" s="29">
        <f>BASELINE_CPR+SUM(BV177:CS177)-BU177</f>
        <v/>
      </c>
    </row>
    <row r="178">
      <c r="A178" s="2" t="inlineStr">
        <is>
          <t>3617QULC5_000000005235605</t>
        </is>
      </c>
      <c r="B178" t="inlineStr">
        <is>
          <t>WELLS_PRE21</t>
        </is>
      </c>
      <c r="C178" s="2" t="inlineStr">
        <is>
          <t>3617QULC5</t>
        </is>
      </c>
      <c r="D178" t="inlineStr">
        <is>
          <t>WELLS FARGO BANK, N.A.</t>
        </is>
      </c>
      <c r="E178" t="inlineStr">
        <is>
          <t>221d4</t>
        </is>
      </c>
      <c r="F178" t="inlineStr">
        <is>
          <t>RP</t>
        </is>
      </c>
      <c r="G178" t="n">
        <v>2003</v>
      </c>
      <c r="H178" t="inlineStr">
        <is>
          <t>202602</t>
        </is>
      </c>
      <c r="I178" s="22" t="n">
        <v>436898.39</v>
      </c>
      <c r="J178" s="23" t="n">
        <v>2.3</v>
      </c>
      <c r="K178" s="24" t="n">
        <v>447</v>
      </c>
      <c r="L178" s="24" t="n">
        <v>5</v>
      </c>
      <c r="M178" t="n">
        <v>269</v>
      </c>
      <c r="N178" t="n">
        <v>0</v>
      </c>
      <c r="O178" t="n">
        <v>203310</v>
      </c>
      <c r="P178" t="inlineStr"/>
      <c r="Q178" t="inlineStr">
        <is>
          <t>3998</t>
        </is>
      </c>
      <c r="R178" t="n">
        <v>0</v>
      </c>
      <c r="S178" t="n">
        <v>1</v>
      </c>
      <c r="T178" t="n">
        <v>0</v>
      </c>
      <c r="U178" t="n">
        <v>0</v>
      </c>
      <c r="V178" s="24">
        <f>J178*100-K178</f>
        <v/>
      </c>
      <c r="W178" s="24">
        <f>L178</f>
        <v/>
      </c>
      <c r="X178" s="25">
        <f>MIN(M178,36)</f>
        <v/>
      </c>
      <c r="Y178" s="25">
        <f>MIN(MAX(M178-36,0),84)</f>
        <v/>
      </c>
      <c r="Z178" s="25">
        <f>MAX(M178-120,0)</f>
        <v/>
      </c>
      <c r="AA178" s="25">
        <f>IF(OR(O178="",NOT(ISNUMBER(O178))),360,MAX(0,MIN(480,(INT(O178/100)-INT(VALUE(H178)/100))*12+MOD(O178,100)-MOD(VALUE(H178),100))))</f>
        <v/>
      </c>
      <c r="AB178">
        <f>IF(AND(AA178&gt;0,AA178&lt;=24),1,0)</f>
        <v/>
      </c>
      <c r="AC178" s="25">
        <f>IF(OR(P178="",NOT(ISNUMBER(P178))),0,MAX(0,MIN(24,(INT(VALUE(H178)/100)-INT(P178/100))*12+MOD(VALUE(H178),100)-MOD(P178,100))))</f>
        <v/>
      </c>
      <c r="AD178" s="23">
        <f>LN(1+I178)</f>
        <v/>
      </c>
      <c r="AE178">
        <f>IF(I178&lt;2000000,1,0)</f>
        <v/>
      </c>
      <c r="AF178">
        <f>IF(I178&gt;50000000,1,0)</f>
        <v/>
      </c>
      <c r="AG178" s="23">
        <f>IF(ISNUMBER(M178),N178/MAX(M178,1),0)</f>
        <v/>
      </c>
      <c r="AH178">
        <f>IF(G178&gt;=2021,1,0)</f>
        <v/>
      </c>
      <c r="AI178">
        <f>S178</f>
        <v/>
      </c>
      <c r="AJ178">
        <f>T178</f>
        <v/>
      </c>
      <c r="AK178">
        <f>R178</f>
        <v/>
      </c>
      <c r="AL178">
        <f>U178</f>
        <v/>
      </c>
      <c r="AM178">
        <f>IF(ISNUMBER(SEARCH("CAPITAL FUNDING",D178)),1,0)</f>
        <v/>
      </c>
      <c r="AN178">
        <f>IF(ISNUMBER(SEARCH("PNC",D178)),1,0)</f>
        <v/>
      </c>
      <c r="AO178">
        <f>IF(ISNUMBER(SEARCH("WELLS FARGO",D178)),1,0)</f>
        <v/>
      </c>
      <c r="AP178">
        <f>IF(ISNUMBER(SEARCH("DWIGHT",D178)),1,0)</f>
        <v/>
      </c>
      <c r="AQ178">
        <f>IF(ISNUMBER(SEARCH("GREYSTONE",D178)),1,0)</f>
        <v/>
      </c>
      <c r="AR178">
        <f>IF(OR(Q178="3896",Q178="3557"),1,0)</f>
        <v/>
      </c>
      <c r="AS178" s="24">
        <f>V178*W178</f>
        <v/>
      </c>
      <c r="AT178" s="26">
        <f>V$4*(V178-V$3)</f>
        <v/>
      </c>
      <c r="AU178" s="26">
        <f>W$4*(W178-W$3)</f>
        <v/>
      </c>
      <c r="AV178" s="26">
        <f>X$4*(X178-X$3)</f>
        <v/>
      </c>
      <c r="AW178" s="26">
        <f>Y$4*(Y178-Y$3)</f>
        <v/>
      </c>
      <c r="AX178" s="26">
        <f>Z$4*(Z178-Z$3)</f>
        <v/>
      </c>
      <c r="AY178" s="26">
        <f>AA$4*(AA178-AA$3)</f>
        <v/>
      </c>
      <c r="AZ178" s="26">
        <f>AB$4*(AB178-AB$3)</f>
        <v/>
      </c>
      <c r="BA178" s="26">
        <f>AC$4*(AC178-AC$3)</f>
        <v/>
      </c>
      <c r="BB178" s="26">
        <f>AD$4*(AD178-AD$3)</f>
        <v/>
      </c>
      <c r="BC178" s="26">
        <f>AE$4*(AE178-AE$3)</f>
        <v/>
      </c>
      <c r="BD178" s="26">
        <f>AF$4*(AF178-AF$3)</f>
        <v/>
      </c>
      <c r="BE178" s="26">
        <f>AG$4*(AG178-AG$3)</f>
        <v/>
      </c>
      <c r="BF178" s="26">
        <f>AH$4*(AH178-AH$3)</f>
        <v/>
      </c>
      <c r="BG178" s="26">
        <f>AI$4*(AI178-AI$3)</f>
        <v/>
      </c>
      <c r="BH178" s="26">
        <f>AJ$4*(AJ178-AJ$3)</f>
        <v/>
      </c>
      <c r="BI178" s="26">
        <f>AK$4*(AK178-AK$3)</f>
        <v/>
      </c>
      <c r="BJ178" s="26">
        <f>AL$4*(AL178-AL$3)</f>
        <v/>
      </c>
      <c r="BK178" s="26">
        <f>AM$4*(AM178-AM$3)</f>
        <v/>
      </c>
      <c r="BL178" s="26">
        <f>AN$4*(AN178-AN$3)</f>
        <v/>
      </c>
      <c r="BM178" s="26">
        <f>AO$4*(AO178-AO$3)</f>
        <v/>
      </c>
      <c r="BN178" s="26">
        <f>AP$4*(AP178-AP$3)</f>
        <v/>
      </c>
      <c r="BO178" s="26">
        <f>AQ$4*(AQ178-AQ$3)</f>
        <v/>
      </c>
      <c r="BP178" s="26">
        <f>AR$4*(AR178-AR$3)</f>
        <v/>
      </c>
      <c r="BQ178" s="26">
        <f>AS$4*(AS178-AS$3)</f>
        <v/>
      </c>
      <c r="BR178" s="27">
        <f>SUM(AT178:BQ178)</f>
        <v/>
      </c>
      <c r="BS178" s="27">
        <f>INTERCEPT_SCALED+BR178</f>
        <v/>
      </c>
      <c r="BT178" s="28">
        <f>1/(1+EXP(-BS178))</f>
        <v/>
      </c>
      <c r="BU178" s="13">
        <f>1-(1-BT178)^12</f>
        <v/>
      </c>
      <c r="BV178" s="13">
        <f>IFERROR(AT178/BR178*(BU178-BASELINE_CPR),0)</f>
        <v/>
      </c>
      <c r="BW178" s="13">
        <f>IFERROR(AU178/BR178*(BU178-BASELINE_CPR),0)</f>
        <v/>
      </c>
      <c r="BX178" s="13">
        <f>IFERROR(AV178/BR178*(BU178-BASELINE_CPR),0)</f>
        <v/>
      </c>
      <c r="BY178" s="13">
        <f>IFERROR(AW178/BR178*(BU178-BASELINE_CPR),0)</f>
        <v/>
      </c>
      <c r="BZ178" s="13">
        <f>IFERROR(AX178/BR178*(BU178-BASELINE_CPR),0)</f>
        <v/>
      </c>
      <c r="CA178" s="13">
        <f>IFERROR(AY178/BR178*(BU178-BASELINE_CPR),0)</f>
        <v/>
      </c>
      <c r="CB178" s="13">
        <f>IFERROR(AZ178/BR178*(BU178-BASELINE_CPR),0)</f>
        <v/>
      </c>
      <c r="CC178" s="13">
        <f>IFERROR(BA178/BR178*(BU178-BASELINE_CPR),0)</f>
        <v/>
      </c>
      <c r="CD178" s="13">
        <f>IFERROR(BB178/BR178*(BU178-BASELINE_CPR),0)</f>
        <v/>
      </c>
      <c r="CE178" s="13">
        <f>IFERROR(BC178/BR178*(BU178-BASELINE_CPR),0)</f>
        <v/>
      </c>
      <c r="CF178" s="13">
        <f>IFERROR(BD178/BR178*(BU178-BASELINE_CPR),0)</f>
        <v/>
      </c>
      <c r="CG178" s="13">
        <f>IFERROR(BE178/BR178*(BU178-BASELINE_CPR),0)</f>
        <v/>
      </c>
      <c r="CH178" s="13">
        <f>IFERROR(BF178/BR178*(BU178-BASELINE_CPR),0)</f>
        <v/>
      </c>
      <c r="CI178" s="13">
        <f>IFERROR(BG178/BR178*(BU178-BASELINE_CPR),0)</f>
        <v/>
      </c>
      <c r="CJ178" s="13">
        <f>IFERROR(BH178/BR178*(BU178-BASELINE_CPR),0)</f>
        <v/>
      </c>
      <c r="CK178" s="13">
        <f>IFERROR(BI178/BR178*(BU178-BASELINE_CPR),0)</f>
        <v/>
      </c>
      <c r="CL178" s="13">
        <f>IFERROR(BJ178/BR178*(BU178-BASELINE_CPR),0)</f>
        <v/>
      </c>
      <c r="CM178" s="13">
        <f>IFERROR(BK178/BR178*(BU178-BASELINE_CPR),0)</f>
        <v/>
      </c>
      <c r="CN178" s="13">
        <f>IFERROR(BL178/BR178*(BU178-BASELINE_CPR),0)</f>
        <v/>
      </c>
      <c r="CO178" s="13">
        <f>IFERROR(BM178/BR178*(BU178-BASELINE_CPR),0)</f>
        <v/>
      </c>
      <c r="CP178" s="13">
        <f>IFERROR(BN178/BR178*(BU178-BASELINE_CPR),0)</f>
        <v/>
      </c>
      <c r="CQ178" s="13">
        <f>IFERROR(BO178/BR178*(BU178-BASELINE_CPR),0)</f>
        <v/>
      </c>
      <c r="CR178" s="13">
        <f>IFERROR(BP178/BR178*(BU178-BASELINE_CPR),0)</f>
        <v/>
      </c>
      <c r="CS178" s="13">
        <f>IFERROR(BQ178/BR178*(BU178-BASELINE_CPR),0)</f>
        <v/>
      </c>
      <c r="CT178" s="29">
        <f>BASELINE_CPR+SUM(BV178:CS178)-BU178</f>
        <v/>
      </c>
    </row>
    <row r="179">
      <c r="A179" s="2" t="inlineStr">
        <is>
          <t>3618JGAC4_000000011522381</t>
        </is>
      </c>
      <c r="B179" t="inlineStr">
        <is>
          <t>CAPITAL_POST21</t>
        </is>
      </c>
      <c r="C179" s="2" t="inlineStr">
        <is>
          <t>3618JGAC4</t>
        </is>
      </c>
      <c r="D179" t="inlineStr">
        <is>
          <t>CAPITAL FUNDING,LLC.</t>
        </is>
      </c>
      <c r="E179" t="inlineStr">
        <is>
          <t>232</t>
        </is>
      </c>
      <c r="F179" t="inlineStr">
        <is>
          <t>RP</t>
        </is>
      </c>
      <c r="G179" t="n">
        <v>2025</v>
      </c>
      <c r="H179" t="inlineStr">
        <is>
          <t>202602</t>
        </is>
      </c>
      <c r="I179" s="22" t="n">
        <v>7329877.03</v>
      </c>
      <c r="J179" s="23" t="n">
        <v>5.53</v>
      </c>
      <c r="K179" s="24" t="n">
        <v>447</v>
      </c>
      <c r="L179" s="24" t="n">
        <v>10</v>
      </c>
      <c r="M179" t="n">
        <v>4</v>
      </c>
      <c r="N179" t="n">
        <v>0</v>
      </c>
      <c r="O179" t="n">
        <v>205511</v>
      </c>
      <c r="P179" t="inlineStr"/>
      <c r="Q179" t="inlineStr">
        <is>
          <t>3866</t>
        </is>
      </c>
      <c r="R179" t="n">
        <v>1</v>
      </c>
      <c r="S179" t="n">
        <v>0</v>
      </c>
      <c r="T179" t="n">
        <v>0</v>
      </c>
      <c r="U179" t="n">
        <v>0</v>
      </c>
      <c r="V179" s="24">
        <f>J179*100-K179</f>
        <v/>
      </c>
      <c r="W179" s="24">
        <f>L179</f>
        <v/>
      </c>
      <c r="X179" s="25">
        <f>MIN(M179,36)</f>
        <v/>
      </c>
      <c r="Y179" s="25">
        <f>MIN(MAX(M179-36,0),84)</f>
        <v/>
      </c>
      <c r="Z179" s="25">
        <f>MAX(M179-120,0)</f>
        <v/>
      </c>
      <c r="AA179" s="25">
        <f>IF(OR(O179="",NOT(ISNUMBER(O179))),360,MAX(0,MIN(480,(INT(O179/100)-INT(VALUE(H179)/100))*12+MOD(O179,100)-MOD(VALUE(H179),100))))</f>
        <v/>
      </c>
      <c r="AB179">
        <f>IF(AND(AA179&gt;0,AA179&lt;=24),1,0)</f>
        <v/>
      </c>
      <c r="AC179" s="25">
        <f>IF(OR(P179="",NOT(ISNUMBER(P179))),0,MAX(0,MIN(24,(INT(VALUE(H179)/100)-INT(P179/100))*12+MOD(VALUE(H179),100)-MOD(P179,100))))</f>
        <v/>
      </c>
      <c r="AD179" s="23">
        <f>LN(1+I179)</f>
        <v/>
      </c>
      <c r="AE179">
        <f>IF(I179&lt;2000000,1,0)</f>
        <v/>
      </c>
      <c r="AF179">
        <f>IF(I179&gt;50000000,1,0)</f>
        <v/>
      </c>
      <c r="AG179" s="23">
        <f>IF(ISNUMBER(M179),N179/MAX(M179,1),0)</f>
        <v/>
      </c>
      <c r="AH179">
        <f>IF(G179&gt;=2021,1,0)</f>
        <v/>
      </c>
      <c r="AI179">
        <f>S179</f>
        <v/>
      </c>
      <c r="AJ179">
        <f>T179</f>
        <v/>
      </c>
      <c r="AK179">
        <f>R179</f>
        <v/>
      </c>
      <c r="AL179">
        <f>U179</f>
        <v/>
      </c>
      <c r="AM179">
        <f>IF(ISNUMBER(SEARCH("CAPITAL FUNDING",D179)),1,0)</f>
        <v/>
      </c>
      <c r="AN179">
        <f>IF(ISNUMBER(SEARCH("PNC",D179)),1,0)</f>
        <v/>
      </c>
      <c r="AO179">
        <f>IF(ISNUMBER(SEARCH("WELLS FARGO",D179)),1,0)</f>
        <v/>
      </c>
      <c r="AP179">
        <f>IF(ISNUMBER(SEARCH("DWIGHT",D179)),1,0)</f>
        <v/>
      </c>
      <c r="AQ179">
        <f>IF(ISNUMBER(SEARCH("GREYSTONE",D179)),1,0)</f>
        <v/>
      </c>
      <c r="AR179">
        <f>IF(OR(Q179="3896",Q179="3557"),1,0)</f>
        <v/>
      </c>
      <c r="AS179" s="24">
        <f>V179*W179</f>
        <v/>
      </c>
      <c r="AT179" s="26">
        <f>V$4*(V179-V$3)</f>
        <v/>
      </c>
      <c r="AU179" s="26">
        <f>W$4*(W179-W$3)</f>
        <v/>
      </c>
      <c r="AV179" s="26">
        <f>X$4*(X179-X$3)</f>
        <v/>
      </c>
      <c r="AW179" s="26">
        <f>Y$4*(Y179-Y$3)</f>
        <v/>
      </c>
      <c r="AX179" s="26">
        <f>Z$4*(Z179-Z$3)</f>
        <v/>
      </c>
      <c r="AY179" s="26">
        <f>AA$4*(AA179-AA$3)</f>
        <v/>
      </c>
      <c r="AZ179" s="26">
        <f>AB$4*(AB179-AB$3)</f>
        <v/>
      </c>
      <c r="BA179" s="26">
        <f>AC$4*(AC179-AC$3)</f>
        <v/>
      </c>
      <c r="BB179" s="26">
        <f>AD$4*(AD179-AD$3)</f>
        <v/>
      </c>
      <c r="BC179" s="26">
        <f>AE$4*(AE179-AE$3)</f>
        <v/>
      </c>
      <c r="BD179" s="26">
        <f>AF$4*(AF179-AF$3)</f>
        <v/>
      </c>
      <c r="BE179" s="26">
        <f>AG$4*(AG179-AG$3)</f>
        <v/>
      </c>
      <c r="BF179" s="26">
        <f>AH$4*(AH179-AH$3)</f>
        <v/>
      </c>
      <c r="BG179" s="26">
        <f>AI$4*(AI179-AI$3)</f>
        <v/>
      </c>
      <c r="BH179" s="26">
        <f>AJ$4*(AJ179-AJ$3)</f>
        <v/>
      </c>
      <c r="BI179" s="26">
        <f>AK$4*(AK179-AK$3)</f>
        <v/>
      </c>
      <c r="BJ179" s="26">
        <f>AL$4*(AL179-AL$3)</f>
        <v/>
      </c>
      <c r="BK179" s="26">
        <f>AM$4*(AM179-AM$3)</f>
        <v/>
      </c>
      <c r="BL179" s="26">
        <f>AN$4*(AN179-AN$3)</f>
        <v/>
      </c>
      <c r="BM179" s="26">
        <f>AO$4*(AO179-AO$3)</f>
        <v/>
      </c>
      <c r="BN179" s="26">
        <f>AP$4*(AP179-AP$3)</f>
        <v/>
      </c>
      <c r="BO179" s="26">
        <f>AQ$4*(AQ179-AQ$3)</f>
        <v/>
      </c>
      <c r="BP179" s="26">
        <f>AR$4*(AR179-AR$3)</f>
        <v/>
      </c>
      <c r="BQ179" s="26">
        <f>AS$4*(AS179-AS$3)</f>
        <v/>
      </c>
      <c r="BR179" s="27">
        <f>SUM(AT179:BQ179)</f>
        <v/>
      </c>
      <c r="BS179" s="27">
        <f>INTERCEPT_SCALED+BR179</f>
        <v/>
      </c>
      <c r="BT179" s="28">
        <f>1/(1+EXP(-BS179))</f>
        <v/>
      </c>
      <c r="BU179" s="13">
        <f>1-(1-BT179)^12</f>
        <v/>
      </c>
      <c r="BV179" s="13">
        <f>IFERROR(AT179/BR179*(BU179-BASELINE_CPR),0)</f>
        <v/>
      </c>
      <c r="BW179" s="13">
        <f>IFERROR(AU179/BR179*(BU179-BASELINE_CPR),0)</f>
        <v/>
      </c>
      <c r="BX179" s="13">
        <f>IFERROR(AV179/BR179*(BU179-BASELINE_CPR),0)</f>
        <v/>
      </c>
      <c r="BY179" s="13">
        <f>IFERROR(AW179/BR179*(BU179-BASELINE_CPR),0)</f>
        <v/>
      </c>
      <c r="BZ179" s="13">
        <f>IFERROR(AX179/BR179*(BU179-BASELINE_CPR),0)</f>
        <v/>
      </c>
      <c r="CA179" s="13">
        <f>IFERROR(AY179/BR179*(BU179-BASELINE_CPR),0)</f>
        <v/>
      </c>
      <c r="CB179" s="13">
        <f>IFERROR(AZ179/BR179*(BU179-BASELINE_CPR),0)</f>
        <v/>
      </c>
      <c r="CC179" s="13">
        <f>IFERROR(BA179/BR179*(BU179-BASELINE_CPR),0)</f>
        <v/>
      </c>
      <c r="CD179" s="13">
        <f>IFERROR(BB179/BR179*(BU179-BASELINE_CPR),0)</f>
        <v/>
      </c>
      <c r="CE179" s="13">
        <f>IFERROR(BC179/BR179*(BU179-BASELINE_CPR),0)</f>
        <v/>
      </c>
      <c r="CF179" s="13">
        <f>IFERROR(BD179/BR179*(BU179-BASELINE_CPR),0)</f>
        <v/>
      </c>
      <c r="CG179" s="13">
        <f>IFERROR(BE179/BR179*(BU179-BASELINE_CPR),0)</f>
        <v/>
      </c>
      <c r="CH179" s="13">
        <f>IFERROR(BF179/BR179*(BU179-BASELINE_CPR),0)</f>
        <v/>
      </c>
      <c r="CI179" s="13">
        <f>IFERROR(BG179/BR179*(BU179-BASELINE_CPR),0)</f>
        <v/>
      </c>
      <c r="CJ179" s="13">
        <f>IFERROR(BH179/BR179*(BU179-BASELINE_CPR),0)</f>
        <v/>
      </c>
      <c r="CK179" s="13">
        <f>IFERROR(BI179/BR179*(BU179-BASELINE_CPR),0)</f>
        <v/>
      </c>
      <c r="CL179" s="13">
        <f>IFERROR(BJ179/BR179*(BU179-BASELINE_CPR),0)</f>
        <v/>
      </c>
      <c r="CM179" s="13">
        <f>IFERROR(BK179/BR179*(BU179-BASELINE_CPR),0)</f>
        <v/>
      </c>
      <c r="CN179" s="13">
        <f>IFERROR(BL179/BR179*(BU179-BASELINE_CPR),0)</f>
        <v/>
      </c>
      <c r="CO179" s="13">
        <f>IFERROR(BM179/BR179*(BU179-BASELINE_CPR),0)</f>
        <v/>
      </c>
      <c r="CP179" s="13">
        <f>IFERROR(BN179/BR179*(BU179-BASELINE_CPR),0)</f>
        <v/>
      </c>
      <c r="CQ179" s="13">
        <f>IFERROR(BO179/BR179*(BU179-BASELINE_CPR),0)</f>
        <v/>
      </c>
      <c r="CR179" s="13">
        <f>IFERROR(BP179/BR179*(BU179-BASELINE_CPR),0)</f>
        <v/>
      </c>
      <c r="CS179" s="13">
        <f>IFERROR(BQ179/BR179*(BU179-BASELINE_CPR),0)</f>
        <v/>
      </c>
      <c r="CT179" s="29">
        <f>BASELINE_CPR+SUM(BV179:CS179)-BU179</f>
        <v/>
      </c>
    </row>
    <row r="180">
      <c r="A180" s="2" t="inlineStr">
        <is>
          <t>3617BTYH9_000000001722122</t>
        </is>
      </c>
      <c r="B180" t="inlineStr">
        <is>
          <t>CAPITAL_PRE21</t>
        </is>
      </c>
      <c r="C180" s="2" t="inlineStr">
        <is>
          <t>3617BTYH9</t>
        </is>
      </c>
      <c r="D180" t="inlineStr">
        <is>
          <t>CAPITAL FUNDING,LLC.</t>
        </is>
      </c>
      <c r="E180" t="inlineStr">
        <is>
          <t>232</t>
        </is>
      </c>
      <c r="F180" t="inlineStr">
        <is>
          <t>RP</t>
        </is>
      </c>
      <c r="G180" t="n">
        <v>2018</v>
      </c>
      <c r="H180" t="inlineStr">
        <is>
          <t>202602</t>
        </is>
      </c>
      <c r="I180" s="22" t="n">
        <v>18578966.2</v>
      </c>
      <c r="J180" s="23" t="n">
        <v>3.75</v>
      </c>
      <c r="K180" s="24" t="n">
        <v>447</v>
      </c>
      <c r="L180" s="24" t="n">
        <v>3</v>
      </c>
      <c r="M180" t="n">
        <v>94</v>
      </c>
      <c r="N180" t="n">
        <v>29</v>
      </c>
      <c r="O180" t="n">
        <v>205105</v>
      </c>
      <c r="P180" t="inlineStr"/>
      <c r="Q180" t="inlineStr">
        <is>
          <t>3866</t>
        </is>
      </c>
      <c r="R180" t="n">
        <v>1</v>
      </c>
      <c r="S180" t="n">
        <v>0</v>
      </c>
      <c r="T180" t="n">
        <v>0</v>
      </c>
      <c r="U180" t="n">
        <v>0</v>
      </c>
      <c r="V180" s="24">
        <f>J180*100-K180</f>
        <v/>
      </c>
      <c r="W180" s="24">
        <f>L180</f>
        <v/>
      </c>
      <c r="X180" s="25">
        <f>MIN(M180,36)</f>
        <v/>
      </c>
      <c r="Y180" s="25">
        <f>MIN(MAX(M180-36,0),84)</f>
        <v/>
      </c>
      <c r="Z180" s="25">
        <f>MAX(M180-120,0)</f>
        <v/>
      </c>
      <c r="AA180" s="25">
        <f>IF(OR(O180="",NOT(ISNUMBER(O180))),360,MAX(0,MIN(480,(INT(O180/100)-INT(VALUE(H180)/100))*12+MOD(O180,100)-MOD(VALUE(H180),100))))</f>
        <v/>
      </c>
      <c r="AB180">
        <f>IF(AND(AA180&gt;0,AA180&lt;=24),1,0)</f>
        <v/>
      </c>
      <c r="AC180" s="25">
        <f>IF(OR(P180="",NOT(ISNUMBER(P180))),0,MAX(0,MIN(24,(INT(VALUE(H180)/100)-INT(P180/100))*12+MOD(VALUE(H180),100)-MOD(P180,100))))</f>
        <v/>
      </c>
      <c r="AD180" s="23">
        <f>LN(1+I180)</f>
        <v/>
      </c>
      <c r="AE180">
        <f>IF(I180&lt;2000000,1,0)</f>
        <v/>
      </c>
      <c r="AF180">
        <f>IF(I180&gt;50000000,1,0)</f>
        <v/>
      </c>
      <c r="AG180" s="23">
        <f>IF(ISNUMBER(M180),N180/MAX(M180,1),0)</f>
        <v/>
      </c>
      <c r="AH180">
        <f>IF(G180&gt;=2021,1,0)</f>
        <v/>
      </c>
      <c r="AI180">
        <f>S180</f>
        <v/>
      </c>
      <c r="AJ180">
        <f>T180</f>
        <v/>
      </c>
      <c r="AK180">
        <f>R180</f>
        <v/>
      </c>
      <c r="AL180">
        <f>U180</f>
        <v/>
      </c>
      <c r="AM180">
        <f>IF(ISNUMBER(SEARCH("CAPITAL FUNDING",D180)),1,0)</f>
        <v/>
      </c>
      <c r="AN180">
        <f>IF(ISNUMBER(SEARCH("PNC",D180)),1,0)</f>
        <v/>
      </c>
      <c r="AO180">
        <f>IF(ISNUMBER(SEARCH("WELLS FARGO",D180)),1,0)</f>
        <v/>
      </c>
      <c r="AP180">
        <f>IF(ISNUMBER(SEARCH("DWIGHT",D180)),1,0)</f>
        <v/>
      </c>
      <c r="AQ180">
        <f>IF(ISNUMBER(SEARCH("GREYSTONE",D180)),1,0)</f>
        <v/>
      </c>
      <c r="AR180">
        <f>IF(OR(Q180="3896",Q180="3557"),1,0)</f>
        <v/>
      </c>
      <c r="AS180" s="24">
        <f>V180*W180</f>
        <v/>
      </c>
      <c r="AT180" s="26">
        <f>V$4*(V180-V$3)</f>
        <v/>
      </c>
      <c r="AU180" s="26">
        <f>W$4*(W180-W$3)</f>
        <v/>
      </c>
      <c r="AV180" s="26">
        <f>X$4*(X180-X$3)</f>
        <v/>
      </c>
      <c r="AW180" s="26">
        <f>Y$4*(Y180-Y$3)</f>
        <v/>
      </c>
      <c r="AX180" s="26">
        <f>Z$4*(Z180-Z$3)</f>
        <v/>
      </c>
      <c r="AY180" s="26">
        <f>AA$4*(AA180-AA$3)</f>
        <v/>
      </c>
      <c r="AZ180" s="26">
        <f>AB$4*(AB180-AB$3)</f>
        <v/>
      </c>
      <c r="BA180" s="26">
        <f>AC$4*(AC180-AC$3)</f>
        <v/>
      </c>
      <c r="BB180" s="26">
        <f>AD$4*(AD180-AD$3)</f>
        <v/>
      </c>
      <c r="BC180" s="26">
        <f>AE$4*(AE180-AE$3)</f>
        <v/>
      </c>
      <c r="BD180" s="26">
        <f>AF$4*(AF180-AF$3)</f>
        <v/>
      </c>
      <c r="BE180" s="26">
        <f>AG$4*(AG180-AG$3)</f>
        <v/>
      </c>
      <c r="BF180" s="26">
        <f>AH$4*(AH180-AH$3)</f>
        <v/>
      </c>
      <c r="BG180" s="26">
        <f>AI$4*(AI180-AI$3)</f>
        <v/>
      </c>
      <c r="BH180" s="26">
        <f>AJ$4*(AJ180-AJ$3)</f>
        <v/>
      </c>
      <c r="BI180" s="26">
        <f>AK$4*(AK180-AK$3)</f>
        <v/>
      </c>
      <c r="BJ180" s="26">
        <f>AL$4*(AL180-AL$3)</f>
        <v/>
      </c>
      <c r="BK180" s="26">
        <f>AM$4*(AM180-AM$3)</f>
        <v/>
      </c>
      <c r="BL180" s="26">
        <f>AN$4*(AN180-AN$3)</f>
        <v/>
      </c>
      <c r="BM180" s="26">
        <f>AO$4*(AO180-AO$3)</f>
        <v/>
      </c>
      <c r="BN180" s="26">
        <f>AP$4*(AP180-AP$3)</f>
        <v/>
      </c>
      <c r="BO180" s="26">
        <f>AQ$4*(AQ180-AQ$3)</f>
        <v/>
      </c>
      <c r="BP180" s="26">
        <f>AR$4*(AR180-AR$3)</f>
        <v/>
      </c>
      <c r="BQ180" s="26">
        <f>AS$4*(AS180-AS$3)</f>
        <v/>
      </c>
      <c r="BR180" s="27">
        <f>SUM(AT180:BQ180)</f>
        <v/>
      </c>
      <c r="BS180" s="27">
        <f>INTERCEPT_SCALED+BR180</f>
        <v/>
      </c>
      <c r="BT180" s="28">
        <f>1/(1+EXP(-BS180))</f>
        <v/>
      </c>
      <c r="BU180" s="13">
        <f>1-(1-BT180)^12</f>
        <v/>
      </c>
      <c r="BV180" s="13">
        <f>IFERROR(AT180/BR180*(BU180-BASELINE_CPR),0)</f>
        <v/>
      </c>
      <c r="BW180" s="13">
        <f>IFERROR(AU180/BR180*(BU180-BASELINE_CPR),0)</f>
        <v/>
      </c>
      <c r="BX180" s="13">
        <f>IFERROR(AV180/BR180*(BU180-BASELINE_CPR),0)</f>
        <v/>
      </c>
      <c r="BY180" s="13">
        <f>IFERROR(AW180/BR180*(BU180-BASELINE_CPR),0)</f>
        <v/>
      </c>
      <c r="BZ180" s="13">
        <f>IFERROR(AX180/BR180*(BU180-BASELINE_CPR),0)</f>
        <v/>
      </c>
      <c r="CA180" s="13">
        <f>IFERROR(AY180/BR180*(BU180-BASELINE_CPR),0)</f>
        <v/>
      </c>
      <c r="CB180" s="13">
        <f>IFERROR(AZ180/BR180*(BU180-BASELINE_CPR),0)</f>
        <v/>
      </c>
      <c r="CC180" s="13">
        <f>IFERROR(BA180/BR180*(BU180-BASELINE_CPR),0)</f>
        <v/>
      </c>
      <c r="CD180" s="13">
        <f>IFERROR(BB180/BR180*(BU180-BASELINE_CPR),0)</f>
        <v/>
      </c>
      <c r="CE180" s="13">
        <f>IFERROR(BC180/BR180*(BU180-BASELINE_CPR),0)</f>
        <v/>
      </c>
      <c r="CF180" s="13">
        <f>IFERROR(BD180/BR180*(BU180-BASELINE_CPR),0)</f>
        <v/>
      </c>
      <c r="CG180" s="13">
        <f>IFERROR(BE180/BR180*(BU180-BASELINE_CPR),0)</f>
        <v/>
      </c>
      <c r="CH180" s="13">
        <f>IFERROR(BF180/BR180*(BU180-BASELINE_CPR),0)</f>
        <v/>
      </c>
      <c r="CI180" s="13">
        <f>IFERROR(BG180/BR180*(BU180-BASELINE_CPR),0)</f>
        <v/>
      </c>
      <c r="CJ180" s="13">
        <f>IFERROR(BH180/BR180*(BU180-BASELINE_CPR),0)</f>
        <v/>
      </c>
      <c r="CK180" s="13">
        <f>IFERROR(BI180/BR180*(BU180-BASELINE_CPR),0)</f>
        <v/>
      </c>
      <c r="CL180" s="13">
        <f>IFERROR(BJ180/BR180*(BU180-BASELINE_CPR),0)</f>
        <v/>
      </c>
      <c r="CM180" s="13">
        <f>IFERROR(BK180/BR180*(BU180-BASELINE_CPR),0)</f>
        <v/>
      </c>
      <c r="CN180" s="13">
        <f>IFERROR(BL180/BR180*(BU180-BASELINE_CPR),0)</f>
        <v/>
      </c>
      <c r="CO180" s="13">
        <f>IFERROR(BM180/BR180*(BU180-BASELINE_CPR),0)</f>
        <v/>
      </c>
      <c r="CP180" s="13">
        <f>IFERROR(BN180/BR180*(BU180-BASELINE_CPR),0)</f>
        <v/>
      </c>
      <c r="CQ180" s="13">
        <f>IFERROR(BO180/BR180*(BU180-BASELINE_CPR),0)</f>
        <v/>
      </c>
      <c r="CR180" s="13">
        <f>IFERROR(BP180/BR180*(BU180-BASELINE_CPR),0)</f>
        <v/>
      </c>
      <c r="CS180" s="13">
        <f>IFERROR(BQ180/BR180*(BU180-BASELINE_CPR),0)</f>
        <v/>
      </c>
      <c r="CT180" s="29">
        <f>BASELINE_CPR+SUM(BV180:CS180)-BU180</f>
        <v/>
      </c>
    </row>
    <row r="181">
      <c r="A181" s="2" t="inlineStr">
        <is>
          <t>3617VAEE7_000000010122136</t>
        </is>
      </c>
      <c r="B181" t="inlineStr">
        <is>
          <t>CAPITAL_PRE21</t>
        </is>
      </c>
      <c r="C181" s="2" t="inlineStr">
        <is>
          <t>3617VAEE7</t>
        </is>
      </c>
      <c r="D181" t="inlineStr">
        <is>
          <t>CAPITAL FUNDING,LLC.</t>
        </is>
      </c>
      <c r="E181" t="inlineStr">
        <is>
          <t>232</t>
        </is>
      </c>
      <c r="F181" t="inlineStr">
        <is>
          <t>RP</t>
        </is>
      </c>
      <c r="G181" t="n">
        <v>2018</v>
      </c>
      <c r="H181" t="inlineStr">
        <is>
          <t>202602</t>
        </is>
      </c>
      <c r="I181" s="22" t="n">
        <v>11738844.66</v>
      </c>
      <c r="J181" s="23" t="n">
        <v>3.05</v>
      </c>
      <c r="K181" s="24" t="n">
        <v>447</v>
      </c>
      <c r="L181" s="24" t="n">
        <v>6</v>
      </c>
      <c r="M181" t="n">
        <v>90</v>
      </c>
      <c r="N181" t="n">
        <v>2</v>
      </c>
      <c r="O181" t="n">
        <v>205309</v>
      </c>
      <c r="P181" t="inlineStr"/>
      <c r="Q181" t="inlineStr">
        <is>
          <t>3866</t>
        </is>
      </c>
      <c r="R181" t="n">
        <v>1</v>
      </c>
      <c r="S181" t="n">
        <v>0</v>
      </c>
      <c r="T181" t="n">
        <v>0</v>
      </c>
      <c r="U181" t="n">
        <v>0</v>
      </c>
      <c r="V181" s="24">
        <f>J181*100-K181</f>
        <v/>
      </c>
      <c r="W181" s="24">
        <f>L181</f>
        <v/>
      </c>
      <c r="X181" s="25">
        <f>MIN(M181,36)</f>
        <v/>
      </c>
      <c r="Y181" s="25">
        <f>MIN(MAX(M181-36,0),84)</f>
        <v/>
      </c>
      <c r="Z181" s="25">
        <f>MAX(M181-120,0)</f>
        <v/>
      </c>
      <c r="AA181" s="25">
        <f>IF(OR(O181="",NOT(ISNUMBER(O181))),360,MAX(0,MIN(480,(INT(O181/100)-INT(VALUE(H181)/100))*12+MOD(O181,100)-MOD(VALUE(H181),100))))</f>
        <v/>
      </c>
      <c r="AB181">
        <f>IF(AND(AA181&gt;0,AA181&lt;=24),1,0)</f>
        <v/>
      </c>
      <c r="AC181" s="25">
        <f>IF(OR(P181="",NOT(ISNUMBER(P181))),0,MAX(0,MIN(24,(INT(VALUE(H181)/100)-INT(P181/100))*12+MOD(VALUE(H181),100)-MOD(P181,100))))</f>
        <v/>
      </c>
      <c r="AD181" s="23">
        <f>LN(1+I181)</f>
        <v/>
      </c>
      <c r="AE181">
        <f>IF(I181&lt;2000000,1,0)</f>
        <v/>
      </c>
      <c r="AF181">
        <f>IF(I181&gt;50000000,1,0)</f>
        <v/>
      </c>
      <c r="AG181" s="23">
        <f>IF(ISNUMBER(M181),N181/MAX(M181,1),0)</f>
        <v/>
      </c>
      <c r="AH181">
        <f>IF(G181&gt;=2021,1,0)</f>
        <v/>
      </c>
      <c r="AI181">
        <f>S181</f>
        <v/>
      </c>
      <c r="AJ181">
        <f>T181</f>
        <v/>
      </c>
      <c r="AK181">
        <f>R181</f>
        <v/>
      </c>
      <c r="AL181">
        <f>U181</f>
        <v/>
      </c>
      <c r="AM181">
        <f>IF(ISNUMBER(SEARCH("CAPITAL FUNDING",D181)),1,0)</f>
        <v/>
      </c>
      <c r="AN181">
        <f>IF(ISNUMBER(SEARCH("PNC",D181)),1,0)</f>
        <v/>
      </c>
      <c r="AO181">
        <f>IF(ISNUMBER(SEARCH("WELLS FARGO",D181)),1,0)</f>
        <v/>
      </c>
      <c r="AP181">
        <f>IF(ISNUMBER(SEARCH("DWIGHT",D181)),1,0)</f>
        <v/>
      </c>
      <c r="AQ181">
        <f>IF(ISNUMBER(SEARCH("GREYSTONE",D181)),1,0)</f>
        <v/>
      </c>
      <c r="AR181">
        <f>IF(OR(Q181="3896",Q181="3557"),1,0)</f>
        <v/>
      </c>
      <c r="AS181" s="24">
        <f>V181*W181</f>
        <v/>
      </c>
      <c r="AT181" s="26">
        <f>V$4*(V181-V$3)</f>
        <v/>
      </c>
      <c r="AU181" s="26">
        <f>W$4*(W181-W$3)</f>
        <v/>
      </c>
      <c r="AV181" s="26">
        <f>X$4*(X181-X$3)</f>
        <v/>
      </c>
      <c r="AW181" s="26">
        <f>Y$4*(Y181-Y$3)</f>
        <v/>
      </c>
      <c r="AX181" s="26">
        <f>Z$4*(Z181-Z$3)</f>
        <v/>
      </c>
      <c r="AY181" s="26">
        <f>AA$4*(AA181-AA$3)</f>
        <v/>
      </c>
      <c r="AZ181" s="26">
        <f>AB$4*(AB181-AB$3)</f>
        <v/>
      </c>
      <c r="BA181" s="26">
        <f>AC$4*(AC181-AC$3)</f>
        <v/>
      </c>
      <c r="BB181" s="26">
        <f>AD$4*(AD181-AD$3)</f>
        <v/>
      </c>
      <c r="BC181" s="26">
        <f>AE$4*(AE181-AE$3)</f>
        <v/>
      </c>
      <c r="BD181" s="26">
        <f>AF$4*(AF181-AF$3)</f>
        <v/>
      </c>
      <c r="BE181" s="26">
        <f>AG$4*(AG181-AG$3)</f>
        <v/>
      </c>
      <c r="BF181" s="26">
        <f>AH$4*(AH181-AH$3)</f>
        <v/>
      </c>
      <c r="BG181" s="26">
        <f>AI$4*(AI181-AI$3)</f>
        <v/>
      </c>
      <c r="BH181" s="26">
        <f>AJ$4*(AJ181-AJ$3)</f>
        <v/>
      </c>
      <c r="BI181" s="26">
        <f>AK$4*(AK181-AK$3)</f>
        <v/>
      </c>
      <c r="BJ181" s="26">
        <f>AL$4*(AL181-AL$3)</f>
        <v/>
      </c>
      <c r="BK181" s="26">
        <f>AM$4*(AM181-AM$3)</f>
        <v/>
      </c>
      <c r="BL181" s="26">
        <f>AN$4*(AN181-AN$3)</f>
        <v/>
      </c>
      <c r="BM181" s="26">
        <f>AO$4*(AO181-AO$3)</f>
        <v/>
      </c>
      <c r="BN181" s="26">
        <f>AP$4*(AP181-AP$3)</f>
        <v/>
      </c>
      <c r="BO181" s="26">
        <f>AQ$4*(AQ181-AQ$3)</f>
        <v/>
      </c>
      <c r="BP181" s="26">
        <f>AR$4*(AR181-AR$3)</f>
        <v/>
      </c>
      <c r="BQ181" s="26">
        <f>AS$4*(AS181-AS$3)</f>
        <v/>
      </c>
      <c r="BR181" s="27">
        <f>SUM(AT181:BQ181)</f>
        <v/>
      </c>
      <c r="BS181" s="27">
        <f>INTERCEPT_SCALED+BR181</f>
        <v/>
      </c>
      <c r="BT181" s="28">
        <f>1/(1+EXP(-BS181))</f>
        <v/>
      </c>
      <c r="BU181" s="13">
        <f>1-(1-BT181)^12</f>
        <v/>
      </c>
      <c r="BV181" s="13">
        <f>IFERROR(AT181/BR181*(BU181-BASELINE_CPR),0)</f>
        <v/>
      </c>
      <c r="BW181" s="13">
        <f>IFERROR(AU181/BR181*(BU181-BASELINE_CPR),0)</f>
        <v/>
      </c>
      <c r="BX181" s="13">
        <f>IFERROR(AV181/BR181*(BU181-BASELINE_CPR),0)</f>
        <v/>
      </c>
      <c r="BY181" s="13">
        <f>IFERROR(AW181/BR181*(BU181-BASELINE_CPR),0)</f>
        <v/>
      </c>
      <c r="BZ181" s="13">
        <f>IFERROR(AX181/BR181*(BU181-BASELINE_CPR),0)</f>
        <v/>
      </c>
      <c r="CA181" s="13">
        <f>IFERROR(AY181/BR181*(BU181-BASELINE_CPR),0)</f>
        <v/>
      </c>
      <c r="CB181" s="13">
        <f>IFERROR(AZ181/BR181*(BU181-BASELINE_CPR),0)</f>
        <v/>
      </c>
      <c r="CC181" s="13">
        <f>IFERROR(BA181/BR181*(BU181-BASELINE_CPR),0)</f>
        <v/>
      </c>
      <c r="CD181" s="13">
        <f>IFERROR(BB181/BR181*(BU181-BASELINE_CPR),0)</f>
        <v/>
      </c>
      <c r="CE181" s="13">
        <f>IFERROR(BC181/BR181*(BU181-BASELINE_CPR),0)</f>
        <v/>
      </c>
      <c r="CF181" s="13">
        <f>IFERROR(BD181/BR181*(BU181-BASELINE_CPR),0)</f>
        <v/>
      </c>
      <c r="CG181" s="13">
        <f>IFERROR(BE181/BR181*(BU181-BASELINE_CPR),0)</f>
        <v/>
      </c>
      <c r="CH181" s="13">
        <f>IFERROR(BF181/BR181*(BU181-BASELINE_CPR),0)</f>
        <v/>
      </c>
      <c r="CI181" s="13">
        <f>IFERROR(BG181/BR181*(BU181-BASELINE_CPR),0)</f>
        <v/>
      </c>
      <c r="CJ181" s="13">
        <f>IFERROR(BH181/BR181*(BU181-BASELINE_CPR),0)</f>
        <v/>
      </c>
      <c r="CK181" s="13">
        <f>IFERROR(BI181/BR181*(BU181-BASELINE_CPR),0)</f>
        <v/>
      </c>
      <c r="CL181" s="13">
        <f>IFERROR(BJ181/BR181*(BU181-BASELINE_CPR),0)</f>
        <v/>
      </c>
      <c r="CM181" s="13">
        <f>IFERROR(BK181/BR181*(BU181-BASELINE_CPR),0)</f>
        <v/>
      </c>
      <c r="CN181" s="13">
        <f>IFERROR(BL181/BR181*(BU181-BASELINE_CPR),0)</f>
        <v/>
      </c>
      <c r="CO181" s="13">
        <f>IFERROR(BM181/BR181*(BU181-BASELINE_CPR),0)</f>
        <v/>
      </c>
      <c r="CP181" s="13">
        <f>IFERROR(BN181/BR181*(BU181-BASELINE_CPR),0)</f>
        <v/>
      </c>
      <c r="CQ181" s="13">
        <f>IFERROR(BO181/BR181*(BU181-BASELINE_CPR),0)</f>
        <v/>
      </c>
      <c r="CR181" s="13">
        <f>IFERROR(BP181/BR181*(BU181-BASELINE_CPR),0)</f>
        <v/>
      </c>
      <c r="CS181" s="13">
        <f>IFERROR(BQ181/BR181*(BU181-BASELINE_CPR),0)</f>
        <v/>
      </c>
      <c r="CT181" s="29">
        <f>BASELINE_CPR+SUM(BV181:CS181)-BU181</f>
        <v/>
      </c>
    </row>
    <row r="182">
      <c r="A182" s="2" t="inlineStr">
        <is>
          <t>3617Q2AG0_000000007222116</t>
        </is>
      </c>
      <c r="B182" t="inlineStr">
        <is>
          <t>CAPITAL_PRE21</t>
        </is>
      </c>
      <c r="C182" s="2" t="inlineStr">
        <is>
          <t>3617Q2AG0</t>
        </is>
      </c>
      <c r="D182" t="inlineStr">
        <is>
          <t>CAPITAL FUNDING,LLC.</t>
        </is>
      </c>
      <c r="E182" t="inlineStr">
        <is>
          <t>232</t>
        </is>
      </c>
      <c r="F182" t="inlineStr">
        <is>
          <t>RP</t>
        </is>
      </c>
      <c r="G182" t="n">
        <v>2014</v>
      </c>
      <c r="H182" t="inlineStr">
        <is>
          <t>202602</t>
        </is>
      </c>
      <c r="I182" s="22" t="n">
        <v>4376116.94</v>
      </c>
      <c r="J182" s="23" t="n">
        <v>3.1</v>
      </c>
      <c r="K182" s="24" t="n">
        <v>447</v>
      </c>
      <c r="L182" s="24" t="n">
        <v>5</v>
      </c>
      <c r="M182" t="n">
        <v>135</v>
      </c>
      <c r="N182" t="n">
        <v>12</v>
      </c>
      <c r="O182" t="n">
        <v>204704</v>
      </c>
      <c r="P182" t="inlineStr"/>
      <c r="Q182" t="inlineStr">
        <is>
          <t>3866</t>
        </is>
      </c>
      <c r="R182" t="n">
        <v>1</v>
      </c>
      <c r="S182" t="n">
        <v>1</v>
      </c>
      <c r="T182" t="n">
        <v>0</v>
      </c>
      <c r="U182" t="n">
        <v>0</v>
      </c>
      <c r="V182" s="24">
        <f>J182*100-K182</f>
        <v/>
      </c>
      <c r="W182" s="24">
        <f>L182</f>
        <v/>
      </c>
      <c r="X182" s="25">
        <f>MIN(M182,36)</f>
        <v/>
      </c>
      <c r="Y182" s="25">
        <f>MIN(MAX(M182-36,0),84)</f>
        <v/>
      </c>
      <c r="Z182" s="25">
        <f>MAX(M182-120,0)</f>
        <v/>
      </c>
      <c r="AA182" s="25">
        <f>IF(OR(O182="",NOT(ISNUMBER(O182))),360,MAX(0,MIN(480,(INT(O182/100)-INT(VALUE(H182)/100))*12+MOD(O182,100)-MOD(VALUE(H182),100))))</f>
        <v/>
      </c>
      <c r="AB182">
        <f>IF(AND(AA182&gt;0,AA182&lt;=24),1,0)</f>
        <v/>
      </c>
      <c r="AC182" s="25">
        <f>IF(OR(P182="",NOT(ISNUMBER(P182))),0,MAX(0,MIN(24,(INT(VALUE(H182)/100)-INT(P182/100))*12+MOD(VALUE(H182),100)-MOD(P182,100))))</f>
        <v/>
      </c>
      <c r="AD182" s="23">
        <f>LN(1+I182)</f>
        <v/>
      </c>
      <c r="AE182">
        <f>IF(I182&lt;2000000,1,0)</f>
        <v/>
      </c>
      <c r="AF182">
        <f>IF(I182&gt;50000000,1,0)</f>
        <v/>
      </c>
      <c r="AG182" s="23">
        <f>IF(ISNUMBER(M182),N182/MAX(M182,1),0)</f>
        <v/>
      </c>
      <c r="AH182">
        <f>IF(G182&gt;=2021,1,0)</f>
        <v/>
      </c>
      <c r="AI182">
        <f>S182</f>
        <v/>
      </c>
      <c r="AJ182">
        <f>T182</f>
        <v/>
      </c>
      <c r="AK182">
        <f>R182</f>
        <v/>
      </c>
      <c r="AL182">
        <f>U182</f>
        <v/>
      </c>
      <c r="AM182">
        <f>IF(ISNUMBER(SEARCH("CAPITAL FUNDING",D182)),1,0)</f>
        <v/>
      </c>
      <c r="AN182">
        <f>IF(ISNUMBER(SEARCH("PNC",D182)),1,0)</f>
        <v/>
      </c>
      <c r="AO182">
        <f>IF(ISNUMBER(SEARCH("WELLS FARGO",D182)),1,0)</f>
        <v/>
      </c>
      <c r="AP182">
        <f>IF(ISNUMBER(SEARCH("DWIGHT",D182)),1,0)</f>
        <v/>
      </c>
      <c r="AQ182">
        <f>IF(ISNUMBER(SEARCH("GREYSTONE",D182)),1,0)</f>
        <v/>
      </c>
      <c r="AR182">
        <f>IF(OR(Q182="3896",Q182="3557"),1,0)</f>
        <v/>
      </c>
      <c r="AS182" s="24">
        <f>V182*W182</f>
        <v/>
      </c>
      <c r="AT182" s="26">
        <f>V$4*(V182-V$3)</f>
        <v/>
      </c>
      <c r="AU182" s="26">
        <f>W$4*(W182-W$3)</f>
        <v/>
      </c>
      <c r="AV182" s="26">
        <f>X$4*(X182-X$3)</f>
        <v/>
      </c>
      <c r="AW182" s="26">
        <f>Y$4*(Y182-Y$3)</f>
        <v/>
      </c>
      <c r="AX182" s="26">
        <f>Z$4*(Z182-Z$3)</f>
        <v/>
      </c>
      <c r="AY182" s="26">
        <f>AA$4*(AA182-AA$3)</f>
        <v/>
      </c>
      <c r="AZ182" s="26">
        <f>AB$4*(AB182-AB$3)</f>
        <v/>
      </c>
      <c r="BA182" s="26">
        <f>AC$4*(AC182-AC$3)</f>
        <v/>
      </c>
      <c r="BB182" s="26">
        <f>AD$4*(AD182-AD$3)</f>
        <v/>
      </c>
      <c r="BC182" s="26">
        <f>AE$4*(AE182-AE$3)</f>
        <v/>
      </c>
      <c r="BD182" s="26">
        <f>AF$4*(AF182-AF$3)</f>
        <v/>
      </c>
      <c r="BE182" s="26">
        <f>AG$4*(AG182-AG$3)</f>
        <v/>
      </c>
      <c r="BF182" s="26">
        <f>AH$4*(AH182-AH$3)</f>
        <v/>
      </c>
      <c r="BG182" s="26">
        <f>AI$4*(AI182-AI$3)</f>
        <v/>
      </c>
      <c r="BH182" s="26">
        <f>AJ$4*(AJ182-AJ$3)</f>
        <v/>
      </c>
      <c r="BI182" s="26">
        <f>AK$4*(AK182-AK$3)</f>
        <v/>
      </c>
      <c r="BJ182" s="26">
        <f>AL$4*(AL182-AL$3)</f>
        <v/>
      </c>
      <c r="BK182" s="26">
        <f>AM$4*(AM182-AM$3)</f>
        <v/>
      </c>
      <c r="BL182" s="26">
        <f>AN$4*(AN182-AN$3)</f>
        <v/>
      </c>
      <c r="BM182" s="26">
        <f>AO$4*(AO182-AO$3)</f>
        <v/>
      </c>
      <c r="BN182" s="26">
        <f>AP$4*(AP182-AP$3)</f>
        <v/>
      </c>
      <c r="BO182" s="26">
        <f>AQ$4*(AQ182-AQ$3)</f>
        <v/>
      </c>
      <c r="BP182" s="26">
        <f>AR$4*(AR182-AR$3)</f>
        <v/>
      </c>
      <c r="BQ182" s="26">
        <f>AS$4*(AS182-AS$3)</f>
        <v/>
      </c>
      <c r="BR182" s="27">
        <f>SUM(AT182:BQ182)</f>
        <v/>
      </c>
      <c r="BS182" s="27">
        <f>INTERCEPT_SCALED+BR182</f>
        <v/>
      </c>
      <c r="BT182" s="28">
        <f>1/(1+EXP(-BS182))</f>
        <v/>
      </c>
      <c r="BU182" s="13">
        <f>1-(1-BT182)^12</f>
        <v/>
      </c>
      <c r="BV182" s="13">
        <f>IFERROR(AT182/BR182*(BU182-BASELINE_CPR),0)</f>
        <v/>
      </c>
      <c r="BW182" s="13">
        <f>IFERROR(AU182/BR182*(BU182-BASELINE_CPR),0)</f>
        <v/>
      </c>
      <c r="BX182" s="13">
        <f>IFERROR(AV182/BR182*(BU182-BASELINE_CPR),0)</f>
        <v/>
      </c>
      <c r="BY182" s="13">
        <f>IFERROR(AW182/BR182*(BU182-BASELINE_CPR),0)</f>
        <v/>
      </c>
      <c r="BZ182" s="13">
        <f>IFERROR(AX182/BR182*(BU182-BASELINE_CPR),0)</f>
        <v/>
      </c>
      <c r="CA182" s="13">
        <f>IFERROR(AY182/BR182*(BU182-BASELINE_CPR),0)</f>
        <v/>
      </c>
      <c r="CB182" s="13">
        <f>IFERROR(AZ182/BR182*(BU182-BASELINE_CPR),0)</f>
        <v/>
      </c>
      <c r="CC182" s="13">
        <f>IFERROR(BA182/BR182*(BU182-BASELINE_CPR),0)</f>
        <v/>
      </c>
      <c r="CD182" s="13">
        <f>IFERROR(BB182/BR182*(BU182-BASELINE_CPR),0)</f>
        <v/>
      </c>
      <c r="CE182" s="13">
        <f>IFERROR(BC182/BR182*(BU182-BASELINE_CPR),0)</f>
        <v/>
      </c>
      <c r="CF182" s="13">
        <f>IFERROR(BD182/BR182*(BU182-BASELINE_CPR),0)</f>
        <v/>
      </c>
      <c r="CG182" s="13">
        <f>IFERROR(BE182/BR182*(BU182-BASELINE_CPR),0)</f>
        <v/>
      </c>
      <c r="CH182" s="13">
        <f>IFERROR(BF182/BR182*(BU182-BASELINE_CPR),0)</f>
        <v/>
      </c>
      <c r="CI182" s="13">
        <f>IFERROR(BG182/BR182*(BU182-BASELINE_CPR),0)</f>
        <v/>
      </c>
      <c r="CJ182" s="13">
        <f>IFERROR(BH182/BR182*(BU182-BASELINE_CPR),0)</f>
        <v/>
      </c>
      <c r="CK182" s="13">
        <f>IFERROR(BI182/BR182*(BU182-BASELINE_CPR),0)</f>
        <v/>
      </c>
      <c r="CL182" s="13">
        <f>IFERROR(BJ182/BR182*(BU182-BASELINE_CPR),0)</f>
        <v/>
      </c>
      <c r="CM182" s="13">
        <f>IFERROR(BK182/BR182*(BU182-BASELINE_CPR),0)</f>
        <v/>
      </c>
      <c r="CN182" s="13">
        <f>IFERROR(BL182/BR182*(BU182-BASELINE_CPR),0)</f>
        <v/>
      </c>
      <c r="CO182" s="13">
        <f>IFERROR(BM182/BR182*(BU182-BASELINE_CPR),0)</f>
        <v/>
      </c>
      <c r="CP182" s="13">
        <f>IFERROR(BN182/BR182*(BU182-BASELINE_CPR),0)</f>
        <v/>
      </c>
      <c r="CQ182" s="13">
        <f>IFERROR(BO182/BR182*(BU182-BASELINE_CPR),0)</f>
        <v/>
      </c>
      <c r="CR182" s="13">
        <f>IFERROR(BP182/BR182*(BU182-BASELINE_CPR),0)</f>
        <v/>
      </c>
      <c r="CS182" s="13">
        <f>IFERROR(BQ182/BR182*(BU182-BASELINE_CPR),0)</f>
        <v/>
      </c>
      <c r="CT182" s="29">
        <f>BASELINE_CPR+SUM(BV182:CS182)-BU182</f>
        <v/>
      </c>
    </row>
    <row r="183">
      <c r="A183" s="2" t="inlineStr">
        <is>
          <t>3617VTX88_000000012122227</t>
        </is>
      </c>
      <c r="B183" t="inlineStr">
        <is>
          <t>CAPITAL_POST21</t>
        </is>
      </c>
      <c r="C183" s="2" t="inlineStr">
        <is>
          <t>3617VTX88</t>
        </is>
      </c>
      <c r="D183" t="inlineStr">
        <is>
          <t>CAPITAL FUNDING,LLC.</t>
        </is>
      </c>
      <c r="E183" t="inlineStr">
        <is>
          <t>232</t>
        </is>
      </c>
      <c r="F183" t="inlineStr">
        <is>
          <t>RP</t>
        </is>
      </c>
      <c r="G183" t="n">
        <v>2021</v>
      </c>
      <c r="H183" t="inlineStr">
        <is>
          <t>202602</t>
        </is>
      </c>
      <c r="I183" s="22" t="n">
        <v>11745120.48</v>
      </c>
      <c r="J183" s="23" t="n">
        <v>2.44</v>
      </c>
      <c r="K183" s="24" t="n">
        <v>447</v>
      </c>
      <c r="L183" s="24" t="n">
        <v>6</v>
      </c>
      <c r="M183" t="n">
        <v>56</v>
      </c>
      <c r="N183" t="n">
        <v>0</v>
      </c>
      <c r="O183" t="n">
        <v>205107</v>
      </c>
      <c r="P183" t="inlineStr"/>
      <c r="Q183" t="inlineStr">
        <is>
          <t>3866</t>
        </is>
      </c>
      <c r="R183" t="n">
        <v>1</v>
      </c>
      <c r="S183" t="n">
        <v>0</v>
      </c>
      <c r="T183" t="n">
        <v>0</v>
      </c>
      <c r="U183" t="n">
        <v>0</v>
      </c>
      <c r="V183" s="24">
        <f>J183*100-K183</f>
        <v/>
      </c>
      <c r="W183" s="24">
        <f>L183</f>
        <v/>
      </c>
      <c r="X183" s="25">
        <f>MIN(M183,36)</f>
        <v/>
      </c>
      <c r="Y183" s="25">
        <f>MIN(MAX(M183-36,0),84)</f>
        <v/>
      </c>
      <c r="Z183" s="25">
        <f>MAX(M183-120,0)</f>
        <v/>
      </c>
      <c r="AA183" s="25">
        <f>IF(OR(O183="",NOT(ISNUMBER(O183))),360,MAX(0,MIN(480,(INT(O183/100)-INT(VALUE(H183)/100))*12+MOD(O183,100)-MOD(VALUE(H183),100))))</f>
        <v/>
      </c>
      <c r="AB183">
        <f>IF(AND(AA183&gt;0,AA183&lt;=24),1,0)</f>
        <v/>
      </c>
      <c r="AC183" s="25">
        <f>IF(OR(P183="",NOT(ISNUMBER(P183))),0,MAX(0,MIN(24,(INT(VALUE(H183)/100)-INT(P183/100))*12+MOD(VALUE(H183),100)-MOD(P183,100))))</f>
        <v/>
      </c>
      <c r="AD183" s="23">
        <f>LN(1+I183)</f>
        <v/>
      </c>
      <c r="AE183">
        <f>IF(I183&lt;2000000,1,0)</f>
        <v/>
      </c>
      <c r="AF183">
        <f>IF(I183&gt;50000000,1,0)</f>
        <v/>
      </c>
      <c r="AG183" s="23">
        <f>IF(ISNUMBER(M183),N183/MAX(M183,1),0)</f>
        <v/>
      </c>
      <c r="AH183">
        <f>IF(G183&gt;=2021,1,0)</f>
        <v/>
      </c>
      <c r="AI183">
        <f>S183</f>
        <v/>
      </c>
      <c r="AJ183">
        <f>T183</f>
        <v/>
      </c>
      <c r="AK183">
        <f>R183</f>
        <v/>
      </c>
      <c r="AL183">
        <f>U183</f>
        <v/>
      </c>
      <c r="AM183">
        <f>IF(ISNUMBER(SEARCH("CAPITAL FUNDING",D183)),1,0)</f>
        <v/>
      </c>
      <c r="AN183">
        <f>IF(ISNUMBER(SEARCH("PNC",D183)),1,0)</f>
        <v/>
      </c>
      <c r="AO183">
        <f>IF(ISNUMBER(SEARCH("WELLS FARGO",D183)),1,0)</f>
        <v/>
      </c>
      <c r="AP183">
        <f>IF(ISNUMBER(SEARCH("DWIGHT",D183)),1,0)</f>
        <v/>
      </c>
      <c r="AQ183">
        <f>IF(ISNUMBER(SEARCH("GREYSTONE",D183)),1,0)</f>
        <v/>
      </c>
      <c r="AR183">
        <f>IF(OR(Q183="3896",Q183="3557"),1,0)</f>
        <v/>
      </c>
      <c r="AS183" s="24">
        <f>V183*W183</f>
        <v/>
      </c>
      <c r="AT183" s="26">
        <f>V$4*(V183-V$3)</f>
        <v/>
      </c>
      <c r="AU183" s="26">
        <f>W$4*(W183-W$3)</f>
        <v/>
      </c>
      <c r="AV183" s="26">
        <f>X$4*(X183-X$3)</f>
        <v/>
      </c>
      <c r="AW183" s="26">
        <f>Y$4*(Y183-Y$3)</f>
        <v/>
      </c>
      <c r="AX183" s="26">
        <f>Z$4*(Z183-Z$3)</f>
        <v/>
      </c>
      <c r="AY183" s="26">
        <f>AA$4*(AA183-AA$3)</f>
        <v/>
      </c>
      <c r="AZ183" s="26">
        <f>AB$4*(AB183-AB$3)</f>
        <v/>
      </c>
      <c r="BA183" s="26">
        <f>AC$4*(AC183-AC$3)</f>
        <v/>
      </c>
      <c r="BB183" s="26">
        <f>AD$4*(AD183-AD$3)</f>
        <v/>
      </c>
      <c r="BC183" s="26">
        <f>AE$4*(AE183-AE$3)</f>
        <v/>
      </c>
      <c r="BD183" s="26">
        <f>AF$4*(AF183-AF$3)</f>
        <v/>
      </c>
      <c r="BE183" s="26">
        <f>AG$4*(AG183-AG$3)</f>
        <v/>
      </c>
      <c r="BF183" s="26">
        <f>AH$4*(AH183-AH$3)</f>
        <v/>
      </c>
      <c r="BG183" s="26">
        <f>AI$4*(AI183-AI$3)</f>
        <v/>
      </c>
      <c r="BH183" s="26">
        <f>AJ$4*(AJ183-AJ$3)</f>
        <v/>
      </c>
      <c r="BI183" s="26">
        <f>AK$4*(AK183-AK$3)</f>
        <v/>
      </c>
      <c r="BJ183" s="26">
        <f>AL$4*(AL183-AL$3)</f>
        <v/>
      </c>
      <c r="BK183" s="26">
        <f>AM$4*(AM183-AM$3)</f>
        <v/>
      </c>
      <c r="BL183" s="26">
        <f>AN$4*(AN183-AN$3)</f>
        <v/>
      </c>
      <c r="BM183" s="26">
        <f>AO$4*(AO183-AO$3)</f>
        <v/>
      </c>
      <c r="BN183" s="26">
        <f>AP$4*(AP183-AP$3)</f>
        <v/>
      </c>
      <c r="BO183" s="26">
        <f>AQ$4*(AQ183-AQ$3)</f>
        <v/>
      </c>
      <c r="BP183" s="26">
        <f>AR$4*(AR183-AR$3)</f>
        <v/>
      </c>
      <c r="BQ183" s="26">
        <f>AS$4*(AS183-AS$3)</f>
        <v/>
      </c>
      <c r="BR183" s="27">
        <f>SUM(AT183:BQ183)</f>
        <v/>
      </c>
      <c r="BS183" s="27">
        <f>INTERCEPT_SCALED+BR183</f>
        <v/>
      </c>
      <c r="BT183" s="28">
        <f>1/(1+EXP(-BS183))</f>
        <v/>
      </c>
      <c r="BU183" s="13">
        <f>1-(1-BT183)^12</f>
        <v/>
      </c>
      <c r="BV183" s="13">
        <f>IFERROR(AT183/BR183*(BU183-BASELINE_CPR),0)</f>
        <v/>
      </c>
      <c r="BW183" s="13">
        <f>IFERROR(AU183/BR183*(BU183-BASELINE_CPR),0)</f>
        <v/>
      </c>
      <c r="BX183" s="13">
        <f>IFERROR(AV183/BR183*(BU183-BASELINE_CPR),0)</f>
        <v/>
      </c>
      <c r="BY183" s="13">
        <f>IFERROR(AW183/BR183*(BU183-BASELINE_CPR),0)</f>
        <v/>
      </c>
      <c r="BZ183" s="13">
        <f>IFERROR(AX183/BR183*(BU183-BASELINE_CPR),0)</f>
        <v/>
      </c>
      <c r="CA183" s="13">
        <f>IFERROR(AY183/BR183*(BU183-BASELINE_CPR),0)</f>
        <v/>
      </c>
      <c r="CB183" s="13">
        <f>IFERROR(AZ183/BR183*(BU183-BASELINE_CPR),0)</f>
        <v/>
      </c>
      <c r="CC183" s="13">
        <f>IFERROR(BA183/BR183*(BU183-BASELINE_CPR),0)</f>
        <v/>
      </c>
      <c r="CD183" s="13">
        <f>IFERROR(BB183/BR183*(BU183-BASELINE_CPR),0)</f>
        <v/>
      </c>
      <c r="CE183" s="13">
        <f>IFERROR(BC183/BR183*(BU183-BASELINE_CPR),0)</f>
        <v/>
      </c>
      <c r="CF183" s="13">
        <f>IFERROR(BD183/BR183*(BU183-BASELINE_CPR),0)</f>
        <v/>
      </c>
      <c r="CG183" s="13">
        <f>IFERROR(BE183/BR183*(BU183-BASELINE_CPR),0)</f>
        <v/>
      </c>
      <c r="CH183" s="13">
        <f>IFERROR(BF183/BR183*(BU183-BASELINE_CPR),0)</f>
        <v/>
      </c>
      <c r="CI183" s="13">
        <f>IFERROR(BG183/BR183*(BU183-BASELINE_CPR),0)</f>
        <v/>
      </c>
      <c r="CJ183" s="13">
        <f>IFERROR(BH183/BR183*(BU183-BASELINE_CPR),0)</f>
        <v/>
      </c>
      <c r="CK183" s="13">
        <f>IFERROR(BI183/BR183*(BU183-BASELINE_CPR),0)</f>
        <v/>
      </c>
      <c r="CL183" s="13">
        <f>IFERROR(BJ183/BR183*(BU183-BASELINE_CPR),0)</f>
        <v/>
      </c>
      <c r="CM183" s="13">
        <f>IFERROR(BK183/BR183*(BU183-BASELINE_CPR),0)</f>
        <v/>
      </c>
      <c r="CN183" s="13">
        <f>IFERROR(BL183/BR183*(BU183-BASELINE_CPR),0)</f>
        <v/>
      </c>
      <c r="CO183" s="13">
        <f>IFERROR(BM183/BR183*(BU183-BASELINE_CPR),0)</f>
        <v/>
      </c>
      <c r="CP183" s="13">
        <f>IFERROR(BN183/BR183*(BU183-BASELINE_CPR),0)</f>
        <v/>
      </c>
      <c r="CQ183" s="13">
        <f>IFERROR(BO183/BR183*(BU183-BASELINE_CPR),0)</f>
        <v/>
      </c>
      <c r="CR183" s="13">
        <f>IFERROR(BP183/BR183*(BU183-BASELINE_CPR),0)</f>
        <v/>
      </c>
      <c r="CS183" s="13">
        <f>IFERROR(BQ183/BR183*(BU183-BASELINE_CPR),0)</f>
        <v/>
      </c>
      <c r="CT183" s="29">
        <f>BASELINE_CPR+SUM(BV183:CS183)-BU183</f>
        <v/>
      </c>
    </row>
    <row r="184">
      <c r="A184" s="2" t="inlineStr">
        <is>
          <t>3618G4K82_000000003422195</t>
        </is>
      </c>
      <c r="B184" t="inlineStr">
        <is>
          <t>CAPITAL_POST21</t>
        </is>
      </c>
      <c r="C184" s="2" t="inlineStr">
        <is>
          <t>3618G4K82</t>
        </is>
      </c>
      <c r="D184" t="inlineStr">
        <is>
          <t>CAPITAL FUNDING,LLC.</t>
        </is>
      </c>
      <c r="E184" t="inlineStr">
        <is>
          <t>232</t>
        </is>
      </c>
      <c r="F184" t="inlineStr">
        <is>
          <t>RP</t>
        </is>
      </c>
      <c r="G184" t="n">
        <v>2023</v>
      </c>
      <c r="H184" t="inlineStr">
        <is>
          <t>202602</t>
        </is>
      </c>
      <c r="I184" s="22" t="n">
        <v>9257415.58</v>
      </c>
      <c r="J184" s="23" t="n">
        <v>6</v>
      </c>
      <c r="K184" s="24" t="n">
        <v>447</v>
      </c>
      <c r="L184" s="24" t="n">
        <v>8</v>
      </c>
      <c r="M184" t="n">
        <v>26</v>
      </c>
      <c r="N184" t="n">
        <v>3</v>
      </c>
      <c r="O184" t="n">
        <v>205701</v>
      </c>
      <c r="P184" t="inlineStr"/>
      <c r="Q184" t="inlineStr">
        <is>
          <t>3866</t>
        </is>
      </c>
      <c r="R184" t="n">
        <v>1</v>
      </c>
      <c r="S184" t="n">
        <v>0</v>
      </c>
      <c r="T184" t="n">
        <v>0</v>
      </c>
      <c r="U184" t="n">
        <v>0</v>
      </c>
      <c r="V184" s="24">
        <f>J184*100-K184</f>
        <v/>
      </c>
      <c r="W184" s="24">
        <f>L184</f>
        <v/>
      </c>
      <c r="X184" s="25">
        <f>MIN(M184,36)</f>
        <v/>
      </c>
      <c r="Y184" s="25">
        <f>MIN(MAX(M184-36,0),84)</f>
        <v/>
      </c>
      <c r="Z184" s="25">
        <f>MAX(M184-120,0)</f>
        <v/>
      </c>
      <c r="AA184" s="25">
        <f>IF(OR(O184="",NOT(ISNUMBER(O184))),360,MAX(0,MIN(480,(INT(O184/100)-INT(VALUE(H184)/100))*12+MOD(O184,100)-MOD(VALUE(H184),100))))</f>
        <v/>
      </c>
      <c r="AB184">
        <f>IF(AND(AA184&gt;0,AA184&lt;=24),1,0)</f>
        <v/>
      </c>
      <c r="AC184" s="25">
        <f>IF(OR(P184="",NOT(ISNUMBER(P184))),0,MAX(0,MIN(24,(INT(VALUE(H184)/100)-INT(P184/100))*12+MOD(VALUE(H184),100)-MOD(P184,100))))</f>
        <v/>
      </c>
      <c r="AD184" s="23">
        <f>LN(1+I184)</f>
        <v/>
      </c>
      <c r="AE184">
        <f>IF(I184&lt;2000000,1,0)</f>
        <v/>
      </c>
      <c r="AF184">
        <f>IF(I184&gt;50000000,1,0)</f>
        <v/>
      </c>
      <c r="AG184" s="23">
        <f>IF(ISNUMBER(M184),N184/MAX(M184,1),0)</f>
        <v/>
      </c>
      <c r="AH184">
        <f>IF(G184&gt;=2021,1,0)</f>
        <v/>
      </c>
      <c r="AI184">
        <f>S184</f>
        <v/>
      </c>
      <c r="AJ184">
        <f>T184</f>
        <v/>
      </c>
      <c r="AK184">
        <f>R184</f>
        <v/>
      </c>
      <c r="AL184">
        <f>U184</f>
        <v/>
      </c>
      <c r="AM184">
        <f>IF(ISNUMBER(SEARCH("CAPITAL FUNDING",D184)),1,0)</f>
        <v/>
      </c>
      <c r="AN184">
        <f>IF(ISNUMBER(SEARCH("PNC",D184)),1,0)</f>
        <v/>
      </c>
      <c r="AO184">
        <f>IF(ISNUMBER(SEARCH("WELLS FARGO",D184)),1,0)</f>
        <v/>
      </c>
      <c r="AP184">
        <f>IF(ISNUMBER(SEARCH("DWIGHT",D184)),1,0)</f>
        <v/>
      </c>
      <c r="AQ184">
        <f>IF(ISNUMBER(SEARCH("GREYSTONE",D184)),1,0)</f>
        <v/>
      </c>
      <c r="AR184">
        <f>IF(OR(Q184="3896",Q184="3557"),1,0)</f>
        <v/>
      </c>
      <c r="AS184" s="24">
        <f>V184*W184</f>
        <v/>
      </c>
      <c r="AT184" s="26">
        <f>V$4*(V184-V$3)</f>
        <v/>
      </c>
      <c r="AU184" s="26">
        <f>W$4*(W184-W$3)</f>
        <v/>
      </c>
      <c r="AV184" s="26">
        <f>X$4*(X184-X$3)</f>
        <v/>
      </c>
      <c r="AW184" s="26">
        <f>Y$4*(Y184-Y$3)</f>
        <v/>
      </c>
      <c r="AX184" s="26">
        <f>Z$4*(Z184-Z$3)</f>
        <v/>
      </c>
      <c r="AY184" s="26">
        <f>AA$4*(AA184-AA$3)</f>
        <v/>
      </c>
      <c r="AZ184" s="26">
        <f>AB$4*(AB184-AB$3)</f>
        <v/>
      </c>
      <c r="BA184" s="26">
        <f>AC$4*(AC184-AC$3)</f>
        <v/>
      </c>
      <c r="BB184" s="26">
        <f>AD$4*(AD184-AD$3)</f>
        <v/>
      </c>
      <c r="BC184" s="26">
        <f>AE$4*(AE184-AE$3)</f>
        <v/>
      </c>
      <c r="BD184" s="26">
        <f>AF$4*(AF184-AF$3)</f>
        <v/>
      </c>
      <c r="BE184" s="26">
        <f>AG$4*(AG184-AG$3)</f>
        <v/>
      </c>
      <c r="BF184" s="26">
        <f>AH$4*(AH184-AH$3)</f>
        <v/>
      </c>
      <c r="BG184" s="26">
        <f>AI$4*(AI184-AI$3)</f>
        <v/>
      </c>
      <c r="BH184" s="26">
        <f>AJ$4*(AJ184-AJ$3)</f>
        <v/>
      </c>
      <c r="BI184" s="26">
        <f>AK$4*(AK184-AK$3)</f>
        <v/>
      </c>
      <c r="BJ184" s="26">
        <f>AL$4*(AL184-AL$3)</f>
        <v/>
      </c>
      <c r="BK184" s="26">
        <f>AM$4*(AM184-AM$3)</f>
        <v/>
      </c>
      <c r="BL184" s="26">
        <f>AN$4*(AN184-AN$3)</f>
        <v/>
      </c>
      <c r="BM184" s="26">
        <f>AO$4*(AO184-AO$3)</f>
        <v/>
      </c>
      <c r="BN184" s="26">
        <f>AP$4*(AP184-AP$3)</f>
        <v/>
      </c>
      <c r="BO184" s="26">
        <f>AQ$4*(AQ184-AQ$3)</f>
        <v/>
      </c>
      <c r="BP184" s="26">
        <f>AR$4*(AR184-AR$3)</f>
        <v/>
      </c>
      <c r="BQ184" s="26">
        <f>AS$4*(AS184-AS$3)</f>
        <v/>
      </c>
      <c r="BR184" s="27">
        <f>SUM(AT184:BQ184)</f>
        <v/>
      </c>
      <c r="BS184" s="27">
        <f>INTERCEPT_SCALED+BR184</f>
        <v/>
      </c>
      <c r="BT184" s="28">
        <f>1/(1+EXP(-BS184))</f>
        <v/>
      </c>
      <c r="BU184" s="13">
        <f>1-(1-BT184)^12</f>
        <v/>
      </c>
      <c r="BV184" s="13">
        <f>IFERROR(AT184/BR184*(BU184-BASELINE_CPR),0)</f>
        <v/>
      </c>
      <c r="BW184" s="13">
        <f>IFERROR(AU184/BR184*(BU184-BASELINE_CPR),0)</f>
        <v/>
      </c>
      <c r="BX184" s="13">
        <f>IFERROR(AV184/BR184*(BU184-BASELINE_CPR),0)</f>
        <v/>
      </c>
      <c r="BY184" s="13">
        <f>IFERROR(AW184/BR184*(BU184-BASELINE_CPR),0)</f>
        <v/>
      </c>
      <c r="BZ184" s="13">
        <f>IFERROR(AX184/BR184*(BU184-BASELINE_CPR),0)</f>
        <v/>
      </c>
      <c r="CA184" s="13">
        <f>IFERROR(AY184/BR184*(BU184-BASELINE_CPR),0)</f>
        <v/>
      </c>
      <c r="CB184" s="13">
        <f>IFERROR(AZ184/BR184*(BU184-BASELINE_CPR),0)</f>
        <v/>
      </c>
      <c r="CC184" s="13">
        <f>IFERROR(BA184/BR184*(BU184-BASELINE_CPR),0)</f>
        <v/>
      </c>
      <c r="CD184" s="13">
        <f>IFERROR(BB184/BR184*(BU184-BASELINE_CPR),0)</f>
        <v/>
      </c>
      <c r="CE184" s="13">
        <f>IFERROR(BC184/BR184*(BU184-BASELINE_CPR),0)</f>
        <v/>
      </c>
      <c r="CF184" s="13">
        <f>IFERROR(BD184/BR184*(BU184-BASELINE_CPR),0)</f>
        <v/>
      </c>
      <c r="CG184" s="13">
        <f>IFERROR(BE184/BR184*(BU184-BASELINE_CPR),0)</f>
        <v/>
      </c>
      <c r="CH184" s="13">
        <f>IFERROR(BF184/BR184*(BU184-BASELINE_CPR),0)</f>
        <v/>
      </c>
      <c r="CI184" s="13">
        <f>IFERROR(BG184/BR184*(BU184-BASELINE_CPR),0)</f>
        <v/>
      </c>
      <c r="CJ184" s="13">
        <f>IFERROR(BH184/BR184*(BU184-BASELINE_CPR),0)</f>
        <v/>
      </c>
      <c r="CK184" s="13">
        <f>IFERROR(BI184/BR184*(BU184-BASELINE_CPR),0)</f>
        <v/>
      </c>
      <c r="CL184" s="13">
        <f>IFERROR(BJ184/BR184*(BU184-BASELINE_CPR),0)</f>
        <v/>
      </c>
      <c r="CM184" s="13">
        <f>IFERROR(BK184/BR184*(BU184-BASELINE_CPR),0)</f>
        <v/>
      </c>
      <c r="CN184" s="13">
        <f>IFERROR(BL184/BR184*(BU184-BASELINE_CPR),0)</f>
        <v/>
      </c>
      <c r="CO184" s="13">
        <f>IFERROR(BM184/BR184*(BU184-BASELINE_CPR),0)</f>
        <v/>
      </c>
      <c r="CP184" s="13">
        <f>IFERROR(BN184/BR184*(BU184-BASELINE_CPR),0)</f>
        <v/>
      </c>
      <c r="CQ184" s="13">
        <f>IFERROR(BO184/BR184*(BU184-BASELINE_CPR),0)</f>
        <v/>
      </c>
      <c r="CR184" s="13">
        <f>IFERROR(BP184/BR184*(BU184-BASELINE_CPR),0)</f>
        <v/>
      </c>
      <c r="CS184" s="13">
        <f>IFERROR(BQ184/BR184*(BU184-BASELINE_CPR),0)</f>
        <v/>
      </c>
      <c r="CT184" s="29">
        <f>BASELINE_CPR+SUM(BV184:CS184)-BU184</f>
        <v/>
      </c>
    </row>
    <row r="185">
      <c r="A185" s="2" t="inlineStr">
        <is>
          <t>3617NFXJ3_000000004822022</t>
        </is>
      </c>
      <c r="B185" t="inlineStr">
        <is>
          <t>CAPITAL_PRE21</t>
        </is>
      </c>
      <c r="C185" s="2" t="inlineStr">
        <is>
          <t>3617NFXJ3</t>
        </is>
      </c>
      <c r="D185" t="inlineStr">
        <is>
          <t>CAPITAL FUNDING,LLC.</t>
        </is>
      </c>
      <c r="E185" t="inlineStr">
        <is>
          <t>232</t>
        </is>
      </c>
      <c r="F185" t="inlineStr">
        <is>
          <t>RP</t>
        </is>
      </c>
      <c r="G185" t="n">
        <v>2010</v>
      </c>
      <c r="H185" t="inlineStr">
        <is>
          <t>202602</t>
        </is>
      </c>
      <c r="I185" s="22" t="n">
        <v>2463434.45</v>
      </c>
      <c r="J185" s="23" t="n">
        <v>2.95</v>
      </c>
      <c r="K185" s="24" t="n">
        <v>447</v>
      </c>
      <c r="L185" s="24" t="n">
        <v>5</v>
      </c>
      <c r="M185" t="n">
        <v>182</v>
      </c>
      <c r="N185" t="n">
        <v>5</v>
      </c>
      <c r="O185" t="n">
        <v>203605</v>
      </c>
      <c r="P185" t="inlineStr"/>
      <c r="Q185" t="inlineStr">
        <is>
          <t>3866</t>
        </is>
      </c>
      <c r="R185" t="n">
        <v>1</v>
      </c>
      <c r="S185" t="n">
        <v>1</v>
      </c>
      <c r="T185" t="n">
        <v>0</v>
      </c>
      <c r="U185" t="n">
        <v>0</v>
      </c>
      <c r="V185" s="24">
        <f>J185*100-K185</f>
        <v/>
      </c>
      <c r="W185" s="24">
        <f>L185</f>
        <v/>
      </c>
      <c r="X185" s="25">
        <f>MIN(M185,36)</f>
        <v/>
      </c>
      <c r="Y185" s="25">
        <f>MIN(MAX(M185-36,0),84)</f>
        <v/>
      </c>
      <c r="Z185" s="25">
        <f>MAX(M185-120,0)</f>
        <v/>
      </c>
      <c r="AA185" s="25">
        <f>IF(OR(O185="",NOT(ISNUMBER(O185))),360,MAX(0,MIN(480,(INT(O185/100)-INT(VALUE(H185)/100))*12+MOD(O185,100)-MOD(VALUE(H185),100))))</f>
        <v/>
      </c>
      <c r="AB185">
        <f>IF(AND(AA185&gt;0,AA185&lt;=24),1,0)</f>
        <v/>
      </c>
      <c r="AC185" s="25">
        <f>IF(OR(P185="",NOT(ISNUMBER(P185))),0,MAX(0,MIN(24,(INT(VALUE(H185)/100)-INT(P185/100))*12+MOD(VALUE(H185),100)-MOD(P185,100))))</f>
        <v/>
      </c>
      <c r="AD185" s="23">
        <f>LN(1+I185)</f>
        <v/>
      </c>
      <c r="AE185">
        <f>IF(I185&lt;2000000,1,0)</f>
        <v/>
      </c>
      <c r="AF185">
        <f>IF(I185&gt;50000000,1,0)</f>
        <v/>
      </c>
      <c r="AG185" s="23">
        <f>IF(ISNUMBER(M185),N185/MAX(M185,1),0)</f>
        <v/>
      </c>
      <c r="AH185">
        <f>IF(G185&gt;=2021,1,0)</f>
        <v/>
      </c>
      <c r="AI185">
        <f>S185</f>
        <v/>
      </c>
      <c r="AJ185">
        <f>T185</f>
        <v/>
      </c>
      <c r="AK185">
        <f>R185</f>
        <v/>
      </c>
      <c r="AL185">
        <f>U185</f>
        <v/>
      </c>
      <c r="AM185">
        <f>IF(ISNUMBER(SEARCH("CAPITAL FUNDING",D185)),1,0)</f>
        <v/>
      </c>
      <c r="AN185">
        <f>IF(ISNUMBER(SEARCH("PNC",D185)),1,0)</f>
        <v/>
      </c>
      <c r="AO185">
        <f>IF(ISNUMBER(SEARCH("WELLS FARGO",D185)),1,0)</f>
        <v/>
      </c>
      <c r="AP185">
        <f>IF(ISNUMBER(SEARCH("DWIGHT",D185)),1,0)</f>
        <v/>
      </c>
      <c r="AQ185">
        <f>IF(ISNUMBER(SEARCH("GREYSTONE",D185)),1,0)</f>
        <v/>
      </c>
      <c r="AR185">
        <f>IF(OR(Q185="3896",Q185="3557"),1,0)</f>
        <v/>
      </c>
      <c r="AS185" s="24">
        <f>V185*W185</f>
        <v/>
      </c>
      <c r="AT185" s="26">
        <f>V$4*(V185-V$3)</f>
        <v/>
      </c>
      <c r="AU185" s="26">
        <f>W$4*(W185-W$3)</f>
        <v/>
      </c>
      <c r="AV185" s="26">
        <f>X$4*(X185-X$3)</f>
        <v/>
      </c>
      <c r="AW185" s="26">
        <f>Y$4*(Y185-Y$3)</f>
        <v/>
      </c>
      <c r="AX185" s="26">
        <f>Z$4*(Z185-Z$3)</f>
        <v/>
      </c>
      <c r="AY185" s="26">
        <f>AA$4*(AA185-AA$3)</f>
        <v/>
      </c>
      <c r="AZ185" s="26">
        <f>AB$4*(AB185-AB$3)</f>
        <v/>
      </c>
      <c r="BA185" s="26">
        <f>AC$4*(AC185-AC$3)</f>
        <v/>
      </c>
      <c r="BB185" s="26">
        <f>AD$4*(AD185-AD$3)</f>
        <v/>
      </c>
      <c r="BC185" s="26">
        <f>AE$4*(AE185-AE$3)</f>
        <v/>
      </c>
      <c r="BD185" s="26">
        <f>AF$4*(AF185-AF$3)</f>
        <v/>
      </c>
      <c r="BE185" s="26">
        <f>AG$4*(AG185-AG$3)</f>
        <v/>
      </c>
      <c r="BF185" s="26">
        <f>AH$4*(AH185-AH$3)</f>
        <v/>
      </c>
      <c r="BG185" s="26">
        <f>AI$4*(AI185-AI$3)</f>
        <v/>
      </c>
      <c r="BH185" s="26">
        <f>AJ$4*(AJ185-AJ$3)</f>
        <v/>
      </c>
      <c r="BI185" s="26">
        <f>AK$4*(AK185-AK$3)</f>
        <v/>
      </c>
      <c r="BJ185" s="26">
        <f>AL$4*(AL185-AL$3)</f>
        <v/>
      </c>
      <c r="BK185" s="26">
        <f>AM$4*(AM185-AM$3)</f>
        <v/>
      </c>
      <c r="BL185" s="26">
        <f>AN$4*(AN185-AN$3)</f>
        <v/>
      </c>
      <c r="BM185" s="26">
        <f>AO$4*(AO185-AO$3)</f>
        <v/>
      </c>
      <c r="BN185" s="26">
        <f>AP$4*(AP185-AP$3)</f>
        <v/>
      </c>
      <c r="BO185" s="26">
        <f>AQ$4*(AQ185-AQ$3)</f>
        <v/>
      </c>
      <c r="BP185" s="26">
        <f>AR$4*(AR185-AR$3)</f>
        <v/>
      </c>
      <c r="BQ185" s="26">
        <f>AS$4*(AS185-AS$3)</f>
        <v/>
      </c>
      <c r="BR185" s="27">
        <f>SUM(AT185:BQ185)</f>
        <v/>
      </c>
      <c r="BS185" s="27">
        <f>INTERCEPT_SCALED+BR185</f>
        <v/>
      </c>
      <c r="BT185" s="28">
        <f>1/(1+EXP(-BS185))</f>
        <v/>
      </c>
      <c r="BU185" s="13">
        <f>1-(1-BT185)^12</f>
        <v/>
      </c>
      <c r="BV185" s="13">
        <f>IFERROR(AT185/BR185*(BU185-BASELINE_CPR),0)</f>
        <v/>
      </c>
      <c r="BW185" s="13">
        <f>IFERROR(AU185/BR185*(BU185-BASELINE_CPR),0)</f>
        <v/>
      </c>
      <c r="BX185" s="13">
        <f>IFERROR(AV185/BR185*(BU185-BASELINE_CPR),0)</f>
        <v/>
      </c>
      <c r="BY185" s="13">
        <f>IFERROR(AW185/BR185*(BU185-BASELINE_CPR),0)</f>
        <v/>
      </c>
      <c r="BZ185" s="13">
        <f>IFERROR(AX185/BR185*(BU185-BASELINE_CPR),0)</f>
        <v/>
      </c>
      <c r="CA185" s="13">
        <f>IFERROR(AY185/BR185*(BU185-BASELINE_CPR),0)</f>
        <v/>
      </c>
      <c r="CB185" s="13">
        <f>IFERROR(AZ185/BR185*(BU185-BASELINE_CPR),0)</f>
        <v/>
      </c>
      <c r="CC185" s="13">
        <f>IFERROR(BA185/BR185*(BU185-BASELINE_CPR),0)</f>
        <v/>
      </c>
      <c r="CD185" s="13">
        <f>IFERROR(BB185/BR185*(BU185-BASELINE_CPR),0)</f>
        <v/>
      </c>
      <c r="CE185" s="13">
        <f>IFERROR(BC185/BR185*(BU185-BASELINE_CPR),0)</f>
        <v/>
      </c>
      <c r="CF185" s="13">
        <f>IFERROR(BD185/BR185*(BU185-BASELINE_CPR),0)</f>
        <v/>
      </c>
      <c r="CG185" s="13">
        <f>IFERROR(BE185/BR185*(BU185-BASELINE_CPR),0)</f>
        <v/>
      </c>
      <c r="CH185" s="13">
        <f>IFERROR(BF185/BR185*(BU185-BASELINE_CPR),0)</f>
        <v/>
      </c>
      <c r="CI185" s="13">
        <f>IFERROR(BG185/BR185*(BU185-BASELINE_CPR),0)</f>
        <v/>
      </c>
      <c r="CJ185" s="13">
        <f>IFERROR(BH185/BR185*(BU185-BASELINE_CPR),0)</f>
        <v/>
      </c>
      <c r="CK185" s="13">
        <f>IFERROR(BI185/BR185*(BU185-BASELINE_CPR),0)</f>
        <v/>
      </c>
      <c r="CL185" s="13">
        <f>IFERROR(BJ185/BR185*(BU185-BASELINE_CPR),0)</f>
        <v/>
      </c>
      <c r="CM185" s="13">
        <f>IFERROR(BK185/BR185*(BU185-BASELINE_CPR),0)</f>
        <v/>
      </c>
      <c r="CN185" s="13">
        <f>IFERROR(BL185/BR185*(BU185-BASELINE_CPR),0)</f>
        <v/>
      </c>
      <c r="CO185" s="13">
        <f>IFERROR(BM185/BR185*(BU185-BASELINE_CPR),0)</f>
        <v/>
      </c>
      <c r="CP185" s="13">
        <f>IFERROR(BN185/BR185*(BU185-BASELINE_CPR),0)</f>
        <v/>
      </c>
      <c r="CQ185" s="13">
        <f>IFERROR(BO185/BR185*(BU185-BASELINE_CPR),0)</f>
        <v/>
      </c>
      <c r="CR185" s="13">
        <f>IFERROR(BP185/BR185*(BU185-BASELINE_CPR),0)</f>
        <v/>
      </c>
      <c r="CS185" s="13">
        <f>IFERROR(BQ185/BR185*(BU185-BASELINE_CPR),0)</f>
        <v/>
      </c>
      <c r="CT185" s="29">
        <f>BASELINE_CPR+SUM(BV185:CS185)-BU185</f>
        <v/>
      </c>
    </row>
    <row r="186">
      <c r="A186" s="2" t="inlineStr">
        <is>
          <t>3617ACJL5_000000010122125</t>
        </is>
      </c>
      <c r="B186" t="inlineStr">
        <is>
          <t>CAPITAL_PRE21</t>
        </is>
      </c>
      <c r="C186" s="2" t="inlineStr">
        <is>
          <t>3617ACJL5</t>
        </is>
      </c>
      <c r="D186" t="inlineStr">
        <is>
          <t>CAPITAL FUNDING,LLC.</t>
        </is>
      </c>
      <c r="E186" t="inlineStr">
        <is>
          <t>232</t>
        </is>
      </c>
      <c r="F186" t="inlineStr">
        <is>
          <t>RP</t>
        </is>
      </c>
      <c r="G186" t="n">
        <v>2017</v>
      </c>
      <c r="H186" t="inlineStr">
        <is>
          <t>202602</t>
        </is>
      </c>
      <c r="I186" s="22" t="n">
        <v>10506744.22</v>
      </c>
      <c r="J186" s="23" t="n">
        <v>4.15</v>
      </c>
      <c r="K186" s="24" t="n">
        <v>447</v>
      </c>
      <c r="L186" s="24" t="n">
        <v>0</v>
      </c>
      <c r="M186" t="n">
        <v>105</v>
      </c>
      <c r="N186" t="n">
        <v>43</v>
      </c>
      <c r="O186" t="n">
        <v>204706</v>
      </c>
      <c r="P186" t="inlineStr"/>
      <c r="Q186" t="inlineStr">
        <is>
          <t>3866</t>
        </is>
      </c>
      <c r="R186" t="n">
        <v>1</v>
      </c>
      <c r="S186" t="n">
        <v>0</v>
      </c>
      <c r="T186" t="n">
        <v>0</v>
      </c>
      <c r="U186" t="n">
        <v>0</v>
      </c>
      <c r="V186" s="24">
        <f>J186*100-K186</f>
        <v/>
      </c>
      <c r="W186" s="24">
        <f>L186</f>
        <v/>
      </c>
      <c r="X186" s="25">
        <f>MIN(M186,36)</f>
        <v/>
      </c>
      <c r="Y186" s="25">
        <f>MIN(MAX(M186-36,0),84)</f>
        <v/>
      </c>
      <c r="Z186" s="25">
        <f>MAX(M186-120,0)</f>
        <v/>
      </c>
      <c r="AA186" s="25">
        <f>IF(OR(O186="",NOT(ISNUMBER(O186))),360,MAX(0,MIN(480,(INT(O186/100)-INT(VALUE(H186)/100))*12+MOD(O186,100)-MOD(VALUE(H186),100))))</f>
        <v/>
      </c>
      <c r="AB186">
        <f>IF(AND(AA186&gt;0,AA186&lt;=24),1,0)</f>
        <v/>
      </c>
      <c r="AC186" s="25">
        <f>IF(OR(P186="",NOT(ISNUMBER(P186))),0,MAX(0,MIN(24,(INT(VALUE(H186)/100)-INT(P186/100))*12+MOD(VALUE(H186),100)-MOD(P186,100))))</f>
        <v/>
      </c>
      <c r="AD186" s="23">
        <f>LN(1+I186)</f>
        <v/>
      </c>
      <c r="AE186">
        <f>IF(I186&lt;2000000,1,0)</f>
        <v/>
      </c>
      <c r="AF186">
        <f>IF(I186&gt;50000000,1,0)</f>
        <v/>
      </c>
      <c r="AG186" s="23">
        <f>IF(ISNUMBER(M186),N186/MAX(M186,1),0)</f>
        <v/>
      </c>
      <c r="AH186">
        <f>IF(G186&gt;=2021,1,0)</f>
        <v/>
      </c>
      <c r="AI186">
        <f>S186</f>
        <v/>
      </c>
      <c r="AJ186">
        <f>T186</f>
        <v/>
      </c>
      <c r="AK186">
        <f>R186</f>
        <v/>
      </c>
      <c r="AL186">
        <f>U186</f>
        <v/>
      </c>
      <c r="AM186">
        <f>IF(ISNUMBER(SEARCH("CAPITAL FUNDING",D186)),1,0)</f>
        <v/>
      </c>
      <c r="AN186">
        <f>IF(ISNUMBER(SEARCH("PNC",D186)),1,0)</f>
        <v/>
      </c>
      <c r="AO186">
        <f>IF(ISNUMBER(SEARCH("WELLS FARGO",D186)),1,0)</f>
        <v/>
      </c>
      <c r="AP186">
        <f>IF(ISNUMBER(SEARCH("DWIGHT",D186)),1,0)</f>
        <v/>
      </c>
      <c r="AQ186">
        <f>IF(ISNUMBER(SEARCH("GREYSTONE",D186)),1,0)</f>
        <v/>
      </c>
      <c r="AR186">
        <f>IF(OR(Q186="3896",Q186="3557"),1,0)</f>
        <v/>
      </c>
      <c r="AS186" s="24">
        <f>V186*W186</f>
        <v/>
      </c>
      <c r="AT186" s="26">
        <f>V$4*(V186-V$3)</f>
        <v/>
      </c>
      <c r="AU186" s="26">
        <f>W$4*(W186-W$3)</f>
        <v/>
      </c>
      <c r="AV186" s="26">
        <f>X$4*(X186-X$3)</f>
        <v/>
      </c>
      <c r="AW186" s="26">
        <f>Y$4*(Y186-Y$3)</f>
        <v/>
      </c>
      <c r="AX186" s="26">
        <f>Z$4*(Z186-Z$3)</f>
        <v/>
      </c>
      <c r="AY186" s="26">
        <f>AA$4*(AA186-AA$3)</f>
        <v/>
      </c>
      <c r="AZ186" s="26">
        <f>AB$4*(AB186-AB$3)</f>
        <v/>
      </c>
      <c r="BA186" s="26">
        <f>AC$4*(AC186-AC$3)</f>
        <v/>
      </c>
      <c r="BB186" s="26">
        <f>AD$4*(AD186-AD$3)</f>
        <v/>
      </c>
      <c r="BC186" s="26">
        <f>AE$4*(AE186-AE$3)</f>
        <v/>
      </c>
      <c r="BD186" s="26">
        <f>AF$4*(AF186-AF$3)</f>
        <v/>
      </c>
      <c r="BE186" s="26">
        <f>AG$4*(AG186-AG$3)</f>
        <v/>
      </c>
      <c r="BF186" s="26">
        <f>AH$4*(AH186-AH$3)</f>
        <v/>
      </c>
      <c r="BG186" s="26">
        <f>AI$4*(AI186-AI$3)</f>
        <v/>
      </c>
      <c r="BH186" s="26">
        <f>AJ$4*(AJ186-AJ$3)</f>
        <v/>
      </c>
      <c r="BI186" s="26">
        <f>AK$4*(AK186-AK$3)</f>
        <v/>
      </c>
      <c r="BJ186" s="26">
        <f>AL$4*(AL186-AL$3)</f>
        <v/>
      </c>
      <c r="BK186" s="26">
        <f>AM$4*(AM186-AM$3)</f>
        <v/>
      </c>
      <c r="BL186" s="26">
        <f>AN$4*(AN186-AN$3)</f>
        <v/>
      </c>
      <c r="BM186" s="26">
        <f>AO$4*(AO186-AO$3)</f>
        <v/>
      </c>
      <c r="BN186" s="26">
        <f>AP$4*(AP186-AP$3)</f>
        <v/>
      </c>
      <c r="BO186" s="26">
        <f>AQ$4*(AQ186-AQ$3)</f>
        <v/>
      </c>
      <c r="BP186" s="26">
        <f>AR$4*(AR186-AR$3)</f>
        <v/>
      </c>
      <c r="BQ186" s="26">
        <f>AS$4*(AS186-AS$3)</f>
        <v/>
      </c>
      <c r="BR186" s="27">
        <f>SUM(AT186:BQ186)</f>
        <v/>
      </c>
      <c r="BS186" s="27">
        <f>INTERCEPT_SCALED+BR186</f>
        <v/>
      </c>
      <c r="BT186" s="28">
        <f>1/(1+EXP(-BS186))</f>
        <v/>
      </c>
      <c r="BU186" s="13">
        <f>1-(1-BT186)^12</f>
        <v/>
      </c>
      <c r="BV186" s="13">
        <f>IFERROR(AT186/BR186*(BU186-BASELINE_CPR),0)</f>
        <v/>
      </c>
      <c r="BW186" s="13">
        <f>IFERROR(AU186/BR186*(BU186-BASELINE_CPR),0)</f>
        <v/>
      </c>
      <c r="BX186" s="13">
        <f>IFERROR(AV186/BR186*(BU186-BASELINE_CPR),0)</f>
        <v/>
      </c>
      <c r="BY186" s="13">
        <f>IFERROR(AW186/BR186*(BU186-BASELINE_CPR),0)</f>
        <v/>
      </c>
      <c r="BZ186" s="13">
        <f>IFERROR(AX186/BR186*(BU186-BASELINE_CPR),0)</f>
        <v/>
      </c>
      <c r="CA186" s="13">
        <f>IFERROR(AY186/BR186*(BU186-BASELINE_CPR),0)</f>
        <v/>
      </c>
      <c r="CB186" s="13">
        <f>IFERROR(AZ186/BR186*(BU186-BASELINE_CPR),0)</f>
        <v/>
      </c>
      <c r="CC186" s="13">
        <f>IFERROR(BA186/BR186*(BU186-BASELINE_CPR),0)</f>
        <v/>
      </c>
      <c r="CD186" s="13">
        <f>IFERROR(BB186/BR186*(BU186-BASELINE_CPR),0)</f>
        <v/>
      </c>
      <c r="CE186" s="13">
        <f>IFERROR(BC186/BR186*(BU186-BASELINE_CPR),0)</f>
        <v/>
      </c>
      <c r="CF186" s="13">
        <f>IFERROR(BD186/BR186*(BU186-BASELINE_CPR),0)</f>
        <v/>
      </c>
      <c r="CG186" s="13">
        <f>IFERROR(BE186/BR186*(BU186-BASELINE_CPR),0)</f>
        <v/>
      </c>
      <c r="CH186" s="13">
        <f>IFERROR(BF186/BR186*(BU186-BASELINE_CPR),0)</f>
        <v/>
      </c>
      <c r="CI186" s="13">
        <f>IFERROR(BG186/BR186*(BU186-BASELINE_CPR),0)</f>
        <v/>
      </c>
      <c r="CJ186" s="13">
        <f>IFERROR(BH186/BR186*(BU186-BASELINE_CPR),0)</f>
        <v/>
      </c>
      <c r="CK186" s="13">
        <f>IFERROR(BI186/BR186*(BU186-BASELINE_CPR),0)</f>
        <v/>
      </c>
      <c r="CL186" s="13">
        <f>IFERROR(BJ186/BR186*(BU186-BASELINE_CPR),0)</f>
        <v/>
      </c>
      <c r="CM186" s="13">
        <f>IFERROR(BK186/BR186*(BU186-BASELINE_CPR),0)</f>
        <v/>
      </c>
      <c r="CN186" s="13">
        <f>IFERROR(BL186/BR186*(BU186-BASELINE_CPR),0)</f>
        <v/>
      </c>
      <c r="CO186" s="13">
        <f>IFERROR(BM186/BR186*(BU186-BASELINE_CPR),0)</f>
        <v/>
      </c>
      <c r="CP186" s="13">
        <f>IFERROR(BN186/BR186*(BU186-BASELINE_CPR),0)</f>
        <v/>
      </c>
      <c r="CQ186" s="13">
        <f>IFERROR(BO186/BR186*(BU186-BASELINE_CPR),0)</f>
        <v/>
      </c>
      <c r="CR186" s="13">
        <f>IFERROR(BP186/BR186*(BU186-BASELINE_CPR),0)</f>
        <v/>
      </c>
      <c r="CS186" s="13">
        <f>IFERROR(BQ186/BR186*(BU186-BASELINE_CPR),0)</f>
        <v/>
      </c>
      <c r="CT186" s="29">
        <f>BASELINE_CPR+SUM(BV186:CS186)-BU186</f>
        <v/>
      </c>
    </row>
    <row r="187">
      <c r="A187" s="2" t="inlineStr">
        <is>
          <t>36181DQH2_000000012122146</t>
        </is>
      </c>
      <c r="B187" t="inlineStr">
        <is>
          <t>CAPITAL_PRE21</t>
        </is>
      </c>
      <c r="C187" s="2" t="inlineStr">
        <is>
          <t>36181DQH2</t>
        </is>
      </c>
      <c r="D187" t="inlineStr">
        <is>
          <t>CAPITAL FUNDING,LLC.</t>
        </is>
      </c>
      <c r="E187" t="inlineStr">
        <is>
          <t>232</t>
        </is>
      </c>
      <c r="F187" t="inlineStr">
        <is>
          <t>RP</t>
        </is>
      </c>
      <c r="G187" t="n">
        <v>2013</v>
      </c>
      <c r="H187" t="inlineStr">
        <is>
          <t>202602</t>
        </is>
      </c>
      <c r="I187" s="22" t="n">
        <v>2672369.06</v>
      </c>
      <c r="J187" s="23" t="n">
        <v>3.91</v>
      </c>
      <c r="K187" s="24" t="n">
        <v>447</v>
      </c>
      <c r="L187" s="24" t="n">
        <v>0</v>
      </c>
      <c r="M187" t="n">
        <v>153</v>
      </c>
      <c r="N187" t="n">
        <v>38</v>
      </c>
      <c r="O187" t="n">
        <v>203412</v>
      </c>
      <c r="P187" t="inlineStr"/>
      <c r="Q187" t="inlineStr">
        <is>
          <t>3866</t>
        </is>
      </c>
      <c r="R187" t="n">
        <v>1</v>
      </c>
      <c r="S187" t="n">
        <v>1</v>
      </c>
      <c r="T187" t="n">
        <v>0</v>
      </c>
      <c r="U187" t="n">
        <v>0</v>
      </c>
      <c r="V187" s="24">
        <f>J187*100-K187</f>
        <v/>
      </c>
      <c r="W187" s="24">
        <f>L187</f>
        <v/>
      </c>
      <c r="X187" s="25">
        <f>MIN(M187,36)</f>
        <v/>
      </c>
      <c r="Y187" s="25">
        <f>MIN(MAX(M187-36,0),84)</f>
        <v/>
      </c>
      <c r="Z187" s="25">
        <f>MAX(M187-120,0)</f>
        <v/>
      </c>
      <c r="AA187" s="25">
        <f>IF(OR(O187="",NOT(ISNUMBER(O187))),360,MAX(0,MIN(480,(INT(O187/100)-INT(VALUE(H187)/100))*12+MOD(O187,100)-MOD(VALUE(H187),100))))</f>
        <v/>
      </c>
      <c r="AB187">
        <f>IF(AND(AA187&gt;0,AA187&lt;=24),1,0)</f>
        <v/>
      </c>
      <c r="AC187" s="25">
        <f>IF(OR(P187="",NOT(ISNUMBER(P187))),0,MAX(0,MIN(24,(INT(VALUE(H187)/100)-INT(P187/100))*12+MOD(VALUE(H187),100)-MOD(P187,100))))</f>
        <v/>
      </c>
      <c r="AD187" s="23">
        <f>LN(1+I187)</f>
        <v/>
      </c>
      <c r="AE187">
        <f>IF(I187&lt;2000000,1,0)</f>
        <v/>
      </c>
      <c r="AF187">
        <f>IF(I187&gt;50000000,1,0)</f>
        <v/>
      </c>
      <c r="AG187" s="23">
        <f>IF(ISNUMBER(M187),N187/MAX(M187,1),0)</f>
        <v/>
      </c>
      <c r="AH187">
        <f>IF(G187&gt;=2021,1,0)</f>
        <v/>
      </c>
      <c r="AI187">
        <f>S187</f>
        <v/>
      </c>
      <c r="AJ187">
        <f>T187</f>
        <v/>
      </c>
      <c r="AK187">
        <f>R187</f>
        <v/>
      </c>
      <c r="AL187">
        <f>U187</f>
        <v/>
      </c>
      <c r="AM187">
        <f>IF(ISNUMBER(SEARCH("CAPITAL FUNDING",D187)),1,0)</f>
        <v/>
      </c>
      <c r="AN187">
        <f>IF(ISNUMBER(SEARCH("PNC",D187)),1,0)</f>
        <v/>
      </c>
      <c r="AO187">
        <f>IF(ISNUMBER(SEARCH("WELLS FARGO",D187)),1,0)</f>
        <v/>
      </c>
      <c r="AP187">
        <f>IF(ISNUMBER(SEARCH("DWIGHT",D187)),1,0)</f>
        <v/>
      </c>
      <c r="AQ187">
        <f>IF(ISNUMBER(SEARCH("GREYSTONE",D187)),1,0)</f>
        <v/>
      </c>
      <c r="AR187">
        <f>IF(OR(Q187="3896",Q187="3557"),1,0)</f>
        <v/>
      </c>
      <c r="AS187" s="24">
        <f>V187*W187</f>
        <v/>
      </c>
      <c r="AT187" s="26">
        <f>V$4*(V187-V$3)</f>
        <v/>
      </c>
      <c r="AU187" s="26">
        <f>W$4*(W187-W$3)</f>
        <v/>
      </c>
      <c r="AV187" s="26">
        <f>X$4*(X187-X$3)</f>
        <v/>
      </c>
      <c r="AW187" s="26">
        <f>Y$4*(Y187-Y$3)</f>
        <v/>
      </c>
      <c r="AX187" s="26">
        <f>Z$4*(Z187-Z$3)</f>
        <v/>
      </c>
      <c r="AY187" s="26">
        <f>AA$4*(AA187-AA$3)</f>
        <v/>
      </c>
      <c r="AZ187" s="26">
        <f>AB$4*(AB187-AB$3)</f>
        <v/>
      </c>
      <c r="BA187" s="26">
        <f>AC$4*(AC187-AC$3)</f>
        <v/>
      </c>
      <c r="BB187" s="26">
        <f>AD$4*(AD187-AD$3)</f>
        <v/>
      </c>
      <c r="BC187" s="26">
        <f>AE$4*(AE187-AE$3)</f>
        <v/>
      </c>
      <c r="BD187" s="26">
        <f>AF$4*(AF187-AF$3)</f>
        <v/>
      </c>
      <c r="BE187" s="26">
        <f>AG$4*(AG187-AG$3)</f>
        <v/>
      </c>
      <c r="BF187" s="26">
        <f>AH$4*(AH187-AH$3)</f>
        <v/>
      </c>
      <c r="BG187" s="26">
        <f>AI$4*(AI187-AI$3)</f>
        <v/>
      </c>
      <c r="BH187" s="26">
        <f>AJ$4*(AJ187-AJ$3)</f>
        <v/>
      </c>
      <c r="BI187" s="26">
        <f>AK$4*(AK187-AK$3)</f>
        <v/>
      </c>
      <c r="BJ187" s="26">
        <f>AL$4*(AL187-AL$3)</f>
        <v/>
      </c>
      <c r="BK187" s="26">
        <f>AM$4*(AM187-AM$3)</f>
        <v/>
      </c>
      <c r="BL187" s="26">
        <f>AN$4*(AN187-AN$3)</f>
        <v/>
      </c>
      <c r="BM187" s="26">
        <f>AO$4*(AO187-AO$3)</f>
        <v/>
      </c>
      <c r="BN187" s="26">
        <f>AP$4*(AP187-AP$3)</f>
        <v/>
      </c>
      <c r="BO187" s="26">
        <f>AQ$4*(AQ187-AQ$3)</f>
        <v/>
      </c>
      <c r="BP187" s="26">
        <f>AR$4*(AR187-AR$3)</f>
        <v/>
      </c>
      <c r="BQ187" s="26">
        <f>AS$4*(AS187-AS$3)</f>
        <v/>
      </c>
      <c r="BR187" s="27">
        <f>SUM(AT187:BQ187)</f>
        <v/>
      </c>
      <c r="BS187" s="27">
        <f>INTERCEPT_SCALED+BR187</f>
        <v/>
      </c>
      <c r="BT187" s="28">
        <f>1/(1+EXP(-BS187))</f>
        <v/>
      </c>
      <c r="BU187" s="13">
        <f>1-(1-BT187)^12</f>
        <v/>
      </c>
      <c r="BV187" s="13">
        <f>IFERROR(AT187/BR187*(BU187-BASELINE_CPR),0)</f>
        <v/>
      </c>
      <c r="BW187" s="13">
        <f>IFERROR(AU187/BR187*(BU187-BASELINE_CPR),0)</f>
        <v/>
      </c>
      <c r="BX187" s="13">
        <f>IFERROR(AV187/BR187*(BU187-BASELINE_CPR),0)</f>
        <v/>
      </c>
      <c r="BY187" s="13">
        <f>IFERROR(AW187/BR187*(BU187-BASELINE_CPR),0)</f>
        <v/>
      </c>
      <c r="BZ187" s="13">
        <f>IFERROR(AX187/BR187*(BU187-BASELINE_CPR),0)</f>
        <v/>
      </c>
      <c r="CA187" s="13">
        <f>IFERROR(AY187/BR187*(BU187-BASELINE_CPR),0)</f>
        <v/>
      </c>
      <c r="CB187" s="13">
        <f>IFERROR(AZ187/BR187*(BU187-BASELINE_CPR),0)</f>
        <v/>
      </c>
      <c r="CC187" s="13">
        <f>IFERROR(BA187/BR187*(BU187-BASELINE_CPR),0)</f>
        <v/>
      </c>
      <c r="CD187" s="13">
        <f>IFERROR(BB187/BR187*(BU187-BASELINE_CPR),0)</f>
        <v/>
      </c>
      <c r="CE187" s="13">
        <f>IFERROR(BC187/BR187*(BU187-BASELINE_CPR),0)</f>
        <v/>
      </c>
      <c r="CF187" s="13">
        <f>IFERROR(BD187/BR187*(BU187-BASELINE_CPR),0)</f>
        <v/>
      </c>
      <c r="CG187" s="13">
        <f>IFERROR(BE187/BR187*(BU187-BASELINE_CPR),0)</f>
        <v/>
      </c>
      <c r="CH187" s="13">
        <f>IFERROR(BF187/BR187*(BU187-BASELINE_CPR),0)</f>
        <v/>
      </c>
      <c r="CI187" s="13">
        <f>IFERROR(BG187/BR187*(BU187-BASELINE_CPR),0)</f>
        <v/>
      </c>
      <c r="CJ187" s="13">
        <f>IFERROR(BH187/BR187*(BU187-BASELINE_CPR),0)</f>
        <v/>
      </c>
      <c r="CK187" s="13">
        <f>IFERROR(BI187/BR187*(BU187-BASELINE_CPR),0)</f>
        <v/>
      </c>
      <c r="CL187" s="13">
        <f>IFERROR(BJ187/BR187*(BU187-BASELINE_CPR),0)</f>
        <v/>
      </c>
      <c r="CM187" s="13">
        <f>IFERROR(BK187/BR187*(BU187-BASELINE_CPR),0)</f>
        <v/>
      </c>
      <c r="CN187" s="13">
        <f>IFERROR(BL187/BR187*(BU187-BASELINE_CPR),0)</f>
        <v/>
      </c>
      <c r="CO187" s="13">
        <f>IFERROR(BM187/BR187*(BU187-BASELINE_CPR),0)</f>
        <v/>
      </c>
      <c r="CP187" s="13">
        <f>IFERROR(BN187/BR187*(BU187-BASELINE_CPR),0)</f>
        <v/>
      </c>
      <c r="CQ187" s="13">
        <f>IFERROR(BO187/BR187*(BU187-BASELINE_CPR),0)</f>
        <v/>
      </c>
      <c r="CR187" s="13">
        <f>IFERROR(BP187/BR187*(BU187-BASELINE_CPR),0)</f>
        <v/>
      </c>
      <c r="CS187" s="13">
        <f>IFERROR(BQ187/BR187*(BU187-BASELINE_CPR),0)</f>
        <v/>
      </c>
      <c r="CT187" s="29">
        <f>BASELINE_CPR+SUM(BV187:CS187)-BU187</f>
        <v/>
      </c>
    </row>
    <row r="188">
      <c r="A188" s="2" t="inlineStr">
        <is>
          <t>36176TTE8_000000007422022</t>
        </is>
      </c>
      <c r="B188" t="inlineStr">
        <is>
          <t>CAPITAL_PRE21</t>
        </is>
      </c>
      <c r="C188" s="2" t="inlineStr">
        <is>
          <t>36176TTE8</t>
        </is>
      </c>
      <c r="D188" t="inlineStr">
        <is>
          <t>CAPITAL FUNDING,LLC.</t>
        </is>
      </c>
      <c r="E188" t="inlineStr">
        <is>
          <t>232</t>
        </is>
      </c>
      <c r="F188" t="inlineStr">
        <is>
          <t>RP</t>
        </is>
      </c>
      <c r="G188" t="n">
        <v>2012</v>
      </c>
      <c r="H188" t="inlineStr">
        <is>
          <t>202602</t>
        </is>
      </c>
      <c r="I188" s="22" t="n">
        <v>1483057.17</v>
      </c>
      <c r="J188" s="23" t="n">
        <v>3.79</v>
      </c>
      <c r="K188" s="24" t="n">
        <v>447</v>
      </c>
      <c r="L188" s="24" t="n">
        <v>0</v>
      </c>
      <c r="M188" t="n">
        <v>169</v>
      </c>
      <c r="N188" t="n">
        <v>40</v>
      </c>
      <c r="O188" t="n">
        <v>204702</v>
      </c>
      <c r="P188" t="n">
        <v>201403</v>
      </c>
      <c r="Q188" t="inlineStr">
        <is>
          <t>3866</t>
        </is>
      </c>
      <c r="R188" t="n">
        <v>1</v>
      </c>
      <c r="S188" t="n">
        <v>0</v>
      </c>
      <c r="T188" t="n">
        <v>0</v>
      </c>
      <c r="U188" t="n">
        <v>0</v>
      </c>
      <c r="V188" s="24">
        <f>J188*100-K188</f>
        <v/>
      </c>
      <c r="W188" s="24">
        <f>L188</f>
        <v/>
      </c>
      <c r="X188" s="25">
        <f>MIN(M188,36)</f>
        <v/>
      </c>
      <c r="Y188" s="25">
        <f>MIN(MAX(M188-36,0),84)</f>
        <v/>
      </c>
      <c r="Z188" s="25">
        <f>MAX(M188-120,0)</f>
        <v/>
      </c>
      <c r="AA188" s="25">
        <f>IF(OR(O188="",NOT(ISNUMBER(O188))),360,MAX(0,MIN(480,(INT(O188/100)-INT(VALUE(H188)/100))*12+MOD(O188,100)-MOD(VALUE(H188),100))))</f>
        <v/>
      </c>
      <c r="AB188">
        <f>IF(AND(AA188&gt;0,AA188&lt;=24),1,0)</f>
        <v/>
      </c>
      <c r="AC188" s="25">
        <f>IF(OR(P188="",NOT(ISNUMBER(P188))),0,MAX(0,MIN(24,(INT(VALUE(H188)/100)-INT(P188/100))*12+MOD(VALUE(H188),100)-MOD(P188,100))))</f>
        <v/>
      </c>
      <c r="AD188" s="23">
        <f>LN(1+I188)</f>
        <v/>
      </c>
      <c r="AE188">
        <f>IF(I188&lt;2000000,1,0)</f>
        <v/>
      </c>
      <c r="AF188">
        <f>IF(I188&gt;50000000,1,0)</f>
        <v/>
      </c>
      <c r="AG188" s="23">
        <f>IF(ISNUMBER(M188),N188/MAX(M188,1),0)</f>
        <v/>
      </c>
      <c r="AH188">
        <f>IF(G188&gt;=2021,1,0)</f>
        <v/>
      </c>
      <c r="AI188">
        <f>S188</f>
        <v/>
      </c>
      <c r="AJ188">
        <f>T188</f>
        <v/>
      </c>
      <c r="AK188">
        <f>R188</f>
        <v/>
      </c>
      <c r="AL188">
        <f>U188</f>
        <v/>
      </c>
      <c r="AM188">
        <f>IF(ISNUMBER(SEARCH("CAPITAL FUNDING",D188)),1,0)</f>
        <v/>
      </c>
      <c r="AN188">
        <f>IF(ISNUMBER(SEARCH("PNC",D188)),1,0)</f>
        <v/>
      </c>
      <c r="AO188">
        <f>IF(ISNUMBER(SEARCH("WELLS FARGO",D188)),1,0)</f>
        <v/>
      </c>
      <c r="AP188">
        <f>IF(ISNUMBER(SEARCH("DWIGHT",D188)),1,0)</f>
        <v/>
      </c>
      <c r="AQ188">
        <f>IF(ISNUMBER(SEARCH("GREYSTONE",D188)),1,0)</f>
        <v/>
      </c>
      <c r="AR188">
        <f>IF(OR(Q188="3896",Q188="3557"),1,0)</f>
        <v/>
      </c>
      <c r="AS188" s="24">
        <f>V188*W188</f>
        <v/>
      </c>
      <c r="AT188" s="26">
        <f>V$4*(V188-V$3)</f>
        <v/>
      </c>
      <c r="AU188" s="26">
        <f>W$4*(W188-W$3)</f>
        <v/>
      </c>
      <c r="AV188" s="26">
        <f>X$4*(X188-X$3)</f>
        <v/>
      </c>
      <c r="AW188" s="26">
        <f>Y$4*(Y188-Y$3)</f>
        <v/>
      </c>
      <c r="AX188" s="26">
        <f>Z$4*(Z188-Z$3)</f>
        <v/>
      </c>
      <c r="AY188" s="26">
        <f>AA$4*(AA188-AA$3)</f>
        <v/>
      </c>
      <c r="AZ188" s="26">
        <f>AB$4*(AB188-AB$3)</f>
        <v/>
      </c>
      <c r="BA188" s="26">
        <f>AC$4*(AC188-AC$3)</f>
        <v/>
      </c>
      <c r="BB188" s="26">
        <f>AD$4*(AD188-AD$3)</f>
        <v/>
      </c>
      <c r="BC188" s="26">
        <f>AE$4*(AE188-AE$3)</f>
        <v/>
      </c>
      <c r="BD188" s="26">
        <f>AF$4*(AF188-AF$3)</f>
        <v/>
      </c>
      <c r="BE188" s="26">
        <f>AG$4*(AG188-AG$3)</f>
        <v/>
      </c>
      <c r="BF188" s="26">
        <f>AH$4*(AH188-AH$3)</f>
        <v/>
      </c>
      <c r="BG188" s="26">
        <f>AI$4*(AI188-AI$3)</f>
        <v/>
      </c>
      <c r="BH188" s="26">
        <f>AJ$4*(AJ188-AJ$3)</f>
        <v/>
      </c>
      <c r="BI188" s="26">
        <f>AK$4*(AK188-AK$3)</f>
        <v/>
      </c>
      <c r="BJ188" s="26">
        <f>AL$4*(AL188-AL$3)</f>
        <v/>
      </c>
      <c r="BK188" s="26">
        <f>AM$4*(AM188-AM$3)</f>
        <v/>
      </c>
      <c r="BL188" s="26">
        <f>AN$4*(AN188-AN$3)</f>
        <v/>
      </c>
      <c r="BM188" s="26">
        <f>AO$4*(AO188-AO$3)</f>
        <v/>
      </c>
      <c r="BN188" s="26">
        <f>AP$4*(AP188-AP$3)</f>
        <v/>
      </c>
      <c r="BO188" s="26">
        <f>AQ$4*(AQ188-AQ$3)</f>
        <v/>
      </c>
      <c r="BP188" s="26">
        <f>AR$4*(AR188-AR$3)</f>
        <v/>
      </c>
      <c r="BQ188" s="26">
        <f>AS$4*(AS188-AS$3)</f>
        <v/>
      </c>
      <c r="BR188" s="27">
        <f>SUM(AT188:BQ188)</f>
        <v/>
      </c>
      <c r="BS188" s="27">
        <f>INTERCEPT_SCALED+BR188</f>
        <v/>
      </c>
      <c r="BT188" s="28">
        <f>1/(1+EXP(-BS188))</f>
        <v/>
      </c>
      <c r="BU188" s="13">
        <f>1-(1-BT188)^12</f>
        <v/>
      </c>
      <c r="BV188" s="13">
        <f>IFERROR(AT188/BR188*(BU188-BASELINE_CPR),0)</f>
        <v/>
      </c>
      <c r="BW188" s="13">
        <f>IFERROR(AU188/BR188*(BU188-BASELINE_CPR),0)</f>
        <v/>
      </c>
      <c r="BX188" s="13">
        <f>IFERROR(AV188/BR188*(BU188-BASELINE_CPR),0)</f>
        <v/>
      </c>
      <c r="BY188" s="13">
        <f>IFERROR(AW188/BR188*(BU188-BASELINE_CPR),0)</f>
        <v/>
      </c>
      <c r="BZ188" s="13">
        <f>IFERROR(AX188/BR188*(BU188-BASELINE_CPR),0)</f>
        <v/>
      </c>
      <c r="CA188" s="13">
        <f>IFERROR(AY188/BR188*(BU188-BASELINE_CPR),0)</f>
        <v/>
      </c>
      <c r="CB188" s="13">
        <f>IFERROR(AZ188/BR188*(BU188-BASELINE_CPR),0)</f>
        <v/>
      </c>
      <c r="CC188" s="13">
        <f>IFERROR(BA188/BR188*(BU188-BASELINE_CPR),0)</f>
        <v/>
      </c>
      <c r="CD188" s="13">
        <f>IFERROR(BB188/BR188*(BU188-BASELINE_CPR),0)</f>
        <v/>
      </c>
      <c r="CE188" s="13">
        <f>IFERROR(BC188/BR188*(BU188-BASELINE_CPR),0)</f>
        <v/>
      </c>
      <c r="CF188" s="13">
        <f>IFERROR(BD188/BR188*(BU188-BASELINE_CPR),0)</f>
        <v/>
      </c>
      <c r="CG188" s="13">
        <f>IFERROR(BE188/BR188*(BU188-BASELINE_CPR),0)</f>
        <v/>
      </c>
      <c r="CH188" s="13">
        <f>IFERROR(BF188/BR188*(BU188-BASELINE_CPR),0)</f>
        <v/>
      </c>
      <c r="CI188" s="13">
        <f>IFERROR(BG188/BR188*(BU188-BASELINE_CPR),0)</f>
        <v/>
      </c>
      <c r="CJ188" s="13">
        <f>IFERROR(BH188/BR188*(BU188-BASELINE_CPR),0)</f>
        <v/>
      </c>
      <c r="CK188" s="13">
        <f>IFERROR(BI188/BR188*(BU188-BASELINE_CPR),0)</f>
        <v/>
      </c>
      <c r="CL188" s="13">
        <f>IFERROR(BJ188/BR188*(BU188-BASELINE_CPR),0)</f>
        <v/>
      </c>
      <c r="CM188" s="13">
        <f>IFERROR(BK188/BR188*(BU188-BASELINE_CPR),0)</f>
        <v/>
      </c>
      <c r="CN188" s="13">
        <f>IFERROR(BL188/BR188*(BU188-BASELINE_CPR),0)</f>
        <v/>
      </c>
      <c r="CO188" s="13">
        <f>IFERROR(BM188/BR188*(BU188-BASELINE_CPR),0)</f>
        <v/>
      </c>
      <c r="CP188" s="13">
        <f>IFERROR(BN188/BR188*(BU188-BASELINE_CPR),0)</f>
        <v/>
      </c>
      <c r="CQ188" s="13">
        <f>IFERROR(BO188/BR188*(BU188-BASELINE_CPR),0)</f>
        <v/>
      </c>
      <c r="CR188" s="13">
        <f>IFERROR(BP188/BR188*(BU188-BASELINE_CPR),0)</f>
        <v/>
      </c>
      <c r="CS188" s="13">
        <f>IFERROR(BQ188/BR188*(BU188-BASELINE_CPR),0)</f>
        <v/>
      </c>
      <c r="CT188" s="29">
        <f>BASELINE_CPR+SUM(BV188:CS188)-BU188</f>
        <v/>
      </c>
    </row>
    <row r="189">
      <c r="A189" s="2" t="inlineStr">
        <is>
          <t>3617JU2N0_000000001722134</t>
        </is>
      </c>
      <c r="B189" t="inlineStr">
        <is>
          <t>CAPITAL_PRE21</t>
        </is>
      </c>
      <c r="C189" s="2" t="inlineStr">
        <is>
          <t>3617JU2N0</t>
        </is>
      </c>
      <c r="D189" t="inlineStr">
        <is>
          <t>CAPITAL FUNDING,LLC.</t>
        </is>
      </c>
      <c r="E189" t="inlineStr">
        <is>
          <t>232</t>
        </is>
      </c>
      <c r="F189" t="inlineStr">
        <is>
          <t>RP</t>
        </is>
      </c>
      <c r="G189" t="n">
        <v>2019</v>
      </c>
      <c r="H189" t="inlineStr">
        <is>
          <t>202602</t>
        </is>
      </c>
      <c r="I189" s="22" t="n">
        <v>18483731.62</v>
      </c>
      <c r="J189" s="23" t="n">
        <v>3.92</v>
      </c>
      <c r="K189" s="24" t="n">
        <v>447</v>
      </c>
      <c r="L189" s="24" t="n">
        <v>4</v>
      </c>
      <c r="M189" t="n">
        <v>82</v>
      </c>
      <c r="N189" t="n">
        <v>30</v>
      </c>
      <c r="O189" t="n">
        <v>204905</v>
      </c>
      <c r="P189" t="inlineStr"/>
      <c r="Q189" t="inlineStr">
        <is>
          <t>3866</t>
        </is>
      </c>
      <c r="R189" t="n">
        <v>1</v>
      </c>
      <c r="S189" t="n">
        <v>0</v>
      </c>
      <c r="T189" t="n">
        <v>0</v>
      </c>
      <c r="U189" t="n">
        <v>0</v>
      </c>
      <c r="V189" s="24">
        <f>J189*100-K189</f>
        <v/>
      </c>
      <c r="W189" s="24">
        <f>L189</f>
        <v/>
      </c>
      <c r="X189" s="25">
        <f>MIN(M189,36)</f>
        <v/>
      </c>
      <c r="Y189" s="25">
        <f>MIN(MAX(M189-36,0),84)</f>
        <v/>
      </c>
      <c r="Z189" s="25">
        <f>MAX(M189-120,0)</f>
        <v/>
      </c>
      <c r="AA189" s="25">
        <f>IF(OR(O189="",NOT(ISNUMBER(O189))),360,MAX(0,MIN(480,(INT(O189/100)-INT(VALUE(H189)/100))*12+MOD(O189,100)-MOD(VALUE(H189),100))))</f>
        <v/>
      </c>
      <c r="AB189">
        <f>IF(AND(AA189&gt;0,AA189&lt;=24),1,0)</f>
        <v/>
      </c>
      <c r="AC189" s="25">
        <f>IF(OR(P189="",NOT(ISNUMBER(P189))),0,MAX(0,MIN(24,(INT(VALUE(H189)/100)-INT(P189/100))*12+MOD(VALUE(H189),100)-MOD(P189,100))))</f>
        <v/>
      </c>
      <c r="AD189" s="23">
        <f>LN(1+I189)</f>
        <v/>
      </c>
      <c r="AE189">
        <f>IF(I189&lt;2000000,1,0)</f>
        <v/>
      </c>
      <c r="AF189">
        <f>IF(I189&gt;50000000,1,0)</f>
        <v/>
      </c>
      <c r="AG189" s="23">
        <f>IF(ISNUMBER(M189),N189/MAX(M189,1),0)</f>
        <v/>
      </c>
      <c r="AH189">
        <f>IF(G189&gt;=2021,1,0)</f>
        <v/>
      </c>
      <c r="AI189">
        <f>S189</f>
        <v/>
      </c>
      <c r="AJ189">
        <f>T189</f>
        <v/>
      </c>
      <c r="AK189">
        <f>R189</f>
        <v/>
      </c>
      <c r="AL189">
        <f>U189</f>
        <v/>
      </c>
      <c r="AM189">
        <f>IF(ISNUMBER(SEARCH("CAPITAL FUNDING",D189)),1,0)</f>
        <v/>
      </c>
      <c r="AN189">
        <f>IF(ISNUMBER(SEARCH("PNC",D189)),1,0)</f>
        <v/>
      </c>
      <c r="AO189">
        <f>IF(ISNUMBER(SEARCH("WELLS FARGO",D189)),1,0)</f>
        <v/>
      </c>
      <c r="AP189">
        <f>IF(ISNUMBER(SEARCH("DWIGHT",D189)),1,0)</f>
        <v/>
      </c>
      <c r="AQ189">
        <f>IF(ISNUMBER(SEARCH("GREYSTONE",D189)),1,0)</f>
        <v/>
      </c>
      <c r="AR189">
        <f>IF(OR(Q189="3896",Q189="3557"),1,0)</f>
        <v/>
      </c>
      <c r="AS189" s="24">
        <f>V189*W189</f>
        <v/>
      </c>
      <c r="AT189" s="26">
        <f>V$4*(V189-V$3)</f>
        <v/>
      </c>
      <c r="AU189" s="26">
        <f>W$4*(W189-W$3)</f>
        <v/>
      </c>
      <c r="AV189" s="26">
        <f>X$4*(X189-X$3)</f>
        <v/>
      </c>
      <c r="AW189" s="26">
        <f>Y$4*(Y189-Y$3)</f>
        <v/>
      </c>
      <c r="AX189" s="26">
        <f>Z$4*(Z189-Z$3)</f>
        <v/>
      </c>
      <c r="AY189" s="26">
        <f>AA$4*(AA189-AA$3)</f>
        <v/>
      </c>
      <c r="AZ189" s="26">
        <f>AB$4*(AB189-AB$3)</f>
        <v/>
      </c>
      <c r="BA189" s="26">
        <f>AC$4*(AC189-AC$3)</f>
        <v/>
      </c>
      <c r="BB189" s="26">
        <f>AD$4*(AD189-AD$3)</f>
        <v/>
      </c>
      <c r="BC189" s="26">
        <f>AE$4*(AE189-AE$3)</f>
        <v/>
      </c>
      <c r="BD189" s="26">
        <f>AF$4*(AF189-AF$3)</f>
        <v/>
      </c>
      <c r="BE189" s="26">
        <f>AG$4*(AG189-AG$3)</f>
        <v/>
      </c>
      <c r="BF189" s="26">
        <f>AH$4*(AH189-AH$3)</f>
        <v/>
      </c>
      <c r="BG189" s="26">
        <f>AI$4*(AI189-AI$3)</f>
        <v/>
      </c>
      <c r="BH189" s="26">
        <f>AJ$4*(AJ189-AJ$3)</f>
        <v/>
      </c>
      <c r="BI189" s="26">
        <f>AK$4*(AK189-AK$3)</f>
        <v/>
      </c>
      <c r="BJ189" s="26">
        <f>AL$4*(AL189-AL$3)</f>
        <v/>
      </c>
      <c r="BK189" s="26">
        <f>AM$4*(AM189-AM$3)</f>
        <v/>
      </c>
      <c r="BL189" s="26">
        <f>AN$4*(AN189-AN$3)</f>
        <v/>
      </c>
      <c r="BM189" s="26">
        <f>AO$4*(AO189-AO$3)</f>
        <v/>
      </c>
      <c r="BN189" s="26">
        <f>AP$4*(AP189-AP$3)</f>
        <v/>
      </c>
      <c r="BO189" s="26">
        <f>AQ$4*(AQ189-AQ$3)</f>
        <v/>
      </c>
      <c r="BP189" s="26">
        <f>AR$4*(AR189-AR$3)</f>
        <v/>
      </c>
      <c r="BQ189" s="26">
        <f>AS$4*(AS189-AS$3)</f>
        <v/>
      </c>
      <c r="BR189" s="27">
        <f>SUM(AT189:BQ189)</f>
        <v/>
      </c>
      <c r="BS189" s="27">
        <f>INTERCEPT_SCALED+BR189</f>
        <v/>
      </c>
      <c r="BT189" s="28">
        <f>1/(1+EXP(-BS189))</f>
        <v/>
      </c>
      <c r="BU189" s="13">
        <f>1-(1-BT189)^12</f>
        <v/>
      </c>
      <c r="BV189" s="13">
        <f>IFERROR(AT189/BR189*(BU189-BASELINE_CPR),0)</f>
        <v/>
      </c>
      <c r="BW189" s="13">
        <f>IFERROR(AU189/BR189*(BU189-BASELINE_CPR),0)</f>
        <v/>
      </c>
      <c r="BX189" s="13">
        <f>IFERROR(AV189/BR189*(BU189-BASELINE_CPR),0)</f>
        <v/>
      </c>
      <c r="BY189" s="13">
        <f>IFERROR(AW189/BR189*(BU189-BASELINE_CPR),0)</f>
        <v/>
      </c>
      <c r="BZ189" s="13">
        <f>IFERROR(AX189/BR189*(BU189-BASELINE_CPR),0)</f>
        <v/>
      </c>
      <c r="CA189" s="13">
        <f>IFERROR(AY189/BR189*(BU189-BASELINE_CPR),0)</f>
        <v/>
      </c>
      <c r="CB189" s="13">
        <f>IFERROR(AZ189/BR189*(BU189-BASELINE_CPR),0)</f>
        <v/>
      </c>
      <c r="CC189" s="13">
        <f>IFERROR(BA189/BR189*(BU189-BASELINE_CPR),0)</f>
        <v/>
      </c>
      <c r="CD189" s="13">
        <f>IFERROR(BB189/BR189*(BU189-BASELINE_CPR),0)</f>
        <v/>
      </c>
      <c r="CE189" s="13">
        <f>IFERROR(BC189/BR189*(BU189-BASELINE_CPR),0)</f>
        <v/>
      </c>
      <c r="CF189" s="13">
        <f>IFERROR(BD189/BR189*(BU189-BASELINE_CPR),0)</f>
        <v/>
      </c>
      <c r="CG189" s="13">
        <f>IFERROR(BE189/BR189*(BU189-BASELINE_CPR),0)</f>
        <v/>
      </c>
      <c r="CH189" s="13">
        <f>IFERROR(BF189/BR189*(BU189-BASELINE_CPR),0)</f>
        <v/>
      </c>
      <c r="CI189" s="13">
        <f>IFERROR(BG189/BR189*(BU189-BASELINE_CPR),0)</f>
        <v/>
      </c>
      <c r="CJ189" s="13">
        <f>IFERROR(BH189/BR189*(BU189-BASELINE_CPR),0)</f>
        <v/>
      </c>
      <c r="CK189" s="13">
        <f>IFERROR(BI189/BR189*(BU189-BASELINE_CPR),0)</f>
        <v/>
      </c>
      <c r="CL189" s="13">
        <f>IFERROR(BJ189/BR189*(BU189-BASELINE_CPR),0)</f>
        <v/>
      </c>
      <c r="CM189" s="13">
        <f>IFERROR(BK189/BR189*(BU189-BASELINE_CPR),0)</f>
        <v/>
      </c>
      <c r="CN189" s="13">
        <f>IFERROR(BL189/BR189*(BU189-BASELINE_CPR),0)</f>
        <v/>
      </c>
      <c r="CO189" s="13">
        <f>IFERROR(BM189/BR189*(BU189-BASELINE_CPR),0)</f>
        <v/>
      </c>
      <c r="CP189" s="13">
        <f>IFERROR(BN189/BR189*(BU189-BASELINE_CPR),0)</f>
        <v/>
      </c>
      <c r="CQ189" s="13">
        <f>IFERROR(BO189/BR189*(BU189-BASELINE_CPR),0)</f>
        <v/>
      </c>
      <c r="CR189" s="13">
        <f>IFERROR(BP189/BR189*(BU189-BASELINE_CPR),0)</f>
        <v/>
      </c>
      <c r="CS189" s="13">
        <f>IFERROR(BQ189/BR189*(BU189-BASELINE_CPR),0)</f>
        <v/>
      </c>
      <c r="CT189" s="29">
        <f>BASELINE_CPR+SUM(BV189:CS189)-BU189</f>
        <v/>
      </c>
    </row>
    <row r="190">
      <c r="A190" s="2" t="inlineStr">
        <is>
          <t>36184X5E5_000000005422029</t>
        </is>
      </c>
      <c r="B190" t="inlineStr">
        <is>
          <t>CAPITAL_PRE21</t>
        </is>
      </c>
      <c r="C190" s="2" t="inlineStr">
        <is>
          <t>36184X5E5</t>
        </is>
      </c>
      <c r="D190" t="inlineStr">
        <is>
          <t>CAPITAL FUNDING,LLC.</t>
        </is>
      </c>
      <c r="E190" t="inlineStr">
        <is>
          <t>232</t>
        </is>
      </c>
      <c r="F190" t="inlineStr">
        <is>
          <t>RP</t>
        </is>
      </c>
      <c r="G190" t="n">
        <v>2015</v>
      </c>
      <c r="H190" t="inlineStr">
        <is>
          <t>202602</t>
        </is>
      </c>
      <c r="I190" s="22" t="n">
        <v>2942810.86</v>
      </c>
      <c r="J190" s="23" t="n">
        <v>3.99</v>
      </c>
      <c r="K190" s="24" t="n">
        <v>447</v>
      </c>
      <c r="L190" s="24" t="n">
        <v>0</v>
      </c>
      <c r="M190" t="n">
        <v>130</v>
      </c>
      <c r="N190" t="n">
        <v>36</v>
      </c>
      <c r="O190" t="n">
        <v>204308</v>
      </c>
      <c r="P190" t="inlineStr"/>
      <c r="Q190" t="inlineStr">
        <is>
          <t>3866</t>
        </is>
      </c>
      <c r="R190" t="n">
        <v>1</v>
      </c>
      <c r="S190" t="n">
        <v>0</v>
      </c>
      <c r="T190" t="n">
        <v>0</v>
      </c>
      <c r="U190" t="n">
        <v>0</v>
      </c>
      <c r="V190" s="24">
        <f>J190*100-K190</f>
        <v/>
      </c>
      <c r="W190" s="24">
        <f>L190</f>
        <v/>
      </c>
      <c r="X190" s="25">
        <f>MIN(M190,36)</f>
        <v/>
      </c>
      <c r="Y190" s="25">
        <f>MIN(MAX(M190-36,0),84)</f>
        <v/>
      </c>
      <c r="Z190" s="25">
        <f>MAX(M190-120,0)</f>
        <v/>
      </c>
      <c r="AA190" s="25">
        <f>IF(OR(O190="",NOT(ISNUMBER(O190))),360,MAX(0,MIN(480,(INT(O190/100)-INT(VALUE(H190)/100))*12+MOD(O190,100)-MOD(VALUE(H190),100))))</f>
        <v/>
      </c>
      <c r="AB190">
        <f>IF(AND(AA190&gt;0,AA190&lt;=24),1,0)</f>
        <v/>
      </c>
      <c r="AC190" s="25">
        <f>IF(OR(P190="",NOT(ISNUMBER(P190))),0,MAX(0,MIN(24,(INT(VALUE(H190)/100)-INT(P190/100))*12+MOD(VALUE(H190),100)-MOD(P190,100))))</f>
        <v/>
      </c>
      <c r="AD190" s="23">
        <f>LN(1+I190)</f>
        <v/>
      </c>
      <c r="AE190">
        <f>IF(I190&lt;2000000,1,0)</f>
        <v/>
      </c>
      <c r="AF190">
        <f>IF(I190&gt;50000000,1,0)</f>
        <v/>
      </c>
      <c r="AG190" s="23">
        <f>IF(ISNUMBER(M190),N190/MAX(M190,1),0)</f>
        <v/>
      </c>
      <c r="AH190">
        <f>IF(G190&gt;=2021,1,0)</f>
        <v/>
      </c>
      <c r="AI190">
        <f>S190</f>
        <v/>
      </c>
      <c r="AJ190">
        <f>T190</f>
        <v/>
      </c>
      <c r="AK190">
        <f>R190</f>
        <v/>
      </c>
      <c r="AL190">
        <f>U190</f>
        <v/>
      </c>
      <c r="AM190">
        <f>IF(ISNUMBER(SEARCH("CAPITAL FUNDING",D190)),1,0)</f>
        <v/>
      </c>
      <c r="AN190">
        <f>IF(ISNUMBER(SEARCH("PNC",D190)),1,0)</f>
        <v/>
      </c>
      <c r="AO190">
        <f>IF(ISNUMBER(SEARCH("WELLS FARGO",D190)),1,0)</f>
        <v/>
      </c>
      <c r="AP190">
        <f>IF(ISNUMBER(SEARCH("DWIGHT",D190)),1,0)</f>
        <v/>
      </c>
      <c r="AQ190">
        <f>IF(ISNUMBER(SEARCH("GREYSTONE",D190)),1,0)</f>
        <v/>
      </c>
      <c r="AR190">
        <f>IF(OR(Q190="3896",Q190="3557"),1,0)</f>
        <v/>
      </c>
      <c r="AS190" s="24">
        <f>V190*W190</f>
        <v/>
      </c>
      <c r="AT190" s="26">
        <f>V$4*(V190-V$3)</f>
        <v/>
      </c>
      <c r="AU190" s="26">
        <f>W$4*(W190-W$3)</f>
        <v/>
      </c>
      <c r="AV190" s="26">
        <f>X$4*(X190-X$3)</f>
        <v/>
      </c>
      <c r="AW190" s="26">
        <f>Y$4*(Y190-Y$3)</f>
        <v/>
      </c>
      <c r="AX190" s="26">
        <f>Z$4*(Z190-Z$3)</f>
        <v/>
      </c>
      <c r="AY190" s="26">
        <f>AA$4*(AA190-AA$3)</f>
        <v/>
      </c>
      <c r="AZ190" s="26">
        <f>AB$4*(AB190-AB$3)</f>
        <v/>
      </c>
      <c r="BA190" s="26">
        <f>AC$4*(AC190-AC$3)</f>
        <v/>
      </c>
      <c r="BB190" s="26">
        <f>AD$4*(AD190-AD$3)</f>
        <v/>
      </c>
      <c r="BC190" s="26">
        <f>AE$4*(AE190-AE$3)</f>
        <v/>
      </c>
      <c r="BD190" s="26">
        <f>AF$4*(AF190-AF$3)</f>
        <v/>
      </c>
      <c r="BE190" s="26">
        <f>AG$4*(AG190-AG$3)</f>
        <v/>
      </c>
      <c r="BF190" s="26">
        <f>AH$4*(AH190-AH$3)</f>
        <v/>
      </c>
      <c r="BG190" s="26">
        <f>AI$4*(AI190-AI$3)</f>
        <v/>
      </c>
      <c r="BH190" s="26">
        <f>AJ$4*(AJ190-AJ$3)</f>
        <v/>
      </c>
      <c r="BI190" s="26">
        <f>AK$4*(AK190-AK$3)</f>
        <v/>
      </c>
      <c r="BJ190" s="26">
        <f>AL$4*(AL190-AL$3)</f>
        <v/>
      </c>
      <c r="BK190" s="26">
        <f>AM$4*(AM190-AM$3)</f>
        <v/>
      </c>
      <c r="BL190" s="26">
        <f>AN$4*(AN190-AN$3)</f>
        <v/>
      </c>
      <c r="BM190" s="26">
        <f>AO$4*(AO190-AO$3)</f>
        <v/>
      </c>
      <c r="BN190" s="26">
        <f>AP$4*(AP190-AP$3)</f>
        <v/>
      </c>
      <c r="BO190" s="26">
        <f>AQ$4*(AQ190-AQ$3)</f>
        <v/>
      </c>
      <c r="BP190" s="26">
        <f>AR$4*(AR190-AR$3)</f>
        <v/>
      </c>
      <c r="BQ190" s="26">
        <f>AS$4*(AS190-AS$3)</f>
        <v/>
      </c>
      <c r="BR190" s="27">
        <f>SUM(AT190:BQ190)</f>
        <v/>
      </c>
      <c r="BS190" s="27">
        <f>INTERCEPT_SCALED+BR190</f>
        <v/>
      </c>
      <c r="BT190" s="28">
        <f>1/(1+EXP(-BS190))</f>
        <v/>
      </c>
      <c r="BU190" s="13">
        <f>1-(1-BT190)^12</f>
        <v/>
      </c>
      <c r="BV190" s="13">
        <f>IFERROR(AT190/BR190*(BU190-BASELINE_CPR),0)</f>
        <v/>
      </c>
      <c r="BW190" s="13">
        <f>IFERROR(AU190/BR190*(BU190-BASELINE_CPR),0)</f>
        <v/>
      </c>
      <c r="BX190" s="13">
        <f>IFERROR(AV190/BR190*(BU190-BASELINE_CPR),0)</f>
        <v/>
      </c>
      <c r="BY190" s="13">
        <f>IFERROR(AW190/BR190*(BU190-BASELINE_CPR),0)</f>
        <v/>
      </c>
      <c r="BZ190" s="13">
        <f>IFERROR(AX190/BR190*(BU190-BASELINE_CPR),0)</f>
        <v/>
      </c>
      <c r="CA190" s="13">
        <f>IFERROR(AY190/BR190*(BU190-BASELINE_CPR),0)</f>
        <v/>
      </c>
      <c r="CB190" s="13">
        <f>IFERROR(AZ190/BR190*(BU190-BASELINE_CPR),0)</f>
        <v/>
      </c>
      <c r="CC190" s="13">
        <f>IFERROR(BA190/BR190*(BU190-BASELINE_CPR),0)</f>
        <v/>
      </c>
      <c r="CD190" s="13">
        <f>IFERROR(BB190/BR190*(BU190-BASELINE_CPR),0)</f>
        <v/>
      </c>
      <c r="CE190" s="13">
        <f>IFERROR(BC190/BR190*(BU190-BASELINE_CPR),0)</f>
        <v/>
      </c>
      <c r="CF190" s="13">
        <f>IFERROR(BD190/BR190*(BU190-BASELINE_CPR),0)</f>
        <v/>
      </c>
      <c r="CG190" s="13">
        <f>IFERROR(BE190/BR190*(BU190-BASELINE_CPR),0)</f>
        <v/>
      </c>
      <c r="CH190" s="13">
        <f>IFERROR(BF190/BR190*(BU190-BASELINE_CPR),0)</f>
        <v/>
      </c>
      <c r="CI190" s="13">
        <f>IFERROR(BG190/BR190*(BU190-BASELINE_CPR),0)</f>
        <v/>
      </c>
      <c r="CJ190" s="13">
        <f>IFERROR(BH190/BR190*(BU190-BASELINE_CPR),0)</f>
        <v/>
      </c>
      <c r="CK190" s="13">
        <f>IFERROR(BI190/BR190*(BU190-BASELINE_CPR),0)</f>
        <v/>
      </c>
      <c r="CL190" s="13">
        <f>IFERROR(BJ190/BR190*(BU190-BASELINE_CPR),0)</f>
        <v/>
      </c>
      <c r="CM190" s="13">
        <f>IFERROR(BK190/BR190*(BU190-BASELINE_CPR),0)</f>
        <v/>
      </c>
      <c r="CN190" s="13">
        <f>IFERROR(BL190/BR190*(BU190-BASELINE_CPR),0)</f>
        <v/>
      </c>
      <c r="CO190" s="13">
        <f>IFERROR(BM190/BR190*(BU190-BASELINE_CPR),0)</f>
        <v/>
      </c>
      <c r="CP190" s="13">
        <f>IFERROR(BN190/BR190*(BU190-BASELINE_CPR),0)</f>
        <v/>
      </c>
      <c r="CQ190" s="13">
        <f>IFERROR(BO190/BR190*(BU190-BASELINE_CPR),0)</f>
        <v/>
      </c>
      <c r="CR190" s="13">
        <f>IFERROR(BP190/BR190*(BU190-BASELINE_CPR),0)</f>
        <v/>
      </c>
      <c r="CS190" s="13">
        <f>IFERROR(BQ190/BR190*(BU190-BASELINE_CPR),0)</f>
        <v/>
      </c>
      <c r="CT190" s="29">
        <f>BASELINE_CPR+SUM(BV190:CS190)-BU190</f>
        <v/>
      </c>
    </row>
    <row r="191">
      <c r="A191" s="2" t="inlineStr">
        <is>
          <t>36189WVQ6_000000001422129</t>
        </is>
      </c>
      <c r="B191" t="inlineStr">
        <is>
          <t>CAPITAL_PRE21</t>
        </is>
      </c>
      <c r="C191" s="2" t="inlineStr">
        <is>
          <t>36189WVQ6</t>
        </is>
      </c>
      <c r="D191" t="inlineStr">
        <is>
          <t>CAPITAL FUNDING,LLC.</t>
        </is>
      </c>
      <c r="E191" t="inlineStr">
        <is>
          <t>232</t>
        </is>
      </c>
      <c r="F191" t="inlineStr">
        <is>
          <t>RP</t>
        </is>
      </c>
      <c r="G191" t="n">
        <v>2016</v>
      </c>
      <c r="H191" t="inlineStr">
        <is>
          <t>202602</t>
        </is>
      </c>
      <c r="I191" s="22" t="n">
        <v>2741628</v>
      </c>
      <c r="J191" s="23" t="n">
        <v>3.45</v>
      </c>
      <c r="K191" s="24" t="n">
        <v>447</v>
      </c>
      <c r="L191" s="24" t="n">
        <v>1</v>
      </c>
      <c r="M191" t="n">
        <v>119</v>
      </c>
      <c r="N191" t="n">
        <v>28</v>
      </c>
      <c r="O191" t="n">
        <v>204204</v>
      </c>
      <c r="P191" t="inlineStr"/>
      <c r="Q191" t="inlineStr">
        <is>
          <t>3866</t>
        </is>
      </c>
      <c r="R191" t="n">
        <v>1</v>
      </c>
      <c r="S191" t="n">
        <v>0</v>
      </c>
      <c r="T191" t="n">
        <v>0</v>
      </c>
      <c r="U191" t="n">
        <v>0</v>
      </c>
      <c r="V191" s="24">
        <f>J191*100-K191</f>
        <v/>
      </c>
      <c r="W191" s="24">
        <f>L191</f>
        <v/>
      </c>
      <c r="X191" s="25">
        <f>MIN(M191,36)</f>
        <v/>
      </c>
      <c r="Y191" s="25">
        <f>MIN(MAX(M191-36,0),84)</f>
        <v/>
      </c>
      <c r="Z191" s="25">
        <f>MAX(M191-120,0)</f>
        <v/>
      </c>
      <c r="AA191" s="25">
        <f>IF(OR(O191="",NOT(ISNUMBER(O191))),360,MAX(0,MIN(480,(INT(O191/100)-INT(VALUE(H191)/100))*12+MOD(O191,100)-MOD(VALUE(H191),100))))</f>
        <v/>
      </c>
      <c r="AB191">
        <f>IF(AND(AA191&gt;0,AA191&lt;=24),1,0)</f>
        <v/>
      </c>
      <c r="AC191" s="25">
        <f>IF(OR(P191="",NOT(ISNUMBER(P191))),0,MAX(0,MIN(24,(INT(VALUE(H191)/100)-INT(P191/100))*12+MOD(VALUE(H191),100)-MOD(P191,100))))</f>
        <v/>
      </c>
      <c r="AD191" s="23">
        <f>LN(1+I191)</f>
        <v/>
      </c>
      <c r="AE191">
        <f>IF(I191&lt;2000000,1,0)</f>
        <v/>
      </c>
      <c r="AF191">
        <f>IF(I191&gt;50000000,1,0)</f>
        <v/>
      </c>
      <c r="AG191" s="23">
        <f>IF(ISNUMBER(M191),N191/MAX(M191,1),0)</f>
        <v/>
      </c>
      <c r="AH191">
        <f>IF(G191&gt;=2021,1,0)</f>
        <v/>
      </c>
      <c r="AI191">
        <f>S191</f>
        <v/>
      </c>
      <c r="AJ191">
        <f>T191</f>
        <v/>
      </c>
      <c r="AK191">
        <f>R191</f>
        <v/>
      </c>
      <c r="AL191">
        <f>U191</f>
        <v/>
      </c>
      <c r="AM191">
        <f>IF(ISNUMBER(SEARCH("CAPITAL FUNDING",D191)),1,0)</f>
        <v/>
      </c>
      <c r="AN191">
        <f>IF(ISNUMBER(SEARCH("PNC",D191)),1,0)</f>
        <v/>
      </c>
      <c r="AO191">
        <f>IF(ISNUMBER(SEARCH("WELLS FARGO",D191)),1,0)</f>
        <v/>
      </c>
      <c r="AP191">
        <f>IF(ISNUMBER(SEARCH("DWIGHT",D191)),1,0)</f>
        <v/>
      </c>
      <c r="AQ191">
        <f>IF(ISNUMBER(SEARCH("GREYSTONE",D191)),1,0)</f>
        <v/>
      </c>
      <c r="AR191">
        <f>IF(OR(Q191="3896",Q191="3557"),1,0)</f>
        <v/>
      </c>
      <c r="AS191" s="24">
        <f>V191*W191</f>
        <v/>
      </c>
      <c r="AT191" s="26">
        <f>V$4*(V191-V$3)</f>
        <v/>
      </c>
      <c r="AU191" s="26">
        <f>W$4*(W191-W$3)</f>
        <v/>
      </c>
      <c r="AV191" s="26">
        <f>X$4*(X191-X$3)</f>
        <v/>
      </c>
      <c r="AW191" s="26">
        <f>Y$4*(Y191-Y$3)</f>
        <v/>
      </c>
      <c r="AX191" s="26">
        <f>Z$4*(Z191-Z$3)</f>
        <v/>
      </c>
      <c r="AY191" s="26">
        <f>AA$4*(AA191-AA$3)</f>
        <v/>
      </c>
      <c r="AZ191" s="26">
        <f>AB$4*(AB191-AB$3)</f>
        <v/>
      </c>
      <c r="BA191" s="26">
        <f>AC$4*(AC191-AC$3)</f>
        <v/>
      </c>
      <c r="BB191" s="26">
        <f>AD$4*(AD191-AD$3)</f>
        <v/>
      </c>
      <c r="BC191" s="26">
        <f>AE$4*(AE191-AE$3)</f>
        <v/>
      </c>
      <c r="BD191" s="26">
        <f>AF$4*(AF191-AF$3)</f>
        <v/>
      </c>
      <c r="BE191" s="26">
        <f>AG$4*(AG191-AG$3)</f>
        <v/>
      </c>
      <c r="BF191" s="26">
        <f>AH$4*(AH191-AH$3)</f>
        <v/>
      </c>
      <c r="BG191" s="26">
        <f>AI$4*(AI191-AI$3)</f>
        <v/>
      </c>
      <c r="BH191" s="26">
        <f>AJ$4*(AJ191-AJ$3)</f>
        <v/>
      </c>
      <c r="BI191" s="26">
        <f>AK$4*(AK191-AK$3)</f>
        <v/>
      </c>
      <c r="BJ191" s="26">
        <f>AL$4*(AL191-AL$3)</f>
        <v/>
      </c>
      <c r="BK191" s="26">
        <f>AM$4*(AM191-AM$3)</f>
        <v/>
      </c>
      <c r="BL191" s="26">
        <f>AN$4*(AN191-AN$3)</f>
        <v/>
      </c>
      <c r="BM191" s="26">
        <f>AO$4*(AO191-AO$3)</f>
        <v/>
      </c>
      <c r="BN191" s="26">
        <f>AP$4*(AP191-AP$3)</f>
        <v/>
      </c>
      <c r="BO191" s="26">
        <f>AQ$4*(AQ191-AQ$3)</f>
        <v/>
      </c>
      <c r="BP191" s="26">
        <f>AR$4*(AR191-AR$3)</f>
        <v/>
      </c>
      <c r="BQ191" s="26">
        <f>AS$4*(AS191-AS$3)</f>
        <v/>
      </c>
      <c r="BR191" s="27">
        <f>SUM(AT191:BQ191)</f>
        <v/>
      </c>
      <c r="BS191" s="27">
        <f>INTERCEPT_SCALED+BR191</f>
        <v/>
      </c>
      <c r="BT191" s="28">
        <f>1/(1+EXP(-BS191))</f>
        <v/>
      </c>
      <c r="BU191" s="13">
        <f>1-(1-BT191)^12</f>
        <v/>
      </c>
      <c r="BV191" s="13">
        <f>IFERROR(AT191/BR191*(BU191-BASELINE_CPR),0)</f>
        <v/>
      </c>
      <c r="BW191" s="13">
        <f>IFERROR(AU191/BR191*(BU191-BASELINE_CPR),0)</f>
        <v/>
      </c>
      <c r="BX191" s="13">
        <f>IFERROR(AV191/BR191*(BU191-BASELINE_CPR),0)</f>
        <v/>
      </c>
      <c r="BY191" s="13">
        <f>IFERROR(AW191/BR191*(BU191-BASELINE_CPR),0)</f>
        <v/>
      </c>
      <c r="BZ191" s="13">
        <f>IFERROR(AX191/BR191*(BU191-BASELINE_CPR),0)</f>
        <v/>
      </c>
      <c r="CA191" s="13">
        <f>IFERROR(AY191/BR191*(BU191-BASELINE_CPR),0)</f>
        <v/>
      </c>
      <c r="CB191" s="13">
        <f>IFERROR(AZ191/BR191*(BU191-BASELINE_CPR),0)</f>
        <v/>
      </c>
      <c r="CC191" s="13">
        <f>IFERROR(BA191/BR191*(BU191-BASELINE_CPR),0)</f>
        <v/>
      </c>
      <c r="CD191" s="13">
        <f>IFERROR(BB191/BR191*(BU191-BASELINE_CPR),0)</f>
        <v/>
      </c>
      <c r="CE191" s="13">
        <f>IFERROR(BC191/BR191*(BU191-BASELINE_CPR),0)</f>
        <v/>
      </c>
      <c r="CF191" s="13">
        <f>IFERROR(BD191/BR191*(BU191-BASELINE_CPR),0)</f>
        <v/>
      </c>
      <c r="CG191" s="13">
        <f>IFERROR(BE191/BR191*(BU191-BASELINE_CPR),0)</f>
        <v/>
      </c>
      <c r="CH191" s="13">
        <f>IFERROR(BF191/BR191*(BU191-BASELINE_CPR),0)</f>
        <v/>
      </c>
      <c r="CI191" s="13">
        <f>IFERROR(BG191/BR191*(BU191-BASELINE_CPR),0)</f>
        <v/>
      </c>
      <c r="CJ191" s="13">
        <f>IFERROR(BH191/BR191*(BU191-BASELINE_CPR),0)</f>
        <v/>
      </c>
      <c r="CK191" s="13">
        <f>IFERROR(BI191/BR191*(BU191-BASELINE_CPR),0)</f>
        <v/>
      </c>
      <c r="CL191" s="13">
        <f>IFERROR(BJ191/BR191*(BU191-BASELINE_CPR),0)</f>
        <v/>
      </c>
      <c r="CM191" s="13">
        <f>IFERROR(BK191/BR191*(BU191-BASELINE_CPR),0)</f>
        <v/>
      </c>
      <c r="CN191" s="13">
        <f>IFERROR(BL191/BR191*(BU191-BASELINE_CPR),0)</f>
        <v/>
      </c>
      <c r="CO191" s="13">
        <f>IFERROR(BM191/BR191*(BU191-BASELINE_CPR),0)</f>
        <v/>
      </c>
      <c r="CP191" s="13">
        <f>IFERROR(BN191/BR191*(BU191-BASELINE_CPR),0)</f>
        <v/>
      </c>
      <c r="CQ191" s="13">
        <f>IFERROR(BO191/BR191*(BU191-BASELINE_CPR),0)</f>
        <v/>
      </c>
      <c r="CR191" s="13">
        <f>IFERROR(BP191/BR191*(BU191-BASELINE_CPR),0)</f>
        <v/>
      </c>
      <c r="CS191" s="13">
        <f>IFERROR(BQ191/BR191*(BU191-BASELINE_CPR),0)</f>
        <v/>
      </c>
      <c r="CT191" s="29">
        <f>BASELINE_CPR+SUM(BV191:CS191)-BU191</f>
        <v/>
      </c>
    </row>
    <row r="192">
      <c r="A192" s="2" t="inlineStr">
        <is>
          <t>3617Q2BC8_000000006622055</t>
        </is>
      </c>
      <c r="B192" t="inlineStr">
        <is>
          <t>CAPITAL_PRE21</t>
        </is>
      </c>
      <c r="C192" s="2" t="inlineStr">
        <is>
          <t>3617Q2BC8</t>
        </is>
      </c>
      <c r="D192" t="inlineStr">
        <is>
          <t>CAPITAL FUNDING,LLC.</t>
        </is>
      </c>
      <c r="E192" t="inlineStr">
        <is>
          <t>232</t>
        </is>
      </c>
      <c r="F192" t="inlineStr">
        <is>
          <t>RP</t>
        </is>
      </c>
      <c r="G192" t="n">
        <v>2011</v>
      </c>
      <c r="H192" t="inlineStr">
        <is>
          <t>202602</t>
        </is>
      </c>
      <c r="I192" s="22" t="n">
        <v>6953967.51</v>
      </c>
      <c r="J192" s="23" t="n">
        <v>2.73</v>
      </c>
      <c r="K192" s="24" t="n">
        <v>447</v>
      </c>
      <c r="L192" s="24" t="n">
        <v>2</v>
      </c>
      <c r="M192" t="n">
        <v>170</v>
      </c>
      <c r="N192" t="n">
        <v>4</v>
      </c>
      <c r="O192" t="n">
        <v>204701</v>
      </c>
      <c r="P192" t="inlineStr"/>
      <c r="Q192" t="inlineStr">
        <is>
          <t>3866</t>
        </is>
      </c>
      <c r="R192" t="n">
        <v>1</v>
      </c>
      <c r="S192" t="n">
        <v>0</v>
      </c>
      <c r="T192" t="n">
        <v>0</v>
      </c>
      <c r="U192" t="n">
        <v>0</v>
      </c>
      <c r="V192" s="24">
        <f>J192*100-K192</f>
        <v/>
      </c>
      <c r="W192" s="24">
        <f>L192</f>
        <v/>
      </c>
      <c r="X192" s="25">
        <f>MIN(M192,36)</f>
        <v/>
      </c>
      <c r="Y192" s="25">
        <f>MIN(MAX(M192-36,0),84)</f>
        <v/>
      </c>
      <c r="Z192" s="25">
        <f>MAX(M192-120,0)</f>
        <v/>
      </c>
      <c r="AA192" s="25">
        <f>IF(OR(O192="",NOT(ISNUMBER(O192))),360,MAX(0,MIN(480,(INT(O192/100)-INT(VALUE(H192)/100))*12+MOD(O192,100)-MOD(VALUE(H192),100))))</f>
        <v/>
      </c>
      <c r="AB192">
        <f>IF(AND(AA192&gt;0,AA192&lt;=24),1,0)</f>
        <v/>
      </c>
      <c r="AC192" s="25">
        <f>IF(OR(P192="",NOT(ISNUMBER(P192))),0,MAX(0,MIN(24,(INT(VALUE(H192)/100)-INT(P192/100))*12+MOD(VALUE(H192),100)-MOD(P192,100))))</f>
        <v/>
      </c>
      <c r="AD192" s="23">
        <f>LN(1+I192)</f>
        <v/>
      </c>
      <c r="AE192">
        <f>IF(I192&lt;2000000,1,0)</f>
        <v/>
      </c>
      <c r="AF192">
        <f>IF(I192&gt;50000000,1,0)</f>
        <v/>
      </c>
      <c r="AG192" s="23">
        <f>IF(ISNUMBER(M192),N192/MAX(M192,1),0)</f>
        <v/>
      </c>
      <c r="AH192">
        <f>IF(G192&gt;=2021,1,0)</f>
        <v/>
      </c>
      <c r="AI192">
        <f>S192</f>
        <v/>
      </c>
      <c r="AJ192">
        <f>T192</f>
        <v/>
      </c>
      <c r="AK192">
        <f>R192</f>
        <v/>
      </c>
      <c r="AL192">
        <f>U192</f>
        <v/>
      </c>
      <c r="AM192">
        <f>IF(ISNUMBER(SEARCH("CAPITAL FUNDING",D192)),1,0)</f>
        <v/>
      </c>
      <c r="AN192">
        <f>IF(ISNUMBER(SEARCH("PNC",D192)),1,0)</f>
        <v/>
      </c>
      <c r="AO192">
        <f>IF(ISNUMBER(SEARCH("WELLS FARGO",D192)),1,0)</f>
        <v/>
      </c>
      <c r="AP192">
        <f>IF(ISNUMBER(SEARCH("DWIGHT",D192)),1,0)</f>
        <v/>
      </c>
      <c r="AQ192">
        <f>IF(ISNUMBER(SEARCH("GREYSTONE",D192)),1,0)</f>
        <v/>
      </c>
      <c r="AR192">
        <f>IF(OR(Q192="3896",Q192="3557"),1,0)</f>
        <v/>
      </c>
      <c r="AS192" s="24">
        <f>V192*W192</f>
        <v/>
      </c>
      <c r="AT192" s="26">
        <f>V$4*(V192-V$3)</f>
        <v/>
      </c>
      <c r="AU192" s="26">
        <f>W$4*(W192-W$3)</f>
        <v/>
      </c>
      <c r="AV192" s="26">
        <f>X$4*(X192-X$3)</f>
        <v/>
      </c>
      <c r="AW192" s="26">
        <f>Y$4*(Y192-Y$3)</f>
        <v/>
      </c>
      <c r="AX192" s="26">
        <f>Z$4*(Z192-Z$3)</f>
        <v/>
      </c>
      <c r="AY192" s="26">
        <f>AA$4*(AA192-AA$3)</f>
        <v/>
      </c>
      <c r="AZ192" s="26">
        <f>AB$4*(AB192-AB$3)</f>
        <v/>
      </c>
      <c r="BA192" s="26">
        <f>AC$4*(AC192-AC$3)</f>
        <v/>
      </c>
      <c r="BB192" s="26">
        <f>AD$4*(AD192-AD$3)</f>
        <v/>
      </c>
      <c r="BC192" s="26">
        <f>AE$4*(AE192-AE$3)</f>
        <v/>
      </c>
      <c r="BD192" s="26">
        <f>AF$4*(AF192-AF$3)</f>
        <v/>
      </c>
      <c r="BE192" s="26">
        <f>AG$4*(AG192-AG$3)</f>
        <v/>
      </c>
      <c r="BF192" s="26">
        <f>AH$4*(AH192-AH$3)</f>
        <v/>
      </c>
      <c r="BG192" s="26">
        <f>AI$4*(AI192-AI$3)</f>
        <v/>
      </c>
      <c r="BH192" s="26">
        <f>AJ$4*(AJ192-AJ$3)</f>
        <v/>
      </c>
      <c r="BI192" s="26">
        <f>AK$4*(AK192-AK$3)</f>
        <v/>
      </c>
      <c r="BJ192" s="26">
        <f>AL$4*(AL192-AL$3)</f>
        <v/>
      </c>
      <c r="BK192" s="26">
        <f>AM$4*(AM192-AM$3)</f>
        <v/>
      </c>
      <c r="BL192" s="26">
        <f>AN$4*(AN192-AN$3)</f>
        <v/>
      </c>
      <c r="BM192" s="26">
        <f>AO$4*(AO192-AO$3)</f>
        <v/>
      </c>
      <c r="BN192" s="26">
        <f>AP$4*(AP192-AP$3)</f>
        <v/>
      </c>
      <c r="BO192" s="26">
        <f>AQ$4*(AQ192-AQ$3)</f>
        <v/>
      </c>
      <c r="BP192" s="26">
        <f>AR$4*(AR192-AR$3)</f>
        <v/>
      </c>
      <c r="BQ192" s="26">
        <f>AS$4*(AS192-AS$3)</f>
        <v/>
      </c>
      <c r="BR192" s="27">
        <f>SUM(AT192:BQ192)</f>
        <v/>
      </c>
      <c r="BS192" s="27">
        <f>INTERCEPT_SCALED+BR192</f>
        <v/>
      </c>
      <c r="BT192" s="28">
        <f>1/(1+EXP(-BS192))</f>
        <v/>
      </c>
      <c r="BU192" s="13">
        <f>1-(1-BT192)^12</f>
        <v/>
      </c>
      <c r="BV192" s="13">
        <f>IFERROR(AT192/BR192*(BU192-BASELINE_CPR),0)</f>
        <v/>
      </c>
      <c r="BW192" s="13">
        <f>IFERROR(AU192/BR192*(BU192-BASELINE_CPR),0)</f>
        <v/>
      </c>
      <c r="BX192" s="13">
        <f>IFERROR(AV192/BR192*(BU192-BASELINE_CPR),0)</f>
        <v/>
      </c>
      <c r="BY192" s="13">
        <f>IFERROR(AW192/BR192*(BU192-BASELINE_CPR),0)</f>
        <v/>
      </c>
      <c r="BZ192" s="13">
        <f>IFERROR(AX192/BR192*(BU192-BASELINE_CPR),0)</f>
        <v/>
      </c>
      <c r="CA192" s="13">
        <f>IFERROR(AY192/BR192*(BU192-BASELINE_CPR),0)</f>
        <v/>
      </c>
      <c r="CB192" s="13">
        <f>IFERROR(AZ192/BR192*(BU192-BASELINE_CPR),0)</f>
        <v/>
      </c>
      <c r="CC192" s="13">
        <f>IFERROR(BA192/BR192*(BU192-BASELINE_CPR),0)</f>
        <v/>
      </c>
      <c r="CD192" s="13">
        <f>IFERROR(BB192/BR192*(BU192-BASELINE_CPR),0)</f>
        <v/>
      </c>
      <c r="CE192" s="13">
        <f>IFERROR(BC192/BR192*(BU192-BASELINE_CPR),0)</f>
        <v/>
      </c>
      <c r="CF192" s="13">
        <f>IFERROR(BD192/BR192*(BU192-BASELINE_CPR),0)</f>
        <v/>
      </c>
      <c r="CG192" s="13">
        <f>IFERROR(BE192/BR192*(BU192-BASELINE_CPR),0)</f>
        <v/>
      </c>
      <c r="CH192" s="13">
        <f>IFERROR(BF192/BR192*(BU192-BASELINE_CPR),0)</f>
        <v/>
      </c>
      <c r="CI192" s="13">
        <f>IFERROR(BG192/BR192*(BU192-BASELINE_CPR),0)</f>
        <v/>
      </c>
      <c r="CJ192" s="13">
        <f>IFERROR(BH192/BR192*(BU192-BASELINE_CPR),0)</f>
        <v/>
      </c>
      <c r="CK192" s="13">
        <f>IFERROR(BI192/BR192*(BU192-BASELINE_CPR),0)</f>
        <v/>
      </c>
      <c r="CL192" s="13">
        <f>IFERROR(BJ192/BR192*(BU192-BASELINE_CPR),0)</f>
        <v/>
      </c>
      <c r="CM192" s="13">
        <f>IFERROR(BK192/BR192*(BU192-BASELINE_CPR),0)</f>
        <v/>
      </c>
      <c r="CN192" s="13">
        <f>IFERROR(BL192/BR192*(BU192-BASELINE_CPR),0)</f>
        <v/>
      </c>
      <c r="CO192" s="13">
        <f>IFERROR(BM192/BR192*(BU192-BASELINE_CPR),0)</f>
        <v/>
      </c>
      <c r="CP192" s="13">
        <f>IFERROR(BN192/BR192*(BU192-BASELINE_CPR),0)</f>
        <v/>
      </c>
      <c r="CQ192" s="13">
        <f>IFERROR(BO192/BR192*(BU192-BASELINE_CPR),0)</f>
        <v/>
      </c>
      <c r="CR192" s="13">
        <f>IFERROR(BP192/BR192*(BU192-BASELINE_CPR),0)</f>
        <v/>
      </c>
      <c r="CS192" s="13">
        <f>IFERROR(BQ192/BR192*(BU192-BASELINE_CPR),0)</f>
        <v/>
      </c>
      <c r="CT192" s="29">
        <f>BASELINE_CPR+SUM(BV192:CS192)-BU192</f>
        <v/>
      </c>
    </row>
    <row r="193">
      <c r="A193" s="2" t="inlineStr">
        <is>
          <t>3617JU2H3_000000006722221</t>
        </is>
      </c>
      <c r="B193" t="inlineStr">
        <is>
          <t>CAPITAL_PRE21</t>
        </is>
      </c>
      <c r="C193" s="2" t="inlineStr">
        <is>
          <t>3617JU2H3</t>
        </is>
      </c>
      <c r="D193" t="inlineStr">
        <is>
          <t>CAPITAL FUNDING,LLC.</t>
        </is>
      </c>
      <c r="E193" t="inlineStr">
        <is>
          <t>232</t>
        </is>
      </c>
      <c r="F193" t="inlineStr">
        <is>
          <t>RP</t>
        </is>
      </c>
      <c r="G193" t="n">
        <v>2019</v>
      </c>
      <c r="H193" t="inlineStr">
        <is>
          <t>202602</t>
        </is>
      </c>
      <c r="I193" s="22" t="n">
        <v>15417164.1</v>
      </c>
      <c r="J193" s="23" t="n">
        <v>4.15</v>
      </c>
      <c r="K193" s="24" t="n">
        <v>447</v>
      </c>
      <c r="L193" s="24" t="n">
        <v>4</v>
      </c>
      <c r="M193" t="n">
        <v>82</v>
      </c>
      <c r="N193" t="n">
        <v>34</v>
      </c>
      <c r="O193" t="n">
        <v>205405</v>
      </c>
      <c r="P193" t="inlineStr"/>
      <c r="Q193" t="inlineStr">
        <is>
          <t>3866</t>
        </is>
      </c>
      <c r="R193" t="n">
        <v>1</v>
      </c>
      <c r="S193" t="n">
        <v>0</v>
      </c>
      <c r="T193" t="n">
        <v>0</v>
      </c>
      <c r="U193" t="n">
        <v>0</v>
      </c>
      <c r="V193" s="24">
        <f>J193*100-K193</f>
        <v/>
      </c>
      <c r="W193" s="24">
        <f>L193</f>
        <v/>
      </c>
      <c r="X193" s="25">
        <f>MIN(M193,36)</f>
        <v/>
      </c>
      <c r="Y193" s="25">
        <f>MIN(MAX(M193-36,0),84)</f>
        <v/>
      </c>
      <c r="Z193" s="25">
        <f>MAX(M193-120,0)</f>
        <v/>
      </c>
      <c r="AA193" s="25">
        <f>IF(OR(O193="",NOT(ISNUMBER(O193))),360,MAX(0,MIN(480,(INT(O193/100)-INT(VALUE(H193)/100))*12+MOD(O193,100)-MOD(VALUE(H193),100))))</f>
        <v/>
      </c>
      <c r="AB193">
        <f>IF(AND(AA193&gt;0,AA193&lt;=24),1,0)</f>
        <v/>
      </c>
      <c r="AC193" s="25">
        <f>IF(OR(P193="",NOT(ISNUMBER(P193))),0,MAX(0,MIN(24,(INT(VALUE(H193)/100)-INT(P193/100))*12+MOD(VALUE(H193),100)-MOD(P193,100))))</f>
        <v/>
      </c>
      <c r="AD193" s="23">
        <f>LN(1+I193)</f>
        <v/>
      </c>
      <c r="AE193">
        <f>IF(I193&lt;2000000,1,0)</f>
        <v/>
      </c>
      <c r="AF193">
        <f>IF(I193&gt;50000000,1,0)</f>
        <v/>
      </c>
      <c r="AG193" s="23">
        <f>IF(ISNUMBER(M193),N193/MAX(M193,1),0)</f>
        <v/>
      </c>
      <c r="AH193">
        <f>IF(G193&gt;=2021,1,0)</f>
        <v/>
      </c>
      <c r="AI193">
        <f>S193</f>
        <v/>
      </c>
      <c r="AJ193">
        <f>T193</f>
        <v/>
      </c>
      <c r="AK193">
        <f>R193</f>
        <v/>
      </c>
      <c r="AL193">
        <f>U193</f>
        <v/>
      </c>
      <c r="AM193">
        <f>IF(ISNUMBER(SEARCH("CAPITAL FUNDING",D193)),1,0)</f>
        <v/>
      </c>
      <c r="AN193">
        <f>IF(ISNUMBER(SEARCH("PNC",D193)),1,0)</f>
        <v/>
      </c>
      <c r="AO193">
        <f>IF(ISNUMBER(SEARCH("WELLS FARGO",D193)),1,0)</f>
        <v/>
      </c>
      <c r="AP193">
        <f>IF(ISNUMBER(SEARCH("DWIGHT",D193)),1,0)</f>
        <v/>
      </c>
      <c r="AQ193">
        <f>IF(ISNUMBER(SEARCH("GREYSTONE",D193)),1,0)</f>
        <v/>
      </c>
      <c r="AR193">
        <f>IF(OR(Q193="3896",Q193="3557"),1,0)</f>
        <v/>
      </c>
      <c r="AS193" s="24">
        <f>V193*W193</f>
        <v/>
      </c>
      <c r="AT193" s="26">
        <f>V$4*(V193-V$3)</f>
        <v/>
      </c>
      <c r="AU193" s="26">
        <f>W$4*(W193-W$3)</f>
        <v/>
      </c>
      <c r="AV193" s="26">
        <f>X$4*(X193-X$3)</f>
        <v/>
      </c>
      <c r="AW193" s="26">
        <f>Y$4*(Y193-Y$3)</f>
        <v/>
      </c>
      <c r="AX193" s="26">
        <f>Z$4*(Z193-Z$3)</f>
        <v/>
      </c>
      <c r="AY193" s="26">
        <f>AA$4*(AA193-AA$3)</f>
        <v/>
      </c>
      <c r="AZ193" s="26">
        <f>AB$4*(AB193-AB$3)</f>
        <v/>
      </c>
      <c r="BA193" s="26">
        <f>AC$4*(AC193-AC$3)</f>
        <v/>
      </c>
      <c r="BB193" s="26">
        <f>AD$4*(AD193-AD$3)</f>
        <v/>
      </c>
      <c r="BC193" s="26">
        <f>AE$4*(AE193-AE$3)</f>
        <v/>
      </c>
      <c r="BD193" s="26">
        <f>AF$4*(AF193-AF$3)</f>
        <v/>
      </c>
      <c r="BE193" s="26">
        <f>AG$4*(AG193-AG$3)</f>
        <v/>
      </c>
      <c r="BF193" s="26">
        <f>AH$4*(AH193-AH$3)</f>
        <v/>
      </c>
      <c r="BG193" s="26">
        <f>AI$4*(AI193-AI$3)</f>
        <v/>
      </c>
      <c r="BH193" s="26">
        <f>AJ$4*(AJ193-AJ$3)</f>
        <v/>
      </c>
      <c r="BI193" s="26">
        <f>AK$4*(AK193-AK$3)</f>
        <v/>
      </c>
      <c r="BJ193" s="26">
        <f>AL$4*(AL193-AL$3)</f>
        <v/>
      </c>
      <c r="BK193" s="26">
        <f>AM$4*(AM193-AM$3)</f>
        <v/>
      </c>
      <c r="BL193" s="26">
        <f>AN$4*(AN193-AN$3)</f>
        <v/>
      </c>
      <c r="BM193" s="26">
        <f>AO$4*(AO193-AO$3)</f>
        <v/>
      </c>
      <c r="BN193" s="26">
        <f>AP$4*(AP193-AP$3)</f>
        <v/>
      </c>
      <c r="BO193" s="26">
        <f>AQ$4*(AQ193-AQ$3)</f>
        <v/>
      </c>
      <c r="BP193" s="26">
        <f>AR$4*(AR193-AR$3)</f>
        <v/>
      </c>
      <c r="BQ193" s="26">
        <f>AS$4*(AS193-AS$3)</f>
        <v/>
      </c>
      <c r="BR193" s="27">
        <f>SUM(AT193:BQ193)</f>
        <v/>
      </c>
      <c r="BS193" s="27">
        <f>INTERCEPT_SCALED+BR193</f>
        <v/>
      </c>
      <c r="BT193" s="28">
        <f>1/(1+EXP(-BS193))</f>
        <v/>
      </c>
      <c r="BU193" s="13">
        <f>1-(1-BT193)^12</f>
        <v/>
      </c>
      <c r="BV193" s="13">
        <f>IFERROR(AT193/BR193*(BU193-BASELINE_CPR),0)</f>
        <v/>
      </c>
      <c r="BW193" s="13">
        <f>IFERROR(AU193/BR193*(BU193-BASELINE_CPR),0)</f>
        <v/>
      </c>
      <c r="BX193" s="13">
        <f>IFERROR(AV193/BR193*(BU193-BASELINE_CPR),0)</f>
        <v/>
      </c>
      <c r="BY193" s="13">
        <f>IFERROR(AW193/BR193*(BU193-BASELINE_CPR),0)</f>
        <v/>
      </c>
      <c r="BZ193" s="13">
        <f>IFERROR(AX193/BR193*(BU193-BASELINE_CPR),0)</f>
        <v/>
      </c>
      <c r="CA193" s="13">
        <f>IFERROR(AY193/BR193*(BU193-BASELINE_CPR),0)</f>
        <v/>
      </c>
      <c r="CB193" s="13">
        <f>IFERROR(AZ193/BR193*(BU193-BASELINE_CPR),0)</f>
        <v/>
      </c>
      <c r="CC193" s="13">
        <f>IFERROR(BA193/BR193*(BU193-BASELINE_CPR),0)</f>
        <v/>
      </c>
      <c r="CD193" s="13">
        <f>IFERROR(BB193/BR193*(BU193-BASELINE_CPR),0)</f>
        <v/>
      </c>
      <c r="CE193" s="13">
        <f>IFERROR(BC193/BR193*(BU193-BASELINE_CPR),0)</f>
        <v/>
      </c>
      <c r="CF193" s="13">
        <f>IFERROR(BD193/BR193*(BU193-BASELINE_CPR),0)</f>
        <v/>
      </c>
      <c r="CG193" s="13">
        <f>IFERROR(BE193/BR193*(BU193-BASELINE_CPR),0)</f>
        <v/>
      </c>
      <c r="CH193" s="13">
        <f>IFERROR(BF193/BR193*(BU193-BASELINE_CPR),0)</f>
        <v/>
      </c>
      <c r="CI193" s="13">
        <f>IFERROR(BG193/BR193*(BU193-BASELINE_CPR),0)</f>
        <v/>
      </c>
      <c r="CJ193" s="13">
        <f>IFERROR(BH193/BR193*(BU193-BASELINE_CPR),0)</f>
        <v/>
      </c>
      <c r="CK193" s="13">
        <f>IFERROR(BI193/BR193*(BU193-BASELINE_CPR),0)</f>
        <v/>
      </c>
      <c r="CL193" s="13">
        <f>IFERROR(BJ193/BR193*(BU193-BASELINE_CPR),0)</f>
        <v/>
      </c>
      <c r="CM193" s="13">
        <f>IFERROR(BK193/BR193*(BU193-BASELINE_CPR),0)</f>
        <v/>
      </c>
      <c r="CN193" s="13">
        <f>IFERROR(BL193/BR193*(BU193-BASELINE_CPR),0)</f>
        <v/>
      </c>
      <c r="CO193" s="13">
        <f>IFERROR(BM193/BR193*(BU193-BASELINE_CPR),0)</f>
        <v/>
      </c>
      <c r="CP193" s="13">
        <f>IFERROR(BN193/BR193*(BU193-BASELINE_CPR),0)</f>
        <v/>
      </c>
      <c r="CQ193" s="13">
        <f>IFERROR(BO193/BR193*(BU193-BASELINE_CPR),0)</f>
        <v/>
      </c>
      <c r="CR193" s="13">
        <f>IFERROR(BP193/BR193*(BU193-BASELINE_CPR),0)</f>
        <v/>
      </c>
      <c r="CS193" s="13">
        <f>IFERROR(BQ193/BR193*(BU193-BASELINE_CPR),0)</f>
        <v/>
      </c>
      <c r="CT193" s="29">
        <f>BASELINE_CPR+SUM(BV193:CS193)-BU193</f>
        <v/>
      </c>
    </row>
    <row r="194">
      <c r="A194" s="2" t="inlineStr">
        <is>
          <t>3617XQLB8_000000004522073</t>
        </is>
      </c>
      <c r="B194" t="inlineStr">
        <is>
          <t>CAPITAL_POST21</t>
        </is>
      </c>
      <c r="C194" s="2" t="inlineStr">
        <is>
          <t>3617XQLB8</t>
        </is>
      </c>
      <c r="D194" t="inlineStr">
        <is>
          <t>CAPITAL FUNDING,LLC.</t>
        </is>
      </c>
      <c r="E194" t="inlineStr">
        <is>
          <t>232</t>
        </is>
      </c>
      <c r="F194" t="inlineStr">
        <is>
          <t>RP</t>
        </is>
      </c>
      <c r="G194" t="n">
        <v>2021</v>
      </c>
      <c r="H194" t="inlineStr">
        <is>
          <t>202602</t>
        </is>
      </c>
      <c r="I194" s="22" t="n">
        <v>9321181.66</v>
      </c>
      <c r="J194" s="23" t="n">
        <v>2.54</v>
      </c>
      <c r="K194" s="24" t="n">
        <v>447</v>
      </c>
      <c r="L194" s="24" t="n">
        <v>6</v>
      </c>
      <c r="M194" t="n">
        <v>51</v>
      </c>
      <c r="N194" t="n">
        <v>0</v>
      </c>
      <c r="O194" t="n">
        <v>205112</v>
      </c>
      <c r="P194" t="inlineStr"/>
      <c r="Q194" t="inlineStr">
        <is>
          <t>3866</t>
        </is>
      </c>
      <c r="R194" t="n">
        <v>1</v>
      </c>
      <c r="S194" t="n">
        <v>1</v>
      </c>
      <c r="T194" t="n">
        <v>0</v>
      </c>
      <c r="U194" t="n">
        <v>0</v>
      </c>
      <c r="V194" s="24">
        <f>J194*100-K194</f>
        <v/>
      </c>
      <c r="W194" s="24">
        <f>L194</f>
        <v/>
      </c>
      <c r="X194" s="25">
        <f>MIN(M194,36)</f>
        <v/>
      </c>
      <c r="Y194" s="25">
        <f>MIN(MAX(M194-36,0),84)</f>
        <v/>
      </c>
      <c r="Z194" s="25">
        <f>MAX(M194-120,0)</f>
        <v/>
      </c>
      <c r="AA194" s="25">
        <f>IF(OR(O194="",NOT(ISNUMBER(O194))),360,MAX(0,MIN(480,(INT(O194/100)-INT(VALUE(H194)/100))*12+MOD(O194,100)-MOD(VALUE(H194),100))))</f>
        <v/>
      </c>
      <c r="AB194">
        <f>IF(AND(AA194&gt;0,AA194&lt;=24),1,0)</f>
        <v/>
      </c>
      <c r="AC194" s="25">
        <f>IF(OR(P194="",NOT(ISNUMBER(P194))),0,MAX(0,MIN(24,(INT(VALUE(H194)/100)-INT(P194/100))*12+MOD(VALUE(H194),100)-MOD(P194,100))))</f>
        <v/>
      </c>
      <c r="AD194" s="23">
        <f>LN(1+I194)</f>
        <v/>
      </c>
      <c r="AE194">
        <f>IF(I194&lt;2000000,1,0)</f>
        <v/>
      </c>
      <c r="AF194">
        <f>IF(I194&gt;50000000,1,0)</f>
        <v/>
      </c>
      <c r="AG194" s="23">
        <f>IF(ISNUMBER(M194),N194/MAX(M194,1),0)</f>
        <v/>
      </c>
      <c r="AH194">
        <f>IF(G194&gt;=2021,1,0)</f>
        <v/>
      </c>
      <c r="AI194">
        <f>S194</f>
        <v/>
      </c>
      <c r="AJ194">
        <f>T194</f>
        <v/>
      </c>
      <c r="AK194">
        <f>R194</f>
        <v/>
      </c>
      <c r="AL194">
        <f>U194</f>
        <v/>
      </c>
      <c r="AM194">
        <f>IF(ISNUMBER(SEARCH("CAPITAL FUNDING",D194)),1,0)</f>
        <v/>
      </c>
      <c r="AN194">
        <f>IF(ISNUMBER(SEARCH("PNC",D194)),1,0)</f>
        <v/>
      </c>
      <c r="AO194">
        <f>IF(ISNUMBER(SEARCH("WELLS FARGO",D194)),1,0)</f>
        <v/>
      </c>
      <c r="AP194">
        <f>IF(ISNUMBER(SEARCH("DWIGHT",D194)),1,0)</f>
        <v/>
      </c>
      <c r="AQ194">
        <f>IF(ISNUMBER(SEARCH("GREYSTONE",D194)),1,0)</f>
        <v/>
      </c>
      <c r="AR194">
        <f>IF(OR(Q194="3896",Q194="3557"),1,0)</f>
        <v/>
      </c>
      <c r="AS194" s="24">
        <f>V194*W194</f>
        <v/>
      </c>
      <c r="AT194" s="26">
        <f>V$4*(V194-V$3)</f>
        <v/>
      </c>
      <c r="AU194" s="26">
        <f>W$4*(W194-W$3)</f>
        <v/>
      </c>
      <c r="AV194" s="26">
        <f>X$4*(X194-X$3)</f>
        <v/>
      </c>
      <c r="AW194" s="26">
        <f>Y$4*(Y194-Y$3)</f>
        <v/>
      </c>
      <c r="AX194" s="26">
        <f>Z$4*(Z194-Z$3)</f>
        <v/>
      </c>
      <c r="AY194" s="26">
        <f>AA$4*(AA194-AA$3)</f>
        <v/>
      </c>
      <c r="AZ194" s="26">
        <f>AB$4*(AB194-AB$3)</f>
        <v/>
      </c>
      <c r="BA194" s="26">
        <f>AC$4*(AC194-AC$3)</f>
        <v/>
      </c>
      <c r="BB194" s="26">
        <f>AD$4*(AD194-AD$3)</f>
        <v/>
      </c>
      <c r="BC194" s="26">
        <f>AE$4*(AE194-AE$3)</f>
        <v/>
      </c>
      <c r="BD194" s="26">
        <f>AF$4*(AF194-AF$3)</f>
        <v/>
      </c>
      <c r="BE194" s="26">
        <f>AG$4*(AG194-AG$3)</f>
        <v/>
      </c>
      <c r="BF194" s="26">
        <f>AH$4*(AH194-AH$3)</f>
        <v/>
      </c>
      <c r="BG194" s="26">
        <f>AI$4*(AI194-AI$3)</f>
        <v/>
      </c>
      <c r="BH194" s="26">
        <f>AJ$4*(AJ194-AJ$3)</f>
        <v/>
      </c>
      <c r="BI194" s="26">
        <f>AK$4*(AK194-AK$3)</f>
        <v/>
      </c>
      <c r="BJ194" s="26">
        <f>AL$4*(AL194-AL$3)</f>
        <v/>
      </c>
      <c r="BK194" s="26">
        <f>AM$4*(AM194-AM$3)</f>
        <v/>
      </c>
      <c r="BL194" s="26">
        <f>AN$4*(AN194-AN$3)</f>
        <v/>
      </c>
      <c r="BM194" s="26">
        <f>AO$4*(AO194-AO$3)</f>
        <v/>
      </c>
      <c r="BN194" s="26">
        <f>AP$4*(AP194-AP$3)</f>
        <v/>
      </c>
      <c r="BO194" s="26">
        <f>AQ$4*(AQ194-AQ$3)</f>
        <v/>
      </c>
      <c r="BP194" s="26">
        <f>AR$4*(AR194-AR$3)</f>
        <v/>
      </c>
      <c r="BQ194" s="26">
        <f>AS$4*(AS194-AS$3)</f>
        <v/>
      </c>
      <c r="BR194" s="27">
        <f>SUM(AT194:BQ194)</f>
        <v/>
      </c>
      <c r="BS194" s="27">
        <f>INTERCEPT_SCALED+BR194</f>
        <v/>
      </c>
      <c r="BT194" s="28">
        <f>1/(1+EXP(-BS194))</f>
        <v/>
      </c>
      <c r="BU194" s="13">
        <f>1-(1-BT194)^12</f>
        <v/>
      </c>
      <c r="BV194" s="13">
        <f>IFERROR(AT194/BR194*(BU194-BASELINE_CPR),0)</f>
        <v/>
      </c>
      <c r="BW194" s="13">
        <f>IFERROR(AU194/BR194*(BU194-BASELINE_CPR),0)</f>
        <v/>
      </c>
      <c r="BX194" s="13">
        <f>IFERROR(AV194/BR194*(BU194-BASELINE_CPR),0)</f>
        <v/>
      </c>
      <c r="BY194" s="13">
        <f>IFERROR(AW194/BR194*(BU194-BASELINE_CPR),0)</f>
        <v/>
      </c>
      <c r="BZ194" s="13">
        <f>IFERROR(AX194/BR194*(BU194-BASELINE_CPR),0)</f>
        <v/>
      </c>
      <c r="CA194" s="13">
        <f>IFERROR(AY194/BR194*(BU194-BASELINE_CPR),0)</f>
        <v/>
      </c>
      <c r="CB194" s="13">
        <f>IFERROR(AZ194/BR194*(BU194-BASELINE_CPR),0)</f>
        <v/>
      </c>
      <c r="CC194" s="13">
        <f>IFERROR(BA194/BR194*(BU194-BASELINE_CPR),0)</f>
        <v/>
      </c>
      <c r="CD194" s="13">
        <f>IFERROR(BB194/BR194*(BU194-BASELINE_CPR),0)</f>
        <v/>
      </c>
      <c r="CE194" s="13">
        <f>IFERROR(BC194/BR194*(BU194-BASELINE_CPR),0)</f>
        <v/>
      </c>
      <c r="CF194" s="13">
        <f>IFERROR(BD194/BR194*(BU194-BASELINE_CPR),0)</f>
        <v/>
      </c>
      <c r="CG194" s="13">
        <f>IFERROR(BE194/BR194*(BU194-BASELINE_CPR),0)</f>
        <v/>
      </c>
      <c r="CH194" s="13">
        <f>IFERROR(BF194/BR194*(BU194-BASELINE_CPR),0)</f>
        <v/>
      </c>
      <c r="CI194" s="13">
        <f>IFERROR(BG194/BR194*(BU194-BASELINE_CPR),0)</f>
        <v/>
      </c>
      <c r="CJ194" s="13">
        <f>IFERROR(BH194/BR194*(BU194-BASELINE_CPR),0)</f>
        <v/>
      </c>
      <c r="CK194" s="13">
        <f>IFERROR(BI194/BR194*(BU194-BASELINE_CPR),0)</f>
        <v/>
      </c>
      <c r="CL194" s="13">
        <f>IFERROR(BJ194/BR194*(BU194-BASELINE_CPR),0)</f>
        <v/>
      </c>
      <c r="CM194" s="13">
        <f>IFERROR(BK194/BR194*(BU194-BASELINE_CPR),0)</f>
        <v/>
      </c>
      <c r="CN194" s="13">
        <f>IFERROR(BL194/BR194*(BU194-BASELINE_CPR),0)</f>
        <v/>
      </c>
      <c r="CO194" s="13">
        <f>IFERROR(BM194/BR194*(BU194-BASELINE_CPR),0)</f>
        <v/>
      </c>
      <c r="CP194" s="13">
        <f>IFERROR(BN194/BR194*(BU194-BASELINE_CPR),0)</f>
        <v/>
      </c>
      <c r="CQ194" s="13">
        <f>IFERROR(BO194/BR194*(BU194-BASELINE_CPR),0)</f>
        <v/>
      </c>
      <c r="CR194" s="13">
        <f>IFERROR(BP194/BR194*(BU194-BASELINE_CPR),0)</f>
        <v/>
      </c>
      <c r="CS194" s="13">
        <f>IFERROR(BQ194/BR194*(BU194-BASELINE_CPR),0)</f>
        <v/>
      </c>
      <c r="CT194" s="29">
        <f>BASELINE_CPR+SUM(BV194:CS194)-BU194</f>
        <v/>
      </c>
    </row>
    <row r="195">
      <c r="A195" s="2" t="inlineStr">
        <is>
          <t>3618JF7J5_000000008722062</t>
        </is>
      </c>
      <c r="B195" t="inlineStr">
        <is>
          <t>CAPITAL_POST21</t>
        </is>
      </c>
      <c r="C195" s="2" t="inlineStr">
        <is>
          <t>3618JF7J5</t>
        </is>
      </c>
      <c r="D195" t="inlineStr">
        <is>
          <t>CAPITAL FUNDING,LLC.</t>
        </is>
      </c>
      <c r="E195" t="inlineStr">
        <is>
          <t>232</t>
        </is>
      </c>
      <c r="F195" t="inlineStr">
        <is>
          <t>RP</t>
        </is>
      </c>
      <c r="G195" t="n">
        <v>2025</v>
      </c>
      <c r="H195" t="inlineStr">
        <is>
          <t>202602</t>
        </is>
      </c>
      <c r="I195" s="22" t="n">
        <v>10905106.68</v>
      </c>
      <c r="J195" s="23" t="n">
        <v>6.02</v>
      </c>
      <c r="K195" s="24" t="n">
        <v>447</v>
      </c>
      <c r="L195" s="24" t="n">
        <v>10</v>
      </c>
      <c r="M195" t="n">
        <v>6</v>
      </c>
      <c r="N195" t="n">
        <v>1</v>
      </c>
      <c r="O195" t="n">
        <v>205509</v>
      </c>
      <c r="P195" t="inlineStr"/>
      <c r="Q195" t="inlineStr">
        <is>
          <t>3866</t>
        </is>
      </c>
      <c r="R195" t="n">
        <v>1</v>
      </c>
      <c r="S195" t="n">
        <v>0</v>
      </c>
      <c r="T195" t="n">
        <v>0</v>
      </c>
      <c r="U195" t="n">
        <v>0</v>
      </c>
      <c r="V195" s="24">
        <f>J195*100-K195</f>
        <v/>
      </c>
      <c r="W195" s="24">
        <f>L195</f>
        <v/>
      </c>
      <c r="X195" s="25">
        <f>MIN(M195,36)</f>
        <v/>
      </c>
      <c r="Y195" s="25">
        <f>MIN(MAX(M195-36,0),84)</f>
        <v/>
      </c>
      <c r="Z195" s="25">
        <f>MAX(M195-120,0)</f>
        <v/>
      </c>
      <c r="AA195" s="25">
        <f>IF(OR(O195="",NOT(ISNUMBER(O195))),360,MAX(0,MIN(480,(INT(O195/100)-INT(VALUE(H195)/100))*12+MOD(O195,100)-MOD(VALUE(H195),100))))</f>
        <v/>
      </c>
      <c r="AB195">
        <f>IF(AND(AA195&gt;0,AA195&lt;=24),1,0)</f>
        <v/>
      </c>
      <c r="AC195" s="25">
        <f>IF(OR(P195="",NOT(ISNUMBER(P195))),0,MAX(0,MIN(24,(INT(VALUE(H195)/100)-INT(P195/100))*12+MOD(VALUE(H195),100)-MOD(P195,100))))</f>
        <v/>
      </c>
      <c r="AD195" s="23">
        <f>LN(1+I195)</f>
        <v/>
      </c>
      <c r="AE195">
        <f>IF(I195&lt;2000000,1,0)</f>
        <v/>
      </c>
      <c r="AF195">
        <f>IF(I195&gt;50000000,1,0)</f>
        <v/>
      </c>
      <c r="AG195" s="23">
        <f>IF(ISNUMBER(M195),N195/MAX(M195,1),0)</f>
        <v/>
      </c>
      <c r="AH195">
        <f>IF(G195&gt;=2021,1,0)</f>
        <v/>
      </c>
      <c r="AI195">
        <f>S195</f>
        <v/>
      </c>
      <c r="AJ195">
        <f>T195</f>
        <v/>
      </c>
      <c r="AK195">
        <f>R195</f>
        <v/>
      </c>
      <c r="AL195">
        <f>U195</f>
        <v/>
      </c>
      <c r="AM195">
        <f>IF(ISNUMBER(SEARCH("CAPITAL FUNDING",D195)),1,0)</f>
        <v/>
      </c>
      <c r="AN195">
        <f>IF(ISNUMBER(SEARCH("PNC",D195)),1,0)</f>
        <v/>
      </c>
      <c r="AO195">
        <f>IF(ISNUMBER(SEARCH("WELLS FARGO",D195)),1,0)</f>
        <v/>
      </c>
      <c r="AP195">
        <f>IF(ISNUMBER(SEARCH("DWIGHT",D195)),1,0)</f>
        <v/>
      </c>
      <c r="AQ195">
        <f>IF(ISNUMBER(SEARCH("GREYSTONE",D195)),1,0)</f>
        <v/>
      </c>
      <c r="AR195">
        <f>IF(OR(Q195="3896",Q195="3557"),1,0)</f>
        <v/>
      </c>
      <c r="AS195" s="24">
        <f>V195*W195</f>
        <v/>
      </c>
      <c r="AT195" s="26">
        <f>V$4*(V195-V$3)</f>
        <v/>
      </c>
      <c r="AU195" s="26">
        <f>W$4*(W195-W$3)</f>
        <v/>
      </c>
      <c r="AV195" s="26">
        <f>X$4*(X195-X$3)</f>
        <v/>
      </c>
      <c r="AW195" s="26">
        <f>Y$4*(Y195-Y$3)</f>
        <v/>
      </c>
      <c r="AX195" s="26">
        <f>Z$4*(Z195-Z$3)</f>
        <v/>
      </c>
      <c r="AY195" s="26">
        <f>AA$4*(AA195-AA$3)</f>
        <v/>
      </c>
      <c r="AZ195" s="26">
        <f>AB$4*(AB195-AB$3)</f>
        <v/>
      </c>
      <c r="BA195" s="26">
        <f>AC$4*(AC195-AC$3)</f>
        <v/>
      </c>
      <c r="BB195" s="26">
        <f>AD$4*(AD195-AD$3)</f>
        <v/>
      </c>
      <c r="BC195" s="26">
        <f>AE$4*(AE195-AE$3)</f>
        <v/>
      </c>
      <c r="BD195" s="26">
        <f>AF$4*(AF195-AF$3)</f>
        <v/>
      </c>
      <c r="BE195" s="26">
        <f>AG$4*(AG195-AG$3)</f>
        <v/>
      </c>
      <c r="BF195" s="26">
        <f>AH$4*(AH195-AH$3)</f>
        <v/>
      </c>
      <c r="BG195" s="26">
        <f>AI$4*(AI195-AI$3)</f>
        <v/>
      </c>
      <c r="BH195" s="26">
        <f>AJ$4*(AJ195-AJ$3)</f>
        <v/>
      </c>
      <c r="BI195" s="26">
        <f>AK$4*(AK195-AK$3)</f>
        <v/>
      </c>
      <c r="BJ195" s="26">
        <f>AL$4*(AL195-AL$3)</f>
        <v/>
      </c>
      <c r="BK195" s="26">
        <f>AM$4*(AM195-AM$3)</f>
        <v/>
      </c>
      <c r="BL195" s="26">
        <f>AN$4*(AN195-AN$3)</f>
        <v/>
      </c>
      <c r="BM195" s="26">
        <f>AO$4*(AO195-AO$3)</f>
        <v/>
      </c>
      <c r="BN195" s="26">
        <f>AP$4*(AP195-AP$3)</f>
        <v/>
      </c>
      <c r="BO195" s="26">
        <f>AQ$4*(AQ195-AQ$3)</f>
        <v/>
      </c>
      <c r="BP195" s="26">
        <f>AR$4*(AR195-AR$3)</f>
        <v/>
      </c>
      <c r="BQ195" s="26">
        <f>AS$4*(AS195-AS$3)</f>
        <v/>
      </c>
      <c r="BR195" s="27">
        <f>SUM(AT195:BQ195)</f>
        <v/>
      </c>
      <c r="BS195" s="27">
        <f>INTERCEPT_SCALED+BR195</f>
        <v/>
      </c>
      <c r="BT195" s="28">
        <f>1/(1+EXP(-BS195))</f>
        <v/>
      </c>
      <c r="BU195" s="13">
        <f>1-(1-BT195)^12</f>
        <v/>
      </c>
      <c r="BV195" s="13">
        <f>IFERROR(AT195/BR195*(BU195-BASELINE_CPR),0)</f>
        <v/>
      </c>
      <c r="BW195" s="13">
        <f>IFERROR(AU195/BR195*(BU195-BASELINE_CPR),0)</f>
        <v/>
      </c>
      <c r="BX195" s="13">
        <f>IFERROR(AV195/BR195*(BU195-BASELINE_CPR),0)</f>
        <v/>
      </c>
      <c r="BY195" s="13">
        <f>IFERROR(AW195/BR195*(BU195-BASELINE_CPR),0)</f>
        <v/>
      </c>
      <c r="BZ195" s="13">
        <f>IFERROR(AX195/BR195*(BU195-BASELINE_CPR),0)</f>
        <v/>
      </c>
      <c r="CA195" s="13">
        <f>IFERROR(AY195/BR195*(BU195-BASELINE_CPR),0)</f>
        <v/>
      </c>
      <c r="CB195" s="13">
        <f>IFERROR(AZ195/BR195*(BU195-BASELINE_CPR),0)</f>
        <v/>
      </c>
      <c r="CC195" s="13">
        <f>IFERROR(BA195/BR195*(BU195-BASELINE_CPR),0)</f>
        <v/>
      </c>
      <c r="CD195" s="13">
        <f>IFERROR(BB195/BR195*(BU195-BASELINE_CPR),0)</f>
        <v/>
      </c>
      <c r="CE195" s="13">
        <f>IFERROR(BC195/BR195*(BU195-BASELINE_CPR),0)</f>
        <v/>
      </c>
      <c r="CF195" s="13">
        <f>IFERROR(BD195/BR195*(BU195-BASELINE_CPR),0)</f>
        <v/>
      </c>
      <c r="CG195" s="13">
        <f>IFERROR(BE195/BR195*(BU195-BASELINE_CPR),0)</f>
        <v/>
      </c>
      <c r="CH195" s="13">
        <f>IFERROR(BF195/BR195*(BU195-BASELINE_CPR),0)</f>
        <v/>
      </c>
      <c r="CI195" s="13">
        <f>IFERROR(BG195/BR195*(BU195-BASELINE_CPR),0)</f>
        <v/>
      </c>
      <c r="CJ195" s="13">
        <f>IFERROR(BH195/BR195*(BU195-BASELINE_CPR),0)</f>
        <v/>
      </c>
      <c r="CK195" s="13">
        <f>IFERROR(BI195/BR195*(BU195-BASELINE_CPR),0)</f>
        <v/>
      </c>
      <c r="CL195" s="13">
        <f>IFERROR(BJ195/BR195*(BU195-BASELINE_CPR),0)</f>
        <v/>
      </c>
      <c r="CM195" s="13">
        <f>IFERROR(BK195/BR195*(BU195-BASELINE_CPR),0)</f>
        <v/>
      </c>
      <c r="CN195" s="13">
        <f>IFERROR(BL195/BR195*(BU195-BASELINE_CPR),0)</f>
        <v/>
      </c>
      <c r="CO195" s="13">
        <f>IFERROR(BM195/BR195*(BU195-BASELINE_CPR),0)</f>
        <v/>
      </c>
      <c r="CP195" s="13">
        <f>IFERROR(BN195/BR195*(BU195-BASELINE_CPR),0)</f>
        <v/>
      </c>
      <c r="CQ195" s="13">
        <f>IFERROR(BO195/BR195*(BU195-BASELINE_CPR),0)</f>
        <v/>
      </c>
      <c r="CR195" s="13">
        <f>IFERROR(BP195/BR195*(BU195-BASELINE_CPR),0)</f>
        <v/>
      </c>
      <c r="CS195" s="13">
        <f>IFERROR(BQ195/BR195*(BU195-BASELINE_CPR),0)</f>
        <v/>
      </c>
      <c r="CT195" s="29">
        <f>BASELINE_CPR+SUM(BV195:CS195)-BU195</f>
        <v/>
      </c>
    </row>
    <row r="196">
      <c r="A196" s="2" t="inlineStr">
        <is>
          <t>36178BB95_000000007422031</t>
        </is>
      </c>
      <c r="B196" t="inlineStr">
        <is>
          <t>CAPITAL_PRE21</t>
        </is>
      </c>
      <c r="C196" s="2" t="inlineStr">
        <is>
          <t>36178BB95</t>
        </is>
      </c>
      <c r="D196" t="inlineStr">
        <is>
          <t>CAPITAL FUNDING,LLC.</t>
        </is>
      </c>
      <c r="E196" t="inlineStr">
        <is>
          <t>232</t>
        </is>
      </c>
      <c r="F196" t="inlineStr">
        <is>
          <t>RP</t>
        </is>
      </c>
      <c r="G196" t="n">
        <v>2013</v>
      </c>
      <c r="H196" t="inlineStr">
        <is>
          <t>202602</t>
        </is>
      </c>
      <c r="I196" s="22" t="n">
        <v>1352228.66</v>
      </c>
      <c r="J196" s="23" t="n">
        <v>2.97</v>
      </c>
      <c r="K196" s="24" t="n">
        <v>447</v>
      </c>
      <c r="L196" s="24" t="n">
        <v>0</v>
      </c>
      <c r="M196" t="n">
        <v>157</v>
      </c>
      <c r="N196" t="n">
        <v>27</v>
      </c>
      <c r="O196" t="n">
        <v>203801</v>
      </c>
      <c r="P196" t="n">
        <v>201403</v>
      </c>
      <c r="Q196" t="inlineStr">
        <is>
          <t>3866</t>
        </is>
      </c>
      <c r="R196" t="n">
        <v>1</v>
      </c>
      <c r="S196" t="n">
        <v>1</v>
      </c>
      <c r="T196" t="n">
        <v>0</v>
      </c>
      <c r="U196" t="n">
        <v>0</v>
      </c>
      <c r="V196" s="24">
        <f>J196*100-K196</f>
        <v/>
      </c>
      <c r="W196" s="24">
        <f>L196</f>
        <v/>
      </c>
      <c r="X196" s="25">
        <f>MIN(M196,36)</f>
        <v/>
      </c>
      <c r="Y196" s="25">
        <f>MIN(MAX(M196-36,0),84)</f>
        <v/>
      </c>
      <c r="Z196" s="25">
        <f>MAX(M196-120,0)</f>
        <v/>
      </c>
      <c r="AA196" s="25">
        <f>IF(OR(O196="",NOT(ISNUMBER(O196))),360,MAX(0,MIN(480,(INT(O196/100)-INT(VALUE(H196)/100))*12+MOD(O196,100)-MOD(VALUE(H196),100))))</f>
        <v/>
      </c>
      <c r="AB196">
        <f>IF(AND(AA196&gt;0,AA196&lt;=24),1,0)</f>
        <v/>
      </c>
      <c r="AC196" s="25">
        <f>IF(OR(P196="",NOT(ISNUMBER(P196))),0,MAX(0,MIN(24,(INT(VALUE(H196)/100)-INT(P196/100))*12+MOD(VALUE(H196),100)-MOD(P196,100))))</f>
        <v/>
      </c>
      <c r="AD196" s="23">
        <f>LN(1+I196)</f>
        <v/>
      </c>
      <c r="AE196">
        <f>IF(I196&lt;2000000,1,0)</f>
        <v/>
      </c>
      <c r="AF196">
        <f>IF(I196&gt;50000000,1,0)</f>
        <v/>
      </c>
      <c r="AG196" s="23">
        <f>IF(ISNUMBER(M196),N196/MAX(M196,1),0)</f>
        <v/>
      </c>
      <c r="AH196">
        <f>IF(G196&gt;=2021,1,0)</f>
        <v/>
      </c>
      <c r="AI196">
        <f>S196</f>
        <v/>
      </c>
      <c r="AJ196">
        <f>T196</f>
        <v/>
      </c>
      <c r="AK196">
        <f>R196</f>
        <v/>
      </c>
      <c r="AL196">
        <f>U196</f>
        <v/>
      </c>
      <c r="AM196">
        <f>IF(ISNUMBER(SEARCH("CAPITAL FUNDING",D196)),1,0)</f>
        <v/>
      </c>
      <c r="AN196">
        <f>IF(ISNUMBER(SEARCH("PNC",D196)),1,0)</f>
        <v/>
      </c>
      <c r="AO196">
        <f>IF(ISNUMBER(SEARCH("WELLS FARGO",D196)),1,0)</f>
        <v/>
      </c>
      <c r="AP196">
        <f>IF(ISNUMBER(SEARCH("DWIGHT",D196)),1,0)</f>
        <v/>
      </c>
      <c r="AQ196">
        <f>IF(ISNUMBER(SEARCH("GREYSTONE",D196)),1,0)</f>
        <v/>
      </c>
      <c r="AR196">
        <f>IF(OR(Q196="3896",Q196="3557"),1,0)</f>
        <v/>
      </c>
      <c r="AS196" s="24">
        <f>V196*W196</f>
        <v/>
      </c>
      <c r="AT196" s="26">
        <f>V$4*(V196-V$3)</f>
        <v/>
      </c>
      <c r="AU196" s="26">
        <f>W$4*(W196-W$3)</f>
        <v/>
      </c>
      <c r="AV196" s="26">
        <f>X$4*(X196-X$3)</f>
        <v/>
      </c>
      <c r="AW196" s="26">
        <f>Y$4*(Y196-Y$3)</f>
        <v/>
      </c>
      <c r="AX196" s="26">
        <f>Z$4*(Z196-Z$3)</f>
        <v/>
      </c>
      <c r="AY196" s="26">
        <f>AA$4*(AA196-AA$3)</f>
        <v/>
      </c>
      <c r="AZ196" s="26">
        <f>AB$4*(AB196-AB$3)</f>
        <v/>
      </c>
      <c r="BA196" s="26">
        <f>AC$4*(AC196-AC$3)</f>
        <v/>
      </c>
      <c r="BB196" s="26">
        <f>AD$4*(AD196-AD$3)</f>
        <v/>
      </c>
      <c r="BC196" s="26">
        <f>AE$4*(AE196-AE$3)</f>
        <v/>
      </c>
      <c r="BD196" s="26">
        <f>AF$4*(AF196-AF$3)</f>
        <v/>
      </c>
      <c r="BE196" s="26">
        <f>AG$4*(AG196-AG$3)</f>
        <v/>
      </c>
      <c r="BF196" s="26">
        <f>AH$4*(AH196-AH$3)</f>
        <v/>
      </c>
      <c r="BG196" s="26">
        <f>AI$4*(AI196-AI$3)</f>
        <v/>
      </c>
      <c r="BH196" s="26">
        <f>AJ$4*(AJ196-AJ$3)</f>
        <v/>
      </c>
      <c r="BI196" s="26">
        <f>AK$4*(AK196-AK$3)</f>
        <v/>
      </c>
      <c r="BJ196" s="26">
        <f>AL$4*(AL196-AL$3)</f>
        <v/>
      </c>
      <c r="BK196" s="26">
        <f>AM$4*(AM196-AM$3)</f>
        <v/>
      </c>
      <c r="BL196" s="26">
        <f>AN$4*(AN196-AN$3)</f>
        <v/>
      </c>
      <c r="BM196" s="26">
        <f>AO$4*(AO196-AO$3)</f>
        <v/>
      </c>
      <c r="BN196" s="26">
        <f>AP$4*(AP196-AP$3)</f>
        <v/>
      </c>
      <c r="BO196" s="26">
        <f>AQ$4*(AQ196-AQ$3)</f>
        <v/>
      </c>
      <c r="BP196" s="26">
        <f>AR$4*(AR196-AR$3)</f>
        <v/>
      </c>
      <c r="BQ196" s="26">
        <f>AS$4*(AS196-AS$3)</f>
        <v/>
      </c>
      <c r="BR196" s="27">
        <f>SUM(AT196:BQ196)</f>
        <v/>
      </c>
      <c r="BS196" s="27">
        <f>INTERCEPT_SCALED+BR196</f>
        <v/>
      </c>
      <c r="BT196" s="28">
        <f>1/(1+EXP(-BS196))</f>
        <v/>
      </c>
      <c r="BU196" s="13">
        <f>1-(1-BT196)^12</f>
        <v/>
      </c>
      <c r="BV196" s="13">
        <f>IFERROR(AT196/BR196*(BU196-BASELINE_CPR),0)</f>
        <v/>
      </c>
      <c r="BW196" s="13">
        <f>IFERROR(AU196/BR196*(BU196-BASELINE_CPR),0)</f>
        <v/>
      </c>
      <c r="BX196" s="13">
        <f>IFERROR(AV196/BR196*(BU196-BASELINE_CPR),0)</f>
        <v/>
      </c>
      <c r="BY196" s="13">
        <f>IFERROR(AW196/BR196*(BU196-BASELINE_CPR),0)</f>
        <v/>
      </c>
      <c r="BZ196" s="13">
        <f>IFERROR(AX196/BR196*(BU196-BASELINE_CPR),0)</f>
        <v/>
      </c>
      <c r="CA196" s="13">
        <f>IFERROR(AY196/BR196*(BU196-BASELINE_CPR),0)</f>
        <v/>
      </c>
      <c r="CB196" s="13">
        <f>IFERROR(AZ196/BR196*(BU196-BASELINE_CPR),0)</f>
        <v/>
      </c>
      <c r="CC196" s="13">
        <f>IFERROR(BA196/BR196*(BU196-BASELINE_CPR),0)</f>
        <v/>
      </c>
      <c r="CD196" s="13">
        <f>IFERROR(BB196/BR196*(BU196-BASELINE_CPR),0)</f>
        <v/>
      </c>
      <c r="CE196" s="13">
        <f>IFERROR(BC196/BR196*(BU196-BASELINE_CPR),0)</f>
        <v/>
      </c>
      <c r="CF196" s="13">
        <f>IFERROR(BD196/BR196*(BU196-BASELINE_CPR),0)</f>
        <v/>
      </c>
      <c r="CG196" s="13">
        <f>IFERROR(BE196/BR196*(BU196-BASELINE_CPR),0)</f>
        <v/>
      </c>
      <c r="CH196" s="13">
        <f>IFERROR(BF196/BR196*(BU196-BASELINE_CPR),0)</f>
        <v/>
      </c>
      <c r="CI196" s="13">
        <f>IFERROR(BG196/BR196*(BU196-BASELINE_CPR),0)</f>
        <v/>
      </c>
      <c r="CJ196" s="13">
        <f>IFERROR(BH196/BR196*(BU196-BASELINE_CPR),0)</f>
        <v/>
      </c>
      <c r="CK196" s="13">
        <f>IFERROR(BI196/BR196*(BU196-BASELINE_CPR),0)</f>
        <v/>
      </c>
      <c r="CL196" s="13">
        <f>IFERROR(BJ196/BR196*(BU196-BASELINE_CPR),0)</f>
        <v/>
      </c>
      <c r="CM196" s="13">
        <f>IFERROR(BK196/BR196*(BU196-BASELINE_CPR),0)</f>
        <v/>
      </c>
      <c r="CN196" s="13">
        <f>IFERROR(BL196/BR196*(BU196-BASELINE_CPR),0)</f>
        <v/>
      </c>
      <c r="CO196" s="13">
        <f>IFERROR(BM196/BR196*(BU196-BASELINE_CPR),0)</f>
        <v/>
      </c>
      <c r="CP196" s="13">
        <f>IFERROR(BN196/BR196*(BU196-BASELINE_CPR),0)</f>
        <v/>
      </c>
      <c r="CQ196" s="13">
        <f>IFERROR(BO196/BR196*(BU196-BASELINE_CPR),0)</f>
        <v/>
      </c>
      <c r="CR196" s="13">
        <f>IFERROR(BP196/BR196*(BU196-BASELINE_CPR),0)</f>
        <v/>
      </c>
      <c r="CS196" s="13">
        <f>IFERROR(BQ196/BR196*(BU196-BASELINE_CPR),0)</f>
        <v/>
      </c>
      <c r="CT196" s="29">
        <f>BASELINE_CPR+SUM(BV196:CS196)-BU196</f>
        <v/>
      </c>
    </row>
    <row r="197">
      <c r="A197" s="2" t="inlineStr">
        <is>
          <t>3617M7DE5_000000001422159</t>
        </is>
      </c>
      <c r="B197" t="inlineStr">
        <is>
          <t>CAPITAL_PRE21</t>
        </is>
      </c>
      <c r="C197" s="2" t="inlineStr">
        <is>
          <t>3617M7DE5</t>
        </is>
      </c>
      <c r="D197" t="inlineStr">
        <is>
          <t>CAPITAL FUNDING,LLC.</t>
        </is>
      </c>
      <c r="E197" t="inlineStr">
        <is>
          <t>232</t>
        </is>
      </c>
      <c r="F197" t="inlineStr">
        <is>
          <t>RP</t>
        </is>
      </c>
      <c r="G197" t="n">
        <v>2019</v>
      </c>
      <c r="H197" t="inlineStr">
        <is>
          <t>202602</t>
        </is>
      </c>
      <c r="I197" s="22" t="n">
        <v>16343371.04</v>
      </c>
      <c r="J197" s="23" t="n">
        <v>3.24</v>
      </c>
      <c r="K197" s="24" t="n">
        <v>447</v>
      </c>
      <c r="L197" s="24" t="n">
        <v>4</v>
      </c>
      <c r="M197" t="n">
        <v>74</v>
      </c>
      <c r="N197" t="n">
        <v>19</v>
      </c>
      <c r="O197" t="n">
        <v>204501</v>
      </c>
      <c r="P197" t="inlineStr"/>
      <c r="Q197" t="inlineStr">
        <is>
          <t>3866</t>
        </is>
      </c>
      <c r="R197" t="n">
        <v>1</v>
      </c>
      <c r="S197" t="n">
        <v>0</v>
      </c>
      <c r="T197" t="n">
        <v>0</v>
      </c>
      <c r="U197" t="n">
        <v>0</v>
      </c>
      <c r="V197" s="24">
        <f>J197*100-K197</f>
        <v/>
      </c>
      <c r="W197" s="24">
        <f>L197</f>
        <v/>
      </c>
      <c r="X197" s="25">
        <f>MIN(M197,36)</f>
        <v/>
      </c>
      <c r="Y197" s="25">
        <f>MIN(MAX(M197-36,0),84)</f>
        <v/>
      </c>
      <c r="Z197" s="25">
        <f>MAX(M197-120,0)</f>
        <v/>
      </c>
      <c r="AA197" s="25">
        <f>IF(OR(O197="",NOT(ISNUMBER(O197))),360,MAX(0,MIN(480,(INT(O197/100)-INT(VALUE(H197)/100))*12+MOD(O197,100)-MOD(VALUE(H197),100))))</f>
        <v/>
      </c>
      <c r="AB197">
        <f>IF(AND(AA197&gt;0,AA197&lt;=24),1,0)</f>
        <v/>
      </c>
      <c r="AC197" s="25">
        <f>IF(OR(P197="",NOT(ISNUMBER(P197))),0,MAX(0,MIN(24,(INT(VALUE(H197)/100)-INT(P197/100))*12+MOD(VALUE(H197),100)-MOD(P197,100))))</f>
        <v/>
      </c>
      <c r="AD197" s="23">
        <f>LN(1+I197)</f>
        <v/>
      </c>
      <c r="AE197">
        <f>IF(I197&lt;2000000,1,0)</f>
        <v/>
      </c>
      <c r="AF197">
        <f>IF(I197&gt;50000000,1,0)</f>
        <v/>
      </c>
      <c r="AG197" s="23">
        <f>IF(ISNUMBER(M197),N197/MAX(M197,1),0)</f>
        <v/>
      </c>
      <c r="AH197">
        <f>IF(G197&gt;=2021,1,0)</f>
        <v/>
      </c>
      <c r="AI197">
        <f>S197</f>
        <v/>
      </c>
      <c r="AJ197">
        <f>T197</f>
        <v/>
      </c>
      <c r="AK197">
        <f>R197</f>
        <v/>
      </c>
      <c r="AL197">
        <f>U197</f>
        <v/>
      </c>
      <c r="AM197">
        <f>IF(ISNUMBER(SEARCH("CAPITAL FUNDING",D197)),1,0)</f>
        <v/>
      </c>
      <c r="AN197">
        <f>IF(ISNUMBER(SEARCH("PNC",D197)),1,0)</f>
        <v/>
      </c>
      <c r="AO197">
        <f>IF(ISNUMBER(SEARCH("WELLS FARGO",D197)),1,0)</f>
        <v/>
      </c>
      <c r="AP197">
        <f>IF(ISNUMBER(SEARCH("DWIGHT",D197)),1,0)</f>
        <v/>
      </c>
      <c r="AQ197">
        <f>IF(ISNUMBER(SEARCH("GREYSTONE",D197)),1,0)</f>
        <v/>
      </c>
      <c r="AR197">
        <f>IF(OR(Q197="3896",Q197="3557"),1,0)</f>
        <v/>
      </c>
      <c r="AS197" s="24">
        <f>V197*W197</f>
        <v/>
      </c>
      <c r="AT197" s="26">
        <f>V$4*(V197-V$3)</f>
        <v/>
      </c>
      <c r="AU197" s="26">
        <f>W$4*(W197-W$3)</f>
        <v/>
      </c>
      <c r="AV197" s="26">
        <f>X$4*(X197-X$3)</f>
        <v/>
      </c>
      <c r="AW197" s="26">
        <f>Y$4*(Y197-Y$3)</f>
        <v/>
      </c>
      <c r="AX197" s="26">
        <f>Z$4*(Z197-Z$3)</f>
        <v/>
      </c>
      <c r="AY197" s="26">
        <f>AA$4*(AA197-AA$3)</f>
        <v/>
      </c>
      <c r="AZ197" s="26">
        <f>AB$4*(AB197-AB$3)</f>
        <v/>
      </c>
      <c r="BA197" s="26">
        <f>AC$4*(AC197-AC$3)</f>
        <v/>
      </c>
      <c r="BB197" s="26">
        <f>AD$4*(AD197-AD$3)</f>
        <v/>
      </c>
      <c r="BC197" s="26">
        <f>AE$4*(AE197-AE$3)</f>
        <v/>
      </c>
      <c r="BD197" s="26">
        <f>AF$4*(AF197-AF$3)</f>
        <v/>
      </c>
      <c r="BE197" s="26">
        <f>AG$4*(AG197-AG$3)</f>
        <v/>
      </c>
      <c r="BF197" s="26">
        <f>AH$4*(AH197-AH$3)</f>
        <v/>
      </c>
      <c r="BG197" s="26">
        <f>AI$4*(AI197-AI$3)</f>
        <v/>
      </c>
      <c r="BH197" s="26">
        <f>AJ$4*(AJ197-AJ$3)</f>
        <v/>
      </c>
      <c r="BI197" s="26">
        <f>AK$4*(AK197-AK$3)</f>
        <v/>
      </c>
      <c r="BJ197" s="26">
        <f>AL$4*(AL197-AL$3)</f>
        <v/>
      </c>
      <c r="BK197" s="26">
        <f>AM$4*(AM197-AM$3)</f>
        <v/>
      </c>
      <c r="BL197" s="26">
        <f>AN$4*(AN197-AN$3)</f>
        <v/>
      </c>
      <c r="BM197" s="26">
        <f>AO$4*(AO197-AO$3)</f>
        <v/>
      </c>
      <c r="BN197" s="26">
        <f>AP$4*(AP197-AP$3)</f>
        <v/>
      </c>
      <c r="BO197" s="26">
        <f>AQ$4*(AQ197-AQ$3)</f>
        <v/>
      </c>
      <c r="BP197" s="26">
        <f>AR$4*(AR197-AR$3)</f>
        <v/>
      </c>
      <c r="BQ197" s="26">
        <f>AS$4*(AS197-AS$3)</f>
        <v/>
      </c>
      <c r="BR197" s="27">
        <f>SUM(AT197:BQ197)</f>
        <v/>
      </c>
      <c r="BS197" s="27">
        <f>INTERCEPT_SCALED+BR197</f>
        <v/>
      </c>
      <c r="BT197" s="28">
        <f>1/(1+EXP(-BS197))</f>
        <v/>
      </c>
      <c r="BU197" s="13">
        <f>1-(1-BT197)^12</f>
        <v/>
      </c>
      <c r="BV197" s="13">
        <f>IFERROR(AT197/BR197*(BU197-BASELINE_CPR),0)</f>
        <v/>
      </c>
      <c r="BW197" s="13">
        <f>IFERROR(AU197/BR197*(BU197-BASELINE_CPR),0)</f>
        <v/>
      </c>
      <c r="BX197" s="13">
        <f>IFERROR(AV197/BR197*(BU197-BASELINE_CPR),0)</f>
        <v/>
      </c>
      <c r="BY197" s="13">
        <f>IFERROR(AW197/BR197*(BU197-BASELINE_CPR),0)</f>
        <v/>
      </c>
      <c r="BZ197" s="13">
        <f>IFERROR(AX197/BR197*(BU197-BASELINE_CPR),0)</f>
        <v/>
      </c>
      <c r="CA197" s="13">
        <f>IFERROR(AY197/BR197*(BU197-BASELINE_CPR),0)</f>
        <v/>
      </c>
      <c r="CB197" s="13">
        <f>IFERROR(AZ197/BR197*(BU197-BASELINE_CPR),0)</f>
        <v/>
      </c>
      <c r="CC197" s="13">
        <f>IFERROR(BA197/BR197*(BU197-BASELINE_CPR),0)</f>
        <v/>
      </c>
      <c r="CD197" s="13">
        <f>IFERROR(BB197/BR197*(BU197-BASELINE_CPR),0)</f>
        <v/>
      </c>
      <c r="CE197" s="13">
        <f>IFERROR(BC197/BR197*(BU197-BASELINE_CPR),0)</f>
        <v/>
      </c>
      <c r="CF197" s="13">
        <f>IFERROR(BD197/BR197*(BU197-BASELINE_CPR),0)</f>
        <v/>
      </c>
      <c r="CG197" s="13">
        <f>IFERROR(BE197/BR197*(BU197-BASELINE_CPR),0)</f>
        <v/>
      </c>
      <c r="CH197" s="13">
        <f>IFERROR(BF197/BR197*(BU197-BASELINE_CPR),0)</f>
        <v/>
      </c>
      <c r="CI197" s="13">
        <f>IFERROR(BG197/BR197*(BU197-BASELINE_CPR),0)</f>
        <v/>
      </c>
      <c r="CJ197" s="13">
        <f>IFERROR(BH197/BR197*(BU197-BASELINE_CPR),0)</f>
        <v/>
      </c>
      <c r="CK197" s="13">
        <f>IFERROR(BI197/BR197*(BU197-BASELINE_CPR),0)</f>
        <v/>
      </c>
      <c r="CL197" s="13">
        <f>IFERROR(BJ197/BR197*(BU197-BASELINE_CPR),0)</f>
        <v/>
      </c>
      <c r="CM197" s="13">
        <f>IFERROR(BK197/BR197*(BU197-BASELINE_CPR),0)</f>
        <v/>
      </c>
      <c r="CN197" s="13">
        <f>IFERROR(BL197/BR197*(BU197-BASELINE_CPR),0)</f>
        <v/>
      </c>
      <c r="CO197" s="13">
        <f>IFERROR(BM197/BR197*(BU197-BASELINE_CPR),0)</f>
        <v/>
      </c>
      <c r="CP197" s="13">
        <f>IFERROR(BN197/BR197*(BU197-BASELINE_CPR),0)</f>
        <v/>
      </c>
      <c r="CQ197" s="13">
        <f>IFERROR(BO197/BR197*(BU197-BASELINE_CPR),0)</f>
        <v/>
      </c>
      <c r="CR197" s="13">
        <f>IFERROR(BP197/BR197*(BU197-BASELINE_CPR),0)</f>
        <v/>
      </c>
      <c r="CS197" s="13">
        <f>IFERROR(BQ197/BR197*(BU197-BASELINE_CPR),0)</f>
        <v/>
      </c>
      <c r="CT197" s="29">
        <f>BASELINE_CPR+SUM(BV197:CS197)-BU197</f>
        <v/>
      </c>
    </row>
    <row r="198">
      <c r="A198" s="2" t="inlineStr">
        <is>
          <t>3620C2RW6_000000002322133</t>
        </is>
      </c>
      <c r="B198" t="inlineStr">
        <is>
          <t>CAPITAL_PRE21</t>
        </is>
      </c>
      <c r="C198" s="2" t="inlineStr">
        <is>
          <t>3620C2RW6</t>
        </is>
      </c>
      <c r="D198" t="inlineStr">
        <is>
          <t>CAPITAL FUNDING,LLC.</t>
        </is>
      </c>
      <c r="E198" t="inlineStr">
        <is>
          <t>232</t>
        </is>
      </c>
      <c r="F198" t="inlineStr">
        <is>
          <t>RP</t>
        </is>
      </c>
      <c r="G198" t="n">
        <v>2013</v>
      </c>
      <c r="H198" t="inlineStr">
        <is>
          <t>202602</t>
        </is>
      </c>
      <c r="I198" s="22" t="n">
        <v>4844357.94</v>
      </c>
      <c r="J198" s="23" t="n">
        <v>2.94</v>
      </c>
      <c r="K198" s="24" t="n">
        <v>447</v>
      </c>
      <c r="L198" s="24" t="n">
        <v>0</v>
      </c>
      <c r="M198" t="n">
        <v>157</v>
      </c>
      <c r="N198" t="n">
        <v>26</v>
      </c>
      <c r="O198" t="n">
        <v>204802</v>
      </c>
      <c r="P198" t="n">
        <v>201403</v>
      </c>
      <c r="Q198" t="inlineStr">
        <is>
          <t>3866</t>
        </is>
      </c>
      <c r="R198" t="n">
        <v>1</v>
      </c>
      <c r="S198" t="n">
        <v>1</v>
      </c>
      <c r="T198" t="n">
        <v>0</v>
      </c>
      <c r="U198" t="n">
        <v>0</v>
      </c>
      <c r="V198" s="24">
        <f>J198*100-K198</f>
        <v/>
      </c>
      <c r="W198" s="24">
        <f>L198</f>
        <v/>
      </c>
      <c r="X198" s="25">
        <f>MIN(M198,36)</f>
        <v/>
      </c>
      <c r="Y198" s="25">
        <f>MIN(MAX(M198-36,0),84)</f>
        <v/>
      </c>
      <c r="Z198" s="25">
        <f>MAX(M198-120,0)</f>
        <v/>
      </c>
      <c r="AA198" s="25">
        <f>IF(OR(O198="",NOT(ISNUMBER(O198))),360,MAX(0,MIN(480,(INT(O198/100)-INT(VALUE(H198)/100))*12+MOD(O198,100)-MOD(VALUE(H198),100))))</f>
        <v/>
      </c>
      <c r="AB198">
        <f>IF(AND(AA198&gt;0,AA198&lt;=24),1,0)</f>
        <v/>
      </c>
      <c r="AC198" s="25">
        <f>IF(OR(P198="",NOT(ISNUMBER(P198))),0,MAX(0,MIN(24,(INT(VALUE(H198)/100)-INT(P198/100))*12+MOD(VALUE(H198),100)-MOD(P198,100))))</f>
        <v/>
      </c>
      <c r="AD198" s="23">
        <f>LN(1+I198)</f>
        <v/>
      </c>
      <c r="AE198">
        <f>IF(I198&lt;2000000,1,0)</f>
        <v/>
      </c>
      <c r="AF198">
        <f>IF(I198&gt;50000000,1,0)</f>
        <v/>
      </c>
      <c r="AG198" s="23">
        <f>IF(ISNUMBER(M198),N198/MAX(M198,1),0)</f>
        <v/>
      </c>
      <c r="AH198">
        <f>IF(G198&gt;=2021,1,0)</f>
        <v/>
      </c>
      <c r="AI198">
        <f>S198</f>
        <v/>
      </c>
      <c r="AJ198">
        <f>T198</f>
        <v/>
      </c>
      <c r="AK198">
        <f>R198</f>
        <v/>
      </c>
      <c r="AL198">
        <f>U198</f>
        <v/>
      </c>
      <c r="AM198">
        <f>IF(ISNUMBER(SEARCH("CAPITAL FUNDING",D198)),1,0)</f>
        <v/>
      </c>
      <c r="AN198">
        <f>IF(ISNUMBER(SEARCH("PNC",D198)),1,0)</f>
        <v/>
      </c>
      <c r="AO198">
        <f>IF(ISNUMBER(SEARCH("WELLS FARGO",D198)),1,0)</f>
        <v/>
      </c>
      <c r="AP198">
        <f>IF(ISNUMBER(SEARCH("DWIGHT",D198)),1,0)</f>
        <v/>
      </c>
      <c r="AQ198">
        <f>IF(ISNUMBER(SEARCH("GREYSTONE",D198)),1,0)</f>
        <v/>
      </c>
      <c r="AR198">
        <f>IF(OR(Q198="3896",Q198="3557"),1,0)</f>
        <v/>
      </c>
      <c r="AS198" s="24">
        <f>V198*W198</f>
        <v/>
      </c>
      <c r="AT198" s="26">
        <f>V$4*(V198-V$3)</f>
        <v/>
      </c>
      <c r="AU198" s="26">
        <f>W$4*(W198-W$3)</f>
        <v/>
      </c>
      <c r="AV198" s="26">
        <f>X$4*(X198-X$3)</f>
        <v/>
      </c>
      <c r="AW198" s="26">
        <f>Y$4*(Y198-Y$3)</f>
        <v/>
      </c>
      <c r="AX198" s="26">
        <f>Z$4*(Z198-Z$3)</f>
        <v/>
      </c>
      <c r="AY198" s="26">
        <f>AA$4*(AA198-AA$3)</f>
        <v/>
      </c>
      <c r="AZ198" s="26">
        <f>AB$4*(AB198-AB$3)</f>
        <v/>
      </c>
      <c r="BA198" s="26">
        <f>AC$4*(AC198-AC$3)</f>
        <v/>
      </c>
      <c r="BB198" s="26">
        <f>AD$4*(AD198-AD$3)</f>
        <v/>
      </c>
      <c r="BC198" s="26">
        <f>AE$4*(AE198-AE$3)</f>
        <v/>
      </c>
      <c r="BD198" s="26">
        <f>AF$4*(AF198-AF$3)</f>
        <v/>
      </c>
      <c r="BE198" s="26">
        <f>AG$4*(AG198-AG$3)</f>
        <v/>
      </c>
      <c r="BF198" s="26">
        <f>AH$4*(AH198-AH$3)</f>
        <v/>
      </c>
      <c r="BG198" s="26">
        <f>AI$4*(AI198-AI$3)</f>
        <v/>
      </c>
      <c r="BH198" s="26">
        <f>AJ$4*(AJ198-AJ$3)</f>
        <v/>
      </c>
      <c r="BI198" s="26">
        <f>AK$4*(AK198-AK$3)</f>
        <v/>
      </c>
      <c r="BJ198" s="26">
        <f>AL$4*(AL198-AL$3)</f>
        <v/>
      </c>
      <c r="BK198" s="26">
        <f>AM$4*(AM198-AM$3)</f>
        <v/>
      </c>
      <c r="BL198" s="26">
        <f>AN$4*(AN198-AN$3)</f>
        <v/>
      </c>
      <c r="BM198" s="26">
        <f>AO$4*(AO198-AO$3)</f>
        <v/>
      </c>
      <c r="BN198" s="26">
        <f>AP$4*(AP198-AP$3)</f>
        <v/>
      </c>
      <c r="BO198" s="26">
        <f>AQ$4*(AQ198-AQ$3)</f>
        <v/>
      </c>
      <c r="BP198" s="26">
        <f>AR$4*(AR198-AR$3)</f>
        <v/>
      </c>
      <c r="BQ198" s="26">
        <f>AS$4*(AS198-AS$3)</f>
        <v/>
      </c>
      <c r="BR198" s="27">
        <f>SUM(AT198:BQ198)</f>
        <v/>
      </c>
      <c r="BS198" s="27">
        <f>INTERCEPT_SCALED+BR198</f>
        <v/>
      </c>
      <c r="BT198" s="28">
        <f>1/(1+EXP(-BS198))</f>
        <v/>
      </c>
      <c r="BU198" s="13">
        <f>1-(1-BT198)^12</f>
        <v/>
      </c>
      <c r="BV198" s="13">
        <f>IFERROR(AT198/BR198*(BU198-BASELINE_CPR),0)</f>
        <v/>
      </c>
      <c r="BW198" s="13">
        <f>IFERROR(AU198/BR198*(BU198-BASELINE_CPR),0)</f>
        <v/>
      </c>
      <c r="BX198" s="13">
        <f>IFERROR(AV198/BR198*(BU198-BASELINE_CPR),0)</f>
        <v/>
      </c>
      <c r="BY198" s="13">
        <f>IFERROR(AW198/BR198*(BU198-BASELINE_CPR),0)</f>
        <v/>
      </c>
      <c r="BZ198" s="13">
        <f>IFERROR(AX198/BR198*(BU198-BASELINE_CPR),0)</f>
        <v/>
      </c>
      <c r="CA198" s="13">
        <f>IFERROR(AY198/BR198*(BU198-BASELINE_CPR),0)</f>
        <v/>
      </c>
      <c r="CB198" s="13">
        <f>IFERROR(AZ198/BR198*(BU198-BASELINE_CPR),0)</f>
        <v/>
      </c>
      <c r="CC198" s="13">
        <f>IFERROR(BA198/BR198*(BU198-BASELINE_CPR),0)</f>
        <v/>
      </c>
      <c r="CD198" s="13">
        <f>IFERROR(BB198/BR198*(BU198-BASELINE_CPR),0)</f>
        <v/>
      </c>
      <c r="CE198" s="13">
        <f>IFERROR(BC198/BR198*(BU198-BASELINE_CPR),0)</f>
        <v/>
      </c>
      <c r="CF198" s="13">
        <f>IFERROR(BD198/BR198*(BU198-BASELINE_CPR),0)</f>
        <v/>
      </c>
      <c r="CG198" s="13">
        <f>IFERROR(BE198/BR198*(BU198-BASELINE_CPR),0)</f>
        <v/>
      </c>
      <c r="CH198" s="13">
        <f>IFERROR(BF198/BR198*(BU198-BASELINE_CPR),0)</f>
        <v/>
      </c>
      <c r="CI198" s="13">
        <f>IFERROR(BG198/BR198*(BU198-BASELINE_CPR),0)</f>
        <v/>
      </c>
      <c r="CJ198" s="13">
        <f>IFERROR(BH198/BR198*(BU198-BASELINE_CPR),0)</f>
        <v/>
      </c>
      <c r="CK198" s="13">
        <f>IFERROR(BI198/BR198*(BU198-BASELINE_CPR),0)</f>
        <v/>
      </c>
      <c r="CL198" s="13">
        <f>IFERROR(BJ198/BR198*(BU198-BASELINE_CPR),0)</f>
        <v/>
      </c>
      <c r="CM198" s="13">
        <f>IFERROR(BK198/BR198*(BU198-BASELINE_CPR),0)</f>
        <v/>
      </c>
      <c r="CN198" s="13">
        <f>IFERROR(BL198/BR198*(BU198-BASELINE_CPR),0)</f>
        <v/>
      </c>
      <c r="CO198" s="13">
        <f>IFERROR(BM198/BR198*(BU198-BASELINE_CPR),0)</f>
        <v/>
      </c>
      <c r="CP198" s="13">
        <f>IFERROR(BN198/BR198*(BU198-BASELINE_CPR),0)</f>
        <v/>
      </c>
      <c r="CQ198" s="13">
        <f>IFERROR(BO198/BR198*(BU198-BASELINE_CPR),0)</f>
        <v/>
      </c>
      <c r="CR198" s="13">
        <f>IFERROR(BP198/BR198*(BU198-BASELINE_CPR),0)</f>
        <v/>
      </c>
      <c r="CS198" s="13">
        <f>IFERROR(BQ198/BR198*(BU198-BASELINE_CPR),0)</f>
        <v/>
      </c>
      <c r="CT198" s="29">
        <f>BASELINE_CPR+SUM(BV198:CS198)-BU198</f>
        <v/>
      </c>
    </row>
    <row r="199">
      <c r="A199" s="2" t="inlineStr">
        <is>
          <t>3617XSMB3_000000003411253</t>
        </is>
      </c>
      <c r="B199" t="inlineStr">
        <is>
          <t>DWIGHT_PRE21</t>
        </is>
      </c>
      <c r="C199" s="2" t="inlineStr">
        <is>
          <t>3617XSMB3</t>
        </is>
      </c>
      <c r="D199" t="inlineStr">
        <is>
          <t>DWIGHT CAPITAL LLC</t>
        </is>
      </c>
      <c r="E199" t="inlineStr">
        <is>
          <t>223f</t>
        </is>
      </c>
      <c r="F199" t="inlineStr">
        <is>
          <t>RP</t>
        </is>
      </c>
      <c r="G199" t="n">
        <v>2020</v>
      </c>
      <c r="H199" t="inlineStr">
        <is>
          <t>202602</t>
        </is>
      </c>
      <c r="I199" s="22" t="n">
        <v>9700016.130000001</v>
      </c>
      <c r="J199" s="23" t="n">
        <v>3.44</v>
      </c>
      <c r="K199" s="24" t="n">
        <v>447</v>
      </c>
      <c r="L199" s="24" t="n">
        <v>10</v>
      </c>
      <c r="M199" t="n">
        <v>65</v>
      </c>
      <c r="N199" t="n">
        <v>2</v>
      </c>
      <c r="O199" t="n">
        <v>205510</v>
      </c>
      <c r="P199" t="n">
        <v>202203</v>
      </c>
      <c r="Q199" t="inlineStr">
        <is>
          <t>4398</t>
        </is>
      </c>
      <c r="R199" t="n">
        <v>0</v>
      </c>
      <c r="S199" t="n">
        <v>0</v>
      </c>
      <c r="T199" t="n">
        <v>0</v>
      </c>
      <c r="U199" t="n">
        <v>0</v>
      </c>
      <c r="V199" s="24">
        <f>J199*100-K199</f>
        <v/>
      </c>
      <c r="W199" s="24">
        <f>L199</f>
        <v/>
      </c>
      <c r="X199" s="25">
        <f>MIN(M199,36)</f>
        <v/>
      </c>
      <c r="Y199" s="25">
        <f>MIN(MAX(M199-36,0),84)</f>
        <v/>
      </c>
      <c r="Z199" s="25">
        <f>MAX(M199-120,0)</f>
        <v/>
      </c>
      <c r="AA199" s="25">
        <f>IF(OR(O199="",NOT(ISNUMBER(O199))),360,MAX(0,MIN(480,(INT(O199/100)-INT(VALUE(H199)/100))*12+MOD(O199,100)-MOD(VALUE(H199),100))))</f>
        <v/>
      </c>
      <c r="AB199">
        <f>IF(AND(AA199&gt;0,AA199&lt;=24),1,0)</f>
        <v/>
      </c>
      <c r="AC199" s="25">
        <f>IF(OR(P199="",NOT(ISNUMBER(P199))),0,MAX(0,MIN(24,(INT(VALUE(H199)/100)-INT(P199/100))*12+MOD(VALUE(H199),100)-MOD(P199,100))))</f>
        <v/>
      </c>
      <c r="AD199" s="23">
        <f>LN(1+I199)</f>
        <v/>
      </c>
      <c r="AE199">
        <f>IF(I199&lt;2000000,1,0)</f>
        <v/>
      </c>
      <c r="AF199">
        <f>IF(I199&gt;50000000,1,0)</f>
        <v/>
      </c>
      <c r="AG199" s="23">
        <f>IF(ISNUMBER(M199),N199/MAX(M199,1),0)</f>
        <v/>
      </c>
      <c r="AH199">
        <f>IF(G199&gt;=2021,1,0)</f>
        <v/>
      </c>
      <c r="AI199">
        <f>S199</f>
        <v/>
      </c>
      <c r="AJ199">
        <f>T199</f>
        <v/>
      </c>
      <c r="AK199">
        <f>R199</f>
        <v/>
      </c>
      <c r="AL199">
        <f>U199</f>
        <v/>
      </c>
      <c r="AM199">
        <f>IF(ISNUMBER(SEARCH("CAPITAL FUNDING",D199)),1,0)</f>
        <v/>
      </c>
      <c r="AN199">
        <f>IF(ISNUMBER(SEARCH("PNC",D199)),1,0)</f>
        <v/>
      </c>
      <c r="AO199">
        <f>IF(ISNUMBER(SEARCH("WELLS FARGO",D199)),1,0)</f>
        <v/>
      </c>
      <c r="AP199">
        <f>IF(ISNUMBER(SEARCH("DWIGHT",D199)),1,0)</f>
        <v/>
      </c>
      <c r="AQ199">
        <f>IF(ISNUMBER(SEARCH("GREYSTONE",D199)),1,0)</f>
        <v/>
      </c>
      <c r="AR199">
        <f>IF(OR(Q199="3896",Q199="3557"),1,0)</f>
        <v/>
      </c>
      <c r="AS199" s="24">
        <f>V199*W199</f>
        <v/>
      </c>
      <c r="AT199" s="26">
        <f>V$4*(V199-V$3)</f>
        <v/>
      </c>
      <c r="AU199" s="26">
        <f>W$4*(W199-W$3)</f>
        <v/>
      </c>
      <c r="AV199" s="26">
        <f>X$4*(X199-X$3)</f>
        <v/>
      </c>
      <c r="AW199" s="26">
        <f>Y$4*(Y199-Y$3)</f>
        <v/>
      </c>
      <c r="AX199" s="26">
        <f>Z$4*(Z199-Z$3)</f>
        <v/>
      </c>
      <c r="AY199" s="26">
        <f>AA$4*(AA199-AA$3)</f>
        <v/>
      </c>
      <c r="AZ199" s="26">
        <f>AB$4*(AB199-AB$3)</f>
        <v/>
      </c>
      <c r="BA199" s="26">
        <f>AC$4*(AC199-AC$3)</f>
        <v/>
      </c>
      <c r="BB199" s="26">
        <f>AD$4*(AD199-AD$3)</f>
        <v/>
      </c>
      <c r="BC199" s="26">
        <f>AE$4*(AE199-AE$3)</f>
        <v/>
      </c>
      <c r="BD199" s="26">
        <f>AF$4*(AF199-AF$3)</f>
        <v/>
      </c>
      <c r="BE199" s="26">
        <f>AG$4*(AG199-AG$3)</f>
        <v/>
      </c>
      <c r="BF199" s="26">
        <f>AH$4*(AH199-AH$3)</f>
        <v/>
      </c>
      <c r="BG199" s="26">
        <f>AI$4*(AI199-AI$3)</f>
        <v/>
      </c>
      <c r="BH199" s="26">
        <f>AJ$4*(AJ199-AJ$3)</f>
        <v/>
      </c>
      <c r="BI199" s="26">
        <f>AK$4*(AK199-AK$3)</f>
        <v/>
      </c>
      <c r="BJ199" s="26">
        <f>AL$4*(AL199-AL$3)</f>
        <v/>
      </c>
      <c r="BK199" s="26">
        <f>AM$4*(AM199-AM$3)</f>
        <v/>
      </c>
      <c r="BL199" s="26">
        <f>AN$4*(AN199-AN$3)</f>
        <v/>
      </c>
      <c r="BM199" s="26">
        <f>AO$4*(AO199-AO$3)</f>
        <v/>
      </c>
      <c r="BN199" s="26">
        <f>AP$4*(AP199-AP$3)</f>
        <v/>
      </c>
      <c r="BO199" s="26">
        <f>AQ$4*(AQ199-AQ$3)</f>
        <v/>
      </c>
      <c r="BP199" s="26">
        <f>AR$4*(AR199-AR$3)</f>
        <v/>
      </c>
      <c r="BQ199" s="26">
        <f>AS$4*(AS199-AS$3)</f>
        <v/>
      </c>
      <c r="BR199" s="27">
        <f>SUM(AT199:BQ199)</f>
        <v/>
      </c>
      <c r="BS199" s="27">
        <f>INTERCEPT_SCALED+BR199</f>
        <v/>
      </c>
      <c r="BT199" s="28">
        <f>1/(1+EXP(-BS199))</f>
        <v/>
      </c>
      <c r="BU199" s="13">
        <f>1-(1-BT199)^12</f>
        <v/>
      </c>
      <c r="BV199" s="13">
        <f>IFERROR(AT199/BR199*(BU199-BASELINE_CPR),0)</f>
        <v/>
      </c>
      <c r="BW199" s="13">
        <f>IFERROR(AU199/BR199*(BU199-BASELINE_CPR),0)</f>
        <v/>
      </c>
      <c r="BX199" s="13">
        <f>IFERROR(AV199/BR199*(BU199-BASELINE_CPR),0)</f>
        <v/>
      </c>
      <c r="BY199" s="13">
        <f>IFERROR(AW199/BR199*(BU199-BASELINE_CPR),0)</f>
        <v/>
      </c>
      <c r="BZ199" s="13">
        <f>IFERROR(AX199/BR199*(BU199-BASELINE_CPR),0)</f>
        <v/>
      </c>
      <c r="CA199" s="13">
        <f>IFERROR(AY199/BR199*(BU199-BASELINE_CPR),0)</f>
        <v/>
      </c>
      <c r="CB199" s="13">
        <f>IFERROR(AZ199/BR199*(BU199-BASELINE_CPR),0)</f>
        <v/>
      </c>
      <c r="CC199" s="13">
        <f>IFERROR(BA199/BR199*(BU199-BASELINE_CPR),0)</f>
        <v/>
      </c>
      <c r="CD199" s="13">
        <f>IFERROR(BB199/BR199*(BU199-BASELINE_CPR),0)</f>
        <v/>
      </c>
      <c r="CE199" s="13">
        <f>IFERROR(BC199/BR199*(BU199-BASELINE_CPR),0)</f>
        <v/>
      </c>
      <c r="CF199" s="13">
        <f>IFERROR(BD199/BR199*(BU199-BASELINE_CPR),0)</f>
        <v/>
      </c>
      <c r="CG199" s="13">
        <f>IFERROR(BE199/BR199*(BU199-BASELINE_CPR),0)</f>
        <v/>
      </c>
      <c r="CH199" s="13">
        <f>IFERROR(BF199/BR199*(BU199-BASELINE_CPR),0)</f>
        <v/>
      </c>
      <c r="CI199" s="13">
        <f>IFERROR(BG199/BR199*(BU199-BASELINE_CPR),0)</f>
        <v/>
      </c>
      <c r="CJ199" s="13">
        <f>IFERROR(BH199/BR199*(BU199-BASELINE_CPR),0)</f>
        <v/>
      </c>
      <c r="CK199" s="13">
        <f>IFERROR(BI199/BR199*(BU199-BASELINE_CPR),0)</f>
        <v/>
      </c>
      <c r="CL199" s="13">
        <f>IFERROR(BJ199/BR199*(BU199-BASELINE_CPR),0)</f>
        <v/>
      </c>
      <c r="CM199" s="13">
        <f>IFERROR(BK199/BR199*(BU199-BASELINE_CPR),0)</f>
        <v/>
      </c>
      <c r="CN199" s="13">
        <f>IFERROR(BL199/BR199*(BU199-BASELINE_CPR),0)</f>
        <v/>
      </c>
      <c r="CO199" s="13">
        <f>IFERROR(BM199/BR199*(BU199-BASELINE_CPR),0)</f>
        <v/>
      </c>
      <c r="CP199" s="13">
        <f>IFERROR(BN199/BR199*(BU199-BASELINE_CPR),0)</f>
        <v/>
      </c>
      <c r="CQ199" s="13">
        <f>IFERROR(BO199/BR199*(BU199-BASELINE_CPR),0)</f>
        <v/>
      </c>
      <c r="CR199" s="13">
        <f>IFERROR(BP199/BR199*(BU199-BASELINE_CPR),0)</f>
        <v/>
      </c>
      <c r="CS199" s="13">
        <f>IFERROR(BQ199/BR199*(BU199-BASELINE_CPR),0)</f>
        <v/>
      </c>
      <c r="CT199" s="29">
        <f>BASELINE_CPR+SUM(BV199:CS199)-BU199</f>
        <v/>
      </c>
    </row>
    <row r="200">
      <c r="A200" s="2" t="inlineStr">
        <is>
          <t>3618B0HC0_000000003111184</t>
        </is>
      </c>
      <c r="B200" t="inlineStr">
        <is>
          <t>DWIGHT_POST21</t>
        </is>
      </c>
      <c r="C200" s="2" t="inlineStr">
        <is>
          <t>3618B0HC0</t>
        </is>
      </c>
      <c r="D200" t="inlineStr">
        <is>
          <t>DWIGHT CAPITAL LLC</t>
        </is>
      </c>
      <c r="E200" t="inlineStr">
        <is>
          <t>223f</t>
        </is>
      </c>
      <c r="F200" t="inlineStr">
        <is>
          <t>RP</t>
        </is>
      </c>
      <c r="G200" t="n">
        <v>2023</v>
      </c>
      <c r="H200" t="inlineStr">
        <is>
          <t>202602</t>
        </is>
      </c>
      <c r="I200" s="22" t="n">
        <v>8650633.77</v>
      </c>
      <c r="J200" s="23" t="n">
        <v>5.73</v>
      </c>
      <c r="K200" s="24" t="n">
        <v>447</v>
      </c>
      <c r="L200" s="24" t="n">
        <v>9</v>
      </c>
      <c r="M200" t="n">
        <v>30</v>
      </c>
      <c r="N200" t="n">
        <v>13</v>
      </c>
      <c r="O200" t="n">
        <v>205809</v>
      </c>
      <c r="P200" t="inlineStr"/>
      <c r="Q200" t="inlineStr">
        <is>
          <t>4398</t>
        </is>
      </c>
      <c r="R200" t="n">
        <v>0</v>
      </c>
      <c r="S200" t="n">
        <v>0</v>
      </c>
      <c r="T200" t="n">
        <v>0</v>
      </c>
      <c r="U200" t="n">
        <v>0</v>
      </c>
      <c r="V200" s="24">
        <f>J200*100-K200</f>
        <v/>
      </c>
      <c r="W200" s="24">
        <f>L200</f>
        <v/>
      </c>
      <c r="X200" s="25">
        <f>MIN(M200,36)</f>
        <v/>
      </c>
      <c r="Y200" s="25">
        <f>MIN(MAX(M200-36,0),84)</f>
        <v/>
      </c>
      <c r="Z200" s="25">
        <f>MAX(M200-120,0)</f>
        <v/>
      </c>
      <c r="AA200" s="25">
        <f>IF(OR(O200="",NOT(ISNUMBER(O200))),360,MAX(0,MIN(480,(INT(O200/100)-INT(VALUE(H200)/100))*12+MOD(O200,100)-MOD(VALUE(H200),100))))</f>
        <v/>
      </c>
      <c r="AB200">
        <f>IF(AND(AA200&gt;0,AA200&lt;=24),1,0)</f>
        <v/>
      </c>
      <c r="AC200" s="25">
        <f>IF(OR(P200="",NOT(ISNUMBER(P200))),0,MAX(0,MIN(24,(INT(VALUE(H200)/100)-INT(P200/100))*12+MOD(VALUE(H200),100)-MOD(P200,100))))</f>
        <v/>
      </c>
      <c r="AD200" s="23">
        <f>LN(1+I200)</f>
        <v/>
      </c>
      <c r="AE200">
        <f>IF(I200&lt;2000000,1,0)</f>
        <v/>
      </c>
      <c r="AF200">
        <f>IF(I200&gt;50000000,1,0)</f>
        <v/>
      </c>
      <c r="AG200" s="23">
        <f>IF(ISNUMBER(M200),N200/MAX(M200,1),0)</f>
        <v/>
      </c>
      <c r="AH200">
        <f>IF(G200&gt;=2021,1,0)</f>
        <v/>
      </c>
      <c r="AI200">
        <f>S200</f>
        <v/>
      </c>
      <c r="AJ200">
        <f>T200</f>
        <v/>
      </c>
      <c r="AK200">
        <f>R200</f>
        <v/>
      </c>
      <c r="AL200">
        <f>U200</f>
        <v/>
      </c>
      <c r="AM200">
        <f>IF(ISNUMBER(SEARCH("CAPITAL FUNDING",D200)),1,0)</f>
        <v/>
      </c>
      <c r="AN200">
        <f>IF(ISNUMBER(SEARCH("PNC",D200)),1,0)</f>
        <v/>
      </c>
      <c r="AO200">
        <f>IF(ISNUMBER(SEARCH("WELLS FARGO",D200)),1,0)</f>
        <v/>
      </c>
      <c r="AP200">
        <f>IF(ISNUMBER(SEARCH("DWIGHT",D200)),1,0)</f>
        <v/>
      </c>
      <c r="AQ200">
        <f>IF(ISNUMBER(SEARCH("GREYSTONE",D200)),1,0)</f>
        <v/>
      </c>
      <c r="AR200">
        <f>IF(OR(Q200="3896",Q200="3557"),1,0)</f>
        <v/>
      </c>
      <c r="AS200" s="24">
        <f>V200*W200</f>
        <v/>
      </c>
      <c r="AT200" s="26">
        <f>V$4*(V200-V$3)</f>
        <v/>
      </c>
      <c r="AU200" s="26">
        <f>W$4*(W200-W$3)</f>
        <v/>
      </c>
      <c r="AV200" s="26">
        <f>X$4*(X200-X$3)</f>
        <v/>
      </c>
      <c r="AW200" s="26">
        <f>Y$4*(Y200-Y$3)</f>
        <v/>
      </c>
      <c r="AX200" s="26">
        <f>Z$4*(Z200-Z$3)</f>
        <v/>
      </c>
      <c r="AY200" s="26">
        <f>AA$4*(AA200-AA$3)</f>
        <v/>
      </c>
      <c r="AZ200" s="26">
        <f>AB$4*(AB200-AB$3)</f>
        <v/>
      </c>
      <c r="BA200" s="26">
        <f>AC$4*(AC200-AC$3)</f>
        <v/>
      </c>
      <c r="BB200" s="26">
        <f>AD$4*(AD200-AD$3)</f>
        <v/>
      </c>
      <c r="BC200" s="26">
        <f>AE$4*(AE200-AE$3)</f>
        <v/>
      </c>
      <c r="BD200" s="26">
        <f>AF$4*(AF200-AF$3)</f>
        <v/>
      </c>
      <c r="BE200" s="26">
        <f>AG$4*(AG200-AG$3)</f>
        <v/>
      </c>
      <c r="BF200" s="26">
        <f>AH$4*(AH200-AH$3)</f>
        <v/>
      </c>
      <c r="BG200" s="26">
        <f>AI$4*(AI200-AI$3)</f>
        <v/>
      </c>
      <c r="BH200" s="26">
        <f>AJ$4*(AJ200-AJ$3)</f>
        <v/>
      </c>
      <c r="BI200" s="26">
        <f>AK$4*(AK200-AK$3)</f>
        <v/>
      </c>
      <c r="BJ200" s="26">
        <f>AL$4*(AL200-AL$3)</f>
        <v/>
      </c>
      <c r="BK200" s="26">
        <f>AM$4*(AM200-AM$3)</f>
        <v/>
      </c>
      <c r="BL200" s="26">
        <f>AN$4*(AN200-AN$3)</f>
        <v/>
      </c>
      <c r="BM200" s="26">
        <f>AO$4*(AO200-AO$3)</f>
        <v/>
      </c>
      <c r="BN200" s="26">
        <f>AP$4*(AP200-AP$3)</f>
        <v/>
      </c>
      <c r="BO200" s="26">
        <f>AQ$4*(AQ200-AQ$3)</f>
        <v/>
      </c>
      <c r="BP200" s="26">
        <f>AR$4*(AR200-AR$3)</f>
        <v/>
      </c>
      <c r="BQ200" s="26">
        <f>AS$4*(AS200-AS$3)</f>
        <v/>
      </c>
      <c r="BR200" s="27">
        <f>SUM(AT200:BQ200)</f>
        <v/>
      </c>
      <c r="BS200" s="27">
        <f>INTERCEPT_SCALED+BR200</f>
        <v/>
      </c>
      <c r="BT200" s="28">
        <f>1/(1+EXP(-BS200))</f>
        <v/>
      </c>
      <c r="BU200" s="13">
        <f>1-(1-BT200)^12</f>
        <v/>
      </c>
      <c r="BV200" s="13">
        <f>IFERROR(AT200/BR200*(BU200-BASELINE_CPR),0)</f>
        <v/>
      </c>
      <c r="BW200" s="13">
        <f>IFERROR(AU200/BR200*(BU200-BASELINE_CPR),0)</f>
        <v/>
      </c>
      <c r="BX200" s="13">
        <f>IFERROR(AV200/BR200*(BU200-BASELINE_CPR),0)</f>
        <v/>
      </c>
      <c r="BY200" s="13">
        <f>IFERROR(AW200/BR200*(BU200-BASELINE_CPR),0)</f>
        <v/>
      </c>
      <c r="BZ200" s="13">
        <f>IFERROR(AX200/BR200*(BU200-BASELINE_CPR),0)</f>
        <v/>
      </c>
      <c r="CA200" s="13">
        <f>IFERROR(AY200/BR200*(BU200-BASELINE_CPR),0)</f>
        <v/>
      </c>
      <c r="CB200" s="13">
        <f>IFERROR(AZ200/BR200*(BU200-BASELINE_CPR),0)</f>
        <v/>
      </c>
      <c r="CC200" s="13">
        <f>IFERROR(BA200/BR200*(BU200-BASELINE_CPR),0)</f>
        <v/>
      </c>
      <c r="CD200" s="13">
        <f>IFERROR(BB200/BR200*(BU200-BASELINE_CPR),0)</f>
        <v/>
      </c>
      <c r="CE200" s="13">
        <f>IFERROR(BC200/BR200*(BU200-BASELINE_CPR),0)</f>
        <v/>
      </c>
      <c r="CF200" s="13">
        <f>IFERROR(BD200/BR200*(BU200-BASELINE_CPR),0)</f>
        <v/>
      </c>
      <c r="CG200" s="13">
        <f>IFERROR(BE200/BR200*(BU200-BASELINE_CPR),0)</f>
        <v/>
      </c>
      <c r="CH200" s="13">
        <f>IFERROR(BF200/BR200*(BU200-BASELINE_CPR),0)</f>
        <v/>
      </c>
      <c r="CI200" s="13">
        <f>IFERROR(BG200/BR200*(BU200-BASELINE_CPR),0)</f>
        <v/>
      </c>
      <c r="CJ200" s="13">
        <f>IFERROR(BH200/BR200*(BU200-BASELINE_CPR),0)</f>
        <v/>
      </c>
      <c r="CK200" s="13">
        <f>IFERROR(BI200/BR200*(BU200-BASELINE_CPR),0)</f>
        <v/>
      </c>
      <c r="CL200" s="13">
        <f>IFERROR(BJ200/BR200*(BU200-BASELINE_CPR),0)</f>
        <v/>
      </c>
      <c r="CM200" s="13">
        <f>IFERROR(BK200/BR200*(BU200-BASELINE_CPR),0)</f>
        <v/>
      </c>
      <c r="CN200" s="13">
        <f>IFERROR(BL200/BR200*(BU200-BASELINE_CPR),0)</f>
        <v/>
      </c>
      <c r="CO200" s="13">
        <f>IFERROR(BM200/BR200*(BU200-BASELINE_CPR),0)</f>
        <v/>
      </c>
      <c r="CP200" s="13">
        <f>IFERROR(BN200/BR200*(BU200-BASELINE_CPR),0)</f>
        <v/>
      </c>
      <c r="CQ200" s="13">
        <f>IFERROR(BO200/BR200*(BU200-BASELINE_CPR),0)</f>
        <v/>
      </c>
      <c r="CR200" s="13">
        <f>IFERROR(BP200/BR200*(BU200-BASELINE_CPR),0)</f>
        <v/>
      </c>
      <c r="CS200" s="13">
        <f>IFERROR(BQ200/BR200*(BU200-BASELINE_CPR),0)</f>
        <v/>
      </c>
      <c r="CT200" s="29">
        <f>BASELINE_CPR+SUM(BV200:CS200)-BU200</f>
        <v/>
      </c>
    </row>
    <row r="201">
      <c r="A201" s="2" t="inlineStr">
        <is>
          <t>3617UEVW1_000000008235469</t>
        </is>
      </c>
      <c r="B201" t="inlineStr">
        <is>
          <t>DWIGHT_PRE21</t>
        </is>
      </c>
      <c r="C201" s="2" t="inlineStr">
        <is>
          <t>3617UEVW1</t>
        </is>
      </c>
      <c r="D201" t="inlineStr">
        <is>
          <t>DWIGHT CAPITAL LLC</t>
        </is>
      </c>
      <c r="E201" t="inlineStr">
        <is>
          <t>221d4</t>
        </is>
      </c>
      <c r="F201" t="inlineStr">
        <is>
          <t>RP</t>
        </is>
      </c>
      <c r="G201" t="n">
        <v>2016</v>
      </c>
      <c r="H201" t="inlineStr">
        <is>
          <t>202602</t>
        </is>
      </c>
      <c r="I201" s="22" t="n">
        <v>5477997.66</v>
      </c>
      <c r="J201" s="23" t="n">
        <v>2.95</v>
      </c>
      <c r="K201" s="24" t="n">
        <v>447</v>
      </c>
      <c r="L201" s="24" t="n">
        <v>5</v>
      </c>
      <c r="M201" t="n">
        <v>116</v>
      </c>
      <c r="N201" t="n">
        <v>1</v>
      </c>
      <c r="O201" t="n">
        <v>205607</v>
      </c>
      <c r="P201" t="inlineStr"/>
      <c r="Q201" t="inlineStr">
        <is>
          <t>4398</t>
        </is>
      </c>
      <c r="R201" t="n">
        <v>0</v>
      </c>
      <c r="S201" t="n">
        <v>1</v>
      </c>
      <c r="T201" t="n">
        <v>0</v>
      </c>
      <c r="U201" t="n">
        <v>0</v>
      </c>
      <c r="V201" s="24">
        <f>J201*100-K201</f>
        <v/>
      </c>
      <c r="W201" s="24">
        <f>L201</f>
        <v/>
      </c>
      <c r="X201" s="25">
        <f>MIN(M201,36)</f>
        <v/>
      </c>
      <c r="Y201" s="25">
        <f>MIN(MAX(M201-36,0),84)</f>
        <v/>
      </c>
      <c r="Z201" s="25">
        <f>MAX(M201-120,0)</f>
        <v/>
      </c>
      <c r="AA201" s="25">
        <f>IF(OR(O201="",NOT(ISNUMBER(O201))),360,MAX(0,MIN(480,(INT(O201/100)-INT(VALUE(H201)/100))*12+MOD(O201,100)-MOD(VALUE(H201),100))))</f>
        <v/>
      </c>
      <c r="AB201">
        <f>IF(AND(AA201&gt;0,AA201&lt;=24),1,0)</f>
        <v/>
      </c>
      <c r="AC201" s="25">
        <f>IF(OR(P201="",NOT(ISNUMBER(P201))),0,MAX(0,MIN(24,(INT(VALUE(H201)/100)-INT(P201/100))*12+MOD(VALUE(H201),100)-MOD(P201,100))))</f>
        <v/>
      </c>
      <c r="AD201" s="23">
        <f>LN(1+I201)</f>
        <v/>
      </c>
      <c r="AE201">
        <f>IF(I201&lt;2000000,1,0)</f>
        <v/>
      </c>
      <c r="AF201">
        <f>IF(I201&gt;50000000,1,0)</f>
        <v/>
      </c>
      <c r="AG201" s="23">
        <f>IF(ISNUMBER(M201),N201/MAX(M201,1),0)</f>
        <v/>
      </c>
      <c r="AH201">
        <f>IF(G201&gt;=2021,1,0)</f>
        <v/>
      </c>
      <c r="AI201">
        <f>S201</f>
        <v/>
      </c>
      <c r="AJ201">
        <f>T201</f>
        <v/>
      </c>
      <c r="AK201">
        <f>R201</f>
        <v/>
      </c>
      <c r="AL201">
        <f>U201</f>
        <v/>
      </c>
      <c r="AM201">
        <f>IF(ISNUMBER(SEARCH("CAPITAL FUNDING",D201)),1,0)</f>
        <v/>
      </c>
      <c r="AN201">
        <f>IF(ISNUMBER(SEARCH("PNC",D201)),1,0)</f>
        <v/>
      </c>
      <c r="AO201">
        <f>IF(ISNUMBER(SEARCH("WELLS FARGO",D201)),1,0)</f>
        <v/>
      </c>
      <c r="AP201">
        <f>IF(ISNUMBER(SEARCH("DWIGHT",D201)),1,0)</f>
        <v/>
      </c>
      <c r="AQ201">
        <f>IF(ISNUMBER(SEARCH("GREYSTONE",D201)),1,0)</f>
        <v/>
      </c>
      <c r="AR201">
        <f>IF(OR(Q201="3896",Q201="3557"),1,0)</f>
        <v/>
      </c>
      <c r="AS201" s="24">
        <f>V201*W201</f>
        <v/>
      </c>
      <c r="AT201" s="26">
        <f>V$4*(V201-V$3)</f>
        <v/>
      </c>
      <c r="AU201" s="26">
        <f>W$4*(W201-W$3)</f>
        <v/>
      </c>
      <c r="AV201" s="26">
        <f>X$4*(X201-X$3)</f>
        <v/>
      </c>
      <c r="AW201" s="26">
        <f>Y$4*(Y201-Y$3)</f>
        <v/>
      </c>
      <c r="AX201" s="26">
        <f>Z$4*(Z201-Z$3)</f>
        <v/>
      </c>
      <c r="AY201" s="26">
        <f>AA$4*(AA201-AA$3)</f>
        <v/>
      </c>
      <c r="AZ201" s="26">
        <f>AB$4*(AB201-AB$3)</f>
        <v/>
      </c>
      <c r="BA201" s="26">
        <f>AC$4*(AC201-AC$3)</f>
        <v/>
      </c>
      <c r="BB201" s="26">
        <f>AD$4*(AD201-AD$3)</f>
        <v/>
      </c>
      <c r="BC201" s="26">
        <f>AE$4*(AE201-AE$3)</f>
        <v/>
      </c>
      <c r="BD201" s="26">
        <f>AF$4*(AF201-AF$3)</f>
        <v/>
      </c>
      <c r="BE201" s="26">
        <f>AG$4*(AG201-AG$3)</f>
        <v/>
      </c>
      <c r="BF201" s="26">
        <f>AH$4*(AH201-AH$3)</f>
        <v/>
      </c>
      <c r="BG201" s="26">
        <f>AI$4*(AI201-AI$3)</f>
        <v/>
      </c>
      <c r="BH201" s="26">
        <f>AJ$4*(AJ201-AJ$3)</f>
        <v/>
      </c>
      <c r="BI201" s="26">
        <f>AK$4*(AK201-AK$3)</f>
        <v/>
      </c>
      <c r="BJ201" s="26">
        <f>AL$4*(AL201-AL$3)</f>
        <v/>
      </c>
      <c r="BK201" s="26">
        <f>AM$4*(AM201-AM$3)</f>
        <v/>
      </c>
      <c r="BL201" s="26">
        <f>AN$4*(AN201-AN$3)</f>
        <v/>
      </c>
      <c r="BM201" s="26">
        <f>AO$4*(AO201-AO$3)</f>
        <v/>
      </c>
      <c r="BN201" s="26">
        <f>AP$4*(AP201-AP$3)</f>
        <v/>
      </c>
      <c r="BO201" s="26">
        <f>AQ$4*(AQ201-AQ$3)</f>
        <v/>
      </c>
      <c r="BP201" s="26">
        <f>AR$4*(AR201-AR$3)</f>
        <v/>
      </c>
      <c r="BQ201" s="26">
        <f>AS$4*(AS201-AS$3)</f>
        <v/>
      </c>
      <c r="BR201" s="27">
        <f>SUM(AT201:BQ201)</f>
        <v/>
      </c>
      <c r="BS201" s="27">
        <f>INTERCEPT_SCALED+BR201</f>
        <v/>
      </c>
      <c r="BT201" s="28">
        <f>1/(1+EXP(-BS201))</f>
        <v/>
      </c>
      <c r="BU201" s="13">
        <f>1-(1-BT201)^12</f>
        <v/>
      </c>
      <c r="BV201" s="13">
        <f>IFERROR(AT201/BR201*(BU201-BASELINE_CPR),0)</f>
        <v/>
      </c>
      <c r="BW201" s="13">
        <f>IFERROR(AU201/BR201*(BU201-BASELINE_CPR),0)</f>
        <v/>
      </c>
      <c r="BX201" s="13">
        <f>IFERROR(AV201/BR201*(BU201-BASELINE_CPR),0)</f>
        <v/>
      </c>
      <c r="BY201" s="13">
        <f>IFERROR(AW201/BR201*(BU201-BASELINE_CPR),0)</f>
        <v/>
      </c>
      <c r="BZ201" s="13">
        <f>IFERROR(AX201/BR201*(BU201-BASELINE_CPR),0)</f>
        <v/>
      </c>
      <c r="CA201" s="13">
        <f>IFERROR(AY201/BR201*(BU201-BASELINE_CPR),0)</f>
        <v/>
      </c>
      <c r="CB201" s="13">
        <f>IFERROR(AZ201/BR201*(BU201-BASELINE_CPR),0)</f>
        <v/>
      </c>
      <c r="CC201" s="13">
        <f>IFERROR(BA201/BR201*(BU201-BASELINE_CPR),0)</f>
        <v/>
      </c>
      <c r="CD201" s="13">
        <f>IFERROR(BB201/BR201*(BU201-BASELINE_CPR),0)</f>
        <v/>
      </c>
      <c r="CE201" s="13">
        <f>IFERROR(BC201/BR201*(BU201-BASELINE_CPR),0)</f>
        <v/>
      </c>
      <c r="CF201" s="13">
        <f>IFERROR(BD201/BR201*(BU201-BASELINE_CPR),0)</f>
        <v/>
      </c>
      <c r="CG201" s="13">
        <f>IFERROR(BE201/BR201*(BU201-BASELINE_CPR),0)</f>
        <v/>
      </c>
      <c r="CH201" s="13">
        <f>IFERROR(BF201/BR201*(BU201-BASELINE_CPR),0)</f>
        <v/>
      </c>
      <c r="CI201" s="13">
        <f>IFERROR(BG201/BR201*(BU201-BASELINE_CPR),0)</f>
        <v/>
      </c>
      <c r="CJ201" s="13">
        <f>IFERROR(BH201/BR201*(BU201-BASELINE_CPR),0)</f>
        <v/>
      </c>
      <c r="CK201" s="13">
        <f>IFERROR(BI201/BR201*(BU201-BASELINE_CPR),0)</f>
        <v/>
      </c>
      <c r="CL201" s="13">
        <f>IFERROR(BJ201/BR201*(BU201-BASELINE_CPR),0)</f>
        <v/>
      </c>
      <c r="CM201" s="13">
        <f>IFERROR(BK201/BR201*(BU201-BASELINE_CPR),0)</f>
        <v/>
      </c>
      <c r="CN201" s="13">
        <f>IFERROR(BL201/BR201*(BU201-BASELINE_CPR),0)</f>
        <v/>
      </c>
      <c r="CO201" s="13">
        <f>IFERROR(BM201/BR201*(BU201-BASELINE_CPR),0)</f>
        <v/>
      </c>
      <c r="CP201" s="13">
        <f>IFERROR(BN201/BR201*(BU201-BASELINE_CPR),0)</f>
        <v/>
      </c>
      <c r="CQ201" s="13">
        <f>IFERROR(BO201/BR201*(BU201-BASELINE_CPR),0)</f>
        <v/>
      </c>
      <c r="CR201" s="13">
        <f>IFERROR(BP201/BR201*(BU201-BASELINE_CPR),0)</f>
        <v/>
      </c>
      <c r="CS201" s="13">
        <f>IFERROR(BQ201/BR201*(BU201-BASELINE_CPR),0)</f>
        <v/>
      </c>
      <c r="CT201" s="29">
        <f>BASELINE_CPR+SUM(BV201:CS201)-BU201</f>
        <v/>
      </c>
    </row>
    <row r="202">
      <c r="A202" s="2" t="inlineStr">
        <is>
          <t>3617UEVT8_000000008311211</t>
        </is>
      </c>
      <c r="B202" t="inlineStr">
        <is>
          <t>DWIGHT_PRE21</t>
        </is>
      </c>
      <c r="C202" s="2" t="inlineStr">
        <is>
          <t>3617UEVT8</t>
        </is>
      </c>
      <c r="D202" t="inlineStr">
        <is>
          <t>DWIGHT CAPITAL LLC</t>
        </is>
      </c>
      <c r="E202" t="inlineStr">
        <is>
          <t>223f</t>
        </is>
      </c>
      <c r="F202" t="inlineStr">
        <is>
          <t>RP</t>
        </is>
      </c>
      <c r="G202" t="n">
        <v>2020</v>
      </c>
      <c r="H202" t="inlineStr">
        <is>
          <t>202602</t>
        </is>
      </c>
      <c r="I202" s="22" t="n">
        <v>968359.23</v>
      </c>
      <c r="J202" s="23" t="n">
        <v>2.39</v>
      </c>
      <c r="K202" s="24" t="n">
        <v>447</v>
      </c>
      <c r="L202" s="24" t="n">
        <v>5</v>
      </c>
      <c r="M202" t="n">
        <v>62</v>
      </c>
      <c r="N202" t="n">
        <v>0</v>
      </c>
      <c r="O202" t="n">
        <v>205601</v>
      </c>
      <c r="P202" t="inlineStr"/>
      <c r="Q202" t="inlineStr">
        <is>
          <t>4398</t>
        </is>
      </c>
      <c r="R202" t="n">
        <v>0</v>
      </c>
      <c r="S202" t="n">
        <v>0</v>
      </c>
      <c r="T202" t="n">
        <v>0</v>
      </c>
      <c r="U202" t="n">
        <v>0</v>
      </c>
      <c r="V202" s="24">
        <f>J202*100-K202</f>
        <v/>
      </c>
      <c r="W202" s="24">
        <f>L202</f>
        <v/>
      </c>
      <c r="X202" s="25">
        <f>MIN(M202,36)</f>
        <v/>
      </c>
      <c r="Y202" s="25">
        <f>MIN(MAX(M202-36,0),84)</f>
        <v/>
      </c>
      <c r="Z202" s="25">
        <f>MAX(M202-120,0)</f>
        <v/>
      </c>
      <c r="AA202" s="25">
        <f>IF(OR(O202="",NOT(ISNUMBER(O202))),360,MAX(0,MIN(480,(INT(O202/100)-INT(VALUE(H202)/100))*12+MOD(O202,100)-MOD(VALUE(H202),100))))</f>
        <v/>
      </c>
      <c r="AB202">
        <f>IF(AND(AA202&gt;0,AA202&lt;=24),1,0)</f>
        <v/>
      </c>
      <c r="AC202" s="25">
        <f>IF(OR(P202="",NOT(ISNUMBER(P202))),0,MAX(0,MIN(24,(INT(VALUE(H202)/100)-INT(P202/100))*12+MOD(VALUE(H202),100)-MOD(P202,100))))</f>
        <v/>
      </c>
      <c r="AD202" s="23">
        <f>LN(1+I202)</f>
        <v/>
      </c>
      <c r="AE202">
        <f>IF(I202&lt;2000000,1,0)</f>
        <v/>
      </c>
      <c r="AF202">
        <f>IF(I202&gt;50000000,1,0)</f>
        <v/>
      </c>
      <c r="AG202" s="23">
        <f>IF(ISNUMBER(M202),N202/MAX(M202,1),0)</f>
        <v/>
      </c>
      <c r="AH202">
        <f>IF(G202&gt;=2021,1,0)</f>
        <v/>
      </c>
      <c r="AI202">
        <f>S202</f>
        <v/>
      </c>
      <c r="AJ202">
        <f>T202</f>
        <v/>
      </c>
      <c r="AK202">
        <f>R202</f>
        <v/>
      </c>
      <c r="AL202">
        <f>U202</f>
        <v/>
      </c>
      <c r="AM202">
        <f>IF(ISNUMBER(SEARCH("CAPITAL FUNDING",D202)),1,0)</f>
        <v/>
      </c>
      <c r="AN202">
        <f>IF(ISNUMBER(SEARCH("PNC",D202)),1,0)</f>
        <v/>
      </c>
      <c r="AO202">
        <f>IF(ISNUMBER(SEARCH("WELLS FARGO",D202)),1,0)</f>
        <v/>
      </c>
      <c r="AP202">
        <f>IF(ISNUMBER(SEARCH("DWIGHT",D202)),1,0)</f>
        <v/>
      </c>
      <c r="AQ202">
        <f>IF(ISNUMBER(SEARCH("GREYSTONE",D202)),1,0)</f>
        <v/>
      </c>
      <c r="AR202">
        <f>IF(OR(Q202="3896",Q202="3557"),1,0)</f>
        <v/>
      </c>
      <c r="AS202" s="24">
        <f>V202*W202</f>
        <v/>
      </c>
      <c r="AT202" s="26">
        <f>V$4*(V202-V$3)</f>
        <v/>
      </c>
      <c r="AU202" s="26">
        <f>W$4*(W202-W$3)</f>
        <v/>
      </c>
      <c r="AV202" s="26">
        <f>X$4*(X202-X$3)</f>
        <v/>
      </c>
      <c r="AW202" s="26">
        <f>Y$4*(Y202-Y$3)</f>
        <v/>
      </c>
      <c r="AX202" s="26">
        <f>Z$4*(Z202-Z$3)</f>
        <v/>
      </c>
      <c r="AY202" s="26">
        <f>AA$4*(AA202-AA$3)</f>
        <v/>
      </c>
      <c r="AZ202" s="26">
        <f>AB$4*(AB202-AB$3)</f>
        <v/>
      </c>
      <c r="BA202" s="26">
        <f>AC$4*(AC202-AC$3)</f>
        <v/>
      </c>
      <c r="BB202" s="26">
        <f>AD$4*(AD202-AD$3)</f>
        <v/>
      </c>
      <c r="BC202" s="26">
        <f>AE$4*(AE202-AE$3)</f>
        <v/>
      </c>
      <c r="BD202" s="26">
        <f>AF$4*(AF202-AF$3)</f>
        <v/>
      </c>
      <c r="BE202" s="26">
        <f>AG$4*(AG202-AG$3)</f>
        <v/>
      </c>
      <c r="BF202" s="26">
        <f>AH$4*(AH202-AH$3)</f>
        <v/>
      </c>
      <c r="BG202" s="26">
        <f>AI$4*(AI202-AI$3)</f>
        <v/>
      </c>
      <c r="BH202" s="26">
        <f>AJ$4*(AJ202-AJ$3)</f>
        <v/>
      </c>
      <c r="BI202" s="26">
        <f>AK$4*(AK202-AK$3)</f>
        <v/>
      </c>
      <c r="BJ202" s="26">
        <f>AL$4*(AL202-AL$3)</f>
        <v/>
      </c>
      <c r="BK202" s="26">
        <f>AM$4*(AM202-AM$3)</f>
        <v/>
      </c>
      <c r="BL202" s="26">
        <f>AN$4*(AN202-AN$3)</f>
        <v/>
      </c>
      <c r="BM202" s="26">
        <f>AO$4*(AO202-AO$3)</f>
        <v/>
      </c>
      <c r="BN202" s="26">
        <f>AP$4*(AP202-AP$3)</f>
        <v/>
      </c>
      <c r="BO202" s="26">
        <f>AQ$4*(AQ202-AQ$3)</f>
        <v/>
      </c>
      <c r="BP202" s="26">
        <f>AR$4*(AR202-AR$3)</f>
        <v/>
      </c>
      <c r="BQ202" s="26">
        <f>AS$4*(AS202-AS$3)</f>
        <v/>
      </c>
      <c r="BR202" s="27">
        <f>SUM(AT202:BQ202)</f>
        <v/>
      </c>
      <c r="BS202" s="27">
        <f>INTERCEPT_SCALED+BR202</f>
        <v/>
      </c>
      <c r="BT202" s="28">
        <f>1/(1+EXP(-BS202))</f>
        <v/>
      </c>
      <c r="BU202" s="13">
        <f>1-(1-BT202)^12</f>
        <v/>
      </c>
      <c r="BV202" s="13">
        <f>IFERROR(AT202/BR202*(BU202-BASELINE_CPR),0)</f>
        <v/>
      </c>
      <c r="BW202" s="13">
        <f>IFERROR(AU202/BR202*(BU202-BASELINE_CPR),0)</f>
        <v/>
      </c>
      <c r="BX202" s="13">
        <f>IFERROR(AV202/BR202*(BU202-BASELINE_CPR),0)</f>
        <v/>
      </c>
      <c r="BY202" s="13">
        <f>IFERROR(AW202/BR202*(BU202-BASELINE_CPR),0)</f>
        <v/>
      </c>
      <c r="BZ202" s="13">
        <f>IFERROR(AX202/BR202*(BU202-BASELINE_CPR),0)</f>
        <v/>
      </c>
      <c r="CA202" s="13">
        <f>IFERROR(AY202/BR202*(BU202-BASELINE_CPR),0)</f>
        <v/>
      </c>
      <c r="CB202" s="13">
        <f>IFERROR(AZ202/BR202*(BU202-BASELINE_CPR),0)</f>
        <v/>
      </c>
      <c r="CC202" s="13">
        <f>IFERROR(BA202/BR202*(BU202-BASELINE_CPR),0)</f>
        <v/>
      </c>
      <c r="CD202" s="13">
        <f>IFERROR(BB202/BR202*(BU202-BASELINE_CPR),0)</f>
        <v/>
      </c>
      <c r="CE202" s="13">
        <f>IFERROR(BC202/BR202*(BU202-BASELINE_CPR),0)</f>
        <v/>
      </c>
      <c r="CF202" s="13">
        <f>IFERROR(BD202/BR202*(BU202-BASELINE_CPR),0)</f>
        <v/>
      </c>
      <c r="CG202" s="13">
        <f>IFERROR(BE202/BR202*(BU202-BASELINE_CPR),0)</f>
        <v/>
      </c>
      <c r="CH202" s="13">
        <f>IFERROR(BF202/BR202*(BU202-BASELINE_CPR),0)</f>
        <v/>
      </c>
      <c r="CI202" s="13">
        <f>IFERROR(BG202/BR202*(BU202-BASELINE_CPR),0)</f>
        <v/>
      </c>
      <c r="CJ202" s="13">
        <f>IFERROR(BH202/BR202*(BU202-BASELINE_CPR),0)</f>
        <v/>
      </c>
      <c r="CK202" s="13">
        <f>IFERROR(BI202/BR202*(BU202-BASELINE_CPR),0)</f>
        <v/>
      </c>
      <c r="CL202" s="13">
        <f>IFERROR(BJ202/BR202*(BU202-BASELINE_CPR),0)</f>
        <v/>
      </c>
      <c r="CM202" s="13">
        <f>IFERROR(BK202/BR202*(BU202-BASELINE_CPR),0)</f>
        <v/>
      </c>
      <c r="CN202" s="13">
        <f>IFERROR(BL202/BR202*(BU202-BASELINE_CPR),0)</f>
        <v/>
      </c>
      <c r="CO202" s="13">
        <f>IFERROR(BM202/BR202*(BU202-BASELINE_CPR),0)</f>
        <v/>
      </c>
      <c r="CP202" s="13">
        <f>IFERROR(BN202/BR202*(BU202-BASELINE_CPR),0)</f>
        <v/>
      </c>
      <c r="CQ202" s="13">
        <f>IFERROR(BO202/BR202*(BU202-BASELINE_CPR),0)</f>
        <v/>
      </c>
      <c r="CR202" s="13">
        <f>IFERROR(BP202/BR202*(BU202-BASELINE_CPR),0)</f>
        <v/>
      </c>
      <c r="CS202" s="13">
        <f>IFERROR(BQ202/BR202*(BU202-BASELINE_CPR),0)</f>
        <v/>
      </c>
      <c r="CT202" s="29">
        <f>BASELINE_CPR+SUM(BV202:CS202)-BU202</f>
        <v/>
      </c>
    </row>
    <row r="203">
      <c r="A203" s="2" t="inlineStr">
        <is>
          <t>3618B0H48_000000007522256</t>
        </is>
      </c>
      <c r="B203" t="inlineStr">
        <is>
          <t>DWIGHT_POST21</t>
        </is>
      </c>
      <c r="C203" s="2" t="inlineStr">
        <is>
          <t>3618B0H48</t>
        </is>
      </c>
      <c r="D203" t="inlineStr">
        <is>
          <t>DWIGHT CAPITAL LLC</t>
        </is>
      </c>
      <c r="E203" t="inlineStr">
        <is>
          <t>232</t>
        </is>
      </c>
      <c r="F203" t="inlineStr">
        <is>
          <t>RP</t>
        </is>
      </c>
      <c r="G203" t="n">
        <v>2023</v>
      </c>
      <c r="H203" t="inlineStr">
        <is>
          <t>202602</t>
        </is>
      </c>
      <c r="I203" s="22" t="n">
        <v>9048849.869999999</v>
      </c>
      <c r="J203" s="23" t="n">
        <v>5.81</v>
      </c>
      <c r="K203" s="24" t="n">
        <v>447</v>
      </c>
      <c r="L203" s="24" t="n">
        <v>9</v>
      </c>
      <c r="M203" t="n">
        <v>31</v>
      </c>
      <c r="N203" t="n">
        <v>12</v>
      </c>
      <c r="O203" t="n">
        <v>205308</v>
      </c>
      <c r="P203" t="inlineStr"/>
      <c r="Q203" t="inlineStr">
        <is>
          <t>4398</t>
        </is>
      </c>
      <c r="R203" t="n">
        <v>1</v>
      </c>
      <c r="S203" t="n">
        <v>0</v>
      </c>
      <c r="T203" t="n">
        <v>0</v>
      </c>
      <c r="U203" t="n">
        <v>0</v>
      </c>
      <c r="V203" s="24">
        <f>J203*100-K203</f>
        <v/>
      </c>
      <c r="W203" s="24">
        <f>L203</f>
        <v/>
      </c>
      <c r="X203" s="25">
        <f>MIN(M203,36)</f>
        <v/>
      </c>
      <c r="Y203" s="25">
        <f>MIN(MAX(M203-36,0),84)</f>
        <v/>
      </c>
      <c r="Z203" s="25">
        <f>MAX(M203-120,0)</f>
        <v/>
      </c>
      <c r="AA203" s="25">
        <f>IF(OR(O203="",NOT(ISNUMBER(O203))),360,MAX(0,MIN(480,(INT(O203/100)-INT(VALUE(H203)/100))*12+MOD(O203,100)-MOD(VALUE(H203),100))))</f>
        <v/>
      </c>
      <c r="AB203">
        <f>IF(AND(AA203&gt;0,AA203&lt;=24),1,0)</f>
        <v/>
      </c>
      <c r="AC203" s="25">
        <f>IF(OR(P203="",NOT(ISNUMBER(P203))),0,MAX(0,MIN(24,(INT(VALUE(H203)/100)-INT(P203/100))*12+MOD(VALUE(H203),100)-MOD(P203,100))))</f>
        <v/>
      </c>
      <c r="AD203" s="23">
        <f>LN(1+I203)</f>
        <v/>
      </c>
      <c r="AE203">
        <f>IF(I203&lt;2000000,1,0)</f>
        <v/>
      </c>
      <c r="AF203">
        <f>IF(I203&gt;50000000,1,0)</f>
        <v/>
      </c>
      <c r="AG203" s="23">
        <f>IF(ISNUMBER(M203),N203/MAX(M203,1),0)</f>
        <v/>
      </c>
      <c r="AH203">
        <f>IF(G203&gt;=2021,1,0)</f>
        <v/>
      </c>
      <c r="AI203">
        <f>S203</f>
        <v/>
      </c>
      <c r="AJ203">
        <f>T203</f>
        <v/>
      </c>
      <c r="AK203">
        <f>R203</f>
        <v/>
      </c>
      <c r="AL203">
        <f>U203</f>
        <v/>
      </c>
      <c r="AM203">
        <f>IF(ISNUMBER(SEARCH("CAPITAL FUNDING",D203)),1,0)</f>
        <v/>
      </c>
      <c r="AN203">
        <f>IF(ISNUMBER(SEARCH("PNC",D203)),1,0)</f>
        <v/>
      </c>
      <c r="AO203">
        <f>IF(ISNUMBER(SEARCH("WELLS FARGO",D203)),1,0)</f>
        <v/>
      </c>
      <c r="AP203">
        <f>IF(ISNUMBER(SEARCH("DWIGHT",D203)),1,0)</f>
        <v/>
      </c>
      <c r="AQ203">
        <f>IF(ISNUMBER(SEARCH("GREYSTONE",D203)),1,0)</f>
        <v/>
      </c>
      <c r="AR203">
        <f>IF(OR(Q203="3896",Q203="3557"),1,0)</f>
        <v/>
      </c>
      <c r="AS203" s="24">
        <f>V203*W203</f>
        <v/>
      </c>
      <c r="AT203" s="26">
        <f>V$4*(V203-V$3)</f>
        <v/>
      </c>
      <c r="AU203" s="26">
        <f>W$4*(W203-W$3)</f>
        <v/>
      </c>
      <c r="AV203" s="26">
        <f>X$4*(X203-X$3)</f>
        <v/>
      </c>
      <c r="AW203" s="26">
        <f>Y$4*(Y203-Y$3)</f>
        <v/>
      </c>
      <c r="AX203" s="26">
        <f>Z$4*(Z203-Z$3)</f>
        <v/>
      </c>
      <c r="AY203" s="26">
        <f>AA$4*(AA203-AA$3)</f>
        <v/>
      </c>
      <c r="AZ203" s="26">
        <f>AB$4*(AB203-AB$3)</f>
        <v/>
      </c>
      <c r="BA203" s="26">
        <f>AC$4*(AC203-AC$3)</f>
        <v/>
      </c>
      <c r="BB203" s="26">
        <f>AD$4*(AD203-AD$3)</f>
        <v/>
      </c>
      <c r="BC203" s="26">
        <f>AE$4*(AE203-AE$3)</f>
        <v/>
      </c>
      <c r="BD203" s="26">
        <f>AF$4*(AF203-AF$3)</f>
        <v/>
      </c>
      <c r="BE203" s="26">
        <f>AG$4*(AG203-AG$3)</f>
        <v/>
      </c>
      <c r="BF203" s="26">
        <f>AH$4*(AH203-AH$3)</f>
        <v/>
      </c>
      <c r="BG203" s="26">
        <f>AI$4*(AI203-AI$3)</f>
        <v/>
      </c>
      <c r="BH203" s="26">
        <f>AJ$4*(AJ203-AJ$3)</f>
        <v/>
      </c>
      <c r="BI203" s="26">
        <f>AK$4*(AK203-AK$3)</f>
        <v/>
      </c>
      <c r="BJ203" s="26">
        <f>AL$4*(AL203-AL$3)</f>
        <v/>
      </c>
      <c r="BK203" s="26">
        <f>AM$4*(AM203-AM$3)</f>
        <v/>
      </c>
      <c r="BL203" s="26">
        <f>AN$4*(AN203-AN$3)</f>
        <v/>
      </c>
      <c r="BM203" s="26">
        <f>AO$4*(AO203-AO$3)</f>
        <v/>
      </c>
      <c r="BN203" s="26">
        <f>AP$4*(AP203-AP$3)</f>
        <v/>
      </c>
      <c r="BO203" s="26">
        <f>AQ$4*(AQ203-AQ$3)</f>
        <v/>
      </c>
      <c r="BP203" s="26">
        <f>AR$4*(AR203-AR$3)</f>
        <v/>
      </c>
      <c r="BQ203" s="26">
        <f>AS$4*(AS203-AS$3)</f>
        <v/>
      </c>
      <c r="BR203" s="27">
        <f>SUM(AT203:BQ203)</f>
        <v/>
      </c>
      <c r="BS203" s="27">
        <f>INTERCEPT_SCALED+BR203</f>
        <v/>
      </c>
      <c r="BT203" s="28">
        <f>1/(1+EXP(-BS203))</f>
        <v/>
      </c>
      <c r="BU203" s="13">
        <f>1-(1-BT203)^12</f>
        <v/>
      </c>
      <c r="BV203" s="13">
        <f>IFERROR(AT203/BR203*(BU203-BASELINE_CPR),0)</f>
        <v/>
      </c>
      <c r="BW203" s="13">
        <f>IFERROR(AU203/BR203*(BU203-BASELINE_CPR),0)</f>
        <v/>
      </c>
      <c r="BX203" s="13">
        <f>IFERROR(AV203/BR203*(BU203-BASELINE_CPR),0)</f>
        <v/>
      </c>
      <c r="BY203" s="13">
        <f>IFERROR(AW203/BR203*(BU203-BASELINE_CPR),0)</f>
        <v/>
      </c>
      <c r="BZ203" s="13">
        <f>IFERROR(AX203/BR203*(BU203-BASELINE_CPR),0)</f>
        <v/>
      </c>
      <c r="CA203" s="13">
        <f>IFERROR(AY203/BR203*(BU203-BASELINE_CPR),0)</f>
        <v/>
      </c>
      <c r="CB203" s="13">
        <f>IFERROR(AZ203/BR203*(BU203-BASELINE_CPR),0)</f>
        <v/>
      </c>
      <c r="CC203" s="13">
        <f>IFERROR(BA203/BR203*(BU203-BASELINE_CPR),0)</f>
        <v/>
      </c>
      <c r="CD203" s="13">
        <f>IFERROR(BB203/BR203*(BU203-BASELINE_CPR),0)</f>
        <v/>
      </c>
      <c r="CE203" s="13">
        <f>IFERROR(BC203/BR203*(BU203-BASELINE_CPR),0)</f>
        <v/>
      </c>
      <c r="CF203" s="13">
        <f>IFERROR(BD203/BR203*(BU203-BASELINE_CPR),0)</f>
        <v/>
      </c>
      <c r="CG203" s="13">
        <f>IFERROR(BE203/BR203*(BU203-BASELINE_CPR),0)</f>
        <v/>
      </c>
      <c r="CH203" s="13">
        <f>IFERROR(BF203/BR203*(BU203-BASELINE_CPR),0)</f>
        <v/>
      </c>
      <c r="CI203" s="13">
        <f>IFERROR(BG203/BR203*(BU203-BASELINE_CPR),0)</f>
        <v/>
      </c>
      <c r="CJ203" s="13">
        <f>IFERROR(BH203/BR203*(BU203-BASELINE_CPR),0)</f>
        <v/>
      </c>
      <c r="CK203" s="13">
        <f>IFERROR(BI203/BR203*(BU203-BASELINE_CPR),0)</f>
        <v/>
      </c>
      <c r="CL203" s="13">
        <f>IFERROR(BJ203/BR203*(BU203-BASELINE_CPR),0)</f>
        <v/>
      </c>
      <c r="CM203" s="13">
        <f>IFERROR(BK203/BR203*(BU203-BASELINE_CPR),0)</f>
        <v/>
      </c>
      <c r="CN203" s="13">
        <f>IFERROR(BL203/BR203*(BU203-BASELINE_CPR),0)</f>
        <v/>
      </c>
      <c r="CO203" s="13">
        <f>IFERROR(BM203/BR203*(BU203-BASELINE_CPR),0)</f>
        <v/>
      </c>
      <c r="CP203" s="13">
        <f>IFERROR(BN203/BR203*(BU203-BASELINE_CPR),0)</f>
        <v/>
      </c>
      <c r="CQ203" s="13">
        <f>IFERROR(BO203/BR203*(BU203-BASELINE_CPR),0)</f>
        <v/>
      </c>
      <c r="CR203" s="13">
        <f>IFERROR(BP203/BR203*(BU203-BASELINE_CPR),0)</f>
        <v/>
      </c>
      <c r="CS203" s="13">
        <f>IFERROR(BQ203/BR203*(BU203-BASELINE_CPR),0)</f>
        <v/>
      </c>
      <c r="CT203" s="29">
        <f>BASELINE_CPR+SUM(BV203:CS203)-BU203</f>
        <v/>
      </c>
    </row>
    <row r="204">
      <c r="A204" s="2" t="inlineStr">
        <is>
          <t>3618GPKL6_000000007522267</t>
        </is>
      </c>
      <c r="B204" t="inlineStr">
        <is>
          <t>DWIGHT_POST21</t>
        </is>
      </c>
      <c r="C204" s="2" t="inlineStr">
        <is>
          <t>3618GPKL6</t>
        </is>
      </c>
      <c r="D204" t="inlineStr">
        <is>
          <t>DWIGHT CAPITAL LLC</t>
        </is>
      </c>
      <c r="E204" t="inlineStr">
        <is>
          <t>232</t>
        </is>
      </c>
      <c r="F204" t="inlineStr">
        <is>
          <t>RP</t>
        </is>
      </c>
      <c r="G204" t="n">
        <v>2024</v>
      </c>
      <c r="H204" t="inlineStr">
        <is>
          <t>202602</t>
        </is>
      </c>
      <c r="I204" s="22" t="n">
        <v>6134382.85</v>
      </c>
      <c r="J204" s="23" t="n">
        <v>6.24</v>
      </c>
      <c r="K204" s="24" t="n">
        <v>447</v>
      </c>
      <c r="L204" s="24" t="n">
        <v>10</v>
      </c>
      <c r="M204" t="n">
        <v>18</v>
      </c>
      <c r="N204" t="n">
        <v>18</v>
      </c>
      <c r="O204" t="n">
        <v>205909</v>
      </c>
      <c r="P204" t="inlineStr"/>
      <c r="Q204" t="inlineStr">
        <is>
          <t>4398</t>
        </is>
      </c>
      <c r="R204" t="n">
        <v>1</v>
      </c>
      <c r="S204" t="n">
        <v>0</v>
      </c>
      <c r="T204" t="n">
        <v>0</v>
      </c>
      <c r="U204" t="n">
        <v>0</v>
      </c>
      <c r="V204" s="24">
        <f>J204*100-K204</f>
        <v/>
      </c>
      <c r="W204" s="24">
        <f>L204</f>
        <v/>
      </c>
      <c r="X204" s="25">
        <f>MIN(M204,36)</f>
        <v/>
      </c>
      <c r="Y204" s="25">
        <f>MIN(MAX(M204-36,0),84)</f>
        <v/>
      </c>
      <c r="Z204" s="25">
        <f>MAX(M204-120,0)</f>
        <v/>
      </c>
      <c r="AA204" s="25">
        <f>IF(OR(O204="",NOT(ISNUMBER(O204))),360,MAX(0,MIN(480,(INT(O204/100)-INT(VALUE(H204)/100))*12+MOD(O204,100)-MOD(VALUE(H204),100))))</f>
        <v/>
      </c>
      <c r="AB204">
        <f>IF(AND(AA204&gt;0,AA204&lt;=24),1,0)</f>
        <v/>
      </c>
      <c r="AC204" s="25">
        <f>IF(OR(P204="",NOT(ISNUMBER(P204))),0,MAX(0,MIN(24,(INT(VALUE(H204)/100)-INT(P204/100))*12+MOD(VALUE(H204),100)-MOD(P204,100))))</f>
        <v/>
      </c>
      <c r="AD204" s="23">
        <f>LN(1+I204)</f>
        <v/>
      </c>
      <c r="AE204">
        <f>IF(I204&lt;2000000,1,0)</f>
        <v/>
      </c>
      <c r="AF204">
        <f>IF(I204&gt;50000000,1,0)</f>
        <v/>
      </c>
      <c r="AG204" s="23">
        <f>IF(ISNUMBER(M204),N204/MAX(M204,1),0)</f>
        <v/>
      </c>
      <c r="AH204">
        <f>IF(G204&gt;=2021,1,0)</f>
        <v/>
      </c>
      <c r="AI204">
        <f>S204</f>
        <v/>
      </c>
      <c r="AJ204">
        <f>T204</f>
        <v/>
      </c>
      <c r="AK204">
        <f>R204</f>
        <v/>
      </c>
      <c r="AL204">
        <f>U204</f>
        <v/>
      </c>
      <c r="AM204">
        <f>IF(ISNUMBER(SEARCH("CAPITAL FUNDING",D204)),1,0)</f>
        <v/>
      </c>
      <c r="AN204">
        <f>IF(ISNUMBER(SEARCH("PNC",D204)),1,0)</f>
        <v/>
      </c>
      <c r="AO204">
        <f>IF(ISNUMBER(SEARCH("WELLS FARGO",D204)),1,0)</f>
        <v/>
      </c>
      <c r="AP204">
        <f>IF(ISNUMBER(SEARCH("DWIGHT",D204)),1,0)</f>
        <v/>
      </c>
      <c r="AQ204">
        <f>IF(ISNUMBER(SEARCH("GREYSTONE",D204)),1,0)</f>
        <v/>
      </c>
      <c r="AR204">
        <f>IF(OR(Q204="3896",Q204="3557"),1,0)</f>
        <v/>
      </c>
      <c r="AS204" s="24">
        <f>V204*W204</f>
        <v/>
      </c>
      <c r="AT204" s="26">
        <f>V$4*(V204-V$3)</f>
        <v/>
      </c>
      <c r="AU204" s="26">
        <f>W$4*(W204-W$3)</f>
        <v/>
      </c>
      <c r="AV204" s="26">
        <f>X$4*(X204-X$3)</f>
        <v/>
      </c>
      <c r="AW204" s="26">
        <f>Y$4*(Y204-Y$3)</f>
        <v/>
      </c>
      <c r="AX204" s="26">
        <f>Z$4*(Z204-Z$3)</f>
        <v/>
      </c>
      <c r="AY204" s="26">
        <f>AA$4*(AA204-AA$3)</f>
        <v/>
      </c>
      <c r="AZ204" s="26">
        <f>AB$4*(AB204-AB$3)</f>
        <v/>
      </c>
      <c r="BA204" s="26">
        <f>AC$4*(AC204-AC$3)</f>
        <v/>
      </c>
      <c r="BB204" s="26">
        <f>AD$4*(AD204-AD$3)</f>
        <v/>
      </c>
      <c r="BC204" s="26">
        <f>AE$4*(AE204-AE$3)</f>
        <v/>
      </c>
      <c r="BD204" s="26">
        <f>AF$4*(AF204-AF$3)</f>
        <v/>
      </c>
      <c r="BE204" s="26">
        <f>AG$4*(AG204-AG$3)</f>
        <v/>
      </c>
      <c r="BF204" s="26">
        <f>AH$4*(AH204-AH$3)</f>
        <v/>
      </c>
      <c r="BG204" s="26">
        <f>AI$4*(AI204-AI$3)</f>
        <v/>
      </c>
      <c r="BH204" s="26">
        <f>AJ$4*(AJ204-AJ$3)</f>
        <v/>
      </c>
      <c r="BI204" s="26">
        <f>AK$4*(AK204-AK$3)</f>
        <v/>
      </c>
      <c r="BJ204" s="26">
        <f>AL$4*(AL204-AL$3)</f>
        <v/>
      </c>
      <c r="BK204" s="26">
        <f>AM$4*(AM204-AM$3)</f>
        <v/>
      </c>
      <c r="BL204" s="26">
        <f>AN$4*(AN204-AN$3)</f>
        <v/>
      </c>
      <c r="BM204" s="26">
        <f>AO$4*(AO204-AO$3)</f>
        <v/>
      </c>
      <c r="BN204" s="26">
        <f>AP$4*(AP204-AP$3)</f>
        <v/>
      </c>
      <c r="BO204" s="26">
        <f>AQ$4*(AQ204-AQ$3)</f>
        <v/>
      </c>
      <c r="BP204" s="26">
        <f>AR$4*(AR204-AR$3)</f>
        <v/>
      </c>
      <c r="BQ204" s="26">
        <f>AS$4*(AS204-AS$3)</f>
        <v/>
      </c>
      <c r="BR204" s="27">
        <f>SUM(AT204:BQ204)</f>
        <v/>
      </c>
      <c r="BS204" s="27">
        <f>INTERCEPT_SCALED+BR204</f>
        <v/>
      </c>
      <c r="BT204" s="28">
        <f>1/(1+EXP(-BS204))</f>
        <v/>
      </c>
      <c r="BU204" s="13">
        <f>1-(1-BT204)^12</f>
        <v/>
      </c>
      <c r="BV204" s="13">
        <f>IFERROR(AT204/BR204*(BU204-BASELINE_CPR),0)</f>
        <v/>
      </c>
      <c r="BW204" s="13">
        <f>IFERROR(AU204/BR204*(BU204-BASELINE_CPR),0)</f>
        <v/>
      </c>
      <c r="BX204" s="13">
        <f>IFERROR(AV204/BR204*(BU204-BASELINE_CPR),0)</f>
        <v/>
      </c>
      <c r="BY204" s="13">
        <f>IFERROR(AW204/BR204*(BU204-BASELINE_CPR),0)</f>
        <v/>
      </c>
      <c r="BZ204" s="13">
        <f>IFERROR(AX204/BR204*(BU204-BASELINE_CPR),0)</f>
        <v/>
      </c>
      <c r="CA204" s="13">
        <f>IFERROR(AY204/BR204*(BU204-BASELINE_CPR),0)</f>
        <v/>
      </c>
      <c r="CB204" s="13">
        <f>IFERROR(AZ204/BR204*(BU204-BASELINE_CPR),0)</f>
        <v/>
      </c>
      <c r="CC204" s="13">
        <f>IFERROR(BA204/BR204*(BU204-BASELINE_CPR),0)</f>
        <v/>
      </c>
      <c r="CD204" s="13">
        <f>IFERROR(BB204/BR204*(BU204-BASELINE_CPR),0)</f>
        <v/>
      </c>
      <c r="CE204" s="13">
        <f>IFERROR(BC204/BR204*(BU204-BASELINE_CPR),0)</f>
        <v/>
      </c>
      <c r="CF204" s="13">
        <f>IFERROR(BD204/BR204*(BU204-BASELINE_CPR),0)</f>
        <v/>
      </c>
      <c r="CG204" s="13">
        <f>IFERROR(BE204/BR204*(BU204-BASELINE_CPR),0)</f>
        <v/>
      </c>
      <c r="CH204" s="13">
        <f>IFERROR(BF204/BR204*(BU204-BASELINE_CPR),0)</f>
        <v/>
      </c>
      <c r="CI204" s="13">
        <f>IFERROR(BG204/BR204*(BU204-BASELINE_CPR),0)</f>
        <v/>
      </c>
      <c r="CJ204" s="13">
        <f>IFERROR(BH204/BR204*(BU204-BASELINE_CPR),0)</f>
        <v/>
      </c>
      <c r="CK204" s="13">
        <f>IFERROR(BI204/BR204*(BU204-BASELINE_CPR),0)</f>
        <v/>
      </c>
      <c r="CL204" s="13">
        <f>IFERROR(BJ204/BR204*(BU204-BASELINE_CPR),0)</f>
        <v/>
      </c>
      <c r="CM204" s="13">
        <f>IFERROR(BK204/BR204*(BU204-BASELINE_CPR),0)</f>
        <v/>
      </c>
      <c r="CN204" s="13">
        <f>IFERROR(BL204/BR204*(BU204-BASELINE_CPR),0)</f>
        <v/>
      </c>
      <c r="CO204" s="13">
        <f>IFERROR(BM204/BR204*(BU204-BASELINE_CPR),0)</f>
        <v/>
      </c>
      <c r="CP204" s="13">
        <f>IFERROR(BN204/BR204*(BU204-BASELINE_CPR),0)</f>
        <v/>
      </c>
      <c r="CQ204" s="13">
        <f>IFERROR(BO204/BR204*(BU204-BASELINE_CPR),0)</f>
        <v/>
      </c>
      <c r="CR204" s="13">
        <f>IFERROR(BP204/BR204*(BU204-BASELINE_CPR),0)</f>
        <v/>
      </c>
      <c r="CS204" s="13">
        <f>IFERROR(BQ204/BR204*(BU204-BASELINE_CPR),0)</f>
        <v/>
      </c>
      <c r="CT204" s="29">
        <f>BASELINE_CPR+SUM(BV204:CS204)-BU204</f>
        <v/>
      </c>
    </row>
    <row r="205">
      <c r="A205" s="2" t="inlineStr">
        <is>
          <t>3617QAHG5_000000013611110</t>
        </is>
      </c>
      <c r="B205" t="inlineStr">
        <is>
          <t>DWIGHT_PRE21</t>
        </is>
      </c>
      <c r="C205" s="2" t="inlineStr">
        <is>
          <t>3617QAHG5</t>
        </is>
      </c>
      <c r="D205" t="inlineStr">
        <is>
          <t>DWIGHT CAPITAL LLC</t>
        </is>
      </c>
      <c r="E205" t="inlineStr">
        <is>
          <t>223a7</t>
        </is>
      </c>
      <c r="F205" t="inlineStr">
        <is>
          <t>RP</t>
        </is>
      </c>
      <c r="G205" t="n">
        <v>2020</v>
      </c>
      <c r="H205" t="inlineStr">
        <is>
          <t>202602</t>
        </is>
      </c>
      <c r="I205" s="22" t="n">
        <v>17026960.32</v>
      </c>
      <c r="J205" s="23" t="n">
        <v>3.37</v>
      </c>
      <c r="K205" s="24" t="n">
        <v>447</v>
      </c>
      <c r="L205" s="24" t="n">
        <v>6</v>
      </c>
      <c r="M205" t="n">
        <v>64</v>
      </c>
      <c r="N205" t="n">
        <v>14</v>
      </c>
      <c r="O205" t="n">
        <v>205511</v>
      </c>
      <c r="P205" t="n">
        <v>202112</v>
      </c>
      <c r="Q205" t="inlineStr">
        <is>
          <t>4398</t>
        </is>
      </c>
      <c r="R205" t="n">
        <v>0</v>
      </c>
      <c r="S205" t="n">
        <v>1</v>
      </c>
      <c r="T205" t="n">
        <v>0</v>
      </c>
      <c r="U205" t="n">
        <v>0</v>
      </c>
      <c r="V205" s="24">
        <f>J205*100-K205</f>
        <v/>
      </c>
      <c r="W205" s="24">
        <f>L205</f>
        <v/>
      </c>
      <c r="X205" s="25">
        <f>MIN(M205,36)</f>
        <v/>
      </c>
      <c r="Y205" s="25">
        <f>MIN(MAX(M205-36,0),84)</f>
        <v/>
      </c>
      <c r="Z205" s="25">
        <f>MAX(M205-120,0)</f>
        <v/>
      </c>
      <c r="AA205" s="25">
        <f>IF(OR(O205="",NOT(ISNUMBER(O205))),360,MAX(0,MIN(480,(INT(O205/100)-INT(VALUE(H205)/100))*12+MOD(O205,100)-MOD(VALUE(H205),100))))</f>
        <v/>
      </c>
      <c r="AB205">
        <f>IF(AND(AA205&gt;0,AA205&lt;=24),1,0)</f>
        <v/>
      </c>
      <c r="AC205" s="25">
        <f>IF(OR(P205="",NOT(ISNUMBER(P205))),0,MAX(0,MIN(24,(INT(VALUE(H205)/100)-INT(P205/100))*12+MOD(VALUE(H205),100)-MOD(P205,100))))</f>
        <v/>
      </c>
      <c r="AD205" s="23">
        <f>LN(1+I205)</f>
        <v/>
      </c>
      <c r="AE205">
        <f>IF(I205&lt;2000000,1,0)</f>
        <v/>
      </c>
      <c r="AF205">
        <f>IF(I205&gt;50000000,1,0)</f>
        <v/>
      </c>
      <c r="AG205" s="23">
        <f>IF(ISNUMBER(M205),N205/MAX(M205,1),0)</f>
        <v/>
      </c>
      <c r="AH205">
        <f>IF(G205&gt;=2021,1,0)</f>
        <v/>
      </c>
      <c r="AI205">
        <f>S205</f>
        <v/>
      </c>
      <c r="AJ205">
        <f>T205</f>
        <v/>
      </c>
      <c r="AK205">
        <f>R205</f>
        <v/>
      </c>
      <c r="AL205">
        <f>U205</f>
        <v/>
      </c>
      <c r="AM205">
        <f>IF(ISNUMBER(SEARCH("CAPITAL FUNDING",D205)),1,0)</f>
        <v/>
      </c>
      <c r="AN205">
        <f>IF(ISNUMBER(SEARCH("PNC",D205)),1,0)</f>
        <v/>
      </c>
      <c r="AO205">
        <f>IF(ISNUMBER(SEARCH("WELLS FARGO",D205)),1,0)</f>
        <v/>
      </c>
      <c r="AP205">
        <f>IF(ISNUMBER(SEARCH("DWIGHT",D205)),1,0)</f>
        <v/>
      </c>
      <c r="AQ205">
        <f>IF(ISNUMBER(SEARCH("GREYSTONE",D205)),1,0)</f>
        <v/>
      </c>
      <c r="AR205">
        <f>IF(OR(Q205="3896",Q205="3557"),1,0)</f>
        <v/>
      </c>
      <c r="AS205" s="24">
        <f>V205*W205</f>
        <v/>
      </c>
      <c r="AT205" s="26">
        <f>V$4*(V205-V$3)</f>
        <v/>
      </c>
      <c r="AU205" s="26">
        <f>W$4*(W205-W$3)</f>
        <v/>
      </c>
      <c r="AV205" s="26">
        <f>X$4*(X205-X$3)</f>
        <v/>
      </c>
      <c r="AW205" s="26">
        <f>Y$4*(Y205-Y$3)</f>
        <v/>
      </c>
      <c r="AX205" s="26">
        <f>Z$4*(Z205-Z$3)</f>
        <v/>
      </c>
      <c r="AY205" s="26">
        <f>AA$4*(AA205-AA$3)</f>
        <v/>
      </c>
      <c r="AZ205" s="26">
        <f>AB$4*(AB205-AB$3)</f>
        <v/>
      </c>
      <c r="BA205" s="26">
        <f>AC$4*(AC205-AC$3)</f>
        <v/>
      </c>
      <c r="BB205" s="26">
        <f>AD$4*(AD205-AD$3)</f>
        <v/>
      </c>
      <c r="BC205" s="26">
        <f>AE$4*(AE205-AE$3)</f>
        <v/>
      </c>
      <c r="BD205" s="26">
        <f>AF$4*(AF205-AF$3)</f>
        <v/>
      </c>
      <c r="BE205" s="26">
        <f>AG$4*(AG205-AG$3)</f>
        <v/>
      </c>
      <c r="BF205" s="26">
        <f>AH$4*(AH205-AH$3)</f>
        <v/>
      </c>
      <c r="BG205" s="26">
        <f>AI$4*(AI205-AI$3)</f>
        <v/>
      </c>
      <c r="BH205" s="26">
        <f>AJ$4*(AJ205-AJ$3)</f>
        <v/>
      </c>
      <c r="BI205" s="26">
        <f>AK$4*(AK205-AK$3)</f>
        <v/>
      </c>
      <c r="BJ205" s="26">
        <f>AL$4*(AL205-AL$3)</f>
        <v/>
      </c>
      <c r="BK205" s="26">
        <f>AM$4*(AM205-AM$3)</f>
        <v/>
      </c>
      <c r="BL205" s="26">
        <f>AN$4*(AN205-AN$3)</f>
        <v/>
      </c>
      <c r="BM205" s="26">
        <f>AO$4*(AO205-AO$3)</f>
        <v/>
      </c>
      <c r="BN205" s="26">
        <f>AP$4*(AP205-AP$3)</f>
        <v/>
      </c>
      <c r="BO205" s="26">
        <f>AQ$4*(AQ205-AQ$3)</f>
        <v/>
      </c>
      <c r="BP205" s="26">
        <f>AR$4*(AR205-AR$3)</f>
        <v/>
      </c>
      <c r="BQ205" s="26">
        <f>AS$4*(AS205-AS$3)</f>
        <v/>
      </c>
      <c r="BR205" s="27">
        <f>SUM(AT205:BQ205)</f>
        <v/>
      </c>
      <c r="BS205" s="27">
        <f>INTERCEPT_SCALED+BR205</f>
        <v/>
      </c>
      <c r="BT205" s="28">
        <f>1/(1+EXP(-BS205))</f>
        <v/>
      </c>
      <c r="BU205" s="13">
        <f>1-(1-BT205)^12</f>
        <v/>
      </c>
      <c r="BV205" s="13">
        <f>IFERROR(AT205/BR205*(BU205-BASELINE_CPR),0)</f>
        <v/>
      </c>
      <c r="BW205" s="13">
        <f>IFERROR(AU205/BR205*(BU205-BASELINE_CPR),0)</f>
        <v/>
      </c>
      <c r="BX205" s="13">
        <f>IFERROR(AV205/BR205*(BU205-BASELINE_CPR),0)</f>
        <v/>
      </c>
      <c r="BY205" s="13">
        <f>IFERROR(AW205/BR205*(BU205-BASELINE_CPR),0)</f>
        <v/>
      </c>
      <c r="BZ205" s="13">
        <f>IFERROR(AX205/BR205*(BU205-BASELINE_CPR),0)</f>
        <v/>
      </c>
      <c r="CA205" s="13">
        <f>IFERROR(AY205/BR205*(BU205-BASELINE_CPR),0)</f>
        <v/>
      </c>
      <c r="CB205" s="13">
        <f>IFERROR(AZ205/BR205*(BU205-BASELINE_CPR),0)</f>
        <v/>
      </c>
      <c r="CC205" s="13">
        <f>IFERROR(BA205/BR205*(BU205-BASELINE_CPR),0)</f>
        <v/>
      </c>
      <c r="CD205" s="13">
        <f>IFERROR(BB205/BR205*(BU205-BASELINE_CPR),0)</f>
        <v/>
      </c>
      <c r="CE205" s="13">
        <f>IFERROR(BC205/BR205*(BU205-BASELINE_CPR),0)</f>
        <v/>
      </c>
      <c r="CF205" s="13">
        <f>IFERROR(BD205/BR205*(BU205-BASELINE_CPR),0)</f>
        <v/>
      </c>
      <c r="CG205" s="13">
        <f>IFERROR(BE205/BR205*(BU205-BASELINE_CPR),0)</f>
        <v/>
      </c>
      <c r="CH205" s="13">
        <f>IFERROR(BF205/BR205*(BU205-BASELINE_CPR),0)</f>
        <v/>
      </c>
      <c r="CI205" s="13">
        <f>IFERROR(BG205/BR205*(BU205-BASELINE_CPR),0)</f>
        <v/>
      </c>
      <c r="CJ205" s="13">
        <f>IFERROR(BH205/BR205*(BU205-BASELINE_CPR),0)</f>
        <v/>
      </c>
      <c r="CK205" s="13">
        <f>IFERROR(BI205/BR205*(BU205-BASELINE_CPR),0)</f>
        <v/>
      </c>
      <c r="CL205" s="13">
        <f>IFERROR(BJ205/BR205*(BU205-BASELINE_CPR),0)</f>
        <v/>
      </c>
      <c r="CM205" s="13">
        <f>IFERROR(BK205/BR205*(BU205-BASELINE_CPR),0)</f>
        <v/>
      </c>
      <c r="CN205" s="13">
        <f>IFERROR(BL205/BR205*(BU205-BASELINE_CPR),0)</f>
        <v/>
      </c>
      <c r="CO205" s="13">
        <f>IFERROR(BM205/BR205*(BU205-BASELINE_CPR),0)</f>
        <v/>
      </c>
      <c r="CP205" s="13">
        <f>IFERROR(BN205/BR205*(BU205-BASELINE_CPR),0)</f>
        <v/>
      </c>
      <c r="CQ205" s="13">
        <f>IFERROR(BO205/BR205*(BU205-BASELINE_CPR),0)</f>
        <v/>
      </c>
      <c r="CR205" s="13">
        <f>IFERROR(BP205/BR205*(BU205-BASELINE_CPR),0)</f>
        <v/>
      </c>
      <c r="CS205" s="13">
        <f>IFERROR(BQ205/BR205*(BU205-BASELINE_CPR),0)</f>
        <v/>
      </c>
      <c r="CT205" s="29">
        <f>BASELINE_CPR+SUM(BV205:CS205)-BU205</f>
        <v/>
      </c>
    </row>
    <row r="206">
      <c r="A206" s="2" t="inlineStr">
        <is>
          <t>3617LTYJ4_000000003522081</t>
        </is>
      </c>
      <c r="B206" t="inlineStr">
        <is>
          <t>DWIGHT_PRE21</t>
        </is>
      </c>
      <c r="C206" s="2" t="inlineStr">
        <is>
          <t>3617LTYJ4</t>
        </is>
      </c>
      <c r="D206" t="inlineStr">
        <is>
          <t>DWIGHT CAPITAL LLC</t>
        </is>
      </c>
      <c r="E206" t="inlineStr">
        <is>
          <t>232</t>
        </is>
      </c>
      <c r="F206" t="inlineStr">
        <is>
          <t>RP</t>
        </is>
      </c>
      <c r="G206" t="n">
        <v>2019</v>
      </c>
      <c r="H206" t="inlineStr">
        <is>
          <t>202602</t>
        </is>
      </c>
      <c r="I206" s="22" t="n">
        <v>45394966.63</v>
      </c>
      <c r="J206" s="23" t="n">
        <v>3.1</v>
      </c>
      <c r="K206" s="24" t="n">
        <v>447</v>
      </c>
      <c r="L206" s="24" t="n">
        <v>4</v>
      </c>
      <c r="M206" t="n">
        <v>75</v>
      </c>
      <c r="N206" t="n">
        <v>13</v>
      </c>
      <c r="O206" t="n">
        <v>205412</v>
      </c>
      <c r="P206" t="inlineStr"/>
      <c r="Q206" t="inlineStr">
        <is>
          <t>4398</t>
        </is>
      </c>
      <c r="R206" t="n">
        <v>1</v>
      </c>
      <c r="S206" t="n">
        <v>0</v>
      </c>
      <c r="T206" t="n">
        <v>0</v>
      </c>
      <c r="U206" t="n">
        <v>0</v>
      </c>
      <c r="V206" s="24">
        <f>J206*100-K206</f>
        <v/>
      </c>
      <c r="W206" s="24">
        <f>L206</f>
        <v/>
      </c>
      <c r="X206" s="25">
        <f>MIN(M206,36)</f>
        <v/>
      </c>
      <c r="Y206" s="25">
        <f>MIN(MAX(M206-36,0),84)</f>
        <v/>
      </c>
      <c r="Z206" s="25">
        <f>MAX(M206-120,0)</f>
        <v/>
      </c>
      <c r="AA206" s="25">
        <f>IF(OR(O206="",NOT(ISNUMBER(O206))),360,MAX(0,MIN(480,(INT(O206/100)-INT(VALUE(H206)/100))*12+MOD(O206,100)-MOD(VALUE(H206),100))))</f>
        <v/>
      </c>
      <c r="AB206">
        <f>IF(AND(AA206&gt;0,AA206&lt;=24),1,0)</f>
        <v/>
      </c>
      <c r="AC206" s="25">
        <f>IF(OR(P206="",NOT(ISNUMBER(P206))),0,MAX(0,MIN(24,(INT(VALUE(H206)/100)-INT(P206/100))*12+MOD(VALUE(H206),100)-MOD(P206,100))))</f>
        <v/>
      </c>
      <c r="AD206" s="23">
        <f>LN(1+I206)</f>
        <v/>
      </c>
      <c r="AE206">
        <f>IF(I206&lt;2000000,1,0)</f>
        <v/>
      </c>
      <c r="AF206">
        <f>IF(I206&gt;50000000,1,0)</f>
        <v/>
      </c>
      <c r="AG206" s="23">
        <f>IF(ISNUMBER(M206),N206/MAX(M206,1),0)</f>
        <v/>
      </c>
      <c r="AH206">
        <f>IF(G206&gt;=2021,1,0)</f>
        <v/>
      </c>
      <c r="AI206">
        <f>S206</f>
        <v/>
      </c>
      <c r="AJ206">
        <f>T206</f>
        <v/>
      </c>
      <c r="AK206">
        <f>R206</f>
        <v/>
      </c>
      <c r="AL206">
        <f>U206</f>
        <v/>
      </c>
      <c r="AM206">
        <f>IF(ISNUMBER(SEARCH("CAPITAL FUNDING",D206)),1,0)</f>
        <v/>
      </c>
      <c r="AN206">
        <f>IF(ISNUMBER(SEARCH("PNC",D206)),1,0)</f>
        <v/>
      </c>
      <c r="AO206">
        <f>IF(ISNUMBER(SEARCH("WELLS FARGO",D206)),1,0)</f>
        <v/>
      </c>
      <c r="AP206">
        <f>IF(ISNUMBER(SEARCH("DWIGHT",D206)),1,0)</f>
        <v/>
      </c>
      <c r="AQ206">
        <f>IF(ISNUMBER(SEARCH("GREYSTONE",D206)),1,0)</f>
        <v/>
      </c>
      <c r="AR206">
        <f>IF(OR(Q206="3896",Q206="3557"),1,0)</f>
        <v/>
      </c>
      <c r="AS206" s="24">
        <f>V206*W206</f>
        <v/>
      </c>
      <c r="AT206" s="26">
        <f>V$4*(V206-V$3)</f>
        <v/>
      </c>
      <c r="AU206" s="26">
        <f>W$4*(W206-W$3)</f>
        <v/>
      </c>
      <c r="AV206" s="26">
        <f>X$4*(X206-X$3)</f>
        <v/>
      </c>
      <c r="AW206" s="26">
        <f>Y$4*(Y206-Y$3)</f>
        <v/>
      </c>
      <c r="AX206" s="26">
        <f>Z$4*(Z206-Z$3)</f>
        <v/>
      </c>
      <c r="AY206" s="26">
        <f>AA$4*(AA206-AA$3)</f>
        <v/>
      </c>
      <c r="AZ206" s="26">
        <f>AB$4*(AB206-AB$3)</f>
        <v/>
      </c>
      <c r="BA206" s="26">
        <f>AC$4*(AC206-AC$3)</f>
        <v/>
      </c>
      <c r="BB206" s="26">
        <f>AD$4*(AD206-AD$3)</f>
        <v/>
      </c>
      <c r="BC206" s="26">
        <f>AE$4*(AE206-AE$3)</f>
        <v/>
      </c>
      <c r="BD206" s="26">
        <f>AF$4*(AF206-AF$3)</f>
        <v/>
      </c>
      <c r="BE206" s="26">
        <f>AG$4*(AG206-AG$3)</f>
        <v/>
      </c>
      <c r="BF206" s="26">
        <f>AH$4*(AH206-AH$3)</f>
        <v/>
      </c>
      <c r="BG206" s="26">
        <f>AI$4*(AI206-AI$3)</f>
        <v/>
      </c>
      <c r="BH206" s="26">
        <f>AJ$4*(AJ206-AJ$3)</f>
        <v/>
      </c>
      <c r="BI206" s="26">
        <f>AK$4*(AK206-AK$3)</f>
        <v/>
      </c>
      <c r="BJ206" s="26">
        <f>AL$4*(AL206-AL$3)</f>
        <v/>
      </c>
      <c r="BK206" s="26">
        <f>AM$4*(AM206-AM$3)</f>
        <v/>
      </c>
      <c r="BL206" s="26">
        <f>AN$4*(AN206-AN$3)</f>
        <v/>
      </c>
      <c r="BM206" s="26">
        <f>AO$4*(AO206-AO$3)</f>
        <v/>
      </c>
      <c r="BN206" s="26">
        <f>AP$4*(AP206-AP$3)</f>
        <v/>
      </c>
      <c r="BO206" s="26">
        <f>AQ$4*(AQ206-AQ$3)</f>
        <v/>
      </c>
      <c r="BP206" s="26">
        <f>AR$4*(AR206-AR$3)</f>
        <v/>
      </c>
      <c r="BQ206" s="26">
        <f>AS$4*(AS206-AS$3)</f>
        <v/>
      </c>
      <c r="BR206" s="27">
        <f>SUM(AT206:BQ206)</f>
        <v/>
      </c>
      <c r="BS206" s="27">
        <f>INTERCEPT_SCALED+BR206</f>
        <v/>
      </c>
      <c r="BT206" s="28">
        <f>1/(1+EXP(-BS206))</f>
        <v/>
      </c>
      <c r="BU206" s="13">
        <f>1-(1-BT206)^12</f>
        <v/>
      </c>
      <c r="BV206" s="13">
        <f>IFERROR(AT206/BR206*(BU206-BASELINE_CPR),0)</f>
        <v/>
      </c>
      <c r="BW206" s="13">
        <f>IFERROR(AU206/BR206*(BU206-BASELINE_CPR),0)</f>
        <v/>
      </c>
      <c r="BX206" s="13">
        <f>IFERROR(AV206/BR206*(BU206-BASELINE_CPR),0)</f>
        <v/>
      </c>
      <c r="BY206" s="13">
        <f>IFERROR(AW206/BR206*(BU206-BASELINE_CPR),0)</f>
        <v/>
      </c>
      <c r="BZ206" s="13">
        <f>IFERROR(AX206/BR206*(BU206-BASELINE_CPR),0)</f>
        <v/>
      </c>
      <c r="CA206" s="13">
        <f>IFERROR(AY206/BR206*(BU206-BASELINE_CPR),0)</f>
        <v/>
      </c>
      <c r="CB206" s="13">
        <f>IFERROR(AZ206/BR206*(BU206-BASELINE_CPR),0)</f>
        <v/>
      </c>
      <c r="CC206" s="13">
        <f>IFERROR(BA206/BR206*(BU206-BASELINE_CPR),0)</f>
        <v/>
      </c>
      <c r="CD206" s="13">
        <f>IFERROR(BB206/BR206*(BU206-BASELINE_CPR),0)</f>
        <v/>
      </c>
      <c r="CE206" s="13">
        <f>IFERROR(BC206/BR206*(BU206-BASELINE_CPR),0)</f>
        <v/>
      </c>
      <c r="CF206" s="13">
        <f>IFERROR(BD206/BR206*(BU206-BASELINE_CPR),0)</f>
        <v/>
      </c>
      <c r="CG206" s="13">
        <f>IFERROR(BE206/BR206*(BU206-BASELINE_CPR),0)</f>
        <v/>
      </c>
      <c r="CH206" s="13">
        <f>IFERROR(BF206/BR206*(BU206-BASELINE_CPR),0)</f>
        <v/>
      </c>
      <c r="CI206" s="13">
        <f>IFERROR(BG206/BR206*(BU206-BASELINE_CPR),0)</f>
        <v/>
      </c>
      <c r="CJ206" s="13">
        <f>IFERROR(BH206/BR206*(BU206-BASELINE_CPR),0)</f>
        <v/>
      </c>
      <c r="CK206" s="13">
        <f>IFERROR(BI206/BR206*(BU206-BASELINE_CPR),0)</f>
        <v/>
      </c>
      <c r="CL206" s="13">
        <f>IFERROR(BJ206/BR206*(BU206-BASELINE_CPR),0)</f>
        <v/>
      </c>
      <c r="CM206" s="13">
        <f>IFERROR(BK206/BR206*(BU206-BASELINE_CPR),0)</f>
        <v/>
      </c>
      <c r="CN206" s="13">
        <f>IFERROR(BL206/BR206*(BU206-BASELINE_CPR),0)</f>
        <v/>
      </c>
      <c r="CO206" s="13">
        <f>IFERROR(BM206/BR206*(BU206-BASELINE_CPR),0)</f>
        <v/>
      </c>
      <c r="CP206" s="13">
        <f>IFERROR(BN206/BR206*(BU206-BASELINE_CPR),0)</f>
        <v/>
      </c>
      <c r="CQ206" s="13">
        <f>IFERROR(BO206/BR206*(BU206-BASELINE_CPR),0)</f>
        <v/>
      </c>
      <c r="CR206" s="13">
        <f>IFERROR(BP206/BR206*(BU206-BASELINE_CPR),0)</f>
        <v/>
      </c>
      <c r="CS206" s="13">
        <f>IFERROR(BQ206/BR206*(BU206-BASELINE_CPR),0)</f>
        <v/>
      </c>
      <c r="CT206" s="29">
        <f>BASELINE_CPR+SUM(BV206:CS206)-BU206</f>
        <v/>
      </c>
    </row>
    <row r="207">
      <c r="A207" s="2" t="inlineStr">
        <is>
          <t>3618HUP96_000000009222200</t>
        </is>
      </c>
      <c r="B207" t="inlineStr">
        <is>
          <t>DWIGHT_POST21</t>
        </is>
      </c>
      <c r="C207" s="2" t="inlineStr">
        <is>
          <t>3618HUP96</t>
        </is>
      </c>
      <c r="D207" t="inlineStr">
        <is>
          <t>DWIGHT CAPITAL LLC</t>
        </is>
      </c>
      <c r="E207" t="inlineStr">
        <is>
          <t>232</t>
        </is>
      </c>
      <c r="F207" t="inlineStr">
        <is>
          <t>RP</t>
        </is>
      </c>
      <c r="G207" t="n">
        <v>2024</v>
      </c>
      <c r="H207" t="inlineStr">
        <is>
          <t>202602</t>
        </is>
      </c>
      <c r="I207" s="22" t="n">
        <v>5214845.9</v>
      </c>
      <c r="J207" s="23" t="n">
        <v>5.78</v>
      </c>
      <c r="K207" s="24" t="n">
        <v>447</v>
      </c>
      <c r="L207" s="24" t="n">
        <v>10</v>
      </c>
      <c r="M207" t="n">
        <v>17</v>
      </c>
      <c r="N207" t="n">
        <v>13</v>
      </c>
      <c r="O207" t="n">
        <v>205410</v>
      </c>
      <c r="P207" t="inlineStr"/>
      <c r="Q207" t="inlineStr">
        <is>
          <t>4398</t>
        </is>
      </c>
      <c r="R207" t="n">
        <v>1</v>
      </c>
      <c r="S207" t="n">
        <v>0</v>
      </c>
      <c r="T207" t="n">
        <v>0</v>
      </c>
      <c r="U207" t="n">
        <v>0</v>
      </c>
      <c r="V207" s="24">
        <f>J207*100-K207</f>
        <v/>
      </c>
      <c r="W207" s="24">
        <f>L207</f>
        <v/>
      </c>
      <c r="X207" s="25">
        <f>MIN(M207,36)</f>
        <v/>
      </c>
      <c r="Y207" s="25">
        <f>MIN(MAX(M207-36,0),84)</f>
        <v/>
      </c>
      <c r="Z207" s="25">
        <f>MAX(M207-120,0)</f>
        <v/>
      </c>
      <c r="AA207" s="25">
        <f>IF(OR(O207="",NOT(ISNUMBER(O207))),360,MAX(0,MIN(480,(INT(O207/100)-INT(VALUE(H207)/100))*12+MOD(O207,100)-MOD(VALUE(H207),100))))</f>
        <v/>
      </c>
      <c r="AB207">
        <f>IF(AND(AA207&gt;0,AA207&lt;=24),1,0)</f>
        <v/>
      </c>
      <c r="AC207" s="25">
        <f>IF(OR(P207="",NOT(ISNUMBER(P207))),0,MAX(0,MIN(24,(INT(VALUE(H207)/100)-INT(P207/100))*12+MOD(VALUE(H207),100)-MOD(P207,100))))</f>
        <v/>
      </c>
      <c r="AD207" s="23">
        <f>LN(1+I207)</f>
        <v/>
      </c>
      <c r="AE207">
        <f>IF(I207&lt;2000000,1,0)</f>
        <v/>
      </c>
      <c r="AF207">
        <f>IF(I207&gt;50000000,1,0)</f>
        <v/>
      </c>
      <c r="AG207" s="23">
        <f>IF(ISNUMBER(M207),N207/MAX(M207,1),0)</f>
        <v/>
      </c>
      <c r="AH207">
        <f>IF(G207&gt;=2021,1,0)</f>
        <v/>
      </c>
      <c r="AI207">
        <f>S207</f>
        <v/>
      </c>
      <c r="AJ207">
        <f>T207</f>
        <v/>
      </c>
      <c r="AK207">
        <f>R207</f>
        <v/>
      </c>
      <c r="AL207">
        <f>U207</f>
        <v/>
      </c>
      <c r="AM207">
        <f>IF(ISNUMBER(SEARCH("CAPITAL FUNDING",D207)),1,0)</f>
        <v/>
      </c>
      <c r="AN207">
        <f>IF(ISNUMBER(SEARCH("PNC",D207)),1,0)</f>
        <v/>
      </c>
      <c r="AO207">
        <f>IF(ISNUMBER(SEARCH("WELLS FARGO",D207)),1,0)</f>
        <v/>
      </c>
      <c r="AP207">
        <f>IF(ISNUMBER(SEARCH("DWIGHT",D207)),1,0)</f>
        <v/>
      </c>
      <c r="AQ207">
        <f>IF(ISNUMBER(SEARCH("GREYSTONE",D207)),1,0)</f>
        <v/>
      </c>
      <c r="AR207">
        <f>IF(OR(Q207="3896",Q207="3557"),1,0)</f>
        <v/>
      </c>
      <c r="AS207" s="24">
        <f>V207*W207</f>
        <v/>
      </c>
      <c r="AT207" s="26">
        <f>V$4*(V207-V$3)</f>
        <v/>
      </c>
      <c r="AU207" s="26">
        <f>W$4*(W207-W$3)</f>
        <v/>
      </c>
      <c r="AV207" s="26">
        <f>X$4*(X207-X$3)</f>
        <v/>
      </c>
      <c r="AW207" s="26">
        <f>Y$4*(Y207-Y$3)</f>
        <v/>
      </c>
      <c r="AX207" s="26">
        <f>Z$4*(Z207-Z$3)</f>
        <v/>
      </c>
      <c r="AY207" s="26">
        <f>AA$4*(AA207-AA$3)</f>
        <v/>
      </c>
      <c r="AZ207" s="26">
        <f>AB$4*(AB207-AB$3)</f>
        <v/>
      </c>
      <c r="BA207" s="26">
        <f>AC$4*(AC207-AC$3)</f>
        <v/>
      </c>
      <c r="BB207" s="26">
        <f>AD$4*(AD207-AD$3)</f>
        <v/>
      </c>
      <c r="BC207" s="26">
        <f>AE$4*(AE207-AE$3)</f>
        <v/>
      </c>
      <c r="BD207" s="26">
        <f>AF$4*(AF207-AF$3)</f>
        <v/>
      </c>
      <c r="BE207" s="26">
        <f>AG$4*(AG207-AG$3)</f>
        <v/>
      </c>
      <c r="BF207" s="26">
        <f>AH$4*(AH207-AH$3)</f>
        <v/>
      </c>
      <c r="BG207" s="26">
        <f>AI$4*(AI207-AI$3)</f>
        <v/>
      </c>
      <c r="BH207" s="26">
        <f>AJ$4*(AJ207-AJ$3)</f>
        <v/>
      </c>
      <c r="BI207" s="26">
        <f>AK$4*(AK207-AK$3)</f>
        <v/>
      </c>
      <c r="BJ207" s="26">
        <f>AL$4*(AL207-AL$3)</f>
        <v/>
      </c>
      <c r="BK207" s="26">
        <f>AM$4*(AM207-AM$3)</f>
        <v/>
      </c>
      <c r="BL207" s="26">
        <f>AN$4*(AN207-AN$3)</f>
        <v/>
      </c>
      <c r="BM207" s="26">
        <f>AO$4*(AO207-AO$3)</f>
        <v/>
      </c>
      <c r="BN207" s="26">
        <f>AP$4*(AP207-AP$3)</f>
        <v/>
      </c>
      <c r="BO207" s="26">
        <f>AQ$4*(AQ207-AQ$3)</f>
        <v/>
      </c>
      <c r="BP207" s="26">
        <f>AR$4*(AR207-AR$3)</f>
        <v/>
      </c>
      <c r="BQ207" s="26">
        <f>AS$4*(AS207-AS$3)</f>
        <v/>
      </c>
      <c r="BR207" s="27">
        <f>SUM(AT207:BQ207)</f>
        <v/>
      </c>
      <c r="BS207" s="27">
        <f>INTERCEPT_SCALED+BR207</f>
        <v/>
      </c>
      <c r="BT207" s="28">
        <f>1/(1+EXP(-BS207))</f>
        <v/>
      </c>
      <c r="BU207" s="13">
        <f>1-(1-BT207)^12</f>
        <v/>
      </c>
      <c r="BV207" s="13">
        <f>IFERROR(AT207/BR207*(BU207-BASELINE_CPR),0)</f>
        <v/>
      </c>
      <c r="BW207" s="13">
        <f>IFERROR(AU207/BR207*(BU207-BASELINE_CPR),0)</f>
        <v/>
      </c>
      <c r="BX207" s="13">
        <f>IFERROR(AV207/BR207*(BU207-BASELINE_CPR),0)</f>
        <v/>
      </c>
      <c r="BY207" s="13">
        <f>IFERROR(AW207/BR207*(BU207-BASELINE_CPR),0)</f>
        <v/>
      </c>
      <c r="BZ207" s="13">
        <f>IFERROR(AX207/BR207*(BU207-BASELINE_CPR),0)</f>
        <v/>
      </c>
      <c r="CA207" s="13">
        <f>IFERROR(AY207/BR207*(BU207-BASELINE_CPR),0)</f>
        <v/>
      </c>
      <c r="CB207" s="13">
        <f>IFERROR(AZ207/BR207*(BU207-BASELINE_CPR),0)</f>
        <v/>
      </c>
      <c r="CC207" s="13">
        <f>IFERROR(BA207/BR207*(BU207-BASELINE_CPR),0)</f>
        <v/>
      </c>
      <c r="CD207" s="13">
        <f>IFERROR(BB207/BR207*(BU207-BASELINE_CPR),0)</f>
        <v/>
      </c>
      <c r="CE207" s="13">
        <f>IFERROR(BC207/BR207*(BU207-BASELINE_CPR),0)</f>
        <v/>
      </c>
      <c r="CF207" s="13">
        <f>IFERROR(BD207/BR207*(BU207-BASELINE_CPR),0)</f>
        <v/>
      </c>
      <c r="CG207" s="13">
        <f>IFERROR(BE207/BR207*(BU207-BASELINE_CPR),0)</f>
        <v/>
      </c>
      <c r="CH207" s="13">
        <f>IFERROR(BF207/BR207*(BU207-BASELINE_CPR),0)</f>
        <v/>
      </c>
      <c r="CI207" s="13">
        <f>IFERROR(BG207/BR207*(BU207-BASELINE_CPR),0)</f>
        <v/>
      </c>
      <c r="CJ207" s="13">
        <f>IFERROR(BH207/BR207*(BU207-BASELINE_CPR),0)</f>
        <v/>
      </c>
      <c r="CK207" s="13">
        <f>IFERROR(BI207/BR207*(BU207-BASELINE_CPR),0)</f>
        <v/>
      </c>
      <c r="CL207" s="13">
        <f>IFERROR(BJ207/BR207*(BU207-BASELINE_CPR),0)</f>
        <v/>
      </c>
      <c r="CM207" s="13">
        <f>IFERROR(BK207/BR207*(BU207-BASELINE_CPR),0)</f>
        <v/>
      </c>
      <c r="CN207" s="13">
        <f>IFERROR(BL207/BR207*(BU207-BASELINE_CPR),0)</f>
        <v/>
      </c>
      <c r="CO207" s="13">
        <f>IFERROR(BM207/BR207*(BU207-BASELINE_CPR),0)</f>
        <v/>
      </c>
      <c r="CP207" s="13">
        <f>IFERROR(BN207/BR207*(BU207-BASELINE_CPR),0)</f>
        <v/>
      </c>
      <c r="CQ207" s="13">
        <f>IFERROR(BO207/BR207*(BU207-BASELINE_CPR),0)</f>
        <v/>
      </c>
      <c r="CR207" s="13">
        <f>IFERROR(BP207/BR207*(BU207-BASELINE_CPR),0)</f>
        <v/>
      </c>
      <c r="CS207" s="13">
        <f>IFERROR(BQ207/BR207*(BU207-BASELINE_CPR),0)</f>
        <v/>
      </c>
      <c r="CT207" s="29">
        <f>BASELINE_CPR+SUM(BV207:CS207)-BU207</f>
        <v/>
      </c>
    </row>
    <row r="208">
      <c r="A208" s="2" t="inlineStr">
        <is>
          <t>3617NULP9_000000012611187</t>
        </is>
      </c>
      <c r="B208" t="inlineStr">
        <is>
          <t>DWIGHT_PRE21</t>
        </is>
      </c>
      <c r="C208" s="2" t="inlineStr">
        <is>
          <t>3617NULP9</t>
        </is>
      </c>
      <c r="D208" t="inlineStr">
        <is>
          <t>DWIGHT CAPITAL LLC</t>
        </is>
      </c>
      <c r="E208" t="inlineStr">
        <is>
          <t>223f</t>
        </is>
      </c>
      <c r="F208" t="inlineStr">
        <is>
          <t>RP</t>
        </is>
      </c>
      <c r="G208" t="n">
        <v>2020</v>
      </c>
      <c r="H208" t="inlineStr">
        <is>
          <t>202602</t>
        </is>
      </c>
      <c r="I208" s="22" t="n">
        <v>2431852.91</v>
      </c>
      <c r="J208" s="23" t="n">
        <v>2.75</v>
      </c>
      <c r="K208" s="24" t="n">
        <v>447</v>
      </c>
      <c r="L208" s="24" t="n">
        <v>5</v>
      </c>
      <c r="M208" t="n">
        <v>66</v>
      </c>
      <c r="N208" t="n">
        <v>0</v>
      </c>
      <c r="O208" t="n">
        <v>205509</v>
      </c>
      <c r="P208" t="inlineStr"/>
      <c r="Q208" t="inlineStr">
        <is>
          <t>4398</t>
        </is>
      </c>
      <c r="R208" t="n">
        <v>0</v>
      </c>
      <c r="S208" t="n">
        <v>0</v>
      </c>
      <c r="T208" t="n">
        <v>0</v>
      </c>
      <c r="U208" t="n">
        <v>0</v>
      </c>
      <c r="V208" s="24">
        <f>J208*100-K208</f>
        <v/>
      </c>
      <c r="W208" s="24">
        <f>L208</f>
        <v/>
      </c>
      <c r="X208" s="25">
        <f>MIN(M208,36)</f>
        <v/>
      </c>
      <c r="Y208" s="25">
        <f>MIN(MAX(M208-36,0),84)</f>
        <v/>
      </c>
      <c r="Z208" s="25">
        <f>MAX(M208-120,0)</f>
        <v/>
      </c>
      <c r="AA208" s="25">
        <f>IF(OR(O208="",NOT(ISNUMBER(O208))),360,MAX(0,MIN(480,(INT(O208/100)-INT(VALUE(H208)/100))*12+MOD(O208,100)-MOD(VALUE(H208),100))))</f>
        <v/>
      </c>
      <c r="AB208">
        <f>IF(AND(AA208&gt;0,AA208&lt;=24),1,0)</f>
        <v/>
      </c>
      <c r="AC208" s="25">
        <f>IF(OR(P208="",NOT(ISNUMBER(P208))),0,MAX(0,MIN(24,(INT(VALUE(H208)/100)-INT(P208/100))*12+MOD(VALUE(H208),100)-MOD(P208,100))))</f>
        <v/>
      </c>
      <c r="AD208" s="23">
        <f>LN(1+I208)</f>
        <v/>
      </c>
      <c r="AE208">
        <f>IF(I208&lt;2000000,1,0)</f>
        <v/>
      </c>
      <c r="AF208">
        <f>IF(I208&gt;50000000,1,0)</f>
        <v/>
      </c>
      <c r="AG208" s="23">
        <f>IF(ISNUMBER(M208),N208/MAX(M208,1),0)</f>
        <v/>
      </c>
      <c r="AH208">
        <f>IF(G208&gt;=2021,1,0)</f>
        <v/>
      </c>
      <c r="AI208">
        <f>S208</f>
        <v/>
      </c>
      <c r="AJ208">
        <f>T208</f>
        <v/>
      </c>
      <c r="AK208">
        <f>R208</f>
        <v/>
      </c>
      <c r="AL208">
        <f>U208</f>
        <v/>
      </c>
      <c r="AM208">
        <f>IF(ISNUMBER(SEARCH("CAPITAL FUNDING",D208)),1,0)</f>
        <v/>
      </c>
      <c r="AN208">
        <f>IF(ISNUMBER(SEARCH("PNC",D208)),1,0)</f>
        <v/>
      </c>
      <c r="AO208">
        <f>IF(ISNUMBER(SEARCH("WELLS FARGO",D208)),1,0)</f>
        <v/>
      </c>
      <c r="AP208">
        <f>IF(ISNUMBER(SEARCH("DWIGHT",D208)),1,0)</f>
        <v/>
      </c>
      <c r="AQ208">
        <f>IF(ISNUMBER(SEARCH("GREYSTONE",D208)),1,0)</f>
        <v/>
      </c>
      <c r="AR208">
        <f>IF(OR(Q208="3896",Q208="3557"),1,0)</f>
        <v/>
      </c>
      <c r="AS208" s="24">
        <f>V208*W208</f>
        <v/>
      </c>
      <c r="AT208" s="26">
        <f>V$4*(V208-V$3)</f>
        <v/>
      </c>
      <c r="AU208" s="26">
        <f>W$4*(W208-W$3)</f>
        <v/>
      </c>
      <c r="AV208" s="26">
        <f>X$4*(X208-X$3)</f>
        <v/>
      </c>
      <c r="AW208" s="26">
        <f>Y$4*(Y208-Y$3)</f>
        <v/>
      </c>
      <c r="AX208" s="26">
        <f>Z$4*(Z208-Z$3)</f>
        <v/>
      </c>
      <c r="AY208" s="26">
        <f>AA$4*(AA208-AA$3)</f>
        <v/>
      </c>
      <c r="AZ208" s="26">
        <f>AB$4*(AB208-AB$3)</f>
        <v/>
      </c>
      <c r="BA208" s="26">
        <f>AC$4*(AC208-AC$3)</f>
        <v/>
      </c>
      <c r="BB208" s="26">
        <f>AD$4*(AD208-AD$3)</f>
        <v/>
      </c>
      <c r="BC208" s="26">
        <f>AE$4*(AE208-AE$3)</f>
        <v/>
      </c>
      <c r="BD208" s="26">
        <f>AF$4*(AF208-AF$3)</f>
        <v/>
      </c>
      <c r="BE208" s="26">
        <f>AG$4*(AG208-AG$3)</f>
        <v/>
      </c>
      <c r="BF208" s="26">
        <f>AH$4*(AH208-AH$3)</f>
        <v/>
      </c>
      <c r="BG208" s="26">
        <f>AI$4*(AI208-AI$3)</f>
        <v/>
      </c>
      <c r="BH208" s="26">
        <f>AJ$4*(AJ208-AJ$3)</f>
        <v/>
      </c>
      <c r="BI208" s="26">
        <f>AK$4*(AK208-AK$3)</f>
        <v/>
      </c>
      <c r="BJ208" s="26">
        <f>AL$4*(AL208-AL$3)</f>
        <v/>
      </c>
      <c r="BK208" s="26">
        <f>AM$4*(AM208-AM$3)</f>
        <v/>
      </c>
      <c r="BL208" s="26">
        <f>AN$4*(AN208-AN$3)</f>
        <v/>
      </c>
      <c r="BM208" s="26">
        <f>AO$4*(AO208-AO$3)</f>
        <v/>
      </c>
      <c r="BN208" s="26">
        <f>AP$4*(AP208-AP$3)</f>
        <v/>
      </c>
      <c r="BO208" s="26">
        <f>AQ$4*(AQ208-AQ$3)</f>
        <v/>
      </c>
      <c r="BP208" s="26">
        <f>AR$4*(AR208-AR$3)</f>
        <v/>
      </c>
      <c r="BQ208" s="26">
        <f>AS$4*(AS208-AS$3)</f>
        <v/>
      </c>
      <c r="BR208" s="27">
        <f>SUM(AT208:BQ208)</f>
        <v/>
      </c>
      <c r="BS208" s="27">
        <f>INTERCEPT_SCALED+BR208</f>
        <v/>
      </c>
      <c r="BT208" s="28">
        <f>1/(1+EXP(-BS208))</f>
        <v/>
      </c>
      <c r="BU208" s="13">
        <f>1-(1-BT208)^12</f>
        <v/>
      </c>
      <c r="BV208" s="13">
        <f>IFERROR(AT208/BR208*(BU208-BASELINE_CPR),0)</f>
        <v/>
      </c>
      <c r="BW208" s="13">
        <f>IFERROR(AU208/BR208*(BU208-BASELINE_CPR),0)</f>
        <v/>
      </c>
      <c r="BX208" s="13">
        <f>IFERROR(AV208/BR208*(BU208-BASELINE_CPR),0)</f>
        <v/>
      </c>
      <c r="BY208" s="13">
        <f>IFERROR(AW208/BR208*(BU208-BASELINE_CPR),0)</f>
        <v/>
      </c>
      <c r="BZ208" s="13">
        <f>IFERROR(AX208/BR208*(BU208-BASELINE_CPR),0)</f>
        <v/>
      </c>
      <c r="CA208" s="13">
        <f>IFERROR(AY208/BR208*(BU208-BASELINE_CPR),0)</f>
        <v/>
      </c>
      <c r="CB208" s="13">
        <f>IFERROR(AZ208/BR208*(BU208-BASELINE_CPR),0)</f>
        <v/>
      </c>
      <c r="CC208" s="13">
        <f>IFERROR(BA208/BR208*(BU208-BASELINE_CPR),0)</f>
        <v/>
      </c>
      <c r="CD208" s="13">
        <f>IFERROR(BB208/BR208*(BU208-BASELINE_CPR),0)</f>
        <v/>
      </c>
      <c r="CE208" s="13">
        <f>IFERROR(BC208/BR208*(BU208-BASELINE_CPR),0)</f>
        <v/>
      </c>
      <c r="CF208" s="13">
        <f>IFERROR(BD208/BR208*(BU208-BASELINE_CPR),0)</f>
        <v/>
      </c>
      <c r="CG208" s="13">
        <f>IFERROR(BE208/BR208*(BU208-BASELINE_CPR),0)</f>
        <v/>
      </c>
      <c r="CH208" s="13">
        <f>IFERROR(BF208/BR208*(BU208-BASELINE_CPR),0)</f>
        <v/>
      </c>
      <c r="CI208" s="13">
        <f>IFERROR(BG208/BR208*(BU208-BASELINE_CPR),0)</f>
        <v/>
      </c>
      <c r="CJ208" s="13">
        <f>IFERROR(BH208/BR208*(BU208-BASELINE_CPR),0)</f>
        <v/>
      </c>
      <c r="CK208" s="13">
        <f>IFERROR(BI208/BR208*(BU208-BASELINE_CPR),0)</f>
        <v/>
      </c>
      <c r="CL208" s="13">
        <f>IFERROR(BJ208/BR208*(BU208-BASELINE_CPR),0)</f>
        <v/>
      </c>
      <c r="CM208" s="13">
        <f>IFERROR(BK208/BR208*(BU208-BASELINE_CPR),0)</f>
        <v/>
      </c>
      <c r="CN208" s="13">
        <f>IFERROR(BL208/BR208*(BU208-BASELINE_CPR),0)</f>
        <v/>
      </c>
      <c r="CO208" s="13">
        <f>IFERROR(BM208/BR208*(BU208-BASELINE_CPR),0)</f>
        <v/>
      </c>
      <c r="CP208" s="13">
        <f>IFERROR(BN208/BR208*(BU208-BASELINE_CPR),0)</f>
        <v/>
      </c>
      <c r="CQ208" s="13">
        <f>IFERROR(BO208/BR208*(BU208-BASELINE_CPR),0)</f>
        <v/>
      </c>
      <c r="CR208" s="13">
        <f>IFERROR(BP208/BR208*(BU208-BASELINE_CPR),0)</f>
        <v/>
      </c>
      <c r="CS208" s="13">
        <f>IFERROR(BQ208/BR208*(BU208-BASELINE_CPR),0)</f>
        <v/>
      </c>
      <c r="CT208" s="29">
        <f>BASELINE_CPR+SUM(BV208:CS208)-BU208</f>
        <v/>
      </c>
    </row>
    <row r="209">
      <c r="A209" s="2" t="inlineStr">
        <is>
          <t>3617V1ZC8_000000001411293</t>
        </is>
      </c>
      <c r="B209" t="inlineStr">
        <is>
          <t>DWIGHT_POST21</t>
        </is>
      </c>
      <c r="C209" s="2" t="inlineStr">
        <is>
          <t>3617V1ZC8</t>
        </is>
      </c>
      <c r="D209" t="inlineStr">
        <is>
          <t>DWIGHT CAPITAL LLC</t>
        </is>
      </c>
      <c r="E209" t="inlineStr">
        <is>
          <t>223f</t>
        </is>
      </c>
      <c r="F209" t="inlineStr">
        <is>
          <t>RP</t>
        </is>
      </c>
      <c r="G209" t="n">
        <v>2021</v>
      </c>
      <c r="H209" t="inlineStr">
        <is>
          <t>202602</t>
        </is>
      </c>
      <c r="I209" s="22" t="n">
        <v>14648405.46</v>
      </c>
      <c r="J209" s="23" t="n">
        <v>2.5</v>
      </c>
      <c r="K209" s="24" t="n">
        <v>447</v>
      </c>
      <c r="L209" s="24" t="n">
        <v>1</v>
      </c>
      <c r="M209" t="n">
        <v>60</v>
      </c>
      <c r="N209" t="n">
        <v>0</v>
      </c>
      <c r="O209" t="n">
        <v>205603</v>
      </c>
      <c r="P209" t="inlineStr"/>
      <c r="Q209" t="inlineStr">
        <is>
          <t>4398</t>
        </is>
      </c>
      <c r="R209" t="n">
        <v>0</v>
      </c>
      <c r="S209" t="n">
        <v>0</v>
      </c>
      <c r="T209" t="n">
        <v>0</v>
      </c>
      <c r="U209" t="n">
        <v>0</v>
      </c>
      <c r="V209" s="24">
        <f>J209*100-K209</f>
        <v/>
      </c>
      <c r="W209" s="24">
        <f>L209</f>
        <v/>
      </c>
      <c r="X209" s="25">
        <f>MIN(M209,36)</f>
        <v/>
      </c>
      <c r="Y209" s="25">
        <f>MIN(MAX(M209-36,0),84)</f>
        <v/>
      </c>
      <c r="Z209" s="25">
        <f>MAX(M209-120,0)</f>
        <v/>
      </c>
      <c r="AA209" s="25">
        <f>IF(OR(O209="",NOT(ISNUMBER(O209))),360,MAX(0,MIN(480,(INT(O209/100)-INT(VALUE(H209)/100))*12+MOD(O209,100)-MOD(VALUE(H209),100))))</f>
        <v/>
      </c>
      <c r="AB209">
        <f>IF(AND(AA209&gt;0,AA209&lt;=24),1,0)</f>
        <v/>
      </c>
      <c r="AC209" s="25">
        <f>IF(OR(P209="",NOT(ISNUMBER(P209))),0,MAX(0,MIN(24,(INT(VALUE(H209)/100)-INT(P209/100))*12+MOD(VALUE(H209),100)-MOD(P209,100))))</f>
        <v/>
      </c>
      <c r="AD209" s="23">
        <f>LN(1+I209)</f>
        <v/>
      </c>
      <c r="AE209">
        <f>IF(I209&lt;2000000,1,0)</f>
        <v/>
      </c>
      <c r="AF209">
        <f>IF(I209&gt;50000000,1,0)</f>
        <v/>
      </c>
      <c r="AG209" s="23">
        <f>IF(ISNUMBER(M209),N209/MAX(M209,1),0)</f>
        <v/>
      </c>
      <c r="AH209">
        <f>IF(G209&gt;=2021,1,0)</f>
        <v/>
      </c>
      <c r="AI209">
        <f>S209</f>
        <v/>
      </c>
      <c r="AJ209">
        <f>T209</f>
        <v/>
      </c>
      <c r="AK209">
        <f>R209</f>
        <v/>
      </c>
      <c r="AL209">
        <f>U209</f>
        <v/>
      </c>
      <c r="AM209">
        <f>IF(ISNUMBER(SEARCH("CAPITAL FUNDING",D209)),1,0)</f>
        <v/>
      </c>
      <c r="AN209">
        <f>IF(ISNUMBER(SEARCH("PNC",D209)),1,0)</f>
        <v/>
      </c>
      <c r="AO209">
        <f>IF(ISNUMBER(SEARCH("WELLS FARGO",D209)),1,0)</f>
        <v/>
      </c>
      <c r="AP209">
        <f>IF(ISNUMBER(SEARCH("DWIGHT",D209)),1,0)</f>
        <v/>
      </c>
      <c r="AQ209">
        <f>IF(ISNUMBER(SEARCH("GREYSTONE",D209)),1,0)</f>
        <v/>
      </c>
      <c r="AR209">
        <f>IF(OR(Q209="3896",Q209="3557"),1,0)</f>
        <v/>
      </c>
      <c r="AS209" s="24">
        <f>V209*W209</f>
        <v/>
      </c>
      <c r="AT209" s="26">
        <f>V$4*(V209-V$3)</f>
        <v/>
      </c>
      <c r="AU209" s="26">
        <f>W$4*(W209-W$3)</f>
        <v/>
      </c>
      <c r="AV209" s="26">
        <f>X$4*(X209-X$3)</f>
        <v/>
      </c>
      <c r="AW209" s="26">
        <f>Y$4*(Y209-Y$3)</f>
        <v/>
      </c>
      <c r="AX209" s="26">
        <f>Z$4*(Z209-Z$3)</f>
        <v/>
      </c>
      <c r="AY209" s="26">
        <f>AA$4*(AA209-AA$3)</f>
        <v/>
      </c>
      <c r="AZ209" s="26">
        <f>AB$4*(AB209-AB$3)</f>
        <v/>
      </c>
      <c r="BA209" s="26">
        <f>AC$4*(AC209-AC$3)</f>
        <v/>
      </c>
      <c r="BB209" s="26">
        <f>AD$4*(AD209-AD$3)</f>
        <v/>
      </c>
      <c r="BC209" s="26">
        <f>AE$4*(AE209-AE$3)</f>
        <v/>
      </c>
      <c r="BD209" s="26">
        <f>AF$4*(AF209-AF$3)</f>
        <v/>
      </c>
      <c r="BE209" s="26">
        <f>AG$4*(AG209-AG$3)</f>
        <v/>
      </c>
      <c r="BF209" s="26">
        <f>AH$4*(AH209-AH$3)</f>
        <v/>
      </c>
      <c r="BG209" s="26">
        <f>AI$4*(AI209-AI$3)</f>
        <v/>
      </c>
      <c r="BH209" s="26">
        <f>AJ$4*(AJ209-AJ$3)</f>
        <v/>
      </c>
      <c r="BI209" s="26">
        <f>AK$4*(AK209-AK$3)</f>
        <v/>
      </c>
      <c r="BJ209" s="26">
        <f>AL$4*(AL209-AL$3)</f>
        <v/>
      </c>
      <c r="BK209" s="26">
        <f>AM$4*(AM209-AM$3)</f>
        <v/>
      </c>
      <c r="BL209" s="26">
        <f>AN$4*(AN209-AN$3)</f>
        <v/>
      </c>
      <c r="BM209" s="26">
        <f>AO$4*(AO209-AO$3)</f>
        <v/>
      </c>
      <c r="BN209" s="26">
        <f>AP$4*(AP209-AP$3)</f>
        <v/>
      </c>
      <c r="BO209" s="26">
        <f>AQ$4*(AQ209-AQ$3)</f>
        <v/>
      </c>
      <c r="BP209" s="26">
        <f>AR$4*(AR209-AR$3)</f>
        <v/>
      </c>
      <c r="BQ209" s="26">
        <f>AS$4*(AS209-AS$3)</f>
        <v/>
      </c>
      <c r="BR209" s="27">
        <f>SUM(AT209:BQ209)</f>
        <v/>
      </c>
      <c r="BS209" s="27">
        <f>INTERCEPT_SCALED+BR209</f>
        <v/>
      </c>
      <c r="BT209" s="28">
        <f>1/(1+EXP(-BS209))</f>
        <v/>
      </c>
      <c r="BU209" s="13">
        <f>1-(1-BT209)^12</f>
        <v/>
      </c>
      <c r="BV209" s="13">
        <f>IFERROR(AT209/BR209*(BU209-BASELINE_CPR),0)</f>
        <v/>
      </c>
      <c r="BW209" s="13">
        <f>IFERROR(AU209/BR209*(BU209-BASELINE_CPR),0)</f>
        <v/>
      </c>
      <c r="BX209" s="13">
        <f>IFERROR(AV209/BR209*(BU209-BASELINE_CPR),0)</f>
        <v/>
      </c>
      <c r="BY209" s="13">
        <f>IFERROR(AW209/BR209*(BU209-BASELINE_CPR),0)</f>
        <v/>
      </c>
      <c r="BZ209" s="13">
        <f>IFERROR(AX209/BR209*(BU209-BASELINE_CPR),0)</f>
        <v/>
      </c>
      <c r="CA209" s="13">
        <f>IFERROR(AY209/BR209*(BU209-BASELINE_CPR),0)</f>
        <v/>
      </c>
      <c r="CB209" s="13">
        <f>IFERROR(AZ209/BR209*(BU209-BASELINE_CPR),0)</f>
        <v/>
      </c>
      <c r="CC209" s="13">
        <f>IFERROR(BA209/BR209*(BU209-BASELINE_CPR),0)</f>
        <v/>
      </c>
      <c r="CD209" s="13">
        <f>IFERROR(BB209/BR209*(BU209-BASELINE_CPR),0)</f>
        <v/>
      </c>
      <c r="CE209" s="13">
        <f>IFERROR(BC209/BR209*(BU209-BASELINE_CPR),0)</f>
        <v/>
      </c>
      <c r="CF209" s="13">
        <f>IFERROR(BD209/BR209*(BU209-BASELINE_CPR),0)</f>
        <v/>
      </c>
      <c r="CG209" s="13">
        <f>IFERROR(BE209/BR209*(BU209-BASELINE_CPR),0)</f>
        <v/>
      </c>
      <c r="CH209" s="13">
        <f>IFERROR(BF209/BR209*(BU209-BASELINE_CPR),0)</f>
        <v/>
      </c>
      <c r="CI209" s="13">
        <f>IFERROR(BG209/BR209*(BU209-BASELINE_CPR),0)</f>
        <v/>
      </c>
      <c r="CJ209" s="13">
        <f>IFERROR(BH209/BR209*(BU209-BASELINE_CPR),0)</f>
        <v/>
      </c>
      <c r="CK209" s="13">
        <f>IFERROR(BI209/BR209*(BU209-BASELINE_CPR),0)</f>
        <v/>
      </c>
      <c r="CL209" s="13">
        <f>IFERROR(BJ209/BR209*(BU209-BASELINE_CPR),0)</f>
        <v/>
      </c>
      <c r="CM209" s="13">
        <f>IFERROR(BK209/BR209*(BU209-BASELINE_CPR),0)</f>
        <v/>
      </c>
      <c r="CN209" s="13">
        <f>IFERROR(BL209/BR209*(BU209-BASELINE_CPR),0)</f>
        <v/>
      </c>
      <c r="CO209" s="13">
        <f>IFERROR(BM209/BR209*(BU209-BASELINE_CPR),0)</f>
        <v/>
      </c>
      <c r="CP209" s="13">
        <f>IFERROR(BN209/BR209*(BU209-BASELINE_CPR),0)</f>
        <v/>
      </c>
      <c r="CQ209" s="13">
        <f>IFERROR(BO209/BR209*(BU209-BASELINE_CPR),0)</f>
        <v/>
      </c>
      <c r="CR209" s="13">
        <f>IFERROR(BP209/BR209*(BU209-BASELINE_CPR),0)</f>
        <v/>
      </c>
      <c r="CS209" s="13">
        <f>IFERROR(BQ209/BR209*(BU209-BASELINE_CPR),0)</f>
        <v/>
      </c>
      <c r="CT209" s="29">
        <f>BASELINE_CPR+SUM(BV209:CS209)-BU209</f>
        <v/>
      </c>
    </row>
    <row r="210">
      <c r="A210" s="2" t="inlineStr">
        <is>
          <t>3617F0WW7_000000011311524</t>
        </is>
      </c>
      <c r="B210" t="inlineStr">
        <is>
          <t>DWIGHT_POST21</t>
        </is>
      </c>
      <c r="C210" s="2" t="inlineStr">
        <is>
          <t>3617F0WW7</t>
        </is>
      </c>
      <c r="D210" t="inlineStr">
        <is>
          <t>DWIGHT CAPITAL LLC</t>
        </is>
      </c>
      <c r="E210" t="inlineStr">
        <is>
          <t>223f</t>
        </is>
      </c>
      <c r="F210" t="inlineStr">
        <is>
          <t>RP</t>
        </is>
      </c>
      <c r="G210" t="n">
        <v>2022</v>
      </c>
      <c r="H210" t="inlineStr">
        <is>
          <t>202602</t>
        </is>
      </c>
      <c r="I210" s="22" t="n">
        <v>59356883.6</v>
      </c>
      <c r="J210" s="23" t="n">
        <v>4.3</v>
      </c>
      <c r="K210" s="24" t="n">
        <v>447</v>
      </c>
      <c r="L210" s="24" t="n">
        <v>8</v>
      </c>
      <c r="M210" t="n">
        <v>38</v>
      </c>
      <c r="N210" t="n">
        <v>0</v>
      </c>
      <c r="O210" t="n">
        <v>205801</v>
      </c>
      <c r="P210" t="inlineStr"/>
      <c r="Q210" t="inlineStr">
        <is>
          <t>4398</t>
        </is>
      </c>
      <c r="R210" t="n">
        <v>0</v>
      </c>
      <c r="S210" t="n">
        <v>0</v>
      </c>
      <c r="T210" t="n">
        <v>0</v>
      </c>
      <c r="U210" t="n">
        <v>0</v>
      </c>
      <c r="V210" s="24">
        <f>J210*100-K210</f>
        <v/>
      </c>
      <c r="W210" s="24">
        <f>L210</f>
        <v/>
      </c>
      <c r="X210" s="25">
        <f>MIN(M210,36)</f>
        <v/>
      </c>
      <c r="Y210" s="25">
        <f>MIN(MAX(M210-36,0),84)</f>
        <v/>
      </c>
      <c r="Z210" s="25">
        <f>MAX(M210-120,0)</f>
        <v/>
      </c>
      <c r="AA210" s="25">
        <f>IF(OR(O210="",NOT(ISNUMBER(O210))),360,MAX(0,MIN(480,(INT(O210/100)-INT(VALUE(H210)/100))*12+MOD(O210,100)-MOD(VALUE(H210),100))))</f>
        <v/>
      </c>
      <c r="AB210">
        <f>IF(AND(AA210&gt;0,AA210&lt;=24),1,0)</f>
        <v/>
      </c>
      <c r="AC210" s="25">
        <f>IF(OR(P210="",NOT(ISNUMBER(P210))),0,MAX(0,MIN(24,(INT(VALUE(H210)/100)-INT(P210/100))*12+MOD(VALUE(H210),100)-MOD(P210,100))))</f>
        <v/>
      </c>
      <c r="AD210" s="23">
        <f>LN(1+I210)</f>
        <v/>
      </c>
      <c r="AE210">
        <f>IF(I210&lt;2000000,1,0)</f>
        <v/>
      </c>
      <c r="AF210">
        <f>IF(I210&gt;50000000,1,0)</f>
        <v/>
      </c>
      <c r="AG210" s="23">
        <f>IF(ISNUMBER(M210),N210/MAX(M210,1),0)</f>
        <v/>
      </c>
      <c r="AH210">
        <f>IF(G210&gt;=2021,1,0)</f>
        <v/>
      </c>
      <c r="AI210">
        <f>S210</f>
        <v/>
      </c>
      <c r="AJ210">
        <f>T210</f>
        <v/>
      </c>
      <c r="AK210">
        <f>R210</f>
        <v/>
      </c>
      <c r="AL210">
        <f>U210</f>
        <v/>
      </c>
      <c r="AM210">
        <f>IF(ISNUMBER(SEARCH("CAPITAL FUNDING",D210)),1,0)</f>
        <v/>
      </c>
      <c r="AN210">
        <f>IF(ISNUMBER(SEARCH("PNC",D210)),1,0)</f>
        <v/>
      </c>
      <c r="AO210">
        <f>IF(ISNUMBER(SEARCH("WELLS FARGO",D210)),1,0)</f>
        <v/>
      </c>
      <c r="AP210">
        <f>IF(ISNUMBER(SEARCH("DWIGHT",D210)),1,0)</f>
        <v/>
      </c>
      <c r="AQ210">
        <f>IF(ISNUMBER(SEARCH("GREYSTONE",D210)),1,0)</f>
        <v/>
      </c>
      <c r="AR210">
        <f>IF(OR(Q210="3896",Q210="3557"),1,0)</f>
        <v/>
      </c>
      <c r="AS210" s="24">
        <f>V210*W210</f>
        <v/>
      </c>
      <c r="AT210" s="26">
        <f>V$4*(V210-V$3)</f>
        <v/>
      </c>
      <c r="AU210" s="26">
        <f>W$4*(W210-W$3)</f>
        <v/>
      </c>
      <c r="AV210" s="26">
        <f>X$4*(X210-X$3)</f>
        <v/>
      </c>
      <c r="AW210" s="26">
        <f>Y$4*(Y210-Y$3)</f>
        <v/>
      </c>
      <c r="AX210" s="26">
        <f>Z$4*(Z210-Z$3)</f>
        <v/>
      </c>
      <c r="AY210" s="26">
        <f>AA$4*(AA210-AA$3)</f>
        <v/>
      </c>
      <c r="AZ210" s="26">
        <f>AB$4*(AB210-AB$3)</f>
        <v/>
      </c>
      <c r="BA210" s="26">
        <f>AC$4*(AC210-AC$3)</f>
        <v/>
      </c>
      <c r="BB210" s="26">
        <f>AD$4*(AD210-AD$3)</f>
        <v/>
      </c>
      <c r="BC210" s="26">
        <f>AE$4*(AE210-AE$3)</f>
        <v/>
      </c>
      <c r="BD210" s="26">
        <f>AF$4*(AF210-AF$3)</f>
        <v/>
      </c>
      <c r="BE210" s="26">
        <f>AG$4*(AG210-AG$3)</f>
        <v/>
      </c>
      <c r="BF210" s="26">
        <f>AH$4*(AH210-AH$3)</f>
        <v/>
      </c>
      <c r="BG210" s="26">
        <f>AI$4*(AI210-AI$3)</f>
        <v/>
      </c>
      <c r="BH210" s="26">
        <f>AJ$4*(AJ210-AJ$3)</f>
        <v/>
      </c>
      <c r="BI210" s="26">
        <f>AK$4*(AK210-AK$3)</f>
        <v/>
      </c>
      <c r="BJ210" s="26">
        <f>AL$4*(AL210-AL$3)</f>
        <v/>
      </c>
      <c r="BK210" s="26">
        <f>AM$4*(AM210-AM$3)</f>
        <v/>
      </c>
      <c r="BL210" s="26">
        <f>AN$4*(AN210-AN$3)</f>
        <v/>
      </c>
      <c r="BM210" s="26">
        <f>AO$4*(AO210-AO$3)</f>
        <v/>
      </c>
      <c r="BN210" s="26">
        <f>AP$4*(AP210-AP$3)</f>
        <v/>
      </c>
      <c r="BO210" s="26">
        <f>AQ$4*(AQ210-AQ$3)</f>
        <v/>
      </c>
      <c r="BP210" s="26">
        <f>AR$4*(AR210-AR$3)</f>
        <v/>
      </c>
      <c r="BQ210" s="26">
        <f>AS$4*(AS210-AS$3)</f>
        <v/>
      </c>
      <c r="BR210" s="27">
        <f>SUM(AT210:BQ210)</f>
        <v/>
      </c>
      <c r="BS210" s="27">
        <f>INTERCEPT_SCALED+BR210</f>
        <v/>
      </c>
      <c r="BT210" s="28">
        <f>1/(1+EXP(-BS210))</f>
        <v/>
      </c>
      <c r="BU210" s="13">
        <f>1-(1-BT210)^12</f>
        <v/>
      </c>
      <c r="BV210" s="13">
        <f>IFERROR(AT210/BR210*(BU210-BASELINE_CPR),0)</f>
        <v/>
      </c>
      <c r="BW210" s="13">
        <f>IFERROR(AU210/BR210*(BU210-BASELINE_CPR),0)</f>
        <v/>
      </c>
      <c r="BX210" s="13">
        <f>IFERROR(AV210/BR210*(BU210-BASELINE_CPR),0)</f>
        <v/>
      </c>
      <c r="BY210" s="13">
        <f>IFERROR(AW210/BR210*(BU210-BASELINE_CPR),0)</f>
        <v/>
      </c>
      <c r="BZ210" s="13">
        <f>IFERROR(AX210/BR210*(BU210-BASELINE_CPR),0)</f>
        <v/>
      </c>
      <c r="CA210" s="13">
        <f>IFERROR(AY210/BR210*(BU210-BASELINE_CPR),0)</f>
        <v/>
      </c>
      <c r="CB210" s="13">
        <f>IFERROR(AZ210/BR210*(BU210-BASELINE_CPR),0)</f>
        <v/>
      </c>
      <c r="CC210" s="13">
        <f>IFERROR(BA210/BR210*(BU210-BASELINE_CPR),0)</f>
        <v/>
      </c>
      <c r="CD210" s="13">
        <f>IFERROR(BB210/BR210*(BU210-BASELINE_CPR),0)</f>
        <v/>
      </c>
      <c r="CE210" s="13">
        <f>IFERROR(BC210/BR210*(BU210-BASELINE_CPR),0)</f>
        <v/>
      </c>
      <c r="CF210" s="13">
        <f>IFERROR(BD210/BR210*(BU210-BASELINE_CPR),0)</f>
        <v/>
      </c>
      <c r="CG210" s="13">
        <f>IFERROR(BE210/BR210*(BU210-BASELINE_CPR),0)</f>
        <v/>
      </c>
      <c r="CH210" s="13">
        <f>IFERROR(BF210/BR210*(BU210-BASELINE_CPR),0)</f>
        <v/>
      </c>
      <c r="CI210" s="13">
        <f>IFERROR(BG210/BR210*(BU210-BASELINE_CPR),0)</f>
        <v/>
      </c>
      <c r="CJ210" s="13">
        <f>IFERROR(BH210/BR210*(BU210-BASELINE_CPR),0)</f>
        <v/>
      </c>
      <c r="CK210" s="13">
        <f>IFERROR(BI210/BR210*(BU210-BASELINE_CPR),0)</f>
        <v/>
      </c>
      <c r="CL210" s="13">
        <f>IFERROR(BJ210/BR210*(BU210-BASELINE_CPR),0)</f>
        <v/>
      </c>
      <c r="CM210" s="13">
        <f>IFERROR(BK210/BR210*(BU210-BASELINE_CPR),0)</f>
        <v/>
      </c>
      <c r="CN210" s="13">
        <f>IFERROR(BL210/BR210*(BU210-BASELINE_CPR),0)</f>
        <v/>
      </c>
      <c r="CO210" s="13">
        <f>IFERROR(BM210/BR210*(BU210-BASELINE_CPR),0)</f>
        <v/>
      </c>
      <c r="CP210" s="13">
        <f>IFERROR(BN210/BR210*(BU210-BASELINE_CPR),0)</f>
        <v/>
      </c>
      <c r="CQ210" s="13">
        <f>IFERROR(BO210/BR210*(BU210-BASELINE_CPR),0)</f>
        <v/>
      </c>
      <c r="CR210" s="13">
        <f>IFERROR(BP210/BR210*(BU210-BASELINE_CPR),0)</f>
        <v/>
      </c>
      <c r="CS210" s="13">
        <f>IFERROR(BQ210/BR210*(BU210-BASELINE_CPR),0)</f>
        <v/>
      </c>
      <c r="CT210" s="29">
        <f>BASELINE_CPR+SUM(BV210:CS210)-BU210</f>
        <v/>
      </c>
    </row>
    <row r="211">
      <c r="A211" s="2" t="inlineStr">
        <is>
          <t>3617FQGN8_000000001222451</t>
        </is>
      </c>
      <c r="B211" t="inlineStr">
        <is>
          <t>DWIGHT_POST21</t>
        </is>
      </c>
      <c r="C211" s="2" t="inlineStr">
        <is>
          <t>3617FQGN8</t>
        </is>
      </c>
      <c r="D211" t="inlineStr">
        <is>
          <t>DWIGHT CAPITAL LLC</t>
        </is>
      </c>
      <c r="E211" t="inlineStr">
        <is>
          <t>232</t>
        </is>
      </c>
      <c r="F211" t="inlineStr">
        <is>
          <t>RP</t>
        </is>
      </c>
      <c r="G211" t="n">
        <v>2023</v>
      </c>
      <c r="H211" t="inlineStr">
        <is>
          <t>202602</t>
        </is>
      </c>
      <c r="I211" s="22" t="n">
        <v>37604700.83</v>
      </c>
      <c r="J211" s="23" t="n">
        <v>5.58</v>
      </c>
      <c r="K211" s="24" t="n">
        <v>447</v>
      </c>
      <c r="L211" s="24" t="n">
        <v>9</v>
      </c>
      <c r="M211" t="n">
        <v>37</v>
      </c>
      <c r="N211" t="n">
        <v>11</v>
      </c>
      <c r="O211" t="n">
        <v>205802</v>
      </c>
      <c r="P211" t="inlineStr"/>
      <c r="Q211" t="inlineStr">
        <is>
          <t>4398</t>
        </is>
      </c>
      <c r="R211" t="n">
        <v>1</v>
      </c>
      <c r="S211" t="n">
        <v>0</v>
      </c>
      <c r="T211" t="n">
        <v>0</v>
      </c>
      <c r="U211" t="n">
        <v>0</v>
      </c>
      <c r="V211" s="24">
        <f>J211*100-K211</f>
        <v/>
      </c>
      <c r="W211" s="24">
        <f>L211</f>
        <v/>
      </c>
      <c r="X211" s="25">
        <f>MIN(M211,36)</f>
        <v/>
      </c>
      <c r="Y211" s="25">
        <f>MIN(MAX(M211-36,0),84)</f>
        <v/>
      </c>
      <c r="Z211" s="25">
        <f>MAX(M211-120,0)</f>
        <v/>
      </c>
      <c r="AA211" s="25">
        <f>IF(OR(O211="",NOT(ISNUMBER(O211))),360,MAX(0,MIN(480,(INT(O211/100)-INT(VALUE(H211)/100))*12+MOD(O211,100)-MOD(VALUE(H211),100))))</f>
        <v/>
      </c>
      <c r="AB211">
        <f>IF(AND(AA211&gt;0,AA211&lt;=24),1,0)</f>
        <v/>
      </c>
      <c r="AC211" s="25">
        <f>IF(OR(P211="",NOT(ISNUMBER(P211))),0,MAX(0,MIN(24,(INT(VALUE(H211)/100)-INT(P211/100))*12+MOD(VALUE(H211),100)-MOD(P211,100))))</f>
        <v/>
      </c>
      <c r="AD211" s="23">
        <f>LN(1+I211)</f>
        <v/>
      </c>
      <c r="AE211">
        <f>IF(I211&lt;2000000,1,0)</f>
        <v/>
      </c>
      <c r="AF211">
        <f>IF(I211&gt;50000000,1,0)</f>
        <v/>
      </c>
      <c r="AG211" s="23">
        <f>IF(ISNUMBER(M211),N211/MAX(M211,1),0)</f>
        <v/>
      </c>
      <c r="AH211">
        <f>IF(G211&gt;=2021,1,0)</f>
        <v/>
      </c>
      <c r="AI211">
        <f>S211</f>
        <v/>
      </c>
      <c r="AJ211">
        <f>T211</f>
        <v/>
      </c>
      <c r="AK211">
        <f>R211</f>
        <v/>
      </c>
      <c r="AL211">
        <f>U211</f>
        <v/>
      </c>
      <c r="AM211">
        <f>IF(ISNUMBER(SEARCH("CAPITAL FUNDING",D211)),1,0)</f>
        <v/>
      </c>
      <c r="AN211">
        <f>IF(ISNUMBER(SEARCH("PNC",D211)),1,0)</f>
        <v/>
      </c>
      <c r="AO211">
        <f>IF(ISNUMBER(SEARCH("WELLS FARGO",D211)),1,0)</f>
        <v/>
      </c>
      <c r="AP211">
        <f>IF(ISNUMBER(SEARCH("DWIGHT",D211)),1,0)</f>
        <v/>
      </c>
      <c r="AQ211">
        <f>IF(ISNUMBER(SEARCH("GREYSTONE",D211)),1,0)</f>
        <v/>
      </c>
      <c r="AR211">
        <f>IF(OR(Q211="3896",Q211="3557"),1,0)</f>
        <v/>
      </c>
      <c r="AS211" s="24">
        <f>V211*W211</f>
        <v/>
      </c>
      <c r="AT211" s="26">
        <f>V$4*(V211-V$3)</f>
        <v/>
      </c>
      <c r="AU211" s="26">
        <f>W$4*(W211-W$3)</f>
        <v/>
      </c>
      <c r="AV211" s="26">
        <f>X$4*(X211-X$3)</f>
        <v/>
      </c>
      <c r="AW211" s="26">
        <f>Y$4*(Y211-Y$3)</f>
        <v/>
      </c>
      <c r="AX211" s="26">
        <f>Z$4*(Z211-Z$3)</f>
        <v/>
      </c>
      <c r="AY211" s="26">
        <f>AA$4*(AA211-AA$3)</f>
        <v/>
      </c>
      <c r="AZ211" s="26">
        <f>AB$4*(AB211-AB$3)</f>
        <v/>
      </c>
      <c r="BA211" s="26">
        <f>AC$4*(AC211-AC$3)</f>
        <v/>
      </c>
      <c r="BB211" s="26">
        <f>AD$4*(AD211-AD$3)</f>
        <v/>
      </c>
      <c r="BC211" s="26">
        <f>AE$4*(AE211-AE$3)</f>
        <v/>
      </c>
      <c r="BD211" s="26">
        <f>AF$4*(AF211-AF$3)</f>
        <v/>
      </c>
      <c r="BE211" s="26">
        <f>AG$4*(AG211-AG$3)</f>
        <v/>
      </c>
      <c r="BF211" s="26">
        <f>AH$4*(AH211-AH$3)</f>
        <v/>
      </c>
      <c r="BG211" s="26">
        <f>AI$4*(AI211-AI$3)</f>
        <v/>
      </c>
      <c r="BH211" s="26">
        <f>AJ$4*(AJ211-AJ$3)</f>
        <v/>
      </c>
      <c r="BI211" s="26">
        <f>AK$4*(AK211-AK$3)</f>
        <v/>
      </c>
      <c r="BJ211" s="26">
        <f>AL$4*(AL211-AL$3)</f>
        <v/>
      </c>
      <c r="BK211" s="26">
        <f>AM$4*(AM211-AM$3)</f>
        <v/>
      </c>
      <c r="BL211" s="26">
        <f>AN$4*(AN211-AN$3)</f>
        <v/>
      </c>
      <c r="BM211" s="26">
        <f>AO$4*(AO211-AO$3)</f>
        <v/>
      </c>
      <c r="BN211" s="26">
        <f>AP$4*(AP211-AP$3)</f>
        <v/>
      </c>
      <c r="BO211" s="26">
        <f>AQ$4*(AQ211-AQ$3)</f>
        <v/>
      </c>
      <c r="BP211" s="26">
        <f>AR$4*(AR211-AR$3)</f>
        <v/>
      </c>
      <c r="BQ211" s="26">
        <f>AS$4*(AS211-AS$3)</f>
        <v/>
      </c>
      <c r="BR211" s="27">
        <f>SUM(AT211:BQ211)</f>
        <v/>
      </c>
      <c r="BS211" s="27">
        <f>INTERCEPT_SCALED+BR211</f>
        <v/>
      </c>
      <c r="BT211" s="28">
        <f>1/(1+EXP(-BS211))</f>
        <v/>
      </c>
      <c r="BU211" s="13">
        <f>1-(1-BT211)^12</f>
        <v/>
      </c>
      <c r="BV211" s="13">
        <f>IFERROR(AT211/BR211*(BU211-BASELINE_CPR),0)</f>
        <v/>
      </c>
      <c r="BW211" s="13">
        <f>IFERROR(AU211/BR211*(BU211-BASELINE_CPR),0)</f>
        <v/>
      </c>
      <c r="BX211" s="13">
        <f>IFERROR(AV211/BR211*(BU211-BASELINE_CPR),0)</f>
        <v/>
      </c>
      <c r="BY211" s="13">
        <f>IFERROR(AW211/BR211*(BU211-BASELINE_CPR),0)</f>
        <v/>
      </c>
      <c r="BZ211" s="13">
        <f>IFERROR(AX211/BR211*(BU211-BASELINE_CPR),0)</f>
        <v/>
      </c>
      <c r="CA211" s="13">
        <f>IFERROR(AY211/BR211*(BU211-BASELINE_CPR),0)</f>
        <v/>
      </c>
      <c r="CB211" s="13">
        <f>IFERROR(AZ211/BR211*(BU211-BASELINE_CPR),0)</f>
        <v/>
      </c>
      <c r="CC211" s="13">
        <f>IFERROR(BA211/BR211*(BU211-BASELINE_CPR),0)</f>
        <v/>
      </c>
      <c r="CD211" s="13">
        <f>IFERROR(BB211/BR211*(BU211-BASELINE_CPR),0)</f>
        <v/>
      </c>
      <c r="CE211" s="13">
        <f>IFERROR(BC211/BR211*(BU211-BASELINE_CPR),0)</f>
        <v/>
      </c>
      <c r="CF211" s="13">
        <f>IFERROR(BD211/BR211*(BU211-BASELINE_CPR),0)</f>
        <v/>
      </c>
      <c r="CG211" s="13">
        <f>IFERROR(BE211/BR211*(BU211-BASELINE_CPR),0)</f>
        <v/>
      </c>
      <c r="CH211" s="13">
        <f>IFERROR(BF211/BR211*(BU211-BASELINE_CPR),0)</f>
        <v/>
      </c>
      <c r="CI211" s="13">
        <f>IFERROR(BG211/BR211*(BU211-BASELINE_CPR),0)</f>
        <v/>
      </c>
      <c r="CJ211" s="13">
        <f>IFERROR(BH211/BR211*(BU211-BASELINE_CPR),0)</f>
        <v/>
      </c>
      <c r="CK211" s="13">
        <f>IFERROR(BI211/BR211*(BU211-BASELINE_CPR),0)</f>
        <v/>
      </c>
      <c r="CL211" s="13">
        <f>IFERROR(BJ211/BR211*(BU211-BASELINE_CPR),0)</f>
        <v/>
      </c>
      <c r="CM211" s="13">
        <f>IFERROR(BK211/BR211*(BU211-BASELINE_CPR),0)</f>
        <v/>
      </c>
      <c r="CN211" s="13">
        <f>IFERROR(BL211/BR211*(BU211-BASELINE_CPR),0)</f>
        <v/>
      </c>
      <c r="CO211" s="13">
        <f>IFERROR(BM211/BR211*(BU211-BASELINE_CPR),0)</f>
        <v/>
      </c>
      <c r="CP211" s="13">
        <f>IFERROR(BN211/BR211*(BU211-BASELINE_CPR),0)</f>
        <v/>
      </c>
      <c r="CQ211" s="13">
        <f>IFERROR(BO211/BR211*(BU211-BASELINE_CPR),0)</f>
        <v/>
      </c>
      <c r="CR211" s="13">
        <f>IFERROR(BP211/BR211*(BU211-BASELINE_CPR),0)</f>
        <v/>
      </c>
      <c r="CS211" s="13">
        <f>IFERROR(BQ211/BR211*(BU211-BASELINE_CPR),0)</f>
        <v/>
      </c>
      <c r="CT211" s="29">
        <f>BASELINE_CPR+SUM(BV211:CS211)-BU211</f>
        <v/>
      </c>
    </row>
    <row r="212">
      <c r="A212" s="2" t="inlineStr">
        <is>
          <t>3617MPR75_000000006111419</t>
        </is>
      </c>
      <c r="B212" t="inlineStr">
        <is>
          <t>DWIGHT_PRE21</t>
        </is>
      </c>
      <c r="C212" s="2" t="inlineStr">
        <is>
          <t>3617MPR75</t>
        </is>
      </c>
      <c r="D212" t="inlineStr">
        <is>
          <t>DWIGHT CAPITAL LLC</t>
        </is>
      </c>
      <c r="E212" t="inlineStr">
        <is>
          <t>223f</t>
        </is>
      </c>
      <c r="F212" t="inlineStr">
        <is>
          <t>RP</t>
        </is>
      </c>
      <c r="G212" t="n">
        <v>2020</v>
      </c>
      <c r="H212" t="inlineStr">
        <is>
          <t>202602</t>
        </is>
      </c>
      <c r="I212" s="22" t="n">
        <v>6014766.92</v>
      </c>
      <c r="J212" s="23" t="n">
        <v>3.25</v>
      </c>
      <c r="K212" s="24" t="n">
        <v>447</v>
      </c>
      <c r="L212" s="24" t="n">
        <v>5</v>
      </c>
      <c r="M212" t="n">
        <v>72</v>
      </c>
      <c r="N212" t="n">
        <v>19</v>
      </c>
      <c r="O212" t="n">
        <v>205503</v>
      </c>
      <c r="P212" t="inlineStr"/>
      <c r="Q212" t="inlineStr">
        <is>
          <t>4398</t>
        </is>
      </c>
      <c r="R212" t="n">
        <v>0</v>
      </c>
      <c r="S212" t="n">
        <v>0</v>
      </c>
      <c r="T212" t="n">
        <v>0</v>
      </c>
      <c r="U212" t="n">
        <v>0</v>
      </c>
      <c r="V212" s="24">
        <f>J212*100-K212</f>
        <v/>
      </c>
      <c r="W212" s="24">
        <f>L212</f>
        <v/>
      </c>
      <c r="X212" s="25">
        <f>MIN(M212,36)</f>
        <v/>
      </c>
      <c r="Y212" s="25">
        <f>MIN(MAX(M212-36,0),84)</f>
        <v/>
      </c>
      <c r="Z212" s="25">
        <f>MAX(M212-120,0)</f>
        <v/>
      </c>
      <c r="AA212" s="25">
        <f>IF(OR(O212="",NOT(ISNUMBER(O212))),360,MAX(0,MIN(480,(INT(O212/100)-INT(VALUE(H212)/100))*12+MOD(O212,100)-MOD(VALUE(H212),100))))</f>
        <v/>
      </c>
      <c r="AB212">
        <f>IF(AND(AA212&gt;0,AA212&lt;=24),1,0)</f>
        <v/>
      </c>
      <c r="AC212" s="25">
        <f>IF(OR(P212="",NOT(ISNUMBER(P212))),0,MAX(0,MIN(24,(INT(VALUE(H212)/100)-INT(P212/100))*12+MOD(VALUE(H212),100)-MOD(P212,100))))</f>
        <v/>
      </c>
      <c r="AD212" s="23">
        <f>LN(1+I212)</f>
        <v/>
      </c>
      <c r="AE212">
        <f>IF(I212&lt;2000000,1,0)</f>
        <v/>
      </c>
      <c r="AF212">
        <f>IF(I212&gt;50000000,1,0)</f>
        <v/>
      </c>
      <c r="AG212" s="23">
        <f>IF(ISNUMBER(M212),N212/MAX(M212,1),0)</f>
        <v/>
      </c>
      <c r="AH212">
        <f>IF(G212&gt;=2021,1,0)</f>
        <v/>
      </c>
      <c r="AI212">
        <f>S212</f>
        <v/>
      </c>
      <c r="AJ212">
        <f>T212</f>
        <v/>
      </c>
      <c r="AK212">
        <f>R212</f>
        <v/>
      </c>
      <c r="AL212">
        <f>U212</f>
        <v/>
      </c>
      <c r="AM212">
        <f>IF(ISNUMBER(SEARCH("CAPITAL FUNDING",D212)),1,0)</f>
        <v/>
      </c>
      <c r="AN212">
        <f>IF(ISNUMBER(SEARCH("PNC",D212)),1,0)</f>
        <v/>
      </c>
      <c r="AO212">
        <f>IF(ISNUMBER(SEARCH("WELLS FARGO",D212)),1,0)</f>
        <v/>
      </c>
      <c r="AP212">
        <f>IF(ISNUMBER(SEARCH("DWIGHT",D212)),1,0)</f>
        <v/>
      </c>
      <c r="AQ212">
        <f>IF(ISNUMBER(SEARCH("GREYSTONE",D212)),1,0)</f>
        <v/>
      </c>
      <c r="AR212">
        <f>IF(OR(Q212="3896",Q212="3557"),1,0)</f>
        <v/>
      </c>
      <c r="AS212" s="24">
        <f>V212*W212</f>
        <v/>
      </c>
      <c r="AT212" s="26">
        <f>V$4*(V212-V$3)</f>
        <v/>
      </c>
      <c r="AU212" s="26">
        <f>W$4*(W212-W$3)</f>
        <v/>
      </c>
      <c r="AV212" s="26">
        <f>X$4*(X212-X$3)</f>
        <v/>
      </c>
      <c r="AW212" s="26">
        <f>Y$4*(Y212-Y$3)</f>
        <v/>
      </c>
      <c r="AX212" s="26">
        <f>Z$4*(Z212-Z$3)</f>
        <v/>
      </c>
      <c r="AY212" s="26">
        <f>AA$4*(AA212-AA$3)</f>
        <v/>
      </c>
      <c r="AZ212" s="26">
        <f>AB$4*(AB212-AB$3)</f>
        <v/>
      </c>
      <c r="BA212" s="26">
        <f>AC$4*(AC212-AC$3)</f>
        <v/>
      </c>
      <c r="BB212" s="26">
        <f>AD$4*(AD212-AD$3)</f>
        <v/>
      </c>
      <c r="BC212" s="26">
        <f>AE$4*(AE212-AE$3)</f>
        <v/>
      </c>
      <c r="BD212" s="26">
        <f>AF$4*(AF212-AF$3)</f>
        <v/>
      </c>
      <c r="BE212" s="26">
        <f>AG$4*(AG212-AG$3)</f>
        <v/>
      </c>
      <c r="BF212" s="26">
        <f>AH$4*(AH212-AH$3)</f>
        <v/>
      </c>
      <c r="BG212" s="26">
        <f>AI$4*(AI212-AI$3)</f>
        <v/>
      </c>
      <c r="BH212" s="26">
        <f>AJ$4*(AJ212-AJ$3)</f>
        <v/>
      </c>
      <c r="BI212" s="26">
        <f>AK$4*(AK212-AK$3)</f>
        <v/>
      </c>
      <c r="BJ212" s="26">
        <f>AL$4*(AL212-AL$3)</f>
        <v/>
      </c>
      <c r="BK212" s="26">
        <f>AM$4*(AM212-AM$3)</f>
        <v/>
      </c>
      <c r="BL212" s="26">
        <f>AN$4*(AN212-AN$3)</f>
        <v/>
      </c>
      <c r="BM212" s="26">
        <f>AO$4*(AO212-AO$3)</f>
        <v/>
      </c>
      <c r="BN212" s="26">
        <f>AP$4*(AP212-AP$3)</f>
        <v/>
      </c>
      <c r="BO212" s="26">
        <f>AQ$4*(AQ212-AQ$3)</f>
        <v/>
      </c>
      <c r="BP212" s="26">
        <f>AR$4*(AR212-AR$3)</f>
        <v/>
      </c>
      <c r="BQ212" s="26">
        <f>AS$4*(AS212-AS$3)</f>
        <v/>
      </c>
      <c r="BR212" s="27">
        <f>SUM(AT212:BQ212)</f>
        <v/>
      </c>
      <c r="BS212" s="27">
        <f>INTERCEPT_SCALED+BR212</f>
        <v/>
      </c>
      <c r="BT212" s="28">
        <f>1/(1+EXP(-BS212))</f>
        <v/>
      </c>
      <c r="BU212" s="13">
        <f>1-(1-BT212)^12</f>
        <v/>
      </c>
      <c r="BV212" s="13">
        <f>IFERROR(AT212/BR212*(BU212-BASELINE_CPR),0)</f>
        <v/>
      </c>
      <c r="BW212" s="13">
        <f>IFERROR(AU212/BR212*(BU212-BASELINE_CPR),0)</f>
        <v/>
      </c>
      <c r="BX212" s="13">
        <f>IFERROR(AV212/BR212*(BU212-BASELINE_CPR),0)</f>
        <v/>
      </c>
      <c r="BY212" s="13">
        <f>IFERROR(AW212/BR212*(BU212-BASELINE_CPR),0)</f>
        <v/>
      </c>
      <c r="BZ212" s="13">
        <f>IFERROR(AX212/BR212*(BU212-BASELINE_CPR),0)</f>
        <v/>
      </c>
      <c r="CA212" s="13">
        <f>IFERROR(AY212/BR212*(BU212-BASELINE_CPR),0)</f>
        <v/>
      </c>
      <c r="CB212" s="13">
        <f>IFERROR(AZ212/BR212*(BU212-BASELINE_CPR),0)</f>
        <v/>
      </c>
      <c r="CC212" s="13">
        <f>IFERROR(BA212/BR212*(BU212-BASELINE_CPR),0)</f>
        <v/>
      </c>
      <c r="CD212" s="13">
        <f>IFERROR(BB212/BR212*(BU212-BASELINE_CPR),0)</f>
        <v/>
      </c>
      <c r="CE212" s="13">
        <f>IFERROR(BC212/BR212*(BU212-BASELINE_CPR),0)</f>
        <v/>
      </c>
      <c r="CF212" s="13">
        <f>IFERROR(BD212/BR212*(BU212-BASELINE_CPR),0)</f>
        <v/>
      </c>
      <c r="CG212" s="13">
        <f>IFERROR(BE212/BR212*(BU212-BASELINE_CPR),0)</f>
        <v/>
      </c>
      <c r="CH212" s="13">
        <f>IFERROR(BF212/BR212*(BU212-BASELINE_CPR),0)</f>
        <v/>
      </c>
      <c r="CI212" s="13">
        <f>IFERROR(BG212/BR212*(BU212-BASELINE_CPR),0)</f>
        <v/>
      </c>
      <c r="CJ212" s="13">
        <f>IFERROR(BH212/BR212*(BU212-BASELINE_CPR),0)</f>
        <v/>
      </c>
      <c r="CK212" s="13">
        <f>IFERROR(BI212/BR212*(BU212-BASELINE_CPR),0)</f>
        <v/>
      </c>
      <c r="CL212" s="13">
        <f>IFERROR(BJ212/BR212*(BU212-BASELINE_CPR),0)</f>
        <v/>
      </c>
      <c r="CM212" s="13">
        <f>IFERROR(BK212/BR212*(BU212-BASELINE_CPR),0)</f>
        <v/>
      </c>
      <c r="CN212" s="13">
        <f>IFERROR(BL212/BR212*(BU212-BASELINE_CPR),0)</f>
        <v/>
      </c>
      <c r="CO212" s="13">
        <f>IFERROR(BM212/BR212*(BU212-BASELINE_CPR),0)</f>
        <v/>
      </c>
      <c r="CP212" s="13">
        <f>IFERROR(BN212/BR212*(BU212-BASELINE_CPR),0)</f>
        <v/>
      </c>
      <c r="CQ212" s="13">
        <f>IFERROR(BO212/BR212*(BU212-BASELINE_CPR),0)</f>
        <v/>
      </c>
      <c r="CR212" s="13">
        <f>IFERROR(BP212/BR212*(BU212-BASELINE_CPR),0)</f>
        <v/>
      </c>
      <c r="CS212" s="13">
        <f>IFERROR(BQ212/BR212*(BU212-BASELINE_CPR),0)</f>
        <v/>
      </c>
      <c r="CT212" s="29">
        <f>BASELINE_CPR+SUM(BV212:CS212)-BU212</f>
        <v/>
      </c>
    </row>
    <row r="213">
      <c r="A213" s="2" t="inlineStr">
        <is>
          <t>3618KU4F1_000000008322130</t>
        </is>
      </c>
      <c r="B213" t="inlineStr">
        <is>
          <t>DWIGHT_POST21</t>
        </is>
      </c>
      <c r="C213" s="2" t="inlineStr">
        <is>
          <t>3618KU4F1</t>
        </is>
      </c>
      <c r="D213" t="inlineStr">
        <is>
          <t>DWIGHT CAPITAL LLC</t>
        </is>
      </c>
      <c r="E213" t="inlineStr">
        <is>
          <t>232</t>
        </is>
      </c>
      <c r="F213" t="inlineStr">
        <is>
          <t>RP</t>
        </is>
      </c>
      <c r="G213" t="n">
        <v>2025</v>
      </c>
      <c r="H213" t="inlineStr">
        <is>
          <t>202602</t>
        </is>
      </c>
      <c r="I213" s="22" t="n">
        <v>13049676.66</v>
      </c>
      <c r="J213" s="23" t="n">
        <v>6.28</v>
      </c>
      <c r="K213" s="24" t="n">
        <v>447</v>
      </c>
      <c r="L213" s="24" t="n">
        <v>0</v>
      </c>
      <c r="M213" t="n">
        <v>9</v>
      </c>
      <c r="N213" t="n">
        <v>9</v>
      </c>
      <c r="O213" t="n">
        <v>206006</v>
      </c>
      <c r="P213" t="inlineStr"/>
      <c r="Q213" t="inlineStr">
        <is>
          <t>4398</t>
        </is>
      </c>
      <c r="R213" t="n">
        <v>1</v>
      </c>
      <c r="S213" t="n">
        <v>0</v>
      </c>
      <c r="T213" t="n">
        <v>0</v>
      </c>
      <c r="U213" t="n">
        <v>0</v>
      </c>
      <c r="V213" s="24">
        <f>J213*100-K213</f>
        <v/>
      </c>
      <c r="W213" s="24">
        <f>L213</f>
        <v/>
      </c>
      <c r="X213" s="25">
        <f>MIN(M213,36)</f>
        <v/>
      </c>
      <c r="Y213" s="25">
        <f>MIN(MAX(M213-36,0),84)</f>
        <v/>
      </c>
      <c r="Z213" s="25">
        <f>MAX(M213-120,0)</f>
        <v/>
      </c>
      <c r="AA213" s="25">
        <f>IF(OR(O213="",NOT(ISNUMBER(O213))),360,MAX(0,MIN(480,(INT(O213/100)-INT(VALUE(H213)/100))*12+MOD(O213,100)-MOD(VALUE(H213),100))))</f>
        <v/>
      </c>
      <c r="AB213">
        <f>IF(AND(AA213&gt;0,AA213&lt;=24),1,0)</f>
        <v/>
      </c>
      <c r="AC213" s="25">
        <f>IF(OR(P213="",NOT(ISNUMBER(P213))),0,MAX(0,MIN(24,(INT(VALUE(H213)/100)-INT(P213/100))*12+MOD(VALUE(H213),100)-MOD(P213,100))))</f>
        <v/>
      </c>
      <c r="AD213" s="23">
        <f>LN(1+I213)</f>
        <v/>
      </c>
      <c r="AE213">
        <f>IF(I213&lt;2000000,1,0)</f>
        <v/>
      </c>
      <c r="AF213">
        <f>IF(I213&gt;50000000,1,0)</f>
        <v/>
      </c>
      <c r="AG213" s="23">
        <f>IF(ISNUMBER(M213),N213/MAX(M213,1),0)</f>
        <v/>
      </c>
      <c r="AH213">
        <f>IF(G213&gt;=2021,1,0)</f>
        <v/>
      </c>
      <c r="AI213">
        <f>S213</f>
        <v/>
      </c>
      <c r="AJ213">
        <f>T213</f>
        <v/>
      </c>
      <c r="AK213">
        <f>R213</f>
        <v/>
      </c>
      <c r="AL213">
        <f>U213</f>
        <v/>
      </c>
      <c r="AM213">
        <f>IF(ISNUMBER(SEARCH("CAPITAL FUNDING",D213)),1,0)</f>
        <v/>
      </c>
      <c r="AN213">
        <f>IF(ISNUMBER(SEARCH("PNC",D213)),1,0)</f>
        <v/>
      </c>
      <c r="AO213">
        <f>IF(ISNUMBER(SEARCH("WELLS FARGO",D213)),1,0)</f>
        <v/>
      </c>
      <c r="AP213">
        <f>IF(ISNUMBER(SEARCH("DWIGHT",D213)),1,0)</f>
        <v/>
      </c>
      <c r="AQ213">
        <f>IF(ISNUMBER(SEARCH("GREYSTONE",D213)),1,0)</f>
        <v/>
      </c>
      <c r="AR213">
        <f>IF(OR(Q213="3896",Q213="3557"),1,0)</f>
        <v/>
      </c>
      <c r="AS213" s="24">
        <f>V213*W213</f>
        <v/>
      </c>
      <c r="AT213" s="26">
        <f>V$4*(V213-V$3)</f>
        <v/>
      </c>
      <c r="AU213" s="26">
        <f>W$4*(W213-W$3)</f>
        <v/>
      </c>
      <c r="AV213" s="26">
        <f>X$4*(X213-X$3)</f>
        <v/>
      </c>
      <c r="AW213" s="26">
        <f>Y$4*(Y213-Y$3)</f>
        <v/>
      </c>
      <c r="AX213" s="26">
        <f>Z$4*(Z213-Z$3)</f>
        <v/>
      </c>
      <c r="AY213" s="26">
        <f>AA$4*(AA213-AA$3)</f>
        <v/>
      </c>
      <c r="AZ213" s="26">
        <f>AB$4*(AB213-AB$3)</f>
        <v/>
      </c>
      <c r="BA213" s="26">
        <f>AC$4*(AC213-AC$3)</f>
        <v/>
      </c>
      <c r="BB213" s="26">
        <f>AD$4*(AD213-AD$3)</f>
        <v/>
      </c>
      <c r="BC213" s="26">
        <f>AE$4*(AE213-AE$3)</f>
        <v/>
      </c>
      <c r="BD213" s="26">
        <f>AF$4*(AF213-AF$3)</f>
        <v/>
      </c>
      <c r="BE213" s="26">
        <f>AG$4*(AG213-AG$3)</f>
        <v/>
      </c>
      <c r="BF213" s="26">
        <f>AH$4*(AH213-AH$3)</f>
        <v/>
      </c>
      <c r="BG213" s="26">
        <f>AI$4*(AI213-AI$3)</f>
        <v/>
      </c>
      <c r="BH213" s="26">
        <f>AJ$4*(AJ213-AJ$3)</f>
        <v/>
      </c>
      <c r="BI213" s="26">
        <f>AK$4*(AK213-AK$3)</f>
        <v/>
      </c>
      <c r="BJ213" s="26">
        <f>AL$4*(AL213-AL$3)</f>
        <v/>
      </c>
      <c r="BK213" s="26">
        <f>AM$4*(AM213-AM$3)</f>
        <v/>
      </c>
      <c r="BL213" s="26">
        <f>AN$4*(AN213-AN$3)</f>
        <v/>
      </c>
      <c r="BM213" s="26">
        <f>AO$4*(AO213-AO$3)</f>
        <v/>
      </c>
      <c r="BN213" s="26">
        <f>AP$4*(AP213-AP$3)</f>
        <v/>
      </c>
      <c r="BO213" s="26">
        <f>AQ$4*(AQ213-AQ$3)</f>
        <v/>
      </c>
      <c r="BP213" s="26">
        <f>AR$4*(AR213-AR$3)</f>
        <v/>
      </c>
      <c r="BQ213" s="26">
        <f>AS$4*(AS213-AS$3)</f>
        <v/>
      </c>
      <c r="BR213" s="27">
        <f>SUM(AT213:BQ213)</f>
        <v/>
      </c>
      <c r="BS213" s="27">
        <f>INTERCEPT_SCALED+BR213</f>
        <v/>
      </c>
      <c r="BT213" s="28">
        <f>1/(1+EXP(-BS213))</f>
        <v/>
      </c>
      <c r="BU213" s="13">
        <f>1-(1-BT213)^12</f>
        <v/>
      </c>
      <c r="BV213" s="13">
        <f>IFERROR(AT213/BR213*(BU213-BASELINE_CPR),0)</f>
        <v/>
      </c>
      <c r="BW213" s="13">
        <f>IFERROR(AU213/BR213*(BU213-BASELINE_CPR),0)</f>
        <v/>
      </c>
      <c r="BX213" s="13">
        <f>IFERROR(AV213/BR213*(BU213-BASELINE_CPR),0)</f>
        <v/>
      </c>
      <c r="BY213" s="13">
        <f>IFERROR(AW213/BR213*(BU213-BASELINE_CPR),0)</f>
        <v/>
      </c>
      <c r="BZ213" s="13">
        <f>IFERROR(AX213/BR213*(BU213-BASELINE_CPR),0)</f>
        <v/>
      </c>
      <c r="CA213" s="13">
        <f>IFERROR(AY213/BR213*(BU213-BASELINE_CPR),0)</f>
        <v/>
      </c>
      <c r="CB213" s="13">
        <f>IFERROR(AZ213/BR213*(BU213-BASELINE_CPR),0)</f>
        <v/>
      </c>
      <c r="CC213" s="13">
        <f>IFERROR(BA213/BR213*(BU213-BASELINE_CPR),0)</f>
        <v/>
      </c>
      <c r="CD213" s="13">
        <f>IFERROR(BB213/BR213*(BU213-BASELINE_CPR),0)</f>
        <v/>
      </c>
      <c r="CE213" s="13">
        <f>IFERROR(BC213/BR213*(BU213-BASELINE_CPR),0)</f>
        <v/>
      </c>
      <c r="CF213" s="13">
        <f>IFERROR(BD213/BR213*(BU213-BASELINE_CPR),0)</f>
        <v/>
      </c>
      <c r="CG213" s="13">
        <f>IFERROR(BE213/BR213*(BU213-BASELINE_CPR),0)</f>
        <v/>
      </c>
      <c r="CH213" s="13">
        <f>IFERROR(BF213/BR213*(BU213-BASELINE_CPR),0)</f>
        <v/>
      </c>
      <c r="CI213" s="13">
        <f>IFERROR(BG213/BR213*(BU213-BASELINE_CPR),0)</f>
        <v/>
      </c>
      <c r="CJ213" s="13">
        <f>IFERROR(BH213/BR213*(BU213-BASELINE_CPR),0)</f>
        <v/>
      </c>
      <c r="CK213" s="13">
        <f>IFERROR(BI213/BR213*(BU213-BASELINE_CPR),0)</f>
        <v/>
      </c>
      <c r="CL213" s="13">
        <f>IFERROR(BJ213/BR213*(BU213-BASELINE_CPR),0)</f>
        <v/>
      </c>
      <c r="CM213" s="13">
        <f>IFERROR(BK213/BR213*(BU213-BASELINE_CPR),0)</f>
        <v/>
      </c>
      <c r="CN213" s="13">
        <f>IFERROR(BL213/BR213*(BU213-BASELINE_CPR),0)</f>
        <v/>
      </c>
      <c r="CO213" s="13">
        <f>IFERROR(BM213/BR213*(BU213-BASELINE_CPR),0)</f>
        <v/>
      </c>
      <c r="CP213" s="13">
        <f>IFERROR(BN213/BR213*(BU213-BASELINE_CPR),0)</f>
        <v/>
      </c>
      <c r="CQ213" s="13">
        <f>IFERROR(BO213/BR213*(BU213-BASELINE_CPR),0)</f>
        <v/>
      </c>
      <c r="CR213" s="13">
        <f>IFERROR(BP213/BR213*(BU213-BASELINE_CPR),0)</f>
        <v/>
      </c>
      <c r="CS213" s="13">
        <f>IFERROR(BQ213/BR213*(BU213-BASELINE_CPR),0)</f>
        <v/>
      </c>
      <c r="CT213" s="29">
        <f>BASELINE_CPR+SUM(BV213:CS213)-BU213</f>
        <v/>
      </c>
    </row>
    <row r="214">
      <c r="A214" s="2" t="inlineStr">
        <is>
          <t>36181PGH6_000000017122040</t>
        </is>
      </c>
      <c r="B214" t="inlineStr">
        <is>
          <t>KEYBANK_PRE21</t>
        </is>
      </c>
      <c r="C214" s="2" t="inlineStr">
        <is>
          <t>36181PGH6</t>
        </is>
      </c>
      <c r="D214" t="inlineStr">
        <is>
          <t>KEYBANK NATIONAL ASSOCIATION</t>
        </is>
      </c>
      <c r="E214" t="inlineStr">
        <is>
          <t>232</t>
        </is>
      </c>
      <c r="F214" t="inlineStr">
        <is>
          <t>RP</t>
        </is>
      </c>
      <c r="G214" t="n">
        <v>2014</v>
      </c>
      <c r="H214" t="inlineStr">
        <is>
          <t>202602</t>
        </is>
      </c>
      <c r="I214" s="22" t="n">
        <v>9448229.029999999</v>
      </c>
      <c r="J214" s="23" t="n">
        <v>3.73</v>
      </c>
      <c r="K214" s="24" t="n">
        <v>447</v>
      </c>
      <c r="L214" s="24" t="n">
        <v>0</v>
      </c>
      <c r="M214" t="n">
        <v>134</v>
      </c>
      <c r="N214" t="n">
        <v>35</v>
      </c>
      <c r="O214" t="n">
        <v>205001</v>
      </c>
      <c r="P214" t="inlineStr"/>
      <c r="Q214" t="inlineStr">
        <is>
          <t>4271</t>
        </is>
      </c>
      <c r="R214" t="n">
        <v>1</v>
      </c>
      <c r="S214" t="n">
        <v>0</v>
      </c>
      <c r="T214" t="n">
        <v>0</v>
      </c>
      <c r="U214" t="n">
        <v>0</v>
      </c>
      <c r="V214" s="24">
        <f>J214*100-K214</f>
        <v/>
      </c>
      <c r="W214" s="24">
        <f>L214</f>
        <v/>
      </c>
      <c r="X214" s="25">
        <f>MIN(M214,36)</f>
        <v/>
      </c>
      <c r="Y214" s="25">
        <f>MIN(MAX(M214-36,0),84)</f>
        <v/>
      </c>
      <c r="Z214" s="25">
        <f>MAX(M214-120,0)</f>
        <v/>
      </c>
      <c r="AA214" s="25">
        <f>IF(OR(O214="",NOT(ISNUMBER(O214))),360,MAX(0,MIN(480,(INT(O214/100)-INT(VALUE(H214)/100))*12+MOD(O214,100)-MOD(VALUE(H214),100))))</f>
        <v/>
      </c>
      <c r="AB214">
        <f>IF(AND(AA214&gt;0,AA214&lt;=24),1,0)</f>
        <v/>
      </c>
      <c r="AC214" s="25">
        <f>IF(OR(P214="",NOT(ISNUMBER(P214))),0,MAX(0,MIN(24,(INT(VALUE(H214)/100)-INT(P214/100))*12+MOD(VALUE(H214),100)-MOD(P214,100))))</f>
        <v/>
      </c>
      <c r="AD214" s="23">
        <f>LN(1+I214)</f>
        <v/>
      </c>
      <c r="AE214">
        <f>IF(I214&lt;2000000,1,0)</f>
        <v/>
      </c>
      <c r="AF214">
        <f>IF(I214&gt;50000000,1,0)</f>
        <v/>
      </c>
      <c r="AG214" s="23">
        <f>IF(ISNUMBER(M214),N214/MAX(M214,1),0)</f>
        <v/>
      </c>
      <c r="AH214">
        <f>IF(G214&gt;=2021,1,0)</f>
        <v/>
      </c>
      <c r="AI214">
        <f>S214</f>
        <v/>
      </c>
      <c r="AJ214">
        <f>T214</f>
        <v/>
      </c>
      <c r="AK214">
        <f>R214</f>
        <v/>
      </c>
      <c r="AL214">
        <f>U214</f>
        <v/>
      </c>
      <c r="AM214">
        <f>IF(ISNUMBER(SEARCH("CAPITAL FUNDING",D214)),1,0)</f>
        <v/>
      </c>
      <c r="AN214">
        <f>IF(ISNUMBER(SEARCH("PNC",D214)),1,0)</f>
        <v/>
      </c>
      <c r="AO214">
        <f>IF(ISNUMBER(SEARCH("WELLS FARGO",D214)),1,0)</f>
        <v/>
      </c>
      <c r="AP214">
        <f>IF(ISNUMBER(SEARCH("DWIGHT",D214)),1,0)</f>
        <v/>
      </c>
      <c r="AQ214">
        <f>IF(ISNUMBER(SEARCH("GREYSTONE",D214)),1,0)</f>
        <v/>
      </c>
      <c r="AR214">
        <f>IF(OR(Q214="3896",Q214="3557"),1,0)</f>
        <v/>
      </c>
      <c r="AS214" s="24">
        <f>V214*W214</f>
        <v/>
      </c>
      <c r="AT214" s="26">
        <f>V$4*(V214-V$3)</f>
        <v/>
      </c>
      <c r="AU214" s="26">
        <f>W$4*(W214-W$3)</f>
        <v/>
      </c>
      <c r="AV214" s="26">
        <f>X$4*(X214-X$3)</f>
        <v/>
      </c>
      <c r="AW214" s="26">
        <f>Y$4*(Y214-Y$3)</f>
        <v/>
      </c>
      <c r="AX214" s="26">
        <f>Z$4*(Z214-Z$3)</f>
        <v/>
      </c>
      <c r="AY214" s="26">
        <f>AA$4*(AA214-AA$3)</f>
        <v/>
      </c>
      <c r="AZ214" s="26">
        <f>AB$4*(AB214-AB$3)</f>
        <v/>
      </c>
      <c r="BA214" s="26">
        <f>AC$4*(AC214-AC$3)</f>
        <v/>
      </c>
      <c r="BB214" s="26">
        <f>AD$4*(AD214-AD$3)</f>
        <v/>
      </c>
      <c r="BC214" s="26">
        <f>AE$4*(AE214-AE$3)</f>
        <v/>
      </c>
      <c r="BD214" s="26">
        <f>AF$4*(AF214-AF$3)</f>
        <v/>
      </c>
      <c r="BE214" s="26">
        <f>AG$4*(AG214-AG$3)</f>
        <v/>
      </c>
      <c r="BF214" s="26">
        <f>AH$4*(AH214-AH$3)</f>
        <v/>
      </c>
      <c r="BG214" s="26">
        <f>AI$4*(AI214-AI$3)</f>
        <v/>
      </c>
      <c r="BH214" s="26">
        <f>AJ$4*(AJ214-AJ$3)</f>
        <v/>
      </c>
      <c r="BI214" s="26">
        <f>AK$4*(AK214-AK$3)</f>
        <v/>
      </c>
      <c r="BJ214" s="26">
        <f>AL$4*(AL214-AL$3)</f>
        <v/>
      </c>
      <c r="BK214" s="26">
        <f>AM$4*(AM214-AM$3)</f>
        <v/>
      </c>
      <c r="BL214" s="26">
        <f>AN$4*(AN214-AN$3)</f>
        <v/>
      </c>
      <c r="BM214" s="26">
        <f>AO$4*(AO214-AO$3)</f>
        <v/>
      </c>
      <c r="BN214" s="26">
        <f>AP$4*(AP214-AP$3)</f>
        <v/>
      </c>
      <c r="BO214" s="26">
        <f>AQ$4*(AQ214-AQ$3)</f>
        <v/>
      </c>
      <c r="BP214" s="26">
        <f>AR$4*(AR214-AR$3)</f>
        <v/>
      </c>
      <c r="BQ214" s="26">
        <f>AS$4*(AS214-AS$3)</f>
        <v/>
      </c>
      <c r="BR214" s="27">
        <f>SUM(AT214:BQ214)</f>
        <v/>
      </c>
      <c r="BS214" s="27">
        <f>INTERCEPT_SCALED+BR214</f>
        <v/>
      </c>
      <c r="BT214" s="28">
        <f>1/(1+EXP(-BS214))</f>
        <v/>
      </c>
      <c r="BU214" s="13">
        <f>1-(1-BT214)^12</f>
        <v/>
      </c>
      <c r="BV214" s="13">
        <f>IFERROR(AT214/BR214*(BU214-BASELINE_CPR),0)</f>
        <v/>
      </c>
      <c r="BW214" s="13">
        <f>IFERROR(AU214/BR214*(BU214-BASELINE_CPR),0)</f>
        <v/>
      </c>
      <c r="BX214" s="13">
        <f>IFERROR(AV214/BR214*(BU214-BASELINE_CPR),0)</f>
        <v/>
      </c>
      <c r="BY214" s="13">
        <f>IFERROR(AW214/BR214*(BU214-BASELINE_CPR),0)</f>
        <v/>
      </c>
      <c r="BZ214" s="13">
        <f>IFERROR(AX214/BR214*(BU214-BASELINE_CPR),0)</f>
        <v/>
      </c>
      <c r="CA214" s="13">
        <f>IFERROR(AY214/BR214*(BU214-BASELINE_CPR),0)</f>
        <v/>
      </c>
      <c r="CB214" s="13">
        <f>IFERROR(AZ214/BR214*(BU214-BASELINE_CPR),0)</f>
        <v/>
      </c>
      <c r="CC214" s="13">
        <f>IFERROR(BA214/BR214*(BU214-BASELINE_CPR),0)</f>
        <v/>
      </c>
      <c r="CD214" s="13">
        <f>IFERROR(BB214/BR214*(BU214-BASELINE_CPR),0)</f>
        <v/>
      </c>
      <c r="CE214" s="13">
        <f>IFERROR(BC214/BR214*(BU214-BASELINE_CPR),0)</f>
        <v/>
      </c>
      <c r="CF214" s="13">
        <f>IFERROR(BD214/BR214*(BU214-BASELINE_CPR),0)</f>
        <v/>
      </c>
      <c r="CG214" s="13">
        <f>IFERROR(BE214/BR214*(BU214-BASELINE_CPR),0)</f>
        <v/>
      </c>
      <c r="CH214" s="13">
        <f>IFERROR(BF214/BR214*(BU214-BASELINE_CPR),0)</f>
        <v/>
      </c>
      <c r="CI214" s="13">
        <f>IFERROR(BG214/BR214*(BU214-BASELINE_CPR),0)</f>
        <v/>
      </c>
      <c r="CJ214" s="13">
        <f>IFERROR(BH214/BR214*(BU214-BASELINE_CPR),0)</f>
        <v/>
      </c>
      <c r="CK214" s="13">
        <f>IFERROR(BI214/BR214*(BU214-BASELINE_CPR),0)</f>
        <v/>
      </c>
      <c r="CL214" s="13">
        <f>IFERROR(BJ214/BR214*(BU214-BASELINE_CPR),0)</f>
        <v/>
      </c>
      <c r="CM214" s="13">
        <f>IFERROR(BK214/BR214*(BU214-BASELINE_CPR),0)</f>
        <v/>
      </c>
      <c r="CN214" s="13">
        <f>IFERROR(BL214/BR214*(BU214-BASELINE_CPR),0)</f>
        <v/>
      </c>
      <c r="CO214" s="13">
        <f>IFERROR(BM214/BR214*(BU214-BASELINE_CPR),0)</f>
        <v/>
      </c>
      <c r="CP214" s="13">
        <f>IFERROR(BN214/BR214*(BU214-BASELINE_CPR),0)</f>
        <v/>
      </c>
      <c r="CQ214" s="13">
        <f>IFERROR(BO214/BR214*(BU214-BASELINE_CPR),0)</f>
        <v/>
      </c>
      <c r="CR214" s="13">
        <f>IFERROR(BP214/BR214*(BU214-BASELINE_CPR),0)</f>
        <v/>
      </c>
      <c r="CS214" s="13">
        <f>IFERROR(BQ214/BR214*(BU214-BASELINE_CPR),0)</f>
        <v/>
      </c>
      <c r="CT214" s="29">
        <f>BASELINE_CPR+SUM(BV214:CS214)-BU214</f>
        <v/>
      </c>
    </row>
    <row r="215">
      <c r="A215" s="2" t="inlineStr">
        <is>
          <t>3617X45S8_000000007422080</t>
        </is>
      </c>
      <c r="B215" t="inlineStr">
        <is>
          <t>KEYBANK_POST21</t>
        </is>
      </c>
      <c r="C215" s="2" t="inlineStr">
        <is>
          <t>3617X45S8</t>
        </is>
      </c>
      <c r="D215" t="inlineStr">
        <is>
          <t>KEYBANK NATIONAL ASSOCIATION</t>
        </is>
      </c>
      <c r="E215" t="inlineStr">
        <is>
          <t>232</t>
        </is>
      </c>
      <c r="F215" t="inlineStr">
        <is>
          <t>RP</t>
        </is>
      </c>
      <c r="G215" t="n">
        <v>2021</v>
      </c>
      <c r="H215" t="inlineStr">
        <is>
          <t>202602</t>
        </is>
      </c>
      <c r="I215" s="22" t="n">
        <v>3841951.56</v>
      </c>
      <c r="J215" s="23" t="n">
        <v>2.53</v>
      </c>
      <c r="K215" s="24" t="n">
        <v>447</v>
      </c>
      <c r="L215" s="24" t="n">
        <v>6</v>
      </c>
      <c r="M215" t="n">
        <v>50</v>
      </c>
      <c r="N215" t="n">
        <v>0</v>
      </c>
      <c r="O215" t="n">
        <v>205701</v>
      </c>
      <c r="P215" t="inlineStr"/>
      <c r="Q215" t="inlineStr">
        <is>
          <t>4271</t>
        </is>
      </c>
      <c r="R215" t="n">
        <v>1</v>
      </c>
      <c r="S215" t="n">
        <v>0</v>
      </c>
      <c r="T215" t="n">
        <v>0</v>
      </c>
      <c r="U215" t="n">
        <v>0</v>
      </c>
      <c r="V215" s="24">
        <f>J215*100-K215</f>
        <v/>
      </c>
      <c r="W215" s="24">
        <f>L215</f>
        <v/>
      </c>
      <c r="X215" s="25">
        <f>MIN(M215,36)</f>
        <v/>
      </c>
      <c r="Y215" s="25">
        <f>MIN(MAX(M215-36,0),84)</f>
        <v/>
      </c>
      <c r="Z215" s="25">
        <f>MAX(M215-120,0)</f>
        <v/>
      </c>
      <c r="AA215" s="25">
        <f>IF(OR(O215="",NOT(ISNUMBER(O215))),360,MAX(0,MIN(480,(INT(O215/100)-INT(VALUE(H215)/100))*12+MOD(O215,100)-MOD(VALUE(H215),100))))</f>
        <v/>
      </c>
      <c r="AB215">
        <f>IF(AND(AA215&gt;0,AA215&lt;=24),1,0)</f>
        <v/>
      </c>
      <c r="AC215" s="25">
        <f>IF(OR(P215="",NOT(ISNUMBER(P215))),0,MAX(0,MIN(24,(INT(VALUE(H215)/100)-INT(P215/100))*12+MOD(VALUE(H215),100)-MOD(P215,100))))</f>
        <v/>
      </c>
      <c r="AD215" s="23">
        <f>LN(1+I215)</f>
        <v/>
      </c>
      <c r="AE215">
        <f>IF(I215&lt;2000000,1,0)</f>
        <v/>
      </c>
      <c r="AF215">
        <f>IF(I215&gt;50000000,1,0)</f>
        <v/>
      </c>
      <c r="AG215" s="23">
        <f>IF(ISNUMBER(M215),N215/MAX(M215,1),0)</f>
        <v/>
      </c>
      <c r="AH215">
        <f>IF(G215&gt;=2021,1,0)</f>
        <v/>
      </c>
      <c r="AI215">
        <f>S215</f>
        <v/>
      </c>
      <c r="AJ215">
        <f>T215</f>
        <v/>
      </c>
      <c r="AK215">
        <f>R215</f>
        <v/>
      </c>
      <c r="AL215">
        <f>U215</f>
        <v/>
      </c>
      <c r="AM215">
        <f>IF(ISNUMBER(SEARCH("CAPITAL FUNDING",D215)),1,0)</f>
        <v/>
      </c>
      <c r="AN215">
        <f>IF(ISNUMBER(SEARCH("PNC",D215)),1,0)</f>
        <v/>
      </c>
      <c r="AO215">
        <f>IF(ISNUMBER(SEARCH("WELLS FARGO",D215)),1,0)</f>
        <v/>
      </c>
      <c r="AP215">
        <f>IF(ISNUMBER(SEARCH("DWIGHT",D215)),1,0)</f>
        <v/>
      </c>
      <c r="AQ215">
        <f>IF(ISNUMBER(SEARCH("GREYSTONE",D215)),1,0)</f>
        <v/>
      </c>
      <c r="AR215">
        <f>IF(OR(Q215="3896",Q215="3557"),1,0)</f>
        <v/>
      </c>
      <c r="AS215" s="24">
        <f>V215*W215</f>
        <v/>
      </c>
      <c r="AT215" s="26">
        <f>V$4*(V215-V$3)</f>
        <v/>
      </c>
      <c r="AU215" s="26">
        <f>W$4*(W215-W$3)</f>
        <v/>
      </c>
      <c r="AV215" s="26">
        <f>X$4*(X215-X$3)</f>
        <v/>
      </c>
      <c r="AW215" s="26">
        <f>Y$4*(Y215-Y$3)</f>
        <v/>
      </c>
      <c r="AX215" s="26">
        <f>Z$4*(Z215-Z$3)</f>
        <v/>
      </c>
      <c r="AY215" s="26">
        <f>AA$4*(AA215-AA$3)</f>
        <v/>
      </c>
      <c r="AZ215" s="26">
        <f>AB$4*(AB215-AB$3)</f>
        <v/>
      </c>
      <c r="BA215" s="26">
        <f>AC$4*(AC215-AC$3)</f>
        <v/>
      </c>
      <c r="BB215" s="26">
        <f>AD$4*(AD215-AD$3)</f>
        <v/>
      </c>
      <c r="BC215" s="26">
        <f>AE$4*(AE215-AE$3)</f>
        <v/>
      </c>
      <c r="BD215" s="26">
        <f>AF$4*(AF215-AF$3)</f>
        <v/>
      </c>
      <c r="BE215" s="26">
        <f>AG$4*(AG215-AG$3)</f>
        <v/>
      </c>
      <c r="BF215" s="26">
        <f>AH$4*(AH215-AH$3)</f>
        <v/>
      </c>
      <c r="BG215" s="26">
        <f>AI$4*(AI215-AI$3)</f>
        <v/>
      </c>
      <c r="BH215" s="26">
        <f>AJ$4*(AJ215-AJ$3)</f>
        <v/>
      </c>
      <c r="BI215" s="26">
        <f>AK$4*(AK215-AK$3)</f>
        <v/>
      </c>
      <c r="BJ215" s="26">
        <f>AL$4*(AL215-AL$3)</f>
        <v/>
      </c>
      <c r="BK215" s="26">
        <f>AM$4*(AM215-AM$3)</f>
        <v/>
      </c>
      <c r="BL215" s="26">
        <f>AN$4*(AN215-AN$3)</f>
        <v/>
      </c>
      <c r="BM215" s="26">
        <f>AO$4*(AO215-AO$3)</f>
        <v/>
      </c>
      <c r="BN215" s="26">
        <f>AP$4*(AP215-AP$3)</f>
        <v/>
      </c>
      <c r="BO215" s="26">
        <f>AQ$4*(AQ215-AQ$3)</f>
        <v/>
      </c>
      <c r="BP215" s="26">
        <f>AR$4*(AR215-AR$3)</f>
        <v/>
      </c>
      <c r="BQ215" s="26">
        <f>AS$4*(AS215-AS$3)</f>
        <v/>
      </c>
      <c r="BR215" s="27">
        <f>SUM(AT215:BQ215)</f>
        <v/>
      </c>
      <c r="BS215" s="27">
        <f>INTERCEPT_SCALED+BR215</f>
        <v/>
      </c>
      <c r="BT215" s="28">
        <f>1/(1+EXP(-BS215))</f>
        <v/>
      </c>
      <c r="BU215" s="13">
        <f>1-(1-BT215)^12</f>
        <v/>
      </c>
      <c r="BV215" s="13">
        <f>IFERROR(AT215/BR215*(BU215-BASELINE_CPR),0)</f>
        <v/>
      </c>
      <c r="BW215" s="13">
        <f>IFERROR(AU215/BR215*(BU215-BASELINE_CPR),0)</f>
        <v/>
      </c>
      <c r="BX215" s="13">
        <f>IFERROR(AV215/BR215*(BU215-BASELINE_CPR),0)</f>
        <v/>
      </c>
      <c r="BY215" s="13">
        <f>IFERROR(AW215/BR215*(BU215-BASELINE_CPR),0)</f>
        <v/>
      </c>
      <c r="BZ215" s="13">
        <f>IFERROR(AX215/BR215*(BU215-BASELINE_CPR),0)</f>
        <v/>
      </c>
      <c r="CA215" s="13">
        <f>IFERROR(AY215/BR215*(BU215-BASELINE_CPR),0)</f>
        <v/>
      </c>
      <c r="CB215" s="13">
        <f>IFERROR(AZ215/BR215*(BU215-BASELINE_CPR),0)</f>
        <v/>
      </c>
      <c r="CC215" s="13">
        <f>IFERROR(BA215/BR215*(BU215-BASELINE_CPR),0)</f>
        <v/>
      </c>
      <c r="CD215" s="13">
        <f>IFERROR(BB215/BR215*(BU215-BASELINE_CPR),0)</f>
        <v/>
      </c>
      <c r="CE215" s="13">
        <f>IFERROR(BC215/BR215*(BU215-BASELINE_CPR),0)</f>
        <v/>
      </c>
      <c r="CF215" s="13">
        <f>IFERROR(BD215/BR215*(BU215-BASELINE_CPR),0)</f>
        <v/>
      </c>
      <c r="CG215" s="13">
        <f>IFERROR(BE215/BR215*(BU215-BASELINE_CPR),0)</f>
        <v/>
      </c>
      <c r="CH215" s="13">
        <f>IFERROR(BF215/BR215*(BU215-BASELINE_CPR),0)</f>
        <v/>
      </c>
      <c r="CI215" s="13">
        <f>IFERROR(BG215/BR215*(BU215-BASELINE_CPR),0)</f>
        <v/>
      </c>
      <c r="CJ215" s="13">
        <f>IFERROR(BH215/BR215*(BU215-BASELINE_CPR),0)</f>
        <v/>
      </c>
      <c r="CK215" s="13">
        <f>IFERROR(BI215/BR215*(BU215-BASELINE_CPR),0)</f>
        <v/>
      </c>
      <c r="CL215" s="13">
        <f>IFERROR(BJ215/BR215*(BU215-BASELINE_CPR),0)</f>
        <v/>
      </c>
      <c r="CM215" s="13">
        <f>IFERROR(BK215/BR215*(BU215-BASELINE_CPR),0)</f>
        <v/>
      </c>
      <c r="CN215" s="13">
        <f>IFERROR(BL215/BR215*(BU215-BASELINE_CPR),0)</f>
        <v/>
      </c>
      <c r="CO215" s="13">
        <f>IFERROR(BM215/BR215*(BU215-BASELINE_CPR),0)</f>
        <v/>
      </c>
      <c r="CP215" s="13">
        <f>IFERROR(BN215/BR215*(BU215-BASELINE_CPR),0)</f>
        <v/>
      </c>
      <c r="CQ215" s="13">
        <f>IFERROR(BO215/BR215*(BU215-BASELINE_CPR),0)</f>
        <v/>
      </c>
      <c r="CR215" s="13">
        <f>IFERROR(BP215/BR215*(BU215-BASELINE_CPR),0)</f>
        <v/>
      </c>
      <c r="CS215" s="13">
        <f>IFERROR(BQ215/BR215*(BU215-BASELINE_CPR),0)</f>
        <v/>
      </c>
      <c r="CT215" s="29">
        <f>BASELINE_CPR+SUM(BV215:CS215)-BU215</f>
        <v/>
      </c>
    </row>
    <row r="216">
      <c r="A216" s="2" t="inlineStr">
        <is>
          <t>36195RGK9_000000011522344</t>
        </is>
      </c>
      <c r="B216" t="inlineStr">
        <is>
          <t>KEYBANK_PRE21</t>
        </is>
      </c>
      <c r="C216" s="2" t="inlineStr">
        <is>
          <t>36195RGK9</t>
        </is>
      </c>
      <c r="D216" t="inlineStr">
        <is>
          <t>KEYBANK NATIONAL ASSOCIATION</t>
        </is>
      </c>
      <c r="E216" t="inlineStr">
        <is>
          <t>232</t>
        </is>
      </c>
      <c r="F216" t="inlineStr">
        <is>
          <t>RP</t>
        </is>
      </c>
      <c r="G216" t="n">
        <v>2016</v>
      </c>
      <c r="H216" t="inlineStr">
        <is>
          <t>202602</t>
        </is>
      </c>
      <c r="I216" s="22" t="n">
        <v>10459622.28</v>
      </c>
      <c r="J216" s="23" t="n">
        <v>3.43</v>
      </c>
      <c r="K216" s="24" t="n">
        <v>447</v>
      </c>
      <c r="L216" s="24" t="n">
        <v>0</v>
      </c>
      <c r="M216" t="n">
        <v>110</v>
      </c>
      <c r="N216" t="n">
        <v>35</v>
      </c>
      <c r="O216" t="n">
        <v>205201</v>
      </c>
      <c r="P216" t="inlineStr"/>
      <c r="Q216" t="inlineStr">
        <is>
          <t>4271</t>
        </is>
      </c>
      <c r="R216" t="n">
        <v>1</v>
      </c>
      <c r="S216" t="n">
        <v>0</v>
      </c>
      <c r="T216" t="n">
        <v>0</v>
      </c>
      <c r="U216" t="n">
        <v>0</v>
      </c>
      <c r="V216" s="24">
        <f>J216*100-K216</f>
        <v/>
      </c>
      <c r="W216" s="24">
        <f>L216</f>
        <v/>
      </c>
      <c r="X216" s="25">
        <f>MIN(M216,36)</f>
        <v/>
      </c>
      <c r="Y216" s="25">
        <f>MIN(MAX(M216-36,0),84)</f>
        <v/>
      </c>
      <c r="Z216" s="25">
        <f>MAX(M216-120,0)</f>
        <v/>
      </c>
      <c r="AA216" s="25">
        <f>IF(OR(O216="",NOT(ISNUMBER(O216))),360,MAX(0,MIN(480,(INT(O216/100)-INT(VALUE(H216)/100))*12+MOD(O216,100)-MOD(VALUE(H216),100))))</f>
        <v/>
      </c>
      <c r="AB216">
        <f>IF(AND(AA216&gt;0,AA216&lt;=24),1,0)</f>
        <v/>
      </c>
      <c r="AC216" s="25">
        <f>IF(OR(P216="",NOT(ISNUMBER(P216))),0,MAX(0,MIN(24,(INT(VALUE(H216)/100)-INT(P216/100))*12+MOD(VALUE(H216),100)-MOD(P216,100))))</f>
        <v/>
      </c>
      <c r="AD216" s="23">
        <f>LN(1+I216)</f>
        <v/>
      </c>
      <c r="AE216">
        <f>IF(I216&lt;2000000,1,0)</f>
        <v/>
      </c>
      <c r="AF216">
        <f>IF(I216&gt;50000000,1,0)</f>
        <v/>
      </c>
      <c r="AG216" s="23">
        <f>IF(ISNUMBER(M216),N216/MAX(M216,1),0)</f>
        <v/>
      </c>
      <c r="AH216">
        <f>IF(G216&gt;=2021,1,0)</f>
        <v/>
      </c>
      <c r="AI216">
        <f>S216</f>
        <v/>
      </c>
      <c r="AJ216">
        <f>T216</f>
        <v/>
      </c>
      <c r="AK216">
        <f>R216</f>
        <v/>
      </c>
      <c r="AL216">
        <f>U216</f>
        <v/>
      </c>
      <c r="AM216">
        <f>IF(ISNUMBER(SEARCH("CAPITAL FUNDING",D216)),1,0)</f>
        <v/>
      </c>
      <c r="AN216">
        <f>IF(ISNUMBER(SEARCH("PNC",D216)),1,0)</f>
        <v/>
      </c>
      <c r="AO216">
        <f>IF(ISNUMBER(SEARCH("WELLS FARGO",D216)),1,0)</f>
        <v/>
      </c>
      <c r="AP216">
        <f>IF(ISNUMBER(SEARCH("DWIGHT",D216)),1,0)</f>
        <v/>
      </c>
      <c r="AQ216">
        <f>IF(ISNUMBER(SEARCH("GREYSTONE",D216)),1,0)</f>
        <v/>
      </c>
      <c r="AR216">
        <f>IF(OR(Q216="3896",Q216="3557"),1,0)</f>
        <v/>
      </c>
      <c r="AS216" s="24">
        <f>V216*W216</f>
        <v/>
      </c>
      <c r="AT216" s="26">
        <f>V$4*(V216-V$3)</f>
        <v/>
      </c>
      <c r="AU216" s="26">
        <f>W$4*(W216-W$3)</f>
        <v/>
      </c>
      <c r="AV216" s="26">
        <f>X$4*(X216-X$3)</f>
        <v/>
      </c>
      <c r="AW216" s="26">
        <f>Y$4*(Y216-Y$3)</f>
        <v/>
      </c>
      <c r="AX216" s="26">
        <f>Z$4*(Z216-Z$3)</f>
        <v/>
      </c>
      <c r="AY216" s="26">
        <f>AA$4*(AA216-AA$3)</f>
        <v/>
      </c>
      <c r="AZ216" s="26">
        <f>AB$4*(AB216-AB$3)</f>
        <v/>
      </c>
      <c r="BA216" s="26">
        <f>AC$4*(AC216-AC$3)</f>
        <v/>
      </c>
      <c r="BB216" s="26">
        <f>AD$4*(AD216-AD$3)</f>
        <v/>
      </c>
      <c r="BC216" s="26">
        <f>AE$4*(AE216-AE$3)</f>
        <v/>
      </c>
      <c r="BD216" s="26">
        <f>AF$4*(AF216-AF$3)</f>
        <v/>
      </c>
      <c r="BE216" s="26">
        <f>AG$4*(AG216-AG$3)</f>
        <v/>
      </c>
      <c r="BF216" s="26">
        <f>AH$4*(AH216-AH$3)</f>
        <v/>
      </c>
      <c r="BG216" s="26">
        <f>AI$4*(AI216-AI$3)</f>
        <v/>
      </c>
      <c r="BH216" s="26">
        <f>AJ$4*(AJ216-AJ$3)</f>
        <v/>
      </c>
      <c r="BI216" s="26">
        <f>AK$4*(AK216-AK$3)</f>
        <v/>
      </c>
      <c r="BJ216" s="26">
        <f>AL$4*(AL216-AL$3)</f>
        <v/>
      </c>
      <c r="BK216" s="26">
        <f>AM$4*(AM216-AM$3)</f>
        <v/>
      </c>
      <c r="BL216" s="26">
        <f>AN$4*(AN216-AN$3)</f>
        <v/>
      </c>
      <c r="BM216" s="26">
        <f>AO$4*(AO216-AO$3)</f>
        <v/>
      </c>
      <c r="BN216" s="26">
        <f>AP$4*(AP216-AP$3)</f>
        <v/>
      </c>
      <c r="BO216" s="26">
        <f>AQ$4*(AQ216-AQ$3)</f>
        <v/>
      </c>
      <c r="BP216" s="26">
        <f>AR$4*(AR216-AR$3)</f>
        <v/>
      </c>
      <c r="BQ216" s="26">
        <f>AS$4*(AS216-AS$3)</f>
        <v/>
      </c>
      <c r="BR216" s="27">
        <f>SUM(AT216:BQ216)</f>
        <v/>
      </c>
      <c r="BS216" s="27">
        <f>INTERCEPT_SCALED+BR216</f>
        <v/>
      </c>
      <c r="BT216" s="28">
        <f>1/(1+EXP(-BS216))</f>
        <v/>
      </c>
      <c r="BU216" s="13">
        <f>1-(1-BT216)^12</f>
        <v/>
      </c>
      <c r="BV216" s="13">
        <f>IFERROR(AT216/BR216*(BU216-BASELINE_CPR),0)</f>
        <v/>
      </c>
      <c r="BW216" s="13">
        <f>IFERROR(AU216/BR216*(BU216-BASELINE_CPR),0)</f>
        <v/>
      </c>
      <c r="BX216" s="13">
        <f>IFERROR(AV216/BR216*(BU216-BASELINE_CPR),0)</f>
        <v/>
      </c>
      <c r="BY216" s="13">
        <f>IFERROR(AW216/BR216*(BU216-BASELINE_CPR),0)</f>
        <v/>
      </c>
      <c r="BZ216" s="13">
        <f>IFERROR(AX216/BR216*(BU216-BASELINE_CPR),0)</f>
        <v/>
      </c>
      <c r="CA216" s="13">
        <f>IFERROR(AY216/BR216*(BU216-BASELINE_CPR),0)</f>
        <v/>
      </c>
      <c r="CB216" s="13">
        <f>IFERROR(AZ216/BR216*(BU216-BASELINE_CPR),0)</f>
        <v/>
      </c>
      <c r="CC216" s="13">
        <f>IFERROR(BA216/BR216*(BU216-BASELINE_CPR),0)</f>
        <v/>
      </c>
      <c r="CD216" s="13">
        <f>IFERROR(BB216/BR216*(BU216-BASELINE_CPR),0)</f>
        <v/>
      </c>
      <c r="CE216" s="13">
        <f>IFERROR(BC216/BR216*(BU216-BASELINE_CPR),0)</f>
        <v/>
      </c>
      <c r="CF216" s="13">
        <f>IFERROR(BD216/BR216*(BU216-BASELINE_CPR),0)</f>
        <v/>
      </c>
      <c r="CG216" s="13">
        <f>IFERROR(BE216/BR216*(BU216-BASELINE_CPR),0)</f>
        <v/>
      </c>
      <c r="CH216" s="13">
        <f>IFERROR(BF216/BR216*(BU216-BASELINE_CPR),0)</f>
        <v/>
      </c>
      <c r="CI216" s="13">
        <f>IFERROR(BG216/BR216*(BU216-BASELINE_CPR),0)</f>
        <v/>
      </c>
      <c r="CJ216" s="13">
        <f>IFERROR(BH216/BR216*(BU216-BASELINE_CPR),0)</f>
        <v/>
      </c>
      <c r="CK216" s="13">
        <f>IFERROR(BI216/BR216*(BU216-BASELINE_CPR),0)</f>
        <v/>
      </c>
      <c r="CL216" s="13">
        <f>IFERROR(BJ216/BR216*(BU216-BASELINE_CPR),0)</f>
        <v/>
      </c>
      <c r="CM216" s="13">
        <f>IFERROR(BK216/BR216*(BU216-BASELINE_CPR),0)</f>
        <v/>
      </c>
      <c r="CN216" s="13">
        <f>IFERROR(BL216/BR216*(BU216-BASELINE_CPR),0)</f>
        <v/>
      </c>
      <c r="CO216" s="13">
        <f>IFERROR(BM216/BR216*(BU216-BASELINE_CPR),0)</f>
        <v/>
      </c>
      <c r="CP216" s="13">
        <f>IFERROR(BN216/BR216*(BU216-BASELINE_CPR),0)</f>
        <v/>
      </c>
      <c r="CQ216" s="13">
        <f>IFERROR(BO216/BR216*(BU216-BASELINE_CPR),0)</f>
        <v/>
      </c>
      <c r="CR216" s="13">
        <f>IFERROR(BP216/BR216*(BU216-BASELINE_CPR),0)</f>
        <v/>
      </c>
      <c r="CS216" s="13">
        <f>IFERROR(BQ216/BR216*(BU216-BASELINE_CPR),0)</f>
        <v/>
      </c>
      <c r="CT216" s="29">
        <f>BASELINE_CPR+SUM(BV216:CS216)-BU216</f>
        <v/>
      </c>
    </row>
    <row r="217">
      <c r="A217" s="2" t="inlineStr">
        <is>
          <t>3618L6QD4_000000005322286</t>
        </is>
      </c>
      <c r="B217" t="inlineStr">
        <is>
          <t>KEYBANK_POST21</t>
        </is>
      </c>
      <c r="C217" s="2" t="inlineStr">
        <is>
          <t>3618L6QD4</t>
        </is>
      </c>
      <c r="D217" t="inlineStr">
        <is>
          <t>KEYBANK NATIONAL ASSOCIATION</t>
        </is>
      </c>
      <c r="E217" t="inlineStr">
        <is>
          <t>232</t>
        </is>
      </c>
      <c r="F217" t="inlineStr">
        <is>
          <t>RP</t>
        </is>
      </c>
      <c r="G217" t="n">
        <v>2025</v>
      </c>
      <c r="H217" t="inlineStr">
        <is>
          <t>202602</t>
        </is>
      </c>
      <c r="I217" s="22" t="n">
        <v>35723840.9</v>
      </c>
      <c r="J217" s="23" t="n">
        <v>5.4</v>
      </c>
      <c r="K217" s="24" t="n">
        <v>447</v>
      </c>
      <c r="L217" s="24" t="n">
        <v>10</v>
      </c>
      <c r="M217" t="n">
        <v>5</v>
      </c>
      <c r="N217" t="n">
        <v>0</v>
      </c>
      <c r="O217" t="n">
        <v>206010</v>
      </c>
      <c r="P217" t="inlineStr"/>
      <c r="Q217" t="inlineStr">
        <is>
          <t>4271</t>
        </is>
      </c>
      <c r="R217" t="n">
        <v>1</v>
      </c>
      <c r="S217" t="n">
        <v>0</v>
      </c>
      <c r="T217" t="n">
        <v>0</v>
      </c>
      <c r="U217" t="n">
        <v>0</v>
      </c>
      <c r="V217" s="24">
        <f>J217*100-K217</f>
        <v/>
      </c>
      <c r="W217" s="24">
        <f>L217</f>
        <v/>
      </c>
      <c r="X217" s="25">
        <f>MIN(M217,36)</f>
        <v/>
      </c>
      <c r="Y217" s="25">
        <f>MIN(MAX(M217-36,0),84)</f>
        <v/>
      </c>
      <c r="Z217" s="25">
        <f>MAX(M217-120,0)</f>
        <v/>
      </c>
      <c r="AA217" s="25">
        <f>IF(OR(O217="",NOT(ISNUMBER(O217))),360,MAX(0,MIN(480,(INT(O217/100)-INT(VALUE(H217)/100))*12+MOD(O217,100)-MOD(VALUE(H217),100))))</f>
        <v/>
      </c>
      <c r="AB217">
        <f>IF(AND(AA217&gt;0,AA217&lt;=24),1,0)</f>
        <v/>
      </c>
      <c r="AC217" s="25">
        <f>IF(OR(P217="",NOT(ISNUMBER(P217))),0,MAX(0,MIN(24,(INT(VALUE(H217)/100)-INT(P217/100))*12+MOD(VALUE(H217),100)-MOD(P217,100))))</f>
        <v/>
      </c>
      <c r="AD217" s="23">
        <f>LN(1+I217)</f>
        <v/>
      </c>
      <c r="AE217">
        <f>IF(I217&lt;2000000,1,0)</f>
        <v/>
      </c>
      <c r="AF217">
        <f>IF(I217&gt;50000000,1,0)</f>
        <v/>
      </c>
      <c r="AG217" s="23">
        <f>IF(ISNUMBER(M217),N217/MAX(M217,1),0)</f>
        <v/>
      </c>
      <c r="AH217">
        <f>IF(G217&gt;=2021,1,0)</f>
        <v/>
      </c>
      <c r="AI217">
        <f>S217</f>
        <v/>
      </c>
      <c r="AJ217">
        <f>T217</f>
        <v/>
      </c>
      <c r="AK217">
        <f>R217</f>
        <v/>
      </c>
      <c r="AL217">
        <f>U217</f>
        <v/>
      </c>
      <c r="AM217">
        <f>IF(ISNUMBER(SEARCH("CAPITAL FUNDING",D217)),1,0)</f>
        <v/>
      </c>
      <c r="AN217">
        <f>IF(ISNUMBER(SEARCH("PNC",D217)),1,0)</f>
        <v/>
      </c>
      <c r="AO217">
        <f>IF(ISNUMBER(SEARCH("WELLS FARGO",D217)),1,0)</f>
        <v/>
      </c>
      <c r="AP217">
        <f>IF(ISNUMBER(SEARCH("DWIGHT",D217)),1,0)</f>
        <v/>
      </c>
      <c r="AQ217">
        <f>IF(ISNUMBER(SEARCH("GREYSTONE",D217)),1,0)</f>
        <v/>
      </c>
      <c r="AR217">
        <f>IF(OR(Q217="3896",Q217="3557"),1,0)</f>
        <v/>
      </c>
      <c r="AS217" s="24">
        <f>V217*W217</f>
        <v/>
      </c>
      <c r="AT217" s="26">
        <f>V$4*(V217-V$3)</f>
        <v/>
      </c>
      <c r="AU217" s="26">
        <f>W$4*(W217-W$3)</f>
        <v/>
      </c>
      <c r="AV217" s="26">
        <f>X$4*(X217-X$3)</f>
        <v/>
      </c>
      <c r="AW217" s="26">
        <f>Y$4*(Y217-Y$3)</f>
        <v/>
      </c>
      <c r="AX217" s="26">
        <f>Z$4*(Z217-Z$3)</f>
        <v/>
      </c>
      <c r="AY217" s="26">
        <f>AA$4*(AA217-AA$3)</f>
        <v/>
      </c>
      <c r="AZ217" s="26">
        <f>AB$4*(AB217-AB$3)</f>
        <v/>
      </c>
      <c r="BA217" s="26">
        <f>AC$4*(AC217-AC$3)</f>
        <v/>
      </c>
      <c r="BB217" s="26">
        <f>AD$4*(AD217-AD$3)</f>
        <v/>
      </c>
      <c r="BC217" s="26">
        <f>AE$4*(AE217-AE$3)</f>
        <v/>
      </c>
      <c r="BD217" s="26">
        <f>AF$4*(AF217-AF$3)</f>
        <v/>
      </c>
      <c r="BE217" s="26">
        <f>AG$4*(AG217-AG$3)</f>
        <v/>
      </c>
      <c r="BF217" s="26">
        <f>AH$4*(AH217-AH$3)</f>
        <v/>
      </c>
      <c r="BG217" s="26">
        <f>AI$4*(AI217-AI$3)</f>
        <v/>
      </c>
      <c r="BH217" s="26">
        <f>AJ$4*(AJ217-AJ$3)</f>
        <v/>
      </c>
      <c r="BI217" s="26">
        <f>AK$4*(AK217-AK$3)</f>
        <v/>
      </c>
      <c r="BJ217" s="26">
        <f>AL$4*(AL217-AL$3)</f>
        <v/>
      </c>
      <c r="BK217" s="26">
        <f>AM$4*(AM217-AM$3)</f>
        <v/>
      </c>
      <c r="BL217" s="26">
        <f>AN$4*(AN217-AN$3)</f>
        <v/>
      </c>
      <c r="BM217" s="26">
        <f>AO$4*(AO217-AO$3)</f>
        <v/>
      </c>
      <c r="BN217" s="26">
        <f>AP$4*(AP217-AP$3)</f>
        <v/>
      </c>
      <c r="BO217" s="26">
        <f>AQ$4*(AQ217-AQ$3)</f>
        <v/>
      </c>
      <c r="BP217" s="26">
        <f>AR$4*(AR217-AR$3)</f>
        <v/>
      </c>
      <c r="BQ217" s="26">
        <f>AS$4*(AS217-AS$3)</f>
        <v/>
      </c>
      <c r="BR217" s="27">
        <f>SUM(AT217:BQ217)</f>
        <v/>
      </c>
      <c r="BS217" s="27">
        <f>INTERCEPT_SCALED+BR217</f>
        <v/>
      </c>
      <c r="BT217" s="28">
        <f>1/(1+EXP(-BS217))</f>
        <v/>
      </c>
      <c r="BU217" s="13">
        <f>1-(1-BT217)^12</f>
        <v/>
      </c>
      <c r="BV217" s="13">
        <f>IFERROR(AT217/BR217*(BU217-BASELINE_CPR),0)</f>
        <v/>
      </c>
      <c r="BW217" s="13">
        <f>IFERROR(AU217/BR217*(BU217-BASELINE_CPR),0)</f>
        <v/>
      </c>
      <c r="BX217" s="13">
        <f>IFERROR(AV217/BR217*(BU217-BASELINE_CPR),0)</f>
        <v/>
      </c>
      <c r="BY217" s="13">
        <f>IFERROR(AW217/BR217*(BU217-BASELINE_CPR),0)</f>
        <v/>
      </c>
      <c r="BZ217" s="13">
        <f>IFERROR(AX217/BR217*(BU217-BASELINE_CPR),0)</f>
        <v/>
      </c>
      <c r="CA217" s="13">
        <f>IFERROR(AY217/BR217*(BU217-BASELINE_CPR),0)</f>
        <v/>
      </c>
      <c r="CB217" s="13">
        <f>IFERROR(AZ217/BR217*(BU217-BASELINE_CPR),0)</f>
        <v/>
      </c>
      <c r="CC217" s="13">
        <f>IFERROR(BA217/BR217*(BU217-BASELINE_CPR),0)</f>
        <v/>
      </c>
      <c r="CD217" s="13">
        <f>IFERROR(BB217/BR217*(BU217-BASELINE_CPR),0)</f>
        <v/>
      </c>
      <c r="CE217" s="13">
        <f>IFERROR(BC217/BR217*(BU217-BASELINE_CPR),0)</f>
        <v/>
      </c>
      <c r="CF217" s="13">
        <f>IFERROR(BD217/BR217*(BU217-BASELINE_CPR),0)</f>
        <v/>
      </c>
      <c r="CG217" s="13">
        <f>IFERROR(BE217/BR217*(BU217-BASELINE_CPR),0)</f>
        <v/>
      </c>
      <c r="CH217" s="13">
        <f>IFERROR(BF217/BR217*(BU217-BASELINE_CPR),0)</f>
        <v/>
      </c>
      <c r="CI217" s="13">
        <f>IFERROR(BG217/BR217*(BU217-BASELINE_CPR),0)</f>
        <v/>
      </c>
      <c r="CJ217" s="13">
        <f>IFERROR(BH217/BR217*(BU217-BASELINE_CPR),0)</f>
        <v/>
      </c>
      <c r="CK217" s="13">
        <f>IFERROR(BI217/BR217*(BU217-BASELINE_CPR),0)</f>
        <v/>
      </c>
      <c r="CL217" s="13">
        <f>IFERROR(BJ217/BR217*(BU217-BASELINE_CPR),0)</f>
        <v/>
      </c>
      <c r="CM217" s="13">
        <f>IFERROR(BK217/BR217*(BU217-BASELINE_CPR),0)</f>
        <v/>
      </c>
      <c r="CN217" s="13">
        <f>IFERROR(BL217/BR217*(BU217-BASELINE_CPR),0)</f>
        <v/>
      </c>
      <c r="CO217" s="13">
        <f>IFERROR(BM217/BR217*(BU217-BASELINE_CPR),0)</f>
        <v/>
      </c>
      <c r="CP217" s="13">
        <f>IFERROR(BN217/BR217*(BU217-BASELINE_CPR),0)</f>
        <v/>
      </c>
      <c r="CQ217" s="13">
        <f>IFERROR(BO217/BR217*(BU217-BASELINE_CPR),0)</f>
        <v/>
      </c>
      <c r="CR217" s="13">
        <f>IFERROR(BP217/BR217*(BU217-BASELINE_CPR),0)</f>
        <v/>
      </c>
      <c r="CS217" s="13">
        <f>IFERROR(BQ217/BR217*(BU217-BASELINE_CPR),0)</f>
        <v/>
      </c>
      <c r="CT217" s="29">
        <f>BASELINE_CPR+SUM(BV217:CS217)-BU217</f>
        <v/>
      </c>
    </row>
    <row r="218">
      <c r="A218" s="2" t="inlineStr">
        <is>
          <t>3617BYXP1_000000005122144</t>
        </is>
      </c>
      <c r="B218" t="inlineStr">
        <is>
          <t>KEYBANK_PRE21</t>
        </is>
      </c>
      <c r="C218" s="2" t="inlineStr">
        <is>
          <t>3617BYXP1</t>
        </is>
      </c>
      <c r="D218" t="inlineStr">
        <is>
          <t>KEYBANK NATIONAL ASSOCIATION</t>
        </is>
      </c>
      <c r="E218" t="inlineStr">
        <is>
          <t>232</t>
        </is>
      </c>
      <c r="F218" t="inlineStr">
        <is>
          <t>RP</t>
        </is>
      </c>
      <c r="G218" t="n">
        <v>2017</v>
      </c>
      <c r="H218" t="inlineStr">
        <is>
          <t>202602</t>
        </is>
      </c>
      <c r="I218" s="22" t="n">
        <v>7327880.72</v>
      </c>
      <c r="J218" s="23" t="n">
        <v>3.3</v>
      </c>
      <c r="K218" s="24" t="n">
        <v>447</v>
      </c>
      <c r="L218" s="24" t="n">
        <v>2</v>
      </c>
      <c r="M218" t="n">
        <v>98</v>
      </c>
      <c r="N218" t="n">
        <v>25</v>
      </c>
      <c r="O218" t="n">
        <v>205301</v>
      </c>
      <c r="P218" t="inlineStr"/>
      <c r="Q218" t="inlineStr">
        <is>
          <t>4271</t>
        </is>
      </c>
      <c r="R218" t="n">
        <v>1</v>
      </c>
      <c r="S218" t="n">
        <v>0</v>
      </c>
      <c r="T218" t="n">
        <v>0</v>
      </c>
      <c r="U218" t="n">
        <v>0</v>
      </c>
      <c r="V218" s="24">
        <f>J218*100-K218</f>
        <v/>
      </c>
      <c r="W218" s="24">
        <f>L218</f>
        <v/>
      </c>
      <c r="X218" s="25">
        <f>MIN(M218,36)</f>
        <v/>
      </c>
      <c r="Y218" s="25">
        <f>MIN(MAX(M218-36,0),84)</f>
        <v/>
      </c>
      <c r="Z218" s="25">
        <f>MAX(M218-120,0)</f>
        <v/>
      </c>
      <c r="AA218" s="25">
        <f>IF(OR(O218="",NOT(ISNUMBER(O218))),360,MAX(0,MIN(480,(INT(O218/100)-INT(VALUE(H218)/100))*12+MOD(O218,100)-MOD(VALUE(H218),100))))</f>
        <v/>
      </c>
      <c r="AB218">
        <f>IF(AND(AA218&gt;0,AA218&lt;=24),1,0)</f>
        <v/>
      </c>
      <c r="AC218" s="25">
        <f>IF(OR(P218="",NOT(ISNUMBER(P218))),0,MAX(0,MIN(24,(INT(VALUE(H218)/100)-INT(P218/100))*12+MOD(VALUE(H218),100)-MOD(P218,100))))</f>
        <v/>
      </c>
      <c r="AD218" s="23">
        <f>LN(1+I218)</f>
        <v/>
      </c>
      <c r="AE218">
        <f>IF(I218&lt;2000000,1,0)</f>
        <v/>
      </c>
      <c r="AF218">
        <f>IF(I218&gt;50000000,1,0)</f>
        <v/>
      </c>
      <c r="AG218" s="23">
        <f>IF(ISNUMBER(M218),N218/MAX(M218,1),0)</f>
        <v/>
      </c>
      <c r="AH218">
        <f>IF(G218&gt;=2021,1,0)</f>
        <v/>
      </c>
      <c r="AI218">
        <f>S218</f>
        <v/>
      </c>
      <c r="AJ218">
        <f>T218</f>
        <v/>
      </c>
      <c r="AK218">
        <f>R218</f>
        <v/>
      </c>
      <c r="AL218">
        <f>U218</f>
        <v/>
      </c>
      <c r="AM218">
        <f>IF(ISNUMBER(SEARCH("CAPITAL FUNDING",D218)),1,0)</f>
        <v/>
      </c>
      <c r="AN218">
        <f>IF(ISNUMBER(SEARCH("PNC",D218)),1,0)</f>
        <v/>
      </c>
      <c r="AO218">
        <f>IF(ISNUMBER(SEARCH("WELLS FARGO",D218)),1,0)</f>
        <v/>
      </c>
      <c r="AP218">
        <f>IF(ISNUMBER(SEARCH("DWIGHT",D218)),1,0)</f>
        <v/>
      </c>
      <c r="AQ218">
        <f>IF(ISNUMBER(SEARCH("GREYSTONE",D218)),1,0)</f>
        <v/>
      </c>
      <c r="AR218">
        <f>IF(OR(Q218="3896",Q218="3557"),1,0)</f>
        <v/>
      </c>
      <c r="AS218" s="24">
        <f>V218*W218</f>
        <v/>
      </c>
      <c r="AT218" s="26">
        <f>V$4*(V218-V$3)</f>
        <v/>
      </c>
      <c r="AU218" s="26">
        <f>W$4*(W218-W$3)</f>
        <v/>
      </c>
      <c r="AV218" s="26">
        <f>X$4*(X218-X$3)</f>
        <v/>
      </c>
      <c r="AW218" s="26">
        <f>Y$4*(Y218-Y$3)</f>
        <v/>
      </c>
      <c r="AX218" s="26">
        <f>Z$4*(Z218-Z$3)</f>
        <v/>
      </c>
      <c r="AY218" s="26">
        <f>AA$4*(AA218-AA$3)</f>
        <v/>
      </c>
      <c r="AZ218" s="26">
        <f>AB$4*(AB218-AB$3)</f>
        <v/>
      </c>
      <c r="BA218" s="26">
        <f>AC$4*(AC218-AC$3)</f>
        <v/>
      </c>
      <c r="BB218" s="26">
        <f>AD$4*(AD218-AD$3)</f>
        <v/>
      </c>
      <c r="BC218" s="26">
        <f>AE$4*(AE218-AE$3)</f>
        <v/>
      </c>
      <c r="BD218" s="26">
        <f>AF$4*(AF218-AF$3)</f>
        <v/>
      </c>
      <c r="BE218" s="26">
        <f>AG$4*(AG218-AG$3)</f>
        <v/>
      </c>
      <c r="BF218" s="26">
        <f>AH$4*(AH218-AH$3)</f>
        <v/>
      </c>
      <c r="BG218" s="26">
        <f>AI$4*(AI218-AI$3)</f>
        <v/>
      </c>
      <c r="BH218" s="26">
        <f>AJ$4*(AJ218-AJ$3)</f>
        <v/>
      </c>
      <c r="BI218" s="26">
        <f>AK$4*(AK218-AK$3)</f>
        <v/>
      </c>
      <c r="BJ218" s="26">
        <f>AL$4*(AL218-AL$3)</f>
        <v/>
      </c>
      <c r="BK218" s="26">
        <f>AM$4*(AM218-AM$3)</f>
        <v/>
      </c>
      <c r="BL218" s="26">
        <f>AN$4*(AN218-AN$3)</f>
        <v/>
      </c>
      <c r="BM218" s="26">
        <f>AO$4*(AO218-AO$3)</f>
        <v/>
      </c>
      <c r="BN218" s="26">
        <f>AP$4*(AP218-AP$3)</f>
        <v/>
      </c>
      <c r="BO218" s="26">
        <f>AQ$4*(AQ218-AQ$3)</f>
        <v/>
      </c>
      <c r="BP218" s="26">
        <f>AR$4*(AR218-AR$3)</f>
        <v/>
      </c>
      <c r="BQ218" s="26">
        <f>AS$4*(AS218-AS$3)</f>
        <v/>
      </c>
      <c r="BR218" s="27">
        <f>SUM(AT218:BQ218)</f>
        <v/>
      </c>
      <c r="BS218" s="27">
        <f>INTERCEPT_SCALED+BR218</f>
        <v/>
      </c>
      <c r="BT218" s="28">
        <f>1/(1+EXP(-BS218))</f>
        <v/>
      </c>
      <c r="BU218" s="13">
        <f>1-(1-BT218)^12</f>
        <v/>
      </c>
      <c r="BV218" s="13">
        <f>IFERROR(AT218/BR218*(BU218-BASELINE_CPR),0)</f>
        <v/>
      </c>
      <c r="BW218" s="13">
        <f>IFERROR(AU218/BR218*(BU218-BASELINE_CPR),0)</f>
        <v/>
      </c>
      <c r="BX218" s="13">
        <f>IFERROR(AV218/BR218*(BU218-BASELINE_CPR),0)</f>
        <v/>
      </c>
      <c r="BY218" s="13">
        <f>IFERROR(AW218/BR218*(BU218-BASELINE_CPR),0)</f>
        <v/>
      </c>
      <c r="BZ218" s="13">
        <f>IFERROR(AX218/BR218*(BU218-BASELINE_CPR),0)</f>
        <v/>
      </c>
      <c r="CA218" s="13">
        <f>IFERROR(AY218/BR218*(BU218-BASELINE_CPR),0)</f>
        <v/>
      </c>
      <c r="CB218" s="13">
        <f>IFERROR(AZ218/BR218*(BU218-BASELINE_CPR),0)</f>
        <v/>
      </c>
      <c r="CC218" s="13">
        <f>IFERROR(BA218/BR218*(BU218-BASELINE_CPR),0)</f>
        <v/>
      </c>
      <c r="CD218" s="13">
        <f>IFERROR(BB218/BR218*(BU218-BASELINE_CPR),0)</f>
        <v/>
      </c>
      <c r="CE218" s="13">
        <f>IFERROR(BC218/BR218*(BU218-BASELINE_CPR),0)</f>
        <v/>
      </c>
      <c r="CF218" s="13">
        <f>IFERROR(BD218/BR218*(BU218-BASELINE_CPR),0)</f>
        <v/>
      </c>
      <c r="CG218" s="13">
        <f>IFERROR(BE218/BR218*(BU218-BASELINE_CPR),0)</f>
        <v/>
      </c>
      <c r="CH218" s="13">
        <f>IFERROR(BF218/BR218*(BU218-BASELINE_CPR),0)</f>
        <v/>
      </c>
      <c r="CI218" s="13">
        <f>IFERROR(BG218/BR218*(BU218-BASELINE_CPR),0)</f>
        <v/>
      </c>
      <c r="CJ218" s="13">
        <f>IFERROR(BH218/BR218*(BU218-BASELINE_CPR),0)</f>
        <v/>
      </c>
      <c r="CK218" s="13">
        <f>IFERROR(BI218/BR218*(BU218-BASELINE_CPR),0)</f>
        <v/>
      </c>
      <c r="CL218" s="13">
        <f>IFERROR(BJ218/BR218*(BU218-BASELINE_CPR),0)</f>
        <v/>
      </c>
      <c r="CM218" s="13">
        <f>IFERROR(BK218/BR218*(BU218-BASELINE_CPR),0)</f>
        <v/>
      </c>
      <c r="CN218" s="13">
        <f>IFERROR(BL218/BR218*(BU218-BASELINE_CPR),0)</f>
        <v/>
      </c>
      <c r="CO218" s="13">
        <f>IFERROR(BM218/BR218*(BU218-BASELINE_CPR),0)</f>
        <v/>
      </c>
      <c r="CP218" s="13">
        <f>IFERROR(BN218/BR218*(BU218-BASELINE_CPR),0)</f>
        <v/>
      </c>
      <c r="CQ218" s="13">
        <f>IFERROR(BO218/BR218*(BU218-BASELINE_CPR),0)</f>
        <v/>
      </c>
      <c r="CR218" s="13">
        <f>IFERROR(BP218/BR218*(BU218-BASELINE_CPR),0)</f>
        <v/>
      </c>
      <c r="CS218" s="13">
        <f>IFERROR(BQ218/BR218*(BU218-BASELINE_CPR),0)</f>
        <v/>
      </c>
      <c r="CT218" s="29">
        <f>BASELINE_CPR+SUM(BV218:CS218)-BU218</f>
        <v/>
      </c>
    </row>
    <row r="219">
      <c r="A219" s="2" t="inlineStr">
        <is>
          <t>3620AEWM8_000000011322062</t>
        </is>
      </c>
      <c r="B219" t="inlineStr">
        <is>
          <t>KEYBANK_PRE21</t>
        </is>
      </c>
      <c r="C219" s="2" t="inlineStr">
        <is>
          <t>3620AEWM8</t>
        </is>
      </c>
      <c r="D219" t="inlineStr">
        <is>
          <t>KEYBANK NATIONAL ASSOCIATION</t>
        </is>
      </c>
      <c r="E219" t="inlineStr">
        <is>
          <t>232</t>
        </is>
      </c>
      <c r="F219" t="inlineStr">
        <is>
          <t>RP</t>
        </is>
      </c>
      <c r="G219" t="n">
        <v>2011</v>
      </c>
      <c r="H219" t="inlineStr">
        <is>
          <t>202602</t>
        </is>
      </c>
      <c r="I219" s="22" t="n">
        <v>3922431.75</v>
      </c>
      <c r="J219" s="23" t="n">
        <v>4.28</v>
      </c>
      <c r="K219" s="24" t="n">
        <v>447</v>
      </c>
      <c r="L219" s="24" t="n">
        <v>0</v>
      </c>
      <c r="M219" t="n">
        <v>179</v>
      </c>
      <c r="N219" t="n">
        <v>45</v>
      </c>
      <c r="O219" t="n">
        <v>203604</v>
      </c>
      <c r="P219" t="inlineStr"/>
      <c r="Q219" t="inlineStr">
        <is>
          <t>4271</t>
        </is>
      </c>
      <c r="R219" t="n">
        <v>1</v>
      </c>
      <c r="S219" t="n">
        <v>0</v>
      </c>
      <c r="T219" t="n">
        <v>0</v>
      </c>
      <c r="U219" t="n">
        <v>0</v>
      </c>
      <c r="V219" s="24">
        <f>J219*100-K219</f>
        <v/>
      </c>
      <c r="W219" s="24">
        <f>L219</f>
        <v/>
      </c>
      <c r="X219" s="25">
        <f>MIN(M219,36)</f>
        <v/>
      </c>
      <c r="Y219" s="25">
        <f>MIN(MAX(M219-36,0),84)</f>
        <v/>
      </c>
      <c r="Z219" s="25">
        <f>MAX(M219-120,0)</f>
        <v/>
      </c>
      <c r="AA219" s="25">
        <f>IF(OR(O219="",NOT(ISNUMBER(O219))),360,MAX(0,MIN(480,(INT(O219/100)-INT(VALUE(H219)/100))*12+MOD(O219,100)-MOD(VALUE(H219),100))))</f>
        <v/>
      </c>
      <c r="AB219">
        <f>IF(AND(AA219&gt;0,AA219&lt;=24),1,0)</f>
        <v/>
      </c>
      <c r="AC219" s="25">
        <f>IF(OR(P219="",NOT(ISNUMBER(P219))),0,MAX(0,MIN(24,(INT(VALUE(H219)/100)-INT(P219/100))*12+MOD(VALUE(H219),100)-MOD(P219,100))))</f>
        <v/>
      </c>
      <c r="AD219" s="23">
        <f>LN(1+I219)</f>
        <v/>
      </c>
      <c r="AE219">
        <f>IF(I219&lt;2000000,1,0)</f>
        <v/>
      </c>
      <c r="AF219">
        <f>IF(I219&gt;50000000,1,0)</f>
        <v/>
      </c>
      <c r="AG219" s="23">
        <f>IF(ISNUMBER(M219),N219/MAX(M219,1),0)</f>
        <v/>
      </c>
      <c r="AH219">
        <f>IF(G219&gt;=2021,1,0)</f>
        <v/>
      </c>
      <c r="AI219">
        <f>S219</f>
        <v/>
      </c>
      <c r="AJ219">
        <f>T219</f>
        <v/>
      </c>
      <c r="AK219">
        <f>R219</f>
        <v/>
      </c>
      <c r="AL219">
        <f>U219</f>
        <v/>
      </c>
      <c r="AM219">
        <f>IF(ISNUMBER(SEARCH("CAPITAL FUNDING",D219)),1,0)</f>
        <v/>
      </c>
      <c r="AN219">
        <f>IF(ISNUMBER(SEARCH("PNC",D219)),1,0)</f>
        <v/>
      </c>
      <c r="AO219">
        <f>IF(ISNUMBER(SEARCH("WELLS FARGO",D219)),1,0)</f>
        <v/>
      </c>
      <c r="AP219">
        <f>IF(ISNUMBER(SEARCH("DWIGHT",D219)),1,0)</f>
        <v/>
      </c>
      <c r="AQ219">
        <f>IF(ISNUMBER(SEARCH("GREYSTONE",D219)),1,0)</f>
        <v/>
      </c>
      <c r="AR219">
        <f>IF(OR(Q219="3896",Q219="3557"),1,0)</f>
        <v/>
      </c>
      <c r="AS219" s="24">
        <f>V219*W219</f>
        <v/>
      </c>
      <c r="AT219" s="26">
        <f>V$4*(V219-V$3)</f>
        <v/>
      </c>
      <c r="AU219" s="26">
        <f>W$4*(W219-W$3)</f>
        <v/>
      </c>
      <c r="AV219" s="26">
        <f>X$4*(X219-X$3)</f>
        <v/>
      </c>
      <c r="AW219" s="26">
        <f>Y$4*(Y219-Y$3)</f>
        <v/>
      </c>
      <c r="AX219" s="26">
        <f>Z$4*(Z219-Z$3)</f>
        <v/>
      </c>
      <c r="AY219" s="26">
        <f>AA$4*(AA219-AA$3)</f>
        <v/>
      </c>
      <c r="AZ219" s="26">
        <f>AB$4*(AB219-AB$3)</f>
        <v/>
      </c>
      <c r="BA219" s="26">
        <f>AC$4*(AC219-AC$3)</f>
        <v/>
      </c>
      <c r="BB219" s="26">
        <f>AD$4*(AD219-AD$3)</f>
        <v/>
      </c>
      <c r="BC219" s="26">
        <f>AE$4*(AE219-AE$3)</f>
        <v/>
      </c>
      <c r="BD219" s="26">
        <f>AF$4*(AF219-AF$3)</f>
        <v/>
      </c>
      <c r="BE219" s="26">
        <f>AG$4*(AG219-AG$3)</f>
        <v/>
      </c>
      <c r="BF219" s="26">
        <f>AH$4*(AH219-AH$3)</f>
        <v/>
      </c>
      <c r="BG219" s="26">
        <f>AI$4*(AI219-AI$3)</f>
        <v/>
      </c>
      <c r="BH219" s="26">
        <f>AJ$4*(AJ219-AJ$3)</f>
        <v/>
      </c>
      <c r="BI219" s="26">
        <f>AK$4*(AK219-AK$3)</f>
        <v/>
      </c>
      <c r="BJ219" s="26">
        <f>AL$4*(AL219-AL$3)</f>
        <v/>
      </c>
      <c r="BK219" s="26">
        <f>AM$4*(AM219-AM$3)</f>
        <v/>
      </c>
      <c r="BL219" s="26">
        <f>AN$4*(AN219-AN$3)</f>
        <v/>
      </c>
      <c r="BM219" s="26">
        <f>AO$4*(AO219-AO$3)</f>
        <v/>
      </c>
      <c r="BN219" s="26">
        <f>AP$4*(AP219-AP$3)</f>
        <v/>
      </c>
      <c r="BO219" s="26">
        <f>AQ$4*(AQ219-AQ$3)</f>
        <v/>
      </c>
      <c r="BP219" s="26">
        <f>AR$4*(AR219-AR$3)</f>
        <v/>
      </c>
      <c r="BQ219" s="26">
        <f>AS$4*(AS219-AS$3)</f>
        <v/>
      </c>
      <c r="BR219" s="27">
        <f>SUM(AT219:BQ219)</f>
        <v/>
      </c>
      <c r="BS219" s="27">
        <f>INTERCEPT_SCALED+BR219</f>
        <v/>
      </c>
      <c r="BT219" s="28">
        <f>1/(1+EXP(-BS219))</f>
        <v/>
      </c>
      <c r="BU219" s="13">
        <f>1-(1-BT219)^12</f>
        <v/>
      </c>
      <c r="BV219" s="13">
        <f>IFERROR(AT219/BR219*(BU219-BASELINE_CPR),0)</f>
        <v/>
      </c>
      <c r="BW219" s="13">
        <f>IFERROR(AU219/BR219*(BU219-BASELINE_CPR),0)</f>
        <v/>
      </c>
      <c r="BX219" s="13">
        <f>IFERROR(AV219/BR219*(BU219-BASELINE_CPR),0)</f>
        <v/>
      </c>
      <c r="BY219" s="13">
        <f>IFERROR(AW219/BR219*(BU219-BASELINE_CPR),0)</f>
        <v/>
      </c>
      <c r="BZ219" s="13">
        <f>IFERROR(AX219/BR219*(BU219-BASELINE_CPR),0)</f>
        <v/>
      </c>
      <c r="CA219" s="13">
        <f>IFERROR(AY219/BR219*(BU219-BASELINE_CPR),0)</f>
        <v/>
      </c>
      <c r="CB219" s="13">
        <f>IFERROR(AZ219/BR219*(BU219-BASELINE_CPR),0)</f>
        <v/>
      </c>
      <c r="CC219" s="13">
        <f>IFERROR(BA219/BR219*(BU219-BASELINE_CPR),0)</f>
        <v/>
      </c>
      <c r="CD219" s="13">
        <f>IFERROR(BB219/BR219*(BU219-BASELINE_CPR),0)</f>
        <v/>
      </c>
      <c r="CE219" s="13">
        <f>IFERROR(BC219/BR219*(BU219-BASELINE_CPR),0)</f>
        <v/>
      </c>
      <c r="CF219" s="13">
        <f>IFERROR(BD219/BR219*(BU219-BASELINE_CPR),0)</f>
        <v/>
      </c>
      <c r="CG219" s="13">
        <f>IFERROR(BE219/BR219*(BU219-BASELINE_CPR),0)</f>
        <v/>
      </c>
      <c r="CH219" s="13">
        <f>IFERROR(BF219/BR219*(BU219-BASELINE_CPR),0)</f>
        <v/>
      </c>
      <c r="CI219" s="13">
        <f>IFERROR(BG219/BR219*(BU219-BASELINE_CPR),0)</f>
        <v/>
      </c>
      <c r="CJ219" s="13">
        <f>IFERROR(BH219/BR219*(BU219-BASELINE_CPR),0)</f>
        <v/>
      </c>
      <c r="CK219" s="13">
        <f>IFERROR(BI219/BR219*(BU219-BASELINE_CPR),0)</f>
        <v/>
      </c>
      <c r="CL219" s="13">
        <f>IFERROR(BJ219/BR219*(BU219-BASELINE_CPR),0)</f>
        <v/>
      </c>
      <c r="CM219" s="13">
        <f>IFERROR(BK219/BR219*(BU219-BASELINE_CPR),0)</f>
        <v/>
      </c>
      <c r="CN219" s="13">
        <f>IFERROR(BL219/BR219*(BU219-BASELINE_CPR),0)</f>
        <v/>
      </c>
      <c r="CO219" s="13">
        <f>IFERROR(BM219/BR219*(BU219-BASELINE_CPR),0)</f>
        <v/>
      </c>
      <c r="CP219" s="13">
        <f>IFERROR(BN219/BR219*(BU219-BASELINE_CPR),0)</f>
        <v/>
      </c>
      <c r="CQ219" s="13">
        <f>IFERROR(BO219/BR219*(BU219-BASELINE_CPR),0)</f>
        <v/>
      </c>
      <c r="CR219" s="13">
        <f>IFERROR(BP219/BR219*(BU219-BASELINE_CPR),0)</f>
        <v/>
      </c>
      <c r="CS219" s="13">
        <f>IFERROR(BQ219/BR219*(BU219-BASELINE_CPR),0)</f>
        <v/>
      </c>
      <c r="CT219" s="29">
        <f>BASELINE_CPR+SUM(BV219:CS219)-BU219</f>
        <v/>
      </c>
    </row>
    <row r="220">
      <c r="A220" s="2" t="inlineStr">
        <is>
          <t>3617ATE74_000000002422108</t>
        </is>
      </c>
      <c r="B220" t="inlineStr">
        <is>
          <t>KEYBANK_PRE21</t>
        </is>
      </c>
      <c r="C220" s="2" t="inlineStr">
        <is>
          <t>3617ATE74</t>
        </is>
      </c>
      <c r="D220" t="inlineStr">
        <is>
          <t>KEYBANK NATIONAL ASSOCIATION</t>
        </is>
      </c>
      <c r="E220" t="inlineStr">
        <is>
          <t>232</t>
        </is>
      </c>
      <c r="F220" t="inlineStr">
        <is>
          <t>RP</t>
        </is>
      </c>
      <c r="G220" t="n">
        <v>2017</v>
      </c>
      <c r="H220" t="inlineStr">
        <is>
          <t>202602</t>
        </is>
      </c>
      <c r="I220" s="22" t="n">
        <v>11973413.59</v>
      </c>
      <c r="J220" s="23" t="n">
        <v>3.24</v>
      </c>
      <c r="K220" s="24" t="n">
        <v>447</v>
      </c>
      <c r="L220" s="24" t="n">
        <v>2</v>
      </c>
      <c r="M220" t="n">
        <v>100</v>
      </c>
      <c r="N220" t="n">
        <v>25</v>
      </c>
      <c r="O220" t="n">
        <v>204711</v>
      </c>
      <c r="P220" t="inlineStr"/>
      <c r="Q220" t="inlineStr">
        <is>
          <t>4271</t>
        </is>
      </c>
      <c r="R220" t="n">
        <v>1</v>
      </c>
      <c r="S220" t="n">
        <v>0</v>
      </c>
      <c r="T220" t="n">
        <v>0</v>
      </c>
      <c r="U220" t="n">
        <v>0</v>
      </c>
      <c r="V220" s="24">
        <f>J220*100-K220</f>
        <v/>
      </c>
      <c r="W220" s="24">
        <f>L220</f>
        <v/>
      </c>
      <c r="X220" s="25">
        <f>MIN(M220,36)</f>
        <v/>
      </c>
      <c r="Y220" s="25">
        <f>MIN(MAX(M220-36,0),84)</f>
        <v/>
      </c>
      <c r="Z220" s="25">
        <f>MAX(M220-120,0)</f>
        <v/>
      </c>
      <c r="AA220" s="25">
        <f>IF(OR(O220="",NOT(ISNUMBER(O220))),360,MAX(0,MIN(480,(INT(O220/100)-INT(VALUE(H220)/100))*12+MOD(O220,100)-MOD(VALUE(H220),100))))</f>
        <v/>
      </c>
      <c r="AB220">
        <f>IF(AND(AA220&gt;0,AA220&lt;=24),1,0)</f>
        <v/>
      </c>
      <c r="AC220" s="25">
        <f>IF(OR(P220="",NOT(ISNUMBER(P220))),0,MAX(0,MIN(24,(INT(VALUE(H220)/100)-INT(P220/100))*12+MOD(VALUE(H220),100)-MOD(P220,100))))</f>
        <v/>
      </c>
      <c r="AD220" s="23">
        <f>LN(1+I220)</f>
        <v/>
      </c>
      <c r="AE220">
        <f>IF(I220&lt;2000000,1,0)</f>
        <v/>
      </c>
      <c r="AF220">
        <f>IF(I220&gt;50000000,1,0)</f>
        <v/>
      </c>
      <c r="AG220" s="23">
        <f>IF(ISNUMBER(M220),N220/MAX(M220,1),0)</f>
        <v/>
      </c>
      <c r="AH220">
        <f>IF(G220&gt;=2021,1,0)</f>
        <v/>
      </c>
      <c r="AI220">
        <f>S220</f>
        <v/>
      </c>
      <c r="AJ220">
        <f>T220</f>
        <v/>
      </c>
      <c r="AK220">
        <f>R220</f>
        <v/>
      </c>
      <c r="AL220">
        <f>U220</f>
        <v/>
      </c>
      <c r="AM220">
        <f>IF(ISNUMBER(SEARCH("CAPITAL FUNDING",D220)),1,0)</f>
        <v/>
      </c>
      <c r="AN220">
        <f>IF(ISNUMBER(SEARCH("PNC",D220)),1,0)</f>
        <v/>
      </c>
      <c r="AO220">
        <f>IF(ISNUMBER(SEARCH("WELLS FARGO",D220)),1,0)</f>
        <v/>
      </c>
      <c r="AP220">
        <f>IF(ISNUMBER(SEARCH("DWIGHT",D220)),1,0)</f>
        <v/>
      </c>
      <c r="AQ220">
        <f>IF(ISNUMBER(SEARCH("GREYSTONE",D220)),1,0)</f>
        <v/>
      </c>
      <c r="AR220">
        <f>IF(OR(Q220="3896",Q220="3557"),1,0)</f>
        <v/>
      </c>
      <c r="AS220" s="24">
        <f>V220*W220</f>
        <v/>
      </c>
      <c r="AT220" s="26">
        <f>V$4*(V220-V$3)</f>
        <v/>
      </c>
      <c r="AU220" s="26">
        <f>W$4*(W220-W$3)</f>
        <v/>
      </c>
      <c r="AV220" s="26">
        <f>X$4*(X220-X$3)</f>
        <v/>
      </c>
      <c r="AW220" s="26">
        <f>Y$4*(Y220-Y$3)</f>
        <v/>
      </c>
      <c r="AX220" s="26">
        <f>Z$4*(Z220-Z$3)</f>
        <v/>
      </c>
      <c r="AY220" s="26">
        <f>AA$4*(AA220-AA$3)</f>
        <v/>
      </c>
      <c r="AZ220" s="26">
        <f>AB$4*(AB220-AB$3)</f>
        <v/>
      </c>
      <c r="BA220" s="26">
        <f>AC$4*(AC220-AC$3)</f>
        <v/>
      </c>
      <c r="BB220" s="26">
        <f>AD$4*(AD220-AD$3)</f>
        <v/>
      </c>
      <c r="BC220" s="26">
        <f>AE$4*(AE220-AE$3)</f>
        <v/>
      </c>
      <c r="BD220" s="26">
        <f>AF$4*(AF220-AF$3)</f>
        <v/>
      </c>
      <c r="BE220" s="26">
        <f>AG$4*(AG220-AG$3)</f>
        <v/>
      </c>
      <c r="BF220" s="26">
        <f>AH$4*(AH220-AH$3)</f>
        <v/>
      </c>
      <c r="BG220" s="26">
        <f>AI$4*(AI220-AI$3)</f>
        <v/>
      </c>
      <c r="BH220" s="26">
        <f>AJ$4*(AJ220-AJ$3)</f>
        <v/>
      </c>
      <c r="BI220" s="26">
        <f>AK$4*(AK220-AK$3)</f>
        <v/>
      </c>
      <c r="BJ220" s="26">
        <f>AL$4*(AL220-AL$3)</f>
        <v/>
      </c>
      <c r="BK220" s="26">
        <f>AM$4*(AM220-AM$3)</f>
        <v/>
      </c>
      <c r="BL220" s="26">
        <f>AN$4*(AN220-AN$3)</f>
        <v/>
      </c>
      <c r="BM220" s="26">
        <f>AO$4*(AO220-AO$3)</f>
        <v/>
      </c>
      <c r="BN220" s="26">
        <f>AP$4*(AP220-AP$3)</f>
        <v/>
      </c>
      <c r="BO220" s="26">
        <f>AQ$4*(AQ220-AQ$3)</f>
        <v/>
      </c>
      <c r="BP220" s="26">
        <f>AR$4*(AR220-AR$3)</f>
        <v/>
      </c>
      <c r="BQ220" s="26">
        <f>AS$4*(AS220-AS$3)</f>
        <v/>
      </c>
      <c r="BR220" s="27">
        <f>SUM(AT220:BQ220)</f>
        <v/>
      </c>
      <c r="BS220" s="27">
        <f>INTERCEPT_SCALED+BR220</f>
        <v/>
      </c>
      <c r="BT220" s="28">
        <f>1/(1+EXP(-BS220))</f>
        <v/>
      </c>
      <c r="BU220" s="13">
        <f>1-(1-BT220)^12</f>
        <v/>
      </c>
      <c r="BV220" s="13">
        <f>IFERROR(AT220/BR220*(BU220-BASELINE_CPR),0)</f>
        <v/>
      </c>
      <c r="BW220" s="13">
        <f>IFERROR(AU220/BR220*(BU220-BASELINE_CPR),0)</f>
        <v/>
      </c>
      <c r="BX220" s="13">
        <f>IFERROR(AV220/BR220*(BU220-BASELINE_CPR),0)</f>
        <v/>
      </c>
      <c r="BY220" s="13">
        <f>IFERROR(AW220/BR220*(BU220-BASELINE_CPR),0)</f>
        <v/>
      </c>
      <c r="BZ220" s="13">
        <f>IFERROR(AX220/BR220*(BU220-BASELINE_CPR),0)</f>
        <v/>
      </c>
      <c r="CA220" s="13">
        <f>IFERROR(AY220/BR220*(BU220-BASELINE_CPR),0)</f>
        <v/>
      </c>
      <c r="CB220" s="13">
        <f>IFERROR(AZ220/BR220*(BU220-BASELINE_CPR),0)</f>
        <v/>
      </c>
      <c r="CC220" s="13">
        <f>IFERROR(BA220/BR220*(BU220-BASELINE_CPR),0)</f>
        <v/>
      </c>
      <c r="CD220" s="13">
        <f>IFERROR(BB220/BR220*(BU220-BASELINE_CPR),0)</f>
        <v/>
      </c>
      <c r="CE220" s="13">
        <f>IFERROR(BC220/BR220*(BU220-BASELINE_CPR),0)</f>
        <v/>
      </c>
      <c r="CF220" s="13">
        <f>IFERROR(BD220/BR220*(BU220-BASELINE_CPR),0)</f>
        <v/>
      </c>
      <c r="CG220" s="13">
        <f>IFERROR(BE220/BR220*(BU220-BASELINE_CPR),0)</f>
        <v/>
      </c>
      <c r="CH220" s="13">
        <f>IFERROR(BF220/BR220*(BU220-BASELINE_CPR),0)</f>
        <v/>
      </c>
      <c r="CI220" s="13">
        <f>IFERROR(BG220/BR220*(BU220-BASELINE_CPR),0)</f>
        <v/>
      </c>
      <c r="CJ220" s="13">
        <f>IFERROR(BH220/BR220*(BU220-BASELINE_CPR),0)</f>
        <v/>
      </c>
      <c r="CK220" s="13">
        <f>IFERROR(BI220/BR220*(BU220-BASELINE_CPR),0)</f>
        <v/>
      </c>
      <c r="CL220" s="13">
        <f>IFERROR(BJ220/BR220*(BU220-BASELINE_CPR),0)</f>
        <v/>
      </c>
      <c r="CM220" s="13">
        <f>IFERROR(BK220/BR220*(BU220-BASELINE_CPR),0)</f>
        <v/>
      </c>
      <c r="CN220" s="13">
        <f>IFERROR(BL220/BR220*(BU220-BASELINE_CPR),0)</f>
        <v/>
      </c>
      <c r="CO220" s="13">
        <f>IFERROR(BM220/BR220*(BU220-BASELINE_CPR),0)</f>
        <v/>
      </c>
      <c r="CP220" s="13">
        <f>IFERROR(BN220/BR220*(BU220-BASELINE_CPR),0)</f>
        <v/>
      </c>
      <c r="CQ220" s="13">
        <f>IFERROR(BO220/BR220*(BU220-BASELINE_CPR),0)</f>
        <v/>
      </c>
      <c r="CR220" s="13">
        <f>IFERROR(BP220/BR220*(BU220-BASELINE_CPR),0)</f>
        <v/>
      </c>
      <c r="CS220" s="13">
        <f>IFERROR(BQ220/BR220*(BU220-BASELINE_CPR),0)</f>
        <v/>
      </c>
      <c r="CT220" s="29">
        <f>BASELINE_CPR+SUM(BV220:CS220)-BU220</f>
        <v/>
      </c>
    </row>
    <row r="221">
      <c r="A221" s="2" t="inlineStr">
        <is>
          <t>3617J7MT6_000000001711211</t>
        </is>
      </c>
      <c r="B221" t="inlineStr">
        <is>
          <t>KEYBANK_PRE21</t>
        </is>
      </c>
      <c r="C221" s="2" t="inlineStr">
        <is>
          <t>3617J7MT6</t>
        </is>
      </c>
      <c r="D221" t="inlineStr">
        <is>
          <t>KEYBANK NATIONAL ASSOCIATION</t>
        </is>
      </c>
      <c r="E221" t="inlineStr">
        <is>
          <t>223f</t>
        </is>
      </c>
      <c r="F221" t="inlineStr">
        <is>
          <t>RP</t>
        </is>
      </c>
      <c r="G221" t="n">
        <v>2018</v>
      </c>
      <c r="H221" t="inlineStr">
        <is>
          <t>202602</t>
        </is>
      </c>
      <c r="I221" s="22" t="n">
        <v>2100799.83</v>
      </c>
      <c r="J221" s="23" t="n">
        <v>4.75</v>
      </c>
      <c r="K221" s="24" t="n">
        <v>447</v>
      </c>
      <c r="L221" s="24" t="n">
        <v>3</v>
      </c>
      <c r="M221" t="n">
        <v>86</v>
      </c>
      <c r="N221" t="n">
        <v>41</v>
      </c>
      <c r="O221" t="n">
        <v>205401</v>
      </c>
      <c r="P221" t="inlineStr"/>
      <c r="Q221" t="inlineStr">
        <is>
          <t>4271</t>
        </is>
      </c>
      <c r="R221" t="n">
        <v>0</v>
      </c>
      <c r="S221" t="n">
        <v>0</v>
      </c>
      <c r="T221" t="n">
        <v>0</v>
      </c>
      <c r="U221" t="n">
        <v>0</v>
      </c>
      <c r="V221" s="24">
        <f>J221*100-K221</f>
        <v/>
      </c>
      <c r="W221" s="24">
        <f>L221</f>
        <v/>
      </c>
      <c r="X221" s="25">
        <f>MIN(M221,36)</f>
        <v/>
      </c>
      <c r="Y221" s="25">
        <f>MIN(MAX(M221-36,0),84)</f>
        <v/>
      </c>
      <c r="Z221" s="25">
        <f>MAX(M221-120,0)</f>
        <v/>
      </c>
      <c r="AA221" s="25">
        <f>IF(OR(O221="",NOT(ISNUMBER(O221))),360,MAX(0,MIN(480,(INT(O221/100)-INT(VALUE(H221)/100))*12+MOD(O221,100)-MOD(VALUE(H221),100))))</f>
        <v/>
      </c>
      <c r="AB221">
        <f>IF(AND(AA221&gt;0,AA221&lt;=24),1,0)</f>
        <v/>
      </c>
      <c r="AC221" s="25">
        <f>IF(OR(P221="",NOT(ISNUMBER(P221))),0,MAX(0,MIN(24,(INT(VALUE(H221)/100)-INT(P221/100))*12+MOD(VALUE(H221),100)-MOD(P221,100))))</f>
        <v/>
      </c>
      <c r="AD221" s="23">
        <f>LN(1+I221)</f>
        <v/>
      </c>
      <c r="AE221">
        <f>IF(I221&lt;2000000,1,0)</f>
        <v/>
      </c>
      <c r="AF221">
        <f>IF(I221&gt;50000000,1,0)</f>
        <v/>
      </c>
      <c r="AG221" s="23">
        <f>IF(ISNUMBER(M221),N221/MAX(M221,1),0)</f>
        <v/>
      </c>
      <c r="AH221">
        <f>IF(G221&gt;=2021,1,0)</f>
        <v/>
      </c>
      <c r="AI221">
        <f>S221</f>
        <v/>
      </c>
      <c r="AJ221">
        <f>T221</f>
        <v/>
      </c>
      <c r="AK221">
        <f>R221</f>
        <v/>
      </c>
      <c r="AL221">
        <f>U221</f>
        <v/>
      </c>
      <c r="AM221">
        <f>IF(ISNUMBER(SEARCH("CAPITAL FUNDING",D221)),1,0)</f>
        <v/>
      </c>
      <c r="AN221">
        <f>IF(ISNUMBER(SEARCH("PNC",D221)),1,0)</f>
        <v/>
      </c>
      <c r="AO221">
        <f>IF(ISNUMBER(SEARCH("WELLS FARGO",D221)),1,0)</f>
        <v/>
      </c>
      <c r="AP221">
        <f>IF(ISNUMBER(SEARCH("DWIGHT",D221)),1,0)</f>
        <v/>
      </c>
      <c r="AQ221">
        <f>IF(ISNUMBER(SEARCH("GREYSTONE",D221)),1,0)</f>
        <v/>
      </c>
      <c r="AR221">
        <f>IF(OR(Q221="3896",Q221="3557"),1,0)</f>
        <v/>
      </c>
      <c r="AS221" s="24">
        <f>V221*W221</f>
        <v/>
      </c>
      <c r="AT221" s="26">
        <f>V$4*(V221-V$3)</f>
        <v/>
      </c>
      <c r="AU221" s="26">
        <f>W$4*(W221-W$3)</f>
        <v/>
      </c>
      <c r="AV221" s="26">
        <f>X$4*(X221-X$3)</f>
        <v/>
      </c>
      <c r="AW221" s="26">
        <f>Y$4*(Y221-Y$3)</f>
        <v/>
      </c>
      <c r="AX221" s="26">
        <f>Z$4*(Z221-Z$3)</f>
        <v/>
      </c>
      <c r="AY221" s="26">
        <f>AA$4*(AA221-AA$3)</f>
        <v/>
      </c>
      <c r="AZ221" s="26">
        <f>AB$4*(AB221-AB$3)</f>
        <v/>
      </c>
      <c r="BA221" s="26">
        <f>AC$4*(AC221-AC$3)</f>
        <v/>
      </c>
      <c r="BB221" s="26">
        <f>AD$4*(AD221-AD$3)</f>
        <v/>
      </c>
      <c r="BC221" s="26">
        <f>AE$4*(AE221-AE$3)</f>
        <v/>
      </c>
      <c r="BD221" s="26">
        <f>AF$4*(AF221-AF$3)</f>
        <v/>
      </c>
      <c r="BE221" s="26">
        <f>AG$4*(AG221-AG$3)</f>
        <v/>
      </c>
      <c r="BF221" s="26">
        <f>AH$4*(AH221-AH$3)</f>
        <v/>
      </c>
      <c r="BG221" s="26">
        <f>AI$4*(AI221-AI$3)</f>
        <v/>
      </c>
      <c r="BH221" s="26">
        <f>AJ$4*(AJ221-AJ$3)</f>
        <v/>
      </c>
      <c r="BI221" s="26">
        <f>AK$4*(AK221-AK$3)</f>
        <v/>
      </c>
      <c r="BJ221" s="26">
        <f>AL$4*(AL221-AL$3)</f>
        <v/>
      </c>
      <c r="BK221" s="26">
        <f>AM$4*(AM221-AM$3)</f>
        <v/>
      </c>
      <c r="BL221" s="26">
        <f>AN$4*(AN221-AN$3)</f>
        <v/>
      </c>
      <c r="BM221" s="26">
        <f>AO$4*(AO221-AO$3)</f>
        <v/>
      </c>
      <c r="BN221" s="26">
        <f>AP$4*(AP221-AP$3)</f>
        <v/>
      </c>
      <c r="BO221" s="26">
        <f>AQ$4*(AQ221-AQ$3)</f>
        <v/>
      </c>
      <c r="BP221" s="26">
        <f>AR$4*(AR221-AR$3)</f>
        <v/>
      </c>
      <c r="BQ221" s="26">
        <f>AS$4*(AS221-AS$3)</f>
        <v/>
      </c>
      <c r="BR221" s="27">
        <f>SUM(AT221:BQ221)</f>
        <v/>
      </c>
      <c r="BS221" s="27">
        <f>INTERCEPT_SCALED+BR221</f>
        <v/>
      </c>
      <c r="BT221" s="28">
        <f>1/(1+EXP(-BS221))</f>
        <v/>
      </c>
      <c r="BU221" s="13">
        <f>1-(1-BT221)^12</f>
        <v/>
      </c>
      <c r="BV221" s="13">
        <f>IFERROR(AT221/BR221*(BU221-BASELINE_CPR),0)</f>
        <v/>
      </c>
      <c r="BW221" s="13">
        <f>IFERROR(AU221/BR221*(BU221-BASELINE_CPR),0)</f>
        <v/>
      </c>
      <c r="BX221" s="13">
        <f>IFERROR(AV221/BR221*(BU221-BASELINE_CPR),0)</f>
        <v/>
      </c>
      <c r="BY221" s="13">
        <f>IFERROR(AW221/BR221*(BU221-BASELINE_CPR),0)</f>
        <v/>
      </c>
      <c r="BZ221" s="13">
        <f>IFERROR(AX221/BR221*(BU221-BASELINE_CPR),0)</f>
        <v/>
      </c>
      <c r="CA221" s="13">
        <f>IFERROR(AY221/BR221*(BU221-BASELINE_CPR),0)</f>
        <v/>
      </c>
      <c r="CB221" s="13">
        <f>IFERROR(AZ221/BR221*(BU221-BASELINE_CPR),0)</f>
        <v/>
      </c>
      <c r="CC221" s="13">
        <f>IFERROR(BA221/BR221*(BU221-BASELINE_CPR),0)</f>
        <v/>
      </c>
      <c r="CD221" s="13">
        <f>IFERROR(BB221/BR221*(BU221-BASELINE_CPR),0)</f>
        <v/>
      </c>
      <c r="CE221" s="13">
        <f>IFERROR(BC221/BR221*(BU221-BASELINE_CPR),0)</f>
        <v/>
      </c>
      <c r="CF221" s="13">
        <f>IFERROR(BD221/BR221*(BU221-BASELINE_CPR),0)</f>
        <v/>
      </c>
      <c r="CG221" s="13">
        <f>IFERROR(BE221/BR221*(BU221-BASELINE_CPR),0)</f>
        <v/>
      </c>
      <c r="CH221" s="13">
        <f>IFERROR(BF221/BR221*(BU221-BASELINE_CPR),0)</f>
        <v/>
      </c>
      <c r="CI221" s="13">
        <f>IFERROR(BG221/BR221*(BU221-BASELINE_CPR),0)</f>
        <v/>
      </c>
      <c r="CJ221" s="13">
        <f>IFERROR(BH221/BR221*(BU221-BASELINE_CPR),0)</f>
        <v/>
      </c>
      <c r="CK221" s="13">
        <f>IFERROR(BI221/BR221*(BU221-BASELINE_CPR),0)</f>
        <v/>
      </c>
      <c r="CL221" s="13">
        <f>IFERROR(BJ221/BR221*(BU221-BASELINE_CPR),0)</f>
        <v/>
      </c>
      <c r="CM221" s="13">
        <f>IFERROR(BK221/BR221*(BU221-BASELINE_CPR),0)</f>
        <v/>
      </c>
      <c r="CN221" s="13">
        <f>IFERROR(BL221/BR221*(BU221-BASELINE_CPR),0)</f>
        <v/>
      </c>
      <c r="CO221" s="13">
        <f>IFERROR(BM221/BR221*(BU221-BASELINE_CPR),0)</f>
        <v/>
      </c>
      <c r="CP221" s="13">
        <f>IFERROR(BN221/BR221*(BU221-BASELINE_CPR),0)</f>
        <v/>
      </c>
      <c r="CQ221" s="13">
        <f>IFERROR(BO221/BR221*(BU221-BASELINE_CPR),0)</f>
        <v/>
      </c>
      <c r="CR221" s="13">
        <f>IFERROR(BP221/BR221*(BU221-BASELINE_CPR),0)</f>
        <v/>
      </c>
      <c r="CS221" s="13">
        <f>IFERROR(BQ221/BR221*(BU221-BASELINE_CPR),0)</f>
        <v/>
      </c>
      <c r="CT221" s="29">
        <f>BASELINE_CPR+SUM(BV221:CS221)-BU221</f>
        <v/>
      </c>
    </row>
    <row r="222">
      <c r="A222" s="2" t="inlineStr">
        <is>
          <t>3620AEWQ9_000000011322064</t>
        </is>
      </c>
      <c r="B222" t="inlineStr">
        <is>
          <t>KEYBANK_PRE21</t>
        </is>
      </c>
      <c r="C222" s="2" t="inlineStr">
        <is>
          <t>3620AEWQ9</t>
        </is>
      </c>
      <c r="D222" t="inlineStr">
        <is>
          <t>KEYBANK NATIONAL ASSOCIATION</t>
        </is>
      </c>
      <c r="E222" t="inlineStr">
        <is>
          <t>232</t>
        </is>
      </c>
      <c r="F222" t="inlineStr">
        <is>
          <t>RP</t>
        </is>
      </c>
      <c r="G222" t="n">
        <v>2011</v>
      </c>
      <c r="H222" t="inlineStr">
        <is>
          <t>202602</t>
        </is>
      </c>
      <c r="I222" s="22" t="n">
        <v>4594985.17</v>
      </c>
      <c r="J222" s="23" t="n">
        <v>4.28</v>
      </c>
      <c r="K222" s="24" t="n">
        <v>447</v>
      </c>
      <c r="L222" s="24" t="n">
        <v>0</v>
      </c>
      <c r="M222" t="n">
        <v>179</v>
      </c>
      <c r="N222" t="n">
        <v>45</v>
      </c>
      <c r="O222" t="n">
        <v>203604</v>
      </c>
      <c r="P222" t="inlineStr"/>
      <c r="Q222" t="inlineStr">
        <is>
          <t>4271</t>
        </is>
      </c>
      <c r="R222" t="n">
        <v>1</v>
      </c>
      <c r="S222" t="n">
        <v>0</v>
      </c>
      <c r="T222" t="n">
        <v>0</v>
      </c>
      <c r="U222" t="n">
        <v>0</v>
      </c>
      <c r="V222" s="24">
        <f>J222*100-K222</f>
        <v/>
      </c>
      <c r="W222" s="24">
        <f>L222</f>
        <v/>
      </c>
      <c r="X222" s="25">
        <f>MIN(M222,36)</f>
        <v/>
      </c>
      <c r="Y222" s="25">
        <f>MIN(MAX(M222-36,0),84)</f>
        <v/>
      </c>
      <c r="Z222" s="25">
        <f>MAX(M222-120,0)</f>
        <v/>
      </c>
      <c r="AA222" s="25">
        <f>IF(OR(O222="",NOT(ISNUMBER(O222))),360,MAX(0,MIN(480,(INT(O222/100)-INT(VALUE(H222)/100))*12+MOD(O222,100)-MOD(VALUE(H222),100))))</f>
        <v/>
      </c>
      <c r="AB222">
        <f>IF(AND(AA222&gt;0,AA222&lt;=24),1,0)</f>
        <v/>
      </c>
      <c r="AC222" s="25">
        <f>IF(OR(P222="",NOT(ISNUMBER(P222))),0,MAX(0,MIN(24,(INT(VALUE(H222)/100)-INT(P222/100))*12+MOD(VALUE(H222),100)-MOD(P222,100))))</f>
        <v/>
      </c>
      <c r="AD222" s="23">
        <f>LN(1+I222)</f>
        <v/>
      </c>
      <c r="AE222">
        <f>IF(I222&lt;2000000,1,0)</f>
        <v/>
      </c>
      <c r="AF222">
        <f>IF(I222&gt;50000000,1,0)</f>
        <v/>
      </c>
      <c r="AG222" s="23">
        <f>IF(ISNUMBER(M222),N222/MAX(M222,1),0)</f>
        <v/>
      </c>
      <c r="AH222">
        <f>IF(G222&gt;=2021,1,0)</f>
        <v/>
      </c>
      <c r="AI222">
        <f>S222</f>
        <v/>
      </c>
      <c r="AJ222">
        <f>T222</f>
        <v/>
      </c>
      <c r="AK222">
        <f>R222</f>
        <v/>
      </c>
      <c r="AL222">
        <f>U222</f>
        <v/>
      </c>
      <c r="AM222">
        <f>IF(ISNUMBER(SEARCH("CAPITAL FUNDING",D222)),1,0)</f>
        <v/>
      </c>
      <c r="AN222">
        <f>IF(ISNUMBER(SEARCH("PNC",D222)),1,0)</f>
        <v/>
      </c>
      <c r="AO222">
        <f>IF(ISNUMBER(SEARCH("WELLS FARGO",D222)),1,0)</f>
        <v/>
      </c>
      <c r="AP222">
        <f>IF(ISNUMBER(SEARCH("DWIGHT",D222)),1,0)</f>
        <v/>
      </c>
      <c r="AQ222">
        <f>IF(ISNUMBER(SEARCH("GREYSTONE",D222)),1,0)</f>
        <v/>
      </c>
      <c r="AR222">
        <f>IF(OR(Q222="3896",Q222="3557"),1,0)</f>
        <v/>
      </c>
      <c r="AS222" s="24">
        <f>V222*W222</f>
        <v/>
      </c>
      <c r="AT222" s="26">
        <f>V$4*(V222-V$3)</f>
        <v/>
      </c>
      <c r="AU222" s="26">
        <f>W$4*(W222-W$3)</f>
        <v/>
      </c>
      <c r="AV222" s="26">
        <f>X$4*(X222-X$3)</f>
        <v/>
      </c>
      <c r="AW222" s="26">
        <f>Y$4*(Y222-Y$3)</f>
        <v/>
      </c>
      <c r="AX222" s="26">
        <f>Z$4*(Z222-Z$3)</f>
        <v/>
      </c>
      <c r="AY222" s="26">
        <f>AA$4*(AA222-AA$3)</f>
        <v/>
      </c>
      <c r="AZ222" s="26">
        <f>AB$4*(AB222-AB$3)</f>
        <v/>
      </c>
      <c r="BA222" s="26">
        <f>AC$4*(AC222-AC$3)</f>
        <v/>
      </c>
      <c r="BB222" s="26">
        <f>AD$4*(AD222-AD$3)</f>
        <v/>
      </c>
      <c r="BC222" s="26">
        <f>AE$4*(AE222-AE$3)</f>
        <v/>
      </c>
      <c r="BD222" s="26">
        <f>AF$4*(AF222-AF$3)</f>
        <v/>
      </c>
      <c r="BE222" s="26">
        <f>AG$4*(AG222-AG$3)</f>
        <v/>
      </c>
      <c r="BF222" s="26">
        <f>AH$4*(AH222-AH$3)</f>
        <v/>
      </c>
      <c r="BG222" s="26">
        <f>AI$4*(AI222-AI$3)</f>
        <v/>
      </c>
      <c r="BH222" s="26">
        <f>AJ$4*(AJ222-AJ$3)</f>
        <v/>
      </c>
      <c r="BI222" s="26">
        <f>AK$4*(AK222-AK$3)</f>
        <v/>
      </c>
      <c r="BJ222" s="26">
        <f>AL$4*(AL222-AL$3)</f>
        <v/>
      </c>
      <c r="BK222" s="26">
        <f>AM$4*(AM222-AM$3)</f>
        <v/>
      </c>
      <c r="BL222" s="26">
        <f>AN$4*(AN222-AN$3)</f>
        <v/>
      </c>
      <c r="BM222" s="26">
        <f>AO$4*(AO222-AO$3)</f>
        <v/>
      </c>
      <c r="BN222" s="26">
        <f>AP$4*(AP222-AP$3)</f>
        <v/>
      </c>
      <c r="BO222" s="26">
        <f>AQ$4*(AQ222-AQ$3)</f>
        <v/>
      </c>
      <c r="BP222" s="26">
        <f>AR$4*(AR222-AR$3)</f>
        <v/>
      </c>
      <c r="BQ222" s="26">
        <f>AS$4*(AS222-AS$3)</f>
        <v/>
      </c>
      <c r="BR222" s="27">
        <f>SUM(AT222:BQ222)</f>
        <v/>
      </c>
      <c r="BS222" s="27">
        <f>INTERCEPT_SCALED+BR222</f>
        <v/>
      </c>
      <c r="BT222" s="28">
        <f>1/(1+EXP(-BS222))</f>
        <v/>
      </c>
      <c r="BU222" s="13">
        <f>1-(1-BT222)^12</f>
        <v/>
      </c>
      <c r="BV222" s="13">
        <f>IFERROR(AT222/BR222*(BU222-BASELINE_CPR),0)</f>
        <v/>
      </c>
      <c r="BW222" s="13">
        <f>IFERROR(AU222/BR222*(BU222-BASELINE_CPR),0)</f>
        <v/>
      </c>
      <c r="BX222" s="13">
        <f>IFERROR(AV222/BR222*(BU222-BASELINE_CPR),0)</f>
        <v/>
      </c>
      <c r="BY222" s="13">
        <f>IFERROR(AW222/BR222*(BU222-BASELINE_CPR),0)</f>
        <v/>
      </c>
      <c r="BZ222" s="13">
        <f>IFERROR(AX222/BR222*(BU222-BASELINE_CPR),0)</f>
        <v/>
      </c>
      <c r="CA222" s="13">
        <f>IFERROR(AY222/BR222*(BU222-BASELINE_CPR),0)</f>
        <v/>
      </c>
      <c r="CB222" s="13">
        <f>IFERROR(AZ222/BR222*(BU222-BASELINE_CPR),0)</f>
        <v/>
      </c>
      <c r="CC222" s="13">
        <f>IFERROR(BA222/BR222*(BU222-BASELINE_CPR),0)</f>
        <v/>
      </c>
      <c r="CD222" s="13">
        <f>IFERROR(BB222/BR222*(BU222-BASELINE_CPR),0)</f>
        <v/>
      </c>
      <c r="CE222" s="13">
        <f>IFERROR(BC222/BR222*(BU222-BASELINE_CPR),0)</f>
        <v/>
      </c>
      <c r="CF222" s="13">
        <f>IFERROR(BD222/BR222*(BU222-BASELINE_CPR),0)</f>
        <v/>
      </c>
      <c r="CG222" s="13">
        <f>IFERROR(BE222/BR222*(BU222-BASELINE_CPR),0)</f>
        <v/>
      </c>
      <c r="CH222" s="13">
        <f>IFERROR(BF222/BR222*(BU222-BASELINE_CPR),0)</f>
        <v/>
      </c>
      <c r="CI222" s="13">
        <f>IFERROR(BG222/BR222*(BU222-BASELINE_CPR),0)</f>
        <v/>
      </c>
      <c r="CJ222" s="13">
        <f>IFERROR(BH222/BR222*(BU222-BASELINE_CPR),0)</f>
        <v/>
      </c>
      <c r="CK222" s="13">
        <f>IFERROR(BI222/BR222*(BU222-BASELINE_CPR),0)</f>
        <v/>
      </c>
      <c r="CL222" s="13">
        <f>IFERROR(BJ222/BR222*(BU222-BASELINE_CPR),0)</f>
        <v/>
      </c>
      <c r="CM222" s="13">
        <f>IFERROR(BK222/BR222*(BU222-BASELINE_CPR),0)</f>
        <v/>
      </c>
      <c r="CN222" s="13">
        <f>IFERROR(BL222/BR222*(BU222-BASELINE_CPR),0)</f>
        <v/>
      </c>
      <c r="CO222" s="13">
        <f>IFERROR(BM222/BR222*(BU222-BASELINE_CPR),0)</f>
        <v/>
      </c>
      <c r="CP222" s="13">
        <f>IFERROR(BN222/BR222*(BU222-BASELINE_CPR),0)</f>
        <v/>
      </c>
      <c r="CQ222" s="13">
        <f>IFERROR(BO222/BR222*(BU222-BASELINE_CPR),0)</f>
        <v/>
      </c>
      <c r="CR222" s="13">
        <f>IFERROR(BP222/BR222*(BU222-BASELINE_CPR),0)</f>
        <v/>
      </c>
      <c r="CS222" s="13">
        <f>IFERROR(BQ222/BR222*(BU222-BASELINE_CPR),0)</f>
        <v/>
      </c>
      <c r="CT222" s="29">
        <f>BASELINE_CPR+SUM(BV222:CS222)-BU222</f>
        <v/>
      </c>
    </row>
    <row r="223">
      <c r="A223" s="2" t="inlineStr">
        <is>
          <t>3617X45C3_000000008322086</t>
        </is>
      </c>
      <c r="B223" t="inlineStr">
        <is>
          <t>KEYBANK_PRE21</t>
        </is>
      </c>
      <c r="C223" s="2" t="inlineStr">
        <is>
          <t>3617X45C3</t>
        </is>
      </c>
      <c r="D223" t="inlineStr">
        <is>
          <t>KEYBANK NATIONAL ASSOCIATION</t>
        </is>
      </c>
      <c r="E223" t="inlineStr">
        <is>
          <t>232</t>
        </is>
      </c>
      <c r="F223" t="inlineStr">
        <is>
          <t>RP</t>
        </is>
      </c>
      <c r="G223" t="n">
        <v>2019</v>
      </c>
      <c r="H223" t="inlineStr">
        <is>
          <t>202602</t>
        </is>
      </c>
      <c r="I223" s="22" t="n">
        <v>18452989.41</v>
      </c>
      <c r="J223" s="23" t="n">
        <v>3.04</v>
      </c>
      <c r="K223" s="24" t="n">
        <v>447</v>
      </c>
      <c r="L223" s="24" t="n">
        <v>6</v>
      </c>
      <c r="M223" t="n">
        <v>77</v>
      </c>
      <c r="N223" t="n">
        <v>0</v>
      </c>
      <c r="O223" t="n">
        <v>205410</v>
      </c>
      <c r="P223" t="inlineStr"/>
      <c r="Q223" t="inlineStr">
        <is>
          <t>4271</t>
        </is>
      </c>
      <c r="R223" t="n">
        <v>1</v>
      </c>
      <c r="S223" t="n">
        <v>0</v>
      </c>
      <c r="T223" t="n">
        <v>0</v>
      </c>
      <c r="U223" t="n">
        <v>0</v>
      </c>
      <c r="V223" s="24">
        <f>J223*100-K223</f>
        <v/>
      </c>
      <c r="W223" s="24">
        <f>L223</f>
        <v/>
      </c>
      <c r="X223" s="25">
        <f>MIN(M223,36)</f>
        <v/>
      </c>
      <c r="Y223" s="25">
        <f>MIN(MAX(M223-36,0),84)</f>
        <v/>
      </c>
      <c r="Z223" s="25">
        <f>MAX(M223-120,0)</f>
        <v/>
      </c>
      <c r="AA223" s="25">
        <f>IF(OR(O223="",NOT(ISNUMBER(O223))),360,MAX(0,MIN(480,(INT(O223/100)-INT(VALUE(H223)/100))*12+MOD(O223,100)-MOD(VALUE(H223),100))))</f>
        <v/>
      </c>
      <c r="AB223">
        <f>IF(AND(AA223&gt;0,AA223&lt;=24),1,0)</f>
        <v/>
      </c>
      <c r="AC223" s="25">
        <f>IF(OR(P223="",NOT(ISNUMBER(P223))),0,MAX(0,MIN(24,(INT(VALUE(H223)/100)-INT(P223/100))*12+MOD(VALUE(H223),100)-MOD(P223,100))))</f>
        <v/>
      </c>
      <c r="AD223" s="23">
        <f>LN(1+I223)</f>
        <v/>
      </c>
      <c r="AE223">
        <f>IF(I223&lt;2000000,1,0)</f>
        <v/>
      </c>
      <c r="AF223">
        <f>IF(I223&gt;50000000,1,0)</f>
        <v/>
      </c>
      <c r="AG223" s="23">
        <f>IF(ISNUMBER(M223),N223/MAX(M223,1),0)</f>
        <v/>
      </c>
      <c r="AH223">
        <f>IF(G223&gt;=2021,1,0)</f>
        <v/>
      </c>
      <c r="AI223">
        <f>S223</f>
        <v/>
      </c>
      <c r="AJ223">
        <f>T223</f>
        <v/>
      </c>
      <c r="AK223">
        <f>R223</f>
        <v/>
      </c>
      <c r="AL223">
        <f>U223</f>
        <v/>
      </c>
      <c r="AM223">
        <f>IF(ISNUMBER(SEARCH("CAPITAL FUNDING",D223)),1,0)</f>
        <v/>
      </c>
      <c r="AN223">
        <f>IF(ISNUMBER(SEARCH("PNC",D223)),1,0)</f>
        <v/>
      </c>
      <c r="AO223">
        <f>IF(ISNUMBER(SEARCH("WELLS FARGO",D223)),1,0)</f>
        <v/>
      </c>
      <c r="AP223">
        <f>IF(ISNUMBER(SEARCH("DWIGHT",D223)),1,0)</f>
        <v/>
      </c>
      <c r="AQ223">
        <f>IF(ISNUMBER(SEARCH("GREYSTONE",D223)),1,0)</f>
        <v/>
      </c>
      <c r="AR223">
        <f>IF(OR(Q223="3896",Q223="3557"),1,0)</f>
        <v/>
      </c>
      <c r="AS223" s="24">
        <f>V223*W223</f>
        <v/>
      </c>
      <c r="AT223" s="26">
        <f>V$4*(V223-V$3)</f>
        <v/>
      </c>
      <c r="AU223" s="26">
        <f>W$4*(W223-W$3)</f>
        <v/>
      </c>
      <c r="AV223" s="26">
        <f>X$4*(X223-X$3)</f>
        <v/>
      </c>
      <c r="AW223" s="26">
        <f>Y$4*(Y223-Y$3)</f>
        <v/>
      </c>
      <c r="AX223" s="26">
        <f>Z$4*(Z223-Z$3)</f>
        <v/>
      </c>
      <c r="AY223" s="26">
        <f>AA$4*(AA223-AA$3)</f>
        <v/>
      </c>
      <c r="AZ223" s="26">
        <f>AB$4*(AB223-AB$3)</f>
        <v/>
      </c>
      <c r="BA223" s="26">
        <f>AC$4*(AC223-AC$3)</f>
        <v/>
      </c>
      <c r="BB223" s="26">
        <f>AD$4*(AD223-AD$3)</f>
        <v/>
      </c>
      <c r="BC223" s="26">
        <f>AE$4*(AE223-AE$3)</f>
        <v/>
      </c>
      <c r="BD223" s="26">
        <f>AF$4*(AF223-AF$3)</f>
        <v/>
      </c>
      <c r="BE223" s="26">
        <f>AG$4*(AG223-AG$3)</f>
        <v/>
      </c>
      <c r="BF223" s="26">
        <f>AH$4*(AH223-AH$3)</f>
        <v/>
      </c>
      <c r="BG223" s="26">
        <f>AI$4*(AI223-AI$3)</f>
        <v/>
      </c>
      <c r="BH223" s="26">
        <f>AJ$4*(AJ223-AJ$3)</f>
        <v/>
      </c>
      <c r="BI223" s="26">
        <f>AK$4*(AK223-AK$3)</f>
        <v/>
      </c>
      <c r="BJ223" s="26">
        <f>AL$4*(AL223-AL$3)</f>
        <v/>
      </c>
      <c r="BK223" s="26">
        <f>AM$4*(AM223-AM$3)</f>
        <v/>
      </c>
      <c r="BL223" s="26">
        <f>AN$4*(AN223-AN$3)</f>
        <v/>
      </c>
      <c r="BM223" s="26">
        <f>AO$4*(AO223-AO$3)</f>
        <v/>
      </c>
      <c r="BN223" s="26">
        <f>AP$4*(AP223-AP$3)</f>
        <v/>
      </c>
      <c r="BO223" s="26">
        <f>AQ$4*(AQ223-AQ$3)</f>
        <v/>
      </c>
      <c r="BP223" s="26">
        <f>AR$4*(AR223-AR$3)</f>
        <v/>
      </c>
      <c r="BQ223" s="26">
        <f>AS$4*(AS223-AS$3)</f>
        <v/>
      </c>
      <c r="BR223" s="27">
        <f>SUM(AT223:BQ223)</f>
        <v/>
      </c>
      <c r="BS223" s="27">
        <f>INTERCEPT_SCALED+BR223</f>
        <v/>
      </c>
      <c r="BT223" s="28">
        <f>1/(1+EXP(-BS223))</f>
        <v/>
      </c>
      <c r="BU223" s="13">
        <f>1-(1-BT223)^12</f>
        <v/>
      </c>
      <c r="BV223" s="13">
        <f>IFERROR(AT223/BR223*(BU223-BASELINE_CPR),0)</f>
        <v/>
      </c>
      <c r="BW223" s="13">
        <f>IFERROR(AU223/BR223*(BU223-BASELINE_CPR),0)</f>
        <v/>
      </c>
      <c r="BX223" s="13">
        <f>IFERROR(AV223/BR223*(BU223-BASELINE_CPR),0)</f>
        <v/>
      </c>
      <c r="BY223" s="13">
        <f>IFERROR(AW223/BR223*(BU223-BASELINE_CPR),0)</f>
        <v/>
      </c>
      <c r="BZ223" s="13">
        <f>IFERROR(AX223/BR223*(BU223-BASELINE_CPR),0)</f>
        <v/>
      </c>
      <c r="CA223" s="13">
        <f>IFERROR(AY223/BR223*(BU223-BASELINE_CPR),0)</f>
        <v/>
      </c>
      <c r="CB223" s="13">
        <f>IFERROR(AZ223/BR223*(BU223-BASELINE_CPR),0)</f>
        <v/>
      </c>
      <c r="CC223" s="13">
        <f>IFERROR(BA223/BR223*(BU223-BASELINE_CPR),0)</f>
        <v/>
      </c>
      <c r="CD223" s="13">
        <f>IFERROR(BB223/BR223*(BU223-BASELINE_CPR),0)</f>
        <v/>
      </c>
      <c r="CE223" s="13">
        <f>IFERROR(BC223/BR223*(BU223-BASELINE_CPR),0)</f>
        <v/>
      </c>
      <c r="CF223" s="13">
        <f>IFERROR(BD223/BR223*(BU223-BASELINE_CPR),0)</f>
        <v/>
      </c>
      <c r="CG223" s="13">
        <f>IFERROR(BE223/BR223*(BU223-BASELINE_CPR),0)</f>
        <v/>
      </c>
      <c r="CH223" s="13">
        <f>IFERROR(BF223/BR223*(BU223-BASELINE_CPR),0)</f>
        <v/>
      </c>
      <c r="CI223" s="13">
        <f>IFERROR(BG223/BR223*(BU223-BASELINE_CPR),0)</f>
        <v/>
      </c>
      <c r="CJ223" s="13">
        <f>IFERROR(BH223/BR223*(BU223-BASELINE_CPR),0)</f>
        <v/>
      </c>
      <c r="CK223" s="13">
        <f>IFERROR(BI223/BR223*(BU223-BASELINE_CPR),0)</f>
        <v/>
      </c>
      <c r="CL223" s="13">
        <f>IFERROR(BJ223/BR223*(BU223-BASELINE_CPR),0)</f>
        <v/>
      </c>
      <c r="CM223" s="13">
        <f>IFERROR(BK223/BR223*(BU223-BASELINE_CPR),0)</f>
        <v/>
      </c>
      <c r="CN223" s="13">
        <f>IFERROR(BL223/BR223*(BU223-BASELINE_CPR),0)</f>
        <v/>
      </c>
      <c r="CO223" s="13">
        <f>IFERROR(BM223/BR223*(BU223-BASELINE_CPR),0)</f>
        <v/>
      </c>
      <c r="CP223" s="13">
        <f>IFERROR(BN223/BR223*(BU223-BASELINE_CPR),0)</f>
        <v/>
      </c>
      <c r="CQ223" s="13">
        <f>IFERROR(BO223/BR223*(BU223-BASELINE_CPR),0)</f>
        <v/>
      </c>
      <c r="CR223" s="13">
        <f>IFERROR(BP223/BR223*(BU223-BASELINE_CPR),0)</f>
        <v/>
      </c>
      <c r="CS223" s="13">
        <f>IFERROR(BQ223/BR223*(BU223-BASELINE_CPR),0)</f>
        <v/>
      </c>
      <c r="CT223" s="29">
        <f>BASELINE_CPR+SUM(BV223:CS223)-BU223</f>
        <v/>
      </c>
    </row>
    <row r="224">
      <c r="A224" s="2" t="inlineStr">
        <is>
          <t>3617X45K5_000000008211161</t>
        </is>
      </c>
      <c r="B224" t="inlineStr">
        <is>
          <t>KEYBANK_POST21</t>
        </is>
      </c>
      <c r="C224" s="2" t="inlineStr">
        <is>
          <t>3617X45K5</t>
        </is>
      </c>
      <c r="D224" t="inlineStr">
        <is>
          <t>KEYBANK NATIONAL ASSOCIATION</t>
        </is>
      </c>
      <c r="E224" t="inlineStr">
        <is>
          <t>223f</t>
        </is>
      </c>
      <c r="F224" t="inlineStr">
        <is>
          <t>RP</t>
        </is>
      </c>
      <c r="G224" t="n">
        <v>2021</v>
      </c>
      <c r="H224" t="inlineStr">
        <is>
          <t>202602</t>
        </is>
      </c>
      <c r="I224" s="22" t="n">
        <v>25769713.74</v>
      </c>
      <c r="J224" s="23" t="n">
        <v>2.3</v>
      </c>
      <c r="K224" s="24" t="n">
        <v>447</v>
      </c>
      <c r="L224" s="24" t="n">
        <v>6</v>
      </c>
      <c r="M224" t="n">
        <v>50</v>
      </c>
      <c r="N224" t="n">
        <v>0</v>
      </c>
      <c r="O224" t="n">
        <v>205701</v>
      </c>
      <c r="P224" t="inlineStr"/>
      <c r="Q224" t="inlineStr">
        <is>
          <t>4271</t>
        </is>
      </c>
      <c r="R224" t="n">
        <v>0</v>
      </c>
      <c r="S224" t="n">
        <v>0</v>
      </c>
      <c r="T224" t="n">
        <v>0</v>
      </c>
      <c r="U224" t="n">
        <v>0</v>
      </c>
      <c r="V224" s="24">
        <f>J224*100-K224</f>
        <v/>
      </c>
      <c r="W224" s="24">
        <f>L224</f>
        <v/>
      </c>
      <c r="X224" s="25">
        <f>MIN(M224,36)</f>
        <v/>
      </c>
      <c r="Y224" s="25">
        <f>MIN(MAX(M224-36,0),84)</f>
        <v/>
      </c>
      <c r="Z224" s="25">
        <f>MAX(M224-120,0)</f>
        <v/>
      </c>
      <c r="AA224" s="25">
        <f>IF(OR(O224="",NOT(ISNUMBER(O224))),360,MAX(0,MIN(480,(INT(O224/100)-INT(VALUE(H224)/100))*12+MOD(O224,100)-MOD(VALUE(H224),100))))</f>
        <v/>
      </c>
      <c r="AB224">
        <f>IF(AND(AA224&gt;0,AA224&lt;=24),1,0)</f>
        <v/>
      </c>
      <c r="AC224" s="25">
        <f>IF(OR(P224="",NOT(ISNUMBER(P224))),0,MAX(0,MIN(24,(INT(VALUE(H224)/100)-INT(P224/100))*12+MOD(VALUE(H224),100)-MOD(P224,100))))</f>
        <v/>
      </c>
      <c r="AD224" s="23">
        <f>LN(1+I224)</f>
        <v/>
      </c>
      <c r="AE224">
        <f>IF(I224&lt;2000000,1,0)</f>
        <v/>
      </c>
      <c r="AF224">
        <f>IF(I224&gt;50000000,1,0)</f>
        <v/>
      </c>
      <c r="AG224" s="23">
        <f>IF(ISNUMBER(M224),N224/MAX(M224,1),0)</f>
        <v/>
      </c>
      <c r="AH224">
        <f>IF(G224&gt;=2021,1,0)</f>
        <v/>
      </c>
      <c r="AI224">
        <f>S224</f>
        <v/>
      </c>
      <c r="AJ224">
        <f>T224</f>
        <v/>
      </c>
      <c r="AK224">
        <f>R224</f>
        <v/>
      </c>
      <c r="AL224">
        <f>U224</f>
        <v/>
      </c>
      <c r="AM224">
        <f>IF(ISNUMBER(SEARCH("CAPITAL FUNDING",D224)),1,0)</f>
        <v/>
      </c>
      <c r="AN224">
        <f>IF(ISNUMBER(SEARCH("PNC",D224)),1,0)</f>
        <v/>
      </c>
      <c r="AO224">
        <f>IF(ISNUMBER(SEARCH("WELLS FARGO",D224)),1,0)</f>
        <v/>
      </c>
      <c r="AP224">
        <f>IF(ISNUMBER(SEARCH("DWIGHT",D224)),1,0)</f>
        <v/>
      </c>
      <c r="AQ224">
        <f>IF(ISNUMBER(SEARCH("GREYSTONE",D224)),1,0)</f>
        <v/>
      </c>
      <c r="AR224">
        <f>IF(OR(Q224="3896",Q224="3557"),1,0)</f>
        <v/>
      </c>
      <c r="AS224" s="24">
        <f>V224*W224</f>
        <v/>
      </c>
      <c r="AT224" s="26">
        <f>V$4*(V224-V$3)</f>
        <v/>
      </c>
      <c r="AU224" s="26">
        <f>W$4*(W224-W$3)</f>
        <v/>
      </c>
      <c r="AV224" s="26">
        <f>X$4*(X224-X$3)</f>
        <v/>
      </c>
      <c r="AW224" s="26">
        <f>Y$4*(Y224-Y$3)</f>
        <v/>
      </c>
      <c r="AX224" s="26">
        <f>Z$4*(Z224-Z$3)</f>
        <v/>
      </c>
      <c r="AY224" s="26">
        <f>AA$4*(AA224-AA$3)</f>
        <v/>
      </c>
      <c r="AZ224" s="26">
        <f>AB$4*(AB224-AB$3)</f>
        <v/>
      </c>
      <c r="BA224" s="26">
        <f>AC$4*(AC224-AC$3)</f>
        <v/>
      </c>
      <c r="BB224" s="26">
        <f>AD$4*(AD224-AD$3)</f>
        <v/>
      </c>
      <c r="BC224" s="26">
        <f>AE$4*(AE224-AE$3)</f>
        <v/>
      </c>
      <c r="BD224" s="26">
        <f>AF$4*(AF224-AF$3)</f>
        <v/>
      </c>
      <c r="BE224" s="26">
        <f>AG$4*(AG224-AG$3)</f>
        <v/>
      </c>
      <c r="BF224" s="26">
        <f>AH$4*(AH224-AH$3)</f>
        <v/>
      </c>
      <c r="BG224" s="26">
        <f>AI$4*(AI224-AI$3)</f>
        <v/>
      </c>
      <c r="BH224" s="26">
        <f>AJ$4*(AJ224-AJ$3)</f>
        <v/>
      </c>
      <c r="BI224" s="26">
        <f>AK$4*(AK224-AK$3)</f>
        <v/>
      </c>
      <c r="BJ224" s="26">
        <f>AL$4*(AL224-AL$3)</f>
        <v/>
      </c>
      <c r="BK224" s="26">
        <f>AM$4*(AM224-AM$3)</f>
        <v/>
      </c>
      <c r="BL224" s="26">
        <f>AN$4*(AN224-AN$3)</f>
        <v/>
      </c>
      <c r="BM224" s="26">
        <f>AO$4*(AO224-AO$3)</f>
        <v/>
      </c>
      <c r="BN224" s="26">
        <f>AP$4*(AP224-AP$3)</f>
        <v/>
      </c>
      <c r="BO224" s="26">
        <f>AQ$4*(AQ224-AQ$3)</f>
        <v/>
      </c>
      <c r="BP224" s="26">
        <f>AR$4*(AR224-AR$3)</f>
        <v/>
      </c>
      <c r="BQ224" s="26">
        <f>AS$4*(AS224-AS$3)</f>
        <v/>
      </c>
      <c r="BR224" s="27">
        <f>SUM(AT224:BQ224)</f>
        <v/>
      </c>
      <c r="BS224" s="27">
        <f>INTERCEPT_SCALED+BR224</f>
        <v/>
      </c>
      <c r="BT224" s="28">
        <f>1/(1+EXP(-BS224))</f>
        <v/>
      </c>
      <c r="BU224" s="13">
        <f>1-(1-BT224)^12</f>
        <v/>
      </c>
      <c r="BV224" s="13">
        <f>IFERROR(AT224/BR224*(BU224-BASELINE_CPR),0)</f>
        <v/>
      </c>
      <c r="BW224" s="13">
        <f>IFERROR(AU224/BR224*(BU224-BASELINE_CPR),0)</f>
        <v/>
      </c>
      <c r="BX224" s="13">
        <f>IFERROR(AV224/BR224*(BU224-BASELINE_CPR),0)</f>
        <v/>
      </c>
      <c r="BY224" s="13">
        <f>IFERROR(AW224/BR224*(BU224-BASELINE_CPR),0)</f>
        <v/>
      </c>
      <c r="BZ224" s="13">
        <f>IFERROR(AX224/BR224*(BU224-BASELINE_CPR),0)</f>
        <v/>
      </c>
      <c r="CA224" s="13">
        <f>IFERROR(AY224/BR224*(BU224-BASELINE_CPR),0)</f>
        <v/>
      </c>
      <c r="CB224" s="13">
        <f>IFERROR(AZ224/BR224*(BU224-BASELINE_CPR),0)</f>
        <v/>
      </c>
      <c r="CC224" s="13">
        <f>IFERROR(BA224/BR224*(BU224-BASELINE_CPR),0)</f>
        <v/>
      </c>
      <c r="CD224" s="13">
        <f>IFERROR(BB224/BR224*(BU224-BASELINE_CPR),0)</f>
        <v/>
      </c>
      <c r="CE224" s="13">
        <f>IFERROR(BC224/BR224*(BU224-BASELINE_CPR),0)</f>
        <v/>
      </c>
      <c r="CF224" s="13">
        <f>IFERROR(BD224/BR224*(BU224-BASELINE_CPR),0)</f>
        <v/>
      </c>
      <c r="CG224" s="13">
        <f>IFERROR(BE224/BR224*(BU224-BASELINE_CPR),0)</f>
        <v/>
      </c>
      <c r="CH224" s="13">
        <f>IFERROR(BF224/BR224*(BU224-BASELINE_CPR),0)</f>
        <v/>
      </c>
      <c r="CI224" s="13">
        <f>IFERROR(BG224/BR224*(BU224-BASELINE_CPR),0)</f>
        <v/>
      </c>
      <c r="CJ224" s="13">
        <f>IFERROR(BH224/BR224*(BU224-BASELINE_CPR),0)</f>
        <v/>
      </c>
      <c r="CK224" s="13">
        <f>IFERROR(BI224/BR224*(BU224-BASELINE_CPR),0)</f>
        <v/>
      </c>
      <c r="CL224" s="13">
        <f>IFERROR(BJ224/BR224*(BU224-BASELINE_CPR),0)</f>
        <v/>
      </c>
      <c r="CM224" s="13">
        <f>IFERROR(BK224/BR224*(BU224-BASELINE_CPR),0)</f>
        <v/>
      </c>
      <c r="CN224" s="13">
        <f>IFERROR(BL224/BR224*(BU224-BASELINE_CPR),0)</f>
        <v/>
      </c>
      <c r="CO224" s="13">
        <f>IFERROR(BM224/BR224*(BU224-BASELINE_CPR),0)</f>
        <v/>
      </c>
      <c r="CP224" s="13">
        <f>IFERROR(BN224/BR224*(BU224-BASELINE_CPR),0)</f>
        <v/>
      </c>
      <c r="CQ224" s="13">
        <f>IFERROR(BO224/BR224*(BU224-BASELINE_CPR),0)</f>
        <v/>
      </c>
      <c r="CR224" s="13">
        <f>IFERROR(BP224/BR224*(BU224-BASELINE_CPR),0)</f>
        <v/>
      </c>
      <c r="CS224" s="13">
        <f>IFERROR(BQ224/BR224*(BU224-BASELINE_CPR),0)</f>
        <v/>
      </c>
      <c r="CT224" s="29">
        <f>BASELINE_CPR+SUM(BV224:CS224)-BU224</f>
        <v/>
      </c>
    </row>
    <row r="225">
      <c r="A225" s="2" t="inlineStr">
        <is>
          <t>3617J7NB4_000000010535280</t>
        </is>
      </c>
      <c r="B225" t="inlineStr">
        <is>
          <t>KEYBANK_PRE21</t>
        </is>
      </c>
      <c r="C225" s="2" t="inlineStr">
        <is>
          <t>3617J7NB4</t>
        </is>
      </c>
      <c r="D225" t="inlineStr">
        <is>
          <t>KEYBANK NATIONAL ASSOCIATION</t>
        </is>
      </c>
      <c r="E225" t="inlineStr">
        <is>
          <t>221d4</t>
        </is>
      </c>
      <c r="F225" t="inlineStr">
        <is>
          <t>NC</t>
        </is>
      </c>
      <c r="G225" t="n">
        <v>2019</v>
      </c>
      <c r="H225" t="inlineStr">
        <is>
          <t>202602</t>
        </is>
      </c>
      <c r="I225" s="22" t="n">
        <v>47013276.32</v>
      </c>
      <c r="J225" s="23" t="n">
        <v>4.53</v>
      </c>
      <c r="K225" s="24" t="n">
        <v>447</v>
      </c>
      <c r="L225" s="24" t="n">
        <v>6</v>
      </c>
      <c r="M225" t="n">
        <v>81</v>
      </c>
      <c r="N225" t="n">
        <v>3</v>
      </c>
      <c r="O225" t="n">
        <v>206106</v>
      </c>
      <c r="P225" t="inlineStr"/>
      <c r="Q225" t="inlineStr">
        <is>
          <t>4271</t>
        </is>
      </c>
      <c r="R225" t="n">
        <v>0</v>
      </c>
      <c r="S225" t="n">
        <v>0</v>
      </c>
      <c r="T225" t="n">
        <v>0</v>
      </c>
      <c r="U225" t="n">
        <v>1</v>
      </c>
      <c r="V225" s="24">
        <f>J225*100-K225</f>
        <v/>
      </c>
      <c r="W225" s="24">
        <f>L225</f>
        <v/>
      </c>
      <c r="X225" s="25">
        <f>MIN(M225,36)</f>
        <v/>
      </c>
      <c r="Y225" s="25">
        <f>MIN(MAX(M225-36,0),84)</f>
        <v/>
      </c>
      <c r="Z225" s="25">
        <f>MAX(M225-120,0)</f>
        <v/>
      </c>
      <c r="AA225" s="25">
        <f>IF(OR(O225="",NOT(ISNUMBER(O225))),360,MAX(0,MIN(480,(INT(O225/100)-INT(VALUE(H225)/100))*12+MOD(O225,100)-MOD(VALUE(H225),100))))</f>
        <v/>
      </c>
      <c r="AB225">
        <f>IF(AND(AA225&gt;0,AA225&lt;=24),1,0)</f>
        <v/>
      </c>
      <c r="AC225" s="25">
        <f>IF(OR(P225="",NOT(ISNUMBER(P225))),0,MAX(0,MIN(24,(INT(VALUE(H225)/100)-INT(P225/100))*12+MOD(VALUE(H225),100)-MOD(P225,100))))</f>
        <v/>
      </c>
      <c r="AD225" s="23">
        <f>LN(1+I225)</f>
        <v/>
      </c>
      <c r="AE225">
        <f>IF(I225&lt;2000000,1,0)</f>
        <v/>
      </c>
      <c r="AF225">
        <f>IF(I225&gt;50000000,1,0)</f>
        <v/>
      </c>
      <c r="AG225" s="23">
        <f>IF(ISNUMBER(M225),N225/MAX(M225,1),0)</f>
        <v/>
      </c>
      <c r="AH225">
        <f>IF(G225&gt;=2021,1,0)</f>
        <v/>
      </c>
      <c r="AI225">
        <f>S225</f>
        <v/>
      </c>
      <c r="AJ225">
        <f>T225</f>
        <v/>
      </c>
      <c r="AK225">
        <f>R225</f>
        <v/>
      </c>
      <c r="AL225">
        <f>U225</f>
        <v/>
      </c>
      <c r="AM225">
        <f>IF(ISNUMBER(SEARCH("CAPITAL FUNDING",D225)),1,0)</f>
        <v/>
      </c>
      <c r="AN225">
        <f>IF(ISNUMBER(SEARCH("PNC",D225)),1,0)</f>
        <v/>
      </c>
      <c r="AO225">
        <f>IF(ISNUMBER(SEARCH("WELLS FARGO",D225)),1,0)</f>
        <v/>
      </c>
      <c r="AP225">
        <f>IF(ISNUMBER(SEARCH("DWIGHT",D225)),1,0)</f>
        <v/>
      </c>
      <c r="AQ225">
        <f>IF(ISNUMBER(SEARCH("GREYSTONE",D225)),1,0)</f>
        <v/>
      </c>
      <c r="AR225">
        <f>IF(OR(Q225="3896",Q225="3557"),1,0)</f>
        <v/>
      </c>
      <c r="AS225" s="24">
        <f>V225*W225</f>
        <v/>
      </c>
      <c r="AT225" s="26">
        <f>V$4*(V225-V$3)</f>
        <v/>
      </c>
      <c r="AU225" s="26">
        <f>W$4*(W225-W$3)</f>
        <v/>
      </c>
      <c r="AV225" s="26">
        <f>X$4*(X225-X$3)</f>
        <v/>
      </c>
      <c r="AW225" s="26">
        <f>Y$4*(Y225-Y$3)</f>
        <v/>
      </c>
      <c r="AX225" s="26">
        <f>Z$4*(Z225-Z$3)</f>
        <v/>
      </c>
      <c r="AY225" s="26">
        <f>AA$4*(AA225-AA$3)</f>
        <v/>
      </c>
      <c r="AZ225" s="26">
        <f>AB$4*(AB225-AB$3)</f>
        <v/>
      </c>
      <c r="BA225" s="26">
        <f>AC$4*(AC225-AC$3)</f>
        <v/>
      </c>
      <c r="BB225" s="26">
        <f>AD$4*(AD225-AD$3)</f>
        <v/>
      </c>
      <c r="BC225" s="26">
        <f>AE$4*(AE225-AE$3)</f>
        <v/>
      </c>
      <c r="BD225" s="26">
        <f>AF$4*(AF225-AF$3)</f>
        <v/>
      </c>
      <c r="BE225" s="26">
        <f>AG$4*(AG225-AG$3)</f>
        <v/>
      </c>
      <c r="BF225" s="26">
        <f>AH$4*(AH225-AH$3)</f>
        <v/>
      </c>
      <c r="BG225" s="26">
        <f>AI$4*(AI225-AI$3)</f>
        <v/>
      </c>
      <c r="BH225" s="26">
        <f>AJ$4*(AJ225-AJ$3)</f>
        <v/>
      </c>
      <c r="BI225" s="26">
        <f>AK$4*(AK225-AK$3)</f>
        <v/>
      </c>
      <c r="BJ225" s="26">
        <f>AL$4*(AL225-AL$3)</f>
        <v/>
      </c>
      <c r="BK225" s="26">
        <f>AM$4*(AM225-AM$3)</f>
        <v/>
      </c>
      <c r="BL225" s="26">
        <f>AN$4*(AN225-AN$3)</f>
        <v/>
      </c>
      <c r="BM225" s="26">
        <f>AO$4*(AO225-AO$3)</f>
        <v/>
      </c>
      <c r="BN225" s="26">
        <f>AP$4*(AP225-AP$3)</f>
        <v/>
      </c>
      <c r="BO225" s="26">
        <f>AQ$4*(AQ225-AQ$3)</f>
        <v/>
      </c>
      <c r="BP225" s="26">
        <f>AR$4*(AR225-AR$3)</f>
        <v/>
      </c>
      <c r="BQ225" s="26">
        <f>AS$4*(AS225-AS$3)</f>
        <v/>
      </c>
      <c r="BR225" s="27">
        <f>SUM(AT225:BQ225)</f>
        <v/>
      </c>
      <c r="BS225" s="27">
        <f>INTERCEPT_SCALED+BR225</f>
        <v/>
      </c>
      <c r="BT225" s="28">
        <f>1/(1+EXP(-BS225))</f>
        <v/>
      </c>
      <c r="BU225" s="13">
        <f>1-(1-BT225)^12</f>
        <v/>
      </c>
      <c r="BV225" s="13">
        <f>IFERROR(AT225/BR225*(BU225-BASELINE_CPR),0)</f>
        <v/>
      </c>
      <c r="BW225" s="13">
        <f>IFERROR(AU225/BR225*(BU225-BASELINE_CPR),0)</f>
        <v/>
      </c>
      <c r="BX225" s="13">
        <f>IFERROR(AV225/BR225*(BU225-BASELINE_CPR),0)</f>
        <v/>
      </c>
      <c r="BY225" s="13">
        <f>IFERROR(AW225/BR225*(BU225-BASELINE_CPR),0)</f>
        <v/>
      </c>
      <c r="BZ225" s="13">
        <f>IFERROR(AX225/BR225*(BU225-BASELINE_CPR),0)</f>
        <v/>
      </c>
      <c r="CA225" s="13">
        <f>IFERROR(AY225/BR225*(BU225-BASELINE_CPR),0)</f>
        <v/>
      </c>
      <c r="CB225" s="13">
        <f>IFERROR(AZ225/BR225*(BU225-BASELINE_CPR),0)</f>
        <v/>
      </c>
      <c r="CC225" s="13">
        <f>IFERROR(BA225/BR225*(BU225-BASELINE_CPR),0)</f>
        <v/>
      </c>
      <c r="CD225" s="13">
        <f>IFERROR(BB225/BR225*(BU225-BASELINE_CPR),0)</f>
        <v/>
      </c>
      <c r="CE225" s="13">
        <f>IFERROR(BC225/BR225*(BU225-BASELINE_CPR),0)</f>
        <v/>
      </c>
      <c r="CF225" s="13">
        <f>IFERROR(BD225/BR225*(BU225-BASELINE_CPR),0)</f>
        <v/>
      </c>
      <c r="CG225" s="13">
        <f>IFERROR(BE225/BR225*(BU225-BASELINE_CPR),0)</f>
        <v/>
      </c>
      <c r="CH225" s="13">
        <f>IFERROR(BF225/BR225*(BU225-BASELINE_CPR),0)</f>
        <v/>
      </c>
      <c r="CI225" s="13">
        <f>IFERROR(BG225/BR225*(BU225-BASELINE_CPR),0)</f>
        <v/>
      </c>
      <c r="CJ225" s="13">
        <f>IFERROR(BH225/BR225*(BU225-BASELINE_CPR),0)</f>
        <v/>
      </c>
      <c r="CK225" s="13">
        <f>IFERROR(BI225/BR225*(BU225-BASELINE_CPR),0)</f>
        <v/>
      </c>
      <c r="CL225" s="13">
        <f>IFERROR(BJ225/BR225*(BU225-BASELINE_CPR),0)</f>
        <v/>
      </c>
      <c r="CM225" s="13">
        <f>IFERROR(BK225/BR225*(BU225-BASELINE_CPR),0)</f>
        <v/>
      </c>
      <c r="CN225" s="13">
        <f>IFERROR(BL225/BR225*(BU225-BASELINE_CPR),0)</f>
        <v/>
      </c>
      <c r="CO225" s="13">
        <f>IFERROR(BM225/BR225*(BU225-BASELINE_CPR),0)</f>
        <v/>
      </c>
      <c r="CP225" s="13">
        <f>IFERROR(BN225/BR225*(BU225-BASELINE_CPR),0)</f>
        <v/>
      </c>
      <c r="CQ225" s="13">
        <f>IFERROR(BO225/BR225*(BU225-BASELINE_CPR),0)</f>
        <v/>
      </c>
      <c r="CR225" s="13">
        <f>IFERROR(BP225/BR225*(BU225-BASELINE_CPR),0)</f>
        <v/>
      </c>
      <c r="CS225" s="13">
        <f>IFERROR(BQ225/BR225*(BU225-BASELINE_CPR),0)</f>
        <v/>
      </c>
      <c r="CT225" s="29">
        <f>BASELINE_CPR+SUM(BV225:CS225)-BU225</f>
        <v/>
      </c>
    </row>
    <row r="226">
      <c r="A226" s="2" t="inlineStr">
        <is>
          <t>3617U5FE8_000000006122173</t>
        </is>
      </c>
      <c r="B226" t="inlineStr">
        <is>
          <t>KEYBANK_PRE21</t>
        </is>
      </c>
      <c r="C226" s="2" t="inlineStr">
        <is>
          <t>3617U5FE8</t>
        </is>
      </c>
      <c r="D226" t="inlineStr">
        <is>
          <t>KEYBANK NATIONAL ASSOCIATION</t>
        </is>
      </c>
      <c r="E226" t="inlineStr">
        <is>
          <t>232</t>
        </is>
      </c>
      <c r="F226" t="inlineStr">
        <is>
          <t>RP</t>
        </is>
      </c>
      <c r="G226" t="n">
        <v>2020</v>
      </c>
      <c r="H226" t="inlineStr">
        <is>
          <t>202602</t>
        </is>
      </c>
      <c r="I226" s="22" t="n">
        <v>5946077.12</v>
      </c>
      <c r="J226" s="23" t="n">
        <v>2.33</v>
      </c>
      <c r="K226" s="24" t="n">
        <v>447</v>
      </c>
      <c r="L226" s="24" t="n">
        <v>5</v>
      </c>
      <c r="M226" t="n">
        <v>64</v>
      </c>
      <c r="N226" t="n">
        <v>0</v>
      </c>
      <c r="O226" t="n">
        <v>205011</v>
      </c>
      <c r="P226" t="inlineStr"/>
      <c r="Q226" t="inlineStr">
        <is>
          <t>4271</t>
        </is>
      </c>
      <c r="R226" t="n">
        <v>1</v>
      </c>
      <c r="S226" t="n">
        <v>0</v>
      </c>
      <c r="T226" t="n">
        <v>0</v>
      </c>
      <c r="U226" t="n">
        <v>0</v>
      </c>
      <c r="V226" s="24">
        <f>J226*100-K226</f>
        <v/>
      </c>
      <c r="W226" s="24">
        <f>L226</f>
        <v/>
      </c>
      <c r="X226" s="25">
        <f>MIN(M226,36)</f>
        <v/>
      </c>
      <c r="Y226" s="25">
        <f>MIN(MAX(M226-36,0),84)</f>
        <v/>
      </c>
      <c r="Z226" s="25">
        <f>MAX(M226-120,0)</f>
        <v/>
      </c>
      <c r="AA226" s="25">
        <f>IF(OR(O226="",NOT(ISNUMBER(O226))),360,MAX(0,MIN(480,(INT(O226/100)-INT(VALUE(H226)/100))*12+MOD(O226,100)-MOD(VALUE(H226),100))))</f>
        <v/>
      </c>
      <c r="AB226">
        <f>IF(AND(AA226&gt;0,AA226&lt;=24),1,0)</f>
        <v/>
      </c>
      <c r="AC226" s="25">
        <f>IF(OR(P226="",NOT(ISNUMBER(P226))),0,MAX(0,MIN(24,(INT(VALUE(H226)/100)-INT(P226/100))*12+MOD(VALUE(H226),100)-MOD(P226,100))))</f>
        <v/>
      </c>
      <c r="AD226" s="23">
        <f>LN(1+I226)</f>
        <v/>
      </c>
      <c r="AE226">
        <f>IF(I226&lt;2000000,1,0)</f>
        <v/>
      </c>
      <c r="AF226">
        <f>IF(I226&gt;50000000,1,0)</f>
        <v/>
      </c>
      <c r="AG226" s="23">
        <f>IF(ISNUMBER(M226),N226/MAX(M226,1),0)</f>
        <v/>
      </c>
      <c r="AH226">
        <f>IF(G226&gt;=2021,1,0)</f>
        <v/>
      </c>
      <c r="AI226">
        <f>S226</f>
        <v/>
      </c>
      <c r="AJ226">
        <f>T226</f>
        <v/>
      </c>
      <c r="AK226">
        <f>R226</f>
        <v/>
      </c>
      <c r="AL226">
        <f>U226</f>
        <v/>
      </c>
      <c r="AM226">
        <f>IF(ISNUMBER(SEARCH("CAPITAL FUNDING",D226)),1,0)</f>
        <v/>
      </c>
      <c r="AN226">
        <f>IF(ISNUMBER(SEARCH("PNC",D226)),1,0)</f>
        <v/>
      </c>
      <c r="AO226">
        <f>IF(ISNUMBER(SEARCH("WELLS FARGO",D226)),1,0)</f>
        <v/>
      </c>
      <c r="AP226">
        <f>IF(ISNUMBER(SEARCH("DWIGHT",D226)),1,0)</f>
        <v/>
      </c>
      <c r="AQ226">
        <f>IF(ISNUMBER(SEARCH("GREYSTONE",D226)),1,0)</f>
        <v/>
      </c>
      <c r="AR226">
        <f>IF(OR(Q226="3896",Q226="3557"),1,0)</f>
        <v/>
      </c>
      <c r="AS226" s="24">
        <f>V226*W226</f>
        <v/>
      </c>
      <c r="AT226" s="26">
        <f>V$4*(V226-V$3)</f>
        <v/>
      </c>
      <c r="AU226" s="26">
        <f>W$4*(W226-W$3)</f>
        <v/>
      </c>
      <c r="AV226" s="26">
        <f>X$4*(X226-X$3)</f>
        <v/>
      </c>
      <c r="AW226" s="26">
        <f>Y$4*(Y226-Y$3)</f>
        <v/>
      </c>
      <c r="AX226" s="26">
        <f>Z$4*(Z226-Z$3)</f>
        <v/>
      </c>
      <c r="AY226" s="26">
        <f>AA$4*(AA226-AA$3)</f>
        <v/>
      </c>
      <c r="AZ226" s="26">
        <f>AB$4*(AB226-AB$3)</f>
        <v/>
      </c>
      <c r="BA226" s="26">
        <f>AC$4*(AC226-AC$3)</f>
        <v/>
      </c>
      <c r="BB226" s="26">
        <f>AD$4*(AD226-AD$3)</f>
        <v/>
      </c>
      <c r="BC226" s="26">
        <f>AE$4*(AE226-AE$3)</f>
        <v/>
      </c>
      <c r="BD226" s="26">
        <f>AF$4*(AF226-AF$3)</f>
        <v/>
      </c>
      <c r="BE226" s="26">
        <f>AG$4*(AG226-AG$3)</f>
        <v/>
      </c>
      <c r="BF226" s="26">
        <f>AH$4*(AH226-AH$3)</f>
        <v/>
      </c>
      <c r="BG226" s="26">
        <f>AI$4*(AI226-AI$3)</f>
        <v/>
      </c>
      <c r="BH226" s="26">
        <f>AJ$4*(AJ226-AJ$3)</f>
        <v/>
      </c>
      <c r="BI226" s="26">
        <f>AK$4*(AK226-AK$3)</f>
        <v/>
      </c>
      <c r="BJ226" s="26">
        <f>AL$4*(AL226-AL$3)</f>
        <v/>
      </c>
      <c r="BK226" s="26">
        <f>AM$4*(AM226-AM$3)</f>
        <v/>
      </c>
      <c r="BL226" s="26">
        <f>AN$4*(AN226-AN$3)</f>
        <v/>
      </c>
      <c r="BM226" s="26">
        <f>AO$4*(AO226-AO$3)</f>
        <v/>
      </c>
      <c r="BN226" s="26">
        <f>AP$4*(AP226-AP$3)</f>
        <v/>
      </c>
      <c r="BO226" s="26">
        <f>AQ$4*(AQ226-AQ$3)</f>
        <v/>
      </c>
      <c r="BP226" s="26">
        <f>AR$4*(AR226-AR$3)</f>
        <v/>
      </c>
      <c r="BQ226" s="26">
        <f>AS$4*(AS226-AS$3)</f>
        <v/>
      </c>
      <c r="BR226" s="27">
        <f>SUM(AT226:BQ226)</f>
        <v/>
      </c>
      <c r="BS226" s="27">
        <f>INTERCEPT_SCALED+BR226</f>
        <v/>
      </c>
      <c r="BT226" s="28">
        <f>1/(1+EXP(-BS226))</f>
        <v/>
      </c>
      <c r="BU226" s="13">
        <f>1-(1-BT226)^12</f>
        <v/>
      </c>
      <c r="BV226" s="13">
        <f>IFERROR(AT226/BR226*(BU226-BASELINE_CPR),0)</f>
        <v/>
      </c>
      <c r="BW226" s="13">
        <f>IFERROR(AU226/BR226*(BU226-BASELINE_CPR),0)</f>
        <v/>
      </c>
      <c r="BX226" s="13">
        <f>IFERROR(AV226/BR226*(BU226-BASELINE_CPR),0)</f>
        <v/>
      </c>
      <c r="BY226" s="13">
        <f>IFERROR(AW226/BR226*(BU226-BASELINE_CPR),0)</f>
        <v/>
      </c>
      <c r="BZ226" s="13">
        <f>IFERROR(AX226/BR226*(BU226-BASELINE_CPR),0)</f>
        <v/>
      </c>
      <c r="CA226" s="13">
        <f>IFERROR(AY226/BR226*(BU226-BASELINE_CPR),0)</f>
        <v/>
      </c>
      <c r="CB226" s="13">
        <f>IFERROR(AZ226/BR226*(BU226-BASELINE_CPR),0)</f>
        <v/>
      </c>
      <c r="CC226" s="13">
        <f>IFERROR(BA226/BR226*(BU226-BASELINE_CPR),0)</f>
        <v/>
      </c>
      <c r="CD226" s="13">
        <f>IFERROR(BB226/BR226*(BU226-BASELINE_CPR),0)</f>
        <v/>
      </c>
      <c r="CE226" s="13">
        <f>IFERROR(BC226/BR226*(BU226-BASELINE_CPR),0)</f>
        <v/>
      </c>
      <c r="CF226" s="13">
        <f>IFERROR(BD226/BR226*(BU226-BASELINE_CPR),0)</f>
        <v/>
      </c>
      <c r="CG226" s="13">
        <f>IFERROR(BE226/BR226*(BU226-BASELINE_CPR),0)</f>
        <v/>
      </c>
      <c r="CH226" s="13">
        <f>IFERROR(BF226/BR226*(BU226-BASELINE_CPR),0)</f>
        <v/>
      </c>
      <c r="CI226" s="13">
        <f>IFERROR(BG226/BR226*(BU226-BASELINE_CPR),0)</f>
        <v/>
      </c>
      <c r="CJ226" s="13">
        <f>IFERROR(BH226/BR226*(BU226-BASELINE_CPR),0)</f>
        <v/>
      </c>
      <c r="CK226" s="13">
        <f>IFERROR(BI226/BR226*(BU226-BASELINE_CPR),0)</f>
        <v/>
      </c>
      <c r="CL226" s="13">
        <f>IFERROR(BJ226/BR226*(BU226-BASELINE_CPR),0)</f>
        <v/>
      </c>
      <c r="CM226" s="13">
        <f>IFERROR(BK226/BR226*(BU226-BASELINE_CPR),0)</f>
        <v/>
      </c>
      <c r="CN226" s="13">
        <f>IFERROR(BL226/BR226*(BU226-BASELINE_CPR),0)</f>
        <v/>
      </c>
      <c r="CO226" s="13">
        <f>IFERROR(BM226/BR226*(BU226-BASELINE_CPR),0)</f>
        <v/>
      </c>
      <c r="CP226" s="13">
        <f>IFERROR(BN226/BR226*(BU226-BASELINE_CPR),0)</f>
        <v/>
      </c>
      <c r="CQ226" s="13">
        <f>IFERROR(BO226/BR226*(BU226-BASELINE_CPR),0)</f>
        <v/>
      </c>
      <c r="CR226" s="13">
        <f>IFERROR(BP226/BR226*(BU226-BASELINE_CPR),0)</f>
        <v/>
      </c>
      <c r="CS226" s="13">
        <f>IFERROR(BQ226/BR226*(BU226-BASELINE_CPR),0)</f>
        <v/>
      </c>
      <c r="CT226" s="29">
        <f>BASELINE_CPR+SUM(BV226:CS226)-BU226</f>
        <v/>
      </c>
    </row>
    <row r="227">
      <c r="A227" s="2" t="inlineStr">
        <is>
          <t>3617X46E8_000000007322294</t>
        </is>
      </c>
      <c r="B227" t="inlineStr">
        <is>
          <t>KEYBANK_PRE21</t>
        </is>
      </c>
      <c r="C227" s="2" t="inlineStr">
        <is>
          <t>3617X46E8</t>
        </is>
      </c>
      <c r="D227" t="inlineStr">
        <is>
          <t>KEYBANK NATIONAL ASSOCIATION</t>
        </is>
      </c>
      <c r="E227" t="inlineStr">
        <is>
          <t>232</t>
        </is>
      </c>
      <c r="F227" t="inlineStr">
        <is>
          <t>RP</t>
        </is>
      </c>
      <c r="G227" t="n">
        <v>2017</v>
      </c>
      <c r="H227" t="inlineStr">
        <is>
          <t>202602</t>
        </is>
      </c>
      <c r="I227" s="22" t="n">
        <v>8092221.61</v>
      </c>
      <c r="J227" s="23" t="n">
        <v>2.89</v>
      </c>
      <c r="K227" s="24" t="n">
        <v>447</v>
      </c>
      <c r="L227" s="24" t="n">
        <v>6</v>
      </c>
      <c r="M227" t="n">
        <v>106</v>
      </c>
      <c r="N227" t="n">
        <v>0</v>
      </c>
      <c r="O227" t="n">
        <v>205205</v>
      </c>
      <c r="P227" t="inlineStr"/>
      <c r="Q227" t="inlineStr">
        <is>
          <t>4271</t>
        </is>
      </c>
      <c r="R227" t="n">
        <v>1</v>
      </c>
      <c r="S227" t="n">
        <v>0</v>
      </c>
      <c r="T227" t="n">
        <v>0</v>
      </c>
      <c r="U227" t="n">
        <v>0</v>
      </c>
      <c r="V227" s="24">
        <f>J227*100-K227</f>
        <v/>
      </c>
      <c r="W227" s="24">
        <f>L227</f>
        <v/>
      </c>
      <c r="X227" s="25">
        <f>MIN(M227,36)</f>
        <v/>
      </c>
      <c r="Y227" s="25">
        <f>MIN(MAX(M227-36,0),84)</f>
        <v/>
      </c>
      <c r="Z227" s="25">
        <f>MAX(M227-120,0)</f>
        <v/>
      </c>
      <c r="AA227" s="25">
        <f>IF(OR(O227="",NOT(ISNUMBER(O227))),360,MAX(0,MIN(480,(INT(O227/100)-INT(VALUE(H227)/100))*12+MOD(O227,100)-MOD(VALUE(H227),100))))</f>
        <v/>
      </c>
      <c r="AB227">
        <f>IF(AND(AA227&gt;0,AA227&lt;=24),1,0)</f>
        <v/>
      </c>
      <c r="AC227" s="25">
        <f>IF(OR(P227="",NOT(ISNUMBER(P227))),0,MAX(0,MIN(24,(INT(VALUE(H227)/100)-INT(P227/100))*12+MOD(VALUE(H227),100)-MOD(P227,100))))</f>
        <v/>
      </c>
      <c r="AD227" s="23">
        <f>LN(1+I227)</f>
        <v/>
      </c>
      <c r="AE227">
        <f>IF(I227&lt;2000000,1,0)</f>
        <v/>
      </c>
      <c r="AF227">
        <f>IF(I227&gt;50000000,1,0)</f>
        <v/>
      </c>
      <c r="AG227" s="23">
        <f>IF(ISNUMBER(M227),N227/MAX(M227,1),0)</f>
        <v/>
      </c>
      <c r="AH227">
        <f>IF(G227&gt;=2021,1,0)</f>
        <v/>
      </c>
      <c r="AI227">
        <f>S227</f>
        <v/>
      </c>
      <c r="AJ227">
        <f>T227</f>
        <v/>
      </c>
      <c r="AK227">
        <f>R227</f>
        <v/>
      </c>
      <c r="AL227">
        <f>U227</f>
        <v/>
      </c>
      <c r="AM227">
        <f>IF(ISNUMBER(SEARCH("CAPITAL FUNDING",D227)),1,0)</f>
        <v/>
      </c>
      <c r="AN227">
        <f>IF(ISNUMBER(SEARCH("PNC",D227)),1,0)</f>
        <v/>
      </c>
      <c r="AO227">
        <f>IF(ISNUMBER(SEARCH("WELLS FARGO",D227)),1,0)</f>
        <v/>
      </c>
      <c r="AP227">
        <f>IF(ISNUMBER(SEARCH("DWIGHT",D227)),1,0)</f>
        <v/>
      </c>
      <c r="AQ227">
        <f>IF(ISNUMBER(SEARCH("GREYSTONE",D227)),1,0)</f>
        <v/>
      </c>
      <c r="AR227">
        <f>IF(OR(Q227="3896",Q227="3557"),1,0)</f>
        <v/>
      </c>
      <c r="AS227" s="24">
        <f>V227*W227</f>
        <v/>
      </c>
      <c r="AT227" s="26">
        <f>V$4*(V227-V$3)</f>
        <v/>
      </c>
      <c r="AU227" s="26">
        <f>W$4*(W227-W$3)</f>
        <v/>
      </c>
      <c r="AV227" s="26">
        <f>X$4*(X227-X$3)</f>
        <v/>
      </c>
      <c r="AW227" s="26">
        <f>Y$4*(Y227-Y$3)</f>
        <v/>
      </c>
      <c r="AX227" s="26">
        <f>Z$4*(Z227-Z$3)</f>
        <v/>
      </c>
      <c r="AY227" s="26">
        <f>AA$4*(AA227-AA$3)</f>
        <v/>
      </c>
      <c r="AZ227" s="26">
        <f>AB$4*(AB227-AB$3)</f>
        <v/>
      </c>
      <c r="BA227" s="26">
        <f>AC$4*(AC227-AC$3)</f>
        <v/>
      </c>
      <c r="BB227" s="26">
        <f>AD$4*(AD227-AD$3)</f>
        <v/>
      </c>
      <c r="BC227" s="26">
        <f>AE$4*(AE227-AE$3)</f>
        <v/>
      </c>
      <c r="BD227" s="26">
        <f>AF$4*(AF227-AF$3)</f>
        <v/>
      </c>
      <c r="BE227" s="26">
        <f>AG$4*(AG227-AG$3)</f>
        <v/>
      </c>
      <c r="BF227" s="26">
        <f>AH$4*(AH227-AH$3)</f>
        <v/>
      </c>
      <c r="BG227" s="26">
        <f>AI$4*(AI227-AI$3)</f>
        <v/>
      </c>
      <c r="BH227" s="26">
        <f>AJ$4*(AJ227-AJ$3)</f>
        <v/>
      </c>
      <c r="BI227" s="26">
        <f>AK$4*(AK227-AK$3)</f>
        <v/>
      </c>
      <c r="BJ227" s="26">
        <f>AL$4*(AL227-AL$3)</f>
        <v/>
      </c>
      <c r="BK227" s="26">
        <f>AM$4*(AM227-AM$3)</f>
        <v/>
      </c>
      <c r="BL227" s="26">
        <f>AN$4*(AN227-AN$3)</f>
        <v/>
      </c>
      <c r="BM227" s="26">
        <f>AO$4*(AO227-AO$3)</f>
        <v/>
      </c>
      <c r="BN227" s="26">
        <f>AP$4*(AP227-AP$3)</f>
        <v/>
      </c>
      <c r="BO227" s="26">
        <f>AQ$4*(AQ227-AQ$3)</f>
        <v/>
      </c>
      <c r="BP227" s="26">
        <f>AR$4*(AR227-AR$3)</f>
        <v/>
      </c>
      <c r="BQ227" s="26">
        <f>AS$4*(AS227-AS$3)</f>
        <v/>
      </c>
      <c r="BR227" s="27">
        <f>SUM(AT227:BQ227)</f>
        <v/>
      </c>
      <c r="BS227" s="27">
        <f>INTERCEPT_SCALED+BR227</f>
        <v/>
      </c>
      <c r="BT227" s="28">
        <f>1/(1+EXP(-BS227))</f>
        <v/>
      </c>
      <c r="BU227" s="13">
        <f>1-(1-BT227)^12</f>
        <v/>
      </c>
      <c r="BV227" s="13">
        <f>IFERROR(AT227/BR227*(BU227-BASELINE_CPR),0)</f>
        <v/>
      </c>
      <c r="BW227" s="13">
        <f>IFERROR(AU227/BR227*(BU227-BASELINE_CPR),0)</f>
        <v/>
      </c>
      <c r="BX227" s="13">
        <f>IFERROR(AV227/BR227*(BU227-BASELINE_CPR),0)</f>
        <v/>
      </c>
      <c r="BY227" s="13">
        <f>IFERROR(AW227/BR227*(BU227-BASELINE_CPR),0)</f>
        <v/>
      </c>
      <c r="BZ227" s="13">
        <f>IFERROR(AX227/BR227*(BU227-BASELINE_CPR),0)</f>
        <v/>
      </c>
      <c r="CA227" s="13">
        <f>IFERROR(AY227/BR227*(BU227-BASELINE_CPR),0)</f>
        <v/>
      </c>
      <c r="CB227" s="13">
        <f>IFERROR(AZ227/BR227*(BU227-BASELINE_CPR),0)</f>
        <v/>
      </c>
      <c r="CC227" s="13">
        <f>IFERROR(BA227/BR227*(BU227-BASELINE_CPR),0)</f>
        <v/>
      </c>
      <c r="CD227" s="13">
        <f>IFERROR(BB227/BR227*(BU227-BASELINE_CPR),0)</f>
        <v/>
      </c>
      <c r="CE227" s="13">
        <f>IFERROR(BC227/BR227*(BU227-BASELINE_CPR),0)</f>
        <v/>
      </c>
      <c r="CF227" s="13">
        <f>IFERROR(BD227/BR227*(BU227-BASELINE_CPR),0)</f>
        <v/>
      </c>
      <c r="CG227" s="13">
        <f>IFERROR(BE227/BR227*(BU227-BASELINE_CPR),0)</f>
        <v/>
      </c>
      <c r="CH227" s="13">
        <f>IFERROR(BF227/BR227*(BU227-BASELINE_CPR),0)</f>
        <v/>
      </c>
      <c r="CI227" s="13">
        <f>IFERROR(BG227/BR227*(BU227-BASELINE_CPR),0)</f>
        <v/>
      </c>
      <c r="CJ227" s="13">
        <f>IFERROR(BH227/BR227*(BU227-BASELINE_CPR),0)</f>
        <v/>
      </c>
      <c r="CK227" s="13">
        <f>IFERROR(BI227/BR227*(BU227-BASELINE_CPR),0)</f>
        <v/>
      </c>
      <c r="CL227" s="13">
        <f>IFERROR(BJ227/BR227*(BU227-BASELINE_CPR),0)</f>
        <v/>
      </c>
      <c r="CM227" s="13">
        <f>IFERROR(BK227/BR227*(BU227-BASELINE_CPR),0)</f>
        <v/>
      </c>
      <c r="CN227" s="13">
        <f>IFERROR(BL227/BR227*(BU227-BASELINE_CPR),0)</f>
        <v/>
      </c>
      <c r="CO227" s="13">
        <f>IFERROR(BM227/BR227*(BU227-BASELINE_CPR),0)</f>
        <v/>
      </c>
      <c r="CP227" s="13">
        <f>IFERROR(BN227/BR227*(BU227-BASELINE_CPR),0)</f>
        <v/>
      </c>
      <c r="CQ227" s="13">
        <f>IFERROR(BO227/BR227*(BU227-BASELINE_CPR),0)</f>
        <v/>
      </c>
      <c r="CR227" s="13">
        <f>IFERROR(BP227/BR227*(BU227-BASELINE_CPR),0)</f>
        <v/>
      </c>
      <c r="CS227" s="13">
        <f>IFERROR(BQ227/BR227*(BU227-BASELINE_CPR),0)</f>
        <v/>
      </c>
      <c r="CT227" s="29">
        <f>BASELINE_CPR+SUM(BV227:CS227)-BU227</f>
        <v/>
      </c>
    </row>
    <row r="228">
      <c r="A228" s="2" t="inlineStr">
        <is>
          <t>3617J7M90_000000008322073</t>
        </is>
      </c>
      <c r="B228" t="inlineStr">
        <is>
          <t>KEYBANK_PRE21</t>
        </is>
      </c>
      <c r="C228" s="2" t="inlineStr">
        <is>
          <t>3617J7M90</t>
        </is>
      </c>
      <c r="D228" t="inlineStr">
        <is>
          <t>KEYBANK NATIONAL ASSOCIATION</t>
        </is>
      </c>
      <c r="E228" t="inlineStr">
        <is>
          <t>232</t>
        </is>
      </c>
      <c r="F228" t="inlineStr">
        <is>
          <t>RP</t>
        </is>
      </c>
      <c r="G228" t="n">
        <v>2019</v>
      </c>
      <c r="H228" t="inlineStr">
        <is>
          <t>202602</t>
        </is>
      </c>
      <c r="I228" s="22" t="n">
        <v>4571894.11</v>
      </c>
      <c r="J228" s="23" t="n">
        <v>3.98</v>
      </c>
      <c r="K228" s="24" t="n">
        <v>447</v>
      </c>
      <c r="L228" s="24" t="n">
        <v>4</v>
      </c>
      <c r="M228" t="n">
        <v>82</v>
      </c>
      <c r="N228" t="n">
        <v>30</v>
      </c>
      <c r="O228" t="n">
        <v>204905</v>
      </c>
      <c r="P228" t="inlineStr"/>
      <c r="Q228" t="inlineStr">
        <is>
          <t>4271</t>
        </is>
      </c>
      <c r="R228" t="n">
        <v>1</v>
      </c>
      <c r="S228" t="n">
        <v>0</v>
      </c>
      <c r="T228" t="n">
        <v>0</v>
      </c>
      <c r="U228" t="n">
        <v>0</v>
      </c>
      <c r="V228" s="24">
        <f>J228*100-K228</f>
        <v/>
      </c>
      <c r="W228" s="24">
        <f>L228</f>
        <v/>
      </c>
      <c r="X228" s="25">
        <f>MIN(M228,36)</f>
        <v/>
      </c>
      <c r="Y228" s="25">
        <f>MIN(MAX(M228-36,0),84)</f>
        <v/>
      </c>
      <c r="Z228" s="25">
        <f>MAX(M228-120,0)</f>
        <v/>
      </c>
      <c r="AA228" s="25">
        <f>IF(OR(O228="",NOT(ISNUMBER(O228))),360,MAX(0,MIN(480,(INT(O228/100)-INT(VALUE(H228)/100))*12+MOD(O228,100)-MOD(VALUE(H228),100))))</f>
        <v/>
      </c>
      <c r="AB228">
        <f>IF(AND(AA228&gt;0,AA228&lt;=24),1,0)</f>
        <v/>
      </c>
      <c r="AC228" s="25">
        <f>IF(OR(P228="",NOT(ISNUMBER(P228))),0,MAX(0,MIN(24,(INT(VALUE(H228)/100)-INT(P228/100))*12+MOD(VALUE(H228),100)-MOD(P228,100))))</f>
        <v/>
      </c>
      <c r="AD228" s="23">
        <f>LN(1+I228)</f>
        <v/>
      </c>
      <c r="AE228">
        <f>IF(I228&lt;2000000,1,0)</f>
        <v/>
      </c>
      <c r="AF228">
        <f>IF(I228&gt;50000000,1,0)</f>
        <v/>
      </c>
      <c r="AG228" s="23">
        <f>IF(ISNUMBER(M228),N228/MAX(M228,1),0)</f>
        <v/>
      </c>
      <c r="AH228">
        <f>IF(G228&gt;=2021,1,0)</f>
        <v/>
      </c>
      <c r="AI228">
        <f>S228</f>
        <v/>
      </c>
      <c r="AJ228">
        <f>T228</f>
        <v/>
      </c>
      <c r="AK228">
        <f>R228</f>
        <v/>
      </c>
      <c r="AL228">
        <f>U228</f>
        <v/>
      </c>
      <c r="AM228">
        <f>IF(ISNUMBER(SEARCH("CAPITAL FUNDING",D228)),1,0)</f>
        <v/>
      </c>
      <c r="AN228">
        <f>IF(ISNUMBER(SEARCH("PNC",D228)),1,0)</f>
        <v/>
      </c>
      <c r="AO228">
        <f>IF(ISNUMBER(SEARCH("WELLS FARGO",D228)),1,0)</f>
        <v/>
      </c>
      <c r="AP228">
        <f>IF(ISNUMBER(SEARCH("DWIGHT",D228)),1,0)</f>
        <v/>
      </c>
      <c r="AQ228">
        <f>IF(ISNUMBER(SEARCH("GREYSTONE",D228)),1,0)</f>
        <v/>
      </c>
      <c r="AR228">
        <f>IF(OR(Q228="3896",Q228="3557"),1,0)</f>
        <v/>
      </c>
      <c r="AS228" s="24">
        <f>V228*W228</f>
        <v/>
      </c>
      <c r="AT228" s="26">
        <f>V$4*(V228-V$3)</f>
        <v/>
      </c>
      <c r="AU228" s="26">
        <f>W$4*(W228-W$3)</f>
        <v/>
      </c>
      <c r="AV228" s="26">
        <f>X$4*(X228-X$3)</f>
        <v/>
      </c>
      <c r="AW228" s="26">
        <f>Y$4*(Y228-Y$3)</f>
        <v/>
      </c>
      <c r="AX228" s="26">
        <f>Z$4*(Z228-Z$3)</f>
        <v/>
      </c>
      <c r="AY228" s="26">
        <f>AA$4*(AA228-AA$3)</f>
        <v/>
      </c>
      <c r="AZ228" s="26">
        <f>AB$4*(AB228-AB$3)</f>
        <v/>
      </c>
      <c r="BA228" s="26">
        <f>AC$4*(AC228-AC$3)</f>
        <v/>
      </c>
      <c r="BB228" s="26">
        <f>AD$4*(AD228-AD$3)</f>
        <v/>
      </c>
      <c r="BC228" s="26">
        <f>AE$4*(AE228-AE$3)</f>
        <v/>
      </c>
      <c r="BD228" s="26">
        <f>AF$4*(AF228-AF$3)</f>
        <v/>
      </c>
      <c r="BE228" s="26">
        <f>AG$4*(AG228-AG$3)</f>
        <v/>
      </c>
      <c r="BF228" s="26">
        <f>AH$4*(AH228-AH$3)</f>
        <v/>
      </c>
      <c r="BG228" s="26">
        <f>AI$4*(AI228-AI$3)</f>
        <v/>
      </c>
      <c r="BH228" s="26">
        <f>AJ$4*(AJ228-AJ$3)</f>
        <v/>
      </c>
      <c r="BI228" s="26">
        <f>AK$4*(AK228-AK$3)</f>
        <v/>
      </c>
      <c r="BJ228" s="26">
        <f>AL$4*(AL228-AL$3)</f>
        <v/>
      </c>
      <c r="BK228" s="26">
        <f>AM$4*(AM228-AM$3)</f>
        <v/>
      </c>
      <c r="BL228" s="26">
        <f>AN$4*(AN228-AN$3)</f>
        <v/>
      </c>
      <c r="BM228" s="26">
        <f>AO$4*(AO228-AO$3)</f>
        <v/>
      </c>
      <c r="BN228" s="26">
        <f>AP$4*(AP228-AP$3)</f>
        <v/>
      </c>
      <c r="BO228" s="26">
        <f>AQ$4*(AQ228-AQ$3)</f>
        <v/>
      </c>
      <c r="BP228" s="26">
        <f>AR$4*(AR228-AR$3)</f>
        <v/>
      </c>
      <c r="BQ228" s="26">
        <f>AS$4*(AS228-AS$3)</f>
        <v/>
      </c>
      <c r="BR228" s="27">
        <f>SUM(AT228:BQ228)</f>
        <v/>
      </c>
      <c r="BS228" s="27">
        <f>INTERCEPT_SCALED+BR228</f>
        <v/>
      </c>
      <c r="BT228" s="28">
        <f>1/(1+EXP(-BS228))</f>
        <v/>
      </c>
      <c r="BU228" s="13">
        <f>1-(1-BT228)^12</f>
        <v/>
      </c>
      <c r="BV228" s="13">
        <f>IFERROR(AT228/BR228*(BU228-BASELINE_CPR),0)</f>
        <v/>
      </c>
      <c r="BW228" s="13">
        <f>IFERROR(AU228/BR228*(BU228-BASELINE_CPR),0)</f>
        <v/>
      </c>
      <c r="BX228" s="13">
        <f>IFERROR(AV228/BR228*(BU228-BASELINE_CPR),0)</f>
        <v/>
      </c>
      <c r="BY228" s="13">
        <f>IFERROR(AW228/BR228*(BU228-BASELINE_CPR),0)</f>
        <v/>
      </c>
      <c r="BZ228" s="13">
        <f>IFERROR(AX228/BR228*(BU228-BASELINE_CPR),0)</f>
        <v/>
      </c>
      <c r="CA228" s="13">
        <f>IFERROR(AY228/BR228*(BU228-BASELINE_CPR),0)</f>
        <v/>
      </c>
      <c r="CB228" s="13">
        <f>IFERROR(AZ228/BR228*(BU228-BASELINE_CPR),0)</f>
        <v/>
      </c>
      <c r="CC228" s="13">
        <f>IFERROR(BA228/BR228*(BU228-BASELINE_CPR),0)</f>
        <v/>
      </c>
      <c r="CD228" s="13">
        <f>IFERROR(BB228/BR228*(BU228-BASELINE_CPR),0)</f>
        <v/>
      </c>
      <c r="CE228" s="13">
        <f>IFERROR(BC228/BR228*(BU228-BASELINE_CPR),0)</f>
        <v/>
      </c>
      <c r="CF228" s="13">
        <f>IFERROR(BD228/BR228*(BU228-BASELINE_CPR),0)</f>
        <v/>
      </c>
      <c r="CG228" s="13">
        <f>IFERROR(BE228/BR228*(BU228-BASELINE_CPR),0)</f>
        <v/>
      </c>
      <c r="CH228" s="13">
        <f>IFERROR(BF228/BR228*(BU228-BASELINE_CPR),0)</f>
        <v/>
      </c>
      <c r="CI228" s="13">
        <f>IFERROR(BG228/BR228*(BU228-BASELINE_CPR),0)</f>
        <v/>
      </c>
      <c r="CJ228" s="13">
        <f>IFERROR(BH228/BR228*(BU228-BASELINE_CPR),0)</f>
        <v/>
      </c>
      <c r="CK228" s="13">
        <f>IFERROR(BI228/BR228*(BU228-BASELINE_CPR),0)</f>
        <v/>
      </c>
      <c r="CL228" s="13">
        <f>IFERROR(BJ228/BR228*(BU228-BASELINE_CPR),0)</f>
        <v/>
      </c>
      <c r="CM228" s="13">
        <f>IFERROR(BK228/BR228*(BU228-BASELINE_CPR),0)</f>
        <v/>
      </c>
      <c r="CN228" s="13">
        <f>IFERROR(BL228/BR228*(BU228-BASELINE_CPR),0)</f>
        <v/>
      </c>
      <c r="CO228" s="13">
        <f>IFERROR(BM228/BR228*(BU228-BASELINE_CPR),0)</f>
        <v/>
      </c>
      <c r="CP228" s="13">
        <f>IFERROR(BN228/BR228*(BU228-BASELINE_CPR),0)</f>
        <v/>
      </c>
      <c r="CQ228" s="13">
        <f>IFERROR(BO228/BR228*(BU228-BASELINE_CPR),0)</f>
        <v/>
      </c>
      <c r="CR228" s="13">
        <f>IFERROR(BP228/BR228*(BU228-BASELINE_CPR),0)</f>
        <v/>
      </c>
      <c r="CS228" s="13">
        <f>IFERROR(BQ228/BR228*(BU228-BASELINE_CPR),0)</f>
        <v/>
      </c>
      <c r="CT228" s="29">
        <f>BASELINE_CPR+SUM(BV228:CS228)-BU228</f>
        <v/>
      </c>
    </row>
    <row r="229">
      <c r="A229" s="2" t="inlineStr">
        <is>
          <t>36176XXV6_000000009235736</t>
        </is>
      </c>
      <c r="B229" t="inlineStr">
        <is>
          <t>JLL_PRE21</t>
        </is>
      </c>
      <c r="C229" s="2" t="inlineStr">
        <is>
          <t>36176XXV6</t>
        </is>
      </c>
      <c r="D229" t="inlineStr">
        <is>
          <t>JLL REAL ESTATE CAPITAL, LLC</t>
        </is>
      </c>
      <c r="E229" t="inlineStr">
        <is>
          <t>223a7</t>
        </is>
      </c>
      <c r="F229" t="inlineStr">
        <is>
          <t>RP</t>
        </is>
      </c>
      <c r="G229" t="n">
        <v>2012</v>
      </c>
      <c r="H229" t="inlineStr">
        <is>
          <t>202602</t>
        </is>
      </c>
      <c r="I229" s="22" t="n">
        <v>592659.27</v>
      </c>
      <c r="J229" s="23" t="n">
        <v>3.2</v>
      </c>
      <c r="K229" s="24" t="n">
        <v>447</v>
      </c>
      <c r="L229" s="24" t="n">
        <v>0</v>
      </c>
      <c r="M229" t="n">
        <v>167</v>
      </c>
      <c r="N229" t="n">
        <v>32</v>
      </c>
      <c r="O229" t="n">
        <v>205204</v>
      </c>
      <c r="P229" t="n">
        <v>201405</v>
      </c>
      <c r="Q229" t="inlineStr">
        <is>
          <t>4065</t>
        </is>
      </c>
      <c r="R229" t="n">
        <v>0</v>
      </c>
      <c r="S229" t="n">
        <v>1</v>
      </c>
      <c r="T229" t="n">
        <v>0</v>
      </c>
      <c r="U229" t="n">
        <v>0</v>
      </c>
      <c r="V229" s="24">
        <f>J229*100-K229</f>
        <v/>
      </c>
      <c r="W229" s="24">
        <f>L229</f>
        <v/>
      </c>
      <c r="X229" s="25">
        <f>MIN(M229,36)</f>
        <v/>
      </c>
      <c r="Y229" s="25">
        <f>MIN(MAX(M229-36,0),84)</f>
        <v/>
      </c>
      <c r="Z229" s="25">
        <f>MAX(M229-120,0)</f>
        <v/>
      </c>
      <c r="AA229" s="25">
        <f>IF(OR(O229="",NOT(ISNUMBER(O229))),360,MAX(0,MIN(480,(INT(O229/100)-INT(VALUE(H229)/100))*12+MOD(O229,100)-MOD(VALUE(H229),100))))</f>
        <v/>
      </c>
      <c r="AB229">
        <f>IF(AND(AA229&gt;0,AA229&lt;=24),1,0)</f>
        <v/>
      </c>
      <c r="AC229" s="25">
        <f>IF(OR(P229="",NOT(ISNUMBER(P229))),0,MAX(0,MIN(24,(INT(VALUE(H229)/100)-INT(P229/100))*12+MOD(VALUE(H229),100)-MOD(P229,100))))</f>
        <v/>
      </c>
      <c r="AD229" s="23">
        <f>LN(1+I229)</f>
        <v/>
      </c>
      <c r="AE229">
        <f>IF(I229&lt;2000000,1,0)</f>
        <v/>
      </c>
      <c r="AF229">
        <f>IF(I229&gt;50000000,1,0)</f>
        <v/>
      </c>
      <c r="AG229" s="23">
        <f>IF(ISNUMBER(M229),N229/MAX(M229,1),0)</f>
        <v/>
      </c>
      <c r="AH229">
        <f>IF(G229&gt;=2021,1,0)</f>
        <v/>
      </c>
      <c r="AI229">
        <f>S229</f>
        <v/>
      </c>
      <c r="AJ229">
        <f>T229</f>
        <v/>
      </c>
      <c r="AK229">
        <f>R229</f>
        <v/>
      </c>
      <c r="AL229">
        <f>U229</f>
        <v/>
      </c>
      <c r="AM229">
        <f>IF(ISNUMBER(SEARCH("CAPITAL FUNDING",D229)),1,0)</f>
        <v/>
      </c>
      <c r="AN229">
        <f>IF(ISNUMBER(SEARCH("PNC",D229)),1,0)</f>
        <v/>
      </c>
      <c r="AO229">
        <f>IF(ISNUMBER(SEARCH("WELLS FARGO",D229)),1,0)</f>
        <v/>
      </c>
      <c r="AP229">
        <f>IF(ISNUMBER(SEARCH("DWIGHT",D229)),1,0)</f>
        <v/>
      </c>
      <c r="AQ229">
        <f>IF(ISNUMBER(SEARCH("GREYSTONE",D229)),1,0)</f>
        <v/>
      </c>
      <c r="AR229">
        <f>IF(OR(Q229="3896",Q229="3557"),1,0)</f>
        <v/>
      </c>
      <c r="AS229" s="24">
        <f>V229*W229</f>
        <v/>
      </c>
      <c r="AT229" s="26">
        <f>V$4*(V229-V$3)</f>
        <v/>
      </c>
      <c r="AU229" s="26">
        <f>W$4*(W229-W$3)</f>
        <v/>
      </c>
      <c r="AV229" s="26">
        <f>X$4*(X229-X$3)</f>
        <v/>
      </c>
      <c r="AW229" s="26">
        <f>Y$4*(Y229-Y$3)</f>
        <v/>
      </c>
      <c r="AX229" s="26">
        <f>Z$4*(Z229-Z$3)</f>
        <v/>
      </c>
      <c r="AY229" s="26">
        <f>AA$4*(AA229-AA$3)</f>
        <v/>
      </c>
      <c r="AZ229" s="26">
        <f>AB$4*(AB229-AB$3)</f>
        <v/>
      </c>
      <c r="BA229" s="26">
        <f>AC$4*(AC229-AC$3)</f>
        <v/>
      </c>
      <c r="BB229" s="26">
        <f>AD$4*(AD229-AD$3)</f>
        <v/>
      </c>
      <c r="BC229" s="26">
        <f>AE$4*(AE229-AE$3)</f>
        <v/>
      </c>
      <c r="BD229" s="26">
        <f>AF$4*(AF229-AF$3)</f>
        <v/>
      </c>
      <c r="BE229" s="26">
        <f>AG$4*(AG229-AG$3)</f>
        <v/>
      </c>
      <c r="BF229" s="26">
        <f>AH$4*(AH229-AH$3)</f>
        <v/>
      </c>
      <c r="BG229" s="26">
        <f>AI$4*(AI229-AI$3)</f>
        <v/>
      </c>
      <c r="BH229" s="26">
        <f>AJ$4*(AJ229-AJ$3)</f>
        <v/>
      </c>
      <c r="BI229" s="26">
        <f>AK$4*(AK229-AK$3)</f>
        <v/>
      </c>
      <c r="BJ229" s="26">
        <f>AL$4*(AL229-AL$3)</f>
        <v/>
      </c>
      <c r="BK229" s="26">
        <f>AM$4*(AM229-AM$3)</f>
        <v/>
      </c>
      <c r="BL229" s="26">
        <f>AN$4*(AN229-AN$3)</f>
        <v/>
      </c>
      <c r="BM229" s="26">
        <f>AO$4*(AO229-AO$3)</f>
        <v/>
      </c>
      <c r="BN229" s="26">
        <f>AP$4*(AP229-AP$3)</f>
        <v/>
      </c>
      <c r="BO229" s="26">
        <f>AQ$4*(AQ229-AQ$3)</f>
        <v/>
      </c>
      <c r="BP229" s="26">
        <f>AR$4*(AR229-AR$3)</f>
        <v/>
      </c>
      <c r="BQ229" s="26">
        <f>AS$4*(AS229-AS$3)</f>
        <v/>
      </c>
      <c r="BR229" s="27">
        <f>SUM(AT229:BQ229)</f>
        <v/>
      </c>
      <c r="BS229" s="27">
        <f>INTERCEPT_SCALED+BR229</f>
        <v/>
      </c>
      <c r="BT229" s="28">
        <f>1/(1+EXP(-BS229))</f>
        <v/>
      </c>
      <c r="BU229" s="13">
        <f>1-(1-BT229)^12</f>
        <v/>
      </c>
      <c r="BV229" s="13">
        <f>IFERROR(AT229/BR229*(BU229-BASELINE_CPR),0)</f>
        <v/>
      </c>
      <c r="BW229" s="13">
        <f>IFERROR(AU229/BR229*(BU229-BASELINE_CPR),0)</f>
        <v/>
      </c>
      <c r="BX229" s="13">
        <f>IFERROR(AV229/BR229*(BU229-BASELINE_CPR),0)</f>
        <v/>
      </c>
      <c r="BY229" s="13">
        <f>IFERROR(AW229/BR229*(BU229-BASELINE_CPR),0)</f>
        <v/>
      </c>
      <c r="BZ229" s="13">
        <f>IFERROR(AX229/BR229*(BU229-BASELINE_CPR),0)</f>
        <v/>
      </c>
      <c r="CA229" s="13">
        <f>IFERROR(AY229/BR229*(BU229-BASELINE_CPR),0)</f>
        <v/>
      </c>
      <c r="CB229" s="13">
        <f>IFERROR(AZ229/BR229*(BU229-BASELINE_CPR),0)</f>
        <v/>
      </c>
      <c r="CC229" s="13">
        <f>IFERROR(BA229/BR229*(BU229-BASELINE_CPR),0)</f>
        <v/>
      </c>
      <c r="CD229" s="13">
        <f>IFERROR(BB229/BR229*(BU229-BASELINE_CPR),0)</f>
        <v/>
      </c>
      <c r="CE229" s="13">
        <f>IFERROR(BC229/BR229*(BU229-BASELINE_CPR),0)</f>
        <v/>
      </c>
      <c r="CF229" s="13">
        <f>IFERROR(BD229/BR229*(BU229-BASELINE_CPR),0)</f>
        <v/>
      </c>
      <c r="CG229" s="13">
        <f>IFERROR(BE229/BR229*(BU229-BASELINE_CPR),0)</f>
        <v/>
      </c>
      <c r="CH229" s="13">
        <f>IFERROR(BF229/BR229*(BU229-BASELINE_CPR),0)</f>
        <v/>
      </c>
      <c r="CI229" s="13">
        <f>IFERROR(BG229/BR229*(BU229-BASELINE_CPR),0)</f>
        <v/>
      </c>
      <c r="CJ229" s="13">
        <f>IFERROR(BH229/BR229*(BU229-BASELINE_CPR),0)</f>
        <v/>
      </c>
      <c r="CK229" s="13">
        <f>IFERROR(BI229/BR229*(BU229-BASELINE_CPR),0)</f>
        <v/>
      </c>
      <c r="CL229" s="13">
        <f>IFERROR(BJ229/BR229*(BU229-BASELINE_CPR),0)</f>
        <v/>
      </c>
      <c r="CM229" s="13">
        <f>IFERROR(BK229/BR229*(BU229-BASELINE_CPR),0)</f>
        <v/>
      </c>
      <c r="CN229" s="13">
        <f>IFERROR(BL229/BR229*(BU229-BASELINE_CPR),0)</f>
        <v/>
      </c>
      <c r="CO229" s="13">
        <f>IFERROR(BM229/BR229*(BU229-BASELINE_CPR),0)</f>
        <v/>
      </c>
      <c r="CP229" s="13">
        <f>IFERROR(BN229/BR229*(BU229-BASELINE_CPR),0)</f>
        <v/>
      </c>
      <c r="CQ229" s="13">
        <f>IFERROR(BO229/BR229*(BU229-BASELINE_CPR),0)</f>
        <v/>
      </c>
      <c r="CR229" s="13">
        <f>IFERROR(BP229/BR229*(BU229-BASELINE_CPR),0)</f>
        <v/>
      </c>
      <c r="CS229" s="13">
        <f>IFERROR(BQ229/BR229*(BU229-BASELINE_CPR),0)</f>
        <v/>
      </c>
      <c r="CT229" s="29">
        <f>BASELINE_CPR+SUM(BV229:CS229)-BU229</f>
        <v/>
      </c>
    </row>
    <row r="230">
      <c r="A230" s="2" t="inlineStr">
        <is>
          <t>36194SPB8_000000009235804</t>
        </is>
      </c>
      <c r="B230" t="inlineStr">
        <is>
          <t>JLL_PRE21</t>
        </is>
      </c>
      <c r="C230" s="2" t="inlineStr">
        <is>
          <t>36194SPB8</t>
        </is>
      </c>
      <c r="D230" t="inlineStr">
        <is>
          <t>JLL REAL ESTATE CAPITAL, LLC</t>
        </is>
      </c>
      <c r="E230" t="inlineStr">
        <is>
          <t>221d4</t>
        </is>
      </c>
      <c r="F230" t="inlineStr">
        <is>
          <t>NC</t>
        </is>
      </c>
      <c r="G230" t="n">
        <v>2016</v>
      </c>
      <c r="H230" t="inlineStr">
        <is>
          <t>202602</t>
        </is>
      </c>
      <c r="I230" s="22" t="n">
        <v>9916135.029999999</v>
      </c>
      <c r="J230" s="23" t="n">
        <v>3.23</v>
      </c>
      <c r="K230" s="24" t="n">
        <v>447</v>
      </c>
      <c r="L230" s="24" t="n">
        <v>10</v>
      </c>
      <c r="M230" t="n">
        <v>116</v>
      </c>
      <c r="N230" t="n">
        <v>18</v>
      </c>
      <c r="O230" t="n">
        <v>205706</v>
      </c>
      <c r="P230" t="n">
        <v>201707</v>
      </c>
      <c r="Q230" t="inlineStr">
        <is>
          <t>4065</t>
        </is>
      </c>
      <c r="R230" t="n">
        <v>0</v>
      </c>
      <c r="S230" t="n">
        <v>0</v>
      </c>
      <c r="T230" t="n">
        <v>0</v>
      </c>
      <c r="U230" t="n">
        <v>1</v>
      </c>
      <c r="V230" s="24">
        <f>J230*100-K230</f>
        <v/>
      </c>
      <c r="W230" s="24">
        <f>L230</f>
        <v/>
      </c>
      <c r="X230" s="25">
        <f>MIN(M230,36)</f>
        <v/>
      </c>
      <c r="Y230" s="25">
        <f>MIN(MAX(M230-36,0),84)</f>
        <v/>
      </c>
      <c r="Z230" s="25">
        <f>MAX(M230-120,0)</f>
        <v/>
      </c>
      <c r="AA230" s="25">
        <f>IF(OR(O230="",NOT(ISNUMBER(O230))),360,MAX(0,MIN(480,(INT(O230/100)-INT(VALUE(H230)/100))*12+MOD(O230,100)-MOD(VALUE(H230),100))))</f>
        <v/>
      </c>
      <c r="AB230">
        <f>IF(AND(AA230&gt;0,AA230&lt;=24),1,0)</f>
        <v/>
      </c>
      <c r="AC230" s="25">
        <f>IF(OR(P230="",NOT(ISNUMBER(P230))),0,MAX(0,MIN(24,(INT(VALUE(H230)/100)-INT(P230/100))*12+MOD(VALUE(H230),100)-MOD(P230,100))))</f>
        <v/>
      </c>
      <c r="AD230" s="23">
        <f>LN(1+I230)</f>
        <v/>
      </c>
      <c r="AE230">
        <f>IF(I230&lt;2000000,1,0)</f>
        <v/>
      </c>
      <c r="AF230">
        <f>IF(I230&gt;50000000,1,0)</f>
        <v/>
      </c>
      <c r="AG230" s="23">
        <f>IF(ISNUMBER(M230),N230/MAX(M230,1),0)</f>
        <v/>
      </c>
      <c r="AH230">
        <f>IF(G230&gt;=2021,1,0)</f>
        <v/>
      </c>
      <c r="AI230">
        <f>S230</f>
        <v/>
      </c>
      <c r="AJ230">
        <f>T230</f>
        <v/>
      </c>
      <c r="AK230">
        <f>R230</f>
        <v/>
      </c>
      <c r="AL230">
        <f>U230</f>
        <v/>
      </c>
      <c r="AM230">
        <f>IF(ISNUMBER(SEARCH("CAPITAL FUNDING",D230)),1,0)</f>
        <v/>
      </c>
      <c r="AN230">
        <f>IF(ISNUMBER(SEARCH("PNC",D230)),1,0)</f>
        <v/>
      </c>
      <c r="AO230">
        <f>IF(ISNUMBER(SEARCH("WELLS FARGO",D230)),1,0)</f>
        <v/>
      </c>
      <c r="AP230">
        <f>IF(ISNUMBER(SEARCH("DWIGHT",D230)),1,0)</f>
        <v/>
      </c>
      <c r="AQ230">
        <f>IF(ISNUMBER(SEARCH("GREYSTONE",D230)),1,0)</f>
        <v/>
      </c>
      <c r="AR230">
        <f>IF(OR(Q230="3896",Q230="3557"),1,0)</f>
        <v/>
      </c>
      <c r="AS230" s="24">
        <f>V230*W230</f>
        <v/>
      </c>
      <c r="AT230" s="26">
        <f>V$4*(V230-V$3)</f>
        <v/>
      </c>
      <c r="AU230" s="26">
        <f>W$4*(W230-W$3)</f>
        <v/>
      </c>
      <c r="AV230" s="26">
        <f>X$4*(X230-X$3)</f>
        <v/>
      </c>
      <c r="AW230" s="26">
        <f>Y$4*(Y230-Y$3)</f>
        <v/>
      </c>
      <c r="AX230" s="26">
        <f>Z$4*(Z230-Z$3)</f>
        <v/>
      </c>
      <c r="AY230" s="26">
        <f>AA$4*(AA230-AA$3)</f>
        <v/>
      </c>
      <c r="AZ230" s="26">
        <f>AB$4*(AB230-AB$3)</f>
        <v/>
      </c>
      <c r="BA230" s="26">
        <f>AC$4*(AC230-AC$3)</f>
        <v/>
      </c>
      <c r="BB230" s="26">
        <f>AD$4*(AD230-AD$3)</f>
        <v/>
      </c>
      <c r="BC230" s="26">
        <f>AE$4*(AE230-AE$3)</f>
        <v/>
      </c>
      <c r="BD230" s="26">
        <f>AF$4*(AF230-AF$3)</f>
        <v/>
      </c>
      <c r="BE230" s="26">
        <f>AG$4*(AG230-AG$3)</f>
        <v/>
      </c>
      <c r="BF230" s="26">
        <f>AH$4*(AH230-AH$3)</f>
        <v/>
      </c>
      <c r="BG230" s="26">
        <f>AI$4*(AI230-AI$3)</f>
        <v/>
      </c>
      <c r="BH230" s="26">
        <f>AJ$4*(AJ230-AJ$3)</f>
        <v/>
      </c>
      <c r="BI230" s="26">
        <f>AK$4*(AK230-AK$3)</f>
        <v/>
      </c>
      <c r="BJ230" s="26">
        <f>AL$4*(AL230-AL$3)</f>
        <v/>
      </c>
      <c r="BK230" s="26">
        <f>AM$4*(AM230-AM$3)</f>
        <v/>
      </c>
      <c r="BL230" s="26">
        <f>AN$4*(AN230-AN$3)</f>
        <v/>
      </c>
      <c r="BM230" s="26">
        <f>AO$4*(AO230-AO$3)</f>
        <v/>
      </c>
      <c r="BN230" s="26">
        <f>AP$4*(AP230-AP$3)</f>
        <v/>
      </c>
      <c r="BO230" s="26">
        <f>AQ$4*(AQ230-AQ$3)</f>
        <v/>
      </c>
      <c r="BP230" s="26">
        <f>AR$4*(AR230-AR$3)</f>
        <v/>
      </c>
      <c r="BQ230" s="26">
        <f>AS$4*(AS230-AS$3)</f>
        <v/>
      </c>
      <c r="BR230" s="27">
        <f>SUM(AT230:BQ230)</f>
        <v/>
      </c>
      <c r="BS230" s="27">
        <f>INTERCEPT_SCALED+BR230</f>
        <v/>
      </c>
      <c r="BT230" s="28">
        <f>1/(1+EXP(-BS230))</f>
        <v/>
      </c>
      <c r="BU230" s="13">
        <f>1-(1-BT230)^12</f>
        <v/>
      </c>
      <c r="BV230" s="13">
        <f>IFERROR(AT230/BR230*(BU230-BASELINE_CPR),0)</f>
        <v/>
      </c>
      <c r="BW230" s="13">
        <f>IFERROR(AU230/BR230*(BU230-BASELINE_CPR),0)</f>
        <v/>
      </c>
      <c r="BX230" s="13">
        <f>IFERROR(AV230/BR230*(BU230-BASELINE_CPR),0)</f>
        <v/>
      </c>
      <c r="BY230" s="13">
        <f>IFERROR(AW230/BR230*(BU230-BASELINE_CPR),0)</f>
        <v/>
      </c>
      <c r="BZ230" s="13">
        <f>IFERROR(AX230/BR230*(BU230-BASELINE_CPR),0)</f>
        <v/>
      </c>
      <c r="CA230" s="13">
        <f>IFERROR(AY230/BR230*(BU230-BASELINE_CPR),0)</f>
        <v/>
      </c>
      <c r="CB230" s="13">
        <f>IFERROR(AZ230/BR230*(BU230-BASELINE_CPR),0)</f>
        <v/>
      </c>
      <c r="CC230" s="13">
        <f>IFERROR(BA230/BR230*(BU230-BASELINE_CPR),0)</f>
        <v/>
      </c>
      <c r="CD230" s="13">
        <f>IFERROR(BB230/BR230*(BU230-BASELINE_CPR),0)</f>
        <v/>
      </c>
      <c r="CE230" s="13">
        <f>IFERROR(BC230/BR230*(BU230-BASELINE_CPR),0)</f>
        <v/>
      </c>
      <c r="CF230" s="13">
        <f>IFERROR(BD230/BR230*(BU230-BASELINE_CPR),0)</f>
        <v/>
      </c>
      <c r="CG230" s="13">
        <f>IFERROR(BE230/BR230*(BU230-BASELINE_CPR),0)</f>
        <v/>
      </c>
      <c r="CH230" s="13">
        <f>IFERROR(BF230/BR230*(BU230-BASELINE_CPR),0)</f>
        <v/>
      </c>
      <c r="CI230" s="13">
        <f>IFERROR(BG230/BR230*(BU230-BASELINE_CPR),0)</f>
        <v/>
      </c>
      <c r="CJ230" s="13">
        <f>IFERROR(BH230/BR230*(BU230-BASELINE_CPR),0)</f>
        <v/>
      </c>
      <c r="CK230" s="13">
        <f>IFERROR(BI230/BR230*(BU230-BASELINE_CPR),0)</f>
        <v/>
      </c>
      <c r="CL230" s="13">
        <f>IFERROR(BJ230/BR230*(BU230-BASELINE_CPR),0)</f>
        <v/>
      </c>
      <c r="CM230" s="13">
        <f>IFERROR(BK230/BR230*(BU230-BASELINE_CPR),0)</f>
        <v/>
      </c>
      <c r="CN230" s="13">
        <f>IFERROR(BL230/BR230*(BU230-BASELINE_CPR),0)</f>
        <v/>
      </c>
      <c r="CO230" s="13">
        <f>IFERROR(BM230/BR230*(BU230-BASELINE_CPR),0)</f>
        <v/>
      </c>
      <c r="CP230" s="13">
        <f>IFERROR(BN230/BR230*(BU230-BASELINE_CPR),0)</f>
        <v/>
      </c>
      <c r="CQ230" s="13">
        <f>IFERROR(BO230/BR230*(BU230-BASELINE_CPR),0)</f>
        <v/>
      </c>
      <c r="CR230" s="13">
        <f>IFERROR(BP230/BR230*(BU230-BASELINE_CPR),0)</f>
        <v/>
      </c>
      <c r="CS230" s="13">
        <f>IFERROR(BQ230/BR230*(BU230-BASELINE_CPR),0)</f>
        <v/>
      </c>
      <c r="CT230" s="29">
        <f>BASELINE_CPR+SUM(BV230:CS230)-BU230</f>
        <v/>
      </c>
    </row>
    <row r="231">
      <c r="A231" s="2" t="inlineStr">
        <is>
          <t>3617V85B8_000000007435287</t>
        </is>
      </c>
      <c r="B231" t="inlineStr">
        <is>
          <t>JLL_POST21</t>
        </is>
      </c>
      <c r="C231" s="2" t="inlineStr">
        <is>
          <t>3617V85B8</t>
        </is>
      </c>
      <c r="D231" t="inlineStr">
        <is>
          <t>JLL REAL ESTATE CAPITAL, LLC</t>
        </is>
      </c>
      <c r="E231" t="inlineStr">
        <is>
          <t>221d4</t>
        </is>
      </c>
      <c r="F231" t="inlineStr">
        <is>
          <t>NC</t>
        </is>
      </c>
      <c r="G231" t="n">
        <v>2021</v>
      </c>
      <c r="H231" t="inlineStr">
        <is>
          <t>202602</t>
        </is>
      </c>
      <c r="I231" s="22" t="n">
        <v>18685263.1</v>
      </c>
      <c r="J231" s="23" t="n">
        <v>2.94</v>
      </c>
      <c r="K231" s="24" t="n">
        <v>447</v>
      </c>
      <c r="L231" s="24" t="n">
        <v>3</v>
      </c>
      <c r="M231" t="n">
        <v>58</v>
      </c>
      <c r="N231" t="n">
        <v>1</v>
      </c>
      <c r="O231" t="n">
        <v>205803</v>
      </c>
      <c r="P231" t="inlineStr"/>
      <c r="Q231" t="inlineStr">
        <is>
          <t>4065</t>
        </is>
      </c>
      <c r="R231" t="n">
        <v>0</v>
      </c>
      <c r="S231" t="n">
        <v>0</v>
      </c>
      <c r="T231" t="n">
        <v>0</v>
      </c>
      <c r="U231" t="n">
        <v>1</v>
      </c>
      <c r="V231" s="24">
        <f>J231*100-K231</f>
        <v/>
      </c>
      <c r="W231" s="24">
        <f>L231</f>
        <v/>
      </c>
      <c r="X231" s="25">
        <f>MIN(M231,36)</f>
        <v/>
      </c>
      <c r="Y231" s="25">
        <f>MIN(MAX(M231-36,0),84)</f>
        <v/>
      </c>
      <c r="Z231" s="25">
        <f>MAX(M231-120,0)</f>
        <v/>
      </c>
      <c r="AA231" s="25">
        <f>IF(OR(O231="",NOT(ISNUMBER(O231))),360,MAX(0,MIN(480,(INT(O231/100)-INT(VALUE(H231)/100))*12+MOD(O231,100)-MOD(VALUE(H231),100))))</f>
        <v/>
      </c>
      <c r="AB231">
        <f>IF(AND(AA231&gt;0,AA231&lt;=24),1,0)</f>
        <v/>
      </c>
      <c r="AC231" s="25">
        <f>IF(OR(P231="",NOT(ISNUMBER(P231))),0,MAX(0,MIN(24,(INT(VALUE(H231)/100)-INT(P231/100))*12+MOD(VALUE(H231),100)-MOD(P231,100))))</f>
        <v/>
      </c>
      <c r="AD231" s="23">
        <f>LN(1+I231)</f>
        <v/>
      </c>
      <c r="AE231">
        <f>IF(I231&lt;2000000,1,0)</f>
        <v/>
      </c>
      <c r="AF231">
        <f>IF(I231&gt;50000000,1,0)</f>
        <v/>
      </c>
      <c r="AG231" s="23">
        <f>IF(ISNUMBER(M231),N231/MAX(M231,1),0)</f>
        <v/>
      </c>
      <c r="AH231">
        <f>IF(G231&gt;=2021,1,0)</f>
        <v/>
      </c>
      <c r="AI231">
        <f>S231</f>
        <v/>
      </c>
      <c r="AJ231">
        <f>T231</f>
        <v/>
      </c>
      <c r="AK231">
        <f>R231</f>
        <v/>
      </c>
      <c r="AL231">
        <f>U231</f>
        <v/>
      </c>
      <c r="AM231">
        <f>IF(ISNUMBER(SEARCH("CAPITAL FUNDING",D231)),1,0)</f>
        <v/>
      </c>
      <c r="AN231">
        <f>IF(ISNUMBER(SEARCH("PNC",D231)),1,0)</f>
        <v/>
      </c>
      <c r="AO231">
        <f>IF(ISNUMBER(SEARCH("WELLS FARGO",D231)),1,0)</f>
        <v/>
      </c>
      <c r="AP231">
        <f>IF(ISNUMBER(SEARCH("DWIGHT",D231)),1,0)</f>
        <v/>
      </c>
      <c r="AQ231">
        <f>IF(ISNUMBER(SEARCH("GREYSTONE",D231)),1,0)</f>
        <v/>
      </c>
      <c r="AR231">
        <f>IF(OR(Q231="3896",Q231="3557"),1,0)</f>
        <v/>
      </c>
      <c r="AS231" s="24">
        <f>V231*W231</f>
        <v/>
      </c>
      <c r="AT231" s="26">
        <f>V$4*(V231-V$3)</f>
        <v/>
      </c>
      <c r="AU231" s="26">
        <f>W$4*(W231-W$3)</f>
        <v/>
      </c>
      <c r="AV231" s="26">
        <f>X$4*(X231-X$3)</f>
        <v/>
      </c>
      <c r="AW231" s="26">
        <f>Y$4*(Y231-Y$3)</f>
        <v/>
      </c>
      <c r="AX231" s="26">
        <f>Z$4*(Z231-Z$3)</f>
        <v/>
      </c>
      <c r="AY231" s="26">
        <f>AA$4*(AA231-AA$3)</f>
        <v/>
      </c>
      <c r="AZ231" s="26">
        <f>AB$4*(AB231-AB$3)</f>
        <v/>
      </c>
      <c r="BA231" s="26">
        <f>AC$4*(AC231-AC$3)</f>
        <v/>
      </c>
      <c r="BB231" s="26">
        <f>AD$4*(AD231-AD$3)</f>
        <v/>
      </c>
      <c r="BC231" s="26">
        <f>AE$4*(AE231-AE$3)</f>
        <v/>
      </c>
      <c r="BD231" s="26">
        <f>AF$4*(AF231-AF$3)</f>
        <v/>
      </c>
      <c r="BE231" s="26">
        <f>AG$4*(AG231-AG$3)</f>
        <v/>
      </c>
      <c r="BF231" s="26">
        <f>AH$4*(AH231-AH$3)</f>
        <v/>
      </c>
      <c r="BG231" s="26">
        <f>AI$4*(AI231-AI$3)</f>
        <v/>
      </c>
      <c r="BH231" s="26">
        <f>AJ$4*(AJ231-AJ$3)</f>
        <v/>
      </c>
      <c r="BI231" s="26">
        <f>AK$4*(AK231-AK$3)</f>
        <v/>
      </c>
      <c r="BJ231" s="26">
        <f>AL$4*(AL231-AL$3)</f>
        <v/>
      </c>
      <c r="BK231" s="26">
        <f>AM$4*(AM231-AM$3)</f>
        <v/>
      </c>
      <c r="BL231" s="26">
        <f>AN$4*(AN231-AN$3)</f>
        <v/>
      </c>
      <c r="BM231" s="26">
        <f>AO$4*(AO231-AO$3)</f>
        <v/>
      </c>
      <c r="BN231" s="26">
        <f>AP$4*(AP231-AP$3)</f>
        <v/>
      </c>
      <c r="BO231" s="26">
        <f>AQ$4*(AQ231-AQ$3)</f>
        <v/>
      </c>
      <c r="BP231" s="26">
        <f>AR$4*(AR231-AR$3)</f>
        <v/>
      </c>
      <c r="BQ231" s="26">
        <f>AS$4*(AS231-AS$3)</f>
        <v/>
      </c>
      <c r="BR231" s="27">
        <f>SUM(AT231:BQ231)</f>
        <v/>
      </c>
      <c r="BS231" s="27">
        <f>INTERCEPT_SCALED+BR231</f>
        <v/>
      </c>
      <c r="BT231" s="28">
        <f>1/(1+EXP(-BS231))</f>
        <v/>
      </c>
      <c r="BU231" s="13">
        <f>1-(1-BT231)^12</f>
        <v/>
      </c>
      <c r="BV231" s="13">
        <f>IFERROR(AT231/BR231*(BU231-BASELINE_CPR),0)</f>
        <v/>
      </c>
      <c r="BW231" s="13">
        <f>IFERROR(AU231/BR231*(BU231-BASELINE_CPR),0)</f>
        <v/>
      </c>
      <c r="BX231" s="13">
        <f>IFERROR(AV231/BR231*(BU231-BASELINE_CPR),0)</f>
        <v/>
      </c>
      <c r="BY231" s="13">
        <f>IFERROR(AW231/BR231*(BU231-BASELINE_CPR),0)</f>
        <v/>
      </c>
      <c r="BZ231" s="13">
        <f>IFERROR(AX231/BR231*(BU231-BASELINE_CPR),0)</f>
        <v/>
      </c>
      <c r="CA231" s="13">
        <f>IFERROR(AY231/BR231*(BU231-BASELINE_CPR),0)</f>
        <v/>
      </c>
      <c r="CB231" s="13">
        <f>IFERROR(AZ231/BR231*(BU231-BASELINE_CPR),0)</f>
        <v/>
      </c>
      <c r="CC231" s="13">
        <f>IFERROR(BA231/BR231*(BU231-BASELINE_CPR),0)</f>
        <v/>
      </c>
      <c r="CD231" s="13">
        <f>IFERROR(BB231/BR231*(BU231-BASELINE_CPR),0)</f>
        <v/>
      </c>
      <c r="CE231" s="13">
        <f>IFERROR(BC231/BR231*(BU231-BASELINE_CPR),0)</f>
        <v/>
      </c>
      <c r="CF231" s="13">
        <f>IFERROR(BD231/BR231*(BU231-BASELINE_CPR),0)</f>
        <v/>
      </c>
      <c r="CG231" s="13">
        <f>IFERROR(BE231/BR231*(BU231-BASELINE_CPR),0)</f>
        <v/>
      </c>
      <c r="CH231" s="13">
        <f>IFERROR(BF231/BR231*(BU231-BASELINE_CPR),0)</f>
        <v/>
      </c>
      <c r="CI231" s="13">
        <f>IFERROR(BG231/BR231*(BU231-BASELINE_CPR),0)</f>
        <v/>
      </c>
      <c r="CJ231" s="13">
        <f>IFERROR(BH231/BR231*(BU231-BASELINE_CPR),0)</f>
        <v/>
      </c>
      <c r="CK231" s="13">
        <f>IFERROR(BI231/BR231*(BU231-BASELINE_CPR),0)</f>
        <v/>
      </c>
      <c r="CL231" s="13">
        <f>IFERROR(BJ231/BR231*(BU231-BASELINE_CPR),0)</f>
        <v/>
      </c>
      <c r="CM231" s="13">
        <f>IFERROR(BK231/BR231*(BU231-BASELINE_CPR),0)</f>
        <v/>
      </c>
      <c r="CN231" s="13">
        <f>IFERROR(BL231/BR231*(BU231-BASELINE_CPR),0)</f>
        <v/>
      </c>
      <c r="CO231" s="13">
        <f>IFERROR(BM231/BR231*(BU231-BASELINE_CPR),0)</f>
        <v/>
      </c>
      <c r="CP231" s="13">
        <f>IFERROR(BN231/BR231*(BU231-BASELINE_CPR),0)</f>
        <v/>
      </c>
      <c r="CQ231" s="13">
        <f>IFERROR(BO231/BR231*(BU231-BASELINE_CPR),0)</f>
        <v/>
      </c>
      <c r="CR231" s="13">
        <f>IFERROR(BP231/BR231*(BU231-BASELINE_CPR),0)</f>
        <v/>
      </c>
      <c r="CS231" s="13">
        <f>IFERROR(BQ231/BR231*(BU231-BASELINE_CPR),0)</f>
        <v/>
      </c>
      <c r="CT231" s="29">
        <f>BASELINE_CPR+SUM(BV231:CS231)-BU231</f>
        <v/>
      </c>
    </row>
    <row r="232">
      <c r="A232" s="2" t="inlineStr">
        <is>
          <t>3617YPGN9_000000009222198</t>
        </is>
      </c>
      <c r="B232" t="inlineStr">
        <is>
          <t>JLL_POST21</t>
        </is>
      </c>
      <c r="C232" s="2" t="inlineStr">
        <is>
          <t>3617YPGN9</t>
        </is>
      </c>
      <c r="D232" t="inlineStr">
        <is>
          <t>JLL REAL ESTATE CAPITAL, LLC</t>
        </is>
      </c>
      <c r="E232" t="inlineStr">
        <is>
          <t>232</t>
        </is>
      </c>
      <c r="F232" t="inlineStr">
        <is>
          <t>RP</t>
        </is>
      </c>
      <c r="G232" t="n">
        <v>2024</v>
      </c>
      <c r="H232" t="inlineStr">
        <is>
          <t>202602</t>
        </is>
      </c>
      <c r="I232" s="22" t="n">
        <v>3738663.02</v>
      </c>
      <c r="J232" s="23" t="n">
        <v>6.28</v>
      </c>
      <c r="K232" s="24" t="n">
        <v>447</v>
      </c>
      <c r="L232" s="24" t="n">
        <v>9</v>
      </c>
      <c r="M232" t="n">
        <v>21</v>
      </c>
      <c r="N232" t="n">
        <v>10</v>
      </c>
      <c r="O232" t="n">
        <v>205906</v>
      </c>
      <c r="P232" t="inlineStr"/>
      <c r="Q232" t="inlineStr">
        <is>
          <t>4065</t>
        </is>
      </c>
      <c r="R232" t="n">
        <v>1</v>
      </c>
      <c r="S232" t="n">
        <v>0</v>
      </c>
      <c r="T232" t="n">
        <v>0</v>
      </c>
      <c r="U232" t="n">
        <v>0</v>
      </c>
      <c r="V232" s="24">
        <f>J232*100-K232</f>
        <v/>
      </c>
      <c r="W232" s="24">
        <f>L232</f>
        <v/>
      </c>
      <c r="X232" s="25">
        <f>MIN(M232,36)</f>
        <v/>
      </c>
      <c r="Y232" s="25">
        <f>MIN(MAX(M232-36,0),84)</f>
        <v/>
      </c>
      <c r="Z232" s="25">
        <f>MAX(M232-120,0)</f>
        <v/>
      </c>
      <c r="AA232" s="25">
        <f>IF(OR(O232="",NOT(ISNUMBER(O232))),360,MAX(0,MIN(480,(INT(O232/100)-INT(VALUE(H232)/100))*12+MOD(O232,100)-MOD(VALUE(H232),100))))</f>
        <v/>
      </c>
      <c r="AB232">
        <f>IF(AND(AA232&gt;0,AA232&lt;=24),1,0)</f>
        <v/>
      </c>
      <c r="AC232" s="25">
        <f>IF(OR(P232="",NOT(ISNUMBER(P232))),0,MAX(0,MIN(24,(INT(VALUE(H232)/100)-INT(P232/100))*12+MOD(VALUE(H232),100)-MOD(P232,100))))</f>
        <v/>
      </c>
      <c r="AD232" s="23">
        <f>LN(1+I232)</f>
        <v/>
      </c>
      <c r="AE232">
        <f>IF(I232&lt;2000000,1,0)</f>
        <v/>
      </c>
      <c r="AF232">
        <f>IF(I232&gt;50000000,1,0)</f>
        <v/>
      </c>
      <c r="AG232" s="23">
        <f>IF(ISNUMBER(M232),N232/MAX(M232,1),0)</f>
        <v/>
      </c>
      <c r="AH232">
        <f>IF(G232&gt;=2021,1,0)</f>
        <v/>
      </c>
      <c r="AI232">
        <f>S232</f>
        <v/>
      </c>
      <c r="AJ232">
        <f>T232</f>
        <v/>
      </c>
      <c r="AK232">
        <f>R232</f>
        <v/>
      </c>
      <c r="AL232">
        <f>U232</f>
        <v/>
      </c>
      <c r="AM232">
        <f>IF(ISNUMBER(SEARCH("CAPITAL FUNDING",D232)),1,0)</f>
        <v/>
      </c>
      <c r="AN232">
        <f>IF(ISNUMBER(SEARCH("PNC",D232)),1,0)</f>
        <v/>
      </c>
      <c r="AO232">
        <f>IF(ISNUMBER(SEARCH("WELLS FARGO",D232)),1,0)</f>
        <v/>
      </c>
      <c r="AP232">
        <f>IF(ISNUMBER(SEARCH("DWIGHT",D232)),1,0)</f>
        <v/>
      </c>
      <c r="AQ232">
        <f>IF(ISNUMBER(SEARCH("GREYSTONE",D232)),1,0)</f>
        <v/>
      </c>
      <c r="AR232">
        <f>IF(OR(Q232="3896",Q232="3557"),1,0)</f>
        <v/>
      </c>
      <c r="AS232" s="24">
        <f>V232*W232</f>
        <v/>
      </c>
      <c r="AT232" s="26">
        <f>V$4*(V232-V$3)</f>
        <v/>
      </c>
      <c r="AU232" s="26">
        <f>W$4*(W232-W$3)</f>
        <v/>
      </c>
      <c r="AV232" s="26">
        <f>X$4*(X232-X$3)</f>
        <v/>
      </c>
      <c r="AW232" s="26">
        <f>Y$4*(Y232-Y$3)</f>
        <v/>
      </c>
      <c r="AX232" s="26">
        <f>Z$4*(Z232-Z$3)</f>
        <v/>
      </c>
      <c r="AY232" s="26">
        <f>AA$4*(AA232-AA$3)</f>
        <v/>
      </c>
      <c r="AZ232" s="26">
        <f>AB$4*(AB232-AB$3)</f>
        <v/>
      </c>
      <c r="BA232" s="26">
        <f>AC$4*(AC232-AC$3)</f>
        <v/>
      </c>
      <c r="BB232" s="26">
        <f>AD$4*(AD232-AD$3)</f>
        <v/>
      </c>
      <c r="BC232" s="26">
        <f>AE$4*(AE232-AE$3)</f>
        <v/>
      </c>
      <c r="BD232" s="26">
        <f>AF$4*(AF232-AF$3)</f>
        <v/>
      </c>
      <c r="BE232" s="26">
        <f>AG$4*(AG232-AG$3)</f>
        <v/>
      </c>
      <c r="BF232" s="26">
        <f>AH$4*(AH232-AH$3)</f>
        <v/>
      </c>
      <c r="BG232" s="26">
        <f>AI$4*(AI232-AI$3)</f>
        <v/>
      </c>
      <c r="BH232" s="26">
        <f>AJ$4*(AJ232-AJ$3)</f>
        <v/>
      </c>
      <c r="BI232" s="26">
        <f>AK$4*(AK232-AK$3)</f>
        <v/>
      </c>
      <c r="BJ232" s="26">
        <f>AL$4*(AL232-AL$3)</f>
        <v/>
      </c>
      <c r="BK232" s="26">
        <f>AM$4*(AM232-AM$3)</f>
        <v/>
      </c>
      <c r="BL232" s="26">
        <f>AN$4*(AN232-AN$3)</f>
        <v/>
      </c>
      <c r="BM232" s="26">
        <f>AO$4*(AO232-AO$3)</f>
        <v/>
      </c>
      <c r="BN232" s="26">
        <f>AP$4*(AP232-AP$3)</f>
        <v/>
      </c>
      <c r="BO232" s="26">
        <f>AQ$4*(AQ232-AQ$3)</f>
        <v/>
      </c>
      <c r="BP232" s="26">
        <f>AR$4*(AR232-AR$3)</f>
        <v/>
      </c>
      <c r="BQ232" s="26">
        <f>AS$4*(AS232-AS$3)</f>
        <v/>
      </c>
      <c r="BR232" s="27">
        <f>SUM(AT232:BQ232)</f>
        <v/>
      </c>
      <c r="BS232" s="27">
        <f>INTERCEPT_SCALED+BR232</f>
        <v/>
      </c>
      <c r="BT232" s="28">
        <f>1/(1+EXP(-BS232))</f>
        <v/>
      </c>
      <c r="BU232" s="13">
        <f>1-(1-BT232)^12</f>
        <v/>
      </c>
      <c r="BV232" s="13">
        <f>IFERROR(AT232/BR232*(BU232-BASELINE_CPR),0)</f>
        <v/>
      </c>
      <c r="BW232" s="13">
        <f>IFERROR(AU232/BR232*(BU232-BASELINE_CPR),0)</f>
        <v/>
      </c>
      <c r="BX232" s="13">
        <f>IFERROR(AV232/BR232*(BU232-BASELINE_CPR),0)</f>
        <v/>
      </c>
      <c r="BY232" s="13">
        <f>IFERROR(AW232/BR232*(BU232-BASELINE_CPR),0)</f>
        <v/>
      </c>
      <c r="BZ232" s="13">
        <f>IFERROR(AX232/BR232*(BU232-BASELINE_CPR),0)</f>
        <v/>
      </c>
      <c r="CA232" s="13">
        <f>IFERROR(AY232/BR232*(BU232-BASELINE_CPR),0)</f>
        <v/>
      </c>
      <c r="CB232" s="13">
        <f>IFERROR(AZ232/BR232*(BU232-BASELINE_CPR),0)</f>
        <v/>
      </c>
      <c r="CC232" s="13">
        <f>IFERROR(BA232/BR232*(BU232-BASELINE_CPR),0)</f>
        <v/>
      </c>
      <c r="CD232" s="13">
        <f>IFERROR(BB232/BR232*(BU232-BASELINE_CPR),0)</f>
        <v/>
      </c>
      <c r="CE232" s="13">
        <f>IFERROR(BC232/BR232*(BU232-BASELINE_CPR),0)</f>
        <v/>
      </c>
      <c r="CF232" s="13">
        <f>IFERROR(BD232/BR232*(BU232-BASELINE_CPR),0)</f>
        <v/>
      </c>
      <c r="CG232" s="13">
        <f>IFERROR(BE232/BR232*(BU232-BASELINE_CPR),0)</f>
        <v/>
      </c>
      <c r="CH232" s="13">
        <f>IFERROR(BF232/BR232*(BU232-BASELINE_CPR),0)</f>
        <v/>
      </c>
      <c r="CI232" s="13">
        <f>IFERROR(BG232/BR232*(BU232-BASELINE_CPR),0)</f>
        <v/>
      </c>
      <c r="CJ232" s="13">
        <f>IFERROR(BH232/BR232*(BU232-BASELINE_CPR),0)</f>
        <v/>
      </c>
      <c r="CK232" s="13">
        <f>IFERROR(BI232/BR232*(BU232-BASELINE_CPR),0)</f>
        <v/>
      </c>
      <c r="CL232" s="13">
        <f>IFERROR(BJ232/BR232*(BU232-BASELINE_CPR),0)</f>
        <v/>
      </c>
      <c r="CM232" s="13">
        <f>IFERROR(BK232/BR232*(BU232-BASELINE_CPR),0)</f>
        <v/>
      </c>
      <c r="CN232" s="13">
        <f>IFERROR(BL232/BR232*(BU232-BASELINE_CPR),0)</f>
        <v/>
      </c>
      <c r="CO232" s="13">
        <f>IFERROR(BM232/BR232*(BU232-BASELINE_CPR),0)</f>
        <v/>
      </c>
      <c r="CP232" s="13">
        <f>IFERROR(BN232/BR232*(BU232-BASELINE_CPR),0)</f>
        <v/>
      </c>
      <c r="CQ232" s="13">
        <f>IFERROR(BO232/BR232*(BU232-BASELINE_CPR),0)</f>
        <v/>
      </c>
      <c r="CR232" s="13">
        <f>IFERROR(BP232/BR232*(BU232-BASELINE_CPR),0)</f>
        <v/>
      </c>
      <c r="CS232" s="13">
        <f>IFERROR(BQ232/BR232*(BU232-BASELINE_CPR),0)</f>
        <v/>
      </c>
      <c r="CT232" s="29">
        <f>BASELINE_CPR+SUM(BV232:CS232)-BU232</f>
        <v/>
      </c>
    </row>
    <row r="233">
      <c r="A233" s="2" t="inlineStr">
        <is>
          <t>36181YSU5_000000009211383</t>
        </is>
      </c>
      <c r="B233" t="inlineStr">
        <is>
          <t>JLL_PRE21</t>
        </is>
      </c>
      <c r="C233" s="2" t="inlineStr">
        <is>
          <t>36181YSU5</t>
        </is>
      </c>
      <c r="D233" t="inlineStr">
        <is>
          <t>JLL REAL ESTATE CAPITAL, LLC</t>
        </is>
      </c>
      <c r="E233" t="inlineStr">
        <is>
          <t>223f</t>
        </is>
      </c>
      <c r="F233" t="inlineStr">
        <is>
          <t>RP</t>
        </is>
      </c>
      <c r="G233" t="n">
        <v>2014</v>
      </c>
      <c r="H233" t="inlineStr">
        <is>
          <t>202602</t>
        </is>
      </c>
      <c r="I233" s="22" t="n">
        <v>1648930.28</v>
      </c>
      <c r="J233" s="23" t="n">
        <v>3.89</v>
      </c>
      <c r="K233" s="24" t="n">
        <v>447</v>
      </c>
      <c r="L233" s="24" t="n">
        <v>0</v>
      </c>
      <c r="M233" t="n">
        <v>142</v>
      </c>
      <c r="N233" t="n">
        <v>44</v>
      </c>
      <c r="O233" t="n">
        <v>204705</v>
      </c>
      <c r="P233" t="inlineStr"/>
      <c r="Q233" t="inlineStr">
        <is>
          <t>4065</t>
        </is>
      </c>
      <c r="R233" t="n">
        <v>0</v>
      </c>
      <c r="S233" t="n">
        <v>0</v>
      </c>
      <c r="T233" t="n">
        <v>0</v>
      </c>
      <c r="U233" t="n">
        <v>0</v>
      </c>
      <c r="V233" s="24">
        <f>J233*100-K233</f>
        <v/>
      </c>
      <c r="W233" s="24">
        <f>L233</f>
        <v/>
      </c>
      <c r="X233" s="25">
        <f>MIN(M233,36)</f>
        <v/>
      </c>
      <c r="Y233" s="25">
        <f>MIN(MAX(M233-36,0),84)</f>
        <v/>
      </c>
      <c r="Z233" s="25">
        <f>MAX(M233-120,0)</f>
        <v/>
      </c>
      <c r="AA233" s="25">
        <f>IF(OR(O233="",NOT(ISNUMBER(O233))),360,MAX(0,MIN(480,(INT(O233/100)-INT(VALUE(H233)/100))*12+MOD(O233,100)-MOD(VALUE(H233),100))))</f>
        <v/>
      </c>
      <c r="AB233">
        <f>IF(AND(AA233&gt;0,AA233&lt;=24),1,0)</f>
        <v/>
      </c>
      <c r="AC233" s="25">
        <f>IF(OR(P233="",NOT(ISNUMBER(P233))),0,MAX(0,MIN(24,(INT(VALUE(H233)/100)-INT(P233/100))*12+MOD(VALUE(H233),100)-MOD(P233,100))))</f>
        <v/>
      </c>
      <c r="AD233" s="23">
        <f>LN(1+I233)</f>
        <v/>
      </c>
      <c r="AE233">
        <f>IF(I233&lt;2000000,1,0)</f>
        <v/>
      </c>
      <c r="AF233">
        <f>IF(I233&gt;50000000,1,0)</f>
        <v/>
      </c>
      <c r="AG233" s="23">
        <f>IF(ISNUMBER(M233),N233/MAX(M233,1),0)</f>
        <v/>
      </c>
      <c r="AH233">
        <f>IF(G233&gt;=2021,1,0)</f>
        <v/>
      </c>
      <c r="AI233">
        <f>S233</f>
        <v/>
      </c>
      <c r="AJ233">
        <f>T233</f>
        <v/>
      </c>
      <c r="AK233">
        <f>R233</f>
        <v/>
      </c>
      <c r="AL233">
        <f>U233</f>
        <v/>
      </c>
      <c r="AM233">
        <f>IF(ISNUMBER(SEARCH("CAPITAL FUNDING",D233)),1,0)</f>
        <v/>
      </c>
      <c r="AN233">
        <f>IF(ISNUMBER(SEARCH("PNC",D233)),1,0)</f>
        <v/>
      </c>
      <c r="AO233">
        <f>IF(ISNUMBER(SEARCH("WELLS FARGO",D233)),1,0)</f>
        <v/>
      </c>
      <c r="AP233">
        <f>IF(ISNUMBER(SEARCH("DWIGHT",D233)),1,0)</f>
        <v/>
      </c>
      <c r="AQ233">
        <f>IF(ISNUMBER(SEARCH("GREYSTONE",D233)),1,0)</f>
        <v/>
      </c>
      <c r="AR233">
        <f>IF(OR(Q233="3896",Q233="3557"),1,0)</f>
        <v/>
      </c>
      <c r="AS233" s="24">
        <f>V233*W233</f>
        <v/>
      </c>
      <c r="AT233" s="26">
        <f>V$4*(V233-V$3)</f>
        <v/>
      </c>
      <c r="AU233" s="26">
        <f>W$4*(W233-W$3)</f>
        <v/>
      </c>
      <c r="AV233" s="26">
        <f>X$4*(X233-X$3)</f>
        <v/>
      </c>
      <c r="AW233" s="26">
        <f>Y$4*(Y233-Y$3)</f>
        <v/>
      </c>
      <c r="AX233" s="26">
        <f>Z$4*(Z233-Z$3)</f>
        <v/>
      </c>
      <c r="AY233" s="26">
        <f>AA$4*(AA233-AA$3)</f>
        <v/>
      </c>
      <c r="AZ233" s="26">
        <f>AB$4*(AB233-AB$3)</f>
        <v/>
      </c>
      <c r="BA233" s="26">
        <f>AC$4*(AC233-AC$3)</f>
        <v/>
      </c>
      <c r="BB233" s="26">
        <f>AD$4*(AD233-AD$3)</f>
        <v/>
      </c>
      <c r="BC233" s="26">
        <f>AE$4*(AE233-AE$3)</f>
        <v/>
      </c>
      <c r="BD233" s="26">
        <f>AF$4*(AF233-AF$3)</f>
        <v/>
      </c>
      <c r="BE233" s="26">
        <f>AG$4*(AG233-AG$3)</f>
        <v/>
      </c>
      <c r="BF233" s="26">
        <f>AH$4*(AH233-AH$3)</f>
        <v/>
      </c>
      <c r="BG233" s="26">
        <f>AI$4*(AI233-AI$3)</f>
        <v/>
      </c>
      <c r="BH233" s="26">
        <f>AJ$4*(AJ233-AJ$3)</f>
        <v/>
      </c>
      <c r="BI233" s="26">
        <f>AK$4*(AK233-AK$3)</f>
        <v/>
      </c>
      <c r="BJ233" s="26">
        <f>AL$4*(AL233-AL$3)</f>
        <v/>
      </c>
      <c r="BK233" s="26">
        <f>AM$4*(AM233-AM$3)</f>
        <v/>
      </c>
      <c r="BL233" s="26">
        <f>AN$4*(AN233-AN$3)</f>
        <v/>
      </c>
      <c r="BM233" s="26">
        <f>AO$4*(AO233-AO$3)</f>
        <v/>
      </c>
      <c r="BN233" s="26">
        <f>AP$4*(AP233-AP$3)</f>
        <v/>
      </c>
      <c r="BO233" s="26">
        <f>AQ$4*(AQ233-AQ$3)</f>
        <v/>
      </c>
      <c r="BP233" s="26">
        <f>AR$4*(AR233-AR$3)</f>
        <v/>
      </c>
      <c r="BQ233" s="26">
        <f>AS$4*(AS233-AS$3)</f>
        <v/>
      </c>
      <c r="BR233" s="27">
        <f>SUM(AT233:BQ233)</f>
        <v/>
      </c>
      <c r="BS233" s="27">
        <f>INTERCEPT_SCALED+BR233</f>
        <v/>
      </c>
      <c r="BT233" s="28">
        <f>1/(1+EXP(-BS233))</f>
        <v/>
      </c>
      <c r="BU233" s="13">
        <f>1-(1-BT233)^12</f>
        <v/>
      </c>
      <c r="BV233" s="13">
        <f>IFERROR(AT233/BR233*(BU233-BASELINE_CPR),0)</f>
        <v/>
      </c>
      <c r="BW233" s="13">
        <f>IFERROR(AU233/BR233*(BU233-BASELINE_CPR),0)</f>
        <v/>
      </c>
      <c r="BX233" s="13">
        <f>IFERROR(AV233/BR233*(BU233-BASELINE_CPR),0)</f>
        <v/>
      </c>
      <c r="BY233" s="13">
        <f>IFERROR(AW233/BR233*(BU233-BASELINE_CPR),0)</f>
        <v/>
      </c>
      <c r="BZ233" s="13">
        <f>IFERROR(AX233/BR233*(BU233-BASELINE_CPR),0)</f>
        <v/>
      </c>
      <c r="CA233" s="13">
        <f>IFERROR(AY233/BR233*(BU233-BASELINE_CPR),0)</f>
        <v/>
      </c>
      <c r="CB233" s="13">
        <f>IFERROR(AZ233/BR233*(BU233-BASELINE_CPR),0)</f>
        <v/>
      </c>
      <c r="CC233" s="13">
        <f>IFERROR(BA233/BR233*(BU233-BASELINE_CPR),0)</f>
        <v/>
      </c>
      <c r="CD233" s="13">
        <f>IFERROR(BB233/BR233*(BU233-BASELINE_CPR),0)</f>
        <v/>
      </c>
      <c r="CE233" s="13">
        <f>IFERROR(BC233/BR233*(BU233-BASELINE_CPR),0)</f>
        <v/>
      </c>
      <c r="CF233" s="13">
        <f>IFERROR(BD233/BR233*(BU233-BASELINE_CPR),0)</f>
        <v/>
      </c>
      <c r="CG233" s="13">
        <f>IFERROR(BE233/BR233*(BU233-BASELINE_CPR),0)</f>
        <v/>
      </c>
      <c r="CH233" s="13">
        <f>IFERROR(BF233/BR233*(BU233-BASELINE_CPR),0)</f>
        <v/>
      </c>
      <c r="CI233" s="13">
        <f>IFERROR(BG233/BR233*(BU233-BASELINE_CPR),0)</f>
        <v/>
      </c>
      <c r="CJ233" s="13">
        <f>IFERROR(BH233/BR233*(BU233-BASELINE_CPR),0)</f>
        <v/>
      </c>
      <c r="CK233" s="13">
        <f>IFERROR(BI233/BR233*(BU233-BASELINE_CPR),0)</f>
        <v/>
      </c>
      <c r="CL233" s="13">
        <f>IFERROR(BJ233/BR233*(BU233-BASELINE_CPR),0)</f>
        <v/>
      </c>
      <c r="CM233" s="13">
        <f>IFERROR(BK233/BR233*(BU233-BASELINE_CPR),0)</f>
        <v/>
      </c>
      <c r="CN233" s="13">
        <f>IFERROR(BL233/BR233*(BU233-BASELINE_CPR),0)</f>
        <v/>
      </c>
      <c r="CO233" s="13">
        <f>IFERROR(BM233/BR233*(BU233-BASELINE_CPR),0)</f>
        <v/>
      </c>
      <c r="CP233" s="13">
        <f>IFERROR(BN233/BR233*(BU233-BASELINE_CPR),0)</f>
        <v/>
      </c>
      <c r="CQ233" s="13">
        <f>IFERROR(BO233/BR233*(BU233-BASELINE_CPR),0)</f>
        <v/>
      </c>
      <c r="CR233" s="13">
        <f>IFERROR(BP233/BR233*(BU233-BASELINE_CPR),0)</f>
        <v/>
      </c>
      <c r="CS233" s="13">
        <f>IFERROR(BQ233/BR233*(BU233-BASELINE_CPR),0)</f>
        <v/>
      </c>
      <c r="CT233" s="29">
        <f>BASELINE_CPR+SUM(BV233:CS233)-BU233</f>
        <v/>
      </c>
    </row>
    <row r="234">
      <c r="A234" s="2" t="inlineStr">
        <is>
          <t>3617V85S1_000000011311457</t>
        </is>
      </c>
      <c r="B234" t="inlineStr">
        <is>
          <t>JLL_POST21</t>
        </is>
      </c>
      <c r="C234" s="2" t="inlineStr">
        <is>
          <t>3617V85S1</t>
        </is>
      </c>
      <c r="D234" t="inlineStr">
        <is>
          <t>JLL REAL ESTATE CAPITAL, LLC</t>
        </is>
      </c>
      <c r="E234" t="inlineStr">
        <is>
          <t>223f</t>
        </is>
      </c>
      <c r="F234" t="inlineStr">
        <is>
          <t>RP</t>
        </is>
      </c>
      <c r="G234" t="n">
        <v>2021</v>
      </c>
      <c r="H234" t="inlineStr">
        <is>
          <t>202602</t>
        </is>
      </c>
      <c r="I234" s="22" t="n">
        <v>5024963.75</v>
      </c>
      <c r="J234" s="23" t="n">
        <v>2.42</v>
      </c>
      <c r="K234" s="24" t="n">
        <v>447</v>
      </c>
      <c r="L234" s="24" t="n">
        <v>1</v>
      </c>
      <c r="M234" t="n">
        <v>55</v>
      </c>
      <c r="N234" t="n">
        <v>0</v>
      </c>
      <c r="O234" t="n">
        <v>205608</v>
      </c>
      <c r="P234" t="inlineStr"/>
      <c r="Q234" t="inlineStr">
        <is>
          <t>4065</t>
        </is>
      </c>
      <c r="R234" t="n">
        <v>0</v>
      </c>
      <c r="S234" t="n">
        <v>0</v>
      </c>
      <c r="T234" t="n">
        <v>0</v>
      </c>
      <c r="U234" t="n">
        <v>0</v>
      </c>
      <c r="V234" s="24">
        <f>J234*100-K234</f>
        <v/>
      </c>
      <c r="W234" s="24">
        <f>L234</f>
        <v/>
      </c>
      <c r="X234" s="25">
        <f>MIN(M234,36)</f>
        <v/>
      </c>
      <c r="Y234" s="25">
        <f>MIN(MAX(M234-36,0),84)</f>
        <v/>
      </c>
      <c r="Z234" s="25">
        <f>MAX(M234-120,0)</f>
        <v/>
      </c>
      <c r="AA234" s="25">
        <f>IF(OR(O234="",NOT(ISNUMBER(O234))),360,MAX(0,MIN(480,(INT(O234/100)-INT(VALUE(H234)/100))*12+MOD(O234,100)-MOD(VALUE(H234),100))))</f>
        <v/>
      </c>
      <c r="AB234">
        <f>IF(AND(AA234&gt;0,AA234&lt;=24),1,0)</f>
        <v/>
      </c>
      <c r="AC234" s="25">
        <f>IF(OR(P234="",NOT(ISNUMBER(P234))),0,MAX(0,MIN(24,(INT(VALUE(H234)/100)-INT(P234/100))*12+MOD(VALUE(H234),100)-MOD(P234,100))))</f>
        <v/>
      </c>
      <c r="AD234" s="23">
        <f>LN(1+I234)</f>
        <v/>
      </c>
      <c r="AE234">
        <f>IF(I234&lt;2000000,1,0)</f>
        <v/>
      </c>
      <c r="AF234">
        <f>IF(I234&gt;50000000,1,0)</f>
        <v/>
      </c>
      <c r="AG234" s="23">
        <f>IF(ISNUMBER(M234),N234/MAX(M234,1),0)</f>
        <v/>
      </c>
      <c r="AH234">
        <f>IF(G234&gt;=2021,1,0)</f>
        <v/>
      </c>
      <c r="AI234">
        <f>S234</f>
        <v/>
      </c>
      <c r="AJ234">
        <f>T234</f>
        <v/>
      </c>
      <c r="AK234">
        <f>R234</f>
        <v/>
      </c>
      <c r="AL234">
        <f>U234</f>
        <v/>
      </c>
      <c r="AM234">
        <f>IF(ISNUMBER(SEARCH("CAPITAL FUNDING",D234)),1,0)</f>
        <v/>
      </c>
      <c r="AN234">
        <f>IF(ISNUMBER(SEARCH("PNC",D234)),1,0)</f>
        <v/>
      </c>
      <c r="AO234">
        <f>IF(ISNUMBER(SEARCH("WELLS FARGO",D234)),1,0)</f>
        <v/>
      </c>
      <c r="AP234">
        <f>IF(ISNUMBER(SEARCH("DWIGHT",D234)),1,0)</f>
        <v/>
      </c>
      <c r="AQ234">
        <f>IF(ISNUMBER(SEARCH("GREYSTONE",D234)),1,0)</f>
        <v/>
      </c>
      <c r="AR234">
        <f>IF(OR(Q234="3896",Q234="3557"),1,0)</f>
        <v/>
      </c>
      <c r="AS234" s="24">
        <f>V234*W234</f>
        <v/>
      </c>
      <c r="AT234" s="26">
        <f>V$4*(V234-V$3)</f>
        <v/>
      </c>
      <c r="AU234" s="26">
        <f>W$4*(W234-W$3)</f>
        <v/>
      </c>
      <c r="AV234" s="26">
        <f>X$4*(X234-X$3)</f>
        <v/>
      </c>
      <c r="AW234" s="26">
        <f>Y$4*(Y234-Y$3)</f>
        <v/>
      </c>
      <c r="AX234" s="26">
        <f>Z$4*(Z234-Z$3)</f>
        <v/>
      </c>
      <c r="AY234" s="26">
        <f>AA$4*(AA234-AA$3)</f>
        <v/>
      </c>
      <c r="AZ234" s="26">
        <f>AB$4*(AB234-AB$3)</f>
        <v/>
      </c>
      <c r="BA234" s="26">
        <f>AC$4*(AC234-AC$3)</f>
        <v/>
      </c>
      <c r="BB234" s="26">
        <f>AD$4*(AD234-AD$3)</f>
        <v/>
      </c>
      <c r="BC234" s="26">
        <f>AE$4*(AE234-AE$3)</f>
        <v/>
      </c>
      <c r="BD234" s="26">
        <f>AF$4*(AF234-AF$3)</f>
        <v/>
      </c>
      <c r="BE234" s="26">
        <f>AG$4*(AG234-AG$3)</f>
        <v/>
      </c>
      <c r="BF234" s="26">
        <f>AH$4*(AH234-AH$3)</f>
        <v/>
      </c>
      <c r="BG234" s="26">
        <f>AI$4*(AI234-AI$3)</f>
        <v/>
      </c>
      <c r="BH234" s="26">
        <f>AJ$4*(AJ234-AJ$3)</f>
        <v/>
      </c>
      <c r="BI234" s="26">
        <f>AK$4*(AK234-AK$3)</f>
        <v/>
      </c>
      <c r="BJ234" s="26">
        <f>AL$4*(AL234-AL$3)</f>
        <v/>
      </c>
      <c r="BK234" s="26">
        <f>AM$4*(AM234-AM$3)</f>
        <v/>
      </c>
      <c r="BL234" s="26">
        <f>AN$4*(AN234-AN$3)</f>
        <v/>
      </c>
      <c r="BM234" s="26">
        <f>AO$4*(AO234-AO$3)</f>
        <v/>
      </c>
      <c r="BN234" s="26">
        <f>AP$4*(AP234-AP$3)</f>
        <v/>
      </c>
      <c r="BO234" s="26">
        <f>AQ$4*(AQ234-AQ$3)</f>
        <v/>
      </c>
      <c r="BP234" s="26">
        <f>AR$4*(AR234-AR$3)</f>
        <v/>
      </c>
      <c r="BQ234" s="26">
        <f>AS$4*(AS234-AS$3)</f>
        <v/>
      </c>
      <c r="BR234" s="27">
        <f>SUM(AT234:BQ234)</f>
        <v/>
      </c>
      <c r="BS234" s="27">
        <f>INTERCEPT_SCALED+BR234</f>
        <v/>
      </c>
      <c r="BT234" s="28">
        <f>1/(1+EXP(-BS234))</f>
        <v/>
      </c>
      <c r="BU234" s="13">
        <f>1-(1-BT234)^12</f>
        <v/>
      </c>
      <c r="BV234" s="13">
        <f>IFERROR(AT234/BR234*(BU234-BASELINE_CPR),0)</f>
        <v/>
      </c>
      <c r="BW234" s="13">
        <f>IFERROR(AU234/BR234*(BU234-BASELINE_CPR),0)</f>
        <v/>
      </c>
      <c r="BX234" s="13">
        <f>IFERROR(AV234/BR234*(BU234-BASELINE_CPR),0)</f>
        <v/>
      </c>
      <c r="BY234" s="13">
        <f>IFERROR(AW234/BR234*(BU234-BASELINE_CPR),0)</f>
        <v/>
      </c>
      <c r="BZ234" s="13">
        <f>IFERROR(AX234/BR234*(BU234-BASELINE_CPR),0)</f>
        <v/>
      </c>
      <c r="CA234" s="13">
        <f>IFERROR(AY234/BR234*(BU234-BASELINE_CPR),0)</f>
        <v/>
      </c>
      <c r="CB234" s="13">
        <f>IFERROR(AZ234/BR234*(BU234-BASELINE_CPR),0)</f>
        <v/>
      </c>
      <c r="CC234" s="13">
        <f>IFERROR(BA234/BR234*(BU234-BASELINE_CPR),0)</f>
        <v/>
      </c>
      <c r="CD234" s="13">
        <f>IFERROR(BB234/BR234*(BU234-BASELINE_CPR),0)</f>
        <v/>
      </c>
      <c r="CE234" s="13">
        <f>IFERROR(BC234/BR234*(BU234-BASELINE_CPR),0)</f>
        <v/>
      </c>
      <c r="CF234" s="13">
        <f>IFERROR(BD234/BR234*(BU234-BASELINE_CPR),0)</f>
        <v/>
      </c>
      <c r="CG234" s="13">
        <f>IFERROR(BE234/BR234*(BU234-BASELINE_CPR),0)</f>
        <v/>
      </c>
      <c r="CH234" s="13">
        <f>IFERROR(BF234/BR234*(BU234-BASELINE_CPR),0)</f>
        <v/>
      </c>
      <c r="CI234" s="13">
        <f>IFERROR(BG234/BR234*(BU234-BASELINE_CPR),0)</f>
        <v/>
      </c>
      <c r="CJ234" s="13">
        <f>IFERROR(BH234/BR234*(BU234-BASELINE_CPR),0)</f>
        <v/>
      </c>
      <c r="CK234" s="13">
        <f>IFERROR(BI234/BR234*(BU234-BASELINE_CPR),0)</f>
        <v/>
      </c>
      <c r="CL234" s="13">
        <f>IFERROR(BJ234/BR234*(BU234-BASELINE_CPR),0)</f>
        <v/>
      </c>
      <c r="CM234" s="13">
        <f>IFERROR(BK234/BR234*(BU234-BASELINE_CPR),0)</f>
        <v/>
      </c>
      <c r="CN234" s="13">
        <f>IFERROR(BL234/BR234*(BU234-BASELINE_CPR),0)</f>
        <v/>
      </c>
      <c r="CO234" s="13">
        <f>IFERROR(BM234/BR234*(BU234-BASELINE_CPR),0)</f>
        <v/>
      </c>
      <c r="CP234" s="13">
        <f>IFERROR(BN234/BR234*(BU234-BASELINE_CPR),0)</f>
        <v/>
      </c>
      <c r="CQ234" s="13">
        <f>IFERROR(BO234/BR234*(BU234-BASELINE_CPR),0)</f>
        <v/>
      </c>
      <c r="CR234" s="13">
        <f>IFERROR(BP234/BR234*(BU234-BASELINE_CPR),0)</f>
        <v/>
      </c>
      <c r="CS234" s="13">
        <f>IFERROR(BQ234/BR234*(BU234-BASELINE_CPR),0)</f>
        <v/>
      </c>
      <c r="CT234" s="29">
        <f>BASELINE_CPR+SUM(BV234:CS234)-BU234</f>
        <v/>
      </c>
    </row>
    <row r="235">
      <c r="A235" s="2" t="inlineStr">
        <is>
          <t>3620C2ZC1_000000007143246</t>
        </is>
      </c>
      <c r="B235" t="inlineStr">
        <is>
          <t>JLL_PRE21</t>
        </is>
      </c>
      <c r="C235" s="2" t="inlineStr">
        <is>
          <t>3620C2ZC1</t>
        </is>
      </c>
      <c r="D235" t="inlineStr">
        <is>
          <t>JLL REAL ESTATE CAPITAL, LLC</t>
        </is>
      </c>
      <c r="E235" t="inlineStr">
        <is>
          <t>232</t>
        </is>
      </c>
      <c r="F235" t="inlineStr">
        <is>
          <t>RP</t>
        </is>
      </c>
      <c r="G235" t="n">
        <v>2011</v>
      </c>
      <c r="H235" t="inlineStr">
        <is>
          <t>202602</t>
        </is>
      </c>
      <c r="I235" s="22" t="n">
        <v>6745844.71</v>
      </c>
      <c r="J235" s="23" t="n">
        <v>3.88</v>
      </c>
      <c r="K235" s="24" t="n">
        <v>447</v>
      </c>
      <c r="L235" s="24" t="n">
        <v>0</v>
      </c>
      <c r="M235" t="n">
        <v>174</v>
      </c>
      <c r="N235" t="n">
        <v>41</v>
      </c>
      <c r="O235" t="n">
        <v>204502</v>
      </c>
      <c r="P235" t="n">
        <v>201310</v>
      </c>
      <c r="Q235" t="inlineStr">
        <is>
          <t>4065</t>
        </is>
      </c>
      <c r="R235" t="n">
        <v>1</v>
      </c>
      <c r="S235" t="n">
        <v>1</v>
      </c>
      <c r="T235" t="n">
        <v>0</v>
      </c>
      <c r="U235" t="n">
        <v>0</v>
      </c>
      <c r="V235" s="24">
        <f>J235*100-K235</f>
        <v/>
      </c>
      <c r="W235" s="24">
        <f>L235</f>
        <v/>
      </c>
      <c r="X235" s="25">
        <f>MIN(M235,36)</f>
        <v/>
      </c>
      <c r="Y235" s="25">
        <f>MIN(MAX(M235-36,0),84)</f>
        <v/>
      </c>
      <c r="Z235" s="25">
        <f>MAX(M235-120,0)</f>
        <v/>
      </c>
      <c r="AA235" s="25">
        <f>IF(OR(O235="",NOT(ISNUMBER(O235))),360,MAX(0,MIN(480,(INT(O235/100)-INT(VALUE(H235)/100))*12+MOD(O235,100)-MOD(VALUE(H235),100))))</f>
        <v/>
      </c>
      <c r="AB235">
        <f>IF(AND(AA235&gt;0,AA235&lt;=24),1,0)</f>
        <v/>
      </c>
      <c r="AC235" s="25">
        <f>IF(OR(P235="",NOT(ISNUMBER(P235))),0,MAX(0,MIN(24,(INT(VALUE(H235)/100)-INT(P235/100))*12+MOD(VALUE(H235),100)-MOD(P235,100))))</f>
        <v/>
      </c>
      <c r="AD235" s="23">
        <f>LN(1+I235)</f>
        <v/>
      </c>
      <c r="AE235">
        <f>IF(I235&lt;2000000,1,0)</f>
        <v/>
      </c>
      <c r="AF235">
        <f>IF(I235&gt;50000000,1,0)</f>
        <v/>
      </c>
      <c r="AG235" s="23">
        <f>IF(ISNUMBER(M235),N235/MAX(M235,1),0)</f>
        <v/>
      </c>
      <c r="AH235">
        <f>IF(G235&gt;=2021,1,0)</f>
        <v/>
      </c>
      <c r="AI235">
        <f>S235</f>
        <v/>
      </c>
      <c r="AJ235">
        <f>T235</f>
        <v/>
      </c>
      <c r="AK235">
        <f>R235</f>
        <v/>
      </c>
      <c r="AL235">
        <f>U235</f>
        <v/>
      </c>
      <c r="AM235">
        <f>IF(ISNUMBER(SEARCH("CAPITAL FUNDING",D235)),1,0)</f>
        <v/>
      </c>
      <c r="AN235">
        <f>IF(ISNUMBER(SEARCH("PNC",D235)),1,0)</f>
        <v/>
      </c>
      <c r="AO235">
        <f>IF(ISNUMBER(SEARCH("WELLS FARGO",D235)),1,0)</f>
        <v/>
      </c>
      <c r="AP235">
        <f>IF(ISNUMBER(SEARCH("DWIGHT",D235)),1,0)</f>
        <v/>
      </c>
      <c r="AQ235">
        <f>IF(ISNUMBER(SEARCH("GREYSTONE",D235)),1,0)</f>
        <v/>
      </c>
      <c r="AR235">
        <f>IF(OR(Q235="3896",Q235="3557"),1,0)</f>
        <v/>
      </c>
      <c r="AS235" s="24">
        <f>V235*W235</f>
        <v/>
      </c>
      <c r="AT235" s="26">
        <f>V$4*(V235-V$3)</f>
        <v/>
      </c>
      <c r="AU235" s="26">
        <f>W$4*(W235-W$3)</f>
        <v/>
      </c>
      <c r="AV235" s="26">
        <f>X$4*(X235-X$3)</f>
        <v/>
      </c>
      <c r="AW235" s="26">
        <f>Y$4*(Y235-Y$3)</f>
        <v/>
      </c>
      <c r="AX235" s="26">
        <f>Z$4*(Z235-Z$3)</f>
        <v/>
      </c>
      <c r="AY235" s="26">
        <f>AA$4*(AA235-AA$3)</f>
        <v/>
      </c>
      <c r="AZ235" s="26">
        <f>AB$4*(AB235-AB$3)</f>
        <v/>
      </c>
      <c r="BA235" s="26">
        <f>AC$4*(AC235-AC$3)</f>
        <v/>
      </c>
      <c r="BB235" s="26">
        <f>AD$4*(AD235-AD$3)</f>
        <v/>
      </c>
      <c r="BC235" s="26">
        <f>AE$4*(AE235-AE$3)</f>
        <v/>
      </c>
      <c r="BD235" s="26">
        <f>AF$4*(AF235-AF$3)</f>
        <v/>
      </c>
      <c r="BE235" s="26">
        <f>AG$4*(AG235-AG$3)</f>
        <v/>
      </c>
      <c r="BF235" s="26">
        <f>AH$4*(AH235-AH$3)</f>
        <v/>
      </c>
      <c r="BG235" s="26">
        <f>AI$4*(AI235-AI$3)</f>
        <v/>
      </c>
      <c r="BH235" s="26">
        <f>AJ$4*(AJ235-AJ$3)</f>
        <v/>
      </c>
      <c r="BI235" s="26">
        <f>AK$4*(AK235-AK$3)</f>
        <v/>
      </c>
      <c r="BJ235" s="26">
        <f>AL$4*(AL235-AL$3)</f>
        <v/>
      </c>
      <c r="BK235" s="26">
        <f>AM$4*(AM235-AM$3)</f>
        <v/>
      </c>
      <c r="BL235" s="26">
        <f>AN$4*(AN235-AN$3)</f>
        <v/>
      </c>
      <c r="BM235" s="26">
        <f>AO$4*(AO235-AO$3)</f>
        <v/>
      </c>
      <c r="BN235" s="26">
        <f>AP$4*(AP235-AP$3)</f>
        <v/>
      </c>
      <c r="BO235" s="26">
        <f>AQ$4*(AQ235-AQ$3)</f>
        <v/>
      </c>
      <c r="BP235" s="26">
        <f>AR$4*(AR235-AR$3)</f>
        <v/>
      </c>
      <c r="BQ235" s="26">
        <f>AS$4*(AS235-AS$3)</f>
        <v/>
      </c>
      <c r="BR235" s="27">
        <f>SUM(AT235:BQ235)</f>
        <v/>
      </c>
      <c r="BS235" s="27">
        <f>INTERCEPT_SCALED+BR235</f>
        <v/>
      </c>
      <c r="BT235" s="28">
        <f>1/(1+EXP(-BS235))</f>
        <v/>
      </c>
      <c r="BU235" s="13">
        <f>1-(1-BT235)^12</f>
        <v/>
      </c>
      <c r="BV235" s="13">
        <f>IFERROR(AT235/BR235*(BU235-BASELINE_CPR),0)</f>
        <v/>
      </c>
      <c r="BW235" s="13">
        <f>IFERROR(AU235/BR235*(BU235-BASELINE_CPR),0)</f>
        <v/>
      </c>
      <c r="BX235" s="13">
        <f>IFERROR(AV235/BR235*(BU235-BASELINE_CPR),0)</f>
        <v/>
      </c>
      <c r="BY235" s="13">
        <f>IFERROR(AW235/BR235*(BU235-BASELINE_CPR),0)</f>
        <v/>
      </c>
      <c r="BZ235" s="13">
        <f>IFERROR(AX235/BR235*(BU235-BASELINE_CPR),0)</f>
        <v/>
      </c>
      <c r="CA235" s="13">
        <f>IFERROR(AY235/BR235*(BU235-BASELINE_CPR),0)</f>
        <v/>
      </c>
      <c r="CB235" s="13">
        <f>IFERROR(AZ235/BR235*(BU235-BASELINE_CPR),0)</f>
        <v/>
      </c>
      <c r="CC235" s="13">
        <f>IFERROR(BA235/BR235*(BU235-BASELINE_CPR),0)</f>
        <v/>
      </c>
      <c r="CD235" s="13">
        <f>IFERROR(BB235/BR235*(BU235-BASELINE_CPR),0)</f>
        <v/>
      </c>
      <c r="CE235" s="13">
        <f>IFERROR(BC235/BR235*(BU235-BASELINE_CPR),0)</f>
        <v/>
      </c>
      <c r="CF235" s="13">
        <f>IFERROR(BD235/BR235*(BU235-BASELINE_CPR),0)</f>
        <v/>
      </c>
      <c r="CG235" s="13">
        <f>IFERROR(BE235/BR235*(BU235-BASELINE_CPR),0)</f>
        <v/>
      </c>
      <c r="CH235" s="13">
        <f>IFERROR(BF235/BR235*(BU235-BASELINE_CPR),0)</f>
        <v/>
      </c>
      <c r="CI235" s="13">
        <f>IFERROR(BG235/BR235*(BU235-BASELINE_CPR),0)</f>
        <v/>
      </c>
      <c r="CJ235" s="13">
        <f>IFERROR(BH235/BR235*(BU235-BASELINE_CPR),0)</f>
        <v/>
      </c>
      <c r="CK235" s="13">
        <f>IFERROR(BI235/BR235*(BU235-BASELINE_CPR),0)</f>
        <v/>
      </c>
      <c r="CL235" s="13">
        <f>IFERROR(BJ235/BR235*(BU235-BASELINE_CPR),0)</f>
        <v/>
      </c>
      <c r="CM235" s="13">
        <f>IFERROR(BK235/BR235*(BU235-BASELINE_CPR),0)</f>
        <v/>
      </c>
      <c r="CN235" s="13">
        <f>IFERROR(BL235/BR235*(BU235-BASELINE_CPR),0)</f>
        <v/>
      </c>
      <c r="CO235" s="13">
        <f>IFERROR(BM235/BR235*(BU235-BASELINE_CPR),0)</f>
        <v/>
      </c>
      <c r="CP235" s="13">
        <f>IFERROR(BN235/BR235*(BU235-BASELINE_CPR),0)</f>
        <v/>
      </c>
      <c r="CQ235" s="13">
        <f>IFERROR(BO235/BR235*(BU235-BASELINE_CPR),0)</f>
        <v/>
      </c>
      <c r="CR235" s="13">
        <f>IFERROR(BP235/BR235*(BU235-BASELINE_CPR),0)</f>
        <v/>
      </c>
      <c r="CS235" s="13">
        <f>IFERROR(BQ235/BR235*(BU235-BASELINE_CPR),0)</f>
        <v/>
      </c>
      <c r="CT235" s="29">
        <f>BASELINE_CPR+SUM(BV235:CS235)-BU235</f>
        <v/>
      </c>
    </row>
    <row r="236">
      <c r="A236" s="2" t="inlineStr">
        <is>
          <t>3617LBH60_000000008235482</t>
        </is>
      </c>
      <c r="B236" t="inlineStr">
        <is>
          <t>JLL_PRE21</t>
        </is>
      </c>
      <c r="C236" s="2" t="inlineStr">
        <is>
          <t>3617LBH60</t>
        </is>
      </c>
      <c r="D236" t="inlineStr">
        <is>
          <t>JLL REAL ESTATE CAPITAL, LLC</t>
        </is>
      </c>
      <c r="E236" t="inlineStr">
        <is>
          <t>221d4</t>
        </is>
      </c>
      <c r="F236" t="inlineStr">
        <is>
          <t>NC</t>
        </is>
      </c>
      <c r="G236" t="n">
        <v>2019</v>
      </c>
      <c r="H236" t="inlineStr">
        <is>
          <t>202602</t>
        </is>
      </c>
      <c r="I236" s="22" t="n">
        <v>12926537.01</v>
      </c>
      <c r="J236" s="23" t="n">
        <v>4.05</v>
      </c>
      <c r="K236" s="24" t="n">
        <v>447</v>
      </c>
      <c r="L236" s="24" t="n">
        <v>7</v>
      </c>
      <c r="M236" t="n">
        <v>76</v>
      </c>
      <c r="N236" t="n">
        <v>0</v>
      </c>
      <c r="O236" t="n">
        <v>206203</v>
      </c>
      <c r="P236" t="inlineStr"/>
      <c r="Q236" t="inlineStr">
        <is>
          <t>4065</t>
        </is>
      </c>
      <c r="R236" t="n">
        <v>0</v>
      </c>
      <c r="S236" t="n">
        <v>0</v>
      </c>
      <c r="T236" t="n">
        <v>0</v>
      </c>
      <c r="U236" t="n">
        <v>1</v>
      </c>
      <c r="V236" s="24">
        <f>J236*100-K236</f>
        <v/>
      </c>
      <c r="W236" s="24">
        <f>L236</f>
        <v/>
      </c>
      <c r="X236" s="25">
        <f>MIN(M236,36)</f>
        <v/>
      </c>
      <c r="Y236" s="25">
        <f>MIN(MAX(M236-36,0),84)</f>
        <v/>
      </c>
      <c r="Z236" s="25">
        <f>MAX(M236-120,0)</f>
        <v/>
      </c>
      <c r="AA236" s="25">
        <f>IF(OR(O236="",NOT(ISNUMBER(O236))),360,MAX(0,MIN(480,(INT(O236/100)-INT(VALUE(H236)/100))*12+MOD(O236,100)-MOD(VALUE(H236),100))))</f>
        <v/>
      </c>
      <c r="AB236">
        <f>IF(AND(AA236&gt;0,AA236&lt;=24),1,0)</f>
        <v/>
      </c>
      <c r="AC236" s="25">
        <f>IF(OR(P236="",NOT(ISNUMBER(P236))),0,MAX(0,MIN(24,(INT(VALUE(H236)/100)-INT(P236/100))*12+MOD(VALUE(H236),100)-MOD(P236,100))))</f>
        <v/>
      </c>
      <c r="AD236" s="23">
        <f>LN(1+I236)</f>
        <v/>
      </c>
      <c r="AE236">
        <f>IF(I236&lt;2000000,1,0)</f>
        <v/>
      </c>
      <c r="AF236">
        <f>IF(I236&gt;50000000,1,0)</f>
        <v/>
      </c>
      <c r="AG236" s="23">
        <f>IF(ISNUMBER(M236),N236/MAX(M236,1),0)</f>
        <v/>
      </c>
      <c r="AH236">
        <f>IF(G236&gt;=2021,1,0)</f>
        <v/>
      </c>
      <c r="AI236">
        <f>S236</f>
        <v/>
      </c>
      <c r="AJ236">
        <f>T236</f>
        <v/>
      </c>
      <c r="AK236">
        <f>R236</f>
        <v/>
      </c>
      <c r="AL236">
        <f>U236</f>
        <v/>
      </c>
      <c r="AM236">
        <f>IF(ISNUMBER(SEARCH("CAPITAL FUNDING",D236)),1,0)</f>
        <v/>
      </c>
      <c r="AN236">
        <f>IF(ISNUMBER(SEARCH("PNC",D236)),1,0)</f>
        <v/>
      </c>
      <c r="AO236">
        <f>IF(ISNUMBER(SEARCH("WELLS FARGO",D236)),1,0)</f>
        <v/>
      </c>
      <c r="AP236">
        <f>IF(ISNUMBER(SEARCH("DWIGHT",D236)),1,0)</f>
        <v/>
      </c>
      <c r="AQ236">
        <f>IF(ISNUMBER(SEARCH("GREYSTONE",D236)),1,0)</f>
        <v/>
      </c>
      <c r="AR236">
        <f>IF(OR(Q236="3896",Q236="3557"),1,0)</f>
        <v/>
      </c>
      <c r="AS236" s="24">
        <f>V236*W236</f>
        <v/>
      </c>
      <c r="AT236" s="26">
        <f>V$4*(V236-V$3)</f>
        <v/>
      </c>
      <c r="AU236" s="26">
        <f>W$4*(W236-W$3)</f>
        <v/>
      </c>
      <c r="AV236" s="26">
        <f>X$4*(X236-X$3)</f>
        <v/>
      </c>
      <c r="AW236" s="26">
        <f>Y$4*(Y236-Y$3)</f>
        <v/>
      </c>
      <c r="AX236" s="26">
        <f>Z$4*(Z236-Z$3)</f>
        <v/>
      </c>
      <c r="AY236" s="26">
        <f>AA$4*(AA236-AA$3)</f>
        <v/>
      </c>
      <c r="AZ236" s="26">
        <f>AB$4*(AB236-AB$3)</f>
        <v/>
      </c>
      <c r="BA236" s="26">
        <f>AC$4*(AC236-AC$3)</f>
        <v/>
      </c>
      <c r="BB236" s="26">
        <f>AD$4*(AD236-AD$3)</f>
        <v/>
      </c>
      <c r="BC236" s="26">
        <f>AE$4*(AE236-AE$3)</f>
        <v/>
      </c>
      <c r="BD236" s="26">
        <f>AF$4*(AF236-AF$3)</f>
        <v/>
      </c>
      <c r="BE236" s="26">
        <f>AG$4*(AG236-AG$3)</f>
        <v/>
      </c>
      <c r="BF236" s="26">
        <f>AH$4*(AH236-AH$3)</f>
        <v/>
      </c>
      <c r="BG236" s="26">
        <f>AI$4*(AI236-AI$3)</f>
        <v/>
      </c>
      <c r="BH236" s="26">
        <f>AJ$4*(AJ236-AJ$3)</f>
        <v/>
      </c>
      <c r="BI236" s="26">
        <f>AK$4*(AK236-AK$3)</f>
        <v/>
      </c>
      <c r="BJ236" s="26">
        <f>AL$4*(AL236-AL$3)</f>
        <v/>
      </c>
      <c r="BK236" s="26">
        <f>AM$4*(AM236-AM$3)</f>
        <v/>
      </c>
      <c r="BL236" s="26">
        <f>AN$4*(AN236-AN$3)</f>
        <v/>
      </c>
      <c r="BM236" s="26">
        <f>AO$4*(AO236-AO$3)</f>
        <v/>
      </c>
      <c r="BN236" s="26">
        <f>AP$4*(AP236-AP$3)</f>
        <v/>
      </c>
      <c r="BO236" s="26">
        <f>AQ$4*(AQ236-AQ$3)</f>
        <v/>
      </c>
      <c r="BP236" s="26">
        <f>AR$4*(AR236-AR$3)</f>
        <v/>
      </c>
      <c r="BQ236" s="26">
        <f>AS$4*(AS236-AS$3)</f>
        <v/>
      </c>
      <c r="BR236" s="27">
        <f>SUM(AT236:BQ236)</f>
        <v/>
      </c>
      <c r="BS236" s="27">
        <f>INTERCEPT_SCALED+BR236</f>
        <v/>
      </c>
      <c r="BT236" s="28">
        <f>1/(1+EXP(-BS236))</f>
        <v/>
      </c>
      <c r="BU236" s="13">
        <f>1-(1-BT236)^12</f>
        <v/>
      </c>
      <c r="BV236" s="13">
        <f>IFERROR(AT236/BR236*(BU236-BASELINE_CPR),0)</f>
        <v/>
      </c>
      <c r="BW236" s="13">
        <f>IFERROR(AU236/BR236*(BU236-BASELINE_CPR),0)</f>
        <v/>
      </c>
      <c r="BX236" s="13">
        <f>IFERROR(AV236/BR236*(BU236-BASELINE_CPR),0)</f>
        <v/>
      </c>
      <c r="BY236" s="13">
        <f>IFERROR(AW236/BR236*(BU236-BASELINE_CPR),0)</f>
        <v/>
      </c>
      <c r="BZ236" s="13">
        <f>IFERROR(AX236/BR236*(BU236-BASELINE_CPR),0)</f>
        <v/>
      </c>
      <c r="CA236" s="13">
        <f>IFERROR(AY236/BR236*(BU236-BASELINE_CPR),0)</f>
        <v/>
      </c>
      <c r="CB236" s="13">
        <f>IFERROR(AZ236/BR236*(BU236-BASELINE_CPR),0)</f>
        <v/>
      </c>
      <c r="CC236" s="13">
        <f>IFERROR(BA236/BR236*(BU236-BASELINE_CPR),0)</f>
        <v/>
      </c>
      <c r="CD236" s="13">
        <f>IFERROR(BB236/BR236*(BU236-BASELINE_CPR),0)</f>
        <v/>
      </c>
      <c r="CE236" s="13">
        <f>IFERROR(BC236/BR236*(BU236-BASELINE_CPR),0)</f>
        <v/>
      </c>
      <c r="CF236" s="13">
        <f>IFERROR(BD236/BR236*(BU236-BASELINE_CPR),0)</f>
        <v/>
      </c>
      <c r="CG236" s="13">
        <f>IFERROR(BE236/BR236*(BU236-BASELINE_CPR),0)</f>
        <v/>
      </c>
      <c r="CH236" s="13">
        <f>IFERROR(BF236/BR236*(BU236-BASELINE_CPR),0)</f>
        <v/>
      </c>
      <c r="CI236" s="13">
        <f>IFERROR(BG236/BR236*(BU236-BASELINE_CPR),0)</f>
        <v/>
      </c>
      <c r="CJ236" s="13">
        <f>IFERROR(BH236/BR236*(BU236-BASELINE_CPR),0)</f>
        <v/>
      </c>
      <c r="CK236" s="13">
        <f>IFERROR(BI236/BR236*(BU236-BASELINE_CPR),0)</f>
        <v/>
      </c>
      <c r="CL236" s="13">
        <f>IFERROR(BJ236/BR236*(BU236-BASELINE_CPR),0)</f>
        <v/>
      </c>
      <c r="CM236" s="13">
        <f>IFERROR(BK236/BR236*(BU236-BASELINE_CPR),0)</f>
        <v/>
      </c>
      <c r="CN236" s="13">
        <f>IFERROR(BL236/BR236*(BU236-BASELINE_CPR),0)</f>
        <v/>
      </c>
      <c r="CO236" s="13">
        <f>IFERROR(BM236/BR236*(BU236-BASELINE_CPR),0)</f>
        <v/>
      </c>
      <c r="CP236" s="13">
        <f>IFERROR(BN236/BR236*(BU236-BASELINE_CPR),0)</f>
        <v/>
      </c>
      <c r="CQ236" s="13">
        <f>IFERROR(BO236/BR236*(BU236-BASELINE_CPR),0)</f>
        <v/>
      </c>
      <c r="CR236" s="13">
        <f>IFERROR(BP236/BR236*(BU236-BASELINE_CPR),0)</f>
        <v/>
      </c>
      <c r="CS236" s="13">
        <f>IFERROR(BQ236/BR236*(BU236-BASELINE_CPR),0)</f>
        <v/>
      </c>
      <c r="CT236" s="29">
        <f>BASELINE_CPR+SUM(BV236:CS236)-BU236</f>
        <v/>
      </c>
    </row>
    <row r="237">
      <c r="A237" s="2" t="inlineStr">
        <is>
          <t>3617YPF67_000000006611276</t>
        </is>
      </c>
      <c r="B237" t="inlineStr">
        <is>
          <t>JLL_POST21</t>
        </is>
      </c>
      <c r="C237" s="2" t="inlineStr">
        <is>
          <t>3617YPF67</t>
        </is>
      </c>
      <c r="D237" t="inlineStr">
        <is>
          <t>JLL REAL ESTATE CAPITAL, LLC</t>
        </is>
      </c>
      <c r="E237" t="inlineStr">
        <is>
          <t>223f</t>
        </is>
      </c>
      <c r="F237" t="inlineStr">
        <is>
          <t>RP</t>
        </is>
      </c>
      <c r="G237" t="n">
        <v>2022</v>
      </c>
      <c r="H237" t="inlineStr">
        <is>
          <t>202602</t>
        </is>
      </c>
      <c r="I237" s="22" t="n">
        <v>17732412.69</v>
      </c>
      <c r="J237" s="23" t="n">
        <v>4.145</v>
      </c>
      <c r="K237" s="24" t="n">
        <v>447</v>
      </c>
      <c r="L237" s="24" t="n">
        <v>1</v>
      </c>
      <c r="M237" t="n">
        <v>42</v>
      </c>
      <c r="N237" t="n">
        <v>0</v>
      </c>
      <c r="O237" t="n">
        <v>205709</v>
      </c>
      <c r="P237" t="inlineStr"/>
      <c r="Q237" t="inlineStr">
        <is>
          <t>4065</t>
        </is>
      </c>
      <c r="R237" t="n">
        <v>0</v>
      </c>
      <c r="S237" t="n">
        <v>0</v>
      </c>
      <c r="T237" t="n">
        <v>0</v>
      </c>
      <c r="U237" t="n">
        <v>0</v>
      </c>
      <c r="V237" s="24">
        <f>J237*100-K237</f>
        <v/>
      </c>
      <c r="W237" s="24">
        <f>L237</f>
        <v/>
      </c>
      <c r="X237" s="25">
        <f>MIN(M237,36)</f>
        <v/>
      </c>
      <c r="Y237" s="25">
        <f>MIN(MAX(M237-36,0),84)</f>
        <v/>
      </c>
      <c r="Z237" s="25">
        <f>MAX(M237-120,0)</f>
        <v/>
      </c>
      <c r="AA237" s="25">
        <f>IF(OR(O237="",NOT(ISNUMBER(O237))),360,MAX(0,MIN(480,(INT(O237/100)-INT(VALUE(H237)/100))*12+MOD(O237,100)-MOD(VALUE(H237),100))))</f>
        <v/>
      </c>
      <c r="AB237">
        <f>IF(AND(AA237&gt;0,AA237&lt;=24),1,0)</f>
        <v/>
      </c>
      <c r="AC237" s="25">
        <f>IF(OR(P237="",NOT(ISNUMBER(P237))),0,MAX(0,MIN(24,(INT(VALUE(H237)/100)-INT(P237/100))*12+MOD(VALUE(H237),100)-MOD(P237,100))))</f>
        <v/>
      </c>
      <c r="AD237" s="23">
        <f>LN(1+I237)</f>
        <v/>
      </c>
      <c r="AE237">
        <f>IF(I237&lt;2000000,1,0)</f>
        <v/>
      </c>
      <c r="AF237">
        <f>IF(I237&gt;50000000,1,0)</f>
        <v/>
      </c>
      <c r="AG237" s="23">
        <f>IF(ISNUMBER(M237),N237/MAX(M237,1),0)</f>
        <v/>
      </c>
      <c r="AH237">
        <f>IF(G237&gt;=2021,1,0)</f>
        <v/>
      </c>
      <c r="AI237">
        <f>S237</f>
        <v/>
      </c>
      <c r="AJ237">
        <f>T237</f>
        <v/>
      </c>
      <c r="AK237">
        <f>R237</f>
        <v/>
      </c>
      <c r="AL237">
        <f>U237</f>
        <v/>
      </c>
      <c r="AM237">
        <f>IF(ISNUMBER(SEARCH("CAPITAL FUNDING",D237)),1,0)</f>
        <v/>
      </c>
      <c r="AN237">
        <f>IF(ISNUMBER(SEARCH("PNC",D237)),1,0)</f>
        <v/>
      </c>
      <c r="AO237">
        <f>IF(ISNUMBER(SEARCH("WELLS FARGO",D237)),1,0)</f>
        <v/>
      </c>
      <c r="AP237">
        <f>IF(ISNUMBER(SEARCH("DWIGHT",D237)),1,0)</f>
        <v/>
      </c>
      <c r="AQ237">
        <f>IF(ISNUMBER(SEARCH("GREYSTONE",D237)),1,0)</f>
        <v/>
      </c>
      <c r="AR237">
        <f>IF(OR(Q237="3896",Q237="3557"),1,0)</f>
        <v/>
      </c>
      <c r="AS237" s="24">
        <f>V237*W237</f>
        <v/>
      </c>
      <c r="AT237" s="26">
        <f>V$4*(V237-V$3)</f>
        <v/>
      </c>
      <c r="AU237" s="26">
        <f>W$4*(W237-W$3)</f>
        <v/>
      </c>
      <c r="AV237" s="26">
        <f>X$4*(X237-X$3)</f>
        <v/>
      </c>
      <c r="AW237" s="26">
        <f>Y$4*(Y237-Y$3)</f>
        <v/>
      </c>
      <c r="AX237" s="26">
        <f>Z$4*(Z237-Z$3)</f>
        <v/>
      </c>
      <c r="AY237" s="26">
        <f>AA$4*(AA237-AA$3)</f>
        <v/>
      </c>
      <c r="AZ237" s="26">
        <f>AB$4*(AB237-AB$3)</f>
        <v/>
      </c>
      <c r="BA237" s="26">
        <f>AC$4*(AC237-AC$3)</f>
        <v/>
      </c>
      <c r="BB237" s="26">
        <f>AD$4*(AD237-AD$3)</f>
        <v/>
      </c>
      <c r="BC237" s="26">
        <f>AE$4*(AE237-AE$3)</f>
        <v/>
      </c>
      <c r="BD237" s="26">
        <f>AF$4*(AF237-AF$3)</f>
        <v/>
      </c>
      <c r="BE237" s="26">
        <f>AG$4*(AG237-AG$3)</f>
        <v/>
      </c>
      <c r="BF237" s="26">
        <f>AH$4*(AH237-AH$3)</f>
        <v/>
      </c>
      <c r="BG237" s="26">
        <f>AI$4*(AI237-AI$3)</f>
        <v/>
      </c>
      <c r="BH237" s="26">
        <f>AJ$4*(AJ237-AJ$3)</f>
        <v/>
      </c>
      <c r="BI237" s="26">
        <f>AK$4*(AK237-AK$3)</f>
        <v/>
      </c>
      <c r="BJ237" s="26">
        <f>AL$4*(AL237-AL$3)</f>
        <v/>
      </c>
      <c r="BK237" s="26">
        <f>AM$4*(AM237-AM$3)</f>
        <v/>
      </c>
      <c r="BL237" s="26">
        <f>AN$4*(AN237-AN$3)</f>
        <v/>
      </c>
      <c r="BM237" s="26">
        <f>AO$4*(AO237-AO$3)</f>
        <v/>
      </c>
      <c r="BN237" s="26">
        <f>AP$4*(AP237-AP$3)</f>
        <v/>
      </c>
      <c r="BO237" s="26">
        <f>AQ$4*(AQ237-AQ$3)</f>
        <v/>
      </c>
      <c r="BP237" s="26">
        <f>AR$4*(AR237-AR$3)</f>
        <v/>
      </c>
      <c r="BQ237" s="26">
        <f>AS$4*(AS237-AS$3)</f>
        <v/>
      </c>
      <c r="BR237" s="27">
        <f>SUM(AT237:BQ237)</f>
        <v/>
      </c>
      <c r="BS237" s="27">
        <f>INTERCEPT_SCALED+BR237</f>
        <v/>
      </c>
      <c r="BT237" s="28">
        <f>1/(1+EXP(-BS237))</f>
        <v/>
      </c>
      <c r="BU237" s="13">
        <f>1-(1-BT237)^12</f>
        <v/>
      </c>
      <c r="BV237" s="13">
        <f>IFERROR(AT237/BR237*(BU237-BASELINE_CPR),0)</f>
        <v/>
      </c>
      <c r="BW237" s="13">
        <f>IFERROR(AU237/BR237*(BU237-BASELINE_CPR),0)</f>
        <v/>
      </c>
      <c r="BX237" s="13">
        <f>IFERROR(AV237/BR237*(BU237-BASELINE_CPR),0)</f>
        <v/>
      </c>
      <c r="BY237" s="13">
        <f>IFERROR(AW237/BR237*(BU237-BASELINE_CPR),0)</f>
        <v/>
      </c>
      <c r="BZ237" s="13">
        <f>IFERROR(AX237/BR237*(BU237-BASELINE_CPR),0)</f>
        <v/>
      </c>
      <c r="CA237" s="13">
        <f>IFERROR(AY237/BR237*(BU237-BASELINE_CPR),0)</f>
        <v/>
      </c>
      <c r="CB237" s="13">
        <f>IFERROR(AZ237/BR237*(BU237-BASELINE_CPR),0)</f>
        <v/>
      </c>
      <c r="CC237" s="13">
        <f>IFERROR(BA237/BR237*(BU237-BASELINE_CPR),0)</f>
        <v/>
      </c>
      <c r="CD237" s="13">
        <f>IFERROR(BB237/BR237*(BU237-BASELINE_CPR),0)</f>
        <v/>
      </c>
      <c r="CE237" s="13">
        <f>IFERROR(BC237/BR237*(BU237-BASELINE_CPR),0)</f>
        <v/>
      </c>
      <c r="CF237" s="13">
        <f>IFERROR(BD237/BR237*(BU237-BASELINE_CPR),0)</f>
        <v/>
      </c>
      <c r="CG237" s="13">
        <f>IFERROR(BE237/BR237*(BU237-BASELINE_CPR),0)</f>
        <v/>
      </c>
      <c r="CH237" s="13">
        <f>IFERROR(BF237/BR237*(BU237-BASELINE_CPR),0)</f>
        <v/>
      </c>
      <c r="CI237" s="13">
        <f>IFERROR(BG237/BR237*(BU237-BASELINE_CPR),0)</f>
        <v/>
      </c>
      <c r="CJ237" s="13">
        <f>IFERROR(BH237/BR237*(BU237-BASELINE_CPR),0)</f>
        <v/>
      </c>
      <c r="CK237" s="13">
        <f>IFERROR(BI237/BR237*(BU237-BASELINE_CPR),0)</f>
        <v/>
      </c>
      <c r="CL237" s="13">
        <f>IFERROR(BJ237/BR237*(BU237-BASELINE_CPR),0)</f>
        <v/>
      </c>
      <c r="CM237" s="13">
        <f>IFERROR(BK237/BR237*(BU237-BASELINE_CPR),0)</f>
        <v/>
      </c>
      <c r="CN237" s="13">
        <f>IFERROR(BL237/BR237*(BU237-BASELINE_CPR),0)</f>
        <v/>
      </c>
      <c r="CO237" s="13">
        <f>IFERROR(BM237/BR237*(BU237-BASELINE_CPR),0)</f>
        <v/>
      </c>
      <c r="CP237" s="13">
        <f>IFERROR(BN237/BR237*(BU237-BASELINE_CPR),0)</f>
        <v/>
      </c>
      <c r="CQ237" s="13">
        <f>IFERROR(BO237/BR237*(BU237-BASELINE_CPR),0)</f>
        <v/>
      </c>
      <c r="CR237" s="13">
        <f>IFERROR(BP237/BR237*(BU237-BASELINE_CPR),0)</f>
        <v/>
      </c>
      <c r="CS237" s="13">
        <f>IFERROR(BQ237/BR237*(BU237-BASELINE_CPR),0)</f>
        <v/>
      </c>
      <c r="CT237" s="29">
        <f>BASELINE_CPR+SUM(BV237:CS237)-BU237</f>
        <v/>
      </c>
    </row>
    <row r="238">
      <c r="A238" s="2" t="inlineStr">
        <is>
          <t>36179G3D3_000000009211334</t>
        </is>
      </c>
      <c r="B238" t="inlineStr">
        <is>
          <t>JLL_PRE21</t>
        </is>
      </c>
      <c r="C238" s="2" t="inlineStr">
        <is>
          <t>36179G3D3</t>
        </is>
      </c>
      <c r="D238" t="inlineStr">
        <is>
          <t>JLL REAL ESTATE CAPITAL, LLC</t>
        </is>
      </c>
      <c r="E238" t="inlineStr">
        <is>
          <t>223a7</t>
        </is>
      </c>
      <c r="F238" t="inlineStr">
        <is>
          <t>RP</t>
        </is>
      </c>
      <c r="G238" t="n">
        <v>2013</v>
      </c>
      <c r="H238" t="inlineStr">
        <is>
          <t>202602</t>
        </is>
      </c>
      <c r="I238" s="22" t="n">
        <v>1229667.79</v>
      </c>
      <c r="J238" s="23" t="n">
        <v>2.7</v>
      </c>
      <c r="K238" s="24" t="n">
        <v>447</v>
      </c>
      <c r="L238" s="24" t="n">
        <v>0</v>
      </c>
      <c r="M238" t="n">
        <v>156</v>
      </c>
      <c r="N238" t="n">
        <v>0</v>
      </c>
      <c r="O238" t="n">
        <v>203909</v>
      </c>
      <c r="P238" t="n">
        <v>201404</v>
      </c>
      <c r="Q238" t="inlineStr">
        <is>
          <t>4065</t>
        </is>
      </c>
      <c r="R238" t="n">
        <v>0</v>
      </c>
      <c r="S238" t="n">
        <v>1</v>
      </c>
      <c r="T238" t="n">
        <v>0</v>
      </c>
      <c r="U238" t="n">
        <v>0</v>
      </c>
      <c r="V238" s="24">
        <f>J238*100-K238</f>
        <v/>
      </c>
      <c r="W238" s="24">
        <f>L238</f>
        <v/>
      </c>
      <c r="X238" s="25">
        <f>MIN(M238,36)</f>
        <v/>
      </c>
      <c r="Y238" s="25">
        <f>MIN(MAX(M238-36,0),84)</f>
        <v/>
      </c>
      <c r="Z238" s="25">
        <f>MAX(M238-120,0)</f>
        <v/>
      </c>
      <c r="AA238" s="25">
        <f>IF(OR(O238="",NOT(ISNUMBER(O238))),360,MAX(0,MIN(480,(INT(O238/100)-INT(VALUE(H238)/100))*12+MOD(O238,100)-MOD(VALUE(H238),100))))</f>
        <v/>
      </c>
      <c r="AB238">
        <f>IF(AND(AA238&gt;0,AA238&lt;=24),1,0)</f>
        <v/>
      </c>
      <c r="AC238" s="25">
        <f>IF(OR(P238="",NOT(ISNUMBER(P238))),0,MAX(0,MIN(24,(INT(VALUE(H238)/100)-INT(P238/100))*12+MOD(VALUE(H238),100)-MOD(P238,100))))</f>
        <v/>
      </c>
      <c r="AD238" s="23">
        <f>LN(1+I238)</f>
        <v/>
      </c>
      <c r="AE238">
        <f>IF(I238&lt;2000000,1,0)</f>
        <v/>
      </c>
      <c r="AF238">
        <f>IF(I238&gt;50000000,1,0)</f>
        <v/>
      </c>
      <c r="AG238" s="23">
        <f>IF(ISNUMBER(M238),N238/MAX(M238,1),0)</f>
        <v/>
      </c>
      <c r="AH238">
        <f>IF(G238&gt;=2021,1,0)</f>
        <v/>
      </c>
      <c r="AI238">
        <f>S238</f>
        <v/>
      </c>
      <c r="AJ238">
        <f>T238</f>
        <v/>
      </c>
      <c r="AK238">
        <f>R238</f>
        <v/>
      </c>
      <c r="AL238">
        <f>U238</f>
        <v/>
      </c>
      <c r="AM238">
        <f>IF(ISNUMBER(SEARCH("CAPITAL FUNDING",D238)),1,0)</f>
        <v/>
      </c>
      <c r="AN238">
        <f>IF(ISNUMBER(SEARCH("PNC",D238)),1,0)</f>
        <v/>
      </c>
      <c r="AO238">
        <f>IF(ISNUMBER(SEARCH("WELLS FARGO",D238)),1,0)</f>
        <v/>
      </c>
      <c r="AP238">
        <f>IF(ISNUMBER(SEARCH("DWIGHT",D238)),1,0)</f>
        <v/>
      </c>
      <c r="AQ238">
        <f>IF(ISNUMBER(SEARCH("GREYSTONE",D238)),1,0)</f>
        <v/>
      </c>
      <c r="AR238">
        <f>IF(OR(Q238="3896",Q238="3557"),1,0)</f>
        <v/>
      </c>
      <c r="AS238" s="24">
        <f>V238*W238</f>
        <v/>
      </c>
      <c r="AT238" s="26">
        <f>V$4*(V238-V$3)</f>
        <v/>
      </c>
      <c r="AU238" s="26">
        <f>W$4*(W238-W$3)</f>
        <v/>
      </c>
      <c r="AV238" s="26">
        <f>X$4*(X238-X$3)</f>
        <v/>
      </c>
      <c r="AW238" s="26">
        <f>Y$4*(Y238-Y$3)</f>
        <v/>
      </c>
      <c r="AX238" s="26">
        <f>Z$4*(Z238-Z$3)</f>
        <v/>
      </c>
      <c r="AY238" s="26">
        <f>AA$4*(AA238-AA$3)</f>
        <v/>
      </c>
      <c r="AZ238" s="26">
        <f>AB$4*(AB238-AB$3)</f>
        <v/>
      </c>
      <c r="BA238" s="26">
        <f>AC$4*(AC238-AC$3)</f>
        <v/>
      </c>
      <c r="BB238" s="26">
        <f>AD$4*(AD238-AD$3)</f>
        <v/>
      </c>
      <c r="BC238" s="26">
        <f>AE$4*(AE238-AE$3)</f>
        <v/>
      </c>
      <c r="BD238" s="26">
        <f>AF$4*(AF238-AF$3)</f>
        <v/>
      </c>
      <c r="BE238" s="26">
        <f>AG$4*(AG238-AG$3)</f>
        <v/>
      </c>
      <c r="BF238" s="26">
        <f>AH$4*(AH238-AH$3)</f>
        <v/>
      </c>
      <c r="BG238" s="26">
        <f>AI$4*(AI238-AI$3)</f>
        <v/>
      </c>
      <c r="BH238" s="26">
        <f>AJ$4*(AJ238-AJ$3)</f>
        <v/>
      </c>
      <c r="BI238" s="26">
        <f>AK$4*(AK238-AK$3)</f>
        <v/>
      </c>
      <c r="BJ238" s="26">
        <f>AL$4*(AL238-AL$3)</f>
        <v/>
      </c>
      <c r="BK238" s="26">
        <f>AM$4*(AM238-AM$3)</f>
        <v/>
      </c>
      <c r="BL238" s="26">
        <f>AN$4*(AN238-AN$3)</f>
        <v/>
      </c>
      <c r="BM238" s="26">
        <f>AO$4*(AO238-AO$3)</f>
        <v/>
      </c>
      <c r="BN238" s="26">
        <f>AP$4*(AP238-AP$3)</f>
        <v/>
      </c>
      <c r="BO238" s="26">
        <f>AQ$4*(AQ238-AQ$3)</f>
        <v/>
      </c>
      <c r="BP238" s="26">
        <f>AR$4*(AR238-AR$3)</f>
        <v/>
      </c>
      <c r="BQ238" s="26">
        <f>AS$4*(AS238-AS$3)</f>
        <v/>
      </c>
      <c r="BR238" s="27">
        <f>SUM(AT238:BQ238)</f>
        <v/>
      </c>
      <c r="BS238" s="27">
        <f>INTERCEPT_SCALED+BR238</f>
        <v/>
      </c>
      <c r="BT238" s="28">
        <f>1/(1+EXP(-BS238))</f>
        <v/>
      </c>
      <c r="BU238" s="13">
        <f>1-(1-BT238)^12</f>
        <v/>
      </c>
      <c r="BV238" s="13">
        <f>IFERROR(AT238/BR238*(BU238-BASELINE_CPR),0)</f>
        <v/>
      </c>
      <c r="BW238" s="13">
        <f>IFERROR(AU238/BR238*(BU238-BASELINE_CPR),0)</f>
        <v/>
      </c>
      <c r="BX238" s="13">
        <f>IFERROR(AV238/BR238*(BU238-BASELINE_CPR),0)</f>
        <v/>
      </c>
      <c r="BY238" s="13">
        <f>IFERROR(AW238/BR238*(BU238-BASELINE_CPR),0)</f>
        <v/>
      </c>
      <c r="BZ238" s="13">
        <f>IFERROR(AX238/BR238*(BU238-BASELINE_CPR),0)</f>
        <v/>
      </c>
      <c r="CA238" s="13">
        <f>IFERROR(AY238/BR238*(BU238-BASELINE_CPR),0)</f>
        <v/>
      </c>
      <c r="CB238" s="13">
        <f>IFERROR(AZ238/BR238*(BU238-BASELINE_CPR),0)</f>
        <v/>
      </c>
      <c r="CC238" s="13">
        <f>IFERROR(BA238/BR238*(BU238-BASELINE_CPR),0)</f>
        <v/>
      </c>
      <c r="CD238" s="13">
        <f>IFERROR(BB238/BR238*(BU238-BASELINE_CPR),0)</f>
        <v/>
      </c>
      <c r="CE238" s="13">
        <f>IFERROR(BC238/BR238*(BU238-BASELINE_CPR),0)</f>
        <v/>
      </c>
      <c r="CF238" s="13">
        <f>IFERROR(BD238/BR238*(BU238-BASELINE_CPR),0)</f>
        <v/>
      </c>
      <c r="CG238" s="13">
        <f>IFERROR(BE238/BR238*(BU238-BASELINE_CPR),0)</f>
        <v/>
      </c>
      <c r="CH238" s="13">
        <f>IFERROR(BF238/BR238*(BU238-BASELINE_CPR),0)</f>
        <v/>
      </c>
      <c r="CI238" s="13">
        <f>IFERROR(BG238/BR238*(BU238-BASELINE_CPR),0)</f>
        <v/>
      </c>
      <c r="CJ238" s="13">
        <f>IFERROR(BH238/BR238*(BU238-BASELINE_CPR),0)</f>
        <v/>
      </c>
      <c r="CK238" s="13">
        <f>IFERROR(BI238/BR238*(BU238-BASELINE_CPR),0)</f>
        <v/>
      </c>
      <c r="CL238" s="13">
        <f>IFERROR(BJ238/BR238*(BU238-BASELINE_CPR),0)</f>
        <v/>
      </c>
      <c r="CM238" s="13">
        <f>IFERROR(BK238/BR238*(BU238-BASELINE_CPR),0)</f>
        <v/>
      </c>
      <c r="CN238" s="13">
        <f>IFERROR(BL238/BR238*(BU238-BASELINE_CPR),0)</f>
        <v/>
      </c>
      <c r="CO238" s="13">
        <f>IFERROR(BM238/BR238*(BU238-BASELINE_CPR),0)</f>
        <v/>
      </c>
      <c r="CP238" s="13">
        <f>IFERROR(BN238/BR238*(BU238-BASELINE_CPR),0)</f>
        <v/>
      </c>
      <c r="CQ238" s="13">
        <f>IFERROR(BO238/BR238*(BU238-BASELINE_CPR),0)</f>
        <v/>
      </c>
      <c r="CR238" s="13">
        <f>IFERROR(BP238/BR238*(BU238-BASELINE_CPR),0)</f>
        <v/>
      </c>
      <c r="CS238" s="13">
        <f>IFERROR(BQ238/BR238*(BU238-BASELINE_CPR),0)</f>
        <v/>
      </c>
      <c r="CT238" s="29">
        <f>BASELINE_CPR+SUM(BV238:CS238)-BU238</f>
        <v/>
      </c>
    </row>
    <row r="239">
      <c r="A239" s="2" t="inlineStr">
        <is>
          <t>3618FJBT4_026028996371108</t>
        </is>
      </c>
      <c r="B239" t="inlineStr">
        <is>
          <t>BELLWETHER_POST21</t>
        </is>
      </c>
      <c r="C239" s="2" t="inlineStr">
        <is>
          <t>3618FJBT4</t>
        </is>
      </c>
      <c r="D239" t="inlineStr">
        <is>
          <t>BELLWETHER ENTERPRISE REAL ESTATE CAPITA</t>
        </is>
      </c>
      <c r="E239" t="inlineStr">
        <is>
          <t>538</t>
        </is>
      </c>
      <c r="F239" t="inlineStr">
        <is>
          <t>538</t>
        </is>
      </c>
      <c r="G239" t="n">
        <v>2024</v>
      </c>
      <c r="H239" t="inlineStr">
        <is>
          <t>202602</t>
        </is>
      </c>
      <c r="I239" s="22" t="n">
        <v>4392205.88</v>
      </c>
      <c r="J239" s="23" t="n">
        <v>3.84</v>
      </c>
      <c r="K239" s="24" t="n">
        <v>447</v>
      </c>
      <c r="L239" s="24" t="n">
        <v>10</v>
      </c>
      <c r="M239" t="n">
        <v>23</v>
      </c>
      <c r="N239" t="n">
        <v>0</v>
      </c>
      <c r="O239" t="n">
        <v>206404</v>
      </c>
      <c r="P239" t="inlineStr"/>
      <c r="Q239" t="inlineStr">
        <is>
          <t>4067</t>
        </is>
      </c>
      <c r="R239" t="n">
        <v>0</v>
      </c>
      <c r="S239" t="n">
        <v>0</v>
      </c>
      <c r="T239" t="n">
        <v>1</v>
      </c>
      <c r="U239" t="n">
        <v>0</v>
      </c>
      <c r="V239" s="24">
        <f>J239*100-K239</f>
        <v/>
      </c>
      <c r="W239" s="24">
        <f>L239</f>
        <v/>
      </c>
      <c r="X239" s="25">
        <f>MIN(M239,36)</f>
        <v/>
      </c>
      <c r="Y239" s="25">
        <f>MIN(MAX(M239-36,0),84)</f>
        <v/>
      </c>
      <c r="Z239" s="25">
        <f>MAX(M239-120,0)</f>
        <v/>
      </c>
      <c r="AA239" s="25">
        <f>IF(OR(O239="",NOT(ISNUMBER(O239))),360,MAX(0,MIN(480,(INT(O239/100)-INT(VALUE(H239)/100))*12+MOD(O239,100)-MOD(VALUE(H239),100))))</f>
        <v/>
      </c>
      <c r="AB239">
        <f>IF(AND(AA239&gt;0,AA239&lt;=24),1,0)</f>
        <v/>
      </c>
      <c r="AC239" s="25">
        <f>IF(OR(P239="",NOT(ISNUMBER(P239))),0,MAX(0,MIN(24,(INT(VALUE(H239)/100)-INT(P239/100))*12+MOD(VALUE(H239),100)-MOD(P239,100))))</f>
        <v/>
      </c>
      <c r="AD239" s="23">
        <f>LN(1+I239)</f>
        <v/>
      </c>
      <c r="AE239">
        <f>IF(I239&lt;2000000,1,0)</f>
        <v/>
      </c>
      <c r="AF239">
        <f>IF(I239&gt;50000000,1,0)</f>
        <v/>
      </c>
      <c r="AG239" s="23">
        <f>IF(ISNUMBER(M239),N239/MAX(M239,1),0)</f>
        <v/>
      </c>
      <c r="AH239">
        <f>IF(G239&gt;=2021,1,0)</f>
        <v/>
      </c>
      <c r="AI239">
        <f>S239</f>
        <v/>
      </c>
      <c r="AJ239">
        <f>T239</f>
        <v/>
      </c>
      <c r="AK239">
        <f>R239</f>
        <v/>
      </c>
      <c r="AL239">
        <f>U239</f>
        <v/>
      </c>
      <c r="AM239">
        <f>IF(ISNUMBER(SEARCH("CAPITAL FUNDING",D239)),1,0)</f>
        <v/>
      </c>
      <c r="AN239">
        <f>IF(ISNUMBER(SEARCH("PNC",D239)),1,0)</f>
        <v/>
      </c>
      <c r="AO239">
        <f>IF(ISNUMBER(SEARCH("WELLS FARGO",D239)),1,0)</f>
        <v/>
      </c>
      <c r="AP239">
        <f>IF(ISNUMBER(SEARCH("DWIGHT",D239)),1,0)</f>
        <v/>
      </c>
      <c r="AQ239">
        <f>IF(ISNUMBER(SEARCH("GREYSTONE",D239)),1,0)</f>
        <v/>
      </c>
      <c r="AR239">
        <f>IF(OR(Q239="3896",Q239="3557"),1,0)</f>
        <v/>
      </c>
      <c r="AS239" s="24">
        <f>V239*W239</f>
        <v/>
      </c>
      <c r="AT239" s="26">
        <f>V$4*(V239-V$3)</f>
        <v/>
      </c>
      <c r="AU239" s="26">
        <f>W$4*(W239-W$3)</f>
        <v/>
      </c>
      <c r="AV239" s="26">
        <f>X$4*(X239-X$3)</f>
        <v/>
      </c>
      <c r="AW239" s="26">
        <f>Y$4*(Y239-Y$3)</f>
        <v/>
      </c>
      <c r="AX239" s="26">
        <f>Z$4*(Z239-Z$3)</f>
        <v/>
      </c>
      <c r="AY239" s="26">
        <f>AA$4*(AA239-AA$3)</f>
        <v/>
      </c>
      <c r="AZ239" s="26">
        <f>AB$4*(AB239-AB$3)</f>
        <v/>
      </c>
      <c r="BA239" s="26">
        <f>AC$4*(AC239-AC$3)</f>
        <v/>
      </c>
      <c r="BB239" s="26">
        <f>AD$4*(AD239-AD$3)</f>
        <v/>
      </c>
      <c r="BC239" s="26">
        <f>AE$4*(AE239-AE$3)</f>
        <v/>
      </c>
      <c r="BD239" s="26">
        <f>AF$4*(AF239-AF$3)</f>
        <v/>
      </c>
      <c r="BE239" s="26">
        <f>AG$4*(AG239-AG$3)</f>
        <v/>
      </c>
      <c r="BF239" s="26">
        <f>AH$4*(AH239-AH$3)</f>
        <v/>
      </c>
      <c r="BG239" s="26">
        <f>AI$4*(AI239-AI$3)</f>
        <v/>
      </c>
      <c r="BH239" s="26">
        <f>AJ$4*(AJ239-AJ$3)</f>
        <v/>
      </c>
      <c r="BI239" s="26">
        <f>AK$4*(AK239-AK$3)</f>
        <v/>
      </c>
      <c r="BJ239" s="26">
        <f>AL$4*(AL239-AL$3)</f>
        <v/>
      </c>
      <c r="BK239" s="26">
        <f>AM$4*(AM239-AM$3)</f>
        <v/>
      </c>
      <c r="BL239" s="26">
        <f>AN$4*(AN239-AN$3)</f>
        <v/>
      </c>
      <c r="BM239" s="26">
        <f>AO$4*(AO239-AO$3)</f>
        <v/>
      </c>
      <c r="BN239" s="26">
        <f>AP$4*(AP239-AP$3)</f>
        <v/>
      </c>
      <c r="BO239" s="26">
        <f>AQ$4*(AQ239-AQ$3)</f>
        <v/>
      </c>
      <c r="BP239" s="26">
        <f>AR$4*(AR239-AR$3)</f>
        <v/>
      </c>
      <c r="BQ239" s="26">
        <f>AS$4*(AS239-AS$3)</f>
        <v/>
      </c>
      <c r="BR239" s="27">
        <f>SUM(AT239:BQ239)</f>
        <v/>
      </c>
      <c r="BS239" s="27">
        <f>INTERCEPT_SCALED+BR239</f>
        <v/>
      </c>
      <c r="BT239" s="28">
        <f>1/(1+EXP(-BS239))</f>
        <v/>
      </c>
      <c r="BU239" s="13">
        <f>1-(1-BT239)^12</f>
        <v/>
      </c>
      <c r="BV239" s="13">
        <f>IFERROR(AT239/BR239*(BU239-BASELINE_CPR),0)</f>
        <v/>
      </c>
      <c r="BW239" s="13">
        <f>IFERROR(AU239/BR239*(BU239-BASELINE_CPR),0)</f>
        <v/>
      </c>
      <c r="BX239" s="13">
        <f>IFERROR(AV239/BR239*(BU239-BASELINE_CPR),0)</f>
        <v/>
      </c>
      <c r="BY239" s="13">
        <f>IFERROR(AW239/BR239*(BU239-BASELINE_CPR),0)</f>
        <v/>
      </c>
      <c r="BZ239" s="13">
        <f>IFERROR(AX239/BR239*(BU239-BASELINE_CPR),0)</f>
        <v/>
      </c>
      <c r="CA239" s="13">
        <f>IFERROR(AY239/BR239*(BU239-BASELINE_CPR),0)</f>
        <v/>
      </c>
      <c r="CB239" s="13">
        <f>IFERROR(AZ239/BR239*(BU239-BASELINE_CPR),0)</f>
        <v/>
      </c>
      <c r="CC239" s="13">
        <f>IFERROR(BA239/BR239*(BU239-BASELINE_CPR),0)</f>
        <v/>
      </c>
      <c r="CD239" s="13">
        <f>IFERROR(BB239/BR239*(BU239-BASELINE_CPR),0)</f>
        <v/>
      </c>
      <c r="CE239" s="13">
        <f>IFERROR(BC239/BR239*(BU239-BASELINE_CPR),0)</f>
        <v/>
      </c>
      <c r="CF239" s="13">
        <f>IFERROR(BD239/BR239*(BU239-BASELINE_CPR),0)</f>
        <v/>
      </c>
      <c r="CG239" s="13">
        <f>IFERROR(BE239/BR239*(BU239-BASELINE_CPR),0)</f>
        <v/>
      </c>
      <c r="CH239" s="13">
        <f>IFERROR(BF239/BR239*(BU239-BASELINE_CPR),0)</f>
        <v/>
      </c>
      <c r="CI239" s="13">
        <f>IFERROR(BG239/BR239*(BU239-BASELINE_CPR),0)</f>
        <v/>
      </c>
      <c r="CJ239" s="13">
        <f>IFERROR(BH239/BR239*(BU239-BASELINE_CPR),0)</f>
        <v/>
      </c>
      <c r="CK239" s="13">
        <f>IFERROR(BI239/BR239*(BU239-BASELINE_CPR),0)</f>
        <v/>
      </c>
      <c r="CL239" s="13">
        <f>IFERROR(BJ239/BR239*(BU239-BASELINE_CPR),0)</f>
        <v/>
      </c>
      <c r="CM239" s="13">
        <f>IFERROR(BK239/BR239*(BU239-BASELINE_CPR),0)</f>
        <v/>
      </c>
      <c r="CN239" s="13">
        <f>IFERROR(BL239/BR239*(BU239-BASELINE_CPR),0)</f>
        <v/>
      </c>
      <c r="CO239" s="13">
        <f>IFERROR(BM239/BR239*(BU239-BASELINE_CPR),0)</f>
        <v/>
      </c>
      <c r="CP239" s="13">
        <f>IFERROR(BN239/BR239*(BU239-BASELINE_CPR),0)</f>
        <v/>
      </c>
      <c r="CQ239" s="13">
        <f>IFERROR(BO239/BR239*(BU239-BASELINE_CPR),0)</f>
        <v/>
      </c>
      <c r="CR239" s="13">
        <f>IFERROR(BP239/BR239*(BU239-BASELINE_CPR),0)</f>
        <v/>
      </c>
      <c r="CS239" s="13">
        <f>IFERROR(BQ239/BR239*(BU239-BASELINE_CPR),0)</f>
        <v/>
      </c>
      <c r="CT239" s="29">
        <f>BASELINE_CPR+SUM(BV239:CS239)-BU239</f>
        <v/>
      </c>
    </row>
    <row r="240">
      <c r="A240" s="2" t="inlineStr">
        <is>
          <t>3620AEMG2_060003374578408</t>
        </is>
      </c>
      <c r="B240" t="inlineStr">
        <is>
          <t>BELLWETHER_PRE21</t>
        </is>
      </c>
      <c r="C240" s="2" t="inlineStr">
        <is>
          <t>3620AEMG2</t>
        </is>
      </c>
      <c r="D240" t="inlineStr">
        <is>
          <t>BELLWETHER ENTERPRISE REAL ESTATE CAPITA</t>
        </is>
      </c>
      <c r="E240" t="inlineStr">
        <is>
          <t>538</t>
        </is>
      </c>
      <c r="F240" t="inlineStr">
        <is>
          <t>538</t>
        </is>
      </c>
      <c r="G240" t="n">
        <v>2010</v>
      </c>
      <c r="H240" t="inlineStr">
        <is>
          <t>202602</t>
        </is>
      </c>
      <c r="I240" s="22" t="n">
        <v>862013.46</v>
      </c>
      <c r="J240" s="23" t="n">
        <v>5.29</v>
      </c>
      <c r="K240" s="24" t="n">
        <v>447</v>
      </c>
      <c r="L240" s="24" t="n">
        <v>0</v>
      </c>
      <c r="M240" t="n">
        <v>184</v>
      </c>
      <c r="N240" t="n">
        <v>75</v>
      </c>
      <c r="O240" t="n">
        <v>205011</v>
      </c>
      <c r="P240" t="n">
        <v>201212</v>
      </c>
      <c r="Q240" t="inlineStr">
        <is>
          <t>4067</t>
        </is>
      </c>
      <c r="R240" t="n">
        <v>0</v>
      </c>
      <c r="S240" t="n">
        <v>0</v>
      </c>
      <c r="T240" t="n">
        <v>1</v>
      </c>
      <c r="U240" t="n">
        <v>0</v>
      </c>
      <c r="V240" s="24">
        <f>J240*100-K240</f>
        <v/>
      </c>
      <c r="W240" s="24">
        <f>L240</f>
        <v/>
      </c>
      <c r="X240" s="25">
        <f>MIN(M240,36)</f>
        <v/>
      </c>
      <c r="Y240" s="25">
        <f>MIN(MAX(M240-36,0),84)</f>
        <v/>
      </c>
      <c r="Z240" s="25">
        <f>MAX(M240-120,0)</f>
        <v/>
      </c>
      <c r="AA240" s="25">
        <f>IF(OR(O240="",NOT(ISNUMBER(O240))),360,MAX(0,MIN(480,(INT(O240/100)-INT(VALUE(H240)/100))*12+MOD(O240,100)-MOD(VALUE(H240),100))))</f>
        <v/>
      </c>
      <c r="AB240">
        <f>IF(AND(AA240&gt;0,AA240&lt;=24),1,0)</f>
        <v/>
      </c>
      <c r="AC240" s="25">
        <f>IF(OR(P240="",NOT(ISNUMBER(P240))),0,MAX(0,MIN(24,(INT(VALUE(H240)/100)-INT(P240/100))*12+MOD(VALUE(H240),100)-MOD(P240,100))))</f>
        <v/>
      </c>
      <c r="AD240" s="23">
        <f>LN(1+I240)</f>
        <v/>
      </c>
      <c r="AE240">
        <f>IF(I240&lt;2000000,1,0)</f>
        <v/>
      </c>
      <c r="AF240">
        <f>IF(I240&gt;50000000,1,0)</f>
        <v/>
      </c>
      <c r="AG240" s="23">
        <f>IF(ISNUMBER(M240),N240/MAX(M240,1),0)</f>
        <v/>
      </c>
      <c r="AH240">
        <f>IF(G240&gt;=2021,1,0)</f>
        <v/>
      </c>
      <c r="AI240">
        <f>S240</f>
        <v/>
      </c>
      <c r="AJ240">
        <f>T240</f>
        <v/>
      </c>
      <c r="AK240">
        <f>R240</f>
        <v/>
      </c>
      <c r="AL240">
        <f>U240</f>
        <v/>
      </c>
      <c r="AM240">
        <f>IF(ISNUMBER(SEARCH("CAPITAL FUNDING",D240)),1,0)</f>
        <v/>
      </c>
      <c r="AN240">
        <f>IF(ISNUMBER(SEARCH("PNC",D240)),1,0)</f>
        <v/>
      </c>
      <c r="AO240">
        <f>IF(ISNUMBER(SEARCH("WELLS FARGO",D240)),1,0)</f>
        <v/>
      </c>
      <c r="AP240">
        <f>IF(ISNUMBER(SEARCH("DWIGHT",D240)),1,0)</f>
        <v/>
      </c>
      <c r="AQ240">
        <f>IF(ISNUMBER(SEARCH("GREYSTONE",D240)),1,0)</f>
        <v/>
      </c>
      <c r="AR240">
        <f>IF(OR(Q240="3896",Q240="3557"),1,0)</f>
        <v/>
      </c>
      <c r="AS240" s="24">
        <f>V240*W240</f>
        <v/>
      </c>
      <c r="AT240" s="26">
        <f>V$4*(V240-V$3)</f>
        <v/>
      </c>
      <c r="AU240" s="26">
        <f>W$4*(W240-W$3)</f>
        <v/>
      </c>
      <c r="AV240" s="26">
        <f>X$4*(X240-X$3)</f>
        <v/>
      </c>
      <c r="AW240" s="26">
        <f>Y$4*(Y240-Y$3)</f>
        <v/>
      </c>
      <c r="AX240" s="26">
        <f>Z$4*(Z240-Z$3)</f>
        <v/>
      </c>
      <c r="AY240" s="26">
        <f>AA$4*(AA240-AA$3)</f>
        <v/>
      </c>
      <c r="AZ240" s="26">
        <f>AB$4*(AB240-AB$3)</f>
        <v/>
      </c>
      <c r="BA240" s="26">
        <f>AC$4*(AC240-AC$3)</f>
        <v/>
      </c>
      <c r="BB240" s="26">
        <f>AD$4*(AD240-AD$3)</f>
        <v/>
      </c>
      <c r="BC240" s="26">
        <f>AE$4*(AE240-AE$3)</f>
        <v/>
      </c>
      <c r="BD240" s="26">
        <f>AF$4*(AF240-AF$3)</f>
        <v/>
      </c>
      <c r="BE240" s="26">
        <f>AG$4*(AG240-AG$3)</f>
        <v/>
      </c>
      <c r="BF240" s="26">
        <f>AH$4*(AH240-AH$3)</f>
        <v/>
      </c>
      <c r="BG240" s="26">
        <f>AI$4*(AI240-AI$3)</f>
        <v/>
      </c>
      <c r="BH240" s="26">
        <f>AJ$4*(AJ240-AJ$3)</f>
        <v/>
      </c>
      <c r="BI240" s="26">
        <f>AK$4*(AK240-AK$3)</f>
        <v/>
      </c>
      <c r="BJ240" s="26">
        <f>AL$4*(AL240-AL$3)</f>
        <v/>
      </c>
      <c r="BK240" s="26">
        <f>AM$4*(AM240-AM$3)</f>
        <v/>
      </c>
      <c r="BL240" s="26">
        <f>AN$4*(AN240-AN$3)</f>
        <v/>
      </c>
      <c r="BM240" s="26">
        <f>AO$4*(AO240-AO$3)</f>
        <v/>
      </c>
      <c r="BN240" s="26">
        <f>AP$4*(AP240-AP$3)</f>
        <v/>
      </c>
      <c r="BO240" s="26">
        <f>AQ$4*(AQ240-AQ$3)</f>
        <v/>
      </c>
      <c r="BP240" s="26">
        <f>AR$4*(AR240-AR$3)</f>
        <v/>
      </c>
      <c r="BQ240" s="26">
        <f>AS$4*(AS240-AS$3)</f>
        <v/>
      </c>
      <c r="BR240" s="27">
        <f>SUM(AT240:BQ240)</f>
        <v/>
      </c>
      <c r="BS240" s="27">
        <f>INTERCEPT_SCALED+BR240</f>
        <v/>
      </c>
      <c r="BT240" s="28">
        <f>1/(1+EXP(-BS240))</f>
        <v/>
      </c>
      <c r="BU240" s="13">
        <f>1-(1-BT240)^12</f>
        <v/>
      </c>
      <c r="BV240" s="13">
        <f>IFERROR(AT240/BR240*(BU240-BASELINE_CPR),0)</f>
        <v/>
      </c>
      <c r="BW240" s="13">
        <f>IFERROR(AU240/BR240*(BU240-BASELINE_CPR),0)</f>
        <v/>
      </c>
      <c r="BX240" s="13">
        <f>IFERROR(AV240/BR240*(BU240-BASELINE_CPR),0)</f>
        <v/>
      </c>
      <c r="BY240" s="13">
        <f>IFERROR(AW240/BR240*(BU240-BASELINE_CPR),0)</f>
        <v/>
      </c>
      <c r="BZ240" s="13">
        <f>IFERROR(AX240/BR240*(BU240-BASELINE_CPR),0)</f>
        <v/>
      </c>
      <c r="CA240" s="13">
        <f>IFERROR(AY240/BR240*(BU240-BASELINE_CPR),0)</f>
        <v/>
      </c>
      <c r="CB240" s="13">
        <f>IFERROR(AZ240/BR240*(BU240-BASELINE_CPR),0)</f>
        <v/>
      </c>
      <c r="CC240" s="13">
        <f>IFERROR(BA240/BR240*(BU240-BASELINE_CPR),0)</f>
        <v/>
      </c>
      <c r="CD240" s="13">
        <f>IFERROR(BB240/BR240*(BU240-BASELINE_CPR),0)</f>
        <v/>
      </c>
      <c r="CE240" s="13">
        <f>IFERROR(BC240/BR240*(BU240-BASELINE_CPR),0)</f>
        <v/>
      </c>
      <c r="CF240" s="13">
        <f>IFERROR(BD240/BR240*(BU240-BASELINE_CPR),0)</f>
        <v/>
      </c>
      <c r="CG240" s="13">
        <f>IFERROR(BE240/BR240*(BU240-BASELINE_CPR),0)</f>
        <v/>
      </c>
      <c r="CH240" s="13">
        <f>IFERROR(BF240/BR240*(BU240-BASELINE_CPR),0)</f>
        <v/>
      </c>
      <c r="CI240" s="13">
        <f>IFERROR(BG240/BR240*(BU240-BASELINE_CPR),0)</f>
        <v/>
      </c>
      <c r="CJ240" s="13">
        <f>IFERROR(BH240/BR240*(BU240-BASELINE_CPR),0)</f>
        <v/>
      </c>
      <c r="CK240" s="13">
        <f>IFERROR(BI240/BR240*(BU240-BASELINE_CPR),0)</f>
        <v/>
      </c>
      <c r="CL240" s="13">
        <f>IFERROR(BJ240/BR240*(BU240-BASELINE_CPR),0)</f>
        <v/>
      </c>
      <c r="CM240" s="13">
        <f>IFERROR(BK240/BR240*(BU240-BASELINE_CPR),0)</f>
        <v/>
      </c>
      <c r="CN240" s="13">
        <f>IFERROR(BL240/BR240*(BU240-BASELINE_CPR),0)</f>
        <v/>
      </c>
      <c r="CO240" s="13">
        <f>IFERROR(BM240/BR240*(BU240-BASELINE_CPR),0)</f>
        <v/>
      </c>
      <c r="CP240" s="13">
        <f>IFERROR(BN240/BR240*(BU240-BASELINE_CPR),0)</f>
        <v/>
      </c>
      <c r="CQ240" s="13">
        <f>IFERROR(BO240/BR240*(BU240-BASELINE_CPR),0)</f>
        <v/>
      </c>
      <c r="CR240" s="13">
        <f>IFERROR(BP240/BR240*(BU240-BASELINE_CPR),0)</f>
        <v/>
      </c>
      <c r="CS240" s="13">
        <f>IFERROR(BQ240/BR240*(BU240-BASELINE_CPR),0)</f>
        <v/>
      </c>
      <c r="CT240" s="29">
        <f>BASELINE_CPR+SUM(BV240:CS240)-BU240</f>
        <v/>
      </c>
    </row>
    <row r="241">
      <c r="A241" s="2" t="inlineStr">
        <is>
          <t>36189SPJ8_043015882752559</t>
        </is>
      </c>
      <c r="B241" t="inlineStr">
        <is>
          <t>BELLWETHER_PRE21</t>
        </is>
      </c>
      <c r="C241" s="2" t="inlineStr">
        <is>
          <t>36189SPJ8</t>
        </is>
      </c>
      <c r="D241" t="inlineStr">
        <is>
          <t>BELLWETHER ENTERPRISE REAL ESTATE CAPITA</t>
        </is>
      </c>
      <c r="E241" t="inlineStr">
        <is>
          <t>538</t>
        </is>
      </c>
      <c r="F241" t="inlineStr">
        <is>
          <t>538</t>
        </is>
      </c>
      <c r="G241" t="n">
        <v>2015</v>
      </c>
      <c r="H241" t="inlineStr">
        <is>
          <t>202602</t>
        </is>
      </c>
      <c r="I241" s="22" t="n">
        <v>449622.75</v>
      </c>
      <c r="J241" s="23" t="n">
        <v>5.25</v>
      </c>
      <c r="K241" s="24" t="n">
        <v>447</v>
      </c>
      <c r="L241" s="24" t="n">
        <v>0</v>
      </c>
      <c r="M241" t="n">
        <v>125</v>
      </c>
      <c r="N241" t="n">
        <v>62</v>
      </c>
      <c r="O241" t="n">
        <v>205510</v>
      </c>
      <c r="P241" t="inlineStr"/>
      <c r="Q241" t="inlineStr">
        <is>
          <t>4067</t>
        </is>
      </c>
      <c r="R241" t="n">
        <v>0</v>
      </c>
      <c r="S241" t="n">
        <v>0</v>
      </c>
      <c r="T241" t="n">
        <v>1</v>
      </c>
      <c r="U241" t="n">
        <v>0</v>
      </c>
      <c r="V241" s="24">
        <f>J241*100-K241</f>
        <v/>
      </c>
      <c r="W241" s="24">
        <f>L241</f>
        <v/>
      </c>
      <c r="X241" s="25">
        <f>MIN(M241,36)</f>
        <v/>
      </c>
      <c r="Y241" s="25">
        <f>MIN(MAX(M241-36,0),84)</f>
        <v/>
      </c>
      <c r="Z241" s="25">
        <f>MAX(M241-120,0)</f>
        <v/>
      </c>
      <c r="AA241" s="25">
        <f>IF(OR(O241="",NOT(ISNUMBER(O241))),360,MAX(0,MIN(480,(INT(O241/100)-INT(VALUE(H241)/100))*12+MOD(O241,100)-MOD(VALUE(H241),100))))</f>
        <v/>
      </c>
      <c r="AB241">
        <f>IF(AND(AA241&gt;0,AA241&lt;=24),1,0)</f>
        <v/>
      </c>
      <c r="AC241" s="25">
        <f>IF(OR(P241="",NOT(ISNUMBER(P241))),0,MAX(0,MIN(24,(INT(VALUE(H241)/100)-INT(P241/100))*12+MOD(VALUE(H241),100)-MOD(P241,100))))</f>
        <v/>
      </c>
      <c r="AD241" s="23">
        <f>LN(1+I241)</f>
        <v/>
      </c>
      <c r="AE241">
        <f>IF(I241&lt;2000000,1,0)</f>
        <v/>
      </c>
      <c r="AF241">
        <f>IF(I241&gt;50000000,1,0)</f>
        <v/>
      </c>
      <c r="AG241" s="23">
        <f>IF(ISNUMBER(M241),N241/MAX(M241,1),0)</f>
        <v/>
      </c>
      <c r="AH241">
        <f>IF(G241&gt;=2021,1,0)</f>
        <v/>
      </c>
      <c r="AI241">
        <f>S241</f>
        <v/>
      </c>
      <c r="AJ241">
        <f>T241</f>
        <v/>
      </c>
      <c r="AK241">
        <f>R241</f>
        <v/>
      </c>
      <c r="AL241">
        <f>U241</f>
        <v/>
      </c>
      <c r="AM241">
        <f>IF(ISNUMBER(SEARCH("CAPITAL FUNDING",D241)),1,0)</f>
        <v/>
      </c>
      <c r="AN241">
        <f>IF(ISNUMBER(SEARCH("PNC",D241)),1,0)</f>
        <v/>
      </c>
      <c r="AO241">
        <f>IF(ISNUMBER(SEARCH("WELLS FARGO",D241)),1,0)</f>
        <v/>
      </c>
      <c r="AP241">
        <f>IF(ISNUMBER(SEARCH("DWIGHT",D241)),1,0)</f>
        <v/>
      </c>
      <c r="AQ241">
        <f>IF(ISNUMBER(SEARCH("GREYSTONE",D241)),1,0)</f>
        <v/>
      </c>
      <c r="AR241">
        <f>IF(OR(Q241="3896",Q241="3557"),1,0)</f>
        <v/>
      </c>
      <c r="AS241" s="24">
        <f>V241*W241</f>
        <v/>
      </c>
      <c r="AT241" s="26">
        <f>V$4*(V241-V$3)</f>
        <v/>
      </c>
      <c r="AU241" s="26">
        <f>W$4*(W241-W$3)</f>
        <v/>
      </c>
      <c r="AV241" s="26">
        <f>X$4*(X241-X$3)</f>
        <v/>
      </c>
      <c r="AW241" s="26">
        <f>Y$4*(Y241-Y$3)</f>
        <v/>
      </c>
      <c r="AX241" s="26">
        <f>Z$4*(Z241-Z$3)</f>
        <v/>
      </c>
      <c r="AY241" s="26">
        <f>AA$4*(AA241-AA$3)</f>
        <v/>
      </c>
      <c r="AZ241" s="26">
        <f>AB$4*(AB241-AB$3)</f>
        <v/>
      </c>
      <c r="BA241" s="26">
        <f>AC$4*(AC241-AC$3)</f>
        <v/>
      </c>
      <c r="BB241" s="26">
        <f>AD$4*(AD241-AD$3)</f>
        <v/>
      </c>
      <c r="BC241" s="26">
        <f>AE$4*(AE241-AE$3)</f>
        <v/>
      </c>
      <c r="BD241" s="26">
        <f>AF$4*(AF241-AF$3)</f>
        <v/>
      </c>
      <c r="BE241" s="26">
        <f>AG$4*(AG241-AG$3)</f>
        <v/>
      </c>
      <c r="BF241" s="26">
        <f>AH$4*(AH241-AH$3)</f>
        <v/>
      </c>
      <c r="BG241" s="26">
        <f>AI$4*(AI241-AI$3)</f>
        <v/>
      </c>
      <c r="BH241" s="26">
        <f>AJ$4*(AJ241-AJ$3)</f>
        <v/>
      </c>
      <c r="BI241" s="26">
        <f>AK$4*(AK241-AK$3)</f>
        <v/>
      </c>
      <c r="BJ241" s="26">
        <f>AL$4*(AL241-AL$3)</f>
        <v/>
      </c>
      <c r="BK241" s="26">
        <f>AM$4*(AM241-AM$3)</f>
        <v/>
      </c>
      <c r="BL241" s="26">
        <f>AN$4*(AN241-AN$3)</f>
        <v/>
      </c>
      <c r="BM241" s="26">
        <f>AO$4*(AO241-AO$3)</f>
        <v/>
      </c>
      <c r="BN241" s="26">
        <f>AP$4*(AP241-AP$3)</f>
        <v/>
      </c>
      <c r="BO241" s="26">
        <f>AQ$4*(AQ241-AQ$3)</f>
        <v/>
      </c>
      <c r="BP241" s="26">
        <f>AR$4*(AR241-AR$3)</f>
        <v/>
      </c>
      <c r="BQ241" s="26">
        <f>AS$4*(AS241-AS$3)</f>
        <v/>
      </c>
      <c r="BR241" s="27">
        <f>SUM(AT241:BQ241)</f>
        <v/>
      </c>
      <c r="BS241" s="27">
        <f>INTERCEPT_SCALED+BR241</f>
        <v/>
      </c>
      <c r="BT241" s="28">
        <f>1/(1+EXP(-BS241))</f>
        <v/>
      </c>
      <c r="BU241" s="13">
        <f>1-(1-BT241)^12</f>
        <v/>
      </c>
      <c r="BV241" s="13">
        <f>IFERROR(AT241/BR241*(BU241-BASELINE_CPR),0)</f>
        <v/>
      </c>
      <c r="BW241" s="13">
        <f>IFERROR(AU241/BR241*(BU241-BASELINE_CPR),0)</f>
        <v/>
      </c>
      <c r="BX241" s="13">
        <f>IFERROR(AV241/BR241*(BU241-BASELINE_CPR),0)</f>
        <v/>
      </c>
      <c r="BY241" s="13">
        <f>IFERROR(AW241/BR241*(BU241-BASELINE_CPR),0)</f>
        <v/>
      </c>
      <c r="BZ241" s="13">
        <f>IFERROR(AX241/BR241*(BU241-BASELINE_CPR),0)</f>
        <v/>
      </c>
      <c r="CA241" s="13">
        <f>IFERROR(AY241/BR241*(BU241-BASELINE_CPR),0)</f>
        <v/>
      </c>
      <c r="CB241" s="13">
        <f>IFERROR(AZ241/BR241*(BU241-BASELINE_CPR),0)</f>
        <v/>
      </c>
      <c r="CC241" s="13">
        <f>IFERROR(BA241/BR241*(BU241-BASELINE_CPR),0)</f>
        <v/>
      </c>
      <c r="CD241" s="13">
        <f>IFERROR(BB241/BR241*(BU241-BASELINE_CPR),0)</f>
        <v/>
      </c>
      <c r="CE241" s="13">
        <f>IFERROR(BC241/BR241*(BU241-BASELINE_CPR),0)</f>
        <v/>
      </c>
      <c r="CF241" s="13">
        <f>IFERROR(BD241/BR241*(BU241-BASELINE_CPR),0)</f>
        <v/>
      </c>
      <c r="CG241" s="13">
        <f>IFERROR(BE241/BR241*(BU241-BASELINE_CPR),0)</f>
        <v/>
      </c>
      <c r="CH241" s="13">
        <f>IFERROR(BF241/BR241*(BU241-BASELINE_CPR),0)</f>
        <v/>
      </c>
      <c r="CI241" s="13">
        <f>IFERROR(BG241/BR241*(BU241-BASELINE_CPR),0)</f>
        <v/>
      </c>
      <c r="CJ241" s="13">
        <f>IFERROR(BH241/BR241*(BU241-BASELINE_CPR),0)</f>
        <v/>
      </c>
      <c r="CK241" s="13">
        <f>IFERROR(BI241/BR241*(BU241-BASELINE_CPR),0)</f>
        <v/>
      </c>
      <c r="CL241" s="13">
        <f>IFERROR(BJ241/BR241*(BU241-BASELINE_CPR),0)</f>
        <v/>
      </c>
      <c r="CM241" s="13">
        <f>IFERROR(BK241/BR241*(BU241-BASELINE_CPR),0)</f>
        <v/>
      </c>
      <c r="CN241" s="13">
        <f>IFERROR(BL241/BR241*(BU241-BASELINE_CPR),0)</f>
        <v/>
      </c>
      <c r="CO241" s="13">
        <f>IFERROR(BM241/BR241*(BU241-BASELINE_CPR),0)</f>
        <v/>
      </c>
      <c r="CP241" s="13">
        <f>IFERROR(BN241/BR241*(BU241-BASELINE_CPR),0)</f>
        <v/>
      </c>
      <c r="CQ241" s="13">
        <f>IFERROR(BO241/BR241*(BU241-BASELINE_CPR),0)</f>
        <v/>
      </c>
      <c r="CR241" s="13">
        <f>IFERROR(BP241/BR241*(BU241-BASELINE_CPR),0)</f>
        <v/>
      </c>
      <c r="CS241" s="13">
        <f>IFERROR(BQ241/BR241*(BU241-BASELINE_CPR),0)</f>
        <v/>
      </c>
      <c r="CT241" s="29">
        <f>BASELINE_CPR+SUM(BV241:CS241)-BU241</f>
        <v/>
      </c>
    </row>
    <row r="242">
      <c r="A242" s="2" t="inlineStr">
        <is>
          <t>3617USAC7_000000006135939</t>
        </is>
      </c>
      <c r="B242" t="inlineStr">
        <is>
          <t>BELLWETHER_PRE21</t>
        </is>
      </c>
      <c r="C242" s="2" t="inlineStr">
        <is>
          <t>3617USAC7</t>
        </is>
      </c>
      <c r="D242" t="inlineStr">
        <is>
          <t>BELLWETHER ENTERPRISE REAL ESTATE CAPITA</t>
        </is>
      </c>
      <c r="E242" t="inlineStr">
        <is>
          <t>221d4</t>
        </is>
      </c>
      <c r="F242" t="inlineStr">
        <is>
          <t>NC</t>
        </is>
      </c>
      <c r="G242" t="n">
        <v>2020</v>
      </c>
      <c r="H242" t="inlineStr">
        <is>
          <t>202602</t>
        </is>
      </c>
      <c r="I242" s="22" t="n">
        <v>8918835.859999999</v>
      </c>
      <c r="J242" s="23" t="n">
        <v>2.73</v>
      </c>
      <c r="K242" s="24" t="n">
        <v>447</v>
      </c>
      <c r="L242" s="24" t="n">
        <v>8</v>
      </c>
      <c r="M242" t="n">
        <v>62</v>
      </c>
      <c r="N242" t="n">
        <v>0</v>
      </c>
      <c r="O242" t="n">
        <v>206206</v>
      </c>
      <c r="P242" t="inlineStr"/>
      <c r="Q242" t="inlineStr">
        <is>
          <t>4067</t>
        </is>
      </c>
      <c r="R242" t="n">
        <v>0</v>
      </c>
      <c r="S242" t="n">
        <v>0</v>
      </c>
      <c r="T242" t="n">
        <v>0</v>
      </c>
      <c r="U242" t="n">
        <v>1</v>
      </c>
      <c r="V242" s="24">
        <f>J242*100-K242</f>
        <v/>
      </c>
      <c r="W242" s="24">
        <f>L242</f>
        <v/>
      </c>
      <c r="X242" s="25">
        <f>MIN(M242,36)</f>
        <v/>
      </c>
      <c r="Y242" s="25">
        <f>MIN(MAX(M242-36,0),84)</f>
        <v/>
      </c>
      <c r="Z242" s="25">
        <f>MAX(M242-120,0)</f>
        <v/>
      </c>
      <c r="AA242" s="25">
        <f>IF(OR(O242="",NOT(ISNUMBER(O242))),360,MAX(0,MIN(480,(INT(O242/100)-INT(VALUE(H242)/100))*12+MOD(O242,100)-MOD(VALUE(H242),100))))</f>
        <v/>
      </c>
      <c r="AB242">
        <f>IF(AND(AA242&gt;0,AA242&lt;=24),1,0)</f>
        <v/>
      </c>
      <c r="AC242" s="25">
        <f>IF(OR(P242="",NOT(ISNUMBER(P242))),0,MAX(0,MIN(24,(INT(VALUE(H242)/100)-INT(P242/100))*12+MOD(VALUE(H242),100)-MOD(P242,100))))</f>
        <v/>
      </c>
      <c r="AD242" s="23">
        <f>LN(1+I242)</f>
        <v/>
      </c>
      <c r="AE242">
        <f>IF(I242&lt;2000000,1,0)</f>
        <v/>
      </c>
      <c r="AF242">
        <f>IF(I242&gt;50000000,1,0)</f>
        <v/>
      </c>
      <c r="AG242" s="23">
        <f>IF(ISNUMBER(M242),N242/MAX(M242,1),0)</f>
        <v/>
      </c>
      <c r="AH242">
        <f>IF(G242&gt;=2021,1,0)</f>
        <v/>
      </c>
      <c r="AI242">
        <f>S242</f>
        <v/>
      </c>
      <c r="AJ242">
        <f>T242</f>
        <v/>
      </c>
      <c r="AK242">
        <f>R242</f>
        <v/>
      </c>
      <c r="AL242">
        <f>U242</f>
        <v/>
      </c>
      <c r="AM242">
        <f>IF(ISNUMBER(SEARCH("CAPITAL FUNDING",D242)),1,0)</f>
        <v/>
      </c>
      <c r="AN242">
        <f>IF(ISNUMBER(SEARCH("PNC",D242)),1,0)</f>
        <v/>
      </c>
      <c r="AO242">
        <f>IF(ISNUMBER(SEARCH("WELLS FARGO",D242)),1,0)</f>
        <v/>
      </c>
      <c r="AP242">
        <f>IF(ISNUMBER(SEARCH("DWIGHT",D242)),1,0)</f>
        <v/>
      </c>
      <c r="AQ242">
        <f>IF(ISNUMBER(SEARCH("GREYSTONE",D242)),1,0)</f>
        <v/>
      </c>
      <c r="AR242">
        <f>IF(OR(Q242="3896",Q242="3557"),1,0)</f>
        <v/>
      </c>
      <c r="AS242" s="24">
        <f>V242*W242</f>
        <v/>
      </c>
      <c r="AT242" s="26">
        <f>V$4*(V242-V$3)</f>
        <v/>
      </c>
      <c r="AU242" s="26">
        <f>W$4*(W242-W$3)</f>
        <v/>
      </c>
      <c r="AV242" s="26">
        <f>X$4*(X242-X$3)</f>
        <v/>
      </c>
      <c r="AW242" s="26">
        <f>Y$4*(Y242-Y$3)</f>
        <v/>
      </c>
      <c r="AX242" s="26">
        <f>Z$4*(Z242-Z$3)</f>
        <v/>
      </c>
      <c r="AY242" s="26">
        <f>AA$4*(AA242-AA$3)</f>
        <v/>
      </c>
      <c r="AZ242" s="26">
        <f>AB$4*(AB242-AB$3)</f>
        <v/>
      </c>
      <c r="BA242" s="26">
        <f>AC$4*(AC242-AC$3)</f>
        <v/>
      </c>
      <c r="BB242" s="26">
        <f>AD$4*(AD242-AD$3)</f>
        <v/>
      </c>
      <c r="BC242" s="26">
        <f>AE$4*(AE242-AE$3)</f>
        <v/>
      </c>
      <c r="BD242" s="26">
        <f>AF$4*(AF242-AF$3)</f>
        <v/>
      </c>
      <c r="BE242" s="26">
        <f>AG$4*(AG242-AG$3)</f>
        <v/>
      </c>
      <c r="BF242" s="26">
        <f>AH$4*(AH242-AH$3)</f>
        <v/>
      </c>
      <c r="BG242" s="26">
        <f>AI$4*(AI242-AI$3)</f>
        <v/>
      </c>
      <c r="BH242" s="26">
        <f>AJ$4*(AJ242-AJ$3)</f>
        <v/>
      </c>
      <c r="BI242" s="26">
        <f>AK$4*(AK242-AK$3)</f>
        <v/>
      </c>
      <c r="BJ242" s="26">
        <f>AL$4*(AL242-AL$3)</f>
        <v/>
      </c>
      <c r="BK242" s="26">
        <f>AM$4*(AM242-AM$3)</f>
        <v/>
      </c>
      <c r="BL242" s="26">
        <f>AN$4*(AN242-AN$3)</f>
        <v/>
      </c>
      <c r="BM242" s="26">
        <f>AO$4*(AO242-AO$3)</f>
        <v/>
      </c>
      <c r="BN242" s="26">
        <f>AP$4*(AP242-AP$3)</f>
        <v/>
      </c>
      <c r="BO242" s="26">
        <f>AQ$4*(AQ242-AQ$3)</f>
        <v/>
      </c>
      <c r="BP242" s="26">
        <f>AR$4*(AR242-AR$3)</f>
        <v/>
      </c>
      <c r="BQ242" s="26">
        <f>AS$4*(AS242-AS$3)</f>
        <v/>
      </c>
      <c r="BR242" s="27">
        <f>SUM(AT242:BQ242)</f>
        <v/>
      </c>
      <c r="BS242" s="27">
        <f>INTERCEPT_SCALED+BR242</f>
        <v/>
      </c>
      <c r="BT242" s="28">
        <f>1/(1+EXP(-BS242))</f>
        <v/>
      </c>
      <c r="BU242" s="13">
        <f>1-(1-BT242)^12</f>
        <v/>
      </c>
      <c r="BV242" s="13">
        <f>IFERROR(AT242/BR242*(BU242-BASELINE_CPR),0)</f>
        <v/>
      </c>
      <c r="BW242" s="13">
        <f>IFERROR(AU242/BR242*(BU242-BASELINE_CPR),0)</f>
        <v/>
      </c>
      <c r="BX242" s="13">
        <f>IFERROR(AV242/BR242*(BU242-BASELINE_CPR),0)</f>
        <v/>
      </c>
      <c r="BY242" s="13">
        <f>IFERROR(AW242/BR242*(BU242-BASELINE_CPR),0)</f>
        <v/>
      </c>
      <c r="BZ242" s="13">
        <f>IFERROR(AX242/BR242*(BU242-BASELINE_CPR),0)</f>
        <v/>
      </c>
      <c r="CA242" s="13">
        <f>IFERROR(AY242/BR242*(BU242-BASELINE_CPR),0)</f>
        <v/>
      </c>
      <c r="CB242" s="13">
        <f>IFERROR(AZ242/BR242*(BU242-BASELINE_CPR),0)</f>
        <v/>
      </c>
      <c r="CC242" s="13">
        <f>IFERROR(BA242/BR242*(BU242-BASELINE_CPR),0)</f>
        <v/>
      </c>
      <c r="CD242" s="13">
        <f>IFERROR(BB242/BR242*(BU242-BASELINE_CPR),0)</f>
        <v/>
      </c>
      <c r="CE242" s="13">
        <f>IFERROR(BC242/BR242*(BU242-BASELINE_CPR),0)</f>
        <v/>
      </c>
      <c r="CF242" s="13">
        <f>IFERROR(BD242/BR242*(BU242-BASELINE_CPR),0)</f>
        <v/>
      </c>
      <c r="CG242" s="13">
        <f>IFERROR(BE242/BR242*(BU242-BASELINE_CPR),0)</f>
        <v/>
      </c>
      <c r="CH242" s="13">
        <f>IFERROR(BF242/BR242*(BU242-BASELINE_CPR),0)</f>
        <v/>
      </c>
      <c r="CI242" s="13">
        <f>IFERROR(BG242/BR242*(BU242-BASELINE_CPR),0)</f>
        <v/>
      </c>
      <c r="CJ242" s="13">
        <f>IFERROR(BH242/BR242*(BU242-BASELINE_CPR),0)</f>
        <v/>
      </c>
      <c r="CK242" s="13">
        <f>IFERROR(BI242/BR242*(BU242-BASELINE_CPR),0)</f>
        <v/>
      </c>
      <c r="CL242" s="13">
        <f>IFERROR(BJ242/BR242*(BU242-BASELINE_CPR),0)</f>
        <v/>
      </c>
      <c r="CM242" s="13">
        <f>IFERROR(BK242/BR242*(BU242-BASELINE_CPR),0)</f>
        <v/>
      </c>
      <c r="CN242" s="13">
        <f>IFERROR(BL242/BR242*(BU242-BASELINE_CPR),0)</f>
        <v/>
      </c>
      <c r="CO242" s="13">
        <f>IFERROR(BM242/BR242*(BU242-BASELINE_CPR),0)</f>
        <v/>
      </c>
      <c r="CP242" s="13">
        <f>IFERROR(BN242/BR242*(BU242-BASELINE_CPR),0)</f>
        <v/>
      </c>
      <c r="CQ242" s="13">
        <f>IFERROR(BO242/BR242*(BU242-BASELINE_CPR),0)</f>
        <v/>
      </c>
      <c r="CR242" s="13">
        <f>IFERROR(BP242/BR242*(BU242-BASELINE_CPR),0)</f>
        <v/>
      </c>
      <c r="CS242" s="13">
        <f>IFERROR(BQ242/BR242*(BU242-BASELINE_CPR),0)</f>
        <v/>
      </c>
      <c r="CT242" s="29">
        <f>BASELINE_CPR+SUM(BV242:CS242)-BU242</f>
        <v/>
      </c>
    </row>
    <row r="243">
      <c r="A243" s="2" t="inlineStr">
        <is>
          <t>3617NUMG8_000000008611114</t>
        </is>
      </c>
      <c r="B243" t="inlineStr">
        <is>
          <t>BELLWETHER_PRE21</t>
        </is>
      </c>
      <c r="C243" s="2" t="inlineStr">
        <is>
          <t>3617NUMG8</t>
        </is>
      </c>
      <c r="D243" t="inlineStr">
        <is>
          <t>BELLWETHER ENTERPRISE REAL ESTATE CAPITA</t>
        </is>
      </c>
      <c r="E243" t="inlineStr">
        <is>
          <t>223f</t>
        </is>
      </c>
      <c r="F243" t="inlineStr">
        <is>
          <t>RP</t>
        </is>
      </c>
      <c r="G243" t="n">
        <v>2020</v>
      </c>
      <c r="H243" t="inlineStr">
        <is>
          <t>202602</t>
        </is>
      </c>
      <c r="I243" s="22" t="n">
        <v>11462433.94</v>
      </c>
      <c r="J243" s="23" t="n">
        <v>3.32</v>
      </c>
      <c r="K243" s="24" t="n">
        <v>447</v>
      </c>
      <c r="L243" s="24" t="n">
        <v>6</v>
      </c>
      <c r="M243" t="n">
        <v>63</v>
      </c>
      <c r="N243" t="n">
        <v>14</v>
      </c>
      <c r="O243" t="n">
        <v>205312</v>
      </c>
      <c r="P243" t="inlineStr"/>
      <c r="Q243" t="inlineStr">
        <is>
          <t>4067</t>
        </is>
      </c>
      <c r="R243" t="n">
        <v>0</v>
      </c>
      <c r="S243" t="n">
        <v>0</v>
      </c>
      <c r="T243" t="n">
        <v>0</v>
      </c>
      <c r="U243" t="n">
        <v>0</v>
      </c>
      <c r="V243" s="24">
        <f>J243*100-K243</f>
        <v/>
      </c>
      <c r="W243" s="24">
        <f>L243</f>
        <v/>
      </c>
      <c r="X243" s="25">
        <f>MIN(M243,36)</f>
        <v/>
      </c>
      <c r="Y243" s="25">
        <f>MIN(MAX(M243-36,0),84)</f>
        <v/>
      </c>
      <c r="Z243" s="25">
        <f>MAX(M243-120,0)</f>
        <v/>
      </c>
      <c r="AA243" s="25">
        <f>IF(OR(O243="",NOT(ISNUMBER(O243))),360,MAX(0,MIN(480,(INT(O243/100)-INT(VALUE(H243)/100))*12+MOD(O243,100)-MOD(VALUE(H243),100))))</f>
        <v/>
      </c>
      <c r="AB243">
        <f>IF(AND(AA243&gt;0,AA243&lt;=24),1,0)</f>
        <v/>
      </c>
      <c r="AC243" s="25">
        <f>IF(OR(P243="",NOT(ISNUMBER(P243))),0,MAX(0,MIN(24,(INT(VALUE(H243)/100)-INT(P243/100))*12+MOD(VALUE(H243),100)-MOD(P243,100))))</f>
        <v/>
      </c>
      <c r="AD243" s="23">
        <f>LN(1+I243)</f>
        <v/>
      </c>
      <c r="AE243">
        <f>IF(I243&lt;2000000,1,0)</f>
        <v/>
      </c>
      <c r="AF243">
        <f>IF(I243&gt;50000000,1,0)</f>
        <v/>
      </c>
      <c r="AG243" s="23">
        <f>IF(ISNUMBER(M243),N243/MAX(M243,1),0)</f>
        <v/>
      </c>
      <c r="AH243">
        <f>IF(G243&gt;=2021,1,0)</f>
        <v/>
      </c>
      <c r="AI243">
        <f>S243</f>
        <v/>
      </c>
      <c r="AJ243">
        <f>T243</f>
        <v/>
      </c>
      <c r="AK243">
        <f>R243</f>
        <v/>
      </c>
      <c r="AL243">
        <f>U243</f>
        <v/>
      </c>
      <c r="AM243">
        <f>IF(ISNUMBER(SEARCH("CAPITAL FUNDING",D243)),1,0)</f>
        <v/>
      </c>
      <c r="AN243">
        <f>IF(ISNUMBER(SEARCH("PNC",D243)),1,0)</f>
        <v/>
      </c>
      <c r="AO243">
        <f>IF(ISNUMBER(SEARCH("WELLS FARGO",D243)),1,0)</f>
        <v/>
      </c>
      <c r="AP243">
        <f>IF(ISNUMBER(SEARCH("DWIGHT",D243)),1,0)</f>
        <v/>
      </c>
      <c r="AQ243">
        <f>IF(ISNUMBER(SEARCH("GREYSTONE",D243)),1,0)</f>
        <v/>
      </c>
      <c r="AR243">
        <f>IF(OR(Q243="3896",Q243="3557"),1,0)</f>
        <v/>
      </c>
      <c r="AS243" s="24">
        <f>V243*W243</f>
        <v/>
      </c>
      <c r="AT243" s="26">
        <f>V$4*(V243-V$3)</f>
        <v/>
      </c>
      <c r="AU243" s="26">
        <f>W$4*(W243-W$3)</f>
        <v/>
      </c>
      <c r="AV243" s="26">
        <f>X$4*(X243-X$3)</f>
        <v/>
      </c>
      <c r="AW243" s="26">
        <f>Y$4*(Y243-Y$3)</f>
        <v/>
      </c>
      <c r="AX243" s="26">
        <f>Z$4*(Z243-Z$3)</f>
        <v/>
      </c>
      <c r="AY243" s="26">
        <f>AA$4*(AA243-AA$3)</f>
        <v/>
      </c>
      <c r="AZ243" s="26">
        <f>AB$4*(AB243-AB$3)</f>
        <v/>
      </c>
      <c r="BA243" s="26">
        <f>AC$4*(AC243-AC$3)</f>
        <v/>
      </c>
      <c r="BB243" s="26">
        <f>AD$4*(AD243-AD$3)</f>
        <v/>
      </c>
      <c r="BC243" s="26">
        <f>AE$4*(AE243-AE$3)</f>
        <v/>
      </c>
      <c r="BD243" s="26">
        <f>AF$4*(AF243-AF$3)</f>
        <v/>
      </c>
      <c r="BE243" s="26">
        <f>AG$4*(AG243-AG$3)</f>
        <v/>
      </c>
      <c r="BF243" s="26">
        <f>AH$4*(AH243-AH$3)</f>
        <v/>
      </c>
      <c r="BG243" s="26">
        <f>AI$4*(AI243-AI$3)</f>
        <v/>
      </c>
      <c r="BH243" s="26">
        <f>AJ$4*(AJ243-AJ$3)</f>
        <v/>
      </c>
      <c r="BI243" s="26">
        <f>AK$4*(AK243-AK$3)</f>
        <v/>
      </c>
      <c r="BJ243" s="26">
        <f>AL$4*(AL243-AL$3)</f>
        <v/>
      </c>
      <c r="BK243" s="26">
        <f>AM$4*(AM243-AM$3)</f>
        <v/>
      </c>
      <c r="BL243" s="26">
        <f>AN$4*(AN243-AN$3)</f>
        <v/>
      </c>
      <c r="BM243" s="26">
        <f>AO$4*(AO243-AO$3)</f>
        <v/>
      </c>
      <c r="BN243" s="26">
        <f>AP$4*(AP243-AP$3)</f>
        <v/>
      </c>
      <c r="BO243" s="26">
        <f>AQ$4*(AQ243-AQ$3)</f>
        <v/>
      </c>
      <c r="BP243" s="26">
        <f>AR$4*(AR243-AR$3)</f>
        <v/>
      </c>
      <c r="BQ243" s="26">
        <f>AS$4*(AS243-AS$3)</f>
        <v/>
      </c>
      <c r="BR243" s="27">
        <f>SUM(AT243:BQ243)</f>
        <v/>
      </c>
      <c r="BS243" s="27">
        <f>INTERCEPT_SCALED+BR243</f>
        <v/>
      </c>
      <c r="BT243" s="28">
        <f>1/(1+EXP(-BS243))</f>
        <v/>
      </c>
      <c r="BU243" s="13">
        <f>1-(1-BT243)^12</f>
        <v/>
      </c>
      <c r="BV243" s="13">
        <f>IFERROR(AT243/BR243*(BU243-BASELINE_CPR),0)</f>
        <v/>
      </c>
      <c r="BW243" s="13">
        <f>IFERROR(AU243/BR243*(BU243-BASELINE_CPR),0)</f>
        <v/>
      </c>
      <c r="BX243" s="13">
        <f>IFERROR(AV243/BR243*(BU243-BASELINE_CPR),0)</f>
        <v/>
      </c>
      <c r="BY243" s="13">
        <f>IFERROR(AW243/BR243*(BU243-BASELINE_CPR),0)</f>
        <v/>
      </c>
      <c r="BZ243" s="13">
        <f>IFERROR(AX243/BR243*(BU243-BASELINE_CPR),0)</f>
        <v/>
      </c>
      <c r="CA243" s="13">
        <f>IFERROR(AY243/BR243*(BU243-BASELINE_CPR),0)</f>
        <v/>
      </c>
      <c r="CB243" s="13">
        <f>IFERROR(AZ243/BR243*(BU243-BASELINE_CPR),0)</f>
        <v/>
      </c>
      <c r="CC243" s="13">
        <f>IFERROR(BA243/BR243*(BU243-BASELINE_CPR),0)</f>
        <v/>
      </c>
      <c r="CD243" s="13">
        <f>IFERROR(BB243/BR243*(BU243-BASELINE_CPR),0)</f>
        <v/>
      </c>
      <c r="CE243" s="13">
        <f>IFERROR(BC243/BR243*(BU243-BASELINE_CPR),0)</f>
        <v/>
      </c>
      <c r="CF243" s="13">
        <f>IFERROR(BD243/BR243*(BU243-BASELINE_CPR),0)</f>
        <v/>
      </c>
      <c r="CG243" s="13">
        <f>IFERROR(BE243/BR243*(BU243-BASELINE_CPR),0)</f>
        <v/>
      </c>
      <c r="CH243" s="13">
        <f>IFERROR(BF243/BR243*(BU243-BASELINE_CPR),0)</f>
        <v/>
      </c>
      <c r="CI243" s="13">
        <f>IFERROR(BG243/BR243*(BU243-BASELINE_CPR),0)</f>
        <v/>
      </c>
      <c r="CJ243" s="13">
        <f>IFERROR(BH243/BR243*(BU243-BASELINE_CPR),0)</f>
        <v/>
      </c>
      <c r="CK243" s="13">
        <f>IFERROR(BI243/BR243*(BU243-BASELINE_CPR),0)</f>
        <v/>
      </c>
      <c r="CL243" s="13">
        <f>IFERROR(BJ243/BR243*(BU243-BASELINE_CPR),0)</f>
        <v/>
      </c>
      <c r="CM243" s="13">
        <f>IFERROR(BK243/BR243*(BU243-BASELINE_CPR),0)</f>
        <v/>
      </c>
      <c r="CN243" s="13">
        <f>IFERROR(BL243/BR243*(BU243-BASELINE_CPR),0)</f>
        <v/>
      </c>
      <c r="CO243" s="13">
        <f>IFERROR(BM243/BR243*(BU243-BASELINE_CPR),0)</f>
        <v/>
      </c>
      <c r="CP243" s="13">
        <f>IFERROR(BN243/BR243*(BU243-BASELINE_CPR),0)</f>
        <v/>
      </c>
      <c r="CQ243" s="13">
        <f>IFERROR(BO243/BR243*(BU243-BASELINE_CPR),0)</f>
        <v/>
      </c>
      <c r="CR243" s="13">
        <f>IFERROR(BP243/BR243*(BU243-BASELINE_CPR),0)</f>
        <v/>
      </c>
      <c r="CS243" s="13">
        <f>IFERROR(BQ243/BR243*(BU243-BASELINE_CPR),0)</f>
        <v/>
      </c>
      <c r="CT243" s="29">
        <f>BASELINE_CPR+SUM(BV243:CS243)-BU243</f>
        <v/>
      </c>
    </row>
    <row r="244">
      <c r="A244" s="2" t="inlineStr">
        <is>
          <t>3617J2LD3_022059807196924</t>
        </is>
      </c>
      <c r="B244" t="inlineStr">
        <is>
          <t>BELLWETHER_PRE21</t>
        </is>
      </c>
      <c r="C244" s="2" t="inlineStr">
        <is>
          <t>3617J2LD3</t>
        </is>
      </c>
      <c r="D244" t="inlineStr">
        <is>
          <t>BELLWETHER ENTERPRISE REAL ESTATE CAPITA</t>
        </is>
      </c>
      <c r="E244" t="inlineStr">
        <is>
          <t>538</t>
        </is>
      </c>
      <c r="F244" t="inlineStr">
        <is>
          <t>538</t>
        </is>
      </c>
      <c r="G244" t="n">
        <v>2018</v>
      </c>
      <c r="H244" t="inlineStr">
        <is>
          <t>202602</t>
        </is>
      </c>
      <c r="I244" s="22" t="n">
        <v>4774266.46</v>
      </c>
      <c r="J244" s="23" t="n">
        <v>5.18</v>
      </c>
      <c r="K244" s="24" t="n">
        <v>447</v>
      </c>
      <c r="L244" s="24" t="n">
        <v>5</v>
      </c>
      <c r="M244" t="n">
        <v>87</v>
      </c>
      <c r="N244" t="n">
        <v>13</v>
      </c>
      <c r="O244" t="n">
        <v>205811</v>
      </c>
      <c r="P244" t="inlineStr"/>
      <c r="Q244" t="inlineStr">
        <is>
          <t>4067</t>
        </is>
      </c>
      <c r="R244" t="n">
        <v>0</v>
      </c>
      <c r="S244" t="n">
        <v>0</v>
      </c>
      <c r="T244" t="n">
        <v>1</v>
      </c>
      <c r="U244" t="n">
        <v>0</v>
      </c>
      <c r="V244" s="24">
        <f>J244*100-K244</f>
        <v/>
      </c>
      <c r="W244" s="24">
        <f>L244</f>
        <v/>
      </c>
      <c r="X244" s="25">
        <f>MIN(M244,36)</f>
        <v/>
      </c>
      <c r="Y244" s="25">
        <f>MIN(MAX(M244-36,0),84)</f>
        <v/>
      </c>
      <c r="Z244" s="25">
        <f>MAX(M244-120,0)</f>
        <v/>
      </c>
      <c r="AA244" s="25">
        <f>IF(OR(O244="",NOT(ISNUMBER(O244))),360,MAX(0,MIN(480,(INT(O244/100)-INT(VALUE(H244)/100))*12+MOD(O244,100)-MOD(VALUE(H244),100))))</f>
        <v/>
      </c>
      <c r="AB244">
        <f>IF(AND(AA244&gt;0,AA244&lt;=24),1,0)</f>
        <v/>
      </c>
      <c r="AC244" s="25">
        <f>IF(OR(P244="",NOT(ISNUMBER(P244))),0,MAX(0,MIN(24,(INT(VALUE(H244)/100)-INT(P244/100))*12+MOD(VALUE(H244),100)-MOD(P244,100))))</f>
        <v/>
      </c>
      <c r="AD244" s="23">
        <f>LN(1+I244)</f>
        <v/>
      </c>
      <c r="AE244">
        <f>IF(I244&lt;2000000,1,0)</f>
        <v/>
      </c>
      <c r="AF244">
        <f>IF(I244&gt;50000000,1,0)</f>
        <v/>
      </c>
      <c r="AG244" s="23">
        <f>IF(ISNUMBER(M244),N244/MAX(M244,1),0)</f>
        <v/>
      </c>
      <c r="AH244">
        <f>IF(G244&gt;=2021,1,0)</f>
        <v/>
      </c>
      <c r="AI244">
        <f>S244</f>
        <v/>
      </c>
      <c r="AJ244">
        <f>T244</f>
        <v/>
      </c>
      <c r="AK244">
        <f>R244</f>
        <v/>
      </c>
      <c r="AL244">
        <f>U244</f>
        <v/>
      </c>
      <c r="AM244">
        <f>IF(ISNUMBER(SEARCH("CAPITAL FUNDING",D244)),1,0)</f>
        <v/>
      </c>
      <c r="AN244">
        <f>IF(ISNUMBER(SEARCH("PNC",D244)),1,0)</f>
        <v/>
      </c>
      <c r="AO244">
        <f>IF(ISNUMBER(SEARCH("WELLS FARGO",D244)),1,0)</f>
        <v/>
      </c>
      <c r="AP244">
        <f>IF(ISNUMBER(SEARCH("DWIGHT",D244)),1,0)</f>
        <v/>
      </c>
      <c r="AQ244">
        <f>IF(ISNUMBER(SEARCH("GREYSTONE",D244)),1,0)</f>
        <v/>
      </c>
      <c r="AR244">
        <f>IF(OR(Q244="3896",Q244="3557"),1,0)</f>
        <v/>
      </c>
      <c r="AS244" s="24">
        <f>V244*W244</f>
        <v/>
      </c>
      <c r="AT244" s="26">
        <f>V$4*(V244-V$3)</f>
        <v/>
      </c>
      <c r="AU244" s="26">
        <f>W$4*(W244-W$3)</f>
        <v/>
      </c>
      <c r="AV244" s="26">
        <f>X$4*(X244-X$3)</f>
        <v/>
      </c>
      <c r="AW244" s="26">
        <f>Y$4*(Y244-Y$3)</f>
        <v/>
      </c>
      <c r="AX244" s="26">
        <f>Z$4*(Z244-Z$3)</f>
        <v/>
      </c>
      <c r="AY244" s="26">
        <f>AA$4*(AA244-AA$3)</f>
        <v/>
      </c>
      <c r="AZ244" s="26">
        <f>AB$4*(AB244-AB$3)</f>
        <v/>
      </c>
      <c r="BA244" s="26">
        <f>AC$4*(AC244-AC$3)</f>
        <v/>
      </c>
      <c r="BB244" s="26">
        <f>AD$4*(AD244-AD$3)</f>
        <v/>
      </c>
      <c r="BC244" s="26">
        <f>AE$4*(AE244-AE$3)</f>
        <v/>
      </c>
      <c r="BD244" s="26">
        <f>AF$4*(AF244-AF$3)</f>
        <v/>
      </c>
      <c r="BE244" s="26">
        <f>AG$4*(AG244-AG$3)</f>
        <v/>
      </c>
      <c r="BF244" s="26">
        <f>AH$4*(AH244-AH$3)</f>
        <v/>
      </c>
      <c r="BG244" s="26">
        <f>AI$4*(AI244-AI$3)</f>
        <v/>
      </c>
      <c r="BH244" s="26">
        <f>AJ$4*(AJ244-AJ$3)</f>
        <v/>
      </c>
      <c r="BI244" s="26">
        <f>AK$4*(AK244-AK$3)</f>
        <v/>
      </c>
      <c r="BJ244" s="26">
        <f>AL$4*(AL244-AL$3)</f>
        <v/>
      </c>
      <c r="BK244" s="26">
        <f>AM$4*(AM244-AM$3)</f>
        <v/>
      </c>
      <c r="BL244" s="26">
        <f>AN$4*(AN244-AN$3)</f>
        <v/>
      </c>
      <c r="BM244" s="26">
        <f>AO$4*(AO244-AO$3)</f>
        <v/>
      </c>
      <c r="BN244" s="26">
        <f>AP$4*(AP244-AP$3)</f>
        <v/>
      </c>
      <c r="BO244" s="26">
        <f>AQ$4*(AQ244-AQ$3)</f>
        <v/>
      </c>
      <c r="BP244" s="26">
        <f>AR$4*(AR244-AR$3)</f>
        <v/>
      </c>
      <c r="BQ244" s="26">
        <f>AS$4*(AS244-AS$3)</f>
        <v/>
      </c>
      <c r="BR244" s="27">
        <f>SUM(AT244:BQ244)</f>
        <v/>
      </c>
      <c r="BS244" s="27">
        <f>INTERCEPT_SCALED+BR244</f>
        <v/>
      </c>
      <c r="BT244" s="28">
        <f>1/(1+EXP(-BS244))</f>
        <v/>
      </c>
      <c r="BU244" s="13">
        <f>1-(1-BT244)^12</f>
        <v/>
      </c>
      <c r="BV244" s="13">
        <f>IFERROR(AT244/BR244*(BU244-BASELINE_CPR),0)</f>
        <v/>
      </c>
      <c r="BW244" s="13">
        <f>IFERROR(AU244/BR244*(BU244-BASELINE_CPR),0)</f>
        <v/>
      </c>
      <c r="BX244" s="13">
        <f>IFERROR(AV244/BR244*(BU244-BASELINE_CPR),0)</f>
        <v/>
      </c>
      <c r="BY244" s="13">
        <f>IFERROR(AW244/BR244*(BU244-BASELINE_CPR),0)</f>
        <v/>
      </c>
      <c r="BZ244" s="13">
        <f>IFERROR(AX244/BR244*(BU244-BASELINE_CPR),0)</f>
        <v/>
      </c>
      <c r="CA244" s="13">
        <f>IFERROR(AY244/BR244*(BU244-BASELINE_CPR),0)</f>
        <v/>
      </c>
      <c r="CB244" s="13">
        <f>IFERROR(AZ244/BR244*(BU244-BASELINE_CPR),0)</f>
        <v/>
      </c>
      <c r="CC244" s="13">
        <f>IFERROR(BA244/BR244*(BU244-BASELINE_CPR),0)</f>
        <v/>
      </c>
      <c r="CD244" s="13">
        <f>IFERROR(BB244/BR244*(BU244-BASELINE_CPR),0)</f>
        <v/>
      </c>
      <c r="CE244" s="13">
        <f>IFERROR(BC244/BR244*(BU244-BASELINE_CPR),0)</f>
        <v/>
      </c>
      <c r="CF244" s="13">
        <f>IFERROR(BD244/BR244*(BU244-BASELINE_CPR),0)</f>
        <v/>
      </c>
      <c r="CG244" s="13">
        <f>IFERROR(BE244/BR244*(BU244-BASELINE_CPR),0)</f>
        <v/>
      </c>
      <c r="CH244" s="13">
        <f>IFERROR(BF244/BR244*(BU244-BASELINE_CPR),0)</f>
        <v/>
      </c>
      <c r="CI244" s="13">
        <f>IFERROR(BG244/BR244*(BU244-BASELINE_CPR),0)</f>
        <v/>
      </c>
      <c r="CJ244" s="13">
        <f>IFERROR(BH244/BR244*(BU244-BASELINE_CPR),0)</f>
        <v/>
      </c>
      <c r="CK244" s="13">
        <f>IFERROR(BI244/BR244*(BU244-BASELINE_CPR),0)</f>
        <v/>
      </c>
      <c r="CL244" s="13">
        <f>IFERROR(BJ244/BR244*(BU244-BASELINE_CPR),0)</f>
        <v/>
      </c>
      <c r="CM244" s="13">
        <f>IFERROR(BK244/BR244*(BU244-BASELINE_CPR),0)</f>
        <v/>
      </c>
      <c r="CN244" s="13">
        <f>IFERROR(BL244/BR244*(BU244-BASELINE_CPR),0)</f>
        <v/>
      </c>
      <c r="CO244" s="13">
        <f>IFERROR(BM244/BR244*(BU244-BASELINE_CPR),0)</f>
        <v/>
      </c>
      <c r="CP244" s="13">
        <f>IFERROR(BN244/BR244*(BU244-BASELINE_CPR),0)</f>
        <v/>
      </c>
      <c r="CQ244" s="13">
        <f>IFERROR(BO244/BR244*(BU244-BASELINE_CPR),0)</f>
        <v/>
      </c>
      <c r="CR244" s="13">
        <f>IFERROR(BP244/BR244*(BU244-BASELINE_CPR),0)</f>
        <v/>
      </c>
      <c r="CS244" s="13">
        <f>IFERROR(BQ244/BR244*(BU244-BASELINE_CPR),0)</f>
        <v/>
      </c>
      <c r="CT244" s="29">
        <f>BASELINE_CPR+SUM(BV244:CS244)-BU244</f>
        <v/>
      </c>
    </row>
    <row r="245">
      <c r="A245" s="2" t="inlineStr">
        <is>
          <t>3617N3LE4_480780170490734</t>
        </is>
      </c>
      <c r="B245" t="inlineStr">
        <is>
          <t>BELLWETHER_PRE21</t>
        </is>
      </c>
      <c r="C245" s="2" t="inlineStr">
        <is>
          <t>3617N3LE4</t>
        </is>
      </c>
      <c r="D245" t="inlineStr">
        <is>
          <t>BELLWETHER ENTERPRISE REAL ESTATE CAPITA</t>
        </is>
      </c>
      <c r="E245" t="inlineStr">
        <is>
          <t>538</t>
        </is>
      </c>
      <c r="F245" t="inlineStr">
        <is>
          <t>538</t>
        </is>
      </c>
      <c r="G245" t="n">
        <v>2020</v>
      </c>
      <c r="H245" t="inlineStr">
        <is>
          <t>202602</t>
        </is>
      </c>
      <c r="I245" s="22" t="n">
        <v>2710215.67</v>
      </c>
      <c r="J245" s="23" t="n">
        <v>3.78</v>
      </c>
      <c r="K245" s="24" t="n">
        <v>447</v>
      </c>
      <c r="L245" s="24" t="n">
        <v>6</v>
      </c>
      <c r="M245" t="n">
        <v>67</v>
      </c>
      <c r="N245" t="n">
        <v>24</v>
      </c>
      <c r="O245" t="n">
        <v>206008</v>
      </c>
      <c r="P245" t="n">
        <v>202108</v>
      </c>
      <c r="Q245" t="inlineStr">
        <is>
          <t>4067</t>
        </is>
      </c>
      <c r="R245" t="n">
        <v>0</v>
      </c>
      <c r="S245" t="n">
        <v>0</v>
      </c>
      <c r="T245" t="n">
        <v>1</v>
      </c>
      <c r="U245" t="n">
        <v>0</v>
      </c>
      <c r="V245" s="24">
        <f>J245*100-K245</f>
        <v/>
      </c>
      <c r="W245" s="24">
        <f>L245</f>
        <v/>
      </c>
      <c r="X245" s="25">
        <f>MIN(M245,36)</f>
        <v/>
      </c>
      <c r="Y245" s="25">
        <f>MIN(MAX(M245-36,0),84)</f>
        <v/>
      </c>
      <c r="Z245" s="25">
        <f>MAX(M245-120,0)</f>
        <v/>
      </c>
      <c r="AA245" s="25">
        <f>IF(OR(O245="",NOT(ISNUMBER(O245))),360,MAX(0,MIN(480,(INT(O245/100)-INT(VALUE(H245)/100))*12+MOD(O245,100)-MOD(VALUE(H245),100))))</f>
        <v/>
      </c>
      <c r="AB245">
        <f>IF(AND(AA245&gt;0,AA245&lt;=24),1,0)</f>
        <v/>
      </c>
      <c r="AC245" s="25">
        <f>IF(OR(P245="",NOT(ISNUMBER(P245))),0,MAX(0,MIN(24,(INT(VALUE(H245)/100)-INT(P245/100))*12+MOD(VALUE(H245),100)-MOD(P245,100))))</f>
        <v/>
      </c>
      <c r="AD245" s="23">
        <f>LN(1+I245)</f>
        <v/>
      </c>
      <c r="AE245">
        <f>IF(I245&lt;2000000,1,0)</f>
        <v/>
      </c>
      <c r="AF245">
        <f>IF(I245&gt;50000000,1,0)</f>
        <v/>
      </c>
      <c r="AG245" s="23">
        <f>IF(ISNUMBER(M245),N245/MAX(M245,1),0)</f>
        <v/>
      </c>
      <c r="AH245">
        <f>IF(G245&gt;=2021,1,0)</f>
        <v/>
      </c>
      <c r="AI245">
        <f>S245</f>
        <v/>
      </c>
      <c r="AJ245">
        <f>T245</f>
        <v/>
      </c>
      <c r="AK245">
        <f>R245</f>
        <v/>
      </c>
      <c r="AL245">
        <f>U245</f>
        <v/>
      </c>
      <c r="AM245">
        <f>IF(ISNUMBER(SEARCH("CAPITAL FUNDING",D245)),1,0)</f>
        <v/>
      </c>
      <c r="AN245">
        <f>IF(ISNUMBER(SEARCH("PNC",D245)),1,0)</f>
        <v/>
      </c>
      <c r="AO245">
        <f>IF(ISNUMBER(SEARCH("WELLS FARGO",D245)),1,0)</f>
        <v/>
      </c>
      <c r="AP245">
        <f>IF(ISNUMBER(SEARCH("DWIGHT",D245)),1,0)</f>
        <v/>
      </c>
      <c r="AQ245">
        <f>IF(ISNUMBER(SEARCH("GREYSTONE",D245)),1,0)</f>
        <v/>
      </c>
      <c r="AR245">
        <f>IF(OR(Q245="3896",Q245="3557"),1,0)</f>
        <v/>
      </c>
      <c r="AS245" s="24">
        <f>V245*W245</f>
        <v/>
      </c>
      <c r="AT245" s="26">
        <f>V$4*(V245-V$3)</f>
        <v/>
      </c>
      <c r="AU245" s="26">
        <f>W$4*(W245-W$3)</f>
        <v/>
      </c>
      <c r="AV245" s="26">
        <f>X$4*(X245-X$3)</f>
        <v/>
      </c>
      <c r="AW245" s="26">
        <f>Y$4*(Y245-Y$3)</f>
        <v/>
      </c>
      <c r="AX245" s="26">
        <f>Z$4*(Z245-Z$3)</f>
        <v/>
      </c>
      <c r="AY245" s="26">
        <f>AA$4*(AA245-AA$3)</f>
        <v/>
      </c>
      <c r="AZ245" s="26">
        <f>AB$4*(AB245-AB$3)</f>
        <v/>
      </c>
      <c r="BA245" s="26">
        <f>AC$4*(AC245-AC$3)</f>
        <v/>
      </c>
      <c r="BB245" s="26">
        <f>AD$4*(AD245-AD$3)</f>
        <v/>
      </c>
      <c r="BC245" s="26">
        <f>AE$4*(AE245-AE$3)</f>
        <v/>
      </c>
      <c r="BD245" s="26">
        <f>AF$4*(AF245-AF$3)</f>
        <v/>
      </c>
      <c r="BE245" s="26">
        <f>AG$4*(AG245-AG$3)</f>
        <v/>
      </c>
      <c r="BF245" s="26">
        <f>AH$4*(AH245-AH$3)</f>
        <v/>
      </c>
      <c r="BG245" s="26">
        <f>AI$4*(AI245-AI$3)</f>
        <v/>
      </c>
      <c r="BH245" s="26">
        <f>AJ$4*(AJ245-AJ$3)</f>
        <v/>
      </c>
      <c r="BI245" s="26">
        <f>AK$4*(AK245-AK$3)</f>
        <v/>
      </c>
      <c r="BJ245" s="26">
        <f>AL$4*(AL245-AL$3)</f>
        <v/>
      </c>
      <c r="BK245" s="26">
        <f>AM$4*(AM245-AM$3)</f>
        <v/>
      </c>
      <c r="BL245" s="26">
        <f>AN$4*(AN245-AN$3)</f>
        <v/>
      </c>
      <c r="BM245" s="26">
        <f>AO$4*(AO245-AO$3)</f>
        <v/>
      </c>
      <c r="BN245" s="26">
        <f>AP$4*(AP245-AP$3)</f>
        <v/>
      </c>
      <c r="BO245" s="26">
        <f>AQ$4*(AQ245-AQ$3)</f>
        <v/>
      </c>
      <c r="BP245" s="26">
        <f>AR$4*(AR245-AR$3)</f>
        <v/>
      </c>
      <c r="BQ245" s="26">
        <f>AS$4*(AS245-AS$3)</f>
        <v/>
      </c>
      <c r="BR245" s="27">
        <f>SUM(AT245:BQ245)</f>
        <v/>
      </c>
      <c r="BS245" s="27">
        <f>INTERCEPT_SCALED+BR245</f>
        <v/>
      </c>
      <c r="BT245" s="28">
        <f>1/(1+EXP(-BS245))</f>
        <v/>
      </c>
      <c r="BU245" s="13">
        <f>1-(1-BT245)^12</f>
        <v/>
      </c>
      <c r="BV245" s="13">
        <f>IFERROR(AT245/BR245*(BU245-BASELINE_CPR),0)</f>
        <v/>
      </c>
      <c r="BW245" s="13">
        <f>IFERROR(AU245/BR245*(BU245-BASELINE_CPR),0)</f>
        <v/>
      </c>
      <c r="BX245" s="13">
        <f>IFERROR(AV245/BR245*(BU245-BASELINE_CPR),0)</f>
        <v/>
      </c>
      <c r="BY245" s="13">
        <f>IFERROR(AW245/BR245*(BU245-BASELINE_CPR),0)</f>
        <v/>
      </c>
      <c r="BZ245" s="13">
        <f>IFERROR(AX245/BR245*(BU245-BASELINE_CPR),0)</f>
        <v/>
      </c>
      <c r="CA245" s="13">
        <f>IFERROR(AY245/BR245*(BU245-BASELINE_CPR),0)</f>
        <v/>
      </c>
      <c r="CB245" s="13">
        <f>IFERROR(AZ245/BR245*(BU245-BASELINE_CPR),0)</f>
        <v/>
      </c>
      <c r="CC245" s="13">
        <f>IFERROR(BA245/BR245*(BU245-BASELINE_CPR),0)</f>
        <v/>
      </c>
      <c r="CD245" s="13">
        <f>IFERROR(BB245/BR245*(BU245-BASELINE_CPR),0)</f>
        <v/>
      </c>
      <c r="CE245" s="13">
        <f>IFERROR(BC245/BR245*(BU245-BASELINE_CPR),0)</f>
        <v/>
      </c>
      <c r="CF245" s="13">
        <f>IFERROR(BD245/BR245*(BU245-BASELINE_CPR),0)</f>
        <v/>
      </c>
      <c r="CG245" s="13">
        <f>IFERROR(BE245/BR245*(BU245-BASELINE_CPR),0)</f>
        <v/>
      </c>
      <c r="CH245" s="13">
        <f>IFERROR(BF245/BR245*(BU245-BASELINE_CPR),0)</f>
        <v/>
      </c>
      <c r="CI245" s="13">
        <f>IFERROR(BG245/BR245*(BU245-BASELINE_CPR),0)</f>
        <v/>
      </c>
      <c r="CJ245" s="13">
        <f>IFERROR(BH245/BR245*(BU245-BASELINE_CPR),0)</f>
        <v/>
      </c>
      <c r="CK245" s="13">
        <f>IFERROR(BI245/BR245*(BU245-BASELINE_CPR),0)</f>
        <v/>
      </c>
      <c r="CL245" s="13">
        <f>IFERROR(BJ245/BR245*(BU245-BASELINE_CPR),0)</f>
        <v/>
      </c>
      <c r="CM245" s="13">
        <f>IFERROR(BK245/BR245*(BU245-BASELINE_CPR),0)</f>
        <v/>
      </c>
      <c r="CN245" s="13">
        <f>IFERROR(BL245/BR245*(BU245-BASELINE_CPR),0)</f>
        <v/>
      </c>
      <c r="CO245" s="13">
        <f>IFERROR(BM245/BR245*(BU245-BASELINE_CPR),0)</f>
        <v/>
      </c>
      <c r="CP245" s="13">
        <f>IFERROR(BN245/BR245*(BU245-BASELINE_CPR),0)</f>
        <v/>
      </c>
      <c r="CQ245" s="13">
        <f>IFERROR(BO245/BR245*(BU245-BASELINE_CPR),0)</f>
        <v/>
      </c>
      <c r="CR245" s="13">
        <f>IFERROR(BP245/BR245*(BU245-BASELINE_CPR),0)</f>
        <v/>
      </c>
      <c r="CS245" s="13">
        <f>IFERROR(BQ245/BR245*(BU245-BASELINE_CPR),0)</f>
        <v/>
      </c>
      <c r="CT245" s="29">
        <f>BASELINE_CPR+SUM(BV245:CS245)-BU245</f>
        <v/>
      </c>
    </row>
    <row r="246">
      <c r="A246" s="2" t="inlineStr">
        <is>
          <t>3617FTUM8_460400851006696</t>
        </is>
      </c>
      <c r="B246" t="inlineStr">
        <is>
          <t>BELLWETHER_POST21</t>
        </is>
      </c>
      <c r="C246" s="2" t="inlineStr">
        <is>
          <t>3617FTUM8</t>
        </is>
      </c>
      <c r="D246" t="inlineStr">
        <is>
          <t>BELLWETHER ENTERPRISE REAL ESTATE CAPITA</t>
        </is>
      </c>
      <c r="E246" t="inlineStr">
        <is>
          <t>538</t>
        </is>
      </c>
      <c r="F246" t="inlineStr">
        <is>
          <t>538</t>
        </is>
      </c>
      <c r="G246" t="n">
        <v>2022</v>
      </c>
      <c r="H246" t="inlineStr">
        <is>
          <t>202602</t>
        </is>
      </c>
      <c r="I246" s="22" t="n">
        <v>1236900.2</v>
      </c>
      <c r="J246" s="23" t="n">
        <v>3.89</v>
      </c>
      <c r="K246" s="24" t="n">
        <v>447</v>
      </c>
      <c r="L246" s="24" t="n">
        <v>8</v>
      </c>
      <c r="M246" t="n">
        <v>38</v>
      </c>
      <c r="N246" t="n">
        <v>0</v>
      </c>
      <c r="O246" t="n">
        <v>205301</v>
      </c>
      <c r="P246" t="inlineStr"/>
      <c r="Q246" t="inlineStr">
        <is>
          <t>4067</t>
        </is>
      </c>
      <c r="R246" t="n">
        <v>0</v>
      </c>
      <c r="S246" t="n">
        <v>0</v>
      </c>
      <c r="T246" t="n">
        <v>1</v>
      </c>
      <c r="U246" t="n">
        <v>0</v>
      </c>
      <c r="V246" s="24">
        <f>J246*100-K246</f>
        <v/>
      </c>
      <c r="W246" s="24">
        <f>L246</f>
        <v/>
      </c>
      <c r="X246" s="25">
        <f>MIN(M246,36)</f>
        <v/>
      </c>
      <c r="Y246" s="25">
        <f>MIN(MAX(M246-36,0),84)</f>
        <v/>
      </c>
      <c r="Z246" s="25">
        <f>MAX(M246-120,0)</f>
        <v/>
      </c>
      <c r="AA246" s="25">
        <f>IF(OR(O246="",NOT(ISNUMBER(O246))),360,MAX(0,MIN(480,(INT(O246/100)-INT(VALUE(H246)/100))*12+MOD(O246,100)-MOD(VALUE(H246),100))))</f>
        <v/>
      </c>
      <c r="AB246">
        <f>IF(AND(AA246&gt;0,AA246&lt;=24),1,0)</f>
        <v/>
      </c>
      <c r="AC246" s="25">
        <f>IF(OR(P246="",NOT(ISNUMBER(P246))),0,MAX(0,MIN(24,(INT(VALUE(H246)/100)-INT(P246/100))*12+MOD(VALUE(H246),100)-MOD(P246,100))))</f>
        <v/>
      </c>
      <c r="AD246" s="23">
        <f>LN(1+I246)</f>
        <v/>
      </c>
      <c r="AE246">
        <f>IF(I246&lt;2000000,1,0)</f>
        <v/>
      </c>
      <c r="AF246">
        <f>IF(I246&gt;50000000,1,0)</f>
        <v/>
      </c>
      <c r="AG246" s="23">
        <f>IF(ISNUMBER(M246),N246/MAX(M246,1),0)</f>
        <v/>
      </c>
      <c r="AH246">
        <f>IF(G246&gt;=2021,1,0)</f>
        <v/>
      </c>
      <c r="AI246">
        <f>S246</f>
        <v/>
      </c>
      <c r="AJ246">
        <f>T246</f>
        <v/>
      </c>
      <c r="AK246">
        <f>R246</f>
        <v/>
      </c>
      <c r="AL246">
        <f>U246</f>
        <v/>
      </c>
      <c r="AM246">
        <f>IF(ISNUMBER(SEARCH("CAPITAL FUNDING",D246)),1,0)</f>
        <v/>
      </c>
      <c r="AN246">
        <f>IF(ISNUMBER(SEARCH("PNC",D246)),1,0)</f>
        <v/>
      </c>
      <c r="AO246">
        <f>IF(ISNUMBER(SEARCH("WELLS FARGO",D246)),1,0)</f>
        <v/>
      </c>
      <c r="AP246">
        <f>IF(ISNUMBER(SEARCH("DWIGHT",D246)),1,0)</f>
        <v/>
      </c>
      <c r="AQ246">
        <f>IF(ISNUMBER(SEARCH("GREYSTONE",D246)),1,0)</f>
        <v/>
      </c>
      <c r="AR246">
        <f>IF(OR(Q246="3896",Q246="3557"),1,0)</f>
        <v/>
      </c>
      <c r="AS246" s="24">
        <f>V246*W246</f>
        <v/>
      </c>
      <c r="AT246" s="26">
        <f>V$4*(V246-V$3)</f>
        <v/>
      </c>
      <c r="AU246" s="26">
        <f>W$4*(W246-W$3)</f>
        <v/>
      </c>
      <c r="AV246" s="26">
        <f>X$4*(X246-X$3)</f>
        <v/>
      </c>
      <c r="AW246" s="26">
        <f>Y$4*(Y246-Y$3)</f>
        <v/>
      </c>
      <c r="AX246" s="26">
        <f>Z$4*(Z246-Z$3)</f>
        <v/>
      </c>
      <c r="AY246" s="26">
        <f>AA$4*(AA246-AA$3)</f>
        <v/>
      </c>
      <c r="AZ246" s="26">
        <f>AB$4*(AB246-AB$3)</f>
        <v/>
      </c>
      <c r="BA246" s="26">
        <f>AC$4*(AC246-AC$3)</f>
        <v/>
      </c>
      <c r="BB246" s="26">
        <f>AD$4*(AD246-AD$3)</f>
        <v/>
      </c>
      <c r="BC246" s="26">
        <f>AE$4*(AE246-AE$3)</f>
        <v/>
      </c>
      <c r="BD246" s="26">
        <f>AF$4*(AF246-AF$3)</f>
        <v/>
      </c>
      <c r="BE246" s="26">
        <f>AG$4*(AG246-AG$3)</f>
        <v/>
      </c>
      <c r="BF246" s="26">
        <f>AH$4*(AH246-AH$3)</f>
        <v/>
      </c>
      <c r="BG246" s="26">
        <f>AI$4*(AI246-AI$3)</f>
        <v/>
      </c>
      <c r="BH246" s="26">
        <f>AJ$4*(AJ246-AJ$3)</f>
        <v/>
      </c>
      <c r="BI246" s="26">
        <f>AK$4*(AK246-AK$3)</f>
        <v/>
      </c>
      <c r="BJ246" s="26">
        <f>AL$4*(AL246-AL$3)</f>
        <v/>
      </c>
      <c r="BK246" s="26">
        <f>AM$4*(AM246-AM$3)</f>
        <v/>
      </c>
      <c r="BL246" s="26">
        <f>AN$4*(AN246-AN$3)</f>
        <v/>
      </c>
      <c r="BM246" s="26">
        <f>AO$4*(AO246-AO$3)</f>
        <v/>
      </c>
      <c r="BN246" s="26">
        <f>AP$4*(AP246-AP$3)</f>
        <v/>
      </c>
      <c r="BO246" s="26">
        <f>AQ$4*(AQ246-AQ$3)</f>
        <v/>
      </c>
      <c r="BP246" s="26">
        <f>AR$4*(AR246-AR$3)</f>
        <v/>
      </c>
      <c r="BQ246" s="26">
        <f>AS$4*(AS246-AS$3)</f>
        <v/>
      </c>
      <c r="BR246" s="27">
        <f>SUM(AT246:BQ246)</f>
        <v/>
      </c>
      <c r="BS246" s="27">
        <f>INTERCEPT_SCALED+BR246</f>
        <v/>
      </c>
      <c r="BT246" s="28">
        <f>1/(1+EXP(-BS246))</f>
        <v/>
      </c>
      <c r="BU246" s="13">
        <f>1-(1-BT246)^12</f>
        <v/>
      </c>
      <c r="BV246" s="13">
        <f>IFERROR(AT246/BR246*(BU246-BASELINE_CPR),0)</f>
        <v/>
      </c>
      <c r="BW246" s="13">
        <f>IFERROR(AU246/BR246*(BU246-BASELINE_CPR),0)</f>
        <v/>
      </c>
      <c r="BX246" s="13">
        <f>IFERROR(AV246/BR246*(BU246-BASELINE_CPR),0)</f>
        <v/>
      </c>
      <c r="BY246" s="13">
        <f>IFERROR(AW246/BR246*(BU246-BASELINE_CPR),0)</f>
        <v/>
      </c>
      <c r="BZ246" s="13">
        <f>IFERROR(AX246/BR246*(BU246-BASELINE_CPR),0)</f>
        <v/>
      </c>
      <c r="CA246" s="13">
        <f>IFERROR(AY246/BR246*(BU246-BASELINE_CPR),0)</f>
        <v/>
      </c>
      <c r="CB246" s="13">
        <f>IFERROR(AZ246/BR246*(BU246-BASELINE_CPR),0)</f>
        <v/>
      </c>
      <c r="CC246" s="13">
        <f>IFERROR(BA246/BR246*(BU246-BASELINE_CPR),0)</f>
        <v/>
      </c>
      <c r="CD246" s="13">
        <f>IFERROR(BB246/BR246*(BU246-BASELINE_CPR),0)</f>
        <v/>
      </c>
      <c r="CE246" s="13">
        <f>IFERROR(BC246/BR246*(BU246-BASELINE_CPR),0)</f>
        <v/>
      </c>
      <c r="CF246" s="13">
        <f>IFERROR(BD246/BR246*(BU246-BASELINE_CPR),0)</f>
        <v/>
      </c>
      <c r="CG246" s="13">
        <f>IFERROR(BE246/BR246*(BU246-BASELINE_CPR),0)</f>
        <v/>
      </c>
      <c r="CH246" s="13">
        <f>IFERROR(BF246/BR246*(BU246-BASELINE_CPR),0)</f>
        <v/>
      </c>
      <c r="CI246" s="13">
        <f>IFERROR(BG246/BR246*(BU246-BASELINE_CPR),0)</f>
        <v/>
      </c>
      <c r="CJ246" s="13">
        <f>IFERROR(BH246/BR246*(BU246-BASELINE_CPR),0)</f>
        <v/>
      </c>
      <c r="CK246" s="13">
        <f>IFERROR(BI246/BR246*(BU246-BASELINE_CPR),0)</f>
        <v/>
      </c>
      <c r="CL246" s="13">
        <f>IFERROR(BJ246/BR246*(BU246-BASELINE_CPR),0)</f>
        <v/>
      </c>
      <c r="CM246" s="13">
        <f>IFERROR(BK246/BR246*(BU246-BASELINE_CPR),0)</f>
        <v/>
      </c>
      <c r="CN246" s="13">
        <f>IFERROR(BL246/BR246*(BU246-BASELINE_CPR),0)</f>
        <v/>
      </c>
      <c r="CO246" s="13">
        <f>IFERROR(BM246/BR246*(BU246-BASELINE_CPR),0)</f>
        <v/>
      </c>
      <c r="CP246" s="13">
        <f>IFERROR(BN246/BR246*(BU246-BASELINE_CPR),0)</f>
        <v/>
      </c>
      <c r="CQ246" s="13">
        <f>IFERROR(BO246/BR246*(BU246-BASELINE_CPR),0)</f>
        <v/>
      </c>
      <c r="CR246" s="13">
        <f>IFERROR(BP246/BR246*(BU246-BASELINE_CPR),0)</f>
        <v/>
      </c>
      <c r="CS246" s="13">
        <f>IFERROR(BQ246/BR246*(BU246-BASELINE_CPR),0)</f>
        <v/>
      </c>
      <c r="CT246" s="29">
        <f>BASELINE_CPR+SUM(BV246:CS246)-BU246</f>
        <v/>
      </c>
    </row>
    <row r="247">
      <c r="A247" s="2" t="inlineStr">
        <is>
          <t>36184HR55_000000006411084</t>
        </is>
      </c>
      <c r="B247" t="inlineStr">
        <is>
          <t>PGIM_PRE21</t>
        </is>
      </c>
      <c r="C247" s="2" t="inlineStr">
        <is>
          <t>36184HR55</t>
        </is>
      </c>
      <c r="D247" t="inlineStr">
        <is>
          <t>PGIM REAL ESTATE AGENCY FINANCING, LLC.</t>
        </is>
      </c>
      <c r="E247" t="inlineStr">
        <is>
          <t>223f</t>
        </is>
      </c>
      <c r="F247" t="inlineStr">
        <is>
          <t>RP</t>
        </is>
      </c>
      <c r="G247" t="n">
        <v>2009</v>
      </c>
      <c r="H247" t="inlineStr">
        <is>
          <t>202602</t>
        </is>
      </c>
      <c r="I247" s="22" t="n">
        <v>2217499.69</v>
      </c>
      <c r="J247" s="23" t="n">
        <v>3.77</v>
      </c>
      <c r="K247" s="24" t="n">
        <v>447</v>
      </c>
      <c r="L247" s="24" t="n">
        <v>0</v>
      </c>
      <c r="M247" t="n">
        <v>205</v>
      </c>
      <c r="N247" t="n">
        <v>33</v>
      </c>
      <c r="O247" t="n">
        <v>204402</v>
      </c>
      <c r="P247" t="inlineStr"/>
      <c r="Q247" t="inlineStr">
        <is>
          <t>3153</t>
        </is>
      </c>
      <c r="R247" t="n">
        <v>0</v>
      </c>
      <c r="S247" t="n">
        <v>0</v>
      </c>
      <c r="T247" t="n">
        <v>0</v>
      </c>
      <c r="U247" t="n">
        <v>0</v>
      </c>
      <c r="V247" s="24">
        <f>J247*100-K247</f>
        <v/>
      </c>
      <c r="W247" s="24">
        <f>L247</f>
        <v/>
      </c>
      <c r="X247" s="25">
        <f>MIN(M247,36)</f>
        <v/>
      </c>
      <c r="Y247" s="25">
        <f>MIN(MAX(M247-36,0),84)</f>
        <v/>
      </c>
      <c r="Z247" s="25">
        <f>MAX(M247-120,0)</f>
        <v/>
      </c>
      <c r="AA247" s="25">
        <f>IF(OR(O247="",NOT(ISNUMBER(O247))),360,MAX(0,MIN(480,(INT(O247/100)-INT(VALUE(H247)/100))*12+MOD(O247,100)-MOD(VALUE(H247),100))))</f>
        <v/>
      </c>
      <c r="AB247">
        <f>IF(AND(AA247&gt;0,AA247&lt;=24),1,0)</f>
        <v/>
      </c>
      <c r="AC247" s="25">
        <f>IF(OR(P247="",NOT(ISNUMBER(P247))),0,MAX(0,MIN(24,(INT(VALUE(H247)/100)-INT(P247/100))*12+MOD(VALUE(H247),100)-MOD(P247,100))))</f>
        <v/>
      </c>
      <c r="AD247" s="23">
        <f>LN(1+I247)</f>
        <v/>
      </c>
      <c r="AE247">
        <f>IF(I247&lt;2000000,1,0)</f>
        <v/>
      </c>
      <c r="AF247">
        <f>IF(I247&gt;50000000,1,0)</f>
        <v/>
      </c>
      <c r="AG247" s="23">
        <f>IF(ISNUMBER(M247),N247/MAX(M247,1),0)</f>
        <v/>
      </c>
      <c r="AH247">
        <f>IF(G247&gt;=2021,1,0)</f>
        <v/>
      </c>
      <c r="AI247">
        <f>S247</f>
        <v/>
      </c>
      <c r="AJ247">
        <f>T247</f>
        <v/>
      </c>
      <c r="AK247">
        <f>R247</f>
        <v/>
      </c>
      <c r="AL247">
        <f>U247</f>
        <v/>
      </c>
      <c r="AM247">
        <f>IF(ISNUMBER(SEARCH("CAPITAL FUNDING",D247)),1,0)</f>
        <v/>
      </c>
      <c r="AN247">
        <f>IF(ISNUMBER(SEARCH("PNC",D247)),1,0)</f>
        <v/>
      </c>
      <c r="AO247">
        <f>IF(ISNUMBER(SEARCH("WELLS FARGO",D247)),1,0)</f>
        <v/>
      </c>
      <c r="AP247">
        <f>IF(ISNUMBER(SEARCH("DWIGHT",D247)),1,0)</f>
        <v/>
      </c>
      <c r="AQ247">
        <f>IF(ISNUMBER(SEARCH("GREYSTONE",D247)),1,0)</f>
        <v/>
      </c>
      <c r="AR247">
        <f>IF(OR(Q247="3896",Q247="3557"),1,0)</f>
        <v/>
      </c>
      <c r="AS247" s="24">
        <f>V247*W247</f>
        <v/>
      </c>
      <c r="AT247" s="26">
        <f>V$4*(V247-V$3)</f>
        <v/>
      </c>
      <c r="AU247" s="26">
        <f>W$4*(W247-W$3)</f>
        <v/>
      </c>
      <c r="AV247" s="26">
        <f>X$4*(X247-X$3)</f>
        <v/>
      </c>
      <c r="AW247" s="26">
        <f>Y$4*(Y247-Y$3)</f>
        <v/>
      </c>
      <c r="AX247" s="26">
        <f>Z$4*(Z247-Z$3)</f>
        <v/>
      </c>
      <c r="AY247" s="26">
        <f>AA$4*(AA247-AA$3)</f>
        <v/>
      </c>
      <c r="AZ247" s="26">
        <f>AB$4*(AB247-AB$3)</f>
        <v/>
      </c>
      <c r="BA247" s="26">
        <f>AC$4*(AC247-AC$3)</f>
        <v/>
      </c>
      <c r="BB247" s="26">
        <f>AD$4*(AD247-AD$3)</f>
        <v/>
      </c>
      <c r="BC247" s="26">
        <f>AE$4*(AE247-AE$3)</f>
        <v/>
      </c>
      <c r="BD247" s="26">
        <f>AF$4*(AF247-AF$3)</f>
        <v/>
      </c>
      <c r="BE247" s="26">
        <f>AG$4*(AG247-AG$3)</f>
        <v/>
      </c>
      <c r="BF247" s="26">
        <f>AH$4*(AH247-AH$3)</f>
        <v/>
      </c>
      <c r="BG247" s="26">
        <f>AI$4*(AI247-AI$3)</f>
        <v/>
      </c>
      <c r="BH247" s="26">
        <f>AJ$4*(AJ247-AJ$3)</f>
        <v/>
      </c>
      <c r="BI247" s="26">
        <f>AK$4*(AK247-AK$3)</f>
        <v/>
      </c>
      <c r="BJ247" s="26">
        <f>AL$4*(AL247-AL$3)</f>
        <v/>
      </c>
      <c r="BK247" s="26">
        <f>AM$4*(AM247-AM$3)</f>
        <v/>
      </c>
      <c r="BL247" s="26">
        <f>AN$4*(AN247-AN$3)</f>
        <v/>
      </c>
      <c r="BM247" s="26">
        <f>AO$4*(AO247-AO$3)</f>
        <v/>
      </c>
      <c r="BN247" s="26">
        <f>AP$4*(AP247-AP$3)</f>
        <v/>
      </c>
      <c r="BO247" s="26">
        <f>AQ$4*(AQ247-AQ$3)</f>
        <v/>
      </c>
      <c r="BP247" s="26">
        <f>AR$4*(AR247-AR$3)</f>
        <v/>
      </c>
      <c r="BQ247" s="26">
        <f>AS$4*(AS247-AS$3)</f>
        <v/>
      </c>
      <c r="BR247" s="27">
        <f>SUM(AT247:BQ247)</f>
        <v/>
      </c>
      <c r="BS247" s="27">
        <f>INTERCEPT_SCALED+BR247</f>
        <v/>
      </c>
      <c r="BT247" s="28">
        <f>1/(1+EXP(-BS247))</f>
        <v/>
      </c>
      <c r="BU247" s="13">
        <f>1-(1-BT247)^12</f>
        <v/>
      </c>
      <c r="BV247" s="13">
        <f>IFERROR(AT247/BR247*(BU247-BASELINE_CPR),0)</f>
        <v/>
      </c>
      <c r="BW247" s="13">
        <f>IFERROR(AU247/BR247*(BU247-BASELINE_CPR),0)</f>
        <v/>
      </c>
      <c r="BX247" s="13">
        <f>IFERROR(AV247/BR247*(BU247-BASELINE_CPR),0)</f>
        <v/>
      </c>
      <c r="BY247" s="13">
        <f>IFERROR(AW247/BR247*(BU247-BASELINE_CPR),0)</f>
        <v/>
      </c>
      <c r="BZ247" s="13">
        <f>IFERROR(AX247/BR247*(BU247-BASELINE_CPR),0)</f>
        <v/>
      </c>
      <c r="CA247" s="13">
        <f>IFERROR(AY247/BR247*(BU247-BASELINE_CPR),0)</f>
        <v/>
      </c>
      <c r="CB247" s="13">
        <f>IFERROR(AZ247/BR247*(BU247-BASELINE_CPR),0)</f>
        <v/>
      </c>
      <c r="CC247" s="13">
        <f>IFERROR(BA247/BR247*(BU247-BASELINE_CPR),0)</f>
        <v/>
      </c>
      <c r="CD247" s="13">
        <f>IFERROR(BB247/BR247*(BU247-BASELINE_CPR),0)</f>
        <v/>
      </c>
      <c r="CE247" s="13">
        <f>IFERROR(BC247/BR247*(BU247-BASELINE_CPR),0)</f>
        <v/>
      </c>
      <c r="CF247" s="13">
        <f>IFERROR(BD247/BR247*(BU247-BASELINE_CPR),0)</f>
        <v/>
      </c>
      <c r="CG247" s="13">
        <f>IFERROR(BE247/BR247*(BU247-BASELINE_CPR),0)</f>
        <v/>
      </c>
      <c r="CH247" s="13">
        <f>IFERROR(BF247/BR247*(BU247-BASELINE_CPR),0)</f>
        <v/>
      </c>
      <c r="CI247" s="13">
        <f>IFERROR(BG247/BR247*(BU247-BASELINE_CPR),0)</f>
        <v/>
      </c>
      <c r="CJ247" s="13">
        <f>IFERROR(BH247/BR247*(BU247-BASELINE_CPR),0)</f>
        <v/>
      </c>
      <c r="CK247" s="13">
        <f>IFERROR(BI247/BR247*(BU247-BASELINE_CPR),0)</f>
        <v/>
      </c>
      <c r="CL247" s="13">
        <f>IFERROR(BJ247/BR247*(BU247-BASELINE_CPR),0)</f>
        <v/>
      </c>
      <c r="CM247" s="13">
        <f>IFERROR(BK247/BR247*(BU247-BASELINE_CPR),0)</f>
        <v/>
      </c>
      <c r="CN247" s="13">
        <f>IFERROR(BL247/BR247*(BU247-BASELINE_CPR),0)</f>
        <v/>
      </c>
      <c r="CO247" s="13">
        <f>IFERROR(BM247/BR247*(BU247-BASELINE_CPR),0)</f>
        <v/>
      </c>
      <c r="CP247" s="13">
        <f>IFERROR(BN247/BR247*(BU247-BASELINE_CPR),0)</f>
        <v/>
      </c>
      <c r="CQ247" s="13">
        <f>IFERROR(BO247/BR247*(BU247-BASELINE_CPR),0)</f>
        <v/>
      </c>
      <c r="CR247" s="13">
        <f>IFERROR(BP247/BR247*(BU247-BASELINE_CPR),0)</f>
        <v/>
      </c>
      <c r="CS247" s="13">
        <f>IFERROR(BQ247/BR247*(BU247-BASELINE_CPR),0)</f>
        <v/>
      </c>
      <c r="CT247" s="29">
        <f>BASELINE_CPR+SUM(BV247:CS247)-BU247</f>
        <v/>
      </c>
    </row>
    <row r="248">
      <c r="A248" s="2" t="inlineStr">
        <is>
          <t>3617UFPP0_000000003435314</t>
        </is>
      </c>
      <c r="B248" t="inlineStr">
        <is>
          <t>PGIM_PRE21</t>
        </is>
      </c>
      <c r="C248" s="2" t="inlineStr">
        <is>
          <t>3617UFPP0</t>
        </is>
      </c>
      <c r="D248" t="inlineStr">
        <is>
          <t>PGIM REAL ESTATE AGENCY FINANCING, LLC.</t>
        </is>
      </c>
      <c r="E248" t="inlineStr">
        <is>
          <t>221d4</t>
        </is>
      </c>
      <c r="F248" t="inlineStr">
        <is>
          <t>NC</t>
        </is>
      </c>
      <c r="G248" t="n">
        <v>2012</v>
      </c>
      <c r="H248" t="inlineStr">
        <is>
          <t>202602</t>
        </is>
      </c>
      <c r="I248" s="22" t="n">
        <v>12296442.63</v>
      </c>
      <c r="J248" s="23" t="n">
        <v>2.54</v>
      </c>
      <c r="K248" s="24" t="n">
        <v>447</v>
      </c>
      <c r="L248" s="24" t="n">
        <v>6</v>
      </c>
      <c r="M248" t="n">
        <v>158</v>
      </c>
      <c r="N248" t="n">
        <v>11</v>
      </c>
      <c r="O248" t="n">
        <v>205107</v>
      </c>
      <c r="P248" t="inlineStr"/>
      <c r="Q248" t="inlineStr">
        <is>
          <t>3153</t>
        </is>
      </c>
      <c r="R248" t="n">
        <v>0</v>
      </c>
      <c r="S248" t="n">
        <v>0</v>
      </c>
      <c r="T248" t="n">
        <v>0</v>
      </c>
      <c r="U248" t="n">
        <v>1</v>
      </c>
      <c r="V248" s="24">
        <f>J248*100-K248</f>
        <v/>
      </c>
      <c r="W248" s="24">
        <f>L248</f>
        <v/>
      </c>
      <c r="X248" s="25">
        <f>MIN(M248,36)</f>
        <v/>
      </c>
      <c r="Y248" s="25">
        <f>MIN(MAX(M248-36,0),84)</f>
        <v/>
      </c>
      <c r="Z248" s="25">
        <f>MAX(M248-120,0)</f>
        <v/>
      </c>
      <c r="AA248" s="25">
        <f>IF(OR(O248="",NOT(ISNUMBER(O248))),360,MAX(0,MIN(480,(INT(O248/100)-INT(VALUE(H248)/100))*12+MOD(O248,100)-MOD(VALUE(H248),100))))</f>
        <v/>
      </c>
      <c r="AB248">
        <f>IF(AND(AA248&gt;0,AA248&lt;=24),1,0)</f>
        <v/>
      </c>
      <c r="AC248" s="25">
        <f>IF(OR(P248="",NOT(ISNUMBER(P248))),0,MAX(0,MIN(24,(INT(VALUE(H248)/100)-INT(P248/100))*12+MOD(VALUE(H248),100)-MOD(P248,100))))</f>
        <v/>
      </c>
      <c r="AD248" s="23">
        <f>LN(1+I248)</f>
        <v/>
      </c>
      <c r="AE248">
        <f>IF(I248&lt;2000000,1,0)</f>
        <v/>
      </c>
      <c r="AF248">
        <f>IF(I248&gt;50000000,1,0)</f>
        <v/>
      </c>
      <c r="AG248" s="23">
        <f>IF(ISNUMBER(M248),N248/MAX(M248,1),0)</f>
        <v/>
      </c>
      <c r="AH248">
        <f>IF(G248&gt;=2021,1,0)</f>
        <v/>
      </c>
      <c r="AI248">
        <f>S248</f>
        <v/>
      </c>
      <c r="AJ248">
        <f>T248</f>
        <v/>
      </c>
      <c r="AK248">
        <f>R248</f>
        <v/>
      </c>
      <c r="AL248">
        <f>U248</f>
        <v/>
      </c>
      <c r="AM248">
        <f>IF(ISNUMBER(SEARCH("CAPITAL FUNDING",D248)),1,0)</f>
        <v/>
      </c>
      <c r="AN248">
        <f>IF(ISNUMBER(SEARCH("PNC",D248)),1,0)</f>
        <v/>
      </c>
      <c r="AO248">
        <f>IF(ISNUMBER(SEARCH("WELLS FARGO",D248)),1,0)</f>
        <v/>
      </c>
      <c r="AP248">
        <f>IF(ISNUMBER(SEARCH("DWIGHT",D248)),1,0)</f>
        <v/>
      </c>
      <c r="AQ248">
        <f>IF(ISNUMBER(SEARCH("GREYSTONE",D248)),1,0)</f>
        <v/>
      </c>
      <c r="AR248">
        <f>IF(OR(Q248="3896",Q248="3557"),1,0)</f>
        <v/>
      </c>
      <c r="AS248" s="24">
        <f>V248*W248</f>
        <v/>
      </c>
      <c r="AT248" s="26">
        <f>V$4*(V248-V$3)</f>
        <v/>
      </c>
      <c r="AU248" s="26">
        <f>W$4*(W248-W$3)</f>
        <v/>
      </c>
      <c r="AV248" s="26">
        <f>X$4*(X248-X$3)</f>
        <v/>
      </c>
      <c r="AW248" s="26">
        <f>Y$4*(Y248-Y$3)</f>
        <v/>
      </c>
      <c r="AX248" s="26">
        <f>Z$4*(Z248-Z$3)</f>
        <v/>
      </c>
      <c r="AY248" s="26">
        <f>AA$4*(AA248-AA$3)</f>
        <v/>
      </c>
      <c r="AZ248" s="26">
        <f>AB$4*(AB248-AB$3)</f>
        <v/>
      </c>
      <c r="BA248" s="26">
        <f>AC$4*(AC248-AC$3)</f>
        <v/>
      </c>
      <c r="BB248" s="26">
        <f>AD$4*(AD248-AD$3)</f>
        <v/>
      </c>
      <c r="BC248" s="26">
        <f>AE$4*(AE248-AE$3)</f>
        <v/>
      </c>
      <c r="BD248" s="26">
        <f>AF$4*(AF248-AF$3)</f>
        <v/>
      </c>
      <c r="BE248" s="26">
        <f>AG$4*(AG248-AG$3)</f>
        <v/>
      </c>
      <c r="BF248" s="26">
        <f>AH$4*(AH248-AH$3)</f>
        <v/>
      </c>
      <c r="BG248" s="26">
        <f>AI$4*(AI248-AI$3)</f>
        <v/>
      </c>
      <c r="BH248" s="26">
        <f>AJ$4*(AJ248-AJ$3)</f>
        <v/>
      </c>
      <c r="BI248" s="26">
        <f>AK$4*(AK248-AK$3)</f>
        <v/>
      </c>
      <c r="BJ248" s="26">
        <f>AL$4*(AL248-AL$3)</f>
        <v/>
      </c>
      <c r="BK248" s="26">
        <f>AM$4*(AM248-AM$3)</f>
        <v/>
      </c>
      <c r="BL248" s="26">
        <f>AN$4*(AN248-AN$3)</f>
        <v/>
      </c>
      <c r="BM248" s="26">
        <f>AO$4*(AO248-AO$3)</f>
        <v/>
      </c>
      <c r="BN248" s="26">
        <f>AP$4*(AP248-AP$3)</f>
        <v/>
      </c>
      <c r="BO248" s="26">
        <f>AQ$4*(AQ248-AQ$3)</f>
        <v/>
      </c>
      <c r="BP248" s="26">
        <f>AR$4*(AR248-AR$3)</f>
        <v/>
      </c>
      <c r="BQ248" s="26">
        <f>AS$4*(AS248-AS$3)</f>
        <v/>
      </c>
      <c r="BR248" s="27">
        <f>SUM(AT248:BQ248)</f>
        <v/>
      </c>
      <c r="BS248" s="27">
        <f>INTERCEPT_SCALED+BR248</f>
        <v/>
      </c>
      <c r="BT248" s="28">
        <f>1/(1+EXP(-BS248))</f>
        <v/>
      </c>
      <c r="BU248" s="13">
        <f>1-(1-BT248)^12</f>
        <v/>
      </c>
      <c r="BV248" s="13">
        <f>IFERROR(AT248/BR248*(BU248-BASELINE_CPR),0)</f>
        <v/>
      </c>
      <c r="BW248" s="13">
        <f>IFERROR(AU248/BR248*(BU248-BASELINE_CPR),0)</f>
        <v/>
      </c>
      <c r="BX248" s="13">
        <f>IFERROR(AV248/BR248*(BU248-BASELINE_CPR),0)</f>
        <v/>
      </c>
      <c r="BY248" s="13">
        <f>IFERROR(AW248/BR248*(BU248-BASELINE_CPR),0)</f>
        <v/>
      </c>
      <c r="BZ248" s="13">
        <f>IFERROR(AX248/BR248*(BU248-BASELINE_CPR),0)</f>
        <v/>
      </c>
      <c r="CA248" s="13">
        <f>IFERROR(AY248/BR248*(BU248-BASELINE_CPR),0)</f>
        <v/>
      </c>
      <c r="CB248" s="13">
        <f>IFERROR(AZ248/BR248*(BU248-BASELINE_CPR),0)</f>
        <v/>
      </c>
      <c r="CC248" s="13">
        <f>IFERROR(BA248/BR248*(BU248-BASELINE_CPR),0)</f>
        <v/>
      </c>
      <c r="CD248" s="13">
        <f>IFERROR(BB248/BR248*(BU248-BASELINE_CPR),0)</f>
        <v/>
      </c>
      <c r="CE248" s="13">
        <f>IFERROR(BC248/BR248*(BU248-BASELINE_CPR),0)</f>
        <v/>
      </c>
      <c r="CF248" s="13">
        <f>IFERROR(BD248/BR248*(BU248-BASELINE_CPR),0)</f>
        <v/>
      </c>
      <c r="CG248" s="13">
        <f>IFERROR(BE248/BR248*(BU248-BASELINE_CPR),0)</f>
        <v/>
      </c>
      <c r="CH248" s="13">
        <f>IFERROR(BF248/BR248*(BU248-BASELINE_CPR),0)</f>
        <v/>
      </c>
      <c r="CI248" s="13">
        <f>IFERROR(BG248/BR248*(BU248-BASELINE_CPR),0)</f>
        <v/>
      </c>
      <c r="CJ248" s="13">
        <f>IFERROR(BH248/BR248*(BU248-BASELINE_CPR),0)</f>
        <v/>
      </c>
      <c r="CK248" s="13">
        <f>IFERROR(BI248/BR248*(BU248-BASELINE_CPR),0)</f>
        <v/>
      </c>
      <c r="CL248" s="13">
        <f>IFERROR(BJ248/BR248*(BU248-BASELINE_CPR),0)</f>
        <v/>
      </c>
      <c r="CM248" s="13">
        <f>IFERROR(BK248/BR248*(BU248-BASELINE_CPR),0)</f>
        <v/>
      </c>
      <c r="CN248" s="13">
        <f>IFERROR(BL248/BR248*(BU248-BASELINE_CPR),0)</f>
        <v/>
      </c>
      <c r="CO248" s="13">
        <f>IFERROR(BM248/BR248*(BU248-BASELINE_CPR),0)</f>
        <v/>
      </c>
      <c r="CP248" s="13">
        <f>IFERROR(BN248/BR248*(BU248-BASELINE_CPR),0)</f>
        <v/>
      </c>
      <c r="CQ248" s="13">
        <f>IFERROR(BO248/BR248*(BU248-BASELINE_CPR),0)</f>
        <v/>
      </c>
      <c r="CR248" s="13">
        <f>IFERROR(BP248/BR248*(BU248-BASELINE_CPR),0)</f>
        <v/>
      </c>
      <c r="CS248" s="13">
        <f>IFERROR(BQ248/BR248*(BU248-BASELINE_CPR),0)</f>
        <v/>
      </c>
      <c r="CT248" s="29">
        <f>BASELINE_CPR+SUM(BV248:CS248)-BU248</f>
        <v/>
      </c>
    </row>
    <row r="249">
      <c r="A249" s="2" t="inlineStr">
        <is>
          <t>3617N3U79_000000006435549</t>
        </is>
      </c>
      <c r="B249" t="inlineStr">
        <is>
          <t>PGIM_PRE21</t>
        </is>
      </c>
      <c r="C249" s="2" t="inlineStr">
        <is>
          <t>3617N3U79</t>
        </is>
      </c>
      <c r="D249" t="inlineStr">
        <is>
          <t>PGIM REAL ESTATE AGENCY FINANCING, LLC.</t>
        </is>
      </c>
      <c r="E249" t="inlineStr">
        <is>
          <t>221d4</t>
        </is>
      </c>
      <c r="F249" t="inlineStr">
        <is>
          <t>RP</t>
        </is>
      </c>
      <c r="G249" t="n">
        <v>2012</v>
      </c>
      <c r="H249" t="inlineStr">
        <is>
          <t>202602</t>
        </is>
      </c>
      <c r="I249" s="22" t="n">
        <v>7605491.42</v>
      </c>
      <c r="J249" s="23" t="n">
        <v>3.04</v>
      </c>
      <c r="K249" s="24" t="n">
        <v>447</v>
      </c>
      <c r="L249" s="24" t="n">
        <v>5</v>
      </c>
      <c r="M249" t="n">
        <v>166</v>
      </c>
      <c r="N249" t="n">
        <v>13</v>
      </c>
      <c r="O249" t="n">
        <v>205111</v>
      </c>
      <c r="P249" t="inlineStr"/>
      <c r="Q249" t="inlineStr">
        <is>
          <t>3153</t>
        </is>
      </c>
      <c r="R249" t="n">
        <v>0</v>
      </c>
      <c r="S249" t="n">
        <v>1</v>
      </c>
      <c r="T249" t="n">
        <v>0</v>
      </c>
      <c r="U249" t="n">
        <v>0</v>
      </c>
      <c r="V249" s="24">
        <f>J249*100-K249</f>
        <v/>
      </c>
      <c r="W249" s="24">
        <f>L249</f>
        <v/>
      </c>
      <c r="X249" s="25">
        <f>MIN(M249,36)</f>
        <v/>
      </c>
      <c r="Y249" s="25">
        <f>MIN(MAX(M249-36,0),84)</f>
        <v/>
      </c>
      <c r="Z249" s="25">
        <f>MAX(M249-120,0)</f>
        <v/>
      </c>
      <c r="AA249" s="25">
        <f>IF(OR(O249="",NOT(ISNUMBER(O249))),360,MAX(0,MIN(480,(INT(O249/100)-INT(VALUE(H249)/100))*12+MOD(O249,100)-MOD(VALUE(H249),100))))</f>
        <v/>
      </c>
      <c r="AB249">
        <f>IF(AND(AA249&gt;0,AA249&lt;=24),1,0)</f>
        <v/>
      </c>
      <c r="AC249" s="25">
        <f>IF(OR(P249="",NOT(ISNUMBER(P249))),0,MAX(0,MIN(24,(INT(VALUE(H249)/100)-INT(P249/100))*12+MOD(VALUE(H249),100)-MOD(P249,100))))</f>
        <v/>
      </c>
      <c r="AD249" s="23">
        <f>LN(1+I249)</f>
        <v/>
      </c>
      <c r="AE249">
        <f>IF(I249&lt;2000000,1,0)</f>
        <v/>
      </c>
      <c r="AF249">
        <f>IF(I249&gt;50000000,1,0)</f>
        <v/>
      </c>
      <c r="AG249" s="23">
        <f>IF(ISNUMBER(M249),N249/MAX(M249,1),0)</f>
        <v/>
      </c>
      <c r="AH249">
        <f>IF(G249&gt;=2021,1,0)</f>
        <v/>
      </c>
      <c r="AI249">
        <f>S249</f>
        <v/>
      </c>
      <c r="AJ249">
        <f>T249</f>
        <v/>
      </c>
      <c r="AK249">
        <f>R249</f>
        <v/>
      </c>
      <c r="AL249">
        <f>U249</f>
        <v/>
      </c>
      <c r="AM249">
        <f>IF(ISNUMBER(SEARCH("CAPITAL FUNDING",D249)),1,0)</f>
        <v/>
      </c>
      <c r="AN249">
        <f>IF(ISNUMBER(SEARCH("PNC",D249)),1,0)</f>
        <v/>
      </c>
      <c r="AO249">
        <f>IF(ISNUMBER(SEARCH("WELLS FARGO",D249)),1,0)</f>
        <v/>
      </c>
      <c r="AP249">
        <f>IF(ISNUMBER(SEARCH("DWIGHT",D249)),1,0)</f>
        <v/>
      </c>
      <c r="AQ249">
        <f>IF(ISNUMBER(SEARCH("GREYSTONE",D249)),1,0)</f>
        <v/>
      </c>
      <c r="AR249">
        <f>IF(OR(Q249="3896",Q249="3557"),1,0)</f>
        <v/>
      </c>
      <c r="AS249" s="24">
        <f>V249*W249</f>
        <v/>
      </c>
      <c r="AT249" s="26">
        <f>V$4*(V249-V$3)</f>
        <v/>
      </c>
      <c r="AU249" s="26">
        <f>W$4*(W249-W$3)</f>
        <v/>
      </c>
      <c r="AV249" s="26">
        <f>X$4*(X249-X$3)</f>
        <v/>
      </c>
      <c r="AW249" s="26">
        <f>Y$4*(Y249-Y$3)</f>
        <v/>
      </c>
      <c r="AX249" s="26">
        <f>Z$4*(Z249-Z$3)</f>
        <v/>
      </c>
      <c r="AY249" s="26">
        <f>AA$4*(AA249-AA$3)</f>
        <v/>
      </c>
      <c r="AZ249" s="26">
        <f>AB$4*(AB249-AB$3)</f>
        <v/>
      </c>
      <c r="BA249" s="26">
        <f>AC$4*(AC249-AC$3)</f>
        <v/>
      </c>
      <c r="BB249" s="26">
        <f>AD$4*(AD249-AD$3)</f>
        <v/>
      </c>
      <c r="BC249" s="26">
        <f>AE$4*(AE249-AE$3)</f>
        <v/>
      </c>
      <c r="BD249" s="26">
        <f>AF$4*(AF249-AF$3)</f>
        <v/>
      </c>
      <c r="BE249" s="26">
        <f>AG$4*(AG249-AG$3)</f>
        <v/>
      </c>
      <c r="BF249" s="26">
        <f>AH$4*(AH249-AH$3)</f>
        <v/>
      </c>
      <c r="BG249" s="26">
        <f>AI$4*(AI249-AI$3)</f>
        <v/>
      </c>
      <c r="BH249" s="26">
        <f>AJ$4*(AJ249-AJ$3)</f>
        <v/>
      </c>
      <c r="BI249" s="26">
        <f>AK$4*(AK249-AK$3)</f>
        <v/>
      </c>
      <c r="BJ249" s="26">
        <f>AL$4*(AL249-AL$3)</f>
        <v/>
      </c>
      <c r="BK249" s="26">
        <f>AM$4*(AM249-AM$3)</f>
        <v/>
      </c>
      <c r="BL249" s="26">
        <f>AN$4*(AN249-AN$3)</f>
        <v/>
      </c>
      <c r="BM249" s="26">
        <f>AO$4*(AO249-AO$3)</f>
        <v/>
      </c>
      <c r="BN249" s="26">
        <f>AP$4*(AP249-AP$3)</f>
        <v/>
      </c>
      <c r="BO249" s="26">
        <f>AQ$4*(AQ249-AQ$3)</f>
        <v/>
      </c>
      <c r="BP249" s="26">
        <f>AR$4*(AR249-AR$3)</f>
        <v/>
      </c>
      <c r="BQ249" s="26">
        <f>AS$4*(AS249-AS$3)</f>
        <v/>
      </c>
      <c r="BR249" s="27">
        <f>SUM(AT249:BQ249)</f>
        <v/>
      </c>
      <c r="BS249" s="27">
        <f>INTERCEPT_SCALED+BR249</f>
        <v/>
      </c>
      <c r="BT249" s="28">
        <f>1/(1+EXP(-BS249))</f>
        <v/>
      </c>
      <c r="BU249" s="13">
        <f>1-(1-BT249)^12</f>
        <v/>
      </c>
      <c r="BV249" s="13">
        <f>IFERROR(AT249/BR249*(BU249-BASELINE_CPR),0)</f>
        <v/>
      </c>
      <c r="BW249" s="13">
        <f>IFERROR(AU249/BR249*(BU249-BASELINE_CPR),0)</f>
        <v/>
      </c>
      <c r="BX249" s="13">
        <f>IFERROR(AV249/BR249*(BU249-BASELINE_CPR),0)</f>
        <v/>
      </c>
      <c r="BY249" s="13">
        <f>IFERROR(AW249/BR249*(BU249-BASELINE_CPR),0)</f>
        <v/>
      </c>
      <c r="BZ249" s="13">
        <f>IFERROR(AX249/BR249*(BU249-BASELINE_CPR),0)</f>
        <v/>
      </c>
      <c r="CA249" s="13">
        <f>IFERROR(AY249/BR249*(BU249-BASELINE_CPR),0)</f>
        <v/>
      </c>
      <c r="CB249" s="13">
        <f>IFERROR(AZ249/BR249*(BU249-BASELINE_CPR),0)</f>
        <v/>
      </c>
      <c r="CC249" s="13">
        <f>IFERROR(BA249/BR249*(BU249-BASELINE_CPR),0)</f>
        <v/>
      </c>
      <c r="CD249" s="13">
        <f>IFERROR(BB249/BR249*(BU249-BASELINE_CPR),0)</f>
        <v/>
      </c>
      <c r="CE249" s="13">
        <f>IFERROR(BC249/BR249*(BU249-BASELINE_CPR),0)</f>
        <v/>
      </c>
      <c r="CF249" s="13">
        <f>IFERROR(BD249/BR249*(BU249-BASELINE_CPR),0)</f>
        <v/>
      </c>
      <c r="CG249" s="13">
        <f>IFERROR(BE249/BR249*(BU249-BASELINE_CPR),0)</f>
        <v/>
      </c>
      <c r="CH249" s="13">
        <f>IFERROR(BF249/BR249*(BU249-BASELINE_CPR),0)</f>
        <v/>
      </c>
      <c r="CI249" s="13">
        <f>IFERROR(BG249/BR249*(BU249-BASELINE_CPR),0)</f>
        <v/>
      </c>
      <c r="CJ249" s="13">
        <f>IFERROR(BH249/BR249*(BU249-BASELINE_CPR),0)</f>
        <v/>
      </c>
      <c r="CK249" s="13">
        <f>IFERROR(BI249/BR249*(BU249-BASELINE_CPR),0)</f>
        <v/>
      </c>
      <c r="CL249" s="13">
        <f>IFERROR(BJ249/BR249*(BU249-BASELINE_CPR),0)</f>
        <v/>
      </c>
      <c r="CM249" s="13">
        <f>IFERROR(BK249/BR249*(BU249-BASELINE_CPR),0)</f>
        <v/>
      </c>
      <c r="CN249" s="13">
        <f>IFERROR(BL249/BR249*(BU249-BASELINE_CPR),0)</f>
        <v/>
      </c>
      <c r="CO249" s="13">
        <f>IFERROR(BM249/BR249*(BU249-BASELINE_CPR),0)</f>
        <v/>
      </c>
      <c r="CP249" s="13">
        <f>IFERROR(BN249/BR249*(BU249-BASELINE_CPR),0)</f>
        <v/>
      </c>
      <c r="CQ249" s="13">
        <f>IFERROR(BO249/BR249*(BU249-BASELINE_CPR),0)</f>
        <v/>
      </c>
      <c r="CR249" s="13">
        <f>IFERROR(BP249/BR249*(BU249-BASELINE_CPR),0)</f>
        <v/>
      </c>
      <c r="CS249" s="13">
        <f>IFERROR(BQ249/BR249*(BU249-BASELINE_CPR),0)</f>
        <v/>
      </c>
      <c r="CT249" s="29">
        <f>BASELINE_CPR+SUM(BV249:CS249)-BU249</f>
        <v/>
      </c>
    </row>
    <row r="250">
      <c r="A250" s="2" t="inlineStr">
        <is>
          <t>36193J5M7_000000005322191</t>
        </is>
      </c>
      <c r="B250" t="inlineStr">
        <is>
          <t>PGIM_PRE21</t>
        </is>
      </c>
      <c r="C250" s="2" t="inlineStr">
        <is>
          <t>36193J5M7</t>
        </is>
      </c>
      <c r="D250" t="inlineStr">
        <is>
          <t>PGIM REAL ESTATE AGENCY FINANCING, LLC.</t>
        </is>
      </c>
      <c r="E250" t="inlineStr">
        <is>
          <t>232</t>
        </is>
      </c>
      <c r="F250" t="inlineStr">
        <is>
          <t>RP</t>
        </is>
      </c>
      <c r="G250" t="n">
        <v>2016</v>
      </c>
      <c r="H250" t="inlineStr">
        <is>
          <t>202602</t>
        </is>
      </c>
      <c r="I250" s="22" t="n">
        <v>4747767.98</v>
      </c>
      <c r="J250" s="23" t="n">
        <v>3.85</v>
      </c>
      <c r="K250" s="24" t="n">
        <v>447</v>
      </c>
      <c r="L250" s="24" t="n">
        <v>2</v>
      </c>
      <c r="M250" t="n">
        <v>119</v>
      </c>
      <c r="N250" t="n">
        <v>32</v>
      </c>
      <c r="O250" t="n">
        <v>205104</v>
      </c>
      <c r="P250" t="inlineStr"/>
      <c r="Q250" t="inlineStr">
        <is>
          <t>3153</t>
        </is>
      </c>
      <c r="R250" t="n">
        <v>1</v>
      </c>
      <c r="S250" t="n">
        <v>0</v>
      </c>
      <c r="T250" t="n">
        <v>0</v>
      </c>
      <c r="U250" t="n">
        <v>0</v>
      </c>
      <c r="V250" s="24">
        <f>J250*100-K250</f>
        <v/>
      </c>
      <c r="W250" s="24">
        <f>L250</f>
        <v/>
      </c>
      <c r="X250" s="25">
        <f>MIN(M250,36)</f>
        <v/>
      </c>
      <c r="Y250" s="25">
        <f>MIN(MAX(M250-36,0),84)</f>
        <v/>
      </c>
      <c r="Z250" s="25">
        <f>MAX(M250-120,0)</f>
        <v/>
      </c>
      <c r="AA250" s="25">
        <f>IF(OR(O250="",NOT(ISNUMBER(O250))),360,MAX(0,MIN(480,(INT(O250/100)-INT(VALUE(H250)/100))*12+MOD(O250,100)-MOD(VALUE(H250),100))))</f>
        <v/>
      </c>
      <c r="AB250">
        <f>IF(AND(AA250&gt;0,AA250&lt;=24),1,0)</f>
        <v/>
      </c>
      <c r="AC250" s="25">
        <f>IF(OR(P250="",NOT(ISNUMBER(P250))),0,MAX(0,MIN(24,(INT(VALUE(H250)/100)-INT(P250/100))*12+MOD(VALUE(H250),100)-MOD(P250,100))))</f>
        <v/>
      </c>
      <c r="AD250" s="23">
        <f>LN(1+I250)</f>
        <v/>
      </c>
      <c r="AE250">
        <f>IF(I250&lt;2000000,1,0)</f>
        <v/>
      </c>
      <c r="AF250">
        <f>IF(I250&gt;50000000,1,0)</f>
        <v/>
      </c>
      <c r="AG250" s="23">
        <f>IF(ISNUMBER(M250),N250/MAX(M250,1),0)</f>
        <v/>
      </c>
      <c r="AH250">
        <f>IF(G250&gt;=2021,1,0)</f>
        <v/>
      </c>
      <c r="AI250">
        <f>S250</f>
        <v/>
      </c>
      <c r="AJ250">
        <f>T250</f>
        <v/>
      </c>
      <c r="AK250">
        <f>R250</f>
        <v/>
      </c>
      <c r="AL250">
        <f>U250</f>
        <v/>
      </c>
      <c r="AM250">
        <f>IF(ISNUMBER(SEARCH("CAPITAL FUNDING",D250)),1,0)</f>
        <v/>
      </c>
      <c r="AN250">
        <f>IF(ISNUMBER(SEARCH("PNC",D250)),1,0)</f>
        <v/>
      </c>
      <c r="AO250">
        <f>IF(ISNUMBER(SEARCH("WELLS FARGO",D250)),1,0)</f>
        <v/>
      </c>
      <c r="AP250">
        <f>IF(ISNUMBER(SEARCH("DWIGHT",D250)),1,0)</f>
        <v/>
      </c>
      <c r="AQ250">
        <f>IF(ISNUMBER(SEARCH("GREYSTONE",D250)),1,0)</f>
        <v/>
      </c>
      <c r="AR250">
        <f>IF(OR(Q250="3896",Q250="3557"),1,0)</f>
        <v/>
      </c>
      <c r="AS250" s="24">
        <f>V250*W250</f>
        <v/>
      </c>
      <c r="AT250" s="26">
        <f>V$4*(V250-V$3)</f>
        <v/>
      </c>
      <c r="AU250" s="26">
        <f>W$4*(W250-W$3)</f>
        <v/>
      </c>
      <c r="AV250" s="26">
        <f>X$4*(X250-X$3)</f>
        <v/>
      </c>
      <c r="AW250" s="26">
        <f>Y$4*(Y250-Y$3)</f>
        <v/>
      </c>
      <c r="AX250" s="26">
        <f>Z$4*(Z250-Z$3)</f>
        <v/>
      </c>
      <c r="AY250" s="26">
        <f>AA$4*(AA250-AA$3)</f>
        <v/>
      </c>
      <c r="AZ250" s="26">
        <f>AB$4*(AB250-AB$3)</f>
        <v/>
      </c>
      <c r="BA250" s="26">
        <f>AC$4*(AC250-AC$3)</f>
        <v/>
      </c>
      <c r="BB250" s="26">
        <f>AD$4*(AD250-AD$3)</f>
        <v/>
      </c>
      <c r="BC250" s="26">
        <f>AE$4*(AE250-AE$3)</f>
        <v/>
      </c>
      <c r="BD250" s="26">
        <f>AF$4*(AF250-AF$3)</f>
        <v/>
      </c>
      <c r="BE250" s="26">
        <f>AG$4*(AG250-AG$3)</f>
        <v/>
      </c>
      <c r="BF250" s="26">
        <f>AH$4*(AH250-AH$3)</f>
        <v/>
      </c>
      <c r="BG250" s="26">
        <f>AI$4*(AI250-AI$3)</f>
        <v/>
      </c>
      <c r="BH250" s="26">
        <f>AJ$4*(AJ250-AJ$3)</f>
        <v/>
      </c>
      <c r="BI250" s="26">
        <f>AK$4*(AK250-AK$3)</f>
        <v/>
      </c>
      <c r="BJ250" s="26">
        <f>AL$4*(AL250-AL$3)</f>
        <v/>
      </c>
      <c r="BK250" s="26">
        <f>AM$4*(AM250-AM$3)</f>
        <v/>
      </c>
      <c r="BL250" s="26">
        <f>AN$4*(AN250-AN$3)</f>
        <v/>
      </c>
      <c r="BM250" s="26">
        <f>AO$4*(AO250-AO$3)</f>
        <v/>
      </c>
      <c r="BN250" s="26">
        <f>AP$4*(AP250-AP$3)</f>
        <v/>
      </c>
      <c r="BO250" s="26">
        <f>AQ$4*(AQ250-AQ$3)</f>
        <v/>
      </c>
      <c r="BP250" s="26">
        <f>AR$4*(AR250-AR$3)</f>
        <v/>
      </c>
      <c r="BQ250" s="26">
        <f>AS$4*(AS250-AS$3)</f>
        <v/>
      </c>
      <c r="BR250" s="27">
        <f>SUM(AT250:BQ250)</f>
        <v/>
      </c>
      <c r="BS250" s="27">
        <f>INTERCEPT_SCALED+BR250</f>
        <v/>
      </c>
      <c r="BT250" s="28">
        <f>1/(1+EXP(-BS250))</f>
        <v/>
      </c>
      <c r="BU250" s="13">
        <f>1-(1-BT250)^12</f>
        <v/>
      </c>
      <c r="BV250" s="13">
        <f>IFERROR(AT250/BR250*(BU250-BASELINE_CPR),0)</f>
        <v/>
      </c>
      <c r="BW250" s="13">
        <f>IFERROR(AU250/BR250*(BU250-BASELINE_CPR),0)</f>
        <v/>
      </c>
      <c r="BX250" s="13">
        <f>IFERROR(AV250/BR250*(BU250-BASELINE_CPR),0)</f>
        <v/>
      </c>
      <c r="BY250" s="13">
        <f>IFERROR(AW250/BR250*(BU250-BASELINE_CPR),0)</f>
        <v/>
      </c>
      <c r="BZ250" s="13">
        <f>IFERROR(AX250/BR250*(BU250-BASELINE_CPR),0)</f>
        <v/>
      </c>
      <c r="CA250" s="13">
        <f>IFERROR(AY250/BR250*(BU250-BASELINE_CPR),0)</f>
        <v/>
      </c>
      <c r="CB250" s="13">
        <f>IFERROR(AZ250/BR250*(BU250-BASELINE_CPR),0)</f>
        <v/>
      </c>
      <c r="CC250" s="13">
        <f>IFERROR(BA250/BR250*(BU250-BASELINE_CPR),0)</f>
        <v/>
      </c>
      <c r="CD250" s="13">
        <f>IFERROR(BB250/BR250*(BU250-BASELINE_CPR),0)</f>
        <v/>
      </c>
      <c r="CE250" s="13">
        <f>IFERROR(BC250/BR250*(BU250-BASELINE_CPR),0)</f>
        <v/>
      </c>
      <c r="CF250" s="13">
        <f>IFERROR(BD250/BR250*(BU250-BASELINE_CPR),0)</f>
        <v/>
      </c>
      <c r="CG250" s="13">
        <f>IFERROR(BE250/BR250*(BU250-BASELINE_CPR),0)</f>
        <v/>
      </c>
      <c r="CH250" s="13">
        <f>IFERROR(BF250/BR250*(BU250-BASELINE_CPR),0)</f>
        <v/>
      </c>
      <c r="CI250" s="13">
        <f>IFERROR(BG250/BR250*(BU250-BASELINE_CPR),0)</f>
        <v/>
      </c>
      <c r="CJ250" s="13">
        <f>IFERROR(BH250/BR250*(BU250-BASELINE_CPR),0)</f>
        <v/>
      </c>
      <c r="CK250" s="13">
        <f>IFERROR(BI250/BR250*(BU250-BASELINE_CPR),0)</f>
        <v/>
      </c>
      <c r="CL250" s="13">
        <f>IFERROR(BJ250/BR250*(BU250-BASELINE_CPR),0)</f>
        <v/>
      </c>
      <c r="CM250" s="13">
        <f>IFERROR(BK250/BR250*(BU250-BASELINE_CPR),0)</f>
        <v/>
      </c>
      <c r="CN250" s="13">
        <f>IFERROR(BL250/BR250*(BU250-BASELINE_CPR),0)</f>
        <v/>
      </c>
      <c r="CO250" s="13">
        <f>IFERROR(BM250/BR250*(BU250-BASELINE_CPR),0)</f>
        <v/>
      </c>
      <c r="CP250" s="13">
        <f>IFERROR(BN250/BR250*(BU250-BASELINE_CPR),0)</f>
        <v/>
      </c>
      <c r="CQ250" s="13">
        <f>IFERROR(BO250/BR250*(BU250-BASELINE_CPR),0)</f>
        <v/>
      </c>
      <c r="CR250" s="13">
        <f>IFERROR(BP250/BR250*(BU250-BASELINE_CPR),0)</f>
        <v/>
      </c>
      <c r="CS250" s="13">
        <f>IFERROR(BQ250/BR250*(BU250-BASELINE_CPR),0)</f>
        <v/>
      </c>
      <c r="CT250" s="29">
        <f>BASELINE_CPR+SUM(BV250:CS250)-BU250</f>
        <v/>
      </c>
    </row>
    <row r="251">
      <c r="A251" s="2" t="inlineStr">
        <is>
          <t>3617N3U87_000000005411182</t>
        </is>
      </c>
      <c r="B251" t="inlineStr">
        <is>
          <t>PGIM_PRE21</t>
        </is>
      </c>
      <c r="C251" s="2" t="inlineStr">
        <is>
          <t>3617N3U87</t>
        </is>
      </c>
      <c r="D251" t="inlineStr">
        <is>
          <t>PGIM REAL ESTATE AGENCY FINANCING, LLC.</t>
        </is>
      </c>
      <c r="E251" t="inlineStr">
        <is>
          <t>223f</t>
        </is>
      </c>
      <c r="F251" t="inlineStr">
        <is>
          <t>RP</t>
        </is>
      </c>
      <c r="G251" t="n">
        <v>2020</v>
      </c>
      <c r="H251" t="inlineStr">
        <is>
          <t>202602</t>
        </is>
      </c>
      <c r="I251" s="22" t="n">
        <v>4220732.16</v>
      </c>
      <c r="J251" s="23" t="n">
        <v>3.15</v>
      </c>
      <c r="K251" s="24" t="n">
        <v>447</v>
      </c>
      <c r="L251" s="24" t="n">
        <v>6</v>
      </c>
      <c r="M251" t="n">
        <v>71</v>
      </c>
      <c r="N251" t="n">
        <v>19</v>
      </c>
      <c r="O251" t="n">
        <v>205504</v>
      </c>
      <c r="P251" t="inlineStr"/>
      <c r="Q251" t="inlineStr">
        <is>
          <t>3153</t>
        </is>
      </c>
      <c r="R251" t="n">
        <v>0</v>
      </c>
      <c r="S251" t="n">
        <v>0</v>
      </c>
      <c r="T251" t="n">
        <v>0</v>
      </c>
      <c r="U251" t="n">
        <v>0</v>
      </c>
      <c r="V251" s="24">
        <f>J251*100-K251</f>
        <v/>
      </c>
      <c r="W251" s="24">
        <f>L251</f>
        <v/>
      </c>
      <c r="X251" s="25">
        <f>MIN(M251,36)</f>
        <v/>
      </c>
      <c r="Y251" s="25">
        <f>MIN(MAX(M251-36,0),84)</f>
        <v/>
      </c>
      <c r="Z251" s="25">
        <f>MAX(M251-120,0)</f>
        <v/>
      </c>
      <c r="AA251" s="25">
        <f>IF(OR(O251="",NOT(ISNUMBER(O251))),360,MAX(0,MIN(480,(INT(O251/100)-INT(VALUE(H251)/100))*12+MOD(O251,100)-MOD(VALUE(H251),100))))</f>
        <v/>
      </c>
      <c r="AB251">
        <f>IF(AND(AA251&gt;0,AA251&lt;=24),1,0)</f>
        <v/>
      </c>
      <c r="AC251" s="25">
        <f>IF(OR(P251="",NOT(ISNUMBER(P251))),0,MAX(0,MIN(24,(INT(VALUE(H251)/100)-INT(P251/100))*12+MOD(VALUE(H251),100)-MOD(P251,100))))</f>
        <v/>
      </c>
      <c r="AD251" s="23">
        <f>LN(1+I251)</f>
        <v/>
      </c>
      <c r="AE251">
        <f>IF(I251&lt;2000000,1,0)</f>
        <v/>
      </c>
      <c r="AF251">
        <f>IF(I251&gt;50000000,1,0)</f>
        <v/>
      </c>
      <c r="AG251" s="23">
        <f>IF(ISNUMBER(M251),N251/MAX(M251,1),0)</f>
        <v/>
      </c>
      <c r="AH251">
        <f>IF(G251&gt;=2021,1,0)</f>
        <v/>
      </c>
      <c r="AI251">
        <f>S251</f>
        <v/>
      </c>
      <c r="AJ251">
        <f>T251</f>
        <v/>
      </c>
      <c r="AK251">
        <f>R251</f>
        <v/>
      </c>
      <c r="AL251">
        <f>U251</f>
        <v/>
      </c>
      <c r="AM251">
        <f>IF(ISNUMBER(SEARCH("CAPITAL FUNDING",D251)),1,0)</f>
        <v/>
      </c>
      <c r="AN251">
        <f>IF(ISNUMBER(SEARCH("PNC",D251)),1,0)</f>
        <v/>
      </c>
      <c r="AO251">
        <f>IF(ISNUMBER(SEARCH("WELLS FARGO",D251)),1,0)</f>
        <v/>
      </c>
      <c r="AP251">
        <f>IF(ISNUMBER(SEARCH("DWIGHT",D251)),1,0)</f>
        <v/>
      </c>
      <c r="AQ251">
        <f>IF(ISNUMBER(SEARCH("GREYSTONE",D251)),1,0)</f>
        <v/>
      </c>
      <c r="AR251">
        <f>IF(OR(Q251="3896",Q251="3557"),1,0)</f>
        <v/>
      </c>
      <c r="AS251" s="24">
        <f>V251*W251</f>
        <v/>
      </c>
      <c r="AT251" s="26">
        <f>V$4*(V251-V$3)</f>
        <v/>
      </c>
      <c r="AU251" s="26">
        <f>W$4*(W251-W$3)</f>
        <v/>
      </c>
      <c r="AV251" s="26">
        <f>X$4*(X251-X$3)</f>
        <v/>
      </c>
      <c r="AW251" s="26">
        <f>Y$4*(Y251-Y$3)</f>
        <v/>
      </c>
      <c r="AX251" s="26">
        <f>Z$4*(Z251-Z$3)</f>
        <v/>
      </c>
      <c r="AY251" s="26">
        <f>AA$4*(AA251-AA$3)</f>
        <v/>
      </c>
      <c r="AZ251" s="26">
        <f>AB$4*(AB251-AB$3)</f>
        <v/>
      </c>
      <c r="BA251" s="26">
        <f>AC$4*(AC251-AC$3)</f>
        <v/>
      </c>
      <c r="BB251" s="26">
        <f>AD$4*(AD251-AD$3)</f>
        <v/>
      </c>
      <c r="BC251" s="26">
        <f>AE$4*(AE251-AE$3)</f>
        <v/>
      </c>
      <c r="BD251" s="26">
        <f>AF$4*(AF251-AF$3)</f>
        <v/>
      </c>
      <c r="BE251" s="26">
        <f>AG$4*(AG251-AG$3)</f>
        <v/>
      </c>
      <c r="BF251" s="26">
        <f>AH$4*(AH251-AH$3)</f>
        <v/>
      </c>
      <c r="BG251" s="26">
        <f>AI$4*(AI251-AI$3)</f>
        <v/>
      </c>
      <c r="BH251" s="26">
        <f>AJ$4*(AJ251-AJ$3)</f>
        <v/>
      </c>
      <c r="BI251" s="26">
        <f>AK$4*(AK251-AK$3)</f>
        <v/>
      </c>
      <c r="BJ251" s="26">
        <f>AL$4*(AL251-AL$3)</f>
        <v/>
      </c>
      <c r="BK251" s="26">
        <f>AM$4*(AM251-AM$3)</f>
        <v/>
      </c>
      <c r="BL251" s="26">
        <f>AN$4*(AN251-AN$3)</f>
        <v/>
      </c>
      <c r="BM251" s="26">
        <f>AO$4*(AO251-AO$3)</f>
        <v/>
      </c>
      <c r="BN251" s="26">
        <f>AP$4*(AP251-AP$3)</f>
        <v/>
      </c>
      <c r="BO251" s="26">
        <f>AQ$4*(AQ251-AQ$3)</f>
        <v/>
      </c>
      <c r="BP251" s="26">
        <f>AR$4*(AR251-AR$3)</f>
        <v/>
      </c>
      <c r="BQ251" s="26">
        <f>AS$4*(AS251-AS$3)</f>
        <v/>
      </c>
      <c r="BR251" s="27">
        <f>SUM(AT251:BQ251)</f>
        <v/>
      </c>
      <c r="BS251" s="27">
        <f>INTERCEPT_SCALED+BR251</f>
        <v/>
      </c>
      <c r="BT251" s="28">
        <f>1/(1+EXP(-BS251))</f>
        <v/>
      </c>
      <c r="BU251" s="13">
        <f>1-(1-BT251)^12</f>
        <v/>
      </c>
      <c r="BV251" s="13">
        <f>IFERROR(AT251/BR251*(BU251-BASELINE_CPR),0)</f>
        <v/>
      </c>
      <c r="BW251" s="13">
        <f>IFERROR(AU251/BR251*(BU251-BASELINE_CPR),0)</f>
        <v/>
      </c>
      <c r="BX251" s="13">
        <f>IFERROR(AV251/BR251*(BU251-BASELINE_CPR),0)</f>
        <v/>
      </c>
      <c r="BY251" s="13">
        <f>IFERROR(AW251/BR251*(BU251-BASELINE_CPR),0)</f>
        <v/>
      </c>
      <c r="BZ251" s="13">
        <f>IFERROR(AX251/BR251*(BU251-BASELINE_CPR),0)</f>
        <v/>
      </c>
      <c r="CA251" s="13">
        <f>IFERROR(AY251/BR251*(BU251-BASELINE_CPR),0)</f>
        <v/>
      </c>
      <c r="CB251" s="13">
        <f>IFERROR(AZ251/BR251*(BU251-BASELINE_CPR),0)</f>
        <v/>
      </c>
      <c r="CC251" s="13">
        <f>IFERROR(BA251/BR251*(BU251-BASELINE_CPR),0)</f>
        <v/>
      </c>
      <c r="CD251" s="13">
        <f>IFERROR(BB251/BR251*(BU251-BASELINE_CPR),0)</f>
        <v/>
      </c>
      <c r="CE251" s="13">
        <f>IFERROR(BC251/BR251*(BU251-BASELINE_CPR),0)</f>
        <v/>
      </c>
      <c r="CF251" s="13">
        <f>IFERROR(BD251/BR251*(BU251-BASELINE_CPR),0)</f>
        <v/>
      </c>
      <c r="CG251" s="13">
        <f>IFERROR(BE251/BR251*(BU251-BASELINE_CPR),0)</f>
        <v/>
      </c>
      <c r="CH251" s="13">
        <f>IFERROR(BF251/BR251*(BU251-BASELINE_CPR),0)</f>
        <v/>
      </c>
      <c r="CI251" s="13">
        <f>IFERROR(BG251/BR251*(BU251-BASELINE_CPR),0)</f>
        <v/>
      </c>
      <c r="CJ251" s="13">
        <f>IFERROR(BH251/BR251*(BU251-BASELINE_CPR),0)</f>
        <v/>
      </c>
      <c r="CK251" s="13">
        <f>IFERROR(BI251/BR251*(BU251-BASELINE_CPR),0)</f>
        <v/>
      </c>
      <c r="CL251" s="13">
        <f>IFERROR(BJ251/BR251*(BU251-BASELINE_CPR),0)</f>
        <v/>
      </c>
      <c r="CM251" s="13">
        <f>IFERROR(BK251/BR251*(BU251-BASELINE_CPR),0)</f>
        <v/>
      </c>
      <c r="CN251" s="13">
        <f>IFERROR(BL251/BR251*(BU251-BASELINE_CPR),0)</f>
        <v/>
      </c>
      <c r="CO251" s="13">
        <f>IFERROR(BM251/BR251*(BU251-BASELINE_CPR),0)</f>
        <v/>
      </c>
      <c r="CP251" s="13">
        <f>IFERROR(BN251/BR251*(BU251-BASELINE_CPR),0)</f>
        <v/>
      </c>
      <c r="CQ251" s="13">
        <f>IFERROR(BO251/BR251*(BU251-BASELINE_CPR),0)</f>
        <v/>
      </c>
      <c r="CR251" s="13">
        <f>IFERROR(BP251/BR251*(BU251-BASELINE_CPR),0)</f>
        <v/>
      </c>
      <c r="CS251" s="13">
        <f>IFERROR(BQ251/BR251*(BU251-BASELINE_CPR),0)</f>
        <v/>
      </c>
      <c r="CT251" s="29">
        <f>BASELINE_CPR+SUM(BV251:CS251)-BU251</f>
        <v/>
      </c>
    </row>
    <row r="252">
      <c r="A252" s="2" t="inlineStr">
        <is>
          <t>3617JUBZ3_000000007111471</t>
        </is>
      </c>
      <c r="B252" t="inlineStr">
        <is>
          <t>NORTHMARQ_PRE21</t>
        </is>
      </c>
      <c r="C252" s="2" t="inlineStr">
        <is>
          <t>3617JUBZ3</t>
        </is>
      </c>
      <c r="D252" t="inlineStr">
        <is>
          <t>NORTHMARQ FINANCE, LLC</t>
        </is>
      </c>
      <c r="E252" t="inlineStr">
        <is>
          <t>223f</t>
        </is>
      </c>
      <c r="F252" t="inlineStr">
        <is>
          <t>RP</t>
        </is>
      </c>
      <c r="G252" t="n">
        <v>2019</v>
      </c>
      <c r="H252" t="inlineStr">
        <is>
          <t>202602</t>
        </is>
      </c>
      <c r="I252" s="22" t="n">
        <v>5215061.73</v>
      </c>
      <c r="J252" s="23" t="n">
        <v>2.95</v>
      </c>
      <c r="K252" s="24" t="n">
        <v>447</v>
      </c>
      <c r="L252" s="24" t="n">
        <v>5</v>
      </c>
      <c r="M252" t="n">
        <v>78</v>
      </c>
      <c r="N252" t="n">
        <v>6</v>
      </c>
      <c r="O252" t="n">
        <v>205505</v>
      </c>
      <c r="P252" t="inlineStr"/>
      <c r="Q252" t="inlineStr">
        <is>
          <t>4013</t>
        </is>
      </c>
      <c r="R252" t="n">
        <v>0</v>
      </c>
      <c r="S252" t="n">
        <v>0</v>
      </c>
      <c r="T252" t="n">
        <v>0</v>
      </c>
      <c r="U252" t="n">
        <v>0</v>
      </c>
      <c r="V252" s="24">
        <f>J252*100-K252</f>
        <v/>
      </c>
      <c r="W252" s="24">
        <f>L252</f>
        <v/>
      </c>
      <c r="X252" s="25">
        <f>MIN(M252,36)</f>
        <v/>
      </c>
      <c r="Y252" s="25">
        <f>MIN(MAX(M252-36,0),84)</f>
        <v/>
      </c>
      <c r="Z252" s="25">
        <f>MAX(M252-120,0)</f>
        <v/>
      </c>
      <c r="AA252" s="25">
        <f>IF(OR(O252="",NOT(ISNUMBER(O252))),360,MAX(0,MIN(480,(INT(O252/100)-INT(VALUE(H252)/100))*12+MOD(O252,100)-MOD(VALUE(H252),100))))</f>
        <v/>
      </c>
      <c r="AB252">
        <f>IF(AND(AA252&gt;0,AA252&lt;=24),1,0)</f>
        <v/>
      </c>
      <c r="AC252" s="25">
        <f>IF(OR(P252="",NOT(ISNUMBER(P252))),0,MAX(0,MIN(24,(INT(VALUE(H252)/100)-INT(P252/100))*12+MOD(VALUE(H252),100)-MOD(P252,100))))</f>
        <v/>
      </c>
      <c r="AD252" s="23">
        <f>LN(1+I252)</f>
        <v/>
      </c>
      <c r="AE252">
        <f>IF(I252&lt;2000000,1,0)</f>
        <v/>
      </c>
      <c r="AF252">
        <f>IF(I252&gt;50000000,1,0)</f>
        <v/>
      </c>
      <c r="AG252" s="23">
        <f>IF(ISNUMBER(M252),N252/MAX(M252,1),0)</f>
        <v/>
      </c>
      <c r="AH252">
        <f>IF(G252&gt;=2021,1,0)</f>
        <v/>
      </c>
      <c r="AI252">
        <f>S252</f>
        <v/>
      </c>
      <c r="AJ252">
        <f>T252</f>
        <v/>
      </c>
      <c r="AK252">
        <f>R252</f>
        <v/>
      </c>
      <c r="AL252">
        <f>U252</f>
        <v/>
      </c>
      <c r="AM252">
        <f>IF(ISNUMBER(SEARCH("CAPITAL FUNDING",D252)),1,0)</f>
        <v/>
      </c>
      <c r="AN252">
        <f>IF(ISNUMBER(SEARCH("PNC",D252)),1,0)</f>
        <v/>
      </c>
      <c r="AO252">
        <f>IF(ISNUMBER(SEARCH("WELLS FARGO",D252)),1,0)</f>
        <v/>
      </c>
      <c r="AP252">
        <f>IF(ISNUMBER(SEARCH("DWIGHT",D252)),1,0)</f>
        <v/>
      </c>
      <c r="AQ252">
        <f>IF(ISNUMBER(SEARCH("GREYSTONE",D252)),1,0)</f>
        <v/>
      </c>
      <c r="AR252">
        <f>IF(OR(Q252="3896",Q252="3557"),1,0)</f>
        <v/>
      </c>
      <c r="AS252" s="24">
        <f>V252*W252</f>
        <v/>
      </c>
      <c r="AT252" s="26">
        <f>V$4*(V252-V$3)</f>
        <v/>
      </c>
      <c r="AU252" s="26">
        <f>W$4*(W252-W$3)</f>
        <v/>
      </c>
      <c r="AV252" s="26">
        <f>X$4*(X252-X$3)</f>
        <v/>
      </c>
      <c r="AW252" s="26">
        <f>Y$4*(Y252-Y$3)</f>
        <v/>
      </c>
      <c r="AX252" s="26">
        <f>Z$4*(Z252-Z$3)</f>
        <v/>
      </c>
      <c r="AY252" s="26">
        <f>AA$4*(AA252-AA$3)</f>
        <v/>
      </c>
      <c r="AZ252" s="26">
        <f>AB$4*(AB252-AB$3)</f>
        <v/>
      </c>
      <c r="BA252" s="26">
        <f>AC$4*(AC252-AC$3)</f>
        <v/>
      </c>
      <c r="BB252" s="26">
        <f>AD$4*(AD252-AD$3)</f>
        <v/>
      </c>
      <c r="BC252" s="26">
        <f>AE$4*(AE252-AE$3)</f>
        <v/>
      </c>
      <c r="BD252" s="26">
        <f>AF$4*(AF252-AF$3)</f>
        <v/>
      </c>
      <c r="BE252" s="26">
        <f>AG$4*(AG252-AG$3)</f>
        <v/>
      </c>
      <c r="BF252" s="26">
        <f>AH$4*(AH252-AH$3)</f>
        <v/>
      </c>
      <c r="BG252" s="26">
        <f>AI$4*(AI252-AI$3)</f>
        <v/>
      </c>
      <c r="BH252" s="26">
        <f>AJ$4*(AJ252-AJ$3)</f>
        <v/>
      </c>
      <c r="BI252" s="26">
        <f>AK$4*(AK252-AK$3)</f>
        <v/>
      </c>
      <c r="BJ252" s="26">
        <f>AL$4*(AL252-AL$3)</f>
        <v/>
      </c>
      <c r="BK252" s="26">
        <f>AM$4*(AM252-AM$3)</f>
        <v/>
      </c>
      <c r="BL252" s="26">
        <f>AN$4*(AN252-AN$3)</f>
        <v/>
      </c>
      <c r="BM252" s="26">
        <f>AO$4*(AO252-AO$3)</f>
        <v/>
      </c>
      <c r="BN252" s="26">
        <f>AP$4*(AP252-AP$3)</f>
        <v/>
      </c>
      <c r="BO252" s="26">
        <f>AQ$4*(AQ252-AQ$3)</f>
        <v/>
      </c>
      <c r="BP252" s="26">
        <f>AR$4*(AR252-AR$3)</f>
        <v/>
      </c>
      <c r="BQ252" s="26">
        <f>AS$4*(AS252-AS$3)</f>
        <v/>
      </c>
      <c r="BR252" s="27">
        <f>SUM(AT252:BQ252)</f>
        <v/>
      </c>
      <c r="BS252" s="27">
        <f>INTERCEPT_SCALED+BR252</f>
        <v/>
      </c>
      <c r="BT252" s="28">
        <f>1/(1+EXP(-BS252))</f>
        <v/>
      </c>
      <c r="BU252" s="13">
        <f>1-(1-BT252)^12</f>
        <v/>
      </c>
      <c r="BV252" s="13">
        <f>IFERROR(AT252/BR252*(BU252-BASELINE_CPR),0)</f>
        <v/>
      </c>
      <c r="BW252" s="13">
        <f>IFERROR(AU252/BR252*(BU252-BASELINE_CPR),0)</f>
        <v/>
      </c>
      <c r="BX252" s="13">
        <f>IFERROR(AV252/BR252*(BU252-BASELINE_CPR),0)</f>
        <v/>
      </c>
      <c r="BY252" s="13">
        <f>IFERROR(AW252/BR252*(BU252-BASELINE_CPR),0)</f>
        <v/>
      </c>
      <c r="BZ252" s="13">
        <f>IFERROR(AX252/BR252*(BU252-BASELINE_CPR),0)</f>
        <v/>
      </c>
      <c r="CA252" s="13">
        <f>IFERROR(AY252/BR252*(BU252-BASELINE_CPR),0)</f>
        <v/>
      </c>
      <c r="CB252" s="13">
        <f>IFERROR(AZ252/BR252*(BU252-BASELINE_CPR),0)</f>
        <v/>
      </c>
      <c r="CC252" s="13">
        <f>IFERROR(BA252/BR252*(BU252-BASELINE_CPR),0)</f>
        <v/>
      </c>
      <c r="CD252" s="13">
        <f>IFERROR(BB252/BR252*(BU252-BASELINE_CPR),0)</f>
        <v/>
      </c>
      <c r="CE252" s="13">
        <f>IFERROR(BC252/BR252*(BU252-BASELINE_CPR),0)</f>
        <v/>
      </c>
      <c r="CF252" s="13">
        <f>IFERROR(BD252/BR252*(BU252-BASELINE_CPR),0)</f>
        <v/>
      </c>
      <c r="CG252" s="13">
        <f>IFERROR(BE252/BR252*(BU252-BASELINE_CPR),0)</f>
        <v/>
      </c>
      <c r="CH252" s="13">
        <f>IFERROR(BF252/BR252*(BU252-BASELINE_CPR),0)</f>
        <v/>
      </c>
      <c r="CI252" s="13">
        <f>IFERROR(BG252/BR252*(BU252-BASELINE_CPR),0)</f>
        <v/>
      </c>
      <c r="CJ252" s="13">
        <f>IFERROR(BH252/BR252*(BU252-BASELINE_CPR),0)</f>
        <v/>
      </c>
      <c r="CK252" s="13">
        <f>IFERROR(BI252/BR252*(BU252-BASELINE_CPR),0)</f>
        <v/>
      </c>
      <c r="CL252" s="13">
        <f>IFERROR(BJ252/BR252*(BU252-BASELINE_CPR),0)</f>
        <v/>
      </c>
      <c r="CM252" s="13">
        <f>IFERROR(BK252/BR252*(BU252-BASELINE_CPR),0)</f>
        <v/>
      </c>
      <c r="CN252" s="13">
        <f>IFERROR(BL252/BR252*(BU252-BASELINE_CPR),0)</f>
        <v/>
      </c>
      <c r="CO252" s="13">
        <f>IFERROR(BM252/BR252*(BU252-BASELINE_CPR),0)</f>
        <v/>
      </c>
      <c r="CP252" s="13">
        <f>IFERROR(BN252/BR252*(BU252-BASELINE_CPR),0)</f>
        <v/>
      </c>
      <c r="CQ252" s="13">
        <f>IFERROR(BO252/BR252*(BU252-BASELINE_CPR),0)</f>
        <v/>
      </c>
      <c r="CR252" s="13">
        <f>IFERROR(BP252/BR252*(BU252-BASELINE_CPR),0)</f>
        <v/>
      </c>
      <c r="CS252" s="13">
        <f>IFERROR(BQ252/BR252*(BU252-BASELINE_CPR),0)</f>
        <v/>
      </c>
      <c r="CT252" s="29">
        <f>BASELINE_CPR+SUM(BV252:CS252)-BU252</f>
        <v/>
      </c>
    </row>
    <row r="253">
      <c r="A253" s="2" t="inlineStr">
        <is>
          <t>3617Y1NF1_000000006611272</t>
        </is>
      </c>
      <c r="B253" t="inlineStr">
        <is>
          <t>NORTHMARQ_POST21</t>
        </is>
      </c>
      <c r="C253" s="2" t="inlineStr">
        <is>
          <t>3617Y1NF1</t>
        </is>
      </c>
      <c r="D253" t="inlineStr">
        <is>
          <t>NORTHMARQ FINANCE, LLC</t>
        </is>
      </c>
      <c r="E253" t="inlineStr">
        <is>
          <t>223f</t>
        </is>
      </c>
      <c r="F253" t="inlineStr">
        <is>
          <t>RP</t>
        </is>
      </c>
      <c r="G253" t="n">
        <v>2022</v>
      </c>
      <c r="H253" t="inlineStr">
        <is>
          <t>202602</t>
        </is>
      </c>
      <c r="I253" s="22" t="n">
        <v>30546412.94</v>
      </c>
      <c r="J253" s="23" t="n">
        <v>2.55</v>
      </c>
      <c r="K253" s="24" t="n">
        <v>447</v>
      </c>
      <c r="L253" s="24" t="n">
        <v>7</v>
      </c>
      <c r="M253" t="n">
        <v>46</v>
      </c>
      <c r="N253" t="n">
        <v>0</v>
      </c>
      <c r="O253" t="n">
        <v>205705</v>
      </c>
      <c r="P253" t="inlineStr"/>
      <c r="Q253" t="inlineStr">
        <is>
          <t>4013</t>
        </is>
      </c>
      <c r="R253" t="n">
        <v>0</v>
      </c>
      <c r="S253" t="n">
        <v>0</v>
      </c>
      <c r="T253" t="n">
        <v>0</v>
      </c>
      <c r="U253" t="n">
        <v>0</v>
      </c>
      <c r="V253" s="24">
        <f>J253*100-K253</f>
        <v/>
      </c>
      <c r="W253" s="24">
        <f>L253</f>
        <v/>
      </c>
      <c r="X253" s="25">
        <f>MIN(M253,36)</f>
        <v/>
      </c>
      <c r="Y253" s="25">
        <f>MIN(MAX(M253-36,0),84)</f>
        <v/>
      </c>
      <c r="Z253" s="25">
        <f>MAX(M253-120,0)</f>
        <v/>
      </c>
      <c r="AA253" s="25">
        <f>IF(OR(O253="",NOT(ISNUMBER(O253))),360,MAX(0,MIN(480,(INT(O253/100)-INT(VALUE(H253)/100))*12+MOD(O253,100)-MOD(VALUE(H253),100))))</f>
        <v/>
      </c>
      <c r="AB253">
        <f>IF(AND(AA253&gt;0,AA253&lt;=24),1,0)</f>
        <v/>
      </c>
      <c r="AC253" s="25">
        <f>IF(OR(P253="",NOT(ISNUMBER(P253))),0,MAX(0,MIN(24,(INT(VALUE(H253)/100)-INT(P253/100))*12+MOD(VALUE(H253),100)-MOD(P253,100))))</f>
        <v/>
      </c>
      <c r="AD253" s="23">
        <f>LN(1+I253)</f>
        <v/>
      </c>
      <c r="AE253">
        <f>IF(I253&lt;2000000,1,0)</f>
        <v/>
      </c>
      <c r="AF253">
        <f>IF(I253&gt;50000000,1,0)</f>
        <v/>
      </c>
      <c r="AG253" s="23">
        <f>IF(ISNUMBER(M253),N253/MAX(M253,1),0)</f>
        <v/>
      </c>
      <c r="AH253">
        <f>IF(G253&gt;=2021,1,0)</f>
        <v/>
      </c>
      <c r="AI253">
        <f>S253</f>
        <v/>
      </c>
      <c r="AJ253">
        <f>T253</f>
        <v/>
      </c>
      <c r="AK253">
        <f>R253</f>
        <v/>
      </c>
      <c r="AL253">
        <f>U253</f>
        <v/>
      </c>
      <c r="AM253">
        <f>IF(ISNUMBER(SEARCH("CAPITAL FUNDING",D253)),1,0)</f>
        <v/>
      </c>
      <c r="AN253">
        <f>IF(ISNUMBER(SEARCH("PNC",D253)),1,0)</f>
        <v/>
      </c>
      <c r="AO253">
        <f>IF(ISNUMBER(SEARCH("WELLS FARGO",D253)),1,0)</f>
        <v/>
      </c>
      <c r="AP253">
        <f>IF(ISNUMBER(SEARCH("DWIGHT",D253)),1,0)</f>
        <v/>
      </c>
      <c r="AQ253">
        <f>IF(ISNUMBER(SEARCH("GREYSTONE",D253)),1,0)</f>
        <v/>
      </c>
      <c r="AR253">
        <f>IF(OR(Q253="3896",Q253="3557"),1,0)</f>
        <v/>
      </c>
      <c r="AS253" s="24">
        <f>V253*W253</f>
        <v/>
      </c>
      <c r="AT253" s="26">
        <f>V$4*(V253-V$3)</f>
        <v/>
      </c>
      <c r="AU253" s="26">
        <f>W$4*(W253-W$3)</f>
        <v/>
      </c>
      <c r="AV253" s="26">
        <f>X$4*(X253-X$3)</f>
        <v/>
      </c>
      <c r="AW253" s="26">
        <f>Y$4*(Y253-Y$3)</f>
        <v/>
      </c>
      <c r="AX253" s="26">
        <f>Z$4*(Z253-Z$3)</f>
        <v/>
      </c>
      <c r="AY253" s="26">
        <f>AA$4*(AA253-AA$3)</f>
        <v/>
      </c>
      <c r="AZ253" s="26">
        <f>AB$4*(AB253-AB$3)</f>
        <v/>
      </c>
      <c r="BA253" s="26">
        <f>AC$4*(AC253-AC$3)</f>
        <v/>
      </c>
      <c r="BB253" s="26">
        <f>AD$4*(AD253-AD$3)</f>
        <v/>
      </c>
      <c r="BC253" s="26">
        <f>AE$4*(AE253-AE$3)</f>
        <v/>
      </c>
      <c r="BD253" s="26">
        <f>AF$4*(AF253-AF$3)</f>
        <v/>
      </c>
      <c r="BE253" s="26">
        <f>AG$4*(AG253-AG$3)</f>
        <v/>
      </c>
      <c r="BF253" s="26">
        <f>AH$4*(AH253-AH$3)</f>
        <v/>
      </c>
      <c r="BG253" s="26">
        <f>AI$4*(AI253-AI$3)</f>
        <v/>
      </c>
      <c r="BH253" s="26">
        <f>AJ$4*(AJ253-AJ$3)</f>
        <v/>
      </c>
      <c r="BI253" s="26">
        <f>AK$4*(AK253-AK$3)</f>
        <v/>
      </c>
      <c r="BJ253" s="26">
        <f>AL$4*(AL253-AL$3)</f>
        <v/>
      </c>
      <c r="BK253" s="26">
        <f>AM$4*(AM253-AM$3)</f>
        <v/>
      </c>
      <c r="BL253" s="26">
        <f>AN$4*(AN253-AN$3)</f>
        <v/>
      </c>
      <c r="BM253" s="26">
        <f>AO$4*(AO253-AO$3)</f>
        <v/>
      </c>
      <c r="BN253" s="26">
        <f>AP$4*(AP253-AP$3)</f>
        <v/>
      </c>
      <c r="BO253" s="26">
        <f>AQ$4*(AQ253-AQ$3)</f>
        <v/>
      </c>
      <c r="BP253" s="26">
        <f>AR$4*(AR253-AR$3)</f>
        <v/>
      </c>
      <c r="BQ253" s="26">
        <f>AS$4*(AS253-AS$3)</f>
        <v/>
      </c>
      <c r="BR253" s="27">
        <f>SUM(AT253:BQ253)</f>
        <v/>
      </c>
      <c r="BS253" s="27">
        <f>INTERCEPT_SCALED+BR253</f>
        <v/>
      </c>
      <c r="BT253" s="28">
        <f>1/(1+EXP(-BS253))</f>
        <v/>
      </c>
      <c r="BU253" s="13">
        <f>1-(1-BT253)^12</f>
        <v/>
      </c>
      <c r="BV253" s="13">
        <f>IFERROR(AT253/BR253*(BU253-BASELINE_CPR),0)</f>
        <v/>
      </c>
      <c r="BW253" s="13">
        <f>IFERROR(AU253/BR253*(BU253-BASELINE_CPR),0)</f>
        <v/>
      </c>
      <c r="BX253" s="13">
        <f>IFERROR(AV253/BR253*(BU253-BASELINE_CPR),0)</f>
        <v/>
      </c>
      <c r="BY253" s="13">
        <f>IFERROR(AW253/BR253*(BU253-BASELINE_CPR),0)</f>
        <v/>
      </c>
      <c r="BZ253" s="13">
        <f>IFERROR(AX253/BR253*(BU253-BASELINE_CPR),0)</f>
        <v/>
      </c>
      <c r="CA253" s="13">
        <f>IFERROR(AY253/BR253*(BU253-BASELINE_CPR),0)</f>
        <v/>
      </c>
      <c r="CB253" s="13">
        <f>IFERROR(AZ253/BR253*(BU253-BASELINE_CPR),0)</f>
        <v/>
      </c>
      <c r="CC253" s="13">
        <f>IFERROR(BA253/BR253*(BU253-BASELINE_CPR),0)</f>
        <v/>
      </c>
      <c r="CD253" s="13">
        <f>IFERROR(BB253/BR253*(BU253-BASELINE_CPR),0)</f>
        <v/>
      </c>
      <c r="CE253" s="13">
        <f>IFERROR(BC253/BR253*(BU253-BASELINE_CPR),0)</f>
        <v/>
      </c>
      <c r="CF253" s="13">
        <f>IFERROR(BD253/BR253*(BU253-BASELINE_CPR),0)</f>
        <v/>
      </c>
      <c r="CG253" s="13">
        <f>IFERROR(BE253/BR253*(BU253-BASELINE_CPR),0)</f>
        <v/>
      </c>
      <c r="CH253" s="13">
        <f>IFERROR(BF253/BR253*(BU253-BASELINE_CPR),0)</f>
        <v/>
      </c>
      <c r="CI253" s="13">
        <f>IFERROR(BG253/BR253*(BU253-BASELINE_CPR),0)</f>
        <v/>
      </c>
      <c r="CJ253" s="13">
        <f>IFERROR(BH253/BR253*(BU253-BASELINE_CPR),0)</f>
        <v/>
      </c>
      <c r="CK253" s="13">
        <f>IFERROR(BI253/BR253*(BU253-BASELINE_CPR),0)</f>
        <v/>
      </c>
      <c r="CL253" s="13">
        <f>IFERROR(BJ253/BR253*(BU253-BASELINE_CPR),0)</f>
        <v/>
      </c>
      <c r="CM253" s="13">
        <f>IFERROR(BK253/BR253*(BU253-BASELINE_CPR),0)</f>
        <v/>
      </c>
      <c r="CN253" s="13">
        <f>IFERROR(BL253/BR253*(BU253-BASELINE_CPR),0)</f>
        <v/>
      </c>
      <c r="CO253" s="13">
        <f>IFERROR(BM253/BR253*(BU253-BASELINE_CPR),0)</f>
        <v/>
      </c>
      <c r="CP253" s="13">
        <f>IFERROR(BN253/BR253*(BU253-BASELINE_CPR),0)</f>
        <v/>
      </c>
      <c r="CQ253" s="13">
        <f>IFERROR(BO253/BR253*(BU253-BASELINE_CPR),0)</f>
        <v/>
      </c>
      <c r="CR253" s="13">
        <f>IFERROR(BP253/BR253*(BU253-BASELINE_CPR),0)</f>
        <v/>
      </c>
      <c r="CS253" s="13">
        <f>IFERROR(BQ253/BR253*(BU253-BASELINE_CPR),0)</f>
        <v/>
      </c>
      <c r="CT253" s="29">
        <f>BASELINE_CPR+SUM(BV253:CS253)-BU253</f>
        <v/>
      </c>
    </row>
    <row r="254">
      <c r="A254" s="2" t="inlineStr">
        <is>
          <t>3617UXZ62_000000005111491</t>
        </is>
      </c>
      <c r="B254" t="inlineStr">
        <is>
          <t>NORTHMARQ_POST21</t>
        </is>
      </c>
      <c r="C254" s="2" t="inlineStr">
        <is>
          <t>3617UXZ62</t>
        </is>
      </c>
      <c r="D254" t="inlineStr">
        <is>
          <t>NORTHMARQ FINANCE, LLC</t>
        </is>
      </c>
      <c r="E254" t="inlineStr">
        <is>
          <t>223f</t>
        </is>
      </c>
      <c r="F254" t="inlineStr">
        <is>
          <t>RP</t>
        </is>
      </c>
      <c r="G254" t="n">
        <v>2021</v>
      </c>
      <c r="H254" t="inlineStr">
        <is>
          <t>202602</t>
        </is>
      </c>
      <c r="I254" s="22" t="n">
        <v>33362529.06</v>
      </c>
      <c r="J254" s="23" t="n">
        <v>2.59</v>
      </c>
      <c r="K254" s="24" t="n">
        <v>447</v>
      </c>
      <c r="L254" s="24" t="n">
        <v>6</v>
      </c>
      <c r="M254" t="n">
        <v>56</v>
      </c>
      <c r="N254" t="n">
        <v>0</v>
      </c>
      <c r="O254" t="n">
        <v>205607</v>
      </c>
      <c r="P254" t="inlineStr"/>
      <c r="Q254" t="inlineStr">
        <is>
          <t>4013</t>
        </is>
      </c>
      <c r="R254" t="n">
        <v>0</v>
      </c>
      <c r="S254" t="n">
        <v>0</v>
      </c>
      <c r="T254" t="n">
        <v>0</v>
      </c>
      <c r="U254" t="n">
        <v>0</v>
      </c>
      <c r="V254" s="24">
        <f>J254*100-K254</f>
        <v/>
      </c>
      <c r="W254" s="24">
        <f>L254</f>
        <v/>
      </c>
      <c r="X254" s="25">
        <f>MIN(M254,36)</f>
        <v/>
      </c>
      <c r="Y254" s="25">
        <f>MIN(MAX(M254-36,0),84)</f>
        <v/>
      </c>
      <c r="Z254" s="25">
        <f>MAX(M254-120,0)</f>
        <v/>
      </c>
      <c r="AA254" s="25">
        <f>IF(OR(O254="",NOT(ISNUMBER(O254))),360,MAX(0,MIN(480,(INT(O254/100)-INT(VALUE(H254)/100))*12+MOD(O254,100)-MOD(VALUE(H254),100))))</f>
        <v/>
      </c>
      <c r="AB254">
        <f>IF(AND(AA254&gt;0,AA254&lt;=24),1,0)</f>
        <v/>
      </c>
      <c r="AC254" s="25">
        <f>IF(OR(P254="",NOT(ISNUMBER(P254))),0,MAX(0,MIN(24,(INT(VALUE(H254)/100)-INT(P254/100))*12+MOD(VALUE(H254),100)-MOD(P254,100))))</f>
        <v/>
      </c>
      <c r="AD254" s="23">
        <f>LN(1+I254)</f>
        <v/>
      </c>
      <c r="AE254">
        <f>IF(I254&lt;2000000,1,0)</f>
        <v/>
      </c>
      <c r="AF254">
        <f>IF(I254&gt;50000000,1,0)</f>
        <v/>
      </c>
      <c r="AG254" s="23">
        <f>IF(ISNUMBER(M254),N254/MAX(M254,1),0)</f>
        <v/>
      </c>
      <c r="AH254">
        <f>IF(G254&gt;=2021,1,0)</f>
        <v/>
      </c>
      <c r="AI254">
        <f>S254</f>
        <v/>
      </c>
      <c r="AJ254">
        <f>T254</f>
        <v/>
      </c>
      <c r="AK254">
        <f>R254</f>
        <v/>
      </c>
      <c r="AL254">
        <f>U254</f>
        <v/>
      </c>
      <c r="AM254">
        <f>IF(ISNUMBER(SEARCH("CAPITAL FUNDING",D254)),1,0)</f>
        <v/>
      </c>
      <c r="AN254">
        <f>IF(ISNUMBER(SEARCH("PNC",D254)),1,0)</f>
        <v/>
      </c>
      <c r="AO254">
        <f>IF(ISNUMBER(SEARCH("WELLS FARGO",D254)),1,0)</f>
        <v/>
      </c>
      <c r="AP254">
        <f>IF(ISNUMBER(SEARCH("DWIGHT",D254)),1,0)</f>
        <v/>
      </c>
      <c r="AQ254">
        <f>IF(ISNUMBER(SEARCH("GREYSTONE",D254)),1,0)</f>
        <v/>
      </c>
      <c r="AR254">
        <f>IF(OR(Q254="3896",Q254="3557"),1,0)</f>
        <v/>
      </c>
      <c r="AS254" s="24">
        <f>V254*W254</f>
        <v/>
      </c>
      <c r="AT254" s="26">
        <f>V$4*(V254-V$3)</f>
        <v/>
      </c>
      <c r="AU254" s="26">
        <f>W$4*(W254-W$3)</f>
        <v/>
      </c>
      <c r="AV254" s="26">
        <f>X$4*(X254-X$3)</f>
        <v/>
      </c>
      <c r="AW254" s="26">
        <f>Y$4*(Y254-Y$3)</f>
        <v/>
      </c>
      <c r="AX254" s="26">
        <f>Z$4*(Z254-Z$3)</f>
        <v/>
      </c>
      <c r="AY254" s="26">
        <f>AA$4*(AA254-AA$3)</f>
        <v/>
      </c>
      <c r="AZ254" s="26">
        <f>AB$4*(AB254-AB$3)</f>
        <v/>
      </c>
      <c r="BA254" s="26">
        <f>AC$4*(AC254-AC$3)</f>
        <v/>
      </c>
      <c r="BB254" s="26">
        <f>AD$4*(AD254-AD$3)</f>
        <v/>
      </c>
      <c r="BC254" s="26">
        <f>AE$4*(AE254-AE$3)</f>
        <v/>
      </c>
      <c r="BD254" s="26">
        <f>AF$4*(AF254-AF$3)</f>
        <v/>
      </c>
      <c r="BE254" s="26">
        <f>AG$4*(AG254-AG$3)</f>
        <v/>
      </c>
      <c r="BF254" s="26">
        <f>AH$4*(AH254-AH$3)</f>
        <v/>
      </c>
      <c r="BG254" s="26">
        <f>AI$4*(AI254-AI$3)</f>
        <v/>
      </c>
      <c r="BH254" s="26">
        <f>AJ$4*(AJ254-AJ$3)</f>
        <v/>
      </c>
      <c r="BI254" s="26">
        <f>AK$4*(AK254-AK$3)</f>
        <v/>
      </c>
      <c r="BJ254" s="26">
        <f>AL$4*(AL254-AL$3)</f>
        <v/>
      </c>
      <c r="BK254" s="26">
        <f>AM$4*(AM254-AM$3)</f>
        <v/>
      </c>
      <c r="BL254" s="26">
        <f>AN$4*(AN254-AN$3)</f>
        <v/>
      </c>
      <c r="BM254" s="26">
        <f>AO$4*(AO254-AO$3)</f>
        <v/>
      </c>
      <c r="BN254" s="26">
        <f>AP$4*(AP254-AP$3)</f>
        <v/>
      </c>
      <c r="BO254" s="26">
        <f>AQ$4*(AQ254-AQ$3)</f>
        <v/>
      </c>
      <c r="BP254" s="26">
        <f>AR$4*(AR254-AR$3)</f>
        <v/>
      </c>
      <c r="BQ254" s="26">
        <f>AS$4*(AS254-AS$3)</f>
        <v/>
      </c>
      <c r="BR254" s="27">
        <f>SUM(AT254:BQ254)</f>
        <v/>
      </c>
      <c r="BS254" s="27">
        <f>INTERCEPT_SCALED+BR254</f>
        <v/>
      </c>
      <c r="BT254" s="28">
        <f>1/(1+EXP(-BS254))</f>
        <v/>
      </c>
      <c r="BU254" s="13">
        <f>1-(1-BT254)^12</f>
        <v/>
      </c>
      <c r="BV254" s="13">
        <f>IFERROR(AT254/BR254*(BU254-BASELINE_CPR),0)</f>
        <v/>
      </c>
      <c r="BW254" s="13">
        <f>IFERROR(AU254/BR254*(BU254-BASELINE_CPR),0)</f>
        <v/>
      </c>
      <c r="BX254" s="13">
        <f>IFERROR(AV254/BR254*(BU254-BASELINE_CPR),0)</f>
        <v/>
      </c>
      <c r="BY254" s="13">
        <f>IFERROR(AW254/BR254*(BU254-BASELINE_CPR),0)</f>
        <v/>
      </c>
      <c r="BZ254" s="13">
        <f>IFERROR(AX254/BR254*(BU254-BASELINE_CPR),0)</f>
        <v/>
      </c>
      <c r="CA254" s="13">
        <f>IFERROR(AY254/BR254*(BU254-BASELINE_CPR),0)</f>
        <v/>
      </c>
      <c r="CB254" s="13">
        <f>IFERROR(AZ254/BR254*(BU254-BASELINE_CPR),0)</f>
        <v/>
      </c>
      <c r="CC254" s="13">
        <f>IFERROR(BA254/BR254*(BU254-BASELINE_CPR),0)</f>
        <v/>
      </c>
      <c r="CD254" s="13">
        <f>IFERROR(BB254/BR254*(BU254-BASELINE_CPR),0)</f>
        <v/>
      </c>
      <c r="CE254" s="13">
        <f>IFERROR(BC254/BR254*(BU254-BASELINE_CPR),0)</f>
        <v/>
      </c>
      <c r="CF254" s="13">
        <f>IFERROR(BD254/BR254*(BU254-BASELINE_CPR),0)</f>
        <v/>
      </c>
      <c r="CG254" s="13">
        <f>IFERROR(BE254/BR254*(BU254-BASELINE_CPR),0)</f>
        <v/>
      </c>
      <c r="CH254" s="13">
        <f>IFERROR(BF254/BR254*(BU254-BASELINE_CPR),0)</f>
        <v/>
      </c>
      <c r="CI254" s="13">
        <f>IFERROR(BG254/BR254*(BU254-BASELINE_CPR),0)</f>
        <v/>
      </c>
      <c r="CJ254" s="13">
        <f>IFERROR(BH254/BR254*(BU254-BASELINE_CPR),0)</f>
        <v/>
      </c>
      <c r="CK254" s="13">
        <f>IFERROR(BI254/BR254*(BU254-BASELINE_CPR),0)</f>
        <v/>
      </c>
      <c r="CL254" s="13">
        <f>IFERROR(BJ254/BR254*(BU254-BASELINE_CPR),0)</f>
        <v/>
      </c>
      <c r="CM254" s="13">
        <f>IFERROR(BK254/BR254*(BU254-BASELINE_CPR),0)</f>
        <v/>
      </c>
      <c r="CN254" s="13">
        <f>IFERROR(BL254/BR254*(BU254-BASELINE_CPR),0)</f>
        <v/>
      </c>
      <c r="CO254" s="13">
        <f>IFERROR(BM254/BR254*(BU254-BASELINE_CPR),0)</f>
        <v/>
      </c>
      <c r="CP254" s="13">
        <f>IFERROR(BN254/BR254*(BU254-BASELINE_CPR),0)</f>
        <v/>
      </c>
      <c r="CQ254" s="13">
        <f>IFERROR(BO254/BR254*(BU254-BASELINE_CPR),0)</f>
        <v/>
      </c>
      <c r="CR254" s="13">
        <f>IFERROR(BP254/BR254*(BU254-BASELINE_CPR),0)</f>
        <v/>
      </c>
      <c r="CS254" s="13">
        <f>IFERROR(BQ254/BR254*(BU254-BASELINE_CPR),0)</f>
        <v/>
      </c>
      <c r="CT254" s="29">
        <f>BASELINE_CPR+SUM(BV254:CS254)-BU254</f>
        <v/>
      </c>
    </row>
    <row r="255">
      <c r="A255" s="2" t="inlineStr">
        <is>
          <t>3617QBNW1_000000014311217</t>
        </is>
      </c>
      <c r="B255" t="inlineStr">
        <is>
          <t>NORTHMARQ_PRE21</t>
        </is>
      </c>
      <c r="C255" s="2" t="inlineStr">
        <is>
          <t>3617QBNW1</t>
        </is>
      </c>
      <c r="D255" t="inlineStr">
        <is>
          <t>NORTHMARQ FINANCE, LLC</t>
        </is>
      </c>
      <c r="E255" t="inlineStr">
        <is>
          <t>223f</t>
        </is>
      </c>
      <c r="F255" t="inlineStr">
        <is>
          <t>RP</t>
        </is>
      </c>
      <c r="G255" t="n">
        <v>2020</v>
      </c>
      <c r="H255" t="inlineStr">
        <is>
          <t>202602</t>
        </is>
      </c>
      <c r="I255" s="22" t="n">
        <v>25166647.59</v>
      </c>
      <c r="J255" s="23" t="n">
        <v>2.25</v>
      </c>
      <c r="K255" s="24" t="n">
        <v>447</v>
      </c>
      <c r="L255" s="24" t="n">
        <v>5</v>
      </c>
      <c r="M255" t="n">
        <v>62</v>
      </c>
      <c r="N255" t="n">
        <v>0</v>
      </c>
      <c r="O255" t="n">
        <v>205601</v>
      </c>
      <c r="P255" t="inlineStr"/>
      <c r="Q255" t="inlineStr">
        <is>
          <t>4013</t>
        </is>
      </c>
      <c r="R255" t="n">
        <v>0</v>
      </c>
      <c r="S255" t="n">
        <v>0</v>
      </c>
      <c r="T255" t="n">
        <v>0</v>
      </c>
      <c r="U255" t="n">
        <v>0</v>
      </c>
      <c r="V255" s="24">
        <f>J255*100-K255</f>
        <v/>
      </c>
      <c r="W255" s="24">
        <f>L255</f>
        <v/>
      </c>
      <c r="X255" s="25">
        <f>MIN(M255,36)</f>
        <v/>
      </c>
      <c r="Y255" s="25">
        <f>MIN(MAX(M255-36,0),84)</f>
        <v/>
      </c>
      <c r="Z255" s="25">
        <f>MAX(M255-120,0)</f>
        <v/>
      </c>
      <c r="AA255" s="25">
        <f>IF(OR(O255="",NOT(ISNUMBER(O255))),360,MAX(0,MIN(480,(INT(O255/100)-INT(VALUE(H255)/100))*12+MOD(O255,100)-MOD(VALUE(H255),100))))</f>
        <v/>
      </c>
      <c r="AB255">
        <f>IF(AND(AA255&gt;0,AA255&lt;=24),1,0)</f>
        <v/>
      </c>
      <c r="AC255" s="25">
        <f>IF(OR(P255="",NOT(ISNUMBER(P255))),0,MAX(0,MIN(24,(INT(VALUE(H255)/100)-INT(P255/100))*12+MOD(VALUE(H255),100)-MOD(P255,100))))</f>
        <v/>
      </c>
      <c r="AD255" s="23">
        <f>LN(1+I255)</f>
        <v/>
      </c>
      <c r="AE255">
        <f>IF(I255&lt;2000000,1,0)</f>
        <v/>
      </c>
      <c r="AF255">
        <f>IF(I255&gt;50000000,1,0)</f>
        <v/>
      </c>
      <c r="AG255" s="23">
        <f>IF(ISNUMBER(M255),N255/MAX(M255,1),0)</f>
        <v/>
      </c>
      <c r="AH255">
        <f>IF(G255&gt;=2021,1,0)</f>
        <v/>
      </c>
      <c r="AI255">
        <f>S255</f>
        <v/>
      </c>
      <c r="AJ255">
        <f>T255</f>
        <v/>
      </c>
      <c r="AK255">
        <f>R255</f>
        <v/>
      </c>
      <c r="AL255">
        <f>U255</f>
        <v/>
      </c>
      <c r="AM255">
        <f>IF(ISNUMBER(SEARCH("CAPITAL FUNDING",D255)),1,0)</f>
        <v/>
      </c>
      <c r="AN255">
        <f>IF(ISNUMBER(SEARCH("PNC",D255)),1,0)</f>
        <v/>
      </c>
      <c r="AO255">
        <f>IF(ISNUMBER(SEARCH("WELLS FARGO",D255)),1,0)</f>
        <v/>
      </c>
      <c r="AP255">
        <f>IF(ISNUMBER(SEARCH("DWIGHT",D255)),1,0)</f>
        <v/>
      </c>
      <c r="AQ255">
        <f>IF(ISNUMBER(SEARCH("GREYSTONE",D255)),1,0)</f>
        <v/>
      </c>
      <c r="AR255">
        <f>IF(OR(Q255="3896",Q255="3557"),1,0)</f>
        <v/>
      </c>
      <c r="AS255" s="24">
        <f>V255*W255</f>
        <v/>
      </c>
      <c r="AT255" s="26">
        <f>V$4*(V255-V$3)</f>
        <v/>
      </c>
      <c r="AU255" s="26">
        <f>W$4*(W255-W$3)</f>
        <v/>
      </c>
      <c r="AV255" s="26">
        <f>X$4*(X255-X$3)</f>
        <v/>
      </c>
      <c r="AW255" s="26">
        <f>Y$4*(Y255-Y$3)</f>
        <v/>
      </c>
      <c r="AX255" s="26">
        <f>Z$4*(Z255-Z$3)</f>
        <v/>
      </c>
      <c r="AY255" s="26">
        <f>AA$4*(AA255-AA$3)</f>
        <v/>
      </c>
      <c r="AZ255" s="26">
        <f>AB$4*(AB255-AB$3)</f>
        <v/>
      </c>
      <c r="BA255" s="26">
        <f>AC$4*(AC255-AC$3)</f>
        <v/>
      </c>
      <c r="BB255" s="26">
        <f>AD$4*(AD255-AD$3)</f>
        <v/>
      </c>
      <c r="BC255" s="26">
        <f>AE$4*(AE255-AE$3)</f>
        <v/>
      </c>
      <c r="BD255" s="26">
        <f>AF$4*(AF255-AF$3)</f>
        <v/>
      </c>
      <c r="BE255" s="26">
        <f>AG$4*(AG255-AG$3)</f>
        <v/>
      </c>
      <c r="BF255" s="26">
        <f>AH$4*(AH255-AH$3)</f>
        <v/>
      </c>
      <c r="BG255" s="26">
        <f>AI$4*(AI255-AI$3)</f>
        <v/>
      </c>
      <c r="BH255" s="26">
        <f>AJ$4*(AJ255-AJ$3)</f>
        <v/>
      </c>
      <c r="BI255" s="26">
        <f>AK$4*(AK255-AK$3)</f>
        <v/>
      </c>
      <c r="BJ255" s="26">
        <f>AL$4*(AL255-AL$3)</f>
        <v/>
      </c>
      <c r="BK255" s="26">
        <f>AM$4*(AM255-AM$3)</f>
        <v/>
      </c>
      <c r="BL255" s="26">
        <f>AN$4*(AN255-AN$3)</f>
        <v/>
      </c>
      <c r="BM255" s="26">
        <f>AO$4*(AO255-AO$3)</f>
        <v/>
      </c>
      <c r="BN255" s="26">
        <f>AP$4*(AP255-AP$3)</f>
        <v/>
      </c>
      <c r="BO255" s="26">
        <f>AQ$4*(AQ255-AQ$3)</f>
        <v/>
      </c>
      <c r="BP255" s="26">
        <f>AR$4*(AR255-AR$3)</f>
        <v/>
      </c>
      <c r="BQ255" s="26">
        <f>AS$4*(AS255-AS$3)</f>
        <v/>
      </c>
      <c r="BR255" s="27">
        <f>SUM(AT255:BQ255)</f>
        <v/>
      </c>
      <c r="BS255" s="27">
        <f>INTERCEPT_SCALED+BR255</f>
        <v/>
      </c>
      <c r="BT255" s="28">
        <f>1/(1+EXP(-BS255))</f>
        <v/>
      </c>
      <c r="BU255" s="13">
        <f>1-(1-BT255)^12</f>
        <v/>
      </c>
      <c r="BV255" s="13">
        <f>IFERROR(AT255/BR255*(BU255-BASELINE_CPR),0)</f>
        <v/>
      </c>
      <c r="BW255" s="13">
        <f>IFERROR(AU255/BR255*(BU255-BASELINE_CPR),0)</f>
        <v/>
      </c>
      <c r="BX255" s="13">
        <f>IFERROR(AV255/BR255*(BU255-BASELINE_CPR),0)</f>
        <v/>
      </c>
      <c r="BY255" s="13">
        <f>IFERROR(AW255/BR255*(BU255-BASELINE_CPR),0)</f>
        <v/>
      </c>
      <c r="BZ255" s="13">
        <f>IFERROR(AX255/BR255*(BU255-BASELINE_CPR),0)</f>
        <v/>
      </c>
      <c r="CA255" s="13">
        <f>IFERROR(AY255/BR255*(BU255-BASELINE_CPR),0)</f>
        <v/>
      </c>
      <c r="CB255" s="13">
        <f>IFERROR(AZ255/BR255*(BU255-BASELINE_CPR),0)</f>
        <v/>
      </c>
      <c r="CC255" s="13">
        <f>IFERROR(BA255/BR255*(BU255-BASELINE_CPR),0)</f>
        <v/>
      </c>
      <c r="CD255" s="13">
        <f>IFERROR(BB255/BR255*(BU255-BASELINE_CPR),0)</f>
        <v/>
      </c>
      <c r="CE255" s="13">
        <f>IFERROR(BC255/BR255*(BU255-BASELINE_CPR),0)</f>
        <v/>
      </c>
      <c r="CF255" s="13">
        <f>IFERROR(BD255/BR255*(BU255-BASELINE_CPR),0)</f>
        <v/>
      </c>
      <c r="CG255" s="13">
        <f>IFERROR(BE255/BR255*(BU255-BASELINE_CPR),0)</f>
        <v/>
      </c>
      <c r="CH255" s="13">
        <f>IFERROR(BF255/BR255*(BU255-BASELINE_CPR),0)</f>
        <v/>
      </c>
      <c r="CI255" s="13">
        <f>IFERROR(BG255/BR255*(BU255-BASELINE_CPR),0)</f>
        <v/>
      </c>
      <c r="CJ255" s="13">
        <f>IFERROR(BH255/BR255*(BU255-BASELINE_CPR),0)</f>
        <v/>
      </c>
      <c r="CK255" s="13">
        <f>IFERROR(BI255/BR255*(BU255-BASELINE_CPR),0)</f>
        <v/>
      </c>
      <c r="CL255" s="13">
        <f>IFERROR(BJ255/BR255*(BU255-BASELINE_CPR),0)</f>
        <v/>
      </c>
      <c r="CM255" s="13">
        <f>IFERROR(BK255/BR255*(BU255-BASELINE_CPR),0)</f>
        <v/>
      </c>
      <c r="CN255" s="13">
        <f>IFERROR(BL255/BR255*(BU255-BASELINE_CPR),0)</f>
        <v/>
      </c>
      <c r="CO255" s="13">
        <f>IFERROR(BM255/BR255*(BU255-BASELINE_CPR),0)</f>
        <v/>
      </c>
      <c r="CP255" s="13">
        <f>IFERROR(BN255/BR255*(BU255-BASELINE_CPR),0)</f>
        <v/>
      </c>
      <c r="CQ255" s="13">
        <f>IFERROR(BO255/BR255*(BU255-BASELINE_CPR),0)</f>
        <v/>
      </c>
      <c r="CR255" s="13">
        <f>IFERROR(BP255/BR255*(BU255-BASELINE_CPR),0)</f>
        <v/>
      </c>
      <c r="CS255" s="13">
        <f>IFERROR(BQ255/BR255*(BU255-BASELINE_CPR),0)</f>
        <v/>
      </c>
      <c r="CT255" s="29">
        <f>BASELINE_CPR+SUM(BV255:CS255)-BU255</f>
        <v/>
      </c>
    </row>
    <row r="256">
      <c r="A256" s="2" t="inlineStr">
        <is>
          <t>3617QBNR2_000000008311216</t>
        </is>
      </c>
      <c r="B256" t="inlineStr">
        <is>
          <t>NORTHMARQ_POST21</t>
        </is>
      </c>
      <c r="C256" s="2" t="inlineStr">
        <is>
          <t>3617QBNR2</t>
        </is>
      </c>
      <c r="D256" t="inlineStr">
        <is>
          <t>NORTHMARQ FINANCE, LLC</t>
        </is>
      </c>
      <c r="E256" t="inlineStr">
        <is>
          <t>223f</t>
        </is>
      </c>
      <c r="F256" t="inlineStr">
        <is>
          <t>RP</t>
        </is>
      </c>
      <c r="G256" t="n">
        <v>2021</v>
      </c>
      <c r="H256" t="inlineStr">
        <is>
          <t>202602</t>
        </is>
      </c>
      <c r="I256" s="22" t="n">
        <v>9833583.34</v>
      </c>
      <c r="J256" s="23" t="n">
        <v>2.7</v>
      </c>
      <c r="K256" s="24" t="n">
        <v>447</v>
      </c>
      <c r="L256" s="24" t="n">
        <v>6</v>
      </c>
      <c r="M256" t="n">
        <v>58</v>
      </c>
      <c r="N256" t="n">
        <v>0</v>
      </c>
      <c r="O256" t="n">
        <v>205605</v>
      </c>
      <c r="P256" t="inlineStr"/>
      <c r="Q256" t="inlineStr">
        <is>
          <t>4013</t>
        </is>
      </c>
      <c r="R256" t="n">
        <v>0</v>
      </c>
      <c r="S256" t="n">
        <v>0</v>
      </c>
      <c r="T256" t="n">
        <v>0</v>
      </c>
      <c r="U256" t="n">
        <v>0</v>
      </c>
      <c r="V256" s="24">
        <f>J256*100-K256</f>
        <v/>
      </c>
      <c r="W256" s="24">
        <f>L256</f>
        <v/>
      </c>
      <c r="X256" s="25">
        <f>MIN(M256,36)</f>
        <v/>
      </c>
      <c r="Y256" s="25">
        <f>MIN(MAX(M256-36,0),84)</f>
        <v/>
      </c>
      <c r="Z256" s="25">
        <f>MAX(M256-120,0)</f>
        <v/>
      </c>
      <c r="AA256" s="25">
        <f>IF(OR(O256="",NOT(ISNUMBER(O256))),360,MAX(0,MIN(480,(INT(O256/100)-INT(VALUE(H256)/100))*12+MOD(O256,100)-MOD(VALUE(H256),100))))</f>
        <v/>
      </c>
      <c r="AB256">
        <f>IF(AND(AA256&gt;0,AA256&lt;=24),1,0)</f>
        <v/>
      </c>
      <c r="AC256" s="25">
        <f>IF(OR(P256="",NOT(ISNUMBER(P256))),0,MAX(0,MIN(24,(INT(VALUE(H256)/100)-INT(P256/100))*12+MOD(VALUE(H256),100)-MOD(P256,100))))</f>
        <v/>
      </c>
      <c r="AD256" s="23">
        <f>LN(1+I256)</f>
        <v/>
      </c>
      <c r="AE256">
        <f>IF(I256&lt;2000000,1,0)</f>
        <v/>
      </c>
      <c r="AF256">
        <f>IF(I256&gt;50000000,1,0)</f>
        <v/>
      </c>
      <c r="AG256" s="23">
        <f>IF(ISNUMBER(M256),N256/MAX(M256,1),0)</f>
        <v/>
      </c>
      <c r="AH256">
        <f>IF(G256&gt;=2021,1,0)</f>
        <v/>
      </c>
      <c r="AI256">
        <f>S256</f>
        <v/>
      </c>
      <c r="AJ256">
        <f>T256</f>
        <v/>
      </c>
      <c r="AK256">
        <f>R256</f>
        <v/>
      </c>
      <c r="AL256">
        <f>U256</f>
        <v/>
      </c>
      <c r="AM256">
        <f>IF(ISNUMBER(SEARCH("CAPITAL FUNDING",D256)),1,0)</f>
        <v/>
      </c>
      <c r="AN256">
        <f>IF(ISNUMBER(SEARCH("PNC",D256)),1,0)</f>
        <v/>
      </c>
      <c r="AO256">
        <f>IF(ISNUMBER(SEARCH("WELLS FARGO",D256)),1,0)</f>
        <v/>
      </c>
      <c r="AP256">
        <f>IF(ISNUMBER(SEARCH("DWIGHT",D256)),1,0)</f>
        <v/>
      </c>
      <c r="AQ256">
        <f>IF(ISNUMBER(SEARCH("GREYSTONE",D256)),1,0)</f>
        <v/>
      </c>
      <c r="AR256">
        <f>IF(OR(Q256="3896",Q256="3557"),1,0)</f>
        <v/>
      </c>
      <c r="AS256" s="24">
        <f>V256*W256</f>
        <v/>
      </c>
      <c r="AT256" s="26">
        <f>V$4*(V256-V$3)</f>
        <v/>
      </c>
      <c r="AU256" s="26">
        <f>W$4*(W256-W$3)</f>
        <v/>
      </c>
      <c r="AV256" s="26">
        <f>X$4*(X256-X$3)</f>
        <v/>
      </c>
      <c r="AW256" s="26">
        <f>Y$4*(Y256-Y$3)</f>
        <v/>
      </c>
      <c r="AX256" s="26">
        <f>Z$4*(Z256-Z$3)</f>
        <v/>
      </c>
      <c r="AY256" s="26">
        <f>AA$4*(AA256-AA$3)</f>
        <v/>
      </c>
      <c r="AZ256" s="26">
        <f>AB$4*(AB256-AB$3)</f>
        <v/>
      </c>
      <c r="BA256" s="26">
        <f>AC$4*(AC256-AC$3)</f>
        <v/>
      </c>
      <c r="BB256" s="26">
        <f>AD$4*(AD256-AD$3)</f>
        <v/>
      </c>
      <c r="BC256" s="26">
        <f>AE$4*(AE256-AE$3)</f>
        <v/>
      </c>
      <c r="BD256" s="26">
        <f>AF$4*(AF256-AF$3)</f>
        <v/>
      </c>
      <c r="BE256" s="26">
        <f>AG$4*(AG256-AG$3)</f>
        <v/>
      </c>
      <c r="BF256" s="26">
        <f>AH$4*(AH256-AH$3)</f>
        <v/>
      </c>
      <c r="BG256" s="26">
        <f>AI$4*(AI256-AI$3)</f>
        <v/>
      </c>
      <c r="BH256" s="26">
        <f>AJ$4*(AJ256-AJ$3)</f>
        <v/>
      </c>
      <c r="BI256" s="26">
        <f>AK$4*(AK256-AK$3)</f>
        <v/>
      </c>
      <c r="BJ256" s="26">
        <f>AL$4*(AL256-AL$3)</f>
        <v/>
      </c>
      <c r="BK256" s="26">
        <f>AM$4*(AM256-AM$3)</f>
        <v/>
      </c>
      <c r="BL256" s="26">
        <f>AN$4*(AN256-AN$3)</f>
        <v/>
      </c>
      <c r="BM256" s="26">
        <f>AO$4*(AO256-AO$3)</f>
        <v/>
      </c>
      <c r="BN256" s="26">
        <f>AP$4*(AP256-AP$3)</f>
        <v/>
      </c>
      <c r="BO256" s="26">
        <f>AQ$4*(AQ256-AQ$3)</f>
        <v/>
      </c>
      <c r="BP256" s="26">
        <f>AR$4*(AR256-AR$3)</f>
        <v/>
      </c>
      <c r="BQ256" s="26">
        <f>AS$4*(AS256-AS$3)</f>
        <v/>
      </c>
      <c r="BR256" s="27">
        <f>SUM(AT256:BQ256)</f>
        <v/>
      </c>
      <c r="BS256" s="27">
        <f>INTERCEPT_SCALED+BR256</f>
        <v/>
      </c>
      <c r="BT256" s="28">
        <f>1/(1+EXP(-BS256))</f>
        <v/>
      </c>
      <c r="BU256" s="13">
        <f>1-(1-BT256)^12</f>
        <v/>
      </c>
      <c r="BV256" s="13">
        <f>IFERROR(AT256/BR256*(BU256-BASELINE_CPR),0)</f>
        <v/>
      </c>
      <c r="BW256" s="13">
        <f>IFERROR(AU256/BR256*(BU256-BASELINE_CPR),0)</f>
        <v/>
      </c>
      <c r="BX256" s="13">
        <f>IFERROR(AV256/BR256*(BU256-BASELINE_CPR),0)</f>
        <v/>
      </c>
      <c r="BY256" s="13">
        <f>IFERROR(AW256/BR256*(BU256-BASELINE_CPR),0)</f>
        <v/>
      </c>
      <c r="BZ256" s="13">
        <f>IFERROR(AX256/BR256*(BU256-BASELINE_CPR),0)</f>
        <v/>
      </c>
      <c r="CA256" s="13">
        <f>IFERROR(AY256/BR256*(BU256-BASELINE_CPR),0)</f>
        <v/>
      </c>
      <c r="CB256" s="13">
        <f>IFERROR(AZ256/BR256*(BU256-BASELINE_CPR),0)</f>
        <v/>
      </c>
      <c r="CC256" s="13">
        <f>IFERROR(BA256/BR256*(BU256-BASELINE_CPR),0)</f>
        <v/>
      </c>
      <c r="CD256" s="13">
        <f>IFERROR(BB256/BR256*(BU256-BASELINE_CPR),0)</f>
        <v/>
      </c>
      <c r="CE256" s="13">
        <f>IFERROR(BC256/BR256*(BU256-BASELINE_CPR),0)</f>
        <v/>
      </c>
      <c r="CF256" s="13">
        <f>IFERROR(BD256/BR256*(BU256-BASELINE_CPR),0)</f>
        <v/>
      </c>
      <c r="CG256" s="13">
        <f>IFERROR(BE256/BR256*(BU256-BASELINE_CPR),0)</f>
        <v/>
      </c>
      <c r="CH256" s="13">
        <f>IFERROR(BF256/BR256*(BU256-BASELINE_CPR),0)</f>
        <v/>
      </c>
      <c r="CI256" s="13">
        <f>IFERROR(BG256/BR256*(BU256-BASELINE_CPR),0)</f>
        <v/>
      </c>
      <c r="CJ256" s="13">
        <f>IFERROR(BH256/BR256*(BU256-BASELINE_CPR),0)</f>
        <v/>
      </c>
      <c r="CK256" s="13">
        <f>IFERROR(BI256/BR256*(BU256-BASELINE_CPR),0)</f>
        <v/>
      </c>
      <c r="CL256" s="13">
        <f>IFERROR(BJ256/BR256*(BU256-BASELINE_CPR),0)</f>
        <v/>
      </c>
      <c r="CM256" s="13">
        <f>IFERROR(BK256/BR256*(BU256-BASELINE_CPR),0)</f>
        <v/>
      </c>
      <c r="CN256" s="13">
        <f>IFERROR(BL256/BR256*(BU256-BASELINE_CPR),0)</f>
        <v/>
      </c>
      <c r="CO256" s="13">
        <f>IFERROR(BM256/BR256*(BU256-BASELINE_CPR),0)</f>
        <v/>
      </c>
      <c r="CP256" s="13">
        <f>IFERROR(BN256/BR256*(BU256-BASELINE_CPR),0)</f>
        <v/>
      </c>
      <c r="CQ256" s="13">
        <f>IFERROR(BO256/BR256*(BU256-BASELINE_CPR),0)</f>
        <v/>
      </c>
      <c r="CR256" s="13">
        <f>IFERROR(BP256/BR256*(BU256-BASELINE_CPR),0)</f>
        <v/>
      </c>
      <c r="CS256" s="13">
        <f>IFERROR(BQ256/BR256*(BU256-BASELINE_CPR),0)</f>
        <v/>
      </c>
      <c r="CT256" s="29">
        <f>BASELINE_CPR+SUM(BV256:CS256)-BU256</f>
        <v/>
      </c>
    </row>
  </sheetData>
  <mergeCells count="7">
    <mergeCell ref="BR1:BU1"/>
    <mergeCell ref="V1:AS1"/>
    <mergeCell ref="I1:U1"/>
    <mergeCell ref="A1:H1"/>
    <mergeCell ref="AT1:BQ1"/>
    <mergeCell ref="BV1:CS1"/>
    <mergeCell ref="CT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3" t="inlineStr">
        <is>
          <t>Deal-level Rollup (UPB-weighted)</t>
        </is>
      </c>
    </row>
    <row r="2">
      <c r="A2" s="4" t="inlineStr">
        <is>
          <t>Deal_ID is sourced from Loan_Snapshot column B. Edit there to regroup.</t>
        </is>
      </c>
    </row>
    <row r="4">
      <c r="A4" s="5" t="inlineStr">
        <is>
          <t>Deal_ID</t>
        </is>
      </c>
      <c r="B4" s="5" t="inlineStr">
        <is>
          <t>n_loans</t>
        </is>
      </c>
      <c r="C4" s="5" t="inlineStr">
        <is>
          <t>total_UPB</t>
        </is>
      </c>
      <c r="D4" s="5" t="inlineStr">
        <is>
          <t>wavg_pred_CPR</t>
        </is>
      </c>
      <c r="E4" s="5" t="inlineStr">
        <is>
          <t>attr_gross_refi_incentive_bps</t>
        </is>
      </c>
      <c r="F4" s="5" t="inlineStr">
        <is>
          <t>attr_prepay_penalty_points</t>
        </is>
      </c>
      <c r="G4" s="5" t="inlineStr">
        <is>
          <t>attr_age_0_36</t>
        </is>
      </c>
      <c r="H4" s="5" t="inlineStr">
        <is>
          <t>attr_age_36_120</t>
        </is>
      </c>
      <c r="I4" s="5" t="inlineStr">
        <is>
          <t>attr_age_120plus</t>
        </is>
      </c>
      <c r="J4" s="5" t="inlineStr">
        <is>
          <t>attr_months_to_maturity</t>
        </is>
      </c>
      <c r="K4" s="5" t="inlineStr">
        <is>
          <t>attr_pre_maturity_flag</t>
        </is>
      </c>
      <c r="L4" s="5" t="inlineStr">
        <is>
          <t>attr_months_since_lockout_end</t>
        </is>
      </c>
      <c r="M4" s="5" t="inlineStr">
        <is>
          <t>attr_log_upb</t>
        </is>
      </c>
      <c r="N4" s="5" t="inlineStr">
        <is>
          <t>attr_small_loan</t>
        </is>
      </c>
      <c r="O4" s="5" t="inlineStr">
        <is>
          <t>attr_large_loan</t>
        </is>
      </c>
      <c r="P4" s="5" t="inlineStr">
        <is>
          <t>attr_burn_ratio</t>
        </is>
      </c>
      <c r="Q4" s="5" t="inlineStr">
        <is>
          <t>attr_is_post_covid</t>
        </is>
      </c>
      <c r="R4" s="5" t="inlineStr">
        <is>
          <t>attr_is_223a7</t>
        </is>
      </c>
      <c r="S4" s="5" t="inlineStr">
        <is>
          <t>attr_is_538</t>
        </is>
      </c>
      <c r="T4" s="5" t="inlineStr">
        <is>
          <t>attr_is_hc_232</t>
        </is>
      </c>
      <c r="U4" s="5" t="inlineStr">
        <is>
          <t>attr_lp_NC</t>
        </is>
      </c>
      <c r="V4" s="5" t="inlineStr">
        <is>
          <t>attr_iss_capital_funding</t>
        </is>
      </c>
      <c r="W4" s="5" t="inlineStr">
        <is>
          <t>attr_iss_pnc</t>
        </is>
      </c>
      <c r="X4" s="5" t="inlineStr">
        <is>
          <t>attr_iss_wells_fargo</t>
        </is>
      </c>
      <c r="Y4" s="5" t="inlineStr">
        <is>
          <t>attr_iss_dwight</t>
        </is>
      </c>
      <c r="Z4" s="5" t="inlineStr">
        <is>
          <t>attr_iss_greystone</t>
        </is>
      </c>
      <c r="AA4" s="5" t="inlineStr">
        <is>
          <t>attr_iss_lument_combined</t>
        </is>
      </c>
      <c r="AB4" s="5" t="inlineStr">
        <is>
          <t>attr_gross_refi__x__prepay_pen</t>
        </is>
      </c>
      <c r="AC4" s="5" t="inlineStr">
        <is>
          <t>sanity_check</t>
        </is>
      </c>
    </row>
    <row r="5">
      <c r="A5" s="2" t="inlineStr">
        <is>
          <t>LUMENT_PRE21</t>
        </is>
      </c>
      <c r="B5">
        <f>COUNTIF(Loan_Snapshot!$B$5:$B$256,$A5)</f>
        <v/>
      </c>
      <c r="C5" s="22">
        <f>SUMIF(Loan_Snapshot!$B$5:$B$256,$A5,Loan_Snapshot!$I$5:$I$256)</f>
        <v/>
      </c>
      <c r="D5" s="13">
        <f>IFERROR(SUMPRODUCT((Loan_Snapshot!$B$5:$B$256=$A5)*Loan_Snapshot!$I$5:$I$256*Loan_Snapshot!$BU$5:$BU$256)/$C5,0)</f>
        <v/>
      </c>
      <c r="E5" s="13">
        <f>IFERROR(SUMPRODUCT((Loan_Snapshot!$B$5:$B$256=$A5)*Loan_Snapshot!$I$5:$I$256*Loan_Snapshot!$BV$5:$BV$256)/$C5,0)</f>
        <v/>
      </c>
      <c r="F5" s="13">
        <f>IFERROR(SUMPRODUCT((Loan_Snapshot!$B$5:$B$256=$A5)*Loan_Snapshot!$I$5:$I$256*Loan_Snapshot!$BW$5:$BW$256)/$C5,0)</f>
        <v/>
      </c>
      <c r="G5" s="13">
        <f>IFERROR(SUMPRODUCT((Loan_Snapshot!$B$5:$B$256=$A5)*Loan_Snapshot!$I$5:$I$256*Loan_Snapshot!$BX$5:$BX$256)/$C5,0)</f>
        <v/>
      </c>
      <c r="H5" s="13">
        <f>IFERROR(SUMPRODUCT((Loan_Snapshot!$B$5:$B$256=$A5)*Loan_Snapshot!$I$5:$I$256*Loan_Snapshot!$BY$5:$BY$256)/$C5,0)</f>
        <v/>
      </c>
      <c r="I5" s="13">
        <f>IFERROR(SUMPRODUCT((Loan_Snapshot!$B$5:$B$256=$A5)*Loan_Snapshot!$I$5:$I$256*Loan_Snapshot!$BZ$5:$BZ$256)/$C5,0)</f>
        <v/>
      </c>
      <c r="J5" s="13">
        <f>IFERROR(SUMPRODUCT((Loan_Snapshot!$B$5:$B$256=$A5)*Loan_Snapshot!$I$5:$I$256*Loan_Snapshot!$CA$5:$CA$256)/$C5,0)</f>
        <v/>
      </c>
      <c r="K5" s="13">
        <f>IFERROR(SUMPRODUCT((Loan_Snapshot!$B$5:$B$256=$A5)*Loan_Snapshot!$I$5:$I$256*Loan_Snapshot!$CB$5:$CB$256)/$C5,0)</f>
        <v/>
      </c>
      <c r="L5" s="13">
        <f>IFERROR(SUMPRODUCT((Loan_Snapshot!$B$5:$B$256=$A5)*Loan_Snapshot!$I$5:$I$256*Loan_Snapshot!$CC$5:$CC$256)/$C5,0)</f>
        <v/>
      </c>
      <c r="M5" s="13">
        <f>IFERROR(SUMPRODUCT((Loan_Snapshot!$B$5:$B$256=$A5)*Loan_Snapshot!$I$5:$I$256*Loan_Snapshot!$CD$5:$CD$256)/$C5,0)</f>
        <v/>
      </c>
      <c r="N5" s="13">
        <f>IFERROR(SUMPRODUCT((Loan_Snapshot!$B$5:$B$256=$A5)*Loan_Snapshot!$I$5:$I$256*Loan_Snapshot!$CE$5:$CE$256)/$C5,0)</f>
        <v/>
      </c>
      <c r="O5" s="13">
        <f>IFERROR(SUMPRODUCT((Loan_Snapshot!$B$5:$B$256=$A5)*Loan_Snapshot!$I$5:$I$256*Loan_Snapshot!$CF$5:$CF$256)/$C5,0)</f>
        <v/>
      </c>
      <c r="P5" s="13">
        <f>IFERROR(SUMPRODUCT((Loan_Snapshot!$B$5:$B$256=$A5)*Loan_Snapshot!$I$5:$I$256*Loan_Snapshot!$CG$5:$CG$256)/$C5,0)</f>
        <v/>
      </c>
      <c r="Q5" s="13">
        <f>IFERROR(SUMPRODUCT((Loan_Snapshot!$B$5:$B$256=$A5)*Loan_Snapshot!$I$5:$I$256*Loan_Snapshot!$CH$5:$CH$256)/$C5,0)</f>
        <v/>
      </c>
      <c r="R5" s="13">
        <f>IFERROR(SUMPRODUCT((Loan_Snapshot!$B$5:$B$256=$A5)*Loan_Snapshot!$I$5:$I$256*Loan_Snapshot!$CI$5:$CI$256)/$C5,0)</f>
        <v/>
      </c>
      <c r="S5" s="13">
        <f>IFERROR(SUMPRODUCT((Loan_Snapshot!$B$5:$B$256=$A5)*Loan_Snapshot!$I$5:$I$256*Loan_Snapshot!$CJ$5:$CJ$256)/$C5,0)</f>
        <v/>
      </c>
      <c r="T5" s="13">
        <f>IFERROR(SUMPRODUCT((Loan_Snapshot!$B$5:$B$256=$A5)*Loan_Snapshot!$I$5:$I$256*Loan_Snapshot!$CK$5:$CK$256)/$C5,0)</f>
        <v/>
      </c>
      <c r="U5" s="13">
        <f>IFERROR(SUMPRODUCT((Loan_Snapshot!$B$5:$B$256=$A5)*Loan_Snapshot!$I$5:$I$256*Loan_Snapshot!$CL$5:$CL$256)/$C5,0)</f>
        <v/>
      </c>
      <c r="V5" s="13">
        <f>IFERROR(SUMPRODUCT((Loan_Snapshot!$B$5:$B$256=$A5)*Loan_Snapshot!$I$5:$I$256*Loan_Snapshot!$CM$5:$CM$256)/$C5,0)</f>
        <v/>
      </c>
      <c r="W5" s="13">
        <f>IFERROR(SUMPRODUCT((Loan_Snapshot!$B$5:$B$256=$A5)*Loan_Snapshot!$I$5:$I$256*Loan_Snapshot!$CN$5:$CN$256)/$C5,0)</f>
        <v/>
      </c>
      <c r="X5" s="13">
        <f>IFERROR(SUMPRODUCT((Loan_Snapshot!$B$5:$B$256=$A5)*Loan_Snapshot!$I$5:$I$256*Loan_Snapshot!$CO$5:$CO$256)/$C5,0)</f>
        <v/>
      </c>
      <c r="Y5" s="13">
        <f>IFERROR(SUMPRODUCT((Loan_Snapshot!$B$5:$B$256=$A5)*Loan_Snapshot!$I$5:$I$256*Loan_Snapshot!$CP$5:$CP$256)/$C5,0)</f>
        <v/>
      </c>
      <c r="Z5" s="13">
        <f>IFERROR(SUMPRODUCT((Loan_Snapshot!$B$5:$B$256=$A5)*Loan_Snapshot!$I$5:$I$256*Loan_Snapshot!$CQ$5:$CQ$256)/$C5,0)</f>
        <v/>
      </c>
      <c r="AA5" s="13">
        <f>IFERROR(SUMPRODUCT((Loan_Snapshot!$B$5:$B$256=$A5)*Loan_Snapshot!$I$5:$I$256*Loan_Snapshot!$CR$5:$CR$256)/$C5,0)</f>
        <v/>
      </c>
      <c r="AB5" s="13">
        <f>IFERROR(SUMPRODUCT((Loan_Snapshot!$B$5:$B$256=$A5)*Loan_Snapshot!$I$5:$I$256*Loan_Snapshot!$CS$5:$CS$256)/$C5,0)</f>
        <v/>
      </c>
      <c r="AC5" s="29">
        <f>BASELINE_CPR+SUM(E5:AB5)-$D5</f>
        <v/>
      </c>
    </row>
    <row r="6">
      <c r="A6" s="2" t="inlineStr">
        <is>
          <t>BERKADIA_PRE21</t>
        </is>
      </c>
      <c r="B6">
        <f>COUNTIF(Loan_Snapshot!$B$5:$B$256,$A6)</f>
        <v/>
      </c>
      <c r="C6" s="22">
        <f>SUMIF(Loan_Snapshot!$B$5:$B$256,$A6,Loan_Snapshot!$I$5:$I$256)</f>
        <v/>
      </c>
      <c r="D6" s="13">
        <f>IFERROR(SUMPRODUCT((Loan_Snapshot!$B$5:$B$256=$A6)*Loan_Snapshot!$I$5:$I$256*Loan_Snapshot!$BU$5:$BU$256)/$C6,0)</f>
        <v/>
      </c>
      <c r="E6" s="13">
        <f>IFERROR(SUMPRODUCT((Loan_Snapshot!$B$5:$B$256=$A6)*Loan_Snapshot!$I$5:$I$256*Loan_Snapshot!$BV$5:$BV$256)/$C6,0)</f>
        <v/>
      </c>
      <c r="F6" s="13">
        <f>IFERROR(SUMPRODUCT((Loan_Snapshot!$B$5:$B$256=$A6)*Loan_Snapshot!$I$5:$I$256*Loan_Snapshot!$BW$5:$BW$256)/$C6,0)</f>
        <v/>
      </c>
      <c r="G6" s="13">
        <f>IFERROR(SUMPRODUCT((Loan_Snapshot!$B$5:$B$256=$A6)*Loan_Snapshot!$I$5:$I$256*Loan_Snapshot!$BX$5:$BX$256)/$C6,0)</f>
        <v/>
      </c>
      <c r="H6" s="13">
        <f>IFERROR(SUMPRODUCT((Loan_Snapshot!$B$5:$B$256=$A6)*Loan_Snapshot!$I$5:$I$256*Loan_Snapshot!$BY$5:$BY$256)/$C6,0)</f>
        <v/>
      </c>
      <c r="I6" s="13">
        <f>IFERROR(SUMPRODUCT((Loan_Snapshot!$B$5:$B$256=$A6)*Loan_Snapshot!$I$5:$I$256*Loan_Snapshot!$BZ$5:$BZ$256)/$C6,0)</f>
        <v/>
      </c>
      <c r="J6" s="13">
        <f>IFERROR(SUMPRODUCT((Loan_Snapshot!$B$5:$B$256=$A6)*Loan_Snapshot!$I$5:$I$256*Loan_Snapshot!$CA$5:$CA$256)/$C6,0)</f>
        <v/>
      </c>
      <c r="K6" s="13">
        <f>IFERROR(SUMPRODUCT((Loan_Snapshot!$B$5:$B$256=$A6)*Loan_Snapshot!$I$5:$I$256*Loan_Snapshot!$CB$5:$CB$256)/$C6,0)</f>
        <v/>
      </c>
      <c r="L6" s="13">
        <f>IFERROR(SUMPRODUCT((Loan_Snapshot!$B$5:$B$256=$A6)*Loan_Snapshot!$I$5:$I$256*Loan_Snapshot!$CC$5:$CC$256)/$C6,0)</f>
        <v/>
      </c>
      <c r="M6" s="13">
        <f>IFERROR(SUMPRODUCT((Loan_Snapshot!$B$5:$B$256=$A6)*Loan_Snapshot!$I$5:$I$256*Loan_Snapshot!$CD$5:$CD$256)/$C6,0)</f>
        <v/>
      </c>
      <c r="N6" s="13">
        <f>IFERROR(SUMPRODUCT((Loan_Snapshot!$B$5:$B$256=$A6)*Loan_Snapshot!$I$5:$I$256*Loan_Snapshot!$CE$5:$CE$256)/$C6,0)</f>
        <v/>
      </c>
      <c r="O6" s="13">
        <f>IFERROR(SUMPRODUCT((Loan_Snapshot!$B$5:$B$256=$A6)*Loan_Snapshot!$I$5:$I$256*Loan_Snapshot!$CF$5:$CF$256)/$C6,0)</f>
        <v/>
      </c>
      <c r="P6" s="13">
        <f>IFERROR(SUMPRODUCT((Loan_Snapshot!$B$5:$B$256=$A6)*Loan_Snapshot!$I$5:$I$256*Loan_Snapshot!$CG$5:$CG$256)/$C6,0)</f>
        <v/>
      </c>
      <c r="Q6" s="13">
        <f>IFERROR(SUMPRODUCT((Loan_Snapshot!$B$5:$B$256=$A6)*Loan_Snapshot!$I$5:$I$256*Loan_Snapshot!$CH$5:$CH$256)/$C6,0)</f>
        <v/>
      </c>
      <c r="R6" s="13">
        <f>IFERROR(SUMPRODUCT((Loan_Snapshot!$B$5:$B$256=$A6)*Loan_Snapshot!$I$5:$I$256*Loan_Snapshot!$CI$5:$CI$256)/$C6,0)</f>
        <v/>
      </c>
      <c r="S6" s="13">
        <f>IFERROR(SUMPRODUCT((Loan_Snapshot!$B$5:$B$256=$A6)*Loan_Snapshot!$I$5:$I$256*Loan_Snapshot!$CJ$5:$CJ$256)/$C6,0)</f>
        <v/>
      </c>
      <c r="T6" s="13">
        <f>IFERROR(SUMPRODUCT((Loan_Snapshot!$B$5:$B$256=$A6)*Loan_Snapshot!$I$5:$I$256*Loan_Snapshot!$CK$5:$CK$256)/$C6,0)</f>
        <v/>
      </c>
      <c r="U6" s="13">
        <f>IFERROR(SUMPRODUCT((Loan_Snapshot!$B$5:$B$256=$A6)*Loan_Snapshot!$I$5:$I$256*Loan_Snapshot!$CL$5:$CL$256)/$C6,0)</f>
        <v/>
      </c>
      <c r="V6" s="13">
        <f>IFERROR(SUMPRODUCT((Loan_Snapshot!$B$5:$B$256=$A6)*Loan_Snapshot!$I$5:$I$256*Loan_Snapshot!$CM$5:$CM$256)/$C6,0)</f>
        <v/>
      </c>
      <c r="W6" s="13">
        <f>IFERROR(SUMPRODUCT((Loan_Snapshot!$B$5:$B$256=$A6)*Loan_Snapshot!$I$5:$I$256*Loan_Snapshot!$CN$5:$CN$256)/$C6,0)</f>
        <v/>
      </c>
      <c r="X6" s="13">
        <f>IFERROR(SUMPRODUCT((Loan_Snapshot!$B$5:$B$256=$A6)*Loan_Snapshot!$I$5:$I$256*Loan_Snapshot!$CO$5:$CO$256)/$C6,0)</f>
        <v/>
      </c>
      <c r="Y6" s="13">
        <f>IFERROR(SUMPRODUCT((Loan_Snapshot!$B$5:$B$256=$A6)*Loan_Snapshot!$I$5:$I$256*Loan_Snapshot!$CP$5:$CP$256)/$C6,0)</f>
        <v/>
      </c>
      <c r="Z6" s="13">
        <f>IFERROR(SUMPRODUCT((Loan_Snapshot!$B$5:$B$256=$A6)*Loan_Snapshot!$I$5:$I$256*Loan_Snapshot!$CQ$5:$CQ$256)/$C6,0)</f>
        <v/>
      </c>
      <c r="AA6" s="13">
        <f>IFERROR(SUMPRODUCT((Loan_Snapshot!$B$5:$B$256=$A6)*Loan_Snapshot!$I$5:$I$256*Loan_Snapshot!$CR$5:$CR$256)/$C6,0)</f>
        <v/>
      </c>
      <c r="AB6" s="13">
        <f>IFERROR(SUMPRODUCT((Loan_Snapshot!$B$5:$B$256=$A6)*Loan_Snapshot!$I$5:$I$256*Loan_Snapshot!$CS$5:$CS$256)/$C6,0)</f>
        <v/>
      </c>
      <c r="AC6" s="29">
        <f>BASELINE_CPR+SUM(E6:AB6)-$D6</f>
        <v/>
      </c>
    </row>
    <row r="7">
      <c r="A7" s="2" t="inlineStr">
        <is>
          <t>PNC_PRE21</t>
        </is>
      </c>
      <c r="B7">
        <f>COUNTIF(Loan_Snapshot!$B$5:$B$256,$A7)</f>
        <v/>
      </c>
      <c r="C7" s="22">
        <f>SUMIF(Loan_Snapshot!$B$5:$B$256,$A7,Loan_Snapshot!$I$5:$I$256)</f>
        <v/>
      </c>
      <c r="D7" s="13">
        <f>IFERROR(SUMPRODUCT((Loan_Snapshot!$B$5:$B$256=$A7)*Loan_Snapshot!$I$5:$I$256*Loan_Snapshot!$BU$5:$BU$256)/$C7,0)</f>
        <v/>
      </c>
      <c r="E7" s="13">
        <f>IFERROR(SUMPRODUCT((Loan_Snapshot!$B$5:$B$256=$A7)*Loan_Snapshot!$I$5:$I$256*Loan_Snapshot!$BV$5:$BV$256)/$C7,0)</f>
        <v/>
      </c>
      <c r="F7" s="13">
        <f>IFERROR(SUMPRODUCT((Loan_Snapshot!$B$5:$B$256=$A7)*Loan_Snapshot!$I$5:$I$256*Loan_Snapshot!$BW$5:$BW$256)/$C7,0)</f>
        <v/>
      </c>
      <c r="G7" s="13">
        <f>IFERROR(SUMPRODUCT((Loan_Snapshot!$B$5:$B$256=$A7)*Loan_Snapshot!$I$5:$I$256*Loan_Snapshot!$BX$5:$BX$256)/$C7,0)</f>
        <v/>
      </c>
      <c r="H7" s="13">
        <f>IFERROR(SUMPRODUCT((Loan_Snapshot!$B$5:$B$256=$A7)*Loan_Snapshot!$I$5:$I$256*Loan_Snapshot!$BY$5:$BY$256)/$C7,0)</f>
        <v/>
      </c>
      <c r="I7" s="13">
        <f>IFERROR(SUMPRODUCT((Loan_Snapshot!$B$5:$B$256=$A7)*Loan_Snapshot!$I$5:$I$256*Loan_Snapshot!$BZ$5:$BZ$256)/$C7,0)</f>
        <v/>
      </c>
      <c r="J7" s="13">
        <f>IFERROR(SUMPRODUCT((Loan_Snapshot!$B$5:$B$256=$A7)*Loan_Snapshot!$I$5:$I$256*Loan_Snapshot!$CA$5:$CA$256)/$C7,0)</f>
        <v/>
      </c>
      <c r="K7" s="13">
        <f>IFERROR(SUMPRODUCT((Loan_Snapshot!$B$5:$B$256=$A7)*Loan_Snapshot!$I$5:$I$256*Loan_Snapshot!$CB$5:$CB$256)/$C7,0)</f>
        <v/>
      </c>
      <c r="L7" s="13">
        <f>IFERROR(SUMPRODUCT((Loan_Snapshot!$B$5:$B$256=$A7)*Loan_Snapshot!$I$5:$I$256*Loan_Snapshot!$CC$5:$CC$256)/$C7,0)</f>
        <v/>
      </c>
      <c r="M7" s="13">
        <f>IFERROR(SUMPRODUCT((Loan_Snapshot!$B$5:$B$256=$A7)*Loan_Snapshot!$I$5:$I$256*Loan_Snapshot!$CD$5:$CD$256)/$C7,0)</f>
        <v/>
      </c>
      <c r="N7" s="13">
        <f>IFERROR(SUMPRODUCT((Loan_Snapshot!$B$5:$B$256=$A7)*Loan_Snapshot!$I$5:$I$256*Loan_Snapshot!$CE$5:$CE$256)/$C7,0)</f>
        <v/>
      </c>
      <c r="O7" s="13">
        <f>IFERROR(SUMPRODUCT((Loan_Snapshot!$B$5:$B$256=$A7)*Loan_Snapshot!$I$5:$I$256*Loan_Snapshot!$CF$5:$CF$256)/$C7,0)</f>
        <v/>
      </c>
      <c r="P7" s="13">
        <f>IFERROR(SUMPRODUCT((Loan_Snapshot!$B$5:$B$256=$A7)*Loan_Snapshot!$I$5:$I$256*Loan_Snapshot!$CG$5:$CG$256)/$C7,0)</f>
        <v/>
      </c>
      <c r="Q7" s="13">
        <f>IFERROR(SUMPRODUCT((Loan_Snapshot!$B$5:$B$256=$A7)*Loan_Snapshot!$I$5:$I$256*Loan_Snapshot!$CH$5:$CH$256)/$C7,0)</f>
        <v/>
      </c>
      <c r="R7" s="13">
        <f>IFERROR(SUMPRODUCT((Loan_Snapshot!$B$5:$B$256=$A7)*Loan_Snapshot!$I$5:$I$256*Loan_Snapshot!$CI$5:$CI$256)/$C7,0)</f>
        <v/>
      </c>
      <c r="S7" s="13">
        <f>IFERROR(SUMPRODUCT((Loan_Snapshot!$B$5:$B$256=$A7)*Loan_Snapshot!$I$5:$I$256*Loan_Snapshot!$CJ$5:$CJ$256)/$C7,0)</f>
        <v/>
      </c>
      <c r="T7" s="13">
        <f>IFERROR(SUMPRODUCT((Loan_Snapshot!$B$5:$B$256=$A7)*Loan_Snapshot!$I$5:$I$256*Loan_Snapshot!$CK$5:$CK$256)/$C7,0)</f>
        <v/>
      </c>
      <c r="U7" s="13">
        <f>IFERROR(SUMPRODUCT((Loan_Snapshot!$B$5:$B$256=$A7)*Loan_Snapshot!$I$5:$I$256*Loan_Snapshot!$CL$5:$CL$256)/$C7,0)</f>
        <v/>
      </c>
      <c r="V7" s="13">
        <f>IFERROR(SUMPRODUCT((Loan_Snapshot!$B$5:$B$256=$A7)*Loan_Snapshot!$I$5:$I$256*Loan_Snapshot!$CM$5:$CM$256)/$C7,0)</f>
        <v/>
      </c>
      <c r="W7" s="13">
        <f>IFERROR(SUMPRODUCT((Loan_Snapshot!$B$5:$B$256=$A7)*Loan_Snapshot!$I$5:$I$256*Loan_Snapshot!$CN$5:$CN$256)/$C7,0)</f>
        <v/>
      </c>
      <c r="X7" s="13">
        <f>IFERROR(SUMPRODUCT((Loan_Snapshot!$B$5:$B$256=$A7)*Loan_Snapshot!$I$5:$I$256*Loan_Snapshot!$CO$5:$CO$256)/$C7,0)</f>
        <v/>
      </c>
      <c r="Y7" s="13">
        <f>IFERROR(SUMPRODUCT((Loan_Snapshot!$B$5:$B$256=$A7)*Loan_Snapshot!$I$5:$I$256*Loan_Snapshot!$CP$5:$CP$256)/$C7,0)</f>
        <v/>
      </c>
      <c r="Z7" s="13">
        <f>IFERROR(SUMPRODUCT((Loan_Snapshot!$B$5:$B$256=$A7)*Loan_Snapshot!$I$5:$I$256*Loan_Snapshot!$CQ$5:$CQ$256)/$C7,0)</f>
        <v/>
      </c>
      <c r="AA7" s="13">
        <f>IFERROR(SUMPRODUCT((Loan_Snapshot!$B$5:$B$256=$A7)*Loan_Snapshot!$I$5:$I$256*Loan_Snapshot!$CR$5:$CR$256)/$C7,0)</f>
        <v/>
      </c>
      <c r="AB7" s="13">
        <f>IFERROR(SUMPRODUCT((Loan_Snapshot!$B$5:$B$256=$A7)*Loan_Snapshot!$I$5:$I$256*Loan_Snapshot!$CS$5:$CS$256)/$C7,0)</f>
        <v/>
      </c>
      <c r="AC7" s="29">
        <f>BASELINE_CPR+SUM(E7:AB7)-$D7</f>
        <v/>
      </c>
    </row>
    <row r="8">
      <c r="A8" s="2" t="inlineStr">
        <is>
          <t>WALKER_PRE21</t>
        </is>
      </c>
      <c r="B8">
        <f>COUNTIF(Loan_Snapshot!$B$5:$B$256,$A8)</f>
        <v/>
      </c>
      <c r="C8" s="22">
        <f>SUMIF(Loan_Snapshot!$B$5:$B$256,$A8,Loan_Snapshot!$I$5:$I$256)</f>
        <v/>
      </c>
      <c r="D8" s="13">
        <f>IFERROR(SUMPRODUCT((Loan_Snapshot!$B$5:$B$256=$A8)*Loan_Snapshot!$I$5:$I$256*Loan_Snapshot!$BU$5:$BU$256)/$C8,0)</f>
        <v/>
      </c>
      <c r="E8" s="13">
        <f>IFERROR(SUMPRODUCT((Loan_Snapshot!$B$5:$B$256=$A8)*Loan_Snapshot!$I$5:$I$256*Loan_Snapshot!$BV$5:$BV$256)/$C8,0)</f>
        <v/>
      </c>
      <c r="F8" s="13">
        <f>IFERROR(SUMPRODUCT((Loan_Snapshot!$B$5:$B$256=$A8)*Loan_Snapshot!$I$5:$I$256*Loan_Snapshot!$BW$5:$BW$256)/$C8,0)</f>
        <v/>
      </c>
      <c r="G8" s="13">
        <f>IFERROR(SUMPRODUCT((Loan_Snapshot!$B$5:$B$256=$A8)*Loan_Snapshot!$I$5:$I$256*Loan_Snapshot!$BX$5:$BX$256)/$C8,0)</f>
        <v/>
      </c>
      <c r="H8" s="13">
        <f>IFERROR(SUMPRODUCT((Loan_Snapshot!$B$5:$B$256=$A8)*Loan_Snapshot!$I$5:$I$256*Loan_Snapshot!$BY$5:$BY$256)/$C8,0)</f>
        <v/>
      </c>
      <c r="I8" s="13">
        <f>IFERROR(SUMPRODUCT((Loan_Snapshot!$B$5:$B$256=$A8)*Loan_Snapshot!$I$5:$I$256*Loan_Snapshot!$BZ$5:$BZ$256)/$C8,0)</f>
        <v/>
      </c>
      <c r="J8" s="13">
        <f>IFERROR(SUMPRODUCT((Loan_Snapshot!$B$5:$B$256=$A8)*Loan_Snapshot!$I$5:$I$256*Loan_Snapshot!$CA$5:$CA$256)/$C8,0)</f>
        <v/>
      </c>
      <c r="K8" s="13">
        <f>IFERROR(SUMPRODUCT((Loan_Snapshot!$B$5:$B$256=$A8)*Loan_Snapshot!$I$5:$I$256*Loan_Snapshot!$CB$5:$CB$256)/$C8,0)</f>
        <v/>
      </c>
      <c r="L8" s="13">
        <f>IFERROR(SUMPRODUCT((Loan_Snapshot!$B$5:$B$256=$A8)*Loan_Snapshot!$I$5:$I$256*Loan_Snapshot!$CC$5:$CC$256)/$C8,0)</f>
        <v/>
      </c>
      <c r="M8" s="13">
        <f>IFERROR(SUMPRODUCT((Loan_Snapshot!$B$5:$B$256=$A8)*Loan_Snapshot!$I$5:$I$256*Loan_Snapshot!$CD$5:$CD$256)/$C8,0)</f>
        <v/>
      </c>
      <c r="N8" s="13">
        <f>IFERROR(SUMPRODUCT((Loan_Snapshot!$B$5:$B$256=$A8)*Loan_Snapshot!$I$5:$I$256*Loan_Snapshot!$CE$5:$CE$256)/$C8,0)</f>
        <v/>
      </c>
      <c r="O8" s="13">
        <f>IFERROR(SUMPRODUCT((Loan_Snapshot!$B$5:$B$256=$A8)*Loan_Snapshot!$I$5:$I$256*Loan_Snapshot!$CF$5:$CF$256)/$C8,0)</f>
        <v/>
      </c>
      <c r="P8" s="13">
        <f>IFERROR(SUMPRODUCT((Loan_Snapshot!$B$5:$B$256=$A8)*Loan_Snapshot!$I$5:$I$256*Loan_Snapshot!$CG$5:$CG$256)/$C8,0)</f>
        <v/>
      </c>
      <c r="Q8" s="13">
        <f>IFERROR(SUMPRODUCT((Loan_Snapshot!$B$5:$B$256=$A8)*Loan_Snapshot!$I$5:$I$256*Loan_Snapshot!$CH$5:$CH$256)/$C8,0)</f>
        <v/>
      </c>
      <c r="R8" s="13">
        <f>IFERROR(SUMPRODUCT((Loan_Snapshot!$B$5:$B$256=$A8)*Loan_Snapshot!$I$5:$I$256*Loan_Snapshot!$CI$5:$CI$256)/$C8,0)</f>
        <v/>
      </c>
      <c r="S8" s="13">
        <f>IFERROR(SUMPRODUCT((Loan_Snapshot!$B$5:$B$256=$A8)*Loan_Snapshot!$I$5:$I$256*Loan_Snapshot!$CJ$5:$CJ$256)/$C8,0)</f>
        <v/>
      </c>
      <c r="T8" s="13">
        <f>IFERROR(SUMPRODUCT((Loan_Snapshot!$B$5:$B$256=$A8)*Loan_Snapshot!$I$5:$I$256*Loan_Snapshot!$CK$5:$CK$256)/$C8,0)</f>
        <v/>
      </c>
      <c r="U8" s="13">
        <f>IFERROR(SUMPRODUCT((Loan_Snapshot!$B$5:$B$256=$A8)*Loan_Snapshot!$I$5:$I$256*Loan_Snapshot!$CL$5:$CL$256)/$C8,0)</f>
        <v/>
      </c>
      <c r="V8" s="13">
        <f>IFERROR(SUMPRODUCT((Loan_Snapshot!$B$5:$B$256=$A8)*Loan_Snapshot!$I$5:$I$256*Loan_Snapshot!$CM$5:$CM$256)/$C8,0)</f>
        <v/>
      </c>
      <c r="W8" s="13">
        <f>IFERROR(SUMPRODUCT((Loan_Snapshot!$B$5:$B$256=$A8)*Loan_Snapshot!$I$5:$I$256*Loan_Snapshot!$CN$5:$CN$256)/$C8,0)</f>
        <v/>
      </c>
      <c r="X8" s="13">
        <f>IFERROR(SUMPRODUCT((Loan_Snapshot!$B$5:$B$256=$A8)*Loan_Snapshot!$I$5:$I$256*Loan_Snapshot!$CO$5:$CO$256)/$C8,0)</f>
        <v/>
      </c>
      <c r="Y8" s="13">
        <f>IFERROR(SUMPRODUCT((Loan_Snapshot!$B$5:$B$256=$A8)*Loan_Snapshot!$I$5:$I$256*Loan_Snapshot!$CP$5:$CP$256)/$C8,0)</f>
        <v/>
      </c>
      <c r="Z8" s="13">
        <f>IFERROR(SUMPRODUCT((Loan_Snapshot!$B$5:$B$256=$A8)*Loan_Snapshot!$I$5:$I$256*Loan_Snapshot!$CQ$5:$CQ$256)/$C8,0)</f>
        <v/>
      </c>
      <c r="AA8" s="13">
        <f>IFERROR(SUMPRODUCT((Loan_Snapshot!$B$5:$B$256=$A8)*Loan_Snapshot!$I$5:$I$256*Loan_Snapshot!$CR$5:$CR$256)/$C8,0)</f>
        <v/>
      </c>
      <c r="AB8" s="13">
        <f>IFERROR(SUMPRODUCT((Loan_Snapshot!$B$5:$B$256=$A8)*Loan_Snapshot!$I$5:$I$256*Loan_Snapshot!$CS$5:$CS$256)/$C8,0)</f>
        <v/>
      </c>
      <c r="AC8" s="29">
        <f>BASELINE_CPR+SUM(E8:AB8)-$D8</f>
        <v/>
      </c>
    </row>
    <row r="9">
      <c r="A9" s="2" t="inlineStr">
        <is>
          <t>WELLS_PRE21</t>
        </is>
      </c>
      <c r="B9">
        <f>COUNTIF(Loan_Snapshot!$B$5:$B$256,$A9)</f>
        <v/>
      </c>
      <c r="C9" s="22">
        <f>SUMIF(Loan_Snapshot!$B$5:$B$256,$A9,Loan_Snapshot!$I$5:$I$256)</f>
        <v/>
      </c>
      <c r="D9" s="13">
        <f>IFERROR(SUMPRODUCT((Loan_Snapshot!$B$5:$B$256=$A9)*Loan_Snapshot!$I$5:$I$256*Loan_Snapshot!$BU$5:$BU$256)/$C9,0)</f>
        <v/>
      </c>
      <c r="E9" s="13">
        <f>IFERROR(SUMPRODUCT((Loan_Snapshot!$B$5:$B$256=$A9)*Loan_Snapshot!$I$5:$I$256*Loan_Snapshot!$BV$5:$BV$256)/$C9,0)</f>
        <v/>
      </c>
      <c r="F9" s="13">
        <f>IFERROR(SUMPRODUCT((Loan_Snapshot!$B$5:$B$256=$A9)*Loan_Snapshot!$I$5:$I$256*Loan_Snapshot!$BW$5:$BW$256)/$C9,0)</f>
        <v/>
      </c>
      <c r="G9" s="13">
        <f>IFERROR(SUMPRODUCT((Loan_Snapshot!$B$5:$B$256=$A9)*Loan_Snapshot!$I$5:$I$256*Loan_Snapshot!$BX$5:$BX$256)/$C9,0)</f>
        <v/>
      </c>
      <c r="H9" s="13">
        <f>IFERROR(SUMPRODUCT((Loan_Snapshot!$B$5:$B$256=$A9)*Loan_Snapshot!$I$5:$I$256*Loan_Snapshot!$BY$5:$BY$256)/$C9,0)</f>
        <v/>
      </c>
      <c r="I9" s="13">
        <f>IFERROR(SUMPRODUCT((Loan_Snapshot!$B$5:$B$256=$A9)*Loan_Snapshot!$I$5:$I$256*Loan_Snapshot!$BZ$5:$BZ$256)/$C9,0)</f>
        <v/>
      </c>
      <c r="J9" s="13">
        <f>IFERROR(SUMPRODUCT((Loan_Snapshot!$B$5:$B$256=$A9)*Loan_Snapshot!$I$5:$I$256*Loan_Snapshot!$CA$5:$CA$256)/$C9,0)</f>
        <v/>
      </c>
      <c r="K9" s="13">
        <f>IFERROR(SUMPRODUCT((Loan_Snapshot!$B$5:$B$256=$A9)*Loan_Snapshot!$I$5:$I$256*Loan_Snapshot!$CB$5:$CB$256)/$C9,0)</f>
        <v/>
      </c>
      <c r="L9" s="13">
        <f>IFERROR(SUMPRODUCT((Loan_Snapshot!$B$5:$B$256=$A9)*Loan_Snapshot!$I$5:$I$256*Loan_Snapshot!$CC$5:$CC$256)/$C9,0)</f>
        <v/>
      </c>
      <c r="M9" s="13">
        <f>IFERROR(SUMPRODUCT((Loan_Snapshot!$B$5:$B$256=$A9)*Loan_Snapshot!$I$5:$I$256*Loan_Snapshot!$CD$5:$CD$256)/$C9,0)</f>
        <v/>
      </c>
      <c r="N9" s="13">
        <f>IFERROR(SUMPRODUCT((Loan_Snapshot!$B$5:$B$256=$A9)*Loan_Snapshot!$I$5:$I$256*Loan_Snapshot!$CE$5:$CE$256)/$C9,0)</f>
        <v/>
      </c>
      <c r="O9" s="13">
        <f>IFERROR(SUMPRODUCT((Loan_Snapshot!$B$5:$B$256=$A9)*Loan_Snapshot!$I$5:$I$256*Loan_Snapshot!$CF$5:$CF$256)/$C9,0)</f>
        <v/>
      </c>
      <c r="P9" s="13">
        <f>IFERROR(SUMPRODUCT((Loan_Snapshot!$B$5:$B$256=$A9)*Loan_Snapshot!$I$5:$I$256*Loan_Snapshot!$CG$5:$CG$256)/$C9,0)</f>
        <v/>
      </c>
      <c r="Q9" s="13">
        <f>IFERROR(SUMPRODUCT((Loan_Snapshot!$B$5:$B$256=$A9)*Loan_Snapshot!$I$5:$I$256*Loan_Snapshot!$CH$5:$CH$256)/$C9,0)</f>
        <v/>
      </c>
      <c r="R9" s="13">
        <f>IFERROR(SUMPRODUCT((Loan_Snapshot!$B$5:$B$256=$A9)*Loan_Snapshot!$I$5:$I$256*Loan_Snapshot!$CI$5:$CI$256)/$C9,0)</f>
        <v/>
      </c>
      <c r="S9" s="13">
        <f>IFERROR(SUMPRODUCT((Loan_Snapshot!$B$5:$B$256=$A9)*Loan_Snapshot!$I$5:$I$256*Loan_Snapshot!$CJ$5:$CJ$256)/$C9,0)</f>
        <v/>
      </c>
      <c r="T9" s="13">
        <f>IFERROR(SUMPRODUCT((Loan_Snapshot!$B$5:$B$256=$A9)*Loan_Snapshot!$I$5:$I$256*Loan_Snapshot!$CK$5:$CK$256)/$C9,0)</f>
        <v/>
      </c>
      <c r="U9" s="13">
        <f>IFERROR(SUMPRODUCT((Loan_Snapshot!$B$5:$B$256=$A9)*Loan_Snapshot!$I$5:$I$256*Loan_Snapshot!$CL$5:$CL$256)/$C9,0)</f>
        <v/>
      </c>
      <c r="V9" s="13">
        <f>IFERROR(SUMPRODUCT((Loan_Snapshot!$B$5:$B$256=$A9)*Loan_Snapshot!$I$5:$I$256*Loan_Snapshot!$CM$5:$CM$256)/$C9,0)</f>
        <v/>
      </c>
      <c r="W9" s="13">
        <f>IFERROR(SUMPRODUCT((Loan_Snapshot!$B$5:$B$256=$A9)*Loan_Snapshot!$I$5:$I$256*Loan_Snapshot!$CN$5:$CN$256)/$C9,0)</f>
        <v/>
      </c>
      <c r="X9" s="13">
        <f>IFERROR(SUMPRODUCT((Loan_Snapshot!$B$5:$B$256=$A9)*Loan_Snapshot!$I$5:$I$256*Loan_Snapshot!$CO$5:$CO$256)/$C9,0)</f>
        <v/>
      </c>
      <c r="Y9" s="13">
        <f>IFERROR(SUMPRODUCT((Loan_Snapshot!$B$5:$B$256=$A9)*Loan_Snapshot!$I$5:$I$256*Loan_Snapshot!$CP$5:$CP$256)/$C9,0)</f>
        <v/>
      </c>
      <c r="Z9" s="13">
        <f>IFERROR(SUMPRODUCT((Loan_Snapshot!$B$5:$B$256=$A9)*Loan_Snapshot!$I$5:$I$256*Loan_Snapshot!$CQ$5:$CQ$256)/$C9,0)</f>
        <v/>
      </c>
      <c r="AA9" s="13">
        <f>IFERROR(SUMPRODUCT((Loan_Snapshot!$B$5:$B$256=$A9)*Loan_Snapshot!$I$5:$I$256*Loan_Snapshot!$CR$5:$CR$256)/$C9,0)</f>
        <v/>
      </c>
      <c r="AB9" s="13">
        <f>IFERROR(SUMPRODUCT((Loan_Snapshot!$B$5:$B$256=$A9)*Loan_Snapshot!$I$5:$I$256*Loan_Snapshot!$CS$5:$CS$256)/$C9,0)</f>
        <v/>
      </c>
      <c r="AC9" s="29">
        <f>BASELINE_CPR+SUM(E9:AB9)-$D9</f>
        <v/>
      </c>
    </row>
    <row r="10">
      <c r="A10" s="2" t="inlineStr">
        <is>
          <t>GREYSTONE_POST21</t>
        </is>
      </c>
      <c r="B10">
        <f>COUNTIF(Loan_Snapshot!$B$5:$B$256,$A10)</f>
        <v/>
      </c>
      <c r="C10" s="22">
        <f>SUMIF(Loan_Snapshot!$B$5:$B$256,$A10,Loan_Snapshot!$I$5:$I$256)</f>
        <v/>
      </c>
      <c r="D10" s="13">
        <f>IFERROR(SUMPRODUCT((Loan_Snapshot!$B$5:$B$256=$A10)*Loan_Snapshot!$I$5:$I$256*Loan_Snapshot!$BU$5:$BU$256)/$C10,0)</f>
        <v/>
      </c>
      <c r="E10" s="13">
        <f>IFERROR(SUMPRODUCT((Loan_Snapshot!$B$5:$B$256=$A10)*Loan_Snapshot!$I$5:$I$256*Loan_Snapshot!$BV$5:$BV$256)/$C10,0)</f>
        <v/>
      </c>
      <c r="F10" s="13">
        <f>IFERROR(SUMPRODUCT((Loan_Snapshot!$B$5:$B$256=$A10)*Loan_Snapshot!$I$5:$I$256*Loan_Snapshot!$BW$5:$BW$256)/$C10,0)</f>
        <v/>
      </c>
      <c r="G10" s="13">
        <f>IFERROR(SUMPRODUCT((Loan_Snapshot!$B$5:$B$256=$A10)*Loan_Snapshot!$I$5:$I$256*Loan_Snapshot!$BX$5:$BX$256)/$C10,0)</f>
        <v/>
      </c>
      <c r="H10" s="13">
        <f>IFERROR(SUMPRODUCT((Loan_Snapshot!$B$5:$B$256=$A10)*Loan_Snapshot!$I$5:$I$256*Loan_Snapshot!$BY$5:$BY$256)/$C10,0)</f>
        <v/>
      </c>
      <c r="I10" s="13">
        <f>IFERROR(SUMPRODUCT((Loan_Snapshot!$B$5:$B$256=$A10)*Loan_Snapshot!$I$5:$I$256*Loan_Snapshot!$BZ$5:$BZ$256)/$C10,0)</f>
        <v/>
      </c>
      <c r="J10" s="13">
        <f>IFERROR(SUMPRODUCT((Loan_Snapshot!$B$5:$B$256=$A10)*Loan_Snapshot!$I$5:$I$256*Loan_Snapshot!$CA$5:$CA$256)/$C10,0)</f>
        <v/>
      </c>
      <c r="K10" s="13">
        <f>IFERROR(SUMPRODUCT((Loan_Snapshot!$B$5:$B$256=$A10)*Loan_Snapshot!$I$5:$I$256*Loan_Snapshot!$CB$5:$CB$256)/$C10,0)</f>
        <v/>
      </c>
      <c r="L10" s="13">
        <f>IFERROR(SUMPRODUCT((Loan_Snapshot!$B$5:$B$256=$A10)*Loan_Snapshot!$I$5:$I$256*Loan_Snapshot!$CC$5:$CC$256)/$C10,0)</f>
        <v/>
      </c>
      <c r="M10" s="13">
        <f>IFERROR(SUMPRODUCT((Loan_Snapshot!$B$5:$B$256=$A10)*Loan_Snapshot!$I$5:$I$256*Loan_Snapshot!$CD$5:$CD$256)/$C10,0)</f>
        <v/>
      </c>
      <c r="N10" s="13">
        <f>IFERROR(SUMPRODUCT((Loan_Snapshot!$B$5:$B$256=$A10)*Loan_Snapshot!$I$5:$I$256*Loan_Snapshot!$CE$5:$CE$256)/$C10,0)</f>
        <v/>
      </c>
      <c r="O10" s="13">
        <f>IFERROR(SUMPRODUCT((Loan_Snapshot!$B$5:$B$256=$A10)*Loan_Snapshot!$I$5:$I$256*Loan_Snapshot!$CF$5:$CF$256)/$C10,0)</f>
        <v/>
      </c>
      <c r="P10" s="13">
        <f>IFERROR(SUMPRODUCT((Loan_Snapshot!$B$5:$B$256=$A10)*Loan_Snapshot!$I$5:$I$256*Loan_Snapshot!$CG$5:$CG$256)/$C10,0)</f>
        <v/>
      </c>
      <c r="Q10" s="13">
        <f>IFERROR(SUMPRODUCT((Loan_Snapshot!$B$5:$B$256=$A10)*Loan_Snapshot!$I$5:$I$256*Loan_Snapshot!$CH$5:$CH$256)/$C10,0)</f>
        <v/>
      </c>
      <c r="R10" s="13">
        <f>IFERROR(SUMPRODUCT((Loan_Snapshot!$B$5:$B$256=$A10)*Loan_Snapshot!$I$5:$I$256*Loan_Snapshot!$CI$5:$CI$256)/$C10,0)</f>
        <v/>
      </c>
      <c r="S10" s="13">
        <f>IFERROR(SUMPRODUCT((Loan_Snapshot!$B$5:$B$256=$A10)*Loan_Snapshot!$I$5:$I$256*Loan_Snapshot!$CJ$5:$CJ$256)/$C10,0)</f>
        <v/>
      </c>
      <c r="T10" s="13">
        <f>IFERROR(SUMPRODUCT((Loan_Snapshot!$B$5:$B$256=$A10)*Loan_Snapshot!$I$5:$I$256*Loan_Snapshot!$CK$5:$CK$256)/$C10,0)</f>
        <v/>
      </c>
      <c r="U10" s="13">
        <f>IFERROR(SUMPRODUCT((Loan_Snapshot!$B$5:$B$256=$A10)*Loan_Snapshot!$I$5:$I$256*Loan_Snapshot!$CL$5:$CL$256)/$C10,0)</f>
        <v/>
      </c>
      <c r="V10" s="13">
        <f>IFERROR(SUMPRODUCT((Loan_Snapshot!$B$5:$B$256=$A10)*Loan_Snapshot!$I$5:$I$256*Loan_Snapshot!$CM$5:$CM$256)/$C10,0)</f>
        <v/>
      </c>
      <c r="W10" s="13">
        <f>IFERROR(SUMPRODUCT((Loan_Snapshot!$B$5:$B$256=$A10)*Loan_Snapshot!$I$5:$I$256*Loan_Snapshot!$CN$5:$CN$256)/$C10,0)</f>
        <v/>
      </c>
      <c r="X10" s="13">
        <f>IFERROR(SUMPRODUCT((Loan_Snapshot!$B$5:$B$256=$A10)*Loan_Snapshot!$I$5:$I$256*Loan_Snapshot!$CO$5:$CO$256)/$C10,0)</f>
        <v/>
      </c>
      <c r="Y10" s="13">
        <f>IFERROR(SUMPRODUCT((Loan_Snapshot!$B$5:$B$256=$A10)*Loan_Snapshot!$I$5:$I$256*Loan_Snapshot!$CP$5:$CP$256)/$C10,0)</f>
        <v/>
      </c>
      <c r="Z10" s="13">
        <f>IFERROR(SUMPRODUCT((Loan_Snapshot!$B$5:$B$256=$A10)*Loan_Snapshot!$I$5:$I$256*Loan_Snapshot!$CQ$5:$CQ$256)/$C10,0)</f>
        <v/>
      </c>
      <c r="AA10" s="13">
        <f>IFERROR(SUMPRODUCT((Loan_Snapshot!$B$5:$B$256=$A10)*Loan_Snapshot!$I$5:$I$256*Loan_Snapshot!$CR$5:$CR$256)/$C10,0)</f>
        <v/>
      </c>
      <c r="AB10" s="13">
        <f>IFERROR(SUMPRODUCT((Loan_Snapshot!$B$5:$B$256=$A10)*Loan_Snapshot!$I$5:$I$256*Loan_Snapshot!$CS$5:$CS$256)/$C10,0)</f>
        <v/>
      </c>
      <c r="AC10" s="29">
        <f>BASELINE_CPR+SUM(E10:AB10)-$D10</f>
        <v/>
      </c>
    </row>
    <row r="11">
      <c r="A11" s="2" t="inlineStr">
        <is>
          <t>CAPITAL_PRE21</t>
        </is>
      </c>
      <c r="B11">
        <f>COUNTIF(Loan_Snapshot!$B$5:$B$256,$A11)</f>
        <v/>
      </c>
      <c r="C11" s="22">
        <f>SUMIF(Loan_Snapshot!$B$5:$B$256,$A11,Loan_Snapshot!$I$5:$I$256)</f>
        <v/>
      </c>
      <c r="D11" s="13">
        <f>IFERROR(SUMPRODUCT((Loan_Snapshot!$B$5:$B$256=$A11)*Loan_Snapshot!$I$5:$I$256*Loan_Snapshot!$BU$5:$BU$256)/$C11,0)</f>
        <v/>
      </c>
      <c r="E11" s="13">
        <f>IFERROR(SUMPRODUCT((Loan_Snapshot!$B$5:$B$256=$A11)*Loan_Snapshot!$I$5:$I$256*Loan_Snapshot!$BV$5:$BV$256)/$C11,0)</f>
        <v/>
      </c>
      <c r="F11" s="13">
        <f>IFERROR(SUMPRODUCT((Loan_Snapshot!$B$5:$B$256=$A11)*Loan_Snapshot!$I$5:$I$256*Loan_Snapshot!$BW$5:$BW$256)/$C11,0)</f>
        <v/>
      </c>
      <c r="G11" s="13">
        <f>IFERROR(SUMPRODUCT((Loan_Snapshot!$B$5:$B$256=$A11)*Loan_Snapshot!$I$5:$I$256*Loan_Snapshot!$BX$5:$BX$256)/$C11,0)</f>
        <v/>
      </c>
      <c r="H11" s="13">
        <f>IFERROR(SUMPRODUCT((Loan_Snapshot!$B$5:$B$256=$A11)*Loan_Snapshot!$I$5:$I$256*Loan_Snapshot!$BY$5:$BY$256)/$C11,0)</f>
        <v/>
      </c>
      <c r="I11" s="13">
        <f>IFERROR(SUMPRODUCT((Loan_Snapshot!$B$5:$B$256=$A11)*Loan_Snapshot!$I$5:$I$256*Loan_Snapshot!$BZ$5:$BZ$256)/$C11,0)</f>
        <v/>
      </c>
      <c r="J11" s="13">
        <f>IFERROR(SUMPRODUCT((Loan_Snapshot!$B$5:$B$256=$A11)*Loan_Snapshot!$I$5:$I$256*Loan_Snapshot!$CA$5:$CA$256)/$C11,0)</f>
        <v/>
      </c>
      <c r="K11" s="13">
        <f>IFERROR(SUMPRODUCT((Loan_Snapshot!$B$5:$B$256=$A11)*Loan_Snapshot!$I$5:$I$256*Loan_Snapshot!$CB$5:$CB$256)/$C11,0)</f>
        <v/>
      </c>
      <c r="L11" s="13">
        <f>IFERROR(SUMPRODUCT((Loan_Snapshot!$B$5:$B$256=$A11)*Loan_Snapshot!$I$5:$I$256*Loan_Snapshot!$CC$5:$CC$256)/$C11,0)</f>
        <v/>
      </c>
      <c r="M11" s="13">
        <f>IFERROR(SUMPRODUCT((Loan_Snapshot!$B$5:$B$256=$A11)*Loan_Snapshot!$I$5:$I$256*Loan_Snapshot!$CD$5:$CD$256)/$C11,0)</f>
        <v/>
      </c>
      <c r="N11" s="13">
        <f>IFERROR(SUMPRODUCT((Loan_Snapshot!$B$5:$B$256=$A11)*Loan_Snapshot!$I$5:$I$256*Loan_Snapshot!$CE$5:$CE$256)/$C11,0)</f>
        <v/>
      </c>
      <c r="O11" s="13">
        <f>IFERROR(SUMPRODUCT((Loan_Snapshot!$B$5:$B$256=$A11)*Loan_Snapshot!$I$5:$I$256*Loan_Snapshot!$CF$5:$CF$256)/$C11,0)</f>
        <v/>
      </c>
      <c r="P11" s="13">
        <f>IFERROR(SUMPRODUCT((Loan_Snapshot!$B$5:$B$256=$A11)*Loan_Snapshot!$I$5:$I$256*Loan_Snapshot!$CG$5:$CG$256)/$C11,0)</f>
        <v/>
      </c>
      <c r="Q11" s="13">
        <f>IFERROR(SUMPRODUCT((Loan_Snapshot!$B$5:$B$256=$A11)*Loan_Snapshot!$I$5:$I$256*Loan_Snapshot!$CH$5:$CH$256)/$C11,0)</f>
        <v/>
      </c>
      <c r="R11" s="13">
        <f>IFERROR(SUMPRODUCT((Loan_Snapshot!$B$5:$B$256=$A11)*Loan_Snapshot!$I$5:$I$256*Loan_Snapshot!$CI$5:$CI$256)/$C11,0)</f>
        <v/>
      </c>
      <c r="S11" s="13">
        <f>IFERROR(SUMPRODUCT((Loan_Snapshot!$B$5:$B$256=$A11)*Loan_Snapshot!$I$5:$I$256*Loan_Snapshot!$CJ$5:$CJ$256)/$C11,0)</f>
        <v/>
      </c>
      <c r="T11" s="13">
        <f>IFERROR(SUMPRODUCT((Loan_Snapshot!$B$5:$B$256=$A11)*Loan_Snapshot!$I$5:$I$256*Loan_Snapshot!$CK$5:$CK$256)/$C11,0)</f>
        <v/>
      </c>
      <c r="U11" s="13">
        <f>IFERROR(SUMPRODUCT((Loan_Snapshot!$B$5:$B$256=$A11)*Loan_Snapshot!$I$5:$I$256*Loan_Snapshot!$CL$5:$CL$256)/$C11,0)</f>
        <v/>
      </c>
      <c r="V11" s="13">
        <f>IFERROR(SUMPRODUCT((Loan_Snapshot!$B$5:$B$256=$A11)*Loan_Snapshot!$I$5:$I$256*Loan_Snapshot!$CM$5:$CM$256)/$C11,0)</f>
        <v/>
      </c>
      <c r="W11" s="13">
        <f>IFERROR(SUMPRODUCT((Loan_Snapshot!$B$5:$B$256=$A11)*Loan_Snapshot!$I$5:$I$256*Loan_Snapshot!$CN$5:$CN$256)/$C11,0)</f>
        <v/>
      </c>
      <c r="X11" s="13">
        <f>IFERROR(SUMPRODUCT((Loan_Snapshot!$B$5:$B$256=$A11)*Loan_Snapshot!$I$5:$I$256*Loan_Snapshot!$CO$5:$CO$256)/$C11,0)</f>
        <v/>
      </c>
      <c r="Y11" s="13">
        <f>IFERROR(SUMPRODUCT((Loan_Snapshot!$B$5:$B$256=$A11)*Loan_Snapshot!$I$5:$I$256*Loan_Snapshot!$CP$5:$CP$256)/$C11,0)</f>
        <v/>
      </c>
      <c r="Z11" s="13">
        <f>IFERROR(SUMPRODUCT((Loan_Snapshot!$B$5:$B$256=$A11)*Loan_Snapshot!$I$5:$I$256*Loan_Snapshot!$CQ$5:$CQ$256)/$C11,0)</f>
        <v/>
      </c>
      <c r="AA11" s="13">
        <f>IFERROR(SUMPRODUCT((Loan_Snapshot!$B$5:$B$256=$A11)*Loan_Snapshot!$I$5:$I$256*Loan_Snapshot!$CR$5:$CR$256)/$C11,0)</f>
        <v/>
      </c>
      <c r="AB11" s="13">
        <f>IFERROR(SUMPRODUCT((Loan_Snapshot!$B$5:$B$256=$A11)*Loan_Snapshot!$I$5:$I$256*Loan_Snapshot!$CS$5:$CS$256)/$C11,0)</f>
        <v/>
      </c>
      <c r="AC11" s="29">
        <f>BASELINE_CPR+SUM(E11:AB11)-$D11</f>
        <v/>
      </c>
    </row>
    <row r="12">
      <c r="A12" s="2" t="inlineStr">
        <is>
          <t>MERCHANTS_PRE21</t>
        </is>
      </c>
      <c r="B12">
        <f>COUNTIF(Loan_Snapshot!$B$5:$B$256,$A12)</f>
        <v/>
      </c>
      <c r="C12" s="22">
        <f>SUMIF(Loan_Snapshot!$B$5:$B$256,$A12,Loan_Snapshot!$I$5:$I$256)</f>
        <v/>
      </c>
      <c r="D12" s="13">
        <f>IFERROR(SUMPRODUCT((Loan_Snapshot!$B$5:$B$256=$A12)*Loan_Snapshot!$I$5:$I$256*Loan_Snapshot!$BU$5:$BU$256)/$C12,0)</f>
        <v/>
      </c>
      <c r="E12" s="13">
        <f>IFERROR(SUMPRODUCT((Loan_Snapshot!$B$5:$B$256=$A12)*Loan_Snapshot!$I$5:$I$256*Loan_Snapshot!$BV$5:$BV$256)/$C12,0)</f>
        <v/>
      </c>
      <c r="F12" s="13">
        <f>IFERROR(SUMPRODUCT((Loan_Snapshot!$B$5:$B$256=$A12)*Loan_Snapshot!$I$5:$I$256*Loan_Snapshot!$BW$5:$BW$256)/$C12,0)</f>
        <v/>
      </c>
      <c r="G12" s="13">
        <f>IFERROR(SUMPRODUCT((Loan_Snapshot!$B$5:$B$256=$A12)*Loan_Snapshot!$I$5:$I$256*Loan_Snapshot!$BX$5:$BX$256)/$C12,0)</f>
        <v/>
      </c>
      <c r="H12" s="13">
        <f>IFERROR(SUMPRODUCT((Loan_Snapshot!$B$5:$B$256=$A12)*Loan_Snapshot!$I$5:$I$256*Loan_Snapshot!$BY$5:$BY$256)/$C12,0)</f>
        <v/>
      </c>
      <c r="I12" s="13">
        <f>IFERROR(SUMPRODUCT((Loan_Snapshot!$B$5:$B$256=$A12)*Loan_Snapshot!$I$5:$I$256*Loan_Snapshot!$BZ$5:$BZ$256)/$C12,0)</f>
        <v/>
      </c>
      <c r="J12" s="13">
        <f>IFERROR(SUMPRODUCT((Loan_Snapshot!$B$5:$B$256=$A12)*Loan_Snapshot!$I$5:$I$256*Loan_Snapshot!$CA$5:$CA$256)/$C12,0)</f>
        <v/>
      </c>
      <c r="K12" s="13">
        <f>IFERROR(SUMPRODUCT((Loan_Snapshot!$B$5:$B$256=$A12)*Loan_Snapshot!$I$5:$I$256*Loan_Snapshot!$CB$5:$CB$256)/$C12,0)</f>
        <v/>
      </c>
      <c r="L12" s="13">
        <f>IFERROR(SUMPRODUCT((Loan_Snapshot!$B$5:$B$256=$A12)*Loan_Snapshot!$I$5:$I$256*Loan_Snapshot!$CC$5:$CC$256)/$C12,0)</f>
        <v/>
      </c>
      <c r="M12" s="13">
        <f>IFERROR(SUMPRODUCT((Loan_Snapshot!$B$5:$B$256=$A12)*Loan_Snapshot!$I$5:$I$256*Loan_Snapshot!$CD$5:$CD$256)/$C12,0)</f>
        <v/>
      </c>
      <c r="N12" s="13">
        <f>IFERROR(SUMPRODUCT((Loan_Snapshot!$B$5:$B$256=$A12)*Loan_Snapshot!$I$5:$I$256*Loan_Snapshot!$CE$5:$CE$256)/$C12,0)</f>
        <v/>
      </c>
      <c r="O12" s="13">
        <f>IFERROR(SUMPRODUCT((Loan_Snapshot!$B$5:$B$256=$A12)*Loan_Snapshot!$I$5:$I$256*Loan_Snapshot!$CF$5:$CF$256)/$C12,0)</f>
        <v/>
      </c>
      <c r="P12" s="13">
        <f>IFERROR(SUMPRODUCT((Loan_Snapshot!$B$5:$B$256=$A12)*Loan_Snapshot!$I$5:$I$256*Loan_Snapshot!$CG$5:$CG$256)/$C12,0)</f>
        <v/>
      </c>
      <c r="Q12" s="13">
        <f>IFERROR(SUMPRODUCT((Loan_Snapshot!$B$5:$B$256=$A12)*Loan_Snapshot!$I$5:$I$256*Loan_Snapshot!$CH$5:$CH$256)/$C12,0)</f>
        <v/>
      </c>
      <c r="R12" s="13">
        <f>IFERROR(SUMPRODUCT((Loan_Snapshot!$B$5:$B$256=$A12)*Loan_Snapshot!$I$5:$I$256*Loan_Snapshot!$CI$5:$CI$256)/$C12,0)</f>
        <v/>
      </c>
      <c r="S12" s="13">
        <f>IFERROR(SUMPRODUCT((Loan_Snapshot!$B$5:$B$256=$A12)*Loan_Snapshot!$I$5:$I$256*Loan_Snapshot!$CJ$5:$CJ$256)/$C12,0)</f>
        <v/>
      </c>
      <c r="T12" s="13">
        <f>IFERROR(SUMPRODUCT((Loan_Snapshot!$B$5:$B$256=$A12)*Loan_Snapshot!$I$5:$I$256*Loan_Snapshot!$CK$5:$CK$256)/$C12,0)</f>
        <v/>
      </c>
      <c r="U12" s="13">
        <f>IFERROR(SUMPRODUCT((Loan_Snapshot!$B$5:$B$256=$A12)*Loan_Snapshot!$I$5:$I$256*Loan_Snapshot!$CL$5:$CL$256)/$C12,0)</f>
        <v/>
      </c>
      <c r="V12" s="13">
        <f>IFERROR(SUMPRODUCT((Loan_Snapshot!$B$5:$B$256=$A12)*Loan_Snapshot!$I$5:$I$256*Loan_Snapshot!$CM$5:$CM$256)/$C12,0)</f>
        <v/>
      </c>
      <c r="W12" s="13">
        <f>IFERROR(SUMPRODUCT((Loan_Snapshot!$B$5:$B$256=$A12)*Loan_Snapshot!$I$5:$I$256*Loan_Snapshot!$CN$5:$CN$256)/$C12,0)</f>
        <v/>
      </c>
      <c r="X12" s="13">
        <f>IFERROR(SUMPRODUCT((Loan_Snapshot!$B$5:$B$256=$A12)*Loan_Snapshot!$I$5:$I$256*Loan_Snapshot!$CO$5:$CO$256)/$C12,0)</f>
        <v/>
      </c>
      <c r="Y12" s="13">
        <f>IFERROR(SUMPRODUCT((Loan_Snapshot!$B$5:$B$256=$A12)*Loan_Snapshot!$I$5:$I$256*Loan_Snapshot!$CP$5:$CP$256)/$C12,0)</f>
        <v/>
      </c>
      <c r="Z12" s="13">
        <f>IFERROR(SUMPRODUCT((Loan_Snapshot!$B$5:$B$256=$A12)*Loan_Snapshot!$I$5:$I$256*Loan_Snapshot!$CQ$5:$CQ$256)/$C12,0)</f>
        <v/>
      </c>
      <c r="AA12" s="13">
        <f>IFERROR(SUMPRODUCT((Loan_Snapshot!$B$5:$B$256=$A12)*Loan_Snapshot!$I$5:$I$256*Loan_Snapshot!$CR$5:$CR$256)/$C12,0)</f>
        <v/>
      </c>
      <c r="AB12" s="13">
        <f>IFERROR(SUMPRODUCT((Loan_Snapshot!$B$5:$B$256=$A12)*Loan_Snapshot!$I$5:$I$256*Loan_Snapshot!$CS$5:$CS$256)/$C12,0)</f>
        <v/>
      </c>
      <c r="AC12" s="29">
        <f>BASELINE_CPR+SUM(E12:AB12)-$D12</f>
        <v/>
      </c>
    </row>
    <row r="13">
      <c r="A13" s="2" t="inlineStr">
        <is>
          <t>KEYBANK_PRE21</t>
        </is>
      </c>
      <c r="B13">
        <f>COUNTIF(Loan_Snapshot!$B$5:$B$256,$A13)</f>
        <v/>
      </c>
      <c r="C13" s="22">
        <f>SUMIF(Loan_Snapshot!$B$5:$B$256,$A13,Loan_Snapshot!$I$5:$I$256)</f>
        <v/>
      </c>
      <c r="D13" s="13">
        <f>IFERROR(SUMPRODUCT((Loan_Snapshot!$B$5:$B$256=$A13)*Loan_Snapshot!$I$5:$I$256*Loan_Snapshot!$BU$5:$BU$256)/$C13,0)</f>
        <v/>
      </c>
      <c r="E13" s="13">
        <f>IFERROR(SUMPRODUCT((Loan_Snapshot!$B$5:$B$256=$A13)*Loan_Snapshot!$I$5:$I$256*Loan_Snapshot!$BV$5:$BV$256)/$C13,0)</f>
        <v/>
      </c>
      <c r="F13" s="13">
        <f>IFERROR(SUMPRODUCT((Loan_Snapshot!$B$5:$B$256=$A13)*Loan_Snapshot!$I$5:$I$256*Loan_Snapshot!$BW$5:$BW$256)/$C13,0)</f>
        <v/>
      </c>
      <c r="G13" s="13">
        <f>IFERROR(SUMPRODUCT((Loan_Snapshot!$B$5:$B$256=$A13)*Loan_Snapshot!$I$5:$I$256*Loan_Snapshot!$BX$5:$BX$256)/$C13,0)</f>
        <v/>
      </c>
      <c r="H13" s="13">
        <f>IFERROR(SUMPRODUCT((Loan_Snapshot!$B$5:$B$256=$A13)*Loan_Snapshot!$I$5:$I$256*Loan_Snapshot!$BY$5:$BY$256)/$C13,0)</f>
        <v/>
      </c>
      <c r="I13" s="13">
        <f>IFERROR(SUMPRODUCT((Loan_Snapshot!$B$5:$B$256=$A13)*Loan_Snapshot!$I$5:$I$256*Loan_Snapshot!$BZ$5:$BZ$256)/$C13,0)</f>
        <v/>
      </c>
      <c r="J13" s="13">
        <f>IFERROR(SUMPRODUCT((Loan_Snapshot!$B$5:$B$256=$A13)*Loan_Snapshot!$I$5:$I$256*Loan_Snapshot!$CA$5:$CA$256)/$C13,0)</f>
        <v/>
      </c>
      <c r="K13" s="13">
        <f>IFERROR(SUMPRODUCT((Loan_Snapshot!$B$5:$B$256=$A13)*Loan_Snapshot!$I$5:$I$256*Loan_Snapshot!$CB$5:$CB$256)/$C13,0)</f>
        <v/>
      </c>
      <c r="L13" s="13">
        <f>IFERROR(SUMPRODUCT((Loan_Snapshot!$B$5:$B$256=$A13)*Loan_Snapshot!$I$5:$I$256*Loan_Snapshot!$CC$5:$CC$256)/$C13,0)</f>
        <v/>
      </c>
      <c r="M13" s="13">
        <f>IFERROR(SUMPRODUCT((Loan_Snapshot!$B$5:$B$256=$A13)*Loan_Snapshot!$I$5:$I$256*Loan_Snapshot!$CD$5:$CD$256)/$C13,0)</f>
        <v/>
      </c>
      <c r="N13" s="13">
        <f>IFERROR(SUMPRODUCT((Loan_Snapshot!$B$5:$B$256=$A13)*Loan_Snapshot!$I$5:$I$256*Loan_Snapshot!$CE$5:$CE$256)/$C13,0)</f>
        <v/>
      </c>
      <c r="O13" s="13">
        <f>IFERROR(SUMPRODUCT((Loan_Snapshot!$B$5:$B$256=$A13)*Loan_Snapshot!$I$5:$I$256*Loan_Snapshot!$CF$5:$CF$256)/$C13,0)</f>
        <v/>
      </c>
      <c r="P13" s="13">
        <f>IFERROR(SUMPRODUCT((Loan_Snapshot!$B$5:$B$256=$A13)*Loan_Snapshot!$I$5:$I$256*Loan_Snapshot!$CG$5:$CG$256)/$C13,0)</f>
        <v/>
      </c>
      <c r="Q13" s="13">
        <f>IFERROR(SUMPRODUCT((Loan_Snapshot!$B$5:$B$256=$A13)*Loan_Snapshot!$I$5:$I$256*Loan_Snapshot!$CH$5:$CH$256)/$C13,0)</f>
        <v/>
      </c>
      <c r="R13" s="13">
        <f>IFERROR(SUMPRODUCT((Loan_Snapshot!$B$5:$B$256=$A13)*Loan_Snapshot!$I$5:$I$256*Loan_Snapshot!$CI$5:$CI$256)/$C13,0)</f>
        <v/>
      </c>
      <c r="S13" s="13">
        <f>IFERROR(SUMPRODUCT((Loan_Snapshot!$B$5:$B$256=$A13)*Loan_Snapshot!$I$5:$I$256*Loan_Snapshot!$CJ$5:$CJ$256)/$C13,0)</f>
        <v/>
      </c>
      <c r="T13" s="13">
        <f>IFERROR(SUMPRODUCT((Loan_Snapshot!$B$5:$B$256=$A13)*Loan_Snapshot!$I$5:$I$256*Loan_Snapshot!$CK$5:$CK$256)/$C13,0)</f>
        <v/>
      </c>
      <c r="U13" s="13">
        <f>IFERROR(SUMPRODUCT((Loan_Snapshot!$B$5:$B$256=$A13)*Loan_Snapshot!$I$5:$I$256*Loan_Snapshot!$CL$5:$CL$256)/$C13,0)</f>
        <v/>
      </c>
      <c r="V13" s="13">
        <f>IFERROR(SUMPRODUCT((Loan_Snapshot!$B$5:$B$256=$A13)*Loan_Snapshot!$I$5:$I$256*Loan_Snapshot!$CM$5:$CM$256)/$C13,0)</f>
        <v/>
      </c>
      <c r="W13" s="13">
        <f>IFERROR(SUMPRODUCT((Loan_Snapshot!$B$5:$B$256=$A13)*Loan_Snapshot!$I$5:$I$256*Loan_Snapshot!$CN$5:$CN$256)/$C13,0)</f>
        <v/>
      </c>
      <c r="X13" s="13">
        <f>IFERROR(SUMPRODUCT((Loan_Snapshot!$B$5:$B$256=$A13)*Loan_Snapshot!$I$5:$I$256*Loan_Snapshot!$CO$5:$CO$256)/$C13,0)</f>
        <v/>
      </c>
      <c r="Y13" s="13">
        <f>IFERROR(SUMPRODUCT((Loan_Snapshot!$B$5:$B$256=$A13)*Loan_Snapshot!$I$5:$I$256*Loan_Snapshot!$CP$5:$CP$256)/$C13,0)</f>
        <v/>
      </c>
      <c r="Z13" s="13">
        <f>IFERROR(SUMPRODUCT((Loan_Snapshot!$B$5:$B$256=$A13)*Loan_Snapshot!$I$5:$I$256*Loan_Snapshot!$CQ$5:$CQ$256)/$C13,0)</f>
        <v/>
      </c>
      <c r="AA13" s="13">
        <f>IFERROR(SUMPRODUCT((Loan_Snapshot!$B$5:$B$256=$A13)*Loan_Snapshot!$I$5:$I$256*Loan_Snapshot!$CR$5:$CR$256)/$C13,0)</f>
        <v/>
      </c>
      <c r="AB13" s="13">
        <f>IFERROR(SUMPRODUCT((Loan_Snapshot!$B$5:$B$256=$A13)*Loan_Snapshot!$I$5:$I$256*Loan_Snapshot!$CS$5:$CS$256)/$C13,0)</f>
        <v/>
      </c>
      <c r="AC13" s="29">
        <f>BASELINE_CPR+SUM(E13:AB13)-$D13</f>
        <v/>
      </c>
    </row>
    <row r="14">
      <c r="A14" s="2" t="inlineStr">
        <is>
          <t>LUMENT_POST21</t>
        </is>
      </c>
      <c r="B14">
        <f>COUNTIF(Loan_Snapshot!$B$5:$B$256,$A14)</f>
        <v/>
      </c>
      <c r="C14" s="22">
        <f>SUMIF(Loan_Snapshot!$B$5:$B$256,$A14,Loan_Snapshot!$I$5:$I$256)</f>
        <v/>
      </c>
      <c r="D14" s="13">
        <f>IFERROR(SUMPRODUCT((Loan_Snapshot!$B$5:$B$256=$A14)*Loan_Snapshot!$I$5:$I$256*Loan_Snapshot!$BU$5:$BU$256)/$C14,0)</f>
        <v/>
      </c>
      <c r="E14" s="13">
        <f>IFERROR(SUMPRODUCT((Loan_Snapshot!$B$5:$B$256=$A14)*Loan_Snapshot!$I$5:$I$256*Loan_Snapshot!$BV$5:$BV$256)/$C14,0)</f>
        <v/>
      </c>
      <c r="F14" s="13">
        <f>IFERROR(SUMPRODUCT((Loan_Snapshot!$B$5:$B$256=$A14)*Loan_Snapshot!$I$5:$I$256*Loan_Snapshot!$BW$5:$BW$256)/$C14,0)</f>
        <v/>
      </c>
      <c r="G14" s="13">
        <f>IFERROR(SUMPRODUCT((Loan_Snapshot!$B$5:$B$256=$A14)*Loan_Snapshot!$I$5:$I$256*Loan_Snapshot!$BX$5:$BX$256)/$C14,0)</f>
        <v/>
      </c>
      <c r="H14" s="13">
        <f>IFERROR(SUMPRODUCT((Loan_Snapshot!$B$5:$B$256=$A14)*Loan_Snapshot!$I$5:$I$256*Loan_Snapshot!$BY$5:$BY$256)/$C14,0)</f>
        <v/>
      </c>
      <c r="I14" s="13">
        <f>IFERROR(SUMPRODUCT((Loan_Snapshot!$B$5:$B$256=$A14)*Loan_Snapshot!$I$5:$I$256*Loan_Snapshot!$BZ$5:$BZ$256)/$C14,0)</f>
        <v/>
      </c>
      <c r="J14" s="13">
        <f>IFERROR(SUMPRODUCT((Loan_Snapshot!$B$5:$B$256=$A14)*Loan_Snapshot!$I$5:$I$256*Loan_Snapshot!$CA$5:$CA$256)/$C14,0)</f>
        <v/>
      </c>
      <c r="K14" s="13">
        <f>IFERROR(SUMPRODUCT((Loan_Snapshot!$B$5:$B$256=$A14)*Loan_Snapshot!$I$5:$I$256*Loan_Snapshot!$CB$5:$CB$256)/$C14,0)</f>
        <v/>
      </c>
      <c r="L14" s="13">
        <f>IFERROR(SUMPRODUCT((Loan_Snapshot!$B$5:$B$256=$A14)*Loan_Snapshot!$I$5:$I$256*Loan_Snapshot!$CC$5:$CC$256)/$C14,0)</f>
        <v/>
      </c>
      <c r="M14" s="13">
        <f>IFERROR(SUMPRODUCT((Loan_Snapshot!$B$5:$B$256=$A14)*Loan_Snapshot!$I$5:$I$256*Loan_Snapshot!$CD$5:$CD$256)/$C14,0)</f>
        <v/>
      </c>
      <c r="N14" s="13">
        <f>IFERROR(SUMPRODUCT((Loan_Snapshot!$B$5:$B$256=$A14)*Loan_Snapshot!$I$5:$I$256*Loan_Snapshot!$CE$5:$CE$256)/$C14,0)</f>
        <v/>
      </c>
      <c r="O14" s="13">
        <f>IFERROR(SUMPRODUCT((Loan_Snapshot!$B$5:$B$256=$A14)*Loan_Snapshot!$I$5:$I$256*Loan_Snapshot!$CF$5:$CF$256)/$C14,0)</f>
        <v/>
      </c>
      <c r="P14" s="13">
        <f>IFERROR(SUMPRODUCT((Loan_Snapshot!$B$5:$B$256=$A14)*Loan_Snapshot!$I$5:$I$256*Loan_Snapshot!$CG$5:$CG$256)/$C14,0)</f>
        <v/>
      </c>
      <c r="Q14" s="13">
        <f>IFERROR(SUMPRODUCT((Loan_Snapshot!$B$5:$B$256=$A14)*Loan_Snapshot!$I$5:$I$256*Loan_Snapshot!$CH$5:$CH$256)/$C14,0)</f>
        <v/>
      </c>
      <c r="R14" s="13">
        <f>IFERROR(SUMPRODUCT((Loan_Snapshot!$B$5:$B$256=$A14)*Loan_Snapshot!$I$5:$I$256*Loan_Snapshot!$CI$5:$CI$256)/$C14,0)</f>
        <v/>
      </c>
      <c r="S14" s="13">
        <f>IFERROR(SUMPRODUCT((Loan_Snapshot!$B$5:$B$256=$A14)*Loan_Snapshot!$I$5:$I$256*Loan_Snapshot!$CJ$5:$CJ$256)/$C14,0)</f>
        <v/>
      </c>
      <c r="T14" s="13">
        <f>IFERROR(SUMPRODUCT((Loan_Snapshot!$B$5:$B$256=$A14)*Loan_Snapshot!$I$5:$I$256*Loan_Snapshot!$CK$5:$CK$256)/$C14,0)</f>
        <v/>
      </c>
      <c r="U14" s="13">
        <f>IFERROR(SUMPRODUCT((Loan_Snapshot!$B$5:$B$256=$A14)*Loan_Snapshot!$I$5:$I$256*Loan_Snapshot!$CL$5:$CL$256)/$C14,0)</f>
        <v/>
      </c>
      <c r="V14" s="13">
        <f>IFERROR(SUMPRODUCT((Loan_Snapshot!$B$5:$B$256=$A14)*Loan_Snapshot!$I$5:$I$256*Loan_Snapshot!$CM$5:$CM$256)/$C14,0)</f>
        <v/>
      </c>
      <c r="W14" s="13">
        <f>IFERROR(SUMPRODUCT((Loan_Snapshot!$B$5:$B$256=$A14)*Loan_Snapshot!$I$5:$I$256*Loan_Snapshot!$CN$5:$CN$256)/$C14,0)</f>
        <v/>
      </c>
      <c r="X14" s="13">
        <f>IFERROR(SUMPRODUCT((Loan_Snapshot!$B$5:$B$256=$A14)*Loan_Snapshot!$I$5:$I$256*Loan_Snapshot!$CO$5:$CO$256)/$C14,0)</f>
        <v/>
      </c>
      <c r="Y14" s="13">
        <f>IFERROR(SUMPRODUCT((Loan_Snapshot!$B$5:$B$256=$A14)*Loan_Snapshot!$I$5:$I$256*Loan_Snapshot!$CP$5:$CP$256)/$C14,0)</f>
        <v/>
      </c>
      <c r="Z14" s="13">
        <f>IFERROR(SUMPRODUCT((Loan_Snapshot!$B$5:$B$256=$A14)*Loan_Snapshot!$I$5:$I$256*Loan_Snapshot!$CQ$5:$CQ$256)/$C14,0)</f>
        <v/>
      </c>
      <c r="AA14" s="13">
        <f>IFERROR(SUMPRODUCT((Loan_Snapshot!$B$5:$B$256=$A14)*Loan_Snapshot!$I$5:$I$256*Loan_Snapshot!$CR$5:$CR$256)/$C14,0)</f>
        <v/>
      </c>
      <c r="AB14" s="13">
        <f>IFERROR(SUMPRODUCT((Loan_Snapshot!$B$5:$B$256=$A14)*Loan_Snapshot!$I$5:$I$256*Loan_Snapshot!$CS$5:$CS$256)/$C14,0)</f>
        <v/>
      </c>
      <c r="AC14" s="29">
        <f>BASELINE_CPR+SUM(E14:AB14)-$D14</f>
        <v/>
      </c>
    </row>
    <row r="15">
      <c r="A15" s="2" t="inlineStr">
        <is>
          <t>BERKADIA_POST21</t>
        </is>
      </c>
      <c r="B15">
        <f>COUNTIF(Loan_Snapshot!$B$5:$B$256,$A15)</f>
        <v/>
      </c>
      <c r="C15" s="22">
        <f>SUMIF(Loan_Snapshot!$B$5:$B$256,$A15,Loan_Snapshot!$I$5:$I$256)</f>
        <v/>
      </c>
      <c r="D15" s="13">
        <f>IFERROR(SUMPRODUCT((Loan_Snapshot!$B$5:$B$256=$A15)*Loan_Snapshot!$I$5:$I$256*Loan_Snapshot!$BU$5:$BU$256)/$C15,0)</f>
        <v/>
      </c>
      <c r="E15" s="13">
        <f>IFERROR(SUMPRODUCT((Loan_Snapshot!$B$5:$B$256=$A15)*Loan_Snapshot!$I$5:$I$256*Loan_Snapshot!$BV$5:$BV$256)/$C15,0)</f>
        <v/>
      </c>
      <c r="F15" s="13">
        <f>IFERROR(SUMPRODUCT((Loan_Snapshot!$B$5:$B$256=$A15)*Loan_Snapshot!$I$5:$I$256*Loan_Snapshot!$BW$5:$BW$256)/$C15,0)</f>
        <v/>
      </c>
      <c r="G15" s="13">
        <f>IFERROR(SUMPRODUCT((Loan_Snapshot!$B$5:$B$256=$A15)*Loan_Snapshot!$I$5:$I$256*Loan_Snapshot!$BX$5:$BX$256)/$C15,0)</f>
        <v/>
      </c>
      <c r="H15" s="13">
        <f>IFERROR(SUMPRODUCT((Loan_Snapshot!$B$5:$B$256=$A15)*Loan_Snapshot!$I$5:$I$256*Loan_Snapshot!$BY$5:$BY$256)/$C15,0)</f>
        <v/>
      </c>
      <c r="I15" s="13">
        <f>IFERROR(SUMPRODUCT((Loan_Snapshot!$B$5:$B$256=$A15)*Loan_Snapshot!$I$5:$I$256*Loan_Snapshot!$BZ$5:$BZ$256)/$C15,0)</f>
        <v/>
      </c>
      <c r="J15" s="13">
        <f>IFERROR(SUMPRODUCT((Loan_Snapshot!$B$5:$B$256=$A15)*Loan_Snapshot!$I$5:$I$256*Loan_Snapshot!$CA$5:$CA$256)/$C15,0)</f>
        <v/>
      </c>
      <c r="K15" s="13">
        <f>IFERROR(SUMPRODUCT((Loan_Snapshot!$B$5:$B$256=$A15)*Loan_Snapshot!$I$5:$I$256*Loan_Snapshot!$CB$5:$CB$256)/$C15,0)</f>
        <v/>
      </c>
      <c r="L15" s="13">
        <f>IFERROR(SUMPRODUCT((Loan_Snapshot!$B$5:$B$256=$A15)*Loan_Snapshot!$I$5:$I$256*Loan_Snapshot!$CC$5:$CC$256)/$C15,0)</f>
        <v/>
      </c>
      <c r="M15" s="13">
        <f>IFERROR(SUMPRODUCT((Loan_Snapshot!$B$5:$B$256=$A15)*Loan_Snapshot!$I$5:$I$256*Loan_Snapshot!$CD$5:$CD$256)/$C15,0)</f>
        <v/>
      </c>
      <c r="N15" s="13">
        <f>IFERROR(SUMPRODUCT((Loan_Snapshot!$B$5:$B$256=$A15)*Loan_Snapshot!$I$5:$I$256*Loan_Snapshot!$CE$5:$CE$256)/$C15,0)</f>
        <v/>
      </c>
      <c r="O15" s="13">
        <f>IFERROR(SUMPRODUCT((Loan_Snapshot!$B$5:$B$256=$A15)*Loan_Snapshot!$I$5:$I$256*Loan_Snapshot!$CF$5:$CF$256)/$C15,0)</f>
        <v/>
      </c>
      <c r="P15" s="13">
        <f>IFERROR(SUMPRODUCT((Loan_Snapshot!$B$5:$B$256=$A15)*Loan_Snapshot!$I$5:$I$256*Loan_Snapshot!$CG$5:$CG$256)/$C15,0)</f>
        <v/>
      </c>
      <c r="Q15" s="13">
        <f>IFERROR(SUMPRODUCT((Loan_Snapshot!$B$5:$B$256=$A15)*Loan_Snapshot!$I$5:$I$256*Loan_Snapshot!$CH$5:$CH$256)/$C15,0)</f>
        <v/>
      </c>
      <c r="R15" s="13">
        <f>IFERROR(SUMPRODUCT((Loan_Snapshot!$B$5:$B$256=$A15)*Loan_Snapshot!$I$5:$I$256*Loan_Snapshot!$CI$5:$CI$256)/$C15,0)</f>
        <v/>
      </c>
      <c r="S15" s="13">
        <f>IFERROR(SUMPRODUCT((Loan_Snapshot!$B$5:$B$256=$A15)*Loan_Snapshot!$I$5:$I$256*Loan_Snapshot!$CJ$5:$CJ$256)/$C15,0)</f>
        <v/>
      </c>
      <c r="T15" s="13">
        <f>IFERROR(SUMPRODUCT((Loan_Snapshot!$B$5:$B$256=$A15)*Loan_Snapshot!$I$5:$I$256*Loan_Snapshot!$CK$5:$CK$256)/$C15,0)</f>
        <v/>
      </c>
      <c r="U15" s="13">
        <f>IFERROR(SUMPRODUCT((Loan_Snapshot!$B$5:$B$256=$A15)*Loan_Snapshot!$I$5:$I$256*Loan_Snapshot!$CL$5:$CL$256)/$C15,0)</f>
        <v/>
      </c>
      <c r="V15" s="13">
        <f>IFERROR(SUMPRODUCT((Loan_Snapshot!$B$5:$B$256=$A15)*Loan_Snapshot!$I$5:$I$256*Loan_Snapshot!$CM$5:$CM$256)/$C15,0)</f>
        <v/>
      </c>
      <c r="W15" s="13">
        <f>IFERROR(SUMPRODUCT((Loan_Snapshot!$B$5:$B$256=$A15)*Loan_Snapshot!$I$5:$I$256*Loan_Snapshot!$CN$5:$CN$256)/$C15,0)</f>
        <v/>
      </c>
      <c r="X15" s="13">
        <f>IFERROR(SUMPRODUCT((Loan_Snapshot!$B$5:$B$256=$A15)*Loan_Snapshot!$I$5:$I$256*Loan_Snapshot!$CO$5:$CO$256)/$C15,0)</f>
        <v/>
      </c>
      <c r="Y15" s="13">
        <f>IFERROR(SUMPRODUCT((Loan_Snapshot!$B$5:$B$256=$A15)*Loan_Snapshot!$I$5:$I$256*Loan_Snapshot!$CP$5:$CP$256)/$C15,0)</f>
        <v/>
      </c>
      <c r="Z15" s="13">
        <f>IFERROR(SUMPRODUCT((Loan_Snapshot!$B$5:$B$256=$A15)*Loan_Snapshot!$I$5:$I$256*Loan_Snapshot!$CQ$5:$CQ$256)/$C15,0)</f>
        <v/>
      </c>
      <c r="AA15" s="13">
        <f>IFERROR(SUMPRODUCT((Loan_Snapshot!$B$5:$B$256=$A15)*Loan_Snapshot!$I$5:$I$256*Loan_Snapshot!$CR$5:$CR$256)/$C15,0)</f>
        <v/>
      </c>
      <c r="AB15" s="13">
        <f>IFERROR(SUMPRODUCT((Loan_Snapshot!$B$5:$B$256=$A15)*Loan_Snapshot!$I$5:$I$256*Loan_Snapshot!$CS$5:$CS$256)/$C15,0)</f>
        <v/>
      </c>
      <c r="AC15" s="29">
        <f>BASELINE_CPR+SUM(E15:AB15)-$D15</f>
        <v/>
      </c>
    </row>
    <row r="16">
      <c r="A16" s="2" t="inlineStr">
        <is>
          <t>GREYSTONE_PRE21</t>
        </is>
      </c>
      <c r="B16">
        <f>COUNTIF(Loan_Snapshot!$B$5:$B$256,$A16)</f>
        <v/>
      </c>
      <c r="C16" s="22">
        <f>SUMIF(Loan_Snapshot!$B$5:$B$256,$A16,Loan_Snapshot!$I$5:$I$256)</f>
        <v/>
      </c>
      <c r="D16" s="13">
        <f>IFERROR(SUMPRODUCT((Loan_Snapshot!$B$5:$B$256=$A16)*Loan_Snapshot!$I$5:$I$256*Loan_Snapshot!$BU$5:$BU$256)/$C16,0)</f>
        <v/>
      </c>
      <c r="E16" s="13">
        <f>IFERROR(SUMPRODUCT((Loan_Snapshot!$B$5:$B$256=$A16)*Loan_Snapshot!$I$5:$I$256*Loan_Snapshot!$BV$5:$BV$256)/$C16,0)</f>
        <v/>
      </c>
      <c r="F16" s="13">
        <f>IFERROR(SUMPRODUCT((Loan_Snapshot!$B$5:$B$256=$A16)*Loan_Snapshot!$I$5:$I$256*Loan_Snapshot!$BW$5:$BW$256)/$C16,0)</f>
        <v/>
      </c>
      <c r="G16" s="13">
        <f>IFERROR(SUMPRODUCT((Loan_Snapshot!$B$5:$B$256=$A16)*Loan_Snapshot!$I$5:$I$256*Loan_Snapshot!$BX$5:$BX$256)/$C16,0)</f>
        <v/>
      </c>
      <c r="H16" s="13">
        <f>IFERROR(SUMPRODUCT((Loan_Snapshot!$B$5:$B$256=$A16)*Loan_Snapshot!$I$5:$I$256*Loan_Snapshot!$BY$5:$BY$256)/$C16,0)</f>
        <v/>
      </c>
      <c r="I16" s="13">
        <f>IFERROR(SUMPRODUCT((Loan_Snapshot!$B$5:$B$256=$A16)*Loan_Snapshot!$I$5:$I$256*Loan_Snapshot!$BZ$5:$BZ$256)/$C16,0)</f>
        <v/>
      </c>
      <c r="J16" s="13">
        <f>IFERROR(SUMPRODUCT((Loan_Snapshot!$B$5:$B$256=$A16)*Loan_Snapshot!$I$5:$I$256*Loan_Snapshot!$CA$5:$CA$256)/$C16,0)</f>
        <v/>
      </c>
      <c r="K16" s="13">
        <f>IFERROR(SUMPRODUCT((Loan_Snapshot!$B$5:$B$256=$A16)*Loan_Snapshot!$I$5:$I$256*Loan_Snapshot!$CB$5:$CB$256)/$C16,0)</f>
        <v/>
      </c>
      <c r="L16" s="13">
        <f>IFERROR(SUMPRODUCT((Loan_Snapshot!$B$5:$B$256=$A16)*Loan_Snapshot!$I$5:$I$256*Loan_Snapshot!$CC$5:$CC$256)/$C16,0)</f>
        <v/>
      </c>
      <c r="M16" s="13">
        <f>IFERROR(SUMPRODUCT((Loan_Snapshot!$B$5:$B$256=$A16)*Loan_Snapshot!$I$5:$I$256*Loan_Snapshot!$CD$5:$CD$256)/$C16,0)</f>
        <v/>
      </c>
      <c r="N16" s="13">
        <f>IFERROR(SUMPRODUCT((Loan_Snapshot!$B$5:$B$256=$A16)*Loan_Snapshot!$I$5:$I$256*Loan_Snapshot!$CE$5:$CE$256)/$C16,0)</f>
        <v/>
      </c>
      <c r="O16" s="13">
        <f>IFERROR(SUMPRODUCT((Loan_Snapshot!$B$5:$B$256=$A16)*Loan_Snapshot!$I$5:$I$256*Loan_Snapshot!$CF$5:$CF$256)/$C16,0)</f>
        <v/>
      </c>
      <c r="P16" s="13">
        <f>IFERROR(SUMPRODUCT((Loan_Snapshot!$B$5:$B$256=$A16)*Loan_Snapshot!$I$5:$I$256*Loan_Snapshot!$CG$5:$CG$256)/$C16,0)</f>
        <v/>
      </c>
      <c r="Q16" s="13">
        <f>IFERROR(SUMPRODUCT((Loan_Snapshot!$B$5:$B$256=$A16)*Loan_Snapshot!$I$5:$I$256*Loan_Snapshot!$CH$5:$CH$256)/$C16,0)</f>
        <v/>
      </c>
      <c r="R16" s="13">
        <f>IFERROR(SUMPRODUCT((Loan_Snapshot!$B$5:$B$256=$A16)*Loan_Snapshot!$I$5:$I$256*Loan_Snapshot!$CI$5:$CI$256)/$C16,0)</f>
        <v/>
      </c>
      <c r="S16" s="13">
        <f>IFERROR(SUMPRODUCT((Loan_Snapshot!$B$5:$B$256=$A16)*Loan_Snapshot!$I$5:$I$256*Loan_Snapshot!$CJ$5:$CJ$256)/$C16,0)</f>
        <v/>
      </c>
      <c r="T16" s="13">
        <f>IFERROR(SUMPRODUCT((Loan_Snapshot!$B$5:$B$256=$A16)*Loan_Snapshot!$I$5:$I$256*Loan_Snapshot!$CK$5:$CK$256)/$C16,0)</f>
        <v/>
      </c>
      <c r="U16" s="13">
        <f>IFERROR(SUMPRODUCT((Loan_Snapshot!$B$5:$B$256=$A16)*Loan_Snapshot!$I$5:$I$256*Loan_Snapshot!$CL$5:$CL$256)/$C16,0)</f>
        <v/>
      </c>
      <c r="V16" s="13">
        <f>IFERROR(SUMPRODUCT((Loan_Snapshot!$B$5:$B$256=$A16)*Loan_Snapshot!$I$5:$I$256*Loan_Snapshot!$CM$5:$CM$256)/$C16,0)</f>
        <v/>
      </c>
      <c r="W16" s="13">
        <f>IFERROR(SUMPRODUCT((Loan_Snapshot!$B$5:$B$256=$A16)*Loan_Snapshot!$I$5:$I$256*Loan_Snapshot!$CN$5:$CN$256)/$C16,0)</f>
        <v/>
      </c>
      <c r="X16" s="13">
        <f>IFERROR(SUMPRODUCT((Loan_Snapshot!$B$5:$B$256=$A16)*Loan_Snapshot!$I$5:$I$256*Loan_Snapshot!$CO$5:$CO$256)/$C16,0)</f>
        <v/>
      </c>
      <c r="Y16" s="13">
        <f>IFERROR(SUMPRODUCT((Loan_Snapshot!$B$5:$B$256=$A16)*Loan_Snapshot!$I$5:$I$256*Loan_Snapshot!$CP$5:$CP$256)/$C16,0)</f>
        <v/>
      </c>
      <c r="Z16" s="13">
        <f>IFERROR(SUMPRODUCT((Loan_Snapshot!$B$5:$B$256=$A16)*Loan_Snapshot!$I$5:$I$256*Loan_Snapshot!$CQ$5:$CQ$256)/$C16,0)</f>
        <v/>
      </c>
      <c r="AA16" s="13">
        <f>IFERROR(SUMPRODUCT((Loan_Snapshot!$B$5:$B$256=$A16)*Loan_Snapshot!$I$5:$I$256*Loan_Snapshot!$CR$5:$CR$256)/$C16,0)</f>
        <v/>
      </c>
      <c r="AB16" s="13">
        <f>IFERROR(SUMPRODUCT((Loan_Snapshot!$B$5:$B$256=$A16)*Loan_Snapshot!$I$5:$I$256*Loan_Snapshot!$CS$5:$CS$256)/$C16,0)</f>
        <v/>
      </c>
      <c r="AC16" s="29">
        <f>BASELINE_CPR+SUM(E16:AB16)-$D16</f>
        <v/>
      </c>
    </row>
    <row r="17">
      <c r="A17" s="2" t="inlineStr">
        <is>
          <t>WALKER_POST21</t>
        </is>
      </c>
      <c r="B17">
        <f>COUNTIF(Loan_Snapshot!$B$5:$B$256,$A17)</f>
        <v/>
      </c>
      <c r="C17" s="22">
        <f>SUMIF(Loan_Snapshot!$B$5:$B$256,$A17,Loan_Snapshot!$I$5:$I$256)</f>
        <v/>
      </c>
      <c r="D17" s="13">
        <f>IFERROR(SUMPRODUCT((Loan_Snapshot!$B$5:$B$256=$A17)*Loan_Snapshot!$I$5:$I$256*Loan_Snapshot!$BU$5:$BU$256)/$C17,0)</f>
        <v/>
      </c>
      <c r="E17" s="13">
        <f>IFERROR(SUMPRODUCT((Loan_Snapshot!$B$5:$B$256=$A17)*Loan_Snapshot!$I$5:$I$256*Loan_Snapshot!$BV$5:$BV$256)/$C17,0)</f>
        <v/>
      </c>
      <c r="F17" s="13">
        <f>IFERROR(SUMPRODUCT((Loan_Snapshot!$B$5:$B$256=$A17)*Loan_Snapshot!$I$5:$I$256*Loan_Snapshot!$BW$5:$BW$256)/$C17,0)</f>
        <v/>
      </c>
      <c r="G17" s="13">
        <f>IFERROR(SUMPRODUCT((Loan_Snapshot!$B$5:$B$256=$A17)*Loan_Snapshot!$I$5:$I$256*Loan_Snapshot!$BX$5:$BX$256)/$C17,0)</f>
        <v/>
      </c>
      <c r="H17" s="13">
        <f>IFERROR(SUMPRODUCT((Loan_Snapshot!$B$5:$B$256=$A17)*Loan_Snapshot!$I$5:$I$256*Loan_Snapshot!$BY$5:$BY$256)/$C17,0)</f>
        <v/>
      </c>
      <c r="I17" s="13">
        <f>IFERROR(SUMPRODUCT((Loan_Snapshot!$B$5:$B$256=$A17)*Loan_Snapshot!$I$5:$I$256*Loan_Snapshot!$BZ$5:$BZ$256)/$C17,0)</f>
        <v/>
      </c>
      <c r="J17" s="13">
        <f>IFERROR(SUMPRODUCT((Loan_Snapshot!$B$5:$B$256=$A17)*Loan_Snapshot!$I$5:$I$256*Loan_Snapshot!$CA$5:$CA$256)/$C17,0)</f>
        <v/>
      </c>
      <c r="K17" s="13">
        <f>IFERROR(SUMPRODUCT((Loan_Snapshot!$B$5:$B$256=$A17)*Loan_Snapshot!$I$5:$I$256*Loan_Snapshot!$CB$5:$CB$256)/$C17,0)</f>
        <v/>
      </c>
      <c r="L17" s="13">
        <f>IFERROR(SUMPRODUCT((Loan_Snapshot!$B$5:$B$256=$A17)*Loan_Snapshot!$I$5:$I$256*Loan_Snapshot!$CC$5:$CC$256)/$C17,0)</f>
        <v/>
      </c>
      <c r="M17" s="13">
        <f>IFERROR(SUMPRODUCT((Loan_Snapshot!$B$5:$B$256=$A17)*Loan_Snapshot!$I$5:$I$256*Loan_Snapshot!$CD$5:$CD$256)/$C17,0)</f>
        <v/>
      </c>
      <c r="N17" s="13">
        <f>IFERROR(SUMPRODUCT((Loan_Snapshot!$B$5:$B$256=$A17)*Loan_Snapshot!$I$5:$I$256*Loan_Snapshot!$CE$5:$CE$256)/$C17,0)</f>
        <v/>
      </c>
      <c r="O17" s="13">
        <f>IFERROR(SUMPRODUCT((Loan_Snapshot!$B$5:$B$256=$A17)*Loan_Snapshot!$I$5:$I$256*Loan_Snapshot!$CF$5:$CF$256)/$C17,0)</f>
        <v/>
      </c>
      <c r="P17" s="13">
        <f>IFERROR(SUMPRODUCT((Loan_Snapshot!$B$5:$B$256=$A17)*Loan_Snapshot!$I$5:$I$256*Loan_Snapshot!$CG$5:$CG$256)/$C17,0)</f>
        <v/>
      </c>
      <c r="Q17" s="13">
        <f>IFERROR(SUMPRODUCT((Loan_Snapshot!$B$5:$B$256=$A17)*Loan_Snapshot!$I$5:$I$256*Loan_Snapshot!$CH$5:$CH$256)/$C17,0)</f>
        <v/>
      </c>
      <c r="R17" s="13">
        <f>IFERROR(SUMPRODUCT((Loan_Snapshot!$B$5:$B$256=$A17)*Loan_Snapshot!$I$5:$I$256*Loan_Snapshot!$CI$5:$CI$256)/$C17,0)</f>
        <v/>
      </c>
      <c r="S17" s="13">
        <f>IFERROR(SUMPRODUCT((Loan_Snapshot!$B$5:$B$256=$A17)*Loan_Snapshot!$I$5:$I$256*Loan_Snapshot!$CJ$5:$CJ$256)/$C17,0)</f>
        <v/>
      </c>
      <c r="T17" s="13">
        <f>IFERROR(SUMPRODUCT((Loan_Snapshot!$B$5:$B$256=$A17)*Loan_Snapshot!$I$5:$I$256*Loan_Snapshot!$CK$5:$CK$256)/$C17,0)</f>
        <v/>
      </c>
      <c r="U17" s="13">
        <f>IFERROR(SUMPRODUCT((Loan_Snapshot!$B$5:$B$256=$A17)*Loan_Snapshot!$I$5:$I$256*Loan_Snapshot!$CL$5:$CL$256)/$C17,0)</f>
        <v/>
      </c>
      <c r="V17" s="13">
        <f>IFERROR(SUMPRODUCT((Loan_Snapshot!$B$5:$B$256=$A17)*Loan_Snapshot!$I$5:$I$256*Loan_Snapshot!$CM$5:$CM$256)/$C17,0)</f>
        <v/>
      </c>
      <c r="W17" s="13">
        <f>IFERROR(SUMPRODUCT((Loan_Snapshot!$B$5:$B$256=$A17)*Loan_Snapshot!$I$5:$I$256*Loan_Snapshot!$CN$5:$CN$256)/$C17,0)</f>
        <v/>
      </c>
      <c r="X17" s="13">
        <f>IFERROR(SUMPRODUCT((Loan_Snapshot!$B$5:$B$256=$A17)*Loan_Snapshot!$I$5:$I$256*Loan_Snapshot!$CO$5:$CO$256)/$C17,0)</f>
        <v/>
      </c>
      <c r="Y17" s="13">
        <f>IFERROR(SUMPRODUCT((Loan_Snapshot!$B$5:$B$256=$A17)*Loan_Snapshot!$I$5:$I$256*Loan_Snapshot!$CP$5:$CP$256)/$C17,0)</f>
        <v/>
      </c>
      <c r="Z17" s="13">
        <f>IFERROR(SUMPRODUCT((Loan_Snapshot!$B$5:$B$256=$A17)*Loan_Snapshot!$I$5:$I$256*Loan_Snapshot!$CQ$5:$CQ$256)/$C17,0)</f>
        <v/>
      </c>
      <c r="AA17" s="13">
        <f>IFERROR(SUMPRODUCT((Loan_Snapshot!$B$5:$B$256=$A17)*Loan_Snapshot!$I$5:$I$256*Loan_Snapshot!$CR$5:$CR$256)/$C17,0)</f>
        <v/>
      </c>
      <c r="AB17" s="13">
        <f>IFERROR(SUMPRODUCT((Loan_Snapshot!$B$5:$B$256=$A17)*Loan_Snapshot!$I$5:$I$256*Loan_Snapshot!$CS$5:$CS$256)/$C17,0)</f>
        <v/>
      </c>
      <c r="AC17" s="29">
        <f>BASELINE_CPR+SUM(E17:AB17)-$D17</f>
        <v/>
      </c>
    </row>
    <row r="18">
      <c r="A18" s="2" t="inlineStr">
        <is>
          <t>DWIGHT_POST21</t>
        </is>
      </c>
      <c r="B18">
        <f>COUNTIF(Loan_Snapshot!$B$5:$B$256,$A18)</f>
        <v/>
      </c>
      <c r="C18" s="22">
        <f>SUMIF(Loan_Snapshot!$B$5:$B$256,$A18,Loan_Snapshot!$I$5:$I$256)</f>
        <v/>
      </c>
      <c r="D18" s="13">
        <f>IFERROR(SUMPRODUCT((Loan_Snapshot!$B$5:$B$256=$A18)*Loan_Snapshot!$I$5:$I$256*Loan_Snapshot!$BU$5:$BU$256)/$C18,0)</f>
        <v/>
      </c>
      <c r="E18" s="13">
        <f>IFERROR(SUMPRODUCT((Loan_Snapshot!$B$5:$B$256=$A18)*Loan_Snapshot!$I$5:$I$256*Loan_Snapshot!$BV$5:$BV$256)/$C18,0)</f>
        <v/>
      </c>
      <c r="F18" s="13">
        <f>IFERROR(SUMPRODUCT((Loan_Snapshot!$B$5:$B$256=$A18)*Loan_Snapshot!$I$5:$I$256*Loan_Snapshot!$BW$5:$BW$256)/$C18,0)</f>
        <v/>
      </c>
      <c r="G18" s="13">
        <f>IFERROR(SUMPRODUCT((Loan_Snapshot!$B$5:$B$256=$A18)*Loan_Snapshot!$I$5:$I$256*Loan_Snapshot!$BX$5:$BX$256)/$C18,0)</f>
        <v/>
      </c>
      <c r="H18" s="13">
        <f>IFERROR(SUMPRODUCT((Loan_Snapshot!$B$5:$B$256=$A18)*Loan_Snapshot!$I$5:$I$256*Loan_Snapshot!$BY$5:$BY$256)/$C18,0)</f>
        <v/>
      </c>
      <c r="I18" s="13">
        <f>IFERROR(SUMPRODUCT((Loan_Snapshot!$B$5:$B$256=$A18)*Loan_Snapshot!$I$5:$I$256*Loan_Snapshot!$BZ$5:$BZ$256)/$C18,0)</f>
        <v/>
      </c>
      <c r="J18" s="13">
        <f>IFERROR(SUMPRODUCT((Loan_Snapshot!$B$5:$B$256=$A18)*Loan_Snapshot!$I$5:$I$256*Loan_Snapshot!$CA$5:$CA$256)/$C18,0)</f>
        <v/>
      </c>
      <c r="K18" s="13">
        <f>IFERROR(SUMPRODUCT((Loan_Snapshot!$B$5:$B$256=$A18)*Loan_Snapshot!$I$5:$I$256*Loan_Snapshot!$CB$5:$CB$256)/$C18,0)</f>
        <v/>
      </c>
      <c r="L18" s="13">
        <f>IFERROR(SUMPRODUCT((Loan_Snapshot!$B$5:$B$256=$A18)*Loan_Snapshot!$I$5:$I$256*Loan_Snapshot!$CC$5:$CC$256)/$C18,0)</f>
        <v/>
      </c>
      <c r="M18" s="13">
        <f>IFERROR(SUMPRODUCT((Loan_Snapshot!$B$5:$B$256=$A18)*Loan_Snapshot!$I$5:$I$256*Loan_Snapshot!$CD$5:$CD$256)/$C18,0)</f>
        <v/>
      </c>
      <c r="N18" s="13">
        <f>IFERROR(SUMPRODUCT((Loan_Snapshot!$B$5:$B$256=$A18)*Loan_Snapshot!$I$5:$I$256*Loan_Snapshot!$CE$5:$CE$256)/$C18,0)</f>
        <v/>
      </c>
      <c r="O18" s="13">
        <f>IFERROR(SUMPRODUCT((Loan_Snapshot!$B$5:$B$256=$A18)*Loan_Snapshot!$I$5:$I$256*Loan_Snapshot!$CF$5:$CF$256)/$C18,0)</f>
        <v/>
      </c>
      <c r="P18" s="13">
        <f>IFERROR(SUMPRODUCT((Loan_Snapshot!$B$5:$B$256=$A18)*Loan_Snapshot!$I$5:$I$256*Loan_Snapshot!$CG$5:$CG$256)/$C18,0)</f>
        <v/>
      </c>
      <c r="Q18" s="13">
        <f>IFERROR(SUMPRODUCT((Loan_Snapshot!$B$5:$B$256=$A18)*Loan_Snapshot!$I$5:$I$256*Loan_Snapshot!$CH$5:$CH$256)/$C18,0)</f>
        <v/>
      </c>
      <c r="R18" s="13">
        <f>IFERROR(SUMPRODUCT((Loan_Snapshot!$B$5:$B$256=$A18)*Loan_Snapshot!$I$5:$I$256*Loan_Snapshot!$CI$5:$CI$256)/$C18,0)</f>
        <v/>
      </c>
      <c r="S18" s="13">
        <f>IFERROR(SUMPRODUCT((Loan_Snapshot!$B$5:$B$256=$A18)*Loan_Snapshot!$I$5:$I$256*Loan_Snapshot!$CJ$5:$CJ$256)/$C18,0)</f>
        <v/>
      </c>
      <c r="T18" s="13">
        <f>IFERROR(SUMPRODUCT((Loan_Snapshot!$B$5:$B$256=$A18)*Loan_Snapshot!$I$5:$I$256*Loan_Snapshot!$CK$5:$CK$256)/$C18,0)</f>
        <v/>
      </c>
      <c r="U18" s="13">
        <f>IFERROR(SUMPRODUCT((Loan_Snapshot!$B$5:$B$256=$A18)*Loan_Snapshot!$I$5:$I$256*Loan_Snapshot!$CL$5:$CL$256)/$C18,0)</f>
        <v/>
      </c>
      <c r="V18" s="13">
        <f>IFERROR(SUMPRODUCT((Loan_Snapshot!$B$5:$B$256=$A18)*Loan_Snapshot!$I$5:$I$256*Loan_Snapshot!$CM$5:$CM$256)/$C18,0)</f>
        <v/>
      </c>
      <c r="W18" s="13">
        <f>IFERROR(SUMPRODUCT((Loan_Snapshot!$B$5:$B$256=$A18)*Loan_Snapshot!$I$5:$I$256*Loan_Snapshot!$CN$5:$CN$256)/$C18,0)</f>
        <v/>
      </c>
      <c r="X18" s="13">
        <f>IFERROR(SUMPRODUCT((Loan_Snapshot!$B$5:$B$256=$A18)*Loan_Snapshot!$I$5:$I$256*Loan_Snapshot!$CO$5:$CO$256)/$C18,0)</f>
        <v/>
      </c>
      <c r="Y18" s="13">
        <f>IFERROR(SUMPRODUCT((Loan_Snapshot!$B$5:$B$256=$A18)*Loan_Snapshot!$I$5:$I$256*Loan_Snapshot!$CP$5:$CP$256)/$C18,0)</f>
        <v/>
      </c>
      <c r="Z18" s="13">
        <f>IFERROR(SUMPRODUCT((Loan_Snapshot!$B$5:$B$256=$A18)*Loan_Snapshot!$I$5:$I$256*Loan_Snapshot!$CQ$5:$CQ$256)/$C18,0)</f>
        <v/>
      </c>
      <c r="AA18" s="13">
        <f>IFERROR(SUMPRODUCT((Loan_Snapshot!$B$5:$B$256=$A18)*Loan_Snapshot!$I$5:$I$256*Loan_Snapshot!$CR$5:$CR$256)/$C18,0)</f>
        <v/>
      </c>
      <c r="AB18" s="13">
        <f>IFERROR(SUMPRODUCT((Loan_Snapshot!$B$5:$B$256=$A18)*Loan_Snapshot!$I$5:$I$256*Loan_Snapshot!$CS$5:$CS$256)/$C18,0)</f>
        <v/>
      </c>
      <c r="AC18" s="29">
        <f>BASELINE_CPR+SUM(E18:AB18)-$D18</f>
        <v/>
      </c>
    </row>
    <row r="19">
      <c r="A19" s="2" t="inlineStr">
        <is>
          <t>MERCHANTS_POST21</t>
        </is>
      </c>
      <c r="B19">
        <f>COUNTIF(Loan_Snapshot!$B$5:$B$256,$A19)</f>
        <v/>
      </c>
      <c r="C19" s="22">
        <f>SUMIF(Loan_Snapshot!$B$5:$B$256,$A19,Loan_Snapshot!$I$5:$I$256)</f>
        <v/>
      </c>
      <c r="D19" s="13">
        <f>IFERROR(SUMPRODUCT((Loan_Snapshot!$B$5:$B$256=$A19)*Loan_Snapshot!$I$5:$I$256*Loan_Snapshot!$BU$5:$BU$256)/$C19,0)</f>
        <v/>
      </c>
      <c r="E19" s="13">
        <f>IFERROR(SUMPRODUCT((Loan_Snapshot!$B$5:$B$256=$A19)*Loan_Snapshot!$I$5:$I$256*Loan_Snapshot!$BV$5:$BV$256)/$C19,0)</f>
        <v/>
      </c>
      <c r="F19" s="13">
        <f>IFERROR(SUMPRODUCT((Loan_Snapshot!$B$5:$B$256=$A19)*Loan_Snapshot!$I$5:$I$256*Loan_Snapshot!$BW$5:$BW$256)/$C19,0)</f>
        <v/>
      </c>
      <c r="G19" s="13">
        <f>IFERROR(SUMPRODUCT((Loan_Snapshot!$B$5:$B$256=$A19)*Loan_Snapshot!$I$5:$I$256*Loan_Snapshot!$BX$5:$BX$256)/$C19,0)</f>
        <v/>
      </c>
      <c r="H19" s="13">
        <f>IFERROR(SUMPRODUCT((Loan_Snapshot!$B$5:$B$256=$A19)*Loan_Snapshot!$I$5:$I$256*Loan_Snapshot!$BY$5:$BY$256)/$C19,0)</f>
        <v/>
      </c>
      <c r="I19" s="13">
        <f>IFERROR(SUMPRODUCT((Loan_Snapshot!$B$5:$B$256=$A19)*Loan_Snapshot!$I$5:$I$256*Loan_Snapshot!$BZ$5:$BZ$256)/$C19,0)</f>
        <v/>
      </c>
      <c r="J19" s="13">
        <f>IFERROR(SUMPRODUCT((Loan_Snapshot!$B$5:$B$256=$A19)*Loan_Snapshot!$I$5:$I$256*Loan_Snapshot!$CA$5:$CA$256)/$C19,0)</f>
        <v/>
      </c>
      <c r="K19" s="13">
        <f>IFERROR(SUMPRODUCT((Loan_Snapshot!$B$5:$B$256=$A19)*Loan_Snapshot!$I$5:$I$256*Loan_Snapshot!$CB$5:$CB$256)/$C19,0)</f>
        <v/>
      </c>
      <c r="L19" s="13">
        <f>IFERROR(SUMPRODUCT((Loan_Snapshot!$B$5:$B$256=$A19)*Loan_Snapshot!$I$5:$I$256*Loan_Snapshot!$CC$5:$CC$256)/$C19,0)</f>
        <v/>
      </c>
      <c r="M19" s="13">
        <f>IFERROR(SUMPRODUCT((Loan_Snapshot!$B$5:$B$256=$A19)*Loan_Snapshot!$I$5:$I$256*Loan_Snapshot!$CD$5:$CD$256)/$C19,0)</f>
        <v/>
      </c>
      <c r="N19" s="13">
        <f>IFERROR(SUMPRODUCT((Loan_Snapshot!$B$5:$B$256=$A19)*Loan_Snapshot!$I$5:$I$256*Loan_Snapshot!$CE$5:$CE$256)/$C19,0)</f>
        <v/>
      </c>
      <c r="O19" s="13">
        <f>IFERROR(SUMPRODUCT((Loan_Snapshot!$B$5:$B$256=$A19)*Loan_Snapshot!$I$5:$I$256*Loan_Snapshot!$CF$5:$CF$256)/$C19,0)</f>
        <v/>
      </c>
      <c r="P19" s="13">
        <f>IFERROR(SUMPRODUCT((Loan_Snapshot!$B$5:$B$256=$A19)*Loan_Snapshot!$I$5:$I$256*Loan_Snapshot!$CG$5:$CG$256)/$C19,0)</f>
        <v/>
      </c>
      <c r="Q19" s="13">
        <f>IFERROR(SUMPRODUCT((Loan_Snapshot!$B$5:$B$256=$A19)*Loan_Snapshot!$I$5:$I$256*Loan_Snapshot!$CH$5:$CH$256)/$C19,0)</f>
        <v/>
      </c>
      <c r="R19" s="13">
        <f>IFERROR(SUMPRODUCT((Loan_Snapshot!$B$5:$B$256=$A19)*Loan_Snapshot!$I$5:$I$256*Loan_Snapshot!$CI$5:$CI$256)/$C19,0)</f>
        <v/>
      </c>
      <c r="S19" s="13">
        <f>IFERROR(SUMPRODUCT((Loan_Snapshot!$B$5:$B$256=$A19)*Loan_Snapshot!$I$5:$I$256*Loan_Snapshot!$CJ$5:$CJ$256)/$C19,0)</f>
        <v/>
      </c>
      <c r="T19" s="13">
        <f>IFERROR(SUMPRODUCT((Loan_Snapshot!$B$5:$B$256=$A19)*Loan_Snapshot!$I$5:$I$256*Loan_Snapshot!$CK$5:$CK$256)/$C19,0)</f>
        <v/>
      </c>
      <c r="U19" s="13">
        <f>IFERROR(SUMPRODUCT((Loan_Snapshot!$B$5:$B$256=$A19)*Loan_Snapshot!$I$5:$I$256*Loan_Snapshot!$CL$5:$CL$256)/$C19,0)</f>
        <v/>
      </c>
      <c r="V19" s="13">
        <f>IFERROR(SUMPRODUCT((Loan_Snapshot!$B$5:$B$256=$A19)*Loan_Snapshot!$I$5:$I$256*Loan_Snapshot!$CM$5:$CM$256)/$C19,0)</f>
        <v/>
      </c>
      <c r="W19" s="13">
        <f>IFERROR(SUMPRODUCT((Loan_Snapshot!$B$5:$B$256=$A19)*Loan_Snapshot!$I$5:$I$256*Loan_Snapshot!$CN$5:$CN$256)/$C19,0)</f>
        <v/>
      </c>
      <c r="X19" s="13">
        <f>IFERROR(SUMPRODUCT((Loan_Snapshot!$B$5:$B$256=$A19)*Loan_Snapshot!$I$5:$I$256*Loan_Snapshot!$CO$5:$CO$256)/$C19,0)</f>
        <v/>
      </c>
      <c r="Y19" s="13">
        <f>IFERROR(SUMPRODUCT((Loan_Snapshot!$B$5:$B$256=$A19)*Loan_Snapshot!$I$5:$I$256*Loan_Snapshot!$CP$5:$CP$256)/$C19,0)</f>
        <v/>
      </c>
      <c r="Z19" s="13">
        <f>IFERROR(SUMPRODUCT((Loan_Snapshot!$B$5:$B$256=$A19)*Loan_Snapshot!$I$5:$I$256*Loan_Snapshot!$CQ$5:$CQ$256)/$C19,0)</f>
        <v/>
      </c>
      <c r="AA19" s="13">
        <f>IFERROR(SUMPRODUCT((Loan_Snapshot!$B$5:$B$256=$A19)*Loan_Snapshot!$I$5:$I$256*Loan_Snapshot!$CR$5:$CR$256)/$C19,0)</f>
        <v/>
      </c>
      <c r="AB19" s="13">
        <f>IFERROR(SUMPRODUCT((Loan_Snapshot!$B$5:$B$256=$A19)*Loan_Snapshot!$I$5:$I$256*Loan_Snapshot!$CS$5:$CS$256)/$C19,0)</f>
        <v/>
      </c>
      <c r="AC19" s="29">
        <f>BASELINE_CPR+SUM(E19:AB19)-$D19</f>
        <v/>
      </c>
    </row>
    <row r="20">
      <c r="A20" s="2" t="inlineStr">
        <is>
          <t>DWIGHT_PRE21</t>
        </is>
      </c>
      <c r="B20">
        <f>COUNTIF(Loan_Snapshot!$B$5:$B$256,$A20)</f>
        <v/>
      </c>
      <c r="C20" s="22">
        <f>SUMIF(Loan_Snapshot!$B$5:$B$256,$A20,Loan_Snapshot!$I$5:$I$256)</f>
        <v/>
      </c>
      <c r="D20" s="13">
        <f>IFERROR(SUMPRODUCT((Loan_Snapshot!$B$5:$B$256=$A20)*Loan_Snapshot!$I$5:$I$256*Loan_Snapshot!$BU$5:$BU$256)/$C20,0)</f>
        <v/>
      </c>
      <c r="E20" s="13">
        <f>IFERROR(SUMPRODUCT((Loan_Snapshot!$B$5:$B$256=$A20)*Loan_Snapshot!$I$5:$I$256*Loan_Snapshot!$BV$5:$BV$256)/$C20,0)</f>
        <v/>
      </c>
      <c r="F20" s="13">
        <f>IFERROR(SUMPRODUCT((Loan_Snapshot!$B$5:$B$256=$A20)*Loan_Snapshot!$I$5:$I$256*Loan_Snapshot!$BW$5:$BW$256)/$C20,0)</f>
        <v/>
      </c>
      <c r="G20" s="13">
        <f>IFERROR(SUMPRODUCT((Loan_Snapshot!$B$5:$B$256=$A20)*Loan_Snapshot!$I$5:$I$256*Loan_Snapshot!$BX$5:$BX$256)/$C20,0)</f>
        <v/>
      </c>
      <c r="H20" s="13">
        <f>IFERROR(SUMPRODUCT((Loan_Snapshot!$B$5:$B$256=$A20)*Loan_Snapshot!$I$5:$I$256*Loan_Snapshot!$BY$5:$BY$256)/$C20,0)</f>
        <v/>
      </c>
      <c r="I20" s="13">
        <f>IFERROR(SUMPRODUCT((Loan_Snapshot!$B$5:$B$256=$A20)*Loan_Snapshot!$I$5:$I$256*Loan_Snapshot!$BZ$5:$BZ$256)/$C20,0)</f>
        <v/>
      </c>
      <c r="J20" s="13">
        <f>IFERROR(SUMPRODUCT((Loan_Snapshot!$B$5:$B$256=$A20)*Loan_Snapshot!$I$5:$I$256*Loan_Snapshot!$CA$5:$CA$256)/$C20,0)</f>
        <v/>
      </c>
      <c r="K20" s="13">
        <f>IFERROR(SUMPRODUCT((Loan_Snapshot!$B$5:$B$256=$A20)*Loan_Snapshot!$I$5:$I$256*Loan_Snapshot!$CB$5:$CB$256)/$C20,0)</f>
        <v/>
      </c>
      <c r="L20" s="13">
        <f>IFERROR(SUMPRODUCT((Loan_Snapshot!$B$5:$B$256=$A20)*Loan_Snapshot!$I$5:$I$256*Loan_Snapshot!$CC$5:$CC$256)/$C20,0)</f>
        <v/>
      </c>
      <c r="M20" s="13">
        <f>IFERROR(SUMPRODUCT((Loan_Snapshot!$B$5:$B$256=$A20)*Loan_Snapshot!$I$5:$I$256*Loan_Snapshot!$CD$5:$CD$256)/$C20,0)</f>
        <v/>
      </c>
      <c r="N20" s="13">
        <f>IFERROR(SUMPRODUCT((Loan_Snapshot!$B$5:$B$256=$A20)*Loan_Snapshot!$I$5:$I$256*Loan_Snapshot!$CE$5:$CE$256)/$C20,0)</f>
        <v/>
      </c>
      <c r="O20" s="13">
        <f>IFERROR(SUMPRODUCT((Loan_Snapshot!$B$5:$B$256=$A20)*Loan_Snapshot!$I$5:$I$256*Loan_Snapshot!$CF$5:$CF$256)/$C20,0)</f>
        <v/>
      </c>
      <c r="P20" s="13">
        <f>IFERROR(SUMPRODUCT((Loan_Snapshot!$B$5:$B$256=$A20)*Loan_Snapshot!$I$5:$I$256*Loan_Snapshot!$CG$5:$CG$256)/$C20,0)</f>
        <v/>
      </c>
      <c r="Q20" s="13">
        <f>IFERROR(SUMPRODUCT((Loan_Snapshot!$B$5:$B$256=$A20)*Loan_Snapshot!$I$5:$I$256*Loan_Snapshot!$CH$5:$CH$256)/$C20,0)</f>
        <v/>
      </c>
      <c r="R20" s="13">
        <f>IFERROR(SUMPRODUCT((Loan_Snapshot!$B$5:$B$256=$A20)*Loan_Snapshot!$I$5:$I$256*Loan_Snapshot!$CI$5:$CI$256)/$C20,0)</f>
        <v/>
      </c>
      <c r="S20" s="13">
        <f>IFERROR(SUMPRODUCT((Loan_Snapshot!$B$5:$B$256=$A20)*Loan_Snapshot!$I$5:$I$256*Loan_Snapshot!$CJ$5:$CJ$256)/$C20,0)</f>
        <v/>
      </c>
      <c r="T20" s="13">
        <f>IFERROR(SUMPRODUCT((Loan_Snapshot!$B$5:$B$256=$A20)*Loan_Snapshot!$I$5:$I$256*Loan_Snapshot!$CK$5:$CK$256)/$C20,0)</f>
        <v/>
      </c>
      <c r="U20" s="13">
        <f>IFERROR(SUMPRODUCT((Loan_Snapshot!$B$5:$B$256=$A20)*Loan_Snapshot!$I$5:$I$256*Loan_Snapshot!$CL$5:$CL$256)/$C20,0)</f>
        <v/>
      </c>
      <c r="V20" s="13">
        <f>IFERROR(SUMPRODUCT((Loan_Snapshot!$B$5:$B$256=$A20)*Loan_Snapshot!$I$5:$I$256*Loan_Snapshot!$CM$5:$CM$256)/$C20,0)</f>
        <v/>
      </c>
      <c r="W20" s="13">
        <f>IFERROR(SUMPRODUCT((Loan_Snapshot!$B$5:$B$256=$A20)*Loan_Snapshot!$I$5:$I$256*Loan_Snapshot!$CN$5:$CN$256)/$C20,0)</f>
        <v/>
      </c>
      <c r="X20" s="13">
        <f>IFERROR(SUMPRODUCT((Loan_Snapshot!$B$5:$B$256=$A20)*Loan_Snapshot!$I$5:$I$256*Loan_Snapshot!$CO$5:$CO$256)/$C20,0)</f>
        <v/>
      </c>
      <c r="Y20" s="13">
        <f>IFERROR(SUMPRODUCT((Loan_Snapshot!$B$5:$B$256=$A20)*Loan_Snapshot!$I$5:$I$256*Loan_Snapshot!$CP$5:$CP$256)/$C20,0)</f>
        <v/>
      </c>
      <c r="Z20" s="13">
        <f>IFERROR(SUMPRODUCT((Loan_Snapshot!$B$5:$B$256=$A20)*Loan_Snapshot!$I$5:$I$256*Loan_Snapshot!$CQ$5:$CQ$256)/$C20,0)</f>
        <v/>
      </c>
      <c r="AA20" s="13">
        <f>IFERROR(SUMPRODUCT((Loan_Snapshot!$B$5:$B$256=$A20)*Loan_Snapshot!$I$5:$I$256*Loan_Snapshot!$CR$5:$CR$256)/$C20,0)</f>
        <v/>
      </c>
      <c r="AB20" s="13">
        <f>IFERROR(SUMPRODUCT((Loan_Snapshot!$B$5:$B$256=$A20)*Loan_Snapshot!$I$5:$I$256*Loan_Snapshot!$CS$5:$CS$256)/$C20,0)</f>
        <v/>
      </c>
      <c r="AC20" s="29">
        <f>BASELINE_CPR+SUM(E20:AB20)-$D20</f>
        <v/>
      </c>
    </row>
    <row r="21">
      <c r="A21" s="2" t="inlineStr">
        <is>
          <t>JLL_PRE21</t>
        </is>
      </c>
      <c r="B21">
        <f>COUNTIF(Loan_Snapshot!$B$5:$B$256,$A21)</f>
        <v/>
      </c>
      <c r="C21" s="22">
        <f>SUMIF(Loan_Snapshot!$B$5:$B$256,$A21,Loan_Snapshot!$I$5:$I$256)</f>
        <v/>
      </c>
      <c r="D21" s="13">
        <f>IFERROR(SUMPRODUCT((Loan_Snapshot!$B$5:$B$256=$A21)*Loan_Snapshot!$I$5:$I$256*Loan_Snapshot!$BU$5:$BU$256)/$C21,0)</f>
        <v/>
      </c>
      <c r="E21" s="13">
        <f>IFERROR(SUMPRODUCT((Loan_Snapshot!$B$5:$B$256=$A21)*Loan_Snapshot!$I$5:$I$256*Loan_Snapshot!$BV$5:$BV$256)/$C21,0)</f>
        <v/>
      </c>
      <c r="F21" s="13">
        <f>IFERROR(SUMPRODUCT((Loan_Snapshot!$B$5:$B$256=$A21)*Loan_Snapshot!$I$5:$I$256*Loan_Snapshot!$BW$5:$BW$256)/$C21,0)</f>
        <v/>
      </c>
      <c r="G21" s="13">
        <f>IFERROR(SUMPRODUCT((Loan_Snapshot!$B$5:$B$256=$A21)*Loan_Snapshot!$I$5:$I$256*Loan_Snapshot!$BX$5:$BX$256)/$C21,0)</f>
        <v/>
      </c>
      <c r="H21" s="13">
        <f>IFERROR(SUMPRODUCT((Loan_Snapshot!$B$5:$B$256=$A21)*Loan_Snapshot!$I$5:$I$256*Loan_Snapshot!$BY$5:$BY$256)/$C21,0)</f>
        <v/>
      </c>
      <c r="I21" s="13">
        <f>IFERROR(SUMPRODUCT((Loan_Snapshot!$B$5:$B$256=$A21)*Loan_Snapshot!$I$5:$I$256*Loan_Snapshot!$BZ$5:$BZ$256)/$C21,0)</f>
        <v/>
      </c>
      <c r="J21" s="13">
        <f>IFERROR(SUMPRODUCT((Loan_Snapshot!$B$5:$B$256=$A21)*Loan_Snapshot!$I$5:$I$256*Loan_Snapshot!$CA$5:$CA$256)/$C21,0)</f>
        <v/>
      </c>
      <c r="K21" s="13">
        <f>IFERROR(SUMPRODUCT((Loan_Snapshot!$B$5:$B$256=$A21)*Loan_Snapshot!$I$5:$I$256*Loan_Snapshot!$CB$5:$CB$256)/$C21,0)</f>
        <v/>
      </c>
      <c r="L21" s="13">
        <f>IFERROR(SUMPRODUCT((Loan_Snapshot!$B$5:$B$256=$A21)*Loan_Snapshot!$I$5:$I$256*Loan_Snapshot!$CC$5:$CC$256)/$C21,0)</f>
        <v/>
      </c>
      <c r="M21" s="13">
        <f>IFERROR(SUMPRODUCT((Loan_Snapshot!$B$5:$B$256=$A21)*Loan_Snapshot!$I$5:$I$256*Loan_Snapshot!$CD$5:$CD$256)/$C21,0)</f>
        <v/>
      </c>
      <c r="N21" s="13">
        <f>IFERROR(SUMPRODUCT((Loan_Snapshot!$B$5:$B$256=$A21)*Loan_Snapshot!$I$5:$I$256*Loan_Snapshot!$CE$5:$CE$256)/$C21,0)</f>
        <v/>
      </c>
      <c r="O21" s="13">
        <f>IFERROR(SUMPRODUCT((Loan_Snapshot!$B$5:$B$256=$A21)*Loan_Snapshot!$I$5:$I$256*Loan_Snapshot!$CF$5:$CF$256)/$C21,0)</f>
        <v/>
      </c>
      <c r="P21" s="13">
        <f>IFERROR(SUMPRODUCT((Loan_Snapshot!$B$5:$B$256=$A21)*Loan_Snapshot!$I$5:$I$256*Loan_Snapshot!$CG$5:$CG$256)/$C21,0)</f>
        <v/>
      </c>
      <c r="Q21" s="13">
        <f>IFERROR(SUMPRODUCT((Loan_Snapshot!$B$5:$B$256=$A21)*Loan_Snapshot!$I$5:$I$256*Loan_Snapshot!$CH$5:$CH$256)/$C21,0)</f>
        <v/>
      </c>
      <c r="R21" s="13">
        <f>IFERROR(SUMPRODUCT((Loan_Snapshot!$B$5:$B$256=$A21)*Loan_Snapshot!$I$5:$I$256*Loan_Snapshot!$CI$5:$CI$256)/$C21,0)</f>
        <v/>
      </c>
      <c r="S21" s="13">
        <f>IFERROR(SUMPRODUCT((Loan_Snapshot!$B$5:$B$256=$A21)*Loan_Snapshot!$I$5:$I$256*Loan_Snapshot!$CJ$5:$CJ$256)/$C21,0)</f>
        <v/>
      </c>
      <c r="T21" s="13">
        <f>IFERROR(SUMPRODUCT((Loan_Snapshot!$B$5:$B$256=$A21)*Loan_Snapshot!$I$5:$I$256*Loan_Snapshot!$CK$5:$CK$256)/$C21,0)</f>
        <v/>
      </c>
      <c r="U21" s="13">
        <f>IFERROR(SUMPRODUCT((Loan_Snapshot!$B$5:$B$256=$A21)*Loan_Snapshot!$I$5:$I$256*Loan_Snapshot!$CL$5:$CL$256)/$C21,0)</f>
        <v/>
      </c>
      <c r="V21" s="13">
        <f>IFERROR(SUMPRODUCT((Loan_Snapshot!$B$5:$B$256=$A21)*Loan_Snapshot!$I$5:$I$256*Loan_Snapshot!$CM$5:$CM$256)/$C21,0)</f>
        <v/>
      </c>
      <c r="W21" s="13">
        <f>IFERROR(SUMPRODUCT((Loan_Snapshot!$B$5:$B$256=$A21)*Loan_Snapshot!$I$5:$I$256*Loan_Snapshot!$CN$5:$CN$256)/$C21,0)</f>
        <v/>
      </c>
      <c r="X21" s="13">
        <f>IFERROR(SUMPRODUCT((Loan_Snapshot!$B$5:$B$256=$A21)*Loan_Snapshot!$I$5:$I$256*Loan_Snapshot!$CO$5:$CO$256)/$C21,0)</f>
        <v/>
      </c>
      <c r="Y21" s="13">
        <f>IFERROR(SUMPRODUCT((Loan_Snapshot!$B$5:$B$256=$A21)*Loan_Snapshot!$I$5:$I$256*Loan_Snapshot!$CP$5:$CP$256)/$C21,0)</f>
        <v/>
      </c>
      <c r="Z21" s="13">
        <f>IFERROR(SUMPRODUCT((Loan_Snapshot!$B$5:$B$256=$A21)*Loan_Snapshot!$I$5:$I$256*Loan_Snapshot!$CQ$5:$CQ$256)/$C21,0)</f>
        <v/>
      </c>
      <c r="AA21" s="13">
        <f>IFERROR(SUMPRODUCT((Loan_Snapshot!$B$5:$B$256=$A21)*Loan_Snapshot!$I$5:$I$256*Loan_Snapshot!$CR$5:$CR$256)/$C21,0)</f>
        <v/>
      </c>
      <c r="AB21" s="13">
        <f>IFERROR(SUMPRODUCT((Loan_Snapshot!$B$5:$B$256=$A21)*Loan_Snapshot!$I$5:$I$256*Loan_Snapshot!$CS$5:$CS$256)/$C21,0)</f>
        <v/>
      </c>
      <c r="AC21" s="29">
        <f>BASELINE_CPR+SUM(E21:AB21)-$D21</f>
        <v/>
      </c>
    </row>
    <row r="22">
      <c r="A22" s="2" t="inlineStr">
        <is>
          <t>BELLWETHER_PRE21</t>
        </is>
      </c>
      <c r="B22">
        <f>COUNTIF(Loan_Snapshot!$B$5:$B$256,$A22)</f>
        <v/>
      </c>
      <c r="C22" s="22">
        <f>SUMIF(Loan_Snapshot!$B$5:$B$256,$A22,Loan_Snapshot!$I$5:$I$256)</f>
        <v/>
      </c>
      <c r="D22" s="13">
        <f>IFERROR(SUMPRODUCT((Loan_Snapshot!$B$5:$B$256=$A22)*Loan_Snapshot!$I$5:$I$256*Loan_Snapshot!$BU$5:$BU$256)/$C22,0)</f>
        <v/>
      </c>
      <c r="E22" s="13">
        <f>IFERROR(SUMPRODUCT((Loan_Snapshot!$B$5:$B$256=$A22)*Loan_Snapshot!$I$5:$I$256*Loan_Snapshot!$BV$5:$BV$256)/$C22,0)</f>
        <v/>
      </c>
      <c r="F22" s="13">
        <f>IFERROR(SUMPRODUCT((Loan_Snapshot!$B$5:$B$256=$A22)*Loan_Snapshot!$I$5:$I$256*Loan_Snapshot!$BW$5:$BW$256)/$C22,0)</f>
        <v/>
      </c>
      <c r="G22" s="13">
        <f>IFERROR(SUMPRODUCT((Loan_Snapshot!$B$5:$B$256=$A22)*Loan_Snapshot!$I$5:$I$256*Loan_Snapshot!$BX$5:$BX$256)/$C22,0)</f>
        <v/>
      </c>
      <c r="H22" s="13">
        <f>IFERROR(SUMPRODUCT((Loan_Snapshot!$B$5:$B$256=$A22)*Loan_Snapshot!$I$5:$I$256*Loan_Snapshot!$BY$5:$BY$256)/$C22,0)</f>
        <v/>
      </c>
      <c r="I22" s="13">
        <f>IFERROR(SUMPRODUCT((Loan_Snapshot!$B$5:$B$256=$A22)*Loan_Snapshot!$I$5:$I$256*Loan_Snapshot!$BZ$5:$BZ$256)/$C22,0)</f>
        <v/>
      </c>
      <c r="J22" s="13">
        <f>IFERROR(SUMPRODUCT((Loan_Snapshot!$B$5:$B$256=$A22)*Loan_Snapshot!$I$5:$I$256*Loan_Snapshot!$CA$5:$CA$256)/$C22,0)</f>
        <v/>
      </c>
      <c r="K22" s="13">
        <f>IFERROR(SUMPRODUCT((Loan_Snapshot!$B$5:$B$256=$A22)*Loan_Snapshot!$I$5:$I$256*Loan_Snapshot!$CB$5:$CB$256)/$C22,0)</f>
        <v/>
      </c>
      <c r="L22" s="13">
        <f>IFERROR(SUMPRODUCT((Loan_Snapshot!$B$5:$B$256=$A22)*Loan_Snapshot!$I$5:$I$256*Loan_Snapshot!$CC$5:$CC$256)/$C22,0)</f>
        <v/>
      </c>
      <c r="M22" s="13">
        <f>IFERROR(SUMPRODUCT((Loan_Snapshot!$B$5:$B$256=$A22)*Loan_Snapshot!$I$5:$I$256*Loan_Snapshot!$CD$5:$CD$256)/$C22,0)</f>
        <v/>
      </c>
      <c r="N22" s="13">
        <f>IFERROR(SUMPRODUCT((Loan_Snapshot!$B$5:$B$256=$A22)*Loan_Snapshot!$I$5:$I$256*Loan_Snapshot!$CE$5:$CE$256)/$C22,0)</f>
        <v/>
      </c>
      <c r="O22" s="13">
        <f>IFERROR(SUMPRODUCT((Loan_Snapshot!$B$5:$B$256=$A22)*Loan_Snapshot!$I$5:$I$256*Loan_Snapshot!$CF$5:$CF$256)/$C22,0)</f>
        <v/>
      </c>
      <c r="P22" s="13">
        <f>IFERROR(SUMPRODUCT((Loan_Snapshot!$B$5:$B$256=$A22)*Loan_Snapshot!$I$5:$I$256*Loan_Snapshot!$CG$5:$CG$256)/$C22,0)</f>
        <v/>
      </c>
      <c r="Q22" s="13">
        <f>IFERROR(SUMPRODUCT((Loan_Snapshot!$B$5:$B$256=$A22)*Loan_Snapshot!$I$5:$I$256*Loan_Snapshot!$CH$5:$CH$256)/$C22,0)</f>
        <v/>
      </c>
      <c r="R22" s="13">
        <f>IFERROR(SUMPRODUCT((Loan_Snapshot!$B$5:$B$256=$A22)*Loan_Snapshot!$I$5:$I$256*Loan_Snapshot!$CI$5:$CI$256)/$C22,0)</f>
        <v/>
      </c>
      <c r="S22" s="13">
        <f>IFERROR(SUMPRODUCT((Loan_Snapshot!$B$5:$B$256=$A22)*Loan_Snapshot!$I$5:$I$256*Loan_Snapshot!$CJ$5:$CJ$256)/$C22,0)</f>
        <v/>
      </c>
      <c r="T22" s="13">
        <f>IFERROR(SUMPRODUCT((Loan_Snapshot!$B$5:$B$256=$A22)*Loan_Snapshot!$I$5:$I$256*Loan_Snapshot!$CK$5:$CK$256)/$C22,0)</f>
        <v/>
      </c>
      <c r="U22" s="13">
        <f>IFERROR(SUMPRODUCT((Loan_Snapshot!$B$5:$B$256=$A22)*Loan_Snapshot!$I$5:$I$256*Loan_Snapshot!$CL$5:$CL$256)/$C22,0)</f>
        <v/>
      </c>
      <c r="V22" s="13">
        <f>IFERROR(SUMPRODUCT((Loan_Snapshot!$B$5:$B$256=$A22)*Loan_Snapshot!$I$5:$I$256*Loan_Snapshot!$CM$5:$CM$256)/$C22,0)</f>
        <v/>
      </c>
      <c r="W22" s="13">
        <f>IFERROR(SUMPRODUCT((Loan_Snapshot!$B$5:$B$256=$A22)*Loan_Snapshot!$I$5:$I$256*Loan_Snapshot!$CN$5:$CN$256)/$C22,0)</f>
        <v/>
      </c>
      <c r="X22" s="13">
        <f>IFERROR(SUMPRODUCT((Loan_Snapshot!$B$5:$B$256=$A22)*Loan_Snapshot!$I$5:$I$256*Loan_Snapshot!$CO$5:$CO$256)/$C22,0)</f>
        <v/>
      </c>
      <c r="Y22" s="13">
        <f>IFERROR(SUMPRODUCT((Loan_Snapshot!$B$5:$B$256=$A22)*Loan_Snapshot!$I$5:$I$256*Loan_Snapshot!$CP$5:$CP$256)/$C22,0)</f>
        <v/>
      </c>
      <c r="Z22" s="13">
        <f>IFERROR(SUMPRODUCT((Loan_Snapshot!$B$5:$B$256=$A22)*Loan_Snapshot!$I$5:$I$256*Loan_Snapshot!$CQ$5:$CQ$256)/$C22,0)</f>
        <v/>
      </c>
      <c r="AA22" s="13">
        <f>IFERROR(SUMPRODUCT((Loan_Snapshot!$B$5:$B$256=$A22)*Loan_Snapshot!$I$5:$I$256*Loan_Snapshot!$CR$5:$CR$256)/$C22,0)</f>
        <v/>
      </c>
      <c r="AB22" s="13">
        <f>IFERROR(SUMPRODUCT((Loan_Snapshot!$B$5:$B$256=$A22)*Loan_Snapshot!$I$5:$I$256*Loan_Snapshot!$CS$5:$CS$256)/$C22,0)</f>
        <v/>
      </c>
      <c r="AC22" s="29">
        <f>BASELINE_CPR+SUM(E22:AB22)-$D22</f>
        <v/>
      </c>
    </row>
    <row r="23">
      <c r="A23" s="2" t="inlineStr">
        <is>
          <t>CAPITAL_POST21</t>
        </is>
      </c>
      <c r="B23">
        <f>COUNTIF(Loan_Snapshot!$B$5:$B$256,$A23)</f>
        <v/>
      </c>
      <c r="C23" s="22">
        <f>SUMIF(Loan_Snapshot!$B$5:$B$256,$A23,Loan_Snapshot!$I$5:$I$256)</f>
        <v/>
      </c>
      <c r="D23" s="13">
        <f>IFERROR(SUMPRODUCT((Loan_Snapshot!$B$5:$B$256=$A23)*Loan_Snapshot!$I$5:$I$256*Loan_Snapshot!$BU$5:$BU$256)/$C23,0)</f>
        <v/>
      </c>
      <c r="E23" s="13">
        <f>IFERROR(SUMPRODUCT((Loan_Snapshot!$B$5:$B$256=$A23)*Loan_Snapshot!$I$5:$I$256*Loan_Snapshot!$BV$5:$BV$256)/$C23,0)</f>
        <v/>
      </c>
      <c r="F23" s="13">
        <f>IFERROR(SUMPRODUCT((Loan_Snapshot!$B$5:$B$256=$A23)*Loan_Snapshot!$I$5:$I$256*Loan_Snapshot!$BW$5:$BW$256)/$C23,0)</f>
        <v/>
      </c>
      <c r="G23" s="13">
        <f>IFERROR(SUMPRODUCT((Loan_Snapshot!$B$5:$B$256=$A23)*Loan_Snapshot!$I$5:$I$256*Loan_Snapshot!$BX$5:$BX$256)/$C23,0)</f>
        <v/>
      </c>
      <c r="H23" s="13">
        <f>IFERROR(SUMPRODUCT((Loan_Snapshot!$B$5:$B$256=$A23)*Loan_Snapshot!$I$5:$I$256*Loan_Snapshot!$BY$5:$BY$256)/$C23,0)</f>
        <v/>
      </c>
      <c r="I23" s="13">
        <f>IFERROR(SUMPRODUCT((Loan_Snapshot!$B$5:$B$256=$A23)*Loan_Snapshot!$I$5:$I$256*Loan_Snapshot!$BZ$5:$BZ$256)/$C23,0)</f>
        <v/>
      </c>
      <c r="J23" s="13">
        <f>IFERROR(SUMPRODUCT((Loan_Snapshot!$B$5:$B$256=$A23)*Loan_Snapshot!$I$5:$I$256*Loan_Snapshot!$CA$5:$CA$256)/$C23,0)</f>
        <v/>
      </c>
      <c r="K23" s="13">
        <f>IFERROR(SUMPRODUCT((Loan_Snapshot!$B$5:$B$256=$A23)*Loan_Snapshot!$I$5:$I$256*Loan_Snapshot!$CB$5:$CB$256)/$C23,0)</f>
        <v/>
      </c>
      <c r="L23" s="13">
        <f>IFERROR(SUMPRODUCT((Loan_Snapshot!$B$5:$B$256=$A23)*Loan_Snapshot!$I$5:$I$256*Loan_Snapshot!$CC$5:$CC$256)/$C23,0)</f>
        <v/>
      </c>
      <c r="M23" s="13">
        <f>IFERROR(SUMPRODUCT((Loan_Snapshot!$B$5:$B$256=$A23)*Loan_Snapshot!$I$5:$I$256*Loan_Snapshot!$CD$5:$CD$256)/$C23,0)</f>
        <v/>
      </c>
      <c r="N23" s="13">
        <f>IFERROR(SUMPRODUCT((Loan_Snapshot!$B$5:$B$256=$A23)*Loan_Snapshot!$I$5:$I$256*Loan_Snapshot!$CE$5:$CE$256)/$C23,0)</f>
        <v/>
      </c>
      <c r="O23" s="13">
        <f>IFERROR(SUMPRODUCT((Loan_Snapshot!$B$5:$B$256=$A23)*Loan_Snapshot!$I$5:$I$256*Loan_Snapshot!$CF$5:$CF$256)/$C23,0)</f>
        <v/>
      </c>
      <c r="P23" s="13">
        <f>IFERROR(SUMPRODUCT((Loan_Snapshot!$B$5:$B$256=$A23)*Loan_Snapshot!$I$5:$I$256*Loan_Snapshot!$CG$5:$CG$256)/$C23,0)</f>
        <v/>
      </c>
      <c r="Q23" s="13">
        <f>IFERROR(SUMPRODUCT((Loan_Snapshot!$B$5:$B$256=$A23)*Loan_Snapshot!$I$5:$I$256*Loan_Snapshot!$CH$5:$CH$256)/$C23,0)</f>
        <v/>
      </c>
      <c r="R23" s="13">
        <f>IFERROR(SUMPRODUCT((Loan_Snapshot!$B$5:$B$256=$A23)*Loan_Snapshot!$I$5:$I$256*Loan_Snapshot!$CI$5:$CI$256)/$C23,0)</f>
        <v/>
      </c>
      <c r="S23" s="13">
        <f>IFERROR(SUMPRODUCT((Loan_Snapshot!$B$5:$B$256=$A23)*Loan_Snapshot!$I$5:$I$256*Loan_Snapshot!$CJ$5:$CJ$256)/$C23,0)</f>
        <v/>
      </c>
      <c r="T23" s="13">
        <f>IFERROR(SUMPRODUCT((Loan_Snapshot!$B$5:$B$256=$A23)*Loan_Snapshot!$I$5:$I$256*Loan_Snapshot!$CK$5:$CK$256)/$C23,0)</f>
        <v/>
      </c>
      <c r="U23" s="13">
        <f>IFERROR(SUMPRODUCT((Loan_Snapshot!$B$5:$B$256=$A23)*Loan_Snapshot!$I$5:$I$256*Loan_Snapshot!$CL$5:$CL$256)/$C23,0)</f>
        <v/>
      </c>
      <c r="V23" s="13">
        <f>IFERROR(SUMPRODUCT((Loan_Snapshot!$B$5:$B$256=$A23)*Loan_Snapshot!$I$5:$I$256*Loan_Snapshot!$CM$5:$CM$256)/$C23,0)</f>
        <v/>
      </c>
      <c r="W23" s="13">
        <f>IFERROR(SUMPRODUCT((Loan_Snapshot!$B$5:$B$256=$A23)*Loan_Snapshot!$I$5:$I$256*Loan_Snapshot!$CN$5:$CN$256)/$C23,0)</f>
        <v/>
      </c>
      <c r="X23" s="13">
        <f>IFERROR(SUMPRODUCT((Loan_Snapshot!$B$5:$B$256=$A23)*Loan_Snapshot!$I$5:$I$256*Loan_Snapshot!$CO$5:$CO$256)/$C23,0)</f>
        <v/>
      </c>
      <c r="Y23" s="13">
        <f>IFERROR(SUMPRODUCT((Loan_Snapshot!$B$5:$B$256=$A23)*Loan_Snapshot!$I$5:$I$256*Loan_Snapshot!$CP$5:$CP$256)/$C23,0)</f>
        <v/>
      </c>
      <c r="Z23" s="13">
        <f>IFERROR(SUMPRODUCT((Loan_Snapshot!$B$5:$B$256=$A23)*Loan_Snapshot!$I$5:$I$256*Loan_Snapshot!$CQ$5:$CQ$256)/$C23,0)</f>
        <v/>
      </c>
      <c r="AA23" s="13">
        <f>IFERROR(SUMPRODUCT((Loan_Snapshot!$B$5:$B$256=$A23)*Loan_Snapshot!$I$5:$I$256*Loan_Snapshot!$CR$5:$CR$256)/$C23,0)</f>
        <v/>
      </c>
      <c r="AB23" s="13">
        <f>IFERROR(SUMPRODUCT((Loan_Snapshot!$B$5:$B$256=$A23)*Loan_Snapshot!$I$5:$I$256*Loan_Snapshot!$CS$5:$CS$256)/$C23,0)</f>
        <v/>
      </c>
      <c r="AC23" s="29">
        <f>BASELINE_CPR+SUM(E23:AB23)-$D23</f>
        <v/>
      </c>
    </row>
    <row r="24">
      <c r="A24" s="2" t="inlineStr">
        <is>
          <t>PGIM_PRE21</t>
        </is>
      </c>
      <c r="B24">
        <f>COUNTIF(Loan_Snapshot!$B$5:$B$256,$A24)</f>
        <v/>
      </c>
      <c r="C24" s="22">
        <f>SUMIF(Loan_Snapshot!$B$5:$B$256,$A24,Loan_Snapshot!$I$5:$I$256)</f>
        <v/>
      </c>
      <c r="D24" s="13">
        <f>IFERROR(SUMPRODUCT((Loan_Snapshot!$B$5:$B$256=$A24)*Loan_Snapshot!$I$5:$I$256*Loan_Snapshot!$BU$5:$BU$256)/$C24,0)</f>
        <v/>
      </c>
      <c r="E24" s="13">
        <f>IFERROR(SUMPRODUCT((Loan_Snapshot!$B$5:$B$256=$A24)*Loan_Snapshot!$I$5:$I$256*Loan_Snapshot!$BV$5:$BV$256)/$C24,0)</f>
        <v/>
      </c>
      <c r="F24" s="13">
        <f>IFERROR(SUMPRODUCT((Loan_Snapshot!$B$5:$B$256=$A24)*Loan_Snapshot!$I$5:$I$256*Loan_Snapshot!$BW$5:$BW$256)/$C24,0)</f>
        <v/>
      </c>
      <c r="G24" s="13">
        <f>IFERROR(SUMPRODUCT((Loan_Snapshot!$B$5:$B$256=$A24)*Loan_Snapshot!$I$5:$I$256*Loan_Snapshot!$BX$5:$BX$256)/$C24,0)</f>
        <v/>
      </c>
      <c r="H24" s="13">
        <f>IFERROR(SUMPRODUCT((Loan_Snapshot!$B$5:$B$256=$A24)*Loan_Snapshot!$I$5:$I$256*Loan_Snapshot!$BY$5:$BY$256)/$C24,0)</f>
        <v/>
      </c>
      <c r="I24" s="13">
        <f>IFERROR(SUMPRODUCT((Loan_Snapshot!$B$5:$B$256=$A24)*Loan_Snapshot!$I$5:$I$256*Loan_Snapshot!$BZ$5:$BZ$256)/$C24,0)</f>
        <v/>
      </c>
      <c r="J24" s="13">
        <f>IFERROR(SUMPRODUCT((Loan_Snapshot!$B$5:$B$256=$A24)*Loan_Snapshot!$I$5:$I$256*Loan_Snapshot!$CA$5:$CA$256)/$C24,0)</f>
        <v/>
      </c>
      <c r="K24" s="13">
        <f>IFERROR(SUMPRODUCT((Loan_Snapshot!$B$5:$B$256=$A24)*Loan_Snapshot!$I$5:$I$256*Loan_Snapshot!$CB$5:$CB$256)/$C24,0)</f>
        <v/>
      </c>
      <c r="L24" s="13">
        <f>IFERROR(SUMPRODUCT((Loan_Snapshot!$B$5:$B$256=$A24)*Loan_Snapshot!$I$5:$I$256*Loan_Snapshot!$CC$5:$CC$256)/$C24,0)</f>
        <v/>
      </c>
      <c r="M24" s="13">
        <f>IFERROR(SUMPRODUCT((Loan_Snapshot!$B$5:$B$256=$A24)*Loan_Snapshot!$I$5:$I$256*Loan_Snapshot!$CD$5:$CD$256)/$C24,0)</f>
        <v/>
      </c>
      <c r="N24" s="13">
        <f>IFERROR(SUMPRODUCT((Loan_Snapshot!$B$5:$B$256=$A24)*Loan_Snapshot!$I$5:$I$256*Loan_Snapshot!$CE$5:$CE$256)/$C24,0)</f>
        <v/>
      </c>
      <c r="O24" s="13">
        <f>IFERROR(SUMPRODUCT((Loan_Snapshot!$B$5:$B$256=$A24)*Loan_Snapshot!$I$5:$I$256*Loan_Snapshot!$CF$5:$CF$256)/$C24,0)</f>
        <v/>
      </c>
      <c r="P24" s="13">
        <f>IFERROR(SUMPRODUCT((Loan_Snapshot!$B$5:$B$256=$A24)*Loan_Snapshot!$I$5:$I$256*Loan_Snapshot!$CG$5:$CG$256)/$C24,0)</f>
        <v/>
      </c>
      <c r="Q24" s="13">
        <f>IFERROR(SUMPRODUCT((Loan_Snapshot!$B$5:$B$256=$A24)*Loan_Snapshot!$I$5:$I$256*Loan_Snapshot!$CH$5:$CH$256)/$C24,0)</f>
        <v/>
      </c>
      <c r="R24" s="13">
        <f>IFERROR(SUMPRODUCT((Loan_Snapshot!$B$5:$B$256=$A24)*Loan_Snapshot!$I$5:$I$256*Loan_Snapshot!$CI$5:$CI$256)/$C24,0)</f>
        <v/>
      </c>
      <c r="S24" s="13">
        <f>IFERROR(SUMPRODUCT((Loan_Snapshot!$B$5:$B$256=$A24)*Loan_Snapshot!$I$5:$I$256*Loan_Snapshot!$CJ$5:$CJ$256)/$C24,0)</f>
        <v/>
      </c>
      <c r="T24" s="13">
        <f>IFERROR(SUMPRODUCT((Loan_Snapshot!$B$5:$B$256=$A24)*Loan_Snapshot!$I$5:$I$256*Loan_Snapshot!$CK$5:$CK$256)/$C24,0)</f>
        <v/>
      </c>
      <c r="U24" s="13">
        <f>IFERROR(SUMPRODUCT((Loan_Snapshot!$B$5:$B$256=$A24)*Loan_Snapshot!$I$5:$I$256*Loan_Snapshot!$CL$5:$CL$256)/$C24,0)</f>
        <v/>
      </c>
      <c r="V24" s="13">
        <f>IFERROR(SUMPRODUCT((Loan_Snapshot!$B$5:$B$256=$A24)*Loan_Snapshot!$I$5:$I$256*Loan_Snapshot!$CM$5:$CM$256)/$C24,0)</f>
        <v/>
      </c>
      <c r="W24" s="13">
        <f>IFERROR(SUMPRODUCT((Loan_Snapshot!$B$5:$B$256=$A24)*Loan_Snapshot!$I$5:$I$256*Loan_Snapshot!$CN$5:$CN$256)/$C24,0)</f>
        <v/>
      </c>
      <c r="X24" s="13">
        <f>IFERROR(SUMPRODUCT((Loan_Snapshot!$B$5:$B$256=$A24)*Loan_Snapshot!$I$5:$I$256*Loan_Snapshot!$CO$5:$CO$256)/$C24,0)</f>
        <v/>
      </c>
      <c r="Y24" s="13">
        <f>IFERROR(SUMPRODUCT((Loan_Snapshot!$B$5:$B$256=$A24)*Loan_Snapshot!$I$5:$I$256*Loan_Snapshot!$CP$5:$CP$256)/$C24,0)</f>
        <v/>
      </c>
      <c r="Z24" s="13">
        <f>IFERROR(SUMPRODUCT((Loan_Snapshot!$B$5:$B$256=$A24)*Loan_Snapshot!$I$5:$I$256*Loan_Snapshot!$CQ$5:$CQ$256)/$C24,0)</f>
        <v/>
      </c>
      <c r="AA24" s="13">
        <f>IFERROR(SUMPRODUCT((Loan_Snapshot!$B$5:$B$256=$A24)*Loan_Snapshot!$I$5:$I$256*Loan_Snapshot!$CR$5:$CR$256)/$C24,0)</f>
        <v/>
      </c>
      <c r="AB24" s="13">
        <f>IFERROR(SUMPRODUCT((Loan_Snapshot!$B$5:$B$256=$A24)*Loan_Snapshot!$I$5:$I$256*Loan_Snapshot!$CS$5:$CS$256)/$C24,0)</f>
        <v/>
      </c>
      <c r="AC24" s="29">
        <f>BASELINE_CPR+SUM(E24:AB24)-$D24</f>
        <v/>
      </c>
    </row>
    <row r="25">
      <c r="A25" s="2" t="inlineStr">
        <is>
          <t>JLL_POST21</t>
        </is>
      </c>
      <c r="B25">
        <f>COUNTIF(Loan_Snapshot!$B$5:$B$256,$A25)</f>
        <v/>
      </c>
      <c r="C25" s="22">
        <f>SUMIF(Loan_Snapshot!$B$5:$B$256,$A25,Loan_Snapshot!$I$5:$I$256)</f>
        <v/>
      </c>
      <c r="D25" s="13">
        <f>IFERROR(SUMPRODUCT((Loan_Snapshot!$B$5:$B$256=$A25)*Loan_Snapshot!$I$5:$I$256*Loan_Snapshot!$BU$5:$BU$256)/$C25,0)</f>
        <v/>
      </c>
      <c r="E25" s="13">
        <f>IFERROR(SUMPRODUCT((Loan_Snapshot!$B$5:$B$256=$A25)*Loan_Snapshot!$I$5:$I$256*Loan_Snapshot!$BV$5:$BV$256)/$C25,0)</f>
        <v/>
      </c>
      <c r="F25" s="13">
        <f>IFERROR(SUMPRODUCT((Loan_Snapshot!$B$5:$B$256=$A25)*Loan_Snapshot!$I$5:$I$256*Loan_Snapshot!$BW$5:$BW$256)/$C25,0)</f>
        <v/>
      </c>
      <c r="G25" s="13">
        <f>IFERROR(SUMPRODUCT((Loan_Snapshot!$B$5:$B$256=$A25)*Loan_Snapshot!$I$5:$I$256*Loan_Snapshot!$BX$5:$BX$256)/$C25,0)</f>
        <v/>
      </c>
      <c r="H25" s="13">
        <f>IFERROR(SUMPRODUCT((Loan_Snapshot!$B$5:$B$256=$A25)*Loan_Snapshot!$I$5:$I$256*Loan_Snapshot!$BY$5:$BY$256)/$C25,0)</f>
        <v/>
      </c>
      <c r="I25" s="13">
        <f>IFERROR(SUMPRODUCT((Loan_Snapshot!$B$5:$B$256=$A25)*Loan_Snapshot!$I$5:$I$256*Loan_Snapshot!$BZ$5:$BZ$256)/$C25,0)</f>
        <v/>
      </c>
      <c r="J25" s="13">
        <f>IFERROR(SUMPRODUCT((Loan_Snapshot!$B$5:$B$256=$A25)*Loan_Snapshot!$I$5:$I$256*Loan_Snapshot!$CA$5:$CA$256)/$C25,0)</f>
        <v/>
      </c>
      <c r="K25" s="13">
        <f>IFERROR(SUMPRODUCT((Loan_Snapshot!$B$5:$B$256=$A25)*Loan_Snapshot!$I$5:$I$256*Loan_Snapshot!$CB$5:$CB$256)/$C25,0)</f>
        <v/>
      </c>
      <c r="L25" s="13">
        <f>IFERROR(SUMPRODUCT((Loan_Snapshot!$B$5:$B$256=$A25)*Loan_Snapshot!$I$5:$I$256*Loan_Snapshot!$CC$5:$CC$256)/$C25,0)</f>
        <v/>
      </c>
      <c r="M25" s="13">
        <f>IFERROR(SUMPRODUCT((Loan_Snapshot!$B$5:$B$256=$A25)*Loan_Snapshot!$I$5:$I$256*Loan_Snapshot!$CD$5:$CD$256)/$C25,0)</f>
        <v/>
      </c>
      <c r="N25" s="13">
        <f>IFERROR(SUMPRODUCT((Loan_Snapshot!$B$5:$B$256=$A25)*Loan_Snapshot!$I$5:$I$256*Loan_Snapshot!$CE$5:$CE$256)/$C25,0)</f>
        <v/>
      </c>
      <c r="O25" s="13">
        <f>IFERROR(SUMPRODUCT((Loan_Snapshot!$B$5:$B$256=$A25)*Loan_Snapshot!$I$5:$I$256*Loan_Snapshot!$CF$5:$CF$256)/$C25,0)</f>
        <v/>
      </c>
      <c r="P25" s="13">
        <f>IFERROR(SUMPRODUCT((Loan_Snapshot!$B$5:$B$256=$A25)*Loan_Snapshot!$I$5:$I$256*Loan_Snapshot!$CG$5:$CG$256)/$C25,0)</f>
        <v/>
      </c>
      <c r="Q25" s="13">
        <f>IFERROR(SUMPRODUCT((Loan_Snapshot!$B$5:$B$256=$A25)*Loan_Snapshot!$I$5:$I$256*Loan_Snapshot!$CH$5:$CH$256)/$C25,0)</f>
        <v/>
      </c>
      <c r="R25" s="13">
        <f>IFERROR(SUMPRODUCT((Loan_Snapshot!$B$5:$B$256=$A25)*Loan_Snapshot!$I$5:$I$256*Loan_Snapshot!$CI$5:$CI$256)/$C25,0)</f>
        <v/>
      </c>
      <c r="S25" s="13">
        <f>IFERROR(SUMPRODUCT((Loan_Snapshot!$B$5:$B$256=$A25)*Loan_Snapshot!$I$5:$I$256*Loan_Snapshot!$CJ$5:$CJ$256)/$C25,0)</f>
        <v/>
      </c>
      <c r="T25" s="13">
        <f>IFERROR(SUMPRODUCT((Loan_Snapshot!$B$5:$B$256=$A25)*Loan_Snapshot!$I$5:$I$256*Loan_Snapshot!$CK$5:$CK$256)/$C25,0)</f>
        <v/>
      </c>
      <c r="U25" s="13">
        <f>IFERROR(SUMPRODUCT((Loan_Snapshot!$B$5:$B$256=$A25)*Loan_Snapshot!$I$5:$I$256*Loan_Snapshot!$CL$5:$CL$256)/$C25,0)</f>
        <v/>
      </c>
      <c r="V25" s="13">
        <f>IFERROR(SUMPRODUCT((Loan_Snapshot!$B$5:$B$256=$A25)*Loan_Snapshot!$I$5:$I$256*Loan_Snapshot!$CM$5:$CM$256)/$C25,0)</f>
        <v/>
      </c>
      <c r="W25" s="13">
        <f>IFERROR(SUMPRODUCT((Loan_Snapshot!$B$5:$B$256=$A25)*Loan_Snapshot!$I$5:$I$256*Loan_Snapshot!$CN$5:$CN$256)/$C25,0)</f>
        <v/>
      </c>
      <c r="X25" s="13">
        <f>IFERROR(SUMPRODUCT((Loan_Snapshot!$B$5:$B$256=$A25)*Loan_Snapshot!$I$5:$I$256*Loan_Snapshot!$CO$5:$CO$256)/$C25,0)</f>
        <v/>
      </c>
      <c r="Y25" s="13">
        <f>IFERROR(SUMPRODUCT((Loan_Snapshot!$B$5:$B$256=$A25)*Loan_Snapshot!$I$5:$I$256*Loan_Snapshot!$CP$5:$CP$256)/$C25,0)</f>
        <v/>
      </c>
      <c r="Z25" s="13">
        <f>IFERROR(SUMPRODUCT((Loan_Snapshot!$B$5:$B$256=$A25)*Loan_Snapshot!$I$5:$I$256*Loan_Snapshot!$CQ$5:$CQ$256)/$C25,0)</f>
        <v/>
      </c>
      <c r="AA25" s="13">
        <f>IFERROR(SUMPRODUCT((Loan_Snapshot!$B$5:$B$256=$A25)*Loan_Snapshot!$I$5:$I$256*Loan_Snapshot!$CR$5:$CR$256)/$C25,0)</f>
        <v/>
      </c>
      <c r="AB25" s="13">
        <f>IFERROR(SUMPRODUCT((Loan_Snapshot!$B$5:$B$256=$A25)*Loan_Snapshot!$I$5:$I$256*Loan_Snapshot!$CS$5:$CS$256)/$C25,0)</f>
        <v/>
      </c>
      <c r="AC25" s="29">
        <f>BASELINE_CPR+SUM(E25:AB25)-$D25</f>
        <v/>
      </c>
    </row>
    <row r="26">
      <c r="A26" s="2" t="inlineStr">
        <is>
          <t>WELLS_POST21</t>
        </is>
      </c>
      <c r="B26">
        <f>COUNTIF(Loan_Snapshot!$B$5:$B$256,$A26)</f>
        <v/>
      </c>
      <c r="C26" s="22">
        <f>SUMIF(Loan_Snapshot!$B$5:$B$256,$A26,Loan_Snapshot!$I$5:$I$256)</f>
        <v/>
      </c>
      <c r="D26" s="13">
        <f>IFERROR(SUMPRODUCT((Loan_Snapshot!$B$5:$B$256=$A26)*Loan_Snapshot!$I$5:$I$256*Loan_Snapshot!$BU$5:$BU$256)/$C26,0)</f>
        <v/>
      </c>
      <c r="E26" s="13">
        <f>IFERROR(SUMPRODUCT((Loan_Snapshot!$B$5:$B$256=$A26)*Loan_Snapshot!$I$5:$I$256*Loan_Snapshot!$BV$5:$BV$256)/$C26,0)</f>
        <v/>
      </c>
      <c r="F26" s="13">
        <f>IFERROR(SUMPRODUCT((Loan_Snapshot!$B$5:$B$256=$A26)*Loan_Snapshot!$I$5:$I$256*Loan_Snapshot!$BW$5:$BW$256)/$C26,0)</f>
        <v/>
      </c>
      <c r="G26" s="13">
        <f>IFERROR(SUMPRODUCT((Loan_Snapshot!$B$5:$B$256=$A26)*Loan_Snapshot!$I$5:$I$256*Loan_Snapshot!$BX$5:$BX$256)/$C26,0)</f>
        <v/>
      </c>
      <c r="H26" s="13">
        <f>IFERROR(SUMPRODUCT((Loan_Snapshot!$B$5:$B$256=$A26)*Loan_Snapshot!$I$5:$I$256*Loan_Snapshot!$BY$5:$BY$256)/$C26,0)</f>
        <v/>
      </c>
      <c r="I26" s="13">
        <f>IFERROR(SUMPRODUCT((Loan_Snapshot!$B$5:$B$256=$A26)*Loan_Snapshot!$I$5:$I$256*Loan_Snapshot!$BZ$5:$BZ$256)/$C26,0)</f>
        <v/>
      </c>
      <c r="J26" s="13">
        <f>IFERROR(SUMPRODUCT((Loan_Snapshot!$B$5:$B$256=$A26)*Loan_Snapshot!$I$5:$I$256*Loan_Snapshot!$CA$5:$CA$256)/$C26,0)</f>
        <v/>
      </c>
      <c r="K26" s="13">
        <f>IFERROR(SUMPRODUCT((Loan_Snapshot!$B$5:$B$256=$A26)*Loan_Snapshot!$I$5:$I$256*Loan_Snapshot!$CB$5:$CB$256)/$C26,0)</f>
        <v/>
      </c>
      <c r="L26" s="13">
        <f>IFERROR(SUMPRODUCT((Loan_Snapshot!$B$5:$B$256=$A26)*Loan_Snapshot!$I$5:$I$256*Loan_Snapshot!$CC$5:$CC$256)/$C26,0)</f>
        <v/>
      </c>
      <c r="M26" s="13">
        <f>IFERROR(SUMPRODUCT((Loan_Snapshot!$B$5:$B$256=$A26)*Loan_Snapshot!$I$5:$I$256*Loan_Snapshot!$CD$5:$CD$256)/$C26,0)</f>
        <v/>
      </c>
      <c r="N26" s="13">
        <f>IFERROR(SUMPRODUCT((Loan_Snapshot!$B$5:$B$256=$A26)*Loan_Snapshot!$I$5:$I$256*Loan_Snapshot!$CE$5:$CE$256)/$C26,0)</f>
        <v/>
      </c>
      <c r="O26" s="13">
        <f>IFERROR(SUMPRODUCT((Loan_Snapshot!$B$5:$B$256=$A26)*Loan_Snapshot!$I$5:$I$256*Loan_Snapshot!$CF$5:$CF$256)/$C26,0)</f>
        <v/>
      </c>
      <c r="P26" s="13">
        <f>IFERROR(SUMPRODUCT((Loan_Snapshot!$B$5:$B$256=$A26)*Loan_Snapshot!$I$5:$I$256*Loan_Snapshot!$CG$5:$CG$256)/$C26,0)</f>
        <v/>
      </c>
      <c r="Q26" s="13">
        <f>IFERROR(SUMPRODUCT((Loan_Snapshot!$B$5:$B$256=$A26)*Loan_Snapshot!$I$5:$I$256*Loan_Snapshot!$CH$5:$CH$256)/$C26,0)</f>
        <v/>
      </c>
      <c r="R26" s="13">
        <f>IFERROR(SUMPRODUCT((Loan_Snapshot!$B$5:$B$256=$A26)*Loan_Snapshot!$I$5:$I$256*Loan_Snapshot!$CI$5:$CI$256)/$C26,0)</f>
        <v/>
      </c>
      <c r="S26" s="13">
        <f>IFERROR(SUMPRODUCT((Loan_Snapshot!$B$5:$B$256=$A26)*Loan_Snapshot!$I$5:$I$256*Loan_Snapshot!$CJ$5:$CJ$256)/$C26,0)</f>
        <v/>
      </c>
      <c r="T26" s="13">
        <f>IFERROR(SUMPRODUCT((Loan_Snapshot!$B$5:$B$256=$A26)*Loan_Snapshot!$I$5:$I$256*Loan_Snapshot!$CK$5:$CK$256)/$C26,0)</f>
        <v/>
      </c>
      <c r="U26" s="13">
        <f>IFERROR(SUMPRODUCT((Loan_Snapshot!$B$5:$B$256=$A26)*Loan_Snapshot!$I$5:$I$256*Loan_Snapshot!$CL$5:$CL$256)/$C26,0)</f>
        <v/>
      </c>
      <c r="V26" s="13">
        <f>IFERROR(SUMPRODUCT((Loan_Snapshot!$B$5:$B$256=$A26)*Loan_Snapshot!$I$5:$I$256*Loan_Snapshot!$CM$5:$CM$256)/$C26,0)</f>
        <v/>
      </c>
      <c r="W26" s="13">
        <f>IFERROR(SUMPRODUCT((Loan_Snapshot!$B$5:$B$256=$A26)*Loan_Snapshot!$I$5:$I$256*Loan_Snapshot!$CN$5:$CN$256)/$C26,0)</f>
        <v/>
      </c>
      <c r="X26" s="13">
        <f>IFERROR(SUMPRODUCT((Loan_Snapshot!$B$5:$B$256=$A26)*Loan_Snapshot!$I$5:$I$256*Loan_Snapshot!$CO$5:$CO$256)/$C26,0)</f>
        <v/>
      </c>
      <c r="Y26" s="13">
        <f>IFERROR(SUMPRODUCT((Loan_Snapshot!$B$5:$B$256=$A26)*Loan_Snapshot!$I$5:$I$256*Loan_Snapshot!$CP$5:$CP$256)/$C26,0)</f>
        <v/>
      </c>
      <c r="Z26" s="13">
        <f>IFERROR(SUMPRODUCT((Loan_Snapshot!$B$5:$B$256=$A26)*Loan_Snapshot!$I$5:$I$256*Loan_Snapshot!$CQ$5:$CQ$256)/$C26,0)</f>
        <v/>
      </c>
      <c r="AA26" s="13">
        <f>IFERROR(SUMPRODUCT((Loan_Snapshot!$B$5:$B$256=$A26)*Loan_Snapshot!$I$5:$I$256*Loan_Snapshot!$CR$5:$CR$256)/$C26,0)</f>
        <v/>
      </c>
      <c r="AB26" s="13">
        <f>IFERROR(SUMPRODUCT((Loan_Snapshot!$B$5:$B$256=$A26)*Loan_Snapshot!$I$5:$I$256*Loan_Snapshot!$CS$5:$CS$256)/$C26,0)</f>
        <v/>
      </c>
      <c r="AC26" s="29">
        <f>BASELINE_CPR+SUM(E26:AB26)-$D26</f>
        <v/>
      </c>
    </row>
    <row r="27">
      <c r="A27" s="2" t="inlineStr">
        <is>
          <t>KEYBANK_POST21</t>
        </is>
      </c>
      <c r="B27">
        <f>COUNTIF(Loan_Snapshot!$B$5:$B$256,$A27)</f>
        <v/>
      </c>
      <c r="C27" s="22">
        <f>SUMIF(Loan_Snapshot!$B$5:$B$256,$A27,Loan_Snapshot!$I$5:$I$256)</f>
        <v/>
      </c>
      <c r="D27" s="13">
        <f>IFERROR(SUMPRODUCT((Loan_Snapshot!$B$5:$B$256=$A27)*Loan_Snapshot!$I$5:$I$256*Loan_Snapshot!$BU$5:$BU$256)/$C27,0)</f>
        <v/>
      </c>
      <c r="E27" s="13">
        <f>IFERROR(SUMPRODUCT((Loan_Snapshot!$B$5:$B$256=$A27)*Loan_Snapshot!$I$5:$I$256*Loan_Snapshot!$BV$5:$BV$256)/$C27,0)</f>
        <v/>
      </c>
      <c r="F27" s="13">
        <f>IFERROR(SUMPRODUCT((Loan_Snapshot!$B$5:$B$256=$A27)*Loan_Snapshot!$I$5:$I$256*Loan_Snapshot!$BW$5:$BW$256)/$C27,0)</f>
        <v/>
      </c>
      <c r="G27" s="13">
        <f>IFERROR(SUMPRODUCT((Loan_Snapshot!$B$5:$B$256=$A27)*Loan_Snapshot!$I$5:$I$256*Loan_Snapshot!$BX$5:$BX$256)/$C27,0)</f>
        <v/>
      </c>
      <c r="H27" s="13">
        <f>IFERROR(SUMPRODUCT((Loan_Snapshot!$B$5:$B$256=$A27)*Loan_Snapshot!$I$5:$I$256*Loan_Snapshot!$BY$5:$BY$256)/$C27,0)</f>
        <v/>
      </c>
      <c r="I27" s="13">
        <f>IFERROR(SUMPRODUCT((Loan_Snapshot!$B$5:$B$256=$A27)*Loan_Snapshot!$I$5:$I$256*Loan_Snapshot!$BZ$5:$BZ$256)/$C27,0)</f>
        <v/>
      </c>
      <c r="J27" s="13">
        <f>IFERROR(SUMPRODUCT((Loan_Snapshot!$B$5:$B$256=$A27)*Loan_Snapshot!$I$5:$I$256*Loan_Snapshot!$CA$5:$CA$256)/$C27,0)</f>
        <v/>
      </c>
      <c r="K27" s="13">
        <f>IFERROR(SUMPRODUCT((Loan_Snapshot!$B$5:$B$256=$A27)*Loan_Snapshot!$I$5:$I$256*Loan_Snapshot!$CB$5:$CB$256)/$C27,0)</f>
        <v/>
      </c>
      <c r="L27" s="13">
        <f>IFERROR(SUMPRODUCT((Loan_Snapshot!$B$5:$B$256=$A27)*Loan_Snapshot!$I$5:$I$256*Loan_Snapshot!$CC$5:$CC$256)/$C27,0)</f>
        <v/>
      </c>
      <c r="M27" s="13">
        <f>IFERROR(SUMPRODUCT((Loan_Snapshot!$B$5:$B$256=$A27)*Loan_Snapshot!$I$5:$I$256*Loan_Snapshot!$CD$5:$CD$256)/$C27,0)</f>
        <v/>
      </c>
      <c r="N27" s="13">
        <f>IFERROR(SUMPRODUCT((Loan_Snapshot!$B$5:$B$256=$A27)*Loan_Snapshot!$I$5:$I$256*Loan_Snapshot!$CE$5:$CE$256)/$C27,0)</f>
        <v/>
      </c>
      <c r="O27" s="13">
        <f>IFERROR(SUMPRODUCT((Loan_Snapshot!$B$5:$B$256=$A27)*Loan_Snapshot!$I$5:$I$256*Loan_Snapshot!$CF$5:$CF$256)/$C27,0)</f>
        <v/>
      </c>
      <c r="P27" s="13">
        <f>IFERROR(SUMPRODUCT((Loan_Snapshot!$B$5:$B$256=$A27)*Loan_Snapshot!$I$5:$I$256*Loan_Snapshot!$CG$5:$CG$256)/$C27,0)</f>
        <v/>
      </c>
      <c r="Q27" s="13">
        <f>IFERROR(SUMPRODUCT((Loan_Snapshot!$B$5:$B$256=$A27)*Loan_Snapshot!$I$5:$I$256*Loan_Snapshot!$CH$5:$CH$256)/$C27,0)</f>
        <v/>
      </c>
      <c r="R27" s="13">
        <f>IFERROR(SUMPRODUCT((Loan_Snapshot!$B$5:$B$256=$A27)*Loan_Snapshot!$I$5:$I$256*Loan_Snapshot!$CI$5:$CI$256)/$C27,0)</f>
        <v/>
      </c>
      <c r="S27" s="13">
        <f>IFERROR(SUMPRODUCT((Loan_Snapshot!$B$5:$B$256=$A27)*Loan_Snapshot!$I$5:$I$256*Loan_Snapshot!$CJ$5:$CJ$256)/$C27,0)</f>
        <v/>
      </c>
      <c r="T27" s="13">
        <f>IFERROR(SUMPRODUCT((Loan_Snapshot!$B$5:$B$256=$A27)*Loan_Snapshot!$I$5:$I$256*Loan_Snapshot!$CK$5:$CK$256)/$C27,0)</f>
        <v/>
      </c>
      <c r="U27" s="13">
        <f>IFERROR(SUMPRODUCT((Loan_Snapshot!$B$5:$B$256=$A27)*Loan_Snapshot!$I$5:$I$256*Loan_Snapshot!$CL$5:$CL$256)/$C27,0)</f>
        <v/>
      </c>
      <c r="V27" s="13">
        <f>IFERROR(SUMPRODUCT((Loan_Snapshot!$B$5:$B$256=$A27)*Loan_Snapshot!$I$5:$I$256*Loan_Snapshot!$CM$5:$CM$256)/$C27,0)</f>
        <v/>
      </c>
      <c r="W27" s="13">
        <f>IFERROR(SUMPRODUCT((Loan_Snapshot!$B$5:$B$256=$A27)*Loan_Snapshot!$I$5:$I$256*Loan_Snapshot!$CN$5:$CN$256)/$C27,0)</f>
        <v/>
      </c>
      <c r="X27" s="13">
        <f>IFERROR(SUMPRODUCT((Loan_Snapshot!$B$5:$B$256=$A27)*Loan_Snapshot!$I$5:$I$256*Loan_Snapshot!$CO$5:$CO$256)/$C27,0)</f>
        <v/>
      </c>
      <c r="Y27" s="13">
        <f>IFERROR(SUMPRODUCT((Loan_Snapshot!$B$5:$B$256=$A27)*Loan_Snapshot!$I$5:$I$256*Loan_Snapshot!$CP$5:$CP$256)/$C27,0)</f>
        <v/>
      </c>
      <c r="Z27" s="13">
        <f>IFERROR(SUMPRODUCT((Loan_Snapshot!$B$5:$B$256=$A27)*Loan_Snapshot!$I$5:$I$256*Loan_Snapshot!$CQ$5:$CQ$256)/$C27,0)</f>
        <v/>
      </c>
      <c r="AA27" s="13">
        <f>IFERROR(SUMPRODUCT((Loan_Snapshot!$B$5:$B$256=$A27)*Loan_Snapshot!$I$5:$I$256*Loan_Snapshot!$CR$5:$CR$256)/$C27,0)</f>
        <v/>
      </c>
      <c r="AB27" s="13">
        <f>IFERROR(SUMPRODUCT((Loan_Snapshot!$B$5:$B$256=$A27)*Loan_Snapshot!$I$5:$I$256*Loan_Snapshot!$CS$5:$CS$256)/$C27,0)</f>
        <v/>
      </c>
      <c r="AC27" s="29">
        <f>BASELINE_CPR+SUM(E27:AB27)-$D27</f>
        <v/>
      </c>
    </row>
    <row r="28">
      <c r="A28" s="2" t="inlineStr">
        <is>
          <t>NORTHMARQ_POST21</t>
        </is>
      </c>
      <c r="B28">
        <f>COUNTIF(Loan_Snapshot!$B$5:$B$256,$A28)</f>
        <v/>
      </c>
      <c r="C28" s="22">
        <f>SUMIF(Loan_Snapshot!$B$5:$B$256,$A28,Loan_Snapshot!$I$5:$I$256)</f>
        <v/>
      </c>
      <c r="D28" s="13">
        <f>IFERROR(SUMPRODUCT((Loan_Snapshot!$B$5:$B$256=$A28)*Loan_Snapshot!$I$5:$I$256*Loan_Snapshot!$BU$5:$BU$256)/$C28,0)</f>
        <v/>
      </c>
      <c r="E28" s="13">
        <f>IFERROR(SUMPRODUCT((Loan_Snapshot!$B$5:$B$256=$A28)*Loan_Snapshot!$I$5:$I$256*Loan_Snapshot!$BV$5:$BV$256)/$C28,0)</f>
        <v/>
      </c>
      <c r="F28" s="13">
        <f>IFERROR(SUMPRODUCT((Loan_Snapshot!$B$5:$B$256=$A28)*Loan_Snapshot!$I$5:$I$256*Loan_Snapshot!$BW$5:$BW$256)/$C28,0)</f>
        <v/>
      </c>
      <c r="G28" s="13">
        <f>IFERROR(SUMPRODUCT((Loan_Snapshot!$B$5:$B$256=$A28)*Loan_Snapshot!$I$5:$I$256*Loan_Snapshot!$BX$5:$BX$256)/$C28,0)</f>
        <v/>
      </c>
      <c r="H28" s="13">
        <f>IFERROR(SUMPRODUCT((Loan_Snapshot!$B$5:$B$256=$A28)*Loan_Snapshot!$I$5:$I$256*Loan_Snapshot!$BY$5:$BY$256)/$C28,0)</f>
        <v/>
      </c>
      <c r="I28" s="13">
        <f>IFERROR(SUMPRODUCT((Loan_Snapshot!$B$5:$B$256=$A28)*Loan_Snapshot!$I$5:$I$256*Loan_Snapshot!$BZ$5:$BZ$256)/$C28,0)</f>
        <v/>
      </c>
      <c r="J28" s="13">
        <f>IFERROR(SUMPRODUCT((Loan_Snapshot!$B$5:$B$256=$A28)*Loan_Snapshot!$I$5:$I$256*Loan_Snapshot!$CA$5:$CA$256)/$C28,0)</f>
        <v/>
      </c>
      <c r="K28" s="13">
        <f>IFERROR(SUMPRODUCT((Loan_Snapshot!$B$5:$B$256=$A28)*Loan_Snapshot!$I$5:$I$256*Loan_Snapshot!$CB$5:$CB$256)/$C28,0)</f>
        <v/>
      </c>
      <c r="L28" s="13">
        <f>IFERROR(SUMPRODUCT((Loan_Snapshot!$B$5:$B$256=$A28)*Loan_Snapshot!$I$5:$I$256*Loan_Snapshot!$CC$5:$CC$256)/$C28,0)</f>
        <v/>
      </c>
      <c r="M28" s="13">
        <f>IFERROR(SUMPRODUCT((Loan_Snapshot!$B$5:$B$256=$A28)*Loan_Snapshot!$I$5:$I$256*Loan_Snapshot!$CD$5:$CD$256)/$C28,0)</f>
        <v/>
      </c>
      <c r="N28" s="13">
        <f>IFERROR(SUMPRODUCT((Loan_Snapshot!$B$5:$B$256=$A28)*Loan_Snapshot!$I$5:$I$256*Loan_Snapshot!$CE$5:$CE$256)/$C28,0)</f>
        <v/>
      </c>
      <c r="O28" s="13">
        <f>IFERROR(SUMPRODUCT((Loan_Snapshot!$B$5:$B$256=$A28)*Loan_Snapshot!$I$5:$I$256*Loan_Snapshot!$CF$5:$CF$256)/$C28,0)</f>
        <v/>
      </c>
      <c r="P28" s="13">
        <f>IFERROR(SUMPRODUCT((Loan_Snapshot!$B$5:$B$256=$A28)*Loan_Snapshot!$I$5:$I$256*Loan_Snapshot!$CG$5:$CG$256)/$C28,0)</f>
        <v/>
      </c>
      <c r="Q28" s="13">
        <f>IFERROR(SUMPRODUCT((Loan_Snapshot!$B$5:$B$256=$A28)*Loan_Snapshot!$I$5:$I$256*Loan_Snapshot!$CH$5:$CH$256)/$C28,0)</f>
        <v/>
      </c>
      <c r="R28" s="13">
        <f>IFERROR(SUMPRODUCT((Loan_Snapshot!$B$5:$B$256=$A28)*Loan_Snapshot!$I$5:$I$256*Loan_Snapshot!$CI$5:$CI$256)/$C28,0)</f>
        <v/>
      </c>
      <c r="S28" s="13">
        <f>IFERROR(SUMPRODUCT((Loan_Snapshot!$B$5:$B$256=$A28)*Loan_Snapshot!$I$5:$I$256*Loan_Snapshot!$CJ$5:$CJ$256)/$C28,0)</f>
        <v/>
      </c>
      <c r="T28" s="13">
        <f>IFERROR(SUMPRODUCT((Loan_Snapshot!$B$5:$B$256=$A28)*Loan_Snapshot!$I$5:$I$256*Loan_Snapshot!$CK$5:$CK$256)/$C28,0)</f>
        <v/>
      </c>
      <c r="U28" s="13">
        <f>IFERROR(SUMPRODUCT((Loan_Snapshot!$B$5:$B$256=$A28)*Loan_Snapshot!$I$5:$I$256*Loan_Snapshot!$CL$5:$CL$256)/$C28,0)</f>
        <v/>
      </c>
      <c r="V28" s="13">
        <f>IFERROR(SUMPRODUCT((Loan_Snapshot!$B$5:$B$256=$A28)*Loan_Snapshot!$I$5:$I$256*Loan_Snapshot!$CM$5:$CM$256)/$C28,0)</f>
        <v/>
      </c>
      <c r="W28" s="13">
        <f>IFERROR(SUMPRODUCT((Loan_Snapshot!$B$5:$B$256=$A28)*Loan_Snapshot!$I$5:$I$256*Loan_Snapshot!$CN$5:$CN$256)/$C28,0)</f>
        <v/>
      </c>
      <c r="X28" s="13">
        <f>IFERROR(SUMPRODUCT((Loan_Snapshot!$B$5:$B$256=$A28)*Loan_Snapshot!$I$5:$I$256*Loan_Snapshot!$CO$5:$CO$256)/$C28,0)</f>
        <v/>
      </c>
      <c r="Y28" s="13">
        <f>IFERROR(SUMPRODUCT((Loan_Snapshot!$B$5:$B$256=$A28)*Loan_Snapshot!$I$5:$I$256*Loan_Snapshot!$CP$5:$CP$256)/$C28,0)</f>
        <v/>
      </c>
      <c r="Z28" s="13">
        <f>IFERROR(SUMPRODUCT((Loan_Snapshot!$B$5:$B$256=$A28)*Loan_Snapshot!$I$5:$I$256*Loan_Snapshot!$CQ$5:$CQ$256)/$C28,0)</f>
        <v/>
      </c>
      <c r="AA28" s="13">
        <f>IFERROR(SUMPRODUCT((Loan_Snapshot!$B$5:$B$256=$A28)*Loan_Snapshot!$I$5:$I$256*Loan_Snapshot!$CR$5:$CR$256)/$C28,0)</f>
        <v/>
      </c>
      <c r="AB28" s="13">
        <f>IFERROR(SUMPRODUCT((Loan_Snapshot!$B$5:$B$256=$A28)*Loan_Snapshot!$I$5:$I$256*Loan_Snapshot!$CS$5:$CS$256)/$C28,0)</f>
        <v/>
      </c>
      <c r="AC28" s="29">
        <f>BASELINE_CPR+SUM(E28:AB28)-$D28</f>
        <v/>
      </c>
    </row>
    <row r="29">
      <c r="A29" s="2" t="inlineStr">
        <is>
          <t>BELLWETHER_POST21</t>
        </is>
      </c>
      <c r="B29">
        <f>COUNTIF(Loan_Snapshot!$B$5:$B$256,$A29)</f>
        <v/>
      </c>
      <c r="C29" s="22">
        <f>SUMIF(Loan_Snapshot!$B$5:$B$256,$A29,Loan_Snapshot!$I$5:$I$256)</f>
        <v/>
      </c>
      <c r="D29" s="13">
        <f>IFERROR(SUMPRODUCT((Loan_Snapshot!$B$5:$B$256=$A29)*Loan_Snapshot!$I$5:$I$256*Loan_Snapshot!$BU$5:$BU$256)/$C29,0)</f>
        <v/>
      </c>
      <c r="E29" s="13">
        <f>IFERROR(SUMPRODUCT((Loan_Snapshot!$B$5:$B$256=$A29)*Loan_Snapshot!$I$5:$I$256*Loan_Snapshot!$BV$5:$BV$256)/$C29,0)</f>
        <v/>
      </c>
      <c r="F29" s="13">
        <f>IFERROR(SUMPRODUCT((Loan_Snapshot!$B$5:$B$256=$A29)*Loan_Snapshot!$I$5:$I$256*Loan_Snapshot!$BW$5:$BW$256)/$C29,0)</f>
        <v/>
      </c>
      <c r="G29" s="13">
        <f>IFERROR(SUMPRODUCT((Loan_Snapshot!$B$5:$B$256=$A29)*Loan_Snapshot!$I$5:$I$256*Loan_Snapshot!$BX$5:$BX$256)/$C29,0)</f>
        <v/>
      </c>
      <c r="H29" s="13">
        <f>IFERROR(SUMPRODUCT((Loan_Snapshot!$B$5:$B$256=$A29)*Loan_Snapshot!$I$5:$I$256*Loan_Snapshot!$BY$5:$BY$256)/$C29,0)</f>
        <v/>
      </c>
      <c r="I29" s="13">
        <f>IFERROR(SUMPRODUCT((Loan_Snapshot!$B$5:$B$256=$A29)*Loan_Snapshot!$I$5:$I$256*Loan_Snapshot!$BZ$5:$BZ$256)/$C29,0)</f>
        <v/>
      </c>
      <c r="J29" s="13">
        <f>IFERROR(SUMPRODUCT((Loan_Snapshot!$B$5:$B$256=$A29)*Loan_Snapshot!$I$5:$I$256*Loan_Snapshot!$CA$5:$CA$256)/$C29,0)</f>
        <v/>
      </c>
      <c r="K29" s="13">
        <f>IFERROR(SUMPRODUCT((Loan_Snapshot!$B$5:$B$256=$A29)*Loan_Snapshot!$I$5:$I$256*Loan_Snapshot!$CB$5:$CB$256)/$C29,0)</f>
        <v/>
      </c>
      <c r="L29" s="13">
        <f>IFERROR(SUMPRODUCT((Loan_Snapshot!$B$5:$B$256=$A29)*Loan_Snapshot!$I$5:$I$256*Loan_Snapshot!$CC$5:$CC$256)/$C29,0)</f>
        <v/>
      </c>
      <c r="M29" s="13">
        <f>IFERROR(SUMPRODUCT((Loan_Snapshot!$B$5:$B$256=$A29)*Loan_Snapshot!$I$5:$I$256*Loan_Snapshot!$CD$5:$CD$256)/$C29,0)</f>
        <v/>
      </c>
      <c r="N29" s="13">
        <f>IFERROR(SUMPRODUCT((Loan_Snapshot!$B$5:$B$256=$A29)*Loan_Snapshot!$I$5:$I$256*Loan_Snapshot!$CE$5:$CE$256)/$C29,0)</f>
        <v/>
      </c>
      <c r="O29" s="13">
        <f>IFERROR(SUMPRODUCT((Loan_Snapshot!$B$5:$B$256=$A29)*Loan_Snapshot!$I$5:$I$256*Loan_Snapshot!$CF$5:$CF$256)/$C29,0)</f>
        <v/>
      </c>
      <c r="P29" s="13">
        <f>IFERROR(SUMPRODUCT((Loan_Snapshot!$B$5:$B$256=$A29)*Loan_Snapshot!$I$5:$I$256*Loan_Snapshot!$CG$5:$CG$256)/$C29,0)</f>
        <v/>
      </c>
      <c r="Q29" s="13">
        <f>IFERROR(SUMPRODUCT((Loan_Snapshot!$B$5:$B$256=$A29)*Loan_Snapshot!$I$5:$I$256*Loan_Snapshot!$CH$5:$CH$256)/$C29,0)</f>
        <v/>
      </c>
      <c r="R29" s="13">
        <f>IFERROR(SUMPRODUCT((Loan_Snapshot!$B$5:$B$256=$A29)*Loan_Snapshot!$I$5:$I$256*Loan_Snapshot!$CI$5:$CI$256)/$C29,0)</f>
        <v/>
      </c>
      <c r="S29" s="13">
        <f>IFERROR(SUMPRODUCT((Loan_Snapshot!$B$5:$B$256=$A29)*Loan_Snapshot!$I$5:$I$256*Loan_Snapshot!$CJ$5:$CJ$256)/$C29,0)</f>
        <v/>
      </c>
      <c r="T29" s="13">
        <f>IFERROR(SUMPRODUCT((Loan_Snapshot!$B$5:$B$256=$A29)*Loan_Snapshot!$I$5:$I$256*Loan_Snapshot!$CK$5:$CK$256)/$C29,0)</f>
        <v/>
      </c>
      <c r="U29" s="13">
        <f>IFERROR(SUMPRODUCT((Loan_Snapshot!$B$5:$B$256=$A29)*Loan_Snapshot!$I$5:$I$256*Loan_Snapshot!$CL$5:$CL$256)/$C29,0)</f>
        <v/>
      </c>
      <c r="V29" s="13">
        <f>IFERROR(SUMPRODUCT((Loan_Snapshot!$B$5:$B$256=$A29)*Loan_Snapshot!$I$5:$I$256*Loan_Snapshot!$CM$5:$CM$256)/$C29,0)</f>
        <v/>
      </c>
      <c r="W29" s="13">
        <f>IFERROR(SUMPRODUCT((Loan_Snapshot!$B$5:$B$256=$A29)*Loan_Snapshot!$I$5:$I$256*Loan_Snapshot!$CN$5:$CN$256)/$C29,0)</f>
        <v/>
      </c>
      <c r="X29" s="13">
        <f>IFERROR(SUMPRODUCT((Loan_Snapshot!$B$5:$B$256=$A29)*Loan_Snapshot!$I$5:$I$256*Loan_Snapshot!$CO$5:$CO$256)/$C29,0)</f>
        <v/>
      </c>
      <c r="Y29" s="13">
        <f>IFERROR(SUMPRODUCT((Loan_Snapshot!$B$5:$B$256=$A29)*Loan_Snapshot!$I$5:$I$256*Loan_Snapshot!$CP$5:$CP$256)/$C29,0)</f>
        <v/>
      </c>
      <c r="Z29" s="13">
        <f>IFERROR(SUMPRODUCT((Loan_Snapshot!$B$5:$B$256=$A29)*Loan_Snapshot!$I$5:$I$256*Loan_Snapshot!$CQ$5:$CQ$256)/$C29,0)</f>
        <v/>
      </c>
      <c r="AA29" s="13">
        <f>IFERROR(SUMPRODUCT((Loan_Snapshot!$B$5:$B$256=$A29)*Loan_Snapshot!$I$5:$I$256*Loan_Snapshot!$CR$5:$CR$256)/$C29,0)</f>
        <v/>
      </c>
      <c r="AB29" s="13">
        <f>IFERROR(SUMPRODUCT((Loan_Snapshot!$B$5:$B$256=$A29)*Loan_Snapshot!$I$5:$I$256*Loan_Snapshot!$CS$5:$CS$256)/$C29,0)</f>
        <v/>
      </c>
      <c r="AC29" s="29">
        <f>BASELINE_CPR+SUM(E29:AB29)-$D29</f>
        <v/>
      </c>
    </row>
    <row r="30">
      <c r="A30" s="2" t="inlineStr">
        <is>
          <t>NORTHMARQ_PRE21</t>
        </is>
      </c>
      <c r="B30">
        <f>COUNTIF(Loan_Snapshot!$B$5:$B$256,$A30)</f>
        <v/>
      </c>
      <c r="C30" s="22">
        <f>SUMIF(Loan_Snapshot!$B$5:$B$256,$A30,Loan_Snapshot!$I$5:$I$256)</f>
        <v/>
      </c>
      <c r="D30" s="13">
        <f>IFERROR(SUMPRODUCT((Loan_Snapshot!$B$5:$B$256=$A30)*Loan_Snapshot!$I$5:$I$256*Loan_Snapshot!$BU$5:$BU$256)/$C30,0)</f>
        <v/>
      </c>
      <c r="E30" s="13">
        <f>IFERROR(SUMPRODUCT((Loan_Snapshot!$B$5:$B$256=$A30)*Loan_Snapshot!$I$5:$I$256*Loan_Snapshot!$BV$5:$BV$256)/$C30,0)</f>
        <v/>
      </c>
      <c r="F30" s="13">
        <f>IFERROR(SUMPRODUCT((Loan_Snapshot!$B$5:$B$256=$A30)*Loan_Snapshot!$I$5:$I$256*Loan_Snapshot!$BW$5:$BW$256)/$C30,0)</f>
        <v/>
      </c>
      <c r="G30" s="13">
        <f>IFERROR(SUMPRODUCT((Loan_Snapshot!$B$5:$B$256=$A30)*Loan_Snapshot!$I$5:$I$256*Loan_Snapshot!$BX$5:$BX$256)/$C30,0)</f>
        <v/>
      </c>
      <c r="H30" s="13">
        <f>IFERROR(SUMPRODUCT((Loan_Snapshot!$B$5:$B$256=$A30)*Loan_Snapshot!$I$5:$I$256*Loan_Snapshot!$BY$5:$BY$256)/$C30,0)</f>
        <v/>
      </c>
      <c r="I30" s="13">
        <f>IFERROR(SUMPRODUCT((Loan_Snapshot!$B$5:$B$256=$A30)*Loan_Snapshot!$I$5:$I$256*Loan_Snapshot!$BZ$5:$BZ$256)/$C30,0)</f>
        <v/>
      </c>
      <c r="J30" s="13">
        <f>IFERROR(SUMPRODUCT((Loan_Snapshot!$B$5:$B$256=$A30)*Loan_Snapshot!$I$5:$I$256*Loan_Snapshot!$CA$5:$CA$256)/$C30,0)</f>
        <v/>
      </c>
      <c r="K30" s="13">
        <f>IFERROR(SUMPRODUCT((Loan_Snapshot!$B$5:$B$256=$A30)*Loan_Snapshot!$I$5:$I$256*Loan_Snapshot!$CB$5:$CB$256)/$C30,0)</f>
        <v/>
      </c>
      <c r="L30" s="13">
        <f>IFERROR(SUMPRODUCT((Loan_Snapshot!$B$5:$B$256=$A30)*Loan_Snapshot!$I$5:$I$256*Loan_Snapshot!$CC$5:$CC$256)/$C30,0)</f>
        <v/>
      </c>
      <c r="M30" s="13">
        <f>IFERROR(SUMPRODUCT((Loan_Snapshot!$B$5:$B$256=$A30)*Loan_Snapshot!$I$5:$I$256*Loan_Snapshot!$CD$5:$CD$256)/$C30,0)</f>
        <v/>
      </c>
      <c r="N30" s="13">
        <f>IFERROR(SUMPRODUCT((Loan_Snapshot!$B$5:$B$256=$A30)*Loan_Snapshot!$I$5:$I$256*Loan_Snapshot!$CE$5:$CE$256)/$C30,0)</f>
        <v/>
      </c>
      <c r="O30" s="13">
        <f>IFERROR(SUMPRODUCT((Loan_Snapshot!$B$5:$B$256=$A30)*Loan_Snapshot!$I$5:$I$256*Loan_Snapshot!$CF$5:$CF$256)/$C30,0)</f>
        <v/>
      </c>
      <c r="P30" s="13">
        <f>IFERROR(SUMPRODUCT((Loan_Snapshot!$B$5:$B$256=$A30)*Loan_Snapshot!$I$5:$I$256*Loan_Snapshot!$CG$5:$CG$256)/$C30,0)</f>
        <v/>
      </c>
      <c r="Q30" s="13">
        <f>IFERROR(SUMPRODUCT((Loan_Snapshot!$B$5:$B$256=$A30)*Loan_Snapshot!$I$5:$I$256*Loan_Snapshot!$CH$5:$CH$256)/$C30,0)</f>
        <v/>
      </c>
      <c r="R30" s="13">
        <f>IFERROR(SUMPRODUCT((Loan_Snapshot!$B$5:$B$256=$A30)*Loan_Snapshot!$I$5:$I$256*Loan_Snapshot!$CI$5:$CI$256)/$C30,0)</f>
        <v/>
      </c>
      <c r="S30" s="13">
        <f>IFERROR(SUMPRODUCT((Loan_Snapshot!$B$5:$B$256=$A30)*Loan_Snapshot!$I$5:$I$256*Loan_Snapshot!$CJ$5:$CJ$256)/$C30,0)</f>
        <v/>
      </c>
      <c r="T30" s="13">
        <f>IFERROR(SUMPRODUCT((Loan_Snapshot!$B$5:$B$256=$A30)*Loan_Snapshot!$I$5:$I$256*Loan_Snapshot!$CK$5:$CK$256)/$C30,0)</f>
        <v/>
      </c>
      <c r="U30" s="13">
        <f>IFERROR(SUMPRODUCT((Loan_Snapshot!$B$5:$B$256=$A30)*Loan_Snapshot!$I$5:$I$256*Loan_Snapshot!$CL$5:$CL$256)/$C30,0)</f>
        <v/>
      </c>
      <c r="V30" s="13">
        <f>IFERROR(SUMPRODUCT((Loan_Snapshot!$B$5:$B$256=$A30)*Loan_Snapshot!$I$5:$I$256*Loan_Snapshot!$CM$5:$CM$256)/$C30,0)</f>
        <v/>
      </c>
      <c r="W30" s="13">
        <f>IFERROR(SUMPRODUCT((Loan_Snapshot!$B$5:$B$256=$A30)*Loan_Snapshot!$I$5:$I$256*Loan_Snapshot!$CN$5:$CN$256)/$C30,0)</f>
        <v/>
      </c>
      <c r="X30" s="13">
        <f>IFERROR(SUMPRODUCT((Loan_Snapshot!$B$5:$B$256=$A30)*Loan_Snapshot!$I$5:$I$256*Loan_Snapshot!$CO$5:$CO$256)/$C30,0)</f>
        <v/>
      </c>
      <c r="Y30" s="13">
        <f>IFERROR(SUMPRODUCT((Loan_Snapshot!$B$5:$B$256=$A30)*Loan_Snapshot!$I$5:$I$256*Loan_Snapshot!$CP$5:$CP$256)/$C30,0)</f>
        <v/>
      </c>
      <c r="Z30" s="13">
        <f>IFERROR(SUMPRODUCT((Loan_Snapshot!$B$5:$B$256=$A30)*Loan_Snapshot!$I$5:$I$256*Loan_Snapshot!$CQ$5:$CQ$256)/$C30,0)</f>
        <v/>
      </c>
      <c r="AA30" s="13">
        <f>IFERROR(SUMPRODUCT((Loan_Snapshot!$B$5:$B$256=$A30)*Loan_Snapshot!$I$5:$I$256*Loan_Snapshot!$CR$5:$CR$256)/$C30,0)</f>
        <v/>
      </c>
      <c r="AB30" s="13">
        <f>IFERROR(SUMPRODUCT((Loan_Snapshot!$B$5:$B$256=$A30)*Loan_Snapshot!$I$5:$I$256*Loan_Snapshot!$CS$5:$CS$256)/$C30,0)</f>
        <v/>
      </c>
      <c r="AC30" s="29">
        <f>BASELINE_CPR+SUM(E30:AB30)-$D30</f>
        <v/>
      </c>
    </row>
    <row r="31">
      <c r="A31" s="2" t="inlineStr">
        <is>
          <t>PNC_POST21</t>
        </is>
      </c>
      <c r="B31">
        <f>COUNTIF(Loan_Snapshot!$B$5:$B$256,$A31)</f>
        <v/>
      </c>
      <c r="C31" s="22">
        <f>SUMIF(Loan_Snapshot!$B$5:$B$256,$A31,Loan_Snapshot!$I$5:$I$256)</f>
        <v/>
      </c>
      <c r="D31" s="13">
        <f>IFERROR(SUMPRODUCT((Loan_Snapshot!$B$5:$B$256=$A31)*Loan_Snapshot!$I$5:$I$256*Loan_Snapshot!$BU$5:$BU$256)/$C31,0)</f>
        <v/>
      </c>
      <c r="E31" s="13">
        <f>IFERROR(SUMPRODUCT((Loan_Snapshot!$B$5:$B$256=$A31)*Loan_Snapshot!$I$5:$I$256*Loan_Snapshot!$BV$5:$BV$256)/$C31,0)</f>
        <v/>
      </c>
      <c r="F31" s="13">
        <f>IFERROR(SUMPRODUCT((Loan_Snapshot!$B$5:$B$256=$A31)*Loan_Snapshot!$I$5:$I$256*Loan_Snapshot!$BW$5:$BW$256)/$C31,0)</f>
        <v/>
      </c>
      <c r="G31" s="13">
        <f>IFERROR(SUMPRODUCT((Loan_Snapshot!$B$5:$B$256=$A31)*Loan_Snapshot!$I$5:$I$256*Loan_Snapshot!$BX$5:$BX$256)/$C31,0)</f>
        <v/>
      </c>
      <c r="H31" s="13">
        <f>IFERROR(SUMPRODUCT((Loan_Snapshot!$B$5:$B$256=$A31)*Loan_Snapshot!$I$5:$I$256*Loan_Snapshot!$BY$5:$BY$256)/$C31,0)</f>
        <v/>
      </c>
      <c r="I31" s="13">
        <f>IFERROR(SUMPRODUCT((Loan_Snapshot!$B$5:$B$256=$A31)*Loan_Snapshot!$I$5:$I$256*Loan_Snapshot!$BZ$5:$BZ$256)/$C31,0)</f>
        <v/>
      </c>
      <c r="J31" s="13">
        <f>IFERROR(SUMPRODUCT((Loan_Snapshot!$B$5:$B$256=$A31)*Loan_Snapshot!$I$5:$I$256*Loan_Snapshot!$CA$5:$CA$256)/$C31,0)</f>
        <v/>
      </c>
      <c r="K31" s="13">
        <f>IFERROR(SUMPRODUCT((Loan_Snapshot!$B$5:$B$256=$A31)*Loan_Snapshot!$I$5:$I$256*Loan_Snapshot!$CB$5:$CB$256)/$C31,0)</f>
        <v/>
      </c>
      <c r="L31" s="13">
        <f>IFERROR(SUMPRODUCT((Loan_Snapshot!$B$5:$B$256=$A31)*Loan_Snapshot!$I$5:$I$256*Loan_Snapshot!$CC$5:$CC$256)/$C31,0)</f>
        <v/>
      </c>
      <c r="M31" s="13">
        <f>IFERROR(SUMPRODUCT((Loan_Snapshot!$B$5:$B$256=$A31)*Loan_Snapshot!$I$5:$I$256*Loan_Snapshot!$CD$5:$CD$256)/$C31,0)</f>
        <v/>
      </c>
      <c r="N31" s="13">
        <f>IFERROR(SUMPRODUCT((Loan_Snapshot!$B$5:$B$256=$A31)*Loan_Snapshot!$I$5:$I$256*Loan_Snapshot!$CE$5:$CE$256)/$C31,0)</f>
        <v/>
      </c>
      <c r="O31" s="13">
        <f>IFERROR(SUMPRODUCT((Loan_Snapshot!$B$5:$B$256=$A31)*Loan_Snapshot!$I$5:$I$256*Loan_Snapshot!$CF$5:$CF$256)/$C31,0)</f>
        <v/>
      </c>
      <c r="P31" s="13">
        <f>IFERROR(SUMPRODUCT((Loan_Snapshot!$B$5:$B$256=$A31)*Loan_Snapshot!$I$5:$I$256*Loan_Snapshot!$CG$5:$CG$256)/$C31,0)</f>
        <v/>
      </c>
      <c r="Q31" s="13">
        <f>IFERROR(SUMPRODUCT((Loan_Snapshot!$B$5:$B$256=$A31)*Loan_Snapshot!$I$5:$I$256*Loan_Snapshot!$CH$5:$CH$256)/$C31,0)</f>
        <v/>
      </c>
      <c r="R31" s="13">
        <f>IFERROR(SUMPRODUCT((Loan_Snapshot!$B$5:$B$256=$A31)*Loan_Snapshot!$I$5:$I$256*Loan_Snapshot!$CI$5:$CI$256)/$C31,0)</f>
        <v/>
      </c>
      <c r="S31" s="13">
        <f>IFERROR(SUMPRODUCT((Loan_Snapshot!$B$5:$B$256=$A31)*Loan_Snapshot!$I$5:$I$256*Loan_Snapshot!$CJ$5:$CJ$256)/$C31,0)</f>
        <v/>
      </c>
      <c r="T31" s="13">
        <f>IFERROR(SUMPRODUCT((Loan_Snapshot!$B$5:$B$256=$A31)*Loan_Snapshot!$I$5:$I$256*Loan_Snapshot!$CK$5:$CK$256)/$C31,0)</f>
        <v/>
      </c>
      <c r="U31" s="13">
        <f>IFERROR(SUMPRODUCT((Loan_Snapshot!$B$5:$B$256=$A31)*Loan_Snapshot!$I$5:$I$256*Loan_Snapshot!$CL$5:$CL$256)/$C31,0)</f>
        <v/>
      </c>
      <c r="V31" s="13">
        <f>IFERROR(SUMPRODUCT((Loan_Snapshot!$B$5:$B$256=$A31)*Loan_Snapshot!$I$5:$I$256*Loan_Snapshot!$CM$5:$CM$256)/$C31,0)</f>
        <v/>
      </c>
      <c r="W31" s="13">
        <f>IFERROR(SUMPRODUCT((Loan_Snapshot!$B$5:$B$256=$A31)*Loan_Snapshot!$I$5:$I$256*Loan_Snapshot!$CN$5:$CN$256)/$C31,0)</f>
        <v/>
      </c>
      <c r="X31" s="13">
        <f>IFERROR(SUMPRODUCT((Loan_Snapshot!$B$5:$B$256=$A31)*Loan_Snapshot!$I$5:$I$256*Loan_Snapshot!$CO$5:$CO$256)/$C31,0)</f>
        <v/>
      </c>
      <c r="Y31" s="13">
        <f>IFERROR(SUMPRODUCT((Loan_Snapshot!$B$5:$B$256=$A31)*Loan_Snapshot!$I$5:$I$256*Loan_Snapshot!$CP$5:$CP$256)/$C31,0)</f>
        <v/>
      </c>
      <c r="Z31" s="13">
        <f>IFERROR(SUMPRODUCT((Loan_Snapshot!$B$5:$B$256=$A31)*Loan_Snapshot!$I$5:$I$256*Loan_Snapshot!$CQ$5:$CQ$256)/$C31,0)</f>
        <v/>
      </c>
      <c r="AA31" s="13">
        <f>IFERROR(SUMPRODUCT((Loan_Snapshot!$B$5:$B$256=$A31)*Loan_Snapshot!$I$5:$I$256*Loan_Snapshot!$CR$5:$CR$256)/$C31,0)</f>
        <v/>
      </c>
      <c r="AB31" s="13">
        <f>IFERROR(SUMPRODUCT((Loan_Snapshot!$B$5:$B$256=$A31)*Loan_Snapshot!$I$5:$I$256*Loan_Snapshot!$CS$5:$CS$256)/$C31,0)</f>
        <v/>
      </c>
      <c r="AC31" s="29">
        <f>BASELINE_CPR+SUM(E31:AB31)-$D31</f>
        <v/>
      </c>
    </row>
    <row r="34">
      <c r="A34" s="30" t="inlineStr">
        <is>
          <t>ALL LOANS (snapshot total)</t>
        </is>
      </c>
      <c r="B34" s="31">
        <f>COUNTA(Loan_Snapshot!$A$5:$A$256)</f>
        <v/>
      </c>
      <c r="C34" s="32">
        <f>SUM(Loan_Snapshot!$I$5:$I$256)</f>
        <v/>
      </c>
      <c r="D34" s="33">
        <f>SUMPRODUCT(Loan_Snapshot!$I$5:$I$256*Loan_Snapshot!$BU$5:$BU$256)/$C34</f>
        <v/>
      </c>
      <c r="E34" s="33">
        <f>SUMPRODUCT(Loan_Snapshot!$I$5:$I$256*Loan_Snapshot!$BV$5:$BV$256)/$C34</f>
        <v/>
      </c>
      <c r="F34" s="33">
        <f>SUMPRODUCT(Loan_Snapshot!$I$5:$I$256*Loan_Snapshot!$BW$5:$BW$256)/$C34</f>
        <v/>
      </c>
      <c r="G34" s="33">
        <f>SUMPRODUCT(Loan_Snapshot!$I$5:$I$256*Loan_Snapshot!$BX$5:$BX$256)/$C34</f>
        <v/>
      </c>
      <c r="H34" s="33">
        <f>SUMPRODUCT(Loan_Snapshot!$I$5:$I$256*Loan_Snapshot!$BY$5:$BY$256)/$C34</f>
        <v/>
      </c>
      <c r="I34" s="33">
        <f>SUMPRODUCT(Loan_Snapshot!$I$5:$I$256*Loan_Snapshot!$BZ$5:$BZ$256)/$C34</f>
        <v/>
      </c>
      <c r="J34" s="33">
        <f>SUMPRODUCT(Loan_Snapshot!$I$5:$I$256*Loan_Snapshot!$CA$5:$CA$256)/$C34</f>
        <v/>
      </c>
      <c r="K34" s="33">
        <f>SUMPRODUCT(Loan_Snapshot!$I$5:$I$256*Loan_Snapshot!$CB$5:$CB$256)/$C34</f>
        <v/>
      </c>
      <c r="L34" s="33">
        <f>SUMPRODUCT(Loan_Snapshot!$I$5:$I$256*Loan_Snapshot!$CC$5:$CC$256)/$C34</f>
        <v/>
      </c>
      <c r="M34" s="33">
        <f>SUMPRODUCT(Loan_Snapshot!$I$5:$I$256*Loan_Snapshot!$CD$5:$CD$256)/$C34</f>
        <v/>
      </c>
      <c r="N34" s="33">
        <f>SUMPRODUCT(Loan_Snapshot!$I$5:$I$256*Loan_Snapshot!$CE$5:$CE$256)/$C34</f>
        <v/>
      </c>
      <c r="O34" s="33">
        <f>SUMPRODUCT(Loan_Snapshot!$I$5:$I$256*Loan_Snapshot!$CF$5:$CF$256)/$C34</f>
        <v/>
      </c>
      <c r="P34" s="33">
        <f>SUMPRODUCT(Loan_Snapshot!$I$5:$I$256*Loan_Snapshot!$CG$5:$CG$256)/$C34</f>
        <v/>
      </c>
      <c r="Q34" s="33">
        <f>SUMPRODUCT(Loan_Snapshot!$I$5:$I$256*Loan_Snapshot!$CH$5:$CH$256)/$C34</f>
        <v/>
      </c>
      <c r="R34" s="33">
        <f>SUMPRODUCT(Loan_Snapshot!$I$5:$I$256*Loan_Snapshot!$CI$5:$CI$256)/$C34</f>
        <v/>
      </c>
      <c r="S34" s="33">
        <f>SUMPRODUCT(Loan_Snapshot!$I$5:$I$256*Loan_Snapshot!$CJ$5:$CJ$256)/$C34</f>
        <v/>
      </c>
      <c r="T34" s="33">
        <f>SUMPRODUCT(Loan_Snapshot!$I$5:$I$256*Loan_Snapshot!$CK$5:$CK$256)/$C34</f>
        <v/>
      </c>
      <c r="U34" s="33">
        <f>SUMPRODUCT(Loan_Snapshot!$I$5:$I$256*Loan_Snapshot!$CL$5:$CL$256)/$C34</f>
        <v/>
      </c>
      <c r="V34" s="33">
        <f>SUMPRODUCT(Loan_Snapshot!$I$5:$I$256*Loan_Snapshot!$CM$5:$CM$256)/$C34</f>
        <v/>
      </c>
      <c r="W34" s="33">
        <f>SUMPRODUCT(Loan_Snapshot!$I$5:$I$256*Loan_Snapshot!$CN$5:$CN$256)/$C34</f>
        <v/>
      </c>
      <c r="X34" s="33">
        <f>SUMPRODUCT(Loan_Snapshot!$I$5:$I$256*Loan_Snapshot!$CO$5:$CO$256)/$C34</f>
        <v/>
      </c>
      <c r="Y34" s="33">
        <f>SUMPRODUCT(Loan_Snapshot!$I$5:$I$256*Loan_Snapshot!$CP$5:$CP$256)/$C34</f>
        <v/>
      </c>
      <c r="Z34" s="33">
        <f>SUMPRODUCT(Loan_Snapshot!$I$5:$I$256*Loan_Snapshot!$CQ$5:$CQ$256)/$C34</f>
        <v/>
      </c>
      <c r="AA34" s="33">
        <f>SUMPRODUCT(Loan_Snapshot!$I$5:$I$256*Loan_Snapshot!$CR$5:$CR$256)/$C34</f>
        <v/>
      </c>
      <c r="AB34" s="33">
        <f>SUMPRODUCT(Loan_Snapshot!$I$5:$I$256*Loan_Snapshot!$CS$5:$CS$256)/$C34</f>
        <v/>
      </c>
      <c r="AC34" s="34">
        <f>BASELINE_CPR+SUM(E34:AB34)-$D34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2026-05-05T12:27:33Z</dcterms:created>
  <dcterms:modified xsi:type="dcterms:W3CDTF">2026-05-05T12:27:33Z</dcterms:modified>
</cp:coreProperties>
</file>