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ultiplier_Params" sheetId="2" state="visible" r:id="rId2"/>
    <sheet name="Lookups" sheetId="3" state="visible" r:id="rId3"/>
    <sheet name="Loan_Snapshot" sheetId="4" state="visible" r:id="rId4"/>
    <sheet name="Deal_Aggregator" sheetId="5" state="visible" r:id="rId5"/>
    <sheet name="Benchmarks" sheetId="6" state="visible" r:id="rId6"/>
  </sheets>
  <definedNames>
    <definedName name="V7_BASE_SMM">Multiplier_Params!$B$5</definedName>
    <definedName name="V7_SMM_CAP">Multiplier_Params!$B$6</definedName>
    <definedName name="V7_AGE_KNOT_Y_0">Multiplier_Params!$B$9</definedName>
    <definedName name="V7_AGE_KNOT_Y_1">Multiplier_Params!$B$10</definedName>
    <definedName name="V7_AGE_KNOT_Y_2">Multiplier_Params!$B$11</definedName>
    <definedName name="V7_AGE_KNOT_Y_3">Multiplier_Params!$B$12</definedName>
    <definedName name="V7_AGE_KNOT_Y_4">Multiplier_Params!$B$13</definedName>
    <definedName name="V7_AGE_KNOT_Y_5">Multiplier_Params!$B$14</definedName>
    <definedName name="V7_AGE_KNOT_X_0">Multiplier_Params!$B$16</definedName>
    <definedName name="V7_AGE_KNOT_X_1">Multiplier_Params!$B$17</definedName>
    <definedName name="V7_AGE_KNOT_X_2">Multiplier_Params!$B$18</definedName>
    <definedName name="V7_AGE_KNOT_X_3">Multiplier_Params!$B$19</definedName>
    <definedName name="V7_AGE_KNOT_X_4">Multiplier_Params!$B$20</definedName>
    <definedName name="V7_AGE_KNOT_X_5">Multiplier_Params!$B$21</definedName>
    <definedName name="V7_RATE_FLOOR">Multiplier_Params!$B$24</definedName>
    <definedName name="V7_RATE_ASYMPTOTE">Multiplier_Params!$B$25</definedName>
    <definedName name="V7_RATE_MID">Multiplier_Params!$B$26</definedName>
    <definedName name="V7_RATE_SLOPE">Multiplier_Params!$B$27</definedName>
    <definedName name="V7_SIZE_INTERCEPT">Multiplier_Params!$B$30</definedName>
    <definedName name="V7_SIZE_SLOPE">Multiplier_Params!$B$31</definedName>
    <definedName name="V7_SIZE_LOG_ANCHOR">Multiplier_Params!$B$32</definedName>
    <definedName name="V7_SIZE_LOW">Multiplier_Params!$B$33</definedName>
    <definedName name="V7_SIZE_HIGH">Multiplier_Params!$B$34</definedName>
    <definedName name="V7_PURPOSE_NC_BUMP">Multiplier_Params!$B$37</definedName>
    <definedName name="V7_PURPOSE_PEAK_AGE">Multiplier_Params!$B$38</definedName>
    <definedName name="V7_PURPOSE_WIDTH">Multiplier_Params!$B$39</definedName>
    <definedName name="V7_LOCKOUT_AMP">Multiplier_Params!$B$42</definedName>
    <definedName name="V7_LOCKOUT_TAU">Multiplier_Params!$B$43</definedName>
    <definedName name="V7_MTY_AMP">Multiplier_Params!$B$46</definedName>
    <definedName name="V7_MTY_CUTOFF">Multiplier_Params!$B$47</definedName>
    <definedName name="V7_BURN_FLOOR">Multiplier_Params!$B$50</definedName>
    <definedName name="V7_BURN_SLOPE">Multiplier_Params!$B$51</definedName>
    <definedName name="V7_USE_ISSUER">Multiplier_Params!$B$54</definedName>
    <definedName name="V7_TEST_AUC">Multiplier_Params!$B$57</definedName>
    <definedName name="V7_TEST_LL">Multiplier_Params!$B$58</definedName>
    <definedName name="V7_BASE_CPR">Multiplier_Params!$B$59</definedName>
    <definedName name="V7_PANEL_ACTUAL">Multiplier_Params!$B$60</definedName>
    <definedName name="V7_MAX_CPR">Multiplier_Params!$B$61</definedName>
    <definedName name="V7_PROGRAM_TABLE">Lookups!$A$5:$B$9</definedName>
    <definedName name="V7_PROGRAM_DEFAULT">Lookups!$B$9</definedName>
    <definedName name="V7_ISSUER_TABLE">Lookups!$E$5:$G$34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000"/>
    <numFmt numFmtId="165" formatCode="0.0000"/>
    <numFmt numFmtId="166" formatCode="0.000000"/>
    <numFmt numFmtId="167" formatCode="0.00000"/>
    <numFmt numFmtId="168" formatCode="0.000"/>
    <numFmt numFmtId="169" formatCode="0.0"/>
    <numFmt numFmtId="170" formatCode="0.000000%"/>
  </numFmts>
  <fonts count="7">
    <font>
      <name val="Calibri"/>
      <family val="2"/>
      <color theme="1"/>
      <sz val="11"/>
      <scheme val="minor"/>
    </font>
    <font>
      <b val="1"/>
    </font>
    <font>
      <name val="Consolas"/>
    </font>
    <font>
      <b val="1"/>
      <sz val="14"/>
    </font>
    <font>
      <i val="1"/>
      <color rgb="006B7280"/>
    </font>
    <font>
      <b val="1"/>
      <color rgb="00FFFFFF"/>
    </font>
    <font>
      <b val="1"/>
      <color rgb="00991B1B"/>
    </font>
  </fonts>
  <fills count="13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064E3B"/>
      </patternFill>
    </fill>
    <fill>
      <patternFill patternType="solid">
        <fgColor rgb="00312E81"/>
      </patternFill>
    </fill>
    <fill>
      <patternFill patternType="solid">
        <fgColor rgb="0092400E"/>
      </patternFill>
    </fill>
    <fill>
      <patternFill patternType="solid">
        <fgColor rgb="009D174D"/>
      </patternFill>
    </fill>
    <fill>
      <patternFill patternType="solid">
        <fgColor rgb="006B7280"/>
      </patternFill>
    </fill>
    <fill>
      <patternFill patternType="solid">
        <fgColor rgb="00FFEDD5"/>
      </patternFill>
    </fill>
    <fill>
      <patternFill patternType="solid">
        <fgColor rgb="00FECACA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2" fillId="2" borderId="0" pivotButton="0" quotePrefix="0" xfId="0"/>
    <xf numFmtId="165" fontId="2" fillId="2" borderId="0" pivotButton="0" quotePrefix="0" xfId="0"/>
    <xf numFmtId="1" fontId="2" fillId="0" borderId="0" pivotButton="0" quotePrefix="0" xfId="0"/>
    <xf numFmtId="2" fontId="2" fillId="2" borderId="0" pivotButton="0" quotePrefix="0" xfId="0"/>
    <xf numFmtId="166" fontId="2" fillId="2" borderId="0" pivotButton="0" quotePrefix="0" xfId="0"/>
    <xf numFmtId="0" fontId="2" fillId="2" borderId="0" pivotButton="0" quotePrefix="0" xfId="0"/>
    <xf numFmtId="167" fontId="2" fillId="2" borderId="0" pivotButton="0" quotePrefix="0" xfId="0"/>
    <xf numFmtId="10" fontId="2" fillId="2" borderId="0" pivotButton="0" quotePrefix="0" xfId="0"/>
    <xf numFmtId="0" fontId="5" fillId="3" borderId="0" pivotButton="0" quotePrefix="0" xfId="0"/>
    <xf numFmtId="165" fontId="2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3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170" fontId="0" fillId="0" borderId="0" pivotButton="0" quotePrefix="0" xfId="0"/>
    <xf numFmtId="0" fontId="1" fillId="10" borderId="0" pivotButton="0" quotePrefix="0" xfId="0"/>
    <xf numFmtId="0" fontId="0" fillId="10" borderId="0" pivotButton="0" quotePrefix="0" xfId="0"/>
    <xf numFmtId="3" fontId="0" fillId="10" borderId="0" pivotButton="0" quotePrefix="0" xfId="0"/>
    <xf numFmtId="10" fontId="0" fillId="10" borderId="0" pivotButton="0" quotePrefix="0" xfId="0"/>
    <xf numFmtId="170" fontId="0" fillId="10" borderId="0" pivotButton="0" quotePrefix="0" xfId="0"/>
    <xf numFmtId="2" fontId="0" fillId="0" borderId="0" pivotButton="0" quotePrefix="0" xfId="0"/>
    <xf numFmtId="0" fontId="6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V7 Voluntary Prepayment Calculator (multiplicative)</t>
        </is>
      </c>
    </row>
    <row r="2">
      <c r="A2" t="inlineStr"/>
    </row>
    <row r="3">
      <c r="A3" t="inlineStr">
        <is>
          <t>Test AUC: 0.7788   Test log-loss: 0.04232   Free params: 27</t>
        </is>
      </c>
    </row>
    <row r="4">
      <c r="A4" t="inlineStr">
        <is>
          <t>Training period: 201812 to 202602</t>
        </is>
      </c>
    </row>
    <row r="5">
      <c r="A5" t="inlineStr">
        <is>
          <t>Training events: 7,686 prepays in 982,361 loan-months</t>
        </is>
      </c>
    </row>
    <row r="6">
      <c r="A6" t="inlineStr">
        <is>
          <t>Max predicted CPR over full panel: 85.78%   (SMM cap: 0.150)</t>
        </is>
      </c>
    </row>
    <row r="7">
      <c r="A7" t="inlineStr"/>
    </row>
    <row r="8">
      <c r="A8" s="1" t="inlineStr">
        <is>
          <t>Architecture</t>
        </is>
      </c>
    </row>
    <row r="9">
      <c r="A9" s="2" t="inlineStr">
        <is>
          <t xml:space="preserve">  predicted_SMM = MIN(base_SMM × M_age × M_rate × M_size × M_program</t>
        </is>
      </c>
    </row>
    <row r="10">
      <c r="A10" s="2" t="inlineStr">
        <is>
          <t xml:space="preserve">                   × M_purpose × M_lockout × M_maturity × M_burnout, smm_cap)</t>
        </is>
      </c>
    </row>
    <row r="11">
      <c r="A11" s="2" t="inlineStr">
        <is>
          <t xml:space="preserve">  M_rate input = net_refi_bps = gross_refi_bps - 12.5 × (ppp + 1)  ← penalty bp-deductible</t>
        </is>
      </c>
    </row>
    <row r="12">
      <c r="A12" s="2" t="inlineStr">
        <is>
          <t xml:space="preserve">  predicted_CPR = 1 - (1 - predicted_SMM)^12</t>
        </is>
      </c>
    </row>
    <row r="13">
      <c r="A13" t="inlineStr"/>
    </row>
    <row r="14">
      <c r="A14" s="1" t="inlineStr">
        <is>
          <t>Tabs</t>
        </is>
      </c>
    </row>
    <row r="15">
      <c r="A15" t="inlineStr">
        <is>
          <t xml:space="preserve">  Multiplier_Params - 9 multipliers + base_SMM + smm_cap, all parameters editable</t>
        </is>
      </c>
    </row>
    <row r="16">
      <c r="A16" t="inlineStr">
        <is>
          <t xml:space="preserve">  Lookups           - categorical multipliers (program, purpose, issuer overlay)</t>
        </is>
      </c>
    </row>
    <row r="17">
      <c r="A17" t="inlineStr">
        <is>
          <t xml:space="preserve">  Loan_Snapshot     - per-loan inputs, 9 multiplier columns, capped SMM, CPR, log-attribution</t>
        </is>
      </c>
    </row>
    <row r="18">
      <c r="A18" t="inlineStr">
        <is>
          <t xml:space="preserve">  Deal_Aggregator   - UPB-weighted deal-level rollup</t>
        </is>
      </c>
    </row>
    <row r="19">
      <c r="A19" t="inlineStr">
        <is>
          <t xml:space="preserve">  Benchmarks        - SanCap reference grid (informational; flags divergences &gt; 10pp)</t>
        </is>
      </c>
    </row>
    <row r="20">
      <c r="A20" t="inlineStr"/>
    </row>
    <row r="21">
      <c r="A21" s="1" t="inlineStr">
        <is>
          <t>Math (multiplicative form)</t>
        </is>
      </c>
    </row>
    <row r="22">
      <c r="A22" s="2" t="inlineStr">
        <is>
          <t xml:space="preserve">  base_CPR     = 1 - (1 - base_SMM)^12</t>
        </is>
      </c>
    </row>
    <row r="23">
      <c r="A23" s="2" t="inlineStr">
        <is>
          <t xml:space="preserve">  log_mult_j   = LN(M_factor_j)</t>
        </is>
      </c>
    </row>
    <row r="24">
      <c r="A24" s="2" t="inlineStr">
        <is>
          <t xml:space="preserve">  attribution  = log_mult_j / SUM(log_mults) × (pred_CPR - base_CPR)</t>
        </is>
      </c>
    </row>
    <row r="25">
      <c r="A25" t="inlineStr"/>
    </row>
    <row r="26">
      <c r="A26" s="1" t="inlineStr">
        <is>
          <t>Issuer overlay (optional)</t>
        </is>
      </c>
    </row>
    <row r="27">
      <c r="A27" t="inlineStr">
        <is>
          <t xml:space="preserve">  USE_ISSUER_OVERLAY in Multiplier_Params: 0 (off, default) or 1 (on).</t>
        </is>
      </c>
    </row>
    <row r="28">
      <c r="A28" t="inlineStr">
        <is>
          <t xml:space="preserve">  When on, applies the empirical residual ratio from issuer_residuals.json as a 10th multiplier.</t>
        </is>
      </c>
    </row>
    <row r="29">
      <c r="A29" t="inlineStr">
        <is>
          <t xml:space="preserve">  Default 1.0 keeps the core model issuer-neutral.</t>
        </is>
      </c>
    </row>
    <row r="30">
      <c r="A30" t="inlineStr"/>
    </row>
    <row r="31">
      <c r="A31" s="1" t="inlineStr">
        <is>
          <t>Sanity check (column 'Sanity' in Loan_Snapshot)</t>
        </is>
      </c>
    </row>
    <row r="32">
      <c r="A32" s="2" t="inlineStr">
        <is>
          <t xml:space="preserve">  base_CPR + SUM(attribution) - pred_CPR  should be ≈ 0 (within rounding).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3" t="inlineStr">
        <is>
          <t>V7 Multiplier Parameters (edit at your own risk)</t>
        </is>
      </c>
    </row>
    <row r="2">
      <c r="A2" s="4" t="inlineStr">
        <is>
          <t>Each cell is referenced by name from Loan_Snapshot formulas. Editing cascades through.</t>
        </is>
      </c>
    </row>
    <row r="4">
      <c r="A4" s="1" t="inlineStr">
        <is>
          <t>Global</t>
        </is>
      </c>
    </row>
    <row r="5">
      <c r="A5" s="2" t="inlineStr">
        <is>
          <t>base_SMM</t>
        </is>
      </c>
      <c r="B5" s="5" t="n">
        <v>0.00471333574041012</v>
      </c>
    </row>
    <row r="6">
      <c r="A6" s="2" t="inlineStr">
        <is>
          <t>smm_cap</t>
        </is>
      </c>
      <c r="B6" s="6" t="n">
        <v>0.15</v>
      </c>
    </row>
    <row r="8">
      <c r="A8" s="1" t="inlineStr">
        <is>
          <t>M_age (piecewise linear, 6 knots)</t>
        </is>
      </c>
    </row>
    <row r="9">
      <c r="A9" s="2" t="inlineStr">
        <is>
          <t xml:space="preserve">  knot 0: x = 0m → y</t>
        </is>
      </c>
      <c r="B9" s="6" t="n">
        <v>0.3203961185078427</v>
      </c>
    </row>
    <row r="10">
      <c r="A10" s="2" t="inlineStr">
        <is>
          <t xml:space="preserve">  knot 1: x = 12m → y</t>
        </is>
      </c>
      <c r="B10" s="6" t="n">
        <v>0.3157037940481813</v>
      </c>
    </row>
    <row r="11">
      <c r="A11" s="2" t="inlineStr">
        <is>
          <t xml:space="preserve">  knot 2: x = 36m → y</t>
        </is>
      </c>
      <c r="B11" s="6" t="n">
        <v>0.7825344231343733</v>
      </c>
    </row>
    <row r="12">
      <c r="A12" s="2" t="inlineStr">
        <is>
          <t xml:space="preserve">  knot 3: x = 96m → y</t>
        </is>
      </c>
      <c r="B12" s="6" t="n">
        <v>1.396038509179185</v>
      </c>
    </row>
    <row r="13">
      <c r="A13" s="2" t="inlineStr">
        <is>
          <t xml:space="preserve">  knot 4: x = 180m → y</t>
        </is>
      </c>
      <c r="B13" s="6" t="n">
        <v>0.9314874869456753</v>
      </c>
    </row>
    <row r="14">
      <c r="A14" s="2" t="inlineStr">
        <is>
          <t xml:space="preserve">  knot 5: x = 360m → y</t>
        </is>
      </c>
      <c r="B14" s="6" t="n">
        <v>2.422391376027979</v>
      </c>
    </row>
    <row r="15">
      <c r="A15" s="2" t="inlineStr">
        <is>
          <t xml:space="preserve">  (knot_x values, frozen)</t>
        </is>
      </c>
    </row>
    <row r="16">
      <c r="A16" s="2" t="inlineStr">
        <is>
          <t xml:space="preserve">    knot_x_0</t>
        </is>
      </c>
      <c r="B16" s="7" t="n">
        <v>0</v>
      </c>
    </row>
    <row r="17">
      <c r="A17" s="2" t="inlineStr">
        <is>
          <t xml:space="preserve">    knot_x_1</t>
        </is>
      </c>
      <c r="B17" s="7" t="n">
        <v>12</v>
      </c>
    </row>
    <row r="18">
      <c r="A18" s="2" t="inlineStr">
        <is>
          <t xml:space="preserve">    knot_x_2</t>
        </is>
      </c>
      <c r="B18" s="7" t="n">
        <v>36</v>
      </c>
    </row>
    <row r="19">
      <c r="A19" s="2" t="inlineStr">
        <is>
          <t xml:space="preserve">    knot_x_3</t>
        </is>
      </c>
      <c r="B19" s="7" t="n">
        <v>96</v>
      </c>
    </row>
    <row r="20">
      <c r="A20" s="2" t="inlineStr">
        <is>
          <t xml:space="preserve">    knot_x_4</t>
        </is>
      </c>
      <c r="B20" s="7" t="n">
        <v>180</v>
      </c>
    </row>
    <row r="21">
      <c r="A21" s="2" t="inlineStr">
        <is>
          <t xml:space="preserve">    knot_x_5</t>
        </is>
      </c>
      <c r="B21" s="7" t="n">
        <v>360</v>
      </c>
    </row>
    <row r="23">
      <c r="A23" s="1" t="inlineStr">
        <is>
          <t>M_rate (sigmoid: floor + asymp/(1+exp(-(grf-mid)/slope)))</t>
        </is>
      </c>
    </row>
    <row r="24">
      <c r="A24" s="2" t="inlineStr">
        <is>
          <t xml:space="preserve">  floor</t>
        </is>
      </c>
      <c r="B24" s="6" t="n">
        <v>0.1615701021206774</v>
      </c>
    </row>
    <row r="25">
      <c r="A25" s="2" t="inlineStr">
        <is>
          <t xml:space="preserve">  asymptote</t>
        </is>
      </c>
      <c r="B25" s="6" t="n">
        <v>3.877418707801819</v>
      </c>
    </row>
    <row r="26">
      <c r="A26" s="2" t="inlineStr">
        <is>
          <t xml:space="preserve">  mid (bp)</t>
        </is>
      </c>
      <c r="B26" s="8" t="n">
        <v>126.9325992309115</v>
      </c>
    </row>
    <row r="27">
      <c r="A27" s="2" t="inlineStr">
        <is>
          <t xml:space="preserve">  slope</t>
        </is>
      </c>
      <c r="B27" s="6" t="n">
        <v>95.70656713156407</v>
      </c>
    </row>
    <row r="29">
      <c r="A29" s="1" t="inlineStr">
        <is>
          <t>M_size (smooth log on log_upb)</t>
        </is>
      </c>
    </row>
    <row r="30">
      <c r="A30" s="2" t="inlineStr">
        <is>
          <t xml:space="preserve">  intercept</t>
        </is>
      </c>
      <c r="B30" s="6" t="n">
        <v>0.6420933591874611</v>
      </c>
    </row>
    <row r="31">
      <c r="A31" s="2" t="inlineStr">
        <is>
          <t xml:space="preserve">  slope</t>
        </is>
      </c>
      <c r="B31" s="9" t="n">
        <v>0.4460360908471153</v>
      </c>
    </row>
    <row r="32">
      <c r="A32" s="2" t="inlineStr">
        <is>
          <t xml:space="preserve">  log_upb_anchor</t>
        </is>
      </c>
      <c r="B32" s="9" t="n">
        <v>14.5086582385241</v>
      </c>
    </row>
    <row r="33">
      <c r="A33" s="2" t="inlineStr">
        <is>
          <t xml:space="preserve">  low (clip)</t>
        </is>
      </c>
      <c r="B33" s="6" t="n">
        <v>0.393845367653235</v>
      </c>
    </row>
    <row r="34">
      <c r="A34" s="2" t="inlineStr">
        <is>
          <t xml:space="preserve">  high (clip)</t>
        </is>
      </c>
      <c r="B34" s="6" t="n">
        <v>1.417843323551646</v>
      </c>
    </row>
    <row r="36">
      <c r="A36" s="1" t="inlineStr">
        <is>
          <t>M_purpose (NC triangular hump centered at peak_age)</t>
        </is>
      </c>
    </row>
    <row r="37">
      <c r="A37" s="2" t="inlineStr">
        <is>
          <t xml:space="preserve">  NC_bump</t>
        </is>
      </c>
      <c r="B37" s="6" t="n">
        <v>1.045405675467012</v>
      </c>
    </row>
    <row r="38">
      <c r="A38" s="2" t="inlineStr">
        <is>
          <t xml:space="preserve">  peak_age</t>
        </is>
      </c>
      <c r="B38" s="8" t="n">
        <v>39.47825869188048</v>
      </c>
    </row>
    <row r="39">
      <c r="A39" s="2" t="inlineStr">
        <is>
          <t xml:space="preserve">  width</t>
        </is>
      </c>
      <c r="B39" s="8" t="n">
        <v>14.47822845758611</v>
      </c>
    </row>
    <row r="41">
      <c r="A41" s="1" t="inlineStr">
        <is>
          <t>M_lockout (1 + amp*exp(-msle/tau) for msle ∈ (0,12])</t>
        </is>
      </c>
    </row>
    <row r="42">
      <c r="A42" s="2" t="inlineStr">
        <is>
          <t xml:space="preserve">  amplitude</t>
        </is>
      </c>
      <c r="B42" s="6" t="n">
        <v>4</v>
      </c>
    </row>
    <row r="43">
      <c r="A43" s="2" t="inlineStr">
        <is>
          <t xml:space="preserve">  tau</t>
        </is>
      </c>
      <c r="B43" s="6" t="n">
        <v>1.755298172709846</v>
      </c>
    </row>
    <row r="45">
      <c r="A45" s="1" t="inlineStr">
        <is>
          <t>M_maturity (1 + amp*max(0, (cutoff-mtm)/cutoff))</t>
        </is>
      </c>
    </row>
    <row r="46">
      <c r="A46" s="2" t="inlineStr">
        <is>
          <t xml:space="preserve">  amplitude</t>
        </is>
      </c>
      <c r="B46" s="6" t="n">
        <v>8</v>
      </c>
    </row>
    <row r="47">
      <c r="A47" s="2" t="inlineStr">
        <is>
          <t xml:space="preserve">  cutoff</t>
        </is>
      </c>
      <c r="B47" s="8" t="n">
        <v>12.30980832137962</v>
      </c>
    </row>
    <row r="49">
      <c r="A49" s="1" t="inlineStr">
        <is>
          <t>M_burnout (max(floor, 1 - slope*burn_ratio))</t>
        </is>
      </c>
    </row>
    <row r="50">
      <c r="A50" s="2" t="inlineStr">
        <is>
          <t xml:space="preserve">  floor</t>
        </is>
      </c>
      <c r="B50" s="6" t="n">
        <v>0.5000000000000001</v>
      </c>
    </row>
    <row r="51">
      <c r="A51" s="2" t="inlineStr">
        <is>
          <t xml:space="preserve">  slope</t>
        </is>
      </c>
      <c r="B51" s="6" t="n">
        <v>-4.028703723895018</v>
      </c>
    </row>
    <row r="53">
      <c r="A53" s="1" t="inlineStr">
        <is>
          <t>Issuer overlay toggle (0=off, 1=on)</t>
        </is>
      </c>
    </row>
    <row r="54">
      <c r="A54" s="2" t="inlineStr">
        <is>
          <t xml:space="preserve">  USE_ISSUER_OVERLAY</t>
        </is>
      </c>
      <c r="B54" s="10" t="n">
        <v>0</v>
      </c>
    </row>
    <row r="56">
      <c r="A56" s="1" t="inlineStr">
        <is>
          <t>Diagnostics (read-only)</t>
        </is>
      </c>
    </row>
    <row r="57">
      <c r="A57" s="2" t="inlineStr">
        <is>
          <t xml:space="preserve">  test_AUC</t>
        </is>
      </c>
      <c r="B57" s="6" t="n">
        <v>0.7787803</v>
      </c>
    </row>
    <row r="58">
      <c r="A58" s="2" t="inlineStr">
        <is>
          <t xml:space="preserve">  test_log_loss</t>
        </is>
      </c>
      <c r="B58" s="11" t="n">
        <v>0.0423181</v>
      </c>
    </row>
    <row r="59">
      <c r="A59" s="2" t="inlineStr">
        <is>
          <t xml:space="preserve">  base_CPR</t>
        </is>
      </c>
      <c r="B59" s="12" t="n">
        <v>0.055117</v>
      </c>
    </row>
    <row r="60">
      <c r="A60" s="2" t="inlineStr">
        <is>
          <t xml:space="preserve">  panel_actual_CPR</t>
        </is>
      </c>
      <c r="B60" s="12" t="n">
        <v>0.089951</v>
      </c>
    </row>
    <row r="61">
      <c r="A61" s="2" t="inlineStr">
        <is>
          <t xml:space="preserve">  max_pred_CPR (full panel)</t>
        </is>
      </c>
      <c r="B61" s="12" t="n">
        <v>0.8578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5" max="5"/>
    <col width="36" customWidth="1" min="6" max="6"/>
    <col width="14" customWidth="1" min="7" max="7"/>
    <col width="10" customWidth="1" min="8" max="8"/>
  </cols>
  <sheetData>
    <row r="1">
      <c r="A1" s="3" t="inlineStr">
        <is>
          <t>Categorical multiplier lookups</t>
        </is>
      </c>
    </row>
    <row r="3">
      <c r="A3" s="1" t="inlineStr">
        <is>
          <t>M_program</t>
        </is>
      </c>
      <c r="E3" s="1" t="inlineStr">
        <is>
          <t>Issuer overlay (residual ratio)</t>
        </is>
      </c>
    </row>
    <row r="4">
      <c r="A4" s="13" t="inlineStr">
        <is>
          <t>fha_pattern</t>
        </is>
      </c>
      <c r="B4" s="13" t="inlineStr">
        <is>
          <t>multiplier</t>
        </is>
      </c>
      <c r="E4" s="13" t="inlineStr">
        <is>
          <t>issuer_number</t>
        </is>
      </c>
      <c r="F4" s="13" t="inlineStr">
        <is>
          <t>issuer_name</t>
        </is>
      </c>
      <c r="G4" s="13" t="inlineStr">
        <is>
          <t>residual_ratio</t>
        </is>
      </c>
      <c r="H4" s="13" t="inlineStr">
        <is>
          <t>n</t>
        </is>
      </c>
    </row>
    <row r="5">
      <c r="A5" s="2" t="inlineStr">
        <is>
          <t>232</t>
        </is>
      </c>
      <c r="B5" s="6" t="n">
        <v>0.9065731121941579</v>
      </c>
      <c r="E5" s="2" t="inlineStr">
        <is>
          <t>3896</t>
        </is>
      </c>
      <c r="F5" t="inlineStr">
        <is>
          <t>RED MORTGAGE CAPITAL, LLC.</t>
        </is>
      </c>
      <c r="G5" s="14" t="n">
        <v>1.0443</v>
      </c>
      <c r="H5" t="n">
        <v>205895</v>
      </c>
    </row>
    <row r="6">
      <c r="A6" s="2" t="inlineStr">
        <is>
          <t>538</t>
        </is>
      </c>
      <c r="B6" s="6" t="n">
        <v>0.7081220957082347</v>
      </c>
      <c r="E6" s="2" t="inlineStr">
        <is>
          <t>4082</t>
        </is>
      </c>
      <c r="F6" t="inlineStr">
        <is>
          <t>BERKADIA COMMERCIAL MORTGAGE, LLC</t>
        </is>
      </c>
      <c r="G6" s="14" t="n">
        <v>1.0002</v>
      </c>
      <c r="H6" t="n">
        <v>106649</v>
      </c>
    </row>
    <row r="7">
      <c r="A7" s="2" t="inlineStr">
        <is>
          <t>223a7</t>
        </is>
      </c>
      <c r="B7" s="6" t="n">
        <v>1.073773461233147</v>
      </c>
      <c r="E7" s="2" t="inlineStr">
        <is>
          <t>4080</t>
        </is>
      </c>
      <c r="F7" t="inlineStr">
        <is>
          <t>WALKER &amp; DUNLOP, LLC</t>
        </is>
      </c>
      <c r="G7" s="14" t="n">
        <v>1.0311</v>
      </c>
      <c r="H7" t="n">
        <v>87217</v>
      </c>
    </row>
    <row r="8">
      <c r="A8" s="2" t="inlineStr">
        <is>
          <t>223f</t>
        </is>
      </c>
      <c r="B8" s="6" t="n">
        <v>1.118359877714037</v>
      </c>
      <c r="E8" s="2" t="inlineStr">
        <is>
          <t>4168</t>
        </is>
      </c>
      <c r="F8" t="inlineStr">
        <is>
          <t>GREYSTONE FUNDING COMPANY LLC</t>
        </is>
      </c>
      <c r="G8" s="14" t="n">
        <v>1.5597</v>
      </c>
      <c r="H8" t="n">
        <v>59556</v>
      </c>
    </row>
    <row r="9">
      <c r="A9" s="2" t="inlineStr">
        <is>
          <t>default</t>
        </is>
      </c>
      <c r="B9" s="6" t="n">
        <v>0.9523905688635125</v>
      </c>
      <c r="E9" s="2" t="inlineStr">
        <is>
          <t>3487</t>
        </is>
      </c>
      <c r="F9" t="inlineStr">
        <is>
          <t>MERCHANTS CAPITAL CORP.</t>
        </is>
      </c>
      <c r="G9" s="14" t="n">
        <v>0.8934</v>
      </c>
      <c r="H9" t="n">
        <v>59501</v>
      </c>
    </row>
    <row r="10">
      <c r="E10" s="2" t="inlineStr">
        <is>
          <t>3998</t>
        </is>
      </c>
      <c r="F10" t="inlineStr">
        <is>
          <t>WELLS FARGO MULTIFAMILY CAPITAL</t>
        </is>
      </c>
      <c r="G10" s="14" t="n">
        <v>0.8828</v>
      </c>
      <c r="H10" t="n">
        <v>53686</v>
      </c>
    </row>
    <row r="11">
      <c r="E11" s="2" t="inlineStr">
        <is>
          <t>3976</t>
        </is>
      </c>
      <c r="F11" t="inlineStr">
        <is>
          <t>PNC BANK, NA</t>
        </is>
      </c>
      <c r="G11" s="14" t="n">
        <v>0.6567</v>
      </c>
      <c r="H11" t="n">
        <v>44978</v>
      </c>
    </row>
    <row r="12">
      <c r="E12" s="2" t="inlineStr">
        <is>
          <t>3866</t>
        </is>
      </c>
      <c r="F12" t="inlineStr">
        <is>
          <t>CAPITAL FUNDING,LLC.</t>
        </is>
      </c>
      <c r="G12" s="14" t="n">
        <v>0.6435</v>
      </c>
      <c r="H12" t="n">
        <v>41909</v>
      </c>
    </row>
    <row r="13">
      <c r="E13" s="2" t="inlineStr">
        <is>
          <t>3153</t>
        </is>
      </c>
      <c r="F13" t="inlineStr">
        <is>
          <t>PRUDENTIAL HUNTOON PAIGE ASSOCIATES, LLC</t>
        </is>
      </c>
      <c r="G13" s="14" t="n">
        <v>0.9495</v>
      </c>
      <c r="H13" t="n">
        <v>38806</v>
      </c>
    </row>
    <row r="14">
      <c r="E14" s="2" t="inlineStr">
        <is>
          <t>4398</t>
        </is>
      </c>
      <c r="F14" t="inlineStr">
        <is>
          <t>DWIGHT CAPITAL LLC</t>
        </is>
      </c>
      <c r="G14" s="14" t="n">
        <v>1.4887</v>
      </c>
      <c r="H14" t="n">
        <v>38790</v>
      </c>
    </row>
    <row r="15">
      <c r="E15" s="2" t="inlineStr">
        <is>
          <t>4012</t>
        </is>
      </c>
      <c r="F15" t="inlineStr">
        <is>
          <t>BONNEVILLE MORTGAGE COMPANY</t>
        </is>
      </c>
      <c r="G15" s="14" t="n">
        <v>0.9212</v>
      </c>
      <c r="H15" t="n">
        <v>35248</v>
      </c>
    </row>
    <row r="16">
      <c r="E16" s="2" t="inlineStr">
        <is>
          <t>4271</t>
        </is>
      </c>
      <c r="F16" t="inlineStr">
        <is>
          <t>KEYBANK NATIONAL ASSOCIATION</t>
        </is>
      </c>
      <c r="G16" s="14" t="n">
        <v>1.1486</v>
      </c>
      <c r="H16" t="n">
        <v>32397</v>
      </c>
    </row>
    <row r="17">
      <c r="E17" s="2" t="inlineStr">
        <is>
          <t>4067</t>
        </is>
      </c>
      <c r="F17" t="inlineStr">
        <is>
          <t>BELLWETHER ENTERPRISE REAL ESTATE CAPITA</t>
        </is>
      </c>
      <c r="G17" s="14" t="n">
        <v>0.4723</v>
      </c>
      <c r="H17" t="n">
        <v>27200</v>
      </c>
    </row>
    <row r="18">
      <c r="E18" s="2" t="inlineStr">
        <is>
          <t>3995</t>
        </is>
      </c>
      <c r="F18" t="inlineStr">
        <is>
          <t>DOUGHERTY MORTGAGE, LLC</t>
        </is>
      </c>
      <c r="G18" s="14" t="n">
        <v>0.8276</v>
      </c>
      <c r="H18" t="n">
        <v>25918</v>
      </c>
    </row>
    <row r="19">
      <c r="E19" s="2" t="inlineStr">
        <is>
          <t>2045</t>
        </is>
      </c>
      <c r="F19" t="inlineStr">
        <is>
          <t>GERSHMAN INVESTMENT CORP.</t>
        </is>
      </c>
      <c r="G19" s="14" t="n">
        <v>1.7986</v>
      </c>
      <c r="H19" t="n">
        <v>24926</v>
      </c>
    </row>
    <row r="20">
      <c r="E20" s="2" t="inlineStr">
        <is>
          <t>4065</t>
        </is>
      </c>
      <c r="F20" t="inlineStr">
        <is>
          <t>JONES LANG LASALLE MULTIFAMILY LLC</t>
        </is>
      </c>
      <c r="G20" s="14" t="n">
        <v>1.3379</v>
      </c>
      <c r="H20" t="n">
        <v>24725</v>
      </c>
    </row>
    <row r="21">
      <c r="E21" s="2" t="inlineStr">
        <is>
          <t>4300</t>
        </is>
      </c>
      <c r="F21" t="inlineStr">
        <is>
          <t>MIDLAND STATES BANK</t>
        </is>
      </c>
      <c r="G21" s="14" t="n">
        <v>1.019</v>
      </c>
      <c r="H21" t="n">
        <v>23852</v>
      </c>
    </row>
    <row r="22">
      <c r="E22" s="2" t="inlineStr">
        <is>
          <t>4016</t>
        </is>
      </c>
      <c r="F22" t="inlineStr">
        <is>
          <t>GRANDBRIDGE REAL ESTATE CAPITAL, LLC</t>
        </is>
      </c>
      <c r="G22" s="14" t="n">
        <v>0.9569</v>
      </c>
      <c r="H22" t="n">
        <v>22330</v>
      </c>
    </row>
    <row r="23">
      <c r="E23" s="2" t="inlineStr">
        <is>
          <t>3044</t>
        </is>
      </c>
      <c r="F23" t="inlineStr">
        <is>
          <t>CENTENNIAL MORTGAGE, INC</t>
        </is>
      </c>
      <c r="G23" s="14" t="n">
        <v>0.7354000000000001</v>
      </c>
      <c r="H23" t="n">
        <v>19380</v>
      </c>
    </row>
    <row r="24">
      <c r="E24" s="2" t="inlineStr">
        <is>
          <t>4223</t>
        </is>
      </c>
      <c r="F24" t="inlineStr">
        <is>
          <t>NEWPOINT REAL ESTATE CAPITAL LLC</t>
        </is>
      </c>
      <c r="G24" s="14" t="n">
        <v>1.2655</v>
      </c>
      <c r="H24" t="n">
        <v>19271</v>
      </c>
    </row>
    <row r="25">
      <c r="E25" s="2" t="inlineStr">
        <is>
          <t>3201</t>
        </is>
      </c>
      <c r="F25" t="inlineStr">
        <is>
          <t>LOVE FUNDING CORPORATION</t>
        </is>
      </c>
      <c r="G25" s="14" t="n">
        <v>0.9553</v>
      </c>
      <c r="H25" t="n">
        <v>17192</v>
      </c>
    </row>
    <row r="26">
      <c r="E26" s="2" t="inlineStr">
        <is>
          <t>4347</t>
        </is>
      </c>
      <c r="F26" t="inlineStr">
        <is>
          <t>CHURCHILL MORTGAGE INVESTMENT LLC</t>
        </is>
      </c>
      <c r="G26" s="14" t="n">
        <v>1.1066</v>
      </c>
      <c r="H26" t="n">
        <v>16345</v>
      </c>
    </row>
    <row r="27">
      <c r="E27" s="2" t="inlineStr">
        <is>
          <t>3733</t>
        </is>
      </c>
      <c r="F27" t="inlineStr">
        <is>
          <t>CAMBRIDGE REALTY CAPITAL LTD OF ILLINOIS</t>
        </is>
      </c>
      <c r="G27" s="14" t="n">
        <v>1.4405</v>
      </c>
      <c r="H27" t="n">
        <v>15547</v>
      </c>
    </row>
    <row r="28">
      <c r="E28" s="2" t="inlineStr">
        <is>
          <t>3500</t>
        </is>
      </c>
      <c r="F28" t="inlineStr">
        <is>
          <t>GREYSTONE SERVICING CORPORATION, INC.</t>
        </is>
      </c>
      <c r="G28" s="14" t="n">
        <v>0.874</v>
      </c>
      <c r="H28" t="n">
        <v>14935</v>
      </c>
    </row>
    <row r="29">
      <c r="E29" s="2" t="inlineStr">
        <is>
          <t>3640</t>
        </is>
      </c>
      <c r="F29" t="inlineStr">
        <is>
          <t>M&amp;T REALTY CAPITAL CORPORATION</t>
        </is>
      </c>
      <c r="G29" s="14" t="n">
        <v>1.0735</v>
      </c>
      <c r="H29" t="n">
        <v>12704</v>
      </c>
    </row>
    <row r="30">
      <c r="E30" s="2" t="inlineStr">
        <is>
          <t>4265</t>
        </is>
      </c>
      <c r="F30" t="inlineStr">
        <is>
          <t>MERCHANTS CAPITAL SERVICING LLC</t>
        </is>
      </c>
      <c r="G30" s="14" t="n">
        <v>0.6352</v>
      </c>
      <c r="H30" t="n">
        <v>12124</v>
      </c>
    </row>
    <row r="31">
      <c r="E31" s="2" t="inlineStr">
        <is>
          <t>4051</t>
        </is>
      </c>
      <c r="F31" t="inlineStr">
        <is>
          <t>CBRE HMF, INC.</t>
        </is>
      </c>
      <c r="G31" s="14" t="n">
        <v>0.9555</v>
      </c>
      <c r="H31" t="n">
        <v>11087</v>
      </c>
    </row>
    <row r="32">
      <c r="E32" s="2" t="inlineStr">
        <is>
          <t>4147</t>
        </is>
      </c>
      <c r="F32" t="inlineStr">
        <is>
          <t>CAPITAL ONE MULTIFAMILY FINANCE LLC</t>
        </is>
      </c>
      <c r="G32" s="14" t="n">
        <v>1.3979</v>
      </c>
      <c r="H32" t="n">
        <v>10628</v>
      </c>
    </row>
    <row r="33">
      <c r="E33" s="2" t="inlineStr">
        <is>
          <t>3991</t>
        </is>
      </c>
      <c r="F33" t="inlineStr">
        <is>
          <t>HOUSING &amp; HEALTHCARE FINANCE, LLC</t>
        </is>
      </c>
      <c r="G33" s="14" t="n">
        <v>1.3695</v>
      </c>
      <c r="H33" t="n">
        <v>10481</v>
      </c>
    </row>
    <row r="34">
      <c r="E34" s="2" t="inlineStr">
        <is>
          <t>2973</t>
        </is>
      </c>
      <c r="F34" t="inlineStr">
        <is>
          <t>DAVIS-PENN MORTGAGE CO.</t>
        </is>
      </c>
      <c r="G34" s="14" t="n">
        <v>1.105</v>
      </c>
      <c r="H34" t="n">
        <v>9340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54"/>
  <sheetViews>
    <sheetView workbookViewId="0">
      <pane xSplit="22" ySplit="2" topLeftCell="W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2" customWidth="1" min="20" max="20"/>
    <col width="12" customWidth="1" min="21" max="21"/>
    <col width="12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2" customWidth="1" min="32" max="32"/>
    <col width="12" customWidth="1" min="33" max="33"/>
    <col width="12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5" t="inlineStr">
        <is>
          <t>Loan Identifiers</t>
        </is>
      </c>
      <c r="I1" s="16" t="inlineStr">
        <is>
          <t>Raw Inputs (editable)</t>
        </is>
      </c>
      <c r="T1" s="15" t="inlineStr">
        <is>
          <t>Derived inputs (formulas)</t>
        </is>
      </c>
      <c r="W1" s="17" t="inlineStr">
        <is>
          <t>V7 Multipliers (formulas)</t>
        </is>
      </c>
      <c r="AF1" s="18" t="inlineStr">
        <is>
          <t>Pred SMM/CPR</t>
        </is>
      </c>
      <c r="AI1" s="19" t="inlineStr">
        <is>
          <t>Per-multiplier attribution</t>
        </is>
      </c>
      <c r="AQ1" s="20" t="inlineStr">
        <is>
          <t>Check</t>
        </is>
      </c>
    </row>
    <row r="2">
      <c r="A2" s="21" t="inlineStr">
        <is>
          <t>loan_id</t>
        </is>
      </c>
      <c r="B2" s="21" t="inlineStr">
        <is>
          <t>deal_id</t>
        </is>
      </c>
      <c r="C2" s="21" t="inlineStr">
        <is>
          <t>pool_cusip</t>
        </is>
      </c>
      <c r="D2" s="21" t="inlineStr">
        <is>
          <t>issuer_name</t>
        </is>
      </c>
      <c r="E2" s="21" t="inlineStr">
        <is>
          <t>fha_category</t>
        </is>
      </c>
      <c r="F2" s="21" t="inlineStr">
        <is>
          <t>loan_purpose</t>
        </is>
      </c>
      <c r="G2" s="21" t="inlineStr">
        <is>
          <t>vintage_year</t>
        </is>
      </c>
      <c r="H2" s="21" t="inlineStr">
        <is>
          <t>period</t>
        </is>
      </c>
      <c r="I2" s="21" t="inlineStr">
        <is>
          <t>upb</t>
        </is>
      </c>
      <c r="J2" s="21" t="inlineStr">
        <is>
          <t>loan_rate_pct</t>
        </is>
      </c>
      <c r="K2" s="21" t="inlineStr">
        <is>
          <t>plc_rate_bps</t>
        </is>
      </c>
      <c r="L2" s="21" t="inlineStr">
        <is>
          <t>prepay_penalty_points</t>
        </is>
      </c>
      <c r="M2" s="21" t="inlineStr">
        <is>
          <t>loan_age_months</t>
        </is>
      </c>
      <c r="N2" s="21" t="inlineStr">
        <is>
          <t>cum_itm</t>
        </is>
      </c>
      <c r="O2" s="21" t="inlineStr">
        <is>
          <t>loan_maturity_yyyymm</t>
        </is>
      </c>
      <c r="P2" s="21" t="inlineStr">
        <is>
          <t>lockout_end_yyyymm</t>
        </is>
      </c>
      <c r="Q2" s="21" t="inlineStr">
        <is>
          <t>issuer_number</t>
        </is>
      </c>
      <c r="R2" s="21" t="inlineStr">
        <is>
          <t>burn_ratio_in</t>
        </is>
      </c>
      <c r="S2" s="21" t="inlineStr">
        <is>
          <t>is_NC_in</t>
        </is>
      </c>
      <c r="T2" s="21" t="inlineStr">
        <is>
          <t>log_upb</t>
        </is>
      </c>
      <c r="U2" s="21" t="inlineStr">
        <is>
          <t>gross_refi_bps</t>
        </is>
      </c>
      <c r="V2" s="21" t="inlineStr">
        <is>
          <t>net_refi_bps</t>
        </is>
      </c>
      <c r="W2" s="21" t="inlineStr">
        <is>
          <t>M_age</t>
        </is>
      </c>
      <c r="X2" s="21" t="inlineStr">
        <is>
          <t>M_rate</t>
        </is>
      </c>
      <c r="Y2" s="21" t="inlineStr">
        <is>
          <t>M_size</t>
        </is>
      </c>
      <c r="Z2" s="21" t="inlineStr">
        <is>
          <t>M_program</t>
        </is>
      </c>
      <c r="AA2" s="21" t="inlineStr">
        <is>
          <t>M_purpose</t>
        </is>
      </c>
      <c r="AB2" s="21" t="inlineStr">
        <is>
          <t>M_lockout</t>
        </is>
      </c>
      <c r="AC2" s="21" t="inlineStr">
        <is>
          <t>M_maturity</t>
        </is>
      </c>
      <c r="AD2" s="21" t="inlineStr">
        <is>
          <t>M_burnout</t>
        </is>
      </c>
      <c r="AE2" s="21" t="inlineStr">
        <is>
          <t>M_issuer</t>
        </is>
      </c>
      <c r="AF2" s="21" t="inlineStr">
        <is>
          <t>product</t>
        </is>
      </c>
      <c r="AG2" s="21" t="inlineStr">
        <is>
          <t>capped_SMM</t>
        </is>
      </c>
      <c r="AH2" s="21" t="inlineStr">
        <is>
          <t>pred_CPR</t>
        </is>
      </c>
      <c r="AI2" s="21" t="inlineStr">
        <is>
          <t>attr_M_age</t>
        </is>
      </c>
      <c r="AJ2" s="21" t="inlineStr">
        <is>
          <t>attr_M_rate</t>
        </is>
      </c>
      <c r="AK2" s="21" t="inlineStr">
        <is>
          <t>attr_M_size</t>
        </is>
      </c>
      <c r="AL2" s="21" t="inlineStr">
        <is>
          <t>attr_M_program</t>
        </is>
      </c>
      <c r="AM2" s="21" t="inlineStr">
        <is>
          <t>attr_M_purpose</t>
        </is>
      </c>
      <c r="AN2" s="21" t="inlineStr">
        <is>
          <t>attr_M_lockout</t>
        </is>
      </c>
      <c r="AO2" s="21" t="inlineStr">
        <is>
          <t>attr_M_maturity</t>
        </is>
      </c>
      <c r="AP2" s="21" t="inlineStr">
        <is>
          <t>attr_M_burnout</t>
        </is>
      </c>
      <c r="AQ2" s="21" t="inlineStr">
        <is>
          <t>Sanity</t>
        </is>
      </c>
    </row>
    <row r="3">
      <c r="A3" s="2" t="inlineStr">
        <is>
          <t>3617UAX72_000000012211373</t>
        </is>
      </c>
      <c r="B3" t="inlineStr">
        <is>
          <t>LUMENT_PRE21</t>
        </is>
      </c>
      <c r="C3" s="2" t="inlineStr">
        <is>
          <t>3617UAX72</t>
        </is>
      </c>
      <c r="D3" t="inlineStr">
        <is>
          <t>LUMENT REAL ESTATE CAPITAL,LLC</t>
        </is>
      </c>
      <c r="E3" t="inlineStr">
        <is>
          <t>223f</t>
        </is>
      </c>
      <c r="F3" t="inlineStr">
        <is>
          <t>RP</t>
        </is>
      </c>
      <c r="G3" t="n">
        <v>2015</v>
      </c>
      <c r="H3" t="inlineStr">
        <is>
          <t>202602</t>
        </is>
      </c>
      <c r="I3" s="22" t="n">
        <v>4746336.84</v>
      </c>
      <c r="J3" s="23" t="n">
        <v>2.96</v>
      </c>
      <c r="K3" s="24" t="n">
        <v>447</v>
      </c>
      <c r="L3" s="24" t="n">
        <v>5</v>
      </c>
      <c r="M3" t="n">
        <v>122</v>
      </c>
      <c r="N3" s="25" t="n">
        <v>1</v>
      </c>
      <c r="O3" t="n">
        <v>205101</v>
      </c>
      <c r="P3" t="inlineStr"/>
      <c r="Q3" t="inlineStr">
        <is>
          <t>3896</t>
        </is>
      </c>
      <c r="R3" s="26" t="n">
        <v>0.00819672131147541</v>
      </c>
      <c r="S3" t="n">
        <v>0</v>
      </c>
      <c r="T3" s="23">
        <f>LN(1+I3)</f>
        <v/>
      </c>
      <c r="U3" s="24">
        <f>J3*100-K3</f>
        <v/>
      </c>
      <c r="V3" s="24">
        <f>U3-12.5*(L3+1)</f>
        <v/>
      </c>
      <c r="W3" s="26">
        <f>IF(M3&lt;=V7_AGE_KNOT_X_0,V7_AGE_KNOT_Y_0,IF(M3&gt;=V7_AGE_KNOT_X_5,V7_AGE_KNOT_Y_5,IF(M3&lt;=V7_AGE_KNOT_X_1,V7_AGE_KNOT_Y_0+(M3-V7_AGE_KNOT_X_0)/(V7_AGE_KNOT_X_1-V7_AGE_KNOT_X_0)*(V7_AGE_KNOT_Y_1-V7_AGE_KNOT_Y_0),IF(M3&lt;=V7_AGE_KNOT_X_2,V7_AGE_KNOT_Y_1+(M3-V7_AGE_KNOT_X_1)/(V7_AGE_KNOT_X_2-V7_AGE_KNOT_X_1)*(V7_AGE_KNOT_Y_2-V7_AGE_KNOT_Y_1),IF(M3&lt;=V7_AGE_KNOT_X_3,V7_AGE_KNOT_Y_2+(M3-V7_AGE_KNOT_X_2)/(V7_AGE_KNOT_X_3-V7_AGE_KNOT_X_2)*(V7_AGE_KNOT_Y_3-V7_AGE_KNOT_Y_2),IF(M3&lt;=V7_AGE_KNOT_X_4,V7_AGE_KNOT_Y_3+(M3-V7_AGE_KNOT_X_3)/(V7_AGE_KNOT_X_4-V7_AGE_KNOT_X_3)*(V7_AGE_KNOT_Y_4-V7_AGE_KNOT_Y_3),V7_AGE_KNOT_Y_4+(M3-V7_AGE_KNOT_X_4)/(V7_AGE_KNOT_X_5-V7_AGE_KNOT_X_4)*(V7_AGE_KNOT_Y_5-V7_AGE_KNOT_Y_4)))))))</f>
        <v/>
      </c>
      <c r="X3" s="26">
        <f>V7_RATE_FLOOR+V7_RATE_ASYMPTOTE/(1+EXP(-(V3-V7_RATE_MID)/V7_RATE_SLOPE))</f>
        <v/>
      </c>
      <c r="Y3" s="26">
        <f>MAX(V7_SIZE_LOW,MIN(V7_SIZE_HIGH,V7_SIZE_INTERCEPT+V7_SIZE_SLOPE*(T3-V7_SIZE_LOG_ANCHOR)))</f>
        <v/>
      </c>
      <c r="Z3" s="26">
        <f>IF(ISNUMBER(SEARCH("232",E3)),VLOOKUP("232",V7_PROGRAM_TABLE,2,FALSE),IF(ISNUMBER(SEARCH("538",E3)),VLOOKUP("538",V7_PROGRAM_TABLE,2,FALSE),IF(ISNUMBER(SEARCH("223a7",E3)),VLOOKUP("223a7",V7_PROGRAM_TABLE,2,FALSE),IF(ISNUMBER(SEARCH("223f",E3)),VLOOKUP("223f",V7_PROGRAM_TABLE,2,FALSE),V7_PROGRAM_DEFAULT))))</f>
        <v/>
      </c>
      <c r="AA3" s="26">
        <f>IF(S3=1,1+V7_PURPOSE_NC_BUMP*MAX(0,1-ABS(M3-V7_PURPOSE_PEAK_AGE)/V7_PURPOSE_WIDTH),1)</f>
        <v/>
      </c>
      <c r="AB3" s="26">
        <f>IF(AND(IF(OR(P3="",NOT(ISNUMBER(P3))),0,MAX(0,MIN(24,(INT(VALUE(H3)/100)-INT(P3/100))*12+MOD(VALUE(H3),100)-MOD(P3,100))))&gt;0,IF(OR(P3="",NOT(ISNUMBER(P3))),0,MAX(0,MIN(24,(INT(VALUE(H3)/100)-INT(P3/100))*12+MOD(VALUE(H3),100)-MOD(P3,100))))&lt;=12),1+V7_LOCKOUT_AMP*EXP(-(IF(OR(P3="",NOT(ISNUMBER(P3))),0,MAX(0,MIN(24,(INT(VALUE(H3)/100)-INT(P3/100))*12+MOD(VALUE(H3),100)-MOD(P3,100)))))/V7_LOCKOUT_TAU),1)</f>
        <v/>
      </c>
      <c r="AC3" s="26">
        <f>IF(IF(OR(O3="",NOT(ISNUMBER(O3))),360,MAX(0,MIN(480,(INT(O3/100)-INT(VALUE(H3)/100))*12+MOD(O3,100)-MOD(VALUE(H3),100))))&gt;0,1+V7_MTY_AMP*MAX(0,(V7_MTY_CUTOFF-(IF(OR(O3="",NOT(ISNUMBER(O3))),360,MAX(0,MIN(480,(INT(O3/100)-INT(VALUE(H3)/100))*12+MOD(O3,100)-MOD(VALUE(H3),100))))))/V7_MTY_CUTOFF),1)</f>
        <v/>
      </c>
      <c r="AD3" s="26">
        <f>MAX(V7_BURN_FLOOR,1-V7_BURN_SLOPE*MIN(1,MAX(0,R3)))</f>
        <v/>
      </c>
      <c r="AE3" s="26">
        <f>IF(V7_USE_ISSUER=1,IFERROR(VLOOKUP(Q3,V7_ISSUER_TABLE,3,FALSE),1),1)</f>
        <v/>
      </c>
      <c r="AF3" s="26">
        <f>PRODUCT(W3:AE3)</f>
        <v/>
      </c>
      <c r="AG3" s="27">
        <f>MIN(V7_BASE_SMM*AF3,V7_SMM_CAP)</f>
        <v/>
      </c>
      <c r="AH3" s="28">
        <f>1-(1-AG3)^12</f>
        <v/>
      </c>
      <c r="AI3" s="28">
        <f>IFERROR(LN(W3)/(LN(W3)+LN(X3)+LN(Y3)+LN(Z3)+LN(AA3)+LN(AB3)+LN(AC3)+LN(AD3))*(AH3-V7_BASE_CPR),0)</f>
        <v/>
      </c>
      <c r="AJ3" s="28">
        <f>IFERROR(LN(X3)/(LN(W3)+LN(X3)+LN(Y3)+LN(Z3)+LN(AA3)+LN(AB3)+LN(AC3)+LN(AD3))*(AH3-V7_BASE_CPR),0)</f>
        <v/>
      </c>
      <c r="AK3" s="28">
        <f>IFERROR(LN(Y3)/(LN(W3)+LN(X3)+LN(Y3)+LN(Z3)+LN(AA3)+LN(AB3)+LN(AC3)+LN(AD3))*(AH3-V7_BASE_CPR),0)</f>
        <v/>
      </c>
      <c r="AL3" s="28">
        <f>IFERROR(LN(Z3)/(LN(W3)+LN(X3)+LN(Y3)+LN(Z3)+LN(AA3)+LN(AB3)+LN(AC3)+LN(AD3))*(AH3-V7_BASE_CPR),0)</f>
        <v/>
      </c>
      <c r="AM3" s="28">
        <f>IFERROR(LN(AA3)/(LN(W3)+LN(X3)+LN(Y3)+LN(Z3)+LN(AA3)+LN(AB3)+LN(AC3)+LN(AD3))*(AH3-V7_BASE_CPR),0)</f>
        <v/>
      </c>
      <c r="AN3" s="28">
        <f>IFERROR(LN(AB3)/(LN(W3)+LN(X3)+LN(Y3)+LN(Z3)+LN(AA3)+LN(AB3)+LN(AC3)+LN(AD3))*(AH3-V7_BASE_CPR),0)</f>
        <v/>
      </c>
      <c r="AO3" s="28">
        <f>IFERROR(LN(AC3)/(LN(W3)+LN(X3)+LN(Y3)+LN(Z3)+LN(AA3)+LN(AB3)+LN(AC3)+LN(AD3))*(AH3-V7_BASE_CPR),0)</f>
        <v/>
      </c>
      <c r="AP3" s="28">
        <f>IFERROR(LN(AD3)/(LN(W3)+LN(X3)+LN(Y3)+LN(Z3)+LN(AA3)+LN(AB3)+LN(AC3)+LN(AD3))*(AH3-V7_BASE_CPR),0)</f>
        <v/>
      </c>
      <c r="AQ3" s="29">
        <f>V7_BASE_CPR+SUM(AI3:AP3)-AH3</f>
        <v/>
      </c>
    </row>
    <row r="4">
      <c r="A4" s="2" t="inlineStr">
        <is>
          <t>3617H4UL3_000000012322093</t>
        </is>
      </c>
      <c r="B4" t="inlineStr">
        <is>
          <t>LUMENT_PRE21</t>
        </is>
      </c>
      <c r="C4" s="2" t="inlineStr">
        <is>
          <t>3617H4UL3</t>
        </is>
      </c>
      <c r="D4" t="inlineStr">
        <is>
          <t>LUMENT REAL ESTATE CAPITAL,LLC</t>
        </is>
      </c>
      <c r="E4" t="inlineStr">
        <is>
          <t>232</t>
        </is>
      </c>
      <c r="F4" t="inlineStr">
        <is>
          <t>RP</t>
        </is>
      </c>
      <c r="G4" t="n">
        <v>2018</v>
      </c>
      <c r="H4" t="inlineStr">
        <is>
          <t>202602</t>
        </is>
      </c>
      <c r="I4" s="22" t="n">
        <v>11482585.08</v>
      </c>
      <c r="J4" s="23" t="n">
        <v>4.35</v>
      </c>
      <c r="K4" s="24" t="n">
        <v>447</v>
      </c>
      <c r="L4" s="24" t="n">
        <v>0</v>
      </c>
      <c r="M4" t="n">
        <v>91</v>
      </c>
      <c r="N4" s="25" t="n">
        <v>35</v>
      </c>
      <c r="O4" t="n">
        <v>205308</v>
      </c>
      <c r="P4" t="inlineStr"/>
      <c r="Q4" t="inlineStr">
        <is>
          <t>3896</t>
        </is>
      </c>
      <c r="R4" s="26" t="n">
        <v>0.3846153846153846</v>
      </c>
      <c r="S4" t="n">
        <v>0</v>
      </c>
      <c r="T4" s="23">
        <f>LN(1+I4)</f>
        <v/>
      </c>
      <c r="U4" s="24">
        <f>J4*100-K4</f>
        <v/>
      </c>
      <c r="V4" s="24">
        <f>U4-12.5*(L4+1)</f>
        <v/>
      </c>
      <c r="W4" s="26">
        <f>IF(M4&lt;=V7_AGE_KNOT_X_0,V7_AGE_KNOT_Y_0,IF(M4&gt;=V7_AGE_KNOT_X_5,V7_AGE_KNOT_Y_5,IF(M4&lt;=V7_AGE_KNOT_X_1,V7_AGE_KNOT_Y_0+(M4-V7_AGE_KNOT_X_0)/(V7_AGE_KNOT_X_1-V7_AGE_KNOT_X_0)*(V7_AGE_KNOT_Y_1-V7_AGE_KNOT_Y_0),IF(M4&lt;=V7_AGE_KNOT_X_2,V7_AGE_KNOT_Y_1+(M4-V7_AGE_KNOT_X_1)/(V7_AGE_KNOT_X_2-V7_AGE_KNOT_X_1)*(V7_AGE_KNOT_Y_2-V7_AGE_KNOT_Y_1),IF(M4&lt;=V7_AGE_KNOT_X_3,V7_AGE_KNOT_Y_2+(M4-V7_AGE_KNOT_X_2)/(V7_AGE_KNOT_X_3-V7_AGE_KNOT_X_2)*(V7_AGE_KNOT_Y_3-V7_AGE_KNOT_Y_2),IF(M4&lt;=V7_AGE_KNOT_X_4,V7_AGE_KNOT_Y_3+(M4-V7_AGE_KNOT_X_3)/(V7_AGE_KNOT_X_4-V7_AGE_KNOT_X_3)*(V7_AGE_KNOT_Y_4-V7_AGE_KNOT_Y_3),V7_AGE_KNOT_Y_4+(M4-V7_AGE_KNOT_X_4)/(V7_AGE_KNOT_X_5-V7_AGE_KNOT_X_4)*(V7_AGE_KNOT_Y_5-V7_AGE_KNOT_Y_4)))))))</f>
        <v/>
      </c>
      <c r="X4" s="26">
        <f>V7_RATE_FLOOR+V7_RATE_ASYMPTOTE/(1+EXP(-(V4-V7_RATE_MID)/V7_RATE_SLOPE))</f>
        <v/>
      </c>
      <c r="Y4" s="26">
        <f>MAX(V7_SIZE_LOW,MIN(V7_SIZE_HIGH,V7_SIZE_INTERCEPT+V7_SIZE_SLOPE*(T4-V7_SIZE_LOG_ANCHOR)))</f>
        <v/>
      </c>
      <c r="Z4" s="26">
        <f>IF(ISNUMBER(SEARCH("232",E4)),VLOOKUP("232",V7_PROGRAM_TABLE,2,FALSE),IF(ISNUMBER(SEARCH("538",E4)),VLOOKUP("538",V7_PROGRAM_TABLE,2,FALSE),IF(ISNUMBER(SEARCH("223a7",E4)),VLOOKUP("223a7",V7_PROGRAM_TABLE,2,FALSE),IF(ISNUMBER(SEARCH("223f",E4)),VLOOKUP("223f",V7_PROGRAM_TABLE,2,FALSE),V7_PROGRAM_DEFAULT))))</f>
        <v/>
      </c>
      <c r="AA4" s="26">
        <f>IF(S4=1,1+V7_PURPOSE_NC_BUMP*MAX(0,1-ABS(M4-V7_PURPOSE_PEAK_AGE)/V7_PURPOSE_WIDTH),1)</f>
        <v/>
      </c>
      <c r="AB4" s="26">
        <f>IF(AND(IF(OR(P4="",NOT(ISNUMBER(P4))),0,MAX(0,MIN(24,(INT(VALUE(H4)/100)-INT(P4/100))*12+MOD(VALUE(H4),100)-MOD(P4,100))))&gt;0,IF(OR(P4="",NOT(ISNUMBER(P4))),0,MAX(0,MIN(24,(INT(VALUE(H4)/100)-INT(P4/100))*12+MOD(VALUE(H4),100)-MOD(P4,100))))&lt;=12),1+V7_LOCKOUT_AMP*EXP(-(IF(OR(P4="",NOT(ISNUMBER(P4))),0,MAX(0,MIN(24,(INT(VALUE(H4)/100)-INT(P4/100))*12+MOD(VALUE(H4),100)-MOD(P4,100)))))/V7_LOCKOUT_TAU),1)</f>
        <v/>
      </c>
      <c r="AC4" s="26">
        <f>IF(IF(OR(O4="",NOT(ISNUMBER(O4))),360,MAX(0,MIN(480,(INT(O4/100)-INT(VALUE(H4)/100))*12+MOD(O4,100)-MOD(VALUE(H4),100))))&gt;0,1+V7_MTY_AMP*MAX(0,(V7_MTY_CUTOFF-(IF(OR(O4="",NOT(ISNUMBER(O4))),360,MAX(0,MIN(480,(INT(O4/100)-INT(VALUE(H4)/100))*12+MOD(O4,100)-MOD(VALUE(H4),100))))))/V7_MTY_CUTOFF),1)</f>
        <v/>
      </c>
      <c r="AD4" s="26">
        <f>MAX(V7_BURN_FLOOR,1-V7_BURN_SLOPE*MIN(1,MAX(0,R4)))</f>
        <v/>
      </c>
      <c r="AE4" s="26">
        <f>IF(V7_USE_ISSUER=1,IFERROR(VLOOKUP(Q4,V7_ISSUER_TABLE,3,FALSE),1),1)</f>
        <v/>
      </c>
      <c r="AF4" s="26">
        <f>PRODUCT(W4:AE4)</f>
        <v/>
      </c>
      <c r="AG4" s="27">
        <f>MIN(V7_BASE_SMM*AF4,V7_SMM_CAP)</f>
        <v/>
      </c>
      <c r="AH4" s="28">
        <f>1-(1-AG4)^12</f>
        <v/>
      </c>
      <c r="AI4" s="28">
        <f>IFERROR(LN(W4)/(LN(W4)+LN(X4)+LN(Y4)+LN(Z4)+LN(AA4)+LN(AB4)+LN(AC4)+LN(AD4))*(AH4-V7_BASE_CPR),0)</f>
        <v/>
      </c>
      <c r="AJ4" s="28">
        <f>IFERROR(LN(X4)/(LN(W4)+LN(X4)+LN(Y4)+LN(Z4)+LN(AA4)+LN(AB4)+LN(AC4)+LN(AD4))*(AH4-V7_BASE_CPR),0)</f>
        <v/>
      </c>
      <c r="AK4" s="28">
        <f>IFERROR(LN(Y4)/(LN(W4)+LN(X4)+LN(Y4)+LN(Z4)+LN(AA4)+LN(AB4)+LN(AC4)+LN(AD4))*(AH4-V7_BASE_CPR),0)</f>
        <v/>
      </c>
      <c r="AL4" s="28">
        <f>IFERROR(LN(Z4)/(LN(W4)+LN(X4)+LN(Y4)+LN(Z4)+LN(AA4)+LN(AB4)+LN(AC4)+LN(AD4))*(AH4-V7_BASE_CPR),0)</f>
        <v/>
      </c>
      <c r="AM4" s="28">
        <f>IFERROR(LN(AA4)/(LN(W4)+LN(X4)+LN(Y4)+LN(Z4)+LN(AA4)+LN(AB4)+LN(AC4)+LN(AD4))*(AH4-V7_BASE_CPR),0)</f>
        <v/>
      </c>
      <c r="AN4" s="28">
        <f>IFERROR(LN(AB4)/(LN(W4)+LN(X4)+LN(Y4)+LN(Z4)+LN(AA4)+LN(AB4)+LN(AC4)+LN(AD4))*(AH4-V7_BASE_CPR),0)</f>
        <v/>
      </c>
      <c r="AO4" s="28">
        <f>IFERROR(LN(AC4)/(LN(W4)+LN(X4)+LN(Y4)+LN(Z4)+LN(AA4)+LN(AB4)+LN(AC4)+LN(AD4))*(AH4-V7_BASE_CPR),0)</f>
        <v/>
      </c>
      <c r="AP4" s="28">
        <f>IFERROR(LN(AD4)/(LN(W4)+LN(X4)+LN(Y4)+LN(Z4)+LN(AA4)+LN(AB4)+LN(AC4)+LN(AD4))*(AH4-V7_BASE_CPR),0)</f>
        <v/>
      </c>
      <c r="AQ4" s="29">
        <f>V7_BASE_CPR+SUM(AI4:AP4)-AH4</f>
        <v/>
      </c>
    </row>
    <row r="5">
      <c r="A5" s="2" t="inlineStr">
        <is>
          <t>3617QRGV6_000000002311435</t>
        </is>
      </c>
      <c r="B5" t="inlineStr">
        <is>
          <t>LUMENT_PRE21</t>
        </is>
      </c>
      <c r="C5" s="2" t="inlineStr">
        <is>
          <t>3617QRGV6</t>
        </is>
      </c>
      <c r="D5" t="inlineStr">
        <is>
          <t>LUMENT REAL ESTATE CAPITAL,LLC</t>
        </is>
      </c>
      <c r="E5" t="inlineStr">
        <is>
          <t>223f</t>
        </is>
      </c>
      <c r="F5" t="inlineStr">
        <is>
          <t>RP</t>
        </is>
      </c>
      <c r="G5" t="n">
        <v>2017</v>
      </c>
      <c r="H5" t="inlineStr">
        <is>
          <t>202602</t>
        </is>
      </c>
      <c r="I5" s="22" t="n">
        <v>13751711.14</v>
      </c>
      <c r="J5" s="23" t="n">
        <v>3.15</v>
      </c>
      <c r="K5" s="24" t="n">
        <v>447</v>
      </c>
      <c r="L5" s="24" t="n">
        <v>5</v>
      </c>
      <c r="M5" t="n">
        <v>106</v>
      </c>
      <c r="N5" s="25" t="n">
        <v>9</v>
      </c>
      <c r="O5" t="n">
        <v>205205</v>
      </c>
      <c r="P5" t="inlineStr"/>
      <c r="Q5" t="inlineStr">
        <is>
          <t>3896</t>
        </is>
      </c>
      <c r="R5" s="26" t="n">
        <v>0.08490566037735849</v>
      </c>
      <c r="S5" t="n">
        <v>0</v>
      </c>
      <c r="T5" s="23">
        <f>LN(1+I5)</f>
        <v/>
      </c>
      <c r="U5" s="24">
        <f>J5*100-K5</f>
        <v/>
      </c>
      <c r="V5" s="24">
        <f>U5-12.5*(L5+1)</f>
        <v/>
      </c>
      <c r="W5" s="26">
        <f>IF(M5&lt;=V7_AGE_KNOT_X_0,V7_AGE_KNOT_Y_0,IF(M5&gt;=V7_AGE_KNOT_X_5,V7_AGE_KNOT_Y_5,IF(M5&lt;=V7_AGE_KNOT_X_1,V7_AGE_KNOT_Y_0+(M5-V7_AGE_KNOT_X_0)/(V7_AGE_KNOT_X_1-V7_AGE_KNOT_X_0)*(V7_AGE_KNOT_Y_1-V7_AGE_KNOT_Y_0),IF(M5&lt;=V7_AGE_KNOT_X_2,V7_AGE_KNOT_Y_1+(M5-V7_AGE_KNOT_X_1)/(V7_AGE_KNOT_X_2-V7_AGE_KNOT_X_1)*(V7_AGE_KNOT_Y_2-V7_AGE_KNOT_Y_1),IF(M5&lt;=V7_AGE_KNOT_X_3,V7_AGE_KNOT_Y_2+(M5-V7_AGE_KNOT_X_2)/(V7_AGE_KNOT_X_3-V7_AGE_KNOT_X_2)*(V7_AGE_KNOT_Y_3-V7_AGE_KNOT_Y_2),IF(M5&lt;=V7_AGE_KNOT_X_4,V7_AGE_KNOT_Y_3+(M5-V7_AGE_KNOT_X_3)/(V7_AGE_KNOT_X_4-V7_AGE_KNOT_X_3)*(V7_AGE_KNOT_Y_4-V7_AGE_KNOT_Y_3),V7_AGE_KNOT_Y_4+(M5-V7_AGE_KNOT_X_4)/(V7_AGE_KNOT_X_5-V7_AGE_KNOT_X_4)*(V7_AGE_KNOT_Y_5-V7_AGE_KNOT_Y_4)))))))</f>
        <v/>
      </c>
      <c r="X5" s="26">
        <f>V7_RATE_FLOOR+V7_RATE_ASYMPTOTE/(1+EXP(-(V5-V7_RATE_MID)/V7_RATE_SLOPE))</f>
        <v/>
      </c>
      <c r="Y5" s="26">
        <f>MAX(V7_SIZE_LOW,MIN(V7_SIZE_HIGH,V7_SIZE_INTERCEPT+V7_SIZE_SLOPE*(T5-V7_SIZE_LOG_ANCHOR)))</f>
        <v/>
      </c>
      <c r="Z5" s="26">
        <f>IF(ISNUMBER(SEARCH("232",E5)),VLOOKUP("232",V7_PROGRAM_TABLE,2,FALSE),IF(ISNUMBER(SEARCH("538",E5)),VLOOKUP("538",V7_PROGRAM_TABLE,2,FALSE),IF(ISNUMBER(SEARCH("223a7",E5)),VLOOKUP("223a7",V7_PROGRAM_TABLE,2,FALSE),IF(ISNUMBER(SEARCH("223f",E5)),VLOOKUP("223f",V7_PROGRAM_TABLE,2,FALSE),V7_PROGRAM_DEFAULT))))</f>
        <v/>
      </c>
      <c r="AA5" s="26">
        <f>IF(S5=1,1+V7_PURPOSE_NC_BUMP*MAX(0,1-ABS(M5-V7_PURPOSE_PEAK_AGE)/V7_PURPOSE_WIDTH),1)</f>
        <v/>
      </c>
      <c r="AB5" s="26">
        <f>IF(AND(IF(OR(P5="",NOT(ISNUMBER(P5))),0,MAX(0,MIN(24,(INT(VALUE(H5)/100)-INT(P5/100))*12+MOD(VALUE(H5),100)-MOD(P5,100))))&gt;0,IF(OR(P5="",NOT(ISNUMBER(P5))),0,MAX(0,MIN(24,(INT(VALUE(H5)/100)-INT(P5/100))*12+MOD(VALUE(H5),100)-MOD(P5,100))))&lt;=12),1+V7_LOCKOUT_AMP*EXP(-(IF(OR(P5="",NOT(ISNUMBER(P5))),0,MAX(0,MIN(24,(INT(VALUE(H5)/100)-INT(P5/100))*12+MOD(VALUE(H5),100)-MOD(P5,100)))))/V7_LOCKOUT_TAU),1)</f>
        <v/>
      </c>
      <c r="AC5" s="26">
        <f>IF(IF(OR(O5="",NOT(ISNUMBER(O5))),360,MAX(0,MIN(480,(INT(O5/100)-INT(VALUE(H5)/100))*12+MOD(O5,100)-MOD(VALUE(H5),100))))&gt;0,1+V7_MTY_AMP*MAX(0,(V7_MTY_CUTOFF-(IF(OR(O5="",NOT(ISNUMBER(O5))),360,MAX(0,MIN(480,(INT(O5/100)-INT(VALUE(H5)/100))*12+MOD(O5,100)-MOD(VALUE(H5),100))))))/V7_MTY_CUTOFF),1)</f>
        <v/>
      </c>
      <c r="AD5" s="26">
        <f>MAX(V7_BURN_FLOOR,1-V7_BURN_SLOPE*MIN(1,MAX(0,R5)))</f>
        <v/>
      </c>
      <c r="AE5" s="26">
        <f>IF(V7_USE_ISSUER=1,IFERROR(VLOOKUP(Q5,V7_ISSUER_TABLE,3,FALSE),1),1)</f>
        <v/>
      </c>
      <c r="AF5" s="26">
        <f>PRODUCT(W5:AE5)</f>
        <v/>
      </c>
      <c r="AG5" s="27">
        <f>MIN(V7_BASE_SMM*AF5,V7_SMM_CAP)</f>
        <v/>
      </c>
      <c r="AH5" s="28">
        <f>1-(1-AG5)^12</f>
        <v/>
      </c>
      <c r="AI5" s="28">
        <f>IFERROR(LN(W5)/(LN(W5)+LN(X5)+LN(Y5)+LN(Z5)+LN(AA5)+LN(AB5)+LN(AC5)+LN(AD5))*(AH5-V7_BASE_CPR),0)</f>
        <v/>
      </c>
      <c r="AJ5" s="28">
        <f>IFERROR(LN(X5)/(LN(W5)+LN(X5)+LN(Y5)+LN(Z5)+LN(AA5)+LN(AB5)+LN(AC5)+LN(AD5))*(AH5-V7_BASE_CPR),0)</f>
        <v/>
      </c>
      <c r="AK5" s="28">
        <f>IFERROR(LN(Y5)/(LN(W5)+LN(X5)+LN(Y5)+LN(Z5)+LN(AA5)+LN(AB5)+LN(AC5)+LN(AD5))*(AH5-V7_BASE_CPR),0)</f>
        <v/>
      </c>
      <c r="AL5" s="28">
        <f>IFERROR(LN(Z5)/(LN(W5)+LN(X5)+LN(Y5)+LN(Z5)+LN(AA5)+LN(AB5)+LN(AC5)+LN(AD5))*(AH5-V7_BASE_CPR),0)</f>
        <v/>
      </c>
      <c r="AM5" s="28">
        <f>IFERROR(LN(AA5)/(LN(W5)+LN(X5)+LN(Y5)+LN(Z5)+LN(AA5)+LN(AB5)+LN(AC5)+LN(AD5))*(AH5-V7_BASE_CPR),0)</f>
        <v/>
      </c>
      <c r="AN5" s="28">
        <f>IFERROR(LN(AB5)/(LN(W5)+LN(X5)+LN(Y5)+LN(Z5)+LN(AA5)+LN(AB5)+LN(AC5)+LN(AD5))*(AH5-V7_BASE_CPR),0)</f>
        <v/>
      </c>
      <c r="AO5" s="28">
        <f>IFERROR(LN(AC5)/(LN(W5)+LN(X5)+LN(Y5)+LN(Z5)+LN(AA5)+LN(AB5)+LN(AC5)+LN(AD5))*(AH5-V7_BASE_CPR),0)</f>
        <v/>
      </c>
      <c r="AP5" s="28">
        <f>IFERROR(LN(AD5)/(LN(W5)+LN(X5)+LN(Y5)+LN(Z5)+LN(AA5)+LN(AB5)+LN(AC5)+LN(AD5))*(AH5-V7_BASE_CPR),0)</f>
        <v/>
      </c>
      <c r="AQ5" s="29">
        <f>V7_BASE_CPR+SUM(AI5:AP5)-AH5</f>
        <v/>
      </c>
    </row>
    <row r="6">
      <c r="A6" s="2" t="inlineStr">
        <is>
          <t>3617GAE46_000000007122391</t>
        </is>
      </c>
      <c r="B6" t="inlineStr">
        <is>
          <t>LUMENT_PRE21</t>
        </is>
      </c>
      <c r="C6" s="2" t="inlineStr">
        <is>
          <t>3617GAE46</t>
        </is>
      </c>
      <c r="D6" t="inlineStr">
        <is>
          <t>LUMENT REAL ESTATE CAPITAL,LLC</t>
        </is>
      </c>
      <c r="E6" t="inlineStr">
        <is>
          <t>232</t>
        </is>
      </c>
      <c r="F6" t="inlineStr">
        <is>
          <t>RP</t>
        </is>
      </c>
      <c r="G6" t="n">
        <v>2018</v>
      </c>
      <c r="H6" t="inlineStr">
        <is>
          <t>202602</t>
        </is>
      </c>
      <c r="I6" s="22" t="n">
        <v>9767084.699999999</v>
      </c>
      <c r="J6" s="23" t="n">
        <v>3.58</v>
      </c>
      <c r="K6" s="24" t="n">
        <v>447</v>
      </c>
      <c r="L6" s="24" t="n">
        <v>4</v>
      </c>
      <c r="M6" t="n">
        <v>95</v>
      </c>
      <c r="N6" s="25" t="n">
        <v>27</v>
      </c>
      <c r="O6" t="n">
        <v>205304</v>
      </c>
      <c r="P6" t="inlineStr"/>
      <c r="Q6" t="inlineStr">
        <is>
          <t>3896</t>
        </is>
      </c>
      <c r="R6" s="26" t="n">
        <v>0.2842105263157895</v>
      </c>
      <c r="S6" t="n">
        <v>0</v>
      </c>
      <c r="T6" s="23">
        <f>LN(1+I6)</f>
        <v/>
      </c>
      <c r="U6" s="24">
        <f>J6*100-K6</f>
        <v/>
      </c>
      <c r="V6" s="24">
        <f>U6-12.5*(L6+1)</f>
        <v/>
      </c>
      <c r="W6" s="26">
        <f>IF(M6&lt;=V7_AGE_KNOT_X_0,V7_AGE_KNOT_Y_0,IF(M6&gt;=V7_AGE_KNOT_X_5,V7_AGE_KNOT_Y_5,IF(M6&lt;=V7_AGE_KNOT_X_1,V7_AGE_KNOT_Y_0+(M6-V7_AGE_KNOT_X_0)/(V7_AGE_KNOT_X_1-V7_AGE_KNOT_X_0)*(V7_AGE_KNOT_Y_1-V7_AGE_KNOT_Y_0),IF(M6&lt;=V7_AGE_KNOT_X_2,V7_AGE_KNOT_Y_1+(M6-V7_AGE_KNOT_X_1)/(V7_AGE_KNOT_X_2-V7_AGE_KNOT_X_1)*(V7_AGE_KNOT_Y_2-V7_AGE_KNOT_Y_1),IF(M6&lt;=V7_AGE_KNOT_X_3,V7_AGE_KNOT_Y_2+(M6-V7_AGE_KNOT_X_2)/(V7_AGE_KNOT_X_3-V7_AGE_KNOT_X_2)*(V7_AGE_KNOT_Y_3-V7_AGE_KNOT_Y_2),IF(M6&lt;=V7_AGE_KNOT_X_4,V7_AGE_KNOT_Y_3+(M6-V7_AGE_KNOT_X_3)/(V7_AGE_KNOT_X_4-V7_AGE_KNOT_X_3)*(V7_AGE_KNOT_Y_4-V7_AGE_KNOT_Y_3),V7_AGE_KNOT_Y_4+(M6-V7_AGE_KNOT_X_4)/(V7_AGE_KNOT_X_5-V7_AGE_KNOT_X_4)*(V7_AGE_KNOT_Y_5-V7_AGE_KNOT_Y_4)))))))</f>
        <v/>
      </c>
      <c r="X6" s="26">
        <f>V7_RATE_FLOOR+V7_RATE_ASYMPTOTE/(1+EXP(-(V6-V7_RATE_MID)/V7_RATE_SLOPE))</f>
        <v/>
      </c>
      <c r="Y6" s="26">
        <f>MAX(V7_SIZE_LOW,MIN(V7_SIZE_HIGH,V7_SIZE_INTERCEPT+V7_SIZE_SLOPE*(T6-V7_SIZE_LOG_ANCHOR)))</f>
        <v/>
      </c>
      <c r="Z6" s="26">
        <f>IF(ISNUMBER(SEARCH("232",E6)),VLOOKUP("232",V7_PROGRAM_TABLE,2,FALSE),IF(ISNUMBER(SEARCH("538",E6)),VLOOKUP("538",V7_PROGRAM_TABLE,2,FALSE),IF(ISNUMBER(SEARCH("223a7",E6)),VLOOKUP("223a7",V7_PROGRAM_TABLE,2,FALSE),IF(ISNUMBER(SEARCH("223f",E6)),VLOOKUP("223f",V7_PROGRAM_TABLE,2,FALSE),V7_PROGRAM_DEFAULT))))</f>
        <v/>
      </c>
      <c r="AA6" s="26">
        <f>IF(S6=1,1+V7_PURPOSE_NC_BUMP*MAX(0,1-ABS(M6-V7_PURPOSE_PEAK_AGE)/V7_PURPOSE_WIDTH),1)</f>
        <v/>
      </c>
      <c r="AB6" s="26">
        <f>IF(AND(IF(OR(P6="",NOT(ISNUMBER(P6))),0,MAX(0,MIN(24,(INT(VALUE(H6)/100)-INT(P6/100))*12+MOD(VALUE(H6),100)-MOD(P6,100))))&gt;0,IF(OR(P6="",NOT(ISNUMBER(P6))),0,MAX(0,MIN(24,(INT(VALUE(H6)/100)-INT(P6/100))*12+MOD(VALUE(H6),100)-MOD(P6,100))))&lt;=12),1+V7_LOCKOUT_AMP*EXP(-(IF(OR(P6="",NOT(ISNUMBER(P6))),0,MAX(0,MIN(24,(INT(VALUE(H6)/100)-INT(P6/100))*12+MOD(VALUE(H6),100)-MOD(P6,100)))))/V7_LOCKOUT_TAU),1)</f>
        <v/>
      </c>
      <c r="AC6" s="26">
        <f>IF(IF(OR(O6="",NOT(ISNUMBER(O6))),360,MAX(0,MIN(480,(INT(O6/100)-INT(VALUE(H6)/100))*12+MOD(O6,100)-MOD(VALUE(H6),100))))&gt;0,1+V7_MTY_AMP*MAX(0,(V7_MTY_CUTOFF-(IF(OR(O6="",NOT(ISNUMBER(O6))),360,MAX(0,MIN(480,(INT(O6/100)-INT(VALUE(H6)/100))*12+MOD(O6,100)-MOD(VALUE(H6),100))))))/V7_MTY_CUTOFF),1)</f>
        <v/>
      </c>
      <c r="AD6" s="26">
        <f>MAX(V7_BURN_FLOOR,1-V7_BURN_SLOPE*MIN(1,MAX(0,R6)))</f>
        <v/>
      </c>
      <c r="AE6" s="26">
        <f>IF(V7_USE_ISSUER=1,IFERROR(VLOOKUP(Q6,V7_ISSUER_TABLE,3,FALSE),1),1)</f>
        <v/>
      </c>
      <c r="AF6" s="26">
        <f>PRODUCT(W6:AE6)</f>
        <v/>
      </c>
      <c r="AG6" s="27">
        <f>MIN(V7_BASE_SMM*AF6,V7_SMM_CAP)</f>
        <v/>
      </c>
      <c r="AH6" s="28">
        <f>1-(1-AG6)^12</f>
        <v/>
      </c>
      <c r="AI6" s="28">
        <f>IFERROR(LN(W6)/(LN(W6)+LN(X6)+LN(Y6)+LN(Z6)+LN(AA6)+LN(AB6)+LN(AC6)+LN(AD6))*(AH6-V7_BASE_CPR),0)</f>
        <v/>
      </c>
      <c r="AJ6" s="28">
        <f>IFERROR(LN(X6)/(LN(W6)+LN(X6)+LN(Y6)+LN(Z6)+LN(AA6)+LN(AB6)+LN(AC6)+LN(AD6))*(AH6-V7_BASE_CPR),0)</f>
        <v/>
      </c>
      <c r="AK6" s="28">
        <f>IFERROR(LN(Y6)/(LN(W6)+LN(X6)+LN(Y6)+LN(Z6)+LN(AA6)+LN(AB6)+LN(AC6)+LN(AD6))*(AH6-V7_BASE_CPR),0)</f>
        <v/>
      </c>
      <c r="AL6" s="28">
        <f>IFERROR(LN(Z6)/(LN(W6)+LN(X6)+LN(Y6)+LN(Z6)+LN(AA6)+LN(AB6)+LN(AC6)+LN(AD6))*(AH6-V7_BASE_CPR),0)</f>
        <v/>
      </c>
      <c r="AM6" s="28">
        <f>IFERROR(LN(AA6)/(LN(W6)+LN(X6)+LN(Y6)+LN(Z6)+LN(AA6)+LN(AB6)+LN(AC6)+LN(AD6))*(AH6-V7_BASE_CPR),0)</f>
        <v/>
      </c>
      <c r="AN6" s="28">
        <f>IFERROR(LN(AB6)/(LN(W6)+LN(X6)+LN(Y6)+LN(Z6)+LN(AA6)+LN(AB6)+LN(AC6)+LN(AD6))*(AH6-V7_BASE_CPR),0)</f>
        <v/>
      </c>
      <c r="AO6" s="28">
        <f>IFERROR(LN(AC6)/(LN(W6)+LN(X6)+LN(Y6)+LN(Z6)+LN(AA6)+LN(AB6)+LN(AC6)+LN(AD6))*(AH6-V7_BASE_CPR),0)</f>
        <v/>
      </c>
      <c r="AP6" s="28">
        <f>IFERROR(LN(AD6)/(LN(W6)+LN(X6)+LN(Y6)+LN(Z6)+LN(AA6)+LN(AB6)+LN(AC6)+LN(AD6))*(AH6-V7_BASE_CPR),0)</f>
        <v/>
      </c>
      <c r="AQ6" s="29">
        <f>V7_BASE_CPR+SUM(AI6:AP6)-AH6</f>
        <v/>
      </c>
    </row>
    <row r="7">
      <c r="A7" s="2" t="inlineStr">
        <is>
          <t>3617X72J4_000000003422052</t>
        </is>
      </c>
      <c r="B7" t="inlineStr">
        <is>
          <t>LUMENT_PRE21</t>
        </is>
      </c>
      <c r="C7" s="2" t="inlineStr">
        <is>
          <t>3617X72J4</t>
        </is>
      </c>
      <c r="D7" t="inlineStr">
        <is>
          <t>LUMENT REAL ESTATE CAPITAL,LLC</t>
        </is>
      </c>
      <c r="E7" t="inlineStr">
        <is>
          <t>232</t>
        </is>
      </c>
      <c r="F7" t="inlineStr">
        <is>
          <t>RP</t>
        </is>
      </c>
      <c r="G7" t="n">
        <v>2011</v>
      </c>
      <c r="H7" t="inlineStr">
        <is>
          <t>202602</t>
        </is>
      </c>
      <c r="I7" s="22" t="n">
        <v>5069016.55</v>
      </c>
      <c r="J7" s="23" t="n">
        <v>3.05</v>
      </c>
      <c r="K7" s="24" t="n">
        <v>447</v>
      </c>
      <c r="L7" s="24" t="n">
        <v>6</v>
      </c>
      <c r="M7" t="n">
        <v>176</v>
      </c>
      <c r="N7" s="25" t="n">
        <v>0</v>
      </c>
      <c r="O7" t="n">
        <v>204607</v>
      </c>
      <c r="P7" t="inlineStr"/>
      <c r="Q7" t="inlineStr">
        <is>
          <t>3896</t>
        </is>
      </c>
      <c r="R7" s="26" t="n">
        <v>0</v>
      </c>
      <c r="S7" t="n">
        <v>0</v>
      </c>
      <c r="T7" s="23">
        <f>LN(1+I7)</f>
        <v/>
      </c>
      <c r="U7" s="24">
        <f>J7*100-K7</f>
        <v/>
      </c>
      <c r="V7" s="24">
        <f>U7-12.5*(L7+1)</f>
        <v/>
      </c>
      <c r="W7" s="26">
        <f>IF(M7&lt;=V7_AGE_KNOT_X_0,V7_AGE_KNOT_Y_0,IF(M7&gt;=V7_AGE_KNOT_X_5,V7_AGE_KNOT_Y_5,IF(M7&lt;=V7_AGE_KNOT_X_1,V7_AGE_KNOT_Y_0+(M7-V7_AGE_KNOT_X_0)/(V7_AGE_KNOT_X_1-V7_AGE_KNOT_X_0)*(V7_AGE_KNOT_Y_1-V7_AGE_KNOT_Y_0),IF(M7&lt;=V7_AGE_KNOT_X_2,V7_AGE_KNOT_Y_1+(M7-V7_AGE_KNOT_X_1)/(V7_AGE_KNOT_X_2-V7_AGE_KNOT_X_1)*(V7_AGE_KNOT_Y_2-V7_AGE_KNOT_Y_1),IF(M7&lt;=V7_AGE_KNOT_X_3,V7_AGE_KNOT_Y_2+(M7-V7_AGE_KNOT_X_2)/(V7_AGE_KNOT_X_3-V7_AGE_KNOT_X_2)*(V7_AGE_KNOT_Y_3-V7_AGE_KNOT_Y_2),IF(M7&lt;=V7_AGE_KNOT_X_4,V7_AGE_KNOT_Y_3+(M7-V7_AGE_KNOT_X_3)/(V7_AGE_KNOT_X_4-V7_AGE_KNOT_X_3)*(V7_AGE_KNOT_Y_4-V7_AGE_KNOT_Y_3),V7_AGE_KNOT_Y_4+(M7-V7_AGE_KNOT_X_4)/(V7_AGE_KNOT_X_5-V7_AGE_KNOT_X_4)*(V7_AGE_KNOT_Y_5-V7_AGE_KNOT_Y_4)))))))</f>
        <v/>
      </c>
      <c r="X7" s="26">
        <f>V7_RATE_FLOOR+V7_RATE_ASYMPTOTE/(1+EXP(-(V7-V7_RATE_MID)/V7_RATE_SLOPE))</f>
        <v/>
      </c>
      <c r="Y7" s="26">
        <f>MAX(V7_SIZE_LOW,MIN(V7_SIZE_HIGH,V7_SIZE_INTERCEPT+V7_SIZE_SLOPE*(T7-V7_SIZE_LOG_ANCHOR)))</f>
        <v/>
      </c>
      <c r="Z7" s="26">
        <f>IF(ISNUMBER(SEARCH("232",E7)),VLOOKUP("232",V7_PROGRAM_TABLE,2,FALSE),IF(ISNUMBER(SEARCH("538",E7)),VLOOKUP("538",V7_PROGRAM_TABLE,2,FALSE),IF(ISNUMBER(SEARCH("223a7",E7)),VLOOKUP("223a7",V7_PROGRAM_TABLE,2,FALSE),IF(ISNUMBER(SEARCH("223f",E7)),VLOOKUP("223f",V7_PROGRAM_TABLE,2,FALSE),V7_PROGRAM_DEFAULT))))</f>
        <v/>
      </c>
      <c r="AA7" s="26">
        <f>IF(S7=1,1+V7_PURPOSE_NC_BUMP*MAX(0,1-ABS(M7-V7_PURPOSE_PEAK_AGE)/V7_PURPOSE_WIDTH),1)</f>
        <v/>
      </c>
      <c r="AB7" s="26">
        <f>IF(AND(IF(OR(P7="",NOT(ISNUMBER(P7))),0,MAX(0,MIN(24,(INT(VALUE(H7)/100)-INT(P7/100))*12+MOD(VALUE(H7),100)-MOD(P7,100))))&gt;0,IF(OR(P7="",NOT(ISNUMBER(P7))),0,MAX(0,MIN(24,(INT(VALUE(H7)/100)-INT(P7/100))*12+MOD(VALUE(H7),100)-MOD(P7,100))))&lt;=12),1+V7_LOCKOUT_AMP*EXP(-(IF(OR(P7="",NOT(ISNUMBER(P7))),0,MAX(0,MIN(24,(INT(VALUE(H7)/100)-INT(P7/100))*12+MOD(VALUE(H7),100)-MOD(P7,100)))))/V7_LOCKOUT_TAU),1)</f>
        <v/>
      </c>
      <c r="AC7" s="26">
        <f>IF(IF(OR(O7="",NOT(ISNUMBER(O7))),360,MAX(0,MIN(480,(INT(O7/100)-INT(VALUE(H7)/100))*12+MOD(O7,100)-MOD(VALUE(H7),100))))&gt;0,1+V7_MTY_AMP*MAX(0,(V7_MTY_CUTOFF-(IF(OR(O7="",NOT(ISNUMBER(O7))),360,MAX(0,MIN(480,(INT(O7/100)-INT(VALUE(H7)/100))*12+MOD(O7,100)-MOD(VALUE(H7),100))))))/V7_MTY_CUTOFF),1)</f>
        <v/>
      </c>
      <c r="AD7" s="26">
        <f>MAX(V7_BURN_FLOOR,1-V7_BURN_SLOPE*MIN(1,MAX(0,R7)))</f>
        <v/>
      </c>
      <c r="AE7" s="26">
        <f>IF(V7_USE_ISSUER=1,IFERROR(VLOOKUP(Q7,V7_ISSUER_TABLE,3,FALSE),1),1)</f>
        <v/>
      </c>
      <c r="AF7" s="26">
        <f>PRODUCT(W7:AE7)</f>
        <v/>
      </c>
      <c r="AG7" s="27">
        <f>MIN(V7_BASE_SMM*AF7,V7_SMM_CAP)</f>
        <v/>
      </c>
      <c r="AH7" s="28">
        <f>1-(1-AG7)^12</f>
        <v/>
      </c>
      <c r="AI7" s="28">
        <f>IFERROR(LN(W7)/(LN(W7)+LN(X7)+LN(Y7)+LN(Z7)+LN(AA7)+LN(AB7)+LN(AC7)+LN(AD7))*(AH7-V7_BASE_CPR),0)</f>
        <v/>
      </c>
      <c r="AJ7" s="28">
        <f>IFERROR(LN(X7)/(LN(W7)+LN(X7)+LN(Y7)+LN(Z7)+LN(AA7)+LN(AB7)+LN(AC7)+LN(AD7))*(AH7-V7_BASE_CPR),0)</f>
        <v/>
      </c>
      <c r="AK7" s="28">
        <f>IFERROR(LN(Y7)/(LN(W7)+LN(X7)+LN(Y7)+LN(Z7)+LN(AA7)+LN(AB7)+LN(AC7)+LN(AD7))*(AH7-V7_BASE_CPR),0)</f>
        <v/>
      </c>
      <c r="AL7" s="28">
        <f>IFERROR(LN(Z7)/(LN(W7)+LN(X7)+LN(Y7)+LN(Z7)+LN(AA7)+LN(AB7)+LN(AC7)+LN(AD7))*(AH7-V7_BASE_CPR),0)</f>
        <v/>
      </c>
      <c r="AM7" s="28">
        <f>IFERROR(LN(AA7)/(LN(W7)+LN(X7)+LN(Y7)+LN(Z7)+LN(AA7)+LN(AB7)+LN(AC7)+LN(AD7))*(AH7-V7_BASE_CPR),0)</f>
        <v/>
      </c>
      <c r="AN7" s="28">
        <f>IFERROR(LN(AB7)/(LN(W7)+LN(X7)+LN(Y7)+LN(Z7)+LN(AA7)+LN(AB7)+LN(AC7)+LN(AD7))*(AH7-V7_BASE_CPR),0)</f>
        <v/>
      </c>
      <c r="AO7" s="28">
        <f>IFERROR(LN(AC7)/(LN(W7)+LN(X7)+LN(Y7)+LN(Z7)+LN(AA7)+LN(AB7)+LN(AC7)+LN(AD7))*(AH7-V7_BASE_CPR),0)</f>
        <v/>
      </c>
      <c r="AP7" s="28">
        <f>IFERROR(LN(AD7)/(LN(W7)+LN(X7)+LN(Y7)+LN(Z7)+LN(AA7)+LN(AB7)+LN(AC7)+LN(AD7))*(AH7-V7_BASE_CPR),0)</f>
        <v/>
      </c>
      <c r="AQ7" s="29">
        <f>V7_BASE_CPR+SUM(AI7:AP7)-AH7</f>
        <v/>
      </c>
    </row>
    <row r="8">
      <c r="A8" s="2" t="inlineStr">
        <is>
          <t>3617X74P8_000000007343145</t>
        </is>
      </c>
      <c r="B8" t="inlineStr">
        <is>
          <t>LUMENT_PRE21</t>
        </is>
      </c>
      <c r="C8" s="2" t="inlineStr">
        <is>
          <t>3617X74P8</t>
        </is>
      </c>
      <c r="D8" t="inlineStr">
        <is>
          <t>LUMENT REAL ESTATE CAPITAL,LLC</t>
        </is>
      </c>
      <c r="E8" t="inlineStr">
        <is>
          <t>232</t>
        </is>
      </c>
      <c r="F8" t="inlineStr">
        <is>
          <t>RP</t>
        </is>
      </c>
      <c r="G8" t="n">
        <v>2013</v>
      </c>
      <c r="H8" t="inlineStr">
        <is>
          <t>202602</t>
        </is>
      </c>
      <c r="I8" s="22" t="n">
        <v>11587614.33</v>
      </c>
      <c r="J8" s="23" t="n">
        <v>3.42</v>
      </c>
      <c r="K8" s="24" t="n">
        <v>447</v>
      </c>
      <c r="L8" s="24" t="n">
        <v>6</v>
      </c>
      <c r="M8" t="n">
        <v>148</v>
      </c>
      <c r="N8" s="25" t="n">
        <v>1</v>
      </c>
      <c r="O8" t="n">
        <v>205108</v>
      </c>
      <c r="P8" t="inlineStr"/>
      <c r="Q8" t="inlineStr">
        <is>
          <t>3896</t>
        </is>
      </c>
      <c r="R8" s="26" t="n">
        <v>0.006756756756756757</v>
      </c>
      <c r="S8" t="n">
        <v>0</v>
      </c>
      <c r="T8" s="23">
        <f>LN(1+I8)</f>
        <v/>
      </c>
      <c r="U8" s="24">
        <f>J8*100-K8</f>
        <v/>
      </c>
      <c r="V8" s="24">
        <f>U8-12.5*(L8+1)</f>
        <v/>
      </c>
      <c r="W8" s="26">
        <f>IF(M8&lt;=V7_AGE_KNOT_X_0,V7_AGE_KNOT_Y_0,IF(M8&gt;=V7_AGE_KNOT_X_5,V7_AGE_KNOT_Y_5,IF(M8&lt;=V7_AGE_KNOT_X_1,V7_AGE_KNOT_Y_0+(M8-V7_AGE_KNOT_X_0)/(V7_AGE_KNOT_X_1-V7_AGE_KNOT_X_0)*(V7_AGE_KNOT_Y_1-V7_AGE_KNOT_Y_0),IF(M8&lt;=V7_AGE_KNOT_X_2,V7_AGE_KNOT_Y_1+(M8-V7_AGE_KNOT_X_1)/(V7_AGE_KNOT_X_2-V7_AGE_KNOT_X_1)*(V7_AGE_KNOT_Y_2-V7_AGE_KNOT_Y_1),IF(M8&lt;=V7_AGE_KNOT_X_3,V7_AGE_KNOT_Y_2+(M8-V7_AGE_KNOT_X_2)/(V7_AGE_KNOT_X_3-V7_AGE_KNOT_X_2)*(V7_AGE_KNOT_Y_3-V7_AGE_KNOT_Y_2),IF(M8&lt;=V7_AGE_KNOT_X_4,V7_AGE_KNOT_Y_3+(M8-V7_AGE_KNOT_X_3)/(V7_AGE_KNOT_X_4-V7_AGE_KNOT_X_3)*(V7_AGE_KNOT_Y_4-V7_AGE_KNOT_Y_3),V7_AGE_KNOT_Y_4+(M8-V7_AGE_KNOT_X_4)/(V7_AGE_KNOT_X_5-V7_AGE_KNOT_X_4)*(V7_AGE_KNOT_Y_5-V7_AGE_KNOT_Y_4)))))))</f>
        <v/>
      </c>
      <c r="X8" s="26">
        <f>V7_RATE_FLOOR+V7_RATE_ASYMPTOTE/(1+EXP(-(V8-V7_RATE_MID)/V7_RATE_SLOPE))</f>
        <v/>
      </c>
      <c r="Y8" s="26">
        <f>MAX(V7_SIZE_LOW,MIN(V7_SIZE_HIGH,V7_SIZE_INTERCEPT+V7_SIZE_SLOPE*(T8-V7_SIZE_LOG_ANCHOR)))</f>
        <v/>
      </c>
      <c r="Z8" s="26">
        <f>IF(ISNUMBER(SEARCH("232",E8)),VLOOKUP("232",V7_PROGRAM_TABLE,2,FALSE),IF(ISNUMBER(SEARCH("538",E8)),VLOOKUP("538",V7_PROGRAM_TABLE,2,FALSE),IF(ISNUMBER(SEARCH("223a7",E8)),VLOOKUP("223a7",V7_PROGRAM_TABLE,2,FALSE),IF(ISNUMBER(SEARCH("223f",E8)),VLOOKUP("223f",V7_PROGRAM_TABLE,2,FALSE),V7_PROGRAM_DEFAULT))))</f>
        <v/>
      </c>
      <c r="AA8" s="26">
        <f>IF(S8=1,1+V7_PURPOSE_NC_BUMP*MAX(0,1-ABS(M8-V7_PURPOSE_PEAK_AGE)/V7_PURPOSE_WIDTH),1)</f>
        <v/>
      </c>
      <c r="AB8" s="26">
        <f>IF(AND(IF(OR(P8="",NOT(ISNUMBER(P8))),0,MAX(0,MIN(24,(INT(VALUE(H8)/100)-INT(P8/100))*12+MOD(VALUE(H8),100)-MOD(P8,100))))&gt;0,IF(OR(P8="",NOT(ISNUMBER(P8))),0,MAX(0,MIN(24,(INT(VALUE(H8)/100)-INT(P8/100))*12+MOD(VALUE(H8),100)-MOD(P8,100))))&lt;=12),1+V7_LOCKOUT_AMP*EXP(-(IF(OR(P8="",NOT(ISNUMBER(P8))),0,MAX(0,MIN(24,(INT(VALUE(H8)/100)-INT(P8/100))*12+MOD(VALUE(H8),100)-MOD(P8,100)))))/V7_LOCKOUT_TAU),1)</f>
        <v/>
      </c>
      <c r="AC8" s="26">
        <f>IF(IF(OR(O8="",NOT(ISNUMBER(O8))),360,MAX(0,MIN(480,(INT(O8/100)-INT(VALUE(H8)/100))*12+MOD(O8,100)-MOD(VALUE(H8),100))))&gt;0,1+V7_MTY_AMP*MAX(0,(V7_MTY_CUTOFF-(IF(OR(O8="",NOT(ISNUMBER(O8))),360,MAX(0,MIN(480,(INT(O8/100)-INT(VALUE(H8)/100))*12+MOD(O8,100)-MOD(VALUE(H8),100))))))/V7_MTY_CUTOFF),1)</f>
        <v/>
      </c>
      <c r="AD8" s="26">
        <f>MAX(V7_BURN_FLOOR,1-V7_BURN_SLOPE*MIN(1,MAX(0,R8)))</f>
        <v/>
      </c>
      <c r="AE8" s="26">
        <f>IF(V7_USE_ISSUER=1,IFERROR(VLOOKUP(Q8,V7_ISSUER_TABLE,3,FALSE),1),1)</f>
        <v/>
      </c>
      <c r="AF8" s="26">
        <f>PRODUCT(W8:AE8)</f>
        <v/>
      </c>
      <c r="AG8" s="27">
        <f>MIN(V7_BASE_SMM*AF8,V7_SMM_CAP)</f>
        <v/>
      </c>
      <c r="AH8" s="28">
        <f>1-(1-AG8)^12</f>
        <v/>
      </c>
      <c r="AI8" s="28">
        <f>IFERROR(LN(W8)/(LN(W8)+LN(X8)+LN(Y8)+LN(Z8)+LN(AA8)+LN(AB8)+LN(AC8)+LN(AD8))*(AH8-V7_BASE_CPR),0)</f>
        <v/>
      </c>
      <c r="AJ8" s="28">
        <f>IFERROR(LN(X8)/(LN(W8)+LN(X8)+LN(Y8)+LN(Z8)+LN(AA8)+LN(AB8)+LN(AC8)+LN(AD8))*(AH8-V7_BASE_CPR),0)</f>
        <v/>
      </c>
      <c r="AK8" s="28">
        <f>IFERROR(LN(Y8)/(LN(W8)+LN(X8)+LN(Y8)+LN(Z8)+LN(AA8)+LN(AB8)+LN(AC8)+LN(AD8))*(AH8-V7_BASE_CPR),0)</f>
        <v/>
      </c>
      <c r="AL8" s="28">
        <f>IFERROR(LN(Z8)/(LN(W8)+LN(X8)+LN(Y8)+LN(Z8)+LN(AA8)+LN(AB8)+LN(AC8)+LN(AD8))*(AH8-V7_BASE_CPR),0)</f>
        <v/>
      </c>
      <c r="AM8" s="28">
        <f>IFERROR(LN(AA8)/(LN(W8)+LN(X8)+LN(Y8)+LN(Z8)+LN(AA8)+LN(AB8)+LN(AC8)+LN(AD8))*(AH8-V7_BASE_CPR),0)</f>
        <v/>
      </c>
      <c r="AN8" s="28">
        <f>IFERROR(LN(AB8)/(LN(W8)+LN(X8)+LN(Y8)+LN(Z8)+LN(AA8)+LN(AB8)+LN(AC8)+LN(AD8))*(AH8-V7_BASE_CPR),0)</f>
        <v/>
      </c>
      <c r="AO8" s="28">
        <f>IFERROR(LN(AC8)/(LN(W8)+LN(X8)+LN(Y8)+LN(Z8)+LN(AA8)+LN(AB8)+LN(AC8)+LN(AD8))*(AH8-V7_BASE_CPR),0)</f>
        <v/>
      </c>
      <c r="AP8" s="28">
        <f>IFERROR(LN(AD8)/(LN(W8)+LN(X8)+LN(Y8)+LN(Z8)+LN(AA8)+LN(AB8)+LN(AC8)+LN(AD8))*(AH8-V7_BASE_CPR),0)</f>
        <v/>
      </c>
      <c r="AQ8" s="29">
        <f>V7_BASE_CPR+SUM(AI8:AP8)-AH8</f>
        <v/>
      </c>
    </row>
    <row r="9">
      <c r="A9" s="2" t="inlineStr">
        <is>
          <t>3620AEYZ7_000000010535179</t>
        </is>
      </c>
      <c r="B9" t="inlineStr">
        <is>
          <t>LUMENT_PRE21</t>
        </is>
      </c>
      <c r="C9" s="2" t="inlineStr">
        <is>
          <t>3620AEYZ7</t>
        </is>
      </c>
      <c r="D9" t="inlineStr">
        <is>
          <t>LUMENT REAL ESTATE CAPITAL,LLC</t>
        </is>
      </c>
      <c r="E9" t="inlineStr">
        <is>
          <t>OTHER</t>
        </is>
      </c>
      <c r="F9" t="inlineStr">
        <is>
          <t>OTHER</t>
        </is>
      </c>
      <c r="G9" t="n">
        <v>2010</v>
      </c>
      <c r="H9" t="inlineStr">
        <is>
          <t>202602</t>
        </is>
      </c>
      <c r="I9" s="22" t="n">
        <v>7782165.94</v>
      </c>
      <c r="J9" s="23" t="n">
        <v>3.38</v>
      </c>
      <c r="K9" s="24" t="n">
        <v>447</v>
      </c>
      <c r="L9" s="24" t="n">
        <v>0</v>
      </c>
      <c r="M9" t="n">
        <v>182</v>
      </c>
      <c r="N9" s="25" t="n">
        <v>36</v>
      </c>
      <c r="O9" t="n">
        <v>205206</v>
      </c>
      <c r="P9" t="inlineStr"/>
      <c r="Q9" t="inlineStr">
        <is>
          <t>3896</t>
        </is>
      </c>
      <c r="R9" s="26" t="n">
        <v>0.1978021978021978</v>
      </c>
      <c r="S9" t="n">
        <v>0</v>
      </c>
      <c r="T9" s="23">
        <f>LN(1+I9)</f>
        <v/>
      </c>
      <c r="U9" s="24">
        <f>J9*100-K9</f>
        <v/>
      </c>
      <c r="V9" s="24">
        <f>U9-12.5*(L9+1)</f>
        <v/>
      </c>
      <c r="W9" s="26">
        <f>IF(M9&lt;=V7_AGE_KNOT_X_0,V7_AGE_KNOT_Y_0,IF(M9&gt;=V7_AGE_KNOT_X_5,V7_AGE_KNOT_Y_5,IF(M9&lt;=V7_AGE_KNOT_X_1,V7_AGE_KNOT_Y_0+(M9-V7_AGE_KNOT_X_0)/(V7_AGE_KNOT_X_1-V7_AGE_KNOT_X_0)*(V7_AGE_KNOT_Y_1-V7_AGE_KNOT_Y_0),IF(M9&lt;=V7_AGE_KNOT_X_2,V7_AGE_KNOT_Y_1+(M9-V7_AGE_KNOT_X_1)/(V7_AGE_KNOT_X_2-V7_AGE_KNOT_X_1)*(V7_AGE_KNOT_Y_2-V7_AGE_KNOT_Y_1),IF(M9&lt;=V7_AGE_KNOT_X_3,V7_AGE_KNOT_Y_2+(M9-V7_AGE_KNOT_X_2)/(V7_AGE_KNOT_X_3-V7_AGE_KNOT_X_2)*(V7_AGE_KNOT_Y_3-V7_AGE_KNOT_Y_2),IF(M9&lt;=V7_AGE_KNOT_X_4,V7_AGE_KNOT_Y_3+(M9-V7_AGE_KNOT_X_3)/(V7_AGE_KNOT_X_4-V7_AGE_KNOT_X_3)*(V7_AGE_KNOT_Y_4-V7_AGE_KNOT_Y_3),V7_AGE_KNOT_Y_4+(M9-V7_AGE_KNOT_X_4)/(V7_AGE_KNOT_X_5-V7_AGE_KNOT_X_4)*(V7_AGE_KNOT_Y_5-V7_AGE_KNOT_Y_4)))))))</f>
        <v/>
      </c>
      <c r="X9" s="26">
        <f>V7_RATE_FLOOR+V7_RATE_ASYMPTOTE/(1+EXP(-(V9-V7_RATE_MID)/V7_RATE_SLOPE))</f>
        <v/>
      </c>
      <c r="Y9" s="26">
        <f>MAX(V7_SIZE_LOW,MIN(V7_SIZE_HIGH,V7_SIZE_INTERCEPT+V7_SIZE_SLOPE*(T9-V7_SIZE_LOG_ANCHOR)))</f>
        <v/>
      </c>
      <c r="Z9" s="26">
        <f>IF(ISNUMBER(SEARCH("232",E9)),VLOOKUP("232",V7_PROGRAM_TABLE,2,FALSE),IF(ISNUMBER(SEARCH("538",E9)),VLOOKUP("538",V7_PROGRAM_TABLE,2,FALSE),IF(ISNUMBER(SEARCH("223a7",E9)),VLOOKUP("223a7",V7_PROGRAM_TABLE,2,FALSE),IF(ISNUMBER(SEARCH("223f",E9)),VLOOKUP("223f",V7_PROGRAM_TABLE,2,FALSE),V7_PROGRAM_DEFAULT))))</f>
        <v/>
      </c>
      <c r="AA9" s="26">
        <f>IF(S9=1,1+V7_PURPOSE_NC_BUMP*MAX(0,1-ABS(M9-V7_PURPOSE_PEAK_AGE)/V7_PURPOSE_WIDTH),1)</f>
        <v/>
      </c>
      <c r="AB9" s="26">
        <f>IF(AND(IF(OR(P9="",NOT(ISNUMBER(P9))),0,MAX(0,MIN(24,(INT(VALUE(H9)/100)-INT(P9/100))*12+MOD(VALUE(H9),100)-MOD(P9,100))))&gt;0,IF(OR(P9="",NOT(ISNUMBER(P9))),0,MAX(0,MIN(24,(INT(VALUE(H9)/100)-INT(P9/100))*12+MOD(VALUE(H9),100)-MOD(P9,100))))&lt;=12),1+V7_LOCKOUT_AMP*EXP(-(IF(OR(P9="",NOT(ISNUMBER(P9))),0,MAX(0,MIN(24,(INT(VALUE(H9)/100)-INT(P9/100))*12+MOD(VALUE(H9),100)-MOD(P9,100)))))/V7_LOCKOUT_TAU),1)</f>
        <v/>
      </c>
      <c r="AC9" s="26">
        <f>IF(IF(OR(O9="",NOT(ISNUMBER(O9))),360,MAX(0,MIN(480,(INT(O9/100)-INT(VALUE(H9)/100))*12+MOD(O9,100)-MOD(VALUE(H9),100))))&gt;0,1+V7_MTY_AMP*MAX(0,(V7_MTY_CUTOFF-(IF(OR(O9="",NOT(ISNUMBER(O9))),360,MAX(0,MIN(480,(INT(O9/100)-INT(VALUE(H9)/100))*12+MOD(O9,100)-MOD(VALUE(H9),100))))))/V7_MTY_CUTOFF),1)</f>
        <v/>
      </c>
      <c r="AD9" s="26">
        <f>MAX(V7_BURN_FLOOR,1-V7_BURN_SLOPE*MIN(1,MAX(0,R9)))</f>
        <v/>
      </c>
      <c r="AE9" s="26">
        <f>IF(V7_USE_ISSUER=1,IFERROR(VLOOKUP(Q9,V7_ISSUER_TABLE,3,FALSE),1),1)</f>
        <v/>
      </c>
      <c r="AF9" s="26">
        <f>PRODUCT(W9:AE9)</f>
        <v/>
      </c>
      <c r="AG9" s="27">
        <f>MIN(V7_BASE_SMM*AF9,V7_SMM_CAP)</f>
        <v/>
      </c>
      <c r="AH9" s="28">
        <f>1-(1-AG9)^12</f>
        <v/>
      </c>
      <c r="AI9" s="28">
        <f>IFERROR(LN(W9)/(LN(W9)+LN(X9)+LN(Y9)+LN(Z9)+LN(AA9)+LN(AB9)+LN(AC9)+LN(AD9))*(AH9-V7_BASE_CPR),0)</f>
        <v/>
      </c>
      <c r="AJ9" s="28">
        <f>IFERROR(LN(X9)/(LN(W9)+LN(X9)+LN(Y9)+LN(Z9)+LN(AA9)+LN(AB9)+LN(AC9)+LN(AD9))*(AH9-V7_BASE_CPR),0)</f>
        <v/>
      </c>
      <c r="AK9" s="28">
        <f>IFERROR(LN(Y9)/(LN(W9)+LN(X9)+LN(Y9)+LN(Z9)+LN(AA9)+LN(AB9)+LN(AC9)+LN(AD9))*(AH9-V7_BASE_CPR),0)</f>
        <v/>
      </c>
      <c r="AL9" s="28">
        <f>IFERROR(LN(Z9)/(LN(W9)+LN(X9)+LN(Y9)+LN(Z9)+LN(AA9)+LN(AB9)+LN(AC9)+LN(AD9))*(AH9-V7_BASE_CPR),0)</f>
        <v/>
      </c>
      <c r="AM9" s="28">
        <f>IFERROR(LN(AA9)/(LN(W9)+LN(X9)+LN(Y9)+LN(Z9)+LN(AA9)+LN(AB9)+LN(AC9)+LN(AD9))*(AH9-V7_BASE_CPR),0)</f>
        <v/>
      </c>
      <c r="AN9" s="28">
        <f>IFERROR(LN(AB9)/(LN(W9)+LN(X9)+LN(Y9)+LN(Z9)+LN(AA9)+LN(AB9)+LN(AC9)+LN(AD9))*(AH9-V7_BASE_CPR),0)</f>
        <v/>
      </c>
      <c r="AO9" s="28">
        <f>IFERROR(LN(AC9)/(LN(W9)+LN(X9)+LN(Y9)+LN(Z9)+LN(AA9)+LN(AB9)+LN(AC9)+LN(AD9))*(AH9-V7_BASE_CPR),0)</f>
        <v/>
      </c>
      <c r="AP9" s="28">
        <f>IFERROR(LN(AD9)/(LN(W9)+LN(X9)+LN(Y9)+LN(Z9)+LN(AA9)+LN(AB9)+LN(AC9)+LN(AD9))*(AH9-V7_BASE_CPR),0)</f>
        <v/>
      </c>
      <c r="AQ9" s="29">
        <f>V7_BASE_CPR+SUM(AI9:AP9)-AH9</f>
        <v/>
      </c>
    </row>
    <row r="10">
      <c r="A10" s="2" t="inlineStr">
        <is>
          <t>3618BNC43_000000001211581</t>
        </is>
      </c>
      <c r="B10" t="inlineStr">
        <is>
          <t>LUMENT_POST21</t>
        </is>
      </c>
      <c r="C10" s="2" t="inlineStr">
        <is>
          <t>3618BNC43</t>
        </is>
      </c>
      <c r="D10" t="inlineStr">
        <is>
          <t>LUMENT REAL ESTATE CAPITAL,LLC</t>
        </is>
      </c>
      <c r="E10" t="inlineStr">
        <is>
          <t>223f</t>
        </is>
      </c>
      <c r="F10" t="inlineStr">
        <is>
          <t>RP</t>
        </is>
      </c>
      <c r="G10" t="n">
        <v>2023</v>
      </c>
      <c r="H10" t="inlineStr">
        <is>
          <t>202602</t>
        </is>
      </c>
      <c r="I10" s="22" t="n">
        <v>30791262.42</v>
      </c>
      <c r="J10" s="23" t="n">
        <v>5.36</v>
      </c>
      <c r="K10" s="24" t="n">
        <v>447</v>
      </c>
      <c r="L10" s="24" t="n">
        <v>8</v>
      </c>
      <c r="M10" t="n">
        <v>32</v>
      </c>
      <c r="N10" s="25" t="n">
        <v>0</v>
      </c>
      <c r="O10" t="n">
        <v>205707</v>
      </c>
      <c r="P10" t="inlineStr"/>
      <c r="Q10" t="inlineStr">
        <is>
          <t>3896</t>
        </is>
      </c>
      <c r="R10" s="26" t="n">
        <v>0</v>
      </c>
      <c r="S10" t="n">
        <v>0</v>
      </c>
      <c r="T10" s="23">
        <f>LN(1+I10)</f>
        <v/>
      </c>
      <c r="U10" s="24">
        <f>J10*100-K10</f>
        <v/>
      </c>
      <c r="V10" s="24">
        <f>U10-12.5*(L10+1)</f>
        <v/>
      </c>
      <c r="W10" s="26">
        <f>IF(M10&lt;=V7_AGE_KNOT_X_0,V7_AGE_KNOT_Y_0,IF(M10&gt;=V7_AGE_KNOT_X_5,V7_AGE_KNOT_Y_5,IF(M10&lt;=V7_AGE_KNOT_X_1,V7_AGE_KNOT_Y_0+(M10-V7_AGE_KNOT_X_0)/(V7_AGE_KNOT_X_1-V7_AGE_KNOT_X_0)*(V7_AGE_KNOT_Y_1-V7_AGE_KNOT_Y_0),IF(M10&lt;=V7_AGE_KNOT_X_2,V7_AGE_KNOT_Y_1+(M10-V7_AGE_KNOT_X_1)/(V7_AGE_KNOT_X_2-V7_AGE_KNOT_X_1)*(V7_AGE_KNOT_Y_2-V7_AGE_KNOT_Y_1),IF(M10&lt;=V7_AGE_KNOT_X_3,V7_AGE_KNOT_Y_2+(M10-V7_AGE_KNOT_X_2)/(V7_AGE_KNOT_X_3-V7_AGE_KNOT_X_2)*(V7_AGE_KNOT_Y_3-V7_AGE_KNOT_Y_2),IF(M10&lt;=V7_AGE_KNOT_X_4,V7_AGE_KNOT_Y_3+(M10-V7_AGE_KNOT_X_3)/(V7_AGE_KNOT_X_4-V7_AGE_KNOT_X_3)*(V7_AGE_KNOT_Y_4-V7_AGE_KNOT_Y_3),V7_AGE_KNOT_Y_4+(M10-V7_AGE_KNOT_X_4)/(V7_AGE_KNOT_X_5-V7_AGE_KNOT_X_4)*(V7_AGE_KNOT_Y_5-V7_AGE_KNOT_Y_4)))))))</f>
        <v/>
      </c>
      <c r="X10" s="26">
        <f>V7_RATE_FLOOR+V7_RATE_ASYMPTOTE/(1+EXP(-(V10-V7_RATE_MID)/V7_RATE_SLOPE))</f>
        <v/>
      </c>
      <c r="Y10" s="26">
        <f>MAX(V7_SIZE_LOW,MIN(V7_SIZE_HIGH,V7_SIZE_INTERCEPT+V7_SIZE_SLOPE*(T10-V7_SIZE_LOG_ANCHOR)))</f>
        <v/>
      </c>
      <c r="Z10" s="26">
        <f>IF(ISNUMBER(SEARCH("232",E10)),VLOOKUP("232",V7_PROGRAM_TABLE,2,FALSE),IF(ISNUMBER(SEARCH("538",E10)),VLOOKUP("538",V7_PROGRAM_TABLE,2,FALSE),IF(ISNUMBER(SEARCH("223a7",E10)),VLOOKUP("223a7",V7_PROGRAM_TABLE,2,FALSE),IF(ISNUMBER(SEARCH("223f",E10)),VLOOKUP("223f",V7_PROGRAM_TABLE,2,FALSE),V7_PROGRAM_DEFAULT))))</f>
        <v/>
      </c>
      <c r="AA10" s="26">
        <f>IF(S10=1,1+V7_PURPOSE_NC_BUMP*MAX(0,1-ABS(M10-V7_PURPOSE_PEAK_AGE)/V7_PURPOSE_WIDTH),1)</f>
        <v/>
      </c>
      <c r="AB10" s="26">
        <f>IF(AND(IF(OR(P10="",NOT(ISNUMBER(P10))),0,MAX(0,MIN(24,(INT(VALUE(H10)/100)-INT(P10/100))*12+MOD(VALUE(H10),100)-MOD(P10,100))))&gt;0,IF(OR(P10="",NOT(ISNUMBER(P10))),0,MAX(0,MIN(24,(INT(VALUE(H10)/100)-INT(P10/100))*12+MOD(VALUE(H10),100)-MOD(P10,100))))&lt;=12),1+V7_LOCKOUT_AMP*EXP(-(IF(OR(P10="",NOT(ISNUMBER(P10))),0,MAX(0,MIN(24,(INT(VALUE(H10)/100)-INT(P10/100))*12+MOD(VALUE(H10),100)-MOD(P10,100)))))/V7_LOCKOUT_TAU),1)</f>
        <v/>
      </c>
      <c r="AC10" s="26">
        <f>IF(IF(OR(O10="",NOT(ISNUMBER(O10))),360,MAX(0,MIN(480,(INT(O10/100)-INT(VALUE(H10)/100))*12+MOD(O10,100)-MOD(VALUE(H10),100))))&gt;0,1+V7_MTY_AMP*MAX(0,(V7_MTY_CUTOFF-(IF(OR(O10="",NOT(ISNUMBER(O10))),360,MAX(0,MIN(480,(INT(O10/100)-INT(VALUE(H10)/100))*12+MOD(O10,100)-MOD(VALUE(H10),100))))))/V7_MTY_CUTOFF),1)</f>
        <v/>
      </c>
      <c r="AD10" s="26">
        <f>MAX(V7_BURN_FLOOR,1-V7_BURN_SLOPE*MIN(1,MAX(0,R10)))</f>
        <v/>
      </c>
      <c r="AE10" s="26">
        <f>IF(V7_USE_ISSUER=1,IFERROR(VLOOKUP(Q10,V7_ISSUER_TABLE,3,FALSE),1),1)</f>
        <v/>
      </c>
      <c r="AF10" s="26">
        <f>PRODUCT(W10:AE10)</f>
        <v/>
      </c>
      <c r="AG10" s="27">
        <f>MIN(V7_BASE_SMM*AF10,V7_SMM_CAP)</f>
        <v/>
      </c>
      <c r="AH10" s="28">
        <f>1-(1-AG10)^12</f>
        <v/>
      </c>
      <c r="AI10" s="28">
        <f>IFERROR(LN(W10)/(LN(W10)+LN(X10)+LN(Y10)+LN(Z10)+LN(AA10)+LN(AB10)+LN(AC10)+LN(AD10))*(AH10-V7_BASE_CPR),0)</f>
        <v/>
      </c>
      <c r="AJ10" s="28">
        <f>IFERROR(LN(X10)/(LN(W10)+LN(X10)+LN(Y10)+LN(Z10)+LN(AA10)+LN(AB10)+LN(AC10)+LN(AD10))*(AH10-V7_BASE_CPR),0)</f>
        <v/>
      </c>
      <c r="AK10" s="28">
        <f>IFERROR(LN(Y10)/(LN(W10)+LN(X10)+LN(Y10)+LN(Z10)+LN(AA10)+LN(AB10)+LN(AC10)+LN(AD10))*(AH10-V7_BASE_CPR),0)</f>
        <v/>
      </c>
      <c r="AL10" s="28">
        <f>IFERROR(LN(Z10)/(LN(W10)+LN(X10)+LN(Y10)+LN(Z10)+LN(AA10)+LN(AB10)+LN(AC10)+LN(AD10))*(AH10-V7_BASE_CPR),0)</f>
        <v/>
      </c>
      <c r="AM10" s="28">
        <f>IFERROR(LN(AA10)/(LN(W10)+LN(X10)+LN(Y10)+LN(Z10)+LN(AA10)+LN(AB10)+LN(AC10)+LN(AD10))*(AH10-V7_BASE_CPR),0)</f>
        <v/>
      </c>
      <c r="AN10" s="28">
        <f>IFERROR(LN(AB10)/(LN(W10)+LN(X10)+LN(Y10)+LN(Z10)+LN(AA10)+LN(AB10)+LN(AC10)+LN(AD10))*(AH10-V7_BASE_CPR),0)</f>
        <v/>
      </c>
      <c r="AO10" s="28">
        <f>IFERROR(LN(AC10)/(LN(W10)+LN(X10)+LN(Y10)+LN(Z10)+LN(AA10)+LN(AB10)+LN(AC10)+LN(AD10))*(AH10-V7_BASE_CPR),0)</f>
        <v/>
      </c>
      <c r="AP10" s="28">
        <f>IFERROR(LN(AD10)/(LN(W10)+LN(X10)+LN(Y10)+LN(Z10)+LN(AA10)+LN(AB10)+LN(AC10)+LN(AD10))*(AH10-V7_BASE_CPR),0)</f>
        <v/>
      </c>
      <c r="AQ10" s="29">
        <f>V7_BASE_CPR+SUM(AI10:AP10)-AH10</f>
        <v/>
      </c>
    </row>
    <row r="11">
      <c r="A11" s="2" t="inlineStr">
        <is>
          <t>3618KLMG9_000000001211630</t>
        </is>
      </c>
      <c r="B11" t="inlineStr">
        <is>
          <t>LUMENT_POST21</t>
        </is>
      </c>
      <c r="C11" s="2" t="inlineStr">
        <is>
          <t>3618KLMG9</t>
        </is>
      </c>
      <c r="D11" t="inlineStr">
        <is>
          <t>LUMENT REAL ESTATE CAPITAL,LLC</t>
        </is>
      </c>
      <c r="E11" t="inlineStr">
        <is>
          <t>223f</t>
        </is>
      </c>
      <c r="F11" t="inlineStr">
        <is>
          <t>RP</t>
        </is>
      </c>
      <c r="G11" t="n">
        <v>2025</v>
      </c>
      <c r="H11" t="inlineStr">
        <is>
          <t>202602</t>
        </is>
      </c>
      <c r="I11" s="22" t="n">
        <v>59508579.86</v>
      </c>
      <c r="J11" s="23" t="n">
        <v>5.65</v>
      </c>
      <c r="K11" s="24" t="n">
        <v>447</v>
      </c>
      <c r="L11" s="24" t="n">
        <v>10</v>
      </c>
      <c r="M11" t="n">
        <v>4</v>
      </c>
      <c r="N11" s="25" t="n">
        <v>0</v>
      </c>
      <c r="O11" t="n">
        <v>206011</v>
      </c>
      <c r="P11" t="inlineStr"/>
      <c r="Q11" t="inlineStr">
        <is>
          <t>3896</t>
        </is>
      </c>
      <c r="R11" s="26" t="n">
        <v>0</v>
      </c>
      <c r="S11" t="n">
        <v>0</v>
      </c>
      <c r="T11" s="23">
        <f>LN(1+I11)</f>
        <v/>
      </c>
      <c r="U11" s="24">
        <f>J11*100-K11</f>
        <v/>
      </c>
      <c r="V11" s="24">
        <f>U11-12.5*(L11+1)</f>
        <v/>
      </c>
      <c r="W11" s="26">
        <f>IF(M11&lt;=V7_AGE_KNOT_X_0,V7_AGE_KNOT_Y_0,IF(M11&gt;=V7_AGE_KNOT_X_5,V7_AGE_KNOT_Y_5,IF(M11&lt;=V7_AGE_KNOT_X_1,V7_AGE_KNOT_Y_0+(M11-V7_AGE_KNOT_X_0)/(V7_AGE_KNOT_X_1-V7_AGE_KNOT_X_0)*(V7_AGE_KNOT_Y_1-V7_AGE_KNOT_Y_0),IF(M11&lt;=V7_AGE_KNOT_X_2,V7_AGE_KNOT_Y_1+(M11-V7_AGE_KNOT_X_1)/(V7_AGE_KNOT_X_2-V7_AGE_KNOT_X_1)*(V7_AGE_KNOT_Y_2-V7_AGE_KNOT_Y_1),IF(M11&lt;=V7_AGE_KNOT_X_3,V7_AGE_KNOT_Y_2+(M11-V7_AGE_KNOT_X_2)/(V7_AGE_KNOT_X_3-V7_AGE_KNOT_X_2)*(V7_AGE_KNOT_Y_3-V7_AGE_KNOT_Y_2),IF(M11&lt;=V7_AGE_KNOT_X_4,V7_AGE_KNOT_Y_3+(M11-V7_AGE_KNOT_X_3)/(V7_AGE_KNOT_X_4-V7_AGE_KNOT_X_3)*(V7_AGE_KNOT_Y_4-V7_AGE_KNOT_Y_3),V7_AGE_KNOT_Y_4+(M11-V7_AGE_KNOT_X_4)/(V7_AGE_KNOT_X_5-V7_AGE_KNOT_X_4)*(V7_AGE_KNOT_Y_5-V7_AGE_KNOT_Y_4)))))))</f>
        <v/>
      </c>
      <c r="X11" s="26">
        <f>V7_RATE_FLOOR+V7_RATE_ASYMPTOTE/(1+EXP(-(V11-V7_RATE_MID)/V7_RATE_SLOPE))</f>
        <v/>
      </c>
      <c r="Y11" s="26">
        <f>MAX(V7_SIZE_LOW,MIN(V7_SIZE_HIGH,V7_SIZE_INTERCEPT+V7_SIZE_SLOPE*(T11-V7_SIZE_LOG_ANCHOR)))</f>
        <v/>
      </c>
      <c r="Z11" s="26">
        <f>IF(ISNUMBER(SEARCH("232",E11)),VLOOKUP("232",V7_PROGRAM_TABLE,2,FALSE),IF(ISNUMBER(SEARCH("538",E11)),VLOOKUP("538",V7_PROGRAM_TABLE,2,FALSE),IF(ISNUMBER(SEARCH("223a7",E11)),VLOOKUP("223a7",V7_PROGRAM_TABLE,2,FALSE),IF(ISNUMBER(SEARCH("223f",E11)),VLOOKUP("223f",V7_PROGRAM_TABLE,2,FALSE),V7_PROGRAM_DEFAULT))))</f>
        <v/>
      </c>
      <c r="AA11" s="26">
        <f>IF(S11=1,1+V7_PURPOSE_NC_BUMP*MAX(0,1-ABS(M11-V7_PURPOSE_PEAK_AGE)/V7_PURPOSE_WIDTH),1)</f>
        <v/>
      </c>
      <c r="AB11" s="26">
        <f>IF(AND(IF(OR(P11="",NOT(ISNUMBER(P11))),0,MAX(0,MIN(24,(INT(VALUE(H11)/100)-INT(P11/100))*12+MOD(VALUE(H11),100)-MOD(P11,100))))&gt;0,IF(OR(P11="",NOT(ISNUMBER(P11))),0,MAX(0,MIN(24,(INT(VALUE(H11)/100)-INT(P11/100))*12+MOD(VALUE(H11),100)-MOD(P11,100))))&lt;=12),1+V7_LOCKOUT_AMP*EXP(-(IF(OR(P11="",NOT(ISNUMBER(P11))),0,MAX(0,MIN(24,(INT(VALUE(H11)/100)-INT(P11/100))*12+MOD(VALUE(H11),100)-MOD(P11,100)))))/V7_LOCKOUT_TAU),1)</f>
        <v/>
      </c>
      <c r="AC11" s="26">
        <f>IF(IF(OR(O11="",NOT(ISNUMBER(O11))),360,MAX(0,MIN(480,(INT(O11/100)-INT(VALUE(H11)/100))*12+MOD(O11,100)-MOD(VALUE(H11),100))))&gt;0,1+V7_MTY_AMP*MAX(0,(V7_MTY_CUTOFF-(IF(OR(O11="",NOT(ISNUMBER(O11))),360,MAX(0,MIN(480,(INT(O11/100)-INT(VALUE(H11)/100))*12+MOD(O11,100)-MOD(VALUE(H11),100))))))/V7_MTY_CUTOFF),1)</f>
        <v/>
      </c>
      <c r="AD11" s="26">
        <f>MAX(V7_BURN_FLOOR,1-V7_BURN_SLOPE*MIN(1,MAX(0,R11)))</f>
        <v/>
      </c>
      <c r="AE11" s="26">
        <f>IF(V7_USE_ISSUER=1,IFERROR(VLOOKUP(Q11,V7_ISSUER_TABLE,3,FALSE),1),1)</f>
        <v/>
      </c>
      <c r="AF11" s="26">
        <f>PRODUCT(W11:AE11)</f>
        <v/>
      </c>
      <c r="AG11" s="27">
        <f>MIN(V7_BASE_SMM*AF11,V7_SMM_CAP)</f>
        <v/>
      </c>
      <c r="AH11" s="28">
        <f>1-(1-AG11)^12</f>
        <v/>
      </c>
      <c r="AI11" s="28">
        <f>IFERROR(LN(W11)/(LN(W11)+LN(X11)+LN(Y11)+LN(Z11)+LN(AA11)+LN(AB11)+LN(AC11)+LN(AD11))*(AH11-V7_BASE_CPR),0)</f>
        <v/>
      </c>
      <c r="AJ11" s="28">
        <f>IFERROR(LN(X11)/(LN(W11)+LN(X11)+LN(Y11)+LN(Z11)+LN(AA11)+LN(AB11)+LN(AC11)+LN(AD11))*(AH11-V7_BASE_CPR),0)</f>
        <v/>
      </c>
      <c r="AK11" s="28">
        <f>IFERROR(LN(Y11)/(LN(W11)+LN(X11)+LN(Y11)+LN(Z11)+LN(AA11)+LN(AB11)+LN(AC11)+LN(AD11))*(AH11-V7_BASE_CPR),0)</f>
        <v/>
      </c>
      <c r="AL11" s="28">
        <f>IFERROR(LN(Z11)/(LN(W11)+LN(X11)+LN(Y11)+LN(Z11)+LN(AA11)+LN(AB11)+LN(AC11)+LN(AD11))*(AH11-V7_BASE_CPR),0)</f>
        <v/>
      </c>
      <c r="AM11" s="28">
        <f>IFERROR(LN(AA11)/(LN(W11)+LN(X11)+LN(Y11)+LN(Z11)+LN(AA11)+LN(AB11)+LN(AC11)+LN(AD11))*(AH11-V7_BASE_CPR),0)</f>
        <v/>
      </c>
      <c r="AN11" s="28">
        <f>IFERROR(LN(AB11)/(LN(W11)+LN(X11)+LN(Y11)+LN(Z11)+LN(AA11)+LN(AB11)+LN(AC11)+LN(AD11))*(AH11-V7_BASE_CPR),0)</f>
        <v/>
      </c>
      <c r="AO11" s="28">
        <f>IFERROR(LN(AC11)/(LN(W11)+LN(X11)+LN(Y11)+LN(Z11)+LN(AA11)+LN(AB11)+LN(AC11)+LN(AD11))*(AH11-V7_BASE_CPR),0)</f>
        <v/>
      </c>
      <c r="AP11" s="28">
        <f>IFERROR(LN(AD11)/(LN(W11)+LN(X11)+LN(Y11)+LN(Z11)+LN(AA11)+LN(AB11)+LN(AC11)+LN(AD11))*(AH11-V7_BASE_CPR),0)</f>
        <v/>
      </c>
      <c r="AQ11" s="29">
        <f>V7_BASE_CPR+SUM(AI11:AP11)-AH11</f>
        <v/>
      </c>
    </row>
    <row r="12">
      <c r="A12" s="2" t="inlineStr">
        <is>
          <t>36297HB49_000000010222024</t>
        </is>
      </c>
      <c r="B12" t="inlineStr">
        <is>
          <t>LUMENT_PRE21</t>
        </is>
      </c>
      <c r="C12" s="2" t="inlineStr">
        <is>
          <t>36297HB49</t>
        </is>
      </c>
      <c r="D12" t="inlineStr">
        <is>
          <t>LUMENT REAL ESTATE CAPITAL,LLC</t>
        </is>
      </c>
      <c r="E12" t="inlineStr">
        <is>
          <t>232</t>
        </is>
      </c>
      <c r="F12" t="inlineStr">
        <is>
          <t>RP</t>
        </is>
      </c>
      <c r="G12" t="n">
        <v>2009</v>
      </c>
      <c r="H12" t="inlineStr">
        <is>
          <t>202602</t>
        </is>
      </c>
      <c r="I12" s="22" t="n">
        <v>2318598.5</v>
      </c>
      <c r="J12" s="23" t="n">
        <v>5.65</v>
      </c>
      <c r="K12" s="24" t="n">
        <v>447</v>
      </c>
      <c r="L12" s="24" t="n">
        <v>0</v>
      </c>
      <c r="M12" t="n">
        <v>200</v>
      </c>
      <c r="N12" s="25" t="n">
        <v>84</v>
      </c>
      <c r="O12" t="n">
        <v>203907</v>
      </c>
      <c r="P12" t="n">
        <v>201108</v>
      </c>
      <c r="Q12" t="inlineStr">
        <is>
          <t>3896</t>
        </is>
      </c>
      <c r="R12" s="26" t="n">
        <v>0.42</v>
      </c>
      <c r="S12" t="n">
        <v>0</v>
      </c>
      <c r="T12" s="23">
        <f>LN(1+I12)</f>
        <v/>
      </c>
      <c r="U12" s="24">
        <f>J12*100-K12</f>
        <v/>
      </c>
      <c r="V12" s="24">
        <f>U12-12.5*(L12+1)</f>
        <v/>
      </c>
      <c r="W12" s="26">
        <f>IF(M12&lt;=V7_AGE_KNOT_X_0,V7_AGE_KNOT_Y_0,IF(M12&gt;=V7_AGE_KNOT_X_5,V7_AGE_KNOT_Y_5,IF(M12&lt;=V7_AGE_KNOT_X_1,V7_AGE_KNOT_Y_0+(M12-V7_AGE_KNOT_X_0)/(V7_AGE_KNOT_X_1-V7_AGE_KNOT_X_0)*(V7_AGE_KNOT_Y_1-V7_AGE_KNOT_Y_0),IF(M12&lt;=V7_AGE_KNOT_X_2,V7_AGE_KNOT_Y_1+(M12-V7_AGE_KNOT_X_1)/(V7_AGE_KNOT_X_2-V7_AGE_KNOT_X_1)*(V7_AGE_KNOT_Y_2-V7_AGE_KNOT_Y_1),IF(M12&lt;=V7_AGE_KNOT_X_3,V7_AGE_KNOT_Y_2+(M12-V7_AGE_KNOT_X_2)/(V7_AGE_KNOT_X_3-V7_AGE_KNOT_X_2)*(V7_AGE_KNOT_Y_3-V7_AGE_KNOT_Y_2),IF(M12&lt;=V7_AGE_KNOT_X_4,V7_AGE_KNOT_Y_3+(M12-V7_AGE_KNOT_X_3)/(V7_AGE_KNOT_X_4-V7_AGE_KNOT_X_3)*(V7_AGE_KNOT_Y_4-V7_AGE_KNOT_Y_3),V7_AGE_KNOT_Y_4+(M12-V7_AGE_KNOT_X_4)/(V7_AGE_KNOT_X_5-V7_AGE_KNOT_X_4)*(V7_AGE_KNOT_Y_5-V7_AGE_KNOT_Y_4)))))))</f>
        <v/>
      </c>
      <c r="X12" s="26">
        <f>V7_RATE_FLOOR+V7_RATE_ASYMPTOTE/(1+EXP(-(V12-V7_RATE_MID)/V7_RATE_SLOPE))</f>
        <v/>
      </c>
      <c r="Y12" s="26">
        <f>MAX(V7_SIZE_LOW,MIN(V7_SIZE_HIGH,V7_SIZE_INTERCEPT+V7_SIZE_SLOPE*(T12-V7_SIZE_LOG_ANCHOR)))</f>
        <v/>
      </c>
      <c r="Z12" s="26">
        <f>IF(ISNUMBER(SEARCH("232",E12)),VLOOKUP("232",V7_PROGRAM_TABLE,2,FALSE),IF(ISNUMBER(SEARCH("538",E12)),VLOOKUP("538",V7_PROGRAM_TABLE,2,FALSE),IF(ISNUMBER(SEARCH("223a7",E12)),VLOOKUP("223a7",V7_PROGRAM_TABLE,2,FALSE),IF(ISNUMBER(SEARCH("223f",E12)),VLOOKUP("223f",V7_PROGRAM_TABLE,2,FALSE),V7_PROGRAM_DEFAULT))))</f>
        <v/>
      </c>
      <c r="AA12" s="26">
        <f>IF(S12=1,1+V7_PURPOSE_NC_BUMP*MAX(0,1-ABS(M12-V7_PURPOSE_PEAK_AGE)/V7_PURPOSE_WIDTH),1)</f>
        <v/>
      </c>
      <c r="AB12" s="26">
        <f>IF(AND(IF(OR(P12="",NOT(ISNUMBER(P12))),0,MAX(0,MIN(24,(INT(VALUE(H12)/100)-INT(P12/100))*12+MOD(VALUE(H12),100)-MOD(P12,100))))&gt;0,IF(OR(P12="",NOT(ISNUMBER(P12))),0,MAX(0,MIN(24,(INT(VALUE(H12)/100)-INT(P12/100))*12+MOD(VALUE(H12),100)-MOD(P12,100))))&lt;=12),1+V7_LOCKOUT_AMP*EXP(-(IF(OR(P12="",NOT(ISNUMBER(P12))),0,MAX(0,MIN(24,(INT(VALUE(H12)/100)-INT(P12/100))*12+MOD(VALUE(H12),100)-MOD(P12,100)))))/V7_LOCKOUT_TAU),1)</f>
        <v/>
      </c>
      <c r="AC12" s="26">
        <f>IF(IF(OR(O12="",NOT(ISNUMBER(O12))),360,MAX(0,MIN(480,(INT(O12/100)-INT(VALUE(H12)/100))*12+MOD(O12,100)-MOD(VALUE(H12),100))))&gt;0,1+V7_MTY_AMP*MAX(0,(V7_MTY_CUTOFF-(IF(OR(O12="",NOT(ISNUMBER(O12))),360,MAX(0,MIN(480,(INT(O12/100)-INT(VALUE(H12)/100))*12+MOD(O12,100)-MOD(VALUE(H12),100))))))/V7_MTY_CUTOFF),1)</f>
        <v/>
      </c>
      <c r="AD12" s="26">
        <f>MAX(V7_BURN_FLOOR,1-V7_BURN_SLOPE*MIN(1,MAX(0,R12)))</f>
        <v/>
      </c>
      <c r="AE12" s="26">
        <f>IF(V7_USE_ISSUER=1,IFERROR(VLOOKUP(Q12,V7_ISSUER_TABLE,3,FALSE),1),1)</f>
        <v/>
      </c>
      <c r="AF12" s="26">
        <f>PRODUCT(W12:AE12)</f>
        <v/>
      </c>
      <c r="AG12" s="27">
        <f>MIN(V7_BASE_SMM*AF12,V7_SMM_CAP)</f>
        <v/>
      </c>
      <c r="AH12" s="28">
        <f>1-(1-AG12)^12</f>
        <v/>
      </c>
      <c r="AI12" s="28">
        <f>IFERROR(LN(W12)/(LN(W12)+LN(X12)+LN(Y12)+LN(Z12)+LN(AA12)+LN(AB12)+LN(AC12)+LN(AD12))*(AH12-V7_BASE_CPR),0)</f>
        <v/>
      </c>
      <c r="AJ12" s="28">
        <f>IFERROR(LN(X12)/(LN(W12)+LN(X12)+LN(Y12)+LN(Z12)+LN(AA12)+LN(AB12)+LN(AC12)+LN(AD12))*(AH12-V7_BASE_CPR),0)</f>
        <v/>
      </c>
      <c r="AK12" s="28">
        <f>IFERROR(LN(Y12)/(LN(W12)+LN(X12)+LN(Y12)+LN(Z12)+LN(AA12)+LN(AB12)+LN(AC12)+LN(AD12))*(AH12-V7_BASE_CPR),0)</f>
        <v/>
      </c>
      <c r="AL12" s="28">
        <f>IFERROR(LN(Z12)/(LN(W12)+LN(X12)+LN(Y12)+LN(Z12)+LN(AA12)+LN(AB12)+LN(AC12)+LN(AD12))*(AH12-V7_BASE_CPR),0)</f>
        <v/>
      </c>
      <c r="AM12" s="28">
        <f>IFERROR(LN(AA12)/(LN(W12)+LN(X12)+LN(Y12)+LN(Z12)+LN(AA12)+LN(AB12)+LN(AC12)+LN(AD12))*(AH12-V7_BASE_CPR),0)</f>
        <v/>
      </c>
      <c r="AN12" s="28">
        <f>IFERROR(LN(AB12)/(LN(W12)+LN(X12)+LN(Y12)+LN(Z12)+LN(AA12)+LN(AB12)+LN(AC12)+LN(AD12))*(AH12-V7_BASE_CPR),0)</f>
        <v/>
      </c>
      <c r="AO12" s="28">
        <f>IFERROR(LN(AC12)/(LN(W12)+LN(X12)+LN(Y12)+LN(Z12)+LN(AA12)+LN(AB12)+LN(AC12)+LN(AD12))*(AH12-V7_BASE_CPR),0)</f>
        <v/>
      </c>
      <c r="AP12" s="28">
        <f>IFERROR(LN(AD12)/(LN(W12)+LN(X12)+LN(Y12)+LN(Z12)+LN(AA12)+LN(AB12)+LN(AC12)+LN(AD12))*(AH12-V7_BASE_CPR),0)</f>
        <v/>
      </c>
      <c r="AQ12" s="29">
        <f>V7_BASE_CPR+SUM(AI12:AP12)-AH12</f>
        <v/>
      </c>
    </row>
    <row r="13">
      <c r="A13" s="2" t="inlineStr">
        <is>
          <t>3618HNAN7_000000006122229</t>
        </is>
      </c>
      <c r="B13" t="inlineStr">
        <is>
          <t>LUMENT_POST21</t>
        </is>
      </c>
      <c r="C13" s="2" t="inlineStr">
        <is>
          <t>3618HNAN7</t>
        </is>
      </c>
      <c r="D13" t="inlineStr">
        <is>
          <t>LUMENT REAL ESTATE CAPITAL,LLC</t>
        </is>
      </c>
      <c r="E13" t="inlineStr">
        <is>
          <t>232</t>
        </is>
      </c>
      <c r="F13" t="inlineStr">
        <is>
          <t>RP</t>
        </is>
      </c>
      <c r="G13" t="n">
        <v>2024</v>
      </c>
      <c r="H13" t="inlineStr">
        <is>
          <t>202602</t>
        </is>
      </c>
      <c r="I13" s="22" t="n">
        <v>10649282.81</v>
      </c>
      <c r="J13" s="23" t="n">
        <v>5.35</v>
      </c>
      <c r="K13" s="24" t="n">
        <v>447</v>
      </c>
      <c r="L13" s="24" t="n">
        <v>9</v>
      </c>
      <c r="M13" t="n">
        <v>14</v>
      </c>
      <c r="N13" s="25" t="n">
        <v>0</v>
      </c>
      <c r="O13" t="n">
        <v>206001</v>
      </c>
      <c r="P13" t="inlineStr"/>
      <c r="Q13" t="inlineStr">
        <is>
          <t>3896</t>
        </is>
      </c>
      <c r="R13" s="26" t="n">
        <v>0</v>
      </c>
      <c r="S13" t="n">
        <v>0</v>
      </c>
      <c r="T13" s="23">
        <f>LN(1+I13)</f>
        <v/>
      </c>
      <c r="U13" s="24">
        <f>J13*100-K13</f>
        <v/>
      </c>
      <c r="V13" s="24">
        <f>U13-12.5*(L13+1)</f>
        <v/>
      </c>
      <c r="W13" s="26">
        <f>IF(M13&lt;=V7_AGE_KNOT_X_0,V7_AGE_KNOT_Y_0,IF(M13&gt;=V7_AGE_KNOT_X_5,V7_AGE_KNOT_Y_5,IF(M13&lt;=V7_AGE_KNOT_X_1,V7_AGE_KNOT_Y_0+(M13-V7_AGE_KNOT_X_0)/(V7_AGE_KNOT_X_1-V7_AGE_KNOT_X_0)*(V7_AGE_KNOT_Y_1-V7_AGE_KNOT_Y_0),IF(M13&lt;=V7_AGE_KNOT_X_2,V7_AGE_KNOT_Y_1+(M13-V7_AGE_KNOT_X_1)/(V7_AGE_KNOT_X_2-V7_AGE_KNOT_X_1)*(V7_AGE_KNOT_Y_2-V7_AGE_KNOT_Y_1),IF(M13&lt;=V7_AGE_KNOT_X_3,V7_AGE_KNOT_Y_2+(M13-V7_AGE_KNOT_X_2)/(V7_AGE_KNOT_X_3-V7_AGE_KNOT_X_2)*(V7_AGE_KNOT_Y_3-V7_AGE_KNOT_Y_2),IF(M13&lt;=V7_AGE_KNOT_X_4,V7_AGE_KNOT_Y_3+(M13-V7_AGE_KNOT_X_3)/(V7_AGE_KNOT_X_4-V7_AGE_KNOT_X_3)*(V7_AGE_KNOT_Y_4-V7_AGE_KNOT_Y_3),V7_AGE_KNOT_Y_4+(M13-V7_AGE_KNOT_X_4)/(V7_AGE_KNOT_X_5-V7_AGE_KNOT_X_4)*(V7_AGE_KNOT_Y_5-V7_AGE_KNOT_Y_4)))))))</f>
        <v/>
      </c>
      <c r="X13" s="26">
        <f>V7_RATE_FLOOR+V7_RATE_ASYMPTOTE/(1+EXP(-(V13-V7_RATE_MID)/V7_RATE_SLOPE))</f>
        <v/>
      </c>
      <c r="Y13" s="26">
        <f>MAX(V7_SIZE_LOW,MIN(V7_SIZE_HIGH,V7_SIZE_INTERCEPT+V7_SIZE_SLOPE*(T13-V7_SIZE_LOG_ANCHOR)))</f>
        <v/>
      </c>
      <c r="Z13" s="26">
        <f>IF(ISNUMBER(SEARCH("232",E13)),VLOOKUP("232",V7_PROGRAM_TABLE,2,FALSE),IF(ISNUMBER(SEARCH("538",E13)),VLOOKUP("538",V7_PROGRAM_TABLE,2,FALSE),IF(ISNUMBER(SEARCH("223a7",E13)),VLOOKUP("223a7",V7_PROGRAM_TABLE,2,FALSE),IF(ISNUMBER(SEARCH("223f",E13)),VLOOKUP("223f",V7_PROGRAM_TABLE,2,FALSE),V7_PROGRAM_DEFAULT))))</f>
        <v/>
      </c>
      <c r="AA13" s="26">
        <f>IF(S13=1,1+V7_PURPOSE_NC_BUMP*MAX(0,1-ABS(M13-V7_PURPOSE_PEAK_AGE)/V7_PURPOSE_WIDTH),1)</f>
        <v/>
      </c>
      <c r="AB13" s="26">
        <f>IF(AND(IF(OR(P13="",NOT(ISNUMBER(P13))),0,MAX(0,MIN(24,(INT(VALUE(H13)/100)-INT(P13/100))*12+MOD(VALUE(H13),100)-MOD(P13,100))))&gt;0,IF(OR(P13="",NOT(ISNUMBER(P13))),0,MAX(0,MIN(24,(INT(VALUE(H13)/100)-INT(P13/100))*12+MOD(VALUE(H13),100)-MOD(P13,100))))&lt;=12),1+V7_LOCKOUT_AMP*EXP(-(IF(OR(P13="",NOT(ISNUMBER(P13))),0,MAX(0,MIN(24,(INT(VALUE(H13)/100)-INT(P13/100))*12+MOD(VALUE(H13),100)-MOD(P13,100)))))/V7_LOCKOUT_TAU),1)</f>
        <v/>
      </c>
      <c r="AC13" s="26">
        <f>IF(IF(OR(O13="",NOT(ISNUMBER(O13))),360,MAX(0,MIN(480,(INT(O13/100)-INT(VALUE(H13)/100))*12+MOD(O13,100)-MOD(VALUE(H13),100))))&gt;0,1+V7_MTY_AMP*MAX(0,(V7_MTY_CUTOFF-(IF(OR(O13="",NOT(ISNUMBER(O13))),360,MAX(0,MIN(480,(INT(O13/100)-INT(VALUE(H13)/100))*12+MOD(O13,100)-MOD(VALUE(H13),100))))))/V7_MTY_CUTOFF),1)</f>
        <v/>
      </c>
      <c r="AD13" s="26">
        <f>MAX(V7_BURN_FLOOR,1-V7_BURN_SLOPE*MIN(1,MAX(0,R13)))</f>
        <v/>
      </c>
      <c r="AE13" s="26">
        <f>IF(V7_USE_ISSUER=1,IFERROR(VLOOKUP(Q13,V7_ISSUER_TABLE,3,FALSE),1),1)</f>
        <v/>
      </c>
      <c r="AF13" s="26">
        <f>PRODUCT(W13:AE13)</f>
        <v/>
      </c>
      <c r="AG13" s="27">
        <f>MIN(V7_BASE_SMM*AF13,V7_SMM_CAP)</f>
        <v/>
      </c>
      <c r="AH13" s="28">
        <f>1-(1-AG13)^12</f>
        <v/>
      </c>
      <c r="AI13" s="28">
        <f>IFERROR(LN(W13)/(LN(W13)+LN(X13)+LN(Y13)+LN(Z13)+LN(AA13)+LN(AB13)+LN(AC13)+LN(AD13))*(AH13-V7_BASE_CPR),0)</f>
        <v/>
      </c>
      <c r="AJ13" s="28">
        <f>IFERROR(LN(X13)/(LN(W13)+LN(X13)+LN(Y13)+LN(Z13)+LN(AA13)+LN(AB13)+LN(AC13)+LN(AD13))*(AH13-V7_BASE_CPR),0)</f>
        <v/>
      </c>
      <c r="AK13" s="28">
        <f>IFERROR(LN(Y13)/(LN(W13)+LN(X13)+LN(Y13)+LN(Z13)+LN(AA13)+LN(AB13)+LN(AC13)+LN(AD13))*(AH13-V7_BASE_CPR),0)</f>
        <v/>
      </c>
      <c r="AL13" s="28">
        <f>IFERROR(LN(Z13)/(LN(W13)+LN(X13)+LN(Y13)+LN(Z13)+LN(AA13)+LN(AB13)+LN(AC13)+LN(AD13))*(AH13-V7_BASE_CPR),0)</f>
        <v/>
      </c>
      <c r="AM13" s="28">
        <f>IFERROR(LN(AA13)/(LN(W13)+LN(X13)+LN(Y13)+LN(Z13)+LN(AA13)+LN(AB13)+LN(AC13)+LN(AD13))*(AH13-V7_BASE_CPR),0)</f>
        <v/>
      </c>
      <c r="AN13" s="28">
        <f>IFERROR(LN(AB13)/(LN(W13)+LN(X13)+LN(Y13)+LN(Z13)+LN(AA13)+LN(AB13)+LN(AC13)+LN(AD13))*(AH13-V7_BASE_CPR),0)</f>
        <v/>
      </c>
      <c r="AO13" s="28">
        <f>IFERROR(LN(AC13)/(LN(W13)+LN(X13)+LN(Y13)+LN(Z13)+LN(AA13)+LN(AB13)+LN(AC13)+LN(AD13))*(AH13-V7_BASE_CPR),0)</f>
        <v/>
      </c>
      <c r="AP13" s="28">
        <f>IFERROR(LN(AD13)/(LN(W13)+LN(X13)+LN(Y13)+LN(Z13)+LN(AA13)+LN(AB13)+LN(AC13)+LN(AD13))*(AH13-V7_BASE_CPR),0)</f>
        <v/>
      </c>
      <c r="AQ13" s="29">
        <f>V7_BASE_CPR+SUM(AI13:AP13)-AH13</f>
        <v/>
      </c>
    </row>
    <row r="14">
      <c r="A14" s="2" t="inlineStr">
        <is>
          <t>3617LC5T1_000000004611186</t>
        </is>
      </c>
      <c r="B14" t="inlineStr">
        <is>
          <t>LUMENT_PRE21</t>
        </is>
      </c>
      <c r="C14" s="2" t="inlineStr">
        <is>
          <t>3617LC5T1</t>
        </is>
      </c>
      <c r="D14" t="inlineStr">
        <is>
          <t>LUMENT REAL ESTATE CAPITAL,LLC</t>
        </is>
      </c>
      <c r="E14" t="inlineStr">
        <is>
          <t>223f</t>
        </is>
      </c>
      <c r="F14" t="inlineStr">
        <is>
          <t>RP</t>
        </is>
      </c>
      <c r="G14" t="n">
        <v>2019</v>
      </c>
      <c r="H14" t="inlineStr">
        <is>
          <t>202602</t>
        </is>
      </c>
      <c r="I14" s="22" t="n">
        <v>14083195.64</v>
      </c>
      <c r="J14" s="23" t="n">
        <v>2.95</v>
      </c>
      <c r="K14" s="24" t="n">
        <v>447</v>
      </c>
      <c r="L14" s="24" t="n">
        <v>4</v>
      </c>
      <c r="M14" t="n">
        <v>75</v>
      </c>
      <c r="N14" s="25" t="n">
        <v>7</v>
      </c>
      <c r="O14" t="n">
        <v>205412</v>
      </c>
      <c r="P14" t="inlineStr"/>
      <c r="Q14" t="inlineStr">
        <is>
          <t>3896</t>
        </is>
      </c>
      <c r="R14" s="26" t="n">
        <v>0.09333333333333334</v>
      </c>
      <c r="S14" t="n">
        <v>0</v>
      </c>
      <c r="T14" s="23">
        <f>LN(1+I14)</f>
        <v/>
      </c>
      <c r="U14" s="24">
        <f>J14*100-K14</f>
        <v/>
      </c>
      <c r="V14" s="24">
        <f>U14-12.5*(L14+1)</f>
        <v/>
      </c>
      <c r="W14" s="26">
        <f>IF(M14&lt;=V7_AGE_KNOT_X_0,V7_AGE_KNOT_Y_0,IF(M14&gt;=V7_AGE_KNOT_X_5,V7_AGE_KNOT_Y_5,IF(M14&lt;=V7_AGE_KNOT_X_1,V7_AGE_KNOT_Y_0+(M14-V7_AGE_KNOT_X_0)/(V7_AGE_KNOT_X_1-V7_AGE_KNOT_X_0)*(V7_AGE_KNOT_Y_1-V7_AGE_KNOT_Y_0),IF(M14&lt;=V7_AGE_KNOT_X_2,V7_AGE_KNOT_Y_1+(M14-V7_AGE_KNOT_X_1)/(V7_AGE_KNOT_X_2-V7_AGE_KNOT_X_1)*(V7_AGE_KNOT_Y_2-V7_AGE_KNOT_Y_1),IF(M14&lt;=V7_AGE_KNOT_X_3,V7_AGE_KNOT_Y_2+(M14-V7_AGE_KNOT_X_2)/(V7_AGE_KNOT_X_3-V7_AGE_KNOT_X_2)*(V7_AGE_KNOT_Y_3-V7_AGE_KNOT_Y_2),IF(M14&lt;=V7_AGE_KNOT_X_4,V7_AGE_KNOT_Y_3+(M14-V7_AGE_KNOT_X_3)/(V7_AGE_KNOT_X_4-V7_AGE_KNOT_X_3)*(V7_AGE_KNOT_Y_4-V7_AGE_KNOT_Y_3),V7_AGE_KNOT_Y_4+(M14-V7_AGE_KNOT_X_4)/(V7_AGE_KNOT_X_5-V7_AGE_KNOT_X_4)*(V7_AGE_KNOT_Y_5-V7_AGE_KNOT_Y_4)))))))</f>
        <v/>
      </c>
      <c r="X14" s="26">
        <f>V7_RATE_FLOOR+V7_RATE_ASYMPTOTE/(1+EXP(-(V14-V7_RATE_MID)/V7_RATE_SLOPE))</f>
        <v/>
      </c>
      <c r="Y14" s="26">
        <f>MAX(V7_SIZE_LOW,MIN(V7_SIZE_HIGH,V7_SIZE_INTERCEPT+V7_SIZE_SLOPE*(T14-V7_SIZE_LOG_ANCHOR)))</f>
        <v/>
      </c>
      <c r="Z14" s="26">
        <f>IF(ISNUMBER(SEARCH("232",E14)),VLOOKUP("232",V7_PROGRAM_TABLE,2,FALSE),IF(ISNUMBER(SEARCH("538",E14)),VLOOKUP("538",V7_PROGRAM_TABLE,2,FALSE),IF(ISNUMBER(SEARCH("223a7",E14)),VLOOKUP("223a7",V7_PROGRAM_TABLE,2,FALSE),IF(ISNUMBER(SEARCH("223f",E14)),VLOOKUP("223f",V7_PROGRAM_TABLE,2,FALSE),V7_PROGRAM_DEFAULT))))</f>
        <v/>
      </c>
      <c r="AA14" s="26">
        <f>IF(S14=1,1+V7_PURPOSE_NC_BUMP*MAX(0,1-ABS(M14-V7_PURPOSE_PEAK_AGE)/V7_PURPOSE_WIDTH),1)</f>
        <v/>
      </c>
      <c r="AB14" s="26">
        <f>IF(AND(IF(OR(P14="",NOT(ISNUMBER(P14))),0,MAX(0,MIN(24,(INT(VALUE(H14)/100)-INT(P14/100))*12+MOD(VALUE(H14),100)-MOD(P14,100))))&gt;0,IF(OR(P14="",NOT(ISNUMBER(P14))),0,MAX(0,MIN(24,(INT(VALUE(H14)/100)-INT(P14/100))*12+MOD(VALUE(H14),100)-MOD(P14,100))))&lt;=12),1+V7_LOCKOUT_AMP*EXP(-(IF(OR(P14="",NOT(ISNUMBER(P14))),0,MAX(0,MIN(24,(INT(VALUE(H14)/100)-INT(P14/100))*12+MOD(VALUE(H14),100)-MOD(P14,100)))))/V7_LOCKOUT_TAU),1)</f>
        <v/>
      </c>
      <c r="AC14" s="26">
        <f>IF(IF(OR(O14="",NOT(ISNUMBER(O14))),360,MAX(0,MIN(480,(INT(O14/100)-INT(VALUE(H14)/100))*12+MOD(O14,100)-MOD(VALUE(H14),100))))&gt;0,1+V7_MTY_AMP*MAX(0,(V7_MTY_CUTOFF-(IF(OR(O14="",NOT(ISNUMBER(O14))),360,MAX(0,MIN(480,(INT(O14/100)-INT(VALUE(H14)/100))*12+MOD(O14,100)-MOD(VALUE(H14),100))))))/V7_MTY_CUTOFF),1)</f>
        <v/>
      </c>
      <c r="AD14" s="26">
        <f>MAX(V7_BURN_FLOOR,1-V7_BURN_SLOPE*MIN(1,MAX(0,R14)))</f>
        <v/>
      </c>
      <c r="AE14" s="26">
        <f>IF(V7_USE_ISSUER=1,IFERROR(VLOOKUP(Q14,V7_ISSUER_TABLE,3,FALSE),1),1)</f>
        <v/>
      </c>
      <c r="AF14" s="26">
        <f>PRODUCT(W14:AE14)</f>
        <v/>
      </c>
      <c r="AG14" s="27">
        <f>MIN(V7_BASE_SMM*AF14,V7_SMM_CAP)</f>
        <v/>
      </c>
      <c r="AH14" s="28">
        <f>1-(1-AG14)^12</f>
        <v/>
      </c>
      <c r="AI14" s="28">
        <f>IFERROR(LN(W14)/(LN(W14)+LN(X14)+LN(Y14)+LN(Z14)+LN(AA14)+LN(AB14)+LN(AC14)+LN(AD14))*(AH14-V7_BASE_CPR),0)</f>
        <v/>
      </c>
      <c r="AJ14" s="28">
        <f>IFERROR(LN(X14)/(LN(W14)+LN(X14)+LN(Y14)+LN(Z14)+LN(AA14)+LN(AB14)+LN(AC14)+LN(AD14))*(AH14-V7_BASE_CPR),0)</f>
        <v/>
      </c>
      <c r="AK14" s="28">
        <f>IFERROR(LN(Y14)/(LN(W14)+LN(X14)+LN(Y14)+LN(Z14)+LN(AA14)+LN(AB14)+LN(AC14)+LN(AD14))*(AH14-V7_BASE_CPR),0)</f>
        <v/>
      </c>
      <c r="AL14" s="28">
        <f>IFERROR(LN(Z14)/(LN(W14)+LN(X14)+LN(Y14)+LN(Z14)+LN(AA14)+LN(AB14)+LN(AC14)+LN(AD14))*(AH14-V7_BASE_CPR),0)</f>
        <v/>
      </c>
      <c r="AM14" s="28">
        <f>IFERROR(LN(AA14)/(LN(W14)+LN(X14)+LN(Y14)+LN(Z14)+LN(AA14)+LN(AB14)+LN(AC14)+LN(AD14))*(AH14-V7_BASE_CPR),0)</f>
        <v/>
      </c>
      <c r="AN14" s="28">
        <f>IFERROR(LN(AB14)/(LN(W14)+LN(X14)+LN(Y14)+LN(Z14)+LN(AA14)+LN(AB14)+LN(AC14)+LN(AD14))*(AH14-V7_BASE_CPR),0)</f>
        <v/>
      </c>
      <c r="AO14" s="28">
        <f>IFERROR(LN(AC14)/(LN(W14)+LN(X14)+LN(Y14)+LN(Z14)+LN(AA14)+LN(AB14)+LN(AC14)+LN(AD14))*(AH14-V7_BASE_CPR),0)</f>
        <v/>
      </c>
      <c r="AP14" s="28">
        <f>IFERROR(LN(AD14)/(LN(W14)+LN(X14)+LN(Y14)+LN(Z14)+LN(AA14)+LN(AB14)+LN(AC14)+LN(AD14))*(AH14-V7_BASE_CPR),0)</f>
        <v/>
      </c>
      <c r="AQ14" s="29">
        <f>V7_BASE_CPR+SUM(AI14:AP14)-AH14</f>
        <v/>
      </c>
    </row>
    <row r="15">
      <c r="A15" s="2" t="inlineStr">
        <is>
          <t>3617J9LY2_000000001411271</t>
        </is>
      </c>
      <c r="B15" t="inlineStr">
        <is>
          <t>LUMENT_PRE21</t>
        </is>
      </c>
      <c r="C15" s="2" t="inlineStr">
        <is>
          <t>3617J9LY2</t>
        </is>
      </c>
      <c r="D15" t="inlineStr">
        <is>
          <t>LUMENT REAL ESTATE CAPITAL,LLC</t>
        </is>
      </c>
      <c r="E15" t="inlineStr">
        <is>
          <t>223f</t>
        </is>
      </c>
      <c r="F15" t="inlineStr">
        <is>
          <t>RP</t>
        </is>
      </c>
      <c r="G15" t="n">
        <v>2019</v>
      </c>
      <c r="H15" t="inlineStr">
        <is>
          <t>202602</t>
        </is>
      </c>
      <c r="I15" s="22" t="n">
        <v>6145581.88</v>
      </c>
      <c r="J15" s="23" t="n">
        <v>4.3</v>
      </c>
      <c r="K15" s="24" t="n">
        <v>447</v>
      </c>
      <c r="L15" s="24" t="n">
        <v>4</v>
      </c>
      <c r="M15" t="n">
        <v>82</v>
      </c>
      <c r="N15" s="25" t="n">
        <v>35</v>
      </c>
      <c r="O15" t="n">
        <v>205405</v>
      </c>
      <c r="P15" t="inlineStr"/>
      <c r="Q15" t="inlineStr">
        <is>
          <t>3896</t>
        </is>
      </c>
      <c r="R15" s="26" t="n">
        <v>0.4268292682926829</v>
      </c>
      <c r="S15" t="n">
        <v>0</v>
      </c>
      <c r="T15" s="23">
        <f>LN(1+I15)</f>
        <v/>
      </c>
      <c r="U15" s="24">
        <f>J15*100-K15</f>
        <v/>
      </c>
      <c r="V15" s="24">
        <f>U15-12.5*(L15+1)</f>
        <v/>
      </c>
      <c r="W15" s="26">
        <f>IF(M15&lt;=V7_AGE_KNOT_X_0,V7_AGE_KNOT_Y_0,IF(M15&gt;=V7_AGE_KNOT_X_5,V7_AGE_KNOT_Y_5,IF(M15&lt;=V7_AGE_KNOT_X_1,V7_AGE_KNOT_Y_0+(M15-V7_AGE_KNOT_X_0)/(V7_AGE_KNOT_X_1-V7_AGE_KNOT_X_0)*(V7_AGE_KNOT_Y_1-V7_AGE_KNOT_Y_0),IF(M15&lt;=V7_AGE_KNOT_X_2,V7_AGE_KNOT_Y_1+(M15-V7_AGE_KNOT_X_1)/(V7_AGE_KNOT_X_2-V7_AGE_KNOT_X_1)*(V7_AGE_KNOT_Y_2-V7_AGE_KNOT_Y_1),IF(M15&lt;=V7_AGE_KNOT_X_3,V7_AGE_KNOT_Y_2+(M15-V7_AGE_KNOT_X_2)/(V7_AGE_KNOT_X_3-V7_AGE_KNOT_X_2)*(V7_AGE_KNOT_Y_3-V7_AGE_KNOT_Y_2),IF(M15&lt;=V7_AGE_KNOT_X_4,V7_AGE_KNOT_Y_3+(M15-V7_AGE_KNOT_X_3)/(V7_AGE_KNOT_X_4-V7_AGE_KNOT_X_3)*(V7_AGE_KNOT_Y_4-V7_AGE_KNOT_Y_3),V7_AGE_KNOT_Y_4+(M15-V7_AGE_KNOT_X_4)/(V7_AGE_KNOT_X_5-V7_AGE_KNOT_X_4)*(V7_AGE_KNOT_Y_5-V7_AGE_KNOT_Y_4)))))))</f>
        <v/>
      </c>
      <c r="X15" s="26">
        <f>V7_RATE_FLOOR+V7_RATE_ASYMPTOTE/(1+EXP(-(V15-V7_RATE_MID)/V7_RATE_SLOPE))</f>
        <v/>
      </c>
      <c r="Y15" s="26">
        <f>MAX(V7_SIZE_LOW,MIN(V7_SIZE_HIGH,V7_SIZE_INTERCEPT+V7_SIZE_SLOPE*(T15-V7_SIZE_LOG_ANCHOR)))</f>
        <v/>
      </c>
      <c r="Z15" s="26">
        <f>IF(ISNUMBER(SEARCH("232",E15)),VLOOKUP("232",V7_PROGRAM_TABLE,2,FALSE),IF(ISNUMBER(SEARCH("538",E15)),VLOOKUP("538",V7_PROGRAM_TABLE,2,FALSE),IF(ISNUMBER(SEARCH("223a7",E15)),VLOOKUP("223a7",V7_PROGRAM_TABLE,2,FALSE),IF(ISNUMBER(SEARCH("223f",E15)),VLOOKUP("223f",V7_PROGRAM_TABLE,2,FALSE),V7_PROGRAM_DEFAULT))))</f>
        <v/>
      </c>
      <c r="AA15" s="26">
        <f>IF(S15=1,1+V7_PURPOSE_NC_BUMP*MAX(0,1-ABS(M15-V7_PURPOSE_PEAK_AGE)/V7_PURPOSE_WIDTH),1)</f>
        <v/>
      </c>
      <c r="AB15" s="26">
        <f>IF(AND(IF(OR(P15="",NOT(ISNUMBER(P15))),0,MAX(0,MIN(24,(INT(VALUE(H15)/100)-INT(P15/100))*12+MOD(VALUE(H15),100)-MOD(P15,100))))&gt;0,IF(OR(P15="",NOT(ISNUMBER(P15))),0,MAX(0,MIN(24,(INT(VALUE(H15)/100)-INT(P15/100))*12+MOD(VALUE(H15),100)-MOD(P15,100))))&lt;=12),1+V7_LOCKOUT_AMP*EXP(-(IF(OR(P15="",NOT(ISNUMBER(P15))),0,MAX(0,MIN(24,(INT(VALUE(H15)/100)-INT(P15/100))*12+MOD(VALUE(H15),100)-MOD(P15,100)))))/V7_LOCKOUT_TAU),1)</f>
        <v/>
      </c>
      <c r="AC15" s="26">
        <f>IF(IF(OR(O15="",NOT(ISNUMBER(O15))),360,MAX(0,MIN(480,(INT(O15/100)-INT(VALUE(H15)/100))*12+MOD(O15,100)-MOD(VALUE(H15),100))))&gt;0,1+V7_MTY_AMP*MAX(0,(V7_MTY_CUTOFF-(IF(OR(O15="",NOT(ISNUMBER(O15))),360,MAX(0,MIN(480,(INT(O15/100)-INT(VALUE(H15)/100))*12+MOD(O15,100)-MOD(VALUE(H15),100))))))/V7_MTY_CUTOFF),1)</f>
        <v/>
      </c>
      <c r="AD15" s="26">
        <f>MAX(V7_BURN_FLOOR,1-V7_BURN_SLOPE*MIN(1,MAX(0,R15)))</f>
        <v/>
      </c>
      <c r="AE15" s="26">
        <f>IF(V7_USE_ISSUER=1,IFERROR(VLOOKUP(Q15,V7_ISSUER_TABLE,3,FALSE),1),1)</f>
        <v/>
      </c>
      <c r="AF15" s="26">
        <f>PRODUCT(W15:AE15)</f>
        <v/>
      </c>
      <c r="AG15" s="27">
        <f>MIN(V7_BASE_SMM*AF15,V7_SMM_CAP)</f>
        <v/>
      </c>
      <c r="AH15" s="28">
        <f>1-(1-AG15)^12</f>
        <v/>
      </c>
      <c r="AI15" s="28">
        <f>IFERROR(LN(W15)/(LN(W15)+LN(X15)+LN(Y15)+LN(Z15)+LN(AA15)+LN(AB15)+LN(AC15)+LN(AD15))*(AH15-V7_BASE_CPR),0)</f>
        <v/>
      </c>
      <c r="AJ15" s="28">
        <f>IFERROR(LN(X15)/(LN(W15)+LN(X15)+LN(Y15)+LN(Z15)+LN(AA15)+LN(AB15)+LN(AC15)+LN(AD15))*(AH15-V7_BASE_CPR),0)</f>
        <v/>
      </c>
      <c r="AK15" s="28">
        <f>IFERROR(LN(Y15)/(LN(W15)+LN(X15)+LN(Y15)+LN(Z15)+LN(AA15)+LN(AB15)+LN(AC15)+LN(AD15))*(AH15-V7_BASE_CPR),0)</f>
        <v/>
      </c>
      <c r="AL15" s="28">
        <f>IFERROR(LN(Z15)/(LN(W15)+LN(X15)+LN(Y15)+LN(Z15)+LN(AA15)+LN(AB15)+LN(AC15)+LN(AD15))*(AH15-V7_BASE_CPR),0)</f>
        <v/>
      </c>
      <c r="AM15" s="28">
        <f>IFERROR(LN(AA15)/(LN(W15)+LN(X15)+LN(Y15)+LN(Z15)+LN(AA15)+LN(AB15)+LN(AC15)+LN(AD15))*(AH15-V7_BASE_CPR),0)</f>
        <v/>
      </c>
      <c r="AN15" s="28">
        <f>IFERROR(LN(AB15)/(LN(W15)+LN(X15)+LN(Y15)+LN(Z15)+LN(AA15)+LN(AB15)+LN(AC15)+LN(AD15))*(AH15-V7_BASE_CPR),0)</f>
        <v/>
      </c>
      <c r="AO15" s="28">
        <f>IFERROR(LN(AC15)/(LN(W15)+LN(X15)+LN(Y15)+LN(Z15)+LN(AA15)+LN(AB15)+LN(AC15)+LN(AD15))*(AH15-V7_BASE_CPR),0)</f>
        <v/>
      </c>
      <c r="AP15" s="28">
        <f>IFERROR(LN(AD15)/(LN(W15)+LN(X15)+LN(Y15)+LN(Z15)+LN(AA15)+LN(AB15)+LN(AC15)+LN(AD15))*(AH15-V7_BASE_CPR),0)</f>
        <v/>
      </c>
      <c r="AQ15" s="29">
        <f>V7_BASE_CPR+SUM(AI15:AP15)-AH15</f>
        <v/>
      </c>
    </row>
    <row r="16">
      <c r="A16" s="2" t="inlineStr">
        <is>
          <t>3617FTDM7_000000008311235</t>
        </is>
      </c>
      <c r="B16" t="inlineStr">
        <is>
          <t>LUMENT_POST21</t>
        </is>
      </c>
      <c r="C16" s="2" t="inlineStr">
        <is>
          <t>3617FTDM7</t>
        </is>
      </c>
      <c r="D16" t="inlineStr">
        <is>
          <t>LUMENT REAL ESTATE CAPITAL,LLC</t>
        </is>
      </c>
      <c r="E16" t="inlineStr">
        <is>
          <t>223f</t>
        </is>
      </c>
      <c r="F16" t="inlineStr">
        <is>
          <t>RP</t>
        </is>
      </c>
      <c r="G16" t="n">
        <v>2023</v>
      </c>
      <c r="H16" t="inlineStr">
        <is>
          <t>202602</t>
        </is>
      </c>
      <c r="I16" s="22" t="n">
        <v>15752462.19</v>
      </c>
      <c r="J16" s="23" t="n">
        <v>5.1</v>
      </c>
      <c r="K16" s="24" t="n">
        <v>447</v>
      </c>
      <c r="L16" s="24" t="n">
        <v>8</v>
      </c>
      <c r="M16" t="n">
        <v>34</v>
      </c>
      <c r="N16" s="25" t="n">
        <v>0</v>
      </c>
      <c r="O16" t="n">
        <v>205805</v>
      </c>
      <c r="P16" t="inlineStr"/>
      <c r="Q16" t="inlineStr">
        <is>
          <t>3896</t>
        </is>
      </c>
      <c r="R16" s="26" t="n">
        <v>0</v>
      </c>
      <c r="S16" t="n">
        <v>0</v>
      </c>
      <c r="T16" s="23">
        <f>LN(1+I16)</f>
        <v/>
      </c>
      <c r="U16" s="24">
        <f>J16*100-K16</f>
        <v/>
      </c>
      <c r="V16" s="24">
        <f>U16-12.5*(L16+1)</f>
        <v/>
      </c>
      <c r="W16" s="26">
        <f>IF(M16&lt;=V7_AGE_KNOT_X_0,V7_AGE_KNOT_Y_0,IF(M16&gt;=V7_AGE_KNOT_X_5,V7_AGE_KNOT_Y_5,IF(M16&lt;=V7_AGE_KNOT_X_1,V7_AGE_KNOT_Y_0+(M16-V7_AGE_KNOT_X_0)/(V7_AGE_KNOT_X_1-V7_AGE_KNOT_X_0)*(V7_AGE_KNOT_Y_1-V7_AGE_KNOT_Y_0),IF(M16&lt;=V7_AGE_KNOT_X_2,V7_AGE_KNOT_Y_1+(M16-V7_AGE_KNOT_X_1)/(V7_AGE_KNOT_X_2-V7_AGE_KNOT_X_1)*(V7_AGE_KNOT_Y_2-V7_AGE_KNOT_Y_1),IF(M16&lt;=V7_AGE_KNOT_X_3,V7_AGE_KNOT_Y_2+(M16-V7_AGE_KNOT_X_2)/(V7_AGE_KNOT_X_3-V7_AGE_KNOT_X_2)*(V7_AGE_KNOT_Y_3-V7_AGE_KNOT_Y_2),IF(M16&lt;=V7_AGE_KNOT_X_4,V7_AGE_KNOT_Y_3+(M16-V7_AGE_KNOT_X_3)/(V7_AGE_KNOT_X_4-V7_AGE_KNOT_X_3)*(V7_AGE_KNOT_Y_4-V7_AGE_KNOT_Y_3),V7_AGE_KNOT_Y_4+(M16-V7_AGE_KNOT_X_4)/(V7_AGE_KNOT_X_5-V7_AGE_KNOT_X_4)*(V7_AGE_KNOT_Y_5-V7_AGE_KNOT_Y_4)))))))</f>
        <v/>
      </c>
      <c r="X16" s="26">
        <f>V7_RATE_FLOOR+V7_RATE_ASYMPTOTE/(1+EXP(-(V16-V7_RATE_MID)/V7_RATE_SLOPE))</f>
        <v/>
      </c>
      <c r="Y16" s="26">
        <f>MAX(V7_SIZE_LOW,MIN(V7_SIZE_HIGH,V7_SIZE_INTERCEPT+V7_SIZE_SLOPE*(T16-V7_SIZE_LOG_ANCHOR)))</f>
        <v/>
      </c>
      <c r="Z16" s="26">
        <f>IF(ISNUMBER(SEARCH("232",E16)),VLOOKUP("232",V7_PROGRAM_TABLE,2,FALSE),IF(ISNUMBER(SEARCH("538",E16)),VLOOKUP("538",V7_PROGRAM_TABLE,2,FALSE),IF(ISNUMBER(SEARCH("223a7",E16)),VLOOKUP("223a7",V7_PROGRAM_TABLE,2,FALSE),IF(ISNUMBER(SEARCH("223f",E16)),VLOOKUP("223f",V7_PROGRAM_TABLE,2,FALSE),V7_PROGRAM_DEFAULT))))</f>
        <v/>
      </c>
      <c r="AA16" s="26">
        <f>IF(S16=1,1+V7_PURPOSE_NC_BUMP*MAX(0,1-ABS(M16-V7_PURPOSE_PEAK_AGE)/V7_PURPOSE_WIDTH),1)</f>
        <v/>
      </c>
      <c r="AB16" s="26">
        <f>IF(AND(IF(OR(P16="",NOT(ISNUMBER(P16))),0,MAX(0,MIN(24,(INT(VALUE(H16)/100)-INT(P16/100))*12+MOD(VALUE(H16),100)-MOD(P16,100))))&gt;0,IF(OR(P16="",NOT(ISNUMBER(P16))),0,MAX(0,MIN(24,(INT(VALUE(H16)/100)-INT(P16/100))*12+MOD(VALUE(H16),100)-MOD(P16,100))))&lt;=12),1+V7_LOCKOUT_AMP*EXP(-(IF(OR(P16="",NOT(ISNUMBER(P16))),0,MAX(0,MIN(24,(INT(VALUE(H16)/100)-INT(P16/100))*12+MOD(VALUE(H16),100)-MOD(P16,100)))))/V7_LOCKOUT_TAU),1)</f>
        <v/>
      </c>
      <c r="AC16" s="26">
        <f>IF(IF(OR(O16="",NOT(ISNUMBER(O16))),360,MAX(0,MIN(480,(INT(O16/100)-INT(VALUE(H16)/100))*12+MOD(O16,100)-MOD(VALUE(H16),100))))&gt;0,1+V7_MTY_AMP*MAX(0,(V7_MTY_CUTOFF-(IF(OR(O16="",NOT(ISNUMBER(O16))),360,MAX(0,MIN(480,(INT(O16/100)-INT(VALUE(H16)/100))*12+MOD(O16,100)-MOD(VALUE(H16),100))))))/V7_MTY_CUTOFF),1)</f>
        <v/>
      </c>
      <c r="AD16" s="26">
        <f>MAX(V7_BURN_FLOOR,1-V7_BURN_SLOPE*MIN(1,MAX(0,R16)))</f>
        <v/>
      </c>
      <c r="AE16" s="26">
        <f>IF(V7_USE_ISSUER=1,IFERROR(VLOOKUP(Q16,V7_ISSUER_TABLE,3,FALSE),1),1)</f>
        <v/>
      </c>
      <c r="AF16" s="26">
        <f>PRODUCT(W16:AE16)</f>
        <v/>
      </c>
      <c r="AG16" s="27">
        <f>MIN(V7_BASE_SMM*AF16,V7_SMM_CAP)</f>
        <v/>
      </c>
      <c r="AH16" s="28">
        <f>1-(1-AG16)^12</f>
        <v/>
      </c>
      <c r="AI16" s="28">
        <f>IFERROR(LN(W16)/(LN(W16)+LN(X16)+LN(Y16)+LN(Z16)+LN(AA16)+LN(AB16)+LN(AC16)+LN(AD16))*(AH16-V7_BASE_CPR),0)</f>
        <v/>
      </c>
      <c r="AJ16" s="28">
        <f>IFERROR(LN(X16)/(LN(W16)+LN(X16)+LN(Y16)+LN(Z16)+LN(AA16)+LN(AB16)+LN(AC16)+LN(AD16))*(AH16-V7_BASE_CPR),0)</f>
        <v/>
      </c>
      <c r="AK16" s="28">
        <f>IFERROR(LN(Y16)/(LN(W16)+LN(X16)+LN(Y16)+LN(Z16)+LN(AA16)+LN(AB16)+LN(AC16)+LN(AD16))*(AH16-V7_BASE_CPR),0)</f>
        <v/>
      </c>
      <c r="AL16" s="28">
        <f>IFERROR(LN(Z16)/(LN(W16)+LN(X16)+LN(Y16)+LN(Z16)+LN(AA16)+LN(AB16)+LN(AC16)+LN(AD16))*(AH16-V7_BASE_CPR),0)</f>
        <v/>
      </c>
      <c r="AM16" s="28">
        <f>IFERROR(LN(AA16)/(LN(W16)+LN(X16)+LN(Y16)+LN(Z16)+LN(AA16)+LN(AB16)+LN(AC16)+LN(AD16))*(AH16-V7_BASE_CPR),0)</f>
        <v/>
      </c>
      <c r="AN16" s="28">
        <f>IFERROR(LN(AB16)/(LN(W16)+LN(X16)+LN(Y16)+LN(Z16)+LN(AA16)+LN(AB16)+LN(AC16)+LN(AD16))*(AH16-V7_BASE_CPR),0)</f>
        <v/>
      </c>
      <c r="AO16" s="28">
        <f>IFERROR(LN(AC16)/(LN(W16)+LN(X16)+LN(Y16)+LN(Z16)+LN(AA16)+LN(AB16)+LN(AC16)+LN(AD16))*(AH16-V7_BASE_CPR),0)</f>
        <v/>
      </c>
      <c r="AP16" s="28">
        <f>IFERROR(LN(AD16)/(LN(W16)+LN(X16)+LN(Y16)+LN(Z16)+LN(AA16)+LN(AB16)+LN(AC16)+LN(AD16))*(AH16-V7_BASE_CPR),0)</f>
        <v/>
      </c>
      <c r="AQ16" s="29">
        <f>V7_BASE_CPR+SUM(AI16:AP16)-AH16</f>
        <v/>
      </c>
    </row>
    <row r="17">
      <c r="A17" s="2" t="inlineStr">
        <is>
          <t>36187SCA3_000000001411159</t>
        </is>
      </c>
      <c r="B17" t="inlineStr">
        <is>
          <t>LUMENT_PRE21</t>
        </is>
      </c>
      <c r="C17" s="2" t="inlineStr">
        <is>
          <t>36187SCA3</t>
        </is>
      </c>
      <c r="D17" t="inlineStr">
        <is>
          <t>LUMENT REAL ESTATE CAPITAL,LLC</t>
        </is>
      </c>
      <c r="E17" t="inlineStr">
        <is>
          <t>223f</t>
        </is>
      </c>
      <c r="F17" t="inlineStr">
        <is>
          <t>RP</t>
        </is>
      </c>
      <c r="G17" t="n">
        <v>2009</v>
      </c>
      <c r="H17" t="inlineStr">
        <is>
          <t>202602</t>
        </is>
      </c>
      <c r="I17" s="22" t="n">
        <v>1334344.32</v>
      </c>
      <c r="J17" s="23" t="n">
        <v>4.29</v>
      </c>
      <c r="K17" s="24" t="n">
        <v>447</v>
      </c>
      <c r="L17" s="24" t="n">
        <v>0</v>
      </c>
      <c r="M17" t="n">
        <v>205</v>
      </c>
      <c r="N17" s="25" t="n">
        <v>38</v>
      </c>
      <c r="O17" t="n">
        <v>204403</v>
      </c>
      <c r="P17" t="inlineStr"/>
      <c r="Q17" t="inlineStr">
        <is>
          <t>3896</t>
        </is>
      </c>
      <c r="R17" s="26" t="n">
        <v>0.1853658536585366</v>
      </c>
      <c r="S17" t="n">
        <v>0</v>
      </c>
      <c r="T17" s="23">
        <f>LN(1+I17)</f>
        <v/>
      </c>
      <c r="U17" s="24">
        <f>J17*100-K17</f>
        <v/>
      </c>
      <c r="V17" s="24">
        <f>U17-12.5*(L17+1)</f>
        <v/>
      </c>
      <c r="W17" s="26">
        <f>IF(M17&lt;=V7_AGE_KNOT_X_0,V7_AGE_KNOT_Y_0,IF(M17&gt;=V7_AGE_KNOT_X_5,V7_AGE_KNOT_Y_5,IF(M17&lt;=V7_AGE_KNOT_X_1,V7_AGE_KNOT_Y_0+(M17-V7_AGE_KNOT_X_0)/(V7_AGE_KNOT_X_1-V7_AGE_KNOT_X_0)*(V7_AGE_KNOT_Y_1-V7_AGE_KNOT_Y_0),IF(M17&lt;=V7_AGE_KNOT_X_2,V7_AGE_KNOT_Y_1+(M17-V7_AGE_KNOT_X_1)/(V7_AGE_KNOT_X_2-V7_AGE_KNOT_X_1)*(V7_AGE_KNOT_Y_2-V7_AGE_KNOT_Y_1),IF(M17&lt;=V7_AGE_KNOT_X_3,V7_AGE_KNOT_Y_2+(M17-V7_AGE_KNOT_X_2)/(V7_AGE_KNOT_X_3-V7_AGE_KNOT_X_2)*(V7_AGE_KNOT_Y_3-V7_AGE_KNOT_Y_2),IF(M17&lt;=V7_AGE_KNOT_X_4,V7_AGE_KNOT_Y_3+(M17-V7_AGE_KNOT_X_3)/(V7_AGE_KNOT_X_4-V7_AGE_KNOT_X_3)*(V7_AGE_KNOT_Y_4-V7_AGE_KNOT_Y_3),V7_AGE_KNOT_Y_4+(M17-V7_AGE_KNOT_X_4)/(V7_AGE_KNOT_X_5-V7_AGE_KNOT_X_4)*(V7_AGE_KNOT_Y_5-V7_AGE_KNOT_Y_4)))))))</f>
        <v/>
      </c>
      <c r="X17" s="26">
        <f>V7_RATE_FLOOR+V7_RATE_ASYMPTOTE/(1+EXP(-(V17-V7_RATE_MID)/V7_RATE_SLOPE))</f>
        <v/>
      </c>
      <c r="Y17" s="26">
        <f>MAX(V7_SIZE_LOW,MIN(V7_SIZE_HIGH,V7_SIZE_INTERCEPT+V7_SIZE_SLOPE*(T17-V7_SIZE_LOG_ANCHOR)))</f>
        <v/>
      </c>
      <c r="Z17" s="26">
        <f>IF(ISNUMBER(SEARCH("232",E17)),VLOOKUP("232",V7_PROGRAM_TABLE,2,FALSE),IF(ISNUMBER(SEARCH("538",E17)),VLOOKUP("538",V7_PROGRAM_TABLE,2,FALSE),IF(ISNUMBER(SEARCH("223a7",E17)),VLOOKUP("223a7",V7_PROGRAM_TABLE,2,FALSE),IF(ISNUMBER(SEARCH("223f",E17)),VLOOKUP("223f",V7_PROGRAM_TABLE,2,FALSE),V7_PROGRAM_DEFAULT))))</f>
        <v/>
      </c>
      <c r="AA17" s="26">
        <f>IF(S17=1,1+V7_PURPOSE_NC_BUMP*MAX(0,1-ABS(M17-V7_PURPOSE_PEAK_AGE)/V7_PURPOSE_WIDTH),1)</f>
        <v/>
      </c>
      <c r="AB17" s="26">
        <f>IF(AND(IF(OR(P17="",NOT(ISNUMBER(P17))),0,MAX(0,MIN(24,(INT(VALUE(H17)/100)-INT(P17/100))*12+MOD(VALUE(H17),100)-MOD(P17,100))))&gt;0,IF(OR(P17="",NOT(ISNUMBER(P17))),0,MAX(0,MIN(24,(INT(VALUE(H17)/100)-INT(P17/100))*12+MOD(VALUE(H17),100)-MOD(P17,100))))&lt;=12),1+V7_LOCKOUT_AMP*EXP(-(IF(OR(P17="",NOT(ISNUMBER(P17))),0,MAX(0,MIN(24,(INT(VALUE(H17)/100)-INT(P17/100))*12+MOD(VALUE(H17),100)-MOD(P17,100)))))/V7_LOCKOUT_TAU),1)</f>
        <v/>
      </c>
      <c r="AC17" s="26">
        <f>IF(IF(OR(O17="",NOT(ISNUMBER(O17))),360,MAX(0,MIN(480,(INT(O17/100)-INT(VALUE(H17)/100))*12+MOD(O17,100)-MOD(VALUE(H17),100))))&gt;0,1+V7_MTY_AMP*MAX(0,(V7_MTY_CUTOFF-(IF(OR(O17="",NOT(ISNUMBER(O17))),360,MAX(0,MIN(480,(INT(O17/100)-INT(VALUE(H17)/100))*12+MOD(O17,100)-MOD(VALUE(H17),100))))))/V7_MTY_CUTOFF),1)</f>
        <v/>
      </c>
      <c r="AD17" s="26">
        <f>MAX(V7_BURN_FLOOR,1-V7_BURN_SLOPE*MIN(1,MAX(0,R17)))</f>
        <v/>
      </c>
      <c r="AE17" s="26">
        <f>IF(V7_USE_ISSUER=1,IFERROR(VLOOKUP(Q17,V7_ISSUER_TABLE,3,FALSE),1),1)</f>
        <v/>
      </c>
      <c r="AF17" s="26">
        <f>PRODUCT(W17:AE17)</f>
        <v/>
      </c>
      <c r="AG17" s="27">
        <f>MIN(V7_BASE_SMM*AF17,V7_SMM_CAP)</f>
        <v/>
      </c>
      <c r="AH17" s="28">
        <f>1-(1-AG17)^12</f>
        <v/>
      </c>
      <c r="AI17" s="28">
        <f>IFERROR(LN(W17)/(LN(W17)+LN(X17)+LN(Y17)+LN(Z17)+LN(AA17)+LN(AB17)+LN(AC17)+LN(AD17))*(AH17-V7_BASE_CPR),0)</f>
        <v/>
      </c>
      <c r="AJ17" s="28">
        <f>IFERROR(LN(X17)/(LN(W17)+LN(X17)+LN(Y17)+LN(Z17)+LN(AA17)+LN(AB17)+LN(AC17)+LN(AD17))*(AH17-V7_BASE_CPR),0)</f>
        <v/>
      </c>
      <c r="AK17" s="28">
        <f>IFERROR(LN(Y17)/(LN(W17)+LN(X17)+LN(Y17)+LN(Z17)+LN(AA17)+LN(AB17)+LN(AC17)+LN(AD17))*(AH17-V7_BASE_CPR),0)</f>
        <v/>
      </c>
      <c r="AL17" s="28">
        <f>IFERROR(LN(Z17)/(LN(W17)+LN(X17)+LN(Y17)+LN(Z17)+LN(AA17)+LN(AB17)+LN(AC17)+LN(AD17))*(AH17-V7_BASE_CPR),0)</f>
        <v/>
      </c>
      <c r="AM17" s="28">
        <f>IFERROR(LN(AA17)/(LN(W17)+LN(X17)+LN(Y17)+LN(Z17)+LN(AA17)+LN(AB17)+LN(AC17)+LN(AD17))*(AH17-V7_BASE_CPR),0)</f>
        <v/>
      </c>
      <c r="AN17" s="28">
        <f>IFERROR(LN(AB17)/(LN(W17)+LN(X17)+LN(Y17)+LN(Z17)+LN(AA17)+LN(AB17)+LN(AC17)+LN(AD17))*(AH17-V7_BASE_CPR),0)</f>
        <v/>
      </c>
      <c r="AO17" s="28">
        <f>IFERROR(LN(AC17)/(LN(W17)+LN(X17)+LN(Y17)+LN(Z17)+LN(AA17)+LN(AB17)+LN(AC17)+LN(AD17))*(AH17-V7_BASE_CPR),0)</f>
        <v/>
      </c>
      <c r="AP17" s="28">
        <f>IFERROR(LN(AD17)/(LN(W17)+LN(X17)+LN(Y17)+LN(Z17)+LN(AA17)+LN(AB17)+LN(AC17)+LN(AD17))*(AH17-V7_BASE_CPR),0)</f>
        <v/>
      </c>
      <c r="AQ17" s="29">
        <f>V7_BASE_CPR+SUM(AI17:AP17)-AH17</f>
        <v/>
      </c>
    </row>
    <row r="18">
      <c r="A18" s="2" t="inlineStr">
        <is>
          <t>3617AVUR7_049031028004210</t>
        </is>
      </c>
      <c r="B18" t="inlineStr">
        <is>
          <t>LUMENT_PRE21</t>
        </is>
      </c>
      <c r="C18" s="2" t="inlineStr">
        <is>
          <t>3617AVUR7</t>
        </is>
      </c>
      <c r="D18" t="inlineStr">
        <is>
          <t>LUMENT REAL ESTATE CAPITAL,LLC</t>
        </is>
      </c>
      <c r="E18" t="inlineStr">
        <is>
          <t>538</t>
        </is>
      </c>
      <c r="F18" t="inlineStr">
        <is>
          <t>538</t>
        </is>
      </c>
      <c r="G18" t="n">
        <v>2017</v>
      </c>
      <c r="H18" t="inlineStr">
        <is>
          <t>202602</t>
        </is>
      </c>
      <c r="I18" s="22" t="n">
        <v>1419192.88</v>
      </c>
      <c r="J18" s="23" t="n">
        <v>3.89</v>
      </c>
      <c r="K18" s="24" t="n">
        <v>447</v>
      </c>
      <c r="L18" s="24" t="n">
        <v>3</v>
      </c>
      <c r="M18" t="n">
        <v>103</v>
      </c>
      <c r="N18" s="25" t="n">
        <v>31</v>
      </c>
      <c r="O18" t="n">
        <v>204708</v>
      </c>
      <c r="P18" t="inlineStr"/>
      <c r="Q18" t="inlineStr">
        <is>
          <t>3896</t>
        </is>
      </c>
      <c r="R18" s="26" t="n">
        <v>0.3009708737864077</v>
      </c>
      <c r="S18" t="n">
        <v>0</v>
      </c>
      <c r="T18" s="23">
        <f>LN(1+I18)</f>
        <v/>
      </c>
      <c r="U18" s="24">
        <f>J18*100-K18</f>
        <v/>
      </c>
      <c r="V18" s="24">
        <f>U18-12.5*(L18+1)</f>
        <v/>
      </c>
      <c r="W18" s="26">
        <f>IF(M18&lt;=V7_AGE_KNOT_X_0,V7_AGE_KNOT_Y_0,IF(M18&gt;=V7_AGE_KNOT_X_5,V7_AGE_KNOT_Y_5,IF(M18&lt;=V7_AGE_KNOT_X_1,V7_AGE_KNOT_Y_0+(M18-V7_AGE_KNOT_X_0)/(V7_AGE_KNOT_X_1-V7_AGE_KNOT_X_0)*(V7_AGE_KNOT_Y_1-V7_AGE_KNOT_Y_0),IF(M18&lt;=V7_AGE_KNOT_X_2,V7_AGE_KNOT_Y_1+(M18-V7_AGE_KNOT_X_1)/(V7_AGE_KNOT_X_2-V7_AGE_KNOT_X_1)*(V7_AGE_KNOT_Y_2-V7_AGE_KNOT_Y_1),IF(M18&lt;=V7_AGE_KNOT_X_3,V7_AGE_KNOT_Y_2+(M18-V7_AGE_KNOT_X_2)/(V7_AGE_KNOT_X_3-V7_AGE_KNOT_X_2)*(V7_AGE_KNOT_Y_3-V7_AGE_KNOT_Y_2),IF(M18&lt;=V7_AGE_KNOT_X_4,V7_AGE_KNOT_Y_3+(M18-V7_AGE_KNOT_X_3)/(V7_AGE_KNOT_X_4-V7_AGE_KNOT_X_3)*(V7_AGE_KNOT_Y_4-V7_AGE_KNOT_Y_3),V7_AGE_KNOT_Y_4+(M18-V7_AGE_KNOT_X_4)/(V7_AGE_KNOT_X_5-V7_AGE_KNOT_X_4)*(V7_AGE_KNOT_Y_5-V7_AGE_KNOT_Y_4)))))))</f>
        <v/>
      </c>
      <c r="X18" s="26">
        <f>V7_RATE_FLOOR+V7_RATE_ASYMPTOTE/(1+EXP(-(V18-V7_RATE_MID)/V7_RATE_SLOPE))</f>
        <v/>
      </c>
      <c r="Y18" s="26">
        <f>MAX(V7_SIZE_LOW,MIN(V7_SIZE_HIGH,V7_SIZE_INTERCEPT+V7_SIZE_SLOPE*(T18-V7_SIZE_LOG_ANCHOR)))</f>
        <v/>
      </c>
      <c r="Z18" s="26">
        <f>IF(ISNUMBER(SEARCH("232",E18)),VLOOKUP("232",V7_PROGRAM_TABLE,2,FALSE),IF(ISNUMBER(SEARCH("538",E18)),VLOOKUP("538",V7_PROGRAM_TABLE,2,FALSE),IF(ISNUMBER(SEARCH("223a7",E18)),VLOOKUP("223a7",V7_PROGRAM_TABLE,2,FALSE),IF(ISNUMBER(SEARCH("223f",E18)),VLOOKUP("223f",V7_PROGRAM_TABLE,2,FALSE),V7_PROGRAM_DEFAULT))))</f>
        <v/>
      </c>
      <c r="AA18" s="26">
        <f>IF(S18=1,1+V7_PURPOSE_NC_BUMP*MAX(0,1-ABS(M18-V7_PURPOSE_PEAK_AGE)/V7_PURPOSE_WIDTH),1)</f>
        <v/>
      </c>
      <c r="AB18" s="26">
        <f>IF(AND(IF(OR(P18="",NOT(ISNUMBER(P18))),0,MAX(0,MIN(24,(INT(VALUE(H18)/100)-INT(P18/100))*12+MOD(VALUE(H18),100)-MOD(P18,100))))&gt;0,IF(OR(P18="",NOT(ISNUMBER(P18))),0,MAX(0,MIN(24,(INT(VALUE(H18)/100)-INT(P18/100))*12+MOD(VALUE(H18),100)-MOD(P18,100))))&lt;=12),1+V7_LOCKOUT_AMP*EXP(-(IF(OR(P18="",NOT(ISNUMBER(P18))),0,MAX(0,MIN(24,(INT(VALUE(H18)/100)-INT(P18/100))*12+MOD(VALUE(H18),100)-MOD(P18,100)))))/V7_LOCKOUT_TAU),1)</f>
        <v/>
      </c>
      <c r="AC18" s="26">
        <f>IF(IF(OR(O18="",NOT(ISNUMBER(O18))),360,MAX(0,MIN(480,(INT(O18/100)-INT(VALUE(H18)/100))*12+MOD(O18,100)-MOD(VALUE(H18),100))))&gt;0,1+V7_MTY_AMP*MAX(0,(V7_MTY_CUTOFF-(IF(OR(O18="",NOT(ISNUMBER(O18))),360,MAX(0,MIN(480,(INT(O18/100)-INT(VALUE(H18)/100))*12+MOD(O18,100)-MOD(VALUE(H18),100))))))/V7_MTY_CUTOFF),1)</f>
        <v/>
      </c>
      <c r="AD18" s="26">
        <f>MAX(V7_BURN_FLOOR,1-V7_BURN_SLOPE*MIN(1,MAX(0,R18)))</f>
        <v/>
      </c>
      <c r="AE18" s="26">
        <f>IF(V7_USE_ISSUER=1,IFERROR(VLOOKUP(Q18,V7_ISSUER_TABLE,3,FALSE),1),1)</f>
        <v/>
      </c>
      <c r="AF18" s="26">
        <f>PRODUCT(W18:AE18)</f>
        <v/>
      </c>
      <c r="AG18" s="27">
        <f>MIN(V7_BASE_SMM*AF18,V7_SMM_CAP)</f>
        <v/>
      </c>
      <c r="AH18" s="28">
        <f>1-(1-AG18)^12</f>
        <v/>
      </c>
      <c r="AI18" s="28">
        <f>IFERROR(LN(W18)/(LN(W18)+LN(X18)+LN(Y18)+LN(Z18)+LN(AA18)+LN(AB18)+LN(AC18)+LN(AD18))*(AH18-V7_BASE_CPR),0)</f>
        <v/>
      </c>
      <c r="AJ18" s="28">
        <f>IFERROR(LN(X18)/(LN(W18)+LN(X18)+LN(Y18)+LN(Z18)+LN(AA18)+LN(AB18)+LN(AC18)+LN(AD18))*(AH18-V7_BASE_CPR),0)</f>
        <v/>
      </c>
      <c r="AK18" s="28">
        <f>IFERROR(LN(Y18)/(LN(W18)+LN(X18)+LN(Y18)+LN(Z18)+LN(AA18)+LN(AB18)+LN(AC18)+LN(AD18))*(AH18-V7_BASE_CPR),0)</f>
        <v/>
      </c>
      <c r="AL18" s="28">
        <f>IFERROR(LN(Z18)/(LN(W18)+LN(X18)+LN(Y18)+LN(Z18)+LN(AA18)+LN(AB18)+LN(AC18)+LN(AD18))*(AH18-V7_BASE_CPR),0)</f>
        <v/>
      </c>
      <c r="AM18" s="28">
        <f>IFERROR(LN(AA18)/(LN(W18)+LN(X18)+LN(Y18)+LN(Z18)+LN(AA18)+LN(AB18)+LN(AC18)+LN(AD18))*(AH18-V7_BASE_CPR),0)</f>
        <v/>
      </c>
      <c r="AN18" s="28">
        <f>IFERROR(LN(AB18)/(LN(W18)+LN(X18)+LN(Y18)+LN(Z18)+LN(AA18)+LN(AB18)+LN(AC18)+LN(AD18))*(AH18-V7_BASE_CPR),0)</f>
        <v/>
      </c>
      <c r="AO18" s="28">
        <f>IFERROR(LN(AC18)/(LN(W18)+LN(X18)+LN(Y18)+LN(Z18)+LN(AA18)+LN(AB18)+LN(AC18)+LN(AD18))*(AH18-V7_BASE_CPR),0)</f>
        <v/>
      </c>
      <c r="AP18" s="28">
        <f>IFERROR(LN(AD18)/(LN(W18)+LN(X18)+LN(Y18)+LN(Z18)+LN(AA18)+LN(AB18)+LN(AC18)+LN(AD18))*(AH18-V7_BASE_CPR),0)</f>
        <v/>
      </c>
      <c r="AQ18" s="29">
        <f>V7_BASE_CPR+SUM(AI18:AP18)-AH18</f>
        <v/>
      </c>
    </row>
    <row r="19">
      <c r="A19" s="2" t="inlineStr">
        <is>
          <t>3617GKP67_000000002411077</t>
        </is>
      </c>
      <c r="B19" t="inlineStr">
        <is>
          <t>LUMENT_PRE21</t>
        </is>
      </c>
      <c r="C19" s="2" t="inlineStr">
        <is>
          <t>3617GKP67</t>
        </is>
      </c>
      <c r="D19" t="inlineStr">
        <is>
          <t>LUMENT REAL ESTATE CAPITAL,LLC</t>
        </is>
      </c>
      <c r="E19" t="inlineStr">
        <is>
          <t>223f</t>
        </is>
      </c>
      <c r="F19" t="inlineStr">
        <is>
          <t>RP</t>
        </is>
      </c>
      <c r="G19" t="n">
        <v>2018</v>
      </c>
      <c r="H19" t="inlineStr">
        <is>
          <t>202602</t>
        </is>
      </c>
      <c r="I19" s="22" t="n">
        <v>5685256.38</v>
      </c>
      <c r="J19" s="23" t="n">
        <v>4.02</v>
      </c>
      <c r="K19" s="24" t="n">
        <v>447</v>
      </c>
      <c r="L19" s="24" t="n">
        <v>3</v>
      </c>
      <c r="M19" t="n">
        <v>93</v>
      </c>
      <c r="N19" s="25" t="n">
        <v>32</v>
      </c>
      <c r="O19" t="n">
        <v>205306</v>
      </c>
      <c r="P19" t="inlineStr"/>
      <c r="Q19" t="inlineStr">
        <is>
          <t>3896</t>
        </is>
      </c>
      <c r="R19" s="26" t="n">
        <v>0.3440860215053764</v>
      </c>
      <c r="S19" t="n">
        <v>0</v>
      </c>
      <c r="T19" s="23">
        <f>LN(1+I19)</f>
        <v/>
      </c>
      <c r="U19" s="24">
        <f>J19*100-K19</f>
        <v/>
      </c>
      <c r="V19" s="24">
        <f>U19-12.5*(L19+1)</f>
        <v/>
      </c>
      <c r="W19" s="26">
        <f>IF(M19&lt;=V7_AGE_KNOT_X_0,V7_AGE_KNOT_Y_0,IF(M19&gt;=V7_AGE_KNOT_X_5,V7_AGE_KNOT_Y_5,IF(M19&lt;=V7_AGE_KNOT_X_1,V7_AGE_KNOT_Y_0+(M19-V7_AGE_KNOT_X_0)/(V7_AGE_KNOT_X_1-V7_AGE_KNOT_X_0)*(V7_AGE_KNOT_Y_1-V7_AGE_KNOT_Y_0),IF(M19&lt;=V7_AGE_KNOT_X_2,V7_AGE_KNOT_Y_1+(M19-V7_AGE_KNOT_X_1)/(V7_AGE_KNOT_X_2-V7_AGE_KNOT_X_1)*(V7_AGE_KNOT_Y_2-V7_AGE_KNOT_Y_1),IF(M19&lt;=V7_AGE_KNOT_X_3,V7_AGE_KNOT_Y_2+(M19-V7_AGE_KNOT_X_2)/(V7_AGE_KNOT_X_3-V7_AGE_KNOT_X_2)*(V7_AGE_KNOT_Y_3-V7_AGE_KNOT_Y_2),IF(M19&lt;=V7_AGE_KNOT_X_4,V7_AGE_KNOT_Y_3+(M19-V7_AGE_KNOT_X_3)/(V7_AGE_KNOT_X_4-V7_AGE_KNOT_X_3)*(V7_AGE_KNOT_Y_4-V7_AGE_KNOT_Y_3),V7_AGE_KNOT_Y_4+(M19-V7_AGE_KNOT_X_4)/(V7_AGE_KNOT_X_5-V7_AGE_KNOT_X_4)*(V7_AGE_KNOT_Y_5-V7_AGE_KNOT_Y_4)))))))</f>
        <v/>
      </c>
      <c r="X19" s="26">
        <f>V7_RATE_FLOOR+V7_RATE_ASYMPTOTE/(1+EXP(-(V19-V7_RATE_MID)/V7_RATE_SLOPE))</f>
        <v/>
      </c>
      <c r="Y19" s="26">
        <f>MAX(V7_SIZE_LOW,MIN(V7_SIZE_HIGH,V7_SIZE_INTERCEPT+V7_SIZE_SLOPE*(T19-V7_SIZE_LOG_ANCHOR)))</f>
        <v/>
      </c>
      <c r="Z19" s="26">
        <f>IF(ISNUMBER(SEARCH("232",E19)),VLOOKUP("232",V7_PROGRAM_TABLE,2,FALSE),IF(ISNUMBER(SEARCH("538",E19)),VLOOKUP("538",V7_PROGRAM_TABLE,2,FALSE),IF(ISNUMBER(SEARCH("223a7",E19)),VLOOKUP("223a7",V7_PROGRAM_TABLE,2,FALSE),IF(ISNUMBER(SEARCH("223f",E19)),VLOOKUP("223f",V7_PROGRAM_TABLE,2,FALSE),V7_PROGRAM_DEFAULT))))</f>
        <v/>
      </c>
      <c r="AA19" s="26">
        <f>IF(S19=1,1+V7_PURPOSE_NC_BUMP*MAX(0,1-ABS(M19-V7_PURPOSE_PEAK_AGE)/V7_PURPOSE_WIDTH),1)</f>
        <v/>
      </c>
      <c r="AB19" s="26">
        <f>IF(AND(IF(OR(P19="",NOT(ISNUMBER(P19))),0,MAX(0,MIN(24,(INT(VALUE(H19)/100)-INT(P19/100))*12+MOD(VALUE(H19),100)-MOD(P19,100))))&gt;0,IF(OR(P19="",NOT(ISNUMBER(P19))),0,MAX(0,MIN(24,(INT(VALUE(H19)/100)-INT(P19/100))*12+MOD(VALUE(H19),100)-MOD(P19,100))))&lt;=12),1+V7_LOCKOUT_AMP*EXP(-(IF(OR(P19="",NOT(ISNUMBER(P19))),0,MAX(0,MIN(24,(INT(VALUE(H19)/100)-INT(P19/100))*12+MOD(VALUE(H19),100)-MOD(P19,100)))))/V7_LOCKOUT_TAU),1)</f>
        <v/>
      </c>
      <c r="AC19" s="26">
        <f>IF(IF(OR(O19="",NOT(ISNUMBER(O19))),360,MAX(0,MIN(480,(INT(O19/100)-INT(VALUE(H19)/100))*12+MOD(O19,100)-MOD(VALUE(H19),100))))&gt;0,1+V7_MTY_AMP*MAX(0,(V7_MTY_CUTOFF-(IF(OR(O19="",NOT(ISNUMBER(O19))),360,MAX(0,MIN(480,(INT(O19/100)-INT(VALUE(H19)/100))*12+MOD(O19,100)-MOD(VALUE(H19),100))))))/V7_MTY_CUTOFF),1)</f>
        <v/>
      </c>
      <c r="AD19" s="26">
        <f>MAX(V7_BURN_FLOOR,1-V7_BURN_SLOPE*MIN(1,MAX(0,R19)))</f>
        <v/>
      </c>
      <c r="AE19" s="26">
        <f>IF(V7_USE_ISSUER=1,IFERROR(VLOOKUP(Q19,V7_ISSUER_TABLE,3,FALSE),1),1)</f>
        <v/>
      </c>
      <c r="AF19" s="26">
        <f>PRODUCT(W19:AE19)</f>
        <v/>
      </c>
      <c r="AG19" s="27">
        <f>MIN(V7_BASE_SMM*AF19,V7_SMM_CAP)</f>
        <v/>
      </c>
      <c r="AH19" s="28">
        <f>1-(1-AG19)^12</f>
        <v/>
      </c>
      <c r="AI19" s="28">
        <f>IFERROR(LN(W19)/(LN(W19)+LN(X19)+LN(Y19)+LN(Z19)+LN(AA19)+LN(AB19)+LN(AC19)+LN(AD19))*(AH19-V7_BASE_CPR),0)</f>
        <v/>
      </c>
      <c r="AJ19" s="28">
        <f>IFERROR(LN(X19)/(LN(W19)+LN(X19)+LN(Y19)+LN(Z19)+LN(AA19)+LN(AB19)+LN(AC19)+LN(AD19))*(AH19-V7_BASE_CPR),0)</f>
        <v/>
      </c>
      <c r="AK19" s="28">
        <f>IFERROR(LN(Y19)/(LN(W19)+LN(X19)+LN(Y19)+LN(Z19)+LN(AA19)+LN(AB19)+LN(AC19)+LN(AD19))*(AH19-V7_BASE_CPR),0)</f>
        <v/>
      </c>
      <c r="AL19" s="28">
        <f>IFERROR(LN(Z19)/(LN(W19)+LN(X19)+LN(Y19)+LN(Z19)+LN(AA19)+LN(AB19)+LN(AC19)+LN(AD19))*(AH19-V7_BASE_CPR),0)</f>
        <v/>
      </c>
      <c r="AM19" s="28">
        <f>IFERROR(LN(AA19)/(LN(W19)+LN(X19)+LN(Y19)+LN(Z19)+LN(AA19)+LN(AB19)+LN(AC19)+LN(AD19))*(AH19-V7_BASE_CPR),0)</f>
        <v/>
      </c>
      <c r="AN19" s="28">
        <f>IFERROR(LN(AB19)/(LN(W19)+LN(X19)+LN(Y19)+LN(Z19)+LN(AA19)+LN(AB19)+LN(AC19)+LN(AD19))*(AH19-V7_BASE_CPR),0)</f>
        <v/>
      </c>
      <c r="AO19" s="28">
        <f>IFERROR(LN(AC19)/(LN(W19)+LN(X19)+LN(Y19)+LN(Z19)+LN(AA19)+LN(AB19)+LN(AC19)+LN(AD19))*(AH19-V7_BASE_CPR),0)</f>
        <v/>
      </c>
      <c r="AP19" s="28">
        <f>IFERROR(LN(AD19)/(LN(W19)+LN(X19)+LN(Y19)+LN(Z19)+LN(AA19)+LN(AB19)+LN(AC19)+LN(AD19))*(AH19-V7_BASE_CPR),0)</f>
        <v/>
      </c>
      <c r="AQ19" s="29">
        <f>V7_BASE_CPR+SUM(AI19:AP19)-AH19</f>
        <v/>
      </c>
    </row>
    <row r="20">
      <c r="A20" s="2" t="inlineStr">
        <is>
          <t>36180QCV8_000000010535250</t>
        </is>
      </c>
      <c r="B20" t="inlineStr">
        <is>
          <t>LUMENT_PRE21</t>
        </is>
      </c>
      <c r="C20" s="2" t="inlineStr">
        <is>
          <t>36180QCV8</t>
        </is>
      </c>
      <c r="D20" t="inlineStr">
        <is>
          <t>LUMENT REAL ESTATE CAPITAL,LLC</t>
        </is>
      </c>
      <c r="E20" t="inlineStr">
        <is>
          <t>221d4</t>
        </is>
      </c>
      <c r="F20" t="inlineStr">
        <is>
          <t>NC</t>
        </is>
      </c>
      <c r="G20" t="n">
        <v>2015</v>
      </c>
      <c r="H20" t="inlineStr">
        <is>
          <t>202602</t>
        </is>
      </c>
      <c r="I20" s="22" t="n">
        <v>2808410.87</v>
      </c>
      <c r="J20" s="23" t="n">
        <v>3.35</v>
      </c>
      <c r="K20" s="24" t="n">
        <v>447</v>
      </c>
      <c r="L20" s="24" t="n">
        <v>1</v>
      </c>
      <c r="M20" t="n">
        <v>128</v>
      </c>
      <c r="N20" s="25" t="n">
        <v>27</v>
      </c>
      <c r="O20" t="n">
        <v>205604</v>
      </c>
      <c r="P20" t="inlineStr"/>
      <c r="Q20" t="inlineStr">
        <is>
          <t>3896</t>
        </is>
      </c>
      <c r="R20" s="26" t="n">
        <v>0.2109375</v>
      </c>
      <c r="S20" t="n">
        <v>1</v>
      </c>
      <c r="T20" s="23">
        <f>LN(1+I20)</f>
        <v/>
      </c>
      <c r="U20" s="24">
        <f>J20*100-K20</f>
        <v/>
      </c>
      <c r="V20" s="24">
        <f>U20-12.5*(L20+1)</f>
        <v/>
      </c>
      <c r="W20" s="26">
        <f>IF(M20&lt;=V7_AGE_KNOT_X_0,V7_AGE_KNOT_Y_0,IF(M20&gt;=V7_AGE_KNOT_X_5,V7_AGE_KNOT_Y_5,IF(M20&lt;=V7_AGE_KNOT_X_1,V7_AGE_KNOT_Y_0+(M20-V7_AGE_KNOT_X_0)/(V7_AGE_KNOT_X_1-V7_AGE_KNOT_X_0)*(V7_AGE_KNOT_Y_1-V7_AGE_KNOT_Y_0),IF(M20&lt;=V7_AGE_KNOT_X_2,V7_AGE_KNOT_Y_1+(M20-V7_AGE_KNOT_X_1)/(V7_AGE_KNOT_X_2-V7_AGE_KNOT_X_1)*(V7_AGE_KNOT_Y_2-V7_AGE_KNOT_Y_1),IF(M20&lt;=V7_AGE_KNOT_X_3,V7_AGE_KNOT_Y_2+(M20-V7_AGE_KNOT_X_2)/(V7_AGE_KNOT_X_3-V7_AGE_KNOT_X_2)*(V7_AGE_KNOT_Y_3-V7_AGE_KNOT_Y_2),IF(M20&lt;=V7_AGE_KNOT_X_4,V7_AGE_KNOT_Y_3+(M20-V7_AGE_KNOT_X_3)/(V7_AGE_KNOT_X_4-V7_AGE_KNOT_X_3)*(V7_AGE_KNOT_Y_4-V7_AGE_KNOT_Y_3),V7_AGE_KNOT_Y_4+(M20-V7_AGE_KNOT_X_4)/(V7_AGE_KNOT_X_5-V7_AGE_KNOT_X_4)*(V7_AGE_KNOT_Y_5-V7_AGE_KNOT_Y_4)))))))</f>
        <v/>
      </c>
      <c r="X20" s="26">
        <f>V7_RATE_FLOOR+V7_RATE_ASYMPTOTE/(1+EXP(-(V20-V7_RATE_MID)/V7_RATE_SLOPE))</f>
        <v/>
      </c>
      <c r="Y20" s="26">
        <f>MAX(V7_SIZE_LOW,MIN(V7_SIZE_HIGH,V7_SIZE_INTERCEPT+V7_SIZE_SLOPE*(T20-V7_SIZE_LOG_ANCHOR)))</f>
        <v/>
      </c>
      <c r="Z20" s="26">
        <f>IF(ISNUMBER(SEARCH("232",E20)),VLOOKUP("232",V7_PROGRAM_TABLE,2,FALSE),IF(ISNUMBER(SEARCH("538",E20)),VLOOKUP("538",V7_PROGRAM_TABLE,2,FALSE),IF(ISNUMBER(SEARCH("223a7",E20)),VLOOKUP("223a7",V7_PROGRAM_TABLE,2,FALSE),IF(ISNUMBER(SEARCH("223f",E20)),VLOOKUP("223f",V7_PROGRAM_TABLE,2,FALSE),V7_PROGRAM_DEFAULT))))</f>
        <v/>
      </c>
      <c r="AA20" s="26">
        <f>IF(S20=1,1+V7_PURPOSE_NC_BUMP*MAX(0,1-ABS(M20-V7_PURPOSE_PEAK_AGE)/V7_PURPOSE_WIDTH),1)</f>
        <v/>
      </c>
      <c r="AB20" s="26">
        <f>IF(AND(IF(OR(P20="",NOT(ISNUMBER(P20))),0,MAX(0,MIN(24,(INT(VALUE(H20)/100)-INT(P20/100))*12+MOD(VALUE(H20),100)-MOD(P20,100))))&gt;0,IF(OR(P20="",NOT(ISNUMBER(P20))),0,MAX(0,MIN(24,(INT(VALUE(H20)/100)-INT(P20/100))*12+MOD(VALUE(H20),100)-MOD(P20,100))))&lt;=12),1+V7_LOCKOUT_AMP*EXP(-(IF(OR(P20="",NOT(ISNUMBER(P20))),0,MAX(0,MIN(24,(INT(VALUE(H20)/100)-INT(P20/100))*12+MOD(VALUE(H20),100)-MOD(P20,100)))))/V7_LOCKOUT_TAU),1)</f>
        <v/>
      </c>
      <c r="AC20" s="26">
        <f>IF(IF(OR(O20="",NOT(ISNUMBER(O20))),360,MAX(0,MIN(480,(INT(O20/100)-INT(VALUE(H20)/100))*12+MOD(O20,100)-MOD(VALUE(H20),100))))&gt;0,1+V7_MTY_AMP*MAX(0,(V7_MTY_CUTOFF-(IF(OR(O20="",NOT(ISNUMBER(O20))),360,MAX(0,MIN(480,(INT(O20/100)-INT(VALUE(H20)/100))*12+MOD(O20,100)-MOD(VALUE(H20),100))))))/V7_MTY_CUTOFF),1)</f>
        <v/>
      </c>
      <c r="AD20" s="26">
        <f>MAX(V7_BURN_FLOOR,1-V7_BURN_SLOPE*MIN(1,MAX(0,R20)))</f>
        <v/>
      </c>
      <c r="AE20" s="26">
        <f>IF(V7_USE_ISSUER=1,IFERROR(VLOOKUP(Q20,V7_ISSUER_TABLE,3,FALSE),1),1)</f>
        <v/>
      </c>
      <c r="AF20" s="26">
        <f>PRODUCT(W20:AE20)</f>
        <v/>
      </c>
      <c r="AG20" s="27">
        <f>MIN(V7_BASE_SMM*AF20,V7_SMM_CAP)</f>
        <v/>
      </c>
      <c r="AH20" s="28">
        <f>1-(1-AG20)^12</f>
        <v/>
      </c>
      <c r="AI20" s="28">
        <f>IFERROR(LN(W20)/(LN(W20)+LN(X20)+LN(Y20)+LN(Z20)+LN(AA20)+LN(AB20)+LN(AC20)+LN(AD20))*(AH20-V7_BASE_CPR),0)</f>
        <v/>
      </c>
      <c r="AJ20" s="28">
        <f>IFERROR(LN(X20)/(LN(W20)+LN(X20)+LN(Y20)+LN(Z20)+LN(AA20)+LN(AB20)+LN(AC20)+LN(AD20))*(AH20-V7_BASE_CPR),0)</f>
        <v/>
      </c>
      <c r="AK20" s="28">
        <f>IFERROR(LN(Y20)/(LN(W20)+LN(X20)+LN(Y20)+LN(Z20)+LN(AA20)+LN(AB20)+LN(AC20)+LN(AD20))*(AH20-V7_BASE_CPR),0)</f>
        <v/>
      </c>
      <c r="AL20" s="28">
        <f>IFERROR(LN(Z20)/(LN(W20)+LN(X20)+LN(Y20)+LN(Z20)+LN(AA20)+LN(AB20)+LN(AC20)+LN(AD20))*(AH20-V7_BASE_CPR),0)</f>
        <v/>
      </c>
      <c r="AM20" s="28">
        <f>IFERROR(LN(AA20)/(LN(W20)+LN(X20)+LN(Y20)+LN(Z20)+LN(AA20)+LN(AB20)+LN(AC20)+LN(AD20))*(AH20-V7_BASE_CPR),0)</f>
        <v/>
      </c>
      <c r="AN20" s="28">
        <f>IFERROR(LN(AB20)/(LN(W20)+LN(X20)+LN(Y20)+LN(Z20)+LN(AA20)+LN(AB20)+LN(AC20)+LN(AD20))*(AH20-V7_BASE_CPR),0)</f>
        <v/>
      </c>
      <c r="AO20" s="28">
        <f>IFERROR(LN(AC20)/(LN(W20)+LN(X20)+LN(Y20)+LN(Z20)+LN(AA20)+LN(AB20)+LN(AC20)+LN(AD20))*(AH20-V7_BASE_CPR),0)</f>
        <v/>
      </c>
      <c r="AP20" s="28">
        <f>IFERROR(LN(AD20)/(LN(W20)+LN(X20)+LN(Y20)+LN(Z20)+LN(AA20)+LN(AB20)+LN(AC20)+LN(AD20))*(AH20-V7_BASE_CPR),0)</f>
        <v/>
      </c>
      <c r="AQ20" s="29">
        <f>V7_BASE_CPR+SUM(AI20:AP20)-AH20</f>
        <v/>
      </c>
    </row>
    <row r="21">
      <c r="A21" s="2" t="inlineStr">
        <is>
          <t>3617X76V3_000000012211483</t>
        </is>
      </c>
      <c r="B21" t="inlineStr">
        <is>
          <t>LUMENT_POST21</t>
        </is>
      </c>
      <c r="C21" s="2" t="inlineStr">
        <is>
          <t>3617X76V3</t>
        </is>
      </c>
      <c r="D21" t="inlineStr">
        <is>
          <t>LUMENT REAL ESTATE CAPITAL,LLC</t>
        </is>
      </c>
      <c r="E21" t="inlineStr">
        <is>
          <t>223f</t>
        </is>
      </c>
      <c r="F21" t="inlineStr">
        <is>
          <t>RP</t>
        </is>
      </c>
      <c r="G21" t="n">
        <v>2022</v>
      </c>
      <c r="H21" t="inlineStr">
        <is>
          <t>202602</t>
        </is>
      </c>
      <c r="I21" s="22" t="n">
        <v>11152290.91</v>
      </c>
      <c r="J21" s="23" t="n">
        <v>2.6</v>
      </c>
      <c r="K21" s="24" t="n">
        <v>447</v>
      </c>
      <c r="L21" s="24" t="n">
        <v>7</v>
      </c>
      <c r="M21" t="n">
        <v>47</v>
      </c>
      <c r="N21" s="25" t="n">
        <v>0</v>
      </c>
      <c r="O21" t="n">
        <v>205704</v>
      </c>
      <c r="P21" t="inlineStr"/>
      <c r="Q21" t="inlineStr">
        <is>
          <t>3896</t>
        </is>
      </c>
      <c r="R21" s="26" t="n">
        <v>0</v>
      </c>
      <c r="S21" t="n">
        <v>0</v>
      </c>
      <c r="T21" s="23">
        <f>LN(1+I21)</f>
        <v/>
      </c>
      <c r="U21" s="24">
        <f>J21*100-K21</f>
        <v/>
      </c>
      <c r="V21" s="24">
        <f>U21-12.5*(L21+1)</f>
        <v/>
      </c>
      <c r="W21" s="26">
        <f>IF(M21&lt;=V7_AGE_KNOT_X_0,V7_AGE_KNOT_Y_0,IF(M21&gt;=V7_AGE_KNOT_X_5,V7_AGE_KNOT_Y_5,IF(M21&lt;=V7_AGE_KNOT_X_1,V7_AGE_KNOT_Y_0+(M21-V7_AGE_KNOT_X_0)/(V7_AGE_KNOT_X_1-V7_AGE_KNOT_X_0)*(V7_AGE_KNOT_Y_1-V7_AGE_KNOT_Y_0),IF(M21&lt;=V7_AGE_KNOT_X_2,V7_AGE_KNOT_Y_1+(M21-V7_AGE_KNOT_X_1)/(V7_AGE_KNOT_X_2-V7_AGE_KNOT_X_1)*(V7_AGE_KNOT_Y_2-V7_AGE_KNOT_Y_1),IF(M21&lt;=V7_AGE_KNOT_X_3,V7_AGE_KNOT_Y_2+(M21-V7_AGE_KNOT_X_2)/(V7_AGE_KNOT_X_3-V7_AGE_KNOT_X_2)*(V7_AGE_KNOT_Y_3-V7_AGE_KNOT_Y_2),IF(M21&lt;=V7_AGE_KNOT_X_4,V7_AGE_KNOT_Y_3+(M21-V7_AGE_KNOT_X_3)/(V7_AGE_KNOT_X_4-V7_AGE_KNOT_X_3)*(V7_AGE_KNOT_Y_4-V7_AGE_KNOT_Y_3),V7_AGE_KNOT_Y_4+(M21-V7_AGE_KNOT_X_4)/(V7_AGE_KNOT_X_5-V7_AGE_KNOT_X_4)*(V7_AGE_KNOT_Y_5-V7_AGE_KNOT_Y_4)))))))</f>
        <v/>
      </c>
      <c r="X21" s="26">
        <f>V7_RATE_FLOOR+V7_RATE_ASYMPTOTE/(1+EXP(-(V21-V7_RATE_MID)/V7_RATE_SLOPE))</f>
        <v/>
      </c>
      <c r="Y21" s="26">
        <f>MAX(V7_SIZE_LOW,MIN(V7_SIZE_HIGH,V7_SIZE_INTERCEPT+V7_SIZE_SLOPE*(T21-V7_SIZE_LOG_ANCHOR)))</f>
        <v/>
      </c>
      <c r="Z21" s="26">
        <f>IF(ISNUMBER(SEARCH("232",E21)),VLOOKUP("232",V7_PROGRAM_TABLE,2,FALSE),IF(ISNUMBER(SEARCH("538",E21)),VLOOKUP("538",V7_PROGRAM_TABLE,2,FALSE),IF(ISNUMBER(SEARCH("223a7",E21)),VLOOKUP("223a7",V7_PROGRAM_TABLE,2,FALSE),IF(ISNUMBER(SEARCH("223f",E21)),VLOOKUP("223f",V7_PROGRAM_TABLE,2,FALSE),V7_PROGRAM_DEFAULT))))</f>
        <v/>
      </c>
      <c r="AA21" s="26">
        <f>IF(S21=1,1+V7_PURPOSE_NC_BUMP*MAX(0,1-ABS(M21-V7_PURPOSE_PEAK_AGE)/V7_PURPOSE_WIDTH),1)</f>
        <v/>
      </c>
      <c r="AB21" s="26">
        <f>IF(AND(IF(OR(P21="",NOT(ISNUMBER(P21))),0,MAX(0,MIN(24,(INT(VALUE(H21)/100)-INT(P21/100))*12+MOD(VALUE(H21),100)-MOD(P21,100))))&gt;0,IF(OR(P21="",NOT(ISNUMBER(P21))),0,MAX(0,MIN(24,(INT(VALUE(H21)/100)-INT(P21/100))*12+MOD(VALUE(H21),100)-MOD(P21,100))))&lt;=12),1+V7_LOCKOUT_AMP*EXP(-(IF(OR(P21="",NOT(ISNUMBER(P21))),0,MAX(0,MIN(24,(INT(VALUE(H21)/100)-INT(P21/100))*12+MOD(VALUE(H21),100)-MOD(P21,100)))))/V7_LOCKOUT_TAU),1)</f>
        <v/>
      </c>
      <c r="AC21" s="26">
        <f>IF(IF(OR(O21="",NOT(ISNUMBER(O21))),360,MAX(0,MIN(480,(INT(O21/100)-INT(VALUE(H21)/100))*12+MOD(O21,100)-MOD(VALUE(H21),100))))&gt;0,1+V7_MTY_AMP*MAX(0,(V7_MTY_CUTOFF-(IF(OR(O21="",NOT(ISNUMBER(O21))),360,MAX(0,MIN(480,(INT(O21/100)-INT(VALUE(H21)/100))*12+MOD(O21,100)-MOD(VALUE(H21),100))))))/V7_MTY_CUTOFF),1)</f>
        <v/>
      </c>
      <c r="AD21" s="26">
        <f>MAX(V7_BURN_FLOOR,1-V7_BURN_SLOPE*MIN(1,MAX(0,R21)))</f>
        <v/>
      </c>
      <c r="AE21" s="26">
        <f>IF(V7_USE_ISSUER=1,IFERROR(VLOOKUP(Q21,V7_ISSUER_TABLE,3,FALSE),1),1)</f>
        <v/>
      </c>
      <c r="AF21" s="26">
        <f>PRODUCT(W21:AE21)</f>
        <v/>
      </c>
      <c r="AG21" s="27">
        <f>MIN(V7_BASE_SMM*AF21,V7_SMM_CAP)</f>
        <v/>
      </c>
      <c r="AH21" s="28">
        <f>1-(1-AG21)^12</f>
        <v/>
      </c>
      <c r="AI21" s="28">
        <f>IFERROR(LN(W21)/(LN(W21)+LN(X21)+LN(Y21)+LN(Z21)+LN(AA21)+LN(AB21)+LN(AC21)+LN(AD21))*(AH21-V7_BASE_CPR),0)</f>
        <v/>
      </c>
      <c r="AJ21" s="28">
        <f>IFERROR(LN(X21)/(LN(W21)+LN(X21)+LN(Y21)+LN(Z21)+LN(AA21)+LN(AB21)+LN(AC21)+LN(AD21))*(AH21-V7_BASE_CPR),0)</f>
        <v/>
      </c>
      <c r="AK21" s="28">
        <f>IFERROR(LN(Y21)/(LN(W21)+LN(X21)+LN(Y21)+LN(Z21)+LN(AA21)+LN(AB21)+LN(AC21)+LN(AD21))*(AH21-V7_BASE_CPR),0)</f>
        <v/>
      </c>
      <c r="AL21" s="28">
        <f>IFERROR(LN(Z21)/(LN(W21)+LN(X21)+LN(Y21)+LN(Z21)+LN(AA21)+LN(AB21)+LN(AC21)+LN(AD21))*(AH21-V7_BASE_CPR),0)</f>
        <v/>
      </c>
      <c r="AM21" s="28">
        <f>IFERROR(LN(AA21)/(LN(W21)+LN(X21)+LN(Y21)+LN(Z21)+LN(AA21)+LN(AB21)+LN(AC21)+LN(AD21))*(AH21-V7_BASE_CPR),0)</f>
        <v/>
      </c>
      <c r="AN21" s="28">
        <f>IFERROR(LN(AB21)/(LN(W21)+LN(X21)+LN(Y21)+LN(Z21)+LN(AA21)+LN(AB21)+LN(AC21)+LN(AD21))*(AH21-V7_BASE_CPR),0)</f>
        <v/>
      </c>
      <c r="AO21" s="28">
        <f>IFERROR(LN(AC21)/(LN(W21)+LN(X21)+LN(Y21)+LN(Z21)+LN(AA21)+LN(AB21)+LN(AC21)+LN(AD21))*(AH21-V7_BASE_CPR),0)</f>
        <v/>
      </c>
      <c r="AP21" s="28">
        <f>IFERROR(LN(AD21)/(LN(W21)+LN(X21)+LN(Y21)+LN(Z21)+LN(AA21)+LN(AB21)+LN(AC21)+LN(AD21))*(AH21-V7_BASE_CPR),0)</f>
        <v/>
      </c>
      <c r="AQ21" s="29">
        <f>V7_BASE_CPR+SUM(AI21:AP21)-AH21</f>
        <v/>
      </c>
    </row>
    <row r="22">
      <c r="A22" s="2" t="inlineStr">
        <is>
          <t>3617W8NP6_000000011335648</t>
        </is>
      </c>
      <c r="B22" t="inlineStr">
        <is>
          <t>LUMENT_PRE21</t>
        </is>
      </c>
      <c r="C22" s="2" t="inlineStr">
        <is>
          <t>3617W8NP6</t>
        </is>
      </c>
      <c r="D22" t="inlineStr">
        <is>
          <t>LUMENT REAL ESTATE CAPITAL,LLC</t>
        </is>
      </c>
      <c r="E22" t="inlineStr">
        <is>
          <t>221d4</t>
        </is>
      </c>
      <c r="F22" t="inlineStr">
        <is>
          <t>NC</t>
        </is>
      </c>
      <c r="G22" t="n">
        <v>2016</v>
      </c>
      <c r="H22" t="inlineStr">
        <is>
          <t>202602</t>
        </is>
      </c>
      <c r="I22" s="22" t="n">
        <v>17567640.14</v>
      </c>
      <c r="J22" s="23" t="n">
        <v>2.65</v>
      </c>
      <c r="K22" s="24" t="n">
        <v>447</v>
      </c>
      <c r="L22" s="24" t="n">
        <v>6</v>
      </c>
      <c r="M22" t="n">
        <v>114</v>
      </c>
      <c r="N22" s="25" t="n">
        <v>0</v>
      </c>
      <c r="O22" t="n">
        <v>205802</v>
      </c>
      <c r="P22" t="inlineStr"/>
      <c r="Q22" t="inlineStr">
        <is>
          <t>3896</t>
        </is>
      </c>
      <c r="R22" s="26" t="n">
        <v>0</v>
      </c>
      <c r="S22" t="n">
        <v>1</v>
      </c>
      <c r="T22" s="23">
        <f>LN(1+I22)</f>
        <v/>
      </c>
      <c r="U22" s="24">
        <f>J22*100-K22</f>
        <v/>
      </c>
      <c r="V22" s="24">
        <f>U22-12.5*(L22+1)</f>
        <v/>
      </c>
      <c r="W22" s="26">
        <f>IF(M22&lt;=V7_AGE_KNOT_X_0,V7_AGE_KNOT_Y_0,IF(M22&gt;=V7_AGE_KNOT_X_5,V7_AGE_KNOT_Y_5,IF(M22&lt;=V7_AGE_KNOT_X_1,V7_AGE_KNOT_Y_0+(M22-V7_AGE_KNOT_X_0)/(V7_AGE_KNOT_X_1-V7_AGE_KNOT_X_0)*(V7_AGE_KNOT_Y_1-V7_AGE_KNOT_Y_0),IF(M22&lt;=V7_AGE_KNOT_X_2,V7_AGE_KNOT_Y_1+(M22-V7_AGE_KNOT_X_1)/(V7_AGE_KNOT_X_2-V7_AGE_KNOT_X_1)*(V7_AGE_KNOT_Y_2-V7_AGE_KNOT_Y_1),IF(M22&lt;=V7_AGE_KNOT_X_3,V7_AGE_KNOT_Y_2+(M22-V7_AGE_KNOT_X_2)/(V7_AGE_KNOT_X_3-V7_AGE_KNOT_X_2)*(V7_AGE_KNOT_Y_3-V7_AGE_KNOT_Y_2),IF(M22&lt;=V7_AGE_KNOT_X_4,V7_AGE_KNOT_Y_3+(M22-V7_AGE_KNOT_X_3)/(V7_AGE_KNOT_X_4-V7_AGE_KNOT_X_3)*(V7_AGE_KNOT_Y_4-V7_AGE_KNOT_Y_3),V7_AGE_KNOT_Y_4+(M22-V7_AGE_KNOT_X_4)/(V7_AGE_KNOT_X_5-V7_AGE_KNOT_X_4)*(V7_AGE_KNOT_Y_5-V7_AGE_KNOT_Y_4)))))))</f>
        <v/>
      </c>
      <c r="X22" s="26">
        <f>V7_RATE_FLOOR+V7_RATE_ASYMPTOTE/(1+EXP(-(V22-V7_RATE_MID)/V7_RATE_SLOPE))</f>
        <v/>
      </c>
      <c r="Y22" s="26">
        <f>MAX(V7_SIZE_LOW,MIN(V7_SIZE_HIGH,V7_SIZE_INTERCEPT+V7_SIZE_SLOPE*(T22-V7_SIZE_LOG_ANCHOR)))</f>
        <v/>
      </c>
      <c r="Z22" s="26">
        <f>IF(ISNUMBER(SEARCH("232",E22)),VLOOKUP("232",V7_PROGRAM_TABLE,2,FALSE),IF(ISNUMBER(SEARCH("538",E22)),VLOOKUP("538",V7_PROGRAM_TABLE,2,FALSE),IF(ISNUMBER(SEARCH("223a7",E22)),VLOOKUP("223a7",V7_PROGRAM_TABLE,2,FALSE),IF(ISNUMBER(SEARCH("223f",E22)),VLOOKUP("223f",V7_PROGRAM_TABLE,2,FALSE),V7_PROGRAM_DEFAULT))))</f>
        <v/>
      </c>
      <c r="AA22" s="26">
        <f>IF(S22=1,1+V7_PURPOSE_NC_BUMP*MAX(0,1-ABS(M22-V7_PURPOSE_PEAK_AGE)/V7_PURPOSE_WIDTH),1)</f>
        <v/>
      </c>
      <c r="AB22" s="26">
        <f>IF(AND(IF(OR(P22="",NOT(ISNUMBER(P22))),0,MAX(0,MIN(24,(INT(VALUE(H22)/100)-INT(P22/100))*12+MOD(VALUE(H22),100)-MOD(P22,100))))&gt;0,IF(OR(P22="",NOT(ISNUMBER(P22))),0,MAX(0,MIN(24,(INT(VALUE(H22)/100)-INT(P22/100))*12+MOD(VALUE(H22),100)-MOD(P22,100))))&lt;=12),1+V7_LOCKOUT_AMP*EXP(-(IF(OR(P22="",NOT(ISNUMBER(P22))),0,MAX(0,MIN(24,(INT(VALUE(H22)/100)-INT(P22/100))*12+MOD(VALUE(H22),100)-MOD(P22,100)))))/V7_LOCKOUT_TAU),1)</f>
        <v/>
      </c>
      <c r="AC22" s="26">
        <f>IF(IF(OR(O22="",NOT(ISNUMBER(O22))),360,MAX(0,MIN(480,(INT(O22/100)-INT(VALUE(H22)/100))*12+MOD(O22,100)-MOD(VALUE(H22),100))))&gt;0,1+V7_MTY_AMP*MAX(0,(V7_MTY_CUTOFF-(IF(OR(O22="",NOT(ISNUMBER(O22))),360,MAX(0,MIN(480,(INT(O22/100)-INT(VALUE(H22)/100))*12+MOD(O22,100)-MOD(VALUE(H22),100))))))/V7_MTY_CUTOFF),1)</f>
        <v/>
      </c>
      <c r="AD22" s="26">
        <f>MAX(V7_BURN_FLOOR,1-V7_BURN_SLOPE*MIN(1,MAX(0,R22)))</f>
        <v/>
      </c>
      <c r="AE22" s="26">
        <f>IF(V7_USE_ISSUER=1,IFERROR(VLOOKUP(Q22,V7_ISSUER_TABLE,3,FALSE),1),1)</f>
        <v/>
      </c>
      <c r="AF22" s="26">
        <f>PRODUCT(W22:AE22)</f>
        <v/>
      </c>
      <c r="AG22" s="27">
        <f>MIN(V7_BASE_SMM*AF22,V7_SMM_CAP)</f>
        <v/>
      </c>
      <c r="AH22" s="28">
        <f>1-(1-AG22)^12</f>
        <v/>
      </c>
      <c r="AI22" s="28">
        <f>IFERROR(LN(W22)/(LN(W22)+LN(X22)+LN(Y22)+LN(Z22)+LN(AA22)+LN(AB22)+LN(AC22)+LN(AD22))*(AH22-V7_BASE_CPR),0)</f>
        <v/>
      </c>
      <c r="AJ22" s="28">
        <f>IFERROR(LN(X22)/(LN(W22)+LN(X22)+LN(Y22)+LN(Z22)+LN(AA22)+LN(AB22)+LN(AC22)+LN(AD22))*(AH22-V7_BASE_CPR),0)</f>
        <v/>
      </c>
      <c r="AK22" s="28">
        <f>IFERROR(LN(Y22)/(LN(W22)+LN(X22)+LN(Y22)+LN(Z22)+LN(AA22)+LN(AB22)+LN(AC22)+LN(AD22))*(AH22-V7_BASE_CPR),0)</f>
        <v/>
      </c>
      <c r="AL22" s="28">
        <f>IFERROR(LN(Z22)/(LN(W22)+LN(X22)+LN(Y22)+LN(Z22)+LN(AA22)+LN(AB22)+LN(AC22)+LN(AD22))*(AH22-V7_BASE_CPR),0)</f>
        <v/>
      </c>
      <c r="AM22" s="28">
        <f>IFERROR(LN(AA22)/(LN(W22)+LN(X22)+LN(Y22)+LN(Z22)+LN(AA22)+LN(AB22)+LN(AC22)+LN(AD22))*(AH22-V7_BASE_CPR),0)</f>
        <v/>
      </c>
      <c r="AN22" s="28">
        <f>IFERROR(LN(AB22)/(LN(W22)+LN(X22)+LN(Y22)+LN(Z22)+LN(AA22)+LN(AB22)+LN(AC22)+LN(AD22))*(AH22-V7_BASE_CPR),0)</f>
        <v/>
      </c>
      <c r="AO22" s="28">
        <f>IFERROR(LN(AC22)/(LN(W22)+LN(X22)+LN(Y22)+LN(Z22)+LN(AA22)+LN(AB22)+LN(AC22)+LN(AD22))*(AH22-V7_BASE_CPR),0)</f>
        <v/>
      </c>
      <c r="AP22" s="28">
        <f>IFERROR(LN(AD22)/(LN(W22)+LN(X22)+LN(Y22)+LN(Z22)+LN(AA22)+LN(AB22)+LN(AC22)+LN(AD22))*(AH22-V7_BASE_CPR),0)</f>
        <v/>
      </c>
      <c r="AQ22" s="29">
        <f>V7_BASE_CPR+SUM(AI22:AP22)-AH22</f>
        <v/>
      </c>
    </row>
    <row r="23">
      <c r="A23" s="2" t="inlineStr">
        <is>
          <t>3617AVU89_000000003222025</t>
        </is>
      </c>
      <c r="B23" t="inlineStr">
        <is>
          <t>LUMENT_PRE21</t>
        </is>
      </c>
      <c r="C23" s="2" t="inlineStr">
        <is>
          <t>3617AVU89</t>
        </is>
      </c>
      <c r="D23" t="inlineStr">
        <is>
          <t>LUMENT REAL ESTATE CAPITAL,LLC</t>
        </is>
      </c>
      <c r="E23" t="inlineStr">
        <is>
          <t>232</t>
        </is>
      </c>
      <c r="F23" t="inlineStr">
        <is>
          <t>RP</t>
        </is>
      </c>
      <c r="G23" t="n">
        <v>2017</v>
      </c>
      <c r="H23" t="inlineStr">
        <is>
          <t>202602</t>
        </is>
      </c>
      <c r="I23" s="22" t="n">
        <v>18702496.16</v>
      </c>
      <c r="J23" s="23" t="n">
        <v>3.48</v>
      </c>
      <c r="K23" s="24" t="n">
        <v>447</v>
      </c>
      <c r="L23" s="24" t="n">
        <v>3</v>
      </c>
      <c r="M23" t="n">
        <v>101</v>
      </c>
      <c r="N23" s="25" t="n">
        <v>25</v>
      </c>
      <c r="O23" t="n">
        <v>205210</v>
      </c>
      <c r="P23" t="inlineStr"/>
      <c r="Q23" t="inlineStr">
        <is>
          <t>3896</t>
        </is>
      </c>
      <c r="R23" s="26" t="n">
        <v>0.2475247524752475</v>
      </c>
      <c r="S23" t="n">
        <v>0</v>
      </c>
      <c r="T23" s="23">
        <f>LN(1+I23)</f>
        <v/>
      </c>
      <c r="U23" s="24">
        <f>J23*100-K23</f>
        <v/>
      </c>
      <c r="V23" s="24">
        <f>U23-12.5*(L23+1)</f>
        <v/>
      </c>
      <c r="W23" s="26">
        <f>IF(M23&lt;=V7_AGE_KNOT_X_0,V7_AGE_KNOT_Y_0,IF(M23&gt;=V7_AGE_KNOT_X_5,V7_AGE_KNOT_Y_5,IF(M23&lt;=V7_AGE_KNOT_X_1,V7_AGE_KNOT_Y_0+(M23-V7_AGE_KNOT_X_0)/(V7_AGE_KNOT_X_1-V7_AGE_KNOT_X_0)*(V7_AGE_KNOT_Y_1-V7_AGE_KNOT_Y_0),IF(M23&lt;=V7_AGE_KNOT_X_2,V7_AGE_KNOT_Y_1+(M23-V7_AGE_KNOT_X_1)/(V7_AGE_KNOT_X_2-V7_AGE_KNOT_X_1)*(V7_AGE_KNOT_Y_2-V7_AGE_KNOT_Y_1),IF(M23&lt;=V7_AGE_KNOT_X_3,V7_AGE_KNOT_Y_2+(M23-V7_AGE_KNOT_X_2)/(V7_AGE_KNOT_X_3-V7_AGE_KNOT_X_2)*(V7_AGE_KNOT_Y_3-V7_AGE_KNOT_Y_2),IF(M23&lt;=V7_AGE_KNOT_X_4,V7_AGE_KNOT_Y_3+(M23-V7_AGE_KNOT_X_3)/(V7_AGE_KNOT_X_4-V7_AGE_KNOT_X_3)*(V7_AGE_KNOT_Y_4-V7_AGE_KNOT_Y_3),V7_AGE_KNOT_Y_4+(M23-V7_AGE_KNOT_X_4)/(V7_AGE_KNOT_X_5-V7_AGE_KNOT_X_4)*(V7_AGE_KNOT_Y_5-V7_AGE_KNOT_Y_4)))))))</f>
        <v/>
      </c>
      <c r="X23" s="26">
        <f>V7_RATE_FLOOR+V7_RATE_ASYMPTOTE/(1+EXP(-(V23-V7_RATE_MID)/V7_RATE_SLOPE))</f>
        <v/>
      </c>
      <c r="Y23" s="26">
        <f>MAX(V7_SIZE_LOW,MIN(V7_SIZE_HIGH,V7_SIZE_INTERCEPT+V7_SIZE_SLOPE*(T23-V7_SIZE_LOG_ANCHOR)))</f>
        <v/>
      </c>
      <c r="Z23" s="26">
        <f>IF(ISNUMBER(SEARCH("232",E23)),VLOOKUP("232",V7_PROGRAM_TABLE,2,FALSE),IF(ISNUMBER(SEARCH("538",E23)),VLOOKUP("538",V7_PROGRAM_TABLE,2,FALSE),IF(ISNUMBER(SEARCH("223a7",E23)),VLOOKUP("223a7",V7_PROGRAM_TABLE,2,FALSE),IF(ISNUMBER(SEARCH("223f",E23)),VLOOKUP("223f",V7_PROGRAM_TABLE,2,FALSE),V7_PROGRAM_DEFAULT))))</f>
        <v/>
      </c>
      <c r="AA23" s="26">
        <f>IF(S23=1,1+V7_PURPOSE_NC_BUMP*MAX(0,1-ABS(M23-V7_PURPOSE_PEAK_AGE)/V7_PURPOSE_WIDTH),1)</f>
        <v/>
      </c>
      <c r="AB23" s="26">
        <f>IF(AND(IF(OR(P23="",NOT(ISNUMBER(P23))),0,MAX(0,MIN(24,(INT(VALUE(H23)/100)-INT(P23/100))*12+MOD(VALUE(H23),100)-MOD(P23,100))))&gt;0,IF(OR(P23="",NOT(ISNUMBER(P23))),0,MAX(0,MIN(24,(INT(VALUE(H23)/100)-INT(P23/100))*12+MOD(VALUE(H23),100)-MOD(P23,100))))&lt;=12),1+V7_LOCKOUT_AMP*EXP(-(IF(OR(P23="",NOT(ISNUMBER(P23))),0,MAX(0,MIN(24,(INT(VALUE(H23)/100)-INT(P23/100))*12+MOD(VALUE(H23),100)-MOD(P23,100)))))/V7_LOCKOUT_TAU),1)</f>
        <v/>
      </c>
      <c r="AC23" s="26">
        <f>IF(IF(OR(O23="",NOT(ISNUMBER(O23))),360,MAX(0,MIN(480,(INT(O23/100)-INT(VALUE(H23)/100))*12+MOD(O23,100)-MOD(VALUE(H23),100))))&gt;0,1+V7_MTY_AMP*MAX(0,(V7_MTY_CUTOFF-(IF(OR(O23="",NOT(ISNUMBER(O23))),360,MAX(0,MIN(480,(INT(O23/100)-INT(VALUE(H23)/100))*12+MOD(O23,100)-MOD(VALUE(H23),100))))))/V7_MTY_CUTOFF),1)</f>
        <v/>
      </c>
      <c r="AD23" s="26">
        <f>MAX(V7_BURN_FLOOR,1-V7_BURN_SLOPE*MIN(1,MAX(0,R23)))</f>
        <v/>
      </c>
      <c r="AE23" s="26">
        <f>IF(V7_USE_ISSUER=1,IFERROR(VLOOKUP(Q23,V7_ISSUER_TABLE,3,FALSE),1),1)</f>
        <v/>
      </c>
      <c r="AF23" s="26">
        <f>PRODUCT(W23:AE23)</f>
        <v/>
      </c>
      <c r="AG23" s="27">
        <f>MIN(V7_BASE_SMM*AF23,V7_SMM_CAP)</f>
        <v/>
      </c>
      <c r="AH23" s="28">
        <f>1-(1-AG23)^12</f>
        <v/>
      </c>
      <c r="AI23" s="28">
        <f>IFERROR(LN(W23)/(LN(W23)+LN(X23)+LN(Y23)+LN(Z23)+LN(AA23)+LN(AB23)+LN(AC23)+LN(AD23))*(AH23-V7_BASE_CPR),0)</f>
        <v/>
      </c>
      <c r="AJ23" s="28">
        <f>IFERROR(LN(X23)/(LN(W23)+LN(X23)+LN(Y23)+LN(Z23)+LN(AA23)+LN(AB23)+LN(AC23)+LN(AD23))*(AH23-V7_BASE_CPR),0)</f>
        <v/>
      </c>
      <c r="AK23" s="28">
        <f>IFERROR(LN(Y23)/(LN(W23)+LN(X23)+LN(Y23)+LN(Z23)+LN(AA23)+LN(AB23)+LN(AC23)+LN(AD23))*(AH23-V7_BASE_CPR),0)</f>
        <v/>
      </c>
      <c r="AL23" s="28">
        <f>IFERROR(LN(Z23)/(LN(W23)+LN(X23)+LN(Y23)+LN(Z23)+LN(AA23)+LN(AB23)+LN(AC23)+LN(AD23))*(AH23-V7_BASE_CPR),0)</f>
        <v/>
      </c>
      <c r="AM23" s="28">
        <f>IFERROR(LN(AA23)/(LN(W23)+LN(X23)+LN(Y23)+LN(Z23)+LN(AA23)+LN(AB23)+LN(AC23)+LN(AD23))*(AH23-V7_BASE_CPR),0)</f>
        <v/>
      </c>
      <c r="AN23" s="28">
        <f>IFERROR(LN(AB23)/(LN(W23)+LN(X23)+LN(Y23)+LN(Z23)+LN(AA23)+LN(AB23)+LN(AC23)+LN(AD23))*(AH23-V7_BASE_CPR),0)</f>
        <v/>
      </c>
      <c r="AO23" s="28">
        <f>IFERROR(LN(AC23)/(LN(W23)+LN(X23)+LN(Y23)+LN(Z23)+LN(AA23)+LN(AB23)+LN(AC23)+LN(AD23))*(AH23-V7_BASE_CPR),0)</f>
        <v/>
      </c>
      <c r="AP23" s="28">
        <f>IFERROR(LN(AD23)/(LN(W23)+LN(X23)+LN(Y23)+LN(Z23)+LN(AA23)+LN(AB23)+LN(AC23)+LN(AD23))*(AH23-V7_BASE_CPR),0)</f>
        <v/>
      </c>
      <c r="AQ23" s="29">
        <f>V7_BASE_CPR+SUM(AI23:AP23)-AH23</f>
        <v/>
      </c>
    </row>
    <row r="24">
      <c r="A24" s="2" t="inlineStr">
        <is>
          <t>3617UAXY3_000000010522063</t>
        </is>
      </c>
      <c r="B24" t="inlineStr">
        <is>
          <t>LUMENT_PRE21</t>
        </is>
      </c>
      <c r="C24" s="2" t="inlineStr">
        <is>
          <t>3617UAXY3</t>
        </is>
      </c>
      <c r="D24" t="inlineStr">
        <is>
          <t>LUMENT REAL ESTATE CAPITAL,LLC</t>
        </is>
      </c>
      <c r="E24" t="inlineStr">
        <is>
          <t>232</t>
        </is>
      </c>
      <c r="F24" t="inlineStr">
        <is>
          <t>RP</t>
        </is>
      </c>
      <c r="G24" t="n">
        <v>2015</v>
      </c>
      <c r="H24" t="inlineStr">
        <is>
          <t>202602</t>
        </is>
      </c>
      <c r="I24" s="22" t="n">
        <v>8582540.029999999</v>
      </c>
      <c r="J24" s="23" t="n">
        <v>2.8</v>
      </c>
      <c r="K24" s="24" t="n">
        <v>447</v>
      </c>
      <c r="L24" s="24" t="n">
        <v>10</v>
      </c>
      <c r="M24" t="n">
        <v>124</v>
      </c>
      <c r="N24" s="25" t="n">
        <v>0</v>
      </c>
      <c r="O24" t="n">
        <v>205011</v>
      </c>
      <c r="P24" t="inlineStr"/>
      <c r="Q24" t="inlineStr">
        <is>
          <t>3896</t>
        </is>
      </c>
      <c r="R24" s="26" t="n">
        <v>0</v>
      </c>
      <c r="S24" t="n">
        <v>0</v>
      </c>
      <c r="T24" s="23">
        <f>LN(1+I24)</f>
        <v/>
      </c>
      <c r="U24" s="24">
        <f>J24*100-K24</f>
        <v/>
      </c>
      <c r="V24" s="24">
        <f>U24-12.5*(L24+1)</f>
        <v/>
      </c>
      <c r="W24" s="26">
        <f>IF(M24&lt;=V7_AGE_KNOT_X_0,V7_AGE_KNOT_Y_0,IF(M24&gt;=V7_AGE_KNOT_X_5,V7_AGE_KNOT_Y_5,IF(M24&lt;=V7_AGE_KNOT_X_1,V7_AGE_KNOT_Y_0+(M24-V7_AGE_KNOT_X_0)/(V7_AGE_KNOT_X_1-V7_AGE_KNOT_X_0)*(V7_AGE_KNOT_Y_1-V7_AGE_KNOT_Y_0),IF(M24&lt;=V7_AGE_KNOT_X_2,V7_AGE_KNOT_Y_1+(M24-V7_AGE_KNOT_X_1)/(V7_AGE_KNOT_X_2-V7_AGE_KNOT_X_1)*(V7_AGE_KNOT_Y_2-V7_AGE_KNOT_Y_1),IF(M24&lt;=V7_AGE_KNOT_X_3,V7_AGE_KNOT_Y_2+(M24-V7_AGE_KNOT_X_2)/(V7_AGE_KNOT_X_3-V7_AGE_KNOT_X_2)*(V7_AGE_KNOT_Y_3-V7_AGE_KNOT_Y_2),IF(M24&lt;=V7_AGE_KNOT_X_4,V7_AGE_KNOT_Y_3+(M24-V7_AGE_KNOT_X_3)/(V7_AGE_KNOT_X_4-V7_AGE_KNOT_X_3)*(V7_AGE_KNOT_Y_4-V7_AGE_KNOT_Y_3),V7_AGE_KNOT_Y_4+(M24-V7_AGE_KNOT_X_4)/(V7_AGE_KNOT_X_5-V7_AGE_KNOT_X_4)*(V7_AGE_KNOT_Y_5-V7_AGE_KNOT_Y_4)))))))</f>
        <v/>
      </c>
      <c r="X24" s="26">
        <f>V7_RATE_FLOOR+V7_RATE_ASYMPTOTE/(1+EXP(-(V24-V7_RATE_MID)/V7_RATE_SLOPE))</f>
        <v/>
      </c>
      <c r="Y24" s="26">
        <f>MAX(V7_SIZE_LOW,MIN(V7_SIZE_HIGH,V7_SIZE_INTERCEPT+V7_SIZE_SLOPE*(T24-V7_SIZE_LOG_ANCHOR)))</f>
        <v/>
      </c>
      <c r="Z24" s="26">
        <f>IF(ISNUMBER(SEARCH("232",E24)),VLOOKUP("232",V7_PROGRAM_TABLE,2,FALSE),IF(ISNUMBER(SEARCH("538",E24)),VLOOKUP("538",V7_PROGRAM_TABLE,2,FALSE),IF(ISNUMBER(SEARCH("223a7",E24)),VLOOKUP("223a7",V7_PROGRAM_TABLE,2,FALSE),IF(ISNUMBER(SEARCH("223f",E24)),VLOOKUP("223f",V7_PROGRAM_TABLE,2,FALSE),V7_PROGRAM_DEFAULT))))</f>
        <v/>
      </c>
      <c r="AA24" s="26">
        <f>IF(S24=1,1+V7_PURPOSE_NC_BUMP*MAX(0,1-ABS(M24-V7_PURPOSE_PEAK_AGE)/V7_PURPOSE_WIDTH),1)</f>
        <v/>
      </c>
      <c r="AB24" s="26">
        <f>IF(AND(IF(OR(P24="",NOT(ISNUMBER(P24))),0,MAX(0,MIN(24,(INT(VALUE(H24)/100)-INT(P24/100))*12+MOD(VALUE(H24),100)-MOD(P24,100))))&gt;0,IF(OR(P24="",NOT(ISNUMBER(P24))),0,MAX(0,MIN(24,(INT(VALUE(H24)/100)-INT(P24/100))*12+MOD(VALUE(H24),100)-MOD(P24,100))))&lt;=12),1+V7_LOCKOUT_AMP*EXP(-(IF(OR(P24="",NOT(ISNUMBER(P24))),0,MAX(0,MIN(24,(INT(VALUE(H24)/100)-INT(P24/100))*12+MOD(VALUE(H24),100)-MOD(P24,100)))))/V7_LOCKOUT_TAU),1)</f>
        <v/>
      </c>
      <c r="AC24" s="26">
        <f>IF(IF(OR(O24="",NOT(ISNUMBER(O24))),360,MAX(0,MIN(480,(INT(O24/100)-INT(VALUE(H24)/100))*12+MOD(O24,100)-MOD(VALUE(H24),100))))&gt;0,1+V7_MTY_AMP*MAX(0,(V7_MTY_CUTOFF-(IF(OR(O24="",NOT(ISNUMBER(O24))),360,MAX(0,MIN(480,(INT(O24/100)-INT(VALUE(H24)/100))*12+MOD(O24,100)-MOD(VALUE(H24),100))))))/V7_MTY_CUTOFF),1)</f>
        <v/>
      </c>
      <c r="AD24" s="26">
        <f>MAX(V7_BURN_FLOOR,1-V7_BURN_SLOPE*MIN(1,MAX(0,R24)))</f>
        <v/>
      </c>
      <c r="AE24" s="26">
        <f>IF(V7_USE_ISSUER=1,IFERROR(VLOOKUP(Q24,V7_ISSUER_TABLE,3,FALSE),1),1)</f>
        <v/>
      </c>
      <c r="AF24" s="26">
        <f>PRODUCT(W24:AE24)</f>
        <v/>
      </c>
      <c r="AG24" s="27">
        <f>MIN(V7_BASE_SMM*AF24,V7_SMM_CAP)</f>
        <v/>
      </c>
      <c r="AH24" s="28">
        <f>1-(1-AG24)^12</f>
        <v/>
      </c>
      <c r="AI24" s="28">
        <f>IFERROR(LN(W24)/(LN(W24)+LN(X24)+LN(Y24)+LN(Z24)+LN(AA24)+LN(AB24)+LN(AC24)+LN(AD24))*(AH24-V7_BASE_CPR),0)</f>
        <v/>
      </c>
      <c r="AJ24" s="28">
        <f>IFERROR(LN(X24)/(LN(W24)+LN(X24)+LN(Y24)+LN(Z24)+LN(AA24)+LN(AB24)+LN(AC24)+LN(AD24))*(AH24-V7_BASE_CPR),0)</f>
        <v/>
      </c>
      <c r="AK24" s="28">
        <f>IFERROR(LN(Y24)/(LN(W24)+LN(X24)+LN(Y24)+LN(Z24)+LN(AA24)+LN(AB24)+LN(AC24)+LN(AD24))*(AH24-V7_BASE_CPR),0)</f>
        <v/>
      </c>
      <c r="AL24" s="28">
        <f>IFERROR(LN(Z24)/(LN(W24)+LN(X24)+LN(Y24)+LN(Z24)+LN(AA24)+LN(AB24)+LN(AC24)+LN(AD24))*(AH24-V7_BASE_CPR),0)</f>
        <v/>
      </c>
      <c r="AM24" s="28">
        <f>IFERROR(LN(AA24)/(LN(W24)+LN(X24)+LN(Y24)+LN(Z24)+LN(AA24)+LN(AB24)+LN(AC24)+LN(AD24))*(AH24-V7_BASE_CPR),0)</f>
        <v/>
      </c>
      <c r="AN24" s="28">
        <f>IFERROR(LN(AB24)/(LN(W24)+LN(X24)+LN(Y24)+LN(Z24)+LN(AA24)+LN(AB24)+LN(AC24)+LN(AD24))*(AH24-V7_BASE_CPR),0)</f>
        <v/>
      </c>
      <c r="AO24" s="28">
        <f>IFERROR(LN(AC24)/(LN(W24)+LN(X24)+LN(Y24)+LN(Z24)+LN(AA24)+LN(AB24)+LN(AC24)+LN(AD24))*(AH24-V7_BASE_CPR),0)</f>
        <v/>
      </c>
      <c r="AP24" s="28">
        <f>IFERROR(LN(AD24)/(LN(W24)+LN(X24)+LN(Y24)+LN(Z24)+LN(AA24)+LN(AB24)+LN(AC24)+LN(AD24))*(AH24-V7_BASE_CPR),0)</f>
        <v/>
      </c>
      <c r="AQ24" s="29">
        <f>V7_BASE_CPR+SUM(AI24:AP24)-AH24</f>
        <v/>
      </c>
    </row>
    <row r="25">
      <c r="A25" s="2" t="inlineStr">
        <is>
          <t>36183RVJ9_000000012311228</t>
        </is>
      </c>
      <c r="B25" t="inlineStr">
        <is>
          <t>LUMENT_PRE21</t>
        </is>
      </c>
      <c r="C25" s="2" t="inlineStr">
        <is>
          <t>36183RVJ9</t>
        </is>
      </c>
      <c r="D25" t="inlineStr">
        <is>
          <t>LUMENT REAL ESTATE CAPITAL,LLC</t>
        </is>
      </c>
      <c r="E25" t="inlineStr">
        <is>
          <t>223f</t>
        </is>
      </c>
      <c r="F25" t="inlineStr">
        <is>
          <t>RP</t>
        </is>
      </c>
      <c r="G25" t="n">
        <v>2014</v>
      </c>
      <c r="H25" t="inlineStr">
        <is>
          <t>202602</t>
        </is>
      </c>
      <c r="I25" s="22" t="n">
        <v>3346424.31</v>
      </c>
      <c r="J25" s="23" t="n">
        <v>3.69</v>
      </c>
      <c r="K25" s="24" t="n">
        <v>447</v>
      </c>
      <c r="L25" s="24" t="n">
        <v>0</v>
      </c>
      <c r="M25" t="n">
        <v>136</v>
      </c>
      <c r="N25" s="25" t="n">
        <v>32</v>
      </c>
      <c r="O25" t="n">
        <v>205001</v>
      </c>
      <c r="P25" t="inlineStr"/>
      <c r="Q25" t="inlineStr">
        <is>
          <t>3896</t>
        </is>
      </c>
      <c r="R25" s="26" t="n">
        <v>0.2352941176470588</v>
      </c>
      <c r="S25" t="n">
        <v>0</v>
      </c>
      <c r="T25" s="23">
        <f>LN(1+I25)</f>
        <v/>
      </c>
      <c r="U25" s="24">
        <f>J25*100-K25</f>
        <v/>
      </c>
      <c r="V25" s="24">
        <f>U25-12.5*(L25+1)</f>
        <v/>
      </c>
      <c r="W25" s="26">
        <f>IF(M25&lt;=V7_AGE_KNOT_X_0,V7_AGE_KNOT_Y_0,IF(M25&gt;=V7_AGE_KNOT_X_5,V7_AGE_KNOT_Y_5,IF(M25&lt;=V7_AGE_KNOT_X_1,V7_AGE_KNOT_Y_0+(M25-V7_AGE_KNOT_X_0)/(V7_AGE_KNOT_X_1-V7_AGE_KNOT_X_0)*(V7_AGE_KNOT_Y_1-V7_AGE_KNOT_Y_0),IF(M25&lt;=V7_AGE_KNOT_X_2,V7_AGE_KNOT_Y_1+(M25-V7_AGE_KNOT_X_1)/(V7_AGE_KNOT_X_2-V7_AGE_KNOT_X_1)*(V7_AGE_KNOT_Y_2-V7_AGE_KNOT_Y_1),IF(M25&lt;=V7_AGE_KNOT_X_3,V7_AGE_KNOT_Y_2+(M25-V7_AGE_KNOT_X_2)/(V7_AGE_KNOT_X_3-V7_AGE_KNOT_X_2)*(V7_AGE_KNOT_Y_3-V7_AGE_KNOT_Y_2),IF(M25&lt;=V7_AGE_KNOT_X_4,V7_AGE_KNOT_Y_3+(M25-V7_AGE_KNOT_X_3)/(V7_AGE_KNOT_X_4-V7_AGE_KNOT_X_3)*(V7_AGE_KNOT_Y_4-V7_AGE_KNOT_Y_3),V7_AGE_KNOT_Y_4+(M25-V7_AGE_KNOT_X_4)/(V7_AGE_KNOT_X_5-V7_AGE_KNOT_X_4)*(V7_AGE_KNOT_Y_5-V7_AGE_KNOT_Y_4)))))))</f>
        <v/>
      </c>
      <c r="X25" s="26">
        <f>V7_RATE_FLOOR+V7_RATE_ASYMPTOTE/(1+EXP(-(V25-V7_RATE_MID)/V7_RATE_SLOPE))</f>
        <v/>
      </c>
      <c r="Y25" s="26">
        <f>MAX(V7_SIZE_LOW,MIN(V7_SIZE_HIGH,V7_SIZE_INTERCEPT+V7_SIZE_SLOPE*(T25-V7_SIZE_LOG_ANCHOR)))</f>
        <v/>
      </c>
      <c r="Z25" s="26">
        <f>IF(ISNUMBER(SEARCH("232",E25)),VLOOKUP("232",V7_PROGRAM_TABLE,2,FALSE),IF(ISNUMBER(SEARCH("538",E25)),VLOOKUP("538",V7_PROGRAM_TABLE,2,FALSE),IF(ISNUMBER(SEARCH("223a7",E25)),VLOOKUP("223a7",V7_PROGRAM_TABLE,2,FALSE),IF(ISNUMBER(SEARCH("223f",E25)),VLOOKUP("223f",V7_PROGRAM_TABLE,2,FALSE),V7_PROGRAM_DEFAULT))))</f>
        <v/>
      </c>
      <c r="AA25" s="26">
        <f>IF(S25=1,1+V7_PURPOSE_NC_BUMP*MAX(0,1-ABS(M25-V7_PURPOSE_PEAK_AGE)/V7_PURPOSE_WIDTH),1)</f>
        <v/>
      </c>
      <c r="AB25" s="26">
        <f>IF(AND(IF(OR(P25="",NOT(ISNUMBER(P25))),0,MAX(0,MIN(24,(INT(VALUE(H25)/100)-INT(P25/100))*12+MOD(VALUE(H25),100)-MOD(P25,100))))&gt;0,IF(OR(P25="",NOT(ISNUMBER(P25))),0,MAX(0,MIN(24,(INT(VALUE(H25)/100)-INT(P25/100))*12+MOD(VALUE(H25),100)-MOD(P25,100))))&lt;=12),1+V7_LOCKOUT_AMP*EXP(-(IF(OR(P25="",NOT(ISNUMBER(P25))),0,MAX(0,MIN(24,(INT(VALUE(H25)/100)-INT(P25/100))*12+MOD(VALUE(H25),100)-MOD(P25,100)))))/V7_LOCKOUT_TAU),1)</f>
        <v/>
      </c>
      <c r="AC25" s="26">
        <f>IF(IF(OR(O25="",NOT(ISNUMBER(O25))),360,MAX(0,MIN(480,(INT(O25/100)-INT(VALUE(H25)/100))*12+MOD(O25,100)-MOD(VALUE(H25),100))))&gt;0,1+V7_MTY_AMP*MAX(0,(V7_MTY_CUTOFF-(IF(OR(O25="",NOT(ISNUMBER(O25))),360,MAX(0,MIN(480,(INT(O25/100)-INT(VALUE(H25)/100))*12+MOD(O25,100)-MOD(VALUE(H25),100))))))/V7_MTY_CUTOFF),1)</f>
        <v/>
      </c>
      <c r="AD25" s="26">
        <f>MAX(V7_BURN_FLOOR,1-V7_BURN_SLOPE*MIN(1,MAX(0,R25)))</f>
        <v/>
      </c>
      <c r="AE25" s="26">
        <f>IF(V7_USE_ISSUER=1,IFERROR(VLOOKUP(Q25,V7_ISSUER_TABLE,3,FALSE),1),1)</f>
        <v/>
      </c>
      <c r="AF25" s="26">
        <f>PRODUCT(W25:AE25)</f>
        <v/>
      </c>
      <c r="AG25" s="27">
        <f>MIN(V7_BASE_SMM*AF25,V7_SMM_CAP)</f>
        <v/>
      </c>
      <c r="AH25" s="28">
        <f>1-(1-AG25)^12</f>
        <v/>
      </c>
      <c r="AI25" s="28">
        <f>IFERROR(LN(W25)/(LN(W25)+LN(X25)+LN(Y25)+LN(Z25)+LN(AA25)+LN(AB25)+LN(AC25)+LN(AD25))*(AH25-V7_BASE_CPR),0)</f>
        <v/>
      </c>
      <c r="AJ25" s="28">
        <f>IFERROR(LN(X25)/(LN(W25)+LN(X25)+LN(Y25)+LN(Z25)+LN(AA25)+LN(AB25)+LN(AC25)+LN(AD25))*(AH25-V7_BASE_CPR),0)</f>
        <v/>
      </c>
      <c r="AK25" s="28">
        <f>IFERROR(LN(Y25)/(LN(W25)+LN(X25)+LN(Y25)+LN(Z25)+LN(AA25)+LN(AB25)+LN(AC25)+LN(AD25))*(AH25-V7_BASE_CPR),0)</f>
        <v/>
      </c>
      <c r="AL25" s="28">
        <f>IFERROR(LN(Z25)/(LN(W25)+LN(X25)+LN(Y25)+LN(Z25)+LN(AA25)+LN(AB25)+LN(AC25)+LN(AD25))*(AH25-V7_BASE_CPR),0)</f>
        <v/>
      </c>
      <c r="AM25" s="28">
        <f>IFERROR(LN(AA25)/(LN(W25)+LN(X25)+LN(Y25)+LN(Z25)+LN(AA25)+LN(AB25)+LN(AC25)+LN(AD25))*(AH25-V7_BASE_CPR),0)</f>
        <v/>
      </c>
      <c r="AN25" s="28">
        <f>IFERROR(LN(AB25)/(LN(W25)+LN(X25)+LN(Y25)+LN(Z25)+LN(AA25)+LN(AB25)+LN(AC25)+LN(AD25))*(AH25-V7_BASE_CPR),0)</f>
        <v/>
      </c>
      <c r="AO25" s="28">
        <f>IFERROR(LN(AC25)/(LN(W25)+LN(X25)+LN(Y25)+LN(Z25)+LN(AA25)+LN(AB25)+LN(AC25)+LN(AD25))*(AH25-V7_BASE_CPR),0)</f>
        <v/>
      </c>
      <c r="AP25" s="28">
        <f>IFERROR(LN(AD25)/(LN(W25)+LN(X25)+LN(Y25)+LN(Z25)+LN(AA25)+LN(AB25)+LN(AC25)+LN(AD25))*(AH25-V7_BASE_CPR),0)</f>
        <v/>
      </c>
      <c r="AQ25" s="29">
        <f>V7_BASE_CPR+SUM(AI25:AP25)-AH25</f>
        <v/>
      </c>
    </row>
    <row r="26">
      <c r="A26" s="2" t="inlineStr">
        <is>
          <t>3617Y97A3_000000004335611</t>
        </is>
      </c>
      <c r="B26" t="inlineStr">
        <is>
          <t>LUMENT_POST21</t>
        </is>
      </c>
      <c r="C26" s="2" t="inlineStr">
        <is>
          <t>3617Y97A3</t>
        </is>
      </c>
      <c r="D26" t="inlineStr">
        <is>
          <t>LUMENT REAL ESTATE CAPITAL,LLC</t>
        </is>
      </c>
      <c r="E26" t="inlineStr">
        <is>
          <t>221d4</t>
        </is>
      </c>
      <c r="F26" t="inlineStr">
        <is>
          <t>NC</t>
        </is>
      </c>
      <c r="G26" t="n">
        <v>2022</v>
      </c>
      <c r="H26" t="inlineStr">
        <is>
          <t>202602</t>
        </is>
      </c>
      <c r="I26" s="22" t="n">
        <v>12731864.12</v>
      </c>
      <c r="J26" s="23" t="n">
        <v>2.47</v>
      </c>
      <c r="K26" s="24" t="n">
        <v>447</v>
      </c>
      <c r="L26" s="24" t="n">
        <v>8</v>
      </c>
      <c r="M26" t="n">
        <v>47</v>
      </c>
      <c r="N26" s="25" t="n">
        <v>0</v>
      </c>
      <c r="O26" t="n">
        <v>206307</v>
      </c>
      <c r="P26" t="inlineStr"/>
      <c r="Q26" t="inlineStr">
        <is>
          <t>3896</t>
        </is>
      </c>
      <c r="R26" s="26" t="n">
        <v>0</v>
      </c>
      <c r="S26" t="n">
        <v>1</v>
      </c>
      <c r="T26" s="23">
        <f>LN(1+I26)</f>
        <v/>
      </c>
      <c r="U26" s="24">
        <f>J26*100-K26</f>
        <v/>
      </c>
      <c r="V26" s="24">
        <f>U26-12.5*(L26+1)</f>
        <v/>
      </c>
      <c r="W26" s="26">
        <f>IF(M26&lt;=V7_AGE_KNOT_X_0,V7_AGE_KNOT_Y_0,IF(M26&gt;=V7_AGE_KNOT_X_5,V7_AGE_KNOT_Y_5,IF(M26&lt;=V7_AGE_KNOT_X_1,V7_AGE_KNOT_Y_0+(M26-V7_AGE_KNOT_X_0)/(V7_AGE_KNOT_X_1-V7_AGE_KNOT_X_0)*(V7_AGE_KNOT_Y_1-V7_AGE_KNOT_Y_0),IF(M26&lt;=V7_AGE_KNOT_X_2,V7_AGE_KNOT_Y_1+(M26-V7_AGE_KNOT_X_1)/(V7_AGE_KNOT_X_2-V7_AGE_KNOT_X_1)*(V7_AGE_KNOT_Y_2-V7_AGE_KNOT_Y_1),IF(M26&lt;=V7_AGE_KNOT_X_3,V7_AGE_KNOT_Y_2+(M26-V7_AGE_KNOT_X_2)/(V7_AGE_KNOT_X_3-V7_AGE_KNOT_X_2)*(V7_AGE_KNOT_Y_3-V7_AGE_KNOT_Y_2),IF(M26&lt;=V7_AGE_KNOT_X_4,V7_AGE_KNOT_Y_3+(M26-V7_AGE_KNOT_X_3)/(V7_AGE_KNOT_X_4-V7_AGE_KNOT_X_3)*(V7_AGE_KNOT_Y_4-V7_AGE_KNOT_Y_3),V7_AGE_KNOT_Y_4+(M26-V7_AGE_KNOT_X_4)/(V7_AGE_KNOT_X_5-V7_AGE_KNOT_X_4)*(V7_AGE_KNOT_Y_5-V7_AGE_KNOT_Y_4)))))))</f>
        <v/>
      </c>
      <c r="X26" s="26">
        <f>V7_RATE_FLOOR+V7_RATE_ASYMPTOTE/(1+EXP(-(V26-V7_RATE_MID)/V7_RATE_SLOPE))</f>
        <v/>
      </c>
      <c r="Y26" s="26">
        <f>MAX(V7_SIZE_LOW,MIN(V7_SIZE_HIGH,V7_SIZE_INTERCEPT+V7_SIZE_SLOPE*(T26-V7_SIZE_LOG_ANCHOR)))</f>
        <v/>
      </c>
      <c r="Z26" s="26">
        <f>IF(ISNUMBER(SEARCH("232",E26)),VLOOKUP("232",V7_PROGRAM_TABLE,2,FALSE),IF(ISNUMBER(SEARCH("538",E26)),VLOOKUP("538",V7_PROGRAM_TABLE,2,FALSE),IF(ISNUMBER(SEARCH("223a7",E26)),VLOOKUP("223a7",V7_PROGRAM_TABLE,2,FALSE),IF(ISNUMBER(SEARCH("223f",E26)),VLOOKUP("223f",V7_PROGRAM_TABLE,2,FALSE),V7_PROGRAM_DEFAULT))))</f>
        <v/>
      </c>
      <c r="AA26" s="26">
        <f>IF(S26=1,1+V7_PURPOSE_NC_BUMP*MAX(0,1-ABS(M26-V7_PURPOSE_PEAK_AGE)/V7_PURPOSE_WIDTH),1)</f>
        <v/>
      </c>
      <c r="AB26" s="26">
        <f>IF(AND(IF(OR(P26="",NOT(ISNUMBER(P26))),0,MAX(0,MIN(24,(INT(VALUE(H26)/100)-INT(P26/100))*12+MOD(VALUE(H26),100)-MOD(P26,100))))&gt;0,IF(OR(P26="",NOT(ISNUMBER(P26))),0,MAX(0,MIN(24,(INT(VALUE(H26)/100)-INT(P26/100))*12+MOD(VALUE(H26),100)-MOD(P26,100))))&lt;=12),1+V7_LOCKOUT_AMP*EXP(-(IF(OR(P26="",NOT(ISNUMBER(P26))),0,MAX(0,MIN(24,(INT(VALUE(H26)/100)-INT(P26/100))*12+MOD(VALUE(H26),100)-MOD(P26,100)))))/V7_LOCKOUT_TAU),1)</f>
        <v/>
      </c>
      <c r="AC26" s="26">
        <f>IF(IF(OR(O26="",NOT(ISNUMBER(O26))),360,MAX(0,MIN(480,(INT(O26/100)-INT(VALUE(H26)/100))*12+MOD(O26,100)-MOD(VALUE(H26),100))))&gt;0,1+V7_MTY_AMP*MAX(0,(V7_MTY_CUTOFF-(IF(OR(O26="",NOT(ISNUMBER(O26))),360,MAX(0,MIN(480,(INT(O26/100)-INT(VALUE(H26)/100))*12+MOD(O26,100)-MOD(VALUE(H26),100))))))/V7_MTY_CUTOFF),1)</f>
        <v/>
      </c>
      <c r="AD26" s="26">
        <f>MAX(V7_BURN_FLOOR,1-V7_BURN_SLOPE*MIN(1,MAX(0,R26)))</f>
        <v/>
      </c>
      <c r="AE26" s="26">
        <f>IF(V7_USE_ISSUER=1,IFERROR(VLOOKUP(Q26,V7_ISSUER_TABLE,3,FALSE),1),1)</f>
        <v/>
      </c>
      <c r="AF26" s="26">
        <f>PRODUCT(W26:AE26)</f>
        <v/>
      </c>
      <c r="AG26" s="27">
        <f>MIN(V7_BASE_SMM*AF26,V7_SMM_CAP)</f>
        <v/>
      </c>
      <c r="AH26" s="28">
        <f>1-(1-AG26)^12</f>
        <v/>
      </c>
      <c r="AI26" s="28">
        <f>IFERROR(LN(W26)/(LN(W26)+LN(X26)+LN(Y26)+LN(Z26)+LN(AA26)+LN(AB26)+LN(AC26)+LN(AD26))*(AH26-V7_BASE_CPR),0)</f>
        <v/>
      </c>
      <c r="AJ26" s="28">
        <f>IFERROR(LN(X26)/(LN(W26)+LN(X26)+LN(Y26)+LN(Z26)+LN(AA26)+LN(AB26)+LN(AC26)+LN(AD26))*(AH26-V7_BASE_CPR),0)</f>
        <v/>
      </c>
      <c r="AK26" s="28">
        <f>IFERROR(LN(Y26)/(LN(W26)+LN(X26)+LN(Y26)+LN(Z26)+LN(AA26)+LN(AB26)+LN(AC26)+LN(AD26))*(AH26-V7_BASE_CPR),0)</f>
        <v/>
      </c>
      <c r="AL26" s="28">
        <f>IFERROR(LN(Z26)/(LN(W26)+LN(X26)+LN(Y26)+LN(Z26)+LN(AA26)+LN(AB26)+LN(AC26)+LN(AD26))*(AH26-V7_BASE_CPR),0)</f>
        <v/>
      </c>
      <c r="AM26" s="28">
        <f>IFERROR(LN(AA26)/(LN(W26)+LN(X26)+LN(Y26)+LN(Z26)+LN(AA26)+LN(AB26)+LN(AC26)+LN(AD26))*(AH26-V7_BASE_CPR),0)</f>
        <v/>
      </c>
      <c r="AN26" s="28">
        <f>IFERROR(LN(AB26)/(LN(W26)+LN(X26)+LN(Y26)+LN(Z26)+LN(AA26)+LN(AB26)+LN(AC26)+LN(AD26))*(AH26-V7_BASE_CPR),0)</f>
        <v/>
      </c>
      <c r="AO26" s="28">
        <f>IFERROR(LN(AC26)/(LN(W26)+LN(X26)+LN(Y26)+LN(Z26)+LN(AA26)+LN(AB26)+LN(AC26)+LN(AD26))*(AH26-V7_BASE_CPR),0)</f>
        <v/>
      </c>
      <c r="AP26" s="28">
        <f>IFERROR(LN(AD26)/(LN(W26)+LN(X26)+LN(Y26)+LN(Z26)+LN(AA26)+LN(AB26)+LN(AC26)+LN(AD26))*(AH26-V7_BASE_CPR),0)</f>
        <v/>
      </c>
      <c r="AQ26" s="29">
        <f>V7_BASE_CPR+SUM(AI26:AP26)-AH26</f>
        <v/>
      </c>
    </row>
    <row r="27">
      <c r="A27" s="2" t="inlineStr">
        <is>
          <t>3617FTCS5_000000004635780</t>
        </is>
      </c>
      <c r="B27" t="inlineStr">
        <is>
          <t>LUMENT_POST21</t>
        </is>
      </c>
      <c r="C27" s="2" t="inlineStr">
        <is>
          <t>3617FTCS5</t>
        </is>
      </c>
      <c r="D27" t="inlineStr">
        <is>
          <t>LUMENT REAL ESTATE CAPITAL,LLC</t>
        </is>
      </c>
      <c r="E27" t="inlineStr">
        <is>
          <t>221d4</t>
        </is>
      </c>
      <c r="F27" t="inlineStr">
        <is>
          <t>NC</t>
        </is>
      </c>
      <c r="G27" t="n">
        <v>2022</v>
      </c>
      <c r="H27" t="inlineStr">
        <is>
          <t>202602</t>
        </is>
      </c>
      <c r="I27" s="22" t="n">
        <v>9678159.77</v>
      </c>
      <c r="J27" s="23" t="n">
        <v>5.75</v>
      </c>
      <c r="K27" s="24" t="n">
        <v>447</v>
      </c>
      <c r="L27" s="24" t="n">
        <v>9</v>
      </c>
      <c r="M27" t="n">
        <v>38</v>
      </c>
      <c r="N27" s="25" t="n">
        <v>1</v>
      </c>
      <c r="O27" t="n">
        <v>206404</v>
      </c>
      <c r="P27" t="inlineStr"/>
      <c r="Q27" t="inlineStr">
        <is>
          <t>3896</t>
        </is>
      </c>
      <c r="R27" s="26" t="n">
        <v>0.02631578947368421</v>
      </c>
      <c r="S27" t="n">
        <v>1</v>
      </c>
      <c r="T27" s="23">
        <f>LN(1+I27)</f>
        <v/>
      </c>
      <c r="U27" s="24">
        <f>J27*100-K27</f>
        <v/>
      </c>
      <c r="V27" s="24">
        <f>U27-12.5*(L27+1)</f>
        <v/>
      </c>
      <c r="W27" s="26">
        <f>IF(M27&lt;=V7_AGE_KNOT_X_0,V7_AGE_KNOT_Y_0,IF(M27&gt;=V7_AGE_KNOT_X_5,V7_AGE_KNOT_Y_5,IF(M27&lt;=V7_AGE_KNOT_X_1,V7_AGE_KNOT_Y_0+(M27-V7_AGE_KNOT_X_0)/(V7_AGE_KNOT_X_1-V7_AGE_KNOT_X_0)*(V7_AGE_KNOT_Y_1-V7_AGE_KNOT_Y_0),IF(M27&lt;=V7_AGE_KNOT_X_2,V7_AGE_KNOT_Y_1+(M27-V7_AGE_KNOT_X_1)/(V7_AGE_KNOT_X_2-V7_AGE_KNOT_X_1)*(V7_AGE_KNOT_Y_2-V7_AGE_KNOT_Y_1),IF(M27&lt;=V7_AGE_KNOT_X_3,V7_AGE_KNOT_Y_2+(M27-V7_AGE_KNOT_X_2)/(V7_AGE_KNOT_X_3-V7_AGE_KNOT_X_2)*(V7_AGE_KNOT_Y_3-V7_AGE_KNOT_Y_2),IF(M27&lt;=V7_AGE_KNOT_X_4,V7_AGE_KNOT_Y_3+(M27-V7_AGE_KNOT_X_3)/(V7_AGE_KNOT_X_4-V7_AGE_KNOT_X_3)*(V7_AGE_KNOT_Y_4-V7_AGE_KNOT_Y_3),V7_AGE_KNOT_Y_4+(M27-V7_AGE_KNOT_X_4)/(V7_AGE_KNOT_X_5-V7_AGE_KNOT_X_4)*(V7_AGE_KNOT_Y_5-V7_AGE_KNOT_Y_4)))))))</f>
        <v/>
      </c>
      <c r="X27" s="26">
        <f>V7_RATE_FLOOR+V7_RATE_ASYMPTOTE/(1+EXP(-(V27-V7_RATE_MID)/V7_RATE_SLOPE))</f>
        <v/>
      </c>
      <c r="Y27" s="26">
        <f>MAX(V7_SIZE_LOW,MIN(V7_SIZE_HIGH,V7_SIZE_INTERCEPT+V7_SIZE_SLOPE*(T27-V7_SIZE_LOG_ANCHOR)))</f>
        <v/>
      </c>
      <c r="Z27" s="26">
        <f>IF(ISNUMBER(SEARCH("232",E27)),VLOOKUP("232",V7_PROGRAM_TABLE,2,FALSE),IF(ISNUMBER(SEARCH("538",E27)),VLOOKUP("538",V7_PROGRAM_TABLE,2,FALSE),IF(ISNUMBER(SEARCH("223a7",E27)),VLOOKUP("223a7",V7_PROGRAM_TABLE,2,FALSE),IF(ISNUMBER(SEARCH("223f",E27)),VLOOKUP("223f",V7_PROGRAM_TABLE,2,FALSE),V7_PROGRAM_DEFAULT))))</f>
        <v/>
      </c>
      <c r="AA27" s="26">
        <f>IF(S27=1,1+V7_PURPOSE_NC_BUMP*MAX(0,1-ABS(M27-V7_PURPOSE_PEAK_AGE)/V7_PURPOSE_WIDTH),1)</f>
        <v/>
      </c>
      <c r="AB27" s="26">
        <f>IF(AND(IF(OR(P27="",NOT(ISNUMBER(P27))),0,MAX(0,MIN(24,(INT(VALUE(H27)/100)-INT(P27/100))*12+MOD(VALUE(H27),100)-MOD(P27,100))))&gt;0,IF(OR(P27="",NOT(ISNUMBER(P27))),0,MAX(0,MIN(24,(INT(VALUE(H27)/100)-INT(P27/100))*12+MOD(VALUE(H27),100)-MOD(P27,100))))&lt;=12),1+V7_LOCKOUT_AMP*EXP(-(IF(OR(P27="",NOT(ISNUMBER(P27))),0,MAX(0,MIN(24,(INT(VALUE(H27)/100)-INT(P27/100))*12+MOD(VALUE(H27),100)-MOD(P27,100)))))/V7_LOCKOUT_TAU),1)</f>
        <v/>
      </c>
      <c r="AC27" s="26">
        <f>IF(IF(OR(O27="",NOT(ISNUMBER(O27))),360,MAX(0,MIN(480,(INT(O27/100)-INT(VALUE(H27)/100))*12+MOD(O27,100)-MOD(VALUE(H27),100))))&gt;0,1+V7_MTY_AMP*MAX(0,(V7_MTY_CUTOFF-(IF(OR(O27="",NOT(ISNUMBER(O27))),360,MAX(0,MIN(480,(INT(O27/100)-INT(VALUE(H27)/100))*12+MOD(O27,100)-MOD(VALUE(H27),100))))))/V7_MTY_CUTOFF),1)</f>
        <v/>
      </c>
      <c r="AD27" s="26">
        <f>MAX(V7_BURN_FLOOR,1-V7_BURN_SLOPE*MIN(1,MAX(0,R27)))</f>
        <v/>
      </c>
      <c r="AE27" s="26">
        <f>IF(V7_USE_ISSUER=1,IFERROR(VLOOKUP(Q27,V7_ISSUER_TABLE,3,FALSE),1),1)</f>
        <v/>
      </c>
      <c r="AF27" s="26">
        <f>PRODUCT(W27:AE27)</f>
        <v/>
      </c>
      <c r="AG27" s="27">
        <f>MIN(V7_BASE_SMM*AF27,V7_SMM_CAP)</f>
        <v/>
      </c>
      <c r="AH27" s="28">
        <f>1-(1-AG27)^12</f>
        <v/>
      </c>
      <c r="AI27" s="28">
        <f>IFERROR(LN(W27)/(LN(W27)+LN(X27)+LN(Y27)+LN(Z27)+LN(AA27)+LN(AB27)+LN(AC27)+LN(AD27))*(AH27-V7_BASE_CPR),0)</f>
        <v/>
      </c>
      <c r="AJ27" s="28">
        <f>IFERROR(LN(X27)/(LN(W27)+LN(X27)+LN(Y27)+LN(Z27)+LN(AA27)+LN(AB27)+LN(AC27)+LN(AD27))*(AH27-V7_BASE_CPR),0)</f>
        <v/>
      </c>
      <c r="AK27" s="28">
        <f>IFERROR(LN(Y27)/(LN(W27)+LN(X27)+LN(Y27)+LN(Z27)+LN(AA27)+LN(AB27)+LN(AC27)+LN(AD27))*(AH27-V7_BASE_CPR),0)</f>
        <v/>
      </c>
      <c r="AL27" s="28">
        <f>IFERROR(LN(Z27)/(LN(W27)+LN(X27)+LN(Y27)+LN(Z27)+LN(AA27)+LN(AB27)+LN(AC27)+LN(AD27))*(AH27-V7_BASE_CPR),0)</f>
        <v/>
      </c>
      <c r="AM27" s="28">
        <f>IFERROR(LN(AA27)/(LN(W27)+LN(X27)+LN(Y27)+LN(Z27)+LN(AA27)+LN(AB27)+LN(AC27)+LN(AD27))*(AH27-V7_BASE_CPR),0)</f>
        <v/>
      </c>
      <c r="AN27" s="28">
        <f>IFERROR(LN(AB27)/(LN(W27)+LN(X27)+LN(Y27)+LN(Z27)+LN(AA27)+LN(AB27)+LN(AC27)+LN(AD27))*(AH27-V7_BASE_CPR),0)</f>
        <v/>
      </c>
      <c r="AO27" s="28">
        <f>IFERROR(LN(AC27)/(LN(W27)+LN(X27)+LN(Y27)+LN(Z27)+LN(AA27)+LN(AB27)+LN(AC27)+LN(AD27))*(AH27-V7_BASE_CPR),0)</f>
        <v/>
      </c>
      <c r="AP27" s="28">
        <f>IFERROR(LN(AD27)/(LN(W27)+LN(X27)+LN(Y27)+LN(Z27)+LN(AA27)+LN(AB27)+LN(AC27)+LN(AD27))*(AH27-V7_BASE_CPR),0)</f>
        <v/>
      </c>
      <c r="AQ27" s="29">
        <f>V7_BASE_CPR+SUM(AI27:AP27)-AH27</f>
        <v/>
      </c>
    </row>
    <row r="28">
      <c r="A28" s="2" t="inlineStr">
        <is>
          <t>3618HNA98_000000005122220</t>
        </is>
      </c>
      <c r="B28" t="inlineStr">
        <is>
          <t>LUMENT_POST21</t>
        </is>
      </c>
      <c r="C28" s="2" t="inlineStr">
        <is>
          <t>3618HNA98</t>
        </is>
      </c>
      <c r="D28" t="inlineStr">
        <is>
          <t>LUMENT REAL ESTATE CAPITAL,LLC</t>
        </is>
      </c>
      <c r="E28" t="inlineStr">
        <is>
          <t>232</t>
        </is>
      </c>
      <c r="F28" t="inlineStr">
        <is>
          <t>RP</t>
        </is>
      </c>
      <c r="G28" t="n">
        <v>2025</v>
      </c>
      <c r="H28" t="inlineStr">
        <is>
          <t>202602</t>
        </is>
      </c>
      <c r="I28" s="22" t="n">
        <v>15537179.74</v>
      </c>
      <c r="J28" s="23" t="n">
        <v>6.07</v>
      </c>
      <c r="K28" s="24" t="n">
        <v>447</v>
      </c>
      <c r="L28" s="24" t="n">
        <v>10</v>
      </c>
      <c r="M28" t="n">
        <v>12</v>
      </c>
      <c r="N28" s="25" t="n">
        <v>2</v>
      </c>
      <c r="O28" t="n">
        <v>206003</v>
      </c>
      <c r="P28" t="inlineStr"/>
      <c r="Q28" t="inlineStr">
        <is>
          <t>3896</t>
        </is>
      </c>
      <c r="R28" s="26" t="n">
        <v>0.1666666666666667</v>
      </c>
      <c r="S28" t="n">
        <v>0</v>
      </c>
      <c r="T28" s="23">
        <f>LN(1+I28)</f>
        <v/>
      </c>
      <c r="U28" s="24">
        <f>J28*100-K28</f>
        <v/>
      </c>
      <c r="V28" s="24">
        <f>U28-12.5*(L28+1)</f>
        <v/>
      </c>
      <c r="W28" s="26">
        <f>IF(M28&lt;=V7_AGE_KNOT_X_0,V7_AGE_KNOT_Y_0,IF(M28&gt;=V7_AGE_KNOT_X_5,V7_AGE_KNOT_Y_5,IF(M28&lt;=V7_AGE_KNOT_X_1,V7_AGE_KNOT_Y_0+(M28-V7_AGE_KNOT_X_0)/(V7_AGE_KNOT_X_1-V7_AGE_KNOT_X_0)*(V7_AGE_KNOT_Y_1-V7_AGE_KNOT_Y_0),IF(M28&lt;=V7_AGE_KNOT_X_2,V7_AGE_KNOT_Y_1+(M28-V7_AGE_KNOT_X_1)/(V7_AGE_KNOT_X_2-V7_AGE_KNOT_X_1)*(V7_AGE_KNOT_Y_2-V7_AGE_KNOT_Y_1),IF(M28&lt;=V7_AGE_KNOT_X_3,V7_AGE_KNOT_Y_2+(M28-V7_AGE_KNOT_X_2)/(V7_AGE_KNOT_X_3-V7_AGE_KNOT_X_2)*(V7_AGE_KNOT_Y_3-V7_AGE_KNOT_Y_2),IF(M28&lt;=V7_AGE_KNOT_X_4,V7_AGE_KNOT_Y_3+(M28-V7_AGE_KNOT_X_3)/(V7_AGE_KNOT_X_4-V7_AGE_KNOT_X_3)*(V7_AGE_KNOT_Y_4-V7_AGE_KNOT_Y_3),V7_AGE_KNOT_Y_4+(M28-V7_AGE_KNOT_X_4)/(V7_AGE_KNOT_X_5-V7_AGE_KNOT_X_4)*(V7_AGE_KNOT_Y_5-V7_AGE_KNOT_Y_4)))))))</f>
        <v/>
      </c>
      <c r="X28" s="26">
        <f>V7_RATE_FLOOR+V7_RATE_ASYMPTOTE/(1+EXP(-(V28-V7_RATE_MID)/V7_RATE_SLOPE))</f>
        <v/>
      </c>
      <c r="Y28" s="26">
        <f>MAX(V7_SIZE_LOW,MIN(V7_SIZE_HIGH,V7_SIZE_INTERCEPT+V7_SIZE_SLOPE*(T28-V7_SIZE_LOG_ANCHOR)))</f>
        <v/>
      </c>
      <c r="Z28" s="26">
        <f>IF(ISNUMBER(SEARCH("232",E28)),VLOOKUP("232",V7_PROGRAM_TABLE,2,FALSE),IF(ISNUMBER(SEARCH("538",E28)),VLOOKUP("538",V7_PROGRAM_TABLE,2,FALSE),IF(ISNUMBER(SEARCH("223a7",E28)),VLOOKUP("223a7",V7_PROGRAM_TABLE,2,FALSE),IF(ISNUMBER(SEARCH("223f",E28)),VLOOKUP("223f",V7_PROGRAM_TABLE,2,FALSE),V7_PROGRAM_DEFAULT))))</f>
        <v/>
      </c>
      <c r="AA28" s="26">
        <f>IF(S28=1,1+V7_PURPOSE_NC_BUMP*MAX(0,1-ABS(M28-V7_PURPOSE_PEAK_AGE)/V7_PURPOSE_WIDTH),1)</f>
        <v/>
      </c>
      <c r="AB28" s="26">
        <f>IF(AND(IF(OR(P28="",NOT(ISNUMBER(P28))),0,MAX(0,MIN(24,(INT(VALUE(H28)/100)-INT(P28/100))*12+MOD(VALUE(H28),100)-MOD(P28,100))))&gt;0,IF(OR(P28="",NOT(ISNUMBER(P28))),0,MAX(0,MIN(24,(INT(VALUE(H28)/100)-INT(P28/100))*12+MOD(VALUE(H28),100)-MOD(P28,100))))&lt;=12),1+V7_LOCKOUT_AMP*EXP(-(IF(OR(P28="",NOT(ISNUMBER(P28))),0,MAX(0,MIN(24,(INT(VALUE(H28)/100)-INT(P28/100))*12+MOD(VALUE(H28),100)-MOD(P28,100)))))/V7_LOCKOUT_TAU),1)</f>
        <v/>
      </c>
      <c r="AC28" s="26">
        <f>IF(IF(OR(O28="",NOT(ISNUMBER(O28))),360,MAX(0,MIN(480,(INT(O28/100)-INT(VALUE(H28)/100))*12+MOD(O28,100)-MOD(VALUE(H28),100))))&gt;0,1+V7_MTY_AMP*MAX(0,(V7_MTY_CUTOFF-(IF(OR(O28="",NOT(ISNUMBER(O28))),360,MAX(0,MIN(480,(INT(O28/100)-INT(VALUE(H28)/100))*12+MOD(O28,100)-MOD(VALUE(H28),100))))))/V7_MTY_CUTOFF),1)</f>
        <v/>
      </c>
      <c r="AD28" s="26">
        <f>MAX(V7_BURN_FLOOR,1-V7_BURN_SLOPE*MIN(1,MAX(0,R28)))</f>
        <v/>
      </c>
      <c r="AE28" s="26">
        <f>IF(V7_USE_ISSUER=1,IFERROR(VLOOKUP(Q28,V7_ISSUER_TABLE,3,FALSE),1),1)</f>
        <v/>
      </c>
      <c r="AF28" s="26">
        <f>PRODUCT(W28:AE28)</f>
        <v/>
      </c>
      <c r="AG28" s="27">
        <f>MIN(V7_BASE_SMM*AF28,V7_SMM_CAP)</f>
        <v/>
      </c>
      <c r="AH28" s="28">
        <f>1-(1-AG28)^12</f>
        <v/>
      </c>
      <c r="AI28" s="28">
        <f>IFERROR(LN(W28)/(LN(W28)+LN(X28)+LN(Y28)+LN(Z28)+LN(AA28)+LN(AB28)+LN(AC28)+LN(AD28))*(AH28-V7_BASE_CPR),0)</f>
        <v/>
      </c>
      <c r="AJ28" s="28">
        <f>IFERROR(LN(X28)/(LN(W28)+LN(X28)+LN(Y28)+LN(Z28)+LN(AA28)+LN(AB28)+LN(AC28)+LN(AD28))*(AH28-V7_BASE_CPR),0)</f>
        <v/>
      </c>
      <c r="AK28" s="28">
        <f>IFERROR(LN(Y28)/(LN(W28)+LN(X28)+LN(Y28)+LN(Z28)+LN(AA28)+LN(AB28)+LN(AC28)+LN(AD28))*(AH28-V7_BASE_CPR),0)</f>
        <v/>
      </c>
      <c r="AL28" s="28">
        <f>IFERROR(LN(Z28)/(LN(W28)+LN(X28)+LN(Y28)+LN(Z28)+LN(AA28)+LN(AB28)+LN(AC28)+LN(AD28))*(AH28-V7_BASE_CPR),0)</f>
        <v/>
      </c>
      <c r="AM28" s="28">
        <f>IFERROR(LN(AA28)/(LN(W28)+LN(X28)+LN(Y28)+LN(Z28)+LN(AA28)+LN(AB28)+LN(AC28)+LN(AD28))*(AH28-V7_BASE_CPR),0)</f>
        <v/>
      </c>
      <c r="AN28" s="28">
        <f>IFERROR(LN(AB28)/(LN(W28)+LN(X28)+LN(Y28)+LN(Z28)+LN(AA28)+LN(AB28)+LN(AC28)+LN(AD28))*(AH28-V7_BASE_CPR),0)</f>
        <v/>
      </c>
      <c r="AO28" s="28">
        <f>IFERROR(LN(AC28)/(LN(W28)+LN(X28)+LN(Y28)+LN(Z28)+LN(AA28)+LN(AB28)+LN(AC28)+LN(AD28))*(AH28-V7_BASE_CPR),0)</f>
        <v/>
      </c>
      <c r="AP28" s="28">
        <f>IFERROR(LN(AD28)/(LN(W28)+LN(X28)+LN(Y28)+LN(Z28)+LN(AA28)+LN(AB28)+LN(AC28)+LN(AD28))*(AH28-V7_BASE_CPR),0)</f>
        <v/>
      </c>
      <c r="AQ28" s="29">
        <f>V7_BASE_CPR+SUM(AI28:AP28)-AH28</f>
        <v/>
      </c>
    </row>
    <row r="29">
      <c r="A29" s="2" t="inlineStr">
        <is>
          <t>36181F4E8_000000006322064</t>
        </is>
      </c>
      <c r="B29" t="inlineStr">
        <is>
          <t>LUMENT_PRE21</t>
        </is>
      </c>
      <c r="C29" s="2" t="inlineStr">
        <is>
          <t>36181F4E8</t>
        </is>
      </c>
      <c r="D29" t="inlineStr">
        <is>
          <t>LUMENT REAL ESTATE CAPITAL,LLC</t>
        </is>
      </c>
      <c r="E29" t="inlineStr">
        <is>
          <t>232</t>
        </is>
      </c>
      <c r="F29" t="inlineStr">
        <is>
          <t>RP</t>
        </is>
      </c>
      <c r="G29" t="n">
        <v>2013</v>
      </c>
      <c r="H29" t="inlineStr">
        <is>
          <t>202602</t>
        </is>
      </c>
      <c r="I29" s="22" t="n">
        <v>8085044.96</v>
      </c>
      <c r="J29" s="23" t="n">
        <v>2.9</v>
      </c>
      <c r="K29" s="24" t="n">
        <v>447</v>
      </c>
      <c r="L29" s="24" t="n">
        <v>0</v>
      </c>
      <c r="M29" t="n">
        <v>152</v>
      </c>
      <c r="N29" s="25" t="n">
        <v>25</v>
      </c>
      <c r="O29" t="n">
        <v>204807</v>
      </c>
      <c r="P29" t="inlineStr"/>
      <c r="Q29" t="inlineStr">
        <is>
          <t>3896</t>
        </is>
      </c>
      <c r="R29" s="26" t="n">
        <v>0.1644736842105263</v>
      </c>
      <c r="S29" t="n">
        <v>0</v>
      </c>
      <c r="T29" s="23">
        <f>LN(1+I29)</f>
        <v/>
      </c>
      <c r="U29" s="24">
        <f>J29*100-K29</f>
        <v/>
      </c>
      <c r="V29" s="24">
        <f>U29-12.5*(L29+1)</f>
        <v/>
      </c>
      <c r="W29" s="26">
        <f>IF(M29&lt;=V7_AGE_KNOT_X_0,V7_AGE_KNOT_Y_0,IF(M29&gt;=V7_AGE_KNOT_X_5,V7_AGE_KNOT_Y_5,IF(M29&lt;=V7_AGE_KNOT_X_1,V7_AGE_KNOT_Y_0+(M29-V7_AGE_KNOT_X_0)/(V7_AGE_KNOT_X_1-V7_AGE_KNOT_X_0)*(V7_AGE_KNOT_Y_1-V7_AGE_KNOT_Y_0),IF(M29&lt;=V7_AGE_KNOT_X_2,V7_AGE_KNOT_Y_1+(M29-V7_AGE_KNOT_X_1)/(V7_AGE_KNOT_X_2-V7_AGE_KNOT_X_1)*(V7_AGE_KNOT_Y_2-V7_AGE_KNOT_Y_1),IF(M29&lt;=V7_AGE_KNOT_X_3,V7_AGE_KNOT_Y_2+(M29-V7_AGE_KNOT_X_2)/(V7_AGE_KNOT_X_3-V7_AGE_KNOT_X_2)*(V7_AGE_KNOT_Y_3-V7_AGE_KNOT_Y_2),IF(M29&lt;=V7_AGE_KNOT_X_4,V7_AGE_KNOT_Y_3+(M29-V7_AGE_KNOT_X_3)/(V7_AGE_KNOT_X_4-V7_AGE_KNOT_X_3)*(V7_AGE_KNOT_Y_4-V7_AGE_KNOT_Y_3),V7_AGE_KNOT_Y_4+(M29-V7_AGE_KNOT_X_4)/(V7_AGE_KNOT_X_5-V7_AGE_KNOT_X_4)*(V7_AGE_KNOT_Y_5-V7_AGE_KNOT_Y_4)))))))</f>
        <v/>
      </c>
      <c r="X29" s="26">
        <f>V7_RATE_FLOOR+V7_RATE_ASYMPTOTE/(1+EXP(-(V29-V7_RATE_MID)/V7_RATE_SLOPE))</f>
        <v/>
      </c>
      <c r="Y29" s="26">
        <f>MAX(V7_SIZE_LOW,MIN(V7_SIZE_HIGH,V7_SIZE_INTERCEPT+V7_SIZE_SLOPE*(T29-V7_SIZE_LOG_ANCHOR)))</f>
        <v/>
      </c>
      <c r="Z29" s="26">
        <f>IF(ISNUMBER(SEARCH("232",E29)),VLOOKUP("232",V7_PROGRAM_TABLE,2,FALSE),IF(ISNUMBER(SEARCH("538",E29)),VLOOKUP("538",V7_PROGRAM_TABLE,2,FALSE),IF(ISNUMBER(SEARCH("223a7",E29)),VLOOKUP("223a7",V7_PROGRAM_TABLE,2,FALSE),IF(ISNUMBER(SEARCH("223f",E29)),VLOOKUP("223f",V7_PROGRAM_TABLE,2,FALSE),V7_PROGRAM_DEFAULT))))</f>
        <v/>
      </c>
      <c r="AA29" s="26">
        <f>IF(S29=1,1+V7_PURPOSE_NC_BUMP*MAX(0,1-ABS(M29-V7_PURPOSE_PEAK_AGE)/V7_PURPOSE_WIDTH),1)</f>
        <v/>
      </c>
      <c r="AB29" s="26">
        <f>IF(AND(IF(OR(P29="",NOT(ISNUMBER(P29))),0,MAX(0,MIN(24,(INT(VALUE(H29)/100)-INT(P29/100))*12+MOD(VALUE(H29),100)-MOD(P29,100))))&gt;0,IF(OR(P29="",NOT(ISNUMBER(P29))),0,MAX(0,MIN(24,(INT(VALUE(H29)/100)-INT(P29/100))*12+MOD(VALUE(H29),100)-MOD(P29,100))))&lt;=12),1+V7_LOCKOUT_AMP*EXP(-(IF(OR(P29="",NOT(ISNUMBER(P29))),0,MAX(0,MIN(24,(INT(VALUE(H29)/100)-INT(P29/100))*12+MOD(VALUE(H29),100)-MOD(P29,100)))))/V7_LOCKOUT_TAU),1)</f>
        <v/>
      </c>
      <c r="AC29" s="26">
        <f>IF(IF(OR(O29="",NOT(ISNUMBER(O29))),360,MAX(0,MIN(480,(INT(O29/100)-INT(VALUE(H29)/100))*12+MOD(O29,100)-MOD(VALUE(H29),100))))&gt;0,1+V7_MTY_AMP*MAX(0,(V7_MTY_CUTOFF-(IF(OR(O29="",NOT(ISNUMBER(O29))),360,MAX(0,MIN(480,(INT(O29/100)-INT(VALUE(H29)/100))*12+MOD(O29,100)-MOD(VALUE(H29),100))))))/V7_MTY_CUTOFF),1)</f>
        <v/>
      </c>
      <c r="AD29" s="26">
        <f>MAX(V7_BURN_FLOOR,1-V7_BURN_SLOPE*MIN(1,MAX(0,R29)))</f>
        <v/>
      </c>
      <c r="AE29" s="26">
        <f>IF(V7_USE_ISSUER=1,IFERROR(VLOOKUP(Q29,V7_ISSUER_TABLE,3,FALSE),1),1)</f>
        <v/>
      </c>
      <c r="AF29" s="26">
        <f>PRODUCT(W29:AE29)</f>
        <v/>
      </c>
      <c r="AG29" s="27">
        <f>MIN(V7_BASE_SMM*AF29,V7_SMM_CAP)</f>
        <v/>
      </c>
      <c r="AH29" s="28">
        <f>1-(1-AG29)^12</f>
        <v/>
      </c>
      <c r="AI29" s="28">
        <f>IFERROR(LN(W29)/(LN(W29)+LN(X29)+LN(Y29)+LN(Z29)+LN(AA29)+LN(AB29)+LN(AC29)+LN(AD29))*(AH29-V7_BASE_CPR),0)</f>
        <v/>
      </c>
      <c r="AJ29" s="28">
        <f>IFERROR(LN(X29)/(LN(W29)+LN(X29)+LN(Y29)+LN(Z29)+LN(AA29)+LN(AB29)+LN(AC29)+LN(AD29))*(AH29-V7_BASE_CPR),0)</f>
        <v/>
      </c>
      <c r="AK29" s="28">
        <f>IFERROR(LN(Y29)/(LN(W29)+LN(X29)+LN(Y29)+LN(Z29)+LN(AA29)+LN(AB29)+LN(AC29)+LN(AD29))*(AH29-V7_BASE_CPR),0)</f>
        <v/>
      </c>
      <c r="AL29" s="28">
        <f>IFERROR(LN(Z29)/(LN(W29)+LN(X29)+LN(Y29)+LN(Z29)+LN(AA29)+LN(AB29)+LN(AC29)+LN(AD29))*(AH29-V7_BASE_CPR),0)</f>
        <v/>
      </c>
      <c r="AM29" s="28">
        <f>IFERROR(LN(AA29)/(LN(W29)+LN(X29)+LN(Y29)+LN(Z29)+LN(AA29)+LN(AB29)+LN(AC29)+LN(AD29))*(AH29-V7_BASE_CPR),0)</f>
        <v/>
      </c>
      <c r="AN29" s="28">
        <f>IFERROR(LN(AB29)/(LN(W29)+LN(X29)+LN(Y29)+LN(Z29)+LN(AA29)+LN(AB29)+LN(AC29)+LN(AD29))*(AH29-V7_BASE_CPR),0)</f>
        <v/>
      </c>
      <c r="AO29" s="28">
        <f>IFERROR(LN(AC29)/(LN(W29)+LN(X29)+LN(Y29)+LN(Z29)+LN(AA29)+LN(AB29)+LN(AC29)+LN(AD29))*(AH29-V7_BASE_CPR),0)</f>
        <v/>
      </c>
      <c r="AP29" s="28">
        <f>IFERROR(LN(AD29)/(LN(W29)+LN(X29)+LN(Y29)+LN(Z29)+LN(AA29)+LN(AB29)+LN(AC29)+LN(AD29))*(AH29-V7_BASE_CPR),0)</f>
        <v/>
      </c>
      <c r="AQ29" s="29">
        <f>V7_BASE_CPR+SUM(AI29:AP29)-AH29</f>
        <v/>
      </c>
    </row>
    <row r="30">
      <c r="A30" s="2" t="inlineStr">
        <is>
          <t>36193UPJ7_000000007311376</t>
        </is>
      </c>
      <c r="B30" t="inlineStr">
        <is>
          <t>LUMENT_PRE21</t>
        </is>
      </c>
      <c r="C30" s="2" t="inlineStr">
        <is>
          <t>36193UPJ7</t>
        </is>
      </c>
      <c r="D30" t="inlineStr">
        <is>
          <t>LUMENT REAL ESTATE CAPITAL,LLC</t>
        </is>
      </c>
      <c r="E30" t="inlineStr">
        <is>
          <t>223f</t>
        </is>
      </c>
      <c r="F30" t="inlineStr">
        <is>
          <t>RP</t>
        </is>
      </c>
      <c r="G30" t="n">
        <v>2008</v>
      </c>
      <c r="H30" t="inlineStr">
        <is>
          <t>202602</t>
        </is>
      </c>
      <c r="I30" s="22" t="n">
        <v>1740203.09</v>
      </c>
      <c r="J30" s="23" t="n">
        <v>3.65</v>
      </c>
      <c r="K30" s="24" t="n">
        <v>447</v>
      </c>
      <c r="L30" s="24" t="n">
        <v>1</v>
      </c>
      <c r="M30" t="n">
        <v>206</v>
      </c>
      <c r="N30" s="25" t="n">
        <v>32</v>
      </c>
      <c r="O30" t="n">
        <v>204401</v>
      </c>
      <c r="P30" t="inlineStr"/>
      <c r="Q30" t="inlineStr">
        <is>
          <t>3896</t>
        </is>
      </c>
      <c r="R30" s="26" t="n">
        <v>0.1553398058252427</v>
      </c>
      <c r="S30" t="n">
        <v>0</v>
      </c>
      <c r="T30" s="23">
        <f>LN(1+I30)</f>
        <v/>
      </c>
      <c r="U30" s="24">
        <f>J30*100-K30</f>
        <v/>
      </c>
      <c r="V30" s="24">
        <f>U30-12.5*(L30+1)</f>
        <v/>
      </c>
      <c r="W30" s="26">
        <f>IF(M30&lt;=V7_AGE_KNOT_X_0,V7_AGE_KNOT_Y_0,IF(M30&gt;=V7_AGE_KNOT_X_5,V7_AGE_KNOT_Y_5,IF(M30&lt;=V7_AGE_KNOT_X_1,V7_AGE_KNOT_Y_0+(M30-V7_AGE_KNOT_X_0)/(V7_AGE_KNOT_X_1-V7_AGE_KNOT_X_0)*(V7_AGE_KNOT_Y_1-V7_AGE_KNOT_Y_0),IF(M30&lt;=V7_AGE_KNOT_X_2,V7_AGE_KNOT_Y_1+(M30-V7_AGE_KNOT_X_1)/(V7_AGE_KNOT_X_2-V7_AGE_KNOT_X_1)*(V7_AGE_KNOT_Y_2-V7_AGE_KNOT_Y_1),IF(M30&lt;=V7_AGE_KNOT_X_3,V7_AGE_KNOT_Y_2+(M30-V7_AGE_KNOT_X_2)/(V7_AGE_KNOT_X_3-V7_AGE_KNOT_X_2)*(V7_AGE_KNOT_Y_3-V7_AGE_KNOT_Y_2),IF(M30&lt;=V7_AGE_KNOT_X_4,V7_AGE_KNOT_Y_3+(M30-V7_AGE_KNOT_X_3)/(V7_AGE_KNOT_X_4-V7_AGE_KNOT_X_3)*(V7_AGE_KNOT_Y_4-V7_AGE_KNOT_Y_3),V7_AGE_KNOT_Y_4+(M30-V7_AGE_KNOT_X_4)/(V7_AGE_KNOT_X_5-V7_AGE_KNOT_X_4)*(V7_AGE_KNOT_Y_5-V7_AGE_KNOT_Y_4)))))))</f>
        <v/>
      </c>
      <c r="X30" s="26">
        <f>V7_RATE_FLOOR+V7_RATE_ASYMPTOTE/(1+EXP(-(V30-V7_RATE_MID)/V7_RATE_SLOPE))</f>
        <v/>
      </c>
      <c r="Y30" s="26">
        <f>MAX(V7_SIZE_LOW,MIN(V7_SIZE_HIGH,V7_SIZE_INTERCEPT+V7_SIZE_SLOPE*(T30-V7_SIZE_LOG_ANCHOR)))</f>
        <v/>
      </c>
      <c r="Z30" s="26">
        <f>IF(ISNUMBER(SEARCH("232",E30)),VLOOKUP("232",V7_PROGRAM_TABLE,2,FALSE),IF(ISNUMBER(SEARCH("538",E30)),VLOOKUP("538",V7_PROGRAM_TABLE,2,FALSE),IF(ISNUMBER(SEARCH("223a7",E30)),VLOOKUP("223a7",V7_PROGRAM_TABLE,2,FALSE),IF(ISNUMBER(SEARCH("223f",E30)),VLOOKUP("223f",V7_PROGRAM_TABLE,2,FALSE),V7_PROGRAM_DEFAULT))))</f>
        <v/>
      </c>
      <c r="AA30" s="26">
        <f>IF(S30=1,1+V7_PURPOSE_NC_BUMP*MAX(0,1-ABS(M30-V7_PURPOSE_PEAK_AGE)/V7_PURPOSE_WIDTH),1)</f>
        <v/>
      </c>
      <c r="AB30" s="26">
        <f>IF(AND(IF(OR(P30="",NOT(ISNUMBER(P30))),0,MAX(0,MIN(24,(INT(VALUE(H30)/100)-INT(P30/100))*12+MOD(VALUE(H30),100)-MOD(P30,100))))&gt;0,IF(OR(P30="",NOT(ISNUMBER(P30))),0,MAX(0,MIN(24,(INT(VALUE(H30)/100)-INT(P30/100))*12+MOD(VALUE(H30),100)-MOD(P30,100))))&lt;=12),1+V7_LOCKOUT_AMP*EXP(-(IF(OR(P30="",NOT(ISNUMBER(P30))),0,MAX(0,MIN(24,(INT(VALUE(H30)/100)-INT(P30/100))*12+MOD(VALUE(H30),100)-MOD(P30,100)))))/V7_LOCKOUT_TAU),1)</f>
        <v/>
      </c>
      <c r="AC30" s="26">
        <f>IF(IF(OR(O30="",NOT(ISNUMBER(O30))),360,MAX(0,MIN(480,(INT(O30/100)-INT(VALUE(H30)/100))*12+MOD(O30,100)-MOD(VALUE(H30),100))))&gt;0,1+V7_MTY_AMP*MAX(0,(V7_MTY_CUTOFF-(IF(OR(O30="",NOT(ISNUMBER(O30))),360,MAX(0,MIN(480,(INT(O30/100)-INT(VALUE(H30)/100))*12+MOD(O30,100)-MOD(VALUE(H30),100))))))/V7_MTY_CUTOFF),1)</f>
        <v/>
      </c>
      <c r="AD30" s="26">
        <f>MAX(V7_BURN_FLOOR,1-V7_BURN_SLOPE*MIN(1,MAX(0,R30)))</f>
        <v/>
      </c>
      <c r="AE30" s="26">
        <f>IF(V7_USE_ISSUER=1,IFERROR(VLOOKUP(Q30,V7_ISSUER_TABLE,3,FALSE),1),1)</f>
        <v/>
      </c>
      <c r="AF30" s="26">
        <f>PRODUCT(W30:AE30)</f>
        <v/>
      </c>
      <c r="AG30" s="27">
        <f>MIN(V7_BASE_SMM*AF30,V7_SMM_CAP)</f>
        <v/>
      </c>
      <c r="AH30" s="28">
        <f>1-(1-AG30)^12</f>
        <v/>
      </c>
      <c r="AI30" s="28">
        <f>IFERROR(LN(W30)/(LN(W30)+LN(X30)+LN(Y30)+LN(Z30)+LN(AA30)+LN(AB30)+LN(AC30)+LN(AD30))*(AH30-V7_BASE_CPR),0)</f>
        <v/>
      </c>
      <c r="AJ30" s="28">
        <f>IFERROR(LN(X30)/(LN(W30)+LN(X30)+LN(Y30)+LN(Z30)+LN(AA30)+LN(AB30)+LN(AC30)+LN(AD30))*(AH30-V7_BASE_CPR),0)</f>
        <v/>
      </c>
      <c r="AK30" s="28">
        <f>IFERROR(LN(Y30)/(LN(W30)+LN(X30)+LN(Y30)+LN(Z30)+LN(AA30)+LN(AB30)+LN(AC30)+LN(AD30))*(AH30-V7_BASE_CPR),0)</f>
        <v/>
      </c>
      <c r="AL30" s="28">
        <f>IFERROR(LN(Z30)/(LN(W30)+LN(X30)+LN(Y30)+LN(Z30)+LN(AA30)+LN(AB30)+LN(AC30)+LN(AD30))*(AH30-V7_BASE_CPR),0)</f>
        <v/>
      </c>
      <c r="AM30" s="28">
        <f>IFERROR(LN(AA30)/(LN(W30)+LN(X30)+LN(Y30)+LN(Z30)+LN(AA30)+LN(AB30)+LN(AC30)+LN(AD30))*(AH30-V7_BASE_CPR),0)</f>
        <v/>
      </c>
      <c r="AN30" s="28">
        <f>IFERROR(LN(AB30)/(LN(W30)+LN(X30)+LN(Y30)+LN(Z30)+LN(AA30)+LN(AB30)+LN(AC30)+LN(AD30))*(AH30-V7_BASE_CPR),0)</f>
        <v/>
      </c>
      <c r="AO30" s="28">
        <f>IFERROR(LN(AC30)/(LN(W30)+LN(X30)+LN(Y30)+LN(Z30)+LN(AA30)+LN(AB30)+LN(AC30)+LN(AD30))*(AH30-V7_BASE_CPR),0)</f>
        <v/>
      </c>
      <c r="AP30" s="28">
        <f>IFERROR(LN(AD30)/(LN(W30)+LN(X30)+LN(Y30)+LN(Z30)+LN(AA30)+LN(AB30)+LN(AC30)+LN(AD30))*(AH30-V7_BASE_CPR),0)</f>
        <v/>
      </c>
      <c r="AQ30" s="29">
        <f>V7_BASE_CPR+SUM(AI30:AP30)-AH30</f>
        <v/>
      </c>
    </row>
    <row r="31">
      <c r="A31" s="2" t="inlineStr">
        <is>
          <t>3617QRFY1_000000007222191</t>
        </is>
      </c>
      <c r="B31" t="inlineStr">
        <is>
          <t>LUMENT_PRE21</t>
        </is>
      </c>
      <c r="C31" s="2" t="inlineStr">
        <is>
          <t>3617QRFY1</t>
        </is>
      </c>
      <c r="D31" t="inlineStr">
        <is>
          <t>LUMENT REAL ESTATE CAPITAL,LLC</t>
        </is>
      </c>
      <c r="E31" t="inlineStr">
        <is>
          <t>232</t>
        </is>
      </c>
      <c r="F31" t="inlineStr">
        <is>
          <t>RP</t>
        </is>
      </c>
      <c r="G31" t="n">
        <v>2020</v>
      </c>
      <c r="H31" t="inlineStr">
        <is>
          <t>202602</t>
        </is>
      </c>
      <c r="I31" s="22" t="n">
        <v>8618776.17</v>
      </c>
      <c r="J31" s="23" t="n">
        <v>2.4</v>
      </c>
      <c r="K31" s="24" t="n">
        <v>447</v>
      </c>
      <c r="L31" s="24" t="n">
        <v>5</v>
      </c>
      <c r="M31" t="n">
        <v>64</v>
      </c>
      <c r="N31" s="25" t="n">
        <v>0</v>
      </c>
      <c r="O31" t="n">
        <v>205511</v>
      </c>
      <c r="P31" t="inlineStr"/>
      <c r="Q31" t="inlineStr">
        <is>
          <t>3896</t>
        </is>
      </c>
      <c r="R31" s="26" t="n">
        <v>0</v>
      </c>
      <c r="S31" t="n">
        <v>0</v>
      </c>
      <c r="T31" s="23">
        <f>LN(1+I31)</f>
        <v/>
      </c>
      <c r="U31" s="24">
        <f>J31*100-K31</f>
        <v/>
      </c>
      <c r="V31" s="24">
        <f>U31-12.5*(L31+1)</f>
        <v/>
      </c>
      <c r="W31" s="26">
        <f>IF(M31&lt;=V7_AGE_KNOT_X_0,V7_AGE_KNOT_Y_0,IF(M31&gt;=V7_AGE_KNOT_X_5,V7_AGE_KNOT_Y_5,IF(M31&lt;=V7_AGE_KNOT_X_1,V7_AGE_KNOT_Y_0+(M31-V7_AGE_KNOT_X_0)/(V7_AGE_KNOT_X_1-V7_AGE_KNOT_X_0)*(V7_AGE_KNOT_Y_1-V7_AGE_KNOT_Y_0),IF(M31&lt;=V7_AGE_KNOT_X_2,V7_AGE_KNOT_Y_1+(M31-V7_AGE_KNOT_X_1)/(V7_AGE_KNOT_X_2-V7_AGE_KNOT_X_1)*(V7_AGE_KNOT_Y_2-V7_AGE_KNOT_Y_1),IF(M31&lt;=V7_AGE_KNOT_X_3,V7_AGE_KNOT_Y_2+(M31-V7_AGE_KNOT_X_2)/(V7_AGE_KNOT_X_3-V7_AGE_KNOT_X_2)*(V7_AGE_KNOT_Y_3-V7_AGE_KNOT_Y_2),IF(M31&lt;=V7_AGE_KNOT_X_4,V7_AGE_KNOT_Y_3+(M31-V7_AGE_KNOT_X_3)/(V7_AGE_KNOT_X_4-V7_AGE_KNOT_X_3)*(V7_AGE_KNOT_Y_4-V7_AGE_KNOT_Y_3),V7_AGE_KNOT_Y_4+(M31-V7_AGE_KNOT_X_4)/(V7_AGE_KNOT_X_5-V7_AGE_KNOT_X_4)*(V7_AGE_KNOT_Y_5-V7_AGE_KNOT_Y_4)))))))</f>
        <v/>
      </c>
      <c r="X31" s="26">
        <f>V7_RATE_FLOOR+V7_RATE_ASYMPTOTE/(1+EXP(-(V31-V7_RATE_MID)/V7_RATE_SLOPE))</f>
        <v/>
      </c>
      <c r="Y31" s="26">
        <f>MAX(V7_SIZE_LOW,MIN(V7_SIZE_HIGH,V7_SIZE_INTERCEPT+V7_SIZE_SLOPE*(T31-V7_SIZE_LOG_ANCHOR)))</f>
        <v/>
      </c>
      <c r="Z31" s="26">
        <f>IF(ISNUMBER(SEARCH("232",E31)),VLOOKUP("232",V7_PROGRAM_TABLE,2,FALSE),IF(ISNUMBER(SEARCH("538",E31)),VLOOKUP("538",V7_PROGRAM_TABLE,2,FALSE),IF(ISNUMBER(SEARCH("223a7",E31)),VLOOKUP("223a7",V7_PROGRAM_TABLE,2,FALSE),IF(ISNUMBER(SEARCH("223f",E31)),VLOOKUP("223f",V7_PROGRAM_TABLE,2,FALSE),V7_PROGRAM_DEFAULT))))</f>
        <v/>
      </c>
      <c r="AA31" s="26">
        <f>IF(S31=1,1+V7_PURPOSE_NC_BUMP*MAX(0,1-ABS(M31-V7_PURPOSE_PEAK_AGE)/V7_PURPOSE_WIDTH),1)</f>
        <v/>
      </c>
      <c r="AB31" s="26">
        <f>IF(AND(IF(OR(P31="",NOT(ISNUMBER(P31))),0,MAX(0,MIN(24,(INT(VALUE(H31)/100)-INT(P31/100))*12+MOD(VALUE(H31),100)-MOD(P31,100))))&gt;0,IF(OR(P31="",NOT(ISNUMBER(P31))),0,MAX(0,MIN(24,(INT(VALUE(H31)/100)-INT(P31/100))*12+MOD(VALUE(H31),100)-MOD(P31,100))))&lt;=12),1+V7_LOCKOUT_AMP*EXP(-(IF(OR(P31="",NOT(ISNUMBER(P31))),0,MAX(0,MIN(24,(INT(VALUE(H31)/100)-INT(P31/100))*12+MOD(VALUE(H31),100)-MOD(P31,100)))))/V7_LOCKOUT_TAU),1)</f>
        <v/>
      </c>
      <c r="AC31" s="26">
        <f>IF(IF(OR(O31="",NOT(ISNUMBER(O31))),360,MAX(0,MIN(480,(INT(O31/100)-INT(VALUE(H31)/100))*12+MOD(O31,100)-MOD(VALUE(H31),100))))&gt;0,1+V7_MTY_AMP*MAX(0,(V7_MTY_CUTOFF-(IF(OR(O31="",NOT(ISNUMBER(O31))),360,MAX(0,MIN(480,(INT(O31/100)-INT(VALUE(H31)/100))*12+MOD(O31,100)-MOD(VALUE(H31),100))))))/V7_MTY_CUTOFF),1)</f>
        <v/>
      </c>
      <c r="AD31" s="26">
        <f>MAX(V7_BURN_FLOOR,1-V7_BURN_SLOPE*MIN(1,MAX(0,R31)))</f>
        <v/>
      </c>
      <c r="AE31" s="26">
        <f>IF(V7_USE_ISSUER=1,IFERROR(VLOOKUP(Q31,V7_ISSUER_TABLE,3,FALSE),1),1)</f>
        <v/>
      </c>
      <c r="AF31" s="26">
        <f>PRODUCT(W31:AE31)</f>
        <v/>
      </c>
      <c r="AG31" s="27">
        <f>MIN(V7_BASE_SMM*AF31,V7_SMM_CAP)</f>
        <v/>
      </c>
      <c r="AH31" s="28">
        <f>1-(1-AG31)^12</f>
        <v/>
      </c>
      <c r="AI31" s="28">
        <f>IFERROR(LN(W31)/(LN(W31)+LN(X31)+LN(Y31)+LN(Z31)+LN(AA31)+LN(AB31)+LN(AC31)+LN(AD31))*(AH31-V7_BASE_CPR),0)</f>
        <v/>
      </c>
      <c r="AJ31" s="28">
        <f>IFERROR(LN(X31)/(LN(W31)+LN(X31)+LN(Y31)+LN(Z31)+LN(AA31)+LN(AB31)+LN(AC31)+LN(AD31))*(AH31-V7_BASE_CPR),0)</f>
        <v/>
      </c>
      <c r="AK31" s="28">
        <f>IFERROR(LN(Y31)/(LN(W31)+LN(X31)+LN(Y31)+LN(Z31)+LN(AA31)+LN(AB31)+LN(AC31)+LN(AD31))*(AH31-V7_BASE_CPR),0)</f>
        <v/>
      </c>
      <c r="AL31" s="28">
        <f>IFERROR(LN(Z31)/(LN(W31)+LN(X31)+LN(Y31)+LN(Z31)+LN(AA31)+LN(AB31)+LN(AC31)+LN(AD31))*(AH31-V7_BASE_CPR),0)</f>
        <v/>
      </c>
      <c r="AM31" s="28">
        <f>IFERROR(LN(AA31)/(LN(W31)+LN(X31)+LN(Y31)+LN(Z31)+LN(AA31)+LN(AB31)+LN(AC31)+LN(AD31))*(AH31-V7_BASE_CPR),0)</f>
        <v/>
      </c>
      <c r="AN31" s="28">
        <f>IFERROR(LN(AB31)/(LN(W31)+LN(X31)+LN(Y31)+LN(Z31)+LN(AA31)+LN(AB31)+LN(AC31)+LN(AD31))*(AH31-V7_BASE_CPR),0)</f>
        <v/>
      </c>
      <c r="AO31" s="28">
        <f>IFERROR(LN(AC31)/(LN(W31)+LN(X31)+LN(Y31)+LN(Z31)+LN(AA31)+LN(AB31)+LN(AC31)+LN(AD31))*(AH31-V7_BASE_CPR),0)</f>
        <v/>
      </c>
      <c r="AP31" s="28">
        <f>IFERROR(LN(AD31)/(LN(W31)+LN(X31)+LN(Y31)+LN(Z31)+LN(AA31)+LN(AB31)+LN(AC31)+LN(AD31))*(AH31-V7_BASE_CPR),0)</f>
        <v/>
      </c>
      <c r="AQ31" s="29">
        <f>V7_BASE_CPR+SUM(AI31:AP31)-AH31</f>
        <v/>
      </c>
    </row>
    <row r="32">
      <c r="A32" s="2" t="inlineStr">
        <is>
          <t>3617VA6U0_000000004311278</t>
        </is>
      </c>
      <c r="B32" t="inlineStr">
        <is>
          <t>LUMENT_POST21</t>
        </is>
      </c>
      <c r="C32" s="2" t="inlineStr">
        <is>
          <t>3617VA6U0</t>
        </is>
      </c>
      <c r="D32" t="inlineStr">
        <is>
          <t>LUMENT REAL ESTATE CAPITAL,LLC</t>
        </is>
      </c>
      <c r="E32" t="inlineStr">
        <is>
          <t>223f</t>
        </is>
      </c>
      <c r="F32" t="inlineStr">
        <is>
          <t>RP</t>
        </is>
      </c>
      <c r="G32" t="n">
        <v>2021</v>
      </c>
      <c r="H32" t="inlineStr">
        <is>
          <t>202602</t>
        </is>
      </c>
      <c r="I32" s="22" t="n">
        <v>7838412.72</v>
      </c>
      <c r="J32" s="23" t="n">
        <v>2.23</v>
      </c>
      <c r="K32" s="24" t="n">
        <v>447</v>
      </c>
      <c r="L32" s="24" t="n">
        <v>6</v>
      </c>
      <c r="M32" t="n">
        <v>57</v>
      </c>
      <c r="N32" s="25" t="n">
        <v>0</v>
      </c>
      <c r="O32" t="n">
        <v>205606</v>
      </c>
      <c r="P32" t="inlineStr"/>
      <c r="Q32" t="inlineStr">
        <is>
          <t>3896</t>
        </is>
      </c>
      <c r="R32" s="26" t="n">
        <v>0</v>
      </c>
      <c r="S32" t="n">
        <v>0</v>
      </c>
      <c r="T32" s="23">
        <f>LN(1+I32)</f>
        <v/>
      </c>
      <c r="U32" s="24">
        <f>J32*100-K32</f>
        <v/>
      </c>
      <c r="V32" s="24">
        <f>U32-12.5*(L32+1)</f>
        <v/>
      </c>
      <c r="W32" s="26">
        <f>IF(M32&lt;=V7_AGE_KNOT_X_0,V7_AGE_KNOT_Y_0,IF(M32&gt;=V7_AGE_KNOT_X_5,V7_AGE_KNOT_Y_5,IF(M32&lt;=V7_AGE_KNOT_X_1,V7_AGE_KNOT_Y_0+(M32-V7_AGE_KNOT_X_0)/(V7_AGE_KNOT_X_1-V7_AGE_KNOT_X_0)*(V7_AGE_KNOT_Y_1-V7_AGE_KNOT_Y_0),IF(M32&lt;=V7_AGE_KNOT_X_2,V7_AGE_KNOT_Y_1+(M32-V7_AGE_KNOT_X_1)/(V7_AGE_KNOT_X_2-V7_AGE_KNOT_X_1)*(V7_AGE_KNOT_Y_2-V7_AGE_KNOT_Y_1),IF(M32&lt;=V7_AGE_KNOT_X_3,V7_AGE_KNOT_Y_2+(M32-V7_AGE_KNOT_X_2)/(V7_AGE_KNOT_X_3-V7_AGE_KNOT_X_2)*(V7_AGE_KNOT_Y_3-V7_AGE_KNOT_Y_2),IF(M32&lt;=V7_AGE_KNOT_X_4,V7_AGE_KNOT_Y_3+(M32-V7_AGE_KNOT_X_3)/(V7_AGE_KNOT_X_4-V7_AGE_KNOT_X_3)*(V7_AGE_KNOT_Y_4-V7_AGE_KNOT_Y_3),V7_AGE_KNOT_Y_4+(M32-V7_AGE_KNOT_X_4)/(V7_AGE_KNOT_X_5-V7_AGE_KNOT_X_4)*(V7_AGE_KNOT_Y_5-V7_AGE_KNOT_Y_4)))))))</f>
        <v/>
      </c>
      <c r="X32" s="26">
        <f>V7_RATE_FLOOR+V7_RATE_ASYMPTOTE/(1+EXP(-(V32-V7_RATE_MID)/V7_RATE_SLOPE))</f>
        <v/>
      </c>
      <c r="Y32" s="26">
        <f>MAX(V7_SIZE_LOW,MIN(V7_SIZE_HIGH,V7_SIZE_INTERCEPT+V7_SIZE_SLOPE*(T32-V7_SIZE_LOG_ANCHOR)))</f>
        <v/>
      </c>
      <c r="Z32" s="26">
        <f>IF(ISNUMBER(SEARCH("232",E32)),VLOOKUP("232",V7_PROGRAM_TABLE,2,FALSE),IF(ISNUMBER(SEARCH("538",E32)),VLOOKUP("538",V7_PROGRAM_TABLE,2,FALSE),IF(ISNUMBER(SEARCH("223a7",E32)),VLOOKUP("223a7",V7_PROGRAM_TABLE,2,FALSE),IF(ISNUMBER(SEARCH("223f",E32)),VLOOKUP("223f",V7_PROGRAM_TABLE,2,FALSE),V7_PROGRAM_DEFAULT))))</f>
        <v/>
      </c>
      <c r="AA32" s="26">
        <f>IF(S32=1,1+V7_PURPOSE_NC_BUMP*MAX(0,1-ABS(M32-V7_PURPOSE_PEAK_AGE)/V7_PURPOSE_WIDTH),1)</f>
        <v/>
      </c>
      <c r="AB32" s="26">
        <f>IF(AND(IF(OR(P32="",NOT(ISNUMBER(P32))),0,MAX(0,MIN(24,(INT(VALUE(H32)/100)-INT(P32/100))*12+MOD(VALUE(H32),100)-MOD(P32,100))))&gt;0,IF(OR(P32="",NOT(ISNUMBER(P32))),0,MAX(0,MIN(24,(INT(VALUE(H32)/100)-INT(P32/100))*12+MOD(VALUE(H32),100)-MOD(P32,100))))&lt;=12),1+V7_LOCKOUT_AMP*EXP(-(IF(OR(P32="",NOT(ISNUMBER(P32))),0,MAX(0,MIN(24,(INT(VALUE(H32)/100)-INT(P32/100))*12+MOD(VALUE(H32),100)-MOD(P32,100)))))/V7_LOCKOUT_TAU),1)</f>
        <v/>
      </c>
      <c r="AC32" s="26">
        <f>IF(IF(OR(O32="",NOT(ISNUMBER(O32))),360,MAX(0,MIN(480,(INT(O32/100)-INT(VALUE(H32)/100))*12+MOD(O32,100)-MOD(VALUE(H32),100))))&gt;0,1+V7_MTY_AMP*MAX(0,(V7_MTY_CUTOFF-(IF(OR(O32="",NOT(ISNUMBER(O32))),360,MAX(0,MIN(480,(INT(O32/100)-INT(VALUE(H32)/100))*12+MOD(O32,100)-MOD(VALUE(H32),100))))))/V7_MTY_CUTOFF),1)</f>
        <v/>
      </c>
      <c r="AD32" s="26">
        <f>MAX(V7_BURN_FLOOR,1-V7_BURN_SLOPE*MIN(1,MAX(0,R32)))</f>
        <v/>
      </c>
      <c r="AE32" s="26">
        <f>IF(V7_USE_ISSUER=1,IFERROR(VLOOKUP(Q32,V7_ISSUER_TABLE,3,FALSE),1),1)</f>
        <v/>
      </c>
      <c r="AF32" s="26">
        <f>PRODUCT(W32:AE32)</f>
        <v/>
      </c>
      <c r="AG32" s="27">
        <f>MIN(V7_BASE_SMM*AF32,V7_SMM_CAP)</f>
        <v/>
      </c>
      <c r="AH32" s="28">
        <f>1-(1-AG32)^12</f>
        <v/>
      </c>
      <c r="AI32" s="28">
        <f>IFERROR(LN(W32)/(LN(W32)+LN(X32)+LN(Y32)+LN(Z32)+LN(AA32)+LN(AB32)+LN(AC32)+LN(AD32))*(AH32-V7_BASE_CPR),0)</f>
        <v/>
      </c>
      <c r="AJ32" s="28">
        <f>IFERROR(LN(X32)/(LN(W32)+LN(X32)+LN(Y32)+LN(Z32)+LN(AA32)+LN(AB32)+LN(AC32)+LN(AD32))*(AH32-V7_BASE_CPR),0)</f>
        <v/>
      </c>
      <c r="AK32" s="28">
        <f>IFERROR(LN(Y32)/(LN(W32)+LN(X32)+LN(Y32)+LN(Z32)+LN(AA32)+LN(AB32)+LN(AC32)+LN(AD32))*(AH32-V7_BASE_CPR),0)</f>
        <v/>
      </c>
      <c r="AL32" s="28">
        <f>IFERROR(LN(Z32)/(LN(W32)+LN(X32)+LN(Y32)+LN(Z32)+LN(AA32)+LN(AB32)+LN(AC32)+LN(AD32))*(AH32-V7_BASE_CPR),0)</f>
        <v/>
      </c>
      <c r="AM32" s="28">
        <f>IFERROR(LN(AA32)/(LN(W32)+LN(X32)+LN(Y32)+LN(Z32)+LN(AA32)+LN(AB32)+LN(AC32)+LN(AD32))*(AH32-V7_BASE_CPR),0)</f>
        <v/>
      </c>
      <c r="AN32" s="28">
        <f>IFERROR(LN(AB32)/(LN(W32)+LN(X32)+LN(Y32)+LN(Z32)+LN(AA32)+LN(AB32)+LN(AC32)+LN(AD32))*(AH32-V7_BASE_CPR),0)</f>
        <v/>
      </c>
      <c r="AO32" s="28">
        <f>IFERROR(LN(AC32)/(LN(W32)+LN(X32)+LN(Y32)+LN(Z32)+LN(AA32)+LN(AB32)+LN(AC32)+LN(AD32))*(AH32-V7_BASE_CPR),0)</f>
        <v/>
      </c>
      <c r="AP32" s="28">
        <f>IFERROR(LN(AD32)/(LN(W32)+LN(X32)+LN(Y32)+LN(Z32)+LN(AA32)+LN(AB32)+LN(AC32)+LN(AD32))*(AH32-V7_BASE_CPR),0)</f>
        <v/>
      </c>
      <c r="AQ32" s="29">
        <f>V7_BASE_CPR+SUM(AI32:AP32)-AH32</f>
        <v/>
      </c>
    </row>
    <row r="33">
      <c r="A33" s="2" t="inlineStr">
        <is>
          <t>3617X74U7_000000007322280</t>
        </is>
      </c>
      <c r="B33" t="inlineStr">
        <is>
          <t>LUMENT_PRE21</t>
        </is>
      </c>
      <c r="C33" s="2" t="inlineStr">
        <is>
          <t>3617X74U7</t>
        </is>
      </c>
      <c r="D33" t="inlineStr">
        <is>
          <t>LUMENT REAL ESTATE CAPITAL,LLC</t>
        </is>
      </c>
      <c r="E33" t="inlineStr">
        <is>
          <t>232</t>
        </is>
      </c>
      <c r="F33" t="inlineStr">
        <is>
          <t>RP</t>
        </is>
      </c>
      <c r="G33" t="n">
        <v>2017</v>
      </c>
      <c r="H33" t="inlineStr">
        <is>
          <t>202602</t>
        </is>
      </c>
      <c r="I33" s="22" t="n">
        <v>16054037.47</v>
      </c>
      <c r="J33" s="23" t="n">
        <v>3.03</v>
      </c>
      <c r="K33" s="24" t="n">
        <v>447</v>
      </c>
      <c r="L33" s="24" t="n">
        <v>6</v>
      </c>
      <c r="M33" t="n">
        <v>106</v>
      </c>
      <c r="N33" s="25" t="n">
        <v>0</v>
      </c>
      <c r="O33" t="n">
        <v>205205</v>
      </c>
      <c r="P33" t="inlineStr"/>
      <c r="Q33" t="inlineStr">
        <is>
          <t>3896</t>
        </is>
      </c>
      <c r="R33" s="26" t="n">
        <v>0</v>
      </c>
      <c r="S33" t="n">
        <v>0</v>
      </c>
      <c r="T33" s="23">
        <f>LN(1+I33)</f>
        <v/>
      </c>
      <c r="U33" s="24">
        <f>J33*100-K33</f>
        <v/>
      </c>
      <c r="V33" s="24">
        <f>U33-12.5*(L33+1)</f>
        <v/>
      </c>
      <c r="W33" s="26">
        <f>IF(M33&lt;=V7_AGE_KNOT_X_0,V7_AGE_KNOT_Y_0,IF(M33&gt;=V7_AGE_KNOT_X_5,V7_AGE_KNOT_Y_5,IF(M33&lt;=V7_AGE_KNOT_X_1,V7_AGE_KNOT_Y_0+(M33-V7_AGE_KNOT_X_0)/(V7_AGE_KNOT_X_1-V7_AGE_KNOT_X_0)*(V7_AGE_KNOT_Y_1-V7_AGE_KNOT_Y_0),IF(M33&lt;=V7_AGE_KNOT_X_2,V7_AGE_KNOT_Y_1+(M33-V7_AGE_KNOT_X_1)/(V7_AGE_KNOT_X_2-V7_AGE_KNOT_X_1)*(V7_AGE_KNOT_Y_2-V7_AGE_KNOT_Y_1),IF(M33&lt;=V7_AGE_KNOT_X_3,V7_AGE_KNOT_Y_2+(M33-V7_AGE_KNOT_X_2)/(V7_AGE_KNOT_X_3-V7_AGE_KNOT_X_2)*(V7_AGE_KNOT_Y_3-V7_AGE_KNOT_Y_2),IF(M33&lt;=V7_AGE_KNOT_X_4,V7_AGE_KNOT_Y_3+(M33-V7_AGE_KNOT_X_3)/(V7_AGE_KNOT_X_4-V7_AGE_KNOT_X_3)*(V7_AGE_KNOT_Y_4-V7_AGE_KNOT_Y_3),V7_AGE_KNOT_Y_4+(M33-V7_AGE_KNOT_X_4)/(V7_AGE_KNOT_X_5-V7_AGE_KNOT_X_4)*(V7_AGE_KNOT_Y_5-V7_AGE_KNOT_Y_4)))))))</f>
        <v/>
      </c>
      <c r="X33" s="26">
        <f>V7_RATE_FLOOR+V7_RATE_ASYMPTOTE/(1+EXP(-(V33-V7_RATE_MID)/V7_RATE_SLOPE))</f>
        <v/>
      </c>
      <c r="Y33" s="26">
        <f>MAX(V7_SIZE_LOW,MIN(V7_SIZE_HIGH,V7_SIZE_INTERCEPT+V7_SIZE_SLOPE*(T33-V7_SIZE_LOG_ANCHOR)))</f>
        <v/>
      </c>
      <c r="Z33" s="26">
        <f>IF(ISNUMBER(SEARCH("232",E33)),VLOOKUP("232",V7_PROGRAM_TABLE,2,FALSE),IF(ISNUMBER(SEARCH("538",E33)),VLOOKUP("538",V7_PROGRAM_TABLE,2,FALSE),IF(ISNUMBER(SEARCH("223a7",E33)),VLOOKUP("223a7",V7_PROGRAM_TABLE,2,FALSE),IF(ISNUMBER(SEARCH("223f",E33)),VLOOKUP("223f",V7_PROGRAM_TABLE,2,FALSE),V7_PROGRAM_DEFAULT))))</f>
        <v/>
      </c>
      <c r="AA33" s="26">
        <f>IF(S33=1,1+V7_PURPOSE_NC_BUMP*MAX(0,1-ABS(M33-V7_PURPOSE_PEAK_AGE)/V7_PURPOSE_WIDTH),1)</f>
        <v/>
      </c>
      <c r="AB33" s="26">
        <f>IF(AND(IF(OR(P33="",NOT(ISNUMBER(P33))),0,MAX(0,MIN(24,(INT(VALUE(H33)/100)-INT(P33/100))*12+MOD(VALUE(H33),100)-MOD(P33,100))))&gt;0,IF(OR(P33="",NOT(ISNUMBER(P33))),0,MAX(0,MIN(24,(INT(VALUE(H33)/100)-INT(P33/100))*12+MOD(VALUE(H33),100)-MOD(P33,100))))&lt;=12),1+V7_LOCKOUT_AMP*EXP(-(IF(OR(P33="",NOT(ISNUMBER(P33))),0,MAX(0,MIN(24,(INT(VALUE(H33)/100)-INT(P33/100))*12+MOD(VALUE(H33),100)-MOD(P33,100)))))/V7_LOCKOUT_TAU),1)</f>
        <v/>
      </c>
      <c r="AC33" s="26">
        <f>IF(IF(OR(O33="",NOT(ISNUMBER(O33))),360,MAX(0,MIN(480,(INT(O33/100)-INT(VALUE(H33)/100))*12+MOD(O33,100)-MOD(VALUE(H33),100))))&gt;0,1+V7_MTY_AMP*MAX(0,(V7_MTY_CUTOFF-(IF(OR(O33="",NOT(ISNUMBER(O33))),360,MAX(0,MIN(480,(INT(O33/100)-INT(VALUE(H33)/100))*12+MOD(O33,100)-MOD(VALUE(H33),100))))))/V7_MTY_CUTOFF),1)</f>
        <v/>
      </c>
      <c r="AD33" s="26">
        <f>MAX(V7_BURN_FLOOR,1-V7_BURN_SLOPE*MIN(1,MAX(0,R33)))</f>
        <v/>
      </c>
      <c r="AE33" s="26">
        <f>IF(V7_USE_ISSUER=1,IFERROR(VLOOKUP(Q33,V7_ISSUER_TABLE,3,FALSE),1),1)</f>
        <v/>
      </c>
      <c r="AF33" s="26">
        <f>PRODUCT(W33:AE33)</f>
        <v/>
      </c>
      <c r="AG33" s="27">
        <f>MIN(V7_BASE_SMM*AF33,V7_SMM_CAP)</f>
        <v/>
      </c>
      <c r="AH33" s="28">
        <f>1-(1-AG33)^12</f>
        <v/>
      </c>
      <c r="AI33" s="28">
        <f>IFERROR(LN(W33)/(LN(W33)+LN(X33)+LN(Y33)+LN(Z33)+LN(AA33)+LN(AB33)+LN(AC33)+LN(AD33))*(AH33-V7_BASE_CPR),0)</f>
        <v/>
      </c>
      <c r="AJ33" s="28">
        <f>IFERROR(LN(X33)/(LN(W33)+LN(X33)+LN(Y33)+LN(Z33)+LN(AA33)+LN(AB33)+LN(AC33)+LN(AD33))*(AH33-V7_BASE_CPR),0)</f>
        <v/>
      </c>
      <c r="AK33" s="28">
        <f>IFERROR(LN(Y33)/(LN(W33)+LN(X33)+LN(Y33)+LN(Z33)+LN(AA33)+LN(AB33)+LN(AC33)+LN(AD33))*(AH33-V7_BASE_CPR),0)</f>
        <v/>
      </c>
      <c r="AL33" s="28">
        <f>IFERROR(LN(Z33)/(LN(W33)+LN(X33)+LN(Y33)+LN(Z33)+LN(AA33)+LN(AB33)+LN(AC33)+LN(AD33))*(AH33-V7_BASE_CPR),0)</f>
        <v/>
      </c>
      <c r="AM33" s="28">
        <f>IFERROR(LN(AA33)/(LN(W33)+LN(X33)+LN(Y33)+LN(Z33)+LN(AA33)+LN(AB33)+LN(AC33)+LN(AD33))*(AH33-V7_BASE_CPR),0)</f>
        <v/>
      </c>
      <c r="AN33" s="28">
        <f>IFERROR(LN(AB33)/(LN(W33)+LN(X33)+LN(Y33)+LN(Z33)+LN(AA33)+LN(AB33)+LN(AC33)+LN(AD33))*(AH33-V7_BASE_CPR),0)</f>
        <v/>
      </c>
      <c r="AO33" s="28">
        <f>IFERROR(LN(AC33)/(LN(W33)+LN(X33)+LN(Y33)+LN(Z33)+LN(AA33)+LN(AB33)+LN(AC33)+LN(AD33))*(AH33-V7_BASE_CPR),0)</f>
        <v/>
      </c>
      <c r="AP33" s="28">
        <f>IFERROR(LN(AD33)/(LN(W33)+LN(X33)+LN(Y33)+LN(Z33)+LN(AA33)+LN(AB33)+LN(AC33)+LN(AD33))*(AH33-V7_BASE_CPR),0)</f>
        <v/>
      </c>
      <c r="AQ33" s="29">
        <f>V7_BASE_CPR+SUM(AI33:AP33)-AH33</f>
        <v/>
      </c>
    </row>
    <row r="34">
      <c r="A34" s="2" t="inlineStr">
        <is>
          <t>36180KY54_000000004635742</t>
        </is>
      </c>
      <c r="B34" t="inlineStr">
        <is>
          <t>LUMENT_PRE21</t>
        </is>
      </c>
      <c r="C34" s="2" t="inlineStr">
        <is>
          <t>36180KY54</t>
        </is>
      </c>
      <c r="D34" t="inlineStr">
        <is>
          <t>LUMENT REAL ESTATE CAPITAL,LLC</t>
        </is>
      </c>
      <c r="E34" t="inlineStr">
        <is>
          <t>221d4</t>
        </is>
      </c>
      <c r="F34" t="inlineStr">
        <is>
          <t>RP</t>
        </is>
      </c>
      <c r="G34" t="n">
        <v>2013</v>
      </c>
      <c r="H34" t="inlineStr">
        <is>
          <t>202602</t>
        </is>
      </c>
      <c r="I34" s="22" t="n">
        <v>1221401.95</v>
      </c>
      <c r="J34" s="23" t="n">
        <v>3.45</v>
      </c>
      <c r="K34" s="24" t="n">
        <v>447</v>
      </c>
      <c r="L34" s="24" t="n">
        <v>0</v>
      </c>
      <c r="M34" t="n">
        <v>152</v>
      </c>
      <c r="N34" s="25" t="n">
        <v>33</v>
      </c>
      <c r="O34" t="n">
        <v>203301</v>
      </c>
      <c r="P34" t="inlineStr"/>
      <c r="Q34" t="inlineStr">
        <is>
          <t>3896</t>
        </is>
      </c>
      <c r="R34" s="26" t="n">
        <v>0.2171052631578947</v>
      </c>
      <c r="S34" t="n">
        <v>0</v>
      </c>
      <c r="T34" s="23">
        <f>LN(1+I34)</f>
        <v/>
      </c>
      <c r="U34" s="24">
        <f>J34*100-K34</f>
        <v/>
      </c>
      <c r="V34" s="24">
        <f>U34-12.5*(L34+1)</f>
        <v/>
      </c>
      <c r="W34" s="26">
        <f>IF(M34&lt;=V7_AGE_KNOT_X_0,V7_AGE_KNOT_Y_0,IF(M34&gt;=V7_AGE_KNOT_X_5,V7_AGE_KNOT_Y_5,IF(M34&lt;=V7_AGE_KNOT_X_1,V7_AGE_KNOT_Y_0+(M34-V7_AGE_KNOT_X_0)/(V7_AGE_KNOT_X_1-V7_AGE_KNOT_X_0)*(V7_AGE_KNOT_Y_1-V7_AGE_KNOT_Y_0),IF(M34&lt;=V7_AGE_KNOT_X_2,V7_AGE_KNOT_Y_1+(M34-V7_AGE_KNOT_X_1)/(V7_AGE_KNOT_X_2-V7_AGE_KNOT_X_1)*(V7_AGE_KNOT_Y_2-V7_AGE_KNOT_Y_1),IF(M34&lt;=V7_AGE_KNOT_X_3,V7_AGE_KNOT_Y_2+(M34-V7_AGE_KNOT_X_2)/(V7_AGE_KNOT_X_3-V7_AGE_KNOT_X_2)*(V7_AGE_KNOT_Y_3-V7_AGE_KNOT_Y_2),IF(M34&lt;=V7_AGE_KNOT_X_4,V7_AGE_KNOT_Y_3+(M34-V7_AGE_KNOT_X_3)/(V7_AGE_KNOT_X_4-V7_AGE_KNOT_X_3)*(V7_AGE_KNOT_Y_4-V7_AGE_KNOT_Y_3),V7_AGE_KNOT_Y_4+(M34-V7_AGE_KNOT_X_4)/(V7_AGE_KNOT_X_5-V7_AGE_KNOT_X_4)*(V7_AGE_KNOT_Y_5-V7_AGE_KNOT_Y_4)))))))</f>
        <v/>
      </c>
      <c r="X34" s="26">
        <f>V7_RATE_FLOOR+V7_RATE_ASYMPTOTE/(1+EXP(-(V34-V7_RATE_MID)/V7_RATE_SLOPE))</f>
        <v/>
      </c>
      <c r="Y34" s="26">
        <f>MAX(V7_SIZE_LOW,MIN(V7_SIZE_HIGH,V7_SIZE_INTERCEPT+V7_SIZE_SLOPE*(T34-V7_SIZE_LOG_ANCHOR)))</f>
        <v/>
      </c>
      <c r="Z34" s="26">
        <f>IF(ISNUMBER(SEARCH("232",E34)),VLOOKUP("232",V7_PROGRAM_TABLE,2,FALSE),IF(ISNUMBER(SEARCH("538",E34)),VLOOKUP("538",V7_PROGRAM_TABLE,2,FALSE),IF(ISNUMBER(SEARCH("223a7",E34)),VLOOKUP("223a7",V7_PROGRAM_TABLE,2,FALSE),IF(ISNUMBER(SEARCH("223f",E34)),VLOOKUP("223f",V7_PROGRAM_TABLE,2,FALSE),V7_PROGRAM_DEFAULT))))</f>
        <v/>
      </c>
      <c r="AA34" s="26">
        <f>IF(S34=1,1+V7_PURPOSE_NC_BUMP*MAX(0,1-ABS(M34-V7_PURPOSE_PEAK_AGE)/V7_PURPOSE_WIDTH),1)</f>
        <v/>
      </c>
      <c r="AB34" s="26">
        <f>IF(AND(IF(OR(P34="",NOT(ISNUMBER(P34))),0,MAX(0,MIN(24,(INT(VALUE(H34)/100)-INT(P34/100))*12+MOD(VALUE(H34),100)-MOD(P34,100))))&gt;0,IF(OR(P34="",NOT(ISNUMBER(P34))),0,MAX(0,MIN(24,(INT(VALUE(H34)/100)-INT(P34/100))*12+MOD(VALUE(H34),100)-MOD(P34,100))))&lt;=12),1+V7_LOCKOUT_AMP*EXP(-(IF(OR(P34="",NOT(ISNUMBER(P34))),0,MAX(0,MIN(24,(INT(VALUE(H34)/100)-INT(P34/100))*12+MOD(VALUE(H34),100)-MOD(P34,100)))))/V7_LOCKOUT_TAU),1)</f>
        <v/>
      </c>
      <c r="AC34" s="26">
        <f>IF(IF(OR(O34="",NOT(ISNUMBER(O34))),360,MAX(0,MIN(480,(INT(O34/100)-INT(VALUE(H34)/100))*12+MOD(O34,100)-MOD(VALUE(H34),100))))&gt;0,1+V7_MTY_AMP*MAX(0,(V7_MTY_CUTOFF-(IF(OR(O34="",NOT(ISNUMBER(O34))),360,MAX(0,MIN(480,(INT(O34/100)-INT(VALUE(H34)/100))*12+MOD(O34,100)-MOD(VALUE(H34),100))))))/V7_MTY_CUTOFF),1)</f>
        <v/>
      </c>
      <c r="AD34" s="26">
        <f>MAX(V7_BURN_FLOOR,1-V7_BURN_SLOPE*MIN(1,MAX(0,R34)))</f>
        <v/>
      </c>
      <c r="AE34" s="26">
        <f>IF(V7_USE_ISSUER=1,IFERROR(VLOOKUP(Q34,V7_ISSUER_TABLE,3,FALSE),1),1)</f>
        <v/>
      </c>
      <c r="AF34" s="26">
        <f>PRODUCT(W34:AE34)</f>
        <v/>
      </c>
      <c r="AG34" s="27">
        <f>MIN(V7_BASE_SMM*AF34,V7_SMM_CAP)</f>
        <v/>
      </c>
      <c r="AH34" s="28">
        <f>1-(1-AG34)^12</f>
        <v/>
      </c>
      <c r="AI34" s="28">
        <f>IFERROR(LN(W34)/(LN(W34)+LN(X34)+LN(Y34)+LN(Z34)+LN(AA34)+LN(AB34)+LN(AC34)+LN(AD34))*(AH34-V7_BASE_CPR),0)</f>
        <v/>
      </c>
      <c r="AJ34" s="28">
        <f>IFERROR(LN(X34)/(LN(W34)+LN(X34)+LN(Y34)+LN(Z34)+LN(AA34)+LN(AB34)+LN(AC34)+LN(AD34))*(AH34-V7_BASE_CPR),0)</f>
        <v/>
      </c>
      <c r="AK34" s="28">
        <f>IFERROR(LN(Y34)/(LN(W34)+LN(X34)+LN(Y34)+LN(Z34)+LN(AA34)+LN(AB34)+LN(AC34)+LN(AD34))*(AH34-V7_BASE_CPR),0)</f>
        <v/>
      </c>
      <c r="AL34" s="28">
        <f>IFERROR(LN(Z34)/(LN(W34)+LN(X34)+LN(Y34)+LN(Z34)+LN(AA34)+LN(AB34)+LN(AC34)+LN(AD34))*(AH34-V7_BASE_CPR),0)</f>
        <v/>
      </c>
      <c r="AM34" s="28">
        <f>IFERROR(LN(AA34)/(LN(W34)+LN(X34)+LN(Y34)+LN(Z34)+LN(AA34)+LN(AB34)+LN(AC34)+LN(AD34))*(AH34-V7_BASE_CPR),0)</f>
        <v/>
      </c>
      <c r="AN34" s="28">
        <f>IFERROR(LN(AB34)/(LN(W34)+LN(X34)+LN(Y34)+LN(Z34)+LN(AA34)+LN(AB34)+LN(AC34)+LN(AD34))*(AH34-V7_BASE_CPR),0)</f>
        <v/>
      </c>
      <c r="AO34" s="28">
        <f>IFERROR(LN(AC34)/(LN(W34)+LN(X34)+LN(Y34)+LN(Z34)+LN(AA34)+LN(AB34)+LN(AC34)+LN(AD34))*(AH34-V7_BASE_CPR),0)</f>
        <v/>
      </c>
      <c r="AP34" s="28">
        <f>IFERROR(LN(AD34)/(LN(W34)+LN(X34)+LN(Y34)+LN(Z34)+LN(AA34)+LN(AB34)+LN(AC34)+LN(AD34))*(AH34-V7_BASE_CPR),0)</f>
        <v/>
      </c>
      <c r="AQ34" s="29">
        <f>V7_BASE_CPR+SUM(AI34:AP34)-AH34</f>
        <v/>
      </c>
    </row>
    <row r="35">
      <c r="A35" s="2" t="inlineStr">
        <is>
          <t>3617Q5XK9_000000011335892</t>
        </is>
      </c>
      <c r="B35" t="inlineStr">
        <is>
          <t>LUMENT_PRE21</t>
        </is>
      </c>
      <c r="C35" s="2" t="inlineStr">
        <is>
          <t>3617Q5XK9</t>
        </is>
      </c>
      <c r="D35" t="inlineStr">
        <is>
          <t>LUMENT REAL ESTATE CAPITAL,LLC</t>
        </is>
      </c>
      <c r="E35" t="inlineStr">
        <is>
          <t>221d4</t>
        </is>
      </c>
      <c r="F35" t="inlineStr">
        <is>
          <t>RP</t>
        </is>
      </c>
      <c r="G35" t="n">
        <v>2020</v>
      </c>
      <c r="H35" t="inlineStr">
        <is>
          <t>202602</t>
        </is>
      </c>
      <c r="I35" s="22" t="n">
        <v>17268555.72</v>
      </c>
      <c r="J35" s="23" t="n">
        <v>2.6</v>
      </c>
      <c r="K35" s="24" t="n">
        <v>447</v>
      </c>
      <c r="L35" s="24" t="n">
        <v>5</v>
      </c>
      <c r="M35" t="n">
        <v>64</v>
      </c>
      <c r="N35" s="25" t="n">
        <v>0</v>
      </c>
      <c r="O35" t="n">
        <v>206011</v>
      </c>
      <c r="P35" t="inlineStr"/>
      <c r="Q35" t="inlineStr">
        <is>
          <t>3896</t>
        </is>
      </c>
      <c r="R35" s="26" t="n">
        <v>0</v>
      </c>
      <c r="S35" t="n">
        <v>0</v>
      </c>
      <c r="T35" s="23">
        <f>LN(1+I35)</f>
        <v/>
      </c>
      <c r="U35" s="24">
        <f>J35*100-K35</f>
        <v/>
      </c>
      <c r="V35" s="24">
        <f>U35-12.5*(L35+1)</f>
        <v/>
      </c>
      <c r="W35" s="26">
        <f>IF(M35&lt;=V7_AGE_KNOT_X_0,V7_AGE_KNOT_Y_0,IF(M35&gt;=V7_AGE_KNOT_X_5,V7_AGE_KNOT_Y_5,IF(M35&lt;=V7_AGE_KNOT_X_1,V7_AGE_KNOT_Y_0+(M35-V7_AGE_KNOT_X_0)/(V7_AGE_KNOT_X_1-V7_AGE_KNOT_X_0)*(V7_AGE_KNOT_Y_1-V7_AGE_KNOT_Y_0),IF(M35&lt;=V7_AGE_KNOT_X_2,V7_AGE_KNOT_Y_1+(M35-V7_AGE_KNOT_X_1)/(V7_AGE_KNOT_X_2-V7_AGE_KNOT_X_1)*(V7_AGE_KNOT_Y_2-V7_AGE_KNOT_Y_1),IF(M35&lt;=V7_AGE_KNOT_X_3,V7_AGE_KNOT_Y_2+(M35-V7_AGE_KNOT_X_2)/(V7_AGE_KNOT_X_3-V7_AGE_KNOT_X_2)*(V7_AGE_KNOT_Y_3-V7_AGE_KNOT_Y_2),IF(M35&lt;=V7_AGE_KNOT_X_4,V7_AGE_KNOT_Y_3+(M35-V7_AGE_KNOT_X_3)/(V7_AGE_KNOT_X_4-V7_AGE_KNOT_X_3)*(V7_AGE_KNOT_Y_4-V7_AGE_KNOT_Y_3),V7_AGE_KNOT_Y_4+(M35-V7_AGE_KNOT_X_4)/(V7_AGE_KNOT_X_5-V7_AGE_KNOT_X_4)*(V7_AGE_KNOT_Y_5-V7_AGE_KNOT_Y_4)))))))</f>
        <v/>
      </c>
      <c r="X35" s="26">
        <f>V7_RATE_FLOOR+V7_RATE_ASYMPTOTE/(1+EXP(-(V35-V7_RATE_MID)/V7_RATE_SLOPE))</f>
        <v/>
      </c>
      <c r="Y35" s="26">
        <f>MAX(V7_SIZE_LOW,MIN(V7_SIZE_HIGH,V7_SIZE_INTERCEPT+V7_SIZE_SLOPE*(T35-V7_SIZE_LOG_ANCHOR)))</f>
        <v/>
      </c>
      <c r="Z35" s="26">
        <f>IF(ISNUMBER(SEARCH("232",E35)),VLOOKUP("232",V7_PROGRAM_TABLE,2,FALSE),IF(ISNUMBER(SEARCH("538",E35)),VLOOKUP("538",V7_PROGRAM_TABLE,2,FALSE),IF(ISNUMBER(SEARCH("223a7",E35)),VLOOKUP("223a7",V7_PROGRAM_TABLE,2,FALSE),IF(ISNUMBER(SEARCH("223f",E35)),VLOOKUP("223f",V7_PROGRAM_TABLE,2,FALSE),V7_PROGRAM_DEFAULT))))</f>
        <v/>
      </c>
      <c r="AA35" s="26">
        <f>IF(S35=1,1+V7_PURPOSE_NC_BUMP*MAX(0,1-ABS(M35-V7_PURPOSE_PEAK_AGE)/V7_PURPOSE_WIDTH),1)</f>
        <v/>
      </c>
      <c r="AB35" s="26">
        <f>IF(AND(IF(OR(P35="",NOT(ISNUMBER(P35))),0,MAX(0,MIN(24,(INT(VALUE(H35)/100)-INT(P35/100))*12+MOD(VALUE(H35),100)-MOD(P35,100))))&gt;0,IF(OR(P35="",NOT(ISNUMBER(P35))),0,MAX(0,MIN(24,(INT(VALUE(H35)/100)-INT(P35/100))*12+MOD(VALUE(H35),100)-MOD(P35,100))))&lt;=12),1+V7_LOCKOUT_AMP*EXP(-(IF(OR(P35="",NOT(ISNUMBER(P35))),0,MAX(0,MIN(24,(INT(VALUE(H35)/100)-INT(P35/100))*12+MOD(VALUE(H35),100)-MOD(P35,100)))))/V7_LOCKOUT_TAU),1)</f>
        <v/>
      </c>
      <c r="AC35" s="26">
        <f>IF(IF(OR(O35="",NOT(ISNUMBER(O35))),360,MAX(0,MIN(480,(INT(O35/100)-INT(VALUE(H35)/100))*12+MOD(O35,100)-MOD(VALUE(H35),100))))&gt;0,1+V7_MTY_AMP*MAX(0,(V7_MTY_CUTOFF-(IF(OR(O35="",NOT(ISNUMBER(O35))),360,MAX(0,MIN(480,(INT(O35/100)-INT(VALUE(H35)/100))*12+MOD(O35,100)-MOD(VALUE(H35),100))))))/V7_MTY_CUTOFF),1)</f>
        <v/>
      </c>
      <c r="AD35" s="26">
        <f>MAX(V7_BURN_FLOOR,1-V7_BURN_SLOPE*MIN(1,MAX(0,R35)))</f>
        <v/>
      </c>
      <c r="AE35" s="26">
        <f>IF(V7_USE_ISSUER=1,IFERROR(VLOOKUP(Q35,V7_ISSUER_TABLE,3,FALSE),1),1)</f>
        <v/>
      </c>
      <c r="AF35" s="26">
        <f>PRODUCT(W35:AE35)</f>
        <v/>
      </c>
      <c r="AG35" s="27">
        <f>MIN(V7_BASE_SMM*AF35,V7_SMM_CAP)</f>
        <v/>
      </c>
      <c r="AH35" s="28">
        <f>1-(1-AG35)^12</f>
        <v/>
      </c>
      <c r="AI35" s="28">
        <f>IFERROR(LN(W35)/(LN(W35)+LN(X35)+LN(Y35)+LN(Z35)+LN(AA35)+LN(AB35)+LN(AC35)+LN(AD35))*(AH35-V7_BASE_CPR),0)</f>
        <v/>
      </c>
      <c r="AJ35" s="28">
        <f>IFERROR(LN(X35)/(LN(W35)+LN(X35)+LN(Y35)+LN(Z35)+LN(AA35)+LN(AB35)+LN(AC35)+LN(AD35))*(AH35-V7_BASE_CPR),0)</f>
        <v/>
      </c>
      <c r="AK35" s="28">
        <f>IFERROR(LN(Y35)/(LN(W35)+LN(X35)+LN(Y35)+LN(Z35)+LN(AA35)+LN(AB35)+LN(AC35)+LN(AD35))*(AH35-V7_BASE_CPR),0)</f>
        <v/>
      </c>
      <c r="AL35" s="28">
        <f>IFERROR(LN(Z35)/(LN(W35)+LN(X35)+LN(Y35)+LN(Z35)+LN(AA35)+LN(AB35)+LN(AC35)+LN(AD35))*(AH35-V7_BASE_CPR),0)</f>
        <v/>
      </c>
      <c r="AM35" s="28">
        <f>IFERROR(LN(AA35)/(LN(W35)+LN(X35)+LN(Y35)+LN(Z35)+LN(AA35)+LN(AB35)+LN(AC35)+LN(AD35))*(AH35-V7_BASE_CPR),0)</f>
        <v/>
      </c>
      <c r="AN35" s="28">
        <f>IFERROR(LN(AB35)/(LN(W35)+LN(X35)+LN(Y35)+LN(Z35)+LN(AA35)+LN(AB35)+LN(AC35)+LN(AD35))*(AH35-V7_BASE_CPR),0)</f>
        <v/>
      </c>
      <c r="AO35" s="28">
        <f>IFERROR(LN(AC35)/(LN(W35)+LN(X35)+LN(Y35)+LN(Z35)+LN(AA35)+LN(AB35)+LN(AC35)+LN(AD35))*(AH35-V7_BASE_CPR),0)</f>
        <v/>
      </c>
      <c r="AP35" s="28">
        <f>IFERROR(LN(AD35)/(LN(W35)+LN(X35)+LN(Y35)+LN(Z35)+LN(AA35)+LN(AB35)+LN(AC35)+LN(AD35))*(AH35-V7_BASE_CPR),0)</f>
        <v/>
      </c>
      <c r="AQ35" s="29">
        <f>V7_BASE_CPR+SUM(AI35:AP35)-AH35</f>
        <v/>
      </c>
    </row>
    <row r="36">
      <c r="A36" s="2" t="inlineStr">
        <is>
          <t>36196VRU5_000000004622096</t>
        </is>
      </c>
      <c r="B36" t="inlineStr">
        <is>
          <t>LUMENT_PRE21</t>
        </is>
      </c>
      <c r="C36" s="2" t="inlineStr">
        <is>
          <t>36196VRU5</t>
        </is>
      </c>
      <c r="D36" t="inlineStr">
        <is>
          <t>LUMENT REAL ESTATE CAPITAL,LLC</t>
        </is>
      </c>
      <c r="E36" t="inlineStr">
        <is>
          <t>232</t>
        </is>
      </c>
      <c r="F36" t="inlineStr">
        <is>
          <t>RP</t>
        </is>
      </c>
      <c r="G36" t="n">
        <v>2017</v>
      </c>
      <c r="H36" t="inlineStr">
        <is>
          <t>202602</t>
        </is>
      </c>
      <c r="I36" s="22" t="n">
        <v>13590843.4</v>
      </c>
      <c r="J36" s="23" t="n">
        <v>3.51</v>
      </c>
      <c r="K36" s="24" t="n">
        <v>447</v>
      </c>
      <c r="L36" s="24" t="n">
        <v>3</v>
      </c>
      <c r="M36" t="n">
        <v>107</v>
      </c>
      <c r="N36" s="25" t="n">
        <v>25</v>
      </c>
      <c r="O36" t="n">
        <v>205204</v>
      </c>
      <c r="P36" t="inlineStr"/>
      <c r="Q36" t="inlineStr">
        <is>
          <t>3896</t>
        </is>
      </c>
      <c r="R36" s="26" t="n">
        <v>0.2336448598130841</v>
      </c>
      <c r="S36" t="n">
        <v>0</v>
      </c>
      <c r="T36" s="23">
        <f>LN(1+I36)</f>
        <v/>
      </c>
      <c r="U36" s="24">
        <f>J36*100-K36</f>
        <v/>
      </c>
      <c r="V36" s="24">
        <f>U36-12.5*(L36+1)</f>
        <v/>
      </c>
      <c r="W36" s="26">
        <f>IF(M36&lt;=V7_AGE_KNOT_X_0,V7_AGE_KNOT_Y_0,IF(M36&gt;=V7_AGE_KNOT_X_5,V7_AGE_KNOT_Y_5,IF(M36&lt;=V7_AGE_KNOT_X_1,V7_AGE_KNOT_Y_0+(M36-V7_AGE_KNOT_X_0)/(V7_AGE_KNOT_X_1-V7_AGE_KNOT_X_0)*(V7_AGE_KNOT_Y_1-V7_AGE_KNOT_Y_0),IF(M36&lt;=V7_AGE_KNOT_X_2,V7_AGE_KNOT_Y_1+(M36-V7_AGE_KNOT_X_1)/(V7_AGE_KNOT_X_2-V7_AGE_KNOT_X_1)*(V7_AGE_KNOT_Y_2-V7_AGE_KNOT_Y_1),IF(M36&lt;=V7_AGE_KNOT_X_3,V7_AGE_KNOT_Y_2+(M36-V7_AGE_KNOT_X_2)/(V7_AGE_KNOT_X_3-V7_AGE_KNOT_X_2)*(V7_AGE_KNOT_Y_3-V7_AGE_KNOT_Y_2),IF(M36&lt;=V7_AGE_KNOT_X_4,V7_AGE_KNOT_Y_3+(M36-V7_AGE_KNOT_X_3)/(V7_AGE_KNOT_X_4-V7_AGE_KNOT_X_3)*(V7_AGE_KNOT_Y_4-V7_AGE_KNOT_Y_3),V7_AGE_KNOT_Y_4+(M36-V7_AGE_KNOT_X_4)/(V7_AGE_KNOT_X_5-V7_AGE_KNOT_X_4)*(V7_AGE_KNOT_Y_5-V7_AGE_KNOT_Y_4)))))))</f>
        <v/>
      </c>
      <c r="X36" s="26">
        <f>V7_RATE_FLOOR+V7_RATE_ASYMPTOTE/(1+EXP(-(V36-V7_RATE_MID)/V7_RATE_SLOPE))</f>
        <v/>
      </c>
      <c r="Y36" s="26">
        <f>MAX(V7_SIZE_LOW,MIN(V7_SIZE_HIGH,V7_SIZE_INTERCEPT+V7_SIZE_SLOPE*(T36-V7_SIZE_LOG_ANCHOR)))</f>
        <v/>
      </c>
      <c r="Z36" s="26">
        <f>IF(ISNUMBER(SEARCH("232",E36)),VLOOKUP("232",V7_PROGRAM_TABLE,2,FALSE),IF(ISNUMBER(SEARCH("538",E36)),VLOOKUP("538",V7_PROGRAM_TABLE,2,FALSE),IF(ISNUMBER(SEARCH("223a7",E36)),VLOOKUP("223a7",V7_PROGRAM_TABLE,2,FALSE),IF(ISNUMBER(SEARCH("223f",E36)),VLOOKUP("223f",V7_PROGRAM_TABLE,2,FALSE),V7_PROGRAM_DEFAULT))))</f>
        <v/>
      </c>
      <c r="AA36" s="26">
        <f>IF(S36=1,1+V7_PURPOSE_NC_BUMP*MAX(0,1-ABS(M36-V7_PURPOSE_PEAK_AGE)/V7_PURPOSE_WIDTH),1)</f>
        <v/>
      </c>
      <c r="AB36" s="26">
        <f>IF(AND(IF(OR(P36="",NOT(ISNUMBER(P36))),0,MAX(0,MIN(24,(INT(VALUE(H36)/100)-INT(P36/100))*12+MOD(VALUE(H36),100)-MOD(P36,100))))&gt;0,IF(OR(P36="",NOT(ISNUMBER(P36))),0,MAX(0,MIN(24,(INT(VALUE(H36)/100)-INT(P36/100))*12+MOD(VALUE(H36),100)-MOD(P36,100))))&lt;=12),1+V7_LOCKOUT_AMP*EXP(-(IF(OR(P36="",NOT(ISNUMBER(P36))),0,MAX(0,MIN(24,(INT(VALUE(H36)/100)-INT(P36/100))*12+MOD(VALUE(H36),100)-MOD(P36,100)))))/V7_LOCKOUT_TAU),1)</f>
        <v/>
      </c>
      <c r="AC36" s="26">
        <f>IF(IF(OR(O36="",NOT(ISNUMBER(O36))),360,MAX(0,MIN(480,(INT(O36/100)-INT(VALUE(H36)/100))*12+MOD(O36,100)-MOD(VALUE(H36),100))))&gt;0,1+V7_MTY_AMP*MAX(0,(V7_MTY_CUTOFF-(IF(OR(O36="",NOT(ISNUMBER(O36))),360,MAX(0,MIN(480,(INT(O36/100)-INT(VALUE(H36)/100))*12+MOD(O36,100)-MOD(VALUE(H36),100))))))/V7_MTY_CUTOFF),1)</f>
        <v/>
      </c>
      <c r="AD36" s="26">
        <f>MAX(V7_BURN_FLOOR,1-V7_BURN_SLOPE*MIN(1,MAX(0,R36)))</f>
        <v/>
      </c>
      <c r="AE36" s="26">
        <f>IF(V7_USE_ISSUER=1,IFERROR(VLOOKUP(Q36,V7_ISSUER_TABLE,3,FALSE),1),1)</f>
        <v/>
      </c>
      <c r="AF36" s="26">
        <f>PRODUCT(W36:AE36)</f>
        <v/>
      </c>
      <c r="AG36" s="27">
        <f>MIN(V7_BASE_SMM*AF36,V7_SMM_CAP)</f>
        <v/>
      </c>
      <c r="AH36" s="28">
        <f>1-(1-AG36)^12</f>
        <v/>
      </c>
      <c r="AI36" s="28">
        <f>IFERROR(LN(W36)/(LN(W36)+LN(X36)+LN(Y36)+LN(Z36)+LN(AA36)+LN(AB36)+LN(AC36)+LN(AD36))*(AH36-V7_BASE_CPR),0)</f>
        <v/>
      </c>
      <c r="AJ36" s="28">
        <f>IFERROR(LN(X36)/(LN(W36)+LN(X36)+LN(Y36)+LN(Z36)+LN(AA36)+LN(AB36)+LN(AC36)+LN(AD36))*(AH36-V7_BASE_CPR),0)</f>
        <v/>
      </c>
      <c r="AK36" s="28">
        <f>IFERROR(LN(Y36)/(LN(W36)+LN(X36)+LN(Y36)+LN(Z36)+LN(AA36)+LN(AB36)+LN(AC36)+LN(AD36))*(AH36-V7_BASE_CPR),0)</f>
        <v/>
      </c>
      <c r="AL36" s="28">
        <f>IFERROR(LN(Z36)/(LN(W36)+LN(X36)+LN(Y36)+LN(Z36)+LN(AA36)+LN(AB36)+LN(AC36)+LN(AD36))*(AH36-V7_BASE_CPR),0)</f>
        <v/>
      </c>
      <c r="AM36" s="28">
        <f>IFERROR(LN(AA36)/(LN(W36)+LN(X36)+LN(Y36)+LN(Z36)+LN(AA36)+LN(AB36)+LN(AC36)+LN(AD36))*(AH36-V7_BASE_CPR),0)</f>
        <v/>
      </c>
      <c r="AN36" s="28">
        <f>IFERROR(LN(AB36)/(LN(W36)+LN(X36)+LN(Y36)+LN(Z36)+LN(AA36)+LN(AB36)+LN(AC36)+LN(AD36))*(AH36-V7_BASE_CPR),0)</f>
        <v/>
      </c>
      <c r="AO36" s="28">
        <f>IFERROR(LN(AC36)/(LN(W36)+LN(X36)+LN(Y36)+LN(Z36)+LN(AA36)+LN(AB36)+LN(AC36)+LN(AD36))*(AH36-V7_BASE_CPR),0)</f>
        <v/>
      </c>
      <c r="AP36" s="28">
        <f>IFERROR(LN(AD36)/(LN(W36)+LN(X36)+LN(Y36)+LN(Z36)+LN(AA36)+LN(AB36)+LN(AC36)+LN(AD36))*(AH36-V7_BASE_CPR),0)</f>
        <v/>
      </c>
      <c r="AQ36" s="29">
        <f>V7_BASE_CPR+SUM(AI36:AP36)-AH36</f>
        <v/>
      </c>
    </row>
    <row r="37">
      <c r="A37" s="2" t="inlineStr">
        <is>
          <t>3617Q5WR5_000000008335768</t>
        </is>
      </c>
      <c r="B37" t="inlineStr">
        <is>
          <t>LUMENT_PRE21</t>
        </is>
      </c>
      <c r="C37" s="2" t="inlineStr">
        <is>
          <t>3617Q5WR5</t>
        </is>
      </c>
      <c r="D37" t="inlineStr">
        <is>
          <t>LUMENT REAL ESTATE CAPITAL,LLC</t>
        </is>
      </c>
      <c r="E37" t="inlineStr">
        <is>
          <t>221d4</t>
        </is>
      </c>
      <c r="F37" t="inlineStr">
        <is>
          <t>NC</t>
        </is>
      </c>
      <c r="G37" t="n">
        <v>2020</v>
      </c>
      <c r="H37" t="inlineStr">
        <is>
          <t>202602</t>
        </is>
      </c>
      <c r="I37" s="22" t="n">
        <v>8926065.5</v>
      </c>
      <c r="J37" s="23" t="n">
        <v>3.05</v>
      </c>
      <c r="K37" s="24" t="n">
        <v>447</v>
      </c>
      <c r="L37" s="24" t="n">
        <v>7</v>
      </c>
      <c r="M37" t="n">
        <v>66</v>
      </c>
      <c r="N37" s="25" t="n">
        <v>0</v>
      </c>
      <c r="O37" t="n">
        <v>206206</v>
      </c>
      <c r="P37" t="inlineStr"/>
      <c r="Q37" t="inlineStr">
        <is>
          <t>3896</t>
        </is>
      </c>
      <c r="R37" s="26" t="n">
        <v>0</v>
      </c>
      <c r="S37" t="n">
        <v>1</v>
      </c>
      <c r="T37" s="23">
        <f>LN(1+I37)</f>
        <v/>
      </c>
      <c r="U37" s="24">
        <f>J37*100-K37</f>
        <v/>
      </c>
      <c r="V37" s="24">
        <f>U37-12.5*(L37+1)</f>
        <v/>
      </c>
      <c r="W37" s="26">
        <f>IF(M37&lt;=V7_AGE_KNOT_X_0,V7_AGE_KNOT_Y_0,IF(M37&gt;=V7_AGE_KNOT_X_5,V7_AGE_KNOT_Y_5,IF(M37&lt;=V7_AGE_KNOT_X_1,V7_AGE_KNOT_Y_0+(M37-V7_AGE_KNOT_X_0)/(V7_AGE_KNOT_X_1-V7_AGE_KNOT_X_0)*(V7_AGE_KNOT_Y_1-V7_AGE_KNOT_Y_0),IF(M37&lt;=V7_AGE_KNOT_X_2,V7_AGE_KNOT_Y_1+(M37-V7_AGE_KNOT_X_1)/(V7_AGE_KNOT_X_2-V7_AGE_KNOT_X_1)*(V7_AGE_KNOT_Y_2-V7_AGE_KNOT_Y_1),IF(M37&lt;=V7_AGE_KNOT_X_3,V7_AGE_KNOT_Y_2+(M37-V7_AGE_KNOT_X_2)/(V7_AGE_KNOT_X_3-V7_AGE_KNOT_X_2)*(V7_AGE_KNOT_Y_3-V7_AGE_KNOT_Y_2),IF(M37&lt;=V7_AGE_KNOT_X_4,V7_AGE_KNOT_Y_3+(M37-V7_AGE_KNOT_X_3)/(V7_AGE_KNOT_X_4-V7_AGE_KNOT_X_3)*(V7_AGE_KNOT_Y_4-V7_AGE_KNOT_Y_3),V7_AGE_KNOT_Y_4+(M37-V7_AGE_KNOT_X_4)/(V7_AGE_KNOT_X_5-V7_AGE_KNOT_X_4)*(V7_AGE_KNOT_Y_5-V7_AGE_KNOT_Y_4)))))))</f>
        <v/>
      </c>
      <c r="X37" s="26">
        <f>V7_RATE_FLOOR+V7_RATE_ASYMPTOTE/(1+EXP(-(V37-V7_RATE_MID)/V7_RATE_SLOPE))</f>
        <v/>
      </c>
      <c r="Y37" s="26">
        <f>MAX(V7_SIZE_LOW,MIN(V7_SIZE_HIGH,V7_SIZE_INTERCEPT+V7_SIZE_SLOPE*(T37-V7_SIZE_LOG_ANCHOR)))</f>
        <v/>
      </c>
      <c r="Z37" s="26">
        <f>IF(ISNUMBER(SEARCH("232",E37)),VLOOKUP("232",V7_PROGRAM_TABLE,2,FALSE),IF(ISNUMBER(SEARCH("538",E37)),VLOOKUP("538",V7_PROGRAM_TABLE,2,FALSE),IF(ISNUMBER(SEARCH("223a7",E37)),VLOOKUP("223a7",V7_PROGRAM_TABLE,2,FALSE),IF(ISNUMBER(SEARCH("223f",E37)),VLOOKUP("223f",V7_PROGRAM_TABLE,2,FALSE),V7_PROGRAM_DEFAULT))))</f>
        <v/>
      </c>
      <c r="AA37" s="26">
        <f>IF(S37=1,1+V7_PURPOSE_NC_BUMP*MAX(0,1-ABS(M37-V7_PURPOSE_PEAK_AGE)/V7_PURPOSE_WIDTH),1)</f>
        <v/>
      </c>
      <c r="AB37" s="26">
        <f>IF(AND(IF(OR(P37="",NOT(ISNUMBER(P37))),0,MAX(0,MIN(24,(INT(VALUE(H37)/100)-INT(P37/100))*12+MOD(VALUE(H37),100)-MOD(P37,100))))&gt;0,IF(OR(P37="",NOT(ISNUMBER(P37))),0,MAX(0,MIN(24,(INT(VALUE(H37)/100)-INT(P37/100))*12+MOD(VALUE(H37),100)-MOD(P37,100))))&lt;=12),1+V7_LOCKOUT_AMP*EXP(-(IF(OR(P37="",NOT(ISNUMBER(P37))),0,MAX(0,MIN(24,(INT(VALUE(H37)/100)-INT(P37/100))*12+MOD(VALUE(H37),100)-MOD(P37,100)))))/V7_LOCKOUT_TAU),1)</f>
        <v/>
      </c>
      <c r="AC37" s="26">
        <f>IF(IF(OR(O37="",NOT(ISNUMBER(O37))),360,MAX(0,MIN(480,(INT(O37/100)-INT(VALUE(H37)/100))*12+MOD(O37,100)-MOD(VALUE(H37),100))))&gt;0,1+V7_MTY_AMP*MAX(0,(V7_MTY_CUTOFF-(IF(OR(O37="",NOT(ISNUMBER(O37))),360,MAX(0,MIN(480,(INT(O37/100)-INT(VALUE(H37)/100))*12+MOD(O37,100)-MOD(VALUE(H37),100))))))/V7_MTY_CUTOFF),1)</f>
        <v/>
      </c>
      <c r="AD37" s="26">
        <f>MAX(V7_BURN_FLOOR,1-V7_BURN_SLOPE*MIN(1,MAX(0,R37)))</f>
        <v/>
      </c>
      <c r="AE37" s="26">
        <f>IF(V7_USE_ISSUER=1,IFERROR(VLOOKUP(Q37,V7_ISSUER_TABLE,3,FALSE),1),1)</f>
        <v/>
      </c>
      <c r="AF37" s="26">
        <f>PRODUCT(W37:AE37)</f>
        <v/>
      </c>
      <c r="AG37" s="27">
        <f>MIN(V7_BASE_SMM*AF37,V7_SMM_CAP)</f>
        <v/>
      </c>
      <c r="AH37" s="28">
        <f>1-(1-AG37)^12</f>
        <v/>
      </c>
      <c r="AI37" s="28">
        <f>IFERROR(LN(W37)/(LN(W37)+LN(X37)+LN(Y37)+LN(Z37)+LN(AA37)+LN(AB37)+LN(AC37)+LN(AD37))*(AH37-V7_BASE_CPR),0)</f>
        <v/>
      </c>
      <c r="AJ37" s="28">
        <f>IFERROR(LN(X37)/(LN(W37)+LN(X37)+LN(Y37)+LN(Z37)+LN(AA37)+LN(AB37)+LN(AC37)+LN(AD37))*(AH37-V7_BASE_CPR),0)</f>
        <v/>
      </c>
      <c r="AK37" s="28">
        <f>IFERROR(LN(Y37)/(LN(W37)+LN(X37)+LN(Y37)+LN(Z37)+LN(AA37)+LN(AB37)+LN(AC37)+LN(AD37))*(AH37-V7_BASE_CPR),0)</f>
        <v/>
      </c>
      <c r="AL37" s="28">
        <f>IFERROR(LN(Z37)/(LN(W37)+LN(X37)+LN(Y37)+LN(Z37)+LN(AA37)+LN(AB37)+LN(AC37)+LN(AD37))*(AH37-V7_BASE_CPR),0)</f>
        <v/>
      </c>
      <c r="AM37" s="28">
        <f>IFERROR(LN(AA37)/(LN(W37)+LN(X37)+LN(Y37)+LN(Z37)+LN(AA37)+LN(AB37)+LN(AC37)+LN(AD37))*(AH37-V7_BASE_CPR),0)</f>
        <v/>
      </c>
      <c r="AN37" s="28">
        <f>IFERROR(LN(AB37)/(LN(W37)+LN(X37)+LN(Y37)+LN(Z37)+LN(AA37)+LN(AB37)+LN(AC37)+LN(AD37))*(AH37-V7_BASE_CPR),0)</f>
        <v/>
      </c>
      <c r="AO37" s="28">
        <f>IFERROR(LN(AC37)/(LN(W37)+LN(X37)+LN(Y37)+LN(Z37)+LN(AA37)+LN(AB37)+LN(AC37)+LN(AD37))*(AH37-V7_BASE_CPR),0)</f>
        <v/>
      </c>
      <c r="AP37" s="28">
        <f>IFERROR(LN(AD37)/(LN(W37)+LN(X37)+LN(Y37)+LN(Z37)+LN(AA37)+LN(AB37)+LN(AC37)+LN(AD37))*(AH37-V7_BASE_CPR),0)</f>
        <v/>
      </c>
      <c r="AQ37" s="29">
        <f>V7_BASE_CPR+SUM(AI37:AP37)-AH37</f>
        <v/>
      </c>
    </row>
    <row r="38">
      <c r="A38" s="2" t="inlineStr">
        <is>
          <t>3617U85F0_000000006535598</t>
        </is>
      </c>
      <c r="B38" t="inlineStr">
        <is>
          <t>BERKADIA_PRE21</t>
        </is>
      </c>
      <c r="C38" s="2" t="inlineStr">
        <is>
          <t>3617U85F0</t>
        </is>
      </c>
      <c r="D38" t="inlineStr">
        <is>
          <t>BERKADIA COMMERCIAL MORTGAGE, LLC</t>
        </is>
      </c>
      <c r="E38" t="inlineStr">
        <is>
          <t>221d4</t>
        </is>
      </c>
      <c r="F38" t="inlineStr">
        <is>
          <t>RP</t>
        </is>
      </c>
      <c r="G38" t="n">
        <v>2003</v>
      </c>
      <c r="H38" t="inlineStr">
        <is>
          <t>202602</t>
        </is>
      </c>
      <c r="I38" s="22" t="n">
        <v>500721.89</v>
      </c>
      <c r="J38" s="23" t="n">
        <v>2.45</v>
      </c>
      <c r="K38" s="24" t="n">
        <v>447</v>
      </c>
      <c r="L38" s="24" t="n">
        <v>6</v>
      </c>
      <c r="M38" t="n">
        <v>268</v>
      </c>
      <c r="N38" s="25" t="n">
        <v>13</v>
      </c>
      <c r="O38" t="n">
        <v>203311</v>
      </c>
      <c r="P38" t="inlineStr"/>
      <c r="Q38" t="inlineStr">
        <is>
          <t>4082</t>
        </is>
      </c>
      <c r="R38" s="26" t="n">
        <v>0.04850746268656717</v>
      </c>
      <c r="S38" t="n">
        <v>0</v>
      </c>
      <c r="T38" s="23">
        <f>LN(1+I38)</f>
        <v/>
      </c>
      <c r="U38" s="24">
        <f>J38*100-K38</f>
        <v/>
      </c>
      <c r="V38" s="24">
        <f>U38-12.5*(L38+1)</f>
        <v/>
      </c>
      <c r="W38" s="26">
        <f>IF(M38&lt;=V7_AGE_KNOT_X_0,V7_AGE_KNOT_Y_0,IF(M38&gt;=V7_AGE_KNOT_X_5,V7_AGE_KNOT_Y_5,IF(M38&lt;=V7_AGE_KNOT_X_1,V7_AGE_KNOT_Y_0+(M38-V7_AGE_KNOT_X_0)/(V7_AGE_KNOT_X_1-V7_AGE_KNOT_X_0)*(V7_AGE_KNOT_Y_1-V7_AGE_KNOT_Y_0),IF(M38&lt;=V7_AGE_KNOT_X_2,V7_AGE_KNOT_Y_1+(M38-V7_AGE_KNOT_X_1)/(V7_AGE_KNOT_X_2-V7_AGE_KNOT_X_1)*(V7_AGE_KNOT_Y_2-V7_AGE_KNOT_Y_1),IF(M38&lt;=V7_AGE_KNOT_X_3,V7_AGE_KNOT_Y_2+(M38-V7_AGE_KNOT_X_2)/(V7_AGE_KNOT_X_3-V7_AGE_KNOT_X_2)*(V7_AGE_KNOT_Y_3-V7_AGE_KNOT_Y_2),IF(M38&lt;=V7_AGE_KNOT_X_4,V7_AGE_KNOT_Y_3+(M38-V7_AGE_KNOT_X_3)/(V7_AGE_KNOT_X_4-V7_AGE_KNOT_X_3)*(V7_AGE_KNOT_Y_4-V7_AGE_KNOT_Y_3),V7_AGE_KNOT_Y_4+(M38-V7_AGE_KNOT_X_4)/(V7_AGE_KNOT_X_5-V7_AGE_KNOT_X_4)*(V7_AGE_KNOT_Y_5-V7_AGE_KNOT_Y_4)))))))</f>
        <v/>
      </c>
      <c r="X38" s="26">
        <f>V7_RATE_FLOOR+V7_RATE_ASYMPTOTE/(1+EXP(-(V38-V7_RATE_MID)/V7_RATE_SLOPE))</f>
        <v/>
      </c>
      <c r="Y38" s="26">
        <f>MAX(V7_SIZE_LOW,MIN(V7_SIZE_HIGH,V7_SIZE_INTERCEPT+V7_SIZE_SLOPE*(T38-V7_SIZE_LOG_ANCHOR)))</f>
        <v/>
      </c>
      <c r="Z38" s="26">
        <f>IF(ISNUMBER(SEARCH("232",E38)),VLOOKUP("232",V7_PROGRAM_TABLE,2,FALSE),IF(ISNUMBER(SEARCH("538",E38)),VLOOKUP("538",V7_PROGRAM_TABLE,2,FALSE),IF(ISNUMBER(SEARCH("223a7",E38)),VLOOKUP("223a7",V7_PROGRAM_TABLE,2,FALSE),IF(ISNUMBER(SEARCH("223f",E38)),VLOOKUP("223f",V7_PROGRAM_TABLE,2,FALSE),V7_PROGRAM_DEFAULT))))</f>
        <v/>
      </c>
      <c r="AA38" s="26">
        <f>IF(S38=1,1+V7_PURPOSE_NC_BUMP*MAX(0,1-ABS(M38-V7_PURPOSE_PEAK_AGE)/V7_PURPOSE_WIDTH),1)</f>
        <v/>
      </c>
      <c r="AB38" s="26">
        <f>IF(AND(IF(OR(P38="",NOT(ISNUMBER(P38))),0,MAX(0,MIN(24,(INT(VALUE(H38)/100)-INT(P38/100))*12+MOD(VALUE(H38),100)-MOD(P38,100))))&gt;0,IF(OR(P38="",NOT(ISNUMBER(P38))),0,MAX(0,MIN(24,(INT(VALUE(H38)/100)-INT(P38/100))*12+MOD(VALUE(H38),100)-MOD(P38,100))))&lt;=12),1+V7_LOCKOUT_AMP*EXP(-(IF(OR(P38="",NOT(ISNUMBER(P38))),0,MAX(0,MIN(24,(INT(VALUE(H38)/100)-INT(P38/100))*12+MOD(VALUE(H38),100)-MOD(P38,100)))))/V7_LOCKOUT_TAU),1)</f>
        <v/>
      </c>
      <c r="AC38" s="26">
        <f>IF(IF(OR(O38="",NOT(ISNUMBER(O38))),360,MAX(0,MIN(480,(INT(O38/100)-INT(VALUE(H38)/100))*12+MOD(O38,100)-MOD(VALUE(H38),100))))&gt;0,1+V7_MTY_AMP*MAX(0,(V7_MTY_CUTOFF-(IF(OR(O38="",NOT(ISNUMBER(O38))),360,MAX(0,MIN(480,(INT(O38/100)-INT(VALUE(H38)/100))*12+MOD(O38,100)-MOD(VALUE(H38),100))))))/V7_MTY_CUTOFF),1)</f>
        <v/>
      </c>
      <c r="AD38" s="26">
        <f>MAX(V7_BURN_FLOOR,1-V7_BURN_SLOPE*MIN(1,MAX(0,R38)))</f>
        <v/>
      </c>
      <c r="AE38" s="26">
        <f>IF(V7_USE_ISSUER=1,IFERROR(VLOOKUP(Q38,V7_ISSUER_TABLE,3,FALSE),1),1)</f>
        <v/>
      </c>
      <c r="AF38" s="26">
        <f>PRODUCT(W38:AE38)</f>
        <v/>
      </c>
      <c r="AG38" s="27">
        <f>MIN(V7_BASE_SMM*AF38,V7_SMM_CAP)</f>
        <v/>
      </c>
      <c r="AH38" s="28">
        <f>1-(1-AG38)^12</f>
        <v/>
      </c>
      <c r="AI38" s="28">
        <f>IFERROR(LN(W38)/(LN(W38)+LN(X38)+LN(Y38)+LN(Z38)+LN(AA38)+LN(AB38)+LN(AC38)+LN(AD38))*(AH38-V7_BASE_CPR),0)</f>
        <v/>
      </c>
      <c r="AJ38" s="28">
        <f>IFERROR(LN(X38)/(LN(W38)+LN(X38)+LN(Y38)+LN(Z38)+LN(AA38)+LN(AB38)+LN(AC38)+LN(AD38))*(AH38-V7_BASE_CPR),0)</f>
        <v/>
      </c>
      <c r="AK38" s="28">
        <f>IFERROR(LN(Y38)/(LN(W38)+LN(X38)+LN(Y38)+LN(Z38)+LN(AA38)+LN(AB38)+LN(AC38)+LN(AD38))*(AH38-V7_BASE_CPR),0)</f>
        <v/>
      </c>
      <c r="AL38" s="28">
        <f>IFERROR(LN(Z38)/(LN(W38)+LN(X38)+LN(Y38)+LN(Z38)+LN(AA38)+LN(AB38)+LN(AC38)+LN(AD38))*(AH38-V7_BASE_CPR),0)</f>
        <v/>
      </c>
      <c r="AM38" s="28">
        <f>IFERROR(LN(AA38)/(LN(W38)+LN(X38)+LN(Y38)+LN(Z38)+LN(AA38)+LN(AB38)+LN(AC38)+LN(AD38))*(AH38-V7_BASE_CPR),0)</f>
        <v/>
      </c>
      <c r="AN38" s="28">
        <f>IFERROR(LN(AB38)/(LN(W38)+LN(X38)+LN(Y38)+LN(Z38)+LN(AA38)+LN(AB38)+LN(AC38)+LN(AD38))*(AH38-V7_BASE_CPR),0)</f>
        <v/>
      </c>
      <c r="AO38" s="28">
        <f>IFERROR(LN(AC38)/(LN(W38)+LN(X38)+LN(Y38)+LN(Z38)+LN(AA38)+LN(AB38)+LN(AC38)+LN(AD38))*(AH38-V7_BASE_CPR),0)</f>
        <v/>
      </c>
      <c r="AP38" s="28">
        <f>IFERROR(LN(AD38)/(LN(W38)+LN(X38)+LN(Y38)+LN(Z38)+LN(AA38)+LN(AB38)+LN(AC38)+LN(AD38))*(AH38-V7_BASE_CPR),0)</f>
        <v/>
      </c>
      <c r="AQ38" s="29">
        <f>V7_BASE_CPR+SUM(AI38:AP38)-AH38</f>
        <v/>
      </c>
    </row>
    <row r="39">
      <c r="A39" s="2" t="inlineStr">
        <is>
          <t>36189MGT9_000000007111384</t>
        </is>
      </c>
      <c r="B39" t="inlineStr">
        <is>
          <t>BERKADIA_PRE21</t>
        </is>
      </c>
      <c r="C39" s="2" t="inlineStr">
        <is>
          <t>36189MGT9</t>
        </is>
      </c>
      <c r="D39" t="inlineStr">
        <is>
          <t>BERKADIA COMMERCIAL MORTGAGE, LLC</t>
        </is>
      </c>
      <c r="E39" t="inlineStr">
        <is>
          <t>223f</t>
        </is>
      </c>
      <c r="F39" t="inlineStr">
        <is>
          <t>RP</t>
        </is>
      </c>
      <c r="G39" t="n">
        <v>2015</v>
      </c>
      <c r="H39" t="inlineStr">
        <is>
          <t>202602</t>
        </is>
      </c>
      <c r="I39" s="22" t="n">
        <v>3434607.45</v>
      </c>
      <c r="J39" s="23" t="n">
        <v>3.25</v>
      </c>
      <c r="K39" s="24" t="n">
        <v>447</v>
      </c>
      <c r="L39" s="24" t="n">
        <v>0</v>
      </c>
      <c r="M39" t="n">
        <v>125</v>
      </c>
      <c r="N39" s="25" t="n">
        <v>25</v>
      </c>
      <c r="O39" t="n">
        <v>205101</v>
      </c>
      <c r="P39" t="inlineStr"/>
      <c r="Q39" t="inlineStr">
        <is>
          <t>4082</t>
        </is>
      </c>
      <c r="R39" s="26" t="n">
        <v>0.2</v>
      </c>
      <c r="S39" t="n">
        <v>0</v>
      </c>
      <c r="T39" s="23">
        <f>LN(1+I39)</f>
        <v/>
      </c>
      <c r="U39" s="24">
        <f>J39*100-K39</f>
        <v/>
      </c>
      <c r="V39" s="24">
        <f>U39-12.5*(L39+1)</f>
        <v/>
      </c>
      <c r="W39" s="26">
        <f>IF(M39&lt;=V7_AGE_KNOT_X_0,V7_AGE_KNOT_Y_0,IF(M39&gt;=V7_AGE_KNOT_X_5,V7_AGE_KNOT_Y_5,IF(M39&lt;=V7_AGE_KNOT_X_1,V7_AGE_KNOT_Y_0+(M39-V7_AGE_KNOT_X_0)/(V7_AGE_KNOT_X_1-V7_AGE_KNOT_X_0)*(V7_AGE_KNOT_Y_1-V7_AGE_KNOT_Y_0),IF(M39&lt;=V7_AGE_KNOT_X_2,V7_AGE_KNOT_Y_1+(M39-V7_AGE_KNOT_X_1)/(V7_AGE_KNOT_X_2-V7_AGE_KNOT_X_1)*(V7_AGE_KNOT_Y_2-V7_AGE_KNOT_Y_1),IF(M39&lt;=V7_AGE_KNOT_X_3,V7_AGE_KNOT_Y_2+(M39-V7_AGE_KNOT_X_2)/(V7_AGE_KNOT_X_3-V7_AGE_KNOT_X_2)*(V7_AGE_KNOT_Y_3-V7_AGE_KNOT_Y_2),IF(M39&lt;=V7_AGE_KNOT_X_4,V7_AGE_KNOT_Y_3+(M39-V7_AGE_KNOT_X_3)/(V7_AGE_KNOT_X_4-V7_AGE_KNOT_X_3)*(V7_AGE_KNOT_Y_4-V7_AGE_KNOT_Y_3),V7_AGE_KNOT_Y_4+(M39-V7_AGE_KNOT_X_4)/(V7_AGE_KNOT_X_5-V7_AGE_KNOT_X_4)*(V7_AGE_KNOT_Y_5-V7_AGE_KNOT_Y_4)))))))</f>
        <v/>
      </c>
      <c r="X39" s="26">
        <f>V7_RATE_FLOOR+V7_RATE_ASYMPTOTE/(1+EXP(-(V39-V7_RATE_MID)/V7_RATE_SLOPE))</f>
        <v/>
      </c>
      <c r="Y39" s="26">
        <f>MAX(V7_SIZE_LOW,MIN(V7_SIZE_HIGH,V7_SIZE_INTERCEPT+V7_SIZE_SLOPE*(T39-V7_SIZE_LOG_ANCHOR)))</f>
        <v/>
      </c>
      <c r="Z39" s="26">
        <f>IF(ISNUMBER(SEARCH("232",E39)),VLOOKUP("232",V7_PROGRAM_TABLE,2,FALSE),IF(ISNUMBER(SEARCH("538",E39)),VLOOKUP("538",V7_PROGRAM_TABLE,2,FALSE),IF(ISNUMBER(SEARCH("223a7",E39)),VLOOKUP("223a7",V7_PROGRAM_TABLE,2,FALSE),IF(ISNUMBER(SEARCH("223f",E39)),VLOOKUP("223f",V7_PROGRAM_TABLE,2,FALSE),V7_PROGRAM_DEFAULT))))</f>
        <v/>
      </c>
      <c r="AA39" s="26">
        <f>IF(S39=1,1+V7_PURPOSE_NC_BUMP*MAX(0,1-ABS(M39-V7_PURPOSE_PEAK_AGE)/V7_PURPOSE_WIDTH),1)</f>
        <v/>
      </c>
      <c r="AB39" s="26">
        <f>IF(AND(IF(OR(P39="",NOT(ISNUMBER(P39))),0,MAX(0,MIN(24,(INT(VALUE(H39)/100)-INT(P39/100))*12+MOD(VALUE(H39),100)-MOD(P39,100))))&gt;0,IF(OR(P39="",NOT(ISNUMBER(P39))),0,MAX(0,MIN(24,(INT(VALUE(H39)/100)-INT(P39/100))*12+MOD(VALUE(H39),100)-MOD(P39,100))))&lt;=12),1+V7_LOCKOUT_AMP*EXP(-(IF(OR(P39="",NOT(ISNUMBER(P39))),0,MAX(0,MIN(24,(INT(VALUE(H39)/100)-INT(P39/100))*12+MOD(VALUE(H39),100)-MOD(P39,100)))))/V7_LOCKOUT_TAU),1)</f>
        <v/>
      </c>
      <c r="AC39" s="26">
        <f>IF(IF(OR(O39="",NOT(ISNUMBER(O39))),360,MAX(0,MIN(480,(INT(O39/100)-INT(VALUE(H39)/100))*12+MOD(O39,100)-MOD(VALUE(H39),100))))&gt;0,1+V7_MTY_AMP*MAX(0,(V7_MTY_CUTOFF-(IF(OR(O39="",NOT(ISNUMBER(O39))),360,MAX(0,MIN(480,(INT(O39/100)-INT(VALUE(H39)/100))*12+MOD(O39,100)-MOD(VALUE(H39),100))))))/V7_MTY_CUTOFF),1)</f>
        <v/>
      </c>
      <c r="AD39" s="26">
        <f>MAX(V7_BURN_FLOOR,1-V7_BURN_SLOPE*MIN(1,MAX(0,R39)))</f>
        <v/>
      </c>
      <c r="AE39" s="26">
        <f>IF(V7_USE_ISSUER=1,IFERROR(VLOOKUP(Q39,V7_ISSUER_TABLE,3,FALSE),1),1)</f>
        <v/>
      </c>
      <c r="AF39" s="26">
        <f>PRODUCT(W39:AE39)</f>
        <v/>
      </c>
      <c r="AG39" s="27">
        <f>MIN(V7_BASE_SMM*AF39,V7_SMM_CAP)</f>
        <v/>
      </c>
      <c r="AH39" s="28">
        <f>1-(1-AG39)^12</f>
        <v/>
      </c>
      <c r="AI39" s="28">
        <f>IFERROR(LN(W39)/(LN(W39)+LN(X39)+LN(Y39)+LN(Z39)+LN(AA39)+LN(AB39)+LN(AC39)+LN(AD39))*(AH39-V7_BASE_CPR),0)</f>
        <v/>
      </c>
      <c r="AJ39" s="28">
        <f>IFERROR(LN(X39)/(LN(W39)+LN(X39)+LN(Y39)+LN(Z39)+LN(AA39)+LN(AB39)+LN(AC39)+LN(AD39))*(AH39-V7_BASE_CPR),0)</f>
        <v/>
      </c>
      <c r="AK39" s="28">
        <f>IFERROR(LN(Y39)/(LN(W39)+LN(X39)+LN(Y39)+LN(Z39)+LN(AA39)+LN(AB39)+LN(AC39)+LN(AD39))*(AH39-V7_BASE_CPR),0)</f>
        <v/>
      </c>
      <c r="AL39" s="28">
        <f>IFERROR(LN(Z39)/(LN(W39)+LN(X39)+LN(Y39)+LN(Z39)+LN(AA39)+LN(AB39)+LN(AC39)+LN(AD39))*(AH39-V7_BASE_CPR),0)</f>
        <v/>
      </c>
      <c r="AM39" s="28">
        <f>IFERROR(LN(AA39)/(LN(W39)+LN(X39)+LN(Y39)+LN(Z39)+LN(AA39)+LN(AB39)+LN(AC39)+LN(AD39))*(AH39-V7_BASE_CPR),0)</f>
        <v/>
      </c>
      <c r="AN39" s="28">
        <f>IFERROR(LN(AB39)/(LN(W39)+LN(X39)+LN(Y39)+LN(Z39)+LN(AA39)+LN(AB39)+LN(AC39)+LN(AD39))*(AH39-V7_BASE_CPR),0)</f>
        <v/>
      </c>
      <c r="AO39" s="28">
        <f>IFERROR(LN(AC39)/(LN(W39)+LN(X39)+LN(Y39)+LN(Z39)+LN(AA39)+LN(AB39)+LN(AC39)+LN(AD39))*(AH39-V7_BASE_CPR),0)</f>
        <v/>
      </c>
      <c r="AP39" s="28">
        <f>IFERROR(LN(AD39)/(LN(W39)+LN(X39)+LN(Y39)+LN(Z39)+LN(AA39)+LN(AB39)+LN(AC39)+LN(AD39))*(AH39-V7_BASE_CPR),0)</f>
        <v/>
      </c>
      <c r="AQ39" s="29">
        <f>V7_BASE_CPR+SUM(AI39:AP39)-AH39</f>
        <v/>
      </c>
    </row>
    <row r="40">
      <c r="A40" s="2" t="inlineStr">
        <is>
          <t>36177YET9_000000006311078</t>
        </is>
      </c>
      <c r="B40" t="inlineStr">
        <is>
          <t>BERKADIA_PRE21</t>
        </is>
      </c>
      <c r="C40" s="2" t="inlineStr">
        <is>
          <t>36177YET9</t>
        </is>
      </c>
      <c r="D40" t="inlineStr">
        <is>
          <t>BERKADIA COMMERCIAL MORTGAGE, LLC</t>
        </is>
      </c>
      <c r="E40" t="inlineStr">
        <is>
          <t>223f</t>
        </is>
      </c>
      <c r="F40" t="inlineStr">
        <is>
          <t>RP</t>
        </is>
      </c>
      <c r="G40" t="n">
        <v>2012</v>
      </c>
      <c r="H40" t="inlineStr">
        <is>
          <t>202602</t>
        </is>
      </c>
      <c r="I40" s="22" t="n">
        <v>8184805.03</v>
      </c>
      <c r="J40" s="23" t="n">
        <v>3.2</v>
      </c>
      <c r="K40" s="24" t="n">
        <v>447</v>
      </c>
      <c r="L40" s="24" t="n">
        <v>0</v>
      </c>
      <c r="M40" t="n">
        <v>167</v>
      </c>
      <c r="N40" s="25" t="n">
        <v>30</v>
      </c>
      <c r="O40" t="n">
        <v>204708</v>
      </c>
      <c r="P40" t="n">
        <v>201409</v>
      </c>
      <c r="Q40" t="inlineStr">
        <is>
          <t>4082</t>
        </is>
      </c>
      <c r="R40" s="26" t="n">
        <v>0.1796407185628743</v>
      </c>
      <c r="S40" t="n">
        <v>0</v>
      </c>
      <c r="T40" s="23">
        <f>LN(1+I40)</f>
        <v/>
      </c>
      <c r="U40" s="24">
        <f>J40*100-K40</f>
        <v/>
      </c>
      <c r="V40" s="24">
        <f>U40-12.5*(L40+1)</f>
        <v/>
      </c>
      <c r="W40" s="26">
        <f>IF(M40&lt;=V7_AGE_KNOT_X_0,V7_AGE_KNOT_Y_0,IF(M40&gt;=V7_AGE_KNOT_X_5,V7_AGE_KNOT_Y_5,IF(M40&lt;=V7_AGE_KNOT_X_1,V7_AGE_KNOT_Y_0+(M40-V7_AGE_KNOT_X_0)/(V7_AGE_KNOT_X_1-V7_AGE_KNOT_X_0)*(V7_AGE_KNOT_Y_1-V7_AGE_KNOT_Y_0),IF(M40&lt;=V7_AGE_KNOT_X_2,V7_AGE_KNOT_Y_1+(M40-V7_AGE_KNOT_X_1)/(V7_AGE_KNOT_X_2-V7_AGE_KNOT_X_1)*(V7_AGE_KNOT_Y_2-V7_AGE_KNOT_Y_1),IF(M40&lt;=V7_AGE_KNOT_X_3,V7_AGE_KNOT_Y_2+(M40-V7_AGE_KNOT_X_2)/(V7_AGE_KNOT_X_3-V7_AGE_KNOT_X_2)*(V7_AGE_KNOT_Y_3-V7_AGE_KNOT_Y_2),IF(M40&lt;=V7_AGE_KNOT_X_4,V7_AGE_KNOT_Y_3+(M40-V7_AGE_KNOT_X_3)/(V7_AGE_KNOT_X_4-V7_AGE_KNOT_X_3)*(V7_AGE_KNOT_Y_4-V7_AGE_KNOT_Y_3),V7_AGE_KNOT_Y_4+(M40-V7_AGE_KNOT_X_4)/(V7_AGE_KNOT_X_5-V7_AGE_KNOT_X_4)*(V7_AGE_KNOT_Y_5-V7_AGE_KNOT_Y_4)))))))</f>
        <v/>
      </c>
      <c r="X40" s="26">
        <f>V7_RATE_FLOOR+V7_RATE_ASYMPTOTE/(1+EXP(-(V40-V7_RATE_MID)/V7_RATE_SLOPE))</f>
        <v/>
      </c>
      <c r="Y40" s="26">
        <f>MAX(V7_SIZE_LOW,MIN(V7_SIZE_HIGH,V7_SIZE_INTERCEPT+V7_SIZE_SLOPE*(T40-V7_SIZE_LOG_ANCHOR)))</f>
        <v/>
      </c>
      <c r="Z40" s="26">
        <f>IF(ISNUMBER(SEARCH("232",E40)),VLOOKUP("232",V7_PROGRAM_TABLE,2,FALSE),IF(ISNUMBER(SEARCH("538",E40)),VLOOKUP("538",V7_PROGRAM_TABLE,2,FALSE),IF(ISNUMBER(SEARCH("223a7",E40)),VLOOKUP("223a7",V7_PROGRAM_TABLE,2,FALSE),IF(ISNUMBER(SEARCH("223f",E40)),VLOOKUP("223f",V7_PROGRAM_TABLE,2,FALSE),V7_PROGRAM_DEFAULT))))</f>
        <v/>
      </c>
      <c r="AA40" s="26">
        <f>IF(S40=1,1+V7_PURPOSE_NC_BUMP*MAX(0,1-ABS(M40-V7_PURPOSE_PEAK_AGE)/V7_PURPOSE_WIDTH),1)</f>
        <v/>
      </c>
      <c r="AB40" s="26">
        <f>IF(AND(IF(OR(P40="",NOT(ISNUMBER(P40))),0,MAX(0,MIN(24,(INT(VALUE(H40)/100)-INT(P40/100))*12+MOD(VALUE(H40),100)-MOD(P40,100))))&gt;0,IF(OR(P40="",NOT(ISNUMBER(P40))),0,MAX(0,MIN(24,(INT(VALUE(H40)/100)-INT(P40/100))*12+MOD(VALUE(H40),100)-MOD(P40,100))))&lt;=12),1+V7_LOCKOUT_AMP*EXP(-(IF(OR(P40="",NOT(ISNUMBER(P40))),0,MAX(0,MIN(24,(INT(VALUE(H40)/100)-INT(P40/100))*12+MOD(VALUE(H40),100)-MOD(P40,100)))))/V7_LOCKOUT_TAU),1)</f>
        <v/>
      </c>
      <c r="AC40" s="26">
        <f>IF(IF(OR(O40="",NOT(ISNUMBER(O40))),360,MAX(0,MIN(480,(INT(O40/100)-INT(VALUE(H40)/100))*12+MOD(O40,100)-MOD(VALUE(H40),100))))&gt;0,1+V7_MTY_AMP*MAX(0,(V7_MTY_CUTOFF-(IF(OR(O40="",NOT(ISNUMBER(O40))),360,MAX(0,MIN(480,(INT(O40/100)-INT(VALUE(H40)/100))*12+MOD(O40,100)-MOD(VALUE(H40),100))))))/V7_MTY_CUTOFF),1)</f>
        <v/>
      </c>
      <c r="AD40" s="26">
        <f>MAX(V7_BURN_FLOOR,1-V7_BURN_SLOPE*MIN(1,MAX(0,R40)))</f>
        <v/>
      </c>
      <c r="AE40" s="26">
        <f>IF(V7_USE_ISSUER=1,IFERROR(VLOOKUP(Q40,V7_ISSUER_TABLE,3,FALSE),1),1)</f>
        <v/>
      </c>
      <c r="AF40" s="26">
        <f>PRODUCT(W40:AE40)</f>
        <v/>
      </c>
      <c r="AG40" s="27">
        <f>MIN(V7_BASE_SMM*AF40,V7_SMM_CAP)</f>
        <v/>
      </c>
      <c r="AH40" s="28">
        <f>1-(1-AG40)^12</f>
        <v/>
      </c>
      <c r="AI40" s="28">
        <f>IFERROR(LN(W40)/(LN(W40)+LN(X40)+LN(Y40)+LN(Z40)+LN(AA40)+LN(AB40)+LN(AC40)+LN(AD40))*(AH40-V7_BASE_CPR),0)</f>
        <v/>
      </c>
      <c r="AJ40" s="28">
        <f>IFERROR(LN(X40)/(LN(W40)+LN(X40)+LN(Y40)+LN(Z40)+LN(AA40)+LN(AB40)+LN(AC40)+LN(AD40))*(AH40-V7_BASE_CPR),0)</f>
        <v/>
      </c>
      <c r="AK40" s="28">
        <f>IFERROR(LN(Y40)/(LN(W40)+LN(X40)+LN(Y40)+LN(Z40)+LN(AA40)+LN(AB40)+LN(AC40)+LN(AD40))*(AH40-V7_BASE_CPR),0)</f>
        <v/>
      </c>
      <c r="AL40" s="28">
        <f>IFERROR(LN(Z40)/(LN(W40)+LN(X40)+LN(Y40)+LN(Z40)+LN(AA40)+LN(AB40)+LN(AC40)+LN(AD40))*(AH40-V7_BASE_CPR),0)</f>
        <v/>
      </c>
      <c r="AM40" s="28">
        <f>IFERROR(LN(AA40)/(LN(W40)+LN(X40)+LN(Y40)+LN(Z40)+LN(AA40)+LN(AB40)+LN(AC40)+LN(AD40))*(AH40-V7_BASE_CPR),0)</f>
        <v/>
      </c>
      <c r="AN40" s="28">
        <f>IFERROR(LN(AB40)/(LN(W40)+LN(X40)+LN(Y40)+LN(Z40)+LN(AA40)+LN(AB40)+LN(AC40)+LN(AD40))*(AH40-V7_BASE_CPR),0)</f>
        <v/>
      </c>
      <c r="AO40" s="28">
        <f>IFERROR(LN(AC40)/(LN(W40)+LN(X40)+LN(Y40)+LN(Z40)+LN(AA40)+LN(AB40)+LN(AC40)+LN(AD40))*(AH40-V7_BASE_CPR),0)</f>
        <v/>
      </c>
      <c r="AP40" s="28">
        <f>IFERROR(LN(AD40)/(LN(W40)+LN(X40)+LN(Y40)+LN(Z40)+LN(AA40)+LN(AB40)+LN(AC40)+LN(AD40))*(AH40-V7_BASE_CPR),0)</f>
        <v/>
      </c>
      <c r="AQ40" s="29">
        <f>V7_BASE_CPR+SUM(AI40:AP40)-AH40</f>
        <v/>
      </c>
    </row>
    <row r="41">
      <c r="A41" s="2" t="inlineStr">
        <is>
          <t>3617F6YS1_000000005111525</t>
        </is>
      </c>
      <c r="B41" t="inlineStr">
        <is>
          <t>BERKADIA_POST21</t>
        </is>
      </c>
      <c r="C41" s="2" t="inlineStr">
        <is>
          <t>3617F6YS1</t>
        </is>
      </c>
      <c r="D41" t="inlineStr">
        <is>
          <t>BERKADIA COMMERCIAL MORTGAGE, LLC</t>
        </is>
      </c>
      <c r="E41" t="inlineStr">
        <is>
          <t>223f</t>
        </is>
      </c>
      <c r="F41" t="inlineStr">
        <is>
          <t>RP</t>
        </is>
      </c>
      <c r="G41" t="n">
        <v>2022</v>
      </c>
      <c r="H41" t="inlineStr">
        <is>
          <t>202602</t>
        </is>
      </c>
      <c r="I41" s="22" t="n">
        <v>19717396.4</v>
      </c>
      <c r="J41" s="23" t="n">
        <v>4.45</v>
      </c>
      <c r="K41" s="24" t="n">
        <v>447</v>
      </c>
      <c r="L41" s="24" t="n">
        <v>8</v>
      </c>
      <c r="M41" t="n">
        <v>43</v>
      </c>
      <c r="N41" s="25" t="n">
        <v>1</v>
      </c>
      <c r="O41" t="n">
        <v>205711</v>
      </c>
      <c r="P41" t="inlineStr"/>
      <c r="Q41" t="inlineStr">
        <is>
          <t>4082</t>
        </is>
      </c>
      <c r="R41" s="26" t="n">
        <v>0.02325581395348837</v>
      </c>
      <c r="S41" t="n">
        <v>0</v>
      </c>
      <c r="T41" s="23">
        <f>LN(1+I41)</f>
        <v/>
      </c>
      <c r="U41" s="24">
        <f>J41*100-K41</f>
        <v/>
      </c>
      <c r="V41" s="24">
        <f>U41-12.5*(L41+1)</f>
        <v/>
      </c>
      <c r="W41" s="26">
        <f>IF(M41&lt;=V7_AGE_KNOT_X_0,V7_AGE_KNOT_Y_0,IF(M41&gt;=V7_AGE_KNOT_X_5,V7_AGE_KNOT_Y_5,IF(M41&lt;=V7_AGE_KNOT_X_1,V7_AGE_KNOT_Y_0+(M41-V7_AGE_KNOT_X_0)/(V7_AGE_KNOT_X_1-V7_AGE_KNOT_X_0)*(V7_AGE_KNOT_Y_1-V7_AGE_KNOT_Y_0),IF(M41&lt;=V7_AGE_KNOT_X_2,V7_AGE_KNOT_Y_1+(M41-V7_AGE_KNOT_X_1)/(V7_AGE_KNOT_X_2-V7_AGE_KNOT_X_1)*(V7_AGE_KNOT_Y_2-V7_AGE_KNOT_Y_1),IF(M41&lt;=V7_AGE_KNOT_X_3,V7_AGE_KNOT_Y_2+(M41-V7_AGE_KNOT_X_2)/(V7_AGE_KNOT_X_3-V7_AGE_KNOT_X_2)*(V7_AGE_KNOT_Y_3-V7_AGE_KNOT_Y_2),IF(M41&lt;=V7_AGE_KNOT_X_4,V7_AGE_KNOT_Y_3+(M41-V7_AGE_KNOT_X_3)/(V7_AGE_KNOT_X_4-V7_AGE_KNOT_X_3)*(V7_AGE_KNOT_Y_4-V7_AGE_KNOT_Y_3),V7_AGE_KNOT_Y_4+(M41-V7_AGE_KNOT_X_4)/(V7_AGE_KNOT_X_5-V7_AGE_KNOT_X_4)*(V7_AGE_KNOT_Y_5-V7_AGE_KNOT_Y_4)))))))</f>
        <v/>
      </c>
      <c r="X41" s="26">
        <f>V7_RATE_FLOOR+V7_RATE_ASYMPTOTE/(1+EXP(-(V41-V7_RATE_MID)/V7_RATE_SLOPE))</f>
        <v/>
      </c>
      <c r="Y41" s="26">
        <f>MAX(V7_SIZE_LOW,MIN(V7_SIZE_HIGH,V7_SIZE_INTERCEPT+V7_SIZE_SLOPE*(T41-V7_SIZE_LOG_ANCHOR)))</f>
        <v/>
      </c>
      <c r="Z41" s="26">
        <f>IF(ISNUMBER(SEARCH("232",E41)),VLOOKUP("232",V7_PROGRAM_TABLE,2,FALSE),IF(ISNUMBER(SEARCH("538",E41)),VLOOKUP("538",V7_PROGRAM_TABLE,2,FALSE),IF(ISNUMBER(SEARCH("223a7",E41)),VLOOKUP("223a7",V7_PROGRAM_TABLE,2,FALSE),IF(ISNUMBER(SEARCH("223f",E41)),VLOOKUP("223f",V7_PROGRAM_TABLE,2,FALSE),V7_PROGRAM_DEFAULT))))</f>
        <v/>
      </c>
      <c r="AA41" s="26">
        <f>IF(S41=1,1+V7_PURPOSE_NC_BUMP*MAX(0,1-ABS(M41-V7_PURPOSE_PEAK_AGE)/V7_PURPOSE_WIDTH),1)</f>
        <v/>
      </c>
      <c r="AB41" s="26">
        <f>IF(AND(IF(OR(P41="",NOT(ISNUMBER(P41))),0,MAX(0,MIN(24,(INT(VALUE(H41)/100)-INT(P41/100))*12+MOD(VALUE(H41),100)-MOD(P41,100))))&gt;0,IF(OR(P41="",NOT(ISNUMBER(P41))),0,MAX(0,MIN(24,(INT(VALUE(H41)/100)-INT(P41/100))*12+MOD(VALUE(H41),100)-MOD(P41,100))))&lt;=12),1+V7_LOCKOUT_AMP*EXP(-(IF(OR(P41="",NOT(ISNUMBER(P41))),0,MAX(0,MIN(24,(INT(VALUE(H41)/100)-INT(P41/100))*12+MOD(VALUE(H41),100)-MOD(P41,100)))))/V7_LOCKOUT_TAU),1)</f>
        <v/>
      </c>
      <c r="AC41" s="26">
        <f>IF(IF(OR(O41="",NOT(ISNUMBER(O41))),360,MAX(0,MIN(480,(INT(O41/100)-INT(VALUE(H41)/100))*12+MOD(O41,100)-MOD(VALUE(H41),100))))&gt;0,1+V7_MTY_AMP*MAX(0,(V7_MTY_CUTOFF-(IF(OR(O41="",NOT(ISNUMBER(O41))),360,MAX(0,MIN(480,(INT(O41/100)-INT(VALUE(H41)/100))*12+MOD(O41,100)-MOD(VALUE(H41),100))))))/V7_MTY_CUTOFF),1)</f>
        <v/>
      </c>
      <c r="AD41" s="26">
        <f>MAX(V7_BURN_FLOOR,1-V7_BURN_SLOPE*MIN(1,MAX(0,R41)))</f>
        <v/>
      </c>
      <c r="AE41" s="26">
        <f>IF(V7_USE_ISSUER=1,IFERROR(VLOOKUP(Q41,V7_ISSUER_TABLE,3,FALSE),1),1)</f>
        <v/>
      </c>
      <c r="AF41" s="26">
        <f>PRODUCT(W41:AE41)</f>
        <v/>
      </c>
      <c r="AG41" s="27">
        <f>MIN(V7_BASE_SMM*AF41,V7_SMM_CAP)</f>
        <v/>
      </c>
      <c r="AH41" s="28">
        <f>1-(1-AG41)^12</f>
        <v/>
      </c>
      <c r="AI41" s="28">
        <f>IFERROR(LN(W41)/(LN(W41)+LN(X41)+LN(Y41)+LN(Z41)+LN(AA41)+LN(AB41)+LN(AC41)+LN(AD41))*(AH41-V7_BASE_CPR),0)</f>
        <v/>
      </c>
      <c r="AJ41" s="28">
        <f>IFERROR(LN(X41)/(LN(W41)+LN(X41)+LN(Y41)+LN(Z41)+LN(AA41)+LN(AB41)+LN(AC41)+LN(AD41))*(AH41-V7_BASE_CPR),0)</f>
        <v/>
      </c>
      <c r="AK41" s="28">
        <f>IFERROR(LN(Y41)/(LN(W41)+LN(X41)+LN(Y41)+LN(Z41)+LN(AA41)+LN(AB41)+LN(AC41)+LN(AD41))*(AH41-V7_BASE_CPR),0)</f>
        <v/>
      </c>
      <c r="AL41" s="28">
        <f>IFERROR(LN(Z41)/(LN(W41)+LN(X41)+LN(Y41)+LN(Z41)+LN(AA41)+LN(AB41)+LN(AC41)+LN(AD41))*(AH41-V7_BASE_CPR),0)</f>
        <v/>
      </c>
      <c r="AM41" s="28">
        <f>IFERROR(LN(AA41)/(LN(W41)+LN(X41)+LN(Y41)+LN(Z41)+LN(AA41)+LN(AB41)+LN(AC41)+LN(AD41))*(AH41-V7_BASE_CPR),0)</f>
        <v/>
      </c>
      <c r="AN41" s="28">
        <f>IFERROR(LN(AB41)/(LN(W41)+LN(X41)+LN(Y41)+LN(Z41)+LN(AA41)+LN(AB41)+LN(AC41)+LN(AD41))*(AH41-V7_BASE_CPR),0)</f>
        <v/>
      </c>
      <c r="AO41" s="28">
        <f>IFERROR(LN(AC41)/(LN(W41)+LN(X41)+LN(Y41)+LN(Z41)+LN(AA41)+LN(AB41)+LN(AC41)+LN(AD41))*(AH41-V7_BASE_CPR),0)</f>
        <v/>
      </c>
      <c r="AP41" s="28">
        <f>IFERROR(LN(AD41)/(LN(W41)+LN(X41)+LN(Y41)+LN(Z41)+LN(AA41)+LN(AB41)+LN(AC41)+LN(AD41))*(AH41-V7_BASE_CPR),0)</f>
        <v/>
      </c>
      <c r="AQ41" s="29">
        <f>V7_BASE_CPR+SUM(AI41:AP41)-AH41</f>
        <v/>
      </c>
    </row>
    <row r="42">
      <c r="A42" s="2" t="inlineStr">
        <is>
          <t>3617VFMT4_000000004711152</t>
        </is>
      </c>
      <c r="B42" t="inlineStr">
        <is>
          <t>BERKADIA_PRE21</t>
        </is>
      </c>
      <c r="C42" s="2" t="inlineStr">
        <is>
          <t>3617VFMT4</t>
        </is>
      </c>
      <c r="D42" t="inlineStr">
        <is>
          <t>BERKADIA COMMERCIAL MORTGAGE, LLC</t>
        </is>
      </c>
      <c r="E42" t="inlineStr">
        <is>
          <t>223f</t>
        </is>
      </c>
      <c r="F42" t="inlineStr">
        <is>
          <t>RP</t>
        </is>
      </c>
      <c r="G42" t="n">
        <v>2013</v>
      </c>
      <c r="H42" t="inlineStr">
        <is>
          <t>202602</t>
        </is>
      </c>
      <c r="I42" s="22" t="n">
        <v>345445.31</v>
      </c>
      <c r="J42" s="23" t="n">
        <v>2.9</v>
      </c>
      <c r="K42" s="24" t="n">
        <v>447</v>
      </c>
      <c r="L42" s="24" t="n">
        <v>7</v>
      </c>
      <c r="M42" t="n">
        <v>149</v>
      </c>
      <c r="N42" s="25" t="n">
        <v>9</v>
      </c>
      <c r="O42" t="n">
        <v>203401</v>
      </c>
      <c r="P42" t="inlineStr"/>
      <c r="Q42" t="inlineStr">
        <is>
          <t>4082</t>
        </is>
      </c>
      <c r="R42" s="26" t="n">
        <v>0.06040268456375839</v>
      </c>
      <c r="S42" t="n">
        <v>0</v>
      </c>
      <c r="T42" s="23">
        <f>LN(1+I42)</f>
        <v/>
      </c>
      <c r="U42" s="24">
        <f>J42*100-K42</f>
        <v/>
      </c>
      <c r="V42" s="24">
        <f>U42-12.5*(L42+1)</f>
        <v/>
      </c>
      <c r="W42" s="26">
        <f>IF(M42&lt;=V7_AGE_KNOT_X_0,V7_AGE_KNOT_Y_0,IF(M42&gt;=V7_AGE_KNOT_X_5,V7_AGE_KNOT_Y_5,IF(M42&lt;=V7_AGE_KNOT_X_1,V7_AGE_KNOT_Y_0+(M42-V7_AGE_KNOT_X_0)/(V7_AGE_KNOT_X_1-V7_AGE_KNOT_X_0)*(V7_AGE_KNOT_Y_1-V7_AGE_KNOT_Y_0),IF(M42&lt;=V7_AGE_KNOT_X_2,V7_AGE_KNOT_Y_1+(M42-V7_AGE_KNOT_X_1)/(V7_AGE_KNOT_X_2-V7_AGE_KNOT_X_1)*(V7_AGE_KNOT_Y_2-V7_AGE_KNOT_Y_1),IF(M42&lt;=V7_AGE_KNOT_X_3,V7_AGE_KNOT_Y_2+(M42-V7_AGE_KNOT_X_2)/(V7_AGE_KNOT_X_3-V7_AGE_KNOT_X_2)*(V7_AGE_KNOT_Y_3-V7_AGE_KNOT_Y_2),IF(M42&lt;=V7_AGE_KNOT_X_4,V7_AGE_KNOT_Y_3+(M42-V7_AGE_KNOT_X_3)/(V7_AGE_KNOT_X_4-V7_AGE_KNOT_X_3)*(V7_AGE_KNOT_Y_4-V7_AGE_KNOT_Y_3),V7_AGE_KNOT_Y_4+(M42-V7_AGE_KNOT_X_4)/(V7_AGE_KNOT_X_5-V7_AGE_KNOT_X_4)*(V7_AGE_KNOT_Y_5-V7_AGE_KNOT_Y_4)))))))</f>
        <v/>
      </c>
      <c r="X42" s="26">
        <f>V7_RATE_FLOOR+V7_RATE_ASYMPTOTE/(1+EXP(-(V42-V7_RATE_MID)/V7_RATE_SLOPE))</f>
        <v/>
      </c>
      <c r="Y42" s="26">
        <f>MAX(V7_SIZE_LOW,MIN(V7_SIZE_HIGH,V7_SIZE_INTERCEPT+V7_SIZE_SLOPE*(T42-V7_SIZE_LOG_ANCHOR)))</f>
        <v/>
      </c>
      <c r="Z42" s="26">
        <f>IF(ISNUMBER(SEARCH("232",E42)),VLOOKUP("232",V7_PROGRAM_TABLE,2,FALSE),IF(ISNUMBER(SEARCH("538",E42)),VLOOKUP("538",V7_PROGRAM_TABLE,2,FALSE),IF(ISNUMBER(SEARCH("223a7",E42)),VLOOKUP("223a7",V7_PROGRAM_TABLE,2,FALSE),IF(ISNUMBER(SEARCH("223f",E42)),VLOOKUP("223f",V7_PROGRAM_TABLE,2,FALSE),V7_PROGRAM_DEFAULT))))</f>
        <v/>
      </c>
      <c r="AA42" s="26">
        <f>IF(S42=1,1+V7_PURPOSE_NC_BUMP*MAX(0,1-ABS(M42-V7_PURPOSE_PEAK_AGE)/V7_PURPOSE_WIDTH),1)</f>
        <v/>
      </c>
      <c r="AB42" s="26">
        <f>IF(AND(IF(OR(P42="",NOT(ISNUMBER(P42))),0,MAX(0,MIN(24,(INT(VALUE(H42)/100)-INT(P42/100))*12+MOD(VALUE(H42),100)-MOD(P42,100))))&gt;0,IF(OR(P42="",NOT(ISNUMBER(P42))),0,MAX(0,MIN(24,(INT(VALUE(H42)/100)-INT(P42/100))*12+MOD(VALUE(H42),100)-MOD(P42,100))))&lt;=12),1+V7_LOCKOUT_AMP*EXP(-(IF(OR(P42="",NOT(ISNUMBER(P42))),0,MAX(0,MIN(24,(INT(VALUE(H42)/100)-INT(P42/100))*12+MOD(VALUE(H42),100)-MOD(P42,100)))))/V7_LOCKOUT_TAU),1)</f>
        <v/>
      </c>
      <c r="AC42" s="26">
        <f>IF(IF(OR(O42="",NOT(ISNUMBER(O42))),360,MAX(0,MIN(480,(INT(O42/100)-INT(VALUE(H42)/100))*12+MOD(O42,100)-MOD(VALUE(H42),100))))&gt;0,1+V7_MTY_AMP*MAX(0,(V7_MTY_CUTOFF-(IF(OR(O42="",NOT(ISNUMBER(O42))),360,MAX(0,MIN(480,(INT(O42/100)-INT(VALUE(H42)/100))*12+MOD(O42,100)-MOD(VALUE(H42),100))))))/V7_MTY_CUTOFF),1)</f>
        <v/>
      </c>
      <c r="AD42" s="26">
        <f>MAX(V7_BURN_FLOOR,1-V7_BURN_SLOPE*MIN(1,MAX(0,R42)))</f>
        <v/>
      </c>
      <c r="AE42" s="26">
        <f>IF(V7_USE_ISSUER=1,IFERROR(VLOOKUP(Q42,V7_ISSUER_TABLE,3,FALSE),1),1)</f>
        <v/>
      </c>
      <c r="AF42" s="26">
        <f>PRODUCT(W42:AE42)</f>
        <v/>
      </c>
      <c r="AG42" s="27">
        <f>MIN(V7_BASE_SMM*AF42,V7_SMM_CAP)</f>
        <v/>
      </c>
      <c r="AH42" s="28">
        <f>1-(1-AG42)^12</f>
        <v/>
      </c>
      <c r="AI42" s="28">
        <f>IFERROR(LN(W42)/(LN(W42)+LN(X42)+LN(Y42)+LN(Z42)+LN(AA42)+LN(AB42)+LN(AC42)+LN(AD42))*(AH42-V7_BASE_CPR),0)</f>
        <v/>
      </c>
      <c r="AJ42" s="28">
        <f>IFERROR(LN(X42)/(LN(W42)+LN(X42)+LN(Y42)+LN(Z42)+LN(AA42)+LN(AB42)+LN(AC42)+LN(AD42))*(AH42-V7_BASE_CPR),0)</f>
        <v/>
      </c>
      <c r="AK42" s="28">
        <f>IFERROR(LN(Y42)/(LN(W42)+LN(X42)+LN(Y42)+LN(Z42)+LN(AA42)+LN(AB42)+LN(AC42)+LN(AD42))*(AH42-V7_BASE_CPR),0)</f>
        <v/>
      </c>
      <c r="AL42" s="28">
        <f>IFERROR(LN(Z42)/(LN(W42)+LN(X42)+LN(Y42)+LN(Z42)+LN(AA42)+LN(AB42)+LN(AC42)+LN(AD42))*(AH42-V7_BASE_CPR),0)</f>
        <v/>
      </c>
      <c r="AM42" s="28">
        <f>IFERROR(LN(AA42)/(LN(W42)+LN(X42)+LN(Y42)+LN(Z42)+LN(AA42)+LN(AB42)+LN(AC42)+LN(AD42))*(AH42-V7_BASE_CPR),0)</f>
        <v/>
      </c>
      <c r="AN42" s="28">
        <f>IFERROR(LN(AB42)/(LN(W42)+LN(X42)+LN(Y42)+LN(Z42)+LN(AA42)+LN(AB42)+LN(AC42)+LN(AD42))*(AH42-V7_BASE_CPR),0)</f>
        <v/>
      </c>
      <c r="AO42" s="28">
        <f>IFERROR(LN(AC42)/(LN(W42)+LN(X42)+LN(Y42)+LN(Z42)+LN(AA42)+LN(AB42)+LN(AC42)+LN(AD42))*(AH42-V7_BASE_CPR),0)</f>
        <v/>
      </c>
      <c r="AP42" s="28">
        <f>IFERROR(LN(AD42)/(LN(W42)+LN(X42)+LN(Y42)+LN(Z42)+LN(AA42)+LN(AB42)+LN(AC42)+LN(AD42))*(AH42-V7_BASE_CPR),0)</f>
        <v/>
      </c>
      <c r="AQ42" s="29">
        <f>V7_BASE_CPR+SUM(AI42:AP42)-AH42</f>
        <v/>
      </c>
    </row>
    <row r="43">
      <c r="A43" s="2" t="inlineStr">
        <is>
          <t>3617XJ2A7_000000004811084</t>
        </is>
      </c>
      <c r="B43" t="inlineStr">
        <is>
          <t>BERKADIA_POST21</t>
        </is>
      </c>
      <c r="C43" s="2" t="inlineStr">
        <is>
          <t>3617XJ2A7</t>
        </is>
      </c>
      <c r="D43" t="inlineStr">
        <is>
          <t>BERKADIA COMMERCIAL MORTGAGE, LLC</t>
        </is>
      </c>
      <c r="E43" t="inlineStr">
        <is>
          <t>223f</t>
        </is>
      </c>
      <c r="F43" t="inlineStr">
        <is>
          <t>RP</t>
        </is>
      </c>
      <c r="G43" t="n">
        <v>2021</v>
      </c>
      <c r="H43" t="inlineStr">
        <is>
          <t>202602</t>
        </is>
      </c>
      <c r="I43" s="22" t="n">
        <v>6267503.13</v>
      </c>
      <c r="J43" s="23" t="n">
        <v>2.15</v>
      </c>
      <c r="K43" s="24" t="n">
        <v>447</v>
      </c>
      <c r="L43" s="24" t="n">
        <v>8</v>
      </c>
      <c r="M43" t="n">
        <v>51</v>
      </c>
      <c r="N43" s="25" t="n">
        <v>0</v>
      </c>
      <c r="O43" t="n">
        <v>205703</v>
      </c>
      <c r="P43" t="inlineStr"/>
      <c r="Q43" t="inlineStr">
        <is>
          <t>4082</t>
        </is>
      </c>
      <c r="R43" s="26" t="n">
        <v>0</v>
      </c>
      <c r="S43" t="n">
        <v>0</v>
      </c>
      <c r="T43" s="23">
        <f>LN(1+I43)</f>
        <v/>
      </c>
      <c r="U43" s="24">
        <f>J43*100-K43</f>
        <v/>
      </c>
      <c r="V43" s="24">
        <f>U43-12.5*(L43+1)</f>
        <v/>
      </c>
      <c r="W43" s="26">
        <f>IF(M43&lt;=V7_AGE_KNOT_X_0,V7_AGE_KNOT_Y_0,IF(M43&gt;=V7_AGE_KNOT_X_5,V7_AGE_KNOT_Y_5,IF(M43&lt;=V7_AGE_KNOT_X_1,V7_AGE_KNOT_Y_0+(M43-V7_AGE_KNOT_X_0)/(V7_AGE_KNOT_X_1-V7_AGE_KNOT_X_0)*(V7_AGE_KNOT_Y_1-V7_AGE_KNOT_Y_0),IF(M43&lt;=V7_AGE_KNOT_X_2,V7_AGE_KNOT_Y_1+(M43-V7_AGE_KNOT_X_1)/(V7_AGE_KNOT_X_2-V7_AGE_KNOT_X_1)*(V7_AGE_KNOT_Y_2-V7_AGE_KNOT_Y_1),IF(M43&lt;=V7_AGE_KNOT_X_3,V7_AGE_KNOT_Y_2+(M43-V7_AGE_KNOT_X_2)/(V7_AGE_KNOT_X_3-V7_AGE_KNOT_X_2)*(V7_AGE_KNOT_Y_3-V7_AGE_KNOT_Y_2),IF(M43&lt;=V7_AGE_KNOT_X_4,V7_AGE_KNOT_Y_3+(M43-V7_AGE_KNOT_X_3)/(V7_AGE_KNOT_X_4-V7_AGE_KNOT_X_3)*(V7_AGE_KNOT_Y_4-V7_AGE_KNOT_Y_3),V7_AGE_KNOT_Y_4+(M43-V7_AGE_KNOT_X_4)/(V7_AGE_KNOT_X_5-V7_AGE_KNOT_X_4)*(V7_AGE_KNOT_Y_5-V7_AGE_KNOT_Y_4)))))))</f>
        <v/>
      </c>
      <c r="X43" s="26">
        <f>V7_RATE_FLOOR+V7_RATE_ASYMPTOTE/(1+EXP(-(V43-V7_RATE_MID)/V7_RATE_SLOPE))</f>
        <v/>
      </c>
      <c r="Y43" s="26">
        <f>MAX(V7_SIZE_LOW,MIN(V7_SIZE_HIGH,V7_SIZE_INTERCEPT+V7_SIZE_SLOPE*(T43-V7_SIZE_LOG_ANCHOR)))</f>
        <v/>
      </c>
      <c r="Z43" s="26">
        <f>IF(ISNUMBER(SEARCH("232",E43)),VLOOKUP("232",V7_PROGRAM_TABLE,2,FALSE),IF(ISNUMBER(SEARCH("538",E43)),VLOOKUP("538",V7_PROGRAM_TABLE,2,FALSE),IF(ISNUMBER(SEARCH("223a7",E43)),VLOOKUP("223a7",V7_PROGRAM_TABLE,2,FALSE),IF(ISNUMBER(SEARCH("223f",E43)),VLOOKUP("223f",V7_PROGRAM_TABLE,2,FALSE),V7_PROGRAM_DEFAULT))))</f>
        <v/>
      </c>
      <c r="AA43" s="26">
        <f>IF(S43=1,1+V7_PURPOSE_NC_BUMP*MAX(0,1-ABS(M43-V7_PURPOSE_PEAK_AGE)/V7_PURPOSE_WIDTH),1)</f>
        <v/>
      </c>
      <c r="AB43" s="26">
        <f>IF(AND(IF(OR(P43="",NOT(ISNUMBER(P43))),0,MAX(0,MIN(24,(INT(VALUE(H43)/100)-INT(P43/100))*12+MOD(VALUE(H43),100)-MOD(P43,100))))&gt;0,IF(OR(P43="",NOT(ISNUMBER(P43))),0,MAX(0,MIN(24,(INT(VALUE(H43)/100)-INT(P43/100))*12+MOD(VALUE(H43),100)-MOD(P43,100))))&lt;=12),1+V7_LOCKOUT_AMP*EXP(-(IF(OR(P43="",NOT(ISNUMBER(P43))),0,MAX(0,MIN(24,(INT(VALUE(H43)/100)-INT(P43/100))*12+MOD(VALUE(H43),100)-MOD(P43,100)))))/V7_LOCKOUT_TAU),1)</f>
        <v/>
      </c>
      <c r="AC43" s="26">
        <f>IF(IF(OR(O43="",NOT(ISNUMBER(O43))),360,MAX(0,MIN(480,(INT(O43/100)-INT(VALUE(H43)/100))*12+MOD(O43,100)-MOD(VALUE(H43),100))))&gt;0,1+V7_MTY_AMP*MAX(0,(V7_MTY_CUTOFF-(IF(OR(O43="",NOT(ISNUMBER(O43))),360,MAX(0,MIN(480,(INT(O43/100)-INT(VALUE(H43)/100))*12+MOD(O43,100)-MOD(VALUE(H43),100))))))/V7_MTY_CUTOFF),1)</f>
        <v/>
      </c>
      <c r="AD43" s="26">
        <f>MAX(V7_BURN_FLOOR,1-V7_BURN_SLOPE*MIN(1,MAX(0,R43)))</f>
        <v/>
      </c>
      <c r="AE43" s="26">
        <f>IF(V7_USE_ISSUER=1,IFERROR(VLOOKUP(Q43,V7_ISSUER_TABLE,3,FALSE),1),1)</f>
        <v/>
      </c>
      <c r="AF43" s="26">
        <f>PRODUCT(W43:AE43)</f>
        <v/>
      </c>
      <c r="AG43" s="27">
        <f>MIN(V7_BASE_SMM*AF43,V7_SMM_CAP)</f>
        <v/>
      </c>
      <c r="AH43" s="28">
        <f>1-(1-AG43)^12</f>
        <v/>
      </c>
      <c r="AI43" s="28">
        <f>IFERROR(LN(W43)/(LN(W43)+LN(X43)+LN(Y43)+LN(Z43)+LN(AA43)+LN(AB43)+LN(AC43)+LN(AD43))*(AH43-V7_BASE_CPR),0)</f>
        <v/>
      </c>
      <c r="AJ43" s="28">
        <f>IFERROR(LN(X43)/(LN(W43)+LN(X43)+LN(Y43)+LN(Z43)+LN(AA43)+LN(AB43)+LN(AC43)+LN(AD43))*(AH43-V7_BASE_CPR),0)</f>
        <v/>
      </c>
      <c r="AK43" s="28">
        <f>IFERROR(LN(Y43)/(LN(W43)+LN(X43)+LN(Y43)+LN(Z43)+LN(AA43)+LN(AB43)+LN(AC43)+LN(AD43))*(AH43-V7_BASE_CPR),0)</f>
        <v/>
      </c>
      <c r="AL43" s="28">
        <f>IFERROR(LN(Z43)/(LN(W43)+LN(X43)+LN(Y43)+LN(Z43)+LN(AA43)+LN(AB43)+LN(AC43)+LN(AD43))*(AH43-V7_BASE_CPR),0)</f>
        <v/>
      </c>
      <c r="AM43" s="28">
        <f>IFERROR(LN(AA43)/(LN(W43)+LN(X43)+LN(Y43)+LN(Z43)+LN(AA43)+LN(AB43)+LN(AC43)+LN(AD43))*(AH43-V7_BASE_CPR),0)</f>
        <v/>
      </c>
      <c r="AN43" s="28">
        <f>IFERROR(LN(AB43)/(LN(W43)+LN(X43)+LN(Y43)+LN(Z43)+LN(AA43)+LN(AB43)+LN(AC43)+LN(AD43))*(AH43-V7_BASE_CPR),0)</f>
        <v/>
      </c>
      <c r="AO43" s="28">
        <f>IFERROR(LN(AC43)/(LN(W43)+LN(X43)+LN(Y43)+LN(Z43)+LN(AA43)+LN(AB43)+LN(AC43)+LN(AD43))*(AH43-V7_BASE_CPR),0)</f>
        <v/>
      </c>
      <c r="AP43" s="28">
        <f>IFERROR(LN(AD43)/(LN(W43)+LN(X43)+LN(Y43)+LN(Z43)+LN(AA43)+LN(AB43)+LN(AC43)+LN(AD43))*(AH43-V7_BASE_CPR),0)</f>
        <v/>
      </c>
      <c r="AQ43" s="29">
        <f>V7_BASE_CPR+SUM(AI43:AP43)-AH43</f>
        <v/>
      </c>
    </row>
    <row r="44">
      <c r="A44" s="2" t="inlineStr">
        <is>
          <t>3617NEBN1_000000006722139</t>
        </is>
      </c>
      <c r="B44" t="inlineStr">
        <is>
          <t>BERKADIA_PRE21</t>
        </is>
      </c>
      <c r="C44" s="2" t="inlineStr">
        <is>
          <t>3617NEBN1</t>
        </is>
      </c>
      <c r="D44" t="inlineStr">
        <is>
          <t>BERKADIA COMMERCIAL MORTGAGE, LLC</t>
        </is>
      </c>
      <c r="E44" t="inlineStr">
        <is>
          <t>232</t>
        </is>
      </c>
      <c r="F44" t="inlineStr">
        <is>
          <t>RP</t>
        </is>
      </c>
      <c r="G44" t="n">
        <v>2013</v>
      </c>
      <c r="H44" t="inlineStr">
        <is>
          <t>202602</t>
        </is>
      </c>
      <c r="I44" s="22" t="n">
        <v>8404084.77</v>
      </c>
      <c r="J44" s="23" t="n">
        <v>2.95</v>
      </c>
      <c r="K44" s="24" t="n">
        <v>447</v>
      </c>
      <c r="L44" s="24" t="n">
        <v>6</v>
      </c>
      <c r="M44" t="n">
        <v>148</v>
      </c>
      <c r="N44" s="25" t="n">
        <v>14</v>
      </c>
      <c r="O44" t="n">
        <v>204508</v>
      </c>
      <c r="P44" t="inlineStr"/>
      <c r="Q44" t="inlineStr">
        <is>
          <t>4082</t>
        </is>
      </c>
      <c r="R44" s="26" t="n">
        <v>0.0945945945945946</v>
      </c>
      <c r="S44" t="n">
        <v>0</v>
      </c>
      <c r="T44" s="23">
        <f>LN(1+I44)</f>
        <v/>
      </c>
      <c r="U44" s="24">
        <f>J44*100-K44</f>
        <v/>
      </c>
      <c r="V44" s="24">
        <f>U44-12.5*(L44+1)</f>
        <v/>
      </c>
      <c r="W44" s="26">
        <f>IF(M44&lt;=V7_AGE_KNOT_X_0,V7_AGE_KNOT_Y_0,IF(M44&gt;=V7_AGE_KNOT_X_5,V7_AGE_KNOT_Y_5,IF(M44&lt;=V7_AGE_KNOT_X_1,V7_AGE_KNOT_Y_0+(M44-V7_AGE_KNOT_X_0)/(V7_AGE_KNOT_X_1-V7_AGE_KNOT_X_0)*(V7_AGE_KNOT_Y_1-V7_AGE_KNOT_Y_0),IF(M44&lt;=V7_AGE_KNOT_X_2,V7_AGE_KNOT_Y_1+(M44-V7_AGE_KNOT_X_1)/(V7_AGE_KNOT_X_2-V7_AGE_KNOT_X_1)*(V7_AGE_KNOT_Y_2-V7_AGE_KNOT_Y_1),IF(M44&lt;=V7_AGE_KNOT_X_3,V7_AGE_KNOT_Y_2+(M44-V7_AGE_KNOT_X_2)/(V7_AGE_KNOT_X_3-V7_AGE_KNOT_X_2)*(V7_AGE_KNOT_Y_3-V7_AGE_KNOT_Y_2),IF(M44&lt;=V7_AGE_KNOT_X_4,V7_AGE_KNOT_Y_3+(M44-V7_AGE_KNOT_X_3)/(V7_AGE_KNOT_X_4-V7_AGE_KNOT_X_3)*(V7_AGE_KNOT_Y_4-V7_AGE_KNOT_Y_3),V7_AGE_KNOT_Y_4+(M44-V7_AGE_KNOT_X_4)/(V7_AGE_KNOT_X_5-V7_AGE_KNOT_X_4)*(V7_AGE_KNOT_Y_5-V7_AGE_KNOT_Y_4)))))))</f>
        <v/>
      </c>
      <c r="X44" s="26">
        <f>V7_RATE_FLOOR+V7_RATE_ASYMPTOTE/(1+EXP(-(V44-V7_RATE_MID)/V7_RATE_SLOPE))</f>
        <v/>
      </c>
      <c r="Y44" s="26">
        <f>MAX(V7_SIZE_LOW,MIN(V7_SIZE_HIGH,V7_SIZE_INTERCEPT+V7_SIZE_SLOPE*(T44-V7_SIZE_LOG_ANCHOR)))</f>
        <v/>
      </c>
      <c r="Z44" s="26">
        <f>IF(ISNUMBER(SEARCH("232",E44)),VLOOKUP("232",V7_PROGRAM_TABLE,2,FALSE),IF(ISNUMBER(SEARCH("538",E44)),VLOOKUP("538",V7_PROGRAM_TABLE,2,FALSE),IF(ISNUMBER(SEARCH("223a7",E44)),VLOOKUP("223a7",V7_PROGRAM_TABLE,2,FALSE),IF(ISNUMBER(SEARCH("223f",E44)),VLOOKUP("223f",V7_PROGRAM_TABLE,2,FALSE),V7_PROGRAM_DEFAULT))))</f>
        <v/>
      </c>
      <c r="AA44" s="26">
        <f>IF(S44=1,1+V7_PURPOSE_NC_BUMP*MAX(0,1-ABS(M44-V7_PURPOSE_PEAK_AGE)/V7_PURPOSE_WIDTH),1)</f>
        <v/>
      </c>
      <c r="AB44" s="26">
        <f>IF(AND(IF(OR(P44="",NOT(ISNUMBER(P44))),0,MAX(0,MIN(24,(INT(VALUE(H44)/100)-INT(P44/100))*12+MOD(VALUE(H44),100)-MOD(P44,100))))&gt;0,IF(OR(P44="",NOT(ISNUMBER(P44))),0,MAX(0,MIN(24,(INT(VALUE(H44)/100)-INT(P44/100))*12+MOD(VALUE(H44),100)-MOD(P44,100))))&lt;=12),1+V7_LOCKOUT_AMP*EXP(-(IF(OR(P44="",NOT(ISNUMBER(P44))),0,MAX(0,MIN(24,(INT(VALUE(H44)/100)-INT(P44/100))*12+MOD(VALUE(H44),100)-MOD(P44,100)))))/V7_LOCKOUT_TAU),1)</f>
        <v/>
      </c>
      <c r="AC44" s="26">
        <f>IF(IF(OR(O44="",NOT(ISNUMBER(O44))),360,MAX(0,MIN(480,(INT(O44/100)-INT(VALUE(H44)/100))*12+MOD(O44,100)-MOD(VALUE(H44),100))))&gt;0,1+V7_MTY_AMP*MAX(0,(V7_MTY_CUTOFF-(IF(OR(O44="",NOT(ISNUMBER(O44))),360,MAX(0,MIN(480,(INT(O44/100)-INT(VALUE(H44)/100))*12+MOD(O44,100)-MOD(VALUE(H44),100))))))/V7_MTY_CUTOFF),1)</f>
        <v/>
      </c>
      <c r="AD44" s="26">
        <f>MAX(V7_BURN_FLOOR,1-V7_BURN_SLOPE*MIN(1,MAX(0,R44)))</f>
        <v/>
      </c>
      <c r="AE44" s="26">
        <f>IF(V7_USE_ISSUER=1,IFERROR(VLOOKUP(Q44,V7_ISSUER_TABLE,3,FALSE),1),1)</f>
        <v/>
      </c>
      <c r="AF44" s="26">
        <f>PRODUCT(W44:AE44)</f>
        <v/>
      </c>
      <c r="AG44" s="27">
        <f>MIN(V7_BASE_SMM*AF44,V7_SMM_CAP)</f>
        <v/>
      </c>
      <c r="AH44" s="28">
        <f>1-(1-AG44)^12</f>
        <v/>
      </c>
      <c r="AI44" s="28">
        <f>IFERROR(LN(W44)/(LN(W44)+LN(X44)+LN(Y44)+LN(Z44)+LN(AA44)+LN(AB44)+LN(AC44)+LN(AD44))*(AH44-V7_BASE_CPR),0)</f>
        <v/>
      </c>
      <c r="AJ44" s="28">
        <f>IFERROR(LN(X44)/(LN(W44)+LN(X44)+LN(Y44)+LN(Z44)+LN(AA44)+LN(AB44)+LN(AC44)+LN(AD44))*(AH44-V7_BASE_CPR),0)</f>
        <v/>
      </c>
      <c r="AK44" s="28">
        <f>IFERROR(LN(Y44)/(LN(W44)+LN(X44)+LN(Y44)+LN(Z44)+LN(AA44)+LN(AB44)+LN(AC44)+LN(AD44))*(AH44-V7_BASE_CPR),0)</f>
        <v/>
      </c>
      <c r="AL44" s="28">
        <f>IFERROR(LN(Z44)/(LN(W44)+LN(X44)+LN(Y44)+LN(Z44)+LN(AA44)+LN(AB44)+LN(AC44)+LN(AD44))*(AH44-V7_BASE_CPR),0)</f>
        <v/>
      </c>
      <c r="AM44" s="28">
        <f>IFERROR(LN(AA44)/(LN(W44)+LN(X44)+LN(Y44)+LN(Z44)+LN(AA44)+LN(AB44)+LN(AC44)+LN(AD44))*(AH44-V7_BASE_CPR),0)</f>
        <v/>
      </c>
      <c r="AN44" s="28">
        <f>IFERROR(LN(AB44)/(LN(W44)+LN(X44)+LN(Y44)+LN(Z44)+LN(AA44)+LN(AB44)+LN(AC44)+LN(AD44))*(AH44-V7_BASE_CPR),0)</f>
        <v/>
      </c>
      <c r="AO44" s="28">
        <f>IFERROR(LN(AC44)/(LN(W44)+LN(X44)+LN(Y44)+LN(Z44)+LN(AA44)+LN(AB44)+LN(AC44)+LN(AD44))*(AH44-V7_BASE_CPR),0)</f>
        <v/>
      </c>
      <c r="AP44" s="28">
        <f>IFERROR(LN(AD44)/(LN(W44)+LN(X44)+LN(Y44)+LN(Z44)+LN(AA44)+LN(AB44)+LN(AC44)+LN(AD44))*(AH44-V7_BASE_CPR),0)</f>
        <v/>
      </c>
      <c r="AQ44" s="29">
        <f>V7_BASE_CPR+SUM(AI44:AP44)-AH44</f>
        <v/>
      </c>
    </row>
    <row r="45">
      <c r="A45" s="2" t="inlineStr">
        <is>
          <t>3617XJY61_000000012122239</t>
        </is>
      </c>
      <c r="B45" t="inlineStr">
        <is>
          <t>BERKADIA_POST21</t>
        </is>
      </c>
      <c r="C45" s="2" t="inlineStr">
        <is>
          <t>3617XJY61</t>
        </is>
      </c>
      <c r="D45" t="inlineStr">
        <is>
          <t>BERKADIA COMMERCIAL MORTGAGE, LLC</t>
        </is>
      </c>
      <c r="E45" t="inlineStr">
        <is>
          <t>232</t>
        </is>
      </c>
      <c r="F45" t="inlineStr">
        <is>
          <t>RP</t>
        </is>
      </c>
      <c r="G45" t="n">
        <v>2021</v>
      </c>
      <c r="H45" t="inlineStr">
        <is>
          <t>202602</t>
        </is>
      </c>
      <c r="I45" s="22" t="n">
        <v>4130019.17</v>
      </c>
      <c r="J45" s="23" t="n">
        <v>2.58</v>
      </c>
      <c r="K45" s="24" t="n">
        <v>447</v>
      </c>
      <c r="L45" s="24" t="n">
        <v>8</v>
      </c>
      <c r="M45" t="n">
        <v>53</v>
      </c>
      <c r="N45" s="25" t="n">
        <v>0</v>
      </c>
      <c r="O45" t="n">
        <v>204206</v>
      </c>
      <c r="P45" t="inlineStr"/>
      <c r="Q45" t="inlineStr">
        <is>
          <t>4082</t>
        </is>
      </c>
      <c r="R45" s="26" t="n">
        <v>0</v>
      </c>
      <c r="S45" t="n">
        <v>0</v>
      </c>
      <c r="T45" s="23">
        <f>LN(1+I45)</f>
        <v/>
      </c>
      <c r="U45" s="24">
        <f>J45*100-K45</f>
        <v/>
      </c>
      <c r="V45" s="24">
        <f>U45-12.5*(L45+1)</f>
        <v/>
      </c>
      <c r="W45" s="26">
        <f>IF(M45&lt;=V7_AGE_KNOT_X_0,V7_AGE_KNOT_Y_0,IF(M45&gt;=V7_AGE_KNOT_X_5,V7_AGE_KNOT_Y_5,IF(M45&lt;=V7_AGE_KNOT_X_1,V7_AGE_KNOT_Y_0+(M45-V7_AGE_KNOT_X_0)/(V7_AGE_KNOT_X_1-V7_AGE_KNOT_X_0)*(V7_AGE_KNOT_Y_1-V7_AGE_KNOT_Y_0),IF(M45&lt;=V7_AGE_KNOT_X_2,V7_AGE_KNOT_Y_1+(M45-V7_AGE_KNOT_X_1)/(V7_AGE_KNOT_X_2-V7_AGE_KNOT_X_1)*(V7_AGE_KNOT_Y_2-V7_AGE_KNOT_Y_1),IF(M45&lt;=V7_AGE_KNOT_X_3,V7_AGE_KNOT_Y_2+(M45-V7_AGE_KNOT_X_2)/(V7_AGE_KNOT_X_3-V7_AGE_KNOT_X_2)*(V7_AGE_KNOT_Y_3-V7_AGE_KNOT_Y_2),IF(M45&lt;=V7_AGE_KNOT_X_4,V7_AGE_KNOT_Y_3+(M45-V7_AGE_KNOT_X_3)/(V7_AGE_KNOT_X_4-V7_AGE_KNOT_X_3)*(V7_AGE_KNOT_Y_4-V7_AGE_KNOT_Y_3),V7_AGE_KNOT_Y_4+(M45-V7_AGE_KNOT_X_4)/(V7_AGE_KNOT_X_5-V7_AGE_KNOT_X_4)*(V7_AGE_KNOT_Y_5-V7_AGE_KNOT_Y_4)))))))</f>
        <v/>
      </c>
      <c r="X45" s="26">
        <f>V7_RATE_FLOOR+V7_RATE_ASYMPTOTE/(1+EXP(-(V45-V7_RATE_MID)/V7_RATE_SLOPE))</f>
        <v/>
      </c>
      <c r="Y45" s="26">
        <f>MAX(V7_SIZE_LOW,MIN(V7_SIZE_HIGH,V7_SIZE_INTERCEPT+V7_SIZE_SLOPE*(T45-V7_SIZE_LOG_ANCHOR)))</f>
        <v/>
      </c>
      <c r="Z45" s="26">
        <f>IF(ISNUMBER(SEARCH("232",E45)),VLOOKUP("232",V7_PROGRAM_TABLE,2,FALSE),IF(ISNUMBER(SEARCH("538",E45)),VLOOKUP("538",V7_PROGRAM_TABLE,2,FALSE),IF(ISNUMBER(SEARCH("223a7",E45)),VLOOKUP("223a7",V7_PROGRAM_TABLE,2,FALSE),IF(ISNUMBER(SEARCH("223f",E45)),VLOOKUP("223f",V7_PROGRAM_TABLE,2,FALSE),V7_PROGRAM_DEFAULT))))</f>
        <v/>
      </c>
      <c r="AA45" s="26">
        <f>IF(S45=1,1+V7_PURPOSE_NC_BUMP*MAX(0,1-ABS(M45-V7_PURPOSE_PEAK_AGE)/V7_PURPOSE_WIDTH),1)</f>
        <v/>
      </c>
      <c r="AB45" s="26">
        <f>IF(AND(IF(OR(P45="",NOT(ISNUMBER(P45))),0,MAX(0,MIN(24,(INT(VALUE(H45)/100)-INT(P45/100))*12+MOD(VALUE(H45),100)-MOD(P45,100))))&gt;0,IF(OR(P45="",NOT(ISNUMBER(P45))),0,MAX(0,MIN(24,(INT(VALUE(H45)/100)-INT(P45/100))*12+MOD(VALUE(H45),100)-MOD(P45,100))))&lt;=12),1+V7_LOCKOUT_AMP*EXP(-(IF(OR(P45="",NOT(ISNUMBER(P45))),0,MAX(0,MIN(24,(INT(VALUE(H45)/100)-INT(P45/100))*12+MOD(VALUE(H45),100)-MOD(P45,100)))))/V7_LOCKOUT_TAU),1)</f>
        <v/>
      </c>
      <c r="AC45" s="26">
        <f>IF(IF(OR(O45="",NOT(ISNUMBER(O45))),360,MAX(0,MIN(480,(INT(O45/100)-INT(VALUE(H45)/100))*12+MOD(O45,100)-MOD(VALUE(H45),100))))&gt;0,1+V7_MTY_AMP*MAX(0,(V7_MTY_CUTOFF-(IF(OR(O45="",NOT(ISNUMBER(O45))),360,MAX(0,MIN(480,(INT(O45/100)-INT(VALUE(H45)/100))*12+MOD(O45,100)-MOD(VALUE(H45),100))))))/V7_MTY_CUTOFF),1)</f>
        <v/>
      </c>
      <c r="AD45" s="26">
        <f>MAX(V7_BURN_FLOOR,1-V7_BURN_SLOPE*MIN(1,MAX(0,R45)))</f>
        <v/>
      </c>
      <c r="AE45" s="26">
        <f>IF(V7_USE_ISSUER=1,IFERROR(VLOOKUP(Q45,V7_ISSUER_TABLE,3,FALSE),1),1)</f>
        <v/>
      </c>
      <c r="AF45" s="26">
        <f>PRODUCT(W45:AE45)</f>
        <v/>
      </c>
      <c r="AG45" s="27">
        <f>MIN(V7_BASE_SMM*AF45,V7_SMM_CAP)</f>
        <v/>
      </c>
      <c r="AH45" s="28">
        <f>1-(1-AG45)^12</f>
        <v/>
      </c>
      <c r="AI45" s="28">
        <f>IFERROR(LN(W45)/(LN(W45)+LN(X45)+LN(Y45)+LN(Z45)+LN(AA45)+LN(AB45)+LN(AC45)+LN(AD45))*(AH45-V7_BASE_CPR),0)</f>
        <v/>
      </c>
      <c r="AJ45" s="28">
        <f>IFERROR(LN(X45)/(LN(W45)+LN(X45)+LN(Y45)+LN(Z45)+LN(AA45)+LN(AB45)+LN(AC45)+LN(AD45))*(AH45-V7_BASE_CPR),0)</f>
        <v/>
      </c>
      <c r="AK45" s="28">
        <f>IFERROR(LN(Y45)/(LN(W45)+LN(X45)+LN(Y45)+LN(Z45)+LN(AA45)+LN(AB45)+LN(AC45)+LN(AD45))*(AH45-V7_BASE_CPR),0)</f>
        <v/>
      </c>
      <c r="AL45" s="28">
        <f>IFERROR(LN(Z45)/(LN(W45)+LN(X45)+LN(Y45)+LN(Z45)+LN(AA45)+LN(AB45)+LN(AC45)+LN(AD45))*(AH45-V7_BASE_CPR),0)</f>
        <v/>
      </c>
      <c r="AM45" s="28">
        <f>IFERROR(LN(AA45)/(LN(W45)+LN(X45)+LN(Y45)+LN(Z45)+LN(AA45)+LN(AB45)+LN(AC45)+LN(AD45))*(AH45-V7_BASE_CPR),0)</f>
        <v/>
      </c>
      <c r="AN45" s="28">
        <f>IFERROR(LN(AB45)/(LN(W45)+LN(X45)+LN(Y45)+LN(Z45)+LN(AA45)+LN(AB45)+LN(AC45)+LN(AD45))*(AH45-V7_BASE_CPR),0)</f>
        <v/>
      </c>
      <c r="AO45" s="28">
        <f>IFERROR(LN(AC45)/(LN(W45)+LN(X45)+LN(Y45)+LN(Z45)+LN(AA45)+LN(AB45)+LN(AC45)+LN(AD45))*(AH45-V7_BASE_CPR),0)</f>
        <v/>
      </c>
      <c r="AP45" s="28">
        <f>IFERROR(LN(AD45)/(LN(W45)+LN(X45)+LN(Y45)+LN(Z45)+LN(AA45)+LN(AB45)+LN(AC45)+LN(AD45))*(AH45-V7_BASE_CPR),0)</f>
        <v/>
      </c>
      <c r="AQ45" s="29">
        <f>V7_BASE_CPR+SUM(AI45:AP45)-AH45</f>
        <v/>
      </c>
    </row>
    <row r="46">
      <c r="A46" s="2" t="inlineStr">
        <is>
          <t>3617BRKN5_000000005111395</t>
        </is>
      </c>
      <c r="B46" t="inlineStr">
        <is>
          <t>BERKADIA_PRE21</t>
        </is>
      </c>
      <c r="C46" s="2" t="inlineStr">
        <is>
          <t>3617BRKN5</t>
        </is>
      </c>
      <c r="D46" t="inlineStr">
        <is>
          <t>BERKADIA COMMERCIAL MORTGAGE, LLC</t>
        </is>
      </c>
      <c r="E46" t="inlineStr">
        <is>
          <t>223f</t>
        </is>
      </c>
      <c r="F46" t="inlineStr">
        <is>
          <t>RP</t>
        </is>
      </c>
      <c r="G46" t="n">
        <v>2017</v>
      </c>
      <c r="H46" t="inlineStr">
        <is>
          <t>202602</t>
        </is>
      </c>
      <c r="I46" s="22" t="n">
        <v>6113588.54</v>
      </c>
      <c r="J46" s="23" t="n">
        <v>3.13</v>
      </c>
      <c r="K46" s="24" t="n">
        <v>447</v>
      </c>
      <c r="L46" s="24" t="n">
        <v>4</v>
      </c>
      <c r="M46" t="n">
        <v>98</v>
      </c>
      <c r="N46" s="25" t="n">
        <v>19</v>
      </c>
      <c r="O46" t="n">
        <v>205303</v>
      </c>
      <c r="P46" t="inlineStr"/>
      <c r="Q46" t="inlineStr">
        <is>
          <t>4082</t>
        </is>
      </c>
      <c r="R46" s="26" t="n">
        <v>0.1938775510204082</v>
      </c>
      <c r="S46" t="n">
        <v>0</v>
      </c>
      <c r="T46" s="23">
        <f>LN(1+I46)</f>
        <v/>
      </c>
      <c r="U46" s="24">
        <f>J46*100-K46</f>
        <v/>
      </c>
      <c r="V46" s="24">
        <f>U46-12.5*(L46+1)</f>
        <v/>
      </c>
      <c r="W46" s="26">
        <f>IF(M46&lt;=V7_AGE_KNOT_X_0,V7_AGE_KNOT_Y_0,IF(M46&gt;=V7_AGE_KNOT_X_5,V7_AGE_KNOT_Y_5,IF(M46&lt;=V7_AGE_KNOT_X_1,V7_AGE_KNOT_Y_0+(M46-V7_AGE_KNOT_X_0)/(V7_AGE_KNOT_X_1-V7_AGE_KNOT_X_0)*(V7_AGE_KNOT_Y_1-V7_AGE_KNOT_Y_0),IF(M46&lt;=V7_AGE_KNOT_X_2,V7_AGE_KNOT_Y_1+(M46-V7_AGE_KNOT_X_1)/(V7_AGE_KNOT_X_2-V7_AGE_KNOT_X_1)*(V7_AGE_KNOT_Y_2-V7_AGE_KNOT_Y_1),IF(M46&lt;=V7_AGE_KNOT_X_3,V7_AGE_KNOT_Y_2+(M46-V7_AGE_KNOT_X_2)/(V7_AGE_KNOT_X_3-V7_AGE_KNOT_X_2)*(V7_AGE_KNOT_Y_3-V7_AGE_KNOT_Y_2),IF(M46&lt;=V7_AGE_KNOT_X_4,V7_AGE_KNOT_Y_3+(M46-V7_AGE_KNOT_X_3)/(V7_AGE_KNOT_X_4-V7_AGE_KNOT_X_3)*(V7_AGE_KNOT_Y_4-V7_AGE_KNOT_Y_3),V7_AGE_KNOT_Y_4+(M46-V7_AGE_KNOT_X_4)/(V7_AGE_KNOT_X_5-V7_AGE_KNOT_X_4)*(V7_AGE_KNOT_Y_5-V7_AGE_KNOT_Y_4)))))))</f>
        <v/>
      </c>
      <c r="X46" s="26">
        <f>V7_RATE_FLOOR+V7_RATE_ASYMPTOTE/(1+EXP(-(V46-V7_RATE_MID)/V7_RATE_SLOPE))</f>
        <v/>
      </c>
      <c r="Y46" s="26">
        <f>MAX(V7_SIZE_LOW,MIN(V7_SIZE_HIGH,V7_SIZE_INTERCEPT+V7_SIZE_SLOPE*(T46-V7_SIZE_LOG_ANCHOR)))</f>
        <v/>
      </c>
      <c r="Z46" s="26">
        <f>IF(ISNUMBER(SEARCH("232",E46)),VLOOKUP("232",V7_PROGRAM_TABLE,2,FALSE),IF(ISNUMBER(SEARCH("538",E46)),VLOOKUP("538",V7_PROGRAM_TABLE,2,FALSE),IF(ISNUMBER(SEARCH("223a7",E46)),VLOOKUP("223a7",V7_PROGRAM_TABLE,2,FALSE),IF(ISNUMBER(SEARCH("223f",E46)),VLOOKUP("223f",V7_PROGRAM_TABLE,2,FALSE),V7_PROGRAM_DEFAULT))))</f>
        <v/>
      </c>
      <c r="AA46" s="26">
        <f>IF(S46=1,1+V7_PURPOSE_NC_BUMP*MAX(0,1-ABS(M46-V7_PURPOSE_PEAK_AGE)/V7_PURPOSE_WIDTH),1)</f>
        <v/>
      </c>
      <c r="AB46" s="26">
        <f>IF(AND(IF(OR(P46="",NOT(ISNUMBER(P46))),0,MAX(0,MIN(24,(INT(VALUE(H46)/100)-INT(P46/100))*12+MOD(VALUE(H46),100)-MOD(P46,100))))&gt;0,IF(OR(P46="",NOT(ISNUMBER(P46))),0,MAX(0,MIN(24,(INT(VALUE(H46)/100)-INT(P46/100))*12+MOD(VALUE(H46),100)-MOD(P46,100))))&lt;=12),1+V7_LOCKOUT_AMP*EXP(-(IF(OR(P46="",NOT(ISNUMBER(P46))),0,MAX(0,MIN(24,(INT(VALUE(H46)/100)-INT(P46/100))*12+MOD(VALUE(H46),100)-MOD(P46,100)))))/V7_LOCKOUT_TAU),1)</f>
        <v/>
      </c>
      <c r="AC46" s="26">
        <f>IF(IF(OR(O46="",NOT(ISNUMBER(O46))),360,MAX(0,MIN(480,(INT(O46/100)-INT(VALUE(H46)/100))*12+MOD(O46,100)-MOD(VALUE(H46),100))))&gt;0,1+V7_MTY_AMP*MAX(0,(V7_MTY_CUTOFF-(IF(OR(O46="",NOT(ISNUMBER(O46))),360,MAX(0,MIN(480,(INT(O46/100)-INT(VALUE(H46)/100))*12+MOD(O46,100)-MOD(VALUE(H46),100))))))/V7_MTY_CUTOFF),1)</f>
        <v/>
      </c>
      <c r="AD46" s="26">
        <f>MAX(V7_BURN_FLOOR,1-V7_BURN_SLOPE*MIN(1,MAX(0,R46)))</f>
        <v/>
      </c>
      <c r="AE46" s="26">
        <f>IF(V7_USE_ISSUER=1,IFERROR(VLOOKUP(Q46,V7_ISSUER_TABLE,3,FALSE),1),1)</f>
        <v/>
      </c>
      <c r="AF46" s="26">
        <f>PRODUCT(W46:AE46)</f>
        <v/>
      </c>
      <c r="AG46" s="27">
        <f>MIN(V7_BASE_SMM*AF46,V7_SMM_CAP)</f>
        <v/>
      </c>
      <c r="AH46" s="28">
        <f>1-(1-AG46)^12</f>
        <v/>
      </c>
      <c r="AI46" s="28">
        <f>IFERROR(LN(W46)/(LN(W46)+LN(X46)+LN(Y46)+LN(Z46)+LN(AA46)+LN(AB46)+LN(AC46)+LN(AD46))*(AH46-V7_BASE_CPR),0)</f>
        <v/>
      </c>
      <c r="AJ46" s="28">
        <f>IFERROR(LN(X46)/(LN(W46)+LN(X46)+LN(Y46)+LN(Z46)+LN(AA46)+LN(AB46)+LN(AC46)+LN(AD46))*(AH46-V7_BASE_CPR),0)</f>
        <v/>
      </c>
      <c r="AK46" s="28">
        <f>IFERROR(LN(Y46)/(LN(W46)+LN(X46)+LN(Y46)+LN(Z46)+LN(AA46)+LN(AB46)+LN(AC46)+LN(AD46))*(AH46-V7_BASE_CPR),0)</f>
        <v/>
      </c>
      <c r="AL46" s="28">
        <f>IFERROR(LN(Z46)/(LN(W46)+LN(X46)+LN(Y46)+LN(Z46)+LN(AA46)+LN(AB46)+LN(AC46)+LN(AD46))*(AH46-V7_BASE_CPR),0)</f>
        <v/>
      </c>
      <c r="AM46" s="28">
        <f>IFERROR(LN(AA46)/(LN(W46)+LN(X46)+LN(Y46)+LN(Z46)+LN(AA46)+LN(AB46)+LN(AC46)+LN(AD46))*(AH46-V7_BASE_CPR),0)</f>
        <v/>
      </c>
      <c r="AN46" s="28">
        <f>IFERROR(LN(AB46)/(LN(W46)+LN(X46)+LN(Y46)+LN(Z46)+LN(AA46)+LN(AB46)+LN(AC46)+LN(AD46))*(AH46-V7_BASE_CPR),0)</f>
        <v/>
      </c>
      <c r="AO46" s="28">
        <f>IFERROR(LN(AC46)/(LN(W46)+LN(X46)+LN(Y46)+LN(Z46)+LN(AA46)+LN(AB46)+LN(AC46)+LN(AD46))*(AH46-V7_BASE_CPR),0)</f>
        <v/>
      </c>
      <c r="AP46" s="28">
        <f>IFERROR(LN(AD46)/(LN(W46)+LN(X46)+LN(Y46)+LN(Z46)+LN(AA46)+LN(AB46)+LN(AC46)+LN(AD46))*(AH46-V7_BASE_CPR),0)</f>
        <v/>
      </c>
      <c r="AQ46" s="29">
        <f>V7_BASE_CPR+SUM(AI46:AP46)-AH46</f>
        <v/>
      </c>
    </row>
    <row r="47">
      <c r="A47" s="2" t="inlineStr">
        <is>
          <t>3617AGRX1_000000007311922</t>
        </is>
      </c>
      <c r="B47" t="inlineStr">
        <is>
          <t>BERKADIA_PRE21</t>
        </is>
      </c>
      <c r="C47" s="2" t="inlineStr">
        <is>
          <t>3617AGRX1</t>
        </is>
      </c>
      <c r="D47" t="inlineStr">
        <is>
          <t>BERKADIA COMMERCIAL MORTGAGE, LLC</t>
        </is>
      </c>
      <c r="E47" t="inlineStr">
        <is>
          <t>221d4</t>
        </is>
      </c>
      <c r="F47" t="inlineStr">
        <is>
          <t>RP</t>
        </is>
      </c>
      <c r="G47" t="n">
        <v>2017</v>
      </c>
      <c r="H47" t="inlineStr">
        <is>
          <t>202602</t>
        </is>
      </c>
      <c r="I47" s="22" t="n">
        <v>137331.58</v>
      </c>
      <c r="J47" s="23" t="n">
        <v>4.25</v>
      </c>
      <c r="K47" s="24" t="n">
        <v>447</v>
      </c>
      <c r="L47" s="24" t="n">
        <v>3</v>
      </c>
      <c r="M47" t="n">
        <v>102</v>
      </c>
      <c r="N47" s="25" t="n">
        <v>36</v>
      </c>
      <c r="O47" t="n">
        <v>204712</v>
      </c>
      <c r="P47" t="inlineStr"/>
      <c r="Q47" t="inlineStr">
        <is>
          <t>4082</t>
        </is>
      </c>
      <c r="R47" s="26" t="n">
        <v>0.3529411764705883</v>
      </c>
      <c r="S47" t="n">
        <v>0</v>
      </c>
      <c r="T47" s="23">
        <f>LN(1+I47)</f>
        <v/>
      </c>
      <c r="U47" s="24">
        <f>J47*100-K47</f>
        <v/>
      </c>
      <c r="V47" s="24">
        <f>U47-12.5*(L47+1)</f>
        <v/>
      </c>
      <c r="W47" s="26">
        <f>IF(M47&lt;=V7_AGE_KNOT_X_0,V7_AGE_KNOT_Y_0,IF(M47&gt;=V7_AGE_KNOT_X_5,V7_AGE_KNOT_Y_5,IF(M47&lt;=V7_AGE_KNOT_X_1,V7_AGE_KNOT_Y_0+(M47-V7_AGE_KNOT_X_0)/(V7_AGE_KNOT_X_1-V7_AGE_KNOT_X_0)*(V7_AGE_KNOT_Y_1-V7_AGE_KNOT_Y_0),IF(M47&lt;=V7_AGE_KNOT_X_2,V7_AGE_KNOT_Y_1+(M47-V7_AGE_KNOT_X_1)/(V7_AGE_KNOT_X_2-V7_AGE_KNOT_X_1)*(V7_AGE_KNOT_Y_2-V7_AGE_KNOT_Y_1),IF(M47&lt;=V7_AGE_KNOT_X_3,V7_AGE_KNOT_Y_2+(M47-V7_AGE_KNOT_X_2)/(V7_AGE_KNOT_X_3-V7_AGE_KNOT_X_2)*(V7_AGE_KNOT_Y_3-V7_AGE_KNOT_Y_2),IF(M47&lt;=V7_AGE_KNOT_X_4,V7_AGE_KNOT_Y_3+(M47-V7_AGE_KNOT_X_3)/(V7_AGE_KNOT_X_4-V7_AGE_KNOT_X_3)*(V7_AGE_KNOT_Y_4-V7_AGE_KNOT_Y_3),V7_AGE_KNOT_Y_4+(M47-V7_AGE_KNOT_X_4)/(V7_AGE_KNOT_X_5-V7_AGE_KNOT_X_4)*(V7_AGE_KNOT_Y_5-V7_AGE_KNOT_Y_4)))))))</f>
        <v/>
      </c>
      <c r="X47" s="26">
        <f>V7_RATE_FLOOR+V7_RATE_ASYMPTOTE/(1+EXP(-(V47-V7_RATE_MID)/V7_RATE_SLOPE))</f>
        <v/>
      </c>
      <c r="Y47" s="26">
        <f>MAX(V7_SIZE_LOW,MIN(V7_SIZE_HIGH,V7_SIZE_INTERCEPT+V7_SIZE_SLOPE*(T47-V7_SIZE_LOG_ANCHOR)))</f>
        <v/>
      </c>
      <c r="Z47" s="26">
        <f>IF(ISNUMBER(SEARCH("232",E47)),VLOOKUP("232",V7_PROGRAM_TABLE,2,FALSE),IF(ISNUMBER(SEARCH("538",E47)),VLOOKUP("538",V7_PROGRAM_TABLE,2,FALSE),IF(ISNUMBER(SEARCH("223a7",E47)),VLOOKUP("223a7",V7_PROGRAM_TABLE,2,FALSE),IF(ISNUMBER(SEARCH("223f",E47)),VLOOKUP("223f",V7_PROGRAM_TABLE,2,FALSE),V7_PROGRAM_DEFAULT))))</f>
        <v/>
      </c>
      <c r="AA47" s="26">
        <f>IF(S47=1,1+V7_PURPOSE_NC_BUMP*MAX(0,1-ABS(M47-V7_PURPOSE_PEAK_AGE)/V7_PURPOSE_WIDTH),1)</f>
        <v/>
      </c>
      <c r="AB47" s="26">
        <f>IF(AND(IF(OR(P47="",NOT(ISNUMBER(P47))),0,MAX(0,MIN(24,(INT(VALUE(H47)/100)-INT(P47/100))*12+MOD(VALUE(H47),100)-MOD(P47,100))))&gt;0,IF(OR(P47="",NOT(ISNUMBER(P47))),0,MAX(0,MIN(24,(INT(VALUE(H47)/100)-INT(P47/100))*12+MOD(VALUE(H47),100)-MOD(P47,100))))&lt;=12),1+V7_LOCKOUT_AMP*EXP(-(IF(OR(P47="",NOT(ISNUMBER(P47))),0,MAX(0,MIN(24,(INT(VALUE(H47)/100)-INT(P47/100))*12+MOD(VALUE(H47),100)-MOD(P47,100)))))/V7_LOCKOUT_TAU),1)</f>
        <v/>
      </c>
      <c r="AC47" s="26">
        <f>IF(IF(OR(O47="",NOT(ISNUMBER(O47))),360,MAX(0,MIN(480,(INT(O47/100)-INT(VALUE(H47)/100))*12+MOD(O47,100)-MOD(VALUE(H47),100))))&gt;0,1+V7_MTY_AMP*MAX(0,(V7_MTY_CUTOFF-(IF(OR(O47="",NOT(ISNUMBER(O47))),360,MAX(0,MIN(480,(INT(O47/100)-INT(VALUE(H47)/100))*12+MOD(O47,100)-MOD(VALUE(H47),100))))))/V7_MTY_CUTOFF),1)</f>
        <v/>
      </c>
      <c r="AD47" s="26">
        <f>MAX(V7_BURN_FLOOR,1-V7_BURN_SLOPE*MIN(1,MAX(0,R47)))</f>
        <v/>
      </c>
      <c r="AE47" s="26">
        <f>IF(V7_USE_ISSUER=1,IFERROR(VLOOKUP(Q47,V7_ISSUER_TABLE,3,FALSE),1),1)</f>
        <v/>
      </c>
      <c r="AF47" s="26">
        <f>PRODUCT(W47:AE47)</f>
        <v/>
      </c>
      <c r="AG47" s="27">
        <f>MIN(V7_BASE_SMM*AF47,V7_SMM_CAP)</f>
        <v/>
      </c>
      <c r="AH47" s="28">
        <f>1-(1-AG47)^12</f>
        <v/>
      </c>
      <c r="AI47" s="28">
        <f>IFERROR(LN(W47)/(LN(W47)+LN(X47)+LN(Y47)+LN(Z47)+LN(AA47)+LN(AB47)+LN(AC47)+LN(AD47))*(AH47-V7_BASE_CPR),0)</f>
        <v/>
      </c>
      <c r="AJ47" s="28">
        <f>IFERROR(LN(X47)/(LN(W47)+LN(X47)+LN(Y47)+LN(Z47)+LN(AA47)+LN(AB47)+LN(AC47)+LN(AD47))*(AH47-V7_BASE_CPR),0)</f>
        <v/>
      </c>
      <c r="AK47" s="28">
        <f>IFERROR(LN(Y47)/(LN(W47)+LN(X47)+LN(Y47)+LN(Z47)+LN(AA47)+LN(AB47)+LN(AC47)+LN(AD47))*(AH47-V7_BASE_CPR),0)</f>
        <v/>
      </c>
      <c r="AL47" s="28">
        <f>IFERROR(LN(Z47)/(LN(W47)+LN(X47)+LN(Y47)+LN(Z47)+LN(AA47)+LN(AB47)+LN(AC47)+LN(AD47))*(AH47-V7_BASE_CPR),0)</f>
        <v/>
      </c>
      <c r="AM47" s="28">
        <f>IFERROR(LN(AA47)/(LN(W47)+LN(X47)+LN(Y47)+LN(Z47)+LN(AA47)+LN(AB47)+LN(AC47)+LN(AD47))*(AH47-V7_BASE_CPR),0)</f>
        <v/>
      </c>
      <c r="AN47" s="28">
        <f>IFERROR(LN(AB47)/(LN(W47)+LN(X47)+LN(Y47)+LN(Z47)+LN(AA47)+LN(AB47)+LN(AC47)+LN(AD47))*(AH47-V7_BASE_CPR),0)</f>
        <v/>
      </c>
      <c r="AO47" s="28">
        <f>IFERROR(LN(AC47)/(LN(W47)+LN(X47)+LN(Y47)+LN(Z47)+LN(AA47)+LN(AB47)+LN(AC47)+LN(AD47))*(AH47-V7_BASE_CPR),0)</f>
        <v/>
      </c>
      <c r="AP47" s="28">
        <f>IFERROR(LN(AD47)/(LN(W47)+LN(X47)+LN(Y47)+LN(Z47)+LN(AA47)+LN(AB47)+LN(AC47)+LN(AD47))*(AH47-V7_BASE_CPR),0)</f>
        <v/>
      </c>
      <c r="AQ47" s="29">
        <f>V7_BASE_CPR+SUM(AI47:AP47)-AH47</f>
        <v/>
      </c>
    </row>
    <row r="48">
      <c r="A48" s="2" t="inlineStr">
        <is>
          <t>3617XJZZ6_000000011535902</t>
        </is>
      </c>
      <c r="B48" t="inlineStr">
        <is>
          <t>BERKADIA_POST21</t>
        </is>
      </c>
      <c r="C48" s="2" t="inlineStr">
        <is>
          <t>3617XJZZ6</t>
        </is>
      </c>
      <c r="D48" t="inlineStr">
        <is>
          <t>BERKADIA COMMERCIAL MORTGAGE, LLC</t>
        </is>
      </c>
      <c r="E48" t="inlineStr">
        <is>
          <t>221d4</t>
        </is>
      </c>
      <c r="F48" t="inlineStr">
        <is>
          <t>NC</t>
        </is>
      </c>
      <c r="G48" t="n">
        <v>2021</v>
      </c>
      <c r="H48" t="inlineStr">
        <is>
          <t>202602</t>
        </is>
      </c>
      <c r="I48" s="22" t="n">
        <v>45179299.6</v>
      </c>
      <c r="J48" s="23" t="n">
        <v>2.96</v>
      </c>
      <c r="K48" s="24" t="n">
        <v>447</v>
      </c>
      <c r="L48" s="24" t="n">
        <v>10</v>
      </c>
      <c r="M48" t="n">
        <v>50</v>
      </c>
      <c r="N48" s="25" t="n">
        <v>0</v>
      </c>
      <c r="O48" t="n">
        <v>206408</v>
      </c>
      <c r="P48" t="inlineStr"/>
      <c r="Q48" t="inlineStr">
        <is>
          <t>4082</t>
        </is>
      </c>
      <c r="R48" s="26" t="n">
        <v>0</v>
      </c>
      <c r="S48" t="n">
        <v>1</v>
      </c>
      <c r="T48" s="23">
        <f>LN(1+I48)</f>
        <v/>
      </c>
      <c r="U48" s="24">
        <f>J48*100-K48</f>
        <v/>
      </c>
      <c r="V48" s="24">
        <f>U48-12.5*(L48+1)</f>
        <v/>
      </c>
      <c r="W48" s="26">
        <f>IF(M48&lt;=V7_AGE_KNOT_X_0,V7_AGE_KNOT_Y_0,IF(M48&gt;=V7_AGE_KNOT_X_5,V7_AGE_KNOT_Y_5,IF(M48&lt;=V7_AGE_KNOT_X_1,V7_AGE_KNOT_Y_0+(M48-V7_AGE_KNOT_X_0)/(V7_AGE_KNOT_X_1-V7_AGE_KNOT_X_0)*(V7_AGE_KNOT_Y_1-V7_AGE_KNOT_Y_0),IF(M48&lt;=V7_AGE_KNOT_X_2,V7_AGE_KNOT_Y_1+(M48-V7_AGE_KNOT_X_1)/(V7_AGE_KNOT_X_2-V7_AGE_KNOT_X_1)*(V7_AGE_KNOT_Y_2-V7_AGE_KNOT_Y_1),IF(M48&lt;=V7_AGE_KNOT_X_3,V7_AGE_KNOT_Y_2+(M48-V7_AGE_KNOT_X_2)/(V7_AGE_KNOT_X_3-V7_AGE_KNOT_X_2)*(V7_AGE_KNOT_Y_3-V7_AGE_KNOT_Y_2),IF(M48&lt;=V7_AGE_KNOT_X_4,V7_AGE_KNOT_Y_3+(M48-V7_AGE_KNOT_X_3)/(V7_AGE_KNOT_X_4-V7_AGE_KNOT_X_3)*(V7_AGE_KNOT_Y_4-V7_AGE_KNOT_Y_3),V7_AGE_KNOT_Y_4+(M48-V7_AGE_KNOT_X_4)/(V7_AGE_KNOT_X_5-V7_AGE_KNOT_X_4)*(V7_AGE_KNOT_Y_5-V7_AGE_KNOT_Y_4)))))))</f>
        <v/>
      </c>
      <c r="X48" s="26">
        <f>V7_RATE_FLOOR+V7_RATE_ASYMPTOTE/(1+EXP(-(V48-V7_RATE_MID)/V7_RATE_SLOPE))</f>
        <v/>
      </c>
      <c r="Y48" s="26">
        <f>MAX(V7_SIZE_LOW,MIN(V7_SIZE_HIGH,V7_SIZE_INTERCEPT+V7_SIZE_SLOPE*(T48-V7_SIZE_LOG_ANCHOR)))</f>
        <v/>
      </c>
      <c r="Z48" s="26">
        <f>IF(ISNUMBER(SEARCH("232",E48)),VLOOKUP("232",V7_PROGRAM_TABLE,2,FALSE),IF(ISNUMBER(SEARCH("538",E48)),VLOOKUP("538",V7_PROGRAM_TABLE,2,FALSE),IF(ISNUMBER(SEARCH("223a7",E48)),VLOOKUP("223a7",V7_PROGRAM_TABLE,2,FALSE),IF(ISNUMBER(SEARCH("223f",E48)),VLOOKUP("223f",V7_PROGRAM_TABLE,2,FALSE),V7_PROGRAM_DEFAULT))))</f>
        <v/>
      </c>
      <c r="AA48" s="26">
        <f>IF(S48=1,1+V7_PURPOSE_NC_BUMP*MAX(0,1-ABS(M48-V7_PURPOSE_PEAK_AGE)/V7_PURPOSE_WIDTH),1)</f>
        <v/>
      </c>
      <c r="AB48" s="26">
        <f>IF(AND(IF(OR(P48="",NOT(ISNUMBER(P48))),0,MAX(0,MIN(24,(INT(VALUE(H48)/100)-INT(P48/100))*12+MOD(VALUE(H48),100)-MOD(P48,100))))&gt;0,IF(OR(P48="",NOT(ISNUMBER(P48))),0,MAX(0,MIN(24,(INT(VALUE(H48)/100)-INT(P48/100))*12+MOD(VALUE(H48),100)-MOD(P48,100))))&lt;=12),1+V7_LOCKOUT_AMP*EXP(-(IF(OR(P48="",NOT(ISNUMBER(P48))),0,MAX(0,MIN(24,(INT(VALUE(H48)/100)-INT(P48/100))*12+MOD(VALUE(H48),100)-MOD(P48,100)))))/V7_LOCKOUT_TAU),1)</f>
        <v/>
      </c>
      <c r="AC48" s="26">
        <f>IF(IF(OR(O48="",NOT(ISNUMBER(O48))),360,MAX(0,MIN(480,(INT(O48/100)-INT(VALUE(H48)/100))*12+MOD(O48,100)-MOD(VALUE(H48),100))))&gt;0,1+V7_MTY_AMP*MAX(0,(V7_MTY_CUTOFF-(IF(OR(O48="",NOT(ISNUMBER(O48))),360,MAX(0,MIN(480,(INT(O48/100)-INT(VALUE(H48)/100))*12+MOD(O48,100)-MOD(VALUE(H48),100))))))/V7_MTY_CUTOFF),1)</f>
        <v/>
      </c>
      <c r="AD48" s="26">
        <f>MAX(V7_BURN_FLOOR,1-V7_BURN_SLOPE*MIN(1,MAX(0,R48)))</f>
        <v/>
      </c>
      <c r="AE48" s="26">
        <f>IF(V7_USE_ISSUER=1,IFERROR(VLOOKUP(Q48,V7_ISSUER_TABLE,3,FALSE),1),1)</f>
        <v/>
      </c>
      <c r="AF48" s="26">
        <f>PRODUCT(W48:AE48)</f>
        <v/>
      </c>
      <c r="AG48" s="27">
        <f>MIN(V7_BASE_SMM*AF48,V7_SMM_CAP)</f>
        <v/>
      </c>
      <c r="AH48" s="28">
        <f>1-(1-AG48)^12</f>
        <v/>
      </c>
      <c r="AI48" s="28">
        <f>IFERROR(LN(W48)/(LN(W48)+LN(X48)+LN(Y48)+LN(Z48)+LN(AA48)+LN(AB48)+LN(AC48)+LN(AD48))*(AH48-V7_BASE_CPR),0)</f>
        <v/>
      </c>
      <c r="AJ48" s="28">
        <f>IFERROR(LN(X48)/(LN(W48)+LN(X48)+LN(Y48)+LN(Z48)+LN(AA48)+LN(AB48)+LN(AC48)+LN(AD48))*(AH48-V7_BASE_CPR),0)</f>
        <v/>
      </c>
      <c r="AK48" s="28">
        <f>IFERROR(LN(Y48)/(LN(W48)+LN(X48)+LN(Y48)+LN(Z48)+LN(AA48)+LN(AB48)+LN(AC48)+LN(AD48))*(AH48-V7_BASE_CPR),0)</f>
        <v/>
      </c>
      <c r="AL48" s="28">
        <f>IFERROR(LN(Z48)/(LN(W48)+LN(X48)+LN(Y48)+LN(Z48)+LN(AA48)+LN(AB48)+LN(AC48)+LN(AD48))*(AH48-V7_BASE_CPR),0)</f>
        <v/>
      </c>
      <c r="AM48" s="28">
        <f>IFERROR(LN(AA48)/(LN(W48)+LN(X48)+LN(Y48)+LN(Z48)+LN(AA48)+LN(AB48)+LN(AC48)+LN(AD48))*(AH48-V7_BASE_CPR),0)</f>
        <v/>
      </c>
      <c r="AN48" s="28">
        <f>IFERROR(LN(AB48)/(LN(W48)+LN(X48)+LN(Y48)+LN(Z48)+LN(AA48)+LN(AB48)+LN(AC48)+LN(AD48))*(AH48-V7_BASE_CPR),0)</f>
        <v/>
      </c>
      <c r="AO48" s="28">
        <f>IFERROR(LN(AC48)/(LN(W48)+LN(X48)+LN(Y48)+LN(Z48)+LN(AA48)+LN(AB48)+LN(AC48)+LN(AD48))*(AH48-V7_BASE_CPR),0)</f>
        <v/>
      </c>
      <c r="AP48" s="28">
        <f>IFERROR(LN(AD48)/(LN(W48)+LN(X48)+LN(Y48)+LN(Z48)+LN(AA48)+LN(AB48)+LN(AC48)+LN(AD48))*(AH48-V7_BASE_CPR),0)</f>
        <v/>
      </c>
      <c r="AQ48" s="29">
        <f>V7_BASE_CPR+SUM(AI48:AP48)-AH48</f>
        <v/>
      </c>
    </row>
    <row r="49">
      <c r="A49" s="2" t="inlineStr">
        <is>
          <t>3617BRLC8_000000005411156</t>
        </is>
      </c>
      <c r="B49" t="inlineStr">
        <is>
          <t>BERKADIA_PRE21</t>
        </is>
      </c>
      <c r="C49" s="2" t="inlineStr">
        <is>
          <t>3617BRLC8</t>
        </is>
      </c>
      <c r="D49" t="inlineStr">
        <is>
          <t>BERKADIA COMMERCIAL MORTGAGE, LLC</t>
        </is>
      </c>
      <c r="E49" t="inlineStr">
        <is>
          <t>223f</t>
        </is>
      </c>
      <c r="F49" t="inlineStr">
        <is>
          <t>RP</t>
        </is>
      </c>
      <c r="G49" t="n">
        <v>2017</v>
      </c>
      <c r="H49" t="inlineStr">
        <is>
          <t>202602</t>
        </is>
      </c>
      <c r="I49" s="22" t="n">
        <v>3384137.38</v>
      </c>
      <c r="J49" s="23" t="n">
        <v>3.99</v>
      </c>
      <c r="K49" s="24" t="n">
        <v>447</v>
      </c>
      <c r="L49" s="24" t="n">
        <v>0</v>
      </c>
      <c r="M49" t="n">
        <v>99</v>
      </c>
      <c r="N49" s="25" t="n">
        <v>41</v>
      </c>
      <c r="O49" t="n">
        <v>204806</v>
      </c>
      <c r="P49" t="inlineStr"/>
      <c r="Q49" t="inlineStr">
        <is>
          <t>4082</t>
        </is>
      </c>
      <c r="R49" s="26" t="n">
        <v>0.4141414141414141</v>
      </c>
      <c r="S49" t="n">
        <v>0</v>
      </c>
      <c r="T49" s="23">
        <f>LN(1+I49)</f>
        <v/>
      </c>
      <c r="U49" s="24">
        <f>J49*100-K49</f>
        <v/>
      </c>
      <c r="V49" s="24">
        <f>U49-12.5*(L49+1)</f>
        <v/>
      </c>
      <c r="W49" s="26">
        <f>IF(M49&lt;=V7_AGE_KNOT_X_0,V7_AGE_KNOT_Y_0,IF(M49&gt;=V7_AGE_KNOT_X_5,V7_AGE_KNOT_Y_5,IF(M49&lt;=V7_AGE_KNOT_X_1,V7_AGE_KNOT_Y_0+(M49-V7_AGE_KNOT_X_0)/(V7_AGE_KNOT_X_1-V7_AGE_KNOT_X_0)*(V7_AGE_KNOT_Y_1-V7_AGE_KNOT_Y_0),IF(M49&lt;=V7_AGE_KNOT_X_2,V7_AGE_KNOT_Y_1+(M49-V7_AGE_KNOT_X_1)/(V7_AGE_KNOT_X_2-V7_AGE_KNOT_X_1)*(V7_AGE_KNOT_Y_2-V7_AGE_KNOT_Y_1),IF(M49&lt;=V7_AGE_KNOT_X_3,V7_AGE_KNOT_Y_2+(M49-V7_AGE_KNOT_X_2)/(V7_AGE_KNOT_X_3-V7_AGE_KNOT_X_2)*(V7_AGE_KNOT_Y_3-V7_AGE_KNOT_Y_2),IF(M49&lt;=V7_AGE_KNOT_X_4,V7_AGE_KNOT_Y_3+(M49-V7_AGE_KNOT_X_3)/(V7_AGE_KNOT_X_4-V7_AGE_KNOT_X_3)*(V7_AGE_KNOT_Y_4-V7_AGE_KNOT_Y_3),V7_AGE_KNOT_Y_4+(M49-V7_AGE_KNOT_X_4)/(V7_AGE_KNOT_X_5-V7_AGE_KNOT_X_4)*(V7_AGE_KNOT_Y_5-V7_AGE_KNOT_Y_4)))))))</f>
        <v/>
      </c>
      <c r="X49" s="26">
        <f>V7_RATE_FLOOR+V7_RATE_ASYMPTOTE/(1+EXP(-(V49-V7_RATE_MID)/V7_RATE_SLOPE))</f>
        <v/>
      </c>
      <c r="Y49" s="26">
        <f>MAX(V7_SIZE_LOW,MIN(V7_SIZE_HIGH,V7_SIZE_INTERCEPT+V7_SIZE_SLOPE*(T49-V7_SIZE_LOG_ANCHOR)))</f>
        <v/>
      </c>
      <c r="Z49" s="26">
        <f>IF(ISNUMBER(SEARCH("232",E49)),VLOOKUP("232",V7_PROGRAM_TABLE,2,FALSE),IF(ISNUMBER(SEARCH("538",E49)),VLOOKUP("538",V7_PROGRAM_TABLE,2,FALSE),IF(ISNUMBER(SEARCH("223a7",E49)),VLOOKUP("223a7",V7_PROGRAM_TABLE,2,FALSE),IF(ISNUMBER(SEARCH("223f",E49)),VLOOKUP("223f",V7_PROGRAM_TABLE,2,FALSE),V7_PROGRAM_DEFAULT))))</f>
        <v/>
      </c>
      <c r="AA49" s="26">
        <f>IF(S49=1,1+V7_PURPOSE_NC_BUMP*MAX(0,1-ABS(M49-V7_PURPOSE_PEAK_AGE)/V7_PURPOSE_WIDTH),1)</f>
        <v/>
      </c>
      <c r="AB49" s="26">
        <f>IF(AND(IF(OR(P49="",NOT(ISNUMBER(P49))),0,MAX(0,MIN(24,(INT(VALUE(H49)/100)-INT(P49/100))*12+MOD(VALUE(H49),100)-MOD(P49,100))))&gt;0,IF(OR(P49="",NOT(ISNUMBER(P49))),0,MAX(0,MIN(24,(INT(VALUE(H49)/100)-INT(P49/100))*12+MOD(VALUE(H49),100)-MOD(P49,100))))&lt;=12),1+V7_LOCKOUT_AMP*EXP(-(IF(OR(P49="",NOT(ISNUMBER(P49))),0,MAX(0,MIN(24,(INT(VALUE(H49)/100)-INT(P49/100))*12+MOD(VALUE(H49),100)-MOD(P49,100)))))/V7_LOCKOUT_TAU),1)</f>
        <v/>
      </c>
      <c r="AC49" s="26">
        <f>IF(IF(OR(O49="",NOT(ISNUMBER(O49))),360,MAX(0,MIN(480,(INT(O49/100)-INT(VALUE(H49)/100))*12+MOD(O49,100)-MOD(VALUE(H49),100))))&gt;0,1+V7_MTY_AMP*MAX(0,(V7_MTY_CUTOFF-(IF(OR(O49="",NOT(ISNUMBER(O49))),360,MAX(0,MIN(480,(INT(O49/100)-INT(VALUE(H49)/100))*12+MOD(O49,100)-MOD(VALUE(H49),100))))))/V7_MTY_CUTOFF),1)</f>
        <v/>
      </c>
      <c r="AD49" s="26">
        <f>MAX(V7_BURN_FLOOR,1-V7_BURN_SLOPE*MIN(1,MAX(0,R49)))</f>
        <v/>
      </c>
      <c r="AE49" s="26">
        <f>IF(V7_USE_ISSUER=1,IFERROR(VLOOKUP(Q49,V7_ISSUER_TABLE,3,FALSE),1),1)</f>
        <v/>
      </c>
      <c r="AF49" s="26">
        <f>PRODUCT(W49:AE49)</f>
        <v/>
      </c>
      <c r="AG49" s="27">
        <f>MIN(V7_BASE_SMM*AF49,V7_SMM_CAP)</f>
        <v/>
      </c>
      <c r="AH49" s="28">
        <f>1-(1-AG49)^12</f>
        <v/>
      </c>
      <c r="AI49" s="28">
        <f>IFERROR(LN(W49)/(LN(W49)+LN(X49)+LN(Y49)+LN(Z49)+LN(AA49)+LN(AB49)+LN(AC49)+LN(AD49))*(AH49-V7_BASE_CPR),0)</f>
        <v/>
      </c>
      <c r="AJ49" s="28">
        <f>IFERROR(LN(X49)/(LN(W49)+LN(X49)+LN(Y49)+LN(Z49)+LN(AA49)+LN(AB49)+LN(AC49)+LN(AD49))*(AH49-V7_BASE_CPR),0)</f>
        <v/>
      </c>
      <c r="AK49" s="28">
        <f>IFERROR(LN(Y49)/(LN(W49)+LN(X49)+LN(Y49)+LN(Z49)+LN(AA49)+LN(AB49)+LN(AC49)+LN(AD49))*(AH49-V7_BASE_CPR),0)</f>
        <v/>
      </c>
      <c r="AL49" s="28">
        <f>IFERROR(LN(Z49)/(LN(W49)+LN(X49)+LN(Y49)+LN(Z49)+LN(AA49)+LN(AB49)+LN(AC49)+LN(AD49))*(AH49-V7_BASE_CPR),0)</f>
        <v/>
      </c>
      <c r="AM49" s="28">
        <f>IFERROR(LN(AA49)/(LN(W49)+LN(X49)+LN(Y49)+LN(Z49)+LN(AA49)+LN(AB49)+LN(AC49)+LN(AD49))*(AH49-V7_BASE_CPR),0)</f>
        <v/>
      </c>
      <c r="AN49" s="28">
        <f>IFERROR(LN(AB49)/(LN(W49)+LN(X49)+LN(Y49)+LN(Z49)+LN(AA49)+LN(AB49)+LN(AC49)+LN(AD49))*(AH49-V7_BASE_CPR),0)</f>
        <v/>
      </c>
      <c r="AO49" s="28">
        <f>IFERROR(LN(AC49)/(LN(W49)+LN(X49)+LN(Y49)+LN(Z49)+LN(AA49)+LN(AB49)+LN(AC49)+LN(AD49))*(AH49-V7_BASE_CPR),0)</f>
        <v/>
      </c>
      <c r="AP49" s="28">
        <f>IFERROR(LN(AD49)/(LN(W49)+LN(X49)+LN(Y49)+LN(Z49)+LN(AA49)+LN(AB49)+LN(AC49)+LN(AD49))*(AH49-V7_BASE_CPR),0)</f>
        <v/>
      </c>
      <c r="AQ49" s="29">
        <f>V7_BASE_CPR+SUM(AI49:AP49)-AH49</f>
        <v/>
      </c>
    </row>
    <row r="50">
      <c r="A50" s="2" t="inlineStr">
        <is>
          <t>3617XJ2D1_000000004711281</t>
        </is>
      </c>
      <c r="B50" t="inlineStr">
        <is>
          <t>BERKADIA_POST21</t>
        </is>
      </c>
      <c r="C50" s="2" t="inlineStr">
        <is>
          <t>3617XJ2D1</t>
        </is>
      </c>
      <c r="D50" t="inlineStr">
        <is>
          <t>BERKADIA COMMERCIAL MORTGAGE, LLC</t>
        </is>
      </c>
      <c r="E50" t="inlineStr">
        <is>
          <t>223f</t>
        </is>
      </c>
      <c r="F50" t="inlineStr">
        <is>
          <t>RP</t>
        </is>
      </c>
      <c r="G50" t="n">
        <v>2021</v>
      </c>
      <c r="H50" t="inlineStr">
        <is>
          <t>202602</t>
        </is>
      </c>
      <c r="I50" s="22" t="n">
        <v>5205375.79</v>
      </c>
      <c r="J50" s="23" t="n">
        <v>2.49</v>
      </c>
      <c r="K50" s="24" t="n">
        <v>447</v>
      </c>
      <c r="L50" s="24" t="n">
        <v>8</v>
      </c>
      <c r="M50" t="n">
        <v>54</v>
      </c>
      <c r="N50" s="25" t="n">
        <v>0</v>
      </c>
      <c r="O50" t="n">
        <v>205604</v>
      </c>
      <c r="P50" t="inlineStr"/>
      <c r="Q50" t="inlineStr">
        <is>
          <t>4082</t>
        </is>
      </c>
      <c r="R50" s="26" t="n">
        <v>0</v>
      </c>
      <c r="S50" t="n">
        <v>0</v>
      </c>
      <c r="T50" s="23">
        <f>LN(1+I50)</f>
        <v/>
      </c>
      <c r="U50" s="24">
        <f>J50*100-K50</f>
        <v/>
      </c>
      <c r="V50" s="24">
        <f>U50-12.5*(L50+1)</f>
        <v/>
      </c>
      <c r="W50" s="26">
        <f>IF(M50&lt;=V7_AGE_KNOT_X_0,V7_AGE_KNOT_Y_0,IF(M50&gt;=V7_AGE_KNOT_X_5,V7_AGE_KNOT_Y_5,IF(M50&lt;=V7_AGE_KNOT_X_1,V7_AGE_KNOT_Y_0+(M50-V7_AGE_KNOT_X_0)/(V7_AGE_KNOT_X_1-V7_AGE_KNOT_X_0)*(V7_AGE_KNOT_Y_1-V7_AGE_KNOT_Y_0),IF(M50&lt;=V7_AGE_KNOT_X_2,V7_AGE_KNOT_Y_1+(M50-V7_AGE_KNOT_X_1)/(V7_AGE_KNOT_X_2-V7_AGE_KNOT_X_1)*(V7_AGE_KNOT_Y_2-V7_AGE_KNOT_Y_1),IF(M50&lt;=V7_AGE_KNOT_X_3,V7_AGE_KNOT_Y_2+(M50-V7_AGE_KNOT_X_2)/(V7_AGE_KNOT_X_3-V7_AGE_KNOT_X_2)*(V7_AGE_KNOT_Y_3-V7_AGE_KNOT_Y_2),IF(M50&lt;=V7_AGE_KNOT_X_4,V7_AGE_KNOT_Y_3+(M50-V7_AGE_KNOT_X_3)/(V7_AGE_KNOT_X_4-V7_AGE_KNOT_X_3)*(V7_AGE_KNOT_Y_4-V7_AGE_KNOT_Y_3),V7_AGE_KNOT_Y_4+(M50-V7_AGE_KNOT_X_4)/(V7_AGE_KNOT_X_5-V7_AGE_KNOT_X_4)*(V7_AGE_KNOT_Y_5-V7_AGE_KNOT_Y_4)))))))</f>
        <v/>
      </c>
      <c r="X50" s="26">
        <f>V7_RATE_FLOOR+V7_RATE_ASYMPTOTE/(1+EXP(-(V50-V7_RATE_MID)/V7_RATE_SLOPE))</f>
        <v/>
      </c>
      <c r="Y50" s="26">
        <f>MAX(V7_SIZE_LOW,MIN(V7_SIZE_HIGH,V7_SIZE_INTERCEPT+V7_SIZE_SLOPE*(T50-V7_SIZE_LOG_ANCHOR)))</f>
        <v/>
      </c>
      <c r="Z50" s="26">
        <f>IF(ISNUMBER(SEARCH("232",E50)),VLOOKUP("232",V7_PROGRAM_TABLE,2,FALSE),IF(ISNUMBER(SEARCH("538",E50)),VLOOKUP("538",V7_PROGRAM_TABLE,2,FALSE),IF(ISNUMBER(SEARCH("223a7",E50)),VLOOKUP("223a7",V7_PROGRAM_TABLE,2,FALSE),IF(ISNUMBER(SEARCH("223f",E50)),VLOOKUP("223f",V7_PROGRAM_TABLE,2,FALSE),V7_PROGRAM_DEFAULT))))</f>
        <v/>
      </c>
      <c r="AA50" s="26">
        <f>IF(S50=1,1+V7_PURPOSE_NC_BUMP*MAX(0,1-ABS(M50-V7_PURPOSE_PEAK_AGE)/V7_PURPOSE_WIDTH),1)</f>
        <v/>
      </c>
      <c r="AB50" s="26">
        <f>IF(AND(IF(OR(P50="",NOT(ISNUMBER(P50))),0,MAX(0,MIN(24,(INT(VALUE(H50)/100)-INT(P50/100))*12+MOD(VALUE(H50),100)-MOD(P50,100))))&gt;0,IF(OR(P50="",NOT(ISNUMBER(P50))),0,MAX(0,MIN(24,(INT(VALUE(H50)/100)-INT(P50/100))*12+MOD(VALUE(H50),100)-MOD(P50,100))))&lt;=12),1+V7_LOCKOUT_AMP*EXP(-(IF(OR(P50="",NOT(ISNUMBER(P50))),0,MAX(0,MIN(24,(INT(VALUE(H50)/100)-INT(P50/100))*12+MOD(VALUE(H50),100)-MOD(P50,100)))))/V7_LOCKOUT_TAU),1)</f>
        <v/>
      </c>
      <c r="AC50" s="26">
        <f>IF(IF(OR(O50="",NOT(ISNUMBER(O50))),360,MAX(0,MIN(480,(INT(O50/100)-INT(VALUE(H50)/100))*12+MOD(O50,100)-MOD(VALUE(H50),100))))&gt;0,1+V7_MTY_AMP*MAX(0,(V7_MTY_CUTOFF-(IF(OR(O50="",NOT(ISNUMBER(O50))),360,MAX(0,MIN(480,(INT(O50/100)-INT(VALUE(H50)/100))*12+MOD(O50,100)-MOD(VALUE(H50),100))))))/V7_MTY_CUTOFF),1)</f>
        <v/>
      </c>
      <c r="AD50" s="26">
        <f>MAX(V7_BURN_FLOOR,1-V7_BURN_SLOPE*MIN(1,MAX(0,R50)))</f>
        <v/>
      </c>
      <c r="AE50" s="26">
        <f>IF(V7_USE_ISSUER=1,IFERROR(VLOOKUP(Q50,V7_ISSUER_TABLE,3,FALSE),1),1)</f>
        <v/>
      </c>
      <c r="AF50" s="26">
        <f>PRODUCT(W50:AE50)</f>
        <v/>
      </c>
      <c r="AG50" s="27">
        <f>MIN(V7_BASE_SMM*AF50,V7_SMM_CAP)</f>
        <v/>
      </c>
      <c r="AH50" s="28">
        <f>1-(1-AG50)^12</f>
        <v/>
      </c>
      <c r="AI50" s="28">
        <f>IFERROR(LN(W50)/(LN(W50)+LN(X50)+LN(Y50)+LN(Z50)+LN(AA50)+LN(AB50)+LN(AC50)+LN(AD50))*(AH50-V7_BASE_CPR),0)</f>
        <v/>
      </c>
      <c r="AJ50" s="28">
        <f>IFERROR(LN(X50)/(LN(W50)+LN(X50)+LN(Y50)+LN(Z50)+LN(AA50)+LN(AB50)+LN(AC50)+LN(AD50))*(AH50-V7_BASE_CPR),0)</f>
        <v/>
      </c>
      <c r="AK50" s="28">
        <f>IFERROR(LN(Y50)/(LN(W50)+LN(X50)+LN(Y50)+LN(Z50)+LN(AA50)+LN(AB50)+LN(AC50)+LN(AD50))*(AH50-V7_BASE_CPR),0)</f>
        <v/>
      </c>
      <c r="AL50" s="28">
        <f>IFERROR(LN(Z50)/(LN(W50)+LN(X50)+LN(Y50)+LN(Z50)+LN(AA50)+LN(AB50)+LN(AC50)+LN(AD50))*(AH50-V7_BASE_CPR),0)</f>
        <v/>
      </c>
      <c r="AM50" s="28">
        <f>IFERROR(LN(AA50)/(LN(W50)+LN(X50)+LN(Y50)+LN(Z50)+LN(AA50)+LN(AB50)+LN(AC50)+LN(AD50))*(AH50-V7_BASE_CPR),0)</f>
        <v/>
      </c>
      <c r="AN50" s="28">
        <f>IFERROR(LN(AB50)/(LN(W50)+LN(X50)+LN(Y50)+LN(Z50)+LN(AA50)+LN(AB50)+LN(AC50)+LN(AD50))*(AH50-V7_BASE_CPR),0)</f>
        <v/>
      </c>
      <c r="AO50" s="28">
        <f>IFERROR(LN(AC50)/(LN(W50)+LN(X50)+LN(Y50)+LN(Z50)+LN(AA50)+LN(AB50)+LN(AC50)+LN(AD50))*(AH50-V7_BASE_CPR),0)</f>
        <v/>
      </c>
      <c r="AP50" s="28">
        <f>IFERROR(LN(AD50)/(LN(W50)+LN(X50)+LN(Y50)+LN(Z50)+LN(AA50)+LN(AB50)+LN(AC50)+LN(AD50))*(AH50-V7_BASE_CPR),0)</f>
        <v/>
      </c>
      <c r="AQ50" s="29">
        <f>V7_BASE_CPR+SUM(AI50:AP50)-AH50</f>
        <v/>
      </c>
    </row>
    <row r="51">
      <c r="A51" s="2" t="inlineStr">
        <is>
          <t>3617UNW83_000000005135817</t>
        </is>
      </c>
      <c r="B51" t="inlineStr">
        <is>
          <t>BERKADIA_PRE21</t>
        </is>
      </c>
      <c r="C51" s="2" t="inlineStr">
        <is>
          <t>3617UNW83</t>
        </is>
      </c>
      <c r="D51" t="inlineStr">
        <is>
          <t>BERKADIA COMMERCIAL MORTGAGE, LLC</t>
        </is>
      </c>
      <c r="E51" t="inlineStr">
        <is>
          <t>221d4</t>
        </is>
      </c>
      <c r="F51" t="inlineStr">
        <is>
          <t>RP</t>
        </is>
      </c>
      <c r="G51" t="n">
        <v>2020</v>
      </c>
      <c r="H51" t="inlineStr">
        <is>
          <t>202602</t>
        </is>
      </c>
      <c r="I51" s="22" t="n">
        <v>36370658.07</v>
      </c>
      <c r="J51" s="23" t="n">
        <v>2.3</v>
      </c>
      <c r="K51" s="24" t="n">
        <v>447</v>
      </c>
      <c r="L51" s="24" t="n">
        <v>7</v>
      </c>
      <c r="M51" t="n">
        <v>64</v>
      </c>
      <c r="N51" s="25" t="n">
        <v>12</v>
      </c>
      <c r="O51" t="n">
        <v>206103</v>
      </c>
      <c r="P51" t="inlineStr"/>
      <c r="Q51" t="inlineStr">
        <is>
          <t>4082</t>
        </is>
      </c>
      <c r="R51" s="26" t="n">
        <v>0.1875</v>
      </c>
      <c r="S51" t="n">
        <v>0</v>
      </c>
      <c r="T51" s="23">
        <f>LN(1+I51)</f>
        <v/>
      </c>
      <c r="U51" s="24">
        <f>J51*100-K51</f>
        <v/>
      </c>
      <c r="V51" s="24">
        <f>U51-12.5*(L51+1)</f>
        <v/>
      </c>
      <c r="W51" s="26">
        <f>IF(M51&lt;=V7_AGE_KNOT_X_0,V7_AGE_KNOT_Y_0,IF(M51&gt;=V7_AGE_KNOT_X_5,V7_AGE_KNOT_Y_5,IF(M51&lt;=V7_AGE_KNOT_X_1,V7_AGE_KNOT_Y_0+(M51-V7_AGE_KNOT_X_0)/(V7_AGE_KNOT_X_1-V7_AGE_KNOT_X_0)*(V7_AGE_KNOT_Y_1-V7_AGE_KNOT_Y_0),IF(M51&lt;=V7_AGE_KNOT_X_2,V7_AGE_KNOT_Y_1+(M51-V7_AGE_KNOT_X_1)/(V7_AGE_KNOT_X_2-V7_AGE_KNOT_X_1)*(V7_AGE_KNOT_Y_2-V7_AGE_KNOT_Y_1),IF(M51&lt;=V7_AGE_KNOT_X_3,V7_AGE_KNOT_Y_2+(M51-V7_AGE_KNOT_X_2)/(V7_AGE_KNOT_X_3-V7_AGE_KNOT_X_2)*(V7_AGE_KNOT_Y_3-V7_AGE_KNOT_Y_2),IF(M51&lt;=V7_AGE_KNOT_X_4,V7_AGE_KNOT_Y_3+(M51-V7_AGE_KNOT_X_3)/(V7_AGE_KNOT_X_4-V7_AGE_KNOT_X_3)*(V7_AGE_KNOT_Y_4-V7_AGE_KNOT_Y_3),V7_AGE_KNOT_Y_4+(M51-V7_AGE_KNOT_X_4)/(V7_AGE_KNOT_X_5-V7_AGE_KNOT_X_4)*(V7_AGE_KNOT_Y_5-V7_AGE_KNOT_Y_4)))))))</f>
        <v/>
      </c>
      <c r="X51" s="26">
        <f>V7_RATE_FLOOR+V7_RATE_ASYMPTOTE/(1+EXP(-(V51-V7_RATE_MID)/V7_RATE_SLOPE))</f>
        <v/>
      </c>
      <c r="Y51" s="26">
        <f>MAX(V7_SIZE_LOW,MIN(V7_SIZE_HIGH,V7_SIZE_INTERCEPT+V7_SIZE_SLOPE*(T51-V7_SIZE_LOG_ANCHOR)))</f>
        <v/>
      </c>
      <c r="Z51" s="26">
        <f>IF(ISNUMBER(SEARCH("232",E51)),VLOOKUP("232",V7_PROGRAM_TABLE,2,FALSE),IF(ISNUMBER(SEARCH("538",E51)),VLOOKUP("538",V7_PROGRAM_TABLE,2,FALSE),IF(ISNUMBER(SEARCH("223a7",E51)),VLOOKUP("223a7",V7_PROGRAM_TABLE,2,FALSE),IF(ISNUMBER(SEARCH("223f",E51)),VLOOKUP("223f",V7_PROGRAM_TABLE,2,FALSE),V7_PROGRAM_DEFAULT))))</f>
        <v/>
      </c>
      <c r="AA51" s="26">
        <f>IF(S51=1,1+V7_PURPOSE_NC_BUMP*MAX(0,1-ABS(M51-V7_PURPOSE_PEAK_AGE)/V7_PURPOSE_WIDTH),1)</f>
        <v/>
      </c>
      <c r="AB51" s="26">
        <f>IF(AND(IF(OR(P51="",NOT(ISNUMBER(P51))),0,MAX(0,MIN(24,(INT(VALUE(H51)/100)-INT(P51/100))*12+MOD(VALUE(H51),100)-MOD(P51,100))))&gt;0,IF(OR(P51="",NOT(ISNUMBER(P51))),0,MAX(0,MIN(24,(INT(VALUE(H51)/100)-INT(P51/100))*12+MOD(VALUE(H51),100)-MOD(P51,100))))&lt;=12),1+V7_LOCKOUT_AMP*EXP(-(IF(OR(P51="",NOT(ISNUMBER(P51))),0,MAX(0,MIN(24,(INT(VALUE(H51)/100)-INT(P51/100))*12+MOD(VALUE(H51),100)-MOD(P51,100)))))/V7_LOCKOUT_TAU),1)</f>
        <v/>
      </c>
      <c r="AC51" s="26">
        <f>IF(IF(OR(O51="",NOT(ISNUMBER(O51))),360,MAX(0,MIN(480,(INT(O51/100)-INT(VALUE(H51)/100))*12+MOD(O51,100)-MOD(VALUE(H51),100))))&gt;0,1+V7_MTY_AMP*MAX(0,(V7_MTY_CUTOFF-(IF(OR(O51="",NOT(ISNUMBER(O51))),360,MAX(0,MIN(480,(INT(O51/100)-INT(VALUE(H51)/100))*12+MOD(O51,100)-MOD(VALUE(H51),100))))))/V7_MTY_CUTOFF),1)</f>
        <v/>
      </c>
      <c r="AD51" s="26">
        <f>MAX(V7_BURN_FLOOR,1-V7_BURN_SLOPE*MIN(1,MAX(0,R51)))</f>
        <v/>
      </c>
      <c r="AE51" s="26">
        <f>IF(V7_USE_ISSUER=1,IFERROR(VLOOKUP(Q51,V7_ISSUER_TABLE,3,FALSE),1),1)</f>
        <v/>
      </c>
      <c r="AF51" s="26">
        <f>PRODUCT(W51:AE51)</f>
        <v/>
      </c>
      <c r="AG51" s="27">
        <f>MIN(V7_BASE_SMM*AF51,V7_SMM_CAP)</f>
        <v/>
      </c>
      <c r="AH51" s="28">
        <f>1-(1-AG51)^12</f>
        <v/>
      </c>
      <c r="AI51" s="28">
        <f>IFERROR(LN(W51)/(LN(W51)+LN(X51)+LN(Y51)+LN(Z51)+LN(AA51)+LN(AB51)+LN(AC51)+LN(AD51))*(AH51-V7_BASE_CPR),0)</f>
        <v/>
      </c>
      <c r="AJ51" s="28">
        <f>IFERROR(LN(X51)/(LN(W51)+LN(X51)+LN(Y51)+LN(Z51)+LN(AA51)+LN(AB51)+LN(AC51)+LN(AD51))*(AH51-V7_BASE_CPR),0)</f>
        <v/>
      </c>
      <c r="AK51" s="28">
        <f>IFERROR(LN(Y51)/(LN(W51)+LN(X51)+LN(Y51)+LN(Z51)+LN(AA51)+LN(AB51)+LN(AC51)+LN(AD51))*(AH51-V7_BASE_CPR),0)</f>
        <v/>
      </c>
      <c r="AL51" s="28">
        <f>IFERROR(LN(Z51)/(LN(W51)+LN(X51)+LN(Y51)+LN(Z51)+LN(AA51)+LN(AB51)+LN(AC51)+LN(AD51))*(AH51-V7_BASE_CPR),0)</f>
        <v/>
      </c>
      <c r="AM51" s="28">
        <f>IFERROR(LN(AA51)/(LN(W51)+LN(X51)+LN(Y51)+LN(Z51)+LN(AA51)+LN(AB51)+LN(AC51)+LN(AD51))*(AH51-V7_BASE_CPR),0)</f>
        <v/>
      </c>
      <c r="AN51" s="28">
        <f>IFERROR(LN(AB51)/(LN(W51)+LN(X51)+LN(Y51)+LN(Z51)+LN(AA51)+LN(AB51)+LN(AC51)+LN(AD51))*(AH51-V7_BASE_CPR),0)</f>
        <v/>
      </c>
      <c r="AO51" s="28">
        <f>IFERROR(LN(AC51)/(LN(W51)+LN(X51)+LN(Y51)+LN(Z51)+LN(AA51)+LN(AB51)+LN(AC51)+LN(AD51))*(AH51-V7_BASE_CPR),0)</f>
        <v/>
      </c>
      <c r="AP51" s="28">
        <f>IFERROR(LN(AD51)/(LN(W51)+LN(X51)+LN(Y51)+LN(Z51)+LN(AA51)+LN(AB51)+LN(AC51)+LN(AD51))*(AH51-V7_BASE_CPR),0)</f>
        <v/>
      </c>
      <c r="AQ51" s="29">
        <f>V7_BASE_CPR+SUM(AI51:AP51)-AH51</f>
        <v/>
      </c>
    </row>
    <row r="52">
      <c r="A52" s="2" t="inlineStr">
        <is>
          <t>3617F6YH5_000000010511134</t>
        </is>
      </c>
      <c r="B52" t="inlineStr">
        <is>
          <t>BERKADIA_POST21</t>
        </is>
      </c>
      <c r="C52" s="2" t="inlineStr">
        <is>
          <t>3617F6YH5</t>
        </is>
      </c>
      <c r="D52" t="inlineStr">
        <is>
          <t>BERKADIA COMMERCIAL MORTGAGE, LLC</t>
        </is>
      </c>
      <c r="E52" t="inlineStr">
        <is>
          <t>223f</t>
        </is>
      </c>
      <c r="F52" t="inlineStr">
        <is>
          <t>RP</t>
        </is>
      </c>
      <c r="G52" t="n">
        <v>2022</v>
      </c>
      <c r="H52" t="inlineStr">
        <is>
          <t>202602</t>
        </is>
      </c>
      <c r="I52" s="22" t="n">
        <v>40172297.82</v>
      </c>
      <c r="J52" s="23" t="n">
        <v>3.68</v>
      </c>
      <c r="K52" s="24" t="n">
        <v>447</v>
      </c>
      <c r="L52" s="24" t="n">
        <v>8</v>
      </c>
      <c r="M52" t="n">
        <v>46</v>
      </c>
      <c r="N52" s="25" t="n">
        <v>0</v>
      </c>
      <c r="O52" t="n">
        <v>205709</v>
      </c>
      <c r="P52" t="inlineStr"/>
      <c r="Q52" t="inlineStr">
        <is>
          <t>4082</t>
        </is>
      </c>
      <c r="R52" s="26" t="n">
        <v>0</v>
      </c>
      <c r="S52" t="n">
        <v>0</v>
      </c>
      <c r="T52" s="23">
        <f>LN(1+I52)</f>
        <v/>
      </c>
      <c r="U52" s="24">
        <f>J52*100-K52</f>
        <v/>
      </c>
      <c r="V52" s="24">
        <f>U52-12.5*(L52+1)</f>
        <v/>
      </c>
      <c r="W52" s="26">
        <f>IF(M52&lt;=V7_AGE_KNOT_X_0,V7_AGE_KNOT_Y_0,IF(M52&gt;=V7_AGE_KNOT_X_5,V7_AGE_KNOT_Y_5,IF(M52&lt;=V7_AGE_KNOT_X_1,V7_AGE_KNOT_Y_0+(M52-V7_AGE_KNOT_X_0)/(V7_AGE_KNOT_X_1-V7_AGE_KNOT_X_0)*(V7_AGE_KNOT_Y_1-V7_AGE_KNOT_Y_0),IF(M52&lt;=V7_AGE_KNOT_X_2,V7_AGE_KNOT_Y_1+(M52-V7_AGE_KNOT_X_1)/(V7_AGE_KNOT_X_2-V7_AGE_KNOT_X_1)*(V7_AGE_KNOT_Y_2-V7_AGE_KNOT_Y_1),IF(M52&lt;=V7_AGE_KNOT_X_3,V7_AGE_KNOT_Y_2+(M52-V7_AGE_KNOT_X_2)/(V7_AGE_KNOT_X_3-V7_AGE_KNOT_X_2)*(V7_AGE_KNOT_Y_3-V7_AGE_KNOT_Y_2),IF(M52&lt;=V7_AGE_KNOT_X_4,V7_AGE_KNOT_Y_3+(M52-V7_AGE_KNOT_X_3)/(V7_AGE_KNOT_X_4-V7_AGE_KNOT_X_3)*(V7_AGE_KNOT_Y_4-V7_AGE_KNOT_Y_3),V7_AGE_KNOT_Y_4+(M52-V7_AGE_KNOT_X_4)/(V7_AGE_KNOT_X_5-V7_AGE_KNOT_X_4)*(V7_AGE_KNOT_Y_5-V7_AGE_KNOT_Y_4)))))))</f>
        <v/>
      </c>
      <c r="X52" s="26">
        <f>V7_RATE_FLOOR+V7_RATE_ASYMPTOTE/(1+EXP(-(V52-V7_RATE_MID)/V7_RATE_SLOPE))</f>
        <v/>
      </c>
      <c r="Y52" s="26">
        <f>MAX(V7_SIZE_LOW,MIN(V7_SIZE_HIGH,V7_SIZE_INTERCEPT+V7_SIZE_SLOPE*(T52-V7_SIZE_LOG_ANCHOR)))</f>
        <v/>
      </c>
      <c r="Z52" s="26">
        <f>IF(ISNUMBER(SEARCH("232",E52)),VLOOKUP("232",V7_PROGRAM_TABLE,2,FALSE),IF(ISNUMBER(SEARCH("538",E52)),VLOOKUP("538",V7_PROGRAM_TABLE,2,FALSE),IF(ISNUMBER(SEARCH("223a7",E52)),VLOOKUP("223a7",V7_PROGRAM_TABLE,2,FALSE),IF(ISNUMBER(SEARCH("223f",E52)),VLOOKUP("223f",V7_PROGRAM_TABLE,2,FALSE),V7_PROGRAM_DEFAULT))))</f>
        <v/>
      </c>
      <c r="AA52" s="26">
        <f>IF(S52=1,1+V7_PURPOSE_NC_BUMP*MAX(0,1-ABS(M52-V7_PURPOSE_PEAK_AGE)/V7_PURPOSE_WIDTH),1)</f>
        <v/>
      </c>
      <c r="AB52" s="26">
        <f>IF(AND(IF(OR(P52="",NOT(ISNUMBER(P52))),0,MAX(0,MIN(24,(INT(VALUE(H52)/100)-INT(P52/100))*12+MOD(VALUE(H52),100)-MOD(P52,100))))&gt;0,IF(OR(P52="",NOT(ISNUMBER(P52))),0,MAX(0,MIN(24,(INT(VALUE(H52)/100)-INT(P52/100))*12+MOD(VALUE(H52),100)-MOD(P52,100))))&lt;=12),1+V7_LOCKOUT_AMP*EXP(-(IF(OR(P52="",NOT(ISNUMBER(P52))),0,MAX(0,MIN(24,(INT(VALUE(H52)/100)-INT(P52/100))*12+MOD(VALUE(H52),100)-MOD(P52,100)))))/V7_LOCKOUT_TAU),1)</f>
        <v/>
      </c>
      <c r="AC52" s="26">
        <f>IF(IF(OR(O52="",NOT(ISNUMBER(O52))),360,MAX(0,MIN(480,(INT(O52/100)-INT(VALUE(H52)/100))*12+MOD(O52,100)-MOD(VALUE(H52),100))))&gt;0,1+V7_MTY_AMP*MAX(0,(V7_MTY_CUTOFF-(IF(OR(O52="",NOT(ISNUMBER(O52))),360,MAX(0,MIN(480,(INT(O52/100)-INT(VALUE(H52)/100))*12+MOD(O52,100)-MOD(VALUE(H52),100))))))/V7_MTY_CUTOFF),1)</f>
        <v/>
      </c>
      <c r="AD52" s="26">
        <f>MAX(V7_BURN_FLOOR,1-V7_BURN_SLOPE*MIN(1,MAX(0,R52)))</f>
        <v/>
      </c>
      <c r="AE52" s="26">
        <f>IF(V7_USE_ISSUER=1,IFERROR(VLOOKUP(Q52,V7_ISSUER_TABLE,3,FALSE),1),1)</f>
        <v/>
      </c>
      <c r="AF52" s="26">
        <f>PRODUCT(W52:AE52)</f>
        <v/>
      </c>
      <c r="AG52" s="27">
        <f>MIN(V7_BASE_SMM*AF52,V7_SMM_CAP)</f>
        <v/>
      </c>
      <c r="AH52" s="28">
        <f>1-(1-AG52)^12</f>
        <v/>
      </c>
      <c r="AI52" s="28">
        <f>IFERROR(LN(W52)/(LN(W52)+LN(X52)+LN(Y52)+LN(Z52)+LN(AA52)+LN(AB52)+LN(AC52)+LN(AD52))*(AH52-V7_BASE_CPR),0)</f>
        <v/>
      </c>
      <c r="AJ52" s="28">
        <f>IFERROR(LN(X52)/(LN(W52)+LN(X52)+LN(Y52)+LN(Z52)+LN(AA52)+LN(AB52)+LN(AC52)+LN(AD52))*(AH52-V7_BASE_CPR),0)</f>
        <v/>
      </c>
      <c r="AK52" s="28">
        <f>IFERROR(LN(Y52)/(LN(W52)+LN(X52)+LN(Y52)+LN(Z52)+LN(AA52)+LN(AB52)+LN(AC52)+LN(AD52))*(AH52-V7_BASE_CPR),0)</f>
        <v/>
      </c>
      <c r="AL52" s="28">
        <f>IFERROR(LN(Z52)/(LN(W52)+LN(X52)+LN(Y52)+LN(Z52)+LN(AA52)+LN(AB52)+LN(AC52)+LN(AD52))*(AH52-V7_BASE_CPR),0)</f>
        <v/>
      </c>
      <c r="AM52" s="28">
        <f>IFERROR(LN(AA52)/(LN(W52)+LN(X52)+LN(Y52)+LN(Z52)+LN(AA52)+LN(AB52)+LN(AC52)+LN(AD52))*(AH52-V7_BASE_CPR),0)</f>
        <v/>
      </c>
      <c r="AN52" s="28">
        <f>IFERROR(LN(AB52)/(LN(W52)+LN(X52)+LN(Y52)+LN(Z52)+LN(AA52)+LN(AB52)+LN(AC52)+LN(AD52))*(AH52-V7_BASE_CPR),0)</f>
        <v/>
      </c>
      <c r="AO52" s="28">
        <f>IFERROR(LN(AC52)/(LN(W52)+LN(X52)+LN(Y52)+LN(Z52)+LN(AA52)+LN(AB52)+LN(AC52)+LN(AD52))*(AH52-V7_BASE_CPR),0)</f>
        <v/>
      </c>
      <c r="AP52" s="28">
        <f>IFERROR(LN(AD52)/(LN(W52)+LN(X52)+LN(Y52)+LN(Z52)+LN(AA52)+LN(AB52)+LN(AC52)+LN(AD52))*(AH52-V7_BASE_CPR),0)</f>
        <v/>
      </c>
      <c r="AQ52" s="29">
        <f>V7_BASE_CPR+SUM(AI52:AP52)-AH52</f>
        <v/>
      </c>
    </row>
    <row r="53">
      <c r="A53" s="2" t="inlineStr">
        <is>
          <t>36196KXU2_000000005135731</t>
        </is>
      </c>
      <c r="B53" t="inlineStr">
        <is>
          <t>BERKADIA_PRE21</t>
        </is>
      </c>
      <c r="C53" s="2" t="inlineStr">
        <is>
          <t>36196KXU2</t>
        </is>
      </c>
      <c r="D53" t="inlineStr">
        <is>
          <t>BERKADIA COMMERCIAL MORTGAGE, LLC</t>
        </is>
      </c>
      <c r="E53" t="inlineStr">
        <is>
          <t>221d4</t>
        </is>
      </c>
      <c r="F53" t="inlineStr">
        <is>
          <t>RP</t>
        </is>
      </c>
      <c r="G53" t="n">
        <v>2016</v>
      </c>
      <c r="H53" t="inlineStr">
        <is>
          <t>202602</t>
        </is>
      </c>
      <c r="I53" s="22" t="n">
        <v>14661111.14</v>
      </c>
      <c r="J53" s="23" t="n">
        <v>3.43</v>
      </c>
      <c r="K53" s="24" t="n">
        <v>447</v>
      </c>
      <c r="L53" s="24" t="n">
        <v>2</v>
      </c>
      <c r="M53" t="n">
        <v>112</v>
      </c>
      <c r="N53" s="25" t="n">
        <v>25</v>
      </c>
      <c r="O53" t="n">
        <v>205612</v>
      </c>
      <c r="P53" t="inlineStr"/>
      <c r="Q53" t="inlineStr">
        <is>
          <t>4082</t>
        </is>
      </c>
      <c r="R53" s="26" t="n">
        <v>0.2232142857142857</v>
      </c>
      <c r="S53" t="n">
        <v>0</v>
      </c>
      <c r="T53" s="23">
        <f>LN(1+I53)</f>
        <v/>
      </c>
      <c r="U53" s="24">
        <f>J53*100-K53</f>
        <v/>
      </c>
      <c r="V53" s="24">
        <f>U53-12.5*(L53+1)</f>
        <v/>
      </c>
      <c r="W53" s="26">
        <f>IF(M53&lt;=V7_AGE_KNOT_X_0,V7_AGE_KNOT_Y_0,IF(M53&gt;=V7_AGE_KNOT_X_5,V7_AGE_KNOT_Y_5,IF(M53&lt;=V7_AGE_KNOT_X_1,V7_AGE_KNOT_Y_0+(M53-V7_AGE_KNOT_X_0)/(V7_AGE_KNOT_X_1-V7_AGE_KNOT_X_0)*(V7_AGE_KNOT_Y_1-V7_AGE_KNOT_Y_0),IF(M53&lt;=V7_AGE_KNOT_X_2,V7_AGE_KNOT_Y_1+(M53-V7_AGE_KNOT_X_1)/(V7_AGE_KNOT_X_2-V7_AGE_KNOT_X_1)*(V7_AGE_KNOT_Y_2-V7_AGE_KNOT_Y_1),IF(M53&lt;=V7_AGE_KNOT_X_3,V7_AGE_KNOT_Y_2+(M53-V7_AGE_KNOT_X_2)/(V7_AGE_KNOT_X_3-V7_AGE_KNOT_X_2)*(V7_AGE_KNOT_Y_3-V7_AGE_KNOT_Y_2),IF(M53&lt;=V7_AGE_KNOT_X_4,V7_AGE_KNOT_Y_3+(M53-V7_AGE_KNOT_X_3)/(V7_AGE_KNOT_X_4-V7_AGE_KNOT_X_3)*(V7_AGE_KNOT_Y_4-V7_AGE_KNOT_Y_3),V7_AGE_KNOT_Y_4+(M53-V7_AGE_KNOT_X_4)/(V7_AGE_KNOT_X_5-V7_AGE_KNOT_X_4)*(V7_AGE_KNOT_Y_5-V7_AGE_KNOT_Y_4)))))))</f>
        <v/>
      </c>
      <c r="X53" s="26">
        <f>V7_RATE_FLOOR+V7_RATE_ASYMPTOTE/(1+EXP(-(V53-V7_RATE_MID)/V7_RATE_SLOPE))</f>
        <v/>
      </c>
      <c r="Y53" s="26">
        <f>MAX(V7_SIZE_LOW,MIN(V7_SIZE_HIGH,V7_SIZE_INTERCEPT+V7_SIZE_SLOPE*(T53-V7_SIZE_LOG_ANCHOR)))</f>
        <v/>
      </c>
      <c r="Z53" s="26">
        <f>IF(ISNUMBER(SEARCH("232",E53)),VLOOKUP("232",V7_PROGRAM_TABLE,2,FALSE),IF(ISNUMBER(SEARCH("538",E53)),VLOOKUP("538",V7_PROGRAM_TABLE,2,FALSE),IF(ISNUMBER(SEARCH("223a7",E53)),VLOOKUP("223a7",V7_PROGRAM_TABLE,2,FALSE),IF(ISNUMBER(SEARCH("223f",E53)),VLOOKUP("223f",V7_PROGRAM_TABLE,2,FALSE),V7_PROGRAM_DEFAULT))))</f>
        <v/>
      </c>
      <c r="AA53" s="26">
        <f>IF(S53=1,1+V7_PURPOSE_NC_BUMP*MAX(0,1-ABS(M53-V7_PURPOSE_PEAK_AGE)/V7_PURPOSE_WIDTH),1)</f>
        <v/>
      </c>
      <c r="AB53" s="26">
        <f>IF(AND(IF(OR(P53="",NOT(ISNUMBER(P53))),0,MAX(0,MIN(24,(INT(VALUE(H53)/100)-INT(P53/100))*12+MOD(VALUE(H53),100)-MOD(P53,100))))&gt;0,IF(OR(P53="",NOT(ISNUMBER(P53))),0,MAX(0,MIN(24,(INT(VALUE(H53)/100)-INT(P53/100))*12+MOD(VALUE(H53),100)-MOD(P53,100))))&lt;=12),1+V7_LOCKOUT_AMP*EXP(-(IF(OR(P53="",NOT(ISNUMBER(P53))),0,MAX(0,MIN(24,(INT(VALUE(H53)/100)-INT(P53/100))*12+MOD(VALUE(H53),100)-MOD(P53,100)))))/V7_LOCKOUT_TAU),1)</f>
        <v/>
      </c>
      <c r="AC53" s="26">
        <f>IF(IF(OR(O53="",NOT(ISNUMBER(O53))),360,MAX(0,MIN(480,(INT(O53/100)-INT(VALUE(H53)/100))*12+MOD(O53,100)-MOD(VALUE(H53),100))))&gt;0,1+V7_MTY_AMP*MAX(0,(V7_MTY_CUTOFF-(IF(OR(O53="",NOT(ISNUMBER(O53))),360,MAX(0,MIN(480,(INT(O53/100)-INT(VALUE(H53)/100))*12+MOD(O53,100)-MOD(VALUE(H53),100))))))/V7_MTY_CUTOFF),1)</f>
        <v/>
      </c>
      <c r="AD53" s="26">
        <f>MAX(V7_BURN_FLOOR,1-V7_BURN_SLOPE*MIN(1,MAX(0,R53)))</f>
        <v/>
      </c>
      <c r="AE53" s="26">
        <f>IF(V7_USE_ISSUER=1,IFERROR(VLOOKUP(Q53,V7_ISSUER_TABLE,3,FALSE),1),1)</f>
        <v/>
      </c>
      <c r="AF53" s="26">
        <f>PRODUCT(W53:AE53)</f>
        <v/>
      </c>
      <c r="AG53" s="27">
        <f>MIN(V7_BASE_SMM*AF53,V7_SMM_CAP)</f>
        <v/>
      </c>
      <c r="AH53" s="28">
        <f>1-(1-AG53)^12</f>
        <v/>
      </c>
      <c r="AI53" s="28">
        <f>IFERROR(LN(W53)/(LN(W53)+LN(X53)+LN(Y53)+LN(Z53)+LN(AA53)+LN(AB53)+LN(AC53)+LN(AD53))*(AH53-V7_BASE_CPR),0)</f>
        <v/>
      </c>
      <c r="AJ53" s="28">
        <f>IFERROR(LN(X53)/(LN(W53)+LN(X53)+LN(Y53)+LN(Z53)+LN(AA53)+LN(AB53)+LN(AC53)+LN(AD53))*(AH53-V7_BASE_CPR),0)</f>
        <v/>
      </c>
      <c r="AK53" s="28">
        <f>IFERROR(LN(Y53)/(LN(W53)+LN(X53)+LN(Y53)+LN(Z53)+LN(AA53)+LN(AB53)+LN(AC53)+LN(AD53))*(AH53-V7_BASE_CPR),0)</f>
        <v/>
      </c>
      <c r="AL53" s="28">
        <f>IFERROR(LN(Z53)/(LN(W53)+LN(X53)+LN(Y53)+LN(Z53)+LN(AA53)+LN(AB53)+LN(AC53)+LN(AD53))*(AH53-V7_BASE_CPR),0)</f>
        <v/>
      </c>
      <c r="AM53" s="28">
        <f>IFERROR(LN(AA53)/(LN(W53)+LN(X53)+LN(Y53)+LN(Z53)+LN(AA53)+LN(AB53)+LN(AC53)+LN(AD53))*(AH53-V7_BASE_CPR),0)</f>
        <v/>
      </c>
      <c r="AN53" s="28">
        <f>IFERROR(LN(AB53)/(LN(W53)+LN(X53)+LN(Y53)+LN(Z53)+LN(AA53)+LN(AB53)+LN(AC53)+LN(AD53))*(AH53-V7_BASE_CPR),0)</f>
        <v/>
      </c>
      <c r="AO53" s="28">
        <f>IFERROR(LN(AC53)/(LN(W53)+LN(X53)+LN(Y53)+LN(Z53)+LN(AA53)+LN(AB53)+LN(AC53)+LN(AD53))*(AH53-V7_BASE_CPR),0)</f>
        <v/>
      </c>
      <c r="AP53" s="28">
        <f>IFERROR(LN(AD53)/(LN(W53)+LN(X53)+LN(Y53)+LN(Z53)+LN(AA53)+LN(AB53)+LN(AC53)+LN(AD53))*(AH53-V7_BASE_CPR),0)</f>
        <v/>
      </c>
      <c r="AQ53" s="29">
        <f>V7_BASE_CPR+SUM(AI53:AP53)-AH53</f>
        <v/>
      </c>
    </row>
    <row r="54">
      <c r="A54" s="2" t="inlineStr">
        <is>
          <t>36186QD66_000000012711148</t>
        </is>
      </c>
      <c r="B54" t="inlineStr">
        <is>
          <t>BERKADIA_PRE21</t>
        </is>
      </c>
      <c r="C54" s="2" t="inlineStr">
        <is>
          <t>36186QD66</t>
        </is>
      </c>
      <c r="D54" t="inlineStr">
        <is>
          <t>BERKADIA COMMERCIAL MORTGAGE, LLC</t>
        </is>
      </c>
      <c r="E54" t="inlineStr">
        <is>
          <t>223f</t>
        </is>
      </c>
      <c r="F54" t="inlineStr">
        <is>
          <t>RP</t>
        </is>
      </c>
      <c r="G54" t="n">
        <v>2010</v>
      </c>
      <c r="H54" t="inlineStr">
        <is>
          <t>202602</t>
        </is>
      </c>
      <c r="I54" s="22" t="n">
        <v>1950356.32</v>
      </c>
      <c r="J54" s="23" t="n">
        <v>4.34</v>
      </c>
      <c r="K54" s="24" t="n">
        <v>447</v>
      </c>
      <c r="L54" s="24" t="n">
        <v>0</v>
      </c>
      <c r="M54" t="n">
        <v>191</v>
      </c>
      <c r="N54" s="25" t="n">
        <v>39</v>
      </c>
      <c r="O54" t="n">
        <v>204508</v>
      </c>
      <c r="P54" t="inlineStr"/>
      <c r="Q54" t="inlineStr">
        <is>
          <t>4082</t>
        </is>
      </c>
      <c r="R54" s="26" t="n">
        <v>0.2041884816753927</v>
      </c>
      <c r="S54" t="n">
        <v>0</v>
      </c>
      <c r="T54" s="23">
        <f>LN(1+I54)</f>
        <v/>
      </c>
      <c r="U54" s="24">
        <f>J54*100-K54</f>
        <v/>
      </c>
      <c r="V54" s="24">
        <f>U54-12.5*(L54+1)</f>
        <v/>
      </c>
      <c r="W54" s="26">
        <f>IF(M54&lt;=V7_AGE_KNOT_X_0,V7_AGE_KNOT_Y_0,IF(M54&gt;=V7_AGE_KNOT_X_5,V7_AGE_KNOT_Y_5,IF(M54&lt;=V7_AGE_KNOT_X_1,V7_AGE_KNOT_Y_0+(M54-V7_AGE_KNOT_X_0)/(V7_AGE_KNOT_X_1-V7_AGE_KNOT_X_0)*(V7_AGE_KNOT_Y_1-V7_AGE_KNOT_Y_0),IF(M54&lt;=V7_AGE_KNOT_X_2,V7_AGE_KNOT_Y_1+(M54-V7_AGE_KNOT_X_1)/(V7_AGE_KNOT_X_2-V7_AGE_KNOT_X_1)*(V7_AGE_KNOT_Y_2-V7_AGE_KNOT_Y_1),IF(M54&lt;=V7_AGE_KNOT_X_3,V7_AGE_KNOT_Y_2+(M54-V7_AGE_KNOT_X_2)/(V7_AGE_KNOT_X_3-V7_AGE_KNOT_X_2)*(V7_AGE_KNOT_Y_3-V7_AGE_KNOT_Y_2),IF(M54&lt;=V7_AGE_KNOT_X_4,V7_AGE_KNOT_Y_3+(M54-V7_AGE_KNOT_X_3)/(V7_AGE_KNOT_X_4-V7_AGE_KNOT_X_3)*(V7_AGE_KNOT_Y_4-V7_AGE_KNOT_Y_3),V7_AGE_KNOT_Y_4+(M54-V7_AGE_KNOT_X_4)/(V7_AGE_KNOT_X_5-V7_AGE_KNOT_X_4)*(V7_AGE_KNOT_Y_5-V7_AGE_KNOT_Y_4)))))))</f>
        <v/>
      </c>
      <c r="X54" s="26">
        <f>V7_RATE_FLOOR+V7_RATE_ASYMPTOTE/(1+EXP(-(V54-V7_RATE_MID)/V7_RATE_SLOPE))</f>
        <v/>
      </c>
      <c r="Y54" s="26">
        <f>MAX(V7_SIZE_LOW,MIN(V7_SIZE_HIGH,V7_SIZE_INTERCEPT+V7_SIZE_SLOPE*(T54-V7_SIZE_LOG_ANCHOR)))</f>
        <v/>
      </c>
      <c r="Z54" s="26">
        <f>IF(ISNUMBER(SEARCH("232",E54)),VLOOKUP("232",V7_PROGRAM_TABLE,2,FALSE),IF(ISNUMBER(SEARCH("538",E54)),VLOOKUP("538",V7_PROGRAM_TABLE,2,FALSE),IF(ISNUMBER(SEARCH("223a7",E54)),VLOOKUP("223a7",V7_PROGRAM_TABLE,2,FALSE),IF(ISNUMBER(SEARCH("223f",E54)),VLOOKUP("223f",V7_PROGRAM_TABLE,2,FALSE),V7_PROGRAM_DEFAULT))))</f>
        <v/>
      </c>
      <c r="AA54" s="26">
        <f>IF(S54=1,1+V7_PURPOSE_NC_BUMP*MAX(0,1-ABS(M54-V7_PURPOSE_PEAK_AGE)/V7_PURPOSE_WIDTH),1)</f>
        <v/>
      </c>
      <c r="AB54" s="26">
        <f>IF(AND(IF(OR(P54="",NOT(ISNUMBER(P54))),0,MAX(0,MIN(24,(INT(VALUE(H54)/100)-INT(P54/100))*12+MOD(VALUE(H54),100)-MOD(P54,100))))&gt;0,IF(OR(P54="",NOT(ISNUMBER(P54))),0,MAX(0,MIN(24,(INT(VALUE(H54)/100)-INT(P54/100))*12+MOD(VALUE(H54),100)-MOD(P54,100))))&lt;=12),1+V7_LOCKOUT_AMP*EXP(-(IF(OR(P54="",NOT(ISNUMBER(P54))),0,MAX(0,MIN(24,(INT(VALUE(H54)/100)-INT(P54/100))*12+MOD(VALUE(H54),100)-MOD(P54,100)))))/V7_LOCKOUT_TAU),1)</f>
        <v/>
      </c>
      <c r="AC54" s="26">
        <f>IF(IF(OR(O54="",NOT(ISNUMBER(O54))),360,MAX(0,MIN(480,(INT(O54/100)-INT(VALUE(H54)/100))*12+MOD(O54,100)-MOD(VALUE(H54),100))))&gt;0,1+V7_MTY_AMP*MAX(0,(V7_MTY_CUTOFF-(IF(OR(O54="",NOT(ISNUMBER(O54))),360,MAX(0,MIN(480,(INT(O54/100)-INT(VALUE(H54)/100))*12+MOD(O54,100)-MOD(VALUE(H54),100))))))/V7_MTY_CUTOFF),1)</f>
        <v/>
      </c>
      <c r="AD54" s="26">
        <f>MAX(V7_BURN_FLOOR,1-V7_BURN_SLOPE*MIN(1,MAX(0,R54)))</f>
        <v/>
      </c>
      <c r="AE54" s="26">
        <f>IF(V7_USE_ISSUER=1,IFERROR(VLOOKUP(Q54,V7_ISSUER_TABLE,3,FALSE),1),1)</f>
        <v/>
      </c>
      <c r="AF54" s="26">
        <f>PRODUCT(W54:AE54)</f>
        <v/>
      </c>
      <c r="AG54" s="27">
        <f>MIN(V7_BASE_SMM*AF54,V7_SMM_CAP)</f>
        <v/>
      </c>
      <c r="AH54" s="28">
        <f>1-(1-AG54)^12</f>
        <v/>
      </c>
      <c r="AI54" s="28">
        <f>IFERROR(LN(W54)/(LN(W54)+LN(X54)+LN(Y54)+LN(Z54)+LN(AA54)+LN(AB54)+LN(AC54)+LN(AD54))*(AH54-V7_BASE_CPR),0)</f>
        <v/>
      </c>
      <c r="AJ54" s="28">
        <f>IFERROR(LN(X54)/(LN(W54)+LN(X54)+LN(Y54)+LN(Z54)+LN(AA54)+LN(AB54)+LN(AC54)+LN(AD54))*(AH54-V7_BASE_CPR),0)</f>
        <v/>
      </c>
      <c r="AK54" s="28">
        <f>IFERROR(LN(Y54)/(LN(W54)+LN(X54)+LN(Y54)+LN(Z54)+LN(AA54)+LN(AB54)+LN(AC54)+LN(AD54))*(AH54-V7_BASE_CPR),0)</f>
        <v/>
      </c>
      <c r="AL54" s="28">
        <f>IFERROR(LN(Z54)/(LN(W54)+LN(X54)+LN(Y54)+LN(Z54)+LN(AA54)+LN(AB54)+LN(AC54)+LN(AD54))*(AH54-V7_BASE_CPR),0)</f>
        <v/>
      </c>
      <c r="AM54" s="28">
        <f>IFERROR(LN(AA54)/(LN(W54)+LN(X54)+LN(Y54)+LN(Z54)+LN(AA54)+LN(AB54)+LN(AC54)+LN(AD54))*(AH54-V7_BASE_CPR),0)</f>
        <v/>
      </c>
      <c r="AN54" s="28">
        <f>IFERROR(LN(AB54)/(LN(W54)+LN(X54)+LN(Y54)+LN(Z54)+LN(AA54)+LN(AB54)+LN(AC54)+LN(AD54))*(AH54-V7_BASE_CPR),0)</f>
        <v/>
      </c>
      <c r="AO54" s="28">
        <f>IFERROR(LN(AC54)/(LN(W54)+LN(X54)+LN(Y54)+LN(Z54)+LN(AA54)+LN(AB54)+LN(AC54)+LN(AD54))*(AH54-V7_BASE_CPR),0)</f>
        <v/>
      </c>
      <c r="AP54" s="28">
        <f>IFERROR(LN(AD54)/(LN(W54)+LN(X54)+LN(Y54)+LN(Z54)+LN(AA54)+LN(AB54)+LN(AC54)+LN(AD54))*(AH54-V7_BASE_CPR),0)</f>
        <v/>
      </c>
      <c r="AQ54" s="29">
        <f>V7_BASE_CPR+SUM(AI54:AP54)-AH54</f>
        <v/>
      </c>
    </row>
    <row r="55">
      <c r="A55" s="2" t="inlineStr">
        <is>
          <t>3617K2C25_000000007111460</t>
        </is>
      </c>
      <c r="B55" t="inlineStr">
        <is>
          <t>BERKADIA_PRE21</t>
        </is>
      </c>
      <c r="C55" s="2" t="inlineStr">
        <is>
          <t>3617K2C25</t>
        </is>
      </c>
      <c r="D55" t="inlineStr">
        <is>
          <t>BERKADIA COMMERCIAL MORTGAGE, LLC</t>
        </is>
      </c>
      <c r="E55" t="inlineStr">
        <is>
          <t>223f</t>
        </is>
      </c>
      <c r="F55" t="inlineStr">
        <is>
          <t>RP</t>
        </is>
      </c>
      <c r="G55" t="n">
        <v>2019</v>
      </c>
      <c r="H55" t="inlineStr">
        <is>
          <t>202602</t>
        </is>
      </c>
      <c r="I55" s="22" t="n">
        <v>7426656.74</v>
      </c>
      <c r="J55" s="23" t="n">
        <v>3.4</v>
      </c>
      <c r="K55" s="24" t="n">
        <v>447</v>
      </c>
      <c r="L55" s="24" t="n">
        <v>5</v>
      </c>
      <c r="M55" t="n">
        <v>80</v>
      </c>
      <c r="N55" s="25" t="n">
        <v>29</v>
      </c>
      <c r="O55" t="n">
        <v>205408</v>
      </c>
      <c r="P55" t="inlineStr"/>
      <c r="Q55" t="inlineStr">
        <is>
          <t>4082</t>
        </is>
      </c>
      <c r="R55" s="26" t="n">
        <v>0.3625</v>
      </c>
      <c r="S55" t="n">
        <v>0</v>
      </c>
      <c r="T55" s="23">
        <f>LN(1+I55)</f>
        <v/>
      </c>
      <c r="U55" s="24">
        <f>J55*100-K55</f>
        <v/>
      </c>
      <c r="V55" s="24">
        <f>U55-12.5*(L55+1)</f>
        <v/>
      </c>
      <c r="W55" s="26">
        <f>IF(M55&lt;=V7_AGE_KNOT_X_0,V7_AGE_KNOT_Y_0,IF(M55&gt;=V7_AGE_KNOT_X_5,V7_AGE_KNOT_Y_5,IF(M55&lt;=V7_AGE_KNOT_X_1,V7_AGE_KNOT_Y_0+(M55-V7_AGE_KNOT_X_0)/(V7_AGE_KNOT_X_1-V7_AGE_KNOT_X_0)*(V7_AGE_KNOT_Y_1-V7_AGE_KNOT_Y_0),IF(M55&lt;=V7_AGE_KNOT_X_2,V7_AGE_KNOT_Y_1+(M55-V7_AGE_KNOT_X_1)/(V7_AGE_KNOT_X_2-V7_AGE_KNOT_X_1)*(V7_AGE_KNOT_Y_2-V7_AGE_KNOT_Y_1),IF(M55&lt;=V7_AGE_KNOT_X_3,V7_AGE_KNOT_Y_2+(M55-V7_AGE_KNOT_X_2)/(V7_AGE_KNOT_X_3-V7_AGE_KNOT_X_2)*(V7_AGE_KNOT_Y_3-V7_AGE_KNOT_Y_2),IF(M55&lt;=V7_AGE_KNOT_X_4,V7_AGE_KNOT_Y_3+(M55-V7_AGE_KNOT_X_3)/(V7_AGE_KNOT_X_4-V7_AGE_KNOT_X_3)*(V7_AGE_KNOT_Y_4-V7_AGE_KNOT_Y_3),V7_AGE_KNOT_Y_4+(M55-V7_AGE_KNOT_X_4)/(V7_AGE_KNOT_X_5-V7_AGE_KNOT_X_4)*(V7_AGE_KNOT_Y_5-V7_AGE_KNOT_Y_4)))))))</f>
        <v/>
      </c>
      <c r="X55" s="26">
        <f>V7_RATE_FLOOR+V7_RATE_ASYMPTOTE/(1+EXP(-(V55-V7_RATE_MID)/V7_RATE_SLOPE))</f>
        <v/>
      </c>
      <c r="Y55" s="26">
        <f>MAX(V7_SIZE_LOW,MIN(V7_SIZE_HIGH,V7_SIZE_INTERCEPT+V7_SIZE_SLOPE*(T55-V7_SIZE_LOG_ANCHOR)))</f>
        <v/>
      </c>
      <c r="Z55" s="26">
        <f>IF(ISNUMBER(SEARCH("232",E55)),VLOOKUP("232",V7_PROGRAM_TABLE,2,FALSE),IF(ISNUMBER(SEARCH("538",E55)),VLOOKUP("538",V7_PROGRAM_TABLE,2,FALSE),IF(ISNUMBER(SEARCH("223a7",E55)),VLOOKUP("223a7",V7_PROGRAM_TABLE,2,FALSE),IF(ISNUMBER(SEARCH("223f",E55)),VLOOKUP("223f",V7_PROGRAM_TABLE,2,FALSE),V7_PROGRAM_DEFAULT))))</f>
        <v/>
      </c>
      <c r="AA55" s="26">
        <f>IF(S55=1,1+V7_PURPOSE_NC_BUMP*MAX(0,1-ABS(M55-V7_PURPOSE_PEAK_AGE)/V7_PURPOSE_WIDTH),1)</f>
        <v/>
      </c>
      <c r="AB55" s="26">
        <f>IF(AND(IF(OR(P55="",NOT(ISNUMBER(P55))),0,MAX(0,MIN(24,(INT(VALUE(H55)/100)-INT(P55/100))*12+MOD(VALUE(H55),100)-MOD(P55,100))))&gt;0,IF(OR(P55="",NOT(ISNUMBER(P55))),0,MAX(0,MIN(24,(INT(VALUE(H55)/100)-INT(P55/100))*12+MOD(VALUE(H55),100)-MOD(P55,100))))&lt;=12),1+V7_LOCKOUT_AMP*EXP(-(IF(OR(P55="",NOT(ISNUMBER(P55))),0,MAX(0,MIN(24,(INT(VALUE(H55)/100)-INT(P55/100))*12+MOD(VALUE(H55),100)-MOD(P55,100)))))/V7_LOCKOUT_TAU),1)</f>
        <v/>
      </c>
      <c r="AC55" s="26">
        <f>IF(IF(OR(O55="",NOT(ISNUMBER(O55))),360,MAX(0,MIN(480,(INT(O55/100)-INT(VALUE(H55)/100))*12+MOD(O55,100)-MOD(VALUE(H55),100))))&gt;0,1+V7_MTY_AMP*MAX(0,(V7_MTY_CUTOFF-(IF(OR(O55="",NOT(ISNUMBER(O55))),360,MAX(0,MIN(480,(INT(O55/100)-INT(VALUE(H55)/100))*12+MOD(O55,100)-MOD(VALUE(H55),100))))))/V7_MTY_CUTOFF),1)</f>
        <v/>
      </c>
      <c r="AD55" s="26">
        <f>MAX(V7_BURN_FLOOR,1-V7_BURN_SLOPE*MIN(1,MAX(0,R55)))</f>
        <v/>
      </c>
      <c r="AE55" s="26">
        <f>IF(V7_USE_ISSUER=1,IFERROR(VLOOKUP(Q55,V7_ISSUER_TABLE,3,FALSE),1),1)</f>
        <v/>
      </c>
      <c r="AF55" s="26">
        <f>PRODUCT(W55:AE55)</f>
        <v/>
      </c>
      <c r="AG55" s="27">
        <f>MIN(V7_BASE_SMM*AF55,V7_SMM_CAP)</f>
        <v/>
      </c>
      <c r="AH55" s="28">
        <f>1-(1-AG55)^12</f>
        <v/>
      </c>
      <c r="AI55" s="28">
        <f>IFERROR(LN(W55)/(LN(W55)+LN(X55)+LN(Y55)+LN(Z55)+LN(AA55)+LN(AB55)+LN(AC55)+LN(AD55))*(AH55-V7_BASE_CPR),0)</f>
        <v/>
      </c>
      <c r="AJ55" s="28">
        <f>IFERROR(LN(X55)/(LN(W55)+LN(X55)+LN(Y55)+LN(Z55)+LN(AA55)+LN(AB55)+LN(AC55)+LN(AD55))*(AH55-V7_BASE_CPR),0)</f>
        <v/>
      </c>
      <c r="AK55" s="28">
        <f>IFERROR(LN(Y55)/(LN(W55)+LN(X55)+LN(Y55)+LN(Z55)+LN(AA55)+LN(AB55)+LN(AC55)+LN(AD55))*(AH55-V7_BASE_CPR),0)</f>
        <v/>
      </c>
      <c r="AL55" s="28">
        <f>IFERROR(LN(Z55)/(LN(W55)+LN(X55)+LN(Y55)+LN(Z55)+LN(AA55)+LN(AB55)+LN(AC55)+LN(AD55))*(AH55-V7_BASE_CPR),0)</f>
        <v/>
      </c>
      <c r="AM55" s="28">
        <f>IFERROR(LN(AA55)/(LN(W55)+LN(X55)+LN(Y55)+LN(Z55)+LN(AA55)+LN(AB55)+LN(AC55)+LN(AD55))*(AH55-V7_BASE_CPR),0)</f>
        <v/>
      </c>
      <c r="AN55" s="28">
        <f>IFERROR(LN(AB55)/(LN(W55)+LN(X55)+LN(Y55)+LN(Z55)+LN(AA55)+LN(AB55)+LN(AC55)+LN(AD55))*(AH55-V7_BASE_CPR),0)</f>
        <v/>
      </c>
      <c r="AO55" s="28">
        <f>IFERROR(LN(AC55)/(LN(W55)+LN(X55)+LN(Y55)+LN(Z55)+LN(AA55)+LN(AB55)+LN(AC55)+LN(AD55))*(AH55-V7_BASE_CPR),0)</f>
        <v/>
      </c>
      <c r="AP55" s="28">
        <f>IFERROR(LN(AD55)/(LN(W55)+LN(X55)+LN(Y55)+LN(Z55)+LN(AA55)+LN(AB55)+LN(AC55)+LN(AD55))*(AH55-V7_BASE_CPR),0)</f>
        <v/>
      </c>
      <c r="AQ55" s="29">
        <f>V7_BASE_CPR+SUM(AI55:AP55)-AH55</f>
        <v/>
      </c>
    </row>
    <row r="56">
      <c r="A56" s="2" t="inlineStr">
        <is>
          <t>3617QM5L1_000000001411229</t>
        </is>
      </c>
      <c r="B56" t="inlineStr">
        <is>
          <t>BERKADIA_PRE21</t>
        </is>
      </c>
      <c r="C56" s="2" t="inlineStr">
        <is>
          <t>3617QM5L1</t>
        </is>
      </c>
      <c r="D56" t="inlineStr">
        <is>
          <t>BERKADIA COMMERCIAL MORTGAGE, LLC</t>
        </is>
      </c>
      <c r="E56" t="inlineStr">
        <is>
          <t>223f</t>
        </is>
      </c>
      <c r="F56" t="inlineStr">
        <is>
          <t>RP</t>
        </is>
      </c>
      <c r="G56" t="n">
        <v>2014</v>
      </c>
      <c r="H56" t="inlineStr">
        <is>
          <t>202602</t>
        </is>
      </c>
      <c r="I56" s="22" t="n">
        <v>894262.78</v>
      </c>
      <c r="J56" s="23" t="n">
        <v>3.1</v>
      </c>
      <c r="K56" s="24" t="n">
        <v>447</v>
      </c>
      <c r="L56" s="24" t="n">
        <v>6</v>
      </c>
      <c r="M56" t="n">
        <v>142</v>
      </c>
      <c r="N56" s="25" t="n">
        <v>13</v>
      </c>
      <c r="O56" t="n">
        <v>204710</v>
      </c>
      <c r="P56" t="inlineStr"/>
      <c r="Q56" t="inlineStr">
        <is>
          <t>4082</t>
        </is>
      </c>
      <c r="R56" s="26" t="n">
        <v>0.09154929577464789</v>
      </c>
      <c r="S56" t="n">
        <v>0</v>
      </c>
      <c r="T56" s="23">
        <f>LN(1+I56)</f>
        <v/>
      </c>
      <c r="U56" s="24">
        <f>J56*100-K56</f>
        <v/>
      </c>
      <c r="V56" s="24">
        <f>U56-12.5*(L56+1)</f>
        <v/>
      </c>
      <c r="W56" s="26">
        <f>IF(M56&lt;=V7_AGE_KNOT_X_0,V7_AGE_KNOT_Y_0,IF(M56&gt;=V7_AGE_KNOT_X_5,V7_AGE_KNOT_Y_5,IF(M56&lt;=V7_AGE_KNOT_X_1,V7_AGE_KNOT_Y_0+(M56-V7_AGE_KNOT_X_0)/(V7_AGE_KNOT_X_1-V7_AGE_KNOT_X_0)*(V7_AGE_KNOT_Y_1-V7_AGE_KNOT_Y_0),IF(M56&lt;=V7_AGE_KNOT_X_2,V7_AGE_KNOT_Y_1+(M56-V7_AGE_KNOT_X_1)/(V7_AGE_KNOT_X_2-V7_AGE_KNOT_X_1)*(V7_AGE_KNOT_Y_2-V7_AGE_KNOT_Y_1),IF(M56&lt;=V7_AGE_KNOT_X_3,V7_AGE_KNOT_Y_2+(M56-V7_AGE_KNOT_X_2)/(V7_AGE_KNOT_X_3-V7_AGE_KNOT_X_2)*(V7_AGE_KNOT_Y_3-V7_AGE_KNOT_Y_2),IF(M56&lt;=V7_AGE_KNOT_X_4,V7_AGE_KNOT_Y_3+(M56-V7_AGE_KNOT_X_3)/(V7_AGE_KNOT_X_4-V7_AGE_KNOT_X_3)*(V7_AGE_KNOT_Y_4-V7_AGE_KNOT_Y_3),V7_AGE_KNOT_Y_4+(M56-V7_AGE_KNOT_X_4)/(V7_AGE_KNOT_X_5-V7_AGE_KNOT_X_4)*(V7_AGE_KNOT_Y_5-V7_AGE_KNOT_Y_4)))))))</f>
        <v/>
      </c>
      <c r="X56" s="26">
        <f>V7_RATE_FLOOR+V7_RATE_ASYMPTOTE/(1+EXP(-(V56-V7_RATE_MID)/V7_RATE_SLOPE))</f>
        <v/>
      </c>
      <c r="Y56" s="26">
        <f>MAX(V7_SIZE_LOW,MIN(V7_SIZE_HIGH,V7_SIZE_INTERCEPT+V7_SIZE_SLOPE*(T56-V7_SIZE_LOG_ANCHOR)))</f>
        <v/>
      </c>
      <c r="Z56" s="26">
        <f>IF(ISNUMBER(SEARCH("232",E56)),VLOOKUP("232",V7_PROGRAM_TABLE,2,FALSE),IF(ISNUMBER(SEARCH("538",E56)),VLOOKUP("538",V7_PROGRAM_TABLE,2,FALSE),IF(ISNUMBER(SEARCH("223a7",E56)),VLOOKUP("223a7",V7_PROGRAM_TABLE,2,FALSE),IF(ISNUMBER(SEARCH("223f",E56)),VLOOKUP("223f",V7_PROGRAM_TABLE,2,FALSE),V7_PROGRAM_DEFAULT))))</f>
        <v/>
      </c>
      <c r="AA56" s="26">
        <f>IF(S56=1,1+V7_PURPOSE_NC_BUMP*MAX(0,1-ABS(M56-V7_PURPOSE_PEAK_AGE)/V7_PURPOSE_WIDTH),1)</f>
        <v/>
      </c>
      <c r="AB56" s="26">
        <f>IF(AND(IF(OR(P56="",NOT(ISNUMBER(P56))),0,MAX(0,MIN(24,(INT(VALUE(H56)/100)-INT(P56/100))*12+MOD(VALUE(H56),100)-MOD(P56,100))))&gt;0,IF(OR(P56="",NOT(ISNUMBER(P56))),0,MAX(0,MIN(24,(INT(VALUE(H56)/100)-INT(P56/100))*12+MOD(VALUE(H56),100)-MOD(P56,100))))&lt;=12),1+V7_LOCKOUT_AMP*EXP(-(IF(OR(P56="",NOT(ISNUMBER(P56))),0,MAX(0,MIN(24,(INT(VALUE(H56)/100)-INT(P56/100))*12+MOD(VALUE(H56),100)-MOD(P56,100)))))/V7_LOCKOUT_TAU),1)</f>
        <v/>
      </c>
      <c r="AC56" s="26">
        <f>IF(IF(OR(O56="",NOT(ISNUMBER(O56))),360,MAX(0,MIN(480,(INT(O56/100)-INT(VALUE(H56)/100))*12+MOD(O56,100)-MOD(VALUE(H56),100))))&gt;0,1+V7_MTY_AMP*MAX(0,(V7_MTY_CUTOFF-(IF(OR(O56="",NOT(ISNUMBER(O56))),360,MAX(0,MIN(480,(INT(O56/100)-INT(VALUE(H56)/100))*12+MOD(O56,100)-MOD(VALUE(H56),100))))))/V7_MTY_CUTOFF),1)</f>
        <v/>
      </c>
      <c r="AD56" s="26">
        <f>MAX(V7_BURN_FLOOR,1-V7_BURN_SLOPE*MIN(1,MAX(0,R56)))</f>
        <v/>
      </c>
      <c r="AE56" s="26">
        <f>IF(V7_USE_ISSUER=1,IFERROR(VLOOKUP(Q56,V7_ISSUER_TABLE,3,FALSE),1),1)</f>
        <v/>
      </c>
      <c r="AF56" s="26">
        <f>PRODUCT(W56:AE56)</f>
        <v/>
      </c>
      <c r="AG56" s="27">
        <f>MIN(V7_BASE_SMM*AF56,V7_SMM_CAP)</f>
        <v/>
      </c>
      <c r="AH56" s="28">
        <f>1-(1-AG56)^12</f>
        <v/>
      </c>
      <c r="AI56" s="28">
        <f>IFERROR(LN(W56)/(LN(W56)+LN(X56)+LN(Y56)+LN(Z56)+LN(AA56)+LN(AB56)+LN(AC56)+LN(AD56))*(AH56-V7_BASE_CPR),0)</f>
        <v/>
      </c>
      <c r="AJ56" s="28">
        <f>IFERROR(LN(X56)/(LN(W56)+LN(X56)+LN(Y56)+LN(Z56)+LN(AA56)+LN(AB56)+LN(AC56)+LN(AD56))*(AH56-V7_BASE_CPR),0)</f>
        <v/>
      </c>
      <c r="AK56" s="28">
        <f>IFERROR(LN(Y56)/(LN(W56)+LN(X56)+LN(Y56)+LN(Z56)+LN(AA56)+LN(AB56)+LN(AC56)+LN(AD56))*(AH56-V7_BASE_CPR),0)</f>
        <v/>
      </c>
      <c r="AL56" s="28">
        <f>IFERROR(LN(Z56)/(LN(W56)+LN(X56)+LN(Y56)+LN(Z56)+LN(AA56)+LN(AB56)+LN(AC56)+LN(AD56))*(AH56-V7_BASE_CPR),0)</f>
        <v/>
      </c>
      <c r="AM56" s="28">
        <f>IFERROR(LN(AA56)/(LN(W56)+LN(X56)+LN(Y56)+LN(Z56)+LN(AA56)+LN(AB56)+LN(AC56)+LN(AD56))*(AH56-V7_BASE_CPR),0)</f>
        <v/>
      </c>
      <c r="AN56" s="28">
        <f>IFERROR(LN(AB56)/(LN(W56)+LN(X56)+LN(Y56)+LN(Z56)+LN(AA56)+LN(AB56)+LN(AC56)+LN(AD56))*(AH56-V7_BASE_CPR),0)</f>
        <v/>
      </c>
      <c r="AO56" s="28">
        <f>IFERROR(LN(AC56)/(LN(W56)+LN(X56)+LN(Y56)+LN(Z56)+LN(AA56)+LN(AB56)+LN(AC56)+LN(AD56))*(AH56-V7_BASE_CPR),0)</f>
        <v/>
      </c>
      <c r="AP56" s="28">
        <f>IFERROR(LN(AD56)/(LN(W56)+LN(X56)+LN(Y56)+LN(Z56)+LN(AA56)+LN(AB56)+LN(AC56)+LN(AD56))*(AH56-V7_BASE_CPR),0)</f>
        <v/>
      </c>
      <c r="AQ56" s="29">
        <f>V7_BASE_CPR+SUM(AI56:AP56)-AH56</f>
        <v/>
      </c>
    </row>
    <row r="57">
      <c r="A57" s="2" t="inlineStr">
        <is>
          <t>3617M15Y3_000000012622168</t>
        </is>
      </c>
      <c r="B57" t="inlineStr">
        <is>
          <t>BERKADIA_PRE21</t>
        </is>
      </c>
      <c r="C57" s="2" t="inlineStr">
        <is>
          <t>3617M15Y3</t>
        </is>
      </c>
      <c r="D57" t="inlineStr">
        <is>
          <t>BERKADIA COMMERCIAL MORTGAGE, LLC</t>
        </is>
      </c>
      <c r="E57" t="inlineStr">
        <is>
          <t>232</t>
        </is>
      </c>
      <c r="F57" t="inlineStr">
        <is>
          <t>RP</t>
        </is>
      </c>
      <c r="G57" t="n">
        <v>2018</v>
      </c>
      <c r="H57" t="inlineStr">
        <is>
          <t>202602</t>
        </is>
      </c>
      <c r="I57" s="22" t="n">
        <v>8760424.359999999</v>
      </c>
      <c r="J57" s="23" t="n">
        <v>4.1</v>
      </c>
      <c r="K57" s="24" t="n">
        <v>447</v>
      </c>
      <c r="L57" s="24" t="n">
        <v>6</v>
      </c>
      <c r="M57" t="n">
        <v>87</v>
      </c>
      <c r="N57" s="25" t="n">
        <v>22</v>
      </c>
      <c r="O57" t="n">
        <v>204901</v>
      </c>
      <c r="P57" t="inlineStr"/>
      <c r="Q57" t="inlineStr">
        <is>
          <t>4082</t>
        </is>
      </c>
      <c r="R57" s="26" t="n">
        <v>0.2528735632183908</v>
      </c>
      <c r="S57" t="n">
        <v>0</v>
      </c>
      <c r="T57" s="23">
        <f>LN(1+I57)</f>
        <v/>
      </c>
      <c r="U57" s="24">
        <f>J57*100-K57</f>
        <v/>
      </c>
      <c r="V57" s="24">
        <f>U57-12.5*(L57+1)</f>
        <v/>
      </c>
      <c r="W57" s="26">
        <f>IF(M57&lt;=V7_AGE_KNOT_X_0,V7_AGE_KNOT_Y_0,IF(M57&gt;=V7_AGE_KNOT_X_5,V7_AGE_KNOT_Y_5,IF(M57&lt;=V7_AGE_KNOT_X_1,V7_AGE_KNOT_Y_0+(M57-V7_AGE_KNOT_X_0)/(V7_AGE_KNOT_X_1-V7_AGE_KNOT_X_0)*(V7_AGE_KNOT_Y_1-V7_AGE_KNOT_Y_0),IF(M57&lt;=V7_AGE_KNOT_X_2,V7_AGE_KNOT_Y_1+(M57-V7_AGE_KNOT_X_1)/(V7_AGE_KNOT_X_2-V7_AGE_KNOT_X_1)*(V7_AGE_KNOT_Y_2-V7_AGE_KNOT_Y_1),IF(M57&lt;=V7_AGE_KNOT_X_3,V7_AGE_KNOT_Y_2+(M57-V7_AGE_KNOT_X_2)/(V7_AGE_KNOT_X_3-V7_AGE_KNOT_X_2)*(V7_AGE_KNOT_Y_3-V7_AGE_KNOT_Y_2),IF(M57&lt;=V7_AGE_KNOT_X_4,V7_AGE_KNOT_Y_3+(M57-V7_AGE_KNOT_X_3)/(V7_AGE_KNOT_X_4-V7_AGE_KNOT_X_3)*(V7_AGE_KNOT_Y_4-V7_AGE_KNOT_Y_3),V7_AGE_KNOT_Y_4+(M57-V7_AGE_KNOT_X_4)/(V7_AGE_KNOT_X_5-V7_AGE_KNOT_X_4)*(V7_AGE_KNOT_Y_5-V7_AGE_KNOT_Y_4)))))))</f>
        <v/>
      </c>
      <c r="X57" s="26">
        <f>V7_RATE_FLOOR+V7_RATE_ASYMPTOTE/(1+EXP(-(V57-V7_RATE_MID)/V7_RATE_SLOPE))</f>
        <v/>
      </c>
      <c r="Y57" s="26">
        <f>MAX(V7_SIZE_LOW,MIN(V7_SIZE_HIGH,V7_SIZE_INTERCEPT+V7_SIZE_SLOPE*(T57-V7_SIZE_LOG_ANCHOR)))</f>
        <v/>
      </c>
      <c r="Z57" s="26">
        <f>IF(ISNUMBER(SEARCH("232",E57)),VLOOKUP("232",V7_PROGRAM_TABLE,2,FALSE),IF(ISNUMBER(SEARCH("538",E57)),VLOOKUP("538",V7_PROGRAM_TABLE,2,FALSE),IF(ISNUMBER(SEARCH("223a7",E57)),VLOOKUP("223a7",V7_PROGRAM_TABLE,2,FALSE),IF(ISNUMBER(SEARCH("223f",E57)),VLOOKUP("223f",V7_PROGRAM_TABLE,2,FALSE),V7_PROGRAM_DEFAULT))))</f>
        <v/>
      </c>
      <c r="AA57" s="26">
        <f>IF(S57=1,1+V7_PURPOSE_NC_BUMP*MAX(0,1-ABS(M57-V7_PURPOSE_PEAK_AGE)/V7_PURPOSE_WIDTH),1)</f>
        <v/>
      </c>
      <c r="AB57" s="26">
        <f>IF(AND(IF(OR(P57="",NOT(ISNUMBER(P57))),0,MAX(0,MIN(24,(INT(VALUE(H57)/100)-INT(P57/100))*12+MOD(VALUE(H57),100)-MOD(P57,100))))&gt;0,IF(OR(P57="",NOT(ISNUMBER(P57))),0,MAX(0,MIN(24,(INT(VALUE(H57)/100)-INT(P57/100))*12+MOD(VALUE(H57),100)-MOD(P57,100))))&lt;=12),1+V7_LOCKOUT_AMP*EXP(-(IF(OR(P57="",NOT(ISNUMBER(P57))),0,MAX(0,MIN(24,(INT(VALUE(H57)/100)-INT(P57/100))*12+MOD(VALUE(H57),100)-MOD(P57,100)))))/V7_LOCKOUT_TAU),1)</f>
        <v/>
      </c>
      <c r="AC57" s="26">
        <f>IF(IF(OR(O57="",NOT(ISNUMBER(O57))),360,MAX(0,MIN(480,(INT(O57/100)-INT(VALUE(H57)/100))*12+MOD(O57,100)-MOD(VALUE(H57),100))))&gt;0,1+V7_MTY_AMP*MAX(0,(V7_MTY_CUTOFF-(IF(OR(O57="",NOT(ISNUMBER(O57))),360,MAX(0,MIN(480,(INT(O57/100)-INT(VALUE(H57)/100))*12+MOD(O57,100)-MOD(VALUE(H57),100))))))/V7_MTY_CUTOFF),1)</f>
        <v/>
      </c>
      <c r="AD57" s="26">
        <f>MAX(V7_BURN_FLOOR,1-V7_BURN_SLOPE*MIN(1,MAX(0,R57)))</f>
        <v/>
      </c>
      <c r="AE57" s="26">
        <f>IF(V7_USE_ISSUER=1,IFERROR(VLOOKUP(Q57,V7_ISSUER_TABLE,3,FALSE),1),1)</f>
        <v/>
      </c>
      <c r="AF57" s="26">
        <f>PRODUCT(W57:AE57)</f>
        <v/>
      </c>
      <c r="AG57" s="27">
        <f>MIN(V7_BASE_SMM*AF57,V7_SMM_CAP)</f>
        <v/>
      </c>
      <c r="AH57" s="28">
        <f>1-(1-AG57)^12</f>
        <v/>
      </c>
      <c r="AI57" s="28">
        <f>IFERROR(LN(W57)/(LN(W57)+LN(X57)+LN(Y57)+LN(Z57)+LN(AA57)+LN(AB57)+LN(AC57)+LN(AD57))*(AH57-V7_BASE_CPR),0)</f>
        <v/>
      </c>
      <c r="AJ57" s="28">
        <f>IFERROR(LN(X57)/(LN(W57)+LN(X57)+LN(Y57)+LN(Z57)+LN(AA57)+LN(AB57)+LN(AC57)+LN(AD57))*(AH57-V7_BASE_CPR),0)</f>
        <v/>
      </c>
      <c r="AK57" s="28">
        <f>IFERROR(LN(Y57)/(LN(W57)+LN(X57)+LN(Y57)+LN(Z57)+LN(AA57)+LN(AB57)+LN(AC57)+LN(AD57))*(AH57-V7_BASE_CPR),0)</f>
        <v/>
      </c>
      <c r="AL57" s="28">
        <f>IFERROR(LN(Z57)/(LN(W57)+LN(X57)+LN(Y57)+LN(Z57)+LN(AA57)+LN(AB57)+LN(AC57)+LN(AD57))*(AH57-V7_BASE_CPR),0)</f>
        <v/>
      </c>
      <c r="AM57" s="28">
        <f>IFERROR(LN(AA57)/(LN(W57)+LN(X57)+LN(Y57)+LN(Z57)+LN(AA57)+LN(AB57)+LN(AC57)+LN(AD57))*(AH57-V7_BASE_CPR),0)</f>
        <v/>
      </c>
      <c r="AN57" s="28">
        <f>IFERROR(LN(AB57)/(LN(W57)+LN(X57)+LN(Y57)+LN(Z57)+LN(AA57)+LN(AB57)+LN(AC57)+LN(AD57))*(AH57-V7_BASE_CPR),0)</f>
        <v/>
      </c>
      <c r="AO57" s="28">
        <f>IFERROR(LN(AC57)/(LN(W57)+LN(X57)+LN(Y57)+LN(Z57)+LN(AA57)+LN(AB57)+LN(AC57)+LN(AD57))*(AH57-V7_BASE_CPR),0)</f>
        <v/>
      </c>
      <c r="AP57" s="28">
        <f>IFERROR(LN(AD57)/(LN(W57)+LN(X57)+LN(Y57)+LN(Z57)+LN(AA57)+LN(AB57)+LN(AC57)+LN(AD57))*(AH57-V7_BASE_CPR),0)</f>
        <v/>
      </c>
      <c r="AQ57" s="29">
        <f>V7_BASE_CPR+SUM(AI57:AP57)-AH57</f>
        <v/>
      </c>
    </row>
    <row r="58">
      <c r="A58" s="2" t="inlineStr">
        <is>
          <t>3617U85A1_000000010511032</t>
        </is>
      </c>
      <c r="B58" t="inlineStr">
        <is>
          <t>BERKADIA_PRE21</t>
        </is>
      </c>
      <c r="C58" s="2" t="inlineStr">
        <is>
          <t>3617U85A1</t>
        </is>
      </c>
      <c r="D58" t="inlineStr">
        <is>
          <t>BERKADIA COMMERCIAL MORTGAGE, LLC</t>
        </is>
      </c>
      <c r="E58" t="inlineStr">
        <is>
          <t>223f</t>
        </is>
      </c>
      <c r="F58" t="inlineStr">
        <is>
          <t>RP</t>
        </is>
      </c>
      <c r="G58" t="n">
        <v>2007</v>
      </c>
      <c r="H58" t="inlineStr">
        <is>
          <t>202602</t>
        </is>
      </c>
      <c r="I58" s="22" t="n">
        <v>2605551.37</v>
      </c>
      <c r="J58" s="23" t="n">
        <v>2.83</v>
      </c>
      <c r="K58" s="24" t="n">
        <v>447</v>
      </c>
      <c r="L58" s="24" t="n">
        <v>6</v>
      </c>
      <c r="M58" t="n">
        <v>229</v>
      </c>
      <c r="N58" s="25" t="n">
        <v>13</v>
      </c>
      <c r="O58" t="n">
        <v>204205</v>
      </c>
      <c r="P58" t="inlineStr"/>
      <c r="Q58" t="inlineStr">
        <is>
          <t>4082</t>
        </is>
      </c>
      <c r="R58" s="26" t="n">
        <v>0.05676855895196507</v>
      </c>
      <c r="S58" t="n">
        <v>0</v>
      </c>
      <c r="T58" s="23">
        <f>LN(1+I58)</f>
        <v/>
      </c>
      <c r="U58" s="24">
        <f>J58*100-K58</f>
        <v/>
      </c>
      <c r="V58" s="24">
        <f>U58-12.5*(L58+1)</f>
        <v/>
      </c>
      <c r="W58" s="26">
        <f>IF(M58&lt;=V7_AGE_KNOT_X_0,V7_AGE_KNOT_Y_0,IF(M58&gt;=V7_AGE_KNOT_X_5,V7_AGE_KNOT_Y_5,IF(M58&lt;=V7_AGE_KNOT_X_1,V7_AGE_KNOT_Y_0+(M58-V7_AGE_KNOT_X_0)/(V7_AGE_KNOT_X_1-V7_AGE_KNOT_X_0)*(V7_AGE_KNOT_Y_1-V7_AGE_KNOT_Y_0),IF(M58&lt;=V7_AGE_KNOT_X_2,V7_AGE_KNOT_Y_1+(M58-V7_AGE_KNOT_X_1)/(V7_AGE_KNOT_X_2-V7_AGE_KNOT_X_1)*(V7_AGE_KNOT_Y_2-V7_AGE_KNOT_Y_1),IF(M58&lt;=V7_AGE_KNOT_X_3,V7_AGE_KNOT_Y_2+(M58-V7_AGE_KNOT_X_2)/(V7_AGE_KNOT_X_3-V7_AGE_KNOT_X_2)*(V7_AGE_KNOT_Y_3-V7_AGE_KNOT_Y_2),IF(M58&lt;=V7_AGE_KNOT_X_4,V7_AGE_KNOT_Y_3+(M58-V7_AGE_KNOT_X_3)/(V7_AGE_KNOT_X_4-V7_AGE_KNOT_X_3)*(V7_AGE_KNOT_Y_4-V7_AGE_KNOT_Y_3),V7_AGE_KNOT_Y_4+(M58-V7_AGE_KNOT_X_4)/(V7_AGE_KNOT_X_5-V7_AGE_KNOT_X_4)*(V7_AGE_KNOT_Y_5-V7_AGE_KNOT_Y_4)))))))</f>
        <v/>
      </c>
      <c r="X58" s="26">
        <f>V7_RATE_FLOOR+V7_RATE_ASYMPTOTE/(1+EXP(-(V58-V7_RATE_MID)/V7_RATE_SLOPE))</f>
        <v/>
      </c>
      <c r="Y58" s="26">
        <f>MAX(V7_SIZE_LOW,MIN(V7_SIZE_HIGH,V7_SIZE_INTERCEPT+V7_SIZE_SLOPE*(T58-V7_SIZE_LOG_ANCHOR)))</f>
        <v/>
      </c>
      <c r="Z58" s="26">
        <f>IF(ISNUMBER(SEARCH("232",E58)),VLOOKUP("232",V7_PROGRAM_TABLE,2,FALSE),IF(ISNUMBER(SEARCH("538",E58)),VLOOKUP("538",V7_PROGRAM_TABLE,2,FALSE),IF(ISNUMBER(SEARCH("223a7",E58)),VLOOKUP("223a7",V7_PROGRAM_TABLE,2,FALSE),IF(ISNUMBER(SEARCH("223f",E58)),VLOOKUP("223f",V7_PROGRAM_TABLE,2,FALSE),V7_PROGRAM_DEFAULT))))</f>
        <v/>
      </c>
      <c r="AA58" s="26">
        <f>IF(S58=1,1+V7_PURPOSE_NC_BUMP*MAX(0,1-ABS(M58-V7_PURPOSE_PEAK_AGE)/V7_PURPOSE_WIDTH),1)</f>
        <v/>
      </c>
      <c r="AB58" s="26">
        <f>IF(AND(IF(OR(P58="",NOT(ISNUMBER(P58))),0,MAX(0,MIN(24,(INT(VALUE(H58)/100)-INT(P58/100))*12+MOD(VALUE(H58),100)-MOD(P58,100))))&gt;0,IF(OR(P58="",NOT(ISNUMBER(P58))),0,MAX(0,MIN(24,(INT(VALUE(H58)/100)-INT(P58/100))*12+MOD(VALUE(H58),100)-MOD(P58,100))))&lt;=12),1+V7_LOCKOUT_AMP*EXP(-(IF(OR(P58="",NOT(ISNUMBER(P58))),0,MAX(0,MIN(24,(INT(VALUE(H58)/100)-INT(P58/100))*12+MOD(VALUE(H58),100)-MOD(P58,100)))))/V7_LOCKOUT_TAU),1)</f>
        <v/>
      </c>
      <c r="AC58" s="26">
        <f>IF(IF(OR(O58="",NOT(ISNUMBER(O58))),360,MAX(0,MIN(480,(INT(O58/100)-INT(VALUE(H58)/100))*12+MOD(O58,100)-MOD(VALUE(H58),100))))&gt;0,1+V7_MTY_AMP*MAX(0,(V7_MTY_CUTOFF-(IF(OR(O58="",NOT(ISNUMBER(O58))),360,MAX(0,MIN(480,(INT(O58/100)-INT(VALUE(H58)/100))*12+MOD(O58,100)-MOD(VALUE(H58),100))))))/V7_MTY_CUTOFF),1)</f>
        <v/>
      </c>
      <c r="AD58" s="26">
        <f>MAX(V7_BURN_FLOOR,1-V7_BURN_SLOPE*MIN(1,MAX(0,R58)))</f>
        <v/>
      </c>
      <c r="AE58" s="26">
        <f>IF(V7_USE_ISSUER=1,IFERROR(VLOOKUP(Q58,V7_ISSUER_TABLE,3,FALSE),1),1)</f>
        <v/>
      </c>
      <c r="AF58" s="26">
        <f>PRODUCT(W58:AE58)</f>
        <v/>
      </c>
      <c r="AG58" s="27">
        <f>MIN(V7_BASE_SMM*AF58,V7_SMM_CAP)</f>
        <v/>
      </c>
      <c r="AH58" s="28">
        <f>1-(1-AG58)^12</f>
        <v/>
      </c>
      <c r="AI58" s="28">
        <f>IFERROR(LN(W58)/(LN(W58)+LN(X58)+LN(Y58)+LN(Z58)+LN(AA58)+LN(AB58)+LN(AC58)+LN(AD58))*(AH58-V7_BASE_CPR),0)</f>
        <v/>
      </c>
      <c r="AJ58" s="28">
        <f>IFERROR(LN(X58)/(LN(W58)+LN(X58)+LN(Y58)+LN(Z58)+LN(AA58)+LN(AB58)+LN(AC58)+LN(AD58))*(AH58-V7_BASE_CPR),0)</f>
        <v/>
      </c>
      <c r="AK58" s="28">
        <f>IFERROR(LN(Y58)/(LN(W58)+LN(X58)+LN(Y58)+LN(Z58)+LN(AA58)+LN(AB58)+LN(AC58)+LN(AD58))*(AH58-V7_BASE_CPR),0)</f>
        <v/>
      </c>
      <c r="AL58" s="28">
        <f>IFERROR(LN(Z58)/(LN(W58)+LN(X58)+LN(Y58)+LN(Z58)+LN(AA58)+LN(AB58)+LN(AC58)+LN(AD58))*(AH58-V7_BASE_CPR),0)</f>
        <v/>
      </c>
      <c r="AM58" s="28">
        <f>IFERROR(LN(AA58)/(LN(W58)+LN(X58)+LN(Y58)+LN(Z58)+LN(AA58)+LN(AB58)+LN(AC58)+LN(AD58))*(AH58-V7_BASE_CPR),0)</f>
        <v/>
      </c>
      <c r="AN58" s="28">
        <f>IFERROR(LN(AB58)/(LN(W58)+LN(X58)+LN(Y58)+LN(Z58)+LN(AA58)+LN(AB58)+LN(AC58)+LN(AD58))*(AH58-V7_BASE_CPR),0)</f>
        <v/>
      </c>
      <c r="AO58" s="28">
        <f>IFERROR(LN(AC58)/(LN(W58)+LN(X58)+LN(Y58)+LN(Z58)+LN(AA58)+LN(AB58)+LN(AC58)+LN(AD58))*(AH58-V7_BASE_CPR),0)</f>
        <v/>
      </c>
      <c r="AP58" s="28">
        <f>IFERROR(LN(AD58)/(LN(W58)+LN(X58)+LN(Y58)+LN(Z58)+LN(AA58)+LN(AB58)+LN(AC58)+LN(AD58))*(AH58-V7_BASE_CPR),0)</f>
        <v/>
      </c>
      <c r="AQ58" s="29">
        <f>V7_BASE_CPR+SUM(AI58:AP58)-AH58</f>
        <v/>
      </c>
    </row>
    <row r="59">
      <c r="A59" s="2" t="inlineStr">
        <is>
          <t>3617XJY46_000000012222261</t>
        </is>
      </c>
      <c r="B59" t="inlineStr">
        <is>
          <t>BERKADIA_POST21</t>
        </is>
      </c>
      <c r="C59" s="2" t="inlineStr">
        <is>
          <t>3617XJY46</t>
        </is>
      </c>
      <c r="D59" t="inlineStr">
        <is>
          <t>BERKADIA COMMERCIAL MORTGAGE, LLC</t>
        </is>
      </c>
      <c r="E59" t="inlineStr">
        <is>
          <t>232</t>
        </is>
      </c>
      <c r="F59" t="inlineStr">
        <is>
          <t>RP</t>
        </is>
      </c>
      <c r="G59" t="n">
        <v>2021</v>
      </c>
      <c r="H59" t="inlineStr">
        <is>
          <t>202602</t>
        </is>
      </c>
      <c r="I59" s="22" t="n">
        <v>1287013.14</v>
      </c>
      <c r="J59" s="23" t="n">
        <v>2.58</v>
      </c>
      <c r="K59" s="24" t="n">
        <v>447</v>
      </c>
      <c r="L59" s="24" t="n">
        <v>8</v>
      </c>
      <c r="M59" t="n">
        <v>52</v>
      </c>
      <c r="N59" s="25" t="n">
        <v>0</v>
      </c>
      <c r="O59" t="n">
        <v>204407</v>
      </c>
      <c r="P59" t="inlineStr"/>
      <c r="Q59" t="inlineStr">
        <is>
          <t>4082</t>
        </is>
      </c>
      <c r="R59" s="26" t="n">
        <v>0</v>
      </c>
      <c r="S59" t="n">
        <v>0</v>
      </c>
      <c r="T59" s="23">
        <f>LN(1+I59)</f>
        <v/>
      </c>
      <c r="U59" s="24">
        <f>J59*100-K59</f>
        <v/>
      </c>
      <c r="V59" s="24">
        <f>U59-12.5*(L59+1)</f>
        <v/>
      </c>
      <c r="W59" s="26">
        <f>IF(M59&lt;=V7_AGE_KNOT_X_0,V7_AGE_KNOT_Y_0,IF(M59&gt;=V7_AGE_KNOT_X_5,V7_AGE_KNOT_Y_5,IF(M59&lt;=V7_AGE_KNOT_X_1,V7_AGE_KNOT_Y_0+(M59-V7_AGE_KNOT_X_0)/(V7_AGE_KNOT_X_1-V7_AGE_KNOT_X_0)*(V7_AGE_KNOT_Y_1-V7_AGE_KNOT_Y_0),IF(M59&lt;=V7_AGE_KNOT_X_2,V7_AGE_KNOT_Y_1+(M59-V7_AGE_KNOT_X_1)/(V7_AGE_KNOT_X_2-V7_AGE_KNOT_X_1)*(V7_AGE_KNOT_Y_2-V7_AGE_KNOT_Y_1),IF(M59&lt;=V7_AGE_KNOT_X_3,V7_AGE_KNOT_Y_2+(M59-V7_AGE_KNOT_X_2)/(V7_AGE_KNOT_X_3-V7_AGE_KNOT_X_2)*(V7_AGE_KNOT_Y_3-V7_AGE_KNOT_Y_2),IF(M59&lt;=V7_AGE_KNOT_X_4,V7_AGE_KNOT_Y_3+(M59-V7_AGE_KNOT_X_3)/(V7_AGE_KNOT_X_4-V7_AGE_KNOT_X_3)*(V7_AGE_KNOT_Y_4-V7_AGE_KNOT_Y_3),V7_AGE_KNOT_Y_4+(M59-V7_AGE_KNOT_X_4)/(V7_AGE_KNOT_X_5-V7_AGE_KNOT_X_4)*(V7_AGE_KNOT_Y_5-V7_AGE_KNOT_Y_4)))))))</f>
        <v/>
      </c>
      <c r="X59" s="26">
        <f>V7_RATE_FLOOR+V7_RATE_ASYMPTOTE/(1+EXP(-(V59-V7_RATE_MID)/V7_RATE_SLOPE))</f>
        <v/>
      </c>
      <c r="Y59" s="26">
        <f>MAX(V7_SIZE_LOW,MIN(V7_SIZE_HIGH,V7_SIZE_INTERCEPT+V7_SIZE_SLOPE*(T59-V7_SIZE_LOG_ANCHOR)))</f>
        <v/>
      </c>
      <c r="Z59" s="26">
        <f>IF(ISNUMBER(SEARCH("232",E59)),VLOOKUP("232",V7_PROGRAM_TABLE,2,FALSE),IF(ISNUMBER(SEARCH("538",E59)),VLOOKUP("538",V7_PROGRAM_TABLE,2,FALSE),IF(ISNUMBER(SEARCH("223a7",E59)),VLOOKUP("223a7",V7_PROGRAM_TABLE,2,FALSE),IF(ISNUMBER(SEARCH("223f",E59)),VLOOKUP("223f",V7_PROGRAM_TABLE,2,FALSE),V7_PROGRAM_DEFAULT))))</f>
        <v/>
      </c>
      <c r="AA59" s="26">
        <f>IF(S59=1,1+V7_PURPOSE_NC_BUMP*MAX(0,1-ABS(M59-V7_PURPOSE_PEAK_AGE)/V7_PURPOSE_WIDTH),1)</f>
        <v/>
      </c>
      <c r="AB59" s="26">
        <f>IF(AND(IF(OR(P59="",NOT(ISNUMBER(P59))),0,MAX(0,MIN(24,(INT(VALUE(H59)/100)-INT(P59/100))*12+MOD(VALUE(H59),100)-MOD(P59,100))))&gt;0,IF(OR(P59="",NOT(ISNUMBER(P59))),0,MAX(0,MIN(24,(INT(VALUE(H59)/100)-INT(P59/100))*12+MOD(VALUE(H59),100)-MOD(P59,100))))&lt;=12),1+V7_LOCKOUT_AMP*EXP(-(IF(OR(P59="",NOT(ISNUMBER(P59))),0,MAX(0,MIN(24,(INT(VALUE(H59)/100)-INT(P59/100))*12+MOD(VALUE(H59),100)-MOD(P59,100)))))/V7_LOCKOUT_TAU),1)</f>
        <v/>
      </c>
      <c r="AC59" s="26">
        <f>IF(IF(OR(O59="",NOT(ISNUMBER(O59))),360,MAX(0,MIN(480,(INT(O59/100)-INT(VALUE(H59)/100))*12+MOD(O59,100)-MOD(VALUE(H59),100))))&gt;0,1+V7_MTY_AMP*MAX(0,(V7_MTY_CUTOFF-(IF(OR(O59="",NOT(ISNUMBER(O59))),360,MAX(0,MIN(480,(INT(O59/100)-INT(VALUE(H59)/100))*12+MOD(O59,100)-MOD(VALUE(H59),100))))))/V7_MTY_CUTOFF),1)</f>
        <v/>
      </c>
      <c r="AD59" s="26">
        <f>MAX(V7_BURN_FLOOR,1-V7_BURN_SLOPE*MIN(1,MAX(0,R59)))</f>
        <v/>
      </c>
      <c r="AE59" s="26">
        <f>IF(V7_USE_ISSUER=1,IFERROR(VLOOKUP(Q59,V7_ISSUER_TABLE,3,FALSE),1),1)</f>
        <v/>
      </c>
      <c r="AF59" s="26">
        <f>PRODUCT(W59:AE59)</f>
        <v/>
      </c>
      <c r="AG59" s="27">
        <f>MIN(V7_BASE_SMM*AF59,V7_SMM_CAP)</f>
        <v/>
      </c>
      <c r="AH59" s="28">
        <f>1-(1-AG59)^12</f>
        <v/>
      </c>
      <c r="AI59" s="28">
        <f>IFERROR(LN(W59)/(LN(W59)+LN(X59)+LN(Y59)+LN(Z59)+LN(AA59)+LN(AB59)+LN(AC59)+LN(AD59))*(AH59-V7_BASE_CPR),0)</f>
        <v/>
      </c>
      <c r="AJ59" s="28">
        <f>IFERROR(LN(X59)/(LN(W59)+LN(X59)+LN(Y59)+LN(Z59)+LN(AA59)+LN(AB59)+LN(AC59)+LN(AD59))*(AH59-V7_BASE_CPR),0)</f>
        <v/>
      </c>
      <c r="AK59" s="28">
        <f>IFERROR(LN(Y59)/(LN(W59)+LN(X59)+LN(Y59)+LN(Z59)+LN(AA59)+LN(AB59)+LN(AC59)+LN(AD59))*(AH59-V7_BASE_CPR),0)</f>
        <v/>
      </c>
      <c r="AL59" s="28">
        <f>IFERROR(LN(Z59)/(LN(W59)+LN(X59)+LN(Y59)+LN(Z59)+LN(AA59)+LN(AB59)+LN(AC59)+LN(AD59))*(AH59-V7_BASE_CPR),0)</f>
        <v/>
      </c>
      <c r="AM59" s="28">
        <f>IFERROR(LN(AA59)/(LN(W59)+LN(X59)+LN(Y59)+LN(Z59)+LN(AA59)+LN(AB59)+LN(AC59)+LN(AD59))*(AH59-V7_BASE_CPR),0)</f>
        <v/>
      </c>
      <c r="AN59" s="28">
        <f>IFERROR(LN(AB59)/(LN(W59)+LN(X59)+LN(Y59)+LN(Z59)+LN(AA59)+LN(AB59)+LN(AC59)+LN(AD59))*(AH59-V7_BASE_CPR),0)</f>
        <v/>
      </c>
      <c r="AO59" s="28">
        <f>IFERROR(LN(AC59)/(LN(W59)+LN(X59)+LN(Y59)+LN(Z59)+LN(AA59)+LN(AB59)+LN(AC59)+LN(AD59))*(AH59-V7_BASE_CPR),0)</f>
        <v/>
      </c>
      <c r="AP59" s="28">
        <f>IFERROR(LN(AD59)/(LN(W59)+LN(X59)+LN(Y59)+LN(Z59)+LN(AA59)+LN(AB59)+LN(AC59)+LN(AD59))*(AH59-V7_BASE_CPR),0)</f>
        <v/>
      </c>
      <c r="AQ59" s="29">
        <f>V7_BASE_CPR+SUM(AI59:AP59)-AH59</f>
        <v/>
      </c>
    </row>
    <row r="60">
      <c r="A60" s="2" t="inlineStr">
        <is>
          <t>3617NWA44_000000012711198</t>
        </is>
      </c>
      <c r="B60" t="inlineStr">
        <is>
          <t>BERKADIA_PRE21</t>
        </is>
      </c>
      <c r="C60" s="2" t="inlineStr">
        <is>
          <t>3617NWA44</t>
        </is>
      </c>
      <c r="D60" t="inlineStr">
        <is>
          <t>BERKADIA COMMERCIAL MORTGAGE, LLC</t>
        </is>
      </c>
      <c r="E60" t="inlineStr">
        <is>
          <t>223f</t>
        </is>
      </c>
      <c r="F60" t="inlineStr">
        <is>
          <t>RP</t>
        </is>
      </c>
      <c r="G60" t="n">
        <v>2013</v>
      </c>
      <c r="H60" t="inlineStr">
        <is>
          <t>202602</t>
        </is>
      </c>
      <c r="I60" s="22" t="n">
        <v>13509058.06</v>
      </c>
      <c r="J60" s="23" t="n">
        <v>2.65</v>
      </c>
      <c r="K60" s="24" t="n">
        <v>447</v>
      </c>
      <c r="L60" s="24" t="n">
        <v>6</v>
      </c>
      <c r="M60" t="n">
        <v>155</v>
      </c>
      <c r="N60" s="25" t="n">
        <v>13</v>
      </c>
      <c r="O60" t="n">
        <v>204806</v>
      </c>
      <c r="P60" t="inlineStr"/>
      <c r="Q60" t="inlineStr">
        <is>
          <t>4082</t>
        </is>
      </c>
      <c r="R60" s="26" t="n">
        <v>0.08387096774193549</v>
      </c>
      <c r="S60" t="n">
        <v>0</v>
      </c>
      <c r="T60" s="23">
        <f>LN(1+I60)</f>
        <v/>
      </c>
      <c r="U60" s="24">
        <f>J60*100-K60</f>
        <v/>
      </c>
      <c r="V60" s="24">
        <f>U60-12.5*(L60+1)</f>
        <v/>
      </c>
      <c r="W60" s="26">
        <f>IF(M60&lt;=V7_AGE_KNOT_X_0,V7_AGE_KNOT_Y_0,IF(M60&gt;=V7_AGE_KNOT_X_5,V7_AGE_KNOT_Y_5,IF(M60&lt;=V7_AGE_KNOT_X_1,V7_AGE_KNOT_Y_0+(M60-V7_AGE_KNOT_X_0)/(V7_AGE_KNOT_X_1-V7_AGE_KNOT_X_0)*(V7_AGE_KNOT_Y_1-V7_AGE_KNOT_Y_0),IF(M60&lt;=V7_AGE_KNOT_X_2,V7_AGE_KNOT_Y_1+(M60-V7_AGE_KNOT_X_1)/(V7_AGE_KNOT_X_2-V7_AGE_KNOT_X_1)*(V7_AGE_KNOT_Y_2-V7_AGE_KNOT_Y_1),IF(M60&lt;=V7_AGE_KNOT_X_3,V7_AGE_KNOT_Y_2+(M60-V7_AGE_KNOT_X_2)/(V7_AGE_KNOT_X_3-V7_AGE_KNOT_X_2)*(V7_AGE_KNOT_Y_3-V7_AGE_KNOT_Y_2),IF(M60&lt;=V7_AGE_KNOT_X_4,V7_AGE_KNOT_Y_3+(M60-V7_AGE_KNOT_X_3)/(V7_AGE_KNOT_X_4-V7_AGE_KNOT_X_3)*(V7_AGE_KNOT_Y_4-V7_AGE_KNOT_Y_3),V7_AGE_KNOT_Y_4+(M60-V7_AGE_KNOT_X_4)/(V7_AGE_KNOT_X_5-V7_AGE_KNOT_X_4)*(V7_AGE_KNOT_Y_5-V7_AGE_KNOT_Y_4)))))))</f>
        <v/>
      </c>
      <c r="X60" s="26">
        <f>V7_RATE_FLOOR+V7_RATE_ASYMPTOTE/(1+EXP(-(V60-V7_RATE_MID)/V7_RATE_SLOPE))</f>
        <v/>
      </c>
      <c r="Y60" s="26">
        <f>MAX(V7_SIZE_LOW,MIN(V7_SIZE_HIGH,V7_SIZE_INTERCEPT+V7_SIZE_SLOPE*(T60-V7_SIZE_LOG_ANCHOR)))</f>
        <v/>
      </c>
      <c r="Z60" s="26">
        <f>IF(ISNUMBER(SEARCH("232",E60)),VLOOKUP("232",V7_PROGRAM_TABLE,2,FALSE),IF(ISNUMBER(SEARCH("538",E60)),VLOOKUP("538",V7_PROGRAM_TABLE,2,FALSE),IF(ISNUMBER(SEARCH("223a7",E60)),VLOOKUP("223a7",V7_PROGRAM_TABLE,2,FALSE),IF(ISNUMBER(SEARCH("223f",E60)),VLOOKUP("223f",V7_PROGRAM_TABLE,2,FALSE),V7_PROGRAM_DEFAULT))))</f>
        <v/>
      </c>
      <c r="AA60" s="26">
        <f>IF(S60=1,1+V7_PURPOSE_NC_BUMP*MAX(0,1-ABS(M60-V7_PURPOSE_PEAK_AGE)/V7_PURPOSE_WIDTH),1)</f>
        <v/>
      </c>
      <c r="AB60" s="26">
        <f>IF(AND(IF(OR(P60="",NOT(ISNUMBER(P60))),0,MAX(0,MIN(24,(INT(VALUE(H60)/100)-INT(P60/100))*12+MOD(VALUE(H60),100)-MOD(P60,100))))&gt;0,IF(OR(P60="",NOT(ISNUMBER(P60))),0,MAX(0,MIN(24,(INT(VALUE(H60)/100)-INT(P60/100))*12+MOD(VALUE(H60),100)-MOD(P60,100))))&lt;=12),1+V7_LOCKOUT_AMP*EXP(-(IF(OR(P60="",NOT(ISNUMBER(P60))),0,MAX(0,MIN(24,(INT(VALUE(H60)/100)-INT(P60/100))*12+MOD(VALUE(H60),100)-MOD(P60,100)))))/V7_LOCKOUT_TAU),1)</f>
        <v/>
      </c>
      <c r="AC60" s="26">
        <f>IF(IF(OR(O60="",NOT(ISNUMBER(O60))),360,MAX(0,MIN(480,(INT(O60/100)-INT(VALUE(H60)/100))*12+MOD(O60,100)-MOD(VALUE(H60),100))))&gt;0,1+V7_MTY_AMP*MAX(0,(V7_MTY_CUTOFF-(IF(OR(O60="",NOT(ISNUMBER(O60))),360,MAX(0,MIN(480,(INT(O60/100)-INT(VALUE(H60)/100))*12+MOD(O60,100)-MOD(VALUE(H60),100))))))/V7_MTY_CUTOFF),1)</f>
        <v/>
      </c>
      <c r="AD60" s="26">
        <f>MAX(V7_BURN_FLOOR,1-V7_BURN_SLOPE*MIN(1,MAX(0,R60)))</f>
        <v/>
      </c>
      <c r="AE60" s="26">
        <f>IF(V7_USE_ISSUER=1,IFERROR(VLOOKUP(Q60,V7_ISSUER_TABLE,3,FALSE),1),1)</f>
        <v/>
      </c>
      <c r="AF60" s="26">
        <f>PRODUCT(W60:AE60)</f>
        <v/>
      </c>
      <c r="AG60" s="27">
        <f>MIN(V7_BASE_SMM*AF60,V7_SMM_CAP)</f>
        <v/>
      </c>
      <c r="AH60" s="28">
        <f>1-(1-AG60)^12</f>
        <v/>
      </c>
      <c r="AI60" s="28">
        <f>IFERROR(LN(W60)/(LN(W60)+LN(X60)+LN(Y60)+LN(Z60)+LN(AA60)+LN(AB60)+LN(AC60)+LN(AD60))*(AH60-V7_BASE_CPR),0)</f>
        <v/>
      </c>
      <c r="AJ60" s="28">
        <f>IFERROR(LN(X60)/(LN(W60)+LN(X60)+LN(Y60)+LN(Z60)+LN(AA60)+LN(AB60)+LN(AC60)+LN(AD60))*(AH60-V7_BASE_CPR),0)</f>
        <v/>
      </c>
      <c r="AK60" s="28">
        <f>IFERROR(LN(Y60)/(LN(W60)+LN(X60)+LN(Y60)+LN(Z60)+LN(AA60)+LN(AB60)+LN(AC60)+LN(AD60))*(AH60-V7_BASE_CPR),0)</f>
        <v/>
      </c>
      <c r="AL60" s="28">
        <f>IFERROR(LN(Z60)/(LN(W60)+LN(X60)+LN(Y60)+LN(Z60)+LN(AA60)+LN(AB60)+LN(AC60)+LN(AD60))*(AH60-V7_BASE_CPR),0)</f>
        <v/>
      </c>
      <c r="AM60" s="28">
        <f>IFERROR(LN(AA60)/(LN(W60)+LN(X60)+LN(Y60)+LN(Z60)+LN(AA60)+LN(AB60)+LN(AC60)+LN(AD60))*(AH60-V7_BASE_CPR),0)</f>
        <v/>
      </c>
      <c r="AN60" s="28">
        <f>IFERROR(LN(AB60)/(LN(W60)+LN(X60)+LN(Y60)+LN(Z60)+LN(AA60)+LN(AB60)+LN(AC60)+LN(AD60))*(AH60-V7_BASE_CPR),0)</f>
        <v/>
      </c>
      <c r="AO60" s="28">
        <f>IFERROR(LN(AC60)/(LN(W60)+LN(X60)+LN(Y60)+LN(Z60)+LN(AA60)+LN(AB60)+LN(AC60)+LN(AD60))*(AH60-V7_BASE_CPR),0)</f>
        <v/>
      </c>
      <c r="AP60" s="28">
        <f>IFERROR(LN(AD60)/(LN(W60)+LN(X60)+LN(Y60)+LN(Z60)+LN(AA60)+LN(AB60)+LN(AC60)+LN(AD60))*(AH60-V7_BASE_CPR),0)</f>
        <v/>
      </c>
      <c r="AQ60" s="29">
        <f>V7_BASE_CPR+SUM(AI60:AP60)-AH60</f>
        <v/>
      </c>
    </row>
    <row r="61">
      <c r="A61" s="2" t="inlineStr">
        <is>
          <t>36189MGG7_000000005311191</t>
        </is>
      </c>
      <c r="B61" t="inlineStr">
        <is>
          <t>BERKADIA_PRE21</t>
        </is>
      </c>
      <c r="C61" s="2" t="inlineStr">
        <is>
          <t>36189MGG7</t>
        </is>
      </c>
      <c r="D61" t="inlineStr">
        <is>
          <t>BERKADIA COMMERCIAL MORTGAGE, LLC</t>
        </is>
      </c>
      <c r="E61" t="inlineStr">
        <is>
          <t>223f</t>
        </is>
      </c>
      <c r="F61" t="inlineStr">
        <is>
          <t>RP</t>
        </is>
      </c>
      <c r="G61" t="n">
        <v>2006</v>
      </c>
      <c r="H61" t="inlineStr">
        <is>
          <t>202602</t>
        </is>
      </c>
      <c r="I61" s="22" t="n">
        <v>1200023.12</v>
      </c>
      <c r="J61" s="23" t="n">
        <v>3.85</v>
      </c>
      <c r="K61" s="24" t="n">
        <v>447</v>
      </c>
      <c r="L61" s="24" t="n">
        <v>0</v>
      </c>
      <c r="M61" t="n">
        <v>239</v>
      </c>
      <c r="N61" s="25" t="n">
        <v>33</v>
      </c>
      <c r="O61" t="n">
        <v>204106</v>
      </c>
      <c r="P61" t="inlineStr"/>
      <c r="Q61" t="inlineStr">
        <is>
          <t>4082</t>
        </is>
      </c>
      <c r="R61" s="26" t="n">
        <v>0.1380753138075314</v>
      </c>
      <c r="S61" t="n">
        <v>0</v>
      </c>
      <c r="T61" s="23">
        <f>LN(1+I61)</f>
        <v/>
      </c>
      <c r="U61" s="24">
        <f>J61*100-K61</f>
        <v/>
      </c>
      <c r="V61" s="24">
        <f>U61-12.5*(L61+1)</f>
        <v/>
      </c>
      <c r="W61" s="26">
        <f>IF(M61&lt;=V7_AGE_KNOT_X_0,V7_AGE_KNOT_Y_0,IF(M61&gt;=V7_AGE_KNOT_X_5,V7_AGE_KNOT_Y_5,IF(M61&lt;=V7_AGE_KNOT_X_1,V7_AGE_KNOT_Y_0+(M61-V7_AGE_KNOT_X_0)/(V7_AGE_KNOT_X_1-V7_AGE_KNOT_X_0)*(V7_AGE_KNOT_Y_1-V7_AGE_KNOT_Y_0),IF(M61&lt;=V7_AGE_KNOT_X_2,V7_AGE_KNOT_Y_1+(M61-V7_AGE_KNOT_X_1)/(V7_AGE_KNOT_X_2-V7_AGE_KNOT_X_1)*(V7_AGE_KNOT_Y_2-V7_AGE_KNOT_Y_1),IF(M61&lt;=V7_AGE_KNOT_X_3,V7_AGE_KNOT_Y_2+(M61-V7_AGE_KNOT_X_2)/(V7_AGE_KNOT_X_3-V7_AGE_KNOT_X_2)*(V7_AGE_KNOT_Y_3-V7_AGE_KNOT_Y_2),IF(M61&lt;=V7_AGE_KNOT_X_4,V7_AGE_KNOT_Y_3+(M61-V7_AGE_KNOT_X_3)/(V7_AGE_KNOT_X_4-V7_AGE_KNOT_X_3)*(V7_AGE_KNOT_Y_4-V7_AGE_KNOT_Y_3),V7_AGE_KNOT_Y_4+(M61-V7_AGE_KNOT_X_4)/(V7_AGE_KNOT_X_5-V7_AGE_KNOT_X_4)*(V7_AGE_KNOT_Y_5-V7_AGE_KNOT_Y_4)))))))</f>
        <v/>
      </c>
      <c r="X61" s="26">
        <f>V7_RATE_FLOOR+V7_RATE_ASYMPTOTE/(1+EXP(-(V61-V7_RATE_MID)/V7_RATE_SLOPE))</f>
        <v/>
      </c>
      <c r="Y61" s="26">
        <f>MAX(V7_SIZE_LOW,MIN(V7_SIZE_HIGH,V7_SIZE_INTERCEPT+V7_SIZE_SLOPE*(T61-V7_SIZE_LOG_ANCHOR)))</f>
        <v/>
      </c>
      <c r="Z61" s="26">
        <f>IF(ISNUMBER(SEARCH("232",E61)),VLOOKUP("232",V7_PROGRAM_TABLE,2,FALSE),IF(ISNUMBER(SEARCH("538",E61)),VLOOKUP("538",V7_PROGRAM_TABLE,2,FALSE),IF(ISNUMBER(SEARCH("223a7",E61)),VLOOKUP("223a7",V7_PROGRAM_TABLE,2,FALSE),IF(ISNUMBER(SEARCH("223f",E61)),VLOOKUP("223f",V7_PROGRAM_TABLE,2,FALSE),V7_PROGRAM_DEFAULT))))</f>
        <v/>
      </c>
      <c r="AA61" s="26">
        <f>IF(S61=1,1+V7_PURPOSE_NC_BUMP*MAX(0,1-ABS(M61-V7_PURPOSE_PEAK_AGE)/V7_PURPOSE_WIDTH),1)</f>
        <v/>
      </c>
      <c r="AB61" s="26">
        <f>IF(AND(IF(OR(P61="",NOT(ISNUMBER(P61))),0,MAX(0,MIN(24,(INT(VALUE(H61)/100)-INT(P61/100))*12+MOD(VALUE(H61),100)-MOD(P61,100))))&gt;0,IF(OR(P61="",NOT(ISNUMBER(P61))),0,MAX(0,MIN(24,(INT(VALUE(H61)/100)-INT(P61/100))*12+MOD(VALUE(H61),100)-MOD(P61,100))))&lt;=12),1+V7_LOCKOUT_AMP*EXP(-(IF(OR(P61="",NOT(ISNUMBER(P61))),0,MAX(0,MIN(24,(INT(VALUE(H61)/100)-INT(P61/100))*12+MOD(VALUE(H61),100)-MOD(P61,100)))))/V7_LOCKOUT_TAU),1)</f>
        <v/>
      </c>
      <c r="AC61" s="26">
        <f>IF(IF(OR(O61="",NOT(ISNUMBER(O61))),360,MAX(0,MIN(480,(INT(O61/100)-INT(VALUE(H61)/100))*12+MOD(O61,100)-MOD(VALUE(H61),100))))&gt;0,1+V7_MTY_AMP*MAX(0,(V7_MTY_CUTOFF-(IF(OR(O61="",NOT(ISNUMBER(O61))),360,MAX(0,MIN(480,(INT(O61/100)-INT(VALUE(H61)/100))*12+MOD(O61,100)-MOD(VALUE(H61),100))))))/V7_MTY_CUTOFF),1)</f>
        <v/>
      </c>
      <c r="AD61" s="26">
        <f>MAX(V7_BURN_FLOOR,1-V7_BURN_SLOPE*MIN(1,MAX(0,R61)))</f>
        <v/>
      </c>
      <c r="AE61" s="26">
        <f>IF(V7_USE_ISSUER=1,IFERROR(VLOOKUP(Q61,V7_ISSUER_TABLE,3,FALSE),1),1)</f>
        <v/>
      </c>
      <c r="AF61" s="26">
        <f>PRODUCT(W61:AE61)</f>
        <v/>
      </c>
      <c r="AG61" s="27">
        <f>MIN(V7_BASE_SMM*AF61,V7_SMM_CAP)</f>
        <v/>
      </c>
      <c r="AH61" s="28">
        <f>1-(1-AG61)^12</f>
        <v/>
      </c>
      <c r="AI61" s="28">
        <f>IFERROR(LN(W61)/(LN(W61)+LN(X61)+LN(Y61)+LN(Z61)+LN(AA61)+LN(AB61)+LN(AC61)+LN(AD61))*(AH61-V7_BASE_CPR),0)</f>
        <v/>
      </c>
      <c r="AJ61" s="28">
        <f>IFERROR(LN(X61)/(LN(W61)+LN(X61)+LN(Y61)+LN(Z61)+LN(AA61)+LN(AB61)+LN(AC61)+LN(AD61))*(AH61-V7_BASE_CPR),0)</f>
        <v/>
      </c>
      <c r="AK61" s="28">
        <f>IFERROR(LN(Y61)/(LN(W61)+LN(X61)+LN(Y61)+LN(Z61)+LN(AA61)+LN(AB61)+LN(AC61)+LN(AD61))*(AH61-V7_BASE_CPR),0)</f>
        <v/>
      </c>
      <c r="AL61" s="28">
        <f>IFERROR(LN(Z61)/(LN(W61)+LN(X61)+LN(Y61)+LN(Z61)+LN(AA61)+LN(AB61)+LN(AC61)+LN(AD61))*(AH61-V7_BASE_CPR),0)</f>
        <v/>
      </c>
      <c r="AM61" s="28">
        <f>IFERROR(LN(AA61)/(LN(W61)+LN(X61)+LN(Y61)+LN(Z61)+LN(AA61)+LN(AB61)+LN(AC61)+LN(AD61))*(AH61-V7_BASE_CPR),0)</f>
        <v/>
      </c>
      <c r="AN61" s="28">
        <f>IFERROR(LN(AB61)/(LN(W61)+LN(X61)+LN(Y61)+LN(Z61)+LN(AA61)+LN(AB61)+LN(AC61)+LN(AD61))*(AH61-V7_BASE_CPR),0)</f>
        <v/>
      </c>
      <c r="AO61" s="28">
        <f>IFERROR(LN(AC61)/(LN(W61)+LN(X61)+LN(Y61)+LN(Z61)+LN(AA61)+LN(AB61)+LN(AC61)+LN(AD61))*(AH61-V7_BASE_CPR),0)</f>
        <v/>
      </c>
      <c r="AP61" s="28">
        <f>IFERROR(LN(AD61)/(LN(W61)+LN(X61)+LN(Y61)+LN(Z61)+LN(AA61)+LN(AB61)+LN(AC61)+LN(AD61))*(AH61-V7_BASE_CPR),0)</f>
        <v/>
      </c>
      <c r="AQ61" s="29">
        <f>V7_BASE_CPR+SUM(AI61:AP61)-AH61</f>
        <v/>
      </c>
    </row>
    <row r="62">
      <c r="A62" s="2" t="inlineStr">
        <is>
          <t>3617NWA77_000000007535464</t>
        </is>
      </c>
      <c r="B62" t="inlineStr">
        <is>
          <t>BERKADIA_PRE21</t>
        </is>
      </c>
      <c r="C62" s="2" t="inlineStr">
        <is>
          <t>3617NWA77</t>
        </is>
      </c>
      <c r="D62" t="inlineStr">
        <is>
          <t>BERKADIA COMMERCIAL MORTGAGE, LLC</t>
        </is>
      </c>
      <c r="E62" t="inlineStr">
        <is>
          <t>221d4</t>
        </is>
      </c>
      <c r="F62" t="inlineStr">
        <is>
          <t>NC</t>
        </is>
      </c>
      <c r="G62" t="n">
        <v>2016</v>
      </c>
      <c r="H62" t="inlineStr">
        <is>
          <t>202602</t>
        </is>
      </c>
      <c r="I62" s="22" t="n">
        <v>17297981.93</v>
      </c>
      <c r="J62" s="23" t="n">
        <v>3.25</v>
      </c>
      <c r="K62" s="24" t="n">
        <v>447</v>
      </c>
      <c r="L62" s="24" t="n">
        <v>6</v>
      </c>
      <c r="M62" t="n">
        <v>113</v>
      </c>
      <c r="N62" s="25" t="n">
        <v>16</v>
      </c>
      <c r="O62" t="n">
        <v>205806</v>
      </c>
      <c r="P62" t="inlineStr"/>
      <c r="Q62" t="inlineStr">
        <is>
          <t>4082</t>
        </is>
      </c>
      <c r="R62" s="26" t="n">
        <v>0.1415929203539823</v>
      </c>
      <c r="S62" t="n">
        <v>1</v>
      </c>
      <c r="T62" s="23">
        <f>LN(1+I62)</f>
        <v/>
      </c>
      <c r="U62" s="24">
        <f>J62*100-K62</f>
        <v/>
      </c>
      <c r="V62" s="24">
        <f>U62-12.5*(L62+1)</f>
        <v/>
      </c>
      <c r="W62" s="26">
        <f>IF(M62&lt;=V7_AGE_KNOT_X_0,V7_AGE_KNOT_Y_0,IF(M62&gt;=V7_AGE_KNOT_X_5,V7_AGE_KNOT_Y_5,IF(M62&lt;=V7_AGE_KNOT_X_1,V7_AGE_KNOT_Y_0+(M62-V7_AGE_KNOT_X_0)/(V7_AGE_KNOT_X_1-V7_AGE_KNOT_X_0)*(V7_AGE_KNOT_Y_1-V7_AGE_KNOT_Y_0),IF(M62&lt;=V7_AGE_KNOT_X_2,V7_AGE_KNOT_Y_1+(M62-V7_AGE_KNOT_X_1)/(V7_AGE_KNOT_X_2-V7_AGE_KNOT_X_1)*(V7_AGE_KNOT_Y_2-V7_AGE_KNOT_Y_1),IF(M62&lt;=V7_AGE_KNOT_X_3,V7_AGE_KNOT_Y_2+(M62-V7_AGE_KNOT_X_2)/(V7_AGE_KNOT_X_3-V7_AGE_KNOT_X_2)*(V7_AGE_KNOT_Y_3-V7_AGE_KNOT_Y_2),IF(M62&lt;=V7_AGE_KNOT_X_4,V7_AGE_KNOT_Y_3+(M62-V7_AGE_KNOT_X_3)/(V7_AGE_KNOT_X_4-V7_AGE_KNOT_X_3)*(V7_AGE_KNOT_Y_4-V7_AGE_KNOT_Y_3),V7_AGE_KNOT_Y_4+(M62-V7_AGE_KNOT_X_4)/(V7_AGE_KNOT_X_5-V7_AGE_KNOT_X_4)*(V7_AGE_KNOT_Y_5-V7_AGE_KNOT_Y_4)))))))</f>
        <v/>
      </c>
      <c r="X62" s="26">
        <f>V7_RATE_FLOOR+V7_RATE_ASYMPTOTE/(1+EXP(-(V62-V7_RATE_MID)/V7_RATE_SLOPE))</f>
        <v/>
      </c>
      <c r="Y62" s="26">
        <f>MAX(V7_SIZE_LOW,MIN(V7_SIZE_HIGH,V7_SIZE_INTERCEPT+V7_SIZE_SLOPE*(T62-V7_SIZE_LOG_ANCHOR)))</f>
        <v/>
      </c>
      <c r="Z62" s="26">
        <f>IF(ISNUMBER(SEARCH("232",E62)),VLOOKUP("232",V7_PROGRAM_TABLE,2,FALSE),IF(ISNUMBER(SEARCH("538",E62)),VLOOKUP("538",V7_PROGRAM_TABLE,2,FALSE),IF(ISNUMBER(SEARCH("223a7",E62)),VLOOKUP("223a7",V7_PROGRAM_TABLE,2,FALSE),IF(ISNUMBER(SEARCH("223f",E62)),VLOOKUP("223f",V7_PROGRAM_TABLE,2,FALSE),V7_PROGRAM_DEFAULT))))</f>
        <v/>
      </c>
      <c r="AA62" s="26">
        <f>IF(S62=1,1+V7_PURPOSE_NC_BUMP*MAX(0,1-ABS(M62-V7_PURPOSE_PEAK_AGE)/V7_PURPOSE_WIDTH),1)</f>
        <v/>
      </c>
      <c r="AB62" s="26">
        <f>IF(AND(IF(OR(P62="",NOT(ISNUMBER(P62))),0,MAX(0,MIN(24,(INT(VALUE(H62)/100)-INT(P62/100))*12+MOD(VALUE(H62),100)-MOD(P62,100))))&gt;0,IF(OR(P62="",NOT(ISNUMBER(P62))),0,MAX(0,MIN(24,(INT(VALUE(H62)/100)-INT(P62/100))*12+MOD(VALUE(H62),100)-MOD(P62,100))))&lt;=12),1+V7_LOCKOUT_AMP*EXP(-(IF(OR(P62="",NOT(ISNUMBER(P62))),0,MAX(0,MIN(24,(INT(VALUE(H62)/100)-INT(P62/100))*12+MOD(VALUE(H62),100)-MOD(P62,100)))))/V7_LOCKOUT_TAU),1)</f>
        <v/>
      </c>
      <c r="AC62" s="26">
        <f>IF(IF(OR(O62="",NOT(ISNUMBER(O62))),360,MAX(0,MIN(480,(INT(O62/100)-INT(VALUE(H62)/100))*12+MOD(O62,100)-MOD(VALUE(H62),100))))&gt;0,1+V7_MTY_AMP*MAX(0,(V7_MTY_CUTOFF-(IF(OR(O62="",NOT(ISNUMBER(O62))),360,MAX(0,MIN(480,(INT(O62/100)-INT(VALUE(H62)/100))*12+MOD(O62,100)-MOD(VALUE(H62),100))))))/V7_MTY_CUTOFF),1)</f>
        <v/>
      </c>
      <c r="AD62" s="26">
        <f>MAX(V7_BURN_FLOOR,1-V7_BURN_SLOPE*MIN(1,MAX(0,R62)))</f>
        <v/>
      </c>
      <c r="AE62" s="26">
        <f>IF(V7_USE_ISSUER=1,IFERROR(VLOOKUP(Q62,V7_ISSUER_TABLE,3,FALSE),1),1)</f>
        <v/>
      </c>
      <c r="AF62" s="26">
        <f>PRODUCT(W62:AE62)</f>
        <v/>
      </c>
      <c r="AG62" s="27">
        <f>MIN(V7_BASE_SMM*AF62,V7_SMM_CAP)</f>
        <v/>
      </c>
      <c r="AH62" s="28">
        <f>1-(1-AG62)^12</f>
        <v/>
      </c>
      <c r="AI62" s="28">
        <f>IFERROR(LN(W62)/(LN(W62)+LN(X62)+LN(Y62)+LN(Z62)+LN(AA62)+LN(AB62)+LN(AC62)+LN(AD62))*(AH62-V7_BASE_CPR),0)</f>
        <v/>
      </c>
      <c r="AJ62" s="28">
        <f>IFERROR(LN(X62)/(LN(W62)+LN(X62)+LN(Y62)+LN(Z62)+LN(AA62)+LN(AB62)+LN(AC62)+LN(AD62))*(AH62-V7_BASE_CPR),0)</f>
        <v/>
      </c>
      <c r="AK62" s="28">
        <f>IFERROR(LN(Y62)/(LN(W62)+LN(X62)+LN(Y62)+LN(Z62)+LN(AA62)+LN(AB62)+LN(AC62)+LN(AD62))*(AH62-V7_BASE_CPR),0)</f>
        <v/>
      </c>
      <c r="AL62" s="28">
        <f>IFERROR(LN(Z62)/(LN(W62)+LN(X62)+LN(Y62)+LN(Z62)+LN(AA62)+LN(AB62)+LN(AC62)+LN(AD62))*(AH62-V7_BASE_CPR),0)</f>
        <v/>
      </c>
      <c r="AM62" s="28">
        <f>IFERROR(LN(AA62)/(LN(W62)+LN(X62)+LN(Y62)+LN(Z62)+LN(AA62)+LN(AB62)+LN(AC62)+LN(AD62))*(AH62-V7_BASE_CPR),0)</f>
        <v/>
      </c>
      <c r="AN62" s="28">
        <f>IFERROR(LN(AB62)/(LN(W62)+LN(X62)+LN(Y62)+LN(Z62)+LN(AA62)+LN(AB62)+LN(AC62)+LN(AD62))*(AH62-V7_BASE_CPR),0)</f>
        <v/>
      </c>
      <c r="AO62" s="28">
        <f>IFERROR(LN(AC62)/(LN(W62)+LN(X62)+LN(Y62)+LN(Z62)+LN(AA62)+LN(AB62)+LN(AC62)+LN(AD62))*(AH62-V7_BASE_CPR),0)</f>
        <v/>
      </c>
      <c r="AP62" s="28">
        <f>IFERROR(LN(AD62)/(LN(W62)+LN(X62)+LN(Y62)+LN(Z62)+LN(AA62)+LN(AB62)+LN(AC62)+LN(AD62))*(AH62-V7_BASE_CPR),0)</f>
        <v/>
      </c>
      <c r="AQ62" s="29">
        <f>V7_BASE_CPR+SUM(AI62:AP62)-AH62</f>
        <v/>
      </c>
    </row>
    <row r="63">
      <c r="A63" s="2" t="inlineStr">
        <is>
          <t>3617W0B92_000000003111141</t>
        </is>
      </c>
      <c r="B63" t="inlineStr">
        <is>
          <t>BERKADIA_POST21</t>
        </is>
      </c>
      <c r="C63" s="2" t="inlineStr">
        <is>
          <t>3617W0B92</t>
        </is>
      </c>
      <c r="D63" t="inlineStr">
        <is>
          <t>BERKADIA COMMERCIAL MORTGAGE, LLC</t>
        </is>
      </c>
      <c r="E63" t="inlineStr">
        <is>
          <t>223f</t>
        </is>
      </c>
      <c r="F63" t="inlineStr">
        <is>
          <t>RP</t>
        </is>
      </c>
      <c r="G63" t="n">
        <v>2021</v>
      </c>
      <c r="H63" t="inlineStr">
        <is>
          <t>202602</t>
        </is>
      </c>
      <c r="I63" s="22" t="n">
        <v>23902483.14</v>
      </c>
      <c r="J63" s="23" t="n">
        <v>2.58</v>
      </c>
      <c r="K63" s="24" t="n">
        <v>447</v>
      </c>
      <c r="L63" s="24" t="n">
        <v>7</v>
      </c>
      <c r="M63" t="n">
        <v>58</v>
      </c>
      <c r="N63" s="25" t="n">
        <v>6</v>
      </c>
      <c r="O63" t="n">
        <v>205610</v>
      </c>
      <c r="P63" t="inlineStr"/>
      <c r="Q63" t="inlineStr">
        <is>
          <t>4082</t>
        </is>
      </c>
      <c r="R63" s="26" t="n">
        <v>0.103448275862069</v>
      </c>
      <c r="S63" t="n">
        <v>0</v>
      </c>
      <c r="T63" s="23">
        <f>LN(1+I63)</f>
        <v/>
      </c>
      <c r="U63" s="24">
        <f>J63*100-K63</f>
        <v/>
      </c>
      <c r="V63" s="24">
        <f>U63-12.5*(L63+1)</f>
        <v/>
      </c>
      <c r="W63" s="26">
        <f>IF(M63&lt;=V7_AGE_KNOT_X_0,V7_AGE_KNOT_Y_0,IF(M63&gt;=V7_AGE_KNOT_X_5,V7_AGE_KNOT_Y_5,IF(M63&lt;=V7_AGE_KNOT_X_1,V7_AGE_KNOT_Y_0+(M63-V7_AGE_KNOT_X_0)/(V7_AGE_KNOT_X_1-V7_AGE_KNOT_X_0)*(V7_AGE_KNOT_Y_1-V7_AGE_KNOT_Y_0),IF(M63&lt;=V7_AGE_KNOT_X_2,V7_AGE_KNOT_Y_1+(M63-V7_AGE_KNOT_X_1)/(V7_AGE_KNOT_X_2-V7_AGE_KNOT_X_1)*(V7_AGE_KNOT_Y_2-V7_AGE_KNOT_Y_1),IF(M63&lt;=V7_AGE_KNOT_X_3,V7_AGE_KNOT_Y_2+(M63-V7_AGE_KNOT_X_2)/(V7_AGE_KNOT_X_3-V7_AGE_KNOT_X_2)*(V7_AGE_KNOT_Y_3-V7_AGE_KNOT_Y_2),IF(M63&lt;=V7_AGE_KNOT_X_4,V7_AGE_KNOT_Y_3+(M63-V7_AGE_KNOT_X_3)/(V7_AGE_KNOT_X_4-V7_AGE_KNOT_X_3)*(V7_AGE_KNOT_Y_4-V7_AGE_KNOT_Y_3),V7_AGE_KNOT_Y_4+(M63-V7_AGE_KNOT_X_4)/(V7_AGE_KNOT_X_5-V7_AGE_KNOT_X_4)*(V7_AGE_KNOT_Y_5-V7_AGE_KNOT_Y_4)))))))</f>
        <v/>
      </c>
      <c r="X63" s="26">
        <f>V7_RATE_FLOOR+V7_RATE_ASYMPTOTE/(1+EXP(-(V63-V7_RATE_MID)/V7_RATE_SLOPE))</f>
        <v/>
      </c>
      <c r="Y63" s="26">
        <f>MAX(V7_SIZE_LOW,MIN(V7_SIZE_HIGH,V7_SIZE_INTERCEPT+V7_SIZE_SLOPE*(T63-V7_SIZE_LOG_ANCHOR)))</f>
        <v/>
      </c>
      <c r="Z63" s="26">
        <f>IF(ISNUMBER(SEARCH("232",E63)),VLOOKUP("232",V7_PROGRAM_TABLE,2,FALSE),IF(ISNUMBER(SEARCH("538",E63)),VLOOKUP("538",V7_PROGRAM_TABLE,2,FALSE),IF(ISNUMBER(SEARCH("223a7",E63)),VLOOKUP("223a7",V7_PROGRAM_TABLE,2,FALSE),IF(ISNUMBER(SEARCH("223f",E63)),VLOOKUP("223f",V7_PROGRAM_TABLE,2,FALSE),V7_PROGRAM_DEFAULT))))</f>
        <v/>
      </c>
      <c r="AA63" s="26">
        <f>IF(S63=1,1+V7_PURPOSE_NC_BUMP*MAX(0,1-ABS(M63-V7_PURPOSE_PEAK_AGE)/V7_PURPOSE_WIDTH),1)</f>
        <v/>
      </c>
      <c r="AB63" s="26">
        <f>IF(AND(IF(OR(P63="",NOT(ISNUMBER(P63))),0,MAX(0,MIN(24,(INT(VALUE(H63)/100)-INT(P63/100))*12+MOD(VALUE(H63),100)-MOD(P63,100))))&gt;0,IF(OR(P63="",NOT(ISNUMBER(P63))),0,MAX(0,MIN(24,(INT(VALUE(H63)/100)-INT(P63/100))*12+MOD(VALUE(H63),100)-MOD(P63,100))))&lt;=12),1+V7_LOCKOUT_AMP*EXP(-(IF(OR(P63="",NOT(ISNUMBER(P63))),0,MAX(0,MIN(24,(INT(VALUE(H63)/100)-INT(P63/100))*12+MOD(VALUE(H63),100)-MOD(P63,100)))))/V7_LOCKOUT_TAU),1)</f>
        <v/>
      </c>
      <c r="AC63" s="26">
        <f>IF(IF(OR(O63="",NOT(ISNUMBER(O63))),360,MAX(0,MIN(480,(INT(O63/100)-INT(VALUE(H63)/100))*12+MOD(O63,100)-MOD(VALUE(H63),100))))&gt;0,1+V7_MTY_AMP*MAX(0,(V7_MTY_CUTOFF-(IF(OR(O63="",NOT(ISNUMBER(O63))),360,MAX(0,MIN(480,(INT(O63/100)-INT(VALUE(H63)/100))*12+MOD(O63,100)-MOD(VALUE(H63),100))))))/V7_MTY_CUTOFF),1)</f>
        <v/>
      </c>
      <c r="AD63" s="26">
        <f>MAX(V7_BURN_FLOOR,1-V7_BURN_SLOPE*MIN(1,MAX(0,R63)))</f>
        <v/>
      </c>
      <c r="AE63" s="26">
        <f>IF(V7_USE_ISSUER=1,IFERROR(VLOOKUP(Q63,V7_ISSUER_TABLE,3,FALSE),1),1)</f>
        <v/>
      </c>
      <c r="AF63" s="26">
        <f>PRODUCT(W63:AE63)</f>
        <v/>
      </c>
      <c r="AG63" s="27">
        <f>MIN(V7_BASE_SMM*AF63,V7_SMM_CAP)</f>
        <v/>
      </c>
      <c r="AH63" s="28">
        <f>1-(1-AG63)^12</f>
        <v/>
      </c>
      <c r="AI63" s="28">
        <f>IFERROR(LN(W63)/(LN(W63)+LN(X63)+LN(Y63)+LN(Z63)+LN(AA63)+LN(AB63)+LN(AC63)+LN(AD63))*(AH63-V7_BASE_CPR),0)</f>
        <v/>
      </c>
      <c r="AJ63" s="28">
        <f>IFERROR(LN(X63)/(LN(W63)+LN(X63)+LN(Y63)+LN(Z63)+LN(AA63)+LN(AB63)+LN(AC63)+LN(AD63))*(AH63-V7_BASE_CPR),0)</f>
        <v/>
      </c>
      <c r="AK63" s="28">
        <f>IFERROR(LN(Y63)/(LN(W63)+LN(X63)+LN(Y63)+LN(Z63)+LN(AA63)+LN(AB63)+LN(AC63)+LN(AD63))*(AH63-V7_BASE_CPR),0)</f>
        <v/>
      </c>
      <c r="AL63" s="28">
        <f>IFERROR(LN(Z63)/(LN(W63)+LN(X63)+LN(Y63)+LN(Z63)+LN(AA63)+LN(AB63)+LN(AC63)+LN(AD63))*(AH63-V7_BASE_CPR),0)</f>
        <v/>
      </c>
      <c r="AM63" s="28">
        <f>IFERROR(LN(AA63)/(LN(W63)+LN(X63)+LN(Y63)+LN(Z63)+LN(AA63)+LN(AB63)+LN(AC63)+LN(AD63))*(AH63-V7_BASE_CPR),0)</f>
        <v/>
      </c>
      <c r="AN63" s="28">
        <f>IFERROR(LN(AB63)/(LN(W63)+LN(X63)+LN(Y63)+LN(Z63)+LN(AA63)+LN(AB63)+LN(AC63)+LN(AD63))*(AH63-V7_BASE_CPR),0)</f>
        <v/>
      </c>
      <c r="AO63" s="28">
        <f>IFERROR(LN(AC63)/(LN(W63)+LN(X63)+LN(Y63)+LN(Z63)+LN(AA63)+LN(AB63)+LN(AC63)+LN(AD63))*(AH63-V7_BASE_CPR),0)</f>
        <v/>
      </c>
      <c r="AP63" s="28">
        <f>IFERROR(LN(AD63)/(LN(W63)+LN(X63)+LN(Y63)+LN(Z63)+LN(AA63)+LN(AB63)+LN(AC63)+LN(AD63))*(AH63-V7_BASE_CPR),0)</f>
        <v/>
      </c>
      <c r="AQ63" s="29">
        <f>V7_BASE_CPR+SUM(AI63:AP63)-AH63</f>
        <v/>
      </c>
    </row>
    <row r="64">
      <c r="A64" s="2" t="inlineStr">
        <is>
          <t>36296MNL8_000000001410045</t>
        </is>
      </c>
      <c r="B64" t="inlineStr">
        <is>
          <t>BERKADIA_PRE21</t>
        </is>
      </c>
      <c r="C64" s="2" t="inlineStr">
        <is>
          <t>36296MNL8</t>
        </is>
      </c>
      <c r="D64" t="inlineStr">
        <is>
          <t>BERKADIA COMMERCIAL MORTGAGE, LLC</t>
        </is>
      </c>
      <c r="E64" t="inlineStr">
        <is>
          <t>241</t>
        </is>
      </c>
      <c r="F64" t="inlineStr">
        <is>
          <t>NC</t>
        </is>
      </c>
      <c r="G64" t="n">
        <v>2009</v>
      </c>
      <c r="H64" t="inlineStr">
        <is>
          <t>202602</t>
        </is>
      </c>
      <c r="I64" s="22" t="n">
        <v>662700.64</v>
      </c>
      <c r="J64" s="23" t="n">
        <v>6.2</v>
      </c>
      <c r="K64" s="24" t="n">
        <v>447</v>
      </c>
      <c r="L64" s="24" t="n">
        <v>0</v>
      </c>
      <c r="M64" t="n">
        <v>197</v>
      </c>
      <c r="N64" s="25" t="n">
        <v>86</v>
      </c>
      <c r="O64" t="n">
        <v>203811</v>
      </c>
      <c r="P64" t="n">
        <v>201205</v>
      </c>
      <c r="Q64" t="inlineStr">
        <is>
          <t>4082</t>
        </is>
      </c>
      <c r="R64" s="26" t="n">
        <v>0.4365482233502538</v>
      </c>
      <c r="S64" t="n">
        <v>1</v>
      </c>
      <c r="T64" s="23">
        <f>LN(1+I64)</f>
        <v/>
      </c>
      <c r="U64" s="24">
        <f>J64*100-K64</f>
        <v/>
      </c>
      <c r="V64" s="24">
        <f>U64-12.5*(L64+1)</f>
        <v/>
      </c>
      <c r="W64" s="26">
        <f>IF(M64&lt;=V7_AGE_KNOT_X_0,V7_AGE_KNOT_Y_0,IF(M64&gt;=V7_AGE_KNOT_X_5,V7_AGE_KNOT_Y_5,IF(M64&lt;=V7_AGE_KNOT_X_1,V7_AGE_KNOT_Y_0+(M64-V7_AGE_KNOT_X_0)/(V7_AGE_KNOT_X_1-V7_AGE_KNOT_X_0)*(V7_AGE_KNOT_Y_1-V7_AGE_KNOT_Y_0),IF(M64&lt;=V7_AGE_KNOT_X_2,V7_AGE_KNOT_Y_1+(M64-V7_AGE_KNOT_X_1)/(V7_AGE_KNOT_X_2-V7_AGE_KNOT_X_1)*(V7_AGE_KNOT_Y_2-V7_AGE_KNOT_Y_1),IF(M64&lt;=V7_AGE_KNOT_X_3,V7_AGE_KNOT_Y_2+(M64-V7_AGE_KNOT_X_2)/(V7_AGE_KNOT_X_3-V7_AGE_KNOT_X_2)*(V7_AGE_KNOT_Y_3-V7_AGE_KNOT_Y_2),IF(M64&lt;=V7_AGE_KNOT_X_4,V7_AGE_KNOT_Y_3+(M64-V7_AGE_KNOT_X_3)/(V7_AGE_KNOT_X_4-V7_AGE_KNOT_X_3)*(V7_AGE_KNOT_Y_4-V7_AGE_KNOT_Y_3),V7_AGE_KNOT_Y_4+(M64-V7_AGE_KNOT_X_4)/(V7_AGE_KNOT_X_5-V7_AGE_KNOT_X_4)*(V7_AGE_KNOT_Y_5-V7_AGE_KNOT_Y_4)))))))</f>
        <v/>
      </c>
      <c r="X64" s="26">
        <f>V7_RATE_FLOOR+V7_RATE_ASYMPTOTE/(1+EXP(-(V64-V7_RATE_MID)/V7_RATE_SLOPE))</f>
        <v/>
      </c>
      <c r="Y64" s="26">
        <f>MAX(V7_SIZE_LOW,MIN(V7_SIZE_HIGH,V7_SIZE_INTERCEPT+V7_SIZE_SLOPE*(T64-V7_SIZE_LOG_ANCHOR)))</f>
        <v/>
      </c>
      <c r="Z64" s="26">
        <f>IF(ISNUMBER(SEARCH("232",E64)),VLOOKUP("232",V7_PROGRAM_TABLE,2,FALSE),IF(ISNUMBER(SEARCH("538",E64)),VLOOKUP("538",V7_PROGRAM_TABLE,2,FALSE),IF(ISNUMBER(SEARCH("223a7",E64)),VLOOKUP("223a7",V7_PROGRAM_TABLE,2,FALSE),IF(ISNUMBER(SEARCH("223f",E64)),VLOOKUP("223f",V7_PROGRAM_TABLE,2,FALSE),V7_PROGRAM_DEFAULT))))</f>
        <v/>
      </c>
      <c r="AA64" s="26">
        <f>IF(S64=1,1+V7_PURPOSE_NC_BUMP*MAX(0,1-ABS(M64-V7_PURPOSE_PEAK_AGE)/V7_PURPOSE_WIDTH),1)</f>
        <v/>
      </c>
      <c r="AB64" s="26">
        <f>IF(AND(IF(OR(P64="",NOT(ISNUMBER(P64))),0,MAX(0,MIN(24,(INT(VALUE(H64)/100)-INT(P64/100))*12+MOD(VALUE(H64),100)-MOD(P64,100))))&gt;0,IF(OR(P64="",NOT(ISNUMBER(P64))),0,MAX(0,MIN(24,(INT(VALUE(H64)/100)-INT(P64/100))*12+MOD(VALUE(H64),100)-MOD(P64,100))))&lt;=12),1+V7_LOCKOUT_AMP*EXP(-(IF(OR(P64="",NOT(ISNUMBER(P64))),0,MAX(0,MIN(24,(INT(VALUE(H64)/100)-INT(P64/100))*12+MOD(VALUE(H64),100)-MOD(P64,100)))))/V7_LOCKOUT_TAU),1)</f>
        <v/>
      </c>
      <c r="AC64" s="26">
        <f>IF(IF(OR(O64="",NOT(ISNUMBER(O64))),360,MAX(0,MIN(480,(INT(O64/100)-INT(VALUE(H64)/100))*12+MOD(O64,100)-MOD(VALUE(H64),100))))&gt;0,1+V7_MTY_AMP*MAX(0,(V7_MTY_CUTOFF-(IF(OR(O64="",NOT(ISNUMBER(O64))),360,MAX(0,MIN(480,(INT(O64/100)-INT(VALUE(H64)/100))*12+MOD(O64,100)-MOD(VALUE(H64),100))))))/V7_MTY_CUTOFF),1)</f>
        <v/>
      </c>
      <c r="AD64" s="26">
        <f>MAX(V7_BURN_FLOOR,1-V7_BURN_SLOPE*MIN(1,MAX(0,R64)))</f>
        <v/>
      </c>
      <c r="AE64" s="26">
        <f>IF(V7_USE_ISSUER=1,IFERROR(VLOOKUP(Q64,V7_ISSUER_TABLE,3,FALSE),1),1)</f>
        <v/>
      </c>
      <c r="AF64" s="26">
        <f>PRODUCT(W64:AE64)</f>
        <v/>
      </c>
      <c r="AG64" s="27">
        <f>MIN(V7_BASE_SMM*AF64,V7_SMM_CAP)</f>
        <v/>
      </c>
      <c r="AH64" s="28">
        <f>1-(1-AG64)^12</f>
        <v/>
      </c>
      <c r="AI64" s="28">
        <f>IFERROR(LN(W64)/(LN(W64)+LN(X64)+LN(Y64)+LN(Z64)+LN(AA64)+LN(AB64)+LN(AC64)+LN(AD64))*(AH64-V7_BASE_CPR),0)</f>
        <v/>
      </c>
      <c r="AJ64" s="28">
        <f>IFERROR(LN(X64)/(LN(W64)+LN(X64)+LN(Y64)+LN(Z64)+LN(AA64)+LN(AB64)+LN(AC64)+LN(AD64))*(AH64-V7_BASE_CPR),0)</f>
        <v/>
      </c>
      <c r="AK64" s="28">
        <f>IFERROR(LN(Y64)/(LN(W64)+LN(X64)+LN(Y64)+LN(Z64)+LN(AA64)+LN(AB64)+LN(AC64)+LN(AD64))*(AH64-V7_BASE_CPR),0)</f>
        <v/>
      </c>
      <c r="AL64" s="28">
        <f>IFERROR(LN(Z64)/(LN(W64)+LN(X64)+LN(Y64)+LN(Z64)+LN(AA64)+LN(AB64)+LN(AC64)+LN(AD64))*(AH64-V7_BASE_CPR),0)</f>
        <v/>
      </c>
      <c r="AM64" s="28">
        <f>IFERROR(LN(AA64)/(LN(W64)+LN(X64)+LN(Y64)+LN(Z64)+LN(AA64)+LN(AB64)+LN(AC64)+LN(AD64))*(AH64-V7_BASE_CPR),0)</f>
        <v/>
      </c>
      <c r="AN64" s="28">
        <f>IFERROR(LN(AB64)/(LN(W64)+LN(X64)+LN(Y64)+LN(Z64)+LN(AA64)+LN(AB64)+LN(AC64)+LN(AD64))*(AH64-V7_BASE_CPR),0)</f>
        <v/>
      </c>
      <c r="AO64" s="28">
        <f>IFERROR(LN(AC64)/(LN(W64)+LN(X64)+LN(Y64)+LN(Z64)+LN(AA64)+LN(AB64)+LN(AC64)+LN(AD64))*(AH64-V7_BASE_CPR),0)</f>
        <v/>
      </c>
      <c r="AP64" s="28">
        <f>IFERROR(LN(AD64)/(LN(W64)+LN(X64)+LN(Y64)+LN(Z64)+LN(AA64)+LN(AB64)+LN(AC64)+LN(AD64))*(AH64-V7_BASE_CPR),0)</f>
        <v/>
      </c>
      <c r="AQ64" s="29">
        <f>V7_BASE_CPR+SUM(AI64:AP64)-AH64</f>
        <v/>
      </c>
    </row>
    <row r="65">
      <c r="A65" s="2" t="inlineStr">
        <is>
          <t>3618A9ZB4_000000009335146</t>
        </is>
      </c>
      <c r="B65" t="inlineStr">
        <is>
          <t>BERKADIA_POST21</t>
        </is>
      </c>
      <c r="C65" s="2" t="inlineStr">
        <is>
          <t>3618A9ZB4</t>
        </is>
      </c>
      <c r="D65" t="inlineStr">
        <is>
          <t>BERKADIA COMMERCIAL MORTGAGE, LLC</t>
        </is>
      </c>
      <c r="E65" t="inlineStr">
        <is>
          <t>221d4</t>
        </is>
      </c>
      <c r="F65" t="inlineStr">
        <is>
          <t>NC</t>
        </is>
      </c>
      <c r="G65" t="n">
        <v>2022</v>
      </c>
      <c r="H65" t="inlineStr">
        <is>
          <t>202602</t>
        </is>
      </c>
      <c r="I65" s="22" t="n">
        <v>9907257.279999999</v>
      </c>
      <c r="J65" s="23" t="n">
        <v>4.6</v>
      </c>
      <c r="K65" s="24" t="n">
        <v>447</v>
      </c>
      <c r="L65" s="24" t="n">
        <v>10</v>
      </c>
      <c r="M65" t="n">
        <v>41</v>
      </c>
      <c r="N65" s="25" t="n">
        <v>0</v>
      </c>
      <c r="O65" t="n">
        <v>206404</v>
      </c>
      <c r="P65" t="inlineStr"/>
      <c r="Q65" t="inlineStr">
        <is>
          <t>4082</t>
        </is>
      </c>
      <c r="R65" s="26" t="n">
        <v>0</v>
      </c>
      <c r="S65" t="n">
        <v>1</v>
      </c>
      <c r="T65" s="23">
        <f>LN(1+I65)</f>
        <v/>
      </c>
      <c r="U65" s="24">
        <f>J65*100-K65</f>
        <v/>
      </c>
      <c r="V65" s="24">
        <f>U65-12.5*(L65+1)</f>
        <v/>
      </c>
      <c r="W65" s="26">
        <f>IF(M65&lt;=V7_AGE_KNOT_X_0,V7_AGE_KNOT_Y_0,IF(M65&gt;=V7_AGE_KNOT_X_5,V7_AGE_KNOT_Y_5,IF(M65&lt;=V7_AGE_KNOT_X_1,V7_AGE_KNOT_Y_0+(M65-V7_AGE_KNOT_X_0)/(V7_AGE_KNOT_X_1-V7_AGE_KNOT_X_0)*(V7_AGE_KNOT_Y_1-V7_AGE_KNOT_Y_0),IF(M65&lt;=V7_AGE_KNOT_X_2,V7_AGE_KNOT_Y_1+(M65-V7_AGE_KNOT_X_1)/(V7_AGE_KNOT_X_2-V7_AGE_KNOT_X_1)*(V7_AGE_KNOT_Y_2-V7_AGE_KNOT_Y_1),IF(M65&lt;=V7_AGE_KNOT_X_3,V7_AGE_KNOT_Y_2+(M65-V7_AGE_KNOT_X_2)/(V7_AGE_KNOT_X_3-V7_AGE_KNOT_X_2)*(V7_AGE_KNOT_Y_3-V7_AGE_KNOT_Y_2),IF(M65&lt;=V7_AGE_KNOT_X_4,V7_AGE_KNOT_Y_3+(M65-V7_AGE_KNOT_X_3)/(V7_AGE_KNOT_X_4-V7_AGE_KNOT_X_3)*(V7_AGE_KNOT_Y_4-V7_AGE_KNOT_Y_3),V7_AGE_KNOT_Y_4+(M65-V7_AGE_KNOT_X_4)/(V7_AGE_KNOT_X_5-V7_AGE_KNOT_X_4)*(V7_AGE_KNOT_Y_5-V7_AGE_KNOT_Y_4)))))))</f>
        <v/>
      </c>
      <c r="X65" s="26">
        <f>V7_RATE_FLOOR+V7_RATE_ASYMPTOTE/(1+EXP(-(V65-V7_RATE_MID)/V7_RATE_SLOPE))</f>
        <v/>
      </c>
      <c r="Y65" s="26">
        <f>MAX(V7_SIZE_LOW,MIN(V7_SIZE_HIGH,V7_SIZE_INTERCEPT+V7_SIZE_SLOPE*(T65-V7_SIZE_LOG_ANCHOR)))</f>
        <v/>
      </c>
      <c r="Z65" s="26">
        <f>IF(ISNUMBER(SEARCH("232",E65)),VLOOKUP("232",V7_PROGRAM_TABLE,2,FALSE),IF(ISNUMBER(SEARCH("538",E65)),VLOOKUP("538",V7_PROGRAM_TABLE,2,FALSE),IF(ISNUMBER(SEARCH("223a7",E65)),VLOOKUP("223a7",V7_PROGRAM_TABLE,2,FALSE),IF(ISNUMBER(SEARCH("223f",E65)),VLOOKUP("223f",V7_PROGRAM_TABLE,2,FALSE),V7_PROGRAM_DEFAULT))))</f>
        <v/>
      </c>
      <c r="AA65" s="26">
        <f>IF(S65=1,1+V7_PURPOSE_NC_BUMP*MAX(0,1-ABS(M65-V7_PURPOSE_PEAK_AGE)/V7_PURPOSE_WIDTH),1)</f>
        <v/>
      </c>
      <c r="AB65" s="26">
        <f>IF(AND(IF(OR(P65="",NOT(ISNUMBER(P65))),0,MAX(0,MIN(24,(INT(VALUE(H65)/100)-INT(P65/100))*12+MOD(VALUE(H65),100)-MOD(P65,100))))&gt;0,IF(OR(P65="",NOT(ISNUMBER(P65))),0,MAX(0,MIN(24,(INT(VALUE(H65)/100)-INT(P65/100))*12+MOD(VALUE(H65),100)-MOD(P65,100))))&lt;=12),1+V7_LOCKOUT_AMP*EXP(-(IF(OR(P65="",NOT(ISNUMBER(P65))),0,MAX(0,MIN(24,(INT(VALUE(H65)/100)-INT(P65/100))*12+MOD(VALUE(H65),100)-MOD(P65,100)))))/V7_LOCKOUT_TAU),1)</f>
        <v/>
      </c>
      <c r="AC65" s="26">
        <f>IF(IF(OR(O65="",NOT(ISNUMBER(O65))),360,MAX(0,MIN(480,(INT(O65/100)-INT(VALUE(H65)/100))*12+MOD(O65,100)-MOD(VALUE(H65),100))))&gt;0,1+V7_MTY_AMP*MAX(0,(V7_MTY_CUTOFF-(IF(OR(O65="",NOT(ISNUMBER(O65))),360,MAX(0,MIN(480,(INT(O65/100)-INT(VALUE(H65)/100))*12+MOD(O65,100)-MOD(VALUE(H65),100))))))/V7_MTY_CUTOFF),1)</f>
        <v/>
      </c>
      <c r="AD65" s="26">
        <f>MAX(V7_BURN_FLOOR,1-V7_BURN_SLOPE*MIN(1,MAX(0,R65)))</f>
        <v/>
      </c>
      <c r="AE65" s="26">
        <f>IF(V7_USE_ISSUER=1,IFERROR(VLOOKUP(Q65,V7_ISSUER_TABLE,3,FALSE),1),1)</f>
        <v/>
      </c>
      <c r="AF65" s="26">
        <f>PRODUCT(W65:AE65)</f>
        <v/>
      </c>
      <c r="AG65" s="27">
        <f>MIN(V7_BASE_SMM*AF65,V7_SMM_CAP)</f>
        <v/>
      </c>
      <c r="AH65" s="28">
        <f>1-(1-AG65)^12</f>
        <v/>
      </c>
      <c r="AI65" s="28">
        <f>IFERROR(LN(W65)/(LN(W65)+LN(X65)+LN(Y65)+LN(Z65)+LN(AA65)+LN(AB65)+LN(AC65)+LN(AD65))*(AH65-V7_BASE_CPR),0)</f>
        <v/>
      </c>
      <c r="AJ65" s="28">
        <f>IFERROR(LN(X65)/(LN(W65)+LN(X65)+LN(Y65)+LN(Z65)+LN(AA65)+LN(AB65)+LN(AC65)+LN(AD65))*(AH65-V7_BASE_CPR),0)</f>
        <v/>
      </c>
      <c r="AK65" s="28">
        <f>IFERROR(LN(Y65)/(LN(W65)+LN(X65)+LN(Y65)+LN(Z65)+LN(AA65)+LN(AB65)+LN(AC65)+LN(AD65))*(AH65-V7_BASE_CPR),0)</f>
        <v/>
      </c>
      <c r="AL65" s="28">
        <f>IFERROR(LN(Z65)/(LN(W65)+LN(X65)+LN(Y65)+LN(Z65)+LN(AA65)+LN(AB65)+LN(AC65)+LN(AD65))*(AH65-V7_BASE_CPR),0)</f>
        <v/>
      </c>
      <c r="AM65" s="28">
        <f>IFERROR(LN(AA65)/(LN(W65)+LN(X65)+LN(Y65)+LN(Z65)+LN(AA65)+LN(AB65)+LN(AC65)+LN(AD65))*(AH65-V7_BASE_CPR),0)</f>
        <v/>
      </c>
      <c r="AN65" s="28">
        <f>IFERROR(LN(AB65)/(LN(W65)+LN(X65)+LN(Y65)+LN(Z65)+LN(AA65)+LN(AB65)+LN(AC65)+LN(AD65))*(AH65-V7_BASE_CPR),0)</f>
        <v/>
      </c>
      <c r="AO65" s="28">
        <f>IFERROR(LN(AC65)/(LN(W65)+LN(X65)+LN(Y65)+LN(Z65)+LN(AA65)+LN(AB65)+LN(AC65)+LN(AD65))*(AH65-V7_BASE_CPR),0)</f>
        <v/>
      </c>
      <c r="AP65" s="28">
        <f>IFERROR(LN(AD65)/(LN(W65)+LN(X65)+LN(Y65)+LN(Z65)+LN(AA65)+LN(AB65)+LN(AC65)+LN(AD65))*(AH65-V7_BASE_CPR),0)</f>
        <v/>
      </c>
      <c r="AQ65" s="29">
        <f>V7_BASE_CPR+SUM(AI65:AP65)-AH65</f>
        <v/>
      </c>
    </row>
    <row r="66">
      <c r="A66" s="2" t="inlineStr">
        <is>
          <t>36178VAE1_000000005111250</t>
        </is>
      </c>
      <c r="B66" t="inlineStr">
        <is>
          <t>BERKADIA_PRE21</t>
        </is>
      </c>
      <c r="C66" s="2" t="inlineStr">
        <is>
          <t>36178VAE1</t>
        </is>
      </c>
      <c r="D66" t="inlineStr">
        <is>
          <t>BERKADIA COMMERCIAL MORTGAGE, LLC</t>
        </is>
      </c>
      <c r="E66" t="inlineStr">
        <is>
          <t>223a7</t>
        </is>
      </c>
      <c r="F66" t="inlineStr">
        <is>
          <t>RP</t>
        </is>
      </c>
      <c r="G66" t="n">
        <v>2012</v>
      </c>
      <c r="H66" t="inlineStr">
        <is>
          <t>202602</t>
        </is>
      </c>
      <c r="I66" s="22" t="n">
        <v>17841211.06</v>
      </c>
      <c r="J66" s="23" t="n">
        <v>3.05</v>
      </c>
      <c r="K66" s="24" t="n">
        <v>447</v>
      </c>
      <c r="L66" s="24" t="n">
        <v>0</v>
      </c>
      <c r="M66" t="n">
        <v>160</v>
      </c>
      <c r="N66" s="25" t="n">
        <v>26</v>
      </c>
      <c r="O66" t="n">
        <v>204801</v>
      </c>
      <c r="P66" t="n">
        <v>201402</v>
      </c>
      <c r="Q66" t="inlineStr">
        <is>
          <t>4082</t>
        </is>
      </c>
      <c r="R66" s="26" t="n">
        <v>0.1625</v>
      </c>
      <c r="S66" t="n">
        <v>0</v>
      </c>
      <c r="T66" s="23">
        <f>LN(1+I66)</f>
        <v/>
      </c>
      <c r="U66" s="24">
        <f>J66*100-K66</f>
        <v/>
      </c>
      <c r="V66" s="24">
        <f>U66-12.5*(L66+1)</f>
        <v/>
      </c>
      <c r="W66" s="26">
        <f>IF(M66&lt;=V7_AGE_KNOT_X_0,V7_AGE_KNOT_Y_0,IF(M66&gt;=V7_AGE_KNOT_X_5,V7_AGE_KNOT_Y_5,IF(M66&lt;=V7_AGE_KNOT_X_1,V7_AGE_KNOT_Y_0+(M66-V7_AGE_KNOT_X_0)/(V7_AGE_KNOT_X_1-V7_AGE_KNOT_X_0)*(V7_AGE_KNOT_Y_1-V7_AGE_KNOT_Y_0),IF(M66&lt;=V7_AGE_KNOT_X_2,V7_AGE_KNOT_Y_1+(M66-V7_AGE_KNOT_X_1)/(V7_AGE_KNOT_X_2-V7_AGE_KNOT_X_1)*(V7_AGE_KNOT_Y_2-V7_AGE_KNOT_Y_1),IF(M66&lt;=V7_AGE_KNOT_X_3,V7_AGE_KNOT_Y_2+(M66-V7_AGE_KNOT_X_2)/(V7_AGE_KNOT_X_3-V7_AGE_KNOT_X_2)*(V7_AGE_KNOT_Y_3-V7_AGE_KNOT_Y_2),IF(M66&lt;=V7_AGE_KNOT_X_4,V7_AGE_KNOT_Y_3+(M66-V7_AGE_KNOT_X_3)/(V7_AGE_KNOT_X_4-V7_AGE_KNOT_X_3)*(V7_AGE_KNOT_Y_4-V7_AGE_KNOT_Y_3),V7_AGE_KNOT_Y_4+(M66-V7_AGE_KNOT_X_4)/(V7_AGE_KNOT_X_5-V7_AGE_KNOT_X_4)*(V7_AGE_KNOT_Y_5-V7_AGE_KNOT_Y_4)))))))</f>
        <v/>
      </c>
      <c r="X66" s="26">
        <f>V7_RATE_FLOOR+V7_RATE_ASYMPTOTE/(1+EXP(-(V66-V7_RATE_MID)/V7_RATE_SLOPE))</f>
        <v/>
      </c>
      <c r="Y66" s="26">
        <f>MAX(V7_SIZE_LOW,MIN(V7_SIZE_HIGH,V7_SIZE_INTERCEPT+V7_SIZE_SLOPE*(T66-V7_SIZE_LOG_ANCHOR)))</f>
        <v/>
      </c>
      <c r="Z66" s="26">
        <f>IF(ISNUMBER(SEARCH("232",E66)),VLOOKUP("232",V7_PROGRAM_TABLE,2,FALSE),IF(ISNUMBER(SEARCH("538",E66)),VLOOKUP("538",V7_PROGRAM_TABLE,2,FALSE),IF(ISNUMBER(SEARCH("223a7",E66)),VLOOKUP("223a7",V7_PROGRAM_TABLE,2,FALSE),IF(ISNUMBER(SEARCH("223f",E66)),VLOOKUP("223f",V7_PROGRAM_TABLE,2,FALSE),V7_PROGRAM_DEFAULT))))</f>
        <v/>
      </c>
      <c r="AA66" s="26">
        <f>IF(S66=1,1+V7_PURPOSE_NC_BUMP*MAX(0,1-ABS(M66-V7_PURPOSE_PEAK_AGE)/V7_PURPOSE_WIDTH),1)</f>
        <v/>
      </c>
      <c r="AB66" s="26">
        <f>IF(AND(IF(OR(P66="",NOT(ISNUMBER(P66))),0,MAX(0,MIN(24,(INT(VALUE(H66)/100)-INT(P66/100))*12+MOD(VALUE(H66),100)-MOD(P66,100))))&gt;0,IF(OR(P66="",NOT(ISNUMBER(P66))),0,MAX(0,MIN(24,(INT(VALUE(H66)/100)-INT(P66/100))*12+MOD(VALUE(H66),100)-MOD(P66,100))))&lt;=12),1+V7_LOCKOUT_AMP*EXP(-(IF(OR(P66="",NOT(ISNUMBER(P66))),0,MAX(0,MIN(24,(INT(VALUE(H66)/100)-INT(P66/100))*12+MOD(VALUE(H66),100)-MOD(P66,100)))))/V7_LOCKOUT_TAU),1)</f>
        <v/>
      </c>
      <c r="AC66" s="26">
        <f>IF(IF(OR(O66="",NOT(ISNUMBER(O66))),360,MAX(0,MIN(480,(INT(O66/100)-INT(VALUE(H66)/100))*12+MOD(O66,100)-MOD(VALUE(H66),100))))&gt;0,1+V7_MTY_AMP*MAX(0,(V7_MTY_CUTOFF-(IF(OR(O66="",NOT(ISNUMBER(O66))),360,MAX(0,MIN(480,(INT(O66/100)-INT(VALUE(H66)/100))*12+MOD(O66,100)-MOD(VALUE(H66),100))))))/V7_MTY_CUTOFF),1)</f>
        <v/>
      </c>
      <c r="AD66" s="26">
        <f>MAX(V7_BURN_FLOOR,1-V7_BURN_SLOPE*MIN(1,MAX(0,R66)))</f>
        <v/>
      </c>
      <c r="AE66" s="26">
        <f>IF(V7_USE_ISSUER=1,IFERROR(VLOOKUP(Q66,V7_ISSUER_TABLE,3,FALSE),1),1)</f>
        <v/>
      </c>
      <c r="AF66" s="26">
        <f>PRODUCT(W66:AE66)</f>
        <v/>
      </c>
      <c r="AG66" s="27">
        <f>MIN(V7_BASE_SMM*AF66,V7_SMM_CAP)</f>
        <v/>
      </c>
      <c r="AH66" s="28">
        <f>1-(1-AG66)^12</f>
        <v/>
      </c>
      <c r="AI66" s="28">
        <f>IFERROR(LN(W66)/(LN(W66)+LN(X66)+LN(Y66)+LN(Z66)+LN(AA66)+LN(AB66)+LN(AC66)+LN(AD66))*(AH66-V7_BASE_CPR),0)</f>
        <v/>
      </c>
      <c r="AJ66" s="28">
        <f>IFERROR(LN(X66)/(LN(W66)+LN(X66)+LN(Y66)+LN(Z66)+LN(AA66)+LN(AB66)+LN(AC66)+LN(AD66))*(AH66-V7_BASE_CPR),0)</f>
        <v/>
      </c>
      <c r="AK66" s="28">
        <f>IFERROR(LN(Y66)/(LN(W66)+LN(X66)+LN(Y66)+LN(Z66)+LN(AA66)+LN(AB66)+LN(AC66)+LN(AD66))*(AH66-V7_BASE_CPR),0)</f>
        <v/>
      </c>
      <c r="AL66" s="28">
        <f>IFERROR(LN(Z66)/(LN(W66)+LN(X66)+LN(Y66)+LN(Z66)+LN(AA66)+LN(AB66)+LN(AC66)+LN(AD66))*(AH66-V7_BASE_CPR),0)</f>
        <v/>
      </c>
      <c r="AM66" s="28">
        <f>IFERROR(LN(AA66)/(LN(W66)+LN(X66)+LN(Y66)+LN(Z66)+LN(AA66)+LN(AB66)+LN(AC66)+LN(AD66))*(AH66-V7_BASE_CPR),0)</f>
        <v/>
      </c>
      <c r="AN66" s="28">
        <f>IFERROR(LN(AB66)/(LN(W66)+LN(X66)+LN(Y66)+LN(Z66)+LN(AA66)+LN(AB66)+LN(AC66)+LN(AD66))*(AH66-V7_BASE_CPR),0)</f>
        <v/>
      </c>
      <c r="AO66" s="28">
        <f>IFERROR(LN(AC66)/(LN(W66)+LN(X66)+LN(Y66)+LN(Z66)+LN(AA66)+LN(AB66)+LN(AC66)+LN(AD66))*(AH66-V7_BASE_CPR),0)</f>
        <v/>
      </c>
      <c r="AP66" s="28">
        <f>IFERROR(LN(AD66)/(LN(W66)+LN(X66)+LN(Y66)+LN(Z66)+LN(AA66)+LN(AB66)+LN(AC66)+LN(AD66))*(AH66-V7_BASE_CPR),0)</f>
        <v/>
      </c>
      <c r="AQ66" s="29">
        <f>V7_BASE_CPR+SUM(AI66:AP66)-AH66</f>
        <v/>
      </c>
    </row>
    <row r="67">
      <c r="A67" s="2" t="inlineStr">
        <is>
          <t>3617M16P1_000000011422098</t>
        </is>
      </c>
      <c r="B67" t="inlineStr">
        <is>
          <t>BERKADIA_PRE21</t>
        </is>
      </c>
      <c r="C67" s="2" t="inlineStr">
        <is>
          <t>3617M16P1</t>
        </is>
      </c>
      <c r="D67" t="inlineStr">
        <is>
          <t>BERKADIA COMMERCIAL MORTGAGE, LLC</t>
        </is>
      </c>
      <c r="E67" t="inlineStr">
        <is>
          <t>232</t>
        </is>
      </c>
      <c r="F67" t="inlineStr">
        <is>
          <t>RP</t>
        </is>
      </c>
      <c r="G67" t="n">
        <v>2020</v>
      </c>
      <c r="H67" t="inlineStr">
        <is>
          <t>202602</t>
        </is>
      </c>
      <c r="I67" s="22" t="n">
        <v>6103063.28</v>
      </c>
      <c r="J67" s="23" t="n">
        <v>2.63</v>
      </c>
      <c r="K67" s="24" t="n">
        <v>447</v>
      </c>
      <c r="L67" s="24" t="n">
        <v>6</v>
      </c>
      <c r="M67" t="n">
        <v>71</v>
      </c>
      <c r="N67" s="25" t="n">
        <v>13</v>
      </c>
      <c r="O67" t="n">
        <v>205506</v>
      </c>
      <c r="P67" t="inlineStr"/>
      <c r="Q67" t="inlineStr">
        <is>
          <t>4082</t>
        </is>
      </c>
      <c r="R67" s="26" t="n">
        <v>0.1830985915492958</v>
      </c>
      <c r="S67" t="n">
        <v>0</v>
      </c>
      <c r="T67" s="23">
        <f>LN(1+I67)</f>
        <v/>
      </c>
      <c r="U67" s="24">
        <f>J67*100-K67</f>
        <v/>
      </c>
      <c r="V67" s="24">
        <f>U67-12.5*(L67+1)</f>
        <v/>
      </c>
      <c r="W67" s="26">
        <f>IF(M67&lt;=V7_AGE_KNOT_X_0,V7_AGE_KNOT_Y_0,IF(M67&gt;=V7_AGE_KNOT_X_5,V7_AGE_KNOT_Y_5,IF(M67&lt;=V7_AGE_KNOT_X_1,V7_AGE_KNOT_Y_0+(M67-V7_AGE_KNOT_X_0)/(V7_AGE_KNOT_X_1-V7_AGE_KNOT_X_0)*(V7_AGE_KNOT_Y_1-V7_AGE_KNOT_Y_0),IF(M67&lt;=V7_AGE_KNOT_X_2,V7_AGE_KNOT_Y_1+(M67-V7_AGE_KNOT_X_1)/(V7_AGE_KNOT_X_2-V7_AGE_KNOT_X_1)*(V7_AGE_KNOT_Y_2-V7_AGE_KNOT_Y_1),IF(M67&lt;=V7_AGE_KNOT_X_3,V7_AGE_KNOT_Y_2+(M67-V7_AGE_KNOT_X_2)/(V7_AGE_KNOT_X_3-V7_AGE_KNOT_X_2)*(V7_AGE_KNOT_Y_3-V7_AGE_KNOT_Y_2),IF(M67&lt;=V7_AGE_KNOT_X_4,V7_AGE_KNOT_Y_3+(M67-V7_AGE_KNOT_X_3)/(V7_AGE_KNOT_X_4-V7_AGE_KNOT_X_3)*(V7_AGE_KNOT_Y_4-V7_AGE_KNOT_Y_3),V7_AGE_KNOT_Y_4+(M67-V7_AGE_KNOT_X_4)/(V7_AGE_KNOT_X_5-V7_AGE_KNOT_X_4)*(V7_AGE_KNOT_Y_5-V7_AGE_KNOT_Y_4)))))))</f>
        <v/>
      </c>
      <c r="X67" s="26">
        <f>V7_RATE_FLOOR+V7_RATE_ASYMPTOTE/(1+EXP(-(V67-V7_RATE_MID)/V7_RATE_SLOPE))</f>
        <v/>
      </c>
      <c r="Y67" s="26">
        <f>MAX(V7_SIZE_LOW,MIN(V7_SIZE_HIGH,V7_SIZE_INTERCEPT+V7_SIZE_SLOPE*(T67-V7_SIZE_LOG_ANCHOR)))</f>
        <v/>
      </c>
      <c r="Z67" s="26">
        <f>IF(ISNUMBER(SEARCH("232",E67)),VLOOKUP("232",V7_PROGRAM_TABLE,2,FALSE),IF(ISNUMBER(SEARCH("538",E67)),VLOOKUP("538",V7_PROGRAM_TABLE,2,FALSE),IF(ISNUMBER(SEARCH("223a7",E67)),VLOOKUP("223a7",V7_PROGRAM_TABLE,2,FALSE),IF(ISNUMBER(SEARCH("223f",E67)),VLOOKUP("223f",V7_PROGRAM_TABLE,2,FALSE),V7_PROGRAM_DEFAULT))))</f>
        <v/>
      </c>
      <c r="AA67" s="26">
        <f>IF(S67=1,1+V7_PURPOSE_NC_BUMP*MAX(0,1-ABS(M67-V7_PURPOSE_PEAK_AGE)/V7_PURPOSE_WIDTH),1)</f>
        <v/>
      </c>
      <c r="AB67" s="26">
        <f>IF(AND(IF(OR(P67="",NOT(ISNUMBER(P67))),0,MAX(0,MIN(24,(INT(VALUE(H67)/100)-INT(P67/100))*12+MOD(VALUE(H67),100)-MOD(P67,100))))&gt;0,IF(OR(P67="",NOT(ISNUMBER(P67))),0,MAX(0,MIN(24,(INT(VALUE(H67)/100)-INT(P67/100))*12+MOD(VALUE(H67),100)-MOD(P67,100))))&lt;=12),1+V7_LOCKOUT_AMP*EXP(-(IF(OR(P67="",NOT(ISNUMBER(P67))),0,MAX(0,MIN(24,(INT(VALUE(H67)/100)-INT(P67/100))*12+MOD(VALUE(H67),100)-MOD(P67,100)))))/V7_LOCKOUT_TAU),1)</f>
        <v/>
      </c>
      <c r="AC67" s="26">
        <f>IF(IF(OR(O67="",NOT(ISNUMBER(O67))),360,MAX(0,MIN(480,(INT(O67/100)-INT(VALUE(H67)/100))*12+MOD(O67,100)-MOD(VALUE(H67),100))))&gt;0,1+V7_MTY_AMP*MAX(0,(V7_MTY_CUTOFF-(IF(OR(O67="",NOT(ISNUMBER(O67))),360,MAX(0,MIN(480,(INT(O67/100)-INT(VALUE(H67)/100))*12+MOD(O67,100)-MOD(VALUE(H67),100))))))/V7_MTY_CUTOFF),1)</f>
        <v/>
      </c>
      <c r="AD67" s="26">
        <f>MAX(V7_BURN_FLOOR,1-V7_BURN_SLOPE*MIN(1,MAX(0,R67)))</f>
        <v/>
      </c>
      <c r="AE67" s="26">
        <f>IF(V7_USE_ISSUER=1,IFERROR(VLOOKUP(Q67,V7_ISSUER_TABLE,3,FALSE),1),1)</f>
        <v/>
      </c>
      <c r="AF67" s="26">
        <f>PRODUCT(W67:AE67)</f>
        <v/>
      </c>
      <c r="AG67" s="27">
        <f>MIN(V7_BASE_SMM*AF67,V7_SMM_CAP)</f>
        <v/>
      </c>
      <c r="AH67" s="28">
        <f>1-(1-AG67)^12</f>
        <v/>
      </c>
      <c r="AI67" s="28">
        <f>IFERROR(LN(W67)/(LN(W67)+LN(X67)+LN(Y67)+LN(Z67)+LN(AA67)+LN(AB67)+LN(AC67)+LN(AD67))*(AH67-V7_BASE_CPR),0)</f>
        <v/>
      </c>
      <c r="AJ67" s="28">
        <f>IFERROR(LN(X67)/(LN(W67)+LN(X67)+LN(Y67)+LN(Z67)+LN(AA67)+LN(AB67)+LN(AC67)+LN(AD67))*(AH67-V7_BASE_CPR),0)</f>
        <v/>
      </c>
      <c r="AK67" s="28">
        <f>IFERROR(LN(Y67)/(LN(W67)+LN(X67)+LN(Y67)+LN(Z67)+LN(AA67)+LN(AB67)+LN(AC67)+LN(AD67))*(AH67-V7_BASE_CPR),0)</f>
        <v/>
      </c>
      <c r="AL67" s="28">
        <f>IFERROR(LN(Z67)/(LN(W67)+LN(X67)+LN(Y67)+LN(Z67)+LN(AA67)+LN(AB67)+LN(AC67)+LN(AD67))*(AH67-V7_BASE_CPR),0)</f>
        <v/>
      </c>
      <c r="AM67" s="28">
        <f>IFERROR(LN(AA67)/(LN(W67)+LN(X67)+LN(Y67)+LN(Z67)+LN(AA67)+LN(AB67)+LN(AC67)+LN(AD67))*(AH67-V7_BASE_CPR),0)</f>
        <v/>
      </c>
      <c r="AN67" s="28">
        <f>IFERROR(LN(AB67)/(LN(W67)+LN(X67)+LN(Y67)+LN(Z67)+LN(AA67)+LN(AB67)+LN(AC67)+LN(AD67))*(AH67-V7_BASE_CPR),0)</f>
        <v/>
      </c>
      <c r="AO67" s="28">
        <f>IFERROR(LN(AC67)/(LN(W67)+LN(X67)+LN(Y67)+LN(Z67)+LN(AA67)+LN(AB67)+LN(AC67)+LN(AD67))*(AH67-V7_BASE_CPR),0)</f>
        <v/>
      </c>
      <c r="AP67" s="28">
        <f>IFERROR(LN(AD67)/(LN(W67)+LN(X67)+LN(Y67)+LN(Z67)+LN(AA67)+LN(AB67)+LN(AC67)+LN(AD67))*(AH67-V7_BASE_CPR),0)</f>
        <v/>
      </c>
      <c r="AQ67" s="29">
        <f>V7_BASE_CPR+SUM(AI67:AP67)-AH67</f>
        <v/>
      </c>
    </row>
    <row r="68">
      <c r="A68" s="2" t="inlineStr">
        <is>
          <t>36194RP61_000000007111200</t>
        </is>
      </c>
      <c r="B68" t="inlineStr">
        <is>
          <t>WALKER_PRE21</t>
        </is>
      </c>
      <c r="C68" s="2" t="inlineStr">
        <is>
          <t>36194RP61</t>
        </is>
      </c>
      <c r="D68" t="inlineStr">
        <is>
          <t>WALKER &amp; DUNLOP, LLC</t>
        </is>
      </c>
      <c r="E68" t="inlineStr">
        <is>
          <t>223f</t>
        </is>
      </c>
      <c r="F68" t="inlineStr">
        <is>
          <t>RP</t>
        </is>
      </c>
      <c r="G68" t="n">
        <v>2010</v>
      </c>
      <c r="H68" t="inlineStr">
        <is>
          <t>202602</t>
        </is>
      </c>
      <c r="I68" s="22" t="n">
        <v>3987517.41</v>
      </c>
      <c r="J68" s="23" t="n">
        <v>3.65</v>
      </c>
      <c r="K68" s="24" t="n">
        <v>447</v>
      </c>
      <c r="L68" s="24" t="n">
        <v>1</v>
      </c>
      <c r="M68" t="n">
        <v>188</v>
      </c>
      <c r="N68" s="25" t="n">
        <v>29</v>
      </c>
      <c r="O68" t="n">
        <v>204507</v>
      </c>
      <c r="P68" t="inlineStr"/>
      <c r="Q68" t="inlineStr">
        <is>
          <t>4080</t>
        </is>
      </c>
      <c r="R68" s="26" t="n">
        <v>0.1542553191489362</v>
      </c>
      <c r="S68" t="n">
        <v>0</v>
      </c>
      <c r="T68" s="23">
        <f>LN(1+I68)</f>
        <v/>
      </c>
      <c r="U68" s="24">
        <f>J68*100-K68</f>
        <v/>
      </c>
      <c r="V68" s="24">
        <f>U68-12.5*(L68+1)</f>
        <v/>
      </c>
      <c r="W68" s="26">
        <f>IF(M68&lt;=V7_AGE_KNOT_X_0,V7_AGE_KNOT_Y_0,IF(M68&gt;=V7_AGE_KNOT_X_5,V7_AGE_KNOT_Y_5,IF(M68&lt;=V7_AGE_KNOT_X_1,V7_AGE_KNOT_Y_0+(M68-V7_AGE_KNOT_X_0)/(V7_AGE_KNOT_X_1-V7_AGE_KNOT_X_0)*(V7_AGE_KNOT_Y_1-V7_AGE_KNOT_Y_0),IF(M68&lt;=V7_AGE_KNOT_X_2,V7_AGE_KNOT_Y_1+(M68-V7_AGE_KNOT_X_1)/(V7_AGE_KNOT_X_2-V7_AGE_KNOT_X_1)*(V7_AGE_KNOT_Y_2-V7_AGE_KNOT_Y_1),IF(M68&lt;=V7_AGE_KNOT_X_3,V7_AGE_KNOT_Y_2+(M68-V7_AGE_KNOT_X_2)/(V7_AGE_KNOT_X_3-V7_AGE_KNOT_X_2)*(V7_AGE_KNOT_Y_3-V7_AGE_KNOT_Y_2),IF(M68&lt;=V7_AGE_KNOT_X_4,V7_AGE_KNOT_Y_3+(M68-V7_AGE_KNOT_X_3)/(V7_AGE_KNOT_X_4-V7_AGE_KNOT_X_3)*(V7_AGE_KNOT_Y_4-V7_AGE_KNOT_Y_3),V7_AGE_KNOT_Y_4+(M68-V7_AGE_KNOT_X_4)/(V7_AGE_KNOT_X_5-V7_AGE_KNOT_X_4)*(V7_AGE_KNOT_Y_5-V7_AGE_KNOT_Y_4)))))))</f>
        <v/>
      </c>
      <c r="X68" s="26">
        <f>V7_RATE_FLOOR+V7_RATE_ASYMPTOTE/(1+EXP(-(V68-V7_RATE_MID)/V7_RATE_SLOPE))</f>
        <v/>
      </c>
      <c r="Y68" s="26">
        <f>MAX(V7_SIZE_LOW,MIN(V7_SIZE_HIGH,V7_SIZE_INTERCEPT+V7_SIZE_SLOPE*(T68-V7_SIZE_LOG_ANCHOR)))</f>
        <v/>
      </c>
      <c r="Z68" s="26">
        <f>IF(ISNUMBER(SEARCH("232",E68)),VLOOKUP("232",V7_PROGRAM_TABLE,2,FALSE),IF(ISNUMBER(SEARCH("538",E68)),VLOOKUP("538",V7_PROGRAM_TABLE,2,FALSE),IF(ISNUMBER(SEARCH("223a7",E68)),VLOOKUP("223a7",V7_PROGRAM_TABLE,2,FALSE),IF(ISNUMBER(SEARCH("223f",E68)),VLOOKUP("223f",V7_PROGRAM_TABLE,2,FALSE),V7_PROGRAM_DEFAULT))))</f>
        <v/>
      </c>
      <c r="AA68" s="26">
        <f>IF(S68=1,1+V7_PURPOSE_NC_BUMP*MAX(0,1-ABS(M68-V7_PURPOSE_PEAK_AGE)/V7_PURPOSE_WIDTH),1)</f>
        <v/>
      </c>
      <c r="AB68" s="26">
        <f>IF(AND(IF(OR(P68="",NOT(ISNUMBER(P68))),0,MAX(0,MIN(24,(INT(VALUE(H68)/100)-INT(P68/100))*12+MOD(VALUE(H68),100)-MOD(P68,100))))&gt;0,IF(OR(P68="",NOT(ISNUMBER(P68))),0,MAX(0,MIN(24,(INT(VALUE(H68)/100)-INT(P68/100))*12+MOD(VALUE(H68),100)-MOD(P68,100))))&lt;=12),1+V7_LOCKOUT_AMP*EXP(-(IF(OR(P68="",NOT(ISNUMBER(P68))),0,MAX(0,MIN(24,(INT(VALUE(H68)/100)-INT(P68/100))*12+MOD(VALUE(H68),100)-MOD(P68,100)))))/V7_LOCKOUT_TAU),1)</f>
        <v/>
      </c>
      <c r="AC68" s="26">
        <f>IF(IF(OR(O68="",NOT(ISNUMBER(O68))),360,MAX(0,MIN(480,(INT(O68/100)-INT(VALUE(H68)/100))*12+MOD(O68,100)-MOD(VALUE(H68),100))))&gt;0,1+V7_MTY_AMP*MAX(0,(V7_MTY_CUTOFF-(IF(OR(O68="",NOT(ISNUMBER(O68))),360,MAX(0,MIN(480,(INT(O68/100)-INT(VALUE(H68)/100))*12+MOD(O68,100)-MOD(VALUE(H68),100))))))/V7_MTY_CUTOFF),1)</f>
        <v/>
      </c>
      <c r="AD68" s="26">
        <f>MAX(V7_BURN_FLOOR,1-V7_BURN_SLOPE*MIN(1,MAX(0,R68)))</f>
        <v/>
      </c>
      <c r="AE68" s="26">
        <f>IF(V7_USE_ISSUER=1,IFERROR(VLOOKUP(Q68,V7_ISSUER_TABLE,3,FALSE),1),1)</f>
        <v/>
      </c>
      <c r="AF68" s="26">
        <f>PRODUCT(W68:AE68)</f>
        <v/>
      </c>
      <c r="AG68" s="27">
        <f>MIN(V7_BASE_SMM*AF68,V7_SMM_CAP)</f>
        <v/>
      </c>
      <c r="AH68" s="28">
        <f>1-(1-AG68)^12</f>
        <v/>
      </c>
      <c r="AI68" s="28">
        <f>IFERROR(LN(W68)/(LN(W68)+LN(X68)+LN(Y68)+LN(Z68)+LN(AA68)+LN(AB68)+LN(AC68)+LN(AD68))*(AH68-V7_BASE_CPR),0)</f>
        <v/>
      </c>
      <c r="AJ68" s="28">
        <f>IFERROR(LN(X68)/(LN(W68)+LN(X68)+LN(Y68)+LN(Z68)+LN(AA68)+LN(AB68)+LN(AC68)+LN(AD68))*(AH68-V7_BASE_CPR),0)</f>
        <v/>
      </c>
      <c r="AK68" s="28">
        <f>IFERROR(LN(Y68)/(LN(W68)+LN(X68)+LN(Y68)+LN(Z68)+LN(AA68)+LN(AB68)+LN(AC68)+LN(AD68))*(AH68-V7_BASE_CPR),0)</f>
        <v/>
      </c>
      <c r="AL68" s="28">
        <f>IFERROR(LN(Z68)/(LN(W68)+LN(X68)+LN(Y68)+LN(Z68)+LN(AA68)+LN(AB68)+LN(AC68)+LN(AD68))*(AH68-V7_BASE_CPR),0)</f>
        <v/>
      </c>
      <c r="AM68" s="28">
        <f>IFERROR(LN(AA68)/(LN(W68)+LN(X68)+LN(Y68)+LN(Z68)+LN(AA68)+LN(AB68)+LN(AC68)+LN(AD68))*(AH68-V7_BASE_CPR),0)</f>
        <v/>
      </c>
      <c r="AN68" s="28">
        <f>IFERROR(LN(AB68)/(LN(W68)+LN(X68)+LN(Y68)+LN(Z68)+LN(AA68)+LN(AB68)+LN(AC68)+LN(AD68))*(AH68-V7_BASE_CPR),0)</f>
        <v/>
      </c>
      <c r="AO68" s="28">
        <f>IFERROR(LN(AC68)/(LN(W68)+LN(X68)+LN(Y68)+LN(Z68)+LN(AA68)+LN(AB68)+LN(AC68)+LN(AD68))*(AH68-V7_BASE_CPR),0)</f>
        <v/>
      </c>
      <c r="AP68" s="28">
        <f>IFERROR(LN(AD68)/(LN(W68)+LN(X68)+LN(Y68)+LN(Z68)+LN(AA68)+LN(AB68)+LN(AC68)+LN(AD68))*(AH68-V7_BASE_CPR),0)</f>
        <v/>
      </c>
      <c r="AQ68" s="29">
        <f>V7_BASE_CPR+SUM(AI68:AP68)-AH68</f>
        <v/>
      </c>
    </row>
    <row r="69">
      <c r="A69" s="2" t="inlineStr">
        <is>
          <t>3617X5EB2_000000011311435</t>
        </is>
      </c>
      <c r="B69" t="inlineStr">
        <is>
          <t>WALKER_POST21</t>
        </is>
      </c>
      <c r="C69" s="2" t="inlineStr">
        <is>
          <t>3617X5EB2</t>
        </is>
      </c>
      <c r="D69" t="inlineStr">
        <is>
          <t>WALKER &amp; DUNLOP, LLC</t>
        </is>
      </c>
      <c r="E69" t="inlineStr">
        <is>
          <t>223f</t>
        </is>
      </c>
      <c r="F69" t="inlineStr">
        <is>
          <t>RP</t>
        </is>
      </c>
      <c r="G69" t="n">
        <v>2021</v>
      </c>
      <c r="H69" t="inlineStr">
        <is>
          <t>202602</t>
        </is>
      </c>
      <c r="I69" s="22" t="n">
        <v>17646196.84</v>
      </c>
      <c r="J69" s="23" t="n">
        <v>2.33</v>
      </c>
      <c r="K69" s="24" t="n">
        <v>447</v>
      </c>
      <c r="L69" s="24" t="n">
        <v>6</v>
      </c>
      <c r="M69" t="n">
        <v>51</v>
      </c>
      <c r="N69" s="25" t="n">
        <v>0</v>
      </c>
      <c r="O69" t="n">
        <v>205612</v>
      </c>
      <c r="P69" t="inlineStr"/>
      <c r="Q69" t="inlineStr">
        <is>
          <t>4080</t>
        </is>
      </c>
      <c r="R69" s="26" t="n">
        <v>0</v>
      </c>
      <c r="S69" t="n">
        <v>0</v>
      </c>
      <c r="T69" s="23">
        <f>LN(1+I69)</f>
        <v/>
      </c>
      <c r="U69" s="24">
        <f>J69*100-K69</f>
        <v/>
      </c>
      <c r="V69" s="24">
        <f>U69-12.5*(L69+1)</f>
        <v/>
      </c>
      <c r="W69" s="26">
        <f>IF(M69&lt;=V7_AGE_KNOT_X_0,V7_AGE_KNOT_Y_0,IF(M69&gt;=V7_AGE_KNOT_X_5,V7_AGE_KNOT_Y_5,IF(M69&lt;=V7_AGE_KNOT_X_1,V7_AGE_KNOT_Y_0+(M69-V7_AGE_KNOT_X_0)/(V7_AGE_KNOT_X_1-V7_AGE_KNOT_X_0)*(V7_AGE_KNOT_Y_1-V7_AGE_KNOT_Y_0),IF(M69&lt;=V7_AGE_KNOT_X_2,V7_AGE_KNOT_Y_1+(M69-V7_AGE_KNOT_X_1)/(V7_AGE_KNOT_X_2-V7_AGE_KNOT_X_1)*(V7_AGE_KNOT_Y_2-V7_AGE_KNOT_Y_1),IF(M69&lt;=V7_AGE_KNOT_X_3,V7_AGE_KNOT_Y_2+(M69-V7_AGE_KNOT_X_2)/(V7_AGE_KNOT_X_3-V7_AGE_KNOT_X_2)*(V7_AGE_KNOT_Y_3-V7_AGE_KNOT_Y_2),IF(M69&lt;=V7_AGE_KNOT_X_4,V7_AGE_KNOT_Y_3+(M69-V7_AGE_KNOT_X_3)/(V7_AGE_KNOT_X_4-V7_AGE_KNOT_X_3)*(V7_AGE_KNOT_Y_4-V7_AGE_KNOT_Y_3),V7_AGE_KNOT_Y_4+(M69-V7_AGE_KNOT_X_4)/(V7_AGE_KNOT_X_5-V7_AGE_KNOT_X_4)*(V7_AGE_KNOT_Y_5-V7_AGE_KNOT_Y_4)))))))</f>
        <v/>
      </c>
      <c r="X69" s="26">
        <f>V7_RATE_FLOOR+V7_RATE_ASYMPTOTE/(1+EXP(-(V69-V7_RATE_MID)/V7_RATE_SLOPE))</f>
        <v/>
      </c>
      <c r="Y69" s="26">
        <f>MAX(V7_SIZE_LOW,MIN(V7_SIZE_HIGH,V7_SIZE_INTERCEPT+V7_SIZE_SLOPE*(T69-V7_SIZE_LOG_ANCHOR)))</f>
        <v/>
      </c>
      <c r="Z69" s="26">
        <f>IF(ISNUMBER(SEARCH("232",E69)),VLOOKUP("232",V7_PROGRAM_TABLE,2,FALSE),IF(ISNUMBER(SEARCH("538",E69)),VLOOKUP("538",V7_PROGRAM_TABLE,2,FALSE),IF(ISNUMBER(SEARCH("223a7",E69)),VLOOKUP("223a7",V7_PROGRAM_TABLE,2,FALSE),IF(ISNUMBER(SEARCH("223f",E69)),VLOOKUP("223f",V7_PROGRAM_TABLE,2,FALSE),V7_PROGRAM_DEFAULT))))</f>
        <v/>
      </c>
      <c r="AA69" s="26">
        <f>IF(S69=1,1+V7_PURPOSE_NC_BUMP*MAX(0,1-ABS(M69-V7_PURPOSE_PEAK_AGE)/V7_PURPOSE_WIDTH),1)</f>
        <v/>
      </c>
      <c r="AB69" s="26">
        <f>IF(AND(IF(OR(P69="",NOT(ISNUMBER(P69))),0,MAX(0,MIN(24,(INT(VALUE(H69)/100)-INT(P69/100))*12+MOD(VALUE(H69),100)-MOD(P69,100))))&gt;0,IF(OR(P69="",NOT(ISNUMBER(P69))),0,MAX(0,MIN(24,(INT(VALUE(H69)/100)-INT(P69/100))*12+MOD(VALUE(H69),100)-MOD(P69,100))))&lt;=12),1+V7_LOCKOUT_AMP*EXP(-(IF(OR(P69="",NOT(ISNUMBER(P69))),0,MAX(0,MIN(24,(INT(VALUE(H69)/100)-INT(P69/100))*12+MOD(VALUE(H69),100)-MOD(P69,100)))))/V7_LOCKOUT_TAU),1)</f>
        <v/>
      </c>
      <c r="AC69" s="26">
        <f>IF(IF(OR(O69="",NOT(ISNUMBER(O69))),360,MAX(0,MIN(480,(INT(O69/100)-INT(VALUE(H69)/100))*12+MOD(O69,100)-MOD(VALUE(H69),100))))&gt;0,1+V7_MTY_AMP*MAX(0,(V7_MTY_CUTOFF-(IF(OR(O69="",NOT(ISNUMBER(O69))),360,MAX(0,MIN(480,(INT(O69/100)-INT(VALUE(H69)/100))*12+MOD(O69,100)-MOD(VALUE(H69),100))))))/V7_MTY_CUTOFF),1)</f>
        <v/>
      </c>
      <c r="AD69" s="26">
        <f>MAX(V7_BURN_FLOOR,1-V7_BURN_SLOPE*MIN(1,MAX(0,R69)))</f>
        <v/>
      </c>
      <c r="AE69" s="26">
        <f>IF(V7_USE_ISSUER=1,IFERROR(VLOOKUP(Q69,V7_ISSUER_TABLE,3,FALSE),1),1)</f>
        <v/>
      </c>
      <c r="AF69" s="26">
        <f>PRODUCT(W69:AE69)</f>
        <v/>
      </c>
      <c r="AG69" s="27">
        <f>MIN(V7_BASE_SMM*AF69,V7_SMM_CAP)</f>
        <v/>
      </c>
      <c r="AH69" s="28">
        <f>1-(1-AG69)^12</f>
        <v/>
      </c>
      <c r="AI69" s="28">
        <f>IFERROR(LN(W69)/(LN(W69)+LN(X69)+LN(Y69)+LN(Z69)+LN(AA69)+LN(AB69)+LN(AC69)+LN(AD69))*(AH69-V7_BASE_CPR),0)</f>
        <v/>
      </c>
      <c r="AJ69" s="28">
        <f>IFERROR(LN(X69)/(LN(W69)+LN(X69)+LN(Y69)+LN(Z69)+LN(AA69)+LN(AB69)+LN(AC69)+LN(AD69))*(AH69-V7_BASE_CPR),0)</f>
        <v/>
      </c>
      <c r="AK69" s="28">
        <f>IFERROR(LN(Y69)/(LN(W69)+LN(X69)+LN(Y69)+LN(Z69)+LN(AA69)+LN(AB69)+LN(AC69)+LN(AD69))*(AH69-V7_BASE_CPR),0)</f>
        <v/>
      </c>
      <c r="AL69" s="28">
        <f>IFERROR(LN(Z69)/(LN(W69)+LN(X69)+LN(Y69)+LN(Z69)+LN(AA69)+LN(AB69)+LN(AC69)+LN(AD69))*(AH69-V7_BASE_CPR),0)</f>
        <v/>
      </c>
      <c r="AM69" s="28">
        <f>IFERROR(LN(AA69)/(LN(W69)+LN(X69)+LN(Y69)+LN(Z69)+LN(AA69)+LN(AB69)+LN(AC69)+LN(AD69))*(AH69-V7_BASE_CPR),0)</f>
        <v/>
      </c>
      <c r="AN69" s="28">
        <f>IFERROR(LN(AB69)/(LN(W69)+LN(X69)+LN(Y69)+LN(Z69)+LN(AA69)+LN(AB69)+LN(AC69)+LN(AD69))*(AH69-V7_BASE_CPR),0)</f>
        <v/>
      </c>
      <c r="AO69" s="28">
        <f>IFERROR(LN(AC69)/(LN(W69)+LN(X69)+LN(Y69)+LN(Z69)+LN(AA69)+LN(AB69)+LN(AC69)+LN(AD69))*(AH69-V7_BASE_CPR),0)</f>
        <v/>
      </c>
      <c r="AP69" s="28">
        <f>IFERROR(LN(AD69)/(LN(W69)+LN(X69)+LN(Y69)+LN(Z69)+LN(AA69)+LN(AB69)+LN(AC69)+LN(AD69))*(AH69-V7_BASE_CPR),0)</f>
        <v/>
      </c>
      <c r="AQ69" s="29">
        <f>V7_BASE_CPR+SUM(AI69:AP69)-AH69</f>
        <v/>
      </c>
    </row>
    <row r="70">
      <c r="A70" s="2" t="inlineStr">
        <is>
          <t>3617UQNP8_000000005111489</t>
        </is>
      </c>
      <c r="B70" t="inlineStr">
        <is>
          <t>WALKER_POST21</t>
        </is>
      </c>
      <c r="C70" s="2" t="inlineStr">
        <is>
          <t>3617UQNP8</t>
        </is>
      </c>
      <c r="D70" t="inlineStr">
        <is>
          <t>WALKER &amp; DUNLOP, LLC</t>
        </is>
      </c>
      <c r="E70" t="inlineStr">
        <is>
          <t>223a7</t>
        </is>
      </c>
      <c r="F70" t="inlineStr">
        <is>
          <t>RP</t>
        </is>
      </c>
      <c r="G70" t="n">
        <v>2021</v>
      </c>
      <c r="H70" t="inlineStr">
        <is>
          <t>202602</t>
        </is>
      </c>
      <c r="I70" s="22" t="n">
        <v>5985368.08</v>
      </c>
      <c r="J70" s="23" t="n">
        <v>2.29</v>
      </c>
      <c r="K70" s="24" t="n">
        <v>447</v>
      </c>
      <c r="L70" s="24" t="n">
        <v>6</v>
      </c>
      <c r="M70" t="n">
        <v>60</v>
      </c>
      <c r="N70" s="25" t="n">
        <v>0</v>
      </c>
      <c r="O70" t="n">
        <v>205103</v>
      </c>
      <c r="P70" t="inlineStr"/>
      <c r="Q70" t="inlineStr">
        <is>
          <t>4080</t>
        </is>
      </c>
      <c r="R70" s="26" t="n">
        <v>0</v>
      </c>
      <c r="S70" t="n">
        <v>0</v>
      </c>
      <c r="T70" s="23">
        <f>LN(1+I70)</f>
        <v/>
      </c>
      <c r="U70" s="24">
        <f>J70*100-K70</f>
        <v/>
      </c>
      <c r="V70" s="24">
        <f>U70-12.5*(L70+1)</f>
        <v/>
      </c>
      <c r="W70" s="26">
        <f>IF(M70&lt;=V7_AGE_KNOT_X_0,V7_AGE_KNOT_Y_0,IF(M70&gt;=V7_AGE_KNOT_X_5,V7_AGE_KNOT_Y_5,IF(M70&lt;=V7_AGE_KNOT_X_1,V7_AGE_KNOT_Y_0+(M70-V7_AGE_KNOT_X_0)/(V7_AGE_KNOT_X_1-V7_AGE_KNOT_X_0)*(V7_AGE_KNOT_Y_1-V7_AGE_KNOT_Y_0),IF(M70&lt;=V7_AGE_KNOT_X_2,V7_AGE_KNOT_Y_1+(M70-V7_AGE_KNOT_X_1)/(V7_AGE_KNOT_X_2-V7_AGE_KNOT_X_1)*(V7_AGE_KNOT_Y_2-V7_AGE_KNOT_Y_1),IF(M70&lt;=V7_AGE_KNOT_X_3,V7_AGE_KNOT_Y_2+(M70-V7_AGE_KNOT_X_2)/(V7_AGE_KNOT_X_3-V7_AGE_KNOT_X_2)*(V7_AGE_KNOT_Y_3-V7_AGE_KNOT_Y_2),IF(M70&lt;=V7_AGE_KNOT_X_4,V7_AGE_KNOT_Y_3+(M70-V7_AGE_KNOT_X_3)/(V7_AGE_KNOT_X_4-V7_AGE_KNOT_X_3)*(V7_AGE_KNOT_Y_4-V7_AGE_KNOT_Y_3),V7_AGE_KNOT_Y_4+(M70-V7_AGE_KNOT_X_4)/(V7_AGE_KNOT_X_5-V7_AGE_KNOT_X_4)*(V7_AGE_KNOT_Y_5-V7_AGE_KNOT_Y_4)))))))</f>
        <v/>
      </c>
      <c r="X70" s="26">
        <f>V7_RATE_FLOOR+V7_RATE_ASYMPTOTE/(1+EXP(-(V70-V7_RATE_MID)/V7_RATE_SLOPE))</f>
        <v/>
      </c>
      <c r="Y70" s="26">
        <f>MAX(V7_SIZE_LOW,MIN(V7_SIZE_HIGH,V7_SIZE_INTERCEPT+V7_SIZE_SLOPE*(T70-V7_SIZE_LOG_ANCHOR)))</f>
        <v/>
      </c>
      <c r="Z70" s="26">
        <f>IF(ISNUMBER(SEARCH("232",E70)),VLOOKUP("232",V7_PROGRAM_TABLE,2,FALSE),IF(ISNUMBER(SEARCH("538",E70)),VLOOKUP("538",V7_PROGRAM_TABLE,2,FALSE),IF(ISNUMBER(SEARCH("223a7",E70)),VLOOKUP("223a7",V7_PROGRAM_TABLE,2,FALSE),IF(ISNUMBER(SEARCH("223f",E70)),VLOOKUP("223f",V7_PROGRAM_TABLE,2,FALSE),V7_PROGRAM_DEFAULT))))</f>
        <v/>
      </c>
      <c r="AA70" s="26">
        <f>IF(S70=1,1+V7_PURPOSE_NC_BUMP*MAX(0,1-ABS(M70-V7_PURPOSE_PEAK_AGE)/V7_PURPOSE_WIDTH),1)</f>
        <v/>
      </c>
      <c r="AB70" s="26">
        <f>IF(AND(IF(OR(P70="",NOT(ISNUMBER(P70))),0,MAX(0,MIN(24,(INT(VALUE(H70)/100)-INT(P70/100))*12+MOD(VALUE(H70),100)-MOD(P70,100))))&gt;0,IF(OR(P70="",NOT(ISNUMBER(P70))),0,MAX(0,MIN(24,(INT(VALUE(H70)/100)-INT(P70/100))*12+MOD(VALUE(H70),100)-MOD(P70,100))))&lt;=12),1+V7_LOCKOUT_AMP*EXP(-(IF(OR(P70="",NOT(ISNUMBER(P70))),0,MAX(0,MIN(24,(INT(VALUE(H70)/100)-INT(P70/100))*12+MOD(VALUE(H70),100)-MOD(P70,100)))))/V7_LOCKOUT_TAU),1)</f>
        <v/>
      </c>
      <c r="AC70" s="26">
        <f>IF(IF(OR(O70="",NOT(ISNUMBER(O70))),360,MAX(0,MIN(480,(INT(O70/100)-INT(VALUE(H70)/100))*12+MOD(O70,100)-MOD(VALUE(H70),100))))&gt;0,1+V7_MTY_AMP*MAX(0,(V7_MTY_CUTOFF-(IF(OR(O70="",NOT(ISNUMBER(O70))),360,MAX(0,MIN(480,(INT(O70/100)-INT(VALUE(H70)/100))*12+MOD(O70,100)-MOD(VALUE(H70),100))))))/V7_MTY_CUTOFF),1)</f>
        <v/>
      </c>
      <c r="AD70" s="26">
        <f>MAX(V7_BURN_FLOOR,1-V7_BURN_SLOPE*MIN(1,MAX(0,R70)))</f>
        <v/>
      </c>
      <c r="AE70" s="26">
        <f>IF(V7_USE_ISSUER=1,IFERROR(VLOOKUP(Q70,V7_ISSUER_TABLE,3,FALSE),1),1)</f>
        <v/>
      </c>
      <c r="AF70" s="26">
        <f>PRODUCT(W70:AE70)</f>
        <v/>
      </c>
      <c r="AG70" s="27">
        <f>MIN(V7_BASE_SMM*AF70,V7_SMM_CAP)</f>
        <v/>
      </c>
      <c r="AH70" s="28">
        <f>1-(1-AG70)^12</f>
        <v/>
      </c>
      <c r="AI70" s="28">
        <f>IFERROR(LN(W70)/(LN(W70)+LN(X70)+LN(Y70)+LN(Z70)+LN(AA70)+LN(AB70)+LN(AC70)+LN(AD70))*(AH70-V7_BASE_CPR),0)</f>
        <v/>
      </c>
      <c r="AJ70" s="28">
        <f>IFERROR(LN(X70)/(LN(W70)+LN(X70)+LN(Y70)+LN(Z70)+LN(AA70)+LN(AB70)+LN(AC70)+LN(AD70))*(AH70-V7_BASE_CPR),0)</f>
        <v/>
      </c>
      <c r="AK70" s="28">
        <f>IFERROR(LN(Y70)/(LN(W70)+LN(X70)+LN(Y70)+LN(Z70)+LN(AA70)+LN(AB70)+LN(AC70)+LN(AD70))*(AH70-V7_BASE_CPR),0)</f>
        <v/>
      </c>
      <c r="AL70" s="28">
        <f>IFERROR(LN(Z70)/(LN(W70)+LN(X70)+LN(Y70)+LN(Z70)+LN(AA70)+LN(AB70)+LN(AC70)+LN(AD70))*(AH70-V7_BASE_CPR),0)</f>
        <v/>
      </c>
      <c r="AM70" s="28">
        <f>IFERROR(LN(AA70)/(LN(W70)+LN(X70)+LN(Y70)+LN(Z70)+LN(AA70)+LN(AB70)+LN(AC70)+LN(AD70))*(AH70-V7_BASE_CPR),0)</f>
        <v/>
      </c>
      <c r="AN70" s="28">
        <f>IFERROR(LN(AB70)/(LN(W70)+LN(X70)+LN(Y70)+LN(Z70)+LN(AA70)+LN(AB70)+LN(AC70)+LN(AD70))*(AH70-V7_BASE_CPR),0)</f>
        <v/>
      </c>
      <c r="AO70" s="28">
        <f>IFERROR(LN(AC70)/(LN(W70)+LN(X70)+LN(Y70)+LN(Z70)+LN(AA70)+LN(AB70)+LN(AC70)+LN(AD70))*(AH70-V7_BASE_CPR),0)</f>
        <v/>
      </c>
      <c r="AP70" s="28">
        <f>IFERROR(LN(AD70)/(LN(W70)+LN(X70)+LN(Y70)+LN(Z70)+LN(AA70)+LN(AB70)+LN(AC70)+LN(AD70))*(AH70-V7_BASE_CPR),0)</f>
        <v/>
      </c>
      <c r="AQ70" s="29">
        <f>V7_BASE_CPR+SUM(AI70:AP70)-AH70</f>
        <v/>
      </c>
    </row>
    <row r="71">
      <c r="A71" s="2" t="inlineStr">
        <is>
          <t>3620ANPX2_000000004322064</t>
        </is>
      </c>
      <c r="B71" t="inlineStr">
        <is>
          <t>WALKER_PRE21</t>
        </is>
      </c>
      <c r="C71" s="2" t="inlineStr">
        <is>
          <t>3620ANPX2</t>
        </is>
      </c>
      <c r="D71" t="inlineStr">
        <is>
          <t>WALKER &amp; DUNLOP, LLC</t>
        </is>
      </c>
      <c r="E71" t="inlineStr">
        <is>
          <t>232</t>
        </is>
      </c>
      <c r="F71" t="inlineStr">
        <is>
          <t>RP</t>
        </is>
      </c>
      <c r="G71" t="n">
        <v>2011</v>
      </c>
      <c r="H71" t="inlineStr">
        <is>
          <t>202602</t>
        </is>
      </c>
      <c r="I71" s="22" t="n">
        <v>4469240.88</v>
      </c>
      <c r="J71" s="23" t="n">
        <v>3.73</v>
      </c>
      <c r="K71" s="24" t="n">
        <v>447</v>
      </c>
      <c r="L71" s="24" t="n">
        <v>0</v>
      </c>
      <c r="M71" t="n">
        <v>172</v>
      </c>
      <c r="N71" s="25" t="n">
        <v>38</v>
      </c>
      <c r="O71" t="n">
        <v>204611</v>
      </c>
      <c r="P71" t="n">
        <v>201312</v>
      </c>
      <c r="Q71" t="inlineStr">
        <is>
          <t>4080</t>
        </is>
      </c>
      <c r="R71" s="26" t="n">
        <v>0.2209302325581395</v>
      </c>
      <c r="S71" t="n">
        <v>0</v>
      </c>
      <c r="T71" s="23">
        <f>LN(1+I71)</f>
        <v/>
      </c>
      <c r="U71" s="24">
        <f>J71*100-K71</f>
        <v/>
      </c>
      <c r="V71" s="24">
        <f>U71-12.5*(L71+1)</f>
        <v/>
      </c>
      <c r="W71" s="26">
        <f>IF(M71&lt;=V7_AGE_KNOT_X_0,V7_AGE_KNOT_Y_0,IF(M71&gt;=V7_AGE_KNOT_X_5,V7_AGE_KNOT_Y_5,IF(M71&lt;=V7_AGE_KNOT_X_1,V7_AGE_KNOT_Y_0+(M71-V7_AGE_KNOT_X_0)/(V7_AGE_KNOT_X_1-V7_AGE_KNOT_X_0)*(V7_AGE_KNOT_Y_1-V7_AGE_KNOT_Y_0),IF(M71&lt;=V7_AGE_KNOT_X_2,V7_AGE_KNOT_Y_1+(M71-V7_AGE_KNOT_X_1)/(V7_AGE_KNOT_X_2-V7_AGE_KNOT_X_1)*(V7_AGE_KNOT_Y_2-V7_AGE_KNOT_Y_1),IF(M71&lt;=V7_AGE_KNOT_X_3,V7_AGE_KNOT_Y_2+(M71-V7_AGE_KNOT_X_2)/(V7_AGE_KNOT_X_3-V7_AGE_KNOT_X_2)*(V7_AGE_KNOT_Y_3-V7_AGE_KNOT_Y_2),IF(M71&lt;=V7_AGE_KNOT_X_4,V7_AGE_KNOT_Y_3+(M71-V7_AGE_KNOT_X_3)/(V7_AGE_KNOT_X_4-V7_AGE_KNOT_X_3)*(V7_AGE_KNOT_Y_4-V7_AGE_KNOT_Y_3),V7_AGE_KNOT_Y_4+(M71-V7_AGE_KNOT_X_4)/(V7_AGE_KNOT_X_5-V7_AGE_KNOT_X_4)*(V7_AGE_KNOT_Y_5-V7_AGE_KNOT_Y_4)))))))</f>
        <v/>
      </c>
      <c r="X71" s="26">
        <f>V7_RATE_FLOOR+V7_RATE_ASYMPTOTE/(1+EXP(-(V71-V7_RATE_MID)/V7_RATE_SLOPE))</f>
        <v/>
      </c>
      <c r="Y71" s="26">
        <f>MAX(V7_SIZE_LOW,MIN(V7_SIZE_HIGH,V7_SIZE_INTERCEPT+V7_SIZE_SLOPE*(T71-V7_SIZE_LOG_ANCHOR)))</f>
        <v/>
      </c>
      <c r="Z71" s="26">
        <f>IF(ISNUMBER(SEARCH("232",E71)),VLOOKUP("232",V7_PROGRAM_TABLE,2,FALSE),IF(ISNUMBER(SEARCH("538",E71)),VLOOKUP("538",V7_PROGRAM_TABLE,2,FALSE),IF(ISNUMBER(SEARCH("223a7",E71)),VLOOKUP("223a7",V7_PROGRAM_TABLE,2,FALSE),IF(ISNUMBER(SEARCH("223f",E71)),VLOOKUP("223f",V7_PROGRAM_TABLE,2,FALSE),V7_PROGRAM_DEFAULT))))</f>
        <v/>
      </c>
      <c r="AA71" s="26">
        <f>IF(S71=1,1+V7_PURPOSE_NC_BUMP*MAX(0,1-ABS(M71-V7_PURPOSE_PEAK_AGE)/V7_PURPOSE_WIDTH),1)</f>
        <v/>
      </c>
      <c r="AB71" s="26">
        <f>IF(AND(IF(OR(P71="",NOT(ISNUMBER(P71))),0,MAX(0,MIN(24,(INT(VALUE(H71)/100)-INT(P71/100))*12+MOD(VALUE(H71),100)-MOD(P71,100))))&gt;0,IF(OR(P71="",NOT(ISNUMBER(P71))),0,MAX(0,MIN(24,(INT(VALUE(H71)/100)-INT(P71/100))*12+MOD(VALUE(H71),100)-MOD(P71,100))))&lt;=12),1+V7_LOCKOUT_AMP*EXP(-(IF(OR(P71="",NOT(ISNUMBER(P71))),0,MAX(0,MIN(24,(INT(VALUE(H71)/100)-INT(P71/100))*12+MOD(VALUE(H71),100)-MOD(P71,100)))))/V7_LOCKOUT_TAU),1)</f>
        <v/>
      </c>
      <c r="AC71" s="26">
        <f>IF(IF(OR(O71="",NOT(ISNUMBER(O71))),360,MAX(0,MIN(480,(INT(O71/100)-INT(VALUE(H71)/100))*12+MOD(O71,100)-MOD(VALUE(H71),100))))&gt;0,1+V7_MTY_AMP*MAX(0,(V7_MTY_CUTOFF-(IF(OR(O71="",NOT(ISNUMBER(O71))),360,MAX(0,MIN(480,(INT(O71/100)-INT(VALUE(H71)/100))*12+MOD(O71,100)-MOD(VALUE(H71),100))))))/V7_MTY_CUTOFF),1)</f>
        <v/>
      </c>
      <c r="AD71" s="26">
        <f>MAX(V7_BURN_FLOOR,1-V7_BURN_SLOPE*MIN(1,MAX(0,R71)))</f>
        <v/>
      </c>
      <c r="AE71" s="26">
        <f>IF(V7_USE_ISSUER=1,IFERROR(VLOOKUP(Q71,V7_ISSUER_TABLE,3,FALSE),1),1)</f>
        <v/>
      </c>
      <c r="AF71" s="26">
        <f>PRODUCT(W71:AE71)</f>
        <v/>
      </c>
      <c r="AG71" s="27">
        <f>MIN(V7_BASE_SMM*AF71,V7_SMM_CAP)</f>
        <v/>
      </c>
      <c r="AH71" s="28">
        <f>1-(1-AG71)^12</f>
        <v/>
      </c>
      <c r="AI71" s="28">
        <f>IFERROR(LN(W71)/(LN(W71)+LN(X71)+LN(Y71)+LN(Z71)+LN(AA71)+LN(AB71)+LN(AC71)+LN(AD71))*(AH71-V7_BASE_CPR),0)</f>
        <v/>
      </c>
      <c r="AJ71" s="28">
        <f>IFERROR(LN(X71)/(LN(W71)+LN(X71)+LN(Y71)+LN(Z71)+LN(AA71)+LN(AB71)+LN(AC71)+LN(AD71))*(AH71-V7_BASE_CPR),0)</f>
        <v/>
      </c>
      <c r="AK71" s="28">
        <f>IFERROR(LN(Y71)/(LN(W71)+LN(X71)+LN(Y71)+LN(Z71)+LN(AA71)+LN(AB71)+LN(AC71)+LN(AD71))*(AH71-V7_BASE_CPR),0)</f>
        <v/>
      </c>
      <c r="AL71" s="28">
        <f>IFERROR(LN(Z71)/(LN(W71)+LN(X71)+LN(Y71)+LN(Z71)+LN(AA71)+LN(AB71)+LN(AC71)+LN(AD71))*(AH71-V7_BASE_CPR),0)</f>
        <v/>
      </c>
      <c r="AM71" s="28">
        <f>IFERROR(LN(AA71)/(LN(W71)+LN(X71)+LN(Y71)+LN(Z71)+LN(AA71)+LN(AB71)+LN(AC71)+LN(AD71))*(AH71-V7_BASE_CPR),0)</f>
        <v/>
      </c>
      <c r="AN71" s="28">
        <f>IFERROR(LN(AB71)/(LN(W71)+LN(X71)+LN(Y71)+LN(Z71)+LN(AA71)+LN(AB71)+LN(AC71)+LN(AD71))*(AH71-V7_BASE_CPR),0)</f>
        <v/>
      </c>
      <c r="AO71" s="28">
        <f>IFERROR(LN(AC71)/(LN(W71)+LN(X71)+LN(Y71)+LN(Z71)+LN(AA71)+LN(AB71)+LN(AC71)+LN(AD71))*(AH71-V7_BASE_CPR),0)</f>
        <v/>
      </c>
      <c r="AP71" s="28">
        <f>IFERROR(LN(AD71)/(LN(W71)+LN(X71)+LN(Y71)+LN(Z71)+LN(AA71)+LN(AB71)+LN(AC71)+LN(AD71))*(AH71-V7_BASE_CPR),0)</f>
        <v/>
      </c>
      <c r="AQ71" s="29">
        <f>V7_BASE_CPR+SUM(AI71:AP71)-AH71</f>
        <v/>
      </c>
    </row>
    <row r="72">
      <c r="A72" s="2" t="inlineStr">
        <is>
          <t>36195LZX3_000000004722066</t>
        </is>
      </c>
      <c r="B72" t="inlineStr">
        <is>
          <t>WALKER_PRE21</t>
        </is>
      </c>
      <c r="C72" s="2" t="inlineStr">
        <is>
          <t>36195LZX3</t>
        </is>
      </c>
      <c r="D72" t="inlineStr">
        <is>
          <t>WALKER &amp; DUNLOP, LLC</t>
        </is>
      </c>
      <c r="E72" t="inlineStr">
        <is>
          <t>232</t>
        </is>
      </c>
      <c r="F72" t="inlineStr">
        <is>
          <t>RP</t>
        </is>
      </c>
      <c r="G72" t="n">
        <v>2011</v>
      </c>
      <c r="H72" t="inlineStr">
        <is>
          <t>202602</t>
        </is>
      </c>
      <c r="I72" s="22" t="n">
        <v>1687095.6</v>
      </c>
      <c r="J72" s="23" t="n">
        <v>3.58</v>
      </c>
      <c r="K72" s="24" t="n">
        <v>447</v>
      </c>
      <c r="L72" s="24" t="n">
        <v>1</v>
      </c>
      <c r="M72" t="n">
        <v>176</v>
      </c>
      <c r="N72" s="25" t="n">
        <v>27</v>
      </c>
      <c r="O72" t="n">
        <v>204107</v>
      </c>
      <c r="P72" t="inlineStr"/>
      <c r="Q72" t="inlineStr">
        <is>
          <t>4080</t>
        </is>
      </c>
      <c r="R72" s="26" t="n">
        <v>0.1534090909090909</v>
      </c>
      <c r="S72" t="n">
        <v>0</v>
      </c>
      <c r="T72" s="23">
        <f>LN(1+I72)</f>
        <v/>
      </c>
      <c r="U72" s="24">
        <f>J72*100-K72</f>
        <v/>
      </c>
      <c r="V72" s="24">
        <f>U72-12.5*(L72+1)</f>
        <v/>
      </c>
      <c r="W72" s="26">
        <f>IF(M72&lt;=V7_AGE_KNOT_X_0,V7_AGE_KNOT_Y_0,IF(M72&gt;=V7_AGE_KNOT_X_5,V7_AGE_KNOT_Y_5,IF(M72&lt;=V7_AGE_KNOT_X_1,V7_AGE_KNOT_Y_0+(M72-V7_AGE_KNOT_X_0)/(V7_AGE_KNOT_X_1-V7_AGE_KNOT_X_0)*(V7_AGE_KNOT_Y_1-V7_AGE_KNOT_Y_0),IF(M72&lt;=V7_AGE_KNOT_X_2,V7_AGE_KNOT_Y_1+(M72-V7_AGE_KNOT_X_1)/(V7_AGE_KNOT_X_2-V7_AGE_KNOT_X_1)*(V7_AGE_KNOT_Y_2-V7_AGE_KNOT_Y_1),IF(M72&lt;=V7_AGE_KNOT_X_3,V7_AGE_KNOT_Y_2+(M72-V7_AGE_KNOT_X_2)/(V7_AGE_KNOT_X_3-V7_AGE_KNOT_X_2)*(V7_AGE_KNOT_Y_3-V7_AGE_KNOT_Y_2),IF(M72&lt;=V7_AGE_KNOT_X_4,V7_AGE_KNOT_Y_3+(M72-V7_AGE_KNOT_X_3)/(V7_AGE_KNOT_X_4-V7_AGE_KNOT_X_3)*(V7_AGE_KNOT_Y_4-V7_AGE_KNOT_Y_3),V7_AGE_KNOT_Y_4+(M72-V7_AGE_KNOT_X_4)/(V7_AGE_KNOT_X_5-V7_AGE_KNOT_X_4)*(V7_AGE_KNOT_Y_5-V7_AGE_KNOT_Y_4)))))))</f>
        <v/>
      </c>
      <c r="X72" s="26">
        <f>V7_RATE_FLOOR+V7_RATE_ASYMPTOTE/(1+EXP(-(V72-V7_RATE_MID)/V7_RATE_SLOPE))</f>
        <v/>
      </c>
      <c r="Y72" s="26">
        <f>MAX(V7_SIZE_LOW,MIN(V7_SIZE_HIGH,V7_SIZE_INTERCEPT+V7_SIZE_SLOPE*(T72-V7_SIZE_LOG_ANCHOR)))</f>
        <v/>
      </c>
      <c r="Z72" s="26">
        <f>IF(ISNUMBER(SEARCH("232",E72)),VLOOKUP("232",V7_PROGRAM_TABLE,2,FALSE),IF(ISNUMBER(SEARCH("538",E72)),VLOOKUP("538",V7_PROGRAM_TABLE,2,FALSE),IF(ISNUMBER(SEARCH("223a7",E72)),VLOOKUP("223a7",V7_PROGRAM_TABLE,2,FALSE),IF(ISNUMBER(SEARCH("223f",E72)),VLOOKUP("223f",V7_PROGRAM_TABLE,2,FALSE),V7_PROGRAM_DEFAULT))))</f>
        <v/>
      </c>
      <c r="AA72" s="26">
        <f>IF(S72=1,1+V7_PURPOSE_NC_BUMP*MAX(0,1-ABS(M72-V7_PURPOSE_PEAK_AGE)/V7_PURPOSE_WIDTH),1)</f>
        <v/>
      </c>
      <c r="AB72" s="26">
        <f>IF(AND(IF(OR(P72="",NOT(ISNUMBER(P72))),0,MAX(0,MIN(24,(INT(VALUE(H72)/100)-INT(P72/100))*12+MOD(VALUE(H72),100)-MOD(P72,100))))&gt;0,IF(OR(P72="",NOT(ISNUMBER(P72))),0,MAX(0,MIN(24,(INT(VALUE(H72)/100)-INT(P72/100))*12+MOD(VALUE(H72),100)-MOD(P72,100))))&lt;=12),1+V7_LOCKOUT_AMP*EXP(-(IF(OR(P72="",NOT(ISNUMBER(P72))),0,MAX(0,MIN(24,(INT(VALUE(H72)/100)-INT(P72/100))*12+MOD(VALUE(H72),100)-MOD(P72,100)))))/V7_LOCKOUT_TAU),1)</f>
        <v/>
      </c>
      <c r="AC72" s="26">
        <f>IF(IF(OR(O72="",NOT(ISNUMBER(O72))),360,MAX(0,MIN(480,(INT(O72/100)-INT(VALUE(H72)/100))*12+MOD(O72,100)-MOD(VALUE(H72),100))))&gt;0,1+V7_MTY_AMP*MAX(0,(V7_MTY_CUTOFF-(IF(OR(O72="",NOT(ISNUMBER(O72))),360,MAX(0,MIN(480,(INT(O72/100)-INT(VALUE(H72)/100))*12+MOD(O72,100)-MOD(VALUE(H72),100))))))/V7_MTY_CUTOFF),1)</f>
        <v/>
      </c>
      <c r="AD72" s="26">
        <f>MAX(V7_BURN_FLOOR,1-V7_BURN_SLOPE*MIN(1,MAX(0,R72)))</f>
        <v/>
      </c>
      <c r="AE72" s="26">
        <f>IF(V7_USE_ISSUER=1,IFERROR(VLOOKUP(Q72,V7_ISSUER_TABLE,3,FALSE),1),1)</f>
        <v/>
      </c>
      <c r="AF72" s="26">
        <f>PRODUCT(W72:AE72)</f>
        <v/>
      </c>
      <c r="AG72" s="27">
        <f>MIN(V7_BASE_SMM*AF72,V7_SMM_CAP)</f>
        <v/>
      </c>
      <c r="AH72" s="28">
        <f>1-(1-AG72)^12</f>
        <v/>
      </c>
      <c r="AI72" s="28">
        <f>IFERROR(LN(W72)/(LN(W72)+LN(X72)+LN(Y72)+LN(Z72)+LN(AA72)+LN(AB72)+LN(AC72)+LN(AD72))*(AH72-V7_BASE_CPR),0)</f>
        <v/>
      </c>
      <c r="AJ72" s="28">
        <f>IFERROR(LN(X72)/(LN(W72)+LN(X72)+LN(Y72)+LN(Z72)+LN(AA72)+LN(AB72)+LN(AC72)+LN(AD72))*(AH72-V7_BASE_CPR),0)</f>
        <v/>
      </c>
      <c r="AK72" s="28">
        <f>IFERROR(LN(Y72)/(LN(W72)+LN(X72)+LN(Y72)+LN(Z72)+LN(AA72)+LN(AB72)+LN(AC72)+LN(AD72))*(AH72-V7_BASE_CPR),0)</f>
        <v/>
      </c>
      <c r="AL72" s="28">
        <f>IFERROR(LN(Z72)/(LN(W72)+LN(X72)+LN(Y72)+LN(Z72)+LN(AA72)+LN(AB72)+LN(AC72)+LN(AD72))*(AH72-V7_BASE_CPR),0)</f>
        <v/>
      </c>
      <c r="AM72" s="28">
        <f>IFERROR(LN(AA72)/(LN(W72)+LN(X72)+LN(Y72)+LN(Z72)+LN(AA72)+LN(AB72)+LN(AC72)+LN(AD72))*(AH72-V7_BASE_CPR),0)</f>
        <v/>
      </c>
      <c r="AN72" s="28">
        <f>IFERROR(LN(AB72)/(LN(W72)+LN(X72)+LN(Y72)+LN(Z72)+LN(AA72)+LN(AB72)+LN(AC72)+LN(AD72))*(AH72-V7_BASE_CPR),0)</f>
        <v/>
      </c>
      <c r="AO72" s="28">
        <f>IFERROR(LN(AC72)/(LN(W72)+LN(X72)+LN(Y72)+LN(Z72)+LN(AA72)+LN(AB72)+LN(AC72)+LN(AD72))*(AH72-V7_BASE_CPR),0)</f>
        <v/>
      </c>
      <c r="AP72" s="28">
        <f>IFERROR(LN(AD72)/(LN(W72)+LN(X72)+LN(Y72)+LN(Z72)+LN(AA72)+LN(AB72)+LN(AC72)+LN(AD72))*(AH72-V7_BASE_CPR),0)</f>
        <v/>
      </c>
      <c r="AQ72" s="29">
        <f>V7_BASE_CPR+SUM(AI72:AP72)-AH72</f>
        <v/>
      </c>
    </row>
    <row r="73">
      <c r="A73" s="2" t="inlineStr">
        <is>
          <t>3617NYVC9_000000002311566</t>
        </is>
      </c>
      <c r="B73" t="inlineStr">
        <is>
          <t>WALKER_PRE21</t>
        </is>
      </c>
      <c r="C73" s="2" t="inlineStr">
        <is>
          <t>3617NYVC9</t>
        </is>
      </c>
      <c r="D73" t="inlineStr">
        <is>
          <t>WALKER &amp; DUNLOP, LLC</t>
        </is>
      </c>
      <c r="E73" t="inlineStr">
        <is>
          <t>223f</t>
        </is>
      </c>
      <c r="F73" t="inlineStr">
        <is>
          <t>RP</t>
        </is>
      </c>
      <c r="G73" t="n">
        <v>2020</v>
      </c>
      <c r="H73" t="inlineStr">
        <is>
          <t>202602</t>
        </is>
      </c>
      <c r="I73" s="22" t="n">
        <v>13589483.51</v>
      </c>
      <c r="J73" s="23" t="n">
        <v>2.25</v>
      </c>
      <c r="K73" s="24" t="n">
        <v>447</v>
      </c>
      <c r="L73" s="24" t="n">
        <v>5</v>
      </c>
      <c r="M73" t="n">
        <v>65</v>
      </c>
      <c r="N73" s="25" t="n">
        <v>0</v>
      </c>
      <c r="O73" t="n">
        <v>205510</v>
      </c>
      <c r="P73" t="inlineStr"/>
      <c r="Q73" t="inlineStr">
        <is>
          <t>4080</t>
        </is>
      </c>
      <c r="R73" s="26" t="n">
        <v>0</v>
      </c>
      <c r="S73" t="n">
        <v>0</v>
      </c>
      <c r="T73" s="23">
        <f>LN(1+I73)</f>
        <v/>
      </c>
      <c r="U73" s="24">
        <f>J73*100-K73</f>
        <v/>
      </c>
      <c r="V73" s="24">
        <f>U73-12.5*(L73+1)</f>
        <v/>
      </c>
      <c r="W73" s="26">
        <f>IF(M73&lt;=V7_AGE_KNOT_X_0,V7_AGE_KNOT_Y_0,IF(M73&gt;=V7_AGE_KNOT_X_5,V7_AGE_KNOT_Y_5,IF(M73&lt;=V7_AGE_KNOT_X_1,V7_AGE_KNOT_Y_0+(M73-V7_AGE_KNOT_X_0)/(V7_AGE_KNOT_X_1-V7_AGE_KNOT_X_0)*(V7_AGE_KNOT_Y_1-V7_AGE_KNOT_Y_0),IF(M73&lt;=V7_AGE_KNOT_X_2,V7_AGE_KNOT_Y_1+(M73-V7_AGE_KNOT_X_1)/(V7_AGE_KNOT_X_2-V7_AGE_KNOT_X_1)*(V7_AGE_KNOT_Y_2-V7_AGE_KNOT_Y_1),IF(M73&lt;=V7_AGE_KNOT_X_3,V7_AGE_KNOT_Y_2+(M73-V7_AGE_KNOT_X_2)/(V7_AGE_KNOT_X_3-V7_AGE_KNOT_X_2)*(V7_AGE_KNOT_Y_3-V7_AGE_KNOT_Y_2),IF(M73&lt;=V7_AGE_KNOT_X_4,V7_AGE_KNOT_Y_3+(M73-V7_AGE_KNOT_X_3)/(V7_AGE_KNOT_X_4-V7_AGE_KNOT_X_3)*(V7_AGE_KNOT_Y_4-V7_AGE_KNOT_Y_3),V7_AGE_KNOT_Y_4+(M73-V7_AGE_KNOT_X_4)/(V7_AGE_KNOT_X_5-V7_AGE_KNOT_X_4)*(V7_AGE_KNOT_Y_5-V7_AGE_KNOT_Y_4)))))))</f>
        <v/>
      </c>
      <c r="X73" s="26">
        <f>V7_RATE_FLOOR+V7_RATE_ASYMPTOTE/(1+EXP(-(V73-V7_RATE_MID)/V7_RATE_SLOPE))</f>
        <v/>
      </c>
      <c r="Y73" s="26">
        <f>MAX(V7_SIZE_LOW,MIN(V7_SIZE_HIGH,V7_SIZE_INTERCEPT+V7_SIZE_SLOPE*(T73-V7_SIZE_LOG_ANCHOR)))</f>
        <v/>
      </c>
      <c r="Z73" s="26">
        <f>IF(ISNUMBER(SEARCH("232",E73)),VLOOKUP("232",V7_PROGRAM_TABLE,2,FALSE),IF(ISNUMBER(SEARCH("538",E73)),VLOOKUP("538",V7_PROGRAM_TABLE,2,FALSE),IF(ISNUMBER(SEARCH("223a7",E73)),VLOOKUP("223a7",V7_PROGRAM_TABLE,2,FALSE),IF(ISNUMBER(SEARCH("223f",E73)),VLOOKUP("223f",V7_PROGRAM_TABLE,2,FALSE),V7_PROGRAM_DEFAULT))))</f>
        <v/>
      </c>
      <c r="AA73" s="26">
        <f>IF(S73=1,1+V7_PURPOSE_NC_BUMP*MAX(0,1-ABS(M73-V7_PURPOSE_PEAK_AGE)/V7_PURPOSE_WIDTH),1)</f>
        <v/>
      </c>
      <c r="AB73" s="26">
        <f>IF(AND(IF(OR(P73="",NOT(ISNUMBER(P73))),0,MAX(0,MIN(24,(INT(VALUE(H73)/100)-INT(P73/100))*12+MOD(VALUE(H73),100)-MOD(P73,100))))&gt;0,IF(OR(P73="",NOT(ISNUMBER(P73))),0,MAX(0,MIN(24,(INT(VALUE(H73)/100)-INT(P73/100))*12+MOD(VALUE(H73),100)-MOD(P73,100))))&lt;=12),1+V7_LOCKOUT_AMP*EXP(-(IF(OR(P73="",NOT(ISNUMBER(P73))),0,MAX(0,MIN(24,(INT(VALUE(H73)/100)-INT(P73/100))*12+MOD(VALUE(H73),100)-MOD(P73,100)))))/V7_LOCKOUT_TAU),1)</f>
        <v/>
      </c>
      <c r="AC73" s="26">
        <f>IF(IF(OR(O73="",NOT(ISNUMBER(O73))),360,MAX(0,MIN(480,(INT(O73/100)-INT(VALUE(H73)/100))*12+MOD(O73,100)-MOD(VALUE(H73),100))))&gt;0,1+V7_MTY_AMP*MAX(0,(V7_MTY_CUTOFF-(IF(OR(O73="",NOT(ISNUMBER(O73))),360,MAX(0,MIN(480,(INT(O73/100)-INT(VALUE(H73)/100))*12+MOD(O73,100)-MOD(VALUE(H73),100))))))/V7_MTY_CUTOFF),1)</f>
        <v/>
      </c>
      <c r="AD73" s="26">
        <f>MAX(V7_BURN_FLOOR,1-V7_BURN_SLOPE*MIN(1,MAX(0,R73)))</f>
        <v/>
      </c>
      <c r="AE73" s="26">
        <f>IF(V7_USE_ISSUER=1,IFERROR(VLOOKUP(Q73,V7_ISSUER_TABLE,3,FALSE),1),1)</f>
        <v/>
      </c>
      <c r="AF73" s="26">
        <f>PRODUCT(W73:AE73)</f>
        <v/>
      </c>
      <c r="AG73" s="27">
        <f>MIN(V7_BASE_SMM*AF73,V7_SMM_CAP)</f>
        <v/>
      </c>
      <c r="AH73" s="28">
        <f>1-(1-AG73)^12</f>
        <v/>
      </c>
      <c r="AI73" s="28">
        <f>IFERROR(LN(W73)/(LN(W73)+LN(X73)+LN(Y73)+LN(Z73)+LN(AA73)+LN(AB73)+LN(AC73)+LN(AD73))*(AH73-V7_BASE_CPR),0)</f>
        <v/>
      </c>
      <c r="AJ73" s="28">
        <f>IFERROR(LN(X73)/(LN(W73)+LN(X73)+LN(Y73)+LN(Z73)+LN(AA73)+LN(AB73)+LN(AC73)+LN(AD73))*(AH73-V7_BASE_CPR),0)</f>
        <v/>
      </c>
      <c r="AK73" s="28">
        <f>IFERROR(LN(Y73)/(LN(W73)+LN(X73)+LN(Y73)+LN(Z73)+LN(AA73)+LN(AB73)+LN(AC73)+LN(AD73))*(AH73-V7_BASE_CPR),0)</f>
        <v/>
      </c>
      <c r="AL73" s="28">
        <f>IFERROR(LN(Z73)/(LN(W73)+LN(X73)+LN(Y73)+LN(Z73)+LN(AA73)+LN(AB73)+LN(AC73)+LN(AD73))*(AH73-V7_BASE_CPR),0)</f>
        <v/>
      </c>
      <c r="AM73" s="28">
        <f>IFERROR(LN(AA73)/(LN(W73)+LN(X73)+LN(Y73)+LN(Z73)+LN(AA73)+LN(AB73)+LN(AC73)+LN(AD73))*(AH73-V7_BASE_CPR),0)</f>
        <v/>
      </c>
      <c r="AN73" s="28">
        <f>IFERROR(LN(AB73)/(LN(W73)+LN(X73)+LN(Y73)+LN(Z73)+LN(AA73)+LN(AB73)+LN(AC73)+LN(AD73))*(AH73-V7_BASE_CPR),0)</f>
        <v/>
      </c>
      <c r="AO73" s="28">
        <f>IFERROR(LN(AC73)/(LN(W73)+LN(X73)+LN(Y73)+LN(Z73)+LN(AA73)+LN(AB73)+LN(AC73)+LN(AD73))*(AH73-V7_BASE_CPR),0)</f>
        <v/>
      </c>
      <c r="AP73" s="28">
        <f>IFERROR(LN(AD73)/(LN(W73)+LN(X73)+LN(Y73)+LN(Z73)+LN(AA73)+LN(AB73)+LN(AC73)+LN(AD73))*(AH73-V7_BASE_CPR),0)</f>
        <v/>
      </c>
      <c r="AQ73" s="29">
        <f>V7_BASE_CPR+SUM(AI73:AP73)-AH73</f>
        <v/>
      </c>
    </row>
    <row r="74">
      <c r="A74" s="2" t="inlineStr">
        <is>
          <t>3617N1EE6_000000004211125</t>
        </is>
      </c>
      <c r="B74" t="inlineStr">
        <is>
          <t>WALKER_PRE21</t>
        </is>
      </c>
      <c r="C74" s="2" t="inlineStr">
        <is>
          <t>3617N1EE6</t>
        </is>
      </c>
      <c r="D74" t="inlineStr">
        <is>
          <t>WALKER &amp; DUNLOP, LLC</t>
        </is>
      </c>
      <c r="E74" t="inlineStr">
        <is>
          <t>223f</t>
        </is>
      </c>
      <c r="F74" t="inlineStr">
        <is>
          <t>RP</t>
        </is>
      </c>
      <c r="G74" t="n">
        <v>2009</v>
      </c>
      <c r="H74" t="inlineStr">
        <is>
          <t>202602</t>
        </is>
      </c>
      <c r="I74" s="22" t="n">
        <v>2401815.05</v>
      </c>
      <c r="J74" s="23" t="n">
        <v>3.65</v>
      </c>
      <c r="K74" s="24" t="n">
        <v>447</v>
      </c>
      <c r="L74" s="24" t="n">
        <v>5</v>
      </c>
      <c r="M74" t="n">
        <v>203</v>
      </c>
      <c r="N74" s="25" t="n">
        <v>21</v>
      </c>
      <c r="O74" t="n">
        <v>204404</v>
      </c>
      <c r="P74" t="inlineStr"/>
      <c r="Q74" t="inlineStr">
        <is>
          <t>4080</t>
        </is>
      </c>
      <c r="R74" s="26" t="n">
        <v>0.103448275862069</v>
      </c>
      <c r="S74" t="n">
        <v>0</v>
      </c>
      <c r="T74" s="23">
        <f>LN(1+I74)</f>
        <v/>
      </c>
      <c r="U74" s="24">
        <f>J74*100-K74</f>
        <v/>
      </c>
      <c r="V74" s="24">
        <f>U74-12.5*(L74+1)</f>
        <v/>
      </c>
      <c r="W74" s="26">
        <f>IF(M74&lt;=V7_AGE_KNOT_X_0,V7_AGE_KNOT_Y_0,IF(M74&gt;=V7_AGE_KNOT_X_5,V7_AGE_KNOT_Y_5,IF(M74&lt;=V7_AGE_KNOT_X_1,V7_AGE_KNOT_Y_0+(M74-V7_AGE_KNOT_X_0)/(V7_AGE_KNOT_X_1-V7_AGE_KNOT_X_0)*(V7_AGE_KNOT_Y_1-V7_AGE_KNOT_Y_0),IF(M74&lt;=V7_AGE_KNOT_X_2,V7_AGE_KNOT_Y_1+(M74-V7_AGE_KNOT_X_1)/(V7_AGE_KNOT_X_2-V7_AGE_KNOT_X_1)*(V7_AGE_KNOT_Y_2-V7_AGE_KNOT_Y_1),IF(M74&lt;=V7_AGE_KNOT_X_3,V7_AGE_KNOT_Y_2+(M74-V7_AGE_KNOT_X_2)/(V7_AGE_KNOT_X_3-V7_AGE_KNOT_X_2)*(V7_AGE_KNOT_Y_3-V7_AGE_KNOT_Y_2),IF(M74&lt;=V7_AGE_KNOT_X_4,V7_AGE_KNOT_Y_3+(M74-V7_AGE_KNOT_X_3)/(V7_AGE_KNOT_X_4-V7_AGE_KNOT_X_3)*(V7_AGE_KNOT_Y_4-V7_AGE_KNOT_Y_3),V7_AGE_KNOT_Y_4+(M74-V7_AGE_KNOT_X_4)/(V7_AGE_KNOT_X_5-V7_AGE_KNOT_X_4)*(V7_AGE_KNOT_Y_5-V7_AGE_KNOT_Y_4)))))))</f>
        <v/>
      </c>
      <c r="X74" s="26">
        <f>V7_RATE_FLOOR+V7_RATE_ASYMPTOTE/(1+EXP(-(V74-V7_RATE_MID)/V7_RATE_SLOPE))</f>
        <v/>
      </c>
      <c r="Y74" s="26">
        <f>MAX(V7_SIZE_LOW,MIN(V7_SIZE_HIGH,V7_SIZE_INTERCEPT+V7_SIZE_SLOPE*(T74-V7_SIZE_LOG_ANCHOR)))</f>
        <v/>
      </c>
      <c r="Z74" s="26">
        <f>IF(ISNUMBER(SEARCH("232",E74)),VLOOKUP("232",V7_PROGRAM_TABLE,2,FALSE),IF(ISNUMBER(SEARCH("538",E74)),VLOOKUP("538",V7_PROGRAM_TABLE,2,FALSE),IF(ISNUMBER(SEARCH("223a7",E74)),VLOOKUP("223a7",V7_PROGRAM_TABLE,2,FALSE),IF(ISNUMBER(SEARCH("223f",E74)),VLOOKUP("223f",V7_PROGRAM_TABLE,2,FALSE),V7_PROGRAM_DEFAULT))))</f>
        <v/>
      </c>
      <c r="AA74" s="26">
        <f>IF(S74=1,1+V7_PURPOSE_NC_BUMP*MAX(0,1-ABS(M74-V7_PURPOSE_PEAK_AGE)/V7_PURPOSE_WIDTH),1)</f>
        <v/>
      </c>
      <c r="AB74" s="26">
        <f>IF(AND(IF(OR(P74="",NOT(ISNUMBER(P74))),0,MAX(0,MIN(24,(INT(VALUE(H74)/100)-INT(P74/100))*12+MOD(VALUE(H74),100)-MOD(P74,100))))&gt;0,IF(OR(P74="",NOT(ISNUMBER(P74))),0,MAX(0,MIN(24,(INT(VALUE(H74)/100)-INT(P74/100))*12+MOD(VALUE(H74),100)-MOD(P74,100))))&lt;=12),1+V7_LOCKOUT_AMP*EXP(-(IF(OR(P74="",NOT(ISNUMBER(P74))),0,MAX(0,MIN(24,(INT(VALUE(H74)/100)-INT(P74/100))*12+MOD(VALUE(H74),100)-MOD(P74,100)))))/V7_LOCKOUT_TAU),1)</f>
        <v/>
      </c>
      <c r="AC74" s="26">
        <f>IF(IF(OR(O74="",NOT(ISNUMBER(O74))),360,MAX(0,MIN(480,(INT(O74/100)-INT(VALUE(H74)/100))*12+MOD(O74,100)-MOD(VALUE(H74),100))))&gt;0,1+V7_MTY_AMP*MAX(0,(V7_MTY_CUTOFF-(IF(OR(O74="",NOT(ISNUMBER(O74))),360,MAX(0,MIN(480,(INT(O74/100)-INT(VALUE(H74)/100))*12+MOD(O74,100)-MOD(VALUE(H74),100))))))/V7_MTY_CUTOFF),1)</f>
        <v/>
      </c>
      <c r="AD74" s="26">
        <f>MAX(V7_BURN_FLOOR,1-V7_BURN_SLOPE*MIN(1,MAX(0,R74)))</f>
        <v/>
      </c>
      <c r="AE74" s="26">
        <f>IF(V7_USE_ISSUER=1,IFERROR(VLOOKUP(Q74,V7_ISSUER_TABLE,3,FALSE),1),1)</f>
        <v/>
      </c>
      <c r="AF74" s="26">
        <f>PRODUCT(W74:AE74)</f>
        <v/>
      </c>
      <c r="AG74" s="27">
        <f>MIN(V7_BASE_SMM*AF74,V7_SMM_CAP)</f>
        <v/>
      </c>
      <c r="AH74" s="28">
        <f>1-(1-AG74)^12</f>
        <v/>
      </c>
      <c r="AI74" s="28">
        <f>IFERROR(LN(W74)/(LN(W74)+LN(X74)+LN(Y74)+LN(Z74)+LN(AA74)+LN(AB74)+LN(AC74)+LN(AD74))*(AH74-V7_BASE_CPR),0)</f>
        <v/>
      </c>
      <c r="AJ74" s="28">
        <f>IFERROR(LN(X74)/(LN(W74)+LN(X74)+LN(Y74)+LN(Z74)+LN(AA74)+LN(AB74)+LN(AC74)+LN(AD74))*(AH74-V7_BASE_CPR),0)</f>
        <v/>
      </c>
      <c r="AK74" s="28">
        <f>IFERROR(LN(Y74)/(LN(W74)+LN(X74)+LN(Y74)+LN(Z74)+LN(AA74)+LN(AB74)+LN(AC74)+LN(AD74))*(AH74-V7_BASE_CPR),0)</f>
        <v/>
      </c>
      <c r="AL74" s="28">
        <f>IFERROR(LN(Z74)/(LN(W74)+LN(X74)+LN(Y74)+LN(Z74)+LN(AA74)+LN(AB74)+LN(AC74)+LN(AD74))*(AH74-V7_BASE_CPR),0)</f>
        <v/>
      </c>
      <c r="AM74" s="28">
        <f>IFERROR(LN(AA74)/(LN(W74)+LN(X74)+LN(Y74)+LN(Z74)+LN(AA74)+LN(AB74)+LN(AC74)+LN(AD74))*(AH74-V7_BASE_CPR),0)</f>
        <v/>
      </c>
      <c r="AN74" s="28">
        <f>IFERROR(LN(AB74)/(LN(W74)+LN(X74)+LN(Y74)+LN(Z74)+LN(AA74)+LN(AB74)+LN(AC74)+LN(AD74))*(AH74-V7_BASE_CPR),0)</f>
        <v/>
      </c>
      <c r="AO74" s="28">
        <f>IFERROR(LN(AC74)/(LN(W74)+LN(X74)+LN(Y74)+LN(Z74)+LN(AA74)+LN(AB74)+LN(AC74)+LN(AD74))*(AH74-V7_BASE_CPR),0)</f>
        <v/>
      </c>
      <c r="AP74" s="28">
        <f>IFERROR(LN(AD74)/(LN(W74)+LN(X74)+LN(Y74)+LN(Z74)+LN(AA74)+LN(AB74)+LN(AC74)+LN(AD74))*(AH74-V7_BASE_CPR),0)</f>
        <v/>
      </c>
      <c r="AQ74" s="29">
        <f>V7_BASE_CPR+SUM(AI74:AP74)-AH74</f>
        <v/>
      </c>
    </row>
    <row r="75">
      <c r="A75" s="2" t="inlineStr">
        <is>
          <t>3617UDKP0_000000007111196</t>
        </is>
      </c>
      <c r="B75" t="inlineStr">
        <is>
          <t>WALKER_PRE21</t>
        </is>
      </c>
      <c r="C75" s="2" t="inlineStr">
        <is>
          <t>3617UDKP0</t>
        </is>
      </c>
      <c r="D75" t="inlineStr">
        <is>
          <t>WALKER &amp; DUNLOP, LLC</t>
        </is>
      </c>
      <c r="E75" t="inlineStr">
        <is>
          <t>223f</t>
        </is>
      </c>
      <c r="F75" t="inlineStr">
        <is>
          <t>RP</t>
        </is>
      </c>
      <c r="G75" t="n">
        <v>2010</v>
      </c>
      <c r="H75" t="inlineStr">
        <is>
          <t>202602</t>
        </is>
      </c>
      <c r="I75" s="22" t="n">
        <v>3458376.57</v>
      </c>
      <c r="J75" s="23" t="n">
        <v>3.49</v>
      </c>
      <c r="K75" s="24" t="n">
        <v>447</v>
      </c>
      <c r="L75" s="24" t="n">
        <v>6</v>
      </c>
      <c r="M75" t="n">
        <v>190</v>
      </c>
      <c r="N75" s="25" t="n">
        <v>12</v>
      </c>
      <c r="O75" t="n">
        <v>204505</v>
      </c>
      <c r="P75" t="inlineStr"/>
      <c r="Q75" t="inlineStr">
        <is>
          <t>4080</t>
        </is>
      </c>
      <c r="R75" s="26" t="n">
        <v>0.06315789473684211</v>
      </c>
      <c r="S75" t="n">
        <v>0</v>
      </c>
      <c r="T75" s="23">
        <f>LN(1+I75)</f>
        <v/>
      </c>
      <c r="U75" s="24">
        <f>J75*100-K75</f>
        <v/>
      </c>
      <c r="V75" s="24">
        <f>U75-12.5*(L75+1)</f>
        <v/>
      </c>
      <c r="W75" s="26">
        <f>IF(M75&lt;=V7_AGE_KNOT_X_0,V7_AGE_KNOT_Y_0,IF(M75&gt;=V7_AGE_KNOT_X_5,V7_AGE_KNOT_Y_5,IF(M75&lt;=V7_AGE_KNOT_X_1,V7_AGE_KNOT_Y_0+(M75-V7_AGE_KNOT_X_0)/(V7_AGE_KNOT_X_1-V7_AGE_KNOT_X_0)*(V7_AGE_KNOT_Y_1-V7_AGE_KNOT_Y_0),IF(M75&lt;=V7_AGE_KNOT_X_2,V7_AGE_KNOT_Y_1+(M75-V7_AGE_KNOT_X_1)/(V7_AGE_KNOT_X_2-V7_AGE_KNOT_X_1)*(V7_AGE_KNOT_Y_2-V7_AGE_KNOT_Y_1),IF(M75&lt;=V7_AGE_KNOT_X_3,V7_AGE_KNOT_Y_2+(M75-V7_AGE_KNOT_X_2)/(V7_AGE_KNOT_X_3-V7_AGE_KNOT_X_2)*(V7_AGE_KNOT_Y_3-V7_AGE_KNOT_Y_2),IF(M75&lt;=V7_AGE_KNOT_X_4,V7_AGE_KNOT_Y_3+(M75-V7_AGE_KNOT_X_3)/(V7_AGE_KNOT_X_4-V7_AGE_KNOT_X_3)*(V7_AGE_KNOT_Y_4-V7_AGE_KNOT_Y_3),V7_AGE_KNOT_Y_4+(M75-V7_AGE_KNOT_X_4)/(V7_AGE_KNOT_X_5-V7_AGE_KNOT_X_4)*(V7_AGE_KNOT_Y_5-V7_AGE_KNOT_Y_4)))))))</f>
        <v/>
      </c>
      <c r="X75" s="26">
        <f>V7_RATE_FLOOR+V7_RATE_ASYMPTOTE/(1+EXP(-(V75-V7_RATE_MID)/V7_RATE_SLOPE))</f>
        <v/>
      </c>
      <c r="Y75" s="26">
        <f>MAX(V7_SIZE_LOW,MIN(V7_SIZE_HIGH,V7_SIZE_INTERCEPT+V7_SIZE_SLOPE*(T75-V7_SIZE_LOG_ANCHOR)))</f>
        <v/>
      </c>
      <c r="Z75" s="26">
        <f>IF(ISNUMBER(SEARCH("232",E75)),VLOOKUP("232",V7_PROGRAM_TABLE,2,FALSE),IF(ISNUMBER(SEARCH("538",E75)),VLOOKUP("538",V7_PROGRAM_TABLE,2,FALSE),IF(ISNUMBER(SEARCH("223a7",E75)),VLOOKUP("223a7",V7_PROGRAM_TABLE,2,FALSE),IF(ISNUMBER(SEARCH("223f",E75)),VLOOKUP("223f",V7_PROGRAM_TABLE,2,FALSE),V7_PROGRAM_DEFAULT))))</f>
        <v/>
      </c>
      <c r="AA75" s="26">
        <f>IF(S75=1,1+V7_PURPOSE_NC_BUMP*MAX(0,1-ABS(M75-V7_PURPOSE_PEAK_AGE)/V7_PURPOSE_WIDTH),1)</f>
        <v/>
      </c>
      <c r="AB75" s="26">
        <f>IF(AND(IF(OR(P75="",NOT(ISNUMBER(P75))),0,MAX(0,MIN(24,(INT(VALUE(H75)/100)-INT(P75/100))*12+MOD(VALUE(H75),100)-MOD(P75,100))))&gt;0,IF(OR(P75="",NOT(ISNUMBER(P75))),0,MAX(0,MIN(24,(INT(VALUE(H75)/100)-INT(P75/100))*12+MOD(VALUE(H75),100)-MOD(P75,100))))&lt;=12),1+V7_LOCKOUT_AMP*EXP(-(IF(OR(P75="",NOT(ISNUMBER(P75))),0,MAX(0,MIN(24,(INT(VALUE(H75)/100)-INT(P75/100))*12+MOD(VALUE(H75),100)-MOD(P75,100)))))/V7_LOCKOUT_TAU),1)</f>
        <v/>
      </c>
      <c r="AC75" s="26">
        <f>IF(IF(OR(O75="",NOT(ISNUMBER(O75))),360,MAX(0,MIN(480,(INT(O75/100)-INT(VALUE(H75)/100))*12+MOD(O75,100)-MOD(VALUE(H75),100))))&gt;0,1+V7_MTY_AMP*MAX(0,(V7_MTY_CUTOFF-(IF(OR(O75="",NOT(ISNUMBER(O75))),360,MAX(0,MIN(480,(INT(O75/100)-INT(VALUE(H75)/100))*12+MOD(O75,100)-MOD(VALUE(H75),100))))))/V7_MTY_CUTOFF),1)</f>
        <v/>
      </c>
      <c r="AD75" s="26">
        <f>MAX(V7_BURN_FLOOR,1-V7_BURN_SLOPE*MIN(1,MAX(0,R75)))</f>
        <v/>
      </c>
      <c r="AE75" s="26">
        <f>IF(V7_USE_ISSUER=1,IFERROR(VLOOKUP(Q75,V7_ISSUER_TABLE,3,FALSE),1),1)</f>
        <v/>
      </c>
      <c r="AF75" s="26">
        <f>PRODUCT(W75:AE75)</f>
        <v/>
      </c>
      <c r="AG75" s="27">
        <f>MIN(V7_BASE_SMM*AF75,V7_SMM_CAP)</f>
        <v/>
      </c>
      <c r="AH75" s="28">
        <f>1-(1-AG75)^12</f>
        <v/>
      </c>
      <c r="AI75" s="28">
        <f>IFERROR(LN(W75)/(LN(W75)+LN(X75)+LN(Y75)+LN(Z75)+LN(AA75)+LN(AB75)+LN(AC75)+LN(AD75))*(AH75-V7_BASE_CPR),0)</f>
        <v/>
      </c>
      <c r="AJ75" s="28">
        <f>IFERROR(LN(X75)/(LN(W75)+LN(X75)+LN(Y75)+LN(Z75)+LN(AA75)+LN(AB75)+LN(AC75)+LN(AD75))*(AH75-V7_BASE_CPR),0)</f>
        <v/>
      </c>
      <c r="AK75" s="28">
        <f>IFERROR(LN(Y75)/(LN(W75)+LN(X75)+LN(Y75)+LN(Z75)+LN(AA75)+LN(AB75)+LN(AC75)+LN(AD75))*(AH75-V7_BASE_CPR),0)</f>
        <v/>
      </c>
      <c r="AL75" s="28">
        <f>IFERROR(LN(Z75)/(LN(W75)+LN(X75)+LN(Y75)+LN(Z75)+LN(AA75)+LN(AB75)+LN(AC75)+LN(AD75))*(AH75-V7_BASE_CPR),0)</f>
        <v/>
      </c>
      <c r="AM75" s="28">
        <f>IFERROR(LN(AA75)/(LN(W75)+LN(X75)+LN(Y75)+LN(Z75)+LN(AA75)+LN(AB75)+LN(AC75)+LN(AD75))*(AH75-V7_BASE_CPR),0)</f>
        <v/>
      </c>
      <c r="AN75" s="28">
        <f>IFERROR(LN(AB75)/(LN(W75)+LN(X75)+LN(Y75)+LN(Z75)+LN(AA75)+LN(AB75)+LN(AC75)+LN(AD75))*(AH75-V7_BASE_CPR),0)</f>
        <v/>
      </c>
      <c r="AO75" s="28">
        <f>IFERROR(LN(AC75)/(LN(W75)+LN(X75)+LN(Y75)+LN(Z75)+LN(AA75)+LN(AB75)+LN(AC75)+LN(AD75))*(AH75-V7_BASE_CPR),0)</f>
        <v/>
      </c>
      <c r="AP75" s="28">
        <f>IFERROR(LN(AD75)/(LN(W75)+LN(X75)+LN(Y75)+LN(Z75)+LN(AA75)+LN(AB75)+LN(AC75)+LN(AD75))*(AH75-V7_BASE_CPR),0)</f>
        <v/>
      </c>
      <c r="AQ75" s="29">
        <f>V7_BASE_CPR+SUM(AI75:AP75)-AH75</f>
        <v/>
      </c>
    </row>
    <row r="76">
      <c r="A76" s="2" t="inlineStr">
        <is>
          <t>36179ARA6_000000010222049</t>
        </is>
      </c>
      <c r="B76" t="inlineStr">
        <is>
          <t>WALKER_PRE21</t>
        </is>
      </c>
      <c r="C76" s="2" t="inlineStr">
        <is>
          <t>36179ARA6</t>
        </is>
      </c>
      <c r="D76" t="inlineStr">
        <is>
          <t>WALKER &amp; DUNLOP, LLC</t>
        </is>
      </c>
      <c r="E76" t="inlineStr">
        <is>
          <t>232</t>
        </is>
      </c>
      <c r="F76" t="inlineStr">
        <is>
          <t>RP</t>
        </is>
      </c>
      <c r="G76" t="n">
        <v>2012</v>
      </c>
      <c r="H76" t="inlineStr">
        <is>
          <t>202602</t>
        </is>
      </c>
      <c r="I76" s="22" t="n">
        <v>9942041.35</v>
      </c>
      <c r="J76" s="23" t="n">
        <v>3.35</v>
      </c>
      <c r="K76" s="24" t="n">
        <v>447</v>
      </c>
      <c r="L76" s="24" t="n">
        <v>0</v>
      </c>
      <c r="M76" t="n">
        <v>158</v>
      </c>
      <c r="N76" s="25" t="n">
        <v>32</v>
      </c>
      <c r="O76" t="n">
        <v>204801</v>
      </c>
      <c r="P76" t="n">
        <v>201401</v>
      </c>
      <c r="Q76" t="inlineStr">
        <is>
          <t>4080</t>
        </is>
      </c>
      <c r="R76" s="26" t="n">
        <v>0.2025316455696203</v>
      </c>
      <c r="S76" t="n">
        <v>0</v>
      </c>
      <c r="T76" s="23">
        <f>LN(1+I76)</f>
        <v/>
      </c>
      <c r="U76" s="24">
        <f>J76*100-K76</f>
        <v/>
      </c>
      <c r="V76" s="24">
        <f>U76-12.5*(L76+1)</f>
        <v/>
      </c>
      <c r="W76" s="26">
        <f>IF(M76&lt;=V7_AGE_KNOT_X_0,V7_AGE_KNOT_Y_0,IF(M76&gt;=V7_AGE_KNOT_X_5,V7_AGE_KNOT_Y_5,IF(M76&lt;=V7_AGE_KNOT_X_1,V7_AGE_KNOT_Y_0+(M76-V7_AGE_KNOT_X_0)/(V7_AGE_KNOT_X_1-V7_AGE_KNOT_X_0)*(V7_AGE_KNOT_Y_1-V7_AGE_KNOT_Y_0),IF(M76&lt;=V7_AGE_KNOT_X_2,V7_AGE_KNOT_Y_1+(M76-V7_AGE_KNOT_X_1)/(V7_AGE_KNOT_X_2-V7_AGE_KNOT_X_1)*(V7_AGE_KNOT_Y_2-V7_AGE_KNOT_Y_1),IF(M76&lt;=V7_AGE_KNOT_X_3,V7_AGE_KNOT_Y_2+(M76-V7_AGE_KNOT_X_2)/(V7_AGE_KNOT_X_3-V7_AGE_KNOT_X_2)*(V7_AGE_KNOT_Y_3-V7_AGE_KNOT_Y_2),IF(M76&lt;=V7_AGE_KNOT_X_4,V7_AGE_KNOT_Y_3+(M76-V7_AGE_KNOT_X_3)/(V7_AGE_KNOT_X_4-V7_AGE_KNOT_X_3)*(V7_AGE_KNOT_Y_4-V7_AGE_KNOT_Y_3),V7_AGE_KNOT_Y_4+(M76-V7_AGE_KNOT_X_4)/(V7_AGE_KNOT_X_5-V7_AGE_KNOT_X_4)*(V7_AGE_KNOT_Y_5-V7_AGE_KNOT_Y_4)))))))</f>
        <v/>
      </c>
      <c r="X76" s="26">
        <f>V7_RATE_FLOOR+V7_RATE_ASYMPTOTE/(1+EXP(-(V76-V7_RATE_MID)/V7_RATE_SLOPE))</f>
        <v/>
      </c>
      <c r="Y76" s="26">
        <f>MAX(V7_SIZE_LOW,MIN(V7_SIZE_HIGH,V7_SIZE_INTERCEPT+V7_SIZE_SLOPE*(T76-V7_SIZE_LOG_ANCHOR)))</f>
        <v/>
      </c>
      <c r="Z76" s="26">
        <f>IF(ISNUMBER(SEARCH("232",E76)),VLOOKUP("232",V7_PROGRAM_TABLE,2,FALSE),IF(ISNUMBER(SEARCH("538",E76)),VLOOKUP("538",V7_PROGRAM_TABLE,2,FALSE),IF(ISNUMBER(SEARCH("223a7",E76)),VLOOKUP("223a7",V7_PROGRAM_TABLE,2,FALSE),IF(ISNUMBER(SEARCH("223f",E76)),VLOOKUP("223f",V7_PROGRAM_TABLE,2,FALSE),V7_PROGRAM_DEFAULT))))</f>
        <v/>
      </c>
      <c r="AA76" s="26">
        <f>IF(S76=1,1+V7_PURPOSE_NC_BUMP*MAX(0,1-ABS(M76-V7_PURPOSE_PEAK_AGE)/V7_PURPOSE_WIDTH),1)</f>
        <v/>
      </c>
      <c r="AB76" s="26">
        <f>IF(AND(IF(OR(P76="",NOT(ISNUMBER(P76))),0,MAX(0,MIN(24,(INT(VALUE(H76)/100)-INT(P76/100))*12+MOD(VALUE(H76),100)-MOD(P76,100))))&gt;0,IF(OR(P76="",NOT(ISNUMBER(P76))),0,MAX(0,MIN(24,(INT(VALUE(H76)/100)-INT(P76/100))*12+MOD(VALUE(H76),100)-MOD(P76,100))))&lt;=12),1+V7_LOCKOUT_AMP*EXP(-(IF(OR(P76="",NOT(ISNUMBER(P76))),0,MAX(0,MIN(24,(INT(VALUE(H76)/100)-INT(P76/100))*12+MOD(VALUE(H76),100)-MOD(P76,100)))))/V7_LOCKOUT_TAU),1)</f>
        <v/>
      </c>
      <c r="AC76" s="26">
        <f>IF(IF(OR(O76="",NOT(ISNUMBER(O76))),360,MAX(0,MIN(480,(INT(O76/100)-INT(VALUE(H76)/100))*12+MOD(O76,100)-MOD(VALUE(H76),100))))&gt;0,1+V7_MTY_AMP*MAX(0,(V7_MTY_CUTOFF-(IF(OR(O76="",NOT(ISNUMBER(O76))),360,MAX(0,MIN(480,(INT(O76/100)-INT(VALUE(H76)/100))*12+MOD(O76,100)-MOD(VALUE(H76),100))))))/V7_MTY_CUTOFF),1)</f>
        <v/>
      </c>
      <c r="AD76" s="26">
        <f>MAX(V7_BURN_FLOOR,1-V7_BURN_SLOPE*MIN(1,MAX(0,R76)))</f>
        <v/>
      </c>
      <c r="AE76" s="26">
        <f>IF(V7_USE_ISSUER=1,IFERROR(VLOOKUP(Q76,V7_ISSUER_TABLE,3,FALSE),1),1)</f>
        <v/>
      </c>
      <c r="AF76" s="26">
        <f>PRODUCT(W76:AE76)</f>
        <v/>
      </c>
      <c r="AG76" s="27">
        <f>MIN(V7_BASE_SMM*AF76,V7_SMM_CAP)</f>
        <v/>
      </c>
      <c r="AH76" s="28">
        <f>1-(1-AG76)^12</f>
        <v/>
      </c>
      <c r="AI76" s="28">
        <f>IFERROR(LN(W76)/(LN(W76)+LN(X76)+LN(Y76)+LN(Z76)+LN(AA76)+LN(AB76)+LN(AC76)+LN(AD76))*(AH76-V7_BASE_CPR),0)</f>
        <v/>
      </c>
      <c r="AJ76" s="28">
        <f>IFERROR(LN(X76)/(LN(W76)+LN(X76)+LN(Y76)+LN(Z76)+LN(AA76)+LN(AB76)+LN(AC76)+LN(AD76))*(AH76-V7_BASE_CPR),0)</f>
        <v/>
      </c>
      <c r="AK76" s="28">
        <f>IFERROR(LN(Y76)/(LN(W76)+LN(X76)+LN(Y76)+LN(Z76)+LN(AA76)+LN(AB76)+LN(AC76)+LN(AD76))*(AH76-V7_BASE_CPR),0)</f>
        <v/>
      </c>
      <c r="AL76" s="28">
        <f>IFERROR(LN(Z76)/(LN(W76)+LN(X76)+LN(Y76)+LN(Z76)+LN(AA76)+LN(AB76)+LN(AC76)+LN(AD76))*(AH76-V7_BASE_CPR),0)</f>
        <v/>
      </c>
      <c r="AM76" s="28">
        <f>IFERROR(LN(AA76)/(LN(W76)+LN(X76)+LN(Y76)+LN(Z76)+LN(AA76)+LN(AB76)+LN(AC76)+LN(AD76))*(AH76-V7_BASE_CPR),0)</f>
        <v/>
      </c>
      <c r="AN76" s="28">
        <f>IFERROR(LN(AB76)/(LN(W76)+LN(X76)+LN(Y76)+LN(Z76)+LN(AA76)+LN(AB76)+LN(AC76)+LN(AD76))*(AH76-V7_BASE_CPR),0)</f>
        <v/>
      </c>
      <c r="AO76" s="28">
        <f>IFERROR(LN(AC76)/(LN(W76)+LN(X76)+LN(Y76)+LN(Z76)+LN(AA76)+LN(AB76)+LN(AC76)+LN(AD76))*(AH76-V7_BASE_CPR),0)</f>
        <v/>
      </c>
      <c r="AP76" s="28">
        <f>IFERROR(LN(AD76)/(LN(W76)+LN(X76)+LN(Y76)+LN(Z76)+LN(AA76)+LN(AB76)+LN(AC76)+LN(AD76))*(AH76-V7_BASE_CPR),0)</f>
        <v/>
      </c>
      <c r="AQ76" s="29">
        <f>V7_BASE_CPR+SUM(AI76:AP76)-AH76</f>
        <v/>
      </c>
    </row>
    <row r="77">
      <c r="A77" s="2" t="inlineStr">
        <is>
          <t>36200EL25_000000001711151</t>
        </is>
      </c>
      <c r="B77" t="inlineStr">
        <is>
          <t>WALKER_PRE21</t>
        </is>
      </c>
      <c r="C77" s="2" t="inlineStr">
        <is>
          <t>36200EL25</t>
        </is>
      </c>
      <c r="D77" t="inlineStr">
        <is>
          <t>WALKER &amp; DUNLOP, LLC</t>
        </is>
      </c>
      <c r="E77" t="inlineStr">
        <is>
          <t>223f</t>
        </is>
      </c>
      <c r="F77" t="inlineStr">
        <is>
          <t>RP</t>
        </is>
      </c>
      <c r="G77" t="n">
        <v>2012</v>
      </c>
      <c r="H77" t="inlineStr">
        <is>
          <t>202602</t>
        </is>
      </c>
      <c r="I77" s="22" t="n">
        <v>1567346.24</v>
      </c>
      <c r="J77" s="23" t="n">
        <v>3.33</v>
      </c>
      <c r="K77" s="24" t="n">
        <v>447</v>
      </c>
      <c r="L77" s="24" t="n">
        <v>0</v>
      </c>
      <c r="M77" t="n">
        <v>167</v>
      </c>
      <c r="N77" s="25" t="n">
        <v>35</v>
      </c>
      <c r="O77" t="n">
        <v>204705</v>
      </c>
      <c r="P77" t="n">
        <v>201305</v>
      </c>
      <c r="Q77" t="inlineStr">
        <is>
          <t>4080</t>
        </is>
      </c>
      <c r="R77" s="26" t="n">
        <v>0.2095808383233533</v>
      </c>
      <c r="S77" t="n">
        <v>0</v>
      </c>
      <c r="T77" s="23">
        <f>LN(1+I77)</f>
        <v/>
      </c>
      <c r="U77" s="24">
        <f>J77*100-K77</f>
        <v/>
      </c>
      <c r="V77" s="24">
        <f>U77-12.5*(L77+1)</f>
        <v/>
      </c>
      <c r="W77" s="26">
        <f>IF(M77&lt;=V7_AGE_KNOT_X_0,V7_AGE_KNOT_Y_0,IF(M77&gt;=V7_AGE_KNOT_X_5,V7_AGE_KNOT_Y_5,IF(M77&lt;=V7_AGE_KNOT_X_1,V7_AGE_KNOT_Y_0+(M77-V7_AGE_KNOT_X_0)/(V7_AGE_KNOT_X_1-V7_AGE_KNOT_X_0)*(V7_AGE_KNOT_Y_1-V7_AGE_KNOT_Y_0),IF(M77&lt;=V7_AGE_KNOT_X_2,V7_AGE_KNOT_Y_1+(M77-V7_AGE_KNOT_X_1)/(V7_AGE_KNOT_X_2-V7_AGE_KNOT_X_1)*(V7_AGE_KNOT_Y_2-V7_AGE_KNOT_Y_1),IF(M77&lt;=V7_AGE_KNOT_X_3,V7_AGE_KNOT_Y_2+(M77-V7_AGE_KNOT_X_2)/(V7_AGE_KNOT_X_3-V7_AGE_KNOT_X_2)*(V7_AGE_KNOT_Y_3-V7_AGE_KNOT_Y_2),IF(M77&lt;=V7_AGE_KNOT_X_4,V7_AGE_KNOT_Y_3+(M77-V7_AGE_KNOT_X_3)/(V7_AGE_KNOT_X_4-V7_AGE_KNOT_X_3)*(V7_AGE_KNOT_Y_4-V7_AGE_KNOT_Y_3),V7_AGE_KNOT_Y_4+(M77-V7_AGE_KNOT_X_4)/(V7_AGE_KNOT_X_5-V7_AGE_KNOT_X_4)*(V7_AGE_KNOT_Y_5-V7_AGE_KNOT_Y_4)))))))</f>
        <v/>
      </c>
      <c r="X77" s="26">
        <f>V7_RATE_FLOOR+V7_RATE_ASYMPTOTE/(1+EXP(-(V77-V7_RATE_MID)/V7_RATE_SLOPE))</f>
        <v/>
      </c>
      <c r="Y77" s="26">
        <f>MAX(V7_SIZE_LOW,MIN(V7_SIZE_HIGH,V7_SIZE_INTERCEPT+V7_SIZE_SLOPE*(T77-V7_SIZE_LOG_ANCHOR)))</f>
        <v/>
      </c>
      <c r="Z77" s="26">
        <f>IF(ISNUMBER(SEARCH("232",E77)),VLOOKUP("232",V7_PROGRAM_TABLE,2,FALSE),IF(ISNUMBER(SEARCH("538",E77)),VLOOKUP("538",V7_PROGRAM_TABLE,2,FALSE),IF(ISNUMBER(SEARCH("223a7",E77)),VLOOKUP("223a7",V7_PROGRAM_TABLE,2,FALSE),IF(ISNUMBER(SEARCH("223f",E77)),VLOOKUP("223f",V7_PROGRAM_TABLE,2,FALSE),V7_PROGRAM_DEFAULT))))</f>
        <v/>
      </c>
      <c r="AA77" s="26">
        <f>IF(S77=1,1+V7_PURPOSE_NC_BUMP*MAX(0,1-ABS(M77-V7_PURPOSE_PEAK_AGE)/V7_PURPOSE_WIDTH),1)</f>
        <v/>
      </c>
      <c r="AB77" s="26">
        <f>IF(AND(IF(OR(P77="",NOT(ISNUMBER(P77))),0,MAX(0,MIN(24,(INT(VALUE(H77)/100)-INT(P77/100))*12+MOD(VALUE(H77),100)-MOD(P77,100))))&gt;0,IF(OR(P77="",NOT(ISNUMBER(P77))),0,MAX(0,MIN(24,(INT(VALUE(H77)/100)-INT(P77/100))*12+MOD(VALUE(H77),100)-MOD(P77,100))))&lt;=12),1+V7_LOCKOUT_AMP*EXP(-(IF(OR(P77="",NOT(ISNUMBER(P77))),0,MAX(0,MIN(24,(INT(VALUE(H77)/100)-INT(P77/100))*12+MOD(VALUE(H77),100)-MOD(P77,100)))))/V7_LOCKOUT_TAU),1)</f>
        <v/>
      </c>
      <c r="AC77" s="26">
        <f>IF(IF(OR(O77="",NOT(ISNUMBER(O77))),360,MAX(0,MIN(480,(INT(O77/100)-INT(VALUE(H77)/100))*12+MOD(O77,100)-MOD(VALUE(H77),100))))&gt;0,1+V7_MTY_AMP*MAX(0,(V7_MTY_CUTOFF-(IF(OR(O77="",NOT(ISNUMBER(O77))),360,MAX(0,MIN(480,(INT(O77/100)-INT(VALUE(H77)/100))*12+MOD(O77,100)-MOD(VALUE(H77),100))))))/V7_MTY_CUTOFF),1)</f>
        <v/>
      </c>
      <c r="AD77" s="26">
        <f>MAX(V7_BURN_FLOOR,1-V7_BURN_SLOPE*MIN(1,MAX(0,R77)))</f>
        <v/>
      </c>
      <c r="AE77" s="26">
        <f>IF(V7_USE_ISSUER=1,IFERROR(VLOOKUP(Q77,V7_ISSUER_TABLE,3,FALSE),1),1)</f>
        <v/>
      </c>
      <c r="AF77" s="26">
        <f>PRODUCT(W77:AE77)</f>
        <v/>
      </c>
      <c r="AG77" s="27">
        <f>MIN(V7_BASE_SMM*AF77,V7_SMM_CAP)</f>
        <v/>
      </c>
      <c r="AH77" s="28">
        <f>1-(1-AG77)^12</f>
        <v/>
      </c>
      <c r="AI77" s="28">
        <f>IFERROR(LN(W77)/(LN(W77)+LN(X77)+LN(Y77)+LN(Z77)+LN(AA77)+LN(AB77)+LN(AC77)+LN(AD77))*(AH77-V7_BASE_CPR),0)</f>
        <v/>
      </c>
      <c r="AJ77" s="28">
        <f>IFERROR(LN(X77)/(LN(W77)+LN(X77)+LN(Y77)+LN(Z77)+LN(AA77)+LN(AB77)+LN(AC77)+LN(AD77))*(AH77-V7_BASE_CPR),0)</f>
        <v/>
      </c>
      <c r="AK77" s="28">
        <f>IFERROR(LN(Y77)/(LN(W77)+LN(X77)+LN(Y77)+LN(Z77)+LN(AA77)+LN(AB77)+LN(AC77)+LN(AD77))*(AH77-V7_BASE_CPR),0)</f>
        <v/>
      </c>
      <c r="AL77" s="28">
        <f>IFERROR(LN(Z77)/(LN(W77)+LN(X77)+LN(Y77)+LN(Z77)+LN(AA77)+LN(AB77)+LN(AC77)+LN(AD77))*(AH77-V7_BASE_CPR),0)</f>
        <v/>
      </c>
      <c r="AM77" s="28">
        <f>IFERROR(LN(AA77)/(LN(W77)+LN(X77)+LN(Y77)+LN(Z77)+LN(AA77)+LN(AB77)+LN(AC77)+LN(AD77))*(AH77-V7_BASE_CPR),0)</f>
        <v/>
      </c>
      <c r="AN77" s="28">
        <f>IFERROR(LN(AB77)/(LN(W77)+LN(X77)+LN(Y77)+LN(Z77)+LN(AA77)+LN(AB77)+LN(AC77)+LN(AD77))*(AH77-V7_BASE_CPR),0)</f>
        <v/>
      </c>
      <c r="AO77" s="28">
        <f>IFERROR(LN(AC77)/(LN(W77)+LN(X77)+LN(Y77)+LN(Z77)+LN(AA77)+LN(AB77)+LN(AC77)+LN(AD77))*(AH77-V7_BASE_CPR),0)</f>
        <v/>
      </c>
      <c r="AP77" s="28">
        <f>IFERROR(LN(AD77)/(LN(W77)+LN(X77)+LN(Y77)+LN(Z77)+LN(AA77)+LN(AB77)+LN(AC77)+LN(AD77))*(AH77-V7_BASE_CPR),0)</f>
        <v/>
      </c>
      <c r="AQ77" s="29">
        <f>V7_BASE_CPR+SUM(AI77:AP77)-AH77</f>
        <v/>
      </c>
    </row>
    <row r="78">
      <c r="A78" s="2" t="inlineStr">
        <is>
          <t>36180GT83_000000012111176</t>
        </is>
      </c>
      <c r="B78" t="inlineStr">
        <is>
          <t>WALKER_PRE21</t>
        </is>
      </c>
      <c r="C78" s="2" t="inlineStr">
        <is>
          <t>36180GT83</t>
        </is>
      </c>
      <c r="D78" t="inlineStr">
        <is>
          <t>WALKER &amp; DUNLOP, LLC</t>
        </is>
      </c>
      <c r="E78" t="inlineStr">
        <is>
          <t>223f</t>
        </is>
      </c>
      <c r="F78" t="inlineStr">
        <is>
          <t>RP</t>
        </is>
      </c>
      <c r="G78" t="n">
        <v>2013</v>
      </c>
      <c r="H78" t="inlineStr">
        <is>
          <t>202602</t>
        </is>
      </c>
      <c r="I78" s="22" t="n">
        <v>4626699.62</v>
      </c>
      <c r="J78" s="23" t="n">
        <v>4.35</v>
      </c>
      <c r="K78" s="24" t="n">
        <v>447</v>
      </c>
      <c r="L78" s="24" t="n">
        <v>0</v>
      </c>
      <c r="M78" t="n">
        <v>146</v>
      </c>
      <c r="N78" s="25" t="n">
        <v>41</v>
      </c>
      <c r="O78" t="n">
        <v>204904</v>
      </c>
      <c r="P78" t="n">
        <v>201605</v>
      </c>
      <c r="Q78" t="inlineStr">
        <is>
          <t>4080</t>
        </is>
      </c>
      <c r="R78" s="26" t="n">
        <v>0.2808219178082192</v>
      </c>
      <c r="S78" t="n">
        <v>0</v>
      </c>
      <c r="T78" s="23">
        <f>LN(1+I78)</f>
        <v/>
      </c>
      <c r="U78" s="24">
        <f>J78*100-K78</f>
        <v/>
      </c>
      <c r="V78" s="24">
        <f>U78-12.5*(L78+1)</f>
        <v/>
      </c>
      <c r="W78" s="26">
        <f>IF(M78&lt;=V7_AGE_KNOT_X_0,V7_AGE_KNOT_Y_0,IF(M78&gt;=V7_AGE_KNOT_X_5,V7_AGE_KNOT_Y_5,IF(M78&lt;=V7_AGE_KNOT_X_1,V7_AGE_KNOT_Y_0+(M78-V7_AGE_KNOT_X_0)/(V7_AGE_KNOT_X_1-V7_AGE_KNOT_X_0)*(V7_AGE_KNOT_Y_1-V7_AGE_KNOT_Y_0),IF(M78&lt;=V7_AGE_KNOT_X_2,V7_AGE_KNOT_Y_1+(M78-V7_AGE_KNOT_X_1)/(V7_AGE_KNOT_X_2-V7_AGE_KNOT_X_1)*(V7_AGE_KNOT_Y_2-V7_AGE_KNOT_Y_1),IF(M78&lt;=V7_AGE_KNOT_X_3,V7_AGE_KNOT_Y_2+(M78-V7_AGE_KNOT_X_2)/(V7_AGE_KNOT_X_3-V7_AGE_KNOT_X_2)*(V7_AGE_KNOT_Y_3-V7_AGE_KNOT_Y_2),IF(M78&lt;=V7_AGE_KNOT_X_4,V7_AGE_KNOT_Y_3+(M78-V7_AGE_KNOT_X_3)/(V7_AGE_KNOT_X_4-V7_AGE_KNOT_X_3)*(V7_AGE_KNOT_Y_4-V7_AGE_KNOT_Y_3),V7_AGE_KNOT_Y_4+(M78-V7_AGE_KNOT_X_4)/(V7_AGE_KNOT_X_5-V7_AGE_KNOT_X_4)*(V7_AGE_KNOT_Y_5-V7_AGE_KNOT_Y_4)))))))</f>
        <v/>
      </c>
      <c r="X78" s="26">
        <f>V7_RATE_FLOOR+V7_RATE_ASYMPTOTE/(1+EXP(-(V78-V7_RATE_MID)/V7_RATE_SLOPE))</f>
        <v/>
      </c>
      <c r="Y78" s="26">
        <f>MAX(V7_SIZE_LOW,MIN(V7_SIZE_HIGH,V7_SIZE_INTERCEPT+V7_SIZE_SLOPE*(T78-V7_SIZE_LOG_ANCHOR)))</f>
        <v/>
      </c>
      <c r="Z78" s="26">
        <f>IF(ISNUMBER(SEARCH("232",E78)),VLOOKUP("232",V7_PROGRAM_TABLE,2,FALSE),IF(ISNUMBER(SEARCH("538",E78)),VLOOKUP("538",V7_PROGRAM_TABLE,2,FALSE),IF(ISNUMBER(SEARCH("223a7",E78)),VLOOKUP("223a7",V7_PROGRAM_TABLE,2,FALSE),IF(ISNUMBER(SEARCH("223f",E78)),VLOOKUP("223f",V7_PROGRAM_TABLE,2,FALSE),V7_PROGRAM_DEFAULT))))</f>
        <v/>
      </c>
      <c r="AA78" s="26">
        <f>IF(S78=1,1+V7_PURPOSE_NC_BUMP*MAX(0,1-ABS(M78-V7_PURPOSE_PEAK_AGE)/V7_PURPOSE_WIDTH),1)</f>
        <v/>
      </c>
      <c r="AB78" s="26">
        <f>IF(AND(IF(OR(P78="",NOT(ISNUMBER(P78))),0,MAX(0,MIN(24,(INT(VALUE(H78)/100)-INT(P78/100))*12+MOD(VALUE(H78),100)-MOD(P78,100))))&gt;0,IF(OR(P78="",NOT(ISNUMBER(P78))),0,MAX(0,MIN(24,(INT(VALUE(H78)/100)-INT(P78/100))*12+MOD(VALUE(H78),100)-MOD(P78,100))))&lt;=12),1+V7_LOCKOUT_AMP*EXP(-(IF(OR(P78="",NOT(ISNUMBER(P78))),0,MAX(0,MIN(24,(INT(VALUE(H78)/100)-INT(P78/100))*12+MOD(VALUE(H78),100)-MOD(P78,100)))))/V7_LOCKOUT_TAU),1)</f>
        <v/>
      </c>
      <c r="AC78" s="26">
        <f>IF(IF(OR(O78="",NOT(ISNUMBER(O78))),360,MAX(0,MIN(480,(INT(O78/100)-INT(VALUE(H78)/100))*12+MOD(O78,100)-MOD(VALUE(H78),100))))&gt;0,1+V7_MTY_AMP*MAX(0,(V7_MTY_CUTOFF-(IF(OR(O78="",NOT(ISNUMBER(O78))),360,MAX(0,MIN(480,(INT(O78/100)-INT(VALUE(H78)/100))*12+MOD(O78,100)-MOD(VALUE(H78),100))))))/V7_MTY_CUTOFF),1)</f>
        <v/>
      </c>
      <c r="AD78" s="26">
        <f>MAX(V7_BURN_FLOOR,1-V7_BURN_SLOPE*MIN(1,MAX(0,R78)))</f>
        <v/>
      </c>
      <c r="AE78" s="26">
        <f>IF(V7_USE_ISSUER=1,IFERROR(VLOOKUP(Q78,V7_ISSUER_TABLE,3,FALSE),1),1)</f>
        <v/>
      </c>
      <c r="AF78" s="26">
        <f>PRODUCT(W78:AE78)</f>
        <v/>
      </c>
      <c r="AG78" s="27">
        <f>MIN(V7_BASE_SMM*AF78,V7_SMM_CAP)</f>
        <v/>
      </c>
      <c r="AH78" s="28">
        <f>1-(1-AG78)^12</f>
        <v/>
      </c>
      <c r="AI78" s="28">
        <f>IFERROR(LN(W78)/(LN(W78)+LN(X78)+LN(Y78)+LN(Z78)+LN(AA78)+LN(AB78)+LN(AC78)+LN(AD78))*(AH78-V7_BASE_CPR),0)</f>
        <v/>
      </c>
      <c r="AJ78" s="28">
        <f>IFERROR(LN(X78)/(LN(W78)+LN(X78)+LN(Y78)+LN(Z78)+LN(AA78)+LN(AB78)+LN(AC78)+LN(AD78))*(AH78-V7_BASE_CPR),0)</f>
        <v/>
      </c>
      <c r="AK78" s="28">
        <f>IFERROR(LN(Y78)/(LN(W78)+LN(X78)+LN(Y78)+LN(Z78)+LN(AA78)+LN(AB78)+LN(AC78)+LN(AD78))*(AH78-V7_BASE_CPR),0)</f>
        <v/>
      </c>
      <c r="AL78" s="28">
        <f>IFERROR(LN(Z78)/(LN(W78)+LN(X78)+LN(Y78)+LN(Z78)+LN(AA78)+LN(AB78)+LN(AC78)+LN(AD78))*(AH78-V7_BASE_CPR),0)</f>
        <v/>
      </c>
      <c r="AM78" s="28">
        <f>IFERROR(LN(AA78)/(LN(W78)+LN(X78)+LN(Y78)+LN(Z78)+LN(AA78)+LN(AB78)+LN(AC78)+LN(AD78))*(AH78-V7_BASE_CPR),0)</f>
        <v/>
      </c>
      <c r="AN78" s="28">
        <f>IFERROR(LN(AB78)/(LN(W78)+LN(X78)+LN(Y78)+LN(Z78)+LN(AA78)+LN(AB78)+LN(AC78)+LN(AD78))*(AH78-V7_BASE_CPR),0)</f>
        <v/>
      </c>
      <c r="AO78" s="28">
        <f>IFERROR(LN(AC78)/(LN(W78)+LN(X78)+LN(Y78)+LN(Z78)+LN(AA78)+LN(AB78)+LN(AC78)+LN(AD78))*(AH78-V7_BASE_CPR),0)</f>
        <v/>
      </c>
      <c r="AP78" s="28">
        <f>IFERROR(LN(AD78)/(LN(W78)+LN(X78)+LN(Y78)+LN(Z78)+LN(AA78)+LN(AB78)+LN(AC78)+LN(AD78))*(AH78-V7_BASE_CPR),0)</f>
        <v/>
      </c>
      <c r="AQ78" s="29">
        <f>V7_BASE_CPR+SUM(AI78:AP78)-AH78</f>
        <v/>
      </c>
    </row>
    <row r="79">
      <c r="A79" s="2" t="inlineStr">
        <is>
          <t>36178FVA1_000000012722086</t>
        </is>
      </c>
      <c r="B79" t="inlineStr">
        <is>
          <t>WALKER_PRE21</t>
        </is>
      </c>
      <c r="C79" s="2" t="inlineStr">
        <is>
          <t>36178FVA1</t>
        </is>
      </c>
      <c r="D79" t="inlineStr">
        <is>
          <t>WALKER &amp; DUNLOP, LLC</t>
        </is>
      </c>
      <c r="E79" t="inlineStr">
        <is>
          <t>232</t>
        </is>
      </c>
      <c r="F79" t="inlineStr">
        <is>
          <t>RP</t>
        </is>
      </c>
      <c r="G79" t="n">
        <v>2012</v>
      </c>
      <c r="H79" t="inlineStr">
        <is>
          <t>202602</t>
        </is>
      </c>
      <c r="I79" s="22" t="n">
        <v>2391566.61</v>
      </c>
      <c r="J79" s="23" t="n">
        <v>2.8</v>
      </c>
      <c r="K79" s="24" t="n">
        <v>447</v>
      </c>
      <c r="L79" s="24" t="n">
        <v>0</v>
      </c>
      <c r="M79" t="n">
        <v>164</v>
      </c>
      <c r="N79" s="25" t="n">
        <v>26</v>
      </c>
      <c r="O79" t="n">
        <v>203708</v>
      </c>
      <c r="P79" t="n">
        <v>201308</v>
      </c>
      <c r="Q79" t="inlineStr">
        <is>
          <t>4080</t>
        </is>
      </c>
      <c r="R79" s="26" t="n">
        <v>0.1585365853658537</v>
      </c>
      <c r="S79" t="n">
        <v>0</v>
      </c>
      <c r="T79" s="23">
        <f>LN(1+I79)</f>
        <v/>
      </c>
      <c r="U79" s="24">
        <f>J79*100-K79</f>
        <v/>
      </c>
      <c r="V79" s="24">
        <f>U79-12.5*(L79+1)</f>
        <v/>
      </c>
      <c r="W79" s="26">
        <f>IF(M79&lt;=V7_AGE_KNOT_X_0,V7_AGE_KNOT_Y_0,IF(M79&gt;=V7_AGE_KNOT_X_5,V7_AGE_KNOT_Y_5,IF(M79&lt;=V7_AGE_KNOT_X_1,V7_AGE_KNOT_Y_0+(M79-V7_AGE_KNOT_X_0)/(V7_AGE_KNOT_X_1-V7_AGE_KNOT_X_0)*(V7_AGE_KNOT_Y_1-V7_AGE_KNOT_Y_0),IF(M79&lt;=V7_AGE_KNOT_X_2,V7_AGE_KNOT_Y_1+(M79-V7_AGE_KNOT_X_1)/(V7_AGE_KNOT_X_2-V7_AGE_KNOT_X_1)*(V7_AGE_KNOT_Y_2-V7_AGE_KNOT_Y_1),IF(M79&lt;=V7_AGE_KNOT_X_3,V7_AGE_KNOT_Y_2+(M79-V7_AGE_KNOT_X_2)/(V7_AGE_KNOT_X_3-V7_AGE_KNOT_X_2)*(V7_AGE_KNOT_Y_3-V7_AGE_KNOT_Y_2),IF(M79&lt;=V7_AGE_KNOT_X_4,V7_AGE_KNOT_Y_3+(M79-V7_AGE_KNOT_X_3)/(V7_AGE_KNOT_X_4-V7_AGE_KNOT_X_3)*(V7_AGE_KNOT_Y_4-V7_AGE_KNOT_Y_3),V7_AGE_KNOT_Y_4+(M79-V7_AGE_KNOT_X_4)/(V7_AGE_KNOT_X_5-V7_AGE_KNOT_X_4)*(V7_AGE_KNOT_Y_5-V7_AGE_KNOT_Y_4)))))))</f>
        <v/>
      </c>
      <c r="X79" s="26">
        <f>V7_RATE_FLOOR+V7_RATE_ASYMPTOTE/(1+EXP(-(V79-V7_RATE_MID)/V7_RATE_SLOPE))</f>
        <v/>
      </c>
      <c r="Y79" s="26">
        <f>MAX(V7_SIZE_LOW,MIN(V7_SIZE_HIGH,V7_SIZE_INTERCEPT+V7_SIZE_SLOPE*(T79-V7_SIZE_LOG_ANCHOR)))</f>
        <v/>
      </c>
      <c r="Z79" s="26">
        <f>IF(ISNUMBER(SEARCH("232",E79)),VLOOKUP("232",V7_PROGRAM_TABLE,2,FALSE),IF(ISNUMBER(SEARCH("538",E79)),VLOOKUP("538",V7_PROGRAM_TABLE,2,FALSE),IF(ISNUMBER(SEARCH("223a7",E79)),VLOOKUP("223a7",V7_PROGRAM_TABLE,2,FALSE),IF(ISNUMBER(SEARCH("223f",E79)),VLOOKUP("223f",V7_PROGRAM_TABLE,2,FALSE),V7_PROGRAM_DEFAULT))))</f>
        <v/>
      </c>
      <c r="AA79" s="26">
        <f>IF(S79=1,1+V7_PURPOSE_NC_BUMP*MAX(0,1-ABS(M79-V7_PURPOSE_PEAK_AGE)/V7_PURPOSE_WIDTH),1)</f>
        <v/>
      </c>
      <c r="AB79" s="26">
        <f>IF(AND(IF(OR(P79="",NOT(ISNUMBER(P79))),0,MAX(0,MIN(24,(INT(VALUE(H79)/100)-INT(P79/100))*12+MOD(VALUE(H79),100)-MOD(P79,100))))&gt;0,IF(OR(P79="",NOT(ISNUMBER(P79))),0,MAX(0,MIN(24,(INT(VALUE(H79)/100)-INT(P79/100))*12+MOD(VALUE(H79),100)-MOD(P79,100))))&lt;=12),1+V7_LOCKOUT_AMP*EXP(-(IF(OR(P79="",NOT(ISNUMBER(P79))),0,MAX(0,MIN(24,(INT(VALUE(H79)/100)-INT(P79/100))*12+MOD(VALUE(H79),100)-MOD(P79,100)))))/V7_LOCKOUT_TAU),1)</f>
        <v/>
      </c>
      <c r="AC79" s="26">
        <f>IF(IF(OR(O79="",NOT(ISNUMBER(O79))),360,MAX(0,MIN(480,(INT(O79/100)-INT(VALUE(H79)/100))*12+MOD(O79,100)-MOD(VALUE(H79),100))))&gt;0,1+V7_MTY_AMP*MAX(0,(V7_MTY_CUTOFF-(IF(OR(O79="",NOT(ISNUMBER(O79))),360,MAX(0,MIN(480,(INT(O79/100)-INT(VALUE(H79)/100))*12+MOD(O79,100)-MOD(VALUE(H79),100))))))/V7_MTY_CUTOFF),1)</f>
        <v/>
      </c>
      <c r="AD79" s="26">
        <f>MAX(V7_BURN_FLOOR,1-V7_BURN_SLOPE*MIN(1,MAX(0,R79)))</f>
        <v/>
      </c>
      <c r="AE79" s="26">
        <f>IF(V7_USE_ISSUER=1,IFERROR(VLOOKUP(Q79,V7_ISSUER_TABLE,3,FALSE),1),1)</f>
        <v/>
      </c>
      <c r="AF79" s="26">
        <f>PRODUCT(W79:AE79)</f>
        <v/>
      </c>
      <c r="AG79" s="27">
        <f>MIN(V7_BASE_SMM*AF79,V7_SMM_CAP)</f>
        <v/>
      </c>
      <c r="AH79" s="28">
        <f>1-(1-AG79)^12</f>
        <v/>
      </c>
      <c r="AI79" s="28">
        <f>IFERROR(LN(W79)/(LN(W79)+LN(X79)+LN(Y79)+LN(Z79)+LN(AA79)+LN(AB79)+LN(AC79)+LN(AD79))*(AH79-V7_BASE_CPR),0)</f>
        <v/>
      </c>
      <c r="AJ79" s="28">
        <f>IFERROR(LN(X79)/(LN(W79)+LN(X79)+LN(Y79)+LN(Z79)+LN(AA79)+LN(AB79)+LN(AC79)+LN(AD79))*(AH79-V7_BASE_CPR),0)</f>
        <v/>
      </c>
      <c r="AK79" s="28">
        <f>IFERROR(LN(Y79)/(LN(W79)+LN(X79)+LN(Y79)+LN(Z79)+LN(AA79)+LN(AB79)+LN(AC79)+LN(AD79))*(AH79-V7_BASE_CPR),0)</f>
        <v/>
      </c>
      <c r="AL79" s="28">
        <f>IFERROR(LN(Z79)/(LN(W79)+LN(X79)+LN(Y79)+LN(Z79)+LN(AA79)+LN(AB79)+LN(AC79)+LN(AD79))*(AH79-V7_BASE_CPR),0)</f>
        <v/>
      </c>
      <c r="AM79" s="28">
        <f>IFERROR(LN(AA79)/(LN(W79)+LN(X79)+LN(Y79)+LN(Z79)+LN(AA79)+LN(AB79)+LN(AC79)+LN(AD79))*(AH79-V7_BASE_CPR),0)</f>
        <v/>
      </c>
      <c r="AN79" s="28">
        <f>IFERROR(LN(AB79)/(LN(W79)+LN(X79)+LN(Y79)+LN(Z79)+LN(AA79)+LN(AB79)+LN(AC79)+LN(AD79))*(AH79-V7_BASE_CPR),0)</f>
        <v/>
      </c>
      <c r="AO79" s="28">
        <f>IFERROR(LN(AC79)/(LN(W79)+LN(X79)+LN(Y79)+LN(Z79)+LN(AA79)+LN(AB79)+LN(AC79)+LN(AD79))*(AH79-V7_BASE_CPR),0)</f>
        <v/>
      </c>
      <c r="AP79" s="28">
        <f>IFERROR(LN(AD79)/(LN(W79)+LN(X79)+LN(Y79)+LN(Z79)+LN(AA79)+LN(AB79)+LN(AC79)+LN(AD79))*(AH79-V7_BASE_CPR),0)</f>
        <v/>
      </c>
      <c r="AQ79" s="29">
        <f>V7_BASE_CPR+SUM(AI79:AP79)-AH79</f>
        <v/>
      </c>
    </row>
    <row r="80">
      <c r="A80" s="2" t="inlineStr">
        <is>
          <t>3617N1EH9_000000002311546</t>
        </is>
      </c>
      <c r="B80" t="inlineStr">
        <is>
          <t>WALKER_PRE21</t>
        </is>
      </c>
      <c r="C80" s="2" t="inlineStr">
        <is>
          <t>3617N1EH9</t>
        </is>
      </c>
      <c r="D80" t="inlineStr">
        <is>
          <t>WALKER &amp; DUNLOP, LLC</t>
        </is>
      </c>
      <c r="E80" t="inlineStr">
        <is>
          <t>223f</t>
        </is>
      </c>
      <c r="F80" t="inlineStr">
        <is>
          <t>RP</t>
        </is>
      </c>
      <c r="G80" t="n">
        <v>2020</v>
      </c>
      <c r="H80" t="inlineStr">
        <is>
          <t>202602</t>
        </is>
      </c>
      <c r="I80" s="22" t="n">
        <v>5130860.07</v>
      </c>
      <c r="J80" s="23" t="n">
        <v>2.55</v>
      </c>
      <c r="K80" s="24" t="n">
        <v>447</v>
      </c>
      <c r="L80" s="24" t="n">
        <v>5</v>
      </c>
      <c r="M80" t="n">
        <v>68</v>
      </c>
      <c r="N80" s="25" t="n">
        <v>0</v>
      </c>
      <c r="O80" t="n">
        <v>205507</v>
      </c>
      <c r="P80" t="inlineStr"/>
      <c r="Q80" t="inlineStr">
        <is>
          <t>4080</t>
        </is>
      </c>
      <c r="R80" s="26" t="n">
        <v>0</v>
      </c>
      <c r="S80" t="n">
        <v>0</v>
      </c>
      <c r="T80" s="23">
        <f>LN(1+I80)</f>
        <v/>
      </c>
      <c r="U80" s="24">
        <f>J80*100-K80</f>
        <v/>
      </c>
      <c r="V80" s="24">
        <f>U80-12.5*(L80+1)</f>
        <v/>
      </c>
      <c r="W80" s="26">
        <f>IF(M80&lt;=V7_AGE_KNOT_X_0,V7_AGE_KNOT_Y_0,IF(M80&gt;=V7_AGE_KNOT_X_5,V7_AGE_KNOT_Y_5,IF(M80&lt;=V7_AGE_KNOT_X_1,V7_AGE_KNOT_Y_0+(M80-V7_AGE_KNOT_X_0)/(V7_AGE_KNOT_X_1-V7_AGE_KNOT_X_0)*(V7_AGE_KNOT_Y_1-V7_AGE_KNOT_Y_0),IF(M80&lt;=V7_AGE_KNOT_X_2,V7_AGE_KNOT_Y_1+(M80-V7_AGE_KNOT_X_1)/(V7_AGE_KNOT_X_2-V7_AGE_KNOT_X_1)*(V7_AGE_KNOT_Y_2-V7_AGE_KNOT_Y_1),IF(M80&lt;=V7_AGE_KNOT_X_3,V7_AGE_KNOT_Y_2+(M80-V7_AGE_KNOT_X_2)/(V7_AGE_KNOT_X_3-V7_AGE_KNOT_X_2)*(V7_AGE_KNOT_Y_3-V7_AGE_KNOT_Y_2),IF(M80&lt;=V7_AGE_KNOT_X_4,V7_AGE_KNOT_Y_3+(M80-V7_AGE_KNOT_X_3)/(V7_AGE_KNOT_X_4-V7_AGE_KNOT_X_3)*(V7_AGE_KNOT_Y_4-V7_AGE_KNOT_Y_3),V7_AGE_KNOT_Y_4+(M80-V7_AGE_KNOT_X_4)/(V7_AGE_KNOT_X_5-V7_AGE_KNOT_X_4)*(V7_AGE_KNOT_Y_5-V7_AGE_KNOT_Y_4)))))))</f>
        <v/>
      </c>
      <c r="X80" s="26">
        <f>V7_RATE_FLOOR+V7_RATE_ASYMPTOTE/(1+EXP(-(V80-V7_RATE_MID)/V7_RATE_SLOPE))</f>
        <v/>
      </c>
      <c r="Y80" s="26">
        <f>MAX(V7_SIZE_LOW,MIN(V7_SIZE_HIGH,V7_SIZE_INTERCEPT+V7_SIZE_SLOPE*(T80-V7_SIZE_LOG_ANCHOR)))</f>
        <v/>
      </c>
      <c r="Z80" s="26">
        <f>IF(ISNUMBER(SEARCH("232",E80)),VLOOKUP("232",V7_PROGRAM_TABLE,2,FALSE),IF(ISNUMBER(SEARCH("538",E80)),VLOOKUP("538",V7_PROGRAM_TABLE,2,FALSE),IF(ISNUMBER(SEARCH("223a7",E80)),VLOOKUP("223a7",V7_PROGRAM_TABLE,2,FALSE),IF(ISNUMBER(SEARCH("223f",E80)),VLOOKUP("223f",V7_PROGRAM_TABLE,2,FALSE),V7_PROGRAM_DEFAULT))))</f>
        <v/>
      </c>
      <c r="AA80" s="26">
        <f>IF(S80=1,1+V7_PURPOSE_NC_BUMP*MAX(0,1-ABS(M80-V7_PURPOSE_PEAK_AGE)/V7_PURPOSE_WIDTH),1)</f>
        <v/>
      </c>
      <c r="AB80" s="26">
        <f>IF(AND(IF(OR(P80="",NOT(ISNUMBER(P80))),0,MAX(0,MIN(24,(INT(VALUE(H80)/100)-INT(P80/100))*12+MOD(VALUE(H80),100)-MOD(P80,100))))&gt;0,IF(OR(P80="",NOT(ISNUMBER(P80))),0,MAX(0,MIN(24,(INT(VALUE(H80)/100)-INT(P80/100))*12+MOD(VALUE(H80),100)-MOD(P80,100))))&lt;=12),1+V7_LOCKOUT_AMP*EXP(-(IF(OR(P80="",NOT(ISNUMBER(P80))),0,MAX(0,MIN(24,(INT(VALUE(H80)/100)-INT(P80/100))*12+MOD(VALUE(H80),100)-MOD(P80,100)))))/V7_LOCKOUT_TAU),1)</f>
        <v/>
      </c>
      <c r="AC80" s="26">
        <f>IF(IF(OR(O80="",NOT(ISNUMBER(O80))),360,MAX(0,MIN(480,(INT(O80/100)-INT(VALUE(H80)/100))*12+MOD(O80,100)-MOD(VALUE(H80),100))))&gt;0,1+V7_MTY_AMP*MAX(0,(V7_MTY_CUTOFF-(IF(OR(O80="",NOT(ISNUMBER(O80))),360,MAX(0,MIN(480,(INT(O80/100)-INT(VALUE(H80)/100))*12+MOD(O80,100)-MOD(VALUE(H80),100))))))/V7_MTY_CUTOFF),1)</f>
        <v/>
      </c>
      <c r="AD80" s="26">
        <f>MAX(V7_BURN_FLOOR,1-V7_BURN_SLOPE*MIN(1,MAX(0,R80)))</f>
        <v/>
      </c>
      <c r="AE80" s="26">
        <f>IF(V7_USE_ISSUER=1,IFERROR(VLOOKUP(Q80,V7_ISSUER_TABLE,3,FALSE),1),1)</f>
        <v/>
      </c>
      <c r="AF80" s="26">
        <f>PRODUCT(W80:AE80)</f>
        <v/>
      </c>
      <c r="AG80" s="27">
        <f>MIN(V7_BASE_SMM*AF80,V7_SMM_CAP)</f>
        <v/>
      </c>
      <c r="AH80" s="28">
        <f>1-(1-AG80)^12</f>
        <v/>
      </c>
      <c r="AI80" s="28">
        <f>IFERROR(LN(W80)/(LN(W80)+LN(X80)+LN(Y80)+LN(Z80)+LN(AA80)+LN(AB80)+LN(AC80)+LN(AD80))*(AH80-V7_BASE_CPR),0)</f>
        <v/>
      </c>
      <c r="AJ80" s="28">
        <f>IFERROR(LN(X80)/(LN(W80)+LN(X80)+LN(Y80)+LN(Z80)+LN(AA80)+LN(AB80)+LN(AC80)+LN(AD80))*(AH80-V7_BASE_CPR),0)</f>
        <v/>
      </c>
      <c r="AK80" s="28">
        <f>IFERROR(LN(Y80)/(LN(W80)+LN(X80)+LN(Y80)+LN(Z80)+LN(AA80)+LN(AB80)+LN(AC80)+LN(AD80))*(AH80-V7_BASE_CPR),0)</f>
        <v/>
      </c>
      <c r="AL80" s="28">
        <f>IFERROR(LN(Z80)/(LN(W80)+LN(X80)+LN(Y80)+LN(Z80)+LN(AA80)+LN(AB80)+LN(AC80)+LN(AD80))*(AH80-V7_BASE_CPR),0)</f>
        <v/>
      </c>
      <c r="AM80" s="28">
        <f>IFERROR(LN(AA80)/(LN(W80)+LN(X80)+LN(Y80)+LN(Z80)+LN(AA80)+LN(AB80)+LN(AC80)+LN(AD80))*(AH80-V7_BASE_CPR),0)</f>
        <v/>
      </c>
      <c r="AN80" s="28">
        <f>IFERROR(LN(AB80)/(LN(W80)+LN(X80)+LN(Y80)+LN(Z80)+LN(AA80)+LN(AB80)+LN(AC80)+LN(AD80))*(AH80-V7_BASE_CPR),0)</f>
        <v/>
      </c>
      <c r="AO80" s="28">
        <f>IFERROR(LN(AC80)/(LN(W80)+LN(X80)+LN(Y80)+LN(Z80)+LN(AA80)+LN(AB80)+LN(AC80)+LN(AD80))*(AH80-V7_BASE_CPR),0)</f>
        <v/>
      </c>
      <c r="AP80" s="28">
        <f>IFERROR(LN(AD80)/(LN(W80)+LN(X80)+LN(Y80)+LN(Z80)+LN(AA80)+LN(AB80)+LN(AC80)+LN(AD80))*(AH80-V7_BASE_CPR),0)</f>
        <v/>
      </c>
      <c r="AQ80" s="29">
        <f>V7_BASE_CPR+SUM(AI80:AP80)-AH80</f>
        <v/>
      </c>
    </row>
    <row r="81">
      <c r="A81" s="2" t="inlineStr">
        <is>
          <t>36295SBS4_000000001711123</t>
        </is>
      </c>
      <c r="B81" t="inlineStr">
        <is>
          <t>WALKER_PRE21</t>
        </is>
      </c>
      <c r="C81" s="2" t="inlineStr">
        <is>
          <t>36295SBS4</t>
        </is>
      </c>
      <c r="D81" t="inlineStr">
        <is>
          <t>WALKER &amp; DUNLOP, LLC</t>
        </is>
      </c>
      <c r="E81" t="inlineStr">
        <is>
          <t>223f</t>
        </is>
      </c>
      <c r="F81" t="inlineStr">
        <is>
          <t>RP</t>
        </is>
      </c>
      <c r="G81" t="n">
        <v>2010</v>
      </c>
      <c r="H81" t="inlineStr">
        <is>
          <t>202602</t>
        </is>
      </c>
      <c r="I81" s="22" t="n">
        <v>1165207.31</v>
      </c>
      <c r="J81" s="23" t="n">
        <v>4.6</v>
      </c>
      <c r="K81" s="24" t="n">
        <v>447</v>
      </c>
      <c r="L81" s="24" t="n">
        <v>0</v>
      </c>
      <c r="M81" t="n">
        <v>189</v>
      </c>
      <c r="N81" s="25" t="n">
        <v>47</v>
      </c>
      <c r="O81" t="n">
        <v>204507</v>
      </c>
      <c r="P81" t="n">
        <v>201207</v>
      </c>
      <c r="Q81" t="inlineStr">
        <is>
          <t>4080</t>
        </is>
      </c>
      <c r="R81" s="26" t="n">
        <v>0.2486772486772487</v>
      </c>
      <c r="S81" t="n">
        <v>0</v>
      </c>
      <c r="T81" s="23">
        <f>LN(1+I81)</f>
        <v/>
      </c>
      <c r="U81" s="24">
        <f>J81*100-K81</f>
        <v/>
      </c>
      <c r="V81" s="24">
        <f>U81-12.5*(L81+1)</f>
        <v/>
      </c>
      <c r="W81" s="26">
        <f>IF(M81&lt;=V7_AGE_KNOT_X_0,V7_AGE_KNOT_Y_0,IF(M81&gt;=V7_AGE_KNOT_X_5,V7_AGE_KNOT_Y_5,IF(M81&lt;=V7_AGE_KNOT_X_1,V7_AGE_KNOT_Y_0+(M81-V7_AGE_KNOT_X_0)/(V7_AGE_KNOT_X_1-V7_AGE_KNOT_X_0)*(V7_AGE_KNOT_Y_1-V7_AGE_KNOT_Y_0),IF(M81&lt;=V7_AGE_KNOT_X_2,V7_AGE_KNOT_Y_1+(M81-V7_AGE_KNOT_X_1)/(V7_AGE_KNOT_X_2-V7_AGE_KNOT_X_1)*(V7_AGE_KNOT_Y_2-V7_AGE_KNOT_Y_1),IF(M81&lt;=V7_AGE_KNOT_X_3,V7_AGE_KNOT_Y_2+(M81-V7_AGE_KNOT_X_2)/(V7_AGE_KNOT_X_3-V7_AGE_KNOT_X_2)*(V7_AGE_KNOT_Y_3-V7_AGE_KNOT_Y_2),IF(M81&lt;=V7_AGE_KNOT_X_4,V7_AGE_KNOT_Y_3+(M81-V7_AGE_KNOT_X_3)/(V7_AGE_KNOT_X_4-V7_AGE_KNOT_X_3)*(V7_AGE_KNOT_Y_4-V7_AGE_KNOT_Y_3),V7_AGE_KNOT_Y_4+(M81-V7_AGE_KNOT_X_4)/(V7_AGE_KNOT_X_5-V7_AGE_KNOT_X_4)*(V7_AGE_KNOT_Y_5-V7_AGE_KNOT_Y_4)))))))</f>
        <v/>
      </c>
      <c r="X81" s="26">
        <f>V7_RATE_FLOOR+V7_RATE_ASYMPTOTE/(1+EXP(-(V81-V7_RATE_MID)/V7_RATE_SLOPE))</f>
        <v/>
      </c>
      <c r="Y81" s="26">
        <f>MAX(V7_SIZE_LOW,MIN(V7_SIZE_HIGH,V7_SIZE_INTERCEPT+V7_SIZE_SLOPE*(T81-V7_SIZE_LOG_ANCHOR)))</f>
        <v/>
      </c>
      <c r="Z81" s="26">
        <f>IF(ISNUMBER(SEARCH("232",E81)),VLOOKUP("232",V7_PROGRAM_TABLE,2,FALSE),IF(ISNUMBER(SEARCH("538",E81)),VLOOKUP("538",V7_PROGRAM_TABLE,2,FALSE),IF(ISNUMBER(SEARCH("223a7",E81)),VLOOKUP("223a7",V7_PROGRAM_TABLE,2,FALSE),IF(ISNUMBER(SEARCH("223f",E81)),VLOOKUP("223f",V7_PROGRAM_TABLE,2,FALSE),V7_PROGRAM_DEFAULT))))</f>
        <v/>
      </c>
      <c r="AA81" s="26">
        <f>IF(S81=1,1+V7_PURPOSE_NC_BUMP*MAX(0,1-ABS(M81-V7_PURPOSE_PEAK_AGE)/V7_PURPOSE_WIDTH),1)</f>
        <v/>
      </c>
      <c r="AB81" s="26">
        <f>IF(AND(IF(OR(P81="",NOT(ISNUMBER(P81))),0,MAX(0,MIN(24,(INT(VALUE(H81)/100)-INT(P81/100))*12+MOD(VALUE(H81),100)-MOD(P81,100))))&gt;0,IF(OR(P81="",NOT(ISNUMBER(P81))),0,MAX(0,MIN(24,(INT(VALUE(H81)/100)-INT(P81/100))*12+MOD(VALUE(H81),100)-MOD(P81,100))))&lt;=12),1+V7_LOCKOUT_AMP*EXP(-(IF(OR(P81="",NOT(ISNUMBER(P81))),0,MAX(0,MIN(24,(INT(VALUE(H81)/100)-INT(P81/100))*12+MOD(VALUE(H81),100)-MOD(P81,100)))))/V7_LOCKOUT_TAU),1)</f>
        <v/>
      </c>
      <c r="AC81" s="26">
        <f>IF(IF(OR(O81="",NOT(ISNUMBER(O81))),360,MAX(0,MIN(480,(INT(O81/100)-INT(VALUE(H81)/100))*12+MOD(O81,100)-MOD(VALUE(H81),100))))&gt;0,1+V7_MTY_AMP*MAX(0,(V7_MTY_CUTOFF-(IF(OR(O81="",NOT(ISNUMBER(O81))),360,MAX(0,MIN(480,(INT(O81/100)-INT(VALUE(H81)/100))*12+MOD(O81,100)-MOD(VALUE(H81),100))))))/V7_MTY_CUTOFF),1)</f>
        <v/>
      </c>
      <c r="AD81" s="26">
        <f>MAX(V7_BURN_FLOOR,1-V7_BURN_SLOPE*MIN(1,MAX(0,R81)))</f>
        <v/>
      </c>
      <c r="AE81" s="26">
        <f>IF(V7_USE_ISSUER=1,IFERROR(VLOOKUP(Q81,V7_ISSUER_TABLE,3,FALSE),1),1)</f>
        <v/>
      </c>
      <c r="AF81" s="26">
        <f>PRODUCT(W81:AE81)</f>
        <v/>
      </c>
      <c r="AG81" s="27">
        <f>MIN(V7_BASE_SMM*AF81,V7_SMM_CAP)</f>
        <v/>
      </c>
      <c r="AH81" s="28">
        <f>1-(1-AG81)^12</f>
        <v/>
      </c>
      <c r="AI81" s="28">
        <f>IFERROR(LN(W81)/(LN(W81)+LN(X81)+LN(Y81)+LN(Z81)+LN(AA81)+LN(AB81)+LN(AC81)+LN(AD81))*(AH81-V7_BASE_CPR),0)</f>
        <v/>
      </c>
      <c r="AJ81" s="28">
        <f>IFERROR(LN(X81)/(LN(W81)+LN(X81)+LN(Y81)+LN(Z81)+LN(AA81)+LN(AB81)+LN(AC81)+LN(AD81))*(AH81-V7_BASE_CPR),0)</f>
        <v/>
      </c>
      <c r="AK81" s="28">
        <f>IFERROR(LN(Y81)/(LN(W81)+LN(X81)+LN(Y81)+LN(Z81)+LN(AA81)+LN(AB81)+LN(AC81)+LN(AD81))*(AH81-V7_BASE_CPR),0)</f>
        <v/>
      </c>
      <c r="AL81" s="28">
        <f>IFERROR(LN(Z81)/(LN(W81)+LN(X81)+LN(Y81)+LN(Z81)+LN(AA81)+LN(AB81)+LN(AC81)+LN(AD81))*(AH81-V7_BASE_CPR),0)</f>
        <v/>
      </c>
      <c r="AM81" s="28">
        <f>IFERROR(LN(AA81)/(LN(W81)+LN(X81)+LN(Y81)+LN(Z81)+LN(AA81)+LN(AB81)+LN(AC81)+LN(AD81))*(AH81-V7_BASE_CPR),0)</f>
        <v/>
      </c>
      <c r="AN81" s="28">
        <f>IFERROR(LN(AB81)/(LN(W81)+LN(X81)+LN(Y81)+LN(Z81)+LN(AA81)+LN(AB81)+LN(AC81)+LN(AD81))*(AH81-V7_BASE_CPR),0)</f>
        <v/>
      </c>
      <c r="AO81" s="28">
        <f>IFERROR(LN(AC81)/(LN(W81)+LN(X81)+LN(Y81)+LN(Z81)+LN(AA81)+LN(AB81)+LN(AC81)+LN(AD81))*(AH81-V7_BASE_CPR),0)</f>
        <v/>
      </c>
      <c r="AP81" s="28">
        <f>IFERROR(LN(AD81)/(LN(W81)+LN(X81)+LN(Y81)+LN(Z81)+LN(AA81)+LN(AB81)+LN(AC81)+LN(AD81))*(AH81-V7_BASE_CPR),0)</f>
        <v/>
      </c>
      <c r="AQ81" s="29">
        <f>V7_BASE_CPR+SUM(AI81:AP81)-AH81</f>
        <v/>
      </c>
    </row>
    <row r="82">
      <c r="A82" s="2" t="inlineStr">
        <is>
          <t>36180M4N4_000000008111083</t>
        </is>
      </c>
      <c r="B82" t="inlineStr">
        <is>
          <t>WALKER_PRE21</t>
        </is>
      </c>
      <c r="C82" s="2" t="inlineStr">
        <is>
          <t>36180M4N4</t>
        </is>
      </c>
      <c r="D82" t="inlineStr">
        <is>
          <t>WALKER &amp; DUNLOP, LLC</t>
        </is>
      </c>
      <c r="E82" t="inlineStr">
        <is>
          <t>223f</t>
        </is>
      </c>
      <c r="F82" t="inlineStr">
        <is>
          <t>RP</t>
        </is>
      </c>
      <c r="G82" t="n">
        <v>2013</v>
      </c>
      <c r="H82" t="inlineStr">
        <is>
          <t>202602</t>
        </is>
      </c>
      <c r="I82" s="22" t="n">
        <v>696510.77</v>
      </c>
      <c r="J82" s="23" t="n">
        <v>2.97</v>
      </c>
      <c r="K82" s="24" t="n">
        <v>447</v>
      </c>
      <c r="L82" s="24" t="n">
        <v>0</v>
      </c>
      <c r="M82" t="n">
        <v>152</v>
      </c>
      <c r="N82" s="25" t="n">
        <v>27</v>
      </c>
      <c r="O82" t="n">
        <v>204307</v>
      </c>
      <c r="P82" t="inlineStr"/>
      <c r="Q82" t="inlineStr">
        <is>
          <t>4080</t>
        </is>
      </c>
      <c r="R82" s="26" t="n">
        <v>0.1776315789473684</v>
      </c>
      <c r="S82" t="n">
        <v>0</v>
      </c>
      <c r="T82" s="23">
        <f>LN(1+I82)</f>
        <v/>
      </c>
      <c r="U82" s="24">
        <f>J82*100-K82</f>
        <v/>
      </c>
      <c r="V82" s="24">
        <f>U82-12.5*(L82+1)</f>
        <v/>
      </c>
      <c r="W82" s="26">
        <f>IF(M82&lt;=V7_AGE_KNOT_X_0,V7_AGE_KNOT_Y_0,IF(M82&gt;=V7_AGE_KNOT_X_5,V7_AGE_KNOT_Y_5,IF(M82&lt;=V7_AGE_KNOT_X_1,V7_AGE_KNOT_Y_0+(M82-V7_AGE_KNOT_X_0)/(V7_AGE_KNOT_X_1-V7_AGE_KNOT_X_0)*(V7_AGE_KNOT_Y_1-V7_AGE_KNOT_Y_0),IF(M82&lt;=V7_AGE_KNOT_X_2,V7_AGE_KNOT_Y_1+(M82-V7_AGE_KNOT_X_1)/(V7_AGE_KNOT_X_2-V7_AGE_KNOT_X_1)*(V7_AGE_KNOT_Y_2-V7_AGE_KNOT_Y_1),IF(M82&lt;=V7_AGE_KNOT_X_3,V7_AGE_KNOT_Y_2+(M82-V7_AGE_KNOT_X_2)/(V7_AGE_KNOT_X_3-V7_AGE_KNOT_X_2)*(V7_AGE_KNOT_Y_3-V7_AGE_KNOT_Y_2),IF(M82&lt;=V7_AGE_KNOT_X_4,V7_AGE_KNOT_Y_3+(M82-V7_AGE_KNOT_X_3)/(V7_AGE_KNOT_X_4-V7_AGE_KNOT_X_3)*(V7_AGE_KNOT_Y_4-V7_AGE_KNOT_Y_3),V7_AGE_KNOT_Y_4+(M82-V7_AGE_KNOT_X_4)/(V7_AGE_KNOT_X_5-V7_AGE_KNOT_X_4)*(V7_AGE_KNOT_Y_5-V7_AGE_KNOT_Y_4)))))))</f>
        <v/>
      </c>
      <c r="X82" s="26">
        <f>V7_RATE_FLOOR+V7_RATE_ASYMPTOTE/(1+EXP(-(V82-V7_RATE_MID)/V7_RATE_SLOPE))</f>
        <v/>
      </c>
      <c r="Y82" s="26">
        <f>MAX(V7_SIZE_LOW,MIN(V7_SIZE_HIGH,V7_SIZE_INTERCEPT+V7_SIZE_SLOPE*(T82-V7_SIZE_LOG_ANCHOR)))</f>
        <v/>
      </c>
      <c r="Z82" s="26">
        <f>IF(ISNUMBER(SEARCH("232",E82)),VLOOKUP("232",V7_PROGRAM_TABLE,2,FALSE),IF(ISNUMBER(SEARCH("538",E82)),VLOOKUP("538",V7_PROGRAM_TABLE,2,FALSE),IF(ISNUMBER(SEARCH("223a7",E82)),VLOOKUP("223a7",V7_PROGRAM_TABLE,2,FALSE),IF(ISNUMBER(SEARCH("223f",E82)),VLOOKUP("223f",V7_PROGRAM_TABLE,2,FALSE),V7_PROGRAM_DEFAULT))))</f>
        <v/>
      </c>
      <c r="AA82" s="26">
        <f>IF(S82=1,1+V7_PURPOSE_NC_BUMP*MAX(0,1-ABS(M82-V7_PURPOSE_PEAK_AGE)/V7_PURPOSE_WIDTH),1)</f>
        <v/>
      </c>
      <c r="AB82" s="26">
        <f>IF(AND(IF(OR(P82="",NOT(ISNUMBER(P82))),0,MAX(0,MIN(24,(INT(VALUE(H82)/100)-INT(P82/100))*12+MOD(VALUE(H82),100)-MOD(P82,100))))&gt;0,IF(OR(P82="",NOT(ISNUMBER(P82))),0,MAX(0,MIN(24,(INT(VALUE(H82)/100)-INT(P82/100))*12+MOD(VALUE(H82),100)-MOD(P82,100))))&lt;=12),1+V7_LOCKOUT_AMP*EXP(-(IF(OR(P82="",NOT(ISNUMBER(P82))),0,MAX(0,MIN(24,(INT(VALUE(H82)/100)-INT(P82/100))*12+MOD(VALUE(H82),100)-MOD(P82,100)))))/V7_LOCKOUT_TAU),1)</f>
        <v/>
      </c>
      <c r="AC82" s="26">
        <f>IF(IF(OR(O82="",NOT(ISNUMBER(O82))),360,MAX(0,MIN(480,(INT(O82/100)-INT(VALUE(H82)/100))*12+MOD(O82,100)-MOD(VALUE(H82),100))))&gt;0,1+V7_MTY_AMP*MAX(0,(V7_MTY_CUTOFF-(IF(OR(O82="",NOT(ISNUMBER(O82))),360,MAX(0,MIN(480,(INT(O82/100)-INT(VALUE(H82)/100))*12+MOD(O82,100)-MOD(VALUE(H82),100))))))/V7_MTY_CUTOFF),1)</f>
        <v/>
      </c>
      <c r="AD82" s="26">
        <f>MAX(V7_BURN_FLOOR,1-V7_BURN_SLOPE*MIN(1,MAX(0,R82)))</f>
        <v/>
      </c>
      <c r="AE82" s="26">
        <f>IF(V7_USE_ISSUER=1,IFERROR(VLOOKUP(Q82,V7_ISSUER_TABLE,3,FALSE),1),1)</f>
        <v/>
      </c>
      <c r="AF82" s="26">
        <f>PRODUCT(W82:AE82)</f>
        <v/>
      </c>
      <c r="AG82" s="27">
        <f>MIN(V7_BASE_SMM*AF82,V7_SMM_CAP)</f>
        <v/>
      </c>
      <c r="AH82" s="28">
        <f>1-(1-AG82)^12</f>
        <v/>
      </c>
      <c r="AI82" s="28">
        <f>IFERROR(LN(W82)/(LN(W82)+LN(X82)+LN(Y82)+LN(Z82)+LN(AA82)+LN(AB82)+LN(AC82)+LN(AD82))*(AH82-V7_BASE_CPR),0)</f>
        <v/>
      </c>
      <c r="AJ82" s="28">
        <f>IFERROR(LN(X82)/(LN(W82)+LN(X82)+LN(Y82)+LN(Z82)+LN(AA82)+LN(AB82)+LN(AC82)+LN(AD82))*(AH82-V7_BASE_CPR),0)</f>
        <v/>
      </c>
      <c r="AK82" s="28">
        <f>IFERROR(LN(Y82)/(LN(W82)+LN(X82)+LN(Y82)+LN(Z82)+LN(AA82)+LN(AB82)+LN(AC82)+LN(AD82))*(AH82-V7_BASE_CPR),0)</f>
        <v/>
      </c>
      <c r="AL82" s="28">
        <f>IFERROR(LN(Z82)/(LN(W82)+LN(X82)+LN(Y82)+LN(Z82)+LN(AA82)+LN(AB82)+LN(AC82)+LN(AD82))*(AH82-V7_BASE_CPR),0)</f>
        <v/>
      </c>
      <c r="AM82" s="28">
        <f>IFERROR(LN(AA82)/(LN(W82)+LN(X82)+LN(Y82)+LN(Z82)+LN(AA82)+LN(AB82)+LN(AC82)+LN(AD82))*(AH82-V7_BASE_CPR),0)</f>
        <v/>
      </c>
      <c r="AN82" s="28">
        <f>IFERROR(LN(AB82)/(LN(W82)+LN(X82)+LN(Y82)+LN(Z82)+LN(AA82)+LN(AB82)+LN(AC82)+LN(AD82))*(AH82-V7_BASE_CPR),0)</f>
        <v/>
      </c>
      <c r="AO82" s="28">
        <f>IFERROR(LN(AC82)/(LN(W82)+LN(X82)+LN(Y82)+LN(Z82)+LN(AA82)+LN(AB82)+LN(AC82)+LN(AD82))*(AH82-V7_BASE_CPR),0)</f>
        <v/>
      </c>
      <c r="AP82" s="28">
        <f>IFERROR(LN(AD82)/(LN(W82)+LN(X82)+LN(Y82)+LN(Z82)+LN(AA82)+LN(AB82)+LN(AC82)+LN(AD82))*(AH82-V7_BASE_CPR),0)</f>
        <v/>
      </c>
      <c r="AQ82" s="29">
        <f>V7_BASE_CPR+SUM(AI82:AP82)-AH82</f>
        <v/>
      </c>
    </row>
    <row r="83">
      <c r="A83" s="2" t="inlineStr">
        <is>
          <t>3617YC4K7_000000005138032</t>
        </is>
      </c>
      <c r="B83" t="inlineStr">
        <is>
          <t>WALKER_POST21</t>
        </is>
      </c>
      <c r="C83" s="2" t="inlineStr">
        <is>
          <t>3617YC4K7</t>
        </is>
      </c>
      <c r="D83" t="inlineStr">
        <is>
          <t>WALKER &amp; DUNLOP, LLC</t>
        </is>
      </c>
      <c r="E83" t="inlineStr">
        <is>
          <t>OTHER</t>
        </is>
      </c>
      <c r="F83" t="inlineStr">
        <is>
          <t>OTHER</t>
        </is>
      </c>
      <c r="G83" t="n">
        <v>2022</v>
      </c>
      <c r="H83" t="inlineStr">
        <is>
          <t>202602</t>
        </is>
      </c>
      <c r="I83" s="22" t="n">
        <v>31181676.4</v>
      </c>
      <c r="J83" s="23" t="n">
        <v>3.15</v>
      </c>
      <c r="K83" s="24" t="n">
        <v>447</v>
      </c>
      <c r="L83" s="24" t="n">
        <v>9</v>
      </c>
      <c r="M83" t="n">
        <v>45</v>
      </c>
      <c r="N83" s="25" t="n">
        <v>0</v>
      </c>
      <c r="O83" t="n">
        <v>206406</v>
      </c>
      <c r="P83" t="inlineStr"/>
      <c r="Q83" t="inlineStr">
        <is>
          <t>4080</t>
        </is>
      </c>
      <c r="R83" s="26" t="n">
        <v>0</v>
      </c>
      <c r="S83" t="n">
        <v>0</v>
      </c>
      <c r="T83" s="23">
        <f>LN(1+I83)</f>
        <v/>
      </c>
      <c r="U83" s="24">
        <f>J83*100-K83</f>
        <v/>
      </c>
      <c r="V83" s="24">
        <f>U83-12.5*(L83+1)</f>
        <v/>
      </c>
      <c r="W83" s="26">
        <f>IF(M83&lt;=V7_AGE_KNOT_X_0,V7_AGE_KNOT_Y_0,IF(M83&gt;=V7_AGE_KNOT_X_5,V7_AGE_KNOT_Y_5,IF(M83&lt;=V7_AGE_KNOT_X_1,V7_AGE_KNOT_Y_0+(M83-V7_AGE_KNOT_X_0)/(V7_AGE_KNOT_X_1-V7_AGE_KNOT_X_0)*(V7_AGE_KNOT_Y_1-V7_AGE_KNOT_Y_0),IF(M83&lt;=V7_AGE_KNOT_X_2,V7_AGE_KNOT_Y_1+(M83-V7_AGE_KNOT_X_1)/(V7_AGE_KNOT_X_2-V7_AGE_KNOT_X_1)*(V7_AGE_KNOT_Y_2-V7_AGE_KNOT_Y_1),IF(M83&lt;=V7_AGE_KNOT_X_3,V7_AGE_KNOT_Y_2+(M83-V7_AGE_KNOT_X_2)/(V7_AGE_KNOT_X_3-V7_AGE_KNOT_X_2)*(V7_AGE_KNOT_Y_3-V7_AGE_KNOT_Y_2),IF(M83&lt;=V7_AGE_KNOT_X_4,V7_AGE_KNOT_Y_3+(M83-V7_AGE_KNOT_X_3)/(V7_AGE_KNOT_X_4-V7_AGE_KNOT_X_3)*(V7_AGE_KNOT_Y_4-V7_AGE_KNOT_Y_3),V7_AGE_KNOT_Y_4+(M83-V7_AGE_KNOT_X_4)/(V7_AGE_KNOT_X_5-V7_AGE_KNOT_X_4)*(V7_AGE_KNOT_Y_5-V7_AGE_KNOT_Y_4)))))))</f>
        <v/>
      </c>
      <c r="X83" s="26">
        <f>V7_RATE_FLOOR+V7_RATE_ASYMPTOTE/(1+EXP(-(V83-V7_RATE_MID)/V7_RATE_SLOPE))</f>
        <v/>
      </c>
      <c r="Y83" s="26">
        <f>MAX(V7_SIZE_LOW,MIN(V7_SIZE_HIGH,V7_SIZE_INTERCEPT+V7_SIZE_SLOPE*(T83-V7_SIZE_LOG_ANCHOR)))</f>
        <v/>
      </c>
      <c r="Z83" s="26">
        <f>IF(ISNUMBER(SEARCH("232",E83)),VLOOKUP("232",V7_PROGRAM_TABLE,2,FALSE),IF(ISNUMBER(SEARCH("538",E83)),VLOOKUP("538",V7_PROGRAM_TABLE,2,FALSE),IF(ISNUMBER(SEARCH("223a7",E83)),VLOOKUP("223a7",V7_PROGRAM_TABLE,2,FALSE),IF(ISNUMBER(SEARCH("223f",E83)),VLOOKUP("223f",V7_PROGRAM_TABLE,2,FALSE),V7_PROGRAM_DEFAULT))))</f>
        <v/>
      </c>
      <c r="AA83" s="26">
        <f>IF(S83=1,1+V7_PURPOSE_NC_BUMP*MAX(0,1-ABS(M83-V7_PURPOSE_PEAK_AGE)/V7_PURPOSE_WIDTH),1)</f>
        <v/>
      </c>
      <c r="AB83" s="26">
        <f>IF(AND(IF(OR(P83="",NOT(ISNUMBER(P83))),0,MAX(0,MIN(24,(INT(VALUE(H83)/100)-INT(P83/100))*12+MOD(VALUE(H83),100)-MOD(P83,100))))&gt;0,IF(OR(P83="",NOT(ISNUMBER(P83))),0,MAX(0,MIN(24,(INT(VALUE(H83)/100)-INT(P83/100))*12+MOD(VALUE(H83),100)-MOD(P83,100))))&lt;=12),1+V7_LOCKOUT_AMP*EXP(-(IF(OR(P83="",NOT(ISNUMBER(P83))),0,MAX(0,MIN(24,(INT(VALUE(H83)/100)-INT(P83/100))*12+MOD(VALUE(H83),100)-MOD(P83,100)))))/V7_LOCKOUT_TAU),1)</f>
        <v/>
      </c>
      <c r="AC83" s="26">
        <f>IF(IF(OR(O83="",NOT(ISNUMBER(O83))),360,MAX(0,MIN(480,(INT(O83/100)-INT(VALUE(H83)/100))*12+MOD(O83,100)-MOD(VALUE(H83),100))))&gt;0,1+V7_MTY_AMP*MAX(0,(V7_MTY_CUTOFF-(IF(OR(O83="",NOT(ISNUMBER(O83))),360,MAX(0,MIN(480,(INT(O83/100)-INT(VALUE(H83)/100))*12+MOD(O83,100)-MOD(VALUE(H83),100))))))/V7_MTY_CUTOFF),1)</f>
        <v/>
      </c>
      <c r="AD83" s="26">
        <f>MAX(V7_BURN_FLOOR,1-V7_BURN_SLOPE*MIN(1,MAX(0,R83)))</f>
        <v/>
      </c>
      <c r="AE83" s="26">
        <f>IF(V7_USE_ISSUER=1,IFERROR(VLOOKUP(Q83,V7_ISSUER_TABLE,3,FALSE),1),1)</f>
        <v/>
      </c>
      <c r="AF83" s="26">
        <f>PRODUCT(W83:AE83)</f>
        <v/>
      </c>
      <c r="AG83" s="27">
        <f>MIN(V7_BASE_SMM*AF83,V7_SMM_CAP)</f>
        <v/>
      </c>
      <c r="AH83" s="28">
        <f>1-(1-AG83)^12</f>
        <v/>
      </c>
      <c r="AI83" s="28">
        <f>IFERROR(LN(W83)/(LN(W83)+LN(X83)+LN(Y83)+LN(Z83)+LN(AA83)+LN(AB83)+LN(AC83)+LN(AD83))*(AH83-V7_BASE_CPR),0)</f>
        <v/>
      </c>
      <c r="AJ83" s="28">
        <f>IFERROR(LN(X83)/(LN(W83)+LN(X83)+LN(Y83)+LN(Z83)+LN(AA83)+LN(AB83)+LN(AC83)+LN(AD83))*(AH83-V7_BASE_CPR),0)</f>
        <v/>
      </c>
      <c r="AK83" s="28">
        <f>IFERROR(LN(Y83)/(LN(W83)+LN(X83)+LN(Y83)+LN(Z83)+LN(AA83)+LN(AB83)+LN(AC83)+LN(AD83))*(AH83-V7_BASE_CPR),0)</f>
        <v/>
      </c>
      <c r="AL83" s="28">
        <f>IFERROR(LN(Z83)/(LN(W83)+LN(X83)+LN(Y83)+LN(Z83)+LN(AA83)+LN(AB83)+LN(AC83)+LN(AD83))*(AH83-V7_BASE_CPR),0)</f>
        <v/>
      </c>
      <c r="AM83" s="28">
        <f>IFERROR(LN(AA83)/(LN(W83)+LN(X83)+LN(Y83)+LN(Z83)+LN(AA83)+LN(AB83)+LN(AC83)+LN(AD83))*(AH83-V7_BASE_CPR),0)</f>
        <v/>
      </c>
      <c r="AN83" s="28">
        <f>IFERROR(LN(AB83)/(LN(W83)+LN(X83)+LN(Y83)+LN(Z83)+LN(AA83)+LN(AB83)+LN(AC83)+LN(AD83))*(AH83-V7_BASE_CPR),0)</f>
        <v/>
      </c>
      <c r="AO83" s="28">
        <f>IFERROR(LN(AC83)/(LN(W83)+LN(X83)+LN(Y83)+LN(Z83)+LN(AA83)+LN(AB83)+LN(AC83)+LN(AD83))*(AH83-V7_BASE_CPR),0)</f>
        <v/>
      </c>
      <c r="AP83" s="28">
        <f>IFERROR(LN(AD83)/(LN(W83)+LN(X83)+LN(Y83)+LN(Z83)+LN(AA83)+LN(AB83)+LN(AC83)+LN(AD83))*(AH83-V7_BASE_CPR),0)</f>
        <v/>
      </c>
      <c r="AQ83" s="29">
        <f>V7_BASE_CPR+SUM(AI83:AP83)-AH83</f>
        <v/>
      </c>
    </row>
    <row r="84">
      <c r="A84" s="2" t="inlineStr">
        <is>
          <t>36177KSB3_000000012711174</t>
        </is>
      </c>
      <c r="B84" t="inlineStr">
        <is>
          <t>WALKER_PRE21</t>
        </is>
      </c>
      <c r="C84" s="2" t="inlineStr">
        <is>
          <t>36177KSB3</t>
        </is>
      </c>
      <c r="D84" t="inlineStr">
        <is>
          <t>WALKER &amp; DUNLOP, LLC</t>
        </is>
      </c>
      <c r="E84" t="inlineStr">
        <is>
          <t>223f</t>
        </is>
      </c>
      <c r="F84" t="inlineStr">
        <is>
          <t>RP</t>
        </is>
      </c>
      <c r="G84" t="n">
        <v>2012</v>
      </c>
      <c r="H84" t="inlineStr">
        <is>
          <t>202602</t>
        </is>
      </c>
      <c r="I84" s="22" t="n">
        <v>1897260.93</v>
      </c>
      <c r="J84" s="23" t="n">
        <v>3.35</v>
      </c>
      <c r="K84" s="24" t="n">
        <v>447</v>
      </c>
      <c r="L84" s="24" t="n">
        <v>0</v>
      </c>
      <c r="M84" t="n">
        <v>163</v>
      </c>
      <c r="N84" s="25" t="n">
        <v>33</v>
      </c>
      <c r="O84" t="n">
        <v>204708</v>
      </c>
      <c r="P84" t="n">
        <v>201409</v>
      </c>
      <c r="Q84" t="inlineStr">
        <is>
          <t>4080</t>
        </is>
      </c>
      <c r="R84" s="26" t="n">
        <v>0.2024539877300613</v>
      </c>
      <c r="S84" t="n">
        <v>0</v>
      </c>
      <c r="T84" s="23">
        <f>LN(1+I84)</f>
        <v/>
      </c>
      <c r="U84" s="24">
        <f>J84*100-K84</f>
        <v/>
      </c>
      <c r="V84" s="24">
        <f>U84-12.5*(L84+1)</f>
        <v/>
      </c>
      <c r="W84" s="26">
        <f>IF(M84&lt;=V7_AGE_KNOT_X_0,V7_AGE_KNOT_Y_0,IF(M84&gt;=V7_AGE_KNOT_X_5,V7_AGE_KNOT_Y_5,IF(M84&lt;=V7_AGE_KNOT_X_1,V7_AGE_KNOT_Y_0+(M84-V7_AGE_KNOT_X_0)/(V7_AGE_KNOT_X_1-V7_AGE_KNOT_X_0)*(V7_AGE_KNOT_Y_1-V7_AGE_KNOT_Y_0),IF(M84&lt;=V7_AGE_KNOT_X_2,V7_AGE_KNOT_Y_1+(M84-V7_AGE_KNOT_X_1)/(V7_AGE_KNOT_X_2-V7_AGE_KNOT_X_1)*(V7_AGE_KNOT_Y_2-V7_AGE_KNOT_Y_1),IF(M84&lt;=V7_AGE_KNOT_X_3,V7_AGE_KNOT_Y_2+(M84-V7_AGE_KNOT_X_2)/(V7_AGE_KNOT_X_3-V7_AGE_KNOT_X_2)*(V7_AGE_KNOT_Y_3-V7_AGE_KNOT_Y_2),IF(M84&lt;=V7_AGE_KNOT_X_4,V7_AGE_KNOT_Y_3+(M84-V7_AGE_KNOT_X_3)/(V7_AGE_KNOT_X_4-V7_AGE_KNOT_X_3)*(V7_AGE_KNOT_Y_4-V7_AGE_KNOT_Y_3),V7_AGE_KNOT_Y_4+(M84-V7_AGE_KNOT_X_4)/(V7_AGE_KNOT_X_5-V7_AGE_KNOT_X_4)*(V7_AGE_KNOT_Y_5-V7_AGE_KNOT_Y_4)))))))</f>
        <v/>
      </c>
      <c r="X84" s="26">
        <f>V7_RATE_FLOOR+V7_RATE_ASYMPTOTE/(1+EXP(-(V84-V7_RATE_MID)/V7_RATE_SLOPE))</f>
        <v/>
      </c>
      <c r="Y84" s="26">
        <f>MAX(V7_SIZE_LOW,MIN(V7_SIZE_HIGH,V7_SIZE_INTERCEPT+V7_SIZE_SLOPE*(T84-V7_SIZE_LOG_ANCHOR)))</f>
        <v/>
      </c>
      <c r="Z84" s="26">
        <f>IF(ISNUMBER(SEARCH("232",E84)),VLOOKUP("232",V7_PROGRAM_TABLE,2,FALSE),IF(ISNUMBER(SEARCH("538",E84)),VLOOKUP("538",V7_PROGRAM_TABLE,2,FALSE),IF(ISNUMBER(SEARCH("223a7",E84)),VLOOKUP("223a7",V7_PROGRAM_TABLE,2,FALSE),IF(ISNUMBER(SEARCH("223f",E84)),VLOOKUP("223f",V7_PROGRAM_TABLE,2,FALSE),V7_PROGRAM_DEFAULT))))</f>
        <v/>
      </c>
      <c r="AA84" s="26">
        <f>IF(S84=1,1+V7_PURPOSE_NC_BUMP*MAX(0,1-ABS(M84-V7_PURPOSE_PEAK_AGE)/V7_PURPOSE_WIDTH),1)</f>
        <v/>
      </c>
      <c r="AB84" s="26">
        <f>IF(AND(IF(OR(P84="",NOT(ISNUMBER(P84))),0,MAX(0,MIN(24,(INT(VALUE(H84)/100)-INT(P84/100))*12+MOD(VALUE(H84),100)-MOD(P84,100))))&gt;0,IF(OR(P84="",NOT(ISNUMBER(P84))),0,MAX(0,MIN(24,(INT(VALUE(H84)/100)-INT(P84/100))*12+MOD(VALUE(H84),100)-MOD(P84,100))))&lt;=12),1+V7_LOCKOUT_AMP*EXP(-(IF(OR(P84="",NOT(ISNUMBER(P84))),0,MAX(0,MIN(24,(INT(VALUE(H84)/100)-INT(P84/100))*12+MOD(VALUE(H84),100)-MOD(P84,100)))))/V7_LOCKOUT_TAU),1)</f>
        <v/>
      </c>
      <c r="AC84" s="26">
        <f>IF(IF(OR(O84="",NOT(ISNUMBER(O84))),360,MAX(0,MIN(480,(INT(O84/100)-INT(VALUE(H84)/100))*12+MOD(O84,100)-MOD(VALUE(H84),100))))&gt;0,1+V7_MTY_AMP*MAX(0,(V7_MTY_CUTOFF-(IF(OR(O84="",NOT(ISNUMBER(O84))),360,MAX(0,MIN(480,(INT(O84/100)-INT(VALUE(H84)/100))*12+MOD(O84,100)-MOD(VALUE(H84),100))))))/V7_MTY_CUTOFF),1)</f>
        <v/>
      </c>
      <c r="AD84" s="26">
        <f>MAX(V7_BURN_FLOOR,1-V7_BURN_SLOPE*MIN(1,MAX(0,R84)))</f>
        <v/>
      </c>
      <c r="AE84" s="26">
        <f>IF(V7_USE_ISSUER=1,IFERROR(VLOOKUP(Q84,V7_ISSUER_TABLE,3,FALSE),1),1)</f>
        <v/>
      </c>
      <c r="AF84" s="26">
        <f>PRODUCT(W84:AE84)</f>
        <v/>
      </c>
      <c r="AG84" s="27">
        <f>MIN(V7_BASE_SMM*AF84,V7_SMM_CAP)</f>
        <v/>
      </c>
      <c r="AH84" s="28">
        <f>1-(1-AG84)^12</f>
        <v/>
      </c>
      <c r="AI84" s="28">
        <f>IFERROR(LN(W84)/(LN(W84)+LN(X84)+LN(Y84)+LN(Z84)+LN(AA84)+LN(AB84)+LN(AC84)+LN(AD84))*(AH84-V7_BASE_CPR),0)</f>
        <v/>
      </c>
      <c r="AJ84" s="28">
        <f>IFERROR(LN(X84)/(LN(W84)+LN(X84)+LN(Y84)+LN(Z84)+LN(AA84)+LN(AB84)+LN(AC84)+LN(AD84))*(AH84-V7_BASE_CPR),0)</f>
        <v/>
      </c>
      <c r="AK84" s="28">
        <f>IFERROR(LN(Y84)/(LN(W84)+LN(X84)+LN(Y84)+LN(Z84)+LN(AA84)+LN(AB84)+LN(AC84)+LN(AD84))*(AH84-V7_BASE_CPR),0)</f>
        <v/>
      </c>
      <c r="AL84" s="28">
        <f>IFERROR(LN(Z84)/(LN(W84)+LN(X84)+LN(Y84)+LN(Z84)+LN(AA84)+LN(AB84)+LN(AC84)+LN(AD84))*(AH84-V7_BASE_CPR),0)</f>
        <v/>
      </c>
      <c r="AM84" s="28">
        <f>IFERROR(LN(AA84)/(LN(W84)+LN(X84)+LN(Y84)+LN(Z84)+LN(AA84)+LN(AB84)+LN(AC84)+LN(AD84))*(AH84-V7_BASE_CPR),0)</f>
        <v/>
      </c>
      <c r="AN84" s="28">
        <f>IFERROR(LN(AB84)/(LN(W84)+LN(X84)+LN(Y84)+LN(Z84)+LN(AA84)+LN(AB84)+LN(AC84)+LN(AD84))*(AH84-V7_BASE_CPR),0)</f>
        <v/>
      </c>
      <c r="AO84" s="28">
        <f>IFERROR(LN(AC84)/(LN(W84)+LN(X84)+LN(Y84)+LN(Z84)+LN(AA84)+LN(AB84)+LN(AC84)+LN(AD84))*(AH84-V7_BASE_CPR),0)</f>
        <v/>
      </c>
      <c r="AP84" s="28">
        <f>IFERROR(LN(AD84)/(LN(W84)+LN(X84)+LN(Y84)+LN(Z84)+LN(AA84)+LN(AB84)+LN(AC84)+LN(AD84))*(AH84-V7_BASE_CPR),0)</f>
        <v/>
      </c>
      <c r="AQ84" s="29">
        <f>V7_BASE_CPR+SUM(AI84:AP84)-AH84</f>
        <v/>
      </c>
    </row>
    <row r="85">
      <c r="A85" s="2" t="inlineStr">
        <is>
          <t>3617WNQG0_000000005143257</t>
        </is>
      </c>
      <c r="B85" t="inlineStr">
        <is>
          <t>WALKER_POST21</t>
        </is>
      </c>
      <c r="C85" s="2" t="inlineStr">
        <is>
          <t>3617WNQG0</t>
        </is>
      </c>
      <c r="D85" t="inlineStr">
        <is>
          <t>WALKER &amp; DUNLOP, LLC</t>
        </is>
      </c>
      <c r="E85" t="inlineStr">
        <is>
          <t>232</t>
        </is>
      </c>
      <c r="F85" t="inlineStr">
        <is>
          <t>NC</t>
        </is>
      </c>
      <c r="G85" t="n">
        <v>2021</v>
      </c>
      <c r="H85" t="inlineStr">
        <is>
          <t>202602</t>
        </is>
      </c>
      <c r="I85" s="22" t="n">
        <v>20697799.73</v>
      </c>
      <c r="J85" s="23" t="n">
        <v>2.69</v>
      </c>
      <c r="K85" s="24" t="n">
        <v>447</v>
      </c>
      <c r="L85" s="24" t="n">
        <v>8</v>
      </c>
      <c r="M85" t="n">
        <v>50</v>
      </c>
      <c r="N85" s="25" t="n">
        <v>0</v>
      </c>
      <c r="O85" t="n">
        <v>206310</v>
      </c>
      <c r="P85" t="inlineStr"/>
      <c r="Q85" t="inlineStr">
        <is>
          <t>4080</t>
        </is>
      </c>
      <c r="R85" s="26" t="n">
        <v>0</v>
      </c>
      <c r="S85" t="n">
        <v>1</v>
      </c>
      <c r="T85" s="23">
        <f>LN(1+I85)</f>
        <v/>
      </c>
      <c r="U85" s="24">
        <f>J85*100-K85</f>
        <v/>
      </c>
      <c r="V85" s="24">
        <f>U85-12.5*(L85+1)</f>
        <v/>
      </c>
      <c r="W85" s="26">
        <f>IF(M85&lt;=V7_AGE_KNOT_X_0,V7_AGE_KNOT_Y_0,IF(M85&gt;=V7_AGE_KNOT_X_5,V7_AGE_KNOT_Y_5,IF(M85&lt;=V7_AGE_KNOT_X_1,V7_AGE_KNOT_Y_0+(M85-V7_AGE_KNOT_X_0)/(V7_AGE_KNOT_X_1-V7_AGE_KNOT_X_0)*(V7_AGE_KNOT_Y_1-V7_AGE_KNOT_Y_0),IF(M85&lt;=V7_AGE_KNOT_X_2,V7_AGE_KNOT_Y_1+(M85-V7_AGE_KNOT_X_1)/(V7_AGE_KNOT_X_2-V7_AGE_KNOT_X_1)*(V7_AGE_KNOT_Y_2-V7_AGE_KNOT_Y_1),IF(M85&lt;=V7_AGE_KNOT_X_3,V7_AGE_KNOT_Y_2+(M85-V7_AGE_KNOT_X_2)/(V7_AGE_KNOT_X_3-V7_AGE_KNOT_X_2)*(V7_AGE_KNOT_Y_3-V7_AGE_KNOT_Y_2),IF(M85&lt;=V7_AGE_KNOT_X_4,V7_AGE_KNOT_Y_3+(M85-V7_AGE_KNOT_X_3)/(V7_AGE_KNOT_X_4-V7_AGE_KNOT_X_3)*(V7_AGE_KNOT_Y_4-V7_AGE_KNOT_Y_3),V7_AGE_KNOT_Y_4+(M85-V7_AGE_KNOT_X_4)/(V7_AGE_KNOT_X_5-V7_AGE_KNOT_X_4)*(V7_AGE_KNOT_Y_5-V7_AGE_KNOT_Y_4)))))))</f>
        <v/>
      </c>
      <c r="X85" s="26">
        <f>V7_RATE_FLOOR+V7_RATE_ASYMPTOTE/(1+EXP(-(V85-V7_RATE_MID)/V7_RATE_SLOPE))</f>
        <v/>
      </c>
      <c r="Y85" s="26">
        <f>MAX(V7_SIZE_LOW,MIN(V7_SIZE_HIGH,V7_SIZE_INTERCEPT+V7_SIZE_SLOPE*(T85-V7_SIZE_LOG_ANCHOR)))</f>
        <v/>
      </c>
      <c r="Z85" s="26">
        <f>IF(ISNUMBER(SEARCH("232",E85)),VLOOKUP("232",V7_PROGRAM_TABLE,2,FALSE),IF(ISNUMBER(SEARCH("538",E85)),VLOOKUP("538",V7_PROGRAM_TABLE,2,FALSE),IF(ISNUMBER(SEARCH("223a7",E85)),VLOOKUP("223a7",V7_PROGRAM_TABLE,2,FALSE),IF(ISNUMBER(SEARCH("223f",E85)),VLOOKUP("223f",V7_PROGRAM_TABLE,2,FALSE),V7_PROGRAM_DEFAULT))))</f>
        <v/>
      </c>
      <c r="AA85" s="26">
        <f>IF(S85=1,1+V7_PURPOSE_NC_BUMP*MAX(0,1-ABS(M85-V7_PURPOSE_PEAK_AGE)/V7_PURPOSE_WIDTH),1)</f>
        <v/>
      </c>
      <c r="AB85" s="26">
        <f>IF(AND(IF(OR(P85="",NOT(ISNUMBER(P85))),0,MAX(0,MIN(24,(INT(VALUE(H85)/100)-INT(P85/100))*12+MOD(VALUE(H85),100)-MOD(P85,100))))&gt;0,IF(OR(P85="",NOT(ISNUMBER(P85))),0,MAX(0,MIN(24,(INT(VALUE(H85)/100)-INT(P85/100))*12+MOD(VALUE(H85),100)-MOD(P85,100))))&lt;=12),1+V7_LOCKOUT_AMP*EXP(-(IF(OR(P85="",NOT(ISNUMBER(P85))),0,MAX(0,MIN(24,(INT(VALUE(H85)/100)-INT(P85/100))*12+MOD(VALUE(H85),100)-MOD(P85,100)))))/V7_LOCKOUT_TAU),1)</f>
        <v/>
      </c>
      <c r="AC85" s="26">
        <f>IF(IF(OR(O85="",NOT(ISNUMBER(O85))),360,MAX(0,MIN(480,(INT(O85/100)-INT(VALUE(H85)/100))*12+MOD(O85,100)-MOD(VALUE(H85),100))))&gt;0,1+V7_MTY_AMP*MAX(0,(V7_MTY_CUTOFF-(IF(OR(O85="",NOT(ISNUMBER(O85))),360,MAX(0,MIN(480,(INT(O85/100)-INT(VALUE(H85)/100))*12+MOD(O85,100)-MOD(VALUE(H85),100))))))/V7_MTY_CUTOFF),1)</f>
        <v/>
      </c>
      <c r="AD85" s="26">
        <f>MAX(V7_BURN_FLOOR,1-V7_BURN_SLOPE*MIN(1,MAX(0,R85)))</f>
        <v/>
      </c>
      <c r="AE85" s="26">
        <f>IF(V7_USE_ISSUER=1,IFERROR(VLOOKUP(Q85,V7_ISSUER_TABLE,3,FALSE),1),1)</f>
        <v/>
      </c>
      <c r="AF85" s="26">
        <f>PRODUCT(W85:AE85)</f>
        <v/>
      </c>
      <c r="AG85" s="27">
        <f>MIN(V7_BASE_SMM*AF85,V7_SMM_CAP)</f>
        <v/>
      </c>
      <c r="AH85" s="28">
        <f>1-(1-AG85)^12</f>
        <v/>
      </c>
      <c r="AI85" s="28">
        <f>IFERROR(LN(W85)/(LN(W85)+LN(X85)+LN(Y85)+LN(Z85)+LN(AA85)+LN(AB85)+LN(AC85)+LN(AD85))*(AH85-V7_BASE_CPR),0)</f>
        <v/>
      </c>
      <c r="AJ85" s="28">
        <f>IFERROR(LN(X85)/(LN(W85)+LN(X85)+LN(Y85)+LN(Z85)+LN(AA85)+LN(AB85)+LN(AC85)+LN(AD85))*(AH85-V7_BASE_CPR),0)</f>
        <v/>
      </c>
      <c r="AK85" s="28">
        <f>IFERROR(LN(Y85)/(LN(W85)+LN(X85)+LN(Y85)+LN(Z85)+LN(AA85)+LN(AB85)+LN(AC85)+LN(AD85))*(AH85-V7_BASE_CPR),0)</f>
        <v/>
      </c>
      <c r="AL85" s="28">
        <f>IFERROR(LN(Z85)/(LN(W85)+LN(X85)+LN(Y85)+LN(Z85)+LN(AA85)+LN(AB85)+LN(AC85)+LN(AD85))*(AH85-V7_BASE_CPR),0)</f>
        <v/>
      </c>
      <c r="AM85" s="28">
        <f>IFERROR(LN(AA85)/(LN(W85)+LN(X85)+LN(Y85)+LN(Z85)+LN(AA85)+LN(AB85)+LN(AC85)+LN(AD85))*(AH85-V7_BASE_CPR),0)</f>
        <v/>
      </c>
      <c r="AN85" s="28">
        <f>IFERROR(LN(AB85)/(LN(W85)+LN(X85)+LN(Y85)+LN(Z85)+LN(AA85)+LN(AB85)+LN(AC85)+LN(AD85))*(AH85-V7_BASE_CPR),0)</f>
        <v/>
      </c>
      <c r="AO85" s="28">
        <f>IFERROR(LN(AC85)/(LN(W85)+LN(X85)+LN(Y85)+LN(Z85)+LN(AA85)+LN(AB85)+LN(AC85)+LN(AD85))*(AH85-V7_BASE_CPR),0)</f>
        <v/>
      </c>
      <c r="AP85" s="28">
        <f>IFERROR(LN(AD85)/(LN(W85)+LN(X85)+LN(Y85)+LN(Z85)+LN(AA85)+LN(AB85)+LN(AC85)+LN(AD85))*(AH85-V7_BASE_CPR),0)</f>
        <v/>
      </c>
      <c r="AQ85" s="29">
        <f>V7_BASE_CPR+SUM(AI85:AP85)-AH85</f>
        <v/>
      </c>
    </row>
    <row r="86">
      <c r="A86" s="2" t="inlineStr">
        <is>
          <t>3618KST93_000000012911145</t>
        </is>
      </c>
      <c r="B86" t="inlineStr">
        <is>
          <t>WALKER_POST21</t>
        </is>
      </c>
      <c r="C86" s="2" t="inlineStr">
        <is>
          <t>3618KST93</t>
        </is>
      </c>
      <c r="D86" t="inlineStr">
        <is>
          <t>WALKER &amp; DUNLOP, LLC</t>
        </is>
      </c>
      <c r="E86" t="inlineStr">
        <is>
          <t>223f</t>
        </is>
      </c>
      <c r="F86" t="inlineStr">
        <is>
          <t>RP</t>
        </is>
      </c>
      <c r="G86" t="n">
        <v>2025</v>
      </c>
      <c r="H86" t="inlineStr">
        <is>
          <t>202602</t>
        </is>
      </c>
      <c r="I86" s="22" t="n">
        <v>69885954.31999999</v>
      </c>
      <c r="J86" s="23" t="n">
        <v>5.95</v>
      </c>
      <c r="K86" s="24" t="n">
        <v>447</v>
      </c>
      <c r="L86" s="24" t="n">
        <v>10</v>
      </c>
      <c r="M86" t="n">
        <v>7</v>
      </c>
      <c r="N86" s="25" t="n">
        <v>1</v>
      </c>
      <c r="O86" t="n">
        <v>206008</v>
      </c>
      <c r="P86" t="inlineStr"/>
      <c r="Q86" t="inlineStr">
        <is>
          <t>4080</t>
        </is>
      </c>
      <c r="R86" s="26" t="n">
        <v>0.1428571428571428</v>
      </c>
      <c r="S86" t="n">
        <v>0</v>
      </c>
      <c r="T86" s="23">
        <f>LN(1+I86)</f>
        <v/>
      </c>
      <c r="U86" s="24">
        <f>J86*100-K86</f>
        <v/>
      </c>
      <c r="V86" s="24">
        <f>U86-12.5*(L86+1)</f>
        <v/>
      </c>
      <c r="W86" s="26">
        <f>IF(M86&lt;=V7_AGE_KNOT_X_0,V7_AGE_KNOT_Y_0,IF(M86&gt;=V7_AGE_KNOT_X_5,V7_AGE_KNOT_Y_5,IF(M86&lt;=V7_AGE_KNOT_X_1,V7_AGE_KNOT_Y_0+(M86-V7_AGE_KNOT_X_0)/(V7_AGE_KNOT_X_1-V7_AGE_KNOT_X_0)*(V7_AGE_KNOT_Y_1-V7_AGE_KNOT_Y_0),IF(M86&lt;=V7_AGE_KNOT_X_2,V7_AGE_KNOT_Y_1+(M86-V7_AGE_KNOT_X_1)/(V7_AGE_KNOT_X_2-V7_AGE_KNOT_X_1)*(V7_AGE_KNOT_Y_2-V7_AGE_KNOT_Y_1),IF(M86&lt;=V7_AGE_KNOT_X_3,V7_AGE_KNOT_Y_2+(M86-V7_AGE_KNOT_X_2)/(V7_AGE_KNOT_X_3-V7_AGE_KNOT_X_2)*(V7_AGE_KNOT_Y_3-V7_AGE_KNOT_Y_2),IF(M86&lt;=V7_AGE_KNOT_X_4,V7_AGE_KNOT_Y_3+(M86-V7_AGE_KNOT_X_3)/(V7_AGE_KNOT_X_4-V7_AGE_KNOT_X_3)*(V7_AGE_KNOT_Y_4-V7_AGE_KNOT_Y_3),V7_AGE_KNOT_Y_4+(M86-V7_AGE_KNOT_X_4)/(V7_AGE_KNOT_X_5-V7_AGE_KNOT_X_4)*(V7_AGE_KNOT_Y_5-V7_AGE_KNOT_Y_4)))))))</f>
        <v/>
      </c>
      <c r="X86" s="26">
        <f>V7_RATE_FLOOR+V7_RATE_ASYMPTOTE/(1+EXP(-(V86-V7_RATE_MID)/V7_RATE_SLOPE))</f>
        <v/>
      </c>
      <c r="Y86" s="26">
        <f>MAX(V7_SIZE_LOW,MIN(V7_SIZE_HIGH,V7_SIZE_INTERCEPT+V7_SIZE_SLOPE*(T86-V7_SIZE_LOG_ANCHOR)))</f>
        <v/>
      </c>
      <c r="Z86" s="26">
        <f>IF(ISNUMBER(SEARCH("232",E86)),VLOOKUP("232",V7_PROGRAM_TABLE,2,FALSE),IF(ISNUMBER(SEARCH("538",E86)),VLOOKUP("538",V7_PROGRAM_TABLE,2,FALSE),IF(ISNUMBER(SEARCH("223a7",E86)),VLOOKUP("223a7",V7_PROGRAM_TABLE,2,FALSE),IF(ISNUMBER(SEARCH("223f",E86)),VLOOKUP("223f",V7_PROGRAM_TABLE,2,FALSE),V7_PROGRAM_DEFAULT))))</f>
        <v/>
      </c>
      <c r="AA86" s="26">
        <f>IF(S86=1,1+V7_PURPOSE_NC_BUMP*MAX(0,1-ABS(M86-V7_PURPOSE_PEAK_AGE)/V7_PURPOSE_WIDTH),1)</f>
        <v/>
      </c>
      <c r="AB86" s="26">
        <f>IF(AND(IF(OR(P86="",NOT(ISNUMBER(P86))),0,MAX(0,MIN(24,(INT(VALUE(H86)/100)-INT(P86/100))*12+MOD(VALUE(H86),100)-MOD(P86,100))))&gt;0,IF(OR(P86="",NOT(ISNUMBER(P86))),0,MAX(0,MIN(24,(INT(VALUE(H86)/100)-INT(P86/100))*12+MOD(VALUE(H86),100)-MOD(P86,100))))&lt;=12),1+V7_LOCKOUT_AMP*EXP(-(IF(OR(P86="",NOT(ISNUMBER(P86))),0,MAX(0,MIN(24,(INT(VALUE(H86)/100)-INT(P86/100))*12+MOD(VALUE(H86),100)-MOD(P86,100)))))/V7_LOCKOUT_TAU),1)</f>
        <v/>
      </c>
      <c r="AC86" s="26">
        <f>IF(IF(OR(O86="",NOT(ISNUMBER(O86))),360,MAX(0,MIN(480,(INT(O86/100)-INT(VALUE(H86)/100))*12+MOD(O86,100)-MOD(VALUE(H86),100))))&gt;0,1+V7_MTY_AMP*MAX(0,(V7_MTY_CUTOFF-(IF(OR(O86="",NOT(ISNUMBER(O86))),360,MAX(0,MIN(480,(INT(O86/100)-INT(VALUE(H86)/100))*12+MOD(O86,100)-MOD(VALUE(H86),100))))))/V7_MTY_CUTOFF),1)</f>
        <v/>
      </c>
      <c r="AD86" s="26">
        <f>MAX(V7_BURN_FLOOR,1-V7_BURN_SLOPE*MIN(1,MAX(0,R86)))</f>
        <v/>
      </c>
      <c r="AE86" s="26">
        <f>IF(V7_USE_ISSUER=1,IFERROR(VLOOKUP(Q86,V7_ISSUER_TABLE,3,FALSE),1),1)</f>
        <v/>
      </c>
      <c r="AF86" s="26">
        <f>PRODUCT(W86:AE86)</f>
        <v/>
      </c>
      <c r="AG86" s="27">
        <f>MIN(V7_BASE_SMM*AF86,V7_SMM_CAP)</f>
        <v/>
      </c>
      <c r="AH86" s="28">
        <f>1-(1-AG86)^12</f>
        <v/>
      </c>
      <c r="AI86" s="28">
        <f>IFERROR(LN(W86)/(LN(W86)+LN(X86)+LN(Y86)+LN(Z86)+LN(AA86)+LN(AB86)+LN(AC86)+LN(AD86))*(AH86-V7_BASE_CPR),0)</f>
        <v/>
      </c>
      <c r="AJ86" s="28">
        <f>IFERROR(LN(X86)/(LN(W86)+LN(X86)+LN(Y86)+LN(Z86)+LN(AA86)+LN(AB86)+LN(AC86)+LN(AD86))*(AH86-V7_BASE_CPR),0)</f>
        <v/>
      </c>
      <c r="AK86" s="28">
        <f>IFERROR(LN(Y86)/(LN(W86)+LN(X86)+LN(Y86)+LN(Z86)+LN(AA86)+LN(AB86)+LN(AC86)+LN(AD86))*(AH86-V7_BASE_CPR),0)</f>
        <v/>
      </c>
      <c r="AL86" s="28">
        <f>IFERROR(LN(Z86)/(LN(W86)+LN(X86)+LN(Y86)+LN(Z86)+LN(AA86)+LN(AB86)+LN(AC86)+LN(AD86))*(AH86-V7_BASE_CPR),0)</f>
        <v/>
      </c>
      <c r="AM86" s="28">
        <f>IFERROR(LN(AA86)/(LN(W86)+LN(X86)+LN(Y86)+LN(Z86)+LN(AA86)+LN(AB86)+LN(AC86)+LN(AD86))*(AH86-V7_BASE_CPR),0)</f>
        <v/>
      </c>
      <c r="AN86" s="28">
        <f>IFERROR(LN(AB86)/(LN(W86)+LN(X86)+LN(Y86)+LN(Z86)+LN(AA86)+LN(AB86)+LN(AC86)+LN(AD86))*(AH86-V7_BASE_CPR),0)</f>
        <v/>
      </c>
      <c r="AO86" s="28">
        <f>IFERROR(LN(AC86)/(LN(W86)+LN(X86)+LN(Y86)+LN(Z86)+LN(AA86)+LN(AB86)+LN(AC86)+LN(AD86))*(AH86-V7_BASE_CPR),0)</f>
        <v/>
      </c>
      <c r="AP86" s="28">
        <f>IFERROR(LN(AD86)/(LN(W86)+LN(X86)+LN(Y86)+LN(Z86)+LN(AA86)+LN(AB86)+LN(AC86)+LN(AD86))*(AH86-V7_BASE_CPR),0)</f>
        <v/>
      </c>
      <c r="AQ86" s="29">
        <f>V7_BASE_CPR+SUM(AI86:AP86)-AH86</f>
        <v/>
      </c>
    </row>
    <row r="87">
      <c r="A87" s="2" t="inlineStr">
        <is>
          <t>3620C25U4_000000007235671</t>
        </is>
      </c>
      <c r="B87" t="inlineStr">
        <is>
          <t>WALKER_PRE21</t>
        </is>
      </c>
      <c r="C87" s="2" t="inlineStr">
        <is>
          <t>3620C25U4</t>
        </is>
      </c>
      <c r="D87" t="inlineStr">
        <is>
          <t>WALKER &amp; DUNLOP, LLC</t>
        </is>
      </c>
      <c r="E87" t="inlineStr">
        <is>
          <t>221d4</t>
        </is>
      </c>
      <c r="F87" t="inlineStr">
        <is>
          <t>RP</t>
        </is>
      </c>
      <c r="G87" t="n">
        <v>2010</v>
      </c>
      <c r="H87" t="inlineStr">
        <is>
          <t>202602</t>
        </is>
      </c>
      <c r="I87" s="22" t="n">
        <v>383060.16</v>
      </c>
      <c r="J87" s="23" t="n">
        <v>4.65</v>
      </c>
      <c r="K87" s="24" t="n">
        <v>447</v>
      </c>
      <c r="L87" s="24" t="n">
        <v>0</v>
      </c>
      <c r="M87" t="n">
        <v>187</v>
      </c>
      <c r="N87" s="25" t="n">
        <v>49</v>
      </c>
      <c r="O87" t="n">
        <v>203403</v>
      </c>
      <c r="P87" t="n">
        <v>201209</v>
      </c>
      <c r="Q87" t="inlineStr">
        <is>
          <t>4080</t>
        </is>
      </c>
      <c r="R87" s="26" t="n">
        <v>0.2620320855614973</v>
      </c>
      <c r="S87" t="n">
        <v>0</v>
      </c>
      <c r="T87" s="23">
        <f>LN(1+I87)</f>
        <v/>
      </c>
      <c r="U87" s="24">
        <f>J87*100-K87</f>
        <v/>
      </c>
      <c r="V87" s="24">
        <f>U87-12.5*(L87+1)</f>
        <v/>
      </c>
      <c r="W87" s="26">
        <f>IF(M87&lt;=V7_AGE_KNOT_X_0,V7_AGE_KNOT_Y_0,IF(M87&gt;=V7_AGE_KNOT_X_5,V7_AGE_KNOT_Y_5,IF(M87&lt;=V7_AGE_KNOT_X_1,V7_AGE_KNOT_Y_0+(M87-V7_AGE_KNOT_X_0)/(V7_AGE_KNOT_X_1-V7_AGE_KNOT_X_0)*(V7_AGE_KNOT_Y_1-V7_AGE_KNOT_Y_0),IF(M87&lt;=V7_AGE_KNOT_X_2,V7_AGE_KNOT_Y_1+(M87-V7_AGE_KNOT_X_1)/(V7_AGE_KNOT_X_2-V7_AGE_KNOT_X_1)*(V7_AGE_KNOT_Y_2-V7_AGE_KNOT_Y_1),IF(M87&lt;=V7_AGE_KNOT_X_3,V7_AGE_KNOT_Y_2+(M87-V7_AGE_KNOT_X_2)/(V7_AGE_KNOT_X_3-V7_AGE_KNOT_X_2)*(V7_AGE_KNOT_Y_3-V7_AGE_KNOT_Y_2),IF(M87&lt;=V7_AGE_KNOT_X_4,V7_AGE_KNOT_Y_3+(M87-V7_AGE_KNOT_X_3)/(V7_AGE_KNOT_X_4-V7_AGE_KNOT_X_3)*(V7_AGE_KNOT_Y_4-V7_AGE_KNOT_Y_3),V7_AGE_KNOT_Y_4+(M87-V7_AGE_KNOT_X_4)/(V7_AGE_KNOT_X_5-V7_AGE_KNOT_X_4)*(V7_AGE_KNOT_Y_5-V7_AGE_KNOT_Y_4)))))))</f>
        <v/>
      </c>
      <c r="X87" s="26">
        <f>V7_RATE_FLOOR+V7_RATE_ASYMPTOTE/(1+EXP(-(V87-V7_RATE_MID)/V7_RATE_SLOPE))</f>
        <v/>
      </c>
      <c r="Y87" s="26">
        <f>MAX(V7_SIZE_LOW,MIN(V7_SIZE_HIGH,V7_SIZE_INTERCEPT+V7_SIZE_SLOPE*(T87-V7_SIZE_LOG_ANCHOR)))</f>
        <v/>
      </c>
      <c r="Z87" s="26">
        <f>IF(ISNUMBER(SEARCH("232",E87)),VLOOKUP("232",V7_PROGRAM_TABLE,2,FALSE),IF(ISNUMBER(SEARCH("538",E87)),VLOOKUP("538",V7_PROGRAM_TABLE,2,FALSE),IF(ISNUMBER(SEARCH("223a7",E87)),VLOOKUP("223a7",V7_PROGRAM_TABLE,2,FALSE),IF(ISNUMBER(SEARCH("223f",E87)),VLOOKUP("223f",V7_PROGRAM_TABLE,2,FALSE),V7_PROGRAM_DEFAULT))))</f>
        <v/>
      </c>
      <c r="AA87" s="26">
        <f>IF(S87=1,1+V7_PURPOSE_NC_BUMP*MAX(0,1-ABS(M87-V7_PURPOSE_PEAK_AGE)/V7_PURPOSE_WIDTH),1)</f>
        <v/>
      </c>
      <c r="AB87" s="26">
        <f>IF(AND(IF(OR(P87="",NOT(ISNUMBER(P87))),0,MAX(0,MIN(24,(INT(VALUE(H87)/100)-INT(P87/100))*12+MOD(VALUE(H87),100)-MOD(P87,100))))&gt;0,IF(OR(P87="",NOT(ISNUMBER(P87))),0,MAX(0,MIN(24,(INT(VALUE(H87)/100)-INT(P87/100))*12+MOD(VALUE(H87),100)-MOD(P87,100))))&lt;=12),1+V7_LOCKOUT_AMP*EXP(-(IF(OR(P87="",NOT(ISNUMBER(P87))),0,MAX(0,MIN(24,(INT(VALUE(H87)/100)-INT(P87/100))*12+MOD(VALUE(H87),100)-MOD(P87,100)))))/V7_LOCKOUT_TAU),1)</f>
        <v/>
      </c>
      <c r="AC87" s="26">
        <f>IF(IF(OR(O87="",NOT(ISNUMBER(O87))),360,MAX(0,MIN(480,(INT(O87/100)-INT(VALUE(H87)/100))*12+MOD(O87,100)-MOD(VALUE(H87),100))))&gt;0,1+V7_MTY_AMP*MAX(0,(V7_MTY_CUTOFF-(IF(OR(O87="",NOT(ISNUMBER(O87))),360,MAX(0,MIN(480,(INT(O87/100)-INT(VALUE(H87)/100))*12+MOD(O87,100)-MOD(VALUE(H87),100))))))/V7_MTY_CUTOFF),1)</f>
        <v/>
      </c>
      <c r="AD87" s="26">
        <f>MAX(V7_BURN_FLOOR,1-V7_BURN_SLOPE*MIN(1,MAX(0,R87)))</f>
        <v/>
      </c>
      <c r="AE87" s="26">
        <f>IF(V7_USE_ISSUER=1,IFERROR(VLOOKUP(Q87,V7_ISSUER_TABLE,3,FALSE),1),1)</f>
        <v/>
      </c>
      <c r="AF87" s="26">
        <f>PRODUCT(W87:AE87)</f>
        <v/>
      </c>
      <c r="AG87" s="27">
        <f>MIN(V7_BASE_SMM*AF87,V7_SMM_CAP)</f>
        <v/>
      </c>
      <c r="AH87" s="28">
        <f>1-(1-AG87)^12</f>
        <v/>
      </c>
      <c r="AI87" s="28">
        <f>IFERROR(LN(W87)/(LN(W87)+LN(X87)+LN(Y87)+LN(Z87)+LN(AA87)+LN(AB87)+LN(AC87)+LN(AD87))*(AH87-V7_BASE_CPR),0)</f>
        <v/>
      </c>
      <c r="AJ87" s="28">
        <f>IFERROR(LN(X87)/(LN(W87)+LN(X87)+LN(Y87)+LN(Z87)+LN(AA87)+LN(AB87)+LN(AC87)+LN(AD87))*(AH87-V7_BASE_CPR),0)</f>
        <v/>
      </c>
      <c r="AK87" s="28">
        <f>IFERROR(LN(Y87)/(LN(W87)+LN(X87)+LN(Y87)+LN(Z87)+LN(AA87)+LN(AB87)+LN(AC87)+LN(AD87))*(AH87-V7_BASE_CPR),0)</f>
        <v/>
      </c>
      <c r="AL87" s="28">
        <f>IFERROR(LN(Z87)/(LN(W87)+LN(X87)+LN(Y87)+LN(Z87)+LN(AA87)+LN(AB87)+LN(AC87)+LN(AD87))*(AH87-V7_BASE_CPR),0)</f>
        <v/>
      </c>
      <c r="AM87" s="28">
        <f>IFERROR(LN(AA87)/(LN(W87)+LN(X87)+LN(Y87)+LN(Z87)+LN(AA87)+LN(AB87)+LN(AC87)+LN(AD87))*(AH87-V7_BASE_CPR),0)</f>
        <v/>
      </c>
      <c r="AN87" s="28">
        <f>IFERROR(LN(AB87)/(LN(W87)+LN(X87)+LN(Y87)+LN(Z87)+LN(AA87)+LN(AB87)+LN(AC87)+LN(AD87))*(AH87-V7_BASE_CPR),0)</f>
        <v/>
      </c>
      <c r="AO87" s="28">
        <f>IFERROR(LN(AC87)/(LN(W87)+LN(X87)+LN(Y87)+LN(Z87)+LN(AA87)+LN(AB87)+LN(AC87)+LN(AD87))*(AH87-V7_BASE_CPR),0)</f>
        <v/>
      </c>
      <c r="AP87" s="28">
        <f>IFERROR(LN(AD87)/(LN(W87)+LN(X87)+LN(Y87)+LN(Z87)+LN(AA87)+LN(AB87)+LN(AC87)+LN(AD87))*(AH87-V7_BASE_CPR),0)</f>
        <v/>
      </c>
      <c r="AQ87" s="29">
        <f>V7_BASE_CPR+SUM(AI87:AP87)-AH87</f>
        <v/>
      </c>
    </row>
    <row r="88">
      <c r="A88" s="2" t="inlineStr">
        <is>
          <t>3620C5WG8_000000012635300</t>
        </is>
      </c>
      <c r="B88" t="inlineStr">
        <is>
          <t>WALKER_PRE21</t>
        </is>
      </c>
      <c r="C88" s="2" t="inlineStr">
        <is>
          <t>3620C5WG8</t>
        </is>
      </c>
      <c r="D88" t="inlineStr">
        <is>
          <t>WALKER &amp; DUNLOP, LLC</t>
        </is>
      </c>
      <c r="E88" t="inlineStr">
        <is>
          <t>OTHER</t>
        </is>
      </c>
      <c r="F88" t="inlineStr">
        <is>
          <t>OTHER</t>
        </is>
      </c>
      <c r="G88" t="n">
        <v>2011</v>
      </c>
      <c r="H88" t="inlineStr">
        <is>
          <t>202602</t>
        </is>
      </c>
      <c r="I88" s="22" t="n">
        <v>1739264.07</v>
      </c>
      <c r="J88" s="23" t="n">
        <v>6.25</v>
      </c>
      <c r="K88" s="24" t="n">
        <v>447</v>
      </c>
      <c r="L88" s="24" t="n">
        <v>0</v>
      </c>
      <c r="M88" t="n">
        <v>174</v>
      </c>
      <c r="N88" s="25" t="n">
        <v>86</v>
      </c>
      <c r="O88" t="n">
        <v>205304</v>
      </c>
      <c r="P88" t="n">
        <v>201405</v>
      </c>
      <c r="Q88" t="inlineStr">
        <is>
          <t>4080</t>
        </is>
      </c>
      <c r="R88" s="26" t="n">
        <v>0.4942528735632184</v>
      </c>
      <c r="S88" t="n">
        <v>0</v>
      </c>
      <c r="T88" s="23">
        <f>LN(1+I88)</f>
        <v/>
      </c>
      <c r="U88" s="24">
        <f>J88*100-K88</f>
        <v/>
      </c>
      <c r="V88" s="24">
        <f>U88-12.5*(L88+1)</f>
        <v/>
      </c>
      <c r="W88" s="26">
        <f>IF(M88&lt;=V7_AGE_KNOT_X_0,V7_AGE_KNOT_Y_0,IF(M88&gt;=V7_AGE_KNOT_X_5,V7_AGE_KNOT_Y_5,IF(M88&lt;=V7_AGE_KNOT_X_1,V7_AGE_KNOT_Y_0+(M88-V7_AGE_KNOT_X_0)/(V7_AGE_KNOT_X_1-V7_AGE_KNOT_X_0)*(V7_AGE_KNOT_Y_1-V7_AGE_KNOT_Y_0),IF(M88&lt;=V7_AGE_KNOT_X_2,V7_AGE_KNOT_Y_1+(M88-V7_AGE_KNOT_X_1)/(V7_AGE_KNOT_X_2-V7_AGE_KNOT_X_1)*(V7_AGE_KNOT_Y_2-V7_AGE_KNOT_Y_1),IF(M88&lt;=V7_AGE_KNOT_X_3,V7_AGE_KNOT_Y_2+(M88-V7_AGE_KNOT_X_2)/(V7_AGE_KNOT_X_3-V7_AGE_KNOT_X_2)*(V7_AGE_KNOT_Y_3-V7_AGE_KNOT_Y_2),IF(M88&lt;=V7_AGE_KNOT_X_4,V7_AGE_KNOT_Y_3+(M88-V7_AGE_KNOT_X_3)/(V7_AGE_KNOT_X_4-V7_AGE_KNOT_X_3)*(V7_AGE_KNOT_Y_4-V7_AGE_KNOT_Y_3),V7_AGE_KNOT_Y_4+(M88-V7_AGE_KNOT_X_4)/(V7_AGE_KNOT_X_5-V7_AGE_KNOT_X_4)*(V7_AGE_KNOT_Y_5-V7_AGE_KNOT_Y_4)))))))</f>
        <v/>
      </c>
      <c r="X88" s="26">
        <f>V7_RATE_FLOOR+V7_RATE_ASYMPTOTE/(1+EXP(-(V88-V7_RATE_MID)/V7_RATE_SLOPE))</f>
        <v/>
      </c>
      <c r="Y88" s="26">
        <f>MAX(V7_SIZE_LOW,MIN(V7_SIZE_HIGH,V7_SIZE_INTERCEPT+V7_SIZE_SLOPE*(T88-V7_SIZE_LOG_ANCHOR)))</f>
        <v/>
      </c>
      <c r="Z88" s="26">
        <f>IF(ISNUMBER(SEARCH("232",E88)),VLOOKUP("232",V7_PROGRAM_TABLE,2,FALSE),IF(ISNUMBER(SEARCH("538",E88)),VLOOKUP("538",V7_PROGRAM_TABLE,2,FALSE),IF(ISNUMBER(SEARCH("223a7",E88)),VLOOKUP("223a7",V7_PROGRAM_TABLE,2,FALSE),IF(ISNUMBER(SEARCH("223f",E88)),VLOOKUP("223f",V7_PROGRAM_TABLE,2,FALSE),V7_PROGRAM_DEFAULT))))</f>
        <v/>
      </c>
      <c r="AA88" s="26">
        <f>IF(S88=1,1+V7_PURPOSE_NC_BUMP*MAX(0,1-ABS(M88-V7_PURPOSE_PEAK_AGE)/V7_PURPOSE_WIDTH),1)</f>
        <v/>
      </c>
      <c r="AB88" s="26">
        <f>IF(AND(IF(OR(P88="",NOT(ISNUMBER(P88))),0,MAX(0,MIN(24,(INT(VALUE(H88)/100)-INT(P88/100))*12+MOD(VALUE(H88),100)-MOD(P88,100))))&gt;0,IF(OR(P88="",NOT(ISNUMBER(P88))),0,MAX(0,MIN(24,(INT(VALUE(H88)/100)-INT(P88/100))*12+MOD(VALUE(H88),100)-MOD(P88,100))))&lt;=12),1+V7_LOCKOUT_AMP*EXP(-(IF(OR(P88="",NOT(ISNUMBER(P88))),0,MAX(0,MIN(24,(INT(VALUE(H88)/100)-INT(P88/100))*12+MOD(VALUE(H88),100)-MOD(P88,100)))))/V7_LOCKOUT_TAU),1)</f>
        <v/>
      </c>
      <c r="AC88" s="26">
        <f>IF(IF(OR(O88="",NOT(ISNUMBER(O88))),360,MAX(0,MIN(480,(INT(O88/100)-INT(VALUE(H88)/100))*12+MOD(O88,100)-MOD(VALUE(H88),100))))&gt;0,1+V7_MTY_AMP*MAX(0,(V7_MTY_CUTOFF-(IF(OR(O88="",NOT(ISNUMBER(O88))),360,MAX(0,MIN(480,(INT(O88/100)-INT(VALUE(H88)/100))*12+MOD(O88,100)-MOD(VALUE(H88),100))))))/V7_MTY_CUTOFF),1)</f>
        <v/>
      </c>
      <c r="AD88" s="26">
        <f>MAX(V7_BURN_FLOOR,1-V7_BURN_SLOPE*MIN(1,MAX(0,R88)))</f>
        <v/>
      </c>
      <c r="AE88" s="26">
        <f>IF(V7_USE_ISSUER=1,IFERROR(VLOOKUP(Q88,V7_ISSUER_TABLE,3,FALSE),1),1)</f>
        <v/>
      </c>
      <c r="AF88" s="26">
        <f>PRODUCT(W88:AE88)</f>
        <v/>
      </c>
      <c r="AG88" s="27">
        <f>MIN(V7_BASE_SMM*AF88,V7_SMM_CAP)</f>
        <v/>
      </c>
      <c r="AH88" s="28">
        <f>1-(1-AG88)^12</f>
        <v/>
      </c>
      <c r="AI88" s="28">
        <f>IFERROR(LN(W88)/(LN(W88)+LN(X88)+LN(Y88)+LN(Z88)+LN(AA88)+LN(AB88)+LN(AC88)+LN(AD88))*(AH88-V7_BASE_CPR),0)</f>
        <v/>
      </c>
      <c r="AJ88" s="28">
        <f>IFERROR(LN(X88)/(LN(W88)+LN(X88)+LN(Y88)+LN(Z88)+LN(AA88)+LN(AB88)+LN(AC88)+LN(AD88))*(AH88-V7_BASE_CPR),0)</f>
        <v/>
      </c>
      <c r="AK88" s="28">
        <f>IFERROR(LN(Y88)/(LN(W88)+LN(X88)+LN(Y88)+LN(Z88)+LN(AA88)+LN(AB88)+LN(AC88)+LN(AD88))*(AH88-V7_BASE_CPR),0)</f>
        <v/>
      </c>
      <c r="AL88" s="28">
        <f>IFERROR(LN(Z88)/(LN(W88)+LN(X88)+LN(Y88)+LN(Z88)+LN(AA88)+LN(AB88)+LN(AC88)+LN(AD88))*(AH88-V7_BASE_CPR),0)</f>
        <v/>
      </c>
      <c r="AM88" s="28">
        <f>IFERROR(LN(AA88)/(LN(W88)+LN(X88)+LN(Y88)+LN(Z88)+LN(AA88)+LN(AB88)+LN(AC88)+LN(AD88))*(AH88-V7_BASE_CPR),0)</f>
        <v/>
      </c>
      <c r="AN88" s="28">
        <f>IFERROR(LN(AB88)/(LN(W88)+LN(X88)+LN(Y88)+LN(Z88)+LN(AA88)+LN(AB88)+LN(AC88)+LN(AD88))*(AH88-V7_BASE_CPR),0)</f>
        <v/>
      </c>
      <c r="AO88" s="28">
        <f>IFERROR(LN(AC88)/(LN(W88)+LN(X88)+LN(Y88)+LN(Z88)+LN(AA88)+LN(AB88)+LN(AC88)+LN(AD88))*(AH88-V7_BASE_CPR),0)</f>
        <v/>
      </c>
      <c r="AP88" s="28">
        <f>IFERROR(LN(AD88)/(LN(W88)+LN(X88)+LN(Y88)+LN(Z88)+LN(AA88)+LN(AB88)+LN(AC88)+LN(AD88))*(AH88-V7_BASE_CPR),0)</f>
        <v/>
      </c>
      <c r="AQ88" s="29">
        <f>V7_BASE_CPR+SUM(AI88:AP88)-AH88</f>
        <v/>
      </c>
    </row>
    <row r="89">
      <c r="A89" s="2" t="inlineStr">
        <is>
          <t>3617F7NC6_000000012311329</t>
        </is>
      </c>
      <c r="B89" t="inlineStr">
        <is>
          <t>WALKER_POST21</t>
        </is>
      </c>
      <c r="C89" s="2" t="inlineStr">
        <is>
          <t>3617F7NC6</t>
        </is>
      </c>
      <c r="D89" t="inlineStr">
        <is>
          <t>WALKER &amp; DUNLOP, LLC</t>
        </is>
      </c>
      <c r="E89" t="inlineStr">
        <is>
          <t>223f</t>
        </is>
      </c>
      <c r="F89" t="inlineStr">
        <is>
          <t>RP</t>
        </is>
      </c>
      <c r="G89" t="n">
        <v>2022</v>
      </c>
      <c r="H89" t="inlineStr">
        <is>
          <t>202602</t>
        </is>
      </c>
      <c r="I89" s="22" t="n">
        <v>64446669.9</v>
      </c>
      <c r="J89" s="23" t="n">
        <v>4.25</v>
      </c>
      <c r="K89" s="24" t="n">
        <v>447</v>
      </c>
      <c r="L89" s="24" t="n">
        <v>7</v>
      </c>
      <c r="M89" t="n">
        <v>42</v>
      </c>
      <c r="N89" s="25" t="n">
        <v>0</v>
      </c>
      <c r="O89" t="n">
        <v>205709</v>
      </c>
      <c r="P89" t="inlineStr"/>
      <c r="Q89" t="inlineStr">
        <is>
          <t>4080</t>
        </is>
      </c>
      <c r="R89" s="26" t="n">
        <v>0</v>
      </c>
      <c r="S89" t="n">
        <v>0</v>
      </c>
      <c r="T89" s="23">
        <f>LN(1+I89)</f>
        <v/>
      </c>
      <c r="U89" s="24">
        <f>J89*100-K89</f>
        <v/>
      </c>
      <c r="V89" s="24">
        <f>U89-12.5*(L89+1)</f>
        <v/>
      </c>
      <c r="W89" s="26">
        <f>IF(M89&lt;=V7_AGE_KNOT_X_0,V7_AGE_KNOT_Y_0,IF(M89&gt;=V7_AGE_KNOT_X_5,V7_AGE_KNOT_Y_5,IF(M89&lt;=V7_AGE_KNOT_X_1,V7_AGE_KNOT_Y_0+(M89-V7_AGE_KNOT_X_0)/(V7_AGE_KNOT_X_1-V7_AGE_KNOT_X_0)*(V7_AGE_KNOT_Y_1-V7_AGE_KNOT_Y_0),IF(M89&lt;=V7_AGE_KNOT_X_2,V7_AGE_KNOT_Y_1+(M89-V7_AGE_KNOT_X_1)/(V7_AGE_KNOT_X_2-V7_AGE_KNOT_X_1)*(V7_AGE_KNOT_Y_2-V7_AGE_KNOT_Y_1),IF(M89&lt;=V7_AGE_KNOT_X_3,V7_AGE_KNOT_Y_2+(M89-V7_AGE_KNOT_X_2)/(V7_AGE_KNOT_X_3-V7_AGE_KNOT_X_2)*(V7_AGE_KNOT_Y_3-V7_AGE_KNOT_Y_2),IF(M89&lt;=V7_AGE_KNOT_X_4,V7_AGE_KNOT_Y_3+(M89-V7_AGE_KNOT_X_3)/(V7_AGE_KNOT_X_4-V7_AGE_KNOT_X_3)*(V7_AGE_KNOT_Y_4-V7_AGE_KNOT_Y_3),V7_AGE_KNOT_Y_4+(M89-V7_AGE_KNOT_X_4)/(V7_AGE_KNOT_X_5-V7_AGE_KNOT_X_4)*(V7_AGE_KNOT_Y_5-V7_AGE_KNOT_Y_4)))))))</f>
        <v/>
      </c>
      <c r="X89" s="26">
        <f>V7_RATE_FLOOR+V7_RATE_ASYMPTOTE/(1+EXP(-(V89-V7_RATE_MID)/V7_RATE_SLOPE))</f>
        <v/>
      </c>
      <c r="Y89" s="26">
        <f>MAX(V7_SIZE_LOW,MIN(V7_SIZE_HIGH,V7_SIZE_INTERCEPT+V7_SIZE_SLOPE*(T89-V7_SIZE_LOG_ANCHOR)))</f>
        <v/>
      </c>
      <c r="Z89" s="26">
        <f>IF(ISNUMBER(SEARCH("232",E89)),VLOOKUP("232",V7_PROGRAM_TABLE,2,FALSE),IF(ISNUMBER(SEARCH("538",E89)),VLOOKUP("538",V7_PROGRAM_TABLE,2,FALSE),IF(ISNUMBER(SEARCH("223a7",E89)),VLOOKUP("223a7",V7_PROGRAM_TABLE,2,FALSE),IF(ISNUMBER(SEARCH("223f",E89)),VLOOKUP("223f",V7_PROGRAM_TABLE,2,FALSE),V7_PROGRAM_DEFAULT))))</f>
        <v/>
      </c>
      <c r="AA89" s="26">
        <f>IF(S89=1,1+V7_PURPOSE_NC_BUMP*MAX(0,1-ABS(M89-V7_PURPOSE_PEAK_AGE)/V7_PURPOSE_WIDTH),1)</f>
        <v/>
      </c>
      <c r="AB89" s="26">
        <f>IF(AND(IF(OR(P89="",NOT(ISNUMBER(P89))),0,MAX(0,MIN(24,(INT(VALUE(H89)/100)-INT(P89/100))*12+MOD(VALUE(H89),100)-MOD(P89,100))))&gt;0,IF(OR(P89="",NOT(ISNUMBER(P89))),0,MAX(0,MIN(24,(INT(VALUE(H89)/100)-INT(P89/100))*12+MOD(VALUE(H89),100)-MOD(P89,100))))&lt;=12),1+V7_LOCKOUT_AMP*EXP(-(IF(OR(P89="",NOT(ISNUMBER(P89))),0,MAX(0,MIN(24,(INT(VALUE(H89)/100)-INT(P89/100))*12+MOD(VALUE(H89),100)-MOD(P89,100)))))/V7_LOCKOUT_TAU),1)</f>
        <v/>
      </c>
      <c r="AC89" s="26">
        <f>IF(IF(OR(O89="",NOT(ISNUMBER(O89))),360,MAX(0,MIN(480,(INT(O89/100)-INT(VALUE(H89)/100))*12+MOD(O89,100)-MOD(VALUE(H89),100))))&gt;0,1+V7_MTY_AMP*MAX(0,(V7_MTY_CUTOFF-(IF(OR(O89="",NOT(ISNUMBER(O89))),360,MAX(0,MIN(480,(INT(O89/100)-INT(VALUE(H89)/100))*12+MOD(O89,100)-MOD(VALUE(H89),100))))))/V7_MTY_CUTOFF),1)</f>
        <v/>
      </c>
      <c r="AD89" s="26">
        <f>MAX(V7_BURN_FLOOR,1-V7_BURN_SLOPE*MIN(1,MAX(0,R89)))</f>
        <v/>
      </c>
      <c r="AE89" s="26">
        <f>IF(V7_USE_ISSUER=1,IFERROR(VLOOKUP(Q89,V7_ISSUER_TABLE,3,FALSE),1),1)</f>
        <v/>
      </c>
      <c r="AF89" s="26">
        <f>PRODUCT(W89:AE89)</f>
        <v/>
      </c>
      <c r="AG89" s="27">
        <f>MIN(V7_BASE_SMM*AF89,V7_SMM_CAP)</f>
        <v/>
      </c>
      <c r="AH89" s="28">
        <f>1-(1-AG89)^12</f>
        <v/>
      </c>
      <c r="AI89" s="28">
        <f>IFERROR(LN(W89)/(LN(W89)+LN(X89)+LN(Y89)+LN(Z89)+LN(AA89)+LN(AB89)+LN(AC89)+LN(AD89))*(AH89-V7_BASE_CPR),0)</f>
        <v/>
      </c>
      <c r="AJ89" s="28">
        <f>IFERROR(LN(X89)/(LN(W89)+LN(X89)+LN(Y89)+LN(Z89)+LN(AA89)+LN(AB89)+LN(AC89)+LN(AD89))*(AH89-V7_BASE_CPR),0)</f>
        <v/>
      </c>
      <c r="AK89" s="28">
        <f>IFERROR(LN(Y89)/(LN(W89)+LN(X89)+LN(Y89)+LN(Z89)+LN(AA89)+LN(AB89)+LN(AC89)+LN(AD89))*(AH89-V7_BASE_CPR),0)</f>
        <v/>
      </c>
      <c r="AL89" s="28">
        <f>IFERROR(LN(Z89)/(LN(W89)+LN(X89)+LN(Y89)+LN(Z89)+LN(AA89)+LN(AB89)+LN(AC89)+LN(AD89))*(AH89-V7_BASE_CPR),0)</f>
        <v/>
      </c>
      <c r="AM89" s="28">
        <f>IFERROR(LN(AA89)/(LN(W89)+LN(X89)+LN(Y89)+LN(Z89)+LN(AA89)+LN(AB89)+LN(AC89)+LN(AD89))*(AH89-V7_BASE_CPR),0)</f>
        <v/>
      </c>
      <c r="AN89" s="28">
        <f>IFERROR(LN(AB89)/(LN(W89)+LN(X89)+LN(Y89)+LN(Z89)+LN(AA89)+LN(AB89)+LN(AC89)+LN(AD89))*(AH89-V7_BASE_CPR),0)</f>
        <v/>
      </c>
      <c r="AO89" s="28">
        <f>IFERROR(LN(AC89)/(LN(W89)+LN(X89)+LN(Y89)+LN(Z89)+LN(AA89)+LN(AB89)+LN(AC89)+LN(AD89))*(AH89-V7_BASE_CPR),0)</f>
        <v/>
      </c>
      <c r="AP89" s="28">
        <f>IFERROR(LN(AD89)/(LN(W89)+LN(X89)+LN(Y89)+LN(Z89)+LN(AA89)+LN(AB89)+LN(AC89)+LN(AD89))*(AH89-V7_BASE_CPR),0)</f>
        <v/>
      </c>
      <c r="AQ89" s="29">
        <f>V7_BASE_CPR+SUM(AI89:AP89)-AH89</f>
        <v/>
      </c>
    </row>
    <row r="90">
      <c r="A90" s="2" t="inlineStr">
        <is>
          <t>3618AWG40_000000008711151</t>
        </is>
      </c>
      <c r="B90" t="inlineStr">
        <is>
          <t>WALKER_POST21</t>
        </is>
      </c>
      <c r="C90" s="2" t="inlineStr">
        <is>
          <t>3618AWG40</t>
        </is>
      </c>
      <c r="D90" t="inlineStr">
        <is>
          <t>WALKER &amp; DUNLOP, LLC</t>
        </is>
      </c>
      <c r="E90" t="inlineStr">
        <is>
          <t>223f</t>
        </is>
      </c>
      <c r="F90" t="inlineStr">
        <is>
          <t>RP</t>
        </is>
      </c>
      <c r="G90" t="n">
        <v>2023</v>
      </c>
      <c r="H90" t="inlineStr">
        <is>
          <t>202602</t>
        </is>
      </c>
      <c r="I90" s="22" t="n">
        <v>6005643.3</v>
      </c>
      <c r="J90" s="23" t="n">
        <v>6.19</v>
      </c>
      <c r="K90" s="24" t="n">
        <v>447</v>
      </c>
      <c r="L90" s="24" t="n">
        <v>8</v>
      </c>
      <c r="M90" t="n">
        <v>28</v>
      </c>
      <c r="N90" s="25" t="n">
        <v>7</v>
      </c>
      <c r="O90" t="n">
        <v>205811</v>
      </c>
      <c r="P90" t="inlineStr"/>
      <c r="Q90" t="inlineStr">
        <is>
          <t>4080</t>
        </is>
      </c>
      <c r="R90" s="26" t="n">
        <v>0.25</v>
      </c>
      <c r="S90" t="n">
        <v>0</v>
      </c>
      <c r="T90" s="23">
        <f>LN(1+I90)</f>
        <v/>
      </c>
      <c r="U90" s="24">
        <f>J90*100-K90</f>
        <v/>
      </c>
      <c r="V90" s="24">
        <f>U90-12.5*(L90+1)</f>
        <v/>
      </c>
      <c r="W90" s="26">
        <f>IF(M90&lt;=V7_AGE_KNOT_X_0,V7_AGE_KNOT_Y_0,IF(M90&gt;=V7_AGE_KNOT_X_5,V7_AGE_KNOT_Y_5,IF(M90&lt;=V7_AGE_KNOT_X_1,V7_AGE_KNOT_Y_0+(M90-V7_AGE_KNOT_X_0)/(V7_AGE_KNOT_X_1-V7_AGE_KNOT_X_0)*(V7_AGE_KNOT_Y_1-V7_AGE_KNOT_Y_0),IF(M90&lt;=V7_AGE_KNOT_X_2,V7_AGE_KNOT_Y_1+(M90-V7_AGE_KNOT_X_1)/(V7_AGE_KNOT_X_2-V7_AGE_KNOT_X_1)*(V7_AGE_KNOT_Y_2-V7_AGE_KNOT_Y_1),IF(M90&lt;=V7_AGE_KNOT_X_3,V7_AGE_KNOT_Y_2+(M90-V7_AGE_KNOT_X_2)/(V7_AGE_KNOT_X_3-V7_AGE_KNOT_X_2)*(V7_AGE_KNOT_Y_3-V7_AGE_KNOT_Y_2),IF(M90&lt;=V7_AGE_KNOT_X_4,V7_AGE_KNOT_Y_3+(M90-V7_AGE_KNOT_X_3)/(V7_AGE_KNOT_X_4-V7_AGE_KNOT_X_3)*(V7_AGE_KNOT_Y_4-V7_AGE_KNOT_Y_3),V7_AGE_KNOT_Y_4+(M90-V7_AGE_KNOT_X_4)/(V7_AGE_KNOT_X_5-V7_AGE_KNOT_X_4)*(V7_AGE_KNOT_Y_5-V7_AGE_KNOT_Y_4)))))))</f>
        <v/>
      </c>
      <c r="X90" s="26">
        <f>V7_RATE_FLOOR+V7_RATE_ASYMPTOTE/(1+EXP(-(V90-V7_RATE_MID)/V7_RATE_SLOPE))</f>
        <v/>
      </c>
      <c r="Y90" s="26">
        <f>MAX(V7_SIZE_LOW,MIN(V7_SIZE_HIGH,V7_SIZE_INTERCEPT+V7_SIZE_SLOPE*(T90-V7_SIZE_LOG_ANCHOR)))</f>
        <v/>
      </c>
      <c r="Z90" s="26">
        <f>IF(ISNUMBER(SEARCH("232",E90)),VLOOKUP("232",V7_PROGRAM_TABLE,2,FALSE),IF(ISNUMBER(SEARCH("538",E90)),VLOOKUP("538",V7_PROGRAM_TABLE,2,FALSE),IF(ISNUMBER(SEARCH("223a7",E90)),VLOOKUP("223a7",V7_PROGRAM_TABLE,2,FALSE),IF(ISNUMBER(SEARCH("223f",E90)),VLOOKUP("223f",V7_PROGRAM_TABLE,2,FALSE),V7_PROGRAM_DEFAULT))))</f>
        <v/>
      </c>
      <c r="AA90" s="26">
        <f>IF(S90=1,1+V7_PURPOSE_NC_BUMP*MAX(0,1-ABS(M90-V7_PURPOSE_PEAK_AGE)/V7_PURPOSE_WIDTH),1)</f>
        <v/>
      </c>
      <c r="AB90" s="26">
        <f>IF(AND(IF(OR(P90="",NOT(ISNUMBER(P90))),0,MAX(0,MIN(24,(INT(VALUE(H90)/100)-INT(P90/100))*12+MOD(VALUE(H90),100)-MOD(P90,100))))&gt;0,IF(OR(P90="",NOT(ISNUMBER(P90))),0,MAX(0,MIN(24,(INT(VALUE(H90)/100)-INT(P90/100))*12+MOD(VALUE(H90),100)-MOD(P90,100))))&lt;=12),1+V7_LOCKOUT_AMP*EXP(-(IF(OR(P90="",NOT(ISNUMBER(P90))),0,MAX(0,MIN(24,(INT(VALUE(H90)/100)-INT(P90/100))*12+MOD(VALUE(H90),100)-MOD(P90,100)))))/V7_LOCKOUT_TAU),1)</f>
        <v/>
      </c>
      <c r="AC90" s="26">
        <f>IF(IF(OR(O90="",NOT(ISNUMBER(O90))),360,MAX(0,MIN(480,(INT(O90/100)-INT(VALUE(H90)/100))*12+MOD(O90,100)-MOD(VALUE(H90),100))))&gt;0,1+V7_MTY_AMP*MAX(0,(V7_MTY_CUTOFF-(IF(OR(O90="",NOT(ISNUMBER(O90))),360,MAX(0,MIN(480,(INT(O90/100)-INT(VALUE(H90)/100))*12+MOD(O90,100)-MOD(VALUE(H90),100))))))/V7_MTY_CUTOFF),1)</f>
        <v/>
      </c>
      <c r="AD90" s="26">
        <f>MAX(V7_BURN_FLOOR,1-V7_BURN_SLOPE*MIN(1,MAX(0,R90)))</f>
        <v/>
      </c>
      <c r="AE90" s="26">
        <f>IF(V7_USE_ISSUER=1,IFERROR(VLOOKUP(Q90,V7_ISSUER_TABLE,3,FALSE),1),1)</f>
        <v/>
      </c>
      <c r="AF90" s="26">
        <f>PRODUCT(W90:AE90)</f>
        <v/>
      </c>
      <c r="AG90" s="27">
        <f>MIN(V7_BASE_SMM*AF90,V7_SMM_CAP)</f>
        <v/>
      </c>
      <c r="AH90" s="28">
        <f>1-(1-AG90)^12</f>
        <v/>
      </c>
      <c r="AI90" s="28">
        <f>IFERROR(LN(W90)/(LN(W90)+LN(X90)+LN(Y90)+LN(Z90)+LN(AA90)+LN(AB90)+LN(AC90)+LN(AD90))*(AH90-V7_BASE_CPR),0)</f>
        <v/>
      </c>
      <c r="AJ90" s="28">
        <f>IFERROR(LN(X90)/(LN(W90)+LN(X90)+LN(Y90)+LN(Z90)+LN(AA90)+LN(AB90)+LN(AC90)+LN(AD90))*(AH90-V7_BASE_CPR),0)</f>
        <v/>
      </c>
      <c r="AK90" s="28">
        <f>IFERROR(LN(Y90)/(LN(W90)+LN(X90)+LN(Y90)+LN(Z90)+LN(AA90)+LN(AB90)+LN(AC90)+LN(AD90))*(AH90-V7_BASE_CPR),0)</f>
        <v/>
      </c>
      <c r="AL90" s="28">
        <f>IFERROR(LN(Z90)/(LN(W90)+LN(X90)+LN(Y90)+LN(Z90)+LN(AA90)+LN(AB90)+LN(AC90)+LN(AD90))*(AH90-V7_BASE_CPR),0)</f>
        <v/>
      </c>
      <c r="AM90" s="28">
        <f>IFERROR(LN(AA90)/(LN(W90)+LN(X90)+LN(Y90)+LN(Z90)+LN(AA90)+LN(AB90)+LN(AC90)+LN(AD90))*(AH90-V7_BASE_CPR),0)</f>
        <v/>
      </c>
      <c r="AN90" s="28">
        <f>IFERROR(LN(AB90)/(LN(W90)+LN(X90)+LN(Y90)+LN(Z90)+LN(AA90)+LN(AB90)+LN(AC90)+LN(AD90))*(AH90-V7_BASE_CPR),0)</f>
        <v/>
      </c>
      <c r="AO90" s="28">
        <f>IFERROR(LN(AC90)/(LN(W90)+LN(X90)+LN(Y90)+LN(Z90)+LN(AA90)+LN(AB90)+LN(AC90)+LN(AD90))*(AH90-V7_BASE_CPR),0)</f>
        <v/>
      </c>
      <c r="AP90" s="28">
        <f>IFERROR(LN(AD90)/(LN(W90)+LN(X90)+LN(Y90)+LN(Z90)+LN(AA90)+LN(AB90)+LN(AC90)+LN(AD90))*(AH90-V7_BASE_CPR),0)</f>
        <v/>
      </c>
      <c r="AQ90" s="29">
        <f>V7_BASE_CPR+SUM(AI90:AP90)-AH90</f>
        <v/>
      </c>
    </row>
    <row r="91">
      <c r="A91" s="2" t="inlineStr">
        <is>
          <t>3617UQN29_000000014311196</t>
        </is>
      </c>
      <c r="B91" t="inlineStr">
        <is>
          <t>WALKER_PRE21</t>
        </is>
      </c>
      <c r="C91" s="2" t="inlineStr">
        <is>
          <t>3617UQN29</t>
        </is>
      </c>
      <c r="D91" t="inlineStr">
        <is>
          <t>WALKER &amp; DUNLOP, LLC</t>
        </is>
      </c>
      <c r="E91" t="inlineStr">
        <is>
          <t>223f</t>
        </is>
      </c>
      <c r="F91" t="inlineStr">
        <is>
          <t>RP</t>
        </is>
      </c>
      <c r="G91" t="n">
        <v>2018</v>
      </c>
      <c r="H91" t="inlineStr">
        <is>
          <t>202602</t>
        </is>
      </c>
      <c r="I91" s="22" t="n">
        <v>39007699.47</v>
      </c>
      <c r="J91" s="23" t="n">
        <v>3.38</v>
      </c>
      <c r="K91" s="24" t="n">
        <v>447</v>
      </c>
      <c r="L91" s="24" t="n">
        <v>7</v>
      </c>
      <c r="M91" t="n">
        <v>88</v>
      </c>
      <c r="N91" s="25" t="n">
        <v>9</v>
      </c>
      <c r="O91" t="n">
        <v>205311</v>
      </c>
      <c r="P91" t="n">
        <v>202204</v>
      </c>
      <c r="Q91" t="inlineStr">
        <is>
          <t>4080</t>
        </is>
      </c>
      <c r="R91" s="26" t="n">
        <v>0.1022727272727273</v>
      </c>
      <c r="S91" t="n">
        <v>0</v>
      </c>
      <c r="T91" s="23">
        <f>LN(1+I91)</f>
        <v/>
      </c>
      <c r="U91" s="24">
        <f>J91*100-K91</f>
        <v/>
      </c>
      <c r="V91" s="24">
        <f>U91-12.5*(L91+1)</f>
        <v/>
      </c>
      <c r="W91" s="26">
        <f>IF(M91&lt;=V7_AGE_KNOT_X_0,V7_AGE_KNOT_Y_0,IF(M91&gt;=V7_AGE_KNOT_X_5,V7_AGE_KNOT_Y_5,IF(M91&lt;=V7_AGE_KNOT_X_1,V7_AGE_KNOT_Y_0+(M91-V7_AGE_KNOT_X_0)/(V7_AGE_KNOT_X_1-V7_AGE_KNOT_X_0)*(V7_AGE_KNOT_Y_1-V7_AGE_KNOT_Y_0),IF(M91&lt;=V7_AGE_KNOT_X_2,V7_AGE_KNOT_Y_1+(M91-V7_AGE_KNOT_X_1)/(V7_AGE_KNOT_X_2-V7_AGE_KNOT_X_1)*(V7_AGE_KNOT_Y_2-V7_AGE_KNOT_Y_1),IF(M91&lt;=V7_AGE_KNOT_X_3,V7_AGE_KNOT_Y_2+(M91-V7_AGE_KNOT_X_2)/(V7_AGE_KNOT_X_3-V7_AGE_KNOT_X_2)*(V7_AGE_KNOT_Y_3-V7_AGE_KNOT_Y_2),IF(M91&lt;=V7_AGE_KNOT_X_4,V7_AGE_KNOT_Y_3+(M91-V7_AGE_KNOT_X_3)/(V7_AGE_KNOT_X_4-V7_AGE_KNOT_X_3)*(V7_AGE_KNOT_Y_4-V7_AGE_KNOT_Y_3),V7_AGE_KNOT_Y_4+(M91-V7_AGE_KNOT_X_4)/(V7_AGE_KNOT_X_5-V7_AGE_KNOT_X_4)*(V7_AGE_KNOT_Y_5-V7_AGE_KNOT_Y_4)))))))</f>
        <v/>
      </c>
      <c r="X91" s="26">
        <f>V7_RATE_FLOOR+V7_RATE_ASYMPTOTE/(1+EXP(-(V91-V7_RATE_MID)/V7_RATE_SLOPE))</f>
        <v/>
      </c>
      <c r="Y91" s="26">
        <f>MAX(V7_SIZE_LOW,MIN(V7_SIZE_HIGH,V7_SIZE_INTERCEPT+V7_SIZE_SLOPE*(T91-V7_SIZE_LOG_ANCHOR)))</f>
        <v/>
      </c>
      <c r="Z91" s="26">
        <f>IF(ISNUMBER(SEARCH("232",E91)),VLOOKUP("232",V7_PROGRAM_TABLE,2,FALSE),IF(ISNUMBER(SEARCH("538",E91)),VLOOKUP("538",V7_PROGRAM_TABLE,2,FALSE),IF(ISNUMBER(SEARCH("223a7",E91)),VLOOKUP("223a7",V7_PROGRAM_TABLE,2,FALSE),IF(ISNUMBER(SEARCH("223f",E91)),VLOOKUP("223f",V7_PROGRAM_TABLE,2,FALSE),V7_PROGRAM_DEFAULT))))</f>
        <v/>
      </c>
      <c r="AA91" s="26">
        <f>IF(S91=1,1+V7_PURPOSE_NC_BUMP*MAX(0,1-ABS(M91-V7_PURPOSE_PEAK_AGE)/V7_PURPOSE_WIDTH),1)</f>
        <v/>
      </c>
      <c r="AB91" s="26">
        <f>IF(AND(IF(OR(P91="",NOT(ISNUMBER(P91))),0,MAX(0,MIN(24,(INT(VALUE(H91)/100)-INT(P91/100))*12+MOD(VALUE(H91),100)-MOD(P91,100))))&gt;0,IF(OR(P91="",NOT(ISNUMBER(P91))),0,MAX(0,MIN(24,(INT(VALUE(H91)/100)-INT(P91/100))*12+MOD(VALUE(H91),100)-MOD(P91,100))))&lt;=12),1+V7_LOCKOUT_AMP*EXP(-(IF(OR(P91="",NOT(ISNUMBER(P91))),0,MAX(0,MIN(24,(INT(VALUE(H91)/100)-INT(P91/100))*12+MOD(VALUE(H91),100)-MOD(P91,100)))))/V7_LOCKOUT_TAU),1)</f>
        <v/>
      </c>
      <c r="AC91" s="26">
        <f>IF(IF(OR(O91="",NOT(ISNUMBER(O91))),360,MAX(0,MIN(480,(INT(O91/100)-INT(VALUE(H91)/100))*12+MOD(O91,100)-MOD(VALUE(H91),100))))&gt;0,1+V7_MTY_AMP*MAX(0,(V7_MTY_CUTOFF-(IF(OR(O91="",NOT(ISNUMBER(O91))),360,MAX(0,MIN(480,(INT(O91/100)-INT(VALUE(H91)/100))*12+MOD(O91,100)-MOD(VALUE(H91),100))))))/V7_MTY_CUTOFF),1)</f>
        <v/>
      </c>
      <c r="AD91" s="26">
        <f>MAX(V7_BURN_FLOOR,1-V7_BURN_SLOPE*MIN(1,MAX(0,R91)))</f>
        <v/>
      </c>
      <c r="AE91" s="26">
        <f>IF(V7_USE_ISSUER=1,IFERROR(VLOOKUP(Q91,V7_ISSUER_TABLE,3,FALSE),1),1)</f>
        <v/>
      </c>
      <c r="AF91" s="26">
        <f>PRODUCT(W91:AE91)</f>
        <v/>
      </c>
      <c r="AG91" s="27">
        <f>MIN(V7_BASE_SMM*AF91,V7_SMM_CAP)</f>
        <v/>
      </c>
      <c r="AH91" s="28">
        <f>1-(1-AG91)^12</f>
        <v/>
      </c>
      <c r="AI91" s="28">
        <f>IFERROR(LN(W91)/(LN(W91)+LN(X91)+LN(Y91)+LN(Z91)+LN(AA91)+LN(AB91)+LN(AC91)+LN(AD91))*(AH91-V7_BASE_CPR),0)</f>
        <v/>
      </c>
      <c r="AJ91" s="28">
        <f>IFERROR(LN(X91)/(LN(W91)+LN(X91)+LN(Y91)+LN(Z91)+LN(AA91)+LN(AB91)+LN(AC91)+LN(AD91))*(AH91-V7_BASE_CPR),0)</f>
        <v/>
      </c>
      <c r="AK91" s="28">
        <f>IFERROR(LN(Y91)/(LN(W91)+LN(X91)+LN(Y91)+LN(Z91)+LN(AA91)+LN(AB91)+LN(AC91)+LN(AD91))*(AH91-V7_BASE_CPR),0)</f>
        <v/>
      </c>
      <c r="AL91" s="28">
        <f>IFERROR(LN(Z91)/(LN(W91)+LN(X91)+LN(Y91)+LN(Z91)+LN(AA91)+LN(AB91)+LN(AC91)+LN(AD91))*(AH91-V7_BASE_CPR),0)</f>
        <v/>
      </c>
      <c r="AM91" s="28">
        <f>IFERROR(LN(AA91)/(LN(W91)+LN(X91)+LN(Y91)+LN(Z91)+LN(AA91)+LN(AB91)+LN(AC91)+LN(AD91))*(AH91-V7_BASE_CPR),0)</f>
        <v/>
      </c>
      <c r="AN91" s="28">
        <f>IFERROR(LN(AB91)/(LN(W91)+LN(X91)+LN(Y91)+LN(Z91)+LN(AA91)+LN(AB91)+LN(AC91)+LN(AD91))*(AH91-V7_BASE_CPR),0)</f>
        <v/>
      </c>
      <c r="AO91" s="28">
        <f>IFERROR(LN(AC91)/(LN(W91)+LN(X91)+LN(Y91)+LN(Z91)+LN(AA91)+LN(AB91)+LN(AC91)+LN(AD91))*(AH91-V7_BASE_CPR),0)</f>
        <v/>
      </c>
      <c r="AP91" s="28">
        <f>IFERROR(LN(AD91)/(LN(W91)+LN(X91)+LN(Y91)+LN(Z91)+LN(AA91)+LN(AB91)+LN(AC91)+LN(AD91))*(AH91-V7_BASE_CPR),0)</f>
        <v/>
      </c>
      <c r="AQ91" s="29">
        <f>V7_BASE_CPR+SUM(AI91:AP91)-AH91</f>
        <v/>
      </c>
    </row>
    <row r="92">
      <c r="A92" s="2" t="inlineStr">
        <is>
          <t>3618A7L72_000000010322077</t>
        </is>
      </c>
      <c r="B92" t="inlineStr">
        <is>
          <t>WALKER_POST21</t>
        </is>
      </c>
      <c r="C92" s="2" t="inlineStr">
        <is>
          <t>3618A7L72</t>
        </is>
      </c>
      <c r="D92" t="inlineStr">
        <is>
          <t>WALKER &amp; DUNLOP, LLC</t>
        </is>
      </c>
      <c r="E92" t="inlineStr">
        <is>
          <t>232</t>
        </is>
      </c>
      <c r="F92" t="inlineStr">
        <is>
          <t>RP</t>
        </is>
      </c>
      <c r="G92" t="n">
        <v>2022</v>
      </c>
      <c r="H92" t="inlineStr">
        <is>
          <t>202602</t>
        </is>
      </c>
      <c r="I92" s="22" t="n">
        <v>7367099.98</v>
      </c>
      <c r="J92" s="23" t="n">
        <v>5.7</v>
      </c>
      <c r="K92" s="24" t="n">
        <v>447</v>
      </c>
      <c r="L92" s="24" t="n">
        <v>7</v>
      </c>
      <c r="M92" t="n">
        <v>39</v>
      </c>
      <c r="N92" s="25" t="n">
        <v>3</v>
      </c>
      <c r="O92" t="n">
        <v>205712</v>
      </c>
      <c r="P92" t="inlineStr"/>
      <c r="Q92" t="inlineStr">
        <is>
          <t>4080</t>
        </is>
      </c>
      <c r="R92" s="26" t="n">
        <v>0.07692307692307693</v>
      </c>
      <c r="S92" t="n">
        <v>0</v>
      </c>
      <c r="T92" s="23">
        <f>LN(1+I92)</f>
        <v/>
      </c>
      <c r="U92" s="24">
        <f>J92*100-K92</f>
        <v/>
      </c>
      <c r="V92" s="24">
        <f>U92-12.5*(L92+1)</f>
        <v/>
      </c>
      <c r="W92" s="26">
        <f>IF(M92&lt;=V7_AGE_KNOT_X_0,V7_AGE_KNOT_Y_0,IF(M92&gt;=V7_AGE_KNOT_X_5,V7_AGE_KNOT_Y_5,IF(M92&lt;=V7_AGE_KNOT_X_1,V7_AGE_KNOT_Y_0+(M92-V7_AGE_KNOT_X_0)/(V7_AGE_KNOT_X_1-V7_AGE_KNOT_X_0)*(V7_AGE_KNOT_Y_1-V7_AGE_KNOT_Y_0),IF(M92&lt;=V7_AGE_KNOT_X_2,V7_AGE_KNOT_Y_1+(M92-V7_AGE_KNOT_X_1)/(V7_AGE_KNOT_X_2-V7_AGE_KNOT_X_1)*(V7_AGE_KNOT_Y_2-V7_AGE_KNOT_Y_1),IF(M92&lt;=V7_AGE_KNOT_X_3,V7_AGE_KNOT_Y_2+(M92-V7_AGE_KNOT_X_2)/(V7_AGE_KNOT_X_3-V7_AGE_KNOT_X_2)*(V7_AGE_KNOT_Y_3-V7_AGE_KNOT_Y_2),IF(M92&lt;=V7_AGE_KNOT_X_4,V7_AGE_KNOT_Y_3+(M92-V7_AGE_KNOT_X_3)/(V7_AGE_KNOT_X_4-V7_AGE_KNOT_X_3)*(V7_AGE_KNOT_Y_4-V7_AGE_KNOT_Y_3),V7_AGE_KNOT_Y_4+(M92-V7_AGE_KNOT_X_4)/(V7_AGE_KNOT_X_5-V7_AGE_KNOT_X_4)*(V7_AGE_KNOT_Y_5-V7_AGE_KNOT_Y_4)))))))</f>
        <v/>
      </c>
      <c r="X92" s="26">
        <f>V7_RATE_FLOOR+V7_RATE_ASYMPTOTE/(1+EXP(-(V92-V7_RATE_MID)/V7_RATE_SLOPE))</f>
        <v/>
      </c>
      <c r="Y92" s="26">
        <f>MAX(V7_SIZE_LOW,MIN(V7_SIZE_HIGH,V7_SIZE_INTERCEPT+V7_SIZE_SLOPE*(T92-V7_SIZE_LOG_ANCHOR)))</f>
        <v/>
      </c>
      <c r="Z92" s="26">
        <f>IF(ISNUMBER(SEARCH("232",E92)),VLOOKUP("232",V7_PROGRAM_TABLE,2,FALSE),IF(ISNUMBER(SEARCH("538",E92)),VLOOKUP("538",V7_PROGRAM_TABLE,2,FALSE),IF(ISNUMBER(SEARCH("223a7",E92)),VLOOKUP("223a7",V7_PROGRAM_TABLE,2,FALSE),IF(ISNUMBER(SEARCH("223f",E92)),VLOOKUP("223f",V7_PROGRAM_TABLE,2,FALSE),V7_PROGRAM_DEFAULT))))</f>
        <v/>
      </c>
      <c r="AA92" s="26">
        <f>IF(S92=1,1+V7_PURPOSE_NC_BUMP*MAX(0,1-ABS(M92-V7_PURPOSE_PEAK_AGE)/V7_PURPOSE_WIDTH),1)</f>
        <v/>
      </c>
      <c r="AB92" s="26">
        <f>IF(AND(IF(OR(P92="",NOT(ISNUMBER(P92))),0,MAX(0,MIN(24,(INT(VALUE(H92)/100)-INT(P92/100))*12+MOD(VALUE(H92),100)-MOD(P92,100))))&gt;0,IF(OR(P92="",NOT(ISNUMBER(P92))),0,MAX(0,MIN(24,(INT(VALUE(H92)/100)-INT(P92/100))*12+MOD(VALUE(H92),100)-MOD(P92,100))))&lt;=12),1+V7_LOCKOUT_AMP*EXP(-(IF(OR(P92="",NOT(ISNUMBER(P92))),0,MAX(0,MIN(24,(INT(VALUE(H92)/100)-INT(P92/100))*12+MOD(VALUE(H92),100)-MOD(P92,100)))))/V7_LOCKOUT_TAU),1)</f>
        <v/>
      </c>
      <c r="AC92" s="26">
        <f>IF(IF(OR(O92="",NOT(ISNUMBER(O92))),360,MAX(0,MIN(480,(INT(O92/100)-INT(VALUE(H92)/100))*12+MOD(O92,100)-MOD(VALUE(H92),100))))&gt;0,1+V7_MTY_AMP*MAX(0,(V7_MTY_CUTOFF-(IF(OR(O92="",NOT(ISNUMBER(O92))),360,MAX(0,MIN(480,(INT(O92/100)-INT(VALUE(H92)/100))*12+MOD(O92,100)-MOD(VALUE(H92),100))))))/V7_MTY_CUTOFF),1)</f>
        <v/>
      </c>
      <c r="AD92" s="26">
        <f>MAX(V7_BURN_FLOOR,1-V7_BURN_SLOPE*MIN(1,MAX(0,R92)))</f>
        <v/>
      </c>
      <c r="AE92" s="26">
        <f>IF(V7_USE_ISSUER=1,IFERROR(VLOOKUP(Q92,V7_ISSUER_TABLE,3,FALSE),1),1)</f>
        <v/>
      </c>
      <c r="AF92" s="26">
        <f>PRODUCT(W92:AE92)</f>
        <v/>
      </c>
      <c r="AG92" s="27">
        <f>MIN(V7_BASE_SMM*AF92,V7_SMM_CAP)</f>
        <v/>
      </c>
      <c r="AH92" s="28">
        <f>1-(1-AG92)^12</f>
        <v/>
      </c>
      <c r="AI92" s="28">
        <f>IFERROR(LN(W92)/(LN(W92)+LN(X92)+LN(Y92)+LN(Z92)+LN(AA92)+LN(AB92)+LN(AC92)+LN(AD92))*(AH92-V7_BASE_CPR),0)</f>
        <v/>
      </c>
      <c r="AJ92" s="28">
        <f>IFERROR(LN(X92)/(LN(W92)+LN(X92)+LN(Y92)+LN(Z92)+LN(AA92)+LN(AB92)+LN(AC92)+LN(AD92))*(AH92-V7_BASE_CPR),0)</f>
        <v/>
      </c>
      <c r="AK92" s="28">
        <f>IFERROR(LN(Y92)/(LN(W92)+LN(X92)+LN(Y92)+LN(Z92)+LN(AA92)+LN(AB92)+LN(AC92)+LN(AD92))*(AH92-V7_BASE_CPR),0)</f>
        <v/>
      </c>
      <c r="AL92" s="28">
        <f>IFERROR(LN(Z92)/(LN(W92)+LN(X92)+LN(Y92)+LN(Z92)+LN(AA92)+LN(AB92)+LN(AC92)+LN(AD92))*(AH92-V7_BASE_CPR),0)</f>
        <v/>
      </c>
      <c r="AM92" s="28">
        <f>IFERROR(LN(AA92)/(LN(W92)+LN(X92)+LN(Y92)+LN(Z92)+LN(AA92)+LN(AB92)+LN(AC92)+LN(AD92))*(AH92-V7_BASE_CPR),0)</f>
        <v/>
      </c>
      <c r="AN92" s="28">
        <f>IFERROR(LN(AB92)/(LN(W92)+LN(X92)+LN(Y92)+LN(Z92)+LN(AA92)+LN(AB92)+LN(AC92)+LN(AD92))*(AH92-V7_BASE_CPR),0)</f>
        <v/>
      </c>
      <c r="AO92" s="28">
        <f>IFERROR(LN(AC92)/(LN(W92)+LN(X92)+LN(Y92)+LN(Z92)+LN(AA92)+LN(AB92)+LN(AC92)+LN(AD92))*(AH92-V7_BASE_CPR),0)</f>
        <v/>
      </c>
      <c r="AP92" s="28">
        <f>IFERROR(LN(AD92)/(LN(W92)+LN(X92)+LN(Y92)+LN(Z92)+LN(AA92)+LN(AB92)+LN(AC92)+LN(AD92))*(AH92-V7_BASE_CPR),0)</f>
        <v/>
      </c>
      <c r="AQ92" s="29">
        <f>V7_BASE_CPR+SUM(AI92:AP92)-AH92</f>
        <v/>
      </c>
    </row>
    <row r="93">
      <c r="A93" s="2" t="inlineStr">
        <is>
          <t>3617YBQV1_000000004611202</t>
        </is>
      </c>
      <c r="B93" t="inlineStr">
        <is>
          <t>GREYSTONE_POST21</t>
        </is>
      </c>
      <c r="C93" s="2" t="inlineStr">
        <is>
          <t>3617YBQV1</t>
        </is>
      </c>
      <c r="D93" t="inlineStr">
        <is>
          <t>GREYSTONE FUNDING COMPANY LLC</t>
        </is>
      </c>
      <c r="E93" t="inlineStr">
        <is>
          <t>223f</t>
        </is>
      </c>
      <c r="F93" t="inlineStr">
        <is>
          <t>RP</t>
        </is>
      </c>
      <c r="G93" t="n">
        <v>2022</v>
      </c>
      <c r="H93" t="inlineStr">
        <is>
          <t>202602</t>
        </is>
      </c>
      <c r="I93" s="22" t="n">
        <v>6334987</v>
      </c>
      <c r="J93" s="23" t="n">
        <v>2.9</v>
      </c>
      <c r="K93" s="24" t="n">
        <v>447</v>
      </c>
      <c r="L93" s="24" t="n">
        <v>0</v>
      </c>
      <c r="M93" t="n">
        <v>47</v>
      </c>
      <c r="N93" s="25" t="n">
        <v>0</v>
      </c>
      <c r="O93" t="n">
        <v>205704</v>
      </c>
      <c r="P93" t="inlineStr"/>
      <c r="Q93" t="inlineStr">
        <is>
          <t>4168</t>
        </is>
      </c>
      <c r="R93" s="26" t="n">
        <v>0</v>
      </c>
      <c r="S93" t="n">
        <v>0</v>
      </c>
      <c r="T93" s="23">
        <f>LN(1+I93)</f>
        <v/>
      </c>
      <c r="U93" s="24">
        <f>J93*100-K93</f>
        <v/>
      </c>
      <c r="V93" s="24">
        <f>U93-12.5*(L93+1)</f>
        <v/>
      </c>
      <c r="W93" s="26">
        <f>IF(M93&lt;=V7_AGE_KNOT_X_0,V7_AGE_KNOT_Y_0,IF(M93&gt;=V7_AGE_KNOT_X_5,V7_AGE_KNOT_Y_5,IF(M93&lt;=V7_AGE_KNOT_X_1,V7_AGE_KNOT_Y_0+(M93-V7_AGE_KNOT_X_0)/(V7_AGE_KNOT_X_1-V7_AGE_KNOT_X_0)*(V7_AGE_KNOT_Y_1-V7_AGE_KNOT_Y_0),IF(M93&lt;=V7_AGE_KNOT_X_2,V7_AGE_KNOT_Y_1+(M93-V7_AGE_KNOT_X_1)/(V7_AGE_KNOT_X_2-V7_AGE_KNOT_X_1)*(V7_AGE_KNOT_Y_2-V7_AGE_KNOT_Y_1),IF(M93&lt;=V7_AGE_KNOT_X_3,V7_AGE_KNOT_Y_2+(M93-V7_AGE_KNOT_X_2)/(V7_AGE_KNOT_X_3-V7_AGE_KNOT_X_2)*(V7_AGE_KNOT_Y_3-V7_AGE_KNOT_Y_2),IF(M93&lt;=V7_AGE_KNOT_X_4,V7_AGE_KNOT_Y_3+(M93-V7_AGE_KNOT_X_3)/(V7_AGE_KNOT_X_4-V7_AGE_KNOT_X_3)*(V7_AGE_KNOT_Y_4-V7_AGE_KNOT_Y_3),V7_AGE_KNOT_Y_4+(M93-V7_AGE_KNOT_X_4)/(V7_AGE_KNOT_X_5-V7_AGE_KNOT_X_4)*(V7_AGE_KNOT_Y_5-V7_AGE_KNOT_Y_4)))))))</f>
        <v/>
      </c>
      <c r="X93" s="26">
        <f>V7_RATE_FLOOR+V7_RATE_ASYMPTOTE/(1+EXP(-(V93-V7_RATE_MID)/V7_RATE_SLOPE))</f>
        <v/>
      </c>
      <c r="Y93" s="26">
        <f>MAX(V7_SIZE_LOW,MIN(V7_SIZE_HIGH,V7_SIZE_INTERCEPT+V7_SIZE_SLOPE*(T93-V7_SIZE_LOG_ANCHOR)))</f>
        <v/>
      </c>
      <c r="Z93" s="26">
        <f>IF(ISNUMBER(SEARCH("232",E93)),VLOOKUP("232",V7_PROGRAM_TABLE,2,FALSE),IF(ISNUMBER(SEARCH("538",E93)),VLOOKUP("538",V7_PROGRAM_TABLE,2,FALSE),IF(ISNUMBER(SEARCH("223a7",E93)),VLOOKUP("223a7",V7_PROGRAM_TABLE,2,FALSE),IF(ISNUMBER(SEARCH("223f",E93)),VLOOKUP("223f",V7_PROGRAM_TABLE,2,FALSE),V7_PROGRAM_DEFAULT))))</f>
        <v/>
      </c>
      <c r="AA93" s="26">
        <f>IF(S93=1,1+V7_PURPOSE_NC_BUMP*MAX(0,1-ABS(M93-V7_PURPOSE_PEAK_AGE)/V7_PURPOSE_WIDTH),1)</f>
        <v/>
      </c>
      <c r="AB93" s="26">
        <f>IF(AND(IF(OR(P93="",NOT(ISNUMBER(P93))),0,MAX(0,MIN(24,(INT(VALUE(H93)/100)-INT(P93/100))*12+MOD(VALUE(H93),100)-MOD(P93,100))))&gt;0,IF(OR(P93="",NOT(ISNUMBER(P93))),0,MAX(0,MIN(24,(INT(VALUE(H93)/100)-INT(P93/100))*12+MOD(VALUE(H93),100)-MOD(P93,100))))&lt;=12),1+V7_LOCKOUT_AMP*EXP(-(IF(OR(P93="",NOT(ISNUMBER(P93))),0,MAX(0,MIN(24,(INT(VALUE(H93)/100)-INT(P93/100))*12+MOD(VALUE(H93),100)-MOD(P93,100)))))/V7_LOCKOUT_TAU),1)</f>
        <v/>
      </c>
      <c r="AC93" s="26">
        <f>IF(IF(OR(O93="",NOT(ISNUMBER(O93))),360,MAX(0,MIN(480,(INT(O93/100)-INT(VALUE(H93)/100))*12+MOD(O93,100)-MOD(VALUE(H93),100))))&gt;0,1+V7_MTY_AMP*MAX(0,(V7_MTY_CUTOFF-(IF(OR(O93="",NOT(ISNUMBER(O93))),360,MAX(0,MIN(480,(INT(O93/100)-INT(VALUE(H93)/100))*12+MOD(O93,100)-MOD(VALUE(H93),100))))))/V7_MTY_CUTOFF),1)</f>
        <v/>
      </c>
      <c r="AD93" s="26">
        <f>MAX(V7_BURN_FLOOR,1-V7_BURN_SLOPE*MIN(1,MAX(0,R93)))</f>
        <v/>
      </c>
      <c r="AE93" s="26">
        <f>IF(V7_USE_ISSUER=1,IFERROR(VLOOKUP(Q93,V7_ISSUER_TABLE,3,FALSE),1),1)</f>
        <v/>
      </c>
      <c r="AF93" s="26">
        <f>PRODUCT(W93:AE93)</f>
        <v/>
      </c>
      <c r="AG93" s="27">
        <f>MIN(V7_BASE_SMM*AF93,V7_SMM_CAP)</f>
        <v/>
      </c>
      <c r="AH93" s="28">
        <f>1-(1-AG93)^12</f>
        <v/>
      </c>
      <c r="AI93" s="28">
        <f>IFERROR(LN(W93)/(LN(W93)+LN(X93)+LN(Y93)+LN(Z93)+LN(AA93)+LN(AB93)+LN(AC93)+LN(AD93))*(AH93-V7_BASE_CPR),0)</f>
        <v/>
      </c>
      <c r="AJ93" s="28">
        <f>IFERROR(LN(X93)/(LN(W93)+LN(X93)+LN(Y93)+LN(Z93)+LN(AA93)+LN(AB93)+LN(AC93)+LN(AD93))*(AH93-V7_BASE_CPR),0)</f>
        <v/>
      </c>
      <c r="AK93" s="28">
        <f>IFERROR(LN(Y93)/(LN(W93)+LN(X93)+LN(Y93)+LN(Z93)+LN(AA93)+LN(AB93)+LN(AC93)+LN(AD93))*(AH93-V7_BASE_CPR),0)</f>
        <v/>
      </c>
      <c r="AL93" s="28">
        <f>IFERROR(LN(Z93)/(LN(W93)+LN(X93)+LN(Y93)+LN(Z93)+LN(AA93)+LN(AB93)+LN(AC93)+LN(AD93))*(AH93-V7_BASE_CPR),0)</f>
        <v/>
      </c>
      <c r="AM93" s="28">
        <f>IFERROR(LN(AA93)/(LN(W93)+LN(X93)+LN(Y93)+LN(Z93)+LN(AA93)+LN(AB93)+LN(AC93)+LN(AD93))*(AH93-V7_BASE_CPR),0)</f>
        <v/>
      </c>
      <c r="AN93" s="28">
        <f>IFERROR(LN(AB93)/(LN(W93)+LN(X93)+LN(Y93)+LN(Z93)+LN(AA93)+LN(AB93)+LN(AC93)+LN(AD93))*(AH93-V7_BASE_CPR),0)</f>
        <v/>
      </c>
      <c r="AO93" s="28">
        <f>IFERROR(LN(AC93)/(LN(W93)+LN(X93)+LN(Y93)+LN(Z93)+LN(AA93)+LN(AB93)+LN(AC93)+LN(AD93))*(AH93-V7_BASE_CPR),0)</f>
        <v/>
      </c>
      <c r="AP93" s="28">
        <f>IFERROR(LN(AD93)/(LN(W93)+LN(X93)+LN(Y93)+LN(Z93)+LN(AA93)+LN(AB93)+LN(AC93)+LN(AD93))*(AH93-V7_BASE_CPR),0)</f>
        <v/>
      </c>
      <c r="AQ93" s="29">
        <f>V7_BASE_CPR+SUM(AI93:AP93)-AH93</f>
        <v/>
      </c>
    </row>
    <row r="94">
      <c r="A94" s="2" t="inlineStr">
        <is>
          <t>3618BKU31_000000004222412</t>
        </is>
      </c>
      <c r="B94" t="inlineStr">
        <is>
          <t>GREYSTONE_POST21</t>
        </is>
      </c>
      <c r="C94" s="2" t="inlineStr">
        <is>
          <t>3618BKU31</t>
        </is>
      </c>
      <c r="D94" t="inlineStr">
        <is>
          <t>GREYSTONE FUNDING COMPANY LLC</t>
        </is>
      </c>
      <c r="E94" t="inlineStr">
        <is>
          <t>232</t>
        </is>
      </c>
      <c r="F94" t="inlineStr">
        <is>
          <t>RP</t>
        </is>
      </c>
      <c r="G94" t="n">
        <v>2023</v>
      </c>
      <c r="H94" t="inlineStr">
        <is>
          <t>202602</t>
        </is>
      </c>
      <c r="I94" s="22" t="n">
        <v>8313205.86</v>
      </c>
      <c r="J94" s="23" t="n">
        <v>6.09</v>
      </c>
      <c r="K94" s="24" t="n">
        <v>447</v>
      </c>
      <c r="L94" s="24" t="n">
        <v>8</v>
      </c>
      <c r="M94" t="n">
        <v>29</v>
      </c>
      <c r="N94" s="25" t="n">
        <v>5</v>
      </c>
      <c r="O94" t="n">
        <v>205810</v>
      </c>
      <c r="P94" t="inlineStr"/>
      <c r="Q94" t="inlineStr">
        <is>
          <t>4168</t>
        </is>
      </c>
      <c r="R94" s="26" t="n">
        <v>0.1724137931034483</v>
      </c>
      <c r="S94" t="n">
        <v>0</v>
      </c>
      <c r="T94" s="23">
        <f>LN(1+I94)</f>
        <v/>
      </c>
      <c r="U94" s="24">
        <f>J94*100-K94</f>
        <v/>
      </c>
      <c r="V94" s="24">
        <f>U94-12.5*(L94+1)</f>
        <v/>
      </c>
      <c r="W94" s="26">
        <f>IF(M94&lt;=V7_AGE_KNOT_X_0,V7_AGE_KNOT_Y_0,IF(M94&gt;=V7_AGE_KNOT_X_5,V7_AGE_KNOT_Y_5,IF(M94&lt;=V7_AGE_KNOT_X_1,V7_AGE_KNOT_Y_0+(M94-V7_AGE_KNOT_X_0)/(V7_AGE_KNOT_X_1-V7_AGE_KNOT_X_0)*(V7_AGE_KNOT_Y_1-V7_AGE_KNOT_Y_0),IF(M94&lt;=V7_AGE_KNOT_X_2,V7_AGE_KNOT_Y_1+(M94-V7_AGE_KNOT_X_1)/(V7_AGE_KNOT_X_2-V7_AGE_KNOT_X_1)*(V7_AGE_KNOT_Y_2-V7_AGE_KNOT_Y_1),IF(M94&lt;=V7_AGE_KNOT_X_3,V7_AGE_KNOT_Y_2+(M94-V7_AGE_KNOT_X_2)/(V7_AGE_KNOT_X_3-V7_AGE_KNOT_X_2)*(V7_AGE_KNOT_Y_3-V7_AGE_KNOT_Y_2),IF(M94&lt;=V7_AGE_KNOT_X_4,V7_AGE_KNOT_Y_3+(M94-V7_AGE_KNOT_X_3)/(V7_AGE_KNOT_X_4-V7_AGE_KNOT_X_3)*(V7_AGE_KNOT_Y_4-V7_AGE_KNOT_Y_3),V7_AGE_KNOT_Y_4+(M94-V7_AGE_KNOT_X_4)/(V7_AGE_KNOT_X_5-V7_AGE_KNOT_X_4)*(V7_AGE_KNOT_Y_5-V7_AGE_KNOT_Y_4)))))))</f>
        <v/>
      </c>
      <c r="X94" s="26">
        <f>V7_RATE_FLOOR+V7_RATE_ASYMPTOTE/(1+EXP(-(V94-V7_RATE_MID)/V7_RATE_SLOPE))</f>
        <v/>
      </c>
      <c r="Y94" s="26">
        <f>MAX(V7_SIZE_LOW,MIN(V7_SIZE_HIGH,V7_SIZE_INTERCEPT+V7_SIZE_SLOPE*(T94-V7_SIZE_LOG_ANCHOR)))</f>
        <v/>
      </c>
      <c r="Z94" s="26">
        <f>IF(ISNUMBER(SEARCH("232",E94)),VLOOKUP("232",V7_PROGRAM_TABLE,2,FALSE),IF(ISNUMBER(SEARCH("538",E94)),VLOOKUP("538",V7_PROGRAM_TABLE,2,FALSE),IF(ISNUMBER(SEARCH("223a7",E94)),VLOOKUP("223a7",V7_PROGRAM_TABLE,2,FALSE),IF(ISNUMBER(SEARCH("223f",E94)),VLOOKUP("223f",V7_PROGRAM_TABLE,2,FALSE),V7_PROGRAM_DEFAULT))))</f>
        <v/>
      </c>
      <c r="AA94" s="26">
        <f>IF(S94=1,1+V7_PURPOSE_NC_BUMP*MAX(0,1-ABS(M94-V7_PURPOSE_PEAK_AGE)/V7_PURPOSE_WIDTH),1)</f>
        <v/>
      </c>
      <c r="AB94" s="26">
        <f>IF(AND(IF(OR(P94="",NOT(ISNUMBER(P94))),0,MAX(0,MIN(24,(INT(VALUE(H94)/100)-INT(P94/100))*12+MOD(VALUE(H94),100)-MOD(P94,100))))&gt;0,IF(OR(P94="",NOT(ISNUMBER(P94))),0,MAX(0,MIN(24,(INT(VALUE(H94)/100)-INT(P94/100))*12+MOD(VALUE(H94),100)-MOD(P94,100))))&lt;=12),1+V7_LOCKOUT_AMP*EXP(-(IF(OR(P94="",NOT(ISNUMBER(P94))),0,MAX(0,MIN(24,(INT(VALUE(H94)/100)-INT(P94/100))*12+MOD(VALUE(H94),100)-MOD(P94,100)))))/V7_LOCKOUT_TAU),1)</f>
        <v/>
      </c>
      <c r="AC94" s="26">
        <f>IF(IF(OR(O94="",NOT(ISNUMBER(O94))),360,MAX(0,MIN(480,(INT(O94/100)-INT(VALUE(H94)/100))*12+MOD(O94,100)-MOD(VALUE(H94),100))))&gt;0,1+V7_MTY_AMP*MAX(0,(V7_MTY_CUTOFF-(IF(OR(O94="",NOT(ISNUMBER(O94))),360,MAX(0,MIN(480,(INT(O94/100)-INT(VALUE(H94)/100))*12+MOD(O94,100)-MOD(VALUE(H94),100))))))/V7_MTY_CUTOFF),1)</f>
        <v/>
      </c>
      <c r="AD94" s="26">
        <f>MAX(V7_BURN_FLOOR,1-V7_BURN_SLOPE*MIN(1,MAX(0,R94)))</f>
        <v/>
      </c>
      <c r="AE94" s="26">
        <f>IF(V7_USE_ISSUER=1,IFERROR(VLOOKUP(Q94,V7_ISSUER_TABLE,3,FALSE),1),1)</f>
        <v/>
      </c>
      <c r="AF94" s="26">
        <f>PRODUCT(W94:AE94)</f>
        <v/>
      </c>
      <c r="AG94" s="27">
        <f>MIN(V7_BASE_SMM*AF94,V7_SMM_CAP)</f>
        <v/>
      </c>
      <c r="AH94" s="28">
        <f>1-(1-AG94)^12</f>
        <v/>
      </c>
      <c r="AI94" s="28">
        <f>IFERROR(LN(W94)/(LN(W94)+LN(X94)+LN(Y94)+LN(Z94)+LN(AA94)+LN(AB94)+LN(AC94)+LN(AD94))*(AH94-V7_BASE_CPR),0)</f>
        <v/>
      </c>
      <c r="AJ94" s="28">
        <f>IFERROR(LN(X94)/(LN(W94)+LN(X94)+LN(Y94)+LN(Z94)+LN(AA94)+LN(AB94)+LN(AC94)+LN(AD94))*(AH94-V7_BASE_CPR),0)</f>
        <v/>
      </c>
      <c r="AK94" s="28">
        <f>IFERROR(LN(Y94)/(LN(W94)+LN(X94)+LN(Y94)+LN(Z94)+LN(AA94)+LN(AB94)+LN(AC94)+LN(AD94))*(AH94-V7_BASE_CPR),0)</f>
        <v/>
      </c>
      <c r="AL94" s="28">
        <f>IFERROR(LN(Z94)/(LN(W94)+LN(X94)+LN(Y94)+LN(Z94)+LN(AA94)+LN(AB94)+LN(AC94)+LN(AD94))*(AH94-V7_BASE_CPR),0)</f>
        <v/>
      </c>
      <c r="AM94" s="28">
        <f>IFERROR(LN(AA94)/(LN(W94)+LN(X94)+LN(Y94)+LN(Z94)+LN(AA94)+LN(AB94)+LN(AC94)+LN(AD94))*(AH94-V7_BASE_CPR),0)</f>
        <v/>
      </c>
      <c r="AN94" s="28">
        <f>IFERROR(LN(AB94)/(LN(W94)+LN(X94)+LN(Y94)+LN(Z94)+LN(AA94)+LN(AB94)+LN(AC94)+LN(AD94))*(AH94-V7_BASE_CPR),0)</f>
        <v/>
      </c>
      <c r="AO94" s="28">
        <f>IFERROR(LN(AC94)/(LN(W94)+LN(X94)+LN(Y94)+LN(Z94)+LN(AA94)+LN(AB94)+LN(AC94)+LN(AD94))*(AH94-V7_BASE_CPR),0)</f>
        <v/>
      </c>
      <c r="AP94" s="28">
        <f>IFERROR(LN(AD94)/(LN(W94)+LN(X94)+LN(Y94)+LN(Z94)+LN(AA94)+LN(AB94)+LN(AC94)+LN(AD94))*(AH94-V7_BASE_CPR),0)</f>
        <v/>
      </c>
      <c r="AQ94" s="29">
        <f>V7_BASE_CPR+SUM(AI94:AP94)-AH94</f>
        <v/>
      </c>
    </row>
    <row r="95">
      <c r="A95" s="2" t="inlineStr">
        <is>
          <t>3617QKDG7_000000012335554</t>
        </is>
      </c>
      <c r="B95" t="inlineStr">
        <is>
          <t>GREYSTONE_PRE21</t>
        </is>
      </c>
      <c r="C95" s="2" t="inlineStr">
        <is>
          <t>3617QKDG7</t>
        </is>
      </c>
      <c r="D95" t="inlineStr">
        <is>
          <t>GREYSTONE FUNDING COMPANY LLC</t>
        </is>
      </c>
      <c r="E95" t="inlineStr">
        <is>
          <t>221d4</t>
        </is>
      </c>
      <c r="F95" t="inlineStr">
        <is>
          <t>NC</t>
        </is>
      </c>
      <c r="G95" t="n">
        <v>2020</v>
      </c>
      <c r="H95" t="inlineStr">
        <is>
          <t>202602</t>
        </is>
      </c>
      <c r="I95" s="22" t="n">
        <v>28046987.97</v>
      </c>
      <c r="J95" s="23" t="n">
        <v>3.25</v>
      </c>
      <c r="K95" s="24" t="n">
        <v>447</v>
      </c>
      <c r="L95" s="24" t="n">
        <v>7</v>
      </c>
      <c r="M95" t="n">
        <v>65</v>
      </c>
      <c r="N95" s="25" t="n">
        <v>0</v>
      </c>
      <c r="O95" t="n">
        <v>206209</v>
      </c>
      <c r="P95" t="inlineStr"/>
      <c r="Q95" t="inlineStr">
        <is>
          <t>4168</t>
        </is>
      </c>
      <c r="R95" s="26" t="n">
        <v>0</v>
      </c>
      <c r="S95" t="n">
        <v>1</v>
      </c>
      <c r="T95" s="23">
        <f>LN(1+I95)</f>
        <v/>
      </c>
      <c r="U95" s="24">
        <f>J95*100-K95</f>
        <v/>
      </c>
      <c r="V95" s="24">
        <f>U95-12.5*(L95+1)</f>
        <v/>
      </c>
      <c r="W95" s="26">
        <f>IF(M95&lt;=V7_AGE_KNOT_X_0,V7_AGE_KNOT_Y_0,IF(M95&gt;=V7_AGE_KNOT_X_5,V7_AGE_KNOT_Y_5,IF(M95&lt;=V7_AGE_KNOT_X_1,V7_AGE_KNOT_Y_0+(M95-V7_AGE_KNOT_X_0)/(V7_AGE_KNOT_X_1-V7_AGE_KNOT_X_0)*(V7_AGE_KNOT_Y_1-V7_AGE_KNOT_Y_0),IF(M95&lt;=V7_AGE_KNOT_X_2,V7_AGE_KNOT_Y_1+(M95-V7_AGE_KNOT_X_1)/(V7_AGE_KNOT_X_2-V7_AGE_KNOT_X_1)*(V7_AGE_KNOT_Y_2-V7_AGE_KNOT_Y_1),IF(M95&lt;=V7_AGE_KNOT_X_3,V7_AGE_KNOT_Y_2+(M95-V7_AGE_KNOT_X_2)/(V7_AGE_KNOT_X_3-V7_AGE_KNOT_X_2)*(V7_AGE_KNOT_Y_3-V7_AGE_KNOT_Y_2),IF(M95&lt;=V7_AGE_KNOT_X_4,V7_AGE_KNOT_Y_3+(M95-V7_AGE_KNOT_X_3)/(V7_AGE_KNOT_X_4-V7_AGE_KNOT_X_3)*(V7_AGE_KNOT_Y_4-V7_AGE_KNOT_Y_3),V7_AGE_KNOT_Y_4+(M95-V7_AGE_KNOT_X_4)/(V7_AGE_KNOT_X_5-V7_AGE_KNOT_X_4)*(V7_AGE_KNOT_Y_5-V7_AGE_KNOT_Y_4)))))))</f>
        <v/>
      </c>
      <c r="X95" s="26">
        <f>V7_RATE_FLOOR+V7_RATE_ASYMPTOTE/(1+EXP(-(V95-V7_RATE_MID)/V7_RATE_SLOPE))</f>
        <v/>
      </c>
      <c r="Y95" s="26">
        <f>MAX(V7_SIZE_LOW,MIN(V7_SIZE_HIGH,V7_SIZE_INTERCEPT+V7_SIZE_SLOPE*(T95-V7_SIZE_LOG_ANCHOR)))</f>
        <v/>
      </c>
      <c r="Z95" s="26">
        <f>IF(ISNUMBER(SEARCH("232",E95)),VLOOKUP("232",V7_PROGRAM_TABLE,2,FALSE),IF(ISNUMBER(SEARCH("538",E95)),VLOOKUP("538",V7_PROGRAM_TABLE,2,FALSE),IF(ISNUMBER(SEARCH("223a7",E95)),VLOOKUP("223a7",V7_PROGRAM_TABLE,2,FALSE),IF(ISNUMBER(SEARCH("223f",E95)),VLOOKUP("223f",V7_PROGRAM_TABLE,2,FALSE),V7_PROGRAM_DEFAULT))))</f>
        <v/>
      </c>
      <c r="AA95" s="26">
        <f>IF(S95=1,1+V7_PURPOSE_NC_BUMP*MAX(0,1-ABS(M95-V7_PURPOSE_PEAK_AGE)/V7_PURPOSE_WIDTH),1)</f>
        <v/>
      </c>
      <c r="AB95" s="26">
        <f>IF(AND(IF(OR(P95="",NOT(ISNUMBER(P95))),0,MAX(0,MIN(24,(INT(VALUE(H95)/100)-INT(P95/100))*12+MOD(VALUE(H95),100)-MOD(P95,100))))&gt;0,IF(OR(P95="",NOT(ISNUMBER(P95))),0,MAX(0,MIN(24,(INT(VALUE(H95)/100)-INT(P95/100))*12+MOD(VALUE(H95),100)-MOD(P95,100))))&lt;=12),1+V7_LOCKOUT_AMP*EXP(-(IF(OR(P95="",NOT(ISNUMBER(P95))),0,MAX(0,MIN(24,(INT(VALUE(H95)/100)-INT(P95/100))*12+MOD(VALUE(H95),100)-MOD(P95,100)))))/V7_LOCKOUT_TAU),1)</f>
        <v/>
      </c>
      <c r="AC95" s="26">
        <f>IF(IF(OR(O95="",NOT(ISNUMBER(O95))),360,MAX(0,MIN(480,(INT(O95/100)-INT(VALUE(H95)/100))*12+MOD(O95,100)-MOD(VALUE(H95),100))))&gt;0,1+V7_MTY_AMP*MAX(0,(V7_MTY_CUTOFF-(IF(OR(O95="",NOT(ISNUMBER(O95))),360,MAX(0,MIN(480,(INT(O95/100)-INT(VALUE(H95)/100))*12+MOD(O95,100)-MOD(VALUE(H95),100))))))/V7_MTY_CUTOFF),1)</f>
        <v/>
      </c>
      <c r="AD95" s="26">
        <f>MAX(V7_BURN_FLOOR,1-V7_BURN_SLOPE*MIN(1,MAX(0,R95)))</f>
        <v/>
      </c>
      <c r="AE95" s="26">
        <f>IF(V7_USE_ISSUER=1,IFERROR(VLOOKUP(Q95,V7_ISSUER_TABLE,3,FALSE),1),1)</f>
        <v/>
      </c>
      <c r="AF95" s="26">
        <f>PRODUCT(W95:AE95)</f>
        <v/>
      </c>
      <c r="AG95" s="27">
        <f>MIN(V7_BASE_SMM*AF95,V7_SMM_CAP)</f>
        <v/>
      </c>
      <c r="AH95" s="28">
        <f>1-(1-AG95)^12</f>
        <v/>
      </c>
      <c r="AI95" s="28">
        <f>IFERROR(LN(W95)/(LN(W95)+LN(X95)+LN(Y95)+LN(Z95)+LN(AA95)+LN(AB95)+LN(AC95)+LN(AD95))*(AH95-V7_BASE_CPR),0)</f>
        <v/>
      </c>
      <c r="AJ95" s="28">
        <f>IFERROR(LN(X95)/(LN(W95)+LN(X95)+LN(Y95)+LN(Z95)+LN(AA95)+LN(AB95)+LN(AC95)+LN(AD95))*(AH95-V7_BASE_CPR),0)</f>
        <v/>
      </c>
      <c r="AK95" s="28">
        <f>IFERROR(LN(Y95)/(LN(W95)+LN(X95)+LN(Y95)+LN(Z95)+LN(AA95)+LN(AB95)+LN(AC95)+LN(AD95))*(AH95-V7_BASE_CPR),0)</f>
        <v/>
      </c>
      <c r="AL95" s="28">
        <f>IFERROR(LN(Z95)/(LN(W95)+LN(X95)+LN(Y95)+LN(Z95)+LN(AA95)+LN(AB95)+LN(AC95)+LN(AD95))*(AH95-V7_BASE_CPR),0)</f>
        <v/>
      </c>
      <c r="AM95" s="28">
        <f>IFERROR(LN(AA95)/(LN(W95)+LN(X95)+LN(Y95)+LN(Z95)+LN(AA95)+LN(AB95)+LN(AC95)+LN(AD95))*(AH95-V7_BASE_CPR),0)</f>
        <v/>
      </c>
      <c r="AN95" s="28">
        <f>IFERROR(LN(AB95)/(LN(W95)+LN(X95)+LN(Y95)+LN(Z95)+LN(AA95)+LN(AB95)+LN(AC95)+LN(AD95))*(AH95-V7_BASE_CPR),0)</f>
        <v/>
      </c>
      <c r="AO95" s="28">
        <f>IFERROR(LN(AC95)/(LN(W95)+LN(X95)+LN(Y95)+LN(Z95)+LN(AA95)+LN(AB95)+LN(AC95)+LN(AD95))*(AH95-V7_BASE_CPR),0)</f>
        <v/>
      </c>
      <c r="AP95" s="28">
        <f>IFERROR(LN(AD95)/(LN(W95)+LN(X95)+LN(Y95)+LN(Z95)+LN(AA95)+LN(AB95)+LN(AC95)+LN(AD95))*(AH95-V7_BASE_CPR),0)</f>
        <v/>
      </c>
      <c r="AQ95" s="29">
        <f>V7_BASE_CPR+SUM(AI95:AP95)-AH95</f>
        <v/>
      </c>
    </row>
    <row r="96">
      <c r="A96" s="2" t="inlineStr">
        <is>
          <t>3617UAWB4_000000009211486</t>
        </is>
      </c>
      <c r="B96" t="inlineStr">
        <is>
          <t>GREYSTONE_PRE21</t>
        </is>
      </c>
      <c r="C96" s="2" t="inlineStr">
        <is>
          <t>3617UAWB4</t>
        </is>
      </c>
      <c r="D96" t="inlineStr">
        <is>
          <t>GREYSTONE FUNDING COMPANY LLC</t>
        </is>
      </c>
      <c r="E96" t="inlineStr">
        <is>
          <t>223f</t>
        </is>
      </c>
      <c r="F96" t="inlineStr">
        <is>
          <t>RP</t>
        </is>
      </c>
      <c r="G96" t="n">
        <v>2020</v>
      </c>
      <c r="H96" t="inlineStr">
        <is>
          <t>202602</t>
        </is>
      </c>
      <c r="I96" s="22" t="n">
        <v>4214790.92</v>
      </c>
      <c r="J96" s="23" t="n">
        <v>2.41</v>
      </c>
      <c r="K96" s="24" t="n">
        <v>447</v>
      </c>
      <c r="L96" s="24" t="n">
        <v>5</v>
      </c>
      <c r="M96" t="n">
        <v>62</v>
      </c>
      <c r="N96" s="25" t="n">
        <v>0</v>
      </c>
      <c r="O96" t="n">
        <v>205601</v>
      </c>
      <c r="P96" t="inlineStr"/>
      <c r="Q96" t="inlineStr">
        <is>
          <t>4168</t>
        </is>
      </c>
      <c r="R96" s="26" t="n">
        <v>0</v>
      </c>
      <c r="S96" t="n">
        <v>0</v>
      </c>
      <c r="T96" s="23">
        <f>LN(1+I96)</f>
        <v/>
      </c>
      <c r="U96" s="24">
        <f>J96*100-K96</f>
        <v/>
      </c>
      <c r="V96" s="24">
        <f>U96-12.5*(L96+1)</f>
        <v/>
      </c>
      <c r="W96" s="26">
        <f>IF(M96&lt;=V7_AGE_KNOT_X_0,V7_AGE_KNOT_Y_0,IF(M96&gt;=V7_AGE_KNOT_X_5,V7_AGE_KNOT_Y_5,IF(M96&lt;=V7_AGE_KNOT_X_1,V7_AGE_KNOT_Y_0+(M96-V7_AGE_KNOT_X_0)/(V7_AGE_KNOT_X_1-V7_AGE_KNOT_X_0)*(V7_AGE_KNOT_Y_1-V7_AGE_KNOT_Y_0),IF(M96&lt;=V7_AGE_KNOT_X_2,V7_AGE_KNOT_Y_1+(M96-V7_AGE_KNOT_X_1)/(V7_AGE_KNOT_X_2-V7_AGE_KNOT_X_1)*(V7_AGE_KNOT_Y_2-V7_AGE_KNOT_Y_1),IF(M96&lt;=V7_AGE_KNOT_X_3,V7_AGE_KNOT_Y_2+(M96-V7_AGE_KNOT_X_2)/(V7_AGE_KNOT_X_3-V7_AGE_KNOT_X_2)*(V7_AGE_KNOT_Y_3-V7_AGE_KNOT_Y_2),IF(M96&lt;=V7_AGE_KNOT_X_4,V7_AGE_KNOT_Y_3+(M96-V7_AGE_KNOT_X_3)/(V7_AGE_KNOT_X_4-V7_AGE_KNOT_X_3)*(V7_AGE_KNOT_Y_4-V7_AGE_KNOT_Y_3),V7_AGE_KNOT_Y_4+(M96-V7_AGE_KNOT_X_4)/(V7_AGE_KNOT_X_5-V7_AGE_KNOT_X_4)*(V7_AGE_KNOT_Y_5-V7_AGE_KNOT_Y_4)))))))</f>
        <v/>
      </c>
      <c r="X96" s="26">
        <f>V7_RATE_FLOOR+V7_RATE_ASYMPTOTE/(1+EXP(-(V96-V7_RATE_MID)/V7_RATE_SLOPE))</f>
        <v/>
      </c>
      <c r="Y96" s="26">
        <f>MAX(V7_SIZE_LOW,MIN(V7_SIZE_HIGH,V7_SIZE_INTERCEPT+V7_SIZE_SLOPE*(T96-V7_SIZE_LOG_ANCHOR)))</f>
        <v/>
      </c>
      <c r="Z96" s="26">
        <f>IF(ISNUMBER(SEARCH("232",E96)),VLOOKUP("232",V7_PROGRAM_TABLE,2,FALSE),IF(ISNUMBER(SEARCH("538",E96)),VLOOKUP("538",V7_PROGRAM_TABLE,2,FALSE),IF(ISNUMBER(SEARCH("223a7",E96)),VLOOKUP("223a7",V7_PROGRAM_TABLE,2,FALSE),IF(ISNUMBER(SEARCH("223f",E96)),VLOOKUP("223f",V7_PROGRAM_TABLE,2,FALSE),V7_PROGRAM_DEFAULT))))</f>
        <v/>
      </c>
      <c r="AA96" s="26">
        <f>IF(S96=1,1+V7_PURPOSE_NC_BUMP*MAX(0,1-ABS(M96-V7_PURPOSE_PEAK_AGE)/V7_PURPOSE_WIDTH),1)</f>
        <v/>
      </c>
      <c r="AB96" s="26">
        <f>IF(AND(IF(OR(P96="",NOT(ISNUMBER(P96))),0,MAX(0,MIN(24,(INT(VALUE(H96)/100)-INT(P96/100))*12+MOD(VALUE(H96),100)-MOD(P96,100))))&gt;0,IF(OR(P96="",NOT(ISNUMBER(P96))),0,MAX(0,MIN(24,(INT(VALUE(H96)/100)-INT(P96/100))*12+MOD(VALUE(H96),100)-MOD(P96,100))))&lt;=12),1+V7_LOCKOUT_AMP*EXP(-(IF(OR(P96="",NOT(ISNUMBER(P96))),0,MAX(0,MIN(24,(INT(VALUE(H96)/100)-INT(P96/100))*12+MOD(VALUE(H96),100)-MOD(P96,100)))))/V7_LOCKOUT_TAU),1)</f>
        <v/>
      </c>
      <c r="AC96" s="26">
        <f>IF(IF(OR(O96="",NOT(ISNUMBER(O96))),360,MAX(0,MIN(480,(INT(O96/100)-INT(VALUE(H96)/100))*12+MOD(O96,100)-MOD(VALUE(H96),100))))&gt;0,1+V7_MTY_AMP*MAX(0,(V7_MTY_CUTOFF-(IF(OR(O96="",NOT(ISNUMBER(O96))),360,MAX(0,MIN(480,(INT(O96/100)-INT(VALUE(H96)/100))*12+MOD(O96,100)-MOD(VALUE(H96),100))))))/V7_MTY_CUTOFF),1)</f>
        <v/>
      </c>
      <c r="AD96" s="26">
        <f>MAX(V7_BURN_FLOOR,1-V7_BURN_SLOPE*MIN(1,MAX(0,R96)))</f>
        <v/>
      </c>
      <c r="AE96" s="26">
        <f>IF(V7_USE_ISSUER=1,IFERROR(VLOOKUP(Q96,V7_ISSUER_TABLE,3,FALSE),1),1)</f>
        <v/>
      </c>
      <c r="AF96" s="26">
        <f>PRODUCT(W96:AE96)</f>
        <v/>
      </c>
      <c r="AG96" s="27">
        <f>MIN(V7_BASE_SMM*AF96,V7_SMM_CAP)</f>
        <v/>
      </c>
      <c r="AH96" s="28">
        <f>1-(1-AG96)^12</f>
        <v/>
      </c>
      <c r="AI96" s="28">
        <f>IFERROR(LN(W96)/(LN(W96)+LN(X96)+LN(Y96)+LN(Z96)+LN(AA96)+LN(AB96)+LN(AC96)+LN(AD96))*(AH96-V7_BASE_CPR),0)</f>
        <v/>
      </c>
      <c r="AJ96" s="28">
        <f>IFERROR(LN(X96)/(LN(W96)+LN(X96)+LN(Y96)+LN(Z96)+LN(AA96)+LN(AB96)+LN(AC96)+LN(AD96))*(AH96-V7_BASE_CPR),0)</f>
        <v/>
      </c>
      <c r="AK96" s="28">
        <f>IFERROR(LN(Y96)/(LN(W96)+LN(X96)+LN(Y96)+LN(Z96)+LN(AA96)+LN(AB96)+LN(AC96)+LN(AD96))*(AH96-V7_BASE_CPR),0)</f>
        <v/>
      </c>
      <c r="AL96" s="28">
        <f>IFERROR(LN(Z96)/(LN(W96)+LN(X96)+LN(Y96)+LN(Z96)+LN(AA96)+LN(AB96)+LN(AC96)+LN(AD96))*(AH96-V7_BASE_CPR),0)</f>
        <v/>
      </c>
      <c r="AM96" s="28">
        <f>IFERROR(LN(AA96)/(LN(W96)+LN(X96)+LN(Y96)+LN(Z96)+LN(AA96)+LN(AB96)+LN(AC96)+LN(AD96))*(AH96-V7_BASE_CPR),0)</f>
        <v/>
      </c>
      <c r="AN96" s="28">
        <f>IFERROR(LN(AB96)/(LN(W96)+LN(X96)+LN(Y96)+LN(Z96)+LN(AA96)+LN(AB96)+LN(AC96)+LN(AD96))*(AH96-V7_BASE_CPR),0)</f>
        <v/>
      </c>
      <c r="AO96" s="28">
        <f>IFERROR(LN(AC96)/(LN(W96)+LN(X96)+LN(Y96)+LN(Z96)+LN(AA96)+LN(AB96)+LN(AC96)+LN(AD96))*(AH96-V7_BASE_CPR),0)</f>
        <v/>
      </c>
      <c r="AP96" s="28">
        <f>IFERROR(LN(AD96)/(LN(W96)+LN(X96)+LN(Y96)+LN(Z96)+LN(AA96)+LN(AB96)+LN(AC96)+LN(AD96))*(AH96-V7_BASE_CPR),0)</f>
        <v/>
      </c>
      <c r="AQ96" s="29">
        <f>V7_BASE_CPR+SUM(AI96:AP96)-AH96</f>
        <v/>
      </c>
    </row>
    <row r="97">
      <c r="A97" s="2" t="inlineStr">
        <is>
          <t>3617XRA51_000000011722043</t>
        </is>
      </c>
      <c r="B97" t="inlineStr">
        <is>
          <t>GREYSTONE_POST21</t>
        </is>
      </c>
      <c r="C97" s="2" t="inlineStr">
        <is>
          <t>3617XRA51</t>
        </is>
      </c>
      <c r="D97" t="inlineStr">
        <is>
          <t>GREYSTONE FUNDING COMPANY LLC</t>
        </is>
      </c>
      <c r="E97" t="inlineStr">
        <is>
          <t>232</t>
        </is>
      </c>
      <c r="F97" t="inlineStr">
        <is>
          <t>RP</t>
        </is>
      </c>
      <c r="G97" t="n">
        <v>2021</v>
      </c>
      <c r="H97" t="inlineStr">
        <is>
          <t>202602</t>
        </is>
      </c>
      <c r="I97" s="22" t="n">
        <v>3120938.09</v>
      </c>
      <c r="J97" s="23" t="n">
        <v>2.75</v>
      </c>
      <c r="K97" s="24" t="n">
        <v>447</v>
      </c>
      <c r="L97" s="24" t="n">
        <v>6</v>
      </c>
      <c r="M97" t="n">
        <v>50</v>
      </c>
      <c r="N97" s="25" t="n">
        <v>0</v>
      </c>
      <c r="O97" t="n">
        <v>205201</v>
      </c>
      <c r="P97" t="inlineStr"/>
      <c r="Q97" t="inlineStr">
        <is>
          <t>4168</t>
        </is>
      </c>
      <c r="R97" s="26" t="n">
        <v>0</v>
      </c>
      <c r="S97" t="n">
        <v>0</v>
      </c>
      <c r="T97" s="23">
        <f>LN(1+I97)</f>
        <v/>
      </c>
      <c r="U97" s="24">
        <f>J97*100-K97</f>
        <v/>
      </c>
      <c r="V97" s="24">
        <f>U97-12.5*(L97+1)</f>
        <v/>
      </c>
      <c r="W97" s="26">
        <f>IF(M97&lt;=V7_AGE_KNOT_X_0,V7_AGE_KNOT_Y_0,IF(M97&gt;=V7_AGE_KNOT_X_5,V7_AGE_KNOT_Y_5,IF(M97&lt;=V7_AGE_KNOT_X_1,V7_AGE_KNOT_Y_0+(M97-V7_AGE_KNOT_X_0)/(V7_AGE_KNOT_X_1-V7_AGE_KNOT_X_0)*(V7_AGE_KNOT_Y_1-V7_AGE_KNOT_Y_0),IF(M97&lt;=V7_AGE_KNOT_X_2,V7_AGE_KNOT_Y_1+(M97-V7_AGE_KNOT_X_1)/(V7_AGE_KNOT_X_2-V7_AGE_KNOT_X_1)*(V7_AGE_KNOT_Y_2-V7_AGE_KNOT_Y_1),IF(M97&lt;=V7_AGE_KNOT_X_3,V7_AGE_KNOT_Y_2+(M97-V7_AGE_KNOT_X_2)/(V7_AGE_KNOT_X_3-V7_AGE_KNOT_X_2)*(V7_AGE_KNOT_Y_3-V7_AGE_KNOT_Y_2),IF(M97&lt;=V7_AGE_KNOT_X_4,V7_AGE_KNOT_Y_3+(M97-V7_AGE_KNOT_X_3)/(V7_AGE_KNOT_X_4-V7_AGE_KNOT_X_3)*(V7_AGE_KNOT_Y_4-V7_AGE_KNOT_Y_3),V7_AGE_KNOT_Y_4+(M97-V7_AGE_KNOT_X_4)/(V7_AGE_KNOT_X_5-V7_AGE_KNOT_X_4)*(V7_AGE_KNOT_Y_5-V7_AGE_KNOT_Y_4)))))))</f>
        <v/>
      </c>
      <c r="X97" s="26">
        <f>V7_RATE_FLOOR+V7_RATE_ASYMPTOTE/(1+EXP(-(V97-V7_RATE_MID)/V7_RATE_SLOPE))</f>
        <v/>
      </c>
      <c r="Y97" s="26">
        <f>MAX(V7_SIZE_LOW,MIN(V7_SIZE_HIGH,V7_SIZE_INTERCEPT+V7_SIZE_SLOPE*(T97-V7_SIZE_LOG_ANCHOR)))</f>
        <v/>
      </c>
      <c r="Z97" s="26">
        <f>IF(ISNUMBER(SEARCH("232",E97)),VLOOKUP("232",V7_PROGRAM_TABLE,2,FALSE),IF(ISNUMBER(SEARCH("538",E97)),VLOOKUP("538",V7_PROGRAM_TABLE,2,FALSE),IF(ISNUMBER(SEARCH("223a7",E97)),VLOOKUP("223a7",V7_PROGRAM_TABLE,2,FALSE),IF(ISNUMBER(SEARCH("223f",E97)),VLOOKUP("223f",V7_PROGRAM_TABLE,2,FALSE),V7_PROGRAM_DEFAULT))))</f>
        <v/>
      </c>
      <c r="AA97" s="26">
        <f>IF(S97=1,1+V7_PURPOSE_NC_BUMP*MAX(0,1-ABS(M97-V7_PURPOSE_PEAK_AGE)/V7_PURPOSE_WIDTH),1)</f>
        <v/>
      </c>
      <c r="AB97" s="26">
        <f>IF(AND(IF(OR(P97="",NOT(ISNUMBER(P97))),0,MAX(0,MIN(24,(INT(VALUE(H97)/100)-INT(P97/100))*12+MOD(VALUE(H97),100)-MOD(P97,100))))&gt;0,IF(OR(P97="",NOT(ISNUMBER(P97))),0,MAX(0,MIN(24,(INT(VALUE(H97)/100)-INT(P97/100))*12+MOD(VALUE(H97),100)-MOD(P97,100))))&lt;=12),1+V7_LOCKOUT_AMP*EXP(-(IF(OR(P97="",NOT(ISNUMBER(P97))),0,MAX(0,MIN(24,(INT(VALUE(H97)/100)-INT(P97/100))*12+MOD(VALUE(H97),100)-MOD(P97,100)))))/V7_LOCKOUT_TAU),1)</f>
        <v/>
      </c>
      <c r="AC97" s="26">
        <f>IF(IF(OR(O97="",NOT(ISNUMBER(O97))),360,MAX(0,MIN(480,(INT(O97/100)-INT(VALUE(H97)/100))*12+MOD(O97,100)-MOD(VALUE(H97),100))))&gt;0,1+V7_MTY_AMP*MAX(0,(V7_MTY_CUTOFF-(IF(OR(O97="",NOT(ISNUMBER(O97))),360,MAX(0,MIN(480,(INT(O97/100)-INT(VALUE(H97)/100))*12+MOD(O97,100)-MOD(VALUE(H97),100))))))/V7_MTY_CUTOFF),1)</f>
        <v/>
      </c>
      <c r="AD97" s="26">
        <f>MAX(V7_BURN_FLOOR,1-V7_BURN_SLOPE*MIN(1,MAX(0,R97)))</f>
        <v/>
      </c>
      <c r="AE97" s="26">
        <f>IF(V7_USE_ISSUER=1,IFERROR(VLOOKUP(Q97,V7_ISSUER_TABLE,3,FALSE),1),1)</f>
        <v/>
      </c>
      <c r="AF97" s="26">
        <f>PRODUCT(W97:AE97)</f>
        <v/>
      </c>
      <c r="AG97" s="27">
        <f>MIN(V7_BASE_SMM*AF97,V7_SMM_CAP)</f>
        <v/>
      </c>
      <c r="AH97" s="28">
        <f>1-(1-AG97)^12</f>
        <v/>
      </c>
      <c r="AI97" s="28">
        <f>IFERROR(LN(W97)/(LN(W97)+LN(X97)+LN(Y97)+LN(Z97)+LN(AA97)+LN(AB97)+LN(AC97)+LN(AD97))*(AH97-V7_BASE_CPR),0)</f>
        <v/>
      </c>
      <c r="AJ97" s="28">
        <f>IFERROR(LN(X97)/(LN(W97)+LN(X97)+LN(Y97)+LN(Z97)+LN(AA97)+LN(AB97)+LN(AC97)+LN(AD97))*(AH97-V7_BASE_CPR),0)</f>
        <v/>
      </c>
      <c r="AK97" s="28">
        <f>IFERROR(LN(Y97)/(LN(W97)+LN(X97)+LN(Y97)+LN(Z97)+LN(AA97)+LN(AB97)+LN(AC97)+LN(AD97))*(AH97-V7_BASE_CPR),0)</f>
        <v/>
      </c>
      <c r="AL97" s="28">
        <f>IFERROR(LN(Z97)/(LN(W97)+LN(X97)+LN(Y97)+LN(Z97)+LN(AA97)+LN(AB97)+LN(AC97)+LN(AD97))*(AH97-V7_BASE_CPR),0)</f>
        <v/>
      </c>
      <c r="AM97" s="28">
        <f>IFERROR(LN(AA97)/(LN(W97)+LN(X97)+LN(Y97)+LN(Z97)+LN(AA97)+LN(AB97)+LN(AC97)+LN(AD97))*(AH97-V7_BASE_CPR),0)</f>
        <v/>
      </c>
      <c r="AN97" s="28">
        <f>IFERROR(LN(AB97)/(LN(W97)+LN(X97)+LN(Y97)+LN(Z97)+LN(AA97)+LN(AB97)+LN(AC97)+LN(AD97))*(AH97-V7_BASE_CPR),0)</f>
        <v/>
      </c>
      <c r="AO97" s="28">
        <f>IFERROR(LN(AC97)/(LN(W97)+LN(X97)+LN(Y97)+LN(Z97)+LN(AA97)+LN(AB97)+LN(AC97)+LN(AD97))*(AH97-V7_BASE_CPR),0)</f>
        <v/>
      </c>
      <c r="AP97" s="28">
        <f>IFERROR(LN(AD97)/(LN(W97)+LN(X97)+LN(Y97)+LN(Z97)+LN(AA97)+LN(AB97)+LN(AC97)+LN(AD97))*(AH97-V7_BASE_CPR),0)</f>
        <v/>
      </c>
      <c r="AQ97" s="29">
        <f>V7_BASE_CPR+SUM(AI97:AP97)-AH97</f>
        <v/>
      </c>
    </row>
    <row r="98">
      <c r="A98" s="2" t="inlineStr">
        <is>
          <t>3617FXAM1_000000011311514</t>
        </is>
      </c>
      <c r="B98" t="inlineStr">
        <is>
          <t>GREYSTONE_POST21</t>
        </is>
      </c>
      <c r="C98" s="2" t="inlineStr">
        <is>
          <t>3617FXAM1</t>
        </is>
      </c>
      <c r="D98" t="inlineStr">
        <is>
          <t>GREYSTONE FUNDING COMPANY LLC</t>
        </is>
      </c>
      <c r="E98" t="inlineStr">
        <is>
          <t>223f</t>
        </is>
      </c>
      <c r="F98" t="inlineStr">
        <is>
          <t>RP</t>
        </is>
      </c>
      <c r="G98" t="n">
        <v>2022</v>
      </c>
      <c r="H98" t="inlineStr">
        <is>
          <t>202602</t>
        </is>
      </c>
      <c r="I98" s="22" t="n">
        <v>40409683.54</v>
      </c>
      <c r="J98" s="23" t="n">
        <v>4.08</v>
      </c>
      <c r="K98" s="24" t="n">
        <v>447</v>
      </c>
      <c r="L98" s="24" t="n">
        <v>7</v>
      </c>
      <c r="M98" t="n">
        <v>41</v>
      </c>
      <c r="N98" s="25" t="n">
        <v>0</v>
      </c>
      <c r="O98" t="n">
        <v>205710</v>
      </c>
      <c r="P98" t="inlineStr"/>
      <c r="Q98" t="inlineStr">
        <is>
          <t>4168</t>
        </is>
      </c>
      <c r="R98" s="26" t="n">
        <v>0</v>
      </c>
      <c r="S98" t="n">
        <v>0</v>
      </c>
      <c r="T98" s="23">
        <f>LN(1+I98)</f>
        <v/>
      </c>
      <c r="U98" s="24">
        <f>J98*100-K98</f>
        <v/>
      </c>
      <c r="V98" s="24">
        <f>U98-12.5*(L98+1)</f>
        <v/>
      </c>
      <c r="W98" s="26">
        <f>IF(M98&lt;=V7_AGE_KNOT_X_0,V7_AGE_KNOT_Y_0,IF(M98&gt;=V7_AGE_KNOT_X_5,V7_AGE_KNOT_Y_5,IF(M98&lt;=V7_AGE_KNOT_X_1,V7_AGE_KNOT_Y_0+(M98-V7_AGE_KNOT_X_0)/(V7_AGE_KNOT_X_1-V7_AGE_KNOT_X_0)*(V7_AGE_KNOT_Y_1-V7_AGE_KNOT_Y_0),IF(M98&lt;=V7_AGE_KNOT_X_2,V7_AGE_KNOT_Y_1+(M98-V7_AGE_KNOT_X_1)/(V7_AGE_KNOT_X_2-V7_AGE_KNOT_X_1)*(V7_AGE_KNOT_Y_2-V7_AGE_KNOT_Y_1),IF(M98&lt;=V7_AGE_KNOT_X_3,V7_AGE_KNOT_Y_2+(M98-V7_AGE_KNOT_X_2)/(V7_AGE_KNOT_X_3-V7_AGE_KNOT_X_2)*(V7_AGE_KNOT_Y_3-V7_AGE_KNOT_Y_2),IF(M98&lt;=V7_AGE_KNOT_X_4,V7_AGE_KNOT_Y_3+(M98-V7_AGE_KNOT_X_3)/(V7_AGE_KNOT_X_4-V7_AGE_KNOT_X_3)*(V7_AGE_KNOT_Y_4-V7_AGE_KNOT_Y_3),V7_AGE_KNOT_Y_4+(M98-V7_AGE_KNOT_X_4)/(V7_AGE_KNOT_X_5-V7_AGE_KNOT_X_4)*(V7_AGE_KNOT_Y_5-V7_AGE_KNOT_Y_4)))))))</f>
        <v/>
      </c>
      <c r="X98" s="26">
        <f>V7_RATE_FLOOR+V7_RATE_ASYMPTOTE/(1+EXP(-(V98-V7_RATE_MID)/V7_RATE_SLOPE))</f>
        <v/>
      </c>
      <c r="Y98" s="26">
        <f>MAX(V7_SIZE_LOW,MIN(V7_SIZE_HIGH,V7_SIZE_INTERCEPT+V7_SIZE_SLOPE*(T98-V7_SIZE_LOG_ANCHOR)))</f>
        <v/>
      </c>
      <c r="Z98" s="26">
        <f>IF(ISNUMBER(SEARCH("232",E98)),VLOOKUP("232",V7_PROGRAM_TABLE,2,FALSE),IF(ISNUMBER(SEARCH("538",E98)),VLOOKUP("538",V7_PROGRAM_TABLE,2,FALSE),IF(ISNUMBER(SEARCH("223a7",E98)),VLOOKUP("223a7",V7_PROGRAM_TABLE,2,FALSE),IF(ISNUMBER(SEARCH("223f",E98)),VLOOKUP("223f",V7_PROGRAM_TABLE,2,FALSE),V7_PROGRAM_DEFAULT))))</f>
        <v/>
      </c>
      <c r="AA98" s="26">
        <f>IF(S98=1,1+V7_PURPOSE_NC_BUMP*MAX(0,1-ABS(M98-V7_PURPOSE_PEAK_AGE)/V7_PURPOSE_WIDTH),1)</f>
        <v/>
      </c>
      <c r="AB98" s="26">
        <f>IF(AND(IF(OR(P98="",NOT(ISNUMBER(P98))),0,MAX(0,MIN(24,(INT(VALUE(H98)/100)-INT(P98/100))*12+MOD(VALUE(H98),100)-MOD(P98,100))))&gt;0,IF(OR(P98="",NOT(ISNUMBER(P98))),0,MAX(0,MIN(24,(INT(VALUE(H98)/100)-INT(P98/100))*12+MOD(VALUE(H98),100)-MOD(P98,100))))&lt;=12),1+V7_LOCKOUT_AMP*EXP(-(IF(OR(P98="",NOT(ISNUMBER(P98))),0,MAX(0,MIN(24,(INT(VALUE(H98)/100)-INT(P98/100))*12+MOD(VALUE(H98),100)-MOD(P98,100)))))/V7_LOCKOUT_TAU),1)</f>
        <v/>
      </c>
      <c r="AC98" s="26">
        <f>IF(IF(OR(O98="",NOT(ISNUMBER(O98))),360,MAX(0,MIN(480,(INT(O98/100)-INT(VALUE(H98)/100))*12+MOD(O98,100)-MOD(VALUE(H98),100))))&gt;0,1+V7_MTY_AMP*MAX(0,(V7_MTY_CUTOFF-(IF(OR(O98="",NOT(ISNUMBER(O98))),360,MAX(0,MIN(480,(INT(O98/100)-INT(VALUE(H98)/100))*12+MOD(O98,100)-MOD(VALUE(H98),100))))))/V7_MTY_CUTOFF),1)</f>
        <v/>
      </c>
      <c r="AD98" s="26">
        <f>MAX(V7_BURN_FLOOR,1-V7_BURN_SLOPE*MIN(1,MAX(0,R98)))</f>
        <v/>
      </c>
      <c r="AE98" s="26">
        <f>IF(V7_USE_ISSUER=1,IFERROR(VLOOKUP(Q98,V7_ISSUER_TABLE,3,FALSE),1),1)</f>
        <v/>
      </c>
      <c r="AF98" s="26">
        <f>PRODUCT(W98:AE98)</f>
        <v/>
      </c>
      <c r="AG98" s="27">
        <f>MIN(V7_BASE_SMM*AF98,V7_SMM_CAP)</f>
        <v/>
      </c>
      <c r="AH98" s="28">
        <f>1-(1-AG98)^12</f>
        <v/>
      </c>
      <c r="AI98" s="28">
        <f>IFERROR(LN(W98)/(LN(W98)+LN(X98)+LN(Y98)+LN(Z98)+LN(AA98)+LN(AB98)+LN(AC98)+LN(AD98))*(AH98-V7_BASE_CPR),0)</f>
        <v/>
      </c>
      <c r="AJ98" s="28">
        <f>IFERROR(LN(X98)/(LN(W98)+LN(X98)+LN(Y98)+LN(Z98)+LN(AA98)+LN(AB98)+LN(AC98)+LN(AD98))*(AH98-V7_BASE_CPR),0)</f>
        <v/>
      </c>
      <c r="AK98" s="28">
        <f>IFERROR(LN(Y98)/(LN(W98)+LN(X98)+LN(Y98)+LN(Z98)+LN(AA98)+LN(AB98)+LN(AC98)+LN(AD98))*(AH98-V7_BASE_CPR),0)</f>
        <v/>
      </c>
      <c r="AL98" s="28">
        <f>IFERROR(LN(Z98)/(LN(W98)+LN(X98)+LN(Y98)+LN(Z98)+LN(AA98)+LN(AB98)+LN(AC98)+LN(AD98))*(AH98-V7_BASE_CPR),0)</f>
        <v/>
      </c>
      <c r="AM98" s="28">
        <f>IFERROR(LN(AA98)/(LN(W98)+LN(X98)+LN(Y98)+LN(Z98)+LN(AA98)+LN(AB98)+LN(AC98)+LN(AD98))*(AH98-V7_BASE_CPR),0)</f>
        <v/>
      </c>
      <c r="AN98" s="28">
        <f>IFERROR(LN(AB98)/(LN(W98)+LN(X98)+LN(Y98)+LN(Z98)+LN(AA98)+LN(AB98)+LN(AC98)+LN(AD98))*(AH98-V7_BASE_CPR),0)</f>
        <v/>
      </c>
      <c r="AO98" s="28">
        <f>IFERROR(LN(AC98)/(LN(W98)+LN(X98)+LN(Y98)+LN(Z98)+LN(AA98)+LN(AB98)+LN(AC98)+LN(AD98))*(AH98-V7_BASE_CPR),0)</f>
        <v/>
      </c>
      <c r="AP98" s="28">
        <f>IFERROR(LN(AD98)/(LN(W98)+LN(X98)+LN(Y98)+LN(Z98)+LN(AA98)+LN(AB98)+LN(AC98)+LN(AD98))*(AH98-V7_BASE_CPR),0)</f>
        <v/>
      </c>
      <c r="AQ98" s="29">
        <f>V7_BASE_CPR+SUM(AI98:AP98)-AH98</f>
        <v/>
      </c>
    </row>
    <row r="99">
      <c r="A99" s="2" t="inlineStr">
        <is>
          <t>3617USKM4_000000003122133</t>
        </is>
      </c>
      <c r="B99" t="inlineStr">
        <is>
          <t>GREYSTONE_POST21</t>
        </is>
      </c>
      <c r="C99" s="2" t="inlineStr">
        <is>
          <t>3617USKM4</t>
        </is>
      </c>
      <c r="D99" t="inlineStr">
        <is>
          <t>GREYSTONE FUNDING COMPANY LLC</t>
        </is>
      </c>
      <c r="E99" t="inlineStr">
        <is>
          <t>232</t>
        </is>
      </c>
      <c r="F99" t="inlineStr">
        <is>
          <t>RP</t>
        </is>
      </c>
      <c r="G99" t="n">
        <v>2021</v>
      </c>
      <c r="H99" t="inlineStr">
        <is>
          <t>202602</t>
        </is>
      </c>
      <c r="I99" s="22" t="n">
        <v>33132361.37</v>
      </c>
      <c r="J99" s="23" t="n">
        <v>2.29</v>
      </c>
      <c r="K99" s="24" t="n">
        <v>447</v>
      </c>
      <c r="L99" s="24" t="n">
        <v>6</v>
      </c>
      <c r="M99" t="n">
        <v>60</v>
      </c>
      <c r="N99" s="25" t="n">
        <v>0</v>
      </c>
      <c r="O99" t="n">
        <v>205103</v>
      </c>
      <c r="P99" t="inlineStr"/>
      <c r="Q99" t="inlineStr">
        <is>
          <t>4168</t>
        </is>
      </c>
      <c r="R99" s="26" t="n">
        <v>0</v>
      </c>
      <c r="S99" t="n">
        <v>0</v>
      </c>
      <c r="T99" s="23">
        <f>LN(1+I99)</f>
        <v/>
      </c>
      <c r="U99" s="24">
        <f>J99*100-K99</f>
        <v/>
      </c>
      <c r="V99" s="24">
        <f>U99-12.5*(L99+1)</f>
        <v/>
      </c>
      <c r="W99" s="26">
        <f>IF(M99&lt;=V7_AGE_KNOT_X_0,V7_AGE_KNOT_Y_0,IF(M99&gt;=V7_AGE_KNOT_X_5,V7_AGE_KNOT_Y_5,IF(M99&lt;=V7_AGE_KNOT_X_1,V7_AGE_KNOT_Y_0+(M99-V7_AGE_KNOT_X_0)/(V7_AGE_KNOT_X_1-V7_AGE_KNOT_X_0)*(V7_AGE_KNOT_Y_1-V7_AGE_KNOT_Y_0),IF(M99&lt;=V7_AGE_KNOT_X_2,V7_AGE_KNOT_Y_1+(M99-V7_AGE_KNOT_X_1)/(V7_AGE_KNOT_X_2-V7_AGE_KNOT_X_1)*(V7_AGE_KNOT_Y_2-V7_AGE_KNOT_Y_1),IF(M99&lt;=V7_AGE_KNOT_X_3,V7_AGE_KNOT_Y_2+(M99-V7_AGE_KNOT_X_2)/(V7_AGE_KNOT_X_3-V7_AGE_KNOT_X_2)*(V7_AGE_KNOT_Y_3-V7_AGE_KNOT_Y_2),IF(M99&lt;=V7_AGE_KNOT_X_4,V7_AGE_KNOT_Y_3+(M99-V7_AGE_KNOT_X_3)/(V7_AGE_KNOT_X_4-V7_AGE_KNOT_X_3)*(V7_AGE_KNOT_Y_4-V7_AGE_KNOT_Y_3),V7_AGE_KNOT_Y_4+(M99-V7_AGE_KNOT_X_4)/(V7_AGE_KNOT_X_5-V7_AGE_KNOT_X_4)*(V7_AGE_KNOT_Y_5-V7_AGE_KNOT_Y_4)))))))</f>
        <v/>
      </c>
      <c r="X99" s="26">
        <f>V7_RATE_FLOOR+V7_RATE_ASYMPTOTE/(1+EXP(-(V99-V7_RATE_MID)/V7_RATE_SLOPE))</f>
        <v/>
      </c>
      <c r="Y99" s="26">
        <f>MAX(V7_SIZE_LOW,MIN(V7_SIZE_HIGH,V7_SIZE_INTERCEPT+V7_SIZE_SLOPE*(T99-V7_SIZE_LOG_ANCHOR)))</f>
        <v/>
      </c>
      <c r="Z99" s="26">
        <f>IF(ISNUMBER(SEARCH("232",E99)),VLOOKUP("232",V7_PROGRAM_TABLE,2,FALSE),IF(ISNUMBER(SEARCH("538",E99)),VLOOKUP("538",V7_PROGRAM_TABLE,2,FALSE),IF(ISNUMBER(SEARCH("223a7",E99)),VLOOKUP("223a7",V7_PROGRAM_TABLE,2,FALSE),IF(ISNUMBER(SEARCH("223f",E99)),VLOOKUP("223f",V7_PROGRAM_TABLE,2,FALSE),V7_PROGRAM_DEFAULT))))</f>
        <v/>
      </c>
      <c r="AA99" s="26">
        <f>IF(S99=1,1+V7_PURPOSE_NC_BUMP*MAX(0,1-ABS(M99-V7_PURPOSE_PEAK_AGE)/V7_PURPOSE_WIDTH),1)</f>
        <v/>
      </c>
      <c r="AB99" s="26">
        <f>IF(AND(IF(OR(P99="",NOT(ISNUMBER(P99))),0,MAX(0,MIN(24,(INT(VALUE(H99)/100)-INT(P99/100))*12+MOD(VALUE(H99),100)-MOD(P99,100))))&gt;0,IF(OR(P99="",NOT(ISNUMBER(P99))),0,MAX(0,MIN(24,(INT(VALUE(H99)/100)-INT(P99/100))*12+MOD(VALUE(H99),100)-MOD(P99,100))))&lt;=12),1+V7_LOCKOUT_AMP*EXP(-(IF(OR(P99="",NOT(ISNUMBER(P99))),0,MAX(0,MIN(24,(INT(VALUE(H99)/100)-INT(P99/100))*12+MOD(VALUE(H99),100)-MOD(P99,100)))))/V7_LOCKOUT_TAU),1)</f>
        <v/>
      </c>
      <c r="AC99" s="26">
        <f>IF(IF(OR(O99="",NOT(ISNUMBER(O99))),360,MAX(0,MIN(480,(INT(O99/100)-INT(VALUE(H99)/100))*12+MOD(O99,100)-MOD(VALUE(H99),100))))&gt;0,1+V7_MTY_AMP*MAX(0,(V7_MTY_CUTOFF-(IF(OR(O99="",NOT(ISNUMBER(O99))),360,MAX(0,MIN(480,(INT(O99/100)-INT(VALUE(H99)/100))*12+MOD(O99,100)-MOD(VALUE(H99),100))))))/V7_MTY_CUTOFF),1)</f>
        <v/>
      </c>
      <c r="AD99" s="26">
        <f>MAX(V7_BURN_FLOOR,1-V7_BURN_SLOPE*MIN(1,MAX(0,R99)))</f>
        <v/>
      </c>
      <c r="AE99" s="26">
        <f>IF(V7_USE_ISSUER=1,IFERROR(VLOOKUP(Q99,V7_ISSUER_TABLE,3,FALSE),1),1)</f>
        <v/>
      </c>
      <c r="AF99" s="26">
        <f>PRODUCT(W99:AE99)</f>
        <v/>
      </c>
      <c r="AG99" s="27">
        <f>MIN(V7_BASE_SMM*AF99,V7_SMM_CAP)</f>
        <v/>
      </c>
      <c r="AH99" s="28">
        <f>1-(1-AG99)^12</f>
        <v/>
      </c>
      <c r="AI99" s="28">
        <f>IFERROR(LN(W99)/(LN(W99)+LN(X99)+LN(Y99)+LN(Z99)+LN(AA99)+LN(AB99)+LN(AC99)+LN(AD99))*(AH99-V7_BASE_CPR),0)</f>
        <v/>
      </c>
      <c r="AJ99" s="28">
        <f>IFERROR(LN(X99)/(LN(W99)+LN(X99)+LN(Y99)+LN(Z99)+LN(AA99)+LN(AB99)+LN(AC99)+LN(AD99))*(AH99-V7_BASE_CPR),0)</f>
        <v/>
      </c>
      <c r="AK99" s="28">
        <f>IFERROR(LN(Y99)/(LN(W99)+LN(X99)+LN(Y99)+LN(Z99)+LN(AA99)+LN(AB99)+LN(AC99)+LN(AD99))*(AH99-V7_BASE_CPR),0)</f>
        <v/>
      </c>
      <c r="AL99" s="28">
        <f>IFERROR(LN(Z99)/(LN(W99)+LN(X99)+LN(Y99)+LN(Z99)+LN(AA99)+LN(AB99)+LN(AC99)+LN(AD99))*(AH99-V7_BASE_CPR),0)</f>
        <v/>
      </c>
      <c r="AM99" s="28">
        <f>IFERROR(LN(AA99)/(LN(W99)+LN(X99)+LN(Y99)+LN(Z99)+LN(AA99)+LN(AB99)+LN(AC99)+LN(AD99))*(AH99-V7_BASE_CPR),0)</f>
        <v/>
      </c>
      <c r="AN99" s="28">
        <f>IFERROR(LN(AB99)/(LN(W99)+LN(X99)+LN(Y99)+LN(Z99)+LN(AA99)+LN(AB99)+LN(AC99)+LN(AD99))*(AH99-V7_BASE_CPR),0)</f>
        <v/>
      </c>
      <c r="AO99" s="28">
        <f>IFERROR(LN(AC99)/(LN(W99)+LN(X99)+LN(Y99)+LN(Z99)+LN(AA99)+LN(AB99)+LN(AC99)+LN(AD99))*(AH99-V7_BASE_CPR),0)</f>
        <v/>
      </c>
      <c r="AP99" s="28">
        <f>IFERROR(LN(AD99)/(LN(W99)+LN(X99)+LN(Y99)+LN(Z99)+LN(AA99)+LN(AB99)+LN(AC99)+LN(AD99))*(AH99-V7_BASE_CPR),0)</f>
        <v/>
      </c>
      <c r="AQ99" s="29">
        <f>V7_BASE_CPR+SUM(AI99:AP99)-AH99</f>
        <v/>
      </c>
    </row>
    <row r="100">
      <c r="A100" s="2" t="inlineStr">
        <is>
          <t>3617B9FP6_046046048226800</t>
        </is>
      </c>
      <c r="B100" t="inlineStr">
        <is>
          <t>GREYSTONE_PRE21</t>
        </is>
      </c>
      <c r="C100" s="2" t="inlineStr">
        <is>
          <t>3617B9FP6</t>
        </is>
      </c>
      <c r="D100" t="inlineStr">
        <is>
          <t>GREYSTONE SERVICING COMPANY LLC</t>
        </is>
      </c>
      <c r="E100" t="inlineStr">
        <is>
          <t>538</t>
        </is>
      </c>
      <c r="F100" t="inlineStr">
        <is>
          <t>538</t>
        </is>
      </c>
      <c r="G100" t="n">
        <v>2017</v>
      </c>
      <c r="H100" t="inlineStr">
        <is>
          <t>202602</t>
        </is>
      </c>
      <c r="I100" s="22" t="n">
        <v>1023320.89</v>
      </c>
      <c r="J100" s="23" t="n">
        <v>3.95</v>
      </c>
      <c r="K100" s="24" t="n">
        <v>447</v>
      </c>
      <c r="L100" s="24" t="n">
        <v>3</v>
      </c>
      <c r="M100" t="n">
        <v>103</v>
      </c>
      <c r="N100" s="25" t="n">
        <v>29</v>
      </c>
      <c r="O100" t="n">
        <v>205901</v>
      </c>
      <c r="P100" t="inlineStr"/>
      <c r="Q100" t="inlineStr">
        <is>
          <t>3500</t>
        </is>
      </c>
      <c r="R100" s="26" t="n">
        <v>0.2815533980582524</v>
      </c>
      <c r="S100" t="n">
        <v>0</v>
      </c>
      <c r="T100" s="23">
        <f>LN(1+I100)</f>
        <v/>
      </c>
      <c r="U100" s="24">
        <f>J100*100-K100</f>
        <v/>
      </c>
      <c r="V100" s="24">
        <f>U100-12.5*(L100+1)</f>
        <v/>
      </c>
      <c r="W100" s="26">
        <f>IF(M100&lt;=V7_AGE_KNOT_X_0,V7_AGE_KNOT_Y_0,IF(M100&gt;=V7_AGE_KNOT_X_5,V7_AGE_KNOT_Y_5,IF(M100&lt;=V7_AGE_KNOT_X_1,V7_AGE_KNOT_Y_0+(M100-V7_AGE_KNOT_X_0)/(V7_AGE_KNOT_X_1-V7_AGE_KNOT_X_0)*(V7_AGE_KNOT_Y_1-V7_AGE_KNOT_Y_0),IF(M100&lt;=V7_AGE_KNOT_X_2,V7_AGE_KNOT_Y_1+(M100-V7_AGE_KNOT_X_1)/(V7_AGE_KNOT_X_2-V7_AGE_KNOT_X_1)*(V7_AGE_KNOT_Y_2-V7_AGE_KNOT_Y_1),IF(M100&lt;=V7_AGE_KNOT_X_3,V7_AGE_KNOT_Y_2+(M100-V7_AGE_KNOT_X_2)/(V7_AGE_KNOT_X_3-V7_AGE_KNOT_X_2)*(V7_AGE_KNOT_Y_3-V7_AGE_KNOT_Y_2),IF(M100&lt;=V7_AGE_KNOT_X_4,V7_AGE_KNOT_Y_3+(M100-V7_AGE_KNOT_X_3)/(V7_AGE_KNOT_X_4-V7_AGE_KNOT_X_3)*(V7_AGE_KNOT_Y_4-V7_AGE_KNOT_Y_3),V7_AGE_KNOT_Y_4+(M100-V7_AGE_KNOT_X_4)/(V7_AGE_KNOT_X_5-V7_AGE_KNOT_X_4)*(V7_AGE_KNOT_Y_5-V7_AGE_KNOT_Y_4)))))))</f>
        <v/>
      </c>
      <c r="X100" s="26">
        <f>V7_RATE_FLOOR+V7_RATE_ASYMPTOTE/(1+EXP(-(V100-V7_RATE_MID)/V7_RATE_SLOPE))</f>
        <v/>
      </c>
      <c r="Y100" s="26">
        <f>MAX(V7_SIZE_LOW,MIN(V7_SIZE_HIGH,V7_SIZE_INTERCEPT+V7_SIZE_SLOPE*(T100-V7_SIZE_LOG_ANCHOR)))</f>
        <v/>
      </c>
      <c r="Z100" s="26">
        <f>IF(ISNUMBER(SEARCH("232",E100)),VLOOKUP("232",V7_PROGRAM_TABLE,2,FALSE),IF(ISNUMBER(SEARCH("538",E100)),VLOOKUP("538",V7_PROGRAM_TABLE,2,FALSE),IF(ISNUMBER(SEARCH("223a7",E100)),VLOOKUP("223a7",V7_PROGRAM_TABLE,2,FALSE),IF(ISNUMBER(SEARCH("223f",E100)),VLOOKUP("223f",V7_PROGRAM_TABLE,2,FALSE),V7_PROGRAM_DEFAULT))))</f>
        <v/>
      </c>
      <c r="AA100" s="26">
        <f>IF(S100=1,1+V7_PURPOSE_NC_BUMP*MAX(0,1-ABS(M100-V7_PURPOSE_PEAK_AGE)/V7_PURPOSE_WIDTH),1)</f>
        <v/>
      </c>
      <c r="AB100" s="26">
        <f>IF(AND(IF(OR(P100="",NOT(ISNUMBER(P100))),0,MAX(0,MIN(24,(INT(VALUE(H100)/100)-INT(P100/100))*12+MOD(VALUE(H100),100)-MOD(P100,100))))&gt;0,IF(OR(P100="",NOT(ISNUMBER(P100))),0,MAX(0,MIN(24,(INT(VALUE(H100)/100)-INT(P100/100))*12+MOD(VALUE(H100),100)-MOD(P100,100))))&lt;=12),1+V7_LOCKOUT_AMP*EXP(-(IF(OR(P100="",NOT(ISNUMBER(P100))),0,MAX(0,MIN(24,(INT(VALUE(H100)/100)-INT(P100/100))*12+MOD(VALUE(H100),100)-MOD(P100,100)))))/V7_LOCKOUT_TAU),1)</f>
        <v/>
      </c>
      <c r="AC100" s="26">
        <f>IF(IF(OR(O100="",NOT(ISNUMBER(O100))),360,MAX(0,MIN(480,(INT(O100/100)-INT(VALUE(H100)/100))*12+MOD(O100,100)-MOD(VALUE(H100),100))))&gt;0,1+V7_MTY_AMP*MAX(0,(V7_MTY_CUTOFF-(IF(OR(O100="",NOT(ISNUMBER(O100))),360,MAX(0,MIN(480,(INT(O100/100)-INT(VALUE(H100)/100))*12+MOD(O100,100)-MOD(VALUE(H100),100))))))/V7_MTY_CUTOFF),1)</f>
        <v/>
      </c>
      <c r="AD100" s="26">
        <f>MAX(V7_BURN_FLOOR,1-V7_BURN_SLOPE*MIN(1,MAX(0,R100)))</f>
        <v/>
      </c>
      <c r="AE100" s="26">
        <f>IF(V7_USE_ISSUER=1,IFERROR(VLOOKUP(Q100,V7_ISSUER_TABLE,3,FALSE),1),1)</f>
        <v/>
      </c>
      <c r="AF100" s="26">
        <f>PRODUCT(W100:AE100)</f>
        <v/>
      </c>
      <c r="AG100" s="27">
        <f>MIN(V7_BASE_SMM*AF100,V7_SMM_CAP)</f>
        <v/>
      </c>
      <c r="AH100" s="28">
        <f>1-(1-AG100)^12</f>
        <v/>
      </c>
      <c r="AI100" s="28">
        <f>IFERROR(LN(W100)/(LN(W100)+LN(X100)+LN(Y100)+LN(Z100)+LN(AA100)+LN(AB100)+LN(AC100)+LN(AD100))*(AH100-V7_BASE_CPR),0)</f>
        <v/>
      </c>
      <c r="AJ100" s="28">
        <f>IFERROR(LN(X100)/(LN(W100)+LN(X100)+LN(Y100)+LN(Z100)+LN(AA100)+LN(AB100)+LN(AC100)+LN(AD100))*(AH100-V7_BASE_CPR),0)</f>
        <v/>
      </c>
      <c r="AK100" s="28">
        <f>IFERROR(LN(Y100)/(LN(W100)+LN(X100)+LN(Y100)+LN(Z100)+LN(AA100)+LN(AB100)+LN(AC100)+LN(AD100))*(AH100-V7_BASE_CPR),0)</f>
        <v/>
      </c>
      <c r="AL100" s="28">
        <f>IFERROR(LN(Z100)/(LN(W100)+LN(X100)+LN(Y100)+LN(Z100)+LN(AA100)+LN(AB100)+LN(AC100)+LN(AD100))*(AH100-V7_BASE_CPR),0)</f>
        <v/>
      </c>
      <c r="AM100" s="28">
        <f>IFERROR(LN(AA100)/(LN(W100)+LN(X100)+LN(Y100)+LN(Z100)+LN(AA100)+LN(AB100)+LN(AC100)+LN(AD100))*(AH100-V7_BASE_CPR),0)</f>
        <v/>
      </c>
      <c r="AN100" s="28">
        <f>IFERROR(LN(AB100)/(LN(W100)+LN(X100)+LN(Y100)+LN(Z100)+LN(AA100)+LN(AB100)+LN(AC100)+LN(AD100))*(AH100-V7_BASE_CPR),0)</f>
        <v/>
      </c>
      <c r="AO100" s="28">
        <f>IFERROR(LN(AC100)/(LN(W100)+LN(X100)+LN(Y100)+LN(Z100)+LN(AA100)+LN(AB100)+LN(AC100)+LN(AD100))*(AH100-V7_BASE_CPR),0)</f>
        <v/>
      </c>
      <c r="AP100" s="28">
        <f>IFERROR(LN(AD100)/(LN(W100)+LN(X100)+LN(Y100)+LN(Z100)+LN(AA100)+LN(AB100)+LN(AC100)+LN(AD100))*(AH100-V7_BASE_CPR),0)</f>
        <v/>
      </c>
      <c r="AQ100" s="29">
        <f>V7_BASE_CPR+SUM(AI100:AP100)-AH100</f>
        <v/>
      </c>
    </row>
    <row r="101">
      <c r="A101" s="2" t="inlineStr">
        <is>
          <t>36195YXV1_000000010111250</t>
        </is>
      </c>
      <c r="B101" t="inlineStr">
        <is>
          <t>GREYSTONE_PRE21</t>
        </is>
      </c>
      <c r="C101" s="2" t="inlineStr">
        <is>
          <t>36195YXV1</t>
        </is>
      </c>
      <c r="D101" t="inlineStr">
        <is>
          <t>GREYSTONE FUNDING COMPANY LLC</t>
        </is>
      </c>
      <c r="E101" t="inlineStr">
        <is>
          <t>223a7</t>
        </is>
      </c>
      <c r="F101" t="inlineStr">
        <is>
          <t>RP</t>
        </is>
      </c>
      <c r="G101" t="n">
        <v>2016</v>
      </c>
      <c r="H101" t="inlineStr">
        <is>
          <t>202602</t>
        </is>
      </c>
      <c r="I101" s="22" t="n">
        <v>9943905.23</v>
      </c>
      <c r="J101" s="23" t="n">
        <v>3.39</v>
      </c>
      <c r="K101" s="24" t="n">
        <v>447</v>
      </c>
      <c r="L101" s="24" t="n">
        <v>1</v>
      </c>
      <c r="M101" t="n">
        <v>111</v>
      </c>
      <c r="N101" s="25" t="n">
        <v>26</v>
      </c>
      <c r="O101" t="n">
        <v>205112</v>
      </c>
      <c r="P101" t="inlineStr"/>
      <c r="Q101" t="inlineStr">
        <is>
          <t>4168</t>
        </is>
      </c>
      <c r="R101" s="26" t="n">
        <v>0.2342342342342342</v>
      </c>
      <c r="S101" t="n">
        <v>0</v>
      </c>
      <c r="T101" s="23">
        <f>LN(1+I101)</f>
        <v/>
      </c>
      <c r="U101" s="24">
        <f>J101*100-K101</f>
        <v/>
      </c>
      <c r="V101" s="24">
        <f>U101-12.5*(L101+1)</f>
        <v/>
      </c>
      <c r="W101" s="26">
        <f>IF(M101&lt;=V7_AGE_KNOT_X_0,V7_AGE_KNOT_Y_0,IF(M101&gt;=V7_AGE_KNOT_X_5,V7_AGE_KNOT_Y_5,IF(M101&lt;=V7_AGE_KNOT_X_1,V7_AGE_KNOT_Y_0+(M101-V7_AGE_KNOT_X_0)/(V7_AGE_KNOT_X_1-V7_AGE_KNOT_X_0)*(V7_AGE_KNOT_Y_1-V7_AGE_KNOT_Y_0),IF(M101&lt;=V7_AGE_KNOT_X_2,V7_AGE_KNOT_Y_1+(M101-V7_AGE_KNOT_X_1)/(V7_AGE_KNOT_X_2-V7_AGE_KNOT_X_1)*(V7_AGE_KNOT_Y_2-V7_AGE_KNOT_Y_1),IF(M101&lt;=V7_AGE_KNOT_X_3,V7_AGE_KNOT_Y_2+(M101-V7_AGE_KNOT_X_2)/(V7_AGE_KNOT_X_3-V7_AGE_KNOT_X_2)*(V7_AGE_KNOT_Y_3-V7_AGE_KNOT_Y_2),IF(M101&lt;=V7_AGE_KNOT_X_4,V7_AGE_KNOT_Y_3+(M101-V7_AGE_KNOT_X_3)/(V7_AGE_KNOT_X_4-V7_AGE_KNOT_X_3)*(V7_AGE_KNOT_Y_4-V7_AGE_KNOT_Y_3),V7_AGE_KNOT_Y_4+(M101-V7_AGE_KNOT_X_4)/(V7_AGE_KNOT_X_5-V7_AGE_KNOT_X_4)*(V7_AGE_KNOT_Y_5-V7_AGE_KNOT_Y_4)))))))</f>
        <v/>
      </c>
      <c r="X101" s="26">
        <f>V7_RATE_FLOOR+V7_RATE_ASYMPTOTE/(1+EXP(-(V101-V7_RATE_MID)/V7_RATE_SLOPE))</f>
        <v/>
      </c>
      <c r="Y101" s="26">
        <f>MAX(V7_SIZE_LOW,MIN(V7_SIZE_HIGH,V7_SIZE_INTERCEPT+V7_SIZE_SLOPE*(T101-V7_SIZE_LOG_ANCHOR)))</f>
        <v/>
      </c>
      <c r="Z101" s="26">
        <f>IF(ISNUMBER(SEARCH("232",E101)),VLOOKUP("232",V7_PROGRAM_TABLE,2,FALSE),IF(ISNUMBER(SEARCH("538",E101)),VLOOKUP("538",V7_PROGRAM_TABLE,2,FALSE),IF(ISNUMBER(SEARCH("223a7",E101)),VLOOKUP("223a7",V7_PROGRAM_TABLE,2,FALSE),IF(ISNUMBER(SEARCH("223f",E101)),VLOOKUP("223f",V7_PROGRAM_TABLE,2,FALSE),V7_PROGRAM_DEFAULT))))</f>
        <v/>
      </c>
      <c r="AA101" s="26">
        <f>IF(S101=1,1+V7_PURPOSE_NC_BUMP*MAX(0,1-ABS(M101-V7_PURPOSE_PEAK_AGE)/V7_PURPOSE_WIDTH),1)</f>
        <v/>
      </c>
      <c r="AB101" s="26">
        <f>IF(AND(IF(OR(P101="",NOT(ISNUMBER(P101))),0,MAX(0,MIN(24,(INT(VALUE(H101)/100)-INT(P101/100))*12+MOD(VALUE(H101),100)-MOD(P101,100))))&gt;0,IF(OR(P101="",NOT(ISNUMBER(P101))),0,MAX(0,MIN(24,(INT(VALUE(H101)/100)-INT(P101/100))*12+MOD(VALUE(H101),100)-MOD(P101,100))))&lt;=12),1+V7_LOCKOUT_AMP*EXP(-(IF(OR(P101="",NOT(ISNUMBER(P101))),0,MAX(0,MIN(24,(INT(VALUE(H101)/100)-INT(P101/100))*12+MOD(VALUE(H101),100)-MOD(P101,100)))))/V7_LOCKOUT_TAU),1)</f>
        <v/>
      </c>
      <c r="AC101" s="26">
        <f>IF(IF(OR(O101="",NOT(ISNUMBER(O101))),360,MAX(0,MIN(480,(INT(O101/100)-INT(VALUE(H101)/100))*12+MOD(O101,100)-MOD(VALUE(H101),100))))&gt;0,1+V7_MTY_AMP*MAX(0,(V7_MTY_CUTOFF-(IF(OR(O101="",NOT(ISNUMBER(O101))),360,MAX(0,MIN(480,(INT(O101/100)-INT(VALUE(H101)/100))*12+MOD(O101,100)-MOD(VALUE(H101),100))))))/V7_MTY_CUTOFF),1)</f>
        <v/>
      </c>
      <c r="AD101" s="26">
        <f>MAX(V7_BURN_FLOOR,1-V7_BURN_SLOPE*MIN(1,MAX(0,R101)))</f>
        <v/>
      </c>
      <c r="AE101" s="26">
        <f>IF(V7_USE_ISSUER=1,IFERROR(VLOOKUP(Q101,V7_ISSUER_TABLE,3,FALSE),1),1)</f>
        <v/>
      </c>
      <c r="AF101" s="26">
        <f>PRODUCT(W101:AE101)</f>
        <v/>
      </c>
      <c r="AG101" s="27">
        <f>MIN(V7_BASE_SMM*AF101,V7_SMM_CAP)</f>
        <v/>
      </c>
      <c r="AH101" s="28">
        <f>1-(1-AG101)^12</f>
        <v/>
      </c>
      <c r="AI101" s="28">
        <f>IFERROR(LN(W101)/(LN(W101)+LN(X101)+LN(Y101)+LN(Z101)+LN(AA101)+LN(AB101)+LN(AC101)+LN(AD101))*(AH101-V7_BASE_CPR),0)</f>
        <v/>
      </c>
      <c r="AJ101" s="28">
        <f>IFERROR(LN(X101)/(LN(W101)+LN(X101)+LN(Y101)+LN(Z101)+LN(AA101)+LN(AB101)+LN(AC101)+LN(AD101))*(AH101-V7_BASE_CPR),0)</f>
        <v/>
      </c>
      <c r="AK101" s="28">
        <f>IFERROR(LN(Y101)/(LN(W101)+LN(X101)+LN(Y101)+LN(Z101)+LN(AA101)+LN(AB101)+LN(AC101)+LN(AD101))*(AH101-V7_BASE_CPR),0)</f>
        <v/>
      </c>
      <c r="AL101" s="28">
        <f>IFERROR(LN(Z101)/(LN(W101)+LN(X101)+LN(Y101)+LN(Z101)+LN(AA101)+LN(AB101)+LN(AC101)+LN(AD101))*(AH101-V7_BASE_CPR),0)</f>
        <v/>
      </c>
      <c r="AM101" s="28">
        <f>IFERROR(LN(AA101)/(LN(W101)+LN(X101)+LN(Y101)+LN(Z101)+LN(AA101)+LN(AB101)+LN(AC101)+LN(AD101))*(AH101-V7_BASE_CPR),0)</f>
        <v/>
      </c>
      <c r="AN101" s="28">
        <f>IFERROR(LN(AB101)/(LN(W101)+LN(X101)+LN(Y101)+LN(Z101)+LN(AA101)+LN(AB101)+LN(AC101)+LN(AD101))*(AH101-V7_BASE_CPR),0)</f>
        <v/>
      </c>
      <c r="AO101" s="28">
        <f>IFERROR(LN(AC101)/(LN(W101)+LN(X101)+LN(Y101)+LN(Z101)+LN(AA101)+LN(AB101)+LN(AC101)+LN(AD101))*(AH101-V7_BASE_CPR),0)</f>
        <v/>
      </c>
      <c r="AP101" s="28">
        <f>IFERROR(LN(AD101)/(LN(W101)+LN(X101)+LN(Y101)+LN(Z101)+LN(AA101)+LN(AB101)+LN(AC101)+LN(AD101))*(AH101-V7_BASE_CPR),0)</f>
        <v/>
      </c>
      <c r="AQ101" s="29">
        <f>V7_BASE_CPR+SUM(AI101:AP101)-AH101</f>
        <v/>
      </c>
    </row>
    <row r="102">
      <c r="A102" s="2" t="inlineStr">
        <is>
          <t>3617YUSS4_000000008522106</t>
        </is>
      </c>
      <c r="B102" t="inlineStr">
        <is>
          <t>GREYSTONE_POST21</t>
        </is>
      </c>
      <c r="C102" s="2" t="inlineStr">
        <is>
          <t>3617YUSS4</t>
        </is>
      </c>
      <c r="D102" t="inlineStr">
        <is>
          <t>GREYSTONE FUNDING COMPANY LLC</t>
        </is>
      </c>
      <c r="E102" t="inlineStr">
        <is>
          <t>232</t>
        </is>
      </c>
      <c r="F102" t="inlineStr">
        <is>
          <t>RP</t>
        </is>
      </c>
      <c r="G102" t="n">
        <v>2022</v>
      </c>
      <c r="H102" t="inlineStr">
        <is>
          <t>202602</t>
        </is>
      </c>
      <c r="I102" s="22" t="n">
        <v>11574005.09</v>
      </c>
      <c r="J102" s="23" t="n">
        <v>3.3</v>
      </c>
      <c r="K102" s="24" t="n">
        <v>447</v>
      </c>
      <c r="L102" s="24" t="n">
        <v>7</v>
      </c>
      <c r="M102" t="n">
        <v>45</v>
      </c>
      <c r="N102" s="25" t="n">
        <v>0</v>
      </c>
      <c r="O102" t="n">
        <v>205706</v>
      </c>
      <c r="P102" t="inlineStr"/>
      <c r="Q102" t="inlineStr">
        <is>
          <t>4168</t>
        </is>
      </c>
      <c r="R102" s="26" t="n">
        <v>0</v>
      </c>
      <c r="S102" t="n">
        <v>0</v>
      </c>
      <c r="T102" s="23">
        <f>LN(1+I102)</f>
        <v/>
      </c>
      <c r="U102" s="24">
        <f>J102*100-K102</f>
        <v/>
      </c>
      <c r="V102" s="24">
        <f>U102-12.5*(L102+1)</f>
        <v/>
      </c>
      <c r="W102" s="26">
        <f>IF(M102&lt;=V7_AGE_KNOT_X_0,V7_AGE_KNOT_Y_0,IF(M102&gt;=V7_AGE_KNOT_X_5,V7_AGE_KNOT_Y_5,IF(M102&lt;=V7_AGE_KNOT_X_1,V7_AGE_KNOT_Y_0+(M102-V7_AGE_KNOT_X_0)/(V7_AGE_KNOT_X_1-V7_AGE_KNOT_X_0)*(V7_AGE_KNOT_Y_1-V7_AGE_KNOT_Y_0),IF(M102&lt;=V7_AGE_KNOT_X_2,V7_AGE_KNOT_Y_1+(M102-V7_AGE_KNOT_X_1)/(V7_AGE_KNOT_X_2-V7_AGE_KNOT_X_1)*(V7_AGE_KNOT_Y_2-V7_AGE_KNOT_Y_1),IF(M102&lt;=V7_AGE_KNOT_X_3,V7_AGE_KNOT_Y_2+(M102-V7_AGE_KNOT_X_2)/(V7_AGE_KNOT_X_3-V7_AGE_KNOT_X_2)*(V7_AGE_KNOT_Y_3-V7_AGE_KNOT_Y_2),IF(M102&lt;=V7_AGE_KNOT_X_4,V7_AGE_KNOT_Y_3+(M102-V7_AGE_KNOT_X_3)/(V7_AGE_KNOT_X_4-V7_AGE_KNOT_X_3)*(V7_AGE_KNOT_Y_4-V7_AGE_KNOT_Y_3),V7_AGE_KNOT_Y_4+(M102-V7_AGE_KNOT_X_4)/(V7_AGE_KNOT_X_5-V7_AGE_KNOT_X_4)*(V7_AGE_KNOT_Y_5-V7_AGE_KNOT_Y_4)))))))</f>
        <v/>
      </c>
      <c r="X102" s="26">
        <f>V7_RATE_FLOOR+V7_RATE_ASYMPTOTE/(1+EXP(-(V102-V7_RATE_MID)/V7_RATE_SLOPE))</f>
        <v/>
      </c>
      <c r="Y102" s="26">
        <f>MAX(V7_SIZE_LOW,MIN(V7_SIZE_HIGH,V7_SIZE_INTERCEPT+V7_SIZE_SLOPE*(T102-V7_SIZE_LOG_ANCHOR)))</f>
        <v/>
      </c>
      <c r="Z102" s="26">
        <f>IF(ISNUMBER(SEARCH("232",E102)),VLOOKUP("232",V7_PROGRAM_TABLE,2,FALSE),IF(ISNUMBER(SEARCH("538",E102)),VLOOKUP("538",V7_PROGRAM_TABLE,2,FALSE),IF(ISNUMBER(SEARCH("223a7",E102)),VLOOKUP("223a7",V7_PROGRAM_TABLE,2,FALSE),IF(ISNUMBER(SEARCH("223f",E102)),VLOOKUP("223f",V7_PROGRAM_TABLE,2,FALSE),V7_PROGRAM_DEFAULT))))</f>
        <v/>
      </c>
      <c r="AA102" s="26">
        <f>IF(S102=1,1+V7_PURPOSE_NC_BUMP*MAX(0,1-ABS(M102-V7_PURPOSE_PEAK_AGE)/V7_PURPOSE_WIDTH),1)</f>
        <v/>
      </c>
      <c r="AB102" s="26">
        <f>IF(AND(IF(OR(P102="",NOT(ISNUMBER(P102))),0,MAX(0,MIN(24,(INT(VALUE(H102)/100)-INT(P102/100))*12+MOD(VALUE(H102),100)-MOD(P102,100))))&gt;0,IF(OR(P102="",NOT(ISNUMBER(P102))),0,MAX(0,MIN(24,(INT(VALUE(H102)/100)-INT(P102/100))*12+MOD(VALUE(H102),100)-MOD(P102,100))))&lt;=12),1+V7_LOCKOUT_AMP*EXP(-(IF(OR(P102="",NOT(ISNUMBER(P102))),0,MAX(0,MIN(24,(INT(VALUE(H102)/100)-INT(P102/100))*12+MOD(VALUE(H102),100)-MOD(P102,100)))))/V7_LOCKOUT_TAU),1)</f>
        <v/>
      </c>
      <c r="AC102" s="26">
        <f>IF(IF(OR(O102="",NOT(ISNUMBER(O102))),360,MAX(0,MIN(480,(INT(O102/100)-INT(VALUE(H102)/100))*12+MOD(O102,100)-MOD(VALUE(H102),100))))&gt;0,1+V7_MTY_AMP*MAX(0,(V7_MTY_CUTOFF-(IF(OR(O102="",NOT(ISNUMBER(O102))),360,MAX(0,MIN(480,(INT(O102/100)-INT(VALUE(H102)/100))*12+MOD(O102,100)-MOD(VALUE(H102),100))))))/V7_MTY_CUTOFF),1)</f>
        <v/>
      </c>
      <c r="AD102" s="26">
        <f>MAX(V7_BURN_FLOOR,1-V7_BURN_SLOPE*MIN(1,MAX(0,R102)))</f>
        <v/>
      </c>
      <c r="AE102" s="26">
        <f>IF(V7_USE_ISSUER=1,IFERROR(VLOOKUP(Q102,V7_ISSUER_TABLE,3,FALSE),1),1)</f>
        <v/>
      </c>
      <c r="AF102" s="26">
        <f>PRODUCT(W102:AE102)</f>
        <v/>
      </c>
      <c r="AG102" s="27">
        <f>MIN(V7_BASE_SMM*AF102,V7_SMM_CAP)</f>
        <v/>
      </c>
      <c r="AH102" s="28">
        <f>1-(1-AG102)^12</f>
        <v/>
      </c>
      <c r="AI102" s="28">
        <f>IFERROR(LN(W102)/(LN(W102)+LN(X102)+LN(Y102)+LN(Z102)+LN(AA102)+LN(AB102)+LN(AC102)+LN(AD102))*(AH102-V7_BASE_CPR),0)</f>
        <v/>
      </c>
      <c r="AJ102" s="28">
        <f>IFERROR(LN(X102)/(LN(W102)+LN(X102)+LN(Y102)+LN(Z102)+LN(AA102)+LN(AB102)+LN(AC102)+LN(AD102))*(AH102-V7_BASE_CPR),0)</f>
        <v/>
      </c>
      <c r="AK102" s="28">
        <f>IFERROR(LN(Y102)/(LN(W102)+LN(X102)+LN(Y102)+LN(Z102)+LN(AA102)+LN(AB102)+LN(AC102)+LN(AD102))*(AH102-V7_BASE_CPR),0)</f>
        <v/>
      </c>
      <c r="AL102" s="28">
        <f>IFERROR(LN(Z102)/(LN(W102)+LN(X102)+LN(Y102)+LN(Z102)+LN(AA102)+LN(AB102)+LN(AC102)+LN(AD102))*(AH102-V7_BASE_CPR),0)</f>
        <v/>
      </c>
      <c r="AM102" s="28">
        <f>IFERROR(LN(AA102)/(LN(W102)+LN(X102)+LN(Y102)+LN(Z102)+LN(AA102)+LN(AB102)+LN(AC102)+LN(AD102))*(AH102-V7_BASE_CPR),0)</f>
        <v/>
      </c>
      <c r="AN102" s="28">
        <f>IFERROR(LN(AB102)/(LN(W102)+LN(X102)+LN(Y102)+LN(Z102)+LN(AA102)+LN(AB102)+LN(AC102)+LN(AD102))*(AH102-V7_BASE_CPR),0)</f>
        <v/>
      </c>
      <c r="AO102" s="28">
        <f>IFERROR(LN(AC102)/(LN(W102)+LN(X102)+LN(Y102)+LN(Z102)+LN(AA102)+LN(AB102)+LN(AC102)+LN(AD102))*(AH102-V7_BASE_CPR),0)</f>
        <v/>
      </c>
      <c r="AP102" s="28">
        <f>IFERROR(LN(AD102)/(LN(W102)+LN(X102)+LN(Y102)+LN(Z102)+LN(AA102)+LN(AB102)+LN(AC102)+LN(AD102))*(AH102-V7_BASE_CPR),0)</f>
        <v/>
      </c>
      <c r="AQ102" s="29">
        <f>V7_BASE_CPR+SUM(AI102:AP102)-AH102</f>
        <v/>
      </c>
    </row>
    <row r="103">
      <c r="A103" s="2" t="inlineStr">
        <is>
          <t>3617XRBC5_000000011411535</t>
        </is>
      </c>
      <c r="B103" t="inlineStr">
        <is>
          <t>GREYSTONE_POST21</t>
        </is>
      </c>
      <c r="C103" s="2" t="inlineStr">
        <is>
          <t>3617XRBC5</t>
        </is>
      </c>
      <c r="D103" t="inlineStr">
        <is>
          <t>GREYSTONE FUNDING COMPANY LLC</t>
        </is>
      </c>
      <c r="E103" t="inlineStr">
        <is>
          <t>223f</t>
        </is>
      </c>
      <c r="F103" t="inlineStr">
        <is>
          <t>RP</t>
        </is>
      </c>
      <c r="G103" t="n">
        <v>2022</v>
      </c>
      <c r="H103" t="inlineStr">
        <is>
          <t>202602</t>
        </is>
      </c>
      <c r="I103" s="22" t="n">
        <v>11232891.01</v>
      </c>
      <c r="J103" s="23" t="n">
        <v>2.38</v>
      </c>
      <c r="K103" s="24" t="n">
        <v>447</v>
      </c>
      <c r="L103" s="24" t="n">
        <v>7</v>
      </c>
      <c r="M103" t="n">
        <v>49</v>
      </c>
      <c r="N103" s="25" t="n">
        <v>0</v>
      </c>
      <c r="O103" t="n">
        <v>205702</v>
      </c>
      <c r="P103" t="inlineStr"/>
      <c r="Q103" t="inlineStr">
        <is>
          <t>4168</t>
        </is>
      </c>
      <c r="R103" s="26" t="n">
        <v>0</v>
      </c>
      <c r="S103" t="n">
        <v>0</v>
      </c>
      <c r="T103" s="23">
        <f>LN(1+I103)</f>
        <v/>
      </c>
      <c r="U103" s="24">
        <f>J103*100-K103</f>
        <v/>
      </c>
      <c r="V103" s="24">
        <f>U103-12.5*(L103+1)</f>
        <v/>
      </c>
      <c r="W103" s="26">
        <f>IF(M103&lt;=V7_AGE_KNOT_X_0,V7_AGE_KNOT_Y_0,IF(M103&gt;=V7_AGE_KNOT_X_5,V7_AGE_KNOT_Y_5,IF(M103&lt;=V7_AGE_KNOT_X_1,V7_AGE_KNOT_Y_0+(M103-V7_AGE_KNOT_X_0)/(V7_AGE_KNOT_X_1-V7_AGE_KNOT_X_0)*(V7_AGE_KNOT_Y_1-V7_AGE_KNOT_Y_0),IF(M103&lt;=V7_AGE_KNOT_X_2,V7_AGE_KNOT_Y_1+(M103-V7_AGE_KNOT_X_1)/(V7_AGE_KNOT_X_2-V7_AGE_KNOT_X_1)*(V7_AGE_KNOT_Y_2-V7_AGE_KNOT_Y_1),IF(M103&lt;=V7_AGE_KNOT_X_3,V7_AGE_KNOT_Y_2+(M103-V7_AGE_KNOT_X_2)/(V7_AGE_KNOT_X_3-V7_AGE_KNOT_X_2)*(V7_AGE_KNOT_Y_3-V7_AGE_KNOT_Y_2),IF(M103&lt;=V7_AGE_KNOT_X_4,V7_AGE_KNOT_Y_3+(M103-V7_AGE_KNOT_X_3)/(V7_AGE_KNOT_X_4-V7_AGE_KNOT_X_3)*(V7_AGE_KNOT_Y_4-V7_AGE_KNOT_Y_3),V7_AGE_KNOT_Y_4+(M103-V7_AGE_KNOT_X_4)/(V7_AGE_KNOT_X_5-V7_AGE_KNOT_X_4)*(V7_AGE_KNOT_Y_5-V7_AGE_KNOT_Y_4)))))))</f>
        <v/>
      </c>
      <c r="X103" s="26">
        <f>V7_RATE_FLOOR+V7_RATE_ASYMPTOTE/(1+EXP(-(V103-V7_RATE_MID)/V7_RATE_SLOPE))</f>
        <v/>
      </c>
      <c r="Y103" s="26">
        <f>MAX(V7_SIZE_LOW,MIN(V7_SIZE_HIGH,V7_SIZE_INTERCEPT+V7_SIZE_SLOPE*(T103-V7_SIZE_LOG_ANCHOR)))</f>
        <v/>
      </c>
      <c r="Z103" s="26">
        <f>IF(ISNUMBER(SEARCH("232",E103)),VLOOKUP("232",V7_PROGRAM_TABLE,2,FALSE),IF(ISNUMBER(SEARCH("538",E103)),VLOOKUP("538",V7_PROGRAM_TABLE,2,FALSE),IF(ISNUMBER(SEARCH("223a7",E103)),VLOOKUP("223a7",V7_PROGRAM_TABLE,2,FALSE),IF(ISNUMBER(SEARCH("223f",E103)),VLOOKUP("223f",V7_PROGRAM_TABLE,2,FALSE),V7_PROGRAM_DEFAULT))))</f>
        <v/>
      </c>
      <c r="AA103" s="26">
        <f>IF(S103=1,1+V7_PURPOSE_NC_BUMP*MAX(0,1-ABS(M103-V7_PURPOSE_PEAK_AGE)/V7_PURPOSE_WIDTH),1)</f>
        <v/>
      </c>
      <c r="AB103" s="26">
        <f>IF(AND(IF(OR(P103="",NOT(ISNUMBER(P103))),0,MAX(0,MIN(24,(INT(VALUE(H103)/100)-INT(P103/100))*12+MOD(VALUE(H103),100)-MOD(P103,100))))&gt;0,IF(OR(P103="",NOT(ISNUMBER(P103))),0,MAX(0,MIN(24,(INT(VALUE(H103)/100)-INT(P103/100))*12+MOD(VALUE(H103),100)-MOD(P103,100))))&lt;=12),1+V7_LOCKOUT_AMP*EXP(-(IF(OR(P103="",NOT(ISNUMBER(P103))),0,MAX(0,MIN(24,(INT(VALUE(H103)/100)-INT(P103/100))*12+MOD(VALUE(H103),100)-MOD(P103,100)))))/V7_LOCKOUT_TAU),1)</f>
        <v/>
      </c>
      <c r="AC103" s="26">
        <f>IF(IF(OR(O103="",NOT(ISNUMBER(O103))),360,MAX(0,MIN(480,(INT(O103/100)-INT(VALUE(H103)/100))*12+MOD(O103,100)-MOD(VALUE(H103),100))))&gt;0,1+V7_MTY_AMP*MAX(0,(V7_MTY_CUTOFF-(IF(OR(O103="",NOT(ISNUMBER(O103))),360,MAX(0,MIN(480,(INT(O103/100)-INT(VALUE(H103)/100))*12+MOD(O103,100)-MOD(VALUE(H103),100))))))/V7_MTY_CUTOFF),1)</f>
        <v/>
      </c>
      <c r="AD103" s="26">
        <f>MAX(V7_BURN_FLOOR,1-V7_BURN_SLOPE*MIN(1,MAX(0,R103)))</f>
        <v/>
      </c>
      <c r="AE103" s="26">
        <f>IF(V7_USE_ISSUER=1,IFERROR(VLOOKUP(Q103,V7_ISSUER_TABLE,3,FALSE),1),1)</f>
        <v/>
      </c>
      <c r="AF103" s="26">
        <f>PRODUCT(W103:AE103)</f>
        <v/>
      </c>
      <c r="AG103" s="27">
        <f>MIN(V7_BASE_SMM*AF103,V7_SMM_CAP)</f>
        <v/>
      </c>
      <c r="AH103" s="28">
        <f>1-(1-AG103)^12</f>
        <v/>
      </c>
      <c r="AI103" s="28">
        <f>IFERROR(LN(W103)/(LN(W103)+LN(X103)+LN(Y103)+LN(Z103)+LN(AA103)+LN(AB103)+LN(AC103)+LN(AD103))*(AH103-V7_BASE_CPR),0)</f>
        <v/>
      </c>
      <c r="AJ103" s="28">
        <f>IFERROR(LN(X103)/(LN(W103)+LN(X103)+LN(Y103)+LN(Z103)+LN(AA103)+LN(AB103)+LN(AC103)+LN(AD103))*(AH103-V7_BASE_CPR),0)</f>
        <v/>
      </c>
      <c r="AK103" s="28">
        <f>IFERROR(LN(Y103)/(LN(W103)+LN(X103)+LN(Y103)+LN(Z103)+LN(AA103)+LN(AB103)+LN(AC103)+LN(AD103))*(AH103-V7_BASE_CPR),0)</f>
        <v/>
      </c>
      <c r="AL103" s="28">
        <f>IFERROR(LN(Z103)/(LN(W103)+LN(X103)+LN(Y103)+LN(Z103)+LN(AA103)+LN(AB103)+LN(AC103)+LN(AD103))*(AH103-V7_BASE_CPR),0)</f>
        <v/>
      </c>
      <c r="AM103" s="28">
        <f>IFERROR(LN(AA103)/(LN(W103)+LN(X103)+LN(Y103)+LN(Z103)+LN(AA103)+LN(AB103)+LN(AC103)+LN(AD103))*(AH103-V7_BASE_CPR),0)</f>
        <v/>
      </c>
      <c r="AN103" s="28">
        <f>IFERROR(LN(AB103)/(LN(W103)+LN(X103)+LN(Y103)+LN(Z103)+LN(AA103)+LN(AB103)+LN(AC103)+LN(AD103))*(AH103-V7_BASE_CPR),0)</f>
        <v/>
      </c>
      <c r="AO103" s="28">
        <f>IFERROR(LN(AC103)/(LN(W103)+LN(X103)+LN(Y103)+LN(Z103)+LN(AA103)+LN(AB103)+LN(AC103)+LN(AD103))*(AH103-V7_BASE_CPR),0)</f>
        <v/>
      </c>
      <c r="AP103" s="28">
        <f>IFERROR(LN(AD103)/(LN(W103)+LN(X103)+LN(Y103)+LN(Z103)+LN(AA103)+LN(AB103)+LN(AC103)+LN(AD103))*(AH103-V7_BASE_CPR),0)</f>
        <v/>
      </c>
      <c r="AQ103" s="29">
        <f>V7_BASE_CPR+SUM(AI103:AP103)-AH103</f>
        <v/>
      </c>
    </row>
    <row r="104">
      <c r="A104" s="2" t="inlineStr">
        <is>
          <t>3617FEQQ7_000000001711241</t>
        </is>
      </c>
      <c r="B104" t="inlineStr">
        <is>
          <t>GREYSTONE_POST21</t>
        </is>
      </c>
      <c r="C104" s="2" t="inlineStr">
        <is>
          <t>3617FEQQ7</t>
        </is>
      </c>
      <c r="D104" t="inlineStr">
        <is>
          <t>GREYSTONE FUNDING COMPANY LLC</t>
        </is>
      </c>
      <c r="E104" t="inlineStr">
        <is>
          <t>223f</t>
        </is>
      </c>
      <c r="F104" t="inlineStr">
        <is>
          <t>RP</t>
        </is>
      </c>
      <c r="G104" t="n">
        <v>2022</v>
      </c>
      <c r="H104" t="inlineStr">
        <is>
          <t>202602</t>
        </is>
      </c>
      <c r="I104" s="22" t="n">
        <v>30292588.75</v>
      </c>
      <c r="J104" s="23" t="n">
        <v>3.9</v>
      </c>
      <c r="K104" s="24" t="n">
        <v>447</v>
      </c>
      <c r="L104" s="24" t="n">
        <v>7</v>
      </c>
      <c r="M104" t="n">
        <v>44</v>
      </c>
      <c r="N104" s="25" t="n">
        <v>0</v>
      </c>
      <c r="O104" t="n">
        <v>205707</v>
      </c>
      <c r="P104" t="inlineStr"/>
      <c r="Q104" t="inlineStr">
        <is>
          <t>4168</t>
        </is>
      </c>
      <c r="R104" s="26" t="n">
        <v>0</v>
      </c>
      <c r="S104" t="n">
        <v>0</v>
      </c>
      <c r="T104" s="23">
        <f>LN(1+I104)</f>
        <v/>
      </c>
      <c r="U104" s="24">
        <f>J104*100-K104</f>
        <v/>
      </c>
      <c r="V104" s="24">
        <f>U104-12.5*(L104+1)</f>
        <v/>
      </c>
      <c r="W104" s="26">
        <f>IF(M104&lt;=V7_AGE_KNOT_X_0,V7_AGE_KNOT_Y_0,IF(M104&gt;=V7_AGE_KNOT_X_5,V7_AGE_KNOT_Y_5,IF(M104&lt;=V7_AGE_KNOT_X_1,V7_AGE_KNOT_Y_0+(M104-V7_AGE_KNOT_X_0)/(V7_AGE_KNOT_X_1-V7_AGE_KNOT_X_0)*(V7_AGE_KNOT_Y_1-V7_AGE_KNOT_Y_0),IF(M104&lt;=V7_AGE_KNOT_X_2,V7_AGE_KNOT_Y_1+(M104-V7_AGE_KNOT_X_1)/(V7_AGE_KNOT_X_2-V7_AGE_KNOT_X_1)*(V7_AGE_KNOT_Y_2-V7_AGE_KNOT_Y_1),IF(M104&lt;=V7_AGE_KNOT_X_3,V7_AGE_KNOT_Y_2+(M104-V7_AGE_KNOT_X_2)/(V7_AGE_KNOT_X_3-V7_AGE_KNOT_X_2)*(V7_AGE_KNOT_Y_3-V7_AGE_KNOT_Y_2),IF(M104&lt;=V7_AGE_KNOT_X_4,V7_AGE_KNOT_Y_3+(M104-V7_AGE_KNOT_X_3)/(V7_AGE_KNOT_X_4-V7_AGE_KNOT_X_3)*(V7_AGE_KNOT_Y_4-V7_AGE_KNOT_Y_3),V7_AGE_KNOT_Y_4+(M104-V7_AGE_KNOT_X_4)/(V7_AGE_KNOT_X_5-V7_AGE_KNOT_X_4)*(V7_AGE_KNOT_Y_5-V7_AGE_KNOT_Y_4)))))))</f>
        <v/>
      </c>
      <c r="X104" s="26">
        <f>V7_RATE_FLOOR+V7_RATE_ASYMPTOTE/(1+EXP(-(V104-V7_RATE_MID)/V7_RATE_SLOPE))</f>
        <v/>
      </c>
      <c r="Y104" s="26">
        <f>MAX(V7_SIZE_LOW,MIN(V7_SIZE_HIGH,V7_SIZE_INTERCEPT+V7_SIZE_SLOPE*(T104-V7_SIZE_LOG_ANCHOR)))</f>
        <v/>
      </c>
      <c r="Z104" s="26">
        <f>IF(ISNUMBER(SEARCH("232",E104)),VLOOKUP("232",V7_PROGRAM_TABLE,2,FALSE),IF(ISNUMBER(SEARCH("538",E104)),VLOOKUP("538",V7_PROGRAM_TABLE,2,FALSE),IF(ISNUMBER(SEARCH("223a7",E104)),VLOOKUP("223a7",V7_PROGRAM_TABLE,2,FALSE),IF(ISNUMBER(SEARCH("223f",E104)),VLOOKUP("223f",V7_PROGRAM_TABLE,2,FALSE),V7_PROGRAM_DEFAULT))))</f>
        <v/>
      </c>
      <c r="AA104" s="26">
        <f>IF(S104=1,1+V7_PURPOSE_NC_BUMP*MAX(0,1-ABS(M104-V7_PURPOSE_PEAK_AGE)/V7_PURPOSE_WIDTH),1)</f>
        <v/>
      </c>
      <c r="AB104" s="26">
        <f>IF(AND(IF(OR(P104="",NOT(ISNUMBER(P104))),0,MAX(0,MIN(24,(INT(VALUE(H104)/100)-INT(P104/100))*12+MOD(VALUE(H104),100)-MOD(P104,100))))&gt;0,IF(OR(P104="",NOT(ISNUMBER(P104))),0,MAX(0,MIN(24,(INT(VALUE(H104)/100)-INT(P104/100))*12+MOD(VALUE(H104),100)-MOD(P104,100))))&lt;=12),1+V7_LOCKOUT_AMP*EXP(-(IF(OR(P104="",NOT(ISNUMBER(P104))),0,MAX(0,MIN(24,(INT(VALUE(H104)/100)-INT(P104/100))*12+MOD(VALUE(H104),100)-MOD(P104,100)))))/V7_LOCKOUT_TAU),1)</f>
        <v/>
      </c>
      <c r="AC104" s="26">
        <f>IF(IF(OR(O104="",NOT(ISNUMBER(O104))),360,MAX(0,MIN(480,(INT(O104/100)-INT(VALUE(H104)/100))*12+MOD(O104,100)-MOD(VALUE(H104),100))))&gt;0,1+V7_MTY_AMP*MAX(0,(V7_MTY_CUTOFF-(IF(OR(O104="",NOT(ISNUMBER(O104))),360,MAX(0,MIN(480,(INT(O104/100)-INT(VALUE(H104)/100))*12+MOD(O104,100)-MOD(VALUE(H104),100))))))/V7_MTY_CUTOFF),1)</f>
        <v/>
      </c>
      <c r="AD104" s="26">
        <f>MAX(V7_BURN_FLOOR,1-V7_BURN_SLOPE*MIN(1,MAX(0,R104)))</f>
        <v/>
      </c>
      <c r="AE104" s="26">
        <f>IF(V7_USE_ISSUER=1,IFERROR(VLOOKUP(Q104,V7_ISSUER_TABLE,3,FALSE),1),1)</f>
        <v/>
      </c>
      <c r="AF104" s="26">
        <f>PRODUCT(W104:AE104)</f>
        <v/>
      </c>
      <c r="AG104" s="27">
        <f>MIN(V7_BASE_SMM*AF104,V7_SMM_CAP)</f>
        <v/>
      </c>
      <c r="AH104" s="28">
        <f>1-(1-AG104)^12</f>
        <v/>
      </c>
      <c r="AI104" s="28">
        <f>IFERROR(LN(W104)/(LN(W104)+LN(X104)+LN(Y104)+LN(Z104)+LN(AA104)+LN(AB104)+LN(AC104)+LN(AD104))*(AH104-V7_BASE_CPR),0)</f>
        <v/>
      </c>
      <c r="AJ104" s="28">
        <f>IFERROR(LN(X104)/(LN(W104)+LN(X104)+LN(Y104)+LN(Z104)+LN(AA104)+LN(AB104)+LN(AC104)+LN(AD104))*(AH104-V7_BASE_CPR),0)</f>
        <v/>
      </c>
      <c r="AK104" s="28">
        <f>IFERROR(LN(Y104)/(LN(W104)+LN(X104)+LN(Y104)+LN(Z104)+LN(AA104)+LN(AB104)+LN(AC104)+LN(AD104))*(AH104-V7_BASE_CPR),0)</f>
        <v/>
      </c>
      <c r="AL104" s="28">
        <f>IFERROR(LN(Z104)/(LN(W104)+LN(X104)+LN(Y104)+LN(Z104)+LN(AA104)+LN(AB104)+LN(AC104)+LN(AD104))*(AH104-V7_BASE_CPR),0)</f>
        <v/>
      </c>
      <c r="AM104" s="28">
        <f>IFERROR(LN(AA104)/(LN(W104)+LN(X104)+LN(Y104)+LN(Z104)+LN(AA104)+LN(AB104)+LN(AC104)+LN(AD104))*(AH104-V7_BASE_CPR),0)</f>
        <v/>
      </c>
      <c r="AN104" s="28">
        <f>IFERROR(LN(AB104)/(LN(W104)+LN(X104)+LN(Y104)+LN(Z104)+LN(AA104)+LN(AB104)+LN(AC104)+LN(AD104))*(AH104-V7_BASE_CPR),0)</f>
        <v/>
      </c>
      <c r="AO104" s="28">
        <f>IFERROR(LN(AC104)/(LN(W104)+LN(X104)+LN(Y104)+LN(Z104)+LN(AA104)+LN(AB104)+LN(AC104)+LN(AD104))*(AH104-V7_BASE_CPR),0)</f>
        <v/>
      </c>
      <c r="AP104" s="28">
        <f>IFERROR(LN(AD104)/(LN(W104)+LN(X104)+LN(Y104)+LN(Z104)+LN(AA104)+LN(AB104)+LN(AC104)+LN(AD104))*(AH104-V7_BASE_CPR),0)</f>
        <v/>
      </c>
      <c r="AQ104" s="29">
        <f>V7_BASE_CPR+SUM(AI104:AP104)-AH104</f>
        <v/>
      </c>
    </row>
    <row r="105">
      <c r="A105" s="2" t="inlineStr">
        <is>
          <t>3617VLSV0_000000004222338</t>
        </is>
      </c>
      <c r="B105" t="inlineStr">
        <is>
          <t>GREYSTONE_POST21</t>
        </is>
      </c>
      <c r="C105" s="2" t="inlineStr">
        <is>
          <t>3617VLSV0</t>
        </is>
      </c>
      <c r="D105" t="inlineStr">
        <is>
          <t>GREYSTONE FUNDING COMPANY LLC</t>
        </is>
      </c>
      <c r="E105" t="inlineStr">
        <is>
          <t>232</t>
        </is>
      </c>
      <c r="F105" t="inlineStr">
        <is>
          <t>RP</t>
        </is>
      </c>
      <c r="G105" t="n">
        <v>2021</v>
      </c>
      <c r="H105" t="inlineStr">
        <is>
          <t>202602</t>
        </is>
      </c>
      <c r="I105" s="22" t="n">
        <v>5731386.6</v>
      </c>
      <c r="J105" s="23" t="n">
        <v>2.94</v>
      </c>
      <c r="K105" s="24" t="n">
        <v>447</v>
      </c>
      <c r="L105" s="24" t="n">
        <v>6</v>
      </c>
      <c r="M105" t="n">
        <v>58</v>
      </c>
      <c r="N105" s="25" t="n">
        <v>1</v>
      </c>
      <c r="O105" t="n">
        <v>205405</v>
      </c>
      <c r="P105" t="inlineStr"/>
      <c r="Q105" t="inlineStr">
        <is>
          <t>4168</t>
        </is>
      </c>
      <c r="R105" s="26" t="n">
        <v>0.01724137931034483</v>
      </c>
      <c r="S105" t="n">
        <v>0</v>
      </c>
      <c r="T105" s="23">
        <f>LN(1+I105)</f>
        <v/>
      </c>
      <c r="U105" s="24">
        <f>J105*100-K105</f>
        <v/>
      </c>
      <c r="V105" s="24">
        <f>U105-12.5*(L105+1)</f>
        <v/>
      </c>
      <c r="W105" s="26">
        <f>IF(M105&lt;=V7_AGE_KNOT_X_0,V7_AGE_KNOT_Y_0,IF(M105&gt;=V7_AGE_KNOT_X_5,V7_AGE_KNOT_Y_5,IF(M105&lt;=V7_AGE_KNOT_X_1,V7_AGE_KNOT_Y_0+(M105-V7_AGE_KNOT_X_0)/(V7_AGE_KNOT_X_1-V7_AGE_KNOT_X_0)*(V7_AGE_KNOT_Y_1-V7_AGE_KNOT_Y_0),IF(M105&lt;=V7_AGE_KNOT_X_2,V7_AGE_KNOT_Y_1+(M105-V7_AGE_KNOT_X_1)/(V7_AGE_KNOT_X_2-V7_AGE_KNOT_X_1)*(V7_AGE_KNOT_Y_2-V7_AGE_KNOT_Y_1),IF(M105&lt;=V7_AGE_KNOT_X_3,V7_AGE_KNOT_Y_2+(M105-V7_AGE_KNOT_X_2)/(V7_AGE_KNOT_X_3-V7_AGE_KNOT_X_2)*(V7_AGE_KNOT_Y_3-V7_AGE_KNOT_Y_2),IF(M105&lt;=V7_AGE_KNOT_X_4,V7_AGE_KNOT_Y_3+(M105-V7_AGE_KNOT_X_3)/(V7_AGE_KNOT_X_4-V7_AGE_KNOT_X_3)*(V7_AGE_KNOT_Y_4-V7_AGE_KNOT_Y_3),V7_AGE_KNOT_Y_4+(M105-V7_AGE_KNOT_X_4)/(V7_AGE_KNOT_X_5-V7_AGE_KNOT_X_4)*(V7_AGE_KNOT_Y_5-V7_AGE_KNOT_Y_4)))))))</f>
        <v/>
      </c>
      <c r="X105" s="26">
        <f>V7_RATE_FLOOR+V7_RATE_ASYMPTOTE/(1+EXP(-(V105-V7_RATE_MID)/V7_RATE_SLOPE))</f>
        <v/>
      </c>
      <c r="Y105" s="26">
        <f>MAX(V7_SIZE_LOW,MIN(V7_SIZE_HIGH,V7_SIZE_INTERCEPT+V7_SIZE_SLOPE*(T105-V7_SIZE_LOG_ANCHOR)))</f>
        <v/>
      </c>
      <c r="Z105" s="26">
        <f>IF(ISNUMBER(SEARCH("232",E105)),VLOOKUP("232",V7_PROGRAM_TABLE,2,FALSE),IF(ISNUMBER(SEARCH("538",E105)),VLOOKUP("538",V7_PROGRAM_TABLE,2,FALSE),IF(ISNUMBER(SEARCH("223a7",E105)),VLOOKUP("223a7",V7_PROGRAM_TABLE,2,FALSE),IF(ISNUMBER(SEARCH("223f",E105)),VLOOKUP("223f",V7_PROGRAM_TABLE,2,FALSE),V7_PROGRAM_DEFAULT))))</f>
        <v/>
      </c>
      <c r="AA105" s="26">
        <f>IF(S105=1,1+V7_PURPOSE_NC_BUMP*MAX(0,1-ABS(M105-V7_PURPOSE_PEAK_AGE)/V7_PURPOSE_WIDTH),1)</f>
        <v/>
      </c>
      <c r="AB105" s="26">
        <f>IF(AND(IF(OR(P105="",NOT(ISNUMBER(P105))),0,MAX(0,MIN(24,(INT(VALUE(H105)/100)-INT(P105/100))*12+MOD(VALUE(H105),100)-MOD(P105,100))))&gt;0,IF(OR(P105="",NOT(ISNUMBER(P105))),0,MAX(0,MIN(24,(INT(VALUE(H105)/100)-INT(P105/100))*12+MOD(VALUE(H105),100)-MOD(P105,100))))&lt;=12),1+V7_LOCKOUT_AMP*EXP(-(IF(OR(P105="",NOT(ISNUMBER(P105))),0,MAX(0,MIN(24,(INT(VALUE(H105)/100)-INT(P105/100))*12+MOD(VALUE(H105),100)-MOD(P105,100)))))/V7_LOCKOUT_TAU),1)</f>
        <v/>
      </c>
      <c r="AC105" s="26">
        <f>IF(IF(OR(O105="",NOT(ISNUMBER(O105))),360,MAX(0,MIN(480,(INT(O105/100)-INT(VALUE(H105)/100))*12+MOD(O105,100)-MOD(VALUE(H105),100))))&gt;0,1+V7_MTY_AMP*MAX(0,(V7_MTY_CUTOFF-(IF(OR(O105="",NOT(ISNUMBER(O105))),360,MAX(0,MIN(480,(INT(O105/100)-INT(VALUE(H105)/100))*12+MOD(O105,100)-MOD(VALUE(H105),100))))))/V7_MTY_CUTOFF),1)</f>
        <v/>
      </c>
      <c r="AD105" s="26">
        <f>MAX(V7_BURN_FLOOR,1-V7_BURN_SLOPE*MIN(1,MAX(0,R105)))</f>
        <v/>
      </c>
      <c r="AE105" s="26">
        <f>IF(V7_USE_ISSUER=1,IFERROR(VLOOKUP(Q105,V7_ISSUER_TABLE,3,FALSE),1),1)</f>
        <v/>
      </c>
      <c r="AF105" s="26">
        <f>PRODUCT(W105:AE105)</f>
        <v/>
      </c>
      <c r="AG105" s="27">
        <f>MIN(V7_BASE_SMM*AF105,V7_SMM_CAP)</f>
        <v/>
      </c>
      <c r="AH105" s="28">
        <f>1-(1-AG105)^12</f>
        <v/>
      </c>
      <c r="AI105" s="28">
        <f>IFERROR(LN(W105)/(LN(W105)+LN(X105)+LN(Y105)+LN(Z105)+LN(AA105)+LN(AB105)+LN(AC105)+LN(AD105))*(AH105-V7_BASE_CPR),0)</f>
        <v/>
      </c>
      <c r="AJ105" s="28">
        <f>IFERROR(LN(X105)/(LN(W105)+LN(X105)+LN(Y105)+LN(Z105)+LN(AA105)+LN(AB105)+LN(AC105)+LN(AD105))*(AH105-V7_BASE_CPR),0)</f>
        <v/>
      </c>
      <c r="AK105" s="28">
        <f>IFERROR(LN(Y105)/(LN(W105)+LN(X105)+LN(Y105)+LN(Z105)+LN(AA105)+LN(AB105)+LN(AC105)+LN(AD105))*(AH105-V7_BASE_CPR),0)</f>
        <v/>
      </c>
      <c r="AL105" s="28">
        <f>IFERROR(LN(Z105)/(LN(W105)+LN(X105)+LN(Y105)+LN(Z105)+LN(AA105)+LN(AB105)+LN(AC105)+LN(AD105))*(AH105-V7_BASE_CPR),0)</f>
        <v/>
      </c>
      <c r="AM105" s="28">
        <f>IFERROR(LN(AA105)/(LN(W105)+LN(X105)+LN(Y105)+LN(Z105)+LN(AA105)+LN(AB105)+LN(AC105)+LN(AD105))*(AH105-V7_BASE_CPR),0)</f>
        <v/>
      </c>
      <c r="AN105" s="28">
        <f>IFERROR(LN(AB105)/(LN(W105)+LN(X105)+LN(Y105)+LN(Z105)+LN(AA105)+LN(AB105)+LN(AC105)+LN(AD105))*(AH105-V7_BASE_CPR),0)</f>
        <v/>
      </c>
      <c r="AO105" s="28">
        <f>IFERROR(LN(AC105)/(LN(W105)+LN(X105)+LN(Y105)+LN(Z105)+LN(AA105)+LN(AB105)+LN(AC105)+LN(AD105))*(AH105-V7_BASE_CPR),0)</f>
        <v/>
      </c>
      <c r="AP105" s="28">
        <f>IFERROR(LN(AD105)/(LN(W105)+LN(X105)+LN(Y105)+LN(Z105)+LN(AA105)+LN(AB105)+LN(AC105)+LN(AD105))*(AH105-V7_BASE_CPR),0)</f>
        <v/>
      </c>
      <c r="AQ105" s="29">
        <f>V7_BASE_CPR+SUM(AI105:AP105)-AH105</f>
        <v/>
      </c>
    </row>
    <row r="106">
      <c r="A106" s="2" t="inlineStr">
        <is>
          <t>3617XRBK7_000000003122150</t>
        </is>
      </c>
      <c r="B106" t="inlineStr">
        <is>
          <t>GREYSTONE_POST21</t>
        </is>
      </c>
      <c r="C106" s="2" t="inlineStr">
        <is>
          <t>3617XRBK7</t>
        </is>
      </c>
      <c r="D106" t="inlineStr">
        <is>
          <t>GREYSTONE FUNDING COMPANY LLC</t>
        </is>
      </c>
      <c r="E106" t="inlineStr">
        <is>
          <t>232</t>
        </is>
      </c>
      <c r="F106" t="inlineStr">
        <is>
          <t>RP</t>
        </is>
      </c>
      <c r="G106" t="n">
        <v>2022</v>
      </c>
      <c r="H106" t="inlineStr">
        <is>
          <t>202602</t>
        </is>
      </c>
      <c r="I106" s="22" t="n">
        <v>5481862.74</v>
      </c>
      <c r="J106" s="23" t="n">
        <v>2.59</v>
      </c>
      <c r="K106" s="24" t="n">
        <v>447</v>
      </c>
      <c r="L106" s="24" t="n">
        <v>7</v>
      </c>
      <c r="M106" t="n">
        <v>49</v>
      </c>
      <c r="N106" s="25" t="n">
        <v>0</v>
      </c>
      <c r="O106" t="n">
        <v>205702</v>
      </c>
      <c r="P106" t="inlineStr"/>
      <c r="Q106" t="inlineStr">
        <is>
          <t>4168</t>
        </is>
      </c>
      <c r="R106" s="26" t="n">
        <v>0</v>
      </c>
      <c r="S106" t="n">
        <v>0</v>
      </c>
      <c r="T106" s="23">
        <f>LN(1+I106)</f>
        <v/>
      </c>
      <c r="U106" s="24">
        <f>J106*100-K106</f>
        <v/>
      </c>
      <c r="V106" s="24">
        <f>U106-12.5*(L106+1)</f>
        <v/>
      </c>
      <c r="W106" s="26">
        <f>IF(M106&lt;=V7_AGE_KNOT_X_0,V7_AGE_KNOT_Y_0,IF(M106&gt;=V7_AGE_KNOT_X_5,V7_AGE_KNOT_Y_5,IF(M106&lt;=V7_AGE_KNOT_X_1,V7_AGE_KNOT_Y_0+(M106-V7_AGE_KNOT_X_0)/(V7_AGE_KNOT_X_1-V7_AGE_KNOT_X_0)*(V7_AGE_KNOT_Y_1-V7_AGE_KNOT_Y_0),IF(M106&lt;=V7_AGE_KNOT_X_2,V7_AGE_KNOT_Y_1+(M106-V7_AGE_KNOT_X_1)/(V7_AGE_KNOT_X_2-V7_AGE_KNOT_X_1)*(V7_AGE_KNOT_Y_2-V7_AGE_KNOT_Y_1),IF(M106&lt;=V7_AGE_KNOT_X_3,V7_AGE_KNOT_Y_2+(M106-V7_AGE_KNOT_X_2)/(V7_AGE_KNOT_X_3-V7_AGE_KNOT_X_2)*(V7_AGE_KNOT_Y_3-V7_AGE_KNOT_Y_2),IF(M106&lt;=V7_AGE_KNOT_X_4,V7_AGE_KNOT_Y_3+(M106-V7_AGE_KNOT_X_3)/(V7_AGE_KNOT_X_4-V7_AGE_KNOT_X_3)*(V7_AGE_KNOT_Y_4-V7_AGE_KNOT_Y_3),V7_AGE_KNOT_Y_4+(M106-V7_AGE_KNOT_X_4)/(V7_AGE_KNOT_X_5-V7_AGE_KNOT_X_4)*(V7_AGE_KNOT_Y_5-V7_AGE_KNOT_Y_4)))))))</f>
        <v/>
      </c>
      <c r="X106" s="26">
        <f>V7_RATE_FLOOR+V7_RATE_ASYMPTOTE/(1+EXP(-(V106-V7_RATE_MID)/V7_RATE_SLOPE))</f>
        <v/>
      </c>
      <c r="Y106" s="26">
        <f>MAX(V7_SIZE_LOW,MIN(V7_SIZE_HIGH,V7_SIZE_INTERCEPT+V7_SIZE_SLOPE*(T106-V7_SIZE_LOG_ANCHOR)))</f>
        <v/>
      </c>
      <c r="Z106" s="26">
        <f>IF(ISNUMBER(SEARCH("232",E106)),VLOOKUP("232",V7_PROGRAM_TABLE,2,FALSE),IF(ISNUMBER(SEARCH("538",E106)),VLOOKUP("538",V7_PROGRAM_TABLE,2,FALSE),IF(ISNUMBER(SEARCH("223a7",E106)),VLOOKUP("223a7",V7_PROGRAM_TABLE,2,FALSE),IF(ISNUMBER(SEARCH("223f",E106)),VLOOKUP("223f",V7_PROGRAM_TABLE,2,FALSE),V7_PROGRAM_DEFAULT))))</f>
        <v/>
      </c>
      <c r="AA106" s="26">
        <f>IF(S106=1,1+V7_PURPOSE_NC_BUMP*MAX(0,1-ABS(M106-V7_PURPOSE_PEAK_AGE)/V7_PURPOSE_WIDTH),1)</f>
        <v/>
      </c>
      <c r="AB106" s="26">
        <f>IF(AND(IF(OR(P106="",NOT(ISNUMBER(P106))),0,MAX(0,MIN(24,(INT(VALUE(H106)/100)-INT(P106/100))*12+MOD(VALUE(H106),100)-MOD(P106,100))))&gt;0,IF(OR(P106="",NOT(ISNUMBER(P106))),0,MAX(0,MIN(24,(INT(VALUE(H106)/100)-INT(P106/100))*12+MOD(VALUE(H106),100)-MOD(P106,100))))&lt;=12),1+V7_LOCKOUT_AMP*EXP(-(IF(OR(P106="",NOT(ISNUMBER(P106))),0,MAX(0,MIN(24,(INT(VALUE(H106)/100)-INT(P106/100))*12+MOD(VALUE(H106),100)-MOD(P106,100)))))/V7_LOCKOUT_TAU),1)</f>
        <v/>
      </c>
      <c r="AC106" s="26">
        <f>IF(IF(OR(O106="",NOT(ISNUMBER(O106))),360,MAX(0,MIN(480,(INT(O106/100)-INT(VALUE(H106)/100))*12+MOD(O106,100)-MOD(VALUE(H106),100))))&gt;0,1+V7_MTY_AMP*MAX(0,(V7_MTY_CUTOFF-(IF(OR(O106="",NOT(ISNUMBER(O106))),360,MAX(0,MIN(480,(INT(O106/100)-INT(VALUE(H106)/100))*12+MOD(O106,100)-MOD(VALUE(H106),100))))))/V7_MTY_CUTOFF),1)</f>
        <v/>
      </c>
      <c r="AD106" s="26">
        <f>MAX(V7_BURN_FLOOR,1-V7_BURN_SLOPE*MIN(1,MAX(0,R106)))</f>
        <v/>
      </c>
      <c r="AE106" s="26">
        <f>IF(V7_USE_ISSUER=1,IFERROR(VLOOKUP(Q106,V7_ISSUER_TABLE,3,FALSE),1),1)</f>
        <v/>
      </c>
      <c r="AF106" s="26">
        <f>PRODUCT(W106:AE106)</f>
        <v/>
      </c>
      <c r="AG106" s="27">
        <f>MIN(V7_BASE_SMM*AF106,V7_SMM_CAP)</f>
        <v/>
      </c>
      <c r="AH106" s="28">
        <f>1-(1-AG106)^12</f>
        <v/>
      </c>
      <c r="AI106" s="28">
        <f>IFERROR(LN(W106)/(LN(W106)+LN(X106)+LN(Y106)+LN(Z106)+LN(AA106)+LN(AB106)+LN(AC106)+LN(AD106))*(AH106-V7_BASE_CPR),0)</f>
        <v/>
      </c>
      <c r="AJ106" s="28">
        <f>IFERROR(LN(X106)/(LN(W106)+LN(X106)+LN(Y106)+LN(Z106)+LN(AA106)+LN(AB106)+LN(AC106)+LN(AD106))*(AH106-V7_BASE_CPR),0)</f>
        <v/>
      </c>
      <c r="AK106" s="28">
        <f>IFERROR(LN(Y106)/(LN(W106)+LN(X106)+LN(Y106)+LN(Z106)+LN(AA106)+LN(AB106)+LN(AC106)+LN(AD106))*(AH106-V7_BASE_CPR),0)</f>
        <v/>
      </c>
      <c r="AL106" s="28">
        <f>IFERROR(LN(Z106)/(LN(W106)+LN(X106)+LN(Y106)+LN(Z106)+LN(AA106)+LN(AB106)+LN(AC106)+LN(AD106))*(AH106-V7_BASE_CPR),0)</f>
        <v/>
      </c>
      <c r="AM106" s="28">
        <f>IFERROR(LN(AA106)/(LN(W106)+LN(X106)+LN(Y106)+LN(Z106)+LN(AA106)+LN(AB106)+LN(AC106)+LN(AD106))*(AH106-V7_BASE_CPR),0)</f>
        <v/>
      </c>
      <c r="AN106" s="28">
        <f>IFERROR(LN(AB106)/(LN(W106)+LN(X106)+LN(Y106)+LN(Z106)+LN(AA106)+LN(AB106)+LN(AC106)+LN(AD106))*(AH106-V7_BASE_CPR),0)</f>
        <v/>
      </c>
      <c r="AO106" s="28">
        <f>IFERROR(LN(AC106)/(LN(W106)+LN(X106)+LN(Y106)+LN(Z106)+LN(AA106)+LN(AB106)+LN(AC106)+LN(AD106))*(AH106-V7_BASE_CPR),0)</f>
        <v/>
      </c>
      <c r="AP106" s="28">
        <f>IFERROR(LN(AD106)/(LN(W106)+LN(X106)+LN(Y106)+LN(Z106)+LN(AA106)+LN(AB106)+LN(AC106)+LN(AD106))*(AH106-V7_BASE_CPR),0)</f>
        <v/>
      </c>
      <c r="AQ106" s="29">
        <f>V7_BASE_CPR+SUM(AI106:AP106)-AH106</f>
        <v/>
      </c>
    </row>
    <row r="107">
      <c r="A107" s="2" t="inlineStr">
        <is>
          <t>3618BKU80_000000001243322</t>
        </is>
      </c>
      <c r="B107" t="inlineStr">
        <is>
          <t>GREYSTONE_POST21</t>
        </is>
      </c>
      <c r="C107" s="2" t="inlineStr">
        <is>
          <t>3618BKU80</t>
        </is>
      </c>
      <c r="D107" t="inlineStr">
        <is>
          <t>GREYSTONE FUNDING COMPANY LLC</t>
        </is>
      </c>
      <c r="E107" t="inlineStr">
        <is>
          <t>232</t>
        </is>
      </c>
      <c r="F107" t="inlineStr">
        <is>
          <t>NC</t>
        </is>
      </c>
      <c r="G107" t="n">
        <v>2023</v>
      </c>
      <c r="H107" t="inlineStr">
        <is>
          <t>202602</t>
        </is>
      </c>
      <c r="I107" s="22" t="n">
        <v>25884385.79</v>
      </c>
      <c r="J107" s="23" t="n">
        <v>5.69</v>
      </c>
      <c r="K107" s="24" t="n">
        <v>447</v>
      </c>
      <c r="L107" s="24" t="n">
        <v>9</v>
      </c>
      <c r="M107" t="n">
        <v>32</v>
      </c>
      <c r="N107" s="25" t="n">
        <v>0</v>
      </c>
      <c r="O107" t="n">
        <v>206501</v>
      </c>
      <c r="P107" t="inlineStr"/>
      <c r="Q107" t="inlineStr">
        <is>
          <t>4168</t>
        </is>
      </c>
      <c r="R107" s="26" t="n">
        <v>0</v>
      </c>
      <c r="S107" t="n">
        <v>1</v>
      </c>
      <c r="T107" s="23">
        <f>LN(1+I107)</f>
        <v/>
      </c>
      <c r="U107" s="24">
        <f>J107*100-K107</f>
        <v/>
      </c>
      <c r="V107" s="24">
        <f>U107-12.5*(L107+1)</f>
        <v/>
      </c>
      <c r="W107" s="26">
        <f>IF(M107&lt;=V7_AGE_KNOT_X_0,V7_AGE_KNOT_Y_0,IF(M107&gt;=V7_AGE_KNOT_X_5,V7_AGE_KNOT_Y_5,IF(M107&lt;=V7_AGE_KNOT_X_1,V7_AGE_KNOT_Y_0+(M107-V7_AGE_KNOT_X_0)/(V7_AGE_KNOT_X_1-V7_AGE_KNOT_X_0)*(V7_AGE_KNOT_Y_1-V7_AGE_KNOT_Y_0),IF(M107&lt;=V7_AGE_KNOT_X_2,V7_AGE_KNOT_Y_1+(M107-V7_AGE_KNOT_X_1)/(V7_AGE_KNOT_X_2-V7_AGE_KNOT_X_1)*(V7_AGE_KNOT_Y_2-V7_AGE_KNOT_Y_1),IF(M107&lt;=V7_AGE_KNOT_X_3,V7_AGE_KNOT_Y_2+(M107-V7_AGE_KNOT_X_2)/(V7_AGE_KNOT_X_3-V7_AGE_KNOT_X_2)*(V7_AGE_KNOT_Y_3-V7_AGE_KNOT_Y_2),IF(M107&lt;=V7_AGE_KNOT_X_4,V7_AGE_KNOT_Y_3+(M107-V7_AGE_KNOT_X_3)/(V7_AGE_KNOT_X_4-V7_AGE_KNOT_X_3)*(V7_AGE_KNOT_Y_4-V7_AGE_KNOT_Y_3),V7_AGE_KNOT_Y_4+(M107-V7_AGE_KNOT_X_4)/(V7_AGE_KNOT_X_5-V7_AGE_KNOT_X_4)*(V7_AGE_KNOT_Y_5-V7_AGE_KNOT_Y_4)))))))</f>
        <v/>
      </c>
      <c r="X107" s="26">
        <f>V7_RATE_FLOOR+V7_RATE_ASYMPTOTE/(1+EXP(-(V107-V7_RATE_MID)/V7_RATE_SLOPE))</f>
        <v/>
      </c>
      <c r="Y107" s="26">
        <f>MAX(V7_SIZE_LOW,MIN(V7_SIZE_HIGH,V7_SIZE_INTERCEPT+V7_SIZE_SLOPE*(T107-V7_SIZE_LOG_ANCHOR)))</f>
        <v/>
      </c>
      <c r="Z107" s="26">
        <f>IF(ISNUMBER(SEARCH("232",E107)),VLOOKUP("232",V7_PROGRAM_TABLE,2,FALSE),IF(ISNUMBER(SEARCH("538",E107)),VLOOKUP("538",V7_PROGRAM_TABLE,2,FALSE),IF(ISNUMBER(SEARCH("223a7",E107)),VLOOKUP("223a7",V7_PROGRAM_TABLE,2,FALSE),IF(ISNUMBER(SEARCH("223f",E107)),VLOOKUP("223f",V7_PROGRAM_TABLE,2,FALSE),V7_PROGRAM_DEFAULT))))</f>
        <v/>
      </c>
      <c r="AA107" s="26">
        <f>IF(S107=1,1+V7_PURPOSE_NC_BUMP*MAX(0,1-ABS(M107-V7_PURPOSE_PEAK_AGE)/V7_PURPOSE_WIDTH),1)</f>
        <v/>
      </c>
      <c r="AB107" s="26">
        <f>IF(AND(IF(OR(P107="",NOT(ISNUMBER(P107))),0,MAX(0,MIN(24,(INT(VALUE(H107)/100)-INT(P107/100))*12+MOD(VALUE(H107),100)-MOD(P107,100))))&gt;0,IF(OR(P107="",NOT(ISNUMBER(P107))),0,MAX(0,MIN(24,(INT(VALUE(H107)/100)-INT(P107/100))*12+MOD(VALUE(H107),100)-MOD(P107,100))))&lt;=12),1+V7_LOCKOUT_AMP*EXP(-(IF(OR(P107="",NOT(ISNUMBER(P107))),0,MAX(0,MIN(24,(INT(VALUE(H107)/100)-INT(P107/100))*12+MOD(VALUE(H107),100)-MOD(P107,100)))))/V7_LOCKOUT_TAU),1)</f>
        <v/>
      </c>
      <c r="AC107" s="26">
        <f>IF(IF(OR(O107="",NOT(ISNUMBER(O107))),360,MAX(0,MIN(480,(INT(O107/100)-INT(VALUE(H107)/100))*12+MOD(O107,100)-MOD(VALUE(H107),100))))&gt;0,1+V7_MTY_AMP*MAX(0,(V7_MTY_CUTOFF-(IF(OR(O107="",NOT(ISNUMBER(O107))),360,MAX(0,MIN(480,(INT(O107/100)-INT(VALUE(H107)/100))*12+MOD(O107,100)-MOD(VALUE(H107),100))))))/V7_MTY_CUTOFF),1)</f>
        <v/>
      </c>
      <c r="AD107" s="26">
        <f>MAX(V7_BURN_FLOOR,1-V7_BURN_SLOPE*MIN(1,MAX(0,R107)))</f>
        <v/>
      </c>
      <c r="AE107" s="26">
        <f>IF(V7_USE_ISSUER=1,IFERROR(VLOOKUP(Q107,V7_ISSUER_TABLE,3,FALSE),1),1)</f>
        <v/>
      </c>
      <c r="AF107" s="26">
        <f>PRODUCT(W107:AE107)</f>
        <v/>
      </c>
      <c r="AG107" s="27">
        <f>MIN(V7_BASE_SMM*AF107,V7_SMM_CAP)</f>
        <v/>
      </c>
      <c r="AH107" s="28">
        <f>1-(1-AG107)^12</f>
        <v/>
      </c>
      <c r="AI107" s="28">
        <f>IFERROR(LN(W107)/(LN(W107)+LN(X107)+LN(Y107)+LN(Z107)+LN(AA107)+LN(AB107)+LN(AC107)+LN(AD107))*(AH107-V7_BASE_CPR),0)</f>
        <v/>
      </c>
      <c r="AJ107" s="28">
        <f>IFERROR(LN(X107)/(LN(W107)+LN(X107)+LN(Y107)+LN(Z107)+LN(AA107)+LN(AB107)+LN(AC107)+LN(AD107))*(AH107-V7_BASE_CPR),0)</f>
        <v/>
      </c>
      <c r="AK107" s="28">
        <f>IFERROR(LN(Y107)/(LN(W107)+LN(X107)+LN(Y107)+LN(Z107)+LN(AA107)+LN(AB107)+LN(AC107)+LN(AD107))*(AH107-V7_BASE_CPR),0)</f>
        <v/>
      </c>
      <c r="AL107" s="28">
        <f>IFERROR(LN(Z107)/(LN(W107)+LN(X107)+LN(Y107)+LN(Z107)+LN(AA107)+LN(AB107)+LN(AC107)+LN(AD107))*(AH107-V7_BASE_CPR),0)</f>
        <v/>
      </c>
      <c r="AM107" s="28">
        <f>IFERROR(LN(AA107)/(LN(W107)+LN(X107)+LN(Y107)+LN(Z107)+LN(AA107)+LN(AB107)+LN(AC107)+LN(AD107))*(AH107-V7_BASE_CPR),0)</f>
        <v/>
      </c>
      <c r="AN107" s="28">
        <f>IFERROR(LN(AB107)/(LN(W107)+LN(X107)+LN(Y107)+LN(Z107)+LN(AA107)+LN(AB107)+LN(AC107)+LN(AD107))*(AH107-V7_BASE_CPR),0)</f>
        <v/>
      </c>
      <c r="AO107" s="28">
        <f>IFERROR(LN(AC107)/(LN(W107)+LN(X107)+LN(Y107)+LN(Z107)+LN(AA107)+LN(AB107)+LN(AC107)+LN(AD107))*(AH107-V7_BASE_CPR),0)</f>
        <v/>
      </c>
      <c r="AP107" s="28">
        <f>IFERROR(LN(AD107)/(LN(W107)+LN(X107)+LN(Y107)+LN(Z107)+LN(AA107)+LN(AB107)+LN(AC107)+LN(AD107))*(AH107-V7_BASE_CPR),0)</f>
        <v/>
      </c>
      <c r="AQ107" s="29">
        <f>V7_BASE_CPR+SUM(AI107:AP107)-AH107</f>
        <v/>
      </c>
    </row>
    <row r="108">
      <c r="A108" s="2" t="inlineStr">
        <is>
          <t>3618BKVK2_000000011511423</t>
        </is>
      </c>
      <c r="B108" t="inlineStr">
        <is>
          <t>GREYSTONE_POST21</t>
        </is>
      </c>
      <c r="C108" s="2" t="inlineStr">
        <is>
          <t>3618BKVK2</t>
        </is>
      </c>
      <c r="D108" t="inlineStr">
        <is>
          <t>GREYSTONE FUNDING COMPANY LLC</t>
        </is>
      </c>
      <c r="E108" t="inlineStr">
        <is>
          <t>223f</t>
        </is>
      </c>
      <c r="F108" t="inlineStr">
        <is>
          <t>RP</t>
        </is>
      </c>
      <c r="G108" t="n">
        <v>2023</v>
      </c>
      <c r="H108" t="inlineStr">
        <is>
          <t>202602</t>
        </is>
      </c>
      <c r="I108" s="22" t="n">
        <v>3566840.6</v>
      </c>
      <c r="J108" s="23" t="n">
        <v>5.9</v>
      </c>
      <c r="K108" s="24" t="n">
        <v>447</v>
      </c>
      <c r="L108" s="24" t="n">
        <v>8</v>
      </c>
      <c r="M108" t="n">
        <v>30</v>
      </c>
      <c r="N108" s="25" t="n">
        <v>2</v>
      </c>
      <c r="O108" t="n">
        <v>205809</v>
      </c>
      <c r="P108" t="inlineStr"/>
      <c r="Q108" t="inlineStr">
        <is>
          <t>4168</t>
        </is>
      </c>
      <c r="R108" s="26" t="n">
        <v>0.06666666666666667</v>
      </c>
      <c r="S108" t="n">
        <v>0</v>
      </c>
      <c r="T108" s="23">
        <f>LN(1+I108)</f>
        <v/>
      </c>
      <c r="U108" s="24">
        <f>J108*100-K108</f>
        <v/>
      </c>
      <c r="V108" s="24">
        <f>U108-12.5*(L108+1)</f>
        <v/>
      </c>
      <c r="W108" s="26">
        <f>IF(M108&lt;=V7_AGE_KNOT_X_0,V7_AGE_KNOT_Y_0,IF(M108&gt;=V7_AGE_KNOT_X_5,V7_AGE_KNOT_Y_5,IF(M108&lt;=V7_AGE_KNOT_X_1,V7_AGE_KNOT_Y_0+(M108-V7_AGE_KNOT_X_0)/(V7_AGE_KNOT_X_1-V7_AGE_KNOT_X_0)*(V7_AGE_KNOT_Y_1-V7_AGE_KNOT_Y_0),IF(M108&lt;=V7_AGE_KNOT_X_2,V7_AGE_KNOT_Y_1+(M108-V7_AGE_KNOT_X_1)/(V7_AGE_KNOT_X_2-V7_AGE_KNOT_X_1)*(V7_AGE_KNOT_Y_2-V7_AGE_KNOT_Y_1),IF(M108&lt;=V7_AGE_KNOT_X_3,V7_AGE_KNOT_Y_2+(M108-V7_AGE_KNOT_X_2)/(V7_AGE_KNOT_X_3-V7_AGE_KNOT_X_2)*(V7_AGE_KNOT_Y_3-V7_AGE_KNOT_Y_2),IF(M108&lt;=V7_AGE_KNOT_X_4,V7_AGE_KNOT_Y_3+(M108-V7_AGE_KNOT_X_3)/(V7_AGE_KNOT_X_4-V7_AGE_KNOT_X_3)*(V7_AGE_KNOT_Y_4-V7_AGE_KNOT_Y_3),V7_AGE_KNOT_Y_4+(M108-V7_AGE_KNOT_X_4)/(V7_AGE_KNOT_X_5-V7_AGE_KNOT_X_4)*(V7_AGE_KNOT_Y_5-V7_AGE_KNOT_Y_4)))))))</f>
        <v/>
      </c>
      <c r="X108" s="26">
        <f>V7_RATE_FLOOR+V7_RATE_ASYMPTOTE/(1+EXP(-(V108-V7_RATE_MID)/V7_RATE_SLOPE))</f>
        <v/>
      </c>
      <c r="Y108" s="26">
        <f>MAX(V7_SIZE_LOW,MIN(V7_SIZE_HIGH,V7_SIZE_INTERCEPT+V7_SIZE_SLOPE*(T108-V7_SIZE_LOG_ANCHOR)))</f>
        <v/>
      </c>
      <c r="Z108" s="26">
        <f>IF(ISNUMBER(SEARCH("232",E108)),VLOOKUP("232",V7_PROGRAM_TABLE,2,FALSE),IF(ISNUMBER(SEARCH("538",E108)),VLOOKUP("538",V7_PROGRAM_TABLE,2,FALSE),IF(ISNUMBER(SEARCH("223a7",E108)),VLOOKUP("223a7",V7_PROGRAM_TABLE,2,FALSE),IF(ISNUMBER(SEARCH("223f",E108)),VLOOKUP("223f",V7_PROGRAM_TABLE,2,FALSE),V7_PROGRAM_DEFAULT))))</f>
        <v/>
      </c>
      <c r="AA108" s="26">
        <f>IF(S108=1,1+V7_PURPOSE_NC_BUMP*MAX(0,1-ABS(M108-V7_PURPOSE_PEAK_AGE)/V7_PURPOSE_WIDTH),1)</f>
        <v/>
      </c>
      <c r="AB108" s="26">
        <f>IF(AND(IF(OR(P108="",NOT(ISNUMBER(P108))),0,MAX(0,MIN(24,(INT(VALUE(H108)/100)-INT(P108/100))*12+MOD(VALUE(H108),100)-MOD(P108,100))))&gt;0,IF(OR(P108="",NOT(ISNUMBER(P108))),0,MAX(0,MIN(24,(INT(VALUE(H108)/100)-INT(P108/100))*12+MOD(VALUE(H108),100)-MOD(P108,100))))&lt;=12),1+V7_LOCKOUT_AMP*EXP(-(IF(OR(P108="",NOT(ISNUMBER(P108))),0,MAX(0,MIN(24,(INT(VALUE(H108)/100)-INT(P108/100))*12+MOD(VALUE(H108),100)-MOD(P108,100)))))/V7_LOCKOUT_TAU),1)</f>
        <v/>
      </c>
      <c r="AC108" s="26">
        <f>IF(IF(OR(O108="",NOT(ISNUMBER(O108))),360,MAX(0,MIN(480,(INT(O108/100)-INT(VALUE(H108)/100))*12+MOD(O108,100)-MOD(VALUE(H108),100))))&gt;0,1+V7_MTY_AMP*MAX(0,(V7_MTY_CUTOFF-(IF(OR(O108="",NOT(ISNUMBER(O108))),360,MAX(0,MIN(480,(INT(O108/100)-INT(VALUE(H108)/100))*12+MOD(O108,100)-MOD(VALUE(H108),100))))))/V7_MTY_CUTOFF),1)</f>
        <v/>
      </c>
      <c r="AD108" s="26">
        <f>MAX(V7_BURN_FLOOR,1-V7_BURN_SLOPE*MIN(1,MAX(0,R108)))</f>
        <v/>
      </c>
      <c r="AE108" s="26">
        <f>IF(V7_USE_ISSUER=1,IFERROR(VLOOKUP(Q108,V7_ISSUER_TABLE,3,FALSE),1),1)</f>
        <v/>
      </c>
      <c r="AF108" s="26">
        <f>PRODUCT(W108:AE108)</f>
        <v/>
      </c>
      <c r="AG108" s="27">
        <f>MIN(V7_BASE_SMM*AF108,V7_SMM_CAP)</f>
        <v/>
      </c>
      <c r="AH108" s="28">
        <f>1-(1-AG108)^12</f>
        <v/>
      </c>
      <c r="AI108" s="28">
        <f>IFERROR(LN(W108)/(LN(W108)+LN(X108)+LN(Y108)+LN(Z108)+LN(AA108)+LN(AB108)+LN(AC108)+LN(AD108))*(AH108-V7_BASE_CPR),0)</f>
        <v/>
      </c>
      <c r="AJ108" s="28">
        <f>IFERROR(LN(X108)/(LN(W108)+LN(X108)+LN(Y108)+LN(Z108)+LN(AA108)+LN(AB108)+LN(AC108)+LN(AD108))*(AH108-V7_BASE_CPR),0)</f>
        <v/>
      </c>
      <c r="AK108" s="28">
        <f>IFERROR(LN(Y108)/(LN(W108)+LN(X108)+LN(Y108)+LN(Z108)+LN(AA108)+LN(AB108)+LN(AC108)+LN(AD108))*(AH108-V7_BASE_CPR),0)</f>
        <v/>
      </c>
      <c r="AL108" s="28">
        <f>IFERROR(LN(Z108)/(LN(W108)+LN(X108)+LN(Y108)+LN(Z108)+LN(AA108)+LN(AB108)+LN(AC108)+LN(AD108))*(AH108-V7_BASE_CPR),0)</f>
        <v/>
      </c>
      <c r="AM108" s="28">
        <f>IFERROR(LN(AA108)/(LN(W108)+LN(X108)+LN(Y108)+LN(Z108)+LN(AA108)+LN(AB108)+LN(AC108)+LN(AD108))*(AH108-V7_BASE_CPR),0)</f>
        <v/>
      </c>
      <c r="AN108" s="28">
        <f>IFERROR(LN(AB108)/(LN(W108)+LN(X108)+LN(Y108)+LN(Z108)+LN(AA108)+LN(AB108)+LN(AC108)+LN(AD108))*(AH108-V7_BASE_CPR),0)</f>
        <v/>
      </c>
      <c r="AO108" s="28">
        <f>IFERROR(LN(AC108)/(LN(W108)+LN(X108)+LN(Y108)+LN(Z108)+LN(AA108)+LN(AB108)+LN(AC108)+LN(AD108))*(AH108-V7_BASE_CPR),0)</f>
        <v/>
      </c>
      <c r="AP108" s="28">
        <f>IFERROR(LN(AD108)/(LN(W108)+LN(X108)+LN(Y108)+LN(Z108)+LN(AA108)+LN(AB108)+LN(AC108)+LN(AD108))*(AH108-V7_BASE_CPR),0)</f>
        <v/>
      </c>
      <c r="AQ108" s="29">
        <f>V7_BASE_CPR+SUM(AI108:AP108)-AH108</f>
        <v/>
      </c>
    </row>
    <row r="109">
      <c r="A109" s="2" t="inlineStr">
        <is>
          <t>3617WSAE1_000000006311131</t>
        </is>
      </c>
      <c r="B109" t="inlineStr">
        <is>
          <t>GREYSTONE_PRE21</t>
        </is>
      </c>
      <c r="C109" s="2" t="inlineStr">
        <is>
          <t>3617WSAE1</t>
        </is>
      </c>
      <c r="D109" t="inlineStr">
        <is>
          <t>GREYSTONE FUNDING COMPANY LLC</t>
        </is>
      </c>
      <c r="E109" t="inlineStr">
        <is>
          <t>223f</t>
        </is>
      </c>
      <c r="F109" t="inlineStr">
        <is>
          <t>RP</t>
        </is>
      </c>
      <c r="G109" t="n">
        <v>2018</v>
      </c>
      <c r="H109" t="inlineStr">
        <is>
          <t>202602</t>
        </is>
      </c>
      <c r="I109" s="22" t="n">
        <v>22168905.15</v>
      </c>
      <c r="J109" s="23" t="n">
        <v>2.7</v>
      </c>
      <c r="K109" s="24" t="n">
        <v>447</v>
      </c>
      <c r="L109" s="24" t="n">
        <v>6</v>
      </c>
      <c r="M109" t="n">
        <v>96</v>
      </c>
      <c r="N109" s="25" t="n">
        <v>0</v>
      </c>
      <c r="O109" t="n">
        <v>205303</v>
      </c>
      <c r="P109" t="inlineStr"/>
      <c r="Q109" t="inlineStr">
        <is>
          <t>4168</t>
        </is>
      </c>
      <c r="R109" s="26" t="n">
        <v>0</v>
      </c>
      <c r="S109" t="n">
        <v>0</v>
      </c>
      <c r="T109" s="23">
        <f>LN(1+I109)</f>
        <v/>
      </c>
      <c r="U109" s="24">
        <f>J109*100-K109</f>
        <v/>
      </c>
      <c r="V109" s="24">
        <f>U109-12.5*(L109+1)</f>
        <v/>
      </c>
      <c r="W109" s="26">
        <f>IF(M109&lt;=V7_AGE_KNOT_X_0,V7_AGE_KNOT_Y_0,IF(M109&gt;=V7_AGE_KNOT_X_5,V7_AGE_KNOT_Y_5,IF(M109&lt;=V7_AGE_KNOT_X_1,V7_AGE_KNOT_Y_0+(M109-V7_AGE_KNOT_X_0)/(V7_AGE_KNOT_X_1-V7_AGE_KNOT_X_0)*(V7_AGE_KNOT_Y_1-V7_AGE_KNOT_Y_0),IF(M109&lt;=V7_AGE_KNOT_X_2,V7_AGE_KNOT_Y_1+(M109-V7_AGE_KNOT_X_1)/(V7_AGE_KNOT_X_2-V7_AGE_KNOT_X_1)*(V7_AGE_KNOT_Y_2-V7_AGE_KNOT_Y_1),IF(M109&lt;=V7_AGE_KNOT_X_3,V7_AGE_KNOT_Y_2+(M109-V7_AGE_KNOT_X_2)/(V7_AGE_KNOT_X_3-V7_AGE_KNOT_X_2)*(V7_AGE_KNOT_Y_3-V7_AGE_KNOT_Y_2),IF(M109&lt;=V7_AGE_KNOT_X_4,V7_AGE_KNOT_Y_3+(M109-V7_AGE_KNOT_X_3)/(V7_AGE_KNOT_X_4-V7_AGE_KNOT_X_3)*(V7_AGE_KNOT_Y_4-V7_AGE_KNOT_Y_3),V7_AGE_KNOT_Y_4+(M109-V7_AGE_KNOT_X_4)/(V7_AGE_KNOT_X_5-V7_AGE_KNOT_X_4)*(V7_AGE_KNOT_Y_5-V7_AGE_KNOT_Y_4)))))))</f>
        <v/>
      </c>
      <c r="X109" s="26">
        <f>V7_RATE_FLOOR+V7_RATE_ASYMPTOTE/(1+EXP(-(V109-V7_RATE_MID)/V7_RATE_SLOPE))</f>
        <v/>
      </c>
      <c r="Y109" s="26">
        <f>MAX(V7_SIZE_LOW,MIN(V7_SIZE_HIGH,V7_SIZE_INTERCEPT+V7_SIZE_SLOPE*(T109-V7_SIZE_LOG_ANCHOR)))</f>
        <v/>
      </c>
      <c r="Z109" s="26">
        <f>IF(ISNUMBER(SEARCH("232",E109)),VLOOKUP("232",V7_PROGRAM_TABLE,2,FALSE),IF(ISNUMBER(SEARCH("538",E109)),VLOOKUP("538",V7_PROGRAM_TABLE,2,FALSE),IF(ISNUMBER(SEARCH("223a7",E109)),VLOOKUP("223a7",V7_PROGRAM_TABLE,2,FALSE),IF(ISNUMBER(SEARCH("223f",E109)),VLOOKUP("223f",V7_PROGRAM_TABLE,2,FALSE),V7_PROGRAM_DEFAULT))))</f>
        <v/>
      </c>
      <c r="AA109" s="26">
        <f>IF(S109=1,1+V7_PURPOSE_NC_BUMP*MAX(0,1-ABS(M109-V7_PURPOSE_PEAK_AGE)/V7_PURPOSE_WIDTH),1)</f>
        <v/>
      </c>
      <c r="AB109" s="26">
        <f>IF(AND(IF(OR(P109="",NOT(ISNUMBER(P109))),0,MAX(0,MIN(24,(INT(VALUE(H109)/100)-INT(P109/100))*12+MOD(VALUE(H109),100)-MOD(P109,100))))&gt;0,IF(OR(P109="",NOT(ISNUMBER(P109))),0,MAX(0,MIN(24,(INT(VALUE(H109)/100)-INT(P109/100))*12+MOD(VALUE(H109),100)-MOD(P109,100))))&lt;=12),1+V7_LOCKOUT_AMP*EXP(-(IF(OR(P109="",NOT(ISNUMBER(P109))),0,MAX(0,MIN(24,(INT(VALUE(H109)/100)-INT(P109/100))*12+MOD(VALUE(H109),100)-MOD(P109,100)))))/V7_LOCKOUT_TAU),1)</f>
        <v/>
      </c>
      <c r="AC109" s="26">
        <f>IF(IF(OR(O109="",NOT(ISNUMBER(O109))),360,MAX(0,MIN(480,(INT(O109/100)-INT(VALUE(H109)/100))*12+MOD(O109,100)-MOD(VALUE(H109),100))))&gt;0,1+V7_MTY_AMP*MAX(0,(V7_MTY_CUTOFF-(IF(OR(O109="",NOT(ISNUMBER(O109))),360,MAX(0,MIN(480,(INT(O109/100)-INT(VALUE(H109)/100))*12+MOD(O109,100)-MOD(VALUE(H109),100))))))/V7_MTY_CUTOFF),1)</f>
        <v/>
      </c>
      <c r="AD109" s="26">
        <f>MAX(V7_BURN_FLOOR,1-V7_BURN_SLOPE*MIN(1,MAX(0,R109)))</f>
        <v/>
      </c>
      <c r="AE109" s="26">
        <f>IF(V7_USE_ISSUER=1,IFERROR(VLOOKUP(Q109,V7_ISSUER_TABLE,3,FALSE),1),1)</f>
        <v/>
      </c>
      <c r="AF109" s="26">
        <f>PRODUCT(W109:AE109)</f>
        <v/>
      </c>
      <c r="AG109" s="27">
        <f>MIN(V7_BASE_SMM*AF109,V7_SMM_CAP)</f>
        <v/>
      </c>
      <c r="AH109" s="28">
        <f>1-(1-AG109)^12</f>
        <v/>
      </c>
      <c r="AI109" s="28">
        <f>IFERROR(LN(W109)/(LN(W109)+LN(X109)+LN(Y109)+LN(Z109)+LN(AA109)+LN(AB109)+LN(AC109)+LN(AD109))*(AH109-V7_BASE_CPR),0)</f>
        <v/>
      </c>
      <c r="AJ109" s="28">
        <f>IFERROR(LN(X109)/(LN(W109)+LN(X109)+LN(Y109)+LN(Z109)+LN(AA109)+LN(AB109)+LN(AC109)+LN(AD109))*(AH109-V7_BASE_CPR),0)</f>
        <v/>
      </c>
      <c r="AK109" s="28">
        <f>IFERROR(LN(Y109)/(LN(W109)+LN(X109)+LN(Y109)+LN(Z109)+LN(AA109)+LN(AB109)+LN(AC109)+LN(AD109))*(AH109-V7_BASE_CPR),0)</f>
        <v/>
      </c>
      <c r="AL109" s="28">
        <f>IFERROR(LN(Z109)/(LN(W109)+LN(X109)+LN(Y109)+LN(Z109)+LN(AA109)+LN(AB109)+LN(AC109)+LN(AD109))*(AH109-V7_BASE_CPR),0)</f>
        <v/>
      </c>
      <c r="AM109" s="28">
        <f>IFERROR(LN(AA109)/(LN(W109)+LN(X109)+LN(Y109)+LN(Z109)+LN(AA109)+LN(AB109)+LN(AC109)+LN(AD109))*(AH109-V7_BASE_CPR),0)</f>
        <v/>
      </c>
      <c r="AN109" s="28">
        <f>IFERROR(LN(AB109)/(LN(W109)+LN(X109)+LN(Y109)+LN(Z109)+LN(AA109)+LN(AB109)+LN(AC109)+LN(AD109))*(AH109-V7_BASE_CPR),0)</f>
        <v/>
      </c>
      <c r="AO109" s="28">
        <f>IFERROR(LN(AC109)/(LN(W109)+LN(X109)+LN(Y109)+LN(Z109)+LN(AA109)+LN(AB109)+LN(AC109)+LN(AD109))*(AH109-V7_BASE_CPR),0)</f>
        <v/>
      </c>
      <c r="AP109" s="28">
        <f>IFERROR(LN(AD109)/(LN(W109)+LN(X109)+LN(Y109)+LN(Z109)+LN(AA109)+LN(AB109)+LN(AC109)+LN(AD109))*(AH109-V7_BASE_CPR),0)</f>
        <v/>
      </c>
      <c r="AQ109" s="29">
        <f>V7_BASE_CPR+SUM(AI109:AP109)-AH109</f>
        <v/>
      </c>
    </row>
    <row r="110">
      <c r="A110" s="2" t="inlineStr">
        <is>
          <t>3618HJ3X2_000000004222419</t>
        </is>
      </c>
      <c r="B110" t="inlineStr">
        <is>
          <t>GREYSTONE_POST21</t>
        </is>
      </c>
      <c r="C110" s="2" t="inlineStr">
        <is>
          <t>3618HJ3X2</t>
        </is>
      </c>
      <c r="D110" t="inlineStr">
        <is>
          <t>GREYSTONE FUNDING COMPANY LLC</t>
        </is>
      </c>
      <c r="E110" t="inlineStr">
        <is>
          <t>232</t>
        </is>
      </c>
      <c r="F110" t="inlineStr">
        <is>
          <t>RP</t>
        </is>
      </c>
      <c r="G110" t="n">
        <v>2024</v>
      </c>
      <c r="H110" t="inlineStr">
        <is>
          <t>202602</t>
        </is>
      </c>
      <c r="I110" s="22" t="n">
        <v>8449315.109999999</v>
      </c>
      <c r="J110" s="23" t="n">
        <v>5.82</v>
      </c>
      <c r="K110" s="24" t="n">
        <v>447</v>
      </c>
      <c r="L110" s="24" t="n">
        <v>10</v>
      </c>
      <c r="M110" t="n">
        <v>18</v>
      </c>
      <c r="N110" s="25" t="n">
        <v>0</v>
      </c>
      <c r="O110" t="n">
        <v>205909</v>
      </c>
      <c r="P110" t="inlineStr"/>
      <c r="Q110" t="inlineStr">
        <is>
          <t>4168</t>
        </is>
      </c>
      <c r="R110" s="26" t="n">
        <v>0</v>
      </c>
      <c r="S110" t="n">
        <v>0</v>
      </c>
      <c r="T110" s="23">
        <f>LN(1+I110)</f>
        <v/>
      </c>
      <c r="U110" s="24">
        <f>J110*100-K110</f>
        <v/>
      </c>
      <c r="V110" s="24">
        <f>U110-12.5*(L110+1)</f>
        <v/>
      </c>
      <c r="W110" s="26">
        <f>IF(M110&lt;=V7_AGE_KNOT_X_0,V7_AGE_KNOT_Y_0,IF(M110&gt;=V7_AGE_KNOT_X_5,V7_AGE_KNOT_Y_5,IF(M110&lt;=V7_AGE_KNOT_X_1,V7_AGE_KNOT_Y_0+(M110-V7_AGE_KNOT_X_0)/(V7_AGE_KNOT_X_1-V7_AGE_KNOT_X_0)*(V7_AGE_KNOT_Y_1-V7_AGE_KNOT_Y_0),IF(M110&lt;=V7_AGE_KNOT_X_2,V7_AGE_KNOT_Y_1+(M110-V7_AGE_KNOT_X_1)/(V7_AGE_KNOT_X_2-V7_AGE_KNOT_X_1)*(V7_AGE_KNOT_Y_2-V7_AGE_KNOT_Y_1),IF(M110&lt;=V7_AGE_KNOT_X_3,V7_AGE_KNOT_Y_2+(M110-V7_AGE_KNOT_X_2)/(V7_AGE_KNOT_X_3-V7_AGE_KNOT_X_2)*(V7_AGE_KNOT_Y_3-V7_AGE_KNOT_Y_2),IF(M110&lt;=V7_AGE_KNOT_X_4,V7_AGE_KNOT_Y_3+(M110-V7_AGE_KNOT_X_3)/(V7_AGE_KNOT_X_4-V7_AGE_KNOT_X_3)*(V7_AGE_KNOT_Y_4-V7_AGE_KNOT_Y_3),V7_AGE_KNOT_Y_4+(M110-V7_AGE_KNOT_X_4)/(V7_AGE_KNOT_X_5-V7_AGE_KNOT_X_4)*(V7_AGE_KNOT_Y_5-V7_AGE_KNOT_Y_4)))))))</f>
        <v/>
      </c>
      <c r="X110" s="26">
        <f>V7_RATE_FLOOR+V7_RATE_ASYMPTOTE/(1+EXP(-(V110-V7_RATE_MID)/V7_RATE_SLOPE))</f>
        <v/>
      </c>
      <c r="Y110" s="26">
        <f>MAX(V7_SIZE_LOW,MIN(V7_SIZE_HIGH,V7_SIZE_INTERCEPT+V7_SIZE_SLOPE*(T110-V7_SIZE_LOG_ANCHOR)))</f>
        <v/>
      </c>
      <c r="Z110" s="26">
        <f>IF(ISNUMBER(SEARCH("232",E110)),VLOOKUP("232",V7_PROGRAM_TABLE,2,FALSE),IF(ISNUMBER(SEARCH("538",E110)),VLOOKUP("538",V7_PROGRAM_TABLE,2,FALSE),IF(ISNUMBER(SEARCH("223a7",E110)),VLOOKUP("223a7",V7_PROGRAM_TABLE,2,FALSE),IF(ISNUMBER(SEARCH("223f",E110)),VLOOKUP("223f",V7_PROGRAM_TABLE,2,FALSE),V7_PROGRAM_DEFAULT))))</f>
        <v/>
      </c>
      <c r="AA110" s="26">
        <f>IF(S110=1,1+V7_PURPOSE_NC_BUMP*MAX(0,1-ABS(M110-V7_PURPOSE_PEAK_AGE)/V7_PURPOSE_WIDTH),1)</f>
        <v/>
      </c>
      <c r="AB110" s="26">
        <f>IF(AND(IF(OR(P110="",NOT(ISNUMBER(P110))),0,MAX(0,MIN(24,(INT(VALUE(H110)/100)-INT(P110/100))*12+MOD(VALUE(H110),100)-MOD(P110,100))))&gt;0,IF(OR(P110="",NOT(ISNUMBER(P110))),0,MAX(0,MIN(24,(INT(VALUE(H110)/100)-INT(P110/100))*12+MOD(VALUE(H110),100)-MOD(P110,100))))&lt;=12),1+V7_LOCKOUT_AMP*EXP(-(IF(OR(P110="",NOT(ISNUMBER(P110))),0,MAX(0,MIN(24,(INT(VALUE(H110)/100)-INT(P110/100))*12+MOD(VALUE(H110),100)-MOD(P110,100)))))/V7_LOCKOUT_TAU),1)</f>
        <v/>
      </c>
      <c r="AC110" s="26">
        <f>IF(IF(OR(O110="",NOT(ISNUMBER(O110))),360,MAX(0,MIN(480,(INT(O110/100)-INT(VALUE(H110)/100))*12+MOD(O110,100)-MOD(VALUE(H110),100))))&gt;0,1+V7_MTY_AMP*MAX(0,(V7_MTY_CUTOFF-(IF(OR(O110="",NOT(ISNUMBER(O110))),360,MAX(0,MIN(480,(INT(O110/100)-INT(VALUE(H110)/100))*12+MOD(O110,100)-MOD(VALUE(H110),100))))))/V7_MTY_CUTOFF),1)</f>
        <v/>
      </c>
      <c r="AD110" s="26">
        <f>MAX(V7_BURN_FLOOR,1-V7_BURN_SLOPE*MIN(1,MAX(0,R110)))</f>
        <v/>
      </c>
      <c r="AE110" s="26">
        <f>IF(V7_USE_ISSUER=1,IFERROR(VLOOKUP(Q110,V7_ISSUER_TABLE,3,FALSE),1),1)</f>
        <v/>
      </c>
      <c r="AF110" s="26">
        <f>PRODUCT(W110:AE110)</f>
        <v/>
      </c>
      <c r="AG110" s="27">
        <f>MIN(V7_BASE_SMM*AF110,V7_SMM_CAP)</f>
        <v/>
      </c>
      <c r="AH110" s="28">
        <f>1-(1-AG110)^12</f>
        <v/>
      </c>
      <c r="AI110" s="28">
        <f>IFERROR(LN(W110)/(LN(W110)+LN(X110)+LN(Y110)+LN(Z110)+LN(AA110)+LN(AB110)+LN(AC110)+LN(AD110))*(AH110-V7_BASE_CPR),0)</f>
        <v/>
      </c>
      <c r="AJ110" s="28">
        <f>IFERROR(LN(X110)/(LN(W110)+LN(X110)+LN(Y110)+LN(Z110)+LN(AA110)+LN(AB110)+LN(AC110)+LN(AD110))*(AH110-V7_BASE_CPR),0)</f>
        <v/>
      </c>
      <c r="AK110" s="28">
        <f>IFERROR(LN(Y110)/(LN(W110)+LN(X110)+LN(Y110)+LN(Z110)+LN(AA110)+LN(AB110)+LN(AC110)+LN(AD110))*(AH110-V7_BASE_CPR),0)</f>
        <v/>
      </c>
      <c r="AL110" s="28">
        <f>IFERROR(LN(Z110)/(LN(W110)+LN(X110)+LN(Y110)+LN(Z110)+LN(AA110)+LN(AB110)+LN(AC110)+LN(AD110))*(AH110-V7_BASE_CPR),0)</f>
        <v/>
      </c>
      <c r="AM110" s="28">
        <f>IFERROR(LN(AA110)/(LN(W110)+LN(X110)+LN(Y110)+LN(Z110)+LN(AA110)+LN(AB110)+LN(AC110)+LN(AD110))*(AH110-V7_BASE_CPR),0)</f>
        <v/>
      </c>
      <c r="AN110" s="28">
        <f>IFERROR(LN(AB110)/(LN(W110)+LN(X110)+LN(Y110)+LN(Z110)+LN(AA110)+LN(AB110)+LN(AC110)+LN(AD110))*(AH110-V7_BASE_CPR),0)</f>
        <v/>
      </c>
      <c r="AO110" s="28">
        <f>IFERROR(LN(AC110)/(LN(W110)+LN(X110)+LN(Y110)+LN(Z110)+LN(AA110)+LN(AB110)+LN(AC110)+LN(AD110))*(AH110-V7_BASE_CPR),0)</f>
        <v/>
      </c>
      <c r="AP110" s="28">
        <f>IFERROR(LN(AD110)/(LN(W110)+LN(X110)+LN(Y110)+LN(Z110)+LN(AA110)+LN(AB110)+LN(AC110)+LN(AD110))*(AH110-V7_BASE_CPR),0)</f>
        <v/>
      </c>
      <c r="AQ110" s="29">
        <f>V7_BASE_CPR+SUM(AI110:AP110)-AH110</f>
        <v/>
      </c>
    </row>
    <row r="111">
      <c r="A111" s="2" t="inlineStr">
        <is>
          <t>3618K96A7_000000006322135</t>
        </is>
      </c>
      <c r="B111" t="inlineStr">
        <is>
          <t>GREYSTONE_POST21</t>
        </is>
      </c>
      <c r="C111" s="2" t="inlineStr">
        <is>
          <t>3618K96A7</t>
        </is>
      </c>
      <c r="D111" t="inlineStr">
        <is>
          <t>GREYSTONE FUNDING COMPANY LLC</t>
        </is>
      </c>
      <c r="E111" t="inlineStr">
        <is>
          <t>232</t>
        </is>
      </c>
      <c r="F111" t="inlineStr">
        <is>
          <t>RP</t>
        </is>
      </c>
      <c r="G111" t="n">
        <v>2025</v>
      </c>
      <c r="H111" t="inlineStr">
        <is>
          <t>202602</t>
        </is>
      </c>
      <c r="I111" s="22" t="n">
        <v>27332938.98</v>
      </c>
      <c r="J111" s="23" t="n">
        <v>6.24</v>
      </c>
      <c r="K111" s="24" t="n">
        <v>447</v>
      </c>
      <c r="L111" s="24" t="n">
        <v>10</v>
      </c>
      <c r="M111" t="n">
        <v>11</v>
      </c>
      <c r="N111" s="25" t="n">
        <v>4</v>
      </c>
      <c r="O111" t="n">
        <v>206004</v>
      </c>
      <c r="P111" t="inlineStr"/>
      <c r="Q111" t="inlineStr">
        <is>
          <t>4168</t>
        </is>
      </c>
      <c r="R111" s="26" t="n">
        <v>0.3636363636363636</v>
      </c>
      <c r="S111" t="n">
        <v>0</v>
      </c>
      <c r="T111" s="23">
        <f>LN(1+I111)</f>
        <v/>
      </c>
      <c r="U111" s="24">
        <f>J111*100-K111</f>
        <v/>
      </c>
      <c r="V111" s="24">
        <f>U111-12.5*(L111+1)</f>
        <v/>
      </c>
      <c r="W111" s="26">
        <f>IF(M111&lt;=V7_AGE_KNOT_X_0,V7_AGE_KNOT_Y_0,IF(M111&gt;=V7_AGE_KNOT_X_5,V7_AGE_KNOT_Y_5,IF(M111&lt;=V7_AGE_KNOT_X_1,V7_AGE_KNOT_Y_0+(M111-V7_AGE_KNOT_X_0)/(V7_AGE_KNOT_X_1-V7_AGE_KNOT_X_0)*(V7_AGE_KNOT_Y_1-V7_AGE_KNOT_Y_0),IF(M111&lt;=V7_AGE_KNOT_X_2,V7_AGE_KNOT_Y_1+(M111-V7_AGE_KNOT_X_1)/(V7_AGE_KNOT_X_2-V7_AGE_KNOT_X_1)*(V7_AGE_KNOT_Y_2-V7_AGE_KNOT_Y_1),IF(M111&lt;=V7_AGE_KNOT_X_3,V7_AGE_KNOT_Y_2+(M111-V7_AGE_KNOT_X_2)/(V7_AGE_KNOT_X_3-V7_AGE_KNOT_X_2)*(V7_AGE_KNOT_Y_3-V7_AGE_KNOT_Y_2),IF(M111&lt;=V7_AGE_KNOT_X_4,V7_AGE_KNOT_Y_3+(M111-V7_AGE_KNOT_X_3)/(V7_AGE_KNOT_X_4-V7_AGE_KNOT_X_3)*(V7_AGE_KNOT_Y_4-V7_AGE_KNOT_Y_3),V7_AGE_KNOT_Y_4+(M111-V7_AGE_KNOT_X_4)/(V7_AGE_KNOT_X_5-V7_AGE_KNOT_X_4)*(V7_AGE_KNOT_Y_5-V7_AGE_KNOT_Y_4)))))))</f>
        <v/>
      </c>
      <c r="X111" s="26">
        <f>V7_RATE_FLOOR+V7_RATE_ASYMPTOTE/(1+EXP(-(V111-V7_RATE_MID)/V7_RATE_SLOPE))</f>
        <v/>
      </c>
      <c r="Y111" s="26">
        <f>MAX(V7_SIZE_LOW,MIN(V7_SIZE_HIGH,V7_SIZE_INTERCEPT+V7_SIZE_SLOPE*(T111-V7_SIZE_LOG_ANCHOR)))</f>
        <v/>
      </c>
      <c r="Z111" s="26">
        <f>IF(ISNUMBER(SEARCH("232",E111)),VLOOKUP("232",V7_PROGRAM_TABLE,2,FALSE),IF(ISNUMBER(SEARCH("538",E111)),VLOOKUP("538",V7_PROGRAM_TABLE,2,FALSE),IF(ISNUMBER(SEARCH("223a7",E111)),VLOOKUP("223a7",V7_PROGRAM_TABLE,2,FALSE),IF(ISNUMBER(SEARCH("223f",E111)),VLOOKUP("223f",V7_PROGRAM_TABLE,2,FALSE),V7_PROGRAM_DEFAULT))))</f>
        <v/>
      </c>
      <c r="AA111" s="26">
        <f>IF(S111=1,1+V7_PURPOSE_NC_BUMP*MAX(0,1-ABS(M111-V7_PURPOSE_PEAK_AGE)/V7_PURPOSE_WIDTH),1)</f>
        <v/>
      </c>
      <c r="AB111" s="26">
        <f>IF(AND(IF(OR(P111="",NOT(ISNUMBER(P111))),0,MAX(0,MIN(24,(INT(VALUE(H111)/100)-INT(P111/100))*12+MOD(VALUE(H111),100)-MOD(P111,100))))&gt;0,IF(OR(P111="",NOT(ISNUMBER(P111))),0,MAX(0,MIN(24,(INT(VALUE(H111)/100)-INT(P111/100))*12+MOD(VALUE(H111),100)-MOD(P111,100))))&lt;=12),1+V7_LOCKOUT_AMP*EXP(-(IF(OR(P111="",NOT(ISNUMBER(P111))),0,MAX(0,MIN(24,(INT(VALUE(H111)/100)-INT(P111/100))*12+MOD(VALUE(H111),100)-MOD(P111,100)))))/V7_LOCKOUT_TAU),1)</f>
        <v/>
      </c>
      <c r="AC111" s="26">
        <f>IF(IF(OR(O111="",NOT(ISNUMBER(O111))),360,MAX(0,MIN(480,(INT(O111/100)-INT(VALUE(H111)/100))*12+MOD(O111,100)-MOD(VALUE(H111),100))))&gt;0,1+V7_MTY_AMP*MAX(0,(V7_MTY_CUTOFF-(IF(OR(O111="",NOT(ISNUMBER(O111))),360,MAX(0,MIN(480,(INT(O111/100)-INT(VALUE(H111)/100))*12+MOD(O111,100)-MOD(VALUE(H111),100))))))/V7_MTY_CUTOFF),1)</f>
        <v/>
      </c>
      <c r="AD111" s="26">
        <f>MAX(V7_BURN_FLOOR,1-V7_BURN_SLOPE*MIN(1,MAX(0,R111)))</f>
        <v/>
      </c>
      <c r="AE111" s="26">
        <f>IF(V7_USE_ISSUER=1,IFERROR(VLOOKUP(Q111,V7_ISSUER_TABLE,3,FALSE),1),1)</f>
        <v/>
      </c>
      <c r="AF111" s="26">
        <f>PRODUCT(W111:AE111)</f>
        <v/>
      </c>
      <c r="AG111" s="27">
        <f>MIN(V7_BASE_SMM*AF111,V7_SMM_CAP)</f>
        <v/>
      </c>
      <c r="AH111" s="28">
        <f>1-(1-AG111)^12</f>
        <v/>
      </c>
      <c r="AI111" s="28">
        <f>IFERROR(LN(W111)/(LN(W111)+LN(X111)+LN(Y111)+LN(Z111)+LN(AA111)+LN(AB111)+LN(AC111)+LN(AD111))*(AH111-V7_BASE_CPR),0)</f>
        <v/>
      </c>
      <c r="AJ111" s="28">
        <f>IFERROR(LN(X111)/(LN(W111)+LN(X111)+LN(Y111)+LN(Z111)+LN(AA111)+LN(AB111)+LN(AC111)+LN(AD111))*(AH111-V7_BASE_CPR),0)</f>
        <v/>
      </c>
      <c r="AK111" s="28">
        <f>IFERROR(LN(Y111)/(LN(W111)+LN(X111)+LN(Y111)+LN(Z111)+LN(AA111)+LN(AB111)+LN(AC111)+LN(AD111))*(AH111-V7_BASE_CPR),0)</f>
        <v/>
      </c>
      <c r="AL111" s="28">
        <f>IFERROR(LN(Z111)/(LN(W111)+LN(X111)+LN(Y111)+LN(Z111)+LN(AA111)+LN(AB111)+LN(AC111)+LN(AD111))*(AH111-V7_BASE_CPR),0)</f>
        <v/>
      </c>
      <c r="AM111" s="28">
        <f>IFERROR(LN(AA111)/(LN(W111)+LN(X111)+LN(Y111)+LN(Z111)+LN(AA111)+LN(AB111)+LN(AC111)+LN(AD111))*(AH111-V7_BASE_CPR),0)</f>
        <v/>
      </c>
      <c r="AN111" s="28">
        <f>IFERROR(LN(AB111)/(LN(W111)+LN(X111)+LN(Y111)+LN(Z111)+LN(AA111)+LN(AB111)+LN(AC111)+LN(AD111))*(AH111-V7_BASE_CPR),0)</f>
        <v/>
      </c>
      <c r="AO111" s="28">
        <f>IFERROR(LN(AC111)/(LN(W111)+LN(X111)+LN(Y111)+LN(Z111)+LN(AA111)+LN(AB111)+LN(AC111)+LN(AD111))*(AH111-V7_BASE_CPR),0)</f>
        <v/>
      </c>
      <c r="AP111" s="28">
        <f>IFERROR(LN(AD111)/(LN(W111)+LN(X111)+LN(Y111)+LN(Z111)+LN(AA111)+LN(AB111)+LN(AC111)+LN(AD111))*(AH111-V7_BASE_CPR),0)</f>
        <v/>
      </c>
      <c r="AQ111" s="29">
        <f>V7_BASE_CPR+SUM(AI111:AP111)-AH111</f>
        <v/>
      </c>
    </row>
    <row r="112">
      <c r="A112" s="2" t="inlineStr">
        <is>
          <t>3617QVL25_000000004711254</t>
        </is>
      </c>
      <c r="B112" t="inlineStr">
        <is>
          <t>GREYSTONE_PRE21</t>
        </is>
      </c>
      <c r="C112" s="2" t="inlineStr">
        <is>
          <t>3617QVL25</t>
        </is>
      </c>
      <c r="D112" t="inlineStr">
        <is>
          <t>GREYSTONE FUNDING COMPANY LLC</t>
        </is>
      </c>
      <c r="E112" t="inlineStr">
        <is>
          <t>223f</t>
        </is>
      </c>
      <c r="F112" t="inlineStr">
        <is>
          <t>RP</t>
        </is>
      </c>
      <c r="G112" t="n">
        <v>2020</v>
      </c>
      <c r="H112" t="inlineStr">
        <is>
          <t>202602</t>
        </is>
      </c>
      <c r="I112" s="22" t="n">
        <v>7797494.64</v>
      </c>
      <c r="J112" s="23" t="n">
        <v>2.09</v>
      </c>
      <c r="K112" s="24" t="n">
        <v>447</v>
      </c>
      <c r="L112" s="24" t="n">
        <v>5</v>
      </c>
      <c r="M112" t="n">
        <v>63</v>
      </c>
      <c r="N112" s="25" t="n">
        <v>0</v>
      </c>
      <c r="O112" t="n">
        <v>205512</v>
      </c>
      <c r="P112" t="inlineStr"/>
      <c r="Q112" t="inlineStr">
        <is>
          <t>4168</t>
        </is>
      </c>
      <c r="R112" s="26" t="n">
        <v>0</v>
      </c>
      <c r="S112" t="n">
        <v>0</v>
      </c>
      <c r="T112" s="23">
        <f>LN(1+I112)</f>
        <v/>
      </c>
      <c r="U112" s="24">
        <f>J112*100-K112</f>
        <v/>
      </c>
      <c r="V112" s="24">
        <f>U112-12.5*(L112+1)</f>
        <v/>
      </c>
      <c r="W112" s="26">
        <f>IF(M112&lt;=V7_AGE_KNOT_X_0,V7_AGE_KNOT_Y_0,IF(M112&gt;=V7_AGE_KNOT_X_5,V7_AGE_KNOT_Y_5,IF(M112&lt;=V7_AGE_KNOT_X_1,V7_AGE_KNOT_Y_0+(M112-V7_AGE_KNOT_X_0)/(V7_AGE_KNOT_X_1-V7_AGE_KNOT_X_0)*(V7_AGE_KNOT_Y_1-V7_AGE_KNOT_Y_0),IF(M112&lt;=V7_AGE_KNOT_X_2,V7_AGE_KNOT_Y_1+(M112-V7_AGE_KNOT_X_1)/(V7_AGE_KNOT_X_2-V7_AGE_KNOT_X_1)*(V7_AGE_KNOT_Y_2-V7_AGE_KNOT_Y_1),IF(M112&lt;=V7_AGE_KNOT_X_3,V7_AGE_KNOT_Y_2+(M112-V7_AGE_KNOT_X_2)/(V7_AGE_KNOT_X_3-V7_AGE_KNOT_X_2)*(V7_AGE_KNOT_Y_3-V7_AGE_KNOT_Y_2),IF(M112&lt;=V7_AGE_KNOT_X_4,V7_AGE_KNOT_Y_3+(M112-V7_AGE_KNOT_X_3)/(V7_AGE_KNOT_X_4-V7_AGE_KNOT_X_3)*(V7_AGE_KNOT_Y_4-V7_AGE_KNOT_Y_3),V7_AGE_KNOT_Y_4+(M112-V7_AGE_KNOT_X_4)/(V7_AGE_KNOT_X_5-V7_AGE_KNOT_X_4)*(V7_AGE_KNOT_Y_5-V7_AGE_KNOT_Y_4)))))))</f>
        <v/>
      </c>
      <c r="X112" s="26">
        <f>V7_RATE_FLOOR+V7_RATE_ASYMPTOTE/(1+EXP(-(V112-V7_RATE_MID)/V7_RATE_SLOPE))</f>
        <v/>
      </c>
      <c r="Y112" s="26">
        <f>MAX(V7_SIZE_LOW,MIN(V7_SIZE_HIGH,V7_SIZE_INTERCEPT+V7_SIZE_SLOPE*(T112-V7_SIZE_LOG_ANCHOR)))</f>
        <v/>
      </c>
      <c r="Z112" s="26">
        <f>IF(ISNUMBER(SEARCH("232",E112)),VLOOKUP("232",V7_PROGRAM_TABLE,2,FALSE),IF(ISNUMBER(SEARCH("538",E112)),VLOOKUP("538",V7_PROGRAM_TABLE,2,FALSE),IF(ISNUMBER(SEARCH("223a7",E112)),VLOOKUP("223a7",V7_PROGRAM_TABLE,2,FALSE),IF(ISNUMBER(SEARCH("223f",E112)),VLOOKUP("223f",V7_PROGRAM_TABLE,2,FALSE),V7_PROGRAM_DEFAULT))))</f>
        <v/>
      </c>
      <c r="AA112" s="26">
        <f>IF(S112=1,1+V7_PURPOSE_NC_BUMP*MAX(0,1-ABS(M112-V7_PURPOSE_PEAK_AGE)/V7_PURPOSE_WIDTH),1)</f>
        <v/>
      </c>
      <c r="AB112" s="26">
        <f>IF(AND(IF(OR(P112="",NOT(ISNUMBER(P112))),0,MAX(0,MIN(24,(INT(VALUE(H112)/100)-INT(P112/100))*12+MOD(VALUE(H112),100)-MOD(P112,100))))&gt;0,IF(OR(P112="",NOT(ISNUMBER(P112))),0,MAX(0,MIN(24,(INT(VALUE(H112)/100)-INT(P112/100))*12+MOD(VALUE(H112),100)-MOD(P112,100))))&lt;=12),1+V7_LOCKOUT_AMP*EXP(-(IF(OR(P112="",NOT(ISNUMBER(P112))),0,MAX(0,MIN(24,(INT(VALUE(H112)/100)-INT(P112/100))*12+MOD(VALUE(H112),100)-MOD(P112,100)))))/V7_LOCKOUT_TAU),1)</f>
        <v/>
      </c>
      <c r="AC112" s="26">
        <f>IF(IF(OR(O112="",NOT(ISNUMBER(O112))),360,MAX(0,MIN(480,(INT(O112/100)-INT(VALUE(H112)/100))*12+MOD(O112,100)-MOD(VALUE(H112),100))))&gt;0,1+V7_MTY_AMP*MAX(0,(V7_MTY_CUTOFF-(IF(OR(O112="",NOT(ISNUMBER(O112))),360,MAX(0,MIN(480,(INT(O112/100)-INT(VALUE(H112)/100))*12+MOD(O112,100)-MOD(VALUE(H112),100))))))/V7_MTY_CUTOFF),1)</f>
        <v/>
      </c>
      <c r="AD112" s="26">
        <f>MAX(V7_BURN_FLOOR,1-V7_BURN_SLOPE*MIN(1,MAX(0,R112)))</f>
        <v/>
      </c>
      <c r="AE112" s="26">
        <f>IF(V7_USE_ISSUER=1,IFERROR(VLOOKUP(Q112,V7_ISSUER_TABLE,3,FALSE),1),1)</f>
        <v/>
      </c>
      <c r="AF112" s="26">
        <f>PRODUCT(W112:AE112)</f>
        <v/>
      </c>
      <c r="AG112" s="27">
        <f>MIN(V7_BASE_SMM*AF112,V7_SMM_CAP)</f>
        <v/>
      </c>
      <c r="AH112" s="28">
        <f>1-(1-AG112)^12</f>
        <v/>
      </c>
      <c r="AI112" s="28">
        <f>IFERROR(LN(W112)/(LN(W112)+LN(X112)+LN(Y112)+LN(Z112)+LN(AA112)+LN(AB112)+LN(AC112)+LN(AD112))*(AH112-V7_BASE_CPR),0)</f>
        <v/>
      </c>
      <c r="AJ112" s="28">
        <f>IFERROR(LN(X112)/(LN(W112)+LN(X112)+LN(Y112)+LN(Z112)+LN(AA112)+LN(AB112)+LN(AC112)+LN(AD112))*(AH112-V7_BASE_CPR),0)</f>
        <v/>
      </c>
      <c r="AK112" s="28">
        <f>IFERROR(LN(Y112)/(LN(W112)+LN(X112)+LN(Y112)+LN(Z112)+LN(AA112)+LN(AB112)+LN(AC112)+LN(AD112))*(AH112-V7_BASE_CPR),0)</f>
        <v/>
      </c>
      <c r="AL112" s="28">
        <f>IFERROR(LN(Z112)/(LN(W112)+LN(X112)+LN(Y112)+LN(Z112)+LN(AA112)+LN(AB112)+LN(AC112)+LN(AD112))*(AH112-V7_BASE_CPR),0)</f>
        <v/>
      </c>
      <c r="AM112" s="28">
        <f>IFERROR(LN(AA112)/(LN(W112)+LN(X112)+LN(Y112)+LN(Z112)+LN(AA112)+LN(AB112)+LN(AC112)+LN(AD112))*(AH112-V7_BASE_CPR),0)</f>
        <v/>
      </c>
      <c r="AN112" s="28">
        <f>IFERROR(LN(AB112)/(LN(W112)+LN(X112)+LN(Y112)+LN(Z112)+LN(AA112)+LN(AB112)+LN(AC112)+LN(AD112))*(AH112-V7_BASE_CPR),0)</f>
        <v/>
      </c>
      <c r="AO112" s="28">
        <f>IFERROR(LN(AC112)/(LN(W112)+LN(X112)+LN(Y112)+LN(Z112)+LN(AA112)+LN(AB112)+LN(AC112)+LN(AD112))*(AH112-V7_BASE_CPR),0)</f>
        <v/>
      </c>
      <c r="AP112" s="28">
        <f>IFERROR(LN(AD112)/(LN(W112)+LN(X112)+LN(Y112)+LN(Z112)+LN(AA112)+LN(AB112)+LN(AC112)+LN(AD112))*(AH112-V7_BASE_CPR),0)</f>
        <v/>
      </c>
      <c r="AQ112" s="29">
        <f>V7_BASE_CPR+SUM(AI112:AP112)-AH112</f>
        <v/>
      </c>
    </row>
    <row r="113">
      <c r="A113" s="2" t="inlineStr">
        <is>
          <t>3617FXA90_000000003422183</t>
        </is>
      </c>
      <c r="B113" t="inlineStr">
        <is>
          <t>GREYSTONE_POST21</t>
        </is>
      </c>
      <c r="C113" s="2" t="inlineStr">
        <is>
          <t>3617FXA90</t>
        </is>
      </c>
      <c r="D113" t="inlineStr">
        <is>
          <t>GREYSTONE FUNDING COMPANY LLC</t>
        </is>
      </c>
      <c r="E113" t="inlineStr">
        <is>
          <t>232</t>
        </is>
      </c>
      <c r="F113" t="inlineStr">
        <is>
          <t>RP</t>
        </is>
      </c>
      <c r="G113" t="n">
        <v>2022</v>
      </c>
      <c r="H113" t="inlineStr">
        <is>
          <t>202602</t>
        </is>
      </c>
      <c r="I113" s="22" t="n">
        <v>69082495.2</v>
      </c>
      <c r="J113" s="23" t="n">
        <v>4.58</v>
      </c>
      <c r="K113" s="24" t="n">
        <v>447</v>
      </c>
      <c r="L113" s="24" t="n">
        <v>7</v>
      </c>
      <c r="M113" t="n">
        <v>40</v>
      </c>
      <c r="N113" s="25" t="n">
        <v>0</v>
      </c>
      <c r="O113" t="n">
        <v>205711</v>
      </c>
      <c r="P113" t="inlineStr"/>
      <c r="Q113" t="inlineStr">
        <is>
          <t>4168</t>
        </is>
      </c>
      <c r="R113" s="26" t="n">
        <v>0</v>
      </c>
      <c r="S113" t="n">
        <v>0</v>
      </c>
      <c r="T113" s="23">
        <f>LN(1+I113)</f>
        <v/>
      </c>
      <c r="U113" s="24">
        <f>J113*100-K113</f>
        <v/>
      </c>
      <c r="V113" s="24">
        <f>U113-12.5*(L113+1)</f>
        <v/>
      </c>
      <c r="W113" s="26">
        <f>IF(M113&lt;=V7_AGE_KNOT_X_0,V7_AGE_KNOT_Y_0,IF(M113&gt;=V7_AGE_KNOT_X_5,V7_AGE_KNOT_Y_5,IF(M113&lt;=V7_AGE_KNOT_X_1,V7_AGE_KNOT_Y_0+(M113-V7_AGE_KNOT_X_0)/(V7_AGE_KNOT_X_1-V7_AGE_KNOT_X_0)*(V7_AGE_KNOT_Y_1-V7_AGE_KNOT_Y_0),IF(M113&lt;=V7_AGE_KNOT_X_2,V7_AGE_KNOT_Y_1+(M113-V7_AGE_KNOT_X_1)/(V7_AGE_KNOT_X_2-V7_AGE_KNOT_X_1)*(V7_AGE_KNOT_Y_2-V7_AGE_KNOT_Y_1),IF(M113&lt;=V7_AGE_KNOT_X_3,V7_AGE_KNOT_Y_2+(M113-V7_AGE_KNOT_X_2)/(V7_AGE_KNOT_X_3-V7_AGE_KNOT_X_2)*(V7_AGE_KNOT_Y_3-V7_AGE_KNOT_Y_2),IF(M113&lt;=V7_AGE_KNOT_X_4,V7_AGE_KNOT_Y_3+(M113-V7_AGE_KNOT_X_3)/(V7_AGE_KNOT_X_4-V7_AGE_KNOT_X_3)*(V7_AGE_KNOT_Y_4-V7_AGE_KNOT_Y_3),V7_AGE_KNOT_Y_4+(M113-V7_AGE_KNOT_X_4)/(V7_AGE_KNOT_X_5-V7_AGE_KNOT_X_4)*(V7_AGE_KNOT_Y_5-V7_AGE_KNOT_Y_4)))))))</f>
        <v/>
      </c>
      <c r="X113" s="26">
        <f>V7_RATE_FLOOR+V7_RATE_ASYMPTOTE/(1+EXP(-(V113-V7_RATE_MID)/V7_RATE_SLOPE))</f>
        <v/>
      </c>
      <c r="Y113" s="26">
        <f>MAX(V7_SIZE_LOW,MIN(V7_SIZE_HIGH,V7_SIZE_INTERCEPT+V7_SIZE_SLOPE*(T113-V7_SIZE_LOG_ANCHOR)))</f>
        <v/>
      </c>
      <c r="Z113" s="26">
        <f>IF(ISNUMBER(SEARCH("232",E113)),VLOOKUP("232",V7_PROGRAM_TABLE,2,FALSE),IF(ISNUMBER(SEARCH("538",E113)),VLOOKUP("538",V7_PROGRAM_TABLE,2,FALSE),IF(ISNUMBER(SEARCH("223a7",E113)),VLOOKUP("223a7",V7_PROGRAM_TABLE,2,FALSE),IF(ISNUMBER(SEARCH("223f",E113)),VLOOKUP("223f",V7_PROGRAM_TABLE,2,FALSE),V7_PROGRAM_DEFAULT))))</f>
        <v/>
      </c>
      <c r="AA113" s="26">
        <f>IF(S113=1,1+V7_PURPOSE_NC_BUMP*MAX(0,1-ABS(M113-V7_PURPOSE_PEAK_AGE)/V7_PURPOSE_WIDTH),1)</f>
        <v/>
      </c>
      <c r="AB113" s="26">
        <f>IF(AND(IF(OR(P113="",NOT(ISNUMBER(P113))),0,MAX(0,MIN(24,(INT(VALUE(H113)/100)-INT(P113/100))*12+MOD(VALUE(H113),100)-MOD(P113,100))))&gt;0,IF(OR(P113="",NOT(ISNUMBER(P113))),0,MAX(0,MIN(24,(INT(VALUE(H113)/100)-INT(P113/100))*12+MOD(VALUE(H113),100)-MOD(P113,100))))&lt;=12),1+V7_LOCKOUT_AMP*EXP(-(IF(OR(P113="",NOT(ISNUMBER(P113))),0,MAX(0,MIN(24,(INT(VALUE(H113)/100)-INT(P113/100))*12+MOD(VALUE(H113),100)-MOD(P113,100)))))/V7_LOCKOUT_TAU),1)</f>
        <v/>
      </c>
      <c r="AC113" s="26">
        <f>IF(IF(OR(O113="",NOT(ISNUMBER(O113))),360,MAX(0,MIN(480,(INT(O113/100)-INT(VALUE(H113)/100))*12+MOD(O113,100)-MOD(VALUE(H113),100))))&gt;0,1+V7_MTY_AMP*MAX(0,(V7_MTY_CUTOFF-(IF(OR(O113="",NOT(ISNUMBER(O113))),360,MAX(0,MIN(480,(INT(O113/100)-INT(VALUE(H113)/100))*12+MOD(O113,100)-MOD(VALUE(H113),100))))))/V7_MTY_CUTOFF),1)</f>
        <v/>
      </c>
      <c r="AD113" s="26">
        <f>MAX(V7_BURN_FLOOR,1-V7_BURN_SLOPE*MIN(1,MAX(0,R113)))</f>
        <v/>
      </c>
      <c r="AE113" s="26">
        <f>IF(V7_USE_ISSUER=1,IFERROR(VLOOKUP(Q113,V7_ISSUER_TABLE,3,FALSE),1),1)</f>
        <v/>
      </c>
      <c r="AF113" s="26">
        <f>PRODUCT(W113:AE113)</f>
        <v/>
      </c>
      <c r="AG113" s="27">
        <f>MIN(V7_BASE_SMM*AF113,V7_SMM_CAP)</f>
        <v/>
      </c>
      <c r="AH113" s="28">
        <f>1-(1-AG113)^12</f>
        <v/>
      </c>
      <c r="AI113" s="28">
        <f>IFERROR(LN(W113)/(LN(W113)+LN(X113)+LN(Y113)+LN(Z113)+LN(AA113)+LN(AB113)+LN(AC113)+LN(AD113))*(AH113-V7_BASE_CPR),0)</f>
        <v/>
      </c>
      <c r="AJ113" s="28">
        <f>IFERROR(LN(X113)/(LN(W113)+LN(X113)+LN(Y113)+LN(Z113)+LN(AA113)+LN(AB113)+LN(AC113)+LN(AD113))*(AH113-V7_BASE_CPR),0)</f>
        <v/>
      </c>
      <c r="AK113" s="28">
        <f>IFERROR(LN(Y113)/(LN(W113)+LN(X113)+LN(Y113)+LN(Z113)+LN(AA113)+LN(AB113)+LN(AC113)+LN(AD113))*(AH113-V7_BASE_CPR),0)</f>
        <v/>
      </c>
      <c r="AL113" s="28">
        <f>IFERROR(LN(Z113)/(LN(W113)+LN(X113)+LN(Y113)+LN(Z113)+LN(AA113)+LN(AB113)+LN(AC113)+LN(AD113))*(AH113-V7_BASE_CPR),0)</f>
        <v/>
      </c>
      <c r="AM113" s="28">
        <f>IFERROR(LN(AA113)/(LN(W113)+LN(X113)+LN(Y113)+LN(Z113)+LN(AA113)+LN(AB113)+LN(AC113)+LN(AD113))*(AH113-V7_BASE_CPR),0)</f>
        <v/>
      </c>
      <c r="AN113" s="28">
        <f>IFERROR(LN(AB113)/(LN(W113)+LN(X113)+LN(Y113)+LN(Z113)+LN(AA113)+LN(AB113)+LN(AC113)+LN(AD113))*(AH113-V7_BASE_CPR),0)</f>
        <v/>
      </c>
      <c r="AO113" s="28">
        <f>IFERROR(LN(AC113)/(LN(W113)+LN(X113)+LN(Y113)+LN(Z113)+LN(AA113)+LN(AB113)+LN(AC113)+LN(AD113))*(AH113-V7_BASE_CPR),0)</f>
        <v/>
      </c>
      <c r="AP113" s="28">
        <f>IFERROR(LN(AD113)/(LN(W113)+LN(X113)+LN(Y113)+LN(Z113)+LN(AA113)+LN(AB113)+LN(AC113)+LN(AD113))*(AH113-V7_BASE_CPR),0)</f>
        <v/>
      </c>
      <c r="AQ113" s="29">
        <f>V7_BASE_CPR+SUM(AI113:AP113)-AH113</f>
        <v/>
      </c>
    </row>
    <row r="114">
      <c r="A114" s="2" t="inlineStr">
        <is>
          <t>3617NBYQ5_050008946585285</t>
        </is>
      </c>
      <c r="B114" t="inlineStr">
        <is>
          <t>GREYSTONE_PRE21</t>
        </is>
      </c>
      <c r="C114" s="2" t="inlineStr">
        <is>
          <t>3617NBYQ5</t>
        </is>
      </c>
      <c r="D114" t="inlineStr">
        <is>
          <t>GREYSTONE SERVICING COMPANY LLC</t>
        </is>
      </c>
      <c r="E114" t="inlineStr">
        <is>
          <t>538</t>
        </is>
      </c>
      <c r="F114" t="inlineStr">
        <is>
          <t>538</t>
        </is>
      </c>
      <c r="G114" t="n">
        <v>2020</v>
      </c>
      <c r="H114" t="inlineStr">
        <is>
          <t>202602</t>
        </is>
      </c>
      <c r="I114" s="22" t="n">
        <v>1751473.04</v>
      </c>
      <c r="J114" s="23" t="n">
        <v>4.15</v>
      </c>
      <c r="K114" s="24" t="n">
        <v>447</v>
      </c>
      <c r="L114" s="24" t="n">
        <v>7</v>
      </c>
      <c r="M114" t="n">
        <v>68</v>
      </c>
      <c r="N114" s="25" t="n">
        <v>0</v>
      </c>
      <c r="O114" t="n">
        <v>206007</v>
      </c>
      <c r="P114" t="n">
        <v>202205</v>
      </c>
      <c r="Q114" t="inlineStr">
        <is>
          <t>3500</t>
        </is>
      </c>
      <c r="R114" s="26" t="n">
        <v>0</v>
      </c>
      <c r="S114" t="n">
        <v>0</v>
      </c>
      <c r="T114" s="23">
        <f>LN(1+I114)</f>
        <v/>
      </c>
      <c r="U114" s="24">
        <f>J114*100-K114</f>
        <v/>
      </c>
      <c r="V114" s="24">
        <f>U114-12.5*(L114+1)</f>
        <v/>
      </c>
      <c r="W114" s="26">
        <f>IF(M114&lt;=V7_AGE_KNOT_X_0,V7_AGE_KNOT_Y_0,IF(M114&gt;=V7_AGE_KNOT_X_5,V7_AGE_KNOT_Y_5,IF(M114&lt;=V7_AGE_KNOT_X_1,V7_AGE_KNOT_Y_0+(M114-V7_AGE_KNOT_X_0)/(V7_AGE_KNOT_X_1-V7_AGE_KNOT_X_0)*(V7_AGE_KNOT_Y_1-V7_AGE_KNOT_Y_0),IF(M114&lt;=V7_AGE_KNOT_X_2,V7_AGE_KNOT_Y_1+(M114-V7_AGE_KNOT_X_1)/(V7_AGE_KNOT_X_2-V7_AGE_KNOT_X_1)*(V7_AGE_KNOT_Y_2-V7_AGE_KNOT_Y_1),IF(M114&lt;=V7_AGE_KNOT_X_3,V7_AGE_KNOT_Y_2+(M114-V7_AGE_KNOT_X_2)/(V7_AGE_KNOT_X_3-V7_AGE_KNOT_X_2)*(V7_AGE_KNOT_Y_3-V7_AGE_KNOT_Y_2),IF(M114&lt;=V7_AGE_KNOT_X_4,V7_AGE_KNOT_Y_3+(M114-V7_AGE_KNOT_X_3)/(V7_AGE_KNOT_X_4-V7_AGE_KNOT_X_3)*(V7_AGE_KNOT_Y_4-V7_AGE_KNOT_Y_3),V7_AGE_KNOT_Y_4+(M114-V7_AGE_KNOT_X_4)/(V7_AGE_KNOT_X_5-V7_AGE_KNOT_X_4)*(V7_AGE_KNOT_Y_5-V7_AGE_KNOT_Y_4)))))))</f>
        <v/>
      </c>
      <c r="X114" s="26">
        <f>V7_RATE_FLOOR+V7_RATE_ASYMPTOTE/(1+EXP(-(V114-V7_RATE_MID)/V7_RATE_SLOPE))</f>
        <v/>
      </c>
      <c r="Y114" s="26">
        <f>MAX(V7_SIZE_LOW,MIN(V7_SIZE_HIGH,V7_SIZE_INTERCEPT+V7_SIZE_SLOPE*(T114-V7_SIZE_LOG_ANCHOR)))</f>
        <v/>
      </c>
      <c r="Z114" s="26">
        <f>IF(ISNUMBER(SEARCH("232",E114)),VLOOKUP("232",V7_PROGRAM_TABLE,2,FALSE),IF(ISNUMBER(SEARCH("538",E114)),VLOOKUP("538",V7_PROGRAM_TABLE,2,FALSE),IF(ISNUMBER(SEARCH("223a7",E114)),VLOOKUP("223a7",V7_PROGRAM_TABLE,2,FALSE),IF(ISNUMBER(SEARCH("223f",E114)),VLOOKUP("223f",V7_PROGRAM_TABLE,2,FALSE),V7_PROGRAM_DEFAULT))))</f>
        <v/>
      </c>
      <c r="AA114" s="26">
        <f>IF(S114=1,1+V7_PURPOSE_NC_BUMP*MAX(0,1-ABS(M114-V7_PURPOSE_PEAK_AGE)/V7_PURPOSE_WIDTH),1)</f>
        <v/>
      </c>
      <c r="AB114" s="26">
        <f>IF(AND(IF(OR(P114="",NOT(ISNUMBER(P114))),0,MAX(0,MIN(24,(INT(VALUE(H114)/100)-INT(P114/100))*12+MOD(VALUE(H114),100)-MOD(P114,100))))&gt;0,IF(OR(P114="",NOT(ISNUMBER(P114))),0,MAX(0,MIN(24,(INT(VALUE(H114)/100)-INT(P114/100))*12+MOD(VALUE(H114),100)-MOD(P114,100))))&lt;=12),1+V7_LOCKOUT_AMP*EXP(-(IF(OR(P114="",NOT(ISNUMBER(P114))),0,MAX(0,MIN(24,(INT(VALUE(H114)/100)-INT(P114/100))*12+MOD(VALUE(H114),100)-MOD(P114,100)))))/V7_LOCKOUT_TAU),1)</f>
        <v/>
      </c>
      <c r="AC114" s="26">
        <f>IF(IF(OR(O114="",NOT(ISNUMBER(O114))),360,MAX(0,MIN(480,(INT(O114/100)-INT(VALUE(H114)/100))*12+MOD(O114,100)-MOD(VALUE(H114),100))))&gt;0,1+V7_MTY_AMP*MAX(0,(V7_MTY_CUTOFF-(IF(OR(O114="",NOT(ISNUMBER(O114))),360,MAX(0,MIN(480,(INT(O114/100)-INT(VALUE(H114)/100))*12+MOD(O114,100)-MOD(VALUE(H114),100))))))/V7_MTY_CUTOFF),1)</f>
        <v/>
      </c>
      <c r="AD114" s="26">
        <f>MAX(V7_BURN_FLOOR,1-V7_BURN_SLOPE*MIN(1,MAX(0,R114)))</f>
        <v/>
      </c>
      <c r="AE114" s="26">
        <f>IF(V7_USE_ISSUER=1,IFERROR(VLOOKUP(Q114,V7_ISSUER_TABLE,3,FALSE),1),1)</f>
        <v/>
      </c>
      <c r="AF114" s="26">
        <f>PRODUCT(W114:AE114)</f>
        <v/>
      </c>
      <c r="AG114" s="27">
        <f>MIN(V7_BASE_SMM*AF114,V7_SMM_CAP)</f>
        <v/>
      </c>
      <c r="AH114" s="28">
        <f>1-(1-AG114)^12</f>
        <v/>
      </c>
      <c r="AI114" s="28">
        <f>IFERROR(LN(W114)/(LN(W114)+LN(X114)+LN(Y114)+LN(Z114)+LN(AA114)+LN(AB114)+LN(AC114)+LN(AD114))*(AH114-V7_BASE_CPR),0)</f>
        <v/>
      </c>
      <c r="AJ114" s="28">
        <f>IFERROR(LN(X114)/(LN(W114)+LN(X114)+LN(Y114)+LN(Z114)+LN(AA114)+LN(AB114)+LN(AC114)+LN(AD114))*(AH114-V7_BASE_CPR),0)</f>
        <v/>
      </c>
      <c r="AK114" s="28">
        <f>IFERROR(LN(Y114)/(LN(W114)+LN(X114)+LN(Y114)+LN(Z114)+LN(AA114)+LN(AB114)+LN(AC114)+LN(AD114))*(AH114-V7_BASE_CPR),0)</f>
        <v/>
      </c>
      <c r="AL114" s="28">
        <f>IFERROR(LN(Z114)/(LN(W114)+LN(X114)+LN(Y114)+LN(Z114)+LN(AA114)+LN(AB114)+LN(AC114)+LN(AD114))*(AH114-V7_BASE_CPR),0)</f>
        <v/>
      </c>
      <c r="AM114" s="28">
        <f>IFERROR(LN(AA114)/(LN(W114)+LN(X114)+LN(Y114)+LN(Z114)+LN(AA114)+LN(AB114)+LN(AC114)+LN(AD114))*(AH114-V7_BASE_CPR),0)</f>
        <v/>
      </c>
      <c r="AN114" s="28">
        <f>IFERROR(LN(AB114)/(LN(W114)+LN(X114)+LN(Y114)+LN(Z114)+LN(AA114)+LN(AB114)+LN(AC114)+LN(AD114))*(AH114-V7_BASE_CPR),0)</f>
        <v/>
      </c>
      <c r="AO114" s="28">
        <f>IFERROR(LN(AC114)/(LN(W114)+LN(X114)+LN(Y114)+LN(Z114)+LN(AA114)+LN(AB114)+LN(AC114)+LN(AD114))*(AH114-V7_BASE_CPR),0)</f>
        <v/>
      </c>
      <c r="AP114" s="28">
        <f>IFERROR(LN(AD114)/(LN(W114)+LN(X114)+LN(Y114)+LN(Z114)+LN(AA114)+LN(AB114)+LN(AC114)+LN(AD114))*(AH114-V7_BASE_CPR),0)</f>
        <v/>
      </c>
      <c r="AQ114" s="29">
        <f>V7_BASE_CPR+SUM(AI114:AP114)-AH114</f>
        <v/>
      </c>
    </row>
    <row r="115">
      <c r="A115" s="2" t="inlineStr">
        <is>
          <t>3618KUZD2_000000006411265</t>
        </is>
      </c>
      <c r="B115" t="inlineStr">
        <is>
          <t>GREYSTONE_POST21</t>
        </is>
      </c>
      <c r="C115" s="2" t="inlineStr">
        <is>
          <t>3618KUZD2</t>
        </is>
      </c>
      <c r="D115" t="inlineStr">
        <is>
          <t>GREYSTONE FUNDING COMPANY LLC</t>
        </is>
      </c>
      <c r="E115" t="inlineStr">
        <is>
          <t>223f</t>
        </is>
      </c>
      <c r="F115" t="inlineStr">
        <is>
          <t>RP</t>
        </is>
      </c>
      <c r="G115" t="n">
        <v>2025</v>
      </c>
      <c r="H115" t="inlineStr">
        <is>
          <t>202602</t>
        </is>
      </c>
      <c r="I115" s="22" t="n">
        <v>5322544.26</v>
      </c>
      <c r="J115" s="23" t="n">
        <v>5.85</v>
      </c>
      <c r="K115" s="24" t="n">
        <v>447</v>
      </c>
      <c r="L115" s="24" t="n">
        <v>10</v>
      </c>
      <c r="M115" t="n">
        <v>9</v>
      </c>
      <c r="N115" s="25" t="n">
        <v>1</v>
      </c>
      <c r="O115" t="n">
        <v>206006</v>
      </c>
      <c r="P115" t="inlineStr"/>
      <c r="Q115" t="inlineStr">
        <is>
          <t>4168</t>
        </is>
      </c>
      <c r="R115" s="26" t="n">
        <v>0.1111111111111111</v>
      </c>
      <c r="S115" t="n">
        <v>0</v>
      </c>
      <c r="T115" s="23">
        <f>LN(1+I115)</f>
        <v/>
      </c>
      <c r="U115" s="24">
        <f>J115*100-K115</f>
        <v/>
      </c>
      <c r="V115" s="24">
        <f>U115-12.5*(L115+1)</f>
        <v/>
      </c>
      <c r="W115" s="26">
        <f>IF(M115&lt;=V7_AGE_KNOT_X_0,V7_AGE_KNOT_Y_0,IF(M115&gt;=V7_AGE_KNOT_X_5,V7_AGE_KNOT_Y_5,IF(M115&lt;=V7_AGE_KNOT_X_1,V7_AGE_KNOT_Y_0+(M115-V7_AGE_KNOT_X_0)/(V7_AGE_KNOT_X_1-V7_AGE_KNOT_X_0)*(V7_AGE_KNOT_Y_1-V7_AGE_KNOT_Y_0),IF(M115&lt;=V7_AGE_KNOT_X_2,V7_AGE_KNOT_Y_1+(M115-V7_AGE_KNOT_X_1)/(V7_AGE_KNOT_X_2-V7_AGE_KNOT_X_1)*(V7_AGE_KNOT_Y_2-V7_AGE_KNOT_Y_1),IF(M115&lt;=V7_AGE_KNOT_X_3,V7_AGE_KNOT_Y_2+(M115-V7_AGE_KNOT_X_2)/(V7_AGE_KNOT_X_3-V7_AGE_KNOT_X_2)*(V7_AGE_KNOT_Y_3-V7_AGE_KNOT_Y_2),IF(M115&lt;=V7_AGE_KNOT_X_4,V7_AGE_KNOT_Y_3+(M115-V7_AGE_KNOT_X_3)/(V7_AGE_KNOT_X_4-V7_AGE_KNOT_X_3)*(V7_AGE_KNOT_Y_4-V7_AGE_KNOT_Y_3),V7_AGE_KNOT_Y_4+(M115-V7_AGE_KNOT_X_4)/(V7_AGE_KNOT_X_5-V7_AGE_KNOT_X_4)*(V7_AGE_KNOT_Y_5-V7_AGE_KNOT_Y_4)))))))</f>
        <v/>
      </c>
      <c r="X115" s="26">
        <f>V7_RATE_FLOOR+V7_RATE_ASYMPTOTE/(1+EXP(-(V115-V7_RATE_MID)/V7_RATE_SLOPE))</f>
        <v/>
      </c>
      <c r="Y115" s="26">
        <f>MAX(V7_SIZE_LOW,MIN(V7_SIZE_HIGH,V7_SIZE_INTERCEPT+V7_SIZE_SLOPE*(T115-V7_SIZE_LOG_ANCHOR)))</f>
        <v/>
      </c>
      <c r="Z115" s="26">
        <f>IF(ISNUMBER(SEARCH("232",E115)),VLOOKUP("232",V7_PROGRAM_TABLE,2,FALSE),IF(ISNUMBER(SEARCH("538",E115)),VLOOKUP("538",V7_PROGRAM_TABLE,2,FALSE),IF(ISNUMBER(SEARCH("223a7",E115)),VLOOKUP("223a7",V7_PROGRAM_TABLE,2,FALSE),IF(ISNUMBER(SEARCH("223f",E115)),VLOOKUP("223f",V7_PROGRAM_TABLE,2,FALSE),V7_PROGRAM_DEFAULT))))</f>
        <v/>
      </c>
      <c r="AA115" s="26">
        <f>IF(S115=1,1+V7_PURPOSE_NC_BUMP*MAX(0,1-ABS(M115-V7_PURPOSE_PEAK_AGE)/V7_PURPOSE_WIDTH),1)</f>
        <v/>
      </c>
      <c r="AB115" s="26">
        <f>IF(AND(IF(OR(P115="",NOT(ISNUMBER(P115))),0,MAX(0,MIN(24,(INT(VALUE(H115)/100)-INT(P115/100))*12+MOD(VALUE(H115),100)-MOD(P115,100))))&gt;0,IF(OR(P115="",NOT(ISNUMBER(P115))),0,MAX(0,MIN(24,(INT(VALUE(H115)/100)-INT(P115/100))*12+MOD(VALUE(H115),100)-MOD(P115,100))))&lt;=12),1+V7_LOCKOUT_AMP*EXP(-(IF(OR(P115="",NOT(ISNUMBER(P115))),0,MAX(0,MIN(24,(INT(VALUE(H115)/100)-INT(P115/100))*12+MOD(VALUE(H115),100)-MOD(P115,100)))))/V7_LOCKOUT_TAU),1)</f>
        <v/>
      </c>
      <c r="AC115" s="26">
        <f>IF(IF(OR(O115="",NOT(ISNUMBER(O115))),360,MAX(0,MIN(480,(INT(O115/100)-INT(VALUE(H115)/100))*12+MOD(O115,100)-MOD(VALUE(H115),100))))&gt;0,1+V7_MTY_AMP*MAX(0,(V7_MTY_CUTOFF-(IF(OR(O115="",NOT(ISNUMBER(O115))),360,MAX(0,MIN(480,(INT(O115/100)-INT(VALUE(H115)/100))*12+MOD(O115,100)-MOD(VALUE(H115),100))))))/V7_MTY_CUTOFF),1)</f>
        <v/>
      </c>
      <c r="AD115" s="26">
        <f>MAX(V7_BURN_FLOOR,1-V7_BURN_SLOPE*MIN(1,MAX(0,R115)))</f>
        <v/>
      </c>
      <c r="AE115" s="26">
        <f>IF(V7_USE_ISSUER=1,IFERROR(VLOOKUP(Q115,V7_ISSUER_TABLE,3,FALSE),1),1)</f>
        <v/>
      </c>
      <c r="AF115" s="26">
        <f>PRODUCT(W115:AE115)</f>
        <v/>
      </c>
      <c r="AG115" s="27">
        <f>MIN(V7_BASE_SMM*AF115,V7_SMM_CAP)</f>
        <v/>
      </c>
      <c r="AH115" s="28">
        <f>1-(1-AG115)^12</f>
        <v/>
      </c>
      <c r="AI115" s="28">
        <f>IFERROR(LN(W115)/(LN(W115)+LN(X115)+LN(Y115)+LN(Z115)+LN(AA115)+LN(AB115)+LN(AC115)+LN(AD115))*(AH115-V7_BASE_CPR),0)</f>
        <v/>
      </c>
      <c r="AJ115" s="28">
        <f>IFERROR(LN(X115)/(LN(W115)+LN(X115)+LN(Y115)+LN(Z115)+LN(AA115)+LN(AB115)+LN(AC115)+LN(AD115))*(AH115-V7_BASE_CPR),0)</f>
        <v/>
      </c>
      <c r="AK115" s="28">
        <f>IFERROR(LN(Y115)/(LN(W115)+LN(X115)+LN(Y115)+LN(Z115)+LN(AA115)+LN(AB115)+LN(AC115)+LN(AD115))*(AH115-V7_BASE_CPR),0)</f>
        <v/>
      </c>
      <c r="AL115" s="28">
        <f>IFERROR(LN(Z115)/(LN(W115)+LN(X115)+LN(Y115)+LN(Z115)+LN(AA115)+LN(AB115)+LN(AC115)+LN(AD115))*(AH115-V7_BASE_CPR),0)</f>
        <v/>
      </c>
      <c r="AM115" s="28">
        <f>IFERROR(LN(AA115)/(LN(W115)+LN(X115)+LN(Y115)+LN(Z115)+LN(AA115)+LN(AB115)+LN(AC115)+LN(AD115))*(AH115-V7_BASE_CPR),0)</f>
        <v/>
      </c>
      <c r="AN115" s="28">
        <f>IFERROR(LN(AB115)/(LN(W115)+LN(X115)+LN(Y115)+LN(Z115)+LN(AA115)+LN(AB115)+LN(AC115)+LN(AD115))*(AH115-V7_BASE_CPR),0)</f>
        <v/>
      </c>
      <c r="AO115" s="28">
        <f>IFERROR(LN(AC115)/(LN(W115)+LN(X115)+LN(Y115)+LN(Z115)+LN(AA115)+LN(AB115)+LN(AC115)+LN(AD115))*(AH115-V7_BASE_CPR),0)</f>
        <v/>
      </c>
      <c r="AP115" s="28">
        <f>IFERROR(LN(AD115)/(LN(W115)+LN(X115)+LN(Y115)+LN(Z115)+LN(AA115)+LN(AB115)+LN(AC115)+LN(AD115))*(AH115-V7_BASE_CPR),0)</f>
        <v/>
      </c>
      <c r="AQ115" s="29">
        <f>V7_BASE_CPR+SUM(AI115:AP115)-AH115</f>
        <v/>
      </c>
    </row>
    <row r="116">
      <c r="A116" s="2" t="inlineStr">
        <is>
          <t>3617GNAF7_011001803759912</t>
        </is>
      </c>
      <c r="B116" t="inlineStr">
        <is>
          <t>GREYSTONE_PRE21</t>
        </is>
      </c>
      <c r="C116" s="2" t="inlineStr">
        <is>
          <t>3617GNAF7</t>
        </is>
      </c>
      <c r="D116" t="inlineStr">
        <is>
          <t>GREYSTONE SERVICING COMPANY LLC</t>
        </is>
      </c>
      <c r="E116" t="inlineStr">
        <is>
          <t>538</t>
        </is>
      </c>
      <c r="F116" t="inlineStr">
        <is>
          <t>538</t>
        </is>
      </c>
      <c r="G116" t="n">
        <v>2018</v>
      </c>
      <c r="H116" t="inlineStr">
        <is>
          <t>202602</t>
        </is>
      </c>
      <c r="I116" s="22" t="n">
        <v>859779.96</v>
      </c>
      <c r="J116" s="23" t="n">
        <v>4.5</v>
      </c>
      <c r="K116" s="24" t="n">
        <v>447</v>
      </c>
      <c r="L116" s="24" t="n">
        <v>3</v>
      </c>
      <c r="M116" t="n">
        <v>95</v>
      </c>
      <c r="N116" s="25" t="n">
        <v>38</v>
      </c>
      <c r="O116" t="n">
        <v>205804</v>
      </c>
      <c r="P116" t="inlineStr"/>
      <c r="Q116" t="inlineStr">
        <is>
          <t>3500</t>
        </is>
      </c>
      <c r="R116" s="26" t="n">
        <v>0.4</v>
      </c>
      <c r="S116" t="n">
        <v>0</v>
      </c>
      <c r="T116" s="23">
        <f>LN(1+I116)</f>
        <v/>
      </c>
      <c r="U116" s="24">
        <f>J116*100-K116</f>
        <v/>
      </c>
      <c r="V116" s="24">
        <f>U116-12.5*(L116+1)</f>
        <v/>
      </c>
      <c r="W116" s="26">
        <f>IF(M116&lt;=V7_AGE_KNOT_X_0,V7_AGE_KNOT_Y_0,IF(M116&gt;=V7_AGE_KNOT_X_5,V7_AGE_KNOT_Y_5,IF(M116&lt;=V7_AGE_KNOT_X_1,V7_AGE_KNOT_Y_0+(M116-V7_AGE_KNOT_X_0)/(V7_AGE_KNOT_X_1-V7_AGE_KNOT_X_0)*(V7_AGE_KNOT_Y_1-V7_AGE_KNOT_Y_0),IF(M116&lt;=V7_AGE_KNOT_X_2,V7_AGE_KNOT_Y_1+(M116-V7_AGE_KNOT_X_1)/(V7_AGE_KNOT_X_2-V7_AGE_KNOT_X_1)*(V7_AGE_KNOT_Y_2-V7_AGE_KNOT_Y_1),IF(M116&lt;=V7_AGE_KNOT_X_3,V7_AGE_KNOT_Y_2+(M116-V7_AGE_KNOT_X_2)/(V7_AGE_KNOT_X_3-V7_AGE_KNOT_X_2)*(V7_AGE_KNOT_Y_3-V7_AGE_KNOT_Y_2),IF(M116&lt;=V7_AGE_KNOT_X_4,V7_AGE_KNOT_Y_3+(M116-V7_AGE_KNOT_X_3)/(V7_AGE_KNOT_X_4-V7_AGE_KNOT_X_3)*(V7_AGE_KNOT_Y_4-V7_AGE_KNOT_Y_3),V7_AGE_KNOT_Y_4+(M116-V7_AGE_KNOT_X_4)/(V7_AGE_KNOT_X_5-V7_AGE_KNOT_X_4)*(V7_AGE_KNOT_Y_5-V7_AGE_KNOT_Y_4)))))))</f>
        <v/>
      </c>
      <c r="X116" s="26">
        <f>V7_RATE_FLOOR+V7_RATE_ASYMPTOTE/(1+EXP(-(V116-V7_RATE_MID)/V7_RATE_SLOPE))</f>
        <v/>
      </c>
      <c r="Y116" s="26">
        <f>MAX(V7_SIZE_LOW,MIN(V7_SIZE_HIGH,V7_SIZE_INTERCEPT+V7_SIZE_SLOPE*(T116-V7_SIZE_LOG_ANCHOR)))</f>
        <v/>
      </c>
      <c r="Z116" s="26">
        <f>IF(ISNUMBER(SEARCH("232",E116)),VLOOKUP("232",V7_PROGRAM_TABLE,2,FALSE),IF(ISNUMBER(SEARCH("538",E116)),VLOOKUP("538",V7_PROGRAM_TABLE,2,FALSE),IF(ISNUMBER(SEARCH("223a7",E116)),VLOOKUP("223a7",V7_PROGRAM_TABLE,2,FALSE),IF(ISNUMBER(SEARCH("223f",E116)),VLOOKUP("223f",V7_PROGRAM_TABLE,2,FALSE),V7_PROGRAM_DEFAULT))))</f>
        <v/>
      </c>
      <c r="AA116" s="26">
        <f>IF(S116=1,1+V7_PURPOSE_NC_BUMP*MAX(0,1-ABS(M116-V7_PURPOSE_PEAK_AGE)/V7_PURPOSE_WIDTH),1)</f>
        <v/>
      </c>
      <c r="AB116" s="26">
        <f>IF(AND(IF(OR(P116="",NOT(ISNUMBER(P116))),0,MAX(0,MIN(24,(INT(VALUE(H116)/100)-INT(P116/100))*12+MOD(VALUE(H116),100)-MOD(P116,100))))&gt;0,IF(OR(P116="",NOT(ISNUMBER(P116))),0,MAX(0,MIN(24,(INT(VALUE(H116)/100)-INT(P116/100))*12+MOD(VALUE(H116),100)-MOD(P116,100))))&lt;=12),1+V7_LOCKOUT_AMP*EXP(-(IF(OR(P116="",NOT(ISNUMBER(P116))),0,MAX(0,MIN(24,(INT(VALUE(H116)/100)-INT(P116/100))*12+MOD(VALUE(H116),100)-MOD(P116,100)))))/V7_LOCKOUT_TAU),1)</f>
        <v/>
      </c>
      <c r="AC116" s="26">
        <f>IF(IF(OR(O116="",NOT(ISNUMBER(O116))),360,MAX(0,MIN(480,(INT(O116/100)-INT(VALUE(H116)/100))*12+MOD(O116,100)-MOD(VALUE(H116),100))))&gt;0,1+V7_MTY_AMP*MAX(0,(V7_MTY_CUTOFF-(IF(OR(O116="",NOT(ISNUMBER(O116))),360,MAX(0,MIN(480,(INT(O116/100)-INT(VALUE(H116)/100))*12+MOD(O116,100)-MOD(VALUE(H116),100))))))/V7_MTY_CUTOFF),1)</f>
        <v/>
      </c>
      <c r="AD116" s="26">
        <f>MAX(V7_BURN_FLOOR,1-V7_BURN_SLOPE*MIN(1,MAX(0,R116)))</f>
        <v/>
      </c>
      <c r="AE116" s="26">
        <f>IF(V7_USE_ISSUER=1,IFERROR(VLOOKUP(Q116,V7_ISSUER_TABLE,3,FALSE),1),1)</f>
        <v/>
      </c>
      <c r="AF116" s="26">
        <f>PRODUCT(W116:AE116)</f>
        <v/>
      </c>
      <c r="AG116" s="27">
        <f>MIN(V7_BASE_SMM*AF116,V7_SMM_CAP)</f>
        <v/>
      </c>
      <c r="AH116" s="28">
        <f>1-(1-AG116)^12</f>
        <v/>
      </c>
      <c r="AI116" s="28">
        <f>IFERROR(LN(W116)/(LN(W116)+LN(X116)+LN(Y116)+LN(Z116)+LN(AA116)+LN(AB116)+LN(AC116)+LN(AD116))*(AH116-V7_BASE_CPR),0)</f>
        <v/>
      </c>
      <c r="AJ116" s="28">
        <f>IFERROR(LN(X116)/(LN(W116)+LN(X116)+LN(Y116)+LN(Z116)+LN(AA116)+LN(AB116)+LN(AC116)+LN(AD116))*(AH116-V7_BASE_CPR),0)</f>
        <v/>
      </c>
      <c r="AK116" s="28">
        <f>IFERROR(LN(Y116)/(LN(W116)+LN(X116)+LN(Y116)+LN(Z116)+LN(AA116)+LN(AB116)+LN(AC116)+LN(AD116))*(AH116-V7_BASE_CPR),0)</f>
        <v/>
      </c>
      <c r="AL116" s="28">
        <f>IFERROR(LN(Z116)/(LN(W116)+LN(X116)+LN(Y116)+LN(Z116)+LN(AA116)+LN(AB116)+LN(AC116)+LN(AD116))*(AH116-V7_BASE_CPR),0)</f>
        <v/>
      </c>
      <c r="AM116" s="28">
        <f>IFERROR(LN(AA116)/(LN(W116)+LN(X116)+LN(Y116)+LN(Z116)+LN(AA116)+LN(AB116)+LN(AC116)+LN(AD116))*(AH116-V7_BASE_CPR),0)</f>
        <v/>
      </c>
      <c r="AN116" s="28">
        <f>IFERROR(LN(AB116)/(LN(W116)+LN(X116)+LN(Y116)+LN(Z116)+LN(AA116)+LN(AB116)+LN(AC116)+LN(AD116))*(AH116-V7_BASE_CPR),0)</f>
        <v/>
      </c>
      <c r="AO116" s="28">
        <f>IFERROR(LN(AC116)/(LN(W116)+LN(X116)+LN(Y116)+LN(Z116)+LN(AA116)+LN(AB116)+LN(AC116)+LN(AD116))*(AH116-V7_BASE_CPR),0)</f>
        <v/>
      </c>
      <c r="AP116" s="28">
        <f>IFERROR(LN(AD116)/(LN(W116)+LN(X116)+LN(Y116)+LN(Z116)+LN(AA116)+LN(AB116)+LN(AC116)+LN(AD116))*(AH116-V7_BASE_CPR),0)</f>
        <v/>
      </c>
      <c r="AQ116" s="29">
        <f>V7_BASE_CPR+SUM(AI116:AP116)-AH116</f>
        <v/>
      </c>
    </row>
    <row r="117">
      <c r="A117" s="2" t="inlineStr">
        <is>
          <t>3617GNAK6_010020895936416</t>
        </is>
      </c>
      <c r="B117" t="inlineStr">
        <is>
          <t>GREYSTONE_PRE21</t>
        </is>
      </c>
      <c r="C117" s="2" t="inlineStr">
        <is>
          <t>3617GNAK6</t>
        </is>
      </c>
      <c r="D117" t="inlineStr">
        <is>
          <t>GREYSTONE SERVICING COMPANY LLC</t>
        </is>
      </c>
      <c r="E117" t="inlineStr">
        <is>
          <t>538</t>
        </is>
      </c>
      <c r="F117" t="inlineStr">
        <is>
          <t>538</t>
        </is>
      </c>
      <c r="G117" t="n">
        <v>2018</v>
      </c>
      <c r="H117" t="inlineStr">
        <is>
          <t>202602</t>
        </is>
      </c>
      <c r="I117" s="22" t="n">
        <v>1338183.97</v>
      </c>
      <c r="J117" s="23" t="n">
        <v>4.5</v>
      </c>
      <c r="K117" s="24" t="n">
        <v>447</v>
      </c>
      <c r="L117" s="24" t="n">
        <v>4</v>
      </c>
      <c r="M117" t="n">
        <v>95</v>
      </c>
      <c r="N117" s="25" t="n">
        <v>34</v>
      </c>
      <c r="O117" t="n">
        <v>205804</v>
      </c>
      <c r="P117" t="inlineStr"/>
      <c r="Q117" t="inlineStr">
        <is>
          <t>3500</t>
        </is>
      </c>
      <c r="R117" s="26" t="n">
        <v>0.3578947368421053</v>
      </c>
      <c r="S117" t="n">
        <v>0</v>
      </c>
      <c r="T117" s="23">
        <f>LN(1+I117)</f>
        <v/>
      </c>
      <c r="U117" s="24">
        <f>J117*100-K117</f>
        <v/>
      </c>
      <c r="V117" s="24">
        <f>U117-12.5*(L117+1)</f>
        <v/>
      </c>
      <c r="W117" s="26">
        <f>IF(M117&lt;=V7_AGE_KNOT_X_0,V7_AGE_KNOT_Y_0,IF(M117&gt;=V7_AGE_KNOT_X_5,V7_AGE_KNOT_Y_5,IF(M117&lt;=V7_AGE_KNOT_X_1,V7_AGE_KNOT_Y_0+(M117-V7_AGE_KNOT_X_0)/(V7_AGE_KNOT_X_1-V7_AGE_KNOT_X_0)*(V7_AGE_KNOT_Y_1-V7_AGE_KNOT_Y_0),IF(M117&lt;=V7_AGE_KNOT_X_2,V7_AGE_KNOT_Y_1+(M117-V7_AGE_KNOT_X_1)/(V7_AGE_KNOT_X_2-V7_AGE_KNOT_X_1)*(V7_AGE_KNOT_Y_2-V7_AGE_KNOT_Y_1),IF(M117&lt;=V7_AGE_KNOT_X_3,V7_AGE_KNOT_Y_2+(M117-V7_AGE_KNOT_X_2)/(V7_AGE_KNOT_X_3-V7_AGE_KNOT_X_2)*(V7_AGE_KNOT_Y_3-V7_AGE_KNOT_Y_2),IF(M117&lt;=V7_AGE_KNOT_X_4,V7_AGE_KNOT_Y_3+(M117-V7_AGE_KNOT_X_3)/(V7_AGE_KNOT_X_4-V7_AGE_KNOT_X_3)*(V7_AGE_KNOT_Y_4-V7_AGE_KNOT_Y_3),V7_AGE_KNOT_Y_4+(M117-V7_AGE_KNOT_X_4)/(V7_AGE_KNOT_X_5-V7_AGE_KNOT_X_4)*(V7_AGE_KNOT_Y_5-V7_AGE_KNOT_Y_4)))))))</f>
        <v/>
      </c>
      <c r="X117" s="26">
        <f>V7_RATE_FLOOR+V7_RATE_ASYMPTOTE/(1+EXP(-(V117-V7_RATE_MID)/V7_RATE_SLOPE))</f>
        <v/>
      </c>
      <c r="Y117" s="26">
        <f>MAX(V7_SIZE_LOW,MIN(V7_SIZE_HIGH,V7_SIZE_INTERCEPT+V7_SIZE_SLOPE*(T117-V7_SIZE_LOG_ANCHOR)))</f>
        <v/>
      </c>
      <c r="Z117" s="26">
        <f>IF(ISNUMBER(SEARCH("232",E117)),VLOOKUP("232",V7_PROGRAM_TABLE,2,FALSE),IF(ISNUMBER(SEARCH("538",E117)),VLOOKUP("538",V7_PROGRAM_TABLE,2,FALSE),IF(ISNUMBER(SEARCH("223a7",E117)),VLOOKUP("223a7",V7_PROGRAM_TABLE,2,FALSE),IF(ISNUMBER(SEARCH("223f",E117)),VLOOKUP("223f",V7_PROGRAM_TABLE,2,FALSE),V7_PROGRAM_DEFAULT))))</f>
        <v/>
      </c>
      <c r="AA117" s="26">
        <f>IF(S117=1,1+V7_PURPOSE_NC_BUMP*MAX(0,1-ABS(M117-V7_PURPOSE_PEAK_AGE)/V7_PURPOSE_WIDTH),1)</f>
        <v/>
      </c>
      <c r="AB117" s="26">
        <f>IF(AND(IF(OR(P117="",NOT(ISNUMBER(P117))),0,MAX(0,MIN(24,(INT(VALUE(H117)/100)-INT(P117/100))*12+MOD(VALUE(H117),100)-MOD(P117,100))))&gt;0,IF(OR(P117="",NOT(ISNUMBER(P117))),0,MAX(0,MIN(24,(INT(VALUE(H117)/100)-INT(P117/100))*12+MOD(VALUE(H117),100)-MOD(P117,100))))&lt;=12),1+V7_LOCKOUT_AMP*EXP(-(IF(OR(P117="",NOT(ISNUMBER(P117))),0,MAX(0,MIN(24,(INT(VALUE(H117)/100)-INT(P117/100))*12+MOD(VALUE(H117),100)-MOD(P117,100)))))/V7_LOCKOUT_TAU),1)</f>
        <v/>
      </c>
      <c r="AC117" s="26">
        <f>IF(IF(OR(O117="",NOT(ISNUMBER(O117))),360,MAX(0,MIN(480,(INT(O117/100)-INT(VALUE(H117)/100))*12+MOD(O117,100)-MOD(VALUE(H117),100))))&gt;0,1+V7_MTY_AMP*MAX(0,(V7_MTY_CUTOFF-(IF(OR(O117="",NOT(ISNUMBER(O117))),360,MAX(0,MIN(480,(INT(O117/100)-INT(VALUE(H117)/100))*12+MOD(O117,100)-MOD(VALUE(H117),100))))))/V7_MTY_CUTOFF),1)</f>
        <v/>
      </c>
      <c r="AD117" s="26">
        <f>MAX(V7_BURN_FLOOR,1-V7_BURN_SLOPE*MIN(1,MAX(0,R117)))</f>
        <v/>
      </c>
      <c r="AE117" s="26">
        <f>IF(V7_USE_ISSUER=1,IFERROR(VLOOKUP(Q117,V7_ISSUER_TABLE,3,FALSE),1),1)</f>
        <v/>
      </c>
      <c r="AF117" s="26">
        <f>PRODUCT(W117:AE117)</f>
        <v/>
      </c>
      <c r="AG117" s="27">
        <f>MIN(V7_BASE_SMM*AF117,V7_SMM_CAP)</f>
        <v/>
      </c>
      <c r="AH117" s="28">
        <f>1-(1-AG117)^12</f>
        <v/>
      </c>
      <c r="AI117" s="28">
        <f>IFERROR(LN(W117)/(LN(W117)+LN(X117)+LN(Y117)+LN(Z117)+LN(AA117)+LN(AB117)+LN(AC117)+LN(AD117))*(AH117-V7_BASE_CPR),0)</f>
        <v/>
      </c>
      <c r="AJ117" s="28">
        <f>IFERROR(LN(X117)/(LN(W117)+LN(X117)+LN(Y117)+LN(Z117)+LN(AA117)+LN(AB117)+LN(AC117)+LN(AD117))*(AH117-V7_BASE_CPR),0)</f>
        <v/>
      </c>
      <c r="AK117" s="28">
        <f>IFERROR(LN(Y117)/(LN(W117)+LN(X117)+LN(Y117)+LN(Z117)+LN(AA117)+LN(AB117)+LN(AC117)+LN(AD117))*(AH117-V7_BASE_CPR),0)</f>
        <v/>
      </c>
      <c r="AL117" s="28">
        <f>IFERROR(LN(Z117)/(LN(W117)+LN(X117)+LN(Y117)+LN(Z117)+LN(AA117)+LN(AB117)+LN(AC117)+LN(AD117))*(AH117-V7_BASE_CPR),0)</f>
        <v/>
      </c>
      <c r="AM117" s="28">
        <f>IFERROR(LN(AA117)/(LN(W117)+LN(X117)+LN(Y117)+LN(Z117)+LN(AA117)+LN(AB117)+LN(AC117)+LN(AD117))*(AH117-V7_BASE_CPR),0)</f>
        <v/>
      </c>
      <c r="AN117" s="28">
        <f>IFERROR(LN(AB117)/(LN(W117)+LN(X117)+LN(Y117)+LN(Z117)+LN(AA117)+LN(AB117)+LN(AC117)+LN(AD117))*(AH117-V7_BASE_CPR),0)</f>
        <v/>
      </c>
      <c r="AO117" s="28">
        <f>IFERROR(LN(AC117)/(LN(W117)+LN(X117)+LN(Y117)+LN(Z117)+LN(AA117)+LN(AB117)+LN(AC117)+LN(AD117))*(AH117-V7_BASE_CPR),0)</f>
        <v/>
      </c>
      <c r="AP117" s="28">
        <f>IFERROR(LN(AD117)/(LN(W117)+LN(X117)+LN(Y117)+LN(Z117)+LN(AA117)+LN(AB117)+LN(AC117)+LN(AD117))*(AH117-V7_BASE_CPR),0)</f>
        <v/>
      </c>
      <c r="AQ117" s="29">
        <f>V7_BASE_CPR+SUM(AI117:AP117)-AH117</f>
        <v/>
      </c>
    </row>
    <row r="118">
      <c r="A118" s="2" t="inlineStr">
        <is>
          <t>3617QMXL0_000000002311576</t>
        </is>
      </c>
      <c r="B118" t="inlineStr">
        <is>
          <t>MERCHANTS_PRE21</t>
        </is>
      </c>
      <c r="C118" s="2" t="inlineStr">
        <is>
          <t>3617QMXL0</t>
        </is>
      </c>
      <c r="D118" t="inlineStr">
        <is>
          <t>MERCHANTS CAPITAL CORP.</t>
        </is>
      </c>
      <c r="E118" t="inlineStr">
        <is>
          <t>223f</t>
        </is>
      </c>
      <c r="F118" t="inlineStr">
        <is>
          <t>RP</t>
        </is>
      </c>
      <c r="G118" t="n">
        <v>2020</v>
      </c>
      <c r="H118" t="inlineStr">
        <is>
          <t>202602</t>
        </is>
      </c>
      <c r="I118" s="22" t="n">
        <v>10194656.76</v>
      </c>
      <c r="J118" s="23" t="n">
        <v>2.2</v>
      </c>
      <c r="K118" s="24" t="n">
        <v>447</v>
      </c>
      <c r="L118" s="24" t="n">
        <v>5</v>
      </c>
      <c r="M118" t="n">
        <v>62</v>
      </c>
      <c r="N118" s="25" t="n">
        <v>0</v>
      </c>
      <c r="O118" t="n">
        <v>205601</v>
      </c>
      <c r="P118" t="inlineStr"/>
      <c r="Q118" t="inlineStr">
        <is>
          <t>3487</t>
        </is>
      </c>
      <c r="R118" s="26" t="n">
        <v>0</v>
      </c>
      <c r="S118" t="n">
        <v>0</v>
      </c>
      <c r="T118" s="23">
        <f>LN(1+I118)</f>
        <v/>
      </c>
      <c r="U118" s="24">
        <f>J118*100-K118</f>
        <v/>
      </c>
      <c r="V118" s="24">
        <f>U118-12.5*(L118+1)</f>
        <v/>
      </c>
      <c r="W118" s="26">
        <f>IF(M118&lt;=V7_AGE_KNOT_X_0,V7_AGE_KNOT_Y_0,IF(M118&gt;=V7_AGE_KNOT_X_5,V7_AGE_KNOT_Y_5,IF(M118&lt;=V7_AGE_KNOT_X_1,V7_AGE_KNOT_Y_0+(M118-V7_AGE_KNOT_X_0)/(V7_AGE_KNOT_X_1-V7_AGE_KNOT_X_0)*(V7_AGE_KNOT_Y_1-V7_AGE_KNOT_Y_0),IF(M118&lt;=V7_AGE_KNOT_X_2,V7_AGE_KNOT_Y_1+(M118-V7_AGE_KNOT_X_1)/(V7_AGE_KNOT_X_2-V7_AGE_KNOT_X_1)*(V7_AGE_KNOT_Y_2-V7_AGE_KNOT_Y_1),IF(M118&lt;=V7_AGE_KNOT_X_3,V7_AGE_KNOT_Y_2+(M118-V7_AGE_KNOT_X_2)/(V7_AGE_KNOT_X_3-V7_AGE_KNOT_X_2)*(V7_AGE_KNOT_Y_3-V7_AGE_KNOT_Y_2),IF(M118&lt;=V7_AGE_KNOT_X_4,V7_AGE_KNOT_Y_3+(M118-V7_AGE_KNOT_X_3)/(V7_AGE_KNOT_X_4-V7_AGE_KNOT_X_3)*(V7_AGE_KNOT_Y_4-V7_AGE_KNOT_Y_3),V7_AGE_KNOT_Y_4+(M118-V7_AGE_KNOT_X_4)/(V7_AGE_KNOT_X_5-V7_AGE_KNOT_X_4)*(V7_AGE_KNOT_Y_5-V7_AGE_KNOT_Y_4)))))))</f>
        <v/>
      </c>
      <c r="X118" s="26">
        <f>V7_RATE_FLOOR+V7_RATE_ASYMPTOTE/(1+EXP(-(V118-V7_RATE_MID)/V7_RATE_SLOPE))</f>
        <v/>
      </c>
      <c r="Y118" s="26">
        <f>MAX(V7_SIZE_LOW,MIN(V7_SIZE_HIGH,V7_SIZE_INTERCEPT+V7_SIZE_SLOPE*(T118-V7_SIZE_LOG_ANCHOR)))</f>
        <v/>
      </c>
      <c r="Z118" s="26">
        <f>IF(ISNUMBER(SEARCH("232",E118)),VLOOKUP("232",V7_PROGRAM_TABLE,2,FALSE),IF(ISNUMBER(SEARCH("538",E118)),VLOOKUP("538",V7_PROGRAM_TABLE,2,FALSE),IF(ISNUMBER(SEARCH("223a7",E118)),VLOOKUP("223a7",V7_PROGRAM_TABLE,2,FALSE),IF(ISNUMBER(SEARCH("223f",E118)),VLOOKUP("223f",V7_PROGRAM_TABLE,2,FALSE),V7_PROGRAM_DEFAULT))))</f>
        <v/>
      </c>
      <c r="AA118" s="26">
        <f>IF(S118=1,1+V7_PURPOSE_NC_BUMP*MAX(0,1-ABS(M118-V7_PURPOSE_PEAK_AGE)/V7_PURPOSE_WIDTH),1)</f>
        <v/>
      </c>
      <c r="AB118" s="26">
        <f>IF(AND(IF(OR(P118="",NOT(ISNUMBER(P118))),0,MAX(0,MIN(24,(INT(VALUE(H118)/100)-INT(P118/100))*12+MOD(VALUE(H118),100)-MOD(P118,100))))&gt;0,IF(OR(P118="",NOT(ISNUMBER(P118))),0,MAX(0,MIN(24,(INT(VALUE(H118)/100)-INT(P118/100))*12+MOD(VALUE(H118),100)-MOD(P118,100))))&lt;=12),1+V7_LOCKOUT_AMP*EXP(-(IF(OR(P118="",NOT(ISNUMBER(P118))),0,MAX(0,MIN(24,(INT(VALUE(H118)/100)-INT(P118/100))*12+MOD(VALUE(H118),100)-MOD(P118,100)))))/V7_LOCKOUT_TAU),1)</f>
        <v/>
      </c>
      <c r="AC118" s="26">
        <f>IF(IF(OR(O118="",NOT(ISNUMBER(O118))),360,MAX(0,MIN(480,(INT(O118/100)-INT(VALUE(H118)/100))*12+MOD(O118,100)-MOD(VALUE(H118),100))))&gt;0,1+V7_MTY_AMP*MAX(0,(V7_MTY_CUTOFF-(IF(OR(O118="",NOT(ISNUMBER(O118))),360,MAX(0,MIN(480,(INT(O118/100)-INT(VALUE(H118)/100))*12+MOD(O118,100)-MOD(VALUE(H118),100))))))/V7_MTY_CUTOFF),1)</f>
        <v/>
      </c>
      <c r="AD118" s="26">
        <f>MAX(V7_BURN_FLOOR,1-V7_BURN_SLOPE*MIN(1,MAX(0,R118)))</f>
        <v/>
      </c>
      <c r="AE118" s="26">
        <f>IF(V7_USE_ISSUER=1,IFERROR(VLOOKUP(Q118,V7_ISSUER_TABLE,3,FALSE),1),1)</f>
        <v/>
      </c>
      <c r="AF118" s="26">
        <f>PRODUCT(W118:AE118)</f>
        <v/>
      </c>
      <c r="AG118" s="27">
        <f>MIN(V7_BASE_SMM*AF118,V7_SMM_CAP)</f>
        <v/>
      </c>
      <c r="AH118" s="28">
        <f>1-(1-AG118)^12</f>
        <v/>
      </c>
      <c r="AI118" s="28">
        <f>IFERROR(LN(W118)/(LN(W118)+LN(X118)+LN(Y118)+LN(Z118)+LN(AA118)+LN(AB118)+LN(AC118)+LN(AD118))*(AH118-V7_BASE_CPR),0)</f>
        <v/>
      </c>
      <c r="AJ118" s="28">
        <f>IFERROR(LN(X118)/(LN(W118)+LN(X118)+LN(Y118)+LN(Z118)+LN(AA118)+LN(AB118)+LN(AC118)+LN(AD118))*(AH118-V7_BASE_CPR),0)</f>
        <v/>
      </c>
      <c r="AK118" s="28">
        <f>IFERROR(LN(Y118)/(LN(W118)+LN(X118)+LN(Y118)+LN(Z118)+LN(AA118)+LN(AB118)+LN(AC118)+LN(AD118))*(AH118-V7_BASE_CPR),0)</f>
        <v/>
      </c>
      <c r="AL118" s="28">
        <f>IFERROR(LN(Z118)/(LN(W118)+LN(X118)+LN(Y118)+LN(Z118)+LN(AA118)+LN(AB118)+LN(AC118)+LN(AD118))*(AH118-V7_BASE_CPR),0)</f>
        <v/>
      </c>
      <c r="AM118" s="28">
        <f>IFERROR(LN(AA118)/(LN(W118)+LN(X118)+LN(Y118)+LN(Z118)+LN(AA118)+LN(AB118)+LN(AC118)+LN(AD118))*(AH118-V7_BASE_CPR),0)</f>
        <v/>
      </c>
      <c r="AN118" s="28">
        <f>IFERROR(LN(AB118)/(LN(W118)+LN(X118)+LN(Y118)+LN(Z118)+LN(AA118)+LN(AB118)+LN(AC118)+LN(AD118))*(AH118-V7_BASE_CPR),0)</f>
        <v/>
      </c>
      <c r="AO118" s="28">
        <f>IFERROR(LN(AC118)/(LN(W118)+LN(X118)+LN(Y118)+LN(Z118)+LN(AA118)+LN(AB118)+LN(AC118)+LN(AD118))*(AH118-V7_BASE_CPR),0)</f>
        <v/>
      </c>
      <c r="AP118" s="28">
        <f>IFERROR(LN(AD118)/(LN(W118)+LN(X118)+LN(Y118)+LN(Z118)+LN(AA118)+LN(AB118)+LN(AC118)+LN(AD118))*(AH118-V7_BASE_CPR),0)</f>
        <v/>
      </c>
      <c r="AQ118" s="29">
        <f>V7_BASE_CPR+SUM(AI118:AP118)-AH118</f>
        <v/>
      </c>
    </row>
    <row r="119">
      <c r="A119" s="2" t="inlineStr">
        <is>
          <t>3618AABA9_000000007522246</t>
        </is>
      </c>
      <c r="B119" t="inlineStr">
        <is>
          <t>MERCHANTS_POST21</t>
        </is>
      </c>
      <c r="C119" s="2" t="inlineStr">
        <is>
          <t>3618AABA9</t>
        </is>
      </c>
      <c r="D119" t="inlineStr">
        <is>
          <t>MERCHANTS CAPITAL CORP.</t>
        </is>
      </c>
      <c r="E119" t="inlineStr">
        <is>
          <t>232</t>
        </is>
      </c>
      <c r="F119" t="inlineStr">
        <is>
          <t>RP</t>
        </is>
      </c>
      <c r="G119" t="n">
        <v>2022</v>
      </c>
      <c r="H119" t="inlineStr">
        <is>
          <t>202602</t>
        </is>
      </c>
      <c r="I119" s="22" t="n">
        <v>3906768.91</v>
      </c>
      <c r="J119" s="23" t="n">
        <v>4</v>
      </c>
      <c r="K119" s="24" t="n">
        <v>447</v>
      </c>
      <c r="L119" s="24" t="n">
        <v>7</v>
      </c>
      <c r="M119" t="n">
        <v>40</v>
      </c>
      <c r="N119" s="25" t="n">
        <v>0</v>
      </c>
      <c r="O119" t="n">
        <v>205711</v>
      </c>
      <c r="P119" t="inlineStr"/>
      <c r="Q119" t="inlineStr">
        <is>
          <t>3487</t>
        </is>
      </c>
      <c r="R119" s="26" t="n">
        <v>0</v>
      </c>
      <c r="S119" t="n">
        <v>0</v>
      </c>
      <c r="T119" s="23">
        <f>LN(1+I119)</f>
        <v/>
      </c>
      <c r="U119" s="24">
        <f>J119*100-K119</f>
        <v/>
      </c>
      <c r="V119" s="24">
        <f>U119-12.5*(L119+1)</f>
        <v/>
      </c>
      <c r="W119" s="26">
        <f>IF(M119&lt;=V7_AGE_KNOT_X_0,V7_AGE_KNOT_Y_0,IF(M119&gt;=V7_AGE_KNOT_X_5,V7_AGE_KNOT_Y_5,IF(M119&lt;=V7_AGE_KNOT_X_1,V7_AGE_KNOT_Y_0+(M119-V7_AGE_KNOT_X_0)/(V7_AGE_KNOT_X_1-V7_AGE_KNOT_X_0)*(V7_AGE_KNOT_Y_1-V7_AGE_KNOT_Y_0),IF(M119&lt;=V7_AGE_KNOT_X_2,V7_AGE_KNOT_Y_1+(M119-V7_AGE_KNOT_X_1)/(V7_AGE_KNOT_X_2-V7_AGE_KNOT_X_1)*(V7_AGE_KNOT_Y_2-V7_AGE_KNOT_Y_1),IF(M119&lt;=V7_AGE_KNOT_X_3,V7_AGE_KNOT_Y_2+(M119-V7_AGE_KNOT_X_2)/(V7_AGE_KNOT_X_3-V7_AGE_KNOT_X_2)*(V7_AGE_KNOT_Y_3-V7_AGE_KNOT_Y_2),IF(M119&lt;=V7_AGE_KNOT_X_4,V7_AGE_KNOT_Y_3+(M119-V7_AGE_KNOT_X_3)/(V7_AGE_KNOT_X_4-V7_AGE_KNOT_X_3)*(V7_AGE_KNOT_Y_4-V7_AGE_KNOT_Y_3),V7_AGE_KNOT_Y_4+(M119-V7_AGE_KNOT_X_4)/(V7_AGE_KNOT_X_5-V7_AGE_KNOT_X_4)*(V7_AGE_KNOT_Y_5-V7_AGE_KNOT_Y_4)))))))</f>
        <v/>
      </c>
      <c r="X119" s="26">
        <f>V7_RATE_FLOOR+V7_RATE_ASYMPTOTE/(1+EXP(-(V119-V7_RATE_MID)/V7_RATE_SLOPE))</f>
        <v/>
      </c>
      <c r="Y119" s="26">
        <f>MAX(V7_SIZE_LOW,MIN(V7_SIZE_HIGH,V7_SIZE_INTERCEPT+V7_SIZE_SLOPE*(T119-V7_SIZE_LOG_ANCHOR)))</f>
        <v/>
      </c>
      <c r="Z119" s="26">
        <f>IF(ISNUMBER(SEARCH("232",E119)),VLOOKUP("232",V7_PROGRAM_TABLE,2,FALSE),IF(ISNUMBER(SEARCH("538",E119)),VLOOKUP("538",V7_PROGRAM_TABLE,2,FALSE),IF(ISNUMBER(SEARCH("223a7",E119)),VLOOKUP("223a7",V7_PROGRAM_TABLE,2,FALSE),IF(ISNUMBER(SEARCH("223f",E119)),VLOOKUP("223f",V7_PROGRAM_TABLE,2,FALSE),V7_PROGRAM_DEFAULT))))</f>
        <v/>
      </c>
      <c r="AA119" s="26">
        <f>IF(S119=1,1+V7_PURPOSE_NC_BUMP*MAX(0,1-ABS(M119-V7_PURPOSE_PEAK_AGE)/V7_PURPOSE_WIDTH),1)</f>
        <v/>
      </c>
      <c r="AB119" s="26">
        <f>IF(AND(IF(OR(P119="",NOT(ISNUMBER(P119))),0,MAX(0,MIN(24,(INT(VALUE(H119)/100)-INT(P119/100))*12+MOD(VALUE(H119),100)-MOD(P119,100))))&gt;0,IF(OR(P119="",NOT(ISNUMBER(P119))),0,MAX(0,MIN(24,(INT(VALUE(H119)/100)-INT(P119/100))*12+MOD(VALUE(H119),100)-MOD(P119,100))))&lt;=12),1+V7_LOCKOUT_AMP*EXP(-(IF(OR(P119="",NOT(ISNUMBER(P119))),0,MAX(0,MIN(24,(INT(VALUE(H119)/100)-INT(P119/100))*12+MOD(VALUE(H119),100)-MOD(P119,100)))))/V7_LOCKOUT_TAU),1)</f>
        <v/>
      </c>
      <c r="AC119" s="26">
        <f>IF(IF(OR(O119="",NOT(ISNUMBER(O119))),360,MAX(0,MIN(480,(INT(O119/100)-INT(VALUE(H119)/100))*12+MOD(O119,100)-MOD(VALUE(H119),100))))&gt;0,1+V7_MTY_AMP*MAX(0,(V7_MTY_CUTOFF-(IF(OR(O119="",NOT(ISNUMBER(O119))),360,MAX(0,MIN(480,(INT(O119/100)-INT(VALUE(H119)/100))*12+MOD(O119,100)-MOD(VALUE(H119),100))))))/V7_MTY_CUTOFF),1)</f>
        <v/>
      </c>
      <c r="AD119" s="26">
        <f>MAX(V7_BURN_FLOOR,1-V7_BURN_SLOPE*MIN(1,MAX(0,R119)))</f>
        <v/>
      </c>
      <c r="AE119" s="26">
        <f>IF(V7_USE_ISSUER=1,IFERROR(VLOOKUP(Q119,V7_ISSUER_TABLE,3,FALSE),1),1)</f>
        <v/>
      </c>
      <c r="AF119" s="26">
        <f>PRODUCT(W119:AE119)</f>
        <v/>
      </c>
      <c r="AG119" s="27">
        <f>MIN(V7_BASE_SMM*AF119,V7_SMM_CAP)</f>
        <v/>
      </c>
      <c r="AH119" s="28">
        <f>1-(1-AG119)^12</f>
        <v/>
      </c>
      <c r="AI119" s="28">
        <f>IFERROR(LN(W119)/(LN(W119)+LN(X119)+LN(Y119)+LN(Z119)+LN(AA119)+LN(AB119)+LN(AC119)+LN(AD119))*(AH119-V7_BASE_CPR),0)</f>
        <v/>
      </c>
      <c r="AJ119" s="28">
        <f>IFERROR(LN(X119)/(LN(W119)+LN(X119)+LN(Y119)+LN(Z119)+LN(AA119)+LN(AB119)+LN(AC119)+LN(AD119))*(AH119-V7_BASE_CPR),0)</f>
        <v/>
      </c>
      <c r="AK119" s="28">
        <f>IFERROR(LN(Y119)/(LN(W119)+LN(X119)+LN(Y119)+LN(Z119)+LN(AA119)+LN(AB119)+LN(AC119)+LN(AD119))*(AH119-V7_BASE_CPR),0)</f>
        <v/>
      </c>
      <c r="AL119" s="28">
        <f>IFERROR(LN(Z119)/(LN(W119)+LN(X119)+LN(Y119)+LN(Z119)+LN(AA119)+LN(AB119)+LN(AC119)+LN(AD119))*(AH119-V7_BASE_CPR),0)</f>
        <v/>
      </c>
      <c r="AM119" s="28">
        <f>IFERROR(LN(AA119)/(LN(W119)+LN(X119)+LN(Y119)+LN(Z119)+LN(AA119)+LN(AB119)+LN(AC119)+LN(AD119))*(AH119-V7_BASE_CPR),0)</f>
        <v/>
      </c>
      <c r="AN119" s="28">
        <f>IFERROR(LN(AB119)/(LN(W119)+LN(X119)+LN(Y119)+LN(Z119)+LN(AA119)+LN(AB119)+LN(AC119)+LN(AD119))*(AH119-V7_BASE_CPR),0)</f>
        <v/>
      </c>
      <c r="AO119" s="28">
        <f>IFERROR(LN(AC119)/(LN(W119)+LN(X119)+LN(Y119)+LN(Z119)+LN(AA119)+LN(AB119)+LN(AC119)+LN(AD119))*(AH119-V7_BASE_CPR),0)</f>
        <v/>
      </c>
      <c r="AP119" s="28">
        <f>IFERROR(LN(AD119)/(LN(W119)+LN(X119)+LN(Y119)+LN(Z119)+LN(AA119)+LN(AB119)+LN(AC119)+LN(AD119))*(AH119-V7_BASE_CPR),0)</f>
        <v/>
      </c>
      <c r="AQ119" s="29">
        <f>V7_BASE_CPR+SUM(AI119:AP119)-AH119</f>
        <v/>
      </c>
    </row>
    <row r="120">
      <c r="A120" s="2" t="inlineStr">
        <is>
          <t>36198T2P6_000000007311284</t>
        </is>
      </c>
      <c r="B120" t="inlineStr">
        <is>
          <t>MERCHANTS_PRE21</t>
        </is>
      </c>
      <c r="C120" s="2" t="inlineStr">
        <is>
          <t>36198T2P6</t>
        </is>
      </c>
      <c r="D120" t="inlineStr">
        <is>
          <t>MERCHANTS CAPITAL CORP.</t>
        </is>
      </c>
      <c r="E120" t="inlineStr">
        <is>
          <t>223f</t>
        </is>
      </c>
      <c r="F120" t="inlineStr">
        <is>
          <t>RP</t>
        </is>
      </c>
      <c r="G120" t="n">
        <v>2004</v>
      </c>
      <c r="H120" t="inlineStr">
        <is>
          <t>202602</t>
        </is>
      </c>
      <c r="I120" s="22" t="n">
        <v>25063.28</v>
      </c>
      <c r="J120" s="23" t="n">
        <v>3.45</v>
      </c>
      <c r="K120" s="24" t="n">
        <v>447</v>
      </c>
      <c r="L120" s="24" t="n">
        <v>0</v>
      </c>
      <c r="M120" t="n">
        <v>258</v>
      </c>
      <c r="N120" s="25" t="n">
        <v>30</v>
      </c>
      <c r="O120" t="n">
        <v>202609</v>
      </c>
      <c r="P120" t="inlineStr"/>
      <c r="Q120" t="inlineStr">
        <is>
          <t>3487</t>
        </is>
      </c>
      <c r="R120" s="26" t="n">
        <v>0.1162790697674419</v>
      </c>
      <c r="S120" t="n">
        <v>0</v>
      </c>
      <c r="T120" s="23">
        <f>LN(1+I120)</f>
        <v/>
      </c>
      <c r="U120" s="24">
        <f>J120*100-K120</f>
        <v/>
      </c>
      <c r="V120" s="24">
        <f>U120-12.5*(L120+1)</f>
        <v/>
      </c>
      <c r="W120" s="26">
        <f>IF(M120&lt;=V7_AGE_KNOT_X_0,V7_AGE_KNOT_Y_0,IF(M120&gt;=V7_AGE_KNOT_X_5,V7_AGE_KNOT_Y_5,IF(M120&lt;=V7_AGE_KNOT_X_1,V7_AGE_KNOT_Y_0+(M120-V7_AGE_KNOT_X_0)/(V7_AGE_KNOT_X_1-V7_AGE_KNOT_X_0)*(V7_AGE_KNOT_Y_1-V7_AGE_KNOT_Y_0),IF(M120&lt;=V7_AGE_KNOT_X_2,V7_AGE_KNOT_Y_1+(M120-V7_AGE_KNOT_X_1)/(V7_AGE_KNOT_X_2-V7_AGE_KNOT_X_1)*(V7_AGE_KNOT_Y_2-V7_AGE_KNOT_Y_1),IF(M120&lt;=V7_AGE_KNOT_X_3,V7_AGE_KNOT_Y_2+(M120-V7_AGE_KNOT_X_2)/(V7_AGE_KNOT_X_3-V7_AGE_KNOT_X_2)*(V7_AGE_KNOT_Y_3-V7_AGE_KNOT_Y_2),IF(M120&lt;=V7_AGE_KNOT_X_4,V7_AGE_KNOT_Y_3+(M120-V7_AGE_KNOT_X_3)/(V7_AGE_KNOT_X_4-V7_AGE_KNOT_X_3)*(V7_AGE_KNOT_Y_4-V7_AGE_KNOT_Y_3),V7_AGE_KNOT_Y_4+(M120-V7_AGE_KNOT_X_4)/(V7_AGE_KNOT_X_5-V7_AGE_KNOT_X_4)*(V7_AGE_KNOT_Y_5-V7_AGE_KNOT_Y_4)))))))</f>
        <v/>
      </c>
      <c r="X120" s="26">
        <f>V7_RATE_FLOOR+V7_RATE_ASYMPTOTE/(1+EXP(-(V120-V7_RATE_MID)/V7_RATE_SLOPE))</f>
        <v/>
      </c>
      <c r="Y120" s="26">
        <f>MAX(V7_SIZE_LOW,MIN(V7_SIZE_HIGH,V7_SIZE_INTERCEPT+V7_SIZE_SLOPE*(T120-V7_SIZE_LOG_ANCHOR)))</f>
        <v/>
      </c>
      <c r="Z120" s="26">
        <f>IF(ISNUMBER(SEARCH("232",E120)),VLOOKUP("232",V7_PROGRAM_TABLE,2,FALSE),IF(ISNUMBER(SEARCH("538",E120)),VLOOKUP("538",V7_PROGRAM_TABLE,2,FALSE),IF(ISNUMBER(SEARCH("223a7",E120)),VLOOKUP("223a7",V7_PROGRAM_TABLE,2,FALSE),IF(ISNUMBER(SEARCH("223f",E120)),VLOOKUP("223f",V7_PROGRAM_TABLE,2,FALSE),V7_PROGRAM_DEFAULT))))</f>
        <v/>
      </c>
      <c r="AA120" s="26">
        <f>IF(S120=1,1+V7_PURPOSE_NC_BUMP*MAX(0,1-ABS(M120-V7_PURPOSE_PEAK_AGE)/V7_PURPOSE_WIDTH),1)</f>
        <v/>
      </c>
      <c r="AB120" s="26">
        <f>IF(AND(IF(OR(P120="",NOT(ISNUMBER(P120))),0,MAX(0,MIN(24,(INT(VALUE(H120)/100)-INT(P120/100))*12+MOD(VALUE(H120),100)-MOD(P120,100))))&gt;0,IF(OR(P120="",NOT(ISNUMBER(P120))),0,MAX(0,MIN(24,(INT(VALUE(H120)/100)-INT(P120/100))*12+MOD(VALUE(H120),100)-MOD(P120,100))))&lt;=12),1+V7_LOCKOUT_AMP*EXP(-(IF(OR(P120="",NOT(ISNUMBER(P120))),0,MAX(0,MIN(24,(INT(VALUE(H120)/100)-INT(P120/100))*12+MOD(VALUE(H120),100)-MOD(P120,100)))))/V7_LOCKOUT_TAU),1)</f>
        <v/>
      </c>
      <c r="AC120" s="26">
        <f>IF(IF(OR(O120="",NOT(ISNUMBER(O120))),360,MAX(0,MIN(480,(INT(O120/100)-INT(VALUE(H120)/100))*12+MOD(O120,100)-MOD(VALUE(H120),100))))&gt;0,1+V7_MTY_AMP*MAX(0,(V7_MTY_CUTOFF-(IF(OR(O120="",NOT(ISNUMBER(O120))),360,MAX(0,MIN(480,(INT(O120/100)-INT(VALUE(H120)/100))*12+MOD(O120,100)-MOD(VALUE(H120),100))))))/V7_MTY_CUTOFF),1)</f>
        <v/>
      </c>
      <c r="AD120" s="26">
        <f>MAX(V7_BURN_FLOOR,1-V7_BURN_SLOPE*MIN(1,MAX(0,R120)))</f>
        <v/>
      </c>
      <c r="AE120" s="26">
        <f>IF(V7_USE_ISSUER=1,IFERROR(VLOOKUP(Q120,V7_ISSUER_TABLE,3,FALSE),1),1)</f>
        <v/>
      </c>
      <c r="AF120" s="26">
        <f>PRODUCT(W120:AE120)</f>
        <v/>
      </c>
      <c r="AG120" s="27">
        <f>MIN(V7_BASE_SMM*AF120,V7_SMM_CAP)</f>
        <v/>
      </c>
      <c r="AH120" s="28">
        <f>1-(1-AG120)^12</f>
        <v/>
      </c>
      <c r="AI120" s="28">
        <f>IFERROR(LN(W120)/(LN(W120)+LN(X120)+LN(Y120)+LN(Z120)+LN(AA120)+LN(AB120)+LN(AC120)+LN(AD120))*(AH120-V7_BASE_CPR),0)</f>
        <v/>
      </c>
      <c r="AJ120" s="28">
        <f>IFERROR(LN(X120)/(LN(W120)+LN(X120)+LN(Y120)+LN(Z120)+LN(AA120)+LN(AB120)+LN(AC120)+LN(AD120))*(AH120-V7_BASE_CPR),0)</f>
        <v/>
      </c>
      <c r="AK120" s="28">
        <f>IFERROR(LN(Y120)/(LN(W120)+LN(X120)+LN(Y120)+LN(Z120)+LN(AA120)+LN(AB120)+LN(AC120)+LN(AD120))*(AH120-V7_BASE_CPR),0)</f>
        <v/>
      </c>
      <c r="AL120" s="28">
        <f>IFERROR(LN(Z120)/(LN(W120)+LN(X120)+LN(Y120)+LN(Z120)+LN(AA120)+LN(AB120)+LN(AC120)+LN(AD120))*(AH120-V7_BASE_CPR),0)</f>
        <v/>
      </c>
      <c r="AM120" s="28">
        <f>IFERROR(LN(AA120)/(LN(W120)+LN(X120)+LN(Y120)+LN(Z120)+LN(AA120)+LN(AB120)+LN(AC120)+LN(AD120))*(AH120-V7_BASE_CPR),0)</f>
        <v/>
      </c>
      <c r="AN120" s="28">
        <f>IFERROR(LN(AB120)/(LN(W120)+LN(X120)+LN(Y120)+LN(Z120)+LN(AA120)+LN(AB120)+LN(AC120)+LN(AD120))*(AH120-V7_BASE_CPR),0)</f>
        <v/>
      </c>
      <c r="AO120" s="28">
        <f>IFERROR(LN(AC120)/(LN(W120)+LN(X120)+LN(Y120)+LN(Z120)+LN(AA120)+LN(AB120)+LN(AC120)+LN(AD120))*(AH120-V7_BASE_CPR),0)</f>
        <v/>
      </c>
      <c r="AP120" s="28">
        <f>IFERROR(LN(AD120)/(LN(W120)+LN(X120)+LN(Y120)+LN(Z120)+LN(AA120)+LN(AB120)+LN(AC120)+LN(AD120))*(AH120-V7_BASE_CPR),0)</f>
        <v/>
      </c>
      <c r="AQ120" s="29">
        <f>V7_BASE_CPR+SUM(AI120:AP120)-AH120</f>
        <v/>
      </c>
    </row>
    <row r="121">
      <c r="A121" s="2" t="inlineStr">
        <is>
          <t>3618FUEN9_004015247586480</t>
        </is>
      </c>
      <c r="B121" t="inlineStr">
        <is>
          <t>MERCHANTS_POST21</t>
        </is>
      </c>
      <c r="C121" s="2" t="inlineStr">
        <is>
          <t>3618FUEN9</t>
        </is>
      </c>
      <c r="D121" t="inlineStr">
        <is>
          <t>MERCHANTS CAPITAL CORP.</t>
        </is>
      </c>
      <c r="E121" t="inlineStr">
        <is>
          <t>538</t>
        </is>
      </c>
      <c r="F121" t="inlineStr">
        <is>
          <t>538</t>
        </is>
      </c>
      <c r="G121" t="n">
        <v>2023</v>
      </c>
      <c r="H121" t="inlineStr">
        <is>
          <t>202602</t>
        </is>
      </c>
      <c r="I121" s="22" t="n">
        <v>3935901.15</v>
      </c>
      <c r="J121" s="23" t="n">
        <v>5.45</v>
      </c>
      <c r="K121" s="24" t="n">
        <v>447</v>
      </c>
      <c r="L121" s="24" t="n">
        <v>10</v>
      </c>
      <c r="M121" t="n">
        <v>27</v>
      </c>
      <c r="N121" s="25" t="n">
        <v>0</v>
      </c>
      <c r="O121" t="n">
        <v>206312</v>
      </c>
      <c r="P121" t="inlineStr"/>
      <c r="Q121" t="inlineStr">
        <is>
          <t>3487</t>
        </is>
      </c>
      <c r="R121" s="26" t="n">
        <v>0</v>
      </c>
      <c r="S121" t="n">
        <v>0</v>
      </c>
      <c r="T121" s="23">
        <f>LN(1+I121)</f>
        <v/>
      </c>
      <c r="U121" s="24">
        <f>J121*100-K121</f>
        <v/>
      </c>
      <c r="V121" s="24">
        <f>U121-12.5*(L121+1)</f>
        <v/>
      </c>
      <c r="W121" s="26">
        <f>IF(M121&lt;=V7_AGE_KNOT_X_0,V7_AGE_KNOT_Y_0,IF(M121&gt;=V7_AGE_KNOT_X_5,V7_AGE_KNOT_Y_5,IF(M121&lt;=V7_AGE_KNOT_X_1,V7_AGE_KNOT_Y_0+(M121-V7_AGE_KNOT_X_0)/(V7_AGE_KNOT_X_1-V7_AGE_KNOT_X_0)*(V7_AGE_KNOT_Y_1-V7_AGE_KNOT_Y_0),IF(M121&lt;=V7_AGE_KNOT_X_2,V7_AGE_KNOT_Y_1+(M121-V7_AGE_KNOT_X_1)/(V7_AGE_KNOT_X_2-V7_AGE_KNOT_X_1)*(V7_AGE_KNOT_Y_2-V7_AGE_KNOT_Y_1),IF(M121&lt;=V7_AGE_KNOT_X_3,V7_AGE_KNOT_Y_2+(M121-V7_AGE_KNOT_X_2)/(V7_AGE_KNOT_X_3-V7_AGE_KNOT_X_2)*(V7_AGE_KNOT_Y_3-V7_AGE_KNOT_Y_2),IF(M121&lt;=V7_AGE_KNOT_X_4,V7_AGE_KNOT_Y_3+(M121-V7_AGE_KNOT_X_3)/(V7_AGE_KNOT_X_4-V7_AGE_KNOT_X_3)*(V7_AGE_KNOT_Y_4-V7_AGE_KNOT_Y_3),V7_AGE_KNOT_Y_4+(M121-V7_AGE_KNOT_X_4)/(V7_AGE_KNOT_X_5-V7_AGE_KNOT_X_4)*(V7_AGE_KNOT_Y_5-V7_AGE_KNOT_Y_4)))))))</f>
        <v/>
      </c>
      <c r="X121" s="26">
        <f>V7_RATE_FLOOR+V7_RATE_ASYMPTOTE/(1+EXP(-(V121-V7_RATE_MID)/V7_RATE_SLOPE))</f>
        <v/>
      </c>
      <c r="Y121" s="26">
        <f>MAX(V7_SIZE_LOW,MIN(V7_SIZE_HIGH,V7_SIZE_INTERCEPT+V7_SIZE_SLOPE*(T121-V7_SIZE_LOG_ANCHOR)))</f>
        <v/>
      </c>
      <c r="Z121" s="26">
        <f>IF(ISNUMBER(SEARCH("232",E121)),VLOOKUP("232",V7_PROGRAM_TABLE,2,FALSE),IF(ISNUMBER(SEARCH("538",E121)),VLOOKUP("538",V7_PROGRAM_TABLE,2,FALSE),IF(ISNUMBER(SEARCH("223a7",E121)),VLOOKUP("223a7",V7_PROGRAM_TABLE,2,FALSE),IF(ISNUMBER(SEARCH("223f",E121)),VLOOKUP("223f",V7_PROGRAM_TABLE,2,FALSE),V7_PROGRAM_DEFAULT))))</f>
        <v/>
      </c>
      <c r="AA121" s="26">
        <f>IF(S121=1,1+V7_PURPOSE_NC_BUMP*MAX(0,1-ABS(M121-V7_PURPOSE_PEAK_AGE)/V7_PURPOSE_WIDTH),1)</f>
        <v/>
      </c>
      <c r="AB121" s="26">
        <f>IF(AND(IF(OR(P121="",NOT(ISNUMBER(P121))),0,MAX(0,MIN(24,(INT(VALUE(H121)/100)-INT(P121/100))*12+MOD(VALUE(H121),100)-MOD(P121,100))))&gt;0,IF(OR(P121="",NOT(ISNUMBER(P121))),0,MAX(0,MIN(24,(INT(VALUE(H121)/100)-INT(P121/100))*12+MOD(VALUE(H121),100)-MOD(P121,100))))&lt;=12),1+V7_LOCKOUT_AMP*EXP(-(IF(OR(P121="",NOT(ISNUMBER(P121))),0,MAX(0,MIN(24,(INT(VALUE(H121)/100)-INT(P121/100))*12+MOD(VALUE(H121),100)-MOD(P121,100)))))/V7_LOCKOUT_TAU),1)</f>
        <v/>
      </c>
      <c r="AC121" s="26">
        <f>IF(IF(OR(O121="",NOT(ISNUMBER(O121))),360,MAX(0,MIN(480,(INT(O121/100)-INT(VALUE(H121)/100))*12+MOD(O121,100)-MOD(VALUE(H121),100))))&gt;0,1+V7_MTY_AMP*MAX(0,(V7_MTY_CUTOFF-(IF(OR(O121="",NOT(ISNUMBER(O121))),360,MAX(0,MIN(480,(INT(O121/100)-INT(VALUE(H121)/100))*12+MOD(O121,100)-MOD(VALUE(H121),100))))))/V7_MTY_CUTOFF),1)</f>
        <v/>
      </c>
      <c r="AD121" s="26">
        <f>MAX(V7_BURN_FLOOR,1-V7_BURN_SLOPE*MIN(1,MAX(0,R121)))</f>
        <v/>
      </c>
      <c r="AE121" s="26">
        <f>IF(V7_USE_ISSUER=1,IFERROR(VLOOKUP(Q121,V7_ISSUER_TABLE,3,FALSE),1),1)</f>
        <v/>
      </c>
      <c r="AF121" s="26">
        <f>PRODUCT(W121:AE121)</f>
        <v/>
      </c>
      <c r="AG121" s="27">
        <f>MIN(V7_BASE_SMM*AF121,V7_SMM_CAP)</f>
        <v/>
      </c>
      <c r="AH121" s="28">
        <f>1-(1-AG121)^12</f>
        <v/>
      </c>
      <c r="AI121" s="28">
        <f>IFERROR(LN(W121)/(LN(W121)+LN(X121)+LN(Y121)+LN(Z121)+LN(AA121)+LN(AB121)+LN(AC121)+LN(AD121))*(AH121-V7_BASE_CPR),0)</f>
        <v/>
      </c>
      <c r="AJ121" s="28">
        <f>IFERROR(LN(X121)/(LN(W121)+LN(X121)+LN(Y121)+LN(Z121)+LN(AA121)+LN(AB121)+LN(AC121)+LN(AD121))*(AH121-V7_BASE_CPR),0)</f>
        <v/>
      </c>
      <c r="AK121" s="28">
        <f>IFERROR(LN(Y121)/(LN(W121)+LN(X121)+LN(Y121)+LN(Z121)+LN(AA121)+LN(AB121)+LN(AC121)+LN(AD121))*(AH121-V7_BASE_CPR),0)</f>
        <v/>
      </c>
      <c r="AL121" s="28">
        <f>IFERROR(LN(Z121)/(LN(W121)+LN(X121)+LN(Y121)+LN(Z121)+LN(AA121)+LN(AB121)+LN(AC121)+LN(AD121))*(AH121-V7_BASE_CPR),0)</f>
        <v/>
      </c>
      <c r="AM121" s="28">
        <f>IFERROR(LN(AA121)/(LN(W121)+LN(X121)+LN(Y121)+LN(Z121)+LN(AA121)+LN(AB121)+LN(AC121)+LN(AD121))*(AH121-V7_BASE_CPR),0)</f>
        <v/>
      </c>
      <c r="AN121" s="28">
        <f>IFERROR(LN(AB121)/(LN(W121)+LN(X121)+LN(Y121)+LN(Z121)+LN(AA121)+LN(AB121)+LN(AC121)+LN(AD121))*(AH121-V7_BASE_CPR),0)</f>
        <v/>
      </c>
      <c r="AO121" s="28">
        <f>IFERROR(LN(AC121)/(LN(W121)+LN(X121)+LN(Y121)+LN(Z121)+LN(AA121)+LN(AB121)+LN(AC121)+LN(AD121))*(AH121-V7_BASE_CPR),0)</f>
        <v/>
      </c>
      <c r="AP121" s="28">
        <f>IFERROR(LN(AD121)/(LN(W121)+LN(X121)+LN(Y121)+LN(Z121)+LN(AA121)+LN(AB121)+LN(AC121)+LN(AD121))*(AH121-V7_BASE_CPR),0)</f>
        <v/>
      </c>
      <c r="AQ121" s="29">
        <f>V7_BASE_CPR+SUM(AI121:AP121)-AH121</f>
        <v/>
      </c>
    </row>
    <row r="122">
      <c r="A122" s="2" t="inlineStr">
        <is>
          <t>3617FTA40_000000007135941</t>
        </is>
      </c>
      <c r="B122" t="inlineStr">
        <is>
          <t>MERCHANTS_POST21</t>
        </is>
      </c>
      <c r="C122" s="2" t="inlineStr">
        <is>
          <t>3617FTA40</t>
        </is>
      </c>
      <c r="D122" t="inlineStr">
        <is>
          <t>MERCHANTS CAPITAL CORP.</t>
        </is>
      </c>
      <c r="E122" t="inlineStr">
        <is>
          <t>221d4</t>
        </is>
      </c>
      <c r="F122" t="inlineStr">
        <is>
          <t>NC</t>
        </is>
      </c>
      <c r="G122" t="n">
        <v>2022</v>
      </c>
      <c r="H122" t="inlineStr">
        <is>
          <t>202602</t>
        </is>
      </c>
      <c r="I122" s="22" t="n">
        <v>5535314.39</v>
      </c>
      <c r="J122" s="23" t="n">
        <v>4</v>
      </c>
      <c r="K122" s="24" t="n">
        <v>447</v>
      </c>
      <c r="L122" s="24" t="n">
        <v>8</v>
      </c>
      <c r="M122" t="n">
        <v>41</v>
      </c>
      <c r="N122" s="25" t="n">
        <v>0</v>
      </c>
      <c r="O122" t="n">
        <v>206401</v>
      </c>
      <c r="P122" t="n">
        <v>202402</v>
      </c>
      <c r="Q122" t="inlineStr">
        <is>
          <t>3487</t>
        </is>
      </c>
      <c r="R122" s="26" t="n">
        <v>0</v>
      </c>
      <c r="S122" t="n">
        <v>1</v>
      </c>
      <c r="T122" s="23">
        <f>LN(1+I122)</f>
        <v/>
      </c>
      <c r="U122" s="24">
        <f>J122*100-K122</f>
        <v/>
      </c>
      <c r="V122" s="24">
        <f>U122-12.5*(L122+1)</f>
        <v/>
      </c>
      <c r="W122" s="26">
        <f>IF(M122&lt;=V7_AGE_KNOT_X_0,V7_AGE_KNOT_Y_0,IF(M122&gt;=V7_AGE_KNOT_X_5,V7_AGE_KNOT_Y_5,IF(M122&lt;=V7_AGE_KNOT_X_1,V7_AGE_KNOT_Y_0+(M122-V7_AGE_KNOT_X_0)/(V7_AGE_KNOT_X_1-V7_AGE_KNOT_X_0)*(V7_AGE_KNOT_Y_1-V7_AGE_KNOT_Y_0),IF(M122&lt;=V7_AGE_KNOT_X_2,V7_AGE_KNOT_Y_1+(M122-V7_AGE_KNOT_X_1)/(V7_AGE_KNOT_X_2-V7_AGE_KNOT_X_1)*(V7_AGE_KNOT_Y_2-V7_AGE_KNOT_Y_1),IF(M122&lt;=V7_AGE_KNOT_X_3,V7_AGE_KNOT_Y_2+(M122-V7_AGE_KNOT_X_2)/(V7_AGE_KNOT_X_3-V7_AGE_KNOT_X_2)*(V7_AGE_KNOT_Y_3-V7_AGE_KNOT_Y_2),IF(M122&lt;=V7_AGE_KNOT_X_4,V7_AGE_KNOT_Y_3+(M122-V7_AGE_KNOT_X_3)/(V7_AGE_KNOT_X_4-V7_AGE_KNOT_X_3)*(V7_AGE_KNOT_Y_4-V7_AGE_KNOT_Y_3),V7_AGE_KNOT_Y_4+(M122-V7_AGE_KNOT_X_4)/(V7_AGE_KNOT_X_5-V7_AGE_KNOT_X_4)*(V7_AGE_KNOT_Y_5-V7_AGE_KNOT_Y_4)))))))</f>
        <v/>
      </c>
      <c r="X122" s="26">
        <f>V7_RATE_FLOOR+V7_RATE_ASYMPTOTE/(1+EXP(-(V122-V7_RATE_MID)/V7_RATE_SLOPE))</f>
        <v/>
      </c>
      <c r="Y122" s="26">
        <f>MAX(V7_SIZE_LOW,MIN(V7_SIZE_HIGH,V7_SIZE_INTERCEPT+V7_SIZE_SLOPE*(T122-V7_SIZE_LOG_ANCHOR)))</f>
        <v/>
      </c>
      <c r="Z122" s="26">
        <f>IF(ISNUMBER(SEARCH("232",E122)),VLOOKUP("232",V7_PROGRAM_TABLE,2,FALSE),IF(ISNUMBER(SEARCH("538",E122)),VLOOKUP("538",V7_PROGRAM_TABLE,2,FALSE),IF(ISNUMBER(SEARCH("223a7",E122)),VLOOKUP("223a7",V7_PROGRAM_TABLE,2,FALSE),IF(ISNUMBER(SEARCH("223f",E122)),VLOOKUP("223f",V7_PROGRAM_TABLE,2,FALSE),V7_PROGRAM_DEFAULT))))</f>
        <v/>
      </c>
      <c r="AA122" s="26">
        <f>IF(S122=1,1+V7_PURPOSE_NC_BUMP*MAX(0,1-ABS(M122-V7_PURPOSE_PEAK_AGE)/V7_PURPOSE_WIDTH),1)</f>
        <v/>
      </c>
      <c r="AB122" s="26">
        <f>IF(AND(IF(OR(P122="",NOT(ISNUMBER(P122))),0,MAX(0,MIN(24,(INT(VALUE(H122)/100)-INT(P122/100))*12+MOD(VALUE(H122),100)-MOD(P122,100))))&gt;0,IF(OR(P122="",NOT(ISNUMBER(P122))),0,MAX(0,MIN(24,(INT(VALUE(H122)/100)-INT(P122/100))*12+MOD(VALUE(H122),100)-MOD(P122,100))))&lt;=12),1+V7_LOCKOUT_AMP*EXP(-(IF(OR(P122="",NOT(ISNUMBER(P122))),0,MAX(0,MIN(24,(INT(VALUE(H122)/100)-INT(P122/100))*12+MOD(VALUE(H122),100)-MOD(P122,100)))))/V7_LOCKOUT_TAU),1)</f>
        <v/>
      </c>
      <c r="AC122" s="26">
        <f>IF(IF(OR(O122="",NOT(ISNUMBER(O122))),360,MAX(0,MIN(480,(INT(O122/100)-INT(VALUE(H122)/100))*12+MOD(O122,100)-MOD(VALUE(H122),100))))&gt;0,1+V7_MTY_AMP*MAX(0,(V7_MTY_CUTOFF-(IF(OR(O122="",NOT(ISNUMBER(O122))),360,MAX(0,MIN(480,(INT(O122/100)-INT(VALUE(H122)/100))*12+MOD(O122,100)-MOD(VALUE(H122),100))))))/V7_MTY_CUTOFF),1)</f>
        <v/>
      </c>
      <c r="AD122" s="26">
        <f>MAX(V7_BURN_FLOOR,1-V7_BURN_SLOPE*MIN(1,MAX(0,R122)))</f>
        <v/>
      </c>
      <c r="AE122" s="26">
        <f>IF(V7_USE_ISSUER=1,IFERROR(VLOOKUP(Q122,V7_ISSUER_TABLE,3,FALSE),1),1)</f>
        <v/>
      </c>
      <c r="AF122" s="26">
        <f>PRODUCT(W122:AE122)</f>
        <v/>
      </c>
      <c r="AG122" s="27">
        <f>MIN(V7_BASE_SMM*AF122,V7_SMM_CAP)</f>
        <v/>
      </c>
      <c r="AH122" s="28">
        <f>1-(1-AG122)^12</f>
        <v/>
      </c>
      <c r="AI122" s="28">
        <f>IFERROR(LN(W122)/(LN(W122)+LN(X122)+LN(Y122)+LN(Z122)+LN(AA122)+LN(AB122)+LN(AC122)+LN(AD122))*(AH122-V7_BASE_CPR),0)</f>
        <v/>
      </c>
      <c r="AJ122" s="28">
        <f>IFERROR(LN(X122)/(LN(W122)+LN(X122)+LN(Y122)+LN(Z122)+LN(AA122)+LN(AB122)+LN(AC122)+LN(AD122))*(AH122-V7_BASE_CPR),0)</f>
        <v/>
      </c>
      <c r="AK122" s="28">
        <f>IFERROR(LN(Y122)/(LN(W122)+LN(X122)+LN(Y122)+LN(Z122)+LN(AA122)+LN(AB122)+LN(AC122)+LN(AD122))*(AH122-V7_BASE_CPR),0)</f>
        <v/>
      </c>
      <c r="AL122" s="28">
        <f>IFERROR(LN(Z122)/(LN(W122)+LN(X122)+LN(Y122)+LN(Z122)+LN(AA122)+LN(AB122)+LN(AC122)+LN(AD122))*(AH122-V7_BASE_CPR),0)</f>
        <v/>
      </c>
      <c r="AM122" s="28">
        <f>IFERROR(LN(AA122)/(LN(W122)+LN(X122)+LN(Y122)+LN(Z122)+LN(AA122)+LN(AB122)+LN(AC122)+LN(AD122))*(AH122-V7_BASE_CPR),0)</f>
        <v/>
      </c>
      <c r="AN122" s="28">
        <f>IFERROR(LN(AB122)/(LN(W122)+LN(X122)+LN(Y122)+LN(Z122)+LN(AA122)+LN(AB122)+LN(AC122)+LN(AD122))*(AH122-V7_BASE_CPR),0)</f>
        <v/>
      </c>
      <c r="AO122" s="28">
        <f>IFERROR(LN(AC122)/(LN(W122)+LN(X122)+LN(Y122)+LN(Z122)+LN(AA122)+LN(AB122)+LN(AC122)+LN(AD122))*(AH122-V7_BASE_CPR),0)</f>
        <v/>
      </c>
      <c r="AP122" s="28">
        <f>IFERROR(LN(AD122)/(LN(W122)+LN(X122)+LN(Y122)+LN(Z122)+LN(AA122)+LN(AB122)+LN(AC122)+LN(AD122))*(AH122-V7_BASE_CPR),0)</f>
        <v/>
      </c>
      <c r="AQ122" s="29">
        <f>V7_BASE_CPR+SUM(AI122:AP122)-AH122</f>
        <v/>
      </c>
    </row>
    <row r="123">
      <c r="A123" s="2" t="inlineStr">
        <is>
          <t>3618GPF40_000000012222294</t>
        </is>
      </c>
      <c r="B123" t="inlineStr">
        <is>
          <t>MERCHANTS_POST21</t>
        </is>
      </c>
      <c r="C123" s="2" t="inlineStr">
        <is>
          <t>3618GPF40</t>
        </is>
      </c>
      <c r="D123" t="inlineStr">
        <is>
          <t>MERCHANTS CAPITAL CORP.</t>
        </is>
      </c>
      <c r="E123" t="inlineStr">
        <is>
          <t>232</t>
        </is>
      </c>
      <c r="F123" t="inlineStr">
        <is>
          <t>RP</t>
        </is>
      </c>
      <c r="G123" t="n">
        <v>2024</v>
      </c>
      <c r="H123" t="inlineStr">
        <is>
          <t>202602</t>
        </is>
      </c>
      <c r="I123" s="22" t="n">
        <v>36786426.13</v>
      </c>
      <c r="J123" s="23" t="n">
        <v>5.75</v>
      </c>
      <c r="K123" s="24" t="n">
        <v>447</v>
      </c>
      <c r="L123" s="24" t="n">
        <v>9</v>
      </c>
      <c r="M123" t="n">
        <v>21</v>
      </c>
      <c r="N123" s="25" t="n">
        <v>1</v>
      </c>
      <c r="O123" t="n">
        <v>205906</v>
      </c>
      <c r="P123" t="inlineStr"/>
      <c r="Q123" t="inlineStr">
        <is>
          <t>3487</t>
        </is>
      </c>
      <c r="R123" s="26" t="n">
        <v>0.04761904761904762</v>
      </c>
      <c r="S123" t="n">
        <v>0</v>
      </c>
      <c r="T123" s="23">
        <f>LN(1+I123)</f>
        <v/>
      </c>
      <c r="U123" s="24">
        <f>J123*100-K123</f>
        <v/>
      </c>
      <c r="V123" s="24">
        <f>U123-12.5*(L123+1)</f>
        <v/>
      </c>
      <c r="W123" s="26">
        <f>IF(M123&lt;=V7_AGE_KNOT_X_0,V7_AGE_KNOT_Y_0,IF(M123&gt;=V7_AGE_KNOT_X_5,V7_AGE_KNOT_Y_5,IF(M123&lt;=V7_AGE_KNOT_X_1,V7_AGE_KNOT_Y_0+(M123-V7_AGE_KNOT_X_0)/(V7_AGE_KNOT_X_1-V7_AGE_KNOT_X_0)*(V7_AGE_KNOT_Y_1-V7_AGE_KNOT_Y_0),IF(M123&lt;=V7_AGE_KNOT_X_2,V7_AGE_KNOT_Y_1+(M123-V7_AGE_KNOT_X_1)/(V7_AGE_KNOT_X_2-V7_AGE_KNOT_X_1)*(V7_AGE_KNOT_Y_2-V7_AGE_KNOT_Y_1),IF(M123&lt;=V7_AGE_KNOT_X_3,V7_AGE_KNOT_Y_2+(M123-V7_AGE_KNOT_X_2)/(V7_AGE_KNOT_X_3-V7_AGE_KNOT_X_2)*(V7_AGE_KNOT_Y_3-V7_AGE_KNOT_Y_2),IF(M123&lt;=V7_AGE_KNOT_X_4,V7_AGE_KNOT_Y_3+(M123-V7_AGE_KNOT_X_3)/(V7_AGE_KNOT_X_4-V7_AGE_KNOT_X_3)*(V7_AGE_KNOT_Y_4-V7_AGE_KNOT_Y_3),V7_AGE_KNOT_Y_4+(M123-V7_AGE_KNOT_X_4)/(V7_AGE_KNOT_X_5-V7_AGE_KNOT_X_4)*(V7_AGE_KNOT_Y_5-V7_AGE_KNOT_Y_4)))))))</f>
        <v/>
      </c>
      <c r="X123" s="26">
        <f>V7_RATE_FLOOR+V7_RATE_ASYMPTOTE/(1+EXP(-(V123-V7_RATE_MID)/V7_RATE_SLOPE))</f>
        <v/>
      </c>
      <c r="Y123" s="26">
        <f>MAX(V7_SIZE_LOW,MIN(V7_SIZE_HIGH,V7_SIZE_INTERCEPT+V7_SIZE_SLOPE*(T123-V7_SIZE_LOG_ANCHOR)))</f>
        <v/>
      </c>
      <c r="Z123" s="26">
        <f>IF(ISNUMBER(SEARCH("232",E123)),VLOOKUP("232",V7_PROGRAM_TABLE,2,FALSE),IF(ISNUMBER(SEARCH("538",E123)),VLOOKUP("538",V7_PROGRAM_TABLE,2,FALSE),IF(ISNUMBER(SEARCH("223a7",E123)),VLOOKUP("223a7",V7_PROGRAM_TABLE,2,FALSE),IF(ISNUMBER(SEARCH("223f",E123)),VLOOKUP("223f",V7_PROGRAM_TABLE,2,FALSE),V7_PROGRAM_DEFAULT))))</f>
        <v/>
      </c>
      <c r="AA123" s="26">
        <f>IF(S123=1,1+V7_PURPOSE_NC_BUMP*MAX(0,1-ABS(M123-V7_PURPOSE_PEAK_AGE)/V7_PURPOSE_WIDTH),1)</f>
        <v/>
      </c>
      <c r="AB123" s="26">
        <f>IF(AND(IF(OR(P123="",NOT(ISNUMBER(P123))),0,MAX(0,MIN(24,(INT(VALUE(H123)/100)-INT(P123/100))*12+MOD(VALUE(H123),100)-MOD(P123,100))))&gt;0,IF(OR(P123="",NOT(ISNUMBER(P123))),0,MAX(0,MIN(24,(INT(VALUE(H123)/100)-INT(P123/100))*12+MOD(VALUE(H123),100)-MOD(P123,100))))&lt;=12),1+V7_LOCKOUT_AMP*EXP(-(IF(OR(P123="",NOT(ISNUMBER(P123))),0,MAX(0,MIN(24,(INT(VALUE(H123)/100)-INT(P123/100))*12+MOD(VALUE(H123),100)-MOD(P123,100)))))/V7_LOCKOUT_TAU),1)</f>
        <v/>
      </c>
      <c r="AC123" s="26">
        <f>IF(IF(OR(O123="",NOT(ISNUMBER(O123))),360,MAX(0,MIN(480,(INT(O123/100)-INT(VALUE(H123)/100))*12+MOD(O123,100)-MOD(VALUE(H123),100))))&gt;0,1+V7_MTY_AMP*MAX(0,(V7_MTY_CUTOFF-(IF(OR(O123="",NOT(ISNUMBER(O123))),360,MAX(0,MIN(480,(INT(O123/100)-INT(VALUE(H123)/100))*12+MOD(O123,100)-MOD(VALUE(H123),100))))))/V7_MTY_CUTOFF),1)</f>
        <v/>
      </c>
      <c r="AD123" s="26">
        <f>MAX(V7_BURN_FLOOR,1-V7_BURN_SLOPE*MIN(1,MAX(0,R123)))</f>
        <v/>
      </c>
      <c r="AE123" s="26">
        <f>IF(V7_USE_ISSUER=1,IFERROR(VLOOKUP(Q123,V7_ISSUER_TABLE,3,FALSE),1),1)</f>
        <v/>
      </c>
      <c r="AF123" s="26">
        <f>PRODUCT(W123:AE123)</f>
        <v/>
      </c>
      <c r="AG123" s="27">
        <f>MIN(V7_BASE_SMM*AF123,V7_SMM_CAP)</f>
        <v/>
      </c>
      <c r="AH123" s="28">
        <f>1-(1-AG123)^12</f>
        <v/>
      </c>
      <c r="AI123" s="28">
        <f>IFERROR(LN(W123)/(LN(W123)+LN(X123)+LN(Y123)+LN(Z123)+LN(AA123)+LN(AB123)+LN(AC123)+LN(AD123))*(AH123-V7_BASE_CPR),0)</f>
        <v/>
      </c>
      <c r="AJ123" s="28">
        <f>IFERROR(LN(X123)/(LN(W123)+LN(X123)+LN(Y123)+LN(Z123)+LN(AA123)+LN(AB123)+LN(AC123)+LN(AD123))*(AH123-V7_BASE_CPR),0)</f>
        <v/>
      </c>
      <c r="AK123" s="28">
        <f>IFERROR(LN(Y123)/(LN(W123)+LN(X123)+LN(Y123)+LN(Z123)+LN(AA123)+LN(AB123)+LN(AC123)+LN(AD123))*(AH123-V7_BASE_CPR),0)</f>
        <v/>
      </c>
      <c r="AL123" s="28">
        <f>IFERROR(LN(Z123)/(LN(W123)+LN(X123)+LN(Y123)+LN(Z123)+LN(AA123)+LN(AB123)+LN(AC123)+LN(AD123))*(AH123-V7_BASE_CPR),0)</f>
        <v/>
      </c>
      <c r="AM123" s="28">
        <f>IFERROR(LN(AA123)/(LN(W123)+LN(X123)+LN(Y123)+LN(Z123)+LN(AA123)+LN(AB123)+LN(AC123)+LN(AD123))*(AH123-V7_BASE_CPR),0)</f>
        <v/>
      </c>
      <c r="AN123" s="28">
        <f>IFERROR(LN(AB123)/(LN(W123)+LN(X123)+LN(Y123)+LN(Z123)+LN(AA123)+LN(AB123)+LN(AC123)+LN(AD123))*(AH123-V7_BASE_CPR),0)</f>
        <v/>
      </c>
      <c r="AO123" s="28">
        <f>IFERROR(LN(AC123)/(LN(W123)+LN(X123)+LN(Y123)+LN(Z123)+LN(AA123)+LN(AB123)+LN(AC123)+LN(AD123))*(AH123-V7_BASE_CPR),0)</f>
        <v/>
      </c>
      <c r="AP123" s="28">
        <f>IFERROR(LN(AD123)/(LN(W123)+LN(X123)+LN(Y123)+LN(Z123)+LN(AA123)+LN(AB123)+LN(AC123)+LN(AD123))*(AH123-V7_BASE_CPR),0)</f>
        <v/>
      </c>
      <c r="AQ123" s="29">
        <f>V7_BASE_CPR+SUM(AI123:AP123)-AH123</f>
        <v/>
      </c>
    </row>
    <row r="124">
      <c r="A124" s="2" t="inlineStr">
        <is>
          <t>3617UDHL3_000000007335768</t>
        </is>
      </c>
      <c r="B124" t="inlineStr">
        <is>
          <t>MERCHANTS_PRE21</t>
        </is>
      </c>
      <c r="C124" s="2" t="inlineStr">
        <is>
          <t>3617UDHL3</t>
        </is>
      </c>
      <c r="D124" t="inlineStr">
        <is>
          <t>MERCHANTS CAPITAL CORP.</t>
        </is>
      </c>
      <c r="E124" t="inlineStr">
        <is>
          <t>221d4</t>
        </is>
      </c>
      <c r="F124" t="inlineStr">
        <is>
          <t>NC</t>
        </is>
      </c>
      <c r="G124" t="n">
        <v>2012</v>
      </c>
      <c r="H124" t="inlineStr">
        <is>
          <t>202602</t>
        </is>
      </c>
      <c r="I124" s="22" t="n">
        <v>18301336.04</v>
      </c>
      <c r="J124" s="23" t="n">
        <v>2.37</v>
      </c>
      <c r="K124" s="24" t="n">
        <v>447</v>
      </c>
      <c r="L124" s="24" t="n">
        <v>6</v>
      </c>
      <c r="M124" t="n">
        <v>158</v>
      </c>
      <c r="N124" s="25" t="n">
        <v>0</v>
      </c>
      <c r="O124" t="n">
        <v>205401</v>
      </c>
      <c r="P124" t="inlineStr"/>
      <c r="Q124" t="inlineStr">
        <is>
          <t>3487</t>
        </is>
      </c>
      <c r="R124" s="26" t="n">
        <v>0</v>
      </c>
      <c r="S124" t="n">
        <v>1</v>
      </c>
      <c r="T124" s="23">
        <f>LN(1+I124)</f>
        <v/>
      </c>
      <c r="U124" s="24">
        <f>J124*100-K124</f>
        <v/>
      </c>
      <c r="V124" s="24">
        <f>U124-12.5*(L124+1)</f>
        <v/>
      </c>
      <c r="W124" s="26">
        <f>IF(M124&lt;=V7_AGE_KNOT_X_0,V7_AGE_KNOT_Y_0,IF(M124&gt;=V7_AGE_KNOT_X_5,V7_AGE_KNOT_Y_5,IF(M124&lt;=V7_AGE_KNOT_X_1,V7_AGE_KNOT_Y_0+(M124-V7_AGE_KNOT_X_0)/(V7_AGE_KNOT_X_1-V7_AGE_KNOT_X_0)*(V7_AGE_KNOT_Y_1-V7_AGE_KNOT_Y_0),IF(M124&lt;=V7_AGE_KNOT_X_2,V7_AGE_KNOT_Y_1+(M124-V7_AGE_KNOT_X_1)/(V7_AGE_KNOT_X_2-V7_AGE_KNOT_X_1)*(V7_AGE_KNOT_Y_2-V7_AGE_KNOT_Y_1),IF(M124&lt;=V7_AGE_KNOT_X_3,V7_AGE_KNOT_Y_2+(M124-V7_AGE_KNOT_X_2)/(V7_AGE_KNOT_X_3-V7_AGE_KNOT_X_2)*(V7_AGE_KNOT_Y_3-V7_AGE_KNOT_Y_2),IF(M124&lt;=V7_AGE_KNOT_X_4,V7_AGE_KNOT_Y_3+(M124-V7_AGE_KNOT_X_3)/(V7_AGE_KNOT_X_4-V7_AGE_KNOT_X_3)*(V7_AGE_KNOT_Y_4-V7_AGE_KNOT_Y_3),V7_AGE_KNOT_Y_4+(M124-V7_AGE_KNOT_X_4)/(V7_AGE_KNOT_X_5-V7_AGE_KNOT_X_4)*(V7_AGE_KNOT_Y_5-V7_AGE_KNOT_Y_4)))))))</f>
        <v/>
      </c>
      <c r="X124" s="26">
        <f>V7_RATE_FLOOR+V7_RATE_ASYMPTOTE/(1+EXP(-(V124-V7_RATE_MID)/V7_RATE_SLOPE))</f>
        <v/>
      </c>
      <c r="Y124" s="26">
        <f>MAX(V7_SIZE_LOW,MIN(V7_SIZE_HIGH,V7_SIZE_INTERCEPT+V7_SIZE_SLOPE*(T124-V7_SIZE_LOG_ANCHOR)))</f>
        <v/>
      </c>
      <c r="Z124" s="26">
        <f>IF(ISNUMBER(SEARCH("232",E124)),VLOOKUP("232",V7_PROGRAM_TABLE,2,FALSE),IF(ISNUMBER(SEARCH("538",E124)),VLOOKUP("538",V7_PROGRAM_TABLE,2,FALSE),IF(ISNUMBER(SEARCH("223a7",E124)),VLOOKUP("223a7",V7_PROGRAM_TABLE,2,FALSE),IF(ISNUMBER(SEARCH("223f",E124)),VLOOKUP("223f",V7_PROGRAM_TABLE,2,FALSE),V7_PROGRAM_DEFAULT))))</f>
        <v/>
      </c>
      <c r="AA124" s="26">
        <f>IF(S124=1,1+V7_PURPOSE_NC_BUMP*MAX(0,1-ABS(M124-V7_PURPOSE_PEAK_AGE)/V7_PURPOSE_WIDTH),1)</f>
        <v/>
      </c>
      <c r="AB124" s="26">
        <f>IF(AND(IF(OR(P124="",NOT(ISNUMBER(P124))),0,MAX(0,MIN(24,(INT(VALUE(H124)/100)-INT(P124/100))*12+MOD(VALUE(H124),100)-MOD(P124,100))))&gt;0,IF(OR(P124="",NOT(ISNUMBER(P124))),0,MAX(0,MIN(24,(INT(VALUE(H124)/100)-INT(P124/100))*12+MOD(VALUE(H124),100)-MOD(P124,100))))&lt;=12),1+V7_LOCKOUT_AMP*EXP(-(IF(OR(P124="",NOT(ISNUMBER(P124))),0,MAX(0,MIN(24,(INT(VALUE(H124)/100)-INT(P124/100))*12+MOD(VALUE(H124),100)-MOD(P124,100)))))/V7_LOCKOUT_TAU),1)</f>
        <v/>
      </c>
      <c r="AC124" s="26">
        <f>IF(IF(OR(O124="",NOT(ISNUMBER(O124))),360,MAX(0,MIN(480,(INT(O124/100)-INT(VALUE(H124)/100))*12+MOD(O124,100)-MOD(VALUE(H124),100))))&gt;0,1+V7_MTY_AMP*MAX(0,(V7_MTY_CUTOFF-(IF(OR(O124="",NOT(ISNUMBER(O124))),360,MAX(0,MIN(480,(INT(O124/100)-INT(VALUE(H124)/100))*12+MOD(O124,100)-MOD(VALUE(H124),100))))))/V7_MTY_CUTOFF),1)</f>
        <v/>
      </c>
      <c r="AD124" s="26">
        <f>MAX(V7_BURN_FLOOR,1-V7_BURN_SLOPE*MIN(1,MAX(0,R124)))</f>
        <v/>
      </c>
      <c r="AE124" s="26">
        <f>IF(V7_USE_ISSUER=1,IFERROR(VLOOKUP(Q124,V7_ISSUER_TABLE,3,FALSE),1),1)</f>
        <v/>
      </c>
      <c r="AF124" s="26">
        <f>PRODUCT(W124:AE124)</f>
        <v/>
      </c>
      <c r="AG124" s="27">
        <f>MIN(V7_BASE_SMM*AF124,V7_SMM_CAP)</f>
        <v/>
      </c>
      <c r="AH124" s="28">
        <f>1-(1-AG124)^12</f>
        <v/>
      </c>
      <c r="AI124" s="28">
        <f>IFERROR(LN(W124)/(LN(W124)+LN(X124)+LN(Y124)+LN(Z124)+LN(AA124)+LN(AB124)+LN(AC124)+LN(AD124))*(AH124-V7_BASE_CPR),0)</f>
        <v/>
      </c>
      <c r="AJ124" s="28">
        <f>IFERROR(LN(X124)/(LN(W124)+LN(X124)+LN(Y124)+LN(Z124)+LN(AA124)+LN(AB124)+LN(AC124)+LN(AD124))*(AH124-V7_BASE_CPR),0)</f>
        <v/>
      </c>
      <c r="AK124" s="28">
        <f>IFERROR(LN(Y124)/(LN(W124)+LN(X124)+LN(Y124)+LN(Z124)+LN(AA124)+LN(AB124)+LN(AC124)+LN(AD124))*(AH124-V7_BASE_CPR),0)</f>
        <v/>
      </c>
      <c r="AL124" s="28">
        <f>IFERROR(LN(Z124)/(LN(W124)+LN(X124)+LN(Y124)+LN(Z124)+LN(AA124)+LN(AB124)+LN(AC124)+LN(AD124))*(AH124-V7_BASE_CPR),0)</f>
        <v/>
      </c>
      <c r="AM124" s="28">
        <f>IFERROR(LN(AA124)/(LN(W124)+LN(X124)+LN(Y124)+LN(Z124)+LN(AA124)+LN(AB124)+LN(AC124)+LN(AD124))*(AH124-V7_BASE_CPR),0)</f>
        <v/>
      </c>
      <c r="AN124" s="28">
        <f>IFERROR(LN(AB124)/(LN(W124)+LN(X124)+LN(Y124)+LN(Z124)+LN(AA124)+LN(AB124)+LN(AC124)+LN(AD124))*(AH124-V7_BASE_CPR),0)</f>
        <v/>
      </c>
      <c r="AO124" s="28">
        <f>IFERROR(LN(AC124)/(LN(W124)+LN(X124)+LN(Y124)+LN(Z124)+LN(AA124)+LN(AB124)+LN(AC124)+LN(AD124))*(AH124-V7_BASE_CPR),0)</f>
        <v/>
      </c>
      <c r="AP124" s="28">
        <f>IFERROR(LN(AD124)/(LN(W124)+LN(X124)+LN(Y124)+LN(Z124)+LN(AA124)+LN(AB124)+LN(AC124)+LN(AD124))*(AH124-V7_BASE_CPR),0)</f>
        <v/>
      </c>
      <c r="AQ124" s="29">
        <f>V7_BASE_CPR+SUM(AI124:AP124)-AH124</f>
        <v/>
      </c>
    </row>
    <row r="125">
      <c r="A125" s="2" t="inlineStr">
        <is>
          <t>3617K16M0_038012645395099</t>
        </is>
      </c>
      <c r="B125" t="inlineStr">
        <is>
          <t>MERCHANTS_PRE21</t>
        </is>
      </c>
      <c r="C125" s="2" t="inlineStr">
        <is>
          <t>3617K16M0</t>
        </is>
      </c>
      <c r="D125" t="inlineStr">
        <is>
          <t>MERCHANTS CAPITAL CORP.</t>
        </is>
      </c>
      <c r="E125" t="inlineStr">
        <is>
          <t>538</t>
        </is>
      </c>
      <c r="F125" t="inlineStr">
        <is>
          <t>538</t>
        </is>
      </c>
      <c r="G125" t="n">
        <v>2019</v>
      </c>
      <c r="H125" t="inlineStr">
        <is>
          <t>202602</t>
        </is>
      </c>
      <c r="I125" s="22" t="n">
        <v>1122425.57</v>
      </c>
      <c r="J125" s="23" t="n">
        <v>4.55</v>
      </c>
      <c r="K125" s="24" t="n">
        <v>447</v>
      </c>
      <c r="L125" s="24" t="n">
        <v>6</v>
      </c>
      <c r="M125" t="n">
        <v>82</v>
      </c>
      <c r="N125" s="25" t="n">
        <v>13</v>
      </c>
      <c r="O125" t="n">
        <v>205904</v>
      </c>
      <c r="P125" t="inlineStr"/>
      <c r="Q125" t="inlineStr">
        <is>
          <t>3487</t>
        </is>
      </c>
      <c r="R125" s="26" t="n">
        <v>0.1585365853658537</v>
      </c>
      <c r="S125" t="n">
        <v>0</v>
      </c>
      <c r="T125" s="23">
        <f>LN(1+I125)</f>
        <v/>
      </c>
      <c r="U125" s="24">
        <f>J125*100-K125</f>
        <v/>
      </c>
      <c r="V125" s="24">
        <f>U125-12.5*(L125+1)</f>
        <v/>
      </c>
      <c r="W125" s="26">
        <f>IF(M125&lt;=V7_AGE_KNOT_X_0,V7_AGE_KNOT_Y_0,IF(M125&gt;=V7_AGE_KNOT_X_5,V7_AGE_KNOT_Y_5,IF(M125&lt;=V7_AGE_KNOT_X_1,V7_AGE_KNOT_Y_0+(M125-V7_AGE_KNOT_X_0)/(V7_AGE_KNOT_X_1-V7_AGE_KNOT_X_0)*(V7_AGE_KNOT_Y_1-V7_AGE_KNOT_Y_0),IF(M125&lt;=V7_AGE_KNOT_X_2,V7_AGE_KNOT_Y_1+(M125-V7_AGE_KNOT_X_1)/(V7_AGE_KNOT_X_2-V7_AGE_KNOT_X_1)*(V7_AGE_KNOT_Y_2-V7_AGE_KNOT_Y_1),IF(M125&lt;=V7_AGE_KNOT_X_3,V7_AGE_KNOT_Y_2+(M125-V7_AGE_KNOT_X_2)/(V7_AGE_KNOT_X_3-V7_AGE_KNOT_X_2)*(V7_AGE_KNOT_Y_3-V7_AGE_KNOT_Y_2),IF(M125&lt;=V7_AGE_KNOT_X_4,V7_AGE_KNOT_Y_3+(M125-V7_AGE_KNOT_X_3)/(V7_AGE_KNOT_X_4-V7_AGE_KNOT_X_3)*(V7_AGE_KNOT_Y_4-V7_AGE_KNOT_Y_3),V7_AGE_KNOT_Y_4+(M125-V7_AGE_KNOT_X_4)/(V7_AGE_KNOT_X_5-V7_AGE_KNOT_X_4)*(V7_AGE_KNOT_Y_5-V7_AGE_KNOT_Y_4)))))))</f>
        <v/>
      </c>
      <c r="X125" s="26">
        <f>V7_RATE_FLOOR+V7_RATE_ASYMPTOTE/(1+EXP(-(V125-V7_RATE_MID)/V7_RATE_SLOPE))</f>
        <v/>
      </c>
      <c r="Y125" s="26">
        <f>MAX(V7_SIZE_LOW,MIN(V7_SIZE_HIGH,V7_SIZE_INTERCEPT+V7_SIZE_SLOPE*(T125-V7_SIZE_LOG_ANCHOR)))</f>
        <v/>
      </c>
      <c r="Z125" s="26">
        <f>IF(ISNUMBER(SEARCH("232",E125)),VLOOKUP("232",V7_PROGRAM_TABLE,2,FALSE),IF(ISNUMBER(SEARCH("538",E125)),VLOOKUP("538",V7_PROGRAM_TABLE,2,FALSE),IF(ISNUMBER(SEARCH("223a7",E125)),VLOOKUP("223a7",V7_PROGRAM_TABLE,2,FALSE),IF(ISNUMBER(SEARCH("223f",E125)),VLOOKUP("223f",V7_PROGRAM_TABLE,2,FALSE),V7_PROGRAM_DEFAULT))))</f>
        <v/>
      </c>
      <c r="AA125" s="26">
        <f>IF(S125=1,1+V7_PURPOSE_NC_BUMP*MAX(0,1-ABS(M125-V7_PURPOSE_PEAK_AGE)/V7_PURPOSE_WIDTH),1)</f>
        <v/>
      </c>
      <c r="AB125" s="26">
        <f>IF(AND(IF(OR(P125="",NOT(ISNUMBER(P125))),0,MAX(0,MIN(24,(INT(VALUE(H125)/100)-INT(P125/100))*12+MOD(VALUE(H125),100)-MOD(P125,100))))&gt;0,IF(OR(P125="",NOT(ISNUMBER(P125))),0,MAX(0,MIN(24,(INT(VALUE(H125)/100)-INT(P125/100))*12+MOD(VALUE(H125),100)-MOD(P125,100))))&lt;=12),1+V7_LOCKOUT_AMP*EXP(-(IF(OR(P125="",NOT(ISNUMBER(P125))),0,MAX(0,MIN(24,(INT(VALUE(H125)/100)-INT(P125/100))*12+MOD(VALUE(H125),100)-MOD(P125,100)))))/V7_LOCKOUT_TAU),1)</f>
        <v/>
      </c>
      <c r="AC125" s="26">
        <f>IF(IF(OR(O125="",NOT(ISNUMBER(O125))),360,MAX(0,MIN(480,(INT(O125/100)-INT(VALUE(H125)/100))*12+MOD(O125,100)-MOD(VALUE(H125),100))))&gt;0,1+V7_MTY_AMP*MAX(0,(V7_MTY_CUTOFF-(IF(OR(O125="",NOT(ISNUMBER(O125))),360,MAX(0,MIN(480,(INT(O125/100)-INT(VALUE(H125)/100))*12+MOD(O125,100)-MOD(VALUE(H125),100))))))/V7_MTY_CUTOFF),1)</f>
        <v/>
      </c>
      <c r="AD125" s="26">
        <f>MAX(V7_BURN_FLOOR,1-V7_BURN_SLOPE*MIN(1,MAX(0,R125)))</f>
        <v/>
      </c>
      <c r="AE125" s="26">
        <f>IF(V7_USE_ISSUER=1,IFERROR(VLOOKUP(Q125,V7_ISSUER_TABLE,3,FALSE),1),1)</f>
        <v/>
      </c>
      <c r="AF125" s="26">
        <f>PRODUCT(W125:AE125)</f>
        <v/>
      </c>
      <c r="AG125" s="27">
        <f>MIN(V7_BASE_SMM*AF125,V7_SMM_CAP)</f>
        <v/>
      </c>
      <c r="AH125" s="28">
        <f>1-(1-AG125)^12</f>
        <v/>
      </c>
      <c r="AI125" s="28">
        <f>IFERROR(LN(W125)/(LN(W125)+LN(X125)+LN(Y125)+LN(Z125)+LN(AA125)+LN(AB125)+LN(AC125)+LN(AD125))*(AH125-V7_BASE_CPR),0)</f>
        <v/>
      </c>
      <c r="AJ125" s="28">
        <f>IFERROR(LN(X125)/(LN(W125)+LN(X125)+LN(Y125)+LN(Z125)+LN(AA125)+LN(AB125)+LN(AC125)+LN(AD125))*(AH125-V7_BASE_CPR),0)</f>
        <v/>
      </c>
      <c r="AK125" s="28">
        <f>IFERROR(LN(Y125)/(LN(W125)+LN(X125)+LN(Y125)+LN(Z125)+LN(AA125)+LN(AB125)+LN(AC125)+LN(AD125))*(AH125-V7_BASE_CPR),0)</f>
        <v/>
      </c>
      <c r="AL125" s="28">
        <f>IFERROR(LN(Z125)/(LN(W125)+LN(X125)+LN(Y125)+LN(Z125)+LN(AA125)+LN(AB125)+LN(AC125)+LN(AD125))*(AH125-V7_BASE_CPR),0)</f>
        <v/>
      </c>
      <c r="AM125" s="28">
        <f>IFERROR(LN(AA125)/(LN(W125)+LN(X125)+LN(Y125)+LN(Z125)+LN(AA125)+LN(AB125)+LN(AC125)+LN(AD125))*(AH125-V7_BASE_CPR),0)</f>
        <v/>
      </c>
      <c r="AN125" s="28">
        <f>IFERROR(LN(AB125)/(LN(W125)+LN(X125)+LN(Y125)+LN(Z125)+LN(AA125)+LN(AB125)+LN(AC125)+LN(AD125))*(AH125-V7_BASE_CPR),0)</f>
        <v/>
      </c>
      <c r="AO125" s="28">
        <f>IFERROR(LN(AC125)/(LN(W125)+LN(X125)+LN(Y125)+LN(Z125)+LN(AA125)+LN(AB125)+LN(AC125)+LN(AD125))*(AH125-V7_BASE_CPR),0)</f>
        <v/>
      </c>
      <c r="AP125" s="28">
        <f>IFERROR(LN(AD125)/(LN(W125)+LN(X125)+LN(Y125)+LN(Z125)+LN(AA125)+LN(AB125)+LN(AC125)+LN(AD125))*(AH125-V7_BASE_CPR),0)</f>
        <v/>
      </c>
      <c r="AQ125" s="29">
        <f>V7_BASE_CPR+SUM(AI125:AP125)-AH125</f>
        <v/>
      </c>
    </row>
    <row r="126">
      <c r="A126" s="2" t="inlineStr">
        <is>
          <t>3617KG2Y5_000000007311982</t>
        </is>
      </c>
      <c r="B126" t="inlineStr">
        <is>
          <t>MERCHANTS_PRE21</t>
        </is>
      </c>
      <c r="C126" s="2" t="inlineStr">
        <is>
          <t>3617KG2Y5</t>
        </is>
      </c>
      <c r="D126" t="inlineStr">
        <is>
          <t>MERCHANTS CAPITAL SERVICING LLC</t>
        </is>
      </c>
      <c r="E126" t="inlineStr">
        <is>
          <t>223f</t>
        </is>
      </c>
      <c r="F126" t="inlineStr">
        <is>
          <t>RP</t>
        </is>
      </c>
      <c r="G126" t="n">
        <v>2020</v>
      </c>
      <c r="H126" t="inlineStr">
        <is>
          <t>202602</t>
        </is>
      </c>
      <c r="I126" s="22" t="n">
        <v>14899055.27</v>
      </c>
      <c r="J126" s="23" t="n">
        <v>3</v>
      </c>
      <c r="K126" s="24" t="n">
        <v>447</v>
      </c>
      <c r="L126" s="24" t="n">
        <v>5</v>
      </c>
      <c r="M126" t="n">
        <v>72</v>
      </c>
      <c r="N126" s="25" t="n">
        <v>9</v>
      </c>
      <c r="O126" t="n">
        <v>205503</v>
      </c>
      <c r="P126" t="inlineStr"/>
      <c r="Q126" t="inlineStr">
        <is>
          <t>4265</t>
        </is>
      </c>
      <c r="R126" s="26" t="n">
        <v>0.125</v>
      </c>
      <c r="S126" t="n">
        <v>0</v>
      </c>
      <c r="T126" s="23">
        <f>LN(1+I126)</f>
        <v/>
      </c>
      <c r="U126" s="24">
        <f>J126*100-K126</f>
        <v/>
      </c>
      <c r="V126" s="24">
        <f>U126-12.5*(L126+1)</f>
        <v/>
      </c>
      <c r="W126" s="26">
        <f>IF(M126&lt;=V7_AGE_KNOT_X_0,V7_AGE_KNOT_Y_0,IF(M126&gt;=V7_AGE_KNOT_X_5,V7_AGE_KNOT_Y_5,IF(M126&lt;=V7_AGE_KNOT_X_1,V7_AGE_KNOT_Y_0+(M126-V7_AGE_KNOT_X_0)/(V7_AGE_KNOT_X_1-V7_AGE_KNOT_X_0)*(V7_AGE_KNOT_Y_1-V7_AGE_KNOT_Y_0),IF(M126&lt;=V7_AGE_KNOT_X_2,V7_AGE_KNOT_Y_1+(M126-V7_AGE_KNOT_X_1)/(V7_AGE_KNOT_X_2-V7_AGE_KNOT_X_1)*(V7_AGE_KNOT_Y_2-V7_AGE_KNOT_Y_1),IF(M126&lt;=V7_AGE_KNOT_X_3,V7_AGE_KNOT_Y_2+(M126-V7_AGE_KNOT_X_2)/(V7_AGE_KNOT_X_3-V7_AGE_KNOT_X_2)*(V7_AGE_KNOT_Y_3-V7_AGE_KNOT_Y_2),IF(M126&lt;=V7_AGE_KNOT_X_4,V7_AGE_KNOT_Y_3+(M126-V7_AGE_KNOT_X_3)/(V7_AGE_KNOT_X_4-V7_AGE_KNOT_X_3)*(V7_AGE_KNOT_Y_4-V7_AGE_KNOT_Y_3),V7_AGE_KNOT_Y_4+(M126-V7_AGE_KNOT_X_4)/(V7_AGE_KNOT_X_5-V7_AGE_KNOT_X_4)*(V7_AGE_KNOT_Y_5-V7_AGE_KNOT_Y_4)))))))</f>
        <v/>
      </c>
      <c r="X126" s="26">
        <f>V7_RATE_FLOOR+V7_RATE_ASYMPTOTE/(1+EXP(-(V126-V7_RATE_MID)/V7_RATE_SLOPE))</f>
        <v/>
      </c>
      <c r="Y126" s="26">
        <f>MAX(V7_SIZE_LOW,MIN(V7_SIZE_HIGH,V7_SIZE_INTERCEPT+V7_SIZE_SLOPE*(T126-V7_SIZE_LOG_ANCHOR)))</f>
        <v/>
      </c>
      <c r="Z126" s="26">
        <f>IF(ISNUMBER(SEARCH("232",E126)),VLOOKUP("232",V7_PROGRAM_TABLE,2,FALSE),IF(ISNUMBER(SEARCH("538",E126)),VLOOKUP("538",V7_PROGRAM_TABLE,2,FALSE),IF(ISNUMBER(SEARCH("223a7",E126)),VLOOKUP("223a7",V7_PROGRAM_TABLE,2,FALSE),IF(ISNUMBER(SEARCH("223f",E126)),VLOOKUP("223f",V7_PROGRAM_TABLE,2,FALSE),V7_PROGRAM_DEFAULT))))</f>
        <v/>
      </c>
      <c r="AA126" s="26">
        <f>IF(S126=1,1+V7_PURPOSE_NC_BUMP*MAX(0,1-ABS(M126-V7_PURPOSE_PEAK_AGE)/V7_PURPOSE_WIDTH),1)</f>
        <v/>
      </c>
      <c r="AB126" s="26">
        <f>IF(AND(IF(OR(P126="",NOT(ISNUMBER(P126))),0,MAX(0,MIN(24,(INT(VALUE(H126)/100)-INT(P126/100))*12+MOD(VALUE(H126),100)-MOD(P126,100))))&gt;0,IF(OR(P126="",NOT(ISNUMBER(P126))),0,MAX(0,MIN(24,(INT(VALUE(H126)/100)-INT(P126/100))*12+MOD(VALUE(H126),100)-MOD(P126,100))))&lt;=12),1+V7_LOCKOUT_AMP*EXP(-(IF(OR(P126="",NOT(ISNUMBER(P126))),0,MAX(0,MIN(24,(INT(VALUE(H126)/100)-INT(P126/100))*12+MOD(VALUE(H126),100)-MOD(P126,100)))))/V7_LOCKOUT_TAU),1)</f>
        <v/>
      </c>
      <c r="AC126" s="26">
        <f>IF(IF(OR(O126="",NOT(ISNUMBER(O126))),360,MAX(0,MIN(480,(INT(O126/100)-INT(VALUE(H126)/100))*12+MOD(O126,100)-MOD(VALUE(H126),100))))&gt;0,1+V7_MTY_AMP*MAX(0,(V7_MTY_CUTOFF-(IF(OR(O126="",NOT(ISNUMBER(O126))),360,MAX(0,MIN(480,(INT(O126/100)-INT(VALUE(H126)/100))*12+MOD(O126,100)-MOD(VALUE(H126),100))))))/V7_MTY_CUTOFF),1)</f>
        <v/>
      </c>
      <c r="AD126" s="26">
        <f>MAX(V7_BURN_FLOOR,1-V7_BURN_SLOPE*MIN(1,MAX(0,R126)))</f>
        <v/>
      </c>
      <c r="AE126" s="26">
        <f>IF(V7_USE_ISSUER=1,IFERROR(VLOOKUP(Q126,V7_ISSUER_TABLE,3,FALSE),1),1)</f>
        <v/>
      </c>
      <c r="AF126" s="26">
        <f>PRODUCT(W126:AE126)</f>
        <v/>
      </c>
      <c r="AG126" s="27">
        <f>MIN(V7_BASE_SMM*AF126,V7_SMM_CAP)</f>
        <v/>
      </c>
      <c r="AH126" s="28">
        <f>1-(1-AG126)^12</f>
        <v/>
      </c>
      <c r="AI126" s="28">
        <f>IFERROR(LN(W126)/(LN(W126)+LN(X126)+LN(Y126)+LN(Z126)+LN(AA126)+LN(AB126)+LN(AC126)+LN(AD126))*(AH126-V7_BASE_CPR),0)</f>
        <v/>
      </c>
      <c r="AJ126" s="28">
        <f>IFERROR(LN(X126)/(LN(W126)+LN(X126)+LN(Y126)+LN(Z126)+LN(AA126)+LN(AB126)+LN(AC126)+LN(AD126))*(AH126-V7_BASE_CPR),0)</f>
        <v/>
      </c>
      <c r="AK126" s="28">
        <f>IFERROR(LN(Y126)/(LN(W126)+LN(X126)+LN(Y126)+LN(Z126)+LN(AA126)+LN(AB126)+LN(AC126)+LN(AD126))*(AH126-V7_BASE_CPR),0)</f>
        <v/>
      </c>
      <c r="AL126" s="28">
        <f>IFERROR(LN(Z126)/(LN(W126)+LN(X126)+LN(Y126)+LN(Z126)+LN(AA126)+LN(AB126)+LN(AC126)+LN(AD126))*(AH126-V7_BASE_CPR),0)</f>
        <v/>
      </c>
      <c r="AM126" s="28">
        <f>IFERROR(LN(AA126)/(LN(W126)+LN(X126)+LN(Y126)+LN(Z126)+LN(AA126)+LN(AB126)+LN(AC126)+LN(AD126))*(AH126-V7_BASE_CPR),0)</f>
        <v/>
      </c>
      <c r="AN126" s="28">
        <f>IFERROR(LN(AB126)/(LN(W126)+LN(X126)+LN(Y126)+LN(Z126)+LN(AA126)+LN(AB126)+LN(AC126)+LN(AD126))*(AH126-V7_BASE_CPR),0)</f>
        <v/>
      </c>
      <c r="AO126" s="28">
        <f>IFERROR(LN(AC126)/(LN(W126)+LN(X126)+LN(Y126)+LN(Z126)+LN(AA126)+LN(AB126)+LN(AC126)+LN(AD126))*(AH126-V7_BASE_CPR),0)</f>
        <v/>
      </c>
      <c r="AP126" s="28">
        <f>IFERROR(LN(AD126)/(LN(W126)+LN(X126)+LN(Y126)+LN(Z126)+LN(AA126)+LN(AB126)+LN(AC126)+LN(AD126))*(AH126-V7_BASE_CPR),0)</f>
        <v/>
      </c>
      <c r="AQ126" s="29">
        <f>V7_BASE_CPR+SUM(AI126:AP126)-AH126</f>
        <v/>
      </c>
    </row>
    <row r="127">
      <c r="A127" s="2" t="inlineStr">
        <is>
          <t>36177NU24_000000004211222</t>
        </is>
      </c>
      <c r="B127" t="inlineStr">
        <is>
          <t>MERCHANTS_PRE21</t>
        </is>
      </c>
      <c r="C127" s="2" t="inlineStr">
        <is>
          <t>36177NU24</t>
        </is>
      </c>
      <c r="D127" t="inlineStr">
        <is>
          <t>MERCHANTS CAPITAL SERVICING LLC</t>
        </is>
      </c>
      <c r="E127" t="inlineStr">
        <is>
          <t>223f</t>
        </is>
      </c>
      <c r="F127" t="inlineStr">
        <is>
          <t>RP</t>
        </is>
      </c>
      <c r="G127" t="n">
        <v>2013</v>
      </c>
      <c r="H127" t="inlineStr">
        <is>
          <t>202602</t>
        </is>
      </c>
      <c r="I127" s="22" t="n">
        <v>1650551.67</v>
      </c>
      <c r="J127" s="23" t="n">
        <v>3.75</v>
      </c>
      <c r="K127" s="24" t="n">
        <v>447</v>
      </c>
      <c r="L127" s="24" t="n">
        <v>0</v>
      </c>
      <c r="M127" t="n">
        <v>155</v>
      </c>
      <c r="N127" s="25" t="n">
        <v>37</v>
      </c>
      <c r="O127" t="n">
        <v>204804</v>
      </c>
      <c r="P127" t="inlineStr"/>
      <c r="Q127" t="inlineStr">
        <is>
          <t>4265</t>
        </is>
      </c>
      <c r="R127" s="26" t="n">
        <v>0.2387096774193548</v>
      </c>
      <c r="S127" t="n">
        <v>0</v>
      </c>
      <c r="T127" s="23">
        <f>LN(1+I127)</f>
        <v/>
      </c>
      <c r="U127" s="24">
        <f>J127*100-K127</f>
        <v/>
      </c>
      <c r="V127" s="24">
        <f>U127-12.5*(L127+1)</f>
        <v/>
      </c>
      <c r="W127" s="26">
        <f>IF(M127&lt;=V7_AGE_KNOT_X_0,V7_AGE_KNOT_Y_0,IF(M127&gt;=V7_AGE_KNOT_X_5,V7_AGE_KNOT_Y_5,IF(M127&lt;=V7_AGE_KNOT_X_1,V7_AGE_KNOT_Y_0+(M127-V7_AGE_KNOT_X_0)/(V7_AGE_KNOT_X_1-V7_AGE_KNOT_X_0)*(V7_AGE_KNOT_Y_1-V7_AGE_KNOT_Y_0),IF(M127&lt;=V7_AGE_KNOT_X_2,V7_AGE_KNOT_Y_1+(M127-V7_AGE_KNOT_X_1)/(V7_AGE_KNOT_X_2-V7_AGE_KNOT_X_1)*(V7_AGE_KNOT_Y_2-V7_AGE_KNOT_Y_1),IF(M127&lt;=V7_AGE_KNOT_X_3,V7_AGE_KNOT_Y_2+(M127-V7_AGE_KNOT_X_2)/(V7_AGE_KNOT_X_3-V7_AGE_KNOT_X_2)*(V7_AGE_KNOT_Y_3-V7_AGE_KNOT_Y_2),IF(M127&lt;=V7_AGE_KNOT_X_4,V7_AGE_KNOT_Y_3+(M127-V7_AGE_KNOT_X_3)/(V7_AGE_KNOT_X_4-V7_AGE_KNOT_X_3)*(V7_AGE_KNOT_Y_4-V7_AGE_KNOT_Y_3),V7_AGE_KNOT_Y_4+(M127-V7_AGE_KNOT_X_4)/(V7_AGE_KNOT_X_5-V7_AGE_KNOT_X_4)*(V7_AGE_KNOT_Y_5-V7_AGE_KNOT_Y_4)))))))</f>
        <v/>
      </c>
      <c r="X127" s="26">
        <f>V7_RATE_FLOOR+V7_RATE_ASYMPTOTE/(1+EXP(-(V127-V7_RATE_MID)/V7_RATE_SLOPE))</f>
        <v/>
      </c>
      <c r="Y127" s="26">
        <f>MAX(V7_SIZE_LOW,MIN(V7_SIZE_HIGH,V7_SIZE_INTERCEPT+V7_SIZE_SLOPE*(T127-V7_SIZE_LOG_ANCHOR)))</f>
        <v/>
      </c>
      <c r="Z127" s="26">
        <f>IF(ISNUMBER(SEARCH("232",E127)),VLOOKUP("232",V7_PROGRAM_TABLE,2,FALSE),IF(ISNUMBER(SEARCH("538",E127)),VLOOKUP("538",V7_PROGRAM_TABLE,2,FALSE),IF(ISNUMBER(SEARCH("223a7",E127)),VLOOKUP("223a7",V7_PROGRAM_TABLE,2,FALSE),IF(ISNUMBER(SEARCH("223f",E127)),VLOOKUP("223f",V7_PROGRAM_TABLE,2,FALSE),V7_PROGRAM_DEFAULT))))</f>
        <v/>
      </c>
      <c r="AA127" s="26">
        <f>IF(S127=1,1+V7_PURPOSE_NC_BUMP*MAX(0,1-ABS(M127-V7_PURPOSE_PEAK_AGE)/V7_PURPOSE_WIDTH),1)</f>
        <v/>
      </c>
      <c r="AB127" s="26">
        <f>IF(AND(IF(OR(P127="",NOT(ISNUMBER(P127))),0,MAX(0,MIN(24,(INT(VALUE(H127)/100)-INT(P127/100))*12+MOD(VALUE(H127),100)-MOD(P127,100))))&gt;0,IF(OR(P127="",NOT(ISNUMBER(P127))),0,MAX(0,MIN(24,(INT(VALUE(H127)/100)-INT(P127/100))*12+MOD(VALUE(H127),100)-MOD(P127,100))))&lt;=12),1+V7_LOCKOUT_AMP*EXP(-(IF(OR(P127="",NOT(ISNUMBER(P127))),0,MAX(0,MIN(24,(INT(VALUE(H127)/100)-INT(P127/100))*12+MOD(VALUE(H127),100)-MOD(P127,100)))))/V7_LOCKOUT_TAU),1)</f>
        <v/>
      </c>
      <c r="AC127" s="26">
        <f>IF(IF(OR(O127="",NOT(ISNUMBER(O127))),360,MAX(0,MIN(480,(INT(O127/100)-INT(VALUE(H127)/100))*12+MOD(O127,100)-MOD(VALUE(H127),100))))&gt;0,1+V7_MTY_AMP*MAX(0,(V7_MTY_CUTOFF-(IF(OR(O127="",NOT(ISNUMBER(O127))),360,MAX(0,MIN(480,(INT(O127/100)-INT(VALUE(H127)/100))*12+MOD(O127,100)-MOD(VALUE(H127),100))))))/V7_MTY_CUTOFF),1)</f>
        <v/>
      </c>
      <c r="AD127" s="26">
        <f>MAX(V7_BURN_FLOOR,1-V7_BURN_SLOPE*MIN(1,MAX(0,R127)))</f>
        <v/>
      </c>
      <c r="AE127" s="26">
        <f>IF(V7_USE_ISSUER=1,IFERROR(VLOOKUP(Q127,V7_ISSUER_TABLE,3,FALSE),1),1)</f>
        <v/>
      </c>
      <c r="AF127" s="26">
        <f>PRODUCT(W127:AE127)</f>
        <v/>
      </c>
      <c r="AG127" s="27">
        <f>MIN(V7_BASE_SMM*AF127,V7_SMM_CAP)</f>
        <v/>
      </c>
      <c r="AH127" s="28">
        <f>1-(1-AG127)^12</f>
        <v/>
      </c>
      <c r="AI127" s="28">
        <f>IFERROR(LN(W127)/(LN(W127)+LN(X127)+LN(Y127)+LN(Z127)+LN(AA127)+LN(AB127)+LN(AC127)+LN(AD127))*(AH127-V7_BASE_CPR),0)</f>
        <v/>
      </c>
      <c r="AJ127" s="28">
        <f>IFERROR(LN(X127)/(LN(W127)+LN(X127)+LN(Y127)+LN(Z127)+LN(AA127)+LN(AB127)+LN(AC127)+LN(AD127))*(AH127-V7_BASE_CPR),0)</f>
        <v/>
      </c>
      <c r="AK127" s="28">
        <f>IFERROR(LN(Y127)/(LN(W127)+LN(X127)+LN(Y127)+LN(Z127)+LN(AA127)+LN(AB127)+LN(AC127)+LN(AD127))*(AH127-V7_BASE_CPR),0)</f>
        <v/>
      </c>
      <c r="AL127" s="28">
        <f>IFERROR(LN(Z127)/(LN(W127)+LN(X127)+LN(Y127)+LN(Z127)+LN(AA127)+LN(AB127)+LN(AC127)+LN(AD127))*(AH127-V7_BASE_CPR),0)</f>
        <v/>
      </c>
      <c r="AM127" s="28">
        <f>IFERROR(LN(AA127)/(LN(W127)+LN(X127)+LN(Y127)+LN(Z127)+LN(AA127)+LN(AB127)+LN(AC127)+LN(AD127))*(AH127-V7_BASE_CPR),0)</f>
        <v/>
      </c>
      <c r="AN127" s="28">
        <f>IFERROR(LN(AB127)/(LN(W127)+LN(X127)+LN(Y127)+LN(Z127)+LN(AA127)+LN(AB127)+LN(AC127)+LN(AD127))*(AH127-V7_BASE_CPR),0)</f>
        <v/>
      </c>
      <c r="AO127" s="28">
        <f>IFERROR(LN(AC127)/(LN(W127)+LN(X127)+LN(Y127)+LN(Z127)+LN(AA127)+LN(AB127)+LN(AC127)+LN(AD127))*(AH127-V7_BASE_CPR),0)</f>
        <v/>
      </c>
      <c r="AP127" s="28">
        <f>IFERROR(LN(AD127)/(LN(W127)+LN(X127)+LN(Y127)+LN(Z127)+LN(AA127)+LN(AB127)+LN(AC127)+LN(AD127))*(AH127-V7_BASE_CPR),0)</f>
        <v/>
      </c>
      <c r="AQ127" s="29">
        <f>V7_BASE_CPR+SUM(AI127:AP127)-AH127</f>
        <v/>
      </c>
    </row>
    <row r="128">
      <c r="A128" s="2" t="inlineStr">
        <is>
          <t>3617VDVL6_000000008335751</t>
        </is>
      </c>
      <c r="B128" t="inlineStr">
        <is>
          <t>MERCHANTS_PRE21</t>
        </is>
      </c>
      <c r="C128" s="2" t="inlineStr">
        <is>
          <t>3617VDVL6</t>
        </is>
      </c>
      <c r="D128" t="inlineStr">
        <is>
          <t>MERCHANTS CAPITAL CORP.</t>
        </is>
      </c>
      <c r="E128" t="inlineStr">
        <is>
          <t>221d4</t>
        </is>
      </c>
      <c r="F128" t="inlineStr">
        <is>
          <t>NC</t>
        </is>
      </c>
      <c r="G128" t="n">
        <v>2018</v>
      </c>
      <c r="H128" t="inlineStr">
        <is>
          <t>202602</t>
        </is>
      </c>
      <c r="I128" s="22" t="n">
        <v>33199053.07</v>
      </c>
      <c r="J128" s="23" t="n">
        <v>3.64</v>
      </c>
      <c r="K128" s="24" t="n">
        <v>447</v>
      </c>
      <c r="L128" s="24" t="n">
        <v>7</v>
      </c>
      <c r="M128" t="n">
        <v>95</v>
      </c>
      <c r="N128" s="25" t="n">
        <v>8</v>
      </c>
      <c r="O128" t="n">
        <v>206004</v>
      </c>
      <c r="P128" t="n">
        <v>202206</v>
      </c>
      <c r="Q128" t="inlineStr">
        <is>
          <t>3487</t>
        </is>
      </c>
      <c r="R128" s="26" t="n">
        <v>0.08421052631578947</v>
      </c>
      <c r="S128" t="n">
        <v>1</v>
      </c>
      <c r="T128" s="23">
        <f>LN(1+I128)</f>
        <v/>
      </c>
      <c r="U128" s="24">
        <f>J128*100-K128</f>
        <v/>
      </c>
      <c r="V128" s="24">
        <f>U128-12.5*(L128+1)</f>
        <v/>
      </c>
      <c r="W128" s="26">
        <f>IF(M128&lt;=V7_AGE_KNOT_X_0,V7_AGE_KNOT_Y_0,IF(M128&gt;=V7_AGE_KNOT_X_5,V7_AGE_KNOT_Y_5,IF(M128&lt;=V7_AGE_KNOT_X_1,V7_AGE_KNOT_Y_0+(M128-V7_AGE_KNOT_X_0)/(V7_AGE_KNOT_X_1-V7_AGE_KNOT_X_0)*(V7_AGE_KNOT_Y_1-V7_AGE_KNOT_Y_0),IF(M128&lt;=V7_AGE_KNOT_X_2,V7_AGE_KNOT_Y_1+(M128-V7_AGE_KNOT_X_1)/(V7_AGE_KNOT_X_2-V7_AGE_KNOT_X_1)*(V7_AGE_KNOT_Y_2-V7_AGE_KNOT_Y_1),IF(M128&lt;=V7_AGE_KNOT_X_3,V7_AGE_KNOT_Y_2+(M128-V7_AGE_KNOT_X_2)/(V7_AGE_KNOT_X_3-V7_AGE_KNOT_X_2)*(V7_AGE_KNOT_Y_3-V7_AGE_KNOT_Y_2),IF(M128&lt;=V7_AGE_KNOT_X_4,V7_AGE_KNOT_Y_3+(M128-V7_AGE_KNOT_X_3)/(V7_AGE_KNOT_X_4-V7_AGE_KNOT_X_3)*(V7_AGE_KNOT_Y_4-V7_AGE_KNOT_Y_3),V7_AGE_KNOT_Y_4+(M128-V7_AGE_KNOT_X_4)/(V7_AGE_KNOT_X_5-V7_AGE_KNOT_X_4)*(V7_AGE_KNOT_Y_5-V7_AGE_KNOT_Y_4)))))))</f>
        <v/>
      </c>
      <c r="X128" s="26">
        <f>V7_RATE_FLOOR+V7_RATE_ASYMPTOTE/(1+EXP(-(V128-V7_RATE_MID)/V7_RATE_SLOPE))</f>
        <v/>
      </c>
      <c r="Y128" s="26">
        <f>MAX(V7_SIZE_LOW,MIN(V7_SIZE_HIGH,V7_SIZE_INTERCEPT+V7_SIZE_SLOPE*(T128-V7_SIZE_LOG_ANCHOR)))</f>
        <v/>
      </c>
      <c r="Z128" s="26">
        <f>IF(ISNUMBER(SEARCH("232",E128)),VLOOKUP("232",V7_PROGRAM_TABLE,2,FALSE),IF(ISNUMBER(SEARCH("538",E128)),VLOOKUP("538",V7_PROGRAM_TABLE,2,FALSE),IF(ISNUMBER(SEARCH("223a7",E128)),VLOOKUP("223a7",V7_PROGRAM_TABLE,2,FALSE),IF(ISNUMBER(SEARCH("223f",E128)),VLOOKUP("223f",V7_PROGRAM_TABLE,2,FALSE),V7_PROGRAM_DEFAULT))))</f>
        <v/>
      </c>
      <c r="AA128" s="26">
        <f>IF(S128=1,1+V7_PURPOSE_NC_BUMP*MAX(0,1-ABS(M128-V7_PURPOSE_PEAK_AGE)/V7_PURPOSE_WIDTH),1)</f>
        <v/>
      </c>
      <c r="AB128" s="26">
        <f>IF(AND(IF(OR(P128="",NOT(ISNUMBER(P128))),0,MAX(0,MIN(24,(INT(VALUE(H128)/100)-INT(P128/100))*12+MOD(VALUE(H128),100)-MOD(P128,100))))&gt;0,IF(OR(P128="",NOT(ISNUMBER(P128))),0,MAX(0,MIN(24,(INT(VALUE(H128)/100)-INT(P128/100))*12+MOD(VALUE(H128),100)-MOD(P128,100))))&lt;=12),1+V7_LOCKOUT_AMP*EXP(-(IF(OR(P128="",NOT(ISNUMBER(P128))),0,MAX(0,MIN(24,(INT(VALUE(H128)/100)-INT(P128/100))*12+MOD(VALUE(H128),100)-MOD(P128,100)))))/V7_LOCKOUT_TAU),1)</f>
        <v/>
      </c>
      <c r="AC128" s="26">
        <f>IF(IF(OR(O128="",NOT(ISNUMBER(O128))),360,MAX(0,MIN(480,(INT(O128/100)-INT(VALUE(H128)/100))*12+MOD(O128,100)-MOD(VALUE(H128),100))))&gt;0,1+V7_MTY_AMP*MAX(0,(V7_MTY_CUTOFF-(IF(OR(O128="",NOT(ISNUMBER(O128))),360,MAX(0,MIN(480,(INT(O128/100)-INT(VALUE(H128)/100))*12+MOD(O128,100)-MOD(VALUE(H128),100))))))/V7_MTY_CUTOFF),1)</f>
        <v/>
      </c>
      <c r="AD128" s="26">
        <f>MAX(V7_BURN_FLOOR,1-V7_BURN_SLOPE*MIN(1,MAX(0,R128)))</f>
        <v/>
      </c>
      <c r="AE128" s="26">
        <f>IF(V7_USE_ISSUER=1,IFERROR(VLOOKUP(Q128,V7_ISSUER_TABLE,3,FALSE),1),1)</f>
        <v/>
      </c>
      <c r="AF128" s="26">
        <f>PRODUCT(W128:AE128)</f>
        <v/>
      </c>
      <c r="AG128" s="27">
        <f>MIN(V7_BASE_SMM*AF128,V7_SMM_CAP)</f>
        <v/>
      </c>
      <c r="AH128" s="28">
        <f>1-(1-AG128)^12</f>
        <v/>
      </c>
      <c r="AI128" s="28">
        <f>IFERROR(LN(W128)/(LN(W128)+LN(X128)+LN(Y128)+LN(Z128)+LN(AA128)+LN(AB128)+LN(AC128)+LN(AD128))*(AH128-V7_BASE_CPR),0)</f>
        <v/>
      </c>
      <c r="AJ128" s="28">
        <f>IFERROR(LN(X128)/(LN(W128)+LN(X128)+LN(Y128)+LN(Z128)+LN(AA128)+LN(AB128)+LN(AC128)+LN(AD128))*(AH128-V7_BASE_CPR),0)</f>
        <v/>
      </c>
      <c r="AK128" s="28">
        <f>IFERROR(LN(Y128)/(LN(W128)+LN(X128)+LN(Y128)+LN(Z128)+LN(AA128)+LN(AB128)+LN(AC128)+LN(AD128))*(AH128-V7_BASE_CPR),0)</f>
        <v/>
      </c>
      <c r="AL128" s="28">
        <f>IFERROR(LN(Z128)/(LN(W128)+LN(X128)+LN(Y128)+LN(Z128)+LN(AA128)+LN(AB128)+LN(AC128)+LN(AD128))*(AH128-V7_BASE_CPR),0)</f>
        <v/>
      </c>
      <c r="AM128" s="28">
        <f>IFERROR(LN(AA128)/(LN(W128)+LN(X128)+LN(Y128)+LN(Z128)+LN(AA128)+LN(AB128)+LN(AC128)+LN(AD128))*(AH128-V7_BASE_CPR),0)</f>
        <v/>
      </c>
      <c r="AN128" s="28">
        <f>IFERROR(LN(AB128)/(LN(W128)+LN(X128)+LN(Y128)+LN(Z128)+LN(AA128)+LN(AB128)+LN(AC128)+LN(AD128))*(AH128-V7_BASE_CPR),0)</f>
        <v/>
      </c>
      <c r="AO128" s="28">
        <f>IFERROR(LN(AC128)/(LN(W128)+LN(X128)+LN(Y128)+LN(Z128)+LN(AA128)+LN(AB128)+LN(AC128)+LN(AD128))*(AH128-V7_BASE_CPR),0)</f>
        <v/>
      </c>
      <c r="AP128" s="28">
        <f>IFERROR(LN(AD128)/(LN(W128)+LN(X128)+LN(Y128)+LN(Z128)+LN(AA128)+LN(AB128)+LN(AC128)+LN(AD128))*(AH128-V7_BASE_CPR),0)</f>
        <v/>
      </c>
      <c r="AQ128" s="29">
        <f>V7_BASE_CPR+SUM(AI128:AP128)-AH128</f>
        <v/>
      </c>
    </row>
    <row r="129">
      <c r="A129" s="2" t="inlineStr">
        <is>
          <t>3617Y4HL9_000000006135951</t>
        </is>
      </c>
      <c r="B129" t="inlineStr">
        <is>
          <t>MERCHANTS_POST21</t>
        </is>
      </c>
      <c r="C129" s="2" t="inlineStr">
        <is>
          <t>3617Y4HL9</t>
        </is>
      </c>
      <c r="D129" t="inlineStr">
        <is>
          <t>MERCHANTS CAPITAL CORP.</t>
        </is>
      </c>
      <c r="E129" t="inlineStr">
        <is>
          <t>221d4</t>
        </is>
      </c>
      <c r="F129" t="inlineStr">
        <is>
          <t>NC</t>
        </is>
      </c>
      <c r="G129" t="n">
        <v>2022</v>
      </c>
      <c r="H129" t="inlineStr">
        <is>
          <t>202602</t>
        </is>
      </c>
      <c r="I129" s="22" t="n">
        <v>14907417.95</v>
      </c>
      <c r="J129" s="23" t="n">
        <v>2.85</v>
      </c>
      <c r="K129" s="24" t="n">
        <v>447</v>
      </c>
      <c r="L129" s="24" t="n">
        <v>9</v>
      </c>
      <c r="M129" t="n">
        <v>49</v>
      </c>
      <c r="N129" s="25" t="n">
        <v>0</v>
      </c>
      <c r="O129" t="n">
        <v>206405</v>
      </c>
      <c r="P129" t="inlineStr"/>
      <c r="Q129" t="inlineStr">
        <is>
          <t>3487</t>
        </is>
      </c>
      <c r="R129" s="26" t="n">
        <v>0</v>
      </c>
      <c r="S129" t="n">
        <v>1</v>
      </c>
      <c r="T129" s="23">
        <f>LN(1+I129)</f>
        <v/>
      </c>
      <c r="U129" s="24">
        <f>J129*100-K129</f>
        <v/>
      </c>
      <c r="V129" s="24">
        <f>U129-12.5*(L129+1)</f>
        <v/>
      </c>
      <c r="W129" s="26">
        <f>IF(M129&lt;=V7_AGE_KNOT_X_0,V7_AGE_KNOT_Y_0,IF(M129&gt;=V7_AGE_KNOT_X_5,V7_AGE_KNOT_Y_5,IF(M129&lt;=V7_AGE_KNOT_X_1,V7_AGE_KNOT_Y_0+(M129-V7_AGE_KNOT_X_0)/(V7_AGE_KNOT_X_1-V7_AGE_KNOT_X_0)*(V7_AGE_KNOT_Y_1-V7_AGE_KNOT_Y_0),IF(M129&lt;=V7_AGE_KNOT_X_2,V7_AGE_KNOT_Y_1+(M129-V7_AGE_KNOT_X_1)/(V7_AGE_KNOT_X_2-V7_AGE_KNOT_X_1)*(V7_AGE_KNOT_Y_2-V7_AGE_KNOT_Y_1),IF(M129&lt;=V7_AGE_KNOT_X_3,V7_AGE_KNOT_Y_2+(M129-V7_AGE_KNOT_X_2)/(V7_AGE_KNOT_X_3-V7_AGE_KNOT_X_2)*(V7_AGE_KNOT_Y_3-V7_AGE_KNOT_Y_2),IF(M129&lt;=V7_AGE_KNOT_X_4,V7_AGE_KNOT_Y_3+(M129-V7_AGE_KNOT_X_3)/(V7_AGE_KNOT_X_4-V7_AGE_KNOT_X_3)*(V7_AGE_KNOT_Y_4-V7_AGE_KNOT_Y_3),V7_AGE_KNOT_Y_4+(M129-V7_AGE_KNOT_X_4)/(V7_AGE_KNOT_X_5-V7_AGE_KNOT_X_4)*(V7_AGE_KNOT_Y_5-V7_AGE_KNOT_Y_4)))))))</f>
        <v/>
      </c>
      <c r="X129" s="26">
        <f>V7_RATE_FLOOR+V7_RATE_ASYMPTOTE/(1+EXP(-(V129-V7_RATE_MID)/V7_RATE_SLOPE))</f>
        <v/>
      </c>
      <c r="Y129" s="26">
        <f>MAX(V7_SIZE_LOW,MIN(V7_SIZE_HIGH,V7_SIZE_INTERCEPT+V7_SIZE_SLOPE*(T129-V7_SIZE_LOG_ANCHOR)))</f>
        <v/>
      </c>
      <c r="Z129" s="26">
        <f>IF(ISNUMBER(SEARCH("232",E129)),VLOOKUP("232",V7_PROGRAM_TABLE,2,FALSE),IF(ISNUMBER(SEARCH("538",E129)),VLOOKUP("538",V7_PROGRAM_TABLE,2,FALSE),IF(ISNUMBER(SEARCH("223a7",E129)),VLOOKUP("223a7",V7_PROGRAM_TABLE,2,FALSE),IF(ISNUMBER(SEARCH("223f",E129)),VLOOKUP("223f",V7_PROGRAM_TABLE,2,FALSE),V7_PROGRAM_DEFAULT))))</f>
        <v/>
      </c>
      <c r="AA129" s="26">
        <f>IF(S129=1,1+V7_PURPOSE_NC_BUMP*MAX(0,1-ABS(M129-V7_PURPOSE_PEAK_AGE)/V7_PURPOSE_WIDTH),1)</f>
        <v/>
      </c>
      <c r="AB129" s="26">
        <f>IF(AND(IF(OR(P129="",NOT(ISNUMBER(P129))),0,MAX(0,MIN(24,(INT(VALUE(H129)/100)-INT(P129/100))*12+MOD(VALUE(H129),100)-MOD(P129,100))))&gt;0,IF(OR(P129="",NOT(ISNUMBER(P129))),0,MAX(0,MIN(24,(INT(VALUE(H129)/100)-INT(P129/100))*12+MOD(VALUE(H129),100)-MOD(P129,100))))&lt;=12),1+V7_LOCKOUT_AMP*EXP(-(IF(OR(P129="",NOT(ISNUMBER(P129))),0,MAX(0,MIN(24,(INT(VALUE(H129)/100)-INT(P129/100))*12+MOD(VALUE(H129),100)-MOD(P129,100)))))/V7_LOCKOUT_TAU),1)</f>
        <v/>
      </c>
      <c r="AC129" s="26">
        <f>IF(IF(OR(O129="",NOT(ISNUMBER(O129))),360,MAX(0,MIN(480,(INT(O129/100)-INT(VALUE(H129)/100))*12+MOD(O129,100)-MOD(VALUE(H129),100))))&gt;0,1+V7_MTY_AMP*MAX(0,(V7_MTY_CUTOFF-(IF(OR(O129="",NOT(ISNUMBER(O129))),360,MAX(0,MIN(480,(INT(O129/100)-INT(VALUE(H129)/100))*12+MOD(O129,100)-MOD(VALUE(H129),100))))))/V7_MTY_CUTOFF),1)</f>
        <v/>
      </c>
      <c r="AD129" s="26">
        <f>MAX(V7_BURN_FLOOR,1-V7_BURN_SLOPE*MIN(1,MAX(0,R129)))</f>
        <v/>
      </c>
      <c r="AE129" s="26">
        <f>IF(V7_USE_ISSUER=1,IFERROR(VLOOKUP(Q129,V7_ISSUER_TABLE,3,FALSE),1),1)</f>
        <v/>
      </c>
      <c r="AF129" s="26">
        <f>PRODUCT(W129:AE129)</f>
        <v/>
      </c>
      <c r="AG129" s="27">
        <f>MIN(V7_BASE_SMM*AF129,V7_SMM_CAP)</f>
        <v/>
      </c>
      <c r="AH129" s="28">
        <f>1-(1-AG129)^12</f>
        <v/>
      </c>
      <c r="AI129" s="28">
        <f>IFERROR(LN(W129)/(LN(W129)+LN(X129)+LN(Y129)+LN(Z129)+LN(AA129)+LN(AB129)+LN(AC129)+LN(AD129))*(AH129-V7_BASE_CPR),0)</f>
        <v/>
      </c>
      <c r="AJ129" s="28">
        <f>IFERROR(LN(X129)/(LN(W129)+LN(X129)+LN(Y129)+LN(Z129)+LN(AA129)+LN(AB129)+LN(AC129)+LN(AD129))*(AH129-V7_BASE_CPR),0)</f>
        <v/>
      </c>
      <c r="AK129" s="28">
        <f>IFERROR(LN(Y129)/(LN(W129)+LN(X129)+LN(Y129)+LN(Z129)+LN(AA129)+LN(AB129)+LN(AC129)+LN(AD129))*(AH129-V7_BASE_CPR),0)</f>
        <v/>
      </c>
      <c r="AL129" s="28">
        <f>IFERROR(LN(Z129)/(LN(W129)+LN(X129)+LN(Y129)+LN(Z129)+LN(AA129)+LN(AB129)+LN(AC129)+LN(AD129))*(AH129-V7_BASE_CPR),0)</f>
        <v/>
      </c>
      <c r="AM129" s="28">
        <f>IFERROR(LN(AA129)/(LN(W129)+LN(X129)+LN(Y129)+LN(Z129)+LN(AA129)+LN(AB129)+LN(AC129)+LN(AD129))*(AH129-V7_BASE_CPR),0)</f>
        <v/>
      </c>
      <c r="AN129" s="28">
        <f>IFERROR(LN(AB129)/(LN(W129)+LN(X129)+LN(Y129)+LN(Z129)+LN(AA129)+LN(AB129)+LN(AC129)+LN(AD129))*(AH129-V7_BASE_CPR),0)</f>
        <v/>
      </c>
      <c r="AO129" s="28">
        <f>IFERROR(LN(AC129)/(LN(W129)+LN(X129)+LN(Y129)+LN(Z129)+LN(AA129)+LN(AB129)+LN(AC129)+LN(AD129))*(AH129-V7_BASE_CPR),0)</f>
        <v/>
      </c>
      <c r="AP129" s="28">
        <f>IFERROR(LN(AD129)/(LN(W129)+LN(X129)+LN(Y129)+LN(Z129)+LN(AA129)+LN(AB129)+LN(AC129)+LN(AD129))*(AH129-V7_BASE_CPR),0)</f>
        <v/>
      </c>
      <c r="AQ129" s="29">
        <f>V7_BASE_CPR+SUM(AI129:AP129)-AH129</f>
        <v/>
      </c>
    </row>
    <row r="130">
      <c r="A130" s="2" t="inlineStr">
        <is>
          <t>36294WL71_040036388457355</t>
        </is>
      </c>
      <c r="B130" t="inlineStr">
        <is>
          <t>MERCHANTS_PRE21</t>
        </is>
      </c>
      <c r="C130" s="2" t="inlineStr">
        <is>
          <t>36294WL71</t>
        </is>
      </c>
      <c r="D130" t="inlineStr">
        <is>
          <t>MERCHANTS CAPITAL CORP.</t>
        </is>
      </c>
      <c r="E130" t="inlineStr">
        <is>
          <t>OTHER</t>
        </is>
      </c>
      <c r="F130" t="inlineStr">
        <is>
          <t>OTHER</t>
        </is>
      </c>
      <c r="G130" t="n">
        <v>2007</v>
      </c>
      <c r="H130" t="inlineStr">
        <is>
          <t>202602</t>
        </is>
      </c>
      <c r="I130" s="22" t="n">
        <v>359130.32</v>
      </c>
      <c r="J130" s="23" t="n">
        <v>7.28</v>
      </c>
      <c r="K130" s="24" t="n">
        <v>447</v>
      </c>
      <c r="L130" s="24" t="n">
        <v>0</v>
      </c>
      <c r="M130" t="n">
        <v>219</v>
      </c>
      <c r="N130" s="25" t="n">
        <v>37</v>
      </c>
      <c r="O130" t="n">
        <v>204711</v>
      </c>
      <c r="P130" t="n">
        <v>200811</v>
      </c>
      <c r="Q130" t="inlineStr">
        <is>
          <t>3487</t>
        </is>
      </c>
      <c r="R130" s="26" t="n">
        <v>0.1689497716894977</v>
      </c>
      <c r="S130" t="n">
        <v>0</v>
      </c>
      <c r="T130" s="23">
        <f>LN(1+I130)</f>
        <v/>
      </c>
      <c r="U130" s="24">
        <f>J130*100-K130</f>
        <v/>
      </c>
      <c r="V130" s="24">
        <f>U130-12.5*(L130+1)</f>
        <v/>
      </c>
      <c r="W130" s="26">
        <f>IF(M130&lt;=V7_AGE_KNOT_X_0,V7_AGE_KNOT_Y_0,IF(M130&gt;=V7_AGE_KNOT_X_5,V7_AGE_KNOT_Y_5,IF(M130&lt;=V7_AGE_KNOT_X_1,V7_AGE_KNOT_Y_0+(M130-V7_AGE_KNOT_X_0)/(V7_AGE_KNOT_X_1-V7_AGE_KNOT_X_0)*(V7_AGE_KNOT_Y_1-V7_AGE_KNOT_Y_0),IF(M130&lt;=V7_AGE_KNOT_X_2,V7_AGE_KNOT_Y_1+(M130-V7_AGE_KNOT_X_1)/(V7_AGE_KNOT_X_2-V7_AGE_KNOT_X_1)*(V7_AGE_KNOT_Y_2-V7_AGE_KNOT_Y_1),IF(M130&lt;=V7_AGE_KNOT_X_3,V7_AGE_KNOT_Y_2+(M130-V7_AGE_KNOT_X_2)/(V7_AGE_KNOT_X_3-V7_AGE_KNOT_X_2)*(V7_AGE_KNOT_Y_3-V7_AGE_KNOT_Y_2),IF(M130&lt;=V7_AGE_KNOT_X_4,V7_AGE_KNOT_Y_3+(M130-V7_AGE_KNOT_X_3)/(V7_AGE_KNOT_X_4-V7_AGE_KNOT_X_3)*(V7_AGE_KNOT_Y_4-V7_AGE_KNOT_Y_3),V7_AGE_KNOT_Y_4+(M130-V7_AGE_KNOT_X_4)/(V7_AGE_KNOT_X_5-V7_AGE_KNOT_X_4)*(V7_AGE_KNOT_Y_5-V7_AGE_KNOT_Y_4)))))))</f>
        <v/>
      </c>
      <c r="X130" s="26">
        <f>V7_RATE_FLOOR+V7_RATE_ASYMPTOTE/(1+EXP(-(V130-V7_RATE_MID)/V7_RATE_SLOPE))</f>
        <v/>
      </c>
      <c r="Y130" s="26">
        <f>MAX(V7_SIZE_LOW,MIN(V7_SIZE_HIGH,V7_SIZE_INTERCEPT+V7_SIZE_SLOPE*(T130-V7_SIZE_LOG_ANCHOR)))</f>
        <v/>
      </c>
      <c r="Z130" s="26">
        <f>IF(ISNUMBER(SEARCH("232",E130)),VLOOKUP("232",V7_PROGRAM_TABLE,2,FALSE),IF(ISNUMBER(SEARCH("538",E130)),VLOOKUP("538",V7_PROGRAM_TABLE,2,FALSE),IF(ISNUMBER(SEARCH("223a7",E130)),VLOOKUP("223a7",V7_PROGRAM_TABLE,2,FALSE),IF(ISNUMBER(SEARCH("223f",E130)),VLOOKUP("223f",V7_PROGRAM_TABLE,2,FALSE),V7_PROGRAM_DEFAULT))))</f>
        <v/>
      </c>
      <c r="AA130" s="26">
        <f>IF(S130=1,1+V7_PURPOSE_NC_BUMP*MAX(0,1-ABS(M130-V7_PURPOSE_PEAK_AGE)/V7_PURPOSE_WIDTH),1)</f>
        <v/>
      </c>
      <c r="AB130" s="26">
        <f>IF(AND(IF(OR(P130="",NOT(ISNUMBER(P130))),0,MAX(0,MIN(24,(INT(VALUE(H130)/100)-INT(P130/100))*12+MOD(VALUE(H130),100)-MOD(P130,100))))&gt;0,IF(OR(P130="",NOT(ISNUMBER(P130))),0,MAX(0,MIN(24,(INT(VALUE(H130)/100)-INT(P130/100))*12+MOD(VALUE(H130),100)-MOD(P130,100))))&lt;=12),1+V7_LOCKOUT_AMP*EXP(-(IF(OR(P130="",NOT(ISNUMBER(P130))),0,MAX(0,MIN(24,(INT(VALUE(H130)/100)-INT(P130/100))*12+MOD(VALUE(H130),100)-MOD(P130,100)))))/V7_LOCKOUT_TAU),1)</f>
        <v/>
      </c>
      <c r="AC130" s="26">
        <f>IF(IF(OR(O130="",NOT(ISNUMBER(O130))),360,MAX(0,MIN(480,(INT(O130/100)-INT(VALUE(H130)/100))*12+MOD(O130,100)-MOD(VALUE(H130),100))))&gt;0,1+V7_MTY_AMP*MAX(0,(V7_MTY_CUTOFF-(IF(OR(O130="",NOT(ISNUMBER(O130))),360,MAX(0,MIN(480,(INT(O130/100)-INT(VALUE(H130)/100))*12+MOD(O130,100)-MOD(VALUE(H130),100))))))/V7_MTY_CUTOFF),1)</f>
        <v/>
      </c>
      <c r="AD130" s="26">
        <f>MAX(V7_BURN_FLOOR,1-V7_BURN_SLOPE*MIN(1,MAX(0,R130)))</f>
        <v/>
      </c>
      <c r="AE130" s="26">
        <f>IF(V7_USE_ISSUER=1,IFERROR(VLOOKUP(Q130,V7_ISSUER_TABLE,3,FALSE),1),1)</f>
        <v/>
      </c>
      <c r="AF130" s="26">
        <f>PRODUCT(W130:AE130)</f>
        <v/>
      </c>
      <c r="AG130" s="27">
        <f>MIN(V7_BASE_SMM*AF130,V7_SMM_CAP)</f>
        <v/>
      </c>
      <c r="AH130" s="28">
        <f>1-(1-AG130)^12</f>
        <v/>
      </c>
      <c r="AI130" s="28">
        <f>IFERROR(LN(W130)/(LN(W130)+LN(X130)+LN(Y130)+LN(Z130)+LN(AA130)+LN(AB130)+LN(AC130)+LN(AD130))*(AH130-V7_BASE_CPR),0)</f>
        <v/>
      </c>
      <c r="AJ130" s="28">
        <f>IFERROR(LN(X130)/(LN(W130)+LN(X130)+LN(Y130)+LN(Z130)+LN(AA130)+LN(AB130)+LN(AC130)+LN(AD130))*(AH130-V7_BASE_CPR),0)</f>
        <v/>
      </c>
      <c r="AK130" s="28">
        <f>IFERROR(LN(Y130)/(LN(W130)+LN(X130)+LN(Y130)+LN(Z130)+LN(AA130)+LN(AB130)+LN(AC130)+LN(AD130))*(AH130-V7_BASE_CPR),0)</f>
        <v/>
      </c>
      <c r="AL130" s="28">
        <f>IFERROR(LN(Z130)/(LN(W130)+LN(X130)+LN(Y130)+LN(Z130)+LN(AA130)+LN(AB130)+LN(AC130)+LN(AD130))*(AH130-V7_BASE_CPR),0)</f>
        <v/>
      </c>
      <c r="AM130" s="28">
        <f>IFERROR(LN(AA130)/(LN(W130)+LN(X130)+LN(Y130)+LN(Z130)+LN(AA130)+LN(AB130)+LN(AC130)+LN(AD130))*(AH130-V7_BASE_CPR),0)</f>
        <v/>
      </c>
      <c r="AN130" s="28">
        <f>IFERROR(LN(AB130)/(LN(W130)+LN(X130)+LN(Y130)+LN(Z130)+LN(AA130)+LN(AB130)+LN(AC130)+LN(AD130))*(AH130-V7_BASE_CPR),0)</f>
        <v/>
      </c>
      <c r="AO130" s="28">
        <f>IFERROR(LN(AC130)/(LN(W130)+LN(X130)+LN(Y130)+LN(Z130)+LN(AA130)+LN(AB130)+LN(AC130)+LN(AD130))*(AH130-V7_BASE_CPR),0)</f>
        <v/>
      </c>
      <c r="AP130" s="28">
        <f>IFERROR(LN(AD130)/(LN(W130)+LN(X130)+LN(Y130)+LN(Z130)+LN(AA130)+LN(AB130)+LN(AC130)+LN(AD130))*(AH130-V7_BASE_CPR),0)</f>
        <v/>
      </c>
      <c r="AQ130" s="29">
        <f>V7_BASE_CPR+SUM(AI130:AP130)-AH130</f>
        <v/>
      </c>
    </row>
    <row r="131">
      <c r="A131" s="2" t="inlineStr">
        <is>
          <t>3617NHS55_000000007211147</t>
        </is>
      </c>
      <c r="B131" t="inlineStr">
        <is>
          <t>MERCHANTS_PRE21</t>
        </is>
      </c>
      <c r="C131" s="2" t="inlineStr">
        <is>
          <t>3617NHS55</t>
        </is>
      </c>
      <c r="D131" t="inlineStr">
        <is>
          <t>MERCHANTS CAPITAL CORP.</t>
        </is>
      </c>
      <c r="E131" t="inlineStr">
        <is>
          <t>223f</t>
        </is>
      </c>
      <c r="F131" t="inlineStr">
        <is>
          <t>RP</t>
        </is>
      </c>
      <c r="G131" t="n">
        <v>2014</v>
      </c>
      <c r="H131" t="inlineStr">
        <is>
          <t>202602</t>
        </is>
      </c>
      <c r="I131" s="22" t="n">
        <v>4604677.56</v>
      </c>
      <c r="J131" s="23" t="n">
        <v>2.92</v>
      </c>
      <c r="K131" s="24" t="n">
        <v>447</v>
      </c>
      <c r="L131" s="24" t="n">
        <v>4</v>
      </c>
      <c r="M131" t="n">
        <v>135</v>
      </c>
      <c r="N131" s="25" t="n">
        <v>10</v>
      </c>
      <c r="O131" t="n">
        <v>204912</v>
      </c>
      <c r="P131" t="inlineStr"/>
      <c r="Q131" t="inlineStr">
        <is>
          <t>3487</t>
        </is>
      </c>
      <c r="R131" s="26" t="n">
        <v>0.07407407407407407</v>
      </c>
      <c r="S131" t="n">
        <v>0</v>
      </c>
      <c r="T131" s="23">
        <f>LN(1+I131)</f>
        <v/>
      </c>
      <c r="U131" s="24">
        <f>J131*100-K131</f>
        <v/>
      </c>
      <c r="V131" s="24">
        <f>U131-12.5*(L131+1)</f>
        <v/>
      </c>
      <c r="W131" s="26">
        <f>IF(M131&lt;=V7_AGE_KNOT_X_0,V7_AGE_KNOT_Y_0,IF(M131&gt;=V7_AGE_KNOT_X_5,V7_AGE_KNOT_Y_5,IF(M131&lt;=V7_AGE_KNOT_X_1,V7_AGE_KNOT_Y_0+(M131-V7_AGE_KNOT_X_0)/(V7_AGE_KNOT_X_1-V7_AGE_KNOT_X_0)*(V7_AGE_KNOT_Y_1-V7_AGE_KNOT_Y_0),IF(M131&lt;=V7_AGE_KNOT_X_2,V7_AGE_KNOT_Y_1+(M131-V7_AGE_KNOT_X_1)/(V7_AGE_KNOT_X_2-V7_AGE_KNOT_X_1)*(V7_AGE_KNOT_Y_2-V7_AGE_KNOT_Y_1),IF(M131&lt;=V7_AGE_KNOT_X_3,V7_AGE_KNOT_Y_2+(M131-V7_AGE_KNOT_X_2)/(V7_AGE_KNOT_X_3-V7_AGE_KNOT_X_2)*(V7_AGE_KNOT_Y_3-V7_AGE_KNOT_Y_2),IF(M131&lt;=V7_AGE_KNOT_X_4,V7_AGE_KNOT_Y_3+(M131-V7_AGE_KNOT_X_3)/(V7_AGE_KNOT_X_4-V7_AGE_KNOT_X_3)*(V7_AGE_KNOT_Y_4-V7_AGE_KNOT_Y_3),V7_AGE_KNOT_Y_4+(M131-V7_AGE_KNOT_X_4)/(V7_AGE_KNOT_X_5-V7_AGE_KNOT_X_4)*(V7_AGE_KNOT_Y_5-V7_AGE_KNOT_Y_4)))))))</f>
        <v/>
      </c>
      <c r="X131" s="26">
        <f>V7_RATE_FLOOR+V7_RATE_ASYMPTOTE/(1+EXP(-(V131-V7_RATE_MID)/V7_RATE_SLOPE))</f>
        <v/>
      </c>
      <c r="Y131" s="26">
        <f>MAX(V7_SIZE_LOW,MIN(V7_SIZE_HIGH,V7_SIZE_INTERCEPT+V7_SIZE_SLOPE*(T131-V7_SIZE_LOG_ANCHOR)))</f>
        <v/>
      </c>
      <c r="Z131" s="26">
        <f>IF(ISNUMBER(SEARCH("232",E131)),VLOOKUP("232",V7_PROGRAM_TABLE,2,FALSE),IF(ISNUMBER(SEARCH("538",E131)),VLOOKUP("538",V7_PROGRAM_TABLE,2,FALSE),IF(ISNUMBER(SEARCH("223a7",E131)),VLOOKUP("223a7",V7_PROGRAM_TABLE,2,FALSE),IF(ISNUMBER(SEARCH("223f",E131)),VLOOKUP("223f",V7_PROGRAM_TABLE,2,FALSE),V7_PROGRAM_DEFAULT))))</f>
        <v/>
      </c>
      <c r="AA131" s="26">
        <f>IF(S131=1,1+V7_PURPOSE_NC_BUMP*MAX(0,1-ABS(M131-V7_PURPOSE_PEAK_AGE)/V7_PURPOSE_WIDTH),1)</f>
        <v/>
      </c>
      <c r="AB131" s="26">
        <f>IF(AND(IF(OR(P131="",NOT(ISNUMBER(P131))),0,MAX(0,MIN(24,(INT(VALUE(H131)/100)-INT(P131/100))*12+MOD(VALUE(H131),100)-MOD(P131,100))))&gt;0,IF(OR(P131="",NOT(ISNUMBER(P131))),0,MAX(0,MIN(24,(INT(VALUE(H131)/100)-INT(P131/100))*12+MOD(VALUE(H131),100)-MOD(P131,100))))&lt;=12),1+V7_LOCKOUT_AMP*EXP(-(IF(OR(P131="",NOT(ISNUMBER(P131))),0,MAX(0,MIN(24,(INT(VALUE(H131)/100)-INT(P131/100))*12+MOD(VALUE(H131),100)-MOD(P131,100)))))/V7_LOCKOUT_TAU),1)</f>
        <v/>
      </c>
      <c r="AC131" s="26">
        <f>IF(IF(OR(O131="",NOT(ISNUMBER(O131))),360,MAX(0,MIN(480,(INT(O131/100)-INT(VALUE(H131)/100))*12+MOD(O131,100)-MOD(VALUE(H131),100))))&gt;0,1+V7_MTY_AMP*MAX(0,(V7_MTY_CUTOFF-(IF(OR(O131="",NOT(ISNUMBER(O131))),360,MAX(0,MIN(480,(INT(O131/100)-INT(VALUE(H131)/100))*12+MOD(O131,100)-MOD(VALUE(H131),100))))))/V7_MTY_CUTOFF),1)</f>
        <v/>
      </c>
      <c r="AD131" s="26">
        <f>MAX(V7_BURN_FLOOR,1-V7_BURN_SLOPE*MIN(1,MAX(0,R131)))</f>
        <v/>
      </c>
      <c r="AE131" s="26">
        <f>IF(V7_USE_ISSUER=1,IFERROR(VLOOKUP(Q131,V7_ISSUER_TABLE,3,FALSE),1),1)</f>
        <v/>
      </c>
      <c r="AF131" s="26">
        <f>PRODUCT(W131:AE131)</f>
        <v/>
      </c>
      <c r="AG131" s="27">
        <f>MIN(V7_BASE_SMM*AF131,V7_SMM_CAP)</f>
        <v/>
      </c>
      <c r="AH131" s="28">
        <f>1-(1-AG131)^12</f>
        <v/>
      </c>
      <c r="AI131" s="28">
        <f>IFERROR(LN(W131)/(LN(W131)+LN(X131)+LN(Y131)+LN(Z131)+LN(AA131)+LN(AB131)+LN(AC131)+LN(AD131))*(AH131-V7_BASE_CPR),0)</f>
        <v/>
      </c>
      <c r="AJ131" s="28">
        <f>IFERROR(LN(X131)/(LN(W131)+LN(X131)+LN(Y131)+LN(Z131)+LN(AA131)+LN(AB131)+LN(AC131)+LN(AD131))*(AH131-V7_BASE_CPR),0)</f>
        <v/>
      </c>
      <c r="AK131" s="28">
        <f>IFERROR(LN(Y131)/(LN(W131)+LN(X131)+LN(Y131)+LN(Z131)+LN(AA131)+LN(AB131)+LN(AC131)+LN(AD131))*(AH131-V7_BASE_CPR),0)</f>
        <v/>
      </c>
      <c r="AL131" s="28">
        <f>IFERROR(LN(Z131)/(LN(W131)+LN(X131)+LN(Y131)+LN(Z131)+LN(AA131)+LN(AB131)+LN(AC131)+LN(AD131))*(AH131-V7_BASE_CPR),0)</f>
        <v/>
      </c>
      <c r="AM131" s="28">
        <f>IFERROR(LN(AA131)/(LN(W131)+LN(X131)+LN(Y131)+LN(Z131)+LN(AA131)+LN(AB131)+LN(AC131)+LN(AD131))*(AH131-V7_BASE_CPR),0)</f>
        <v/>
      </c>
      <c r="AN131" s="28">
        <f>IFERROR(LN(AB131)/(LN(W131)+LN(X131)+LN(Y131)+LN(Z131)+LN(AA131)+LN(AB131)+LN(AC131)+LN(AD131))*(AH131-V7_BASE_CPR),0)</f>
        <v/>
      </c>
      <c r="AO131" s="28">
        <f>IFERROR(LN(AC131)/(LN(W131)+LN(X131)+LN(Y131)+LN(Z131)+LN(AA131)+LN(AB131)+LN(AC131)+LN(AD131))*(AH131-V7_BASE_CPR),0)</f>
        <v/>
      </c>
      <c r="AP131" s="28">
        <f>IFERROR(LN(AD131)/(LN(W131)+LN(X131)+LN(Y131)+LN(Z131)+LN(AA131)+LN(AB131)+LN(AC131)+LN(AD131))*(AH131-V7_BASE_CPR),0)</f>
        <v/>
      </c>
      <c r="AQ131" s="29">
        <f>V7_BASE_CPR+SUM(AI131:AP131)-AH131</f>
        <v/>
      </c>
    </row>
    <row r="132">
      <c r="A132" s="2" t="inlineStr">
        <is>
          <t>3618AAA77_000000007522247</t>
        </is>
      </c>
      <c r="B132" t="inlineStr">
        <is>
          <t>MERCHANTS_POST21</t>
        </is>
      </c>
      <c r="C132" s="2" t="inlineStr">
        <is>
          <t>3618AAA77</t>
        </is>
      </c>
      <c r="D132" t="inlineStr">
        <is>
          <t>MERCHANTS CAPITAL CORP.</t>
        </is>
      </c>
      <c r="E132" t="inlineStr">
        <is>
          <t>232</t>
        </is>
      </c>
      <c r="F132" t="inlineStr">
        <is>
          <t>RP</t>
        </is>
      </c>
      <c r="G132" t="n">
        <v>2022</v>
      </c>
      <c r="H132" t="inlineStr">
        <is>
          <t>202602</t>
        </is>
      </c>
      <c r="I132" s="22" t="n">
        <v>4811062.66</v>
      </c>
      <c r="J132" s="23" t="n">
        <v>4.18</v>
      </c>
      <c r="K132" s="24" t="n">
        <v>447</v>
      </c>
      <c r="L132" s="24" t="n">
        <v>7</v>
      </c>
      <c r="M132" t="n">
        <v>40</v>
      </c>
      <c r="N132" s="25" t="n">
        <v>0</v>
      </c>
      <c r="O132" t="n">
        <v>205711</v>
      </c>
      <c r="P132" t="inlineStr"/>
      <c r="Q132" t="inlineStr">
        <is>
          <t>3487</t>
        </is>
      </c>
      <c r="R132" s="26" t="n">
        <v>0</v>
      </c>
      <c r="S132" t="n">
        <v>0</v>
      </c>
      <c r="T132" s="23">
        <f>LN(1+I132)</f>
        <v/>
      </c>
      <c r="U132" s="24">
        <f>J132*100-K132</f>
        <v/>
      </c>
      <c r="V132" s="24">
        <f>U132-12.5*(L132+1)</f>
        <v/>
      </c>
      <c r="W132" s="26">
        <f>IF(M132&lt;=V7_AGE_KNOT_X_0,V7_AGE_KNOT_Y_0,IF(M132&gt;=V7_AGE_KNOT_X_5,V7_AGE_KNOT_Y_5,IF(M132&lt;=V7_AGE_KNOT_X_1,V7_AGE_KNOT_Y_0+(M132-V7_AGE_KNOT_X_0)/(V7_AGE_KNOT_X_1-V7_AGE_KNOT_X_0)*(V7_AGE_KNOT_Y_1-V7_AGE_KNOT_Y_0),IF(M132&lt;=V7_AGE_KNOT_X_2,V7_AGE_KNOT_Y_1+(M132-V7_AGE_KNOT_X_1)/(V7_AGE_KNOT_X_2-V7_AGE_KNOT_X_1)*(V7_AGE_KNOT_Y_2-V7_AGE_KNOT_Y_1),IF(M132&lt;=V7_AGE_KNOT_X_3,V7_AGE_KNOT_Y_2+(M132-V7_AGE_KNOT_X_2)/(V7_AGE_KNOT_X_3-V7_AGE_KNOT_X_2)*(V7_AGE_KNOT_Y_3-V7_AGE_KNOT_Y_2),IF(M132&lt;=V7_AGE_KNOT_X_4,V7_AGE_KNOT_Y_3+(M132-V7_AGE_KNOT_X_3)/(V7_AGE_KNOT_X_4-V7_AGE_KNOT_X_3)*(V7_AGE_KNOT_Y_4-V7_AGE_KNOT_Y_3),V7_AGE_KNOT_Y_4+(M132-V7_AGE_KNOT_X_4)/(V7_AGE_KNOT_X_5-V7_AGE_KNOT_X_4)*(V7_AGE_KNOT_Y_5-V7_AGE_KNOT_Y_4)))))))</f>
        <v/>
      </c>
      <c r="X132" s="26">
        <f>V7_RATE_FLOOR+V7_RATE_ASYMPTOTE/(1+EXP(-(V132-V7_RATE_MID)/V7_RATE_SLOPE))</f>
        <v/>
      </c>
      <c r="Y132" s="26">
        <f>MAX(V7_SIZE_LOW,MIN(V7_SIZE_HIGH,V7_SIZE_INTERCEPT+V7_SIZE_SLOPE*(T132-V7_SIZE_LOG_ANCHOR)))</f>
        <v/>
      </c>
      <c r="Z132" s="26">
        <f>IF(ISNUMBER(SEARCH("232",E132)),VLOOKUP("232",V7_PROGRAM_TABLE,2,FALSE),IF(ISNUMBER(SEARCH("538",E132)),VLOOKUP("538",V7_PROGRAM_TABLE,2,FALSE),IF(ISNUMBER(SEARCH("223a7",E132)),VLOOKUP("223a7",V7_PROGRAM_TABLE,2,FALSE),IF(ISNUMBER(SEARCH("223f",E132)),VLOOKUP("223f",V7_PROGRAM_TABLE,2,FALSE),V7_PROGRAM_DEFAULT))))</f>
        <v/>
      </c>
      <c r="AA132" s="26">
        <f>IF(S132=1,1+V7_PURPOSE_NC_BUMP*MAX(0,1-ABS(M132-V7_PURPOSE_PEAK_AGE)/V7_PURPOSE_WIDTH),1)</f>
        <v/>
      </c>
      <c r="AB132" s="26">
        <f>IF(AND(IF(OR(P132="",NOT(ISNUMBER(P132))),0,MAX(0,MIN(24,(INT(VALUE(H132)/100)-INT(P132/100))*12+MOD(VALUE(H132),100)-MOD(P132,100))))&gt;0,IF(OR(P132="",NOT(ISNUMBER(P132))),0,MAX(0,MIN(24,(INT(VALUE(H132)/100)-INT(P132/100))*12+MOD(VALUE(H132),100)-MOD(P132,100))))&lt;=12),1+V7_LOCKOUT_AMP*EXP(-(IF(OR(P132="",NOT(ISNUMBER(P132))),0,MAX(0,MIN(24,(INT(VALUE(H132)/100)-INT(P132/100))*12+MOD(VALUE(H132),100)-MOD(P132,100)))))/V7_LOCKOUT_TAU),1)</f>
        <v/>
      </c>
      <c r="AC132" s="26">
        <f>IF(IF(OR(O132="",NOT(ISNUMBER(O132))),360,MAX(0,MIN(480,(INT(O132/100)-INT(VALUE(H132)/100))*12+MOD(O132,100)-MOD(VALUE(H132),100))))&gt;0,1+V7_MTY_AMP*MAX(0,(V7_MTY_CUTOFF-(IF(OR(O132="",NOT(ISNUMBER(O132))),360,MAX(0,MIN(480,(INT(O132/100)-INT(VALUE(H132)/100))*12+MOD(O132,100)-MOD(VALUE(H132),100))))))/V7_MTY_CUTOFF),1)</f>
        <v/>
      </c>
      <c r="AD132" s="26">
        <f>MAX(V7_BURN_FLOOR,1-V7_BURN_SLOPE*MIN(1,MAX(0,R132)))</f>
        <v/>
      </c>
      <c r="AE132" s="26">
        <f>IF(V7_USE_ISSUER=1,IFERROR(VLOOKUP(Q132,V7_ISSUER_TABLE,3,FALSE),1),1)</f>
        <v/>
      </c>
      <c r="AF132" s="26">
        <f>PRODUCT(W132:AE132)</f>
        <v/>
      </c>
      <c r="AG132" s="27">
        <f>MIN(V7_BASE_SMM*AF132,V7_SMM_CAP)</f>
        <v/>
      </c>
      <c r="AH132" s="28">
        <f>1-(1-AG132)^12</f>
        <v/>
      </c>
      <c r="AI132" s="28">
        <f>IFERROR(LN(W132)/(LN(W132)+LN(X132)+LN(Y132)+LN(Z132)+LN(AA132)+LN(AB132)+LN(AC132)+LN(AD132))*(AH132-V7_BASE_CPR),0)</f>
        <v/>
      </c>
      <c r="AJ132" s="28">
        <f>IFERROR(LN(X132)/(LN(W132)+LN(X132)+LN(Y132)+LN(Z132)+LN(AA132)+LN(AB132)+LN(AC132)+LN(AD132))*(AH132-V7_BASE_CPR),0)</f>
        <v/>
      </c>
      <c r="AK132" s="28">
        <f>IFERROR(LN(Y132)/(LN(W132)+LN(X132)+LN(Y132)+LN(Z132)+LN(AA132)+LN(AB132)+LN(AC132)+LN(AD132))*(AH132-V7_BASE_CPR),0)</f>
        <v/>
      </c>
      <c r="AL132" s="28">
        <f>IFERROR(LN(Z132)/(LN(W132)+LN(X132)+LN(Y132)+LN(Z132)+LN(AA132)+LN(AB132)+LN(AC132)+LN(AD132))*(AH132-V7_BASE_CPR),0)</f>
        <v/>
      </c>
      <c r="AM132" s="28">
        <f>IFERROR(LN(AA132)/(LN(W132)+LN(X132)+LN(Y132)+LN(Z132)+LN(AA132)+LN(AB132)+LN(AC132)+LN(AD132))*(AH132-V7_BASE_CPR),0)</f>
        <v/>
      </c>
      <c r="AN132" s="28">
        <f>IFERROR(LN(AB132)/(LN(W132)+LN(X132)+LN(Y132)+LN(Z132)+LN(AA132)+LN(AB132)+LN(AC132)+LN(AD132))*(AH132-V7_BASE_CPR),0)</f>
        <v/>
      </c>
      <c r="AO132" s="28">
        <f>IFERROR(LN(AC132)/(LN(W132)+LN(X132)+LN(Y132)+LN(Z132)+LN(AA132)+LN(AB132)+LN(AC132)+LN(AD132))*(AH132-V7_BASE_CPR),0)</f>
        <v/>
      </c>
      <c r="AP132" s="28">
        <f>IFERROR(LN(AD132)/(LN(W132)+LN(X132)+LN(Y132)+LN(Z132)+LN(AA132)+LN(AB132)+LN(AC132)+LN(AD132))*(AH132-V7_BASE_CPR),0)</f>
        <v/>
      </c>
      <c r="AQ132" s="29">
        <f>V7_BASE_CPR+SUM(AI132:AP132)-AH132</f>
        <v/>
      </c>
    </row>
    <row r="133">
      <c r="A133" s="2" t="inlineStr">
        <is>
          <t>36176QXN9_000000004322058</t>
        </is>
      </c>
      <c r="B133" t="inlineStr">
        <is>
          <t>MERCHANTS_PRE21</t>
        </is>
      </c>
      <c r="C133" s="2" t="inlineStr">
        <is>
          <t>36176QXN9</t>
        </is>
      </c>
      <c r="D133" t="inlineStr">
        <is>
          <t>MERCHANTS CAPITAL CORP.</t>
        </is>
      </c>
      <c r="E133" t="inlineStr">
        <is>
          <t>223f</t>
        </is>
      </c>
      <c r="F133" t="inlineStr">
        <is>
          <t>RP</t>
        </is>
      </c>
      <c r="G133" t="n">
        <v>2012</v>
      </c>
      <c r="H133" t="inlineStr">
        <is>
          <t>202602</t>
        </is>
      </c>
      <c r="I133" s="22" t="n">
        <v>1907136.33</v>
      </c>
      <c r="J133" s="23" t="n">
        <v>3.5</v>
      </c>
      <c r="K133" s="24" t="n">
        <v>447</v>
      </c>
      <c r="L133" s="24" t="n">
        <v>0</v>
      </c>
      <c r="M133" t="n">
        <v>167</v>
      </c>
      <c r="N133" s="25" t="n">
        <v>35</v>
      </c>
      <c r="O133" t="n">
        <v>204204</v>
      </c>
      <c r="P133" t="n">
        <v>201404</v>
      </c>
      <c r="Q133" t="inlineStr">
        <is>
          <t>3487</t>
        </is>
      </c>
      <c r="R133" s="26" t="n">
        <v>0.2095808383233533</v>
      </c>
      <c r="S133" t="n">
        <v>0</v>
      </c>
      <c r="T133" s="23">
        <f>LN(1+I133)</f>
        <v/>
      </c>
      <c r="U133" s="24">
        <f>J133*100-K133</f>
        <v/>
      </c>
      <c r="V133" s="24">
        <f>U133-12.5*(L133+1)</f>
        <v/>
      </c>
      <c r="W133" s="26">
        <f>IF(M133&lt;=V7_AGE_KNOT_X_0,V7_AGE_KNOT_Y_0,IF(M133&gt;=V7_AGE_KNOT_X_5,V7_AGE_KNOT_Y_5,IF(M133&lt;=V7_AGE_KNOT_X_1,V7_AGE_KNOT_Y_0+(M133-V7_AGE_KNOT_X_0)/(V7_AGE_KNOT_X_1-V7_AGE_KNOT_X_0)*(V7_AGE_KNOT_Y_1-V7_AGE_KNOT_Y_0),IF(M133&lt;=V7_AGE_KNOT_X_2,V7_AGE_KNOT_Y_1+(M133-V7_AGE_KNOT_X_1)/(V7_AGE_KNOT_X_2-V7_AGE_KNOT_X_1)*(V7_AGE_KNOT_Y_2-V7_AGE_KNOT_Y_1),IF(M133&lt;=V7_AGE_KNOT_X_3,V7_AGE_KNOT_Y_2+(M133-V7_AGE_KNOT_X_2)/(V7_AGE_KNOT_X_3-V7_AGE_KNOT_X_2)*(V7_AGE_KNOT_Y_3-V7_AGE_KNOT_Y_2),IF(M133&lt;=V7_AGE_KNOT_X_4,V7_AGE_KNOT_Y_3+(M133-V7_AGE_KNOT_X_3)/(V7_AGE_KNOT_X_4-V7_AGE_KNOT_X_3)*(V7_AGE_KNOT_Y_4-V7_AGE_KNOT_Y_3),V7_AGE_KNOT_Y_4+(M133-V7_AGE_KNOT_X_4)/(V7_AGE_KNOT_X_5-V7_AGE_KNOT_X_4)*(V7_AGE_KNOT_Y_5-V7_AGE_KNOT_Y_4)))))))</f>
        <v/>
      </c>
      <c r="X133" s="26">
        <f>V7_RATE_FLOOR+V7_RATE_ASYMPTOTE/(1+EXP(-(V133-V7_RATE_MID)/V7_RATE_SLOPE))</f>
        <v/>
      </c>
      <c r="Y133" s="26">
        <f>MAX(V7_SIZE_LOW,MIN(V7_SIZE_HIGH,V7_SIZE_INTERCEPT+V7_SIZE_SLOPE*(T133-V7_SIZE_LOG_ANCHOR)))</f>
        <v/>
      </c>
      <c r="Z133" s="26">
        <f>IF(ISNUMBER(SEARCH("232",E133)),VLOOKUP("232",V7_PROGRAM_TABLE,2,FALSE),IF(ISNUMBER(SEARCH("538",E133)),VLOOKUP("538",V7_PROGRAM_TABLE,2,FALSE),IF(ISNUMBER(SEARCH("223a7",E133)),VLOOKUP("223a7",V7_PROGRAM_TABLE,2,FALSE),IF(ISNUMBER(SEARCH("223f",E133)),VLOOKUP("223f",V7_PROGRAM_TABLE,2,FALSE),V7_PROGRAM_DEFAULT))))</f>
        <v/>
      </c>
      <c r="AA133" s="26">
        <f>IF(S133=1,1+V7_PURPOSE_NC_BUMP*MAX(0,1-ABS(M133-V7_PURPOSE_PEAK_AGE)/V7_PURPOSE_WIDTH),1)</f>
        <v/>
      </c>
      <c r="AB133" s="26">
        <f>IF(AND(IF(OR(P133="",NOT(ISNUMBER(P133))),0,MAX(0,MIN(24,(INT(VALUE(H133)/100)-INT(P133/100))*12+MOD(VALUE(H133),100)-MOD(P133,100))))&gt;0,IF(OR(P133="",NOT(ISNUMBER(P133))),0,MAX(0,MIN(24,(INT(VALUE(H133)/100)-INT(P133/100))*12+MOD(VALUE(H133),100)-MOD(P133,100))))&lt;=12),1+V7_LOCKOUT_AMP*EXP(-(IF(OR(P133="",NOT(ISNUMBER(P133))),0,MAX(0,MIN(24,(INT(VALUE(H133)/100)-INT(P133/100))*12+MOD(VALUE(H133),100)-MOD(P133,100)))))/V7_LOCKOUT_TAU),1)</f>
        <v/>
      </c>
      <c r="AC133" s="26">
        <f>IF(IF(OR(O133="",NOT(ISNUMBER(O133))),360,MAX(0,MIN(480,(INT(O133/100)-INT(VALUE(H133)/100))*12+MOD(O133,100)-MOD(VALUE(H133),100))))&gt;0,1+V7_MTY_AMP*MAX(0,(V7_MTY_CUTOFF-(IF(OR(O133="",NOT(ISNUMBER(O133))),360,MAX(0,MIN(480,(INT(O133/100)-INT(VALUE(H133)/100))*12+MOD(O133,100)-MOD(VALUE(H133),100))))))/V7_MTY_CUTOFF),1)</f>
        <v/>
      </c>
      <c r="AD133" s="26">
        <f>MAX(V7_BURN_FLOOR,1-V7_BURN_SLOPE*MIN(1,MAX(0,R133)))</f>
        <v/>
      </c>
      <c r="AE133" s="26">
        <f>IF(V7_USE_ISSUER=1,IFERROR(VLOOKUP(Q133,V7_ISSUER_TABLE,3,FALSE),1),1)</f>
        <v/>
      </c>
      <c r="AF133" s="26">
        <f>PRODUCT(W133:AE133)</f>
        <v/>
      </c>
      <c r="AG133" s="27">
        <f>MIN(V7_BASE_SMM*AF133,V7_SMM_CAP)</f>
        <v/>
      </c>
      <c r="AH133" s="28">
        <f>1-(1-AG133)^12</f>
        <v/>
      </c>
      <c r="AI133" s="28">
        <f>IFERROR(LN(W133)/(LN(W133)+LN(X133)+LN(Y133)+LN(Z133)+LN(AA133)+LN(AB133)+LN(AC133)+LN(AD133))*(AH133-V7_BASE_CPR),0)</f>
        <v/>
      </c>
      <c r="AJ133" s="28">
        <f>IFERROR(LN(X133)/(LN(W133)+LN(X133)+LN(Y133)+LN(Z133)+LN(AA133)+LN(AB133)+LN(AC133)+LN(AD133))*(AH133-V7_BASE_CPR),0)</f>
        <v/>
      </c>
      <c r="AK133" s="28">
        <f>IFERROR(LN(Y133)/(LN(W133)+LN(X133)+LN(Y133)+LN(Z133)+LN(AA133)+LN(AB133)+LN(AC133)+LN(AD133))*(AH133-V7_BASE_CPR),0)</f>
        <v/>
      </c>
      <c r="AL133" s="28">
        <f>IFERROR(LN(Z133)/(LN(W133)+LN(X133)+LN(Y133)+LN(Z133)+LN(AA133)+LN(AB133)+LN(AC133)+LN(AD133))*(AH133-V7_BASE_CPR),0)</f>
        <v/>
      </c>
      <c r="AM133" s="28">
        <f>IFERROR(LN(AA133)/(LN(W133)+LN(X133)+LN(Y133)+LN(Z133)+LN(AA133)+LN(AB133)+LN(AC133)+LN(AD133))*(AH133-V7_BASE_CPR),0)</f>
        <v/>
      </c>
      <c r="AN133" s="28">
        <f>IFERROR(LN(AB133)/(LN(W133)+LN(X133)+LN(Y133)+LN(Z133)+LN(AA133)+LN(AB133)+LN(AC133)+LN(AD133))*(AH133-V7_BASE_CPR),0)</f>
        <v/>
      </c>
      <c r="AO133" s="28">
        <f>IFERROR(LN(AC133)/(LN(W133)+LN(X133)+LN(Y133)+LN(Z133)+LN(AA133)+LN(AB133)+LN(AC133)+LN(AD133))*(AH133-V7_BASE_CPR),0)</f>
        <v/>
      </c>
      <c r="AP133" s="28">
        <f>IFERROR(LN(AD133)/(LN(W133)+LN(X133)+LN(Y133)+LN(Z133)+LN(AA133)+LN(AB133)+LN(AC133)+LN(AD133))*(AH133-V7_BASE_CPR),0)</f>
        <v/>
      </c>
      <c r="AQ133" s="29">
        <f>V7_BASE_CPR+SUM(AI133:AP133)-AH133</f>
        <v/>
      </c>
    </row>
    <row r="134">
      <c r="A134" s="2" t="inlineStr">
        <is>
          <t>3617N1GQ7_000000007311990</t>
        </is>
      </c>
      <c r="B134" t="inlineStr">
        <is>
          <t>MERCHANTS_PRE21</t>
        </is>
      </c>
      <c r="C134" s="2" t="inlineStr">
        <is>
          <t>3617N1GQ7</t>
        </is>
      </c>
      <c r="D134" t="inlineStr">
        <is>
          <t>MERCHANTS CAPITAL SERVICING LLC</t>
        </is>
      </c>
      <c r="E134" t="inlineStr">
        <is>
          <t>223f</t>
        </is>
      </c>
      <c r="F134" t="inlineStr">
        <is>
          <t>RP</t>
        </is>
      </c>
      <c r="G134" t="n">
        <v>2020</v>
      </c>
      <c r="H134" t="inlineStr">
        <is>
          <t>202602</t>
        </is>
      </c>
      <c r="I134" s="22" t="n">
        <v>35631447.08</v>
      </c>
      <c r="J134" s="23" t="n">
        <v>2.1</v>
      </c>
      <c r="K134" s="24" t="n">
        <v>447</v>
      </c>
      <c r="L134" s="24" t="n">
        <v>5</v>
      </c>
      <c r="M134" t="n">
        <v>65</v>
      </c>
      <c r="N134" s="25" t="n">
        <v>0</v>
      </c>
      <c r="O134" t="n">
        <v>205510</v>
      </c>
      <c r="P134" t="inlineStr"/>
      <c r="Q134" t="inlineStr">
        <is>
          <t>4265</t>
        </is>
      </c>
      <c r="R134" s="26" t="n">
        <v>0</v>
      </c>
      <c r="S134" t="n">
        <v>0</v>
      </c>
      <c r="T134" s="23">
        <f>LN(1+I134)</f>
        <v/>
      </c>
      <c r="U134" s="24">
        <f>J134*100-K134</f>
        <v/>
      </c>
      <c r="V134" s="24">
        <f>U134-12.5*(L134+1)</f>
        <v/>
      </c>
      <c r="W134" s="26">
        <f>IF(M134&lt;=V7_AGE_KNOT_X_0,V7_AGE_KNOT_Y_0,IF(M134&gt;=V7_AGE_KNOT_X_5,V7_AGE_KNOT_Y_5,IF(M134&lt;=V7_AGE_KNOT_X_1,V7_AGE_KNOT_Y_0+(M134-V7_AGE_KNOT_X_0)/(V7_AGE_KNOT_X_1-V7_AGE_KNOT_X_0)*(V7_AGE_KNOT_Y_1-V7_AGE_KNOT_Y_0),IF(M134&lt;=V7_AGE_KNOT_X_2,V7_AGE_KNOT_Y_1+(M134-V7_AGE_KNOT_X_1)/(V7_AGE_KNOT_X_2-V7_AGE_KNOT_X_1)*(V7_AGE_KNOT_Y_2-V7_AGE_KNOT_Y_1),IF(M134&lt;=V7_AGE_KNOT_X_3,V7_AGE_KNOT_Y_2+(M134-V7_AGE_KNOT_X_2)/(V7_AGE_KNOT_X_3-V7_AGE_KNOT_X_2)*(V7_AGE_KNOT_Y_3-V7_AGE_KNOT_Y_2),IF(M134&lt;=V7_AGE_KNOT_X_4,V7_AGE_KNOT_Y_3+(M134-V7_AGE_KNOT_X_3)/(V7_AGE_KNOT_X_4-V7_AGE_KNOT_X_3)*(V7_AGE_KNOT_Y_4-V7_AGE_KNOT_Y_3),V7_AGE_KNOT_Y_4+(M134-V7_AGE_KNOT_X_4)/(V7_AGE_KNOT_X_5-V7_AGE_KNOT_X_4)*(V7_AGE_KNOT_Y_5-V7_AGE_KNOT_Y_4)))))))</f>
        <v/>
      </c>
      <c r="X134" s="26">
        <f>V7_RATE_FLOOR+V7_RATE_ASYMPTOTE/(1+EXP(-(V134-V7_RATE_MID)/V7_RATE_SLOPE))</f>
        <v/>
      </c>
      <c r="Y134" s="26">
        <f>MAX(V7_SIZE_LOW,MIN(V7_SIZE_HIGH,V7_SIZE_INTERCEPT+V7_SIZE_SLOPE*(T134-V7_SIZE_LOG_ANCHOR)))</f>
        <v/>
      </c>
      <c r="Z134" s="26">
        <f>IF(ISNUMBER(SEARCH("232",E134)),VLOOKUP("232",V7_PROGRAM_TABLE,2,FALSE),IF(ISNUMBER(SEARCH("538",E134)),VLOOKUP("538",V7_PROGRAM_TABLE,2,FALSE),IF(ISNUMBER(SEARCH("223a7",E134)),VLOOKUP("223a7",V7_PROGRAM_TABLE,2,FALSE),IF(ISNUMBER(SEARCH("223f",E134)),VLOOKUP("223f",V7_PROGRAM_TABLE,2,FALSE),V7_PROGRAM_DEFAULT))))</f>
        <v/>
      </c>
      <c r="AA134" s="26">
        <f>IF(S134=1,1+V7_PURPOSE_NC_BUMP*MAX(0,1-ABS(M134-V7_PURPOSE_PEAK_AGE)/V7_PURPOSE_WIDTH),1)</f>
        <v/>
      </c>
      <c r="AB134" s="26">
        <f>IF(AND(IF(OR(P134="",NOT(ISNUMBER(P134))),0,MAX(0,MIN(24,(INT(VALUE(H134)/100)-INT(P134/100))*12+MOD(VALUE(H134),100)-MOD(P134,100))))&gt;0,IF(OR(P134="",NOT(ISNUMBER(P134))),0,MAX(0,MIN(24,(INT(VALUE(H134)/100)-INT(P134/100))*12+MOD(VALUE(H134),100)-MOD(P134,100))))&lt;=12),1+V7_LOCKOUT_AMP*EXP(-(IF(OR(P134="",NOT(ISNUMBER(P134))),0,MAX(0,MIN(24,(INT(VALUE(H134)/100)-INT(P134/100))*12+MOD(VALUE(H134),100)-MOD(P134,100)))))/V7_LOCKOUT_TAU),1)</f>
        <v/>
      </c>
      <c r="AC134" s="26">
        <f>IF(IF(OR(O134="",NOT(ISNUMBER(O134))),360,MAX(0,MIN(480,(INT(O134/100)-INT(VALUE(H134)/100))*12+MOD(O134,100)-MOD(VALUE(H134),100))))&gt;0,1+V7_MTY_AMP*MAX(0,(V7_MTY_CUTOFF-(IF(OR(O134="",NOT(ISNUMBER(O134))),360,MAX(0,MIN(480,(INT(O134/100)-INT(VALUE(H134)/100))*12+MOD(O134,100)-MOD(VALUE(H134),100))))))/V7_MTY_CUTOFF),1)</f>
        <v/>
      </c>
      <c r="AD134" s="26">
        <f>MAX(V7_BURN_FLOOR,1-V7_BURN_SLOPE*MIN(1,MAX(0,R134)))</f>
        <v/>
      </c>
      <c r="AE134" s="26">
        <f>IF(V7_USE_ISSUER=1,IFERROR(VLOOKUP(Q134,V7_ISSUER_TABLE,3,FALSE),1),1)</f>
        <v/>
      </c>
      <c r="AF134" s="26">
        <f>PRODUCT(W134:AE134)</f>
        <v/>
      </c>
      <c r="AG134" s="27">
        <f>MIN(V7_BASE_SMM*AF134,V7_SMM_CAP)</f>
        <v/>
      </c>
      <c r="AH134" s="28">
        <f>1-(1-AG134)^12</f>
        <v/>
      </c>
      <c r="AI134" s="28">
        <f>IFERROR(LN(W134)/(LN(W134)+LN(X134)+LN(Y134)+LN(Z134)+LN(AA134)+LN(AB134)+LN(AC134)+LN(AD134))*(AH134-V7_BASE_CPR),0)</f>
        <v/>
      </c>
      <c r="AJ134" s="28">
        <f>IFERROR(LN(X134)/(LN(W134)+LN(X134)+LN(Y134)+LN(Z134)+LN(AA134)+LN(AB134)+LN(AC134)+LN(AD134))*(AH134-V7_BASE_CPR),0)</f>
        <v/>
      </c>
      <c r="AK134" s="28">
        <f>IFERROR(LN(Y134)/(LN(W134)+LN(X134)+LN(Y134)+LN(Z134)+LN(AA134)+LN(AB134)+LN(AC134)+LN(AD134))*(AH134-V7_BASE_CPR),0)</f>
        <v/>
      </c>
      <c r="AL134" s="28">
        <f>IFERROR(LN(Z134)/(LN(W134)+LN(X134)+LN(Y134)+LN(Z134)+LN(AA134)+LN(AB134)+LN(AC134)+LN(AD134))*(AH134-V7_BASE_CPR),0)</f>
        <v/>
      </c>
      <c r="AM134" s="28">
        <f>IFERROR(LN(AA134)/(LN(W134)+LN(X134)+LN(Y134)+LN(Z134)+LN(AA134)+LN(AB134)+LN(AC134)+LN(AD134))*(AH134-V7_BASE_CPR),0)</f>
        <v/>
      </c>
      <c r="AN134" s="28">
        <f>IFERROR(LN(AB134)/(LN(W134)+LN(X134)+LN(Y134)+LN(Z134)+LN(AA134)+LN(AB134)+LN(AC134)+LN(AD134))*(AH134-V7_BASE_CPR),0)</f>
        <v/>
      </c>
      <c r="AO134" s="28">
        <f>IFERROR(LN(AC134)/(LN(W134)+LN(X134)+LN(Y134)+LN(Z134)+LN(AA134)+LN(AB134)+LN(AC134)+LN(AD134))*(AH134-V7_BASE_CPR),0)</f>
        <v/>
      </c>
      <c r="AP134" s="28">
        <f>IFERROR(LN(AD134)/(LN(W134)+LN(X134)+LN(Y134)+LN(Z134)+LN(AA134)+LN(AB134)+LN(AC134)+LN(AD134))*(AH134-V7_BASE_CPR),0)</f>
        <v/>
      </c>
      <c r="AQ134" s="29">
        <f>V7_BASE_CPR+SUM(AI134:AP134)-AH134</f>
        <v/>
      </c>
    </row>
    <row r="135">
      <c r="A135" s="2" t="inlineStr">
        <is>
          <t>3617YEEM8_000000004322165</t>
        </is>
      </c>
      <c r="B135" t="inlineStr">
        <is>
          <t>MERCHANTS_POST21</t>
        </is>
      </c>
      <c r="C135" s="2" t="inlineStr">
        <is>
          <t>3617YEEM8</t>
        </is>
      </c>
      <c r="D135" t="inlineStr">
        <is>
          <t>MERCHANTS CAPITAL CORP.</t>
        </is>
      </c>
      <c r="E135" t="inlineStr">
        <is>
          <t>232</t>
        </is>
      </c>
      <c r="F135" t="inlineStr">
        <is>
          <t>RP</t>
        </is>
      </c>
      <c r="G135" t="n">
        <v>2022</v>
      </c>
      <c r="H135" t="inlineStr">
        <is>
          <t>202602</t>
        </is>
      </c>
      <c r="I135" s="22" t="n">
        <v>5891589.56</v>
      </c>
      <c r="J135" s="23" t="n">
        <v>2.95</v>
      </c>
      <c r="K135" s="24" t="n">
        <v>447</v>
      </c>
      <c r="L135" s="24" t="n">
        <v>7</v>
      </c>
      <c r="M135" t="n">
        <v>48</v>
      </c>
      <c r="N135" s="25" t="n">
        <v>0</v>
      </c>
      <c r="O135" t="n">
        <v>205703</v>
      </c>
      <c r="P135" t="inlineStr"/>
      <c r="Q135" t="inlineStr">
        <is>
          <t>3487</t>
        </is>
      </c>
      <c r="R135" s="26" t="n">
        <v>0</v>
      </c>
      <c r="S135" t="n">
        <v>0</v>
      </c>
      <c r="T135" s="23">
        <f>LN(1+I135)</f>
        <v/>
      </c>
      <c r="U135" s="24">
        <f>J135*100-K135</f>
        <v/>
      </c>
      <c r="V135" s="24">
        <f>U135-12.5*(L135+1)</f>
        <v/>
      </c>
      <c r="W135" s="26">
        <f>IF(M135&lt;=V7_AGE_KNOT_X_0,V7_AGE_KNOT_Y_0,IF(M135&gt;=V7_AGE_KNOT_X_5,V7_AGE_KNOT_Y_5,IF(M135&lt;=V7_AGE_KNOT_X_1,V7_AGE_KNOT_Y_0+(M135-V7_AGE_KNOT_X_0)/(V7_AGE_KNOT_X_1-V7_AGE_KNOT_X_0)*(V7_AGE_KNOT_Y_1-V7_AGE_KNOT_Y_0),IF(M135&lt;=V7_AGE_KNOT_X_2,V7_AGE_KNOT_Y_1+(M135-V7_AGE_KNOT_X_1)/(V7_AGE_KNOT_X_2-V7_AGE_KNOT_X_1)*(V7_AGE_KNOT_Y_2-V7_AGE_KNOT_Y_1),IF(M135&lt;=V7_AGE_KNOT_X_3,V7_AGE_KNOT_Y_2+(M135-V7_AGE_KNOT_X_2)/(V7_AGE_KNOT_X_3-V7_AGE_KNOT_X_2)*(V7_AGE_KNOT_Y_3-V7_AGE_KNOT_Y_2),IF(M135&lt;=V7_AGE_KNOT_X_4,V7_AGE_KNOT_Y_3+(M135-V7_AGE_KNOT_X_3)/(V7_AGE_KNOT_X_4-V7_AGE_KNOT_X_3)*(V7_AGE_KNOT_Y_4-V7_AGE_KNOT_Y_3),V7_AGE_KNOT_Y_4+(M135-V7_AGE_KNOT_X_4)/(V7_AGE_KNOT_X_5-V7_AGE_KNOT_X_4)*(V7_AGE_KNOT_Y_5-V7_AGE_KNOT_Y_4)))))))</f>
        <v/>
      </c>
      <c r="X135" s="26">
        <f>V7_RATE_FLOOR+V7_RATE_ASYMPTOTE/(1+EXP(-(V135-V7_RATE_MID)/V7_RATE_SLOPE))</f>
        <v/>
      </c>
      <c r="Y135" s="26">
        <f>MAX(V7_SIZE_LOW,MIN(V7_SIZE_HIGH,V7_SIZE_INTERCEPT+V7_SIZE_SLOPE*(T135-V7_SIZE_LOG_ANCHOR)))</f>
        <v/>
      </c>
      <c r="Z135" s="26">
        <f>IF(ISNUMBER(SEARCH("232",E135)),VLOOKUP("232",V7_PROGRAM_TABLE,2,FALSE),IF(ISNUMBER(SEARCH("538",E135)),VLOOKUP("538",V7_PROGRAM_TABLE,2,FALSE),IF(ISNUMBER(SEARCH("223a7",E135)),VLOOKUP("223a7",V7_PROGRAM_TABLE,2,FALSE),IF(ISNUMBER(SEARCH("223f",E135)),VLOOKUP("223f",V7_PROGRAM_TABLE,2,FALSE),V7_PROGRAM_DEFAULT))))</f>
        <v/>
      </c>
      <c r="AA135" s="26">
        <f>IF(S135=1,1+V7_PURPOSE_NC_BUMP*MAX(0,1-ABS(M135-V7_PURPOSE_PEAK_AGE)/V7_PURPOSE_WIDTH),1)</f>
        <v/>
      </c>
      <c r="AB135" s="26">
        <f>IF(AND(IF(OR(P135="",NOT(ISNUMBER(P135))),0,MAX(0,MIN(24,(INT(VALUE(H135)/100)-INT(P135/100))*12+MOD(VALUE(H135),100)-MOD(P135,100))))&gt;0,IF(OR(P135="",NOT(ISNUMBER(P135))),0,MAX(0,MIN(24,(INT(VALUE(H135)/100)-INT(P135/100))*12+MOD(VALUE(H135),100)-MOD(P135,100))))&lt;=12),1+V7_LOCKOUT_AMP*EXP(-(IF(OR(P135="",NOT(ISNUMBER(P135))),0,MAX(0,MIN(24,(INT(VALUE(H135)/100)-INT(P135/100))*12+MOD(VALUE(H135),100)-MOD(P135,100)))))/V7_LOCKOUT_TAU),1)</f>
        <v/>
      </c>
      <c r="AC135" s="26">
        <f>IF(IF(OR(O135="",NOT(ISNUMBER(O135))),360,MAX(0,MIN(480,(INT(O135/100)-INT(VALUE(H135)/100))*12+MOD(O135,100)-MOD(VALUE(H135),100))))&gt;0,1+V7_MTY_AMP*MAX(0,(V7_MTY_CUTOFF-(IF(OR(O135="",NOT(ISNUMBER(O135))),360,MAX(0,MIN(480,(INT(O135/100)-INT(VALUE(H135)/100))*12+MOD(O135,100)-MOD(VALUE(H135),100))))))/V7_MTY_CUTOFF),1)</f>
        <v/>
      </c>
      <c r="AD135" s="26">
        <f>MAX(V7_BURN_FLOOR,1-V7_BURN_SLOPE*MIN(1,MAX(0,R135)))</f>
        <v/>
      </c>
      <c r="AE135" s="26">
        <f>IF(V7_USE_ISSUER=1,IFERROR(VLOOKUP(Q135,V7_ISSUER_TABLE,3,FALSE),1),1)</f>
        <v/>
      </c>
      <c r="AF135" s="26">
        <f>PRODUCT(W135:AE135)</f>
        <v/>
      </c>
      <c r="AG135" s="27">
        <f>MIN(V7_BASE_SMM*AF135,V7_SMM_CAP)</f>
        <v/>
      </c>
      <c r="AH135" s="28">
        <f>1-(1-AG135)^12</f>
        <v/>
      </c>
      <c r="AI135" s="28">
        <f>IFERROR(LN(W135)/(LN(W135)+LN(X135)+LN(Y135)+LN(Z135)+LN(AA135)+LN(AB135)+LN(AC135)+LN(AD135))*(AH135-V7_BASE_CPR),0)</f>
        <v/>
      </c>
      <c r="AJ135" s="28">
        <f>IFERROR(LN(X135)/(LN(W135)+LN(X135)+LN(Y135)+LN(Z135)+LN(AA135)+LN(AB135)+LN(AC135)+LN(AD135))*(AH135-V7_BASE_CPR),0)</f>
        <v/>
      </c>
      <c r="AK135" s="28">
        <f>IFERROR(LN(Y135)/(LN(W135)+LN(X135)+LN(Y135)+LN(Z135)+LN(AA135)+LN(AB135)+LN(AC135)+LN(AD135))*(AH135-V7_BASE_CPR),0)</f>
        <v/>
      </c>
      <c r="AL135" s="28">
        <f>IFERROR(LN(Z135)/(LN(W135)+LN(X135)+LN(Y135)+LN(Z135)+LN(AA135)+LN(AB135)+LN(AC135)+LN(AD135))*(AH135-V7_BASE_CPR),0)</f>
        <v/>
      </c>
      <c r="AM135" s="28">
        <f>IFERROR(LN(AA135)/(LN(W135)+LN(X135)+LN(Y135)+LN(Z135)+LN(AA135)+LN(AB135)+LN(AC135)+LN(AD135))*(AH135-V7_BASE_CPR),0)</f>
        <v/>
      </c>
      <c r="AN135" s="28">
        <f>IFERROR(LN(AB135)/(LN(W135)+LN(X135)+LN(Y135)+LN(Z135)+LN(AA135)+LN(AB135)+LN(AC135)+LN(AD135))*(AH135-V7_BASE_CPR),0)</f>
        <v/>
      </c>
      <c r="AO135" s="28">
        <f>IFERROR(LN(AC135)/(LN(W135)+LN(X135)+LN(Y135)+LN(Z135)+LN(AA135)+LN(AB135)+LN(AC135)+LN(AD135))*(AH135-V7_BASE_CPR),0)</f>
        <v/>
      </c>
      <c r="AP135" s="28">
        <f>IFERROR(LN(AD135)/(LN(W135)+LN(X135)+LN(Y135)+LN(Z135)+LN(AA135)+LN(AB135)+LN(AC135)+LN(AD135))*(AH135-V7_BASE_CPR),0)</f>
        <v/>
      </c>
      <c r="AQ135" s="29">
        <f>V7_BASE_CPR+SUM(AI135:AP135)-AH135</f>
        <v/>
      </c>
    </row>
    <row r="136">
      <c r="A136" s="2" t="inlineStr">
        <is>
          <t>36179GS87_000000004535249</t>
        </is>
      </c>
      <c r="B136" t="inlineStr">
        <is>
          <t>MERCHANTS_PRE21</t>
        </is>
      </c>
      <c r="C136" s="2" t="inlineStr">
        <is>
          <t>36179GS87</t>
        </is>
      </c>
      <c r="D136" t="inlineStr">
        <is>
          <t>MERCHANTS CAPITAL CORP.</t>
        </is>
      </c>
      <c r="E136" t="inlineStr">
        <is>
          <t>223a7</t>
        </is>
      </c>
      <c r="F136" t="inlineStr">
        <is>
          <t>RP</t>
        </is>
      </c>
      <c r="G136" t="n">
        <v>2013</v>
      </c>
      <c r="H136" t="inlineStr">
        <is>
          <t>202602</t>
        </is>
      </c>
      <c r="I136" s="22" t="n">
        <v>707351.03</v>
      </c>
      <c r="J136" s="23" t="n">
        <v>3.5</v>
      </c>
      <c r="K136" s="24" t="n">
        <v>447</v>
      </c>
      <c r="L136" s="24" t="n">
        <v>0</v>
      </c>
      <c r="M136" t="n">
        <v>151</v>
      </c>
      <c r="N136" s="25" t="n">
        <v>33</v>
      </c>
      <c r="O136" t="n">
        <v>204308</v>
      </c>
      <c r="P136" t="inlineStr"/>
      <c r="Q136" t="inlineStr">
        <is>
          <t>3487</t>
        </is>
      </c>
      <c r="R136" s="26" t="n">
        <v>0.2185430463576159</v>
      </c>
      <c r="S136" t="n">
        <v>0</v>
      </c>
      <c r="T136" s="23">
        <f>LN(1+I136)</f>
        <v/>
      </c>
      <c r="U136" s="24">
        <f>J136*100-K136</f>
        <v/>
      </c>
      <c r="V136" s="24">
        <f>U136-12.5*(L136+1)</f>
        <v/>
      </c>
      <c r="W136" s="26">
        <f>IF(M136&lt;=V7_AGE_KNOT_X_0,V7_AGE_KNOT_Y_0,IF(M136&gt;=V7_AGE_KNOT_X_5,V7_AGE_KNOT_Y_5,IF(M136&lt;=V7_AGE_KNOT_X_1,V7_AGE_KNOT_Y_0+(M136-V7_AGE_KNOT_X_0)/(V7_AGE_KNOT_X_1-V7_AGE_KNOT_X_0)*(V7_AGE_KNOT_Y_1-V7_AGE_KNOT_Y_0),IF(M136&lt;=V7_AGE_KNOT_X_2,V7_AGE_KNOT_Y_1+(M136-V7_AGE_KNOT_X_1)/(V7_AGE_KNOT_X_2-V7_AGE_KNOT_X_1)*(V7_AGE_KNOT_Y_2-V7_AGE_KNOT_Y_1),IF(M136&lt;=V7_AGE_KNOT_X_3,V7_AGE_KNOT_Y_2+(M136-V7_AGE_KNOT_X_2)/(V7_AGE_KNOT_X_3-V7_AGE_KNOT_X_2)*(V7_AGE_KNOT_Y_3-V7_AGE_KNOT_Y_2),IF(M136&lt;=V7_AGE_KNOT_X_4,V7_AGE_KNOT_Y_3+(M136-V7_AGE_KNOT_X_3)/(V7_AGE_KNOT_X_4-V7_AGE_KNOT_X_3)*(V7_AGE_KNOT_Y_4-V7_AGE_KNOT_Y_3),V7_AGE_KNOT_Y_4+(M136-V7_AGE_KNOT_X_4)/(V7_AGE_KNOT_X_5-V7_AGE_KNOT_X_4)*(V7_AGE_KNOT_Y_5-V7_AGE_KNOT_Y_4)))))))</f>
        <v/>
      </c>
      <c r="X136" s="26">
        <f>V7_RATE_FLOOR+V7_RATE_ASYMPTOTE/(1+EXP(-(V136-V7_RATE_MID)/V7_RATE_SLOPE))</f>
        <v/>
      </c>
      <c r="Y136" s="26">
        <f>MAX(V7_SIZE_LOW,MIN(V7_SIZE_HIGH,V7_SIZE_INTERCEPT+V7_SIZE_SLOPE*(T136-V7_SIZE_LOG_ANCHOR)))</f>
        <v/>
      </c>
      <c r="Z136" s="26">
        <f>IF(ISNUMBER(SEARCH("232",E136)),VLOOKUP("232",V7_PROGRAM_TABLE,2,FALSE),IF(ISNUMBER(SEARCH("538",E136)),VLOOKUP("538",V7_PROGRAM_TABLE,2,FALSE),IF(ISNUMBER(SEARCH("223a7",E136)),VLOOKUP("223a7",V7_PROGRAM_TABLE,2,FALSE),IF(ISNUMBER(SEARCH("223f",E136)),VLOOKUP("223f",V7_PROGRAM_TABLE,2,FALSE),V7_PROGRAM_DEFAULT))))</f>
        <v/>
      </c>
      <c r="AA136" s="26">
        <f>IF(S136=1,1+V7_PURPOSE_NC_BUMP*MAX(0,1-ABS(M136-V7_PURPOSE_PEAK_AGE)/V7_PURPOSE_WIDTH),1)</f>
        <v/>
      </c>
      <c r="AB136" s="26">
        <f>IF(AND(IF(OR(P136="",NOT(ISNUMBER(P136))),0,MAX(0,MIN(24,(INT(VALUE(H136)/100)-INT(P136/100))*12+MOD(VALUE(H136),100)-MOD(P136,100))))&gt;0,IF(OR(P136="",NOT(ISNUMBER(P136))),0,MAX(0,MIN(24,(INT(VALUE(H136)/100)-INT(P136/100))*12+MOD(VALUE(H136),100)-MOD(P136,100))))&lt;=12),1+V7_LOCKOUT_AMP*EXP(-(IF(OR(P136="",NOT(ISNUMBER(P136))),0,MAX(0,MIN(24,(INT(VALUE(H136)/100)-INT(P136/100))*12+MOD(VALUE(H136),100)-MOD(P136,100)))))/V7_LOCKOUT_TAU),1)</f>
        <v/>
      </c>
      <c r="AC136" s="26">
        <f>IF(IF(OR(O136="",NOT(ISNUMBER(O136))),360,MAX(0,MIN(480,(INT(O136/100)-INT(VALUE(H136)/100))*12+MOD(O136,100)-MOD(VALUE(H136),100))))&gt;0,1+V7_MTY_AMP*MAX(0,(V7_MTY_CUTOFF-(IF(OR(O136="",NOT(ISNUMBER(O136))),360,MAX(0,MIN(480,(INT(O136/100)-INT(VALUE(H136)/100))*12+MOD(O136,100)-MOD(VALUE(H136),100))))))/V7_MTY_CUTOFF),1)</f>
        <v/>
      </c>
      <c r="AD136" s="26">
        <f>MAX(V7_BURN_FLOOR,1-V7_BURN_SLOPE*MIN(1,MAX(0,R136)))</f>
        <v/>
      </c>
      <c r="AE136" s="26">
        <f>IF(V7_USE_ISSUER=1,IFERROR(VLOOKUP(Q136,V7_ISSUER_TABLE,3,FALSE),1),1)</f>
        <v/>
      </c>
      <c r="AF136" s="26">
        <f>PRODUCT(W136:AE136)</f>
        <v/>
      </c>
      <c r="AG136" s="27">
        <f>MIN(V7_BASE_SMM*AF136,V7_SMM_CAP)</f>
        <v/>
      </c>
      <c r="AH136" s="28">
        <f>1-(1-AG136)^12</f>
        <v/>
      </c>
      <c r="AI136" s="28">
        <f>IFERROR(LN(W136)/(LN(W136)+LN(X136)+LN(Y136)+LN(Z136)+LN(AA136)+LN(AB136)+LN(AC136)+LN(AD136))*(AH136-V7_BASE_CPR),0)</f>
        <v/>
      </c>
      <c r="AJ136" s="28">
        <f>IFERROR(LN(X136)/(LN(W136)+LN(X136)+LN(Y136)+LN(Z136)+LN(AA136)+LN(AB136)+LN(AC136)+LN(AD136))*(AH136-V7_BASE_CPR),0)</f>
        <v/>
      </c>
      <c r="AK136" s="28">
        <f>IFERROR(LN(Y136)/(LN(W136)+LN(X136)+LN(Y136)+LN(Z136)+LN(AA136)+LN(AB136)+LN(AC136)+LN(AD136))*(AH136-V7_BASE_CPR),0)</f>
        <v/>
      </c>
      <c r="AL136" s="28">
        <f>IFERROR(LN(Z136)/(LN(W136)+LN(X136)+LN(Y136)+LN(Z136)+LN(AA136)+LN(AB136)+LN(AC136)+LN(AD136))*(AH136-V7_BASE_CPR),0)</f>
        <v/>
      </c>
      <c r="AM136" s="28">
        <f>IFERROR(LN(AA136)/(LN(W136)+LN(X136)+LN(Y136)+LN(Z136)+LN(AA136)+LN(AB136)+LN(AC136)+LN(AD136))*(AH136-V7_BASE_CPR),0)</f>
        <v/>
      </c>
      <c r="AN136" s="28">
        <f>IFERROR(LN(AB136)/(LN(W136)+LN(X136)+LN(Y136)+LN(Z136)+LN(AA136)+LN(AB136)+LN(AC136)+LN(AD136))*(AH136-V7_BASE_CPR),0)</f>
        <v/>
      </c>
      <c r="AO136" s="28">
        <f>IFERROR(LN(AC136)/(LN(W136)+LN(X136)+LN(Y136)+LN(Z136)+LN(AA136)+LN(AB136)+LN(AC136)+LN(AD136))*(AH136-V7_BASE_CPR),0)</f>
        <v/>
      </c>
      <c r="AP136" s="28">
        <f>IFERROR(LN(AD136)/(LN(W136)+LN(X136)+LN(Y136)+LN(Z136)+LN(AA136)+LN(AB136)+LN(AC136)+LN(AD136))*(AH136-V7_BASE_CPR),0)</f>
        <v/>
      </c>
      <c r="AQ136" s="29">
        <f>V7_BASE_CPR+SUM(AI136:AP136)-AH136</f>
        <v/>
      </c>
    </row>
    <row r="137">
      <c r="A137" s="2" t="inlineStr">
        <is>
          <t>36194VHB0_000000007211158</t>
        </is>
      </c>
      <c r="B137" t="inlineStr">
        <is>
          <t>MERCHANTS_PRE21</t>
        </is>
      </c>
      <c r="C137" s="2" t="inlineStr">
        <is>
          <t>36194VHB0</t>
        </is>
      </c>
      <c r="D137" t="inlineStr">
        <is>
          <t>MERCHANTS CAPITAL CORP.</t>
        </is>
      </c>
      <c r="E137" t="inlineStr">
        <is>
          <t>223f</t>
        </is>
      </c>
      <c r="F137" t="inlineStr">
        <is>
          <t>RP</t>
        </is>
      </c>
      <c r="G137" t="n">
        <v>2016</v>
      </c>
      <c r="H137" t="inlineStr">
        <is>
          <t>202602</t>
        </is>
      </c>
      <c r="I137" s="22" t="n">
        <v>1838375.43</v>
      </c>
      <c r="J137" s="23" t="n">
        <v>3.35</v>
      </c>
      <c r="K137" s="24" t="n">
        <v>447</v>
      </c>
      <c r="L137" s="24" t="n">
        <v>1</v>
      </c>
      <c r="M137" t="n">
        <v>115</v>
      </c>
      <c r="N137" s="25" t="n">
        <v>26</v>
      </c>
      <c r="O137" t="n">
        <v>205108</v>
      </c>
      <c r="P137" t="inlineStr"/>
      <c r="Q137" t="inlineStr">
        <is>
          <t>3487</t>
        </is>
      </c>
      <c r="R137" s="26" t="n">
        <v>0.2260869565217391</v>
      </c>
      <c r="S137" t="n">
        <v>0</v>
      </c>
      <c r="T137" s="23">
        <f>LN(1+I137)</f>
        <v/>
      </c>
      <c r="U137" s="24">
        <f>J137*100-K137</f>
        <v/>
      </c>
      <c r="V137" s="24">
        <f>U137-12.5*(L137+1)</f>
        <v/>
      </c>
      <c r="W137" s="26">
        <f>IF(M137&lt;=V7_AGE_KNOT_X_0,V7_AGE_KNOT_Y_0,IF(M137&gt;=V7_AGE_KNOT_X_5,V7_AGE_KNOT_Y_5,IF(M137&lt;=V7_AGE_KNOT_X_1,V7_AGE_KNOT_Y_0+(M137-V7_AGE_KNOT_X_0)/(V7_AGE_KNOT_X_1-V7_AGE_KNOT_X_0)*(V7_AGE_KNOT_Y_1-V7_AGE_KNOT_Y_0),IF(M137&lt;=V7_AGE_KNOT_X_2,V7_AGE_KNOT_Y_1+(M137-V7_AGE_KNOT_X_1)/(V7_AGE_KNOT_X_2-V7_AGE_KNOT_X_1)*(V7_AGE_KNOT_Y_2-V7_AGE_KNOT_Y_1),IF(M137&lt;=V7_AGE_KNOT_X_3,V7_AGE_KNOT_Y_2+(M137-V7_AGE_KNOT_X_2)/(V7_AGE_KNOT_X_3-V7_AGE_KNOT_X_2)*(V7_AGE_KNOT_Y_3-V7_AGE_KNOT_Y_2),IF(M137&lt;=V7_AGE_KNOT_X_4,V7_AGE_KNOT_Y_3+(M137-V7_AGE_KNOT_X_3)/(V7_AGE_KNOT_X_4-V7_AGE_KNOT_X_3)*(V7_AGE_KNOT_Y_4-V7_AGE_KNOT_Y_3),V7_AGE_KNOT_Y_4+(M137-V7_AGE_KNOT_X_4)/(V7_AGE_KNOT_X_5-V7_AGE_KNOT_X_4)*(V7_AGE_KNOT_Y_5-V7_AGE_KNOT_Y_4)))))))</f>
        <v/>
      </c>
      <c r="X137" s="26">
        <f>V7_RATE_FLOOR+V7_RATE_ASYMPTOTE/(1+EXP(-(V137-V7_RATE_MID)/V7_RATE_SLOPE))</f>
        <v/>
      </c>
      <c r="Y137" s="26">
        <f>MAX(V7_SIZE_LOW,MIN(V7_SIZE_HIGH,V7_SIZE_INTERCEPT+V7_SIZE_SLOPE*(T137-V7_SIZE_LOG_ANCHOR)))</f>
        <v/>
      </c>
      <c r="Z137" s="26">
        <f>IF(ISNUMBER(SEARCH("232",E137)),VLOOKUP("232",V7_PROGRAM_TABLE,2,FALSE),IF(ISNUMBER(SEARCH("538",E137)),VLOOKUP("538",V7_PROGRAM_TABLE,2,FALSE),IF(ISNUMBER(SEARCH("223a7",E137)),VLOOKUP("223a7",V7_PROGRAM_TABLE,2,FALSE),IF(ISNUMBER(SEARCH("223f",E137)),VLOOKUP("223f",V7_PROGRAM_TABLE,2,FALSE),V7_PROGRAM_DEFAULT))))</f>
        <v/>
      </c>
      <c r="AA137" s="26">
        <f>IF(S137=1,1+V7_PURPOSE_NC_BUMP*MAX(0,1-ABS(M137-V7_PURPOSE_PEAK_AGE)/V7_PURPOSE_WIDTH),1)</f>
        <v/>
      </c>
      <c r="AB137" s="26">
        <f>IF(AND(IF(OR(P137="",NOT(ISNUMBER(P137))),0,MAX(0,MIN(24,(INT(VALUE(H137)/100)-INT(P137/100))*12+MOD(VALUE(H137),100)-MOD(P137,100))))&gt;0,IF(OR(P137="",NOT(ISNUMBER(P137))),0,MAX(0,MIN(24,(INT(VALUE(H137)/100)-INT(P137/100))*12+MOD(VALUE(H137),100)-MOD(P137,100))))&lt;=12),1+V7_LOCKOUT_AMP*EXP(-(IF(OR(P137="",NOT(ISNUMBER(P137))),0,MAX(0,MIN(24,(INT(VALUE(H137)/100)-INT(P137/100))*12+MOD(VALUE(H137),100)-MOD(P137,100)))))/V7_LOCKOUT_TAU),1)</f>
        <v/>
      </c>
      <c r="AC137" s="26">
        <f>IF(IF(OR(O137="",NOT(ISNUMBER(O137))),360,MAX(0,MIN(480,(INT(O137/100)-INT(VALUE(H137)/100))*12+MOD(O137,100)-MOD(VALUE(H137),100))))&gt;0,1+V7_MTY_AMP*MAX(0,(V7_MTY_CUTOFF-(IF(OR(O137="",NOT(ISNUMBER(O137))),360,MAX(0,MIN(480,(INT(O137/100)-INT(VALUE(H137)/100))*12+MOD(O137,100)-MOD(VALUE(H137),100))))))/V7_MTY_CUTOFF),1)</f>
        <v/>
      </c>
      <c r="AD137" s="26">
        <f>MAX(V7_BURN_FLOOR,1-V7_BURN_SLOPE*MIN(1,MAX(0,R137)))</f>
        <v/>
      </c>
      <c r="AE137" s="26">
        <f>IF(V7_USE_ISSUER=1,IFERROR(VLOOKUP(Q137,V7_ISSUER_TABLE,3,FALSE),1),1)</f>
        <v/>
      </c>
      <c r="AF137" s="26">
        <f>PRODUCT(W137:AE137)</f>
        <v/>
      </c>
      <c r="AG137" s="27">
        <f>MIN(V7_BASE_SMM*AF137,V7_SMM_CAP)</f>
        <v/>
      </c>
      <c r="AH137" s="28">
        <f>1-(1-AG137)^12</f>
        <v/>
      </c>
      <c r="AI137" s="28">
        <f>IFERROR(LN(W137)/(LN(W137)+LN(X137)+LN(Y137)+LN(Z137)+LN(AA137)+LN(AB137)+LN(AC137)+LN(AD137))*(AH137-V7_BASE_CPR),0)</f>
        <v/>
      </c>
      <c r="AJ137" s="28">
        <f>IFERROR(LN(X137)/(LN(W137)+LN(X137)+LN(Y137)+LN(Z137)+LN(AA137)+LN(AB137)+LN(AC137)+LN(AD137))*(AH137-V7_BASE_CPR),0)</f>
        <v/>
      </c>
      <c r="AK137" s="28">
        <f>IFERROR(LN(Y137)/(LN(W137)+LN(X137)+LN(Y137)+LN(Z137)+LN(AA137)+LN(AB137)+LN(AC137)+LN(AD137))*(AH137-V7_BASE_CPR),0)</f>
        <v/>
      </c>
      <c r="AL137" s="28">
        <f>IFERROR(LN(Z137)/(LN(W137)+LN(X137)+LN(Y137)+LN(Z137)+LN(AA137)+LN(AB137)+LN(AC137)+LN(AD137))*(AH137-V7_BASE_CPR),0)</f>
        <v/>
      </c>
      <c r="AM137" s="28">
        <f>IFERROR(LN(AA137)/(LN(W137)+LN(X137)+LN(Y137)+LN(Z137)+LN(AA137)+LN(AB137)+LN(AC137)+LN(AD137))*(AH137-V7_BASE_CPR),0)</f>
        <v/>
      </c>
      <c r="AN137" s="28">
        <f>IFERROR(LN(AB137)/(LN(W137)+LN(X137)+LN(Y137)+LN(Z137)+LN(AA137)+LN(AB137)+LN(AC137)+LN(AD137))*(AH137-V7_BASE_CPR),0)</f>
        <v/>
      </c>
      <c r="AO137" s="28">
        <f>IFERROR(LN(AC137)/(LN(W137)+LN(X137)+LN(Y137)+LN(Z137)+LN(AA137)+LN(AB137)+LN(AC137)+LN(AD137))*(AH137-V7_BASE_CPR),0)</f>
        <v/>
      </c>
      <c r="AP137" s="28">
        <f>IFERROR(LN(AD137)/(LN(W137)+LN(X137)+LN(Y137)+LN(Z137)+LN(AA137)+LN(AB137)+LN(AC137)+LN(AD137))*(AH137-V7_BASE_CPR),0)</f>
        <v/>
      </c>
      <c r="AQ137" s="29">
        <f>V7_BASE_CPR+SUM(AI137:AP137)-AH137</f>
        <v/>
      </c>
    </row>
    <row r="138">
      <c r="A138" s="2" t="inlineStr">
        <is>
          <t>3617HGV50_000000011535893</t>
        </is>
      </c>
      <c r="B138" t="inlineStr">
        <is>
          <t>PNC_PRE21</t>
        </is>
      </c>
      <c r="C138" s="2" t="inlineStr">
        <is>
          <t>3617HGV50</t>
        </is>
      </c>
      <c r="D138" t="inlineStr">
        <is>
          <t>PNC BANK, NA</t>
        </is>
      </c>
      <c r="E138" t="inlineStr">
        <is>
          <t>221d4</t>
        </is>
      </c>
      <c r="F138" t="inlineStr">
        <is>
          <t>NC</t>
        </is>
      </c>
      <c r="G138" t="n">
        <v>2020</v>
      </c>
      <c r="H138" t="inlineStr">
        <is>
          <t>202602</t>
        </is>
      </c>
      <c r="I138" s="22" t="n">
        <v>15491709.69</v>
      </c>
      <c r="J138" s="23" t="n">
        <v>2.99</v>
      </c>
      <c r="K138" s="24" t="n">
        <v>447</v>
      </c>
      <c r="L138" s="24" t="n">
        <v>7</v>
      </c>
      <c r="M138" t="n">
        <v>68</v>
      </c>
      <c r="N138" s="25" t="n">
        <v>0</v>
      </c>
      <c r="O138" t="n">
        <v>206209</v>
      </c>
      <c r="P138" t="inlineStr"/>
      <c r="Q138" t="inlineStr">
        <is>
          <t>3976</t>
        </is>
      </c>
      <c r="R138" s="26" t="n">
        <v>0</v>
      </c>
      <c r="S138" t="n">
        <v>1</v>
      </c>
      <c r="T138" s="23">
        <f>LN(1+I138)</f>
        <v/>
      </c>
      <c r="U138" s="24">
        <f>J138*100-K138</f>
        <v/>
      </c>
      <c r="V138" s="24">
        <f>U138-12.5*(L138+1)</f>
        <v/>
      </c>
      <c r="W138" s="26">
        <f>IF(M138&lt;=V7_AGE_KNOT_X_0,V7_AGE_KNOT_Y_0,IF(M138&gt;=V7_AGE_KNOT_X_5,V7_AGE_KNOT_Y_5,IF(M138&lt;=V7_AGE_KNOT_X_1,V7_AGE_KNOT_Y_0+(M138-V7_AGE_KNOT_X_0)/(V7_AGE_KNOT_X_1-V7_AGE_KNOT_X_0)*(V7_AGE_KNOT_Y_1-V7_AGE_KNOT_Y_0),IF(M138&lt;=V7_AGE_KNOT_X_2,V7_AGE_KNOT_Y_1+(M138-V7_AGE_KNOT_X_1)/(V7_AGE_KNOT_X_2-V7_AGE_KNOT_X_1)*(V7_AGE_KNOT_Y_2-V7_AGE_KNOT_Y_1),IF(M138&lt;=V7_AGE_KNOT_X_3,V7_AGE_KNOT_Y_2+(M138-V7_AGE_KNOT_X_2)/(V7_AGE_KNOT_X_3-V7_AGE_KNOT_X_2)*(V7_AGE_KNOT_Y_3-V7_AGE_KNOT_Y_2),IF(M138&lt;=V7_AGE_KNOT_X_4,V7_AGE_KNOT_Y_3+(M138-V7_AGE_KNOT_X_3)/(V7_AGE_KNOT_X_4-V7_AGE_KNOT_X_3)*(V7_AGE_KNOT_Y_4-V7_AGE_KNOT_Y_3),V7_AGE_KNOT_Y_4+(M138-V7_AGE_KNOT_X_4)/(V7_AGE_KNOT_X_5-V7_AGE_KNOT_X_4)*(V7_AGE_KNOT_Y_5-V7_AGE_KNOT_Y_4)))))))</f>
        <v/>
      </c>
      <c r="X138" s="26">
        <f>V7_RATE_FLOOR+V7_RATE_ASYMPTOTE/(1+EXP(-(V138-V7_RATE_MID)/V7_RATE_SLOPE))</f>
        <v/>
      </c>
      <c r="Y138" s="26">
        <f>MAX(V7_SIZE_LOW,MIN(V7_SIZE_HIGH,V7_SIZE_INTERCEPT+V7_SIZE_SLOPE*(T138-V7_SIZE_LOG_ANCHOR)))</f>
        <v/>
      </c>
      <c r="Z138" s="26">
        <f>IF(ISNUMBER(SEARCH("232",E138)),VLOOKUP("232",V7_PROGRAM_TABLE,2,FALSE),IF(ISNUMBER(SEARCH("538",E138)),VLOOKUP("538",V7_PROGRAM_TABLE,2,FALSE),IF(ISNUMBER(SEARCH("223a7",E138)),VLOOKUP("223a7",V7_PROGRAM_TABLE,2,FALSE),IF(ISNUMBER(SEARCH("223f",E138)),VLOOKUP("223f",V7_PROGRAM_TABLE,2,FALSE),V7_PROGRAM_DEFAULT))))</f>
        <v/>
      </c>
      <c r="AA138" s="26">
        <f>IF(S138=1,1+V7_PURPOSE_NC_BUMP*MAX(0,1-ABS(M138-V7_PURPOSE_PEAK_AGE)/V7_PURPOSE_WIDTH),1)</f>
        <v/>
      </c>
      <c r="AB138" s="26">
        <f>IF(AND(IF(OR(P138="",NOT(ISNUMBER(P138))),0,MAX(0,MIN(24,(INT(VALUE(H138)/100)-INT(P138/100))*12+MOD(VALUE(H138),100)-MOD(P138,100))))&gt;0,IF(OR(P138="",NOT(ISNUMBER(P138))),0,MAX(0,MIN(24,(INT(VALUE(H138)/100)-INT(P138/100))*12+MOD(VALUE(H138),100)-MOD(P138,100))))&lt;=12),1+V7_LOCKOUT_AMP*EXP(-(IF(OR(P138="",NOT(ISNUMBER(P138))),0,MAX(0,MIN(24,(INT(VALUE(H138)/100)-INT(P138/100))*12+MOD(VALUE(H138),100)-MOD(P138,100)))))/V7_LOCKOUT_TAU),1)</f>
        <v/>
      </c>
      <c r="AC138" s="26">
        <f>IF(IF(OR(O138="",NOT(ISNUMBER(O138))),360,MAX(0,MIN(480,(INT(O138/100)-INT(VALUE(H138)/100))*12+MOD(O138,100)-MOD(VALUE(H138),100))))&gt;0,1+V7_MTY_AMP*MAX(0,(V7_MTY_CUTOFF-(IF(OR(O138="",NOT(ISNUMBER(O138))),360,MAX(0,MIN(480,(INT(O138/100)-INT(VALUE(H138)/100))*12+MOD(O138,100)-MOD(VALUE(H138),100))))))/V7_MTY_CUTOFF),1)</f>
        <v/>
      </c>
      <c r="AD138" s="26">
        <f>MAX(V7_BURN_FLOOR,1-V7_BURN_SLOPE*MIN(1,MAX(0,R138)))</f>
        <v/>
      </c>
      <c r="AE138" s="26">
        <f>IF(V7_USE_ISSUER=1,IFERROR(VLOOKUP(Q138,V7_ISSUER_TABLE,3,FALSE),1),1)</f>
        <v/>
      </c>
      <c r="AF138" s="26">
        <f>PRODUCT(W138:AE138)</f>
        <v/>
      </c>
      <c r="AG138" s="27">
        <f>MIN(V7_BASE_SMM*AF138,V7_SMM_CAP)</f>
        <v/>
      </c>
      <c r="AH138" s="28">
        <f>1-(1-AG138)^12</f>
        <v/>
      </c>
      <c r="AI138" s="28">
        <f>IFERROR(LN(W138)/(LN(W138)+LN(X138)+LN(Y138)+LN(Z138)+LN(AA138)+LN(AB138)+LN(AC138)+LN(AD138))*(AH138-V7_BASE_CPR),0)</f>
        <v/>
      </c>
      <c r="AJ138" s="28">
        <f>IFERROR(LN(X138)/(LN(W138)+LN(X138)+LN(Y138)+LN(Z138)+LN(AA138)+LN(AB138)+LN(AC138)+LN(AD138))*(AH138-V7_BASE_CPR),0)</f>
        <v/>
      </c>
      <c r="AK138" s="28">
        <f>IFERROR(LN(Y138)/(LN(W138)+LN(X138)+LN(Y138)+LN(Z138)+LN(AA138)+LN(AB138)+LN(AC138)+LN(AD138))*(AH138-V7_BASE_CPR),0)</f>
        <v/>
      </c>
      <c r="AL138" s="28">
        <f>IFERROR(LN(Z138)/(LN(W138)+LN(X138)+LN(Y138)+LN(Z138)+LN(AA138)+LN(AB138)+LN(AC138)+LN(AD138))*(AH138-V7_BASE_CPR),0)</f>
        <v/>
      </c>
      <c r="AM138" s="28">
        <f>IFERROR(LN(AA138)/(LN(W138)+LN(X138)+LN(Y138)+LN(Z138)+LN(AA138)+LN(AB138)+LN(AC138)+LN(AD138))*(AH138-V7_BASE_CPR),0)</f>
        <v/>
      </c>
      <c r="AN138" s="28">
        <f>IFERROR(LN(AB138)/(LN(W138)+LN(X138)+LN(Y138)+LN(Z138)+LN(AA138)+LN(AB138)+LN(AC138)+LN(AD138))*(AH138-V7_BASE_CPR),0)</f>
        <v/>
      </c>
      <c r="AO138" s="28">
        <f>IFERROR(LN(AC138)/(LN(W138)+LN(X138)+LN(Y138)+LN(Z138)+LN(AA138)+LN(AB138)+LN(AC138)+LN(AD138))*(AH138-V7_BASE_CPR),0)</f>
        <v/>
      </c>
      <c r="AP138" s="28">
        <f>IFERROR(LN(AD138)/(LN(W138)+LN(X138)+LN(Y138)+LN(Z138)+LN(AA138)+LN(AB138)+LN(AC138)+LN(AD138))*(AH138-V7_BASE_CPR),0)</f>
        <v/>
      </c>
      <c r="AQ138" s="29">
        <f>V7_BASE_CPR+SUM(AI138:AP138)-AH138</f>
        <v/>
      </c>
    </row>
    <row r="139">
      <c r="A139" s="2" t="inlineStr">
        <is>
          <t>36186PSP0_000000007535415</t>
        </is>
      </c>
      <c r="B139" t="inlineStr">
        <is>
          <t>PNC_PRE21</t>
        </is>
      </c>
      <c r="C139" s="2" t="inlineStr">
        <is>
          <t>36186PSP0</t>
        </is>
      </c>
      <c r="D139" t="inlineStr">
        <is>
          <t>PNC BANK, NA</t>
        </is>
      </c>
      <c r="E139" t="inlineStr">
        <is>
          <t>221d4</t>
        </is>
      </c>
      <c r="F139" t="inlineStr">
        <is>
          <t>NC</t>
        </is>
      </c>
      <c r="G139" t="n">
        <v>2015</v>
      </c>
      <c r="H139" t="inlineStr">
        <is>
          <t>202602</t>
        </is>
      </c>
      <c r="I139" s="22" t="n">
        <v>4231318.11</v>
      </c>
      <c r="J139" s="23" t="n">
        <v>3.35</v>
      </c>
      <c r="K139" s="24" t="n">
        <v>447</v>
      </c>
      <c r="L139" s="24" t="n">
        <v>0</v>
      </c>
      <c r="M139" t="n">
        <v>127</v>
      </c>
      <c r="N139" s="25" t="n">
        <v>29</v>
      </c>
      <c r="O139" t="n">
        <v>204504</v>
      </c>
      <c r="P139" t="inlineStr"/>
      <c r="Q139" t="inlineStr">
        <is>
          <t>3976</t>
        </is>
      </c>
      <c r="R139" s="26" t="n">
        <v>0.2283464566929134</v>
      </c>
      <c r="S139" t="n">
        <v>1</v>
      </c>
      <c r="T139" s="23">
        <f>LN(1+I139)</f>
        <v/>
      </c>
      <c r="U139" s="24">
        <f>J139*100-K139</f>
        <v/>
      </c>
      <c r="V139" s="24">
        <f>U139-12.5*(L139+1)</f>
        <v/>
      </c>
      <c r="W139" s="26">
        <f>IF(M139&lt;=V7_AGE_KNOT_X_0,V7_AGE_KNOT_Y_0,IF(M139&gt;=V7_AGE_KNOT_X_5,V7_AGE_KNOT_Y_5,IF(M139&lt;=V7_AGE_KNOT_X_1,V7_AGE_KNOT_Y_0+(M139-V7_AGE_KNOT_X_0)/(V7_AGE_KNOT_X_1-V7_AGE_KNOT_X_0)*(V7_AGE_KNOT_Y_1-V7_AGE_KNOT_Y_0),IF(M139&lt;=V7_AGE_KNOT_X_2,V7_AGE_KNOT_Y_1+(M139-V7_AGE_KNOT_X_1)/(V7_AGE_KNOT_X_2-V7_AGE_KNOT_X_1)*(V7_AGE_KNOT_Y_2-V7_AGE_KNOT_Y_1),IF(M139&lt;=V7_AGE_KNOT_X_3,V7_AGE_KNOT_Y_2+(M139-V7_AGE_KNOT_X_2)/(V7_AGE_KNOT_X_3-V7_AGE_KNOT_X_2)*(V7_AGE_KNOT_Y_3-V7_AGE_KNOT_Y_2),IF(M139&lt;=V7_AGE_KNOT_X_4,V7_AGE_KNOT_Y_3+(M139-V7_AGE_KNOT_X_3)/(V7_AGE_KNOT_X_4-V7_AGE_KNOT_X_3)*(V7_AGE_KNOT_Y_4-V7_AGE_KNOT_Y_3),V7_AGE_KNOT_Y_4+(M139-V7_AGE_KNOT_X_4)/(V7_AGE_KNOT_X_5-V7_AGE_KNOT_X_4)*(V7_AGE_KNOT_Y_5-V7_AGE_KNOT_Y_4)))))))</f>
        <v/>
      </c>
      <c r="X139" s="26">
        <f>V7_RATE_FLOOR+V7_RATE_ASYMPTOTE/(1+EXP(-(V139-V7_RATE_MID)/V7_RATE_SLOPE))</f>
        <v/>
      </c>
      <c r="Y139" s="26">
        <f>MAX(V7_SIZE_LOW,MIN(V7_SIZE_HIGH,V7_SIZE_INTERCEPT+V7_SIZE_SLOPE*(T139-V7_SIZE_LOG_ANCHOR)))</f>
        <v/>
      </c>
      <c r="Z139" s="26">
        <f>IF(ISNUMBER(SEARCH("232",E139)),VLOOKUP("232",V7_PROGRAM_TABLE,2,FALSE),IF(ISNUMBER(SEARCH("538",E139)),VLOOKUP("538",V7_PROGRAM_TABLE,2,FALSE),IF(ISNUMBER(SEARCH("223a7",E139)),VLOOKUP("223a7",V7_PROGRAM_TABLE,2,FALSE),IF(ISNUMBER(SEARCH("223f",E139)),VLOOKUP("223f",V7_PROGRAM_TABLE,2,FALSE),V7_PROGRAM_DEFAULT))))</f>
        <v/>
      </c>
      <c r="AA139" s="26">
        <f>IF(S139=1,1+V7_PURPOSE_NC_BUMP*MAX(0,1-ABS(M139-V7_PURPOSE_PEAK_AGE)/V7_PURPOSE_WIDTH),1)</f>
        <v/>
      </c>
      <c r="AB139" s="26">
        <f>IF(AND(IF(OR(P139="",NOT(ISNUMBER(P139))),0,MAX(0,MIN(24,(INT(VALUE(H139)/100)-INT(P139/100))*12+MOD(VALUE(H139),100)-MOD(P139,100))))&gt;0,IF(OR(P139="",NOT(ISNUMBER(P139))),0,MAX(0,MIN(24,(INT(VALUE(H139)/100)-INT(P139/100))*12+MOD(VALUE(H139),100)-MOD(P139,100))))&lt;=12),1+V7_LOCKOUT_AMP*EXP(-(IF(OR(P139="",NOT(ISNUMBER(P139))),0,MAX(0,MIN(24,(INT(VALUE(H139)/100)-INT(P139/100))*12+MOD(VALUE(H139),100)-MOD(P139,100)))))/V7_LOCKOUT_TAU),1)</f>
        <v/>
      </c>
      <c r="AC139" s="26">
        <f>IF(IF(OR(O139="",NOT(ISNUMBER(O139))),360,MAX(0,MIN(480,(INT(O139/100)-INT(VALUE(H139)/100))*12+MOD(O139,100)-MOD(VALUE(H139),100))))&gt;0,1+V7_MTY_AMP*MAX(0,(V7_MTY_CUTOFF-(IF(OR(O139="",NOT(ISNUMBER(O139))),360,MAX(0,MIN(480,(INT(O139/100)-INT(VALUE(H139)/100))*12+MOD(O139,100)-MOD(VALUE(H139),100))))))/V7_MTY_CUTOFF),1)</f>
        <v/>
      </c>
      <c r="AD139" s="26">
        <f>MAX(V7_BURN_FLOOR,1-V7_BURN_SLOPE*MIN(1,MAX(0,R139)))</f>
        <v/>
      </c>
      <c r="AE139" s="26">
        <f>IF(V7_USE_ISSUER=1,IFERROR(VLOOKUP(Q139,V7_ISSUER_TABLE,3,FALSE),1),1)</f>
        <v/>
      </c>
      <c r="AF139" s="26">
        <f>PRODUCT(W139:AE139)</f>
        <v/>
      </c>
      <c r="AG139" s="27">
        <f>MIN(V7_BASE_SMM*AF139,V7_SMM_CAP)</f>
        <v/>
      </c>
      <c r="AH139" s="28">
        <f>1-(1-AG139)^12</f>
        <v/>
      </c>
      <c r="AI139" s="28">
        <f>IFERROR(LN(W139)/(LN(W139)+LN(X139)+LN(Y139)+LN(Z139)+LN(AA139)+LN(AB139)+LN(AC139)+LN(AD139))*(AH139-V7_BASE_CPR),0)</f>
        <v/>
      </c>
      <c r="AJ139" s="28">
        <f>IFERROR(LN(X139)/(LN(W139)+LN(X139)+LN(Y139)+LN(Z139)+LN(AA139)+LN(AB139)+LN(AC139)+LN(AD139))*(AH139-V7_BASE_CPR),0)</f>
        <v/>
      </c>
      <c r="AK139" s="28">
        <f>IFERROR(LN(Y139)/(LN(W139)+LN(X139)+LN(Y139)+LN(Z139)+LN(AA139)+LN(AB139)+LN(AC139)+LN(AD139))*(AH139-V7_BASE_CPR),0)</f>
        <v/>
      </c>
      <c r="AL139" s="28">
        <f>IFERROR(LN(Z139)/(LN(W139)+LN(X139)+LN(Y139)+LN(Z139)+LN(AA139)+LN(AB139)+LN(AC139)+LN(AD139))*(AH139-V7_BASE_CPR),0)</f>
        <v/>
      </c>
      <c r="AM139" s="28">
        <f>IFERROR(LN(AA139)/(LN(W139)+LN(X139)+LN(Y139)+LN(Z139)+LN(AA139)+LN(AB139)+LN(AC139)+LN(AD139))*(AH139-V7_BASE_CPR),0)</f>
        <v/>
      </c>
      <c r="AN139" s="28">
        <f>IFERROR(LN(AB139)/(LN(W139)+LN(X139)+LN(Y139)+LN(Z139)+LN(AA139)+LN(AB139)+LN(AC139)+LN(AD139))*(AH139-V7_BASE_CPR),0)</f>
        <v/>
      </c>
      <c r="AO139" s="28">
        <f>IFERROR(LN(AC139)/(LN(W139)+LN(X139)+LN(Y139)+LN(Z139)+LN(AA139)+LN(AB139)+LN(AC139)+LN(AD139))*(AH139-V7_BASE_CPR),0)</f>
        <v/>
      </c>
      <c r="AP139" s="28">
        <f>IFERROR(LN(AD139)/(LN(W139)+LN(X139)+LN(Y139)+LN(Z139)+LN(AA139)+LN(AB139)+LN(AC139)+LN(AD139))*(AH139-V7_BASE_CPR),0)</f>
        <v/>
      </c>
      <c r="AQ139" s="29">
        <f>V7_BASE_CPR+SUM(AI139:AP139)-AH139</f>
        <v/>
      </c>
    </row>
    <row r="140">
      <c r="A140" s="2" t="inlineStr">
        <is>
          <t>36295AMH5_000000004711044</t>
        </is>
      </c>
      <c r="B140" t="inlineStr">
        <is>
          <t>PNC_PRE21</t>
        </is>
      </c>
      <c r="C140" s="2" t="inlineStr">
        <is>
          <t>36295AMH5</t>
        </is>
      </c>
      <c r="D140" t="inlineStr">
        <is>
          <t>PNC BANK, NA</t>
        </is>
      </c>
      <c r="E140" t="inlineStr">
        <is>
          <t>223f</t>
        </is>
      </c>
      <c r="F140" t="inlineStr">
        <is>
          <t>RP</t>
        </is>
      </c>
      <c r="G140" t="n">
        <v>2007</v>
      </c>
      <c r="H140" t="inlineStr">
        <is>
          <t>202602</t>
        </is>
      </c>
      <c r="I140" s="22" t="n">
        <v>656933.48</v>
      </c>
      <c r="J140" s="23" t="n">
        <v>5.8</v>
      </c>
      <c r="K140" s="24" t="n">
        <v>447</v>
      </c>
      <c r="L140" s="24" t="n">
        <v>0</v>
      </c>
      <c r="M140" t="n">
        <v>223</v>
      </c>
      <c r="N140" s="25" t="n">
        <v>85</v>
      </c>
      <c r="O140" t="n">
        <v>204208</v>
      </c>
      <c r="P140" t="n">
        <v>200909</v>
      </c>
      <c r="Q140" t="inlineStr">
        <is>
          <t>3976</t>
        </is>
      </c>
      <c r="R140" s="26" t="n">
        <v>0.3811659192825112</v>
      </c>
      <c r="S140" t="n">
        <v>0</v>
      </c>
      <c r="T140" s="23">
        <f>LN(1+I140)</f>
        <v/>
      </c>
      <c r="U140" s="24">
        <f>J140*100-K140</f>
        <v/>
      </c>
      <c r="V140" s="24">
        <f>U140-12.5*(L140+1)</f>
        <v/>
      </c>
      <c r="W140" s="26">
        <f>IF(M140&lt;=V7_AGE_KNOT_X_0,V7_AGE_KNOT_Y_0,IF(M140&gt;=V7_AGE_KNOT_X_5,V7_AGE_KNOT_Y_5,IF(M140&lt;=V7_AGE_KNOT_X_1,V7_AGE_KNOT_Y_0+(M140-V7_AGE_KNOT_X_0)/(V7_AGE_KNOT_X_1-V7_AGE_KNOT_X_0)*(V7_AGE_KNOT_Y_1-V7_AGE_KNOT_Y_0),IF(M140&lt;=V7_AGE_KNOT_X_2,V7_AGE_KNOT_Y_1+(M140-V7_AGE_KNOT_X_1)/(V7_AGE_KNOT_X_2-V7_AGE_KNOT_X_1)*(V7_AGE_KNOT_Y_2-V7_AGE_KNOT_Y_1),IF(M140&lt;=V7_AGE_KNOT_X_3,V7_AGE_KNOT_Y_2+(M140-V7_AGE_KNOT_X_2)/(V7_AGE_KNOT_X_3-V7_AGE_KNOT_X_2)*(V7_AGE_KNOT_Y_3-V7_AGE_KNOT_Y_2),IF(M140&lt;=V7_AGE_KNOT_X_4,V7_AGE_KNOT_Y_3+(M140-V7_AGE_KNOT_X_3)/(V7_AGE_KNOT_X_4-V7_AGE_KNOT_X_3)*(V7_AGE_KNOT_Y_4-V7_AGE_KNOT_Y_3),V7_AGE_KNOT_Y_4+(M140-V7_AGE_KNOT_X_4)/(V7_AGE_KNOT_X_5-V7_AGE_KNOT_X_4)*(V7_AGE_KNOT_Y_5-V7_AGE_KNOT_Y_4)))))))</f>
        <v/>
      </c>
      <c r="X140" s="26">
        <f>V7_RATE_FLOOR+V7_RATE_ASYMPTOTE/(1+EXP(-(V140-V7_RATE_MID)/V7_RATE_SLOPE))</f>
        <v/>
      </c>
      <c r="Y140" s="26">
        <f>MAX(V7_SIZE_LOW,MIN(V7_SIZE_HIGH,V7_SIZE_INTERCEPT+V7_SIZE_SLOPE*(T140-V7_SIZE_LOG_ANCHOR)))</f>
        <v/>
      </c>
      <c r="Z140" s="26">
        <f>IF(ISNUMBER(SEARCH("232",E140)),VLOOKUP("232",V7_PROGRAM_TABLE,2,FALSE),IF(ISNUMBER(SEARCH("538",E140)),VLOOKUP("538",V7_PROGRAM_TABLE,2,FALSE),IF(ISNUMBER(SEARCH("223a7",E140)),VLOOKUP("223a7",V7_PROGRAM_TABLE,2,FALSE),IF(ISNUMBER(SEARCH("223f",E140)),VLOOKUP("223f",V7_PROGRAM_TABLE,2,FALSE),V7_PROGRAM_DEFAULT))))</f>
        <v/>
      </c>
      <c r="AA140" s="26">
        <f>IF(S140=1,1+V7_PURPOSE_NC_BUMP*MAX(0,1-ABS(M140-V7_PURPOSE_PEAK_AGE)/V7_PURPOSE_WIDTH),1)</f>
        <v/>
      </c>
      <c r="AB140" s="26">
        <f>IF(AND(IF(OR(P140="",NOT(ISNUMBER(P140))),0,MAX(0,MIN(24,(INT(VALUE(H140)/100)-INT(P140/100))*12+MOD(VALUE(H140),100)-MOD(P140,100))))&gt;0,IF(OR(P140="",NOT(ISNUMBER(P140))),0,MAX(0,MIN(24,(INT(VALUE(H140)/100)-INT(P140/100))*12+MOD(VALUE(H140),100)-MOD(P140,100))))&lt;=12),1+V7_LOCKOUT_AMP*EXP(-(IF(OR(P140="",NOT(ISNUMBER(P140))),0,MAX(0,MIN(24,(INT(VALUE(H140)/100)-INT(P140/100))*12+MOD(VALUE(H140),100)-MOD(P140,100)))))/V7_LOCKOUT_TAU),1)</f>
        <v/>
      </c>
      <c r="AC140" s="26">
        <f>IF(IF(OR(O140="",NOT(ISNUMBER(O140))),360,MAX(0,MIN(480,(INT(O140/100)-INT(VALUE(H140)/100))*12+MOD(O140,100)-MOD(VALUE(H140),100))))&gt;0,1+V7_MTY_AMP*MAX(0,(V7_MTY_CUTOFF-(IF(OR(O140="",NOT(ISNUMBER(O140))),360,MAX(0,MIN(480,(INT(O140/100)-INT(VALUE(H140)/100))*12+MOD(O140,100)-MOD(VALUE(H140),100))))))/V7_MTY_CUTOFF),1)</f>
        <v/>
      </c>
      <c r="AD140" s="26">
        <f>MAX(V7_BURN_FLOOR,1-V7_BURN_SLOPE*MIN(1,MAX(0,R140)))</f>
        <v/>
      </c>
      <c r="AE140" s="26">
        <f>IF(V7_USE_ISSUER=1,IFERROR(VLOOKUP(Q140,V7_ISSUER_TABLE,3,FALSE),1),1)</f>
        <v/>
      </c>
      <c r="AF140" s="26">
        <f>PRODUCT(W140:AE140)</f>
        <v/>
      </c>
      <c r="AG140" s="27">
        <f>MIN(V7_BASE_SMM*AF140,V7_SMM_CAP)</f>
        <v/>
      </c>
      <c r="AH140" s="28">
        <f>1-(1-AG140)^12</f>
        <v/>
      </c>
      <c r="AI140" s="28">
        <f>IFERROR(LN(W140)/(LN(W140)+LN(X140)+LN(Y140)+LN(Z140)+LN(AA140)+LN(AB140)+LN(AC140)+LN(AD140))*(AH140-V7_BASE_CPR),0)</f>
        <v/>
      </c>
      <c r="AJ140" s="28">
        <f>IFERROR(LN(X140)/(LN(W140)+LN(X140)+LN(Y140)+LN(Z140)+LN(AA140)+LN(AB140)+LN(AC140)+LN(AD140))*(AH140-V7_BASE_CPR),0)</f>
        <v/>
      </c>
      <c r="AK140" s="28">
        <f>IFERROR(LN(Y140)/(LN(W140)+LN(X140)+LN(Y140)+LN(Z140)+LN(AA140)+LN(AB140)+LN(AC140)+LN(AD140))*(AH140-V7_BASE_CPR),0)</f>
        <v/>
      </c>
      <c r="AL140" s="28">
        <f>IFERROR(LN(Z140)/(LN(W140)+LN(X140)+LN(Y140)+LN(Z140)+LN(AA140)+LN(AB140)+LN(AC140)+LN(AD140))*(AH140-V7_BASE_CPR),0)</f>
        <v/>
      </c>
      <c r="AM140" s="28">
        <f>IFERROR(LN(AA140)/(LN(W140)+LN(X140)+LN(Y140)+LN(Z140)+LN(AA140)+LN(AB140)+LN(AC140)+LN(AD140))*(AH140-V7_BASE_CPR),0)</f>
        <v/>
      </c>
      <c r="AN140" s="28">
        <f>IFERROR(LN(AB140)/(LN(W140)+LN(X140)+LN(Y140)+LN(Z140)+LN(AA140)+LN(AB140)+LN(AC140)+LN(AD140))*(AH140-V7_BASE_CPR),0)</f>
        <v/>
      </c>
      <c r="AO140" s="28">
        <f>IFERROR(LN(AC140)/(LN(W140)+LN(X140)+LN(Y140)+LN(Z140)+LN(AA140)+LN(AB140)+LN(AC140)+LN(AD140))*(AH140-V7_BASE_CPR),0)</f>
        <v/>
      </c>
      <c r="AP140" s="28">
        <f>IFERROR(LN(AD140)/(LN(W140)+LN(X140)+LN(Y140)+LN(Z140)+LN(AA140)+LN(AB140)+LN(AC140)+LN(AD140))*(AH140-V7_BASE_CPR),0)</f>
        <v/>
      </c>
      <c r="AQ140" s="29">
        <f>V7_BASE_CPR+SUM(AI140:AP140)-AH140</f>
        <v/>
      </c>
    </row>
    <row r="141">
      <c r="A141" s="2" t="inlineStr">
        <is>
          <t>3617HGVR2_000000001711215</t>
        </is>
      </c>
      <c r="B141" t="inlineStr">
        <is>
          <t>PNC_PRE21</t>
        </is>
      </c>
      <c r="C141" s="2" t="inlineStr">
        <is>
          <t>3617HGVR2</t>
        </is>
      </c>
      <c r="D141" t="inlineStr">
        <is>
          <t>PNC BANK, NA</t>
        </is>
      </c>
      <c r="E141" t="inlineStr">
        <is>
          <t>223f</t>
        </is>
      </c>
      <c r="F141" t="inlineStr">
        <is>
          <t>RP</t>
        </is>
      </c>
      <c r="G141" t="n">
        <v>2020</v>
      </c>
      <c r="H141" t="inlineStr">
        <is>
          <t>202602</t>
        </is>
      </c>
      <c r="I141" s="22" t="n">
        <v>12716615.97</v>
      </c>
      <c r="J141" s="23" t="n">
        <v>2.38</v>
      </c>
      <c r="K141" s="24" t="n">
        <v>447</v>
      </c>
      <c r="L141" s="24" t="n">
        <v>5</v>
      </c>
      <c r="M141" t="n">
        <v>67</v>
      </c>
      <c r="N141" s="25" t="n">
        <v>0</v>
      </c>
      <c r="O141" t="n">
        <v>205508</v>
      </c>
      <c r="P141" t="inlineStr"/>
      <c r="Q141" t="inlineStr">
        <is>
          <t>3976</t>
        </is>
      </c>
      <c r="R141" s="26" t="n">
        <v>0</v>
      </c>
      <c r="S141" t="n">
        <v>0</v>
      </c>
      <c r="T141" s="23">
        <f>LN(1+I141)</f>
        <v/>
      </c>
      <c r="U141" s="24">
        <f>J141*100-K141</f>
        <v/>
      </c>
      <c r="V141" s="24">
        <f>U141-12.5*(L141+1)</f>
        <v/>
      </c>
      <c r="W141" s="26">
        <f>IF(M141&lt;=V7_AGE_KNOT_X_0,V7_AGE_KNOT_Y_0,IF(M141&gt;=V7_AGE_KNOT_X_5,V7_AGE_KNOT_Y_5,IF(M141&lt;=V7_AGE_KNOT_X_1,V7_AGE_KNOT_Y_0+(M141-V7_AGE_KNOT_X_0)/(V7_AGE_KNOT_X_1-V7_AGE_KNOT_X_0)*(V7_AGE_KNOT_Y_1-V7_AGE_KNOT_Y_0),IF(M141&lt;=V7_AGE_KNOT_X_2,V7_AGE_KNOT_Y_1+(M141-V7_AGE_KNOT_X_1)/(V7_AGE_KNOT_X_2-V7_AGE_KNOT_X_1)*(V7_AGE_KNOT_Y_2-V7_AGE_KNOT_Y_1),IF(M141&lt;=V7_AGE_KNOT_X_3,V7_AGE_KNOT_Y_2+(M141-V7_AGE_KNOT_X_2)/(V7_AGE_KNOT_X_3-V7_AGE_KNOT_X_2)*(V7_AGE_KNOT_Y_3-V7_AGE_KNOT_Y_2),IF(M141&lt;=V7_AGE_KNOT_X_4,V7_AGE_KNOT_Y_3+(M141-V7_AGE_KNOT_X_3)/(V7_AGE_KNOT_X_4-V7_AGE_KNOT_X_3)*(V7_AGE_KNOT_Y_4-V7_AGE_KNOT_Y_3),V7_AGE_KNOT_Y_4+(M141-V7_AGE_KNOT_X_4)/(V7_AGE_KNOT_X_5-V7_AGE_KNOT_X_4)*(V7_AGE_KNOT_Y_5-V7_AGE_KNOT_Y_4)))))))</f>
        <v/>
      </c>
      <c r="X141" s="26">
        <f>V7_RATE_FLOOR+V7_RATE_ASYMPTOTE/(1+EXP(-(V141-V7_RATE_MID)/V7_RATE_SLOPE))</f>
        <v/>
      </c>
      <c r="Y141" s="26">
        <f>MAX(V7_SIZE_LOW,MIN(V7_SIZE_HIGH,V7_SIZE_INTERCEPT+V7_SIZE_SLOPE*(T141-V7_SIZE_LOG_ANCHOR)))</f>
        <v/>
      </c>
      <c r="Z141" s="26">
        <f>IF(ISNUMBER(SEARCH("232",E141)),VLOOKUP("232",V7_PROGRAM_TABLE,2,FALSE),IF(ISNUMBER(SEARCH("538",E141)),VLOOKUP("538",V7_PROGRAM_TABLE,2,FALSE),IF(ISNUMBER(SEARCH("223a7",E141)),VLOOKUP("223a7",V7_PROGRAM_TABLE,2,FALSE),IF(ISNUMBER(SEARCH("223f",E141)),VLOOKUP("223f",V7_PROGRAM_TABLE,2,FALSE),V7_PROGRAM_DEFAULT))))</f>
        <v/>
      </c>
      <c r="AA141" s="26">
        <f>IF(S141=1,1+V7_PURPOSE_NC_BUMP*MAX(0,1-ABS(M141-V7_PURPOSE_PEAK_AGE)/V7_PURPOSE_WIDTH),1)</f>
        <v/>
      </c>
      <c r="AB141" s="26">
        <f>IF(AND(IF(OR(P141="",NOT(ISNUMBER(P141))),0,MAX(0,MIN(24,(INT(VALUE(H141)/100)-INT(P141/100))*12+MOD(VALUE(H141),100)-MOD(P141,100))))&gt;0,IF(OR(P141="",NOT(ISNUMBER(P141))),0,MAX(0,MIN(24,(INT(VALUE(H141)/100)-INT(P141/100))*12+MOD(VALUE(H141),100)-MOD(P141,100))))&lt;=12),1+V7_LOCKOUT_AMP*EXP(-(IF(OR(P141="",NOT(ISNUMBER(P141))),0,MAX(0,MIN(24,(INT(VALUE(H141)/100)-INT(P141/100))*12+MOD(VALUE(H141),100)-MOD(P141,100)))))/V7_LOCKOUT_TAU),1)</f>
        <v/>
      </c>
      <c r="AC141" s="26">
        <f>IF(IF(OR(O141="",NOT(ISNUMBER(O141))),360,MAX(0,MIN(480,(INT(O141/100)-INT(VALUE(H141)/100))*12+MOD(O141,100)-MOD(VALUE(H141),100))))&gt;0,1+V7_MTY_AMP*MAX(0,(V7_MTY_CUTOFF-(IF(OR(O141="",NOT(ISNUMBER(O141))),360,MAX(0,MIN(480,(INT(O141/100)-INT(VALUE(H141)/100))*12+MOD(O141,100)-MOD(VALUE(H141),100))))))/V7_MTY_CUTOFF),1)</f>
        <v/>
      </c>
      <c r="AD141" s="26">
        <f>MAX(V7_BURN_FLOOR,1-V7_BURN_SLOPE*MIN(1,MAX(0,R141)))</f>
        <v/>
      </c>
      <c r="AE141" s="26">
        <f>IF(V7_USE_ISSUER=1,IFERROR(VLOOKUP(Q141,V7_ISSUER_TABLE,3,FALSE),1),1)</f>
        <v/>
      </c>
      <c r="AF141" s="26">
        <f>PRODUCT(W141:AE141)</f>
        <v/>
      </c>
      <c r="AG141" s="27">
        <f>MIN(V7_BASE_SMM*AF141,V7_SMM_CAP)</f>
        <v/>
      </c>
      <c r="AH141" s="28">
        <f>1-(1-AG141)^12</f>
        <v/>
      </c>
      <c r="AI141" s="28">
        <f>IFERROR(LN(W141)/(LN(W141)+LN(X141)+LN(Y141)+LN(Z141)+LN(AA141)+LN(AB141)+LN(AC141)+LN(AD141))*(AH141-V7_BASE_CPR),0)</f>
        <v/>
      </c>
      <c r="AJ141" s="28">
        <f>IFERROR(LN(X141)/(LN(W141)+LN(X141)+LN(Y141)+LN(Z141)+LN(AA141)+LN(AB141)+LN(AC141)+LN(AD141))*(AH141-V7_BASE_CPR),0)</f>
        <v/>
      </c>
      <c r="AK141" s="28">
        <f>IFERROR(LN(Y141)/(LN(W141)+LN(X141)+LN(Y141)+LN(Z141)+LN(AA141)+LN(AB141)+LN(AC141)+LN(AD141))*(AH141-V7_BASE_CPR),0)</f>
        <v/>
      </c>
      <c r="AL141" s="28">
        <f>IFERROR(LN(Z141)/(LN(W141)+LN(X141)+LN(Y141)+LN(Z141)+LN(AA141)+LN(AB141)+LN(AC141)+LN(AD141))*(AH141-V7_BASE_CPR),0)</f>
        <v/>
      </c>
      <c r="AM141" s="28">
        <f>IFERROR(LN(AA141)/(LN(W141)+LN(X141)+LN(Y141)+LN(Z141)+LN(AA141)+LN(AB141)+LN(AC141)+LN(AD141))*(AH141-V7_BASE_CPR),0)</f>
        <v/>
      </c>
      <c r="AN141" s="28">
        <f>IFERROR(LN(AB141)/(LN(W141)+LN(X141)+LN(Y141)+LN(Z141)+LN(AA141)+LN(AB141)+LN(AC141)+LN(AD141))*(AH141-V7_BASE_CPR),0)</f>
        <v/>
      </c>
      <c r="AO141" s="28">
        <f>IFERROR(LN(AC141)/(LN(W141)+LN(X141)+LN(Y141)+LN(Z141)+LN(AA141)+LN(AB141)+LN(AC141)+LN(AD141))*(AH141-V7_BASE_CPR),0)</f>
        <v/>
      </c>
      <c r="AP141" s="28">
        <f>IFERROR(LN(AD141)/(LN(W141)+LN(X141)+LN(Y141)+LN(Z141)+LN(AA141)+LN(AB141)+LN(AC141)+LN(AD141))*(AH141-V7_BASE_CPR),0)</f>
        <v/>
      </c>
      <c r="AQ141" s="29">
        <f>V7_BASE_CPR+SUM(AI141:AP141)-AH141</f>
        <v/>
      </c>
    </row>
    <row r="142">
      <c r="A142" s="2" t="inlineStr">
        <is>
          <t>36294TCG8_000000005335916</t>
        </is>
      </c>
      <c r="B142" t="inlineStr">
        <is>
          <t>PNC_PRE21</t>
        </is>
      </c>
      <c r="C142" s="2" t="inlineStr">
        <is>
          <t>36294TCG8</t>
        </is>
      </c>
      <c r="D142" t="inlineStr">
        <is>
          <t>PNC BANK, NA</t>
        </is>
      </c>
      <c r="E142" t="inlineStr">
        <is>
          <t>223a7</t>
        </is>
      </c>
      <c r="F142" t="inlineStr">
        <is>
          <t>RP</t>
        </is>
      </c>
      <c r="G142" t="n">
        <v>2006</v>
      </c>
      <c r="H142" t="inlineStr">
        <is>
          <t>202602</t>
        </is>
      </c>
      <c r="I142" s="22" t="n">
        <v>182364.07</v>
      </c>
      <c r="J142" s="23" t="n">
        <v>6.75</v>
      </c>
      <c r="K142" s="24" t="n">
        <v>447</v>
      </c>
      <c r="L142" s="24" t="n">
        <v>0</v>
      </c>
      <c r="M142" t="n">
        <v>232</v>
      </c>
      <c r="N142" s="25" t="n">
        <v>87</v>
      </c>
      <c r="O142" t="n">
        <v>203611</v>
      </c>
      <c r="P142" t="n">
        <v>200712</v>
      </c>
      <c r="Q142" t="inlineStr">
        <is>
          <t>3976</t>
        </is>
      </c>
      <c r="R142" s="26" t="n">
        <v>0.375</v>
      </c>
      <c r="S142" t="n">
        <v>0</v>
      </c>
      <c r="T142" s="23">
        <f>LN(1+I142)</f>
        <v/>
      </c>
      <c r="U142" s="24">
        <f>J142*100-K142</f>
        <v/>
      </c>
      <c r="V142" s="24">
        <f>U142-12.5*(L142+1)</f>
        <v/>
      </c>
      <c r="W142" s="26">
        <f>IF(M142&lt;=V7_AGE_KNOT_X_0,V7_AGE_KNOT_Y_0,IF(M142&gt;=V7_AGE_KNOT_X_5,V7_AGE_KNOT_Y_5,IF(M142&lt;=V7_AGE_KNOT_X_1,V7_AGE_KNOT_Y_0+(M142-V7_AGE_KNOT_X_0)/(V7_AGE_KNOT_X_1-V7_AGE_KNOT_X_0)*(V7_AGE_KNOT_Y_1-V7_AGE_KNOT_Y_0),IF(M142&lt;=V7_AGE_KNOT_X_2,V7_AGE_KNOT_Y_1+(M142-V7_AGE_KNOT_X_1)/(V7_AGE_KNOT_X_2-V7_AGE_KNOT_X_1)*(V7_AGE_KNOT_Y_2-V7_AGE_KNOT_Y_1),IF(M142&lt;=V7_AGE_KNOT_X_3,V7_AGE_KNOT_Y_2+(M142-V7_AGE_KNOT_X_2)/(V7_AGE_KNOT_X_3-V7_AGE_KNOT_X_2)*(V7_AGE_KNOT_Y_3-V7_AGE_KNOT_Y_2),IF(M142&lt;=V7_AGE_KNOT_X_4,V7_AGE_KNOT_Y_3+(M142-V7_AGE_KNOT_X_3)/(V7_AGE_KNOT_X_4-V7_AGE_KNOT_X_3)*(V7_AGE_KNOT_Y_4-V7_AGE_KNOT_Y_3),V7_AGE_KNOT_Y_4+(M142-V7_AGE_KNOT_X_4)/(V7_AGE_KNOT_X_5-V7_AGE_KNOT_X_4)*(V7_AGE_KNOT_Y_5-V7_AGE_KNOT_Y_4)))))))</f>
        <v/>
      </c>
      <c r="X142" s="26">
        <f>V7_RATE_FLOOR+V7_RATE_ASYMPTOTE/(1+EXP(-(V142-V7_RATE_MID)/V7_RATE_SLOPE))</f>
        <v/>
      </c>
      <c r="Y142" s="26">
        <f>MAX(V7_SIZE_LOW,MIN(V7_SIZE_HIGH,V7_SIZE_INTERCEPT+V7_SIZE_SLOPE*(T142-V7_SIZE_LOG_ANCHOR)))</f>
        <v/>
      </c>
      <c r="Z142" s="26">
        <f>IF(ISNUMBER(SEARCH("232",E142)),VLOOKUP("232",V7_PROGRAM_TABLE,2,FALSE),IF(ISNUMBER(SEARCH("538",E142)),VLOOKUP("538",V7_PROGRAM_TABLE,2,FALSE),IF(ISNUMBER(SEARCH("223a7",E142)),VLOOKUP("223a7",V7_PROGRAM_TABLE,2,FALSE),IF(ISNUMBER(SEARCH("223f",E142)),VLOOKUP("223f",V7_PROGRAM_TABLE,2,FALSE),V7_PROGRAM_DEFAULT))))</f>
        <v/>
      </c>
      <c r="AA142" s="26">
        <f>IF(S142=1,1+V7_PURPOSE_NC_BUMP*MAX(0,1-ABS(M142-V7_PURPOSE_PEAK_AGE)/V7_PURPOSE_WIDTH),1)</f>
        <v/>
      </c>
      <c r="AB142" s="26">
        <f>IF(AND(IF(OR(P142="",NOT(ISNUMBER(P142))),0,MAX(0,MIN(24,(INT(VALUE(H142)/100)-INT(P142/100))*12+MOD(VALUE(H142),100)-MOD(P142,100))))&gt;0,IF(OR(P142="",NOT(ISNUMBER(P142))),0,MAX(0,MIN(24,(INT(VALUE(H142)/100)-INT(P142/100))*12+MOD(VALUE(H142),100)-MOD(P142,100))))&lt;=12),1+V7_LOCKOUT_AMP*EXP(-(IF(OR(P142="",NOT(ISNUMBER(P142))),0,MAX(0,MIN(24,(INT(VALUE(H142)/100)-INT(P142/100))*12+MOD(VALUE(H142),100)-MOD(P142,100)))))/V7_LOCKOUT_TAU),1)</f>
        <v/>
      </c>
      <c r="AC142" s="26">
        <f>IF(IF(OR(O142="",NOT(ISNUMBER(O142))),360,MAX(0,MIN(480,(INT(O142/100)-INT(VALUE(H142)/100))*12+MOD(O142,100)-MOD(VALUE(H142),100))))&gt;0,1+V7_MTY_AMP*MAX(0,(V7_MTY_CUTOFF-(IF(OR(O142="",NOT(ISNUMBER(O142))),360,MAX(0,MIN(480,(INT(O142/100)-INT(VALUE(H142)/100))*12+MOD(O142,100)-MOD(VALUE(H142),100))))))/V7_MTY_CUTOFF),1)</f>
        <v/>
      </c>
      <c r="AD142" s="26">
        <f>MAX(V7_BURN_FLOOR,1-V7_BURN_SLOPE*MIN(1,MAX(0,R142)))</f>
        <v/>
      </c>
      <c r="AE142" s="26">
        <f>IF(V7_USE_ISSUER=1,IFERROR(VLOOKUP(Q142,V7_ISSUER_TABLE,3,FALSE),1),1)</f>
        <v/>
      </c>
      <c r="AF142" s="26">
        <f>PRODUCT(W142:AE142)</f>
        <v/>
      </c>
      <c r="AG142" s="27">
        <f>MIN(V7_BASE_SMM*AF142,V7_SMM_CAP)</f>
        <v/>
      </c>
      <c r="AH142" s="28">
        <f>1-(1-AG142)^12</f>
        <v/>
      </c>
      <c r="AI142" s="28">
        <f>IFERROR(LN(W142)/(LN(W142)+LN(X142)+LN(Y142)+LN(Z142)+LN(AA142)+LN(AB142)+LN(AC142)+LN(AD142))*(AH142-V7_BASE_CPR),0)</f>
        <v/>
      </c>
      <c r="AJ142" s="28">
        <f>IFERROR(LN(X142)/(LN(W142)+LN(X142)+LN(Y142)+LN(Z142)+LN(AA142)+LN(AB142)+LN(AC142)+LN(AD142))*(AH142-V7_BASE_CPR),0)</f>
        <v/>
      </c>
      <c r="AK142" s="28">
        <f>IFERROR(LN(Y142)/(LN(W142)+LN(X142)+LN(Y142)+LN(Z142)+LN(AA142)+LN(AB142)+LN(AC142)+LN(AD142))*(AH142-V7_BASE_CPR),0)</f>
        <v/>
      </c>
      <c r="AL142" s="28">
        <f>IFERROR(LN(Z142)/(LN(W142)+LN(X142)+LN(Y142)+LN(Z142)+LN(AA142)+LN(AB142)+LN(AC142)+LN(AD142))*(AH142-V7_BASE_CPR),0)</f>
        <v/>
      </c>
      <c r="AM142" s="28">
        <f>IFERROR(LN(AA142)/(LN(W142)+LN(X142)+LN(Y142)+LN(Z142)+LN(AA142)+LN(AB142)+LN(AC142)+LN(AD142))*(AH142-V7_BASE_CPR),0)</f>
        <v/>
      </c>
      <c r="AN142" s="28">
        <f>IFERROR(LN(AB142)/(LN(W142)+LN(X142)+LN(Y142)+LN(Z142)+LN(AA142)+LN(AB142)+LN(AC142)+LN(AD142))*(AH142-V7_BASE_CPR),0)</f>
        <v/>
      </c>
      <c r="AO142" s="28">
        <f>IFERROR(LN(AC142)/(LN(W142)+LN(X142)+LN(Y142)+LN(Z142)+LN(AA142)+LN(AB142)+LN(AC142)+LN(AD142))*(AH142-V7_BASE_CPR),0)</f>
        <v/>
      </c>
      <c r="AP142" s="28">
        <f>IFERROR(LN(AD142)/(LN(W142)+LN(X142)+LN(Y142)+LN(Z142)+LN(AA142)+LN(AB142)+LN(AC142)+LN(AD142))*(AH142-V7_BASE_CPR),0)</f>
        <v/>
      </c>
      <c r="AQ142" s="29">
        <f>V7_BASE_CPR+SUM(AI142:AP142)-AH142</f>
        <v/>
      </c>
    </row>
    <row r="143">
      <c r="A143" s="2" t="inlineStr">
        <is>
          <t>36296SK53_410170032150983</t>
        </is>
      </c>
      <c r="B143" t="inlineStr">
        <is>
          <t>PNC_PRE21</t>
        </is>
      </c>
      <c r="C143" s="2" t="inlineStr">
        <is>
          <t>36296SK53</t>
        </is>
      </c>
      <c r="D143" t="inlineStr">
        <is>
          <t>PNC BANK, NA</t>
        </is>
      </c>
      <c r="E143" t="inlineStr">
        <is>
          <t>OTHER</t>
        </is>
      </c>
      <c r="F143" t="inlineStr">
        <is>
          <t>OTHER</t>
        </is>
      </c>
      <c r="G143" t="n">
        <v>2008</v>
      </c>
      <c r="H143" t="inlineStr">
        <is>
          <t>202602</t>
        </is>
      </c>
      <c r="I143" s="22" t="n">
        <v>1053037.65</v>
      </c>
      <c r="J143" s="23" t="n">
        <v>6.69</v>
      </c>
      <c r="K143" s="24" t="n">
        <v>447</v>
      </c>
      <c r="L143" s="24" t="n">
        <v>0</v>
      </c>
      <c r="M143" t="n">
        <v>215</v>
      </c>
      <c r="N143" s="25" t="n">
        <v>87</v>
      </c>
      <c r="O143" t="n">
        <v>204803</v>
      </c>
      <c r="P143" t="n">
        <v>201503</v>
      </c>
      <c r="Q143" t="inlineStr">
        <is>
          <t>3976</t>
        </is>
      </c>
      <c r="R143" s="26" t="n">
        <v>0.4046511627906977</v>
      </c>
      <c r="S143" t="n">
        <v>0</v>
      </c>
      <c r="T143" s="23">
        <f>LN(1+I143)</f>
        <v/>
      </c>
      <c r="U143" s="24">
        <f>J143*100-K143</f>
        <v/>
      </c>
      <c r="V143" s="24">
        <f>U143-12.5*(L143+1)</f>
        <v/>
      </c>
      <c r="W143" s="26">
        <f>IF(M143&lt;=V7_AGE_KNOT_X_0,V7_AGE_KNOT_Y_0,IF(M143&gt;=V7_AGE_KNOT_X_5,V7_AGE_KNOT_Y_5,IF(M143&lt;=V7_AGE_KNOT_X_1,V7_AGE_KNOT_Y_0+(M143-V7_AGE_KNOT_X_0)/(V7_AGE_KNOT_X_1-V7_AGE_KNOT_X_0)*(V7_AGE_KNOT_Y_1-V7_AGE_KNOT_Y_0),IF(M143&lt;=V7_AGE_KNOT_X_2,V7_AGE_KNOT_Y_1+(M143-V7_AGE_KNOT_X_1)/(V7_AGE_KNOT_X_2-V7_AGE_KNOT_X_1)*(V7_AGE_KNOT_Y_2-V7_AGE_KNOT_Y_1),IF(M143&lt;=V7_AGE_KNOT_X_3,V7_AGE_KNOT_Y_2+(M143-V7_AGE_KNOT_X_2)/(V7_AGE_KNOT_X_3-V7_AGE_KNOT_X_2)*(V7_AGE_KNOT_Y_3-V7_AGE_KNOT_Y_2),IF(M143&lt;=V7_AGE_KNOT_X_4,V7_AGE_KNOT_Y_3+(M143-V7_AGE_KNOT_X_3)/(V7_AGE_KNOT_X_4-V7_AGE_KNOT_X_3)*(V7_AGE_KNOT_Y_4-V7_AGE_KNOT_Y_3),V7_AGE_KNOT_Y_4+(M143-V7_AGE_KNOT_X_4)/(V7_AGE_KNOT_X_5-V7_AGE_KNOT_X_4)*(V7_AGE_KNOT_Y_5-V7_AGE_KNOT_Y_4)))))))</f>
        <v/>
      </c>
      <c r="X143" s="26">
        <f>V7_RATE_FLOOR+V7_RATE_ASYMPTOTE/(1+EXP(-(V143-V7_RATE_MID)/V7_RATE_SLOPE))</f>
        <v/>
      </c>
      <c r="Y143" s="26">
        <f>MAX(V7_SIZE_LOW,MIN(V7_SIZE_HIGH,V7_SIZE_INTERCEPT+V7_SIZE_SLOPE*(T143-V7_SIZE_LOG_ANCHOR)))</f>
        <v/>
      </c>
      <c r="Z143" s="26">
        <f>IF(ISNUMBER(SEARCH("232",E143)),VLOOKUP("232",V7_PROGRAM_TABLE,2,FALSE),IF(ISNUMBER(SEARCH("538",E143)),VLOOKUP("538",V7_PROGRAM_TABLE,2,FALSE),IF(ISNUMBER(SEARCH("223a7",E143)),VLOOKUP("223a7",V7_PROGRAM_TABLE,2,FALSE),IF(ISNUMBER(SEARCH("223f",E143)),VLOOKUP("223f",V7_PROGRAM_TABLE,2,FALSE),V7_PROGRAM_DEFAULT))))</f>
        <v/>
      </c>
      <c r="AA143" s="26">
        <f>IF(S143=1,1+V7_PURPOSE_NC_BUMP*MAX(0,1-ABS(M143-V7_PURPOSE_PEAK_AGE)/V7_PURPOSE_WIDTH),1)</f>
        <v/>
      </c>
      <c r="AB143" s="26">
        <f>IF(AND(IF(OR(P143="",NOT(ISNUMBER(P143))),0,MAX(0,MIN(24,(INT(VALUE(H143)/100)-INT(P143/100))*12+MOD(VALUE(H143),100)-MOD(P143,100))))&gt;0,IF(OR(P143="",NOT(ISNUMBER(P143))),0,MAX(0,MIN(24,(INT(VALUE(H143)/100)-INT(P143/100))*12+MOD(VALUE(H143),100)-MOD(P143,100))))&lt;=12),1+V7_LOCKOUT_AMP*EXP(-(IF(OR(P143="",NOT(ISNUMBER(P143))),0,MAX(0,MIN(24,(INT(VALUE(H143)/100)-INT(P143/100))*12+MOD(VALUE(H143),100)-MOD(P143,100)))))/V7_LOCKOUT_TAU),1)</f>
        <v/>
      </c>
      <c r="AC143" s="26">
        <f>IF(IF(OR(O143="",NOT(ISNUMBER(O143))),360,MAX(0,MIN(480,(INT(O143/100)-INT(VALUE(H143)/100))*12+MOD(O143,100)-MOD(VALUE(H143),100))))&gt;0,1+V7_MTY_AMP*MAX(0,(V7_MTY_CUTOFF-(IF(OR(O143="",NOT(ISNUMBER(O143))),360,MAX(0,MIN(480,(INT(O143/100)-INT(VALUE(H143)/100))*12+MOD(O143,100)-MOD(VALUE(H143),100))))))/V7_MTY_CUTOFF),1)</f>
        <v/>
      </c>
      <c r="AD143" s="26">
        <f>MAX(V7_BURN_FLOOR,1-V7_BURN_SLOPE*MIN(1,MAX(0,R143)))</f>
        <v/>
      </c>
      <c r="AE143" s="26">
        <f>IF(V7_USE_ISSUER=1,IFERROR(VLOOKUP(Q143,V7_ISSUER_TABLE,3,FALSE),1),1)</f>
        <v/>
      </c>
      <c r="AF143" s="26">
        <f>PRODUCT(W143:AE143)</f>
        <v/>
      </c>
      <c r="AG143" s="27">
        <f>MIN(V7_BASE_SMM*AF143,V7_SMM_CAP)</f>
        <v/>
      </c>
      <c r="AH143" s="28">
        <f>1-(1-AG143)^12</f>
        <v/>
      </c>
      <c r="AI143" s="28">
        <f>IFERROR(LN(W143)/(LN(W143)+LN(X143)+LN(Y143)+LN(Z143)+LN(AA143)+LN(AB143)+LN(AC143)+LN(AD143))*(AH143-V7_BASE_CPR),0)</f>
        <v/>
      </c>
      <c r="AJ143" s="28">
        <f>IFERROR(LN(X143)/(LN(W143)+LN(X143)+LN(Y143)+LN(Z143)+LN(AA143)+LN(AB143)+LN(AC143)+LN(AD143))*(AH143-V7_BASE_CPR),0)</f>
        <v/>
      </c>
      <c r="AK143" s="28">
        <f>IFERROR(LN(Y143)/(LN(W143)+LN(X143)+LN(Y143)+LN(Z143)+LN(AA143)+LN(AB143)+LN(AC143)+LN(AD143))*(AH143-V7_BASE_CPR),0)</f>
        <v/>
      </c>
      <c r="AL143" s="28">
        <f>IFERROR(LN(Z143)/(LN(W143)+LN(X143)+LN(Y143)+LN(Z143)+LN(AA143)+LN(AB143)+LN(AC143)+LN(AD143))*(AH143-V7_BASE_CPR),0)</f>
        <v/>
      </c>
      <c r="AM143" s="28">
        <f>IFERROR(LN(AA143)/(LN(W143)+LN(X143)+LN(Y143)+LN(Z143)+LN(AA143)+LN(AB143)+LN(AC143)+LN(AD143))*(AH143-V7_BASE_CPR),0)</f>
        <v/>
      </c>
      <c r="AN143" s="28">
        <f>IFERROR(LN(AB143)/(LN(W143)+LN(X143)+LN(Y143)+LN(Z143)+LN(AA143)+LN(AB143)+LN(AC143)+LN(AD143))*(AH143-V7_BASE_CPR),0)</f>
        <v/>
      </c>
      <c r="AO143" s="28">
        <f>IFERROR(LN(AC143)/(LN(W143)+LN(X143)+LN(Y143)+LN(Z143)+LN(AA143)+LN(AB143)+LN(AC143)+LN(AD143))*(AH143-V7_BASE_CPR),0)</f>
        <v/>
      </c>
      <c r="AP143" s="28">
        <f>IFERROR(LN(AD143)/(LN(W143)+LN(X143)+LN(Y143)+LN(Z143)+LN(AA143)+LN(AB143)+LN(AC143)+LN(AD143))*(AH143-V7_BASE_CPR),0)</f>
        <v/>
      </c>
      <c r="AQ143" s="29">
        <f>V7_BASE_CPR+SUM(AI143:AP143)-AH143</f>
        <v/>
      </c>
    </row>
    <row r="144">
      <c r="A144" s="2" t="inlineStr">
        <is>
          <t>36182WF24_000000003335287</t>
        </is>
      </c>
      <c r="B144" t="inlineStr">
        <is>
          <t>PNC_PRE21</t>
        </is>
      </c>
      <c r="C144" s="2" t="inlineStr">
        <is>
          <t>36182WF24</t>
        </is>
      </c>
      <c r="D144" t="inlineStr">
        <is>
          <t>PNC BANK, NA</t>
        </is>
      </c>
      <c r="E144" t="inlineStr">
        <is>
          <t>221d4</t>
        </is>
      </c>
      <c r="F144" t="inlineStr">
        <is>
          <t>NC</t>
        </is>
      </c>
      <c r="G144" t="n">
        <v>2014</v>
      </c>
      <c r="H144" t="inlineStr">
        <is>
          <t>202602</t>
        </is>
      </c>
      <c r="I144" s="22" t="n">
        <v>1436097.5</v>
      </c>
      <c r="J144" s="23" t="n">
        <v>3.95</v>
      </c>
      <c r="K144" s="24" t="n">
        <v>447</v>
      </c>
      <c r="L144" s="24" t="n">
        <v>0</v>
      </c>
      <c r="M144" t="n">
        <v>138</v>
      </c>
      <c r="N144" s="25" t="n">
        <v>35</v>
      </c>
      <c r="O144" t="n">
        <v>205511</v>
      </c>
      <c r="P144" t="n">
        <v>201612</v>
      </c>
      <c r="Q144" t="inlineStr">
        <is>
          <t>3976</t>
        </is>
      </c>
      <c r="R144" s="26" t="n">
        <v>0.2536231884057971</v>
      </c>
      <c r="S144" t="n">
        <v>1</v>
      </c>
      <c r="T144" s="23">
        <f>LN(1+I144)</f>
        <v/>
      </c>
      <c r="U144" s="24">
        <f>J144*100-K144</f>
        <v/>
      </c>
      <c r="V144" s="24">
        <f>U144-12.5*(L144+1)</f>
        <v/>
      </c>
      <c r="W144" s="26">
        <f>IF(M144&lt;=V7_AGE_KNOT_X_0,V7_AGE_KNOT_Y_0,IF(M144&gt;=V7_AGE_KNOT_X_5,V7_AGE_KNOT_Y_5,IF(M144&lt;=V7_AGE_KNOT_X_1,V7_AGE_KNOT_Y_0+(M144-V7_AGE_KNOT_X_0)/(V7_AGE_KNOT_X_1-V7_AGE_KNOT_X_0)*(V7_AGE_KNOT_Y_1-V7_AGE_KNOT_Y_0),IF(M144&lt;=V7_AGE_KNOT_X_2,V7_AGE_KNOT_Y_1+(M144-V7_AGE_KNOT_X_1)/(V7_AGE_KNOT_X_2-V7_AGE_KNOT_X_1)*(V7_AGE_KNOT_Y_2-V7_AGE_KNOT_Y_1),IF(M144&lt;=V7_AGE_KNOT_X_3,V7_AGE_KNOT_Y_2+(M144-V7_AGE_KNOT_X_2)/(V7_AGE_KNOT_X_3-V7_AGE_KNOT_X_2)*(V7_AGE_KNOT_Y_3-V7_AGE_KNOT_Y_2),IF(M144&lt;=V7_AGE_KNOT_X_4,V7_AGE_KNOT_Y_3+(M144-V7_AGE_KNOT_X_3)/(V7_AGE_KNOT_X_4-V7_AGE_KNOT_X_3)*(V7_AGE_KNOT_Y_4-V7_AGE_KNOT_Y_3),V7_AGE_KNOT_Y_4+(M144-V7_AGE_KNOT_X_4)/(V7_AGE_KNOT_X_5-V7_AGE_KNOT_X_4)*(V7_AGE_KNOT_Y_5-V7_AGE_KNOT_Y_4)))))))</f>
        <v/>
      </c>
      <c r="X144" s="26">
        <f>V7_RATE_FLOOR+V7_RATE_ASYMPTOTE/(1+EXP(-(V144-V7_RATE_MID)/V7_RATE_SLOPE))</f>
        <v/>
      </c>
      <c r="Y144" s="26">
        <f>MAX(V7_SIZE_LOW,MIN(V7_SIZE_HIGH,V7_SIZE_INTERCEPT+V7_SIZE_SLOPE*(T144-V7_SIZE_LOG_ANCHOR)))</f>
        <v/>
      </c>
      <c r="Z144" s="26">
        <f>IF(ISNUMBER(SEARCH("232",E144)),VLOOKUP("232",V7_PROGRAM_TABLE,2,FALSE),IF(ISNUMBER(SEARCH("538",E144)),VLOOKUP("538",V7_PROGRAM_TABLE,2,FALSE),IF(ISNUMBER(SEARCH("223a7",E144)),VLOOKUP("223a7",V7_PROGRAM_TABLE,2,FALSE),IF(ISNUMBER(SEARCH("223f",E144)),VLOOKUP("223f",V7_PROGRAM_TABLE,2,FALSE),V7_PROGRAM_DEFAULT))))</f>
        <v/>
      </c>
      <c r="AA144" s="26">
        <f>IF(S144=1,1+V7_PURPOSE_NC_BUMP*MAX(0,1-ABS(M144-V7_PURPOSE_PEAK_AGE)/V7_PURPOSE_WIDTH),1)</f>
        <v/>
      </c>
      <c r="AB144" s="26">
        <f>IF(AND(IF(OR(P144="",NOT(ISNUMBER(P144))),0,MAX(0,MIN(24,(INT(VALUE(H144)/100)-INT(P144/100))*12+MOD(VALUE(H144),100)-MOD(P144,100))))&gt;0,IF(OR(P144="",NOT(ISNUMBER(P144))),0,MAX(0,MIN(24,(INT(VALUE(H144)/100)-INT(P144/100))*12+MOD(VALUE(H144),100)-MOD(P144,100))))&lt;=12),1+V7_LOCKOUT_AMP*EXP(-(IF(OR(P144="",NOT(ISNUMBER(P144))),0,MAX(0,MIN(24,(INT(VALUE(H144)/100)-INT(P144/100))*12+MOD(VALUE(H144),100)-MOD(P144,100)))))/V7_LOCKOUT_TAU),1)</f>
        <v/>
      </c>
      <c r="AC144" s="26">
        <f>IF(IF(OR(O144="",NOT(ISNUMBER(O144))),360,MAX(0,MIN(480,(INT(O144/100)-INT(VALUE(H144)/100))*12+MOD(O144,100)-MOD(VALUE(H144),100))))&gt;0,1+V7_MTY_AMP*MAX(0,(V7_MTY_CUTOFF-(IF(OR(O144="",NOT(ISNUMBER(O144))),360,MAX(0,MIN(480,(INT(O144/100)-INT(VALUE(H144)/100))*12+MOD(O144,100)-MOD(VALUE(H144),100))))))/V7_MTY_CUTOFF),1)</f>
        <v/>
      </c>
      <c r="AD144" s="26">
        <f>MAX(V7_BURN_FLOOR,1-V7_BURN_SLOPE*MIN(1,MAX(0,R144)))</f>
        <v/>
      </c>
      <c r="AE144" s="26">
        <f>IF(V7_USE_ISSUER=1,IFERROR(VLOOKUP(Q144,V7_ISSUER_TABLE,3,FALSE),1),1)</f>
        <v/>
      </c>
      <c r="AF144" s="26">
        <f>PRODUCT(W144:AE144)</f>
        <v/>
      </c>
      <c r="AG144" s="27">
        <f>MIN(V7_BASE_SMM*AF144,V7_SMM_CAP)</f>
        <v/>
      </c>
      <c r="AH144" s="28">
        <f>1-(1-AG144)^12</f>
        <v/>
      </c>
      <c r="AI144" s="28">
        <f>IFERROR(LN(W144)/(LN(W144)+LN(X144)+LN(Y144)+LN(Z144)+LN(AA144)+LN(AB144)+LN(AC144)+LN(AD144))*(AH144-V7_BASE_CPR),0)</f>
        <v/>
      </c>
      <c r="AJ144" s="28">
        <f>IFERROR(LN(X144)/(LN(W144)+LN(X144)+LN(Y144)+LN(Z144)+LN(AA144)+LN(AB144)+LN(AC144)+LN(AD144))*(AH144-V7_BASE_CPR),0)</f>
        <v/>
      </c>
      <c r="AK144" s="28">
        <f>IFERROR(LN(Y144)/(LN(W144)+LN(X144)+LN(Y144)+LN(Z144)+LN(AA144)+LN(AB144)+LN(AC144)+LN(AD144))*(AH144-V7_BASE_CPR),0)</f>
        <v/>
      </c>
      <c r="AL144" s="28">
        <f>IFERROR(LN(Z144)/(LN(W144)+LN(X144)+LN(Y144)+LN(Z144)+LN(AA144)+LN(AB144)+LN(AC144)+LN(AD144))*(AH144-V7_BASE_CPR),0)</f>
        <v/>
      </c>
      <c r="AM144" s="28">
        <f>IFERROR(LN(AA144)/(LN(W144)+LN(X144)+LN(Y144)+LN(Z144)+LN(AA144)+LN(AB144)+LN(AC144)+LN(AD144))*(AH144-V7_BASE_CPR),0)</f>
        <v/>
      </c>
      <c r="AN144" s="28">
        <f>IFERROR(LN(AB144)/(LN(W144)+LN(X144)+LN(Y144)+LN(Z144)+LN(AA144)+LN(AB144)+LN(AC144)+LN(AD144))*(AH144-V7_BASE_CPR),0)</f>
        <v/>
      </c>
      <c r="AO144" s="28">
        <f>IFERROR(LN(AC144)/(LN(W144)+LN(X144)+LN(Y144)+LN(Z144)+LN(AA144)+LN(AB144)+LN(AC144)+LN(AD144))*(AH144-V7_BASE_CPR),0)</f>
        <v/>
      </c>
      <c r="AP144" s="28">
        <f>IFERROR(LN(AD144)/(LN(W144)+LN(X144)+LN(Y144)+LN(Z144)+LN(AA144)+LN(AB144)+LN(AC144)+LN(AD144))*(AH144-V7_BASE_CPR),0)</f>
        <v/>
      </c>
      <c r="AQ144" s="29">
        <f>V7_BASE_CPR+SUM(AI144:AP144)-AH144</f>
        <v/>
      </c>
    </row>
    <row r="145">
      <c r="A145" s="2" t="inlineStr">
        <is>
          <t>3617G9Y96_000000012211432</t>
        </is>
      </c>
      <c r="B145" t="inlineStr">
        <is>
          <t>PNC_PRE21</t>
        </is>
      </c>
      <c r="C145" s="2" t="inlineStr">
        <is>
          <t>3617G9Y96</t>
        </is>
      </c>
      <c r="D145" t="inlineStr">
        <is>
          <t>PNC BANK, NA</t>
        </is>
      </c>
      <c r="E145" t="inlineStr">
        <is>
          <t>223f</t>
        </is>
      </c>
      <c r="F145" t="inlineStr">
        <is>
          <t>RP</t>
        </is>
      </c>
      <c r="G145" t="n">
        <v>2019</v>
      </c>
      <c r="H145" t="inlineStr">
        <is>
          <t>202602</t>
        </is>
      </c>
      <c r="I145" s="22" t="n">
        <v>26299051.2</v>
      </c>
      <c r="J145" s="23" t="n">
        <v>3.22</v>
      </c>
      <c r="K145" s="24" t="n">
        <v>447</v>
      </c>
      <c r="L145" s="24" t="n">
        <v>4</v>
      </c>
      <c r="M145" t="n">
        <v>77</v>
      </c>
      <c r="N145" s="25" t="n">
        <v>20</v>
      </c>
      <c r="O145" t="n">
        <v>205410</v>
      </c>
      <c r="P145" t="inlineStr"/>
      <c r="Q145" t="inlineStr">
        <is>
          <t>3976</t>
        </is>
      </c>
      <c r="R145" s="26" t="n">
        <v>0.2597402597402597</v>
      </c>
      <c r="S145" t="n">
        <v>0</v>
      </c>
      <c r="T145" s="23">
        <f>LN(1+I145)</f>
        <v/>
      </c>
      <c r="U145" s="24">
        <f>J145*100-K145</f>
        <v/>
      </c>
      <c r="V145" s="24">
        <f>U145-12.5*(L145+1)</f>
        <v/>
      </c>
      <c r="W145" s="26">
        <f>IF(M145&lt;=V7_AGE_KNOT_X_0,V7_AGE_KNOT_Y_0,IF(M145&gt;=V7_AGE_KNOT_X_5,V7_AGE_KNOT_Y_5,IF(M145&lt;=V7_AGE_KNOT_X_1,V7_AGE_KNOT_Y_0+(M145-V7_AGE_KNOT_X_0)/(V7_AGE_KNOT_X_1-V7_AGE_KNOT_X_0)*(V7_AGE_KNOT_Y_1-V7_AGE_KNOT_Y_0),IF(M145&lt;=V7_AGE_KNOT_X_2,V7_AGE_KNOT_Y_1+(M145-V7_AGE_KNOT_X_1)/(V7_AGE_KNOT_X_2-V7_AGE_KNOT_X_1)*(V7_AGE_KNOT_Y_2-V7_AGE_KNOT_Y_1),IF(M145&lt;=V7_AGE_KNOT_X_3,V7_AGE_KNOT_Y_2+(M145-V7_AGE_KNOT_X_2)/(V7_AGE_KNOT_X_3-V7_AGE_KNOT_X_2)*(V7_AGE_KNOT_Y_3-V7_AGE_KNOT_Y_2),IF(M145&lt;=V7_AGE_KNOT_X_4,V7_AGE_KNOT_Y_3+(M145-V7_AGE_KNOT_X_3)/(V7_AGE_KNOT_X_4-V7_AGE_KNOT_X_3)*(V7_AGE_KNOT_Y_4-V7_AGE_KNOT_Y_3),V7_AGE_KNOT_Y_4+(M145-V7_AGE_KNOT_X_4)/(V7_AGE_KNOT_X_5-V7_AGE_KNOT_X_4)*(V7_AGE_KNOT_Y_5-V7_AGE_KNOT_Y_4)))))))</f>
        <v/>
      </c>
      <c r="X145" s="26">
        <f>V7_RATE_FLOOR+V7_RATE_ASYMPTOTE/(1+EXP(-(V145-V7_RATE_MID)/V7_RATE_SLOPE))</f>
        <v/>
      </c>
      <c r="Y145" s="26">
        <f>MAX(V7_SIZE_LOW,MIN(V7_SIZE_HIGH,V7_SIZE_INTERCEPT+V7_SIZE_SLOPE*(T145-V7_SIZE_LOG_ANCHOR)))</f>
        <v/>
      </c>
      <c r="Z145" s="26">
        <f>IF(ISNUMBER(SEARCH("232",E145)),VLOOKUP("232",V7_PROGRAM_TABLE,2,FALSE),IF(ISNUMBER(SEARCH("538",E145)),VLOOKUP("538",V7_PROGRAM_TABLE,2,FALSE),IF(ISNUMBER(SEARCH("223a7",E145)),VLOOKUP("223a7",V7_PROGRAM_TABLE,2,FALSE),IF(ISNUMBER(SEARCH("223f",E145)),VLOOKUP("223f",V7_PROGRAM_TABLE,2,FALSE),V7_PROGRAM_DEFAULT))))</f>
        <v/>
      </c>
      <c r="AA145" s="26">
        <f>IF(S145=1,1+V7_PURPOSE_NC_BUMP*MAX(0,1-ABS(M145-V7_PURPOSE_PEAK_AGE)/V7_PURPOSE_WIDTH),1)</f>
        <v/>
      </c>
      <c r="AB145" s="26">
        <f>IF(AND(IF(OR(P145="",NOT(ISNUMBER(P145))),0,MAX(0,MIN(24,(INT(VALUE(H145)/100)-INT(P145/100))*12+MOD(VALUE(H145),100)-MOD(P145,100))))&gt;0,IF(OR(P145="",NOT(ISNUMBER(P145))),0,MAX(0,MIN(24,(INT(VALUE(H145)/100)-INT(P145/100))*12+MOD(VALUE(H145),100)-MOD(P145,100))))&lt;=12),1+V7_LOCKOUT_AMP*EXP(-(IF(OR(P145="",NOT(ISNUMBER(P145))),0,MAX(0,MIN(24,(INT(VALUE(H145)/100)-INT(P145/100))*12+MOD(VALUE(H145),100)-MOD(P145,100)))))/V7_LOCKOUT_TAU),1)</f>
        <v/>
      </c>
      <c r="AC145" s="26">
        <f>IF(IF(OR(O145="",NOT(ISNUMBER(O145))),360,MAX(0,MIN(480,(INT(O145/100)-INT(VALUE(H145)/100))*12+MOD(O145,100)-MOD(VALUE(H145),100))))&gt;0,1+V7_MTY_AMP*MAX(0,(V7_MTY_CUTOFF-(IF(OR(O145="",NOT(ISNUMBER(O145))),360,MAX(0,MIN(480,(INT(O145/100)-INT(VALUE(H145)/100))*12+MOD(O145,100)-MOD(VALUE(H145),100))))))/V7_MTY_CUTOFF),1)</f>
        <v/>
      </c>
      <c r="AD145" s="26">
        <f>MAX(V7_BURN_FLOOR,1-V7_BURN_SLOPE*MIN(1,MAX(0,R145)))</f>
        <v/>
      </c>
      <c r="AE145" s="26">
        <f>IF(V7_USE_ISSUER=1,IFERROR(VLOOKUP(Q145,V7_ISSUER_TABLE,3,FALSE),1),1)</f>
        <v/>
      </c>
      <c r="AF145" s="26">
        <f>PRODUCT(W145:AE145)</f>
        <v/>
      </c>
      <c r="AG145" s="27">
        <f>MIN(V7_BASE_SMM*AF145,V7_SMM_CAP)</f>
        <v/>
      </c>
      <c r="AH145" s="28">
        <f>1-(1-AG145)^12</f>
        <v/>
      </c>
      <c r="AI145" s="28">
        <f>IFERROR(LN(W145)/(LN(W145)+LN(X145)+LN(Y145)+LN(Z145)+LN(AA145)+LN(AB145)+LN(AC145)+LN(AD145))*(AH145-V7_BASE_CPR),0)</f>
        <v/>
      </c>
      <c r="AJ145" s="28">
        <f>IFERROR(LN(X145)/(LN(W145)+LN(X145)+LN(Y145)+LN(Z145)+LN(AA145)+LN(AB145)+LN(AC145)+LN(AD145))*(AH145-V7_BASE_CPR),0)</f>
        <v/>
      </c>
      <c r="AK145" s="28">
        <f>IFERROR(LN(Y145)/(LN(W145)+LN(X145)+LN(Y145)+LN(Z145)+LN(AA145)+LN(AB145)+LN(AC145)+LN(AD145))*(AH145-V7_BASE_CPR),0)</f>
        <v/>
      </c>
      <c r="AL145" s="28">
        <f>IFERROR(LN(Z145)/(LN(W145)+LN(X145)+LN(Y145)+LN(Z145)+LN(AA145)+LN(AB145)+LN(AC145)+LN(AD145))*(AH145-V7_BASE_CPR),0)</f>
        <v/>
      </c>
      <c r="AM145" s="28">
        <f>IFERROR(LN(AA145)/(LN(W145)+LN(X145)+LN(Y145)+LN(Z145)+LN(AA145)+LN(AB145)+LN(AC145)+LN(AD145))*(AH145-V7_BASE_CPR),0)</f>
        <v/>
      </c>
      <c r="AN145" s="28">
        <f>IFERROR(LN(AB145)/(LN(W145)+LN(X145)+LN(Y145)+LN(Z145)+LN(AA145)+LN(AB145)+LN(AC145)+LN(AD145))*(AH145-V7_BASE_CPR),0)</f>
        <v/>
      </c>
      <c r="AO145" s="28">
        <f>IFERROR(LN(AC145)/(LN(W145)+LN(X145)+LN(Y145)+LN(Z145)+LN(AA145)+LN(AB145)+LN(AC145)+LN(AD145))*(AH145-V7_BASE_CPR),0)</f>
        <v/>
      </c>
      <c r="AP145" s="28">
        <f>IFERROR(LN(AD145)/(LN(W145)+LN(X145)+LN(Y145)+LN(Z145)+LN(AA145)+LN(AB145)+LN(AC145)+LN(AD145))*(AH145-V7_BASE_CPR),0)</f>
        <v/>
      </c>
      <c r="AQ145" s="29">
        <f>V7_BASE_CPR+SUM(AI145:AP145)-AH145</f>
        <v/>
      </c>
    </row>
    <row r="146">
      <c r="A146" s="2" t="inlineStr">
        <is>
          <t>3617HGVW1_000000010335188</t>
        </is>
      </c>
      <c r="B146" t="inlineStr">
        <is>
          <t>PNC_PRE21</t>
        </is>
      </c>
      <c r="C146" s="2" t="inlineStr">
        <is>
          <t>3617HGVW1</t>
        </is>
      </c>
      <c r="D146" t="inlineStr">
        <is>
          <t>PNC BANK, NA</t>
        </is>
      </c>
      <c r="E146" t="inlineStr">
        <is>
          <t>221d4</t>
        </is>
      </c>
      <c r="F146" t="inlineStr">
        <is>
          <t>RP</t>
        </is>
      </c>
      <c r="G146" t="n">
        <v>2020</v>
      </c>
      <c r="H146" t="inlineStr">
        <is>
          <t>202602</t>
        </is>
      </c>
      <c r="I146" s="22" t="n">
        <v>22595607.96</v>
      </c>
      <c r="J146" s="23" t="n">
        <v>2.65</v>
      </c>
      <c r="K146" s="24" t="n">
        <v>447</v>
      </c>
      <c r="L146" s="24" t="n">
        <v>5</v>
      </c>
      <c r="M146" t="n">
        <v>69</v>
      </c>
      <c r="N146" s="25" t="n">
        <v>0</v>
      </c>
      <c r="O146" t="n">
        <v>206006</v>
      </c>
      <c r="P146" t="inlineStr"/>
      <c r="Q146" t="inlineStr">
        <is>
          <t>3976</t>
        </is>
      </c>
      <c r="R146" s="26" t="n">
        <v>0</v>
      </c>
      <c r="S146" t="n">
        <v>0</v>
      </c>
      <c r="T146" s="23">
        <f>LN(1+I146)</f>
        <v/>
      </c>
      <c r="U146" s="24">
        <f>J146*100-K146</f>
        <v/>
      </c>
      <c r="V146" s="24">
        <f>U146-12.5*(L146+1)</f>
        <v/>
      </c>
      <c r="W146" s="26">
        <f>IF(M146&lt;=V7_AGE_KNOT_X_0,V7_AGE_KNOT_Y_0,IF(M146&gt;=V7_AGE_KNOT_X_5,V7_AGE_KNOT_Y_5,IF(M146&lt;=V7_AGE_KNOT_X_1,V7_AGE_KNOT_Y_0+(M146-V7_AGE_KNOT_X_0)/(V7_AGE_KNOT_X_1-V7_AGE_KNOT_X_0)*(V7_AGE_KNOT_Y_1-V7_AGE_KNOT_Y_0),IF(M146&lt;=V7_AGE_KNOT_X_2,V7_AGE_KNOT_Y_1+(M146-V7_AGE_KNOT_X_1)/(V7_AGE_KNOT_X_2-V7_AGE_KNOT_X_1)*(V7_AGE_KNOT_Y_2-V7_AGE_KNOT_Y_1),IF(M146&lt;=V7_AGE_KNOT_X_3,V7_AGE_KNOT_Y_2+(M146-V7_AGE_KNOT_X_2)/(V7_AGE_KNOT_X_3-V7_AGE_KNOT_X_2)*(V7_AGE_KNOT_Y_3-V7_AGE_KNOT_Y_2),IF(M146&lt;=V7_AGE_KNOT_X_4,V7_AGE_KNOT_Y_3+(M146-V7_AGE_KNOT_X_3)/(V7_AGE_KNOT_X_4-V7_AGE_KNOT_X_3)*(V7_AGE_KNOT_Y_4-V7_AGE_KNOT_Y_3),V7_AGE_KNOT_Y_4+(M146-V7_AGE_KNOT_X_4)/(V7_AGE_KNOT_X_5-V7_AGE_KNOT_X_4)*(V7_AGE_KNOT_Y_5-V7_AGE_KNOT_Y_4)))))))</f>
        <v/>
      </c>
      <c r="X146" s="26">
        <f>V7_RATE_FLOOR+V7_RATE_ASYMPTOTE/(1+EXP(-(V146-V7_RATE_MID)/V7_RATE_SLOPE))</f>
        <v/>
      </c>
      <c r="Y146" s="26">
        <f>MAX(V7_SIZE_LOW,MIN(V7_SIZE_HIGH,V7_SIZE_INTERCEPT+V7_SIZE_SLOPE*(T146-V7_SIZE_LOG_ANCHOR)))</f>
        <v/>
      </c>
      <c r="Z146" s="26">
        <f>IF(ISNUMBER(SEARCH("232",E146)),VLOOKUP("232",V7_PROGRAM_TABLE,2,FALSE),IF(ISNUMBER(SEARCH("538",E146)),VLOOKUP("538",V7_PROGRAM_TABLE,2,FALSE),IF(ISNUMBER(SEARCH("223a7",E146)),VLOOKUP("223a7",V7_PROGRAM_TABLE,2,FALSE),IF(ISNUMBER(SEARCH("223f",E146)),VLOOKUP("223f",V7_PROGRAM_TABLE,2,FALSE),V7_PROGRAM_DEFAULT))))</f>
        <v/>
      </c>
      <c r="AA146" s="26">
        <f>IF(S146=1,1+V7_PURPOSE_NC_BUMP*MAX(0,1-ABS(M146-V7_PURPOSE_PEAK_AGE)/V7_PURPOSE_WIDTH),1)</f>
        <v/>
      </c>
      <c r="AB146" s="26">
        <f>IF(AND(IF(OR(P146="",NOT(ISNUMBER(P146))),0,MAX(0,MIN(24,(INT(VALUE(H146)/100)-INT(P146/100))*12+MOD(VALUE(H146),100)-MOD(P146,100))))&gt;0,IF(OR(P146="",NOT(ISNUMBER(P146))),0,MAX(0,MIN(24,(INT(VALUE(H146)/100)-INT(P146/100))*12+MOD(VALUE(H146),100)-MOD(P146,100))))&lt;=12),1+V7_LOCKOUT_AMP*EXP(-(IF(OR(P146="",NOT(ISNUMBER(P146))),0,MAX(0,MIN(24,(INT(VALUE(H146)/100)-INT(P146/100))*12+MOD(VALUE(H146),100)-MOD(P146,100)))))/V7_LOCKOUT_TAU),1)</f>
        <v/>
      </c>
      <c r="AC146" s="26">
        <f>IF(IF(OR(O146="",NOT(ISNUMBER(O146))),360,MAX(0,MIN(480,(INT(O146/100)-INT(VALUE(H146)/100))*12+MOD(O146,100)-MOD(VALUE(H146),100))))&gt;0,1+V7_MTY_AMP*MAX(0,(V7_MTY_CUTOFF-(IF(OR(O146="",NOT(ISNUMBER(O146))),360,MAX(0,MIN(480,(INT(O146/100)-INT(VALUE(H146)/100))*12+MOD(O146,100)-MOD(VALUE(H146),100))))))/V7_MTY_CUTOFF),1)</f>
        <v/>
      </c>
      <c r="AD146" s="26">
        <f>MAX(V7_BURN_FLOOR,1-V7_BURN_SLOPE*MIN(1,MAX(0,R146)))</f>
        <v/>
      </c>
      <c r="AE146" s="26">
        <f>IF(V7_USE_ISSUER=1,IFERROR(VLOOKUP(Q146,V7_ISSUER_TABLE,3,FALSE),1),1)</f>
        <v/>
      </c>
      <c r="AF146" s="26">
        <f>PRODUCT(W146:AE146)</f>
        <v/>
      </c>
      <c r="AG146" s="27">
        <f>MIN(V7_BASE_SMM*AF146,V7_SMM_CAP)</f>
        <v/>
      </c>
      <c r="AH146" s="28">
        <f>1-(1-AG146)^12</f>
        <v/>
      </c>
      <c r="AI146" s="28">
        <f>IFERROR(LN(W146)/(LN(W146)+LN(X146)+LN(Y146)+LN(Z146)+LN(AA146)+LN(AB146)+LN(AC146)+LN(AD146))*(AH146-V7_BASE_CPR),0)</f>
        <v/>
      </c>
      <c r="AJ146" s="28">
        <f>IFERROR(LN(X146)/(LN(W146)+LN(X146)+LN(Y146)+LN(Z146)+LN(AA146)+LN(AB146)+LN(AC146)+LN(AD146))*(AH146-V7_BASE_CPR),0)</f>
        <v/>
      </c>
      <c r="AK146" s="28">
        <f>IFERROR(LN(Y146)/(LN(W146)+LN(X146)+LN(Y146)+LN(Z146)+LN(AA146)+LN(AB146)+LN(AC146)+LN(AD146))*(AH146-V7_BASE_CPR),0)</f>
        <v/>
      </c>
      <c r="AL146" s="28">
        <f>IFERROR(LN(Z146)/(LN(W146)+LN(X146)+LN(Y146)+LN(Z146)+LN(AA146)+LN(AB146)+LN(AC146)+LN(AD146))*(AH146-V7_BASE_CPR),0)</f>
        <v/>
      </c>
      <c r="AM146" s="28">
        <f>IFERROR(LN(AA146)/(LN(W146)+LN(X146)+LN(Y146)+LN(Z146)+LN(AA146)+LN(AB146)+LN(AC146)+LN(AD146))*(AH146-V7_BASE_CPR),0)</f>
        <v/>
      </c>
      <c r="AN146" s="28">
        <f>IFERROR(LN(AB146)/(LN(W146)+LN(X146)+LN(Y146)+LN(Z146)+LN(AA146)+LN(AB146)+LN(AC146)+LN(AD146))*(AH146-V7_BASE_CPR),0)</f>
        <v/>
      </c>
      <c r="AO146" s="28">
        <f>IFERROR(LN(AC146)/(LN(W146)+LN(X146)+LN(Y146)+LN(Z146)+LN(AA146)+LN(AB146)+LN(AC146)+LN(AD146))*(AH146-V7_BASE_CPR),0)</f>
        <v/>
      </c>
      <c r="AP146" s="28">
        <f>IFERROR(LN(AD146)/(LN(W146)+LN(X146)+LN(Y146)+LN(Z146)+LN(AA146)+LN(AB146)+LN(AC146)+LN(AD146))*(AH146-V7_BASE_CPR),0)</f>
        <v/>
      </c>
      <c r="AQ146" s="29">
        <f>V7_BASE_CPR+SUM(AI146:AP146)-AH146</f>
        <v/>
      </c>
    </row>
    <row r="147">
      <c r="A147" s="2" t="inlineStr">
        <is>
          <t>36197CYF1_000000011311100</t>
        </is>
      </c>
      <c r="B147" t="inlineStr">
        <is>
          <t>PNC_PRE21</t>
        </is>
      </c>
      <c r="C147" s="2" t="inlineStr">
        <is>
          <t>36197CYF1</t>
        </is>
      </c>
      <c r="D147" t="inlineStr">
        <is>
          <t>PNC BANK, NA</t>
        </is>
      </c>
      <c r="E147" t="inlineStr">
        <is>
          <t>223f</t>
        </is>
      </c>
      <c r="F147" t="inlineStr">
        <is>
          <t>RP</t>
        </is>
      </c>
      <c r="G147" t="n">
        <v>2017</v>
      </c>
      <c r="H147" t="inlineStr">
        <is>
          <t>202602</t>
        </is>
      </c>
      <c r="I147" s="22" t="n">
        <v>760254.09</v>
      </c>
      <c r="J147" s="23" t="n">
        <v>3.75</v>
      </c>
      <c r="K147" s="24" t="n">
        <v>447</v>
      </c>
      <c r="L147" s="24" t="n">
        <v>2</v>
      </c>
      <c r="M147" t="n">
        <v>109</v>
      </c>
      <c r="N147" s="25" t="n">
        <v>31</v>
      </c>
      <c r="O147" t="n">
        <v>203604</v>
      </c>
      <c r="P147" t="inlineStr"/>
      <c r="Q147" t="inlineStr">
        <is>
          <t>3976</t>
        </is>
      </c>
      <c r="R147" s="26" t="n">
        <v>0.2844036697247707</v>
      </c>
      <c r="S147" t="n">
        <v>0</v>
      </c>
      <c r="T147" s="23">
        <f>LN(1+I147)</f>
        <v/>
      </c>
      <c r="U147" s="24">
        <f>J147*100-K147</f>
        <v/>
      </c>
      <c r="V147" s="24">
        <f>U147-12.5*(L147+1)</f>
        <v/>
      </c>
      <c r="W147" s="26">
        <f>IF(M147&lt;=V7_AGE_KNOT_X_0,V7_AGE_KNOT_Y_0,IF(M147&gt;=V7_AGE_KNOT_X_5,V7_AGE_KNOT_Y_5,IF(M147&lt;=V7_AGE_KNOT_X_1,V7_AGE_KNOT_Y_0+(M147-V7_AGE_KNOT_X_0)/(V7_AGE_KNOT_X_1-V7_AGE_KNOT_X_0)*(V7_AGE_KNOT_Y_1-V7_AGE_KNOT_Y_0),IF(M147&lt;=V7_AGE_KNOT_X_2,V7_AGE_KNOT_Y_1+(M147-V7_AGE_KNOT_X_1)/(V7_AGE_KNOT_X_2-V7_AGE_KNOT_X_1)*(V7_AGE_KNOT_Y_2-V7_AGE_KNOT_Y_1),IF(M147&lt;=V7_AGE_KNOT_X_3,V7_AGE_KNOT_Y_2+(M147-V7_AGE_KNOT_X_2)/(V7_AGE_KNOT_X_3-V7_AGE_KNOT_X_2)*(V7_AGE_KNOT_Y_3-V7_AGE_KNOT_Y_2),IF(M147&lt;=V7_AGE_KNOT_X_4,V7_AGE_KNOT_Y_3+(M147-V7_AGE_KNOT_X_3)/(V7_AGE_KNOT_X_4-V7_AGE_KNOT_X_3)*(V7_AGE_KNOT_Y_4-V7_AGE_KNOT_Y_3),V7_AGE_KNOT_Y_4+(M147-V7_AGE_KNOT_X_4)/(V7_AGE_KNOT_X_5-V7_AGE_KNOT_X_4)*(V7_AGE_KNOT_Y_5-V7_AGE_KNOT_Y_4)))))))</f>
        <v/>
      </c>
      <c r="X147" s="26">
        <f>V7_RATE_FLOOR+V7_RATE_ASYMPTOTE/(1+EXP(-(V147-V7_RATE_MID)/V7_RATE_SLOPE))</f>
        <v/>
      </c>
      <c r="Y147" s="26">
        <f>MAX(V7_SIZE_LOW,MIN(V7_SIZE_HIGH,V7_SIZE_INTERCEPT+V7_SIZE_SLOPE*(T147-V7_SIZE_LOG_ANCHOR)))</f>
        <v/>
      </c>
      <c r="Z147" s="26">
        <f>IF(ISNUMBER(SEARCH("232",E147)),VLOOKUP("232",V7_PROGRAM_TABLE,2,FALSE),IF(ISNUMBER(SEARCH("538",E147)),VLOOKUP("538",V7_PROGRAM_TABLE,2,FALSE),IF(ISNUMBER(SEARCH("223a7",E147)),VLOOKUP("223a7",V7_PROGRAM_TABLE,2,FALSE),IF(ISNUMBER(SEARCH("223f",E147)),VLOOKUP("223f",V7_PROGRAM_TABLE,2,FALSE),V7_PROGRAM_DEFAULT))))</f>
        <v/>
      </c>
      <c r="AA147" s="26">
        <f>IF(S147=1,1+V7_PURPOSE_NC_BUMP*MAX(0,1-ABS(M147-V7_PURPOSE_PEAK_AGE)/V7_PURPOSE_WIDTH),1)</f>
        <v/>
      </c>
      <c r="AB147" s="26">
        <f>IF(AND(IF(OR(P147="",NOT(ISNUMBER(P147))),0,MAX(0,MIN(24,(INT(VALUE(H147)/100)-INT(P147/100))*12+MOD(VALUE(H147),100)-MOD(P147,100))))&gt;0,IF(OR(P147="",NOT(ISNUMBER(P147))),0,MAX(0,MIN(24,(INT(VALUE(H147)/100)-INT(P147/100))*12+MOD(VALUE(H147),100)-MOD(P147,100))))&lt;=12),1+V7_LOCKOUT_AMP*EXP(-(IF(OR(P147="",NOT(ISNUMBER(P147))),0,MAX(0,MIN(24,(INT(VALUE(H147)/100)-INT(P147/100))*12+MOD(VALUE(H147),100)-MOD(P147,100)))))/V7_LOCKOUT_TAU),1)</f>
        <v/>
      </c>
      <c r="AC147" s="26">
        <f>IF(IF(OR(O147="",NOT(ISNUMBER(O147))),360,MAX(0,MIN(480,(INT(O147/100)-INT(VALUE(H147)/100))*12+MOD(O147,100)-MOD(VALUE(H147),100))))&gt;0,1+V7_MTY_AMP*MAX(0,(V7_MTY_CUTOFF-(IF(OR(O147="",NOT(ISNUMBER(O147))),360,MAX(0,MIN(480,(INT(O147/100)-INT(VALUE(H147)/100))*12+MOD(O147,100)-MOD(VALUE(H147),100))))))/V7_MTY_CUTOFF),1)</f>
        <v/>
      </c>
      <c r="AD147" s="26">
        <f>MAX(V7_BURN_FLOOR,1-V7_BURN_SLOPE*MIN(1,MAX(0,R147)))</f>
        <v/>
      </c>
      <c r="AE147" s="26">
        <f>IF(V7_USE_ISSUER=1,IFERROR(VLOOKUP(Q147,V7_ISSUER_TABLE,3,FALSE),1),1)</f>
        <v/>
      </c>
      <c r="AF147" s="26">
        <f>PRODUCT(W147:AE147)</f>
        <v/>
      </c>
      <c r="AG147" s="27">
        <f>MIN(V7_BASE_SMM*AF147,V7_SMM_CAP)</f>
        <v/>
      </c>
      <c r="AH147" s="28">
        <f>1-(1-AG147)^12</f>
        <v/>
      </c>
      <c r="AI147" s="28">
        <f>IFERROR(LN(W147)/(LN(W147)+LN(X147)+LN(Y147)+LN(Z147)+LN(AA147)+LN(AB147)+LN(AC147)+LN(AD147))*(AH147-V7_BASE_CPR),0)</f>
        <v/>
      </c>
      <c r="AJ147" s="28">
        <f>IFERROR(LN(X147)/(LN(W147)+LN(X147)+LN(Y147)+LN(Z147)+LN(AA147)+LN(AB147)+LN(AC147)+LN(AD147))*(AH147-V7_BASE_CPR),0)</f>
        <v/>
      </c>
      <c r="AK147" s="28">
        <f>IFERROR(LN(Y147)/(LN(W147)+LN(X147)+LN(Y147)+LN(Z147)+LN(AA147)+LN(AB147)+LN(AC147)+LN(AD147))*(AH147-V7_BASE_CPR),0)</f>
        <v/>
      </c>
      <c r="AL147" s="28">
        <f>IFERROR(LN(Z147)/(LN(W147)+LN(X147)+LN(Y147)+LN(Z147)+LN(AA147)+LN(AB147)+LN(AC147)+LN(AD147))*(AH147-V7_BASE_CPR),0)</f>
        <v/>
      </c>
      <c r="AM147" s="28">
        <f>IFERROR(LN(AA147)/(LN(W147)+LN(X147)+LN(Y147)+LN(Z147)+LN(AA147)+LN(AB147)+LN(AC147)+LN(AD147))*(AH147-V7_BASE_CPR),0)</f>
        <v/>
      </c>
      <c r="AN147" s="28">
        <f>IFERROR(LN(AB147)/(LN(W147)+LN(X147)+LN(Y147)+LN(Z147)+LN(AA147)+LN(AB147)+LN(AC147)+LN(AD147))*(AH147-V7_BASE_CPR),0)</f>
        <v/>
      </c>
      <c r="AO147" s="28">
        <f>IFERROR(LN(AC147)/(LN(W147)+LN(X147)+LN(Y147)+LN(Z147)+LN(AA147)+LN(AB147)+LN(AC147)+LN(AD147))*(AH147-V7_BASE_CPR),0)</f>
        <v/>
      </c>
      <c r="AP147" s="28">
        <f>IFERROR(LN(AD147)/(LN(W147)+LN(X147)+LN(Y147)+LN(Z147)+LN(AA147)+LN(AB147)+LN(AC147)+LN(AD147))*(AH147-V7_BASE_CPR),0)</f>
        <v/>
      </c>
      <c r="AQ147" s="29">
        <f>V7_BASE_CPR+SUM(AI147:AP147)-AH147</f>
        <v/>
      </c>
    </row>
    <row r="148">
      <c r="A148" s="2" t="inlineStr">
        <is>
          <t>36176RAP7_000000012211229</t>
        </is>
      </c>
      <c r="B148" t="inlineStr">
        <is>
          <t>PNC_PRE21</t>
        </is>
      </c>
      <c r="C148" s="2" t="inlineStr">
        <is>
          <t>36176RAP7</t>
        </is>
      </c>
      <c r="D148" t="inlineStr">
        <is>
          <t>PNC BANK, NA</t>
        </is>
      </c>
      <c r="E148" t="inlineStr">
        <is>
          <t>223a7</t>
        </is>
      </c>
      <c r="F148" t="inlineStr">
        <is>
          <t>RP</t>
        </is>
      </c>
      <c r="G148" t="n">
        <v>2011</v>
      </c>
      <c r="H148" t="inlineStr">
        <is>
          <t>202602</t>
        </is>
      </c>
      <c r="I148" s="22" t="n">
        <v>3177123.41</v>
      </c>
      <c r="J148" s="23" t="n">
        <v>3.3</v>
      </c>
      <c r="K148" s="24" t="n">
        <v>447</v>
      </c>
      <c r="L148" s="24" t="n">
        <v>0</v>
      </c>
      <c r="M148" t="n">
        <v>172</v>
      </c>
      <c r="N148" s="25" t="n">
        <v>35</v>
      </c>
      <c r="O148" t="n">
        <v>204611</v>
      </c>
      <c r="P148" t="n">
        <v>201312</v>
      </c>
      <c r="Q148" t="inlineStr">
        <is>
          <t>3976</t>
        </is>
      </c>
      <c r="R148" s="26" t="n">
        <v>0.2034883720930233</v>
      </c>
      <c r="S148" t="n">
        <v>0</v>
      </c>
      <c r="T148" s="23">
        <f>LN(1+I148)</f>
        <v/>
      </c>
      <c r="U148" s="24">
        <f>J148*100-K148</f>
        <v/>
      </c>
      <c r="V148" s="24">
        <f>U148-12.5*(L148+1)</f>
        <v/>
      </c>
      <c r="W148" s="26">
        <f>IF(M148&lt;=V7_AGE_KNOT_X_0,V7_AGE_KNOT_Y_0,IF(M148&gt;=V7_AGE_KNOT_X_5,V7_AGE_KNOT_Y_5,IF(M148&lt;=V7_AGE_KNOT_X_1,V7_AGE_KNOT_Y_0+(M148-V7_AGE_KNOT_X_0)/(V7_AGE_KNOT_X_1-V7_AGE_KNOT_X_0)*(V7_AGE_KNOT_Y_1-V7_AGE_KNOT_Y_0),IF(M148&lt;=V7_AGE_KNOT_X_2,V7_AGE_KNOT_Y_1+(M148-V7_AGE_KNOT_X_1)/(V7_AGE_KNOT_X_2-V7_AGE_KNOT_X_1)*(V7_AGE_KNOT_Y_2-V7_AGE_KNOT_Y_1),IF(M148&lt;=V7_AGE_KNOT_X_3,V7_AGE_KNOT_Y_2+(M148-V7_AGE_KNOT_X_2)/(V7_AGE_KNOT_X_3-V7_AGE_KNOT_X_2)*(V7_AGE_KNOT_Y_3-V7_AGE_KNOT_Y_2),IF(M148&lt;=V7_AGE_KNOT_X_4,V7_AGE_KNOT_Y_3+(M148-V7_AGE_KNOT_X_3)/(V7_AGE_KNOT_X_4-V7_AGE_KNOT_X_3)*(V7_AGE_KNOT_Y_4-V7_AGE_KNOT_Y_3),V7_AGE_KNOT_Y_4+(M148-V7_AGE_KNOT_X_4)/(V7_AGE_KNOT_X_5-V7_AGE_KNOT_X_4)*(V7_AGE_KNOT_Y_5-V7_AGE_KNOT_Y_4)))))))</f>
        <v/>
      </c>
      <c r="X148" s="26">
        <f>V7_RATE_FLOOR+V7_RATE_ASYMPTOTE/(1+EXP(-(V148-V7_RATE_MID)/V7_RATE_SLOPE))</f>
        <v/>
      </c>
      <c r="Y148" s="26">
        <f>MAX(V7_SIZE_LOW,MIN(V7_SIZE_HIGH,V7_SIZE_INTERCEPT+V7_SIZE_SLOPE*(T148-V7_SIZE_LOG_ANCHOR)))</f>
        <v/>
      </c>
      <c r="Z148" s="26">
        <f>IF(ISNUMBER(SEARCH("232",E148)),VLOOKUP("232",V7_PROGRAM_TABLE,2,FALSE),IF(ISNUMBER(SEARCH("538",E148)),VLOOKUP("538",V7_PROGRAM_TABLE,2,FALSE),IF(ISNUMBER(SEARCH("223a7",E148)),VLOOKUP("223a7",V7_PROGRAM_TABLE,2,FALSE),IF(ISNUMBER(SEARCH("223f",E148)),VLOOKUP("223f",V7_PROGRAM_TABLE,2,FALSE),V7_PROGRAM_DEFAULT))))</f>
        <v/>
      </c>
      <c r="AA148" s="26">
        <f>IF(S148=1,1+V7_PURPOSE_NC_BUMP*MAX(0,1-ABS(M148-V7_PURPOSE_PEAK_AGE)/V7_PURPOSE_WIDTH),1)</f>
        <v/>
      </c>
      <c r="AB148" s="26">
        <f>IF(AND(IF(OR(P148="",NOT(ISNUMBER(P148))),0,MAX(0,MIN(24,(INT(VALUE(H148)/100)-INT(P148/100))*12+MOD(VALUE(H148),100)-MOD(P148,100))))&gt;0,IF(OR(P148="",NOT(ISNUMBER(P148))),0,MAX(0,MIN(24,(INT(VALUE(H148)/100)-INT(P148/100))*12+MOD(VALUE(H148),100)-MOD(P148,100))))&lt;=12),1+V7_LOCKOUT_AMP*EXP(-(IF(OR(P148="",NOT(ISNUMBER(P148))),0,MAX(0,MIN(24,(INT(VALUE(H148)/100)-INT(P148/100))*12+MOD(VALUE(H148),100)-MOD(P148,100)))))/V7_LOCKOUT_TAU),1)</f>
        <v/>
      </c>
      <c r="AC148" s="26">
        <f>IF(IF(OR(O148="",NOT(ISNUMBER(O148))),360,MAX(0,MIN(480,(INT(O148/100)-INT(VALUE(H148)/100))*12+MOD(O148,100)-MOD(VALUE(H148),100))))&gt;0,1+V7_MTY_AMP*MAX(0,(V7_MTY_CUTOFF-(IF(OR(O148="",NOT(ISNUMBER(O148))),360,MAX(0,MIN(480,(INT(O148/100)-INT(VALUE(H148)/100))*12+MOD(O148,100)-MOD(VALUE(H148),100))))))/V7_MTY_CUTOFF),1)</f>
        <v/>
      </c>
      <c r="AD148" s="26">
        <f>MAX(V7_BURN_FLOOR,1-V7_BURN_SLOPE*MIN(1,MAX(0,R148)))</f>
        <v/>
      </c>
      <c r="AE148" s="26">
        <f>IF(V7_USE_ISSUER=1,IFERROR(VLOOKUP(Q148,V7_ISSUER_TABLE,3,FALSE),1),1)</f>
        <v/>
      </c>
      <c r="AF148" s="26">
        <f>PRODUCT(W148:AE148)</f>
        <v/>
      </c>
      <c r="AG148" s="27">
        <f>MIN(V7_BASE_SMM*AF148,V7_SMM_CAP)</f>
        <v/>
      </c>
      <c r="AH148" s="28">
        <f>1-(1-AG148)^12</f>
        <v/>
      </c>
      <c r="AI148" s="28">
        <f>IFERROR(LN(W148)/(LN(W148)+LN(X148)+LN(Y148)+LN(Z148)+LN(AA148)+LN(AB148)+LN(AC148)+LN(AD148))*(AH148-V7_BASE_CPR),0)</f>
        <v/>
      </c>
      <c r="AJ148" s="28">
        <f>IFERROR(LN(X148)/(LN(W148)+LN(X148)+LN(Y148)+LN(Z148)+LN(AA148)+LN(AB148)+LN(AC148)+LN(AD148))*(AH148-V7_BASE_CPR),0)</f>
        <v/>
      </c>
      <c r="AK148" s="28">
        <f>IFERROR(LN(Y148)/(LN(W148)+LN(X148)+LN(Y148)+LN(Z148)+LN(AA148)+LN(AB148)+LN(AC148)+LN(AD148))*(AH148-V7_BASE_CPR),0)</f>
        <v/>
      </c>
      <c r="AL148" s="28">
        <f>IFERROR(LN(Z148)/(LN(W148)+LN(X148)+LN(Y148)+LN(Z148)+LN(AA148)+LN(AB148)+LN(AC148)+LN(AD148))*(AH148-V7_BASE_CPR),0)</f>
        <v/>
      </c>
      <c r="AM148" s="28">
        <f>IFERROR(LN(AA148)/(LN(W148)+LN(X148)+LN(Y148)+LN(Z148)+LN(AA148)+LN(AB148)+LN(AC148)+LN(AD148))*(AH148-V7_BASE_CPR),0)</f>
        <v/>
      </c>
      <c r="AN148" s="28">
        <f>IFERROR(LN(AB148)/(LN(W148)+LN(X148)+LN(Y148)+LN(Z148)+LN(AA148)+LN(AB148)+LN(AC148)+LN(AD148))*(AH148-V7_BASE_CPR),0)</f>
        <v/>
      </c>
      <c r="AO148" s="28">
        <f>IFERROR(LN(AC148)/(LN(W148)+LN(X148)+LN(Y148)+LN(Z148)+LN(AA148)+LN(AB148)+LN(AC148)+LN(AD148))*(AH148-V7_BASE_CPR),0)</f>
        <v/>
      </c>
      <c r="AP148" s="28">
        <f>IFERROR(LN(AD148)/(LN(W148)+LN(X148)+LN(Y148)+LN(Z148)+LN(AA148)+LN(AB148)+LN(AC148)+LN(AD148))*(AH148-V7_BASE_CPR),0)</f>
        <v/>
      </c>
      <c r="AQ148" s="29">
        <f>V7_BASE_CPR+SUM(AI148:AP148)-AH148</f>
        <v/>
      </c>
    </row>
    <row r="149">
      <c r="A149" s="2" t="inlineStr">
        <is>
          <t>3617G9ZC8_000000012135982</t>
        </is>
      </c>
      <c r="B149" t="inlineStr">
        <is>
          <t>PNC_PRE21</t>
        </is>
      </c>
      <c r="C149" s="2" t="inlineStr">
        <is>
          <t>3617G9ZC8</t>
        </is>
      </c>
      <c r="D149" t="inlineStr">
        <is>
          <t>PNC BANK, NA</t>
        </is>
      </c>
      <c r="E149" t="inlineStr">
        <is>
          <t>221d4</t>
        </is>
      </c>
      <c r="F149" t="inlineStr">
        <is>
          <t>NC</t>
        </is>
      </c>
      <c r="G149" t="n">
        <v>2019</v>
      </c>
      <c r="H149" t="inlineStr">
        <is>
          <t>202602</t>
        </is>
      </c>
      <c r="I149" s="22" t="n">
        <v>8882184.109999999</v>
      </c>
      <c r="J149" s="23" t="n">
        <v>3.07</v>
      </c>
      <c r="K149" s="24" t="n">
        <v>447</v>
      </c>
      <c r="L149" s="24" t="n">
        <v>5</v>
      </c>
      <c r="M149" t="n">
        <v>76</v>
      </c>
      <c r="N149" s="25" t="n">
        <v>0</v>
      </c>
      <c r="O149" t="n">
        <v>205101</v>
      </c>
      <c r="P149" t="inlineStr"/>
      <c r="Q149" t="inlineStr">
        <is>
          <t>3976</t>
        </is>
      </c>
      <c r="R149" s="26" t="n">
        <v>0</v>
      </c>
      <c r="S149" t="n">
        <v>1</v>
      </c>
      <c r="T149" s="23">
        <f>LN(1+I149)</f>
        <v/>
      </c>
      <c r="U149" s="24">
        <f>J149*100-K149</f>
        <v/>
      </c>
      <c r="V149" s="24">
        <f>U149-12.5*(L149+1)</f>
        <v/>
      </c>
      <c r="W149" s="26">
        <f>IF(M149&lt;=V7_AGE_KNOT_X_0,V7_AGE_KNOT_Y_0,IF(M149&gt;=V7_AGE_KNOT_X_5,V7_AGE_KNOT_Y_5,IF(M149&lt;=V7_AGE_KNOT_X_1,V7_AGE_KNOT_Y_0+(M149-V7_AGE_KNOT_X_0)/(V7_AGE_KNOT_X_1-V7_AGE_KNOT_X_0)*(V7_AGE_KNOT_Y_1-V7_AGE_KNOT_Y_0),IF(M149&lt;=V7_AGE_KNOT_X_2,V7_AGE_KNOT_Y_1+(M149-V7_AGE_KNOT_X_1)/(V7_AGE_KNOT_X_2-V7_AGE_KNOT_X_1)*(V7_AGE_KNOT_Y_2-V7_AGE_KNOT_Y_1),IF(M149&lt;=V7_AGE_KNOT_X_3,V7_AGE_KNOT_Y_2+(M149-V7_AGE_KNOT_X_2)/(V7_AGE_KNOT_X_3-V7_AGE_KNOT_X_2)*(V7_AGE_KNOT_Y_3-V7_AGE_KNOT_Y_2),IF(M149&lt;=V7_AGE_KNOT_X_4,V7_AGE_KNOT_Y_3+(M149-V7_AGE_KNOT_X_3)/(V7_AGE_KNOT_X_4-V7_AGE_KNOT_X_3)*(V7_AGE_KNOT_Y_4-V7_AGE_KNOT_Y_3),V7_AGE_KNOT_Y_4+(M149-V7_AGE_KNOT_X_4)/(V7_AGE_KNOT_X_5-V7_AGE_KNOT_X_4)*(V7_AGE_KNOT_Y_5-V7_AGE_KNOT_Y_4)))))))</f>
        <v/>
      </c>
      <c r="X149" s="26">
        <f>V7_RATE_FLOOR+V7_RATE_ASYMPTOTE/(1+EXP(-(V149-V7_RATE_MID)/V7_RATE_SLOPE))</f>
        <v/>
      </c>
      <c r="Y149" s="26">
        <f>MAX(V7_SIZE_LOW,MIN(V7_SIZE_HIGH,V7_SIZE_INTERCEPT+V7_SIZE_SLOPE*(T149-V7_SIZE_LOG_ANCHOR)))</f>
        <v/>
      </c>
      <c r="Z149" s="26">
        <f>IF(ISNUMBER(SEARCH("232",E149)),VLOOKUP("232",V7_PROGRAM_TABLE,2,FALSE),IF(ISNUMBER(SEARCH("538",E149)),VLOOKUP("538",V7_PROGRAM_TABLE,2,FALSE),IF(ISNUMBER(SEARCH("223a7",E149)),VLOOKUP("223a7",V7_PROGRAM_TABLE,2,FALSE),IF(ISNUMBER(SEARCH("223f",E149)),VLOOKUP("223f",V7_PROGRAM_TABLE,2,FALSE),V7_PROGRAM_DEFAULT))))</f>
        <v/>
      </c>
      <c r="AA149" s="26">
        <f>IF(S149=1,1+V7_PURPOSE_NC_BUMP*MAX(0,1-ABS(M149-V7_PURPOSE_PEAK_AGE)/V7_PURPOSE_WIDTH),1)</f>
        <v/>
      </c>
      <c r="AB149" s="26">
        <f>IF(AND(IF(OR(P149="",NOT(ISNUMBER(P149))),0,MAX(0,MIN(24,(INT(VALUE(H149)/100)-INT(P149/100))*12+MOD(VALUE(H149),100)-MOD(P149,100))))&gt;0,IF(OR(P149="",NOT(ISNUMBER(P149))),0,MAX(0,MIN(24,(INT(VALUE(H149)/100)-INT(P149/100))*12+MOD(VALUE(H149),100)-MOD(P149,100))))&lt;=12),1+V7_LOCKOUT_AMP*EXP(-(IF(OR(P149="",NOT(ISNUMBER(P149))),0,MAX(0,MIN(24,(INT(VALUE(H149)/100)-INT(P149/100))*12+MOD(VALUE(H149),100)-MOD(P149,100)))))/V7_LOCKOUT_TAU),1)</f>
        <v/>
      </c>
      <c r="AC149" s="26">
        <f>IF(IF(OR(O149="",NOT(ISNUMBER(O149))),360,MAX(0,MIN(480,(INT(O149/100)-INT(VALUE(H149)/100))*12+MOD(O149,100)-MOD(VALUE(H149),100))))&gt;0,1+V7_MTY_AMP*MAX(0,(V7_MTY_CUTOFF-(IF(OR(O149="",NOT(ISNUMBER(O149))),360,MAX(0,MIN(480,(INT(O149/100)-INT(VALUE(H149)/100))*12+MOD(O149,100)-MOD(VALUE(H149),100))))))/V7_MTY_CUTOFF),1)</f>
        <v/>
      </c>
      <c r="AD149" s="26">
        <f>MAX(V7_BURN_FLOOR,1-V7_BURN_SLOPE*MIN(1,MAX(0,R149)))</f>
        <v/>
      </c>
      <c r="AE149" s="26">
        <f>IF(V7_USE_ISSUER=1,IFERROR(VLOOKUP(Q149,V7_ISSUER_TABLE,3,FALSE),1),1)</f>
        <v/>
      </c>
      <c r="AF149" s="26">
        <f>PRODUCT(W149:AE149)</f>
        <v/>
      </c>
      <c r="AG149" s="27">
        <f>MIN(V7_BASE_SMM*AF149,V7_SMM_CAP)</f>
        <v/>
      </c>
      <c r="AH149" s="28">
        <f>1-(1-AG149)^12</f>
        <v/>
      </c>
      <c r="AI149" s="28">
        <f>IFERROR(LN(W149)/(LN(W149)+LN(X149)+LN(Y149)+LN(Z149)+LN(AA149)+LN(AB149)+LN(AC149)+LN(AD149))*(AH149-V7_BASE_CPR),0)</f>
        <v/>
      </c>
      <c r="AJ149" s="28">
        <f>IFERROR(LN(X149)/(LN(W149)+LN(X149)+LN(Y149)+LN(Z149)+LN(AA149)+LN(AB149)+LN(AC149)+LN(AD149))*(AH149-V7_BASE_CPR),0)</f>
        <v/>
      </c>
      <c r="AK149" s="28">
        <f>IFERROR(LN(Y149)/(LN(W149)+LN(X149)+LN(Y149)+LN(Z149)+LN(AA149)+LN(AB149)+LN(AC149)+LN(AD149))*(AH149-V7_BASE_CPR),0)</f>
        <v/>
      </c>
      <c r="AL149" s="28">
        <f>IFERROR(LN(Z149)/(LN(W149)+LN(X149)+LN(Y149)+LN(Z149)+LN(AA149)+LN(AB149)+LN(AC149)+LN(AD149))*(AH149-V7_BASE_CPR),0)</f>
        <v/>
      </c>
      <c r="AM149" s="28">
        <f>IFERROR(LN(AA149)/(LN(W149)+LN(X149)+LN(Y149)+LN(Z149)+LN(AA149)+LN(AB149)+LN(AC149)+LN(AD149))*(AH149-V7_BASE_CPR),0)</f>
        <v/>
      </c>
      <c r="AN149" s="28">
        <f>IFERROR(LN(AB149)/(LN(W149)+LN(X149)+LN(Y149)+LN(Z149)+LN(AA149)+LN(AB149)+LN(AC149)+LN(AD149))*(AH149-V7_BASE_CPR),0)</f>
        <v/>
      </c>
      <c r="AO149" s="28">
        <f>IFERROR(LN(AC149)/(LN(W149)+LN(X149)+LN(Y149)+LN(Z149)+LN(AA149)+LN(AB149)+LN(AC149)+LN(AD149))*(AH149-V7_BASE_CPR),0)</f>
        <v/>
      </c>
      <c r="AP149" s="28">
        <f>IFERROR(LN(AD149)/(LN(W149)+LN(X149)+LN(Y149)+LN(Z149)+LN(AA149)+LN(AB149)+LN(AC149)+LN(AD149))*(AH149-V7_BASE_CPR),0)</f>
        <v/>
      </c>
      <c r="AQ149" s="29">
        <f>V7_BASE_CPR+SUM(AI149:AP149)-AH149</f>
        <v/>
      </c>
    </row>
    <row r="150">
      <c r="A150" s="2" t="inlineStr">
        <is>
          <t>36295TM68_041003202439995</t>
        </is>
      </c>
      <c r="B150" t="inlineStr">
        <is>
          <t>PNC_PRE21</t>
        </is>
      </c>
      <c r="C150" s="2" t="inlineStr">
        <is>
          <t>36295TM68</t>
        </is>
      </c>
      <c r="D150" t="inlineStr">
        <is>
          <t>PNC BANK, NA</t>
        </is>
      </c>
      <c r="E150" t="inlineStr">
        <is>
          <t>538</t>
        </is>
      </c>
      <c r="F150" t="inlineStr">
        <is>
          <t>538</t>
        </is>
      </c>
      <c r="G150" t="n">
        <v>2006</v>
      </c>
      <c r="H150" t="inlineStr">
        <is>
          <t>202602</t>
        </is>
      </c>
      <c r="I150" s="22" t="n">
        <v>746262.11</v>
      </c>
      <c r="J150" s="23" t="n">
        <v>7.29</v>
      </c>
      <c r="K150" s="24" t="n">
        <v>447</v>
      </c>
      <c r="L150" s="24" t="n">
        <v>0</v>
      </c>
      <c r="M150" t="n">
        <v>230</v>
      </c>
      <c r="N150" s="25" t="n">
        <v>87</v>
      </c>
      <c r="O150" t="n">
        <v>204612</v>
      </c>
      <c r="P150" t="n">
        <v>202312</v>
      </c>
      <c r="Q150" t="inlineStr">
        <is>
          <t>3976</t>
        </is>
      </c>
      <c r="R150" s="26" t="n">
        <v>0.3782608695652174</v>
      </c>
      <c r="S150" t="n">
        <v>0</v>
      </c>
      <c r="T150" s="23">
        <f>LN(1+I150)</f>
        <v/>
      </c>
      <c r="U150" s="24">
        <f>J150*100-K150</f>
        <v/>
      </c>
      <c r="V150" s="24">
        <f>U150-12.5*(L150+1)</f>
        <v/>
      </c>
      <c r="W150" s="26">
        <f>IF(M150&lt;=V7_AGE_KNOT_X_0,V7_AGE_KNOT_Y_0,IF(M150&gt;=V7_AGE_KNOT_X_5,V7_AGE_KNOT_Y_5,IF(M150&lt;=V7_AGE_KNOT_X_1,V7_AGE_KNOT_Y_0+(M150-V7_AGE_KNOT_X_0)/(V7_AGE_KNOT_X_1-V7_AGE_KNOT_X_0)*(V7_AGE_KNOT_Y_1-V7_AGE_KNOT_Y_0),IF(M150&lt;=V7_AGE_KNOT_X_2,V7_AGE_KNOT_Y_1+(M150-V7_AGE_KNOT_X_1)/(V7_AGE_KNOT_X_2-V7_AGE_KNOT_X_1)*(V7_AGE_KNOT_Y_2-V7_AGE_KNOT_Y_1),IF(M150&lt;=V7_AGE_KNOT_X_3,V7_AGE_KNOT_Y_2+(M150-V7_AGE_KNOT_X_2)/(V7_AGE_KNOT_X_3-V7_AGE_KNOT_X_2)*(V7_AGE_KNOT_Y_3-V7_AGE_KNOT_Y_2),IF(M150&lt;=V7_AGE_KNOT_X_4,V7_AGE_KNOT_Y_3+(M150-V7_AGE_KNOT_X_3)/(V7_AGE_KNOT_X_4-V7_AGE_KNOT_X_3)*(V7_AGE_KNOT_Y_4-V7_AGE_KNOT_Y_3),V7_AGE_KNOT_Y_4+(M150-V7_AGE_KNOT_X_4)/(V7_AGE_KNOT_X_5-V7_AGE_KNOT_X_4)*(V7_AGE_KNOT_Y_5-V7_AGE_KNOT_Y_4)))))))</f>
        <v/>
      </c>
      <c r="X150" s="26">
        <f>V7_RATE_FLOOR+V7_RATE_ASYMPTOTE/(1+EXP(-(V150-V7_RATE_MID)/V7_RATE_SLOPE))</f>
        <v/>
      </c>
      <c r="Y150" s="26">
        <f>MAX(V7_SIZE_LOW,MIN(V7_SIZE_HIGH,V7_SIZE_INTERCEPT+V7_SIZE_SLOPE*(T150-V7_SIZE_LOG_ANCHOR)))</f>
        <v/>
      </c>
      <c r="Z150" s="26">
        <f>IF(ISNUMBER(SEARCH("232",E150)),VLOOKUP("232",V7_PROGRAM_TABLE,2,FALSE),IF(ISNUMBER(SEARCH("538",E150)),VLOOKUP("538",V7_PROGRAM_TABLE,2,FALSE),IF(ISNUMBER(SEARCH("223a7",E150)),VLOOKUP("223a7",V7_PROGRAM_TABLE,2,FALSE),IF(ISNUMBER(SEARCH("223f",E150)),VLOOKUP("223f",V7_PROGRAM_TABLE,2,FALSE),V7_PROGRAM_DEFAULT))))</f>
        <v/>
      </c>
      <c r="AA150" s="26">
        <f>IF(S150=1,1+V7_PURPOSE_NC_BUMP*MAX(0,1-ABS(M150-V7_PURPOSE_PEAK_AGE)/V7_PURPOSE_WIDTH),1)</f>
        <v/>
      </c>
      <c r="AB150" s="26">
        <f>IF(AND(IF(OR(P150="",NOT(ISNUMBER(P150))),0,MAX(0,MIN(24,(INT(VALUE(H150)/100)-INT(P150/100))*12+MOD(VALUE(H150),100)-MOD(P150,100))))&gt;0,IF(OR(P150="",NOT(ISNUMBER(P150))),0,MAX(0,MIN(24,(INT(VALUE(H150)/100)-INT(P150/100))*12+MOD(VALUE(H150),100)-MOD(P150,100))))&lt;=12),1+V7_LOCKOUT_AMP*EXP(-(IF(OR(P150="",NOT(ISNUMBER(P150))),0,MAX(0,MIN(24,(INT(VALUE(H150)/100)-INT(P150/100))*12+MOD(VALUE(H150),100)-MOD(P150,100)))))/V7_LOCKOUT_TAU),1)</f>
        <v/>
      </c>
      <c r="AC150" s="26">
        <f>IF(IF(OR(O150="",NOT(ISNUMBER(O150))),360,MAX(0,MIN(480,(INT(O150/100)-INT(VALUE(H150)/100))*12+MOD(O150,100)-MOD(VALUE(H150),100))))&gt;0,1+V7_MTY_AMP*MAX(0,(V7_MTY_CUTOFF-(IF(OR(O150="",NOT(ISNUMBER(O150))),360,MAX(0,MIN(480,(INT(O150/100)-INT(VALUE(H150)/100))*12+MOD(O150,100)-MOD(VALUE(H150),100))))))/V7_MTY_CUTOFF),1)</f>
        <v/>
      </c>
      <c r="AD150" s="26">
        <f>MAX(V7_BURN_FLOOR,1-V7_BURN_SLOPE*MIN(1,MAX(0,R150)))</f>
        <v/>
      </c>
      <c r="AE150" s="26">
        <f>IF(V7_USE_ISSUER=1,IFERROR(VLOOKUP(Q150,V7_ISSUER_TABLE,3,FALSE),1),1)</f>
        <v/>
      </c>
      <c r="AF150" s="26">
        <f>PRODUCT(W150:AE150)</f>
        <v/>
      </c>
      <c r="AG150" s="27">
        <f>MIN(V7_BASE_SMM*AF150,V7_SMM_CAP)</f>
        <v/>
      </c>
      <c r="AH150" s="28">
        <f>1-(1-AG150)^12</f>
        <v/>
      </c>
      <c r="AI150" s="28">
        <f>IFERROR(LN(W150)/(LN(W150)+LN(X150)+LN(Y150)+LN(Z150)+LN(AA150)+LN(AB150)+LN(AC150)+LN(AD150))*(AH150-V7_BASE_CPR),0)</f>
        <v/>
      </c>
      <c r="AJ150" s="28">
        <f>IFERROR(LN(X150)/(LN(W150)+LN(X150)+LN(Y150)+LN(Z150)+LN(AA150)+LN(AB150)+LN(AC150)+LN(AD150))*(AH150-V7_BASE_CPR),0)</f>
        <v/>
      </c>
      <c r="AK150" s="28">
        <f>IFERROR(LN(Y150)/(LN(W150)+LN(X150)+LN(Y150)+LN(Z150)+LN(AA150)+LN(AB150)+LN(AC150)+LN(AD150))*(AH150-V7_BASE_CPR),0)</f>
        <v/>
      </c>
      <c r="AL150" s="28">
        <f>IFERROR(LN(Z150)/(LN(W150)+LN(X150)+LN(Y150)+LN(Z150)+LN(AA150)+LN(AB150)+LN(AC150)+LN(AD150))*(AH150-V7_BASE_CPR),0)</f>
        <v/>
      </c>
      <c r="AM150" s="28">
        <f>IFERROR(LN(AA150)/(LN(W150)+LN(X150)+LN(Y150)+LN(Z150)+LN(AA150)+LN(AB150)+LN(AC150)+LN(AD150))*(AH150-V7_BASE_CPR),0)</f>
        <v/>
      </c>
      <c r="AN150" s="28">
        <f>IFERROR(LN(AB150)/(LN(W150)+LN(X150)+LN(Y150)+LN(Z150)+LN(AA150)+LN(AB150)+LN(AC150)+LN(AD150))*(AH150-V7_BASE_CPR),0)</f>
        <v/>
      </c>
      <c r="AO150" s="28">
        <f>IFERROR(LN(AC150)/(LN(W150)+LN(X150)+LN(Y150)+LN(Z150)+LN(AA150)+LN(AB150)+LN(AC150)+LN(AD150))*(AH150-V7_BASE_CPR),0)</f>
        <v/>
      </c>
      <c r="AP150" s="28">
        <f>IFERROR(LN(AD150)/(LN(W150)+LN(X150)+LN(Y150)+LN(Z150)+LN(AA150)+LN(AB150)+LN(AC150)+LN(AD150))*(AH150-V7_BASE_CPR),0)</f>
        <v/>
      </c>
      <c r="AQ150" s="29">
        <f>V7_BASE_CPR+SUM(AI150:AP150)-AH150</f>
        <v/>
      </c>
    </row>
    <row r="151">
      <c r="A151" s="2" t="inlineStr">
        <is>
          <t>36291YQ59_000000003335263</t>
        </is>
      </c>
      <c r="B151" t="inlineStr">
        <is>
          <t>PNC_PRE21</t>
        </is>
      </c>
      <c r="C151" s="2" t="inlineStr">
        <is>
          <t>36291YQ59</t>
        </is>
      </c>
      <c r="D151" t="inlineStr">
        <is>
          <t>PNC BANK, NA</t>
        </is>
      </c>
      <c r="E151" t="inlineStr">
        <is>
          <t>223a7</t>
        </is>
      </c>
      <c r="F151" t="inlineStr">
        <is>
          <t>RP</t>
        </is>
      </c>
      <c r="G151" t="n">
        <v>2005</v>
      </c>
      <c r="H151" t="inlineStr">
        <is>
          <t>202602</t>
        </is>
      </c>
      <c r="I151" s="22" t="n">
        <v>318126.52</v>
      </c>
      <c r="J151" s="23" t="n">
        <v>6.45</v>
      </c>
      <c r="K151" s="24" t="n">
        <v>447</v>
      </c>
      <c r="L151" s="24" t="n">
        <v>0</v>
      </c>
      <c r="M151" t="n">
        <v>250</v>
      </c>
      <c r="N151" s="25" t="n">
        <v>87</v>
      </c>
      <c r="O151" t="n">
        <v>203505</v>
      </c>
      <c r="P151" t="inlineStr"/>
      <c r="Q151" t="inlineStr">
        <is>
          <t>3976</t>
        </is>
      </c>
      <c r="R151" s="26" t="n">
        <v>0.348</v>
      </c>
      <c r="S151" t="n">
        <v>0</v>
      </c>
      <c r="T151" s="23">
        <f>LN(1+I151)</f>
        <v/>
      </c>
      <c r="U151" s="24">
        <f>J151*100-K151</f>
        <v/>
      </c>
      <c r="V151" s="24">
        <f>U151-12.5*(L151+1)</f>
        <v/>
      </c>
      <c r="W151" s="26">
        <f>IF(M151&lt;=V7_AGE_KNOT_X_0,V7_AGE_KNOT_Y_0,IF(M151&gt;=V7_AGE_KNOT_X_5,V7_AGE_KNOT_Y_5,IF(M151&lt;=V7_AGE_KNOT_X_1,V7_AGE_KNOT_Y_0+(M151-V7_AGE_KNOT_X_0)/(V7_AGE_KNOT_X_1-V7_AGE_KNOT_X_0)*(V7_AGE_KNOT_Y_1-V7_AGE_KNOT_Y_0),IF(M151&lt;=V7_AGE_KNOT_X_2,V7_AGE_KNOT_Y_1+(M151-V7_AGE_KNOT_X_1)/(V7_AGE_KNOT_X_2-V7_AGE_KNOT_X_1)*(V7_AGE_KNOT_Y_2-V7_AGE_KNOT_Y_1),IF(M151&lt;=V7_AGE_KNOT_X_3,V7_AGE_KNOT_Y_2+(M151-V7_AGE_KNOT_X_2)/(V7_AGE_KNOT_X_3-V7_AGE_KNOT_X_2)*(V7_AGE_KNOT_Y_3-V7_AGE_KNOT_Y_2),IF(M151&lt;=V7_AGE_KNOT_X_4,V7_AGE_KNOT_Y_3+(M151-V7_AGE_KNOT_X_3)/(V7_AGE_KNOT_X_4-V7_AGE_KNOT_X_3)*(V7_AGE_KNOT_Y_4-V7_AGE_KNOT_Y_3),V7_AGE_KNOT_Y_4+(M151-V7_AGE_KNOT_X_4)/(V7_AGE_KNOT_X_5-V7_AGE_KNOT_X_4)*(V7_AGE_KNOT_Y_5-V7_AGE_KNOT_Y_4)))))))</f>
        <v/>
      </c>
      <c r="X151" s="26">
        <f>V7_RATE_FLOOR+V7_RATE_ASYMPTOTE/(1+EXP(-(V151-V7_RATE_MID)/V7_RATE_SLOPE))</f>
        <v/>
      </c>
      <c r="Y151" s="26">
        <f>MAX(V7_SIZE_LOW,MIN(V7_SIZE_HIGH,V7_SIZE_INTERCEPT+V7_SIZE_SLOPE*(T151-V7_SIZE_LOG_ANCHOR)))</f>
        <v/>
      </c>
      <c r="Z151" s="26">
        <f>IF(ISNUMBER(SEARCH("232",E151)),VLOOKUP("232",V7_PROGRAM_TABLE,2,FALSE),IF(ISNUMBER(SEARCH("538",E151)),VLOOKUP("538",V7_PROGRAM_TABLE,2,FALSE),IF(ISNUMBER(SEARCH("223a7",E151)),VLOOKUP("223a7",V7_PROGRAM_TABLE,2,FALSE),IF(ISNUMBER(SEARCH("223f",E151)),VLOOKUP("223f",V7_PROGRAM_TABLE,2,FALSE),V7_PROGRAM_DEFAULT))))</f>
        <v/>
      </c>
      <c r="AA151" s="26">
        <f>IF(S151=1,1+V7_PURPOSE_NC_BUMP*MAX(0,1-ABS(M151-V7_PURPOSE_PEAK_AGE)/V7_PURPOSE_WIDTH),1)</f>
        <v/>
      </c>
      <c r="AB151" s="26">
        <f>IF(AND(IF(OR(P151="",NOT(ISNUMBER(P151))),0,MAX(0,MIN(24,(INT(VALUE(H151)/100)-INT(P151/100))*12+MOD(VALUE(H151),100)-MOD(P151,100))))&gt;0,IF(OR(P151="",NOT(ISNUMBER(P151))),0,MAX(0,MIN(24,(INT(VALUE(H151)/100)-INT(P151/100))*12+MOD(VALUE(H151),100)-MOD(P151,100))))&lt;=12),1+V7_LOCKOUT_AMP*EXP(-(IF(OR(P151="",NOT(ISNUMBER(P151))),0,MAX(0,MIN(24,(INT(VALUE(H151)/100)-INT(P151/100))*12+MOD(VALUE(H151),100)-MOD(P151,100)))))/V7_LOCKOUT_TAU),1)</f>
        <v/>
      </c>
      <c r="AC151" s="26">
        <f>IF(IF(OR(O151="",NOT(ISNUMBER(O151))),360,MAX(0,MIN(480,(INT(O151/100)-INT(VALUE(H151)/100))*12+MOD(O151,100)-MOD(VALUE(H151),100))))&gt;0,1+V7_MTY_AMP*MAX(0,(V7_MTY_CUTOFF-(IF(OR(O151="",NOT(ISNUMBER(O151))),360,MAX(0,MIN(480,(INT(O151/100)-INT(VALUE(H151)/100))*12+MOD(O151,100)-MOD(VALUE(H151),100))))))/V7_MTY_CUTOFF),1)</f>
        <v/>
      </c>
      <c r="AD151" s="26">
        <f>MAX(V7_BURN_FLOOR,1-V7_BURN_SLOPE*MIN(1,MAX(0,R151)))</f>
        <v/>
      </c>
      <c r="AE151" s="26">
        <f>IF(V7_USE_ISSUER=1,IFERROR(VLOOKUP(Q151,V7_ISSUER_TABLE,3,FALSE),1),1)</f>
        <v/>
      </c>
      <c r="AF151" s="26">
        <f>PRODUCT(W151:AE151)</f>
        <v/>
      </c>
      <c r="AG151" s="27">
        <f>MIN(V7_BASE_SMM*AF151,V7_SMM_CAP)</f>
        <v/>
      </c>
      <c r="AH151" s="28">
        <f>1-(1-AG151)^12</f>
        <v/>
      </c>
      <c r="AI151" s="28">
        <f>IFERROR(LN(W151)/(LN(W151)+LN(X151)+LN(Y151)+LN(Z151)+LN(AA151)+LN(AB151)+LN(AC151)+LN(AD151))*(AH151-V7_BASE_CPR),0)</f>
        <v/>
      </c>
      <c r="AJ151" s="28">
        <f>IFERROR(LN(X151)/(LN(W151)+LN(X151)+LN(Y151)+LN(Z151)+LN(AA151)+LN(AB151)+LN(AC151)+LN(AD151))*(AH151-V7_BASE_CPR),0)</f>
        <v/>
      </c>
      <c r="AK151" s="28">
        <f>IFERROR(LN(Y151)/(LN(W151)+LN(X151)+LN(Y151)+LN(Z151)+LN(AA151)+LN(AB151)+LN(AC151)+LN(AD151))*(AH151-V7_BASE_CPR),0)</f>
        <v/>
      </c>
      <c r="AL151" s="28">
        <f>IFERROR(LN(Z151)/(LN(W151)+LN(X151)+LN(Y151)+LN(Z151)+LN(AA151)+LN(AB151)+LN(AC151)+LN(AD151))*(AH151-V7_BASE_CPR),0)</f>
        <v/>
      </c>
      <c r="AM151" s="28">
        <f>IFERROR(LN(AA151)/(LN(W151)+LN(X151)+LN(Y151)+LN(Z151)+LN(AA151)+LN(AB151)+LN(AC151)+LN(AD151))*(AH151-V7_BASE_CPR),0)</f>
        <v/>
      </c>
      <c r="AN151" s="28">
        <f>IFERROR(LN(AB151)/(LN(W151)+LN(X151)+LN(Y151)+LN(Z151)+LN(AA151)+LN(AB151)+LN(AC151)+LN(AD151))*(AH151-V7_BASE_CPR),0)</f>
        <v/>
      </c>
      <c r="AO151" s="28">
        <f>IFERROR(LN(AC151)/(LN(W151)+LN(X151)+LN(Y151)+LN(Z151)+LN(AA151)+LN(AB151)+LN(AC151)+LN(AD151))*(AH151-V7_BASE_CPR),0)</f>
        <v/>
      </c>
      <c r="AP151" s="28">
        <f>IFERROR(LN(AD151)/(LN(W151)+LN(X151)+LN(Y151)+LN(Z151)+LN(AA151)+LN(AB151)+LN(AC151)+LN(AD151))*(AH151-V7_BASE_CPR),0)</f>
        <v/>
      </c>
      <c r="AQ151" s="29">
        <f>V7_BASE_CPR+SUM(AI151:AP151)-AH151</f>
        <v/>
      </c>
    </row>
    <row r="152">
      <c r="A152" s="2" t="inlineStr">
        <is>
          <t>36291HS96_000000005235634</t>
        </is>
      </c>
      <c r="B152" t="inlineStr">
        <is>
          <t>PNC_PRE21</t>
        </is>
      </c>
      <c r="C152" s="2" t="inlineStr">
        <is>
          <t>36291HS96</t>
        </is>
      </c>
      <c r="D152" t="inlineStr">
        <is>
          <t>PNC BANK, NA</t>
        </is>
      </c>
      <c r="E152" t="inlineStr">
        <is>
          <t>221d4</t>
        </is>
      </c>
      <c r="F152" t="inlineStr">
        <is>
          <t>NC</t>
        </is>
      </c>
      <c r="G152" t="n">
        <v>2006</v>
      </c>
      <c r="H152" t="inlineStr">
        <is>
          <t>202602</t>
        </is>
      </c>
      <c r="I152" s="22" t="n">
        <v>3504869.26</v>
      </c>
      <c r="J152" s="23" t="n">
        <v>5.55</v>
      </c>
      <c r="K152" s="24" t="n">
        <v>447</v>
      </c>
      <c r="L152" s="24" t="n">
        <v>0</v>
      </c>
      <c r="M152" t="n">
        <v>233</v>
      </c>
      <c r="N152" s="25" t="n">
        <v>83</v>
      </c>
      <c r="O152" t="n">
        <v>204803</v>
      </c>
      <c r="P152" t="n">
        <v>201804</v>
      </c>
      <c r="Q152" t="inlineStr">
        <is>
          <t>3976</t>
        </is>
      </c>
      <c r="R152" s="26" t="n">
        <v>0.3562231759656652</v>
      </c>
      <c r="S152" t="n">
        <v>1</v>
      </c>
      <c r="T152" s="23">
        <f>LN(1+I152)</f>
        <v/>
      </c>
      <c r="U152" s="24">
        <f>J152*100-K152</f>
        <v/>
      </c>
      <c r="V152" s="24">
        <f>U152-12.5*(L152+1)</f>
        <v/>
      </c>
      <c r="W152" s="26">
        <f>IF(M152&lt;=V7_AGE_KNOT_X_0,V7_AGE_KNOT_Y_0,IF(M152&gt;=V7_AGE_KNOT_X_5,V7_AGE_KNOT_Y_5,IF(M152&lt;=V7_AGE_KNOT_X_1,V7_AGE_KNOT_Y_0+(M152-V7_AGE_KNOT_X_0)/(V7_AGE_KNOT_X_1-V7_AGE_KNOT_X_0)*(V7_AGE_KNOT_Y_1-V7_AGE_KNOT_Y_0),IF(M152&lt;=V7_AGE_KNOT_X_2,V7_AGE_KNOT_Y_1+(M152-V7_AGE_KNOT_X_1)/(V7_AGE_KNOT_X_2-V7_AGE_KNOT_X_1)*(V7_AGE_KNOT_Y_2-V7_AGE_KNOT_Y_1),IF(M152&lt;=V7_AGE_KNOT_X_3,V7_AGE_KNOT_Y_2+(M152-V7_AGE_KNOT_X_2)/(V7_AGE_KNOT_X_3-V7_AGE_KNOT_X_2)*(V7_AGE_KNOT_Y_3-V7_AGE_KNOT_Y_2),IF(M152&lt;=V7_AGE_KNOT_X_4,V7_AGE_KNOT_Y_3+(M152-V7_AGE_KNOT_X_3)/(V7_AGE_KNOT_X_4-V7_AGE_KNOT_X_3)*(V7_AGE_KNOT_Y_4-V7_AGE_KNOT_Y_3),V7_AGE_KNOT_Y_4+(M152-V7_AGE_KNOT_X_4)/(V7_AGE_KNOT_X_5-V7_AGE_KNOT_X_4)*(V7_AGE_KNOT_Y_5-V7_AGE_KNOT_Y_4)))))))</f>
        <v/>
      </c>
      <c r="X152" s="26">
        <f>V7_RATE_FLOOR+V7_RATE_ASYMPTOTE/(1+EXP(-(V152-V7_RATE_MID)/V7_RATE_SLOPE))</f>
        <v/>
      </c>
      <c r="Y152" s="26">
        <f>MAX(V7_SIZE_LOW,MIN(V7_SIZE_HIGH,V7_SIZE_INTERCEPT+V7_SIZE_SLOPE*(T152-V7_SIZE_LOG_ANCHOR)))</f>
        <v/>
      </c>
      <c r="Z152" s="26">
        <f>IF(ISNUMBER(SEARCH("232",E152)),VLOOKUP("232",V7_PROGRAM_TABLE,2,FALSE),IF(ISNUMBER(SEARCH("538",E152)),VLOOKUP("538",V7_PROGRAM_TABLE,2,FALSE),IF(ISNUMBER(SEARCH("223a7",E152)),VLOOKUP("223a7",V7_PROGRAM_TABLE,2,FALSE),IF(ISNUMBER(SEARCH("223f",E152)),VLOOKUP("223f",V7_PROGRAM_TABLE,2,FALSE),V7_PROGRAM_DEFAULT))))</f>
        <v/>
      </c>
      <c r="AA152" s="26">
        <f>IF(S152=1,1+V7_PURPOSE_NC_BUMP*MAX(0,1-ABS(M152-V7_PURPOSE_PEAK_AGE)/V7_PURPOSE_WIDTH),1)</f>
        <v/>
      </c>
      <c r="AB152" s="26">
        <f>IF(AND(IF(OR(P152="",NOT(ISNUMBER(P152))),0,MAX(0,MIN(24,(INT(VALUE(H152)/100)-INT(P152/100))*12+MOD(VALUE(H152),100)-MOD(P152,100))))&gt;0,IF(OR(P152="",NOT(ISNUMBER(P152))),0,MAX(0,MIN(24,(INT(VALUE(H152)/100)-INT(P152/100))*12+MOD(VALUE(H152),100)-MOD(P152,100))))&lt;=12),1+V7_LOCKOUT_AMP*EXP(-(IF(OR(P152="",NOT(ISNUMBER(P152))),0,MAX(0,MIN(24,(INT(VALUE(H152)/100)-INT(P152/100))*12+MOD(VALUE(H152),100)-MOD(P152,100)))))/V7_LOCKOUT_TAU),1)</f>
        <v/>
      </c>
      <c r="AC152" s="26">
        <f>IF(IF(OR(O152="",NOT(ISNUMBER(O152))),360,MAX(0,MIN(480,(INT(O152/100)-INT(VALUE(H152)/100))*12+MOD(O152,100)-MOD(VALUE(H152),100))))&gt;0,1+V7_MTY_AMP*MAX(0,(V7_MTY_CUTOFF-(IF(OR(O152="",NOT(ISNUMBER(O152))),360,MAX(0,MIN(480,(INT(O152/100)-INT(VALUE(H152)/100))*12+MOD(O152,100)-MOD(VALUE(H152),100))))))/V7_MTY_CUTOFF),1)</f>
        <v/>
      </c>
      <c r="AD152" s="26">
        <f>MAX(V7_BURN_FLOOR,1-V7_BURN_SLOPE*MIN(1,MAX(0,R152)))</f>
        <v/>
      </c>
      <c r="AE152" s="26">
        <f>IF(V7_USE_ISSUER=1,IFERROR(VLOOKUP(Q152,V7_ISSUER_TABLE,3,FALSE),1),1)</f>
        <v/>
      </c>
      <c r="AF152" s="26">
        <f>PRODUCT(W152:AE152)</f>
        <v/>
      </c>
      <c r="AG152" s="27">
        <f>MIN(V7_BASE_SMM*AF152,V7_SMM_CAP)</f>
        <v/>
      </c>
      <c r="AH152" s="28">
        <f>1-(1-AG152)^12</f>
        <v/>
      </c>
      <c r="AI152" s="28">
        <f>IFERROR(LN(W152)/(LN(W152)+LN(X152)+LN(Y152)+LN(Z152)+LN(AA152)+LN(AB152)+LN(AC152)+LN(AD152))*(AH152-V7_BASE_CPR),0)</f>
        <v/>
      </c>
      <c r="AJ152" s="28">
        <f>IFERROR(LN(X152)/(LN(W152)+LN(X152)+LN(Y152)+LN(Z152)+LN(AA152)+LN(AB152)+LN(AC152)+LN(AD152))*(AH152-V7_BASE_CPR),0)</f>
        <v/>
      </c>
      <c r="AK152" s="28">
        <f>IFERROR(LN(Y152)/(LN(W152)+LN(X152)+LN(Y152)+LN(Z152)+LN(AA152)+LN(AB152)+LN(AC152)+LN(AD152))*(AH152-V7_BASE_CPR),0)</f>
        <v/>
      </c>
      <c r="AL152" s="28">
        <f>IFERROR(LN(Z152)/(LN(W152)+LN(X152)+LN(Y152)+LN(Z152)+LN(AA152)+LN(AB152)+LN(AC152)+LN(AD152))*(AH152-V7_BASE_CPR),0)</f>
        <v/>
      </c>
      <c r="AM152" s="28">
        <f>IFERROR(LN(AA152)/(LN(W152)+LN(X152)+LN(Y152)+LN(Z152)+LN(AA152)+LN(AB152)+LN(AC152)+LN(AD152))*(AH152-V7_BASE_CPR),0)</f>
        <v/>
      </c>
      <c r="AN152" s="28">
        <f>IFERROR(LN(AB152)/(LN(W152)+LN(X152)+LN(Y152)+LN(Z152)+LN(AA152)+LN(AB152)+LN(AC152)+LN(AD152))*(AH152-V7_BASE_CPR),0)</f>
        <v/>
      </c>
      <c r="AO152" s="28">
        <f>IFERROR(LN(AC152)/(LN(W152)+LN(X152)+LN(Y152)+LN(Z152)+LN(AA152)+LN(AB152)+LN(AC152)+LN(AD152))*(AH152-V7_BASE_CPR),0)</f>
        <v/>
      </c>
      <c r="AP152" s="28">
        <f>IFERROR(LN(AD152)/(LN(W152)+LN(X152)+LN(Y152)+LN(Z152)+LN(AA152)+LN(AB152)+LN(AC152)+LN(AD152))*(AH152-V7_BASE_CPR),0)</f>
        <v/>
      </c>
      <c r="AQ152" s="29">
        <f>V7_BASE_CPR+SUM(AI152:AP152)-AH152</f>
        <v/>
      </c>
    </row>
    <row r="153">
      <c r="A153" s="2" t="inlineStr">
        <is>
          <t>36294XZW9_004033030406928</t>
        </is>
      </c>
      <c r="B153" t="inlineStr">
        <is>
          <t>PNC_PRE21</t>
        </is>
      </c>
      <c r="C153" s="2" t="inlineStr">
        <is>
          <t>36294XZW9</t>
        </is>
      </c>
      <c r="D153" t="inlineStr">
        <is>
          <t>PNC BANK, NA</t>
        </is>
      </c>
      <c r="E153" t="inlineStr">
        <is>
          <t>538</t>
        </is>
      </c>
      <c r="F153" t="inlineStr">
        <is>
          <t>538</t>
        </is>
      </c>
      <c r="G153" t="n">
        <v>2006</v>
      </c>
      <c r="H153" t="inlineStr">
        <is>
          <t>202602</t>
        </is>
      </c>
      <c r="I153" s="22" t="n">
        <v>1569603.44</v>
      </c>
      <c r="J153" s="23" t="n">
        <v>7.09</v>
      </c>
      <c r="K153" s="24" t="n">
        <v>447</v>
      </c>
      <c r="L153" s="24" t="n">
        <v>5.08</v>
      </c>
      <c r="M153" t="n">
        <v>239</v>
      </c>
      <c r="N153" s="25" t="n">
        <v>86</v>
      </c>
      <c r="O153" t="n">
        <v>204104</v>
      </c>
      <c r="P153" t="n">
        <v>202104</v>
      </c>
      <c r="Q153" t="inlineStr">
        <is>
          <t>3976</t>
        </is>
      </c>
      <c r="R153" s="26" t="n">
        <v>0.3598326359832636</v>
      </c>
      <c r="S153" t="n">
        <v>0</v>
      </c>
      <c r="T153" s="23">
        <f>LN(1+I153)</f>
        <v/>
      </c>
      <c r="U153" s="24">
        <f>J153*100-K153</f>
        <v/>
      </c>
      <c r="V153" s="24">
        <f>U153-12.5*(L153+1)</f>
        <v/>
      </c>
      <c r="W153" s="26">
        <f>IF(M153&lt;=V7_AGE_KNOT_X_0,V7_AGE_KNOT_Y_0,IF(M153&gt;=V7_AGE_KNOT_X_5,V7_AGE_KNOT_Y_5,IF(M153&lt;=V7_AGE_KNOT_X_1,V7_AGE_KNOT_Y_0+(M153-V7_AGE_KNOT_X_0)/(V7_AGE_KNOT_X_1-V7_AGE_KNOT_X_0)*(V7_AGE_KNOT_Y_1-V7_AGE_KNOT_Y_0),IF(M153&lt;=V7_AGE_KNOT_X_2,V7_AGE_KNOT_Y_1+(M153-V7_AGE_KNOT_X_1)/(V7_AGE_KNOT_X_2-V7_AGE_KNOT_X_1)*(V7_AGE_KNOT_Y_2-V7_AGE_KNOT_Y_1),IF(M153&lt;=V7_AGE_KNOT_X_3,V7_AGE_KNOT_Y_2+(M153-V7_AGE_KNOT_X_2)/(V7_AGE_KNOT_X_3-V7_AGE_KNOT_X_2)*(V7_AGE_KNOT_Y_3-V7_AGE_KNOT_Y_2),IF(M153&lt;=V7_AGE_KNOT_X_4,V7_AGE_KNOT_Y_3+(M153-V7_AGE_KNOT_X_3)/(V7_AGE_KNOT_X_4-V7_AGE_KNOT_X_3)*(V7_AGE_KNOT_Y_4-V7_AGE_KNOT_Y_3),V7_AGE_KNOT_Y_4+(M153-V7_AGE_KNOT_X_4)/(V7_AGE_KNOT_X_5-V7_AGE_KNOT_X_4)*(V7_AGE_KNOT_Y_5-V7_AGE_KNOT_Y_4)))))))</f>
        <v/>
      </c>
      <c r="X153" s="26">
        <f>V7_RATE_FLOOR+V7_RATE_ASYMPTOTE/(1+EXP(-(V153-V7_RATE_MID)/V7_RATE_SLOPE))</f>
        <v/>
      </c>
      <c r="Y153" s="26">
        <f>MAX(V7_SIZE_LOW,MIN(V7_SIZE_HIGH,V7_SIZE_INTERCEPT+V7_SIZE_SLOPE*(T153-V7_SIZE_LOG_ANCHOR)))</f>
        <v/>
      </c>
      <c r="Z153" s="26">
        <f>IF(ISNUMBER(SEARCH("232",E153)),VLOOKUP("232",V7_PROGRAM_TABLE,2,FALSE),IF(ISNUMBER(SEARCH("538",E153)),VLOOKUP("538",V7_PROGRAM_TABLE,2,FALSE),IF(ISNUMBER(SEARCH("223a7",E153)),VLOOKUP("223a7",V7_PROGRAM_TABLE,2,FALSE),IF(ISNUMBER(SEARCH("223f",E153)),VLOOKUP("223f",V7_PROGRAM_TABLE,2,FALSE),V7_PROGRAM_DEFAULT))))</f>
        <v/>
      </c>
      <c r="AA153" s="26">
        <f>IF(S153=1,1+V7_PURPOSE_NC_BUMP*MAX(0,1-ABS(M153-V7_PURPOSE_PEAK_AGE)/V7_PURPOSE_WIDTH),1)</f>
        <v/>
      </c>
      <c r="AB153" s="26">
        <f>IF(AND(IF(OR(P153="",NOT(ISNUMBER(P153))),0,MAX(0,MIN(24,(INT(VALUE(H153)/100)-INT(P153/100))*12+MOD(VALUE(H153),100)-MOD(P153,100))))&gt;0,IF(OR(P153="",NOT(ISNUMBER(P153))),0,MAX(0,MIN(24,(INT(VALUE(H153)/100)-INT(P153/100))*12+MOD(VALUE(H153),100)-MOD(P153,100))))&lt;=12),1+V7_LOCKOUT_AMP*EXP(-(IF(OR(P153="",NOT(ISNUMBER(P153))),0,MAX(0,MIN(24,(INT(VALUE(H153)/100)-INT(P153/100))*12+MOD(VALUE(H153),100)-MOD(P153,100)))))/V7_LOCKOUT_TAU),1)</f>
        <v/>
      </c>
      <c r="AC153" s="26">
        <f>IF(IF(OR(O153="",NOT(ISNUMBER(O153))),360,MAX(0,MIN(480,(INT(O153/100)-INT(VALUE(H153)/100))*12+MOD(O153,100)-MOD(VALUE(H153),100))))&gt;0,1+V7_MTY_AMP*MAX(0,(V7_MTY_CUTOFF-(IF(OR(O153="",NOT(ISNUMBER(O153))),360,MAX(0,MIN(480,(INT(O153/100)-INT(VALUE(H153)/100))*12+MOD(O153,100)-MOD(VALUE(H153),100))))))/V7_MTY_CUTOFF),1)</f>
        <v/>
      </c>
      <c r="AD153" s="26">
        <f>MAX(V7_BURN_FLOOR,1-V7_BURN_SLOPE*MIN(1,MAX(0,R153)))</f>
        <v/>
      </c>
      <c r="AE153" s="26">
        <f>IF(V7_USE_ISSUER=1,IFERROR(VLOOKUP(Q153,V7_ISSUER_TABLE,3,FALSE),1),1)</f>
        <v/>
      </c>
      <c r="AF153" s="26">
        <f>PRODUCT(W153:AE153)</f>
        <v/>
      </c>
      <c r="AG153" s="27">
        <f>MIN(V7_BASE_SMM*AF153,V7_SMM_CAP)</f>
        <v/>
      </c>
      <c r="AH153" s="28">
        <f>1-(1-AG153)^12</f>
        <v/>
      </c>
      <c r="AI153" s="28">
        <f>IFERROR(LN(W153)/(LN(W153)+LN(X153)+LN(Y153)+LN(Z153)+LN(AA153)+LN(AB153)+LN(AC153)+LN(AD153))*(AH153-V7_BASE_CPR),0)</f>
        <v/>
      </c>
      <c r="AJ153" s="28">
        <f>IFERROR(LN(X153)/(LN(W153)+LN(X153)+LN(Y153)+LN(Z153)+LN(AA153)+LN(AB153)+LN(AC153)+LN(AD153))*(AH153-V7_BASE_CPR),0)</f>
        <v/>
      </c>
      <c r="AK153" s="28">
        <f>IFERROR(LN(Y153)/(LN(W153)+LN(X153)+LN(Y153)+LN(Z153)+LN(AA153)+LN(AB153)+LN(AC153)+LN(AD153))*(AH153-V7_BASE_CPR),0)</f>
        <v/>
      </c>
      <c r="AL153" s="28">
        <f>IFERROR(LN(Z153)/(LN(W153)+LN(X153)+LN(Y153)+LN(Z153)+LN(AA153)+LN(AB153)+LN(AC153)+LN(AD153))*(AH153-V7_BASE_CPR),0)</f>
        <v/>
      </c>
      <c r="AM153" s="28">
        <f>IFERROR(LN(AA153)/(LN(W153)+LN(X153)+LN(Y153)+LN(Z153)+LN(AA153)+LN(AB153)+LN(AC153)+LN(AD153))*(AH153-V7_BASE_CPR),0)</f>
        <v/>
      </c>
      <c r="AN153" s="28">
        <f>IFERROR(LN(AB153)/(LN(W153)+LN(X153)+LN(Y153)+LN(Z153)+LN(AA153)+LN(AB153)+LN(AC153)+LN(AD153))*(AH153-V7_BASE_CPR),0)</f>
        <v/>
      </c>
      <c r="AO153" s="28">
        <f>IFERROR(LN(AC153)/(LN(W153)+LN(X153)+LN(Y153)+LN(Z153)+LN(AA153)+LN(AB153)+LN(AC153)+LN(AD153))*(AH153-V7_BASE_CPR),0)</f>
        <v/>
      </c>
      <c r="AP153" s="28">
        <f>IFERROR(LN(AD153)/(LN(W153)+LN(X153)+LN(Y153)+LN(Z153)+LN(AA153)+LN(AB153)+LN(AC153)+LN(AD153))*(AH153-V7_BASE_CPR),0)</f>
        <v/>
      </c>
      <c r="AQ153" s="29">
        <f>V7_BASE_CPR+SUM(AI153:AP153)-AH153</f>
        <v/>
      </c>
    </row>
    <row r="154">
      <c r="A154" s="2" t="inlineStr">
        <is>
          <t>3617ATL27_000000009211215</t>
        </is>
      </c>
      <c r="B154" t="inlineStr">
        <is>
          <t>PNC_PRE21</t>
        </is>
      </c>
      <c r="C154" s="2" t="inlineStr">
        <is>
          <t>3617ATL27</t>
        </is>
      </c>
      <c r="D154" t="inlineStr">
        <is>
          <t>PNC BANK, NA</t>
        </is>
      </c>
      <c r="E154" t="inlineStr">
        <is>
          <t>223f</t>
        </is>
      </c>
      <c r="F154" t="inlineStr">
        <is>
          <t>RP</t>
        </is>
      </c>
      <c r="G154" t="n">
        <v>2017</v>
      </c>
      <c r="H154" t="inlineStr">
        <is>
          <t>202602</t>
        </is>
      </c>
      <c r="I154" s="22" t="n">
        <v>893861.5699999999</v>
      </c>
      <c r="J154" s="23" t="n">
        <v>3.9</v>
      </c>
      <c r="K154" s="24" t="n">
        <v>447</v>
      </c>
      <c r="L154" s="24" t="n">
        <v>2</v>
      </c>
      <c r="M154" t="n">
        <v>98</v>
      </c>
      <c r="N154" s="25" t="n">
        <v>30</v>
      </c>
      <c r="O154" t="n">
        <v>204109</v>
      </c>
      <c r="P154" t="inlineStr"/>
      <c r="Q154" t="inlineStr">
        <is>
          <t>3976</t>
        </is>
      </c>
      <c r="R154" s="26" t="n">
        <v>0.3061224489795918</v>
      </c>
      <c r="S154" t="n">
        <v>0</v>
      </c>
      <c r="T154" s="23">
        <f>LN(1+I154)</f>
        <v/>
      </c>
      <c r="U154" s="24">
        <f>J154*100-K154</f>
        <v/>
      </c>
      <c r="V154" s="24">
        <f>U154-12.5*(L154+1)</f>
        <v/>
      </c>
      <c r="W154" s="26">
        <f>IF(M154&lt;=V7_AGE_KNOT_X_0,V7_AGE_KNOT_Y_0,IF(M154&gt;=V7_AGE_KNOT_X_5,V7_AGE_KNOT_Y_5,IF(M154&lt;=V7_AGE_KNOT_X_1,V7_AGE_KNOT_Y_0+(M154-V7_AGE_KNOT_X_0)/(V7_AGE_KNOT_X_1-V7_AGE_KNOT_X_0)*(V7_AGE_KNOT_Y_1-V7_AGE_KNOT_Y_0),IF(M154&lt;=V7_AGE_KNOT_X_2,V7_AGE_KNOT_Y_1+(M154-V7_AGE_KNOT_X_1)/(V7_AGE_KNOT_X_2-V7_AGE_KNOT_X_1)*(V7_AGE_KNOT_Y_2-V7_AGE_KNOT_Y_1),IF(M154&lt;=V7_AGE_KNOT_X_3,V7_AGE_KNOT_Y_2+(M154-V7_AGE_KNOT_X_2)/(V7_AGE_KNOT_X_3-V7_AGE_KNOT_X_2)*(V7_AGE_KNOT_Y_3-V7_AGE_KNOT_Y_2),IF(M154&lt;=V7_AGE_KNOT_X_4,V7_AGE_KNOT_Y_3+(M154-V7_AGE_KNOT_X_3)/(V7_AGE_KNOT_X_4-V7_AGE_KNOT_X_3)*(V7_AGE_KNOT_Y_4-V7_AGE_KNOT_Y_3),V7_AGE_KNOT_Y_4+(M154-V7_AGE_KNOT_X_4)/(V7_AGE_KNOT_X_5-V7_AGE_KNOT_X_4)*(V7_AGE_KNOT_Y_5-V7_AGE_KNOT_Y_4)))))))</f>
        <v/>
      </c>
      <c r="X154" s="26">
        <f>V7_RATE_FLOOR+V7_RATE_ASYMPTOTE/(1+EXP(-(V154-V7_RATE_MID)/V7_RATE_SLOPE))</f>
        <v/>
      </c>
      <c r="Y154" s="26">
        <f>MAX(V7_SIZE_LOW,MIN(V7_SIZE_HIGH,V7_SIZE_INTERCEPT+V7_SIZE_SLOPE*(T154-V7_SIZE_LOG_ANCHOR)))</f>
        <v/>
      </c>
      <c r="Z154" s="26">
        <f>IF(ISNUMBER(SEARCH("232",E154)),VLOOKUP("232",V7_PROGRAM_TABLE,2,FALSE),IF(ISNUMBER(SEARCH("538",E154)),VLOOKUP("538",V7_PROGRAM_TABLE,2,FALSE),IF(ISNUMBER(SEARCH("223a7",E154)),VLOOKUP("223a7",V7_PROGRAM_TABLE,2,FALSE),IF(ISNUMBER(SEARCH("223f",E154)),VLOOKUP("223f",V7_PROGRAM_TABLE,2,FALSE),V7_PROGRAM_DEFAULT))))</f>
        <v/>
      </c>
      <c r="AA154" s="26">
        <f>IF(S154=1,1+V7_PURPOSE_NC_BUMP*MAX(0,1-ABS(M154-V7_PURPOSE_PEAK_AGE)/V7_PURPOSE_WIDTH),1)</f>
        <v/>
      </c>
      <c r="AB154" s="26">
        <f>IF(AND(IF(OR(P154="",NOT(ISNUMBER(P154))),0,MAX(0,MIN(24,(INT(VALUE(H154)/100)-INT(P154/100))*12+MOD(VALUE(H154),100)-MOD(P154,100))))&gt;0,IF(OR(P154="",NOT(ISNUMBER(P154))),0,MAX(0,MIN(24,(INT(VALUE(H154)/100)-INT(P154/100))*12+MOD(VALUE(H154),100)-MOD(P154,100))))&lt;=12),1+V7_LOCKOUT_AMP*EXP(-(IF(OR(P154="",NOT(ISNUMBER(P154))),0,MAX(0,MIN(24,(INT(VALUE(H154)/100)-INT(P154/100))*12+MOD(VALUE(H154),100)-MOD(P154,100)))))/V7_LOCKOUT_TAU),1)</f>
        <v/>
      </c>
      <c r="AC154" s="26">
        <f>IF(IF(OR(O154="",NOT(ISNUMBER(O154))),360,MAX(0,MIN(480,(INT(O154/100)-INT(VALUE(H154)/100))*12+MOD(O154,100)-MOD(VALUE(H154),100))))&gt;0,1+V7_MTY_AMP*MAX(0,(V7_MTY_CUTOFF-(IF(OR(O154="",NOT(ISNUMBER(O154))),360,MAX(0,MIN(480,(INT(O154/100)-INT(VALUE(H154)/100))*12+MOD(O154,100)-MOD(VALUE(H154),100))))))/V7_MTY_CUTOFF),1)</f>
        <v/>
      </c>
      <c r="AD154" s="26">
        <f>MAX(V7_BURN_FLOOR,1-V7_BURN_SLOPE*MIN(1,MAX(0,R154)))</f>
        <v/>
      </c>
      <c r="AE154" s="26">
        <f>IF(V7_USE_ISSUER=1,IFERROR(VLOOKUP(Q154,V7_ISSUER_TABLE,3,FALSE),1),1)</f>
        <v/>
      </c>
      <c r="AF154" s="26">
        <f>PRODUCT(W154:AE154)</f>
        <v/>
      </c>
      <c r="AG154" s="27">
        <f>MIN(V7_BASE_SMM*AF154,V7_SMM_CAP)</f>
        <v/>
      </c>
      <c r="AH154" s="28">
        <f>1-(1-AG154)^12</f>
        <v/>
      </c>
      <c r="AI154" s="28">
        <f>IFERROR(LN(W154)/(LN(W154)+LN(X154)+LN(Y154)+LN(Z154)+LN(AA154)+LN(AB154)+LN(AC154)+LN(AD154))*(AH154-V7_BASE_CPR),0)</f>
        <v/>
      </c>
      <c r="AJ154" s="28">
        <f>IFERROR(LN(X154)/(LN(W154)+LN(X154)+LN(Y154)+LN(Z154)+LN(AA154)+LN(AB154)+LN(AC154)+LN(AD154))*(AH154-V7_BASE_CPR),0)</f>
        <v/>
      </c>
      <c r="AK154" s="28">
        <f>IFERROR(LN(Y154)/(LN(W154)+LN(X154)+LN(Y154)+LN(Z154)+LN(AA154)+LN(AB154)+LN(AC154)+LN(AD154))*(AH154-V7_BASE_CPR),0)</f>
        <v/>
      </c>
      <c r="AL154" s="28">
        <f>IFERROR(LN(Z154)/(LN(W154)+LN(X154)+LN(Y154)+LN(Z154)+LN(AA154)+LN(AB154)+LN(AC154)+LN(AD154))*(AH154-V7_BASE_CPR),0)</f>
        <v/>
      </c>
      <c r="AM154" s="28">
        <f>IFERROR(LN(AA154)/(LN(W154)+LN(X154)+LN(Y154)+LN(Z154)+LN(AA154)+LN(AB154)+LN(AC154)+LN(AD154))*(AH154-V7_BASE_CPR),0)</f>
        <v/>
      </c>
      <c r="AN154" s="28">
        <f>IFERROR(LN(AB154)/(LN(W154)+LN(X154)+LN(Y154)+LN(Z154)+LN(AA154)+LN(AB154)+LN(AC154)+LN(AD154))*(AH154-V7_BASE_CPR),0)</f>
        <v/>
      </c>
      <c r="AO154" s="28">
        <f>IFERROR(LN(AC154)/(LN(W154)+LN(X154)+LN(Y154)+LN(Z154)+LN(AA154)+LN(AB154)+LN(AC154)+LN(AD154))*(AH154-V7_BASE_CPR),0)</f>
        <v/>
      </c>
      <c r="AP154" s="28">
        <f>IFERROR(LN(AD154)/(LN(W154)+LN(X154)+LN(Y154)+LN(Z154)+LN(AA154)+LN(AB154)+LN(AC154)+LN(AD154))*(AH154-V7_BASE_CPR),0)</f>
        <v/>
      </c>
      <c r="AQ154" s="29">
        <f>V7_BASE_CPR+SUM(AI154:AP154)-AH154</f>
        <v/>
      </c>
    </row>
    <row r="155">
      <c r="A155" s="2" t="inlineStr">
        <is>
          <t>3617XD5H2_000000006611270</t>
        </is>
      </c>
      <c r="B155" t="inlineStr">
        <is>
          <t>PNC_POST21</t>
        </is>
      </c>
      <c r="C155" s="2" t="inlineStr">
        <is>
          <t>3617XD5H2</t>
        </is>
      </c>
      <c r="D155" t="inlineStr">
        <is>
          <t>PNC BANK, NA</t>
        </is>
      </c>
      <c r="E155" t="inlineStr">
        <is>
          <t>223f</t>
        </is>
      </c>
      <c r="F155" t="inlineStr">
        <is>
          <t>RP</t>
        </is>
      </c>
      <c r="G155" t="n">
        <v>2022</v>
      </c>
      <c r="H155" t="inlineStr">
        <is>
          <t>202602</t>
        </is>
      </c>
      <c r="I155" s="22" t="n">
        <v>4429820.32</v>
      </c>
      <c r="J155" s="23" t="n">
        <v>2.98</v>
      </c>
      <c r="K155" s="24" t="n">
        <v>447</v>
      </c>
      <c r="L155" s="24" t="n">
        <v>7</v>
      </c>
      <c r="M155" t="n">
        <v>45</v>
      </c>
      <c r="N155" s="25" t="n">
        <v>0</v>
      </c>
      <c r="O155" t="n">
        <v>204706</v>
      </c>
      <c r="P155" t="inlineStr"/>
      <c r="Q155" t="inlineStr">
        <is>
          <t>3976</t>
        </is>
      </c>
      <c r="R155" s="26" t="n">
        <v>0</v>
      </c>
      <c r="S155" t="n">
        <v>0</v>
      </c>
      <c r="T155" s="23">
        <f>LN(1+I155)</f>
        <v/>
      </c>
      <c r="U155" s="24">
        <f>J155*100-K155</f>
        <v/>
      </c>
      <c r="V155" s="24">
        <f>U155-12.5*(L155+1)</f>
        <v/>
      </c>
      <c r="W155" s="26">
        <f>IF(M155&lt;=V7_AGE_KNOT_X_0,V7_AGE_KNOT_Y_0,IF(M155&gt;=V7_AGE_KNOT_X_5,V7_AGE_KNOT_Y_5,IF(M155&lt;=V7_AGE_KNOT_X_1,V7_AGE_KNOT_Y_0+(M155-V7_AGE_KNOT_X_0)/(V7_AGE_KNOT_X_1-V7_AGE_KNOT_X_0)*(V7_AGE_KNOT_Y_1-V7_AGE_KNOT_Y_0),IF(M155&lt;=V7_AGE_KNOT_X_2,V7_AGE_KNOT_Y_1+(M155-V7_AGE_KNOT_X_1)/(V7_AGE_KNOT_X_2-V7_AGE_KNOT_X_1)*(V7_AGE_KNOT_Y_2-V7_AGE_KNOT_Y_1),IF(M155&lt;=V7_AGE_KNOT_X_3,V7_AGE_KNOT_Y_2+(M155-V7_AGE_KNOT_X_2)/(V7_AGE_KNOT_X_3-V7_AGE_KNOT_X_2)*(V7_AGE_KNOT_Y_3-V7_AGE_KNOT_Y_2),IF(M155&lt;=V7_AGE_KNOT_X_4,V7_AGE_KNOT_Y_3+(M155-V7_AGE_KNOT_X_3)/(V7_AGE_KNOT_X_4-V7_AGE_KNOT_X_3)*(V7_AGE_KNOT_Y_4-V7_AGE_KNOT_Y_3),V7_AGE_KNOT_Y_4+(M155-V7_AGE_KNOT_X_4)/(V7_AGE_KNOT_X_5-V7_AGE_KNOT_X_4)*(V7_AGE_KNOT_Y_5-V7_AGE_KNOT_Y_4)))))))</f>
        <v/>
      </c>
      <c r="X155" s="26">
        <f>V7_RATE_FLOOR+V7_RATE_ASYMPTOTE/(1+EXP(-(V155-V7_RATE_MID)/V7_RATE_SLOPE))</f>
        <v/>
      </c>
      <c r="Y155" s="26">
        <f>MAX(V7_SIZE_LOW,MIN(V7_SIZE_HIGH,V7_SIZE_INTERCEPT+V7_SIZE_SLOPE*(T155-V7_SIZE_LOG_ANCHOR)))</f>
        <v/>
      </c>
      <c r="Z155" s="26">
        <f>IF(ISNUMBER(SEARCH("232",E155)),VLOOKUP("232",V7_PROGRAM_TABLE,2,FALSE),IF(ISNUMBER(SEARCH("538",E155)),VLOOKUP("538",V7_PROGRAM_TABLE,2,FALSE),IF(ISNUMBER(SEARCH("223a7",E155)),VLOOKUP("223a7",V7_PROGRAM_TABLE,2,FALSE),IF(ISNUMBER(SEARCH("223f",E155)),VLOOKUP("223f",V7_PROGRAM_TABLE,2,FALSE),V7_PROGRAM_DEFAULT))))</f>
        <v/>
      </c>
      <c r="AA155" s="26">
        <f>IF(S155=1,1+V7_PURPOSE_NC_BUMP*MAX(0,1-ABS(M155-V7_PURPOSE_PEAK_AGE)/V7_PURPOSE_WIDTH),1)</f>
        <v/>
      </c>
      <c r="AB155" s="26">
        <f>IF(AND(IF(OR(P155="",NOT(ISNUMBER(P155))),0,MAX(0,MIN(24,(INT(VALUE(H155)/100)-INT(P155/100))*12+MOD(VALUE(H155),100)-MOD(P155,100))))&gt;0,IF(OR(P155="",NOT(ISNUMBER(P155))),0,MAX(0,MIN(24,(INT(VALUE(H155)/100)-INT(P155/100))*12+MOD(VALUE(H155),100)-MOD(P155,100))))&lt;=12),1+V7_LOCKOUT_AMP*EXP(-(IF(OR(P155="",NOT(ISNUMBER(P155))),0,MAX(0,MIN(24,(INT(VALUE(H155)/100)-INT(P155/100))*12+MOD(VALUE(H155),100)-MOD(P155,100)))))/V7_LOCKOUT_TAU),1)</f>
        <v/>
      </c>
      <c r="AC155" s="26">
        <f>IF(IF(OR(O155="",NOT(ISNUMBER(O155))),360,MAX(0,MIN(480,(INT(O155/100)-INT(VALUE(H155)/100))*12+MOD(O155,100)-MOD(VALUE(H155),100))))&gt;0,1+V7_MTY_AMP*MAX(0,(V7_MTY_CUTOFF-(IF(OR(O155="",NOT(ISNUMBER(O155))),360,MAX(0,MIN(480,(INT(O155/100)-INT(VALUE(H155)/100))*12+MOD(O155,100)-MOD(VALUE(H155),100))))))/V7_MTY_CUTOFF),1)</f>
        <v/>
      </c>
      <c r="AD155" s="26">
        <f>MAX(V7_BURN_FLOOR,1-V7_BURN_SLOPE*MIN(1,MAX(0,R155)))</f>
        <v/>
      </c>
      <c r="AE155" s="26">
        <f>IF(V7_USE_ISSUER=1,IFERROR(VLOOKUP(Q155,V7_ISSUER_TABLE,3,FALSE),1),1)</f>
        <v/>
      </c>
      <c r="AF155" s="26">
        <f>PRODUCT(W155:AE155)</f>
        <v/>
      </c>
      <c r="AG155" s="27">
        <f>MIN(V7_BASE_SMM*AF155,V7_SMM_CAP)</f>
        <v/>
      </c>
      <c r="AH155" s="28">
        <f>1-(1-AG155)^12</f>
        <v/>
      </c>
      <c r="AI155" s="28">
        <f>IFERROR(LN(W155)/(LN(W155)+LN(X155)+LN(Y155)+LN(Z155)+LN(AA155)+LN(AB155)+LN(AC155)+LN(AD155))*(AH155-V7_BASE_CPR),0)</f>
        <v/>
      </c>
      <c r="AJ155" s="28">
        <f>IFERROR(LN(X155)/(LN(W155)+LN(X155)+LN(Y155)+LN(Z155)+LN(AA155)+LN(AB155)+LN(AC155)+LN(AD155))*(AH155-V7_BASE_CPR),0)</f>
        <v/>
      </c>
      <c r="AK155" s="28">
        <f>IFERROR(LN(Y155)/(LN(W155)+LN(X155)+LN(Y155)+LN(Z155)+LN(AA155)+LN(AB155)+LN(AC155)+LN(AD155))*(AH155-V7_BASE_CPR),0)</f>
        <v/>
      </c>
      <c r="AL155" s="28">
        <f>IFERROR(LN(Z155)/(LN(W155)+LN(X155)+LN(Y155)+LN(Z155)+LN(AA155)+LN(AB155)+LN(AC155)+LN(AD155))*(AH155-V7_BASE_CPR),0)</f>
        <v/>
      </c>
      <c r="AM155" s="28">
        <f>IFERROR(LN(AA155)/(LN(W155)+LN(X155)+LN(Y155)+LN(Z155)+LN(AA155)+LN(AB155)+LN(AC155)+LN(AD155))*(AH155-V7_BASE_CPR),0)</f>
        <v/>
      </c>
      <c r="AN155" s="28">
        <f>IFERROR(LN(AB155)/(LN(W155)+LN(X155)+LN(Y155)+LN(Z155)+LN(AA155)+LN(AB155)+LN(AC155)+LN(AD155))*(AH155-V7_BASE_CPR),0)</f>
        <v/>
      </c>
      <c r="AO155" s="28">
        <f>IFERROR(LN(AC155)/(LN(W155)+LN(X155)+LN(Y155)+LN(Z155)+LN(AA155)+LN(AB155)+LN(AC155)+LN(AD155))*(AH155-V7_BASE_CPR),0)</f>
        <v/>
      </c>
      <c r="AP155" s="28">
        <f>IFERROR(LN(AD155)/(LN(W155)+LN(X155)+LN(Y155)+LN(Z155)+LN(AA155)+LN(AB155)+LN(AC155)+LN(AD155))*(AH155-V7_BASE_CPR),0)</f>
        <v/>
      </c>
      <c r="AQ155" s="29">
        <f>V7_BASE_CPR+SUM(AI155:AP155)-AH155</f>
        <v/>
      </c>
    </row>
    <row r="156">
      <c r="A156" s="2" t="inlineStr">
        <is>
          <t>36295GYK2_000000001438006</t>
        </is>
      </c>
      <c r="B156" t="inlineStr">
        <is>
          <t>PNC_PRE21</t>
        </is>
      </c>
      <c r="C156" s="2" t="inlineStr">
        <is>
          <t>36295GYK2</t>
        </is>
      </c>
      <c r="D156" t="inlineStr">
        <is>
          <t>PNC BANK, NA</t>
        </is>
      </c>
      <c r="E156" t="inlineStr">
        <is>
          <t>223a7</t>
        </is>
      </c>
      <c r="F156" t="inlineStr">
        <is>
          <t>RP</t>
        </is>
      </c>
      <c r="G156" t="n">
        <v>2008</v>
      </c>
      <c r="H156" t="inlineStr">
        <is>
          <t>202602</t>
        </is>
      </c>
      <c r="I156" s="22" t="n">
        <v>773318.4</v>
      </c>
      <c r="J156" s="23" t="n">
        <v>6.22</v>
      </c>
      <c r="K156" s="24" t="n">
        <v>447</v>
      </c>
      <c r="L156" s="24" t="n">
        <v>0</v>
      </c>
      <c r="M156" t="n">
        <v>213</v>
      </c>
      <c r="N156" s="25" t="n">
        <v>86</v>
      </c>
      <c r="O156" t="n">
        <v>203111</v>
      </c>
      <c r="P156" t="n">
        <v>201307</v>
      </c>
      <c r="Q156" t="inlineStr">
        <is>
          <t>3976</t>
        </is>
      </c>
      <c r="R156" s="26" t="n">
        <v>0.4037558685446009</v>
      </c>
      <c r="S156" t="n">
        <v>0</v>
      </c>
      <c r="T156" s="23">
        <f>LN(1+I156)</f>
        <v/>
      </c>
      <c r="U156" s="24">
        <f>J156*100-K156</f>
        <v/>
      </c>
      <c r="V156" s="24">
        <f>U156-12.5*(L156+1)</f>
        <v/>
      </c>
      <c r="W156" s="26">
        <f>IF(M156&lt;=V7_AGE_KNOT_X_0,V7_AGE_KNOT_Y_0,IF(M156&gt;=V7_AGE_KNOT_X_5,V7_AGE_KNOT_Y_5,IF(M156&lt;=V7_AGE_KNOT_X_1,V7_AGE_KNOT_Y_0+(M156-V7_AGE_KNOT_X_0)/(V7_AGE_KNOT_X_1-V7_AGE_KNOT_X_0)*(V7_AGE_KNOT_Y_1-V7_AGE_KNOT_Y_0),IF(M156&lt;=V7_AGE_KNOT_X_2,V7_AGE_KNOT_Y_1+(M156-V7_AGE_KNOT_X_1)/(V7_AGE_KNOT_X_2-V7_AGE_KNOT_X_1)*(V7_AGE_KNOT_Y_2-V7_AGE_KNOT_Y_1),IF(M156&lt;=V7_AGE_KNOT_X_3,V7_AGE_KNOT_Y_2+(M156-V7_AGE_KNOT_X_2)/(V7_AGE_KNOT_X_3-V7_AGE_KNOT_X_2)*(V7_AGE_KNOT_Y_3-V7_AGE_KNOT_Y_2),IF(M156&lt;=V7_AGE_KNOT_X_4,V7_AGE_KNOT_Y_3+(M156-V7_AGE_KNOT_X_3)/(V7_AGE_KNOT_X_4-V7_AGE_KNOT_X_3)*(V7_AGE_KNOT_Y_4-V7_AGE_KNOT_Y_3),V7_AGE_KNOT_Y_4+(M156-V7_AGE_KNOT_X_4)/(V7_AGE_KNOT_X_5-V7_AGE_KNOT_X_4)*(V7_AGE_KNOT_Y_5-V7_AGE_KNOT_Y_4)))))))</f>
        <v/>
      </c>
      <c r="X156" s="26">
        <f>V7_RATE_FLOOR+V7_RATE_ASYMPTOTE/(1+EXP(-(V156-V7_RATE_MID)/V7_RATE_SLOPE))</f>
        <v/>
      </c>
      <c r="Y156" s="26">
        <f>MAX(V7_SIZE_LOW,MIN(V7_SIZE_HIGH,V7_SIZE_INTERCEPT+V7_SIZE_SLOPE*(T156-V7_SIZE_LOG_ANCHOR)))</f>
        <v/>
      </c>
      <c r="Z156" s="26">
        <f>IF(ISNUMBER(SEARCH("232",E156)),VLOOKUP("232",V7_PROGRAM_TABLE,2,FALSE),IF(ISNUMBER(SEARCH("538",E156)),VLOOKUP("538",V7_PROGRAM_TABLE,2,FALSE),IF(ISNUMBER(SEARCH("223a7",E156)),VLOOKUP("223a7",V7_PROGRAM_TABLE,2,FALSE),IF(ISNUMBER(SEARCH("223f",E156)),VLOOKUP("223f",V7_PROGRAM_TABLE,2,FALSE),V7_PROGRAM_DEFAULT))))</f>
        <v/>
      </c>
      <c r="AA156" s="26">
        <f>IF(S156=1,1+V7_PURPOSE_NC_BUMP*MAX(0,1-ABS(M156-V7_PURPOSE_PEAK_AGE)/V7_PURPOSE_WIDTH),1)</f>
        <v/>
      </c>
      <c r="AB156" s="26">
        <f>IF(AND(IF(OR(P156="",NOT(ISNUMBER(P156))),0,MAX(0,MIN(24,(INT(VALUE(H156)/100)-INT(P156/100))*12+MOD(VALUE(H156),100)-MOD(P156,100))))&gt;0,IF(OR(P156="",NOT(ISNUMBER(P156))),0,MAX(0,MIN(24,(INT(VALUE(H156)/100)-INT(P156/100))*12+MOD(VALUE(H156),100)-MOD(P156,100))))&lt;=12),1+V7_LOCKOUT_AMP*EXP(-(IF(OR(P156="",NOT(ISNUMBER(P156))),0,MAX(0,MIN(24,(INT(VALUE(H156)/100)-INT(P156/100))*12+MOD(VALUE(H156),100)-MOD(P156,100)))))/V7_LOCKOUT_TAU),1)</f>
        <v/>
      </c>
      <c r="AC156" s="26">
        <f>IF(IF(OR(O156="",NOT(ISNUMBER(O156))),360,MAX(0,MIN(480,(INT(O156/100)-INT(VALUE(H156)/100))*12+MOD(O156,100)-MOD(VALUE(H156),100))))&gt;0,1+V7_MTY_AMP*MAX(0,(V7_MTY_CUTOFF-(IF(OR(O156="",NOT(ISNUMBER(O156))),360,MAX(0,MIN(480,(INT(O156/100)-INT(VALUE(H156)/100))*12+MOD(O156,100)-MOD(VALUE(H156),100))))))/V7_MTY_CUTOFF),1)</f>
        <v/>
      </c>
      <c r="AD156" s="26">
        <f>MAX(V7_BURN_FLOOR,1-V7_BURN_SLOPE*MIN(1,MAX(0,R156)))</f>
        <v/>
      </c>
      <c r="AE156" s="26">
        <f>IF(V7_USE_ISSUER=1,IFERROR(VLOOKUP(Q156,V7_ISSUER_TABLE,3,FALSE),1),1)</f>
        <v/>
      </c>
      <c r="AF156" s="26">
        <f>PRODUCT(W156:AE156)</f>
        <v/>
      </c>
      <c r="AG156" s="27">
        <f>MIN(V7_BASE_SMM*AF156,V7_SMM_CAP)</f>
        <v/>
      </c>
      <c r="AH156" s="28">
        <f>1-(1-AG156)^12</f>
        <v/>
      </c>
      <c r="AI156" s="28">
        <f>IFERROR(LN(W156)/(LN(W156)+LN(X156)+LN(Y156)+LN(Z156)+LN(AA156)+LN(AB156)+LN(AC156)+LN(AD156))*(AH156-V7_BASE_CPR),0)</f>
        <v/>
      </c>
      <c r="AJ156" s="28">
        <f>IFERROR(LN(X156)/(LN(W156)+LN(X156)+LN(Y156)+LN(Z156)+LN(AA156)+LN(AB156)+LN(AC156)+LN(AD156))*(AH156-V7_BASE_CPR),0)</f>
        <v/>
      </c>
      <c r="AK156" s="28">
        <f>IFERROR(LN(Y156)/(LN(W156)+LN(X156)+LN(Y156)+LN(Z156)+LN(AA156)+LN(AB156)+LN(AC156)+LN(AD156))*(AH156-V7_BASE_CPR),0)</f>
        <v/>
      </c>
      <c r="AL156" s="28">
        <f>IFERROR(LN(Z156)/(LN(W156)+LN(X156)+LN(Y156)+LN(Z156)+LN(AA156)+LN(AB156)+LN(AC156)+LN(AD156))*(AH156-V7_BASE_CPR),0)</f>
        <v/>
      </c>
      <c r="AM156" s="28">
        <f>IFERROR(LN(AA156)/(LN(W156)+LN(X156)+LN(Y156)+LN(Z156)+LN(AA156)+LN(AB156)+LN(AC156)+LN(AD156))*(AH156-V7_BASE_CPR),0)</f>
        <v/>
      </c>
      <c r="AN156" s="28">
        <f>IFERROR(LN(AB156)/(LN(W156)+LN(X156)+LN(Y156)+LN(Z156)+LN(AA156)+LN(AB156)+LN(AC156)+LN(AD156))*(AH156-V7_BASE_CPR),0)</f>
        <v/>
      </c>
      <c r="AO156" s="28">
        <f>IFERROR(LN(AC156)/(LN(W156)+LN(X156)+LN(Y156)+LN(Z156)+LN(AA156)+LN(AB156)+LN(AC156)+LN(AD156))*(AH156-V7_BASE_CPR),0)</f>
        <v/>
      </c>
      <c r="AP156" s="28">
        <f>IFERROR(LN(AD156)/(LN(W156)+LN(X156)+LN(Y156)+LN(Z156)+LN(AA156)+LN(AB156)+LN(AC156)+LN(AD156))*(AH156-V7_BASE_CPR),0)</f>
        <v/>
      </c>
      <c r="AQ156" s="29">
        <f>V7_BASE_CPR+SUM(AI156:AP156)-AH156</f>
        <v/>
      </c>
    </row>
    <row r="157">
      <c r="A157" s="2" t="inlineStr">
        <is>
          <t>3617XKQK6_000000005411219</t>
        </is>
      </c>
      <c r="B157" t="inlineStr">
        <is>
          <t>WELLS_POST21</t>
        </is>
      </c>
      <c r="C157" s="2" t="inlineStr">
        <is>
          <t>3617XKQK6</t>
        </is>
      </c>
      <c r="D157" t="inlineStr">
        <is>
          <t>WELLS FARGO BANK, N.A.</t>
        </is>
      </c>
      <c r="E157" t="inlineStr">
        <is>
          <t>223f</t>
        </is>
      </c>
      <c r="F157" t="inlineStr">
        <is>
          <t>RP</t>
        </is>
      </c>
      <c r="G157" t="n">
        <v>2022</v>
      </c>
      <c r="H157" t="inlineStr">
        <is>
          <t>202602</t>
        </is>
      </c>
      <c r="I157" s="22" t="n">
        <v>19256440.04</v>
      </c>
      <c r="J157" s="23" t="n">
        <v>2.19</v>
      </c>
      <c r="K157" s="24" t="n">
        <v>447</v>
      </c>
      <c r="L157" s="24" t="n">
        <v>7</v>
      </c>
      <c r="M157" t="n">
        <v>48</v>
      </c>
      <c r="N157" s="25" t="n">
        <v>0</v>
      </c>
      <c r="O157" t="n">
        <v>205703</v>
      </c>
      <c r="P157" t="inlineStr"/>
      <c r="Q157" t="inlineStr">
        <is>
          <t>3998</t>
        </is>
      </c>
      <c r="R157" s="26" t="n">
        <v>0</v>
      </c>
      <c r="S157" t="n">
        <v>0</v>
      </c>
      <c r="T157" s="23">
        <f>LN(1+I157)</f>
        <v/>
      </c>
      <c r="U157" s="24">
        <f>J157*100-K157</f>
        <v/>
      </c>
      <c r="V157" s="24">
        <f>U157-12.5*(L157+1)</f>
        <v/>
      </c>
      <c r="W157" s="26">
        <f>IF(M157&lt;=V7_AGE_KNOT_X_0,V7_AGE_KNOT_Y_0,IF(M157&gt;=V7_AGE_KNOT_X_5,V7_AGE_KNOT_Y_5,IF(M157&lt;=V7_AGE_KNOT_X_1,V7_AGE_KNOT_Y_0+(M157-V7_AGE_KNOT_X_0)/(V7_AGE_KNOT_X_1-V7_AGE_KNOT_X_0)*(V7_AGE_KNOT_Y_1-V7_AGE_KNOT_Y_0),IF(M157&lt;=V7_AGE_KNOT_X_2,V7_AGE_KNOT_Y_1+(M157-V7_AGE_KNOT_X_1)/(V7_AGE_KNOT_X_2-V7_AGE_KNOT_X_1)*(V7_AGE_KNOT_Y_2-V7_AGE_KNOT_Y_1),IF(M157&lt;=V7_AGE_KNOT_X_3,V7_AGE_KNOT_Y_2+(M157-V7_AGE_KNOT_X_2)/(V7_AGE_KNOT_X_3-V7_AGE_KNOT_X_2)*(V7_AGE_KNOT_Y_3-V7_AGE_KNOT_Y_2),IF(M157&lt;=V7_AGE_KNOT_X_4,V7_AGE_KNOT_Y_3+(M157-V7_AGE_KNOT_X_3)/(V7_AGE_KNOT_X_4-V7_AGE_KNOT_X_3)*(V7_AGE_KNOT_Y_4-V7_AGE_KNOT_Y_3),V7_AGE_KNOT_Y_4+(M157-V7_AGE_KNOT_X_4)/(V7_AGE_KNOT_X_5-V7_AGE_KNOT_X_4)*(V7_AGE_KNOT_Y_5-V7_AGE_KNOT_Y_4)))))))</f>
        <v/>
      </c>
      <c r="X157" s="26">
        <f>V7_RATE_FLOOR+V7_RATE_ASYMPTOTE/(1+EXP(-(V157-V7_RATE_MID)/V7_RATE_SLOPE))</f>
        <v/>
      </c>
      <c r="Y157" s="26">
        <f>MAX(V7_SIZE_LOW,MIN(V7_SIZE_HIGH,V7_SIZE_INTERCEPT+V7_SIZE_SLOPE*(T157-V7_SIZE_LOG_ANCHOR)))</f>
        <v/>
      </c>
      <c r="Z157" s="26">
        <f>IF(ISNUMBER(SEARCH("232",E157)),VLOOKUP("232",V7_PROGRAM_TABLE,2,FALSE),IF(ISNUMBER(SEARCH("538",E157)),VLOOKUP("538",V7_PROGRAM_TABLE,2,FALSE),IF(ISNUMBER(SEARCH("223a7",E157)),VLOOKUP("223a7",V7_PROGRAM_TABLE,2,FALSE),IF(ISNUMBER(SEARCH("223f",E157)),VLOOKUP("223f",V7_PROGRAM_TABLE,2,FALSE),V7_PROGRAM_DEFAULT))))</f>
        <v/>
      </c>
      <c r="AA157" s="26">
        <f>IF(S157=1,1+V7_PURPOSE_NC_BUMP*MAX(0,1-ABS(M157-V7_PURPOSE_PEAK_AGE)/V7_PURPOSE_WIDTH),1)</f>
        <v/>
      </c>
      <c r="AB157" s="26">
        <f>IF(AND(IF(OR(P157="",NOT(ISNUMBER(P157))),0,MAX(0,MIN(24,(INT(VALUE(H157)/100)-INT(P157/100))*12+MOD(VALUE(H157),100)-MOD(P157,100))))&gt;0,IF(OR(P157="",NOT(ISNUMBER(P157))),0,MAX(0,MIN(24,(INT(VALUE(H157)/100)-INT(P157/100))*12+MOD(VALUE(H157),100)-MOD(P157,100))))&lt;=12),1+V7_LOCKOUT_AMP*EXP(-(IF(OR(P157="",NOT(ISNUMBER(P157))),0,MAX(0,MIN(24,(INT(VALUE(H157)/100)-INT(P157/100))*12+MOD(VALUE(H157),100)-MOD(P157,100)))))/V7_LOCKOUT_TAU),1)</f>
        <v/>
      </c>
      <c r="AC157" s="26">
        <f>IF(IF(OR(O157="",NOT(ISNUMBER(O157))),360,MAX(0,MIN(480,(INT(O157/100)-INT(VALUE(H157)/100))*12+MOD(O157,100)-MOD(VALUE(H157),100))))&gt;0,1+V7_MTY_AMP*MAX(0,(V7_MTY_CUTOFF-(IF(OR(O157="",NOT(ISNUMBER(O157))),360,MAX(0,MIN(480,(INT(O157/100)-INT(VALUE(H157)/100))*12+MOD(O157,100)-MOD(VALUE(H157),100))))))/V7_MTY_CUTOFF),1)</f>
        <v/>
      </c>
      <c r="AD157" s="26">
        <f>MAX(V7_BURN_FLOOR,1-V7_BURN_SLOPE*MIN(1,MAX(0,R157)))</f>
        <v/>
      </c>
      <c r="AE157" s="26">
        <f>IF(V7_USE_ISSUER=1,IFERROR(VLOOKUP(Q157,V7_ISSUER_TABLE,3,FALSE),1),1)</f>
        <v/>
      </c>
      <c r="AF157" s="26">
        <f>PRODUCT(W157:AE157)</f>
        <v/>
      </c>
      <c r="AG157" s="27">
        <f>MIN(V7_BASE_SMM*AF157,V7_SMM_CAP)</f>
        <v/>
      </c>
      <c r="AH157" s="28">
        <f>1-(1-AG157)^12</f>
        <v/>
      </c>
      <c r="AI157" s="28">
        <f>IFERROR(LN(W157)/(LN(W157)+LN(X157)+LN(Y157)+LN(Z157)+LN(AA157)+LN(AB157)+LN(AC157)+LN(AD157))*(AH157-V7_BASE_CPR),0)</f>
        <v/>
      </c>
      <c r="AJ157" s="28">
        <f>IFERROR(LN(X157)/(LN(W157)+LN(X157)+LN(Y157)+LN(Z157)+LN(AA157)+LN(AB157)+LN(AC157)+LN(AD157))*(AH157-V7_BASE_CPR),0)</f>
        <v/>
      </c>
      <c r="AK157" s="28">
        <f>IFERROR(LN(Y157)/(LN(W157)+LN(X157)+LN(Y157)+LN(Z157)+LN(AA157)+LN(AB157)+LN(AC157)+LN(AD157))*(AH157-V7_BASE_CPR),0)</f>
        <v/>
      </c>
      <c r="AL157" s="28">
        <f>IFERROR(LN(Z157)/(LN(W157)+LN(X157)+LN(Y157)+LN(Z157)+LN(AA157)+LN(AB157)+LN(AC157)+LN(AD157))*(AH157-V7_BASE_CPR),0)</f>
        <v/>
      </c>
      <c r="AM157" s="28">
        <f>IFERROR(LN(AA157)/(LN(W157)+LN(X157)+LN(Y157)+LN(Z157)+LN(AA157)+LN(AB157)+LN(AC157)+LN(AD157))*(AH157-V7_BASE_CPR),0)</f>
        <v/>
      </c>
      <c r="AN157" s="28">
        <f>IFERROR(LN(AB157)/(LN(W157)+LN(X157)+LN(Y157)+LN(Z157)+LN(AA157)+LN(AB157)+LN(AC157)+LN(AD157))*(AH157-V7_BASE_CPR),0)</f>
        <v/>
      </c>
      <c r="AO157" s="28">
        <f>IFERROR(LN(AC157)/(LN(W157)+LN(X157)+LN(Y157)+LN(Z157)+LN(AA157)+LN(AB157)+LN(AC157)+LN(AD157))*(AH157-V7_BASE_CPR),0)</f>
        <v/>
      </c>
      <c r="AP157" s="28">
        <f>IFERROR(LN(AD157)/(LN(W157)+LN(X157)+LN(Y157)+LN(Z157)+LN(AA157)+LN(AB157)+LN(AC157)+LN(AD157))*(AH157-V7_BASE_CPR),0)</f>
        <v/>
      </c>
      <c r="AQ157" s="29">
        <f>V7_BASE_CPR+SUM(AI157:AP157)-AH157</f>
        <v/>
      </c>
    </row>
    <row r="158">
      <c r="A158" s="2" t="inlineStr">
        <is>
          <t>36292DGK2_000000009211228</t>
        </is>
      </c>
      <c r="B158" t="inlineStr">
        <is>
          <t>WELLS_PRE21</t>
        </is>
      </c>
      <c r="C158" s="2" t="inlineStr">
        <is>
          <t>36292DGK2</t>
        </is>
      </c>
      <c r="D158" t="inlineStr">
        <is>
          <t>WELLS FARGO BANK, N.A.</t>
        </is>
      </c>
      <c r="E158" t="inlineStr">
        <is>
          <t>223f</t>
        </is>
      </c>
      <c r="F158" t="inlineStr">
        <is>
          <t>RP</t>
        </is>
      </c>
      <c r="G158" t="n">
        <v>2006</v>
      </c>
      <c r="H158" t="inlineStr">
        <is>
          <t>202602</t>
        </is>
      </c>
      <c r="I158" s="22" t="n">
        <v>1059530.98</v>
      </c>
      <c r="J158" s="23" t="n">
        <v>5.96</v>
      </c>
      <c r="K158" s="24" t="n">
        <v>447</v>
      </c>
      <c r="L158" s="24" t="n">
        <v>0</v>
      </c>
      <c r="M158" t="n">
        <v>230</v>
      </c>
      <c r="N158" s="25" t="n">
        <v>86</v>
      </c>
      <c r="O158" t="n">
        <v>204201</v>
      </c>
      <c r="P158" t="n">
        <v>200802</v>
      </c>
      <c r="Q158" t="inlineStr">
        <is>
          <t>3998</t>
        </is>
      </c>
      <c r="R158" s="26" t="n">
        <v>0.3739130434782609</v>
      </c>
      <c r="S158" t="n">
        <v>0</v>
      </c>
      <c r="T158" s="23">
        <f>LN(1+I158)</f>
        <v/>
      </c>
      <c r="U158" s="24">
        <f>J158*100-K158</f>
        <v/>
      </c>
      <c r="V158" s="24">
        <f>U158-12.5*(L158+1)</f>
        <v/>
      </c>
      <c r="W158" s="26">
        <f>IF(M158&lt;=V7_AGE_KNOT_X_0,V7_AGE_KNOT_Y_0,IF(M158&gt;=V7_AGE_KNOT_X_5,V7_AGE_KNOT_Y_5,IF(M158&lt;=V7_AGE_KNOT_X_1,V7_AGE_KNOT_Y_0+(M158-V7_AGE_KNOT_X_0)/(V7_AGE_KNOT_X_1-V7_AGE_KNOT_X_0)*(V7_AGE_KNOT_Y_1-V7_AGE_KNOT_Y_0),IF(M158&lt;=V7_AGE_KNOT_X_2,V7_AGE_KNOT_Y_1+(M158-V7_AGE_KNOT_X_1)/(V7_AGE_KNOT_X_2-V7_AGE_KNOT_X_1)*(V7_AGE_KNOT_Y_2-V7_AGE_KNOT_Y_1),IF(M158&lt;=V7_AGE_KNOT_X_3,V7_AGE_KNOT_Y_2+(M158-V7_AGE_KNOT_X_2)/(V7_AGE_KNOT_X_3-V7_AGE_KNOT_X_2)*(V7_AGE_KNOT_Y_3-V7_AGE_KNOT_Y_2),IF(M158&lt;=V7_AGE_KNOT_X_4,V7_AGE_KNOT_Y_3+(M158-V7_AGE_KNOT_X_3)/(V7_AGE_KNOT_X_4-V7_AGE_KNOT_X_3)*(V7_AGE_KNOT_Y_4-V7_AGE_KNOT_Y_3),V7_AGE_KNOT_Y_4+(M158-V7_AGE_KNOT_X_4)/(V7_AGE_KNOT_X_5-V7_AGE_KNOT_X_4)*(V7_AGE_KNOT_Y_5-V7_AGE_KNOT_Y_4)))))))</f>
        <v/>
      </c>
      <c r="X158" s="26">
        <f>V7_RATE_FLOOR+V7_RATE_ASYMPTOTE/(1+EXP(-(V158-V7_RATE_MID)/V7_RATE_SLOPE))</f>
        <v/>
      </c>
      <c r="Y158" s="26">
        <f>MAX(V7_SIZE_LOW,MIN(V7_SIZE_HIGH,V7_SIZE_INTERCEPT+V7_SIZE_SLOPE*(T158-V7_SIZE_LOG_ANCHOR)))</f>
        <v/>
      </c>
      <c r="Z158" s="26">
        <f>IF(ISNUMBER(SEARCH("232",E158)),VLOOKUP("232",V7_PROGRAM_TABLE,2,FALSE),IF(ISNUMBER(SEARCH("538",E158)),VLOOKUP("538",V7_PROGRAM_TABLE,2,FALSE),IF(ISNUMBER(SEARCH("223a7",E158)),VLOOKUP("223a7",V7_PROGRAM_TABLE,2,FALSE),IF(ISNUMBER(SEARCH("223f",E158)),VLOOKUP("223f",V7_PROGRAM_TABLE,2,FALSE),V7_PROGRAM_DEFAULT))))</f>
        <v/>
      </c>
      <c r="AA158" s="26">
        <f>IF(S158=1,1+V7_PURPOSE_NC_BUMP*MAX(0,1-ABS(M158-V7_PURPOSE_PEAK_AGE)/V7_PURPOSE_WIDTH),1)</f>
        <v/>
      </c>
      <c r="AB158" s="26">
        <f>IF(AND(IF(OR(P158="",NOT(ISNUMBER(P158))),0,MAX(0,MIN(24,(INT(VALUE(H158)/100)-INT(P158/100))*12+MOD(VALUE(H158),100)-MOD(P158,100))))&gt;0,IF(OR(P158="",NOT(ISNUMBER(P158))),0,MAX(0,MIN(24,(INT(VALUE(H158)/100)-INT(P158/100))*12+MOD(VALUE(H158),100)-MOD(P158,100))))&lt;=12),1+V7_LOCKOUT_AMP*EXP(-(IF(OR(P158="",NOT(ISNUMBER(P158))),0,MAX(0,MIN(24,(INT(VALUE(H158)/100)-INT(P158/100))*12+MOD(VALUE(H158),100)-MOD(P158,100)))))/V7_LOCKOUT_TAU),1)</f>
        <v/>
      </c>
      <c r="AC158" s="26">
        <f>IF(IF(OR(O158="",NOT(ISNUMBER(O158))),360,MAX(0,MIN(480,(INT(O158/100)-INT(VALUE(H158)/100))*12+MOD(O158,100)-MOD(VALUE(H158),100))))&gt;0,1+V7_MTY_AMP*MAX(0,(V7_MTY_CUTOFF-(IF(OR(O158="",NOT(ISNUMBER(O158))),360,MAX(0,MIN(480,(INT(O158/100)-INT(VALUE(H158)/100))*12+MOD(O158,100)-MOD(VALUE(H158),100))))))/V7_MTY_CUTOFF),1)</f>
        <v/>
      </c>
      <c r="AD158" s="26">
        <f>MAX(V7_BURN_FLOOR,1-V7_BURN_SLOPE*MIN(1,MAX(0,R158)))</f>
        <v/>
      </c>
      <c r="AE158" s="26">
        <f>IF(V7_USE_ISSUER=1,IFERROR(VLOOKUP(Q158,V7_ISSUER_TABLE,3,FALSE),1),1)</f>
        <v/>
      </c>
      <c r="AF158" s="26">
        <f>PRODUCT(W158:AE158)</f>
        <v/>
      </c>
      <c r="AG158" s="27">
        <f>MIN(V7_BASE_SMM*AF158,V7_SMM_CAP)</f>
        <v/>
      </c>
      <c r="AH158" s="28">
        <f>1-(1-AG158)^12</f>
        <v/>
      </c>
      <c r="AI158" s="28">
        <f>IFERROR(LN(W158)/(LN(W158)+LN(X158)+LN(Y158)+LN(Z158)+LN(AA158)+LN(AB158)+LN(AC158)+LN(AD158))*(AH158-V7_BASE_CPR),0)</f>
        <v/>
      </c>
      <c r="AJ158" s="28">
        <f>IFERROR(LN(X158)/(LN(W158)+LN(X158)+LN(Y158)+LN(Z158)+LN(AA158)+LN(AB158)+LN(AC158)+LN(AD158))*(AH158-V7_BASE_CPR),0)</f>
        <v/>
      </c>
      <c r="AK158" s="28">
        <f>IFERROR(LN(Y158)/(LN(W158)+LN(X158)+LN(Y158)+LN(Z158)+LN(AA158)+LN(AB158)+LN(AC158)+LN(AD158))*(AH158-V7_BASE_CPR),0)</f>
        <v/>
      </c>
      <c r="AL158" s="28">
        <f>IFERROR(LN(Z158)/(LN(W158)+LN(X158)+LN(Y158)+LN(Z158)+LN(AA158)+LN(AB158)+LN(AC158)+LN(AD158))*(AH158-V7_BASE_CPR),0)</f>
        <v/>
      </c>
      <c r="AM158" s="28">
        <f>IFERROR(LN(AA158)/(LN(W158)+LN(X158)+LN(Y158)+LN(Z158)+LN(AA158)+LN(AB158)+LN(AC158)+LN(AD158))*(AH158-V7_BASE_CPR),0)</f>
        <v/>
      </c>
      <c r="AN158" s="28">
        <f>IFERROR(LN(AB158)/(LN(W158)+LN(X158)+LN(Y158)+LN(Z158)+LN(AA158)+LN(AB158)+LN(AC158)+LN(AD158))*(AH158-V7_BASE_CPR),0)</f>
        <v/>
      </c>
      <c r="AO158" s="28">
        <f>IFERROR(LN(AC158)/(LN(W158)+LN(X158)+LN(Y158)+LN(Z158)+LN(AA158)+LN(AB158)+LN(AC158)+LN(AD158))*(AH158-V7_BASE_CPR),0)</f>
        <v/>
      </c>
      <c r="AP158" s="28">
        <f>IFERROR(LN(AD158)/(LN(W158)+LN(X158)+LN(Y158)+LN(Z158)+LN(AA158)+LN(AB158)+LN(AC158)+LN(AD158))*(AH158-V7_BASE_CPR),0)</f>
        <v/>
      </c>
      <c r="AQ158" s="29">
        <f>V7_BASE_CPR+SUM(AI158:AP158)-AH158</f>
        <v/>
      </c>
    </row>
    <row r="159">
      <c r="A159" s="2" t="inlineStr">
        <is>
          <t>36201TEQ6_000000011394011</t>
        </is>
      </c>
      <c r="B159" t="inlineStr">
        <is>
          <t>WELLS_PRE21</t>
        </is>
      </c>
      <c r="C159" s="2" t="inlineStr">
        <is>
          <t>36201TEQ6</t>
        </is>
      </c>
      <c r="D159" t="inlineStr">
        <is>
          <t>WELLS FARGO BANK, N.A.</t>
        </is>
      </c>
      <c r="E159" t="inlineStr">
        <is>
          <t>223a7</t>
        </is>
      </c>
      <c r="F159" t="inlineStr">
        <is>
          <t>RP</t>
        </is>
      </c>
      <c r="G159" t="n">
        <v>2002</v>
      </c>
      <c r="H159" t="inlineStr">
        <is>
          <t>202602</t>
        </is>
      </c>
      <c r="I159" s="22" t="n">
        <v>1859197.29</v>
      </c>
      <c r="J159" s="23" t="n">
        <v>5.96</v>
      </c>
      <c r="K159" s="24" t="n">
        <v>447</v>
      </c>
      <c r="L159" s="24" t="n">
        <v>0</v>
      </c>
      <c r="M159" t="n">
        <v>279</v>
      </c>
      <c r="N159" s="25" t="n">
        <v>86</v>
      </c>
      <c r="O159" t="n">
        <v>203212</v>
      </c>
      <c r="P159" t="n">
        <v>200712</v>
      </c>
      <c r="Q159" t="inlineStr">
        <is>
          <t>3998</t>
        </is>
      </c>
      <c r="R159" s="26" t="n">
        <v>0.3082437275985663</v>
      </c>
      <c r="S159" t="n">
        <v>0</v>
      </c>
      <c r="T159" s="23">
        <f>LN(1+I159)</f>
        <v/>
      </c>
      <c r="U159" s="24">
        <f>J159*100-K159</f>
        <v/>
      </c>
      <c r="V159" s="24">
        <f>U159-12.5*(L159+1)</f>
        <v/>
      </c>
      <c r="W159" s="26">
        <f>IF(M159&lt;=V7_AGE_KNOT_X_0,V7_AGE_KNOT_Y_0,IF(M159&gt;=V7_AGE_KNOT_X_5,V7_AGE_KNOT_Y_5,IF(M159&lt;=V7_AGE_KNOT_X_1,V7_AGE_KNOT_Y_0+(M159-V7_AGE_KNOT_X_0)/(V7_AGE_KNOT_X_1-V7_AGE_KNOT_X_0)*(V7_AGE_KNOT_Y_1-V7_AGE_KNOT_Y_0),IF(M159&lt;=V7_AGE_KNOT_X_2,V7_AGE_KNOT_Y_1+(M159-V7_AGE_KNOT_X_1)/(V7_AGE_KNOT_X_2-V7_AGE_KNOT_X_1)*(V7_AGE_KNOT_Y_2-V7_AGE_KNOT_Y_1),IF(M159&lt;=V7_AGE_KNOT_X_3,V7_AGE_KNOT_Y_2+(M159-V7_AGE_KNOT_X_2)/(V7_AGE_KNOT_X_3-V7_AGE_KNOT_X_2)*(V7_AGE_KNOT_Y_3-V7_AGE_KNOT_Y_2),IF(M159&lt;=V7_AGE_KNOT_X_4,V7_AGE_KNOT_Y_3+(M159-V7_AGE_KNOT_X_3)/(V7_AGE_KNOT_X_4-V7_AGE_KNOT_X_3)*(V7_AGE_KNOT_Y_4-V7_AGE_KNOT_Y_3),V7_AGE_KNOT_Y_4+(M159-V7_AGE_KNOT_X_4)/(V7_AGE_KNOT_X_5-V7_AGE_KNOT_X_4)*(V7_AGE_KNOT_Y_5-V7_AGE_KNOT_Y_4)))))))</f>
        <v/>
      </c>
      <c r="X159" s="26">
        <f>V7_RATE_FLOOR+V7_RATE_ASYMPTOTE/(1+EXP(-(V159-V7_RATE_MID)/V7_RATE_SLOPE))</f>
        <v/>
      </c>
      <c r="Y159" s="26">
        <f>MAX(V7_SIZE_LOW,MIN(V7_SIZE_HIGH,V7_SIZE_INTERCEPT+V7_SIZE_SLOPE*(T159-V7_SIZE_LOG_ANCHOR)))</f>
        <v/>
      </c>
      <c r="Z159" s="26">
        <f>IF(ISNUMBER(SEARCH("232",E159)),VLOOKUP("232",V7_PROGRAM_TABLE,2,FALSE),IF(ISNUMBER(SEARCH("538",E159)),VLOOKUP("538",V7_PROGRAM_TABLE,2,FALSE),IF(ISNUMBER(SEARCH("223a7",E159)),VLOOKUP("223a7",V7_PROGRAM_TABLE,2,FALSE),IF(ISNUMBER(SEARCH("223f",E159)),VLOOKUP("223f",V7_PROGRAM_TABLE,2,FALSE),V7_PROGRAM_DEFAULT))))</f>
        <v/>
      </c>
      <c r="AA159" s="26">
        <f>IF(S159=1,1+V7_PURPOSE_NC_BUMP*MAX(0,1-ABS(M159-V7_PURPOSE_PEAK_AGE)/V7_PURPOSE_WIDTH),1)</f>
        <v/>
      </c>
      <c r="AB159" s="26">
        <f>IF(AND(IF(OR(P159="",NOT(ISNUMBER(P159))),0,MAX(0,MIN(24,(INT(VALUE(H159)/100)-INT(P159/100))*12+MOD(VALUE(H159),100)-MOD(P159,100))))&gt;0,IF(OR(P159="",NOT(ISNUMBER(P159))),0,MAX(0,MIN(24,(INT(VALUE(H159)/100)-INT(P159/100))*12+MOD(VALUE(H159),100)-MOD(P159,100))))&lt;=12),1+V7_LOCKOUT_AMP*EXP(-(IF(OR(P159="",NOT(ISNUMBER(P159))),0,MAX(0,MIN(24,(INT(VALUE(H159)/100)-INT(P159/100))*12+MOD(VALUE(H159),100)-MOD(P159,100)))))/V7_LOCKOUT_TAU),1)</f>
        <v/>
      </c>
      <c r="AC159" s="26">
        <f>IF(IF(OR(O159="",NOT(ISNUMBER(O159))),360,MAX(0,MIN(480,(INT(O159/100)-INT(VALUE(H159)/100))*12+MOD(O159,100)-MOD(VALUE(H159),100))))&gt;0,1+V7_MTY_AMP*MAX(0,(V7_MTY_CUTOFF-(IF(OR(O159="",NOT(ISNUMBER(O159))),360,MAX(0,MIN(480,(INT(O159/100)-INT(VALUE(H159)/100))*12+MOD(O159,100)-MOD(VALUE(H159),100))))))/V7_MTY_CUTOFF),1)</f>
        <v/>
      </c>
      <c r="AD159" s="26">
        <f>MAX(V7_BURN_FLOOR,1-V7_BURN_SLOPE*MIN(1,MAX(0,R159)))</f>
        <v/>
      </c>
      <c r="AE159" s="26">
        <f>IF(V7_USE_ISSUER=1,IFERROR(VLOOKUP(Q159,V7_ISSUER_TABLE,3,FALSE),1),1)</f>
        <v/>
      </c>
      <c r="AF159" s="26">
        <f>PRODUCT(W159:AE159)</f>
        <v/>
      </c>
      <c r="AG159" s="27">
        <f>MIN(V7_BASE_SMM*AF159,V7_SMM_CAP)</f>
        <v/>
      </c>
      <c r="AH159" s="28">
        <f>1-(1-AG159)^12</f>
        <v/>
      </c>
      <c r="AI159" s="28">
        <f>IFERROR(LN(W159)/(LN(W159)+LN(X159)+LN(Y159)+LN(Z159)+LN(AA159)+LN(AB159)+LN(AC159)+LN(AD159))*(AH159-V7_BASE_CPR),0)</f>
        <v/>
      </c>
      <c r="AJ159" s="28">
        <f>IFERROR(LN(X159)/(LN(W159)+LN(X159)+LN(Y159)+LN(Z159)+LN(AA159)+LN(AB159)+LN(AC159)+LN(AD159))*(AH159-V7_BASE_CPR),0)</f>
        <v/>
      </c>
      <c r="AK159" s="28">
        <f>IFERROR(LN(Y159)/(LN(W159)+LN(X159)+LN(Y159)+LN(Z159)+LN(AA159)+LN(AB159)+LN(AC159)+LN(AD159))*(AH159-V7_BASE_CPR),0)</f>
        <v/>
      </c>
      <c r="AL159" s="28">
        <f>IFERROR(LN(Z159)/(LN(W159)+LN(X159)+LN(Y159)+LN(Z159)+LN(AA159)+LN(AB159)+LN(AC159)+LN(AD159))*(AH159-V7_BASE_CPR),0)</f>
        <v/>
      </c>
      <c r="AM159" s="28">
        <f>IFERROR(LN(AA159)/(LN(W159)+LN(X159)+LN(Y159)+LN(Z159)+LN(AA159)+LN(AB159)+LN(AC159)+LN(AD159))*(AH159-V7_BASE_CPR),0)</f>
        <v/>
      </c>
      <c r="AN159" s="28">
        <f>IFERROR(LN(AB159)/(LN(W159)+LN(X159)+LN(Y159)+LN(Z159)+LN(AA159)+LN(AB159)+LN(AC159)+LN(AD159))*(AH159-V7_BASE_CPR),0)</f>
        <v/>
      </c>
      <c r="AO159" s="28">
        <f>IFERROR(LN(AC159)/(LN(W159)+LN(X159)+LN(Y159)+LN(Z159)+LN(AA159)+LN(AB159)+LN(AC159)+LN(AD159))*(AH159-V7_BASE_CPR),0)</f>
        <v/>
      </c>
      <c r="AP159" s="28">
        <f>IFERROR(LN(AD159)/(LN(W159)+LN(X159)+LN(Y159)+LN(Z159)+LN(AA159)+LN(AB159)+LN(AC159)+LN(AD159))*(AH159-V7_BASE_CPR),0)</f>
        <v/>
      </c>
      <c r="AQ159" s="29">
        <f>V7_BASE_CPR+SUM(AI159:AP159)-AH159</f>
        <v/>
      </c>
    </row>
    <row r="160">
      <c r="A160" s="2" t="inlineStr">
        <is>
          <t>3617GFU88_000000005235792</t>
        </is>
      </c>
      <c r="B160" t="inlineStr">
        <is>
          <t>WELLS_PRE21</t>
        </is>
      </c>
      <c r="C160" s="2" t="inlineStr">
        <is>
          <t>3617GFU88</t>
        </is>
      </c>
      <c r="D160" t="inlineStr">
        <is>
          <t>WELLS FARGO BANK, N.A.</t>
        </is>
      </c>
      <c r="E160" t="inlineStr">
        <is>
          <t>221d4</t>
        </is>
      </c>
      <c r="F160" t="inlineStr">
        <is>
          <t>NC</t>
        </is>
      </c>
      <c r="G160" t="n">
        <v>2018</v>
      </c>
      <c r="H160" t="inlineStr">
        <is>
          <t>202602</t>
        </is>
      </c>
      <c r="I160" s="22" t="n">
        <v>6299265.16</v>
      </c>
      <c r="J160" s="23" t="n">
        <v>3.89</v>
      </c>
      <c r="K160" s="24" t="n">
        <v>447</v>
      </c>
      <c r="L160" s="24" t="n">
        <v>4</v>
      </c>
      <c r="M160" t="n">
        <v>95</v>
      </c>
      <c r="N160" s="25" t="n">
        <v>24</v>
      </c>
      <c r="O160" t="n">
        <v>205908</v>
      </c>
      <c r="P160" t="inlineStr"/>
      <c r="Q160" t="inlineStr">
        <is>
          <t>3998</t>
        </is>
      </c>
      <c r="R160" s="26" t="n">
        <v>0.2526315789473684</v>
      </c>
      <c r="S160" t="n">
        <v>1</v>
      </c>
      <c r="T160" s="23">
        <f>LN(1+I160)</f>
        <v/>
      </c>
      <c r="U160" s="24">
        <f>J160*100-K160</f>
        <v/>
      </c>
      <c r="V160" s="24">
        <f>U160-12.5*(L160+1)</f>
        <v/>
      </c>
      <c r="W160" s="26">
        <f>IF(M160&lt;=V7_AGE_KNOT_X_0,V7_AGE_KNOT_Y_0,IF(M160&gt;=V7_AGE_KNOT_X_5,V7_AGE_KNOT_Y_5,IF(M160&lt;=V7_AGE_KNOT_X_1,V7_AGE_KNOT_Y_0+(M160-V7_AGE_KNOT_X_0)/(V7_AGE_KNOT_X_1-V7_AGE_KNOT_X_0)*(V7_AGE_KNOT_Y_1-V7_AGE_KNOT_Y_0),IF(M160&lt;=V7_AGE_KNOT_X_2,V7_AGE_KNOT_Y_1+(M160-V7_AGE_KNOT_X_1)/(V7_AGE_KNOT_X_2-V7_AGE_KNOT_X_1)*(V7_AGE_KNOT_Y_2-V7_AGE_KNOT_Y_1),IF(M160&lt;=V7_AGE_KNOT_X_3,V7_AGE_KNOT_Y_2+(M160-V7_AGE_KNOT_X_2)/(V7_AGE_KNOT_X_3-V7_AGE_KNOT_X_2)*(V7_AGE_KNOT_Y_3-V7_AGE_KNOT_Y_2),IF(M160&lt;=V7_AGE_KNOT_X_4,V7_AGE_KNOT_Y_3+(M160-V7_AGE_KNOT_X_3)/(V7_AGE_KNOT_X_4-V7_AGE_KNOT_X_3)*(V7_AGE_KNOT_Y_4-V7_AGE_KNOT_Y_3),V7_AGE_KNOT_Y_4+(M160-V7_AGE_KNOT_X_4)/(V7_AGE_KNOT_X_5-V7_AGE_KNOT_X_4)*(V7_AGE_KNOT_Y_5-V7_AGE_KNOT_Y_4)))))))</f>
        <v/>
      </c>
      <c r="X160" s="26">
        <f>V7_RATE_FLOOR+V7_RATE_ASYMPTOTE/(1+EXP(-(V160-V7_RATE_MID)/V7_RATE_SLOPE))</f>
        <v/>
      </c>
      <c r="Y160" s="26">
        <f>MAX(V7_SIZE_LOW,MIN(V7_SIZE_HIGH,V7_SIZE_INTERCEPT+V7_SIZE_SLOPE*(T160-V7_SIZE_LOG_ANCHOR)))</f>
        <v/>
      </c>
      <c r="Z160" s="26">
        <f>IF(ISNUMBER(SEARCH("232",E160)),VLOOKUP("232",V7_PROGRAM_TABLE,2,FALSE),IF(ISNUMBER(SEARCH("538",E160)),VLOOKUP("538",V7_PROGRAM_TABLE,2,FALSE),IF(ISNUMBER(SEARCH("223a7",E160)),VLOOKUP("223a7",V7_PROGRAM_TABLE,2,FALSE),IF(ISNUMBER(SEARCH("223f",E160)),VLOOKUP("223f",V7_PROGRAM_TABLE,2,FALSE),V7_PROGRAM_DEFAULT))))</f>
        <v/>
      </c>
      <c r="AA160" s="26">
        <f>IF(S160=1,1+V7_PURPOSE_NC_BUMP*MAX(0,1-ABS(M160-V7_PURPOSE_PEAK_AGE)/V7_PURPOSE_WIDTH),1)</f>
        <v/>
      </c>
      <c r="AB160" s="26">
        <f>IF(AND(IF(OR(P160="",NOT(ISNUMBER(P160))),0,MAX(0,MIN(24,(INT(VALUE(H160)/100)-INT(P160/100))*12+MOD(VALUE(H160),100)-MOD(P160,100))))&gt;0,IF(OR(P160="",NOT(ISNUMBER(P160))),0,MAX(0,MIN(24,(INT(VALUE(H160)/100)-INT(P160/100))*12+MOD(VALUE(H160),100)-MOD(P160,100))))&lt;=12),1+V7_LOCKOUT_AMP*EXP(-(IF(OR(P160="",NOT(ISNUMBER(P160))),0,MAX(0,MIN(24,(INT(VALUE(H160)/100)-INT(P160/100))*12+MOD(VALUE(H160),100)-MOD(P160,100)))))/V7_LOCKOUT_TAU),1)</f>
        <v/>
      </c>
      <c r="AC160" s="26">
        <f>IF(IF(OR(O160="",NOT(ISNUMBER(O160))),360,MAX(0,MIN(480,(INT(O160/100)-INT(VALUE(H160)/100))*12+MOD(O160,100)-MOD(VALUE(H160),100))))&gt;0,1+V7_MTY_AMP*MAX(0,(V7_MTY_CUTOFF-(IF(OR(O160="",NOT(ISNUMBER(O160))),360,MAX(0,MIN(480,(INT(O160/100)-INT(VALUE(H160)/100))*12+MOD(O160,100)-MOD(VALUE(H160),100))))))/V7_MTY_CUTOFF),1)</f>
        <v/>
      </c>
      <c r="AD160" s="26">
        <f>MAX(V7_BURN_FLOOR,1-V7_BURN_SLOPE*MIN(1,MAX(0,R160)))</f>
        <v/>
      </c>
      <c r="AE160" s="26">
        <f>IF(V7_USE_ISSUER=1,IFERROR(VLOOKUP(Q160,V7_ISSUER_TABLE,3,FALSE),1),1)</f>
        <v/>
      </c>
      <c r="AF160" s="26">
        <f>PRODUCT(W160:AE160)</f>
        <v/>
      </c>
      <c r="AG160" s="27">
        <f>MIN(V7_BASE_SMM*AF160,V7_SMM_CAP)</f>
        <v/>
      </c>
      <c r="AH160" s="28">
        <f>1-(1-AG160)^12</f>
        <v/>
      </c>
      <c r="AI160" s="28">
        <f>IFERROR(LN(W160)/(LN(W160)+LN(X160)+LN(Y160)+LN(Z160)+LN(AA160)+LN(AB160)+LN(AC160)+LN(AD160))*(AH160-V7_BASE_CPR),0)</f>
        <v/>
      </c>
      <c r="AJ160" s="28">
        <f>IFERROR(LN(X160)/(LN(W160)+LN(X160)+LN(Y160)+LN(Z160)+LN(AA160)+LN(AB160)+LN(AC160)+LN(AD160))*(AH160-V7_BASE_CPR),0)</f>
        <v/>
      </c>
      <c r="AK160" s="28">
        <f>IFERROR(LN(Y160)/(LN(W160)+LN(X160)+LN(Y160)+LN(Z160)+LN(AA160)+LN(AB160)+LN(AC160)+LN(AD160))*(AH160-V7_BASE_CPR),0)</f>
        <v/>
      </c>
      <c r="AL160" s="28">
        <f>IFERROR(LN(Z160)/(LN(W160)+LN(X160)+LN(Y160)+LN(Z160)+LN(AA160)+LN(AB160)+LN(AC160)+LN(AD160))*(AH160-V7_BASE_CPR),0)</f>
        <v/>
      </c>
      <c r="AM160" s="28">
        <f>IFERROR(LN(AA160)/(LN(W160)+LN(X160)+LN(Y160)+LN(Z160)+LN(AA160)+LN(AB160)+LN(AC160)+LN(AD160))*(AH160-V7_BASE_CPR),0)</f>
        <v/>
      </c>
      <c r="AN160" s="28">
        <f>IFERROR(LN(AB160)/(LN(W160)+LN(X160)+LN(Y160)+LN(Z160)+LN(AA160)+LN(AB160)+LN(AC160)+LN(AD160))*(AH160-V7_BASE_CPR),0)</f>
        <v/>
      </c>
      <c r="AO160" s="28">
        <f>IFERROR(LN(AC160)/(LN(W160)+LN(X160)+LN(Y160)+LN(Z160)+LN(AA160)+LN(AB160)+LN(AC160)+LN(AD160))*(AH160-V7_BASE_CPR),0)</f>
        <v/>
      </c>
      <c r="AP160" s="28">
        <f>IFERROR(LN(AD160)/(LN(W160)+LN(X160)+LN(Y160)+LN(Z160)+LN(AA160)+LN(AB160)+LN(AC160)+LN(AD160))*(AH160-V7_BASE_CPR),0)</f>
        <v/>
      </c>
      <c r="AQ160" s="29">
        <f>V7_BASE_CPR+SUM(AI160:AP160)-AH160</f>
        <v/>
      </c>
    </row>
    <row r="161">
      <c r="A161" s="2" t="inlineStr">
        <is>
          <t>36292EA75_000000001257419</t>
        </is>
      </c>
      <c r="B161" t="inlineStr">
        <is>
          <t>WELLS_PRE21</t>
        </is>
      </c>
      <c r="C161" s="2" t="inlineStr">
        <is>
          <t>36292EA75</t>
        </is>
      </c>
      <c r="D161" t="inlineStr">
        <is>
          <t>WELLS FARGO BANK, N.A.</t>
        </is>
      </c>
      <c r="E161" t="inlineStr">
        <is>
          <t>223a7</t>
        </is>
      </c>
      <c r="F161" t="inlineStr">
        <is>
          <t>RP</t>
        </is>
      </c>
      <c r="G161" t="n">
        <v>2006</v>
      </c>
      <c r="H161" t="inlineStr">
        <is>
          <t>202602</t>
        </is>
      </c>
      <c r="I161" s="22" t="n">
        <v>237341.87</v>
      </c>
      <c r="J161" s="23" t="n">
        <v>6.75</v>
      </c>
      <c r="K161" s="24" t="n">
        <v>447</v>
      </c>
      <c r="L161" s="24" t="n">
        <v>0</v>
      </c>
      <c r="M161" t="n">
        <v>238</v>
      </c>
      <c r="N161" s="25" t="n">
        <v>87</v>
      </c>
      <c r="O161" t="n">
        <v>203605</v>
      </c>
      <c r="P161" t="n">
        <v>200806</v>
      </c>
      <c r="Q161" t="inlineStr">
        <is>
          <t>3998</t>
        </is>
      </c>
      <c r="R161" s="26" t="n">
        <v>0.3655462184873949</v>
      </c>
      <c r="S161" t="n">
        <v>0</v>
      </c>
      <c r="T161" s="23">
        <f>LN(1+I161)</f>
        <v/>
      </c>
      <c r="U161" s="24">
        <f>J161*100-K161</f>
        <v/>
      </c>
      <c r="V161" s="24">
        <f>U161-12.5*(L161+1)</f>
        <v/>
      </c>
      <c r="W161" s="26">
        <f>IF(M161&lt;=V7_AGE_KNOT_X_0,V7_AGE_KNOT_Y_0,IF(M161&gt;=V7_AGE_KNOT_X_5,V7_AGE_KNOT_Y_5,IF(M161&lt;=V7_AGE_KNOT_X_1,V7_AGE_KNOT_Y_0+(M161-V7_AGE_KNOT_X_0)/(V7_AGE_KNOT_X_1-V7_AGE_KNOT_X_0)*(V7_AGE_KNOT_Y_1-V7_AGE_KNOT_Y_0),IF(M161&lt;=V7_AGE_KNOT_X_2,V7_AGE_KNOT_Y_1+(M161-V7_AGE_KNOT_X_1)/(V7_AGE_KNOT_X_2-V7_AGE_KNOT_X_1)*(V7_AGE_KNOT_Y_2-V7_AGE_KNOT_Y_1),IF(M161&lt;=V7_AGE_KNOT_X_3,V7_AGE_KNOT_Y_2+(M161-V7_AGE_KNOT_X_2)/(V7_AGE_KNOT_X_3-V7_AGE_KNOT_X_2)*(V7_AGE_KNOT_Y_3-V7_AGE_KNOT_Y_2),IF(M161&lt;=V7_AGE_KNOT_X_4,V7_AGE_KNOT_Y_3+(M161-V7_AGE_KNOT_X_3)/(V7_AGE_KNOT_X_4-V7_AGE_KNOT_X_3)*(V7_AGE_KNOT_Y_4-V7_AGE_KNOT_Y_3),V7_AGE_KNOT_Y_4+(M161-V7_AGE_KNOT_X_4)/(V7_AGE_KNOT_X_5-V7_AGE_KNOT_X_4)*(V7_AGE_KNOT_Y_5-V7_AGE_KNOT_Y_4)))))))</f>
        <v/>
      </c>
      <c r="X161" s="26">
        <f>V7_RATE_FLOOR+V7_RATE_ASYMPTOTE/(1+EXP(-(V161-V7_RATE_MID)/V7_RATE_SLOPE))</f>
        <v/>
      </c>
      <c r="Y161" s="26">
        <f>MAX(V7_SIZE_LOW,MIN(V7_SIZE_HIGH,V7_SIZE_INTERCEPT+V7_SIZE_SLOPE*(T161-V7_SIZE_LOG_ANCHOR)))</f>
        <v/>
      </c>
      <c r="Z161" s="26">
        <f>IF(ISNUMBER(SEARCH("232",E161)),VLOOKUP("232",V7_PROGRAM_TABLE,2,FALSE),IF(ISNUMBER(SEARCH("538",E161)),VLOOKUP("538",V7_PROGRAM_TABLE,2,FALSE),IF(ISNUMBER(SEARCH("223a7",E161)),VLOOKUP("223a7",V7_PROGRAM_TABLE,2,FALSE),IF(ISNUMBER(SEARCH("223f",E161)),VLOOKUP("223f",V7_PROGRAM_TABLE,2,FALSE),V7_PROGRAM_DEFAULT))))</f>
        <v/>
      </c>
      <c r="AA161" s="26">
        <f>IF(S161=1,1+V7_PURPOSE_NC_BUMP*MAX(0,1-ABS(M161-V7_PURPOSE_PEAK_AGE)/V7_PURPOSE_WIDTH),1)</f>
        <v/>
      </c>
      <c r="AB161" s="26">
        <f>IF(AND(IF(OR(P161="",NOT(ISNUMBER(P161))),0,MAX(0,MIN(24,(INT(VALUE(H161)/100)-INT(P161/100))*12+MOD(VALUE(H161),100)-MOD(P161,100))))&gt;0,IF(OR(P161="",NOT(ISNUMBER(P161))),0,MAX(0,MIN(24,(INT(VALUE(H161)/100)-INT(P161/100))*12+MOD(VALUE(H161),100)-MOD(P161,100))))&lt;=12),1+V7_LOCKOUT_AMP*EXP(-(IF(OR(P161="",NOT(ISNUMBER(P161))),0,MAX(0,MIN(24,(INT(VALUE(H161)/100)-INT(P161/100))*12+MOD(VALUE(H161),100)-MOD(P161,100)))))/V7_LOCKOUT_TAU),1)</f>
        <v/>
      </c>
      <c r="AC161" s="26">
        <f>IF(IF(OR(O161="",NOT(ISNUMBER(O161))),360,MAX(0,MIN(480,(INT(O161/100)-INT(VALUE(H161)/100))*12+MOD(O161,100)-MOD(VALUE(H161),100))))&gt;0,1+V7_MTY_AMP*MAX(0,(V7_MTY_CUTOFF-(IF(OR(O161="",NOT(ISNUMBER(O161))),360,MAX(0,MIN(480,(INT(O161/100)-INT(VALUE(H161)/100))*12+MOD(O161,100)-MOD(VALUE(H161),100))))))/V7_MTY_CUTOFF),1)</f>
        <v/>
      </c>
      <c r="AD161" s="26">
        <f>MAX(V7_BURN_FLOOR,1-V7_BURN_SLOPE*MIN(1,MAX(0,R161)))</f>
        <v/>
      </c>
      <c r="AE161" s="26">
        <f>IF(V7_USE_ISSUER=1,IFERROR(VLOOKUP(Q161,V7_ISSUER_TABLE,3,FALSE),1),1)</f>
        <v/>
      </c>
      <c r="AF161" s="26">
        <f>PRODUCT(W161:AE161)</f>
        <v/>
      </c>
      <c r="AG161" s="27">
        <f>MIN(V7_BASE_SMM*AF161,V7_SMM_CAP)</f>
        <v/>
      </c>
      <c r="AH161" s="28">
        <f>1-(1-AG161)^12</f>
        <v/>
      </c>
      <c r="AI161" s="28">
        <f>IFERROR(LN(W161)/(LN(W161)+LN(X161)+LN(Y161)+LN(Z161)+LN(AA161)+LN(AB161)+LN(AC161)+LN(AD161))*(AH161-V7_BASE_CPR),0)</f>
        <v/>
      </c>
      <c r="AJ161" s="28">
        <f>IFERROR(LN(X161)/(LN(W161)+LN(X161)+LN(Y161)+LN(Z161)+LN(AA161)+LN(AB161)+LN(AC161)+LN(AD161))*(AH161-V7_BASE_CPR),0)</f>
        <v/>
      </c>
      <c r="AK161" s="28">
        <f>IFERROR(LN(Y161)/(LN(W161)+LN(X161)+LN(Y161)+LN(Z161)+LN(AA161)+LN(AB161)+LN(AC161)+LN(AD161))*(AH161-V7_BASE_CPR),0)</f>
        <v/>
      </c>
      <c r="AL161" s="28">
        <f>IFERROR(LN(Z161)/(LN(W161)+LN(X161)+LN(Y161)+LN(Z161)+LN(AA161)+LN(AB161)+LN(AC161)+LN(AD161))*(AH161-V7_BASE_CPR),0)</f>
        <v/>
      </c>
      <c r="AM161" s="28">
        <f>IFERROR(LN(AA161)/(LN(W161)+LN(X161)+LN(Y161)+LN(Z161)+LN(AA161)+LN(AB161)+LN(AC161)+LN(AD161))*(AH161-V7_BASE_CPR),0)</f>
        <v/>
      </c>
      <c r="AN161" s="28">
        <f>IFERROR(LN(AB161)/(LN(W161)+LN(X161)+LN(Y161)+LN(Z161)+LN(AA161)+LN(AB161)+LN(AC161)+LN(AD161))*(AH161-V7_BASE_CPR),0)</f>
        <v/>
      </c>
      <c r="AO161" s="28">
        <f>IFERROR(LN(AC161)/(LN(W161)+LN(X161)+LN(Y161)+LN(Z161)+LN(AA161)+LN(AB161)+LN(AC161)+LN(AD161))*(AH161-V7_BASE_CPR),0)</f>
        <v/>
      </c>
      <c r="AP161" s="28">
        <f>IFERROR(LN(AD161)/(LN(W161)+LN(X161)+LN(Y161)+LN(Z161)+LN(AA161)+LN(AB161)+LN(AC161)+LN(AD161))*(AH161-V7_BASE_CPR),0)</f>
        <v/>
      </c>
      <c r="AQ161" s="29">
        <f>V7_BASE_CPR+SUM(AI161:AP161)-AH161</f>
        <v/>
      </c>
    </row>
    <row r="162">
      <c r="A162" s="2" t="inlineStr">
        <is>
          <t>3617BBDW8_000000010511085</t>
        </is>
      </c>
      <c r="B162" t="inlineStr">
        <is>
          <t>WELLS_PRE21</t>
        </is>
      </c>
      <c r="C162" s="2" t="inlineStr">
        <is>
          <t>3617BBDW8</t>
        </is>
      </c>
      <c r="D162" t="inlineStr">
        <is>
          <t>WELLS FARGO BANK, N.A.</t>
        </is>
      </c>
      <c r="E162" t="inlineStr">
        <is>
          <t>223f</t>
        </is>
      </c>
      <c r="F162" t="inlineStr">
        <is>
          <t>RP</t>
        </is>
      </c>
      <c r="G162" t="n">
        <v>2017</v>
      </c>
      <c r="H162" t="inlineStr">
        <is>
          <t>202602</t>
        </is>
      </c>
      <c r="I162" s="22" t="n">
        <v>6227483.14</v>
      </c>
      <c r="J162" s="23" t="n">
        <v>3.22</v>
      </c>
      <c r="K162" s="24" t="n">
        <v>447</v>
      </c>
      <c r="L162" s="24" t="n">
        <v>2</v>
      </c>
      <c r="M162" t="n">
        <v>102</v>
      </c>
      <c r="N162" s="25" t="n">
        <v>25</v>
      </c>
      <c r="O162" t="n">
        <v>205209</v>
      </c>
      <c r="P162" t="inlineStr"/>
      <c r="Q162" t="inlineStr">
        <is>
          <t>3998</t>
        </is>
      </c>
      <c r="R162" s="26" t="n">
        <v>0.2450980392156863</v>
      </c>
      <c r="S162" t="n">
        <v>0</v>
      </c>
      <c r="T162" s="23">
        <f>LN(1+I162)</f>
        <v/>
      </c>
      <c r="U162" s="24">
        <f>J162*100-K162</f>
        <v/>
      </c>
      <c r="V162" s="24">
        <f>U162-12.5*(L162+1)</f>
        <v/>
      </c>
      <c r="W162" s="26">
        <f>IF(M162&lt;=V7_AGE_KNOT_X_0,V7_AGE_KNOT_Y_0,IF(M162&gt;=V7_AGE_KNOT_X_5,V7_AGE_KNOT_Y_5,IF(M162&lt;=V7_AGE_KNOT_X_1,V7_AGE_KNOT_Y_0+(M162-V7_AGE_KNOT_X_0)/(V7_AGE_KNOT_X_1-V7_AGE_KNOT_X_0)*(V7_AGE_KNOT_Y_1-V7_AGE_KNOT_Y_0),IF(M162&lt;=V7_AGE_KNOT_X_2,V7_AGE_KNOT_Y_1+(M162-V7_AGE_KNOT_X_1)/(V7_AGE_KNOT_X_2-V7_AGE_KNOT_X_1)*(V7_AGE_KNOT_Y_2-V7_AGE_KNOT_Y_1),IF(M162&lt;=V7_AGE_KNOT_X_3,V7_AGE_KNOT_Y_2+(M162-V7_AGE_KNOT_X_2)/(V7_AGE_KNOT_X_3-V7_AGE_KNOT_X_2)*(V7_AGE_KNOT_Y_3-V7_AGE_KNOT_Y_2),IF(M162&lt;=V7_AGE_KNOT_X_4,V7_AGE_KNOT_Y_3+(M162-V7_AGE_KNOT_X_3)/(V7_AGE_KNOT_X_4-V7_AGE_KNOT_X_3)*(V7_AGE_KNOT_Y_4-V7_AGE_KNOT_Y_3),V7_AGE_KNOT_Y_4+(M162-V7_AGE_KNOT_X_4)/(V7_AGE_KNOT_X_5-V7_AGE_KNOT_X_4)*(V7_AGE_KNOT_Y_5-V7_AGE_KNOT_Y_4)))))))</f>
        <v/>
      </c>
      <c r="X162" s="26">
        <f>V7_RATE_FLOOR+V7_RATE_ASYMPTOTE/(1+EXP(-(V162-V7_RATE_MID)/V7_RATE_SLOPE))</f>
        <v/>
      </c>
      <c r="Y162" s="26">
        <f>MAX(V7_SIZE_LOW,MIN(V7_SIZE_HIGH,V7_SIZE_INTERCEPT+V7_SIZE_SLOPE*(T162-V7_SIZE_LOG_ANCHOR)))</f>
        <v/>
      </c>
      <c r="Z162" s="26">
        <f>IF(ISNUMBER(SEARCH("232",E162)),VLOOKUP("232",V7_PROGRAM_TABLE,2,FALSE),IF(ISNUMBER(SEARCH("538",E162)),VLOOKUP("538",V7_PROGRAM_TABLE,2,FALSE),IF(ISNUMBER(SEARCH("223a7",E162)),VLOOKUP("223a7",V7_PROGRAM_TABLE,2,FALSE),IF(ISNUMBER(SEARCH("223f",E162)),VLOOKUP("223f",V7_PROGRAM_TABLE,2,FALSE),V7_PROGRAM_DEFAULT))))</f>
        <v/>
      </c>
      <c r="AA162" s="26">
        <f>IF(S162=1,1+V7_PURPOSE_NC_BUMP*MAX(0,1-ABS(M162-V7_PURPOSE_PEAK_AGE)/V7_PURPOSE_WIDTH),1)</f>
        <v/>
      </c>
      <c r="AB162" s="26">
        <f>IF(AND(IF(OR(P162="",NOT(ISNUMBER(P162))),0,MAX(0,MIN(24,(INT(VALUE(H162)/100)-INT(P162/100))*12+MOD(VALUE(H162),100)-MOD(P162,100))))&gt;0,IF(OR(P162="",NOT(ISNUMBER(P162))),0,MAX(0,MIN(24,(INT(VALUE(H162)/100)-INT(P162/100))*12+MOD(VALUE(H162),100)-MOD(P162,100))))&lt;=12),1+V7_LOCKOUT_AMP*EXP(-(IF(OR(P162="",NOT(ISNUMBER(P162))),0,MAX(0,MIN(24,(INT(VALUE(H162)/100)-INT(P162/100))*12+MOD(VALUE(H162),100)-MOD(P162,100)))))/V7_LOCKOUT_TAU),1)</f>
        <v/>
      </c>
      <c r="AC162" s="26">
        <f>IF(IF(OR(O162="",NOT(ISNUMBER(O162))),360,MAX(0,MIN(480,(INT(O162/100)-INT(VALUE(H162)/100))*12+MOD(O162,100)-MOD(VALUE(H162),100))))&gt;0,1+V7_MTY_AMP*MAX(0,(V7_MTY_CUTOFF-(IF(OR(O162="",NOT(ISNUMBER(O162))),360,MAX(0,MIN(480,(INT(O162/100)-INT(VALUE(H162)/100))*12+MOD(O162,100)-MOD(VALUE(H162),100))))))/V7_MTY_CUTOFF),1)</f>
        <v/>
      </c>
      <c r="AD162" s="26">
        <f>MAX(V7_BURN_FLOOR,1-V7_BURN_SLOPE*MIN(1,MAX(0,R162)))</f>
        <v/>
      </c>
      <c r="AE162" s="26">
        <f>IF(V7_USE_ISSUER=1,IFERROR(VLOOKUP(Q162,V7_ISSUER_TABLE,3,FALSE),1),1)</f>
        <v/>
      </c>
      <c r="AF162" s="26">
        <f>PRODUCT(W162:AE162)</f>
        <v/>
      </c>
      <c r="AG162" s="27">
        <f>MIN(V7_BASE_SMM*AF162,V7_SMM_CAP)</f>
        <v/>
      </c>
      <c r="AH162" s="28">
        <f>1-(1-AG162)^12</f>
        <v/>
      </c>
      <c r="AI162" s="28">
        <f>IFERROR(LN(W162)/(LN(W162)+LN(X162)+LN(Y162)+LN(Z162)+LN(AA162)+LN(AB162)+LN(AC162)+LN(AD162))*(AH162-V7_BASE_CPR),0)</f>
        <v/>
      </c>
      <c r="AJ162" s="28">
        <f>IFERROR(LN(X162)/(LN(W162)+LN(X162)+LN(Y162)+LN(Z162)+LN(AA162)+LN(AB162)+LN(AC162)+LN(AD162))*(AH162-V7_BASE_CPR),0)</f>
        <v/>
      </c>
      <c r="AK162" s="28">
        <f>IFERROR(LN(Y162)/(LN(W162)+LN(X162)+LN(Y162)+LN(Z162)+LN(AA162)+LN(AB162)+LN(AC162)+LN(AD162))*(AH162-V7_BASE_CPR),0)</f>
        <v/>
      </c>
      <c r="AL162" s="28">
        <f>IFERROR(LN(Z162)/(LN(W162)+LN(X162)+LN(Y162)+LN(Z162)+LN(AA162)+LN(AB162)+LN(AC162)+LN(AD162))*(AH162-V7_BASE_CPR),0)</f>
        <v/>
      </c>
      <c r="AM162" s="28">
        <f>IFERROR(LN(AA162)/(LN(W162)+LN(X162)+LN(Y162)+LN(Z162)+LN(AA162)+LN(AB162)+LN(AC162)+LN(AD162))*(AH162-V7_BASE_CPR),0)</f>
        <v/>
      </c>
      <c r="AN162" s="28">
        <f>IFERROR(LN(AB162)/(LN(W162)+LN(X162)+LN(Y162)+LN(Z162)+LN(AA162)+LN(AB162)+LN(AC162)+LN(AD162))*(AH162-V7_BASE_CPR),0)</f>
        <v/>
      </c>
      <c r="AO162" s="28">
        <f>IFERROR(LN(AC162)/(LN(W162)+LN(X162)+LN(Y162)+LN(Z162)+LN(AA162)+LN(AB162)+LN(AC162)+LN(AD162))*(AH162-V7_BASE_CPR),0)</f>
        <v/>
      </c>
      <c r="AP162" s="28">
        <f>IFERROR(LN(AD162)/(LN(W162)+LN(X162)+LN(Y162)+LN(Z162)+LN(AA162)+LN(AB162)+LN(AC162)+LN(AD162))*(AH162-V7_BASE_CPR),0)</f>
        <v/>
      </c>
      <c r="AQ162" s="29">
        <f>V7_BASE_CPR+SUM(AI162:AP162)-AH162</f>
        <v/>
      </c>
    </row>
    <row r="163">
      <c r="A163" s="2" t="inlineStr">
        <is>
          <t>3617U8L70_000000005311417</t>
        </is>
      </c>
      <c r="B163" t="inlineStr">
        <is>
          <t>WELLS_PRE21</t>
        </is>
      </c>
      <c r="C163" s="2" t="inlineStr">
        <is>
          <t>3617U8L70</t>
        </is>
      </c>
      <c r="D163" t="inlineStr">
        <is>
          <t>WELLS FARGO BANK, N.A.</t>
        </is>
      </c>
      <c r="E163" t="inlineStr">
        <is>
          <t>223f</t>
        </is>
      </c>
      <c r="F163" t="inlineStr">
        <is>
          <t>RP</t>
        </is>
      </c>
      <c r="G163" t="n">
        <v>2018</v>
      </c>
      <c r="H163" t="inlineStr">
        <is>
          <t>202602</t>
        </is>
      </c>
      <c r="I163" s="22" t="n">
        <v>18408131.46</v>
      </c>
      <c r="J163" s="23" t="n">
        <v>3.01</v>
      </c>
      <c r="K163" s="24" t="n">
        <v>447</v>
      </c>
      <c r="L163" s="24" t="n">
        <v>6</v>
      </c>
      <c r="M163" t="n">
        <v>94</v>
      </c>
      <c r="N163" s="25" t="n">
        <v>1</v>
      </c>
      <c r="O163" t="n">
        <v>205305</v>
      </c>
      <c r="P163" t="n">
        <v>202202</v>
      </c>
      <c r="Q163" t="inlineStr">
        <is>
          <t>3998</t>
        </is>
      </c>
      <c r="R163" s="26" t="n">
        <v>0.01063829787234043</v>
      </c>
      <c r="S163" t="n">
        <v>0</v>
      </c>
      <c r="T163" s="23">
        <f>LN(1+I163)</f>
        <v/>
      </c>
      <c r="U163" s="24">
        <f>J163*100-K163</f>
        <v/>
      </c>
      <c r="V163" s="24">
        <f>U163-12.5*(L163+1)</f>
        <v/>
      </c>
      <c r="W163" s="26">
        <f>IF(M163&lt;=V7_AGE_KNOT_X_0,V7_AGE_KNOT_Y_0,IF(M163&gt;=V7_AGE_KNOT_X_5,V7_AGE_KNOT_Y_5,IF(M163&lt;=V7_AGE_KNOT_X_1,V7_AGE_KNOT_Y_0+(M163-V7_AGE_KNOT_X_0)/(V7_AGE_KNOT_X_1-V7_AGE_KNOT_X_0)*(V7_AGE_KNOT_Y_1-V7_AGE_KNOT_Y_0),IF(M163&lt;=V7_AGE_KNOT_X_2,V7_AGE_KNOT_Y_1+(M163-V7_AGE_KNOT_X_1)/(V7_AGE_KNOT_X_2-V7_AGE_KNOT_X_1)*(V7_AGE_KNOT_Y_2-V7_AGE_KNOT_Y_1),IF(M163&lt;=V7_AGE_KNOT_X_3,V7_AGE_KNOT_Y_2+(M163-V7_AGE_KNOT_X_2)/(V7_AGE_KNOT_X_3-V7_AGE_KNOT_X_2)*(V7_AGE_KNOT_Y_3-V7_AGE_KNOT_Y_2),IF(M163&lt;=V7_AGE_KNOT_X_4,V7_AGE_KNOT_Y_3+(M163-V7_AGE_KNOT_X_3)/(V7_AGE_KNOT_X_4-V7_AGE_KNOT_X_3)*(V7_AGE_KNOT_Y_4-V7_AGE_KNOT_Y_3),V7_AGE_KNOT_Y_4+(M163-V7_AGE_KNOT_X_4)/(V7_AGE_KNOT_X_5-V7_AGE_KNOT_X_4)*(V7_AGE_KNOT_Y_5-V7_AGE_KNOT_Y_4)))))))</f>
        <v/>
      </c>
      <c r="X163" s="26">
        <f>V7_RATE_FLOOR+V7_RATE_ASYMPTOTE/(1+EXP(-(V163-V7_RATE_MID)/V7_RATE_SLOPE))</f>
        <v/>
      </c>
      <c r="Y163" s="26">
        <f>MAX(V7_SIZE_LOW,MIN(V7_SIZE_HIGH,V7_SIZE_INTERCEPT+V7_SIZE_SLOPE*(T163-V7_SIZE_LOG_ANCHOR)))</f>
        <v/>
      </c>
      <c r="Z163" s="26">
        <f>IF(ISNUMBER(SEARCH("232",E163)),VLOOKUP("232",V7_PROGRAM_TABLE,2,FALSE),IF(ISNUMBER(SEARCH("538",E163)),VLOOKUP("538",V7_PROGRAM_TABLE,2,FALSE),IF(ISNUMBER(SEARCH("223a7",E163)),VLOOKUP("223a7",V7_PROGRAM_TABLE,2,FALSE),IF(ISNUMBER(SEARCH("223f",E163)),VLOOKUP("223f",V7_PROGRAM_TABLE,2,FALSE),V7_PROGRAM_DEFAULT))))</f>
        <v/>
      </c>
      <c r="AA163" s="26">
        <f>IF(S163=1,1+V7_PURPOSE_NC_BUMP*MAX(0,1-ABS(M163-V7_PURPOSE_PEAK_AGE)/V7_PURPOSE_WIDTH),1)</f>
        <v/>
      </c>
      <c r="AB163" s="26">
        <f>IF(AND(IF(OR(P163="",NOT(ISNUMBER(P163))),0,MAX(0,MIN(24,(INT(VALUE(H163)/100)-INT(P163/100))*12+MOD(VALUE(H163),100)-MOD(P163,100))))&gt;0,IF(OR(P163="",NOT(ISNUMBER(P163))),0,MAX(0,MIN(24,(INT(VALUE(H163)/100)-INT(P163/100))*12+MOD(VALUE(H163),100)-MOD(P163,100))))&lt;=12),1+V7_LOCKOUT_AMP*EXP(-(IF(OR(P163="",NOT(ISNUMBER(P163))),0,MAX(0,MIN(24,(INT(VALUE(H163)/100)-INT(P163/100))*12+MOD(VALUE(H163),100)-MOD(P163,100)))))/V7_LOCKOUT_TAU),1)</f>
        <v/>
      </c>
      <c r="AC163" s="26">
        <f>IF(IF(OR(O163="",NOT(ISNUMBER(O163))),360,MAX(0,MIN(480,(INT(O163/100)-INT(VALUE(H163)/100))*12+MOD(O163,100)-MOD(VALUE(H163),100))))&gt;0,1+V7_MTY_AMP*MAX(0,(V7_MTY_CUTOFF-(IF(OR(O163="",NOT(ISNUMBER(O163))),360,MAX(0,MIN(480,(INT(O163/100)-INT(VALUE(H163)/100))*12+MOD(O163,100)-MOD(VALUE(H163),100))))))/V7_MTY_CUTOFF),1)</f>
        <v/>
      </c>
      <c r="AD163" s="26">
        <f>MAX(V7_BURN_FLOOR,1-V7_BURN_SLOPE*MIN(1,MAX(0,R163)))</f>
        <v/>
      </c>
      <c r="AE163" s="26">
        <f>IF(V7_USE_ISSUER=1,IFERROR(VLOOKUP(Q163,V7_ISSUER_TABLE,3,FALSE),1),1)</f>
        <v/>
      </c>
      <c r="AF163" s="26">
        <f>PRODUCT(W163:AE163)</f>
        <v/>
      </c>
      <c r="AG163" s="27">
        <f>MIN(V7_BASE_SMM*AF163,V7_SMM_CAP)</f>
        <v/>
      </c>
      <c r="AH163" s="28">
        <f>1-(1-AG163)^12</f>
        <v/>
      </c>
      <c r="AI163" s="28">
        <f>IFERROR(LN(W163)/(LN(W163)+LN(X163)+LN(Y163)+LN(Z163)+LN(AA163)+LN(AB163)+LN(AC163)+LN(AD163))*(AH163-V7_BASE_CPR),0)</f>
        <v/>
      </c>
      <c r="AJ163" s="28">
        <f>IFERROR(LN(X163)/(LN(W163)+LN(X163)+LN(Y163)+LN(Z163)+LN(AA163)+LN(AB163)+LN(AC163)+LN(AD163))*(AH163-V7_BASE_CPR),0)</f>
        <v/>
      </c>
      <c r="AK163" s="28">
        <f>IFERROR(LN(Y163)/(LN(W163)+LN(X163)+LN(Y163)+LN(Z163)+LN(AA163)+LN(AB163)+LN(AC163)+LN(AD163))*(AH163-V7_BASE_CPR),0)</f>
        <v/>
      </c>
      <c r="AL163" s="28">
        <f>IFERROR(LN(Z163)/(LN(W163)+LN(X163)+LN(Y163)+LN(Z163)+LN(AA163)+LN(AB163)+LN(AC163)+LN(AD163))*(AH163-V7_BASE_CPR),0)</f>
        <v/>
      </c>
      <c r="AM163" s="28">
        <f>IFERROR(LN(AA163)/(LN(W163)+LN(X163)+LN(Y163)+LN(Z163)+LN(AA163)+LN(AB163)+LN(AC163)+LN(AD163))*(AH163-V7_BASE_CPR),0)</f>
        <v/>
      </c>
      <c r="AN163" s="28">
        <f>IFERROR(LN(AB163)/(LN(W163)+LN(X163)+LN(Y163)+LN(Z163)+LN(AA163)+LN(AB163)+LN(AC163)+LN(AD163))*(AH163-V7_BASE_CPR),0)</f>
        <v/>
      </c>
      <c r="AO163" s="28">
        <f>IFERROR(LN(AC163)/(LN(W163)+LN(X163)+LN(Y163)+LN(Z163)+LN(AA163)+LN(AB163)+LN(AC163)+LN(AD163))*(AH163-V7_BASE_CPR),0)</f>
        <v/>
      </c>
      <c r="AP163" s="28">
        <f>IFERROR(LN(AD163)/(LN(W163)+LN(X163)+LN(Y163)+LN(Z163)+LN(AA163)+LN(AB163)+LN(AC163)+LN(AD163))*(AH163-V7_BASE_CPR),0)</f>
        <v/>
      </c>
      <c r="AQ163" s="29">
        <f>V7_BASE_CPR+SUM(AI163:AP163)-AH163</f>
        <v/>
      </c>
    </row>
    <row r="164">
      <c r="A164" s="2" t="inlineStr">
        <is>
          <t>36295A2V6_000000008211077</t>
        </is>
      </c>
      <c r="B164" t="inlineStr">
        <is>
          <t>WELLS_PRE21</t>
        </is>
      </c>
      <c r="C164" s="2" t="inlineStr">
        <is>
          <t>36295A2V6</t>
        </is>
      </c>
      <c r="D164" t="inlineStr">
        <is>
          <t>WELLS FARGO BANK, N.A.</t>
        </is>
      </c>
      <c r="E164" t="inlineStr">
        <is>
          <t>223f</t>
        </is>
      </c>
      <c r="F164" t="inlineStr">
        <is>
          <t>RP</t>
        </is>
      </c>
      <c r="G164" t="n">
        <v>2009</v>
      </c>
      <c r="H164" t="inlineStr">
        <is>
          <t>202602</t>
        </is>
      </c>
      <c r="I164" s="22" t="n">
        <v>980803.6</v>
      </c>
      <c r="J164" s="23" t="n">
        <v>4.6</v>
      </c>
      <c r="K164" s="24" t="n">
        <v>447</v>
      </c>
      <c r="L164" s="24" t="n">
        <v>0</v>
      </c>
      <c r="M164" t="n">
        <v>194</v>
      </c>
      <c r="N164" s="25" t="n">
        <v>47</v>
      </c>
      <c r="O164" t="n">
        <v>204501</v>
      </c>
      <c r="P164" t="n">
        <v>201202</v>
      </c>
      <c r="Q164" t="inlineStr">
        <is>
          <t>3998</t>
        </is>
      </c>
      <c r="R164" s="26" t="n">
        <v>0.2422680412371134</v>
      </c>
      <c r="S164" t="n">
        <v>0</v>
      </c>
      <c r="T164" s="23">
        <f>LN(1+I164)</f>
        <v/>
      </c>
      <c r="U164" s="24">
        <f>J164*100-K164</f>
        <v/>
      </c>
      <c r="V164" s="24">
        <f>U164-12.5*(L164+1)</f>
        <v/>
      </c>
      <c r="W164" s="26">
        <f>IF(M164&lt;=V7_AGE_KNOT_X_0,V7_AGE_KNOT_Y_0,IF(M164&gt;=V7_AGE_KNOT_X_5,V7_AGE_KNOT_Y_5,IF(M164&lt;=V7_AGE_KNOT_X_1,V7_AGE_KNOT_Y_0+(M164-V7_AGE_KNOT_X_0)/(V7_AGE_KNOT_X_1-V7_AGE_KNOT_X_0)*(V7_AGE_KNOT_Y_1-V7_AGE_KNOT_Y_0),IF(M164&lt;=V7_AGE_KNOT_X_2,V7_AGE_KNOT_Y_1+(M164-V7_AGE_KNOT_X_1)/(V7_AGE_KNOT_X_2-V7_AGE_KNOT_X_1)*(V7_AGE_KNOT_Y_2-V7_AGE_KNOT_Y_1),IF(M164&lt;=V7_AGE_KNOT_X_3,V7_AGE_KNOT_Y_2+(M164-V7_AGE_KNOT_X_2)/(V7_AGE_KNOT_X_3-V7_AGE_KNOT_X_2)*(V7_AGE_KNOT_Y_3-V7_AGE_KNOT_Y_2),IF(M164&lt;=V7_AGE_KNOT_X_4,V7_AGE_KNOT_Y_3+(M164-V7_AGE_KNOT_X_3)/(V7_AGE_KNOT_X_4-V7_AGE_KNOT_X_3)*(V7_AGE_KNOT_Y_4-V7_AGE_KNOT_Y_3),V7_AGE_KNOT_Y_4+(M164-V7_AGE_KNOT_X_4)/(V7_AGE_KNOT_X_5-V7_AGE_KNOT_X_4)*(V7_AGE_KNOT_Y_5-V7_AGE_KNOT_Y_4)))))))</f>
        <v/>
      </c>
      <c r="X164" s="26">
        <f>V7_RATE_FLOOR+V7_RATE_ASYMPTOTE/(1+EXP(-(V164-V7_RATE_MID)/V7_RATE_SLOPE))</f>
        <v/>
      </c>
      <c r="Y164" s="26">
        <f>MAX(V7_SIZE_LOW,MIN(V7_SIZE_HIGH,V7_SIZE_INTERCEPT+V7_SIZE_SLOPE*(T164-V7_SIZE_LOG_ANCHOR)))</f>
        <v/>
      </c>
      <c r="Z164" s="26">
        <f>IF(ISNUMBER(SEARCH("232",E164)),VLOOKUP("232",V7_PROGRAM_TABLE,2,FALSE),IF(ISNUMBER(SEARCH("538",E164)),VLOOKUP("538",V7_PROGRAM_TABLE,2,FALSE),IF(ISNUMBER(SEARCH("223a7",E164)),VLOOKUP("223a7",V7_PROGRAM_TABLE,2,FALSE),IF(ISNUMBER(SEARCH("223f",E164)),VLOOKUP("223f",V7_PROGRAM_TABLE,2,FALSE),V7_PROGRAM_DEFAULT))))</f>
        <v/>
      </c>
      <c r="AA164" s="26">
        <f>IF(S164=1,1+V7_PURPOSE_NC_BUMP*MAX(0,1-ABS(M164-V7_PURPOSE_PEAK_AGE)/V7_PURPOSE_WIDTH),1)</f>
        <v/>
      </c>
      <c r="AB164" s="26">
        <f>IF(AND(IF(OR(P164="",NOT(ISNUMBER(P164))),0,MAX(0,MIN(24,(INT(VALUE(H164)/100)-INT(P164/100))*12+MOD(VALUE(H164),100)-MOD(P164,100))))&gt;0,IF(OR(P164="",NOT(ISNUMBER(P164))),0,MAX(0,MIN(24,(INT(VALUE(H164)/100)-INT(P164/100))*12+MOD(VALUE(H164),100)-MOD(P164,100))))&lt;=12),1+V7_LOCKOUT_AMP*EXP(-(IF(OR(P164="",NOT(ISNUMBER(P164))),0,MAX(0,MIN(24,(INT(VALUE(H164)/100)-INT(P164/100))*12+MOD(VALUE(H164),100)-MOD(P164,100)))))/V7_LOCKOUT_TAU),1)</f>
        <v/>
      </c>
      <c r="AC164" s="26">
        <f>IF(IF(OR(O164="",NOT(ISNUMBER(O164))),360,MAX(0,MIN(480,(INT(O164/100)-INT(VALUE(H164)/100))*12+MOD(O164,100)-MOD(VALUE(H164),100))))&gt;0,1+V7_MTY_AMP*MAX(0,(V7_MTY_CUTOFF-(IF(OR(O164="",NOT(ISNUMBER(O164))),360,MAX(0,MIN(480,(INT(O164/100)-INT(VALUE(H164)/100))*12+MOD(O164,100)-MOD(VALUE(H164),100))))))/V7_MTY_CUTOFF),1)</f>
        <v/>
      </c>
      <c r="AD164" s="26">
        <f>MAX(V7_BURN_FLOOR,1-V7_BURN_SLOPE*MIN(1,MAX(0,R164)))</f>
        <v/>
      </c>
      <c r="AE164" s="26">
        <f>IF(V7_USE_ISSUER=1,IFERROR(VLOOKUP(Q164,V7_ISSUER_TABLE,3,FALSE),1),1)</f>
        <v/>
      </c>
      <c r="AF164" s="26">
        <f>PRODUCT(W164:AE164)</f>
        <v/>
      </c>
      <c r="AG164" s="27">
        <f>MIN(V7_BASE_SMM*AF164,V7_SMM_CAP)</f>
        <v/>
      </c>
      <c r="AH164" s="28">
        <f>1-(1-AG164)^12</f>
        <v/>
      </c>
      <c r="AI164" s="28">
        <f>IFERROR(LN(W164)/(LN(W164)+LN(X164)+LN(Y164)+LN(Z164)+LN(AA164)+LN(AB164)+LN(AC164)+LN(AD164))*(AH164-V7_BASE_CPR),0)</f>
        <v/>
      </c>
      <c r="AJ164" s="28">
        <f>IFERROR(LN(X164)/(LN(W164)+LN(X164)+LN(Y164)+LN(Z164)+LN(AA164)+LN(AB164)+LN(AC164)+LN(AD164))*(AH164-V7_BASE_CPR),0)</f>
        <v/>
      </c>
      <c r="AK164" s="28">
        <f>IFERROR(LN(Y164)/(LN(W164)+LN(X164)+LN(Y164)+LN(Z164)+LN(AA164)+LN(AB164)+LN(AC164)+LN(AD164))*(AH164-V7_BASE_CPR),0)</f>
        <v/>
      </c>
      <c r="AL164" s="28">
        <f>IFERROR(LN(Z164)/(LN(W164)+LN(X164)+LN(Y164)+LN(Z164)+LN(AA164)+LN(AB164)+LN(AC164)+LN(AD164))*(AH164-V7_BASE_CPR),0)</f>
        <v/>
      </c>
      <c r="AM164" s="28">
        <f>IFERROR(LN(AA164)/(LN(W164)+LN(X164)+LN(Y164)+LN(Z164)+LN(AA164)+LN(AB164)+LN(AC164)+LN(AD164))*(AH164-V7_BASE_CPR),0)</f>
        <v/>
      </c>
      <c r="AN164" s="28">
        <f>IFERROR(LN(AB164)/(LN(W164)+LN(X164)+LN(Y164)+LN(Z164)+LN(AA164)+LN(AB164)+LN(AC164)+LN(AD164))*(AH164-V7_BASE_CPR),0)</f>
        <v/>
      </c>
      <c r="AO164" s="28">
        <f>IFERROR(LN(AC164)/(LN(W164)+LN(X164)+LN(Y164)+LN(Z164)+LN(AA164)+LN(AB164)+LN(AC164)+LN(AD164))*(AH164-V7_BASE_CPR),0)</f>
        <v/>
      </c>
      <c r="AP164" s="28">
        <f>IFERROR(LN(AD164)/(LN(W164)+LN(X164)+LN(Y164)+LN(Z164)+LN(AA164)+LN(AB164)+LN(AC164)+LN(AD164))*(AH164-V7_BASE_CPR),0)</f>
        <v/>
      </c>
      <c r="AQ164" s="29">
        <f>V7_BASE_CPR+SUM(AI164:AP164)-AH164</f>
        <v/>
      </c>
    </row>
    <row r="165">
      <c r="A165" s="2" t="inlineStr">
        <is>
          <t>36181GX61_000000005235725</t>
        </is>
      </c>
      <c r="B165" t="inlineStr">
        <is>
          <t>WELLS_PRE21</t>
        </is>
      </c>
      <c r="C165" s="2" t="inlineStr">
        <is>
          <t>36181GX61</t>
        </is>
      </c>
      <c r="D165" t="inlineStr">
        <is>
          <t>WELLS FARGO BANK, N.A.</t>
        </is>
      </c>
      <c r="E165" t="inlineStr">
        <is>
          <t>221d4</t>
        </is>
      </c>
      <c r="F165" t="inlineStr">
        <is>
          <t>NC</t>
        </is>
      </c>
      <c r="G165" t="n">
        <v>2014</v>
      </c>
      <c r="H165" t="inlineStr">
        <is>
          <t>202602</t>
        </is>
      </c>
      <c r="I165" s="22" t="n">
        <v>4248949.93</v>
      </c>
      <c r="J165" s="23" t="n">
        <v>5</v>
      </c>
      <c r="K165" s="24" t="n">
        <v>447</v>
      </c>
      <c r="L165" s="24" t="n">
        <v>0</v>
      </c>
      <c r="M165" t="n">
        <v>144</v>
      </c>
      <c r="N165" s="25" t="n">
        <v>52</v>
      </c>
      <c r="O165" t="n">
        <v>205503</v>
      </c>
      <c r="P165" t="n">
        <v>201704</v>
      </c>
      <c r="Q165" t="inlineStr">
        <is>
          <t>3998</t>
        </is>
      </c>
      <c r="R165" s="26" t="n">
        <v>0.3611111111111111</v>
      </c>
      <c r="S165" t="n">
        <v>1</v>
      </c>
      <c r="T165" s="23">
        <f>LN(1+I165)</f>
        <v/>
      </c>
      <c r="U165" s="24">
        <f>J165*100-K165</f>
        <v/>
      </c>
      <c r="V165" s="24">
        <f>U165-12.5*(L165+1)</f>
        <v/>
      </c>
      <c r="W165" s="26">
        <f>IF(M165&lt;=V7_AGE_KNOT_X_0,V7_AGE_KNOT_Y_0,IF(M165&gt;=V7_AGE_KNOT_X_5,V7_AGE_KNOT_Y_5,IF(M165&lt;=V7_AGE_KNOT_X_1,V7_AGE_KNOT_Y_0+(M165-V7_AGE_KNOT_X_0)/(V7_AGE_KNOT_X_1-V7_AGE_KNOT_X_0)*(V7_AGE_KNOT_Y_1-V7_AGE_KNOT_Y_0),IF(M165&lt;=V7_AGE_KNOT_X_2,V7_AGE_KNOT_Y_1+(M165-V7_AGE_KNOT_X_1)/(V7_AGE_KNOT_X_2-V7_AGE_KNOT_X_1)*(V7_AGE_KNOT_Y_2-V7_AGE_KNOT_Y_1),IF(M165&lt;=V7_AGE_KNOT_X_3,V7_AGE_KNOT_Y_2+(M165-V7_AGE_KNOT_X_2)/(V7_AGE_KNOT_X_3-V7_AGE_KNOT_X_2)*(V7_AGE_KNOT_Y_3-V7_AGE_KNOT_Y_2),IF(M165&lt;=V7_AGE_KNOT_X_4,V7_AGE_KNOT_Y_3+(M165-V7_AGE_KNOT_X_3)/(V7_AGE_KNOT_X_4-V7_AGE_KNOT_X_3)*(V7_AGE_KNOT_Y_4-V7_AGE_KNOT_Y_3),V7_AGE_KNOT_Y_4+(M165-V7_AGE_KNOT_X_4)/(V7_AGE_KNOT_X_5-V7_AGE_KNOT_X_4)*(V7_AGE_KNOT_Y_5-V7_AGE_KNOT_Y_4)))))))</f>
        <v/>
      </c>
      <c r="X165" s="26">
        <f>V7_RATE_FLOOR+V7_RATE_ASYMPTOTE/(1+EXP(-(V165-V7_RATE_MID)/V7_RATE_SLOPE))</f>
        <v/>
      </c>
      <c r="Y165" s="26">
        <f>MAX(V7_SIZE_LOW,MIN(V7_SIZE_HIGH,V7_SIZE_INTERCEPT+V7_SIZE_SLOPE*(T165-V7_SIZE_LOG_ANCHOR)))</f>
        <v/>
      </c>
      <c r="Z165" s="26">
        <f>IF(ISNUMBER(SEARCH("232",E165)),VLOOKUP("232",V7_PROGRAM_TABLE,2,FALSE),IF(ISNUMBER(SEARCH("538",E165)),VLOOKUP("538",V7_PROGRAM_TABLE,2,FALSE),IF(ISNUMBER(SEARCH("223a7",E165)),VLOOKUP("223a7",V7_PROGRAM_TABLE,2,FALSE),IF(ISNUMBER(SEARCH("223f",E165)),VLOOKUP("223f",V7_PROGRAM_TABLE,2,FALSE),V7_PROGRAM_DEFAULT))))</f>
        <v/>
      </c>
      <c r="AA165" s="26">
        <f>IF(S165=1,1+V7_PURPOSE_NC_BUMP*MAX(0,1-ABS(M165-V7_PURPOSE_PEAK_AGE)/V7_PURPOSE_WIDTH),1)</f>
        <v/>
      </c>
      <c r="AB165" s="26">
        <f>IF(AND(IF(OR(P165="",NOT(ISNUMBER(P165))),0,MAX(0,MIN(24,(INT(VALUE(H165)/100)-INT(P165/100))*12+MOD(VALUE(H165),100)-MOD(P165,100))))&gt;0,IF(OR(P165="",NOT(ISNUMBER(P165))),0,MAX(0,MIN(24,(INT(VALUE(H165)/100)-INT(P165/100))*12+MOD(VALUE(H165),100)-MOD(P165,100))))&lt;=12),1+V7_LOCKOUT_AMP*EXP(-(IF(OR(P165="",NOT(ISNUMBER(P165))),0,MAX(0,MIN(24,(INT(VALUE(H165)/100)-INT(P165/100))*12+MOD(VALUE(H165),100)-MOD(P165,100)))))/V7_LOCKOUT_TAU),1)</f>
        <v/>
      </c>
      <c r="AC165" s="26">
        <f>IF(IF(OR(O165="",NOT(ISNUMBER(O165))),360,MAX(0,MIN(480,(INT(O165/100)-INT(VALUE(H165)/100))*12+MOD(O165,100)-MOD(VALUE(H165),100))))&gt;0,1+V7_MTY_AMP*MAX(0,(V7_MTY_CUTOFF-(IF(OR(O165="",NOT(ISNUMBER(O165))),360,MAX(0,MIN(480,(INT(O165/100)-INT(VALUE(H165)/100))*12+MOD(O165,100)-MOD(VALUE(H165),100))))))/V7_MTY_CUTOFF),1)</f>
        <v/>
      </c>
      <c r="AD165" s="26">
        <f>MAX(V7_BURN_FLOOR,1-V7_BURN_SLOPE*MIN(1,MAX(0,R165)))</f>
        <v/>
      </c>
      <c r="AE165" s="26">
        <f>IF(V7_USE_ISSUER=1,IFERROR(VLOOKUP(Q165,V7_ISSUER_TABLE,3,FALSE),1),1)</f>
        <v/>
      </c>
      <c r="AF165" s="26">
        <f>PRODUCT(W165:AE165)</f>
        <v/>
      </c>
      <c r="AG165" s="27">
        <f>MIN(V7_BASE_SMM*AF165,V7_SMM_CAP)</f>
        <v/>
      </c>
      <c r="AH165" s="28">
        <f>1-(1-AG165)^12</f>
        <v/>
      </c>
      <c r="AI165" s="28">
        <f>IFERROR(LN(W165)/(LN(W165)+LN(X165)+LN(Y165)+LN(Z165)+LN(AA165)+LN(AB165)+LN(AC165)+LN(AD165))*(AH165-V7_BASE_CPR),0)</f>
        <v/>
      </c>
      <c r="AJ165" s="28">
        <f>IFERROR(LN(X165)/(LN(W165)+LN(X165)+LN(Y165)+LN(Z165)+LN(AA165)+LN(AB165)+LN(AC165)+LN(AD165))*(AH165-V7_BASE_CPR),0)</f>
        <v/>
      </c>
      <c r="AK165" s="28">
        <f>IFERROR(LN(Y165)/(LN(W165)+LN(X165)+LN(Y165)+LN(Z165)+LN(AA165)+LN(AB165)+LN(AC165)+LN(AD165))*(AH165-V7_BASE_CPR),0)</f>
        <v/>
      </c>
      <c r="AL165" s="28">
        <f>IFERROR(LN(Z165)/(LN(W165)+LN(X165)+LN(Y165)+LN(Z165)+LN(AA165)+LN(AB165)+LN(AC165)+LN(AD165))*(AH165-V7_BASE_CPR),0)</f>
        <v/>
      </c>
      <c r="AM165" s="28">
        <f>IFERROR(LN(AA165)/(LN(W165)+LN(X165)+LN(Y165)+LN(Z165)+LN(AA165)+LN(AB165)+LN(AC165)+LN(AD165))*(AH165-V7_BASE_CPR),0)</f>
        <v/>
      </c>
      <c r="AN165" s="28">
        <f>IFERROR(LN(AB165)/(LN(W165)+LN(X165)+LN(Y165)+LN(Z165)+LN(AA165)+LN(AB165)+LN(AC165)+LN(AD165))*(AH165-V7_BASE_CPR),0)</f>
        <v/>
      </c>
      <c r="AO165" s="28">
        <f>IFERROR(LN(AC165)/(LN(W165)+LN(X165)+LN(Y165)+LN(Z165)+LN(AA165)+LN(AB165)+LN(AC165)+LN(AD165))*(AH165-V7_BASE_CPR),0)</f>
        <v/>
      </c>
      <c r="AP165" s="28">
        <f>IFERROR(LN(AD165)/(LN(W165)+LN(X165)+LN(Y165)+LN(Z165)+LN(AA165)+LN(AB165)+LN(AC165)+LN(AD165))*(AH165-V7_BASE_CPR),0)</f>
        <v/>
      </c>
      <c r="AQ165" s="29">
        <f>V7_BASE_CPR+SUM(AI165:AP165)-AH165</f>
        <v/>
      </c>
    </row>
    <row r="166">
      <c r="A166" s="2" t="inlineStr">
        <is>
          <t>3617VPHC5_000000005311510</t>
        </is>
      </c>
      <c r="B166" t="inlineStr">
        <is>
          <t>WELLS_POST21</t>
        </is>
      </c>
      <c r="C166" s="2" t="inlineStr">
        <is>
          <t>3617VPHC5</t>
        </is>
      </c>
      <c r="D166" t="inlineStr">
        <is>
          <t>WELLS FARGO BANK, N.A.</t>
        </is>
      </c>
      <c r="E166" t="inlineStr">
        <is>
          <t>223a7</t>
        </is>
      </c>
      <c r="F166" t="inlineStr">
        <is>
          <t>RP</t>
        </is>
      </c>
      <c r="G166" t="n">
        <v>2021</v>
      </c>
      <c r="H166" t="inlineStr">
        <is>
          <t>202602</t>
        </is>
      </c>
      <c r="I166" s="22" t="n">
        <v>25079366.37</v>
      </c>
      <c r="J166" s="23" t="n">
        <v>2.6</v>
      </c>
      <c r="K166" s="24" t="n">
        <v>447</v>
      </c>
      <c r="L166" s="24" t="n">
        <v>6</v>
      </c>
      <c r="M166" t="n">
        <v>56</v>
      </c>
      <c r="N166" s="25" t="n">
        <v>0</v>
      </c>
      <c r="O166" t="n">
        <v>205607</v>
      </c>
      <c r="P166" t="inlineStr"/>
      <c r="Q166" t="inlineStr">
        <is>
          <t>3998</t>
        </is>
      </c>
      <c r="R166" s="26" t="n">
        <v>0</v>
      </c>
      <c r="S166" t="n">
        <v>0</v>
      </c>
      <c r="T166" s="23">
        <f>LN(1+I166)</f>
        <v/>
      </c>
      <c r="U166" s="24">
        <f>J166*100-K166</f>
        <v/>
      </c>
      <c r="V166" s="24">
        <f>U166-12.5*(L166+1)</f>
        <v/>
      </c>
      <c r="W166" s="26">
        <f>IF(M166&lt;=V7_AGE_KNOT_X_0,V7_AGE_KNOT_Y_0,IF(M166&gt;=V7_AGE_KNOT_X_5,V7_AGE_KNOT_Y_5,IF(M166&lt;=V7_AGE_KNOT_X_1,V7_AGE_KNOT_Y_0+(M166-V7_AGE_KNOT_X_0)/(V7_AGE_KNOT_X_1-V7_AGE_KNOT_X_0)*(V7_AGE_KNOT_Y_1-V7_AGE_KNOT_Y_0),IF(M166&lt;=V7_AGE_KNOT_X_2,V7_AGE_KNOT_Y_1+(M166-V7_AGE_KNOT_X_1)/(V7_AGE_KNOT_X_2-V7_AGE_KNOT_X_1)*(V7_AGE_KNOT_Y_2-V7_AGE_KNOT_Y_1),IF(M166&lt;=V7_AGE_KNOT_X_3,V7_AGE_KNOT_Y_2+(M166-V7_AGE_KNOT_X_2)/(V7_AGE_KNOT_X_3-V7_AGE_KNOT_X_2)*(V7_AGE_KNOT_Y_3-V7_AGE_KNOT_Y_2),IF(M166&lt;=V7_AGE_KNOT_X_4,V7_AGE_KNOT_Y_3+(M166-V7_AGE_KNOT_X_3)/(V7_AGE_KNOT_X_4-V7_AGE_KNOT_X_3)*(V7_AGE_KNOT_Y_4-V7_AGE_KNOT_Y_3),V7_AGE_KNOT_Y_4+(M166-V7_AGE_KNOT_X_4)/(V7_AGE_KNOT_X_5-V7_AGE_KNOT_X_4)*(V7_AGE_KNOT_Y_5-V7_AGE_KNOT_Y_4)))))))</f>
        <v/>
      </c>
      <c r="X166" s="26">
        <f>V7_RATE_FLOOR+V7_RATE_ASYMPTOTE/(1+EXP(-(V166-V7_RATE_MID)/V7_RATE_SLOPE))</f>
        <v/>
      </c>
      <c r="Y166" s="26">
        <f>MAX(V7_SIZE_LOW,MIN(V7_SIZE_HIGH,V7_SIZE_INTERCEPT+V7_SIZE_SLOPE*(T166-V7_SIZE_LOG_ANCHOR)))</f>
        <v/>
      </c>
      <c r="Z166" s="26">
        <f>IF(ISNUMBER(SEARCH("232",E166)),VLOOKUP("232",V7_PROGRAM_TABLE,2,FALSE),IF(ISNUMBER(SEARCH("538",E166)),VLOOKUP("538",V7_PROGRAM_TABLE,2,FALSE),IF(ISNUMBER(SEARCH("223a7",E166)),VLOOKUP("223a7",V7_PROGRAM_TABLE,2,FALSE),IF(ISNUMBER(SEARCH("223f",E166)),VLOOKUP("223f",V7_PROGRAM_TABLE,2,FALSE),V7_PROGRAM_DEFAULT))))</f>
        <v/>
      </c>
      <c r="AA166" s="26">
        <f>IF(S166=1,1+V7_PURPOSE_NC_BUMP*MAX(0,1-ABS(M166-V7_PURPOSE_PEAK_AGE)/V7_PURPOSE_WIDTH),1)</f>
        <v/>
      </c>
      <c r="AB166" s="26">
        <f>IF(AND(IF(OR(P166="",NOT(ISNUMBER(P166))),0,MAX(0,MIN(24,(INT(VALUE(H166)/100)-INT(P166/100))*12+MOD(VALUE(H166),100)-MOD(P166,100))))&gt;0,IF(OR(P166="",NOT(ISNUMBER(P166))),0,MAX(0,MIN(24,(INT(VALUE(H166)/100)-INT(P166/100))*12+MOD(VALUE(H166),100)-MOD(P166,100))))&lt;=12),1+V7_LOCKOUT_AMP*EXP(-(IF(OR(P166="",NOT(ISNUMBER(P166))),0,MAX(0,MIN(24,(INT(VALUE(H166)/100)-INT(P166/100))*12+MOD(VALUE(H166),100)-MOD(P166,100)))))/V7_LOCKOUT_TAU),1)</f>
        <v/>
      </c>
      <c r="AC166" s="26">
        <f>IF(IF(OR(O166="",NOT(ISNUMBER(O166))),360,MAX(0,MIN(480,(INT(O166/100)-INT(VALUE(H166)/100))*12+MOD(O166,100)-MOD(VALUE(H166),100))))&gt;0,1+V7_MTY_AMP*MAX(0,(V7_MTY_CUTOFF-(IF(OR(O166="",NOT(ISNUMBER(O166))),360,MAX(0,MIN(480,(INT(O166/100)-INT(VALUE(H166)/100))*12+MOD(O166,100)-MOD(VALUE(H166),100))))))/V7_MTY_CUTOFF),1)</f>
        <v/>
      </c>
      <c r="AD166" s="26">
        <f>MAX(V7_BURN_FLOOR,1-V7_BURN_SLOPE*MIN(1,MAX(0,R166)))</f>
        <v/>
      </c>
      <c r="AE166" s="26">
        <f>IF(V7_USE_ISSUER=1,IFERROR(VLOOKUP(Q166,V7_ISSUER_TABLE,3,FALSE),1),1)</f>
        <v/>
      </c>
      <c r="AF166" s="26">
        <f>PRODUCT(W166:AE166)</f>
        <v/>
      </c>
      <c r="AG166" s="27">
        <f>MIN(V7_BASE_SMM*AF166,V7_SMM_CAP)</f>
        <v/>
      </c>
      <c r="AH166" s="28">
        <f>1-(1-AG166)^12</f>
        <v/>
      </c>
      <c r="AI166" s="28">
        <f>IFERROR(LN(W166)/(LN(W166)+LN(X166)+LN(Y166)+LN(Z166)+LN(AA166)+LN(AB166)+LN(AC166)+LN(AD166))*(AH166-V7_BASE_CPR),0)</f>
        <v/>
      </c>
      <c r="AJ166" s="28">
        <f>IFERROR(LN(X166)/(LN(W166)+LN(X166)+LN(Y166)+LN(Z166)+LN(AA166)+LN(AB166)+LN(AC166)+LN(AD166))*(AH166-V7_BASE_CPR),0)</f>
        <v/>
      </c>
      <c r="AK166" s="28">
        <f>IFERROR(LN(Y166)/(LN(W166)+LN(X166)+LN(Y166)+LN(Z166)+LN(AA166)+LN(AB166)+LN(AC166)+LN(AD166))*(AH166-V7_BASE_CPR),0)</f>
        <v/>
      </c>
      <c r="AL166" s="28">
        <f>IFERROR(LN(Z166)/(LN(W166)+LN(X166)+LN(Y166)+LN(Z166)+LN(AA166)+LN(AB166)+LN(AC166)+LN(AD166))*(AH166-V7_BASE_CPR),0)</f>
        <v/>
      </c>
      <c r="AM166" s="28">
        <f>IFERROR(LN(AA166)/(LN(W166)+LN(X166)+LN(Y166)+LN(Z166)+LN(AA166)+LN(AB166)+LN(AC166)+LN(AD166))*(AH166-V7_BASE_CPR),0)</f>
        <v/>
      </c>
      <c r="AN166" s="28">
        <f>IFERROR(LN(AB166)/(LN(W166)+LN(X166)+LN(Y166)+LN(Z166)+LN(AA166)+LN(AB166)+LN(AC166)+LN(AD166))*(AH166-V7_BASE_CPR),0)</f>
        <v/>
      </c>
      <c r="AO166" s="28">
        <f>IFERROR(LN(AC166)/(LN(W166)+LN(X166)+LN(Y166)+LN(Z166)+LN(AA166)+LN(AB166)+LN(AC166)+LN(AD166))*(AH166-V7_BASE_CPR),0)</f>
        <v/>
      </c>
      <c r="AP166" s="28">
        <f>IFERROR(LN(AD166)/(LN(W166)+LN(X166)+LN(Y166)+LN(Z166)+LN(AA166)+LN(AB166)+LN(AC166)+LN(AD166))*(AH166-V7_BASE_CPR),0)</f>
        <v/>
      </c>
      <c r="AQ166" s="29">
        <f>V7_BASE_CPR+SUM(AI166:AP166)-AH166</f>
        <v/>
      </c>
    </row>
    <row r="167">
      <c r="A167" s="2" t="inlineStr">
        <is>
          <t>36294Y4T8_000000006535650</t>
        </is>
      </c>
      <c r="B167" t="inlineStr">
        <is>
          <t>WELLS_PRE21</t>
        </is>
      </c>
      <c r="C167" s="2" t="inlineStr">
        <is>
          <t>36294Y4T8</t>
        </is>
      </c>
      <c r="D167" t="inlineStr">
        <is>
          <t>WELLS FARGO BANK, N.A.</t>
        </is>
      </c>
      <c r="E167" t="inlineStr">
        <is>
          <t>221d4</t>
        </is>
      </c>
      <c r="F167" t="inlineStr">
        <is>
          <t>RP</t>
        </is>
      </c>
      <c r="G167" t="n">
        <v>2007</v>
      </c>
      <c r="H167" t="inlineStr">
        <is>
          <t>202602</t>
        </is>
      </c>
      <c r="I167" s="22" t="n">
        <v>822660.01</v>
      </c>
      <c r="J167" s="23" t="n">
        <v>6.5</v>
      </c>
      <c r="K167" s="24" t="n">
        <v>447</v>
      </c>
      <c r="L167" s="24" t="n">
        <v>0</v>
      </c>
      <c r="M167" t="n">
        <v>221</v>
      </c>
      <c r="N167" s="25" t="n">
        <v>87</v>
      </c>
      <c r="O167" t="n">
        <v>203710</v>
      </c>
      <c r="P167" t="n">
        <v>200811</v>
      </c>
      <c r="Q167" t="inlineStr">
        <is>
          <t>3998</t>
        </is>
      </c>
      <c r="R167" s="26" t="n">
        <v>0.3936651583710407</v>
      </c>
      <c r="S167" t="n">
        <v>0</v>
      </c>
      <c r="T167" s="23">
        <f>LN(1+I167)</f>
        <v/>
      </c>
      <c r="U167" s="24">
        <f>J167*100-K167</f>
        <v/>
      </c>
      <c r="V167" s="24">
        <f>U167-12.5*(L167+1)</f>
        <v/>
      </c>
      <c r="W167" s="26">
        <f>IF(M167&lt;=V7_AGE_KNOT_X_0,V7_AGE_KNOT_Y_0,IF(M167&gt;=V7_AGE_KNOT_X_5,V7_AGE_KNOT_Y_5,IF(M167&lt;=V7_AGE_KNOT_X_1,V7_AGE_KNOT_Y_0+(M167-V7_AGE_KNOT_X_0)/(V7_AGE_KNOT_X_1-V7_AGE_KNOT_X_0)*(V7_AGE_KNOT_Y_1-V7_AGE_KNOT_Y_0),IF(M167&lt;=V7_AGE_KNOT_X_2,V7_AGE_KNOT_Y_1+(M167-V7_AGE_KNOT_X_1)/(V7_AGE_KNOT_X_2-V7_AGE_KNOT_X_1)*(V7_AGE_KNOT_Y_2-V7_AGE_KNOT_Y_1),IF(M167&lt;=V7_AGE_KNOT_X_3,V7_AGE_KNOT_Y_2+(M167-V7_AGE_KNOT_X_2)/(V7_AGE_KNOT_X_3-V7_AGE_KNOT_X_2)*(V7_AGE_KNOT_Y_3-V7_AGE_KNOT_Y_2),IF(M167&lt;=V7_AGE_KNOT_X_4,V7_AGE_KNOT_Y_3+(M167-V7_AGE_KNOT_X_3)/(V7_AGE_KNOT_X_4-V7_AGE_KNOT_X_3)*(V7_AGE_KNOT_Y_4-V7_AGE_KNOT_Y_3),V7_AGE_KNOT_Y_4+(M167-V7_AGE_KNOT_X_4)/(V7_AGE_KNOT_X_5-V7_AGE_KNOT_X_4)*(V7_AGE_KNOT_Y_5-V7_AGE_KNOT_Y_4)))))))</f>
        <v/>
      </c>
      <c r="X167" s="26">
        <f>V7_RATE_FLOOR+V7_RATE_ASYMPTOTE/(1+EXP(-(V167-V7_RATE_MID)/V7_RATE_SLOPE))</f>
        <v/>
      </c>
      <c r="Y167" s="26">
        <f>MAX(V7_SIZE_LOW,MIN(V7_SIZE_HIGH,V7_SIZE_INTERCEPT+V7_SIZE_SLOPE*(T167-V7_SIZE_LOG_ANCHOR)))</f>
        <v/>
      </c>
      <c r="Z167" s="26">
        <f>IF(ISNUMBER(SEARCH("232",E167)),VLOOKUP("232",V7_PROGRAM_TABLE,2,FALSE),IF(ISNUMBER(SEARCH("538",E167)),VLOOKUP("538",V7_PROGRAM_TABLE,2,FALSE),IF(ISNUMBER(SEARCH("223a7",E167)),VLOOKUP("223a7",V7_PROGRAM_TABLE,2,FALSE),IF(ISNUMBER(SEARCH("223f",E167)),VLOOKUP("223f",V7_PROGRAM_TABLE,2,FALSE),V7_PROGRAM_DEFAULT))))</f>
        <v/>
      </c>
      <c r="AA167" s="26">
        <f>IF(S167=1,1+V7_PURPOSE_NC_BUMP*MAX(0,1-ABS(M167-V7_PURPOSE_PEAK_AGE)/V7_PURPOSE_WIDTH),1)</f>
        <v/>
      </c>
      <c r="AB167" s="26">
        <f>IF(AND(IF(OR(P167="",NOT(ISNUMBER(P167))),0,MAX(0,MIN(24,(INT(VALUE(H167)/100)-INT(P167/100))*12+MOD(VALUE(H167),100)-MOD(P167,100))))&gt;0,IF(OR(P167="",NOT(ISNUMBER(P167))),0,MAX(0,MIN(24,(INT(VALUE(H167)/100)-INT(P167/100))*12+MOD(VALUE(H167),100)-MOD(P167,100))))&lt;=12),1+V7_LOCKOUT_AMP*EXP(-(IF(OR(P167="",NOT(ISNUMBER(P167))),0,MAX(0,MIN(24,(INT(VALUE(H167)/100)-INT(P167/100))*12+MOD(VALUE(H167),100)-MOD(P167,100)))))/V7_LOCKOUT_TAU),1)</f>
        <v/>
      </c>
      <c r="AC167" s="26">
        <f>IF(IF(OR(O167="",NOT(ISNUMBER(O167))),360,MAX(0,MIN(480,(INT(O167/100)-INT(VALUE(H167)/100))*12+MOD(O167,100)-MOD(VALUE(H167),100))))&gt;0,1+V7_MTY_AMP*MAX(0,(V7_MTY_CUTOFF-(IF(OR(O167="",NOT(ISNUMBER(O167))),360,MAX(0,MIN(480,(INT(O167/100)-INT(VALUE(H167)/100))*12+MOD(O167,100)-MOD(VALUE(H167),100))))))/V7_MTY_CUTOFF),1)</f>
        <v/>
      </c>
      <c r="AD167" s="26">
        <f>MAX(V7_BURN_FLOOR,1-V7_BURN_SLOPE*MIN(1,MAX(0,R167)))</f>
        <v/>
      </c>
      <c r="AE167" s="26">
        <f>IF(V7_USE_ISSUER=1,IFERROR(VLOOKUP(Q167,V7_ISSUER_TABLE,3,FALSE),1),1)</f>
        <v/>
      </c>
      <c r="AF167" s="26">
        <f>PRODUCT(W167:AE167)</f>
        <v/>
      </c>
      <c r="AG167" s="27">
        <f>MIN(V7_BASE_SMM*AF167,V7_SMM_CAP)</f>
        <v/>
      </c>
      <c r="AH167" s="28">
        <f>1-(1-AG167)^12</f>
        <v/>
      </c>
      <c r="AI167" s="28">
        <f>IFERROR(LN(W167)/(LN(W167)+LN(X167)+LN(Y167)+LN(Z167)+LN(AA167)+LN(AB167)+LN(AC167)+LN(AD167))*(AH167-V7_BASE_CPR),0)</f>
        <v/>
      </c>
      <c r="AJ167" s="28">
        <f>IFERROR(LN(X167)/(LN(W167)+LN(X167)+LN(Y167)+LN(Z167)+LN(AA167)+LN(AB167)+LN(AC167)+LN(AD167))*(AH167-V7_BASE_CPR),0)</f>
        <v/>
      </c>
      <c r="AK167" s="28">
        <f>IFERROR(LN(Y167)/(LN(W167)+LN(X167)+LN(Y167)+LN(Z167)+LN(AA167)+LN(AB167)+LN(AC167)+LN(AD167))*(AH167-V7_BASE_CPR),0)</f>
        <v/>
      </c>
      <c r="AL167" s="28">
        <f>IFERROR(LN(Z167)/(LN(W167)+LN(X167)+LN(Y167)+LN(Z167)+LN(AA167)+LN(AB167)+LN(AC167)+LN(AD167))*(AH167-V7_BASE_CPR),0)</f>
        <v/>
      </c>
      <c r="AM167" s="28">
        <f>IFERROR(LN(AA167)/(LN(W167)+LN(X167)+LN(Y167)+LN(Z167)+LN(AA167)+LN(AB167)+LN(AC167)+LN(AD167))*(AH167-V7_BASE_CPR),0)</f>
        <v/>
      </c>
      <c r="AN167" s="28">
        <f>IFERROR(LN(AB167)/(LN(W167)+LN(X167)+LN(Y167)+LN(Z167)+LN(AA167)+LN(AB167)+LN(AC167)+LN(AD167))*(AH167-V7_BASE_CPR),0)</f>
        <v/>
      </c>
      <c r="AO167" s="28">
        <f>IFERROR(LN(AC167)/(LN(W167)+LN(X167)+LN(Y167)+LN(Z167)+LN(AA167)+LN(AB167)+LN(AC167)+LN(AD167))*(AH167-V7_BASE_CPR),0)</f>
        <v/>
      </c>
      <c r="AP167" s="28">
        <f>IFERROR(LN(AD167)/(LN(W167)+LN(X167)+LN(Y167)+LN(Z167)+LN(AA167)+LN(AB167)+LN(AC167)+LN(AD167))*(AH167-V7_BASE_CPR),0)</f>
        <v/>
      </c>
      <c r="AQ167" s="29">
        <f>V7_BASE_CPR+SUM(AI167:AP167)-AH167</f>
        <v/>
      </c>
    </row>
    <row r="168">
      <c r="A168" s="2" t="inlineStr">
        <is>
          <t>36181YXA3_000000010135738</t>
        </is>
      </c>
      <c r="B168" t="inlineStr">
        <is>
          <t>WELLS_PRE21</t>
        </is>
      </c>
      <c r="C168" s="2" t="inlineStr">
        <is>
          <t>36181YXA3</t>
        </is>
      </c>
      <c r="D168" t="inlineStr">
        <is>
          <t>WELLS FARGO BANK, N.A.</t>
        </is>
      </c>
      <c r="E168" t="inlineStr">
        <is>
          <t>221d4</t>
        </is>
      </c>
      <c r="F168" t="inlineStr">
        <is>
          <t>NC</t>
        </is>
      </c>
      <c r="G168" t="n">
        <v>2014</v>
      </c>
      <c r="H168" t="inlineStr">
        <is>
          <t>202602</t>
        </is>
      </c>
      <c r="I168" s="22" t="n">
        <v>8511182.23</v>
      </c>
      <c r="J168" s="23" t="n">
        <v>3.72</v>
      </c>
      <c r="K168" s="24" t="n">
        <v>447</v>
      </c>
      <c r="L168" s="24" t="n">
        <v>0</v>
      </c>
      <c r="M168" t="n">
        <v>138</v>
      </c>
      <c r="N168" s="25" t="n">
        <v>32</v>
      </c>
      <c r="O168" t="n">
        <v>205601</v>
      </c>
      <c r="P168" t="n">
        <v>201702</v>
      </c>
      <c r="Q168" t="inlineStr">
        <is>
          <t>3998</t>
        </is>
      </c>
      <c r="R168" s="26" t="n">
        <v>0.2318840579710145</v>
      </c>
      <c r="S168" t="n">
        <v>1</v>
      </c>
      <c r="T168" s="23">
        <f>LN(1+I168)</f>
        <v/>
      </c>
      <c r="U168" s="24">
        <f>J168*100-K168</f>
        <v/>
      </c>
      <c r="V168" s="24">
        <f>U168-12.5*(L168+1)</f>
        <v/>
      </c>
      <c r="W168" s="26">
        <f>IF(M168&lt;=V7_AGE_KNOT_X_0,V7_AGE_KNOT_Y_0,IF(M168&gt;=V7_AGE_KNOT_X_5,V7_AGE_KNOT_Y_5,IF(M168&lt;=V7_AGE_KNOT_X_1,V7_AGE_KNOT_Y_0+(M168-V7_AGE_KNOT_X_0)/(V7_AGE_KNOT_X_1-V7_AGE_KNOT_X_0)*(V7_AGE_KNOT_Y_1-V7_AGE_KNOT_Y_0),IF(M168&lt;=V7_AGE_KNOT_X_2,V7_AGE_KNOT_Y_1+(M168-V7_AGE_KNOT_X_1)/(V7_AGE_KNOT_X_2-V7_AGE_KNOT_X_1)*(V7_AGE_KNOT_Y_2-V7_AGE_KNOT_Y_1),IF(M168&lt;=V7_AGE_KNOT_X_3,V7_AGE_KNOT_Y_2+(M168-V7_AGE_KNOT_X_2)/(V7_AGE_KNOT_X_3-V7_AGE_KNOT_X_2)*(V7_AGE_KNOT_Y_3-V7_AGE_KNOT_Y_2),IF(M168&lt;=V7_AGE_KNOT_X_4,V7_AGE_KNOT_Y_3+(M168-V7_AGE_KNOT_X_3)/(V7_AGE_KNOT_X_4-V7_AGE_KNOT_X_3)*(V7_AGE_KNOT_Y_4-V7_AGE_KNOT_Y_3),V7_AGE_KNOT_Y_4+(M168-V7_AGE_KNOT_X_4)/(V7_AGE_KNOT_X_5-V7_AGE_KNOT_X_4)*(V7_AGE_KNOT_Y_5-V7_AGE_KNOT_Y_4)))))))</f>
        <v/>
      </c>
      <c r="X168" s="26">
        <f>V7_RATE_FLOOR+V7_RATE_ASYMPTOTE/(1+EXP(-(V168-V7_RATE_MID)/V7_RATE_SLOPE))</f>
        <v/>
      </c>
      <c r="Y168" s="26">
        <f>MAX(V7_SIZE_LOW,MIN(V7_SIZE_HIGH,V7_SIZE_INTERCEPT+V7_SIZE_SLOPE*(T168-V7_SIZE_LOG_ANCHOR)))</f>
        <v/>
      </c>
      <c r="Z168" s="26">
        <f>IF(ISNUMBER(SEARCH("232",E168)),VLOOKUP("232",V7_PROGRAM_TABLE,2,FALSE),IF(ISNUMBER(SEARCH("538",E168)),VLOOKUP("538",V7_PROGRAM_TABLE,2,FALSE),IF(ISNUMBER(SEARCH("223a7",E168)),VLOOKUP("223a7",V7_PROGRAM_TABLE,2,FALSE),IF(ISNUMBER(SEARCH("223f",E168)),VLOOKUP("223f",V7_PROGRAM_TABLE,2,FALSE),V7_PROGRAM_DEFAULT))))</f>
        <v/>
      </c>
      <c r="AA168" s="26">
        <f>IF(S168=1,1+V7_PURPOSE_NC_BUMP*MAX(0,1-ABS(M168-V7_PURPOSE_PEAK_AGE)/V7_PURPOSE_WIDTH),1)</f>
        <v/>
      </c>
      <c r="AB168" s="26">
        <f>IF(AND(IF(OR(P168="",NOT(ISNUMBER(P168))),0,MAX(0,MIN(24,(INT(VALUE(H168)/100)-INT(P168/100))*12+MOD(VALUE(H168),100)-MOD(P168,100))))&gt;0,IF(OR(P168="",NOT(ISNUMBER(P168))),0,MAX(0,MIN(24,(INT(VALUE(H168)/100)-INT(P168/100))*12+MOD(VALUE(H168),100)-MOD(P168,100))))&lt;=12),1+V7_LOCKOUT_AMP*EXP(-(IF(OR(P168="",NOT(ISNUMBER(P168))),0,MAX(0,MIN(24,(INT(VALUE(H168)/100)-INT(P168/100))*12+MOD(VALUE(H168),100)-MOD(P168,100)))))/V7_LOCKOUT_TAU),1)</f>
        <v/>
      </c>
      <c r="AC168" s="26">
        <f>IF(IF(OR(O168="",NOT(ISNUMBER(O168))),360,MAX(0,MIN(480,(INT(O168/100)-INT(VALUE(H168)/100))*12+MOD(O168,100)-MOD(VALUE(H168),100))))&gt;0,1+V7_MTY_AMP*MAX(0,(V7_MTY_CUTOFF-(IF(OR(O168="",NOT(ISNUMBER(O168))),360,MAX(0,MIN(480,(INT(O168/100)-INT(VALUE(H168)/100))*12+MOD(O168,100)-MOD(VALUE(H168),100))))))/V7_MTY_CUTOFF),1)</f>
        <v/>
      </c>
      <c r="AD168" s="26">
        <f>MAX(V7_BURN_FLOOR,1-V7_BURN_SLOPE*MIN(1,MAX(0,R168)))</f>
        <v/>
      </c>
      <c r="AE168" s="26">
        <f>IF(V7_USE_ISSUER=1,IFERROR(VLOOKUP(Q168,V7_ISSUER_TABLE,3,FALSE),1),1)</f>
        <v/>
      </c>
      <c r="AF168" s="26">
        <f>PRODUCT(W168:AE168)</f>
        <v/>
      </c>
      <c r="AG168" s="27">
        <f>MIN(V7_BASE_SMM*AF168,V7_SMM_CAP)</f>
        <v/>
      </c>
      <c r="AH168" s="28">
        <f>1-(1-AG168)^12</f>
        <v/>
      </c>
      <c r="AI168" s="28">
        <f>IFERROR(LN(W168)/(LN(W168)+LN(X168)+LN(Y168)+LN(Z168)+LN(AA168)+LN(AB168)+LN(AC168)+LN(AD168))*(AH168-V7_BASE_CPR),0)</f>
        <v/>
      </c>
      <c r="AJ168" s="28">
        <f>IFERROR(LN(X168)/(LN(W168)+LN(X168)+LN(Y168)+LN(Z168)+LN(AA168)+LN(AB168)+LN(AC168)+LN(AD168))*(AH168-V7_BASE_CPR),0)</f>
        <v/>
      </c>
      <c r="AK168" s="28">
        <f>IFERROR(LN(Y168)/(LN(W168)+LN(X168)+LN(Y168)+LN(Z168)+LN(AA168)+LN(AB168)+LN(AC168)+LN(AD168))*(AH168-V7_BASE_CPR),0)</f>
        <v/>
      </c>
      <c r="AL168" s="28">
        <f>IFERROR(LN(Z168)/(LN(W168)+LN(X168)+LN(Y168)+LN(Z168)+LN(AA168)+LN(AB168)+LN(AC168)+LN(AD168))*(AH168-V7_BASE_CPR),0)</f>
        <v/>
      </c>
      <c r="AM168" s="28">
        <f>IFERROR(LN(AA168)/(LN(W168)+LN(X168)+LN(Y168)+LN(Z168)+LN(AA168)+LN(AB168)+LN(AC168)+LN(AD168))*(AH168-V7_BASE_CPR),0)</f>
        <v/>
      </c>
      <c r="AN168" s="28">
        <f>IFERROR(LN(AB168)/(LN(W168)+LN(X168)+LN(Y168)+LN(Z168)+LN(AA168)+LN(AB168)+LN(AC168)+LN(AD168))*(AH168-V7_BASE_CPR),0)</f>
        <v/>
      </c>
      <c r="AO168" s="28">
        <f>IFERROR(LN(AC168)/(LN(W168)+LN(X168)+LN(Y168)+LN(Z168)+LN(AA168)+LN(AB168)+LN(AC168)+LN(AD168))*(AH168-V7_BASE_CPR),0)</f>
        <v/>
      </c>
      <c r="AP168" s="28">
        <f>IFERROR(LN(AD168)/(LN(W168)+LN(X168)+LN(Y168)+LN(Z168)+LN(AA168)+LN(AB168)+LN(AC168)+LN(AD168))*(AH168-V7_BASE_CPR),0)</f>
        <v/>
      </c>
      <c r="AQ168" s="29">
        <f>V7_BASE_CPR+SUM(AI168:AP168)-AH168</f>
        <v/>
      </c>
    </row>
    <row r="169">
      <c r="A169" s="2" t="inlineStr">
        <is>
          <t>3617WUNX0_000000010110019</t>
        </is>
      </c>
      <c r="B169" t="inlineStr">
        <is>
          <t>WELLS_POST21</t>
        </is>
      </c>
      <c r="C169" s="2" t="inlineStr">
        <is>
          <t>3617WUNX0</t>
        </is>
      </c>
      <c r="D169" t="inlineStr">
        <is>
          <t>WELLS FARGO BANK, N.A.</t>
        </is>
      </c>
      <c r="E169" t="inlineStr">
        <is>
          <t>241</t>
        </is>
      </c>
      <c r="F169" t="inlineStr">
        <is>
          <t>NC</t>
        </is>
      </c>
      <c r="G169" t="n">
        <v>2021</v>
      </c>
      <c r="H169" t="inlineStr">
        <is>
          <t>202602</t>
        </is>
      </c>
      <c r="I169" s="22" t="n">
        <v>39414589.03</v>
      </c>
      <c r="J169" s="23" t="n">
        <v>2.78</v>
      </c>
      <c r="K169" s="24" t="n">
        <v>447</v>
      </c>
      <c r="L169" s="24" t="n">
        <v>8</v>
      </c>
      <c r="M169" t="n">
        <v>52</v>
      </c>
      <c r="N169" s="25" t="n">
        <v>0</v>
      </c>
      <c r="O169" t="n">
        <v>206006</v>
      </c>
      <c r="P169" t="n">
        <v>202306</v>
      </c>
      <c r="Q169" t="inlineStr">
        <is>
          <t>3998</t>
        </is>
      </c>
      <c r="R169" s="26" t="n">
        <v>0</v>
      </c>
      <c r="S169" t="n">
        <v>1</v>
      </c>
      <c r="T169" s="23">
        <f>LN(1+I169)</f>
        <v/>
      </c>
      <c r="U169" s="24">
        <f>J169*100-K169</f>
        <v/>
      </c>
      <c r="V169" s="24">
        <f>U169-12.5*(L169+1)</f>
        <v/>
      </c>
      <c r="W169" s="26">
        <f>IF(M169&lt;=V7_AGE_KNOT_X_0,V7_AGE_KNOT_Y_0,IF(M169&gt;=V7_AGE_KNOT_X_5,V7_AGE_KNOT_Y_5,IF(M169&lt;=V7_AGE_KNOT_X_1,V7_AGE_KNOT_Y_0+(M169-V7_AGE_KNOT_X_0)/(V7_AGE_KNOT_X_1-V7_AGE_KNOT_X_0)*(V7_AGE_KNOT_Y_1-V7_AGE_KNOT_Y_0),IF(M169&lt;=V7_AGE_KNOT_X_2,V7_AGE_KNOT_Y_1+(M169-V7_AGE_KNOT_X_1)/(V7_AGE_KNOT_X_2-V7_AGE_KNOT_X_1)*(V7_AGE_KNOT_Y_2-V7_AGE_KNOT_Y_1),IF(M169&lt;=V7_AGE_KNOT_X_3,V7_AGE_KNOT_Y_2+(M169-V7_AGE_KNOT_X_2)/(V7_AGE_KNOT_X_3-V7_AGE_KNOT_X_2)*(V7_AGE_KNOT_Y_3-V7_AGE_KNOT_Y_2),IF(M169&lt;=V7_AGE_KNOT_X_4,V7_AGE_KNOT_Y_3+(M169-V7_AGE_KNOT_X_3)/(V7_AGE_KNOT_X_4-V7_AGE_KNOT_X_3)*(V7_AGE_KNOT_Y_4-V7_AGE_KNOT_Y_3),V7_AGE_KNOT_Y_4+(M169-V7_AGE_KNOT_X_4)/(V7_AGE_KNOT_X_5-V7_AGE_KNOT_X_4)*(V7_AGE_KNOT_Y_5-V7_AGE_KNOT_Y_4)))))))</f>
        <v/>
      </c>
      <c r="X169" s="26">
        <f>V7_RATE_FLOOR+V7_RATE_ASYMPTOTE/(1+EXP(-(V169-V7_RATE_MID)/V7_RATE_SLOPE))</f>
        <v/>
      </c>
      <c r="Y169" s="26">
        <f>MAX(V7_SIZE_LOW,MIN(V7_SIZE_HIGH,V7_SIZE_INTERCEPT+V7_SIZE_SLOPE*(T169-V7_SIZE_LOG_ANCHOR)))</f>
        <v/>
      </c>
      <c r="Z169" s="26">
        <f>IF(ISNUMBER(SEARCH("232",E169)),VLOOKUP("232",V7_PROGRAM_TABLE,2,FALSE),IF(ISNUMBER(SEARCH("538",E169)),VLOOKUP("538",V7_PROGRAM_TABLE,2,FALSE),IF(ISNUMBER(SEARCH("223a7",E169)),VLOOKUP("223a7",V7_PROGRAM_TABLE,2,FALSE),IF(ISNUMBER(SEARCH("223f",E169)),VLOOKUP("223f",V7_PROGRAM_TABLE,2,FALSE),V7_PROGRAM_DEFAULT))))</f>
        <v/>
      </c>
      <c r="AA169" s="26">
        <f>IF(S169=1,1+V7_PURPOSE_NC_BUMP*MAX(0,1-ABS(M169-V7_PURPOSE_PEAK_AGE)/V7_PURPOSE_WIDTH),1)</f>
        <v/>
      </c>
      <c r="AB169" s="26">
        <f>IF(AND(IF(OR(P169="",NOT(ISNUMBER(P169))),0,MAX(0,MIN(24,(INT(VALUE(H169)/100)-INT(P169/100))*12+MOD(VALUE(H169),100)-MOD(P169,100))))&gt;0,IF(OR(P169="",NOT(ISNUMBER(P169))),0,MAX(0,MIN(24,(INT(VALUE(H169)/100)-INT(P169/100))*12+MOD(VALUE(H169),100)-MOD(P169,100))))&lt;=12),1+V7_LOCKOUT_AMP*EXP(-(IF(OR(P169="",NOT(ISNUMBER(P169))),0,MAX(0,MIN(24,(INT(VALUE(H169)/100)-INT(P169/100))*12+MOD(VALUE(H169),100)-MOD(P169,100)))))/V7_LOCKOUT_TAU),1)</f>
        <v/>
      </c>
      <c r="AC169" s="26">
        <f>IF(IF(OR(O169="",NOT(ISNUMBER(O169))),360,MAX(0,MIN(480,(INT(O169/100)-INT(VALUE(H169)/100))*12+MOD(O169,100)-MOD(VALUE(H169),100))))&gt;0,1+V7_MTY_AMP*MAX(0,(V7_MTY_CUTOFF-(IF(OR(O169="",NOT(ISNUMBER(O169))),360,MAX(0,MIN(480,(INT(O169/100)-INT(VALUE(H169)/100))*12+MOD(O169,100)-MOD(VALUE(H169),100))))))/V7_MTY_CUTOFF),1)</f>
        <v/>
      </c>
      <c r="AD169" s="26">
        <f>MAX(V7_BURN_FLOOR,1-V7_BURN_SLOPE*MIN(1,MAX(0,R169)))</f>
        <v/>
      </c>
      <c r="AE169" s="26">
        <f>IF(V7_USE_ISSUER=1,IFERROR(VLOOKUP(Q169,V7_ISSUER_TABLE,3,FALSE),1),1)</f>
        <v/>
      </c>
      <c r="AF169" s="26">
        <f>PRODUCT(W169:AE169)</f>
        <v/>
      </c>
      <c r="AG169" s="27">
        <f>MIN(V7_BASE_SMM*AF169,V7_SMM_CAP)</f>
        <v/>
      </c>
      <c r="AH169" s="28">
        <f>1-(1-AG169)^12</f>
        <v/>
      </c>
      <c r="AI169" s="28">
        <f>IFERROR(LN(W169)/(LN(W169)+LN(X169)+LN(Y169)+LN(Z169)+LN(AA169)+LN(AB169)+LN(AC169)+LN(AD169))*(AH169-V7_BASE_CPR),0)</f>
        <v/>
      </c>
      <c r="AJ169" s="28">
        <f>IFERROR(LN(X169)/(LN(W169)+LN(X169)+LN(Y169)+LN(Z169)+LN(AA169)+LN(AB169)+LN(AC169)+LN(AD169))*(AH169-V7_BASE_CPR),0)</f>
        <v/>
      </c>
      <c r="AK169" s="28">
        <f>IFERROR(LN(Y169)/(LN(W169)+LN(X169)+LN(Y169)+LN(Z169)+LN(AA169)+LN(AB169)+LN(AC169)+LN(AD169))*(AH169-V7_BASE_CPR),0)</f>
        <v/>
      </c>
      <c r="AL169" s="28">
        <f>IFERROR(LN(Z169)/(LN(W169)+LN(X169)+LN(Y169)+LN(Z169)+LN(AA169)+LN(AB169)+LN(AC169)+LN(AD169))*(AH169-V7_BASE_CPR),0)</f>
        <v/>
      </c>
      <c r="AM169" s="28">
        <f>IFERROR(LN(AA169)/(LN(W169)+LN(X169)+LN(Y169)+LN(Z169)+LN(AA169)+LN(AB169)+LN(AC169)+LN(AD169))*(AH169-V7_BASE_CPR),0)</f>
        <v/>
      </c>
      <c r="AN169" s="28">
        <f>IFERROR(LN(AB169)/(LN(W169)+LN(X169)+LN(Y169)+LN(Z169)+LN(AA169)+LN(AB169)+LN(AC169)+LN(AD169))*(AH169-V7_BASE_CPR),0)</f>
        <v/>
      </c>
      <c r="AO169" s="28">
        <f>IFERROR(LN(AC169)/(LN(W169)+LN(X169)+LN(Y169)+LN(Z169)+LN(AA169)+LN(AB169)+LN(AC169)+LN(AD169))*(AH169-V7_BASE_CPR),0)</f>
        <v/>
      </c>
      <c r="AP169" s="28">
        <f>IFERROR(LN(AD169)/(LN(W169)+LN(X169)+LN(Y169)+LN(Z169)+LN(AA169)+LN(AB169)+LN(AC169)+LN(AD169))*(AH169-V7_BASE_CPR),0)</f>
        <v/>
      </c>
      <c r="AQ169" s="29">
        <f>V7_BASE_CPR+SUM(AI169:AP169)-AH169</f>
        <v/>
      </c>
    </row>
    <row r="170">
      <c r="A170" s="2" t="inlineStr">
        <is>
          <t>36179J4X2_000000005143243</t>
        </is>
      </c>
      <c r="B170" t="inlineStr">
        <is>
          <t>WELLS_PRE21</t>
        </is>
      </c>
      <c r="C170" s="2" t="inlineStr">
        <is>
          <t>36179J4X2</t>
        </is>
      </c>
      <c r="D170" t="inlineStr">
        <is>
          <t>WELLS FARGO BANK, N.A.</t>
        </is>
      </c>
      <c r="E170" t="inlineStr">
        <is>
          <t>232</t>
        </is>
      </c>
      <c r="F170" t="inlineStr">
        <is>
          <t>RP</t>
        </is>
      </c>
      <c r="G170" t="n">
        <v>2013</v>
      </c>
      <c r="H170" t="inlineStr">
        <is>
          <t>202602</t>
        </is>
      </c>
      <c r="I170" s="22" t="n">
        <v>9293553.970000001</v>
      </c>
      <c r="J170" s="23" t="n">
        <v>3.15</v>
      </c>
      <c r="K170" s="24" t="n">
        <v>447</v>
      </c>
      <c r="L170" s="24" t="n">
        <v>0</v>
      </c>
      <c r="M170" t="n">
        <v>153</v>
      </c>
      <c r="N170" s="25" t="n">
        <v>29</v>
      </c>
      <c r="O170" t="n">
        <v>205111</v>
      </c>
      <c r="P170" t="inlineStr"/>
      <c r="Q170" t="inlineStr">
        <is>
          <t>3998</t>
        </is>
      </c>
      <c r="R170" s="26" t="n">
        <v>0.1895424836601307</v>
      </c>
      <c r="S170" t="n">
        <v>0</v>
      </c>
      <c r="T170" s="23">
        <f>LN(1+I170)</f>
        <v/>
      </c>
      <c r="U170" s="24">
        <f>J170*100-K170</f>
        <v/>
      </c>
      <c r="V170" s="24">
        <f>U170-12.5*(L170+1)</f>
        <v/>
      </c>
      <c r="W170" s="26">
        <f>IF(M170&lt;=V7_AGE_KNOT_X_0,V7_AGE_KNOT_Y_0,IF(M170&gt;=V7_AGE_KNOT_X_5,V7_AGE_KNOT_Y_5,IF(M170&lt;=V7_AGE_KNOT_X_1,V7_AGE_KNOT_Y_0+(M170-V7_AGE_KNOT_X_0)/(V7_AGE_KNOT_X_1-V7_AGE_KNOT_X_0)*(V7_AGE_KNOT_Y_1-V7_AGE_KNOT_Y_0),IF(M170&lt;=V7_AGE_KNOT_X_2,V7_AGE_KNOT_Y_1+(M170-V7_AGE_KNOT_X_1)/(V7_AGE_KNOT_X_2-V7_AGE_KNOT_X_1)*(V7_AGE_KNOT_Y_2-V7_AGE_KNOT_Y_1),IF(M170&lt;=V7_AGE_KNOT_X_3,V7_AGE_KNOT_Y_2+(M170-V7_AGE_KNOT_X_2)/(V7_AGE_KNOT_X_3-V7_AGE_KNOT_X_2)*(V7_AGE_KNOT_Y_3-V7_AGE_KNOT_Y_2),IF(M170&lt;=V7_AGE_KNOT_X_4,V7_AGE_KNOT_Y_3+(M170-V7_AGE_KNOT_X_3)/(V7_AGE_KNOT_X_4-V7_AGE_KNOT_X_3)*(V7_AGE_KNOT_Y_4-V7_AGE_KNOT_Y_3),V7_AGE_KNOT_Y_4+(M170-V7_AGE_KNOT_X_4)/(V7_AGE_KNOT_X_5-V7_AGE_KNOT_X_4)*(V7_AGE_KNOT_Y_5-V7_AGE_KNOT_Y_4)))))))</f>
        <v/>
      </c>
      <c r="X170" s="26">
        <f>V7_RATE_FLOOR+V7_RATE_ASYMPTOTE/(1+EXP(-(V170-V7_RATE_MID)/V7_RATE_SLOPE))</f>
        <v/>
      </c>
      <c r="Y170" s="26">
        <f>MAX(V7_SIZE_LOW,MIN(V7_SIZE_HIGH,V7_SIZE_INTERCEPT+V7_SIZE_SLOPE*(T170-V7_SIZE_LOG_ANCHOR)))</f>
        <v/>
      </c>
      <c r="Z170" s="26">
        <f>IF(ISNUMBER(SEARCH("232",E170)),VLOOKUP("232",V7_PROGRAM_TABLE,2,FALSE),IF(ISNUMBER(SEARCH("538",E170)),VLOOKUP("538",V7_PROGRAM_TABLE,2,FALSE),IF(ISNUMBER(SEARCH("223a7",E170)),VLOOKUP("223a7",V7_PROGRAM_TABLE,2,FALSE),IF(ISNUMBER(SEARCH("223f",E170)),VLOOKUP("223f",V7_PROGRAM_TABLE,2,FALSE),V7_PROGRAM_DEFAULT))))</f>
        <v/>
      </c>
      <c r="AA170" s="26">
        <f>IF(S170=1,1+V7_PURPOSE_NC_BUMP*MAX(0,1-ABS(M170-V7_PURPOSE_PEAK_AGE)/V7_PURPOSE_WIDTH),1)</f>
        <v/>
      </c>
      <c r="AB170" s="26">
        <f>IF(AND(IF(OR(P170="",NOT(ISNUMBER(P170))),0,MAX(0,MIN(24,(INT(VALUE(H170)/100)-INT(P170/100))*12+MOD(VALUE(H170),100)-MOD(P170,100))))&gt;0,IF(OR(P170="",NOT(ISNUMBER(P170))),0,MAX(0,MIN(24,(INT(VALUE(H170)/100)-INT(P170/100))*12+MOD(VALUE(H170),100)-MOD(P170,100))))&lt;=12),1+V7_LOCKOUT_AMP*EXP(-(IF(OR(P170="",NOT(ISNUMBER(P170))),0,MAX(0,MIN(24,(INT(VALUE(H170)/100)-INT(P170/100))*12+MOD(VALUE(H170),100)-MOD(P170,100)))))/V7_LOCKOUT_TAU),1)</f>
        <v/>
      </c>
      <c r="AC170" s="26">
        <f>IF(IF(OR(O170="",NOT(ISNUMBER(O170))),360,MAX(0,MIN(480,(INT(O170/100)-INT(VALUE(H170)/100))*12+MOD(O170,100)-MOD(VALUE(H170),100))))&gt;0,1+V7_MTY_AMP*MAX(0,(V7_MTY_CUTOFF-(IF(OR(O170="",NOT(ISNUMBER(O170))),360,MAX(0,MIN(480,(INT(O170/100)-INT(VALUE(H170)/100))*12+MOD(O170,100)-MOD(VALUE(H170),100))))))/V7_MTY_CUTOFF),1)</f>
        <v/>
      </c>
      <c r="AD170" s="26">
        <f>MAX(V7_BURN_FLOOR,1-V7_BURN_SLOPE*MIN(1,MAX(0,R170)))</f>
        <v/>
      </c>
      <c r="AE170" s="26">
        <f>IF(V7_USE_ISSUER=1,IFERROR(VLOOKUP(Q170,V7_ISSUER_TABLE,3,FALSE),1),1)</f>
        <v/>
      </c>
      <c r="AF170" s="26">
        <f>PRODUCT(W170:AE170)</f>
        <v/>
      </c>
      <c r="AG170" s="27">
        <f>MIN(V7_BASE_SMM*AF170,V7_SMM_CAP)</f>
        <v/>
      </c>
      <c r="AH170" s="28">
        <f>1-(1-AG170)^12</f>
        <v/>
      </c>
      <c r="AI170" s="28">
        <f>IFERROR(LN(W170)/(LN(W170)+LN(X170)+LN(Y170)+LN(Z170)+LN(AA170)+LN(AB170)+LN(AC170)+LN(AD170))*(AH170-V7_BASE_CPR),0)</f>
        <v/>
      </c>
      <c r="AJ170" s="28">
        <f>IFERROR(LN(X170)/(LN(W170)+LN(X170)+LN(Y170)+LN(Z170)+LN(AA170)+LN(AB170)+LN(AC170)+LN(AD170))*(AH170-V7_BASE_CPR),0)</f>
        <v/>
      </c>
      <c r="AK170" s="28">
        <f>IFERROR(LN(Y170)/(LN(W170)+LN(X170)+LN(Y170)+LN(Z170)+LN(AA170)+LN(AB170)+LN(AC170)+LN(AD170))*(AH170-V7_BASE_CPR),0)</f>
        <v/>
      </c>
      <c r="AL170" s="28">
        <f>IFERROR(LN(Z170)/(LN(W170)+LN(X170)+LN(Y170)+LN(Z170)+LN(AA170)+LN(AB170)+LN(AC170)+LN(AD170))*(AH170-V7_BASE_CPR),0)</f>
        <v/>
      </c>
      <c r="AM170" s="28">
        <f>IFERROR(LN(AA170)/(LN(W170)+LN(X170)+LN(Y170)+LN(Z170)+LN(AA170)+LN(AB170)+LN(AC170)+LN(AD170))*(AH170-V7_BASE_CPR),0)</f>
        <v/>
      </c>
      <c r="AN170" s="28">
        <f>IFERROR(LN(AB170)/(LN(W170)+LN(X170)+LN(Y170)+LN(Z170)+LN(AA170)+LN(AB170)+LN(AC170)+LN(AD170))*(AH170-V7_BASE_CPR),0)</f>
        <v/>
      </c>
      <c r="AO170" s="28">
        <f>IFERROR(LN(AC170)/(LN(W170)+LN(X170)+LN(Y170)+LN(Z170)+LN(AA170)+LN(AB170)+LN(AC170)+LN(AD170))*(AH170-V7_BASE_CPR),0)</f>
        <v/>
      </c>
      <c r="AP170" s="28">
        <f>IFERROR(LN(AD170)/(LN(W170)+LN(X170)+LN(Y170)+LN(Z170)+LN(AA170)+LN(AB170)+LN(AC170)+LN(AD170))*(AH170-V7_BASE_CPR),0)</f>
        <v/>
      </c>
      <c r="AQ170" s="29">
        <f>V7_BASE_CPR+SUM(AI170:AP170)-AH170</f>
        <v/>
      </c>
    </row>
    <row r="171">
      <c r="A171" s="2" t="inlineStr">
        <is>
          <t>36176KJE8_000000007111253</t>
        </is>
      </c>
      <c r="B171" t="inlineStr">
        <is>
          <t>WELLS_PRE21</t>
        </is>
      </c>
      <c r="C171" s="2" t="inlineStr">
        <is>
          <t>36176KJE8</t>
        </is>
      </c>
      <c r="D171" t="inlineStr">
        <is>
          <t>WELLS FARGO BANK, N.A.</t>
        </is>
      </c>
      <c r="E171" t="inlineStr">
        <is>
          <t>223f</t>
        </is>
      </c>
      <c r="F171" t="inlineStr">
        <is>
          <t>RP</t>
        </is>
      </c>
      <c r="G171" t="n">
        <v>2011</v>
      </c>
      <c r="H171" t="inlineStr">
        <is>
          <t>202602</t>
        </is>
      </c>
      <c r="I171" s="22" t="n">
        <v>1811141.27</v>
      </c>
      <c r="J171" s="23" t="n">
        <v>3.79</v>
      </c>
      <c r="K171" s="24" t="n">
        <v>447</v>
      </c>
      <c r="L171" s="24" t="n">
        <v>0</v>
      </c>
      <c r="M171" t="n">
        <v>172</v>
      </c>
      <c r="N171" s="25" t="n">
        <v>40</v>
      </c>
      <c r="O171" t="n">
        <v>204611</v>
      </c>
      <c r="P171" t="n">
        <v>201212</v>
      </c>
      <c r="Q171" t="inlineStr">
        <is>
          <t>3998</t>
        </is>
      </c>
      <c r="R171" s="26" t="n">
        <v>0.2325581395348837</v>
      </c>
      <c r="S171" t="n">
        <v>0</v>
      </c>
      <c r="T171" s="23">
        <f>LN(1+I171)</f>
        <v/>
      </c>
      <c r="U171" s="24">
        <f>J171*100-K171</f>
        <v/>
      </c>
      <c r="V171" s="24">
        <f>U171-12.5*(L171+1)</f>
        <v/>
      </c>
      <c r="W171" s="26">
        <f>IF(M171&lt;=V7_AGE_KNOT_X_0,V7_AGE_KNOT_Y_0,IF(M171&gt;=V7_AGE_KNOT_X_5,V7_AGE_KNOT_Y_5,IF(M171&lt;=V7_AGE_KNOT_X_1,V7_AGE_KNOT_Y_0+(M171-V7_AGE_KNOT_X_0)/(V7_AGE_KNOT_X_1-V7_AGE_KNOT_X_0)*(V7_AGE_KNOT_Y_1-V7_AGE_KNOT_Y_0),IF(M171&lt;=V7_AGE_KNOT_X_2,V7_AGE_KNOT_Y_1+(M171-V7_AGE_KNOT_X_1)/(V7_AGE_KNOT_X_2-V7_AGE_KNOT_X_1)*(V7_AGE_KNOT_Y_2-V7_AGE_KNOT_Y_1),IF(M171&lt;=V7_AGE_KNOT_X_3,V7_AGE_KNOT_Y_2+(M171-V7_AGE_KNOT_X_2)/(V7_AGE_KNOT_X_3-V7_AGE_KNOT_X_2)*(V7_AGE_KNOT_Y_3-V7_AGE_KNOT_Y_2),IF(M171&lt;=V7_AGE_KNOT_X_4,V7_AGE_KNOT_Y_3+(M171-V7_AGE_KNOT_X_3)/(V7_AGE_KNOT_X_4-V7_AGE_KNOT_X_3)*(V7_AGE_KNOT_Y_4-V7_AGE_KNOT_Y_3),V7_AGE_KNOT_Y_4+(M171-V7_AGE_KNOT_X_4)/(V7_AGE_KNOT_X_5-V7_AGE_KNOT_X_4)*(V7_AGE_KNOT_Y_5-V7_AGE_KNOT_Y_4)))))))</f>
        <v/>
      </c>
      <c r="X171" s="26">
        <f>V7_RATE_FLOOR+V7_RATE_ASYMPTOTE/(1+EXP(-(V171-V7_RATE_MID)/V7_RATE_SLOPE))</f>
        <v/>
      </c>
      <c r="Y171" s="26">
        <f>MAX(V7_SIZE_LOW,MIN(V7_SIZE_HIGH,V7_SIZE_INTERCEPT+V7_SIZE_SLOPE*(T171-V7_SIZE_LOG_ANCHOR)))</f>
        <v/>
      </c>
      <c r="Z171" s="26">
        <f>IF(ISNUMBER(SEARCH("232",E171)),VLOOKUP("232",V7_PROGRAM_TABLE,2,FALSE),IF(ISNUMBER(SEARCH("538",E171)),VLOOKUP("538",V7_PROGRAM_TABLE,2,FALSE),IF(ISNUMBER(SEARCH("223a7",E171)),VLOOKUP("223a7",V7_PROGRAM_TABLE,2,FALSE),IF(ISNUMBER(SEARCH("223f",E171)),VLOOKUP("223f",V7_PROGRAM_TABLE,2,FALSE),V7_PROGRAM_DEFAULT))))</f>
        <v/>
      </c>
      <c r="AA171" s="26">
        <f>IF(S171=1,1+V7_PURPOSE_NC_BUMP*MAX(0,1-ABS(M171-V7_PURPOSE_PEAK_AGE)/V7_PURPOSE_WIDTH),1)</f>
        <v/>
      </c>
      <c r="AB171" s="26">
        <f>IF(AND(IF(OR(P171="",NOT(ISNUMBER(P171))),0,MAX(0,MIN(24,(INT(VALUE(H171)/100)-INT(P171/100))*12+MOD(VALUE(H171),100)-MOD(P171,100))))&gt;0,IF(OR(P171="",NOT(ISNUMBER(P171))),0,MAX(0,MIN(24,(INT(VALUE(H171)/100)-INT(P171/100))*12+MOD(VALUE(H171),100)-MOD(P171,100))))&lt;=12),1+V7_LOCKOUT_AMP*EXP(-(IF(OR(P171="",NOT(ISNUMBER(P171))),0,MAX(0,MIN(24,(INT(VALUE(H171)/100)-INT(P171/100))*12+MOD(VALUE(H171),100)-MOD(P171,100)))))/V7_LOCKOUT_TAU),1)</f>
        <v/>
      </c>
      <c r="AC171" s="26">
        <f>IF(IF(OR(O171="",NOT(ISNUMBER(O171))),360,MAX(0,MIN(480,(INT(O171/100)-INT(VALUE(H171)/100))*12+MOD(O171,100)-MOD(VALUE(H171),100))))&gt;0,1+V7_MTY_AMP*MAX(0,(V7_MTY_CUTOFF-(IF(OR(O171="",NOT(ISNUMBER(O171))),360,MAX(0,MIN(480,(INT(O171/100)-INT(VALUE(H171)/100))*12+MOD(O171,100)-MOD(VALUE(H171),100))))))/V7_MTY_CUTOFF),1)</f>
        <v/>
      </c>
      <c r="AD171" s="26">
        <f>MAX(V7_BURN_FLOOR,1-V7_BURN_SLOPE*MIN(1,MAX(0,R171)))</f>
        <v/>
      </c>
      <c r="AE171" s="26">
        <f>IF(V7_USE_ISSUER=1,IFERROR(VLOOKUP(Q171,V7_ISSUER_TABLE,3,FALSE),1),1)</f>
        <v/>
      </c>
      <c r="AF171" s="26">
        <f>PRODUCT(W171:AE171)</f>
        <v/>
      </c>
      <c r="AG171" s="27">
        <f>MIN(V7_BASE_SMM*AF171,V7_SMM_CAP)</f>
        <v/>
      </c>
      <c r="AH171" s="28">
        <f>1-(1-AG171)^12</f>
        <v/>
      </c>
      <c r="AI171" s="28">
        <f>IFERROR(LN(W171)/(LN(W171)+LN(X171)+LN(Y171)+LN(Z171)+LN(AA171)+LN(AB171)+LN(AC171)+LN(AD171))*(AH171-V7_BASE_CPR),0)</f>
        <v/>
      </c>
      <c r="AJ171" s="28">
        <f>IFERROR(LN(X171)/(LN(W171)+LN(X171)+LN(Y171)+LN(Z171)+LN(AA171)+LN(AB171)+LN(AC171)+LN(AD171))*(AH171-V7_BASE_CPR),0)</f>
        <v/>
      </c>
      <c r="AK171" s="28">
        <f>IFERROR(LN(Y171)/(LN(W171)+LN(X171)+LN(Y171)+LN(Z171)+LN(AA171)+LN(AB171)+LN(AC171)+LN(AD171))*(AH171-V7_BASE_CPR),0)</f>
        <v/>
      </c>
      <c r="AL171" s="28">
        <f>IFERROR(LN(Z171)/(LN(W171)+LN(X171)+LN(Y171)+LN(Z171)+LN(AA171)+LN(AB171)+LN(AC171)+LN(AD171))*(AH171-V7_BASE_CPR),0)</f>
        <v/>
      </c>
      <c r="AM171" s="28">
        <f>IFERROR(LN(AA171)/(LN(W171)+LN(X171)+LN(Y171)+LN(Z171)+LN(AA171)+LN(AB171)+LN(AC171)+LN(AD171))*(AH171-V7_BASE_CPR),0)</f>
        <v/>
      </c>
      <c r="AN171" s="28">
        <f>IFERROR(LN(AB171)/(LN(W171)+LN(X171)+LN(Y171)+LN(Z171)+LN(AA171)+LN(AB171)+LN(AC171)+LN(AD171))*(AH171-V7_BASE_CPR),0)</f>
        <v/>
      </c>
      <c r="AO171" s="28">
        <f>IFERROR(LN(AC171)/(LN(W171)+LN(X171)+LN(Y171)+LN(Z171)+LN(AA171)+LN(AB171)+LN(AC171)+LN(AD171))*(AH171-V7_BASE_CPR),0)</f>
        <v/>
      </c>
      <c r="AP171" s="28">
        <f>IFERROR(LN(AD171)/(LN(W171)+LN(X171)+LN(Y171)+LN(Z171)+LN(AA171)+LN(AB171)+LN(AC171)+LN(AD171))*(AH171-V7_BASE_CPR),0)</f>
        <v/>
      </c>
      <c r="AQ171" s="29">
        <f>V7_BASE_CPR+SUM(AI171:AP171)-AH171</f>
        <v/>
      </c>
    </row>
    <row r="172">
      <c r="A172" s="2" t="inlineStr">
        <is>
          <t>36181GX38_000000012722118</t>
        </is>
      </c>
      <c r="B172" t="inlineStr">
        <is>
          <t>WELLS_PRE21</t>
        </is>
      </c>
      <c r="C172" s="2" t="inlineStr">
        <is>
          <t>36181GX38</t>
        </is>
      </c>
      <c r="D172" t="inlineStr">
        <is>
          <t>WELLS FARGO BANK, N.A.</t>
        </is>
      </c>
      <c r="E172" t="inlineStr">
        <is>
          <t>232</t>
        </is>
      </c>
      <c r="F172" t="inlineStr">
        <is>
          <t>RP</t>
        </is>
      </c>
      <c r="G172" t="n">
        <v>2013</v>
      </c>
      <c r="H172" t="inlineStr">
        <is>
          <t>202602</t>
        </is>
      </c>
      <c r="I172" s="22" t="n">
        <v>2447684.27</v>
      </c>
      <c r="J172" s="23" t="n">
        <v>4.5</v>
      </c>
      <c r="K172" s="24" t="n">
        <v>447</v>
      </c>
      <c r="L172" s="24" t="n">
        <v>0</v>
      </c>
      <c r="M172" t="n">
        <v>146</v>
      </c>
      <c r="N172" s="25" t="n">
        <v>45</v>
      </c>
      <c r="O172" t="n">
        <v>204901</v>
      </c>
      <c r="P172" t="n">
        <v>201602</v>
      </c>
      <c r="Q172" t="inlineStr">
        <is>
          <t>3998</t>
        </is>
      </c>
      <c r="R172" s="26" t="n">
        <v>0.3082191780821918</v>
      </c>
      <c r="S172" t="n">
        <v>0</v>
      </c>
      <c r="T172" s="23">
        <f>LN(1+I172)</f>
        <v/>
      </c>
      <c r="U172" s="24">
        <f>J172*100-K172</f>
        <v/>
      </c>
      <c r="V172" s="24">
        <f>U172-12.5*(L172+1)</f>
        <v/>
      </c>
      <c r="W172" s="26">
        <f>IF(M172&lt;=V7_AGE_KNOT_X_0,V7_AGE_KNOT_Y_0,IF(M172&gt;=V7_AGE_KNOT_X_5,V7_AGE_KNOT_Y_5,IF(M172&lt;=V7_AGE_KNOT_X_1,V7_AGE_KNOT_Y_0+(M172-V7_AGE_KNOT_X_0)/(V7_AGE_KNOT_X_1-V7_AGE_KNOT_X_0)*(V7_AGE_KNOT_Y_1-V7_AGE_KNOT_Y_0),IF(M172&lt;=V7_AGE_KNOT_X_2,V7_AGE_KNOT_Y_1+(M172-V7_AGE_KNOT_X_1)/(V7_AGE_KNOT_X_2-V7_AGE_KNOT_X_1)*(V7_AGE_KNOT_Y_2-V7_AGE_KNOT_Y_1),IF(M172&lt;=V7_AGE_KNOT_X_3,V7_AGE_KNOT_Y_2+(M172-V7_AGE_KNOT_X_2)/(V7_AGE_KNOT_X_3-V7_AGE_KNOT_X_2)*(V7_AGE_KNOT_Y_3-V7_AGE_KNOT_Y_2),IF(M172&lt;=V7_AGE_KNOT_X_4,V7_AGE_KNOT_Y_3+(M172-V7_AGE_KNOT_X_3)/(V7_AGE_KNOT_X_4-V7_AGE_KNOT_X_3)*(V7_AGE_KNOT_Y_4-V7_AGE_KNOT_Y_3),V7_AGE_KNOT_Y_4+(M172-V7_AGE_KNOT_X_4)/(V7_AGE_KNOT_X_5-V7_AGE_KNOT_X_4)*(V7_AGE_KNOT_Y_5-V7_AGE_KNOT_Y_4)))))))</f>
        <v/>
      </c>
      <c r="X172" s="26">
        <f>V7_RATE_FLOOR+V7_RATE_ASYMPTOTE/(1+EXP(-(V172-V7_RATE_MID)/V7_RATE_SLOPE))</f>
        <v/>
      </c>
      <c r="Y172" s="26">
        <f>MAX(V7_SIZE_LOW,MIN(V7_SIZE_HIGH,V7_SIZE_INTERCEPT+V7_SIZE_SLOPE*(T172-V7_SIZE_LOG_ANCHOR)))</f>
        <v/>
      </c>
      <c r="Z172" s="26">
        <f>IF(ISNUMBER(SEARCH("232",E172)),VLOOKUP("232",V7_PROGRAM_TABLE,2,FALSE),IF(ISNUMBER(SEARCH("538",E172)),VLOOKUP("538",V7_PROGRAM_TABLE,2,FALSE),IF(ISNUMBER(SEARCH("223a7",E172)),VLOOKUP("223a7",V7_PROGRAM_TABLE,2,FALSE),IF(ISNUMBER(SEARCH("223f",E172)),VLOOKUP("223f",V7_PROGRAM_TABLE,2,FALSE),V7_PROGRAM_DEFAULT))))</f>
        <v/>
      </c>
      <c r="AA172" s="26">
        <f>IF(S172=1,1+V7_PURPOSE_NC_BUMP*MAX(0,1-ABS(M172-V7_PURPOSE_PEAK_AGE)/V7_PURPOSE_WIDTH),1)</f>
        <v/>
      </c>
      <c r="AB172" s="26">
        <f>IF(AND(IF(OR(P172="",NOT(ISNUMBER(P172))),0,MAX(0,MIN(24,(INT(VALUE(H172)/100)-INT(P172/100))*12+MOD(VALUE(H172),100)-MOD(P172,100))))&gt;0,IF(OR(P172="",NOT(ISNUMBER(P172))),0,MAX(0,MIN(24,(INT(VALUE(H172)/100)-INT(P172/100))*12+MOD(VALUE(H172),100)-MOD(P172,100))))&lt;=12),1+V7_LOCKOUT_AMP*EXP(-(IF(OR(P172="",NOT(ISNUMBER(P172))),0,MAX(0,MIN(24,(INT(VALUE(H172)/100)-INT(P172/100))*12+MOD(VALUE(H172),100)-MOD(P172,100)))))/V7_LOCKOUT_TAU),1)</f>
        <v/>
      </c>
      <c r="AC172" s="26">
        <f>IF(IF(OR(O172="",NOT(ISNUMBER(O172))),360,MAX(0,MIN(480,(INT(O172/100)-INT(VALUE(H172)/100))*12+MOD(O172,100)-MOD(VALUE(H172),100))))&gt;0,1+V7_MTY_AMP*MAX(0,(V7_MTY_CUTOFF-(IF(OR(O172="",NOT(ISNUMBER(O172))),360,MAX(0,MIN(480,(INT(O172/100)-INT(VALUE(H172)/100))*12+MOD(O172,100)-MOD(VALUE(H172),100))))))/V7_MTY_CUTOFF),1)</f>
        <v/>
      </c>
      <c r="AD172" s="26">
        <f>MAX(V7_BURN_FLOOR,1-V7_BURN_SLOPE*MIN(1,MAX(0,R172)))</f>
        <v/>
      </c>
      <c r="AE172" s="26">
        <f>IF(V7_USE_ISSUER=1,IFERROR(VLOOKUP(Q172,V7_ISSUER_TABLE,3,FALSE),1),1)</f>
        <v/>
      </c>
      <c r="AF172" s="26">
        <f>PRODUCT(W172:AE172)</f>
        <v/>
      </c>
      <c r="AG172" s="27">
        <f>MIN(V7_BASE_SMM*AF172,V7_SMM_CAP)</f>
        <v/>
      </c>
      <c r="AH172" s="28">
        <f>1-(1-AG172)^12</f>
        <v/>
      </c>
      <c r="AI172" s="28">
        <f>IFERROR(LN(W172)/(LN(W172)+LN(X172)+LN(Y172)+LN(Z172)+LN(AA172)+LN(AB172)+LN(AC172)+LN(AD172))*(AH172-V7_BASE_CPR),0)</f>
        <v/>
      </c>
      <c r="AJ172" s="28">
        <f>IFERROR(LN(X172)/(LN(W172)+LN(X172)+LN(Y172)+LN(Z172)+LN(AA172)+LN(AB172)+LN(AC172)+LN(AD172))*(AH172-V7_BASE_CPR),0)</f>
        <v/>
      </c>
      <c r="AK172" s="28">
        <f>IFERROR(LN(Y172)/(LN(W172)+LN(X172)+LN(Y172)+LN(Z172)+LN(AA172)+LN(AB172)+LN(AC172)+LN(AD172))*(AH172-V7_BASE_CPR),0)</f>
        <v/>
      </c>
      <c r="AL172" s="28">
        <f>IFERROR(LN(Z172)/(LN(W172)+LN(X172)+LN(Y172)+LN(Z172)+LN(AA172)+LN(AB172)+LN(AC172)+LN(AD172))*(AH172-V7_BASE_CPR),0)</f>
        <v/>
      </c>
      <c r="AM172" s="28">
        <f>IFERROR(LN(AA172)/(LN(W172)+LN(X172)+LN(Y172)+LN(Z172)+LN(AA172)+LN(AB172)+LN(AC172)+LN(AD172))*(AH172-V7_BASE_CPR),0)</f>
        <v/>
      </c>
      <c r="AN172" s="28">
        <f>IFERROR(LN(AB172)/(LN(W172)+LN(X172)+LN(Y172)+LN(Z172)+LN(AA172)+LN(AB172)+LN(AC172)+LN(AD172))*(AH172-V7_BASE_CPR),0)</f>
        <v/>
      </c>
      <c r="AO172" s="28">
        <f>IFERROR(LN(AC172)/(LN(W172)+LN(X172)+LN(Y172)+LN(Z172)+LN(AA172)+LN(AB172)+LN(AC172)+LN(AD172))*(AH172-V7_BASE_CPR),0)</f>
        <v/>
      </c>
      <c r="AP172" s="28">
        <f>IFERROR(LN(AD172)/(LN(W172)+LN(X172)+LN(Y172)+LN(Z172)+LN(AA172)+LN(AB172)+LN(AC172)+LN(AD172))*(AH172-V7_BASE_CPR),0)</f>
        <v/>
      </c>
      <c r="AQ172" s="29">
        <f>V7_BASE_CPR+SUM(AI172:AP172)-AH172</f>
        <v/>
      </c>
    </row>
    <row r="173">
      <c r="A173" s="2" t="inlineStr">
        <is>
          <t>36179J4C8_000000008235439</t>
        </is>
      </c>
      <c r="B173" t="inlineStr">
        <is>
          <t>WELLS_PRE21</t>
        </is>
      </c>
      <c r="C173" s="2" t="inlineStr">
        <is>
          <t>36179J4C8</t>
        </is>
      </c>
      <c r="D173" t="inlineStr">
        <is>
          <t>WELLS FARGO BANK, N.A.</t>
        </is>
      </c>
      <c r="E173" t="inlineStr">
        <is>
          <t>221d4</t>
        </is>
      </c>
      <c r="F173" t="inlineStr">
        <is>
          <t>RP</t>
        </is>
      </c>
      <c r="G173" t="n">
        <v>2013</v>
      </c>
      <c r="H173" t="inlineStr">
        <is>
          <t>202602</t>
        </is>
      </c>
      <c r="I173" s="22" t="n">
        <v>827917.08</v>
      </c>
      <c r="J173" s="23" t="n">
        <v>3.17</v>
      </c>
      <c r="K173" s="24" t="n">
        <v>447</v>
      </c>
      <c r="L173" s="24" t="n">
        <v>0</v>
      </c>
      <c r="M173" t="n">
        <v>154</v>
      </c>
      <c r="N173" s="25" t="n">
        <v>30</v>
      </c>
      <c r="O173" t="n">
        <v>203505</v>
      </c>
      <c r="P173" t="inlineStr"/>
      <c r="Q173" t="inlineStr">
        <is>
          <t>3998</t>
        </is>
      </c>
      <c r="R173" s="26" t="n">
        <v>0.1948051948051948</v>
      </c>
      <c r="S173" t="n">
        <v>0</v>
      </c>
      <c r="T173" s="23">
        <f>LN(1+I173)</f>
        <v/>
      </c>
      <c r="U173" s="24">
        <f>J173*100-K173</f>
        <v/>
      </c>
      <c r="V173" s="24">
        <f>U173-12.5*(L173+1)</f>
        <v/>
      </c>
      <c r="W173" s="26">
        <f>IF(M173&lt;=V7_AGE_KNOT_X_0,V7_AGE_KNOT_Y_0,IF(M173&gt;=V7_AGE_KNOT_X_5,V7_AGE_KNOT_Y_5,IF(M173&lt;=V7_AGE_KNOT_X_1,V7_AGE_KNOT_Y_0+(M173-V7_AGE_KNOT_X_0)/(V7_AGE_KNOT_X_1-V7_AGE_KNOT_X_0)*(V7_AGE_KNOT_Y_1-V7_AGE_KNOT_Y_0),IF(M173&lt;=V7_AGE_KNOT_X_2,V7_AGE_KNOT_Y_1+(M173-V7_AGE_KNOT_X_1)/(V7_AGE_KNOT_X_2-V7_AGE_KNOT_X_1)*(V7_AGE_KNOT_Y_2-V7_AGE_KNOT_Y_1),IF(M173&lt;=V7_AGE_KNOT_X_3,V7_AGE_KNOT_Y_2+(M173-V7_AGE_KNOT_X_2)/(V7_AGE_KNOT_X_3-V7_AGE_KNOT_X_2)*(V7_AGE_KNOT_Y_3-V7_AGE_KNOT_Y_2),IF(M173&lt;=V7_AGE_KNOT_X_4,V7_AGE_KNOT_Y_3+(M173-V7_AGE_KNOT_X_3)/(V7_AGE_KNOT_X_4-V7_AGE_KNOT_X_3)*(V7_AGE_KNOT_Y_4-V7_AGE_KNOT_Y_3),V7_AGE_KNOT_Y_4+(M173-V7_AGE_KNOT_X_4)/(V7_AGE_KNOT_X_5-V7_AGE_KNOT_X_4)*(V7_AGE_KNOT_Y_5-V7_AGE_KNOT_Y_4)))))))</f>
        <v/>
      </c>
      <c r="X173" s="26">
        <f>V7_RATE_FLOOR+V7_RATE_ASYMPTOTE/(1+EXP(-(V173-V7_RATE_MID)/V7_RATE_SLOPE))</f>
        <v/>
      </c>
      <c r="Y173" s="26">
        <f>MAX(V7_SIZE_LOW,MIN(V7_SIZE_HIGH,V7_SIZE_INTERCEPT+V7_SIZE_SLOPE*(T173-V7_SIZE_LOG_ANCHOR)))</f>
        <v/>
      </c>
      <c r="Z173" s="26">
        <f>IF(ISNUMBER(SEARCH("232",E173)),VLOOKUP("232",V7_PROGRAM_TABLE,2,FALSE),IF(ISNUMBER(SEARCH("538",E173)),VLOOKUP("538",V7_PROGRAM_TABLE,2,FALSE),IF(ISNUMBER(SEARCH("223a7",E173)),VLOOKUP("223a7",V7_PROGRAM_TABLE,2,FALSE),IF(ISNUMBER(SEARCH("223f",E173)),VLOOKUP("223f",V7_PROGRAM_TABLE,2,FALSE),V7_PROGRAM_DEFAULT))))</f>
        <v/>
      </c>
      <c r="AA173" s="26">
        <f>IF(S173=1,1+V7_PURPOSE_NC_BUMP*MAX(0,1-ABS(M173-V7_PURPOSE_PEAK_AGE)/V7_PURPOSE_WIDTH),1)</f>
        <v/>
      </c>
      <c r="AB173" s="26">
        <f>IF(AND(IF(OR(P173="",NOT(ISNUMBER(P173))),0,MAX(0,MIN(24,(INT(VALUE(H173)/100)-INT(P173/100))*12+MOD(VALUE(H173),100)-MOD(P173,100))))&gt;0,IF(OR(P173="",NOT(ISNUMBER(P173))),0,MAX(0,MIN(24,(INT(VALUE(H173)/100)-INT(P173/100))*12+MOD(VALUE(H173),100)-MOD(P173,100))))&lt;=12),1+V7_LOCKOUT_AMP*EXP(-(IF(OR(P173="",NOT(ISNUMBER(P173))),0,MAX(0,MIN(24,(INT(VALUE(H173)/100)-INT(P173/100))*12+MOD(VALUE(H173),100)-MOD(P173,100)))))/V7_LOCKOUT_TAU),1)</f>
        <v/>
      </c>
      <c r="AC173" s="26">
        <f>IF(IF(OR(O173="",NOT(ISNUMBER(O173))),360,MAX(0,MIN(480,(INT(O173/100)-INT(VALUE(H173)/100))*12+MOD(O173,100)-MOD(VALUE(H173),100))))&gt;0,1+V7_MTY_AMP*MAX(0,(V7_MTY_CUTOFF-(IF(OR(O173="",NOT(ISNUMBER(O173))),360,MAX(0,MIN(480,(INT(O173/100)-INT(VALUE(H173)/100))*12+MOD(O173,100)-MOD(VALUE(H173),100))))))/V7_MTY_CUTOFF),1)</f>
        <v/>
      </c>
      <c r="AD173" s="26">
        <f>MAX(V7_BURN_FLOOR,1-V7_BURN_SLOPE*MIN(1,MAX(0,R173)))</f>
        <v/>
      </c>
      <c r="AE173" s="26">
        <f>IF(V7_USE_ISSUER=1,IFERROR(VLOOKUP(Q173,V7_ISSUER_TABLE,3,FALSE),1),1)</f>
        <v/>
      </c>
      <c r="AF173" s="26">
        <f>PRODUCT(W173:AE173)</f>
        <v/>
      </c>
      <c r="AG173" s="27">
        <f>MIN(V7_BASE_SMM*AF173,V7_SMM_CAP)</f>
        <v/>
      </c>
      <c r="AH173" s="28">
        <f>1-(1-AG173)^12</f>
        <v/>
      </c>
      <c r="AI173" s="28">
        <f>IFERROR(LN(W173)/(LN(W173)+LN(X173)+LN(Y173)+LN(Z173)+LN(AA173)+LN(AB173)+LN(AC173)+LN(AD173))*(AH173-V7_BASE_CPR),0)</f>
        <v/>
      </c>
      <c r="AJ173" s="28">
        <f>IFERROR(LN(X173)/(LN(W173)+LN(X173)+LN(Y173)+LN(Z173)+LN(AA173)+LN(AB173)+LN(AC173)+LN(AD173))*(AH173-V7_BASE_CPR),0)</f>
        <v/>
      </c>
      <c r="AK173" s="28">
        <f>IFERROR(LN(Y173)/(LN(W173)+LN(X173)+LN(Y173)+LN(Z173)+LN(AA173)+LN(AB173)+LN(AC173)+LN(AD173))*(AH173-V7_BASE_CPR),0)</f>
        <v/>
      </c>
      <c r="AL173" s="28">
        <f>IFERROR(LN(Z173)/(LN(W173)+LN(X173)+LN(Y173)+LN(Z173)+LN(AA173)+LN(AB173)+LN(AC173)+LN(AD173))*(AH173-V7_BASE_CPR),0)</f>
        <v/>
      </c>
      <c r="AM173" s="28">
        <f>IFERROR(LN(AA173)/(LN(W173)+LN(X173)+LN(Y173)+LN(Z173)+LN(AA173)+LN(AB173)+LN(AC173)+LN(AD173))*(AH173-V7_BASE_CPR),0)</f>
        <v/>
      </c>
      <c r="AN173" s="28">
        <f>IFERROR(LN(AB173)/(LN(W173)+LN(X173)+LN(Y173)+LN(Z173)+LN(AA173)+LN(AB173)+LN(AC173)+LN(AD173))*(AH173-V7_BASE_CPR),0)</f>
        <v/>
      </c>
      <c r="AO173" s="28">
        <f>IFERROR(LN(AC173)/(LN(W173)+LN(X173)+LN(Y173)+LN(Z173)+LN(AA173)+LN(AB173)+LN(AC173)+LN(AD173))*(AH173-V7_BASE_CPR),0)</f>
        <v/>
      </c>
      <c r="AP173" s="28">
        <f>IFERROR(LN(AD173)/(LN(W173)+LN(X173)+LN(Y173)+LN(Z173)+LN(AA173)+LN(AB173)+LN(AC173)+LN(AD173))*(AH173-V7_BASE_CPR),0)</f>
        <v/>
      </c>
      <c r="AQ173" s="29">
        <f>V7_BASE_CPR+SUM(AI173:AP173)-AH173</f>
        <v/>
      </c>
    </row>
    <row r="174">
      <c r="A174" s="2" t="inlineStr">
        <is>
          <t>36177MXR8_000000005211167</t>
        </is>
      </c>
      <c r="B174" t="inlineStr">
        <is>
          <t>WELLS_PRE21</t>
        </is>
      </c>
      <c r="C174" s="2" t="inlineStr">
        <is>
          <t>36177MXR8</t>
        </is>
      </c>
      <c r="D174" t="inlineStr">
        <is>
          <t>WELLS FARGO BANK, N.A.</t>
        </is>
      </c>
      <c r="E174" t="inlineStr">
        <is>
          <t>223f</t>
        </is>
      </c>
      <c r="F174" t="inlineStr">
        <is>
          <t>RP</t>
        </is>
      </c>
      <c r="G174" t="n">
        <v>2012</v>
      </c>
      <c r="H174" t="inlineStr">
        <is>
          <t>202602</t>
        </is>
      </c>
      <c r="I174" s="22" t="n">
        <v>3497280.04</v>
      </c>
      <c r="J174" s="23" t="n">
        <v>2.71</v>
      </c>
      <c r="K174" s="24" t="n">
        <v>447</v>
      </c>
      <c r="L174" s="24" t="n">
        <v>0</v>
      </c>
      <c r="M174" t="n">
        <v>164</v>
      </c>
      <c r="N174" s="25" t="n">
        <v>25</v>
      </c>
      <c r="O174" t="n">
        <v>204707</v>
      </c>
      <c r="P174" t="n">
        <v>201308</v>
      </c>
      <c r="Q174" t="inlineStr">
        <is>
          <t>3998</t>
        </is>
      </c>
      <c r="R174" s="26" t="n">
        <v>0.1524390243902439</v>
      </c>
      <c r="S174" t="n">
        <v>0</v>
      </c>
      <c r="T174" s="23">
        <f>LN(1+I174)</f>
        <v/>
      </c>
      <c r="U174" s="24">
        <f>J174*100-K174</f>
        <v/>
      </c>
      <c r="V174" s="24">
        <f>U174-12.5*(L174+1)</f>
        <v/>
      </c>
      <c r="W174" s="26">
        <f>IF(M174&lt;=V7_AGE_KNOT_X_0,V7_AGE_KNOT_Y_0,IF(M174&gt;=V7_AGE_KNOT_X_5,V7_AGE_KNOT_Y_5,IF(M174&lt;=V7_AGE_KNOT_X_1,V7_AGE_KNOT_Y_0+(M174-V7_AGE_KNOT_X_0)/(V7_AGE_KNOT_X_1-V7_AGE_KNOT_X_0)*(V7_AGE_KNOT_Y_1-V7_AGE_KNOT_Y_0),IF(M174&lt;=V7_AGE_KNOT_X_2,V7_AGE_KNOT_Y_1+(M174-V7_AGE_KNOT_X_1)/(V7_AGE_KNOT_X_2-V7_AGE_KNOT_X_1)*(V7_AGE_KNOT_Y_2-V7_AGE_KNOT_Y_1),IF(M174&lt;=V7_AGE_KNOT_X_3,V7_AGE_KNOT_Y_2+(M174-V7_AGE_KNOT_X_2)/(V7_AGE_KNOT_X_3-V7_AGE_KNOT_X_2)*(V7_AGE_KNOT_Y_3-V7_AGE_KNOT_Y_2),IF(M174&lt;=V7_AGE_KNOT_X_4,V7_AGE_KNOT_Y_3+(M174-V7_AGE_KNOT_X_3)/(V7_AGE_KNOT_X_4-V7_AGE_KNOT_X_3)*(V7_AGE_KNOT_Y_4-V7_AGE_KNOT_Y_3),V7_AGE_KNOT_Y_4+(M174-V7_AGE_KNOT_X_4)/(V7_AGE_KNOT_X_5-V7_AGE_KNOT_X_4)*(V7_AGE_KNOT_Y_5-V7_AGE_KNOT_Y_4)))))))</f>
        <v/>
      </c>
      <c r="X174" s="26">
        <f>V7_RATE_FLOOR+V7_RATE_ASYMPTOTE/(1+EXP(-(V174-V7_RATE_MID)/V7_RATE_SLOPE))</f>
        <v/>
      </c>
      <c r="Y174" s="26">
        <f>MAX(V7_SIZE_LOW,MIN(V7_SIZE_HIGH,V7_SIZE_INTERCEPT+V7_SIZE_SLOPE*(T174-V7_SIZE_LOG_ANCHOR)))</f>
        <v/>
      </c>
      <c r="Z174" s="26">
        <f>IF(ISNUMBER(SEARCH("232",E174)),VLOOKUP("232",V7_PROGRAM_TABLE,2,FALSE),IF(ISNUMBER(SEARCH("538",E174)),VLOOKUP("538",V7_PROGRAM_TABLE,2,FALSE),IF(ISNUMBER(SEARCH("223a7",E174)),VLOOKUP("223a7",V7_PROGRAM_TABLE,2,FALSE),IF(ISNUMBER(SEARCH("223f",E174)),VLOOKUP("223f",V7_PROGRAM_TABLE,2,FALSE),V7_PROGRAM_DEFAULT))))</f>
        <v/>
      </c>
      <c r="AA174" s="26">
        <f>IF(S174=1,1+V7_PURPOSE_NC_BUMP*MAX(0,1-ABS(M174-V7_PURPOSE_PEAK_AGE)/V7_PURPOSE_WIDTH),1)</f>
        <v/>
      </c>
      <c r="AB174" s="26">
        <f>IF(AND(IF(OR(P174="",NOT(ISNUMBER(P174))),0,MAX(0,MIN(24,(INT(VALUE(H174)/100)-INT(P174/100))*12+MOD(VALUE(H174),100)-MOD(P174,100))))&gt;0,IF(OR(P174="",NOT(ISNUMBER(P174))),0,MAX(0,MIN(24,(INT(VALUE(H174)/100)-INT(P174/100))*12+MOD(VALUE(H174),100)-MOD(P174,100))))&lt;=12),1+V7_LOCKOUT_AMP*EXP(-(IF(OR(P174="",NOT(ISNUMBER(P174))),0,MAX(0,MIN(24,(INT(VALUE(H174)/100)-INT(P174/100))*12+MOD(VALUE(H174),100)-MOD(P174,100)))))/V7_LOCKOUT_TAU),1)</f>
        <v/>
      </c>
      <c r="AC174" s="26">
        <f>IF(IF(OR(O174="",NOT(ISNUMBER(O174))),360,MAX(0,MIN(480,(INT(O174/100)-INT(VALUE(H174)/100))*12+MOD(O174,100)-MOD(VALUE(H174),100))))&gt;0,1+V7_MTY_AMP*MAX(0,(V7_MTY_CUTOFF-(IF(OR(O174="",NOT(ISNUMBER(O174))),360,MAX(0,MIN(480,(INT(O174/100)-INT(VALUE(H174)/100))*12+MOD(O174,100)-MOD(VALUE(H174),100))))))/V7_MTY_CUTOFF),1)</f>
        <v/>
      </c>
      <c r="AD174" s="26">
        <f>MAX(V7_BURN_FLOOR,1-V7_BURN_SLOPE*MIN(1,MAX(0,R174)))</f>
        <v/>
      </c>
      <c r="AE174" s="26">
        <f>IF(V7_USE_ISSUER=1,IFERROR(VLOOKUP(Q174,V7_ISSUER_TABLE,3,FALSE),1),1)</f>
        <v/>
      </c>
      <c r="AF174" s="26">
        <f>PRODUCT(W174:AE174)</f>
        <v/>
      </c>
      <c r="AG174" s="27">
        <f>MIN(V7_BASE_SMM*AF174,V7_SMM_CAP)</f>
        <v/>
      </c>
      <c r="AH174" s="28">
        <f>1-(1-AG174)^12</f>
        <v/>
      </c>
      <c r="AI174" s="28">
        <f>IFERROR(LN(W174)/(LN(W174)+LN(X174)+LN(Y174)+LN(Z174)+LN(AA174)+LN(AB174)+LN(AC174)+LN(AD174))*(AH174-V7_BASE_CPR),0)</f>
        <v/>
      </c>
      <c r="AJ174" s="28">
        <f>IFERROR(LN(X174)/(LN(W174)+LN(X174)+LN(Y174)+LN(Z174)+LN(AA174)+LN(AB174)+LN(AC174)+LN(AD174))*(AH174-V7_BASE_CPR),0)</f>
        <v/>
      </c>
      <c r="AK174" s="28">
        <f>IFERROR(LN(Y174)/(LN(W174)+LN(X174)+LN(Y174)+LN(Z174)+LN(AA174)+LN(AB174)+LN(AC174)+LN(AD174))*(AH174-V7_BASE_CPR),0)</f>
        <v/>
      </c>
      <c r="AL174" s="28">
        <f>IFERROR(LN(Z174)/(LN(W174)+LN(X174)+LN(Y174)+LN(Z174)+LN(AA174)+LN(AB174)+LN(AC174)+LN(AD174))*(AH174-V7_BASE_CPR),0)</f>
        <v/>
      </c>
      <c r="AM174" s="28">
        <f>IFERROR(LN(AA174)/(LN(W174)+LN(X174)+LN(Y174)+LN(Z174)+LN(AA174)+LN(AB174)+LN(AC174)+LN(AD174))*(AH174-V7_BASE_CPR),0)</f>
        <v/>
      </c>
      <c r="AN174" s="28">
        <f>IFERROR(LN(AB174)/(LN(W174)+LN(X174)+LN(Y174)+LN(Z174)+LN(AA174)+LN(AB174)+LN(AC174)+LN(AD174))*(AH174-V7_BASE_CPR),0)</f>
        <v/>
      </c>
      <c r="AO174" s="28">
        <f>IFERROR(LN(AC174)/(LN(W174)+LN(X174)+LN(Y174)+LN(Z174)+LN(AA174)+LN(AB174)+LN(AC174)+LN(AD174))*(AH174-V7_BASE_CPR),0)</f>
        <v/>
      </c>
      <c r="AP174" s="28">
        <f>IFERROR(LN(AD174)/(LN(W174)+LN(X174)+LN(Y174)+LN(Z174)+LN(AA174)+LN(AB174)+LN(AC174)+LN(AD174))*(AH174-V7_BASE_CPR),0)</f>
        <v/>
      </c>
      <c r="AQ174" s="29">
        <f>V7_BASE_CPR+SUM(AI174:AP174)-AH174</f>
        <v/>
      </c>
    </row>
    <row r="175">
      <c r="A175" s="2" t="inlineStr">
        <is>
          <t>3617MPEM6_000000014335134</t>
        </is>
      </c>
      <c r="B175" t="inlineStr">
        <is>
          <t>WELLS_PRE21</t>
        </is>
      </c>
      <c r="C175" s="2" t="inlineStr">
        <is>
          <t>3617MPEM6</t>
        </is>
      </c>
      <c r="D175" t="inlineStr">
        <is>
          <t>WELLS FARGO BANK, N.A.</t>
        </is>
      </c>
      <c r="E175" t="inlineStr">
        <is>
          <t>221d4</t>
        </is>
      </c>
      <c r="F175" t="inlineStr">
        <is>
          <t>NC</t>
        </is>
      </c>
      <c r="G175" t="n">
        <v>2020</v>
      </c>
      <c r="H175" t="inlineStr">
        <is>
          <t>202602</t>
        </is>
      </c>
      <c r="I175" s="22" t="n">
        <v>44900623.16</v>
      </c>
      <c r="J175" s="23" t="n">
        <v>2.88</v>
      </c>
      <c r="K175" s="24" t="n">
        <v>447</v>
      </c>
      <c r="L175" s="24" t="n">
        <v>7</v>
      </c>
      <c r="M175" t="n">
        <v>70</v>
      </c>
      <c r="N175" s="25" t="n">
        <v>0</v>
      </c>
      <c r="O175" t="n">
        <v>206205</v>
      </c>
      <c r="P175" t="inlineStr"/>
      <c r="Q175" t="inlineStr">
        <is>
          <t>3998</t>
        </is>
      </c>
      <c r="R175" s="26" t="n">
        <v>0</v>
      </c>
      <c r="S175" t="n">
        <v>1</v>
      </c>
      <c r="T175" s="23">
        <f>LN(1+I175)</f>
        <v/>
      </c>
      <c r="U175" s="24">
        <f>J175*100-K175</f>
        <v/>
      </c>
      <c r="V175" s="24">
        <f>U175-12.5*(L175+1)</f>
        <v/>
      </c>
      <c r="W175" s="26">
        <f>IF(M175&lt;=V7_AGE_KNOT_X_0,V7_AGE_KNOT_Y_0,IF(M175&gt;=V7_AGE_KNOT_X_5,V7_AGE_KNOT_Y_5,IF(M175&lt;=V7_AGE_KNOT_X_1,V7_AGE_KNOT_Y_0+(M175-V7_AGE_KNOT_X_0)/(V7_AGE_KNOT_X_1-V7_AGE_KNOT_X_0)*(V7_AGE_KNOT_Y_1-V7_AGE_KNOT_Y_0),IF(M175&lt;=V7_AGE_KNOT_X_2,V7_AGE_KNOT_Y_1+(M175-V7_AGE_KNOT_X_1)/(V7_AGE_KNOT_X_2-V7_AGE_KNOT_X_1)*(V7_AGE_KNOT_Y_2-V7_AGE_KNOT_Y_1),IF(M175&lt;=V7_AGE_KNOT_X_3,V7_AGE_KNOT_Y_2+(M175-V7_AGE_KNOT_X_2)/(V7_AGE_KNOT_X_3-V7_AGE_KNOT_X_2)*(V7_AGE_KNOT_Y_3-V7_AGE_KNOT_Y_2),IF(M175&lt;=V7_AGE_KNOT_X_4,V7_AGE_KNOT_Y_3+(M175-V7_AGE_KNOT_X_3)/(V7_AGE_KNOT_X_4-V7_AGE_KNOT_X_3)*(V7_AGE_KNOT_Y_4-V7_AGE_KNOT_Y_3),V7_AGE_KNOT_Y_4+(M175-V7_AGE_KNOT_X_4)/(V7_AGE_KNOT_X_5-V7_AGE_KNOT_X_4)*(V7_AGE_KNOT_Y_5-V7_AGE_KNOT_Y_4)))))))</f>
        <v/>
      </c>
      <c r="X175" s="26">
        <f>V7_RATE_FLOOR+V7_RATE_ASYMPTOTE/(1+EXP(-(V175-V7_RATE_MID)/V7_RATE_SLOPE))</f>
        <v/>
      </c>
      <c r="Y175" s="26">
        <f>MAX(V7_SIZE_LOW,MIN(V7_SIZE_HIGH,V7_SIZE_INTERCEPT+V7_SIZE_SLOPE*(T175-V7_SIZE_LOG_ANCHOR)))</f>
        <v/>
      </c>
      <c r="Z175" s="26">
        <f>IF(ISNUMBER(SEARCH("232",E175)),VLOOKUP("232",V7_PROGRAM_TABLE,2,FALSE),IF(ISNUMBER(SEARCH("538",E175)),VLOOKUP("538",V7_PROGRAM_TABLE,2,FALSE),IF(ISNUMBER(SEARCH("223a7",E175)),VLOOKUP("223a7",V7_PROGRAM_TABLE,2,FALSE),IF(ISNUMBER(SEARCH("223f",E175)),VLOOKUP("223f",V7_PROGRAM_TABLE,2,FALSE),V7_PROGRAM_DEFAULT))))</f>
        <v/>
      </c>
      <c r="AA175" s="26">
        <f>IF(S175=1,1+V7_PURPOSE_NC_BUMP*MAX(0,1-ABS(M175-V7_PURPOSE_PEAK_AGE)/V7_PURPOSE_WIDTH),1)</f>
        <v/>
      </c>
      <c r="AB175" s="26">
        <f>IF(AND(IF(OR(P175="",NOT(ISNUMBER(P175))),0,MAX(0,MIN(24,(INT(VALUE(H175)/100)-INT(P175/100))*12+MOD(VALUE(H175),100)-MOD(P175,100))))&gt;0,IF(OR(P175="",NOT(ISNUMBER(P175))),0,MAX(0,MIN(24,(INT(VALUE(H175)/100)-INT(P175/100))*12+MOD(VALUE(H175),100)-MOD(P175,100))))&lt;=12),1+V7_LOCKOUT_AMP*EXP(-(IF(OR(P175="",NOT(ISNUMBER(P175))),0,MAX(0,MIN(24,(INT(VALUE(H175)/100)-INT(P175/100))*12+MOD(VALUE(H175),100)-MOD(P175,100)))))/V7_LOCKOUT_TAU),1)</f>
        <v/>
      </c>
      <c r="AC175" s="26">
        <f>IF(IF(OR(O175="",NOT(ISNUMBER(O175))),360,MAX(0,MIN(480,(INT(O175/100)-INT(VALUE(H175)/100))*12+MOD(O175,100)-MOD(VALUE(H175),100))))&gt;0,1+V7_MTY_AMP*MAX(0,(V7_MTY_CUTOFF-(IF(OR(O175="",NOT(ISNUMBER(O175))),360,MAX(0,MIN(480,(INT(O175/100)-INT(VALUE(H175)/100))*12+MOD(O175,100)-MOD(VALUE(H175),100))))))/V7_MTY_CUTOFF),1)</f>
        <v/>
      </c>
      <c r="AD175" s="26">
        <f>MAX(V7_BURN_FLOOR,1-V7_BURN_SLOPE*MIN(1,MAX(0,R175)))</f>
        <v/>
      </c>
      <c r="AE175" s="26">
        <f>IF(V7_USE_ISSUER=1,IFERROR(VLOOKUP(Q175,V7_ISSUER_TABLE,3,FALSE),1),1)</f>
        <v/>
      </c>
      <c r="AF175" s="26">
        <f>PRODUCT(W175:AE175)</f>
        <v/>
      </c>
      <c r="AG175" s="27">
        <f>MIN(V7_BASE_SMM*AF175,V7_SMM_CAP)</f>
        <v/>
      </c>
      <c r="AH175" s="28">
        <f>1-(1-AG175)^12</f>
        <v/>
      </c>
      <c r="AI175" s="28">
        <f>IFERROR(LN(W175)/(LN(W175)+LN(X175)+LN(Y175)+LN(Z175)+LN(AA175)+LN(AB175)+LN(AC175)+LN(AD175))*(AH175-V7_BASE_CPR),0)</f>
        <v/>
      </c>
      <c r="AJ175" s="28">
        <f>IFERROR(LN(X175)/(LN(W175)+LN(X175)+LN(Y175)+LN(Z175)+LN(AA175)+LN(AB175)+LN(AC175)+LN(AD175))*(AH175-V7_BASE_CPR),0)</f>
        <v/>
      </c>
      <c r="AK175" s="28">
        <f>IFERROR(LN(Y175)/(LN(W175)+LN(X175)+LN(Y175)+LN(Z175)+LN(AA175)+LN(AB175)+LN(AC175)+LN(AD175))*(AH175-V7_BASE_CPR),0)</f>
        <v/>
      </c>
      <c r="AL175" s="28">
        <f>IFERROR(LN(Z175)/(LN(W175)+LN(X175)+LN(Y175)+LN(Z175)+LN(AA175)+LN(AB175)+LN(AC175)+LN(AD175))*(AH175-V7_BASE_CPR),0)</f>
        <v/>
      </c>
      <c r="AM175" s="28">
        <f>IFERROR(LN(AA175)/(LN(W175)+LN(X175)+LN(Y175)+LN(Z175)+LN(AA175)+LN(AB175)+LN(AC175)+LN(AD175))*(AH175-V7_BASE_CPR),0)</f>
        <v/>
      </c>
      <c r="AN175" s="28">
        <f>IFERROR(LN(AB175)/(LN(W175)+LN(X175)+LN(Y175)+LN(Z175)+LN(AA175)+LN(AB175)+LN(AC175)+LN(AD175))*(AH175-V7_BASE_CPR),0)</f>
        <v/>
      </c>
      <c r="AO175" s="28">
        <f>IFERROR(LN(AC175)/(LN(W175)+LN(X175)+LN(Y175)+LN(Z175)+LN(AA175)+LN(AB175)+LN(AC175)+LN(AD175))*(AH175-V7_BASE_CPR),0)</f>
        <v/>
      </c>
      <c r="AP175" s="28">
        <f>IFERROR(LN(AD175)/(LN(W175)+LN(X175)+LN(Y175)+LN(Z175)+LN(AA175)+LN(AB175)+LN(AC175)+LN(AD175))*(AH175-V7_BASE_CPR),0)</f>
        <v/>
      </c>
      <c r="AQ175" s="29">
        <f>V7_BASE_CPR+SUM(AI175:AP175)-AH175</f>
        <v/>
      </c>
    </row>
    <row r="176">
      <c r="A176" s="2" t="inlineStr">
        <is>
          <t>3617QULC5_000000005235605</t>
        </is>
      </c>
      <c r="B176" t="inlineStr">
        <is>
          <t>WELLS_PRE21</t>
        </is>
      </c>
      <c r="C176" s="2" t="inlineStr">
        <is>
          <t>3617QULC5</t>
        </is>
      </c>
      <c r="D176" t="inlineStr">
        <is>
          <t>WELLS FARGO BANK, N.A.</t>
        </is>
      </c>
      <c r="E176" t="inlineStr">
        <is>
          <t>221d4</t>
        </is>
      </c>
      <c r="F176" t="inlineStr">
        <is>
          <t>RP</t>
        </is>
      </c>
      <c r="G176" t="n">
        <v>2003</v>
      </c>
      <c r="H176" t="inlineStr">
        <is>
          <t>202602</t>
        </is>
      </c>
      <c r="I176" s="22" t="n">
        <v>436898.39</v>
      </c>
      <c r="J176" s="23" t="n">
        <v>2.3</v>
      </c>
      <c r="K176" s="24" t="n">
        <v>447</v>
      </c>
      <c r="L176" s="24" t="n">
        <v>5</v>
      </c>
      <c r="M176" t="n">
        <v>269</v>
      </c>
      <c r="N176" s="25" t="n">
        <v>0</v>
      </c>
      <c r="O176" t="n">
        <v>203310</v>
      </c>
      <c r="P176" t="inlineStr"/>
      <c r="Q176" t="inlineStr">
        <is>
          <t>3998</t>
        </is>
      </c>
      <c r="R176" s="26" t="n">
        <v>0</v>
      </c>
      <c r="S176" t="n">
        <v>0</v>
      </c>
      <c r="T176" s="23">
        <f>LN(1+I176)</f>
        <v/>
      </c>
      <c r="U176" s="24">
        <f>J176*100-K176</f>
        <v/>
      </c>
      <c r="V176" s="24">
        <f>U176-12.5*(L176+1)</f>
        <v/>
      </c>
      <c r="W176" s="26">
        <f>IF(M176&lt;=V7_AGE_KNOT_X_0,V7_AGE_KNOT_Y_0,IF(M176&gt;=V7_AGE_KNOT_X_5,V7_AGE_KNOT_Y_5,IF(M176&lt;=V7_AGE_KNOT_X_1,V7_AGE_KNOT_Y_0+(M176-V7_AGE_KNOT_X_0)/(V7_AGE_KNOT_X_1-V7_AGE_KNOT_X_0)*(V7_AGE_KNOT_Y_1-V7_AGE_KNOT_Y_0),IF(M176&lt;=V7_AGE_KNOT_X_2,V7_AGE_KNOT_Y_1+(M176-V7_AGE_KNOT_X_1)/(V7_AGE_KNOT_X_2-V7_AGE_KNOT_X_1)*(V7_AGE_KNOT_Y_2-V7_AGE_KNOT_Y_1),IF(M176&lt;=V7_AGE_KNOT_X_3,V7_AGE_KNOT_Y_2+(M176-V7_AGE_KNOT_X_2)/(V7_AGE_KNOT_X_3-V7_AGE_KNOT_X_2)*(V7_AGE_KNOT_Y_3-V7_AGE_KNOT_Y_2),IF(M176&lt;=V7_AGE_KNOT_X_4,V7_AGE_KNOT_Y_3+(M176-V7_AGE_KNOT_X_3)/(V7_AGE_KNOT_X_4-V7_AGE_KNOT_X_3)*(V7_AGE_KNOT_Y_4-V7_AGE_KNOT_Y_3),V7_AGE_KNOT_Y_4+(M176-V7_AGE_KNOT_X_4)/(V7_AGE_KNOT_X_5-V7_AGE_KNOT_X_4)*(V7_AGE_KNOT_Y_5-V7_AGE_KNOT_Y_4)))))))</f>
        <v/>
      </c>
      <c r="X176" s="26">
        <f>V7_RATE_FLOOR+V7_RATE_ASYMPTOTE/(1+EXP(-(V176-V7_RATE_MID)/V7_RATE_SLOPE))</f>
        <v/>
      </c>
      <c r="Y176" s="26">
        <f>MAX(V7_SIZE_LOW,MIN(V7_SIZE_HIGH,V7_SIZE_INTERCEPT+V7_SIZE_SLOPE*(T176-V7_SIZE_LOG_ANCHOR)))</f>
        <v/>
      </c>
      <c r="Z176" s="26">
        <f>IF(ISNUMBER(SEARCH("232",E176)),VLOOKUP("232",V7_PROGRAM_TABLE,2,FALSE),IF(ISNUMBER(SEARCH("538",E176)),VLOOKUP("538",V7_PROGRAM_TABLE,2,FALSE),IF(ISNUMBER(SEARCH("223a7",E176)),VLOOKUP("223a7",V7_PROGRAM_TABLE,2,FALSE),IF(ISNUMBER(SEARCH("223f",E176)),VLOOKUP("223f",V7_PROGRAM_TABLE,2,FALSE),V7_PROGRAM_DEFAULT))))</f>
        <v/>
      </c>
      <c r="AA176" s="26">
        <f>IF(S176=1,1+V7_PURPOSE_NC_BUMP*MAX(0,1-ABS(M176-V7_PURPOSE_PEAK_AGE)/V7_PURPOSE_WIDTH),1)</f>
        <v/>
      </c>
      <c r="AB176" s="26">
        <f>IF(AND(IF(OR(P176="",NOT(ISNUMBER(P176))),0,MAX(0,MIN(24,(INT(VALUE(H176)/100)-INT(P176/100))*12+MOD(VALUE(H176),100)-MOD(P176,100))))&gt;0,IF(OR(P176="",NOT(ISNUMBER(P176))),0,MAX(0,MIN(24,(INT(VALUE(H176)/100)-INT(P176/100))*12+MOD(VALUE(H176),100)-MOD(P176,100))))&lt;=12),1+V7_LOCKOUT_AMP*EXP(-(IF(OR(P176="",NOT(ISNUMBER(P176))),0,MAX(0,MIN(24,(INT(VALUE(H176)/100)-INT(P176/100))*12+MOD(VALUE(H176),100)-MOD(P176,100)))))/V7_LOCKOUT_TAU),1)</f>
        <v/>
      </c>
      <c r="AC176" s="26">
        <f>IF(IF(OR(O176="",NOT(ISNUMBER(O176))),360,MAX(0,MIN(480,(INT(O176/100)-INT(VALUE(H176)/100))*12+MOD(O176,100)-MOD(VALUE(H176),100))))&gt;0,1+V7_MTY_AMP*MAX(0,(V7_MTY_CUTOFF-(IF(OR(O176="",NOT(ISNUMBER(O176))),360,MAX(0,MIN(480,(INT(O176/100)-INT(VALUE(H176)/100))*12+MOD(O176,100)-MOD(VALUE(H176),100))))))/V7_MTY_CUTOFF),1)</f>
        <v/>
      </c>
      <c r="AD176" s="26">
        <f>MAX(V7_BURN_FLOOR,1-V7_BURN_SLOPE*MIN(1,MAX(0,R176)))</f>
        <v/>
      </c>
      <c r="AE176" s="26">
        <f>IF(V7_USE_ISSUER=1,IFERROR(VLOOKUP(Q176,V7_ISSUER_TABLE,3,FALSE),1),1)</f>
        <v/>
      </c>
      <c r="AF176" s="26">
        <f>PRODUCT(W176:AE176)</f>
        <v/>
      </c>
      <c r="AG176" s="27">
        <f>MIN(V7_BASE_SMM*AF176,V7_SMM_CAP)</f>
        <v/>
      </c>
      <c r="AH176" s="28">
        <f>1-(1-AG176)^12</f>
        <v/>
      </c>
      <c r="AI176" s="28">
        <f>IFERROR(LN(W176)/(LN(W176)+LN(X176)+LN(Y176)+LN(Z176)+LN(AA176)+LN(AB176)+LN(AC176)+LN(AD176))*(AH176-V7_BASE_CPR),0)</f>
        <v/>
      </c>
      <c r="AJ176" s="28">
        <f>IFERROR(LN(X176)/(LN(W176)+LN(X176)+LN(Y176)+LN(Z176)+LN(AA176)+LN(AB176)+LN(AC176)+LN(AD176))*(AH176-V7_BASE_CPR),0)</f>
        <v/>
      </c>
      <c r="AK176" s="28">
        <f>IFERROR(LN(Y176)/(LN(W176)+LN(X176)+LN(Y176)+LN(Z176)+LN(AA176)+LN(AB176)+LN(AC176)+LN(AD176))*(AH176-V7_BASE_CPR),0)</f>
        <v/>
      </c>
      <c r="AL176" s="28">
        <f>IFERROR(LN(Z176)/(LN(W176)+LN(X176)+LN(Y176)+LN(Z176)+LN(AA176)+LN(AB176)+LN(AC176)+LN(AD176))*(AH176-V7_BASE_CPR),0)</f>
        <v/>
      </c>
      <c r="AM176" s="28">
        <f>IFERROR(LN(AA176)/(LN(W176)+LN(X176)+LN(Y176)+LN(Z176)+LN(AA176)+LN(AB176)+LN(AC176)+LN(AD176))*(AH176-V7_BASE_CPR),0)</f>
        <v/>
      </c>
      <c r="AN176" s="28">
        <f>IFERROR(LN(AB176)/(LN(W176)+LN(X176)+LN(Y176)+LN(Z176)+LN(AA176)+LN(AB176)+LN(AC176)+LN(AD176))*(AH176-V7_BASE_CPR),0)</f>
        <v/>
      </c>
      <c r="AO176" s="28">
        <f>IFERROR(LN(AC176)/(LN(W176)+LN(X176)+LN(Y176)+LN(Z176)+LN(AA176)+LN(AB176)+LN(AC176)+LN(AD176))*(AH176-V7_BASE_CPR),0)</f>
        <v/>
      </c>
      <c r="AP176" s="28">
        <f>IFERROR(LN(AD176)/(LN(W176)+LN(X176)+LN(Y176)+LN(Z176)+LN(AA176)+LN(AB176)+LN(AC176)+LN(AD176))*(AH176-V7_BASE_CPR),0)</f>
        <v/>
      </c>
      <c r="AQ176" s="29">
        <f>V7_BASE_CPR+SUM(AI176:AP176)-AH176</f>
        <v/>
      </c>
    </row>
    <row r="177">
      <c r="A177" s="2" t="inlineStr">
        <is>
          <t>3618JGAC4_000000011522381</t>
        </is>
      </c>
      <c r="B177" t="inlineStr">
        <is>
          <t>CAPITAL_POST21</t>
        </is>
      </c>
      <c r="C177" s="2" t="inlineStr">
        <is>
          <t>3618JGAC4</t>
        </is>
      </c>
      <c r="D177" t="inlineStr">
        <is>
          <t>CAPITAL FUNDING,LLC.</t>
        </is>
      </c>
      <c r="E177" t="inlineStr">
        <is>
          <t>232</t>
        </is>
      </c>
      <c r="F177" t="inlineStr">
        <is>
          <t>RP</t>
        </is>
      </c>
      <c r="G177" t="n">
        <v>2025</v>
      </c>
      <c r="H177" t="inlineStr">
        <is>
          <t>202602</t>
        </is>
      </c>
      <c r="I177" s="22" t="n">
        <v>7329877.03</v>
      </c>
      <c r="J177" s="23" t="n">
        <v>5.53</v>
      </c>
      <c r="K177" s="24" t="n">
        <v>447</v>
      </c>
      <c r="L177" s="24" t="n">
        <v>10</v>
      </c>
      <c r="M177" t="n">
        <v>4</v>
      </c>
      <c r="N177" s="25" t="n">
        <v>0</v>
      </c>
      <c r="O177" t="n">
        <v>205511</v>
      </c>
      <c r="P177" t="inlineStr"/>
      <c r="Q177" t="inlineStr">
        <is>
          <t>3866</t>
        </is>
      </c>
      <c r="R177" s="26" t="n">
        <v>0</v>
      </c>
      <c r="S177" t="n">
        <v>0</v>
      </c>
      <c r="T177" s="23">
        <f>LN(1+I177)</f>
        <v/>
      </c>
      <c r="U177" s="24">
        <f>J177*100-K177</f>
        <v/>
      </c>
      <c r="V177" s="24">
        <f>U177-12.5*(L177+1)</f>
        <v/>
      </c>
      <c r="W177" s="26">
        <f>IF(M177&lt;=V7_AGE_KNOT_X_0,V7_AGE_KNOT_Y_0,IF(M177&gt;=V7_AGE_KNOT_X_5,V7_AGE_KNOT_Y_5,IF(M177&lt;=V7_AGE_KNOT_X_1,V7_AGE_KNOT_Y_0+(M177-V7_AGE_KNOT_X_0)/(V7_AGE_KNOT_X_1-V7_AGE_KNOT_X_0)*(V7_AGE_KNOT_Y_1-V7_AGE_KNOT_Y_0),IF(M177&lt;=V7_AGE_KNOT_X_2,V7_AGE_KNOT_Y_1+(M177-V7_AGE_KNOT_X_1)/(V7_AGE_KNOT_X_2-V7_AGE_KNOT_X_1)*(V7_AGE_KNOT_Y_2-V7_AGE_KNOT_Y_1),IF(M177&lt;=V7_AGE_KNOT_X_3,V7_AGE_KNOT_Y_2+(M177-V7_AGE_KNOT_X_2)/(V7_AGE_KNOT_X_3-V7_AGE_KNOT_X_2)*(V7_AGE_KNOT_Y_3-V7_AGE_KNOT_Y_2),IF(M177&lt;=V7_AGE_KNOT_X_4,V7_AGE_KNOT_Y_3+(M177-V7_AGE_KNOT_X_3)/(V7_AGE_KNOT_X_4-V7_AGE_KNOT_X_3)*(V7_AGE_KNOT_Y_4-V7_AGE_KNOT_Y_3),V7_AGE_KNOT_Y_4+(M177-V7_AGE_KNOT_X_4)/(V7_AGE_KNOT_X_5-V7_AGE_KNOT_X_4)*(V7_AGE_KNOT_Y_5-V7_AGE_KNOT_Y_4)))))))</f>
        <v/>
      </c>
      <c r="X177" s="26">
        <f>V7_RATE_FLOOR+V7_RATE_ASYMPTOTE/(1+EXP(-(V177-V7_RATE_MID)/V7_RATE_SLOPE))</f>
        <v/>
      </c>
      <c r="Y177" s="26">
        <f>MAX(V7_SIZE_LOW,MIN(V7_SIZE_HIGH,V7_SIZE_INTERCEPT+V7_SIZE_SLOPE*(T177-V7_SIZE_LOG_ANCHOR)))</f>
        <v/>
      </c>
      <c r="Z177" s="26">
        <f>IF(ISNUMBER(SEARCH("232",E177)),VLOOKUP("232",V7_PROGRAM_TABLE,2,FALSE),IF(ISNUMBER(SEARCH("538",E177)),VLOOKUP("538",V7_PROGRAM_TABLE,2,FALSE),IF(ISNUMBER(SEARCH("223a7",E177)),VLOOKUP("223a7",V7_PROGRAM_TABLE,2,FALSE),IF(ISNUMBER(SEARCH("223f",E177)),VLOOKUP("223f",V7_PROGRAM_TABLE,2,FALSE),V7_PROGRAM_DEFAULT))))</f>
        <v/>
      </c>
      <c r="AA177" s="26">
        <f>IF(S177=1,1+V7_PURPOSE_NC_BUMP*MAX(0,1-ABS(M177-V7_PURPOSE_PEAK_AGE)/V7_PURPOSE_WIDTH),1)</f>
        <v/>
      </c>
      <c r="AB177" s="26">
        <f>IF(AND(IF(OR(P177="",NOT(ISNUMBER(P177))),0,MAX(0,MIN(24,(INT(VALUE(H177)/100)-INT(P177/100))*12+MOD(VALUE(H177),100)-MOD(P177,100))))&gt;0,IF(OR(P177="",NOT(ISNUMBER(P177))),0,MAX(0,MIN(24,(INT(VALUE(H177)/100)-INT(P177/100))*12+MOD(VALUE(H177),100)-MOD(P177,100))))&lt;=12),1+V7_LOCKOUT_AMP*EXP(-(IF(OR(P177="",NOT(ISNUMBER(P177))),0,MAX(0,MIN(24,(INT(VALUE(H177)/100)-INT(P177/100))*12+MOD(VALUE(H177),100)-MOD(P177,100)))))/V7_LOCKOUT_TAU),1)</f>
        <v/>
      </c>
      <c r="AC177" s="26">
        <f>IF(IF(OR(O177="",NOT(ISNUMBER(O177))),360,MAX(0,MIN(480,(INT(O177/100)-INT(VALUE(H177)/100))*12+MOD(O177,100)-MOD(VALUE(H177),100))))&gt;0,1+V7_MTY_AMP*MAX(0,(V7_MTY_CUTOFF-(IF(OR(O177="",NOT(ISNUMBER(O177))),360,MAX(0,MIN(480,(INT(O177/100)-INT(VALUE(H177)/100))*12+MOD(O177,100)-MOD(VALUE(H177),100))))))/V7_MTY_CUTOFF),1)</f>
        <v/>
      </c>
      <c r="AD177" s="26">
        <f>MAX(V7_BURN_FLOOR,1-V7_BURN_SLOPE*MIN(1,MAX(0,R177)))</f>
        <v/>
      </c>
      <c r="AE177" s="26">
        <f>IF(V7_USE_ISSUER=1,IFERROR(VLOOKUP(Q177,V7_ISSUER_TABLE,3,FALSE),1),1)</f>
        <v/>
      </c>
      <c r="AF177" s="26">
        <f>PRODUCT(W177:AE177)</f>
        <v/>
      </c>
      <c r="AG177" s="27">
        <f>MIN(V7_BASE_SMM*AF177,V7_SMM_CAP)</f>
        <v/>
      </c>
      <c r="AH177" s="28">
        <f>1-(1-AG177)^12</f>
        <v/>
      </c>
      <c r="AI177" s="28">
        <f>IFERROR(LN(W177)/(LN(W177)+LN(X177)+LN(Y177)+LN(Z177)+LN(AA177)+LN(AB177)+LN(AC177)+LN(AD177))*(AH177-V7_BASE_CPR),0)</f>
        <v/>
      </c>
      <c r="AJ177" s="28">
        <f>IFERROR(LN(X177)/(LN(W177)+LN(X177)+LN(Y177)+LN(Z177)+LN(AA177)+LN(AB177)+LN(AC177)+LN(AD177))*(AH177-V7_BASE_CPR),0)</f>
        <v/>
      </c>
      <c r="AK177" s="28">
        <f>IFERROR(LN(Y177)/(LN(W177)+LN(X177)+LN(Y177)+LN(Z177)+LN(AA177)+LN(AB177)+LN(AC177)+LN(AD177))*(AH177-V7_BASE_CPR),0)</f>
        <v/>
      </c>
      <c r="AL177" s="28">
        <f>IFERROR(LN(Z177)/(LN(W177)+LN(X177)+LN(Y177)+LN(Z177)+LN(AA177)+LN(AB177)+LN(AC177)+LN(AD177))*(AH177-V7_BASE_CPR),0)</f>
        <v/>
      </c>
      <c r="AM177" s="28">
        <f>IFERROR(LN(AA177)/(LN(W177)+LN(X177)+LN(Y177)+LN(Z177)+LN(AA177)+LN(AB177)+LN(AC177)+LN(AD177))*(AH177-V7_BASE_CPR),0)</f>
        <v/>
      </c>
      <c r="AN177" s="28">
        <f>IFERROR(LN(AB177)/(LN(W177)+LN(X177)+LN(Y177)+LN(Z177)+LN(AA177)+LN(AB177)+LN(AC177)+LN(AD177))*(AH177-V7_BASE_CPR),0)</f>
        <v/>
      </c>
      <c r="AO177" s="28">
        <f>IFERROR(LN(AC177)/(LN(W177)+LN(X177)+LN(Y177)+LN(Z177)+LN(AA177)+LN(AB177)+LN(AC177)+LN(AD177))*(AH177-V7_BASE_CPR),0)</f>
        <v/>
      </c>
      <c r="AP177" s="28">
        <f>IFERROR(LN(AD177)/(LN(W177)+LN(X177)+LN(Y177)+LN(Z177)+LN(AA177)+LN(AB177)+LN(AC177)+LN(AD177))*(AH177-V7_BASE_CPR),0)</f>
        <v/>
      </c>
      <c r="AQ177" s="29">
        <f>V7_BASE_CPR+SUM(AI177:AP177)-AH177</f>
        <v/>
      </c>
    </row>
    <row r="178">
      <c r="A178" s="2" t="inlineStr">
        <is>
          <t>3617BTYH9_000000001722122</t>
        </is>
      </c>
      <c r="B178" t="inlineStr">
        <is>
          <t>CAPITAL_PRE21</t>
        </is>
      </c>
      <c r="C178" s="2" t="inlineStr">
        <is>
          <t>3617BTYH9</t>
        </is>
      </c>
      <c r="D178" t="inlineStr">
        <is>
          <t>CAPITAL FUNDING,LLC.</t>
        </is>
      </c>
      <c r="E178" t="inlineStr">
        <is>
          <t>232</t>
        </is>
      </c>
      <c r="F178" t="inlineStr">
        <is>
          <t>RP</t>
        </is>
      </c>
      <c r="G178" t="n">
        <v>2018</v>
      </c>
      <c r="H178" t="inlineStr">
        <is>
          <t>202602</t>
        </is>
      </c>
      <c r="I178" s="22" t="n">
        <v>18578966.2</v>
      </c>
      <c r="J178" s="23" t="n">
        <v>3.75</v>
      </c>
      <c r="K178" s="24" t="n">
        <v>447</v>
      </c>
      <c r="L178" s="24" t="n">
        <v>3</v>
      </c>
      <c r="M178" t="n">
        <v>94</v>
      </c>
      <c r="N178" s="25" t="n">
        <v>29</v>
      </c>
      <c r="O178" t="n">
        <v>205105</v>
      </c>
      <c r="P178" t="inlineStr"/>
      <c r="Q178" t="inlineStr">
        <is>
          <t>3866</t>
        </is>
      </c>
      <c r="R178" s="26" t="n">
        <v>0.3085106382978723</v>
      </c>
      <c r="S178" t="n">
        <v>0</v>
      </c>
      <c r="T178" s="23">
        <f>LN(1+I178)</f>
        <v/>
      </c>
      <c r="U178" s="24">
        <f>J178*100-K178</f>
        <v/>
      </c>
      <c r="V178" s="24">
        <f>U178-12.5*(L178+1)</f>
        <v/>
      </c>
      <c r="W178" s="26">
        <f>IF(M178&lt;=V7_AGE_KNOT_X_0,V7_AGE_KNOT_Y_0,IF(M178&gt;=V7_AGE_KNOT_X_5,V7_AGE_KNOT_Y_5,IF(M178&lt;=V7_AGE_KNOT_X_1,V7_AGE_KNOT_Y_0+(M178-V7_AGE_KNOT_X_0)/(V7_AGE_KNOT_X_1-V7_AGE_KNOT_X_0)*(V7_AGE_KNOT_Y_1-V7_AGE_KNOT_Y_0),IF(M178&lt;=V7_AGE_KNOT_X_2,V7_AGE_KNOT_Y_1+(M178-V7_AGE_KNOT_X_1)/(V7_AGE_KNOT_X_2-V7_AGE_KNOT_X_1)*(V7_AGE_KNOT_Y_2-V7_AGE_KNOT_Y_1),IF(M178&lt;=V7_AGE_KNOT_X_3,V7_AGE_KNOT_Y_2+(M178-V7_AGE_KNOT_X_2)/(V7_AGE_KNOT_X_3-V7_AGE_KNOT_X_2)*(V7_AGE_KNOT_Y_3-V7_AGE_KNOT_Y_2),IF(M178&lt;=V7_AGE_KNOT_X_4,V7_AGE_KNOT_Y_3+(M178-V7_AGE_KNOT_X_3)/(V7_AGE_KNOT_X_4-V7_AGE_KNOT_X_3)*(V7_AGE_KNOT_Y_4-V7_AGE_KNOT_Y_3),V7_AGE_KNOT_Y_4+(M178-V7_AGE_KNOT_X_4)/(V7_AGE_KNOT_X_5-V7_AGE_KNOT_X_4)*(V7_AGE_KNOT_Y_5-V7_AGE_KNOT_Y_4)))))))</f>
        <v/>
      </c>
      <c r="X178" s="26">
        <f>V7_RATE_FLOOR+V7_RATE_ASYMPTOTE/(1+EXP(-(V178-V7_RATE_MID)/V7_RATE_SLOPE))</f>
        <v/>
      </c>
      <c r="Y178" s="26">
        <f>MAX(V7_SIZE_LOW,MIN(V7_SIZE_HIGH,V7_SIZE_INTERCEPT+V7_SIZE_SLOPE*(T178-V7_SIZE_LOG_ANCHOR)))</f>
        <v/>
      </c>
      <c r="Z178" s="26">
        <f>IF(ISNUMBER(SEARCH("232",E178)),VLOOKUP("232",V7_PROGRAM_TABLE,2,FALSE),IF(ISNUMBER(SEARCH("538",E178)),VLOOKUP("538",V7_PROGRAM_TABLE,2,FALSE),IF(ISNUMBER(SEARCH("223a7",E178)),VLOOKUP("223a7",V7_PROGRAM_TABLE,2,FALSE),IF(ISNUMBER(SEARCH("223f",E178)),VLOOKUP("223f",V7_PROGRAM_TABLE,2,FALSE),V7_PROGRAM_DEFAULT))))</f>
        <v/>
      </c>
      <c r="AA178" s="26">
        <f>IF(S178=1,1+V7_PURPOSE_NC_BUMP*MAX(0,1-ABS(M178-V7_PURPOSE_PEAK_AGE)/V7_PURPOSE_WIDTH),1)</f>
        <v/>
      </c>
      <c r="AB178" s="26">
        <f>IF(AND(IF(OR(P178="",NOT(ISNUMBER(P178))),0,MAX(0,MIN(24,(INT(VALUE(H178)/100)-INT(P178/100))*12+MOD(VALUE(H178),100)-MOD(P178,100))))&gt;0,IF(OR(P178="",NOT(ISNUMBER(P178))),0,MAX(0,MIN(24,(INT(VALUE(H178)/100)-INT(P178/100))*12+MOD(VALUE(H178),100)-MOD(P178,100))))&lt;=12),1+V7_LOCKOUT_AMP*EXP(-(IF(OR(P178="",NOT(ISNUMBER(P178))),0,MAX(0,MIN(24,(INT(VALUE(H178)/100)-INT(P178/100))*12+MOD(VALUE(H178),100)-MOD(P178,100)))))/V7_LOCKOUT_TAU),1)</f>
        <v/>
      </c>
      <c r="AC178" s="26">
        <f>IF(IF(OR(O178="",NOT(ISNUMBER(O178))),360,MAX(0,MIN(480,(INT(O178/100)-INT(VALUE(H178)/100))*12+MOD(O178,100)-MOD(VALUE(H178),100))))&gt;0,1+V7_MTY_AMP*MAX(0,(V7_MTY_CUTOFF-(IF(OR(O178="",NOT(ISNUMBER(O178))),360,MAX(0,MIN(480,(INT(O178/100)-INT(VALUE(H178)/100))*12+MOD(O178,100)-MOD(VALUE(H178),100))))))/V7_MTY_CUTOFF),1)</f>
        <v/>
      </c>
      <c r="AD178" s="26">
        <f>MAX(V7_BURN_FLOOR,1-V7_BURN_SLOPE*MIN(1,MAX(0,R178)))</f>
        <v/>
      </c>
      <c r="AE178" s="26">
        <f>IF(V7_USE_ISSUER=1,IFERROR(VLOOKUP(Q178,V7_ISSUER_TABLE,3,FALSE),1),1)</f>
        <v/>
      </c>
      <c r="AF178" s="26">
        <f>PRODUCT(W178:AE178)</f>
        <v/>
      </c>
      <c r="AG178" s="27">
        <f>MIN(V7_BASE_SMM*AF178,V7_SMM_CAP)</f>
        <v/>
      </c>
      <c r="AH178" s="28">
        <f>1-(1-AG178)^12</f>
        <v/>
      </c>
      <c r="AI178" s="28">
        <f>IFERROR(LN(W178)/(LN(W178)+LN(X178)+LN(Y178)+LN(Z178)+LN(AA178)+LN(AB178)+LN(AC178)+LN(AD178))*(AH178-V7_BASE_CPR),0)</f>
        <v/>
      </c>
      <c r="AJ178" s="28">
        <f>IFERROR(LN(X178)/(LN(W178)+LN(X178)+LN(Y178)+LN(Z178)+LN(AA178)+LN(AB178)+LN(AC178)+LN(AD178))*(AH178-V7_BASE_CPR),0)</f>
        <v/>
      </c>
      <c r="AK178" s="28">
        <f>IFERROR(LN(Y178)/(LN(W178)+LN(X178)+LN(Y178)+LN(Z178)+LN(AA178)+LN(AB178)+LN(AC178)+LN(AD178))*(AH178-V7_BASE_CPR),0)</f>
        <v/>
      </c>
      <c r="AL178" s="28">
        <f>IFERROR(LN(Z178)/(LN(W178)+LN(X178)+LN(Y178)+LN(Z178)+LN(AA178)+LN(AB178)+LN(AC178)+LN(AD178))*(AH178-V7_BASE_CPR),0)</f>
        <v/>
      </c>
      <c r="AM178" s="28">
        <f>IFERROR(LN(AA178)/(LN(W178)+LN(X178)+LN(Y178)+LN(Z178)+LN(AA178)+LN(AB178)+LN(AC178)+LN(AD178))*(AH178-V7_BASE_CPR),0)</f>
        <v/>
      </c>
      <c r="AN178" s="28">
        <f>IFERROR(LN(AB178)/(LN(W178)+LN(X178)+LN(Y178)+LN(Z178)+LN(AA178)+LN(AB178)+LN(AC178)+LN(AD178))*(AH178-V7_BASE_CPR),0)</f>
        <v/>
      </c>
      <c r="AO178" s="28">
        <f>IFERROR(LN(AC178)/(LN(W178)+LN(X178)+LN(Y178)+LN(Z178)+LN(AA178)+LN(AB178)+LN(AC178)+LN(AD178))*(AH178-V7_BASE_CPR),0)</f>
        <v/>
      </c>
      <c r="AP178" s="28">
        <f>IFERROR(LN(AD178)/(LN(W178)+LN(X178)+LN(Y178)+LN(Z178)+LN(AA178)+LN(AB178)+LN(AC178)+LN(AD178))*(AH178-V7_BASE_CPR),0)</f>
        <v/>
      </c>
      <c r="AQ178" s="29">
        <f>V7_BASE_CPR+SUM(AI178:AP178)-AH178</f>
        <v/>
      </c>
    </row>
    <row r="179">
      <c r="A179" s="2" t="inlineStr">
        <is>
          <t>3617VAEE7_000000010122136</t>
        </is>
      </c>
      <c r="B179" t="inlineStr">
        <is>
          <t>CAPITAL_PRE21</t>
        </is>
      </c>
      <c r="C179" s="2" t="inlineStr">
        <is>
          <t>3617VAEE7</t>
        </is>
      </c>
      <c r="D179" t="inlineStr">
        <is>
          <t>CAPITAL FUNDING,LLC.</t>
        </is>
      </c>
      <c r="E179" t="inlineStr">
        <is>
          <t>232</t>
        </is>
      </c>
      <c r="F179" t="inlineStr">
        <is>
          <t>RP</t>
        </is>
      </c>
      <c r="G179" t="n">
        <v>2018</v>
      </c>
      <c r="H179" t="inlineStr">
        <is>
          <t>202602</t>
        </is>
      </c>
      <c r="I179" s="22" t="n">
        <v>11738844.66</v>
      </c>
      <c r="J179" s="23" t="n">
        <v>3.05</v>
      </c>
      <c r="K179" s="24" t="n">
        <v>447</v>
      </c>
      <c r="L179" s="24" t="n">
        <v>6</v>
      </c>
      <c r="M179" t="n">
        <v>90</v>
      </c>
      <c r="N179" s="25" t="n">
        <v>2</v>
      </c>
      <c r="O179" t="n">
        <v>205309</v>
      </c>
      <c r="P179" t="inlineStr"/>
      <c r="Q179" t="inlineStr">
        <is>
          <t>3866</t>
        </is>
      </c>
      <c r="R179" s="26" t="n">
        <v>0.02222222222222222</v>
      </c>
      <c r="S179" t="n">
        <v>0</v>
      </c>
      <c r="T179" s="23">
        <f>LN(1+I179)</f>
        <v/>
      </c>
      <c r="U179" s="24">
        <f>J179*100-K179</f>
        <v/>
      </c>
      <c r="V179" s="24">
        <f>U179-12.5*(L179+1)</f>
        <v/>
      </c>
      <c r="W179" s="26">
        <f>IF(M179&lt;=V7_AGE_KNOT_X_0,V7_AGE_KNOT_Y_0,IF(M179&gt;=V7_AGE_KNOT_X_5,V7_AGE_KNOT_Y_5,IF(M179&lt;=V7_AGE_KNOT_X_1,V7_AGE_KNOT_Y_0+(M179-V7_AGE_KNOT_X_0)/(V7_AGE_KNOT_X_1-V7_AGE_KNOT_X_0)*(V7_AGE_KNOT_Y_1-V7_AGE_KNOT_Y_0),IF(M179&lt;=V7_AGE_KNOT_X_2,V7_AGE_KNOT_Y_1+(M179-V7_AGE_KNOT_X_1)/(V7_AGE_KNOT_X_2-V7_AGE_KNOT_X_1)*(V7_AGE_KNOT_Y_2-V7_AGE_KNOT_Y_1),IF(M179&lt;=V7_AGE_KNOT_X_3,V7_AGE_KNOT_Y_2+(M179-V7_AGE_KNOT_X_2)/(V7_AGE_KNOT_X_3-V7_AGE_KNOT_X_2)*(V7_AGE_KNOT_Y_3-V7_AGE_KNOT_Y_2),IF(M179&lt;=V7_AGE_KNOT_X_4,V7_AGE_KNOT_Y_3+(M179-V7_AGE_KNOT_X_3)/(V7_AGE_KNOT_X_4-V7_AGE_KNOT_X_3)*(V7_AGE_KNOT_Y_4-V7_AGE_KNOT_Y_3),V7_AGE_KNOT_Y_4+(M179-V7_AGE_KNOT_X_4)/(V7_AGE_KNOT_X_5-V7_AGE_KNOT_X_4)*(V7_AGE_KNOT_Y_5-V7_AGE_KNOT_Y_4)))))))</f>
        <v/>
      </c>
      <c r="X179" s="26">
        <f>V7_RATE_FLOOR+V7_RATE_ASYMPTOTE/(1+EXP(-(V179-V7_RATE_MID)/V7_RATE_SLOPE))</f>
        <v/>
      </c>
      <c r="Y179" s="26">
        <f>MAX(V7_SIZE_LOW,MIN(V7_SIZE_HIGH,V7_SIZE_INTERCEPT+V7_SIZE_SLOPE*(T179-V7_SIZE_LOG_ANCHOR)))</f>
        <v/>
      </c>
      <c r="Z179" s="26">
        <f>IF(ISNUMBER(SEARCH("232",E179)),VLOOKUP("232",V7_PROGRAM_TABLE,2,FALSE),IF(ISNUMBER(SEARCH("538",E179)),VLOOKUP("538",V7_PROGRAM_TABLE,2,FALSE),IF(ISNUMBER(SEARCH("223a7",E179)),VLOOKUP("223a7",V7_PROGRAM_TABLE,2,FALSE),IF(ISNUMBER(SEARCH("223f",E179)),VLOOKUP("223f",V7_PROGRAM_TABLE,2,FALSE),V7_PROGRAM_DEFAULT))))</f>
        <v/>
      </c>
      <c r="AA179" s="26">
        <f>IF(S179=1,1+V7_PURPOSE_NC_BUMP*MAX(0,1-ABS(M179-V7_PURPOSE_PEAK_AGE)/V7_PURPOSE_WIDTH),1)</f>
        <v/>
      </c>
      <c r="AB179" s="26">
        <f>IF(AND(IF(OR(P179="",NOT(ISNUMBER(P179))),0,MAX(0,MIN(24,(INT(VALUE(H179)/100)-INT(P179/100))*12+MOD(VALUE(H179),100)-MOD(P179,100))))&gt;0,IF(OR(P179="",NOT(ISNUMBER(P179))),0,MAX(0,MIN(24,(INT(VALUE(H179)/100)-INT(P179/100))*12+MOD(VALUE(H179),100)-MOD(P179,100))))&lt;=12),1+V7_LOCKOUT_AMP*EXP(-(IF(OR(P179="",NOT(ISNUMBER(P179))),0,MAX(0,MIN(24,(INT(VALUE(H179)/100)-INT(P179/100))*12+MOD(VALUE(H179),100)-MOD(P179,100)))))/V7_LOCKOUT_TAU),1)</f>
        <v/>
      </c>
      <c r="AC179" s="26">
        <f>IF(IF(OR(O179="",NOT(ISNUMBER(O179))),360,MAX(0,MIN(480,(INT(O179/100)-INT(VALUE(H179)/100))*12+MOD(O179,100)-MOD(VALUE(H179),100))))&gt;0,1+V7_MTY_AMP*MAX(0,(V7_MTY_CUTOFF-(IF(OR(O179="",NOT(ISNUMBER(O179))),360,MAX(0,MIN(480,(INT(O179/100)-INT(VALUE(H179)/100))*12+MOD(O179,100)-MOD(VALUE(H179),100))))))/V7_MTY_CUTOFF),1)</f>
        <v/>
      </c>
      <c r="AD179" s="26">
        <f>MAX(V7_BURN_FLOOR,1-V7_BURN_SLOPE*MIN(1,MAX(0,R179)))</f>
        <v/>
      </c>
      <c r="AE179" s="26">
        <f>IF(V7_USE_ISSUER=1,IFERROR(VLOOKUP(Q179,V7_ISSUER_TABLE,3,FALSE),1),1)</f>
        <v/>
      </c>
      <c r="AF179" s="26">
        <f>PRODUCT(W179:AE179)</f>
        <v/>
      </c>
      <c r="AG179" s="27">
        <f>MIN(V7_BASE_SMM*AF179,V7_SMM_CAP)</f>
        <v/>
      </c>
      <c r="AH179" s="28">
        <f>1-(1-AG179)^12</f>
        <v/>
      </c>
      <c r="AI179" s="28">
        <f>IFERROR(LN(W179)/(LN(W179)+LN(X179)+LN(Y179)+LN(Z179)+LN(AA179)+LN(AB179)+LN(AC179)+LN(AD179))*(AH179-V7_BASE_CPR),0)</f>
        <v/>
      </c>
      <c r="AJ179" s="28">
        <f>IFERROR(LN(X179)/(LN(W179)+LN(X179)+LN(Y179)+LN(Z179)+LN(AA179)+LN(AB179)+LN(AC179)+LN(AD179))*(AH179-V7_BASE_CPR),0)</f>
        <v/>
      </c>
      <c r="AK179" s="28">
        <f>IFERROR(LN(Y179)/(LN(W179)+LN(X179)+LN(Y179)+LN(Z179)+LN(AA179)+LN(AB179)+LN(AC179)+LN(AD179))*(AH179-V7_BASE_CPR),0)</f>
        <v/>
      </c>
      <c r="AL179" s="28">
        <f>IFERROR(LN(Z179)/(LN(W179)+LN(X179)+LN(Y179)+LN(Z179)+LN(AA179)+LN(AB179)+LN(AC179)+LN(AD179))*(AH179-V7_BASE_CPR),0)</f>
        <v/>
      </c>
      <c r="AM179" s="28">
        <f>IFERROR(LN(AA179)/(LN(W179)+LN(X179)+LN(Y179)+LN(Z179)+LN(AA179)+LN(AB179)+LN(AC179)+LN(AD179))*(AH179-V7_BASE_CPR),0)</f>
        <v/>
      </c>
      <c r="AN179" s="28">
        <f>IFERROR(LN(AB179)/(LN(W179)+LN(X179)+LN(Y179)+LN(Z179)+LN(AA179)+LN(AB179)+LN(AC179)+LN(AD179))*(AH179-V7_BASE_CPR),0)</f>
        <v/>
      </c>
      <c r="AO179" s="28">
        <f>IFERROR(LN(AC179)/(LN(W179)+LN(X179)+LN(Y179)+LN(Z179)+LN(AA179)+LN(AB179)+LN(AC179)+LN(AD179))*(AH179-V7_BASE_CPR),0)</f>
        <v/>
      </c>
      <c r="AP179" s="28">
        <f>IFERROR(LN(AD179)/(LN(W179)+LN(X179)+LN(Y179)+LN(Z179)+LN(AA179)+LN(AB179)+LN(AC179)+LN(AD179))*(AH179-V7_BASE_CPR),0)</f>
        <v/>
      </c>
      <c r="AQ179" s="29">
        <f>V7_BASE_CPR+SUM(AI179:AP179)-AH179</f>
        <v/>
      </c>
    </row>
    <row r="180">
      <c r="A180" s="2" t="inlineStr">
        <is>
          <t>3617Q2AG0_000000007222116</t>
        </is>
      </c>
      <c r="B180" t="inlineStr">
        <is>
          <t>CAPITAL_PRE21</t>
        </is>
      </c>
      <c r="C180" s="2" t="inlineStr">
        <is>
          <t>3617Q2AG0</t>
        </is>
      </c>
      <c r="D180" t="inlineStr">
        <is>
          <t>CAPITAL FUNDING,LLC.</t>
        </is>
      </c>
      <c r="E180" t="inlineStr">
        <is>
          <t>232</t>
        </is>
      </c>
      <c r="F180" t="inlineStr">
        <is>
          <t>RP</t>
        </is>
      </c>
      <c r="G180" t="n">
        <v>2014</v>
      </c>
      <c r="H180" t="inlineStr">
        <is>
          <t>202602</t>
        </is>
      </c>
      <c r="I180" s="22" t="n">
        <v>4376116.94</v>
      </c>
      <c r="J180" s="23" t="n">
        <v>3.1</v>
      </c>
      <c r="K180" s="24" t="n">
        <v>447</v>
      </c>
      <c r="L180" s="24" t="n">
        <v>5</v>
      </c>
      <c r="M180" t="n">
        <v>135</v>
      </c>
      <c r="N180" s="25" t="n">
        <v>12</v>
      </c>
      <c r="O180" t="n">
        <v>204704</v>
      </c>
      <c r="P180" t="inlineStr"/>
      <c r="Q180" t="inlineStr">
        <is>
          <t>3866</t>
        </is>
      </c>
      <c r="R180" s="26" t="n">
        <v>0.08888888888888889</v>
      </c>
      <c r="S180" t="n">
        <v>0</v>
      </c>
      <c r="T180" s="23">
        <f>LN(1+I180)</f>
        <v/>
      </c>
      <c r="U180" s="24">
        <f>J180*100-K180</f>
        <v/>
      </c>
      <c r="V180" s="24">
        <f>U180-12.5*(L180+1)</f>
        <v/>
      </c>
      <c r="W180" s="26">
        <f>IF(M180&lt;=V7_AGE_KNOT_X_0,V7_AGE_KNOT_Y_0,IF(M180&gt;=V7_AGE_KNOT_X_5,V7_AGE_KNOT_Y_5,IF(M180&lt;=V7_AGE_KNOT_X_1,V7_AGE_KNOT_Y_0+(M180-V7_AGE_KNOT_X_0)/(V7_AGE_KNOT_X_1-V7_AGE_KNOT_X_0)*(V7_AGE_KNOT_Y_1-V7_AGE_KNOT_Y_0),IF(M180&lt;=V7_AGE_KNOT_X_2,V7_AGE_KNOT_Y_1+(M180-V7_AGE_KNOT_X_1)/(V7_AGE_KNOT_X_2-V7_AGE_KNOT_X_1)*(V7_AGE_KNOT_Y_2-V7_AGE_KNOT_Y_1),IF(M180&lt;=V7_AGE_KNOT_X_3,V7_AGE_KNOT_Y_2+(M180-V7_AGE_KNOT_X_2)/(V7_AGE_KNOT_X_3-V7_AGE_KNOT_X_2)*(V7_AGE_KNOT_Y_3-V7_AGE_KNOT_Y_2),IF(M180&lt;=V7_AGE_KNOT_X_4,V7_AGE_KNOT_Y_3+(M180-V7_AGE_KNOT_X_3)/(V7_AGE_KNOT_X_4-V7_AGE_KNOT_X_3)*(V7_AGE_KNOT_Y_4-V7_AGE_KNOT_Y_3),V7_AGE_KNOT_Y_4+(M180-V7_AGE_KNOT_X_4)/(V7_AGE_KNOT_X_5-V7_AGE_KNOT_X_4)*(V7_AGE_KNOT_Y_5-V7_AGE_KNOT_Y_4)))))))</f>
        <v/>
      </c>
      <c r="X180" s="26">
        <f>V7_RATE_FLOOR+V7_RATE_ASYMPTOTE/(1+EXP(-(V180-V7_RATE_MID)/V7_RATE_SLOPE))</f>
        <v/>
      </c>
      <c r="Y180" s="26">
        <f>MAX(V7_SIZE_LOW,MIN(V7_SIZE_HIGH,V7_SIZE_INTERCEPT+V7_SIZE_SLOPE*(T180-V7_SIZE_LOG_ANCHOR)))</f>
        <v/>
      </c>
      <c r="Z180" s="26">
        <f>IF(ISNUMBER(SEARCH("232",E180)),VLOOKUP("232",V7_PROGRAM_TABLE,2,FALSE),IF(ISNUMBER(SEARCH("538",E180)),VLOOKUP("538",V7_PROGRAM_TABLE,2,FALSE),IF(ISNUMBER(SEARCH("223a7",E180)),VLOOKUP("223a7",V7_PROGRAM_TABLE,2,FALSE),IF(ISNUMBER(SEARCH("223f",E180)),VLOOKUP("223f",V7_PROGRAM_TABLE,2,FALSE),V7_PROGRAM_DEFAULT))))</f>
        <v/>
      </c>
      <c r="AA180" s="26">
        <f>IF(S180=1,1+V7_PURPOSE_NC_BUMP*MAX(0,1-ABS(M180-V7_PURPOSE_PEAK_AGE)/V7_PURPOSE_WIDTH),1)</f>
        <v/>
      </c>
      <c r="AB180" s="26">
        <f>IF(AND(IF(OR(P180="",NOT(ISNUMBER(P180))),0,MAX(0,MIN(24,(INT(VALUE(H180)/100)-INT(P180/100))*12+MOD(VALUE(H180),100)-MOD(P180,100))))&gt;0,IF(OR(P180="",NOT(ISNUMBER(P180))),0,MAX(0,MIN(24,(INT(VALUE(H180)/100)-INT(P180/100))*12+MOD(VALUE(H180),100)-MOD(P180,100))))&lt;=12),1+V7_LOCKOUT_AMP*EXP(-(IF(OR(P180="",NOT(ISNUMBER(P180))),0,MAX(0,MIN(24,(INT(VALUE(H180)/100)-INT(P180/100))*12+MOD(VALUE(H180),100)-MOD(P180,100)))))/V7_LOCKOUT_TAU),1)</f>
        <v/>
      </c>
      <c r="AC180" s="26">
        <f>IF(IF(OR(O180="",NOT(ISNUMBER(O180))),360,MAX(0,MIN(480,(INT(O180/100)-INT(VALUE(H180)/100))*12+MOD(O180,100)-MOD(VALUE(H180),100))))&gt;0,1+V7_MTY_AMP*MAX(0,(V7_MTY_CUTOFF-(IF(OR(O180="",NOT(ISNUMBER(O180))),360,MAX(0,MIN(480,(INT(O180/100)-INT(VALUE(H180)/100))*12+MOD(O180,100)-MOD(VALUE(H180),100))))))/V7_MTY_CUTOFF),1)</f>
        <v/>
      </c>
      <c r="AD180" s="26">
        <f>MAX(V7_BURN_FLOOR,1-V7_BURN_SLOPE*MIN(1,MAX(0,R180)))</f>
        <v/>
      </c>
      <c r="AE180" s="26">
        <f>IF(V7_USE_ISSUER=1,IFERROR(VLOOKUP(Q180,V7_ISSUER_TABLE,3,FALSE),1),1)</f>
        <v/>
      </c>
      <c r="AF180" s="26">
        <f>PRODUCT(W180:AE180)</f>
        <v/>
      </c>
      <c r="AG180" s="27">
        <f>MIN(V7_BASE_SMM*AF180,V7_SMM_CAP)</f>
        <v/>
      </c>
      <c r="AH180" s="28">
        <f>1-(1-AG180)^12</f>
        <v/>
      </c>
      <c r="AI180" s="28">
        <f>IFERROR(LN(W180)/(LN(W180)+LN(X180)+LN(Y180)+LN(Z180)+LN(AA180)+LN(AB180)+LN(AC180)+LN(AD180))*(AH180-V7_BASE_CPR),0)</f>
        <v/>
      </c>
      <c r="AJ180" s="28">
        <f>IFERROR(LN(X180)/(LN(W180)+LN(X180)+LN(Y180)+LN(Z180)+LN(AA180)+LN(AB180)+LN(AC180)+LN(AD180))*(AH180-V7_BASE_CPR),0)</f>
        <v/>
      </c>
      <c r="AK180" s="28">
        <f>IFERROR(LN(Y180)/(LN(W180)+LN(X180)+LN(Y180)+LN(Z180)+LN(AA180)+LN(AB180)+LN(AC180)+LN(AD180))*(AH180-V7_BASE_CPR),0)</f>
        <v/>
      </c>
      <c r="AL180" s="28">
        <f>IFERROR(LN(Z180)/(LN(W180)+LN(X180)+LN(Y180)+LN(Z180)+LN(AA180)+LN(AB180)+LN(AC180)+LN(AD180))*(AH180-V7_BASE_CPR),0)</f>
        <v/>
      </c>
      <c r="AM180" s="28">
        <f>IFERROR(LN(AA180)/(LN(W180)+LN(X180)+LN(Y180)+LN(Z180)+LN(AA180)+LN(AB180)+LN(AC180)+LN(AD180))*(AH180-V7_BASE_CPR),0)</f>
        <v/>
      </c>
      <c r="AN180" s="28">
        <f>IFERROR(LN(AB180)/(LN(W180)+LN(X180)+LN(Y180)+LN(Z180)+LN(AA180)+LN(AB180)+LN(AC180)+LN(AD180))*(AH180-V7_BASE_CPR),0)</f>
        <v/>
      </c>
      <c r="AO180" s="28">
        <f>IFERROR(LN(AC180)/(LN(W180)+LN(X180)+LN(Y180)+LN(Z180)+LN(AA180)+LN(AB180)+LN(AC180)+LN(AD180))*(AH180-V7_BASE_CPR),0)</f>
        <v/>
      </c>
      <c r="AP180" s="28">
        <f>IFERROR(LN(AD180)/(LN(W180)+LN(X180)+LN(Y180)+LN(Z180)+LN(AA180)+LN(AB180)+LN(AC180)+LN(AD180))*(AH180-V7_BASE_CPR),0)</f>
        <v/>
      </c>
      <c r="AQ180" s="29">
        <f>V7_BASE_CPR+SUM(AI180:AP180)-AH180</f>
        <v/>
      </c>
    </row>
    <row r="181">
      <c r="A181" s="2" t="inlineStr">
        <is>
          <t>3617VTX88_000000012122227</t>
        </is>
      </c>
      <c r="B181" t="inlineStr">
        <is>
          <t>CAPITAL_POST21</t>
        </is>
      </c>
      <c r="C181" s="2" t="inlineStr">
        <is>
          <t>3617VTX88</t>
        </is>
      </c>
      <c r="D181" t="inlineStr">
        <is>
          <t>CAPITAL FUNDING,LLC.</t>
        </is>
      </c>
      <c r="E181" t="inlineStr">
        <is>
          <t>232</t>
        </is>
      </c>
      <c r="F181" t="inlineStr">
        <is>
          <t>RP</t>
        </is>
      </c>
      <c r="G181" t="n">
        <v>2021</v>
      </c>
      <c r="H181" t="inlineStr">
        <is>
          <t>202602</t>
        </is>
      </c>
      <c r="I181" s="22" t="n">
        <v>11745120.48</v>
      </c>
      <c r="J181" s="23" t="n">
        <v>2.44</v>
      </c>
      <c r="K181" s="24" t="n">
        <v>447</v>
      </c>
      <c r="L181" s="24" t="n">
        <v>6</v>
      </c>
      <c r="M181" t="n">
        <v>56</v>
      </c>
      <c r="N181" s="25" t="n">
        <v>0</v>
      </c>
      <c r="O181" t="n">
        <v>205107</v>
      </c>
      <c r="P181" t="inlineStr"/>
      <c r="Q181" t="inlineStr">
        <is>
          <t>3866</t>
        </is>
      </c>
      <c r="R181" s="26" t="n">
        <v>0</v>
      </c>
      <c r="S181" t="n">
        <v>0</v>
      </c>
      <c r="T181" s="23">
        <f>LN(1+I181)</f>
        <v/>
      </c>
      <c r="U181" s="24">
        <f>J181*100-K181</f>
        <v/>
      </c>
      <c r="V181" s="24">
        <f>U181-12.5*(L181+1)</f>
        <v/>
      </c>
      <c r="W181" s="26">
        <f>IF(M181&lt;=V7_AGE_KNOT_X_0,V7_AGE_KNOT_Y_0,IF(M181&gt;=V7_AGE_KNOT_X_5,V7_AGE_KNOT_Y_5,IF(M181&lt;=V7_AGE_KNOT_X_1,V7_AGE_KNOT_Y_0+(M181-V7_AGE_KNOT_X_0)/(V7_AGE_KNOT_X_1-V7_AGE_KNOT_X_0)*(V7_AGE_KNOT_Y_1-V7_AGE_KNOT_Y_0),IF(M181&lt;=V7_AGE_KNOT_X_2,V7_AGE_KNOT_Y_1+(M181-V7_AGE_KNOT_X_1)/(V7_AGE_KNOT_X_2-V7_AGE_KNOT_X_1)*(V7_AGE_KNOT_Y_2-V7_AGE_KNOT_Y_1),IF(M181&lt;=V7_AGE_KNOT_X_3,V7_AGE_KNOT_Y_2+(M181-V7_AGE_KNOT_X_2)/(V7_AGE_KNOT_X_3-V7_AGE_KNOT_X_2)*(V7_AGE_KNOT_Y_3-V7_AGE_KNOT_Y_2),IF(M181&lt;=V7_AGE_KNOT_X_4,V7_AGE_KNOT_Y_3+(M181-V7_AGE_KNOT_X_3)/(V7_AGE_KNOT_X_4-V7_AGE_KNOT_X_3)*(V7_AGE_KNOT_Y_4-V7_AGE_KNOT_Y_3),V7_AGE_KNOT_Y_4+(M181-V7_AGE_KNOT_X_4)/(V7_AGE_KNOT_X_5-V7_AGE_KNOT_X_4)*(V7_AGE_KNOT_Y_5-V7_AGE_KNOT_Y_4)))))))</f>
        <v/>
      </c>
      <c r="X181" s="26">
        <f>V7_RATE_FLOOR+V7_RATE_ASYMPTOTE/(1+EXP(-(V181-V7_RATE_MID)/V7_RATE_SLOPE))</f>
        <v/>
      </c>
      <c r="Y181" s="26">
        <f>MAX(V7_SIZE_LOW,MIN(V7_SIZE_HIGH,V7_SIZE_INTERCEPT+V7_SIZE_SLOPE*(T181-V7_SIZE_LOG_ANCHOR)))</f>
        <v/>
      </c>
      <c r="Z181" s="26">
        <f>IF(ISNUMBER(SEARCH("232",E181)),VLOOKUP("232",V7_PROGRAM_TABLE,2,FALSE),IF(ISNUMBER(SEARCH("538",E181)),VLOOKUP("538",V7_PROGRAM_TABLE,2,FALSE),IF(ISNUMBER(SEARCH("223a7",E181)),VLOOKUP("223a7",V7_PROGRAM_TABLE,2,FALSE),IF(ISNUMBER(SEARCH("223f",E181)),VLOOKUP("223f",V7_PROGRAM_TABLE,2,FALSE),V7_PROGRAM_DEFAULT))))</f>
        <v/>
      </c>
      <c r="AA181" s="26">
        <f>IF(S181=1,1+V7_PURPOSE_NC_BUMP*MAX(0,1-ABS(M181-V7_PURPOSE_PEAK_AGE)/V7_PURPOSE_WIDTH),1)</f>
        <v/>
      </c>
      <c r="AB181" s="26">
        <f>IF(AND(IF(OR(P181="",NOT(ISNUMBER(P181))),0,MAX(0,MIN(24,(INT(VALUE(H181)/100)-INT(P181/100))*12+MOD(VALUE(H181),100)-MOD(P181,100))))&gt;0,IF(OR(P181="",NOT(ISNUMBER(P181))),0,MAX(0,MIN(24,(INT(VALUE(H181)/100)-INT(P181/100))*12+MOD(VALUE(H181),100)-MOD(P181,100))))&lt;=12),1+V7_LOCKOUT_AMP*EXP(-(IF(OR(P181="",NOT(ISNUMBER(P181))),0,MAX(0,MIN(24,(INT(VALUE(H181)/100)-INT(P181/100))*12+MOD(VALUE(H181),100)-MOD(P181,100)))))/V7_LOCKOUT_TAU),1)</f>
        <v/>
      </c>
      <c r="AC181" s="26">
        <f>IF(IF(OR(O181="",NOT(ISNUMBER(O181))),360,MAX(0,MIN(480,(INT(O181/100)-INT(VALUE(H181)/100))*12+MOD(O181,100)-MOD(VALUE(H181),100))))&gt;0,1+V7_MTY_AMP*MAX(0,(V7_MTY_CUTOFF-(IF(OR(O181="",NOT(ISNUMBER(O181))),360,MAX(0,MIN(480,(INT(O181/100)-INT(VALUE(H181)/100))*12+MOD(O181,100)-MOD(VALUE(H181),100))))))/V7_MTY_CUTOFF),1)</f>
        <v/>
      </c>
      <c r="AD181" s="26">
        <f>MAX(V7_BURN_FLOOR,1-V7_BURN_SLOPE*MIN(1,MAX(0,R181)))</f>
        <v/>
      </c>
      <c r="AE181" s="26">
        <f>IF(V7_USE_ISSUER=1,IFERROR(VLOOKUP(Q181,V7_ISSUER_TABLE,3,FALSE),1),1)</f>
        <v/>
      </c>
      <c r="AF181" s="26">
        <f>PRODUCT(W181:AE181)</f>
        <v/>
      </c>
      <c r="AG181" s="27">
        <f>MIN(V7_BASE_SMM*AF181,V7_SMM_CAP)</f>
        <v/>
      </c>
      <c r="AH181" s="28">
        <f>1-(1-AG181)^12</f>
        <v/>
      </c>
      <c r="AI181" s="28">
        <f>IFERROR(LN(W181)/(LN(W181)+LN(X181)+LN(Y181)+LN(Z181)+LN(AA181)+LN(AB181)+LN(AC181)+LN(AD181))*(AH181-V7_BASE_CPR),0)</f>
        <v/>
      </c>
      <c r="AJ181" s="28">
        <f>IFERROR(LN(X181)/(LN(W181)+LN(X181)+LN(Y181)+LN(Z181)+LN(AA181)+LN(AB181)+LN(AC181)+LN(AD181))*(AH181-V7_BASE_CPR),0)</f>
        <v/>
      </c>
      <c r="AK181" s="28">
        <f>IFERROR(LN(Y181)/(LN(W181)+LN(X181)+LN(Y181)+LN(Z181)+LN(AA181)+LN(AB181)+LN(AC181)+LN(AD181))*(AH181-V7_BASE_CPR),0)</f>
        <v/>
      </c>
      <c r="AL181" s="28">
        <f>IFERROR(LN(Z181)/(LN(W181)+LN(X181)+LN(Y181)+LN(Z181)+LN(AA181)+LN(AB181)+LN(AC181)+LN(AD181))*(AH181-V7_BASE_CPR),0)</f>
        <v/>
      </c>
      <c r="AM181" s="28">
        <f>IFERROR(LN(AA181)/(LN(W181)+LN(X181)+LN(Y181)+LN(Z181)+LN(AA181)+LN(AB181)+LN(AC181)+LN(AD181))*(AH181-V7_BASE_CPR),0)</f>
        <v/>
      </c>
      <c r="AN181" s="28">
        <f>IFERROR(LN(AB181)/(LN(W181)+LN(X181)+LN(Y181)+LN(Z181)+LN(AA181)+LN(AB181)+LN(AC181)+LN(AD181))*(AH181-V7_BASE_CPR),0)</f>
        <v/>
      </c>
      <c r="AO181" s="28">
        <f>IFERROR(LN(AC181)/(LN(W181)+LN(X181)+LN(Y181)+LN(Z181)+LN(AA181)+LN(AB181)+LN(AC181)+LN(AD181))*(AH181-V7_BASE_CPR),0)</f>
        <v/>
      </c>
      <c r="AP181" s="28">
        <f>IFERROR(LN(AD181)/(LN(W181)+LN(X181)+LN(Y181)+LN(Z181)+LN(AA181)+LN(AB181)+LN(AC181)+LN(AD181))*(AH181-V7_BASE_CPR),0)</f>
        <v/>
      </c>
      <c r="AQ181" s="29">
        <f>V7_BASE_CPR+SUM(AI181:AP181)-AH181</f>
        <v/>
      </c>
    </row>
    <row r="182">
      <c r="A182" s="2" t="inlineStr">
        <is>
          <t>3618G4K82_000000003422195</t>
        </is>
      </c>
      <c r="B182" t="inlineStr">
        <is>
          <t>CAPITAL_POST21</t>
        </is>
      </c>
      <c r="C182" s="2" t="inlineStr">
        <is>
          <t>3618G4K82</t>
        </is>
      </c>
      <c r="D182" t="inlineStr">
        <is>
          <t>CAPITAL FUNDING,LLC.</t>
        </is>
      </c>
      <c r="E182" t="inlineStr">
        <is>
          <t>232</t>
        </is>
      </c>
      <c r="F182" t="inlineStr">
        <is>
          <t>RP</t>
        </is>
      </c>
      <c r="G182" t="n">
        <v>2023</v>
      </c>
      <c r="H182" t="inlineStr">
        <is>
          <t>202602</t>
        </is>
      </c>
      <c r="I182" s="22" t="n">
        <v>9257415.58</v>
      </c>
      <c r="J182" s="23" t="n">
        <v>6</v>
      </c>
      <c r="K182" s="24" t="n">
        <v>447</v>
      </c>
      <c r="L182" s="24" t="n">
        <v>8</v>
      </c>
      <c r="M182" t="n">
        <v>26</v>
      </c>
      <c r="N182" s="25" t="n">
        <v>3</v>
      </c>
      <c r="O182" t="n">
        <v>205701</v>
      </c>
      <c r="P182" t="inlineStr"/>
      <c r="Q182" t="inlineStr">
        <is>
          <t>3866</t>
        </is>
      </c>
      <c r="R182" s="26" t="n">
        <v>0.1153846153846154</v>
      </c>
      <c r="S182" t="n">
        <v>0</v>
      </c>
      <c r="T182" s="23">
        <f>LN(1+I182)</f>
        <v/>
      </c>
      <c r="U182" s="24">
        <f>J182*100-K182</f>
        <v/>
      </c>
      <c r="V182" s="24">
        <f>U182-12.5*(L182+1)</f>
        <v/>
      </c>
      <c r="W182" s="26">
        <f>IF(M182&lt;=V7_AGE_KNOT_X_0,V7_AGE_KNOT_Y_0,IF(M182&gt;=V7_AGE_KNOT_X_5,V7_AGE_KNOT_Y_5,IF(M182&lt;=V7_AGE_KNOT_X_1,V7_AGE_KNOT_Y_0+(M182-V7_AGE_KNOT_X_0)/(V7_AGE_KNOT_X_1-V7_AGE_KNOT_X_0)*(V7_AGE_KNOT_Y_1-V7_AGE_KNOT_Y_0),IF(M182&lt;=V7_AGE_KNOT_X_2,V7_AGE_KNOT_Y_1+(M182-V7_AGE_KNOT_X_1)/(V7_AGE_KNOT_X_2-V7_AGE_KNOT_X_1)*(V7_AGE_KNOT_Y_2-V7_AGE_KNOT_Y_1),IF(M182&lt;=V7_AGE_KNOT_X_3,V7_AGE_KNOT_Y_2+(M182-V7_AGE_KNOT_X_2)/(V7_AGE_KNOT_X_3-V7_AGE_KNOT_X_2)*(V7_AGE_KNOT_Y_3-V7_AGE_KNOT_Y_2),IF(M182&lt;=V7_AGE_KNOT_X_4,V7_AGE_KNOT_Y_3+(M182-V7_AGE_KNOT_X_3)/(V7_AGE_KNOT_X_4-V7_AGE_KNOT_X_3)*(V7_AGE_KNOT_Y_4-V7_AGE_KNOT_Y_3),V7_AGE_KNOT_Y_4+(M182-V7_AGE_KNOT_X_4)/(V7_AGE_KNOT_X_5-V7_AGE_KNOT_X_4)*(V7_AGE_KNOT_Y_5-V7_AGE_KNOT_Y_4)))))))</f>
        <v/>
      </c>
      <c r="X182" s="26">
        <f>V7_RATE_FLOOR+V7_RATE_ASYMPTOTE/(1+EXP(-(V182-V7_RATE_MID)/V7_RATE_SLOPE))</f>
        <v/>
      </c>
      <c r="Y182" s="26">
        <f>MAX(V7_SIZE_LOW,MIN(V7_SIZE_HIGH,V7_SIZE_INTERCEPT+V7_SIZE_SLOPE*(T182-V7_SIZE_LOG_ANCHOR)))</f>
        <v/>
      </c>
      <c r="Z182" s="26">
        <f>IF(ISNUMBER(SEARCH("232",E182)),VLOOKUP("232",V7_PROGRAM_TABLE,2,FALSE),IF(ISNUMBER(SEARCH("538",E182)),VLOOKUP("538",V7_PROGRAM_TABLE,2,FALSE),IF(ISNUMBER(SEARCH("223a7",E182)),VLOOKUP("223a7",V7_PROGRAM_TABLE,2,FALSE),IF(ISNUMBER(SEARCH("223f",E182)),VLOOKUP("223f",V7_PROGRAM_TABLE,2,FALSE),V7_PROGRAM_DEFAULT))))</f>
        <v/>
      </c>
      <c r="AA182" s="26">
        <f>IF(S182=1,1+V7_PURPOSE_NC_BUMP*MAX(0,1-ABS(M182-V7_PURPOSE_PEAK_AGE)/V7_PURPOSE_WIDTH),1)</f>
        <v/>
      </c>
      <c r="AB182" s="26">
        <f>IF(AND(IF(OR(P182="",NOT(ISNUMBER(P182))),0,MAX(0,MIN(24,(INT(VALUE(H182)/100)-INT(P182/100))*12+MOD(VALUE(H182),100)-MOD(P182,100))))&gt;0,IF(OR(P182="",NOT(ISNUMBER(P182))),0,MAX(0,MIN(24,(INT(VALUE(H182)/100)-INT(P182/100))*12+MOD(VALUE(H182),100)-MOD(P182,100))))&lt;=12),1+V7_LOCKOUT_AMP*EXP(-(IF(OR(P182="",NOT(ISNUMBER(P182))),0,MAX(0,MIN(24,(INT(VALUE(H182)/100)-INT(P182/100))*12+MOD(VALUE(H182),100)-MOD(P182,100)))))/V7_LOCKOUT_TAU),1)</f>
        <v/>
      </c>
      <c r="AC182" s="26">
        <f>IF(IF(OR(O182="",NOT(ISNUMBER(O182))),360,MAX(0,MIN(480,(INT(O182/100)-INT(VALUE(H182)/100))*12+MOD(O182,100)-MOD(VALUE(H182),100))))&gt;0,1+V7_MTY_AMP*MAX(0,(V7_MTY_CUTOFF-(IF(OR(O182="",NOT(ISNUMBER(O182))),360,MAX(0,MIN(480,(INT(O182/100)-INT(VALUE(H182)/100))*12+MOD(O182,100)-MOD(VALUE(H182),100))))))/V7_MTY_CUTOFF),1)</f>
        <v/>
      </c>
      <c r="AD182" s="26">
        <f>MAX(V7_BURN_FLOOR,1-V7_BURN_SLOPE*MIN(1,MAX(0,R182)))</f>
        <v/>
      </c>
      <c r="AE182" s="26">
        <f>IF(V7_USE_ISSUER=1,IFERROR(VLOOKUP(Q182,V7_ISSUER_TABLE,3,FALSE),1),1)</f>
        <v/>
      </c>
      <c r="AF182" s="26">
        <f>PRODUCT(W182:AE182)</f>
        <v/>
      </c>
      <c r="AG182" s="27">
        <f>MIN(V7_BASE_SMM*AF182,V7_SMM_CAP)</f>
        <v/>
      </c>
      <c r="AH182" s="28">
        <f>1-(1-AG182)^12</f>
        <v/>
      </c>
      <c r="AI182" s="28">
        <f>IFERROR(LN(W182)/(LN(W182)+LN(X182)+LN(Y182)+LN(Z182)+LN(AA182)+LN(AB182)+LN(AC182)+LN(AD182))*(AH182-V7_BASE_CPR),0)</f>
        <v/>
      </c>
      <c r="AJ182" s="28">
        <f>IFERROR(LN(X182)/(LN(W182)+LN(X182)+LN(Y182)+LN(Z182)+LN(AA182)+LN(AB182)+LN(AC182)+LN(AD182))*(AH182-V7_BASE_CPR),0)</f>
        <v/>
      </c>
      <c r="AK182" s="28">
        <f>IFERROR(LN(Y182)/(LN(W182)+LN(X182)+LN(Y182)+LN(Z182)+LN(AA182)+LN(AB182)+LN(AC182)+LN(AD182))*(AH182-V7_BASE_CPR),0)</f>
        <v/>
      </c>
      <c r="AL182" s="28">
        <f>IFERROR(LN(Z182)/(LN(W182)+LN(X182)+LN(Y182)+LN(Z182)+LN(AA182)+LN(AB182)+LN(AC182)+LN(AD182))*(AH182-V7_BASE_CPR),0)</f>
        <v/>
      </c>
      <c r="AM182" s="28">
        <f>IFERROR(LN(AA182)/(LN(W182)+LN(X182)+LN(Y182)+LN(Z182)+LN(AA182)+LN(AB182)+LN(AC182)+LN(AD182))*(AH182-V7_BASE_CPR),0)</f>
        <v/>
      </c>
      <c r="AN182" s="28">
        <f>IFERROR(LN(AB182)/(LN(W182)+LN(X182)+LN(Y182)+LN(Z182)+LN(AA182)+LN(AB182)+LN(AC182)+LN(AD182))*(AH182-V7_BASE_CPR),0)</f>
        <v/>
      </c>
      <c r="AO182" s="28">
        <f>IFERROR(LN(AC182)/(LN(W182)+LN(X182)+LN(Y182)+LN(Z182)+LN(AA182)+LN(AB182)+LN(AC182)+LN(AD182))*(AH182-V7_BASE_CPR),0)</f>
        <v/>
      </c>
      <c r="AP182" s="28">
        <f>IFERROR(LN(AD182)/(LN(W182)+LN(X182)+LN(Y182)+LN(Z182)+LN(AA182)+LN(AB182)+LN(AC182)+LN(AD182))*(AH182-V7_BASE_CPR),0)</f>
        <v/>
      </c>
      <c r="AQ182" s="29">
        <f>V7_BASE_CPR+SUM(AI182:AP182)-AH182</f>
        <v/>
      </c>
    </row>
    <row r="183">
      <c r="A183" s="2" t="inlineStr">
        <is>
          <t>3617NFXJ3_000000004822022</t>
        </is>
      </c>
      <c r="B183" t="inlineStr">
        <is>
          <t>CAPITAL_PRE21</t>
        </is>
      </c>
      <c r="C183" s="2" t="inlineStr">
        <is>
          <t>3617NFXJ3</t>
        </is>
      </c>
      <c r="D183" t="inlineStr">
        <is>
          <t>CAPITAL FUNDING,LLC.</t>
        </is>
      </c>
      <c r="E183" t="inlineStr">
        <is>
          <t>232</t>
        </is>
      </c>
      <c r="F183" t="inlineStr">
        <is>
          <t>RP</t>
        </is>
      </c>
      <c r="G183" t="n">
        <v>2010</v>
      </c>
      <c r="H183" t="inlineStr">
        <is>
          <t>202602</t>
        </is>
      </c>
      <c r="I183" s="22" t="n">
        <v>2463434.45</v>
      </c>
      <c r="J183" s="23" t="n">
        <v>2.95</v>
      </c>
      <c r="K183" s="24" t="n">
        <v>447</v>
      </c>
      <c r="L183" s="24" t="n">
        <v>5</v>
      </c>
      <c r="M183" t="n">
        <v>182</v>
      </c>
      <c r="N183" s="25" t="n">
        <v>5</v>
      </c>
      <c r="O183" t="n">
        <v>203605</v>
      </c>
      <c r="P183" t="inlineStr"/>
      <c r="Q183" t="inlineStr">
        <is>
          <t>3866</t>
        </is>
      </c>
      <c r="R183" s="26" t="n">
        <v>0.02747252747252747</v>
      </c>
      <c r="S183" t="n">
        <v>0</v>
      </c>
      <c r="T183" s="23">
        <f>LN(1+I183)</f>
        <v/>
      </c>
      <c r="U183" s="24">
        <f>J183*100-K183</f>
        <v/>
      </c>
      <c r="V183" s="24">
        <f>U183-12.5*(L183+1)</f>
        <v/>
      </c>
      <c r="W183" s="26">
        <f>IF(M183&lt;=V7_AGE_KNOT_X_0,V7_AGE_KNOT_Y_0,IF(M183&gt;=V7_AGE_KNOT_X_5,V7_AGE_KNOT_Y_5,IF(M183&lt;=V7_AGE_KNOT_X_1,V7_AGE_KNOT_Y_0+(M183-V7_AGE_KNOT_X_0)/(V7_AGE_KNOT_X_1-V7_AGE_KNOT_X_0)*(V7_AGE_KNOT_Y_1-V7_AGE_KNOT_Y_0),IF(M183&lt;=V7_AGE_KNOT_X_2,V7_AGE_KNOT_Y_1+(M183-V7_AGE_KNOT_X_1)/(V7_AGE_KNOT_X_2-V7_AGE_KNOT_X_1)*(V7_AGE_KNOT_Y_2-V7_AGE_KNOT_Y_1),IF(M183&lt;=V7_AGE_KNOT_X_3,V7_AGE_KNOT_Y_2+(M183-V7_AGE_KNOT_X_2)/(V7_AGE_KNOT_X_3-V7_AGE_KNOT_X_2)*(V7_AGE_KNOT_Y_3-V7_AGE_KNOT_Y_2),IF(M183&lt;=V7_AGE_KNOT_X_4,V7_AGE_KNOT_Y_3+(M183-V7_AGE_KNOT_X_3)/(V7_AGE_KNOT_X_4-V7_AGE_KNOT_X_3)*(V7_AGE_KNOT_Y_4-V7_AGE_KNOT_Y_3),V7_AGE_KNOT_Y_4+(M183-V7_AGE_KNOT_X_4)/(V7_AGE_KNOT_X_5-V7_AGE_KNOT_X_4)*(V7_AGE_KNOT_Y_5-V7_AGE_KNOT_Y_4)))))))</f>
        <v/>
      </c>
      <c r="X183" s="26">
        <f>V7_RATE_FLOOR+V7_RATE_ASYMPTOTE/(1+EXP(-(V183-V7_RATE_MID)/V7_RATE_SLOPE))</f>
        <v/>
      </c>
      <c r="Y183" s="26">
        <f>MAX(V7_SIZE_LOW,MIN(V7_SIZE_HIGH,V7_SIZE_INTERCEPT+V7_SIZE_SLOPE*(T183-V7_SIZE_LOG_ANCHOR)))</f>
        <v/>
      </c>
      <c r="Z183" s="26">
        <f>IF(ISNUMBER(SEARCH("232",E183)),VLOOKUP("232",V7_PROGRAM_TABLE,2,FALSE),IF(ISNUMBER(SEARCH("538",E183)),VLOOKUP("538",V7_PROGRAM_TABLE,2,FALSE),IF(ISNUMBER(SEARCH("223a7",E183)),VLOOKUP("223a7",V7_PROGRAM_TABLE,2,FALSE),IF(ISNUMBER(SEARCH("223f",E183)),VLOOKUP("223f",V7_PROGRAM_TABLE,2,FALSE),V7_PROGRAM_DEFAULT))))</f>
        <v/>
      </c>
      <c r="AA183" s="26">
        <f>IF(S183=1,1+V7_PURPOSE_NC_BUMP*MAX(0,1-ABS(M183-V7_PURPOSE_PEAK_AGE)/V7_PURPOSE_WIDTH),1)</f>
        <v/>
      </c>
      <c r="AB183" s="26">
        <f>IF(AND(IF(OR(P183="",NOT(ISNUMBER(P183))),0,MAX(0,MIN(24,(INT(VALUE(H183)/100)-INT(P183/100))*12+MOD(VALUE(H183),100)-MOD(P183,100))))&gt;0,IF(OR(P183="",NOT(ISNUMBER(P183))),0,MAX(0,MIN(24,(INT(VALUE(H183)/100)-INT(P183/100))*12+MOD(VALUE(H183),100)-MOD(P183,100))))&lt;=12),1+V7_LOCKOUT_AMP*EXP(-(IF(OR(P183="",NOT(ISNUMBER(P183))),0,MAX(0,MIN(24,(INT(VALUE(H183)/100)-INT(P183/100))*12+MOD(VALUE(H183),100)-MOD(P183,100)))))/V7_LOCKOUT_TAU),1)</f>
        <v/>
      </c>
      <c r="AC183" s="26">
        <f>IF(IF(OR(O183="",NOT(ISNUMBER(O183))),360,MAX(0,MIN(480,(INT(O183/100)-INT(VALUE(H183)/100))*12+MOD(O183,100)-MOD(VALUE(H183),100))))&gt;0,1+V7_MTY_AMP*MAX(0,(V7_MTY_CUTOFF-(IF(OR(O183="",NOT(ISNUMBER(O183))),360,MAX(0,MIN(480,(INT(O183/100)-INT(VALUE(H183)/100))*12+MOD(O183,100)-MOD(VALUE(H183),100))))))/V7_MTY_CUTOFF),1)</f>
        <v/>
      </c>
      <c r="AD183" s="26">
        <f>MAX(V7_BURN_FLOOR,1-V7_BURN_SLOPE*MIN(1,MAX(0,R183)))</f>
        <v/>
      </c>
      <c r="AE183" s="26">
        <f>IF(V7_USE_ISSUER=1,IFERROR(VLOOKUP(Q183,V7_ISSUER_TABLE,3,FALSE),1),1)</f>
        <v/>
      </c>
      <c r="AF183" s="26">
        <f>PRODUCT(W183:AE183)</f>
        <v/>
      </c>
      <c r="AG183" s="27">
        <f>MIN(V7_BASE_SMM*AF183,V7_SMM_CAP)</f>
        <v/>
      </c>
      <c r="AH183" s="28">
        <f>1-(1-AG183)^12</f>
        <v/>
      </c>
      <c r="AI183" s="28">
        <f>IFERROR(LN(W183)/(LN(W183)+LN(X183)+LN(Y183)+LN(Z183)+LN(AA183)+LN(AB183)+LN(AC183)+LN(AD183))*(AH183-V7_BASE_CPR),0)</f>
        <v/>
      </c>
      <c r="AJ183" s="28">
        <f>IFERROR(LN(X183)/(LN(W183)+LN(X183)+LN(Y183)+LN(Z183)+LN(AA183)+LN(AB183)+LN(AC183)+LN(AD183))*(AH183-V7_BASE_CPR),0)</f>
        <v/>
      </c>
      <c r="AK183" s="28">
        <f>IFERROR(LN(Y183)/(LN(W183)+LN(X183)+LN(Y183)+LN(Z183)+LN(AA183)+LN(AB183)+LN(AC183)+LN(AD183))*(AH183-V7_BASE_CPR),0)</f>
        <v/>
      </c>
      <c r="AL183" s="28">
        <f>IFERROR(LN(Z183)/(LN(W183)+LN(X183)+LN(Y183)+LN(Z183)+LN(AA183)+LN(AB183)+LN(AC183)+LN(AD183))*(AH183-V7_BASE_CPR),0)</f>
        <v/>
      </c>
      <c r="AM183" s="28">
        <f>IFERROR(LN(AA183)/(LN(W183)+LN(X183)+LN(Y183)+LN(Z183)+LN(AA183)+LN(AB183)+LN(AC183)+LN(AD183))*(AH183-V7_BASE_CPR),0)</f>
        <v/>
      </c>
      <c r="AN183" s="28">
        <f>IFERROR(LN(AB183)/(LN(W183)+LN(X183)+LN(Y183)+LN(Z183)+LN(AA183)+LN(AB183)+LN(AC183)+LN(AD183))*(AH183-V7_BASE_CPR),0)</f>
        <v/>
      </c>
      <c r="AO183" s="28">
        <f>IFERROR(LN(AC183)/(LN(W183)+LN(X183)+LN(Y183)+LN(Z183)+LN(AA183)+LN(AB183)+LN(AC183)+LN(AD183))*(AH183-V7_BASE_CPR),0)</f>
        <v/>
      </c>
      <c r="AP183" s="28">
        <f>IFERROR(LN(AD183)/(LN(W183)+LN(X183)+LN(Y183)+LN(Z183)+LN(AA183)+LN(AB183)+LN(AC183)+LN(AD183))*(AH183-V7_BASE_CPR),0)</f>
        <v/>
      </c>
      <c r="AQ183" s="29">
        <f>V7_BASE_CPR+SUM(AI183:AP183)-AH183</f>
        <v/>
      </c>
    </row>
    <row r="184">
      <c r="A184" s="2" t="inlineStr">
        <is>
          <t>3617ACJL5_000000010122125</t>
        </is>
      </c>
      <c r="B184" t="inlineStr">
        <is>
          <t>CAPITAL_PRE21</t>
        </is>
      </c>
      <c r="C184" s="2" t="inlineStr">
        <is>
          <t>3617ACJL5</t>
        </is>
      </c>
      <c r="D184" t="inlineStr">
        <is>
          <t>CAPITAL FUNDING,LLC.</t>
        </is>
      </c>
      <c r="E184" t="inlineStr">
        <is>
          <t>232</t>
        </is>
      </c>
      <c r="F184" t="inlineStr">
        <is>
          <t>RP</t>
        </is>
      </c>
      <c r="G184" t="n">
        <v>2017</v>
      </c>
      <c r="H184" t="inlineStr">
        <is>
          <t>202602</t>
        </is>
      </c>
      <c r="I184" s="22" t="n">
        <v>10506744.22</v>
      </c>
      <c r="J184" s="23" t="n">
        <v>4.15</v>
      </c>
      <c r="K184" s="24" t="n">
        <v>447</v>
      </c>
      <c r="L184" s="24" t="n">
        <v>0</v>
      </c>
      <c r="M184" t="n">
        <v>105</v>
      </c>
      <c r="N184" s="25" t="n">
        <v>43</v>
      </c>
      <c r="O184" t="n">
        <v>204706</v>
      </c>
      <c r="P184" t="inlineStr"/>
      <c r="Q184" t="inlineStr">
        <is>
          <t>3866</t>
        </is>
      </c>
      <c r="R184" s="26" t="n">
        <v>0.4095238095238095</v>
      </c>
      <c r="S184" t="n">
        <v>0</v>
      </c>
      <c r="T184" s="23">
        <f>LN(1+I184)</f>
        <v/>
      </c>
      <c r="U184" s="24">
        <f>J184*100-K184</f>
        <v/>
      </c>
      <c r="V184" s="24">
        <f>U184-12.5*(L184+1)</f>
        <v/>
      </c>
      <c r="W184" s="26">
        <f>IF(M184&lt;=V7_AGE_KNOT_X_0,V7_AGE_KNOT_Y_0,IF(M184&gt;=V7_AGE_KNOT_X_5,V7_AGE_KNOT_Y_5,IF(M184&lt;=V7_AGE_KNOT_X_1,V7_AGE_KNOT_Y_0+(M184-V7_AGE_KNOT_X_0)/(V7_AGE_KNOT_X_1-V7_AGE_KNOT_X_0)*(V7_AGE_KNOT_Y_1-V7_AGE_KNOT_Y_0),IF(M184&lt;=V7_AGE_KNOT_X_2,V7_AGE_KNOT_Y_1+(M184-V7_AGE_KNOT_X_1)/(V7_AGE_KNOT_X_2-V7_AGE_KNOT_X_1)*(V7_AGE_KNOT_Y_2-V7_AGE_KNOT_Y_1),IF(M184&lt;=V7_AGE_KNOT_X_3,V7_AGE_KNOT_Y_2+(M184-V7_AGE_KNOT_X_2)/(V7_AGE_KNOT_X_3-V7_AGE_KNOT_X_2)*(V7_AGE_KNOT_Y_3-V7_AGE_KNOT_Y_2),IF(M184&lt;=V7_AGE_KNOT_X_4,V7_AGE_KNOT_Y_3+(M184-V7_AGE_KNOT_X_3)/(V7_AGE_KNOT_X_4-V7_AGE_KNOT_X_3)*(V7_AGE_KNOT_Y_4-V7_AGE_KNOT_Y_3),V7_AGE_KNOT_Y_4+(M184-V7_AGE_KNOT_X_4)/(V7_AGE_KNOT_X_5-V7_AGE_KNOT_X_4)*(V7_AGE_KNOT_Y_5-V7_AGE_KNOT_Y_4)))))))</f>
        <v/>
      </c>
      <c r="X184" s="26">
        <f>V7_RATE_FLOOR+V7_RATE_ASYMPTOTE/(1+EXP(-(V184-V7_RATE_MID)/V7_RATE_SLOPE))</f>
        <v/>
      </c>
      <c r="Y184" s="26">
        <f>MAX(V7_SIZE_LOW,MIN(V7_SIZE_HIGH,V7_SIZE_INTERCEPT+V7_SIZE_SLOPE*(T184-V7_SIZE_LOG_ANCHOR)))</f>
        <v/>
      </c>
      <c r="Z184" s="26">
        <f>IF(ISNUMBER(SEARCH("232",E184)),VLOOKUP("232",V7_PROGRAM_TABLE,2,FALSE),IF(ISNUMBER(SEARCH("538",E184)),VLOOKUP("538",V7_PROGRAM_TABLE,2,FALSE),IF(ISNUMBER(SEARCH("223a7",E184)),VLOOKUP("223a7",V7_PROGRAM_TABLE,2,FALSE),IF(ISNUMBER(SEARCH("223f",E184)),VLOOKUP("223f",V7_PROGRAM_TABLE,2,FALSE),V7_PROGRAM_DEFAULT))))</f>
        <v/>
      </c>
      <c r="AA184" s="26">
        <f>IF(S184=1,1+V7_PURPOSE_NC_BUMP*MAX(0,1-ABS(M184-V7_PURPOSE_PEAK_AGE)/V7_PURPOSE_WIDTH),1)</f>
        <v/>
      </c>
      <c r="AB184" s="26">
        <f>IF(AND(IF(OR(P184="",NOT(ISNUMBER(P184))),0,MAX(0,MIN(24,(INT(VALUE(H184)/100)-INT(P184/100))*12+MOD(VALUE(H184),100)-MOD(P184,100))))&gt;0,IF(OR(P184="",NOT(ISNUMBER(P184))),0,MAX(0,MIN(24,(INT(VALUE(H184)/100)-INT(P184/100))*12+MOD(VALUE(H184),100)-MOD(P184,100))))&lt;=12),1+V7_LOCKOUT_AMP*EXP(-(IF(OR(P184="",NOT(ISNUMBER(P184))),0,MAX(0,MIN(24,(INT(VALUE(H184)/100)-INT(P184/100))*12+MOD(VALUE(H184),100)-MOD(P184,100)))))/V7_LOCKOUT_TAU),1)</f>
        <v/>
      </c>
      <c r="AC184" s="26">
        <f>IF(IF(OR(O184="",NOT(ISNUMBER(O184))),360,MAX(0,MIN(480,(INT(O184/100)-INT(VALUE(H184)/100))*12+MOD(O184,100)-MOD(VALUE(H184),100))))&gt;0,1+V7_MTY_AMP*MAX(0,(V7_MTY_CUTOFF-(IF(OR(O184="",NOT(ISNUMBER(O184))),360,MAX(0,MIN(480,(INT(O184/100)-INT(VALUE(H184)/100))*12+MOD(O184,100)-MOD(VALUE(H184),100))))))/V7_MTY_CUTOFF),1)</f>
        <v/>
      </c>
      <c r="AD184" s="26">
        <f>MAX(V7_BURN_FLOOR,1-V7_BURN_SLOPE*MIN(1,MAX(0,R184)))</f>
        <v/>
      </c>
      <c r="AE184" s="26">
        <f>IF(V7_USE_ISSUER=1,IFERROR(VLOOKUP(Q184,V7_ISSUER_TABLE,3,FALSE),1),1)</f>
        <v/>
      </c>
      <c r="AF184" s="26">
        <f>PRODUCT(W184:AE184)</f>
        <v/>
      </c>
      <c r="AG184" s="27">
        <f>MIN(V7_BASE_SMM*AF184,V7_SMM_CAP)</f>
        <v/>
      </c>
      <c r="AH184" s="28">
        <f>1-(1-AG184)^12</f>
        <v/>
      </c>
      <c r="AI184" s="28">
        <f>IFERROR(LN(W184)/(LN(W184)+LN(X184)+LN(Y184)+LN(Z184)+LN(AA184)+LN(AB184)+LN(AC184)+LN(AD184))*(AH184-V7_BASE_CPR),0)</f>
        <v/>
      </c>
      <c r="AJ184" s="28">
        <f>IFERROR(LN(X184)/(LN(W184)+LN(X184)+LN(Y184)+LN(Z184)+LN(AA184)+LN(AB184)+LN(AC184)+LN(AD184))*(AH184-V7_BASE_CPR),0)</f>
        <v/>
      </c>
      <c r="AK184" s="28">
        <f>IFERROR(LN(Y184)/(LN(W184)+LN(X184)+LN(Y184)+LN(Z184)+LN(AA184)+LN(AB184)+LN(AC184)+LN(AD184))*(AH184-V7_BASE_CPR),0)</f>
        <v/>
      </c>
      <c r="AL184" s="28">
        <f>IFERROR(LN(Z184)/(LN(W184)+LN(X184)+LN(Y184)+LN(Z184)+LN(AA184)+LN(AB184)+LN(AC184)+LN(AD184))*(AH184-V7_BASE_CPR),0)</f>
        <v/>
      </c>
      <c r="AM184" s="28">
        <f>IFERROR(LN(AA184)/(LN(W184)+LN(X184)+LN(Y184)+LN(Z184)+LN(AA184)+LN(AB184)+LN(AC184)+LN(AD184))*(AH184-V7_BASE_CPR),0)</f>
        <v/>
      </c>
      <c r="AN184" s="28">
        <f>IFERROR(LN(AB184)/(LN(W184)+LN(X184)+LN(Y184)+LN(Z184)+LN(AA184)+LN(AB184)+LN(AC184)+LN(AD184))*(AH184-V7_BASE_CPR),0)</f>
        <v/>
      </c>
      <c r="AO184" s="28">
        <f>IFERROR(LN(AC184)/(LN(W184)+LN(X184)+LN(Y184)+LN(Z184)+LN(AA184)+LN(AB184)+LN(AC184)+LN(AD184))*(AH184-V7_BASE_CPR),0)</f>
        <v/>
      </c>
      <c r="AP184" s="28">
        <f>IFERROR(LN(AD184)/(LN(W184)+LN(X184)+LN(Y184)+LN(Z184)+LN(AA184)+LN(AB184)+LN(AC184)+LN(AD184))*(AH184-V7_BASE_CPR),0)</f>
        <v/>
      </c>
      <c r="AQ184" s="29">
        <f>V7_BASE_CPR+SUM(AI184:AP184)-AH184</f>
        <v/>
      </c>
    </row>
    <row r="185">
      <c r="A185" s="2" t="inlineStr">
        <is>
          <t>36181DQH2_000000012122146</t>
        </is>
      </c>
      <c r="B185" t="inlineStr">
        <is>
          <t>CAPITAL_PRE21</t>
        </is>
      </c>
      <c r="C185" s="2" t="inlineStr">
        <is>
          <t>36181DQH2</t>
        </is>
      </c>
      <c r="D185" t="inlineStr">
        <is>
          <t>CAPITAL FUNDING,LLC.</t>
        </is>
      </c>
      <c r="E185" t="inlineStr">
        <is>
          <t>232</t>
        </is>
      </c>
      <c r="F185" t="inlineStr">
        <is>
          <t>RP</t>
        </is>
      </c>
      <c r="G185" t="n">
        <v>2013</v>
      </c>
      <c r="H185" t="inlineStr">
        <is>
          <t>202602</t>
        </is>
      </c>
      <c r="I185" s="22" t="n">
        <v>2672369.06</v>
      </c>
      <c r="J185" s="23" t="n">
        <v>3.91</v>
      </c>
      <c r="K185" s="24" t="n">
        <v>447</v>
      </c>
      <c r="L185" s="24" t="n">
        <v>0</v>
      </c>
      <c r="M185" t="n">
        <v>153</v>
      </c>
      <c r="N185" s="25" t="n">
        <v>38</v>
      </c>
      <c r="O185" t="n">
        <v>203412</v>
      </c>
      <c r="P185" t="inlineStr"/>
      <c r="Q185" t="inlineStr">
        <is>
          <t>3866</t>
        </is>
      </c>
      <c r="R185" s="26" t="n">
        <v>0.2483660130718954</v>
      </c>
      <c r="S185" t="n">
        <v>0</v>
      </c>
      <c r="T185" s="23">
        <f>LN(1+I185)</f>
        <v/>
      </c>
      <c r="U185" s="24">
        <f>J185*100-K185</f>
        <v/>
      </c>
      <c r="V185" s="24">
        <f>U185-12.5*(L185+1)</f>
        <v/>
      </c>
      <c r="W185" s="26">
        <f>IF(M185&lt;=V7_AGE_KNOT_X_0,V7_AGE_KNOT_Y_0,IF(M185&gt;=V7_AGE_KNOT_X_5,V7_AGE_KNOT_Y_5,IF(M185&lt;=V7_AGE_KNOT_X_1,V7_AGE_KNOT_Y_0+(M185-V7_AGE_KNOT_X_0)/(V7_AGE_KNOT_X_1-V7_AGE_KNOT_X_0)*(V7_AGE_KNOT_Y_1-V7_AGE_KNOT_Y_0),IF(M185&lt;=V7_AGE_KNOT_X_2,V7_AGE_KNOT_Y_1+(M185-V7_AGE_KNOT_X_1)/(V7_AGE_KNOT_X_2-V7_AGE_KNOT_X_1)*(V7_AGE_KNOT_Y_2-V7_AGE_KNOT_Y_1),IF(M185&lt;=V7_AGE_KNOT_X_3,V7_AGE_KNOT_Y_2+(M185-V7_AGE_KNOT_X_2)/(V7_AGE_KNOT_X_3-V7_AGE_KNOT_X_2)*(V7_AGE_KNOT_Y_3-V7_AGE_KNOT_Y_2),IF(M185&lt;=V7_AGE_KNOT_X_4,V7_AGE_KNOT_Y_3+(M185-V7_AGE_KNOT_X_3)/(V7_AGE_KNOT_X_4-V7_AGE_KNOT_X_3)*(V7_AGE_KNOT_Y_4-V7_AGE_KNOT_Y_3),V7_AGE_KNOT_Y_4+(M185-V7_AGE_KNOT_X_4)/(V7_AGE_KNOT_X_5-V7_AGE_KNOT_X_4)*(V7_AGE_KNOT_Y_5-V7_AGE_KNOT_Y_4)))))))</f>
        <v/>
      </c>
      <c r="X185" s="26">
        <f>V7_RATE_FLOOR+V7_RATE_ASYMPTOTE/(1+EXP(-(V185-V7_RATE_MID)/V7_RATE_SLOPE))</f>
        <v/>
      </c>
      <c r="Y185" s="26">
        <f>MAX(V7_SIZE_LOW,MIN(V7_SIZE_HIGH,V7_SIZE_INTERCEPT+V7_SIZE_SLOPE*(T185-V7_SIZE_LOG_ANCHOR)))</f>
        <v/>
      </c>
      <c r="Z185" s="26">
        <f>IF(ISNUMBER(SEARCH("232",E185)),VLOOKUP("232",V7_PROGRAM_TABLE,2,FALSE),IF(ISNUMBER(SEARCH("538",E185)),VLOOKUP("538",V7_PROGRAM_TABLE,2,FALSE),IF(ISNUMBER(SEARCH("223a7",E185)),VLOOKUP("223a7",V7_PROGRAM_TABLE,2,FALSE),IF(ISNUMBER(SEARCH("223f",E185)),VLOOKUP("223f",V7_PROGRAM_TABLE,2,FALSE),V7_PROGRAM_DEFAULT))))</f>
        <v/>
      </c>
      <c r="AA185" s="26">
        <f>IF(S185=1,1+V7_PURPOSE_NC_BUMP*MAX(0,1-ABS(M185-V7_PURPOSE_PEAK_AGE)/V7_PURPOSE_WIDTH),1)</f>
        <v/>
      </c>
      <c r="AB185" s="26">
        <f>IF(AND(IF(OR(P185="",NOT(ISNUMBER(P185))),0,MAX(0,MIN(24,(INT(VALUE(H185)/100)-INT(P185/100))*12+MOD(VALUE(H185),100)-MOD(P185,100))))&gt;0,IF(OR(P185="",NOT(ISNUMBER(P185))),0,MAX(0,MIN(24,(INT(VALUE(H185)/100)-INT(P185/100))*12+MOD(VALUE(H185),100)-MOD(P185,100))))&lt;=12),1+V7_LOCKOUT_AMP*EXP(-(IF(OR(P185="",NOT(ISNUMBER(P185))),0,MAX(0,MIN(24,(INT(VALUE(H185)/100)-INT(P185/100))*12+MOD(VALUE(H185),100)-MOD(P185,100)))))/V7_LOCKOUT_TAU),1)</f>
        <v/>
      </c>
      <c r="AC185" s="26">
        <f>IF(IF(OR(O185="",NOT(ISNUMBER(O185))),360,MAX(0,MIN(480,(INT(O185/100)-INT(VALUE(H185)/100))*12+MOD(O185,100)-MOD(VALUE(H185),100))))&gt;0,1+V7_MTY_AMP*MAX(0,(V7_MTY_CUTOFF-(IF(OR(O185="",NOT(ISNUMBER(O185))),360,MAX(0,MIN(480,(INT(O185/100)-INT(VALUE(H185)/100))*12+MOD(O185,100)-MOD(VALUE(H185),100))))))/V7_MTY_CUTOFF),1)</f>
        <v/>
      </c>
      <c r="AD185" s="26">
        <f>MAX(V7_BURN_FLOOR,1-V7_BURN_SLOPE*MIN(1,MAX(0,R185)))</f>
        <v/>
      </c>
      <c r="AE185" s="26">
        <f>IF(V7_USE_ISSUER=1,IFERROR(VLOOKUP(Q185,V7_ISSUER_TABLE,3,FALSE),1),1)</f>
        <v/>
      </c>
      <c r="AF185" s="26">
        <f>PRODUCT(W185:AE185)</f>
        <v/>
      </c>
      <c r="AG185" s="27">
        <f>MIN(V7_BASE_SMM*AF185,V7_SMM_CAP)</f>
        <v/>
      </c>
      <c r="AH185" s="28">
        <f>1-(1-AG185)^12</f>
        <v/>
      </c>
      <c r="AI185" s="28">
        <f>IFERROR(LN(W185)/(LN(W185)+LN(X185)+LN(Y185)+LN(Z185)+LN(AA185)+LN(AB185)+LN(AC185)+LN(AD185))*(AH185-V7_BASE_CPR),0)</f>
        <v/>
      </c>
      <c r="AJ185" s="28">
        <f>IFERROR(LN(X185)/(LN(W185)+LN(X185)+LN(Y185)+LN(Z185)+LN(AA185)+LN(AB185)+LN(AC185)+LN(AD185))*(AH185-V7_BASE_CPR),0)</f>
        <v/>
      </c>
      <c r="AK185" s="28">
        <f>IFERROR(LN(Y185)/(LN(W185)+LN(X185)+LN(Y185)+LN(Z185)+LN(AA185)+LN(AB185)+LN(AC185)+LN(AD185))*(AH185-V7_BASE_CPR),0)</f>
        <v/>
      </c>
      <c r="AL185" s="28">
        <f>IFERROR(LN(Z185)/(LN(W185)+LN(X185)+LN(Y185)+LN(Z185)+LN(AA185)+LN(AB185)+LN(AC185)+LN(AD185))*(AH185-V7_BASE_CPR),0)</f>
        <v/>
      </c>
      <c r="AM185" s="28">
        <f>IFERROR(LN(AA185)/(LN(W185)+LN(X185)+LN(Y185)+LN(Z185)+LN(AA185)+LN(AB185)+LN(AC185)+LN(AD185))*(AH185-V7_BASE_CPR),0)</f>
        <v/>
      </c>
      <c r="AN185" s="28">
        <f>IFERROR(LN(AB185)/(LN(W185)+LN(X185)+LN(Y185)+LN(Z185)+LN(AA185)+LN(AB185)+LN(AC185)+LN(AD185))*(AH185-V7_BASE_CPR),0)</f>
        <v/>
      </c>
      <c r="AO185" s="28">
        <f>IFERROR(LN(AC185)/(LN(W185)+LN(X185)+LN(Y185)+LN(Z185)+LN(AA185)+LN(AB185)+LN(AC185)+LN(AD185))*(AH185-V7_BASE_CPR),0)</f>
        <v/>
      </c>
      <c r="AP185" s="28">
        <f>IFERROR(LN(AD185)/(LN(W185)+LN(X185)+LN(Y185)+LN(Z185)+LN(AA185)+LN(AB185)+LN(AC185)+LN(AD185))*(AH185-V7_BASE_CPR),0)</f>
        <v/>
      </c>
      <c r="AQ185" s="29">
        <f>V7_BASE_CPR+SUM(AI185:AP185)-AH185</f>
        <v/>
      </c>
    </row>
    <row r="186">
      <c r="A186" s="2" t="inlineStr">
        <is>
          <t>36176TTE8_000000007422022</t>
        </is>
      </c>
      <c r="B186" t="inlineStr">
        <is>
          <t>CAPITAL_PRE21</t>
        </is>
      </c>
      <c r="C186" s="2" t="inlineStr">
        <is>
          <t>36176TTE8</t>
        </is>
      </c>
      <c r="D186" t="inlineStr">
        <is>
          <t>CAPITAL FUNDING,LLC.</t>
        </is>
      </c>
      <c r="E186" t="inlineStr">
        <is>
          <t>232</t>
        </is>
      </c>
      <c r="F186" t="inlineStr">
        <is>
          <t>RP</t>
        </is>
      </c>
      <c r="G186" t="n">
        <v>2012</v>
      </c>
      <c r="H186" t="inlineStr">
        <is>
          <t>202602</t>
        </is>
      </c>
      <c r="I186" s="22" t="n">
        <v>1483057.17</v>
      </c>
      <c r="J186" s="23" t="n">
        <v>3.79</v>
      </c>
      <c r="K186" s="24" t="n">
        <v>447</v>
      </c>
      <c r="L186" s="24" t="n">
        <v>0</v>
      </c>
      <c r="M186" t="n">
        <v>169</v>
      </c>
      <c r="N186" s="25" t="n">
        <v>40</v>
      </c>
      <c r="O186" t="n">
        <v>204702</v>
      </c>
      <c r="P186" t="n">
        <v>201403</v>
      </c>
      <c r="Q186" t="inlineStr">
        <is>
          <t>3866</t>
        </is>
      </c>
      <c r="R186" s="26" t="n">
        <v>0.2366863905325444</v>
      </c>
      <c r="S186" t="n">
        <v>0</v>
      </c>
      <c r="T186" s="23">
        <f>LN(1+I186)</f>
        <v/>
      </c>
      <c r="U186" s="24">
        <f>J186*100-K186</f>
        <v/>
      </c>
      <c r="V186" s="24">
        <f>U186-12.5*(L186+1)</f>
        <v/>
      </c>
      <c r="W186" s="26">
        <f>IF(M186&lt;=V7_AGE_KNOT_X_0,V7_AGE_KNOT_Y_0,IF(M186&gt;=V7_AGE_KNOT_X_5,V7_AGE_KNOT_Y_5,IF(M186&lt;=V7_AGE_KNOT_X_1,V7_AGE_KNOT_Y_0+(M186-V7_AGE_KNOT_X_0)/(V7_AGE_KNOT_X_1-V7_AGE_KNOT_X_0)*(V7_AGE_KNOT_Y_1-V7_AGE_KNOT_Y_0),IF(M186&lt;=V7_AGE_KNOT_X_2,V7_AGE_KNOT_Y_1+(M186-V7_AGE_KNOT_X_1)/(V7_AGE_KNOT_X_2-V7_AGE_KNOT_X_1)*(V7_AGE_KNOT_Y_2-V7_AGE_KNOT_Y_1),IF(M186&lt;=V7_AGE_KNOT_X_3,V7_AGE_KNOT_Y_2+(M186-V7_AGE_KNOT_X_2)/(V7_AGE_KNOT_X_3-V7_AGE_KNOT_X_2)*(V7_AGE_KNOT_Y_3-V7_AGE_KNOT_Y_2),IF(M186&lt;=V7_AGE_KNOT_X_4,V7_AGE_KNOT_Y_3+(M186-V7_AGE_KNOT_X_3)/(V7_AGE_KNOT_X_4-V7_AGE_KNOT_X_3)*(V7_AGE_KNOT_Y_4-V7_AGE_KNOT_Y_3),V7_AGE_KNOT_Y_4+(M186-V7_AGE_KNOT_X_4)/(V7_AGE_KNOT_X_5-V7_AGE_KNOT_X_4)*(V7_AGE_KNOT_Y_5-V7_AGE_KNOT_Y_4)))))))</f>
        <v/>
      </c>
      <c r="X186" s="26">
        <f>V7_RATE_FLOOR+V7_RATE_ASYMPTOTE/(1+EXP(-(V186-V7_RATE_MID)/V7_RATE_SLOPE))</f>
        <v/>
      </c>
      <c r="Y186" s="26">
        <f>MAX(V7_SIZE_LOW,MIN(V7_SIZE_HIGH,V7_SIZE_INTERCEPT+V7_SIZE_SLOPE*(T186-V7_SIZE_LOG_ANCHOR)))</f>
        <v/>
      </c>
      <c r="Z186" s="26">
        <f>IF(ISNUMBER(SEARCH("232",E186)),VLOOKUP("232",V7_PROGRAM_TABLE,2,FALSE),IF(ISNUMBER(SEARCH("538",E186)),VLOOKUP("538",V7_PROGRAM_TABLE,2,FALSE),IF(ISNUMBER(SEARCH("223a7",E186)),VLOOKUP("223a7",V7_PROGRAM_TABLE,2,FALSE),IF(ISNUMBER(SEARCH("223f",E186)),VLOOKUP("223f",V7_PROGRAM_TABLE,2,FALSE),V7_PROGRAM_DEFAULT))))</f>
        <v/>
      </c>
      <c r="AA186" s="26">
        <f>IF(S186=1,1+V7_PURPOSE_NC_BUMP*MAX(0,1-ABS(M186-V7_PURPOSE_PEAK_AGE)/V7_PURPOSE_WIDTH),1)</f>
        <v/>
      </c>
      <c r="AB186" s="26">
        <f>IF(AND(IF(OR(P186="",NOT(ISNUMBER(P186))),0,MAX(0,MIN(24,(INT(VALUE(H186)/100)-INT(P186/100))*12+MOD(VALUE(H186),100)-MOD(P186,100))))&gt;0,IF(OR(P186="",NOT(ISNUMBER(P186))),0,MAX(0,MIN(24,(INT(VALUE(H186)/100)-INT(P186/100))*12+MOD(VALUE(H186),100)-MOD(P186,100))))&lt;=12),1+V7_LOCKOUT_AMP*EXP(-(IF(OR(P186="",NOT(ISNUMBER(P186))),0,MAX(0,MIN(24,(INT(VALUE(H186)/100)-INT(P186/100))*12+MOD(VALUE(H186),100)-MOD(P186,100)))))/V7_LOCKOUT_TAU),1)</f>
        <v/>
      </c>
      <c r="AC186" s="26">
        <f>IF(IF(OR(O186="",NOT(ISNUMBER(O186))),360,MAX(0,MIN(480,(INT(O186/100)-INT(VALUE(H186)/100))*12+MOD(O186,100)-MOD(VALUE(H186),100))))&gt;0,1+V7_MTY_AMP*MAX(0,(V7_MTY_CUTOFF-(IF(OR(O186="",NOT(ISNUMBER(O186))),360,MAX(0,MIN(480,(INT(O186/100)-INT(VALUE(H186)/100))*12+MOD(O186,100)-MOD(VALUE(H186),100))))))/V7_MTY_CUTOFF),1)</f>
        <v/>
      </c>
      <c r="AD186" s="26">
        <f>MAX(V7_BURN_FLOOR,1-V7_BURN_SLOPE*MIN(1,MAX(0,R186)))</f>
        <v/>
      </c>
      <c r="AE186" s="26">
        <f>IF(V7_USE_ISSUER=1,IFERROR(VLOOKUP(Q186,V7_ISSUER_TABLE,3,FALSE),1),1)</f>
        <v/>
      </c>
      <c r="AF186" s="26">
        <f>PRODUCT(W186:AE186)</f>
        <v/>
      </c>
      <c r="AG186" s="27">
        <f>MIN(V7_BASE_SMM*AF186,V7_SMM_CAP)</f>
        <v/>
      </c>
      <c r="AH186" s="28">
        <f>1-(1-AG186)^12</f>
        <v/>
      </c>
      <c r="AI186" s="28">
        <f>IFERROR(LN(W186)/(LN(W186)+LN(X186)+LN(Y186)+LN(Z186)+LN(AA186)+LN(AB186)+LN(AC186)+LN(AD186))*(AH186-V7_BASE_CPR),0)</f>
        <v/>
      </c>
      <c r="AJ186" s="28">
        <f>IFERROR(LN(X186)/(LN(W186)+LN(X186)+LN(Y186)+LN(Z186)+LN(AA186)+LN(AB186)+LN(AC186)+LN(AD186))*(AH186-V7_BASE_CPR),0)</f>
        <v/>
      </c>
      <c r="AK186" s="28">
        <f>IFERROR(LN(Y186)/(LN(W186)+LN(X186)+LN(Y186)+LN(Z186)+LN(AA186)+LN(AB186)+LN(AC186)+LN(AD186))*(AH186-V7_BASE_CPR),0)</f>
        <v/>
      </c>
      <c r="AL186" s="28">
        <f>IFERROR(LN(Z186)/(LN(W186)+LN(X186)+LN(Y186)+LN(Z186)+LN(AA186)+LN(AB186)+LN(AC186)+LN(AD186))*(AH186-V7_BASE_CPR),0)</f>
        <v/>
      </c>
      <c r="AM186" s="28">
        <f>IFERROR(LN(AA186)/(LN(W186)+LN(X186)+LN(Y186)+LN(Z186)+LN(AA186)+LN(AB186)+LN(AC186)+LN(AD186))*(AH186-V7_BASE_CPR),0)</f>
        <v/>
      </c>
      <c r="AN186" s="28">
        <f>IFERROR(LN(AB186)/(LN(W186)+LN(X186)+LN(Y186)+LN(Z186)+LN(AA186)+LN(AB186)+LN(AC186)+LN(AD186))*(AH186-V7_BASE_CPR),0)</f>
        <v/>
      </c>
      <c r="AO186" s="28">
        <f>IFERROR(LN(AC186)/(LN(W186)+LN(X186)+LN(Y186)+LN(Z186)+LN(AA186)+LN(AB186)+LN(AC186)+LN(AD186))*(AH186-V7_BASE_CPR),0)</f>
        <v/>
      </c>
      <c r="AP186" s="28">
        <f>IFERROR(LN(AD186)/(LN(W186)+LN(X186)+LN(Y186)+LN(Z186)+LN(AA186)+LN(AB186)+LN(AC186)+LN(AD186))*(AH186-V7_BASE_CPR),0)</f>
        <v/>
      </c>
      <c r="AQ186" s="29">
        <f>V7_BASE_CPR+SUM(AI186:AP186)-AH186</f>
        <v/>
      </c>
    </row>
    <row r="187">
      <c r="A187" s="2" t="inlineStr">
        <is>
          <t>3617JU2N0_000000001722134</t>
        </is>
      </c>
      <c r="B187" t="inlineStr">
        <is>
          <t>CAPITAL_PRE21</t>
        </is>
      </c>
      <c r="C187" s="2" t="inlineStr">
        <is>
          <t>3617JU2N0</t>
        </is>
      </c>
      <c r="D187" t="inlineStr">
        <is>
          <t>CAPITAL FUNDING,LLC.</t>
        </is>
      </c>
      <c r="E187" t="inlineStr">
        <is>
          <t>232</t>
        </is>
      </c>
      <c r="F187" t="inlineStr">
        <is>
          <t>RP</t>
        </is>
      </c>
      <c r="G187" t="n">
        <v>2019</v>
      </c>
      <c r="H187" t="inlineStr">
        <is>
          <t>202602</t>
        </is>
      </c>
      <c r="I187" s="22" t="n">
        <v>18483731.62</v>
      </c>
      <c r="J187" s="23" t="n">
        <v>3.92</v>
      </c>
      <c r="K187" s="24" t="n">
        <v>447</v>
      </c>
      <c r="L187" s="24" t="n">
        <v>4</v>
      </c>
      <c r="M187" t="n">
        <v>82</v>
      </c>
      <c r="N187" s="25" t="n">
        <v>30</v>
      </c>
      <c r="O187" t="n">
        <v>204905</v>
      </c>
      <c r="P187" t="inlineStr"/>
      <c r="Q187" t="inlineStr">
        <is>
          <t>3866</t>
        </is>
      </c>
      <c r="R187" s="26" t="n">
        <v>0.3658536585365854</v>
      </c>
      <c r="S187" t="n">
        <v>0</v>
      </c>
      <c r="T187" s="23">
        <f>LN(1+I187)</f>
        <v/>
      </c>
      <c r="U187" s="24">
        <f>J187*100-K187</f>
        <v/>
      </c>
      <c r="V187" s="24">
        <f>U187-12.5*(L187+1)</f>
        <v/>
      </c>
      <c r="W187" s="26">
        <f>IF(M187&lt;=V7_AGE_KNOT_X_0,V7_AGE_KNOT_Y_0,IF(M187&gt;=V7_AGE_KNOT_X_5,V7_AGE_KNOT_Y_5,IF(M187&lt;=V7_AGE_KNOT_X_1,V7_AGE_KNOT_Y_0+(M187-V7_AGE_KNOT_X_0)/(V7_AGE_KNOT_X_1-V7_AGE_KNOT_X_0)*(V7_AGE_KNOT_Y_1-V7_AGE_KNOT_Y_0),IF(M187&lt;=V7_AGE_KNOT_X_2,V7_AGE_KNOT_Y_1+(M187-V7_AGE_KNOT_X_1)/(V7_AGE_KNOT_X_2-V7_AGE_KNOT_X_1)*(V7_AGE_KNOT_Y_2-V7_AGE_KNOT_Y_1),IF(M187&lt;=V7_AGE_KNOT_X_3,V7_AGE_KNOT_Y_2+(M187-V7_AGE_KNOT_X_2)/(V7_AGE_KNOT_X_3-V7_AGE_KNOT_X_2)*(V7_AGE_KNOT_Y_3-V7_AGE_KNOT_Y_2),IF(M187&lt;=V7_AGE_KNOT_X_4,V7_AGE_KNOT_Y_3+(M187-V7_AGE_KNOT_X_3)/(V7_AGE_KNOT_X_4-V7_AGE_KNOT_X_3)*(V7_AGE_KNOT_Y_4-V7_AGE_KNOT_Y_3),V7_AGE_KNOT_Y_4+(M187-V7_AGE_KNOT_X_4)/(V7_AGE_KNOT_X_5-V7_AGE_KNOT_X_4)*(V7_AGE_KNOT_Y_5-V7_AGE_KNOT_Y_4)))))))</f>
        <v/>
      </c>
      <c r="X187" s="26">
        <f>V7_RATE_FLOOR+V7_RATE_ASYMPTOTE/(1+EXP(-(V187-V7_RATE_MID)/V7_RATE_SLOPE))</f>
        <v/>
      </c>
      <c r="Y187" s="26">
        <f>MAX(V7_SIZE_LOW,MIN(V7_SIZE_HIGH,V7_SIZE_INTERCEPT+V7_SIZE_SLOPE*(T187-V7_SIZE_LOG_ANCHOR)))</f>
        <v/>
      </c>
      <c r="Z187" s="26">
        <f>IF(ISNUMBER(SEARCH("232",E187)),VLOOKUP("232",V7_PROGRAM_TABLE,2,FALSE),IF(ISNUMBER(SEARCH("538",E187)),VLOOKUP("538",V7_PROGRAM_TABLE,2,FALSE),IF(ISNUMBER(SEARCH("223a7",E187)),VLOOKUP("223a7",V7_PROGRAM_TABLE,2,FALSE),IF(ISNUMBER(SEARCH("223f",E187)),VLOOKUP("223f",V7_PROGRAM_TABLE,2,FALSE),V7_PROGRAM_DEFAULT))))</f>
        <v/>
      </c>
      <c r="AA187" s="26">
        <f>IF(S187=1,1+V7_PURPOSE_NC_BUMP*MAX(0,1-ABS(M187-V7_PURPOSE_PEAK_AGE)/V7_PURPOSE_WIDTH),1)</f>
        <v/>
      </c>
      <c r="AB187" s="26">
        <f>IF(AND(IF(OR(P187="",NOT(ISNUMBER(P187))),0,MAX(0,MIN(24,(INT(VALUE(H187)/100)-INT(P187/100))*12+MOD(VALUE(H187),100)-MOD(P187,100))))&gt;0,IF(OR(P187="",NOT(ISNUMBER(P187))),0,MAX(0,MIN(24,(INT(VALUE(H187)/100)-INT(P187/100))*12+MOD(VALUE(H187),100)-MOD(P187,100))))&lt;=12),1+V7_LOCKOUT_AMP*EXP(-(IF(OR(P187="",NOT(ISNUMBER(P187))),0,MAX(0,MIN(24,(INT(VALUE(H187)/100)-INT(P187/100))*12+MOD(VALUE(H187),100)-MOD(P187,100)))))/V7_LOCKOUT_TAU),1)</f>
        <v/>
      </c>
      <c r="AC187" s="26">
        <f>IF(IF(OR(O187="",NOT(ISNUMBER(O187))),360,MAX(0,MIN(480,(INT(O187/100)-INT(VALUE(H187)/100))*12+MOD(O187,100)-MOD(VALUE(H187),100))))&gt;0,1+V7_MTY_AMP*MAX(0,(V7_MTY_CUTOFF-(IF(OR(O187="",NOT(ISNUMBER(O187))),360,MAX(0,MIN(480,(INT(O187/100)-INT(VALUE(H187)/100))*12+MOD(O187,100)-MOD(VALUE(H187),100))))))/V7_MTY_CUTOFF),1)</f>
        <v/>
      </c>
      <c r="AD187" s="26">
        <f>MAX(V7_BURN_FLOOR,1-V7_BURN_SLOPE*MIN(1,MAX(0,R187)))</f>
        <v/>
      </c>
      <c r="AE187" s="26">
        <f>IF(V7_USE_ISSUER=1,IFERROR(VLOOKUP(Q187,V7_ISSUER_TABLE,3,FALSE),1),1)</f>
        <v/>
      </c>
      <c r="AF187" s="26">
        <f>PRODUCT(W187:AE187)</f>
        <v/>
      </c>
      <c r="AG187" s="27">
        <f>MIN(V7_BASE_SMM*AF187,V7_SMM_CAP)</f>
        <v/>
      </c>
      <c r="AH187" s="28">
        <f>1-(1-AG187)^12</f>
        <v/>
      </c>
      <c r="AI187" s="28">
        <f>IFERROR(LN(W187)/(LN(W187)+LN(X187)+LN(Y187)+LN(Z187)+LN(AA187)+LN(AB187)+LN(AC187)+LN(AD187))*(AH187-V7_BASE_CPR),0)</f>
        <v/>
      </c>
      <c r="AJ187" s="28">
        <f>IFERROR(LN(X187)/(LN(W187)+LN(X187)+LN(Y187)+LN(Z187)+LN(AA187)+LN(AB187)+LN(AC187)+LN(AD187))*(AH187-V7_BASE_CPR),0)</f>
        <v/>
      </c>
      <c r="AK187" s="28">
        <f>IFERROR(LN(Y187)/(LN(W187)+LN(X187)+LN(Y187)+LN(Z187)+LN(AA187)+LN(AB187)+LN(AC187)+LN(AD187))*(AH187-V7_BASE_CPR),0)</f>
        <v/>
      </c>
      <c r="AL187" s="28">
        <f>IFERROR(LN(Z187)/(LN(W187)+LN(X187)+LN(Y187)+LN(Z187)+LN(AA187)+LN(AB187)+LN(AC187)+LN(AD187))*(AH187-V7_BASE_CPR),0)</f>
        <v/>
      </c>
      <c r="AM187" s="28">
        <f>IFERROR(LN(AA187)/(LN(W187)+LN(X187)+LN(Y187)+LN(Z187)+LN(AA187)+LN(AB187)+LN(AC187)+LN(AD187))*(AH187-V7_BASE_CPR),0)</f>
        <v/>
      </c>
      <c r="AN187" s="28">
        <f>IFERROR(LN(AB187)/(LN(W187)+LN(X187)+LN(Y187)+LN(Z187)+LN(AA187)+LN(AB187)+LN(AC187)+LN(AD187))*(AH187-V7_BASE_CPR),0)</f>
        <v/>
      </c>
      <c r="AO187" s="28">
        <f>IFERROR(LN(AC187)/(LN(W187)+LN(X187)+LN(Y187)+LN(Z187)+LN(AA187)+LN(AB187)+LN(AC187)+LN(AD187))*(AH187-V7_BASE_CPR),0)</f>
        <v/>
      </c>
      <c r="AP187" s="28">
        <f>IFERROR(LN(AD187)/(LN(W187)+LN(X187)+LN(Y187)+LN(Z187)+LN(AA187)+LN(AB187)+LN(AC187)+LN(AD187))*(AH187-V7_BASE_CPR),0)</f>
        <v/>
      </c>
      <c r="AQ187" s="29">
        <f>V7_BASE_CPR+SUM(AI187:AP187)-AH187</f>
        <v/>
      </c>
    </row>
    <row r="188">
      <c r="A188" s="2" t="inlineStr">
        <is>
          <t>36184X5E5_000000005422029</t>
        </is>
      </c>
      <c r="B188" t="inlineStr">
        <is>
          <t>CAPITAL_PRE21</t>
        </is>
      </c>
      <c r="C188" s="2" t="inlineStr">
        <is>
          <t>36184X5E5</t>
        </is>
      </c>
      <c r="D188" t="inlineStr">
        <is>
          <t>CAPITAL FUNDING,LLC.</t>
        </is>
      </c>
      <c r="E188" t="inlineStr">
        <is>
          <t>232</t>
        </is>
      </c>
      <c r="F188" t="inlineStr">
        <is>
          <t>RP</t>
        </is>
      </c>
      <c r="G188" t="n">
        <v>2015</v>
      </c>
      <c r="H188" t="inlineStr">
        <is>
          <t>202602</t>
        </is>
      </c>
      <c r="I188" s="22" t="n">
        <v>2942810.86</v>
      </c>
      <c r="J188" s="23" t="n">
        <v>3.99</v>
      </c>
      <c r="K188" s="24" t="n">
        <v>447</v>
      </c>
      <c r="L188" s="24" t="n">
        <v>0</v>
      </c>
      <c r="M188" t="n">
        <v>130</v>
      </c>
      <c r="N188" s="25" t="n">
        <v>36</v>
      </c>
      <c r="O188" t="n">
        <v>204308</v>
      </c>
      <c r="P188" t="inlineStr"/>
      <c r="Q188" t="inlineStr">
        <is>
          <t>3866</t>
        </is>
      </c>
      <c r="R188" s="26" t="n">
        <v>0.2769230769230769</v>
      </c>
      <c r="S188" t="n">
        <v>0</v>
      </c>
      <c r="T188" s="23">
        <f>LN(1+I188)</f>
        <v/>
      </c>
      <c r="U188" s="24">
        <f>J188*100-K188</f>
        <v/>
      </c>
      <c r="V188" s="24">
        <f>U188-12.5*(L188+1)</f>
        <v/>
      </c>
      <c r="W188" s="26">
        <f>IF(M188&lt;=V7_AGE_KNOT_X_0,V7_AGE_KNOT_Y_0,IF(M188&gt;=V7_AGE_KNOT_X_5,V7_AGE_KNOT_Y_5,IF(M188&lt;=V7_AGE_KNOT_X_1,V7_AGE_KNOT_Y_0+(M188-V7_AGE_KNOT_X_0)/(V7_AGE_KNOT_X_1-V7_AGE_KNOT_X_0)*(V7_AGE_KNOT_Y_1-V7_AGE_KNOT_Y_0),IF(M188&lt;=V7_AGE_KNOT_X_2,V7_AGE_KNOT_Y_1+(M188-V7_AGE_KNOT_X_1)/(V7_AGE_KNOT_X_2-V7_AGE_KNOT_X_1)*(V7_AGE_KNOT_Y_2-V7_AGE_KNOT_Y_1),IF(M188&lt;=V7_AGE_KNOT_X_3,V7_AGE_KNOT_Y_2+(M188-V7_AGE_KNOT_X_2)/(V7_AGE_KNOT_X_3-V7_AGE_KNOT_X_2)*(V7_AGE_KNOT_Y_3-V7_AGE_KNOT_Y_2),IF(M188&lt;=V7_AGE_KNOT_X_4,V7_AGE_KNOT_Y_3+(M188-V7_AGE_KNOT_X_3)/(V7_AGE_KNOT_X_4-V7_AGE_KNOT_X_3)*(V7_AGE_KNOT_Y_4-V7_AGE_KNOT_Y_3),V7_AGE_KNOT_Y_4+(M188-V7_AGE_KNOT_X_4)/(V7_AGE_KNOT_X_5-V7_AGE_KNOT_X_4)*(V7_AGE_KNOT_Y_5-V7_AGE_KNOT_Y_4)))))))</f>
        <v/>
      </c>
      <c r="X188" s="26">
        <f>V7_RATE_FLOOR+V7_RATE_ASYMPTOTE/(1+EXP(-(V188-V7_RATE_MID)/V7_RATE_SLOPE))</f>
        <v/>
      </c>
      <c r="Y188" s="26">
        <f>MAX(V7_SIZE_LOW,MIN(V7_SIZE_HIGH,V7_SIZE_INTERCEPT+V7_SIZE_SLOPE*(T188-V7_SIZE_LOG_ANCHOR)))</f>
        <v/>
      </c>
      <c r="Z188" s="26">
        <f>IF(ISNUMBER(SEARCH("232",E188)),VLOOKUP("232",V7_PROGRAM_TABLE,2,FALSE),IF(ISNUMBER(SEARCH("538",E188)),VLOOKUP("538",V7_PROGRAM_TABLE,2,FALSE),IF(ISNUMBER(SEARCH("223a7",E188)),VLOOKUP("223a7",V7_PROGRAM_TABLE,2,FALSE),IF(ISNUMBER(SEARCH("223f",E188)),VLOOKUP("223f",V7_PROGRAM_TABLE,2,FALSE),V7_PROGRAM_DEFAULT))))</f>
        <v/>
      </c>
      <c r="AA188" s="26">
        <f>IF(S188=1,1+V7_PURPOSE_NC_BUMP*MAX(0,1-ABS(M188-V7_PURPOSE_PEAK_AGE)/V7_PURPOSE_WIDTH),1)</f>
        <v/>
      </c>
      <c r="AB188" s="26">
        <f>IF(AND(IF(OR(P188="",NOT(ISNUMBER(P188))),0,MAX(0,MIN(24,(INT(VALUE(H188)/100)-INT(P188/100))*12+MOD(VALUE(H188),100)-MOD(P188,100))))&gt;0,IF(OR(P188="",NOT(ISNUMBER(P188))),0,MAX(0,MIN(24,(INT(VALUE(H188)/100)-INT(P188/100))*12+MOD(VALUE(H188),100)-MOD(P188,100))))&lt;=12),1+V7_LOCKOUT_AMP*EXP(-(IF(OR(P188="",NOT(ISNUMBER(P188))),0,MAX(0,MIN(24,(INT(VALUE(H188)/100)-INT(P188/100))*12+MOD(VALUE(H188),100)-MOD(P188,100)))))/V7_LOCKOUT_TAU),1)</f>
        <v/>
      </c>
      <c r="AC188" s="26">
        <f>IF(IF(OR(O188="",NOT(ISNUMBER(O188))),360,MAX(0,MIN(480,(INT(O188/100)-INT(VALUE(H188)/100))*12+MOD(O188,100)-MOD(VALUE(H188),100))))&gt;0,1+V7_MTY_AMP*MAX(0,(V7_MTY_CUTOFF-(IF(OR(O188="",NOT(ISNUMBER(O188))),360,MAX(0,MIN(480,(INT(O188/100)-INT(VALUE(H188)/100))*12+MOD(O188,100)-MOD(VALUE(H188),100))))))/V7_MTY_CUTOFF),1)</f>
        <v/>
      </c>
      <c r="AD188" s="26">
        <f>MAX(V7_BURN_FLOOR,1-V7_BURN_SLOPE*MIN(1,MAX(0,R188)))</f>
        <v/>
      </c>
      <c r="AE188" s="26">
        <f>IF(V7_USE_ISSUER=1,IFERROR(VLOOKUP(Q188,V7_ISSUER_TABLE,3,FALSE),1),1)</f>
        <v/>
      </c>
      <c r="AF188" s="26">
        <f>PRODUCT(W188:AE188)</f>
        <v/>
      </c>
      <c r="AG188" s="27">
        <f>MIN(V7_BASE_SMM*AF188,V7_SMM_CAP)</f>
        <v/>
      </c>
      <c r="AH188" s="28">
        <f>1-(1-AG188)^12</f>
        <v/>
      </c>
      <c r="AI188" s="28">
        <f>IFERROR(LN(W188)/(LN(W188)+LN(X188)+LN(Y188)+LN(Z188)+LN(AA188)+LN(AB188)+LN(AC188)+LN(AD188))*(AH188-V7_BASE_CPR),0)</f>
        <v/>
      </c>
      <c r="AJ188" s="28">
        <f>IFERROR(LN(X188)/(LN(W188)+LN(X188)+LN(Y188)+LN(Z188)+LN(AA188)+LN(AB188)+LN(AC188)+LN(AD188))*(AH188-V7_BASE_CPR),0)</f>
        <v/>
      </c>
      <c r="AK188" s="28">
        <f>IFERROR(LN(Y188)/(LN(W188)+LN(X188)+LN(Y188)+LN(Z188)+LN(AA188)+LN(AB188)+LN(AC188)+LN(AD188))*(AH188-V7_BASE_CPR),0)</f>
        <v/>
      </c>
      <c r="AL188" s="28">
        <f>IFERROR(LN(Z188)/(LN(W188)+LN(X188)+LN(Y188)+LN(Z188)+LN(AA188)+LN(AB188)+LN(AC188)+LN(AD188))*(AH188-V7_BASE_CPR),0)</f>
        <v/>
      </c>
      <c r="AM188" s="28">
        <f>IFERROR(LN(AA188)/(LN(W188)+LN(X188)+LN(Y188)+LN(Z188)+LN(AA188)+LN(AB188)+LN(AC188)+LN(AD188))*(AH188-V7_BASE_CPR),0)</f>
        <v/>
      </c>
      <c r="AN188" s="28">
        <f>IFERROR(LN(AB188)/(LN(W188)+LN(X188)+LN(Y188)+LN(Z188)+LN(AA188)+LN(AB188)+LN(AC188)+LN(AD188))*(AH188-V7_BASE_CPR),0)</f>
        <v/>
      </c>
      <c r="AO188" s="28">
        <f>IFERROR(LN(AC188)/(LN(W188)+LN(X188)+LN(Y188)+LN(Z188)+LN(AA188)+LN(AB188)+LN(AC188)+LN(AD188))*(AH188-V7_BASE_CPR),0)</f>
        <v/>
      </c>
      <c r="AP188" s="28">
        <f>IFERROR(LN(AD188)/(LN(W188)+LN(X188)+LN(Y188)+LN(Z188)+LN(AA188)+LN(AB188)+LN(AC188)+LN(AD188))*(AH188-V7_BASE_CPR),0)</f>
        <v/>
      </c>
      <c r="AQ188" s="29">
        <f>V7_BASE_CPR+SUM(AI188:AP188)-AH188</f>
        <v/>
      </c>
    </row>
    <row r="189">
      <c r="A189" s="2" t="inlineStr">
        <is>
          <t>36189WVQ6_000000001422129</t>
        </is>
      </c>
      <c r="B189" t="inlineStr">
        <is>
          <t>CAPITAL_PRE21</t>
        </is>
      </c>
      <c r="C189" s="2" t="inlineStr">
        <is>
          <t>36189WVQ6</t>
        </is>
      </c>
      <c r="D189" t="inlineStr">
        <is>
          <t>CAPITAL FUNDING,LLC.</t>
        </is>
      </c>
      <c r="E189" t="inlineStr">
        <is>
          <t>232</t>
        </is>
      </c>
      <c r="F189" t="inlineStr">
        <is>
          <t>RP</t>
        </is>
      </c>
      <c r="G189" t="n">
        <v>2016</v>
      </c>
      <c r="H189" t="inlineStr">
        <is>
          <t>202602</t>
        </is>
      </c>
      <c r="I189" s="22" t="n">
        <v>2741628</v>
      </c>
      <c r="J189" s="23" t="n">
        <v>3.45</v>
      </c>
      <c r="K189" s="24" t="n">
        <v>447</v>
      </c>
      <c r="L189" s="24" t="n">
        <v>1</v>
      </c>
      <c r="M189" t="n">
        <v>119</v>
      </c>
      <c r="N189" s="25" t="n">
        <v>28</v>
      </c>
      <c r="O189" t="n">
        <v>204204</v>
      </c>
      <c r="P189" t="inlineStr"/>
      <c r="Q189" t="inlineStr">
        <is>
          <t>3866</t>
        </is>
      </c>
      <c r="R189" s="26" t="n">
        <v>0.2352941176470588</v>
      </c>
      <c r="S189" t="n">
        <v>0</v>
      </c>
      <c r="T189" s="23">
        <f>LN(1+I189)</f>
        <v/>
      </c>
      <c r="U189" s="24">
        <f>J189*100-K189</f>
        <v/>
      </c>
      <c r="V189" s="24">
        <f>U189-12.5*(L189+1)</f>
        <v/>
      </c>
      <c r="W189" s="26">
        <f>IF(M189&lt;=V7_AGE_KNOT_X_0,V7_AGE_KNOT_Y_0,IF(M189&gt;=V7_AGE_KNOT_X_5,V7_AGE_KNOT_Y_5,IF(M189&lt;=V7_AGE_KNOT_X_1,V7_AGE_KNOT_Y_0+(M189-V7_AGE_KNOT_X_0)/(V7_AGE_KNOT_X_1-V7_AGE_KNOT_X_0)*(V7_AGE_KNOT_Y_1-V7_AGE_KNOT_Y_0),IF(M189&lt;=V7_AGE_KNOT_X_2,V7_AGE_KNOT_Y_1+(M189-V7_AGE_KNOT_X_1)/(V7_AGE_KNOT_X_2-V7_AGE_KNOT_X_1)*(V7_AGE_KNOT_Y_2-V7_AGE_KNOT_Y_1),IF(M189&lt;=V7_AGE_KNOT_X_3,V7_AGE_KNOT_Y_2+(M189-V7_AGE_KNOT_X_2)/(V7_AGE_KNOT_X_3-V7_AGE_KNOT_X_2)*(V7_AGE_KNOT_Y_3-V7_AGE_KNOT_Y_2),IF(M189&lt;=V7_AGE_KNOT_X_4,V7_AGE_KNOT_Y_3+(M189-V7_AGE_KNOT_X_3)/(V7_AGE_KNOT_X_4-V7_AGE_KNOT_X_3)*(V7_AGE_KNOT_Y_4-V7_AGE_KNOT_Y_3),V7_AGE_KNOT_Y_4+(M189-V7_AGE_KNOT_X_4)/(V7_AGE_KNOT_X_5-V7_AGE_KNOT_X_4)*(V7_AGE_KNOT_Y_5-V7_AGE_KNOT_Y_4)))))))</f>
        <v/>
      </c>
      <c r="X189" s="26">
        <f>V7_RATE_FLOOR+V7_RATE_ASYMPTOTE/(1+EXP(-(V189-V7_RATE_MID)/V7_RATE_SLOPE))</f>
        <v/>
      </c>
      <c r="Y189" s="26">
        <f>MAX(V7_SIZE_LOW,MIN(V7_SIZE_HIGH,V7_SIZE_INTERCEPT+V7_SIZE_SLOPE*(T189-V7_SIZE_LOG_ANCHOR)))</f>
        <v/>
      </c>
      <c r="Z189" s="26">
        <f>IF(ISNUMBER(SEARCH("232",E189)),VLOOKUP("232",V7_PROGRAM_TABLE,2,FALSE),IF(ISNUMBER(SEARCH("538",E189)),VLOOKUP("538",V7_PROGRAM_TABLE,2,FALSE),IF(ISNUMBER(SEARCH("223a7",E189)),VLOOKUP("223a7",V7_PROGRAM_TABLE,2,FALSE),IF(ISNUMBER(SEARCH("223f",E189)),VLOOKUP("223f",V7_PROGRAM_TABLE,2,FALSE),V7_PROGRAM_DEFAULT))))</f>
        <v/>
      </c>
      <c r="AA189" s="26">
        <f>IF(S189=1,1+V7_PURPOSE_NC_BUMP*MAX(0,1-ABS(M189-V7_PURPOSE_PEAK_AGE)/V7_PURPOSE_WIDTH),1)</f>
        <v/>
      </c>
      <c r="AB189" s="26">
        <f>IF(AND(IF(OR(P189="",NOT(ISNUMBER(P189))),0,MAX(0,MIN(24,(INT(VALUE(H189)/100)-INT(P189/100))*12+MOD(VALUE(H189),100)-MOD(P189,100))))&gt;0,IF(OR(P189="",NOT(ISNUMBER(P189))),0,MAX(0,MIN(24,(INT(VALUE(H189)/100)-INT(P189/100))*12+MOD(VALUE(H189),100)-MOD(P189,100))))&lt;=12),1+V7_LOCKOUT_AMP*EXP(-(IF(OR(P189="",NOT(ISNUMBER(P189))),0,MAX(0,MIN(24,(INT(VALUE(H189)/100)-INT(P189/100))*12+MOD(VALUE(H189),100)-MOD(P189,100)))))/V7_LOCKOUT_TAU),1)</f>
        <v/>
      </c>
      <c r="AC189" s="26">
        <f>IF(IF(OR(O189="",NOT(ISNUMBER(O189))),360,MAX(0,MIN(480,(INT(O189/100)-INT(VALUE(H189)/100))*12+MOD(O189,100)-MOD(VALUE(H189),100))))&gt;0,1+V7_MTY_AMP*MAX(0,(V7_MTY_CUTOFF-(IF(OR(O189="",NOT(ISNUMBER(O189))),360,MAX(0,MIN(480,(INT(O189/100)-INT(VALUE(H189)/100))*12+MOD(O189,100)-MOD(VALUE(H189),100))))))/V7_MTY_CUTOFF),1)</f>
        <v/>
      </c>
      <c r="AD189" s="26">
        <f>MAX(V7_BURN_FLOOR,1-V7_BURN_SLOPE*MIN(1,MAX(0,R189)))</f>
        <v/>
      </c>
      <c r="AE189" s="26">
        <f>IF(V7_USE_ISSUER=1,IFERROR(VLOOKUP(Q189,V7_ISSUER_TABLE,3,FALSE),1),1)</f>
        <v/>
      </c>
      <c r="AF189" s="26">
        <f>PRODUCT(W189:AE189)</f>
        <v/>
      </c>
      <c r="AG189" s="27">
        <f>MIN(V7_BASE_SMM*AF189,V7_SMM_CAP)</f>
        <v/>
      </c>
      <c r="AH189" s="28">
        <f>1-(1-AG189)^12</f>
        <v/>
      </c>
      <c r="AI189" s="28">
        <f>IFERROR(LN(W189)/(LN(W189)+LN(X189)+LN(Y189)+LN(Z189)+LN(AA189)+LN(AB189)+LN(AC189)+LN(AD189))*(AH189-V7_BASE_CPR),0)</f>
        <v/>
      </c>
      <c r="AJ189" s="28">
        <f>IFERROR(LN(X189)/(LN(W189)+LN(X189)+LN(Y189)+LN(Z189)+LN(AA189)+LN(AB189)+LN(AC189)+LN(AD189))*(AH189-V7_BASE_CPR),0)</f>
        <v/>
      </c>
      <c r="AK189" s="28">
        <f>IFERROR(LN(Y189)/(LN(W189)+LN(X189)+LN(Y189)+LN(Z189)+LN(AA189)+LN(AB189)+LN(AC189)+LN(AD189))*(AH189-V7_BASE_CPR),0)</f>
        <v/>
      </c>
      <c r="AL189" s="28">
        <f>IFERROR(LN(Z189)/(LN(W189)+LN(X189)+LN(Y189)+LN(Z189)+LN(AA189)+LN(AB189)+LN(AC189)+LN(AD189))*(AH189-V7_BASE_CPR),0)</f>
        <v/>
      </c>
      <c r="AM189" s="28">
        <f>IFERROR(LN(AA189)/(LN(W189)+LN(X189)+LN(Y189)+LN(Z189)+LN(AA189)+LN(AB189)+LN(AC189)+LN(AD189))*(AH189-V7_BASE_CPR),0)</f>
        <v/>
      </c>
      <c r="AN189" s="28">
        <f>IFERROR(LN(AB189)/(LN(W189)+LN(X189)+LN(Y189)+LN(Z189)+LN(AA189)+LN(AB189)+LN(AC189)+LN(AD189))*(AH189-V7_BASE_CPR),0)</f>
        <v/>
      </c>
      <c r="AO189" s="28">
        <f>IFERROR(LN(AC189)/(LN(W189)+LN(X189)+LN(Y189)+LN(Z189)+LN(AA189)+LN(AB189)+LN(AC189)+LN(AD189))*(AH189-V7_BASE_CPR),0)</f>
        <v/>
      </c>
      <c r="AP189" s="28">
        <f>IFERROR(LN(AD189)/(LN(W189)+LN(X189)+LN(Y189)+LN(Z189)+LN(AA189)+LN(AB189)+LN(AC189)+LN(AD189))*(AH189-V7_BASE_CPR),0)</f>
        <v/>
      </c>
      <c r="AQ189" s="29">
        <f>V7_BASE_CPR+SUM(AI189:AP189)-AH189</f>
        <v/>
      </c>
    </row>
    <row r="190">
      <c r="A190" s="2" t="inlineStr">
        <is>
          <t>3617Q2BC8_000000006622055</t>
        </is>
      </c>
      <c r="B190" t="inlineStr">
        <is>
          <t>CAPITAL_PRE21</t>
        </is>
      </c>
      <c r="C190" s="2" t="inlineStr">
        <is>
          <t>3617Q2BC8</t>
        </is>
      </c>
      <c r="D190" t="inlineStr">
        <is>
          <t>CAPITAL FUNDING,LLC.</t>
        </is>
      </c>
      <c r="E190" t="inlineStr">
        <is>
          <t>232</t>
        </is>
      </c>
      <c r="F190" t="inlineStr">
        <is>
          <t>RP</t>
        </is>
      </c>
      <c r="G190" t="n">
        <v>2011</v>
      </c>
      <c r="H190" t="inlineStr">
        <is>
          <t>202602</t>
        </is>
      </c>
      <c r="I190" s="22" t="n">
        <v>6953967.51</v>
      </c>
      <c r="J190" s="23" t="n">
        <v>2.73</v>
      </c>
      <c r="K190" s="24" t="n">
        <v>447</v>
      </c>
      <c r="L190" s="24" t="n">
        <v>2</v>
      </c>
      <c r="M190" t="n">
        <v>170</v>
      </c>
      <c r="N190" s="25" t="n">
        <v>4</v>
      </c>
      <c r="O190" t="n">
        <v>204701</v>
      </c>
      <c r="P190" t="inlineStr"/>
      <c r="Q190" t="inlineStr">
        <is>
          <t>3866</t>
        </is>
      </c>
      <c r="R190" s="26" t="n">
        <v>0.02352941176470588</v>
      </c>
      <c r="S190" t="n">
        <v>0</v>
      </c>
      <c r="T190" s="23">
        <f>LN(1+I190)</f>
        <v/>
      </c>
      <c r="U190" s="24">
        <f>J190*100-K190</f>
        <v/>
      </c>
      <c r="V190" s="24">
        <f>U190-12.5*(L190+1)</f>
        <v/>
      </c>
      <c r="W190" s="26">
        <f>IF(M190&lt;=V7_AGE_KNOT_X_0,V7_AGE_KNOT_Y_0,IF(M190&gt;=V7_AGE_KNOT_X_5,V7_AGE_KNOT_Y_5,IF(M190&lt;=V7_AGE_KNOT_X_1,V7_AGE_KNOT_Y_0+(M190-V7_AGE_KNOT_X_0)/(V7_AGE_KNOT_X_1-V7_AGE_KNOT_X_0)*(V7_AGE_KNOT_Y_1-V7_AGE_KNOT_Y_0),IF(M190&lt;=V7_AGE_KNOT_X_2,V7_AGE_KNOT_Y_1+(M190-V7_AGE_KNOT_X_1)/(V7_AGE_KNOT_X_2-V7_AGE_KNOT_X_1)*(V7_AGE_KNOT_Y_2-V7_AGE_KNOT_Y_1),IF(M190&lt;=V7_AGE_KNOT_X_3,V7_AGE_KNOT_Y_2+(M190-V7_AGE_KNOT_X_2)/(V7_AGE_KNOT_X_3-V7_AGE_KNOT_X_2)*(V7_AGE_KNOT_Y_3-V7_AGE_KNOT_Y_2),IF(M190&lt;=V7_AGE_KNOT_X_4,V7_AGE_KNOT_Y_3+(M190-V7_AGE_KNOT_X_3)/(V7_AGE_KNOT_X_4-V7_AGE_KNOT_X_3)*(V7_AGE_KNOT_Y_4-V7_AGE_KNOT_Y_3),V7_AGE_KNOT_Y_4+(M190-V7_AGE_KNOT_X_4)/(V7_AGE_KNOT_X_5-V7_AGE_KNOT_X_4)*(V7_AGE_KNOT_Y_5-V7_AGE_KNOT_Y_4)))))))</f>
        <v/>
      </c>
      <c r="X190" s="26">
        <f>V7_RATE_FLOOR+V7_RATE_ASYMPTOTE/(1+EXP(-(V190-V7_RATE_MID)/V7_RATE_SLOPE))</f>
        <v/>
      </c>
      <c r="Y190" s="26">
        <f>MAX(V7_SIZE_LOW,MIN(V7_SIZE_HIGH,V7_SIZE_INTERCEPT+V7_SIZE_SLOPE*(T190-V7_SIZE_LOG_ANCHOR)))</f>
        <v/>
      </c>
      <c r="Z190" s="26">
        <f>IF(ISNUMBER(SEARCH("232",E190)),VLOOKUP("232",V7_PROGRAM_TABLE,2,FALSE),IF(ISNUMBER(SEARCH("538",E190)),VLOOKUP("538",V7_PROGRAM_TABLE,2,FALSE),IF(ISNUMBER(SEARCH("223a7",E190)),VLOOKUP("223a7",V7_PROGRAM_TABLE,2,FALSE),IF(ISNUMBER(SEARCH("223f",E190)),VLOOKUP("223f",V7_PROGRAM_TABLE,2,FALSE),V7_PROGRAM_DEFAULT))))</f>
        <v/>
      </c>
      <c r="AA190" s="26">
        <f>IF(S190=1,1+V7_PURPOSE_NC_BUMP*MAX(0,1-ABS(M190-V7_PURPOSE_PEAK_AGE)/V7_PURPOSE_WIDTH),1)</f>
        <v/>
      </c>
      <c r="AB190" s="26">
        <f>IF(AND(IF(OR(P190="",NOT(ISNUMBER(P190))),0,MAX(0,MIN(24,(INT(VALUE(H190)/100)-INT(P190/100))*12+MOD(VALUE(H190),100)-MOD(P190,100))))&gt;0,IF(OR(P190="",NOT(ISNUMBER(P190))),0,MAX(0,MIN(24,(INT(VALUE(H190)/100)-INT(P190/100))*12+MOD(VALUE(H190),100)-MOD(P190,100))))&lt;=12),1+V7_LOCKOUT_AMP*EXP(-(IF(OR(P190="",NOT(ISNUMBER(P190))),0,MAX(0,MIN(24,(INT(VALUE(H190)/100)-INT(P190/100))*12+MOD(VALUE(H190),100)-MOD(P190,100)))))/V7_LOCKOUT_TAU),1)</f>
        <v/>
      </c>
      <c r="AC190" s="26">
        <f>IF(IF(OR(O190="",NOT(ISNUMBER(O190))),360,MAX(0,MIN(480,(INT(O190/100)-INT(VALUE(H190)/100))*12+MOD(O190,100)-MOD(VALUE(H190),100))))&gt;0,1+V7_MTY_AMP*MAX(0,(V7_MTY_CUTOFF-(IF(OR(O190="",NOT(ISNUMBER(O190))),360,MAX(0,MIN(480,(INT(O190/100)-INT(VALUE(H190)/100))*12+MOD(O190,100)-MOD(VALUE(H190),100))))))/V7_MTY_CUTOFF),1)</f>
        <v/>
      </c>
      <c r="AD190" s="26">
        <f>MAX(V7_BURN_FLOOR,1-V7_BURN_SLOPE*MIN(1,MAX(0,R190)))</f>
        <v/>
      </c>
      <c r="AE190" s="26">
        <f>IF(V7_USE_ISSUER=1,IFERROR(VLOOKUP(Q190,V7_ISSUER_TABLE,3,FALSE),1),1)</f>
        <v/>
      </c>
      <c r="AF190" s="26">
        <f>PRODUCT(W190:AE190)</f>
        <v/>
      </c>
      <c r="AG190" s="27">
        <f>MIN(V7_BASE_SMM*AF190,V7_SMM_CAP)</f>
        <v/>
      </c>
      <c r="AH190" s="28">
        <f>1-(1-AG190)^12</f>
        <v/>
      </c>
      <c r="AI190" s="28">
        <f>IFERROR(LN(W190)/(LN(W190)+LN(X190)+LN(Y190)+LN(Z190)+LN(AA190)+LN(AB190)+LN(AC190)+LN(AD190))*(AH190-V7_BASE_CPR),0)</f>
        <v/>
      </c>
      <c r="AJ190" s="28">
        <f>IFERROR(LN(X190)/(LN(W190)+LN(X190)+LN(Y190)+LN(Z190)+LN(AA190)+LN(AB190)+LN(AC190)+LN(AD190))*(AH190-V7_BASE_CPR),0)</f>
        <v/>
      </c>
      <c r="AK190" s="28">
        <f>IFERROR(LN(Y190)/(LN(W190)+LN(X190)+LN(Y190)+LN(Z190)+LN(AA190)+LN(AB190)+LN(AC190)+LN(AD190))*(AH190-V7_BASE_CPR),0)</f>
        <v/>
      </c>
      <c r="AL190" s="28">
        <f>IFERROR(LN(Z190)/(LN(W190)+LN(X190)+LN(Y190)+LN(Z190)+LN(AA190)+LN(AB190)+LN(AC190)+LN(AD190))*(AH190-V7_BASE_CPR),0)</f>
        <v/>
      </c>
      <c r="AM190" s="28">
        <f>IFERROR(LN(AA190)/(LN(W190)+LN(X190)+LN(Y190)+LN(Z190)+LN(AA190)+LN(AB190)+LN(AC190)+LN(AD190))*(AH190-V7_BASE_CPR),0)</f>
        <v/>
      </c>
      <c r="AN190" s="28">
        <f>IFERROR(LN(AB190)/(LN(W190)+LN(X190)+LN(Y190)+LN(Z190)+LN(AA190)+LN(AB190)+LN(AC190)+LN(AD190))*(AH190-V7_BASE_CPR),0)</f>
        <v/>
      </c>
      <c r="AO190" s="28">
        <f>IFERROR(LN(AC190)/(LN(W190)+LN(X190)+LN(Y190)+LN(Z190)+LN(AA190)+LN(AB190)+LN(AC190)+LN(AD190))*(AH190-V7_BASE_CPR),0)</f>
        <v/>
      </c>
      <c r="AP190" s="28">
        <f>IFERROR(LN(AD190)/(LN(W190)+LN(X190)+LN(Y190)+LN(Z190)+LN(AA190)+LN(AB190)+LN(AC190)+LN(AD190))*(AH190-V7_BASE_CPR),0)</f>
        <v/>
      </c>
      <c r="AQ190" s="29">
        <f>V7_BASE_CPR+SUM(AI190:AP190)-AH190</f>
        <v/>
      </c>
    </row>
    <row r="191">
      <c r="A191" s="2" t="inlineStr">
        <is>
          <t>3617JU2H3_000000006722221</t>
        </is>
      </c>
      <c r="B191" t="inlineStr">
        <is>
          <t>CAPITAL_PRE21</t>
        </is>
      </c>
      <c r="C191" s="2" t="inlineStr">
        <is>
          <t>3617JU2H3</t>
        </is>
      </c>
      <c r="D191" t="inlineStr">
        <is>
          <t>CAPITAL FUNDING,LLC.</t>
        </is>
      </c>
      <c r="E191" t="inlineStr">
        <is>
          <t>232</t>
        </is>
      </c>
      <c r="F191" t="inlineStr">
        <is>
          <t>RP</t>
        </is>
      </c>
      <c r="G191" t="n">
        <v>2019</v>
      </c>
      <c r="H191" t="inlineStr">
        <is>
          <t>202602</t>
        </is>
      </c>
      <c r="I191" s="22" t="n">
        <v>15417164.1</v>
      </c>
      <c r="J191" s="23" t="n">
        <v>4.15</v>
      </c>
      <c r="K191" s="24" t="n">
        <v>447</v>
      </c>
      <c r="L191" s="24" t="n">
        <v>4</v>
      </c>
      <c r="M191" t="n">
        <v>82</v>
      </c>
      <c r="N191" s="25" t="n">
        <v>34</v>
      </c>
      <c r="O191" t="n">
        <v>205405</v>
      </c>
      <c r="P191" t="inlineStr"/>
      <c r="Q191" t="inlineStr">
        <is>
          <t>3866</t>
        </is>
      </c>
      <c r="R191" s="26" t="n">
        <v>0.4146341463414634</v>
      </c>
      <c r="S191" t="n">
        <v>0</v>
      </c>
      <c r="T191" s="23">
        <f>LN(1+I191)</f>
        <v/>
      </c>
      <c r="U191" s="24">
        <f>J191*100-K191</f>
        <v/>
      </c>
      <c r="V191" s="24">
        <f>U191-12.5*(L191+1)</f>
        <v/>
      </c>
      <c r="W191" s="26">
        <f>IF(M191&lt;=V7_AGE_KNOT_X_0,V7_AGE_KNOT_Y_0,IF(M191&gt;=V7_AGE_KNOT_X_5,V7_AGE_KNOT_Y_5,IF(M191&lt;=V7_AGE_KNOT_X_1,V7_AGE_KNOT_Y_0+(M191-V7_AGE_KNOT_X_0)/(V7_AGE_KNOT_X_1-V7_AGE_KNOT_X_0)*(V7_AGE_KNOT_Y_1-V7_AGE_KNOT_Y_0),IF(M191&lt;=V7_AGE_KNOT_X_2,V7_AGE_KNOT_Y_1+(M191-V7_AGE_KNOT_X_1)/(V7_AGE_KNOT_X_2-V7_AGE_KNOT_X_1)*(V7_AGE_KNOT_Y_2-V7_AGE_KNOT_Y_1),IF(M191&lt;=V7_AGE_KNOT_X_3,V7_AGE_KNOT_Y_2+(M191-V7_AGE_KNOT_X_2)/(V7_AGE_KNOT_X_3-V7_AGE_KNOT_X_2)*(V7_AGE_KNOT_Y_3-V7_AGE_KNOT_Y_2),IF(M191&lt;=V7_AGE_KNOT_X_4,V7_AGE_KNOT_Y_3+(M191-V7_AGE_KNOT_X_3)/(V7_AGE_KNOT_X_4-V7_AGE_KNOT_X_3)*(V7_AGE_KNOT_Y_4-V7_AGE_KNOT_Y_3),V7_AGE_KNOT_Y_4+(M191-V7_AGE_KNOT_X_4)/(V7_AGE_KNOT_X_5-V7_AGE_KNOT_X_4)*(V7_AGE_KNOT_Y_5-V7_AGE_KNOT_Y_4)))))))</f>
        <v/>
      </c>
      <c r="X191" s="26">
        <f>V7_RATE_FLOOR+V7_RATE_ASYMPTOTE/(1+EXP(-(V191-V7_RATE_MID)/V7_RATE_SLOPE))</f>
        <v/>
      </c>
      <c r="Y191" s="26">
        <f>MAX(V7_SIZE_LOW,MIN(V7_SIZE_HIGH,V7_SIZE_INTERCEPT+V7_SIZE_SLOPE*(T191-V7_SIZE_LOG_ANCHOR)))</f>
        <v/>
      </c>
      <c r="Z191" s="26">
        <f>IF(ISNUMBER(SEARCH("232",E191)),VLOOKUP("232",V7_PROGRAM_TABLE,2,FALSE),IF(ISNUMBER(SEARCH("538",E191)),VLOOKUP("538",V7_PROGRAM_TABLE,2,FALSE),IF(ISNUMBER(SEARCH("223a7",E191)),VLOOKUP("223a7",V7_PROGRAM_TABLE,2,FALSE),IF(ISNUMBER(SEARCH("223f",E191)),VLOOKUP("223f",V7_PROGRAM_TABLE,2,FALSE),V7_PROGRAM_DEFAULT))))</f>
        <v/>
      </c>
      <c r="AA191" s="26">
        <f>IF(S191=1,1+V7_PURPOSE_NC_BUMP*MAX(0,1-ABS(M191-V7_PURPOSE_PEAK_AGE)/V7_PURPOSE_WIDTH),1)</f>
        <v/>
      </c>
      <c r="AB191" s="26">
        <f>IF(AND(IF(OR(P191="",NOT(ISNUMBER(P191))),0,MAX(0,MIN(24,(INT(VALUE(H191)/100)-INT(P191/100))*12+MOD(VALUE(H191),100)-MOD(P191,100))))&gt;0,IF(OR(P191="",NOT(ISNUMBER(P191))),0,MAX(0,MIN(24,(INT(VALUE(H191)/100)-INT(P191/100))*12+MOD(VALUE(H191),100)-MOD(P191,100))))&lt;=12),1+V7_LOCKOUT_AMP*EXP(-(IF(OR(P191="",NOT(ISNUMBER(P191))),0,MAX(0,MIN(24,(INT(VALUE(H191)/100)-INT(P191/100))*12+MOD(VALUE(H191),100)-MOD(P191,100)))))/V7_LOCKOUT_TAU),1)</f>
        <v/>
      </c>
      <c r="AC191" s="26">
        <f>IF(IF(OR(O191="",NOT(ISNUMBER(O191))),360,MAX(0,MIN(480,(INT(O191/100)-INT(VALUE(H191)/100))*12+MOD(O191,100)-MOD(VALUE(H191),100))))&gt;0,1+V7_MTY_AMP*MAX(0,(V7_MTY_CUTOFF-(IF(OR(O191="",NOT(ISNUMBER(O191))),360,MAX(0,MIN(480,(INT(O191/100)-INT(VALUE(H191)/100))*12+MOD(O191,100)-MOD(VALUE(H191),100))))))/V7_MTY_CUTOFF),1)</f>
        <v/>
      </c>
      <c r="AD191" s="26">
        <f>MAX(V7_BURN_FLOOR,1-V7_BURN_SLOPE*MIN(1,MAX(0,R191)))</f>
        <v/>
      </c>
      <c r="AE191" s="26">
        <f>IF(V7_USE_ISSUER=1,IFERROR(VLOOKUP(Q191,V7_ISSUER_TABLE,3,FALSE),1),1)</f>
        <v/>
      </c>
      <c r="AF191" s="26">
        <f>PRODUCT(W191:AE191)</f>
        <v/>
      </c>
      <c r="AG191" s="27">
        <f>MIN(V7_BASE_SMM*AF191,V7_SMM_CAP)</f>
        <v/>
      </c>
      <c r="AH191" s="28">
        <f>1-(1-AG191)^12</f>
        <v/>
      </c>
      <c r="AI191" s="28">
        <f>IFERROR(LN(W191)/(LN(W191)+LN(X191)+LN(Y191)+LN(Z191)+LN(AA191)+LN(AB191)+LN(AC191)+LN(AD191))*(AH191-V7_BASE_CPR),0)</f>
        <v/>
      </c>
      <c r="AJ191" s="28">
        <f>IFERROR(LN(X191)/(LN(W191)+LN(X191)+LN(Y191)+LN(Z191)+LN(AA191)+LN(AB191)+LN(AC191)+LN(AD191))*(AH191-V7_BASE_CPR),0)</f>
        <v/>
      </c>
      <c r="AK191" s="28">
        <f>IFERROR(LN(Y191)/(LN(W191)+LN(X191)+LN(Y191)+LN(Z191)+LN(AA191)+LN(AB191)+LN(AC191)+LN(AD191))*(AH191-V7_BASE_CPR),0)</f>
        <v/>
      </c>
      <c r="AL191" s="28">
        <f>IFERROR(LN(Z191)/(LN(W191)+LN(X191)+LN(Y191)+LN(Z191)+LN(AA191)+LN(AB191)+LN(AC191)+LN(AD191))*(AH191-V7_BASE_CPR),0)</f>
        <v/>
      </c>
      <c r="AM191" s="28">
        <f>IFERROR(LN(AA191)/(LN(W191)+LN(X191)+LN(Y191)+LN(Z191)+LN(AA191)+LN(AB191)+LN(AC191)+LN(AD191))*(AH191-V7_BASE_CPR),0)</f>
        <v/>
      </c>
      <c r="AN191" s="28">
        <f>IFERROR(LN(AB191)/(LN(W191)+LN(X191)+LN(Y191)+LN(Z191)+LN(AA191)+LN(AB191)+LN(AC191)+LN(AD191))*(AH191-V7_BASE_CPR),0)</f>
        <v/>
      </c>
      <c r="AO191" s="28">
        <f>IFERROR(LN(AC191)/(LN(W191)+LN(X191)+LN(Y191)+LN(Z191)+LN(AA191)+LN(AB191)+LN(AC191)+LN(AD191))*(AH191-V7_BASE_CPR),0)</f>
        <v/>
      </c>
      <c r="AP191" s="28">
        <f>IFERROR(LN(AD191)/(LN(W191)+LN(X191)+LN(Y191)+LN(Z191)+LN(AA191)+LN(AB191)+LN(AC191)+LN(AD191))*(AH191-V7_BASE_CPR),0)</f>
        <v/>
      </c>
      <c r="AQ191" s="29">
        <f>V7_BASE_CPR+SUM(AI191:AP191)-AH191</f>
        <v/>
      </c>
    </row>
    <row r="192">
      <c r="A192" s="2" t="inlineStr">
        <is>
          <t>3617XQLB8_000000004522073</t>
        </is>
      </c>
      <c r="B192" t="inlineStr">
        <is>
          <t>CAPITAL_POST21</t>
        </is>
      </c>
      <c r="C192" s="2" t="inlineStr">
        <is>
          <t>3617XQLB8</t>
        </is>
      </c>
      <c r="D192" t="inlineStr">
        <is>
          <t>CAPITAL FUNDING,LLC.</t>
        </is>
      </c>
      <c r="E192" t="inlineStr">
        <is>
          <t>232</t>
        </is>
      </c>
      <c r="F192" t="inlineStr">
        <is>
          <t>RP</t>
        </is>
      </c>
      <c r="G192" t="n">
        <v>2021</v>
      </c>
      <c r="H192" t="inlineStr">
        <is>
          <t>202602</t>
        </is>
      </c>
      <c r="I192" s="22" t="n">
        <v>9321181.66</v>
      </c>
      <c r="J192" s="23" t="n">
        <v>2.54</v>
      </c>
      <c r="K192" s="24" t="n">
        <v>447</v>
      </c>
      <c r="L192" s="24" t="n">
        <v>6</v>
      </c>
      <c r="M192" t="n">
        <v>51</v>
      </c>
      <c r="N192" s="25" t="n">
        <v>0</v>
      </c>
      <c r="O192" t="n">
        <v>205112</v>
      </c>
      <c r="P192" t="inlineStr"/>
      <c r="Q192" t="inlineStr">
        <is>
          <t>3866</t>
        </is>
      </c>
      <c r="R192" s="26" t="n">
        <v>0</v>
      </c>
      <c r="S192" t="n">
        <v>0</v>
      </c>
      <c r="T192" s="23">
        <f>LN(1+I192)</f>
        <v/>
      </c>
      <c r="U192" s="24">
        <f>J192*100-K192</f>
        <v/>
      </c>
      <c r="V192" s="24">
        <f>U192-12.5*(L192+1)</f>
        <v/>
      </c>
      <c r="W192" s="26">
        <f>IF(M192&lt;=V7_AGE_KNOT_X_0,V7_AGE_KNOT_Y_0,IF(M192&gt;=V7_AGE_KNOT_X_5,V7_AGE_KNOT_Y_5,IF(M192&lt;=V7_AGE_KNOT_X_1,V7_AGE_KNOT_Y_0+(M192-V7_AGE_KNOT_X_0)/(V7_AGE_KNOT_X_1-V7_AGE_KNOT_X_0)*(V7_AGE_KNOT_Y_1-V7_AGE_KNOT_Y_0),IF(M192&lt;=V7_AGE_KNOT_X_2,V7_AGE_KNOT_Y_1+(M192-V7_AGE_KNOT_X_1)/(V7_AGE_KNOT_X_2-V7_AGE_KNOT_X_1)*(V7_AGE_KNOT_Y_2-V7_AGE_KNOT_Y_1),IF(M192&lt;=V7_AGE_KNOT_X_3,V7_AGE_KNOT_Y_2+(M192-V7_AGE_KNOT_X_2)/(V7_AGE_KNOT_X_3-V7_AGE_KNOT_X_2)*(V7_AGE_KNOT_Y_3-V7_AGE_KNOT_Y_2),IF(M192&lt;=V7_AGE_KNOT_X_4,V7_AGE_KNOT_Y_3+(M192-V7_AGE_KNOT_X_3)/(V7_AGE_KNOT_X_4-V7_AGE_KNOT_X_3)*(V7_AGE_KNOT_Y_4-V7_AGE_KNOT_Y_3),V7_AGE_KNOT_Y_4+(M192-V7_AGE_KNOT_X_4)/(V7_AGE_KNOT_X_5-V7_AGE_KNOT_X_4)*(V7_AGE_KNOT_Y_5-V7_AGE_KNOT_Y_4)))))))</f>
        <v/>
      </c>
      <c r="X192" s="26">
        <f>V7_RATE_FLOOR+V7_RATE_ASYMPTOTE/(1+EXP(-(V192-V7_RATE_MID)/V7_RATE_SLOPE))</f>
        <v/>
      </c>
      <c r="Y192" s="26">
        <f>MAX(V7_SIZE_LOW,MIN(V7_SIZE_HIGH,V7_SIZE_INTERCEPT+V7_SIZE_SLOPE*(T192-V7_SIZE_LOG_ANCHOR)))</f>
        <v/>
      </c>
      <c r="Z192" s="26">
        <f>IF(ISNUMBER(SEARCH("232",E192)),VLOOKUP("232",V7_PROGRAM_TABLE,2,FALSE),IF(ISNUMBER(SEARCH("538",E192)),VLOOKUP("538",V7_PROGRAM_TABLE,2,FALSE),IF(ISNUMBER(SEARCH("223a7",E192)),VLOOKUP("223a7",V7_PROGRAM_TABLE,2,FALSE),IF(ISNUMBER(SEARCH("223f",E192)),VLOOKUP("223f",V7_PROGRAM_TABLE,2,FALSE),V7_PROGRAM_DEFAULT))))</f>
        <v/>
      </c>
      <c r="AA192" s="26">
        <f>IF(S192=1,1+V7_PURPOSE_NC_BUMP*MAX(0,1-ABS(M192-V7_PURPOSE_PEAK_AGE)/V7_PURPOSE_WIDTH),1)</f>
        <v/>
      </c>
      <c r="AB192" s="26">
        <f>IF(AND(IF(OR(P192="",NOT(ISNUMBER(P192))),0,MAX(0,MIN(24,(INT(VALUE(H192)/100)-INT(P192/100))*12+MOD(VALUE(H192),100)-MOD(P192,100))))&gt;0,IF(OR(P192="",NOT(ISNUMBER(P192))),0,MAX(0,MIN(24,(INT(VALUE(H192)/100)-INT(P192/100))*12+MOD(VALUE(H192),100)-MOD(P192,100))))&lt;=12),1+V7_LOCKOUT_AMP*EXP(-(IF(OR(P192="",NOT(ISNUMBER(P192))),0,MAX(0,MIN(24,(INT(VALUE(H192)/100)-INT(P192/100))*12+MOD(VALUE(H192),100)-MOD(P192,100)))))/V7_LOCKOUT_TAU),1)</f>
        <v/>
      </c>
      <c r="AC192" s="26">
        <f>IF(IF(OR(O192="",NOT(ISNUMBER(O192))),360,MAX(0,MIN(480,(INT(O192/100)-INT(VALUE(H192)/100))*12+MOD(O192,100)-MOD(VALUE(H192),100))))&gt;0,1+V7_MTY_AMP*MAX(0,(V7_MTY_CUTOFF-(IF(OR(O192="",NOT(ISNUMBER(O192))),360,MAX(0,MIN(480,(INT(O192/100)-INT(VALUE(H192)/100))*12+MOD(O192,100)-MOD(VALUE(H192),100))))))/V7_MTY_CUTOFF),1)</f>
        <v/>
      </c>
      <c r="AD192" s="26">
        <f>MAX(V7_BURN_FLOOR,1-V7_BURN_SLOPE*MIN(1,MAX(0,R192)))</f>
        <v/>
      </c>
      <c r="AE192" s="26">
        <f>IF(V7_USE_ISSUER=1,IFERROR(VLOOKUP(Q192,V7_ISSUER_TABLE,3,FALSE),1),1)</f>
        <v/>
      </c>
      <c r="AF192" s="26">
        <f>PRODUCT(W192:AE192)</f>
        <v/>
      </c>
      <c r="AG192" s="27">
        <f>MIN(V7_BASE_SMM*AF192,V7_SMM_CAP)</f>
        <v/>
      </c>
      <c r="AH192" s="28">
        <f>1-(1-AG192)^12</f>
        <v/>
      </c>
      <c r="AI192" s="28">
        <f>IFERROR(LN(W192)/(LN(W192)+LN(X192)+LN(Y192)+LN(Z192)+LN(AA192)+LN(AB192)+LN(AC192)+LN(AD192))*(AH192-V7_BASE_CPR),0)</f>
        <v/>
      </c>
      <c r="AJ192" s="28">
        <f>IFERROR(LN(X192)/(LN(W192)+LN(X192)+LN(Y192)+LN(Z192)+LN(AA192)+LN(AB192)+LN(AC192)+LN(AD192))*(AH192-V7_BASE_CPR),0)</f>
        <v/>
      </c>
      <c r="AK192" s="28">
        <f>IFERROR(LN(Y192)/(LN(W192)+LN(X192)+LN(Y192)+LN(Z192)+LN(AA192)+LN(AB192)+LN(AC192)+LN(AD192))*(AH192-V7_BASE_CPR),0)</f>
        <v/>
      </c>
      <c r="AL192" s="28">
        <f>IFERROR(LN(Z192)/(LN(W192)+LN(X192)+LN(Y192)+LN(Z192)+LN(AA192)+LN(AB192)+LN(AC192)+LN(AD192))*(AH192-V7_BASE_CPR),0)</f>
        <v/>
      </c>
      <c r="AM192" s="28">
        <f>IFERROR(LN(AA192)/(LN(W192)+LN(X192)+LN(Y192)+LN(Z192)+LN(AA192)+LN(AB192)+LN(AC192)+LN(AD192))*(AH192-V7_BASE_CPR),0)</f>
        <v/>
      </c>
      <c r="AN192" s="28">
        <f>IFERROR(LN(AB192)/(LN(W192)+LN(X192)+LN(Y192)+LN(Z192)+LN(AA192)+LN(AB192)+LN(AC192)+LN(AD192))*(AH192-V7_BASE_CPR),0)</f>
        <v/>
      </c>
      <c r="AO192" s="28">
        <f>IFERROR(LN(AC192)/(LN(W192)+LN(X192)+LN(Y192)+LN(Z192)+LN(AA192)+LN(AB192)+LN(AC192)+LN(AD192))*(AH192-V7_BASE_CPR),0)</f>
        <v/>
      </c>
      <c r="AP192" s="28">
        <f>IFERROR(LN(AD192)/(LN(W192)+LN(X192)+LN(Y192)+LN(Z192)+LN(AA192)+LN(AB192)+LN(AC192)+LN(AD192))*(AH192-V7_BASE_CPR),0)</f>
        <v/>
      </c>
      <c r="AQ192" s="29">
        <f>V7_BASE_CPR+SUM(AI192:AP192)-AH192</f>
        <v/>
      </c>
    </row>
    <row r="193">
      <c r="A193" s="2" t="inlineStr">
        <is>
          <t>3618JF7J5_000000008722062</t>
        </is>
      </c>
      <c r="B193" t="inlineStr">
        <is>
          <t>CAPITAL_POST21</t>
        </is>
      </c>
      <c r="C193" s="2" t="inlineStr">
        <is>
          <t>3618JF7J5</t>
        </is>
      </c>
      <c r="D193" t="inlineStr">
        <is>
          <t>CAPITAL FUNDING,LLC.</t>
        </is>
      </c>
      <c r="E193" t="inlineStr">
        <is>
          <t>232</t>
        </is>
      </c>
      <c r="F193" t="inlineStr">
        <is>
          <t>RP</t>
        </is>
      </c>
      <c r="G193" t="n">
        <v>2025</v>
      </c>
      <c r="H193" t="inlineStr">
        <is>
          <t>202602</t>
        </is>
      </c>
      <c r="I193" s="22" t="n">
        <v>10905106.68</v>
      </c>
      <c r="J193" s="23" t="n">
        <v>6.02</v>
      </c>
      <c r="K193" s="24" t="n">
        <v>447</v>
      </c>
      <c r="L193" s="24" t="n">
        <v>10</v>
      </c>
      <c r="M193" t="n">
        <v>6</v>
      </c>
      <c r="N193" s="25" t="n">
        <v>1</v>
      </c>
      <c r="O193" t="n">
        <v>205509</v>
      </c>
      <c r="P193" t="inlineStr"/>
      <c r="Q193" t="inlineStr">
        <is>
          <t>3866</t>
        </is>
      </c>
      <c r="R193" s="26" t="n">
        <v>0.1666666666666667</v>
      </c>
      <c r="S193" t="n">
        <v>0</v>
      </c>
      <c r="T193" s="23">
        <f>LN(1+I193)</f>
        <v/>
      </c>
      <c r="U193" s="24">
        <f>J193*100-K193</f>
        <v/>
      </c>
      <c r="V193" s="24">
        <f>U193-12.5*(L193+1)</f>
        <v/>
      </c>
      <c r="W193" s="26">
        <f>IF(M193&lt;=V7_AGE_KNOT_X_0,V7_AGE_KNOT_Y_0,IF(M193&gt;=V7_AGE_KNOT_X_5,V7_AGE_KNOT_Y_5,IF(M193&lt;=V7_AGE_KNOT_X_1,V7_AGE_KNOT_Y_0+(M193-V7_AGE_KNOT_X_0)/(V7_AGE_KNOT_X_1-V7_AGE_KNOT_X_0)*(V7_AGE_KNOT_Y_1-V7_AGE_KNOT_Y_0),IF(M193&lt;=V7_AGE_KNOT_X_2,V7_AGE_KNOT_Y_1+(M193-V7_AGE_KNOT_X_1)/(V7_AGE_KNOT_X_2-V7_AGE_KNOT_X_1)*(V7_AGE_KNOT_Y_2-V7_AGE_KNOT_Y_1),IF(M193&lt;=V7_AGE_KNOT_X_3,V7_AGE_KNOT_Y_2+(M193-V7_AGE_KNOT_X_2)/(V7_AGE_KNOT_X_3-V7_AGE_KNOT_X_2)*(V7_AGE_KNOT_Y_3-V7_AGE_KNOT_Y_2),IF(M193&lt;=V7_AGE_KNOT_X_4,V7_AGE_KNOT_Y_3+(M193-V7_AGE_KNOT_X_3)/(V7_AGE_KNOT_X_4-V7_AGE_KNOT_X_3)*(V7_AGE_KNOT_Y_4-V7_AGE_KNOT_Y_3),V7_AGE_KNOT_Y_4+(M193-V7_AGE_KNOT_X_4)/(V7_AGE_KNOT_X_5-V7_AGE_KNOT_X_4)*(V7_AGE_KNOT_Y_5-V7_AGE_KNOT_Y_4)))))))</f>
        <v/>
      </c>
      <c r="X193" s="26">
        <f>V7_RATE_FLOOR+V7_RATE_ASYMPTOTE/(1+EXP(-(V193-V7_RATE_MID)/V7_RATE_SLOPE))</f>
        <v/>
      </c>
      <c r="Y193" s="26">
        <f>MAX(V7_SIZE_LOW,MIN(V7_SIZE_HIGH,V7_SIZE_INTERCEPT+V7_SIZE_SLOPE*(T193-V7_SIZE_LOG_ANCHOR)))</f>
        <v/>
      </c>
      <c r="Z193" s="26">
        <f>IF(ISNUMBER(SEARCH("232",E193)),VLOOKUP("232",V7_PROGRAM_TABLE,2,FALSE),IF(ISNUMBER(SEARCH("538",E193)),VLOOKUP("538",V7_PROGRAM_TABLE,2,FALSE),IF(ISNUMBER(SEARCH("223a7",E193)),VLOOKUP("223a7",V7_PROGRAM_TABLE,2,FALSE),IF(ISNUMBER(SEARCH("223f",E193)),VLOOKUP("223f",V7_PROGRAM_TABLE,2,FALSE),V7_PROGRAM_DEFAULT))))</f>
        <v/>
      </c>
      <c r="AA193" s="26">
        <f>IF(S193=1,1+V7_PURPOSE_NC_BUMP*MAX(0,1-ABS(M193-V7_PURPOSE_PEAK_AGE)/V7_PURPOSE_WIDTH),1)</f>
        <v/>
      </c>
      <c r="AB193" s="26">
        <f>IF(AND(IF(OR(P193="",NOT(ISNUMBER(P193))),0,MAX(0,MIN(24,(INT(VALUE(H193)/100)-INT(P193/100))*12+MOD(VALUE(H193),100)-MOD(P193,100))))&gt;0,IF(OR(P193="",NOT(ISNUMBER(P193))),0,MAX(0,MIN(24,(INT(VALUE(H193)/100)-INT(P193/100))*12+MOD(VALUE(H193),100)-MOD(P193,100))))&lt;=12),1+V7_LOCKOUT_AMP*EXP(-(IF(OR(P193="",NOT(ISNUMBER(P193))),0,MAX(0,MIN(24,(INT(VALUE(H193)/100)-INT(P193/100))*12+MOD(VALUE(H193),100)-MOD(P193,100)))))/V7_LOCKOUT_TAU),1)</f>
        <v/>
      </c>
      <c r="AC193" s="26">
        <f>IF(IF(OR(O193="",NOT(ISNUMBER(O193))),360,MAX(0,MIN(480,(INT(O193/100)-INT(VALUE(H193)/100))*12+MOD(O193,100)-MOD(VALUE(H193),100))))&gt;0,1+V7_MTY_AMP*MAX(0,(V7_MTY_CUTOFF-(IF(OR(O193="",NOT(ISNUMBER(O193))),360,MAX(0,MIN(480,(INT(O193/100)-INT(VALUE(H193)/100))*12+MOD(O193,100)-MOD(VALUE(H193),100))))))/V7_MTY_CUTOFF),1)</f>
        <v/>
      </c>
      <c r="AD193" s="26">
        <f>MAX(V7_BURN_FLOOR,1-V7_BURN_SLOPE*MIN(1,MAX(0,R193)))</f>
        <v/>
      </c>
      <c r="AE193" s="26">
        <f>IF(V7_USE_ISSUER=1,IFERROR(VLOOKUP(Q193,V7_ISSUER_TABLE,3,FALSE),1),1)</f>
        <v/>
      </c>
      <c r="AF193" s="26">
        <f>PRODUCT(W193:AE193)</f>
        <v/>
      </c>
      <c r="AG193" s="27">
        <f>MIN(V7_BASE_SMM*AF193,V7_SMM_CAP)</f>
        <v/>
      </c>
      <c r="AH193" s="28">
        <f>1-(1-AG193)^12</f>
        <v/>
      </c>
      <c r="AI193" s="28">
        <f>IFERROR(LN(W193)/(LN(W193)+LN(X193)+LN(Y193)+LN(Z193)+LN(AA193)+LN(AB193)+LN(AC193)+LN(AD193))*(AH193-V7_BASE_CPR),0)</f>
        <v/>
      </c>
      <c r="AJ193" s="28">
        <f>IFERROR(LN(X193)/(LN(W193)+LN(X193)+LN(Y193)+LN(Z193)+LN(AA193)+LN(AB193)+LN(AC193)+LN(AD193))*(AH193-V7_BASE_CPR),0)</f>
        <v/>
      </c>
      <c r="AK193" s="28">
        <f>IFERROR(LN(Y193)/(LN(W193)+LN(X193)+LN(Y193)+LN(Z193)+LN(AA193)+LN(AB193)+LN(AC193)+LN(AD193))*(AH193-V7_BASE_CPR),0)</f>
        <v/>
      </c>
      <c r="AL193" s="28">
        <f>IFERROR(LN(Z193)/(LN(W193)+LN(X193)+LN(Y193)+LN(Z193)+LN(AA193)+LN(AB193)+LN(AC193)+LN(AD193))*(AH193-V7_BASE_CPR),0)</f>
        <v/>
      </c>
      <c r="AM193" s="28">
        <f>IFERROR(LN(AA193)/(LN(W193)+LN(X193)+LN(Y193)+LN(Z193)+LN(AA193)+LN(AB193)+LN(AC193)+LN(AD193))*(AH193-V7_BASE_CPR),0)</f>
        <v/>
      </c>
      <c r="AN193" s="28">
        <f>IFERROR(LN(AB193)/(LN(W193)+LN(X193)+LN(Y193)+LN(Z193)+LN(AA193)+LN(AB193)+LN(AC193)+LN(AD193))*(AH193-V7_BASE_CPR),0)</f>
        <v/>
      </c>
      <c r="AO193" s="28">
        <f>IFERROR(LN(AC193)/(LN(W193)+LN(X193)+LN(Y193)+LN(Z193)+LN(AA193)+LN(AB193)+LN(AC193)+LN(AD193))*(AH193-V7_BASE_CPR),0)</f>
        <v/>
      </c>
      <c r="AP193" s="28">
        <f>IFERROR(LN(AD193)/(LN(W193)+LN(X193)+LN(Y193)+LN(Z193)+LN(AA193)+LN(AB193)+LN(AC193)+LN(AD193))*(AH193-V7_BASE_CPR),0)</f>
        <v/>
      </c>
      <c r="AQ193" s="29">
        <f>V7_BASE_CPR+SUM(AI193:AP193)-AH193</f>
        <v/>
      </c>
    </row>
    <row r="194">
      <c r="A194" s="2" t="inlineStr">
        <is>
          <t>36178BB95_000000007422031</t>
        </is>
      </c>
      <c r="B194" t="inlineStr">
        <is>
          <t>CAPITAL_PRE21</t>
        </is>
      </c>
      <c r="C194" s="2" t="inlineStr">
        <is>
          <t>36178BB95</t>
        </is>
      </c>
      <c r="D194" t="inlineStr">
        <is>
          <t>CAPITAL FUNDING,LLC.</t>
        </is>
      </c>
      <c r="E194" t="inlineStr">
        <is>
          <t>232</t>
        </is>
      </c>
      <c r="F194" t="inlineStr">
        <is>
          <t>RP</t>
        </is>
      </c>
      <c r="G194" t="n">
        <v>2013</v>
      </c>
      <c r="H194" t="inlineStr">
        <is>
          <t>202602</t>
        </is>
      </c>
      <c r="I194" s="22" t="n">
        <v>1352228.66</v>
      </c>
      <c r="J194" s="23" t="n">
        <v>2.97</v>
      </c>
      <c r="K194" s="24" t="n">
        <v>447</v>
      </c>
      <c r="L194" s="24" t="n">
        <v>0</v>
      </c>
      <c r="M194" t="n">
        <v>157</v>
      </c>
      <c r="N194" s="25" t="n">
        <v>27</v>
      </c>
      <c r="O194" t="n">
        <v>203801</v>
      </c>
      <c r="P194" t="n">
        <v>201403</v>
      </c>
      <c r="Q194" t="inlineStr">
        <is>
          <t>3866</t>
        </is>
      </c>
      <c r="R194" s="26" t="n">
        <v>0.1719745222929936</v>
      </c>
      <c r="S194" t="n">
        <v>0</v>
      </c>
      <c r="T194" s="23">
        <f>LN(1+I194)</f>
        <v/>
      </c>
      <c r="U194" s="24">
        <f>J194*100-K194</f>
        <v/>
      </c>
      <c r="V194" s="24">
        <f>U194-12.5*(L194+1)</f>
        <v/>
      </c>
      <c r="W194" s="26">
        <f>IF(M194&lt;=V7_AGE_KNOT_X_0,V7_AGE_KNOT_Y_0,IF(M194&gt;=V7_AGE_KNOT_X_5,V7_AGE_KNOT_Y_5,IF(M194&lt;=V7_AGE_KNOT_X_1,V7_AGE_KNOT_Y_0+(M194-V7_AGE_KNOT_X_0)/(V7_AGE_KNOT_X_1-V7_AGE_KNOT_X_0)*(V7_AGE_KNOT_Y_1-V7_AGE_KNOT_Y_0),IF(M194&lt;=V7_AGE_KNOT_X_2,V7_AGE_KNOT_Y_1+(M194-V7_AGE_KNOT_X_1)/(V7_AGE_KNOT_X_2-V7_AGE_KNOT_X_1)*(V7_AGE_KNOT_Y_2-V7_AGE_KNOT_Y_1),IF(M194&lt;=V7_AGE_KNOT_X_3,V7_AGE_KNOT_Y_2+(M194-V7_AGE_KNOT_X_2)/(V7_AGE_KNOT_X_3-V7_AGE_KNOT_X_2)*(V7_AGE_KNOT_Y_3-V7_AGE_KNOT_Y_2),IF(M194&lt;=V7_AGE_KNOT_X_4,V7_AGE_KNOT_Y_3+(M194-V7_AGE_KNOT_X_3)/(V7_AGE_KNOT_X_4-V7_AGE_KNOT_X_3)*(V7_AGE_KNOT_Y_4-V7_AGE_KNOT_Y_3),V7_AGE_KNOT_Y_4+(M194-V7_AGE_KNOT_X_4)/(V7_AGE_KNOT_X_5-V7_AGE_KNOT_X_4)*(V7_AGE_KNOT_Y_5-V7_AGE_KNOT_Y_4)))))))</f>
        <v/>
      </c>
      <c r="X194" s="26">
        <f>V7_RATE_FLOOR+V7_RATE_ASYMPTOTE/(1+EXP(-(V194-V7_RATE_MID)/V7_RATE_SLOPE))</f>
        <v/>
      </c>
      <c r="Y194" s="26">
        <f>MAX(V7_SIZE_LOW,MIN(V7_SIZE_HIGH,V7_SIZE_INTERCEPT+V7_SIZE_SLOPE*(T194-V7_SIZE_LOG_ANCHOR)))</f>
        <v/>
      </c>
      <c r="Z194" s="26">
        <f>IF(ISNUMBER(SEARCH("232",E194)),VLOOKUP("232",V7_PROGRAM_TABLE,2,FALSE),IF(ISNUMBER(SEARCH("538",E194)),VLOOKUP("538",V7_PROGRAM_TABLE,2,FALSE),IF(ISNUMBER(SEARCH("223a7",E194)),VLOOKUP("223a7",V7_PROGRAM_TABLE,2,FALSE),IF(ISNUMBER(SEARCH("223f",E194)),VLOOKUP("223f",V7_PROGRAM_TABLE,2,FALSE),V7_PROGRAM_DEFAULT))))</f>
        <v/>
      </c>
      <c r="AA194" s="26">
        <f>IF(S194=1,1+V7_PURPOSE_NC_BUMP*MAX(0,1-ABS(M194-V7_PURPOSE_PEAK_AGE)/V7_PURPOSE_WIDTH),1)</f>
        <v/>
      </c>
      <c r="AB194" s="26">
        <f>IF(AND(IF(OR(P194="",NOT(ISNUMBER(P194))),0,MAX(0,MIN(24,(INT(VALUE(H194)/100)-INT(P194/100))*12+MOD(VALUE(H194),100)-MOD(P194,100))))&gt;0,IF(OR(P194="",NOT(ISNUMBER(P194))),0,MAX(0,MIN(24,(INT(VALUE(H194)/100)-INT(P194/100))*12+MOD(VALUE(H194),100)-MOD(P194,100))))&lt;=12),1+V7_LOCKOUT_AMP*EXP(-(IF(OR(P194="",NOT(ISNUMBER(P194))),0,MAX(0,MIN(24,(INT(VALUE(H194)/100)-INT(P194/100))*12+MOD(VALUE(H194),100)-MOD(P194,100)))))/V7_LOCKOUT_TAU),1)</f>
        <v/>
      </c>
      <c r="AC194" s="26">
        <f>IF(IF(OR(O194="",NOT(ISNUMBER(O194))),360,MAX(0,MIN(480,(INT(O194/100)-INT(VALUE(H194)/100))*12+MOD(O194,100)-MOD(VALUE(H194),100))))&gt;0,1+V7_MTY_AMP*MAX(0,(V7_MTY_CUTOFF-(IF(OR(O194="",NOT(ISNUMBER(O194))),360,MAX(0,MIN(480,(INT(O194/100)-INT(VALUE(H194)/100))*12+MOD(O194,100)-MOD(VALUE(H194),100))))))/V7_MTY_CUTOFF),1)</f>
        <v/>
      </c>
      <c r="AD194" s="26">
        <f>MAX(V7_BURN_FLOOR,1-V7_BURN_SLOPE*MIN(1,MAX(0,R194)))</f>
        <v/>
      </c>
      <c r="AE194" s="26">
        <f>IF(V7_USE_ISSUER=1,IFERROR(VLOOKUP(Q194,V7_ISSUER_TABLE,3,FALSE),1),1)</f>
        <v/>
      </c>
      <c r="AF194" s="26">
        <f>PRODUCT(W194:AE194)</f>
        <v/>
      </c>
      <c r="AG194" s="27">
        <f>MIN(V7_BASE_SMM*AF194,V7_SMM_CAP)</f>
        <v/>
      </c>
      <c r="AH194" s="28">
        <f>1-(1-AG194)^12</f>
        <v/>
      </c>
      <c r="AI194" s="28">
        <f>IFERROR(LN(W194)/(LN(W194)+LN(X194)+LN(Y194)+LN(Z194)+LN(AA194)+LN(AB194)+LN(AC194)+LN(AD194))*(AH194-V7_BASE_CPR),0)</f>
        <v/>
      </c>
      <c r="AJ194" s="28">
        <f>IFERROR(LN(X194)/(LN(W194)+LN(X194)+LN(Y194)+LN(Z194)+LN(AA194)+LN(AB194)+LN(AC194)+LN(AD194))*(AH194-V7_BASE_CPR),0)</f>
        <v/>
      </c>
      <c r="AK194" s="28">
        <f>IFERROR(LN(Y194)/(LN(W194)+LN(X194)+LN(Y194)+LN(Z194)+LN(AA194)+LN(AB194)+LN(AC194)+LN(AD194))*(AH194-V7_BASE_CPR),0)</f>
        <v/>
      </c>
      <c r="AL194" s="28">
        <f>IFERROR(LN(Z194)/(LN(W194)+LN(X194)+LN(Y194)+LN(Z194)+LN(AA194)+LN(AB194)+LN(AC194)+LN(AD194))*(AH194-V7_BASE_CPR),0)</f>
        <v/>
      </c>
      <c r="AM194" s="28">
        <f>IFERROR(LN(AA194)/(LN(W194)+LN(X194)+LN(Y194)+LN(Z194)+LN(AA194)+LN(AB194)+LN(AC194)+LN(AD194))*(AH194-V7_BASE_CPR),0)</f>
        <v/>
      </c>
      <c r="AN194" s="28">
        <f>IFERROR(LN(AB194)/(LN(W194)+LN(X194)+LN(Y194)+LN(Z194)+LN(AA194)+LN(AB194)+LN(AC194)+LN(AD194))*(AH194-V7_BASE_CPR),0)</f>
        <v/>
      </c>
      <c r="AO194" s="28">
        <f>IFERROR(LN(AC194)/(LN(W194)+LN(X194)+LN(Y194)+LN(Z194)+LN(AA194)+LN(AB194)+LN(AC194)+LN(AD194))*(AH194-V7_BASE_CPR),0)</f>
        <v/>
      </c>
      <c r="AP194" s="28">
        <f>IFERROR(LN(AD194)/(LN(W194)+LN(X194)+LN(Y194)+LN(Z194)+LN(AA194)+LN(AB194)+LN(AC194)+LN(AD194))*(AH194-V7_BASE_CPR),0)</f>
        <v/>
      </c>
      <c r="AQ194" s="29">
        <f>V7_BASE_CPR+SUM(AI194:AP194)-AH194</f>
        <v/>
      </c>
    </row>
    <row r="195">
      <c r="A195" s="2" t="inlineStr">
        <is>
          <t>3617M7DE5_000000001422159</t>
        </is>
      </c>
      <c r="B195" t="inlineStr">
        <is>
          <t>CAPITAL_PRE21</t>
        </is>
      </c>
      <c r="C195" s="2" t="inlineStr">
        <is>
          <t>3617M7DE5</t>
        </is>
      </c>
      <c r="D195" t="inlineStr">
        <is>
          <t>CAPITAL FUNDING,LLC.</t>
        </is>
      </c>
      <c r="E195" t="inlineStr">
        <is>
          <t>232</t>
        </is>
      </c>
      <c r="F195" t="inlineStr">
        <is>
          <t>RP</t>
        </is>
      </c>
      <c r="G195" t="n">
        <v>2019</v>
      </c>
      <c r="H195" t="inlineStr">
        <is>
          <t>202602</t>
        </is>
      </c>
      <c r="I195" s="22" t="n">
        <v>16343371.04</v>
      </c>
      <c r="J195" s="23" t="n">
        <v>3.24</v>
      </c>
      <c r="K195" s="24" t="n">
        <v>447</v>
      </c>
      <c r="L195" s="24" t="n">
        <v>4</v>
      </c>
      <c r="M195" t="n">
        <v>74</v>
      </c>
      <c r="N195" s="25" t="n">
        <v>19</v>
      </c>
      <c r="O195" t="n">
        <v>204501</v>
      </c>
      <c r="P195" t="inlineStr"/>
      <c r="Q195" t="inlineStr">
        <is>
          <t>3866</t>
        </is>
      </c>
      <c r="R195" s="26" t="n">
        <v>0.2567567567567567</v>
      </c>
      <c r="S195" t="n">
        <v>0</v>
      </c>
      <c r="T195" s="23">
        <f>LN(1+I195)</f>
        <v/>
      </c>
      <c r="U195" s="24">
        <f>J195*100-K195</f>
        <v/>
      </c>
      <c r="V195" s="24">
        <f>U195-12.5*(L195+1)</f>
        <v/>
      </c>
      <c r="W195" s="26">
        <f>IF(M195&lt;=V7_AGE_KNOT_X_0,V7_AGE_KNOT_Y_0,IF(M195&gt;=V7_AGE_KNOT_X_5,V7_AGE_KNOT_Y_5,IF(M195&lt;=V7_AGE_KNOT_X_1,V7_AGE_KNOT_Y_0+(M195-V7_AGE_KNOT_X_0)/(V7_AGE_KNOT_X_1-V7_AGE_KNOT_X_0)*(V7_AGE_KNOT_Y_1-V7_AGE_KNOT_Y_0),IF(M195&lt;=V7_AGE_KNOT_X_2,V7_AGE_KNOT_Y_1+(M195-V7_AGE_KNOT_X_1)/(V7_AGE_KNOT_X_2-V7_AGE_KNOT_X_1)*(V7_AGE_KNOT_Y_2-V7_AGE_KNOT_Y_1),IF(M195&lt;=V7_AGE_KNOT_X_3,V7_AGE_KNOT_Y_2+(M195-V7_AGE_KNOT_X_2)/(V7_AGE_KNOT_X_3-V7_AGE_KNOT_X_2)*(V7_AGE_KNOT_Y_3-V7_AGE_KNOT_Y_2),IF(M195&lt;=V7_AGE_KNOT_X_4,V7_AGE_KNOT_Y_3+(M195-V7_AGE_KNOT_X_3)/(V7_AGE_KNOT_X_4-V7_AGE_KNOT_X_3)*(V7_AGE_KNOT_Y_4-V7_AGE_KNOT_Y_3),V7_AGE_KNOT_Y_4+(M195-V7_AGE_KNOT_X_4)/(V7_AGE_KNOT_X_5-V7_AGE_KNOT_X_4)*(V7_AGE_KNOT_Y_5-V7_AGE_KNOT_Y_4)))))))</f>
        <v/>
      </c>
      <c r="X195" s="26">
        <f>V7_RATE_FLOOR+V7_RATE_ASYMPTOTE/(1+EXP(-(V195-V7_RATE_MID)/V7_RATE_SLOPE))</f>
        <v/>
      </c>
      <c r="Y195" s="26">
        <f>MAX(V7_SIZE_LOW,MIN(V7_SIZE_HIGH,V7_SIZE_INTERCEPT+V7_SIZE_SLOPE*(T195-V7_SIZE_LOG_ANCHOR)))</f>
        <v/>
      </c>
      <c r="Z195" s="26">
        <f>IF(ISNUMBER(SEARCH("232",E195)),VLOOKUP("232",V7_PROGRAM_TABLE,2,FALSE),IF(ISNUMBER(SEARCH("538",E195)),VLOOKUP("538",V7_PROGRAM_TABLE,2,FALSE),IF(ISNUMBER(SEARCH("223a7",E195)),VLOOKUP("223a7",V7_PROGRAM_TABLE,2,FALSE),IF(ISNUMBER(SEARCH("223f",E195)),VLOOKUP("223f",V7_PROGRAM_TABLE,2,FALSE),V7_PROGRAM_DEFAULT))))</f>
        <v/>
      </c>
      <c r="AA195" s="26">
        <f>IF(S195=1,1+V7_PURPOSE_NC_BUMP*MAX(0,1-ABS(M195-V7_PURPOSE_PEAK_AGE)/V7_PURPOSE_WIDTH),1)</f>
        <v/>
      </c>
      <c r="AB195" s="26">
        <f>IF(AND(IF(OR(P195="",NOT(ISNUMBER(P195))),0,MAX(0,MIN(24,(INT(VALUE(H195)/100)-INT(P195/100))*12+MOD(VALUE(H195),100)-MOD(P195,100))))&gt;0,IF(OR(P195="",NOT(ISNUMBER(P195))),0,MAX(0,MIN(24,(INT(VALUE(H195)/100)-INT(P195/100))*12+MOD(VALUE(H195),100)-MOD(P195,100))))&lt;=12),1+V7_LOCKOUT_AMP*EXP(-(IF(OR(P195="",NOT(ISNUMBER(P195))),0,MAX(0,MIN(24,(INT(VALUE(H195)/100)-INT(P195/100))*12+MOD(VALUE(H195),100)-MOD(P195,100)))))/V7_LOCKOUT_TAU),1)</f>
        <v/>
      </c>
      <c r="AC195" s="26">
        <f>IF(IF(OR(O195="",NOT(ISNUMBER(O195))),360,MAX(0,MIN(480,(INT(O195/100)-INT(VALUE(H195)/100))*12+MOD(O195,100)-MOD(VALUE(H195),100))))&gt;0,1+V7_MTY_AMP*MAX(0,(V7_MTY_CUTOFF-(IF(OR(O195="",NOT(ISNUMBER(O195))),360,MAX(0,MIN(480,(INT(O195/100)-INT(VALUE(H195)/100))*12+MOD(O195,100)-MOD(VALUE(H195),100))))))/V7_MTY_CUTOFF),1)</f>
        <v/>
      </c>
      <c r="AD195" s="26">
        <f>MAX(V7_BURN_FLOOR,1-V7_BURN_SLOPE*MIN(1,MAX(0,R195)))</f>
        <v/>
      </c>
      <c r="AE195" s="26">
        <f>IF(V7_USE_ISSUER=1,IFERROR(VLOOKUP(Q195,V7_ISSUER_TABLE,3,FALSE),1),1)</f>
        <v/>
      </c>
      <c r="AF195" s="26">
        <f>PRODUCT(W195:AE195)</f>
        <v/>
      </c>
      <c r="AG195" s="27">
        <f>MIN(V7_BASE_SMM*AF195,V7_SMM_CAP)</f>
        <v/>
      </c>
      <c r="AH195" s="28">
        <f>1-(1-AG195)^12</f>
        <v/>
      </c>
      <c r="AI195" s="28">
        <f>IFERROR(LN(W195)/(LN(W195)+LN(X195)+LN(Y195)+LN(Z195)+LN(AA195)+LN(AB195)+LN(AC195)+LN(AD195))*(AH195-V7_BASE_CPR),0)</f>
        <v/>
      </c>
      <c r="AJ195" s="28">
        <f>IFERROR(LN(X195)/(LN(W195)+LN(X195)+LN(Y195)+LN(Z195)+LN(AA195)+LN(AB195)+LN(AC195)+LN(AD195))*(AH195-V7_BASE_CPR),0)</f>
        <v/>
      </c>
      <c r="AK195" s="28">
        <f>IFERROR(LN(Y195)/(LN(W195)+LN(X195)+LN(Y195)+LN(Z195)+LN(AA195)+LN(AB195)+LN(AC195)+LN(AD195))*(AH195-V7_BASE_CPR),0)</f>
        <v/>
      </c>
      <c r="AL195" s="28">
        <f>IFERROR(LN(Z195)/(LN(W195)+LN(X195)+LN(Y195)+LN(Z195)+LN(AA195)+LN(AB195)+LN(AC195)+LN(AD195))*(AH195-V7_BASE_CPR),0)</f>
        <v/>
      </c>
      <c r="AM195" s="28">
        <f>IFERROR(LN(AA195)/(LN(W195)+LN(X195)+LN(Y195)+LN(Z195)+LN(AA195)+LN(AB195)+LN(AC195)+LN(AD195))*(AH195-V7_BASE_CPR),0)</f>
        <v/>
      </c>
      <c r="AN195" s="28">
        <f>IFERROR(LN(AB195)/(LN(W195)+LN(X195)+LN(Y195)+LN(Z195)+LN(AA195)+LN(AB195)+LN(AC195)+LN(AD195))*(AH195-V7_BASE_CPR),0)</f>
        <v/>
      </c>
      <c r="AO195" s="28">
        <f>IFERROR(LN(AC195)/(LN(W195)+LN(X195)+LN(Y195)+LN(Z195)+LN(AA195)+LN(AB195)+LN(AC195)+LN(AD195))*(AH195-V7_BASE_CPR),0)</f>
        <v/>
      </c>
      <c r="AP195" s="28">
        <f>IFERROR(LN(AD195)/(LN(W195)+LN(X195)+LN(Y195)+LN(Z195)+LN(AA195)+LN(AB195)+LN(AC195)+LN(AD195))*(AH195-V7_BASE_CPR),0)</f>
        <v/>
      </c>
      <c r="AQ195" s="29">
        <f>V7_BASE_CPR+SUM(AI195:AP195)-AH195</f>
        <v/>
      </c>
    </row>
    <row r="196">
      <c r="A196" s="2" t="inlineStr">
        <is>
          <t>3620C2RW6_000000002322133</t>
        </is>
      </c>
      <c r="B196" t="inlineStr">
        <is>
          <t>CAPITAL_PRE21</t>
        </is>
      </c>
      <c r="C196" s="2" t="inlineStr">
        <is>
          <t>3620C2RW6</t>
        </is>
      </c>
      <c r="D196" t="inlineStr">
        <is>
          <t>CAPITAL FUNDING,LLC.</t>
        </is>
      </c>
      <c r="E196" t="inlineStr">
        <is>
          <t>232</t>
        </is>
      </c>
      <c r="F196" t="inlineStr">
        <is>
          <t>RP</t>
        </is>
      </c>
      <c r="G196" t="n">
        <v>2013</v>
      </c>
      <c r="H196" t="inlineStr">
        <is>
          <t>202602</t>
        </is>
      </c>
      <c r="I196" s="22" t="n">
        <v>4844357.94</v>
      </c>
      <c r="J196" s="23" t="n">
        <v>2.94</v>
      </c>
      <c r="K196" s="24" t="n">
        <v>447</v>
      </c>
      <c r="L196" s="24" t="n">
        <v>0</v>
      </c>
      <c r="M196" t="n">
        <v>157</v>
      </c>
      <c r="N196" s="25" t="n">
        <v>26</v>
      </c>
      <c r="O196" t="n">
        <v>204802</v>
      </c>
      <c r="P196" t="n">
        <v>201403</v>
      </c>
      <c r="Q196" t="inlineStr">
        <is>
          <t>3866</t>
        </is>
      </c>
      <c r="R196" s="26" t="n">
        <v>0.1656050955414013</v>
      </c>
      <c r="S196" t="n">
        <v>0</v>
      </c>
      <c r="T196" s="23">
        <f>LN(1+I196)</f>
        <v/>
      </c>
      <c r="U196" s="24">
        <f>J196*100-K196</f>
        <v/>
      </c>
      <c r="V196" s="24">
        <f>U196-12.5*(L196+1)</f>
        <v/>
      </c>
      <c r="W196" s="26">
        <f>IF(M196&lt;=V7_AGE_KNOT_X_0,V7_AGE_KNOT_Y_0,IF(M196&gt;=V7_AGE_KNOT_X_5,V7_AGE_KNOT_Y_5,IF(M196&lt;=V7_AGE_KNOT_X_1,V7_AGE_KNOT_Y_0+(M196-V7_AGE_KNOT_X_0)/(V7_AGE_KNOT_X_1-V7_AGE_KNOT_X_0)*(V7_AGE_KNOT_Y_1-V7_AGE_KNOT_Y_0),IF(M196&lt;=V7_AGE_KNOT_X_2,V7_AGE_KNOT_Y_1+(M196-V7_AGE_KNOT_X_1)/(V7_AGE_KNOT_X_2-V7_AGE_KNOT_X_1)*(V7_AGE_KNOT_Y_2-V7_AGE_KNOT_Y_1),IF(M196&lt;=V7_AGE_KNOT_X_3,V7_AGE_KNOT_Y_2+(M196-V7_AGE_KNOT_X_2)/(V7_AGE_KNOT_X_3-V7_AGE_KNOT_X_2)*(V7_AGE_KNOT_Y_3-V7_AGE_KNOT_Y_2),IF(M196&lt;=V7_AGE_KNOT_X_4,V7_AGE_KNOT_Y_3+(M196-V7_AGE_KNOT_X_3)/(V7_AGE_KNOT_X_4-V7_AGE_KNOT_X_3)*(V7_AGE_KNOT_Y_4-V7_AGE_KNOT_Y_3),V7_AGE_KNOT_Y_4+(M196-V7_AGE_KNOT_X_4)/(V7_AGE_KNOT_X_5-V7_AGE_KNOT_X_4)*(V7_AGE_KNOT_Y_5-V7_AGE_KNOT_Y_4)))))))</f>
        <v/>
      </c>
      <c r="X196" s="26">
        <f>V7_RATE_FLOOR+V7_RATE_ASYMPTOTE/(1+EXP(-(V196-V7_RATE_MID)/V7_RATE_SLOPE))</f>
        <v/>
      </c>
      <c r="Y196" s="26">
        <f>MAX(V7_SIZE_LOW,MIN(V7_SIZE_HIGH,V7_SIZE_INTERCEPT+V7_SIZE_SLOPE*(T196-V7_SIZE_LOG_ANCHOR)))</f>
        <v/>
      </c>
      <c r="Z196" s="26">
        <f>IF(ISNUMBER(SEARCH("232",E196)),VLOOKUP("232",V7_PROGRAM_TABLE,2,FALSE),IF(ISNUMBER(SEARCH("538",E196)),VLOOKUP("538",V7_PROGRAM_TABLE,2,FALSE),IF(ISNUMBER(SEARCH("223a7",E196)),VLOOKUP("223a7",V7_PROGRAM_TABLE,2,FALSE),IF(ISNUMBER(SEARCH("223f",E196)),VLOOKUP("223f",V7_PROGRAM_TABLE,2,FALSE),V7_PROGRAM_DEFAULT))))</f>
        <v/>
      </c>
      <c r="AA196" s="26">
        <f>IF(S196=1,1+V7_PURPOSE_NC_BUMP*MAX(0,1-ABS(M196-V7_PURPOSE_PEAK_AGE)/V7_PURPOSE_WIDTH),1)</f>
        <v/>
      </c>
      <c r="AB196" s="26">
        <f>IF(AND(IF(OR(P196="",NOT(ISNUMBER(P196))),0,MAX(0,MIN(24,(INT(VALUE(H196)/100)-INT(P196/100))*12+MOD(VALUE(H196),100)-MOD(P196,100))))&gt;0,IF(OR(P196="",NOT(ISNUMBER(P196))),0,MAX(0,MIN(24,(INT(VALUE(H196)/100)-INT(P196/100))*12+MOD(VALUE(H196),100)-MOD(P196,100))))&lt;=12),1+V7_LOCKOUT_AMP*EXP(-(IF(OR(P196="",NOT(ISNUMBER(P196))),0,MAX(0,MIN(24,(INT(VALUE(H196)/100)-INT(P196/100))*12+MOD(VALUE(H196),100)-MOD(P196,100)))))/V7_LOCKOUT_TAU),1)</f>
        <v/>
      </c>
      <c r="AC196" s="26">
        <f>IF(IF(OR(O196="",NOT(ISNUMBER(O196))),360,MAX(0,MIN(480,(INT(O196/100)-INT(VALUE(H196)/100))*12+MOD(O196,100)-MOD(VALUE(H196),100))))&gt;0,1+V7_MTY_AMP*MAX(0,(V7_MTY_CUTOFF-(IF(OR(O196="",NOT(ISNUMBER(O196))),360,MAX(0,MIN(480,(INT(O196/100)-INT(VALUE(H196)/100))*12+MOD(O196,100)-MOD(VALUE(H196),100))))))/V7_MTY_CUTOFF),1)</f>
        <v/>
      </c>
      <c r="AD196" s="26">
        <f>MAX(V7_BURN_FLOOR,1-V7_BURN_SLOPE*MIN(1,MAX(0,R196)))</f>
        <v/>
      </c>
      <c r="AE196" s="26">
        <f>IF(V7_USE_ISSUER=1,IFERROR(VLOOKUP(Q196,V7_ISSUER_TABLE,3,FALSE),1),1)</f>
        <v/>
      </c>
      <c r="AF196" s="26">
        <f>PRODUCT(W196:AE196)</f>
        <v/>
      </c>
      <c r="AG196" s="27">
        <f>MIN(V7_BASE_SMM*AF196,V7_SMM_CAP)</f>
        <v/>
      </c>
      <c r="AH196" s="28">
        <f>1-(1-AG196)^12</f>
        <v/>
      </c>
      <c r="AI196" s="28">
        <f>IFERROR(LN(W196)/(LN(W196)+LN(X196)+LN(Y196)+LN(Z196)+LN(AA196)+LN(AB196)+LN(AC196)+LN(AD196))*(AH196-V7_BASE_CPR),0)</f>
        <v/>
      </c>
      <c r="AJ196" s="28">
        <f>IFERROR(LN(X196)/(LN(W196)+LN(X196)+LN(Y196)+LN(Z196)+LN(AA196)+LN(AB196)+LN(AC196)+LN(AD196))*(AH196-V7_BASE_CPR),0)</f>
        <v/>
      </c>
      <c r="AK196" s="28">
        <f>IFERROR(LN(Y196)/(LN(W196)+LN(X196)+LN(Y196)+LN(Z196)+LN(AA196)+LN(AB196)+LN(AC196)+LN(AD196))*(AH196-V7_BASE_CPR),0)</f>
        <v/>
      </c>
      <c r="AL196" s="28">
        <f>IFERROR(LN(Z196)/(LN(W196)+LN(X196)+LN(Y196)+LN(Z196)+LN(AA196)+LN(AB196)+LN(AC196)+LN(AD196))*(AH196-V7_BASE_CPR),0)</f>
        <v/>
      </c>
      <c r="AM196" s="28">
        <f>IFERROR(LN(AA196)/(LN(W196)+LN(X196)+LN(Y196)+LN(Z196)+LN(AA196)+LN(AB196)+LN(AC196)+LN(AD196))*(AH196-V7_BASE_CPR),0)</f>
        <v/>
      </c>
      <c r="AN196" s="28">
        <f>IFERROR(LN(AB196)/(LN(W196)+LN(X196)+LN(Y196)+LN(Z196)+LN(AA196)+LN(AB196)+LN(AC196)+LN(AD196))*(AH196-V7_BASE_CPR),0)</f>
        <v/>
      </c>
      <c r="AO196" s="28">
        <f>IFERROR(LN(AC196)/(LN(W196)+LN(X196)+LN(Y196)+LN(Z196)+LN(AA196)+LN(AB196)+LN(AC196)+LN(AD196))*(AH196-V7_BASE_CPR),0)</f>
        <v/>
      </c>
      <c r="AP196" s="28">
        <f>IFERROR(LN(AD196)/(LN(W196)+LN(X196)+LN(Y196)+LN(Z196)+LN(AA196)+LN(AB196)+LN(AC196)+LN(AD196))*(AH196-V7_BASE_CPR),0)</f>
        <v/>
      </c>
      <c r="AQ196" s="29">
        <f>V7_BASE_CPR+SUM(AI196:AP196)-AH196</f>
        <v/>
      </c>
    </row>
    <row r="197">
      <c r="A197" s="2" t="inlineStr">
        <is>
          <t>3617XSMB3_000000003411253</t>
        </is>
      </c>
      <c r="B197" t="inlineStr">
        <is>
          <t>DWIGHT_PRE21</t>
        </is>
      </c>
      <c r="C197" s="2" t="inlineStr">
        <is>
          <t>3617XSMB3</t>
        </is>
      </c>
      <c r="D197" t="inlineStr">
        <is>
          <t>DWIGHT CAPITAL LLC</t>
        </is>
      </c>
      <c r="E197" t="inlineStr">
        <is>
          <t>223f</t>
        </is>
      </c>
      <c r="F197" t="inlineStr">
        <is>
          <t>RP</t>
        </is>
      </c>
      <c r="G197" t="n">
        <v>2020</v>
      </c>
      <c r="H197" t="inlineStr">
        <is>
          <t>202602</t>
        </is>
      </c>
      <c r="I197" s="22" t="n">
        <v>9700016.130000001</v>
      </c>
      <c r="J197" s="23" t="n">
        <v>3.44</v>
      </c>
      <c r="K197" s="24" t="n">
        <v>447</v>
      </c>
      <c r="L197" s="24" t="n">
        <v>10</v>
      </c>
      <c r="M197" t="n">
        <v>65</v>
      </c>
      <c r="N197" s="25" t="n">
        <v>2</v>
      </c>
      <c r="O197" t="n">
        <v>205510</v>
      </c>
      <c r="P197" t="n">
        <v>202203</v>
      </c>
      <c r="Q197" t="inlineStr">
        <is>
          <t>4398</t>
        </is>
      </c>
      <c r="R197" s="26" t="n">
        <v>0.03076923076923077</v>
      </c>
      <c r="S197" t="n">
        <v>0</v>
      </c>
      <c r="T197" s="23">
        <f>LN(1+I197)</f>
        <v/>
      </c>
      <c r="U197" s="24">
        <f>J197*100-K197</f>
        <v/>
      </c>
      <c r="V197" s="24">
        <f>U197-12.5*(L197+1)</f>
        <v/>
      </c>
      <c r="W197" s="26">
        <f>IF(M197&lt;=V7_AGE_KNOT_X_0,V7_AGE_KNOT_Y_0,IF(M197&gt;=V7_AGE_KNOT_X_5,V7_AGE_KNOT_Y_5,IF(M197&lt;=V7_AGE_KNOT_X_1,V7_AGE_KNOT_Y_0+(M197-V7_AGE_KNOT_X_0)/(V7_AGE_KNOT_X_1-V7_AGE_KNOT_X_0)*(V7_AGE_KNOT_Y_1-V7_AGE_KNOT_Y_0),IF(M197&lt;=V7_AGE_KNOT_X_2,V7_AGE_KNOT_Y_1+(M197-V7_AGE_KNOT_X_1)/(V7_AGE_KNOT_X_2-V7_AGE_KNOT_X_1)*(V7_AGE_KNOT_Y_2-V7_AGE_KNOT_Y_1),IF(M197&lt;=V7_AGE_KNOT_X_3,V7_AGE_KNOT_Y_2+(M197-V7_AGE_KNOT_X_2)/(V7_AGE_KNOT_X_3-V7_AGE_KNOT_X_2)*(V7_AGE_KNOT_Y_3-V7_AGE_KNOT_Y_2),IF(M197&lt;=V7_AGE_KNOT_X_4,V7_AGE_KNOT_Y_3+(M197-V7_AGE_KNOT_X_3)/(V7_AGE_KNOT_X_4-V7_AGE_KNOT_X_3)*(V7_AGE_KNOT_Y_4-V7_AGE_KNOT_Y_3),V7_AGE_KNOT_Y_4+(M197-V7_AGE_KNOT_X_4)/(V7_AGE_KNOT_X_5-V7_AGE_KNOT_X_4)*(V7_AGE_KNOT_Y_5-V7_AGE_KNOT_Y_4)))))))</f>
        <v/>
      </c>
      <c r="X197" s="26">
        <f>V7_RATE_FLOOR+V7_RATE_ASYMPTOTE/(1+EXP(-(V197-V7_RATE_MID)/V7_RATE_SLOPE))</f>
        <v/>
      </c>
      <c r="Y197" s="26">
        <f>MAX(V7_SIZE_LOW,MIN(V7_SIZE_HIGH,V7_SIZE_INTERCEPT+V7_SIZE_SLOPE*(T197-V7_SIZE_LOG_ANCHOR)))</f>
        <v/>
      </c>
      <c r="Z197" s="26">
        <f>IF(ISNUMBER(SEARCH("232",E197)),VLOOKUP("232",V7_PROGRAM_TABLE,2,FALSE),IF(ISNUMBER(SEARCH("538",E197)),VLOOKUP("538",V7_PROGRAM_TABLE,2,FALSE),IF(ISNUMBER(SEARCH("223a7",E197)),VLOOKUP("223a7",V7_PROGRAM_TABLE,2,FALSE),IF(ISNUMBER(SEARCH("223f",E197)),VLOOKUP("223f",V7_PROGRAM_TABLE,2,FALSE),V7_PROGRAM_DEFAULT))))</f>
        <v/>
      </c>
      <c r="AA197" s="26">
        <f>IF(S197=1,1+V7_PURPOSE_NC_BUMP*MAX(0,1-ABS(M197-V7_PURPOSE_PEAK_AGE)/V7_PURPOSE_WIDTH),1)</f>
        <v/>
      </c>
      <c r="AB197" s="26">
        <f>IF(AND(IF(OR(P197="",NOT(ISNUMBER(P197))),0,MAX(0,MIN(24,(INT(VALUE(H197)/100)-INT(P197/100))*12+MOD(VALUE(H197),100)-MOD(P197,100))))&gt;0,IF(OR(P197="",NOT(ISNUMBER(P197))),0,MAX(0,MIN(24,(INT(VALUE(H197)/100)-INT(P197/100))*12+MOD(VALUE(H197),100)-MOD(P197,100))))&lt;=12),1+V7_LOCKOUT_AMP*EXP(-(IF(OR(P197="",NOT(ISNUMBER(P197))),0,MAX(0,MIN(24,(INT(VALUE(H197)/100)-INT(P197/100))*12+MOD(VALUE(H197),100)-MOD(P197,100)))))/V7_LOCKOUT_TAU),1)</f>
        <v/>
      </c>
      <c r="AC197" s="26">
        <f>IF(IF(OR(O197="",NOT(ISNUMBER(O197))),360,MAX(0,MIN(480,(INT(O197/100)-INT(VALUE(H197)/100))*12+MOD(O197,100)-MOD(VALUE(H197),100))))&gt;0,1+V7_MTY_AMP*MAX(0,(V7_MTY_CUTOFF-(IF(OR(O197="",NOT(ISNUMBER(O197))),360,MAX(0,MIN(480,(INT(O197/100)-INT(VALUE(H197)/100))*12+MOD(O197,100)-MOD(VALUE(H197),100))))))/V7_MTY_CUTOFF),1)</f>
        <v/>
      </c>
      <c r="AD197" s="26">
        <f>MAX(V7_BURN_FLOOR,1-V7_BURN_SLOPE*MIN(1,MAX(0,R197)))</f>
        <v/>
      </c>
      <c r="AE197" s="26">
        <f>IF(V7_USE_ISSUER=1,IFERROR(VLOOKUP(Q197,V7_ISSUER_TABLE,3,FALSE),1),1)</f>
        <v/>
      </c>
      <c r="AF197" s="26">
        <f>PRODUCT(W197:AE197)</f>
        <v/>
      </c>
      <c r="AG197" s="27">
        <f>MIN(V7_BASE_SMM*AF197,V7_SMM_CAP)</f>
        <v/>
      </c>
      <c r="AH197" s="28">
        <f>1-(1-AG197)^12</f>
        <v/>
      </c>
      <c r="AI197" s="28">
        <f>IFERROR(LN(W197)/(LN(W197)+LN(X197)+LN(Y197)+LN(Z197)+LN(AA197)+LN(AB197)+LN(AC197)+LN(AD197))*(AH197-V7_BASE_CPR),0)</f>
        <v/>
      </c>
      <c r="AJ197" s="28">
        <f>IFERROR(LN(X197)/(LN(W197)+LN(X197)+LN(Y197)+LN(Z197)+LN(AA197)+LN(AB197)+LN(AC197)+LN(AD197))*(AH197-V7_BASE_CPR),0)</f>
        <v/>
      </c>
      <c r="AK197" s="28">
        <f>IFERROR(LN(Y197)/(LN(W197)+LN(X197)+LN(Y197)+LN(Z197)+LN(AA197)+LN(AB197)+LN(AC197)+LN(AD197))*(AH197-V7_BASE_CPR),0)</f>
        <v/>
      </c>
      <c r="AL197" s="28">
        <f>IFERROR(LN(Z197)/(LN(W197)+LN(X197)+LN(Y197)+LN(Z197)+LN(AA197)+LN(AB197)+LN(AC197)+LN(AD197))*(AH197-V7_BASE_CPR),0)</f>
        <v/>
      </c>
      <c r="AM197" s="28">
        <f>IFERROR(LN(AA197)/(LN(W197)+LN(X197)+LN(Y197)+LN(Z197)+LN(AA197)+LN(AB197)+LN(AC197)+LN(AD197))*(AH197-V7_BASE_CPR),0)</f>
        <v/>
      </c>
      <c r="AN197" s="28">
        <f>IFERROR(LN(AB197)/(LN(W197)+LN(X197)+LN(Y197)+LN(Z197)+LN(AA197)+LN(AB197)+LN(AC197)+LN(AD197))*(AH197-V7_BASE_CPR),0)</f>
        <v/>
      </c>
      <c r="AO197" s="28">
        <f>IFERROR(LN(AC197)/(LN(W197)+LN(X197)+LN(Y197)+LN(Z197)+LN(AA197)+LN(AB197)+LN(AC197)+LN(AD197))*(AH197-V7_BASE_CPR),0)</f>
        <v/>
      </c>
      <c r="AP197" s="28">
        <f>IFERROR(LN(AD197)/(LN(W197)+LN(X197)+LN(Y197)+LN(Z197)+LN(AA197)+LN(AB197)+LN(AC197)+LN(AD197))*(AH197-V7_BASE_CPR),0)</f>
        <v/>
      </c>
      <c r="AQ197" s="29">
        <f>V7_BASE_CPR+SUM(AI197:AP197)-AH197</f>
        <v/>
      </c>
    </row>
    <row r="198">
      <c r="A198" s="2" t="inlineStr">
        <is>
          <t>3618B0HC0_000000003111184</t>
        </is>
      </c>
      <c r="B198" t="inlineStr">
        <is>
          <t>DWIGHT_POST21</t>
        </is>
      </c>
      <c r="C198" s="2" t="inlineStr">
        <is>
          <t>3618B0HC0</t>
        </is>
      </c>
      <c r="D198" t="inlineStr">
        <is>
          <t>DWIGHT CAPITAL LLC</t>
        </is>
      </c>
      <c r="E198" t="inlineStr">
        <is>
          <t>223f</t>
        </is>
      </c>
      <c r="F198" t="inlineStr">
        <is>
          <t>RP</t>
        </is>
      </c>
      <c r="G198" t="n">
        <v>2023</v>
      </c>
      <c r="H198" t="inlineStr">
        <is>
          <t>202602</t>
        </is>
      </c>
      <c r="I198" s="22" t="n">
        <v>8650633.77</v>
      </c>
      <c r="J198" s="23" t="n">
        <v>5.73</v>
      </c>
      <c r="K198" s="24" t="n">
        <v>447</v>
      </c>
      <c r="L198" s="24" t="n">
        <v>9</v>
      </c>
      <c r="M198" t="n">
        <v>30</v>
      </c>
      <c r="N198" s="25" t="n">
        <v>13</v>
      </c>
      <c r="O198" t="n">
        <v>205809</v>
      </c>
      <c r="P198" t="inlineStr"/>
      <c r="Q198" t="inlineStr">
        <is>
          <t>4398</t>
        </is>
      </c>
      <c r="R198" s="26" t="n">
        <v>0.4333333333333333</v>
      </c>
      <c r="S198" t="n">
        <v>0</v>
      </c>
      <c r="T198" s="23">
        <f>LN(1+I198)</f>
        <v/>
      </c>
      <c r="U198" s="24">
        <f>J198*100-K198</f>
        <v/>
      </c>
      <c r="V198" s="24">
        <f>U198-12.5*(L198+1)</f>
        <v/>
      </c>
      <c r="W198" s="26">
        <f>IF(M198&lt;=V7_AGE_KNOT_X_0,V7_AGE_KNOT_Y_0,IF(M198&gt;=V7_AGE_KNOT_X_5,V7_AGE_KNOT_Y_5,IF(M198&lt;=V7_AGE_KNOT_X_1,V7_AGE_KNOT_Y_0+(M198-V7_AGE_KNOT_X_0)/(V7_AGE_KNOT_X_1-V7_AGE_KNOT_X_0)*(V7_AGE_KNOT_Y_1-V7_AGE_KNOT_Y_0),IF(M198&lt;=V7_AGE_KNOT_X_2,V7_AGE_KNOT_Y_1+(M198-V7_AGE_KNOT_X_1)/(V7_AGE_KNOT_X_2-V7_AGE_KNOT_X_1)*(V7_AGE_KNOT_Y_2-V7_AGE_KNOT_Y_1),IF(M198&lt;=V7_AGE_KNOT_X_3,V7_AGE_KNOT_Y_2+(M198-V7_AGE_KNOT_X_2)/(V7_AGE_KNOT_X_3-V7_AGE_KNOT_X_2)*(V7_AGE_KNOT_Y_3-V7_AGE_KNOT_Y_2),IF(M198&lt;=V7_AGE_KNOT_X_4,V7_AGE_KNOT_Y_3+(M198-V7_AGE_KNOT_X_3)/(V7_AGE_KNOT_X_4-V7_AGE_KNOT_X_3)*(V7_AGE_KNOT_Y_4-V7_AGE_KNOT_Y_3),V7_AGE_KNOT_Y_4+(M198-V7_AGE_KNOT_X_4)/(V7_AGE_KNOT_X_5-V7_AGE_KNOT_X_4)*(V7_AGE_KNOT_Y_5-V7_AGE_KNOT_Y_4)))))))</f>
        <v/>
      </c>
      <c r="X198" s="26">
        <f>V7_RATE_FLOOR+V7_RATE_ASYMPTOTE/(1+EXP(-(V198-V7_RATE_MID)/V7_RATE_SLOPE))</f>
        <v/>
      </c>
      <c r="Y198" s="26">
        <f>MAX(V7_SIZE_LOW,MIN(V7_SIZE_HIGH,V7_SIZE_INTERCEPT+V7_SIZE_SLOPE*(T198-V7_SIZE_LOG_ANCHOR)))</f>
        <v/>
      </c>
      <c r="Z198" s="26">
        <f>IF(ISNUMBER(SEARCH("232",E198)),VLOOKUP("232",V7_PROGRAM_TABLE,2,FALSE),IF(ISNUMBER(SEARCH("538",E198)),VLOOKUP("538",V7_PROGRAM_TABLE,2,FALSE),IF(ISNUMBER(SEARCH("223a7",E198)),VLOOKUP("223a7",V7_PROGRAM_TABLE,2,FALSE),IF(ISNUMBER(SEARCH("223f",E198)),VLOOKUP("223f",V7_PROGRAM_TABLE,2,FALSE),V7_PROGRAM_DEFAULT))))</f>
        <v/>
      </c>
      <c r="AA198" s="26">
        <f>IF(S198=1,1+V7_PURPOSE_NC_BUMP*MAX(0,1-ABS(M198-V7_PURPOSE_PEAK_AGE)/V7_PURPOSE_WIDTH),1)</f>
        <v/>
      </c>
      <c r="AB198" s="26">
        <f>IF(AND(IF(OR(P198="",NOT(ISNUMBER(P198))),0,MAX(0,MIN(24,(INT(VALUE(H198)/100)-INT(P198/100))*12+MOD(VALUE(H198),100)-MOD(P198,100))))&gt;0,IF(OR(P198="",NOT(ISNUMBER(P198))),0,MAX(0,MIN(24,(INT(VALUE(H198)/100)-INT(P198/100))*12+MOD(VALUE(H198),100)-MOD(P198,100))))&lt;=12),1+V7_LOCKOUT_AMP*EXP(-(IF(OR(P198="",NOT(ISNUMBER(P198))),0,MAX(0,MIN(24,(INT(VALUE(H198)/100)-INT(P198/100))*12+MOD(VALUE(H198),100)-MOD(P198,100)))))/V7_LOCKOUT_TAU),1)</f>
        <v/>
      </c>
      <c r="AC198" s="26">
        <f>IF(IF(OR(O198="",NOT(ISNUMBER(O198))),360,MAX(0,MIN(480,(INT(O198/100)-INT(VALUE(H198)/100))*12+MOD(O198,100)-MOD(VALUE(H198),100))))&gt;0,1+V7_MTY_AMP*MAX(0,(V7_MTY_CUTOFF-(IF(OR(O198="",NOT(ISNUMBER(O198))),360,MAX(0,MIN(480,(INT(O198/100)-INT(VALUE(H198)/100))*12+MOD(O198,100)-MOD(VALUE(H198),100))))))/V7_MTY_CUTOFF),1)</f>
        <v/>
      </c>
      <c r="AD198" s="26">
        <f>MAX(V7_BURN_FLOOR,1-V7_BURN_SLOPE*MIN(1,MAX(0,R198)))</f>
        <v/>
      </c>
      <c r="AE198" s="26">
        <f>IF(V7_USE_ISSUER=1,IFERROR(VLOOKUP(Q198,V7_ISSUER_TABLE,3,FALSE),1),1)</f>
        <v/>
      </c>
      <c r="AF198" s="26">
        <f>PRODUCT(W198:AE198)</f>
        <v/>
      </c>
      <c r="AG198" s="27">
        <f>MIN(V7_BASE_SMM*AF198,V7_SMM_CAP)</f>
        <v/>
      </c>
      <c r="AH198" s="28">
        <f>1-(1-AG198)^12</f>
        <v/>
      </c>
      <c r="AI198" s="28">
        <f>IFERROR(LN(W198)/(LN(W198)+LN(X198)+LN(Y198)+LN(Z198)+LN(AA198)+LN(AB198)+LN(AC198)+LN(AD198))*(AH198-V7_BASE_CPR),0)</f>
        <v/>
      </c>
      <c r="AJ198" s="28">
        <f>IFERROR(LN(X198)/(LN(W198)+LN(X198)+LN(Y198)+LN(Z198)+LN(AA198)+LN(AB198)+LN(AC198)+LN(AD198))*(AH198-V7_BASE_CPR),0)</f>
        <v/>
      </c>
      <c r="AK198" s="28">
        <f>IFERROR(LN(Y198)/(LN(W198)+LN(X198)+LN(Y198)+LN(Z198)+LN(AA198)+LN(AB198)+LN(AC198)+LN(AD198))*(AH198-V7_BASE_CPR),0)</f>
        <v/>
      </c>
      <c r="AL198" s="28">
        <f>IFERROR(LN(Z198)/(LN(W198)+LN(X198)+LN(Y198)+LN(Z198)+LN(AA198)+LN(AB198)+LN(AC198)+LN(AD198))*(AH198-V7_BASE_CPR),0)</f>
        <v/>
      </c>
      <c r="AM198" s="28">
        <f>IFERROR(LN(AA198)/(LN(W198)+LN(X198)+LN(Y198)+LN(Z198)+LN(AA198)+LN(AB198)+LN(AC198)+LN(AD198))*(AH198-V7_BASE_CPR),0)</f>
        <v/>
      </c>
      <c r="AN198" s="28">
        <f>IFERROR(LN(AB198)/(LN(W198)+LN(X198)+LN(Y198)+LN(Z198)+LN(AA198)+LN(AB198)+LN(AC198)+LN(AD198))*(AH198-V7_BASE_CPR),0)</f>
        <v/>
      </c>
      <c r="AO198" s="28">
        <f>IFERROR(LN(AC198)/(LN(W198)+LN(X198)+LN(Y198)+LN(Z198)+LN(AA198)+LN(AB198)+LN(AC198)+LN(AD198))*(AH198-V7_BASE_CPR),0)</f>
        <v/>
      </c>
      <c r="AP198" s="28">
        <f>IFERROR(LN(AD198)/(LN(W198)+LN(X198)+LN(Y198)+LN(Z198)+LN(AA198)+LN(AB198)+LN(AC198)+LN(AD198))*(AH198-V7_BASE_CPR),0)</f>
        <v/>
      </c>
      <c r="AQ198" s="29">
        <f>V7_BASE_CPR+SUM(AI198:AP198)-AH198</f>
        <v/>
      </c>
    </row>
    <row r="199">
      <c r="A199" s="2" t="inlineStr">
        <is>
          <t>3617UEVW1_000000008235469</t>
        </is>
      </c>
      <c r="B199" t="inlineStr">
        <is>
          <t>DWIGHT_PRE21</t>
        </is>
      </c>
      <c r="C199" s="2" t="inlineStr">
        <is>
          <t>3617UEVW1</t>
        </is>
      </c>
      <c r="D199" t="inlineStr">
        <is>
          <t>DWIGHT CAPITAL LLC</t>
        </is>
      </c>
      <c r="E199" t="inlineStr">
        <is>
          <t>221d4</t>
        </is>
      </c>
      <c r="F199" t="inlineStr">
        <is>
          <t>RP</t>
        </is>
      </c>
      <c r="G199" t="n">
        <v>2016</v>
      </c>
      <c r="H199" t="inlineStr">
        <is>
          <t>202602</t>
        </is>
      </c>
      <c r="I199" s="22" t="n">
        <v>5477997.66</v>
      </c>
      <c r="J199" s="23" t="n">
        <v>2.95</v>
      </c>
      <c r="K199" s="24" t="n">
        <v>447</v>
      </c>
      <c r="L199" s="24" t="n">
        <v>5</v>
      </c>
      <c r="M199" t="n">
        <v>116</v>
      </c>
      <c r="N199" s="25" t="n">
        <v>1</v>
      </c>
      <c r="O199" t="n">
        <v>205607</v>
      </c>
      <c r="P199" t="inlineStr"/>
      <c r="Q199" t="inlineStr">
        <is>
          <t>4398</t>
        </is>
      </c>
      <c r="R199" s="26" t="n">
        <v>0.008620689655172414</v>
      </c>
      <c r="S199" t="n">
        <v>0</v>
      </c>
      <c r="T199" s="23">
        <f>LN(1+I199)</f>
        <v/>
      </c>
      <c r="U199" s="24">
        <f>J199*100-K199</f>
        <v/>
      </c>
      <c r="V199" s="24">
        <f>U199-12.5*(L199+1)</f>
        <v/>
      </c>
      <c r="W199" s="26">
        <f>IF(M199&lt;=V7_AGE_KNOT_X_0,V7_AGE_KNOT_Y_0,IF(M199&gt;=V7_AGE_KNOT_X_5,V7_AGE_KNOT_Y_5,IF(M199&lt;=V7_AGE_KNOT_X_1,V7_AGE_KNOT_Y_0+(M199-V7_AGE_KNOT_X_0)/(V7_AGE_KNOT_X_1-V7_AGE_KNOT_X_0)*(V7_AGE_KNOT_Y_1-V7_AGE_KNOT_Y_0),IF(M199&lt;=V7_AGE_KNOT_X_2,V7_AGE_KNOT_Y_1+(M199-V7_AGE_KNOT_X_1)/(V7_AGE_KNOT_X_2-V7_AGE_KNOT_X_1)*(V7_AGE_KNOT_Y_2-V7_AGE_KNOT_Y_1),IF(M199&lt;=V7_AGE_KNOT_X_3,V7_AGE_KNOT_Y_2+(M199-V7_AGE_KNOT_X_2)/(V7_AGE_KNOT_X_3-V7_AGE_KNOT_X_2)*(V7_AGE_KNOT_Y_3-V7_AGE_KNOT_Y_2),IF(M199&lt;=V7_AGE_KNOT_X_4,V7_AGE_KNOT_Y_3+(M199-V7_AGE_KNOT_X_3)/(V7_AGE_KNOT_X_4-V7_AGE_KNOT_X_3)*(V7_AGE_KNOT_Y_4-V7_AGE_KNOT_Y_3),V7_AGE_KNOT_Y_4+(M199-V7_AGE_KNOT_X_4)/(V7_AGE_KNOT_X_5-V7_AGE_KNOT_X_4)*(V7_AGE_KNOT_Y_5-V7_AGE_KNOT_Y_4)))))))</f>
        <v/>
      </c>
      <c r="X199" s="26">
        <f>V7_RATE_FLOOR+V7_RATE_ASYMPTOTE/(1+EXP(-(V199-V7_RATE_MID)/V7_RATE_SLOPE))</f>
        <v/>
      </c>
      <c r="Y199" s="26">
        <f>MAX(V7_SIZE_LOW,MIN(V7_SIZE_HIGH,V7_SIZE_INTERCEPT+V7_SIZE_SLOPE*(T199-V7_SIZE_LOG_ANCHOR)))</f>
        <v/>
      </c>
      <c r="Z199" s="26">
        <f>IF(ISNUMBER(SEARCH("232",E199)),VLOOKUP("232",V7_PROGRAM_TABLE,2,FALSE),IF(ISNUMBER(SEARCH("538",E199)),VLOOKUP("538",V7_PROGRAM_TABLE,2,FALSE),IF(ISNUMBER(SEARCH("223a7",E199)),VLOOKUP("223a7",V7_PROGRAM_TABLE,2,FALSE),IF(ISNUMBER(SEARCH("223f",E199)),VLOOKUP("223f",V7_PROGRAM_TABLE,2,FALSE),V7_PROGRAM_DEFAULT))))</f>
        <v/>
      </c>
      <c r="AA199" s="26">
        <f>IF(S199=1,1+V7_PURPOSE_NC_BUMP*MAX(0,1-ABS(M199-V7_PURPOSE_PEAK_AGE)/V7_PURPOSE_WIDTH),1)</f>
        <v/>
      </c>
      <c r="AB199" s="26">
        <f>IF(AND(IF(OR(P199="",NOT(ISNUMBER(P199))),0,MAX(0,MIN(24,(INT(VALUE(H199)/100)-INT(P199/100))*12+MOD(VALUE(H199),100)-MOD(P199,100))))&gt;0,IF(OR(P199="",NOT(ISNUMBER(P199))),0,MAX(0,MIN(24,(INT(VALUE(H199)/100)-INT(P199/100))*12+MOD(VALUE(H199),100)-MOD(P199,100))))&lt;=12),1+V7_LOCKOUT_AMP*EXP(-(IF(OR(P199="",NOT(ISNUMBER(P199))),0,MAX(0,MIN(24,(INT(VALUE(H199)/100)-INT(P199/100))*12+MOD(VALUE(H199),100)-MOD(P199,100)))))/V7_LOCKOUT_TAU),1)</f>
        <v/>
      </c>
      <c r="AC199" s="26">
        <f>IF(IF(OR(O199="",NOT(ISNUMBER(O199))),360,MAX(0,MIN(480,(INT(O199/100)-INT(VALUE(H199)/100))*12+MOD(O199,100)-MOD(VALUE(H199),100))))&gt;0,1+V7_MTY_AMP*MAX(0,(V7_MTY_CUTOFF-(IF(OR(O199="",NOT(ISNUMBER(O199))),360,MAX(0,MIN(480,(INT(O199/100)-INT(VALUE(H199)/100))*12+MOD(O199,100)-MOD(VALUE(H199),100))))))/V7_MTY_CUTOFF),1)</f>
        <v/>
      </c>
      <c r="AD199" s="26">
        <f>MAX(V7_BURN_FLOOR,1-V7_BURN_SLOPE*MIN(1,MAX(0,R199)))</f>
        <v/>
      </c>
      <c r="AE199" s="26">
        <f>IF(V7_USE_ISSUER=1,IFERROR(VLOOKUP(Q199,V7_ISSUER_TABLE,3,FALSE),1),1)</f>
        <v/>
      </c>
      <c r="AF199" s="26">
        <f>PRODUCT(W199:AE199)</f>
        <v/>
      </c>
      <c r="AG199" s="27">
        <f>MIN(V7_BASE_SMM*AF199,V7_SMM_CAP)</f>
        <v/>
      </c>
      <c r="AH199" s="28">
        <f>1-(1-AG199)^12</f>
        <v/>
      </c>
      <c r="AI199" s="28">
        <f>IFERROR(LN(W199)/(LN(W199)+LN(X199)+LN(Y199)+LN(Z199)+LN(AA199)+LN(AB199)+LN(AC199)+LN(AD199))*(AH199-V7_BASE_CPR),0)</f>
        <v/>
      </c>
      <c r="AJ199" s="28">
        <f>IFERROR(LN(X199)/(LN(W199)+LN(X199)+LN(Y199)+LN(Z199)+LN(AA199)+LN(AB199)+LN(AC199)+LN(AD199))*(AH199-V7_BASE_CPR),0)</f>
        <v/>
      </c>
      <c r="AK199" s="28">
        <f>IFERROR(LN(Y199)/(LN(W199)+LN(X199)+LN(Y199)+LN(Z199)+LN(AA199)+LN(AB199)+LN(AC199)+LN(AD199))*(AH199-V7_BASE_CPR),0)</f>
        <v/>
      </c>
      <c r="AL199" s="28">
        <f>IFERROR(LN(Z199)/(LN(W199)+LN(X199)+LN(Y199)+LN(Z199)+LN(AA199)+LN(AB199)+LN(AC199)+LN(AD199))*(AH199-V7_BASE_CPR),0)</f>
        <v/>
      </c>
      <c r="AM199" s="28">
        <f>IFERROR(LN(AA199)/(LN(W199)+LN(X199)+LN(Y199)+LN(Z199)+LN(AA199)+LN(AB199)+LN(AC199)+LN(AD199))*(AH199-V7_BASE_CPR),0)</f>
        <v/>
      </c>
      <c r="AN199" s="28">
        <f>IFERROR(LN(AB199)/(LN(W199)+LN(X199)+LN(Y199)+LN(Z199)+LN(AA199)+LN(AB199)+LN(AC199)+LN(AD199))*(AH199-V7_BASE_CPR),0)</f>
        <v/>
      </c>
      <c r="AO199" s="28">
        <f>IFERROR(LN(AC199)/(LN(W199)+LN(X199)+LN(Y199)+LN(Z199)+LN(AA199)+LN(AB199)+LN(AC199)+LN(AD199))*(AH199-V7_BASE_CPR),0)</f>
        <v/>
      </c>
      <c r="AP199" s="28">
        <f>IFERROR(LN(AD199)/(LN(W199)+LN(X199)+LN(Y199)+LN(Z199)+LN(AA199)+LN(AB199)+LN(AC199)+LN(AD199))*(AH199-V7_BASE_CPR),0)</f>
        <v/>
      </c>
      <c r="AQ199" s="29">
        <f>V7_BASE_CPR+SUM(AI199:AP199)-AH199</f>
        <v/>
      </c>
    </row>
    <row r="200">
      <c r="A200" s="2" t="inlineStr">
        <is>
          <t>3617UEVT8_000000008311211</t>
        </is>
      </c>
      <c r="B200" t="inlineStr">
        <is>
          <t>DWIGHT_PRE21</t>
        </is>
      </c>
      <c r="C200" s="2" t="inlineStr">
        <is>
          <t>3617UEVT8</t>
        </is>
      </c>
      <c r="D200" t="inlineStr">
        <is>
          <t>DWIGHT CAPITAL LLC</t>
        </is>
      </c>
      <c r="E200" t="inlineStr">
        <is>
          <t>223f</t>
        </is>
      </c>
      <c r="F200" t="inlineStr">
        <is>
          <t>RP</t>
        </is>
      </c>
      <c r="G200" t="n">
        <v>2020</v>
      </c>
      <c r="H200" t="inlineStr">
        <is>
          <t>202602</t>
        </is>
      </c>
      <c r="I200" s="22" t="n">
        <v>968359.23</v>
      </c>
      <c r="J200" s="23" t="n">
        <v>2.39</v>
      </c>
      <c r="K200" s="24" t="n">
        <v>447</v>
      </c>
      <c r="L200" s="24" t="n">
        <v>5</v>
      </c>
      <c r="M200" t="n">
        <v>62</v>
      </c>
      <c r="N200" s="25" t="n">
        <v>0</v>
      </c>
      <c r="O200" t="n">
        <v>205601</v>
      </c>
      <c r="P200" t="inlineStr"/>
      <c r="Q200" t="inlineStr">
        <is>
          <t>4398</t>
        </is>
      </c>
      <c r="R200" s="26" t="n">
        <v>0</v>
      </c>
      <c r="S200" t="n">
        <v>0</v>
      </c>
      <c r="T200" s="23">
        <f>LN(1+I200)</f>
        <v/>
      </c>
      <c r="U200" s="24">
        <f>J200*100-K200</f>
        <v/>
      </c>
      <c r="V200" s="24">
        <f>U200-12.5*(L200+1)</f>
        <v/>
      </c>
      <c r="W200" s="26">
        <f>IF(M200&lt;=V7_AGE_KNOT_X_0,V7_AGE_KNOT_Y_0,IF(M200&gt;=V7_AGE_KNOT_X_5,V7_AGE_KNOT_Y_5,IF(M200&lt;=V7_AGE_KNOT_X_1,V7_AGE_KNOT_Y_0+(M200-V7_AGE_KNOT_X_0)/(V7_AGE_KNOT_X_1-V7_AGE_KNOT_X_0)*(V7_AGE_KNOT_Y_1-V7_AGE_KNOT_Y_0),IF(M200&lt;=V7_AGE_KNOT_X_2,V7_AGE_KNOT_Y_1+(M200-V7_AGE_KNOT_X_1)/(V7_AGE_KNOT_X_2-V7_AGE_KNOT_X_1)*(V7_AGE_KNOT_Y_2-V7_AGE_KNOT_Y_1),IF(M200&lt;=V7_AGE_KNOT_X_3,V7_AGE_KNOT_Y_2+(M200-V7_AGE_KNOT_X_2)/(V7_AGE_KNOT_X_3-V7_AGE_KNOT_X_2)*(V7_AGE_KNOT_Y_3-V7_AGE_KNOT_Y_2),IF(M200&lt;=V7_AGE_KNOT_X_4,V7_AGE_KNOT_Y_3+(M200-V7_AGE_KNOT_X_3)/(V7_AGE_KNOT_X_4-V7_AGE_KNOT_X_3)*(V7_AGE_KNOT_Y_4-V7_AGE_KNOT_Y_3),V7_AGE_KNOT_Y_4+(M200-V7_AGE_KNOT_X_4)/(V7_AGE_KNOT_X_5-V7_AGE_KNOT_X_4)*(V7_AGE_KNOT_Y_5-V7_AGE_KNOT_Y_4)))))))</f>
        <v/>
      </c>
      <c r="X200" s="26">
        <f>V7_RATE_FLOOR+V7_RATE_ASYMPTOTE/(1+EXP(-(V200-V7_RATE_MID)/V7_RATE_SLOPE))</f>
        <v/>
      </c>
      <c r="Y200" s="26">
        <f>MAX(V7_SIZE_LOW,MIN(V7_SIZE_HIGH,V7_SIZE_INTERCEPT+V7_SIZE_SLOPE*(T200-V7_SIZE_LOG_ANCHOR)))</f>
        <v/>
      </c>
      <c r="Z200" s="26">
        <f>IF(ISNUMBER(SEARCH("232",E200)),VLOOKUP("232",V7_PROGRAM_TABLE,2,FALSE),IF(ISNUMBER(SEARCH("538",E200)),VLOOKUP("538",V7_PROGRAM_TABLE,2,FALSE),IF(ISNUMBER(SEARCH("223a7",E200)),VLOOKUP("223a7",V7_PROGRAM_TABLE,2,FALSE),IF(ISNUMBER(SEARCH("223f",E200)),VLOOKUP("223f",V7_PROGRAM_TABLE,2,FALSE),V7_PROGRAM_DEFAULT))))</f>
        <v/>
      </c>
      <c r="AA200" s="26">
        <f>IF(S200=1,1+V7_PURPOSE_NC_BUMP*MAX(0,1-ABS(M200-V7_PURPOSE_PEAK_AGE)/V7_PURPOSE_WIDTH),1)</f>
        <v/>
      </c>
      <c r="AB200" s="26">
        <f>IF(AND(IF(OR(P200="",NOT(ISNUMBER(P200))),0,MAX(0,MIN(24,(INT(VALUE(H200)/100)-INT(P200/100))*12+MOD(VALUE(H200),100)-MOD(P200,100))))&gt;0,IF(OR(P200="",NOT(ISNUMBER(P200))),0,MAX(0,MIN(24,(INT(VALUE(H200)/100)-INT(P200/100))*12+MOD(VALUE(H200),100)-MOD(P200,100))))&lt;=12),1+V7_LOCKOUT_AMP*EXP(-(IF(OR(P200="",NOT(ISNUMBER(P200))),0,MAX(0,MIN(24,(INT(VALUE(H200)/100)-INT(P200/100))*12+MOD(VALUE(H200),100)-MOD(P200,100)))))/V7_LOCKOUT_TAU),1)</f>
        <v/>
      </c>
      <c r="AC200" s="26">
        <f>IF(IF(OR(O200="",NOT(ISNUMBER(O200))),360,MAX(0,MIN(480,(INT(O200/100)-INT(VALUE(H200)/100))*12+MOD(O200,100)-MOD(VALUE(H200),100))))&gt;0,1+V7_MTY_AMP*MAX(0,(V7_MTY_CUTOFF-(IF(OR(O200="",NOT(ISNUMBER(O200))),360,MAX(0,MIN(480,(INT(O200/100)-INT(VALUE(H200)/100))*12+MOD(O200,100)-MOD(VALUE(H200),100))))))/V7_MTY_CUTOFF),1)</f>
        <v/>
      </c>
      <c r="AD200" s="26">
        <f>MAX(V7_BURN_FLOOR,1-V7_BURN_SLOPE*MIN(1,MAX(0,R200)))</f>
        <v/>
      </c>
      <c r="AE200" s="26">
        <f>IF(V7_USE_ISSUER=1,IFERROR(VLOOKUP(Q200,V7_ISSUER_TABLE,3,FALSE),1),1)</f>
        <v/>
      </c>
      <c r="AF200" s="26">
        <f>PRODUCT(W200:AE200)</f>
        <v/>
      </c>
      <c r="AG200" s="27">
        <f>MIN(V7_BASE_SMM*AF200,V7_SMM_CAP)</f>
        <v/>
      </c>
      <c r="AH200" s="28">
        <f>1-(1-AG200)^12</f>
        <v/>
      </c>
      <c r="AI200" s="28">
        <f>IFERROR(LN(W200)/(LN(W200)+LN(X200)+LN(Y200)+LN(Z200)+LN(AA200)+LN(AB200)+LN(AC200)+LN(AD200))*(AH200-V7_BASE_CPR),0)</f>
        <v/>
      </c>
      <c r="AJ200" s="28">
        <f>IFERROR(LN(X200)/(LN(W200)+LN(X200)+LN(Y200)+LN(Z200)+LN(AA200)+LN(AB200)+LN(AC200)+LN(AD200))*(AH200-V7_BASE_CPR),0)</f>
        <v/>
      </c>
      <c r="AK200" s="28">
        <f>IFERROR(LN(Y200)/(LN(W200)+LN(X200)+LN(Y200)+LN(Z200)+LN(AA200)+LN(AB200)+LN(AC200)+LN(AD200))*(AH200-V7_BASE_CPR),0)</f>
        <v/>
      </c>
      <c r="AL200" s="28">
        <f>IFERROR(LN(Z200)/(LN(W200)+LN(X200)+LN(Y200)+LN(Z200)+LN(AA200)+LN(AB200)+LN(AC200)+LN(AD200))*(AH200-V7_BASE_CPR),0)</f>
        <v/>
      </c>
      <c r="AM200" s="28">
        <f>IFERROR(LN(AA200)/(LN(W200)+LN(X200)+LN(Y200)+LN(Z200)+LN(AA200)+LN(AB200)+LN(AC200)+LN(AD200))*(AH200-V7_BASE_CPR),0)</f>
        <v/>
      </c>
      <c r="AN200" s="28">
        <f>IFERROR(LN(AB200)/(LN(W200)+LN(X200)+LN(Y200)+LN(Z200)+LN(AA200)+LN(AB200)+LN(AC200)+LN(AD200))*(AH200-V7_BASE_CPR),0)</f>
        <v/>
      </c>
      <c r="AO200" s="28">
        <f>IFERROR(LN(AC200)/(LN(W200)+LN(X200)+LN(Y200)+LN(Z200)+LN(AA200)+LN(AB200)+LN(AC200)+LN(AD200))*(AH200-V7_BASE_CPR),0)</f>
        <v/>
      </c>
      <c r="AP200" s="28">
        <f>IFERROR(LN(AD200)/(LN(W200)+LN(X200)+LN(Y200)+LN(Z200)+LN(AA200)+LN(AB200)+LN(AC200)+LN(AD200))*(AH200-V7_BASE_CPR),0)</f>
        <v/>
      </c>
      <c r="AQ200" s="29">
        <f>V7_BASE_CPR+SUM(AI200:AP200)-AH200</f>
        <v/>
      </c>
    </row>
    <row r="201">
      <c r="A201" s="2" t="inlineStr">
        <is>
          <t>3618B0H48_000000007522256</t>
        </is>
      </c>
      <c r="B201" t="inlineStr">
        <is>
          <t>DWIGHT_POST21</t>
        </is>
      </c>
      <c r="C201" s="2" t="inlineStr">
        <is>
          <t>3618B0H48</t>
        </is>
      </c>
      <c r="D201" t="inlineStr">
        <is>
          <t>DWIGHT CAPITAL LLC</t>
        </is>
      </c>
      <c r="E201" t="inlineStr">
        <is>
          <t>232</t>
        </is>
      </c>
      <c r="F201" t="inlineStr">
        <is>
          <t>RP</t>
        </is>
      </c>
      <c r="G201" t="n">
        <v>2023</v>
      </c>
      <c r="H201" t="inlineStr">
        <is>
          <t>202602</t>
        </is>
      </c>
      <c r="I201" s="22" t="n">
        <v>9048849.869999999</v>
      </c>
      <c r="J201" s="23" t="n">
        <v>5.81</v>
      </c>
      <c r="K201" s="24" t="n">
        <v>447</v>
      </c>
      <c r="L201" s="24" t="n">
        <v>9</v>
      </c>
      <c r="M201" t="n">
        <v>31</v>
      </c>
      <c r="N201" s="25" t="n">
        <v>12</v>
      </c>
      <c r="O201" t="n">
        <v>205308</v>
      </c>
      <c r="P201" t="inlineStr"/>
      <c r="Q201" t="inlineStr">
        <is>
          <t>4398</t>
        </is>
      </c>
      <c r="R201" s="26" t="n">
        <v>0.3870967741935484</v>
      </c>
      <c r="S201" t="n">
        <v>0</v>
      </c>
      <c r="T201" s="23">
        <f>LN(1+I201)</f>
        <v/>
      </c>
      <c r="U201" s="24">
        <f>J201*100-K201</f>
        <v/>
      </c>
      <c r="V201" s="24">
        <f>U201-12.5*(L201+1)</f>
        <v/>
      </c>
      <c r="W201" s="26">
        <f>IF(M201&lt;=V7_AGE_KNOT_X_0,V7_AGE_KNOT_Y_0,IF(M201&gt;=V7_AGE_KNOT_X_5,V7_AGE_KNOT_Y_5,IF(M201&lt;=V7_AGE_KNOT_X_1,V7_AGE_KNOT_Y_0+(M201-V7_AGE_KNOT_X_0)/(V7_AGE_KNOT_X_1-V7_AGE_KNOT_X_0)*(V7_AGE_KNOT_Y_1-V7_AGE_KNOT_Y_0),IF(M201&lt;=V7_AGE_KNOT_X_2,V7_AGE_KNOT_Y_1+(M201-V7_AGE_KNOT_X_1)/(V7_AGE_KNOT_X_2-V7_AGE_KNOT_X_1)*(V7_AGE_KNOT_Y_2-V7_AGE_KNOT_Y_1),IF(M201&lt;=V7_AGE_KNOT_X_3,V7_AGE_KNOT_Y_2+(M201-V7_AGE_KNOT_X_2)/(V7_AGE_KNOT_X_3-V7_AGE_KNOT_X_2)*(V7_AGE_KNOT_Y_3-V7_AGE_KNOT_Y_2),IF(M201&lt;=V7_AGE_KNOT_X_4,V7_AGE_KNOT_Y_3+(M201-V7_AGE_KNOT_X_3)/(V7_AGE_KNOT_X_4-V7_AGE_KNOT_X_3)*(V7_AGE_KNOT_Y_4-V7_AGE_KNOT_Y_3),V7_AGE_KNOT_Y_4+(M201-V7_AGE_KNOT_X_4)/(V7_AGE_KNOT_X_5-V7_AGE_KNOT_X_4)*(V7_AGE_KNOT_Y_5-V7_AGE_KNOT_Y_4)))))))</f>
        <v/>
      </c>
      <c r="X201" s="26">
        <f>V7_RATE_FLOOR+V7_RATE_ASYMPTOTE/(1+EXP(-(V201-V7_RATE_MID)/V7_RATE_SLOPE))</f>
        <v/>
      </c>
      <c r="Y201" s="26">
        <f>MAX(V7_SIZE_LOW,MIN(V7_SIZE_HIGH,V7_SIZE_INTERCEPT+V7_SIZE_SLOPE*(T201-V7_SIZE_LOG_ANCHOR)))</f>
        <v/>
      </c>
      <c r="Z201" s="26">
        <f>IF(ISNUMBER(SEARCH("232",E201)),VLOOKUP("232",V7_PROGRAM_TABLE,2,FALSE),IF(ISNUMBER(SEARCH("538",E201)),VLOOKUP("538",V7_PROGRAM_TABLE,2,FALSE),IF(ISNUMBER(SEARCH("223a7",E201)),VLOOKUP("223a7",V7_PROGRAM_TABLE,2,FALSE),IF(ISNUMBER(SEARCH("223f",E201)),VLOOKUP("223f",V7_PROGRAM_TABLE,2,FALSE),V7_PROGRAM_DEFAULT))))</f>
        <v/>
      </c>
      <c r="AA201" s="26">
        <f>IF(S201=1,1+V7_PURPOSE_NC_BUMP*MAX(0,1-ABS(M201-V7_PURPOSE_PEAK_AGE)/V7_PURPOSE_WIDTH),1)</f>
        <v/>
      </c>
      <c r="AB201" s="26">
        <f>IF(AND(IF(OR(P201="",NOT(ISNUMBER(P201))),0,MAX(0,MIN(24,(INT(VALUE(H201)/100)-INT(P201/100))*12+MOD(VALUE(H201),100)-MOD(P201,100))))&gt;0,IF(OR(P201="",NOT(ISNUMBER(P201))),0,MAX(0,MIN(24,(INT(VALUE(H201)/100)-INT(P201/100))*12+MOD(VALUE(H201),100)-MOD(P201,100))))&lt;=12),1+V7_LOCKOUT_AMP*EXP(-(IF(OR(P201="",NOT(ISNUMBER(P201))),0,MAX(0,MIN(24,(INT(VALUE(H201)/100)-INT(P201/100))*12+MOD(VALUE(H201),100)-MOD(P201,100)))))/V7_LOCKOUT_TAU),1)</f>
        <v/>
      </c>
      <c r="AC201" s="26">
        <f>IF(IF(OR(O201="",NOT(ISNUMBER(O201))),360,MAX(0,MIN(480,(INT(O201/100)-INT(VALUE(H201)/100))*12+MOD(O201,100)-MOD(VALUE(H201),100))))&gt;0,1+V7_MTY_AMP*MAX(0,(V7_MTY_CUTOFF-(IF(OR(O201="",NOT(ISNUMBER(O201))),360,MAX(0,MIN(480,(INT(O201/100)-INT(VALUE(H201)/100))*12+MOD(O201,100)-MOD(VALUE(H201),100))))))/V7_MTY_CUTOFF),1)</f>
        <v/>
      </c>
      <c r="AD201" s="26">
        <f>MAX(V7_BURN_FLOOR,1-V7_BURN_SLOPE*MIN(1,MAX(0,R201)))</f>
        <v/>
      </c>
      <c r="AE201" s="26">
        <f>IF(V7_USE_ISSUER=1,IFERROR(VLOOKUP(Q201,V7_ISSUER_TABLE,3,FALSE),1),1)</f>
        <v/>
      </c>
      <c r="AF201" s="26">
        <f>PRODUCT(W201:AE201)</f>
        <v/>
      </c>
      <c r="AG201" s="27">
        <f>MIN(V7_BASE_SMM*AF201,V7_SMM_CAP)</f>
        <v/>
      </c>
      <c r="AH201" s="28">
        <f>1-(1-AG201)^12</f>
        <v/>
      </c>
      <c r="AI201" s="28">
        <f>IFERROR(LN(W201)/(LN(W201)+LN(X201)+LN(Y201)+LN(Z201)+LN(AA201)+LN(AB201)+LN(AC201)+LN(AD201))*(AH201-V7_BASE_CPR),0)</f>
        <v/>
      </c>
      <c r="AJ201" s="28">
        <f>IFERROR(LN(X201)/(LN(W201)+LN(X201)+LN(Y201)+LN(Z201)+LN(AA201)+LN(AB201)+LN(AC201)+LN(AD201))*(AH201-V7_BASE_CPR),0)</f>
        <v/>
      </c>
      <c r="AK201" s="28">
        <f>IFERROR(LN(Y201)/(LN(W201)+LN(X201)+LN(Y201)+LN(Z201)+LN(AA201)+LN(AB201)+LN(AC201)+LN(AD201))*(AH201-V7_BASE_CPR),0)</f>
        <v/>
      </c>
      <c r="AL201" s="28">
        <f>IFERROR(LN(Z201)/(LN(W201)+LN(X201)+LN(Y201)+LN(Z201)+LN(AA201)+LN(AB201)+LN(AC201)+LN(AD201))*(AH201-V7_BASE_CPR),0)</f>
        <v/>
      </c>
      <c r="AM201" s="28">
        <f>IFERROR(LN(AA201)/(LN(W201)+LN(X201)+LN(Y201)+LN(Z201)+LN(AA201)+LN(AB201)+LN(AC201)+LN(AD201))*(AH201-V7_BASE_CPR),0)</f>
        <v/>
      </c>
      <c r="AN201" s="28">
        <f>IFERROR(LN(AB201)/(LN(W201)+LN(X201)+LN(Y201)+LN(Z201)+LN(AA201)+LN(AB201)+LN(AC201)+LN(AD201))*(AH201-V7_BASE_CPR),0)</f>
        <v/>
      </c>
      <c r="AO201" s="28">
        <f>IFERROR(LN(AC201)/(LN(W201)+LN(X201)+LN(Y201)+LN(Z201)+LN(AA201)+LN(AB201)+LN(AC201)+LN(AD201))*(AH201-V7_BASE_CPR),0)</f>
        <v/>
      </c>
      <c r="AP201" s="28">
        <f>IFERROR(LN(AD201)/(LN(W201)+LN(X201)+LN(Y201)+LN(Z201)+LN(AA201)+LN(AB201)+LN(AC201)+LN(AD201))*(AH201-V7_BASE_CPR),0)</f>
        <v/>
      </c>
      <c r="AQ201" s="29">
        <f>V7_BASE_CPR+SUM(AI201:AP201)-AH201</f>
        <v/>
      </c>
    </row>
    <row r="202">
      <c r="A202" s="2" t="inlineStr">
        <is>
          <t>3618GPKL6_000000007522267</t>
        </is>
      </c>
      <c r="B202" t="inlineStr">
        <is>
          <t>DWIGHT_POST21</t>
        </is>
      </c>
      <c r="C202" s="2" t="inlineStr">
        <is>
          <t>3618GPKL6</t>
        </is>
      </c>
      <c r="D202" t="inlineStr">
        <is>
          <t>DWIGHT CAPITAL LLC</t>
        </is>
      </c>
      <c r="E202" t="inlineStr">
        <is>
          <t>232</t>
        </is>
      </c>
      <c r="F202" t="inlineStr">
        <is>
          <t>RP</t>
        </is>
      </c>
      <c r="G202" t="n">
        <v>2024</v>
      </c>
      <c r="H202" t="inlineStr">
        <is>
          <t>202602</t>
        </is>
      </c>
      <c r="I202" s="22" t="n">
        <v>6134382.85</v>
      </c>
      <c r="J202" s="23" t="n">
        <v>6.24</v>
      </c>
      <c r="K202" s="24" t="n">
        <v>447</v>
      </c>
      <c r="L202" s="24" t="n">
        <v>10</v>
      </c>
      <c r="M202" t="n">
        <v>18</v>
      </c>
      <c r="N202" s="25" t="n">
        <v>18</v>
      </c>
      <c r="O202" t="n">
        <v>205909</v>
      </c>
      <c r="P202" t="inlineStr"/>
      <c r="Q202" t="inlineStr">
        <is>
          <t>4398</t>
        </is>
      </c>
      <c r="R202" s="26" t="n">
        <v>1</v>
      </c>
      <c r="S202" t="n">
        <v>0</v>
      </c>
      <c r="T202" s="23">
        <f>LN(1+I202)</f>
        <v/>
      </c>
      <c r="U202" s="24">
        <f>J202*100-K202</f>
        <v/>
      </c>
      <c r="V202" s="24">
        <f>U202-12.5*(L202+1)</f>
        <v/>
      </c>
      <c r="W202" s="26">
        <f>IF(M202&lt;=V7_AGE_KNOT_X_0,V7_AGE_KNOT_Y_0,IF(M202&gt;=V7_AGE_KNOT_X_5,V7_AGE_KNOT_Y_5,IF(M202&lt;=V7_AGE_KNOT_X_1,V7_AGE_KNOT_Y_0+(M202-V7_AGE_KNOT_X_0)/(V7_AGE_KNOT_X_1-V7_AGE_KNOT_X_0)*(V7_AGE_KNOT_Y_1-V7_AGE_KNOT_Y_0),IF(M202&lt;=V7_AGE_KNOT_X_2,V7_AGE_KNOT_Y_1+(M202-V7_AGE_KNOT_X_1)/(V7_AGE_KNOT_X_2-V7_AGE_KNOT_X_1)*(V7_AGE_KNOT_Y_2-V7_AGE_KNOT_Y_1),IF(M202&lt;=V7_AGE_KNOT_X_3,V7_AGE_KNOT_Y_2+(M202-V7_AGE_KNOT_X_2)/(V7_AGE_KNOT_X_3-V7_AGE_KNOT_X_2)*(V7_AGE_KNOT_Y_3-V7_AGE_KNOT_Y_2),IF(M202&lt;=V7_AGE_KNOT_X_4,V7_AGE_KNOT_Y_3+(M202-V7_AGE_KNOT_X_3)/(V7_AGE_KNOT_X_4-V7_AGE_KNOT_X_3)*(V7_AGE_KNOT_Y_4-V7_AGE_KNOT_Y_3),V7_AGE_KNOT_Y_4+(M202-V7_AGE_KNOT_X_4)/(V7_AGE_KNOT_X_5-V7_AGE_KNOT_X_4)*(V7_AGE_KNOT_Y_5-V7_AGE_KNOT_Y_4)))))))</f>
        <v/>
      </c>
      <c r="X202" s="26">
        <f>V7_RATE_FLOOR+V7_RATE_ASYMPTOTE/(1+EXP(-(V202-V7_RATE_MID)/V7_RATE_SLOPE))</f>
        <v/>
      </c>
      <c r="Y202" s="26">
        <f>MAX(V7_SIZE_LOW,MIN(V7_SIZE_HIGH,V7_SIZE_INTERCEPT+V7_SIZE_SLOPE*(T202-V7_SIZE_LOG_ANCHOR)))</f>
        <v/>
      </c>
      <c r="Z202" s="26">
        <f>IF(ISNUMBER(SEARCH("232",E202)),VLOOKUP("232",V7_PROGRAM_TABLE,2,FALSE),IF(ISNUMBER(SEARCH("538",E202)),VLOOKUP("538",V7_PROGRAM_TABLE,2,FALSE),IF(ISNUMBER(SEARCH("223a7",E202)),VLOOKUP("223a7",V7_PROGRAM_TABLE,2,FALSE),IF(ISNUMBER(SEARCH("223f",E202)),VLOOKUP("223f",V7_PROGRAM_TABLE,2,FALSE),V7_PROGRAM_DEFAULT))))</f>
        <v/>
      </c>
      <c r="AA202" s="26">
        <f>IF(S202=1,1+V7_PURPOSE_NC_BUMP*MAX(0,1-ABS(M202-V7_PURPOSE_PEAK_AGE)/V7_PURPOSE_WIDTH),1)</f>
        <v/>
      </c>
      <c r="AB202" s="26">
        <f>IF(AND(IF(OR(P202="",NOT(ISNUMBER(P202))),0,MAX(0,MIN(24,(INT(VALUE(H202)/100)-INT(P202/100))*12+MOD(VALUE(H202),100)-MOD(P202,100))))&gt;0,IF(OR(P202="",NOT(ISNUMBER(P202))),0,MAX(0,MIN(24,(INT(VALUE(H202)/100)-INT(P202/100))*12+MOD(VALUE(H202),100)-MOD(P202,100))))&lt;=12),1+V7_LOCKOUT_AMP*EXP(-(IF(OR(P202="",NOT(ISNUMBER(P202))),0,MAX(0,MIN(24,(INT(VALUE(H202)/100)-INT(P202/100))*12+MOD(VALUE(H202),100)-MOD(P202,100)))))/V7_LOCKOUT_TAU),1)</f>
        <v/>
      </c>
      <c r="AC202" s="26">
        <f>IF(IF(OR(O202="",NOT(ISNUMBER(O202))),360,MAX(0,MIN(480,(INT(O202/100)-INT(VALUE(H202)/100))*12+MOD(O202,100)-MOD(VALUE(H202),100))))&gt;0,1+V7_MTY_AMP*MAX(0,(V7_MTY_CUTOFF-(IF(OR(O202="",NOT(ISNUMBER(O202))),360,MAX(0,MIN(480,(INT(O202/100)-INT(VALUE(H202)/100))*12+MOD(O202,100)-MOD(VALUE(H202),100))))))/V7_MTY_CUTOFF),1)</f>
        <v/>
      </c>
      <c r="AD202" s="26">
        <f>MAX(V7_BURN_FLOOR,1-V7_BURN_SLOPE*MIN(1,MAX(0,R202)))</f>
        <v/>
      </c>
      <c r="AE202" s="26">
        <f>IF(V7_USE_ISSUER=1,IFERROR(VLOOKUP(Q202,V7_ISSUER_TABLE,3,FALSE),1),1)</f>
        <v/>
      </c>
      <c r="AF202" s="26">
        <f>PRODUCT(W202:AE202)</f>
        <v/>
      </c>
      <c r="AG202" s="27">
        <f>MIN(V7_BASE_SMM*AF202,V7_SMM_CAP)</f>
        <v/>
      </c>
      <c r="AH202" s="28">
        <f>1-(1-AG202)^12</f>
        <v/>
      </c>
      <c r="AI202" s="28">
        <f>IFERROR(LN(W202)/(LN(W202)+LN(X202)+LN(Y202)+LN(Z202)+LN(AA202)+LN(AB202)+LN(AC202)+LN(AD202))*(AH202-V7_BASE_CPR),0)</f>
        <v/>
      </c>
      <c r="AJ202" s="28">
        <f>IFERROR(LN(X202)/(LN(W202)+LN(X202)+LN(Y202)+LN(Z202)+LN(AA202)+LN(AB202)+LN(AC202)+LN(AD202))*(AH202-V7_BASE_CPR),0)</f>
        <v/>
      </c>
      <c r="AK202" s="28">
        <f>IFERROR(LN(Y202)/(LN(W202)+LN(X202)+LN(Y202)+LN(Z202)+LN(AA202)+LN(AB202)+LN(AC202)+LN(AD202))*(AH202-V7_BASE_CPR),0)</f>
        <v/>
      </c>
      <c r="AL202" s="28">
        <f>IFERROR(LN(Z202)/(LN(W202)+LN(X202)+LN(Y202)+LN(Z202)+LN(AA202)+LN(AB202)+LN(AC202)+LN(AD202))*(AH202-V7_BASE_CPR),0)</f>
        <v/>
      </c>
      <c r="AM202" s="28">
        <f>IFERROR(LN(AA202)/(LN(W202)+LN(X202)+LN(Y202)+LN(Z202)+LN(AA202)+LN(AB202)+LN(AC202)+LN(AD202))*(AH202-V7_BASE_CPR),0)</f>
        <v/>
      </c>
      <c r="AN202" s="28">
        <f>IFERROR(LN(AB202)/(LN(W202)+LN(X202)+LN(Y202)+LN(Z202)+LN(AA202)+LN(AB202)+LN(AC202)+LN(AD202))*(AH202-V7_BASE_CPR),0)</f>
        <v/>
      </c>
      <c r="AO202" s="28">
        <f>IFERROR(LN(AC202)/(LN(W202)+LN(X202)+LN(Y202)+LN(Z202)+LN(AA202)+LN(AB202)+LN(AC202)+LN(AD202))*(AH202-V7_BASE_CPR),0)</f>
        <v/>
      </c>
      <c r="AP202" s="28">
        <f>IFERROR(LN(AD202)/(LN(W202)+LN(X202)+LN(Y202)+LN(Z202)+LN(AA202)+LN(AB202)+LN(AC202)+LN(AD202))*(AH202-V7_BASE_CPR),0)</f>
        <v/>
      </c>
      <c r="AQ202" s="29">
        <f>V7_BASE_CPR+SUM(AI202:AP202)-AH202</f>
        <v/>
      </c>
    </row>
    <row r="203">
      <c r="A203" s="2" t="inlineStr">
        <is>
          <t>3617QAHG5_000000013611110</t>
        </is>
      </c>
      <c r="B203" t="inlineStr">
        <is>
          <t>DWIGHT_PRE21</t>
        </is>
      </c>
      <c r="C203" s="2" t="inlineStr">
        <is>
          <t>3617QAHG5</t>
        </is>
      </c>
      <c r="D203" t="inlineStr">
        <is>
          <t>DWIGHT CAPITAL LLC</t>
        </is>
      </c>
      <c r="E203" t="inlineStr">
        <is>
          <t>223a7</t>
        </is>
      </c>
      <c r="F203" t="inlineStr">
        <is>
          <t>RP</t>
        </is>
      </c>
      <c r="G203" t="n">
        <v>2020</v>
      </c>
      <c r="H203" t="inlineStr">
        <is>
          <t>202602</t>
        </is>
      </c>
      <c r="I203" s="22" t="n">
        <v>17026960.32</v>
      </c>
      <c r="J203" s="23" t="n">
        <v>3.37</v>
      </c>
      <c r="K203" s="24" t="n">
        <v>447</v>
      </c>
      <c r="L203" s="24" t="n">
        <v>6</v>
      </c>
      <c r="M203" t="n">
        <v>64</v>
      </c>
      <c r="N203" s="25" t="n">
        <v>14</v>
      </c>
      <c r="O203" t="n">
        <v>205511</v>
      </c>
      <c r="P203" t="n">
        <v>202112</v>
      </c>
      <c r="Q203" t="inlineStr">
        <is>
          <t>4398</t>
        </is>
      </c>
      <c r="R203" s="26" t="n">
        <v>0.21875</v>
      </c>
      <c r="S203" t="n">
        <v>0</v>
      </c>
      <c r="T203" s="23">
        <f>LN(1+I203)</f>
        <v/>
      </c>
      <c r="U203" s="24">
        <f>J203*100-K203</f>
        <v/>
      </c>
      <c r="V203" s="24">
        <f>U203-12.5*(L203+1)</f>
        <v/>
      </c>
      <c r="W203" s="26">
        <f>IF(M203&lt;=V7_AGE_KNOT_X_0,V7_AGE_KNOT_Y_0,IF(M203&gt;=V7_AGE_KNOT_X_5,V7_AGE_KNOT_Y_5,IF(M203&lt;=V7_AGE_KNOT_X_1,V7_AGE_KNOT_Y_0+(M203-V7_AGE_KNOT_X_0)/(V7_AGE_KNOT_X_1-V7_AGE_KNOT_X_0)*(V7_AGE_KNOT_Y_1-V7_AGE_KNOT_Y_0),IF(M203&lt;=V7_AGE_KNOT_X_2,V7_AGE_KNOT_Y_1+(M203-V7_AGE_KNOT_X_1)/(V7_AGE_KNOT_X_2-V7_AGE_KNOT_X_1)*(V7_AGE_KNOT_Y_2-V7_AGE_KNOT_Y_1),IF(M203&lt;=V7_AGE_KNOT_X_3,V7_AGE_KNOT_Y_2+(M203-V7_AGE_KNOT_X_2)/(V7_AGE_KNOT_X_3-V7_AGE_KNOT_X_2)*(V7_AGE_KNOT_Y_3-V7_AGE_KNOT_Y_2),IF(M203&lt;=V7_AGE_KNOT_X_4,V7_AGE_KNOT_Y_3+(M203-V7_AGE_KNOT_X_3)/(V7_AGE_KNOT_X_4-V7_AGE_KNOT_X_3)*(V7_AGE_KNOT_Y_4-V7_AGE_KNOT_Y_3),V7_AGE_KNOT_Y_4+(M203-V7_AGE_KNOT_X_4)/(V7_AGE_KNOT_X_5-V7_AGE_KNOT_X_4)*(V7_AGE_KNOT_Y_5-V7_AGE_KNOT_Y_4)))))))</f>
        <v/>
      </c>
      <c r="X203" s="26">
        <f>V7_RATE_FLOOR+V7_RATE_ASYMPTOTE/(1+EXP(-(V203-V7_RATE_MID)/V7_RATE_SLOPE))</f>
        <v/>
      </c>
      <c r="Y203" s="26">
        <f>MAX(V7_SIZE_LOW,MIN(V7_SIZE_HIGH,V7_SIZE_INTERCEPT+V7_SIZE_SLOPE*(T203-V7_SIZE_LOG_ANCHOR)))</f>
        <v/>
      </c>
      <c r="Z203" s="26">
        <f>IF(ISNUMBER(SEARCH("232",E203)),VLOOKUP("232",V7_PROGRAM_TABLE,2,FALSE),IF(ISNUMBER(SEARCH("538",E203)),VLOOKUP("538",V7_PROGRAM_TABLE,2,FALSE),IF(ISNUMBER(SEARCH("223a7",E203)),VLOOKUP("223a7",V7_PROGRAM_TABLE,2,FALSE),IF(ISNUMBER(SEARCH("223f",E203)),VLOOKUP("223f",V7_PROGRAM_TABLE,2,FALSE),V7_PROGRAM_DEFAULT))))</f>
        <v/>
      </c>
      <c r="AA203" s="26">
        <f>IF(S203=1,1+V7_PURPOSE_NC_BUMP*MAX(0,1-ABS(M203-V7_PURPOSE_PEAK_AGE)/V7_PURPOSE_WIDTH),1)</f>
        <v/>
      </c>
      <c r="AB203" s="26">
        <f>IF(AND(IF(OR(P203="",NOT(ISNUMBER(P203))),0,MAX(0,MIN(24,(INT(VALUE(H203)/100)-INT(P203/100))*12+MOD(VALUE(H203),100)-MOD(P203,100))))&gt;0,IF(OR(P203="",NOT(ISNUMBER(P203))),0,MAX(0,MIN(24,(INT(VALUE(H203)/100)-INT(P203/100))*12+MOD(VALUE(H203),100)-MOD(P203,100))))&lt;=12),1+V7_LOCKOUT_AMP*EXP(-(IF(OR(P203="",NOT(ISNUMBER(P203))),0,MAX(0,MIN(24,(INT(VALUE(H203)/100)-INT(P203/100))*12+MOD(VALUE(H203),100)-MOD(P203,100)))))/V7_LOCKOUT_TAU),1)</f>
        <v/>
      </c>
      <c r="AC203" s="26">
        <f>IF(IF(OR(O203="",NOT(ISNUMBER(O203))),360,MAX(0,MIN(480,(INT(O203/100)-INT(VALUE(H203)/100))*12+MOD(O203,100)-MOD(VALUE(H203),100))))&gt;0,1+V7_MTY_AMP*MAX(0,(V7_MTY_CUTOFF-(IF(OR(O203="",NOT(ISNUMBER(O203))),360,MAX(0,MIN(480,(INT(O203/100)-INT(VALUE(H203)/100))*12+MOD(O203,100)-MOD(VALUE(H203),100))))))/V7_MTY_CUTOFF),1)</f>
        <v/>
      </c>
      <c r="AD203" s="26">
        <f>MAX(V7_BURN_FLOOR,1-V7_BURN_SLOPE*MIN(1,MAX(0,R203)))</f>
        <v/>
      </c>
      <c r="AE203" s="26">
        <f>IF(V7_USE_ISSUER=1,IFERROR(VLOOKUP(Q203,V7_ISSUER_TABLE,3,FALSE),1),1)</f>
        <v/>
      </c>
      <c r="AF203" s="26">
        <f>PRODUCT(W203:AE203)</f>
        <v/>
      </c>
      <c r="AG203" s="27">
        <f>MIN(V7_BASE_SMM*AF203,V7_SMM_CAP)</f>
        <v/>
      </c>
      <c r="AH203" s="28">
        <f>1-(1-AG203)^12</f>
        <v/>
      </c>
      <c r="AI203" s="28">
        <f>IFERROR(LN(W203)/(LN(W203)+LN(X203)+LN(Y203)+LN(Z203)+LN(AA203)+LN(AB203)+LN(AC203)+LN(AD203))*(AH203-V7_BASE_CPR),0)</f>
        <v/>
      </c>
      <c r="AJ203" s="28">
        <f>IFERROR(LN(X203)/(LN(W203)+LN(X203)+LN(Y203)+LN(Z203)+LN(AA203)+LN(AB203)+LN(AC203)+LN(AD203))*(AH203-V7_BASE_CPR),0)</f>
        <v/>
      </c>
      <c r="AK203" s="28">
        <f>IFERROR(LN(Y203)/(LN(W203)+LN(X203)+LN(Y203)+LN(Z203)+LN(AA203)+LN(AB203)+LN(AC203)+LN(AD203))*(AH203-V7_BASE_CPR),0)</f>
        <v/>
      </c>
      <c r="AL203" s="28">
        <f>IFERROR(LN(Z203)/(LN(W203)+LN(X203)+LN(Y203)+LN(Z203)+LN(AA203)+LN(AB203)+LN(AC203)+LN(AD203))*(AH203-V7_BASE_CPR),0)</f>
        <v/>
      </c>
      <c r="AM203" s="28">
        <f>IFERROR(LN(AA203)/(LN(W203)+LN(X203)+LN(Y203)+LN(Z203)+LN(AA203)+LN(AB203)+LN(AC203)+LN(AD203))*(AH203-V7_BASE_CPR),0)</f>
        <v/>
      </c>
      <c r="AN203" s="28">
        <f>IFERROR(LN(AB203)/(LN(W203)+LN(X203)+LN(Y203)+LN(Z203)+LN(AA203)+LN(AB203)+LN(AC203)+LN(AD203))*(AH203-V7_BASE_CPR),0)</f>
        <v/>
      </c>
      <c r="AO203" s="28">
        <f>IFERROR(LN(AC203)/(LN(W203)+LN(X203)+LN(Y203)+LN(Z203)+LN(AA203)+LN(AB203)+LN(AC203)+LN(AD203))*(AH203-V7_BASE_CPR),0)</f>
        <v/>
      </c>
      <c r="AP203" s="28">
        <f>IFERROR(LN(AD203)/(LN(W203)+LN(X203)+LN(Y203)+LN(Z203)+LN(AA203)+LN(AB203)+LN(AC203)+LN(AD203))*(AH203-V7_BASE_CPR),0)</f>
        <v/>
      </c>
      <c r="AQ203" s="29">
        <f>V7_BASE_CPR+SUM(AI203:AP203)-AH203</f>
        <v/>
      </c>
    </row>
    <row r="204">
      <c r="A204" s="2" t="inlineStr">
        <is>
          <t>3617LTYJ4_000000003522081</t>
        </is>
      </c>
      <c r="B204" t="inlineStr">
        <is>
          <t>DWIGHT_PRE21</t>
        </is>
      </c>
      <c r="C204" s="2" t="inlineStr">
        <is>
          <t>3617LTYJ4</t>
        </is>
      </c>
      <c r="D204" t="inlineStr">
        <is>
          <t>DWIGHT CAPITAL LLC</t>
        </is>
      </c>
      <c r="E204" t="inlineStr">
        <is>
          <t>232</t>
        </is>
      </c>
      <c r="F204" t="inlineStr">
        <is>
          <t>RP</t>
        </is>
      </c>
      <c r="G204" t="n">
        <v>2019</v>
      </c>
      <c r="H204" t="inlineStr">
        <is>
          <t>202602</t>
        </is>
      </c>
      <c r="I204" s="22" t="n">
        <v>45394966.63</v>
      </c>
      <c r="J204" s="23" t="n">
        <v>3.1</v>
      </c>
      <c r="K204" s="24" t="n">
        <v>447</v>
      </c>
      <c r="L204" s="24" t="n">
        <v>4</v>
      </c>
      <c r="M204" t="n">
        <v>75</v>
      </c>
      <c r="N204" s="25" t="n">
        <v>13</v>
      </c>
      <c r="O204" t="n">
        <v>205412</v>
      </c>
      <c r="P204" t="inlineStr"/>
      <c r="Q204" t="inlineStr">
        <is>
          <t>4398</t>
        </is>
      </c>
      <c r="R204" s="26" t="n">
        <v>0.1733333333333333</v>
      </c>
      <c r="S204" t="n">
        <v>0</v>
      </c>
      <c r="T204" s="23">
        <f>LN(1+I204)</f>
        <v/>
      </c>
      <c r="U204" s="24">
        <f>J204*100-K204</f>
        <v/>
      </c>
      <c r="V204" s="24">
        <f>U204-12.5*(L204+1)</f>
        <v/>
      </c>
      <c r="W204" s="26">
        <f>IF(M204&lt;=V7_AGE_KNOT_X_0,V7_AGE_KNOT_Y_0,IF(M204&gt;=V7_AGE_KNOT_X_5,V7_AGE_KNOT_Y_5,IF(M204&lt;=V7_AGE_KNOT_X_1,V7_AGE_KNOT_Y_0+(M204-V7_AGE_KNOT_X_0)/(V7_AGE_KNOT_X_1-V7_AGE_KNOT_X_0)*(V7_AGE_KNOT_Y_1-V7_AGE_KNOT_Y_0),IF(M204&lt;=V7_AGE_KNOT_X_2,V7_AGE_KNOT_Y_1+(M204-V7_AGE_KNOT_X_1)/(V7_AGE_KNOT_X_2-V7_AGE_KNOT_X_1)*(V7_AGE_KNOT_Y_2-V7_AGE_KNOT_Y_1),IF(M204&lt;=V7_AGE_KNOT_X_3,V7_AGE_KNOT_Y_2+(M204-V7_AGE_KNOT_X_2)/(V7_AGE_KNOT_X_3-V7_AGE_KNOT_X_2)*(V7_AGE_KNOT_Y_3-V7_AGE_KNOT_Y_2),IF(M204&lt;=V7_AGE_KNOT_X_4,V7_AGE_KNOT_Y_3+(M204-V7_AGE_KNOT_X_3)/(V7_AGE_KNOT_X_4-V7_AGE_KNOT_X_3)*(V7_AGE_KNOT_Y_4-V7_AGE_KNOT_Y_3),V7_AGE_KNOT_Y_4+(M204-V7_AGE_KNOT_X_4)/(V7_AGE_KNOT_X_5-V7_AGE_KNOT_X_4)*(V7_AGE_KNOT_Y_5-V7_AGE_KNOT_Y_4)))))))</f>
        <v/>
      </c>
      <c r="X204" s="26">
        <f>V7_RATE_FLOOR+V7_RATE_ASYMPTOTE/(1+EXP(-(V204-V7_RATE_MID)/V7_RATE_SLOPE))</f>
        <v/>
      </c>
      <c r="Y204" s="26">
        <f>MAX(V7_SIZE_LOW,MIN(V7_SIZE_HIGH,V7_SIZE_INTERCEPT+V7_SIZE_SLOPE*(T204-V7_SIZE_LOG_ANCHOR)))</f>
        <v/>
      </c>
      <c r="Z204" s="26">
        <f>IF(ISNUMBER(SEARCH("232",E204)),VLOOKUP("232",V7_PROGRAM_TABLE,2,FALSE),IF(ISNUMBER(SEARCH("538",E204)),VLOOKUP("538",V7_PROGRAM_TABLE,2,FALSE),IF(ISNUMBER(SEARCH("223a7",E204)),VLOOKUP("223a7",V7_PROGRAM_TABLE,2,FALSE),IF(ISNUMBER(SEARCH("223f",E204)),VLOOKUP("223f",V7_PROGRAM_TABLE,2,FALSE),V7_PROGRAM_DEFAULT))))</f>
        <v/>
      </c>
      <c r="AA204" s="26">
        <f>IF(S204=1,1+V7_PURPOSE_NC_BUMP*MAX(0,1-ABS(M204-V7_PURPOSE_PEAK_AGE)/V7_PURPOSE_WIDTH),1)</f>
        <v/>
      </c>
      <c r="AB204" s="26">
        <f>IF(AND(IF(OR(P204="",NOT(ISNUMBER(P204))),0,MAX(0,MIN(24,(INT(VALUE(H204)/100)-INT(P204/100))*12+MOD(VALUE(H204),100)-MOD(P204,100))))&gt;0,IF(OR(P204="",NOT(ISNUMBER(P204))),0,MAX(0,MIN(24,(INT(VALUE(H204)/100)-INT(P204/100))*12+MOD(VALUE(H204),100)-MOD(P204,100))))&lt;=12),1+V7_LOCKOUT_AMP*EXP(-(IF(OR(P204="",NOT(ISNUMBER(P204))),0,MAX(0,MIN(24,(INT(VALUE(H204)/100)-INT(P204/100))*12+MOD(VALUE(H204),100)-MOD(P204,100)))))/V7_LOCKOUT_TAU),1)</f>
        <v/>
      </c>
      <c r="AC204" s="26">
        <f>IF(IF(OR(O204="",NOT(ISNUMBER(O204))),360,MAX(0,MIN(480,(INT(O204/100)-INT(VALUE(H204)/100))*12+MOD(O204,100)-MOD(VALUE(H204),100))))&gt;0,1+V7_MTY_AMP*MAX(0,(V7_MTY_CUTOFF-(IF(OR(O204="",NOT(ISNUMBER(O204))),360,MAX(0,MIN(480,(INT(O204/100)-INT(VALUE(H204)/100))*12+MOD(O204,100)-MOD(VALUE(H204),100))))))/V7_MTY_CUTOFF),1)</f>
        <v/>
      </c>
      <c r="AD204" s="26">
        <f>MAX(V7_BURN_FLOOR,1-V7_BURN_SLOPE*MIN(1,MAX(0,R204)))</f>
        <v/>
      </c>
      <c r="AE204" s="26">
        <f>IF(V7_USE_ISSUER=1,IFERROR(VLOOKUP(Q204,V7_ISSUER_TABLE,3,FALSE),1),1)</f>
        <v/>
      </c>
      <c r="AF204" s="26">
        <f>PRODUCT(W204:AE204)</f>
        <v/>
      </c>
      <c r="AG204" s="27">
        <f>MIN(V7_BASE_SMM*AF204,V7_SMM_CAP)</f>
        <v/>
      </c>
      <c r="AH204" s="28">
        <f>1-(1-AG204)^12</f>
        <v/>
      </c>
      <c r="AI204" s="28">
        <f>IFERROR(LN(W204)/(LN(W204)+LN(X204)+LN(Y204)+LN(Z204)+LN(AA204)+LN(AB204)+LN(AC204)+LN(AD204))*(AH204-V7_BASE_CPR),0)</f>
        <v/>
      </c>
      <c r="AJ204" s="28">
        <f>IFERROR(LN(X204)/(LN(W204)+LN(X204)+LN(Y204)+LN(Z204)+LN(AA204)+LN(AB204)+LN(AC204)+LN(AD204))*(AH204-V7_BASE_CPR),0)</f>
        <v/>
      </c>
      <c r="AK204" s="28">
        <f>IFERROR(LN(Y204)/(LN(W204)+LN(X204)+LN(Y204)+LN(Z204)+LN(AA204)+LN(AB204)+LN(AC204)+LN(AD204))*(AH204-V7_BASE_CPR),0)</f>
        <v/>
      </c>
      <c r="AL204" s="28">
        <f>IFERROR(LN(Z204)/(LN(W204)+LN(X204)+LN(Y204)+LN(Z204)+LN(AA204)+LN(AB204)+LN(AC204)+LN(AD204))*(AH204-V7_BASE_CPR),0)</f>
        <v/>
      </c>
      <c r="AM204" s="28">
        <f>IFERROR(LN(AA204)/(LN(W204)+LN(X204)+LN(Y204)+LN(Z204)+LN(AA204)+LN(AB204)+LN(AC204)+LN(AD204))*(AH204-V7_BASE_CPR),0)</f>
        <v/>
      </c>
      <c r="AN204" s="28">
        <f>IFERROR(LN(AB204)/(LN(W204)+LN(X204)+LN(Y204)+LN(Z204)+LN(AA204)+LN(AB204)+LN(AC204)+LN(AD204))*(AH204-V7_BASE_CPR),0)</f>
        <v/>
      </c>
      <c r="AO204" s="28">
        <f>IFERROR(LN(AC204)/(LN(W204)+LN(X204)+LN(Y204)+LN(Z204)+LN(AA204)+LN(AB204)+LN(AC204)+LN(AD204))*(AH204-V7_BASE_CPR),0)</f>
        <v/>
      </c>
      <c r="AP204" s="28">
        <f>IFERROR(LN(AD204)/(LN(W204)+LN(X204)+LN(Y204)+LN(Z204)+LN(AA204)+LN(AB204)+LN(AC204)+LN(AD204))*(AH204-V7_BASE_CPR),0)</f>
        <v/>
      </c>
      <c r="AQ204" s="29">
        <f>V7_BASE_CPR+SUM(AI204:AP204)-AH204</f>
        <v/>
      </c>
    </row>
    <row r="205">
      <c r="A205" s="2" t="inlineStr">
        <is>
          <t>3618HUP96_000000009222200</t>
        </is>
      </c>
      <c r="B205" t="inlineStr">
        <is>
          <t>DWIGHT_POST21</t>
        </is>
      </c>
      <c r="C205" s="2" t="inlineStr">
        <is>
          <t>3618HUP96</t>
        </is>
      </c>
      <c r="D205" t="inlineStr">
        <is>
          <t>DWIGHT CAPITAL LLC</t>
        </is>
      </c>
      <c r="E205" t="inlineStr">
        <is>
          <t>232</t>
        </is>
      </c>
      <c r="F205" t="inlineStr">
        <is>
          <t>RP</t>
        </is>
      </c>
      <c r="G205" t="n">
        <v>2024</v>
      </c>
      <c r="H205" t="inlineStr">
        <is>
          <t>202602</t>
        </is>
      </c>
      <c r="I205" s="22" t="n">
        <v>5214845.9</v>
      </c>
      <c r="J205" s="23" t="n">
        <v>5.78</v>
      </c>
      <c r="K205" s="24" t="n">
        <v>447</v>
      </c>
      <c r="L205" s="24" t="n">
        <v>10</v>
      </c>
      <c r="M205" t="n">
        <v>17</v>
      </c>
      <c r="N205" s="25" t="n">
        <v>13</v>
      </c>
      <c r="O205" t="n">
        <v>205410</v>
      </c>
      <c r="P205" t="inlineStr"/>
      <c r="Q205" t="inlineStr">
        <is>
          <t>4398</t>
        </is>
      </c>
      <c r="R205" s="26" t="n">
        <v>0.7647058823529411</v>
      </c>
      <c r="S205" t="n">
        <v>0</v>
      </c>
      <c r="T205" s="23">
        <f>LN(1+I205)</f>
        <v/>
      </c>
      <c r="U205" s="24">
        <f>J205*100-K205</f>
        <v/>
      </c>
      <c r="V205" s="24">
        <f>U205-12.5*(L205+1)</f>
        <v/>
      </c>
      <c r="W205" s="26">
        <f>IF(M205&lt;=V7_AGE_KNOT_X_0,V7_AGE_KNOT_Y_0,IF(M205&gt;=V7_AGE_KNOT_X_5,V7_AGE_KNOT_Y_5,IF(M205&lt;=V7_AGE_KNOT_X_1,V7_AGE_KNOT_Y_0+(M205-V7_AGE_KNOT_X_0)/(V7_AGE_KNOT_X_1-V7_AGE_KNOT_X_0)*(V7_AGE_KNOT_Y_1-V7_AGE_KNOT_Y_0),IF(M205&lt;=V7_AGE_KNOT_X_2,V7_AGE_KNOT_Y_1+(M205-V7_AGE_KNOT_X_1)/(V7_AGE_KNOT_X_2-V7_AGE_KNOT_X_1)*(V7_AGE_KNOT_Y_2-V7_AGE_KNOT_Y_1),IF(M205&lt;=V7_AGE_KNOT_X_3,V7_AGE_KNOT_Y_2+(M205-V7_AGE_KNOT_X_2)/(V7_AGE_KNOT_X_3-V7_AGE_KNOT_X_2)*(V7_AGE_KNOT_Y_3-V7_AGE_KNOT_Y_2),IF(M205&lt;=V7_AGE_KNOT_X_4,V7_AGE_KNOT_Y_3+(M205-V7_AGE_KNOT_X_3)/(V7_AGE_KNOT_X_4-V7_AGE_KNOT_X_3)*(V7_AGE_KNOT_Y_4-V7_AGE_KNOT_Y_3),V7_AGE_KNOT_Y_4+(M205-V7_AGE_KNOT_X_4)/(V7_AGE_KNOT_X_5-V7_AGE_KNOT_X_4)*(V7_AGE_KNOT_Y_5-V7_AGE_KNOT_Y_4)))))))</f>
        <v/>
      </c>
      <c r="X205" s="26">
        <f>V7_RATE_FLOOR+V7_RATE_ASYMPTOTE/(1+EXP(-(V205-V7_RATE_MID)/V7_RATE_SLOPE))</f>
        <v/>
      </c>
      <c r="Y205" s="26">
        <f>MAX(V7_SIZE_LOW,MIN(V7_SIZE_HIGH,V7_SIZE_INTERCEPT+V7_SIZE_SLOPE*(T205-V7_SIZE_LOG_ANCHOR)))</f>
        <v/>
      </c>
      <c r="Z205" s="26">
        <f>IF(ISNUMBER(SEARCH("232",E205)),VLOOKUP("232",V7_PROGRAM_TABLE,2,FALSE),IF(ISNUMBER(SEARCH("538",E205)),VLOOKUP("538",V7_PROGRAM_TABLE,2,FALSE),IF(ISNUMBER(SEARCH("223a7",E205)),VLOOKUP("223a7",V7_PROGRAM_TABLE,2,FALSE),IF(ISNUMBER(SEARCH("223f",E205)),VLOOKUP("223f",V7_PROGRAM_TABLE,2,FALSE),V7_PROGRAM_DEFAULT))))</f>
        <v/>
      </c>
      <c r="AA205" s="26">
        <f>IF(S205=1,1+V7_PURPOSE_NC_BUMP*MAX(0,1-ABS(M205-V7_PURPOSE_PEAK_AGE)/V7_PURPOSE_WIDTH),1)</f>
        <v/>
      </c>
      <c r="AB205" s="26">
        <f>IF(AND(IF(OR(P205="",NOT(ISNUMBER(P205))),0,MAX(0,MIN(24,(INT(VALUE(H205)/100)-INT(P205/100))*12+MOD(VALUE(H205),100)-MOD(P205,100))))&gt;0,IF(OR(P205="",NOT(ISNUMBER(P205))),0,MAX(0,MIN(24,(INT(VALUE(H205)/100)-INT(P205/100))*12+MOD(VALUE(H205),100)-MOD(P205,100))))&lt;=12),1+V7_LOCKOUT_AMP*EXP(-(IF(OR(P205="",NOT(ISNUMBER(P205))),0,MAX(0,MIN(24,(INT(VALUE(H205)/100)-INT(P205/100))*12+MOD(VALUE(H205),100)-MOD(P205,100)))))/V7_LOCKOUT_TAU),1)</f>
        <v/>
      </c>
      <c r="AC205" s="26">
        <f>IF(IF(OR(O205="",NOT(ISNUMBER(O205))),360,MAX(0,MIN(480,(INT(O205/100)-INT(VALUE(H205)/100))*12+MOD(O205,100)-MOD(VALUE(H205),100))))&gt;0,1+V7_MTY_AMP*MAX(0,(V7_MTY_CUTOFF-(IF(OR(O205="",NOT(ISNUMBER(O205))),360,MAX(0,MIN(480,(INT(O205/100)-INT(VALUE(H205)/100))*12+MOD(O205,100)-MOD(VALUE(H205),100))))))/V7_MTY_CUTOFF),1)</f>
        <v/>
      </c>
      <c r="AD205" s="26">
        <f>MAX(V7_BURN_FLOOR,1-V7_BURN_SLOPE*MIN(1,MAX(0,R205)))</f>
        <v/>
      </c>
      <c r="AE205" s="26">
        <f>IF(V7_USE_ISSUER=1,IFERROR(VLOOKUP(Q205,V7_ISSUER_TABLE,3,FALSE),1),1)</f>
        <v/>
      </c>
      <c r="AF205" s="26">
        <f>PRODUCT(W205:AE205)</f>
        <v/>
      </c>
      <c r="AG205" s="27">
        <f>MIN(V7_BASE_SMM*AF205,V7_SMM_CAP)</f>
        <v/>
      </c>
      <c r="AH205" s="28">
        <f>1-(1-AG205)^12</f>
        <v/>
      </c>
      <c r="AI205" s="28">
        <f>IFERROR(LN(W205)/(LN(W205)+LN(X205)+LN(Y205)+LN(Z205)+LN(AA205)+LN(AB205)+LN(AC205)+LN(AD205))*(AH205-V7_BASE_CPR),0)</f>
        <v/>
      </c>
      <c r="AJ205" s="28">
        <f>IFERROR(LN(X205)/(LN(W205)+LN(X205)+LN(Y205)+LN(Z205)+LN(AA205)+LN(AB205)+LN(AC205)+LN(AD205))*(AH205-V7_BASE_CPR),0)</f>
        <v/>
      </c>
      <c r="AK205" s="28">
        <f>IFERROR(LN(Y205)/(LN(W205)+LN(X205)+LN(Y205)+LN(Z205)+LN(AA205)+LN(AB205)+LN(AC205)+LN(AD205))*(AH205-V7_BASE_CPR),0)</f>
        <v/>
      </c>
      <c r="AL205" s="28">
        <f>IFERROR(LN(Z205)/(LN(W205)+LN(X205)+LN(Y205)+LN(Z205)+LN(AA205)+LN(AB205)+LN(AC205)+LN(AD205))*(AH205-V7_BASE_CPR),0)</f>
        <v/>
      </c>
      <c r="AM205" s="28">
        <f>IFERROR(LN(AA205)/(LN(W205)+LN(X205)+LN(Y205)+LN(Z205)+LN(AA205)+LN(AB205)+LN(AC205)+LN(AD205))*(AH205-V7_BASE_CPR),0)</f>
        <v/>
      </c>
      <c r="AN205" s="28">
        <f>IFERROR(LN(AB205)/(LN(W205)+LN(X205)+LN(Y205)+LN(Z205)+LN(AA205)+LN(AB205)+LN(AC205)+LN(AD205))*(AH205-V7_BASE_CPR),0)</f>
        <v/>
      </c>
      <c r="AO205" s="28">
        <f>IFERROR(LN(AC205)/(LN(W205)+LN(X205)+LN(Y205)+LN(Z205)+LN(AA205)+LN(AB205)+LN(AC205)+LN(AD205))*(AH205-V7_BASE_CPR),0)</f>
        <v/>
      </c>
      <c r="AP205" s="28">
        <f>IFERROR(LN(AD205)/(LN(W205)+LN(X205)+LN(Y205)+LN(Z205)+LN(AA205)+LN(AB205)+LN(AC205)+LN(AD205))*(AH205-V7_BASE_CPR),0)</f>
        <v/>
      </c>
      <c r="AQ205" s="29">
        <f>V7_BASE_CPR+SUM(AI205:AP205)-AH205</f>
        <v/>
      </c>
    </row>
    <row r="206">
      <c r="A206" s="2" t="inlineStr">
        <is>
          <t>3617NULP9_000000012611187</t>
        </is>
      </c>
      <c r="B206" t="inlineStr">
        <is>
          <t>DWIGHT_PRE21</t>
        </is>
      </c>
      <c r="C206" s="2" t="inlineStr">
        <is>
          <t>3617NULP9</t>
        </is>
      </c>
      <c r="D206" t="inlineStr">
        <is>
          <t>DWIGHT CAPITAL LLC</t>
        </is>
      </c>
      <c r="E206" t="inlineStr">
        <is>
          <t>223f</t>
        </is>
      </c>
      <c r="F206" t="inlineStr">
        <is>
          <t>RP</t>
        </is>
      </c>
      <c r="G206" t="n">
        <v>2020</v>
      </c>
      <c r="H206" t="inlineStr">
        <is>
          <t>202602</t>
        </is>
      </c>
      <c r="I206" s="22" t="n">
        <v>2431852.91</v>
      </c>
      <c r="J206" s="23" t="n">
        <v>2.75</v>
      </c>
      <c r="K206" s="24" t="n">
        <v>447</v>
      </c>
      <c r="L206" s="24" t="n">
        <v>5</v>
      </c>
      <c r="M206" t="n">
        <v>66</v>
      </c>
      <c r="N206" s="25" t="n">
        <v>0</v>
      </c>
      <c r="O206" t="n">
        <v>205509</v>
      </c>
      <c r="P206" t="inlineStr"/>
      <c r="Q206" t="inlineStr">
        <is>
          <t>4398</t>
        </is>
      </c>
      <c r="R206" s="26" t="n">
        <v>0</v>
      </c>
      <c r="S206" t="n">
        <v>0</v>
      </c>
      <c r="T206" s="23">
        <f>LN(1+I206)</f>
        <v/>
      </c>
      <c r="U206" s="24">
        <f>J206*100-K206</f>
        <v/>
      </c>
      <c r="V206" s="24">
        <f>U206-12.5*(L206+1)</f>
        <v/>
      </c>
      <c r="W206" s="26">
        <f>IF(M206&lt;=V7_AGE_KNOT_X_0,V7_AGE_KNOT_Y_0,IF(M206&gt;=V7_AGE_KNOT_X_5,V7_AGE_KNOT_Y_5,IF(M206&lt;=V7_AGE_KNOT_X_1,V7_AGE_KNOT_Y_0+(M206-V7_AGE_KNOT_X_0)/(V7_AGE_KNOT_X_1-V7_AGE_KNOT_X_0)*(V7_AGE_KNOT_Y_1-V7_AGE_KNOT_Y_0),IF(M206&lt;=V7_AGE_KNOT_X_2,V7_AGE_KNOT_Y_1+(M206-V7_AGE_KNOT_X_1)/(V7_AGE_KNOT_X_2-V7_AGE_KNOT_X_1)*(V7_AGE_KNOT_Y_2-V7_AGE_KNOT_Y_1),IF(M206&lt;=V7_AGE_KNOT_X_3,V7_AGE_KNOT_Y_2+(M206-V7_AGE_KNOT_X_2)/(V7_AGE_KNOT_X_3-V7_AGE_KNOT_X_2)*(V7_AGE_KNOT_Y_3-V7_AGE_KNOT_Y_2),IF(M206&lt;=V7_AGE_KNOT_X_4,V7_AGE_KNOT_Y_3+(M206-V7_AGE_KNOT_X_3)/(V7_AGE_KNOT_X_4-V7_AGE_KNOT_X_3)*(V7_AGE_KNOT_Y_4-V7_AGE_KNOT_Y_3),V7_AGE_KNOT_Y_4+(M206-V7_AGE_KNOT_X_4)/(V7_AGE_KNOT_X_5-V7_AGE_KNOT_X_4)*(V7_AGE_KNOT_Y_5-V7_AGE_KNOT_Y_4)))))))</f>
        <v/>
      </c>
      <c r="X206" s="26">
        <f>V7_RATE_FLOOR+V7_RATE_ASYMPTOTE/(1+EXP(-(V206-V7_RATE_MID)/V7_RATE_SLOPE))</f>
        <v/>
      </c>
      <c r="Y206" s="26">
        <f>MAX(V7_SIZE_LOW,MIN(V7_SIZE_HIGH,V7_SIZE_INTERCEPT+V7_SIZE_SLOPE*(T206-V7_SIZE_LOG_ANCHOR)))</f>
        <v/>
      </c>
      <c r="Z206" s="26">
        <f>IF(ISNUMBER(SEARCH("232",E206)),VLOOKUP("232",V7_PROGRAM_TABLE,2,FALSE),IF(ISNUMBER(SEARCH("538",E206)),VLOOKUP("538",V7_PROGRAM_TABLE,2,FALSE),IF(ISNUMBER(SEARCH("223a7",E206)),VLOOKUP("223a7",V7_PROGRAM_TABLE,2,FALSE),IF(ISNUMBER(SEARCH("223f",E206)),VLOOKUP("223f",V7_PROGRAM_TABLE,2,FALSE),V7_PROGRAM_DEFAULT))))</f>
        <v/>
      </c>
      <c r="AA206" s="26">
        <f>IF(S206=1,1+V7_PURPOSE_NC_BUMP*MAX(0,1-ABS(M206-V7_PURPOSE_PEAK_AGE)/V7_PURPOSE_WIDTH),1)</f>
        <v/>
      </c>
      <c r="AB206" s="26">
        <f>IF(AND(IF(OR(P206="",NOT(ISNUMBER(P206))),0,MAX(0,MIN(24,(INT(VALUE(H206)/100)-INT(P206/100))*12+MOD(VALUE(H206),100)-MOD(P206,100))))&gt;0,IF(OR(P206="",NOT(ISNUMBER(P206))),0,MAX(0,MIN(24,(INT(VALUE(H206)/100)-INT(P206/100))*12+MOD(VALUE(H206),100)-MOD(P206,100))))&lt;=12),1+V7_LOCKOUT_AMP*EXP(-(IF(OR(P206="",NOT(ISNUMBER(P206))),0,MAX(0,MIN(24,(INT(VALUE(H206)/100)-INT(P206/100))*12+MOD(VALUE(H206),100)-MOD(P206,100)))))/V7_LOCKOUT_TAU),1)</f>
        <v/>
      </c>
      <c r="AC206" s="26">
        <f>IF(IF(OR(O206="",NOT(ISNUMBER(O206))),360,MAX(0,MIN(480,(INT(O206/100)-INT(VALUE(H206)/100))*12+MOD(O206,100)-MOD(VALUE(H206),100))))&gt;0,1+V7_MTY_AMP*MAX(0,(V7_MTY_CUTOFF-(IF(OR(O206="",NOT(ISNUMBER(O206))),360,MAX(0,MIN(480,(INT(O206/100)-INT(VALUE(H206)/100))*12+MOD(O206,100)-MOD(VALUE(H206),100))))))/V7_MTY_CUTOFF),1)</f>
        <v/>
      </c>
      <c r="AD206" s="26">
        <f>MAX(V7_BURN_FLOOR,1-V7_BURN_SLOPE*MIN(1,MAX(0,R206)))</f>
        <v/>
      </c>
      <c r="AE206" s="26">
        <f>IF(V7_USE_ISSUER=1,IFERROR(VLOOKUP(Q206,V7_ISSUER_TABLE,3,FALSE),1),1)</f>
        <v/>
      </c>
      <c r="AF206" s="26">
        <f>PRODUCT(W206:AE206)</f>
        <v/>
      </c>
      <c r="AG206" s="27">
        <f>MIN(V7_BASE_SMM*AF206,V7_SMM_CAP)</f>
        <v/>
      </c>
      <c r="AH206" s="28">
        <f>1-(1-AG206)^12</f>
        <v/>
      </c>
      <c r="AI206" s="28">
        <f>IFERROR(LN(W206)/(LN(W206)+LN(X206)+LN(Y206)+LN(Z206)+LN(AA206)+LN(AB206)+LN(AC206)+LN(AD206))*(AH206-V7_BASE_CPR),0)</f>
        <v/>
      </c>
      <c r="AJ206" s="28">
        <f>IFERROR(LN(X206)/(LN(W206)+LN(X206)+LN(Y206)+LN(Z206)+LN(AA206)+LN(AB206)+LN(AC206)+LN(AD206))*(AH206-V7_BASE_CPR),0)</f>
        <v/>
      </c>
      <c r="AK206" s="28">
        <f>IFERROR(LN(Y206)/(LN(W206)+LN(X206)+LN(Y206)+LN(Z206)+LN(AA206)+LN(AB206)+LN(AC206)+LN(AD206))*(AH206-V7_BASE_CPR),0)</f>
        <v/>
      </c>
      <c r="AL206" s="28">
        <f>IFERROR(LN(Z206)/(LN(W206)+LN(X206)+LN(Y206)+LN(Z206)+LN(AA206)+LN(AB206)+LN(AC206)+LN(AD206))*(AH206-V7_BASE_CPR),0)</f>
        <v/>
      </c>
      <c r="AM206" s="28">
        <f>IFERROR(LN(AA206)/(LN(W206)+LN(X206)+LN(Y206)+LN(Z206)+LN(AA206)+LN(AB206)+LN(AC206)+LN(AD206))*(AH206-V7_BASE_CPR),0)</f>
        <v/>
      </c>
      <c r="AN206" s="28">
        <f>IFERROR(LN(AB206)/(LN(W206)+LN(X206)+LN(Y206)+LN(Z206)+LN(AA206)+LN(AB206)+LN(AC206)+LN(AD206))*(AH206-V7_BASE_CPR),0)</f>
        <v/>
      </c>
      <c r="AO206" s="28">
        <f>IFERROR(LN(AC206)/(LN(W206)+LN(X206)+LN(Y206)+LN(Z206)+LN(AA206)+LN(AB206)+LN(AC206)+LN(AD206))*(AH206-V7_BASE_CPR),0)</f>
        <v/>
      </c>
      <c r="AP206" s="28">
        <f>IFERROR(LN(AD206)/(LN(W206)+LN(X206)+LN(Y206)+LN(Z206)+LN(AA206)+LN(AB206)+LN(AC206)+LN(AD206))*(AH206-V7_BASE_CPR),0)</f>
        <v/>
      </c>
      <c r="AQ206" s="29">
        <f>V7_BASE_CPR+SUM(AI206:AP206)-AH206</f>
        <v/>
      </c>
    </row>
    <row r="207">
      <c r="A207" s="2" t="inlineStr">
        <is>
          <t>3617V1ZC8_000000001411293</t>
        </is>
      </c>
      <c r="B207" t="inlineStr">
        <is>
          <t>DWIGHT_POST21</t>
        </is>
      </c>
      <c r="C207" s="2" t="inlineStr">
        <is>
          <t>3617V1ZC8</t>
        </is>
      </c>
      <c r="D207" t="inlineStr">
        <is>
          <t>DWIGHT CAPITAL LLC</t>
        </is>
      </c>
      <c r="E207" t="inlineStr">
        <is>
          <t>223f</t>
        </is>
      </c>
      <c r="F207" t="inlineStr">
        <is>
          <t>RP</t>
        </is>
      </c>
      <c r="G207" t="n">
        <v>2021</v>
      </c>
      <c r="H207" t="inlineStr">
        <is>
          <t>202602</t>
        </is>
      </c>
      <c r="I207" s="22" t="n">
        <v>14648405.46</v>
      </c>
      <c r="J207" s="23" t="n">
        <v>2.5</v>
      </c>
      <c r="K207" s="24" t="n">
        <v>447</v>
      </c>
      <c r="L207" s="24" t="n">
        <v>1</v>
      </c>
      <c r="M207" t="n">
        <v>60</v>
      </c>
      <c r="N207" s="25" t="n">
        <v>0</v>
      </c>
      <c r="O207" t="n">
        <v>205603</v>
      </c>
      <c r="P207" t="inlineStr"/>
      <c r="Q207" t="inlineStr">
        <is>
          <t>4398</t>
        </is>
      </c>
      <c r="R207" s="26" t="n">
        <v>0</v>
      </c>
      <c r="S207" t="n">
        <v>0</v>
      </c>
      <c r="T207" s="23">
        <f>LN(1+I207)</f>
        <v/>
      </c>
      <c r="U207" s="24">
        <f>J207*100-K207</f>
        <v/>
      </c>
      <c r="V207" s="24">
        <f>U207-12.5*(L207+1)</f>
        <v/>
      </c>
      <c r="W207" s="26">
        <f>IF(M207&lt;=V7_AGE_KNOT_X_0,V7_AGE_KNOT_Y_0,IF(M207&gt;=V7_AGE_KNOT_X_5,V7_AGE_KNOT_Y_5,IF(M207&lt;=V7_AGE_KNOT_X_1,V7_AGE_KNOT_Y_0+(M207-V7_AGE_KNOT_X_0)/(V7_AGE_KNOT_X_1-V7_AGE_KNOT_X_0)*(V7_AGE_KNOT_Y_1-V7_AGE_KNOT_Y_0),IF(M207&lt;=V7_AGE_KNOT_X_2,V7_AGE_KNOT_Y_1+(M207-V7_AGE_KNOT_X_1)/(V7_AGE_KNOT_X_2-V7_AGE_KNOT_X_1)*(V7_AGE_KNOT_Y_2-V7_AGE_KNOT_Y_1),IF(M207&lt;=V7_AGE_KNOT_X_3,V7_AGE_KNOT_Y_2+(M207-V7_AGE_KNOT_X_2)/(V7_AGE_KNOT_X_3-V7_AGE_KNOT_X_2)*(V7_AGE_KNOT_Y_3-V7_AGE_KNOT_Y_2),IF(M207&lt;=V7_AGE_KNOT_X_4,V7_AGE_KNOT_Y_3+(M207-V7_AGE_KNOT_X_3)/(V7_AGE_KNOT_X_4-V7_AGE_KNOT_X_3)*(V7_AGE_KNOT_Y_4-V7_AGE_KNOT_Y_3),V7_AGE_KNOT_Y_4+(M207-V7_AGE_KNOT_X_4)/(V7_AGE_KNOT_X_5-V7_AGE_KNOT_X_4)*(V7_AGE_KNOT_Y_5-V7_AGE_KNOT_Y_4)))))))</f>
        <v/>
      </c>
      <c r="X207" s="26">
        <f>V7_RATE_FLOOR+V7_RATE_ASYMPTOTE/(1+EXP(-(V207-V7_RATE_MID)/V7_RATE_SLOPE))</f>
        <v/>
      </c>
      <c r="Y207" s="26">
        <f>MAX(V7_SIZE_LOW,MIN(V7_SIZE_HIGH,V7_SIZE_INTERCEPT+V7_SIZE_SLOPE*(T207-V7_SIZE_LOG_ANCHOR)))</f>
        <v/>
      </c>
      <c r="Z207" s="26">
        <f>IF(ISNUMBER(SEARCH("232",E207)),VLOOKUP("232",V7_PROGRAM_TABLE,2,FALSE),IF(ISNUMBER(SEARCH("538",E207)),VLOOKUP("538",V7_PROGRAM_TABLE,2,FALSE),IF(ISNUMBER(SEARCH("223a7",E207)),VLOOKUP("223a7",V7_PROGRAM_TABLE,2,FALSE),IF(ISNUMBER(SEARCH("223f",E207)),VLOOKUP("223f",V7_PROGRAM_TABLE,2,FALSE),V7_PROGRAM_DEFAULT))))</f>
        <v/>
      </c>
      <c r="AA207" s="26">
        <f>IF(S207=1,1+V7_PURPOSE_NC_BUMP*MAX(0,1-ABS(M207-V7_PURPOSE_PEAK_AGE)/V7_PURPOSE_WIDTH),1)</f>
        <v/>
      </c>
      <c r="AB207" s="26">
        <f>IF(AND(IF(OR(P207="",NOT(ISNUMBER(P207))),0,MAX(0,MIN(24,(INT(VALUE(H207)/100)-INT(P207/100))*12+MOD(VALUE(H207),100)-MOD(P207,100))))&gt;0,IF(OR(P207="",NOT(ISNUMBER(P207))),0,MAX(0,MIN(24,(INT(VALUE(H207)/100)-INT(P207/100))*12+MOD(VALUE(H207),100)-MOD(P207,100))))&lt;=12),1+V7_LOCKOUT_AMP*EXP(-(IF(OR(P207="",NOT(ISNUMBER(P207))),0,MAX(0,MIN(24,(INT(VALUE(H207)/100)-INT(P207/100))*12+MOD(VALUE(H207),100)-MOD(P207,100)))))/V7_LOCKOUT_TAU),1)</f>
        <v/>
      </c>
      <c r="AC207" s="26">
        <f>IF(IF(OR(O207="",NOT(ISNUMBER(O207))),360,MAX(0,MIN(480,(INT(O207/100)-INT(VALUE(H207)/100))*12+MOD(O207,100)-MOD(VALUE(H207),100))))&gt;0,1+V7_MTY_AMP*MAX(0,(V7_MTY_CUTOFF-(IF(OR(O207="",NOT(ISNUMBER(O207))),360,MAX(0,MIN(480,(INT(O207/100)-INT(VALUE(H207)/100))*12+MOD(O207,100)-MOD(VALUE(H207),100))))))/V7_MTY_CUTOFF),1)</f>
        <v/>
      </c>
      <c r="AD207" s="26">
        <f>MAX(V7_BURN_FLOOR,1-V7_BURN_SLOPE*MIN(1,MAX(0,R207)))</f>
        <v/>
      </c>
      <c r="AE207" s="26">
        <f>IF(V7_USE_ISSUER=1,IFERROR(VLOOKUP(Q207,V7_ISSUER_TABLE,3,FALSE),1),1)</f>
        <v/>
      </c>
      <c r="AF207" s="26">
        <f>PRODUCT(W207:AE207)</f>
        <v/>
      </c>
      <c r="AG207" s="27">
        <f>MIN(V7_BASE_SMM*AF207,V7_SMM_CAP)</f>
        <v/>
      </c>
      <c r="AH207" s="28">
        <f>1-(1-AG207)^12</f>
        <v/>
      </c>
      <c r="AI207" s="28">
        <f>IFERROR(LN(W207)/(LN(W207)+LN(X207)+LN(Y207)+LN(Z207)+LN(AA207)+LN(AB207)+LN(AC207)+LN(AD207))*(AH207-V7_BASE_CPR),0)</f>
        <v/>
      </c>
      <c r="AJ207" s="28">
        <f>IFERROR(LN(X207)/(LN(W207)+LN(X207)+LN(Y207)+LN(Z207)+LN(AA207)+LN(AB207)+LN(AC207)+LN(AD207))*(AH207-V7_BASE_CPR),0)</f>
        <v/>
      </c>
      <c r="AK207" s="28">
        <f>IFERROR(LN(Y207)/(LN(W207)+LN(X207)+LN(Y207)+LN(Z207)+LN(AA207)+LN(AB207)+LN(AC207)+LN(AD207))*(AH207-V7_BASE_CPR),0)</f>
        <v/>
      </c>
      <c r="AL207" s="28">
        <f>IFERROR(LN(Z207)/(LN(W207)+LN(X207)+LN(Y207)+LN(Z207)+LN(AA207)+LN(AB207)+LN(AC207)+LN(AD207))*(AH207-V7_BASE_CPR),0)</f>
        <v/>
      </c>
      <c r="AM207" s="28">
        <f>IFERROR(LN(AA207)/(LN(W207)+LN(X207)+LN(Y207)+LN(Z207)+LN(AA207)+LN(AB207)+LN(AC207)+LN(AD207))*(AH207-V7_BASE_CPR),0)</f>
        <v/>
      </c>
      <c r="AN207" s="28">
        <f>IFERROR(LN(AB207)/(LN(W207)+LN(X207)+LN(Y207)+LN(Z207)+LN(AA207)+LN(AB207)+LN(AC207)+LN(AD207))*(AH207-V7_BASE_CPR),0)</f>
        <v/>
      </c>
      <c r="AO207" s="28">
        <f>IFERROR(LN(AC207)/(LN(W207)+LN(X207)+LN(Y207)+LN(Z207)+LN(AA207)+LN(AB207)+LN(AC207)+LN(AD207))*(AH207-V7_BASE_CPR),0)</f>
        <v/>
      </c>
      <c r="AP207" s="28">
        <f>IFERROR(LN(AD207)/(LN(W207)+LN(X207)+LN(Y207)+LN(Z207)+LN(AA207)+LN(AB207)+LN(AC207)+LN(AD207))*(AH207-V7_BASE_CPR),0)</f>
        <v/>
      </c>
      <c r="AQ207" s="29">
        <f>V7_BASE_CPR+SUM(AI207:AP207)-AH207</f>
        <v/>
      </c>
    </row>
    <row r="208">
      <c r="A208" s="2" t="inlineStr">
        <is>
          <t>3617F0WW7_000000011311524</t>
        </is>
      </c>
      <c r="B208" t="inlineStr">
        <is>
          <t>DWIGHT_POST21</t>
        </is>
      </c>
      <c r="C208" s="2" t="inlineStr">
        <is>
          <t>3617F0WW7</t>
        </is>
      </c>
      <c r="D208" t="inlineStr">
        <is>
          <t>DWIGHT CAPITAL LLC</t>
        </is>
      </c>
      <c r="E208" t="inlineStr">
        <is>
          <t>223f</t>
        </is>
      </c>
      <c r="F208" t="inlineStr">
        <is>
          <t>RP</t>
        </is>
      </c>
      <c r="G208" t="n">
        <v>2022</v>
      </c>
      <c r="H208" t="inlineStr">
        <is>
          <t>202602</t>
        </is>
      </c>
      <c r="I208" s="22" t="n">
        <v>59356883.6</v>
      </c>
      <c r="J208" s="23" t="n">
        <v>4.3</v>
      </c>
      <c r="K208" s="24" t="n">
        <v>447</v>
      </c>
      <c r="L208" s="24" t="n">
        <v>8</v>
      </c>
      <c r="M208" t="n">
        <v>38</v>
      </c>
      <c r="N208" s="25" t="n">
        <v>0</v>
      </c>
      <c r="O208" t="n">
        <v>205801</v>
      </c>
      <c r="P208" t="inlineStr"/>
      <c r="Q208" t="inlineStr">
        <is>
          <t>4398</t>
        </is>
      </c>
      <c r="R208" s="26" t="n">
        <v>0</v>
      </c>
      <c r="S208" t="n">
        <v>0</v>
      </c>
      <c r="T208" s="23">
        <f>LN(1+I208)</f>
        <v/>
      </c>
      <c r="U208" s="24">
        <f>J208*100-K208</f>
        <v/>
      </c>
      <c r="V208" s="24">
        <f>U208-12.5*(L208+1)</f>
        <v/>
      </c>
      <c r="W208" s="26">
        <f>IF(M208&lt;=V7_AGE_KNOT_X_0,V7_AGE_KNOT_Y_0,IF(M208&gt;=V7_AGE_KNOT_X_5,V7_AGE_KNOT_Y_5,IF(M208&lt;=V7_AGE_KNOT_X_1,V7_AGE_KNOT_Y_0+(M208-V7_AGE_KNOT_X_0)/(V7_AGE_KNOT_X_1-V7_AGE_KNOT_X_0)*(V7_AGE_KNOT_Y_1-V7_AGE_KNOT_Y_0),IF(M208&lt;=V7_AGE_KNOT_X_2,V7_AGE_KNOT_Y_1+(M208-V7_AGE_KNOT_X_1)/(V7_AGE_KNOT_X_2-V7_AGE_KNOT_X_1)*(V7_AGE_KNOT_Y_2-V7_AGE_KNOT_Y_1),IF(M208&lt;=V7_AGE_KNOT_X_3,V7_AGE_KNOT_Y_2+(M208-V7_AGE_KNOT_X_2)/(V7_AGE_KNOT_X_3-V7_AGE_KNOT_X_2)*(V7_AGE_KNOT_Y_3-V7_AGE_KNOT_Y_2),IF(M208&lt;=V7_AGE_KNOT_X_4,V7_AGE_KNOT_Y_3+(M208-V7_AGE_KNOT_X_3)/(V7_AGE_KNOT_X_4-V7_AGE_KNOT_X_3)*(V7_AGE_KNOT_Y_4-V7_AGE_KNOT_Y_3),V7_AGE_KNOT_Y_4+(M208-V7_AGE_KNOT_X_4)/(V7_AGE_KNOT_X_5-V7_AGE_KNOT_X_4)*(V7_AGE_KNOT_Y_5-V7_AGE_KNOT_Y_4)))))))</f>
        <v/>
      </c>
      <c r="X208" s="26">
        <f>V7_RATE_FLOOR+V7_RATE_ASYMPTOTE/(1+EXP(-(V208-V7_RATE_MID)/V7_RATE_SLOPE))</f>
        <v/>
      </c>
      <c r="Y208" s="26">
        <f>MAX(V7_SIZE_LOW,MIN(V7_SIZE_HIGH,V7_SIZE_INTERCEPT+V7_SIZE_SLOPE*(T208-V7_SIZE_LOG_ANCHOR)))</f>
        <v/>
      </c>
      <c r="Z208" s="26">
        <f>IF(ISNUMBER(SEARCH("232",E208)),VLOOKUP("232",V7_PROGRAM_TABLE,2,FALSE),IF(ISNUMBER(SEARCH("538",E208)),VLOOKUP("538",V7_PROGRAM_TABLE,2,FALSE),IF(ISNUMBER(SEARCH("223a7",E208)),VLOOKUP("223a7",V7_PROGRAM_TABLE,2,FALSE),IF(ISNUMBER(SEARCH("223f",E208)),VLOOKUP("223f",V7_PROGRAM_TABLE,2,FALSE),V7_PROGRAM_DEFAULT))))</f>
        <v/>
      </c>
      <c r="AA208" s="26">
        <f>IF(S208=1,1+V7_PURPOSE_NC_BUMP*MAX(0,1-ABS(M208-V7_PURPOSE_PEAK_AGE)/V7_PURPOSE_WIDTH),1)</f>
        <v/>
      </c>
      <c r="AB208" s="26">
        <f>IF(AND(IF(OR(P208="",NOT(ISNUMBER(P208))),0,MAX(0,MIN(24,(INT(VALUE(H208)/100)-INT(P208/100))*12+MOD(VALUE(H208),100)-MOD(P208,100))))&gt;0,IF(OR(P208="",NOT(ISNUMBER(P208))),0,MAX(0,MIN(24,(INT(VALUE(H208)/100)-INT(P208/100))*12+MOD(VALUE(H208),100)-MOD(P208,100))))&lt;=12),1+V7_LOCKOUT_AMP*EXP(-(IF(OR(P208="",NOT(ISNUMBER(P208))),0,MAX(0,MIN(24,(INT(VALUE(H208)/100)-INT(P208/100))*12+MOD(VALUE(H208),100)-MOD(P208,100)))))/V7_LOCKOUT_TAU),1)</f>
        <v/>
      </c>
      <c r="AC208" s="26">
        <f>IF(IF(OR(O208="",NOT(ISNUMBER(O208))),360,MAX(0,MIN(480,(INT(O208/100)-INT(VALUE(H208)/100))*12+MOD(O208,100)-MOD(VALUE(H208),100))))&gt;0,1+V7_MTY_AMP*MAX(0,(V7_MTY_CUTOFF-(IF(OR(O208="",NOT(ISNUMBER(O208))),360,MAX(0,MIN(480,(INT(O208/100)-INT(VALUE(H208)/100))*12+MOD(O208,100)-MOD(VALUE(H208),100))))))/V7_MTY_CUTOFF),1)</f>
        <v/>
      </c>
      <c r="AD208" s="26">
        <f>MAX(V7_BURN_FLOOR,1-V7_BURN_SLOPE*MIN(1,MAX(0,R208)))</f>
        <v/>
      </c>
      <c r="AE208" s="26">
        <f>IF(V7_USE_ISSUER=1,IFERROR(VLOOKUP(Q208,V7_ISSUER_TABLE,3,FALSE),1),1)</f>
        <v/>
      </c>
      <c r="AF208" s="26">
        <f>PRODUCT(W208:AE208)</f>
        <v/>
      </c>
      <c r="AG208" s="27">
        <f>MIN(V7_BASE_SMM*AF208,V7_SMM_CAP)</f>
        <v/>
      </c>
      <c r="AH208" s="28">
        <f>1-(1-AG208)^12</f>
        <v/>
      </c>
      <c r="AI208" s="28">
        <f>IFERROR(LN(W208)/(LN(W208)+LN(X208)+LN(Y208)+LN(Z208)+LN(AA208)+LN(AB208)+LN(AC208)+LN(AD208))*(AH208-V7_BASE_CPR),0)</f>
        <v/>
      </c>
      <c r="AJ208" s="28">
        <f>IFERROR(LN(X208)/(LN(W208)+LN(X208)+LN(Y208)+LN(Z208)+LN(AA208)+LN(AB208)+LN(AC208)+LN(AD208))*(AH208-V7_BASE_CPR),0)</f>
        <v/>
      </c>
      <c r="AK208" s="28">
        <f>IFERROR(LN(Y208)/(LN(W208)+LN(X208)+LN(Y208)+LN(Z208)+LN(AA208)+LN(AB208)+LN(AC208)+LN(AD208))*(AH208-V7_BASE_CPR),0)</f>
        <v/>
      </c>
      <c r="AL208" s="28">
        <f>IFERROR(LN(Z208)/(LN(W208)+LN(X208)+LN(Y208)+LN(Z208)+LN(AA208)+LN(AB208)+LN(AC208)+LN(AD208))*(AH208-V7_BASE_CPR),0)</f>
        <v/>
      </c>
      <c r="AM208" s="28">
        <f>IFERROR(LN(AA208)/(LN(W208)+LN(X208)+LN(Y208)+LN(Z208)+LN(AA208)+LN(AB208)+LN(AC208)+LN(AD208))*(AH208-V7_BASE_CPR),0)</f>
        <v/>
      </c>
      <c r="AN208" s="28">
        <f>IFERROR(LN(AB208)/(LN(W208)+LN(X208)+LN(Y208)+LN(Z208)+LN(AA208)+LN(AB208)+LN(AC208)+LN(AD208))*(AH208-V7_BASE_CPR),0)</f>
        <v/>
      </c>
      <c r="AO208" s="28">
        <f>IFERROR(LN(AC208)/(LN(W208)+LN(X208)+LN(Y208)+LN(Z208)+LN(AA208)+LN(AB208)+LN(AC208)+LN(AD208))*(AH208-V7_BASE_CPR),0)</f>
        <v/>
      </c>
      <c r="AP208" s="28">
        <f>IFERROR(LN(AD208)/(LN(W208)+LN(X208)+LN(Y208)+LN(Z208)+LN(AA208)+LN(AB208)+LN(AC208)+LN(AD208))*(AH208-V7_BASE_CPR),0)</f>
        <v/>
      </c>
      <c r="AQ208" s="29">
        <f>V7_BASE_CPR+SUM(AI208:AP208)-AH208</f>
        <v/>
      </c>
    </row>
    <row r="209">
      <c r="A209" s="2" t="inlineStr">
        <is>
          <t>3617FQGN8_000000001222451</t>
        </is>
      </c>
      <c r="B209" t="inlineStr">
        <is>
          <t>DWIGHT_POST21</t>
        </is>
      </c>
      <c r="C209" s="2" t="inlineStr">
        <is>
          <t>3617FQGN8</t>
        </is>
      </c>
      <c r="D209" t="inlineStr">
        <is>
          <t>DWIGHT CAPITAL LLC</t>
        </is>
      </c>
      <c r="E209" t="inlineStr">
        <is>
          <t>232</t>
        </is>
      </c>
      <c r="F209" t="inlineStr">
        <is>
          <t>RP</t>
        </is>
      </c>
      <c r="G209" t="n">
        <v>2023</v>
      </c>
      <c r="H209" t="inlineStr">
        <is>
          <t>202602</t>
        </is>
      </c>
      <c r="I209" s="22" t="n">
        <v>37604700.83</v>
      </c>
      <c r="J209" s="23" t="n">
        <v>5.58</v>
      </c>
      <c r="K209" s="24" t="n">
        <v>447</v>
      </c>
      <c r="L209" s="24" t="n">
        <v>9</v>
      </c>
      <c r="M209" t="n">
        <v>37</v>
      </c>
      <c r="N209" s="25" t="n">
        <v>11</v>
      </c>
      <c r="O209" t="n">
        <v>205802</v>
      </c>
      <c r="P209" t="inlineStr"/>
      <c r="Q209" t="inlineStr">
        <is>
          <t>4398</t>
        </is>
      </c>
      <c r="R209" s="26" t="n">
        <v>0.2972972972972973</v>
      </c>
      <c r="S209" t="n">
        <v>0</v>
      </c>
      <c r="T209" s="23">
        <f>LN(1+I209)</f>
        <v/>
      </c>
      <c r="U209" s="24">
        <f>J209*100-K209</f>
        <v/>
      </c>
      <c r="V209" s="24">
        <f>U209-12.5*(L209+1)</f>
        <v/>
      </c>
      <c r="W209" s="26">
        <f>IF(M209&lt;=V7_AGE_KNOT_X_0,V7_AGE_KNOT_Y_0,IF(M209&gt;=V7_AGE_KNOT_X_5,V7_AGE_KNOT_Y_5,IF(M209&lt;=V7_AGE_KNOT_X_1,V7_AGE_KNOT_Y_0+(M209-V7_AGE_KNOT_X_0)/(V7_AGE_KNOT_X_1-V7_AGE_KNOT_X_0)*(V7_AGE_KNOT_Y_1-V7_AGE_KNOT_Y_0),IF(M209&lt;=V7_AGE_KNOT_X_2,V7_AGE_KNOT_Y_1+(M209-V7_AGE_KNOT_X_1)/(V7_AGE_KNOT_X_2-V7_AGE_KNOT_X_1)*(V7_AGE_KNOT_Y_2-V7_AGE_KNOT_Y_1),IF(M209&lt;=V7_AGE_KNOT_X_3,V7_AGE_KNOT_Y_2+(M209-V7_AGE_KNOT_X_2)/(V7_AGE_KNOT_X_3-V7_AGE_KNOT_X_2)*(V7_AGE_KNOT_Y_3-V7_AGE_KNOT_Y_2),IF(M209&lt;=V7_AGE_KNOT_X_4,V7_AGE_KNOT_Y_3+(M209-V7_AGE_KNOT_X_3)/(V7_AGE_KNOT_X_4-V7_AGE_KNOT_X_3)*(V7_AGE_KNOT_Y_4-V7_AGE_KNOT_Y_3),V7_AGE_KNOT_Y_4+(M209-V7_AGE_KNOT_X_4)/(V7_AGE_KNOT_X_5-V7_AGE_KNOT_X_4)*(V7_AGE_KNOT_Y_5-V7_AGE_KNOT_Y_4)))))))</f>
        <v/>
      </c>
      <c r="X209" s="26">
        <f>V7_RATE_FLOOR+V7_RATE_ASYMPTOTE/(1+EXP(-(V209-V7_RATE_MID)/V7_RATE_SLOPE))</f>
        <v/>
      </c>
      <c r="Y209" s="26">
        <f>MAX(V7_SIZE_LOW,MIN(V7_SIZE_HIGH,V7_SIZE_INTERCEPT+V7_SIZE_SLOPE*(T209-V7_SIZE_LOG_ANCHOR)))</f>
        <v/>
      </c>
      <c r="Z209" s="26">
        <f>IF(ISNUMBER(SEARCH("232",E209)),VLOOKUP("232",V7_PROGRAM_TABLE,2,FALSE),IF(ISNUMBER(SEARCH("538",E209)),VLOOKUP("538",V7_PROGRAM_TABLE,2,FALSE),IF(ISNUMBER(SEARCH("223a7",E209)),VLOOKUP("223a7",V7_PROGRAM_TABLE,2,FALSE),IF(ISNUMBER(SEARCH("223f",E209)),VLOOKUP("223f",V7_PROGRAM_TABLE,2,FALSE),V7_PROGRAM_DEFAULT))))</f>
        <v/>
      </c>
      <c r="AA209" s="26">
        <f>IF(S209=1,1+V7_PURPOSE_NC_BUMP*MAX(0,1-ABS(M209-V7_PURPOSE_PEAK_AGE)/V7_PURPOSE_WIDTH),1)</f>
        <v/>
      </c>
      <c r="AB209" s="26">
        <f>IF(AND(IF(OR(P209="",NOT(ISNUMBER(P209))),0,MAX(0,MIN(24,(INT(VALUE(H209)/100)-INT(P209/100))*12+MOD(VALUE(H209),100)-MOD(P209,100))))&gt;0,IF(OR(P209="",NOT(ISNUMBER(P209))),0,MAX(0,MIN(24,(INT(VALUE(H209)/100)-INT(P209/100))*12+MOD(VALUE(H209),100)-MOD(P209,100))))&lt;=12),1+V7_LOCKOUT_AMP*EXP(-(IF(OR(P209="",NOT(ISNUMBER(P209))),0,MAX(0,MIN(24,(INT(VALUE(H209)/100)-INT(P209/100))*12+MOD(VALUE(H209),100)-MOD(P209,100)))))/V7_LOCKOUT_TAU),1)</f>
        <v/>
      </c>
      <c r="AC209" s="26">
        <f>IF(IF(OR(O209="",NOT(ISNUMBER(O209))),360,MAX(0,MIN(480,(INT(O209/100)-INT(VALUE(H209)/100))*12+MOD(O209,100)-MOD(VALUE(H209),100))))&gt;0,1+V7_MTY_AMP*MAX(0,(V7_MTY_CUTOFF-(IF(OR(O209="",NOT(ISNUMBER(O209))),360,MAX(0,MIN(480,(INT(O209/100)-INT(VALUE(H209)/100))*12+MOD(O209,100)-MOD(VALUE(H209),100))))))/V7_MTY_CUTOFF),1)</f>
        <v/>
      </c>
      <c r="AD209" s="26">
        <f>MAX(V7_BURN_FLOOR,1-V7_BURN_SLOPE*MIN(1,MAX(0,R209)))</f>
        <v/>
      </c>
      <c r="AE209" s="26">
        <f>IF(V7_USE_ISSUER=1,IFERROR(VLOOKUP(Q209,V7_ISSUER_TABLE,3,FALSE),1),1)</f>
        <v/>
      </c>
      <c r="AF209" s="26">
        <f>PRODUCT(W209:AE209)</f>
        <v/>
      </c>
      <c r="AG209" s="27">
        <f>MIN(V7_BASE_SMM*AF209,V7_SMM_CAP)</f>
        <v/>
      </c>
      <c r="AH209" s="28">
        <f>1-(1-AG209)^12</f>
        <v/>
      </c>
      <c r="AI209" s="28">
        <f>IFERROR(LN(W209)/(LN(W209)+LN(X209)+LN(Y209)+LN(Z209)+LN(AA209)+LN(AB209)+LN(AC209)+LN(AD209))*(AH209-V7_BASE_CPR),0)</f>
        <v/>
      </c>
      <c r="AJ209" s="28">
        <f>IFERROR(LN(X209)/(LN(W209)+LN(X209)+LN(Y209)+LN(Z209)+LN(AA209)+LN(AB209)+LN(AC209)+LN(AD209))*(AH209-V7_BASE_CPR),0)</f>
        <v/>
      </c>
      <c r="AK209" s="28">
        <f>IFERROR(LN(Y209)/(LN(W209)+LN(X209)+LN(Y209)+LN(Z209)+LN(AA209)+LN(AB209)+LN(AC209)+LN(AD209))*(AH209-V7_BASE_CPR),0)</f>
        <v/>
      </c>
      <c r="AL209" s="28">
        <f>IFERROR(LN(Z209)/(LN(W209)+LN(X209)+LN(Y209)+LN(Z209)+LN(AA209)+LN(AB209)+LN(AC209)+LN(AD209))*(AH209-V7_BASE_CPR),0)</f>
        <v/>
      </c>
      <c r="AM209" s="28">
        <f>IFERROR(LN(AA209)/(LN(W209)+LN(X209)+LN(Y209)+LN(Z209)+LN(AA209)+LN(AB209)+LN(AC209)+LN(AD209))*(AH209-V7_BASE_CPR),0)</f>
        <v/>
      </c>
      <c r="AN209" s="28">
        <f>IFERROR(LN(AB209)/(LN(W209)+LN(X209)+LN(Y209)+LN(Z209)+LN(AA209)+LN(AB209)+LN(AC209)+LN(AD209))*(AH209-V7_BASE_CPR),0)</f>
        <v/>
      </c>
      <c r="AO209" s="28">
        <f>IFERROR(LN(AC209)/(LN(W209)+LN(X209)+LN(Y209)+LN(Z209)+LN(AA209)+LN(AB209)+LN(AC209)+LN(AD209))*(AH209-V7_BASE_CPR),0)</f>
        <v/>
      </c>
      <c r="AP209" s="28">
        <f>IFERROR(LN(AD209)/(LN(W209)+LN(X209)+LN(Y209)+LN(Z209)+LN(AA209)+LN(AB209)+LN(AC209)+LN(AD209))*(AH209-V7_BASE_CPR),0)</f>
        <v/>
      </c>
      <c r="AQ209" s="29">
        <f>V7_BASE_CPR+SUM(AI209:AP209)-AH209</f>
        <v/>
      </c>
    </row>
    <row r="210">
      <c r="A210" s="2" t="inlineStr">
        <is>
          <t>3617MPR75_000000006111419</t>
        </is>
      </c>
      <c r="B210" t="inlineStr">
        <is>
          <t>DWIGHT_PRE21</t>
        </is>
      </c>
      <c r="C210" s="2" t="inlineStr">
        <is>
          <t>3617MPR75</t>
        </is>
      </c>
      <c r="D210" t="inlineStr">
        <is>
          <t>DWIGHT CAPITAL LLC</t>
        </is>
      </c>
      <c r="E210" t="inlineStr">
        <is>
          <t>223f</t>
        </is>
      </c>
      <c r="F210" t="inlineStr">
        <is>
          <t>RP</t>
        </is>
      </c>
      <c r="G210" t="n">
        <v>2020</v>
      </c>
      <c r="H210" t="inlineStr">
        <is>
          <t>202602</t>
        </is>
      </c>
      <c r="I210" s="22" t="n">
        <v>6014766.92</v>
      </c>
      <c r="J210" s="23" t="n">
        <v>3.25</v>
      </c>
      <c r="K210" s="24" t="n">
        <v>447</v>
      </c>
      <c r="L210" s="24" t="n">
        <v>5</v>
      </c>
      <c r="M210" t="n">
        <v>72</v>
      </c>
      <c r="N210" s="25" t="n">
        <v>19</v>
      </c>
      <c r="O210" t="n">
        <v>205503</v>
      </c>
      <c r="P210" t="inlineStr"/>
      <c r="Q210" t="inlineStr">
        <is>
          <t>4398</t>
        </is>
      </c>
      <c r="R210" s="26" t="n">
        <v>0.2638888888888889</v>
      </c>
      <c r="S210" t="n">
        <v>0</v>
      </c>
      <c r="T210" s="23">
        <f>LN(1+I210)</f>
        <v/>
      </c>
      <c r="U210" s="24">
        <f>J210*100-K210</f>
        <v/>
      </c>
      <c r="V210" s="24">
        <f>U210-12.5*(L210+1)</f>
        <v/>
      </c>
      <c r="W210" s="26">
        <f>IF(M210&lt;=V7_AGE_KNOT_X_0,V7_AGE_KNOT_Y_0,IF(M210&gt;=V7_AGE_KNOT_X_5,V7_AGE_KNOT_Y_5,IF(M210&lt;=V7_AGE_KNOT_X_1,V7_AGE_KNOT_Y_0+(M210-V7_AGE_KNOT_X_0)/(V7_AGE_KNOT_X_1-V7_AGE_KNOT_X_0)*(V7_AGE_KNOT_Y_1-V7_AGE_KNOT_Y_0),IF(M210&lt;=V7_AGE_KNOT_X_2,V7_AGE_KNOT_Y_1+(M210-V7_AGE_KNOT_X_1)/(V7_AGE_KNOT_X_2-V7_AGE_KNOT_X_1)*(V7_AGE_KNOT_Y_2-V7_AGE_KNOT_Y_1),IF(M210&lt;=V7_AGE_KNOT_X_3,V7_AGE_KNOT_Y_2+(M210-V7_AGE_KNOT_X_2)/(V7_AGE_KNOT_X_3-V7_AGE_KNOT_X_2)*(V7_AGE_KNOT_Y_3-V7_AGE_KNOT_Y_2),IF(M210&lt;=V7_AGE_KNOT_X_4,V7_AGE_KNOT_Y_3+(M210-V7_AGE_KNOT_X_3)/(V7_AGE_KNOT_X_4-V7_AGE_KNOT_X_3)*(V7_AGE_KNOT_Y_4-V7_AGE_KNOT_Y_3),V7_AGE_KNOT_Y_4+(M210-V7_AGE_KNOT_X_4)/(V7_AGE_KNOT_X_5-V7_AGE_KNOT_X_4)*(V7_AGE_KNOT_Y_5-V7_AGE_KNOT_Y_4)))))))</f>
        <v/>
      </c>
      <c r="X210" s="26">
        <f>V7_RATE_FLOOR+V7_RATE_ASYMPTOTE/(1+EXP(-(V210-V7_RATE_MID)/V7_RATE_SLOPE))</f>
        <v/>
      </c>
      <c r="Y210" s="26">
        <f>MAX(V7_SIZE_LOW,MIN(V7_SIZE_HIGH,V7_SIZE_INTERCEPT+V7_SIZE_SLOPE*(T210-V7_SIZE_LOG_ANCHOR)))</f>
        <v/>
      </c>
      <c r="Z210" s="26">
        <f>IF(ISNUMBER(SEARCH("232",E210)),VLOOKUP("232",V7_PROGRAM_TABLE,2,FALSE),IF(ISNUMBER(SEARCH("538",E210)),VLOOKUP("538",V7_PROGRAM_TABLE,2,FALSE),IF(ISNUMBER(SEARCH("223a7",E210)),VLOOKUP("223a7",V7_PROGRAM_TABLE,2,FALSE),IF(ISNUMBER(SEARCH("223f",E210)),VLOOKUP("223f",V7_PROGRAM_TABLE,2,FALSE),V7_PROGRAM_DEFAULT))))</f>
        <v/>
      </c>
      <c r="AA210" s="26">
        <f>IF(S210=1,1+V7_PURPOSE_NC_BUMP*MAX(0,1-ABS(M210-V7_PURPOSE_PEAK_AGE)/V7_PURPOSE_WIDTH),1)</f>
        <v/>
      </c>
      <c r="AB210" s="26">
        <f>IF(AND(IF(OR(P210="",NOT(ISNUMBER(P210))),0,MAX(0,MIN(24,(INT(VALUE(H210)/100)-INT(P210/100))*12+MOD(VALUE(H210),100)-MOD(P210,100))))&gt;0,IF(OR(P210="",NOT(ISNUMBER(P210))),0,MAX(0,MIN(24,(INT(VALUE(H210)/100)-INT(P210/100))*12+MOD(VALUE(H210),100)-MOD(P210,100))))&lt;=12),1+V7_LOCKOUT_AMP*EXP(-(IF(OR(P210="",NOT(ISNUMBER(P210))),0,MAX(0,MIN(24,(INT(VALUE(H210)/100)-INT(P210/100))*12+MOD(VALUE(H210),100)-MOD(P210,100)))))/V7_LOCKOUT_TAU),1)</f>
        <v/>
      </c>
      <c r="AC210" s="26">
        <f>IF(IF(OR(O210="",NOT(ISNUMBER(O210))),360,MAX(0,MIN(480,(INT(O210/100)-INT(VALUE(H210)/100))*12+MOD(O210,100)-MOD(VALUE(H210),100))))&gt;0,1+V7_MTY_AMP*MAX(0,(V7_MTY_CUTOFF-(IF(OR(O210="",NOT(ISNUMBER(O210))),360,MAX(0,MIN(480,(INT(O210/100)-INT(VALUE(H210)/100))*12+MOD(O210,100)-MOD(VALUE(H210),100))))))/V7_MTY_CUTOFF),1)</f>
        <v/>
      </c>
      <c r="AD210" s="26">
        <f>MAX(V7_BURN_FLOOR,1-V7_BURN_SLOPE*MIN(1,MAX(0,R210)))</f>
        <v/>
      </c>
      <c r="AE210" s="26">
        <f>IF(V7_USE_ISSUER=1,IFERROR(VLOOKUP(Q210,V7_ISSUER_TABLE,3,FALSE),1),1)</f>
        <v/>
      </c>
      <c r="AF210" s="26">
        <f>PRODUCT(W210:AE210)</f>
        <v/>
      </c>
      <c r="AG210" s="27">
        <f>MIN(V7_BASE_SMM*AF210,V7_SMM_CAP)</f>
        <v/>
      </c>
      <c r="AH210" s="28">
        <f>1-(1-AG210)^12</f>
        <v/>
      </c>
      <c r="AI210" s="28">
        <f>IFERROR(LN(W210)/(LN(W210)+LN(X210)+LN(Y210)+LN(Z210)+LN(AA210)+LN(AB210)+LN(AC210)+LN(AD210))*(AH210-V7_BASE_CPR),0)</f>
        <v/>
      </c>
      <c r="AJ210" s="28">
        <f>IFERROR(LN(X210)/(LN(W210)+LN(X210)+LN(Y210)+LN(Z210)+LN(AA210)+LN(AB210)+LN(AC210)+LN(AD210))*(AH210-V7_BASE_CPR),0)</f>
        <v/>
      </c>
      <c r="AK210" s="28">
        <f>IFERROR(LN(Y210)/(LN(W210)+LN(X210)+LN(Y210)+LN(Z210)+LN(AA210)+LN(AB210)+LN(AC210)+LN(AD210))*(AH210-V7_BASE_CPR),0)</f>
        <v/>
      </c>
      <c r="AL210" s="28">
        <f>IFERROR(LN(Z210)/(LN(W210)+LN(X210)+LN(Y210)+LN(Z210)+LN(AA210)+LN(AB210)+LN(AC210)+LN(AD210))*(AH210-V7_BASE_CPR),0)</f>
        <v/>
      </c>
      <c r="AM210" s="28">
        <f>IFERROR(LN(AA210)/(LN(W210)+LN(X210)+LN(Y210)+LN(Z210)+LN(AA210)+LN(AB210)+LN(AC210)+LN(AD210))*(AH210-V7_BASE_CPR),0)</f>
        <v/>
      </c>
      <c r="AN210" s="28">
        <f>IFERROR(LN(AB210)/(LN(W210)+LN(X210)+LN(Y210)+LN(Z210)+LN(AA210)+LN(AB210)+LN(AC210)+LN(AD210))*(AH210-V7_BASE_CPR),0)</f>
        <v/>
      </c>
      <c r="AO210" s="28">
        <f>IFERROR(LN(AC210)/(LN(W210)+LN(X210)+LN(Y210)+LN(Z210)+LN(AA210)+LN(AB210)+LN(AC210)+LN(AD210))*(AH210-V7_BASE_CPR),0)</f>
        <v/>
      </c>
      <c r="AP210" s="28">
        <f>IFERROR(LN(AD210)/(LN(W210)+LN(X210)+LN(Y210)+LN(Z210)+LN(AA210)+LN(AB210)+LN(AC210)+LN(AD210))*(AH210-V7_BASE_CPR),0)</f>
        <v/>
      </c>
      <c r="AQ210" s="29">
        <f>V7_BASE_CPR+SUM(AI210:AP210)-AH210</f>
        <v/>
      </c>
    </row>
    <row r="211">
      <c r="A211" s="2" t="inlineStr">
        <is>
          <t>3618KU4F1_000000008322130</t>
        </is>
      </c>
      <c r="B211" t="inlineStr">
        <is>
          <t>DWIGHT_POST21</t>
        </is>
      </c>
      <c r="C211" s="2" t="inlineStr">
        <is>
          <t>3618KU4F1</t>
        </is>
      </c>
      <c r="D211" t="inlineStr">
        <is>
          <t>DWIGHT CAPITAL LLC</t>
        </is>
      </c>
      <c r="E211" t="inlineStr">
        <is>
          <t>232</t>
        </is>
      </c>
      <c r="F211" t="inlineStr">
        <is>
          <t>RP</t>
        </is>
      </c>
      <c r="G211" t="n">
        <v>2025</v>
      </c>
      <c r="H211" t="inlineStr">
        <is>
          <t>202602</t>
        </is>
      </c>
      <c r="I211" s="22" t="n">
        <v>13049676.66</v>
      </c>
      <c r="J211" s="23" t="n">
        <v>6.28</v>
      </c>
      <c r="K211" s="24" t="n">
        <v>447</v>
      </c>
      <c r="L211" s="24" t="n">
        <v>0</v>
      </c>
      <c r="M211" t="n">
        <v>9</v>
      </c>
      <c r="N211" s="25" t="n">
        <v>9</v>
      </c>
      <c r="O211" t="n">
        <v>206006</v>
      </c>
      <c r="P211" t="inlineStr"/>
      <c r="Q211" t="inlineStr">
        <is>
          <t>4398</t>
        </is>
      </c>
      <c r="R211" s="26" t="n">
        <v>1</v>
      </c>
      <c r="S211" t="n">
        <v>0</v>
      </c>
      <c r="T211" s="23">
        <f>LN(1+I211)</f>
        <v/>
      </c>
      <c r="U211" s="24">
        <f>J211*100-K211</f>
        <v/>
      </c>
      <c r="V211" s="24">
        <f>U211-12.5*(L211+1)</f>
        <v/>
      </c>
      <c r="W211" s="26">
        <f>IF(M211&lt;=V7_AGE_KNOT_X_0,V7_AGE_KNOT_Y_0,IF(M211&gt;=V7_AGE_KNOT_X_5,V7_AGE_KNOT_Y_5,IF(M211&lt;=V7_AGE_KNOT_X_1,V7_AGE_KNOT_Y_0+(M211-V7_AGE_KNOT_X_0)/(V7_AGE_KNOT_X_1-V7_AGE_KNOT_X_0)*(V7_AGE_KNOT_Y_1-V7_AGE_KNOT_Y_0),IF(M211&lt;=V7_AGE_KNOT_X_2,V7_AGE_KNOT_Y_1+(M211-V7_AGE_KNOT_X_1)/(V7_AGE_KNOT_X_2-V7_AGE_KNOT_X_1)*(V7_AGE_KNOT_Y_2-V7_AGE_KNOT_Y_1),IF(M211&lt;=V7_AGE_KNOT_X_3,V7_AGE_KNOT_Y_2+(M211-V7_AGE_KNOT_X_2)/(V7_AGE_KNOT_X_3-V7_AGE_KNOT_X_2)*(V7_AGE_KNOT_Y_3-V7_AGE_KNOT_Y_2),IF(M211&lt;=V7_AGE_KNOT_X_4,V7_AGE_KNOT_Y_3+(M211-V7_AGE_KNOT_X_3)/(V7_AGE_KNOT_X_4-V7_AGE_KNOT_X_3)*(V7_AGE_KNOT_Y_4-V7_AGE_KNOT_Y_3),V7_AGE_KNOT_Y_4+(M211-V7_AGE_KNOT_X_4)/(V7_AGE_KNOT_X_5-V7_AGE_KNOT_X_4)*(V7_AGE_KNOT_Y_5-V7_AGE_KNOT_Y_4)))))))</f>
        <v/>
      </c>
      <c r="X211" s="26">
        <f>V7_RATE_FLOOR+V7_RATE_ASYMPTOTE/(1+EXP(-(V211-V7_RATE_MID)/V7_RATE_SLOPE))</f>
        <v/>
      </c>
      <c r="Y211" s="26">
        <f>MAX(V7_SIZE_LOW,MIN(V7_SIZE_HIGH,V7_SIZE_INTERCEPT+V7_SIZE_SLOPE*(T211-V7_SIZE_LOG_ANCHOR)))</f>
        <v/>
      </c>
      <c r="Z211" s="26">
        <f>IF(ISNUMBER(SEARCH("232",E211)),VLOOKUP("232",V7_PROGRAM_TABLE,2,FALSE),IF(ISNUMBER(SEARCH("538",E211)),VLOOKUP("538",V7_PROGRAM_TABLE,2,FALSE),IF(ISNUMBER(SEARCH("223a7",E211)),VLOOKUP("223a7",V7_PROGRAM_TABLE,2,FALSE),IF(ISNUMBER(SEARCH("223f",E211)),VLOOKUP("223f",V7_PROGRAM_TABLE,2,FALSE),V7_PROGRAM_DEFAULT))))</f>
        <v/>
      </c>
      <c r="AA211" s="26">
        <f>IF(S211=1,1+V7_PURPOSE_NC_BUMP*MAX(0,1-ABS(M211-V7_PURPOSE_PEAK_AGE)/V7_PURPOSE_WIDTH),1)</f>
        <v/>
      </c>
      <c r="AB211" s="26">
        <f>IF(AND(IF(OR(P211="",NOT(ISNUMBER(P211))),0,MAX(0,MIN(24,(INT(VALUE(H211)/100)-INT(P211/100))*12+MOD(VALUE(H211),100)-MOD(P211,100))))&gt;0,IF(OR(P211="",NOT(ISNUMBER(P211))),0,MAX(0,MIN(24,(INT(VALUE(H211)/100)-INT(P211/100))*12+MOD(VALUE(H211),100)-MOD(P211,100))))&lt;=12),1+V7_LOCKOUT_AMP*EXP(-(IF(OR(P211="",NOT(ISNUMBER(P211))),0,MAX(0,MIN(24,(INT(VALUE(H211)/100)-INT(P211/100))*12+MOD(VALUE(H211),100)-MOD(P211,100)))))/V7_LOCKOUT_TAU),1)</f>
        <v/>
      </c>
      <c r="AC211" s="26">
        <f>IF(IF(OR(O211="",NOT(ISNUMBER(O211))),360,MAX(0,MIN(480,(INT(O211/100)-INT(VALUE(H211)/100))*12+MOD(O211,100)-MOD(VALUE(H211),100))))&gt;0,1+V7_MTY_AMP*MAX(0,(V7_MTY_CUTOFF-(IF(OR(O211="",NOT(ISNUMBER(O211))),360,MAX(0,MIN(480,(INT(O211/100)-INT(VALUE(H211)/100))*12+MOD(O211,100)-MOD(VALUE(H211),100))))))/V7_MTY_CUTOFF),1)</f>
        <v/>
      </c>
      <c r="AD211" s="26">
        <f>MAX(V7_BURN_FLOOR,1-V7_BURN_SLOPE*MIN(1,MAX(0,R211)))</f>
        <v/>
      </c>
      <c r="AE211" s="26">
        <f>IF(V7_USE_ISSUER=1,IFERROR(VLOOKUP(Q211,V7_ISSUER_TABLE,3,FALSE),1),1)</f>
        <v/>
      </c>
      <c r="AF211" s="26">
        <f>PRODUCT(W211:AE211)</f>
        <v/>
      </c>
      <c r="AG211" s="27">
        <f>MIN(V7_BASE_SMM*AF211,V7_SMM_CAP)</f>
        <v/>
      </c>
      <c r="AH211" s="28">
        <f>1-(1-AG211)^12</f>
        <v/>
      </c>
      <c r="AI211" s="28">
        <f>IFERROR(LN(W211)/(LN(W211)+LN(X211)+LN(Y211)+LN(Z211)+LN(AA211)+LN(AB211)+LN(AC211)+LN(AD211))*(AH211-V7_BASE_CPR),0)</f>
        <v/>
      </c>
      <c r="AJ211" s="28">
        <f>IFERROR(LN(X211)/(LN(W211)+LN(X211)+LN(Y211)+LN(Z211)+LN(AA211)+LN(AB211)+LN(AC211)+LN(AD211))*(AH211-V7_BASE_CPR),0)</f>
        <v/>
      </c>
      <c r="AK211" s="28">
        <f>IFERROR(LN(Y211)/(LN(W211)+LN(X211)+LN(Y211)+LN(Z211)+LN(AA211)+LN(AB211)+LN(AC211)+LN(AD211))*(AH211-V7_BASE_CPR),0)</f>
        <v/>
      </c>
      <c r="AL211" s="28">
        <f>IFERROR(LN(Z211)/(LN(W211)+LN(X211)+LN(Y211)+LN(Z211)+LN(AA211)+LN(AB211)+LN(AC211)+LN(AD211))*(AH211-V7_BASE_CPR),0)</f>
        <v/>
      </c>
      <c r="AM211" s="28">
        <f>IFERROR(LN(AA211)/(LN(W211)+LN(X211)+LN(Y211)+LN(Z211)+LN(AA211)+LN(AB211)+LN(AC211)+LN(AD211))*(AH211-V7_BASE_CPR),0)</f>
        <v/>
      </c>
      <c r="AN211" s="28">
        <f>IFERROR(LN(AB211)/(LN(W211)+LN(X211)+LN(Y211)+LN(Z211)+LN(AA211)+LN(AB211)+LN(AC211)+LN(AD211))*(AH211-V7_BASE_CPR),0)</f>
        <v/>
      </c>
      <c r="AO211" s="28">
        <f>IFERROR(LN(AC211)/(LN(W211)+LN(X211)+LN(Y211)+LN(Z211)+LN(AA211)+LN(AB211)+LN(AC211)+LN(AD211))*(AH211-V7_BASE_CPR),0)</f>
        <v/>
      </c>
      <c r="AP211" s="28">
        <f>IFERROR(LN(AD211)/(LN(W211)+LN(X211)+LN(Y211)+LN(Z211)+LN(AA211)+LN(AB211)+LN(AC211)+LN(AD211))*(AH211-V7_BASE_CPR),0)</f>
        <v/>
      </c>
      <c r="AQ211" s="29">
        <f>V7_BASE_CPR+SUM(AI211:AP211)-AH211</f>
        <v/>
      </c>
    </row>
    <row r="212">
      <c r="A212" s="2" t="inlineStr">
        <is>
          <t>36181PGH6_000000017122040</t>
        </is>
      </c>
      <c r="B212" t="inlineStr">
        <is>
          <t>KEYBANK_PRE21</t>
        </is>
      </c>
      <c r="C212" s="2" t="inlineStr">
        <is>
          <t>36181PGH6</t>
        </is>
      </c>
      <c r="D212" t="inlineStr">
        <is>
          <t>KEYBANK NATIONAL ASSOCIATION</t>
        </is>
      </c>
      <c r="E212" t="inlineStr">
        <is>
          <t>232</t>
        </is>
      </c>
      <c r="F212" t="inlineStr">
        <is>
          <t>RP</t>
        </is>
      </c>
      <c r="G212" t="n">
        <v>2014</v>
      </c>
      <c r="H212" t="inlineStr">
        <is>
          <t>202602</t>
        </is>
      </c>
      <c r="I212" s="22" t="n">
        <v>9448229.029999999</v>
      </c>
      <c r="J212" s="23" t="n">
        <v>3.73</v>
      </c>
      <c r="K212" s="24" t="n">
        <v>447</v>
      </c>
      <c r="L212" s="24" t="n">
        <v>0</v>
      </c>
      <c r="M212" t="n">
        <v>134</v>
      </c>
      <c r="N212" s="25" t="n">
        <v>35</v>
      </c>
      <c r="O212" t="n">
        <v>205001</v>
      </c>
      <c r="P212" t="inlineStr"/>
      <c r="Q212" t="inlineStr">
        <is>
          <t>4271</t>
        </is>
      </c>
      <c r="R212" s="26" t="n">
        <v>0.2611940298507462</v>
      </c>
      <c r="S212" t="n">
        <v>0</v>
      </c>
      <c r="T212" s="23">
        <f>LN(1+I212)</f>
        <v/>
      </c>
      <c r="U212" s="24">
        <f>J212*100-K212</f>
        <v/>
      </c>
      <c r="V212" s="24">
        <f>U212-12.5*(L212+1)</f>
        <v/>
      </c>
      <c r="W212" s="26">
        <f>IF(M212&lt;=V7_AGE_KNOT_X_0,V7_AGE_KNOT_Y_0,IF(M212&gt;=V7_AGE_KNOT_X_5,V7_AGE_KNOT_Y_5,IF(M212&lt;=V7_AGE_KNOT_X_1,V7_AGE_KNOT_Y_0+(M212-V7_AGE_KNOT_X_0)/(V7_AGE_KNOT_X_1-V7_AGE_KNOT_X_0)*(V7_AGE_KNOT_Y_1-V7_AGE_KNOT_Y_0),IF(M212&lt;=V7_AGE_KNOT_X_2,V7_AGE_KNOT_Y_1+(M212-V7_AGE_KNOT_X_1)/(V7_AGE_KNOT_X_2-V7_AGE_KNOT_X_1)*(V7_AGE_KNOT_Y_2-V7_AGE_KNOT_Y_1),IF(M212&lt;=V7_AGE_KNOT_X_3,V7_AGE_KNOT_Y_2+(M212-V7_AGE_KNOT_X_2)/(V7_AGE_KNOT_X_3-V7_AGE_KNOT_X_2)*(V7_AGE_KNOT_Y_3-V7_AGE_KNOT_Y_2),IF(M212&lt;=V7_AGE_KNOT_X_4,V7_AGE_KNOT_Y_3+(M212-V7_AGE_KNOT_X_3)/(V7_AGE_KNOT_X_4-V7_AGE_KNOT_X_3)*(V7_AGE_KNOT_Y_4-V7_AGE_KNOT_Y_3),V7_AGE_KNOT_Y_4+(M212-V7_AGE_KNOT_X_4)/(V7_AGE_KNOT_X_5-V7_AGE_KNOT_X_4)*(V7_AGE_KNOT_Y_5-V7_AGE_KNOT_Y_4)))))))</f>
        <v/>
      </c>
      <c r="X212" s="26">
        <f>V7_RATE_FLOOR+V7_RATE_ASYMPTOTE/(1+EXP(-(V212-V7_RATE_MID)/V7_RATE_SLOPE))</f>
        <v/>
      </c>
      <c r="Y212" s="26">
        <f>MAX(V7_SIZE_LOW,MIN(V7_SIZE_HIGH,V7_SIZE_INTERCEPT+V7_SIZE_SLOPE*(T212-V7_SIZE_LOG_ANCHOR)))</f>
        <v/>
      </c>
      <c r="Z212" s="26">
        <f>IF(ISNUMBER(SEARCH("232",E212)),VLOOKUP("232",V7_PROGRAM_TABLE,2,FALSE),IF(ISNUMBER(SEARCH("538",E212)),VLOOKUP("538",V7_PROGRAM_TABLE,2,FALSE),IF(ISNUMBER(SEARCH("223a7",E212)),VLOOKUP("223a7",V7_PROGRAM_TABLE,2,FALSE),IF(ISNUMBER(SEARCH("223f",E212)),VLOOKUP("223f",V7_PROGRAM_TABLE,2,FALSE),V7_PROGRAM_DEFAULT))))</f>
        <v/>
      </c>
      <c r="AA212" s="26">
        <f>IF(S212=1,1+V7_PURPOSE_NC_BUMP*MAX(0,1-ABS(M212-V7_PURPOSE_PEAK_AGE)/V7_PURPOSE_WIDTH),1)</f>
        <v/>
      </c>
      <c r="AB212" s="26">
        <f>IF(AND(IF(OR(P212="",NOT(ISNUMBER(P212))),0,MAX(0,MIN(24,(INT(VALUE(H212)/100)-INT(P212/100))*12+MOD(VALUE(H212),100)-MOD(P212,100))))&gt;0,IF(OR(P212="",NOT(ISNUMBER(P212))),0,MAX(0,MIN(24,(INT(VALUE(H212)/100)-INT(P212/100))*12+MOD(VALUE(H212),100)-MOD(P212,100))))&lt;=12),1+V7_LOCKOUT_AMP*EXP(-(IF(OR(P212="",NOT(ISNUMBER(P212))),0,MAX(0,MIN(24,(INT(VALUE(H212)/100)-INT(P212/100))*12+MOD(VALUE(H212),100)-MOD(P212,100)))))/V7_LOCKOUT_TAU),1)</f>
        <v/>
      </c>
      <c r="AC212" s="26">
        <f>IF(IF(OR(O212="",NOT(ISNUMBER(O212))),360,MAX(0,MIN(480,(INT(O212/100)-INT(VALUE(H212)/100))*12+MOD(O212,100)-MOD(VALUE(H212),100))))&gt;0,1+V7_MTY_AMP*MAX(0,(V7_MTY_CUTOFF-(IF(OR(O212="",NOT(ISNUMBER(O212))),360,MAX(0,MIN(480,(INT(O212/100)-INT(VALUE(H212)/100))*12+MOD(O212,100)-MOD(VALUE(H212),100))))))/V7_MTY_CUTOFF),1)</f>
        <v/>
      </c>
      <c r="AD212" s="26">
        <f>MAX(V7_BURN_FLOOR,1-V7_BURN_SLOPE*MIN(1,MAX(0,R212)))</f>
        <v/>
      </c>
      <c r="AE212" s="26">
        <f>IF(V7_USE_ISSUER=1,IFERROR(VLOOKUP(Q212,V7_ISSUER_TABLE,3,FALSE),1),1)</f>
        <v/>
      </c>
      <c r="AF212" s="26">
        <f>PRODUCT(W212:AE212)</f>
        <v/>
      </c>
      <c r="AG212" s="27">
        <f>MIN(V7_BASE_SMM*AF212,V7_SMM_CAP)</f>
        <v/>
      </c>
      <c r="AH212" s="28">
        <f>1-(1-AG212)^12</f>
        <v/>
      </c>
      <c r="AI212" s="28">
        <f>IFERROR(LN(W212)/(LN(W212)+LN(X212)+LN(Y212)+LN(Z212)+LN(AA212)+LN(AB212)+LN(AC212)+LN(AD212))*(AH212-V7_BASE_CPR),0)</f>
        <v/>
      </c>
      <c r="AJ212" s="28">
        <f>IFERROR(LN(X212)/(LN(W212)+LN(X212)+LN(Y212)+LN(Z212)+LN(AA212)+LN(AB212)+LN(AC212)+LN(AD212))*(AH212-V7_BASE_CPR),0)</f>
        <v/>
      </c>
      <c r="AK212" s="28">
        <f>IFERROR(LN(Y212)/(LN(W212)+LN(X212)+LN(Y212)+LN(Z212)+LN(AA212)+LN(AB212)+LN(AC212)+LN(AD212))*(AH212-V7_BASE_CPR),0)</f>
        <v/>
      </c>
      <c r="AL212" s="28">
        <f>IFERROR(LN(Z212)/(LN(W212)+LN(X212)+LN(Y212)+LN(Z212)+LN(AA212)+LN(AB212)+LN(AC212)+LN(AD212))*(AH212-V7_BASE_CPR),0)</f>
        <v/>
      </c>
      <c r="AM212" s="28">
        <f>IFERROR(LN(AA212)/(LN(W212)+LN(X212)+LN(Y212)+LN(Z212)+LN(AA212)+LN(AB212)+LN(AC212)+LN(AD212))*(AH212-V7_BASE_CPR),0)</f>
        <v/>
      </c>
      <c r="AN212" s="28">
        <f>IFERROR(LN(AB212)/(LN(W212)+LN(X212)+LN(Y212)+LN(Z212)+LN(AA212)+LN(AB212)+LN(AC212)+LN(AD212))*(AH212-V7_BASE_CPR),0)</f>
        <v/>
      </c>
      <c r="AO212" s="28">
        <f>IFERROR(LN(AC212)/(LN(W212)+LN(X212)+LN(Y212)+LN(Z212)+LN(AA212)+LN(AB212)+LN(AC212)+LN(AD212))*(AH212-V7_BASE_CPR),0)</f>
        <v/>
      </c>
      <c r="AP212" s="28">
        <f>IFERROR(LN(AD212)/(LN(W212)+LN(X212)+LN(Y212)+LN(Z212)+LN(AA212)+LN(AB212)+LN(AC212)+LN(AD212))*(AH212-V7_BASE_CPR),0)</f>
        <v/>
      </c>
      <c r="AQ212" s="29">
        <f>V7_BASE_CPR+SUM(AI212:AP212)-AH212</f>
        <v/>
      </c>
    </row>
    <row r="213">
      <c r="A213" s="2" t="inlineStr">
        <is>
          <t>3617X45S8_000000007422080</t>
        </is>
      </c>
      <c r="B213" t="inlineStr">
        <is>
          <t>KEYBANK_POST21</t>
        </is>
      </c>
      <c r="C213" s="2" t="inlineStr">
        <is>
          <t>3617X45S8</t>
        </is>
      </c>
      <c r="D213" t="inlineStr">
        <is>
          <t>KEYBANK NATIONAL ASSOCIATION</t>
        </is>
      </c>
      <c r="E213" t="inlineStr">
        <is>
          <t>232</t>
        </is>
      </c>
      <c r="F213" t="inlineStr">
        <is>
          <t>RP</t>
        </is>
      </c>
      <c r="G213" t="n">
        <v>2021</v>
      </c>
      <c r="H213" t="inlineStr">
        <is>
          <t>202602</t>
        </is>
      </c>
      <c r="I213" s="22" t="n">
        <v>3841951.56</v>
      </c>
      <c r="J213" s="23" t="n">
        <v>2.53</v>
      </c>
      <c r="K213" s="24" t="n">
        <v>447</v>
      </c>
      <c r="L213" s="24" t="n">
        <v>6</v>
      </c>
      <c r="M213" t="n">
        <v>50</v>
      </c>
      <c r="N213" s="25" t="n">
        <v>0</v>
      </c>
      <c r="O213" t="n">
        <v>205701</v>
      </c>
      <c r="P213" t="inlineStr"/>
      <c r="Q213" t="inlineStr">
        <is>
          <t>4271</t>
        </is>
      </c>
      <c r="R213" s="26" t="n">
        <v>0</v>
      </c>
      <c r="S213" t="n">
        <v>0</v>
      </c>
      <c r="T213" s="23">
        <f>LN(1+I213)</f>
        <v/>
      </c>
      <c r="U213" s="24">
        <f>J213*100-K213</f>
        <v/>
      </c>
      <c r="V213" s="24">
        <f>U213-12.5*(L213+1)</f>
        <v/>
      </c>
      <c r="W213" s="26">
        <f>IF(M213&lt;=V7_AGE_KNOT_X_0,V7_AGE_KNOT_Y_0,IF(M213&gt;=V7_AGE_KNOT_X_5,V7_AGE_KNOT_Y_5,IF(M213&lt;=V7_AGE_KNOT_X_1,V7_AGE_KNOT_Y_0+(M213-V7_AGE_KNOT_X_0)/(V7_AGE_KNOT_X_1-V7_AGE_KNOT_X_0)*(V7_AGE_KNOT_Y_1-V7_AGE_KNOT_Y_0),IF(M213&lt;=V7_AGE_KNOT_X_2,V7_AGE_KNOT_Y_1+(M213-V7_AGE_KNOT_X_1)/(V7_AGE_KNOT_X_2-V7_AGE_KNOT_X_1)*(V7_AGE_KNOT_Y_2-V7_AGE_KNOT_Y_1),IF(M213&lt;=V7_AGE_KNOT_X_3,V7_AGE_KNOT_Y_2+(M213-V7_AGE_KNOT_X_2)/(V7_AGE_KNOT_X_3-V7_AGE_KNOT_X_2)*(V7_AGE_KNOT_Y_3-V7_AGE_KNOT_Y_2),IF(M213&lt;=V7_AGE_KNOT_X_4,V7_AGE_KNOT_Y_3+(M213-V7_AGE_KNOT_X_3)/(V7_AGE_KNOT_X_4-V7_AGE_KNOT_X_3)*(V7_AGE_KNOT_Y_4-V7_AGE_KNOT_Y_3),V7_AGE_KNOT_Y_4+(M213-V7_AGE_KNOT_X_4)/(V7_AGE_KNOT_X_5-V7_AGE_KNOT_X_4)*(V7_AGE_KNOT_Y_5-V7_AGE_KNOT_Y_4)))))))</f>
        <v/>
      </c>
      <c r="X213" s="26">
        <f>V7_RATE_FLOOR+V7_RATE_ASYMPTOTE/(1+EXP(-(V213-V7_RATE_MID)/V7_RATE_SLOPE))</f>
        <v/>
      </c>
      <c r="Y213" s="26">
        <f>MAX(V7_SIZE_LOW,MIN(V7_SIZE_HIGH,V7_SIZE_INTERCEPT+V7_SIZE_SLOPE*(T213-V7_SIZE_LOG_ANCHOR)))</f>
        <v/>
      </c>
      <c r="Z213" s="26">
        <f>IF(ISNUMBER(SEARCH("232",E213)),VLOOKUP("232",V7_PROGRAM_TABLE,2,FALSE),IF(ISNUMBER(SEARCH("538",E213)),VLOOKUP("538",V7_PROGRAM_TABLE,2,FALSE),IF(ISNUMBER(SEARCH("223a7",E213)),VLOOKUP("223a7",V7_PROGRAM_TABLE,2,FALSE),IF(ISNUMBER(SEARCH("223f",E213)),VLOOKUP("223f",V7_PROGRAM_TABLE,2,FALSE),V7_PROGRAM_DEFAULT))))</f>
        <v/>
      </c>
      <c r="AA213" s="26">
        <f>IF(S213=1,1+V7_PURPOSE_NC_BUMP*MAX(0,1-ABS(M213-V7_PURPOSE_PEAK_AGE)/V7_PURPOSE_WIDTH),1)</f>
        <v/>
      </c>
      <c r="AB213" s="26">
        <f>IF(AND(IF(OR(P213="",NOT(ISNUMBER(P213))),0,MAX(0,MIN(24,(INT(VALUE(H213)/100)-INT(P213/100))*12+MOD(VALUE(H213),100)-MOD(P213,100))))&gt;0,IF(OR(P213="",NOT(ISNUMBER(P213))),0,MAX(0,MIN(24,(INT(VALUE(H213)/100)-INT(P213/100))*12+MOD(VALUE(H213),100)-MOD(P213,100))))&lt;=12),1+V7_LOCKOUT_AMP*EXP(-(IF(OR(P213="",NOT(ISNUMBER(P213))),0,MAX(0,MIN(24,(INT(VALUE(H213)/100)-INT(P213/100))*12+MOD(VALUE(H213),100)-MOD(P213,100)))))/V7_LOCKOUT_TAU),1)</f>
        <v/>
      </c>
      <c r="AC213" s="26">
        <f>IF(IF(OR(O213="",NOT(ISNUMBER(O213))),360,MAX(0,MIN(480,(INT(O213/100)-INT(VALUE(H213)/100))*12+MOD(O213,100)-MOD(VALUE(H213),100))))&gt;0,1+V7_MTY_AMP*MAX(0,(V7_MTY_CUTOFF-(IF(OR(O213="",NOT(ISNUMBER(O213))),360,MAX(0,MIN(480,(INT(O213/100)-INT(VALUE(H213)/100))*12+MOD(O213,100)-MOD(VALUE(H213),100))))))/V7_MTY_CUTOFF),1)</f>
        <v/>
      </c>
      <c r="AD213" s="26">
        <f>MAX(V7_BURN_FLOOR,1-V7_BURN_SLOPE*MIN(1,MAX(0,R213)))</f>
        <v/>
      </c>
      <c r="AE213" s="26">
        <f>IF(V7_USE_ISSUER=1,IFERROR(VLOOKUP(Q213,V7_ISSUER_TABLE,3,FALSE),1),1)</f>
        <v/>
      </c>
      <c r="AF213" s="26">
        <f>PRODUCT(W213:AE213)</f>
        <v/>
      </c>
      <c r="AG213" s="27">
        <f>MIN(V7_BASE_SMM*AF213,V7_SMM_CAP)</f>
        <v/>
      </c>
      <c r="AH213" s="28">
        <f>1-(1-AG213)^12</f>
        <v/>
      </c>
      <c r="AI213" s="28">
        <f>IFERROR(LN(W213)/(LN(W213)+LN(X213)+LN(Y213)+LN(Z213)+LN(AA213)+LN(AB213)+LN(AC213)+LN(AD213))*(AH213-V7_BASE_CPR),0)</f>
        <v/>
      </c>
      <c r="AJ213" s="28">
        <f>IFERROR(LN(X213)/(LN(W213)+LN(X213)+LN(Y213)+LN(Z213)+LN(AA213)+LN(AB213)+LN(AC213)+LN(AD213))*(AH213-V7_BASE_CPR),0)</f>
        <v/>
      </c>
      <c r="AK213" s="28">
        <f>IFERROR(LN(Y213)/(LN(W213)+LN(X213)+LN(Y213)+LN(Z213)+LN(AA213)+LN(AB213)+LN(AC213)+LN(AD213))*(AH213-V7_BASE_CPR),0)</f>
        <v/>
      </c>
      <c r="AL213" s="28">
        <f>IFERROR(LN(Z213)/(LN(W213)+LN(X213)+LN(Y213)+LN(Z213)+LN(AA213)+LN(AB213)+LN(AC213)+LN(AD213))*(AH213-V7_BASE_CPR),0)</f>
        <v/>
      </c>
      <c r="AM213" s="28">
        <f>IFERROR(LN(AA213)/(LN(W213)+LN(X213)+LN(Y213)+LN(Z213)+LN(AA213)+LN(AB213)+LN(AC213)+LN(AD213))*(AH213-V7_BASE_CPR),0)</f>
        <v/>
      </c>
      <c r="AN213" s="28">
        <f>IFERROR(LN(AB213)/(LN(W213)+LN(X213)+LN(Y213)+LN(Z213)+LN(AA213)+LN(AB213)+LN(AC213)+LN(AD213))*(AH213-V7_BASE_CPR),0)</f>
        <v/>
      </c>
      <c r="AO213" s="28">
        <f>IFERROR(LN(AC213)/(LN(W213)+LN(X213)+LN(Y213)+LN(Z213)+LN(AA213)+LN(AB213)+LN(AC213)+LN(AD213))*(AH213-V7_BASE_CPR),0)</f>
        <v/>
      </c>
      <c r="AP213" s="28">
        <f>IFERROR(LN(AD213)/(LN(W213)+LN(X213)+LN(Y213)+LN(Z213)+LN(AA213)+LN(AB213)+LN(AC213)+LN(AD213))*(AH213-V7_BASE_CPR),0)</f>
        <v/>
      </c>
      <c r="AQ213" s="29">
        <f>V7_BASE_CPR+SUM(AI213:AP213)-AH213</f>
        <v/>
      </c>
    </row>
    <row r="214">
      <c r="A214" s="2" t="inlineStr">
        <is>
          <t>36195RGK9_000000011522344</t>
        </is>
      </c>
      <c r="B214" t="inlineStr">
        <is>
          <t>KEYBANK_PRE21</t>
        </is>
      </c>
      <c r="C214" s="2" t="inlineStr">
        <is>
          <t>36195RGK9</t>
        </is>
      </c>
      <c r="D214" t="inlineStr">
        <is>
          <t>KEYBANK NATIONAL ASSOCIATION</t>
        </is>
      </c>
      <c r="E214" t="inlineStr">
        <is>
          <t>232</t>
        </is>
      </c>
      <c r="F214" t="inlineStr">
        <is>
          <t>RP</t>
        </is>
      </c>
      <c r="G214" t="n">
        <v>2016</v>
      </c>
      <c r="H214" t="inlineStr">
        <is>
          <t>202602</t>
        </is>
      </c>
      <c r="I214" s="22" t="n">
        <v>10459622.28</v>
      </c>
      <c r="J214" s="23" t="n">
        <v>3.43</v>
      </c>
      <c r="K214" s="24" t="n">
        <v>447</v>
      </c>
      <c r="L214" s="24" t="n">
        <v>0</v>
      </c>
      <c r="M214" t="n">
        <v>110</v>
      </c>
      <c r="N214" s="25" t="n">
        <v>35</v>
      </c>
      <c r="O214" t="n">
        <v>205201</v>
      </c>
      <c r="P214" t="inlineStr"/>
      <c r="Q214" t="inlineStr">
        <is>
          <t>4271</t>
        </is>
      </c>
      <c r="R214" s="26" t="n">
        <v>0.3181818181818182</v>
      </c>
      <c r="S214" t="n">
        <v>0</v>
      </c>
      <c r="T214" s="23">
        <f>LN(1+I214)</f>
        <v/>
      </c>
      <c r="U214" s="24">
        <f>J214*100-K214</f>
        <v/>
      </c>
      <c r="V214" s="24">
        <f>U214-12.5*(L214+1)</f>
        <v/>
      </c>
      <c r="W214" s="26">
        <f>IF(M214&lt;=V7_AGE_KNOT_X_0,V7_AGE_KNOT_Y_0,IF(M214&gt;=V7_AGE_KNOT_X_5,V7_AGE_KNOT_Y_5,IF(M214&lt;=V7_AGE_KNOT_X_1,V7_AGE_KNOT_Y_0+(M214-V7_AGE_KNOT_X_0)/(V7_AGE_KNOT_X_1-V7_AGE_KNOT_X_0)*(V7_AGE_KNOT_Y_1-V7_AGE_KNOT_Y_0),IF(M214&lt;=V7_AGE_KNOT_X_2,V7_AGE_KNOT_Y_1+(M214-V7_AGE_KNOT_X_1)/(V7_AGE_KNOT_X_2-V7_AGE_KNOT_X_1)*(V7_AGE_KNOT_Y_2-V7_AGE_KNOT_Y_1),IF(M214&lt;=V7_AGE_KNOT_X_3,V7_AGE_KNOT_Y_2+(M214-V7_AGE_KNOT_X_2)/(V7_AGE_KNOT_X_3-V7_AGE_KNOT_X_2)*(V7_AGE_KNOT_Y_3-V7_AGE_KNOT_Y_2),IF(M214&lt;=V7_AGE_KNOT_X_4,V7_AGE_KNOT_Y_3+(M214-V7_AGE_KNOT_X_3)/(V7_AGE_KNOT_X_4-V7_AGE_KNOT_X_3)*(V7_AGE_KNOT_Y_4-V7_AGE_KNOT_Y_3),V7_AGE_KNOT_Y_4+(M214-V7_AGE_KNOT_X_4)/(V7_AGE_KNOT_X_5-V7_AGE_KNOT_X_4)*(V7_AGE_KNOT_Y_5-V7_AGE_KNOT_Y_4)))))))</f>
        <v/>
      </c>
      <c r="X214" s="26">
        <f>V7_RATE_FLOOR+V7_RATE_ASYMPTOTE/(1+EXP(-(V214-V7_RATE_MID)/V7_RATE_SLOPE))</f>
        <v/>
      </c>
      <c r="Y214" s="26">
        <f>MAX(V7_SIZE_LOW,MIN(V7_SIZE_HIGH,V7_SIZE_INTERCEPT+V7_SIZE_SLOPE*(T214-V7_SIZE_LOG_ANCHOR)))</f>
        <v/>
      </c>
      <c r="Z214" s="26">
        <f>IF(ISNUMBER(SEARCH("232",E214)),VLOOKUP("232",V7_PROGRAM_TABLE,2,FALSE),IF(ISNUMBER(SEARCH("538",E214)),VLOOKUP("538",V7_PROGRAM_TABLE,2,FALSE),IF(ISNUMBER(SEARCH("223a7",E214)),VLOOKUP("223a7",V7_PROGRAM_TABLE,2,FALSE),IF(ISNUMBER(SEARCH("223f",E214)),VLOOKUP("223f",V7_PROGRAM_TABLE,2,FALSE),V7_PROGRAM_DEFAULT))))</f>
        <v/>
      </c>
      <c r="AA214" s="26">
        <f>IF(S214=1,1+V7_PURPOSE_NC_BUMP*MAX(0,1-ABS(M214-V7_PURPOSE_PEAK_AGE)/V7_PURPOSE_WIDTH),1)</f>
        <v/>
      </c>
      <c r="AB214" s="26">
        <f>IF(AND(IF(OR(P214="",NOT(ISNUMBER(P214))),0,MAX(0,MIN(24,(INT(VALUE(H214)/100)-INT(P214/100))*12+MOD(VALUE(H214),100)-MOD(P214,100))))&gt;0,IF(OR(P214="",NOT(ISNUMBER(P214))),0,MAX(0,MIN(24,(INT(VALUE(H214)/100)-INT(P214/100))*12+MOD(VALUE(H214),100)-MOD(P214,100))))&lt;=12),1+V7_LOCKOUT_AMP*EXP(-(IF(OR(P214="",NOT(ISNUMBER(P214))),0,MAX(0,MIN(24,(INT(VALUE(H214)/100)-INT(P214/100))*12+MOD(VALUE(H214),100)-MOD(P214,100)))))/V7_LOCKOUT_TAU),1)</f>
        <v/>
      </c>
      <c r="AC214" s="26">
        <f>IF(IF(OR(O214="",NOT(ISNUMBER(O214))),360,MAX(0,MIN(480,(INT(O214/100)-INT(VALUE(H214)/100))*12+MOD(O214,100)-MOD(VALUE(H214),100))))&gt;0,1+V7_MTY_AMP*MAX(0,(V7_MTY_CUTOFF-(IF(OR(O214="",NOT(ISNUMBER(O214))),360,MAX(0,MIN(480,(INT(O214/100)-INT(VALUE(H214)/100))*12+MOD(O214,100)-MOD(VALUE(H214),100))))))/V7_MTY_CUTOFF),1)</f>
        <v/>
      </c>
      <c r="AD214" s="26">
        <f>MAX(V7_BURN_FLOOR,1-V7_BURN_SLOPE*MIN(1,MAX(0,R214)))</f>
        <v/>
      </c>
      <c r="AE214" s="26">
        <f>IF(V7_USE_ISSUER=1,IFERROR(VLOOKUP(Q214,V7_ISSUER_TABLE,3,FALSE),1),1)</f>
        <v/>
      </c>
      <c r="AF214" s="26">
        <f>PRODUCT(W214:AE214)</f>
        <v/>
      </c>
      <c r="AG214" s="27">
        <f>MIN(V7_BASE_SMM*AF214,V7_SMM_CAP)</f>
        <v/>
      </c>
      <c r="AH214" s="28">
        <f>1-(1-AG214)^12</f>
        <v/>
      </c>
      <c r="AI214" s="28">
        <f>IFERROR(LN(W214)/(LN(W214)+LN(X214)+LN(Y214)+LN(Z214)+LN(AA214)+LN(AB214)+LN(AC214)+LN(AD214))*(AH214-V7_BASE_CPR),0)</f>
        <v/>
      </c>
      <c r="AJ214" s="28">
        <f>IFERROR(LN(X214)/(LN(W214)+LN(X214)+LN(Y214)+LN(Z214)+LN(AA214)+LN(AB214)+LN(AC214)+LN(AD214))*(AH214-V7_BASE_CPR),0)</f>
        <v/>
      </c>
      <c r="AK214" s="28">
        <f>IFERROR(LN(Y214)/(LN(W214)+LN(X214)+LN(Y214)+LN(Z214)+LN(AA214)+LN(AB214)+LN(AC214)+LN(AD214))*(AH214-V7_BASE_CPR),0)</f>
        <v/>
      </c>
      <c r="AL214" s="28">
        <f>IFERROR(LN(Z214)/(LN(W214)+LN(X214)+LN(Y214)+LN(Z214)+LN(AA214)+LN(AB214)+LN(AC214)+LN(AD214))*(AH214-V7_BASE_CPR),0)</f>
        <v/>
      </c>
      <c r="AM214" s="28">
        <f>IFERROR(LN(AA214)/(LN(W214)+LN(X214)+LN(Y214)+LN(Z214)+LN(AA214)+LN(AB214)+LN(AC214)+LN(AD214))*(AH214-V7_BASE_CPR),0)</f>
        <v/>
      </c>
      <c r="AN214" s="28">
        <f>IFERROR(LN(AB214)/(LN(W214)+LN(X214)+LN(Y214)+LN(Z214)+LN(AA214)+LN(AB214)+LN(AC214)+LN(AD214))*(AH214-V7_BASE_CPR),0)</f>
        <v/>
      </c>
      <c r="AO214" s="28">
        <f>IFERROR(LN(AC214)/(LN(W214)+LN(X214)+LN(Y214)+LN(Z214)+LN(AA214)+LN(AB214)+LN(AC214)+LN(AD214))*(AH214-V7_BASE_CPR),0)</f>
        <v/>
      </c>
      <c r="AP214" s="28">
        <f>IFERROR(LN(AD214)/(LN(W214)+LN(X214)+LN(Y214)+LN(Z214)+LN(AA214)+LN(AB214)+LN(AC214)+LN(AD214))*(AH214-V7_BASE_CPR),0)</f>
        <v/>
      </c>
      <c r="AQ214" s="29">
        <f>V7_BASE_CPR+SUM(AI214:AP214)-AH214</f>
        <v/>
      </c>
    </row>
    <row r="215">
      <c r="A215" s="2" t="inlineStr">
        <is>
          <t>3618L6QD4_000000005322286</t>
        </is>
      </c>
      <c r="B215" t="inlineStr">
        <is>
          <t>KEYBANK_POST21</t>
        </is>
      </c>
      <c r="C215" s="2" t="inlineStr">
        <is>
          <t>3618L6QD4</t>
        </is>
      </c>
      <c r="D215" t="inlineStr">
        <is>
          <t>KEYBANK NATIONAL ASSOCIATION</t>
        </is>
      </c>
      <c r="E215" t="inlineStr">
        <is>
          <t>232</t>
        </is>
      </c>
      <c r="F215" t="inlineStr">
        <is>
          <t>RP</t>
        </is>
      </c>
      <c r="G215" t="n">
        <v>2025</v>
      </c>
      <c r="H215" t="inlineStr">
        <is>
          <t>202602</t>
        </is>
      </c>
      <c r="I215" s="22" t="n">
        <v>35723840.9</v>
      </c>
      <c r="J215" s="23" t="n">
        <v>5.4</v>
      </c>
      <c r="K215" s="24" t="n">
        <v>447</v>
      </c>
      <c r="L215" s="24" t="n">
        <v>10</v>
      </c>
      <c r="M215" t="n">
        <v>5</v>
      </c>
      <c r="N215" s="25" t="n">
        <v>0</v>
      </c>
      <c r="O215" t="n">
        <v>206010</v>
      </c>
      <c r="P215" t="inlineStr"/>
      <c r="Q215" t="inlineStr">
        <is>
          <t>4271</t>
        </is>
      </c>
      <c r="R215" s="26" t="n">
        <v>0</v>
      </c>
      <c r="S215" t="n">
        <v>0</v>
      </c>
      <c r="T215" s="23">
        <f>LN(1+I215)</f>
        <v/>
      </c>
      <c r="U215" s="24">
        <f>J215*100-K215</f>
        <v/>
      </c>
      <c r="V215" s="24">
        <f>U215-12.5*(L215+1)</f>
        <v/>
      </c>
      <c r="W215" s="26">
        <f>IF(M215&lt;=V7_AGE_KNOT_X_0,V7_AGE_KNOT_Y_0,IF(M215&gt;=V7_AGE_KNOT_X_5,V7_AGE_KNOT_Y_5,IF(M215&lt;=V7_AGE_KNOT_X_1,V7_AGE_KNOT_Y_0+(M215-V7_AGE_KNOT_X_0)/(V7_AGE_KNOT_X_1-V7_AGE_KNOT_X_0)*(V7_AGE_KNOT_Y_1-V7_AGE_KNOT_Y_0),IF(M215&lt;=V7_AGE_KNOT_X_2,V7_AGE_KNOT_Y_1+(M215-V7_AGE_KNOT_X_1)/(V7_AGE_KNOT_X_2-V7_AGE_KNOT_X_1)*(V7_AGE_KNOT_Y_2-V7_AGE_KNOT_Y_1),IF(M215&lt;=V7_AGE_KNOT_X_3,V7_AGE_KNOT_Y_2+(M215-V7_AGE_KNOT_X_2)/(V7_AGE_KNOT_X_3-V7_AGE_KNOT_X_2)*(V7_AGE_KNOT_Y_3-V7_AGE_KNOT_Y_2),IF(M215&lt;=V7_AGE_KNOT_X_4,V7_AGE_KNOT_Y_3+(M215-V7_AGE_KNOT_X_3)/(V7_AGE_KNOT_X_4-V7_AGE_KNOT_X_3)*(V7_AGE_KNOT_Y_4-V7_AGE_KNOT_Y_3),V7_AGE_KNOT_Y_4+(M215-V7_AGE_KNOT_X_4)/(V7_AGE_KNOT_X_5-V7_AGE_KNOT_X_4)*(V7_AGE_KNOT_Y_5-V7_AGE_KNOT_Y_4)))))))</f>
        <v/>
      </c>
      <c r="X215" s="26">
        <f>V7_RATE_FLOOR+V7_RATE_ASYMPTOTE/(1+EXP(-(V215-V7_RATE_MID)/V7_RATE_SLOPE))</f>
        <v/>
      </c>
      <c r="Y215" s="26">
        <f>MAX(V7_SIZE_LOW,MIN(V7_SIZE_HIGH,V7_SIZE_INTERCEPT+V7_SIZE_SLOPE*(T215-V7_SIZE_LOG_ANCHOR)))</f>
        <v/>
      </c>
      <c r="Z215" s="26">
        <f>IF(ISNUMBER(SEARCH("232",E215)),VLOOKUP("232",V7_PROGRAM_TABLE,2,FALSE),IF(ISNUMBER(SEARCH("538",E215)),VLOOKUP("538",V7_PROGRAM_TABLE,2,FALSE),IF(ISNUMBER(SEARCH("223a7",E215)),VLOOKUP("223a7",V7_PROGRAM_TABLE,2,FALSE),IF(ISNUMBER(SEARCH("223f",E215)),VLOOKUP("223f",V7_PROGRAM_TABLE,2,FALSE),V7_PROGRAM_DEFAULT))))</f>
        <v/>
      </c>
      <c r="AA215" s="26">
        <f>IF(S215=1,1+V7_PURPOSE_NC_BUMP*MAX(0,1-ABS(M215-V7_PURPOSE_PEAK_AGE)/V7_PURPOSE_WIDTH),1)</f>
        <v/>
      </c>
      <c r="AB215" s="26">
        <f>IF(AND(IF(OR(P215="",NOT(ISNUMBER(P215))),0,MAX(0,MIN(24,(INT(VALUE(H215)/100)-INT(P215/100))*12+MOD(VALUE(H215),100)-MOD(P215,100))))&gt;0,IF(OR(P215="",NOT(ISNUMBER(P215))),0,MAX(0,MIN(24,(INT(VALUE(H215)/100)-INT(P215/100))*12+MOD(VALUE(H215),100)-MOD(P215,100))))&lt;=12),1+V7_LOCKOUT_AMP*EXP(-(IF(OR(P215="",NOT(ISNUMBER(P215))),0,MAX(0,MIN(24,(INT(VALUE(H215)/100)-INT(P215/100))*12+MOD(VALUE(H215),100)-MOD(P215,100)))))/V7_LOCKOUT_TAU),1)</f>
        <v/>
      </c>
      <c r="AC215" s="26">
        <f>IF(IF(OR(O215="",NOT(ISNUMBER(O215))),360,MAX(0,MIN(480,(INT(O215/100)-INT(VALUE(H215)/100))*12+MOD(O215,100)-MOD(VALUE(H215),100))))&gt;0,1+V7_MTY_AMP*MAX(0,(V7_MTY_CUTOFF-(IF(OR(O215="",NOT(ISNUMBER(O215))),360,MAX(0,MIN(480,(INT(O215/100)-INT(VALUE(H215)/100))*12+MOD(O215,100)-MOD(VALUE(H215),100))))))/V7_MTY_CUTOFF),1)</f>
        <v/>
      </c>
      <c r="AD215" s="26">
        <f>MAX(V7_BURN_FLOOR,1-V7_BURN_SLOPE*MIN(1,MAX(0,R215)))</f>
        <v/>
      </c>
      <c r="AE215" s="26">
        <f>IF(V7_USE_ISSUER=1,IFERROR(VLOOKUP(Q215,V7_ISSUER_TABLE,3,FALSE),1),1)</f>
        <v/>
      </c>
      <c r="AF215" s="26">
        <f>PRODUCT(W215:AE215)</f>
        <v/>
      </c>
      <c r="AG215" s="27">
        <f>MIN(V7_BASE_SMM*AF215,V7_SMM_CAP)</f>
        <v/>
      </c>
      <c r="AH215" s="28">
        <f>1-(1-AG215)^12</f>
        <v/>
      </c>
      <c r="AI215" s="28">
        <f>IFERROR(LN(W215)/(LN(W215)+LN(X215)+LN(Y215)+LN(Z215)+LN(AA215)+LN(AB215)+LN(AC215)+LN(AD215))*(AH215-V7_BASE_CPR),0)</f>
        <v/>
      </c>
      <c r="AJ215" s="28">
        <f>IFERROR(LN(X215)/(LN(W215)+LN(X215)+LN(Y215)+LN(Z215)+LN(AA215)+LN(AB215)+LN(AC215)+LN(AD215))*(AH215-V7_BASE_CPR),0)</f>
        <v/>
      </c>
      <c r="AK215" s="28">
        <f>IFERROR(LN(Y215)/(LN(W215)+LN(X215)+LN(Y215)+LN(Z215)+LN(AA215)+LN(AB215)+LN(AC215)+LN(AD215))*(AH215-V7_BASE_CPR),0)</f>
        <v/>
      </c>
      <c r="AL215" s="28">
        <f>IFERROR(LN(Z215)/(LN(W215)+LN(X215)+LN(Y215)+LN(Z215)+LN(AA215)+LN(AB215)+LN(AC215)+LN(AD215))*(AH215-V7_BASE_CPR),0)</f>
        <v/>
      </c>
      <c r="AM215" s="28">
        <f>IFERROR(LN(AA215)/(LN(W215)+LN(X215)+LN(Y215)+LN(Z215)+LN(AA215)+LN(AB215)+LN(AC215)+LN(AD215))*(AH215-V7_BASE_CPR),0)</f>
        <v/>
      </c>
      <c r="AN215" s="28">
        <f>IFERROR(LN(AB215)/(LN(W215)+LN(X215)+LN(Y215)+LN(Z215)+LN(AA215)+LN(AB215)+LN(AC215)+LN(AD215))*(AH215-V7_BASE_CPR),0)</f>
        <v/>
      </c>
      <c r="AO215" s="28">
        <f>IFERROR(LN(AC215)/(LN(W215)+LN(X215)+LN(Y215)+LN(Z215)+LN(AA215)+LN(AB215)+LN(AC215)+LN(AD215))*(AH215-V7_BASE_CPR),0)</f>
        <v/>
      </c>
      <c r="AP215" s="28">
        <f>IFERROR(LN(AD215)/(LN(W215)+LN(X215)+LN(Y215)+LN(Z215)+LN(AA215)+LN(AB215)+LN(AC215)+LN(AD215))*(AH215-V7_BASE_CPR),0)</f>
        <v/>
      </c>
      <c r="AQ215" s="29">
        <f>V7_BASE_CPR+SUM(AI215:AP215)-AH215</f>
        <v/>
      </c>
    </row>
    <row r="216">
      <c r="A216" s="2" t="inlineStr">
        <is>
          <t>3617BYXP1_000000005122144</t>
        </is>
      </c>
      <c r="B216" t="inlineStr">
        <is>
          <t>KEYBANK_PRE21</t>
        </is>
      </c>
      <c r="C216" s="2" t="inlineStr">
        <is>
          <t>3617BYXP1</t>
        </is>
      </c>
      <c r="D216" t="inlineStr">
        <is>
          <t>KEYBANK NATIONAL ASSOCIATION</t>
        </is>
      </c>
      <c r="E216" t="inlineStr">
        <is>
          <t>232</t>
        </is>
      </c>
      <c r="F216" t="inlineStr">
        <is>
          <t>RP</t>
        </is>
      </c>
      <c r="G216" t="n">
        <v>2017</v>
      </c>
      <c r="H216" t="inlineStr">
        <is>
          <t>202602</t>
        </is>
      </c>
      <c r="I216" s="22" t="n">
        <v>7327880.72</v>
      </c>
      <c r="J216" s="23" t="n">
        <v>3.3</v>
      </c>
      <c r="K216" s="24" t="n">
        <v>447</v>
      </c>
      <c r="L216" s="24" t="n">
        <v>2</v>
      </c>
      <c r="M216" t="n">
        <v>98</v>
      </c>
      <c r="N216" s="25" t="n">
        <v>25</v>
      </c>
      <c r="O216" t="n">
        <v>205301</v>
      </c>
      <c r="P216" t="inlineStr"/>
      <c r="Q216" t="inlineStr">
        <is>
          <t>4271</t>
        </is>
      </c>
      <c r="R216" s="26" t="n">
        <v>0.2551020408163265</v>
      </c>
      <c r="S216" t="n">
        <v>0</v>
      </c>
      <c r="T216" s="23">
        <f>LN(1+I216)</f>
        <v/>
      </c>
      <c r="U216" s="24">
        <f>J216*100-K216</f>
        <v/>
      </c>
      <c r="V216" s="24">
        <f>U216-12.5*(L216+1)</f>
        <v/>
      </c>
      <c r="W216" s="26">
        <f>IF(M216&lt;=V7_AGE_KNOT_X_0,V7_AGE_KNOT_Y_0,IF(M216&gt;=V7_AGE_KNOT_X_5,V7_AGE_KNOT_Y_5,IF(M216&lt;=V7_AGE_KNOT_X_1,V7_AGE_KNOT_Y_0+(M216-V7_AGE_KNOT_X_0)/(V7_AGE_KNOT_X_1-V7_AGE_KNOT_X_0)*(V7_AGE_KNOT_Y_1-V7_AGE_KNOT_Y_0),IF(M216&lt;=V7_AGE_KNOT_X_2,V7_AGE_KNOT_Y_1+(M216-V7_AGE_KNOT_X_1)/(V7_AGE_KNOT_X_2-V7_AGE_KNOT_X_1)*(V7_AGE_KNOT_Y_2-V7_AGE_KNOT_Y_1),IF(M216&lt;=V7_AGE_KNOT_X_3,V7_AGE_KNOT_Y_2+(M216-V7_AGE_KNOT_X_2)/(V7_AGE_KNOT_X_3-V7_AGE_KNOT_X_2)*(V7_AGE_KNOT_Y_3-V7_AGE_KNOT_Y_2),IF(M216&lt;=V7_AGE_KNOT_X_4,V7_AGE_KNOT_Y_3+(M216-V7_AGE_KNOT_X_3)/(V7_AGE_KNOT_X_4-V7_AGE_KNOT_X_3)*(V7_AGE_KNOT_Y_4-V7_AGE_KNOT_Y_3),V7_AGE_KNOT_Y_4+(M216-V7_AGE_KNOT_X_4)/(V7_AGE_KNOT_X_5-V7_AGE_KNOT_X_4)*(V7_AGE_KNOT_Y_5-V7_AGE_KNOT_Y_4)))))))</f>
        <v/>
      </c>
      <c r="X216" s="26">
        <f>V7_RATE_FLOOR+V7_RATE_ASYMPTOTE/(1+EXP(-(V216-V7_RATE_MID)/V7_RATE_SLOPE))</f>
        <v/>
      </c>
      <c r="Y216" s="26">
        <f>MAX(V7_SIZE_LOW,MIN(V7_SIZE_HIGH,V7_SIZE_INTERCEPT+V7_SIZE_SLOPE*(T216-V7_SIZE_LOG_ANCHOR)))</f>
        <v/>
      </c>
      <c r="Z216" s="26">
        <f>IF(ISNUMBER(SEARCH("232",E216)),VLOOKUP("232",V7_PROGRAM_TABLE,2,FALSE),IF(ISNUMBER(SEARCH("538",E216)),VLOOKUP("538",V7_PROGRAM_TABLE,2,FALSE),IF(ISNUMBER(SEARCH("223a7",E216)),VLOOKUP("223a7",V7_PROGRAM_TABLE,2,FALSE),IF(ISNUMBER(SEARCH("223f",E216)),VLOOKUP("223f",V7_PROGRAM_TABLE,2,FALSE),V7_PROGRAM_DEFAULT))))</f>
        <v/>
      </c>
      <c r="AA216" s="26">
        <f>IF(S216=1,1+V7_PURPOSE_NC_BUMP*MAX(0,1-ABS(M216-V7_PURPOSE_PEAK_AGE)/V7_PURPOSE_WIDTH),1)</f>
        <v/>
      </c>
      <c r="AB216" s="26">
        <f>IF(AND(IF(OR(P216="",NOT(ISNUMBER(P216))),0,MAX(0,MIN(24,(INT(VALUE(H216)/100)-INT(P216/100))*12+MOD(VALUE(H216),100)-MOD(P216,100))))&gt;0,IF(OR(P216="",NOT(ISNUMBER(P216))),0,MAX(0,MIN(24,(INT(VALUE(H216)/100)-INT(P216/100))*12+MOD(VALUE(H216),100)-MOD(P216,100))))&lt;=12),1+V7_LOCKOUT_AMP*EXP(-(IF(OR(P216="",NOT(ISNUMBER(P216))),0,MAX(0,MIN(24,(INT(VALUE(H216)/100)-INT(P216/100))*12+MOD(VALUE(H216),100)-MOD(P216,100)))))/V7_LOCKOUT_TAU),1)</f>
        <v/>
      </c>
      <c r="AC216" s="26">
        <f>IF(IF(OR(O216="",NOT(ISNUMBER(O216))),360,MAX(0,MIN(480,(INT(O216/100)-INT(VALUE(H216)/100))*12+MOD(O216,100)-MOD(VALUE(H216),100))))&gt;0,1+V7_MTY_AMP*MAX(0,(V7_MTY_CUTOFF-(IF(OR(O216="",NOT(ISNUMBER(O216))),360,MAX(0,MIN(480,(INT(O216/100)-INT(VALUE(H216)/100))*12+MOD(O216,100)-MOD(VALUE(H216),100))))))/V7_MTY_CUTOFF),1)</f>
        <v/>
      </c>
      <c r="AD216" s="26">
        <f>MAX(V7_BURN_FLOOR,1-V7_BURN_SLOPE*MIN(1,MAX(0,R216)))</f>
        <v/>
      </c>
      <c r="AE216" s="26">
        <f>IF(V7_USE_ISSUER=1,IFERROR(VLOOKUP(Q216,V7_ISSUER_TABLE,3,FALSE),1),1)</f>
        <v/>
      </c>
      <c r="AF216" s="26">
        <f>PRODUCT(W216:AE216)</f>
        <v/>
      </c>
      <c r="AG216" s="27">
        <f>MIN(V7_BASE_SMM*AF216,V7_SMM_CAP)</f>
        <v/>
      </c>
      <c r="AH216" s="28">
        <f>1-(1-AG216)^12</f>
        <v/>
      </c>
      <c r="AI216" s="28">
        <f>IFERROR(LN(W216)/(LN(W216)+LN(X216)+LN(Y216)+LN(Z216)+LN(AA216)+LN(AB216)+LN(AC216)+LN(AD216))*(AH216-V7_BASE_CPR),0)</f>
        <v/>
      </c>
      <c r="AJ216" s="28">
        <f>IFERROR(LN(X216)/(LN(W216)+LN(X216)+LN(Y216)+LN(Z216)+LN(AA216)+LN(AB216)+LN(AC216)+LN(AD216))*(AH216-V7_BASE_CPR),0)</f>
        <v/>
      </c>
      <c r="AK216" s="28">
        <f>IFERROR(LN(Y216)/(LN(W216)+LN(X216)+LN(Y216)+LN(Z216)+LN(AA216)+LN(AB216)+LN(AC216)+LN(AD216))*(AH216-V7_BASE_CPR),0)</f>
        <v/>
      </c>
      <c r="AL216" s="28">
        <f>IFERROR(LN(Z216)/(LN(W216)+LN(X216)+LN(Y216)+LN(Z216)+LN(AA216)+LN(AB216)+LN(AC216)+LN(AD216))*(AH216-V7_BASE_CPR),0)</f>
        <v/>
      </c>
      <c r="AM216" s="28">
        <f>IFERROR(LN(AA216)/(LN(W216)+LN(X216)+LN(Y216)+LN(Z216)+LN(AA216)+LN(AB216)+LN(AC216)+LN(AD216))*(AH216-V7_BASE_CPR),0)</f>
        <v/>
      </c>
      <c r="AN216" s="28">
        <f>IFERROR(LN(AB216)/(LN(W216)+LN(X216)+LN(Y216)+LN(Z216)+LN(AA216)+LN(AB216)+LN(AC216)+LN(AD216))*(AH216-V7_BASE_CPR),0)</f>
        <v/>
      </c>
      <c r="AO216" s="28">
        <f>IFERROR(LN(AC216)/(LN(W216)+LN(X216)+LN(Y216)+LN(Z216)+LN(AA216)+LN(AB216)+LN(AC216)+LN(AD216))*(AH216-V7_BASE_CPR),0)</f>
        <v/>
      </c>
      <c r="AP216" s="28">
        <f>IFERROR(LN(AD216)/(LN(W216)+LN(X216)+LN(Y216)+LN(Z216)+LN(AA216)+LN(AB216)+LN(AC216)+LN(AD216))*(AH216-V7_BASE_CPR),0)</f>
        <v/>
      </c>
      <c r="AQ216" s="29">
        <f>V7_BASE_CPR+SUM(AI216:AP216)-AH216</f>
        <v/>
      </c>
    </row>
    <row r="217">
      <c r="A217" s="2" t="inlineStr">
        <is>
          <t>3620AEWM8_000000011322062</t>
        </is>
      </c>
      <c r="B217" t="inlineStr">
        <is>
          <t>KEYBANK_PRE21</t>
        </is>
      </c>
      <c r="C217" s="2" t="inlineStr">
        <is>
          <t>3620AEWM8</t>
        </is>
      </c>
      <c r="D217" t="inlineStr">
        <is>
          <t>KEYBANK NATIONAL ASSOCIATION</t>
        </is>
      </c>
      <c r="E217" t="inlineStr">
        <is>
          <t>232</t>
        </is>
      </c>
      <c r="F217" t="inlineStr">
        <is>
          <t>RP</t>
        </is>
      </c>
      <c r="G217" t="n">
        <v>2011</v>
      </c>
      <c r="H217" t="inlineStr">
        <is>
          <t>202602</t>
        </is>
      </c>
      <c r="I217" s="22" t="n">
        <v>3922431.75</v>
      </c>
      <c r="J217" s="23" t="n">
        <v>4.28</v>
      </c>
      <c r="K217" s="24" t="n">
        <v>447</v>
      </c>
      <c r="L217" s="24" t="n">
        <v>0</v>
      </c>
      <c r="M217" t="n">
        <v>179</v>
      </c>
      <c r="N217" s="25" t="n">
        <v>45</v>
      </c>
      <c r="O217" t="n">
        <v>203604</v>
      </c>
      <c r="P217" t="inlineStr"/>
      <c r="Q217" t="inlineStr">
        <is>
          <t>4271</t>
        </is>
      </c>
      <c r="R217" s="26" t="n">
        <v>0.2513966480446927</v>
      </c>
      <c r="S217" t="n">
        <v>0</v>
      </c>
      <c r="T217" s="23">
        <f>LN(1+I217)</f>
        <v/>
      </c>
      <c r="U217" s="24">
        <f>J217*100-K217</f>
        <v/>
      </c>
      <c r="V217" s="24">
        <f>U217-12.5*(L217+1)</f>
        <v/>
      </c>
      <c r="W217" s="26">
        <f>IF(M217&lt;=V7_AGE_KNOT_X_0,V7_AGE_KNOT_Y_0,IF(M217&gt;=V7_AGE_KNOT_X_5,V7_AGE_KNOT_Y_5,IF(M217&lt;=V7_AGE_KNOT_X_1,V7_AGE_KNOT_Y_0+(M217-V7_AGE_KNOT_X_0)/(V7_AGE_KNOT_X_1-V7_AGE_KNOT_X_0)*(V7_AGE_KNOT_Y_1-V7_AGE_KNOT_Y_0),IF(M217&lt;=V7_AGE_KNOT_X_2,V7_AGE_KNOT_Y_1+(M217-V7_AGE_KNOT_X_1)/(V7_AGE_KNOT_X_2-V7_AGE_KNOT_X_1)*(V7_AGE_KNOT_Y_2-V7_AGE_KNOT_Y_1),IF(M217&lt;=V7_AGE_KNOT_X_3,V7_AGE_KNOT_Y_2+(M217-V7_AGE_KNOT_X_2)/(V7_AGE_KNOT_X_3-V7_AGE_KNOT_X_2)*(V7_AGE_KNOT_Y_3-V7_AGE_KNOT_Y_2),IF(M217&lt;=V7_AGE_KNOT_X_4,V7_AGE_KNOT_Y_3+(M217-V7_AGE_KNOT_X_3)/(V7_AGE_KNOT_X_4-V7_AGE_KNOT_X_3)*(V7_AGE_KNOT_Y_4-V7_AGE_KNOT_Y_3),V7_AGE_KNOT_Y_4+(M217-V7_AGE_KNOT_X_4)/(V7_AGE_KNOT_X_5-V7_AGE_KNOT_X_4)*(V7_AGE_KNOT_Y_5-V7_AGE_KNOT_Y_4)))))))</f>
        <v/>
      </c>
      <c r="X217" s="26">
        <f>V7_RATE_FLOOR+V7_RATE_ASYMPTOTE/(1+EXP(-(V217-V7_RATE_MID)/V7_RATE_SLOPE))</f>
        <v/>
      </c>
      <c r="Y217" s="26">
        <f>MAX(V7_SIZE_LOW,MIN(V7_SIZE_HIGH,V7_SIZE_INTERCEPT+V7_SIZE_SLOPE*(T217-V7_SIZE_LOG_ANCHOR)))</f>
        <v/>
      </c>
      <c r="Z217" s="26">
        <f>IF(ISNUMBER(SEARCH("232",E217)),VLOOKUP("232",V7_PROGRAM_TABLE,2,FALSE),IF(ISNUMBER(SEARCH("538",E217)),VLOOKUP("538",V7_PROGRAM_TABLE,2,FALSE),IF(ISNUMBER(SEARCH("223a7",E217)),VLOOKUP("223a7",V7_PROGRAM_TABLE,2,FALSE),IF(ISNUMBER(SEARCH("223f",E217)),VLOOKUP("223f",V7_PROGRAM_TABLE,2,FALSE),V7_PROGRAM_DEFAULT))))</f>
        <v/>
      </c>
      <c r="AA217" s="26">
        <f>IF(S217=1,1+V7_PURPOSE_NC_BUMP*MAX(0,1-ABS(M217-V7_PURPOSE_PEAK_AGE)/V7_PURPOSE_WIDTH),1)</f>
        <v/>
      </c>
      <c r="AB217" s="26">
        <f>IF(AND(IF(OR(P217="",NOT(ISNUMBER(P217))),0,MAX(0,MIN(24,(INT(VALUE(H217)/100)-INT(P217/100))*12+MOD(VALUE(H217),100)-MOD(P217,100))))&gt;0,IF(OR(P217="",NOT(ISNUMBER(P217))),0,MAX(0,MIN(24,(INT(VALUE(H217)/100)-INT(P217/100))*12+MOD(VALUE(H217),100)-MOD(P217,100))))&lt;=12),1+V7_LOCKOUT_AMP*EXP(-(IF(OR(P217="",NOT(ISNUMBER(P217))),0,MAX(0,MIN(24,(INT(VALUE(H217)/100)-INT(P217/100))*12+MOD(VALUE(H217),100)-MOD(P217,100)))))/V7_LOCKOUT_TAU),1)</f>
        <v/>
      </c>
      <c r="AC217" s="26">
        <f>IF(IF(OR(O217="",NOT(ISNUMBER(O217))),360,MAX(0,MIN(480,(INT(O217/100)-INT(VALUE(H217)/100))*12+MOD(O217,100)-MOD(VALUE(H217),100))))&gt;0,1+V7_MTY_AMP*MAX(0,(V7_MTY_CUTOFF-(IF(OR(O217="",NOT(ISNUMBER(O217))),360,MAX(0,MIN(480,(INT(O217/100)-INT(VALUE(H217)/100))*12+MOD(O217,100)-MOD(VALUE(H217),100))))))/V7_MTY_CUTOFF),1)</f>
        <v/>
      </c>
      <c r="AD217" s="26">
        <f>MAX(V7_BURN_FLOOR,1-V7_BURN_SLOPE*MIN(1,MAX(0,R217)))</f>
        <v/>
      </c>
      <c r="AE217" s="26">
        <f>IF(V7_USE_ISSUER=1,IFERROR(VLOOKUP(Q217,V7_ISSUER_TABLE,3,FALSE),1),1)</f>
        <v/>
      </c>
      <c r="AF217" s="26">
        <f>PRODUCT(W217:AE217)</f>
        <v/>
      </c>
      <c r="AG217" s="27">
        <f>MIN(V7_BASE_SMM*AF217,V7_SMM_CAP)</f>
        <v/>
      </c>
      <c r="AH217" s="28">
        <f>1-(1-AG217)^12</f>
        <v/>
      </c>
      <c r="AI217" s="28">
        <f>IFERROR(LN(W217)/(LN(W217)+LN(X217)+LN(Y217)+LN(Z217)+LN(AA217)+LN(AB217)+LN(AC217)+LN(AD217))*(AH217-V7_BASE_CPR),0)</f>
        <v/>
      </c>
      <c r="AJ217" s="28">
        <f>IFERROR(LN(X217)/(LN(W217)+LN(X217)+LN(Y217)+LN(Z217)+LN(AA217)+LN(AB217)+LN(AC217)+LN(AD217))*(AH217-V7_BASE_CPR),0)</f>
        <v/>
      </c>
      <c r="AK217" s="28">
        <f>IFERROR(LN(Y217)/(LN(W217)+LN(X217)+LN(Y217)+LN(Z217)+LN(AA217)+LN(AB217)+LN(AC217)+LN(AD217))*(AH217-V7_BASE_CPR),0)</f>
        <v/>
      </c>
      <c r="AL217" s="28">
        <f>IFERROR(LN(Z217)/(LN(W217)+LN(X217)+LN(Y217)+LN(Z217)+LN(AA217)+LN(AB217)+LN(AC217)+LN(AD217))*(AH217-V7_BASE_CPR),0)</f>
        <v/>
      </c>
      <c r="AM217" s="28">
        <f>IFERROR(LN(AA217)/(LN(W217)+LN(X217)+LN(Y217)+LN(Z217)+LN(AA217)+LN(AB217)+LN(AC217)+LN(AD217))*(AH217-V7_BASE_CPR),0)</f>
        <v/>
      </c>
      <c r="AN217" s="28">
        <f>IFERROR(LN(AB217)/(LN(W217)+LN(X217)+LN(Y217)+LN(Z217)+LN(AA217)+LN(AB217)+LN(AC217)+LN(AD217))*(AH217-V7_BASE_CPR),0)</f>
        <v/>
      </c>
      <c r="AO217" s="28">
        <f>IFERROR(LN(AC217)/(LN(W217)+LN(X217)+LN(Y217)+LN(Z217)+LN(AA217)+LN(AB217)+LN(AC217)+LN(AD217))*(AH217-V7_BASE_CPR),0)</f>
        <v/>
      </c>
      <c r="AP217" s="28">
        <f>IFERROR(LN(AD217)/(LN(W217)+LN(X217)+LN(Y217)+LN(Z217)+LN(AA217)+LN(AB217)+LN(AC217)+LN(AD217))*(AH217-V7_BASE_CPR),0)</f>
        <v/>
      </c>
      <c r="AQ217" s="29">
        <f>V7_BASE_CPR+SUM(AI217:AP217)-AH217</f>
        <v/>
      </c>
    </row>
    <row r="218">
      <c r="A218" s="2" t="inlineStr">
        <is>
          <t>3617ATE74_000000002422108</t>
        </is>
      </c>
      <c r="B218" t="inlineStr">
        <is>
          <t>KEYBANK_PRE21</t>
        </is>
      </c>
      <c r="C218" s="2" t="inlineStr">
        <is>
          <t>3617ATE74</t>
        </is>
      </c>
      <c r="D218" t="inlineStr">
        <is>
          <t>KEYBANK NATIONAL ASSOCIATION</t>
        </is>
      </c>
      <c r="E218" t="inlineStr">
        <is>
          <t>232</t>
        </is>
      </c>
      <c r="F218" t="inlineStr">
        <is>
          <t>RP</t>
        </is>
      </c>
      <c r="G218" t="n">
        <v>2017</v>
      </c>
      <c r="H218" t="inlineStr">
        <is>
          <t>202602</t>
        </is>
      </c>
      <c r="I218" s="22" t="n">
        <v>11973413.59</v>
      </c>
      <c r="J218" s="23" t="n">
        <v>3.24</v>
      </c>
      <c r="K218" s="24" t="n">
        <v>447</v>
      </c>
      <c r="L218" s="24" t="n">
        <v>2</v>
      </c>
      <c r="M218" t="n">
        <v>100</v>
      </c>
      <c r="N218" s="25" t="n">
        <v>25</v>
      </c>
      <c r="O218" t="n">
        <v>204711</v>
      </c>
      <c r="P218" t="inlineStr"/>
      <c r="Q218" t="inlineStr">
        <is>
          <t>4271</t>
        </is>
      </c>
      <c r="R218" s="26" t="n">
        <v>0.25</v>
      </c>
      <c r="S218" t="n">
        <v>0</v>
      </c>
      <c r="T218" s="23">
        <f>LN(1+I218)</f>
        <v/>
      </c>
      <c r="U218" s="24">
        <f>J218*100-K218</f>
        <v/>
      </c>
      <c r="V218" s="24">
        <f>U218-12.5*(L218+1)</f>
        <v/>
      </c>
      <c r="W218" s="26">
        <f>IF(M218&lt;=V7_AGE_KNOT_X_0,V7_AGE_KNOT_Y_0,IF(M218&gt;=V7_AGE_KNOT_X_5,V7_AGE_KNOT_Y_5,IF(M218&lt;=V7_AGE_KNOT_X_1,V7_AGE_KNOT_Y_0+(M218-V7_AGE_KNOT_X_0)/(V7_AGE_KNOT_X_1-V7_AGE_KNOT_X_0)*(V7_AGE_KNOT_Y_1-V7_AGE_KNOT_Y_0),IF(M218&lt;=V7_AGE_KNOT_X_2,V7_AGE_KNOT_Y_1+(M218-V7_AGE_KNOT_X_1)/(V7_AGE_KNOT_X_2-V7_AGE_KNOT_X_1)*(V7_AGE_KNOT_Y_2-V7_AGE_KNOT_Y_1),IF(M218&lt;=V7_AGE_KNOT_X_3,V7_AGE_KNOT_Y_2+(M218-V7_AGE_KNOT_X_2)/(V7_AGE_KNOT_X_3-V7_AGE_KNOT_X_2)*(V7_AGE_KNOT_Y_3-V7_AGE_KNOT_Y_2),IF(M218&lt;=V7_AGE_KNOT_X_4,V7_AGE_KNOT_Y_3+(M218-V7_AGE_KNOT_X_3)/(V7_AGE_KNOT_X_4-V7_AGE_KNOT_X_3)*(V7_AGE_KNOT_Y_4-V7_AGE_KNOT_Y_3),V7_AGE_KNOT_Y_4+(M218-V7_AGE_KNOT_X_4)/(V7_AGE_KNOT_X_5-V7_AGE_KNOT_X_4)*(V7_AGE_KNOT_Y_5-V7_AGE_KNOT_Y_4)))))))</f>
        <v/>
      </c>
      <c r="X218" s="26">
        <f>V7_RATE_FLOOR+V7_RATE_ASYMPTOTE/(1+EXP(-(V218-V7_RATE_MID)/V7_RATE_SLOPE))</f>
        <v/>
      </c>
      <c r="Y218" s="26">
        <f>MAX(V7_SIZE_LOW,MIN(V7_SIZE_HIGH,V7_SIZE_INTERCEPT+V7_SIZE_SLOPE*(T218-V7_SIZE_LOG_ANCHOR)))</f>
        <v/>
      </c>
      <c r="Z218" s="26">
        <f>IF(ISNUMBER(SEARCH("232",E218)),VLOOKUP("232",V7_PROGRAM_TABLE,2,FALSE),IF(ISNUMBER(SEARCH("538",E218)),VLOOKUP("538",V7_PROGRAM_TABLE,2,FALSE),IF(ISNUMBER(SEARCH("223a7",E218)),VLOOKUP("223a7",V7_PROGRAM_TABLE,2,FALSE),IF(ISNUMBER(SEARCH("223f",E218)),VLOOKUP("223f",V7_PROGRAM_TABLE,2,FALSE),V7_PROGRAM_DEFAULT))))</f>
        <v/>
      </c>
      <c r="AA218" s="26">
        <f>IF(S218=1,1+V7_PURPOSE_NC_BUMP*MAX(0,1-ABS(M218-V7_PURPOSE_PEAK_AGE)/V7_PURPOSE_WIDTH),1)</f>
        <v/>
      </c>
      <c r="AB218" s="26">
        <f>IF(AND(IF(OR(P218="",NOT(ISNUMBER(P218))),0,MAX(0,MIN(24,(INT(VALUE(H218)/100)-INT(P218/100))*12+MOD(VALUE(H218),100)-MOD(P218,100))))&gt;0,IF(OR(P218="",NOT(ISNUMBER(P218))),0,MAX(0,MIN(24,(INT(VALUE(H218)/100)-INT(P218/100))*12+MOD(VALUE(H218),100)-MOD(P218,100))))&lt;=12),1+V7_LOCKOUT_AMP*EXP(-(IF(OR(P218="",NOT(ISNUMBER(P218))),0,MAX(0,MIN(24,(INT(VALUE(H218)/100)-INT(P218/100))*12+MOD(VALUE(H218),100)-MOD(P218,100)))))/V7_LOCKOUT_TAU),1)</f>
        <v/>
      </c>
      <c r="AC218" s="26">
        <f>IF(IF(OR(O218="",NOT(ISNUMBER(O218))),360,MAX(0,MIN(480,(INT(O218/100)-INT(VALUE(H218)/100))*12+MOD(O218,100)-MOD(VALUE(H218),100))))&gt;0,1+V7_MTY_AMP*MAX(0,(V7_MTY_CUTOFF-(IF(OR(O218="",NOT(ISNUMBER(O218))),360,MAX(0,MIN(480,(INT(O218/100)-INT(VALUE(H218)/100))*12+MOD(O218,100)-MOD(VALUE(H218),100))))))/V7_MTY_CUTOFF),1)</f>
        <v/>
      </c>
      <c r="AD218" s="26">
        <f>MAX(V7_BURN_FLOOR,1-V7_BURN_SLOPE*MIN(1,MAX(0,R218)))</f>
        <v/>
      </c>
      <c r="AE218" s="26">
        <f>IF(V7_USE_ISSUER=1,IFERROR(VLOOKUP(Q218,V7_ISSUER_TABLE,3,FALSE),1),1)</f>
        <v/>
      </c>
      <c r="AF218" s="26">
        <f>PRODUCT(W218:AE218)</f>
        <v/>
      </c>
      <c r="AG218" s="27">
        <f>MIN(V7_BASE_SMM*AF218,V7_SMM_CAP)</f>
        <v/>
      </c>
      <c r="AH218" s="28">
        <f>1-(1-AG218)^12</f>
        <v/>
      </c>
      <c r="AI218" s="28">
        <f>IFERROR(LN(W218)/(LN(W218)+LN(X218)+LN(Y218)+LN(Z218)+LN(AA218)+LN(AB218)+LN(AC218)+LN(AD218))*(AH218-V7_BASE_CPR),0)</f>
        <v/>
      </c>
      <c r="AJ218" s="28">
        <f>IFERROR(LN(X218)/(LN(W218)+LN(X218)+LN(Y218)+LN(Z218)+LN(AA218)+LN(AB218)+LN(AC218)+LN(AD218))*(AH218-V7_BASE_CPR),0)</f>
        <v/>
      </c>
      <c r="AK218" s="28">
        <f>IFERROR(LN(Y218)/(LN(W218)+LN(X218)+LN(Y218)+LN(Z218)+LN(AA218)+LN(AB218)+LN(AC218)+LN(AD218))*(AH218-V7_BASE_CPR),0)</f>
        <v/>
      </c>
      <c r="AL218" s="28">
        <f>IFERROR(LN(Z218)/(LN(W218)+LN(X218)+LN(Y218)+LN(Z218)+LN(AA218)+LN(AB218)+LN(AC218)+LN(AD218))*(AH218-V7_BASE_CPR),0)</f>
        <v/>
      </c>
      <c r="AM218" s="28">
        <f>IFERROR(LN(AA218)/(LN(W218)+LN(X218)+LN(Y218)+LN(Z218)+LN(AA218)+LN(AB218)+LN(AC218)+LN(AD218))*(AH218-V7_BASE_CPR),0)</f>
        <v/>
      </c>
      <c r="AN218" s="28">
        <f>IFERROR(LN(AB218)/(LN(W218)+LN(X218)+LN(Y218)+LN(Z218)+LN(AA218)+LN(AB218)+LN(AC218)+LN(AD218))*(AH218-V7_BASE_CPR),0)</f>
        <v/>
      </c>
      <c r="AO218" s="28">
        <f>IFERROR(LN(AC218)/(LN(W218)+LN(X218)+LN(Y218)+LN(Z218)+LN(AA218)+LN(AB218)+LN(AC218)+LN(AD218))*(AH218-V7_BASE_CPR),0)</f>
        <v/>
      </c>
      <c r="AP218" s="28">
        <f>IFERROR(LN(AD218)/(LN(W218)+LN(X218)+LN(Y218)+LN(Z218)+LN(AA218)+LN(AB218)+LN(AC218)+LN(AD218))*(AH218-V7_BASE_CPR),0)</f>
        <v/>
      </c>
      <c r="AQ218" s="29">
        <f>V7_BASE_CPR+SUM(AI218:AP218)-AH218</f>
        <v/>
      </c>
    </row>
    <row r="219">
      <c r="A219" s="2" t="inlineStr">
        <is>
          <t>3617J7MT6_000000001711211</t>
        </is>
      </c>
      <c r="B219" t="inlineStr">
        <is>
          <t>KEYBANK_PRE21</t>
        </is>
      </c>
      <c r="C219" s="2" t="inlineStr">
        <is>
          <t>3617J7MT6</t>
        </is>
      </c>
      <c r="D219" t="inlineStr">
        <is>
          <t>KEYBANK NATIONAL ASSOCIATION</t>
        </is>
      </c>
      <c r="E219" t="inlineStr">
        <is>
          <t>223f</t>
        </is>
      </c>
      <c r="F219" t="inlineStr">
        <is>
          <t>RP</t>
        </is>
      </c>
      <c r="G219" t="n">
        <v>2018</v>
      </c>
      <c r="H219" t="inlineStr">
        <is>
          <t>202602</t>
        </is>
      </c>
      <c r="I219" s="22" t="n">
        <v>2100799.83</v>
      </c>
      <c r="J219" s="23" t="n">
        <v>4.75</v>
      </c>
      <c r="K219" s="24" t="n">
        <v>447</v>
      </c>
      <c r="L219" s="24" t="n">
        <v>3</v>
      </c>
      <c r="M219" t="n">
        <v>86</v>
      </c>
      <c r="N219" s="25" t="n">
        <v>41</v>
      </c>
      <c r="O219" t="n">
        <v>205401</v>
      </c>
      <c r="P219" t="inlineStr"/>
      <c r="Q219" t="inlineStr">
        <is>
          <t>4271</t>
        </is>
      </c>
      <c r="R219" s="26" t="n">
        <v>0.4767441860465116</v>
      </c>
      <c r="S219" t="n">
        <v>0</v>
      </c>
      <c r="T219" s="23">
        <f>LN(1+I219)</f>
        <v/>
      </c>
      <c r="U219" s="24">
        <f>J219*100-K219</f>
        <v/>
      </c>
      <c r="V219" s="24">
        <f>U219-12.5*(L219+1)</f>
        <v/>
      </c>
      <c r="W219" s="26">
        <f>IF(M219&lt;=V7_AGE_KNOT_X_0,V7_AGE_KNOT_Y_0,IF(M219&gt;=V7_AGE_KNOT_X_5,V7_AGE_KNOT_Y_5,IF(M219&lt;=V7_AGE_KNOT_X_1,V7_AGE_KNOT_Y_0+(M219-V7_AGE_KNOT_X_0)/(V7_AGE_KNOT_X_1-V7_AGE_KNOT_X_0)*(V7_AGE_KNOT_Y_1-V7_AGE_KNOT_Y_0),IF(M219&lt;=V7_AGE_KNOT_X_2,V7_AGE_KNOT_Y_1+(M219-V7_AGE_KNOT_X_1)/(V7_AGE_KNOT_X_2-V7_AGE_KNOT_X_1)*(V7_AGE_KNOT_Y_2-V7_AGE_KNOT_Y_1),IF(M219&lt;=V7_AGE_KNOT_X_3,V7_AGE_KNOT_Y_2+(M219-V7_AGE_KNOT_X_2)/(V7_AGE_KNOT_X_3-V7_AGE_KNOT_X_2)*(V7_AGE_KNOT_Y_3-V7_AGE_KNOT_Y_2),IF(M219&lt;=V7_AGE_KNOT_X_4,V7_AGE_KNOT_Y_3+(M219-V7_AGE_KNOT_X_3)/(V7_AGE_KNOT_X_4-V7_AGE_KNOT_X_3)*(V7_AGE_KNOT_Y_4-V7_AGE_KNOT_Y_3),V7_AGE_KNOT_Y_4+(M219-V7_AGE_KNOT_X_4)/(V7_AGE_KNOT_X_5-V7_AGE_KNOT_X_4)*(V7_AGE_KNOT_Y_5-V7_AGE_KNOT_Y_4)))))))</f>
        <v/>
      </c>
      <c r="X219" s="26">
        <f>V7_RATE_FLOOR+V7_RATE_ASYMPTOTE/(1+EXP(-(V219-V7_RATE_MID)/V7_RATE_SLOPE))</f>
        <v/>
      </c>
      <c r="Y219" s="26">
        <f>MAX(V7_SIZE_LOW,MIN(V7_SIZE_HIGH,V7_SIZE_INTERCEPT+V7_SIZE_SLOPE*(T219-V7_SIZE_LOG_ANCHOR)))</f>
        <v/>
      </c>
      <c r="Z219" s="26">
        <f>IF(ISNUMBER(SEARCH("232",E219)),VLOOKUP("232",V7_PROGRAM_TABLE,2,FALSE),IF(ISNUMBER(SEARCH("538",E219)),VLOOKUP("538",V7_PROGRAM_TABLE,2,FALSE),IF(ISNUMBER(SEARCH("223a7",E219)),VLOOKUP("223a7",V7_PROGRAM_TABLE,2,FALSE),IF(ISNUMBER(SEARCH("223f",E219)),VLOOKUP("223f",V7_PROGRAM_TABLE,2,FALSE),V7_PROGRAM_DEFAULT))))</f>
        <v/>
      </c>
      <c r="AA219" s="26">
        <f>IF(S219=1,1+V7_PURPOSE_NC_BUMP*MAX(0,1-ABS(M219-V7_PURPOSE_PEAK_AGE)/V7_PURPOSE_WIDTH),1)</f>
        <v/>
      </c>
      <c r="AB219" s="26">
        <f>IF(AND(IF(OR(P219="",NOT(ISNUMBER(P219))),0,MAX(0,MIN(24,(INT(VALUE(H219)/100)-INT(P219/100))*12+MOD(VALUE(H219),100)-MOD(P219,100))))&gt;0,IF(OR(P219="",NOT(ISNUMBER(P219))),0,MAX(0,MIN(24,(INT(VALUE(H219)/100)-INT(P219/100))*12+MOD(VALUE(H219),100)-MOD(P219,100))))&lt;=12),1+V7_LOCKOUT_AMP*EXP(-(IF(OR(P219="",NOT(ISNUMBER(P219))),0,MAX(0,MIN(24,(INT(VALUE(H219)/100)-INT(P219/100))*12+MOD(VALUE(H219),100)-MOD(P219,100)))))/V7_LOCKOUT_TAU),1)</f>
        <v/>
      </c>
      <c r="AC219" s="26">
        <f>IF(IF(OR(O219="",NOT(ISNUMBER(O219))),360,MAX(0,MIN(480,(INT(O219/100)-INT(VALUE(H219)/100))*12+MOD(O219,100)-MOD(VALUE(H219),100))))&gt;0,1+V7_MTY_AMP*MAX(0,(V7_MTY_CUTOFF-(IF(OR(O219="",NOT(ISNUMBER(O219))),360,MAX(0,MIN(480,(INT(O219/100)-INT(VALUE(H219)/100))*12+MOD(O219,100)-MOD(VALUE(H219),100))))))/V7_MTY_CUTOFF),1)</f>
        <v/>
      </c>
      <c r="AD219" s="26">
        <f>MAX(V7_BURN_FLOOR,1-V7_BURN_SLOPE*MIN(1,MAX(0,R219)))</f>
        <v/>
      </c>
      <c r="AE219" s="26">
        <f>IF(V7_USE_ISSUER=1,IFERROR(VLOOKUP(Q219,V7_ISSUER_TABLE,3,FALSE),1),1)</f>
        <v/>
      </c>
      <c r="AF219" s="26">
        <f>PRODUCT(W219:AE219)</f>
        <v/>
      </c>
      <c r="AG219" s="27">
        <f>MIN(V7_BASE_SMM*AF219,V7_SMM_CAP)</f>
        <v/>
      </c>
      <c r="AH219" s="28">
        <f>1-(1-AG219)^12</f>
        <v/>
      </c>
      <c r="AI219" s="28">
        <f>IFERROR(LN(W219)/(LN(W219)+LN(X219)+LN(Y219)+LN(Z219)+LN(AA219)+LN(AB219)+LN(AC219)+LN(AD219))*(AH219-V7_BASE_CPR),0)</f>
        <v/>
      </c>
      <c r="AJ219" s="28">
        <f>IFERROR(LN(X219)/(LN(W219)+LN(X219)+LN(Y219)+LN(Z219)+LN(AA219)+LN(AB219)+LN(AC219)+LN(AD219))*(AH219-V7_BASE_CPR),0)</f>
        <v/>
      </c>
      <c r="AK219" s="28">
        <f>IFERROR(LN(Y219)/(LN(W219)+LN(X219)+LN(Y219)+LN(Z219)+LN(AA219)+LN(AB219)+LN(AC219)+LN(AD219))*(AH219-V7_BASE_CPR),0)</f>
        <v/>
      </c>
      <c r="AL219" s="28">
        <f>IFERROR(LN(Z219)/(LN(W219)+LN(X219)+LN(Y219)+LN(Z219)+LN(AA219)+LN(AB219)+LN(AC219)+LN(AD219))*(AH219-V7_BASE_CPR),0)</f>
        <v/>
      </c>
      <c r="AM219" s="28">
        <f>IFERROR(LN(AA219)/(LN(W219)+LN(X219)+LN(Y219)+LN(Z219)+LN(AA219)+LN(AB219)+LN(AC219)+LN(AD219))*(AH219-V7_BASE_CPR),0)</f>
        <v/>
      </c>
      <c r="AN219" s="28">
        <f>IFERROR(LN(AB219)/(LN(W219)+LN(X219)+LN(Y219)+LN(Z219)+LN(AA219)+LN(AB219)+LN(AC219)+LN(AD219))*(AH219-V7_BASE_CPR),0)</f>
        <v/>
      </c>
      <c r="AO219" s="28">
        <f>IFERROR(LN(AC219)/(LN(W219)+LN(X219)+LN(Y219)+LN(Z219)+LN(AA219)+LN(AB219)+LN(AC219)+LN(AD219))*(AH219-V7_BASE_CPR),0)</f>
        <v/>
      </c>
      <c r="AP219" s="28">
        <f>IFERROR(LN(AD219)/(LN(W219)+LN(X219)+LN(Y219)+LN(Z219)+LN(AA219)+LN(AB219)+LN(AC219)+LN(AD219))*(AH219-V7_BASE_CPR),0)</f>
        <v/>
      </c>
      <c r="AQ219" s="29">
        <f>V7_BASE_CPR+SUM(AI219:AP219)-AH219</f>
        <v/>
      </c>
    </row>
    <row r="220">
      <c r="A220" s="2" t="inlineStr">
        <is>
          <t>3620AEWQ9_000000011322064</t>
        </is>
      </c>
      <c r="B220" t="inlineStr">
        <is>
          <t>KEYBANK_PRE21</t>
        </is>
      </c>
      <c r="C220" s="2" t="inlineStr">
        <is>
          <t>3620AEWQ9</t>
        </is>
      </c>
      <c r="D220" t="inlineStr">
        <is>
          <t>KEYBANK NATIONAL ASSOCIATION</t>
        </is>
      </c>
      <c r="E220" t="inlineStr">
        <is>
          <t>232</t>
        </is>
      </c>
      <c r="F220" t="inlineStr">
        <is>
          <t>RP</t>
        </is>
      </c>
      <c r="G220" t="n">
        <v>2011</v>
      </c>
      <c r="H220" t="inlineStr">
        <is>
          <t>202602</t>
        </is>
      </c>
      <c r="I220" s="22" t="n">
        <v>4594985.17</v>
      </c>
      <c r="J220" s="23" t="n">
        <v>4.28</v>
      </c>
      <c r="K220" s="24" t="n">
        <v>447</v>
      </c>
      <c r="L220" s="24" t="n">
        <v>0</v>
      </c>
      <c r="M220" t="n">
        <v>179</v>
      </c>
      <c r="N220" s="25" t="n">
        <v>45</v>
      </c>
      <c r="O220" t="n">
        <v>203604</v>
      </c>
      <c r="P220" t="inlineStr"/>
      <c r="Q220" t="inlineStr">
        <is>
          <t>4271</t>
        </is>
      </c>
      <c r="R220" s="26" t="n">
        <v>0.2513966480446927</v>
      </c>
      <c r="S220" t="n">
        <v>0</v>
      </c>
      <c r="T220" s="23">
        <f>LN(1+I220)</f>
        <v/>
      </c>
      <c r="U220" s="24">
        <f>J220*100-K220</f>
        <v/>
      </c>
      <c r="V220" s="24">
        <f>U220-12.5*(L220+1)</f>
        <v/>
      </c>
      <c r="W220" s="26">
        <f>IF(M220&lt;=V7_AGE_KNOT_X_0,V7_AGE_KNOT_Y_0,IF(M220&gt;=V7_AGE_KNOT_X_5,V7_AGE_KNOT_Y_5,IF(M220&lt;=V7_AGE_KNOT_X_1,V7_AGE_KNOT_Y_0+(M220-V7_AGE_KNOT_X_0)/(V7_AGE_KNOT_X_1-V7_AGE_KNOT_X_0)*(V7_AGE_KNOT_Y_1-V7_AGE_KNOT_Y_0),IF(M220&lt;=V7_AGE_KNOT_X_2,V7_AGE_KNOT_Y_1+(M220-V7_AGE_KNOT_X_1)/(V7_AGE_KNOT_X_2-V7_AGE_KNOT_X_1)*(V7_AGE_KNOT_Y_2-V7_AGE_KNOT_Y_1),IF(M220&lt;=V7_AGE_KNOT_X_3,V7_AGE_KNOT_Y_2+(M220-V7_AGE_KNOT_X_2)/(V7_AGE_KNOT_X_3-V7_AGE_KNOT_X_2)*(V7_AGE_KNOT_Y_3-V7_AGE_KNOT_Y_2),IF(M220&lt;=V7_AGE_KNOT_X_4,V7_AGE_KNOT_Y_3+(M220-V7_AGE_KNOT_X_3)/(V7_AGE_KNOT_X_4-V7_AGE_KNOT_X_3)*(V7_AGE_KNOT_Y_4-V7_AGE_KNOT_Y_3),V7_AGE_KNOT_Y_4+(M220-V7_AGE_KNOT_X_4)/(V7_AGE_KNOT_X_5-V7_AGE_KNOT_X_4)*(V7_AGE_KNOT_Y_5-V7_AGE_KNOT_Y_4)))))))</f>
        <v/>
      </c>
      <c r="X220" s="26">
        <f>V7_RATE_FLOOR+V7_RATE_ASYMPTOTE/(1+EXP(-(V220-V7_RATE_MID)/V7_RATE_SLOPE))</f>
        <v/>
      </c>
      <c r="Y220" s="26">
        <f>MAX(V7_SIZE_LOW,MIN(V7_SIZE_HIGH,V7_SIZE_INTERCEPT+V7_SIZE_SLOPE*(T220-V7_SIZE_LOG_ANCHOR)))</f>
        <v/>
      </c>
      <c r="Z220" s="26">
        <f>IF(ISNUMBER(SEARCH("232",E220)),VLOOKUP("232",V7_PROGRAM_TABLE,2,FALSE),IF(ISNUMBER(SEARCH("538",E220)),VLOOKUP("538",V7_PROGRAM_TABLE,2,FALSE),IF(ISNUMBER(SEARCH("223a7",E220)),VLOOKUP("223a7",V7_PROGRAM_TABLE,2,FALSE),IF(ISNUMBER(SEARCH("223f",E220)),VLOOKUP("223f",V7_PROGRAM_TABLE,2,FALSE),V7_PROGRAM_DEFAULT))))</f>
        <v/>
      </c>
      <c r="AA220" s="26">
        <f>IF(S220=1,1+V7_PURPOSE_NC_BUMP*MAX(0,1-ABS(M220-V7_PURPOSE_PEAK_AGE)/V7_PURPOSE_WIDTH),1)</f>
        <v/>
      </c>
      <c r="AB220" s="26">
        <f>IF(AND(IF(OR(P220="",NOT(ISNUMBER(P220))),0,MAX(0,MIN(24,(INT(VALUE(H220)/100)-INT(P220/100))*12+MOD(VALUE(H220),100)-MOD(P220,100))))&gt;0,IF(OR(P220="",NOT(ISNUMBER(P220))),0,MAX(0,MIN(24,(INT(VALUE(H220)/100)-INT(P220/100))*12+MOD(VALUE(H220),100)-MOD(P220,100))))&lt;=12),1+V7_LOCKOUT_AMP*EXP(-(IF(OR(P220="",NOT(ISNUMBER(P220))),0,MAX(0,MIN(24,(INT(VALUE(H220)/100)-INT(P220/100))*12+MOD(VALUE(H220),100)-MOD(P220,100)))))/V7_LOCKOUT_TAU),1)</f>
        <v/>
      </c>
      <c r="AC220" s="26">
        <f>IF(IF(OR(O220="",NOT(ISNUMBER(O220))),360,MAX(0,MIN(480,(INT(O220/100)-INT(VALUE(H220)/100))*12+MOD(O220,100)-MOD(VALUE(H220),100))))&gt;0,1+V7_MTY_AMP*MAX(0,(V7_MTY_CUTOFF-(IF(OR(O220="",NOT(ISNUMBER(O220))),360,MAX(0,MIN(480,(INT(O220/100)-INT(VALUE(H220)/100))*12+MOD(O220,100)-MOD(VALUE(H220),100))))))/V7_MTY_CUTOFF),1)</f>
        <v/>
      </c>
      <c r="AD220" s="26">
        <f>MAX(V7_BURN_FLOOR,1-V7_BURN_SLOPE*MIN(1,MAX(0,R220)))</f>
        <v/>
      </c>
      <c r="AE220" s="26">
        <f>IF(V7_USE_ISSUER=1,IFERROR(VLOOKUP(Q220,V7_ISSUER_TABLE,3,FALSE),1),1)</f>
        <v/>
      </c>
      <c r="AF220" s="26">
        <f>PRODUCT(W220:AE220)</f>
        <v/>
      </c>
      <c r="AG220" s="27">
        <f>MIN(V7_BASE_SMM*AF220,V7_SMM_CAP)</f>
        <v/>
      </c>
      <c r="AH220" s="28">
        <f>1-(1-AG220)^12</f>
        <v/>
      </c>
      <c r="AI220" s="28">
        <f>IFERROR(LN(W220)/(LN(W220)+LN(X220)+LN(Y220)+LN(Z220)+LN(AA220)+LN(AB220)+LN(AC220)+LN(AD220))*(AH220-V7_BASE_CPR),0)</f>
        <v/>
      </c>
      <c r="AJ220" s="28">
        <f>IFERROR(LN(X220)/(LN(W220)+LN(X220)+LN(Y220)+LN(Z220)+LN(AA220)+LN(AB220)+LN(AC220)+LN(AD220))*(AH220-V7_BASE_CPR),0)</f>
        <v/>
      </c>
      <c r="AK220" s="28">
        <f>IFERROR(LN(Y220)/(LN(W220)+LN(X220)+LN(Y220)+LN(Z220)+LN(AA220)+LN(AB220)+LN(AC220)+LN(AD220))*(AH220-V7_BASE_CPR),0)</f>
        <v/>
      </c>
      <c r="AL220" s="28">
        <f>IFERROR(LN(Z220)/(LN(W220)+LN(X220)+LN(Y220)+LN(Z220)+LN(AA220)+LN(AB220)+LN(AC220)+LN(AD220))*(AH220-V7_BASE_CPR),0)</f>
        <v/>
      </c>
      <c r="AM220" s="28">
        <f>IFERROR(LN(AA220)/(LN(W220)+LN(X220)+LN(Y220)+LN(Z220)+LN(AA220)+LN(AB220)+LN(AC220)+LN(AD220))*(AH220-V7_BASE_CPR),0)</f>
        <v/>
      </c>
      <c r="AN220" s="28">
        <f>IFERROR(LN(AB220)/(LN(W220)+LN(X220)+LN(Y220)+LN(Z220)+LN(AA220)+LN(AB220)+LN(AC220)+LN(AD220))*(AH220-V7_BASE_CPR),0)</f>
        <v/>
      </c>
      <c r="AO220" s="28">
        <f>IFERROR(LN(AC220)/(LN(W220)+LN(X220)+LN(Y220)+LN(Z220)+LN(AA220)+LN(AB220)+LN(AC220)+LN(AD220))*(AH220-V7_BASE_CPR),0)</f>
        <v/>
      </c>
      <c r="AP220" s="28">
        <f>IFERROR(LN(AD220)/(LN(W220)+LN(X220)+LN(Y220)+LN(Z220)+LN(AA220)+LN(AB220)+LN(AC220)+LN(AD220))*(AH220-V7_BASE_CPR),0)</f>
        <v/>
      </c>
      <c r="AQ220" s="29">
        <f>V7_BASE_CPR+SUM(AI220:AP220)-AH220</f>
        <v/>
      </c>
    </row>
    <row r="221">
      <c r="A221" s="2" t="inlineStr">
        <is>
          <t>3617X45C3_000000008322086</t>
        </is>
      </c>
      <c r="B221" t="inlineStr">
        <is>
          <t>KEYBANK_PRE21</t>
        </is>
      </c>
      <c r="C221" s="2" t="inlineStr">
        <is>
          <t>3617X45C3</t>
        </is>
      </c>
      <c r="D221" t="inlineStr">
        <is>
          <t>KEYBANK NATIONAL ASSOCIATION</t>
        </is>
      </c>
      <c r="E221" t="inlineStr">
        <is>
          <t>232</t>
        </is>
      </c>
      <c r="F221" t="inlineStr">
        <is>
          <t>RP</t>
        </is>
      </c>
      <c r="G221" t="n">
        <v>2019</v>
      </c>
      <c r="H221" t="inlineStr">
        <is>
          <t>202602</t>
        </is>
      </c>
      <c r="I221" s="22" t="n">
        <v>18452989.41</v>
      </c>
      <c r="J221" s="23" t="n">
        <v>3.04</v>
      </c>
      <c r="K221" s="24" t="n">
        <v>447</v>
      </c>
      <c r="L221" s="24" t="n">
        <v>6</v>
      </c>
      <c r="M221" t="n">
        <v>77</v>
      </c>
      <c r="N221" s="25" t="n">
        <v>0</v>
      </c>
      <c r="O221" t="n">
        <v>205410</v>
      </c>
      <c r="P221" t="inlineStr"/>
      <c r="Q221" t="inlineStr">
        <is>
          <t>4271</t>
        </is>
      </c>
      <c r="R221" s="26" t="n">
        <v>0</v>
      </c>
      <c r="S221" t="n">
        <v>0</v>
      </c>
      <c r="T221" s="23">
        <f>LN(1+I221)</f>
        <v/>
      </c>
      <c r="U221" s="24">
        <f>J221*100-K221</f>
        <v/>
      </c>
      <c r="V221" s="24">
        <f>U221-12.5*(L221+1)</f>
        <v/>
      </c>
      <c r="W221" s="26">
        <f>IF(M221&lt;=V7_AGE_KNOT_X_0,V7_AGE_KNOT_Y_0,IF(M221&gt;=V7_AGE_KNOT_X_5,V7_AGE_KNOT_Y_5,IF(M221&lt;=V7_AGE_KNOT_X_1,V7_AGE_KNOT_Y_0+(M221-V7_AGE_KNOT_X_0)/(V7_AGE_KNOT_X_1-V7_AGE_KNOT_X_0)*(V7_AGE_KNOT_Y_1-V7_AGE_KNOT_Y_0),IF(M221&lt;=V7_AGE_KNOT_X_2,V7_AGE_KNOT_Y_1+(M221-V7_AGE_KNOT_X_1)/(V7_AGE_KNOT_X_2-V7_AGE_KNOT_X_1)*(V7_AGE_KNOT_Y_2-V7_AGE_KNOT_Y_1),IF(M221&lt;=V7_AGE_KNOT_X_3,V7_AGE_KNOT_Y_2+(M221-V7_AGE_KNOT_X_2)/(V7_AGE_KNOT_X_3-V7_AGE_KNOT_X_2)*(V7_AGE_KNOT_Y_3-V7_AGE_KNOT_Y_2),IF(M221&lt;=V7_AGE_KNOT_X_4,V7_AGE_KNOT_Y_3+(M221-V7_AGE_KNOT_X_3)/(V7_AGE_KNOT_X_4-V7_AGE_KNOT_X_3)*(V7_AGE_KNOT_Y_4-V7_AGE_KNOT_Y_3),V7_AGE_KNOT_Y_4+(M221-V7_AGE_KNOT_X_4)/(V7_AGE_KNOT_X_5-V7_AGE_KNOT_X_4)*(V7_AGE_KNOT_Y_5-V7_AGE_KNOT_Y_4)))))))</f>
        <v/>
      </c>
      <c r="X221" s="26">
        <f>V7_RATE_FLOOR+V7_RATE_ASYMPTOTE/(1+EXP(-(V221-V7_RATE_MID)/V7_RATE_SLOPE))</f>
        <v/>
      </c>
      <c r="Y221" s="26">
        <f>MAX(V7_SIZE_LOW,MIN(V7_SIZE_HIGH,V7_SIZE_INTERCEPT+V7_SIZE_SLOPE*(T221-V7_SIZE_LOG_ANCHOR)))</f>
        <v/>
      </c>
      <c r="Z221" s="26">
        <f>IF(ISNUMBER(SEARCH("232",E221)),VLOOKUP("232",V7_PROGRAM_TABLE,2,FALSE),IF(ISNUMBER(SEARCH("538",E221)),VLOOKUP("538",V7_PROGRAM_TABLE,2,FALSE),IF(ISNUMBER(SEARCH("223a7",E221)),VLOOKUP("223a7",V7_PROGRAM_TABLE,2,FALSE),IF(ISNUMBER(SEARCH("223f",E221)),VLOOKUP("223f",V7_PROGRAM_TABLE,2,FALSE),V7_PROGRAM_DEFAULT))))</f>
        <v/>
      </c>
      <c r="AA221" s="26">
        <f>IF(S221=1,1+V7_PURPOSE_NC_BUMP*MAX(0,1-ABS(M221-V7_PURPOSE_PEAK_AGE)/V7_PURPOSE_WIDTH),1)</f>
        <v/>
      </c>
      <c r="AB221" s="26">
        <f>IF(AND(IF(OR(P221="",NOT(ISNUMBER(P221))),0,MAX(0,MIN(24,(INT(VALUE(H221)/100)-INT(P221/100))*12+MOD(VALUE(H221),100)-MOD(P221,100))))&gt;0,IF(OR(P221="",NOT(ISNUMBER(P221))),0,MAX(0,MIN(24,(INT(VALUE(H221)/100)-INT(P221/100))*12+MOD(VALUE(H221),100)-MOD(P221,100))))&lt;=12),1+V7_LOCKOUT_AMP*EXP(-(IF(OR(P221="",NOT(ISNUMBER(P221))),0,MAX(0,MIN(24,(INT(VALUE(H221)/100)-INT(P221/100))*12+MOD(VALUE(H221),100)-MOD(P221,100)))))/V7_LOCKOUT_TAU),1)</f>
        <v/>
      </c>
      <c r="AC221" s="26">
        <f>IF(IF(OR(O221="",NOT(ISNUMBER(O221))),360,MAX(0,MIN(480,(INT(O221/100)-INT(VALUE(H221)/100))*12+MOD(O221,100)-MOD(VALUE(H221),100))))&gt;0,1+V7_MTY_AMP*MAX(0,(V7_MTY_CUTOFF-(IF(OR(O221="",NOT(ISNUMBER(O221))),360,MAX(0,MIN(480,(INT(O221/100)-INT(VALUE(H221)/100))*12+MOD(O221,100)-MOD(VALUE(H221),100))))))/V7_MTY_CUTOFF),1)</f>
        <v/>
      </c>
      <c r="AD221" s="26">
        <f>MAX(V7_BURN_FLOOR,1-V7_BURN_SLOPE*MIN(1,MAX(0,R221)))</f>
        <v/>
      </c>
      <c r="AE221" s="26">
        <f>IF(V7_USE_ISSUER=1,IFERROR(VLOOKUP(Q221,V7_ISSUER_TABLE,3,FALSE),1),1)</f>
        <v/>
      </c>
      <c r="AF221" s="26">
        <f>PRODUCT(W221:AE221)</f>
        <v/>
      </c>
      <c r="AG221" s="27">
        <f>MIN(V7_BASE_SMM*AF221,V7_SMM_CAP)</f>
        <v/>
      </c>
      <c r="AH221" s="28">
        <f>1-(1-AG221)^12</f>
        <v/>
      </c>
      <c r="AI221" s="28">
        <f>IFERROR(LN(W221)/(LN(W221)+LN(X221)+LN(Y221)+LN(Z221)+LN(AA221)+LN(AB221)+LN(AC221)+LN(AD221))*(AH221-V7_BASE_CPR),0)</f>
        <v/>
      </c>
      <c r="AJ221" s="28">
        <f>IFERROR(LN(X221)/(LN(W221)+LN(X221)+LN(Y221)+LN(Z221)+LN(AA221)+LN(AB221)+LN(AC221)+LN(AD221))*(AH221-V7_BASE_CPR),0)</f>
        <v/>
      </c>
      <c r="AK221" s="28">
        <f>IFERROR(LN(Y221)/(LN(W221)+LN(X221)+LN(Y221)+LN(Z221)+LN(AA221)+LN(AB221)+LN(AC221)+LN(AD221))*(AH221-V7_BASE_CPR),0)</f>
        <v/>
      </c>
      <c r="AL221" s="28">
        <f>IFERROR(LN(Z221)/(LN(W221)+LN(X221)+LN(Y221)+LN(Z221)+LN(AA221)+LN(AB221)+LN(AC221)+LN(AD221))*(AH221-V7_BASE_CPR),0)</f>
        <v/>
      </c>
      <c r="AM221" s="28">
        <f>IFERROR(LN(AA221)/(LN(W221)+LN(X221)+LN(Y221)+LN(Z221)+LN(AA221)+LN(AB221)+LN(AC221)+LN(AD221))*(AH221-V7_BASE_CPR),0)</f>
        <v/>
      </c>
      <c r="AN221" s="28">
        <f>IFERROR(LN(AB221)/(LN(W221)+LN(X221)+LN(Y221)+LN(Z221)+LN(AA221)+LN(AB221)+LN(AC221)+LN(AD221))*(AH221-V7_BASE_CPR),0)</f>
        <v/>
      </c>
      <c r="AO221" s="28">
        <f>IFERROR(LN(AC221)/(LN(W221)+LN(X221)+LN(Y221)+LN(Z221)+LN(AA221)+LN(AB221)+LN(AC221)+LN(AD221))*(AH221-V7_BASE_CPR),0)</f>
        <v/>
      </c>
      <c r="AP221" s="28">
        <f>IFERROR(LN(AD221)/(LN(W221)+LN(X221)+LN(Y221)+LN(Z221)+LN(AA221)+LN(AB221)+LN(AC221)+LN(AD221))*(AH221-V7_BASE_CPR),0)</f>
        <v/>
      </c>
      <c r="AQ221" s="29">
        <f>V7_BASE_CPR+SUM(AI221:AP221)-AH221</f>
        <v/>
      </c>
    </row>
    <row r="222">
      <c r="A222" s="2" t="inlineStr">
        <is>
          <t>3617X45K5_000000008211161</t>
        </is>
      </c>
      <c r="B222" t="inlineStr">
        <is>
          <t>KEYBANK_POST21</t>
        </is>
      </c>
      <c r="C222" s="2" t="inlineStr">
        <is>
          <t>3617X45K5</t>
        </is>
      </c>
      <c r="D222" t="inlineStr">
        <is>
          <t>KEYBANK NATIONAL ASSOCIATION</t>
        </is>
      </c>
      <c r="E222" t="inlineStr">
        <is>
          <t>223f</t>
        </is>
      </c>
      <c r="F222" t="inlineStr">
        <is>
          <t>RP</t>
        </is>
      </c>
      <c r="G222" t="n">
        <v>2021</v>
      </c>
      <c r="H222" t="inlineStr">
        <is>
          <t>202602</t>
        </is>
      </c>
      <c r="I222" s="22" t="n">
        <v>25769713.74</v>
      </c>
      <c r="J222" s="23" t="n">
        <v>2.3</v>
      </c>
      <c r="K222" s="24" t="n">
        <v>447</v>
      </c>
      <c r="L222" s="24" t="n">
        <v>6</v>
      </c>
      <c r="M222" t="n">
        <v>50</v>
      </c>
      <c r="N222" s="25" t="n">
        <v>0</v>
      </c>
      <c r="O222" t="n">
        <v>205701</v>
      </c>
      <c r="P222" t="inlineStr"/>
      <c r="Q222" t="inlineStr">
        <is>
          <t>4271</t>
        </is>
      </c>
      <c r="R222" s="26" t="n">
        <v>0</v>
      </c>
      <c r="S222" t="n">
        <v>0</v>
      </c>
      <c r="T222" s="23">
        <f>LN(1+I222)</f>
        <v/>
      </c>
      <c r="U222" s="24">
        <f>J222*100-K222</f>
        <v/>
      </c>
      <c r="V222" s="24">
        <f>U222-12.5*(L222+1)</f>
        <v/>
      </c>
      <c r="W222" s="26">
        <f>IF(M222&lt;=V7_AGE_KNOT_X_0,V7_AGE_KNOT_Y_0,IF(M222&gt;=V7_AGE_KNOT_X_5,V7_AGE_KNOT_Y_5,IF(M222&lt;=V7_AGE_KNOT_X_1,V7_AGE_KNOT_Y_0+(M222-V7_AGE_KNOT_X_0)/(V7_AGE_KNOT_X_1-V7_AGE_KNOT_X_0)*(V7_AGE_KNOT_Y_1-V7_AGE_KNOT_Y_0),IF(M222&lt;=V7_AGE_KNOT_X_2,V7_AGE_KNOT_Y_1+(M222-V7_AGE_KNOT_X_1)/(V7_AGE_KNOT_X_2-V7_AGE_KNOT_X_1)*(V7_AGE_KNOT_Y_2-V7_AGE_KNOT_Y_1),IF(M222&lt;=V7_AGE_KNOT_X_3,V7_AGE_KNOT_Y_2+(M222-V7_AGE_KNOT_X_2)/(V7_AGE_KNOT_X_3-V7_AGE_KNOT_X_2)*(V7_AGE_KNOT_Y_3-V7_AGE_KNOT_Y_2),IF(M222&lt;=V7_AGE_KNOT_X_4,V7_AGE_KNOT_Y_3+(M222-V7_AGE_KNOT_X_3)/(V7_AGE_KNOT_X_4-V7_AGE_KNOT_X_3)*(V7_AGE_KNOT_Y_4-V7_AGE_KNOT_Y_3),V7_AGE_KNOT_Y_4+(M222-V7_AGE_KNOT_X_4)/(V7_AGE_KNOT_X_5-V7_AGE_KNOT_X_4)*(V7_AGE_KNOT_Y_5-V7_AGE_KNOT_Y_4)))))))</f>
        <v/>
      </c>
      <c r="X222" s="26">
        <f>V7_RATE_FLOOR+V7_RATE_ASYMPTOTE/(1+EXP(-(V222-V7_RATE_MID)/V7_RATE_SLOPE))</f>
        <v/>
      </c>
      <c r="Y222" s="26">
        <f>MAX(V7_SIZE_LOW,MIN(V7_SIZE_HIGH,V7_SIZE_INTERCEPT+V7_SIZE_SLOPE*(T222-V7_SIZE_LOG_ANCHOR)))</f>
        <v/>
      </c>
      <c r="Z222" s="26">
        <f>IF(ISNUMBER(SEARCH("232",E222)),VLOOKUP("232",V7_PROGRAM_TABLE,2,FALSE),IF(ISNUMBER(SEARCH("538",E222)),VLOOKUP("538",V7_PROGRAM_TABLE,2,FALSE),IF(ISNUMBER(SEARCH("223a7",E222)),VLOOKUP("223a7",V7_PROGRAM_TABLE,2,FALSE),IF(ISNUMBER(SEARCH("223f",E222)),VLOOKUP("223f",V7_PROGRAM_TABLE,2,FALSE),V7_PROGRAM_DEFAULT))))</f>
        <v/>
      </c>
      <c r="AA222" s="26">
        <f>IF(S222=1,1+V7_PURPOSE_NC_BUMP*MAX(0,1-ABS(M222-V7_PURPOSE_PEAK_AGE)/V7_PURPOSE_WIDTH),1)</f>
        <v/>
      </c>
      <c r="AB222" s="26">
        <f>IF(AND(IF(OR(P222="",NOT(ISNUMBER(P222))),0,MAX(0,MIN(24,(INT(VALUE(H222)/100)-INT(P222/100))*12+MOD(VALUE(H222),100)-MOD(P222,100))))&gt;0,IF(OR(P222="",NOT(ISNUMBER(P222))),0,MAX(0,MIN(24,(INT(VALUE(H222)/100)-INT(P222/100))*12+MOD(VALUE(H222),100)-MOD(P222,100))))&lt;=12),1+V7_LOCKOUT_AMP*EXP(-(IF(OR(P222="",NOT(ISNUMBER(P222))),0,MAX(0,MIN(24,(INT(VALUE(H222)/100)-INT(P222/100))*12+MOD(VALUE(H222),100)-MOD(P222,100)))))/V7_LOCKOUT_TAU),1)</f>
        <v/>
      </c>
      <c r="AC222" s="26">
        <f>IF(IF(OR(O222="",NOT(ISNUMBER(O222))),360,MAX(0,MIN(480,(INT(O222/100)-INT(VALUE(H222)/100))*12+MOD(O222,100)-MOD(VALUE(H222),100))))&gt;0,1+V7_MTY_AMP*MAX(0,(V7_MTY_CUTOFF-(IF(OR(O222="",NOT(ISNUMBER(O222))),360,MAX(0,MIN(480,(INT(O222/100)-INT(VALUE(H222)/100))*12+MOD(O222,100)-MOD(VALUE(H222),100))))))/V7_MTY_CUTOFF),1)</f>
        <v/>
      </c>
      <c r="AD222" s="26">
        <f>MAX(V7_BURN_FLOOR,1-V7_BURN_SLOPE*MIN(1,MAX(0,R222)))</f>
        <v/>
      </c>
      <c r="AE222" s="26">
        <f>IF(V7_USE_ISSUER=1,IFERROR(VLOOKUP(Q222,V7_ISSUER_TABLE,3,FALSE),1),1)</f>
        <v/>
      </c>
      <c r="AF222" s="26">
        <f>PRODUCT(W222:AE222)</f>
        <v/>
      </c>
      <c r="AG222" s="27">
        <f>MIN(V7_BASE_SMM*AF222,V7_SMM_CAP)</f>
        <v/>
      </c>
      <c r="AH222" s="28">
        <f>1-(1-AG222)^12</f>
        <v/>
      </c>
      <c r="AI222" s="28">
        <f>IFERROR(LN(W222)/(LN(W222)+LN(X222)+LN(Y222)+LN(Z222)+LN(AA222)+LN(AB222)+LN(AC222)+LN(AD222))*(AH222-V7_BASE_CPR),0)</f>
        <v/>
      </c>
      <c r="AJ222" s="28">
        <f>IFERROR(LN(X222)/(LN(W222)+LN(X222)+LN(Y222)+LN(Z222)+LN(AA222)+LN(AB222)+LN(AC222)+LN(AD222))*(AH222-V7_BASE_CPR),0)</f>
        <v/>
      </c>
      <c r="AK222" s="28">
        <f>IFERROR(LN(Y222)/(LN(W222)+LN(X222)+LN(Y222)+LN(Z222)+LN(AA222)+LN(AB222)+LN(AC222)+LN(AD222))*(AH222-V7_BASE_CPR),0)</f>
        <v/>
      </c>
      <c r="AL222" s="28">
        <f>IFERROR(LN(Z222)/(LN(W222)+LN(X222)+LN(Y222)+LN(Z222)+LN(AA222)+LN(AB222)+LN(AC222)+LN(AD222))*(AH222-V7_BASE_CPR),0)</f>
        <v/>
      </c>
      <c r="AM222" s="28">
        <f>IFERROR(LN(AA222)/(LN(W222)+LN(X222)+LN(Y222)+LN(Z222)+LN(AA222)+LN(AB222)+LN(AC222)+LN(AD222))*(AH222-V7_BASE_CPR),0)</f>
        <v/>
      </c>
      <c r="AN222" s="28">
        <f>IFERROR(LN(AB222)/(LN(W222)+LN(X222)+LN(Y222)+LN(Z222)+LN(AA222)+LN(AB222)+LN(AC222)+LN(AD222))*(AH222-V7_BASE_CPR),0)</f>
        <v/>
      </c>
      <c r="AO222" s="28">
        <f>IFERROR(LN(AC222)/(LN(W222)+LN(X222)+LN(Y222)+LN(Z222)+LN(AA222)+LN(AB222)+LN(AC222)+LN(AD222))*(AH222-V7_BASE_CPR),0)</f>
        <v/>
      </c>
      <c r="AP222" s="28">
        <f>IFERROR(LN(AD222)/(LN(W222)+LN(X222)+LN(Y222)+LN(Z222)+LN(AA222)+LN(AB222)+LN(AC222)+LN(AD222))*(AH222-V7_BASE_CPR),0)</f>
        <v/>
      </c>
      <c r="AQ222" s="29">
        <f>V7_BASE_CPR+SUM(AI222:AP222)-AH222</f>
        <v/>
      </c>
    </row>
    <row r="223">
      <c r="A223" s="2" t="inlineStr">
        <is>
          <t>3617J7NB4_000000010535280</t>
        </is>
      </c>
      <c r="B223" t="inlineStr">
        <is>
          <t>KEYBANK_PRE21</t>
        </is>
      </c>
      <c r="C223" s="2" t="inlineStr">
        <is>
          <t>3617J7NB4</t>
        </is>
      </c>
      <c r="D223" t="inlineStr">
        <is>
          <t>KEYBANK NATIONAL ASSOCIATION</t>
        </is>
      </c>
      <c r="E223" t="inlineStr">
        <is>
          <t>221d4</t>
        </is>
      </c>
      <c r="F223" t="inlineStr">
        <is>
          <t>NC</t>
        </is>
      </c>
      <c r="G223" t="n">
        <v>2019</v>
      </c>
      <c r="H223" t="inlineStr">
        <is>
          <t>202602</t>
        </is>
      </c>
      <c r="I223" s="22" t="n">
        <v>47013276.32</v>
      </c>
      <c r="J223" s="23" t="n">
        <v>4.53</v>
      </c>
      <c r="K223" s="24" t="n">
        <v>447</v>
      </c>
      <c r="L223" s="24" t="n">
        <v>6</v>
      </c>
      <c r="M223" t="n">
        <v>81</v>
      </c>
      <c r="N223" s="25" t="n">
        <v>3</v>
      </c>
      <c r="O223" t="n">
        <v>206106</v>
      </c>
      <c r="P223" t="inlineStr"/>
      <c r="Q223" t="inlineStr">
        <is>
          <t>4271</t>
        </is>
      </c>
      <c r="R223" s="26" t="n">
        <v>0.03703703703703703</v>
      </c>
      <c r="S223" t="n">
        <v>1</v>
      </c>
      <c r="T223" s="23">
        <f>LN(1+I223)</f>
        <v/>
      </c>
      <c r="U223" s="24">
        <f>J223*100-K223</f>
        <v/>
      </c>
      <c r="V223" s="24">
        <f>U223-12.5*(L223+1)</f>
        <v/>
      </c>
      <c r="W223" s="26">
        <f>IF(M223&lt;=V7_AGE_KNOT_X_0,V7_AGE_KNOT_Y_0,IF(M223&gt;=V7_AGE_KNOT_X_5,V7_AGE_KNOT_Y_5,IF(M223&lt;=V7_AGE_KNOT_X_1,V7_AGE_KNOT_Y_0+(M223-V7_AGE_KNOT_X_0)/(V7_AGE_KNOT_X_1-V7_AGE_KNOT_X_0)*(V7_AGE_KNOT_Y_1-V7_AGE_KNOT_Y_0),IF(M223&lt;=V7_AGE_KNOT_X_2,V7_AGE_KNOT_Y_1+(M223-V7_AGE_KNOT_X_1)/(V7_AGE_KNOT_X_2-V7_AGE_KNOT_X_1)*(V7_AGE_KNOT_Y_2-V7_AGE_KNOT_Y_1),IF(M223&lt;=V7_AGE_KNOT_X_3,V7_AGE_KNOT_Y_2+(M223-V7_AGE_KNOT_X_2)/(V7_AGE_KNOT_X_3-V7_AGE_KNOT_X_2)*(V7_AGE_KNOT_Y_3-V7_AGE_KNOT_Y_2),IF(M223&lt;=V7_AGE_KNOT_X_4,V7_AGE_KNOT_Y_3+(M223-V7_AGE_KNOT_X_3)/(V7_AGE_KNOT_X_4-V7_AGE_KNOT_X_3)*(V7_AGE_KNOT_Y_4-V7_AGE_KNOT_Y_3),V7_AGE_KNOT_Y_4+(M223-V7_AGE_KNOT_X_4)/(V7_AGE_KNOT_X_5-V7_AGE_KNOT_X_4)*(V7_AGE_KNOT_Y_5-V7_AGE_KNOT_Y_4)))))))</f>
        <v/>
      </c>
      <c r="X223" s="26">
        <f>V7_RATE_FLOOR+V7_RATE_ASYMPTOTE/(1+EXP(-(V223-V7_RATE_MID)/V7_RATE_SLOPE))</f>
        <v/>
      </c>
      <c r="Y223" s="26">
        <f>MAX(V7_SIZE_LOW,MIN(V7_SIZE_HIGH,V7_SIZE_INTERCEPT+V7_SIZE_SLOPE*(T223-V7_SIZE_LOG_ANCHOR)))</f>
        <v/>
      </c>
      <c r="Z223" s="26">
        <f>IF(ISNUMBER(SEARCH("232",E223)),VLOOKUP("232",V7_PROGRAM_TABLE,2,FALSE),IF(ISNUMBER(SEARCH("538",E223)),VLOOKUP("538",V7_PROGRAM_TABLE,2,FALSE),IF(ISNUMBER(SEARCH("223a7",E223)),VLOOKUP("223a7",V7_PROGRAM_TABLE,2,FALSE),IF(ISNUMBER(SEARCH("223f",E223)),VLOOKUP("223f",V7_PROGRAM_TABLE,2,FALSE),V7_PROGRAM_DEFAULT))))</f>
        <v/>
      </c>
      <c r="AA223" s="26">
        <f>IF(S223=1,1+V7_PURPOSE_NC_BUMP*MAX(0,1-ABS(M223-V7_PURPOSE_PEAK_AGE)/V7_PURPOSE_WIDTH),1)</f>
        <v/>
      </c>
      <c r="AB223" s="26">
        <f>IF(AND(IF(OR(P223="",NOT(ISNUMBER(P223))),0,MAX(0,MIN(24,(INT(VALUE(H223)/100)-INT(P223/100))*12+MOD(VALUE(H223),100)-MOD(P223,100))))&gt;0,IF(OR(P223="",NOT(ISNUMBER(P223))),0,MAX(0,MIN(24,(INT(VALUE(H223)/100)-INT(P223/100))*12+MOD(VALUE(H223),100)-MOD(P223,100))))&lt;=12),1+V7_LOCKOUT_AMP*EXP(-(IF(OR(P223="",NOT(ISNUMBER(P223))),0,MAX(0,MIN(24,(INT(VALUE(H223)/100)-INT(P223/100))*12+MOD(VALUE(H223),100)-MOD(P223,100)))))/V7_LOCKOUT_TAU),1)</f>
        <v/>
      </c>
      <c r="AC223" s="26">
        <f>IF(IF(OR(O223="",NOT(ISNUMBER(O223))),360,MAX(0,MIN(480,(INT(O223/100)-INT(VALUE(H223)/100))*12+MOD(O223,100)-MOD(VALUE(H223),100))))&gt;0,1+V7_MTY_AMP*MAX(0,(V7_MTY_CUTOFF-(IF(OR(O223="",NOT(ISNUMBER(O223))),360,MAX(0,MIN(480,(INT(O223/100)-INT(VALUE(H223)/100))*12+MOD(O223,100)-MOD(VALUE(H223),100))))))/V7_MTY_CUTOFF),1)</f>
        <v/>
      </c>
      <c r="AD223" s="26">
        <f>MAX(V7_BURN_FLOOR,1-V7_BURN_SLOPE*MIN(1,MAX(0,R223)))</f>
        <v/>
      </c>
      <c r="AE223" s="26">
        <f>IF(V7_USE_ISSUER=1,IFERROR(VLOOKUP(Q223,V7_ISSUER_TABLE,3,FALSE),1),1)</f>
        <v/>
      </c>
      <c r="AF223" s="26">
        <f>PRODUCT(W223:AE223)</f>
        <v/>
      </c>
      <c r="AG223" s="27">
        <f>MIN(V7_BASE_SMM*AF223,V7_SMM_CAP)</f>
        <v/>
      </c>
      <c r="AH223" s="28">
        <f>1-(1-AG223)^12</f>
        <v/>
      </c>
      <c r="AI223" s="28">
        <f>IFERROR(LN(W223)/(LN(W223)+LN(X223)+LN(Y223)+LN(Z223)+LN(AA223)+LN(AB223)+LN(AC223)+LN(AD223))*(AH223-V7_BASE_CPR),0)</f>
        <v/>
      </c>
      <c r="AJ223" s="28">
        <f>IFERROR(LN(X223)/(LN(W223)+LN(X223)+LN(Y223)+LN(Z223)+LN(AA223)+LN(AB223)+LN(AC223)+LN(AD223))*(AH223-V7_BASE_CPR),0)</f>
        <v/>
      </c>
      <c r="AK223" s="28">
        <f>IFERROR(LN(Y223)/(LN(W223)+LN(X223)+LN(Y223)+LN(Z223)+LN(AA223)+LN(AB223)+LN(AC223)+LN(AD223))*(AH223-V7_BASE_CPR),0)</f>
        <v/>
      </c>
      <c r="AL223" s="28">
        <f>IFERROR(LN(Z223)/(LN(W223)+LN(X223)+LN(Y223)+LN(Z223)+LN(AA223)+LN(AB223)+LN(AC223)+LN(AD223))*(AH223-V7_BASE_CPR),0)</f>
        <v/>
      </c>
      <c r="AM223" s="28">
        <f>IFERROR(LN(AA223)/(LN(W223)+LN(X223)+LN(Y223)+LN(Z223)+LN(AA223)+LN(AB223)+LN(AC223)+LN(AD223))*(AH223-V7_BASE_CPR),0)</f>
        <v/>
      </c>
      <c r="AN223" s="28">
        <f>IFERROR(LN(AB223)/(LN(W223)+LN(X223)+LN(Y223)+LN(Z223)+LN(AA223)+LN(AB223)+LN(AC223)+LN(AD223))*(AH223-V7_BASE_CPR),0)</f>
        <v/>
      </c>
      <c r="AO223" s="28">
        <f>IFERROR(LN(AC223)/(LN(W223)+LN(X223)+LN(Y223)+LN(Z223)+LN(AA223)+LN(AB223)+LN(AC223)+LN(AD223))*(AH223-V7_BASE_CPR),0)</f>
        <v/>
      </c>
      <c r="AP223" s="28">
        <f>IFERROR(LN(AD223)/(LN(W223)+LN(X223)+LN(Y223)+LN(Z223)+LN(AA223)+LN(AB223)+LN(AC223)+LN(AD223))*(AH223-V7_BASE_CPR),0)</f>
        <v/>
      </c>
      <c r="AQ223" s="29">
        <f>V7_BASE_CPR+SUM(AI223:AP223)-AH223</f>
        <v/>
      </c>
    </row>
    <row r="224">
      <c r="A224" s="2" t="inlineStr">
        <is>
          <t>3617U5FE8_000000006122173</t>
        </is>
      </c>
      <c r="B224" t="inlineStr">
        <is>
          <t>KEYBANK_PRE21</t>
        </is>
      </c>
      <c r="C224" s="2" t="inlineStr">
        <is>
          <t>3617U5FE8</t>
        </is>
      </c>
      <c r="D224" t="inlineStr">
        <is>
          <t>KEYBANK NATIONAL ASSOCIATION</t>
        </is>
      </c>
      <c r="E224" t="inlineStr">
        <is>
          <t>232</t>
        </is>
      </c>
      <c r="F224" t="inlineStr">
        <is>
          <t>RP</t>
        </is>
      </c>
      <c r="G224" t="n">
        <v>2020</v>
      </c>
      <c r="H224" t="inlineStr">
        <is>
          <t>202602</t>
        </is>
      </c>
      <c r="I224" s="22" t="n">
        <v>5946077.12</v>
      </c>
      <c r="J224" s="23" t="n">
        <v>2.33</v>
      </c>
      <c r="K224" s="24" t="n">
        <v>447</v>
      </c>
      <c r="L224" s="24" t="n">
        <v>5</v>
      </c>
      <c r="M224" t="n">
        <v>64</v>
      </c>
      <c r="N224" s="25" t="n">
        <v>0</v>
      </c>
      <c r="O224" t="n">
        <v>205011</v>
      </c>
      <c r="P224" t="inlineStr"/>
      <c r="Q224" t="inlineStr">
        <is>
          <t>4271</t>
        </is>
      </c>
      <c r="R224" s="26" t="n">
        <v>0</v>
      </c>
      <c r="S224" t="n">
        <v>0</v>
      </c>
      <c r="T224" s="23">
        <f>LN(1+I224)</f>
        <v/>
      </c>
      <c r="U224" s="24">
        <f>J224*100-K224</f>
        <v/>
      </c>
      <c r="V224" s="24">
        <f>U224-12.5*(L224+1)</f>
        <v/>
      </c>
      <c r="W224" s="26">
        <f>IF(M224&lt;=V7_AGE_KNOT_X_0,V7_AGE_KNOT_Y_0,IF(M224&gt;=V7_AGE_KNOT_X_5,V7_AGE_KNOT_Y_5,IF(M224&lt;=V7_AGE_KNOT_X_1,V7_AGE_KNOT_Y_0+(M224-V7_AGE_KNOT_X_0)/(V7_AGE_KNOT_X_1-V7_AGE_KNOT_X_0)*(V7_AGE_KNOT_Y_1-V7_AGE_KNOT_Y_0),IF(M224&lt;=V7_AGE_KNOT_X_2,V7_AGE_KNOT_Y_1+(M224-V7_AGE_KNOT_X_1)/(V7_AGE_KNOT_X_2-V7_AGE_KNOT_X_1)*(V7_AGE_KNOT_Y_2-V7_AGE_KNOT_Y_1),IF(M224&lt;=V7_AGE_KNOT_X_3,V7_AGE_KNOT_Y_2+(M224-V7_AGE_KNOT_X_2)/(V7_AGE_KNOT_X_3-V7_AGE_KNOT_X_2)*(V7_AGE_KNOT_Y_3-V7_AGE_KNOT_Y_2),IF(M224&lt;=V7_AGE_KNOT_X_4,V7_AGE_KNOT_Y_3+(M224-V7_AGE_KNOT_X_3)/(V7_AGE_KNOT_X_4-V7_AGE_KNOT_X_3)*(V7_AGE_KNOT_Y_4-V7_AGE_KNOT_Y_3),V7_AGE_KNOT_Y_4+(M224-V7_AGE_KNOT_X_4)/(V7_AGE_KNOT_X_5-V7_AGE_KNOT_X_4)*(V7_AGE_KNOT_Y_5-V7_AGE_KNOT_Y_4)))))))</f>
        <v/>
      </c>
      <c r="X224" s="26">
        <f>V7_RATE_FLOOR+V7_RATE_ASYMPTOTE/(1+EXP(-(V224-V7_RATE_MID)/V7_RATE_SLOPE))</f>
        <v/>
      </c>
      <c r="Y224" s="26">
        <f>MAX(V7_SIZE_LOW,MIN(V7_SIZE_HIGH,V7_SIZE_INTERCEPT+V7_SIZE_SLOPE*(T224-V7_SIZE_LOG_ANCHOR)))</f>
        <v/>
      </c>
      <c r="Z224" s="26">
        <f>IF(ISNUMBER(SEARCH("232",E224)),VLOOKUP("232",V7_PROGRAM_TABLE,2,FALSE),IF(ISNUMBER(SEARCH("538",E224)),VLOOKUP("538",V7_PROGRAM_TABLE,2,FALSE),IF(ISNUMBER(SEARCH("223a7",E224)),VLOOKUP("223a7",V7_PROGRAM_TABLE,2,FALSE),IF(ISNUMBER(SEARCH("223f",E224)),VLOOKUP("223f",V7_PROGRAM_TABLE,2,FALSE),V7_PROGRAM_DEFAULT))))</f>
        <v/>
      </c>
      <c r="AA224" s="26">
        <f>IF(S224=1,1+V7_PURPOSE_NC_BUMP*MAX(0,1-ABS(M224-V7_PURPOSE_PEAK_AGE)/V7_PURPOSE_WIDTH),1)</f>
        <v/>
      </c>
      <c r="AB224" s="26">
        <f>IF(AND(IF(OR(P224="",NOT(ISNUMBER(P224))),0,MAX(0,MIN(24,(INT(VALUE(H224)/100)-INT(P224/100))*12+MOD(VALUE(H224),100)-MOD(P224,100))))&gt;0,IF(OR(P224="",NOT(ISNUMBER(P224))),0,MAX(0,MIN(24,(INT(VALUE(H224)/100)-INT(P224/100))*12+MOD(VALUE(H224),100)-MOD(P224,100))))&lt;=12),1+V7_LOCKOUT_AMP*EXP(-(IF(OR(P224="",NOT(ISNUMBER(P224))),0,MAX(0,MIN(24,(INT(VALUE(H224)/100)-INT(P224/100))*12+MOD(VALUE(H224),100)-MOD(P224,100)))))/V7_LOCKOUT_TAU),1)</f>
        <v/>
      </c>
      <c r="AC224" s="26">
        <f>IF(IF(OR(O224="",NOT(ISNUMBER(O224))),360,MAX(0,MIN(480,(INT(O224/100)-INT(VALUE(H224)/100))*12+MOD(O224,100)-MOD(VALUE(H224),100))))&gt;0,1+V7_MTY_AMP*MAX(0,(V7_MTY_CUTOFF-(IF(OR(O224="",NOT(ISNUMBER(O224))),360,MAX(0,MIN(480,(INT(O224/100)-INT(VALUE(H224)/100))*12+MOD(O224,100)-MOD(VALUE(H224),100))))))/V7_MTY_CUTOFF),1)</f>
        <v/>
      </c>
      <c r="AD224" s="26">
        <f>MAX(V7_BURN_FLOOR,1-V7_BURN_SLOPE*MIN(1,MAX(0,R224)))</f>
        <v/>
      </c>
      <c r="AE224" s="26">
        <f>IF(V7_USE_ISSUER=1,IFERROR(VLOOKUP(Q224,V7_ISSUER_TABLE,3,FALSE),1),1)</f>
        <v/>
      </c>
      <c r="AF224" s="26">
        <f>PRODUCT(W224:AE224)</f>
        <v/>
      </c>
      <c r="AG224" s="27">
        <f>MIN(V7_BASE_SMM*AF224,V7_SMM_CAP)</f>
        <v/>
      </c>
      <c r="AH224" s="28">
        <f>1-(1-AG224)^12</f>
        <v/>
      </c>
      <c r="AI224" s="28">
        <f>IFERROR(LN(W224)/(LN(W224)+LN(X224)+LN(Y224)+LN(Z224)+LN(AA224)+LN(AB224)+LN(AC224)+LN(AD224))*(AH224-V7_BASE_CPR),0)</f>
        <v/>
      </c>
      <c r="AJ224" s="28">
        <f>IFERROR(LN(X224)/(LN(W224)+LN(X224)+LN(Y224)+LN(Z224)+LN(AA224)+LN(AB224)+LN(AC224)+LN(AD224))*(AH224-V7_BASE_CPR),0)</f>
        <v/>
      </c>
      <c r="AK224" s="28">
        <f>IFERROR(LN(Y224)/(LN(W224)+LN(X224)+LN(Y224)+LN(Z224)+LN(AA224)+LN(AB224)+LN(AC224)+LN(AD224))*(AH224-V7_BASE_CPR),0)</f>
        <v/>
      </c>
      <c r="AL224" s="28">
        <f>IFERROR(LN(Z224)/(LN(W224)+LN(X224)+LN(Y224)+LN(Z224)+LN(AA224)+LN(AB224)+LN(AC224)+LN(AD224))*(AH224-V7_BASE_CPR),0)</f>
        <v/>
      </c>
      <c r="AM224" s="28">
        <f>IFERROR(LN(AA224)/(LN(W224)+LN(X224)+LN(Y224)+LN(Z224)+LN(AA224)+LN(AB224)+LN(AC224)+LN(AD224))*(AH224-V7_BASE_CPR),0)</f>
        <v/>
      </c>
      <c r="AN224" s="28">
        <f>IFERROR(LN(AB224)/(LN(W224)+LN(X224)+LN(Y224)+LN(Z224)+LN(AA224)+LN(AB224)+LN(AC224)+LN(AD224))*(AH224-V7_BASE_CPR),0)</f>
        <v/>
      </c>
      <c r="AO224" s="28">
        <f>IFERROR(LN(AC224)/(LN(W224)+LN(X224)+LN(Y224)+LN(Z224)+LN(AA224)+LN(AB224)+LN(AC224)+LN(AD224))*(AH224-V7_BASE_CPR),0)</f>
        <v/>
      </c>
      <c r="AP224" s="28">
        <f>IFERROR(LN(AD224)/(LN(W224)+LN(X224)+LN(Y224)+LN(Z224)+LN(AA224)+LN(AB224)+LN(AC224)+LN(AD224))*(AH224-V7_BASE_CPR),0)</f>
        <v/>
      </c>
      <c r="AQ224" s="29">
        <f>V7_BASE_CPR+SUM(AI224:AP224)-AH224</f>
        <v/>
      </c>
    </row>
    <row r="225">
      <c r="A225" s="2" t="inlineStr">
        <is>
          <t>3617X46E8_000000007322294</t>
        </is>
      </c>
      <c r="B225" t="inlineStr">
        <is>
          <t>KEYBANK_PRE21</t>
        </is>
      </c>
      <c r="C225" s="2" t="inlineStr">
        <is>
          <t>3617X46E8</t>
        </is>
      </c>
      <c r="D225" t="inlineStr">
        <is>
          <t>KEYBANK NATIONAL ASSOCIATION</t>
        </is>
      </c>
      <c r="E225" t="inlineStr">
        <is>
          <t>232</t>
        </is>
      </c>
      <c r="F225" t="inlineStr">
        <is>
          <t>RP</t>
        </is>
      </c>
      <c r="G225" t="n">
        <v>2017</v>
      </c>
      <c r="H225" t="inlineStr">
        <is>
          <t>202602</t>
        </is>
      </c>
      <c r="I225" s="22" t="n">
        <v>8092221.61</v>
      </c>
      <c r="J225" s="23" t="n">
        <v>2.89</v>
      </c>
      <c r="K225" s="24" t="n">
        <v>447</v>
      </c>
      <c r="L225" s="24" t="n">
        <v>6</v>
      </c>
      <c r="M225" t="n">
        <v>106</v>
      </c>
      <c r="N225" s="25" t="n">
        <v>0</v>
      </c>
      <c r="O225" t="n">
        <v>205205</v>
      </c>
      <c r="P225" t="inlineStr"/>
      <c r="Q225" t="inlineStr">
        <is>
          <t>4271</t>
        </is>
      </c>
      <c r="R225" s="26" t="n">
        <v>0</v>
      </c>
      <c r="S225" t="n">
        <v>0</v>
      </c>
      <c r="T225" s="23">
        <f>LN(1+I225)</f>
        <v/>
      </c>
      <c r="U225" s="24">
        <f>J225*100-K225</f>
        <v/>
      </c>
      <c r="V225" s="24">
        <f>U225-12.5*(L225+1)</f>
        <v/>
      </c>
      <c r="W225" s="26">
        <f>IF(M225&lt;=V7_AGE_KNOT_X_0,V7_AGE_KNOT_Y_0,IF(M225&gt;=V7_AGE_KNOT_X_5,V7_AGE_KNOT_Y_5,IF(M225&lt;=V7_AGE_KNOT_X_1,V7_AGE_KNOT_Y_0+(M225-V7_AGE_KNOT_X_0)/(V7_AGE_KNOT_X_1-V7_AGE_KNOT_X_0)*(V7_AGE_KNOT_Y_1-V7_AGE_KNOT_Y_0),IF(M225&lt;=V7_AGE_KNOT_X_2,V7_AGE_KNOT_Y_1+(M225-V7_AGE_KNOT_X_1)/(V7_AGE_KNOT_X_2-V7_AGE_KNOT_X_1)*(V7_AGE_KNOT_Y_2-V7_AGE_KNOT_Y_1),IF(M225&lt;=V7_AGE_KNOT_X_3,V7_AGE_KNOT_Y_2+(M225-V7_AGE_KNOT_X_2)/(V7_AGE_KNOT_X_3-V7_AGE_KNOT_X_2)*(V7_AGE_KNOT_Y_3-V7_AGE_KNOT_Y_2),IF(M225&lt;=V7_AGE_KNOT_X_4,V7_AGE_KNOT_Y_3+(M225-V7_AGE_KNOT_X_3)/(V7_AGE_KNOT_X_4-V7_AGE_KNOT_X_3)*(V7_AGE_KNOT_Y_4-V7_AGE_KNOT_Y_3),V7_AGE_KNOT_Y_4+(M225-V7_AGE_KNOT_X_4)/(V7_AGE_KNOT_X_5-V7_AGE_KNOT_X_4)*(V7_AGE_KNOT_Y_5-V7_AGE_KNOT_Y_4)))))))</f>
        <v/>
      </c>
      <c r="X225" s="26">
        <f>V7_RATE_FLOOR+V7_RATE_ASYMPTOTE/(1+EXP(-(V225-V7_RATE_MID)/V7_RATE_SLOPE))</f>
        <v/>
      </c>
      <c r="Y225" s="26">
        <f>MAX(V7_SIZE_LOW,MIN(V7_SIZE_HIGH,V7_SIZE_INTERCEPT+V7_SIZE_SLOPE*(T225-V7_SIZE_LOG_ANCHOR)))</f>
        <v/>
      </c>
      <c r="Z225" s="26">
        <f>IF(ISNUMBER(SEARCH("232",E225)),VLOOKUP("232",V7_PROGRAM_TABLE,2,FALSE),IF(ISNUMBER(SEARCH("538",E225)),VLOOKUP("538",V7_PROGRAM_TABLE,2,FALSE),IF(ISNUMBER(SEARCH("223a7",E225)),VLOOKUP("223a7",V7_PROGRAM_TABLE,2,FALSE),IF(ISNUMBER(SEARCH("223f",E225)),VLOOKUP("223f",V7_PROGRAM_TABLE,2,FALSE),V7_PROGRAM_DEFAULT))))</f>
        <v/>
      </c>
      <c r="AA225" s="26">
        <f>IF(S225=1,1+V7_PURPOSE_NC_BUMP*MAX(0,1-ABS(M225-V7_PURPOSE_PEAK_AGE)/V7_PURPOSE_WIDTH),1)</f>
        <v/>
      </c>
      <c r="AB225" s="26">
        <f>IF(AND(IF(OR(P225="",NOT(ISNUMBER(P225))),0,MAX(0,MIN(24,(INT(VALUE(H225)/100)-INT(P225/100))*12+MOD(VALUE(H225),100)-MOD(P225,100))))&gt;0,IF(OR(P225="",NOT(ISNUMBER(P225))),0,MAX(0,MIN(24,(INT(VALUE(H225)/100)-INT(P225/100))*12+MOD(VALUE(H225),100)-MOD(P225,100))))&lt;=12),1+V7_LOCKOUT_AMP*EXP(-(IF(OR(P225="",NOT(ISNUMBER(P225))),0,MAX(0,MIN(24,(INT(VALUE(H225)/100)-INT(P225/100))*12+MOD(VALUE(H225),100)-MOD(P225,100)))))/V7_LOCKOUT_TAU),1)</f>
        <v/>
      </c>
      <c r="AC225" s="26">
        <f>IF(IF(OR(O225="",NOT(ISNUMBER(O225))),360,MAX(0,MIN(480,(INT(O225/100)-INT(VALUE(H225)/100))*12+MOD(O225,100)-MOD(VALUE(H225),100))))&gt;0,1+V7_MTY_AMP*MAX(0,(V7_MTY_CUTOFF-(IF(OR(O225="",NOT(ISNUMBER(O225))),360,MAX(0,MIN(480,(INT(O225/100)-INT(VALUE(H225)/100))*12+MOD(O225,100)-MOD(VALUE(H225),100))))))/V7_MTY_CUTOFF),1)</f>
        <v/>
      </c>
      <c r="AD225" s="26">
        <f>MAX(V7_BURN_FLOOR,1-V7_BURN_SLOPE*MIN(1,MAX(0,R225)))</f>
        <v/>
      </c>
      <c r="AE225" s="26">
        <f>IF(V7_USE_ISSUER=1,IFERROR(VLOOKUP(Q225,V7_ISSUER_TABLE,3,FALSE),1),1)</f>
        <v/>
      </c>
      <c r="AF225" s="26">
        <f>PRODUCT(W225:AE225)</f>
        <v/>
      </c>
      <c r="AG225" s="27">
        <f>MIN(V7_BASE_SMM*AF225,V7_SMM_CAP)</f>
        <v/>
      </c>
      <c r="AH225" s="28">
        <f>1-(1-AG225)^12</f>
        <v/>
      </c>
      <c r="AI225" s="28">
        <f>IFERROR(LN(W225)/(LN(W225)+LN(X225)+LN(Y225)+LN(Z225)+LN(AA225)+LN(AB225)+LN(AC225)+LN(AD225))*(AH225-V7_BASE_CPR),0)</f>
        <v/>
      </c>
      <c r="AJ225" s="28">
        <f>IFERROR(LN(X225)/(LN(W225)+LN(X225)+LN(Y225)+LN(Z225)+LN(AA225)+LN(AB225)+LN(AC225)+LN(AD225))*(AH225-V7_BASE_CPR),0)</f>
        <v/>
      </c>
      <c r="AK225" s="28">
        <f>IFERROR(LN(Y225)/(LN(W225)+LN(X225)+LN(Y225)+LN(Z225)+LN(AA225)+LN(AB225)+LN(AC225)+LN(AD225))*(AH225-V7_BASE_CPR),0)</f>
        <v/>
      </c>
      <c r="AL225" s="28">
        <f>IFERROR(LN(Z225)/(LN(W225)+LN(X225)+LN(Y225)+LN(Z225)+LN(AA225)+LN(AB225)+LN(AC225)+LN(AD225))*(AH225-V7_BASE_CPR),0)</f>
        <v/>
      </c>
      <c r="AM225" s="28">
        <f>IFERROR(LN(AA225)/(LN(W225)+LN(X225)+LN(Y225)+LN(Z225)+LN(AA225)+LN(AB225)+LN(AC225)+LN(AD225))*(AH225-V7_BASE_CPR),0)</f>
        <v/>
      </c>
      <c r="AN225" s="28">
        <f>IFERROR(LN(AB225)/(LN(W225)+LN(X225)+LN(Y225)+LN(Z225)+LN(AA225)+LN(AB225)+LN(AC225)+LN(AD225))*(AH225-V7_BASE_CPR),0)</f>
        <v/>
      </c>
      <c r="AO225" s="28">
        <f>IFERROR(LN(AC225)/(LN(W225)+LN(X225)+LN(Y225)+LN(Z225)+LN(AA225)+LN(AB225)+LN(AC225)+LN(AD225))*(AH225-V7_BASE_CPR),0)</f>
        <v/>
      </c>
      <c r="AP225" s="28">
        <f>IFERROR(LN(AD225)/(LN(W225)+LN(X225)+LN(Y225)+LN(Z225)+LN(AA225)+LN(AB225)+LN(AC225)+LN(AD225))*(AH225-V7_BASE_CPR),0)</f>
        <v/>
      </c>
      <c r="AQ225" s="29">
        <f>V7_BASE_CPR+SUM(AI225:AP225)-AH225</f>
        <v/>
      </c>
    </row>
    <row r="226">
      <c r="A226" s="2" t="inlineStr">
        <is>
          <t>3617J7M90_000000008322073</t>
        </is>
      </c>
      <c r="B226" t="inlineStr">
        <is>
          <t>KEYBANK_PRE21</t>
        </is>
      </c>
      <c r="C226" s="2" t="inlineStr">
        <is>
          <t>3617J7M90</t>
        </is>
      </c>
      <c r="D226" t="inlineStr">
        <is>
          <t>KEYBANK NATIONAL ASSOCIATION</t>
        </is>
      </c>
      <c r="E226" t="inlineStr">
        <is>
          <t>232</t>
        </is>
      </c>
      <c r="F226" t="inlineStr">
        <is>
          <t>RP</t>
        </is>
      </c>
      <c r="G226" t="n">
        <v>2019</v>
      </c>
      <c r="H226" t="inlineStr">
        <is>
          <t>202602</t>
        </is>
      </c>
      <c r="I226" s="22" t="n">
        <v>4571894.11</v>
      </c>
      <c r="J226" s="23" t="n">
        <v>3.98</v>
      </c>
      <c r="K226" s="24" t="n">
        <v>447</v>
      </c>
      <c r="L226" s="24" t="n">
        <v>4</v>
      </c>
      <c r="M226" t="n">
        <v>82</v>
      </c>
      <c r="N226" s="25" t="n">
        <v>30</v>
      </c>
      <c r="O226" t="n">
        <v>204905</v>
      </c>
      <c r="P226" t="inlineStr"/>
      <c r="Q226" t="inlineStr">
        <is>
          <t>4271</t>
        </is>
      </c>
      <c r="R226" s="26" t="n">
        <v>0.3658536585365854</v>
      </c>
      <c r="S226" t="n">
        <v>0</v>
      </c>
      <c r="T226" s="23">
        <f>LN(1+I226)</f>
        <v/>
      </c>
      <c r="U226" s="24">
        <f>J226*100-K226</f>
        <v/>
      </c>
      <c r="V226" s="24">
        <f>U226-12.5*(L226+1)</f>
        <v/>
      </c>
      <c r="W226" s="26">
        <f>IF(M226&lt;=V7_AGE_KNOT_X_0,V7_AGE_KNOT_Y_0,IF(M226&gt;=V7_AGE_KNOT_X_5,V7_AGE_KNOT_Y_5,IF(M226&lt;=V7_AGE_KNOT_X_1,V7_AGE_KNOT_Y_0+(M226-V7_AGE_KNOT_X_0)/(V7_AGE_KNOT_X_1-V7_AGE_KNOT_X_0)*(V7_AGE_KNOT_Y_1-V7_AGE_KNOT_Y_0),IF(M226&lt;=V7_AGE_KNOT_X_2,V7_AGE_KNOT_Y_1+(M226-V7_AGE_KNOT_X_1)/(V7_AGE_KNOT_X_2-V7_AGE_KNOT_X_1)*(V7_AGE_KNOT_Y_2-V7_AGE_KNOT_Y_1),IF(M226&lt;=V7_AGE_KNOT_X_3,V7_AGE_KNOT_Y_2+(M226-V7_AGE_KNOT_X_2)/(V7_AGE_KNOT_X_3-V7_AGE_KNOT_X_2)*(V7_AGE_KNOT_Y_3-V7_AGE_KNOT_Y_2),IF(M226&lt;=V7_AGE_KNOT_X_4,V7_AGE_KNOT_Y_3+(M226-V7_AGE_KNOT_X_3)/(V7_AGE_KNOT_X_4-V7_AGE_KNOT_X_3)*(V7_AGE_KNOT_Y_4-V7_AGE_KNOT_Y_3),V7_AGE_KNOT_Y_4+(M226-V7_AGE_KNOT_X_4)/(V7_AGE_KNOT_X_5-V7_AGE_KNOT_X_4)*(V7_AGE_KNOT_Y_5-V7_AGE_KNOT_Y_4)))))))</f>
        <v/>
      </c>
      <c r="X226" s="26">
        <f>V7_RATE_FLOOR+V7_RATE_ASYMPTOTE/(1+EXP(-(V226-V7_RATE_MID)/V7_RATE_SLOPE))</f>
        <v/>
      </c>
      <c r="Y226" s="26">
        <f>MAX(V7_SIZE_LOW,MIN(V7_SIZE_HIGH,V7_SIZE_INTERCEPT+V7_SIZE_SLOPE*(T226-V7_SIZE_LOG_ANCHOR)))</f>
        <v/>
      </c>
      <c r="Z226" s="26">
        <f>IF(ISNUMBER(SEARCH("232",E226)),VLOOKUP("232",V7_PROGRAM_TABLE,2,FALSE),IF(ISNUMBER(SEARCH("538",E226)),VLOOKUP("538",V7_PROGRAM_TABLE,2,FALSE),IF(ISNUMBER(SEARCH("223a7",E226)),VLOOKUP("223a7",V7_PROGRAM_TABLE,2,FALSE),IF(ISNUMBER(SEARCH("223f",E226)),VLOOKUP("223f",V7_PROGRAM_TABLE,2,FALSE),V7_PROGRAM_DEFAULT))))</f>
        <v/>
      </c>
      <c r="AA226" s="26">
        <f>IF(S226=1,1+V7_PURPOSE_NC_BUMP*MAX(0,1-ABS(M226-V7_PURPOSE_PEAK_AGE)/V7_PURPOSE_WIDTH),1)</f>
        <v/>
      </c>
      <c r="AB226" s="26">
        <f>IF(AND(IF(OR(P226="",NOT(ISNUMBER(P226))),0,MAX(0,MIN(24,(INT(VALUE(H226)/100)-INT(P226/100))*12+MOD(VALUE(H226),100)-MOD(P226,100))))&gt;0,IF(OR(P226="",NOT(ISNUMBER(P226))),0,MAX(0,MIN(24,(INT(VALUE(H226)/100)-INT(P226/100))*12+MOD(VALUE(H226),100)-MOD(P226,100))))&lt;=12),1+V7_LOCKOUT_AMP*EXP(-(IF(OR(P226="",NOT(ISNUMBER(P226))),0,MAX(0,MIN(24,(INT(VALUE(H226)/100)-INT(P226/100))*12+MOD(VALUE(H226),100)-MOD(P226,100)))))/V7_LOCKOUT_TAU),1)</f>
        <v/>
      </c>
      <c r="AC226" s="26">
        <f>IF(IF(OR(O226="",NOT(ISNUMBER(O226))),360,MAX(0,MIN(480,(INT(O226/100)-INT(VALUE(H226)/100))*12+MOD(O226,100)-MOD(VALUE(H226),100))))&gt;0,1+V7_MTY_AMP*MAX(0,(V7_MTY_CUTOFF-(IF(OR(O226="",NOT(ISNUMBER(O226))),360,MAX(0,MIN(480,(INT(O226/100)-INT(VALUE(H226)/100))*12+MOD(O226,100)-MOD(VALUE(H226),100))))))/V7_MTY_CUTOFF),1)</f>
        <v/>
      </c>
      <c r="AD226" s="26">
        <f>MAX(V7_BURN_FLOOR,1-V7_BURN_SLOPE*MIN(1,MAX(0,R226)))</f>
        <v/>
      </c>
      <c r="AE226" s="26">
        <f>IF(V7_USE_ISSUER=1,IFERROR(VLOOKUP(Q226,V7_ISSUER_TABLE,3,FALSE),1),1)</f>
        <v/>
      </c>
      <c r="AF226" s="26">
        <f>PRODUCT(W226:AE226)</f>
        <v/>
      </c>
      <c r="AG226" s="27">
        <f>MIN(V7_BASE_SMM*AF226,V7_SMM_CAP)</f>
        <v/>
      </c>
      <c r="AH226" s="28">
        <f>1-(1-AG226)^12</f>
        <v/>
      </c>
      <c r="AI226" s="28">
        <f>IFERROR(LN(W226)/(LN(W226)+LN(X226)+LN(Y226)+LN(Z226)+LN(AA226)+LN(AB226)+LN(AC226)+LN(AD226))*(AH226-V7_BASE_CPR),0)</f>
        <v/>
      </c>
      <c r="AJ226" s="28">
        <f>IFERROR(LN(X226)/(LN(W226)+LN(X226)+LN(Y226)+LN(Z226)+LN(AA226)+LN(AB226)+LN(AC226)+LN(AD226))*(AH226-V7_BASE_CPR),0)</f>
        <v/>
      </c>
      <c r="AK226" s="28">
        <f>IFERROR(LN(Y226)/(LN(W226)+LN(X226)+LN(Y226)+LN(Z226)+LN(AA226)+LN(AB226)+LN(AC226)+LN(AD226))*(AH226-V7_BASE_CPR),0)</f>
        <v/>
      </c>
      <c r="AL226" s="28">
        <f>IFERROR(LN(Z226)/(LN(W226)+LN(X226)+LN(Y226)+LN(Z226)+LN(AA226)+LN(AB226)+LN(AC226)+LN(AD226))*(AH226-V7_BASE_CPR),0)</f>
        <v/>
      </c>
      <c r="AM226" s="28">
        <f>IFERROR(LN(AA226)/(LN(W226)+LN(X226)+LN(Y226)+LN(Z226)+LN(AA226)+LN(AB226)+LN(AC226)+LN(AD226))*(AH226-V7_BASE_CPR),0)</f>
        <v/>
      </c>
      <c r="AN226" s="28">
        <f>IFERROR(LN(AB226)/(LN(W226)+LN(X226)+LN(Y226)+LN(Z226)+LN(AA226)+LN(AB226)+LN(AC226)+LN(AD226))*(AH226-V7_BASE_CPR),0)</f>
        <v/>
      </c>
      <c r="AO226" s="28">
        <f>IFERROR(LN(AC226)/(LN(W226)+LN(X226)+LN(Y226)+LN(Z226)+LN(AA226)+LN(AB226)+LN(AC226)+LN(AD226))*(AH226-V7_BASE_CPR),0)</f>
        <v/>
      </c>
      <c r="AP226" s="28">
        <f>IFERROR(LN(AD226)/(LN(W226)+LN(X226)+LN(Y226)+LN(Z226)+LN(AA226)+LN(AB226)+LN(AC226)+LN(AD226))*(AH226-V7_BASE_CPR),0)</f>
        <v/>
      </c>
      <c r="AQ226" s="29">
        <f>V7_BASE_CPR+SUM(AI226:AP226)-AH226</f>
        <v/>
      </c>
    </row>
    <row r="227">
      <c r="A227" s="2" t="inlineStr">
        <is>
          <t>36176XXV6_000000009235736</t>
        </is>
      </c>
      <c r="B227" t="inlineStr">
        <is>
          <t>JLL_PRE21</t>
        </is>
      </c>
      <c r="C227" s="2" t="inlineStr">
        <is>
          <t>36176XXV6</t>
        </is>
      </c>
      <c r="D227" t="inlineStr">
        <is>
          <t>JLL REAL ESTATE CAPITAL, LLC</t>
        </is>
      </c>
      <c r="E227" t="inlineStr">
        <is>
          <t>223a7</t>
        </is>
      </c>
      <c r="F227" t="inlineStr">
        <is>
          <t>RP</t>
        </is>
      </c>
      <c r="G227" t="n">
        <v>2012</v>
      </c>
      <c r="H227" t="inlineStr">
        <is>
          <t>202602</t>
        </is>
      </c>
      <c r="I227" s="22" t="n">
        <v>592659.27</v>
      </c>
      <c r="J227" s="23" t="n">
        <v>3.2</v>
      </c>
      <c r="K227" s="24" t="n">
        <v>447</v>
      </c>
      <c r="L227" s="24" t="n">
        <v>0</v>
      </c>
      <c r="M227" t="n">
        <v>167</v>
      </c>
      <c r="N227" s="25" t="n">
        <v>32</v>
      </c>
      <c r="O227" t="n">
        <v>205204</v>
      </c>
      <c r="P227" t="n">
        <v>201405</v>
      </c>
      <c r="Q227" t="inlineStr">
        <is>
          <t>4065</t>
        </is>
      </c>
      <c r="R227" s="26" t="n">
        <v>0.1916167664670659</v>
      </c>
      <c r="S227" t="n">
        <v>0</v>
      </c>
      <c r="T227" s="23">
        <f>LN(1+I227)</f>
        <v/>
      </c>
      <c r="U227" s="24">
        <f>J227*100-K227</f>
        <v/>
      </c>
      <c r="V227" s="24">
        <f>U227-12.5*(L227+1)</f>
        <v/>
      </c>
      <c r="W227" s="26">
        <f>IF(M227&lt;=V7_AGE_KNOT_X_0,V7_AGE_KNOT_Y_0,IF(M227&gt;=V7_AGE_KNOT_X_5,V7_AGE_KNOT_Y_5,IF(M227&lt;=V7_AGE_KNOT_X_1,V7_AGE_KNOT_Y_0+(M227-V7_AGE_KNOT_X_0)/(V7_AGE_KNOT_X_1-V7_AGE_KNOT_X_0)*(V7_AGE_KNOT_Y_1-V7_AGE_KNOT_Y_0),IF(M227&lt;=V7_AGE_KNOT_X_2,V7_AGE_KNOT_Y_1+(M227-V7_AGE_KNOT_X_1)/(V7_AGE_KNOT_X_2-V7_AGE_KNOT_X_1)*(V7_AGE_KNOT_Y_2-V7_AGE_KNOT_Y_1),IF(M227&lt;=V7_AGE_KNOT_X_3,V7_AGE_KNOT_Y_2+(M227-V7_AGE_KNOT_X_2)/(V7_AGE_KNOT_X_3-V7_AGE_KNOT_X_2)*(V7_AGE_KNOT_Y_3-V7_AGE_KNOT_Y_2),IF(M227&lt;=V7_AGE_KNOT_X_4,V7_AGE_KNOT_Y_3+(M227-V7_AGE_KNOT_X_3)/(V7_AGE_KNOT_X_4-V7_AGE_KNOT_X_3)*(V7_AGE_KNOT_Y_4-V7_AGE_KNOT_Y_3),V7_AGE_KNOT_Y_4+(M227-V7_AGE_KNOT_X_4)/(V7_AGE_KNOT_X_5-V7_AGE_KNOT_X_4)*(V7_AGE_KNOT_Y_5-V7_AGE_KNOT_Y_4)))))))</f>
        <v/>
      </c>
      <c r="X227" s="26">
        <f>V7_RATE_FLOOR+V7_RATE_ASYMPTOTE/(1+EXP(-(V227-V7_RATE_MID)/V7_RATE_SLOPE))</f>
        <v/>
      </c>
      <c r="Y227" s="26">
        <f>MAX(V7_SIZE_LOW,MIN(V7_SIZE_HIGH,V7_SIZE_INTERCEPT+V7_SIZE_SLOPE*(T227-V7_SIZE_LOG_ANCHOR)))</f>
        <v/>
      </c>
      <c r="Z227" s="26">
        <f>IF(ISNUMBER(SEARCH("232",E227)),VLOOKUP("232",V7_PROGRAM_TABLE,2,FALSE),IF(ISNUMBER(SEARCH("538",E227)),VLOOKUP("538",V7_PROGRAM_TABLE,2,FALSE),IF(ISNUMBER(SEARCH("223a7",E227)),VLOOKUP("223a7",V7_PROGRAM_TABLE,2,FALSE),IF(ISNUMBER(SEARCH("223f",E227)),VLOOKUP("223f",V7_PROGRAM_TABLE,2,FALSE),V7_PROGRAM_DEFAULT))))</f>
        <v/>
      </c>
      <c r="AA227" s="26">
        <f>IF(S227=1,1+V7_PURPOSE_NC_BUMP*MAX(0,1-ABS(M227-V7_PURPOSE_PEAK_AGE)/V7_PURPOSE_WIDTH),1)</f>
        <v/>
      </c>
      <c r="AB227" s="26">
        <f>IF(AND(IF(OR(P227="",NOT(ISNUMBER(P227))),0,MAX(0,MIN(24,(INT(VALUE(H227)/100)-INT(P227/100))*12+MOD(VALUE(H227),100)-MOD(P227,100))))&gt;0,IF(OR(P227="",NOT(ISNUMBER(P227))),0,MAX(0,MIN(24,(INT(VALUE(H227)/100)-INT(P227/100))*12+MOD(VALUE(H227),100)-MOD(P227,100))))&lt;=12),1+V7_LOCKOUT_AMP*EXP(-(IF(OR(P227="",NOT(ISNUMBER(P227))),0,MAX(0,MIN(24,(INT(VALUE(H227)/100)-INT(P227/100))*12+MOD(VALUE(H227),100)-MOD(P227,100)))))/V7_LOCKOUT_TAU),1)</f>
        <v/>
      </c>
      <c r="AC227" s="26">
        <f>IF(IF(OR(O227="",NOT(ISNUMBER(O227))),360,MAX(0,MIN(480,(INT(O227/100)-INT(VALUE(H227)/100))*12+MOD(O227,100)-MOD(VALUE(H227),100))))&gt;0,1+V7_MTY_AMP*MAX(0,(V7_MTY_CUTOFF-(IF(OR(O227="",NOT(ISNUMBER(O227))),360,MAX(0,MIN(480,(INT(O227/100)-INT(VALUE(H227)/100))*12+MOD(O227,100)-MOD(VALUE(H227),100))))))/V7_MTY_CUTOFF),1)</f>
        <v/>
      </c>
      <c r="AD227" s="26">
        <f>MAX(V7_BURN_FLOOR,1-V7_BURN_SLOPE*MIN(1,MAX(0,R227)))</f>
        <v/>
      </c>
      <c r="AE227" s="26">
        <f>IF(V7_USE_ISSUER=1,IFERROR(VLOOKUP(Q227,V7_ISSUER_TABLE,3,FALSE),1),1)</f>
        <v/>
      </c>
      <c r="AF227" s="26">
        <f>PRODUCT(W227:AE227)</f>
        <v/>
      </c>
      <c r="AG227" s="27">
        <f>MIN(V7_BASE_SMM*AF227,V7_SMM_CAP)</f>
        <v/>
      </c>
      <c r="AH227" s="28">
        <f>1-(1-AG227)^12</f>
        <v/>
      </c>
      <c r="AI227" s="28">
        <f>IFERROR(LN(W227)/(LN(W227)+LN(X227)+LN(Y227)+LN(Z227)+LN(AA227)+LN(AB227)+LN(AC227)+LN(AD227))*(AH227-V7_BASE_CPR),0)</f>
        <v/>
      </c>
      <c r="AJ227" s="28">
        <f>IFERROR(LN(X227)/(LN(W227)+LN(X227)+LN(Y227)+LN(Z227)+LN(AA227)+LN(AB227)+LN(AC227)+LN(AD227))*(AH227-V7_BASE_CPR),0)</f>
        <v/>
      </c>
      <c r="AK227" s="28">
        <f>IFERROR(LN(Y227)/(LN(W227)+LN(X227)+LN(Y227)+LN(Z227)+LN(AA227)+LN(AB227)+LN(AC227)+LN(AD227))*(AH227-V7_BASE_CPR),0)</f>
        <v/>
      </c>
      <c r="AL227" s="28">
        <f>IFERROR(LN(Z227)/(LN(W227)+LN(X227)+LN(Y227)+LN(Z227)+LN(AA227)+LN(AB227)+LN(AC227)+LN(AD227))*(AH227-V7_BASE_CPR),0)</f>
        <v/>
      </c>
      <c r="AM227" s="28">
        <f>IFERROR(LN(AA227)/(LN(W227)+LN(X227)+LN(Y227)+LN(Z227)+LN(AA227)+LN(AB227)+LN(AC227)+LN(AD227))*(AH227-V7_BASE_CPR),0)</f>
        <v/>
      </c>
      <c r="AN227" s="28">
        <f>IFERROR(LN(AB227)/(LN(W227)+LN(X227)+LN(Y227)+LN(Z227)+LN(AA227)+LN(AB227)+LN(AC227)+LN(AD227))*(AH227-V7_BASE_CPR),0)</f>
        <v/>
      </c>
      <c r="AO227" s="28">
        <f>IFERROR(LN(AC227)/(LN(W227)+LN(X227)+LN(Y227)+LN(Z227)+LN(AA227)+LN(AB227)+LN(AC227)+LN(AD227))*(AH227-V7_BASE_CPR),0)</f>
        <v/>
      </c>
      <c r="AP227" s="28">
        <f>IFERROR(LN(AD227)/(LN(W227)+LN(X227)+LN(Y227)+LN(Z227)+LN(AA227)+LN(AB227)+LN(AC227)+LN(AD227))*(AH227-V7_BASE_CPR),0)</f>
        <v/>
      </c>
      <c r="AQ227" s="29">
        <f>V7_BASE_CPR+SUM(AI227:AP227)-AH227</f>
        <v/>
      </c>
    </row>
    <row r="228">
      <c r="A228" s="2" t="inlineStr">
        <is>
          <t>36194SPB8_000000009235804</t>
        </is>
      </c>
      <c r="B228" t="inlineStr">
        <is>
          <t>JLL_PRE21</t>
        </is>
      </c>
      <c r="C228" s="2" t="inlineStr">
        <is>
          <t>36194SPB8</t>
        </is>
      </c>
      <c r="D228" t="inlineStr">
        <is>
          <t>JLL REAL ESTATE CAPITAL, LLC</t>
        </is>
      </c>
      <c r="E228" t="inlineStr">
        <is>
          <t>221d4</t>
        </is>
      </c>
      <c r="F228" t="inlineStr">
        <is>
          <t>NC</t>
        </is>
      </c>
      <c r="G228" t="n">
        <v>2016</v>
      </c>
      <c r="H228" t="inlineStr">
        <is>
          <t>202602</t>
        </is>
      </c>
      <c r="I228" s="22" t="n">
        <v>9916135.029999999</v>
      </c>
      <c r="J228" s="23" t="n">
        <v>3.23</v>
      </c>
      <c r="K228" s="24" t="n">
        <v>447</v>
      </c>
      <c r="L228" s="24" t="n">
        <v>10</v>
      </c>
      <c r="M228" t="n">
        <v>116</v>
      </c>
      <c r="N228" s="25" t="n">
        <v>18</v>
      </c>
      <c r="O228" t="n">
        <v>205706</v>
      </c>
      <c r="P228" t="n">
        <v>201707</v>
      </c>
      <c r="Q228" t="inlineStr">
        <is>
          <t>4065</t>
        </is>
      </c>
      <c r="R228" s="26" t="n">
        <v>0.1551724137931035</v>
      </c>
      <c r="S228" t="n">
        <v>1</v>
      </c>
      <c r="T228" s="23">
        <f>LN(1+I228)</f>
        <v/>
      </c>
      <c r="U228" s="24">
        <f>J228*100-K228</f>
        <v/>
      </c>
      <c r="V228" s="24">
        <f>U228-12.5*(L228+1)</f>
        <v/>
      </c>
      <c r="W228" s="26">
        <f>IF(M228&lt;=V7_AGE_KNOT_X_0,V7_AGE_KNOT_Y_0,IF(M228&gt;=V7_AGE_KNOT_X_5,V7_AGE_KNOT_Y_5,IF(M228&lt;=V7_AGE_KNOT_X_1,V7_AGE_KNOT_Y_0+(M228-V7_AGE_KNOT_X_0)/(V7_AGE_KNOT_X_1-V7_AGE_KNOT_X_0)*(V7_AGE_KNOT_Y_1-V7_AGE_KNOT_Y_0),IF(M228&lt;=V7_AGE_KNOT_X_2,V7_AGE_KNOT_Y_1+(M228-V7_AGE_KNOT_X_1)/(V7_AGE_KNOT_X_2-V7_AGE_KNOT_X_1)*(V7_AGE_KNOT_Y_2-V7_AGE_KNOT_Y_1),IF(M228&lt;=V7_AGE_KNOT_X_3,V7_AGE_KNOT_Y_2+(M228-V7_AGE_KNOT_X_2)/(V7_AGE_KNOT_X_3-V7_AGE_KNOT_X_2)*(V7_AGE_KNOT_Y_3-V7_AGE_KNOT_Y_2),IF(M228&lt;=V7_AGE_KNOT_X_4,V7_AGE_KNOT_Y_3+(M228-V7_AGE_KNOT_X_3)/(V7_AGE_KNOT_X_4-V7_AGE_KNOT_X_3)*(V7_AGE_KNOT_Y_4-V7_AGE_KNOT_Y_3),V7_AGE_KNOT_Y_4+(M228-V7_AGE_KNOT_X_4)/(V7_AGE_KNOT_X_5-V7_AGE_KNOT_X_4)*(V7_AGE_KNOT_Y_5-V7_AGE_KNOT_Y_4)))))))</f>
        <v/>
      </c>
      <c r="X228" s="26">
        <f>V7_RATE_FLOOR+V7_RATE_ASYMPTOTE/(1+EXP(-(V228-V7_RATE_MID)/V7_RATE_SLOPE))</f>
        <v/>
      </c>
      <c r="Y228" s="26">
        <f>MAX(V7_SIZE_LOW,MIN(V7_SIZE_HIGH,V7_SIZE_INTERCEPT+V7_SIZE_SLOPE*(T228-V7_SIZE_LOG_ANCHOR)))</f>
        <v/>
      </c>
      <c r="Z228" s="26">
        <f>IF(ISNUMBER(SEARCH("232",E228)),VLOOKUP("232",V7_PROGRAM_TABLE,2,FALSE),IF(ISNUMBER(SEARCH("538",E228)),VLOOKUP("538",V7_PROGRAM_TABLE,2,FALSE),IF(ISNUMBER(SEARCH("223a7",E228)),VLOOKUP("223a7",V7_PROGRAM_TABLE,2,FALSE),IF(ISNUMBER(SEARCH("223f",E228)),VLOOKUP("223f",V7_PROGRAM_TABLE,2,FALSE),V7_PROGRAM_DEFAULT))))</f>
        <v/>
      </c>
      <c r="AA228" s="26">
        <f>IF(S228=1,1+V7_PURPOSE_NC_BUMP*MAX(0,1-ABS(M228-V7_PURPOSE_PEAK_AGE)/V7_PURPOSE_WIDTH),1)</f>
        <v/>
      </c>
      <c r="AB228" s="26">
        <f>IF(AND(IF(OR(P228="",NOT(ISNUMBER(P228))),0,MAX(0,MIN(24,(INT(VALUE(H228)/100)-INT(P228/100))*12+MOD(VALUE(H228),100)-MOD(P228,100))))&gt;0,IF(OR(P228="",NOT(ISNUMBER(P228))),0,MAX(0,MIN(24,(INT(VALUE(H228)/100)-INT(P228/100))*12+MOD(VALUE(H228),100)-MOD(P228,100))))&lt;=12),1+V7_LOCKOUT_AMP*EXP(-(IF(OR(P228="",NOT(ISNUMBER(P228))),0,MAX(0,MIN(24,(INT(VALUE(H228)/100)-INT(P228/100))*12+MOD(VALUE(H228),100)-MOD(P228,100)))))/V7_LOCKOUT_TAU),1)</f>
        <v/>
      </c>
      <c r="AC228" s="26">
        <f>IF(IF(OR(O228="",NOT(ISNUMBER(O228))),360,MAX(0,MIN(480,(INT(O228/100)-INT(VALUE(H228)/100))*12+MOD(O228,100)-MOD(VALUE(H228),100))))&gt;0,1+V7_MTY_AMP*MAX(0,(V7_MTY_CUTOFF-(IF(OR(O228="",NOT(ISNUMBER(O228))),360,MAX(0,MIN(480,(INT(O228/100)-INT(VALUE(H228)/100))*12+MOD(O228,100)-MOD(VALUE(H228),100))))))/V7_MTY_CUTOFF),1)</f>
        <v/>
      </c>
      <c r="AD228" s="26">
        <f>MAX(V7_BURN_FLOOR,1-V7_BURN_SLOPE*MIN(1,MAX(0,R228)))</f>
        <v/>
      </c>
      <c r="AE228" s="26">
        <f>IF(V7_USE_ISSUER=1,IFERROR(VLOOKUP(Q228,V7_ISSUER_TABLE,3,FALSE),1),1)</f>
        <v/>
      </c>
      <c r="AF228" s="26">
        <f>PRODUCT(W228:AE228)</f>
        <v/>
      </c>
      <c r="AG228" s="27">
        <f>MIN(V7_BASE_SMM*AF228,V7_SMM_CAP)</f>
        <v/>
      </c>
      <c r="AH228" s="28">
        <f>1-(1-AG228)^12</f>
        <v/>
      </c>
      <c r="AI228" s="28">
        <f>IFERROR(LN(W228)/(LN(W228)+LN(X228)+LN(Y228)+LN(Z228)+LN(AA228)+LN(AB228)+LN(AC228)+LN(AD228))*(AH228-V7_BASE_CPR),0)</f>
        <v/>
      </c>
      <c r="AJ228" s="28">
        <f>IFERROR(LN(X228)/(LN(W228)+LN(X228)+LN(Y228)+LN(Z228)+LN(AA228)+LN(AB228)+LN(AC228)+LN(AD228))*(AH228-V7_BASE_CPR),0)</f>
        <v/>
      </c>
      <c r="AK228" s="28">
        <f>IFERROR(LN(Y228)/(LN(W228)+LN(X228)+LN(Y228)+LN(Z228)+LN(AA228)+LN(AB228)+LN(AC228)+LN(AD228))*(AH228-V7_BASE_CPR),0)</f>
        <v/>
      </c>
      <c r="AL228" s="28">
        <f>IFERROR(LN(Z228)/(LN(W228)+LN(X228)+LN(Y228)+LN(Z228)+LN(AA228)+LN(AB228)+LN(AC228)+LN(AD228))*(AH228-V7_BASE_CPR),0)</f>
        <v/>
      </c>
      <c r="AM228" s="28">
        <f>IFERROR(LN(AA228)/(LN(W228)+LN(X228)+LN(Y228)+LN(Z228)+LN(AA228)+LN(AB228)+LN(AC228)+LN(AD228))*(AH228-V7_BASE_CPR),0)</f>
        <v/>
      </c>
      <c r="AN228" s="28">
        <f>IFERROR(LN(AB228)/(LN(W228)+LN(X228)+LN(Y228)+LN(Z228)+LN(AA228)+LN(AB228)+LN(AC228)+LN(AD228))*(AH228-V7_BASE_CPR),0)</f>
        <v/>
      </c>
      <c r="AO228" s="28">
        <f>IFERROR(LN(AC228)/(LN(W228)+LN(X228)+LN(Y228)+LN(Z228)+LN(AA228)+LN(AB228)+LN(AC228)+LN(AD228))*(AH228-V7_BASE_CPR),0)</f>
        <v/>
      </c>
      <c r="AP228" s="28">
        <f>IFERROR(LN(AD228)/(LN(W228)+LN(X228)+LN(Y228)+LN(Z228)+LN(AA228)+LN(AB228)+LN(AC228)+LN(AD228))*(AH228-V7_BASE_CPR),0)</f>
        <v/>
      </c>
      <c r="AQ228" s="29">
        <f>V7_BASE_CPR+SUM(AI228:AP228)-AH228</f>
        <v/>
      </c>
    </row>
    <row r="229">
      <c r="A229" s="2" t="inlineStr">
        <is>
          <t>3617V85B8_000000007435287</t>
        </is>
      </c>
      <c r="B229" t="inlineStr">
        <is>
          <t>JLL_POST21</t>
        </is>
      </c>
      <c r="C229" s="2" t="inlineStr">
        <is>
          <t>3617V85B8</t>
        </is>
      </c>
      <c r="D229" t="inlineStr">
        <is>
          <t>JLL REAL ESTATE CAPITAL, LLC</t>
        </is>
      </c>
      <c r="E229" t="inlineStr">
        <is>
          <t>221d4</t>
        </is>
      </c>
      <c r="F229" t="inlineStr">
        <is>
          <t>NC</t>
        </is>
      </c>
      <c r="G229" t="n">
        <v>2021</v>
      </c>
      <c r="H229" t="inlineStr">
        <is>
          <t>202602</t>
        </is>
      </c>
      <c r="I229" s="22" t="n">
        <v>18685263.1</v>
      </c>
      <c r="J229" s="23" t="n">
        <v>2.94</v>
      </c>
      <c r="K229" s="24" t="n">
        <v>447</v>
      </c>
      <c r="L229" s="24" t="n">
        <v>3</v>
      </c>
      <c r="M229" t="n">
        <v>58</v>
      </c>
      <c r="N229" s="25" t="n">
        <v>1</v>
      </c>
      <c r="O229" t="n">
        <v>205803</v>
      </c>
      <c r="P229" t="inlineStr"/>
      <c r="Q229" t="inlineStr">
        <is>
          <t>4065</t>
        </is>
      </c>
      <c r="R229" s="26" t="n">
        <v>0.01724137931034483</v>
      </c>
      <c r="S229" t="n">
        <v>1</v>
      </c>
      <c r="T229" s="23">
        <f>LN(1+I229)</f>
        <v/>
      </c>
      <c r="U229" s="24">
        <f>J229*100-K229</f>
        <v/>
      </c>
      <c r="V229" s="24">
        <f>U229-12.5*(L229+1)</f>
        <v/>
      </c>
      <c r="W229" s="26">
        <f>IF(M229&lt;=V7_AGE_KNOT_X_0,V7_AGE_KNOT_Y_0,IF(M229&gt;=V7_AGE_KNOT_X_5,V7_AGE_KNOT_Y_5,IF(M229&lt;=V7_AGE_KNOT_X_1,V7_AGE_KNOT_Y_0+(M229-V7_AGE_KNOT_X_0)/(V7_AGE_KNOT_X_1-V7_AGE_KNOT_X_0)*(V7_AGE_KNOT_Y_1-V7_AGE_KNOT_Y_0),IF(M229&lt;=V7_AGE_KNOT_X_2,V7_AGE_KNOT_Y_1+(M229-V7_AGE_KNOT_X_1)/(V7_AGE_KNOT_X_2-V7_AGE_KNOT_X_1)*(V7_AGE_KNOT_Y_2-V7_AGE_KNOT_Y_1),IF(M229&lt;=V7_AGE_KNOT_X_3,V7_AGE_KNOT_Y_2+(M229-V7_AGE_KNOT_X_2)/(V7_AGE_KNOT_X_3-V7_AGE_KNOT_X_2)*(V7_AGE_KNOT_Y_3-V7_AGE_KNOT_Y_2),IF(M229&lt;=V7_AGE_KNOT_X_4,V7_AGE_KNOT_Y_3+(M229-V7_AGE_KNOT_X_3)/(V7_AGE_KNOT_X_4-V7_AGE_KNOT_X_3)*(V7_AGE_KNOT_Y_4-V7_AGE_KNOT_Y_3),V7_AGE_KNOT_Y_4+(M229-V7_AGE_KNOT_X_4)/(V7_AGE_KNOT_X_5-V7_AGE_KNOT_X_4)*(V7_AGE_KNOT_Y_5-V7_AGE_KNOT_Y_4)))))))</f>
        <v/>
      </c>
      <c r="X229" s="26">
        <f>V7_RATE_FLOOR+V7_RATE_ASYMPTOTE/(1+EXP(-(V229-V7_RATE_MID)/V7_RATE_SLOPE))</f>
        <v/>
      </c>
      <c r="Y229" s="26">
        <f>MAX(V7_SIZE_LOW,MIN(V7_SIZE_HIGH,V7_SIZE_INTERCEPT+V7_SIZE_SLOPE*(T229-V7_SIZE_LOG_ANCHOR)))</f>
        <v/>
      </c>
      <c r="Z229" s="26">
        <f>IF(ISNUMBER(SEARCH("232",E229)),VLOOKUP("232",V7_PROGRAM_TABLE,2,FALSE),IF(ISNUMBER(SEARCH("538",E229)),VLOOKUP("538",V7_PROGRAM_TABLE,2,FALSE),IF(ISNUMBER(SEARCH("223a7",E229)),VLOOKUP("223a7",V7_PROGRAM_TABLE,2,FALSE),IF(ISNUMBER(SEARCH("223f",E229)),VLOOKUP("223f",V7_PROGRAM_TABLE,2,FALSE),V7_PROGRAM_DEFAULT))))</f>
        <v/>
      </c>
      <c r="AA229" s="26">
        <f>IF(S229=1,1+V7_PURPOSE_NC_BUMP*MAX(0,1-ABS(M229-V7_PURPOSE_PEAK_AGE)/V7_PURPOSE_WIDTH),1)</f>
        <v/>
      </c>
      <c r="AB229" s="26">
        <f>IF(AND(IF(OR(P229="",NOT(ISNUMBER(P229))),0,MAX(0,MIN(24,(INT(VALUE(H229)/100)-INT(P229/100))*12+MOD(VALUE(H229),100)-MOD(P229,100))))&gt;0,IF(OR(P229="",NOT(ISNUMBER(P229))),0,MAX(0,MIN(24,(INT(VALUE(H229)/100)-INT(P229/100))*12+MOD(VALUE(H229),100)-MOD(P229,100))))&lt;=12),1+V7_LOCKOUT_AMP*EXP(-(IF(OR(P229="",NOT(ISNUMBER(P229))),0,MAX(0,MIN(24,(INT(VALUE(H229)/100)-INT(P229/100))*12+MOD(VALUE(H229),100)-MOD(P229,100)))))/V7_LOCKOUT_TAU),1)</f>
        <v/>
      </c>
      <c r="AC229" s="26">
        <f>IF(IF(OR(O229="",NOT(ISNUMBER(O229))),360,MAX(0,MIN(480,(INT(O229/100)-INT(VALUE(H229)/100))*12+MOD(O229,100)-MOD(VALUE(H229),100))))&gt;0,1+V7_MTY_AMP*MAX(0,(V7_MTY_CUTOFF-(IF(OR(O229="",NOT(ISNUMBER(O229))),360,MAX(0,MIN(480,(INT(O229/100)-INT(VALUE(H229)/100))*12+MOD(O229,100)-MOD(VALUE(H229),100))))))/V7_MTY_CUTOFF),1)</f>
        <v/>
      </c>
      <c r="AD229" s="26">
        <f>MAX(V7_BURN_FLOOR,1-V7_BURN_SLOPE*MIN(1,MAX(0,R229)))</f>
        <v/>
      </c>
      <c r="AE229" s="26">
        <f>IF(V7_USE_ISSUER=1,IFERROR(VLOOKUP(Q229,V7_ISSUER_TABLE,3,FALSE),1),1)</f>
        <v/>
      </c>
      <c r="AF229" s="26">
        <f>PRODUCT(W229:AE229)</f>
        <v/>
      </c>
      <c r="AG229" s="27">
        <f>MIN(V7_BASE_SMM*AF229,V7_SMM_CAP)</f>
        <v/>
      </c>
      <c r="AH229" s="28">
        <f>1-(1-AG229)^12</f>
        <v/>
      </c>
      <c r="AI229" s="28">
        <f>IFERROR(LN(W229)/(LN(W229)+LN(X229)+LN(Y229)+LN(Z229)+LN(AA229)+LN(AB229)+LN(AC229)+LN(AD229))*(AH229-V7_BASE_CPR),0)</f>
        <v/>
      </c>
      <c r="AJ229" s="28">
        <f>IFERROR(LN(X229)/(LN(W229)+LN(X229)+LN(Y229)+LN(Z229)+LN(AA229)+LN(AB229)+LN(AC229)+LN(AD229))*(AH229-V7_BASE_CPR),0)</f>
        <v/>
      </c>
      <c r="AK229" s="28">
        <f>IFERROR(LN(Y229)/(LN(W229)+LN(X229)+LN(Y229)+LN(Z229)+LN(AA229)+LN(AB229)+LN(AC229)+LN(AD229))*(AH229-V7_BASE_CPR),0)</f>
        <v/>
      </c>
      <c r="AL229" s="28">
        <f>IFERROR(LN(Z229)/(LN(W229)+LN(X229)+LN(Y229)+LN(Z229)+LN(AA229)+LN(AB229)+LN(AC229)+LN(AD229))*(AH229-V7_BASE_CPR),0)</f>
        <v/>
      </c>
      <c r="AM229" s="28">
        <f>IFERROR(LN(AA229)/(LN(W229)+LN(X229)+LN(Y229)+LN(Z229)+LN(AA229)+LN(AB229)+LN(AC229)+LN(AD229))*(AH229-V7_BASE_CPR),0)</f>
        <v/>
      </c>
      <c r="AN229" s="28">
        <f>IFERROR(LN(AB229)/(LN(W229)+LN(X229)+LN(Y229)+LN(Z229)+LN(AA229)+LN(AB229)+LN(AC229)+LN(AD229))*(AH229-V7_BASE_CPR),0)</f>
        <v/>
      </c>
      <c r="AO229" s="28">
        <f>IFERROR(LN(AC229)/(LN(W229)+LN(X229)+LN(Y229)+LN(Z229)+LN(AA229)+LN(AB229)+LN(AC229)+LN(AD229))*(AH229-V7_BASE_CPR),0)</f>
        <v/>
      </c>
      <c r="AP229" s="28">
        <f>IFERROR(LN(AD229)/(LN(W229)+LN(X229)+LN(Y229)+LN(Z229)+LN(AA229)+LN(AB229)+LN(AC229)+LN(AD229))*(AH229-V7_BASE_CPR),0)</f>
        <v/>
      </c>
      <c r="AQ229" s="29">
        <f>V7_BASE_CPR+SUM(AI229:AP229)-AH229</f>
        <v/>
      </c>
    </row>
    <row r="230">
      <c r="A230" s="2" t="inlineStr">
        <is>
          <t>3617YPGN9_000000009222198</t>
        </is>
      </c>
      <c r="B230" t="inlineStr">
        <is>
          <t>JLL_POST21</t>
        </is>
      </c>
      <c r="C230" s="2" t="inlineStr">
        <is>
          <t>3617YPGN9</t>
        </is>
      </c>
      <c r="D230" t="inlineStr">
        <is>
          <t>JLL REAL ESTATE CAPITAL, LLC</t>
        </is>
      </c>
      <c r="E230" t="inlineStr">
        <is>
          <t>232</t>
        </is>
      </c>
      <c r="F230" t="inlineStr">
        <is>
          <t>RP</t>
        </is>
      </c>
      <c r="G230" t="n">
        <v>2024</v>
      </c>
      <c r="H230" t="inlineStr">
        <is>
          <t>202602</t>
        </is>
      </c>
      <c r="I230" s="22" t="n">
        <v>3738663.02</v>
      </c>
      <c r="J230" s="23" t="n">
        <v>6.28</v>
      </c>
      <c r="K230" s="24" t="n">
        <v>447</v>
      </c>
      <c r="L230" s="24" t="n">
        <v>9</v>
      </c>
      <c r="M230" t="n">
        <v>21</v>
      </c>
      <c r="N230" s="25" t="n">
        <v>10</v>
      </c>
      <c r="O230" t="n">
        <v>205906</v>
      </c>
      <c r="P230" t="inlineStr"/>
      <c r="Q230" t="inlineStr">
        <is>
          <t>4065</t>
        </is>
      </c>
      <c r="R230" s="26" t="n">
        <v>0.4761904761904762</v>
      </c>
      <c r="S230" t="n">
        <v>0</v>
      </c>
      <c r="T230" s="23">
        <f>LN(1+I230)</f>
        <v/>
      </c>
      <c r="U230" s="24">
        <f>J230*100-K230</f>
        <v/>
      </c>
      <c r="V230" s="24">
        <f>U230-12.5*(L230+1)</f>
        <v/>
      </c>
      <c r="W230" s="26">
        <f>IF(M230&lt;=V7_AGE_KNOT_X_0,V7_AGE_KNOT_Y_0,IF(M230&gt;=V7_AGE_KNOT_X_5,V7_AGE_KNOT_Y_5,IF(M230&lt;=V7_AGE_KNOT_X_1,V7_AGE_KNOT_Y_0+(M230-V7_AGE_KNOT_X_0)/(V7_AGE_KNOT_X_1-V7_AGE_KNOT_X_0)*(V7_AGE_KNOT_Y_1-V7_AGE_KNOT_Y_0),IF(M230&lt;=V7_AGE_KNOT_X_2,V7_AGE_KNOT_Y_1+(M230-V7_AGE_KNOT_X_1)/(V7_AGE_KNOT_X_2-V7_AGE_KNOT_X_1)*(V7_AGE_KNOT_Y_2-V7_AGE_KNOT_Y_1),IF(M230&lt;=V7_AGE_KNOT_X_3,V7_AGE_KNOT_Y_2+(M230-V7_AGE_KNOT_X_2)/(V7_AGE_KNOT_X_3-V7_AGE_KNOT_X_2)*(V7_AGE_KNOT_Y_3-V7_AGE_KNOT_Y_2),IF(M230&lt;=V7_AGE_KNOT_X_4,V7_AGE_KNOT_Y_3+(M230-V7_AGE_KNOT_X_3)/(V7_AGE_KNOT_X_4-V7_AGE_KNOT_X_3)*(V7_AGE_KNOT_Y_4-V7_AGE_KNOT_Y_3),V7_AGE_KNOT_Y_4+(M230-V7_AGE_KNOT_X_4)/(V7_AGE_KNOT_X_5-V7_AGE_KNOT_X_4)*(V7_AGE_KNOT_Y_5-V7_AGE_KNOT_Y_4)))))))</f>
        <v/>
      </c>
      <c r="X230" s="26">
        <f>V7_RATE_FLOOR+V7_RATE_ASYMPTOTE/(1+EXP(-(V230-V7_RATE_MID)/V7_RATE_SLOPE))</f>
        <v/>
      </c>
      <c r="Y230" s="26">
        <f>MAX(V7_SIZE_LOW,MIN(V7_SIZE_HIGH,V7_SIZE_INTERCEPT+V7_SIZE_SLOPE*(T230-V7_SIZE_LOG_ANCHOR)))</f>
        <v/>
      </c>
      <c r="Z230" s="26">
        <f>IF(ISNUMBER(SEARCH("232",E230)),VLOOKUP("232",V7_PROGRAM_TABLE,2,FALSE),IF(ISNUMBER(SEARCH("538",E230)),VLOOKUP("538",V7_PROGRAM_TABLE,2,FALSE),IF(ISNUMBER(SEARCH("223a7",E230)),VLOOKUP("223a7",V7_PROGRAM_TABLE,2,FALSE),IF(ISNUMBER(SEARCH("223f",E230)),VLOOKUP("223f",V7_PROGRAM_TABLE,2,FALSE),V7_PROGRAM_DEFAULT))))</f>
        <v/>
      </c>
      <c r="AA230" s="26">
        <f>IF(S230=1,1+V7_PURPOSE_NC_BUMP*MAX(0,1-ABS(M230-V7_PURPOSE_PEAK_AGE)/V7_PURPOSE_WIDTH),1)</f>
        <v/>
      </c>
      <c r="AB230" s="26">
        <f>IF(AND(IF(OR(P230="",NOT(ISNUMBER(P230))),0,MAX(0,MIN(24,(INT(VALUE(H230)/100)-INT(P230/100))*12+MOD(VALUE(H230),100)-MOD(P230,100))))&gt;0,IF(OR(P230="",NOT(ISNUMBER(P230))),0,MAX(0,MIN(24,(INT(VALUE(H230)/100)-INT(P230/100))*12+MOD(VALUE(H230),100)-MOD(P230,100))))&lt;=12),1+V7_LOCKOUT_AMP*EXP(-(IF(OR(P230="",NOT(ISNUMBER(P230))),0,MAX(0,MIN(24,(INT(VALUE(H230)/100)-INT(P230/100))*12+MOD(VALUE(H230),100)-MOD(P230,100)))))/V7_LOCKOUT_TAU),1)</f>
        <v/>
      </c>
      <c r="AC230" s="26">
        <f>IF(IF(OR(O230="",NOT(ISNUMBER(O230))),360,MAX(0,MIN(480,(INT(O230/100)-INT(VALUE(H230)/100))*12+MOD(O230,100)-MOD(VALUE(H230),100))))&gt;0,1+V7_MTY_AMP*MAX(0,(V7_MTY_CUTOFF-(IF(OR(O230="",NOT(ISNUMBER(O230))),360,MAX(0,MIN(480,(INT(O230/100)-INT(VALUE(H230)/100))*12+MOD(O230,100)-MOD(VALUE(H230),100))))))/V7_MTY_CUTOFF),1)</f>
        <v/>
      </c>
      <c r="AD230" s="26">
        <f>MAX(V7_BURN_FLOOR,1-V7_BURN_SLOPE*MIN(1,MAX(0,R230)))</f>
        <v/>
      </c>
      <c r="AE230" s="26">
        <f>IF(V7_USE_ISSUER=1,IFERROR(VLOOKUP(Q230,V7_ISSUER_TABLE,3,FALSE),1),1)</f>
        <v/>
      </c>
      <c r="AF230" s="26">
        <f>PRODUCT(W230:AE230)</f>
        <v/>
      </c>
      <c r="AG230" s="27">
        <f>MIN(V7_BASE_SMM*AF230,V7_SMM_CAP)</f>
        <v/>
      </c>
      <c r="AH230" s="28">
        <f>1-(1-AG230)^12</f>
        <v/>
      </c>
      <c r="AI230" s="28">
        <f>IFERROR(LN(W230)/(LN(W230)+LN(X230)+LN(Y230)+LN(Z230)+LN(AA230)+LN(AB230)+LN(AC230)+LN(AD230))*(AH230-V7_BASE_CPR),0)</f>
        <v/>
      </c>
      <c r="AJ230" s="28">
        <f>IFERROR(LN(X230)/(LN(W230)+LN(X230)+LN(Y230)+LN(Z230)+LN(AA230)+LN(AB230)+LN(AC230)+LN(AD230))*(AH230-V7_BASE_CPR),0)</f>
        <v/>
      </c>
      <c r="AK230" s="28">
        <f>IFERROR(LN(Y230)/(LN(W230)+LN(X230)+LN(Y230)+LN(Z230)+LN(AA230)+LN(AB230)+LN(AC230)+LN(AD230))*(AH230-V7_BASE_CPR),0)</f>
        <v/>
      </c>
      <c r="AL230" s="28">
        <f>IFERROR(LN(Z230)/(LN(W230)+LN(X230)+LN(Y230)+LN(Z230)+LN(AA230)+LN(AB230)+LN(AC230)+LN(AD230))*(AH230-V7_BASE_CPR),0)</f>
        <v/>
      </c>
      <c r="AM230" s="28">
        <f>IFERROR(LN(AA230)/(LN(W230)+LN(X230)+LN(Y230)+LN(Z230)+LN(AA230)+LN(AB230)+LN(AC230)+LN(AD230))*(AH230-V7_BASE_CPR),0)</f>
        <v/>
      </c>
      <c r="AN230" s="28">
        <f>IFERROR(LN(AB230)/(LN(W230)+LN(X230)+LN(Y230)+LN(Z230)+LN(AA230)+LN(AB230)+LN(AC230)+LN(AD230))*(AH230-V7_BASE_CPR),0)</f>
        <v/>
      </c>
      <c r="AO230" s="28">
        <f>IFERROR(LN(AC230)/(LN(W230)+LN(X230)+LN(Y230)+LN(Z230)+LN(AA230)+LN(AB230)+LN(AC230)+LN(AD230))*(AH230-V7_BASE_CPR),0)</f>
        <v/>
      </c>
      <c r="AP230" s="28">
        <f>IFERROR(LN(AD230)/(LN(W230)+LN(X230)+LN(Y230)+LN(Z230)+LN(AA230)+LN(AB230)+LN(AC230)+LN(AD230))*(AH230-V7_BASE_CPR),0)</f>
        <v/>
      </c>
      <c r="AQ230" s="29">
        <f>V7_BASE_CPR+SUM(AI230:AP230)-AH230</f>
        <v/>
      </c>
    </row>
    <row r="231">
      <c r="A231" s="2" t="inlineStr">
        <is>
          <t>36181YSU5_000000009211383</t>
        </is>
      </c>
      <c r="B231" t="inlineStr">
        <is>
          <t>JLL_PRE21</t>
        </is>
      </c>
      <c r="C231" s="2" t="inlineStr">
        <is>
          <t>36181YSU5</t>
        </is>
      </c>
      <c r="D231" t="inlineStr">
        <is>
          <t>JLL REAL ESTATE CAPITAL, LLC</t>
        </is>
      </c>
      <c r="E231" t="inlineStr">
        <is>
          <t>223f</t>
        </is>
      </c>
      <c r="F231" t="inlineStr">
        <is>
          <t>RP</t>
        </is>
      </c>
      <c r="G231" t="n">
        <v>2014</v>
      </c>
      <c r="H231" t="inlineStr">
        <is>
          <t>202602</t>
        </is>
      </c>
      <c r="I231" s="22" t="n">
        <v>1648930.28</v>
      </c>
      <c r="J231" s="23" t="n">
        <v>3.89</v>
      </c>
      <c r="K231" s="24" t="n">
        <v>447</v>
      </c>
      <c r="L231" s="24" t="n">
        <v>0</v>
      </c>
      <c r="M231" t="n">
        <v>142</v>
      </c>
      <c r="N231" s="25" t="n">
        <v>44</v>
      </c>
      <c r="O231" t="n">
        <v>204705</v>
      </c>
      <c r="P231" t="inlineStr"/>
      <c r="Q231" t="inlineStr">
        <is>
          <t>4065</t>
        </is>
      </c>
      <c r="R231" s="26" t="n">
        <v>0.3098591549295774</v>
      </c>
      <c r="S231" t="n">
        <v>0</v>
      </c>
      <c r="T231" s="23">
        <f>LN(1+I231)</f>
        <v/>
      </c>
      <c r="U231" s="24">
        <f>J231*100-K231</f>
        <v/>
      </c>
      <c r="V231" s="24">
        <f>U231-12.5*(L231+1)</f>
        <v/>
      </c>
      <c r="W231" s="26">
        <f>IF(M231&lt;=V7_AGE_KNOT_X_0,V7_AGE_KNOT_Y_0,IF(M231&gt;=V7_AGE_KNOT_X_5,V7_AGE_KNOT_Y_5,IF(M231&lt;=V7_AGE_KNOT_X_1,V7_AGE_KNOT_Y_0+(M231-V7_AGE_KNOT_X_0)/(V7_AGE_KNOT_X_1-V7_AGE_KNOT_X_0)*(V7_AGE_KNOT_Y_1-V7_AGE_KNOT_Y_0),IF(M231&lt;=V7_AGE_KNOT_X_2,V7_AGE_KNOT_Y_1+(M231-V7_AGE_KNOT_X_1)/(V7_AGE_KNOT_X_2-V7_AGE_KNOT_X_1)*(V7_AGE_KNOT_Y_2-V7_AGE_KNOT_Y_1),IF(M231&lt;=V7_AGE_KNOT_X_3,V7_AGE_KNOT_Y_2+(M231-V7_AGE_KNOT_X_2)/(V7_AGE_KNOT_X_3-V7_AGE_KNOT_X_2)*(V7_AGE_KNOT_Y_3-V7_AGE_KNOT_Y_2),IF(M231&lt;=V7_AGE_KNOT_X_4,V7_AGE_KNOT_Y_3+(M231-V7_AGE_KNOT_X_3)/(V7_AGE_KNOT_X_4-V7_AGE_KNOT_X_3)*(V7_AGE_KNOT_Y_4-V7_AGE_KNOT_Y_3),V7_AGE_KNOT_Y_4+(M231-V7_AGE_KNOT_X_4)/(V7_AGE_KNOT_X_5-V7_AGE_KNOT_X_4)*(V7_AGE_KNOT_Y_5-V7_AGE_KNOT_Y_4)))))))</f>
        <v/>
      </c>
      <c r="X231" s="26">
        <f>V7_RATE_FLOOR+V7_RATE_ASYMPTOTE/(1+EXP(-(V231-V7_RATE_MID)/V7_RATE_SLOPE))</f>
        <v/>
      </c>
      <c r="Y231" s="26">
        <f>MAX(V7_SIZE_LOW,MIN(V7_SIZE_HIGH,V7_SIZE_INTERCEPT+V7_SIZE_SLOPE*(T231-V7_SIZE_LOG_ANCHOR)))</f>
        <v/>
      </c>
      <c r="Z231" s="26">
        <f>IF(ISNUMBER(SEARCH("232",E231)),VLOOKUP("232",V7_PROGRAM_TABLE,2,FALSE),IF(ISNUMBER(SEARCH("538",E231)),VLOOKUP("538",V7_PROGRAM_TABLE,2,FALSE),IF(ISNUMBER(SEARCH("223a7",E231)),VLOOKUP("223a7",V7_PROGRAM_TABLE,2,FALSE),IF(ISNUMBER(SEARCH("223f",E231)),VLOOKUP("223f",V7_PROGRAM_TABLE,2,FALSE),V7_PROGRAM_DEFAULT))))</f>
        <v/>
      </c>
      <c r="AA231" s="26">
        <f>IF(S231=1,1+V7_PURPOSE_NC_BUMP*MAX(0,1-ABS(M231-V7_PURPOSE_PEAK_AGE)/V7_PURPOSE_WIDTH),1)</f>
        <v/>
      </c>
      <c r="AB231" s="26">
        <f>IF(AND(IF(OR(P231="",NOT(ISNUMBER(P231))),0,MAX(0,MIN(24,(INT(VALUE(H231)/100)-INT(P231/100))*12+MOD(VALUE(H231),100)-MOD(P231,100))))&gt;0,IF(OR(P231="",NOT(ISNUMBER(P231))),0,MAX(0,MIN(24,(INT(VALUE(H231)/100)-INT(P231/100))*12+MOD(VALUE(H231),100)-MOD(P231,100))))&lt;=12),1+V7_LOCKOUT_AMP*EXP(-(IF(OR(P231="",NOT(ISNUMBER(P231))),0,MAX(0,MIN(24,(INT(VALUE(H231)/100)-INT(P231/100))*12+MOD(VALUE(H231),100)-MOD(P231,100)))))/V7_LOCKOUT_TAU),1)</f>
        <v/>
      </c>
      <c r="AC231" s="26">
        <f>IF(IF(OR(O231="",NOT(ISNUMBER(O231))),360,MAX(0,MIN(480,(INT(O231/100)-INT(VALUE(H231)/100))*12+MOD(O231,100)-MOD(VALUE(H231),100))))&gt;0,1+V7_MTY_AMP*MAX(0,(V7_MTY_CUTOFF-(IF(OR(O231="",NOT(ISNUMBER(O231))),360,MAX(0,MIN(480,(INT(O231/100)-INT(VALUE(H231)/100))*12+MOD(O231,100)-MOD(VALUE(H231),100))))))/V7_MTY_CUTOFF),1)</f>
        <v/>
      </c>
      <c r="AD231" s="26">
        <f>MAX(V7_BURN_FLOOR,1-V7_BURN_SLOPE*MIN(1,MAX(0,R231)))</f>
        <v/>
      </c>
      <c r="AE231" s="26">
        <f>IF(V7_USE_ISSUER=1,IFERROR(VLOOKUP(Q231,V7_ISSUER_TABLE,3,FALSE),1),1)</f>
        <v/>
      </c>
      <c r="AF231" s="26">
        <f>PRODUCT(W231:AE231)</f>
        <v/>
      </c>
      <c r="AG231" s="27">
        <f>MIN(V7_BASE_SMM*AF231,V7_SMM_CAP)</f>
        <v/>
      </c>
      <c r="AH231" s="28">
        <f>1-(1-AG231)^12</f>
        <v/>
      </c>
      <c r="AI231" s="28">
        <f>IFERROR(LN(W231)/(LN(W231)+LN(X231)+LN(Y231)+LN(Z231)+LN(AA231)+LN(AB231)+LN(AC231)+LN(AD231))*(AH231-V7_BASE_CPR),0)</f>
        <v/>
      </c>
      <c r="AJ231" s="28">
        <f>IFERROR(LN(X231)/(LN(W231)+LN(X231)+LN(Y231)+LN(Z231)+LN(AA231)+LN(AB231)+LN(AC231)+LN(AD231))*(AH231-V7_BASE_CPR),0)</f>
        <v/>
      </c>
      <c r="AK231" s="28">
        <f>IFERROR(LN(Y231)/(LN(W231)+LN(X231)+LN(Y231)+LN(Z231)+LN(AA231)+LN(AB231)+LN(AC231)+LN(AD231))*(AH231-V7_BASE_CPR),0)</f>
        <v/>
      </c>
      <c r="AL231" s="28">
        <f>IFERROR(LN(Z231)/(LN(W231)+LN(X231)+LN(Y231)+LN(Z231)+LN(AA231)+LN(AB231)+LN(AC231)+LN(AD231))*(AH231-V7_BASE_CPR),0)</f>
        <v/>
      </c>
      <c r="AM231" s="28">
        <f>IFERROR(LN(AA231)/(LN(W231)+LN(X231)+LN(Y231)+LN(Z231)+LN(AA231)+LN(AB231)+LN(AC231)+LN(AD231))*(AH231-V7_BASE_CPR),0)</f>
        <v/>
      </c>
      <c r="AN231" s="28">
        <f>IFERROR(LN(AB231)/(LN(W231)+LN(X231)+LN(Y231)+LN(Z231)+LN(AA231)+LN(AB231)+LN(AC231)+LN(AD231))*(AH231-V7_BASE_CPR),0)</f>
        <v/>
      </c>
      <c r="AO231" s="28">
        <f>IFERROR(LN(AC231)/(LN(W231)+LN(X231)+LN(Y231)+LN(Z231)+LN(AA231)+LN(AB231)+LN(AC231)+LN(AD231))*(AH231-V7_BASE_CPR),0)</f>
        <v/>
      </c>
      <c r="AP231" s="28">
        <f>IFERROR(LN(AD231)/(LN(W231)+LN(X231)+LN(Y231)+LN(Z231)+LN(AA231)+LN(AB231)+LN(AC231)+LN(AD231))*(AH231-V7_BASE_CPR),0)</f>
        <v/>
      </c>
      <c r="AQ231" s="29">
        <f>V7_BASE_CPR+SUM(AI231:AP231)-AH231</f>
        <v/>
      </c>
    </row>
    <row r="232">
      <c r="A232" s="2" t="inlineStr">
        <is>
          <t>3617V85S1_000000011311457</t>
        </is>
      </c>
      <c r="B232" t="inlineStr">
        <is>
          <t>JLL_POST21</t>
        </is>
      </c>
      <c r="C232" s="2" t="inlineStr">
        <is>
          <t>3617V85S1</t>
        </is>
      </c>
      <c r="D232" t="inlineStr">
        <is>
          <t>JLL REAL ESTATE CAPITAL, LLC</t>
        </is>
      </c>
      <c r="E232" t="inlineStr">
        <is>
          <t>223f</t>
        </is>
      </c>
      <c r="F232" t="inlineStr">
        <is>
          <t>RP</t>
        </is>
      </c>
      <c r="G232" t="n">
        <v>2021</v>
      </c>
      <c r="H232" t="inlineStr">
        <is>
          <t>202602</t>
        </is>
      </c>
      <c r="I232" s="22" t="n">
        <v>5024963.75</v>
      </c>
      <c r="J232" s="23" t="n">
        <v>2.42</v>
      </c>
      <c r="K232" s="24" t="n">
        <v>447</v>
      </c>
      <c r="L232" s="24" t="n">
        <v>1</v>
      </c>
      <c r="M232" t="n">
        <v>55</v>
      </c>
      <c r="N232" s="25" t="n">
        <v>0</v>
      </c>
      <c r="O232" t="n">
        <v>205608</v>
      </c>
      <c r="P232" t="inlineStr"/>
      <c r="Q232" t="inlineStr">
        <is>
          <t>4065</t>
        </is>
      </c>
      <c r="R232" s="26" t="n">
        <v>0</v>
      </c>
      <c r="S232" t="n">
        <v>0</v>
      </c>
      <c r="T232" s="23">
        <f>LN(1+I232)</f>
        <v/>
      </c>
      <c r="U232" s="24">
        <f>J232*100-K232</f>
        <v/>
      </c>
      <c r="V232" s="24">
        <f>U232-12.5*(L232+1)</f>
        <v/>
      </c>
      <c r="W232" s="26">
        <f>IF(M232&lt;=V7_AGE_KNOT_X_0,V7_AGE_KNOT_Y_0,IF(M232&gt;=V7_AGE_KNOT_X_5,V7_AGE_KNOT_Y_5,IF(M232&lt;=V7_AGE_KNOT_X_1,V7_AGE_KNOT_Y_0+(M232-V7_AGE_KNOT_X_0)/(V7_AGE_KNOT_X_1-V7_AGE_KNOT_X_0)*(V7_AGE_KNOT_Y_1-V7_AGE_KNOT_Y_0),IF(M232&lt;=V7_AGE_KNOT_X_2,V7_AGE_KNOT_Y_1+(M232-V7_AGE_KNOT_X_1)/(V7_AGE_KNOT_X_2-V7_AGE_KNOT_X_1)*(V7_AGE_KNOT_Y_2-V7_AGE_KNOT_Y_1),IF(M232&lt;=V7_AGE_KNOT_X_3,V7_AGE_KNOT_Y_2+(M232-V7_AGE_KNOT_X_2)/(V7_AGE_KNOT_X_3-V7_AGE_KNOT_X_2)*(V7_AGE_KNOT_Y_3-V7_AGE_KNOT_Y_2),IF(M232&lt;=V7_AGE_KNOT_X_4,V7_AGE_KNOT_Y_3+(M232-V7_AGE_KNOT_X_3)/(V7_AGE_KNOT_X_4-V7_AGE_KNOT_X_3)*(V7_AGE_KNOT_Y_4-V7_AGE_KNOT_Y_3),V7_AGE_KNOT_Y_4+(M232-V7_AGE_KNOT_X_4)/(V7_AGE_KNOT_X_5-V7_AGE_KNOT_X_4)*(V7_AGE_KNOT_Y_5-V7_AGE_KNOT_Y_4)))))))</f>
        <v/>
      </c>
      <c r="X232" s="26">
        <f>V7_RATE_FLOOR+V7_RATE_ASYMPTOTE/(1+EXP(-(V232-V7_RATE_MID)/V7_RATE_SLOPE))</f>
        <v/>
      </c>
      <c r="Y232" s="26">
        <f>MAX(V7_SIZE_LOW,MIN(V7_SIZE_HIGH,V7_SIZE_INTERCEPT+V7_SIZE_SLOPE*(T232-V7_SIZE_LOG_ANCHOR)))</f>
        <v/>
      </c>
      <c r="Z232" s="26">
        <f>IF(ISNUMBER(SEARCH("232",E232)),VLOOKUP("232",V7_PROGRAM_TABLE,2,FALSE),IF(ISNUMBER(SEARCH("538",E232)),VLOOKUP("538",V7_PROGRAM_TABLE,2,FALSE),IF(ISNUMBER(SEARCH("223a7",E232)),VLOOKUP("223a7",V7_PROGRAM_TABLE,2,FALSE),IF(ISNUMBER(SEARCH("223f",E232)),VLOOKUP("223f",V7_PROGRAM_TABLE,2,FALSE),V7_PROGRAM_DEFAULT))))</f>
        <v/>
      </c>
      <c r="AA232" s="26">
        <f>IF(S232=1,1+V7_PURPOSE_NC_BUMP*MAX(0,1-ABS(M232-V7_PURPOSE_PEAK_AGE)/V7_PURPOSE_WIDTH),1)</f>
        <v/>
      </c>
      <c r="AB232" s="26">
        <f>IF(AND(IF(OR(P232="",NOT(ISNUMBER(P232))),0,MAX(0,MIN(24,(INT(VALUE(H232)/100)-INT(P232/100))*12+MOD(VALUE(H232),100)-MOD(P232,100))))&gt;0,IF(OR(P232="",NOT(ISNUMBER(P232))),0,MAX(0,MIN(24,(INT(VALUE(H232)/100)-INT(P232/100))*12+MOD(VALUE(H232),100)-MOD(P232,100))))&lt;=12),1+V7_LOCKOUT_AMP*EXP(-(IF(OR(P232="",NOT(ISNUMBER(P232))),0,MAX(0,MIN(24,(INT(VALUE(H232)/100)-INT(P232/100))*12+MOD(VALUE(H232),100)-MOD(P232,100)))))/V7_LOCKOUT_TAU),1)</f>
        <v/>
      </c>
      <c r="AC232" s="26">
        <f>IF(IF(OR(O232="",NOT(ISNUMBER(O232))),360,MAX(0,MIN(480,(INT(O232/100)-INT(VALUE(H232)/100))*12+MOD(O232,100)-MOD(VALUE(H232),100))))&gt;0,1+V7_MTY_AMP*MAX(0,(V7_MTY_CUTOFF-(IF(OR(O232="",NOT(ISNUMBER(O232))),360,MAX(0,MIN(480,(INT(O232/100)-INT(VALUE(H232)/100))*12+MOD(O232,100)-MOD(VALUE(H232),100))))))/V7_MTY_CUTOFF),1)</f>
        <v/>
      </c>
      <c r="AD232" s="26">
        <f>MAX(V7_BURN_FLOOR,1-V7_BURN_SLOPE*MIN(1,MAX(0,R232)))</f>
        <v/>
      </c>
      <c r="AE232" s="26">
        <f>IF(V7_USE_ISSUER=1,IFERROR(VLOOKUP(Q232,V7_ISSUER_TABLE,3,FALSE),1),1)</f>
        <v/>
      </c>
      <c r="AF232" s="26">
        <f>PRODUCT(W232:AE232)</f>
        <v/>
      </c>
      <c r="AG232" s="27">
        <f>MIN(V7_BASE_SMM*AF232,V7_SMM_CAP)</f>
        <v/>
      </c>
      <c r="AH232" s="28">
        <f>1-(1-AG232)^12</f>
        <v/>
      </c>
      <c r="AI232" s="28">
        <f>IFERROR(LN(W232)/(LN(W232)+LN(X232)+LN(Y232)+LN(Z232)+LN(AA232)+LN(AB232)+LN(AC232)+LN(AD232))*(AH232-V7_BASE_CPR),0)</f>
        <v/>
      </c>
      <c r="AJ232" s="28">
        <f>IFERROR(LN(X232)/(LN(W232)+LN(X232)+LN(Y232)+LN(Z232)+LN(AA232)+LN(AB232)+LN(AC232)+LN(AD232))*(AH232-V7_BASE_CPR),0)</f>
        <v/>
      </c>
      <c r="AK232" s="28">
        <f>IFERROR(LN(Y232)/(LN(W232)+LN(X232)+LN(Y232)+LN(Z232)+LN(AA232)+LN(AB232)+LN(AC232)+LN(AD232))*(AH232-V7_BASE_CPR),0)</f>
        <v/>
      </c>
      <c r="AL232" s="28">
        <f>IFERROR(LN(Z232)/(LN(W232)+LN(X232)+LN(Y232)+LN(Z232)+LN(AA232)+LN(AB232)+LN(AC232)+LN(AD232))*(AH232-V7_BASE_CPR),0)</f>
        <v/>
      </c>
      <c r="AM232" s="28">
        <f>IFERROR(LN(AA232)/(LN(W232)+LN(X232)+LN(Y232)+LN(Z232)+LN(AA232)+LN(AB232)+LN(AC232)+LN(AD232))*(AH232-V7_BASE_CPR),0)</f>
        <v/>
      </c>
      <c r="AN232" s="28">
        <f>IFERROR(LN(AB232)/(LN(W232)+LN(X232)+LN(Y232)+LN(Z232)+LN(AA232)+LN(AB232)+LN(AC232)+LN(AD232))*(AH232-V7_BASE_CPR),0)</f>
        <v/>
      </c>
      <c r="AO232" s="28">
        <f>IFERROR(LN(AC232)/(LN(W232)+LN(X232)+LN(Y232)+LN(Z232)+LN(AA232)+LN(AB232)+LN(AC232)+LN(AD232))*(AH232-V7_BASE_CPR),0)</f>
        <v/>
      </c>
      <c r="AP232" s="28">
        <f>IFERROR(LN(AD232)/(LN(W232)+LN(X232)+LN(Y232)+LN(Z232)+LN(AA232)+LN(AB232)+LN(AC232)+LN(AD232))*(AH232-V7_BASE_CPR),0)</f>
        <v/>
      </c>
      <c r="AQ232" s="29">
        <f>V7_BASE_CPR+SUM(AI232:AP232)-AH232</f>
        <v/>
      </c>
    </row>
    <row r="233">
      <c r="A233" s="2" t="inlineStr">
        <is>
          <t>3620C2ZC1_000000007143246</t>
        </is>
      </c>
      <c r="B233" t="inlineStr">
        <is>
          <t>JLL_PRE21</t>
        </is>
      </c>
      <c r="C233" s="2" t="inlineStr">
        <is>
          <t>3620C2ZC1</t>
        </is>
      </c>
      <c r="D233" t="inlineStr">
        <is>
          <t>JLL REAL ESTATE CAPITAL, LLC</t>
        </is>
      </c>
      <c r="E233" t="inlineStr">
        <is>
          <t>232</t>
        </is>
      </c>
      <c r="F233" t="inlineStr">
        <is>
          <t>RP</t>
        </is>
      </c>
      <c r="G233" t="n">
        <v>2011</v>
      </c>
      <c r="H233" t="inlineStr">
        <is>
          <t>202602</t>
        </is>
      </c>
      <c r="I233" s="22" t="n">
        <v>6745844.71</v>
      </c>
      <c r="J233" s="23" t="n">
        <v>3.88</v>
      </c>
      <c r="K233" s="24" t="n">
        <v>447</v>
      </c>
      <c r="L233" s="24" t="n">
        <v>0</v>
      </c>
      <c r="M233" t="n">
        <v>174</v>
      </c>
      <c r="N233" s="25" t="n">
        <v>41</v>
      </c>
      <c r="O233" t="n">
        <v>204502</v>
      </c>
      <c r="P233" t="n">
        <v>201310</v>
      </c>
      <c r="Q233" t="inlineStr">
        <is>
          <t>4065</t>
        </is>
      </c>
      <c r="R233" s="26" t="n">
        <v>0.235632183908046</v>
      </c>
      <c r="S233" t="n">
        <v>0</v>
      </c>
      <c r="T233" s="23">
        <f>LN(1+I233)</f>
        <v/>
      </c>
      <c r="U233" s="24">
        <f>J233*100-K233</f>
        <v/>
      </c>
      <c r="V233" s="24">
        <f>U233-12.5*(L233+1)</f>
        <v/>
      </c>
      <c r="W233" s="26">
        <f>IF(M233&lt;=V7_AGE_KNOT_X_0,V7_AGE_KNOT_Y_0,IF(M233&gt;=V7_AGE_KNOT_X_5,V7_AGE_KNOT_Y_5,IF(M233&lt;=V7_AGE_KNOT_X_1,V7_AGE_KNOT_Y_0+(M233-V7_AGE_KNOT_X_0)/(V7_AGE_KNOT_X_1-V7_AGE_KNOT_X_0)*(V7_AGE_KNOT_Y_1-V7_AGE_KNOT_Y_0),IF(M233&lt;=V7_AGE_KNOT_X_2,V7_AGE_KNOT_Y_1+(M233-V7_AGE_KNOT_X_1)/(V7_AGE_KNOT_X_2-V7_AGE_KNOT_X_1)*(V7_AGE_KNOT_Y_2-V7_AGE_KNOT_Y_1),IF(M233&lt;=V7_AGE_KNOT_X_3,V7_AGE_KNOT_Y_2+(M233-V7_AGE_KNOT_X_2)/(V7_AGE_KNOT_X_3-V7_AGE_KNOT_X_2)*(V7_AGE_KNOT_Y_3-V7_AGE_KNOT_Y_2),IF(M233&lt;=V7_AGE_KNOT_X_4,V7_AGE_KNOT_Y_3+(M233-V7_AGE_KNOT_X_3)/(V7_AGE_KNOT_X_4-V7_AGE_KNOT_X_3)*(V7_AGE_KNOT_Y_4-V7_AGE_KNOT_Y_3),V7_AGE_KNOT_Y_4+(M233-V7_AGE_KNOT_X_4)/(V7_AGE_KNOT_X_5-V7_AGE_KNOT_X_4)*(V7_AGE_KNOT_Y_5-V7_AGE_KNOT_Y_4)))))))</f>
        <v/>
      </c>
      <c r="X233" s="26">
        <f>V7_RATE_FLOOR+V7_RATE_ASYMPTOTE/(1+EXP(-(V233-V7_RATE_MID)/V7_RATE_SLOPE))</f>
        <v/>
      </c>
      <c r="Y233" s="26">
        <f>MAX(V7_SIZE_LOW,MIN(V7_SIZE_HIGH,V7_SIZE_INTERCEPT+V7_SIZE_SLOPE*(T233-V7_SIZE_LOG_ANCHOR)))</f>
        <v/>
      </c>
      <c r="Z233" s="26">
        <f>IF(ISNUMBER(SEARCH("232",E233)),VLOOKUP("232",V7_PROGRAM_TABLE,2,FALSE),IF(ISNUMBER(SEARCH("538",E233)),VLOOKUP("538",V7_PROGRAM_TABLE,2,FALSE),IF(ISNUMBER(SEARCH("223a7",E233)),VLOOKUP("223a7",V7_PROGRAM_TABLE,2,FALSE),IF(ISNUMBER(SEARCH("223f",E233)),VLOOKUP("223f",V7_PROGRAM_TABLE,2,FALSE),V7_PROGRAM_DEFAULT))))</f>
        <v/>
      </c>
      <c r="AA233" s="26">
        <f>IF(S233=1,1+V7_PURPOSE_NC_BUMP*MAX(0,1-ABS(M233-V7_PURPOSE_PEAK_AGE)/V7_PURPOSE_WIDTH),1)</f>
        <v/>
      </c>
      <c r="AB233" s="26">
        <f>IF(AND(IF(OR(P233="",NOT(ISNUMBER(P233))),0,MAX(0,MIN(24,(INT(VALUE(H233)/100)-INT(P233/100))*12+MOD(VALUE(H233),100)-MOD(P233,100))))&gt;0,IF(OR(P233="",NOT(ISNUMBER(P233))),0,MAX(0,MIN(24,(INT(VALUE(H233)/100)-INT(P233/100))*12+MOD(VALUE(H233),100)-MOD(P233,100))))&lt;=12),1+V7_LOCKOUT_AMP*EXP(-(IF(OR(P233="",NOT(ISNUMBER(P233))),0,MAX(0,MIN(24,(INT(VALUE(H233)/100)-INT(P233/100))*12+MOD(VALUE(H233),100)-MOD(P233,100)))))/V7_LOCKOUT_TAU),1)</f>
        <v/>
      </c>
      <c r="AC233" s="26">
        <f>IF(IF(OR(O233="",NOT(ISNUMBER(O233))),360,MAX(0,MIN(480,(INT(O233/100)-INT(VALUE(H233)/100))*12+MOD(O233,100)-MOD(VALUE(H233),100))))&gt;0,1+V7_MTY_AMP*MAX(0,(V7_MTY_CUTOFF-(IF(OR(O233="",NOT(ISNUMBER(O233))),360,MAX(0,MIN(480,(INT(O233/100)-INT(VALUE(H233)/100))*12+MOD(O233,100)-MOD(VALUE(H233),100))))))/V7_MTY_CUTOFF),1)</f>
        <v/>
      </c>
      <c r="AD233" s="26">
        <f>MAX(V7_BURN_FLOOR,1-V7_BURN_SLOPE*MIN(1,MAX(0,R233)))</f>
        <v/>
      </c>
      <c r="AE233" s="26">
        <f>IF(V7_USE_ISSUER=1,IFERROR(VLOOKUP(Q233,V7_ISSUER_TABLE,3,FALSE),1),1)</f>
        <v/>
      </c>
      <c r="AF233" s="26">
        <f>PRODUCT(W233:AE233)</f>
        <v/>
      </c>
      <c r="AG233" s="27">
        <f>MIN(V7_BASE_SMM*AF233,V7_SMM_CAP)</f>
        <v/>
      </c>
      <c r="AH233" s="28">
        <f>1-(1-AG233)^12</f>
        <v/>
      </c>
      <c r="AI233" s="28">
        <f>IFERROR(LN(W233)/(LN(W233)+LN(X233)+LN(Y233)+LN(Z233)+LN(AA233)+LN(AB233)+LN(AC233)+LN(AD233))*(AH233-V7_BASE_CPR),0)</f>
        <v/>
      </c>
      <c r="AJ233" s="28">
        <f>IFERROR(LN(X233)/(LN(W233)+LN(X233)+LN(Y233)+LN(Z233)+LN(AA233)+LN(AB233)+LN(AC233)+LN(AD233))*(AH233-V7_BASE_CPR),0)</f>
        <v/>
      </c>
      <c r="AK233" s="28">
        <f>IFERROR(LN(Y233)/(LN(W233)+LN(X233)+LN(Y233)+LN(Z233)+LN(AA233)+LN(AB233)+LN(AC233)+LN(AD233))*(AH233-V7_BASE_CPR),0)</f>
        <v/>
      </c>
      <c r="AL233" s="28">
        <f>IFERROR(LN(Z233)/(LN(W233)+LN(X233)+LN(Y233)+LN(Z233)+LN(AA233)+LN(AB233)+LN(AC233)+LN(AD233))*(AH233-V7_BASE_CPR),0)</f>
        <v/>
      </c>
      <c r="AM233" s="28">
        <f>IFERROR(LN(AA233)/(LN(W233)+LN(X233)+LN(Y233)+LN(Z233)+LN(AA233)+LN(AB233)+LN(AC233)+LN(AD233))*(AH233-V7_BASE_CPR),0)</f>
        <v/>
      </c>
      <c r="AN233" s="28">
        <f>IFERROR(LN(AB233)/(LN(W233)+LN(X233)+LN(Y233)+LN(Z233)+LN(AA233)+LN(AB233)+LN(AC233)+LN(AD233))*(AH233-V7_BASE_CPR),0)</f>
        <v/>
      </c>
      <c r="AO233" s="28">
        <f>IFERROR(LN(AC233)/(LN(W233)+LN(X233)+LN(Y233)+LN(Z233)+LN(AA233)+LN(AB233)+LN(AC233)+LN(AD233))*(AH233-V7_BASE_CPR),0)</f>
        <v/>
      </c>
      <c r="AP233" s="28">
        <f>IFERROR(LN(AD233)/(LN(W233)+LN(X233)+LN(Y233)+LN(Z233)+LN(AA233)+LN(AB233)+LN(AC233)+LN(AD233))*(AH233-V7_BASE_CPR),0)</f>
        <v/>
      </c>
      <c r="AQ233" s="29">
        <f>V7_BASE_CPR+SUM(AI233:AP233)-AH233</f>
        <v/>
      </c>
    </row>
    <row r="234">
      <c r="A234" s="2" t="inlineStr">
        <is>
          <t>3617LBH60_000000008235482</t>
        </is>
      </c>
      <c r="B234" t="inlineStr">
        <is>
          <t>JLL_PRE21</t>
        </is>
      </c>
      <c r="C234" s="2" t="inlineStr">
        <is>
          <t>3617LBH60</t>
        </is>
      </c>
      <c r="D234" t="inlineStr">
        <is>
          <t>JLL REAL ESTATE CAPITAL, LLC</t>
        </is>
      </c>
      <c r="E234" t="inlineStr">
        <is>
          <t>221d4</t>
        </is>
      </c>
      <c r="F234" t="inlineStr">
        <is>
          <t>NC</t>
        </is>
      </c>
      <c r="G234" t="n">
        <v>2019</v>
      </c>
      <c r="H234" t="inlineStr">
        <is>
          <t>202602</t>
        </is>
      </c>
      <c r="I234" s="22" t="n">
        <v>12926537.01</v>
      </c>
      <c r="J234" s="23" t="n">
        <v>4.05</v>
      </c>
      <c r="K234" s="24" t="n">
        <v>447</v>
      </c>
      <c r="L234" s="24" t="n">
        <v>7</v>
      </c>
      <c r="M234" t="n">
        <v>76</v>
      </c>
      <c r="N234" s="25" t="n">
        <v>0</v>
      </c>
      <c r="O234" t="n">
        <v>206203</v>
      </c>
      <c r="P234" t="inlineStr"/>
      <c r="Q234" t="inlineStr">
        <is>
          <t>4065</t>
        </is>
      </c>
      <c r="R234" s="26" t="n">
        <v>0</v>
      </c>
      <c r="S234" t="n">
        <v>1</v>
      </c>
      <c r="T234" s="23">
        <f>LN(1+I234)</f>
        <v/>
      </c>
      <c r="U234" s="24">
        <f>J234*100-K234</f>
        <v/>
      </c>
      <c r="V234" s="24">
        <f>U234-12.5*(L234+1)</f>
        <v/>
      </c>
      <c r="W234" s="26">
        <f>IF(M234&lt;=V7_AGE_KNOT_X_0,V7_AGE_KNOT_Y_0,IF(M234&gt;=V7_AGE_KNOT_X_5,V7_AGE_KNOT_Y_5,IF(M234&lt;=V7_AGE_KNOT_X_1,V7_AGE_KNOT_Y_0+(M234-V7_AGE_KNOT_X_0)/(V7_AGE_KNOT_X_1-V7_AGE_KNOT_X_0)*(V7_AGE_KNOT_Y_1-V7_AGE_KNOT_Y_0),IF(M234&lt;=V7_AGE_KNOT_X_2,V7_AGE_KNOT_Y_1+(M234-V7_AGE_KNOT_X_1)/(V7_AGE_KNOT_X_2-V7_AGE_KNOT_X_1)*(V7_AGE_KNOT_Y_2-V7_AGE_KNOT_Y_1),IF(M234&lt;=V7_AGE_KNOT_X_3,V7_AGE_KNOT_Y_2+(M234-V7_AGE_KNOT_X_2)/(V7_AGE_KNOT_X_3-V7_AGE_KNOT_X_2)*(V7_AGE_KNOT_Y_3-V7_AGE_KNOT_Y_2),IF(M234&lt;=V7_AGE_KNOT_X_4,V7_AGE_KNOT_Y_3+(M234-V7_AGE_KNOT_X_3)/(V7_AGE_KNOT_X_4-V7_AGE_KNOT_X_3)*(V7_AGE_KNOT_Y_4-V7_AGE_KNOT_Y_3),V7_AGE_KNOT_Y_4+(M234-V7_AGE_KNOT_X_4)/(V7_AGE_KNOT_X_5-V7_AGE_KNOT_X_4)*(V7_AGE_KNOT_Y_5-V7_AGE_KNOT_Y_4)))))))</f>
        <v/>
      </c>
      <c r="X234" s="26">
        <f>V7_RATE_FLOOR+V7_RATE_ASYMPTOTE/(1+EXP(-(V234-V7_RATE_MID)/V7_RATE_SLOPE))</f>
        <v/>
      </c>
      <c r="Y234" s="26">
        <f>MAX(V7_SIZE_LOW,MIN(V7_SIZE_HIGH,V7_SIZE_INTERCEPT+V7_SIZE_SLOPE*(T234-V7_SIZE_LOG_ANCHOR)))</f>
        <v/>
      </c>
      <c r="Z234" s="26">
        <f>IF(ISNUMBER(SEARCH("232",E234)),VLOOKUP("232",V7_PROGRAM_TABLE,2,FALSE),IF(ISNUMBER(SEARCH("538",E234)),VLOOKUP("538",V7_PROGRAM_TABLE,2,FALSE),IF(ISNUMBER(SEARCH("223a7",E234)),VLOOKUP("223a7",V7_PROGRAM_TABLE,2,FALSE),IF(ISNUMBER(SEARCH("223f",E234)),VLOOKUP("223f",V7_PROGRAM_TABLE,2,FALSE),V7_PROGRAM_DEFAULT))))</f>
        <v/>
      </c>
      <c r="AA234" s="26">
        <f>IF(S234=1,1+V7_PURPOSE_NC_BUMP*MAX(0,1-ABS(M234-V7_PURPOSE_PEAK_AGE)/V7_PURPOSE_WIDTH),1)</f>
        <v/>
      </c>
      <c r="AB234" s="26">
        <f>IF(AND(IF(OR(P234="",NOT(ISNUMBER(P234))),0,MAX(0,MIN(24,(INT(VALUE(H234)/100)-INT(P234/100))*12+MOD(VALUE(H234),100)-MOD(P234,100))))&gt;0,IF(OR(P234="",NOT(ISNUMBER(P234))),0,MAX(0,MIN(24,(INT(VALUE(H234)/100)-INT(P234/100))*12+MOD(VALUE(H234),100)-MOD(P234,100))))&lt;=12),1+V7_LOCKOUT_AMP*EXP(-(IF(OR(P234="",NOT(ISNUMBER(P234))),0,MAX(0,MIN(24,(INT(VALUE(H234)/100)-INT(P234/100))*12+MOD(VALUE(H234),100)-MOD(P234,100)))))/V7_LOCKOUT_TAU),1)</f>
        <v/>
      </c>
      <c r="AC234" s="26">
        <f>IF(IF(OR(O234="",NOT(ISNUMBER(O234))),360,MAX(0,MIN(480,(INT(O234/100)-INT(VALUE(H234)/100))*12+MOD(O234,100)-MOD(VALUE(H234),100))))&gt;0,1+V7_MTY_AMP*MAX(0,(V7_MTY_CUTOFF-(IF(OR(O234="",NOT(ISNUMBER(O234))),360,MAX(0,MIN(480,(INT(O234/100)-INT(VALUE(H234)/100))*12+MOD(O234,100)-MOD(VALUE(H234),100))))))/V7_MTY_CUTOFF),1)</f>
        <v/>
      </c>
      <c r="AD234" s="26">
        <f>MAX(V7_BURN_FLOOR,1-V7_BURN_SLOPE*MIN(1,MAX(0,R234)))</f>
        <v/>
      </c>
      <c r="AE234" s="26">
        <f>IF(V7_USE_ISSUER=1,IFERROR(VLOOKUP(Q234,V7_ISSUER_TABLE,3,FALSE),1),1)</f>
        <v/>
      </c>
      <c r="AF234" s="26">
        <f>PRODUCT(W234:AE234)</f>
        <v/>
      </c>
      <c r="AG234" s="27">
        <f>MIN(V7_BASE_SMM*AF234,V7_SMM_CAP)</f>
        <v/>
      </c>
      <c r="AH234" s="28">
        <f>1-(1-AG234)^12</f>
        <v/>
      </c>
      <c r="AI234" s="28">
        <f>IFERROR(LN(W234)/(LN(W234)+LN(X234)+LN(Y234)+LN(Z234)+LN(AA234)+LN(AB234)+LN(AC234)+LN(AD234))*(AH234-V7_BASE_CPR),0)</f>
        <v/>
      </c>
      <c r="AJ234" s="28">
        <f>IFERROR(LN(X234)/(LN(W234)+LN(X234)+LN(Y234)+LN(Z234)+LN(AA234)+LN(AB234)+LN(AC234)+LN(AD234))*(AH234-V7_BASE_CPR),0)</f>
        <v/>
      </c>
      <c r="AK234" s="28">
        <f>IFERROR(LN(Y234)/(LN(W234)+LN(X234)+LN(Y234)+LN(Z234)+LN(AA234)+LN(AB234)+LN(AC234)+LN(AD234))*(AH234-V7_BASE_CPR),0)</f>
        <v/>
      </c>
      <c r="AL234" s="28">
        <f>IFERROR(LN(Z234)/(LN(W234)+LN(X234)+LN(Y234)+LN(Z234)+LN(AA234)+LN(AB234)+LN(AC234)+LN(AD234))*(AH234-V7_BASE_CPR),0)</f>
        <v/>
      </c>
      <c r="AM234" s="28">
        <f>IFERROR(LN(AA234)/(LN(W234)+LN(X234)+LN(Y234)+LN(Z234)+LN(AA234)+LN(AB234)+LN(AC234)+LN(AD234))*(AH234-V7_BASE_CPR),0)</f>
        <v/>
      </c>
      <c r="AN234" s="28">
        <f>IFERROR(LN(AB234)/(LN(W234)+LN(X234)+LN(Y234)+LN(Z234)+LN(AA234)+LN(AB234)+LN(AC234)+LN(AD234))*(AH234-V7_BASE_CPR),0)</f>
        <v/>
      </c>
      <c r="AO234" s="28">
        <f>IFERROR(LN(AC234)/(LN(W234)+LN(X234)+LN(Y234)+LN(Z234)+LN(AA234)+LN(AB234)+LN(AC234)+LN(AD234))*(AH234-V7_BASE_CPR),0)</f>
        <v/>
      </c>
      <c r="AP234" s="28">
        <f>IFERROR(LN(AD234)/(LN(W234)+LN(X234)+LN(Y234)+LN(Z234)+LN(AA234)+LN(AB234)+LN(AC234)+LN(AD234))*(AH234-V7_BASE_CPR),0)</f>
        <v/>
      </c>
      <c r="AQ234" s="29">
        <f>V7_BASE_CPR+SUM(AI234:AP234)-AH234</f>
        <v/>
      </c>
    </row>
    <row r="235">
      <c r="A235" s="2" t="inlineStr">
        <is>
          <t>3617YPF67_000000006611276</t>
        </is>
      </c>
      <c r="B235" t="inlineStr">
        <is>
          <t>JLL_POST21</t>
        </is>
      </c>
      <c r="C235" s="2" t="inlineStr">
        <is>
          <t>3617YPF67</t>
        </is>
      </c>
      <c r="D235" t="inlineStr">
        <is>
          <t>JLL REAL ESTATE CAPITAL, LLC</t>
        </is>
      </c>
      <c r="E235" t="inlineStr">
        <is>
          <t>223f</t>
        </is>
      </c>
      <c r="F235" t="inlineStr">
        <is>
          <t>RP</t>
        </is>
      </c>
      <c r="G235" t="n">
        <v>2022</v>
      </c>
      <c r="H235" t="inlineStr">
        <is>
          <t>202602</t>
        </is>
      </c>
      <c r="I235" s="22" t="n">
        <v>17732412.69</v>
      </c>
      <c r="J235" s="23" t="n">
        <v>4.145</v>
      </c>
      <c r="K235" s="24" t="n">
        <v>447</v>
      </c>
      <c r="L235" s="24" t="n">
        <v>1</v>
      </c>
      <c r="M235" t="n">
        <v>42</v>
      </c>
      <c r="N235" s="25" t="n">
        <v>0</v>
      </c>
      <c r="O235" t="n">
        <v>205709</v>
      </c>
      <c r="P235" t="inlineStr"/>
      <c r="Q235" t="inlineStr">
        <is>
          <t>4065</t>
        </is>
      </c>
      <c r="R235" s="26" t="n">
        <v>0</v>
      </c>
      <c r="S235" t="n">
        <v>0</v>
      </c>
      <c r="T235" s="23">
        <f>LN(1+I235)</f>
        <v/>
      </c>
      <c r="U235" s="24">
        <f>J235*100-K235</f>
        <v/>
      </c>
      <c r="V235" s="24">
        <f>U235-12.5*(L235+1)</f>
        <v/>
      </c>
      <c r="W235" s="26">
        <f>IF(M235&lt;=V7_AGE_KNOT_X_0,V7_AGE_KNOT_Y_0,IF(M235&gt;=V7_AGE_KNOT_X_5,V7_AGE_KNOT_Y_5,IF(M235&lt;=V7_AGE_KNOT_X_1,V7_AGE_KNOT_Y_0+(M235-V7_AGE_KNOT_X_0)/(V7_AGE_KNOT_X_1-V7_AGE_KNOT_X_0)*(V7_AGE_KNOT_Y_1-V7_AGE_KNOT_Y_0),IF(M235&lt;=V7_AGE_KNOT_X_2,V7_AGE_KNOT_Y_1+(M235-V7_AGE_KNOT_X_1)/(V7_AGE_KNOT_X_2-V7_AGE_KNOT_X_1)*(V7_AGE_KNOT_Y_2-V7_AGE_KNOT_Y_1),IF(M235&lt;=V7_AGE_KNOT_X_3,V7_AGE_KNOT_Y_2+(M235-V7_AGE_KNOT_X_2)/(V7_AGE_KNOT_X_3-V7_AGE_KNOT_X_2)*(V7_AGE_KNOT_Y_3-V7_AGE_KNOT_Y_2),IF(M235&lt;=V7_AGE_KNOT_X_4,V7_AGE_KNOT_Y_3+(M235-V7_AGE_KNOT_X_3)/(V7_AGE_KNOT_X_4-V7_AGE_KNOT_X_3)*(V7_AGE_KNOT_Y_4-V7_AGE_KNOT_Y_3),V7_AGE_KNOT_Y_4+(M235-V7_AGE_KNOT_X_4)/(V7_AGE_KNOT_X_5-V7_AGE_KNOT_X_4)*(V7_AGE_KNOT_Y_5-V7_AGE_KNOT_Y_4)))))))</f>
        <v/>
      </c>
      <c r="X235" s="26">
        <f>V7_RATE_FLOOR+V7_RATE_ASYMPTOTE/(1+EXP(-(V235-V7_RATE_MID)/V7_RATE_SLOPE))</f>
        <v/>
      </c>
      <c r="Y235" s="26">
        <f>MAX(V7_SIZE_LOW,MIN(V7_SIZE_HIGH,V7_SIZE_INTERCEPT+V7_SIZE_SLOPE*(T235-V7_SIZE_LOG_ANCHOR)))</f>
        <v/>
      </c>
      <c r="Z235" s="26">
        <f>IF(ISNUMBER(SEARCH("232",E235)),VLOOKUP("232",V7_PROGRAM_TABLE,2,FALSE),IF(ISNUMBER(SEARCH("538",E235)),VLOOKUP("538",V7_PROGRAM_TABLE,2,FALSE),IF(ISNUMBER(SEARCH("223a7",E235)),VLOOKUP("223a7",V7_PROGRAM_TABLE,2,FALSE),IF(ISNUMBER(SEARCH("223f",E235)),VLOOKUP("223f",V7_PROGRAM_TABLE,2,FALSE),V7_PROGRAM_DEFAULT))))</f>
        <v/>
      </c>
      <c r="AA235" s="26">
        <f>IF(S235=1,1+V7_PURPOSE_NC_BUMP*MAX(0,1-ABS(M235-V7_PURPOSE_PEAK_AGE)/V7_PURPOSE_WIDTH),1)</f>
        <v/>
      </c>
      <c r="AB235" s="26">
        <f>IF(AND(IF(OR(P235="",NOT(ISNUMBER(P235))),0,MAX(0,MIN(24,(INT(VALUE(H235)/100)-INT(P235/100))*12+MOD(VALUE(H235),100)-MOD(P235,100))))&gt;0,IF(OR(P235="",NOT(ISNUMBER(P235))),0,MAX(0,MIN(24,(INT(VALUE(H235)/100)-INT(P235/100))*12+MOD(VALUE(H235),100)-MOD(P235,100))))&lt;=12),1+V7_LOCKOUT_AMP*EXP(-(IF(OR(P235="",NOT(ISNUMBER(P235))),0,MAX(0,MIN(24,(INT(VALUE(H235)/100)-INT(P235/100))*12+MOD(VALUE(H235),100)-MOD(P235,100)))))/V7_LOCKOUT_TAU),1)</f>
        <v/>
      </c>
      <c r="AC235" s="26">
        <f>IF(IF(OR(O235="",NOT(ISNUMBER(O235))),360,MAX(0,MIN(480,(INT(O235/100)-INT(VALUE(H235)/100))*12+MOD(O235,100)-MOD(VALUE(H235),100))))&gt;0,1+V7_MTY_AMP*MAX(0,(V7_MTY_CUTOFF-(IF(OR(O235="",NOT(ISNUMBER(O235))),360,MAX(0,MIN(480,(INT(O235/100)-INT(VALUE(H235)/100))*12+MOD(O235,100)-MOD(VALUE(H235),100))))))/V7_MTY_CUTOFF),1)</f>
        <v/>
      </c>
      <c r="AD235" s="26">
        <f>MAX(V7_BURN_FLOOR,1-V7_BURN_SLOPE*MIN(1,MAX(0,R235)))</f>
        <v/>
      </c>
      <c r="AE235" s="26">
        <f>IF(V7_USE_ISSUER=1,IFERROR(VLOOKUP(Q235,V7_ISSUER_TABLE,3,FALSE),1),1)</f>
        <v/>
      </c>
      <c r="AF235" s="26">
        <f>PRODUCT(W235:AE235)</f>
        <v/>
      </c>
      <c r="AG235" s="27">
        <f>MIN(V7_BASE_SMM*AF235,V7_SMM_CAP)</f>
        <v/>
      </c>
      <c r="AH235" s="28">
        <f>1-(1-AG235)^12</f>
        <v/>
      </c>
      <c r="AI235" s="28">
        <f>IFERROR(LN(W235)/(LN(W235)+LN(X235)+LN(Y235)+LN(Z235)+LN(AA235)+LN(AB235)+LN(AC235)+LN(AD235))*(AH235-V7_BASE_CPR),0)</f>
        <v/>
      </c>
      <c r="AJ235" s="28">
        <f>IFERROR(LN(X235)/(LN(W235)+LN(X235)+LN(Y235)+LN(Z235)+LN(AA235)+LN(AB235)+LN(AC235)+LN(AD235))*(AH235-V7_BASE_CPR),0)</f>
        <v/>
      </c>
      <c r="AK235" s="28">
        <f>IFERROR(LN(Y235)/(LN(W235)+LN(X235)+LN(Y235)+LN(Z235)+LN(AA235)+LN(AB235)+LN(AC235)+LN(AD235))*(AH235-V7_BASE_CPR),0)</f>
        <v/>
      </c>
      <c r="AL235" s="28">
        <f>IFERROR(LN(Z235)/(LN(W235)+LN(X235)+LN(Y235)+LN(Z235)+LN(AA235)+LN(AB235)+LN(AC235)+LN(AD235))*(AH235-V7_BASE_CPR),0)</f>
        <v/>
      </c>
      <c r="AM235" s="28">
        <f>IFERROR(LN(AA235)/(LN(W235)+LN(X235)+LN(Y235)+LN(Z235)+LN(AA235)+LN(AB235)+LN(AC235)+LN(AD235))*(AH235-V7_BASE_CPR),0)</f>
        <v/>
      </c>
      <c r="AN235" s="28">
        <f>IFERROR(LN(AB235)/(LN(W235)+LN(X235)+LN(Y235)+LN(Z235)+LN(AA235)+LN(AB235)+LN(AC235)+LN(AD235))*(AH235-V7_BASE_CPR),0)</f>
        <v/>
      </c>
      <c r="AO235" s="28">
        <f>IFERROR(LN(AC235)/(LN(W235)+LN(X235)+LN(Y235)+LN(Z235)+LN(AA235)+LN(AB235)+LN(AC235)+LN(AD235))*(AH235-V7_BASE_CPR),0)</f>
        <v/>
      </c>
      <c r="AP235" s="28">
        <f>IFERROR(LN(AD235)/(LN(W235)+LN(X235)+LN(Y235)+LN(Z235)+LN(AA235)+LN(AB235)+LN(AC235)+LN(AD235))*(AH235-V7_BASE_CPR),0)</f>
        <v/>
      </c>
      <c r="AQ235" s="29">
        <f>V7_BASE_CPR+SUM(AI235:AP235)-AH235</f>
        <v/>
      </c>
    </row>
    <row r="236">
      <c r="A236" s="2" t="inlineStr">
        <is>
          <t>36179G3D3_000000009211334</t>
        </is>
      </c>
      <c r="B236" t="inlineStr">
        <is>
          <t>JLL_PRE21</t>
        </is>
      </c>
      <c r="C236" s="2" t="inlineStr">
        <is>
          <t>36179G3D3</t>
        </is>
      </c>
      <c r="D236" t="inlineStr">
        <is>
          <t>JLL REAL ESTATE CAPITAL, LLC</t>
        </is>
      </c>
      <c r="E236" t="inlineStr">
        <is>
          <t>223a7</t>
        </is>
      </c>
      <c r="F236" t="inlineStr">
        <is>
          <t>RP</t>
        </is>
      </c>
      <c r="G236" t="n">
        <v>2013</v>
      </c>
      <c r="H236" t="inlineStr">
        <is>
          <t>202602</t>
        </is>
      </c>
      <c r="I236" s="22" t="n">
        <v>1229667.79</v>
      </c>
      <c r="J236" s="23" t="n">
        <v>2.7</v>
      </c>
      <c r="K236" s="24" t="n">
        <v>447</v>
      </c>
      <c r="L236" s="24" t="n">
        <v>0</v>
      </c>
      <c r="M236" t="n">
        <v>156</v>
      </c>
      <c r="N236" s="25" t="n">
        <v>0</v>
      </c>
      <c r="O236" t="n">
        <v>203909</v>
      </c>
      <c r="P236" t="n">
        <v>201404</v>
      </c>
      <c r="Q236" t="inlineStr">
        <is>
          <t>4065</t>
        </is>
      </c>
      <c r="R236" s="26" t="n">
        <v>0</v>
      </c>
      <c r="S236" t="n">
        <v>0</v>
      </c>
      <c r="T236" s="23">
        <f>LN(1+I236)</f>
        <v/>
      </c>
      <c r="U236" s="24">
        <f>J236*100-K236</f>
        <v/>
      </c>
      <c r="V236" s="24">
        <f>U236-12.5*(L236+1)</f>
        <v/>
      </c>
      <c r="W236" s="26">
        <f>IF(M236&lt;=V7_AGE_KNOT_X_0,V7_AGE_KNOT_Y_0,IF(M236&gt;=V7_AGE_KNOT_X_5,V7_AGE_KNOT_Y_5,IF(M236&lt;=V7_AGE_KNOT_X_1,V7_AGE_KNOT_Y_0+(M236-V7_AGE_KNOT_X_0)/(V7_AGE_KNOT_X_1-V7_AGE_KNOT_X_0)*(V7_AGE_KNOT_Y_1-V7_AGE_KNOT_Y_0),IF(M236&lt;=V7_AGE_KNOT_X_2,V7_AGE_KNOT_Y_1+(M236-V7_AGE_KNOT_X_1)/(V7_AGE_KNOT_X_2-V7_AGE_KNOT_X_1)*(V7_AGE_KNOT_Y_2-V7_AGE_KNOT_Y_1),IF(M236&lt;=V7_AGE_KNOT_X_3,V7_AGE_KNOT_Y_2+(M236-V7_AGE_KNOT_X_2)/(V7_AGE_KNOT_X_3-V7_AGE_KNOT_X_2)*(V7_AGE_KNOT_Y_3-V7_AGE_KNOT_Y_2),IF(M236&lt;=V7_AGE_KNOT_X_4,V7_AGE_KNOT_Y_3+(M236-V7_AGE_KNOT_X_3)/(V7_AGE_KNOT_X_4-V7_AGE_KNOT_X_3)*(V7_AGE_KNOT_Y_4-V7_AGE_KNOT_Y_3),V7_AGE_KNOT_Y_4+(M236-V7_AGE_KNOT_X_4)/(V7_AGE_KNOT_X_5-V7_AGE_KNOT_X_4)*(V7_AGE_KNOT_Y_5-V7_AGE_KNOT_Y_4)))))))</f>
        <v/>
      </c>
      <c r="X236" s="26">
        <f>V7_RATE_FLOOR+V7_RATE_ASYMPTOTE/(1+EXP(-(V236-V7_RATE_MID)/V7_RATE_SLOPE))</f>
        <v/>
      </c>
      <c r="Y236" s="26">
        <f>MAX(V7_SIZE_LOW,MIN(V7_SIZE_HIGH,V7_SIZE_INTERCEPT+V7_SIZE_SLOPE*(T236-V7_SIZE_LOG_ANCHOR)))</f>
        <v/>
      </c>
      <c r="Z236" s="26">
        <f>IF(ISNUMBER(SEARCH("232",E236)),VLOOKUP("232",V7_PROGRAM_TABLE,2,FALSE),IF(ISNUMBER(SEARCH("538",E236)),VLOOKUP("538",V7_PROGRAM_TABLE,2,FALSE),IF(ISNUMBER(SEARCH("223a7",E236)),VLOOKUP("223a7",V7_PROGRAM_TABLE,2,FALSE),IF(ISNUMBER(SEARCH("223f",E236)),VLOOKUP("223f",V7_PROGRAM_TABLE,2,FALSE),V7_PROGRAM_DEFAULT))))</f>
        <v/>
      </c>
      <c r="AA236" s="26">
        <f>IF(S236=1,1+V7_PURPOSE_NC_BUMP*MAX(0,1-ABS(M236-V7_PURPOSE_PEAK_AGE)/V7_PURPOSE_WIDTH),1)</f>
        <v/>
      </c>
      <c r="AB236" s="26">
        <f>IF(AND(IF(OR(P236="",NOT(ISNUMBER(P236))),0,MAX(0,MIN(24,(INT(VALUE(H236)/100)-INT(P236/100))*12+MOD(VALUE(H236),100)-MOD(P236,100))))&gt;0,IF(OR(P236="",NOT(ISNUMBER(P236))),0,MAX(0,MIN(24,(INT(VALUE(H236)/100)-INT(P236/100))*12+MOD(VALUE(H236),100)-MOD(P236,100))))&lt;=12),1+V7_LOCKOUT_AMP*EXP(-(IF(OR(P236="",NOT(ISNUMBER(P236))),0,MAX(0,MIN(24,(INT(VALUE(H236)/100)-INT(P236/100))*12+MOD(VALUE(H236),100)-MOD(P236,100)))))/V7_LOCKOUT_TAU),1)</f>
        <v/>
      </c>
      <c r="AC236" s="26">
        <f>IF(IF(OR(O236="",NOT(ISNUMBER(O236))),360,MAX(0,MIN(480,(INT(O236/100)-INT(VALUE(H236)/100))*12+MOD(O236,100)-MOD(VALUE(H236),100))))&gt;0,1+V7_MTY_AMP*MAX(0,(V7_MTY_CUTOFF-(IF(OR(O236="",NOT(ISNUMBER(O236))),360,MAX(0,MIN(480,(INT(O236/100)-INT(VALUE(H236)/100))*12+MOD(O236,100)-MOD(VALUE(H236),100))))))/V7_MTY_CUTOFF),1)</f>
        <v/>
      </c>
      <c r="AD236" s="26">
        <f>MAX(V7_BURN_FLOOR,1-V7_BURN_SLOPE*MIN(1,MAX(0,R236)))</f>
        <v/>
      </c>
      <c r="AE236" s="26">
        <f>IF(V7_USE_ISSUER=1,IFERROR(VLOOKUP(Q236,V7_ISSUER_TABLE,3,FALSE),1),1)</f>
        <v/>
      </c>
      <c r="AF236" s="26">
        <f>PRODUCT(W236:AE236)</f>
        <v/>
      </c>
      <c r="AG236" s="27">
        <f>MIN(V7_BASE_SMM*AF236,V7_SMM_CAP)</f>
        <v/>
      </c>
      <c r="AH236" s="28">
        <f>1-(1-AG236)^12</f>
        <v/>
      </c>
      <c r="AI236" s="28">
        <f>IFERROR(LN(W236)/(LN(W236)+LN(X236)+LN(Y236)+LN(Z236)+LN(AA236)+LN(AB236)+LN(AC236)+LN(AD236))*(AH236-V7_BASE_CPR),0)</f>
        <v/>
      </c>
      <c r="AJ236" s="28">
        <f>IFERROR(LN(X236)/(LN(W236)+LN(X236)+LN(Y236)+LN(Z236)+LN(AA236)+LN(AB236)+LN(AC236)+LN(AD236))*(AH236-V7_BASE_CPR),0)</f>
        <v/>
      </c>
      <c r="AK236" s="28">
        <f>IFERROR(LN(Y236)/(LN(W236)+LN(X236)+LN(Y236)+LN(Z236)+LN(AA236)+LN(AB236)+LN(AC236)+LN(AD236))*(AH236-V7_BASE_CPR),0)</f>
        <v/>
      </c>
      <c r="AL236" s="28">
        <f>IFERROR(LN(Z236)/(LN(W236)+LN(X236)+LN(Y236)+LN(Z236)+LN(AA236)+LN(AB236)+LN(AC236)+LN(AD236))*(AH236-V7_BASE_CPR),0)</f>
        <v/>
      </c>
      <c r="AM236" s="28">
        <f>IFERROR(LN(AA236)/(LN(W236)+LN(X236)+LN(Y236)+LN(Z236)+LN(AA236)+LN(AB236)+LN(AC236)+LN(AD236))*(AH236-V7_BASE_CPR),0)</f>
        <v/>
      </c>
      <c r="AN236" s="28">
        <f>IFERROR(LN(AB236)/(LN(W236)+LN(X236)+LN(Y236)+LN(Z236)+LN(AA236)+LN(AB236)+LN(AC236)+LN(AD236))*(AH236-V7_BASE_CPR),0)</f>
        <v/>
      </c>
      <c r="AO236" s="28">
        <f>IFERROR(LN(AC236)/(LN(W236)+LN(X236)+LN(Y236)+LN(Z236)+LN(AA236)+LN(AB236)+LN(AC236)+LN(AD236))*(AH236-V7_BASE_CPR),0)</f>
        <v/>
      </c>
      <c r="AP236" s="28">
        <f>IFERROR(LN(AD236)/(LN(W236)+LN(X236)+LN(Y236)+LN(Z236)+LN(AA236)+LN(AB236)+LN(AC236)+LN(AD236))*(AH236-V7_BASE_CPR),0)</f>
        <v/>
      </c>
      <c r="AQ236" s="29">
        <f>V7_BASE_CPR+SUM(AI236:AP236)-AH236</f>
        <v/>
      </c>
    </row>
    <row r="237">
      <c r="A237" s="2" t="inlineStr">
        <is>
          <t>3618FJBT4_026028996371108</t>
        </is>
      </c>
      <c r="B237" t="inlineStr">
        <is>
          <t>BELLWETHER_POST21</t>
        </is>
      </c>
      <c r="C237" s="2" t="inlineStr">
        <is>
          <t>3618FJBT4</t>
        </is>
      </c>
      <c r="D237" t="inlineStr">
        <is>
          <t>BELLWETHER ENTERPRISE REAL ESTATE CAPITA</t>
        </is>
      </c>
      <c r="E237" t="inlineStr">
        <is>
          <t>538</t>
        </is>
      </c>
      <c r="F237" t="inlineStr">
        <is>
          <t>538</t>
        </is>
      </c>
      <c r="G237" t="n">
        <v>2024</v>
      </c>
      <c r="H237" t="inlineStr">
        <is>
          <t>202602</t>
        </is>
      </c>
      <c r="I237" s="22" t="n">
        <v>4392205.88</v>
      </c>
      <c r="J237" s="23" t="n">
        <v>3.84</v>
      </c>
      <c r="K237" s="24" t="n">
        <v>447</v>
      </c>
      <c r="L237" s="24" t="n">
        <v>10</v>
      </c>
      <c r="M237" t="n">
        <v>23</v>
      </c>
      <c r="N237" s="25" t="n">
        <v>0</v>
      </c>
      <c r="O237" t="n">
        <v>206404</v>
      </c>
      <c r="P237" t="inlineStr"/>
      <c r="Q237" t="inlineStr">
        <is>
          <t>4067</t>
        </is>
      </c>
      <c r="R237" s="26" t="n">
        <v>0</v>
      </c>
      <c r="S237" t="n">
        <v>0</v>
      </c>
      <c r="T237" s="23">
        <f>LN(1+I237)</f>
        <v/>
      </c>
      <c r="U237" s="24">
        <f>J237*100-K237</f>
        <v/>
      </c>
      <c r="V237" s="24">
        <f>U237-12.5*(L237+1)</f>
        <v/>
      </c>
      <c r="W237" s="26">
        <f>IF(M237&lt;=V7_AGE_KNOT_X_0,V7_AGE_KNOT_Y_0,IF(M237&gt;=V7_AGE_KNOT_X_5,V7_AGE_KNOT_Y_5,IF(M237&lt;=V7_AGE_KNOT_X_1,V7_AGE_KNOT_Y_0+(M237-V7_AGE_KNOT_X_0)/(V7_AGE_KNOT_X_1-V7_AGE_KNOT_X_0)*(V7_AGE_KNOT_Y_1-V7_AGE_KNOT_Y_0),IF(M237&lt;=V7_AGE_KNOT_X_2,V7_AGE_KNOT_Y_1+(M237-V7_AGE_KNOT_X_1)/(V7_AGE_KNOT_X_2-V7_AGE_KNOT_X_1)*(V7_AGE_KNOT_Y_2-V7_AGE_KNOT_Y_1),IF(M237&lt;=V7_AGE_KNOT_X_3,V7_AGE_KNOT_Y_2+(M237-V7_AGE_KNOT_X_2)/(V7_AGE_KNOT_X_3-V7_AGE_KNOT_X_2)*(V7_AGE_KNOT_Y_3-V7_AGE_KNOT_Y_2),IF(M237&lt;=V7_AGE_KNOT_X_4,V7_AGE_KNOT_Y_3+(M237-V7_AGE_KNOT_X_3)/(V7_AGE_KNOT_X_4-V7_AGE_KNOT_X_3)*(V7_AGE_KNOT_Y_4-V7_AGE_KNOT_Y_3),V7_AGE_KNOT_Y_4+(M237-V7_AGE_KNOT_X_4)/(V7_AGE_KNOT_X_5-V7_AGE_KNOT_X_4)*(V7_AGE_KNOT_Y_5-V7_AGE_KNOT_Y_4)))))))</f>
        <v/>
      </c>
      <c r="X237" s="26">
        <f>V7_RATE_FLOOR+V7_RATE_ASYMPTOTE/(1+EXP(-(V237-V7_RATE_MID)/V7_RATE_SLOPE))</f>
        <v/>
      </c>
      <c r="Y237" s="26">
        <f>MAX(V7_SIZE_LOW,MIN(V7_SIZE_HIGH,V7_SIZE_INTERCEPT+V7_SIZE_SLOPE*(T237-V7_SIZE_LOG_ANCHOR)))</f>
        <v/>
      </c>
      <c r="Z237" s="26">
        <f>IF(ISNUMBER(SEARCH("232",E237)),VLOOKUP("232",V7_PROGRAM_TABLE,2,FALSE),IF(ISNUMBER(SEARCH("538",E237)),VLOOKUP("538",V7_PROGRAM_TABLE,2,FALSE),IF(ISNUMBER(SEARCH("223a7",E237)),VLOOKUP("223a7",V7_PROGRAM_TABLE,2,FALSE),IF(ISNUMBER(SEARCH("223f",E237)),VLOOKUP("223f",V7_PROGRAM_TABLE,2,FALSE),V7_PROGRAM_DEFAULT))))</f>
        <v/>
      </c>
      <c r="AA237" s="26">
        <f>IF(S237=1,1+V7_PURPOSE_NC_BUMP*MAX(0,1-ABS(M237-V7_PURPOSE_PEAK_AGE)/V7_PURPOSE_WIDTH),1)</f>
        <v/>
      </c>
      <c r="AB237" s="26">
        <f>IF(AND(IF(OR(P237="",NOT(ISNUMBER(P237))),0,MAX(0,MIN(24,(INT(VALUE(H237)/100)-INT(P237/100))*12+MOD(VALUE(H237),100)-MOD(P237,100))))&gt;0,IF(OR(P237="",NOT(ISNUMBER(P237))),0,MAX(0,MIN(24,(INT(VALUE(H237)/100)-INT(P237/100))*12+MOD(VALUE(H237),100)-MOD(P237,100))))&lt;=12),1+V7_LOCKOUT_AMP*EXP(-(IF(OR(P237="",NOT(ISNUMBER(P237))),0,MAX(0,MIN(24,(INT(VALUE(H237)/100)-INT(P237/100))*12+MOD(VALUE(H237),100)-MOD(P237,100)))))/V7_LOCKOUT_TAU),1)</f>
        <v/>
      </c>
      <c r="AC237" s="26">
        <f>IF(IF(OR(O237="",NOT(ISNUMBER(O237))),360,MAX(0,MIN(480,(INT(O237/100)-INT(VALUE(H237)/100))*12+MOD(O237,100)-MOD(VALUE(H237),100))))&gt;0,1+V7_MTY_AMP*MAX(0,(V7_MTY_CUTOFF-(IF(OR(O237="",NOT(ISNUMBER(O237))),360,MAX(0,MIN(480,(INT(O237/100)-INT(VALUE(H237)/100))*12+MOD(O237,100)-MOD(VALUE(H237),100))))))/V7_MTY_CUTOFF),1)</f>
        <v/>
      </c>
      <c r="AD237" s="26">
        <f>MAX(V7_BURN_FLOOR,1-V7_BURN_SLOPE*MIN(1,MAX(0,R237)))</f>
        <v/>
      </c>
      <c r="AE237" s="26">
        <f>IF(V7_USE_ISSUER=1,IFERROR(VLOOKUP(Q237,V7_ISSUER_TABLE,3,FALSE),1),1)</f>
        <v/>
      </c>
      <c r="AF237" s="26">
        <f>PRODUCT(W237:AE237)</f>
        <v/>
      </c>
      <c r="AG237" s="27">
        <f>MIN(V7_BASE_SMM*AF237,V7_SMM_CAP)</f>
        <v/>
      </c>
      <c r="AH237" s="28">
        <f>1-(1-AG237)^12</f>
        <v/>
      </c>
      <c r="AI237" s="28">
        <f>IFERROR(LN(W237)/(LN(W237)+LN(X237)+LN(Y237)+LN(Z237)+LN(AA237)+LN(AB237)+LN(AC237)+LN(AD237))*(AH237-V7_BASE_CPR),0)</f>
        <v/>
      </c>
      <c r="AJ237" s="28">
        <f>IFERROR(LN(X237)/(LN(W237)+LN(X237)+LN(Y237)+LN(Z237)+LN(AA237)+LN(AB237)+LN(AC237)+LN(AD237))*(AH237-V7_BASE_CPR),0)</f>
        <v/>
      </c>
      <c r="AK237" s="28">
        <f>IFERROR(LN(Y237)/(LN(W237)+LN(X237)+LN(Y237)+LN(Z237)+LN(AA237)+LN(AB237)+LN(AC237)+LN(AD237))*(AH237-V7_BASE_CPR),0)</f>
        <v/>
      </c>
      <c r="AL237" s="28">
        <f>IFERROR(LN(Z237)/(LN(W237)+LN(X237)+LN(Y237)+LN(Z237)+LN(AA237)+LN(AB237)+LN(AC237)+LN(AD237))*(AH237-V7_BASE_CPR),0)</f>
        <v/>
      </c>
      <c r="AM237" s="28">
        <f>IFERROR(LN(AA237)/(LN(W237)+LN(X237)+LN(Y237)+LN(Z237)+LN(AA237)+LN(AB237)+LN(AC237)+LN(AD237))*(AH237-V7_BASE_CPR),0)</f>
        <v/>
      </c>
      <c r="AN237" s="28">
        <f>IFERROR(LN(AB237)/(LN(W237)+LN(X237)+LN(Y237)+LN(Z237)+LN(AA237)+LN(AB237)+LN(AC237)+LN(AD237))*(AH237-V7_BASE_CPR),0)</f>
        <v/>
      </c>
      <c r="AO237" s="28">
        <f>IFERROR(LN(AC237)/(LN(W237)+LN(X237)+LN(Y237)+LN(Z237)+LN(AA237)+LN(AB237)+LN(AC237)+LN(AD237))*(AH237-V7_BASE_CPR),0)</f>
        <v/>
      </c>
      <c r="AP237" s="28">
        <f>IFERROR(LN(AD237)/(LN(W237)+LN(X237)+LN(Y237)+LN(Z237)+LN(AA237)+LN(AB237)+LN(AC237)+LN(AD237))*(AH237-V7_BASE_CPR),0)</f>
        <v/>
      </c>
      <c r="AQ237" s="29">
        <f>V7_BASE_CPR+SUM(AI237:AP237)-AH237</f>
        <v/>
      </c>
    </row>
    <row r="238">
      <c r="A238" s="2" t="inlineStr">
        <is>
          <t>3620AEMG2_060003374578408</t>
        </is>
      </c>
      <c r="B238" t="inlineStr">
        <is>
          <t>BELLWETHER_PRE21</t>
        </is>
      </c>
      <c r="C238" s="2" t="inlineStr">
        <is>
          <t>3620AEMG2</t>
        </is>
      </c>
      <c r="D238" t="inlineStr">
        <is>
          <t>BELLWETHER ENTERPRISE REAL ESTATE CAPITA</t>
        </is>
      </c>
      <c r="E238" t="inlineStr">
        <is>
          <t>538</t>
        </is>
      </c>
      <c r="F238" t="inlineStr">
        <is>
          <t>538</t>
        </is>
      </c>
      <c r="G238" t="n">
        <v>2010</v>
      </c>
      <c r="H238" t="inlineStr">
        <is>
          <t>202602</t>
        </is>
      </c>
      <c r="I238" s="22" t="n">
        <v>862013.46</v>
      </c>
      <c r="J238" s="23" t="n">
        <v>5.29</v>
      </c>
      <c r="K238" s="24" t="n">
        <v>447</v>
      </c>
      <c r="L238" s="24" t="n">
        <v>0</v>
      </c>
      <c r="M238" t="n">
        <v>184</v>
      </c>
      <c r="N238" s="25" t="n">
        <v>75</v>
      </c>
      <c r="O238" t="n">
        <v>205011</v>
      </c>
      <c r="P238" t="n">
        <v>201212</v>
      </c>
      <c r="Q238" t="inlineStr">
        <is>
          <t>4067</t>
        </is>
      </c>
      <c r="R238" s="26" t="n">
        <v>0.4076086956521739</v>
      </c>
      <c r="S238" t="n">
        <v>0</v>
      </c>
      <c r="T238" s="23">
        <f>LN(1+I238)</f>
        <v/>
      </c>
      <c r="U238" s="24">
        <f>J238*100-K238</f>
        <v/>
      </c>
      <c r="V238" s="24">
        <f>U238-12.5*(L238+1)</f>
        <v/>
      </c>
      <c r="W238" s="26">
        <f>IF(M238&lt;=V7_AGE_KNOT_X_0,V7_AGE_KNOT_Y_0,IF(M238&gt;=V7_AGE_KNOT_X_5,V7_AGE_KNOT_Y_5,IF(M238&lt;=V7_AGE_KNOT_X_1,V7_AGE_KNOT_Y_0+(M238-V7_AGE_KNOT_X_0)/(V7_AGE_KNOT_X_1-V7_AGE_KNOT_X_0)*(V7_AGE_KNOT_Y_1-V7_AGE_KNOT_Y_0),IF(M238&lt;=V7_AGE_KNOT_X_2,V7_AGE_KNOT_Y_1+(M238-V7_AGE_KNOT_X_1)/(V7_AGE_KNOT_X_2-V7_AGE_KNOT_X_1)*(V7_AGE_KNOT_Y_2-V7_AGE_KNOT_Y_1),IF(M238&lt;=V7_AGE_KNOT_X_3,V7_AGE_KNOT_Y_2+(M238-V7_AGE_KNOT_X_2)/(V7_AGE_KNOT_X_3-V7_AGE_KNOT_X_2)*(V7_AGE_KNOT_Y_3-V7_AGE_KNOT_Y_2),IF(M238&lt;=V7_AGE_KNOT_X_4,V7_AGE_KNOT_Y_3+(M238-V7_AGE_KNOT_X_3)/(V7_AGE_KNOT_X_4-V7_AGE_KNOT_X_3)*(V7_AGE_KNOT_Y_4-V7_AGE_KNOT_Y_3),V7_AGE_KNOT_Y_4+(M238-V7_AGE_KNOT_X_4)/(V7_AGE_KNOT_X_5-V7_AGE_KNOT_X_4)*(V7_AGE_KNOT_Y_5-V7_AGE_KNOT_Y_4)))))))</f>
        <v/>
      </c>
      <c r="X238" s="26">
        <f>V7_RATE_FLOOR+V7_RATE_ASYMPTOTE/(1+EXP(-(V238-V7_RATE_MID)/V7_RATE_SLOPE))</f>
        <v/>
      </c>
      <c r="Y238" s="26">
        <f>MAX(V7_SIZE_LOW,MIN(V7_SIZE_HIGH,V7_SIZE_INTERCEPT+V7_SIZE_SLOPE*(T238-V7_SIZE_LOG_ANCHOR)))</f>
        <v/>
      </c>
      <c r="Z238" s="26">
        <f>IF(ISNUMBER(SEARCH("232",E238)),VLOOKUP("232",V7_PROGRAM_TABLE,2,FALSE),IF(ISNUMBER(SEARCH("538",E238)),VLOOKUP("538",V7_PROGRAM_TABLE,2,FALSE),IF(ISNUMBER(SEARCH("223a7",E238)),VLOOKUP("223a7",V7_PROGRAM_TABLE,2,FALSE),IF(ISNUMBER(SEARCH("223f",E238)),VLOOKUP("223f",V7_PROGRAM_TABLE,2,FALSE),V7_PROGRAM_DEFAULT))))</f>
        <v/>
      </c>
      <c r="AA238" s="26">
        <f>IF(S238=1,1+V7_PURPOSE_NC_BUMP*MAX(0,1-ABS(M238-V7_PURPOSE_PEAK_AGE)/V7_PURPOSE_WIDTH),1)</f>
        <v/>
      </c>
      <c r="AB238" s="26">
        <f>IF(AND(IF(OR(P238="",NOT(ISNUMBER(P238))),0,MAX(0,MIN(24,(INT(VALUE(H238)/100)-INT(P238/100))*12+MOD(VALUE(H238),100)-MOD(P238,100))))&gt;0,IF(OR(P238="",NOT(ISNUMBER(P238))),0,MAX(0,MIN(24,(INT(VALUE(H238)/100)-INT(P238/100))*12+MOD(VALUE(H238),100)-MOD(P238,100))))&lt;=12),1+V7_LOCKOUT_AMP*EXP(-(IF(OR(P238="",NOT(ISNUMBER(P238))),0,MAX(0,MIN(24,(INT(VALUE(H238)/100)-INT(P238/100))*12+MOD(VALUE(H238),100)-MOD(P238,100)))))/V7_LOCKOUT_TAU),1)</f>
        <v/>
      </c>
      <c r="AC238" s="26">
        <f>IF(IF(OR(O238="",NOT(ISNUMBER(O238))),360,MAX(0,MIN(480,(INT(O238/100)-INT(VALUE(H238)/100))*12+MOD(O238,100)-MOD(VALUE(H238),100))))&gt;0,1+V7_MTY_AMP*MAX(0,(V7_MTY_CUTOFF-(IF(OR(O238="",NOT(ISNUMBER(O238))),360,MAX(0,MIN(480,(INT(O238/100)-INT(VALUE(H238)/100))*12+MOD(O238,100)-MOD(VALUE(H238),100))))))/V7_MTY_CUTOFF),1)</f>
        <v/>
      </c>
      <c r="AD238" s="26">
        <f>MAX(V7_BURN_FLOOR,1-V7_BURN_SLOPE*MIN(1,MAX(0,R238)))</f>
        <v/>
      </c>
      <c r="AE238" s="26">
        <f>IF(V7_USE_ISSUER=1,IFERROR(VLOOKUP(Q238,V7_ISSUER_TABLE,3,FALSE),1),1)</f>
        <v/>
      </c>
      <c r="AF238" s="26">
        <f>PRODUCT(W238:AE238)</f>
        <v/>
      </c>
      <c r="AG238" s="27">
        <f>MIN(V7_BASE_SMM*AF238,V7_SMM_CAP)</f>
        <v/>
      </c>
      <c r="AH238" s="28">
        <f>1-(1-AG238)^12</f>
        <v/>
      </c>
      <c r="AI238" s="28">
        <f>IFERROR(LN(W238)/(LN(W238)+LN(X238)+LN(Y238)+LN(Z238)+LN(AA238)+LN(AB238)+LN(AC238)+LN(AD238))*(AH238-V7_BASE_CPR),0)</f>
        <v/>
      </c>
      <c r="AJ238" s="28">
        <f>IFERROR(LN(X238)/(LN(W238)+LN(X238)+LN(Y238)+LN(Z238)+LN(AA238)+LN(AB238)+LN(AC238)+LN(AD238))*(AH238-V7_BASE_CPR),0)</f>
        <v/>
      </c>
      <c r="AK238" s="28">
        <f>IFERROR(LN(Y238)/(LN(W238)+LN(X238)+LN(Y238)+LN(Z238)+LN(AA238)+LN(AB238)+LN(AC238)+LN(AD238))*(AH238-V7_BASE_CPR),0)</f>
        <v/>
      </c>
      <c r="AL238" s="28">
        <f>IFERROR(LN(Z238)/(LN(W238)+LN(X238)+LN(Y238)+LN(Z238)+LN(AA238)+LN(AB238)+LN(AC238)+LN(AD238))*(AH238-V7_BASE_CPR),0)</f>
        <v/>
      </c>
      <c r="AM238" s="28">
        <f>IFERROR(LN(AA238)/(LN(W238)+LN(X238)+LN(Y238)+LN(Z238)+LN(AA238)+LN(AB238)+LN(AC238)+LN(AD238))*(AH238-V7_BASE_CPR),0)</f>
        <v/>
      </c>
      <c r="AN238" s="28">
        <f>IFERROR(LN(AB238)/(LN(W238)+LN(X238)+LN(Y238)+LN(Z238)+LN(AA238)+LN(AB238)+LN(AC238)+LN(AD238))*(AH238-V7_BASE_CPR),0)</f>
        <v/>
      </c>
      <c r="AO238" s="28">
        <f>IFERROR(LN(AC238)/(LN(W238)+LN(X238)+LN(Y238)+LN(Z238)+LN(AA238)+LN(AB238)+LN(AC238)+LN(AD238))*(AH238-V7_BASE_CPR),0)</f>
        <v/>
      </c>
      <c r="AP238" s="28">
        <f>IFERROR(LN(AD238)/(LN(W238)+LN(X238)+LN(Y238)+LN(Z238)+LN(AA238)+LN(AB238)+LN(AC238)+LN(AD238))*(AH238-V7_BASE_CPR),0)</f>
        <v/>
      </c>
      <c r="AQ238" s="29">
        <f>V7_BASE_CPR+SUM(AI238:AP238)-AH238</f>
        <v/>
      </c>
    </row>
    <row r="239">
      <c r="A239" s="2" t="inlineStr">
        <is>
          <t>36189SPJ8_043015882752559</t>
        </is>
      </c>
      <c r="B239" t="inlineStr">
        <is>
          <t>BELLWETHER_PRE21</t>
        </is>
      </c>
      <c r="C239" s="2" t="inlineStr">
        <is>
          <t>36189SPJ8</t>
        </is>
      </c>
      <c r="D239" t="inlineStr">
        <is>
          <t>BELLWETHER ENTERPRISE REAL ESTATE CAPITA</t>
        </is>
      </c>
      <c r="E239" t="inlineStr">
        <is>
          <t>538</t>
        </is>
      </c>
      <c r="F239" t="inlineStr">
        <is>
          <t>538</t>
        </is>
      </c>
      <c r="G239" t="n">
        <v>2015</v>
      </c>
      <c r="H239" t="inlineStr">
        <is>
          <t>202602</t>
        </is>
      </c>
      <c r="I239" s="22" t="n">
        <v>449622.75</v>
      </c>
      <c r="J239" s="23" t="n">
        <v>5.25</v>
      </c>
      <c r="K239" s="24" t="n">
        <v>447</v>
      </c>
      <c r="L239" s="24" t="n">
        <v>0</v>
      </c>
      <c r="M239" t="n">
        <v>125</v>
      </c>
      <c r="N239" s="25" t="n">
        <v>62</v>
      </c>
      <c r="O239" t="n">
        <v>205510</v>
      </c>
      <c r="P239" t="inlineStr"/>
      <c r="Q239" t="inlineStr">
        <is>
          <t>4067</t>
        </is>
      </c>
      <c r="R239" s="26" t="n">
        <v>0.496</v>
      </c>
      <c r="S239" t="n">
        <v>0</v>
      </c>
      <c r="T239" s="23">
        <f>LN(1+I239)</f>
        <v/>
      </c>
      <c r="U239" s="24">
        <f>J239*100-K239</f>
        <v/>
      </c>
      <c r="V239" s="24">
        <f>U239-12.5*(L239+1)</f>
        <v/>
      </c>
      <c r="W239" s="26">
        <f>IF(M239&lt;=V7_AGE_KNOT_X_0,V7_AGE_KNOT_Y_0,IF(M239&gt;=V7_AGE_KNOT_X_5,V7_AGE_KNOT_Y_5,IF(M239&lt;=V7_AGE_KNOT_X_1,V7_AGE_KNOT_Y_0+(M239-V7_AGE_KNOT_X_0)/(V7_AGE_KNOT_X_1-V7_AGE_KNOT_X_0)*(V7_AGE_KNOT_Y_1-V7_AGE_KNOT_Y_0),IF(M239&lt;=V7_AGE_KNOT_X_2,V7_AGE_KNOT_Y_1+(M239-V7_AGE_KNOT_X_1)/(V7_AGE_KNOT_X_2-V7_AGE_KNOT_X_1)*(V7_AGE_KNOT_Y_2-V7_AGE_KNOT_Y_1),IF(M239&lt;=V7_AGE_KNOT_X_3,V7_AGE_KNOT_Y_2+(M239-V7_AGE_KNOT_X_2)/(V7_AGE_KNOT_X_3-V7_AGE_KNOT_X_2)*(V7_AGE_KNOT_Y_3-V7_AGE_KNOT_Y_2),IF(M239&lt;=V7_AGE_KNOT_X_4,V7_AGE_KNOT_Y_3+(M239-V7_AGE_KNOT_X_3)/(V7_AGE_KNOT_X_4-V7_AGE_KNOT_X_3)*(V7_AGE_KNOT_Y_4-V7_AGE_KNOT_Y_3),V7_AGE_KNOT_Y_4+(M239-V7_AGE_KNOT_X_4)/(V7_AGE_KNOT_X_5-V7_AGE_KNOT_X_4)*(V7_AGE_KNOT_Y_5-V7_AGE_KNOT_Y_4)))))))</f>
        <v/>
      </c>
      <c r="X239" s="26">
        <f>V7_RATE_FLOOR+V7_RATE_ASYMPTOTE/(1+EXP(-(V239-V7_RATE_MID)/V7_RATE_SLOPE))</f>
        <v/>
      </c>
      <c r="Y239" s="26">
        <f>MAX(V7_SIZE_LOW,MIN(V7_SIZE_HIGH,V7_SIZE_INTERCEPT+V7_SIZE_SLOPE*(T239-V7_SIZE_LOG_ANCHOR)))</f>
        <v/>
      </c>
      <c r="Z239" s="26">
        <f>IF(ISNUMBER(SEARCH("232",E239)),VLOOKUP("232",V7_PROGRAM_TABLE,2,FALSE),IF(ISNUMBER(SEARCH("538",E239)),VLOOKUP("538",V7_PROGRAM_TABLE,2,FALSE),IF(ISNUMBER(SEARCH("223a7",E239)),VLOOKUP("223a7",V7_PROGRAM_TABLE,2,FALSE),IF(ISNUMBER(SEARCH("223f",E239)),VLOOKUP("223f",V7_PROGRAM_TABLE,2,FALSE),V7_PROGRAM_DEFAULT))))</f>
        <v/>
      </c>
      <c r="AA239" s="26">
        <f>IF(S239=1,1+V7_PURPOSE_NC_BUMP*MAX(0,1-ABS(M239-V7_PURPOSE_PEAK_AGE)/V7_PURPOSE_WIDTH),1)</f>
        <v/>
      </c>
      <c r="AB239" s="26">
        <f>IF(AND(IF(OR(P239="",NOT(ISNUMBER(P239))),0,MAX(0,MIN(24,(INT(VALUE(H239)/100)-INT(P239/100))*12+MOD(VALUE(H239),100)-MOD(P239,100))))&gt;0,IF(OR(P239="",NOT(ISNUMBER(P239))),0,MAX(0,MIN(24,(INT(VALUE(H239)/100)-INT(P239/100))*12+MOD(VALUE(H239),100)-MOD(P239,100))))&lt;=12),1+V7_LOCKOUT_AMP*EXP(-(IF(OR(P239="",NOT(ISNUMBER(P239))),0,MAX(0,MIN(24,(INT(VALUE(H239)/100)-INT(P239/100))*12+MOD(VALUE(H239),100)-MOD(P239,100)))))/V7_LOCKOUT_TAU),1)</f>
        <v/>
      </c>
      <c r="AC239" s="26">
        <f>IF(IF(OR(O239="",NOT(ISNUMBER(O239))),360,MAX(0,MIN(480,(INT(O239/100)-INT(VALUE(H239)/100))*12+MOD(O239,100)-MOD(VALUE(H239),100))))&gt;0,1+V7_MTY_AMP*MAX(0,(V7_MTY_CUTOFF-(IF(OR(O239="",NOT(ISNUMBER(O239))),360,MAX(0,MIN(480,(INT(O239/100)-INT(VALUE(H239)/100))*12+MOD(O239,100)-MOD(VALUE(H239),100))))))/V7_MTY_CUTOFF),1)</f>
        <v/>
      </c>
      <c r="AD239" s="26">
        <f>MAX(V7_BURN_FLOOR,1-V7_BURN_SLOPE*MIN(1,MAX(0,R239)))</f>
        <v/>
      </c>
      <c r="AE239" s="26">
        <f>IF(V7_USE_ISSUER=1,IFERROR(VLOOKUP(Q239,V7_ISSUER_TABLE,3,FALSE),1),1)</f>
        <v/>
      </c>
      <c r="AF239" s="26">
        <f>PRODUCT(W239:AE239)</f>
        <v/>
      </c>
      <c r="AG239" s="27">
        <f>MIN(V7_BASE_SMM*AF239,V7_SMM_CAP)</f>
        <v/>
      </c>
      <c r="AH239" s="28">
        <f>1-(1-AG239)^12</f>
        <v/>
      </c>
      <c r="AI239" s="28">
        <f>IFERROR(LN(W239)/(LN(W239)+LN(X239)+LN(Y239)+LN(Z239)+LN(AA239)+LN(AB239)+LN(AC239)+LN(AD239))*(AH239-V7_BASE_CPR),0)</f>
        <v/>
      </c>
      <c r="AJ239" s="28">
        <f>IFERROR(LN(X239)/(LN(W239)+LN(X239)+LN(Y239)+LN(Z239)+LN(AA239)+LN(AB239)+LN(AC239)+LN(AD239))*(AH239-V7_BASE_CPR),0)</f>
        <v/>
      </c>
      <c r="AK239" s="28">
        <f>IFERROR(LN(Y239)/(LN(W239)+LN(X239)+LN(Y239)+LN(Z239)+LN(AA239)+LN(AB239)+LN(AC239)+LN(AD239))*(AH239-V7_BASE_CPR),0)</f>
        <v/>
      </c>
      <c r="AL239" s="28">
        <f>IFERROR(LN(Z239)/(LN(W239)+LN(X239)+LN(Y239)+LN(Z239)+LN(AA239)+LN(AB239)+LN(AC239)+LN(AD239))*(AH239-V7_BASE_CPR),0)</f>
        <v/>
      </c>
      <c r="AM239" s="28">
        <f>IFERROR(LN(AA239)/(LN(W239)+LN(X239)+LN(Y239)+LN(Z239)+LN(AA239)+LN(AB239)+LN(AC239)+LN(AD239))*(AH239-V7_BASE_CPR),0)</f>
        <v/>
      </c>
      <c r="AN239" s="28">
        <f>IFERROR(LN(AB239)/(LN(W239)+LN(X239)+LN(Y239)+LN(Z239)+LN(AA239)+LN(AB239)+LN(AC239)+LN(AD239))*(AH239-V7_BASE_CPR),0)</f>
        <v/>
      </c>
      <c r="AO239" s="28">
        <f>IFERROR(LN(AC239)/(LN(W239)+LN(X239)+LN(Y239)+LN(Z239)+LN(AA239)+LN(AB239)+LN(AC239)+LN(AD239))*(AH239-V7_BASE_CPR),0)</f>
        <v/>
      </c>
      <c r="AP239" s="28">
        <f>IFERROR(LN(AD239)/(LN(W239)+LN(X239)+LN(Y239)+LN(Z239)+LN(AA239)+LN(AB239)+LN(AC239)+LN(AD239))*(AH239-V7_BASE_CPR),0)</f>
        <v/>
      </c>
      <c r="AQ239" s="29">
        <f>V7_BASE_CPR+SUM(AI239:AP239)-AH239</f>
        <v/>
      </c>
    </row>
    <row r="240">
      <c r="A240" s="2" t="inlineStr">
        <is>
          <t>3617USAC7_000000006135939</t>
        </is>
      </c>
      <c r="B240" t="inlineStr">
        <is>
          <t>BELLWETHER_PRE21</t>
        </is>
      </c>
      <c r="C240" s="2" t="inlineStr">
        <is>
          <t>3617USAC7</t>
        </is>
      </c>
      <c r="D240" t="inlineStr">
        <is>
          <t>BELLWETHER ENTERPRISE REAL ESTATE CAPITA</t>
        </is>
      </c>
      <c r="E240" t="inlineStr">
        <is>
          <t>221d4</t>
        </is>
      </c>
      <c r="F240" t="inlineStr">
        <is>
          <t>NC</t>
        </is>
      </c>
      <c r="G240" t="n">
        <v>2020</v>
      </c>
      <c r="H240" t="inlineStr">
        <is>
          <t>202602</t>
        </is>
      </c>
      <c r="I240" s="22" t="n">
        <v>8918835.859999999</v>
      </c>
      <c r="J240" s="23" t="n">
        <v>2.73</v>
      </c>
      <c r="K240" s="24" t="n">
        <v>447</v>
      </c>
      <c r="L240" s="24" t="n">
        <v>8</v>
      </c>
      <c r="M240" t="n">
        <v>62</v>
      </c>
      <c r="N240" s="25" t="n">
        <v>0</v>
      </c>
      <c r="O240" t="n">
        <v>206206</v>
      </c>
      <c r="P240" t="inlineStr"/>
      <c r="Q240" t="inlineStr">
        <is>
          <t>4067</t>
        </is>
      </c>
      <c r="R240" s="26" t="n">
        <v>0</v>
      </c>
      <c r="S240" t="n">
        <v>1</v>
      </c>
      <c r="T240" s="23">
        <f>LN(1+I240)</f>
        <v/>
      </c>
      <c r="U240" s="24">
        <f>J240*100-K240</f>
        <v/>
      </c>
      <c r="V240" s="24">
        <f>U240-12.5*(L240+1)</f>
        <v/>
      </c>
      <c r="W240" s="26">
        <f>IF(M240&lt;=V7_AGE_KNOT_X_0,V7_AGE_KNOT_Y_0,IF(M240&gt;=V7_AGE_KNOT_X_5,V7_AGE_KNOT_Y_5,IF(M240&lt;=V7_AGE_KNOT_X_1,V7_AGE_KNOT_Y_0+(M240-V7_AGE_KNOT_X_0)/(V7_AGE_KNOT_X_1-V7_AGE_KNOT_X_0)*(V7_AGE_KNOT_Y_1-V7_AGE_KNOT_Y_0),IF(M240&lt;=V7_AGE_KNOT_X_2,V7_AGE_KNOT_Y_1+(M240-V7_AGE_KNOT_X_1)/(V7_AGE_KNOT_X_2-V7_AGE_KNOT_X_1)*(V7_AGE_KNOT_Y_2-V7_AGE_KNOT_Y_1),IF(M240&lt;=V7_AGE_KNOT_X_3,V7_AGE_KNOT_Y_2+(M240-V7_AGE_KNOT_X_2)/(V7_AGE_KNOT_X_3-V7_AGE_KNOT_X_2)*(V7_AGE_KNOT_Y_3-V7_AGE_KNOT_Y_2),IF(M240&lt;=V7_AGE_KNOT_X_4,V7_AGE_KNOT_Y_3+(M240-V7_AGE_KNOT_X_3)/(V7_AGE_KNOT_X_4-V7_AGE_KNOT_X_3)*(V7_AGE_KNOT_Y_4-V7_AGE_KNOT_Y_3),V7_AGE_KNOT_Y_4+(M240-V7_AGE_KNOT_X_4)/(V7_AGE_KNOT_X_5-V7_AGE_KNOT_X_4)*(V7_AGE_KNOT_Y_5-V7_AGE_KNOT_Y_4)))))))</f>
        <v/>
      </c>
      <c r="X240" s="26">
        <f>V7_RATE_FLOOR+V7_RATE_ASYMPTOTE/(1+EXP(-(V240-V7_RATE_MID)/V7_RATE_SLOPE))</f>
        <v/>
      </c>
      <c r="Y240" s="26">
        <f>MAX(V7_SIZE_LOW,MIN(V7_SIZE_HIGH,V7_SIZE_INTERCEPT+V7_SIZE_SLOPE*(T240-V7_SIZE_LOG_ANCHOR)))</f>
        <v/>
      </c>
      <c r="Z240" s="26">
        <f>IF(ISNUMBER(SEARCH("232",E240)),VLOOKUP("232",V7_PROGRAM_TABLE,2,FALSE),IF(ISNUMBER(SEARCH("538",E240)),VLOOKUP("538",V7_PROGRAM_TABLE,2,FALSE),IF(ISNUMBER(SEARCH("223a7",E240)),VLOOKUP("223a7",V7_PROGRAM_TABLE,2,FALSE),IF(ISNUMBER(SEARCH("223f",E240)),VLOOKUP("223f",V7_PROGRAM_TABLE,2,FALSE),V7_PROGRAM_DEFAULT))))</f>
        <v/>
      </c>
      <c r="AA240" s="26">
        <f>IF(S240=1,1+V7_PURPOSE_NC_BUMP*MAX(0,1-ABS(M240-V7_PURPOSE_PEAK_AGE)/V7_PURPOSE_WIDTH),1)</f>
        <v/>
      </c>
      <c r="AB240" s="26">
        <f>IF(AND(IF(OR(P240="",NOT(ISNUMBER(P240))),0,MAX(0,MIN(24,(INT(VALUE(H240)/100)-INT(P240/100))*12+MOD(VALUE(H240),100)-MOD(P240,100))))&gt;0,IF(OR(P240="",NOT(ISNUMBER(P240))),0,MAX(0,MIN(24,(INT(VALUE(H240)/100)-INT(P240/100))*12+MOD(VALUE(H240),100)-MOD(P240,100))))&lt;=12),1+V7_LOCKOUT_AMP*EXP(-(IF(OR(P240="",NOT(ISNUMBER(P240))),0,MAX(0,MIN(24,(INT(VALUE(H240)/100)-INT(P240/100))*12+MOD(VALUE(H240),100)-MOD(P240,100)))))/V7_LOCKOUT_TAU),1)</f>
        <v/>
      </c>
      <c r="AC240" s="26">
        <f>IF(IF(OR(O240="",NOT(ISNUMBER(O240))),360,MAX(0,MIN(480,(INT(O240/100)-INT(VALUE(H240)/100))*12+MOD(O240,100)-MOD(VALUE(H240),100))))&gt;0,1+V7_MTY_AMP*MAX(0,(V7_MTY_CUTOFF-(IF(OR(O240="",NOT(ISNUMBER(O240))),360,MAX(0,MIN(480,(INT(O240/100)-INT(VALUE(H240)/100))*12+MOD(O240,100)-MOD(VALUE(H240),100))))))/V7_MTY_CUTOFF),1)</f>
        <v/>
      </c>
      <c r="AD240" s="26">
        <f>MAX(V7_BURN_FLOOR,1-V7_BURN_SLOPE*MIN(1,MAX(0,R240)))</f>
        <v/>
      </c>
      <c r="AE240" s="26">
        <f>IF(V7_USE_ISSUER=1,IFERROR(VLOOKUP(Q240,V7_ISSUER_TABLE,3,FALSE),1),1)</f>
        <v/>
      </c>
      <c r="AF240" s="26">
        <f>PRODUCT(W240:AE240)</f>
        <v/>
      </c>
      <c r="AG240" s="27">
        <f>MIN(V7_BASE_SMM*AF240,V7_SMM_CAP)</f>
        <v/>
      </c>
      <c r="AH240" s="28">
        <f>1-(1-AG240)^12</f>
        <v/>
      </c>
      <c r="AI240" s="28">
        <f>IFERROR(LN(W240)/(LN(W240)+LN(X240)+LN(Y240)+LN(Z240)+LN(AA240)+LN(AB240)+LN(AC240)+LN(AD240))*(AH240-V7_BASE_CPR),0)</f>
        <v/>
      </c>
      <c r="AJ240" s="28">
        <f>IFERROR(LN(X240)/(LN(W240)+LN(X240)+LN(Y240)+LN(Z240)+LN(AA240)+LN(AB240)+LN(AC240)+LN(AD240))*(AH240-V7_BASE_CPR),0)</f>
        <v/>
      </c>
      <c r="AK240" s="28">
        <f>IFERROR(LN(Y240)/(LN(W240)+LN(X240)+LN(Y240)+LN(Z240)+LN(AA240)+LN(AB240)+LN(AC240)+LN(AD240))*(AH240-V7_BASE_CPR),0)</f>
        <v/>
      </c>
      <c r="AL240" s="28">
        <f>IFERROR(LN(Z240)/(LN(W240)+LN(X240)+LN(Y240)+LN(Z240)+LN(AA240)+LN(AB240)+LN(AC240)+LN(AD240))*(AH240-V7_BASE_CPR),0)</f>
        <v/>
      </c>
      <c r="AM240" s="28">
        <f>IFERROR(LN(AA240)/(LN(W240)+LN(X240)+LN(Y240)+LN(Z240)+LN(AA240)+LN(AB240)+LN(AC240)+LN(AD240))*(AH240-V7_BASE_CPR),0)</f>
        <v/>
      </c>
      <c r="AN240" s="28">
        <f>IFERROR(LN(AB240)/(LN(W240)+LN(X240)+LN(Y240)+LN(Z240)+LN(AA240)+LN(AB240)+LN(AC240)+LN(AD240))*(AH240-V7_BASE_CPR),0)</f>
        <v/>
      </c>
      <c r="AO240" s="28">
        <f>IFERROR(LN(AC240)/(LN(W240)+LN(X240)+LN(Y240)+LN(Z240)+LN(AA240)+LN(AB240)+LN(AC240)+LN(AD240))*(AH240-V7_BASE_CPR),0)</f>
        <v/>
      </c>
      <c r="AP240" s="28">
        <f>IFERROR(LN(AD240)/(LN(W240)+LN(X240)+LN(Y240)+LN(Z240)+LN(AA240)+LN(AB240)+LN(AC240)+LN(AD240))*(AH240-V7_BASE_CPR),0)</f>
        <v/>
      </c>
      <c r="AQ240" s="29">
        <f>V7_BASE_CPR+SUM(AI240:AP240)-AH240</f>
        <v/>
      </c>
    </row>
    <row r="241">
      <c r="A241" s="2" t="inlineStr">
        <is>
          <t>3617NUMG8_000000008611114</t>
        </is>
      </c>
      <c r="B241" t="inlineStr">
        <is>
          <t>BELLWETHER_PRE21</t>
        </is>
      </c>
      <c r="C241" s="2" t="inlineStr">
        <is>
          <t>3617NUMG8</t>
        </is>
      </c>
      <c r="D241" t="inlineStr">
        <is>
          <t>BELLWETHER ENTERPRISE REAL ESTATE CAPITA</t>
        </is>
      </c>
      <c r="E241" t="inlineStr">
        <is>
          <t>223f</t>
        </is>
      </c>
      <c r="F241" t="inlineStr">
        <is>
          <t>RP</t>
        </is>
      </c>
      <c r="G241" t="n">
        <v>2020</v>
      </c>
      <c r="H241" t="inlineStr">
        <is>
          <t>202602</t>
        </is>
      </c>
      <c r="I241" s="22" t="n">
        <v>11462433.94</v>
      </c>
      <c r="J241" s="23" t="n">
        <v>3.32</v>
      </c>
      <c r="K241" s="24" t="n">
        <v>447</v>
      </c>
      <c r="L241" s="24" t="n">
        <v>6</v>
      </c>
      <c r="M241" t="n">
        <v>63</v>
      </c>
      <c r="N241" s="25" t="n">
        <v>14</v>
      </c>
      <c r="O241" t="n">
        <v>205312</v>
      </c>
      <c r="P241" t="inlineStr"/>
      <c r="Q241" t="inlineStr">
        <is>
          <t>4067</t>
        </is>
      </c>
      <c r="R241" s="26" t="n">
        <v>0.2222222222222222</v>
      </c>
      <c r="S241" t="n">
        <v>0</v>
      </c>
      <c r="T241" s="23">
        <f>LN(1+I241)</f>
        <v/>
      </c>
      <c r="U241" s="24">
        <f>J241*100-K241</f>
        <v/>
      </c>
      <c r="V241" s="24">
        <f>U241-12.5*(L241+1)</f>
        <v/>
      </c>
      <c r="W241" s="26">
        <f>IF(M241&lt;=V7_AGE_KNOT_X_0,V7_AGE_KNOT_Y_0,IF(M241&gt;=V7_AGE_KNOT_X_5,V7_AGE_KNOT_Y_5,IF(M241&lt;=V7_AGE_KNOT_X_1,V7_AGE_KNOT_Y_0+(M241-V7_AGE_KNOT_X_0)/(V7_AGE_KNOT_X_1-V7_AGE_KNOT_X_0)*(V7_AGE_KNOT_Y_1-V7_AGE_KNOT_Y_0),IF(M241&lt;=V7_AGE_KNOT_X_2,V7_AGE_KNOT_Y_1+(M241-V7_AGE_KNOT_X_1)/(V7_AGE_KNOT_X_2-V7_AGE_KNOT_X_1)*(V7_AGE_KNOT_Y_2-V7_AGE_KNOT_Y_1),IF(M241&lt;=V7_AGE_KNOT_X_3,V7_AGE_KNOT_Y_2+(M241-V7_AGE_KNOT_X_2)/(V7_AGE_KNOT_X_3-V7_AGE_KNOT_X_2)*(V7_AGE_KNOT_Y_3-V7_AGE_KNOT_Y_2),IF(M241&lt;=V7_AGE_KNOT_X_4,V7_AGE_KNOT_Y_3+(M241-V7_AGE_KNOT_X_3)/(V7_AGE_KNOT_X_4-V7_AGE_KNOT_X_3)*(V7_AGE_KNOT_Y_4-V7_AGE_KNOT_Y_3),V7_AGE_KNOT_Y_4+(M241-V7_AGE_KNOT_X_4)/(V7_AGE_KNOT_X_5-V7_AGE_KNOT_X_4)*(V7_AGE_KNOT_Y_5-V7_AGE_KNOT_Y_4)))))))</f>
        <v/>
      </c>
      <c r="X241" s="26">
        <f>V7_RATE_FLOOR+V7_RATE_ASYMPTOTE/(1+EXP(-(V241-V7_RATE_MID)/V7_RATE_SLOPE))</f>
        <v/>
      </c>
      <c r="Y241" s="26">
        <f>MAX(V7_SIZE_LOW,MIN(V7_SIZE_HIGH,V7_SIZE_INTERCEPT+V7_SIZE_SLOPE*(T241-V7_SIZE_LOG_ANCHOR)))</f>
        <v/>
      </c>
      <c r="Z241" s="26">
        <f>IF(ISNUMBER(SEARCH("232",E241)),VLOOKUP("232",V7_PROGRAM_TABLE,2,FALSE),IF(ISNUMBER(SEARCH("538",E241)),VLOOKUP("538",V7_PROGRAM_TABLE,2,FALSE),IF(ISNUMBER(SEARCH("223a7",E241)),VLOOKUP("223a7",V7_PROGRAM_TABLE,2,FALSE),IF(ISNUMBER(SEARCH("223f",E241)),VLOOKUP("223f",V7_PROGRAM_TABLE,2,FALSE),V7_PROGRAM_DEFAULT))))</f>
        <v/>
      </c>
      <c r="AA241" s="26">
        <f>IF(S241=1,1+V7_PURPOSE_NC_BUMP*MAX(0,1-ABS(M241-V7_PURPOSE_PEAK_AGE)/V7_PURPOSE_WIDTH),1)</f>
        <v/>
      </c>
      <c r="AB241" s="26">
        <f>IF(AND(IF(OR(P241="",NOT(ISNUMBER(P241))),0,MAX(0,MIN(24,(INT(VALUE(H241)/100)-INT(P241/100))*12+MOD(VALUE(H241),100)-MOD(P241,100))))&gt;0,IF(OR(P241="",NOT(ISNUMBER(P241))),0,MAX(0,MIN(24,(INT(VALUE(H241)/100)-INT(P241/100))*12+MOD(VALUE(H241),100)-MOD(P241,100))))&lt;=12),1+V7_LOCKOUT_AMP*EXP(-(IF(OR(P241="",NOT(ISNUMBER(P241))),0,MAX(0,MIN(24,(INT(VALUE(H241)/100)-INT(P241/100))*12+MOD(VALUE(H241),100)-MOD(P241,100)))))/V7_LOCKOUT_TAU),1)</f>
        <v/>
      </c>
      <c r="AC241" s="26">
        <f>IF(IF(OR(O241="",NOT(ISNUMBER(O241))),360,MAX(0,MIN(480,(INT(O241/100)-INT(VALUE(H241)/100))*12+MOD(O241,100)-MOD(VALUE(H241),100))))&gt;0,1+V7_MTY_AMP*MAX(0,(V7_MTY_CUTOFF-(IF(OR(O241="",NOT(ISNUMBER(O241))),360,MAX(0,MIN(480,(INT(O241/100)-INT(VALUE(H241)/100))*12+MOD(O241,100)-MOD(VALUE(H241),100))))))/V7_MTY_CUTOFF),1)</f>
        <v/>
      </c>
      <c r="AD241" s="26">
        <f>MAX(V7_BURN_FLOOR,1-V7_BURN_SLOPE*MIN(1,MAX(0,R241)))</f>
        <v/>
      </c>
      <c r="AE241" s="26">
        <f>IF(V7_USE_ISSUER=1,IFERROR(VLOOKUP(Q241,V7_ISSUER_TABLE,3,FALSE),1),1)</f>
        <v/>
      </c>
      <c r="AF241" s="26">
        <f>PRODUCT(W241:AE241)</f>
        <v/>
      </c>
      <c r="AG241" s="27">
        <f>MIN(V7_BASE_SMM*AF241,V7_SMM_CAP)</f>
        <v/>
      </c>
      <c r="AH241" s="28">
        <f>1-(1-AG241)^12</f>
        <v/>
      </c>
      <c r="AI241" s="28">
        <f>IFERROR(LN(W241)/(LN(W241)+LN(X241)+LN(Y241)+LN(Z241)+LN(AA241)+LN(AB241)+LN(AC241)+LN(AD241))*(AH241-V7_BASE_CPR),0)</f>
        <v/>
      </c>
      <c r="AJ241" s="28">
        <f>IFERROR(LN(X241)/(LN(W241)+LN(X241)+LN(Y241)+LN(Z241)+LN(AA241)+LN(AB241)+LN(AC241)+LN(AD241))*(AH241-V7_BASE_CPR),0)</f>
        <v/>
      </c>
      <c r="AK241" s="28">
        <f>IFERROR(LN(Y241)/(LN(W241)+LN(X241)+LN(Y241)+LN(Z241)+LN(AA241)+LN(AB241)+LN(AC241)+LN(AD241))*(AH241-V7_BASE_CPR),0)</f>
        <v/>
      </c>
      <c r="AL241" s="28">
        <f>IFERROR(LN(Z241)/(LN(W241)+LN(X241)+LN(Y241)+LN(Z241)+LN(AA241)+LN(AB241)+LN(AC241)+LN(AD241))*(AH241-V7_BASE_CPR),0)</f>
        <v/>
      </c>
      <c r="AM241" s="28">
        <f>IFERROR(LN(AA241)/(LN(W241)+LN(X241)+LN(Y241)+LN(Z241)+LN(AA241)+LN(AB241)+LN(AC241)+LN(AD241))*(AH241-V7_BASE_CPR),0)</f>
        <v/>
      </c>
      <c r="AN241" s="28">
        <f>IFERROR(LN(AB241)/(LN(W241)+LN(X241)+LN(Y241)+LN(Z241)+LN(AA241)+LN(AB241)+LN(AC241)+LN(AD241))*(AH241-V7_BASE_CPR),0)</f>
        <v/>
      </c>
      <c r="AO241" s="28">
        <f>IFERROR(LN(AC241)/(LN(W241)+LN(X241)+LN(Y241)+LN(Z241)+LN(AA241)+LN(AB241)+LN(AC241)+LN(AD241))*(AH241-V7_BASE_CPR),0)</f>
        <v/>
      </c>
      <c r="AP241" s="28">
        <f>IFERROR(LN(AD241)/(LN(W241)+LN(X241)+LN(Y241)+LN(Z241)+LN(AA241)+LN(AB241)+LN(AC241)+LN(AD241))*(AH241-V7_BASE_CPR),0)</f>
        <v/>
      </c>
      <c r="AQ241" s="29">
        <f>V7_BASE_CPR+SUM(AI241:AP241)-AH241</f>
        <v/>
      </c>
    </row>
    <row r="242">
      <c r="A242" s="2" t="inlineStr">
        <is>
          <t>3617J2LD3_022059807196924</t>
        </is>
      </c>
      <c r="B242" t="inlineStr">
        <is>
          <t>BELLWETHER_PRE21</t>
        </is>
      </c>
      <c r="C242" s="2" t="inlineStr">
        <is>
          <t>3617J2LD3</t>
        </is>
      </c>
      <c r="D242" t="inlineStr">
        <is>
          <t>BELLWETHER ENTERPRISE REAL ESTATE CAPITA</t>
        </is>
      </c>
      <c r="E242" t="inlineStr">
        <is>
          <t>538</t>
        </is>
      </c>
      <c r="F242" t="inlineStr">
        <is>
          <t>538</t>
        </is>
      </c>
      <c r="G242" t="n">
        <v>2018</v>
      </c>
      <c r="H242" t="inlineStr">
        <is>
          <t>202602</t>
        </is>
      </c>
      <c r="I242" s="22" t="n">
        <v>4774266.46</v>
      </c>
      <c r="J242" s="23" t="n">
        <v>5.18</v>
      </c>
      <c r="K242" s="24" t="n">
        <v>447</v>
      </c>
      <c r="L242" s="24" t="n">
        <v>5</v>
      </c>
      <c r="M242" t="n">
        <v>87</v>
      </c>
      <c r="N242" s="25" t="n">
        <v>13</v>
      </c>
      <c r="O242" t="n">
        <v>205811</v>
      </c>
      <c r="P242" t="inlineStr"/>
      <c r="Q242" t="inlineStr">
        <is>
          <t>4067</t>
        </is>
      </c>
      <c r="R242" s="26" t="n">
        <v>0.1494252873563219</v>
      </c>
      <c r="S242" t="n">
        <v>0</v>
      </c>
      <c r="T242" s="23">
        <f>LN(1+I242)</f>
        <v/>
      </c>
      <c r="U242" s="24">
        <f>J242*100-K242</f>
        <v/>
      </c>
      <c r="V242" s="24">
        <f>U242-12.5*(L242+1)</f>
        <v/>
      </c>
      <c r="W242" s="26">
        <f>IF(M242&lt;=V7_AGE_KNOT_X_0,V7_AGE_KNOT_Y_0,IF(M242&gt;=V7_AGE_KNOT_X_5,V7_AGE_KNOT_Y_5,IF(M242&lt;=V7_AGE_KNOT_X_1,V7_AGE_KNOT_Y_0+(M242-V7_AGE_KNOT_X_0)/(V7_AGE_KNOT_X_1-V7_AGE_KNOT_X_0)*(V7_AGE_KNOT_Y_1-V7_AGE_KNOT_Y_0),IF(M242&lt;=V7_AGE_KNOT_X_2,V7_AGE_KNOT_Y_1+(M242-V7_AGE_KNOT_X_1)/(V7_AGE_KNOT_X_2-V7_AGE_KNOT_X_1)*(V7_AGE_KNOT_Y_2-V7_AGE_KNOT_Y_1),IF(M242&lt;=V7_AGE_KNOT_X_3,V7_AGE_KNOT_Y_2+(M242-V7_AGE_KNOT_X_2)/(V7_AGE_KNOT_X_3-V7_AGE_KNOT_X_2)*(V7_AGE_KNOT_Y_3-V7_AGE_KNOT_Y_2),IF(M242&lt;=V7_AGE_KNOT_X_4,V7_AGE_KNOT_Y_3+(M242-V7_AGE_KNOT_X_3)/(V7_AGE_KNOT_X_4-V7_AGE_KNOT_X_3)*(V7_AGE_KNOT_Y_4-V7_AGE_KNOT_Y_3),V7_AGE_KNOT_Y_4+(M242-V7_AGE_KNOT_X_4)/(V7_AGE_KNOT_X_5-V7_AGE_KNOT_X_4)*(V7_AGE_KNOT_Y_5-V7_AGE_KNOT_Y_4)))))))</f>
        <v/>
      </c>
      <c r="X242" s="26">
        <f>V7_RATE_FLOOR+V7_RATE_ASYMPTOTE/(1+EXP(-(V242-V7_RATE_MID)/V7_RATE_SLOPE))</f>
        <v/>
      </c>
      <c r="Y242" s="26">
        <f>MAX(V7_SIZE_LOW,MIN(V7_SIZE_HIGH,V7_SIZE_INTERCEPT+V7_SIZE_SLOPE*(T242-V7_SIZE_LOG_ANCHOR)))</f>
        <v/>
      </c>
      <c r="Z242" s="26">
        <f>IF(ISNUMBER(SEARCH("232",E242)),VLOOKUP("232",V7_PROGRAM_TABLE,2,FALSE),IF(ISNUMBER(SEARCH("538",E242)),VLOOKUP("538",V7_PROGRAM_TABLE,2,FALSE),IF(ISNUMBER(SEARCH("223a7",E242)),VLOOKUP("223a7",V7_PROGRAM_TABLE,2,FALSE),IF(ISNUMBER(SEARCH("223f",E242)),VLOOKUP("223f",V7_PROGRAM_TABLE,2,FALSE),V7_PROGRAM_DEFAULT))))</f>
        <v/>
      </c>
      <c r="AA242" s="26">
        <f>IF(S242=1,1+V7_PURPOSE_NC_BUMP*MAX(0,1-ABS(M242-V7_PURPOSE_PEAK_AGE)/V7_PURPOSE_WIDTH),1)</f>
        <v/>
      </c>
      <c r="AB242" s="26">
        <f>IF(AND(IF(OR(P242="",NOT(ISNUMBER(P242))),0,MAX(0,MIN(24,(INT(VALUE(H242)/100)-INT(P242/100))*12+MOD(VALUE(H242),100)-MOD(P242,100))))&gt;0,IF(OR(P242="",NOT(ISNUMBER(P242))),0,MAX(0,MIN(24,(INT(VALUE(H242)/100)-INT(P242/100))*12+MOD(VALUE(H242),100)-MOD(P242,100))))&lt;=12),1+V7_LOCKOUT_AMP*EXP(-(IF(OR(P242="",NOT(ISNUMBER(P242))),0,MAX(0,MIN(24,(INT(VALUE(H242)/100)-INT(P242/100))*12+MOD(VALUE(H242),100)-MOD(P242,100)))))/V7_LOCKOUT_TAU),1)</f>
        <v/>
      </c>
      <c r="AC242" s="26">
        <f>IF(IF(OR(O242="",NOT(ISNUMBER(O242))),360,MAX(0,MIN(480,(INT(O242/100)-INT(VALUE(H242)/100))*12+MOD(O242,100)-MOD(VALUE(H242),100))))&gt;0,1+V7_MTY_AMP*MAX(0,(V7_MTY_CUTOFF-(IF(OR(O242="",NOT(ISNUMBER(O242))),360,MAX(0,MIN(480,(INT(O242/100)-INT(VALUE(H242)/100))*12+MOD(O242,100)-MOD(VALUE(H242),100))))))/V7_MTY_CUTOFF),1)</f>
        <v/>
      </c>
      <c r="AD242" s="26">
        <f>MAX(V7_BURN_FLOOR,1-V7_BURN_SLOPE*MIN(1,MAX(0,R242)))</f>
        <v/>
      </c>
      <c r="AE242" s="26">
        <f>IF(V7_USE_ISSUER=1,IFERROR(VLOOKUP(Q242,V7_ISSUER_TABLE,3,FALSE),1),1)</f>
        <v/>
      </c>
      <c r="AF242" s="26">
        <f>PRODUCT(W242:AE242)</f>
        <v/>
      </c>
      <c r="AG242" s="27">
        <f>MIN(V7_BASE_SMM*AF242,V7_SMM_CAP)</f>
        <v/>
      </c>
      <c r="AH242" s="28">
        <f>1-(1-AG242)^12</f>
        <v/>
      </c>
      <c r="AI242" s="28">
        <f>IFERROR(LN(W242)/(LN(W242)+LN(X242)+LN(Y242)+LN(Z242)+LN(AA242)+LN(AB242)+LN(AC242)+LN(AD242))*(AH242-V7_BASE_CPR),0)</f>
        <v/>
      </c>
      <c r="AJ242" s="28">
        <f>IFERROR(LN(X242)/(LN(W242)+LN(X242)+LN(Y242)+LN(Z242)+LN(AA242)+LN(AB242)+LN(AC242)+LN(AD242))*(AH242-V7_BASE_CPR),0)</f>
        <v/>
      </c>
      <c r="AK242" s="28">
        <f>IFERROR(LN(Y242)/(LN(W242)+LN(X242)+LN(Y242)+LN(Z242)+LN(AA242)+LN(AB242)+LN(AC242)+LN(AD242))*(AH242-V7_BASE_CPR),0)</f>
        <v/>
      </c>
      <c r="AL242" s="28">
        <f>IFERROR(LN(Z242)/(LN(W242)+LN(X242)+LN(Y242)+LN(Z242)+LN(AA242)+LN(AB242)+LN(AC242)+LN(AD242))*(AH242-V7_BASE_CPR),0)</f>
        <v/>
      </c>
      <c r="AM242" s="28">
        <f>IFERROR(LN(AA242)/(LN(W242)+LN(X242)+LN(Y242)+LN(Z242)+LN(AA242)+LN(AB242)+LN(AC242)+LN(AD242))*(AH242-V7_BASE_CPR),0)</f>
        <v/>
      </c>
      <c r="AN242" s="28">
        <f>IFERROR(LN(AB242)/(LN(W242)+LN(X242)+LN(Y242)+LN(Z242)+LN(AA242)+LN(AB242)+LN(AC242)+LN(AD242))*(AH242-V7_BASE_CPR),0)</f>
        <v/>
      </c>
      <c r="AO242" s="28">
        <f>IFERROR(LN(AC242)/(LN(W242)+LN(X242)+LN(Y242)+LN(Z242)+LN(AA242)+LN(AB242)+LN(AC242)+LN(AD242))*(AH242-V7_BASE_CPR),0)</f>
        <v/>
      </c>
      <c r="AP242" s="28">
        <f>IFERROR(LN(AD242)/(LN(W242)+LN(X242)+LN(Y242)+LN(Z242)+LN(AA242)+LN(AB242)+LN(AC242)+LN(AD242))*(AH242-V7_BASE_CPR),0)</f>
        <v/>
      </c>
      <c r="AQ242" s="29">
        <f>V7_BASE_CPR+SUM(AI242:AP242)-AH242</f>
        <v/>
      </c>
    </row>
    <row r="243">
      <c r="A243" s="2" t="inlineStr">
        <is>
          <t>3617N3LE4_480780170490734</t>
        </is>
      </c>
      <c r="B243" t="inlineStr">
        <is>
          <t>BELLWETHER_PRE21</t>
        </is>
      </c>
      <c r="C243" s="2" t="inlineStr">
        <is>
          <t>3617N3LE4</t>
        </is>
      </c>
      <c r="D243" t="inlineStr">
        <is>
          <t>BELLWETHER ENTERPRISE REAL ESTATE CAPITA</t>
        </is>
      </c>
      <c r="E243" t="inlineStr">
        <is>
          <t>538</t>
        </is>
      </c>
      <c r="F243" t="inlineStr">
        <is>
          <t>538</t>
        </is>
      </c>
      <c r="G243" t="n">
        <v>2020</v>
      </c>
      <c r="H243" t="inlineStr">
        <is>
          <t>202602</t>
        </is>
      </c>
      <c r="I243" s="22" t="n">
        <v>2710215.67</v>
      </c>
      <c r="J243" s="23" t="n">
        <v>3.78</v>
      </c>
      <c r="K243" s="24" t="n">
        <v>447</v>
      </c>
      <c r="L243" s="24" t="n">
        <v>6</v>
      </c>
      <c r="M243" t="n">
        <v>67</v>
      </c>
      <c r="N243" s="25" t="n">
        <v>24</v>
      </c>
      <c r="O243" t="n">
        <v>206008</v>
      </c>
      <c r="P243" t="n">
        <v>202108</v>
      </c>
      <c r="Q243" t="inlineStr">
        <is>
          <t>4067</t>
        </is>
      </c>
      <c r="R243" s="26" t="n">
        <v>0.3582089552238806</v>
      </c>
      <c r="S243" t="n">
        <v>0</v>
      </c>
      <c r="T243" s="23">
        <f>LN(1+I243)</f>
        <v/>
      </c>
      <c r="U243" s="24">
        <f>J243*100-K243</f>
        <v/>
      </c>
      <c r="V243" s="24">
        <f>U243-12.5*(L243+1)</f>
        <v/>
      </c>
      <c r="W243" s="26">
        <f>IF(M243&lt;=V7_AGE_KNOT_X_0,V7_AGE_KNOT_Y_0,IF(M243&gt;=V7_AGE_KNOT_X_5,V7_AGE_KNOT_Y_5,IF(M243&lt;=V7_AGE_KNOT_X_1,V7_AGE_KNOT_Y_0+(M243-V7_AGE_KNOT_X_0)/(V7_AGE_KNOT_X_1-V7_AGE_KNOT_X_0)*(V7_AGE_KNOT_Y_1-V7_AGE_KNOT_Y_0),IF(M243&lt;=V7_AGE_KNOT_X_2,V7_AGE_KNOT_Y_1+(M243-V7_AGE_KNOT_X_1)/(V7_AGE_KNOT_X_2-V7_AGE_KNOT_X_1)*(V7_AGE_KNOT_Y_2-V7_AGE_KNOT_Y_1),IF(M243&lt;=V7_AGE_KNOT_X_3,V7_AGE_KNOT_Y_2+(M243-V7_AGE_KNOT_X_2)/(V7_AGE_KNOT_X_3-V7_AGE_KNOT_X_2)*(V7_AGE_KNOT_Y_3-V7_AGE_KNOT_Y_2),IF(M243&lt;=V7_AGE_KNOT_X_4,V7_AGE_KNOT_Y_3+(M243-V7_AGE_KNOT_X_3)/(V7_AGE_KNOT_X_4-V7_AGE_KNOT_X_3)*(V7_AGE_KNOT_Y_4-V7_AGE_KNOT_Y_3),V7_AGE_KNOT_Y_4+(M243-V7_AGE_KNOT_X_4)/(V7_AGE_KNOT_X_5-V7_AGE_KNOT_X_4)*(V7_AGE_KNOT_Y_5-V7_AGE_KNOT_Y_4)))))))</f>
        <v/>
      </c>
      <c r="X243" s="26">
        <f>V7_RATE_FLOOR+V7_RATE_ASYMPTOTE/(1+EXP(-(V243-V7_RATE_MID)/V7_RATE_SLOPE))</f>
        <v/>
      </c>
      <c r="Y243" s="26">
        <f>MAX(V7_SIZE_LOW,MIN(V7_SIZE_HIGH,V7_SIZE_INTERCEPT+V7_SIZE_SLOPE*(T243-V7_SIZE_LOG_ANCHOR)))</f>
        <v/>
      </c>
      <c r="Z243" s="26">
        <f>IF(ISNUMBER(SEARCH("232",E243)),VLOOKUP("232",V7_PROGRAM_TABLE,2,FALSE),IF(ISNUMBER(SEARCH("538",E243)),VLOOKUP("538",V7_PROGRAM_TABLE,2,FALSE),IF(ISNUMBER(SEARCH("223a7",E243)),VLOOKUP("223a7",V7_PROGRAM_TABLE,2,FALSE),IF(ISNUMBER(SEARCH("223f",E243)),VLOOKUP("223f",V7_PROGRAM_TABLE,2,FALSE),V7_PROGRAM_DEFAULT))))</f>
        <v/>
      </c>
      <c r="AA243" s="26">
        <f>IF(S243=1,1+V7_PURPOSE_NC_BUMP*MAX(0,1-ABS(M243-V7_PURPOSE_PEAK_AGE)/V7_PURPOSE_WIDTH),1)</f>
        <v/>
      </c>
      <c r="AB243" s="26">
        <f>IF(AND(IF(OR(P243="",NOT(ISNUMBER(P243))),0,MAX(0,MIN(24,(INT(VALUE(H243)/100)-INT(P243/100))*12+MOD(VALUE(H243),100)-MOD(P243,100))))&gt;0,IF(OR(P243="",NOT(ISNUMBER(P243))),0,MAX(0,MIN(24,(INT(VALUE(H243)/100)-INT(P243/100))*12+MOD(VALUE(H243),100)-MOD(P243,100))))&lt;=12),1+V7_LOCKOUT_AMP*EXP(-(IF(OR(P243="",NOT(ISNUMBER(P243))),0,MAX(0,MIN(24,(INT(VALUE(H243)/100)-INT(P243/100))*12+MOD(VALUE(H243),100)-MOD(P243,100)))))/V7_LOCKOUT_TAU),1)</f>
        <v/>
      </c>
      <c r="AC243" s="26">
        <f>IF(IF(OR(O243="",NOT(ISNUMBER(O243))),360,MAX(0,MIN(480,(INT(O243/100)-INT(VALUE(H243)/100))*12+MOD(O243,100)-MOD(VALUE(H243),100))))&gt;0,1+V7_MTY_AMP*MAX(0,(V7_MTY_CUTOFF-(IF(OR(O243="",NOT(ISNUMBER(O243))),360,MAX(0,MIN(480,(INT(O243/100)-INT(VALUE(H243)/100))*12+MOD(O243,100)-MOD(VALUE(H243),100))))))/V7_MTY_CUTOFF),1)</f>
        <v/>
      </c>
      <c r="AD243" s="26">
        <f>MAX(V7_BURN_FLOOR,1-V7_BURN_SLOPE*MIN(1,MAX(0,R243)))</f>
        <v/>
      </c>
      <c r="AE243" s="26">
        <f>IF(V7_USE_ISSUER=1,IFERROR(VLOOKUP(Q243,V7_ISSUER_TABLE,3,FALSE),1),1)</f>
        <v/>
      </c>
      <c r="AF243" s="26">
        <f>PRODUCT(W243:AE243)</f>
        <v/>
      </c>
      <c r="AG243" s="27">
        <f>MIN(V7_BASE_SMM*AF243,V7_SMM_CAP)</f>
        <v/>
      </c>
      <c r="AH243" s="28">
        <f>1-(1-AG243)^12</f>
        <v/>
      </c>
      <c r="AI243" s="28">
        <f>IFERROR(LN(W243)/(LN(W243)+LN(X243)+LN(Y243)+LN(Z243)+LN(AA243)+LN(AB243)+LN(AC243)+LN(AD243))*(AH243-V7_BASE_CPR),0)</f>
        <v/>
      </c>
      <c r="AJ243" s="28">
        <f>IFERROR(LN(X243)/(LN(W243)+LN(X243)+LN(Y243)+LN(Z243)+LN(AA243)+LN(AB243)+LN(AC243)+LN(AD243))*(AH243-V7_BASE_CPR),0)</f>
        <v/>
      </c>
      <c r="AK243" s="28">
        <f>IFERROR(LN(Y243)/(LN(W243)+LN(X243)+LN(Y243)+LN(Z243)+LN(AA243)+LN(AB243)+LN(AC243)+LN(AD243))*(AH243-V7_BASE_CPR),0)</f>
        <v/>
      </c>
      <c r="AL243" s="28">
        <f>IFERROR(LN(Z243)/(LN(W243)+LN(X243)+LN(Y243)+LN(Z243)+LN(AA243)+LN(AB243)+LN(AC243)+LN(AD243))*(AH243-V7_BASE_CPR),0)</f>
        <v/>
      </c>
      <c r="AM243" s="28">
        <f>IFERROR(LN(AA243)/(LN(W243)+LN(X243)+LN(Y243)+LN(Z243)+LN(AA243)+LN(AB243)+LN(AC243)+LN(AD243))*(AH243-V7_BASE_CPR),0)</f>
        <v/>
      </c>
      <c r="AN243" s="28">
        <f>IFERROR(LN(AB243)/(LN(W243)+LN(X243)+LN(Y243)+LN(Z243)+LN(AA243)+LN(AB243)+LN(AC243)+LN(AD243))*(AH243-V7_BASE_CPR),0)</f>
        <v/>
      </c>
      <c r="AO243" s="28">
        <f>IFERROR(LN(AC243)/(LN(W243)+LN(X243)+LN(Y243)+LN(Z243)+LN(AA243)+LN(AB243)+LN(AC243)+LN(AD243))*(AH243-V7_BASE_CPR),0)</f>
        <v/>
      </c>
      <c r="AP243" s="28">
        <f>IFERROR(LN(AD243)/(LN(W243)+LN(X243)+LN(Y243)+LN(Z243)+LN(AA243)+LN(AB243)+LN(AC243)+LN(AD243))*(AH243-V7_BASE_CPR),0)</f>
        <v/>
      </c>
      <c r="AQ243" s="29">
        <f>V7_BASE_CPR+SUM(AI243:AP243)-AH243</f>
        <v/>
      </c>
    </row>
    <row r="244">
      <c r="A244" s="2" t="inlineStr">
        <is>
          <t>3617FTUM8_460400851006696</t>
        </is>
      </c>
      <c r="B244" t="inlineStr">
        <is>
          <t>BELLWETHER_POST21</t>
        </is>
      </c>
      <c r="C244" s="2" t="inlineStr">
        <is>
          <t>3617FTUM8</t>
        </is>
      </c>
      <c r="D244" t="inlineStr">
        <is>
          <t>BELLWETHER ENTERPRISE REAL ESTATE CAPITA</t>
        </is>
      </c>
      <c r="E244" t="inlineStr">
        <is>
          <t>538</t>
        </is>
      </c>
      <c r="F244" t="inlineStr">
        <is>
          <t>538</t>
        </is>
      </c>
      <c r="G244" t="n">
        <v>2022</v>
      </c>
      <c r="H244" t="inlineStr">
        <is>
          <t>202602</t>
        </is>
      </c>
      <c r="I244" s="22" t="n">
        <v>1236900.2</v>
      </c>
      <c r="J244" s="23" t="n">
        <v>3.89</v>
      </c>
      <c r="K244" s="24" t="n">
        <v>447</v>
      </c>
      <c r="L244" s="24" t="n">
        <v>8</v>
      </c>
      <c r="M244" t="n">
        <v>38</v>
      </c>
      <c r="N244" s="25" t="n">
        <v>0</v>
      </c>
      <c r="O244" t="n">
        <v>205301</v>
      </c>
      <c r="P244" t="inlineStr"/>
      <c r="Q244" t="inlineStr">
        <is>
          <t>4067</t>
        </is>
      </c>
      <c r="R244" s="26" t="n">
        <v>0</v>
      </c>
      <c r="S244" t="n">
        <v>0</v>
      </c>
      <c r="T244" s="23">
        <f>LN(1+I244)</f>
        <v/>
      </c>
      <c r="U244" s="24">
        <f>J244*100-K244</f>
        <v/>
      </c>
      <c r="V244" s="24">
        <f>U244-12.5*(L244+1)</f>
        <v/>
      </c>
      <c r="W244" s="26">
        <f>IF(M244&lt;=V7_AGE_KNOT_X_0,V7_AGE_KNOT_Y_0,IF(M244&gt;=V7_AGE_KNOT_X_5,V7_AGE_KNOT_Y_5,IF(M244&lt;=V7_AGE_KNOT_X_1,V7_AGE_KNOT_Y_0+(M244-V7_AGE_KNOT_X_0)/(V7_AGE_KNOT_X_1-V7_AGE_KNOT_X_0)*(V7_AGE_KNOT_Y_1-V7_AGE_KNOT_Y_0),IF(M244&lt;=V7_AGE_KNOT_X_2,V7_AGE_KNOT_Y_1+(M244-V7_AGE_KNOT_X_1)/(V7_AGE_KNOT_X_2-V7_AGE_KNOT_X_1)*(V7_AGE_KNOT_Y_2-V7_AGE_KNOT_Y_1),IF(M244&lt;=V7_AGE_KNOT_X_3,V7_AGE_KNOT_Y_2+(M244-V7_AGE_KNOT_X_2)/(V7_AGE_KNOT_X_3-V7_AGE_KNOT_X_2)*(V7_AGE_KNOT_Y_3-V7_AGE_KNOT_Y_2),IF(M244&lt;=V7_AGE_KNOT_X_4,V7_AGE_KNOT_Y_3+(M244-V7_AGE_KNOT_X_3)/(V7_AGE_KNOT_X_4-V7_AGE_KNOT_X_3)*(V7_AGE_KNOT_Y_4-V7_AGE_KNOT_Y_3),V7_AGE_KNOT_Y_4+(M244-V7_AGE_KNOT_X_4)/(V7_AGE_KNOT_X_5-V7_AGE_KNOT_X_4)*(V7_AGE_KNOT_Y_5-V7_AGE_KNOT_Y_4)))))))</f>
        <v/>
      </c>
      <c r="X244" s="26">
        <f>V7_RATE_FLOOR+V7_RATE_ASYMPTOTE/(1+EXP(-(V244-V7_RATE_MID)/V7_RATE_SLOPE))</f>
        <v/>
      </c>
      <c r="Y244" s="26">
        <f>MAX(V7_SIZE_LOW,MIN(V7_SIZE_HIGH,V7_SIZE_INTERCEPT+V7_SIZE_SLOPE*(T244-V7_SIZE_LOG_ANCHOR)))</f>
        <v/>
      </c>
      <c r="Z244" s="26">
        <f>IF(ISNUMBER(SEARCH("232",E244)),VLOOKUP("232",V7_PROGRAM_TABLE,2,FALSE),IF(ISNUMBER(SEARCH("538",E244)),VLOOKUP("538",V7_PROGRAM_TABLE,2,FALSE),IF(ISNUMBER(SEARCH("223a7",E244)),VLOOKUP("223a7",V7_PROGRAM_TABLE,2,FALSE),IF(ISNUMBER(SEARCH("223f",E244)),VLOOKUP("223f",V7_PROGRAM_TABLE,2,FALSE),V7_PROGRAM_DEFAULT))))</f>
        <v/>
      </c>
      <c r="AA244" s="26">
        <f>IF(S244=1,1+V7_PURPOSE_NC_BUMP*MAX(0,1-ABS(M244-V7_PURPOSE_PEAK_AGE)/V7_PURPOSE_WIDTH),1)</f>
        <v/>
      </c>
      <c r="AB244" s="26">
        <f>IF(AND(IF(OR(P244="",NOT(ISNUMBER(P244))),0,MAX(0,MIN(24,(INT(VALUE(H244)/100)-INT(P244/100))*12+MOD(VALUE(H244),100)-MOD(P244,100))))&gt;0,IF(OR(P244="",NOT(ISNUMBER(P244))),0,MAX(0,MIN(24,(INT(VALUE(H244)/100)-INT(P244/100))*12+MOD(VALUE(H244),100)-MOD(P244,100))))&lt;=12),1+V7_LOCKOUT_AMP*EXP(-(IF(OR(P244="",NOT(ISNUMBER(P244))),0,MAX(0,MIN(24,(INT(VALUE(H244)/100)-INT(P244/100))*12+MOD(VALUE(H244),100)-MOD(P244,100)))))/V7_LOCKOUT_TAU),1)</f>
        <v/>
      </c>
      <c r="AC244" s="26">
        <f>IF(IF(OR(O244="",NOT(ISNUMBER(O244))),360,MAX(0,MIN(480,(INT(O244/100)-INT(VALUE(H244)/100))*12+MOD(O244,100)-MOD(VALUE(H244),100))))&gt;0,1+V7_MTY_AMP*MAX(0,(V7_MTY_CUTOFF-(IF(OR(O244="",NOT(ISNUMBER(O244))),360,MAX(0,MIN(480,(INT(O244/100)-INT(VALUE(H244)/100))*12+MOD(O244,100)-MOD(VALUE(H244),100))))))/V7_MTY_CUTOFF),1)</f>
        <v/>
      </c>
      <c r="AD244" s="26">
        <f>MAX(V7_BURN_FLOOR,1-V7_BURN_SLOPE*MIN(1,MAX(0,R244)))</f>
        <v/>
      </c>
      <c r="AE244" s="26">
        <f>IF(V7_USE_ISSUER=1,IFERROR(VLOOKUP(Q244,V7_ISSUER_TABLE,3,FALSE),1),1)</f>
        <v/>
      </c>
      <c r="AF244" s="26">
        <f>PRODUCT(W244:AE244)</f>
        <v/>
      </c>
      <c r="AG244" s="27">
        <f>MIN(V7_BASE_SMM*AF244,V7_SMM_CAP)</f>
        <v/>
      </c>
      <c r="AH244" s="28">
        <f>1-(1-AG244)^12</f>
        <v/>
      </c>
      <c r="AI244" s="28">
        <f>IFERROR(LN(W244)/(LN(W244)+LN(X244)+LN(Y244)+LN(Z244)+LN(AA244)+LN(AB244)+LN(AC244)+LN(AD244))*(AH244-V7_BASE_CPR),0)</f>
        <v/>
      </c>
      <c r="AJ244" s="28">
        <f>IFERROR(LN(X244)/(LN(W244)+LN(X244)+LN(Y244)+LN(Z244)+LN(AA244)+LN(AB244)+LN(AC244)+LN(AD244))*(AH244-V7_BASE_CPR),0)</f>
        <v/>
      </c>
      <c r="AK244" s="28">
        <f>IFERROR(LN(Y244)/(LN(W244)+LN(X244)+LN(Y244)+LN(Z244)+LN(AA244)+LN(AB244)+LN(AC244)+LN(AD244))*(AH244-V7_BASE_CPR),0)</f>
        <v/>
      </c>
      <c r="AL244" s="28">
        <f>IFERROR(LN(Z244)/(LN(W244)+LN(X244)+LN(Y244)+LN(Z244)+LN(AA244)+LN(AB244)+LN(AC244)+LN(AD244))*(AH244-V7_BASE_CPR),0)</f>
        <v/>
      </c>
      <c r="AM244" s="28">
        <f>IFERROR(LN(AA244)/(LN(W244)+LN(X244)+LN(Y244)+LN(Z244)+LN(AA244)+LN(AB244)+LN(AC244)+LN(AD244))*(AH244-V7_BASE_CPR),0)</f>
        <v/>
      </c>
      <c r="AN244" s="28">
        <f>IFERROR(LN(AB244)/(LN(W244)+LN(X244)+LN(Y244)+LN(Z244)+LN(AA244)+LN(AB244)+LN(AC244)+LN(AD244))*(AH244-V7_BASE_CPR),0)</f>
        <v/>
      </c>
      <c r="AO244" s="28">
        <f>IFERROR(LN(AC244)/(LN(W244)+LN(X244)+LN(Y244)+LN(Z244)+LN(AA244)+LN(AB244)+LN(AC244)+LN(AD244))*(AH244-V7_BASE_CPR),0)</f>
        <v/>
      </c>
      <c r="AP244" s="28">
        <f>IFERROR(LN(AD244)/(LN(W244)+LN(X244)+LN(Y244)+LN(Z244)+LN(AA244)+LN(AB244)+LN(AC244)+LN(AD244))*(AH244-V7_BASE_CPR),0)</f>
        <v/>
      </c>
      <c r="AQ244" s="29">
        <f>V7_BASE_CPR+SUM(AI244:AP244)-AH244</f>
        <v/>
      </c>
    </row>
    <row r="245">
      <c r="A245" s="2" t="inlineStr">
        <is>
          <t>36184HR55_000000006411084</t>
        </is>
      </c>
      <c r="B245" t="inlineStr">
        <is>
          <t>PGIM_PRE21</t>
        </is>
      </c>
      <c r="C245" s="2" t="inlineStr">
        <is>
          <t>36184HR55</t>
        </is>
      </c>
      <c r="D245" t="inlineStr">
        <is>
          <t>PGIM REAL ESTATE AGENCY FINANCING, LLC.</t>
        </is>
      </c>
      <c r="E245" t="inlineStr">
        <is>
          <t>223f</t>
        </is>
      </c>
      <c r="F245" t="inlineStr">
        <is>
          <t>RP</t>
        </is>
      </c>
      <c r="G245" t="n">
        <v>2009</v>
      </c>
      <c r="H245" t="inlineStr">
        <is>
          <t>202602</t>
        </is>
      </c>
      <c r="I245" s="22" t="n">
        <v>2217499.69</v>
      </c>
      <c r="J245" s="23" t="n">
        <v>3.77</v>
      </c>
      <c r="K245" s="24" t="n">
        <v>447</v>
      </c>
      <c r="L245" s="24" t="n">
        <v>0</v>
      </c>
      <c r="M245" t="n">
        <v>205</v>
      </c>
      <c r="N245" s="25" t="n">
        <v>33</v>
      </c>
      <c r="O245" t="n">
        <v>204402</v>
      </c>
      <c r="P245" t="inlineStr"/>
      <c r="Q245" t="inlineStr">
        <is>
          <t>3153</t>
        </is>
      </c>
      <c r="R245" s="26" t="n">
        <v>0.1609756097560976</v>
      </c>
      <c r="S245" t="n">
        <v>0</v>
      </c>
      <c r="T245" s="23">
        <f>LN(1+I245)</f>
        <v/>
      </c>
      <c r="U245" s="24">
        <f>J245*100-K245</f>
        <v/>
      </c>
      <c r="V245" s="24">
        <f>U245-12.5*(L245+1)</f>
        <v/>
      </c>
      <c r="W245" s="26">
        <f>IF(M245&lt;=V7_AGE_KNOT_X_0,V7_AGE_KNOT_Y_0,IF(M245&gt;=V7_AGE_KNOT_X_5,V7_AGE_KNOT_Y_5,IF(M245&lt;=V7_AGE_KNOT_X_1,V7_AGE_KNOT_Y_0+(M245-V7_AGE_KNOT_X_0)/(V7_AGE_KNOT_X_1-V7_AGE_KNOT_X_0)*(V7_AGE_KNOT_Y_1-V7_AGE_KNOT_Y_0),IF(M245&lt;=V7_AGE_KNOT_X_2,V7_AGE_KNOT_Y_1+(M245-V7_AGE_KNOT_X_1)/(V7_AGE_KNOT_X_2-V7_AGE_KNOT_X_1)*(V7_AGE_KNOT_Y_2-V7_AGE_KNOT_Y_1),IF(M245&lt;=V7_AGE_KNOT_X_3,V7_AGE_KNOT_Y_2+(M245-V7_AGE_KNOT_X_2)/(V7_AGE_KNOT_X_3-V7_AGE_KNOT_X_2)*(V7_AGE_KNOT_Y_3-V7_AGE_KNOT_Y_2),IF(M245&lt;=V7_AGE_KNOT_X_4,V7_AGE_KNOT_Y_3+(M245-V7_AGE_KNOT_X_3)/(V7_AGE_KNOT_X_4-V7_AGE_KNOT_X_3)*(V7_AGE_KNOT_Y_4-V7_AGE_KNOT_Y_3),V7_AGE_KNOT_Y_4+(M245-V7_AGE_KNOT_X_4)/(V7_AGE_KNOT_X_5-V7_AGE_KNOT_X_4)*(V7_AGE_KNOT_Y_5-V7_AGE_KNOT_Y_4)))))))</f>
        <v/>
      </c>
      <c r="X245" s="26">
        <f>V7_RATE_FLOOR+V7_RATE_ASYMPTOTE/(1+EXP(-(V245-V7_RATE_MID)/V7_RATE_SLOPE))</f>
        <v/>
      </c>
      <c r="Y245" s="26">
        <f>MAX(V7_SIZE_LOW,MIN(V7_SIZE_HIGH,V7_SIZE_INTERCEPT+V7_SIZE_SLOPE*(T245-V7_SIZE_LOG_ANCHOR)))</f>
        <v/>
      </c>
      <c r="Z245" s="26">
        <f>IF(ISNUMBER(SEARCH("232",E245)),VLOOKUP("232",V7_PROGRAM_TABLE,2,FALSE),IF(ISNUMBER(SEARCH("538",E245)),VLOOKUP("538",V7_PROGRAM_TABLE,2,FALSE),IF(ISNUMBER(SEARCH("223a7",E245)),VLOOKUP("223a7",V7_PROGRAM_TABLE,2,FALSE),IF(ISNUMBER(SEARCH("223f",E245)),VLOOKUP("223f",V7_PROGRAM_TABLE,2,FALSE),V7_PROGRAM_DEFAULT))))</f>
        <v/>
      </c>
      <c r="AA245" s="26">
        <f>IF(S245=1,1+V7_PURPOSE_NC_BUMP*MAX(0,1-ABS(M245-V7_PURPOSE_PEAK_AGE)/V7_PURPOSE_WIDTH),1)</f>
        <v/>
      </c>
      <c r="AB245" s="26">
        <f>IF(AND(IF(OR(P245="",NOT(ISNUMBER(P245))),0,MAX(0,MIN(24,(INT(VALUE(H245)/100)-INT(P245/100))*12+MOD(VALUE(H245),100)-MOD(P245,100))))&gt;0,IF(OR(P245="",NOT(ISNUMBER(P245))),0,MAX(0,MIN(24,(INT(VALUE(H245)/100)-INT(P245/100))*12+MOD(VALUE(H245),100)-MOD(P245,100))))&lt;=12),1+V7_LOCKOUT_AMP*EXP(-(IF(OR(P245="",NOT(ISNUMBER(P245))),0,MAX(0,MIN(24,(INT(VALUE(H245)/100)-INT(P245/100))*12+MOD(VALUE(H245),100)-MOD(P245,100)))))/V7_LOCKOUT_TAU),1)</f>
        <v/>
      </c>
      <c r="AC245" s="26">
        <f>IF(IF(OR(O245="",NOT(ISNUMBER(O245))),360,MAX(0,MIN(480,(INT(O245/100)-INT(VALUE(H245)/100))*12+MOD(O245,100)-MOD(VALUE(H245),100))))&gt;0,1+V7_MTY_AMP*MAX(0,(V7_MTY_CUTOFF-(IF(OR(O245="",NOT(ISNUMBER(O245))),360,MAX(0,MIN(480,(INT(O245/100)-INT(VALUE(H245)/100))*12+MOD(O245,100)-MOD(VALUE(H245),100))))))/V7_MTY_CUTOFF),1)</f>
        <v/>
      </c>
      <c r="AD245" s="26">
        <f>MAX(V7_BURN_FLOOR,1-V7_BURN_SLOPE*MIN(1,MAX(0,R245)))</f>
        <v/>
      </c>
      <c r="AE245" s="26">
        <f>IF(V7_USE_ISSUER=1,IFERROR(VLOOKUP(Q245,V7_ISSUER_TABLE,3,FALSE),1),1)</f>
        <v/>
      </c>
      <c r="AF245" s="26">
        <f>PRODUCT(W245:AE245)</f>
        <v/>
      </c>
      <c r="AG245" s="27">
        <f>MIN(V7_BASE_SMM*AF245,V7_SMM_CAP)</f>
        <v/>
      </c>
      <c r="AH245" s="28">
        <f>1-(1-AG245)^12</f>
        <v/>
      </c>
      <c r="AI245" s="28">
        <f>IFERROR(LN(W245)/(LN(W245)+LN(X245)+LN(Y245)+LN(Z245)+LN(AA245)+LN(AB245)+LN(AC245)+LN(AD245))*(AH245-V7_BASE_CPR),0)</f>
        <v/>
      </c>
      <c r="AJ245" s="28">
        <f>IFERROR(LN(X245)/(LN(W245)+LN(X245)+LN(Y245)+LN(Z245)+LN(AA245)+LN(AB245)+LN(AC245)+LN(AD245))*(AH245-V7_BASE_CPR),0)</f>
        <v/>
      </c>
      <c r="AK245" s="28">
        <f>IFERROR(LN(Y245)/(LN(W245)+LN(X245)+LN(Y245)+LN(Z245)+LN(AA245)+LN(AB245)+LN(AC245)+LN(AD245))*(AH245-V7_BASE_CPR),0)</f>
        <v/>
      </c>
      <c r="AL245" s="28">
        <f>IFERROR(LN(Z245)/(LN(W245)+LN(X245)+LN(Y245)+LN(Z245)+LN(AA245)+LN(AB245)+LN(AC245)+LN(AD245))*(AH245-V7_BASE_CPR),0)</f>
        <v/>
      </c>
      <c r="AM245" s="28">
        <f>IFERROR(LN(AA245)/(LN(W245)+LN(X245)+LN(Y245)+LN(Z245)+LN(AA245)+LN(AB245)+LN(AC245)+LN(AD245))*(AH245-V7_BASE_CPR),0)</f>
        <v/>
      </c>
      <c r="AN245" s="28">
        <f>IFERROR(LN(AB245)/(LN(W245)+LN(X245)+LN(Y245)+LN(Z245)+LN(AA245)+LN(AB245)+LN(AC245)+LN(AD245))*(AH245-V7_BASE_CPR),0)</f>
        <v/>
      </c>
      <c r="AO245" s="28">
        <f>IFERROR(LN(AC245)/(LN(W245)+LN(X245)+LN(Y245)+LN(Z245)+LN(AA245)+LN(AB245)+LN(AC245)+LN(AD245))*(AH245-V7_BASE_CPR),0)</f>
        <v/>
      </c>
      <c r="AP245" s="28">
        <f>IFERROR(LN(AD245)/(LN(W245)+LN(X245)+LN(Y245)+LN(Z245)+LN(AA245)+LN(AB245)+LN(AC245)+LN(AD245))*(AH245-V7_BASE_CPR),0)</f>
        <v/>
      </c>
      <c r="AQ245" s="29">
        <f>V7_BASE_CPR+SUM(AI245:AP245)-AH245</f>
        <v/>
      </c>
    </row>
    <row r="246">
      <c r="A246" s="2" t="inlineStr">
        <is>
          <t>3617UFPP0_000000003435314</t>
        </is>
      </c>
      <c r="B246" t="inlineStr">
        <is>
          <t>PGIM_PRE21</t>
        </is>
      </c>
      <c r="C246" s="2" t="inlineStr">
        <is>
          <t>3617UFPP0</t>
        </is>
      </c>
      <c r="D246" t="inlineStr">
        <is>
          <t>PGIM REAL ESTATE AGENCY FINANCING, LLC.</t>
        </is>
      </c>
      <c r="E246" t="inlineStr">
        <is>
          <t>221d4</t>
        </is>
      </c>
      <c r="F246" t="inlineStr">
        <is>
          <t>NC</t>
        </is>
      </c>
      <c r="G246" t="n">
        <v>2012</v>
      </c>
      <c r="H246" t="inlineStr">
        <is>
          <t>202602</t>
        </is>
      </c>
      <c r="I246" s="22" t="n">
        <v>12296442.63</v>
      </c>
      <c r="J246" s="23" t="n">
        <v>2.54</v>
      </c>
      <c r="K246" s="24" t="n">
        <v>447</v>
      </c>
      <c r="L246" s="24" t="n">
        <v>6</v>
      </c>
      <c r="M246" t="n">
        <v>158</v>
      </c>
      <c r="N246" s="25" t="n">
        <v>11</v>
      </c>
      <c r="O246" t="n">
        <v>205107</v>
      </c>
      <c r="P246" t="inlineStr"/>
      <c r="Q246" t="inlineStr">
        <is>
          <t>3153</t>
        </is>
      </c>
      <c r="R246" s="26" t="n">
        <v>0.06962025316455696</v>
      </c>
      <c r="S246" t="n">
        <v>1</v>
      </c>
      <c r="T246" s="23">
        <f>LN(1+I246)</f>
        <v/>
      </c>
      <c r="U246" s="24">
        <f>J246*100-K246</f>
        <v/>
      </c>
      <c r="V246" s="24">
        <f>U246-12.5*(L246+1)</f>
        <v/>
      </c>
      <c r="W246" s="26">
        <f>IF(M246&lt;=V7_AGE_KNOT_X_0,V7_AGE_KNOT_Y_0,IF(M246&gt;=V7_AGE_KNOT_X_5,V7_AGE_KNOT_Y_5,IF(M246&lt;=V7_AGE_KNOT_X_1,V7_AGE_KNOT_Y_0+(M246-V7_AGE_KNOT_X_0)/(V7_AGE_KNOT_X_1-V7_AGE_KNOT_X_0)*(V7_AGE_KNOT_Y_1-V7_AGE_KNOT_Y_0),IF(M246&lt;=V7_AGE_KNOT_X_2,V7_AGE_KNOT_Y_1+(M246-V7_AGE_KNOT_X_1)/(V7_AGE_KNOT_X_2-V7_AGE_KNOT_X_1)*(V7_AGE_KNOT_Y_2-V7_AGE_KNOT_Y_1),IF(M246&lt;=V7_AGE_KNOT_X_3,V7_AGE_KNOT_Y_2+(M246-V7_AGE_KNOT_X_2)/(V7_AGE_KNOT_X_3-V7_AGE_KNOT_X_2)*(V7_AGE_KNOT_Y_3-V7_AGE_KNOT_Y_2),IF(M246&lt;=V7_AGE_KNOT_X_4,V7_AGE_KNOT_Y_3+(M246-V7_AGE_KNOT_X_3)/(V7_AGE_KNOT_X_4-V7_AGE_KNOT_X_3)*(V7_AGE_KNOT_Y_4-V7_AGE_KNOT_Y_3),V7_AGE_KNOT_Y_4+(M246-V7_AGE_KNOT_X_4)/(V7_AGE_KNOT_X_5-V7_AGE_KNOT_X_4)*(V7_AGE_KNOT_Y_5-V7_AGE_KNOT_Y_4)))))))</f>
        <v/>
      </c>
      <c r="X246" s="26">
        <f>V7_RATE_FLOOR+V7_RATE_ASYMPTOTE/(1+EXP(-(V246-V7_RATE_MID)/V7_RATE_SLOPE))</f>
        <v/>
      </c>
      <c r="Y246" s="26">
        <f>MAX(V7_SIZE_LOW,MIN(V7_SIZE_HIGH,V7_SIZE_INTERCEPT+V7_SIZE_SLOPE*(T246-V7_SIZE_LOG_ANCHOR)))</f>
        <v/>
      </c>
      <c r="Z246" s="26">
        <f>IF(ISNUMBER(SEARCH("232",E246)),VLOOKUP("232",V7_PROGRAM_TABLE,2,FALSE),IF(ISNUMBER(SEARCH("538",E246)),VLOOKUP("538",V7_PROGRAM_TABLE,2,FALSE),IF(ISNUMBER(SEARCH("223a7",E246)),VLOOKUP("223a7",V7_PROGRAM_TABLE,2,FALSE),IF(ISNUMBER(SEARCH("223f",E246)),VLOOKUP("223f",V7_PROGRAM_TABLE,2,FALSE),V7_PROGRAM_DEFAULT))))</f>
        <v/>
      </c>
      <c r="AA246" s="26">
        <f>IF(S246=1,1+V7_PURPOSE_NC_BUMP*MAX(0,1-ABS(M246-V7_PURPOSE_PEAK_AGE)/V7_PURPOSE_WIDTH),1)</f>
        <v/>
      </c>
      <c r="AB246" s="26">
        <f>IF(AND(IF(OR(P246="",NOT(ISNUMBER(P246))),0,MAX(0,MIN(24,(INT(VALUE(H246)/100)-INT(P246/100))*12+MOD(VALUE(H246),100)-MOD(P246,100))))&gt;0,IF(OR(P246="",NOT(ISNUMBER(P246))),0,MAX(0,MIN(24,(INT(VALUE(H246)/100)-INT(P246/100))*12+MOD(VALUE(H246),100)-MOD(P246,100))))&lt;=12),1+V7_LOCKOUT_AMP*EXP(-(IF(OR(P246="",NOT(ISNUMBER(P246))),0,MAX(0,MIN(24,(INT(VALUE(H246)/100)-INT(P246/100))*12+MOD(VALUE(H246),100)-MOD(P246,100)))))/V7_LOCKOUT_TAU),1)</f>
        <v/>
      </c>
      <c r="AC246" s="26">
        <f>IF(IF(OR(O246="",NOT(ISNUMBER(O246))),360,MAX(0,MIN(480,(INT(O246/100)-INT(VALUE(H246)/100))*12+MOD(O246,100)-MOD(VALUE(H246),100))))&gt;0,1+V7_MTY_AMP*MAX(0,(V7_MTY_CUTOFF-(IF(OR(O246="",NOT(ISNUMBER(O246))),360,MAX(0,MIN(480,(INT(O246/100)-INT(VALUE(H246)/100))*12+MOD(O246,100)-MOD(VALUE(H246),100))))))/V7_MTY_CUTOFF),1)</f>
        <v/>
      </c>
      <c r="AD246" s="26">
        <f>MAX(V7_BURN_FLOOR,1-V7_BURN_SLOPE*MIN(1,MAX(0,R246)))</f>
        <v/>
      </c>
      <c r="AE246" s="26">
        <f>IF(V7_USE_ISSUER=1,IFERROR(VLOOKUP(Q246,V7_ISSUER_TABLE,3,FALSE),1),1)</f>
        <v/>
      </c>
      <c r="AF246" s="26">
        <f>PRODUCT(W246:AE246)</f>
        <v/>
      </c>
      <c r="AG246" s="27">
        <f>MIN(V7_BASE_SMM*AF246,V7_SMM_CAP)</f>
        <v/>
      </c>
      <c r="AH246" s="28">
        <f>1-(1-AG246)^12</f>
        <v/>
      </c>
      <c r="AI246" s="28">
        <f>IFERROR(LN(W246)/(LN(W246)+LN(X246)+LN(Y246)+LN(Z246)+LN(AA246)+LN(AB246)+LN(AC246)+LN(AD246))*(AH246-V7_BASE_CPR),0)</f>
        <v/>
      </c>
      <c r="AJ246" s="28">
        <f>IFERROR(LN(X246)/(LN(W246)+LN(X246)+LN(Y246)+LN(Z246)+LN(AA246)+LN(AB246)+LN(AC246)+LN(AD246))*(AH246-V7_BASE_CPR),0)</f>
        <v/>
      </c>
      <c r="AK246" s="28">
        <f>IFERROR(LN(Y246)/(LN(W246)+LN(X246)+LN(Y246)+LN(Z246)+LN(AA246)+LN(AB246)+LN(AC246)+LN(AD246))*(AH246-V7_BASE_CPR),0)</f>
        <v/>
      </c>
      <c r="AL246" s="28">
        <f>IFERROR(LN(Z246)/(LN(W246)+LN(X246)+LN(Y246)+LN(Z246)+LN(AA246)+LN(AB246)+LN(AC246)+LN(AD246))*(AH246-V7_BASE_CPR),0)</f>
        <v/>
      </c>
      <c r="AM246" s="28">
        <f>IFERROR(LN(AA246)/(LN(W246)+LN(X246)+LN(Y246)+LN(Z246)+LN(AA246)+LN(AB246)+LN(AC246)+LN(AD246))*(AH246-V7_BASE_CPR),0)</f>
        <v/>
      </c>
      <c r="AN246" s="28">
        <f>IFERROR(LN(AB246)/(LN(W246)+LN(X246)+LN(Y246)+LN(Z246)+LN(AA246)+LN(AB246)+LN(AC246)+LN(AD246))*(AH246-V7_BASE_CPR),0)</f>
        <v/>
      </c>
      <c r="AO246" s="28">
        <f>IFERROR(LN(AC246)/(LN(W246)+LN(X246)+LN(Y246)+LN(Z246)+LN(AA246)+LN(AB246)+LN(AC246)+LN(AD246))*(AH246-V7_BASE_CPR),0)</f>
        <v/>
      </c>
      <c r="AP246" s="28">
        <f>IFERROR(LN(AD246)/(LN(W246)+LN(X246)+LN(Y246)+LN(Z246)+LN(AA246)+LN(AB246)+LN(AC246)+LN(AD246))*(AH246-V7_BASE_CPR),0)</f>
        <v/>
      </c>
      <c r="AQ246" s="29">
        <f>V7_BASE_CPR+SUM(AI246:AP246)-AH246</f>
        <v/>
      </c>
    </row>
    <row r="247">
      <c r="A247" s="2" t="inlineStr">
        <is>
          <t>3617N3U79_000000006435549</t>
        </is>
      </c>
      <c r="B247" t="inlineStr">
        <is>
          <t>PGIM_PRE21</t>
        </is>
      </c>
      <c r="C247" s="2" t="inlineStr">
        <is>
          <t>3617N3U79</t>
        </is>
      </c>
      <c r="D247" t="inlineStr">
        <is>
          <t>PGIM REAL ESTATE AGENCY FINANCING, LLC.</t>
        </is>
      </c>
      <c r="E247" t="inlineStr">
        <is>
          <t>221d4</t>
        </is>
      </c>
      <c r="F247" t="inlineStr">
        <is>
          <t>RP</t>
        </is>
      </c>
      <c r="G247" t="n">
        <v>2012</v>
      </c>
      <c r="H247" t="inlineStr">
        <is>
          <t>202602</t>
        </is>
      </c>
      <c r="I247" s="22" t="n">
        <v>7605491.42</v>
      </c>
      <c r="J247" s="23" t="n">
        <v>3.04</v>
      </c>
      <c r="K247" s="24" t="n">
        <v>447</v>
      </c>
      <c r="L247" s="24" t="n">
        <v>5</v>
      </c>
      <c r="M247" t="n">
        <v>166</v>
      </c>
      <c r="N247" s="25" t="n">
        <v>13</v>
      </c>
      <c r="O247" t="n">
        <v>205111</v>
      </c>
      <c r="P247" t="inlineStr"/>
      <c r="Q247" t="inlineStr">
        <is>
          <t>3153</t>
        </is>
      </c>
      <c r="R247" s="26" t="n">
        <v>0.0783132530120482</v>
      </c>
      <c r="S247" t="n">
        <v>0</v>
      </c>
      <c r="T247" s="23">
        <f>LN(1+I247)</f>
        <v/>
      </c>
      <c r="U247" s="24">
        <f>J247*100-K247</f>
        <v/>
      </c>
      <c r="V247" s="24">
        <f>U247-12.5*(L247+1)</f>
        <v/>
      </c>
      <c r="W247" s="26">
        <f>IF(M247&lt;=V7_AGE_KNOT_X_0,V7_AGE_KNOT_Y_0,IF(M247&gt;=V7_AGE_KNOT_X_5,V7_AGE_KNOT_Y_5,IF(M247&lt;=V7_AGE_KNOT_X_1,V7_AGE_KNOT_Y_0+(M247-V7_AGE_KNOT_X_0)/(V7_AGE_KNOT_X_1-V7_AGE_KNOT_X_0)*(V7_AGE_KNOT_Y_1-V7_AGE_KNOT_Y_0),IF(M247&lt;=V7_AGE_KNOT_X_2,V7_AGE_KNOT_Y_1+(M247-V7_AGE_KNOT_X_1)/(V7_AGE_KNOT_X_2-V7_AGE_KNOT_X_1)*(V7_AGE_KNOT_Y_2-V7_AGE_KNOT_Y_1),IF(M247&lt;=V7_AGE_KNOT_X_3,V7_AGE_KNOT_Y_2+(M247-V7_AGE_KNOT_X_2)/(V7_AGE_KNOT_X_3-V7_AGE_KNOT_X_2)*(V7_AGE_KNOT_Y_3-V7_AGE_KNOT_Y_2),IF(M247&lt;=V7_AGE_KNOT_X_4,V7_AGE_KNOT_Y_3+(M247-V7_AGE_KNOT_X_3)/(V7_AGE_KNOT_X_4-V7_AGE_KNOT_X_3)*(V7_AGE_KNOT_Y_4-V7_AGE_KNOT_Y_3),V7_AGE_KNOT_Y_4+(M247-V7_AGE_KNOT_X_4)/(V7_AGE_KNOT_X_5-V7_AGE_KNOT_X_4)*(V7_AGE_KNOT_Y_5-V7_AGE_KNOT_Y_4)))))))</f>
        <v/>
      </c>
      <c r="X247" s="26">
        <f>V7_RATE_FLOOR+V7_RATE_ASYMPTOTE/(1+EXP(-(V247-V7_RATE_MID)/V7_RATE_SLOPE))</f>
        <v/>
      </c>
      <c r="Y247" s="26">
        <f>MAX(V7_SIZE_LOW,MIN(V7_SIZE_HIGH,V7_SIZE_INTERCEPT+V7_SIZE_SLOPE*(T247-V7_SIZE_LOG_ANCHOR)))</f>
        <v/>
      </c>
      <c r="Z247" s="26">
        <f>IF(ISNUMBER(SEARCH("232",E247)),VLOOKUP("232",V7_PROGRAM_TABLE,2,FALSE),IF(ISNUMBER(SEARCH("538",E247)),VLOOKUP("538",V7_PROGRAM_TABLE,2,FALSE),IF(ISNUMBER(SEARCH("223a7",E247)),VLOOKUP("223a7",V7_PROGRAM_TABLE,2,FALSE),IF(ISNUMBER(SEARCH("223f",E247)),VLOOKUP("223f",V7_PROGRAM_TABLE,2,FALSE),V7_PROGRAM_DEFAULT))))</f>
        <v/>
      </c>
      <c r="AA247" s="26">
        <f>IF(S247=1,1+V7_PURPOSE_NC_BUMP*MAX(0,1-ABS(M247-V7_PURPOSE_PEAK_AGE)/V7_PURPOSE_WIDTH),1)</f>
        <v/>
      </c>
      <c r="AB247" s="26">
        <f>IF(AND(IF(OR(P247="",NOT(ISNUMBER(P247))),0,MAX(0,MIN(24,(INT(VALUE(H247)/100)-INT(P247/100))*12+MOD(VALUE(H247),100)-MOD(P247,100))))&gt;0,IF(OR(P247="",NOT(ISNUMBER(P247))),0,MAX(0,MIN(24,(INT(VALUE(H247)/100)-INT(P247/100))*12+MOD(VALUE(H247),100)-MOD(P247,100))))&lt;=12),1+V7_LOCKOUT_AMP*EXP(-(IF(OR(P247="",NOT(ISNUMBER(P247))),0,MAX(0,MIN(24,(INT(VALUE(H247)/100)-INT(P247/100))*12+MOD(VALUE(H247),100)-MOD(P247,100)))))/V7_LOCKOUT_TAU),1)</f>
        <v/>
      </c>
      <c r="AC247" s="26">
        <f>IF(IF(OR(O247="",NOT(ISNUMBER(O247))),360,MAX(0,MIN(480,(INT(O247/100)-INT(VALUE(H247)/100))*12+MOD(O247,100)-MOD(VALUE(H247),100))))&gt;0,1+V7_MTY_AMP*MAX(0,(V7_MTY_CUTOFF-(IF(OR(O247="",NOT(ISNUMBER(O247))),360,MAX(0,MIN(480,(INT(O247/100)-INT(VALUE(H247)/100))*12+MOD(O247,100)-MOD(VALUE(H247),100))))))/V7_MTY_CUTOFF),1)</f>
        <v/>
      </c>
      <c r="AD247" s="26">
        <f>MAX(V7_BURN_FLOOR,1-V7_BURN_SLOPE*MIN(1,MAX(0,R247)))</f>
        <v/>
      </c>
      <c r="AE247" s="26">
        <f>IF(V7_USE_ISSUER=1,IFERROR(VLOOKUP(Q247,V7_ISSUER_TABLE,3,FALSE),1),1)</f>
        <v/>
      </c>
      <c r="AF247" s="26">
        <f>PRODUCT(W247:AE247)</f>
        <v/>
      </c>
      <c r="AG247" s="27">
        <f>MIN(V7_BASE_SMM*AF247,V7_SMM_CAP)</f>
        <v/>
      </c>
      <c r="AH247" s="28">
        <f>1-(1-AG247)^12</f>
        <v/>
      </c>
      <c r="AI247" s="28">
        <f>IFERROR(LN(W247)/(LN(W247)+LN(X247)+LN(Y247)+LN(Z247)+LN(AA247)+LN(AB247)+LN(AC247)+LN(AD247))*(AH247-V7_BASE_CPR),0)</f>
        <v/>
      </c>
      <c r="AJ247" s="28">
        <f>IFERROR(LN(X247)/(LN(W247)+LN(X247)+LN(Y247)+LN(Z247)+LN(AA247)+LN(AB247)+LN(AC247)+LN(AD247))*(AH247-V7_BASE_CPR),0)</f>
        <v/>
      </c>
      <c r="AK247" s="28">
        <f>IFERROR(LN(Y247)/(LN(W247)+LN(X247)+LN(Y247)+LN(Z247)+LN(AA247)+LN(AB247)+LN(AC247)+LN(AD247))*(AH247-V7_BASE_CPR),0)</f>
        <v/>
      </c>
      <c r="AL247" s="28">
        <f>IFERROR(LN(Z247)/(LN(W247)+LN(X247)+LN(Y247)+LN(Z247)+LN(AA247)+LN(AB247)+LN(AC247)+LN(AD247))*(AH247-V7_BASE_CPR),0)</f>
        <v/>
      </c>
      <c r="AM247" s="28">
        <f>IFERROR(LN(AA247)/(LN(W247)+LN(X247)+LN(Y247)+LN(Z247)+LN(AA247)+LN(AB247)+LN(AC247)+LN(AD247))*(AH247-V7_BASE_CPR),0)</f>
        <v/>
      </c>
      <c r="AN247" s="28">
        <f>IFERROR(LN(AB247)/(LN(W247)+LN(X247)+LN(Y247)+LN(Z247)+LN(AA247)+LN(AB247)+LN(AC247)+LN(AD247))*(AH247-V7_BASE_CPR),0)</f>
        <v/>
      </c>
      <c r="AO247" s="28">
        <f>IFERROR(LN(AC247)/(LN(W247)+LN(X247)+LN(Y247)+LN(Z247)+LN(AA247)+LN(AB247)+LN(AC247)+LN(AD247))*(AH247-V7_BASE_CPR),0)</f>
        <v/>
      </c>
      <c r="AP247" s="28">
        <f>IFERROR(LN(AD247)/(LN(W247)+LN(X247)+LN(Y247)+LN(Z247)+LN(AA247)+LN(AB247)+LN(AC247)+LN(AD247))*(AH247-V7_BASE_CPR),0)</f>
        <v/>
      </c>
      <c r="AQ247" s="29">
        <f>V7_BASE_CPR+SUM(AI247:AP247)-AH247</f>
        <v/>
      </c>
    </row>
    <row r="248">
      <c r="A248" s="2" t="inlineStr">
        <is>
          <t>36193J5M7_000000005322191</t>
        </is>
      </c>
      <c r="B248" t="inlineStr">
        <is>
          <t>PGIM_PRE21</t>
        </is>
      </c>
      <c r="C248" s="2" t="inlineStr">
        <is>
          <t>36193J5M7</t>
        </is>
      </c>
      <c r="D248" t="inlineStr">
        <is>
          <t>PGIM REAL ESTATE AGENCY FINANCING, LLC.</t>
        </is>
      </c>
      <c r="E248" t="inlineStr">
        <is>
          <t>232</t>
        </is>
      </c>
      <c r="F248" t="inlineStr">
        <is>
          <t>RP</t>
        </is>
      </c>
      <c r="G248" t="n">
        <v>2016</v>
      </c>
      <c r="H248" t="inlineStr">
        <is>
          <t>202602</t>
        </is>
      </c>
      <c r="I248" s="22" t="n">
        <v>4747767.98</v>
      </c>
      <c r="J248" s="23" t="n">
        <v>3.85</v>
      </c>
      <c r="K248" s="24" t="n">
        <v>447</v>
      </c>
      <c r="L248" s="24" t="n">
        <v>2</v>
      </c>
      <c r="M248" t="n">
        <v>119</v>
      </c>
      <c r="N248" s="25" t="n">
        <v>32</v>
      </c>
      <c r="O248" t="n">
        <v>205104</v>
      </c>
      <c r="P248" t="inlineStr"/>
      <c r="Q248" t="inlineStr">
        <is>
          <t>3153</t>
        </is>
      </c>
      <c r="R248" s="26" t="n">
        <v>0.2689075630252101</v>
      </c>
      <c r="S248" t="n">
        <v>0</v>
      </c>
      <c r="T248" s="23">
        <f>LN(1+I248)</f>
        <v/>
      </c>
      <c r="U248" s="24">
        <f>J248*100-K248</f>
        <v/>
      </c>
      <c r="V248" s="24">
        <f>U248-12.5*(L248+1)</f>
        <v/>
      </c>
      <c r="W248" s="26">
        <f>IF(M248&lt;=V7_AGE_KNOT_X_0,V7_AGE_KNOT_Y_0,IF(M248&gt;=V7_AGE_KNOT_X_5,V7_AGE_KNOT_Y_5,IF(M248&lt;=V7_AGE_KNOT_X_1,V7_AGE_KNOT_Y_0+(M248-V7_AGE_KNOT_X_0)/(V7_AGE_KNOT_X_1-V7_AGE_KNOT_X_0)*(V7_AGE_KNOT_Y_1-V7_AGE_KNOT_Y_0),IF(M248&lt;=V7_AGE_KNOT_X_2,V7_AGE_KNOT_Y_1+(M248-V7_AGE_KNOT_X_1)/(V7_AGE_KNOT_X_2-V7_AGE_KNOT_X_1)*(V7_AGE_KNOT_Y_2-V7_AGE_KNOT_Y_1),IF(M248&lt;=V7_AGE_KNOT_X_3,V7_AGE_KNOT_Y_2+(M248-V7_AGE_KNOT_X_2)/(V7_AGE_KNOT_X_3-V7_AGE_KNOT_X_2)*(V7_AGE_KNOT_Y_3-V7_AGE_KNOT_Y_2),IF(M248&lt;=V7_AGE_KNOT_X_4,V7_AGE_KNOT_Y_3+(M248-V7_AGE_KNOT_X_3)/(V7_AGE_KNOT_X_4-V7_AGE_KNOT_X_3)*(V7_AGE_KNOT_Y_4-V7_AGE_KNOT_Y_3),V7_AGE_KNOT_Y_4+(M248-V7_AGE_KNOT_X_4)/(V7_AGE_KNOT_X_5-V7_AGE_KNOT_X_4)*(V7_AGE_KNOT_Y_5-V7_AGE_KNOT_Y_4)))))))</f>
        <v/>
      </c>
      <c r="X248" s="26">
        <f>V7_RATE_FLOOR+V7_RATE_ASYMPTOTE/(1+EXP(-(V248-V7_RATE_MID)/V7_RATE_SLOPE))</f>
        <v/>
      </c>
      <c r="Y248" s="26">
        <f>MAX(V7_SIZE_LOW,MIN(V7_SIZE_HIGH,V7_SIZE_INTERCEPT+V7_SIZE_SLOPE*(T248-V7_SIZE_LOG_ANCHOR)))</f>
        <v/>
      </c>
      <c r="Z248" s="26">
        <f>IF(ISNUMBER(SEARCH("232",E248)),VLOOKUP("232",V7_PROGRAM_TABLE,2,FALSE),IF(ISNUMBER(SEARCH("538",E248)),VLOOKUP("538",V7_PROGRAM_TABLE,2,FALSE),IF(ISNUMBER(SEARCH("223a7",E248)),VLOOKUP("223a7",V7_PROGRAM_TABLE,2,FALSE),IF(ISNUMBER(SEARCH("223f",E248)),VLOOKUP("223f",V7_PROGRAM_TABLE,2,FALSE),V7_PROGRAM_DEFAULT))))</f>
        <v/>
      </c>
      <c r="AA248" s="26">
        <f>IF(S248=1,1+V7_PURPOSE_NC_BUMP*MAX(0,1-ABS(M248-V7_PURPOSE_PEAK_AGE)/V7_PURPOSE_WIDTH),1)</f>
        <v/>
      </c>
      <c r="AB248" s="26">
        <f>IF(AND(IF(OR(P248="",NOT(ISNUMBER(P248))),0,MAX(0,MIN(24,(INT(VALUE(H248)/100)-INT(P248/100))*12+MOD(VALUE(H248),100)-MOD(P248,100))))&gt;0,IF(OR(P248="",NOT(ISNUMBER(P248))),0,MAX(0,MIN(24,(INT(VALUE(H248)/100)-INT(P248/100))*12+MOD(VALUE(H248),100)-MOD(P248,100))))&lt;=12),1+V7_LOCKOUT_AMP*EXP(-(IF(OR(P248="",NOT(ISNUMBER(P248))),0,MAX(0,MIN(24,(INT(VALUE(H248)/100)-INT(P248/100))*12+MOD(VALUE(H248),100)-MOD(P248,100)))))/V7_LOCKOUT_TAU),1)</f>
        <v/>
      </c>
      <c r="AC248" s="26">
        <f>IF(IF(OR(O248="",NOT(ISNUMBER(O248))),360,MAX(0,MIN(480,(INT(O248/100)-INT(VALUE(H248)/100))*12+MOD(O248,100)-MOD(VALUE(H248),100))))&gt;0,1+V7_MTY_AMP*MAX(0,(V7_MTY_CUTOFF-(IF(OR(O248="",NOT(ISNUMBER(O248))),360,MAX(0,MIN(480,(INT(O248/100)-INT(VALUE(H248)/100))*12+MOD(O248,100)-MOD(VALUE(H248),100))))))/V7_MTY_CUTOFF),1)</f>
        <v/>
      </c>
      <c r="AD248" s="26">
        <f>MAX(V7_BURN_FLOOR,1-V7_BURN_SLOPE*MIN(1,MAX(0,R248)))</f>
        <v/>
      </c>
      <c r="AE248" s="26">
        <f>IF(V7_USE_ISSUER=1,IFERROR(VLOOKUP(Q248,V7_ISSUER_TABLE,3,FALSE),1),1)</f>
        <v/>
      </c>
      <c r="AF248" s="26">
        <f>PRODUCT(W248:AE248)</f>
        <v/>
      </c>
      <c r="AG248" s="27">
        <f>MIN(V7_BASE_SMM*AF248,V7_SMM_CAP)</f>
        <v/>
      </c>
      <c r="AH248" s="28">
        <f>1-(1-AG248)^12</f>
        <v/>
      </c>
      <c r="AI248" s="28">
        <f>IFERROR(LN(W248)/(LN(W248)+LN(X248)+LN(Y248)+LN(Z248)+LN(AA248)+LN(AB248)+LN(AC248)+LN(AD248))*(AH248-V7_BASE_CPR),0)</f>
        <v/>
      </c>
      <c r="AJ248" s="28">
        <f>IFERROR(LN(X248)/(LN(W248)+LN(X248)+LN(Y248)+LN(Z248)+LN(AA248)+LN(AB248)+LN(AC248)+LN(AD248))*(AH248-V7_BASE_CPR),0)</f>
        <v/>
      </c>
      <c r="AK248" s="28">
        <f>IFERROR(LN(Y248)/(LN(W248)+LN(X248)+LN(Y248)+LN(Z248)+LN(AA248)+LN(AB248)+LN(AC248)+LN(AD248))*(AH248-V7_BASE_CPR),0)</f>
        <v/>
      </c>
      <c r="AL248" s="28">
        <f>IFERROR(LN(Z248)/(LN(W248)+LN(X248)+LN(Y248)+LN(Z248)+LN(AA248)+LN(AB248)+LN(AC248)+LN(AD248))*(AH248-V7_BASE_CPR),0)</f>
        <v/>
      </c>
      <c r="AM248" s="28">
        <f>IFERROR(LN(AA248)/(LN(W248)+LN(X248)+LN(Y248)+LN(Z248)+LN(AA248)+LN(AB248)+LN(AC248)+LN(AD248))*(AH248-V7_BASE_CPR),0)</f>
        <v/>
      </c>
      <c r="AN248" s="28">
        <f>IFERROR(LN(AB248)/(LN(W248)+LN(X248)+LN(Y248)+LN(Z248)+LN(AA248)+LN(AB248)+LN(AC248)+LN(AD248))*(AH248-V7_BASE_CPR),0)</f>
        <v/>
      </c>
      <c r="AO248" s="28">
        <f>IFERROR(LN(AC248)/(LN(W248)+LN(X248)+LN(Y248)+LN(Z248)+LN(AA248)+LN(AB248)+LN(AC248)+LN(AD248))*(AH248-V7_BASE_CPR),0)</f>
        <v/>
      </c>
      <c r="AP248" s="28">
        <f>IFERROR(LN(AD248)/(LN(W248)+LN(X248)+LN(Y248)+LN(Z248)+LN(AA248)+LN(AB248)+LN(AC248)+LN(AD248))*(AH248-V7_BASE_CPR),0)</f>
        <v/>
      </c>
      <c r="AQ248" s="29">
        <f>V7_BASE_CPR+SUM(AI248:AP248)-AH248</f>
        <v/>
      </c>
    </row>
    <row r="249">
      <c r="A249" s="2" t="inlineStr">
        <is>
          <t>3617N3U87_000000005411182</t>
        </is>
      </c>
      <c r="B249" t="inlineStr">
        <is>
          <t>PGIM_PRE21</t>
        </is>
      </c>
      <c r="C249" s="2" t="inlineStr">
        <is>
          <t>3617N3U87</t>
        </is>
      </c>
      <c r="D249" t="inlineStr">
        <is>
          <t>PGIM REAL ESTATE AGENCY FINANCING, LLC.</t>
        </is>
      </c>
      <c r="E249" t="inlineStr">
        <is>
          <t>223f</t>
        </is>
      </c>
      <c r="F249" t="inlineStr">
        <is>
          <t>RP</t>
        </is>
      </c>
      <c r="G249" t="n">
        <v>2020</v>
      </c>
      <c r="H249" t="inlineStr">
        <is>
          <t>202602</t>
        </is>
      </c>
      <c r="I249" s="22" t="n">
        <v>4220732.16</v>
      </c>
      <c r="J249" s="23" t="n">
        <v>3.15</v>
      </c>
      <c r="K249" s="24" t="n">
        <v>447</v>
      </c>
      <c r="L249" s="24" t="n">
        <v>6</v>
      </c>
      <c r="M249" t="n">
        <v>71</v>
      </c>
      <c r="N249" s="25" t="n">
        <v>19</v>
      </c>
      <c r="O249" t="n">
        <v>205504</v>
      </c>
      <c r="P249" t="inlineStr"/>
      <c r="Q249" t="inlineStr">
        <is>
          <t>3153</t>
        </is>
      </c>
      <c r="R249" s="26" t="n">
        <v>0.2676056338028169</v>
      </c>
      <c r="S249" t="n">
        <v>0</v>
      </c>
      <c r="T249" s="23">
        <f>LN(1+I249)</f>
        <v/>
      </c>
      <c r="U249" s="24">
        <f>J249*100-K249</f>
        <v/>
      </c>
      <c r="V249" s="24">
        <f>U249-12.5*(L249+1)</f>
        <v/>
      </c>
      <c r="W249" s="26">
        <f>IF(M249&lt;=V7_AGE_KNOT_X_0,V7_AGE_KNOT_Y_0,IF(M249&gt;=V7_AGE_KNOT_X_5,V7_AGE_KNOT_Y_5,IF(M249&lt;=V7_AGE_KNOT_X_1,V7_AGE_KNOT_Y_0+(M249-V7_AGE_KNOT_X_0)/(V7_AGE_KNOT_X_1-V7_AGE_KNOT_X_0)*(V7_AGE_KNOT_Y_1-V7_AGE_KNOT_Y_0),IF(M249&lt;=V7_AGE_KNOT_X_2,V7_AGE_KNOT_Y_1+(M249-V7_AGE_KNOT_X_1)/(V7_AGE_KNOT_X_2-V7_AGE_KNOT_X_1)*(V7_AGE_KNOT_Y_2-V7_AGE_KNOT_Y_1),IF(M249&lt;=V7_AGE_KNOT_X_3,V7_AGE_KNOT_Y_2+(M249-V7_AGE_KNOT_X_2)/(V7_AGE_KNOT_X_3-V7_AGE_KNOT_X_2)*(V7_AGE_KNOT_Y_3-V7_AGE_KNOT_Y_2),IF(M249&lt;=V7_AGE_KNOT_X_4,V7_AGE_KNOT_Y_3+(M249-V7_AGE_KNOT_X_3)/(V7_AGE_KNOT_X_4-V7_AGE_KNOT_X_3)*(V7_AGE_KNOT_Y_4-V7_AGE_KNOT_Y_3),V7_AGE_KNOT_Y_4+(M249-V7_AGE_KNOT_X_4)/(V7_AGE_KNOT_X_5-V7_AGE_KNOT_X_4)*(V7_AGE_KNOT_Y_5-V7_AGE_KNOT_Y_4)))))))</f>
        <v/>
      </c>
      <c r="X249" s="26">
        <f>V7_RATE_FLOOR+V7_RATE_ASYMPTOTE/(1+EXP(-(V249-V7_RATE_MID)/V7_RATE_SLOPE))</f>
        <v/>
      </c>
      <c r="Y249" s="26">
        <f>MAX(V7_SIZE_LOW,MIN(V7_SIZE_HIGH,V7_SIZE_INTERCEPT+V7_SIZE_SLOPE*(T249-V7_SIZE_LOG_ANCHOR)))</f>
        <v/>
      </c>
      <c r="Z249" s="26">
        <f>IF(ISNUMBER(SEARCH("232",E249)),VLOOKUP("232",V7_PROGRAM_TABLE,2,FALSE),IF(ISNUMBER(SEARCH("538",E249)),VLOOKUP("538",V7_PROGRAM_TABLE,2,FALSE),IF(ISNUMBER(SEARCH("223a7",E249)),VLOOKUP("223a7",V7_PROGRAM_TABLE,2,FALSE),IF(ISNUMBER(SEARCH("223f",E249)),VLOOKUP("223f",V7_PROGRAM_TABLE,2,FALSE),V7_PROGRAM_DEFAULT))))</f>
        <v/>
      </c>
      <c r="AA249" s="26">
        <f>IF(S249=1,1+V7_PURPOSE_NC_BUMP*MAX(0,1-ABS(M249-V7_PURPOSE_PEAK_AGE)/V7_PURPOSE_WIDTH),1)</f>
        <v/>
      </c>
      <c r="AB249" s="26">
        <f>IF(AND(IF(OR(P249="",NOT(ISNUMBER(P249))),0,MAX(0,MIN(24,(INT(VALUE(H249)/100)-INT(P249/100))*12+MOD(VALUE(H249),100)-MOD(P249,100))))&gt;0,IF(OR(P249="",NOT(ISNUMBER(P249))),0,MAX(0,MIN(24,(INT(VALUE(H249)/100)-INT(P249/100))*12+MOD(VALUE(H249),100)-MOD(P249,100))))&lt;=12),1+V7_LOCKOUT_AMP*EXP(-(IF(OR(P249="",NOT(ISNUMBER(P249))),0,MAX(0,MIN(24,(INT(VALUE(H249)/100)-INT(P249/100))*12+MOD(VALUE(H249),100)-MOD(P249,100)))))/V7_LOCKOUT_TAU),1)</f>
        <v/>
      </c>
      <c r="AC249" s="26">
        <f>IF(IF(OR(O249="",NOT(ISNUMBER(O249))),360,MAX(0,MIN(480,(INT(O249/100)-INT(VALUE(H249)/100))*12+MOD(O249,100)-MOD(VALUE(H249),100))))&gt;0,1+V7_MTY_AMP*MAX(0,(V7_MTY_CUTOFF-(IF(OR(O249="",NOT(ISNUMBER(O249))),360,MAX(0,MIN(480,(INT(O249/100)-INT(VALUE(H249)/100))*12+MOD(O249,100)-MOD(VALUE(H249),100))))))/V7_MTY_CUTOFF),1)</f>
        <v/>
      </c>
      <c r="AD249" s="26">
        <f>MAX(V7_BURN_FLOOR,1-V7_BURN_SLOPE*MIN(1,MAX(0,R249)))</f>
        <v/>
      </c>
      <c r="AE249" s="26">
        <f>IF(V7_USE_ISSUER=1,IFERROR(VLOOKUP(Q249,V7_ISSUER_TABLE,3,FALSE),1),1)</f>
        <v/>
      </c>
      <c r="AF249" s="26">
        <f>PRODUCT(W249:AE249)</f>
        <v/>
      </c>
      <c r="AG249" s="27">
        <f>MIN(V7_BASE_SMM*AF249,V7_SMM_CAP)</f>
        <v/>
      </c>
      <c r="AH249" s="28">
        <f>1-(1-AG249)^12</f>
        <v/>
      </c>
      <c r="AI249" s="28">
        <f>IFERROR(LN(W249)/(LN(W249)+LN(X249)+LN(Y249)+LN(Z249)+LN(AA249)+LN(AB249)+LN(AC249)+LN(AD249))*(AH249-V7_BASE_CPR),0)</f>
        <v/>
      </c>
      <c r="AJ249" s="28">
        <f>IFERROR(LN(X249)/(LN(W249)+LN(X249)+LN(Y249)+LN(Z249)+LN(AA249)+LN(AB249)+LN(AC249)+LN(AD249))*(AH249-V7_BASE_CPR),0)</f>
        <v/>
      </c>
      <c r="AK249" s="28">
        <f>IFERROR(LN(Y249)/(LN(W249)+LN(X249)+LN(Y249)+LN(Z249)+LN(AA249)+LN(AB249)+LN(AC249)+LN(AD249))*(AH249-V7_BASE_CPR),0)</f>
        <v/>
      </c>
      <c r="AL249" s="28">
        <f>IFERROR(LN(Z249)/(LN(W249)+LN(X249)+LN(Y249)+LN(Z249)+LN(AA249)+LN(AB249)+LN(AC249)+LN(AD249))*(AH249-V7_BASE_CPR),0)</f>
        <v/>
      </c>
      <c r="AM249" s="28">
        <f>IFERROR(LN(AA249)/(LN(W249)+LN(X249)+LN(Y249)+LN(Z249)+LN(AA249)+LN(AB249)+LN(AC249)+LN(AD249))*(AH249-V7_BASE_CPR),0)</f>
        <v/>
      </c>
      <c r="AN249" s="28">
        <f>IFERROR(LN(AB249)/(LN(W249)+LN(X249)+LN(Y249)+LN(Z249)+LN(AA249)+LN(AB249)+LN(AC249)+LN(AD249))*(AH249-V7_BASE_CPR),0)</f>
        <v/>
      </c>
      <c r="AO249" s="28">
        <f>IFERROR(LN(AC249)/(LN(W249)+LN(X249)+LN(Y249)+LN(Z249)+LN(AA249)+LN(AB249)+LN(AC249)+LN(AD249))*(AH249-V7_BASE_CPR),0)</f>
        <v/>
      </c>
      <c r="AP249" s="28">
        <f>IFERROR(LN(AD249)/(LN(W249)+LN(X249)+LN(Y249)+LN(Z249)+LN(AA249)+LN(AB249)+LN(AC249)+LN(AD249))*(AH249-V7_BASE_CPR),0)</f>
        <v/>
      </c>
      <c r="AQ249" s="29">
        <f>V7_BASE_CPR+SUM(AI249:AP249)-AH249</f>
        <v/>
      </c>
    </row>
    <row r="250">
      <c r="A250" s="2" t="inlineStr">
        <is>
          <t>3617JUBZ3_000000007111471</t>
        </is>
      </c>
      <c r="B250" t="inlineStr">
        <is>
          <t>NORTHMARQ_PRE21</t>
        </is>
      </c>
      <c r="C250" s="2" t="inlineStr">
        <is>
          <t>3617JUBZ3</t>
        </is>
      </c>
      <c r="D250" t="inlineStr">
        <is>
          <t>NORTHMARQ FINANCE, LLC</t>
        </is>
      </c>
      <c r="E250" t="inlineStr">
        <is>
          <t>223f</t>
        </is>
      </c>
      <c r="F250" t="inlineStr">
        <is>
          <t>RP</t>
        </is>
      </c>
      <c r="G250" t="n">
        <v>2019</v>
      </c>
      <c r="H250" t="inlineStr">
        <is>
          <t>202602</t>
        </is>
      </c>
      <c r="I250" s="22" t="n">
        <v>5215061.73</v>
      </c>
      <c r="J250" s="23" t="n">
        <v>2.95</v>
      </c>
      <c r="K250" s="24" t="n">
        <v>447</v>
      </c>
      <c r="L250" s="24" t="n">
        <v>5</v>
      </c>
      <c r="M250" t="n">
        <v>78</v>
      </c>
      <c r="N250" s="25" t="n">
        <v>6</v>
      </c>
      <c r="O250" t="n">
        <v>205505</v>
      </c>
      <c r="P250" t="inlineStr"/>
      <c r="Q250" t="inlineStr">
        <is>
          <t>4013</t>
        </is>
      </c>
      <c r="R250" s="26" t="n">
        <v>0.07692307692307693</v>
      </c>
      <c r="S250" t="n">
        <v>0</v>
      </c>
      <c r="T250" s="23">
        <f>LN(1+I250)</f>
        <v/>
      </c>
      <c r="U250" s="24">
        <f>J250*100-K250</f>
        <v/>
      </c>
      <c r="V250" s="24">
        <f>U250-12.5*(L250+1)</f>
        <v/>
      </c>
      <c r="W250" s="26">
        <f>IF(M250&lt;=V7_AGE_KNOT_X_0,V7_AGE_KNOT_Y_0,IF(M250&gt;=V7_AGE_KNOT_X_5,V7_AGE_KNOT_Y_5,IF(M250&lt;=V7_AGE_KNOT_X_1,V7_AGE_KNOT_Y_0+(M250-V7_AGE_KNOT_X_0)/(V7_AGE_KNOT_X_1-V7_AGE_KNOT_X_0)*(V7_AGE_KNOT_Y_1-V7_AGE_KNOT_Y_0),IF(M250&lt;=V7_AGE_KNOT_X_2,V7_AGE_KNOT_Y_1+(M250-V7_AGE_KNOT_X_1)/(V7_AGE_KNOT_X_2-V7_AGE_KNOT_X_1)*(V7_AGE_KNOT_Y_2-V7_AGE_KNOT_Y_1),IF(M250&lt;=V7_AGE_KNOT_X_3,V7_AGE_KNOT_Y_2+(M250-V7_AGE_KNOT_X_2)/(V7_AGE_KNOT_X_3-V7_AGE_KNOT_X_2)*(V7_AGE_KNOT_Y_3-V7_AGE_KNOT_Y_2),IF(M250&lt;=V7_AGE_KNOT_X_4,V7_AGE_KNOT_Y_3+(M250-V7_AGE_KNOT_X_3)/(V7_AGE_KNOT_X_4-V7_AGE_KNOT_X_3)*(V7_AGE_KNOT_Y_4-V7_AGE_KNOT_Y_3),V7_AGE_KNOT_Y_4+(M250-V7_AGE_KNOT_X_4)/(V7_AGE_KNOT_X_5-V7_AGE_KNOT_X_4)*(V7_AGE_KNOT_Y_5-V7_AGE_KNOT_Y_4)))))))</f>
        <v/>
      </c>
      <c r="X250" s="26">
        <f>V7_RATE_FLOOR+V7_RATE_ASYMPTOTE/(1+EXP(-(V250-V7_RATE_MID)/V7_RATE_SLOPE))</f>
        <v/>
      </c>
      <c r="Y250" s="26">
        <f>MAX(V7_SIZE_LOW,MIN(V7_SIZE_HIGH,V7_SIZE_INTERCEPT+V7_SIZE_SLOPE*(T250-V7_SIZE_LOG_ANCHOR)))</f>
        <v/>
      </c>
      <c r="Z250" s="26">
        <f>IF(ISNUMBER(SEARCH("232",E250)),VLOOKUP("232",V7_PROGRAM_TABLE,2,FALSE),IF(ISNUMBER(SEARCH("538",E250)),VLOOKUP("538",V7_PROGRAM_TABLE,2,FALSE),IF(ISNUMBER(SEARCH("223a7",E250)),VLOOKUP("223a7",V7_PROGRAM_TABLE,2,FALSE),IF(ISNUMBER(SEARCH("223f",E250)),VLOOKUP("223f",V7_PROGRAM_TABLE,2,FALSE),V7_PROGRAM_DEFAULT))))</f>
        <v/>
      </c>
      <c r="AA250" s="26">
        <f>IF(S250=1,1+V7_PURPOSE_NC_BUMP*MAX(0,1-ABS(M250-V7_PURPOSE_PEAK_AGE)/V7_PURPOSE_WIDTH),1)</f>
        <v/>
      </c>
      <c r="AB250" s="26">
        <f>IF(AND(IF(OR(P250="",NOT(ISNUMBER(P250))),0,MAX(0,MIN(24,(INT(VALUE(H250)/100)-INT(P250/100))*12+MOD(VALUE(H250),100)-MOD(P250,100))))&gt;0,IF(OR(P250="",NOT(ISNUMBER(P250))),0,MAX(0,MIN(24,(INT(VALUE(H250)/100)-INT(P250/100))*12+MOD(VALUE(H250),100)-MOD(P250,100))))&lt;=12),1+V7_LOCKOUT_AMP*EXP(-(IF(OR(P250="",NOT(ISNUMBER(P250))),0,MAX(0,MIN(24,(INT(VALUE(H250)/100)-INT(P250/100))*12+MOD(VALUE(H250),100)-MOD(P250,100)))))/V7_LOCKOUT_TAU),1)</f>
        <v/>
      </c>
      <c r="AC250" s="26">
        <f>IF(IF(OR(O250="",NOT(ISNUMBER(O250))),360,MAX(0,MIN(480,(INT(O250/100)-INT(VALUE(H250)/100))*12+MOD(O250,100)-MOD(VALUE(H250),100))))&gt;0,1+V7_MTY_AMP*MAX(0,(V7_MTY_CUTOFF-(IF(OR(O250="",NOT(ISNUMBER(O250))),360,MAX(0,MIN(480,(INT(O250/100)-INT(VALUE(H250)/100))*12+MOD(O250,100)-MOD(VALUE(H250),100))))))/V7_MTY_CUTOFF),1)</f>
        <v/>
      </c>
      <c r="AD250" s="26">
        <f>MAX(V7_BURN_FLOOR,1-V7_BURN_SLOPE*MIN(1,MAX(0,R250)))</f>
        <v/>
      </c>
      <c r="AE250" s="26">
        <f>IF(V7_USE_ISSUER=1,IFERROR(VLOOKUP(Q250,V7_ISSUER_TABLE,3,FALSE),1),1)</f>
        <v/>
      </c>
      <c r="AF250" s="26">
        <f>PRODUCT(W250:AE250)</f>
        <v/>
      </c>
      <c r="AG250" s="27">
        <f>MIN(V7_BASE_SMM*AF250,V7_SMM_CAP)</f>
        <v/>
      </c>
      <c r="AH250" s="28">
        <f>1-(1-AG250)^12</f>
        <v/>
      </c>
      <c r="AI250" s="28">
        <f>IFERROR(LN(W250)/(LN(W250)+LN(X250)+LN(Y250)+LN(Z250)+LN(AA250)+LN(AB250)+LN(AC250)+LN(AD250))*(AH250-V7_BASE_CPR),0)</f>
        <v/>
      </c>
      <c r="AJ250" s="28">
        <f>IFERROR(LN(X250)/(LN(W250)+LN(X250)+LN(Y250)+LN(Z250)+LN(AA250)+LN(AB250)+LN(AC250)+LN(AD250))*(AH250-V7_BASE_CPR),0)</f>
        <v/>
      </c>
      <c r="AK250" s="28">
        <f>IFERROR(LN(Y250)/(LN(W250)+LN(X250)+LN(Y250)+LN(Z250)+LN(AA250)+LN(AB250)+LN(AC250)+LN(AD250))*(AH250-V7_BASE_CPR),0)</f>
        <v/>
      </c>
      <c r="AL250" s="28">
        <f>IFERROR(LN(Z250)/(LN(W250)+LN(X250)+LN(Y250)+LN(Z250)+LN(AA250)+LN(AB250)+LN(AC250)+LN(AD250))*(AH250-V7_BASE_CPR),0)</f>
        <v/>
      </c>
      <c r="AM250" s="28">
        <f>IFERROR(LN(AA250)/(LN(W250)+LN(X250)+LN(Y250)+LN(Z250)+LN(AA250)+LN(AB250)+LN(AC250)+LN(AD250))*(AH250-V7_BASE_CPR),0)</f>
        <v/>
      </c>
      <c r="AN250" s="28">
        <f>IFERROR(LN(AB250)/(LN(W250)+LN(X250)+LN(Y250)+LN(Z250)+LN(AA250)+LN(AB250)+LN(AC250)+LN(AD250))*(AH250-V7_BASE_CPR),0)</f>
        <v/>
      </c>
      <c r="AO250" s="28">
        <f>IFERROR(LN(AC250)/(LN(W250)+LN(X250)+LN(Y250)+LN(Z250)+LN(AA250)+LN(AB250)+LN(AC250)+LN(AD250))*(AH250-V7_BASE_CPR),0)</f>
        <v/>
      </c>
      <c r="AP250" s="28">
        <f>IFERROR(LN(AD250)/(LN(W250)+LN(X250)+LN(Y250)+LN(Z250)+LN(AA250)+LN(AB250)+LN(AC250)+LN(AD250))*(AH250-V7_BASE_CPR),0)</f>
        <v/>
      </c>
      <c r="AQ250" s="29">
        <f>V7_BASE_CPR+SUM(AI250:AP250)-AH250</f>
        <v/>
      </c>
    </row>
    <row r="251">
      <c r="A251" s="2" t="inlineStr">
        <is>
          <t>3617Y1NF1_000000006611272</t>
        </is>
      </c>
      <c r="B251" t="inlineStr">
        <is>
          <t>NORTHMARQ_POST21</t>
        </is>
      </c>
      <c r="C251" s="2" t="inlineStr">
        <is>
          <t>3617Y1NF1</t>
        </is>
      </c>
      <c r="D251" t="inlineStr">
        <is>
          <t>NORTHMARQ FINANCE, LLC</t>
        </is>
      </c>
      <c r="E251" t="inlineStr">
        <is>
          <t>223f</t>
        </is>
      </c>
      <c r="F251" t="inlineStr">
        <is>
          <t>RP</t>
        </is>
      </c>
      <c r="G251" t="n">
        <v>2022</v>
      </c>
      <c r="H251" t="inlineStr">
        <is>
          <t>202602</t>
        </is>
      </c>
      <c r="I251" s="22" t="n">
        <v>30546412.94</v>
      </c>
      <c r="J251" s="23" t="n">
        <v>2.55</v>
      </c>
      <c r="K251" s="24" t="n">
        <v>447</v>
      </c>
      <c r="L251" s="24" t="n">
        <v>7</v>
      </c>
      <c r="M251" t="n">
        <v>46</v>
      </c>
      <c r="N251" s="25" t="n">
        <v>0</v>
      </c>
      <c r="O251" t="n">
        <v>205705</v>
      </c>
      <c r="P251" t="inlineStr"/>
      <c r="Q251" t="inlineStr">
        <is>
          <t>4013</t>
        </is>
      </c>
      <c r="R251" s="26" t="n">
        <v>0</v>
      </c>
      <c r="S251" t="n">
        <v>0</v>
      </c>
      <c r="T251" s="23">
        <f>LN(1+I251)</f>
        <v/>
      </c>
      <c r="U251" s="24">
        <f>J251*100-K251</f>
        <v/>
      </c>
      <c r="V251" s="24">
        <f>U251-12.5*(L251+1)</f>
        <v/>
      </c>
      <c r="W251" s="26">
        <f>IF(M251&lt;=V7_AGE_KNOT_X_0,V7_AGE_KNOT_Y_0,IF(M251&gt;=V7_AGE_KNOT_X_5,V7_AGE_KNOT_Y_5,IF(M251&lt;=V7_AGE_KNOT_X_1,V7_AGE_KNOT_Y_0+(M251-V7_AGE_KNOT_X_0)/(V7_AGE_KNOT_X_1-V7_AGE_KNOT_X_0)*(V7_AGE_KNOT_Y_1-V7_AGE_KNOT_Y_0),IF(M251&lt;=V7_AGE_KNOT_X_2,V7_AGE_KNOT_Y_1+(M251-V7_AGE_KNOT_X_1)/(V7_AGE_KNOT_X_2-V7_AGE_KNOT_X_1)*(V7_AGE_KNOT_Y_2-V7_AGE_KNOT_Y_1),IF(M251&lt;=V7_AGE_KNOT_X_3,V7_AGE_KNOT_Y_2+(M251-V7_AGE_KNOT_X_2)/(V7_AGE_KNOT_X_3-V7_AGE_KNOT_X_2)*(V7_AGE_KNOT_Y_3-V7_AGE_KNOT_Y_2),IF(M251&lt;=V7_AGE_KNOT_X_4,V7_AGE_KNOT_Y_3+(M251-V7_AGE_KNOT_X_3)/(V7_AGE_KNOT_X_4-V7_AGE_KNOT_X_3)*(V7_AGE_KNOT_Y_4-V7_AGE_KNOT_Y_3),V7_AGE_KNOT_Y_4+(M251-V7_AGE_KNOT_X_4)/(V7_AGE_KNOT_X_5-V7_AGE_KNOT_X_4)*(V7_AGE_KNOT_Y_5-V7_AGE_KNOT_Y_4)))))))</f>
        <v/>
      </c>
      <c r="X251" s="26">
        <f>V7_RATE_FLOOR+V7_RATE_ASYMPTOTE/(1+EXP(-(V251-V7_RATE_MID)/V7_RATE_SLOPE))</f>
        <v/>
      </c>
      <c r="Y251" s="26">
        <f>MAX(V7_SIZE_LOW,MIN(V7_SIZE_HIGH,V7_SIZE_INTERCEPT+V7_SIZE_SLOPE*(T251-V7_SIZE_LOG_ANCHOR)))</f>
        <v/>
      </c>
      <c r="Z251" s="26">
        <f>IF(ISNUMBER(SEARCH("232",E251)),VLOOKUP("232",V7_PROGRAM_TABLE,2,FALSE),IF(ISNUMBER(SEARCH("538",E251)),VLOOKUP("538",V7_PROGRAM_TABLE,2,FALSE),IF(ISNUMBER(SEARCH("223a7",E251)),VLOOKUP("223a7",V7_PROGRAM_TABLE,2,FALSE),IF(ISNUMBER(SEARCH("223f",E251)),VLOOKUP("223f",V7_PROGRAM_TABLE,2,FALSE),V7_PROGRAM_DEFAULT))))</f>
        <v/>
      </c>
      <c r="AA251" s="26">
        <f>IF(S251=1,1+V7_PURPOSE_NC_BUMP*MAX(0,1-ABS(M251-V7_PURPOSE_PEAK_AGE)/V7_PURPOSE_WIDTH),1)</f>
        <v/>
      </c>
      <c r="AB251" s="26">
        <f>IF(AND(IF(OR(P251="",NOT(ISNUMBER(P251))),0,MAX(0,MIN(24,(INT(VALUE(H251)/100)-INT(P251/100))*12+MOD(VALUE(H251),100)-MOD(P251,100))))&gt;0,IF(OR(P251="",NOT(ISNUMBER(P251))),0,MAX(0,MIN(24,(INT(VALUE(H251)/100)-INT(P251/100))*12+MOD(VALUE(H251),100)-MOD(P251,100))))&lt;=12),1+V7_LOCKOUT_AMP*EXP(-(IF(OR(P251="",NOT(ISNUMBER(P251))),0,MAX(0,MIN(24,(INT(VALUE(H251)/100)-INT(P251/100))*12+MOD(VALUE(H251),100)-MOD(P251,100)))))/V7_LOCKOUT_TAU),1)</f>
        <v/>
      </c>
      <c r="AC251" s="26">
        <f>IF(IF(OR(O251="",NOT(ISNUMBER(O251))),360,MAX(0,MIN(480,(INT(O251/100)-INT(VALUE(H251)/100))*12+MOD(O251,100)-MOD(VALUE(H251),100))))&gt;0,1+V7_MTY_AMP*MAX(0,(V7_MTY_CUTOFF-(IF(OR(O251="",NOT(ISNUMBER(O251))),360,MAX(0,MIN(480,(INT(O251/100)-INT(VALUE(H251)/100))*12+MOD(O251,100)-MOD(VALUE(H251),100))))))/V7_MTY_CUTOFF),1)</f>
        <v/>
      </c>
      <c r="AD251" s="26">
        <f>MAX(V7_BURN_FLOOR,1-V7_BURN_SLOPE*MIN(1,MAX(0,R251)))</f>
        <v/>
      </c>
      <c r="AE251" s="26">
        <f>IF(V7_USE_ISSUER=1,IFERROR(VLOOKUP(Q251,V7_ISSUER_TABLE,3,FALSE),1),1)</f>
        <v/>
      </c>
      <c r="AF251" s="26">
        <f>PRODUCT(W251:AE251)</f>
        <v/>
      </c>
      <c r="AG251" s="27">
        <f>MIN(V7_BASE_SMM*AF251,V7_SMM_CAP)</f>
        <v/>
      </c>
      <c r="AH251" s="28">
        <f>1-(1-AG251)^12</f>
        <v/>
      </c>
      <c r="AI251" s="28">
        <f>IFERROR(LN(W251)/(LN(W251)+LN(X251)+LN(Y251)+LN(Z251)+LN(AA251)+LN(AB251)+LN(AC251)+LN(AD251))*(AH251-V7_BASE_CPR),0)</f>
        <v/>
      </c>
      <c r="AJ251" s="28">
        <f>IFERROR(LN(X251)/(LN(W251)+LN(X251)+LN(Y251)+LN(Z251)+LN(AA251)+LN(AB251)+LN(AC251)+LN(AD251))*(AH251-V7_BASE_CPR),0)</f>
        <v/>
      </c>
      <c r="AK251" s="28">
        <f>IFERROR(LN(Y251)/(LN(W251)+LN(X251)+LN(Y251)+LN(Z251)+LN(AA251)+LN(AB251)+LN(AC251)+LN(AD251))*(AH251-V7_BASE_CPR),0)</f>
        <v/>
      </c>
      <c r="AL251" s="28">
        <f>IFERROR(LN(Z251)/(LN(W251)+LN(X251)+LN(Y251)+LN(Z251)+LN(AA251)+LN(AB251)+LN(AC251)+LN(AD251))*(AH251-V7_BASE_CPR),0)</f>
        <v/>
      </c>
      <c r="AM251" s="28">
        <f>IFERROR(LN(AA251)/(LN(W251)+LN(X251)+LN(Y251)+LN(Z251)+LN(AA251)+LN(AB251)+LN(AC251)+LN(AD251))*(AH251-V7_BASE_CPR),0)</f>
        <v/>
      </c>
      <c r="AN251" s="28">
        <f>IFERROR(LN(AB251)/(LN(W251)+LN(X251)+LN(Y251)+LN(Z251)+LN(AA251)+LN(AB251)+LN(AC251)+LN(AD251))*(AH251-V7_BASE_CPR),0)</f>
        <v/>
      </c>
      <c r="AO251" s="28">
        <f>IFERROR(LN(AC251)/(LN(W251)+LN(X251)+LN(Y251)+LN(Z251)+LN(AA251)+LN(AB251)+LN(AC251)+LN(AD251))*(AH251-V7_BASE_CPR),0)</f>
        <v/>
      </c>
      <c r="AP251" s="28">
        <f>IFERROR(LN(AD251)/(LN(W251)+LN(X251)+LN(Y251)+LN(Z251)+LN(AA251)+LN(AB251)+LN(AC251)+LN(AD251))*(AH251-V7_BASE_CPR),0)</f>
        <v/>
      </c>
      <c r="AQ251" s="29">
        <f>V7_BASE_CPR+SUM(AI251:AP251)-AH251</f>
        <v/>
      </c>
    </row>
    <row r="252">
      <c r="A252" s="2" t="inlineStr">
        <is>
          <t>3617UXZ62_000000005111491</t>
        </is>
      </c>
      <c r="B252" t="inlineStr">
        <is>
          <t>NORTHMARQ_POST21</t>
        </is>
      </c>
      <c r="C252" s="2" t="inlineStr">
        <is>
          <t>3617UXZ62</t>
        </is>
      </c>
      <c r="D252" t="inlineStr">
        <is>
          <t>NORTHMARQ FINANCE, LLC</t>
        </is>
      </c>
      <c r="E252" t="inlineStr">
        <is>
          <t>223f</t>
        </is>
      </c>
      <c r="F252" t="inlineStr">
        <is>
          <t>RP</t>
        </is>
      </c>
      <c r="G252" t="n">
        <v>2021</v>
      </c>
      <c r="H252" t="inlineStr">
        <is>
          <t>202602</t>
        </is>
      </c>
      <c r="I252" s="22" t="n">
        <v>33362529.06</v>
      </c>
      <c r="J252" s="23" t="n">
        <v>2.59</v>
      </c>
      <c r="K252" s="24" t="n">
        <v>447</v>
      </c>
      <c r="L252" s="24" t="n">
        <v>6</v>
      </c>
      <c r="M252" t="n">
        <v>56</v>
      </c>
      <c r="N252" s="25" t="n">
        <v>0</v>
      </c>
      <c r="O252" t="n">
        <v>205607</v>
      </c>
      <c r="P252" t="inlineStr"/>
      <c r="Q252" t="inlineStr">
        <is>
          <t>4013</t>
        </is>
      </c>
      <c r="R252" s="26" t="n">
        <v>0</v>
      </c>
      <c r="S252" t="n">
        <v>0</v>
      </c>
      <c r="T252" s="23">
        <f>LN(1+I252)</f>
        <v/>
      </c>
      <c r="U252" s="24">
        <f>J252*100-K252</f>
        <v/>
      </c>
      <c r="V252" s="24">
        <f>U252-12.5*(L252+1)</f>
        <v/>
      </c>
      <c r="W252" s="26">
        <f>IF(M252&lt;=V7_AGE_KNOT_X_0,V7_AGE_KNOT_Y_0,IF(M252&gt;=V7_AGE_KNOT_X_5,V7_AGE_KNOT_Y_5,IF(M252&lt;=V7_AGE_KNOT_X_1,V7_AGE_KNOT_Y_0+(M252-V7_AGE_KNOT_X_0)/(V7_AGE_KNOT_X_1-V7_AGE_KNOT_X_0)*(V7_AGE_KNOT_Y_1-V7_AGE_KNOT_Y_0),IF(M252&lt;=V7_AGE_KNOT_X_2,V7_AGE_KNOT_Y_1+(M252-V7_AGE_KNOT_X_1)/(V7_AGE_KNOT_X_2-V7_AGE_KNOT_X_1)*(V7_AGE_KNOT_Y_2-V7_AGE_KNOT_Y_1),IF(M252&lt;=V7_AGE_KNOT_X_3,V7_AGE_KNOT_Y_2+(M252-V7_AGE_KNOT_X_2)/(V7_AGE_KNOT_X_3-V7_AGE_KNOT_X_2)*(V7_AGE_KNOT_Y_3-V7_AGE_KNOT_Y_2),IF(M252&lt;=V7_AGE_KNOT_X_4,V7_AGE_KNOT_Y_3+(M252-V7_AGE_KNOT_X_3)/(V7_AGE_KNOT_X_4-V7_AGE_KNOT_X_3)*(V7_AGE_KNOT_Y_4-V7_AGE_KNOT_Y_3),V7_AGE_KNOT_Y_4+(M252-V7_AGE_KNOT_X_4)/(V7_AGE_KNOT_X_5-V7_AGE_KNOT_X_4)*(V7_AGE_KNOT_Y_5-V7_AGE_KNOT_Y_4)))))))</f>
        <v/>
      </c>
      <c r="X252" s="26">
        <f>V7_RATE_FLOOR+V7_RATE_ASYMPTOTE/(1+EXP(-(V252-V7_RATE_MID)/V7_RATE_SLOPE))</f>
        <v/>
      </c>
      <c r="Y252" s="26">
        <f>MAX(V7_SIZE_LOW,MIN(V7_SIZE_HIGH,V7_SIZE_INTERCEPT+V7_SIZE_SLOPE*(T252-V7_SIZE_LOG_ANCHOR)))</f>
        <v/>
      </c>
      <c r="Z252" s="26">
        <f>IF(ISNUMBER(SEARCH("232",E252)),VLOOKUP("232",V7_PROGRAM_TABLE,2,FALSE),IF(ISNUMBER(SEARCH("538",E252)),VLOOKUP("538",V7_PROGRAM_TABLE,2,FALSE),IF(ISNUMBER(SEARCH("223a7",E252)),VLOOKUP("223a7",V7_PROGRAM_TABLE,2,FALSE),IF(ISNUMBER(SEARCH("223f",E252)),VLOOKUP("223f",V7_PROGRAM_TABLE,2,FALSE),V7_PROGRAM_DEFAULT))))</f>
        <v/>
      </c>
      <c r="AA252" s="26">
        <f>IF(S252=1,1+V7_PURPOSE_NC_BUMP*MAX(0,1-ABS(M252-V7_PURPOSE_PEAK_AGE)/V7_PURPOSE_WIDTH),1)</f>
        <v/>
      </c>
      <c r="AB252" s="26">
        <f>IF(AND(IF(OR(P252="",NOT(ISNUMBER(P252))),0,MAX(0,MIN(24,(INT(VALUE(H252)/100)-INT(P252/100))*12+MOD(VALUE(H252),100)-MOD(P252,100))))&gt;0,IF(OR(P252="",NOT(ISNUMBER(P252))),0,MAX(0,MIN(24,(INT(VALUE(H252)/100)-INT(P252/100))*12+MOD(VALUE(H252),100)-MOD(P252,100))))&lt;=12),1+V7_LOCKOUT_AMP*EXP(-(IF(OR(P252="",NOT(ISNUMBER(P252))),0,MAX(0,MIN(24,(INT(VALUE(H252)/100)-INT(P252/100))*12+MOD(VALUE(H252),100)-MOD(P252,100)))))/V7_LOCKOUT_TAU),1)</f>
        <v/>
      </c>
      <c r="AC252" s="26">
        <f>IF(IF(OR(O252="",NOT(ISNUMBER(O252))),360,MAX(0,MIN(480,(INT(O252/100)-INT(VALUE(H252)/100))*12+MOD(O252,100)-MOD(VALUE(H252),100))))&gt;0,1+V7_MTY_AMP*MAX(0,(V7_MTY_CUTOFF-(IF(OR(O252="",NOT(ISNUMBER(O252))),360,MAX(0,MIN(480,(INT(O252/100)-INT(VALUE(H252)/100))*12+MOD(O252,100)-MOD(VALUE(H252),100))))))/V7_MTY_CUTOFF),1)</f>
        <v/>
      </c>
      <c r="AD252" s="26">
        <f>MAX(V7_BURN_FLOOR,1-V7_BURN_SLOPE*MIN(1,MAX(0,R252)))</f>
        <v/>
      </c>
      <c r="AE252" s="26">
        <f>IF(V7_USE_ISSUER=1,IFERROR(VLOOKUP(Q252,V7_ISSUER_TABLE,3,FALSE),1),1)</f>
        <v/>
      </c>
      <c r="AF252" s="26">
        <f>PRODUCT(W252:AE252)</f>
        <v/>
      </c>
      <c r="AG252" s="27">
        <f>MIN(V7_BASE_SMM*AF252,V7_SMM_CAP)</f>
        <v/>
      </c>
      <c r="AH252" s="28">
        <f>1-(1-AG252)^12</f>
        <v/>
      </c>
      <c r="AI252" s="28">
        <f>IFERROR(LN(W252)/(LN(W252)+LN(X252)+LN(Y252)+LN(Z252)+LN(AA252)+LN(AB252)+LN(AC252)+LN(AD252))*(AH252-V7_BASE_CPR),0)</f>
        <v/>
      </c>
      <c r="AJ252" s="28">
        <f>IFERROR(LN(X252)/(LN(W252)+LN(X252)+LN(Y252)+LN(Z252)+LN(AA252)+LN(AB252)+LN(AC252)+LN(AD252))*(AH252-V7_BASE_CPR),0)</f>
        <v/>
      </c>
      <c r="AK252" s="28">
        <f>IFERROR(LN(Y252)/(LN(W252)+LN(X252)+LN(Y252)+LN(Z252)+LN(AA252)+LN(AB252)+LN(AC252)+LN(AD252))*(AH252-V7_BASE_CPR),0)</f>
        <v/>
      </c>
      <c r="AL252" s="28">
        <f>IFERROR(LN(Z252)/(LN(W252)+LN(X252)+LN(Y252)+LN(Z252)+LN(AA252)+LN(AB252)+LN(AC252)+LN(AD252))*(AH252-V7_BASE_CPR),0)</f>
        <v/>
      </c>
      <c r="AM252" s="28">
        <f>IFERROR(LN(AA252)/(LN(W252)+LN(X252)+LN(Y252)+LN(Z252)+LN(AA252)+LN(AB252)+LN(AC252)+LN(AD252))*(AH252-V7_BASE_CPR),0)</f>
        <v/>
      </c>
      <c r="AN252" s="28">
        <f>IFERROR(LN(AB252)/(LN(W252)+LN(X252)+LN(Y252)+LN(Z252)+LN(AA252)+LN(AB252)+LN(AC252)+LN(AD252))*(AH252-V7_BASE_CPR),0)</f>
        <v/>
      </c>
      <c r="AO252" s="28">
        <f>IFERROR(LN(AC252)/(LN(W252)+LN(X252)+LN(Y252)+LN(Z252)+LN(AA252)+LN(AB252)+LN(AC252)+LN(AD252))*(AH252-V7_BASE_CPR),0)</f>
        <v/>
      </c>
      <c r="AP252" s="28">
        <f>IFERROR(LN(AD252)/(LN(W252)+LN(X252)+LN(Y252)+LN(Z252)+LN(AA252)+LN(AB252)+LN(AC252)+LN(AD252))*(AH252-V7_BASE_CPR),0)</f>
        <v/>
      </c>
      <c r="AQ252" s="29">
        <f>V7_BASE_CPR+SUM(AI252:AP252)-AH252</f>
        <v/>
      </c>
    </row>
    <row r="253">
      <c r="A253" s="2" t="inlineStr">
        <is>
          <t>3617QBNW1_000000014311217</t>
        </is>
      </c>
      <c r="B253" t="inlineStr">
        <is>
          <t>NORTHMARQ_PRE21</t>
        </is>
      </c>
      <c r="C253" s="2" t="inlineStr">
        <is>
          <t>3617QBNW1</t>
        </is>
      </c>
      <c r="D253" t="inlineStr">
        <is>
          <t>NORTHMARQ FINANCE, LLC</t>
        </is>
      </c>
      <c r="E253" t="inlineStr">
        <is>
          <t>223f</t>
        </is>
      </c>
      <c r="F253" t="inlineStr">
        <is>
          <t>RP</t>
        </is>
      </c>
      <c r="G253" t="n">
        <v>2020</v>
      </c>
      <c r="H253" t="inlineStr">
        <is>
          <t>202602</t>
        </is>
      </c>
      <c r="I253" s="22" t="n">
        <v>25166647.59</v>
      </c>
      <c r="J253" s="23" t="n">
        <v>2.25</v>
      </c>
      <c r="K253" s="24" t="n">
        <v>447</v>
      </c>
      <c r="L253" s="24" t="n">
        <v>5</v>
      </c>
      <c r="M253" t="n">
        <v>62</v>
      </c>
      <c r="N253" s="25" t="n">
        <v>0</v>
      </c>
      <c r="O253" t="n">
        <v>205601</v>
      </c>
      <c r="P253" t="inlineStr"/>
      <c r="Q253" t="inlineStr">
        <is>
          <t>4013</t>
        </is>
      </c>
      <c r="R253" s="26" t="n">
        <v>0</v>
      </c>
      <c r="S253" t="n">
        <v>0</v>
      </c>
      <c r="T253" s="23">
        <f>LN(1+I253)</f>
        <v/>
      </c>
      <c r="U253" s="24">
        <f>J253*100-K253</f>
        <v/>
      </c>
      <c r="V253" s="24">
        <f>U253-12.5*(L253+1)</f>
        <v/>
      </c>
      <c r="W253" s="26">
        <f>IF(M253&lt;=V7_AGE_KNOT_X_0,V7_AGE_KNOT_Y_0,IF(M253&gt;=V7_AGE_KNOT_X_5,V7_AGE_KNOT_Y_5,IF(M253&lt;=V7_AGE_KNOT_X_1,V7_AGE_KNOT_Y_0+(M253-V7_AGE_KNOT_X_0)/(V7_AGE_KNOT_X_1-V7_AGE_KNOT_X_0)*(V7_AGE_KNOT_Y_1-V7_AGE_KNOT_Y_0),IF(M253&lt;=V7_AGE_KNOT_X_2,V7_AGE_KNOT_Y_1+(M253-V7_AGE_KNOT_X_1)/(V7_AGE_KNOT_X_2-V7_AGE_KNOT_X_1)*(V7_AGE_KNOT_Y_2-V7_AGE_KNOT_Y_1),IF(M253&lt;=V7_AGE_KNOT_X_3,V7_AGE_KNOT_Y_2+(M253-V7_AGE_KNOT_X_2)/(V7_AGE_KNOT_X_3-V7_AGE_KNOT_X_2)*(V7_AGE_KNOT_Y_3-V7_AGE_KNOT_Y_2),IF(M253&lt;=V7_AGE_KNOT_X_4,V7_AGE_KNOT_Y_3+(M253-V7_AGE_KNOT_X_3)/(V7_AGE_KNOT_X_4-V7_AGE_KNOT_X_3)*(V7_AGE_KNOT_Y_4-V7_AGE_KNOT_Y_3),V7_AGE_KNOT_Y_4+(M253-V7_AGE_KNOT_X_4)/(V7_AGE_KNOT_X_5-V7_AGE_KNOT_X_4)*(V7_AGE_KNOT_Y_5-V7_AGE_KNOT_Y_4)))))))</f>
        <v/>
      </c>
      <c r="X253" s="26">
        <f>V7_RATE_FLOOR+V7_RATE_ASYMPTOTE/(1+EXP(-(V253-V7_RATE_MID)/V7_RATE_SLOPE))</f>
        <v/>
      </c>
      <c r="Y253" s="26">
        <f>MAX(V7_SIZE_LOW,MIN(V7_SIZE_HIGH,V7_SIZE_INTERCEPT+V7_SIZE_SLOPE*(T253-V7_SIZE_LOG_ANCHOR)))</f>
        <v/>
      </c>
      <c r="Z253" s="26">
        <f>IF(ISNUMBER(SEARCH("232",E253)),VLOOKUP("232",V7_PROGRAM_TABLE,2,FALSE),IF(ISNUMBER(SEARCH("538",E253)),VLOOKUP("538",V7_PROGRAM_TABLE,2,FALSE),IF(ISNUMBER(SEARCH("223a7",E253)),VLOOKUP("223a7",V7_PROGRAM_TABLE,2,FALSE),IF(ISNUMBER(SEARCH("223f",E253)),VLOOKUP("223f",V7_PROGRAM_TABLE,2,FALSE),V7_PROGRAM_DEFAULT))))</f>
        <v/>
      </c>
      <c r="AA253" s="26">
        <f>IF(S253=1,1+V7_PURPOSE_NC_BUMP*MAX(0,1-ABS(M253-V7_PURPOSE_PEAK_AGE)/V7_PURPOSE_WIDTH),1)</f>
        <v/>
      </c>
      <c r="AB253" s="26">
        <f>IF(AND(IF(OR(P253="",NOT(ISNUMBER(P253))),0,MAX(0,MIN(24,(INT(VALUE(H253)/100)-INT(P253/100))*12+MOD(VALUE(H253),100)-MOD(P253,100))))&gt;0,IF(OR(P253="",NOT(ISNUMBER(P253))),0,MAX(0,MIN(24,(INT(VALUE(H253)/100)-INT(P253/100))*12+MOD(VALUE(H253),100)-MOD(P253,100))))&lt;=12),1+V7_LOCKOUT_AMP*EXP(-(IF(OR(P253="",NOT(ISNUMBER(P253))),0,MAX(0,MIN(24,(INT(VALUE(H253)/100)-INT(P253/100))*12+MOD(VALUE(H253),100)-MOD(P253,100)))))/V7_LOCKOUT_TAU),1)</f>
        <v/>
      </c>
      <c r="AC253" s="26">
        <f>IF(IF(OR(O253="",NOT(ISNUMBER(O253))),360,MAX(0,MIN(480,(INT(O253/100)-INT(VALUE(H253)/100))*12+MOD(O253,100)-MOD(VALUE(H253),100))))&gt;0,1+V7_MTY_AMP*MAX(0,(V7_MTY_CUTOFF-(IF(OR(O253="",NOT(ISNUMBER(O253))),360,MAX(0,MIN(480,(INT(O253/100)-INT(VALUE(H253)/100))*12+MOD(O253,100)-MOD(VALUE(H253),100))))))/V7_MTY_CUTOFF),1)</f>
        <v/>
      </c>
      <c r="AD253" s="26">
        <f>MAX(V7_BURN_FLOOR,1-V7_BURN_SLOPE*MIN(1,MAX(0,R253)))</f>
        <v/>
      </c>
      <c r="AE253" s="26">
        <f>IF(V7_USE_ISSUER=1,IFERROR(VLOOKUP(Q253,V7_ISSUER_TABLE,3,FALSE),1),1)</f>
        <v/>
      </c>
      <c r="AF253" s="26">
        <f>PRODUCT(W253:AE253)</f>
        <v/>
      </c>
      <c r="AG253" s="27">
        <f>MIN(V7_BASE_SMM*AF253,V7_SMM_CAP)</f>
        <v/>
      </c>
      <c r="AH253" s="28">
        <f>1-(1-AG253)^12</f>
        <v/>
      </c>
      <c r="AI253" s="28">
        <f>IFERROR(LN(W253)/(LN(W253)+LN(X253)+LN(Y253)+LN(Z253)+LN(AA253)+LN(AB253)+LN(AC253)+LN(AD253))*(AH253-V7_BASE_CPR),0)</f>
        <v/>
      </c>
      <c r="AJ253" s="28">
        <f>IFERROR(LN(X253)/(LN(W253)+LN(X253)+LN(Y253)+LN(Z253)+LN(AA253)+LN(AB253)+LN(AC253)+LN(AD253))*(AH253-V7_BASE_CPR),0)</f>
        <v/>
      </c>
      <c r="AK253" s="28">
        <f>IFERROR(LN(Y253)/(LN(W253)+LN(X253)+LN(Y253)+LN(Z253)+LN(AA253)+LN(AB253)+LN(AC253)+LN(AD253))*(AH253-V7_BASE_CPR),0)</f>
        <v/>
      </c>
      <c r="AL253" s="28">
        <f>IFERROR(LN(Z253)/(LN(W253)+LN(X253)+LN(Y253)+LN(Z253)+LN(AA253)+LN(AB253)+LN(AC253)+LN(AD253))*(AH253-V7_BASE_CPR),0)</f>
        <v/>
      </c>
      <c r="AM253" s="28">
        <f>IFERROR(LN(AA253)/(LN(W253)+LN(X253)+LN(Y253)+LN(Z253)+LN(AA253)+LN(AB253)+LN(AC253)+LN(AD253))*(AH253-V7_BASE_CPR),0)</f>
        <v/>
      </c>
      <c r="AN253" s="28">
        <f>IFERROR(LN(AB253)/(LN(W253)+LN(X253)+LN(Y253)+LN(Z253)+LN(AA253)+LN(AB253)+LN(AC253)+LN(AD253))*(AH253-V7_BASE_CPR),0)</f>
        <v/>
      </c>
      <c r="AO253" s="28">
        <f>IFERROR(LN(AC253)/(LN(W253)+LN(X253)+LN(Y253)+LN(Z253)+LN(AA253)+LN(AB253)+LN(AC253)+LN(AD253))*(AH253-V7_BASE_CPR),0)</f>
        <v/>
      </c>
      <c r="AP253" s="28">
        <f>IFERROR(LN(AD253)/(LN(W253)+LN(X253)+LN(Y253)+LN(Z253)+LN(AA253)+LN(AB253)+LN(AC253)+LN(AD253))*(AH253-V7_BASE_CPR),0)</f>
        <v/>
      </c>
      <c r="AQ253" s="29">
        <f>V7_BASE_CPR+SUM(AI253:AP253)-AH253</f>
        <v/>
      </c>
    </row>
    <row r="254">
      <c r="A254" s="2" t="inlineStr">
        <is>
          <t>3617QBNR2_000000008311216</t>
        </is>
      </c>
      <c r="B254" t="inlineStr">
        <is>
          <t>NORTHMARQ_POST21</t>
        </is>
      </c>
      <c r="C254" s="2" t="inlineStr">
        <is>
          <t>3617QBNR2</t>
        </is>
      </c>
      <c r="D254" t="inlineStr">
        <is>
          <t>NORTHMARQ FINANCE, LLC</t>
        </is>
      </c>
      <c r="E254" t="inlineStr">
        <is>
          <t>223f</t>
        </is>
      </c>
      <c r="F254" t="inlineStr">
        <is>
          <t>RP</t>
        </is>
      </c>
      <c r="G254" t="n">
        <v>2021</v>
      </c>
      <c r="H254" t="inlineStr">
        <is>
          <t>202602</t>
        </is>
      </c>
      <c r="I254" s="22" t="n">
        <v>9833583.34</v>
      </c>
      <c r="J254" s="23" t="n">
        <v>2.7</v>
      </c>
      <c r="K254" s="24" t="n">
        <v>447</v>
      </c>
      <c r="L254" s="24" t="n">
        <v>6</v>
      </c>
      <c r="M254" t="n">
        <v>58</v>
      </c>
      <c r="N254" s="25" t="n">
        <v>0</v>
      </c>
      <c r="O254" t="n">
        <v>205605</v>
      </c>
      <c r="P254" t="inlineStr"/>
      <c r="Q254" t="inlineStr">
        <is>
          <t>4013</t>
        </is>
      </c>
      <c r="R254" s="26" t="n">
        <v>0</v>
      </c>
      <c r="S254" t="n">
        <v>0</v>
      </c>
      <c r="T254" s="23">
        <f>LN(1+I254)</f>
        <v/>
      </c>
      <c r="U254" s="24">
        <f>J254*100-K254</f>
        <v/>
      </c>
      <c r="V254" s="24">
        <f>U254-12.5*(L254+1)</f>
        <v/>
      </c>
      <c r="W254" s="26">
        <f>IF(M254&lt;=V7_AGE_KNOT_X_0,V7_AGE_KNOT_Y_0,IF(M254&gt;=V7_AGE_KNOT_X_5,V7_AGE_KNOT_Y_5,IF(M254&lt;=V7_AGE_KNOT_X_1,V7_AGE_KNOT_Y_0+(M254-V7_AGE_KNOT_X_0)/(V7_AGE_KNOT_X_1-V7_AGE_KNOT_X_0)*(V7_AGE_KNOT_Y_1-V7_AGE_KNOT_Y_0),IF(M254&lt;=V7_AGE_KNOT_X_2,V7_AGE_KNOT_Y_1+(M254-V7_AGE_KNOT_X_1)/(V7_AGE_KNOT_X_2-V7_AGE_KNOT_X_1)*(V7_AGE_KNOT_Y_2-V7_AGE_KNOT_Y_1),IF(M254&lt;=V7_AGE_KNOT_X_3,V7_AGE_KNOT_Y_2+(M254-V7_AGE_KNOT_X_2)/(V7_AGE_KNOT_X_3-V7_AGE_KNOT_X_2)*(V7_AGE_KNOT_Y_3-V7_AGE_KNOT_Y_2),IF(M254&lt;=V7_AGE_KNOT_X_4,V7_AGE_KNOT_Y_3+(M254-V7_AGE_KNOT_X_3)/(V7_AGE_KNOT_X_4-V7_AGE_KNOT_X_3)*(V7_AGE_KNOT_Y_4-V7_AGE_KNOT_Y_3),V7_AGE_KNOT_Y_4+(M254-V7_AGE_KNOT_X_4)/(V7_AGE_KNOT_X_5-V7_AGE_KNOT_X_4)*(V7_AGE_KNOT_Y_5-V7_AGE_KNOT_Y_4)))))))</f>
        <v/>
      </c>
      <c r="X254" s="26">
        <f>V7_RATE_FLOOR+V7_RATE_ASYMPTOTE/(1+EXP(-(V254-V7_RATE_MID)/V7_RATE_SLOPE))</f>
        <v/>
      </c>
      <c r="Y254" s="26">
        <f>MAX(V7_SIZE_LOW,MIN(V7_SIZE_HIGH,V7_SIZE_INTERCEPT+V7_SIZE_SLOPE*(T254-V7_SIZE_LOG_ANCHOR)))</f>
        <v/>
      </c>
      <c r="Z254" s="26">
        <f>IF(ISNUMBER(SEARCH("232",E254)),VLOOKUP("232",V7_PROGRAM_TABLE,2,FALSE),IF(ISNUMBER(SEARCH("538",E254)),VLOOKUP("538",V7_PROGRAM_TABLE,2,FALSE),IF(ISNUMBER(SEARCH("223a7",E254)),VLOOKUP("223a7",V7_PROGRAM_TABLE,2,FALSE),IF(ISNUMBER(SEARCH("223f",E254)),VLOOKUP("223f",V7_PROGRAM_TABLE,2,FALSE),V7_PROGRAM_DEFAULT))))</f>
        <v/>
      </c>
      <c r="AA254" s="26">
        <f>IF(S254=1,1+V7_PURPOSE_NC_BUMP*MAX(0,1-ABS(M254-V7_PURPOSE_PEAK_AGE)/V7_PURPOSE_WIDTH),1)</f>
        <v/>
      </c>
      <c r="AB254" s="26">
        <f>IF(AND(IF(OR(P254="",NOT(ISNUMBER(P254))),0,MAX(0,MIN(24,(INT(VALUE(H254)/100)-INT(P254/100))*12+MOD(VALUE(H254),100)-MOD(P254,100))))&gt;0,IF(OR(P254="",NOT(ISNUMBER(P254))),0,MAX(0,MIN(24,(INT(VALUE(H254)/100)-INT(P254/100))*12+MOD(VALUE(H254),100)-MOD(P254,100))))&lt;=12),1+V7_LOCKOUT_AMP*EXP(-(IF(OR(P254="",NOT(ISNUMBER(P254))),0,MAX(0,MIN(24,(INT(VALUE(H254)/100)-INT(P254/100))*12+MOD(VALUE(H254),100)-MOD(P254,100)))))/V7_LOCKOUT_TAU),1)</f>
        <v/>
      </c>
      <c r="AC254" s="26">
        <f>IF(IF(OR(O254="",NOT(ISNUMBER(O254))),360,MAX(0,MIN(480,(INT(O254/100)-INT(VALUE(H254)/100))*12+MOD(O254,100)-MOD(VALUE(H254),100))))&gt;0,1+V7_MTY_AMP*MAX(0,(V7_MTY_CUTOFF-(IF(OR(O254="",NOT(ISNUMBER(O254))),360,MAX(0,MIN(480,(INT(O254/100)-INT(VALUE(H254)/100))*12+MOD(O254,100)-MOD(VALUE(H254),100))))))/V7_MTY_CUTOFF),1)</f>
        <v/>
      </c>
      <c r="AD254" s="26">
        <f>MAX(V7_BURN_FLOOR,1-V7_BURN_SLOPE*MIN(1,MAX(0,R254)))</f>
        <v/>
      </c>
      <c r="AE254" s="26">
        <f>IF(V7_USE_ISSUER=1,IFERROR(VLOOKUP(Q254,V7_ISSUER_TABLE,3,FALSE),1),1)</f>
        <v/>
      </c>
      <c r="AF254" s="26">
        <f>PRODUCT(W254:AE254)</f>
        <v/>
      </c>
      <c r="AG254" s="27">
        <f>MIN(V7_BASE_SMM*AF254,V7_SMM_CAP)</f>
        <v/>
      </c>
      <c r="AH254" s="28">
        <f>1-(1-AG254)^12</f>
        <v/>
      </c>
      <c r="AI254" s="28">
        <f>IFERROR(LN(W254)/(LN(W254)+LN(X254)+LN(Y254)+LN(Z254)+LN(AA254)+LN(AB254)+LN(AC254)+LN(AD254))*(AH254-V7_BASE_CPR),0)</f>
        <v/>
      </c>
      <c r="AJ254" s="28">
        <f>IFERROR(LN(X254)/(LN(W254)+LN(X254)+LN(Y254)+LN(Z254)+LN(AA254)+LN(AB254)+LN(AC254)+LN(AD254))*(AH254-V7_BASE_CPR),0)</f>
        <v/>
      </c>
      <c r="AK254" s="28">
        <f>IFERROR(LN(Y254)/(LN(W254)+LN(X254)+LN(Y254)+LN(Z254)+LN(AA254)+LN(AB254)+LN(AC254)+LN(AD254))*(AH254-V7_BASE_CPR),0)</f>
        <v/>
      </c>
      <c r="AL254" s="28">
        <f>IFERROR(LN(Z254)/(LN(W254)+LN(X254)+LN(Y254)+LN(Z254)+LN(AA254)+LN(AB254)+LN(AC254)+LN(AD254))*(AH254-V7_BASE_CPR),0)</f>
        <v/>
      </c>
      <c r="AM254" s="28">
        <f>IFERROR(LN(AA254)/(LN(W254)+LN(X254)+LN(Y254)+LN(Z254)+LN(AA254)+LN(AB254)+LN(AC254)+LN(AD254))*(AH254-V7_BASE_CPR),0)</f>
        <v/>
      </c>
      <c r="AN254" s="28">
        <f>IFERROR(LN(AB254)/(LN(W254)+LN(X254)+LN(Y254)+LN(Z254)+LN(AA254)+LN(AB254)+LN(AC254)+LN(AD254))*(AH254-V7_BASE_CPR),0)</f>
        <v/>
      </c>
      <c r="AO254" s="28">
        <f>IFERROR(LN(AC254)/(LN(W254)+LN(X254)+LN(Y254)+LN(Z254)+LN(AA254)+LN(AB254)+LN(AC254)+LN(AD254))*(AH254-V7_BASE_CPR),0)</f>
        <v/>
      </c>
      <c r="AP254" s="28">
        <f>IFERROR(LN(AD254)/(LN(W254)+LN(X254)+LN(Y254)+LN(Z254)+LN(AA254)+LN(AB254)+LN(AC254)+LN(AD254))*(AH254-V7_BASE_CPR),0)</f>
        <v/>
      </c>
      <c r="AQ254" s="29">
        <f>V7_BASE_CPR+SUM(AI254:AP254)-AH254</f>
        <v/>
      </c>
    </row>
  </sheetData>
  <mergeCells count="7">
    <mergeCell ref="AF1:AH1"/>
    <mergeCell ref="I1:S1"/>
    <mergeCell ref="AQ1"/>
    <mergeCell ref="T1:V1"/>
    <mergeCell ref="W1:AE1"/>
    <mergeCell ref="AI1:AP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3" t="inlineStr">
        <is>
          <t>Deal-level Rollup (UPB-weighted)</t>
        </is>
      </c>
    </row>
    <row r="2">
      <c r="A2" s="4" t="inlineStr">
        <is>
          <t>Deal_ID is sourced from Loan_Snapshot column B. Edit there to regroup.</t>
        </is>
      </c>
    </row>
    <row r="4">
      <c r="A4" s="21" t="inlineStr">
        <is>
          <t>Deal_ID</t>
        </is>
      </c>
      <c r="B4" s="21" t="inlineStr">
        <is>
          <t>n_loans</t>
        </is>
      </c>
      <c r="C4" s="21" t="inlineStr">
        <is>
          <t>total_UPB</t>
        </is>
      </c>
      <c r="D4" s="21" t="inlineStr">
        <is>
          <t>wavg_pred_CPR</t>
        </is>
      </c>
      <c r="E4" s="21" t="inlineStr">
        <is>
          <t>attr_M_age</t>
        </is>
      </c>
      <c r="F4" s="21" t="inlineStr">
        <is>
          <t>attr_M_rate</t>
        </is>
      </c>
      <c r="G4" s="21" t="inlineStr">
        <is>
          <t>attr_M_size</t>
        </is>
      </c>
      <c r="H4" s="21" t="inlineStr">
        <is>
          <t>attr_M_program</t>
        </is>
      </c>
      <c r="I4" s="21" t="inlineStr">
        <is>
          <t>attr_M_purpose</t>
        </is>
      </c>
      <c r="J4" s="21" t="inlineStr">
        <is>
          <t>attr_M_lockout</t>
        </is>
      </c>
      <c r="K4" s="21" t="inlineStr">
        <is>
          <t>attr_M_maturity</t>
        </is>
      </c>
      <c r="L4" s="21" t="inlineStr">
        <is>
          <t>attr_M_burnout</t>
        </is>
      </c>
      <c r="M4" s="21" t="inlineStr">
        <is>
          <t>sanity</t>
        </is>
      </c>
    </row>
    <row r="5">
      <c r="A5" s="2" t="inlineStr">
        <is>
          <t>LUMENT_PRE21</t>
        </is>
      </c>
      <c r="B5">
        <f>COUNTIF(Loan_Snapshot!$B$3:$B$254,$A5)</f>
        <v/>
      </c>
      <c r="C5" s="22">
        <f>SUMIF(Loan_Snapshot!$B$3:$B$254,$A5,Loan_Snapshot!$I$3:$I$254)</f>
        <v/>
      </c>
      <c r="D5" s="28">
        <f>IFERROR(SUMPRODUCT((Loan_Snapshot!$B$3:$B$254=$A5)*Loan_Snapshot!$I$3:$I$254*Loan_Snapshot!$AH$3:$AH$254)/$C5,0)</f>
        <v/>
      </c>
      <c r="E5" s="28">
        <f>IFERROR(SUMPRODUCT((Loan_Snapshot!$B$3:$B$254=$A5)*Loan_Snapshot!$I$3:$I$254*Loan_Snapshot!$AI$3:$AI$254)/$C5,0)</f>
        <v/>
      </c>
      <c r="F5" s="28">
        <f>IFERROR(SUMPRODUCT((Loan_Snapshot!$B$3:$B$254=$A5)*Loan_Snapshot!$I$3:$I$254*Loan_Snapshot!$AJ$3:$AJ$254)/$C5,0)</f>
        <v/>
      </c>
      <c r="G5" s="28">
        <f>IFERROR(SUMPRODUCT((Loan_Snapshot!$B$3:$B$254=$A5)*Loan_Snapshot!$I$3:$I$254*Loan_Snapshot!$AK$3:$AK$254)/$C5,0)</f>
        <v/>
      </c>
      <c r="H5" s="28">
        <f>IFERROR(SUMPRODUCT((Loan_Snapshot!$B$3:$B$254=$A5)*Loan_Snapshot!$I$3:$I$254*Loan_Snapshot!$AL$3:$AL$254)/$C5,0)</f>
        <v/>
      </c>
      <c r="I5" s="28">
        <f>IFERROR(SUMPRODUCT((Loan_Snapshot!$B$3:$B$254=$A5)*Loan_Snapshot!$I$3:$I$254*Loan_Snapshot!$AM$3:$AM$254)/$C5,0)</f>
        <v/>
      </c>
      <c r="J5" s="28">
        <f>IFERROR(SUMPRODUCT((Loan_Snapshot!$B$3:$B$254=$A5)*Loan_Snapshot!$I$3:$I$254*Loan_Snapshot!$AN$3:$AN$254)/$C5,0)</f>
        <v/>
      </c>
      <c r="K5" s="28">
        <f>IFERROR(SUMPRODUCT((Loan_Snapshot!$B$3:$B$254=$A5)*Loan_Snapshot!$I$3:$I$254*Loan_Snapshot!$AO$3:$AO$254)/$C5,0)</f>
        <v/>
      </c>
      <c r="L5" s="28">
        <f>IFERROR(SUMPRODUCT((Loan_Snapshot!$B$3:$B$254=$A5)*Loan_Snapshot!$I$3:$I$254*Loan_Snapshot!$AP$3:$AP$254)/$C5,0)</f>
        <v/>
      </c>
      <c r="M5" s="29">
        <f>V7_BASE_CPR+SUM(E5:L5)-$D5</f>
        <v/>
      </c>
    </row>
    <row r="6">
      <c r="A6" s="2" t="inlineStr">
        <is>
          <t>BERKADIA_PRE21</t>
        </is>
      </c>
      <c r="B6">
        <f>COUNTIF(Loan_Snapshot!$B$3:$B$254,$A6)</f>
        <v/>
      </c>
      <c r="C6" s="22">
        <f>SUMIF(Loan_Snapshot!$B$3:$B$254,$A6,Loan_Snapshot!$I$3:$I$254)</f>
        <v/>
      </c>
      <c r="D6" s="28">
        <f>IFERROR(SUMPRODUCT((Loan_Snapshot!$B$3:$B$254=$A6)*Loan_Snapshot!$I$3:$I$254*Loan_Snapshot!$AH$3:$AH$254)/$C6,0)</f>
        <v/>
      </c>
      <c r="E6" s="28">
        <f>IFERROR(SUMPRODUCT((Loan_Snapshot!$B$3:$B$254=$A6)*Loan_Snapshot!$I$3:$I$254*Loan_Snapshot!$AI$3:$AI$254)/$C6,0)</f>
        <v/>
      </c>
      <c r="F6" s="28">
        <f>IFERROR(SUMPRODUCT((Loan_Snapshot!$B$3:$B$254=$A6)*Loan_Snapshot!$I$3:$I$254*Loan_Snapshot!$AJ$3:$AJ$254)/$C6,0)</f>
        <v/>
      </c>
      <c r="G6" s="28">
        <f>IFERROR(SUMPRODUCT((Loan_Snapshot!$B$3:$B$254=$A6)*Loan_Snapshot!$I$3:$I$254*Loan_Snapshot!$AK$3:$AK$254)/$C6,0)</f>
        <v/>
      </c>
      <c r="H6" s="28">
        <f>IFERROR(SUMPRODUCT((Loan_Snapshot!$B$3:$B$254=$A6)*Loan_Snapshot!$I$3:$I$254*Loan_Snapshot!$AL$3:$AL$254)/$C6,0)</f>
        <v/>
      </c>
      <c r="I6" s="28">
        <f>IFERROR(SUMPRODUCT((Loan_Snapshot!$B$3:$B$254=$A6)*Loan_Snapshot!$I$3:$I$254*Loan_Snapshot!$AM$3:$AM$254)/$C6,0)</f>
        <v/>
      </c>
      <c r="J6" s="28">
        <f>IFERROR(SUMPRODUCT((Loan_Snapshot!$B$3:$B$254=$A6)*Loan_Snapshot!$I$3:$I$254*Loan_Snapshot!$AN$3:$AN$254)/$C6,0)</f>
        <v/>
      </c>
      <c r="K6" s="28">
        <f>IFERROR(SUMPRODUCT((Loan_Snapshot!$B$3:$B$254=$A6)*Loan_Snapshot!$I$3:$I$254*Loan_Snapshot!$AO$3:$AO$254)/$C6,0)</f>
        <v/>
      </c>
      <c r="L6" s="28">
        <f>IFERROR(SUMPRODUCT((Loan_Snapshot!$B$3:$B$254=$A6)*Loan_Snapshot!$I$3:$I$254*Loan_Snapshot!$AP$3:$AP$254)/$C6,0)</f>
        <v/>
      </c>
      <c r="M6" s="29">
        <f>V7_BASE_CPR+SUM(E6:L6)-$D6</f>
        <v/>
      </c>
    </row>
    <row r="7">
      <c r="A7" s="2" t="inlineStr">
        <is>
          <t>PNC_PRE21</t>
        </is>
      </c>
      <c r="B7">
        <f>COUNTIF(Loan_Snapshot!$B$3:$B$254,$A7)</f>
        <v/>
      </c>
      <c r="C7" s="22">
        <f>SUMIF(Loan_Snapshot!$B$3:$B$254,$A7,Loan_Snapshot!$I$3:$I$254)</f>
        <v/>
      </c>
      <c r="D7" s="28">
        <f>IFERROR(SUMPRODUCT((Loan_Snapshot!$B$3:$B$254=$A7)*Loan_Snapshot!$I$3:$I$254*Loan_Snapshot!$AH$3:$AH$254)/$C7,0)</f>
        <v/>
      </c>
      <c r="E7" s="28">
        <f>IFERROR(SUMPRODUCT((Loan_Snapshot!$B$3:$B$254=$A7)*Loan_Snapshot!$I$3:$I$254*Loan_Snapshot!$AI$3:$AI$254)/$C7,0)</f>
        <v/>
      </c>
      <c r="F7" s="28">
        <f>IFERROR(SUMPRODUCT((Loan_Snapshot!$B$3:$B$254=$A7)*Loan_Snapshot!$I$3:$I$254*Loan_Snapshot!$AJ$3:$AJ$254)/$C7,0)</f>
        <v/>
      </c>
      <c r="G7" s="28">
        <f>IFERROR(SUMPRODUCT((Loan_Snapshot!$B$3:$B$254=$A7)*Loan_Snapshot!$I$3:$I$254*Loan_Snapshot!$AK$3:$AK$254)/$C7,0)</f>
        <v/>
      </c>
      <c r="H7" s="28">
        <f>IFERROR(SUMPRODUCT((Loan_Snapshot!$B$3:$B$254=$A7)*Loan_Snapshot!$I$3:$I$254*Loan_Snapshot!$AL$3:$AL$254)/$C7,0)</f>
        <v/>
      </c>
      <c r="I7" s="28">
        <f>IFERROR(SUMPRODUCT((Loan_Snapshot!$B$3:$B$254=$A7)*Loan_Snapshot!$I$3:$I$254*Loan_Snapshot!$AM$3:$AM$254)/$C7,0)</f>
        <v/>
      </c>
      <c r="J7" s="28">
        <f>IFERROR(SUMPRODUCT((Loan_Snapshot!$B$3:$B$254=$A7)*Loan_Snapshot!$I$3:$I$254*Loan_Snapshot!$AN$3:$AN$254)/$C7,0)</f>
        <v/>
      </c>
      <c r="K7" s="28">
        <f>IFERROR(SUMPRODUCT((Loan_Snapshot!$B$3:$B$254=$A7)*Loan_Snapshot!$I$3:$I$254*Loan_Snapshot!$AO$3:$AO$254)/$C7,0)</f>
        <v/>
      </c>
      <c r="L7" s="28">
        <f>IFERROR(SUMPRODUCT((Loan_Snapshot!$B$3:$B$254=$A7)*Loan_Snapshot!$I$3:$I$254*Loan_Snapshot!$AP$3:$AP$254)/$C7,0)</f>
        <v/>
      </c>
      <c r="M7" s="29">
        <f>V7_BASE_CPR+SUM(E7:L7)-$D7</f>
        <v/>
      </c>
    </row>
    <row r="8">
      <c r="A8" s="2" t="inlineStr">
        <is>
          <t>WALKER_PRE21</t>
        </is>
      </c>
      <c r="B8">
        <f>COUNTIF(Loan_Snapshot!$B$3:$B$254,$A8)</f>
        <v/>
      </c>
      <c r="C8" s="22">
        <f>SUMIF(Loan_Snapshot!$B$3:$B$254,$A8,Loan_Snapshot!$I$3:$I$254)</f>
        <v/>
      </c>
      <c r="D8" s="28">
        <f>IFERROR(SUMPRODUCT((Loan_Snapshot!$B$3:$B$254=$A8)*Loan_Snapshot!$I$3:$I$254*Loan_Snapshot!$AH$3:$AH$254)/$C8,0)</f>
        <v/>
      </c>
      <c r="E8" s="28">
        <f>IFERROR(SUMPRODUCT((Loan_Snapshot!$B$3:$B$254=$A8)*Loan_Snapshot!$I$3:$I$254*Loan_Snapshot!$AI$3:$AI$254)/$C8,0)</f>
        <v/>
      </c>
      <c r="F8" s="28">
        <f>IFERROR(SUMPRODUCT((Loan_Snapshot!$B$3:$B$254=$A8)*Loan_Snapshot!$I$3:$I$254*Loan_Snapshot!$AJ$3:$AJ$254)/$C8,0)</f>
        <v/>
      </c>
      <c r="G8" s="28">
        <f>IFERROR(SUMPRODUCT((Loan_Snapshot!$B$3:$B$254=$A8)*Loan_Snapshot!$I$3:$I$254*Loan_Snapshot!$AK$3:$AK$254)/$C8,0)</f>
        <v/>
      </c>
      <c r="H8" s="28">
        <f>IFERROR(SUMPRODUCT((Loan_Snapshot!$B$3:$B$254=$A8)*Loan_Snapshot!$I$3:$I$254*Loan_Snapshot!$AL$3:$AL$254)/$C8,0)</f>
        <v/>
      </c>
      <c r="I8" s="28">
        <f>IFERROR(SUMPRODUCT((Loan_Snapshot!$B$3:$B$254=$A8)*Loan_Snapshot!$I$3:$I$254*Loan_Snapshot!$AM$3:$AM$254)/$C8,0)</f>
        <v/>
      </c>
      <c r="J8" s="28">
        <f>IFERROR(SUMPRODUCT((Loan_Snapshot!$B$3:$B$254=$A8)*Loan_Snapshot!$I$3:$I$254*Loan_Snapshot!$AN$3:$AN$254)/$C8,0)</f>
        <v/>
      </c>
      <c r="K8" s="28">
        <f>IFERROR(SUMPRODUCT((Loan_Snapshot!$B$3:$B$254=$A8)*Loan_Snapshot!$I$3:$I$254*Loan_Snapshot!$AO$3:$AO$254)/$C8,0)</f>
        <v/>
      </c>
      <c r="L8" s="28">
        <f>IFERROR(SUMPRODUCT((Loan_Snapshot!$B$3:$B$254=$A8)*Loan_Snapshot!$I$3:$I$254*Loan_Snapshot!$AP$3:$AP$254)/$C8,0)</f>
        <v/>
      </c>
      <c r="M8" s="29">
        <f>V7_BASE_CPR+SUM(E8:L8)-$D8</f>
        <v/>
      </c>
    </row>
    <row r="9">
      <c r="A9" s="2" t="inlineStr">
        <is>
          <t>WELLS_PRE21</t>
        </is>
      </c>
      <c r="B9">
        <f>COUNTIF(Loan_Snapshot!$B$3:$B$254,$A9)</f>
        <v/>
      </c>
      <c r="C9" s="22">
        <f>SUMIF(Loan_Snapshot!$B$3:$B$254,$A9,Loan_Snapshot!$I$3:$I$254)</f>
        <v/>
      </c>
      <c r="D9" s="28">
        <f>IFERROR(SUMPRODUCT((Loan_Snapshot!$B$3:$B$254=$A9)*Loan_Snapshot!$I$3:$I$254*Loan_Snapshot!$AH$3:$AH$254)/$C9,0)</f>
        <v/>
      </c>
      <c r="E9" s="28">
        <f>IFERROR(SUMPRODUCT((Loan_Snapshot!$B$3:$B$254=$A9)*Loan_Snapshot!$I$3:$I$254*Loan_Snapshot!$AI$3:$AI$254)/$C9,0)</f>
        <v/>
      </c>
      <c r="F9" s="28">
        <f>IFERROR(SUMPRODUCT((Loan_Snapshot!$B$3:$B$254=$A9)*Loan_Snapshot!$I$3:$I$254*Loan_Snapshot!$AJ$3:$AJ$254)/$C9,0)</f>
        <v/>
      </c>
      <c r="G9" s="28">
        <f>IFERROR(SUMPRODUCT((Loan_Snapshot!$B$3:$B$254=$A9)*Loan_Snapshot!$I$3:$I$254*Loan_Snapshot!$AK$3:$AK$254)/$C9,0)</f>
        <v/>
      </c>
      <c r="H9" s="28">
        <f>IFERROR(SUMPRODUCT((Loan_Snapshot!$B$3:$B$254=$A9)*Loan_Snapshot!$I$3:$I$254*Loan_Snapshot!$AL$3:$AL$254)/$C9,0)</f>
        <v/>
      </c>
      <c r="I9" s="28">
        <f>IFERROR(SUMPRODUCT((Loan_Snapshot!$B$3:$B$254=$A9)*Loan_Snapshot!$I$3:$I$254*Loan_Snapshot!$AM$3:$AM$254)/$C9,0)</f>
        <v/>
      </c>
      <c r="J9" s="28">
        <f>IFERROR(SUMPRODUCT((Loan_Snapshot!$B$3:$B$254=$A9)*Loan_Snapshot!$I$3:$I$254*Loan_Snapshot!$AN$3:$AN$254)/$C9,0)</f>
        <v/>
      </c>
      <c r="K9" s="28">
        <f>IFERROR(SUMPRODUCT((Loan_Snapshot!$B$3:$B$254=$A9)*Loan_Snapshot!$I$3:$I$254*Loan_Snapshot!$AO$3:$AO$254)/$C9,0)</f>
        <v/>
      </c>
      <c r="L9" s="28">
        <f>IFERROR(SUMPRODUCT((Loan_Snapshot!$B$3:$B$254=$A9)*Loan_Snapshot!$I$3:$I$254*Loan_Snapshot!$AP$3:$AP$254)/$C9,0)</f>
        <v/>
      </c>
      <c r="M9" s="29">
        <f>V7_BASE_CPR+SUM(E9:L9)-$D9</f>
        <v/>
      </c>
    </row>
    <row r="10">
      <c r="A10" s="2" t="inlineStr">
        <is>
          <t>GREYSTONE_POST21</t>
        </is>
      </c>
      <c r="B10">
        <f>COUNTIF(Loan_Snapshot!$B$3:$B$254,$A10)</f>
        <v/>
      </c>
      <c r="C10" s="22">
        <f>SUMIF(Loan_Snapshot!$B$3:$B$254,$A10,Loan_Snapshot!$I$3:$I$254)</f>
        <v/>
      </c>
      <c r="D10" s="28">
        <f>IFERROR(SUMPRODUCT((Loan_Snapshot!$B$3:$B$254=$A10)*Loan_Snapshot!$I$3:$I$254*Loan_Snapshot!$AH$3:$AH$254)/$C10,0)</f>
        <v/>
      </c>
      <c r="E10" s="28">
        <f>IFERROR(SUMPRODUCT((Loan_Snapshot!$B$3:$B$254=$A10)*Loan_Snapshot!$I$3:$I$254*Loan_Snapshot!$AI$3:$AI$254)/$C10,0)</f>
        <v/>
      </c>
      <c r="F10" s="28">
        <f>IFERROR(SUMPRODUCT((Loan_Snapshot!$B$3:$B$254=$A10)*Loan_Snapshot!$I$3:$I$254*Loan_Snapshot!$AJ$3:$AJ$254)/$C10,0)</f>
        <v/>
      </c>
      <c r="G10" s="28">
        <f>IFERROR(SUMPRODUCT((Loan_Snapshot!$B$3:$B$254=$A10)*Loan_Snapshot!$I$3:$I$254*Loan_Snapshot!$AK$3:$AK$254)/$C10,0)</f>
        <v/>
      </c>
      <c r="H10" s="28">
        <f>IFERROR(SUMPRODUCT((Loan_Snapshot!$B$3:$B$254=$A10)*Loan_Snapshot!$I$3:$I$254*Loan_Snapshot!$AL$3:$AL$254)/$C10,0)</f>
        <v/>
      </c>
      <c r="I10" s="28">
        <f>IFERROR(SUMPRODUCT((Loan_Snapshot!$B$3:$B$254=$A10)*Loan_Snapshot!$I$3:$I$254*Loan_Snapshot!$AM$3:$AM$254)/$C10,0)</f>
        <v/>
      </c>
      <c r="J10" s="28">
        <f>IFERROR(SUMPRODUCT((Loan_Snapshot!$B$3:$B$254=$A10)*Loan_Snapshot!$I$3:$I$254*Loan_Snapshot!$AN$3:$AN$254)/$C10,0)</f>
        <v/>
      </c>
      <c r="K10" s="28">
        <f>IFERROR(SUMPRODUCT((Loan_Snapshot!$B$3:$B$254=$A10)*Loan_Snapshot!$I$3:$I$254*Loan_Snapshot!$AO$3:$AO$254)/$C10,0)</f>
        <v/>
      </c>
      <c r="L10" s="28">
        <f>IFERROR(SUMPRODUCT((Loan_Snapshot!$B$3:$B$254=$A10)*Loan_Snapshot!$I$3:$I$254*Loan_Snapshot!$AP$3:$AP$254)/$C10,0)</f>
        <v/>
      </c>
      <c r="M10" s="29">
        <f>V7_BASE_CPR+SUM(E10:L10)-$D10</f>
        <v/>
      </c>
    </row>
    <row r="11">
      <c r="A11" s="2" t="inlineStr">
        <is>
          <t>CAPITAL_PRE21</t>
        </is>
      </c>
      <c r="B11">
        <f>COUNTIF(Loan_Snapshot!$B$3:$B$254,$A11)</f>
        <v/>
      </c>
      <c r="C11" s="22">
        <f>SUMIF(Loan_Snapshot!$B$3:$B$254,$A11,Loan_Snapshot!$I$3:$I$254)</f>
        <v/>
      </c>
      <c r="D11" s="28">
        <f>IFERROR(SUMPRODUCT((Loan_Snapshot!$B$3:$B$254=$A11)*Loan_Snapshot!$I$3:$I$254*Loan_Snapshot!$AH$3:$AH$254)/$C11,0)</f>
        <v/>
      </c>
      <c r="E11" s="28">
        <f>IFERROR(SUMPRODUCT((Loan_Snapshot!$B$3:$B$254=$A11)*Loan_Snapshot!$I$3:$I$254*Loan_Snapshot!$AI$3:$AI$254)/$C11,0)</f>
        <v/>
      </c>
      <c r="F11" s="28">
        <f>IFERROR(SUMPRODUCT((Loan_Snapshot!$B$3:$B$254=$A11)*Loan_Snapshot!$I$3:$I$254*Loan_Snapshot!$AJ$3:$AJ$254)/$C11,0)</f>
        <v/>
      </c>
      <c r="G11" s="28">
        <f>IFERROR(SUMPRODUCT((Loan_Snapshot!$B$3:$B$254=$A11)*Loan_Snapshot!$I$3:$I$254*Loan_Snapshot!$AK$3:$AK$254)/$C11,0)</f>
        <v/>
      </c>
      <c r="H11" s="28">
        <f>IFERROR(SUMPRODUCT((Loan_Snapshot!$B$3:$B$254=$A11)*Loan_Snapshot!$I$3:$I$254*Loan_Snapshot!$AL$3:$AL$254)/$C11,0)</f>
        <v/>
      </c>
      <c r="I11" s="28">
        <f>IFERROR(SUMPRODUCT((Loan_Snapshot!$B$3:$B$254=$A11)*Loan_Snapshot!$I$3:$I$254*Loan_Snapshot!$AM$3:$AM$254)/$C11,0)</f>
        <v/>
      </c>
      <c r="J11" s="28">
        <f>IFERROR(SUMPRODUCT((Loan_Snapshot!$B$3:$B$254=$A11)*Loan_Snapshot!$I$3:$I$254*Loan_Snapshot!$AN$3:$AN$254)/$C11,0)</f>
        <v/>
      </c>
      <c r="K11" s="28">
        <f>IFERROR(SUMPRODUCT((Loan_Snapshot!$B$3:$B$254=$A11)*Loan_Snapshot!$I$3:$I$254*Loan_Snapshot!$AO$3:$AO$254)/$C11,0)</f>
        <v/>
      </c>
      <c r="L11" s="28">
        <f>IFERROR(SUMPRODUCT((Loan_Snapshot!$B$3:$B$254=$A11)*Loan_Snapshot!$I$3:$I$254*Loan_Snapshot!$AP$3:$AP$254)/$C11,0)</f>
        <v/>
      </c>
      <c r="M11" s="29">
        <f>V7_BASE_CPR+SUM(E11:L11)-$D11</f>
        <v/>
      </c>
    </row>
    <row r="12">
      <c r="A12" s="2" t="inlineStr">
        <is>
          <t>MERCHANTS_PRE21</t>
        </is>
      </c>
      <c r="B12">
        <f>COUNTIF(Loan_Snapshot!$B$3:$B$254,$A12)</f>
        <v/>
      </c>
      <c r="C12" s="22">
        <f>SUMIF(Loan_Snapshot!$B$3:$B$254,$A12,Loan_Snapshot!$I$3:$I$254)</f>
        <v/>
      </c>
      <c r="D12" s="28">
        <f>IFERROR(SUMPRODUCT((Loan_Snapshot!$B$3:$B$254=$A12)*Loan_Snapshot!$I$3:$I$254*Loan_Snapshot!$AH$3:$AH$254)/$C12,0)</f>
        <v/>
      </c>
      <c r="E12" s="28">
        <f>IFERROR(SUMPRODUCT((Loan_Snapshot!$B$3:$B$254=$A12)*Loan_Snapshot!$I$3:$I$254*Loan_Snapshot!$AI$3:$AI$254)/$C12,0)</f>
        <v/>
      </c>
      <c r="F12" s="28">
        <f>IFERROR(SUMPRODUCT((Loan_Snapshot!$B$3:$B$254=$A12)*Loan_Snapshot!$I$3:$I$254*Loan_Snapshot!$AJ$3:$AJ$254)/$C12,0)</f>
        <v/>
      </c>
      <c r="G12" s="28">
        <f>IFERROR(SUMPRODUCT((Loan_Snapshot!$B$3:$B$254=$A12)*Loan_Snapshot!$I$3:$I$254*Loan_Snapshot!$AK$3:$AK$254)/$C12,0)</f>
        <v/>
      </c>
      <c r="H12" s="28">
        <f>IFERROR(SUMPRODUCT((Loan_Snapshot!$B$3:$B$254=$A12)*Loan_Snapshot!$I$3:$I$254*Loan_Snapshot!$AL$3:$AL$254)/$C12,0)</f>
        <v/>
      </c>
      <c r="I12" s="28">
        <f>IFERROR(SUMPRODUCT((Loan_Snapshot!$B$3:$B$254=$A12)*Loan_Snapshot!$I$3:$I$254*Loan_Snapshot!$AM$3:$AM$254)/$C12,0)</f>
        <v/>
      </c>
      <c r="J12" s="28">
        <f>IFERROR(SUMPRODUCT((Loan_Snapshot!$B$3:$B$254=$A12)*Loan_Snapshot!$I$3:$I$254*Loan_Snapshot!$AN$3:$AN$254)/$C12,0)</f>
        <v/>
      </c>
      <c r="K12" s="28">
        <f>IFERROR(SUMPRODUCT((Loan_Snapshot!$B$3:$B$254=$A12)*Loan_Snapshot!$I$3:$I$254*Loan_Snapshot!$AO$3:$AO$254)/$C12,0)</f>
        <v/>
      </c>
      <c r="L12" s="28">
        <f>IFERROR(SUMPRODUCT((Loan_Snapshot!$B$3:$B$254=$A12)*Loan_Snapshot!$I$3:$I$254*Loan_Snapshot!$AP$3:$AP$254)/$C12,0)</f>
        <v/>
      </c>
      <c r="M12" s="29">
        <f>V7_BASE_CPR+SUM(E12:L12)-$D12</f>
        <v/>
      </c>
    </row>
    <row r="13">
      <c r="A13" s="2" t="inlineStr">
        <is>
          <t>KEYBANK_PRE21</t>
        </is>
      </c>
      <c r="B13">
        <f>COUNTIF(Loan_Snapshot!$B$3:$B$254,$A13)</f>
        <v/>
      </c>
      <c r="C13" s="22">
        <f>SUMIF(Loan_Snapshot!$B$3:$B$254,$A13,Loan_Snapshot!$I$3:$I$254)</f>
        <v/>
      </c>
      <c r="D13" s="28">
        <f>IFERROR(SUMPRODUCT((Loan_Snapshot!$B$3:$B$254=$A13)*Loan_Snapshot!$I$3:$I$254*Loan_Snapshot!$AH$3:$AH$254)/$C13,0)</f>
        <v/>
      </c>
      <c r="E13" s="28">
        <f>IFERROR(SUMPRODUCT((Loan_Snapshot!$B$3:$B$254=$A13)*Loan_Snapshot!$I$3:$I$254*Loan_Snapshot!$AI$3:$AI$254)/$C13,0)</f>
        <v/>
      </c>
      <c r="F13" s="28">
        <f>IFERROR(SUMPRODUCT((Loan_Snapshot!$B$3:$B$254=$A13)*Loan_Snapshot!$I$3:$I$254*Loan_Snapshot!$AJ$3:$AJ$254)/$C13,0)</f>
        <v/>
      </c>
      <c r="G13" s="28">
        <f>IFERROR(SUMPRODUCT((Loan_Snapshot!$B$3:$B$254=$A13)*Loan_Snapshot!$I$3:$I$254*Loan_Snapshot!$AK$3:$AK$254)/$C13,0)</f>
        <v/>
      </c>
      <c r="H13" s="28">
        <f>IFERROR(SUMPRODUCT((Loan_Snapshot!$B$3:$B$254=$A13)*Loan_Snapshot!$I$3:$I$254*Loan_Snapshot!$AL$3:$AL$254)/$C13,0)</f>
        <v/>
      </c>
      <c r="I13" s="28">
        <f>IFERROR(SUMPRODUCT((Loan_Snapshot!$B$3:$B$254=$A13)*Loan_Snapshot!$I$3:$I$254*Loan_Snapshot!$AM$3:$AM$254)/$C13,0)</f>
        <v/>
      </c>
      <c r="J13" s="28">
        <f>IFERROR(SUMPRODUCT((Loan_Snapshot!$B$3:$B$254=$A13)*Loan_Snapshot!$I$3:$I$254*Loan_Snapshot!$AN$3:$AN$254)/$C13,0)</f>
        <v/>
      </c>
      <c r="K13" s="28">
        <f>IFERROR(SUMPRODUCT((Loan_Snapshot!$B$3:$B$254=$A13)*Loan_Snapshot!$I$3:$I$254*Loan_Snapshot!$AO$3:$AO$254)/$C13,0)</f>
        <v/>
      </c>
      <c r="L13" s="28">
        <f>IFERROR(SUMPRODUCT((Loan_Snapshot!$B$3:$B$254=$A13)*Loan_Snapshot!$I$3:$I$254*Loan_Snapshot!$AP$3:$AP$254)/$C13,0)</f>
        <v/>
      </c>
      <c r="M13" s="29">
        <f>V7_BASE_CPR+SUM(E13:L13)-$D13</f>
        <v/>
      </c>
    </row>
    <row r="14">
      <c r="A14" s="2" t="inlineStr">
        <is>
          <t>LUMENT_POST21</t>
        </is>
      </c>
      <c r="B14">
        <f>COUNTIF(Loan_Snapshot!$B$3:$B$254,$A14)</f>
        <v/>
      </c>
      <c r="C14" s="22">
        <f>SUMIF(Loan_Snapshot!$B$3:$B$254,$A14,Loan_Snapshot!$I$3:$I$254)</f>
        <v/>
      </c>
      <c r="D14" s="28">
        <f>IFERROR(SUMPRODUCT((Loan_Snapshot!$B$3:$B$254=$A14)*Loan_Snapshot!$I$3:$I$254*Loan_Snapshot!$AH$3:$AH$254)/$C14,0)</f>
        <v/>
      </c>
      <c r="E14" s="28">
        <f>IFERROR(SUMPRODUCT((Loan_Snapshot!$B$3:$B$254=$A14)*Loan_Snapshot!$I$3:$I$254*Loan_Snapshot!$AI$3:$AI$254)/$C14,0)</f>
        <v/>
      </c>
      <c r="F14" s="28">
        <f>IFERROR(SUMPRODUCT((Loan_Snapshot!$B$3:$B$254=$A14)*Loan_Snapshot!$I$3:$I$254*Loan_Snapshot!$AJ$3:$AJ$254)/$C14,0)</f>
        <v/>
      </c>
      <c r="G14" s="28">
        <f>IFERROR(SUMPRODUCT((Loan_Snapshot!$B$3:$B$254=$A14)*Loan_Snapshot!$I$3:$I$254*Loan_Snapshot!$AK$3:$AK$254)/$C14,0)</f>
        <v/>
      </c>
      <c r="H14" s="28">
        <f>IFERROR(SUMPRODUCT((Loan_Snapshot!$B$3:$B$254=$A14)*Loan_Snapshot!$I$3:$I$254*Loan_Snapshot!$AL$3:$AL$254)/$C14,0)</f>
        <v/>
      </c>
      <c r="I14" s="28">
        <f>IFERROR(SUMPRODUCT((Loan_Snapshot!$B$3:$B$254=$A14)*Loan_Snapshot!$I$3:$I$254*Loan_Snapshot!$AM$3:$AM$254)/$C14,0)</f>
        <v/>
      </c>
      <c r="J14" s="28">
        <f>IFERROR(SUMPRODUCT((Loan_Snapshot!$B$3:$B$254=$A14)*Loan_Snapshot!$I$3:$I$254*Loan_Snapshot!$AN$3:$AN$254)/$C14,0)</f>
        <v/>
      </c>
      <c r="K14" s="28">
        <f>IFERROR(SUMPRODUCT((Loan_Snapshot!$B$3:$B$254=$A14)*Loan_Snapshot!$I$3:$I$254*Loan_Snapshot!$AO$3:$AO$254)/$C14,0)</f>
        <v/>
      </c>
      <c r="L14" s="28">
        <f>IFERROR(SUMPRODUCT((Loan_Snapshot!$B$3:$B$254=$A14)*Loan_Snapshot!$I$3:$I$254*Loan_Snapshot!$AP$3:$AP$254)/$C14,0)</f>
        <v/>
      </c>
      <c r="M14" s="29">
        <f>V7_BASE_CPR+SUM(E14:L14)-$D14</f>
        <v/>
      </c>
    </row>
    <row r="15">
      <c r="A15" s="2" t="inlineStr">
        <is>
          <t>BERKADIA_POST21</t>
        </is>
      </c>
      <c r="B15">
        <f>COUNTIF(Loan_Snapshot!$B$3:$B$254,$A15)</f>
        <v/>
      </c>
      <c r="C15" s="22">
        <f>SUMIF(Loan_Snapshot!$B$3:$B$254,$A15,Loan_Snapshot!$I$3:$I$254)</f>
        <v/>
      </c>
      <c r="D15" s="28">
        <f>IFERROR(SUMPRODUCT((Loan_Snapshot!$B$3:$B$254=$A15)*Loan_Snapshot!$I$3:$I$254*Loan_Snapshot!$AH$3:$AH$254)/$C15,0)</f>
        <v/>
      </c>
      <c r="E15" s="28">
        <f>IFERROR(SUMPRODUCT((Loan_Snapshot!$B$3:$B$254=$A15)*Loan_Snapshot!$I$3:$I$254*Loan_Snapshot!$AI$3:$AI$254)/$C15,0)</f>
        <v/>
      </c>
      <c r="F15" s="28">
        <f>IFERROR(SUMPRODUCT((Loan_Snapshot!$B$3:$B$254=$A15)*Loan_Snapshot!$I$3:$I$254*Loan_Snapshot!$AJ$3:$AJ$254)/$C15,0)</f>
        <v/>
      </c>
      <c r="G15" s="28">
        <f>IFERROR(SUMPRODUCT((Loan_Snapshot!$B$3:$B$254=$A15)*Loan_Snapshot!$I$3:$I$254*Loan_Snapshot!$AK$3:$AK$254)/$C15,0)</f>
        <v/>
      </c>
      <c r="H15" s="28">
        <f>IFERROR(SUMPRODUCT((Loan_Snapshot!$B$3:$B$254=$A15)*Loan_Snapshot!$I$3:$I$254*Loan_Snapshot!$AL$3:$AL$254)/$C15,0)</f>
        <v/>
      </c>
      <c r="I15" s="28">
        <f>IFERROR(SUMPRODUCT((Loan_Snapshot!$B$3:$B$254=$A15)*Loan_Snapshot!$I$3:$I$254*Loan_Snapshot!$AM$3:$AM$254)/$C15,0)</f>
        <v/>
      </c>
      <c r="J15" s="28">
        <f>IFERROR(SUMPRODUCT((Loan_Snapshot!$B$3:$B$254=$A15)*Loan_Snapshot!$I$3:$I$254*Loan_Snapshot!$AN$3:$AN$254)/$C15,0)</f>
        <v/>
      </c>
      <c r="K15" s="28">
        <f>IFERROR(SUMPRODUCT((Loan_Snapshot!$B$3:$B$254=$A15)*Loan_Snapshot!$I$3:$I$254*Loan_Snapshot!$AO$3:$AO$254)/$C15,0)</f>
        <v/>
      </c>
      <c r="L15" s="28">
        <f>IFERROR(SUMPRODUCT((Loan_Snapshot!$B$3:$B$254=$A15)*Loan_Snapshot!$I$3:$I$254*Loan_Snapshot!$AP$3:$AP$254)/$C15,0)</f>
        <v/>
      </c>
      <c r="M15" s="29">
        <f>V7_BASE_CPR+SUM(E15:L15)-$D15</f>
        <v/>
      </c>
    </row>
    <row r="16">
      <c r="A16" s="2" t="inlineStr">
        <is>
          <t>GREYSTONE_PRE21</t>
        </is>
      </c>
      <c r="B16">
        <f>COUNTIF(Loan_Snapshot!$B$3:$B$254,$A16)</f>
        <v/>
      </c>
      <c r="C16" s="22">
        <f>SUMIF(Loan_Snapshot!$B$3:$B$254,$A16,Loan_Snapshot!$I$3:$I$254)</f>
        <v/>
      </c>
      <c r="D16" s="28">
        <f>IFERROR(SUMPRODUCT((Loan_Snapshot!$B$3:$B$254=$A16)*Loan_Snapshot!$I$3:$I$254*Loan_Snapshot!$AH$3:$AH$254)/$C16,0)</f>
        <v/>
      </c>
      <c r="E16" s="28">
        <f>IFERROR(SUMPRODUCT((Loan_Snapshot!$B$3:$B$254=$A16)*Loan_Snapshot!$I$3:$I$254*Loan_Snapshot!$AI$3:$AI$254)/$C16,0)</f>
        <v/>
      </c>
      <c r="F16" s="28">
        <f>IFERROR(SUMPRODUCT((Loan_Snapshot!$B$3:$B$254=$A16)*Loan_Snapshot!$I$3:$I$254*Loan_Snapshot!$AJ$3:$AJ$254)/$C16,0)</f>
        <v/>
      </c>
      <c r="G16" s="28">
        <f>IFERROR(SUMPRODUCT((Loan_Snapshot!$B$3:$B$254=$A16)*Loan_Snapshot!$I$3:$I$254*Loan_Snapshot!$AK$3:$AK$254)/$C16,0)</f>
        <v/>
      </c>
      <c r="H16" s="28">
        <f>IFERROR(SUMPRODUCT((Loan_Snapshot!$B$3:$B$254=$A16)*Loan_Snapshot!$I$3:$I$254*Loan_Snapshot!$AL$3:$AL$254)/$C16,0)</f>
        <v/>
      </c>
      <c r="I16" s="28">
        <f>IFERROR(SUMPRODUCT((Loan_Snapshot!$B$3:$B$254=$A16)*Loan_Snapshot!$I$3:$I$254*Loan_Snapshot!$AM$3:$AM$254)/$C16,0)</f>
        <v/>
      </c>
      <c r="J16" s="28">
        <f>IFERROR(SUMPRODUCT((Loan_Snapshot!$B$3:$B$254=$A16)*Loan_Snapshot!$I$3:$I$254*Loan_Snapshot!$AN$3:$AN$254)/$C16,0)</f>
        <v/>
      </c>
      <c r="K16" s="28">
        <f>IFERROR(SUMPRODUCT((Loan_Snapshot!$B$3:$B$254=$A16)*Loan_Snapshot!$I$3:$I$254*Loan_Snapshot!$AO$3:$AO$254)/$C16,0)</f>
        <v/>
      </c>
      <c r="L16" s="28">
        <f>IFERROR(SUMPRODUCT((Loan_Snapshot!$B$3:$B$254=$A16)*Loan_Snapshot!$I$3:$I$254*Loan_Snapshot!$AP$3:$AP$254)/$C16,0)</f>
        <v/>
      </c>
      <c r="M16" s="29">
        <f>V7_BASE_CPR+SUM(E16:L16)-$D16</f>
        <v/>
      </c>
    </row>
    <row r="17">
      <c r="A17" s="2" t="inlineStr">
        <is>
          <t>WALKER_POST21</t>
        </is>
      </c>
      <c r="B17">
        <f>COUNTIF(Loan_Snapshot!$B$3:$B$254,$A17)</f>
        <v/>
      </c>
      <c r="C17" s="22">
        <f>SUMIF(Loan_Snapshot!$B$3:$B$254,$A17,Loan_Snapshot!$I$3:$I$254)</f>
        <v/>
      </c>
      <c r="D17" s="28">
        <f>IFERROR(SUMPRODUCT((Loan_Snapshot!$B$3:$B$254=$A17)*Loan_Snapshot!$I$3:$I$254*Loan_Snapshot!$AH$3:$AH$254)/$C17,0)</f>
        <v/>
      </c>
      <c r="E17" s="28">
        <f>IFERROR(SUMPRODUCT((Loan_Snapshot!$B$3:$B$254=$A17)*Loan_Snapshot!$I$3:$I$254*Loan_Snapshot!$AI$3:$AI$254)/$C17,0)</f>
        <v/>
      </c>
      <c r="F17" s="28">
        <f>IFERROR(SUMPRODUCT((Loan_Snapshot!$B$3:$B$254=$A17)*Loan_Snapshot!$I$3:$I$254*Loan_Snapshot!$AJ$3:$AJ$254)/$C17,0)</f>
        <v/>
      </c>
      <c r="G17" s="28">
        <f>IFERROR(SUMPRODUCT((Loan_Snapshot!$B$3:$B$254=$A17)*Loan_Snapshot!$I$3:$I$254*Loan_Snapshot!$AK$3:$AK$254)/$C17,0)</f>
        <v/>
      </c>
      <c r="H17" s="28">
        <f>IFERROR(SUMPRODUCT((Loan_Snapshot!$B$3:$B$254=$A17)*Loan_Snapshot!$I$3:$I$254*Loan_Snapshot!$AL$3:$AL$254)/$C17,0)</f>
        <v/>
      </c>
      <c r="I17" s="28">
        <f>IFERROR(SUMPRODUCT((Loan_Snapshot!$B$3:$B$254=$A17)*Loan_Snapshot!$I$3:$I$254*Loan_Snapshot!$AM$3:$AM$254)/$C17,0)</f>
        <v/>
      </c>
      <c r="J17" s="28">
        <f>IFERROR(SUMPRODUCT((Loan_Snapshot!$B$3:$B$254=$A17)*Loan_Snapshot!$I$3:$I$254*Loan_Snapshot!$AN$3:$AN$254)/$C17,0)</f>
        <v/>
      </c>
      <c r="K17" s="28">
        <f>IFERROR(SUMPRODUCT((Loan_Snapshot!$B$3:$B$254=$A17)*Loan_Snapshot!$I$3:$I$254*Loan_Snapshot!$AO$3:$AO$254)/$C17,0)</f>
        <v/>
      </c>
      <c r="L17" s="28">
        <f>IFERROR(SUMPRODUCT((Loan_Snapshot!$B$3:$B$254=$A17)*Loan_Snapshot!$I$3:$I$254*Loan_Snapshot!$AP$3:$AP$254)/$C17,0)</f>
        <v/>
      </c>
      <c r="M17" s="29">
        <f>V7_BASE_CPR+SUM(E17:L17)-$D17</f>
        <v/>
      </c>
    </row>
    <row r="18">
      <c r="A18" s="2" t="inlineStr">
        <is>
          <t>DWIGHT_POST21</t>
        </is>
      </c>
      <c r="B18">
        <f>COUNTIF(Loan_Snapshot!$B$3:$B$254,$A18)</f>
        <v/>
      </c>
      <c r="C18" s="22">
        <f>SUMIF(Loan_Snapshot!$B$3:$B$254,$A18,Loan_Snapshot!$I$3:$I$254)</f>
        <v/>
      </c>
      <c r="D18" s="28">
        <f>IFERROR(SUMPRODUCT((Loan_Snapshot!$B$3:$B$254=$A18)*Loan_Snapshot!$I$3:$I$254*Loan_Snapshot!$AH$3:$AH$254)/$C18,0)</f>
        <v/>
      </c>
      <c r="E18" s="28">
        <f>IFERROR(SUMPRODUCT((Loan_Snapshot!$B$3:$B$254=$A18)*Loan_Snapshot!$I$3:$I$254*Loan_Snapshot!$AI$3:$AI$254)/$C18,0)</f>
        <v/>
      </c>
      <c r="F18" s="28">
        <f>IFERROR(SUMPRODUCT((Loan_Snapshot!$B$3:$B$254=$A18)*Loan_Snapshot!$I$3:$I$254*Loan_Snapshot!$AJ$3:$AJ$254)/$C18,0)</f>
        <v/>
      </c>
      <c r="G18" s="28">
        <f>IFERROR(SUMPRODUCT((Loan_Snapshot!$B$3:$B$254=$A18)*Loan_Snapshot!$I$3:$I$254*Loan_Snapshot!$AK$3:$AK$254)/$C18,0)</f>
        <v/>
      </c>
      <c r="H18" s="28">
        <f>IFERROR(SUMPRODUCT((Loan_Snapshot!$B$3:$B$254=$A18)*Loan_Snapshot!$I$3:$I$254*Loan_Snapshot!$AL$3:$AL$254)/$C18,0)</f>
        <v/>
      </c>
      <c r="I18" s="28">
        <f>IFERROR(SUMPRODUCT((Loan_Snapshot!$B$3:$B$254=$A18)*Loan_Snapshot!$I$3:$I$254*Loan_Snapshot!$AM$3:$AM$254)/$C18,0)</f>
        <v/>
      </c>
      <c r="J18" s="28">
        <f>IFERROR(SUMPRODUCT((Loan_Snapshot!$B$3:$B$254=$A18)*Loan_Snapshot!$I$3:$I$254*Loan_Snapshot!$AN$3:$AN$254)/$C18,0)</f>
        <v/>
      </c>
      <c r="K18" s="28">
        <f>IFERROR(SUMPRODUCT((Loan_Snapshot!$B$3:$B$254=$A18)*Loan_Snapshot!$I$3:$I$254*Loan_Snapshot!$AO$3:$AO$254)/$C18,0)</f>
        <v/>
      </c>
      <c r="L18" s="28">
        <f>IFERROR(SUMPRODUCT((Loan_Snapshot!$B$3:$B$254=$A18)*Loan_Snapshot!$I$3:$I$254*Loan_Snapshot!$AP$3:$AP$254)/$C18,0)</f>
        <v/>
      </c>
      <c r="M18" s="29">
        <f>V7_BASE_CPR+SUM(E18:L18)-$D18</f>
        <v/>
      </c>
    </row>
    <row r="19">
      <c r="A19" s="2" t="inlineStr">
        <is>
          <t>MERCHANTS_POST21</t>
        </is>
      </c>
      <c r="B19">
        <f>COUNTIF(Loan_Snapshot!$B$3:$B$254,$A19)</f>
        <v/>
      </c>
      <c r="C19" s="22">
        <f>SUMIF(Loan_Snapshot!$B$3:$B$254,$A19,Loan_Snapshot!$I$3:$I$254)</f>
        <v/>
      </c>
      <c r="D19" s="28">
        <f>IFERROR(SUMPRODUCT((Loan_Snapshot!$B$3:$B$254=$A19)*Loan_Snapshot!$I$3:$I$254*Loan_Snapshot!$AH$3:$AH$254)/$C19,0)</f>
        <v/>
      </c>
      <c r="E19" s="28">
        <f>IFERROR(SUMPRODUCT((Loan_Snapshot!$B$3:$B$254=$A19)*Loan_Snapshot!$I$3:$I$254*Loan_Snapshot!$AI$3:$AI$254)/$C19,0)</f>
        <v/>
      </c>
      <c r="F19" s="28">
        <f>IFERROR(SUMPRODUCT((Loan_Snapshot!$B$3:$B$254=$A19)*Loan_Snapshot!$I$3:$I$254*Loan_Snapshot!$AJ$3:$AJ$254)/$C19,0)</f>
        <v/>
      </c>
      <c r="G19" s="28">
        <f>IFERROR(SUMPRODUCT((Loan_Snapshot!$B$3:$B$254=$A19)*Loan_Snapshot!$I$3:$I$254*Loan_Snapshot!$AK$3:$AK$254)/$C19,0)</f>
        <v/>
      </c>
      <c r="H19" s="28">
        <f>IFERROR(SUMPRODUCT((Loan_Snapshot!$B$3:$B$254=$A19)*Loan_Snapshot!$I$3:$I$254*Loan_Snapshot!$AL$3:$AL$254)/$C19,0)</f>
        <v/>
      </c>
      <c r="I19" s="28">
        <f>IFERROR(SUMPRODUCT((Loan_Snapshot!$B$3:$B$254=$A19)*Loan_Snapshot!$I$3:$I$254*Loan_Snapshot!$AM$3:$AM$254)/$C19,0)</f>
        <v/>
      </c>
      <c r="J19" s="28">
        <f>IFERROR(SUMPRODUCT((Loan_Snapshot!$B$3:$B$254=$A19)*Loan_Snapshot!$I$3:$I$254*Loan_Snapshot!$AN$3:$AN$254)/$C19,0)</f>
        <v/>
      </c>
      <c r="K19" s="28">
        <f>IFERROR(SUMPRODUCT((Loan_Snapshot!$B$3:$B$254=$A19)*Loan_Snapshot!$I$3:$I$254*Loan_Snapshot!$AO$3:$AO$254)/$C19,0)</f>
        <v/>
      </c>
      <c r="L19" s="28">
        <f>IFERROR(SUMPRODUCT((Loan_Snapshot!$B$3:$B$254=$A19)*Loan_Snapshot!$I$3:$I$254*Loan_Snapshot!$AP$3:$AP$254)/$C19,0)</f>
        <v/>
      </c>
      <c r="M19" s="29">
        <f>V7_BASE_CPR+SUM(E19:L19)-$D19</f>
        <v/>
      </c>
    </row>
    <row r="20">
      <c r="A20" s="2" t="inlineStr">
        <is>
          <t>DWIGHT_PRE21</t>
        </is>
      </c>
      <c r="B20">
        <f>COUNTIF(Loan_Snapshot!$B$3:$B$254,$A20)</f>
        <v/>
      </c>
      <c r="C20" s="22">
        <f>SUMIF(Loan_Snapshot!$B$3:$B$254,$A20,Loan_Snapshot!$I$3:$I$254)</f>
        <v/>
      </c>
      <c r="D20" s="28">
        <f>IFERROR(SUMPRODUCT((Loan_Snapshot!$B$3:$B$254=$A20)*Loan_Snapshot!$I$3:$I$254*Loan_Snapshot!$AH$3:$AH$254)/$C20,0)</f>
        <v/>
      </c>
      <c r="E20" s="28">
        <f>IFERROR(SUMPRODUCT((Loan_Snapshot!$B$3:$B$254=$A20)*Loan_Snapshot!$I$3:$I$254*Loan_Snapshot!$AI$3:$AI$254)/$C20,0)</f>
        <v/>
      </c>
      <c r="F20" s="28">
        <f>IFERROR(SUMPRODUCT((Loan_Snapshot!$B$3:$B$254=$A20)*Loan_Snapshot!$I$3:$I$254*Loan_Snapshot!$AJ$3:$AJ$254)/$C20,0)</f>
        <v/>
      </c>
      <c r="G20" s="28">
        <f>IFERROR(SUMPRODUCT((Loan_Snapshot!$B$3:$B$254=$A20)*Loan_Snapshot!$I$3:$I$254*Loan_Snapshot!$AK$3:$AK$254)/$C20,0)</f>
        <v/>
      </c>
      <c r="H20" s="28">
        <f>IFERROR(SUMPRODUCT((Loan_Snapshot!$B$3:$B$254=$A20)*Loan_Snapshot!$I$3:$I$254*Loan_Snapshot!$AL$3:$AL$254)/$C20,0)</f>
        <v/>
      </c>
      <c r="I20" s="28">
        <f>IFERROR(SUMPRODUCT((Loan_Snapshot!$B$3:$B$254=$A20)*Loan_Snapshot!$I$3:$I$254*Loan_Snapshot!$AM$3:$AM$254)/$C20,0)</f>
        <v/>
      </c>
      <c r="J20" s="28">
        <f>IFERROR(SUMPRODUCT((Loan_Snapshot!$B$3:$B$254=$A20)*Loan_Snapshot!$I$3:$I$254*Loan_Snapshot!$AN$3:$AN$254)/$C20,0)</f>
        <v/>
      </c>
      <c r="K20" s="28">
        <f>IFERROR(SUMPRODUCT((Loan_Snapshot!$B$3:$B$254=$A20)*Loan_Snapshot!$I$3:$I$254*Loan_Snapshot!$AO$3:$AO$254)/$C20,0)</f>
        <v/>
      </c>
      <c r="L20" s="28">
        <f>IFERROR(SUMPRODUCT((Loan_Snapshot!$B$3:$B$254=$A20)*Loan_Snapshot!$I$3:$I$254*Loan_Snapshot!$AP$3:$AP$254)/$C20,0)</f>
        <v/>
      </c>
      <c r="M20" s="29">
        <f>V7_BASE_CPR+SUM(E20:L20)-$D20</f>
        <v/>
      </c>
    </row>
    <row r="21">
      <c r="A21" s="2" t="inlineStr">
        <is>
          <t>JLL_PRE21</t>
        </is>
      </c>
      <c r="B21">
        <f>COUNTIF(Loan_Snapshot!$B$3:$B$254,$A21)</f>
        <v/>
      </c>
      <c r="C21" s="22">
        <f>SUMIF(Loan_Snapshot!$B$3:$B$254,$A21,Loan_Snapshot!$I$3:$I$254)</f>
        <v/>
      </c>
      <c r="D21" s="28">
        <f>IFERROR(SUMPRODUCT((Loan_Snapshot!$B$3:$B$254=$A21)*Loan_Snapshot!$I$3:$I$254*Loan_Snapshot!$AH$3:$AH$254)/$C21,0)</f>
        <v/>
      </c>
      <c r="E21" s="28">
        <f>IFERROR(SUMPRODUCT((Loan_Snapshot!$B$3:$B$254=$A21)*Loan_Snapshot!$I$3:$I$254*Loan_Snapshot!$AI$3:$AI$254)/$C21,0)</f>
        <v/>
      </c>
      <c r="F21" s="28">
        <f>IFERROR(SUMPRODUCT((Loan_Snapshot!$B$3:$B$254=$A21)*Loan_Snapshot!$I$3:$I$254*Loan_Snapshot!$AJ$3:$AJ$254)/$C21,0)</f>
        <v/>
      </c>
      <c r="G21" s="28">
        <f>IFERROR(SUMPRODUCT((Loan_Snapshot!$B$3:$B$254=$A21)*Loan_Snapshot!$I$3:$I$254*Loan_Snapshot!$AK$3:$AK$254)/$C21,0)</f>
        <v/>
      </c>
      <c r="H21" s="28">
        <f>IFERROR(SUMPRODUCT((Loan_Snapshot!$B$3:$B$254=$A21)*Loan_Snapshot!$I$3:$I$254*Loan_Snapshot!$AL$3:$AL$254)/$C21,0)</f>
        <v/>
      </c>
      <c r="I21" s="28">
        <f>IFERROR(SUMPRODUCT((Loan_Snapshot!$B$3:$B$254=$A21)*Loan_Snapshot!$I$3:$I$254*Loan_Snapshot!$AM$3:$AM$254)/$C21,0)</f>
        <v/>
      </c>
      <c r="J21" s="28">
        <f>IFERROR(SUMPRODUCT((Loan_Snapshot!$B$3:$B$254=$A21)*Loan_Snapshot!$I$3:$I$254*Loan_Snapshot!$AN$3:$AN$254)/$C21,0)</f>
        <v/>
      </c>
      <c r="K21" s="28">
        <f>IFERROR(SUMPRODUCT((Loan_Snapshot!$B$3:$B$254=$A21)*Loan_Snapshot!$I$3:$I$254*Loan_Snapshot!$AO$3:$AO$254)/$C21,0)</f>
        <v/>
      </c>
      <c r="L21" s="28">
        <f>IFERROR(SUMPRODUCT((Loan_Snapshot!$B$3:$B$254=$A21)*Loan_Snapshot!$I$3:$I$254*Loan_Snapshot!$AP$3:$AP$254)/$C21,0)</f>
        <v/>
      </c>
      <c r="M21" s="29">
        <f>V7_BASE_CPR+SUM(E21:L21)-$D21</f>
        <v/>
      </c>
    </row>
    <row r="22">
      <c r="A22" s="2" t="inlineStr">
        <is>
          <t>BELLWETHER_PRE21</t>
        </is>
      </c>
      <c r="B22">
        <f>COUNTIF(Loan_Snapshot!$B$3:$B$254,$A22)</f>
        <v/>
      </c>
      <c r="C22" s="22">
        <f>SUMIF(Loan_Snapshot!$B$3:$B$254,$A22,Loan_Snapshot!$I$3:$I$254)</f>
        <v/>
      </c>
      <c r="D22" s="28">
        <f>IFERROR(SUMPRODUCT((Loan_Snapshot!$B$3:$B$254=$A22)*Loan_Snapshot!$I$3:$I$254*Loan_Snapshot!$AH$3:$AH$254)/$C22,0)</f>
        <v/>
      </c>
      <c r="E22" s="28">
        <f>IFERROR(SUMPRODUCT((Loan_Snapshot!$B$3:$B$254=$A22)*Loan_Snapshot!$I$3:$I$254*Loan_Snapshot!$AI$3:$AI$254)/$C22,0)</f>
        <v/>
      </c>
      <c r="F22" s="28">
        <f>IFERROR(SUMPRODUCT((Loan_Snapshot!$B$3:$B$254=$A22)*Loan_Snapshot!$I$3:$I$254*Loan_Snapshot!$AJ$3:$AJ$254)/$C22,0)</f>
        <v/>
      </c>
      <c r="G22" s="28">
        <f>IFERROR(SUMPRODUCT((Loan_Snapshot!$B$3:$B$254=$A22)*Loan_Snapshot!$I$3:$I$254*Loan_Snapshot!$AK$3:$AK$254)/$C22,0)</f>
        <v/>
      </c>
      <c r="H22" s="28">
        <f>IFERROR(SUMPRODUCT((Loan_Snapshot!$B$3:$B$254=$A22)*Loan_Snapshot!$I$3:$I$254*Loan_Snapshot!$AL$3:$AL$254)/$C22,0)</f>
        <v/>
      </c>
      <c r="I22" s="28">
        <f>IFERROR(SUMPRODUCT((Loan_Snapshot!$B$3:$B$254=$A22)*Loan_Snapshot!$I$3:$I$254*Loan_Snapshot!$AM$3:$AM$254)/$C22,0)</f>
        <v/>
      </c>
      <c r="J22" s="28">
        <f>IFERROR(SUMPRODUCT((Loan_Snapshot!$B$3:$B$254=$A22)*Loan_Snapshot!$I$3:$I$254*Loan_Snapshot!$AN$3:$AN$254)/$C22,0)</f>
        <v/>
      </c>
      <c r="K22" s="28">
        <f>IFERROR(SUMPRODUCT((Loan_Snapshot!$B$3:$B$254=$A22)*Loan_Snapshot!$I$3:$I$254*Loan_Snapshot!$AO$3:$AO$254)/$C22,0)</f>
        <v/>
      </c>
      <c r="L22" s="28">
        <f>IFERROR(SUMPRODUCT((Loan_Snapshot!$B$3:$B$254=$A22)*Loan_Snapshot!$I$3:$I$254*Loan_Snapshot!$AP$3:$AP$254)/$C22,0)</f>
        <v/>
      </c>
      <c r="M22" s="29">
        <f>V7_BASE_CPR+SUM(E22:L22)-$D22</f>
        <v/>
      </c>
    </row>
    <row r="23">
      <c r="A23" s="2" t="inlineStr">
        <is>
          <t>CAPITAL_POST21</t>
        </is>
      </c>
      <c r="B23">
        <f>COUNTIF(Loan_Snapshot!$B$3:$B$254,$A23)</f>
        <v/>
      </c>
      <c r="C23" s="22">
        <f>SUMIF(Loan_Snapshot!$B$3:$B$254,$A23,Loan_Snapshot!$I$3:$I$254)</f>
        <v/>
      </c>
      <c r="D23" s="28">
        <f>IFERROR(SUMPRODUCT((Loan_Snapshot!$B$3:$B$254=$A23)*Loan_Snapshot!$I$3:$I$254*Loan_Snapshot!$AH$3:$AH$254)/$C23,0)</f>
        <v/>
      </c>
      <c r="E23" s="28">
        <f>IFERROR(SUMPRODUCT((Loan_Snapshot!$B$3:$B$254=$A23)*Loan_Snapshot!$I$3:$I$254*Loan_Snapshot!$AI$3:$AI$254)/$C23,0)</f>
        <v/>
      </c>
      <c r="F23" s="28">
        <f>IFERROR(SUMPRODUCT((Loan_Snapshot!$B$3:$B$254=$A23)*Loan_Snapshot!$I$3:$I$254*Loan_Snapshot!$AJ$3:$AJ$254)/$C23,0)</f>
        <v/>
      </c>
      <c r="G23" s="28">
        <f>IFERROR(SUMPRODUCT((Loan_Snapshot!$B$3:$B$254=$A23)*Loan_Snapshot!$I$3:$I$254*Loan_Snapshot!$AK$3:$AK$254)/$C23,0)</f>
        <v/>
      </c>
      <c r="H23" s="28">
        <f>IFERROR(SUMPRODUCT((Loan_Snapshot!$B$3:$B$254=$A23)*Loan_Snapshot!$I$3:$I$254*Loan_Snapshot!$AL$3:$AL$254)/$C23,0)</f>
        <v/>
      </c>
      <c r="I23" s="28">
        <f>IFERROR(SUMPRODUCT((Loan_Snapshot!$B$3:$B$254=$A23)*Loan_Snapshot!$I$3:$I$254*Loan_Snapshot!$AM$3:$AM$254)/$C23,0)</f>
        <v/>
      </c>
      <c r="J23" s="28">
        <f>IFERROR(SUMPRODUCT((Loan_Snapshot!$B$3:$B$254=$A23)*Loan_Snapshot!$I$3:$I$254*Loan_Snapshot!$AN$3:$AN$254)/$C23,0)</f>
        <v/>
      </c>
      <c r="K23" s="28">
        <f>IFERROR(SUMPRODUCT((Loan_Snapshot!$B$3:$B$254=$A23)*Loan_Snapshot!$I$3:$I$254*Loan_Snapshot!$AO$3:$AO$254)/$C23,0)</f>
        <v/>
      </c>
      <c r="L23" s="28">
        <f>IFERROR(SUMPRODUCT((Loan_Snapshot!$B$3:$B$254=$A23)*Loan_Snapshot!$I$3:$I$254*Loan_Snapshot!$AP$3:$AP$254)/$C23,0)</f>
        <v/>
      </c>
      <c r="M23" s="29">
        <f>V7_BASE_CPR+SUM(E23:L23)-$D23</f>
        <v/>
      </c>
    </row>
    <row r="24">
      <c r="A24" s="2" t="inlineStr">
        <is>
          <t>PGIM_PRE21</t>
        </is>
      </c>
      <c r="B24">
        <f>COUNTIF(Loan_Snapshot!$B$3:$B$254,$A24)</f>
        <v/>
      </c>
      <c r="C24" s="22">
        <f>SUMIF(Loan_Snapshot!$B$3:$B$254,$A24,Loan_Snapshot!$I$3:$I$254)</f>
        <v/>
      </c>
      <c r="D24" s="28">
        <f>IFERROR(SUMPRODUCT((Loan_Snapshot!$B$3:$B$254=$A24)*Loan_Snapshot!$I$3:$I$254*Loan_Snapshot!$AH$3:$AH$254)/$C24,0)</f>
        <v/>
      </c>
      <c r="E24" s="28">
        <f>IFERROR(SUMPRODUCT((Loan_Snapshot!$B$3:$B$254=$A24)*Loan_Snapshot!$I$3:$I$254*Loan_Snapshot!$AI$3:$AI$254)/$C24,0)</f>
        <v/>
      </c>
      <c r="F24" s="28">
        <f>IFERROR(SUMPRODUCT((Loan_Snapshot!$B$3:$B$254=$A24)*Loan_Snapshot!$I$3:$I$254*Loan_Snapshot!$AJ$3:$AJ$254)/$C24,0)</f>
        <v/>
      </c>
      <c r="G24" s="28">
        <f>IFERROR(SUMPRODUCT((Loan_Snapshot!$B$3:$B$254=$A24)*Loan_Snapshot!$I$3:$I$254*Loan_Snapshot!$AK$3:$AK$254)/$C24,0)</f>
        <v/>
      </c>
      <c r="H24" s="28">
        <f>IFERROR(SUMPRODUCT((Loan_Snapshot!$B$3:$B$254=$A24)*Loan_Snapshot!$I$3:$I$254*Loan_Snapshot!$AL$3:$AL$254)/$C24,0)</f>
        <v/>
      </c>
      <c r="I24" s="28">
        <f>IFERROR(SUMPRODUCT((Loan_Snapshot!$B$3:$B$254=$A24)*Loan_Snapshot!$I$3:$I$254*Loan_Snapshot!$AM$3:$AM$254)/$C24,0)</f>
        <v/>
      </c>
      <c r="J24" s="28">
        <f>IFERROR(SUMPRODUCT((Loan_Snapshot!$B$3:$B$254=$A24)*Loan_Snapshot!$I$3:$I$254*Loan_Snapshot!$AN$3:$AN$254)/$C24,0)</f>
        <v/>
      </c>
      <c r="K24" s="28">
        <f>IFERROR(SUMPRODUCT((Loan_Snapshot!$B$3:$B$254=$A24)*Loan_Snapshot!$I$3:$I$254*Loan_Snapshot!$AO$3:$AO$254)/$C24,0)</f>
        <v/>
      </c>
      <c r="L24" s="28">
        <f>IFERROR(SUMPRODUCT((Loan_Snapshot!$B$3:$B$254=$A24)*Loan_Snapshot!$I$3:$I$254*Loan_Snapshot!$AP$3:$AP$254)/$C24,0)</f>
        <v/>
      </c>
      <c r="M24" s="29">
        <f>V7_BASE_CPR+SUM(E24:L24)-$D24</f>
        <v/>
      </c>
    </row>
    <row r="25">
      <c r="A25" s="2" t="inlineStr">
        <is>
          <t>JLL_POST21</t>
        </is>
      </c>
      <c r="B25">
        <f>COUNTIF(Loan_Snapshot!$B$3:$B$254,$A25)</f>
        <v/>
      </c>
      <c r="C25" s="22">
        <f>SUMIF(Loan_Snapshot!$B$3:$B$254,$A25,Loan_Snapshot!$I$3:$I$254)</f>
        <v/>
      </c>
      <c r="D25" s="28">
        <f>IFERROR(SUMPRODUCT((Loan_Snapshot!$B$3:$B$254=$A25)*Loan_Snapshot!$I$3:$I$254*Loan_Snapshot!$AH$3:$AH$254)/$C25,0)</f>
        <v/>
      </c>
      <c r="E25" s="28">
        <f>IFERROR(SUMPRODUCT((Loan_Snapshot!$B$3:$B$254=$A25)*Loan_Snapshot!$I$3:$I$254*Loan_Snapshot!$AI$3:$AI$254)/$C25,0)</f>
        <v/>
      </c>
      <c r="F25" s="28">
        <f>IFERROR(SUMPRODUCT((Loan_Snapshot!$B$3:$B$254=$A25)*Loan_Snapshot!$I$3:$I$254*Loan_Snapshot!$AJ$3:$AJ$254)/$C25,0)</f>
        <v/>
      </c>
      <c r="G25" s="28">
        <f>IFERROR(SUMPRODUCT((Loan_Snapshot!$B$3:$B$254=$A25)*Loan_Snapshot!$I$3:$I$254*Loan_Snapshot!$AK$3:$AK$254)/$C25,0)</f>
        <v/>
      </c>
      <c r="H25" s="28">
        <f>IFERROR(SUMPRODUCT((Loan_Snapshot!$B$3:$B$254=$A25)*Loan_Snapshot!$I$3:$I$254*Loan_Snapshot!$AL$3:$AL$254)/$C25,0)</f>
        <v/>
      </c>
      <c r="I25" s="28">
        <f>IFERROR(SUMPRODUCT((Loan_Snapshot!$B$3:$B$254=$A25)*Loan_Snapshot!$I$3:$I$254*Loan_Snapshot!$AM$3:$AM$254)/$C25,0)</f>
        <v/>
      </c>
      <c r="J25" s="28">
        <f>IFERROR(SUMPRODUCT((Loan_Snapshot!$B$3:$B$254=$A25)*Loan_Snapshot!$I$3:$I$254*Loan_Snapshot!$AN$3:$AN$254)/$C25,0)</f>
        <v/>
      </c>
      <c r="K25" s="28">
        <f>IFERROR(SUMPRODUCT((Loan_Snapshot!$B$3:$B$254=$A25)*Loan_Snapshot!$I$3:$I$254*Loan_Snapshot!$AO$3:$AO$254)/$C25,0)</f>
        <v/>
      </c>
      <c r="L25" s="28">
        <f>IFERROR(SUMPRODUCT((Loan_Snapshot!$B$3:$B$254=$A25)*Loan_Snapshot!$I$3:$I$254*Loan_Snapshot!$AP$3:$AP$254)/$C25,0)</f>
        <v/>
      </c>
      <c r="M25" s="29">
        <f>V7_BASE_CPR+SUM(E25:L25)-$D25</f>
        <v/>
      </c>
    </row>
    <row r="26">
      <c r="A26" s="2" t="inlineStr">
        <is>
          <t>WELLS_POST21</t>
        </is>
      </c>
      <c r="B26">
        <f>COUNTIF(Loan_Snapshot!$B$3:$B$254,$A26)</f>
        <v/>
      </c>
      <c r="C26" s="22">
        <f>SUMIF(Loan_Snapshot!$B$3:$B$254,$A26,Loan_Snapshot!$I$3:$I$254)</f>
        <v/>
      </c>
      <c r="D26" s="28">
        <f>IFERROR(SUMPRODUCT((Loan_Snapshot!$B$3:$B$254=$A26)*Loan_Snapshot!$I$3:$I$254*Loan_Snapshot!$AH$3:$AH$254)/$C26,0)</f>
        <v/>
      </c>
      <c r="E26" s="28">
        <f>IFERROR(SUMPRODUCT((Loan_Snapshot!$B$3:$B$254=$A26)*Loan_Snapshot!$I$3:$I$254*Loan_Snapshot!$AI$3:$AI$254)/$C26,0)</f>
        <v/>
      </c>
      <c r="F26" s="28">
        <f>IFERROR(SUMPRODUCT((Loan_Snapshot!$B$3:$B$254=$A26)*Loan_Snapshot!$I$3:$I$254*Loan_Snapshot!$AJ$3:$AJ$254)/$C26,0)</f>
        <v/>
      </c>
      <c r="G26" s="28">
        <f>IFERROR(SUMPRODUCT((Loan_Snapshot!$B$3:$B$254=$A26)*Loan_Snapshot!$I$3:$I$254*Loan_Snapshot!$AK$3:$AK$254)/$C26,0)</f>
        <v/>
      </c>
      <c r="H26" s="28">
        <f>IFERROR(SUMPRODUCT((Loan_Snapshot!$B$3:$B$254=$A26)*Loan_Snapshot!$I$3:$I$254*Loan_Snapshot!$AL$3:$AL$254)/$C26,0)</f>
        <v/>
      </c>
      <c r="I26" s="28">
        <f>IFERROR(SUMPRODUCT((Loan_Snapshot!$B$3:$B$254=$A26)*Loan_Snapshot!$I$3:$I$254*Loan_Snapshot!$AM$3:$AM$254)/$C26,0)</f>
        <v/>
      </c>
      <c r="J26" s="28">
        <f>IFERROR(SUMPRODUCT((Loan_Snapshot!$B$3:$B$254=$A26)*Loan_Snapshot!$I$3:$I$254*Loan_Snapshot!$AN$3:$AN$254)/$C26,0)</f>
        <v/>
      </c>
      <c r="K26" s="28">
        <f>IFERROR(SUMPRODUCT((Loan_Snapshot!$B$3:$B$254=$A26)*Loan_Snapshot!$I$3:$I$254*Loan_Snapshot!$AO$3:$AO$254)/$C26,0)</f>
        <v/>
      </c>
      <c r="L26" s="28">
        <f>IFERROR(SUMPRODUCT((Loan_Snapshot!$B$3:$B$254=$A26)*Loan_Snapshot!$I$3:$I$254*Loan_Snapshot!$AP$3:$AP$254)/$C26,0)</f>
        <v/>
      </c>
      <c r="M26" s="29">
        <f>V7_BASE_CPR+SUM(E26:L26)-$D26</f>
        <v/>
      </c>
    </row>
    <row r="27">
      <c r="A27" s="2" t="inlineStr">
        <is>
          <t>KEYBANK_POST21</t>
        </is>
      </c>
      <c r="B27">
        <f>COUNTIF(Loan_Snapshot!$B$3:$B$254,$A27)</f>
        <v/>
      </c>
      <c r="C27" s="22">
        <f>SUMIF(Loan_Snapshot!$B$3:$B$254,$A27,Loan_Snapshot!$I$3:$I$254)</f>
        <v/>
      </c>
      <c r="D27" s="28">
        <f>IFERROR(SUMPRODUCT((Loan_Snapshot!$B$3:$B$254=$A27)*Loan_Snapshot!$I$3:$I$254*Loan_Snapshot!$AH$3:$AH$254)/$C27,0)</f>
        <v/>
      </c>
      <c r="E27" s="28">
        <f>IFERROR(SUMPRODUCT((Loan_Snapshot!$B$3:$B$254=$A27)*Loan_Snapshot!$I$3:$I$254*Loan_Snapshot!$AI$3:$AI$254)/$C27,0)</f>
        <v/>
      </c>
      <c r="F27" s="28">
        <f>IFERROR(SUMPRODUCT((Loan_Snapshot!$B$3:$B$254=$A27)*Loan_Snapshot!$I$3:$I$254*Loan_Snapshot!$AJ$3:$AJ$254)/$C27,0)</f>
        <v/>
      </c>
      <c r="G27" s="28">
        <f>IFERROR(SUMPRODUCT((Loan_Snapshot!$B$3:$B$254=$A27)*Loan_Snapshot!$I$3:$I$254*Loan_Snapshot!$AK$3:$AK$254)/$C27,0)</f>
        <v/>
      </c>
      <c r="H27" s="28">
        <f>IFERROR(SUMPRODUCT((Loan_Snapshot!$B$3:$B$254=$A27)*Loan_Snapshot!$I$3:$I$254*Loan_Snapshot!$AL$3:$AL$254)/$C27,0)</f>
        <v/>
      </c>
      <c r="I27" s="28">
        <f>IFERROR(SUMPRODUCT((Loan_Snapshot!$B$3:$B$254=$A27)*Loan_Snapshot!$I$3:$I$254*Loan_Snapshot!$AM$3:$AM$254)/$C27,0)</f>
        <v/>
      </c>
      <c r="J27" s="28">
        <f>IFERROR(SUMPRODUCT((Loan_Snapshot!$B$3:$B$254=$A27)*Loan_Snapshot!$I$3:$I$254*Loan_Snapshot!$AN$3:$AN$254)/$C27,0)</f>
        <v/>
      </c>
      <c r="K27" s="28">
        <f>IFERROR(SUMPRODUCT((Loan_Snapshot!$B$3:$B$254=$A27)*Loan_Snapshot!$I$3:$I$254*Loan_Snapshot!$AO$3:$AO$254)/$C27,0)</f>
        <v/>
      </c>
      <c r="L27" s="28">
        <f>IFERROR(SUMPRODUCT((Loan_Snapshot!$B$3:$B$254=$A27)*Loan_Snapshot!$I$3:$I$254*Loan_Snapshot!$AP$3:$AP$254)/$C27,0)</f>
        <v/>
      </c>
      <c r="M27" s="29">
        <f>V7_BASE_CPR+SUM(E27:L27)-$D27</f>
        <v/>
      </c>
    </row>
    <row r="28">
      <c r="A28" s="2" t="inlineStr">
        <is>
          <t>NORTHMARQ_POST21</t>
        </is>
      </c>
      <c r="B28">
        <f>COUNTIF(Loan_Snapshot!$B$3:$B$254,$A28)</f>
        <v/>
      </c>
      <c r="C28" s="22">
        <f>SUMIF(Loan_Snapshot!$B$3:$B$254,$A28,Loan_Snapshot!$I$3:$I$254)</f>
        <v/>
      </c>
      <c r="D28" s="28">
        <f>IFERROR(SUMPRODUCT((Loan_Snapshot!$B$3:$B$254=$A28)*Loan_Snapshot!$I$3:$I$254*Loan_Snapshot!$AH$3:$AH$254)/$C28,0)</f>
        <v/>
      </c>
      <c r="E28" s="28">
        <f>IFERROR(SUMPRODUCT((Loan_Snapshot!$B$3:$B$254=$A28)*Loan_Snapshot!$I$3:$I$254*Loan_Snapshot!$AI$3:$AI$254)/$C28,0)</f>
        <v/>
      </c>
      <c r="F28" s="28">
        <f>IFERROR(SUMPRODUCT((Loan_Snapshot!$B$3:$B$254=$A28)*Loan_Snapshot!$I$3:$I$254*Loan_Snapshot!$AJ$3:$AJ$254)/$C28,0)</f>
        <v/>
      </c>
      <c r="G28" s="28">
        <f>IFERROR(SUMPRODUCT((Loan_Snapshot!$B$3:$B$254=$A28)*Loan_Snapshot!$I$3:$I$254*Loan_Snapshot!$AK$3:$AK$254)/$C28,0)</f>
        <v/>
      </c>
      <c r="H28" s="28">
        <f>IFERROR(SUMPRODUCT((Loan_Snapshot!$B$3:$B$254=$A28)*Loan_Snapshot!$I$3:$I$254*Loan_Snapshot!$AL$3:$AL$254)/$C28,0)</f>
        <v/>
      </c>
      <c r="I28" s="28">
        <f>IFERROR(SUMPRODUCT((Loan_Snapshot!$B$3:$B$254=$A28)*Loan_Snapshot!$I$3:$I$254*Loan_Snapshot!$AM$3:$AM$254)/$C28,0)</f>
        <v/>
      </c>
      <c r="J28" s="28">
        <f>IFERROR(SUMPRODUCT((Loan_Snapshot!$B$3:$B$254=$A28)*Loan_Snapshot!$I$3:$I$254*Loan_Snapshot!$AN$3:$AN$254)/$C28,0)</f>
        <v/>
      </c>
      <c r="K28" s="28">
        <f>IFERROR(SUMPRODUCT((Loan_Snapshot!$B$3:$B$254=$A28)*Loan_Snapshot!$I$3:$I$254*Loan_Snapshot!$AO$3:$AO$254)/$C28,0)</f>
        <v/>
      </c>
      <c r="L28" s="28">
        <f>IFERROR(SUMPRODUCT((Loan_Snapshot!$B$3:$B$254=$A28)*Loan_Snapshot!$I$3:$I$254*Loan_Snapshot!$AP$3:$AP$254)/$C28,0)</f>
        <v/>
      </c>
      <c r="M28" s="29">
        <f>V7_BASE_CPR+SUM(E28:L28)-$D28</f>
        <v/>
      </c>
    </row>
    <row r="29">
      <c r="A29" s="2" t="inlineStr">
        <is>
          <t>BELLWETHER_POST21</t>
        </is>
      </c>
      <c r="B29">
        <f>COUNTIF(Loan_Snapshot!$B$3:$B$254,$A29)</f>
        <v/>
      </c>
      <c r="C29" s="22">
        <f>SUMIF(Loan_Snapshot!$B$3:$B$254,$A29,Loan_Snapshot!$I$3:$I$254)</f>
        <v/>
      </c>
      <c r="D29" s="28">
        <f>IFERROR(SUMPRODUCT((Loan_Snapshot!$B$3:$B$254=$A29)*Loan_Snapshot!$I$3:$I$254*Loan_Snapshot!$AH$3:$AH$254)/$C29,0)</f>
        <v/>
      </c>
      <c r="E29" s="28">
        <f>IFERROR(SUMPRODUCT((Loan_Snapshot!$B$3:$B$254=$A29)*Loan_Snapshot!$I$3:$I$254*Loan_Snapshot!$AI$3:$AI$254)/$C29,0)</f>
        <v/>
      </c>
      <c r="F29" s="28">
        <f>IFERROR(SUMPRODUCT((Loan_Snapshot!$B$3:$B$254=$A29)*Loan_Snapshot!$I$3:$I$254*Loan_Snapshot!$AJ$3:$AJ$254)/$C29,0)</f>
        <v/>
      </c>
      <c r="G29" s="28">
        <f>IFERROR(SUMPRODUCT((Loan_Snapshot!$B$3:$B$254=$A29)*Loan_Snapshot!$I$3:$I$254*Loan_Snapshot!$AK$3:$AK$254)/$C29,0)</f>
        <v/>
      </c>
      <c r="H29" s="28">
        <f>IFERROR(SUMPRODUCT((Loan_Snapshot!$B$3:$B$254=$A29)*Loan_Snapshot!$I$3:$I$254*Loan_Snapshot!$AL$3:$AL$254)/$C29,0)</f>
        <v/>
      </c>
      <c r="I29" s="28">
        <f>IFERROR(SUMPRODUCT((Loan_Snapshot!$B$3:$B$254=$A29)*Loan_Snapshot!$I$3:$I$254*Loan_Snapshot!$AM$3:$AM$254)/$C29,0)</f>
        <v/>
      </c>
      <c r="J29" s="28">
        <f>IFERROR(SUMPRODUCT((Loan_Snapshot!$B$3:$B$254=$A29)*Loan_Snapshot!$I$3:$I$254*Loan_Snapshot!$AN$3:$AN$254)/$C29,0)</f>
        <v/>
      </c>
      <c r="K29" s="28">
        <f>IFERROR(SUMPRODUCT((Loan_Snapshot!$B$3:$B$254=$A29)*Loan_Snapshot!$I$3:$I$254*Loan_Snapshot!$AO$3:$AO$254)/$C29,0)</f>
        <v/>
      </c>
      <c r="L29" s="28">
        <f>IFERROR(SUMPRODUCT((Loan_Snapshot!$B$3:$B$254=$A29)*Loan_Snapshot!$I$3:$I$254*Loan_Snapshot!$AP$3:$AP$254)/$C29,0)</f>
        <v/>
      </c>
      <c r="M29" s="29">
        <f>V7_BASE_CPR+SUM(E29:L29)-$D29</f>
        <v/>
      </c>
    </row>
    <row r="30">
      <c r="A30" s="2" t="inlineStr">
        <is>
          <t>NORTHMARQ_PRE21</t>
        </is>
      </c>
      <c r="B30">
        <f>COUNTIF(Loan_Snapshot!$B$3:$B$254,$A30)</f>
        <v/>
      </c>
      <c r="C30" s="22">
        <f>SUMIF(Loan_Snapshot!$B$3:$B$254,$A30,Loan_Snapshot!$I$3:$I$254)</f>
        <v/>
      </c>
      <c r="D30" s="28">
        <f>IFERROR(SUMPRODUCT((Loan_Snapshot!$B$3:$B$254=$A30)*Loan_Snapshot!$I$3:$I$254*Loan_Snapshot!$AH$3:$AH$254)/$C30,0)</f>
        <v/>
      </c>
      <c r="E30" s="28">
        <f>IFERROR(SUMPRODUCT((Loan_Snapshot!$B$3:$B$254=$A30)*Loan_Snapshot!$I$3:$I$254*Loan_Snapshot!$AI$3:$AI$254)/$C30,0)</f>
        <v/>
      </c>
      <c r="F30" s="28">
        <f>IFERROR(SUMPRODUCT((Loan_Snapshot!$B$3:$B$254=$A30)*Loan_Snapshot!$I$3:$I$254*Loan_Snapshot!$AJ$3:$AJ$254)/$C30,0)</f>
        <v/>
      </c>
      <c r="G30" s="28">
        <f>IFERROR(SUMPRODUCT((Loan_Snapshot!$B$3:$B$254=$A30)*Loan_Snapshot!$I$3:$I$254*Loan_Snapshot!$AK$3:$AK$254)/$C30,0)</f>
        <v/>
      </c>
      <c r="H30" s="28">
        <f>IFERROR(SUMPRODUCT((Loan_Snapshot!$B$3:$B$254=$A30)*Loan_Snapshot!$I$3:$I$254*Loan_Snapshot!$AL$3:$AL$254)/$C30,0)</f>
        <v/>
      </c>
      <c r="I30" s="28">
        <f>IFERROR(SUMPRODUCT((Loan_Snapshot!$B$3:$B$254=$A30)*Loan_Snapshot!$I$3:$I$254*Loan_Snapshot!$AM$3:$AM$254)/$C30,0)</f>
        <v/>
      </c>
      <c r="J30" s="28">
        <f>IFERROR(SUMPRODUCT((Loan_Snapshot!$B$3:$B$254=$A30)*Loan_Snapshot!$I$3:$I$254*Loan_Snapshot!$AN$3:$AN$254)/$C30,0)</f>
        <v/>
      </c>
      <c r="K30" s="28">
        <f>IFERROR(SUMPRODUCT((Loan_Snapshot!$B$3:$B$254=$A30)*Loan_Snapshot!$I$3:$I$254*Loan_Snapshot!$AO$3:$AO$254)/$C30,0)</f>
        <v/>
      </c>
      <c r="L30" s="28">
        <f>IFERROR(SUMPRODUCT((Loan_Snapshot!$B$3:$B$254=$A30)*Loan_Snapshot!$I$3:$I$254*Loan_Snapshot!$AP$3:$AP$254)/$C30,0)</f>
        <v/>
      </c>
      <c r="M30" s="29">
        <f>V7_BASE_CPR+SUM(E30:L30)-$D30</f>
        <v/>
      </c>
    </row>
    <row r="31">
      <c r="A31" s="2" t="inlineStr">
        <is>
          <t>PNC_POST21</t>
        </is>
      </c>
      <c r="B31">
        <f>COUNTIF(Loan_Snapshot!$B$3:$B$254,$A31)</f>
        <v/>
      </c>
      <c r="C31" s="22">
        <f>SUMIF(Loan_Snapshot!$B$3:$B$254,$A31,Loan_Snapshot!$I$3:$I$254)</f>
        <v/>
      </c>
      <c r="D31" s="28">
        <f>IFERROR(SUMPRODUCT((Loan_Snapshot!$B$3:$B$254=$A31)*Loan_Snapshot!$I$3:$I$254*Loan_Snapshot!$AH$3:$AH$254)/$C31,0)</f>
        <v/>
      </c>
      <c r="E31" s="28">
        <f>IFERROR(SUMPRODUCT((Loan_Snapshot!$B$3:$B$254=$A31)*Loan_Snapshot!$I$3:$I$254*Loan_Snapshot!$AI$3:$AI$254)/$C31,0)</f>
        <v/>
      </c>
      <c r="F31" s="28">
        <f>IFERROR(SUMPRODUCT((Loan_Snapshot!$B$3:$B$254=$A31)*Loan_Snapshot!$I$3:$I$254*Loan_Snapshot!$AJ$3:$AJ$254)/$C31,0)</f>
        <v/>
      </c>
      <c r="G31" s="28">
        <f>IFERROR(SUMPRODUCT((Loan_Snapshot!$B$3:$B$254=$A31)*Loan_Snapshot!$I$3:$I$254*Loan_Snapshot!$AK$3:$AK$254)/$C31,0)</f>
        <v/>
      </c>
      <c r="H31" s="28">
        <f>IFERROR(SUMPRODUCT((Loan_Snapshot!$B$3:$B$254=$A31)*Loan_Snapshot!$I$3:$I$254*Loan_Snapshot!$AL$3:$AL$254)/$C31,0)</f>
        <v/>
      </c>
      <c r="I31" s="28">
        <f>IFERROR(SUMPRODUCT((Loan_Snapshot!$B$3:$B$254=$A31)*Loan_Snapshot!$I$3:$I$254*Loan_Snapshot!$AM$3:$AM$254)/$C31,0)</f>
        <v/>
      </c>
      <c r="J31" s="28">
        <f>IFERROR(SUMPRODUCT((Loan_Snapshot!$B$3:$B$254=$A31)*Loan_Snapshot!$I$3:$I$254*Loan_Snapshot!$AN$3:$AN$254)/$C31,0)</f>
        <v/>
      </c>
      <c r="K31" s="28">
        <f>IFERROR(SUMPRODUCT((Loan_Snapshot!$B$3:$B$254=$A31)*Loan_Snapshot!$I$3:$I$254*Loan_Snapshot!$AO$3:$AO$254)/$C31,0)</f>
        <v/>
      </c>
      <c r="L31" s="28">
        <f>IFERROR(SUMPRODUCT((Loan_Snapshot!$B$3:$B$254=$A31)*Loan_Snapshot!$I$3:$I$254*Loan_Snapshot!$AP$3:$AP$254)/$C31,0)</f>
        <v/>
      </c>
      <c r="M31" s="29">
        <f>V7_BASE_CPR+SUM(E31:L31)-$D31</f>
        <v/>
      </c>
    </row>
    <row r="34">
      <c r="A34" s="30" t="inlineStr">
        <is>
          <t>ALL LOANS (snapshot total)</t>
        </is>
      </c>
      <c r="B34" s="31">
        <f>COUNTA(Loan_Snapshot!$A$3:$A$254)</f>
        <v/>
      </c>
      <c r="C34" s="32">
        <f>SUM(Loan_Snapshot!$I$3:$I$254)</f>
        <v/>
      </c>
      <c r="D34" s="33">
        <f>SUMPRODUCT(Loan_Snapshot!$I$3:$I$254*Loan_Snapshot!$AH$3:$AH$254)/$C34</f>
        <v/>
      </c>
      <c r="E34" s="33">
        <f>SUMPRODUCT(Loan_Snapshot!$I$3:$I$254*Loan_Snapshot!$AI$3:$AI$254)/$C34</f>
        <v/>
      </c>
      <c r="F34" s="33">
        <f>SUMPRODUCT(Loan_Snapshot!$I$3:$I$254*Loan_Snapshot!$AJ$3:$AJ$254)/$C34</f>
        <v/>
      </c>
      <c r="G34" s="33">
        <f>SUMPRODUCT(Loan_Snapshot!$I$3:$I$254*Loan_Snapshot!$AK$3:$AK$254)/$C34</f>
        <v/>
      </c>
      <c r="H34" s="33">
        <f>SUMPRODUCT(Loan_Snapshot!$I$3:$I$254*Loan_Snapshot!$AL$3:$AL$254)/$C34</f>
        <v/>
      </c>
      <c r="I34" s="33">
        <f>SUMPRODUCT(Loan_Snapshot!$I$3:$I$254*Loan_Snapshot!$AM$3:$AM$254)/$C34</f>
        <v/>
      </c>
      <c r="J34" s="33">
        <f>SUMPRODUCT(Loan_Snapshot!$I$3:$I$254*Loan_Snapshot!$AN$3:$AN$254)/$C34</f>
        <v/>
      </c>
      <c r="K34" s="33">
        <f>SUMPRODUCT(Loan_Snapshot!$I$3:$I$254*Loan_Snapshot!$AO$3:$AO$254)/$C34</f>
        <v/>
      </c>
      <c r="L34" s="33">
        <f>SUMPRODUCT(Loan_Snapshot!$I$3:$I$254*Loan_Snapshot!$AP$3:$AP$254)/$C34</f>
        <v/>
      </c>
      <c r="M34" s="34">
        <f>V7_BASE_CPR+SUM(E34:L34)-$D34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2" customWidth="1" min="4" max="4"/>
    <col width="12" customWidth="1" min="5" max="5"/>
  </cols>
  <sheetData>
    <row r="1">
      <c r="A1" s="3" t="inlineStr">
        <is>
          <t>SanCap (Amherst Pierpont 2014-2018) reference benchmarks vs V7</t>
        </is>
      </c>
    </row>
    <row r="2">
      <c r="A2" s="4" t="inlineStr">
        <is>
          <t>Informational sanity check — V7 trains on the 2018-2026 panel which spans the 2022-2024 rate-hike cycle.</t>
        </is>
      </c>
    </row>
    <row r="3">
      <c r="A3" s="4" t="inlineStr">
        <is>
          <t>Persistent divergences in +50/+100bp scenarios reflect that regime shift, not a model defect. Use V7 as ground truth on this panel; SanCap is a shape-direction sanity check.</t>
        </is>
      </c>
    </row>
    <row r="4">
      <c r="A4" s="21" t="inlineStr">
        <is>
          <t>Scenario</t>
        </is>
      </c>
      <c r="B4" s="21" t="inlineStr">
        <is>
          <t>SanCap CPR (2014-2018)</t>
        </is>
      </c>
      <c r="C4" s="21" t="inlineStr">
        <is>
          <t>V7 pred CPR</t>
        </is>
      </c>
      <c r="D4" s="21" t="inlineStr">
        <is>
          <t>Δ (pp)</t>
        </is>
      </c>
      <c r="E4" s="21" t="inlineStr">
        <is>
          <t>Flag</t>
        </is>
      </c>
    </row>
    <row r="5">
      <c r="A5" t="inlineStr">
        <is>
          <t>ATM, avg penalty (5pp)</t>
        </is>
      </c>
      <c r="B5" s="24" t="n">
        <v>20</v>
      </c>
      <c r="C5" s="35" t="n">
        <v>9.779999999999999</v>
      </c>
      <c r="D5" s="35" t="n">
        <v>10.22</v>
      </c>
      <c r="E5" s="36" t="inlineStr">
        <is>
          <t>REVIEW</t>
        </is>
      </c>
    </row>
    <row r="6">
      <c r="A6" t="inlineStr">
        <is>
          <t>-50bp, avg penalty</t>
        </is>
      </c>
      <c r="B6" s="24" t="n">
        <v>6</v>
      </c>
      <c r="C6" s="35" t="n">
        <v>7</v>
      </c>
      <c r="D6" s="35" t="n">
        <v>1</v>
      </c>
      <c r="E6" s="37" t="inlineStr">
        <is>
          <t>ok</t>
        </is>
      </c>
    </row>
    <row r="7">
      <c r="A7" t="inlineStr">
        <is>
          <t>+50bp, avg penalty</t>
        </is>
      </c>
      <c r="B7" s="24" t="n">
        <v>35</v>
      </c>
      <c r="C7" s="35" t="n">
        <v>13.39</v>
      </c>
      <c r="D7" s="35" t="n">
        <v>21.61</v>
      </c>
      <c r="E7" s="36" t="inlineStr">
        <is>
          <t>REVIEW</t>
        </is>
      </c>
    </row>
    <row r="8">
      <c r="A8" t="inlineStr">
        <is>
          <t>+100bp, avg penalty</t>
        </is>
      </c>
      <c r="B8" s="24" t="n">
        <v>45</v>
      </c>
      <c r="C8" s="35" t="n">
        <v>17.61</v>
      </c>
      <c r="D8" s="35" t="n">
        <v>27.39</v>
      </c>
      <c r="E8" s="36" t="inlineStr">
        <is>
          <t>REVIEW</t>
        </is>
      </c>
    </row>
    <row r="9">
      <c r="A9" t="inlineStr">
        <is>
          <t>+100bp, 7% penalty</t>
        </is>
      </c>
      <c r="B9" s="24" t="n">
        <v>30</v>
      </c>
      <c r="C9" s="35" t="n">
        <v>17.61</v>
      </c>
      <c r="D9" s="35" t="n">
        <v>12.39</v>
      </c>
      <c r="E9" s="36" t="inlineStr">
        <is>
          <t>REVIEW</t>
        </is>
      </c>
    </row>
    <row r="10">
      <c r="A10" t="inlineStr">
        <is>
          <t>+100bp, 9% penalty</t>
        </is>
      </c>
      <c r="B10" s="24" t="n">
        <v>18</v>
      </c>
      <c r="C10" s="35" t="n">
        <v>17.61</v>
      </c>
      <c r="D10" s="35" t="n">
        <v>0.39</v>
      </c>
      <c r="E10" s="37" t="inlineStr">
        <is>
          <t>ok</t>
        </is>
      </c>
    </row>
    <row r="11">
      <c r="A11" t="inlineStr">
        <is>
          <t>$5M @ +50bp</t>
        </is>
      </c>
      <c r="B11" s="24" t="n">
        <v>20</v>
      </c>
      <c r="C11" s="35" t="n">
        <v>13.39</v>
      </c>
      <c r="D11" s="35" t="n">
        <v>6.61</v>
      </c>
      <c r="E11" s="37" t="inlineStr">
        <is>
          <t>ok</t>
        </is>
      </c>
    </row>
    <row r="12">
      <c r="A12" t="inlineStr">
        <is>
          <t>$15M @ +50bp</t>
        </is>
      </c>
      <c r="B12" s="24" t="n">
        <v>40</v>
      </c>
      <c r="C12" s="35" t="n">
        <v>17.67</v>
      </c>
      <c r="D12" s="35" t="n">
        <v>22.33</v>
      </c>
      <c r="E12" s="36" t="inlineStr">
        <is>
          <t>REVIEW</t>
        </is>
      </c>
    </row>
    <row r="13">
      <c r="A13" t="inlineStr">
        <is>
          <t>NC @ +100bp, age 30m</t>
        </is>
      </c>
      <c r="B13" s="24" t="n">
        <v>70</v>
      </c>
      <c r="C13" s="35" t="n">
        <v>15.69</v>
      </c>
      <c r="D13" s="35" t="n">
        <v>54.31</v>
      </c>
      <c r="E13" s="36" t="inlineStr">
        <is>
          <t>REVIEW</t>
        </is>
      </c>
    </row>
    <row r="14">
      <c r="A14" t="inlineStr">
        <is>
          <t>Rural-538 @ +100bp</t>
        </is>
      </c>
      <c r="B14" s="24" t="n">
        <v>10</v>
      </c>
      <c r="C14" s="35" t="n">
        <v>13.39</v>
      </c>
      <c r="D14" s="35" t="n">
        <v>3.39</v>
      </c>
      <c r="E14" s="37" t="inlineStr">
        <is>
          <t>ok</t>
        </is>
      </c>
    </row>
    <row r="15">
      <c r="A15" t="inlineStr">
        <is>
          <t>HC-232 @ +100bp</t>
        </is>
      </c>
      <c r="B15" s="24" t="n">
        <v>30</v>
      </c>
      <c r="C15" s="35" t="n">
        <v>16.84</v>
      </c>
      <c r="D15" s="35" t="n">
        <v>13.16</v>
      </c>
      <c r="E15" s="36" t="inlineStr">
        <is>
          <t>REVIEW</t>
        </is>
      </c>
    </row>
    <row r="16">
      <c r="A16" t="inlineStr">
        <is>
          <t>msle=2 (post-lockout, ATM)</t>
        </is>
      </c>
      <c r="B16" s="24" t="n">
        <v>40</v>
      </c>
      <c r="C16" s="35" t="n">
        <v>21.01</v>
      </c>
      <c r="D16" s="35" t="n">
        <v>18.99</v>
      </c>
      <c r="E16" s="36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2026-05-05T14:15:37Z</dcterms:created>
  <dcterms:modified xsi:type="dcterms:W3CDTF">2026-05-05T14:15:37Z</dcterms:modified>
</cp:coreProperties>
</file>