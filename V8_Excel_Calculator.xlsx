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hort_Sigmoids" sheetId="2" state="visible" r:id="rId2"/>
    <sheet name="Structural_Mults" sheetId="3" state="visible" r:id="rId3"/>
    <sheet name="Loan_Snapshot" sheetId="4" state="visible" r:id="rId4"/>
    <sheet name="Benchmarks" sheetId="5" state="visible" r:id="rId5"/>
  </sheets>
  <definedNames>
    <definedName name="V8_COHORT_TABLE">Cohort_Sigmoids!$A$5:$E$30</definedName>
    <definedName name="V8_AGE_KNOT_Y_0">Structural_Mults!$B$4</definedName>
    <definedName name="V8_AGE_KNOT_Y_1">Structural_Mults!$B$5</definedName>
    <definedName name="V8_AGE_KNOT_Y_2">Structural_Mults!$B$6</definedName>
    <definedName name="V8_AGE_KNOT_Y_3">Structural_Mults!$B$7</definedName>
    <definedName name="V8_AGE_KNOT_Y_4">Structural_Mults!$B$8</definedName>
    <definedName name="V8_AGE_KNOT_Y_5">Structural_Mults!$B$9</definedName>
    <definedName name="V8_AGE_KNOT_X_0">Structural_Mults!$B$11</definedName>
    <definedName name="V8_AGE_KNOT_X_1">Structural_Mults!$B$12</definedName>
    <definedName name="V8_AGE_KNOT_X_2">Structural_Mults!$B$13</definedName>
    <definedName name="V8_AGE_KNOT_X_3">Structural_Mults!$B$14</definedName>
    <definedName name="V8_AGE_KNOT_X_4">Structural_Mults!$B$15</definedName>
    <definedName name="V8_AGE_KNOT_X_5">Structural_Mults!$B$16</definedName>
    <definedName name="V8_MTY_AMP">Structural_Mults!$B$19</definedName>
    <definedName name="V8_MTY_CUTOFF">Structural_Mults!$B$20</definedName>
    <definedName name="V8_LOCKOUT_AMP">Structural_Mults!$B$23</definedName>
    <definedName name="V8_LOCKOUT_TAU">Structural_Mults!$B$24</definedName>
    <definedName name="V8_BURN_FLOOR">Structural_Mults!$B$27</definedName>
    <definedName name="V8_BURN_SLOPE">Structural_Mults!$B$28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000"/>
    <numFmt numFmtId="165" formatCode="0.0000"/>
    <numFmt numFmtId="166" formatCode="0.000"/>
    <numFmt numFmtId="167" formatCode="0.0"/>
    <numFmt numFmtId="168" formatCode="0.000000"/>
  </numFmts>
  <fonts count="7">
    <font>
      <name val="Calibri"/>
      <family val="2"/>
      <color theme="1"/>
      <sz val="11"/>
      <scheme val="minor"/>
    </font>
    <font>
      <b val="1"/>
    </font>
    <font>
      <name val="Consolas"/>
    </font>
    <font>
      <b val="1"/>
      <sz val="14"/>
    </font>
    <font>
      <i val="1"/>
      <color rgb="006B7280"/>
    </font>
    <font>
      <b val="1"/>
      <color rgb="00FFFFFF"/>
    </font>
    <font>
      <b val="1"/>
      <color rgb="00991B1B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374151"/>
      </patternFill>
    </fill>
    <fill>
      <patternFill patternType="solid">
        <fgColor rgb="00FECACA"/>
      </patternFill>
    </fill>
    <fill>
      <patternFill patternType="solid">
        <fgColor rgb="00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164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5" fontId="2" fillId="3" borderId="0" pivotButton="0" quotePrefix="0" xfId="0"/>
    <xf numFmtId="2" fontId="2" fillId="3" borderId="0" pivotButton="0" quotePrefix="0" xfId="0"/>
    <xf numFmtId="0" fontId="5" fillId="4" borderId="0" applyAlignment="1" pivotButton="0" quotePrefix="0" xfId="0">
      <alignment horizontal="center" vertical="center"/>
    </xf>
    <xf numFmtId="166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0" fontId="0" fillId="0" borderId="0" pivotButton="0" quotePrefix="0" xfId="0"/>
    <xf numFmtId="0" fontId="6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V8 Voluntary Prepayment Calculator (cohort-based S-curve)</t>
        </is>
      </c>
    </row>
    <row r="2">
      <c r="A2" t="inlineStr"/>
    </row>
    <row r="3">
      <c r="A3" t="inlineStr">
        <is>
          <t>Test AUC: 0.7770   Test log-loss: 0.04443   Cohorts fit: 13</t>
        </is>
      </c>
    </row>
    <row r="4">
      <c r="A4" t="inlineStr">
        <is>
          <t>Training period: 201812 to 202602</t>
        </is>
      </c>
    </row>
    <row r="5">
      <c r="A5" t="inlineStr">
        <is>
          <t>Max predicted CPR over full panel: 93.13%   (SMM cap: 0.200)</t>
        </is>
      </c>
    </row>
    <row r="6">
      <c r="A6" t="inlineStr"/>
    </row>
    <row r="7">
      <c r="A7" s="1" t="inlineStr">
        <is>
          <t>Architecture</t>
        </is>
      </c>
    </row>
    <row r="8">
      <c r="A8" s="2" t="inlineStr">
        <is>
          <t xml:space="preserve">  cohort_id   = program × purpose × size_bucket  (with hierarchical fallback)</t>
        </is>
      </c>
    </row>
    <row r="9">
      <c r="A9" s="2" t="inlineStr">
        <is>
          <t xml:space="preserve">  cohort_smm  = floor + asymp / (1 + EXP(-(net_refi_bps - mid)/slope))</t>
        </is>
      </c>
    </row>
    <row r="10">
      <c r="A10" s="2" t="inlineStr">
        <is>
          <t xml:space="preserve">  pred_SMM    = MIN(cohort_smm × M_age × M_maturity × M_lockout × M_burnout, smm_cap)</t>
        </is>
      </c>
    </row>
    <row r="11">
      <c r="A11" s="2" t="inlineStr">
        <is>
          <t xml:space="preserve">  pred_CPR    = 1 - (1 - pred_SMM)^12</t>
        </is>
      </c>
    </row>
    <row r="12">
      <c r="A12" t="inlineStr"/>
    </row>
    <row r="13">
      <c r="A13" s="1" t="inlineStr">
        <is>
          <t>Tabs</t>
        </is>
      </c>
    </row>
    <row r="14">
      <c r="A14" t="inlineStr">
        <is>
          <t xml:space="preserve">  Cohort_Sigmoids   - per-cohort fitted sigmoid params (cohort lookup table)</t>
        </is>
      </c>
    </row>
    <row r="15">
      <c r="A15" t="inlineStr">
        <is>
          <t xml:space="preserve">  Structural_Mults  - V7's age/maturity/lockout/burnout multipliers (reused as-is)</t>
        </is>
      </c>
    </row>
    <row r="16">
      <c r="A16" t="inlineStr">
        <is>
          <t xml:space="preserve">  Loan_Snapshot     - per-loan inputs, cohort lookup, sigmoid eval, capped CPR</t>
        </is>
      </c>
    </row>
    <row r="17">
      <c r="A17" t="inlineStr">
        <is>
          <t xml:space="preserve">  Benchmarks        - SanCap reference grid mapped to V8 cohorts</t>
        </is>
      </c>
    </row>
    <row r="18">
      <c r="A18" t="inlineStr"/>
    </row>
    <row r="19">
      <c r="A19" s="1" t="inlineStr">
        <is>
          <t>Cohort definition (axes)</t>
        </is>
      </c>
    </row>
    <row r="20">
      <c r="A20" s="2" t="inlineStr">
        <is>
          <t xml:space="preserve">  program: 232 / 538 / 223a7 / 223f / OTHER</t>
        </is>
      </c>
    </row>
    <row r="21">
      <c r="A21" s="2" t="inlineStr">
        <is>
          <t xml:space="preserve">  purpose: NC / RP</t>
        </is>
      </c>
    </row>
    <row r="22">
      <c r="A22" s="2" t="inlineStr">
        <is>
          <t xml:space="preserve">  size:    small / medium / large  (breaks at $5M and $25M)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0" customWidth="1" min="4" max="4"/>
    <col width="10" customWidth="1" min="5" max="5"/>
    <col width="12" customWidth="1" min="6" max="6"/>
    <col width="10" customWidth="1" min="7" max="7"/>
    <col width="14" customWidth="1" min="8" max="8"/>
  </cols>
  <sheetData>
    <row r="1">
      <c r="A1" s="3" t="inlineStr">
        <is>
          <t>V8 Per-Cohort Sigmoid Lookup Table</t>
        </is>
      </c>
    </row>
    <row r="2">
      <c r="A2" s="4" t="inlineStr">
        <is>
          <t>Cohort_id format: 'program|purpose|size'. Fallback ids end in '|ALL' (level 1) or 'GLOBAL'.</t>
        </is>
      </c>
    </row>
    <row r="4">
      <c r="A4" s="5" t="inlineStr">
        <is>
          <t>cohort_id</t>
        </is>
      </c>
      <c r="B4" s="5" t="inlineStr">
        <is>
          <t>floor</t>
        </is>
      </c>
      <c r="C4" s="5" t="inlineStr">
        <is>
          <t>asymp</t>
        </is>
      </c>
      <c r="D4" s="5" t="inlineStr">
        <is>
          <t>mid</t>
        </is>
      </c>
      <c r="E4" s="5" t="inlineStr">
        <is>
          <t>slope</t>
        </is>
      </c>
      <c r="F4" s="5" t="inlineStr">
        <is>
          <t>n_loans</t>
        </is>
      </c>
      <c r="G4" s="5" t="inlineStr">
        <is>
          <t>n_events</t>
        </is>
      </c>
      <c r="H4" s="5" t="inlineStr">
        <is>
          <t>fit_quality</t>
        </is>
      </c>
    </row>
    <row r="5">
      <c r="A5" s="2" t="inlineStr">
        <is>
          <t>223a7|RP|medium</t>
        </is>
      </c>
      <c r="B5" s="6" t="n">
        <v>0.002292028070136229</v>
      </c>
      <c r="C5" s="6" t="n">
        <v>0.03055798262679</v>
      </c>
      <c r="D5" s="7" t="n">
        <v>53.37826982355037</v>
      </c>
      <c r="E5" s="7" t="n">
        <v>37.98739780286028</v>
      </c>
      <c r="F5" s="8" t="n">
        <v>33503</v>
      </c>
      <c r="G5" t="n">
        <v>288</v>
      </c>
      <c r="H5" t="inlineStr">
        <is>
          <t>good</t>
        </is>
      </c>
    </row>
    <row r="6">
      <c r="A6" s="2" t="inlineStr">
        <is>
          <t>223a7|RP|small</t>
        </is>
      </c>
      <c r="B6" s="6" t="n">
        <v>0.00359546533239798</v>
      </c>
      <c r="C6" s="6" t="n">
        <v>0.00728235063748615</v>
      </c>
      <c r="D6" s="7" t="n">
        <v>-3.200953488382379</v>
      </c>
      <c r="E6" s="7" t="n">
        <v>26.74016211569329</v>
      </c>
      <c r="F6" s="8" t="n">
        <v>70552</v>
      </c>
      <c r="G6" t="n">
        <v>581</v>
      </c>
      <c r="H6" t="inlineStr">
        <is>
          <t>good</t>
        </is>
      </c>
    </row>
    <row r="7">
      <c r="A7" s="2" t="inlineStr">
        <is>
          <t>223f|RP|large</t>
        </is>
      </c>
      <c r="B7" s="6" t="n">
        <v>0.001448798798677791</v>
      </c>
      <c r="C7" s="6" t="n">
        <v>0.05965388959215019</v>
      </c>
      <c r="D7" s="7" t="n">
        <v>64.45058006283331</v>
      </c>
      <c r="E7" s="7" t="n">
        <v>27.63947296513279</v>
      </c>
      <c r="F7" s="8" t="n">
        <v>38469</v>
      </c>
      <c r="G7" t="n">
        <v>267</v>
      </c>
      <c r="H7" t="inlineStr">
        <is>
          <t>good</t>
        </is>
      </c>
    </row>
    <row r="8">
      <c r="A8" s="2" t="inlineStr">
        <is>
          <t>223f|RP|medium</t>
        </is>
      </c>
      <c r="B8" s="6" t="n">
        <v>0.002293528209447648</v>
      </c>
      <c r="C8" s="6" t="n">
        <v>0.03650993804252149</v>
      </c>
      <c r="D8" s="7" t="n">
        <v>60.96649411639763</v>
      </c>
      <c r="E8" s="7" t="n">
        <v>35.00651689238232</v>
      </c>
      <c r="F8" s="8" t="n">
        <v>147194</v>
      </c>
      <c r="G8" t="n">
        <v>1275</v>
      </c>
      <c r="H8" t="inlineStr">
        <is>
          <t>good</t>
        </is>
      </c>
    </row>
    <row r="9">
      <c r="A9" s="2" t="inlineStr">
        <is>
          <t>223f|RP|small</t>
        </is>
      </c>
      <c r="B9" s="6" t="n">
        <v>0.002978420821350398</v>
      </c>
      <c r="C9" s="6" t="n">
        <v>0.01525193786058878</v>
      </c>
      <c r="D9" s="7" t="n">
        <v>97.35875197198705</v>
      </c>
      <c r="E9" s="7" t="n">
        <v>40.04470077382061</v>
      </c>
      <c r="F9" s="8" t="n">
        <v>183038</v>
      </c>
      <c r="G9" t="n">
        <v>1188</v>
      </c>
      <c r="H9" t="inlineStr">
        <is>
          <t>good</t>
        </is>
      </c>
    </row>
    <row r="10">
      <c r="A10" s="2" t="inlineStr">
        <is>
          <t>232|RP|medium</t>
        </is>
      </c>
      <c r="B10" s="6" t="n">
        <v>0.002996655944317272</v>
      </c>
      <c r="C10" s="6" t="n">
        <v>0.03244944899546259</v>
      </c>
      <c r="D10" s="7" t="n">
        <v>98.69807081800167</v>
      </c>
      <c r="E10" s="7" t="n">
        <v>37.75230736874164</v>
      </c>
      <c r="F10" s="8" t="n">
        <v>147632</v>
      </c>
      <c r="G10" t="n">
        <v>1114</v>
      </c>
      <c r="H10" t="inlineStr">
        <is>
          <t>good</t>
        </is>
      </c>
    </row>
    <row r="11">
      <c r="A11" s="2" t="inlineStr">
        <is>
          <t>232|RP|small</t>
        </is>
      </c>
      <c r="B11" s="6" t="n">
        <v>0.005500341327849085</v>
      </c>
      <c r="C11" s="6" t="n">
        <v>0.01576977182327175</v>
      </c>
      <c r="D11" s="7" t="n">
        <v>115.2076512565304</v>
      </c>
      <c r="E11" s="7" t="n">
        <v>29.33113504059486</v>
      </c>
      <c r="F11" s="8" t="n">
        <v>83653</v>
      </c>
      <c r="G11" t="n">
        <v>660</v>
      </c>
      <c r="H11" t="inlineStr">
        <is>
          <t>good</t>
        </is>
      </c>
    </row>
    <row r="12">
      <c r="A12" s="2" t="inlineStr">
        <is>
          <t>538|RP|small</t>
        </is>
      </c>
      <c r="B12" s="6" t="n">
        <v>0.001782054168692478</v>
      </c>
      <c r="C12" s="6" t="n">
        <v>0.009768946586076088</v>
      </c>
      <c r="D12" s="7" t="n">
        <v>165.2050718764046</v>
      </c>
      <c r="E12" s="7" t="n">
        <v>10.00000000000012</v>
      </c>
      <c r="F12" s="8" t="n">
        <v>64657</v>
      </c>
      <c r="G12" t="n">
        <v>240</v>
      </c>
      <c r="H12" t="inlineStr">
        <is>
          <t>good</t>
        </is>
      </c>
    </row>
    <row r="13">
      <c r="A13" s="2" t="inlineStr">
        <is>
          <t>OTHER|NC|large</t>
        </is>
      </c>
      <c r="B13" s="6" t="n">
        <v>0.0004084783287172676</v>
      </c>
      <c r="C13" s="6" t="n">
        <v>0.1159342150647291</v>
      </c>
      <c r="D13" s="7" t="n">
        <v>98.89337276538686</v>
      </c>
      <c r="E13" s="7" t="n">
        <v>62.20236475647319</v>
      </c>
      <c r="F13" s="8" t="n">
        <v>19906</v>
      </c>
      <c r="G13" t="n">
        <v>263</v>
      </c>
      <c r="H13" t="inlineStr">
        <is>
          <t>good</t>
        </is>
      </c>
    </row>
    <row r="14">
      <c r="A14" s="2" t="inlineStr">
        <is>
          <t>OTHER|NC|medium</t>
        </is>
      </c>
      <c r="B14" s="6" t="n">
        <v>0.001541725055518509</v>
      </c>
      <c r="C14" s="6" t="n">
        <v>0.04262026958084066</v>
      </c>
      <c r="D14" s="7" t="n">
        <v>70.31607346969149</v>
      </c>
      <c r="E14" s="7" t="n">
        <v>26.01687659535098</v>
      </c>
      <c r="F14" s="8" t="n">
        <v>52811</v>
      </c>
      <c r="G14" t="n">
        <v>554</v>
      </c>
      <c r="H14" t="inlineStr">
        <is>
          <t>good</t>
        </is>
      </c>
    </row>
    <row r="15">
      <c r="A15" s="2" t="inlineStr">
        <is>
          <t>OTHER|NC|small</t>
        </is>
      </c>
      <c r="B15" s="6" t="n">
        <v>0.001595893930989584</v>
      </c>
      <c r="C15" s="6" t="n">
        <v>0.01279201556110394</v>
      </c>
      <c r="D15" s="7" t="n">
        <v>58.2863949080223</v>
      </c>
      <c r="E15" s="7" t="n">
        <v>34.49360309447529</v>
      </c>
      <c r="F15" s="8" t="n">
        <v>34247</v>
      </c>
      <c r="G15" t="n">
        <v>217</v>
      </c>
      <c r="H15" t="inlineStr">
        <is>
          <t>good</t>
        </is>
      </c>
    </row>
    <row r="16">
      <c r="A16" s="2" t="inlineStr">
        <is>
          <t>OTHER|RP|medium</t>
        </is>
      </c>
      <c r="B16" s="6" t="n">
        <v>0.003296648646681275</v>
      </c>
      <c r="C16" s="6" t="n">
        <v>0.04349388900958123</v>
      </c>
      <c r="D16" s="7" t="n">
        <v>70.90688284583256</v>
      </c>
      <c r="E16" s="7" t="n">
        <v>42.19219030044697</v>
      </c>
      <c r="F16" s="8" t="n">
        <v>33909</v>
      </c>
      <c r="G16" t="n">
        <v>446</v>
      </c>
      <c r="H16" t="inlineStr">
        <is>
          <t>good</t>
        </is>
      </c>
    </row>
    <row r="17">
      <c r="A17" s="2" t="inlineStr">
        <is>
          <t>OTHER|RP|small</t>
        </is>
      </c>
      <c r="B17" s="6" t="n">
        <v>0.001372232076225715</v>
      </c>
      <c r="C17" s="6" t="n">
        <v>0.01342869800643332</v>
      </c>
      <c r="D17" s="7" t="n">
        <v>10.16926357261647</v>
      </c>
      <c r="E17" s="7" t="n">
        <v>126.4408699379355</v>
      </c>
      <c r="F17" s="8" t="n">
        <v>40277</v>
      </c>
      <c r="G17" t="n">
        <v>329</v>
      </c>
      <c r="H17" t="inlineStr">
        <is>
          <t>good</t>
        </is>
      </c>
    </row>
    <row r="18">
      <c r="A18" s="2" t="inlineStr">
        <is>
          <t>GLOBAL</t>
        </is>
      </c>
      <c r="B18" s="6" t="n">
        <v>0.002840785425452185</v>
      </c>
      <c r="C18" s="6" t="n">
        <v>0.01682100515990381</v>
      </c>
      <c r="D18" s="7" t="n">
        <v>41.83901951670751</v>
      </c>
      <c r="E18" s="7" t="n">
        <v>25.72137924622567</v>
      </c>
      <c r="F18" s="8" t="inlineStr"/>
      <c r="G18" t="inlineStr"/>
      <c r="H18" t="inlineStr"/>
    </row>
    <row r="19">
      <c r="A19" s="2" t="inlineStr">
        <is>
          <t>223a7|RP|ALL</t>
        </is>
      </c>
      <c r="B19" s="6" t="n">
        <v>0.002877527502770913</v>
      </c>
      <c r="C19" s="6" t="n">
        <v>0.0104717725373487</v>
      </c>
      <c r="D19" s="7" t="n">
        <v>-4.878217553014971</v>
      </c>
      <c r="E19" s="7" t="n">
        <v>18.40566822797323</v>
      </c>
      <c r="F19" s="8" t="inlineStr"/>
      <c r="G19" t="inlineStr"/>
      <c r="H19" t="inlineStr"/>
    </row>
    <row r="20">
      <c r="A20" s="2" t="inlineStr">
        <is>
          <t>223f|RP|ALL</t>
        </is>
      </c>
      <c r="B20" s="6" t="n">
        <v>0.002577924360728645</v>
      </c>
      <c r="C20" s="6" t="n">
        <v>0.01967078423787534</v>
      </c>
      <c r="D20" s="7" t="n">
        <v>47.4113654023657</v>
      </c>
      <c r="E20" s="7" t="n">
        <v>28.18102405333754</v>
      </c>
      <c r="F20" s="8" t="inlineStr"/>
      <c r="G20" t="inlineStr"/>
      <c r="H20" t="inlineStr"/>
    </row>
    <row r="21">
      <c r="A21" s="2" t="inlineStr">
        <is>
          <t>232|NC|ALL</t>
        </is>
      </c>
      <c r="B21" s="6" t="n">
        <v>0.001511864286804959</v>
      </c>
      <c r="C21" s="6" t="n">
        <v>0.02263558598394046</v>
      </c>
      <c r="D21" s="7" t="n">
        <v>49.67283967479229</v>
      </c>
      <c r="E21" s="7" t="n">
        <v>51.83947365435672</v>
      </c>
      <c r="F21" s="8" t="inlineStr"/>
      <c r="G21" t="inlineStr"/>
      <c r="H21" t="inlineStr"/>
    </row>
    <row r="22">
      <c r="A22" s="2" t="inlineStr">
        <is>
          <t>232|RP|ALL</t>
        </is>
      </c>
      <c r="B22" s="6" t="n">
        <v>0.003840658385379731</v>
      </c>
      <c r="C22" s="6" t="n">
        <v>0.0211374027635561</v>
      </c>
      <c r="D22" s="7" t="n">
        <v>80.41323153116251</v>
      </c>
      <c r="E22" s="7" t="n">
        <v>29.83534340593207</v>
      </c>
      <c r="F22" s="8" t="inlineStr"/>
      <c r="G22" t="inlineStr"/>
      <c r="H22" t="inlineStr"/>
    </row>
    <row r="23">
      <c r="A23" s="2" t="inlineStr">
        <is>
          <t>538|RP|ALL</t>
        </is>
      </c>
      <c r="B23" s="6" t="n">
        <v>0.001845508140598029</v>
      </c>
      <c r="C23" s="6" t="n">
        <v>0.009609473477300795</v>
      </c>
      <c r="D23" s="7" t="n">
        <v>162.242480633969</v>
      </c>
      <c r="E23" s="7" t="n">
        <v>10.00000000000003</v>
      </c>
      <c r="F23" s="8" t="inlineStr"/>
      <c r="G23" t="inlineStr"/>
      <c r="H23" t="inlineStr"/>
    </row>
    <row r="24">
      <c r="A24" s="2" t="inlineStr">
        <is>
          <t>OTHER|NC|ALL</t>
        </is>
      </c>
      <c r="B24" s="6" t="n">
        <v>0.001616635277415229</v>
      </c>
      <c r="C24" s="6" t="n">
        <v>0.02817583087649127</v>
      </c>
      <c r="D24" s="7" t="n">
        <v>42.56137203486441</v>
      </c>
      <c r="E24" s="7" t="n">
        <v>21.54418937506779</v>
      </c>
      <c r="F24" s="8" t="inlineStr"/>
      <c r="G24" t="inlineStr"/>
      <c r="H24" t="inlineStr"/>
    </row>
    <row r="25">
      <c r="A25" s="2" t="inlineStr">
        <is>
          <t>OTHER|RP|ALL</t>
        </is>
      </c>
      <c r="B25" s="6" t="n">
        <v>0.003382189167915528</v>
      </c>
      <c r="C25" s="6" t="n">
        <v>0.01769173981059914</v>
      </c>
      <c r="D25" s="7" t="n">
        <v>19.58632906900258</v>
      </c>
      <c r="E25" s="7" t="n">
        <v>31.84761655844556</v>
      </c>
      <c r="F25" s="8" t="inlineStr"/>
      <c r="G25" t="inlineStr"/>
      <c r="H25" t="inlineStr"/>
    </row>
    <row r="26">
      <c r="A26" s="2" t="inlineStr">
        <is>
          <t>223a7|ALL|ALL</t>
        </is>
      </c>
      <c r="B26" s="6" t="n">
        <v>0.002877527502770913</v>
      </c>
      <c r="C26" s="6" t="n">
        <v>0.0104717725373487</v>
      </c>
      <c r="D26" s="7" t="n">
        <v>-4.878217553014971</v>
      </c>
      <c r="E26" s="7" t="n">
        <v>18.40566822797323</v>
      </c>
      <c r="F26" s="8" t="inlineStr"/>
      <c r="G26" t="inlineStr"/>
      <c r="H26" t="inlineStr"/>
    </row>
    <row r="27">
      <c r="A27" s="2" t="inlineStr">
        <is>
          <t>223f|ALL|ALL</t>
        </is>
      </c>
      <c r="B27" s="6" t="n">
        <v>0.002577924360728645</v>
      </c>
      <c r="C27" s="6" t="n">
        <v>0.01967078423787534</v>
      </c>
      <c r="D27" s="7" t="n">
        <v>47.4113654023657</v>
      </c>
      <c r="E27" s="7" t="n">
        <v>28.18102405333754</v>
      </c>
      <c r="F27" s="8" t="inlineStr"/>
      <c r="G27" t="inlineStr"/>
      <c r="H27" t="inlineStr"/>
    </row>
    <row r="28">
      <c r="A28" s="2" t="inlineStr">
        <is>
          <t>232|ALL|ALL</t>
        </is>
      </c>
      <c r="B28" s="6" t="n">
        <v>0.003784663991842662</v>
      </c>
      <c r="C28" s="6" t="n">
        <v>0.02144646724487149</v>
      </c>
      <c r="D28" s="7" t="n">
        <v>81.33467180455969</v>
      </c>
      <c r="E28" s="7" t="n">
        <v>30.1240376483092</v>
      </c>
      <c r="F28" s="8" t="inlineStr"/>
      <c r="G28" t="inlineStr"/>
      <c r="H28" t="inlineStr"/>
    </row>
    <row r="29">
      <c r="A29" s="2" t="inlineStr">
        <is>
          <t>538|ALL|ALL</t>
        </is>
      </c>
      <c r="B29" s="6" t="n">
        <v>0.001845508140598029</v>
      </c>
      <c r="C29" s="6" t="n">
        <v>0.009609473477300795</v>
      </c>
      <c r="D29" s="7" t="n">
        <v>162.242480633969</v>
      </c>
      <c r="E29" s="7" t="n">
        <v>10.00000000000003</v>
      </c>
      <c r="F29" s="8" t="inlineStr"/>
      <c r="G29" t="inlineStr"/>
      <c r="H29" t="inlineStr"/>
    </row>
    <row r="30">
      <c r="A30" s="2" t="inlineStr">
        <is>
          <t>OTHER|ALL|ALL</t>
        </is>
      </c>
      <c r="B30" s="6" t="n">
        <v>0.002352059785383463</v>
      </c>
      <c r="C30" s="6" t="n">
        <v>0.02296355201341066</v>
      </c>
      <c r="D30" s="7" t="n">
        <v>32.98471252029809</v>
      </c>
      <c r="E30" s="7" t="n">
        <v>24.29778166099291</v>
      </c>
      <c r="F30" s="8" t="inlineStr"/>
      <c r="G30" t="inlineStr"/>
      <c r="H3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</cols>
  <sheetData>
    <row r="1">
      <c r="A1" s="3" t="inlineStr">
        <is>
          <t>V8b Structural Multipliers (reused from V7)</t>
        </is>
      </c>
    </row>
    <row r="3">
      <c r="A3" s="1" t="inlineStr">
        <is>
          <t>M_age (piecewise linear, 6 knots)</t>
        </is>
      </c>
    </row>
    <row r="4">
      <c r="A4" s="2" t="inlineStr">
        <is>
          <t xml:space="preserve">  knot 0: x = 0m → y</t>
        </is>
      </c>
      <c r="B4" s="9" t="n">
        <v>0.3203961185078427</v>
      </c>
    </row>
    <row r="5">
      <c r="A5" s="2" t="inlineStr">
        <is>
          <t xml:space="preserve">  knot 1: x = 12m → y</t>
        </is>
      </c>
      <c r="B5" s="9" t="n">
        <v>0.3157037940481813</v>
      </c>
    </row>
    <row r="6">
      <c r="A6" s="2" t="inlineStr">
        <is>
          <t xml:space="preserve">  knot 2: x = 36m → y</t>
        </is>
      </c>
      <c r="B6" s="9" t="n">
        <v>0.7825344231343733</v>
      </c>
    </row>
    <row r="7">
      <c r="A7" s="2" t="inlineStr">
        <is>
          <t xml:space="preserve">  knot 3: x = 96m → y</t>
        </is>
      </c>
      <c r="B7" s="9" t="n">
        <v>1.396038509179185</v>
      </c>
    </row>
    <row r="8">
      <c r="A8" s="2" t="inlineStr">
        <is>
          <t xml:space="preserve">  knot 4: x = 180m → y</t>
        </is>
      </c>
      <c r="B8" s="9" t="n">
        <v>0.9314874869456753</v>
      </c>
    </row>
    <row r="9">
      <c r="A9" s="2" t="inlineStr">
        <is>
          <t xml:space="preserve">  knot 5: x = 360m → y</t>
        </is>
      </c>
      <c r="B9" s="9" t="n">
        <v>2.422391376027979</v>
      </c>
    </row>
    <row r="10">
      <c r="A10" s="2" t="inlineStr">
        <is>
          <t xml:space="preserve">  (knot_x values, frozen)</t>
        </is>
      </c>
    </row>
    <row r="11">
      <c r="A11" s="2" t="inlineStr">
        <is>
          <t xml:space="preserve">    knot_x_0</t>
        </is>
      </c>
      <c r="B11" s="2" t="n">
        <v>0</v>
      </c>
    </row>
    <row r="12">
      <c r="A12" s="2" t="inlineStr">
        <is>
          <t xml:space="preserve">    knot_x_1</t>
        </is>
      </c>
      <c r="B12" s="2" t="n">
        <v>12</v>
      </c>
    </row>
    <row r="13">
      <c r="A13" s="2" t="inlineStr">
        <is>
          <t xml:space="preserve">    knot_x_2</t>
        </is>
      </c>
      <c r="B13" s="2" t="n">
        <v>36</v>
      </c>
    </row>
    <row r="14">
      <c r="A14" s="2" t="inlineStr">
        <is>
          <t xml:space="preserve">    knot_x_3</t>
        </is>
      </c>
      <c r="B14" s="2" t="n">
        <v>96</v>
      </c>
    </row>
    <row r="15">
      <c r="A15" s="2" t="inlineStr">
        <is>
          <t xml:space="preserve">    knot_x_4</t>
        </is>
      </c>
      <c r="B15" s="2" t="n">
        <v>180</v>
      </c>
    </row>
    <row r="16">
      <c r="A16" s="2" t="inlineStr">
        <is>
          <t xml:space="preserve">    knot_x_5</t>
        </is>
      </c>
      <c r="B16" s="2" t="n">
        <v>360</v>
      </c>
    </row>
    <row r="18">
      <c r="A18" s="1" t="inlineStr">
        <is>
          <t>M_maturity (1 + amp×max(0, (cutoff-mtm)/cutoff))</t>
        </is>
      </c>
    </row>
    <row r="19">
      <c r="A19" s="2" t="inlineStr">
        <is>
          <t xml:space="preserve">  amplitude</t>
        </is>
      </c>
      <c r="B19" s="9" t="n">
        <v>8</v>
      </c>
    </row>
    <row r="20">
      <c r="A20" s="2" t="inlineStr">
        <is>
          <t xml:space="preserve">  cutoff</t>
        </is>
      </c>
      <c r="B20" s="10" t="n">
        <v>12.30980832137962</v>
      </c>
    </row>
    <row r="22">
      <c r="A22" s="1" t="inlineStr">
        <is>
          <t>M_lockout (1 + amp×exp(-msle/tau) for msle ∈ (0,12])</t>
        </is>
      </c>
    </row>
    <row r="23">
      <c r="A23" s="2" t="inlineStr">
        <is>
          <t xml:space="preserve">  amplitude</t>
        </is>
      </c>
      <c r="B23" s="9" t="n">
        <v>4</v>
      </c>
    </row>
    <row r="24">
      <c r="A24" s="2" t="inlineStr">
        <is>
          <t xml:space="preserve">  tau</t>
        </is>
      </c>
      <c r="B24" s="9" t="n">
        <v>1.755298172709846</v>
      </c>
    </row>
    <row r="26">
      <c r="A26" s="1" t="inlineStr">
        <is>
          <t>M_burnout (max(floor, 1 - slope×burn_ratio))</t>
        </is>
      </c>
    </row>
    <row r="27">
      <c r="A27" s="2" t="inlineStr">
        <is>
          <t xml:space="preserve">  floor</t>
        </is>
      </c>
      <c r="B27" s="9" t="n">
        <v>0.5000000000000001</v>
      </c>
    </row>
    <row r="28">
      <c r="A28" s="2" t="inlineStr">
        <is>
          <t xml:space="preserve">  slope</t>
        </is>
      </c>
      <c r="B28" s="9" t="n">
        <v>-4.028703723895018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54"/>
  <sheetViews>
    <sheetView workbookViewId="0">
      <pane xSplit="18" ySplit="2" topLeftCell="S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1" t="inlineStr">
        <is>
          <t>ID</t>
        </is>
      </c>
      <c r="G1" s="11" t="inlineStr">
        <is>
          <t>Inputs</t>
        </is>
      </c>
      <c r="P1" s="11" t="inlineStr">
        <is>
          <t>Derived</t>
        </is>
      </c>
      <c r="V1" s="11" t="inlineStr">
        <is>
          <t>Cohort sigmoid</t>
        </is>
      </c>
      <c r="AB1" s="11" t="inlineStr">
        <is>
          <t>Structural mults</t>
        </is>
      </c>
      <c r="AF1" s="11" t="inlineStr">
        <is>
          <t>Output</t>
        </is>
      </c>
    </row>
    <row r="2">
      <c r="A2" s="5" t="inlineStr">
        <is>
          <t>loan_id</t>
        </is>
      </c>
      <c r="B2" s="5" t="inlineStr">
        <is>
          <t>fha_category</t>
        </is>
      </c>
      <c r="C2" s="5" t="inlineStr">
        <is>
          <t>loan_purpose</t>
        </is>
      </c>
      <c r="D2" s="5" t="inlineStr">
        <is>
          <t>issuer_name</t>
        </is>
      </c>
      <c r="E2" s="5" t="inlineStr">
        <is>
          <t>vintage_year</t>
        </is>
      </c>
      <c r="F2" s="5" t="inlineStr">
        <is>
          <t>period</t>
        </is>
      </c>
      <c r="G2" s="5" t="inlineStr">
        <is>
          <t>upb</t>
        </is>
      </c>
      <c r="H2" s="5" t="inlineStr">
        <is>
          <t>loan_rate_pct</t>
        </is>
      </c>
      <c r="I2" s="5" t="inlineStr">
        <is>
          <t>plc_rate_bps</t>
        </is>
      </c>
      <c r="J2" s="5" t="inlineStr">
        <is>
          <t>prepay_penalty_points</t>
        </is>
      </c>
      <c r="K2" s="5" t="inlineStr">
        <is>
          <t>loan_age_months</t>
        </is>
      </c>
      <c r="L2" s="5" t="inlineStr">
        <is>
          <t>loan_maturity_yyyymm</t>
        </is>
      </c>
      <c r="M2" s="5" t="inlineStr">
        <is>
          <t>lockout_end_yyyymm</t>
        </is>
      </c>
      <c r="N2" s="5" t="inlineStr">
        <is>
          <t>cum_itm</t>
        </is>
      </c>
      <c r="O2" s="5" t="inlineStr">
        <is>
          <t>burn_ratio_in</t>
        </is>
      </c>
      <c r="P2" s="5" t="inlineStr">
        <is>
          <t>program_key</t>
        </is>
      </c>
      <c r="Q2" s="5" t="inlineStr">
        <is>
          <t>purpose_key</t>
        </is>
      </c>
      <c r="R2" s="5" t="inlineStr">
        <is>
          <t>size_bucket</t>
        </is>
      </c>
      <c r="S2" s="5" t="inlineStr">
        <is>
          <t>cohort_id</t>
        </is>
      </c>
      <c r="T2" s="5" t="inlineStr">
        <is>
          <t>gross_refi_bps</t>
        </is>
      </c>
      <c r="U2" s="5" t="inlineStr">
        <is>
          <t>net_refi_bps</t>
        </is>
      </c>
      <c r="V2" s="5" t="inlineStr">
        <is>
          <t>floor</t>
        </is>
      </c>
      <c r="W2" s="5" t="inlineStr">
        <is>
          <t>asymp</t>
        </is>
      </c>
      <c r="X2" s="5" t="inlineStr">
        <is>
          <t>mid</t>
        </is>
      </c>
      <c r="Y2" s="5" t="inlineStr">
        <is>
          <t>slope</t>
        </is>
      </c>
      <c r="Z2" s="5" t="inlineStr">
        <is>
          <t>cohort_smm</t>
        </is>
      </c>
      <c r="AA2" s="5" t="inlineStr">
        <is>
          <t>cohort_cpr</t>
        </is>
      </c>
      <c r="AB2" s="5" t="inlineStr">
        <is>
          <t>M_age</t>
        </is>
      </c>
      <c r="AC2" s="5" t="inlineStr">
        <is>
          <t>M_maturity</t>
        </is>
      </c>
      <c r="AD2" s="5" t="inlineStr">
        <is>
          <t>M_lockout</t>
        </is>
      </c>
      <c r="AE2" s="5" t="inlineStr">
        <is>
          <t>M_burnout</t>
        </is>
      </c>
      <c r="AF2" s="5" t="inlineStr">
        <is>
          <t>pred_SMM</t>
        </is>
      </c>
      <c r="AG2" s="5" t="inlineStr">
        <is>
          <t>pred_CPR</t>
        </is>
      </c>
    </row>
    <row r="3">
      <c r="A3" s="2" t="inlineStr">
        <is>
          <t>000012211373</t>
        </is>
      </c>
      <c r="B3" t="inlineStr">
        <is>
          <t>223f</t>
        </is>
      </c>
      <c r="C3" t="inlineStr">
        <is>
          <t>RP</t>
        </is>
      </c>
      <c r="D3" t="inlineStr">
        <is>
          <t>LUMENT REAL ESTATE CAPITAL,LLC</t>
        </is>
      </c>
      <c r="E3" t="n">
        <v>2015</v>
      </c>
      <c r="F3" t="inlineStr">
        <is>
          <t>202602</t>
        </is>
      </c>
      <c r="G3" s="8" t="n">
        <v>4746336.84</v>
      </c>
      <c r="H3" s="12" t="n">
        <v>2.96</v>
      </c>
      <c r="I3" s="13" t="n">
        <v>447</v>
      </c>
      <c r="J3" s="13" t="n">
        <v>5</v>
      </c>
      <c r="K3" t="n">
        <v>122</v>
      </c>
      <c r="L3" t="n">
        <v>205101</v>
      </c>
      <c r="M3" t="inlineStr"/>
      <c r="N3" t="n">
        <v>1</v>
      </c>
      <c r="O3" s="14" t="n">
        <v>0.00819672131147541</v>
      </c>
      <c r="P3">
        <f>IF(ISNUMBER(SEARCH("232",B3)),"232",IF(ISNUMBER(SEARCH("538",B3)),"538",IF(ISNUMBER(SEARCH("223a7",B3)),"223a7",IF(ISNUMBER(SEARCH("223f",B3)),"223f","OTHER"))))</f>
        <v/>
      </c>
      <c r="Q3">
        <f>IF(UPPER(C3)="NC","NC","RP")</f>
        <v/>
      </c>
      <c r="R3">
        <f>IF(G3&lt;5000000,"small",IF(G3&lt;25000000,"medium","large"))</f>
        <v/>
      </c>
      <c r="S3">
        <f>P3&amp;"|"&amp;Q3&amp;"|"&amp;R3</f>
        <v/>
      </c>
      <c r="T3" s="13">
        <f>H3*100-I3</f>
        <v/>
      </c>
      <c r="U3" s="13">
        <f>T3-12.5*(J3+1)</f>
        <v/>
      </c>
      <c r="V3" s="15">
        <f>IFERROR(VLOOKUP(S3,V8_COHORT_TABLE,2,FALSE),IFERROR(VLOOKUP(P3&amp;"|"&amp;Q3&amp;"|ALL",V8_COHORT_TABLE,2,FALSE),IFERROR(VLOOKUP(P3&amp;"|ALL|ALL",V8_COHORT_TABLE,2,FALSE),VLOOKUP("GLOBAL",V8_COHORT_TABLE,2,FALSE))))</f>
        <v/>
      </c>
      <c r="W3" s="15">
        <f>IFERROR(VLOOKUP(S3,V8_COHORT_TABLE,3,FALSE),IFERROR(VLOOKUP(P3&amp;"|"&amp;Q3&amp;"|ALL",V8_COHORT_TABLE,3,FALSE),IFERROR(VLOOKUP(P3&amp;"|ALL|ALL",V8_COHORT_TABLE,3,FALSE),VLOOKUP("GLOBAL",V8_COHORT_TABLE,3,FALSE))))</f>
        <v/>
      </c>
      <c r="X3" s="15">
        <f>IFERROR(VLOOKUP(S3,V8_COHORT_TABLE,4,FALSE),IFERROR(VLOOKUP(P3&amp;"|"&amp;Q3&amp;"|ALL",V8_COHORT_TABLE,4,FALSE),IFERROR(VLOOKUP(P3&amp;"|ALL|ALL",V8_COHORT_TABLE,4,FALSE),VLOOKUP("GLOBAL",V8_COHORT_TABLE,4,FALSE))))</f>
        <v/>
      </c>
      <c r="Y3" s="15">
        <f>IFERROR(VLOOKUP(S3,V8_COHORT_TABLE,5,FALSE),IFERROR(VLOOKUP(P3&amp;"|"&amp;Q3&amp;"|ALL",V8_COHORT_TABLE,5,FALSE),IFERROR(VLOOKUP(P3&amp;"|ALL|ALL",V8_COHORT_TABLE,5,FALSE),VLOOKUP("GLOBAL",V8_COHORT_TABLE,5,FALSE))))</f>
        <v/>
      </c>
      <c r="Z3" s="15">
        <f>V3+W3/(1+EXP(-(U3-X3)/Y3))</f>
        <v/>
      </c>
      <c r="AA3" s="16">
        <f>1-(1-Z3)^12</f>
        <v/>
      </c>
      <c r="AB3" s="14">
        <f>IF(K3&lt;=V8_AGE_KNOT_X_0,V8_AGE_KNOT_Y_0,IF(K3&gt;=V8_AGE_KNOT_X_5,V8_AGE_KNOT_Y_5,IF(K3&lt;=V8_AGE_KNOT_X_1,V8_AGE_KNOT_Y_0+(K3-V8_AGE_KNOT_X_0)/(V8_AGE_KNOT_X_1-V8_AGE_KNOT_X_0)*(V8_AGE_KNOT_Y_1-V8_AGE_KNOT_Y_0),IF(K3&lt;=V8_AGE_KNOT_X_2,V8_AGE_KNOT_Y_1+(K3-V8_AGE_KNOT_X_1)/(V8_AGE_KNOT_X_2-V8_AGE_KNOT_X_1)*(V8_AGE_KNOT_Y_2-V8_AGE_KNOT_Y_1),IF(K3&lt;=V8_AGE_KNOT_X_3,V8_AGE_KNOT_Y_2+(K3-V8_AGE_KNOT_X_2)/(V8_AGE_KNOT_X_3-V8_AGE_KNOT_X_2)*(V8_AGE_KNOT_Y_3-V8_AGE_KNOT_Y_2),IF(K3&lt;=V8_AGE_KNOT_X_4,V8_AGE_KNOT_Y_3+(K3-V8_AGE_KNOT_X_3)/(V8_AGE_KNOT_X_4-V8_AGE_KNOT_X_3)*(V8_AGE_KNOT_Y_4-V8_AGE_KNOT_Y_3),V8_AGE_KNOT_Y_4+(K3-V8_AGE_KNOT_X_4)/(V8_AGE_KNOT_X_5-V8_AGE_KNOT_X_4)*(V8_AGE_KNOT_Y_5-V8_AGE_KNOT_Y_4)))))))</f>
        <v/>
      </c>
      <c r="AC3" s="14">
        <f>IF(IF(OR(L3="",NOT(ISNUMBER(L3))),360,MAX(0,MIN(480,(INT(L3/100)-INT(VALUE(F3)/100))*12+MOD(L3,100)-MOD(VALUE(F3),100))))&gt;0,1+V8_MTY_AMP*MAX(0,(V8_MTY_CUTOFF-(IF(OR(L3="",NOT(ISNUMBER(L3))),360,MAX(0,MIN(480,(INT(L3/100)-INT(VALUE(F3)/100))*12+MOD(L3,100)-MOD(VALUE(F3),100))))))/V8_MTY_CUTOFF),1)</f>
        <v/>
      </c>
      <c r="AD3" s="14">
        <f>IF(AND(IF(OR(M3="",NOT(ISNUMBER(M3))),0,MAX(0,MIN(24,(INT(VALUE(F3)/100)-INT(M3/100))*12+MOD(VALUE(F3),100)-MOD(M3,100))))&gt;0,IF(OR(M3="",NOT(ISNUMBER(M3))),0,MAX(0,MIN(24,(INT(VALUE(F3)/100)-INT(M3/100))*12+MOD(VALUE(F3),100)-MOD(M3,100))))&lt;=12),1+V8_LOCKOUT_AMP*EXP(-(IF(OR(M3="",NOT(ISNUMBER(M3))),0,MAX(0,MIN(24,(INT(VALUE(F3)/100)-INT(M3/100))*12+MOD(VALUE(F3),100)-MOD(M3,100)))))/V8_LOCKOUT_TAU),1)</f>
        <v/>
      </c>
      <c r="AE3" s="14">
        <f>MAX(V8_BURN_FLOOR,1-V8_BURN_SLOPE*MIN(1,MAX(0,O3)))</f>
        <v/>
      </c>
      <c r="AF3" s="15">
        <f>MIN(Z3*AB3*AC3*AD3*AE3,0.2)</f>
        <v/>
      </c>
      <c r="AG3" s="16">
        <f>1-(1-AF3)^12</f>
        <v/>
      </c>
    </row>
    <row r="4">
      <c r="A4" s="2" t="inlineStr">
        <is>
          <t>000012322093</t>
        </is>
      </c>
      <c r="B4" t="inlineStr">
        <is>
          <t>232</t>
        </is>
      </c>
      <c r="C4" t="inlineStr">
        <is>
          <t>RP</t>
        </is>
      </c>
      <c r="D4" t="inlineStr">
        <is>
          <t>LUMENT REAL ESTATE CAPITAL,LLC</t>
        </is>
      </c>
      <c r="E4" t="n">
        <v>2018</v>
      </c>
      <c r="F4" t="inlineStr">
        <is>
          <t>202602</t>
        </is>
      </c>
      <c r="G4" s="8" t="n">
        <v>11482585.08</v>
      </c>
      <c r="H4" s="12" t="n">
        <v>4.35</v>
      </c>
      <c r="I4" s="13" t="n">
        <v>447</v>
      </c>
      <c r="J4" s="13" t="n">
        <v>0</v>
      </c>
      <c r="K4" t="n">
        <v>91</v>
      </c>
      <c r="L4" t="n">
        <v>205308</v>
      </c>
      <c r="M4" t="inlineStr"/>
      <c r="N4" t="n">
        <v>35</v>
      </c>
      <c r="O4" s="14" t="n">
        <v>0.3846153846153846</v>
      </c>
      <c r="P4">
        <f>IF(ISNUMBER(SEARCH("232",B4)),"232",IF(ISNUMBER(SEARCH("538",B4)),"538",IF(ISNUMBER(SEARCH("223a7",B4)),"223a7",IF(ISNUMBER(SEARCH("223f",B4)),"223f","OTHER"))))</f>
        <v/>
      </c>
      <c r="Q4">
        <f>IF(UPPER(C4)="NC","NC","RP")</f>
        <v/>
      </c>
      <c r="R4">
        <f>IF(G4&lt;5000000,"small",IF(G4&lt;25000000,"medium","large"))</f>
        <v/>
      </c>
      <c r="S4">
        <f>P4&amp;"|"&amp;Q4&amp;"|"&amp;R4</f>
        <v/>
      </c>
      <c r="T4" s="13">
        <f>H4*100-I4</f>
        <v/>
      </c>
      <c r="U4" s="13">
        <f>T4-12.5*(J4+1)</f>
        <v/>
      </c>
      <c r="V4" s="15">
        <f>IFERROR(VLOOKUP(S4,V8_COHORT_TABLE,2,FALSE),IFERROR(VLOOKUP(P4&amp;"|"&amp;Q4&amp;"|ALL",V8_COHORT_TABLE,2,FALSE),IFERROR(VLOOKUP(P4&amp;"|ALL|ALL",V8_COHORT_TABLE,2,FALSE),VLOOKUP("GLOBAL",V8_COHORT_TABLE,2,FALSE))))</f>
        <v/>
      </c>
      <c r="W4" s="15">
        <f>IFERROR(VLOOKUP(S4,V8_COHORT_TABLE,3,FALSE),IFERROR(VLOOKUP(P4&amp;"|"&amp;Q4&amp;"|ALL",V8_COHORT_TABLE,3,FALSE),IFERROR(VLOOKUP(P4&amp;"|ALL|ALL",V8_COHORT_TABLE,3,FALSE),VLOOKUP("GLOBAL",V8_COHORT_TABLE,3,FALSE))))</f>
        <v/>
      </c>
      <c r="X4" s="15">
        <f>IFERROR(VLOOKUP(S4,V8_COHORT_TABLE,4,FALSE),IFERROR(VLOOKUP(P4&amp;"|"&amp;Q4&amp;"|ALL",V8_COHORT_TABLE,4,FALSE),IFERROR(VLOOKUP(P4&amp;"|ALL|ALL",V8_COHORT_TABLE,4,FALSE),VLOOKUP("GLOBAL",V8_COHORT_TABLE,4,FALSE))))</f>
        <v/>
      </c>
      <c r="Y4" s="15">
        <f>IFERROR(VLOOKUP(S4,V8_COHORT_TABLE,5,FALSE),IFERROR(VLOOKUP(P4&amp;"|"&amp;Q4&amp;"|ALL",V8_COHORT_TABLE,5,FALSE),IFERROR(VLOOKUP(P4&amp;"|ALL|ALL",V8_COHORT_TABLE,5,FALSE),VLOOKUP("GLOBAL",V8_COHORT_TABLE,5,FALSE))))</f>
        <v/>
      </c>
      <c r="Z4" s="15">
        <f>V4+W4/(1+EXP(-(U4-X4)/Y4))</f>
        <v/>
      </c>
      <c r="AA4" s="16">
        <f>1-(1-Z4)^12</f>
        <v/>
      </c>
      <c r="AB4" s="14">
        <f>IF(K4&lt;=V8_AGE_KNOT_X_0,V8_AGE_KNOT_Y_0,IF(K4&gt;=V8_AGE_KNOT_X_5,V8_AGE_KNOT_Y_5,IF(K4&lt;=V8_AGE_KNOT_X_1,V8_AGE_KNOT_Y_0+(K4-V8_AGE_KNOT_X_0)/(V8_AGE_KNOT_X_1-V8_AGE_KNOT_X_0)*(V8_AGE_KNOT_Y_1-V8_AGE_KNOT_Y_0),IF(K4&lt;=V8_AGE_KNOT_X_2,V8_AGE_KNOT_Y_1+(K4-V8_AGE_KNOT_X_1)/(V8_AGE_KNOT_X_2-V8_AGE_KNOT_X_1)*(V8_AGE_KNOT_Y_2-V8_AGE_KNOT_Y_1),IF(K4&lt;=V8_AGE_KNOT_X_3,V8_AGE_KNOT_Y_2+(K4-V8_AGE_KNOT_X_2)/(V8_AGE_KNOT_X_3-V8_AGE_KNOT_X_2)*(V8_AGE_KNOT_Y_3-V8_AGE_KNOT_Y_2),IF(K4&lt;=V8_AGE_KNOT_X_4,V8_AGE_KNOT_Y_3+(K4-V8_AGE_KNOT_X_3)/(V8_AGE_KNOT_X_4-V8_AGE_KNOT_X_3)*(V8_AGE_KNOT_Y_4-V8_AGE_KNOT_Y_3),V8_AGE_KNOT_Y_4+(K4-V8_AGE_KNOT_X_4)/(V8_AGE_KNOT_X_5-V8_AGE_KNOT_X_4)*(V8_AGE_KNOT_Y_5-V8_AGE_KNOT_Y_4)))))))</f>
        <v/>
      </c>
      <c r="AC4" s="14">
        <f>IF(IF(OR(L4="",NOT(ISNUMBER(L4))),360,MAX(0,MIN(480,(INT(L4/100)-INT(VALUE(F4)/100))*12+MOD(L4,100)-MOD(VALUE(F4),100))))&gt;0,1+V8_MTY_AMP*MAX(0,(V8_MTY_CUTOFF-(IF(OR(L4="",NOT(ISNUMBER(L4))),360,MAX(0,MIN(480,(INT(L4/100)-INT(VALUE(F4)/100))*12+MOD(L4,100)-MOD(VALUE(F4),100))))))/V8_MTY_CUTOFF),1)</f>
        <v/>
      </c>
      <c r="AD4" s="14">
        <f>IF(AND(IF(OR(M4="",NOT(ISNUMBER(M4))),0,MAX(0,MIN(24,(INT(VALUE(F4)/100)-INT(M4/100))*12+MOD(VALUE(F4),100)-MOD(M4,100))))&gt;0,IF(OR(M4="",NOT(ISNUMBER(M4))),0,MAX(0,MIN(24,(INT(VALUE(F4)/100)-INT(M4/100))*12+MOD(VALUE(F4),100)-MOD(M4,100))))&lt;=12),1+V8_LOCKOUT_AMP*EXP(-(IF(OR(M4="",NOT(ISNUMBER(M4))),0,MAX(0,MIN(24,(INT(VALUE(F4)/100)-INT(M4/100))*12+MOD(VALUE(F4),100)-MOD(M4,100)))))/V8_LOCKOUT_TAU),1)</f>
        <v/>
      </c>
      <c r="AE4" s="14">
        <f>MAX(V8_BURN_FLOOR,1-V8_BURN_SLOPE*MIN(1,MAX(0,O4)))</f>
        <v/>
      </c>
      <c r="AF4" s="15">
        <f>MIN(Z4*AB4*AC4*AD4*AE4,0.2)</f>
        <v/>
      </c>
      <c r="AG4" s="16">
        <f>1-(1-AF4)^12</f>
        <v/>
      </c>
    </row>
    <row r="5">
      <c r="A5" s="2" t="inlineStr">
        <is>
          <t>000002311435</t>
        </is>
      </c>
      <c r="B5" t="inlineStr">
        <is>
          <t>223f</t>
        </is>
      </c>
      <c r="C5" t="inlineStr">
        <is>
          <t>RP</t>
        </is>
      </c>
      <c r="D5" t="inlineStr">
        <is>
          <t>LUMENT REAL ESTATE CAPITAL,LLC</t>
        </is>
      </c>
      <c r="E5" t="n">
        <v>2017</v>
      </c>
      <c r="F5" t="inlineStr">
        <is>
          <t>202602</t>
        </is>
      </c>
      <c r="G5" s="8" t="n">
        <v>13751711.14</v>
      </c>
      <c r="H5" s="12" t="n">
        <v>3.15</v>
      </c>
      <c r="I5" s="13" t="n">
        <v>447</v>
      </c>
      <c r="J5" s="13" t="n">
        <v>5</v>
      </c>
      <c r="K5" t="n">
        <v>106</v>
      </c>
      <c r="L5" t="n">
        <v>205205</v>
      </c>
      <c r="M5" t="inlineStr"/>
      <c r="N5" t="n">
        <v>9</v>
      </c>
      <c r="O5" s="14" t="n">
        <v>0.08490566037735849</v>
      </c>
      <c r="P5">
        <f>IF(ISNUMBER(SEARCH("232",B5)),"232",IF(ISNUMBER(SEARCH("538",B5)),"538",IF(ISNUMBER(SEARCH("223a7",B5)),"223a7",IF(ISNUMBER(SEARCH("223f",B5)),"223f","OTHER"))))</f>
        <v/>
      </c>
      <c r="Q5">
        <f>IF(UPPER(C5)="NC","NC","RP")</f>
        <v/>
      </c>
      <c r="R5">
        <f>IF(G5&lt;5000000,"small",IF(G5&lt;25000000,"medium","large"))</f>
        <v/>
      </c>
      <c r="S5">
        <f>P5&amp;"|"&amp;Q5&amp;"|"&amp;R5</f>
        <v/>
      </c>
      <c r="T5" s="13">
        <f>H5*100-I5</f>
        <v/>
      </c>
      <c r="U5" s="13">
        <f>T5-12.5*(J5+1)</f>
        <v/>
      </c>
      <c r="V5" s="15">
        <f>IFERROR(VLOOKUP(S5,V8_COHORT_TABLE,2,FALSE),IFERROR(VLOOKUP(P5&amp;"|"&amp;Q5&amp;"|ALL",V8_COHORT_TABLE,2,FALSE),IFERROR(VLOOKUP(P5&amp;"|ALL|ALL",V8_COHORT_TABLE,2,FALSE),VLOOKUP("GLOBAL",V8_COHORT_TABLE,2,FALSE))))</f>
        <v/>
      </c>
      <c r="W5" s="15">
        <f>IFERROR(VLOOKUP(S5,V8_COHORT_TABLE,3,FALSE),IFERROR(VLOOKUP(P5&amp;"|"&amp;Q5&amp;"|ALL",V8_COHORT_TABLE,3,FALSE),IFERROR(VLOOKUP(P5&amp;"|ALL|ALL",V8_COHORT_TABLE,3,FALSE),VLOOKUP("GLOBAL",V8_COHORT_TABLE,3,FALSE))))</f>
        <v/>
      </c>
      <c r="X5" s="15">
        <f>IFERROR(VLOOKUP(S5,V8_COHORT_TABLE,4,FALSE),IFERROR(VLOOKUP(P5&amp;"|"&amp;Q5&amp;"|ALL",V8_COHORT_TABLE,4,FALSE),IFERROR(VLOOKUP(P5&amp;"|ALL|ALL",V8_COHORT_TABLE,4,FALSE),VLOOKUP("GLOBAL",V8_COHORT_TABLE,4,FALSE))))</f>
        <v/>
      </c>
      <c r="Y5" s="15">
        <f>IFERROR(VLOOKUP(S5,V8_COHORT_TABLE,5,FALSE),IFERROR(VLOOKUP(P5&amp;"|"&amp;Q5&amp;"|ALL",V8_COHORT_TABLE,5,FALSE),IFERROR(VLOOKUP(P5&amp;"|ALL|ALL",V8_COHORT_TABLE,5,FALSE),VLOOKUP("GLOBAL",V8_COHORT_TABLE,5,FALSE))))</f>
        <v/>
      </c>
      <c r="Z5" s="15">
        <f>V5+W5/(1+EXP(-(U5-X5)/Y5))</f>
        <v/>
      </c>
      <c r="AA5" s="16">
        <f>1-(1-Z5)^12</f>
        <v/>
      </c>
      <c r="AB5" s="14">
        <f>IF(K5&lt;=V8_AGE_KNOT_X_0,V8_AGE_KNOT_Y_0,IF(K5&gt;=V8_AGE_KNOT_X_5,V8_AGE_KNOT_Y_5,IF(K5&lt;=V8_AGE_KNOT_X_1,V8_AGE_KNOT_Y_0+(K5-V8_AGE_KNOT_X_0)/(V8_AGE_KNOT_X_1-V8_AGE_KNOT_X_0)*(V8_AGE_KNOT_Y_1-V8_AGE_KNOT_Y_0),IF(K5&lt;=V8_AGE_KNOT_X_2,V8_AGE_KNOT_Y_1+(K5-V8_AGE_KNOT_X_1)/(V8_AGE_KNOT_X_2-V8_AGE_KNOT_X_1)*(V8_AGE_KNOT_Y_2-V8_AGE_KNOT_Y_1),IF(K5&lt;=V8_AGE_KNOT_X_3,V8_AGE_KNOT_Y_2+(K5-V8_AGE_KNOT_X_2)/(V8_AGE_KNOT_X_3-V8_AGE_KNOT_X_2)*(V8_AGE_KNOT_Y_3-V8_AGE_KNOT_Y_2),IF(K5&lt;=V8_AGE_KNOT_X_4,V8_AGE_KNOT_Y_3+(K5-V8_AGE_KNOT_X_3)/(V8_AGE_KNOT_X_4-V8_AGE_KNOT_X_3)*(V8_AGE_KNOT_Y_4-V8_AGE_KNOT_Y_3),V8_AGE_KNOT_Y_4+(K5-V8_AGE_KNOT_X_4)/(V8_AGE_KNOT_X_5-V8_AGE_KNOT_X_4)*(V8_AGE_KNOT_Y_5-V8_AGE_KNOT_Y_4)))))))</f>
        <v/>
      </c>
      <c r="AC5" s="14">
        <f>IF(IF(OR(L5="",NOT(ISNUMBER(L5))),360,MAX(0,MIN(480,(INT(L5/100)-INT(VALUE(F5)/100))*12+MOD(L5,100)-MOD(VALUE(F5),100))))&gt;0,1+V8_MTY_AMP*MAX(0,(V8_MTY_CUTOFF-(IF(OR(L5="",NOT(ISNUMBER(L5))),360,MAX(0,MIN(480,(INT(L5/100)-INT(VALUE(F5)/100))*12+MOD(L5,100)-MOD(VALUE(F5),100))))))/V8_MTY_CUTOFF),1)</f>
        <v/>
      </c>
      <c r="AD5" s="14">
        <f>IF(AND(IF(OR(M5="",NOT(ISNUMBER(M5))),0,MAX(0,MIN(24,(INT(VALUE(F5)/100)-INT(M5/100))*12+MOD(VALUE(F5),100)-MOD(M5,100))))&gt;0,IF(OR(M5="",NOT(ISNUMBER(M5))),0,MAX(0,MIN(24,(INT(VALUE(F5)/100)-INT(M5/100))*12+MOD(VALUE(F5),100)-MOD(M5,100))))&lt;=12),1+V8_LOCKOUT_AMP*EXP(-(IF(OR(M5="",NOT(ISNUMBER(M5))),0,MAX(0,MIN(24,(INT(VALUE(F5)/100)-INT(M5/100))*12+MOD(VALUE(F5),100)-MOD(M5,100)))))/V8_LOCKOUT_TAU),1)</f>
        <v/>
      </c>
      <c r="AE5" s="14">
        <f>MAX(V8_BURN_FLOOR,1-V8_BURN_SLOPE*MIN(1,MAX(0,O5)))</f>
        <v/>
      </c>
      <c r="AF5" s="15">
        <f>MIN(Z5*AB5*AC5*AD5*AE5,0.2)</f>
        <v/>
      </c>
      <c r="AG5" s="16">
        <f>1-(1-AF5)^12</f>
        <v/>
      </c>
    </row>
    <row r="6">
      <c r="A6" s="2" t="inlineStr">
        <is>
          <t>000007122391</t>
        </is>
      </c>
      <c r="B6" t="inlineStr">
        <is>
          <t>232</t>
        </is>
      </c>
      <c r="C6" t="inlineStr">
        <is>
          <t>RP</t>
        </is>
      </c>
      <c r="D6" t="inlineStr">
        <is>
          <t>LUMENT REAL ESTATE CAPITAL,LLC</t>
        </is>
      </c>
      <c r="E6" t="n">
        <v>2018</v>
      </c>
      <c r="F6" t="inlineStr">
        <is>
          <t>202602</t>
        </is>
      </c>
      <c r="G6" s="8" t="n">
        <v>9767084.699999999</v>
      </c>
      <c r="H6" s="12" t="n">
        <v>3.58</v>
      </c>
      <c r="I6" s="13" t="n">
        <v>447</v>
      </c>
      <c r="J6" s="13" t="n">
        <v>4</v>
      </c>
      <c r="K6" t="n">
        <v>95</v>
      </c>
      <c r="L6" t="n">
        <v>205304</v>
      </c>
      <c r="M6" t="inlineStr"/>
      <c r="N6" t="n">
        <v>27</v>
      </c>
      <c r="O6" s="14" t="n">
        <v>0.2842105263157895</v>
      </c>
      <c r="P6">
        <f>IF(ISNUMBER(SEARCH("232",B6)),"232",IF(ISNUMBER(SEARCH("538",B6)),"538",IF(ISNUMBER(SEARCH("223a7",B6)),"223a7",IF(ISNUMBER(SEARCH("223f",B6)),"223f","OTHER"))))</f>
        <v/>
      </c>
      <c r="Q6">
        <f>IF(UPPER(C6)="NC","NC","RP")</f>
        <v/>
      </c>
      <c r="R6">
        <f>IF(G6&lt;5000000,"small",IF(G6&lt;25000000,"medium","large"))</f>
        <v/>
      </c>
      <c r="S6">
        <f>P6&amp;"|"&amp;Q6&amp;"|"&amp;R6</f>
        <v/>
      </c>
      <c r="T6" s="13">
        <f>H6*100-I6</f>
        <v/>
      </c>
      <c r="U6" s="13">
        <f>T6-12.5*(J6+1)</f>
        <v/>
      </c>
      <c r="V6" s="15">
        <f>IFERROR(VLOOKUP(S6,V8_COHORT_TABLE,2,FALSE),IFERROR(VLOOKUP(P6&amp;"|"&amp;Q6&amp;"|ALL",V8_COHORT_TABLE,2,FALSE),IFERROR(VLOOKUP(P6&amp;"|ALL|ALL",V8_COHORT_TABLE,2,FALSE),VLOOKUP("GLOBAL",V8_COHORT_TABLE,2,FALSE))))</f>
        <v/>
      </c>
      <c r="W6" s="15">
        <f>IFERROR(VLOOKUP(S6,V8_COHORT_TABLE,3,FALSE),IFERROR(VLOOKUP(P6&amp;"|"&amp;Q6&amp;"|ALL",V8_COHORT_TABLE,3,FALSE),IFERROR(VLOOKUP(P6&amp;"|ALL|ALL",V8_COHORT_TABLE,3,FALSE),VLOOKUP("GLOBAL",V8_COHORT_TABLE,3,FALSE))))</f>
        <v/>
      </c>
      <c r="X6" s="15">
        <f>IFERROR(VLOOKUP(S6,V8_COHORT_TABLE,4,FALSE),IFERROR(VLOOKUP(P6&amp;"|"&amp;Q6&amp;"|ALL",V8_COHORT_TABLE,4,FALSE),IFERROR(VLOOKUP(P6&amp;"|ALL|ALL",V8_COHORT_TABLE,4,FALSE),VLOOKUP("GLOBAL",V8_COHORT_TABLE,4,FALSE))))</f>
        <v/>
      </c>
      <c r="Y6" s="15">
        <f>IFERROR(VLOOKUP(S6,V8_COHORT_TABLE,5,FALSE),IFERROR(VLOOKUP(P6&amp;"|"&amp;Q6&amp;"|ALL",V8_COHORT_TABLE,5,FALSE),IFERROR(VLOOKUP(P6&amp;"|ALL|ALL",V8_COHORT_TABLE,5,FALSE),VLOOKUP("GLOBAL",V8_COHORT_TABLE,5,FALSE))))</f>
        <v/>
      </c>
      <c r="Z6" s="15">
        <f>V6+W6/(1+EXP(-(U6-X6)/Y6))</f>
        <v/>
      </c>
      <c r="AA6" s="16">
        <f>1-(1-Z6)^12</f>
        <v/>
      </c>
      <c r="AB6" s="14">
        <f>IF(K6&lt;=V8_AGE_KNOT_X_0,V8_AGE_KNOT_Y_0,IF(K6&gt;=V8_AGE_KNOT_X_5,V8_AGE_KNOT_Y_5,IF(K6&lt;=V8_AGE_KNOT_X_1,V8_AGE_KNOT_Y_0+(K6-V8_AGE_KNOT_X_0)/(V8_AGE_KNOT_X_1-V8_AGE_KNOT_X_0)*(V8_AGE_KNOT_Y_1-V8_AGE_KNOT_Y_0),IF(K6&lt;=V8_AGE_KNOT_X_2,V8_AGE_KNOT_Y_1+(K6-V8_AGE_KNOT_X_1)/(V8_AGE_KNOT_X_2-V8_AGE_KNOT_X_1)*(V8_AGE_KNOT_Y_2-V8_AGE_KNOT_Y_1),IF(K6&lt;=V8_AGE_KNOT_X_3,V8_AGE_KNOT_Y_2+(K6-V8_AGE_KNOT_X_2)/(V8_AGE_KNOT_X_3-V8_AGE_KNOT_X_2)*(V8_AGE_KNOT_Y_3-V8_AGE_KNOT_Y_2),IF(K6&lt;=V8_AGE_KNOT_X_4,V8_AGE_KNOT_Y_3+(K6-V8_AGE_KNOT_X_3)/(V8_AGE_KNOT_X_4-V8_AGE_KNOT_X_3)*(V8_AGE_KNOT_Y_4-V8_AGE_KNOT_Y_3),V8_AGE_KNOT_Y_4+(K6-V8_AGE_KNOT_X_4)/(V8_AGE_KNOT_X_5-V8_AGE_KNOT_X_4)*(V8_AGE_KNOT_Y_5-V8_AGE_KNOT_Y_4)))))))</f>
        <v/>
      </c>
      <c r="AC6" s="14">
        <f>IF(IF(OR(L6="",NOT(ISNUMBER(L6))),360,MAX(0,MIN(480,(INT(L6/100)-INT(VALUE(F6)/100))*12+MOD(L6,100)-MOD(VALUE(F6),100))))&gt;0,1+V8_MTY_AMP*MAX(0,(V8_MTY_CUTOFF-(IF(OR(L6="",NOT(ISNUMBER(L6))),360,MAX(0,MIN(480,(INT(L6/100)-INT(VALUE(F6)/100))*12+MOD(L6,100)-MOD(VALUE(F6),100))))))/V8_MTY_CUTOFF),1)</f>
        <v/>
      </c>
      <c r="AD6" s="14">
        <f>IF(AND(IF(OR(M6="",NOT(ISNUMBER(M6))),0,MAX(0,MIN(24,(INT(VALUE(F6)/100)-INT(M6/100))*12+MOD(VALUE(F6),100)-MOD(M6,100))))&gt;0,IF(OR(M6="",NOT(ISNUMBER(M6))),0,MAX(0,MIN(24,(INT(VALUE(F6)/100)-INT(M6/100))*12+MOD(VALUE(F6),100)-MOD(M6,100))))&lt;=12),1+V8_LOCKOUT_AMP*EXP(-(IF(OR(M6="",NOT(ISNUMBER(M6))),0,MAX(0,MIN(24,(INT(VALUE(F6)/100)-INT(M6/100))*12+MOD(VALUE(F6),100)-MOD(M6,100)))))/V8_LOCKOUT_TAU),1)</f>
        <v/>
      </c>
      <c r="AE6" s="14">
        <f>MAX(V8_BURN_FLOOR,1-V8_BURN_SLOPE*MIN(1,MAX(0,O6)))</f>
        <v/>
      </c>
      <c r="AF6" s="15">
        <f>MIN(Z6*AB6*AC6*AD6*AE6,0.2)</f>
        <v/>
      </c>
      <c r="AG6" s="16">
        <f>1-(1-AF6)^12</f>
        <v/>
      </c>
    </row>
    <row r="7">
      <c r="A7" s="2" t="inlineStr">
        <is>
          <t>000003422052</t>
        </is>
      </c>
      <c r="B7" t="inlineStr">
        <is>
          <t>232</t>
        </is>
      </c>
      <c r="C7" t="inlineStr">
        <is>
          <t>RP</t>
        </is>
      </c>
      <c r="D7" t="inlineStr">
        <is>
          <t>LUMENT REAL ESTATE CAPITAL,LLC</t>
        </is>
      </c>
      <c r="E7" t="n">
        <v>2011</v>
      </c>
      <c r="F7" t="inlineStr">
        <is>
          <t>202602</t>
        </is>
      </c>
      <c r="G7" s="8" t="n">
        <v>5069016.55</v>
      </c>
      <c r="H7" s="12" t="n">
        <v>3.05</v>
      </c>
      <c r="I7" s="13" t="n">
        <v>447</v>
      </c>
      <c r="J7" s="13" t="n">
        <v>6</v>
      </c>
      <c r="K7" t="n">
        <v>176</v>
      </c>
      <c r="L7" t="n">
        <v>204607</v>
      </c>
      <c r="M7" t="inlineStr"/>
      <c r="N7" t="n">
        <v>0</v>
      </c>
      <c r="O7" s="14" t="n">
        <v>0</v>
      </c>
      <c r="P7">
        <f>IF(ISNUMBER(SEARCH("232",B7)),"232",IF(ISNUMBER(SEARCH("538",B7)),"538",IF(ISNUMBER(SEARCH("223a7",B7)),"223a7",IF(ISNUMBER(SEARCH("223f",B7)),"223f","OTHER"))))</f>
        <v/>
      </c>
      <c r="Q7">
        <f>IF(UPPER(C7)="NC","NC","RP")</f>
        <v/>
      </c>
      <c r="R7">
        <f>IF(G7&lt;5000000,"small",IF(G7&lt;25000000,"medium","large"))</f>
        <v/>
      </c>
      <c r="S7">
        <f>P7&amp;"|"&amp;Q7&amp;"|"&amp;R7</f>
        <v/>
      </c>
      <c r="T7" s="13">
        <f>H7*100-I7</f>
        <v/>
      </c>
      <c r="U7" s="13">
        <f>T7-12.5*(J7+1)</f>
        <v/>
      </c>
      <c r="V7" s="15">
        <f>IFERROR(VLOOKUP(S7,V8_COHORT_TABLE,2,FALSE),IFERROR(VLOOKUP(P7&amp;"|"&amp;Q7&amp;"|ALL",V8_COHORT_TABLE,2,FALSE),IFERROR(VLOOKUP(P7&amp;"|ALL|ALL",V8_COHORT_TABLE,2,FALSE),VLOOKUP("GLOBAL",V8_COHORT_TABLE,2,FALSE))))</f>
        <v/>
      </c>
      <c r="W7" s="15">
        <f>IFERROR(VLOOKUP(S7,V8_COHORT_TABLE,3,FALSE),IFERROR(VLOOKUP(P7&amp;"|"&amp;Q7&amp;"|ALL",V8_COHORT_TABLE,3,FALSE),IFERROR(VLOOKUP(P7&amp;"|ALL|ALL",V8_COHORT_TABLE,3,FALSE),VLOOKUP("GLOBAL",V8_COHORT_TABLE,3,FALSE))))</f>
        <v/>
      </c>
      <c r="X7" s="15">
        <f>IFERROR(VLOOKUP(S7,V8_COHORT_TABLE,4,FALSE),IFERROR(VLOOKUP(P7&amp;"|"&amp;Q7&amp;"|ALL",V8_COHORT_TABLE,4,FALSE),IFERROR(VLOOKUP(P7&amp;"|ALL|ALL",V8_COHORT_TABLE,4,FALSE),VLOOKUP("GLOBAL",V8_COHORT_TABLE,4,FALSE))))</f>
        <v/>
      </c>
      <c r="Y7" s="15">
        <f>IFERROR(VLOOKUP(S7,V8_COHORT_TABLE,5,FALSE),IFERROR(VLOOKUP(P7&amp;"|"&amp;Q7&amp;"|ALL",V8_COHORT_TABLE,5,FALSE),IFERROR(VLOOKUP(P7&amp;"|ALL|ALL",V8_COHORT_TABLE,5,FALSE),VLOOKUP("GLOBAL",V8_COHORT_TABLE,5,FALSE))))</f>
        <v/>
      </c>
      <c r="Z7" s="15">
        <f>V7+W7/(1+EXP(-(U7-X7)/Y7))</f>
        <v/>
      </c>
      <c r="AA7" s="16">
        <f>1-(1-Z7)^12</f>
        <v/>
      </c>
      <c r="AB7" s="14">
        <f>IF(K7&lt;=V8_AGE_KNOT_X_0,V8_AGE_KNOT_Y_0,IF(K7&gt;=V8_AGE_KNOT_X_5,V8_AGE_KNOT_Y_5,IF(K7&lt;=V8_AGE_KNOT_X_1,V8_AGE_KNOT_Y_0+(K7-V8_AGE_KNOT_X_0)/(V8_AGE_KNOT_X_1-V8_AGE_KNOT_X_0)*(V8_AGE_KNOT_Y_1-V8_AGE_KNOT_Y_0),IF(K7&lt;=V8_AGE_KNOT_X_2,V8_AGE_KNOT_Y_1+(K7-V8_AGE_KNOT_X_1)/(V8_AGE_KNOT_X_2-V8_AGE_KNOT_X_1)*(V8_AGE_KNOT_Y_2-V8_AGE_KNOT_Y_1),IF(K7&lt;=V8_AGE_KNOT_X_3,V8_AGE_KNOT_Y_2+(K7-V8_AGE_KNOT_X_2)/(V8_AGE_KNOT_X_3-V8_AGE_KNOT_X_2)*(V8_AGE_KNOT_Y_3-V8_AGE_KNOT_Y_2),IF(K7&lt;=V8_AGE_KNOT_X_4,V8_AGE_KNOT_Y_3+(K7-V8_AGE_KNOT_X_3)/(V8_AGE_KNOT_X_4-V8_AGE_KNOT_X_3)*(V8_AGE_KNOT_Y_4-V8_AGE_KNOT_Y_3),V8_AGE_KNOT_Y_4+(K7-V8_AGE_KNOT_X_4)/(V8_AGE_KNOT_X_5-V8_AGE_KNOT_X_4)*(V8_AGE_KNOT_Y_5-V8_AGE_KNOT_Y_4)))))))</f>
        <v/>
      </c>
      <c r="AC7" s="14">
        <f>IF(IF(OR(L7="",NOT(ISNUMBER(L7))),360,MAX(0,MIN(480,(INT(L7/100)-INT(VALUE(F7)/100))*12+MOD(L7,100)-MOD(VALUE(F7),100))))&gt;0,1+V8_MTY_AMP*MAX(0,(V8_MTY_CUTOFF-(IF(OR(L7="",NOT(ISNUMBER(L7))),360,MAX(0,MIN(480,(INT(L7/100)-INT(VALUE(F7)/100))*12+MOD(L7,100)-MOD(VALUE(F7),100))))))/V8_MTY_CUTOFF),1)</f>
        <v/>
      </c>
      <c r="AD7" s="14">
        <f>IF(AND(IF(OR(M7="",NOT(ISNUMBER(M7))),0,MAX(0,MIN(24,(INT(VALUE(F7)/100)-INT(M7/100))*12+MOD(VALUE(F7),100)-MOD(M7,100))))&gt;0,IF(OR(M7="",NOT(ISNUMBER(M7))),0,MAX(0,MIN(24,(INT(VALUE(F7)/100)-INT(M7/100))*12+MOD(VALUE(F7),100)-MOD(M7,100))))&lt;=12),1+V8_LOCKOUT_AMP*EXP(-(IF(OR(M7="",NOT(ISNUMBER(M7))),0,MAX(0,MIN(24,(INT(VALUE(F7)/100)-INT(M7/100))*12+MOD(VALUE(F7),100)-MOD(M7,100)))))/V8_LOCKOUT_TAU),1)</f>
        <v/>
      </c>
      <c r="AE7" s="14">
        <f>MAX(V8_BURN_FLOOR,1-V8_BURN_SLOPE*MIN(1,MAX(0,O7)))</f>
        <v/>
      </c>
      <c r="AF7" s="15">
        <f>MIN(Z7*AB7*AC7*AD7*AE7,0.2)</f>
        <v/>
      </c>
      <c r="AG7" s="16">
        <f>1-(1-AF7)^12</f>
        <v/>
      </c>
    </row>
    <row r="8">
      <c r="A8" s="2" t="inlineStr">
        <is>
          <t>000007343145</t>
        </is>
      </c>
      <c r="B8" t="inlineStr">
        <is>
          <t>232</t>
        </is>
      </c>
      <c r="C8" t="inlineStr">
        <is>
          <t>RP</t>
        </is>
      </c>
      <c r="D8" t="inlineStr">
        <is>
          <t>LUMENT REAL ESTATE CAPITAL,LLC</t>
        </is>
      </c>
      <c r="E8" t="n">
        <v>2013</v>
      </c>
      <c r="F8" t="inlineStr">
        <is>
          <t>202602</t>
        </is>
      </c>
      <c r="G8" s="8" t="n">
        <v>11587614.33</v>
      </c>
      <c r="H8" s="12" t="n">
        <v>3.42</v>
      </c>
      <c r="I8" s="13" t="n">
        <v>447</v>
      </c>
      <c r="J8" s="13" t="n">
        <v>6</v>
      </c>
      <c r="K8" t="n">
        <v>148</v>
      </c>
      <c r="L8" t="n">
        <v>205108</v>
      </c>
      <c r="M8" t="inlineStr"/>
      <c r="N8" t="n">
        <v>1</v>
      </c>
      <c r="O8" s="14" t="n">
        <v>0.006756756756756757</v>
      </c>
      <c r="P8">
        <f>IF(ISNUMBER(SEARCH("232",B8)),"232",IF(ISNUMBER(SEARCH("538",B8)),"538",IF(ISNUMBER(SEARCH("223a7",B8)),"223a7",IF(ISNUMBER(SEARCH("223f",B8)),"223f","OTHER"))))</f>
        <v/>
      </c>
      <c r="Q8">
        <f>IF(UPPER(C8)="NC","NC","RP")</f>
        <v/>
      </c>
      <c r="R8">
        <f>IF(G8&lt;5000000,"small",IF(G8&lt;25000000,"medium","large"))</f>
        <v/>
      </c>
      <c r="S8">
        <f>P8&amp;"|"&amp;Q8&amp;"|"&amp;R8</f>
        <v/>
      </c>
      <c r="T8" s="13">
        <f>H8*100-I8</f>
        <v/>
      </c>
      <c r="U8" s="13">
        <f>T8-12.5*(J8+1)</f>
        <v/>
      </c>
      <c r="V8" s="15">
        <f>IFERROR(VLOOKUP(S8,V8_COHORT_TABLE,2,FALSE),IFERROR(VLOOKUP(P8&amp;"|"&amp;Q8&amp;"|ALL",V8_COHORT_TABLE,2,FALSE),IFERROR(VLOOKUP(P8&amp;"|ALL|ALL",V8_COHORT_TABLE,2,FALSE),VLOOKUP("GLOBAL",V8_COHORT_TABLE,2,FALSE))))</f>
        <v/>
      </c>
      <c r="W8" s="15">
        <f>IFERROR(VLOOKUP(S8,V8_COHORT_TABLE,3,FALSE),IFERROR(VLOOKUP(P8&amp;"|"&amp;Q8&amp;"|ALL",V8_COHORT_TABLE,3,FALSE),IFERROR(VLOOKUP(P8&amp;"|ALL|ALL",V8_COHORT_TABLE,3,FALSE),VLOOKUP("GLOBAL",V8_COHORT_TABLE,3,FALSE))))</f>
        <v/>
      </c>
      <c r="X8" s="15">
        <f>IFERROR(VLOOKUP(S8,V8_COHORT_TABLE,4,FALSE),IFERROR(VLOOKUP(P8&amp;"|"&amp;Q8&amp;"|ALL",V8_COHORT_TABLE,4,FALSE),IFERROR(VLOOKUP(P8&amp;"|ALL|ALL",V8_COHORT_TABLE,4,FALSE),VLOOKUP("GLOBAL",V8_COHORT_TABLE,4,FALSE))))</f>
        <v/>
      </c>
      <c r="Y8" s="15">
        <f>IFERROR(VLOOKUP(S8,V8_COHORT_TABLE,5,FALSE),IFERROR(VLOOKUP(P8&amp;"|"&amp;Q8&amp;"|ALL",V8_COHORT_TABLE,5,FALSE),IFERROR(VLOOKUP(P8&amp;"|ALL|ALL",V8_COHORT_TABLE,5,FALSE),VLOOKUP("GLOBAL",V8_COHORT_TABLE,5,FALSE))))</f>
        <v/>
      </c>
      <c r="Z8" s="15">
        <f>V8+W8/(1+EXP(-(U8-X8)/Y8))</f>
        <v/>
      </c>
      <c r="AA8" s="16">
        <f>1-(1-Z8)^12</f>
        <v/>
      </c>
      <c r="AB8" s="14">
        <f>IF(K8&lt;=V8_AGE_KNOT_X_0,V8_AGE_KNOT_Y_0,IF(K8&gt;=V8_AGE_KNOT_X_5,V8_AGE_KNOT_Y_5,IF(K8&lt;=V8_AGE_KNOT_X_1,V8_AGE_KNOT_Y_0+(K8-V8_AGE_KNOT_X_0)/(V8_AGE_KNOT_X_1-V8_AGE_KNOT_X_0)*(V8_AGE_KNOT_Y_1-V8_AGE_KNOT_Y_0),IF(K8&lt;=V8_AGE_KNOT_X_2,V8_AGE_KNOT_Y_1+(K8-V8_AGE_KNOT_X_1)/(V8_AGE_KNOT_X_2-V8_AGE_KNOT_X_1)*(V8_AGE_KNOT_Y_2-V8_AGE_KNOT_Y_1),IF(K8&lt;=V8_AGE_KNOT_X_3,V8_AGE_KNOT_Y_2+(K8-V8_AGE_KNOT_X_2)/(V8_AGE_KNOT_X_3-V8_AGE_KNOT_X_2)*(V8_AGE_KNOT_Y_3-V8_AGE_KNOT_Y_2),IF(K8&lt;=V8_AGE_KNOT_X_4,V8_AGE_KNOT_Y_3+(K8-V8_AGE_KNOT_X_3)/(V8_AGE_KNOT_X_4-V8_AGE_KNOT_X_3)*(V8_AGE_KNOT_Y_4-V8_AGE_KNOT_Y_3),V8_AGE_KNOT_Y_4+(K8-V8_AGE_KNOT_X_4)/(V8_AGE_KNOT_X_5-V8_AGE_KNOT_X_4)*(V8_AGE_KNOT_Y_5-V8_AGE_KNOT_Y_4)))))))</f>
        <v/>
      </c>
      <c r="AC8" s="14">
        <f>IF(IF(OR(L8="",NOT(ISNUMBER(L8))),360,MAX(0,MIN(480,(INT(L8/100)-INT(VALUE(F8)/100))*12+MOD(L8,100)-MOD(VALUE(F8),100))))&gt;0,1+V8_MTY_AMP*MAX(0,(V8_MTY_CUTOFF-(IF(OR(L8="",NOT(ISNUMBER(L8))),360,MAX(0,MIN(480,(INT(L8/100)-INT(VALUE(F8)/100))*12+MOD(L8,100)-MOD(VALUE(F8),100))))))/V8_MTY_CUTOFF),1)</f>
        <v/>
      </c>
      <c r="AD8" s="14">
        <f>IF(AND(IF(OR(M8="",NOT(ISNUMBER(M8))),0,MAX(0,MIN(24,(INT(VALUE(F8)/100)-INT(M8/100))*12+MOD(VALUE(F8),100)-MOD(M8,100))))&gt;0,IF(OR(M8="",NOT(ISNUMBER(M8))),0,MAX(0,MIN(24,(INT(VALUE(F8)/100)-INT(M8/100))*12+MOD(VALUE(F8),100)-MOD(M8,100))))&lt;=12),1+V8_LOCKOUT_AMP*EXP(-(IF(OR(M8="",NOT(ISNUMBER(M8))),0,MAX(0,MIN(24,(INT(VALUE(F8)/100)-INT(M8/100))*12+MOD(VALUE(F8),100)-MOD(M8,100)))))/V8_LOCKOUT_TAU),1)</f>
        <v/>
      </c>
      <c r="AE8" s="14">
        <f>MAX(V8_BURN_FLOOR,1-V8_BURN_SLOPE*MIN(1,MAX(0,O8)))</f>
        <v/>
      </c>
      <c r="AF8" s="15">
        <f>MIN(Z8*AB8*AC8*AD8*AE8,0.2)</f>
        <v/>
      </c>
      <c r="AG8" s="16">
        <f>1-(1-AF8)^12</f>
        <v/>
      </c>
    </row>
    <row r="9">
      <c r="A9" s="2" t="inlineStr">
        <is>
          <t>000010535179</t>
        </is>
      </c>
      <c r="B9" t="inlineStr">
        <is>
          <t>OTHER</t>
        </is>
      </c>
      <c r="C9" t="inlineStr">
        <is>
          <t>OTHER</t>
        </is>
      </c>
      <c r="D9" t="inlineStr">
        <is>
          <t>LUMENT REAL ESTATE CAPITAL,LLC</t>
        </is>
      </c>
      <c r="E9" t="n">
        <v>2010</v>
      </c>
      <c r="F9" t="inlineStr">
        <is>
          <t>202602</t>
        </is>
      </c>
      <c r="G9" s="8" t="n">
        <v>7782165.94</v>
      </c>
      <c r="H9" s="12" t="n">
        <v>3.38</v>
      </c>
      <c r="I9" s="13" t="n">
        <v>447</v>
      </c>
      <c r="J9" s="13" t="n">
        <v>0</v>
      </c>
      <c r="K9" t="n">
        <v>182</v>
      </c>
      <c r="L9" t="n">
        <v>205206</v>
      </c>
      <c r="M9" t="inlineStr"/>
      <c r="N9" t="n">
        <v>36</v>
      </c>
      <c r="O9" s="14" t="n">
        <v>0.1978021978021978</v>
      </c>
      <c r="P9">
        <f>IF(ISNUMBER(SEARCH("232",B9)),"232",IF(ISNUMBER(SEARCH("538",B9)),"538",IF(ISNUMBER(SEARCH("223a7",B9)),"223a7",IF(ISNUMBER(SEARCH("223f",B9)),"223f","OTHER"))))</f>
        <v/>
      </c>
      <c r="Q9">
        <f>IF(UPPER(C9)="NC","NC","RP")</f>
        <v/>
      </c>
      <c r="R9">
        <f>IF(G9&lt;5000000,"small",IF(G9&lt;25000000,"medium","large"))</f>
        <v/>
      </c>
      <c r="S9">
        <f>P9&amp;"|"&amp;Q9&amp;"|"&amp;R9</f>
        <v/>
      </c>
      <c r="T9" s="13">
        <f>H9*100-I9</f>
        <v/>
      </c>
      <c r="U9" s="13">
        <f>T9-12.5*(J9+1)</f>
        <v/>
      </c>
      <c r="V9" s="15">
        <f>IFERROR(VLOOKUP(S9,V8_COHORT_TABLE,2,FALSE),IFERROR(VLOOKUP(P9&amp;"|"&amp;Q9&amp;"|ALL",V8_COHORT_TABLE,2,FALSE),IFERROR(VLOOKUP(P9&amp;"|ALL|ALL",V8_COHORT_TABLE,2,FALSE),VLOOKUP("GLOBAL",V8_COHORT_TABLE,2,FALSE))))</f>
        <v/>
      </c>
      <c r="W9" s="15">
        <f>IFERROR(VLOOKUP(S9,V8_COHORT_TABLE,3,FALSE),IFERROR(VLOOKUP(P9&amp;"|"&amp;Q9&amp;"|ALL",V8_COHORT_TABLE,3,FALSE),IFERROR(VLOOKUP(P9&amp;"|ALL|ALL",V8_COHORT_TABLE,3,FALSE),VLOOKUP("GLOBAL",V8_COHORT_TABLE,3,FALSE))))</f>
        <v/>
      </c>
      <c r="X9" s="15">
        <f>IFERROR(VLOOKUP(S9,V8_COHORT_TABLE,4,FALSE),IFERROR(VLOOKUP(P9&amp;"|"&amp;Q9&amp;"|ALL",V8_COHORT_TABLE,4,FALSE),IFERROR(VLOOKUP(P9&amp;"|ALL|ALL",V8_COHORT_TABLE,4,FALSE),VLOOKUP("GLOBAL",V8_COHORT_TABLE,4,FALSE))))</f>
        <v/>
      </c>
      <c r="Y9" s="15">
        <f>IFERROR(VLOOKUP(S9,V8_COHORT_TABLE,5,FALSE),IFERROR(VLOOKUP(P9&amp;"|"&amp;Q9&amp;"|ALL",V8_COHORT_TABLE,5,FALSE),IFERROR(VLOOKUP(P9&amp;"|ALL|ALL",V8_COHORT_TABLE,5,FALSE),VLOOKUP("GLOBAL",V8_COHORT_TABLE,5,FALSE))))</f>
        <v/>
      </c>
      <c r="Z9" s="15">
        <f>V9+W9/(1+EXP(-(U9-X9)/Y9))</f>
        <v/>
      </c>
      <c r="AA9" s="16">
        <f>1-(1-Z9)^12</f>
        <v/>
      </c>
      <c r="AB9" s="14">
        <f>IF(K9&lt;=V8_AGE_KNOT_X_0,V8_AGE_KNOT_Y_0,IF(K9&gt;=V8_AGE_KNOT_X_5,V8_AGE_KNOT_Y_5,IF(K9&lt;=V8_AGE_KNOT_X_1,V8_AGE_KNOT_Y_0+(K9-V8_AGE_KNOT_X_0)/(V8_AGE_KNOT_X_1-V8_AGE_KNOT_X_0)*(V8_AGE_KNOT_Y_1-V8_AGE_KNOT_Y_0),IF(K9&lt;=V8_AGE_KNOT_X_2,V8_AGE_KNOT_Y_1+(K9-V8_AGE_KNOT_X_1)/(V8_AGE_KNOT_X_2-V8_AGE_KNOT_X_1)*(V8_AGE_KNOT_Y_2-V8_AGE_KNOT_Y_1),IF(K9&lt;=V8_AGE_KNOT_X_3,V8_AGE_KNOT_Y_2+(K9-V8_AGE_KNOT_X_2)/(V8_AGE_KNOT_X_3-V8_AGE_KNOT_X_2)*(V8_AGE_KNOT_Y_3-V8_AGE_KNOT_Y_2),IF(K9&lt;=V8_AGE_KNOT_X_4,V8_AGE_KNOT_Y_3+(K9-V8_AGE_KNOT_X_3)/(V8_AGE_KNOT_X_4-V8_AGE_KNOT_X_3)*(V8_AGE_KNOT_Y_4-V8_AGE_KNOT_Y_3),V8_AGE_KNOT_Y_4+(K9-V8_AGE_KNOT_X_4)/(V8_AGE_KNOT_X_5-V8_AGE_KNOT_X_4)*(V8_AGE_KNOT_Y_5-V8_AGE_KNOT_Y_4)))))))</f>
        <v/>
      </c>
      <c r="AC9" s="14">
        <f>IF(IF(OR(L9="",NOT(ISNUMBER(L9))),360,MAX(0,MIN(480,(INT(L9/100)-INT(VALUE(F9)/100))*12+MOD(L9,100)-MOD(VALUE(F9),100))))&gt;0,1+V8_MTY_AMP*MAX(0,(V8_MTY_CUTOFF-(IF(OR(L9="",NOT(ISNUMBER(L9))),360,MAX(0,MIN(480,(INT(L9/100)-INT(VALUE(F9)/100))*12+MOD(L9,100)-MOD(VALUE(F9),100))))))/V8_MTY_CUTOFF),1)</f>
        <v/>
      </c>
      <c r="AD9" s="14">
        <f>IF(AND(IF(OR(M9="",NOT(ISNUMBER(M9))),0,MAX(0,MIN(24,(INT(VALUE(F9)/100)-INT(M9/100))*12+MOD(VALUE(F9),100)-MOD(M9,100))))&gt;0,IF(OR(M9="",NOT(ISNUMBER(M9))),0,MAX(0,MIN(24,(INT(VALUE(F9)/100)-INT(M9/100))*12+MOD(VALUE(F9),100)-MOD(M9,100))))&lt;=12),1+V8_LOCKOUT_AMP*EXP(-(IF(OR(M9="",NOT(ISNUMBER(M9))),0,MAX(0,MIN(24,(INT(VALUE(F9)/100)-INT(M9/100))*12+MOD(VALUE(F9),100)-MOD(M9,100)))))/V8_LOCKOUT_TAU),1)</f>
        <v/>
      </c>
      <c r="AE9" s="14">
        <f>MAX(V8_BURN_FLOOR,1-V8_BURN_SLOPE*MIN(1,MAX(0,O9)))</f>
        <v/>
      </c>
      <c r="AF9" s="15">
        <f>MIN(Z9*AB9*AC9*AD9*AE9,0.2)</f>
        <v/>
      </c>
      <c r="AG9" s="16">
        <f>1-(1-AF9)^12</f>
        <v/>
      </c>
    </row>
    <row r="10">
      <c r="A10" s="2" t="inlineStr">
        <is>
          <t>000001211581</t>
        </is>
      </c>
      <c r="B10" t="inlineStr">
        <is>
          <t>223f</t>
        </is>
      </c>
      <c r="C10" t="inlineStr">
        <is>
          <t>RP</t>
        </is>
      </c>
      <c r="D10" t="inlineStr">
        <is>
          <t>LUMENT REAL ESTATE CAPITAL,LLC</t>
        </is>
      </c>
      <c r="E10" t="n">
        <v>2023</v>
      </c>
      <c r="F10" t="inlineStr">
        <is>
          <t>202602</t>
        </is>
      </c>
      <c r="G10" s="8" t="n">
        <v>30791262.42</v>
      </c>
      <c r="H10" s="12" t="n">
        <v>5.36</v>
      </c>
      <c r="I10" s="13" t="n">
        <v>447</v>
      </c>
      <c r="J10" s="13" t="n">
        <v>8</v>
      </c>
      <c r="K10" t="n">
        <v>32</v>
      </c>
      <c r="L10" t="n">
        <v>205707</v>
      </c>
      <c r="M10" t="inlineStr"/>
      <c r="N10" t="n">
        <v>0</v>
      </c>
      <c r="O10" s="14" t="n">
        <v>0</v>
      </c>
      <c r="P10">
        <f>IF(ISNUMBER(SEARCH("232",B10)),"232",IF(ISNUMBER(SEARCH("538",B10)),"538",IF(ISNUMBER(SEARCH("223a7",B10)),"223a7",IF(ISNUMBER(SEARCH("223f",B10)),"223f","OTHER"))))</f>
        <v/>
      </c>
      <c r="Q10">
        <f>IF(UPPER(C10)="NC","NC","RP")</f>
        <v/>
      </c>
      <c r="R10">
        <f>IF(G10&lt;5000000,"small",IF(G10&lt;25000000,"medium","large"))</f>
        <v/>
      </c>
      <c r="S10">
        <f>P10&amp;"|"&amp;Q10&amp;"|"&amp;R10</f>
        <v/>
      </c>
      <c r="T10" s="13">
        <f>H10*100-I10</f>
        <v/>
      </c>
      <c r="U10" s="13">
        <f>T10-12.5*(J10+1)</f>
        <v/>
      </c>
      <c r="V10" s="15">
        <f>IFERROR(VLOOKUP(S10,V8_COHORT_TABLE,2,FALSE),IFERROR(VLOOKUP(P10&amp;"|"&amp;Q10&amp;"|ALL",V8_COHORT_TABLE,2,FALSE),IFERROR(VLOOKUP(P10&amp;"|ALL|ALL",V8_COHORT_TABLE,2,FALSE),VLOOKUP("GLOBAL",V8_COHORT_TABLE,2,FALSE))))</f>
        <v/>
      </c>
      <c r="W10" s="15">
        <f>IFERROR(VLOOKUP(S10,V8_COHORT_TABLE,3,FALSE),IFERROR(VLOOKUP(P10&amp;"|"&amp;Q10&amp;"|ALL",V8_COHORT_TABLE,3,FALSE),IFERROR(VLOOKUP(P10&amp;"|ALL|ALL",V8_COHORT_TABLE,3,FALSE),VLOOKUP("GLOBAL",V8_COHORT_TABLE,3,FALSE))))</f>
        <v/>
      </c>
      <c r="X10" s="15">
        <f>IFERROR(VLOOKUP(S10,V8_COHORT_TABLE,4,FALSE),IFERROR(VLOOKUP(P10&amp;"|"&amp;Q10&amp;"|ALL",V8_COHORT_TABLE,4,FALSE),IFERROR(VLOOKUP(P10&amp;"|ALL|ALL",V8_COHORT_TABLE,4,FALSE),VLOOKUP("GLOBAL",V8_COHORT_TABLE,4,FALSE))))</f>
        <v/>
      </c>
      <c r="Y10" s="15">
        <f>IFERROR(VLOOKUP(S10,V8_COHORT_TABLE,5,FALSE),IFERROR(VLOOKUP(P10&amp;"|"&amp;Q10&amp;"|ALL",V8_COHORT_TABLE,5,FALSE),IFERROR(VLOOKUP(P10&amp;"|ALL|ALL",V8_COHORT_TABLE,5,FALSE),VLOOKUP("GLOBAL",V8_COHORT_TABLE,5,FALSE))))</f>
        <v/>
      </c>
      <c r="Z10" s="15">
        <f>V10+W10/(1+EXP(-(U10-X10)/Y10))</f>
        <v/>
      </c>
      <c r="AA10" s="16">
        <f>1-(1-Z10)^12</f>
        <v/>
      </c>
      <c r="AB10" s="14">
        <f>IF(K10&lt;=V8_AGE_KNOT_X_0,V8_AGE_KNOT_Y_0,IF(K10&gt;=V8_AGE_KNOT_X_5,V8_AGE_KNOT_Y_5,IF(K10&lt;=V8_AGE_KNOT_X_1,V8_AGE_KNOT_Y_0+(K10-V8_AGE_KNOT_X_0)/(V8_AGE_KNOT_X_1-V8_AGE_KNOT_X_0)*(V8_AGE_KNOT_Y_1-V8_AGE_KNOT_Y_0),IF(K10&lt;=V8_AGE_KNOT_X_2,V8_AGE_KNOT_Y_1+(K10-V8_AGE_KNOT_X_1)/(V8_AGE_KNOT_X_2-V8_AGE_KNOT_X_1)*(V8_AGE_KNOT_Y_2-V8_AGE_KNOT_Y_1),IF(K10&lt;=V8_AGE_KNOT_X_3,V8_AGE_KNOT_Y_2+(K10-V8_AGE_KNOT_X_2)/(V8_AGE_KNOT_X_3-V8_AGE_KNOT_X_2)*(V8_AGE_KNOT_Y_3-V8_AGE_KNOT_Y_2),IF(K10&lt;=V8_AGE_KNOT_X_4,V8_AGE_KNOT_Y_3+(K10-V8_AGE_KNOT_X_3)/(V8_AGE_KNOT_X_4-V8_AGE_KNOT_X_3)*(V8_AGE_KNOT_Y_4-V8_AGE_KNOT_Y_3),V8_AGE_KNOT_Y_4+(K10-V8_AGE_KNOT_X_4)/(V8_AGE_KNOT_X_5-V8_AGE_KNOT_X_4)*(V8_AGE_KNOT_Y_5-V8_AGE_KNOT_Y_4)))))))</f>
        <v/>
      </c>
      <c r="AC10" s="14">
        <f>IF(IF(OR(L10="",NOT(ISNUMBER(L10))),360,MAX(0,MIN(480,(INT(L10/100)-INT(VALUE(F10)/100))*12+MOD(L10,100)-MOD(VALUE(F10),100))))&gt;0,1+V8_MTY_AMP*MAX(0,(V8_MTY_CUTOFF-(IF(OR(L10="",NOT(ISNUMBER(L10))),360,MAX(0,MIN(480,(INT(L10/100)-INT(VALUE(F10)/100))*12+MOD(L10,100)-MOD(VALUE(F10),100))))))/V8_MTY_CUTOFF),1)</f>
        <v/>
      </c>
      <c r="AD10" s="14">
        <f>IF(AND(IF(OR(M10="",NOT(ISNUMBER(M10))),0,MAX(0,MIN(24,(INT(VALUE(F10)/100)-INT(M10/100))*12+MOD(VALUE(F10),100)-MOD(M10,100))))&gt;0,IF(OR(M10="",NOT(ISNUMBER(M10))),0,MAX(0,MIN(24,(INT(VALUE(F10)/100)-INT(M10/100))*12+MOD(VALUE(F10),100)-MOD(M10,100))))&lt;=12),1+V8_LOCKOUT_AMP*EXP(-(IF(OR(M10="",NOT(ISNUMBER(M10))),0,MAX(0,MIN(24,(INT(VALUE(F10)/100)-INT(M10/100))*12+MOD(VALUE(F10),100)-MOD(M10,100)))))/V8_LOCKOUT_TAU),1)</f>
        <v/>
      </c>
      <c r="AE10" s="14">
        <f>MAX(V8_BURN_FLOOR,1-V8_BURN_SLOPE*MIN(1,MAX(0,O10)))</f>
        <v/>
      </c>
      <c r="AF10" s="15">
        <f>MIN(Z10*AB10*AC10*AD10*AE10,0.2)</f>
        <v/>
      </c>
      <c r="AG10" s="16">
        <f>1-(1-AF10)^12</f>
        <v/>
      </c>
    </row>
    <row r="11">
      <c r="A11" s="2" t="inlineStr">
        <is>
          <t>000001211630</t>
        </is>
      </c>
      <c r="B11" t="inlineStr">
        <is>
          <t>223f</t>
        </is>
      </c>
      <c r="C11" t="inlineStr">
        <is>
          <t>RP</t>
        </is>
      </c>
      <c r="D11" t="inlineStr">
        <is>
          <t>LUMENT REAL ESTATE CAPITAL,LLC</t>
        </is>
      </c>
      <c r="E11" t="n">
        <v>2025</v>
      </c>
      <c r="F11" t="inlineStr">
        <is>
          <t>202602</t>
        </is>
      </c>
      <c r="G11" s="8" t="n">
        <v>59508579.86</v>
      </c>
      <c r="H11" s="12" t="n">
        <v>5.65</v>
      </c>
      <c r="I11" s="13" t="n">
        <v>447</v>
      </c>
      <c r="J11" s="13" t="n">
        <v>10</v>
      </c>
      <c r="K11" t="n">
        <v>4</v>
      </c>
      <c r="L11" t="n">
        <v>206011</v>
      </c>
      <c r="M11" t="inlineStr"/>
      <c r="N11" t="n">
        <v>0</v>
      </c>
      <c r="O11" s="14" t="n">
        <v>0</v>
      </c>
      <c r="P11">
        <f>IF(ISNUMBER(SEARCH("232",B11)),"232",IF(ISNUMBER(SEARCH("538",B11)),"538",IF(ISNUMBER(SEARCH("223a7",B11)),"223a7",IF(ISNUMBER(SEARCH("223f",B11)),"223f","OTHER"))))</f>
        <v/>
      </c>
      <c r="Q11">
        <f>IF(UPPER(C11)="NC","NC","RP")</f>
        <v/>
      </c>
      <c r="R11">
        <f>IF(G11&lt;5000000,"small",IF(G11&lt;25000000,"medium","large"))</f>
        <v/>
      </c>
      <c r="S11">
        <f>P11&amp;"|"&amp;Q11&amp;"|"&amp;R11</f>
        <v/>
      </c>
      <c r="T11" s="13">
        <f>H11*100-I11</f>
        <v/>
      </c>
      <c r="U11" s="13">
        <f>T11-12.5*(J11+1)</f>
        <v/>
      </c>
      <c r="V11" s="15">
        <f>IFERROR(VLOOKUP(S11,V8_COHORT_TABLE,2,FALSE),IFERROR(VLOOKUP(P11&amp;"|"&amp;Q11&amp;"|ALL",V8_COHORT_TABLE,2,FALSE),IFERROR(VLOOKUP(P11&amp;"|ALL|ALL",V8_COHORT_TABLE,2,FALSE),VLOOKUP("GLOBAL",V8_COHORT_TABLE,2,FALSE))))</f>
        <v/>
      </c>
      <c r="W11" s="15">
        <f>IFERROR(VLOOKUP(S11,V8_COHORT_TABLE,3,FALSE),IFERROR(VLOOKUP(P11&amp;"|"&amp;Q11&amp;"|ALL",V8_COHORT_TABLE,3,FALSE),IFERROR(VLOOKUP(P11&amp;"|ALL|ALL",V8_COHORT_TABLE,3,FALSE),VLOOKUP("GLOBAL",V8_COHORT_TABLE,3,FALSE))))</f>
        <v/>
      </c>
      <c r="X11" s="15">
        <f>IFERROR(VLOOKUP(S11,V8_COHORT_TABLE,4,FALSE),IFERROR(VLOOKUP(P11&amp;"|"&amp;Q11&amp;"|ALL",V8_COHORT_TABLE,4,FALSE),IFERROR(VLOOKUP(P11&amp;"|ALL|ALL",V8_COHORT_TABLE,4,FALSE),VLOOKUP("GLOBAL",V8_COHORT_TABLE,4,FALSE))))</f>
        <v/>
      </c>
      <c r="Y11" s="15">
        <f>IFERROR(VLOOKUP(S11,V8_COHORT_TABLE,5,FALSE),IFERROR(VLOOKUP(P11&amp;"|"&amp;Q11&amp;"|ALL",V8_COHORT_TABLE,5,FALSE),IFERROR(VLOOKUP(P11&amp;"|ALL|ALL",V8_COHORT_TABLE,5,FALSE),VLOOKUP("GLOBAL",V8_COHORT_TABLE,5,FALSE))))</f>
        <v/>
      </c>
      <c r="Z11" s="15">
        <f>V11+W11/(1+EXP(-(U11-X11)/Y11))</f>
        <v/>
      </c>
      <c r="AA11" s="16">
        <f>1-(1-Z11)^12</f>
        <v/>
      </c>
      <c r="AB11" s="14">
        <f>IF(K11&lt;=V8_AGE_KNOT_X_0,V8_AGE_KNOT_Y_0,IF(K11&gt;=V8_AGE_KNOT_X_5,V8_AGE_KNOT_Y_5,IF(K11&lt;=V8_AGE_KNOT_X_1,V8_AGE_KNOT_Y_0+(K11-V8_AGE_KNOT_X_0)/(V8_AGE_KNOT_X_1-V8_AGE_KNOT_X_0)*(V8_AGE_KNOT_Y_1-V8_AGE_KNOT_Y_0),IF(K11&lt;=V8_AGE_KNOT_X_2,V8_AGE_KNOT_Y_1+(K11-V8_AGE_KNOT_X_1)/(V8_AGE_KNOT_X_2-V8_AGE_KNOT_X_1)*(V8_AGE_KNOT_Y_2-V8_AGE_KNOT_Y_1),IF(K11&lt;=V8_AGE_KNOT_X_3,V8_AGE_KNOT_Y_2+(K11-V8_AGE_KNOT_X_2)/(V8_AGE_KNOT_X_3-V8_AGE_KNOT_X_2)*(V8_AGE_KNOT_Y_3-V8_AGE_KNOT_Y_2),IF(K11&lt;=V8_AGE_KNOT_X_4,V8_AGE_KNOT_Y_3+(K11-V8_AGE_KNOT_X_3)/(V8_AGE_KNOT_X_4-V8_AGE_KNOT_X_3)*(V8_AGE_KNOT_Y_4-V8_AGE_KNOT_Y_3),V8_AGE_KNOT_Y_4+(K11-V8_AGE_KNOT_X_4)/(V8_AGE_KNOT_X_5-V8_AGE_KNOT_X_4)*(V8_AGE_KNOT_Y_5-V8_AGE_KNOT_Y_4)))))))</f>
        <v/>
      </c>
      <c r="AC11" s="14">
        <f>IF(IF(OR(L11="",NOT(ISNUMBER(L11))),360,MAX(0,MIN(480,(INT(L11/100)-INT(VALUE(F11)/100))*12+MOD(L11,100)-MOD(VALUE(F11),100))))&gt;0,1+V8_MTY_AMP*MAX(0,(V8_MTY_CUTOFF-(IF(OR(L11="",NOT(ISNUMBER(L11))),360,MAX(0,MIN(480,(INT(L11/100)-INT(VALUE(F11)/100))*12+MOD(L11,100)-MOD(VALUE(F11),100))))))/V8_MTY_CUTOFF),1)</f>
        <v/>
      </c>
      <c r="AD11" s="14">
        <f>IF(AND(IF(OR(M11="",NOT(ISNUMBER(M11))),0,MAX(0,MIN(24,(INT(VALUE(F11)/100)-INT(M11/100))*12+MOD(VALUE(F11),100)-MOD(M11,100))))&gt;0,IF(OR(M11="",NOT(ISNUMBER(M11))),0,MAX(0,MIN(24,(INT(VALUE(F11)/100)-INT(M11/100))*12+MOD(VALUE(F11),100)-MOD(M11,100))))&lt;=12),1+V8_LOCKOUT_AMP*EXP(-(IF(OR(M11="",NOT(ISNUMBER(M11))),0,MAX(0,MIN(24,(INT(VALUE(F11)/100)-INT(M11/100))*12+MOD(VALUE(F11),100)-MOD(M11,100)))))/V8_LOCKOUT_TAU),1)</f>
        <v/>
      </c>
      <c r="AE11" s="14">
        <f>MAX(V8_BURN_FLOOR,1-V8_BURN_SLOPE*MIN(1,MAX(0,O11)))</f>
        <v/>
      </c>
      <c r="AF11" s="15">
        <f>MIN(Z11*AB11*AC11*AD11*AE11,0.2)</f>
        <v/>
      </c>
      <c r="AG11" s="16">
        <f>1-(1-AF11)^12</f>
        <v/>
      </c>
    </row>
    <row r="12">
      <c r="A12" s="2" t="inlineStr">
        <is>
          <t>000010222024</t>
        </is>
      </c>
      <c r="B12" t="inlineStr">
        <is>
          <t>232</t>
        </is>
      </c>
      <c r="C12" t="inlineStr">
        <is>
          <t>RP</t>
        </is>
      </c>
      <c r="D12" t="inlineStr">
        <is>
          <t>LUMENT REAL ESTATE CAPITAL,LLC</t>
        </is>
      </c>
      <c r="E12" t="n">
        <v>2009</v>
      </c>
      <c r="F12" t="inlineStr">
        <is>
          <t>202602</t>
        </is>
      </c>
      <c r="G12" s="8" t="n">
        <v>2318598.5</v>
      </c>
      <c r="H12" s="12" t="n">
        <v>5.65</v>
      </c>
      <c r="I12" s="13" t="n">
        <v>447</v>
      </c>
      <c r="J12" s="13" t="n">
        <v>0</v>
      </c>
      <c r="K12" t="n">
        <v>200</v>
      </c>
      <c r="L12" t="n">
        <v>203907</v>
      </c>
      <c r="M12" t="n">
        <v>201108</v>
      </c>
      <c r="N12" t="n">
        <v>84</v>
      </c>
      <c r="O12" s="14" t="n">
        <v>0.42</v>
      </c>
      <c r="P12">
        <f>IF(ISNUMBER(SEARCH("232",B12)),"232",IF(ISNUMBER(SEARCH("538",B12)),"538",IF(ISNUMBER(SEARCH("223a7",B12)),"223a7",IF(ISNUMBER(SEARCH("223f",B12)),"223f","OTHER"))))</f>
        <v/>
      </c>
      <c r="Q12">
        <f>IF(UPPER(C12)="NC","NC","RP")</f>
        <v/>
      </c>
      <c r="R12">
        <f>IF(G12&lt;5000000,"small",IF(G12&lt;25000000,"medium","large"))</f>
        <v/>
      </c>
      <c r="S12">
        <f>P12&amp;"|"&amp;Q12&amp;"|"&amp;R12</f>
        <v/>
      </c>
      <c r="T12" s="13">
        <f>H12*100-I12</f>
        <v/>
      </c>
      <c r="U12" s="13">
        <f>T12-12.5*(J12+1)</f>
        <v/>
      </c>
      <c r="V12" s="15">
        <f>IFERROR(VLOOKUP(S12,V8_COHORT_TABLE,2,FALSE),IFERROR(VLOOKUP(P12&amp;"|"&amp;Q12&amp;"|ALL",V8_COHORT_TABLE,2,FALSE),IFERROR(VLOOKUP(P12&amp;"|ALL|ALL",V8_COHORT_TABLE,2,FALSE),VLOOKUP("GLOBAL",V8_COHORT_TABLE,2,FALSE))))</f>
        <v/>
      </c>
      <c r="W12" s="15">
        <f>IFERROR(VLOOKUP(S12,V8_COHORT_TABLE,3,FALSE),IFERROR(VLOOKUP(P12&amp;"|"&amp;Q12&amp;"|ALL",V8_COHORT_TABLE,3,FALSE),IFERROR(VLOOKUP(P12&amp;"|ALL|ALL",V8_COHORT_TABLE,3,FALSE),VLOOKUP("GLOBAL",V8_COHORT_TABLE,3,FALSE))))</f>
        <v/>
      </c>
      <c r="X12" s="15">
        <f>IFERROR(VLOOKUP(S12,V8_COHORT_TABLE,4,FALSE),IFERROR(VLOOKUP(P12&amp;"|"&amp;Q12&amp;"|ALL",V8_COHORT_TABLE,4,FALSE),IFERROR(VLOOKUP(P12&amp;"|ALL|ALL",V8_COHORT_TABLE,4,FALSE),VLOOKUP("GLOBAL",V8_COHORT_TABLE,4,FALSE))))</f>
        <v/>
      </c>
      <c r="Y12" s="15">
        <f>IFERROR(VLOOKUP(S12,V8_COHORT_TABLE,5,FALSE),IFERROR(VLOOKUP(P12&amp;"|"&amp;Q12&amp;"|ALL",V8_COHORT_TABLE,5,FALSE),IFERROR(VLOOKUP(P12&amp;"|ALL|ALL",V8_COHORT_TABLE,5,FALSE),VLOOKUP("GLOBAL",V8_COHORT_TABLE,5,FALSE))))</f>
        <v/>
      </c>
      <c r="Z12" s="15">
        <f>V12+W12/(1+EXP(-(U12-X12)/Y12))</f>
        <v/>
      </c>
      <c r="AA12" s="16">
        <f>1-(1-Z12)^12</f>
        <v/>
      </c>
      <c r="AB12" s="14">
        <f>IF(K12&lt;=V8_AGE_KNOT_X_0,V8_AGE_KNOT_Y_0,IF(K12&gt;=V8_AGE_KNOT_X_5,V8_AGE_KNOT_Y_5,IF(K12&lt;=V8_AGE_KNOT_X_1,V8_AGE_KNOT_Y_0+(K12-V8_AGE_KNOT_X_0)/(V8_AGE_KNOT_X_1-V8_AGE_KNOT_X_0)*(V8_AGE_KNOT_Y_1-V8_AGE_KNOT_Y_0),IF(K12&lt;=V8_AGE_KNOT_X_2,V8_AGE_KNOT_Y_1+(K12-V8_AGE_KNOT_X_1)/(V8_AGE_KNOT_X_2-V8_AGE_KNOT_X_1)*(V8_AGE_KNOT_Y_2-V8_AGE_KNOT_Y_1),IF(K12&lt;=V8_AGE_KNOT_X_3,V8_AGE_KNOT_Y_2+(K12-V8_AGE_KNOT_X_2)/(V8_AGE_KNOT_X_3-V8_AGE_KNOT_X_2)*(V8_AGE_KNOT_Y_3-V8_AGE_KNOT_Y_2),IF(K12&lt;=V8_AGE_KNOT_X_4,V8_AGE_KNOT_Y_3+(K12-V8_AGE_KNOT_X_3)/(V8_AGE_KNOT_X_4-V8_AGE_KNOT_X_3)*(V8_AGE_KNOT_Y_4-V8_AGE_KNOT_Y_3),V8_AGE_KNOT_Y_4+(K12-V8_AGE_KNOT_X_4)/(V8_AGE_KNOT_X_5-V8_AGE_KNOT_X_4)*(V8_AGE_KNOT_Y_5-V8_AGE_KNOT_Y_4)))))))</f>
        <v/>
      </c>
      <c r="AC12" s="14">
        <f>IF(IF(OR(L12="",NOT(ISNUMBER(L12))),360,MAX(0,MIN(480,(INT(L12/100)-INT(VALUE(F12)/100))*12+MOD(L12,100)-MOD(VALUE(F12),100))))&gt;0,1+V8_MTY_AMP*MAX(0,(V8_MTY_CUTOFF-(IF(OR(L12="",NOT(ISNUMBER(L12))),360,MAX(0,MIN(480,(INT(L12/100)-INT(VALUE(F12)/100))*12+MOD(L12,100)-MOD(VALUE(F12),100))))))/V8_MTY_CUTOFF),1)</f>
        <v/>
      </c>
      <c r="AD12" s="14">
        <f>IF(AND(IF(OR(M12="",NOT(ISNUMBER(M12))),0,MAX(0,MIN(24,(INT(VALUE(F12)/100)-INT(M12/100))*12+MOD(VALUE(F12),100)-MOD(M12,100))))&gt;0,IF(OR(M12="",NOT(ISNUMBER(M12))),0,MAX(0,MIN(24,(INT(VALUE(F12)/100)-INT(M12/100))*12+MOD(VALUE(F12),100)-MOD(M12,100))))&lt;=12),1+V8_LOCKOUT_AMP*EXP(-(IF(OR(M12="",NOT(ISNUMBER(M12))),0,MAX(0,MIN(24,(INT(VALUE(F12)/100)-INT(M12/100))*12+MOD(VALUE(F12),100)-MOD(M12,100)))))/V8_LOCKOUT_TAU),1)</f>
        <v/>
      </c>
      <c r="AE12" s="14">
        <f>MAX(V8_BURN_FLOOR,1-V8_BURN_SLOPE*MIN(1,MAX(0,O12)))</f>
        <v/>
      </c>
      <c r="AF12" s="15">
        <f>MIN(Z12*AB12*AC12*AD12*AE12,0.2)</f>
        <v/>
      </c>
      <c r="AG12" s="16">
        <f>1-(1-AF12)^12</f>
        <v/>
      </c>
    </row>
    <row r="13">
      <c r="A13" s="2" t="inlineStr">
        <is>
          <t>000006122229</t>
        </is>
      </c>
      <c r="B13" t="inlineStr">
        <is>
          <t>232</t>
        </is>
      </c>
      <c r="C13" t="inlineStr">
        <is>
          <t>RP</t>
        </is>
      </c>
      <c r="D13" t="inlineStr">
        <is>
          <t>LUMENT REAL ESTATE CAPITAL,LLC</t>
        </is>
      </c>
      <c r="E13" t="n">
        <v>2024</v>
      </c>
      <c r="F13" t="inlineStr">
        <is>
          <t>202602</t>
        </is>
      </c>
      <c r="G13" s="8" t="n">
        <v>10649282.81</v>
      </c>
      <c r="H13" s="12" t="n">
        <v>5.35</v>
      </c>
      <c r="I13" s="13" t="n">
        <v>447</v>
      </c>
      <c r="J13" s="13" t="n">
        <v>9</v>
      </c>
      <c r="K13" t="n">
        <v>14</v>
      </c>
      <c r="L13" t="n">
        <v>206001</v>
      </c>
      <c r="M13" t="inlineStr"/>
      <c r="N13" t="n">
        <v>0</v>
      </c>
      <c r="O13" s="14" t="n">
        <v>0</v>
      </c>
      <c r="P13">
        <f>IF(ISNUMBER(SEARCH("232",B13)),"232",IF(ISNUMBER(SEARCH("538",B13)),"538",IF(ISNUMBER(SEARCH("223a7",B13)),"223a7",IF(ISNUMBER(SEARCH("223f",B13)),"223f","OTHER"))))</f>
        <v/>
      </c>
      <c r="Q13">
        <f>IF(UPPER(C13)="NC","NC","RP")</f>
        <v/>
      </c>
      <c r="R13">
        <f>IF(G13&lt;5000000,"small",IF(G13&lt;25000000,"medium","large"))</f>
        <v/>
      </c>
      <c r="S13">
        <f>P13&amp;"|"&amp;Q13&amp;"|"&amp;R13</f>
        <v/>
      </c>
      <c r="T13" s="13">
        <f>H13*100-I13</f>
        <v/>
      </c>
      <c r="U13" s="13">
        <f>T13-12.5*(J13+1)</f>
        <v/>
      </c>
      <c r="V13" s="15">
        <f>IFERROR(VLOOKUP(S13,V8_COHORT_TABLE,2,FALSE),IFERROR(VLOOKUP(P13&amp;"|"&amp;Q13&amp;"|ALL",V8_COHORT_TABLE,2,FALSE),IFERROR(VLOOKUP(P13&amp;"|ALL|ALL",V8_COHORT_TABLE,2,FALSE),VLOOKUP("GLOBAL",V8_COHORT_TABLE,2,FALSE))))</f>
        <v/>
      </c>
      <c r="W13" s="15">
        <f>IFERROR(VLOOKUP(S13,V8_COHORT_TABLE,3,FALSE),IFERROR(VLOOKUP(P13&amp;"|"&amp;Q13&amp;"|ALL",V8_COHORT_TABLE,3,FALSE),IFERROR(VLOOKUP(P13&amp;"|ALL|ALL",V8_COHORT_TABLE,3,FALSE),VLOOKUP("GLOBAL",V8_COHORT_TABLE,3,FALSE))))</f>
        <v/>
      </c>
      <c r="X13" s="15">
        <f>IFERROR(VLOOKUP(S13,V8_COHORT_TABLE,4,FALSE),IFERROR(VLOOKUP(P13&amp;"|"&amp;Q13&amp;"|ALL",V8_COHORT_TABLE,4,FALSE),IFERROR(VLOOKUP(P13&amp;"|ALL|ALL",V8_COHORT_TABLE,4,FALSE),VLOOKUP("GLOBAL",V8_COHORT_TABLE,4,FALSE))))</f>
        <v/>
      </c>
      <c r="Y13" s="15">
        <f>IFERROR(VLOOKUP(S13,V8_COHORT_TABLE,5,FALSE),IFERROR(VLOOKUP(P13&amp;"|"&amp;Q13&amp;"|ALL",V8_COHORT_TABLE,5,FALSE),IFERROR(VLOOKUP(P13&amp;"|ALL|ALL",V8_COHORT_TABLE,5,FALSE),VLOOKUP("GLOBAL",V8_COHORT_TABLE,5,FALSE))))</f>
        <v/>
      </c>
      <c r="Z13" s="15">
        <f>V13+W13/(1+EXP(-(U13-X13)/Y13))</f>
        <v/>
      </c>
      <c r="AA13" s="16">
        <f>1-(1-Z13)^12</f>
        <v/>
      </c>
      <c r="AB13" s="14">
        <f>IF(K13&lt;=V8_AGE_KNOT_X_0,V8_AGE_KNOT_Y_0,IF(K13&gt;=V8_AGE_KNOT_X_5,V8_AGE_KNOT_Y_5,IF(K13&lt;=V8_AGE_KNOT_X_1,V8_AGE_KNOT_Y_0+(K13-V8_AGE_KNOT_X_0)/(V8_AGE_KNOT_X_1-V8_AGE_KNOT_X_0)*(V8_AGE_KNOT_Y_1-V8_AGE_KNOT_Y_0),IF(K13&lt;=V8_AGE_KNOT_X_2,V8_AGE_KNOT_Y_1+(K13-V8_AGE_KNOT_X_1)/(V8_AGE_KNOT_X_2-V8_AGE_KNOT_X_1)*(V8_AGE_KNOT_Y_2-V8_AGE_KNOT_Y_1),IF(K13&lt;=V8_AGE_KNOT_X_3,V8_AGE_KNOT_Y_2+(K13-V8_AGE_KNOT_X_2)/(V8_AGE_KNOT_X_3-V8_AGE_KNOT_X_2)*(V8_AGE_KNOT_Y_3-V8_AGE_KNOT_Y_2),IF(K13&lt;=V8_AGE_KNOT_X_4,V8_AGE_KNOT_Y_3+(K13-V8_AGE_KNOT_X_3)/(V8_AGE_KNOT_X_4-V8_AGE_KNOT_X_3)*(V8_AGE_KNOT_Y_4-V8_AGE_KNOT_Y_3),V8_AGE_KNOT_Y_4+(K13-V8_AGE_KNOT_X_4)/(V8_AGE_KNOT_X_5-V8_AGE_KNOT_X_4)*(V8_AGE_KNOT_Y_5-V8_AGE_KNOT_Y_4)))))))</f>
        <v/>
      </c>
      <c r="AC13" s="14">
        <f>IF(IF(OR(L13="",NOT(ISNUMBER(L13))),360,MAX(0,MIN(480,(INT(L13/100)-INT(VALUE(F13)/100))*12+MOD(L13,100)-MOD(VALUE(F13),100))))&gt;0,1+V8_MTY_AMP*MAX(0,(V8_MTY_CUTOFF-(IF(OR(L13="",NOT(ISNUMBER(L13))),360,MAX(0,MIN(480,(INT(L13/100)-INT(VALUE(F13)/100))*12+MOD(L13,100)-MOD(VALUE(F13),100))))))/V8_MTY_CUTOFF),1)</f>
        <v/>
      </c>
      <c r="AD13" s="14">
        <f>IF(AND(IF(OR(M13="",NOT(ISNUMBER(M13))),0,MAX(0,MIN(24,(INT(VALUE(F13)/100)-INT(M13/100))*12+MOD(VALUE(F13),100)-MOD(M13,100))))&gt;0,IF(OR(M13="",NOT(ISNUMBER(M13))),0,MAX(0,MIN(24,(INT(VALUE(F13)/100)-INT(M13/100))*12+MOD(VALUE(F13),100)-MOD(M13,100))))&lt;=12),1+V8_LOCKOUT_AMP*EXP(-(IF(OR(M13="",NOT(ISNUMBER(M13))),0,MAX(0,MIN(24,(INT(VALUE(F13)/100)-INT(M13/100))*12+MOD(VALUE(F13),100)-MOD(M13,100)))))/V8_LOCKOUT_TAU),1)</f>
        <v/>
      </c>
      <c r="AE13" s="14">
        <f>MAX(V8_BURN_FLOOR,1-V8_BURN_SLOPE*MIN(1,MAX(0,O13)))</f>
        <v/>
      </c>
      <c r="AF13" s="15">
        <f>MIN(Z13*AB13*AC13*AD13*AE13,0.2)</f>
        <v/>
      </c>
      <c r="AG13" s="16">
        <f>1-(1-AF13)^12</f>
        <v/>
      </c>
    </row>
    <row r="14">
      <c r="A14" s="2" t="inlineStr">
        <is>
          <t>000004611186</t>
        </is>
      </c>
      <c r="B14" t="inlineStr">
        <is>
          <t>223f</t>
        </is>
      </c>
      <c r="C14" t="inlineStr">
        <is>
          <t>RP</t>
        </is>
      </c>
      <c r="D14" t="inlineStr">
        <is>
          <t>LUMENT REAL ESTATE CAPITAL,LLC</t>
        </is>
      </c>
      <c r="E14" t="n">
        <v>2019</v>
      </c>
      <c r="F14" t="inlineStr">
        <is>
          <t>202602</t>
        </is>
      </c>
      <c r="G14" s="8" t="n">
        <v>14083195.64</v>
      </c>
      <c r="H14" s="12" t="n">
        <v>2.95</v>
      </c>
      <c r="I14" s="13" t="n">
        <v>447</v>
      </c>
      <c r="J14" s="13" t="n">
        <v>4</v>
      </c>
      <c r="K14" t="n">
        <v>75</v>
      </c>
      <c r="L14" t="n">
        <v>205412</v>
      </c>
      <c r="M14" t="inlineStr"/>
      <c r="N14" t="n">
        <v>7</v>
      </c>
      <c r="O14" s="14" t="n">
        <v>0.09333333333333334</v>
      </c>
      <c r="P14">
        <f>IF(ISNUMBER(SEARCH("232",B14)),"232",IF(ISNUMBER(SEARCH("538",B14)),"538",IF(ISNUMBER(SEARCH("223a7",B14)),"223a7",IF(ISNUMBER(SEARCH("223f",B14)),"223f","OTHER"))))</f>
        <v/>
      </c>
      <c r="Q14">
        <f>IF(UPPER(C14)="NC","NC","RP")</f>
        <v/>
      </c>
      <c r="R14">
        <f>IF(G14&lt;5000000,"small",IF(G14&lt;25000000,"medium","large"))</f>
        <v/>
      </c>
      <c r="S14">
        <f>P14&amp;"|"&amp;Q14&amp;"|"&amp;R14</f>
        <v/>
      </c>
      <c r="T14" s="13">
        <f>H14*100-I14</f>
        <v/>
      </c>
      <c r="U14" s="13">
        <f>T14-12.5*(J14+1)</f>
        <v/>
      </c>
      <c r="V14" s="15">
        <f>IFERROR(VLOOKUP(S14,V8_COHORT_TABLE,2,FALSE),IFERROR(VLOOKUP(P14&amp;"|"&amp;Q14&amp;"|ALL",V8_COHORT_TABLE,2,FALSE),IFERROR(VLOOKUP(P14&amp;"|ALL|ALL",V8_COHORT_TABLE,2,FALSE),VLOOKUP("GLOBAL",V8_COHORT_TABLE,2,FALSE))))</f>
        <v/>
      </c>
      <c r="W14" s="15">
        <f>IFERROR(VLOOKUP(S14,V8_COHORT_TABLE,3,FALSE),IFERROR(VLOOKUP(P14&amp;"|"&amp;Q14&amp;"|ALL",V8_COHORT_TABLE,3,FALSE),IFERROR(VLOOKUP(P14&amp;"|ALL|ALL",V8_COHORT_TABLE,3,FALSE),VLOOKUP("GLOBAL",V8_COHORT_TABLE,3,FALSE))))</f>
        <v/>
      </c>
      <c r="X14" s="15">
        <f>IFERROR(VLOOKUP(S14,V8_COHORT_TABLE,4,FALSE),IFERROR(VLOOKUP(P14&amp;"|"&amp;Q14&amp;"|ALL",V8_COHORT_TABLE,4,FALSE),IFERROR(VLOOKUP(P14&amp;"|ALL|ALL",V8_COHORT_TABLE,4,FALSE),VLOOKUP("GLOBAL",V8_COHORT_TABLE,4,FALSE))))</f>
        <v/>
      </c>
      <c r="Y14" s="15">
        <f>IFERROR(VLOOKUP(S14,V8_COHORT_TABLE,5,FALSE),IFERROR(VLOOKUP(P14&amp;"|"&amp;Q14&amp;"|ALL",V8_COHORT_TABLE,5,FALSE),IFERROR(VLOOKUP(P14&amp;"|ALL|ALL",V8_COHORT_TABLE,5,FALSE),VLOOKUP("GLOBAL",V8_COHORT_TABLE,5,FALSE))))</f>
        <v/>
      </c>
      <c r="Z14" s="15">
        <f>V14+W14/(1+EXP(-(U14-X14)/Y14))</f>
        <v/>
      </c>
      <c r="AA14" s="16">
        <f>1-(1-Z14)^12</f>
        <v/>
      </c>
      <c r="AB14" s="14">
        <f>IF(K14&lt;=V8_AGE_KNOT_X_0,V8_AGE_KNOT_Y_0,IF(K14&gt;=V8_AGE_KNOT_X_5,V8_AGE_KNOT_Y_5,IF(K14&lt;=V8_AGE_KNOT_X_1,V8_AGE_KNOT_Y_0+(K14-V8_AGE_KNOT_X_0)/(V8_AGE_KNOT_X_1-V8_AGE_KNOT_X_0)*(V8_AGE_KNOT_Y_1-V8_AGE_KNOT_Y_0),IF(K14&lt;=V8_AGE_KNOT_X_2,V8_AGE_KNOT_Y_1+(K14-V8_AGE_KNOT_X_1)/(V8_AGE_KNOT_X_2-V8_AGE_KNOT_X_1)*(V8_AGE_KNOT_Y_2-V8_AGE_KNOT_Y_1),IF(K14&lt;=V8_AGE_KNOT_X_3,V8_AGE_KNOT_Y_2+(K14-V8_AGE_KNOT_X_2)/(V8_AGE_KNOT_X_3-V8_AGE_KNOT_X_2)*(V8_AGE_KNOT_Y_3-V8_AGE_KNOT_Y_2),IF(K14&lt;=V8_AGE_KNOT_X_4,V8_AGE_KNOT_Y_3+(K14-V8_AGE_KNOT_X_3)/(V8_AGE_KNOT_X_4-V8_AGE_KNOT_X_3)*(V8_AGE_KNOT_Y_4-V8_AGE_KNOT_Y_3),V8_AGE_KNOT_Y_4+(K14-V8_AGE_KNOT_X_4)/(V8_AGE_KNOT_X_5-V8_AGE_KNOT_X_4)*(V8_AGE_KNOT_Y_5-V8_AGE_KNOT_Y_4)))))))</f>
        <v/>
      </c>
      <c r="AC14" s="14">
        <f>IF(IF(OR(L14="",NOT(ISNUMBER(L14))),360,MAX(0,MIN(480,(INT(L14/100)-INT(VALUE(F14)/100))*12+MOD(L14,100)-MOD(VALUE(F14),100))))&gt;0,1+V8_MTY_AMP*MAX(0,(V8_MTY_CUTOFF-(IF(OR(L14="",NOT(ISNUMBER(L14))),360,MAX(0,MIN(480,(INT(L14/100)-INT(VALUE(F14)/100))*12+MOD(L14,100)-MOD(VALUE(F14),100))))))/V8_MTY_CUTOFF),1)</f>
        <v/>
      </c>
      <c r="AD14" s="14">
        <f>IF(AND(IF(OR(M14="",NOT(ISNUMBER(M14))),0,MAX(0,MIN(24,(INT(VALUE(F14)/100)-INT(M14/100))*12+MOD(VALUE(F14),100)-MOD(M14,100))))&gt;0,IF(OR(M14="",NOT(ISNUMBER(M14))),0,MAX(0,MIN(24,(INT(VALUE(F14)/100)-INT(M14/100))*12+MOD(VALUE(F14),100)-MOD(M14,100))))&lt;=12),1+V8_LOCKOUT_AMP*EXP(-(IF(OR(M14="",NOT(ISNUMBER(M14))),0,MAX(0,MIN(24,(INT(VALUE(F14)/100)-INT(M14/100))*12+MOD(VALUE(F14),100)-MOD(M14,100)))))/V8_LOCKOUT_TAU),1)</f>
        <v/>
      </c>
      <c r="AE14" s="14">
        <f>MAX(V8_BURN_FLOOR,1-V8_BURN_SLOPE*MIN(1,MAX(0,O14)))</f>
        <v/>
      </c>
      <c r="AF14" s="15">
        <f>MIN(Z14*AB14*AC14*AD14*AE14,0.2)</f>
        <v/>
      </c>
      <c r="AG14" s="16">
        <f>1-(1-AF14)^12</f>
        <v/>
      </c>
    </row>
    <row r="15">
      <c r="A15" s="2" t="inlineStr">
        <is>
          <t>000001411271</t>
        </is>
      </c>
      <c r="B15" t="inlineStr">
        <is>
          <t>223f</t>
        </is>
      </c>
      <c r="C15" t="inlineStr">
        <is>
          <t>RP</t>
        </is>
      </c>
      <c r="D15" t="inlineStr">
        <is>
          <t>LUMENT REAL ESTATE CAPITAL,LLC</t>
        </is>
      </c>
      <c r="E15" t="n">
        <v>2019</v>
      </c>
      <c r="F15" t="inlineStr">
        <is>
          <t>202602</t>
        </is>
      </c>
      <c r="G15" s="8" t="n">
        <v>6145581.88</v>
      </c>
      <c r="H15" s="12" t="n">
        <v>4.3</v>
      </c>
      <c r="I15" s="13" t="n">
        <v>447</v>
      </c>
      <c r="J15" s="13" t="n">
        <v>4</v>
      </c>
      <c r="K15" t="n">
        <v>82</v>
      </c>
      <c r="L15" t="n">
        <v>205405</v>
      </c>
      <c r="M15" t="inlineStr"/>
      <c r="N15" t="n">
        <v>35</v>
      </c>
      <c r="O15" s="14" t="n">
        <v>0.4268292682926829</v>
      </c>
      <c r="P15">
        <f>IF(ISNUMBER(SEARCH("232",B15)),"232",IF(ISNUMBER(SEARCH("538",B15)),"538",IF(ISNUMBER(SEARCH("223a7",B15)),"223a7",IF(ISNUMBER(SEARCH("223f",B15)),"223f","OTHER"))))</f>
        <v/>
      </c>
      <c r="Q15">
        <f>IF(UPPER(C15)="NC","NC","RP")</f>
        <v/>
      </c>
      <c r="R15">
        <f>IF(G15&lt;5000000,"small",IF(G15&lt;25000000,"medium","large"))</f>
        <v/>
      </c>
      <c r="S15">
        <f>P15&amp;"|"&amp;Q15&amp;"|"&amp;R15</f>
        <v/>
      </c>
      <c r="T15" s="13">
        <f>H15*100-I15</f>
        <v/>
      </c>
      <c r="U15" s="13">
        <f>T15-12.5*(J15+1)</f>
        <v/>
      </c>
      <c r="V15" s="15">
        <f>IFERROR(VLOOKUP(S15,V8_COHORT_TABLE,2,FALSE),IFERROR(VLOOKUP(P15&amp;"|"&amp;Q15&amp;"|ALL",V8_COHORT_TABLE,2,FALSE),IFERROR(VLOOKUP(P15&amp;"|ALL|ALL",V8_COHORT_TABLE,2,FALSE),VLOOKUP("GLOBAL",V8_COHORT_TABLE,2,FALSE))))</f>
        <v/>
      </c>
      <c r="W15" s="15">
        <f>IFERROR(VLOOKUP(S15,V8_COHORT_TABLE,3,FALSE),IFERROR(VLOOKUP(P15&amp;"|"&amp;Q15&amp;"|ALL",V8_COHORT_TABLE,3,FALSE),IFERROR(VLOOKUP(P15&amp;"|ALL|ALL",V8_COHORT_TABLE,3,FALSE),VLOOKUP("GLOBAL",V8_COHORT_TABLE,3,FALSE))))</f>
        <v/>
      </c>
      <c r="X15" s="15">
        <f>IFERROR(VLOOKUP(S15,V8_COHORT_TABLE,4,FALSE),IFERROR(VLOOKUP(P15&amp;"|"&amp;Q15&amp;"|ALL",V8_COHORT_TABLE,4,FALSE),IFERROR(VLOOKUP(P15&amp;"|ALL|ALL",V8_COHORT_TABLE,4,FALSE),VLOOKUP("GLOBAL",V8_COHORT_TABLE,4,FALSE))))</f>
        <v/>
      </c>
      <c r="Y15" s="15">
        <f>IFERROR(VLOOKUP(S15,V8_COHORT_TABLE,5,FALSE),IFERROR(VLOOKUP(P15&amp;"|"&amp;Q15&amp;"|ALL",V8_COHORT_TABLE,5,FALSE),IFERROR(VLOOKUP(P15&amp;"|ALL|ALL",V8_COHORT_TABLE,5,FALSE),VLOOKUP("GLOBAL",V8_COHORT_TABLE,5,FALSE))))</f>
        <v/>
      </c>
      <c r="Z15" s="15">
        <f>V15+W15/(1+EXP(-(U15-X15)/Y15))</f>
        <v/>
      </c>
      <c r="AA15" s="16">
        <f>1-(1-Z15)^12</f>
        <v/>
      </c>
      <c r="AB15" s="14">
        <f>IF(K15&lt;=V8_AGE_KNOT_X_0,V8_AGE_KNOT_Y_0,IF(K15&gt;=V8_AGE_KNOT_X_5,V8_AGE_KNOT_Y_5,IF(K15&lt;=V8_AGE_KNOT_X_1,V8_AGE_KNOT_Y_0+(K15-V8_AGE_KNOT_X_0)/(V8_AGE_KNOT_X_1-V8_AGE_KNOT_X_0)*(V8_AGE_KNOT_Y_1-V8_AGE_KNOT_Y_0),IF(K15&lt;=V8_AGE_KNOT_X_2,V8_AGE_KNOT_Y_1+(K15-V8_AGE_KNOT_X_1)/(V8_AGE_KNOT_X_2-V8_AGE_KNOT_X_1)*(V8_AGE_KNOT_Y_2-V8_AGE_KNOT_Y_1),IF(K15&lt;=V8_AGE_KNOT_X_3,V8_AGE_KNOT_Y_2+(K15-V8_AGE_KNOT_X_2)/(V8_AGE_KNOT_X_3-V8_AGE_KNOT_X_2)*(V8_AGE_KNOT_Y_3-V8_AGE_KNOT_Y_2),IF(K15&lt;=V8_AGE_KNOT_X_4,V8_AGE_KNOT_Y_3+(K15-V8_AGE_KNOT_X_3)/(V8_AGE_KNOT_X_4-V8_AGE_KNOT_X_3)*(V8_AGE_KNOT_Y_4-V8_AGE_KNOT_Y_3),V8_AGE_KNOT_Y_4+(K15-V8_AGE_KNOT_X_4)/(V8_AGE_KNOT_X_5-V8_AGE_KNOT_X_4)*(V8_AGE_KNOT_Y_5-V8_AGE_KNOT_Y_4)))))))</f>
        <v/>
      </c>
      <c r="AC15" s="14">
        <f>IF(IF(OR(L15="",NOT(ISNUMBER(L15))),360,MAX(0,MIN(480,(INT(L15/100)-INT(VALUE(F15)/100))*12+MOD(L15,100)-MOD(VALUE(F15),100))))&gt;0,1+V8_MTY_AMP*MAX(0,(V8_MTY_CUTOFF-(IF(OR(L15="",NOT(ISNUMBER(L15))),360,MAX(0,MIN(480,(INT(L15/100)-INT(VALUE(F15)/100))*12+MOD(L15,100)-MOD(VALUE(F15),100))))))/V8_MTY_CUTOFF),1)</f>
        <v/>
      </c>
      <c r="AD15" s="14">
        <f>IF(AND(IF(OR(M15="",NOT(ISNUMBER(M15))),0,MAX(0,MIN(24,(INT(VALUE(F15)/100)-INT(M15/100))*12+MOD(VALUE(F15),100)-MOD(M15,100))))&gt;0,IF(OR(M15="",NOT(ISNUMBER(M15))),0,MAX(0,MIN(24,(INT(VALUE(F15)/100)-INT(M15/100))*12+MOD(VALUE(F15),100)-MOD(M15,100))))&lt;=12),1+V8_LOCKOUT_AMP*EXP(-(IF(OR(M15="",NOT(ISNUMBER(M15))),0,MAX(0,MIN(24,(INT(VALUE(F15)/100)-INT(M15/100))*12+MOD(VALUE(F15),100)-MOD(M15,100)))))/V8_LOCKOUT_TAU),1)</f>
        <v/>
      </c>
      <c r="AE15" s="14">
        <f>MAX(V8_BURN_FLOOR,1-V8_BURN_SLOPE*MIN(1,MAX(0,O15)))</f>
        <v/>
      </c>
      <c r="AF15" s="15">
        <f>MIN(Z15*AB15*AC15*AD15*AE15,0.2)</f>
        <v/>
      </c>
      <c r="AG15" s="16">
        <f>1-(1-AF15)^12</f>
        <v/>
      </c>
    </row>
    <row r="16">
      <c r="A16" s="2" t="inlineStr">
        <is>
          <t>000008311235</t>
        </is>
      </c>
      <c r="B16" t="inlineStr">
        <is>
          <t>223f</t>
        </is>
      </c>
      <c r="C16" t="inlineStr">
        <is>
          <t>RP</t>
        </is>
      </c>
      <c r="D16" t="inlineStr">
        <is>
          <t>LUMENT REAL ESTATE CAPITAL,LLC</t>
        </is>
      </c>
      <c r="E16" t="n">
        <v>2023</v>
      </c>
      <c r="F16" t="inlineStr">
        <is>
          <t>202602</t>
        </is>
      </c>
      <c r="G16" s="8" t="n">
        <v>15752462.19</v>
      </c>
      <c r="H16" s="12" t="n">
        <v>5.1</v>
      </c>
      <c r="I16" s="13" t="n">
        <v>447</v>
      </c>
      <c r="J16" s="13" t="n">
        <v>8</v>
      </c>
      <c r="K16" t="n">
        <v>34</v>
      </c>
      <c r="L16" t="n">
        <v>205805</v>
      </c>
      <c r="M16" t="inlineStr"/>
      <c r="N16" t="n">
        <v>0</v>
      </c>
      <c r="O16" s="14" t="n">
        <v>0</v>
      </c>
      <c r="P16">
        <f>IF(ISNUMBER(SEARCH("232",B16)),"232",IF(ISNUMBER(SEARCH("538",B16)),"538",IF(ISNUMBER(SEARCH("223a7",B16)),"223a7",IF(ISNUMBER(SEARCH("223f",B16)),"223f","OTHER"))))</f>
        <v/>
      </c>
      <c r="Q16">
        <f>IF(UPPER(C16)="NC","NC","RP")</f>
        <v/>
      </c>
      <c r="R16">
        <f>IF(G16&lt;5000000,"small",IF(G16&lt;25000000,"medium","large"))</f>
        <v/>
      </c>
      <c r="S16">
        <f>P16&amp;"|"&amp;Q16&amp;"|"&amp;R16</f>
        <v/>
      </c>
      <c r="T16" s="13">
        <f>H16*100-I16</f>
        <v/>
      </c>
      <c r="U16" s="13">
        <f>T16-12.5*(J16+1)</f>
        <v/>
      </c>
      <c r="V16" s="15">
        <f>IFERROR(VLOOKUP(S16,V8_COHORT_TABLE,2,FALSE),IFERROR(VLOOKUP(P16&amp;"|"&amp;Q16&amp;"|ALL",V8_COHORT_TABLE,2,FALSE),IFERROR(VLOOKUP(P16&amp;"|ALL|ALL",V8_COHORT_TABLE,2,FALSE),VLOOKUP("GLOBAL",V8_COHORT_TABLE,2,FALSE))))</f>
        <v/>
      </c>
      <c r="W16" s="15">
        <f>IFERROR(VLOOKUP(S16,V8_COHORT_TABLE,3,FALSE),IFERROR(VLOOKUP(P16&amp;"|"&amp;Q16&amp;"|ALL",V8_COHORT_TABLE,3,FALSE),IFERROR(VLOOKUP(P16&amp;"|ALL|ALL",V8_COHORT_TABLE,3,FALSE),VLOOKUP("GLOBAL",V8_COHORT_TABLE,3,FALSE))))</f>
        <v/>
      </c>
      <c r="X16" s="15">
        <f>IFERROR(VLOOKUP(S16,V8_COHORT_TABLE,4,FALSE),IFERROR(VLOOKUP(P16&amp;"|"&amp;Q16&amp;"|ALL",V8_COHORT_TABLE,4,FALSE),IFERROR(VLOOKUP(P16&amp;"|ALL|ALL",V8_COHORT_TABLE,4,FALSE),VLOOKUP("GLOBAL",V8_COHORT_TABLE,4,FALSE))))</f>
        <v/>
      </c>
      <c r="Y16" s="15">
        <f>IFERROR(VLOOKUP(S16,V8_COHORT_TABLE,5,FALSE),IFERROR(VLOOKUP(P16&amp;"|"&amp;Q16&amp;"|ALL",V8_COHORT_TABLE,5,FALSE),IFERROR(VLOOKUP(P16&amp;"|ALL|ALL",V8_COHORT_TABLE,5,FALSE),VLOOKUP("GLOBAL",V8_COHORT_TABLE,5,FALSE))))</f>
        <v/>
      </c>
      <c r="Z16" s="15">
        <f>V16+W16/(1+EXP(-(U16-X16)/Y16))</f>
        <v/>
      </c>
      <c r="AA16" s="16">
        <f>1-(1-Z16)^12</f>
        <v/>
      </c>
      <c r="AB16" s="14">
        <f>IF(K16&lt;=V8_AGE_KNOT_X_0,V8_AGE_KNOT_Y_0,IF(K16&gt;=V8_AGE_KNOT_X_5,V8_AGE_KNOT_Y_5,IF(K16&lt;=V8_AGE_KNOT_X_1,V8_AGE_KNOT_Y_0+(K16-V8_AGE_KNOT_X_0)/(V8_AGE_KNOT_X_1-V8_AGE_KNOT_X_0)*(V8_AGE_KNOT_Y_1-V8_AGE_KNOT_Y_0),IF(K16&lt;=V8_AGE_KNOT_X_2,V8_AGE_KNOT_Y_1+(K16-V8_AGE_KNOT_X_1)/(V8_AGE_KNOT_X_2-V8_AGE_KNOT_X_1)*(V8_AGE_KNOT_Y_2-V8_AGE_KNOT_Y_1),IF(K16&lt;=V8_AGE_KNOT_X_3,V8_AGE_KNOT_Y_2+(K16-V8_AGE_KNOT_X_2)/(V8_AGE_KNOT_X_3-V8_AGE_KNOT_X_2)*(V8_AGE_KNOT_Y_3-V8_AGE_KNOT_Y_2),IF(K16&lt;=V8_AGE_KNOT_X_4,V8_AGE_KNOT_Y_3+(K16-V8_AGE_KNOT_X_3)/(V8_AGE_KNOT_X_4-V8_AGE_KNOT_X_3)*(V8_AGE_KNOT_Y_4-V8_AGE_KNOT_Y_3),V8_AGE_KNOT_Y_4+(K16-V8_AGE_KNOT_X_4)/(V8_AGE_KNOT_X_5-V8_AGE_KNOT_X_4)*(V8_AGE_KNOT_Y_5-V8_AGE_KNOT_Y_4)))))))</f>
        <v/>
      </c>
      <c r="AC16" s="14">
        <f>IF(IF(OR(L16="",NOT(ISNUMBER(L16))),360,MAX(0,MIN(480,(INT(L16/100)-INT(VALUE(F16)/100))*12+MOD(L16,100)-MOD(VALUE(F16),100))))&gt;0,1+V8_MTY_AMP*MAX(0,(V8_MTY_CUTOFF-(IF(OR(L16="",NOT(ISNUMBER(L16))),360,MAX(0,MIN(480,(INT(L16/100)-INT(VALUE(F16)/100))*12+MOD(L16,100)-MOD(VALUE(F16),100))))))/V8_MTY_CUTOFF),1)</f>
        <v/>
      </c>
      <c r="AD16" s="14">
        <f>IF(AND(IF(OR(M16="",NOT(ISNUMBER(M16))),0,MAX(0,MIN(24,(INT(VALUE(F16)/100)-INT(M16/100))*12+MOD(VALUE(F16),100)-MOD(M16,100))))&gt;0,IF(OR(M16="",NOT(ISNUMBER(M16))),0,MAX(0,MIN(24,(INT(VALUE(F16)/100)-INT(M16/100))*12+MOD(VALUE(F16),100)-MOD(M16,100))))&lt;=12),1+V8_LOCKOUT_AMP*EXP(-(IF(OR(M16="",NOT(ISNUMBER(M16))),0,MAX(0,MIN(24,(INT(VALUE(F16)/100)-INT(M16/100))*12+MOD(VALUE(F16),100)-MOD(M16,100)))))/V8_LOCKOUT_TAU),1)</f>
        <v/>
      </c>
      <c r="AE16" s="14">
        <f>MAX(V8_BURN_FLOOR,1-V8_BURN_SLOPE*MIN(1,MAX(0,O16)))</f>
        <v/>
      </c>
      <c r="AF16" s="15">
        <f>MIN(Z16*AB16*AC16*AD16*AE16,0.2)</f>
        <v/>
      </c>
      <c r="AG16" s="16">
        <f>1-(1-AF16)^12</f>
        <v/>
      </c>
    </row>
    <row r="17">
      <c r="A17" s="2" t="inlineStr">
        <is>
          <t>000001411159</t>
        </is>
      </c>
      <c r="B17" t="inlineStr">
        <is>
          <t>223f</t>
        </is>
      </c>
      <c r="C17" t="inlineStr">
        <is>
          <t>RP</t>
        </is>
      </c>
      <c r="D17" t="inlineStr">
        <is>
          <t>LUMENT REAL ESTATE CAPITAL,LLC</t>
        </is>
      </c>
      <c r="E17" t="n">
        <v>2009</v>
      </c>
      <c r="F17" t="inlineStr">
        <is>
          <t>202602</t>
        </is>
      </c>
      <c r="G17" s="8" t="n">
        <v>1334344.32</v>
      </c>
      <c r="H17" s="12" t="n">
        <v>4.29</v>
      </c>
      <c r="I17" s="13" t="n">
        <v>447</v>
      </c>
      <c r="J17" s="13" t="n">
        <v>0</v>
      </c>
      <c r="K17" t="n">
        <v>205</v>
      </c>
      <c r="L17" t="n">
        <v>204403</v>
      </c>
      <c r="M17" t="inlineStr"/>
      <c r="N17" t="n">
        <v>38</v>
      </c>
      <c r="O17" s="14" t="n">
        <v>0.1853658536585366</v>
      </c>
      <c r="P17">
        <f>IF(ISNUMBER(SEARCH("232",B17)),"232",IF(ISNUMBER(SEARCH("538",B17)),"538",IF(ISNUMBER(SEARCH("223a7",B17)),"223a7",IF(ISNUMBER(SEARCH("223f",B17)),"223f","OTHER"))))</f>
        <v/>
      </c>
      <c r="Q17">
        <f>IF(UPPER(C17)="NC","NC","RP")</f>
        <v/>
      </c>
      <c r="R17">
        <f>IF(G17&lt;5000000,"small",IF(G17&lt;25000000,"medium","large"))</f>
        <v/>
      </c>
      <c r="S17">
        <f>P17&amp;"|"&amp;Q17&amp;"|"&amp;R17</f>
        <v/>
      </c>
      <c r="T17" s="13">
        <f>H17*100-I17</f>
        <v/>
      </c>
      <c r="U17" s="13">
        <f>T17-12.5*(J17+1)</f>
        <v/>
      </c>
      <c r="V17" s="15">
        <f>IFERROR(VLOOKUP(S17,V8_COHORT_TABLE,2,FALSE),IFERROR(VLOOKUP(P17&amp;"|"&amp;Q17&amp;"|ALL",V8_COHORT_TABLE,2,FALSE),IFERROR(VLOOKUP(P17&amp;"|ALL|ALL",V8_COHORT_TABLE,2,FALSE),VLOOKUP("GLOBAL",V8_COHORT_TABLE,2,FALSE))))</f>
        <v/>
      </c>
      <c r="W17" s="15">
        <f>IFERROR(VLOOKUP(S17,V8_COHORT_TABLE,3,FALSE),IFERROR(VLOOKUP(P17&amp;"|"&amp;Q17&amp;"|ALL",V8_COHORT_TABLE,3,FALSE),IFERROR(VLOOKUP(P17&amp;"|ALL|ALL",V8_COHORT_TABLE,3,FALSE),VLOOKUP("GLOBAL",V8_COHORT_TABLE,3,FALSE))))</f>
        <v/>
      </c>
      <c r="X17" s="15">
        <f>IFERROR(VLOOKUP(S17,V8_COHORT_TABLE,4,FALSE),IFERROR(VLOOKUP(P17&amp;"|"&amp;Q17&amp;"|ALL",V8_COHORT_TABLE,4,FALSE),IFERROR(VLOOKUP(P17&amp;"|ALL|ALL",V8_COHORT_TABLE,4,FALSE),VLOOKUP("GLOBAL",V8_COHORT_TABLE,4,FALSE))))</f>
        <v/>
      </c>
      <c r="Y17" s="15">
        <f>IFERROR(VLOOKUP(S17,V8_COHORT_TABLE,5,FALSE),IFERROR(VLOOKUP(P17&amp;"|"&amp;Q17&amp;"|ALL",V8_COHORT_TABLE,5,FALSE),IFERROR(VLOOKUP(P17&amp;"|ALL|ALL",V8_COHORT_TABLE,5,FALSE),VLOOKUP("GLOBAL",V8_COHORT_TABLE,5,FALSE))))</f>
        <v/>
      </c>
      <c r="Z17" s="15">
        <f>V17+W17/(1+EXP(-(U17-X17)/Y17))</f>
        <v/>
      </c>
      <c r="AA17" s="16">
        <f>1-(1-Z17)^12</f>
        <v/>
      </c>
      <c r="AB17" s="14">
        <f>IF(K17&lt;=V8_AGE_KNOT_X_0,V8_AGE_KNOT_Y_0,IF(K17&gt;=V8_AGE_KNOT_X_5,V8_AGE_KNOT_Y_5,IF(K17&lt;=V8_AGE_KNOT_X_1,V8_AGE_KNOT_Y_0+(K17-V8_AGE_KNOT_X_0)/(V8_AGE_KNOT_X_1-V8_AGE_KNOT_X_0)*(V8_AGE_KNOT_Y_1-V8_AGE_KNOT_Y_0),IF(K17&lt;=V8_AGE_KNOT_X_2,V8_AGE_KNOT_Y_1+(K17-V8_AGE_KNOT_X_1)/(V8_AGE_KNOT_X_2-V8_AGE_KNOT_X_1)*(V8_AGE_KNOT_Y_2-V8_AGE_KNOT_Y_1),IF(K17&lt;=V8_AGE_KNOT_X_3,V8_AGE_KNOT_Y_2+(K17-V8_AGE_KNOT_X_2)/(V8_AGE_KNOT_X_3-V8_AGE_KNOT_X_2)*(V8_AGE_KNOT_Y_3-V8_AGE_KNOT_Y_2),IF(K17&lt;=V8_AGE_KNOT_X_4,V8_AGE_KNOT_Y_3+(K17-V8_AGE_KNOT_X_3)/(V8_AGE_KNOT_X_4-V8_AGE_KNOT_X_3)*(V8_AGE_KNOT_Y_4-V8_AGE_KNOT_Y_3),V8_AGE_KNOT_Y_4+(K17-V8_AGE_KNOT_X_4)/(V8_AGE_KNOT_X_5-V8_AGE_KNOT_X_4)*(V8_AGE_KNOT_Y_5-V8_AGE_KNOT_Y_4)))))))</f>
        <v/>
      </c>
      <c r="AC17" s="14">
        <f>IF(IF(OR(L17="",NOT(ISNUMBER(L17))),360,MAX(0,MIN(480,(INT(L17/100)-INT(VALUE(F17)/100))*12+MOD(L17,100)-MOD(VALUE(F17),100))))&gt;0,1+V8_MTY_AMP*MAX(0,(V8_MTY_CUTOFF-(IF(OR(L17="",NOT(ISNUMBER(L17))),360,MAX(0,MIN(480,(INT(L17/100)-INT(VALUE(F17)/100))*12+MOD(L17,100)-MOD(VALUE(F17),100))))))/V8_MTY_CUTOFF),1)</f>
        <v/>
      </c>
      <c r="AD17" s="14">
        <f>IF(AND(IF(OR(M17="",NOT(ISNUMBER(M17))),0,MAX(0,MIN(24,(INT(VALUE(F17)/100)-INT(M17/100))*12+MOD(VALUE(F17),100)-MOD(M17,100))))&gt;0,IF(OR(M17="",NOT(ISNUMBER(M17))),0,MAX(0,MIN(24,(INT(VALUE(F17)/100)-INT(M17/100))*12+MOD(VALUE(F17),100)-MOD(M17,100))))&lt;=12),1+V8_LOCKOUT_AMP*EXP(-(IF(OR(M17="",NOT(ISNUMBER(M17))),0,MAX(0,MIN(24,(INT(VALUE(F17)/100)-INT(M17/100))*12+MOD(VALUE(F17),100)-MOD(M17,100)))))/V8_LOCKOUT_TAU),1)</f>
        <v/>
      </c>
      <c r="AE17" s="14">
        <f>MAX(V8_BURN_FLOOR,1-V8_BURN_SLOPE*MIN(1,MAX(0,O17)))</f>
        <v/>
      </c>
      <c r="AF17" s="15">
        <f>MIN(Z17*AB17*AC17*AD17*AE17,0.2)</f>
        <v/>
      </c>
      <c r="AG17" s="16">
        <f>1-(1-AF17)^12</f>
        <v/>
      </c>
    </row>
    <row r="18">
      <c r="A18" s="2" t="inlineStr">
        <is>
          <t>031028004210</t>
        </is>
      </c>
      <c r="B18" t="inlineStr">
        <is>
          <t>538</t>
        </is>
      </c>
      <c r="C18" t="inlineStr">
        <is>
          <t>538</t>
        </is>
      </c>
      <c r="D18" t="inlineStr">
        <is>
          <t>LUMENT REAL ESTATE CAPITAL,LLC</t>
        </is>
      </c>
      <c r="E18" t="n">
        <v>2017</v>
      </c>
      <c r="F18" t="inlineStr">
        <is>
          <t>202602</t>
        </is>
      </c>
      <c r="G18" s="8" t="n">
        <v>1419192.88</v>
      </c>
      <c r="H18" s="12" t="n">
        <v>3.89</v>
      </c>
      <c r="I18" s="13" t="n">
        <v>447</v>
      </c>
      <c r="J18" s="13" t="n">
        <v>3</v>
      </c>
      <c r="K18" t="n">
        <v>103</v>
      </c>
      <c r="L18" t="n">
        <v>204708</v>
      </c>
      <c r="M18" t="inlineStr"/>
      <c r="N18" t="n">
        <v>31</v>
      </c>
      <c r="O18" s="14" t="n">
        <v>0.3009708737864077</v>
      </c>
      <c r="P18">
        <f>IF(ISNUMBER(SEARCH("232",B18)),"232",IF(ISNUMBER(SEARCH("538",B18)),"538",IF(ISNUMBER(SEARCH("223a7",B18)),"223a7",IF(ISNUMBER(SEARCH("223f",B18)),"223f","OTHER"))))</f>
        <v/>
      </c>
      <c r="Q18">
        <f>IF(UPPER(C18)="NC","NC","RP")</f>
        <v/>
      </c>
      <c r="R18">
        <f>IF(G18&lt;5000000,"small",IF(G18&lt;25000000,"medium","large"))</f>
        <v/>
      </c>
      <c r="S18">
        <f>P18&amp;"|"&amp;Q18&amp;"|"&amp;R18</f>
        <v/>
      </c>
      <c r="T18" s="13">
        <f>H18*100-I18</f>
        <v/>
      </c>
      <c r="U18" s="13">
        <f>T18-12.5*(J18+1)</f>
        <v/>
      </c>
      <c r="V18" s="15">
        <f>IFERROR(VLOOKUP(S18,V8_COHORT_TABLE,2,FALSE),IFERROR(VLOOKUP(P18&amp;"|"&amp;Q18&amp;"|ALL",V8_COHORT_TABLE,2,FALSE),IFERROR(VLOOKUP(P18&amp;"|ALL|ALL",V8_COHORT_TABLE,2,FALSE),VLOOKUP("GLOBAL",V8_COHORT_TABLE,2,FALSE))))</f>
        <v/>
      </c>
      <c r="W18" s="15">
        <f>IFERROR(VLOOKUP(S18,V8_COHORT_TABLE,3,FALSE),IFERROR(VLOOKUP(P18&amp;"|"&amp;Q18&amp;"|ALL",V8_COHORT_TABLE,3,FALSE),IFERROR(VLOOKUP(P18&amp;"|ALL|ALL",V8_COHORT_TABLE,3,FALSE),VLOOKUP("GLOBAL",V8_COHORT_TABLE,3,FALSE))))</f>
        <v/>
      </c>
      <c r="X18" s="15">
        <f>IFERROR(VLOOKUP(S18,V8_COHORT_TABLE,4,FALSE),IFERROR(VLOOKUP(P18&amp;"|"&amp;Q18&amp;"|ALL",V8_COHORT_TABLE,4,FALSE),IFERROR(VLOOKUP(P18&amp;"|ALL|ALL",V8_COHORT_TABLE,4,FALSE),VLOOKUP("GLOBAL",V8_COHORT_TABLE,4,FALSE))))</f>
        <v/>
      </c>
      <c r="Y18" s="15">
        <f>IFERROR(VLOOKUP(S18,V8_COHORT_TABLE,5,FALSE),IFERROR(VLOOKUP(P18&amp;"|"&amp;Q18&amp;"|ALL",V8_COHORT_TABLE,5,FALSE),IFERROR(VLOOKUP(P18&amp;"|ALL|ALL",V8_COHORT_TABLE,5,FALSE),VLOOKUP("GLOBAL",V8_COHORT_TABLE,5,FALSE))))</f>
        <v/>
      </c>
      <c r="Z18" s="15">
        <f>V18+W18/(1+EXP(-(U18-X18)/Y18))</f>
        <v/>
      </c>
      <c r="AA18" s="16">
        <f>1-(1-Z18)^12</f>
        <v/>
      </c>
      <c r="AB18" s="14">
        <f>IF(K18&lt;=V8_AGE_KNOT_X_0,V8_AGE_KNOT_Y_0,IF(K18&gt;=V8_AGE_KNOT_X_5,V8_AGE_KNOT_Y_5,IF(K18&lt;=V8_AGE_KNOT_X_1,V8_AGE_KNOT_Y_0+(K18-V8_AGE_KNOT_X_0)/(V8_AGE_KNOT_X_1-V8_AGE_KNOT_X_0)*(V8_AGE_KNOT_Y_1-V8_AGE_KNOT_Y_0),IF(K18&lt;=V8_AGE_KNOT_X_2,V8_AGE_KNOT_Y_1+(K18-V8_AGE_KNOT_X_1)/(V8_AGE_KNOT_X_2-V8_AGE_KNOT_X_1)*(V8_AGE_KNOT_Y_2-V8_AGE_KNOT_Y_1),IF(K18&lt;=V8_AGE_KNOT_X_3,V8_AGE_KNOT_Y_2+(K18-V8_AGE_KNOT_X_2)/(V8_AGE_KNOT_X_3-V8_AGE_KNOT_X_2)*(V8_AGE_KNOT_Y_3-V8_AGE_KNOT_Y_2),IF(K18&lt;=V8_AGE_KNOT_X_4,V8_AGE_KNOT_Y_3+(K18-V8_AGE_KNOT_X_3)/(V8_AGE_KNOT_X_4-V8_AGE_KNOT_X_3)*(V8_AGE_KNOT_Y_4-V8_AGE_KNOT_Y_3),V8_AGE_KNOT_Y_4+(K18-V8_AGE_KNOT_X_4)/(V8_AGE_KNOT_X_5-V8_AGE_KNOT_X_4)*(V8_AGE_KNOT_Y_5-V8_AGE_KNOT_Y_4)))))))</f>
        <v/>
      </c>
      <c r="AC18" s="14">
        <f>IF(IF(OR(L18="",NOT(ISNUMBER(L18))),360,MAX(0,MIN(480,(INT(L18/100)-INT(VALUE(F18)/100))*12+MOD(L18,100)-MOD(VALUE(F18),100))))&gt;0,1+V8_MTY_AMP*MAX(0,(V8_MTY_CUTOFF-(IF(OR(L18="",NOT(ISNUMBER(L18))),360,MAX(0,MIN(480,(INT(L18/100)-INT(VALUE(F18)/100))*12+MOD(L18,100)-MOD(VALUE(F18),100))))))/V8_MTY_CUTOFF),1)</f>
        <v/>
      </c>
      <c r="AD18" s="14">
        <f>IF(AND(IF(OR(M18="",NOT(ISNUMBER(M18))),0,MAX(0,MIN(24,(INT(VALUE(F18)/100)-INT(M18/100))*12+MOD(VALUE(F18),100)-MOD(M18,100))))&gt;0,IF(OR(M18="",NOT(ISNUMBER(M18))),0,MAX(0,MIN(24,(INT(VALUE(F18)/100)-INT(M18/100))*12+MOD(VALUE(F18),100)-MOD(M18,100))))&lt;=12),1+V8_LOCKOUT_AMP*EXP(-(IF(OR(M18="",NOT(ISNUMBER(M18))),0,MAX(0,MIN(24,(INT(VALUE(F18)/100)-INT(M18/100))*12+MOD(VALUE(F18),100)-MOD(M18,100)))))/V8_LOCKOUT_TAU),1)</f>
        <v/>
      </c>
      <c r="AE18" s="14">
        <f>MAX(V8_BURN_FLOOR,1-V8_BURN_SLOPE*MIN(1,MAX(0,O18)))</f>
        <v/>
      </c>
      <c r="AF18" s="15">
        <f>MIN(Z18*AB18*AC18*AD18*AE18,0.2)</f>
        <v/>
      </c>
      <c r="AG18" s="16">
        <f>1-(1-AF18)^12</f>
        <v/>
      </c>
    </row>
    <row r="19">
      <c r="A19" s="2" t="inlineStr">
        <is>
          <t>000002411077</t>
        </is>
      </c>
      <c r="B19" t="inlineStr">
        <is>
          <t>223f</t>
        </is>
      </c>
      <c r="C19" t="inlineStr">
        <is>
          <t>RP</t>
        </is>
      </c>
      <c r="D19" t="inlineStr">
        <is>
          <t>LUMENT REAL ESTATE CAPITAL,LLC</t>
        </is>
      </c>
      <c r="E19" t="n">
        <v>2018</v>
      </c>
      <c r="F19" t="inlineStr">
        <is>
          <t>202602</t>
        </is>
      </c>
      <c r="G19" s="8" t="n">
        <v>5685256.38</v>
      </c>
      <c r="H19" s="12" t="n">
        <v>4.02</v>
      </c>
      <c r="I19" s="13" t="n">
        <v>447</v>
      </c>
      <c r="J19" s="13" t="n">
        <v>3</v>
      </c>
      <c r="K19" t="n">
        <v>93</v>
      </c>
      <c r="L19" t="n">
        <v>205306</v>
      </c>
      <c r="M19" t="inlineStr"/>
      <c r="N19" t="n">
        <v>32</v>
      </c>
      <c r="O19" s="14" t="n">
        <v>0.3440860215053764</v>
      </c>
      <c r="P19">
        <f>IF(ISNUMBER(SEARCH("232",B19)),"232",IF(ISNUMBER(SEARCH("538",B19)),"538",IF(ISNUMBER(SEARCH("223a7",B19)),"223a7",IF(ISNUMBER(SEARCH("223f",B19)),"223f","OTHER"))))</f>
        <v/>
      </c>
      <c r="Q19">
        <f>IF(UPPER(C19)="NC","NC","RP")</f>
        <v/>
      </c>
      <c r="R19">
        <f>IF(G19&lt;5000000,"small",IF(G19&lt;25000000,"medium","large"))</f>
        <v/>
      </c>
      <c r="S19">
        <f>P19&amp;"|"&amp;Q19&amp;"|"&amp;R19</f>
        <v/>
      </c>
      <c r="T19" s="13">
        <f>H19*100-I19</f>
        <v/>
      </c>
      <c r="U19" s="13">
        <f>T19-12.5*(J19+1)</f>
        <v/>
      </c>
      <c r="V19" s="15">
        <f>IFERROR(VLOOKUP(S19,V8_COHORT_TABLE,2,FALSE),IFERROR(VLOOKUP(P19&amp;"|"&amp;Q19&amp;"|ALL",V8_COHORT_TABLE,2,FALSE),IFERROR(VLOOKUP(P19&amp;"|ALL|ALL",V8_COHORT_TABLE,2,FALSE),VLOOKUP("GLOBAL",V8_COHORT_TABLE,2,FALSE))))</f>
        <v/>
      </c>
      <c r="W19" s="15">
        <f>IFERROR(VLOOKUP(S19,V8_COHORT_TABLE,3,FALSE),IFERROR(VLOOKUP(P19&amp;"|"&amp;Q19&amp;"|ALL",V8_COHORT_TABLE,3,FALSE),IFERROR(VLOOKUP(P19&amp;"|ALL|ALL",V8_COHORT_TABLE,3,FALSE),VLOOKUP("GLOBAL",V8_COHORT_TABLE,3,FALSE))))</f>
        <v/>
      </c>
      <c r="X19" s="15">
        <f>IFERROR(VLOOKUP(S19,V8_COHORT_TABLE,4,FALSE),IFERROR(VLOOKUP(P19&amp;"|"&amp;Q19&amp;"|ALL",V8_COHORT_TABLE,4,FALSE),IFERROR(VLOOKUP(P19&amp;"|ALL|ALL",V8_COHORT_TABLE,4,FALSE),VLOOKUP("GLOBAL",V8_COHORT_TABLE,4,FALSE))))</f>
        <v/>
      </c>
      <c r="Y19" s="15">
        <f>IFERROR(VLOOKUP(S19,V8_COHORT_TABLE,5,FALSE),IFERROR(VLOOKUP(P19&amp;"|"&amp;Q19&amp;"|ALL",V8_COHORT_TABLE,5,FALSE),IFERROR(VLOOKUP(P19&amp;"|ALL|ALL",V8_COHORT_TABLE,5,FALSE),VLOOKUP("GLOBAL",V8_COHORT_TABLE,5,FALSE))))</f>
        <v/>
      </c>
      <c r="Z19" s="15">
        <f>V19+W19/(1+EXP(-(U19-X19)/Y19))</f>
        <v/>
      </c>
      <c r="AA19" s="16">
        <f>1-(1-Z19)^12</f>
        <v/>
      </c>
      <c r="AB19" s="14">
        <f>IF(K19&lt;=V8_AGE_KNOT_X_0,V8_AGE_KNOT_Y_0,IF(K19&gt;=V8_AGE_KNOT_X_5,V8_AGE_KNOT_Y_5,IF(K19&lt;=V8_AGE_KNOT_X_1,V8_AGE_KNOT_Y_0+(K19-V8_AGE_KNOT_X_0)/(V8_AGE_KNOT_X_1-V8_AGE_KNOT_X_0)*(V8_AGE_KNOT_Y_1-V8_AGE_KNOT_Y_0),IF(K19&lt;=V8_AGE_KNOT_X_2,V8_AGE_KNOT_Y_1+(K19-V8_AGE_KNOT_X_1)/(V8_AGE_KNOT_X_2-V8_AGE_KNOT_X_1)*(V8_AGE_KNOT_Y_2-V8_AGE_KNOT_Y_1),IF(K19&lt;=V8_AGE_KNOT_X_3,V8_AGE_KNOT_Y_2+(K19-V8_AGE_KNOT_X_2)/(V8_AGE_KNOT_X_3-V8_AGE_KNOT_X_2)*(V8_AGE_KNOT_Y_3-V8_AGE_KNOT_Y_2),IF(K19&lt;=V8_AGE_KNOT_X_4,V8_AGE_KNOT_Y_3+(K19-V8_AGE_KNOT_X_3)/(V8_AGE_KNOT_X_4-V8_AGE_KNOT_X_3)*(V8_AGE_KNOT_Y_4-V8_AGE_KNOT_Y_3),V8_AGE_KNOT_Y_4+(K19-V8_AGE_KNOT_X_4)/(V8_AGE_KNOT_X_5-V8_AGE_KNOT_X_4)*(V8_AGE_KNOT_Y_5-V8_AGE_KNOT_Y_4)))))))</f>
        <v/>
      </c>
      <c r="AC19" s="14">
        <f>IF(IF(OR(L19="",NOT(ISNUMBER(L19))),360,MAX(0,MIN(480,(INT(L19/100)-INT(VALUE(F19)/100))*12+MOD(L19,100)-MOD(VALUE(F19),100))))&gt;0,1+V8_MTY_AMP*MAX(0,(V8_MTY_CUTOFF-(IF(OR(L19="",NOT(ISNUMBER(L19))),360,MAX(0,MIN(480,(INT(L19/100)-INT(VALUE(F19)/100))*12+MOD(L19,100)-MOD(VALUE(F19),100))))))/V8_MTY_CUTOFF),1)</f>
        <v/>
      </c>
      <c r="AD19" s="14">
        <f>IF(AND(IF(OR(M19="",NOT(ISNUMBER(M19))),0,MAX(0,MIN(24,(INT(VALUE(F19)/100)-INT(M19/100))*12+MOD(VALUE(F19),100)-MOD(M19,100))))&gt;0,IF(OR(M19="",NOT(ISNUMBER(M19))),0,MAX(0,MIN(24,(INT(VALUE(F19)/100)-INT(M19/100))*12+MOD(VALUE(F19),100)-MOD(M19,100))))&lt;=12),1+V8_LOCKOUT_AMP*EXP(-(IF(OR(M19="",NOT(ISNUMBER(M19))),0,MAX(0,MIN(24,(INT(VALUE(F19)/100)-INT(M19/100))*12+MOD(VALUE(F19),100)-MOD(M19,100)))))/V8_LOCKOUT_TAU),1)</f>
        <v/>
      </c>
      <c r="AE19" s="14">
        <f>MAX(V8_BURN_FLOOR,1-V8_BURN_SLOPE*MIN(1,MAX(0,O19)))</f>
        <v/>
      </c>
      <c r="AF19" s="15">
        <f>MIN(Z19*AB19*AC19*AD19*AE19,0.2)</f>
        <v/>
      </c>
      <c r="AG19" s="16">
        <f>1-(1-AF19)^12</f>
        <v/>
      </c>
    </row>
    <row r="20">
      <c r="A20" s="2" t="inlineStr">
        <is>
          <t>000010535250</t>
        </is>
      </c>
      <c r="B20" t="inlineStr">
        <is>
          <t>221d4</t>
        </is>
      </c>
      <c r="C20" t="inlineStr">
        <is>
          <t>NC</t>
        </is>
      </c>
      <c r="D20" t="inlineStr">
        <is>
          <t>LUMENT REAL ESTATE CAPITAL,LLC</t>
        </is>
      </c>
      <c r="E20" t="n">
        <v>2015</v>
      </c>
      <c r="F20" t="inlineStr">
        <is>
          <t>202602</t>
        </is>
      </c>
      <c r="G20" s="8" t="n">
        <v>2808410.87</v>
      </c>
      <c r="H20" s="12" t="n">
        <v>3.35</v>
      </c>
      <c r="I20" s="13" t="n">
        <v>447</v>
      </c>
      <c r="J20" s="13" t="n">
        <v>1</v>
      </c>
      <c r="K20" t="n">
        <v>128</v>
      </c>
      <c r="L20" t="n">
        <v>205604</v>
      </c>
      <c r="M20" t="inlineStr"/>
      <c r="N20" t="n">
        <v>27</v>
      </c>
      <c r="O20" s="14" t="n">
        <v>0.2109375</v>
      </c>
      <c r="P20">
        <f>IF(ISNUMBER(SEARCH("232",B20)),"232",IF(ISNUMBER(SEARCH("538",B20)),"538",IF(ISNUMBER(SEARCH("223a7",B20)),"223a7",IF(ISNUMBER(SEARCH("223f",B20)),"223f","OTHER"))))</f>
        <v/>
      </c>
      <c r="Q20">
        <f>IF(UPPER(C20)="NC","NC","RP")</f>
        <v/>
      </c>
      <c r="R20">
        <f>IF(G20&lt;5000000,"small",IF(G20&lt;25000000,"medium","large"))</f>
        <v/>
      </c>
      <c r="S20">
        <f>P20&amp;"|"&amp;Q20&amp;"|"&amp;R20</f>
        <v/>
      </c>
      <c r="T20" s="13">
        <f>H20*100-I20</f>
        <v/>
      </c>
      <c r="U20" s="13">
        <f>T20-12.5*(J20+1)</f>
        <v/>
      </c>
      <c r="V20" s="15">
        <f>IFERROR(VLOOKUP(S20,V8_COHORT_TABLE,2,FALSE),IFERROR(VLOOKUP(P20&amp;"|"&amp;Q20&amp;"|ALL",V8_COHORT_TABLE,2,FALSE),IFERROR(VLOOKUP(P20&amp;"|ALL|ALL",V8_COHORT_TABLE,2,FALSE),VLOOKUP("GLOBAL",V8_COHORT_TABLE,2,FALSE))))</f>
        <v/>
      </c>
      <c r="W20" s="15">
        <f>IFERROR(VLOOKUP(S20,V8_COHORT_TABLE,3,FALSE),IFERROR(VLOOKUP(P20&amp;"|"&amp;Q20&amp;"|ALL",V8_COHORT_TABLE,3,FALSE),IFERROR(VLOOKUP(P20&amp;"|ALL|ALL",V8_COHORT_TABLE,3,FALSE),VLOOKUP("GLOBAL",V8_COHORT_TABLE,3,FALSE))))</f>
        <v/>
      </c>
      <c r="X20" s="15">
        <f>IFERROR(VLOOKUP(S20,V8_COHORT_TABLE,4,FALSE),IFERROR(VLOOKUP(P20&amp;"|"&amp;Q20&amp;"|ALL",V8_COHORT_TABLE,4,FALSE),IFERROR(VLOOKUP(P20&amp;"|ALL|ALL",V8_COHORT_TABLE,4,FALSE),VLOOKUP("GLOBAL",V8_COHORT_TABLE,4,FALSE))))</f>
        <v/>
      </c>
      <c r="Y20" s="15">
        <f>IFERROR(VLOOKUP(S20,V8_COHORT_TABLE,5,FALSE),IFERROR(VLOOKUP(P20&amp;"|"&amp;Q20&amp;"|ALL",V8_COHORT_TABLE,5,FALSE),IFERROR(VLOOKUP(P20&amp;"|ALL|ALL",V8_COHORT_TABLE,5,FALSE),VLOOKUP("GLOBAL",V8_COHORT_TABLE,5,FALSE))))</f>
        <v/>
      </c>
      <c r="Z20" s="15">
        <f>V20+W20/(1+EXP(-(U20-X20)/Y20))</f>
        <v/>
      </c>
      <c r="AA20" s="16">
        <f>1-(1-Z20)^12</f>
        <v/>
      </c>
      <c r="AB20" s="14">
        <f>IF(K20&lt;=V8_AGE_KNOT_X_0,V8_AGE_KNOT_Y_0,IF(K20&gt;=V8_AGE_KNOT_X_5,V8_AGE_KNOT_Y_5,IF(K20&lt;=V8_AGE_KNOT_X_1,V8_AGE_KNOT_Y_0+(K20-V8_AGE_KNOT_X_0)/(V8_AGE_KNOT_X_1-V8_AGE_KNOT_X_0)*(V8_AGE_KNOT_Y_1-V8_AGE_KNOT_Y_0),IF(K20&lt;=V8_AGE_KNOT_X_2,V8_AGE_KNOT_Y_1+(K20-V8_AGE_KNOT_X_1)/(V8_AGE_KNOT_X_2-V8_AGE_KNOT_X_1)*(V8_AGE_KNOT_Y_2-V8_AGE_KNOT_Y_1),IF(K20&lt;=V8_AGE_KNOT_X_3,V8_AGE_KNOT_Y_2+(K20-V8_AGE_KNOT_X_2)/(V8_AGE_KNOT_X_3-V8_AGE_KNOT_X_2)*(V8_AGE_KNOT_Y_3-V8_AGE_KNOT_Y_2),IF(K20&lt;=V8_AGE_KNOT_X_4,V8_AGE_KNOT_Y_3+(K20-V8_AGE_KNOT_X_3)/(V8_AGE_KNOT_X_4-V8_AGE_KNOT_X_3)*(V8_AGE_KNOT_Y_4-V8_AGE_KNOT_Y_3),V8_AGE_KNOT_Y_4+(K20-V8_AGE_KNOT_X_4)/(V8_AGE_KNOT_X_5-V8_AGE_KNOT_X_4)*(V8_AGE_KNOT_Y_5-V8_AGE_KNOT_Y_4)))))))</f>
        <v/>
      </c>
      <c r="AC20" s="14">
        <f>IF(IF(OR(L20="",NOT(ISNUMBER(L20))),360,MAX(0,MIN(480,(INT(L20/100)-INT(VALUE(F20)/100))*12+MOD(L20,100)-MOD(VALUE(F20),100))))&gt;0,1+V8_MTY_AMP*MAX(0,(V8_MTY_CUTOFF-(IF(OR(L20="",NOT(ISNUMBER(L20))),360,MAX(0,MIN(480,(INT(L20/100)-INT(VALUE(F20)/100))*12+MOD(L20,100)-MOD(VALUE(F20),100))))))/V8_MTY_CUTOFF),1)</f>
        <v/>
      </c>
      <c r="AD20" s="14">
        <f>IF(AND(IF(OR(M20="",NOT(ISNUMBER(M20))),0,MAX(0,MIN(24,(INT(VALUE(F20)/100)-INT(M20/100))*12+MOD(VALUE(F20),100)-MOD(M20,100))))&gt;0,IF(OR(M20="",NOT(ISNUMBER(M20))),0,MAX(0,MIN(24,(INT(VALUE(F20)/100)-INT(M20/100))*12+MOD(VALUE(F20),100)-MOD(M20,100))))&lt;=12),1+V8_LOCKOUT_AMP*EXP(-(IF(OR(M20="",NOT(ISNUMBER(M20))),0,MAX(0,MIN(24,(INT(VALUE(F20)/100)-INT(M20/100))*12+MOD(VALUE(F20),100)-MOD(M20,100)))))/V8_LOCKOUT_TAU),1)</f>
        <v/>
      </c>
      <c r="AE20" s="14">
        <f>MAX(V8_BURN_FLOOR,1-V8_BURN_SLOPE*MIN(1,MAX(0,O20)))</f>
        <v/>
      </c>
      <c r="AF20" s="15">
        <f>MIN(Z20*AB20*AC20*AD20*AE20,0.2)</f>
        <v/>
      </c>
      <c r="AG20" s="16">
        <f>1-(1-AF20)^12</f>
        <v/>
      </c>
    </row>
    <row r="21">
      <c r="A21" s="2" t="inlineStr">
        <is>
          <t>000012211483</t>
        </is>
      </c>
      <c r="B21" t="inlineStr">
        <is>
          <t>223f</t>
        </is>
      </c>
      <c r="C21" t="inlineStr">
        <is>
          <t>RP</t>
        </is>
      </c>
      <c r="D21" t="inlineStr">
        <is>
          <t>LUMENT REAL ESTATE CAPITAL,LLC</t>
        </is>
      </c>
      <c r="E21" t="n">
        <v>2022</v>
      </c>
      <c r="F21" t="inlineStr">
        <is>
          <t>202602</t>
        </is>
      </c>
      <c r="G21" s="8" t="n">
        <v>11152290.91</v>
      </c>
      <c r="H21" s="12" t="n">
        <v>2.6</v>
      </c>
      <c r="I21" s="13" t="n">
        <v>447</v>
      </c>
      <c r="J21" s="13" t="n">
        <v>7</v>
      </c>
      <c r="K21" t="n">
        <v>47</v>
      </c>
      <c r="L21" t="n">
        <v>205704</v>
      </c>
      <c r="M21" t="inlineStr"/>
      <c r="N21" t="n">
        <v>0</v>
      </c>
      <c r="O21" s="14" t="n">
        <v>0</v>
      </c>
      <c r="P21">
        <f>IF(ISNUMBER(SEARCH("232",B21)),"232",IF(ISNUMBER(SEARCH("538",B21)),"538",IF(ISNUMBER(SEARCH("223a7",B21)),"223a7",IF(ISNUMBER(SEARCH("223f",B21)),"223f","OTHER"))))</f>
        <v/>
      </c>
      <c r="Q21">
        <f>IF(UPPER(C21)="NC","NC","RP")</f>
        <v/>
      </c>
      <c r="R21">
        <f>IF(G21&lt;5000000,"small",IF(G21&lt;25000000,"medium","large"))</f>
        <v/>
      </c>
      <c r="S21">
        <f>P21&amp;"|"&amp;Q21&amp;"|"&amp;R21</f>
        <v/>
      </c>
      <c r="T21" s="13">
        <f>H21*100-I21</f>
        <v/>
      </c>
      <c r="U21" s="13">
        <f>T21-12.5*(J21+1)</f>
        <v/>
      </c>
      <c r="V21" s="15">
        <f>IFERROR(VLOOKUP(S21,V8_COHORT_TABLE,2,FALSE),IFERROR(VLOOKUP(P21&amp;"|"&amp;Q21&amp;"|ALL",V8_COHORT_TABLE,2,FALSE),IFERROR(VLOOKUP(P21&amp;"|ALL|ALL",V8_COHORT_TABLE,2,FALSE),VLOOKUP("GLOBAL",V8_COHORT_TABLE,2,FALSE))))</f>
        <v/>
      </c>
      <c r="W21" s="15">
        <f>IFERROR(VLOOKUP(S21,V8_COHORT_TABLE,3,FALSE),IFERROR(VLOOKUP(P21&amp;"|"&amp;Q21&amp;"|ALL",V8_COHORT_TABLE,3,FALSE),IFERROR(VLOOKUP(P21&amp;"|ALL|ALL",V8_COHORT_TABLE,3,FALSE),VLOOKUP("GLOBAL",V8_COHORT_TABLE,3,FALSE))))</f>
        <v/>
      </c>
      <c r="X21" s="15">
        <f>IFERROR(VLOOKUP(S21,V8_COHORT_TABLE,4,FALSE),IFERROR(VLOOKUP(P21&amp;"|"&amp;Q21&amp;"|ALL",V8_COHORT_TABLE,4,FALSE),IFERROR(VLOOKUP(P21&amp;"|ALL|ALL",V8_COHORT_TABLE,4,FALSE),VLOOKUP("GLOBAL",V8_COHORT_TABLE,4,FALSE))))</f>
        <v/>
      </c>
      <c r="Y21" s="15">
        <f>IFERROR(VLOOKUP(S21,V8_COHORT_TABLE,5,FALSE),IFERROR(VLOOKUP(P21&amp;"|"&amp;Q21&amp;"|ALL",V8_COHORT_TABLE,5,FALSE),IFERROR(VLOOKUP(P21&amp;"|ALL|ALL",V8_COHORT_TABLE,5,FALSE),VLOOKUP("GLOBAL",V8_COHORT_TABLE,5,FALSE))))</f>
        <v/>
      </c>
      <c r="Z21" s="15">
        <f>V21+W21/(1+EXP(-(U21-X21)/Y21))</f>
        <v/>
      </c>
      <c r="AA21" s="16">
        <f>1-(1-Z21)^12</f>
        <v/>
      </c>
      <c r="AB21" s="14">
        <f>IF(K21&lt;=V8_AGE_KNOT_X_0,V8_AGE_KNOT_Y_0,IF(K21&gt;=V8_AGE_KNOT_X_5,V8_AGE_KNOT_Y_5,IF(K21&lt;=V8_AGE_KNOT_X_1,V8_AGE_KNOT_Y_0+(K21-V8_AGE_KNOT_X_0)/(V8_AGE_KNOT_X_1-V8_AGE_KNOT_X_0)*(V8_AGE_KNOT_Y_1-V8_AGE_KNOT_Y_0),IF(K21&lt;=V8_AGE_KNOT_X_2,V8_AGE_KNOT_Y_1+(K21-V8_AGE_KNOT_X_1)/(V8_AGE_KNOT_X_2-V8_AGE_KNOT_X_1)*(V8_AGE_KNOT_Y_2-V8_AGE_KNOT_Y_1),IF(K21&lt;=V8_AGE_KNOT_X_3,V8_AGE_KNOT_Y_2+(K21-V8_AGE_KNOT_X_2)/(V8_AGE_KNOT_X_3-V8_AGE_KNOT_X_2)*(V8_AGE_KNOT_Y_3-V8_AGE_KNOT_Y_2),IF(K21&lt;=V8_AGE_KNOT_X_4,V8_AGE_KNOT_Y_3+(K21-V8_AGE_KNOT_X_3)/(V8_AGE_KNOT_X_4-V8_AGE_KNOT_X_3)*(V8_AGE_KNOT_Y_4-V8_AGE_KNOT_Y_3),V8_AGE_KNOT_Y_4+(K21-V8_AGE_KNOT_X_4)/(V8_AGE_KNOT_X_5-V8_AGE_KNOT_X_4)*(V8_AGE_KNOT_Y_5-V8_AGE_KNOT_Y_4)))))))</f>
        <v/>
      </c>
      <c r="AC21" s="14">
        <f>IF(IF(OR(L21="",NOT(ISNUMBER(L21))),360,MAX(0,MIN(480,(INT(L21/100)-INT(VALUE(F21)/100))*12+MOD(L21,100)-MOD(VALUE(F21),100))))&gt;0,1+V8_MTY_AMP*MAX(0,(V8_MTY_CUTOFF-(IF(OR(L21="",NOT(ISNUMBER(L21))),360,MAX(0,MIN(480,(INT(L21/100)-INT(VALUE(F21)/100))*12+MOD(L21,100)-MOD(VALUE(F21),100))))))/V8_MTY_CUTOFF),1)</f>
        <v/>
      </c>
      <c r="AD21" s="14">
        <f>IF(AND(IF(OR(M21="",NOT(ISNUMBER(M21))),0,MAX(0,MIN(24,(INT(VALUE(F21)/100)-INT(M21/100))*12+MOD(VALUE(F21),100)-MOD(M21,100))))&gt;0,IF(OR(M21="",NOT(ISNUMBER(M21))),0,MAX(0,MIN(24,(INT(VALUE(F21)/100)-INT(M21/100))*12+MOD(VALUE(F21),100)-MOD(M21,100))))&lt;=12),1+V8_LOCKOUT_AMP*EXP(-(IF(OR(M21="",NOT(ISNUMBER(M21))),0,MAX(0,MIN(24,(INT(VALUE(F21)/100)-INT(M21/100))*12+MOD(VALUE(F21),100)-MOD(M21,100)))))/V8_LOCKOUT_TAU),1)</f>
        <v/>
      </c>
      <c r="AE21" s="14">
        <f>MAX(V8_BURN_FLOOR,1-V8_BURN_SLOPE*MIN(1,MAX(0,O21)))</f>
        <v/>
      </c>
      <c r="AF21" s="15">
        <f>MIN(Z21*AB21*AC21*AD21*AE21,0.2)</f>
        <v/>
      </c>
      <c r="AG21" s="16">
        <f>1-(1-AF21)^12</f>
        <v/>
      </c>
    </row>
    <row r="22">
      <c r="A22" s="2" t="inlineStr">
        <is>
          <t>000011335648</t>
        </is>
      </c>
      <c r="B22" t="inlineStr">
        <is>
          <t>221d4</t>
        </is>
      </c>
      <c r="C22" t="inlineStr">
        <is>
          <t>NC</t>
        </is>
      </c>
      <c r="D22" t="inlineStr">
        <is>
          <t>LUMENT REAL ESTATE CAPITAL,LLC</t>
        </is>
      </c>
      <c r="E22" t="n">
        <v>2016</v>
      </c>
      <c r="F22" t="inlineStr">
        <is>
          <t>202602</t>
        </is>
      </c>
      <c r="G22" s="8" t="n">
        <v>17567640.14</v>
      </c>
      <c r="H22" s="12" t="n">
        <v>2.65</v>
      </c>
      <c r="I22" s="13" t="n">
        <v>447</v>
      </c>
      <c r="J22" s="13" t="n">
        <v>6</v>
      </c>
      <c r="K22" t="n">
        <v>114</v>
      </c>
      <c r="L22" t="n">
        <v>205802</v>
      </c>
      <c r="M22" t="inlineStr"/>
      <c r="N22" t="n">
        <v>0</v>
      </c>
      <c r="O22" s="14" t="n">
        <v>0</v>
      </c>
      <c r="P22">
        <f>IF(ISNUMBER(SEARCH("232",B22)),"232",IF(ISNUMBER(SEARCH("538",B22)),"538",IF(ISNUMBER(SEARCH("223a7",B22)),"223a7",IF(ISNUMBER(SEARCH("223f",B22)),"223f","OTHER"))))</f>
        <v/>
      </c>
      <c r="Q22">
        <f>IF(UPPER(C22)="NC","NC","RP")</f>
        <v/>
      </c>
      <c r="R22">
        <f>IF(G22&lt;5000000,"small",IF(G22&lt;25000000,"medium","large"))</f>
        <v/>
      </c>
      <c r="S22">
        <f>P22&amp;"|"&amp;Q22&amp;"|"&amp;R22</f>
        <v/>
      </c>
      <c r="T22" s="13">
        <f>H22*100-I22</f>
        <v/>
      </c>
      <c r="U22" s="13">
        <f>T22-12.5*(J22+1)</f>
        <v/>
      </c>
      <c r="V22" s="15">
        <f>IFERROR(VLOOKUP(S22,V8_COHORT_TABLE,2,FALSE),IFERROR(VLOOKUP(P22&amp;"|"&amp;Q22&amp;"|ALL",V8_COHORT_TABLE,2,FALSE),IFERROR(VLOOKUP(P22&amp;"|ALL|ALL",V8_COHORT_TABLE,2,FALSE),VLOOKUP("GLOBAL",V8_COHORT_TABLE,2,FALSE))))</f>
        <v/>
      </c>
      <c r="W22" s="15">
        <f>IFERROR(VLOOKUP(S22,V8_COHORT_TABLE,3,FALSE),IFERROR(VLOOKUP(P22&amp;"|"&amp;Q22&amp;"|ALL",V8_COHORT_TABLE,3,FALSE),IFERROR(VLOOKUP(P22&amp;"|ALL|ALL",V8_COHORT_TABLE,3,FALSE),VLOOKUP("GLOBAL",V8_COHORT_TABLE,3,FALSE))))</f>
        <v/>
      </c>
      <c r="X22" s="15">
        <f>IFERROR(VLOOKUP(S22,V8_COHORT_TABLE,4,FALSE),IFERROR(VLOOKUP(P22&amp;"|"&amp;Q22&amp;"|ALL",V8_COHORT_TABLE,4,FALSE),IFERROR(VLOOKUP(P22&amp;"|ALL|ALL",V8_COHORT_TABLE,4,FALSE),VLOOKUP("GLOBAL",V8_COHORT_TABLE,4,FALSE))))</f>
        <v/>
      </c>
      <c r="Y22" s="15">
        <f>IFERROR(VLOOKUP(S22,V8_COHORT_TABLE,5,FALSE),IFERROR(VLOOKUP(P22&amp;"|"&amp;Q22&amp;"|ALL",V8_COHORT_TABLE,5,FALSE),IFERROR(VLOOKUP(P22&amp;"|ALL|ALL",V8_COHORT_TABLE,5,FALSE),VLOOKUP("GLOBAL",V8_COHORT_TABLE,5,FALSE))))</f>
        <v/>
      </c>
      <c r="Z22" s="15">
        <f>V22+W22/(1+EXP(-(U22-X22)/Y22))</f>
        <v/>
      </c>
      <c r="AA22" s="16">
        <f>1-(1-Z22)^12</f>
        <v/>
      </c>
      <c r="AB22" s="14">
        <f>IF(K22&lt;=V8_AGE_KNOT_X_0,V8_AGE_KNOT_Y_0,IF(K22&gt;=V8_AGE_KNOT_X_5,V8_AGE_KNOT_Y_5,IF(K22&lt;=V8_AGE_KNOT_X_1,V8_AGE_KNOT_Y_0+(K22-V8_AGE_KNOT_X_0)/(V8_AGE_KNOT_X_1-V8_AGE_KNOT_X_0)*(V8_AGE_KNOT_Y_1-V8_AGE_KNOT_Y_0),IF(K22&lt;=V8_AGE_KNOT_X_2,V8_AGE_KNOT_Y_1+(K22-V8_AGE_KNOT_X_1)/(V8_AGE_KNOT_X_2-V8_AGE_KNOT_X_1)*(V8_AGE_KNOT_Y_2-V8_AGE_KNOT_Y_1),IF(K22&lt;=V8_AGE_KNOT_X_3,V8_AGE_KNOT_Y_2+(K22-V8_AGE_KNOT_X_2)/(V8_AGE_KNOT_X_3-V8_AGE_KNOT_X_2)*(V8_AGE_KNOT_Y_3-V8_AGE_KNOT_Y_2),IF(K22&lt;=V8_AGE_KNOT_X_4,V8_AGE_KNOT_Y_3+(K22-V8_AGE_KNOT_X_3)/(V8_AGE_KNOT_X_4-V8_AGE_KNOT_X_3)*(V8_AGE_KNOT_Y_4-V8_AGE_KNOT_Y_3),V8_AGE_KNOT_Y_4+(K22-V8_AGE_KNOT_X_4)/(V8_AGE_KNOT_X_5-V8_AGE_KNOT_X_4)*(V8_AGE_KNOT_Y_5-V8_AGE_KNOT_Y_4)))))))</f>
        <v/>
      </c>
      <c r="AC22" s="14">
        <f>IF(IF(OR(L22="",NOT(ISNUMBER(L22))),360,MAX(0,MIN(480,(INT(L22/100)-INT(VALUE(F22)/100))*12+MOD(L22,100)-MOD(VALUE(F22),100))))&gt;0,1+V8_MTY_AMP*MAX(0,(V8_MTY_CUTOFF-(IF(OR(L22="",NOT(ISNUMBER(L22))),360,MAX(0,MIN(480,(INT(L22/100)-INT(VALUE(F22)/100))*12+MOD(L22,100)-MOD(VALUE(F22),100))))))/V8_MTY_CUTOFF),1)</f>
        <v/>
      </c>
      <c r="AD22" s="14">
        <f>IF(AND(IF(OR(M22="",NOT(ISNUMBER(M22))),0,MAX(0,MIN(24,(INT(VALUE(F22)/100)-INT(M22/100))*12+MOD(VALUE(F22),100)-MOD(M22,100))))&gt;0,IF(OR(M22="",NOT(ISNUMBER(M22))),0,MAX(0,MIN(24,(INT(VALUE(F22)/100)-INT(M22/100))*12+MOD(VALUE(F22),100)-MOD(M22,100))))&lt;=12),1+V8_LOCKOUT_AMP*EXP(-(IF(OR(M22="",NOT(ISNUMBER(M22))),0,MAX(0,MIN(24,(INT(VALUE(F22)/100)-INT(M22/100))*12+MOD(VALUE(F22),100)-MOD(M22,100)))))/V8_LOCKOUT_TAU),1)</f>
        <v/>
      </c>
      <c r="AE22" s="14">
        <f>MAX(V8_BURN_FLOOR,1-V8_BURN_SLOPE*MIN(1,MAX(0,O22)))</f>
        <v/>
      </c>
      <c r="AF22" s="15">
        <f>MIN(Z22*AB22*AC22*AD22*AE22,0.2)</f>
        <v/>
      </c>
      <c r="AG22" s="16">
        <f>1-(1-AF22)^12</f>
        <v/>
      </c>
    </row>
    <row r="23">
      <c r="A23" s="2" t="inlineStr">
        <is>
          <t>000003222025</t>
        </is>
      </c>
      <c r="B23" t="inlineStr">
        <is>
          <t>232</t>
        </is>
      </c>
      <c r="C23" t="inlineStr">
        <is>
          <t>RP</t>
        </is>
      </c>
      <c r="D23" t="inlineStr">
        <is>
          <t>LUMENT REAL ESTATE CAPITAL,LLC</t>
        </is>
      </c>
      <c r="E23" t="n">
        <v>2017</v>
      </c>
      <c r="F23" t="inlineStr">
        <is>
          <t>202602</t>
        </is>
      </c>
      <c r="G23" s="8" t="n">
        <v>18702496.16</v>
      </c>
      <c r="H23" s="12" t="n">
        <v>3.48</v>
      </c>
      <c r="I23" s="13" t="n">
        <v>447</v>
      </c>
      <c r="J23" s="13" t="n">
        <v>3</v>
      </c>
      <c r="K23" t="n">
        <v>101</v>
      </c>
      <c r="L23" t="n">
        <v>205210</v>
      </c>
      <c r="M23" t="inlineStr"/>
      <c r="N23" t="n">
        <v>25</v>
      </c>
      <c r="O23" s="14" t="n">
        <v>0.2475247524752475</v>
      </c>
      <c r="P23">
        <f>IF(ISNUMBER(SEARCH("232",B23)),"232",IF(ISNUMBER(SEARCH("538",B23)),"538",IF(ISNUMBER(SEARCH("223a7",B23)),"223a7",IF(ISNUMBER(SEARCH("223f",B23)),"223f","OTHER"))))</f>
        <v/>
      </c>
      <c r="Q23">
        <f>IF(UPPER(C23)="NC","NC","RP")</f>
        <v/>
      </c>
      <c r="R23">
        <f>IF(G23&lt;5000000,"small",IF(G23&lt;25000000,"medium","large"))</f>
        <v/>
      </c>
      <c r="S23">
        <f>P23&amp;"|"&amp;Q23&amp;"|"&amp;R23</f>
        <v/>
      </c>
      <c r="T23" s="13">
        <f>H23*100-I23</f>
        <v/>
      </c>
      <c r="U23" s="13">
        <f>T23-12.5*(J23+1)</f>
        <v/>
      </c>
      <c r="V23" s="15">
        <f>IFERROR(VLOOKUP(S23,V8_COHORT_TABLE,2,FALSE),IFERROR(VLOOKUP(P23&amp;"|"&amp;Q23&amp;"|ALL",V8_COHORT_TABLE,2,FALSE),IFERROR(VLOOKUP(P23&amp;"|ALL|ALL",V8_COHORT_TABLE,2,FALSE),VLOOKUP("GLOBAL",V8_COHORT_TABLE,2,FALSE))))</f>
        <v/>
      </c>
      <c r="W23" s="15">
        <f>IFERROR(VLOOKUP(S23,V8_COHORT_TABLE,3,FALSE),IFERROR(VLOOKUP(P23&amp;"|"&amp;Q23&amp;"|ALL",V8_COHORT_TABLE,3,FALSE),IFERROR(VLOOKUP(P23&amp;"|ALL|ALL",V8_COHORT_TABLE,3,FALSE),VLOOKUP("GLOBAL",V8_COHORT_TABLE,3,FALSE))))</f>
        <v/>
      </c>
      <c r="X23" s="15">
        <f>IFERROR(VLOOKUP(S23,V8_COHORT_TABLE,4,FALSE),IFERROR(VLOOKUP(P23&amp;"|"&amp;Q23&amp;"|ALL",V8_COHORT_TABLE,4,FALSE),IFERROR(VLOOKUP(P23&amp;"|ALL|ALL",V8_COHORT_TABLE,4,FALSE),VLOOKUP("GLOBAL",V8_COHORT_TABLE,4,FALSE))))</f>
        <v/>
      </c>
      <c r="Y23" s="15">
        <f>IFERROR(VLOOKUP(S23,V8_COHORT_TABLE,5,FALSE),IFERROR(VLOOKUP(P23&amp;"|"&amp;Q23&amp;"|ALL",V8_COHORT_TABLE,5,FALSE),IFERROR(VLOOKUP(P23&amp;"|ALL|ALL",V8_COHORT_TABLE,5,FALSE),VLOOKUP("GLOBAL",V8_COHORT_TABLE,5,FALSE))))</f>
        <v/>
      </c>
      <c r="Z23" s="15">
        <f>V23+W23/(1+EXP(-(U23-X23)/Y23))</f>
        <v/>
      </c>
      <c r="AA23" s="16">
        <f>1-(1-Z23)^12</f>
        <v/>
      </c>
      <c r="AB23" s="14">
        <f>IF(K23&lt;=V8_AGE_KNOT_X_0,V8_AGE_KNOT_Y_0,IF(K23&gt;=V8_AGE_KNOT_X_5,V8_AGE_KNOT_Y_5,IF(K23&lt;=V8_AGE_KNOT_X_1,V8_AGE_KNOT_Y_0+(K23-V8_AGE_KNOT_X_0)/(V8_AGE_KNOT_X_1-V8_AGE_KNOT_X_0)*(V8_AGE_KNOT_Y_1-V8_AGE_KNOT_Y_0),IF(K23&lt;=V8_AGE_KNOT_X_2,V8_AGE_KNOT_Y_1+(K23-V8_AGE_KNOT_X_1)/(V8_AGE_KNOT_X_2-V8_AGE_KNOT_X_1)*(V8_AGE_KNOT_Y_2-V8_AGE_KNOT_Y_1),IF(K23&lt;=V8_AGE_KNOT_X_3,V8_AGE_KNOT_Y_2+(K23-V8_AGE_KNOT_X_2)/(V8_AGE_KNOT_X_3-V8_AGE_KNOT_X_2)*(V8_AGE_KNOT_Y_3-V8_AGE_KNOT_Y_2),IF(K23&lt;=V8_AGE_KNOT_X_4,V8_AGE_KNOT_Y_3+(K23-V8_AGE_KNOT_X_3)/(V8_AGE_KNOT_X_4-V8_AGE_KNOT_X_3)*(V8_AGE_KNOT_Y_4-V8_AGE_KNOT_Y_3),V8_AGE_KNOT_Y_4+(K23-V8_AGE_KNOT_X_4)/(V8_AGE_KNOT_X_5-V8_AGE_KNOT_X_4)*(V8_AGE_KNOT_Y_5-V8_AGE_KNOT_Y_4)))))))</f>
        <v/>
      </c>
      <c r="AC23" s="14">
        <f>IF(IF(OR(L23="",NOT(ISNUMBER(L23))),360,MAX(0,MIN(480,(INT(L23/100)-INT(VALUE(F23)/100))*12+MOD(L23,100)-MOD(VALUE(F23),100))))&gt;0,1+V8_MTY_AMP*MAX(0,(V8_MTY_CUTOFF-(IF(OR(L23="",NOT(ISNUMBER(L23))),360,MAX(0,MIN(480,(INT(L23/100)-INT(VALUE(F23)/100))*12+MOD(L23,100)-MOD(VALUE(F23),100))))))/V8_MTY_CUTOFF),1)</f>
        <v/>
      </c>
      <c r="AD23" s="14">
        <f>IF(AND(IF(OR(M23="",NOT(ISNUMBER(M23))),0,MAX(0,MIN(24,(INT(VALUE(F23)/100)-INT(M23/100))*12+MOD(VALUE(F23),100)-MOD(M23,100))))&gt;0,IF(OR(M23="",NOT(ISNUMBER(M23))),0,MAX(0,MIN(24,(INT(VALUE(F23)/100)-INT(M23/100))*12+MOD(VALUE(F23),100)-MOD(M23,100))))&lt;=12),1+V8_LOCKOUT_AMP*EXP(-(IF(OR(M23="",NOT(ISNUMBER(M23))),0,MAX(0,MIN(24,(INT(VALUE(F23)/100)-INT(M23/100))*12+MOD(VALUE(F23),100)-MOD(M23,100)))))/V8_LOCKOUT_TAU),1)</f>
        <v/>
      </c>
      <c r="AE23" s="14">
        <f>MAX(V8_BURN_FLOOR,1-V8_BURN_SLOPE*MIN(1,MAX(0,O23)))</f>
        <v/>
      </c>
      <c r="AF23" s="15">
        <f>MIN(Z23*AB23*AC23*AD23*AE23,0.2)</f>
        <v/>
      </c>
      <c r="AG23" s="16">
        <f>1-(1-AF23)^12</f>
        <v/>
      </c>
    </row>
    <row r="24">
      <c r="A24" s="2" t="inlineStr">
        <is>
          <t>000010522063</t>
        </is>
      </c>
      <c r="B24" t="inlineStr">
        <is>
          <t>232</t>
        </is>
      </c>
      <c r="C24" t="inlineStr">
        <is>
          <t>RP</t>
        </is>
      </c>
      <c r="D24" t="inlineStr">
        <is>
          <t>LUMENT REAL ESTATE CAPITAL,LLC</t>
        </is>
      </c>
      <c r="E24" t="n">
        <v>2015</v>
      </c>
      <c r="F24" t="inlineStr">
        <is>
          <t>202602</t>
        </is>
      </c>
      <c r="G24" s="8" t="n">
        <v>8582540.029999999</v>
      </c>
      <c r="H24" s="12" t="n">
        <v>2.8</v>
      </c>
      <c r="I24" s="13" t="n">
        <v>447</v>
      </c>
      <c r="J24" s="13" t="n">
        <v>10</v>
      </c>
      <c r="K24" t="n">
        <v>124</v>
      </c>
      <c r="L24" t="n">
        <v>205011</v>
      </c>
      <c r="M24" t="inlineStr"/>
      <c r="N24" t="n">
        <v>0</v>
      </c>
      <c r="O24" s="14" t="n">
        <v>0</v>
      </c>
      <c r="P24">
        <f>IF(ISNUMBER(SEARCH("232",B24)),"232",IF(ISNUMBER(SEARCH("538",B24)),"538",IF(ISNUMBER(SEARCH("223a7",B24)),"223a7",IF(ISNUMBER(SEARCH("223f",B24)),"223f","OTHER"))))</f>
        <v/>
      </c>
      <c r="Q24">
        <f>IF(UPPER(C24)="NC","NC","RP")</f>
        <v/>
      </c>
      <c r="R24">
        <f>IF(G24&lt;5000000,"small",IF(G24&lt;25000000,"medium","large"))</f>
        <v/>
      </c>
      <c r="S24">
        <f>P24&amp;"|"&amp;Q24&amp;"|"&amp;R24</f>
        <v/>
      </c>
      <c r="T24" s="13">
        <f>H24*100-I24</f>
        <v/>
      </c>
      <c r="U24" s="13">
        <f>T24-12.5*(J24+1)</f>
        <v/>
      </c>
      <c r="V24" s="15">
        <f>IFERROR(VLOOKUP(S24,V8_COHORT_TABLE,2,FALSE),IFERROR(VLOOKUP(P24&amp;"|"&amp;Q24&amp;"|ALL",V8_COHORT_TABLE,2,FALSE),IFERROR(VLOOKUP(P24&amp;"|ALL|ALL",V8_COHORT_TABLE,2,FALSE),VLOOKUP("GLOBAL",V8_COHORT_TABLE,2,FALSE))))</f>
        <v/>
      </c>
      <c r="W24" s="15">
        <f>IFERROR(VLOOKUP(S24,V8_COHORT_TABLE,3,FALSE),IFERROR(VLOOKUP(P24&amp;"|"&amp;Q24&amp;"|ALL",V8_COHORT_TABLE,3,FALSE),IFERROR(VLOOKUP(P24&amp;"|ALL|ALL",V8_COHORT_TABLE,3,FALSE),VLOOKUP("GLOBAL",V8_COHORT_TABLE,3,FALSE))))</f>
        <v/>
      </c>
      <c r="X24" s="15">
        <f>IFERROR(VLOOKUP(S24,V8_COHORT_TABLE,4,FALSE),IFERROR(VLOOKUP(P24&amp;"|"&amp;Q24&amp;"|ALL",V8_COHORT_TABLE,4,FALSE),IFERROR(VLOOKUP(P24&amp;"|ALL|ALL",V8_COHORT_TABLE,4,FALSE),VLOOKUP("GLOBAL",V8_COHORT_TABLE,4,FALSE))))</f>
        <v/>
      </c>
      <c r="Y24" s="15">
        <f>IFERROR(VLOOKUP(S24,V8_COHORT_TABLE,5,FALSE),IFERROR(VLOOKUP(P24&amp;"|"&amp;Q24&amp;"|ALL",V8_COHORT_TABLE,5,FALSE),IFERROR(VLOOKUP(P24&amp;"|ALL|ALL",V8_COHORT_TABLE,5,FALSE),VLOOKUP("GLOBAL",V8_COHORT_TABLE,5,FALSE))))</f>
        <v/>
      </c>
      <c r="Z24" s="15">
        <f>V24+W24/(1+EXP(-(U24-X24)/Y24))</f>
        <v/>
      </c>
      <c r="AA24" s="16">
        <f>1-(1-Z24)^12</f>
        <v/>
      </c>
      <c r="AB24" s="14">
        <f>IF(K24&lt;=V8_AGE_KNOT_X_0,V8_AGE_KNOT_Y_0,IF(K24&gt;=V8_AGE_KNOT_X_5,V8_AGE_KNOT_Y_5,IF(K24&lt;=V8_AGE_KNOT_X_1,V8_AGE_KNOT_Y_0+(K24-V8_AGE_KNOT_X_0)/(V8_AGE_KNOT_X_1-V8_AGE_KNOT_X_0)*(V8_AGE_KNOT_Y_1-V8_AGE_KNOT_Y_0),IF(K24&lt;=V8_AGE_KNOT_X_2,V8_AGE_KNOT_Y_1+(K24-V8_AGE_KNOT_X_1)/(V8_AGE_KNOT_X_2-V8_AGE_KNOT_X_1)*(V8_AGE_KNOT_Y_2-V8_AGE_KNOT_Y_1),IF(K24&lt;=V8_AGE_KNOT_X_3,V8_AGE_KNOT_Y_2+(K24-V8_AGE_KNOT_X_2)/(V8_AGE_KNOT_X_3-V8_AGE_KNOT_X_2)*(V8_AGE_KNOT_Y_3-V8_AGE_KNOT_Y_2),IF(K24&lt;=V8_AGE_KNOT_X_4,V8_AGE_KNOT_Y_3+(K24-V8_AGE_KNOT_X_3)/(V8_AGE_KNOT_X_4-V8_AGE_KNOT_X_3)*(V8_AGE_KNOT_Y_4-V8_AGE_KNOT_Y_3),V8_AGE_KNOT_Y_4+(K24-V8_AGE_KNOT_X_4)/(V8_AGE_KNOT_X_5-V8_AGE_KNOT_X_4)*(V8_AGE_KNOT_Y_5-V8_AGE_KNOT_Y_4)))))))</f>
        <v/>
      </c>
      <c r="AC24" s="14">
        <f>IF(IF(OR(L24="",NOT(ISNUMBER(L24))),360,MAX(0,MIN(480,(INT(L24/100)-INT(VALUE(F24)/100))*12+MOD(L24,100)-MOD(VALUE(F24),100))))&gt;0,1+V8_MTY_AMP*MAX(0,(V8_MTY_CUTOFF-(IF(OR(L24="",NOT(ISNUMBER(L24))),360,MAX(0,MIN(480,(INT(L24/100)-INT(VALUE(F24)/100))*12+MOD(L24,100)-MOD(VALUE(F24),100))))))/V8_MTY_CUTOFF),1)</f>
        <v/>
      </c>
      <c r="AD24" s="14">
        <f>IF(AND(IF(OR(M24="",NOT(ISNUMBER(M24))),0,MAX(0,MIN(24,(INT(VALUE(F24)/100)-INT(M24/100))*12+MOD(VALUE(F24),100)-MOD(M24,100))))&gt;0,IF(OR(M24="",NOT(ISNUMBER(M24))),0,MAX(0,MIN(24,(INT(VALUE(F24)/100)-INT(M24/100))*12+MOD(VALUE(F24),100)-MOD(M24,100))))&lt;=12),1+V8_LOCKOUT_AMP*EXP(-(IF(OR(M24="",NOT(ISNUMBER(M24))),0,MAX(0,MIN(24,(INT(VALUE(F24)/100)-INT(M24/100))*12+MOD(VALUE(F24),100)-MOD(M24,100)))))/V8_LOCKOUT_TAU),1)</f>
        <v/>
      </c>
      <c r="AE24" s="14">
        <f>MAX(V8_BURN_FLOOR,1-V8_BURN_SLOPE*MIN(1,MAX(0,O24)))</f>
        <v/>
      </c>
      <c r="AF24" s="15">
        <f>MIN(Z24*AB24*AC24*AD24*AE24,0.2)</f>
        <v/>
      </c>
      <c r="AG24" s="16">
        <f>1-(1-AF24)^12</f>
        <v/>
      </c>
    </row>
    <row r="25">
      <c r="A25" s="2" t="inlineStr">
        <is>
          <t>000012311228</t>
        </is>
      </c>
      <c r="B25" t="inlineStr">
        <is>
          <t>223f</t>
        </is>
      </c>
      <c r="C25" t="inlineStr">
        <is>
          <t>RP</t>
        </is>
      </c>
      <c r="D25" t="inlineStr">
        <is>
          <t>LUMENT REAL ESTATE CAPITAL,LLC</t>
        </is>
      </c>
      <c r="E25" t="n">
        <v>2014</v>
      </c>
      <c r="F25" t="inlineStr">
        <is>
          <t>202602</t>
        </is>
      </c>
      <c r="G25" s="8" t="n">
        <v>3346424.31</v>
      </c>
      <c r="H25" s="12" t="n">
        <v>3.69</v>
      </c>
      <c r="I25" s="13" t="n">
        <v>447</v>
      </c>
      <c r="J25" s="13" t="n">
        <v>0</v>
      </c>
      <c r="K25" t="n">
        <v>136</v>
      </c>
      <c r="L25" t="n">
        <v>205001</v>
      </c>
      <c r="M25" t="inlineStr"/>
      <c r="N25" t="n">
        <v>32</v>
      </c>
      <c r="O25" s="14" t="n">
        <v>0.2352941176470588</v>
      </c>
      <c r="P25">
        <f>IF(ISNUMBER(SEARCH("232",B25)),"232",IF(ISNUMBER(SEARCH("538",B25)),"538",IF(ISNUMBER(SEARCH("223a7",B25)),"223a7",IF(ISNUMBER(SEARCH("223f",B25)),"223f","OTHER"))))</f>
        <v/>
      </c>
      <c r="Q25">
        <f>IF(UPPER(C25)="NC","NC","RP")</f>
        <v/>
      </c>
      <c r="R25">
        <f>IF(G25&lt;5000000,"small",IF(G25&lt;25000000,"medium","large"))</f>
        <v/>
      </c>
      <c r="S25">
        <f>P25&amp;"|"&amp;Q25&amp;"|"&amp;R25</f>
        <v/>
      </c>
      <c r="T25" s="13">
        <f>H25*100-I25</f>
        <v/>
      </c>
      <c r="U25" s="13">
        <f>T25-12.5*(J25+1)</f>
        <v/>
      </c>
      <c r="V25" s="15">
        <f>IFERROR(VLOOKUP(S25,V8_COHORT_TABLE,2,FALSE),IFERROR(VLOOKUP(P25&amp;"|"&amp;Q25&amp;"|ALL",V8_COHORT_TABLE,2,FALSE),IFERROR(VLOOKUP(P25&amp;"|ALL|ALL",V8_COHORT_TABLE,2,FALSE),VLOOKUP("GLOBAL",V8_COHORT_TABLE,2,FALSE))))</f>
        <v/>
      </c>
      <c r="W25" s="15">
        <f>IFERROR(VLOOKUP(S25,V8_COHORT_TABLE,3,FALSE),IFERROR(VLOOKUP(P25&amp;"|"&amp;Q25&amp;"|ALL",V8_COHORT_TABLE,3,FALSE),IFERROR(VLOOKUP(P25&amp;"|ALL|ALL",V8_COHORT_TABLE,3,FALSE),VLOOKUP("GLOBAL",V8_COHORT_TABLE,3,FALSE))))</f>
        <v/>
      </c>
      <c r="X25" s="15">
        <f>IFERROR(VLOOKUP(S25,V8_COHORT_TABLE,4,FALSE),IFERROR(VLOOKUP(P25&amp;"|"&amp;Q25&amp;"|ALL",V8_COHORT_TABLE,4,FALSE),IFERROR(VLOOKUP(P25&amp;"|ALL|ALL",V8_COHORT_TABLE,4,FALSE),VLOOKUP("GLOBAL",V8_COHORT_TABLE,4,FALSE))))</f>
        <v/>
      </c>
      <c r="Y25" s="15">
        <f>IFERROR(VLOOKUP(S25,V8_COHORT_TABLE,5,FALSE),IFERROR(VLOOKUP(P25&amp;"|"&amp;Q25&amp;"|ALL",V8_COHORT_TABLE,5,FALSE),IFERROR(VLOOKUP(P25&amp;"|ALL|ALL",V8_COHORT_TABLE,5,FALSE),VLOOKUP("GLOBAL",V8_COHORT_TABLE,5,FALSE))))</f>
        <v/>
      </c>
      <c r="Z25" s="15">
        <f>V25+W25/(1+EXP(-(U25-X25)/Y25))</f>
        <v/>
      </c>
      <c r="AA25" s="16">
        <f>1-(1-Z25)^12</f>
        <v/>
      </c>
      <c r="AB25" s="14">
        <f>IF(K25&lt;=V8_AGE_KNOT_X_0,V8_AGE_KNOT_Y_0,IF(K25&gt;=V8_AGE_KNOT_X_5,V8_AGE_KNOT_Y_5,IF(K25&lt;=V8_AGE_KNOT_X_1,V8_AGE_KNOT_Y_0+(K25-V8_AGE_KNOT_X_0)/(V8_AGE_KNOT_X_1-V8_AGE_KNOT_X_0)*(V8_AGE_KNOT_Y_1-V8_AGE_KNOT_Y_0),IF(K25&lt;=V8_AGE_KNOT_X_2,V8_AGE_KNOT_Y_1+(K25-V8_AGE_KNOT_X_1)/(V8_AGE_KNOT_X_2-V8_AGE_KNOT_X_1)*(V8_AGE_KNOT_Y_2-V8_AGE_KNOT_Y_1),IF(K25&lt;=V8_AGE_KNOT_X_3,V8_AGE_KNOT_Y_2+(K25-V8_AGE_KNOT_X_2)/(V8_AGE_KNOT_X_3-V8_AGE_KNOT_X_2)*(V8_AGE_KNOT_Y_3-V8_AGE_KNOT_Y_2),IF(K25&lt;=V8_AGE_KNOT_X_4,V8_AGE_KNOT_Y_3+(K25-V8_AGE_KNOT_X_3)/(V8_AGE_KNOT_X_4-V8_AGE_KNOT_X_3)*(V8_AGE_KNOT_Y_4-V8_AGE_KNOT_Y_3),V8_AGE_KNOT_Y_4+(K25-V8_AGE_KNOT_X_4)/(V8_AGE_KNOT_X_5-V8_AGE_KNOT_X_4)*(V8_AGE_KNOT_Y_5-V8_AGE_KNOT_Y_4)))))))</f>
        <v/>
      </c>
      <c r="AC25" s="14">
        <f>IF(IF(OR(L25="",NOT(ISNUMBER(L25))),360,MAX(0,MIN(480,(INT(L25/100)-INT(VALUE(F25)/100))*12+MOD(L25,100)-MOD(VALUE(F25),100))))&gt;0,1+V8_MTY_AMP*MAX(0,(V8_MTY_CUTOFF-(IF(OR(L25="",NOT(ISNUMBER(L25))),360,MAX(0,MIN(480,(INT(L25/100)-INT(VALUE(F25)/100))*12+MOD(L25,100)-MOD(VALUE(F25),100))))))/V8_MTY_CUTOFF),1)</f>
        <v/>
      </c>
      <c r="AD25" s="14">
        <f>IF(AND(IF(OR(M25="",NOT(ISNUMBER(M25))),0,MAX(0,MIN(24,(INT(VALUE(F25)/100)-INT(M25/100))*12+MOD(VALUE(F25),100)-MOD(M25,100))))&gt;0,IF(OR(M25="",NOT(ISNUMBER(M25))),0,MAX(0,MIN(24,(INT(VALUE(F25)/100)-INT(M25/100))*12+MOD(VALUE(F25),100)-MOD(M25,100))))&lt;=12),1+V8_LOCKOUT_AMP*EXP(-(IF(OR(M25="",NOT(ISNUMBER(M25))),0,MAX(0,MIN(24,(INT(VALUE(F25)/100)-INT(M25/100))*12+MOD(VALUE(F25),100)-MOD(M25,100)))))/V8_LOCKOUT_TAU),1)</f>
        <v/>
      </c>
      <c r="AE25" s="14">
        <f>MAX(V8_BURN_FLOOR,1-V8_BURN_SLOPE*MIN(1,MAX(0,O25)))</f>
        <v/>
      </c>
      <c r="AF25" s="15">
        <f>MIN(Z25*AB25*AC25*AD25*AE25,0.2)</f>
        <v/>
      </c>
      <c r="AG25" s="16">
        <f>1-(1-AF25)^12</f>
        <v/>
      </c>
    </row>
    <row r="26">
      <c r="A26" s="2" t="inlineStr">
        <is>
          <t>000004335611</t>
        </is>
      </c>
      <c r="B26" t="inlineStr">
        <is>
          <t>221d4</t>
        </is>
      </c>
      <c r="C26" t="inlineStr">
        <is>
          <t>NC</t>
        </is>
      </c>
      <c r="D26" t="inlineStr">
        <is>
          <t>LUMENT REAL ESTATE CAPITAL,LLC</t>
        </is>
      </c>
      <c r="E26" t="n">
        <v>2022</v>
      </c>
      <c r="F26" t="inlineStr">
        <is>
          <t>202602</t>
        </is>
      </c>
      <c r="G26" s="8" t="n">
        <v>12731864.12</v>
      </c>
      <c r="H26" s="12" t="n">
        <v>2.47</v>
      </c>
      <c r="I26" s="13" t="n">
        <v>447</v>
      </c>
      <c r="J26" s="13" t="n">
        <v>8</v>
      </c>
      <c r="K26" t="n">
        <v>47</v>
      </c>
      <c r="L26" t="n">
        <v>206307</v>
      </c>
      <c r="M26" t="inlineStr"/>
      <c r="N26" t="n">
        <v>0</v>
      </c>
      <c r="O26" s="14" t="n">
        <v>0</v>
      </c>
      <c r="P26">
        <f>IF(ISNUMBER(SEARCH("232",B26)),"232",IF(ISNUMBER(SEARCH("538",B26)),"538",IF(ISNUMBER(SEARCH("223a7",B26)),"223a7",IF(ISNUMBER(SEARCH("223f",B26)),"223f","OTHER"))))</f>
        <v/>
      </c>
      <c r="Q26">
        <f>IF(UPPER(C26)="NC","NC","RP")</f>
        <v/>
      </c>
      <c r="R26">
        <f>IF(G26&lt;5000000,"small",IF(G26&lt;25000000,"medium","large"))</f>
        <v/>
      </c>
      <c r="S26">
        <f>P26&amp;"|"&amp;Q26&amp;"|"&amp;R26</f>
        <v/>
      </c>
      <c r="T26" s="13">
        <f>H26*100-I26</f>
        <v/>
      </c>
      <c r="U26" s="13">
        <f>T26-12.5*(J26+1)</f>
        <v/>
      </c>
      <c r="V26" s="15">
        <f>IFERROR(VLOOKUP(S26,V8_COHORT_TABLE,2,FALSE),IFERROR(VLOOKUP(P26&amp;"|"&amp;Q26&amp;"|ALL",V8_COHORT_TABLE,2,FALSE),IFERROR(VLOOKUP(P26&amp;"|ALL|ALL",V8_COHORT_TABLE,2,FALSE),VLOOKUP("GLOBAL",V8_COHORT_TABLE,2,FALSE))))</f>
        <v/>
      </c>
      <c r="W26" s="15">
        <f>IFERROR(VLOOKUP(S26,V8_COHORT_TABLE,3,FALSE),IFERROR(VLOOKUP(P26&amp;"|"&amp;Q26&amp;"|ALL",V8_COHORT_TABLE,3,FALSE),IFERROR(VLOOKUP(P26&amp;"|ALL|ALL",V8_COHORT_TABLE,3,FALSE),VLOOKUP("GLOBAL",V8_COHORT_TABLE,3,FALSE))))</f>
        <v/>
      </c>
      <c r="X26" s="15">
        <f>IFERROR(VLOOKUP(S26,V8_COHORT_TABLE,4,FALSE),IFERROR(VLOOKUP(P26&amp;"|"&amp;Q26&amp;"|ALL",V8_COHORT_TABLE,4,FALSE),IFERROR(VLOOKUP(P26&amp;"|ALL|ALL",V8_COHORT_TABLE,4,FALSE),VLOOKUP("GLOBAL",V8_COHORT_TABLE,4,FALSE))))</f>
        <v/>
      </c>
      <c r="Y26" s="15">
        <f>IFERROR(VLOOKUP(S26,V8_COHORT_TABLE,5,FALSE),IFERROR(VLOOKUP(P26&amp;"|"&amp;Q26&amp;"|ALL",V8_COHORT_TABLE,5,FALSE),IFERROR(VLOOKUP(P26&amp;"|ALL|ALL",V8_COHORT_TABLE,5,FALSE),VLOOKUP("GLOBAL",V8_COHORT_TABLE,5,FALSE))))</f>
        <v/>
      </c>
      <c r="Z26" s="15">
        <f>V26+W26/(1+EXP(-(U26-X26)/Y26))</f>
        <v/>
      </c>
      <c r="AA26" s="16">
        <f>1-(1-Z26)^12</f>
        <v/>
      </c>
      <c r="AB26" s="14">
        <f>IF(K26&lt;=V8_AGE_KNOT_X_0,V8_AGE_KNOT_Y_0,IF(K26&gt;=V8_AGE_KNOT_X_5,V8_AGE_KNOT_Y_5,IF(K26&lt;=V8_AGE_KNOT_X_1,V8_AGE_KNOT_Y_0+(K26-V8_AGE_KNOT_X_0)/(V8_AGE_KNOT_X_1-V8_AGE_KNOT_X_0)*(V8_AGE_KNOT_Y_1-V8_AGE_KNOT_Y_0),IF(K26&lt;=V8_AGE_KNOT_X_2,V8_AGE_KNOT_Y_1+(K26-V8_AGE_KNOT_X_1)/(V8_AGE_KNOT_X_2-V8_AGE_KNOT_X_1)*(V8_AGE_KNOT_Y_2-V8_AGE_KNOT_Y_1),IF(K26&lt;=V8_AGE_KNOT_X_3,V8_AGE_KNOT_Y_2+(K26-V8_AGE_KNOT_X_2)/(V8_AGE_KNOT_X_3-V8_AGE_KNOT_X_2)*(V8_AGE_KNOT_Y_3-V8_AGE_KNOT_Y_2),IF(K26&lt;=V8_AGE_KNOT_X_4,V8_AGE_KNOT_Y_3+(K26-V8_AGE_KNOT_X_3)/(V8_AGE_KNOT_X_4-V8_AGE_KNOT_X_3)*(V8_AGE_KNOT_Y_4-V8_AGE_KNOT_Y_3),V8_AGE_KNOT_Y_4+(K26-V8_AGE_KNOT_X_4)/(V8_AGE_KNOT_X_5-V8_AGE_KNOT_X_4)*(V8_AGE_KNOT_Y_5-V8_AGE_KNOT_Y_4)))))))</f>
        <v/>
      </c>
      <c r="AC26" s="14">
        <f>IF(IF(OR(L26="",NOT(ISNUMBER(L26))),360,MAX(0,MIN(480,(INT(L26/100)-INT(VALUE(F26)/100))*12+MOD(L26,100)-MOD(VALUE(F26),100))))&gt;0,1+V8_MTY_AMP*MAX(0,(V8_MTY_CUTOFF-(IF(OR(L26="",NOT(ISNUMBER(L26))),360,MAX(0,MIN(480,(INT(L26/100)-INT(VALUE(F26)/100))*12+MOD(L26,100)-MOD(VALUE(F26),100))))))/V8_MTY_CUTOFF),1)</f>
        <v/>
      </c>
      <c r="AD26" s="14">
        <f>IF(AND(IF(OR(M26="",NOT(ISNUMBER(M26))),0,MAX(0,MIN(24,(INT(VALUE(F26)/100)-INT(M26/100))*12+MOD(VALUE(F26),100)-MOD(M26,100))))&gt;0,IF(OR(M26="",NOT(ISNUMBER(M26))),0,MAX(0,MIN(24,(INT(VALUE(F26)/100)-INT(M26/100))*12+MOD(VALUE(F26),100)-MOD(M26,100))))&lt;=12),1+V8_LOCKOUT_AMP*EXP(-(IF(OR(M26="",NOT(ISNUMBER(M26))),0,MAX(0,MIN(24,(INT(VALUE(F26)/100)-INT(M26/100))*12+MOD(VALUE(F26),100)-MOD(M26,100)))))/V8_LOCKOUT_TAU),1)</f>
        <v/>
      </c>
      <c r="AE26" s="14">
        <f>MAX(V8_BURN_FLOOR,1-V8_BURN_SLOPE*MIN(1,MAX(0,O26)))</f>
        <v/>
      </c>
      <c r="AF26" s="15">
        <f>MIN(Z26*AB26*AC26*AD26*AE26,0.2)</f>
        <v/>
      </c>
      <c r="AG26" s="16">
        <f>1-(1-AF26)^12</f>
        <v/>
      </c>
    </row>
    <row r="27">
      <c r="A27" s="2" t="inlineStr">
        <is>
          <t>000004635780</t>
        </is>
      </c>
      <c r="B27" t="inlineStr">
        <is>
          <t>221d4</t>
        </is>
      </c>
      <c r="C27" t="inlineStr">
        <is>
          <t>NC</t>
        </is>
      </c>
      <c r="D27" t="inlineStr">
        <is>
          <t>LUMENT REAL ESTATE CAPITAL,LLC</t>
        </is>
      </c>
      <c r="E27" t="n">
        <v>2022</v>
      </c>
      <c r="F27" t="inlineStr">
        <is>
          <t>202602</t>
        </is>
      </c>
      <c r="G27" s="8" t="n">
        <v>9678159.77</v>
      </c>
      <c r="H27" s="12" t="n">
        <v>5.75</v>
      </c>
      <c r="I27" s="13" t="n">
        <v>447</v>
      </c>
      <c r="J27" s="13" t="n">
        <v>9</v>
      </c>
      <c r="K27" t="n">
        <v>38</v>
      </c>
      <c r="L27" t="n">
        <v>206404</v>
      </c>
      <c r="M27" t="inlineStr"/>
      <c r="N27" t="n">
        <v>1</v>
      </c>
      <c r="O27" s="14" t="n">
        <v>0.02631578947368421</v>
      </c>
      <c r="P27">
        <f>IF(ISNUMBER(SEARCH("232",B27)),"232",IF(ISNUMBER(SEARCH("538",B27)),"538",IF(ISNUMBER(SEARCH("223a7",B27)),"223a7",IF(ISNUMBER(SEARCH("223f",B27)),"223f","OTHER"))))</f>
        <v/>
      </c>
      <c r="Q27">
        <f>IF(UPPER(C27)="NC","NC","RP")</f>
        <v/>
      </c>
      <c r="R27">
        <f>IF(G27&lt;5000000,"small",IF(G27&lt;25000000,"medium","large"))</f>
        <v/>
      </c>
      <c r="S27">
        <f>P27&amp;"|"&amp;Q27&amp;"|"&amp;R27</f>
        <v/>
      </c>
      <c r="T27" s="13">
        <f>H27*100-I27</f>
        <v/>
      </c>
      <c r="U27" s="13">
        <f>T27-12.5*(J27+1)</f>
        <v/>
      </c>
      <c r="V27" s="15">
        <f>IFERROR(VLOOKUP(S27,V8_COHORT_TABLE,2,FALSE),IFERROR(VLOOKUP(P27&amp;"|"&amp;Q27&amp;"|ALL",V8_COHORT_TABLE,2,FALSE),IFERROR(VLOOKUP(P27&amp;"|ALL|ALL",V8_COHORT_TABLE,2,FALSE),VLOOKUP("GLOBAL",V8_COHORT_TABLE,2,FALSE))))</f>
        <v/>
      </c>
      <c r="W27" s="15">
        <f>IFERROR(VLOOKUP(S27,V8_COHORT_TABLE,3,FALSE),IFERROR(VLOOKUP(P27&amp;"|"&amp;Q27&amp;"|ALL",V8_COHORT_TABLE,3,FALSE),IFERROR(VLOOKUP(P27&amp;"|ALL|ALL",V8_COHORT_TABLE,3,FALSE),VLOOKUP("GLOBAL",V8_COHORT_TABLE,3,FALSE))))</f>
        <v/>
      </c>
      <c r="X27" s="15">
        <f>IFERROR(VLOOKUP(S27,V8_COHORT_TABLE,4,FALSE),IFERROR(VLOOKUP(P27&amp;"|"&amp;Q27&amp;"|ALL",V8_COHORT_TABLE,4,FALSE),IFERROR(VLOOKUP(P27&amp;"|ALL|ALL",V8_COHORT_TABLE,4,FALSE),VLOOKUP("GLOBAL",V8_COHORT_TABLE,4,FALSE))))</f>
        <v/>
      </c>
      <c r="Y27" s="15">
        <f>IFERROR(VLOOKUP(S27,V8_COHORT_TABLE,5,FALSE),IFERROR(VLOOKUP(P27&amp;"|"&amp;Q27&amp;"|ALL",V8_COHORT_TABLE,5,FALSE),IFERROR(VLOOKUP(P27&amp;"|ALL|ALL",V8_COHORT_TABLE,5,FALSE),VLOOKUP("GLOBAL",V8_COHORT_TABLE,5,FALSE))))</f>
        <v/>
      </c>
      <c r="Z27" s="15">
        <f>V27+W27/(1+EXP(-(U27-X27)/Y27))</f>
        <v/>
      </c>
      <c r="AA27" s="16">
        <f>1-(1-Z27)^12</f>
        <v/>
      </c>
      <c r="AB27" s="14">
        <f>IF(K27&lt;=V8_AGE_KNOT_X_0,V8_AGE_KNOT_Y_0,IF(K27&gt;=V8_AGE_KNOT_X_5,V8_AGE_KNOT_Y_5,IF(K27&lt;=V8_AGE_KNOT_X_1,V8_AGE_KNOT_Y_0+(K27-V8_AGE_KNOT_X_0)/(V8_AGE_KNOT_X_1-V8_AGE_KNOT_X_0)*(V8_AGE_KNOT_Y_1-V8_AGE_KNOT_Y_0),IF(K27&lt;=V8_AGE_KNOT_X_2,V8_AGE_KNOT_Y_1+(K27-V8_AGE_KNOT_X_1)/(V8_AGE_KNOT_X_2-V8_AGE_KNOT_X_1)*(V8_AGE_KNOT_Y_2-V8_AGE_KNOT_Y_1),IF(K27&lt;=V8_AGE_KNOT_X_3,V8_AGE_KNOT_Y_2+(K27-V8_AGE_KNOT_X_2)/(V8_AGE_KNOT_X_3-V8_AGE_KNOT_X_2)*(V8_AGE_KNOT_Y_3-V8_AGE_KNOT_Y_2),IF(K27&lt;=V8_AGE_KNOT_X_4,V8_AGE_KNOT_Y_3+(K27-V8_AGE_KNOT_X_3)/(V8_AGE_KNOT_X_4-V8_AGE_KNOT_X_3)*(V8_AGE_KNOT_Y_4-V8_AGE_KNOT_Y_3),V8_AGE_KNOT_Y_4+(K27-V8_AGE_KNOT_X_4)/(V8_AGE_KNOT_X_5-V8_AGE_KNOT_X_4)*(V8_AGE_KNOT_Y_5-V8_AGE_KNOT_Y_4)))))))</f>
        <v/>
      </c>
      <c r="AC27" s="14">
        <f>IF(IF(OR(L27="",NOT(ISNUMBER(L27))),360,MAX(0,MIN(480,(INT(L27/100)-INT(VALUE(F27)/100))*12+MOD(L27,100)-MOD(VALUE(F27),100))))&gt;0,1+V8_MTY_AMP*MAX(0,(V8_MTY_CUTOFF-(IF(OR(L27="",NOT(ISNUMBER(L27))),360,MAX(0,MIN(480,(INT(L27/100)-INT(VALUE(F27)/100))*12+MOD(L27,100)-MOD(VALUE(F27),100))))))/V8_MTY_CUTOFF),1)</f>
        <v/>
      </c>
      <c r="AD27" s="14">
        <f>IF(AND(IF(OR(M27="",NOT(ISNUMBER(M27))),0,MAX(0,MIN(24,(INT(VALUE(F27)/100)-INT(M27/100))*12+MOD(VALUE(F27),100)-MOD(M27,100))))&gt;0,IF(OR(M27="",NOT(ISNUMBER(M27))),0,MAX(0,MIN(24,(INT(VALUE(F27)/100)-INT(M27/100))*12+MOD(VALUE(F27),100)-MOD(M27,100))))&lt;=12),1+V8_LOCKOUT_AMP*EXP(-(IF(OR(M27="",NOT(ISNUMBER(M27))),0,MAX(0,MIN(24,(INT(VALUE(F27)/100)-INT(M27/100))*12+MOD(VALUE(F27),100)-MOD(M27,100)))))/V8_LOCKOUT_TAU),1)</f>
        <v/>
      </c>
      <c r="AE27" s="14">
        <f>MAX(V8_BURN_FLOOR,1-V8_BURN_SLOPE*MIN(1,MAX(0,O27)))</f>
        <v/>
      </c>
      <c r="AF27" s="15">
        <f>MIN(Z27*AB27*AC27*AD27*AE27,0.2)</f>
        <v/>
      </c>
      <c r="AG27" s="16">
        <f>1-(1-AF27)^12</f>
        <v/>
      </c>
    </row>
    <row r="28">
      <c r="A28" s="2" t="inlineStr">
        <is>
          <t>000005122220</t>
        </is>
      </c>
      <c r="B28" t="inlineStr">
        <is>
          <t>232</t>
        </is>
      </c>
      <c r="C28" t="inlineStr">
        <is>
          <t>RP</t>
        </is>
      </c>
      <c r="D28" t="inlineStr">
        <is>
          <t>LUMENT REAL ESTATE CAPITAL,LLC</t>
        </is>
      </c>
      <c r="E28" t="n">
        <v>2025</v>
      </c>
      <c r="F28" t="inlineStr">
        <is>
          <t>202602</t>
        </is>
      </c>
      <c r="G28" s="8" t="n">
        <v>15537179.74</v>
      </c>
      <c r="H28" s="12" t="n">
        <v>6.07</v>
      </c>
      <c r="I28" s="13" t="n">
        <v>447</v>
      </c>
      <c r="J28" s="13" t="n">
        <v>10</v>
      </c>
      <c r="K28" t="n">
        <v>12</v>
      </c>
      <c r="L28" t="n">
        <v>206003</v>
      </c>
      <c r="M28" t="inlineStr"/>
      <c r="N28" t="n">
        <v>2</v>
      </c>
      <c r="O28" s="14" t="n">
        <v>0.1666666666666667</v>
      </c>
      <c r="P28">
        <f>IF(ISNUMBER(SEARCH("232",B28)),"232",IF(ISNUMBER(SEARCH("538",B28)),"538",IF(ISNUMBER(SEARCH("223a7",B28)),"223a7",IF(ISNUMBER(SEARCH("223f",B28)),"223f","OTHER"))))</f>
        <v/>
      </c>
      <c r="Q28">
        <f>IF(UPPER(C28)="NC","NC","RP")</f>
        <v/>
      </c>
      <c r="R28">
        <f>IF(G28&lt;5000000,"small",IF(G28&lt;25000000,"medium","large"))</f>
        <v/>
      </c>
      <c r="S28">
        <f>P28&amp;"|"&amp;Q28&amp;"|"&amp;R28</f>
        <v/>
      </c>
      <c r="T28" s="13">
        <f>H28*100-I28</f>
        <v/>
      </c>
      <c r="U28" s="13">
        <f>T28-12.5*(J28+1)</f>
        <v/>
      </c>
      <c r="V28" s="15">
        <f>IFERROR(VLOOKUP(S28,V8_COHORT_TABLE,2,FALSE),IFERROR(VLOOKUP(P28&amp;"|"&amp;Q28&amp;"|ALL",V8_COHORT_TABLE,2,FALSE),IFERROR(VLOOKUP(P28&amp;"|ALL|ALL",V8_COHORT_TABLE,2,FALSE),VLOOKUP("GLOBAL",V8_COHORT_TABLE,2,FALSE))))</f>
        <v/>
      </c>
      <c r="W28" s="15">
        <f>IFERROR(VLOOKUP(S28,V8_COHORT_TABLE,3,FALSE),IFERROR(VLOOKUP(P28&amp;"|"&amp;Q28&amp;"|ALL",V8_COHORT_TABLE,3,FALSE),IFERROR(VLOOKUP(P28&amp;"|ALL|ALL",V8_COHORT_TABLE,3,FALSE),VLOOKUP("GLOBAL",V8_COHORT_TABLE,3,FALSE))))</f>
        <v/>
      </c>
      <c r="X28" s="15">
        <f>IFERROR(VLOOKUP(S28,V8_COHORT_TABLE,4,FALSE),IFERROR(VLOOKUP(P28&amp;"|"&amp;Q28&amp;"|ALL",V8_COHORT_TABLE,4,FALSE),IFERROR(VLOOKUP(P28&amp;"|ALL|ALL",V8_COHORT_TABLE,4,FALSE),VLOOKUP("GLOBAL",V8_COHORT_TABLE,4,FALSE))))</f>
        <v/>
      </c>
      <c r="Y28" s="15">
        <f>IFERROR(VLOOKUP(S28,V8_COHORT_TABLE,5,FALSE),IFERROR(VLOOKUP(P28&amp;"|"&amp;Q28&amp;"|ALL",V8_COHORT_TABLE,5,FALSE),IFERROR(VLOOKUP(P28&amp;"|ALL|ALL",V8_COHORT_TABLE,5,FALSE),VLOOKUP("GLOBAL",V8_COHORT_TABLE,5,FALSE))))</f>
        <v/>
      </c>
      <c r="Z28" s="15">
        <f>V28+W28/(1+EXP(-(U28-X28)/Y28))</f>
        <v/>
      </c>
      <c r="AA28" s="16">
        <f>1-(1-Z28)^12</f>
        <v/>
      </c>
      <c r="AB28" s="14">
        <f>IF(K28&lt;=V8_AGE_KNOT_X_0,V8_AGE_KNOT_Y_0,IF(K28&gt;=V8_AGE_KNOT_X_5,V8_AGE_KNOT_Y_5,IF(K28&lt;=V8_AGE_KNOT_X_1,V8_AGE_KNOT_Y_0+(K28-V8_AGE_KNOT_X_0)/(V8_AGE_KNOT_X_1-V8_AGE_KNOT_X_0)*(V8_AGE_KNOT_Y_1-V8_AGE_KNOT_Y_0),IF(K28&lt;=V8_AGE_KNOT_X_2,V8_AGE_KNOT_Y_1+(K28-V8_AGE_KNOT_X_1)/(V8_AGE_KNOT_X_2-V8_AGE_KNOT_X_1)*(V8_AGE_KNOT_Y_2-V8_AGE_KNOT_Y_1),IF(K28&lt;=V8_AGE_KNOT_X_3,V8_AGE_KNOT_Y_2+(K28-V8_AGE_KNOT_X_2)/(V8_AGE_KNOT_X_3-V8_AGE_KNOT_X_2)*(V8_AGE_KNOT_Y_3-V8_AGE_KNOT_Y_2),IF(K28&lt;=V8_AGE_KNOT_X_4,V8_AGE_KNOT_Y_3+(K28-V8_AGE_KNOT_X_3)/(V8_AGE_KNOT_X_4-V8_AGE_KNOT_X_3)*(V8_AGE_KNOT_Y_4-V8_AGE_KNOT_Y_3),V8_AGE_KNOT_Y_4+(K28-V8_AGE_KNOT_X_4)/(V8_AGE_KNOT_X_5-V8_AGE_KNOT_X_4)*(V8_AGE_KNOT_Y_5-V8_AGE_KNOT_Y_4)))))))</f>
        <v/>
      </c>
      <c r="AC28" s="14">
        <f>IF(IF(OR(L28="",NOT(ISNUMBER(L28))),360,MAX(0,MIN(480,(INT(L28/100)-INT(VALUE(F28)/100))*12+MOD(L28,100)-MOD(VALUE(F28),100))))&gt;0,1+V8_MTY_AMP*MAX(0,(V8_MTY_CUTOFF-(IF(OR(L28="",NOT(ISNUMBER(L28))),360,MAX(0,MIN(480,(INT(L28/100)-INT(VALUE(F28)/100))*12+MOD(L28,100)-MOD(VALUE(F28),100))))))/V8_MTY_CUTOFF),1)</f>
        <v/>
      </c>
      <c r="AD28" s="14">
        <f>IF(AND(IF(OR(M28="",NOT(ISNUMBER(M28))),0,MAX(0,MIN(24,(INT(VALUE(F28)/100)-INT(M28/100))*12+MOD(VALUE(F28),100)-MOD(M28,100))))&gt;0,IF(OR(M28="",NOT(ISNUMBER(M28))),0,MAX(0,MIN(24,(INT(VALUE(F28)/100)-INT(M28/100))*12+MOD(VALUE(F28),100)-MOD(M28,100))))&lt;=12),1+V8_LOCKOUT_AMP*EXP(-(IF(OR(M28="",NOT(ISNUMBER(M28))),0,MAX(0,MIN(24,(INT(VALUE(F28)/100)-INT(M28/100))*12+MOD(VALUE(F28),100)-MOD(M28,100)))))/V8_LOCKOUT_TAU),1)</f>
        <v/>
      </c>
      <c r="AE28" s="14">
        <f>MAX(V8_BURN_FLOOR,1-V8_BURN_SLOPE*MIN(1,MAX(0,O28)))</f>
        <v/>
      </c>
      <c r="AF28" s="15">
        <f>MIN(Z28*AB28*AC28*AD28*AE28,0.2)</f>
        <v/>
      </c>
      <c r="AG28" s="16">
        <f>1-(1-AF28)^12</f>
        <v/>
      </c>
    </row>
    <row r="29">
      <c r="A29" s="2" t="inlineStr">
        <is>
          <t>000006322064</t>
        </is>
      </c>
      <c r="B29" t="inlineStr">
        <is>
          <t>232</t>
        </is>
      </c>
      <c r="C29" t="inlineStr">
        <is>
          <t>RP</t>
        </is>
      </c>
      <c r="D29" t="inlineStr">
        <is>
          <t>LUMENT REAL ESTATE CAPITAL,LLC</t>
        </is>
      </c>
      <c r="E29" t="n">
        <v>2013</v>
      </c>
      <c r="F29" t="inlineStr">
        <is>
          <t>202602</t>
        </is>
      </c>
      <c r="G29" s="8" t="n">
        <v>8085044.96</v>
      </c>
      <c r="H29" s="12" t="n">
        <v>2.9</v>
      </c>
      <c r="I29" s="13" t="n">
        <v>447</v>
      </c>
      <c r="J29" s="13" t="n">
        <v>0</v>
      </c>
      <c r="K29" t="n">
        <v>152</v>
      </c>
      <c r="L29" t="n">
        <v>204807</v>
      </c>
      <c r="M29" t="inlineStr"/>
      <c r="N29" t="n">
        <v>25</v>
      </c>
      <c r="O29" s="14" t="n">
        <v>0.1644736842105263</v>
      </c>
      <c r="P29">
        <f>IF(ISNUMBER(SEARCH("232",B29)),"232",IF(ISNUMBER(SEARCH("538",B29)),"538",IF(ISNUMBER(SEARCH("223a7",B29)),"223a7",IF(ISNUMBER(SEARCH("223f",B29)),"223f","OTHER"))))</f>
        <v/>
      </c>
      <c r="Q29">
        <f>IF(UPPER(C29)="NC","NC","RP")</f>
        <v/>
      </c>
      <c r="R29">
        <f>IF(G29&lt;5000000,"small",IF(G29&lt;25000000,"medium","large"))</f>
        <v/>
      </c>
      <c r="S29">
        <f>P29&amp;"|"&amp;Q29&amp;"|"&amp;R29</f>
        <v/>
      </c>
      <c r="T29" s="13">
        <f>H29*100-I29</f>
        <v/>
      </c>
      <c r="U29" s="13">
        <f>T29-12.5*(J29+1)</f>
        <v/>
      </c>
      <c r="V29" s="15">
        <f>IFERROR(VLOOKUP(S29,V8_COHORT_TABLE,2,FALSE),IFERROR(VLOOKUP(P29&amp;"|"&amp;Q29&amp;"|ALL",V8_COHORT_TABLE,2,FALSE),IFERROR(VLOOKUP(P29&amp;"|ALL|ALL",V8_COHORT_TABLE,2,FALSE),VLOOKUP("GLOBAL",V8_COHORT_TABLE,2,FALSE))))</f>
        <v/>
      </c>
      <c r="W29" s="15">
        <f>IFERROR(VLOOKUP(S29,V8_COHORT_TABLE,3,FALSE),IFERROR(VLOOKUP(P29&amp;"|"&amp;Q29&amp;"|ALL",V8_COHORT_TABLE,3,FALSE),IFERROR(VLOOKUP(P29&amp;"|ALL|ALL",V8_COHORT_TABLE,3,FALSE),VLOOKUP("GLOBAL",V8_COHORT_TABLE,3,FALSE))))</f>
        <v/>
      </c>
      <c r="X29" s="15">
        <f>IFERROR(VLOOKUP(S29,V8_COHORT_TABLE,4,FALSE),IFERROR(VLOOKUP(P29&amp;"|"&amp;Q29&amp;"|ALL",V8_COHORT_TABLE,4,FALSE),IFERROR(VLOOKUP(P29&amp;"|ALL|ALL",V8_COHORT_TABLE,4,FALSE),VLOOKUP("GLOBAL",V8_COHORT_TABLE,4,FALSE))))</f>
        <v/>
      </c>
      <c r="Y29" s="15">
        <f>IFERROR(VLOOKUP(S29,V8_COHORT_TABLE,5,FALSE),IFERROR(VLOOKUP(P29&amp;"|"&amp;Q29&amp;"|ALL",V8_COHORT_TABLE,5,FALSE),IFERROR(VLOOKUP(P29&amp;"|ALL|ALL",V8_COHORT_TABLE,5,FALSE),VLOOKUP("GLOBAL",V8_COHORT_TABLE,5,FALSE))))</f>
        <v/>
      </c>
      <c r="Z29" s="15">
        <f>V29+W29/(1+EXP(-(U29-X29)/Y29))</f>
        <v/>
      </c>
      <c r="AA29" s="16">
        <f>1-(1-Z29)^12</f>
        <v/>
      </c>
      <c r="AB29" s="14">
        <f>IF(K29&lt;=V8_AGE_KNOT_X_0,V8_AGE_KNOT_Y_0,IF(K29&gt;=V8_AGE_KNOT_X_5,V8_AGE_KNOT_Y_5,IF(K29&lt;=V8_AGE_KNOT_X_1,V8_AGE_KNOT_Y_0+(K29-V8_AGE_KNOT_X_0)/(V8_AGE_KNOT_X_1-V8_AGE_KNOT_X_0)*(V8_AGE_KNOT_Y_1-V8_AGE_KNOT_Y_0),IF(K29&lt;=V8_AGE_KNOT_X_2,V8_AGE_KNOT_Y_1+(K29-V8_AGE_KNOT_X_1)/(V8_AGE_KNOT_X_2-V8_AGE_KNOT_X_1)*(V8_AGE_KNOT_Y_2-V8_AGE_KNOT_Y_1),IF(K29&lt;=V8_AGE_KNOT_X_3,V8_AGE_KNOT_Y_2+(K29-V8_AGE_KNOT_X_2)/(V8_AGE_KNOT_X_3-V8_AGE_KNOT_X_2)*(V8_AGE_KNOT_Y_3-V8_AGE_KNOT_Y_2),IF(K29&lt;=V8_AGE_KNOT_X_4,V8_AGE_KNOT_Y_3+(K29-V8_AGE_KNOT_X_3)/(V8_AGE_KNOT_X_4-V8_AGE_KNOT_X_3)*(V8_AGE_KNOT_Y_4-V8_AGE_KNOT_Y_3),V8_AGE_KNOT_Y_4+(K29-V8_AGE_KNOT_X_4)/(V8_AGE_KNOT_X_5-V8_AGE_KNOT_X_4)*(V8_AGE_KNOT_Y_5-V8_AGE_KNOT_Y_4)))))))</f>
        <v/>
      </c>
      <c r="AC29" s="14">
        <f>IF(IF(OR(L29="",NOT(ISNUMBER(L29))),360,MAX(0,MIN(480,(INT(L29/100)-INT(VALUE(F29)/100))*12+MOD(L29,100)-MOD(VALUE(F29),100))))&gt;0,1+V8_MTY_AMP*MAX(0,(V8_MTY_CUTOFF-(IF(OR(L29="",NOT(ISNUMBER(L29))),360,MAX(0,MIN(480,(INT(L29/100)-INT(VALUE(F29)/100))*12+MOD(L29,100)-MOD(VALUE(F29),100))))))/V8_MTY_CUTOFF),1)</f>
        <v/>
      </c>
      <c r="AD29" s="14">
        <f>IF(AND(IF(OR(M29="",NOT(ISNUMBER(M29))),0,MAX(0,MIN(24,(INT(VALUE(F29)/100)-INT(M29/100))*12+MOD(VALUE(F29),100)-MOD(M29,100))))&gt;0,IF(OR(M29="",NOT(ISNUMBER(M29))),0,MAX(0,MIN(24,(INT(VALUE(F29)/100)-INT(M29/100))*12+MOD(VALUE(F29),100)-MOD(M29,100))))&lt;=12),1+V8_LOCKOUT_AMP*EXP(-(IF(OR(M29="",NOT(ISNUMBER(M29))),0,MAX(0,MIN(24,(INT(VALUE(F29)/100)-INT(M29/100))*12+MOD(VALUE(F29),100)-MOD(M29,100)))))/V8_LOCKOUT_TAU),1)</f>
        <v/>
      </c>
      <c r="AE29" s="14">
        <f>MAX(V8_BURN_FLOOR,1-V8_BURN_SLOPE*MIN(1,MAX(0,O29)))</f>
        <v/>
      </c>
      <c r="AF29" s="15">
        <f>MIN(Z29*AB29*AC29*AD29*AE29,0.2)</f>
        <v/>
      </c>
      <c r="AG29" s="16">
        <f>1-(1-AF29)^12</f>
        <v/>
      </c>
    </row>
    <row r="30">
      <c r="A30" s="2" t="inlineStr">
        <is>
          <t>000007311376</t>
        </is>
      </c>
      <c r="B30" t="inlineStr">
        <is>
          <t>223f</t>
        </is>
      </c>
      <c r="C30" t="inlineStr">
        <is>
          <t>RP</t>
        </is>
      </c>
      <c r="D30" t="inlineStr">
        <is>
          <t>LUMENT REAL ESTATE CAPITAL,LLC</t>
        </is>
      </c>
      <c r="E30" t="n">
        <v>2008</v>
      </c>
      <c r="F30" t="inlineStr">
        <is>
          <t>202602</t>
        </is>
      </c>
      <c r="G30" s="8" t="n">
        <v>1740203.09</v>
      </c>
      <c r="H30" s="12" t="n">
        <v>3.65</v>
      </c>
      <c r="I30" s="13" t="n">
        <v>447</v>
      </c>
      <c r="J30" s="13" t="n">
        <v>1</v>
      </c>
      <c r="K30" t="n">
        <v>206</v>
      </c>
      <c r="L30" t="n">
        <v>204401</v>
      </c>
      <c r="M30" t="inlineStr"/>
      <c r="N30" t="n">
        <v>32</v>
      </c>
      <c r="O30" s="14" t="n">
        <v>0.1553398058252427</v>
      </c>
      <c r="P30">
        <f>IF(ISNUMBER(SEARCH("232",B30)),"232",IF(ISNUMBER(SEARCH("538",B30)),"538",IF(ISNUMBER(SEARCH("223a7",B30)),"223a7",IF(ISNUMBER(SEARCH("223f",B30)),"223f","OTHER"))))</f>
        <v/>
      </c>
      <c r="Q30">
        <f>IF(UPPER(C30)="NC","NC","RP")</f>
        <v/>
      </c>
      <c r="R30">
        <f>IF(G30&lt;5000000,"small",IF(G30&lt;25000000,"medium","large"))</f>
        <v/>
      </c>
      <c r="S30">
        <f>P30&amp;"|"&amp;Q30&amp;"|"&amp;R30</f>
        <v/>
      </c>
      <c r="T30" s="13">
        <f>H30*100-I30</f>
        <v/>
      </c>
      <c r="U30" s="13">
        <f>T30-12.5*(J30+1)</f>
        <v/>
      </c>
      <c r="V30" s="15">
        <f>IFERROR(VLOOKUP(S30,V8_COHORT_TABLE,2,FALSE),IFERROR(VLOOKUP(P30&amp;"|"&amp;Q30&amp;"|ALL",V8_COHORT_TABLE,2,FALSE),IFERROR(VLOOKUP(P30&amp;"|ALL|ALL",V8_COHORT_TABLE,2,FALSE),VLOOKUP("GLOBAL",V8_COHORT_TABLE,2,FALSE))))</f>
        <v/>
      </c>
      <c r="W30" s="15">
        <f>IFERROR(VLOOKUP(S30,V8_COHORT_TABLE,3,FALSE),IFERROR(VLOOKUP(P30&amp;"|"&amp;Q30&amp;"|ALL",V8_COHORT_TABLE,3,FALSE),IFERROR(VLOOKUP(P30&amp;"|ALL|ALL",V8_COHORT_TABLE,3,FALSE),VLOOKUP("GLOBAL",V8_COHORT_TABLE,3,FALSE))))</f>
        <v/>
      </c>
      <c r="X30" s="15">
        <f>IFERROR(VLOOKUP(S30,V8_COHORT_TABLE,4,FALSE),IFERROR(VLOOKUP(P30&amp;"|"&amp;Q30&amp;"|ALL",V8_COHORT_TABLE,4,FALSE),IFERROR(VLOOKUP(P30&amp;"|ALL|ALL",V8_COHORT_TABLE,4,FALSE),VLOOKUP("GLOBAL",V8_COHORT_TABLE,4,FALSE))))</f>
        <v/>
      </c>
      <c r="Y30" s="15">
        <f>IFERROR(VLOOKUP(S30,V8_COHORT_TABLE,5,FALSE),IFERROR(VLOOKUP(P30&amp;"|"&amp;Q30&amp;"|ALL",V8_COHORT_TABLE,5,FALSE),IFERROR(VLOOKUP(P30&amp;"|ALL|ALL",V8_COHORT_TABLE,5,FALSE),VLOOKUP("GLOBAL",V8_COHORT_TABLE,5,FALSE))))</f>
        <v/>
      </c>
      <c r="Z30" s="15">
        <f>V30+W30/(1+EXP(-(U30-X30)/Y30))</f>
        <v/>
      </c>
      <c r="AA30" s="16">
        <f>1-(1-Z30)^12</f>
        <v/>
      </c>
      <c r="AB30" s="14">
        <f>IF(K30&lt;=V8_AGE_KNOT_X_0,V8_AGE_KNOT_Y_0,IF(K30&gt;=V8_AGE_KNOT_X_5,V8_AGE_KNOT_Y_5,IF(K30&lt;=V8_AGE_KNOT_X_1,V8_AGE_KNOT_Y_0+(K30-V8_AGE_KNOT_X_0)/(V8_AGE_KNOT_X_1-V8_AGE_KNOT_X_0)*(V8_AGE_KNOT_Y_1-V8_AGE_KNOT_Y_0),IF(K30&lt;=V8_AGE_KNOT_X_2,V8_AGE_KNOT_Y_1+(K30-V8_AGE_KNOT_X_1)/(V8_AGE_KNOT_X_2-V8_AGE_KNOT_X_1)*(V8_AGE_KNOT_Y_2-V8_AGE_KNOT_Y_1),IF(K30&lt;=V8_AGE_KNOT_X_3,V8_AGE_KNOT_Y_2+(K30-V8_AGE_KNOT_X_2)/(V8_AGE_KNOT_X_3-V8_AGE_KNOT_X_2)*(V8_AGE_KNOT_Y_3-V8_AGE_KNOT_Y_2),IF(K30&lt;=V8_AGE_KNOT_X_4,V8_AGE_KNOT_Y_3+(K30-V8_AGE_KNOT_X_3)/(V8_AGE_KNOT_X_4-V8_AGE_KNOT_X_3)*(V8_AGE_KNOT_Y_4-V8_AGE_KNOT_Y_3),V8_AGE_KNOT_Y_4+(K30-V8_AGE_KNOT_X_4)/(V8_AGE_KNOT_X_5-V8_AGE_KNOT_X_4)*(V8_AGE_KNOT_Y_5-V8_AGE_KNOT_Y_4)))))))</f>
        <v/>
      </c>
      <c r="AC30" s="14">
        <f>IF(IF(OR(L30="",NOT(ISNUMBER(L30))),360,MAX(0,MIN(480,(INT(L30/100)-INT(VALUE(F30)/100))*12+MOD(L30,100)-MOD(VALUE(F30),100))))&gt;0,1+V8_MTY_AMP*MAX(0,(V8_MTY_CUTOFF-(IF(OR(L30="",NOT(ISNUMBER(L30))),360,MAX(0,MIN(480,(INT(L30/100)-INT(VALUE(F30)/100))*12+MOD(L30,100)-MOD(VALUE(F30),100))))))/V8_MTY_CUTOFF),1)</f>
        <v/>
      </c>
      <c r="AD30" s="14">
        <f>IF(AND(IF(OR(M30="",NOT(ISNUMBER(M30))),0,MAX(0,MIN(24,(INT(VALUE(F30)/100)-INT(M30/100))*12+MOD(VALUE(F30),100)-MOD(M30,100))))&gt;0,IF(OR(M30="",NOT(ISNUMBER(M30))),0,MAX(0,MIN(24,(INT(VALUE(F30)/100)-INT(M30/100))*12+MOD(VALUE(F30),100)-MOD(M30,100))))&lt;=12),1+V8_LOCKOUT_AMP*EXP(-(IF(OR(M30="",NOT(ISNUMBER(M30))),0,MAX(0,MIN(24,(INT(VALUE(F30)/100)-INT(M30/100))*12+MOD(VALUE(F30),100)-MOD(M30,100)))))/V8_LOCKOUT_TAU),1)</f>
        <v/>
      </c>
      <c r="AE30" s="14">
        <f>MAX(V8_BURN_FLOOR,1-V8_BURN_SLOPE*MIN(1,MAX(0,O30)))</f>
        <v/>
      </c>
      <c r="AF30" s="15">
        <f>MIN(Z30*AB30*AC30*AD30*AE30,0.2)</f>
        <v/>
      </c>
      <c r="AG30" s="16">
        <f>1-(1-AF30)^12</f>
        <v/>
      </c>
    </row>
    <row r="31">
      <c r="A31" s="2" t="inlineStr">
        <is>
          <t>000007222191</t>
        </is>
      </c>
      <c r="B31" t="inlineStr">
        <is>
          <t>232</t>
        </is>
      </c>
      <c r="C31" t="inlineStr">
        <is>
          <t>RP</t>
        </is>
      </c>
      <c r="D31" t="inlineStr">
        <is>
          <t>LUMENT REAL ESTATE CAPITAL,LLC</t>
        </is>
      </c>
      <c r="E31" t="n">
        <v>2020</v>
      </c>
      <c r="F31" t="inlineStr">
        <is>
          <t>202602</t>
        </is>
      </c>
      <c r="G31" s="8" t="n">
        <v>8618776.17</v>
      </c>
      <c r="H31" s="12" t="n">
        <v>2.4</v>
      </c>
      <c r="I31" s="13" t="n">
        <v>447</v>
      </c>
      <c r="J31" s="13" t="n">
        <v>5</v>
      </c>
      <c r="K31" t="n">
        <v>64</v>
      </c>
      <c r="L31" t="n">
        <v>205511</v>
      </c>
      <c r="M31" t="inlineStr"/>
      <c r="N31" t="n">
        <v>0</v>
      </c>
      <c r="O31" s="14" t="n">
        <v>0</v>
      </c>
      <c r="P31">
        <f>IF(ISNUMBER(SEARCH("232",B31)),"232",IF(ISNUMBER(SEARCH("538",B31)),"538",IF(ISNUMBER(SEARCH("223a7",B31)),"223a7",IF(ISNUMBER(SEARCH("223f",B31)),"223f","OTHER"))))</f>
        <v/>
      </c>
      <c r="Q31">
        <f>IF(UPPER(C31)="NC","NC","RP")</f>
        <v/>
      </c>
      <c r="R31">
        <f>IF(G31&lt;5000000,"small",IF(G31&lt;25000000,"medium","large"))</f>
        <v/>
      </c>
      <c r="S31">
        <f>P31&amp;"|"&amp;Q31&amp;"|"&amp;R31</f>
        <v/>
      </c>
      <c r="T31" s="13">
        <f>H31*100-I31</f>
        <v/>
      </c>
      <c r="U31" s="13">
        <f>T31-12.5*(J31+1)</f>
        <v/>
      </c>
      <c r="V31" s="15">
        <f>IFERROR(VLOOKUP(S31,V8_COHORT_TABLE,2,FALSE),IFERROR(VLOOKUP(P31&amp;"|"&amp;Q31&amp;"|ALL",V8_COHORT_TABLE,2,FALSE),IFERROR(VLOOKUP(P31&amp;"|ALL|ALL",V8_COHORT_TABLE,2,FALSE),VLOOKUP("GLOBAL",V8_COHORT_TABLE,2,FALSE))))</f>
        <v/>
      </c>
      <c r="W31" s="15">
        <f>IFERROR(VLOOKUP(S31,V8_COHORT_TABLE,3,FALSE),IFERROR(VLOOKUP(P31&amp;"|"&amp;Q31&amp;"|ALL",V8_COHORT_TABLE,3,FALSE),IFERROR(VLOOKUP(P31&amp;"|ALL|ALL",V8_COHORT_TABLE,3,FALSE),VLOOKUP("GLOBAL",V8_COHORT_TABLE,3,FALSE))))</f>
        <v/>
      </c>
      <c r="X31" s="15">
        <f>IFERROR(VLOOKUP(S31,V8_COHORT_TABLE,4,FALSE),IFERROR(VLOOKUP(P31&amp;"|"&amp;Q31&amp;"|ALL",V8_COHORT_TABLE,4,FALSE),IFERROR(VLOOKUP(P31&amp;"|ALL|ALL",V8_COHORT_TABLE,4,FALSE),VLOOKUP("GLOBAL",V8_COHORT_TABLE,4,FALSE))))</f>
        <v/>
      </c>
      <c r="Y31" s="15">
        <f>IFERROR(VLOOKUP(S31,V8_COHORT_TABLE,5,FALSE),IFERROR(VLOOKUP(P31&amp;"|"&amp;Q31&amp;"|ALL",V8_COHORT_TABLE,5,FALSE),IFERROR(VLOOKUP(P31&amp;"|ALL|ALL",V8_COHORT_TABLE,5,FALSE),VLOOKUP("GLOBAL",V8_COHORT_TABLE,5,FALSE))))</f>
        <v/>
      </c>
      <c r="Z31" s="15">
        <f>V31+W31/(1+EXP(-(U31-X31)/Y31))</f>
        <v/>
      </c>
      <c r="AA31" s="16">
        <f>1-(1-Z31)^12</f>
        <v/>
      </c>
      <c r="AB31" s="14">
        <f>IF(K31&lt;=V8_AGE_KNOT_X_0,V8_AGE_KNOT_Y_0,IF(K31&gt;=V8_AGE_KNOT_X_5,V8_AGE_KNOT_Y_5,IF(K31&lt;=V8_AGE_KNOT_X_1,V8_AGE_KNOT_Y_0+(K31-V8_AGE_KNOT_X_0)/(V8_AGE_KNOT_X_1-V8_AGE_KNOT_X_0)*(V8_AGE_KNOT_Y_1-V8_AGE_KNOT_Y_0),IF(K31&lt;=V8_AGE_KNOT_X_2,V8_AGE_KNOT_Y_1+(K31-V8_AGE_KNOT_X_1)/(V8_AGE_KNOT_X_2-V8_AGE_KNOT_X_1)*(V8_AGE_KNOT_Y_2-V8_AGE_KNOT_Y_1),IF(K31&lt;=V8_AGE_KNOT_X_3,V8_AGE_KNOT_Y_2+(K31-V8_AGE_KNOT_X_2)/(V8_AGE_KNOT_X_3-V8_AGE_KNOT_X_2)*(V8_AGE_KNOT_Y_3-V8_AGE_KNOT_Y_2),IF(K31&lt;=V8_AGE_KNOT_X_4,V8_AGE_KNOT_Y_3+(K31-V8_AGE_KNOT_X_3)/(V8_AGE_KNOT_X_4-V8_AGE_KNOT_X_3)*(V8_AGE_KNOT_Y_4-V8_AGE_KNOT_Y_3),V8_AGE_KNOT_Y_4+(K31-V8_AGE_KNOT_X_4)/(V8_AGE_KNOT_X_5-V8_AGE_KNOT_X_4)*(V8_AGE_KNOT_Y_5-V8_AGE_KNOT_Y_4)))))))</f>
        <v/>
      </c>
      <c r="AC31" s="14">
        <f>IF(IF(OR(L31="",NOT(ISNUMBER(L31))),360,MAX(0,MIN(480,(INT(L31/100)-INT(VALUE(F31)/100))*12+MOD(L31,100)-MOD(VALUE(F31),100))))&gt;0,1+V8_MTY_AMP*MAX(0,(V8_MTY_CUTOFF-(IF(OR(L31="",NOT(ISNUMBER(L31))),360,MAX(0,MIN(480,(INT(L31/100)-INT(VALUE(F31)/100))*12+MOD(L31,100)-MOD(VALUE(F31),100))))))/V8_MTY_CUTOFF),1)</f>
        <v/>
      </c>
      <c r="AD31" s="14">
        <f>IF(AND(IF(OR(M31="",NOT(ISNUMBER(M31))),0,MAX(0,MIN(24,(INT(VALUE(F31)/100)-INT(M31/100))*12+MOD(VALUE(F31),100)-MOD(M31,100))))&gt;0,IF(OR(M31="",NOT(ISNUMBER(M31))),0,MAX(0,MIN(24,(INT(VALUE(F31)/100)-INT(M31/100))*12+MOD(VALUE(F31),100)-MOD(M31,100))))&lt;=12),1+V8_LOCKOUT_AMP*EXP(-(IF(OR(M31="",NOT(ISNUMBER(M31))),0,MAX(0,MIN(24,(INT(VALUE(F31)/100)-INT(M31/100))*12+MOD(VALUE(F31),100)-MOD(M31,100)))))/V8_LOCKOUT_TAU),1)</f>
        <v/>
      </c>
      <c r="AE31" s="14">
        <f>MAX(V8_BURN_FLOOR,1-V8_BURN_SLOPE*MIN(1,MAX(0,O31)))</f>
        <v/>
      </c>
      <c r="AF31" s="15">
        <f>MIN(Z31*AB31*AC31*AD31*AE31,0.2)</f>
        <v/>
      </c>
      <c r="AG31" s="16">
        <f>1-(1-AF31)^12</f>
        <v/>
      </c>
    </row>
    <row r="32">
      <c r="A32" s="2" t="inlineStr">
        <is>
          <t>000004311278</t>
        </is>
      </c>
      <c r="B32" t="inlineStr">
        <is>
          <t>223f</t>
        </is>
      </c>
      <c r="C32" t="inlineStr">
        <is>
          <t>RP</t>
        </is>
      </c>
      <c r="D32" t="inlineStr">
        <is>
          <t>LUMENT REAL ESTATE CAPITAL,LLC</t>
        </is>
      </c>
      <c r="E32" t="n">
        <v>2021</v>
      </c>
      <c r="F32" t="inlineStr">
        <is>
          <t>202602</t>
        </is>
      </c>
      <c r="G32" s="8" t="n">
        <v>7838412.72</v>
      </c>
      <c r="H32" s="12" t="n">
        <v>2.23</v>
      </c>
      <c r="I32" s="13" t="n">
        <v>447</v>
      </c>
      <c r="J32" s="13" t="n">
        <v>6</v>
      </c>
      <c r="K32" t="n">
        <v>57</v>
      </c>
      <c r="L32" t="n">
        <v>205606</v>
      </c>
      <c r="M32" t="inlineStr"/>
      <c r="N32" t="n">
        <v>0</v>
      </c>
      <c r="O32" s="14" t="n">
        <v>0</v>
      </c>
      <c r="P32">
        <f>IF(ISNUMBER(SEARCH("232",B32)),"232",IF(ISNUMBER(SEARCH("538",B32)),"538",IF(ISNUMBER(SEARCH("223a7",B32)),"223a7",IF(ISNUMBER(SEARCH("223f",B32)),"223f","OTHER"))))</f>
        <v/>
      </c>
      <c r="Q32">
        <f>IF(UPPER(C32)="NC","NC","RP")</f>
        <v/>
      </c>
      <c r="R32">
        <f>IF(G32&lt;5000000,"small",IF(G32&lt;25000000,"medium","large"))</f>
        <v/>
      </c>
      <c r="S32">
        <f>P32&amp;"|"&amp;Q32&amp;"|"&amp;R32</f>
        <v/>
      </c>
      <c r="T32" s="13">
        <f>H32*100-I32</f>
        <v/>
      </c>
      <c r="U32" s="13">
        <f>T32-12.5*(J32+1)</f>
        <v/>
      </c>
      <c r="V32" s="15">
        <f>IFERROR(VLOOKUP(S32,V8_COHORT_TABLE,2,FALSE),IFERROR(VLOOKUP(P32&amp;"|"&amp;Q32&amp;"|ALL",V8_COHORT_TABLE,2,FALSE),IFERROR(VLOOKUP(P32&amp;"|ALL|ALL",V8_COHORT_TABLE,2,FALSE),VLOOKUP("GLOBAL",V8_COHORT_TABLE,2,FALSE))))</f>
        <v/>
      </c>
      <c r="W32" s="15">
        <f>IFERROR(VLOOKUP(S32,V8_COHORT_TABLE,3,FALSE),IFERROR(VLOOKUP(P32&amp;"|"&amp;Q32&amp;"|ALL",V8_COHORT_TABLE,3,FALSE),IFERROR(VLOOKUP(P32&amp;"|ALL|ALL",V8_COHORT_TABLE,3,FALSE),VLOOKUP("GLOBAL",V8_COHORT_TABLE,3,FALSE))))</f>
        <v/>
      </c>
      <c r="X32" s="15">
        <f>IFERROR(VLOOKUP(S32,V8_COHORT_TABLE,4,FALSE),IFERROR(VLOOKUP(P32&amp;"|"&amp;Q32&amp;"|ALL",V8_COHORT_TABLE,4,FALSE),IFERROR(VLOOKUP(P32&amp;"|ALL|ALL",V8_COHORT_TABLE,4,FALSE),VLOOKUP("GLOBAL",V8_COHORT_TABLE,4,FALSE))))</f>
        <v/>
      </c>
      <c r="Y32" s="15">
        <f>IFERROR(VLOOKUP(S32,V8_COHORT_TABLE,5,FALSE),IFERROR(VLOOKUP(P32&amp;"|"&amp;Q32&amp;"|ALL",V8_COHORT_TABLE,5,FALSE),IFERROR(VLOOKUP(P32&amp;"|ALL|ALL",V8_COHORT_TABLE,5,FALSE),VLOOKUP("GLOBAL",V8_COHORT_TABLE,5,FALSE))))</f>
        <v/>
      </c>
      <c r="Z32" s="15">
        <f>V32+W32/(1+EXP(-(U32-X32)/Y32))</f>
        <v/>
      </c>
      <c r="AA32" s="16">
        <f>1-(1-Z32)^12</f>
        <v/>
      </c>
      <c r="AB32" s="14">
        <f>IF(K32&lt;=V8_AGE_KNOT_X_0,V8_AGE_KNOT_Y_0,IF(K32&gt;=V8_AGE_KNOT_X_5,V8_AGE_KNOT_Y_5,IF(K32&lt;=V8_AGE_KNOT_X_1,V8_AGE_KNOT_Y_0+(K32-V8_AGE_KNOT_X_0)/(V8_AGE_KNOT_X_1-V8_AGE_KNOT_X_0)*(V8_AGE_KNOT_Y_1-V8_AGE_KNOT_Y_0),IF(K32&lt;=V8_AGE_KNOT_X_2,V8_AGE_KNOT_Y_1+(K32-V8_AGE_KNOT_X_1)/(V8_AGE_KNOT_X_2-V8_AGE_KNOT_X_1)*(V8_AGE_KNOT_Y_2-V8_AGE_KNOT_Y_1),IF(K32&lt;=V8_AGE_KNOT_X_3,V8_AGE_KNOT_Y_2+(K32-V8_AGE_KNOT_X_2)/(V8_AGE_KNOT_X_3-V8_AGE_KNOT_X_2)*(V8_AGE_KNOT_Y_3-V8_AGE_KNOT_Y_2),IF(K32&lt;=V8_AGE_KNOT_X_4,V8_AGE_KNOT_Y_3+(K32-V8_AGE_KNOT_X_3)/(V8_AGE_KNOT_X_4-V8_AGE_KNOT_X_3)*(V8_AGE_KNOT_Y_4-V8_AGE_KNOT_Y_3),V8_AGE_KNOT_Y_4+(K32-V8_AGE_KNOT_X_4)/(V8_AGE_KNOT_X_5-V8_AGE_KNOT_X_4)*(V8_AGE_KNOT_Y_5-V8_AGE_KNOT_Y_4)))))))</f>
        <v/>
      </c>
      <c r="AC32" s="14">
        <f>IF(IF(OR(L32="",NOT(ISNUMBER(L32))),360,MAX(0,MIN(480,(INT(L32/100)-INT(VALUE(F32)/100))*12+MOD(L32,100)-MOD(VALUE(F32),100))))&gt;0,1+V8_MTY_AMP*MAX(0,(V8_MTY_CUTOFF-(IF(OR(L32="",NOT(ISNUMBER(L32))),360,MAX(0,MIN(480,(INT(L32/100)-INT(VALUE(F32)/100))*12+MOD(L32,100)-MOD(VALUE(F32),100))))))/V8_MTY_CUTOFF),1)</f>
        <v/>
      </c>
      <c r="AD32" s="14">
        <f>IF(AND(IF(OR(M32="",NOT(ISNUMBER(M32))),0,MAX(0,MIN(24,(INT(VALUE(F32)/100)-INT(M32/100))*12+MOD(VALUE(F32),100)-MOD(M32,100))))&gt;0,IF(OR(M32="",NOT(ISNUMBER(M32))),0,MAX(0,MIN(24,(INT(VALUE(F32)/100)-INT(M32/100))*12+MOD(VALUE(F32),100)-MOD(M32,100))))&lt;=12),1+V8_LOCKOUT_AMP*EXP(-(IF(OR(M32="",NOT(ISNUMBER(M32))),0,MAX(0,MIN(24,(INT(VALUE(F32)/100)-INT(M32/100))*12+MOD(VALUE(F32),100)-MOD(M32,100)))))/V8_LOCKOUT_TAU),1)</f>
        <v/>
      </c>
      <c r="AE32" s="14">
        <f>MAX(V8_BURN_FLOOR,1-V8_BURN_SLOPE*MIN(1,MAX(0,O32)))</f>
        <v/>
      </c>
      <c r="AF32" s="15">
        <f>MIN(Z32*AB32*AC32*AD32*AE32,0.2)</f>
        <v/>
      </c>
      <c r="AG32" s="16">
        <f>1-(1-AF32)^12</f>
        <v/>
      </c>
    </row>
    <row r="33">
      <c r="A33" s="2" t="inlineStr">
        <is>
          <t>000007322280</t>
        </is>
      </c>
      <c r="B33" t="inlineStr">
        <is>
          <t>232</t>
        </is>
      </c>
      <c r="C33" t="inlineStr">
        <is>
          <t>RP</t>
        </is>
      </c>
      <c r="D33" t="inlineStr">
        <is>
          <t>LUMENT REAL ESTATE CAPITAL,LLC</t>
        </is>
      </c>
      <c r="E33" t="n">
        <v>2017</v>
      </c>
      <c r="F33" t="inlineStr">
        <is>
          <t>202602</t>
        </is>
      </c>
      <c r="G33" s="8" t="n">
        <v>16054037.47</v>
      </c>
      <c r="H33" s="12" t="n">
        <v>3.03</v>
      </c>
      <c r="I33" s="13" t="n">
        <v>447</v>
      </c>
      <c r="J33" s="13" t="n">
        <v>6</v>
      </c>
      <c r="K33" t="n">
        <v>106</v>
      </c>
      <c r="L33" t="n">
        <v>205205</v>
      </c>
      <c r="M33" t="inlineStr"/>
      <c r="N33" t="n">
        <v>0</v>
      </c>
      <c r="O33" s="14" t="n">
        <v>0</v>
      </c>
      <c r="P33">
        <f>IF(ISNUMBER(SEARCH("232",B33)),"232",IF(ISNUMBER(SEARCH("538",B33)),"538",IF(ISNUMBER(SEARCH("223a7",B33)),"223a7",IF(ISNUMBER(SEARCH("223f",B33)),"223f","OTHER"))))</f>
        <v/>
      </c>
      <c r="Q33">
        <f>IF(UPPER(C33)="NC","NC","RP")</f>
        <v/>
      </c>
      <c r="R33">
        <f>IF(G33&lt;5000000,"small",IF(G33&lt;25000000,"medium","large"))</f>
        <v/>
      </c>
      <c r="S33">
        <f>P33&amp;"|"&amp;Q33&amp;"|"&amp;R33</f>
        <v/>
      </c>
      <c r="T33" s="13">
        <f>H33*100-I33</f>
        <v/>
      </c>
      <c r="U33" s="13">
        <f>T33-12.5*(J33+1)</f>
        <v/>
      </c>
      <c r="V33" s="15">
        <f>IFERROR(VLOOKUP(S33,V8_COHORT_TABLE,2,FALSE),IFERROR(VLOOKUP(P33&amp;"|"&amp;Q33&amp;"|ALL",V8_COHORT_TABLE,2,FALSE),IFERROR(VLOOKUP(P33&amp;"|ALL|ALL",V8_COHORT_TABLE,2,FALSE),VLOOKUP("GLOBAL",V8_COHORT_TABLE,2,FALSE))))</f>
        <v/>
      </c>
      <c r="W33" s="15">
        <f>IFERROR(VLOOKUP(S33,V8_COHORT_TABLE,3,FALSE),IFERROR(VLOOKUP(P33&amp;"|"&amp;Q33&amp;"|ALL",V8_COHORT_TABLE,3,FALSE),IFERROR(VLOOKUP(P33&amp;"|ALL|ALL",V8_COHORT_TABLE,3,FALSE),VLOOKUP("GLOBAL",V8_COHORT_TABLE,3,FALSE))))</f>
        <v/>
      </c>
      <c r="X33" s="15">
        <f>IFERROR(VLOOKUP(S33,V8_COHORT_TABLE,4,FALSE),IFERROR(VLOOKUP(P33&amp;"|"&amp;Q33&amp;"|ALL",V8_COHORT_TABLE,4,FALSE),IFERROR(VLOOKUP(P33&amp;"|ALL|ALL",V8_COHORT_TABLE,4,FALSE),VLOOKUP("GLOBAL",V8_COHORT_TABLE,4,FALSE))))</f>
        <v/>
      </c>
      <c r="Y33" s="15">
        <f>IFERROR(VLOOKUP(S33,V8_COHORT_TABLE,5,FALSE),IFERROR(VLOOKUP(P33&amp;"|"&amp;Q33&amp;"|ALL",V8_COHORT_TABLE,5,FALSE),IFERROR(VLOOKUP(P33&amp;"|ALL|ALL",V8_COHORT_TABLE,5,FALSE),VLOOKUP("GLOBAL",V8_COHORT_TABLE,5,FALSE))))</f>
        <v/>
      </c>
      <c r="Z33" s="15">
        <f>V33+W33/(1+EXP(-(U33-X33)/Y33))</f>
        <v/>
      </c>
      <c r="AA33" s="16">
        <f>1-(1-Z33)^12</f>
        <v/>
      </c>
      <c r="AB33" s="14">
        <f>IF(K33&lt;=V8_AGE_KNOT_X_0,V8_AGE_KNOT_Y_0,IF(K33&gt;=V8_AGE_KNOT_X_5,V8_AGE_KNOT_Y_5,IF(K33&lt;=V8_AGE_KNOT_X_1,V8_AGE_KNOT_Y_0+(K33-V8_AGE_KNOT_X_0)/(V8_AGE_KNOT_X_1-V8_AGE_KNOT_X_0)*(V8_AGE_KNOT_Y_1-V8_AGE_KNOT_Y_0),IF(K33&lt;=V8_AGE_KNOT_X_2,V8_AGE_KNOT_Y_1+(K33-V8_AGE_KNOT_X_1)/(V8_AGE_KNOT_X_2-V8_AGE_KNOT_X_1)*(V8_AGE_KNOT_Y_2-V8_AGE_KNOT_Y_1),IF(K33&lt;=V8_AGE_KNOT_X_3,V8_AGE_KNOT_Y_2+(K33-V8_AGE_KNOT_X_2)/(V8_AGE_KNOT_X_3-V8_AGE_KNOT_X_2)*(V8_AGE_KNOT_Y_3-V8_AGE_KNOT_Y_2),IF(K33&lt;=V8_AGE_KNOT_X_4,V8_AGE_KNOT_Y_3+(K33-V8_AGE_KNOT_X_3)/(V8_AGE_KNOT_X_4-V8_AGE_KNOT_X_3)*(V8_AGE_KNOT_Y_4-V8_AGE_KNOT_Y_3),V8_AGE_KNOT_Y_4+(K33-V8_AGE_KNOT_X_4)/(V8_AGE_KNOT_X_5-V8_AGE_KNOT_X_4)*(V8_AGE_KNOT_Y_5-V8_AGE_KNOT_Y_4)))))))</f>
        <v/>
      </c>
      <c r="AC33" s="14">
        <f>IF(IF(OR(L33="",NOT(ISNUMBER(L33))),360,MAX(0,MIN(480,(INT(L33/100)-INT(VALUE(F33)/100))*12+MOD(L33,100)-MOD(VALUE(F33),100))))&gt;0,1+V8_MTY_AMP*MAX(0,(V8_MTY_CUTOFF-(IF(OR(L33="",NOT(ISNUMBER(L33))),360,MAX(0,MIN(480,(INT(L33/100)-INT(VALUE(F33)/100))*12+MOD(L33,100)-MOD(VALUE(F33),100))))))/V8_MTY_CUTOFF),1)</f>
        <v/>
      </c>
      <c r="AD33" s="14">
        <f>IF(AND(IF(OR(M33="",NOT(ISNUMBER(M33))),0,MAX(0,MIN(24,(INT(VALUE(F33)/100)-INT(M33/100))*12+MOD(VALUE(F33),100)-MOD(M33,100))))&gt;0,IF(OR(M33="",NOT(ISNUMBER(M33))),0,MAX(0,MIN(24,(INT(VALUE(F33)/100)-INT(M33/100))*12+MOD(VALUE(F33),100)-MOD(M33,100))))&lt;=12),1+V8_LOCKOUT_AMP*EXP(-(IF(OR(M33="",NOT(ISNUMBER(M33))),0,MAX(0,MIN(24,(INT(VALUE(F33)/100)-INT(M33/100))*12+MOD(VALUE(F33),100)-MOD(M33,100)))))/V8_LOCKOUT_TAU),1)</f>
        <v/>
      </c>
      <c r="AE33" s="14">
        <f>MAX(V8_BURN_FLOOR,1-V8_BURN_SLOPE*MIN(1,MAX(0,O33)))</f>
        <v/>
      </c>
      <c r="AF33" s="15">
        <f>MIN(Z33*AB33*AC33*AD33*AE33,0.2)</f>
        <v/>
      </c>
      <c r="AG33" s="16">
        <f>1-(1-AF33)^12</f>
        <v/>
      </c>
    </row>
    <row r="34">
      <c r="A34" s="2" t="inlineStr">
        <is>
          <t>000004635742</t>
        </is>
      </c>
      <c r="B34" t="inlineStr">
        <is>
          <t>221d4</t>
        </is>
      </c>
      <c r="C34" t="inlineStr">
        <is>
          <t>RP</t>
        </is>
      </c>
      <c r="D34" t="inlineStr">
        <is>
          <t>LUMENT REAL ESTATE CAPITAL,LLC</t>
        </is>
      </c>
      <c r="E34" t="n">
        <v>2013</v>
      </c>
      <c r="F34" t="inlineStr">
        <is>
          <t>202602</t>
        </is>
      </c>
      <c r="G34" s="8" t="n">
        <v>1221401.95</v>
      </c>
      <c r="H34" s="12" t="n">
        <v>3.45</v>
      </c>
      <c r="I34" s="13" t="n">
        <v>447</v>
      </c>
      <c r="J34" s="13" t="n">
        <v>0</v>
      </c>
      <c r="K34" t="n">
        <v>152</v>
      </c>
      <c r="L34" t="n">
        <v>203301</v>
      </c>
      <c r="M34" t="inlineStr"/>
      <c r="N34" t="n">
        <v>33</v>
      </c>
      <c r="O34" s="14" t="n">
        <v>0.2171052631578947</v>
      </c>
      <c r="P34">
        <f>IF(ISNUMBER(SEARCH("232",B34)),"232",IF(ISNUMBER(SEARCH("538",B34)),"538",IF(ISNUMBER(SEARCH("223a7",B34)),"223a7",IF(ISNUMBER(SEARCH("223f",B34)),"223f","OTHER"))))</f>
        <v/>
      </c>
      <c r="Q34">
        <f>IF(UPPER(C34)="NC","NC","RP")</f>
        <v/>
      </c>
      <c r="R34">
        <f>IF(G34&lt;5000000,"small",IF(G34&lt;25000000,"medium","large"))</f>
        <v/>
      </c>
      <c r="S34">
        <f>P34&amp;"|"&amp;Q34&amp;"|"&amp;R34</f>
        <v/>
      </c>
      <c r="T34" s="13">
        <f>H34*100-I34</f>
        <v/>
      </c>
      <c r="U34" s="13">
        <f>T34-12.5*(J34+1)</f>
        <v/>
      </c>
      <c r="V34" s="15">
        <f>IFERROR(VLOOKUP(S34,V8_COHORT_TABLE,2,FALSE),IFERROR(VLOOKUP(P34&amp;"|"&amp;Q34&amp;"|ALL",V8_COHORT_TABLE,2,FALSE),IFERROR(VLOOKUP(P34&amp;"|ALL|ALL",V8_COHORT_TABLE,2,FALSE),VLOOKUP("GLOBAL",V8_COHORT_TABLE,2,FALSE))))</f>
        <v/>
      </c>
      <c r="W34" s="15">
        <f>IFERROR(VLOOKUP(S34,V8_COHORT_TABLE,3,FALSE),IFERROR(VLOOKUP(P34&amp;"|"&amp;Q34&amp;"|ALL",V8_COHORT_TABLE,3,FALSE),IFERROR(VLOOKUP(P34&amp;"|ALL|ALL",V8_COHORT_TABLE,3,FALSE),VLOOKUP("GLOBAL",V8_COHORT_TABLE,3,FALSE))))</f>
        <v/>
      </c>
      <c r="X34" s="15">
        <f>IFERROR(VLOOKUP(S34,V8_COHORT_TABLE,4,FALSE),IFERROR(VLOOKUP(P34&amp;"|"&amp;Q34&amp;"|ALL",V8_COHORT_TABLE,4,FALSE),IFERROR(VLOOKUP(P34&amp;"|ALL|ALL",V8_COHORT_TABLE,4,FALSE),VLOOKUP("GLOBAL",V8_COHORT_TABLE,4,FALSE))))</f>
        <v/>
      </c>
      <c r="Y34" s="15">
        <f>IFERROR(VLOOKUP(S34,V8_COHORT_TABLE,5,FALSE),IFERROR(VLOOKUP(P34&amp;"|"&amp;Q34&amp;"|ALL",V8_COHORT_TABLE,5,FALSE),IFERROR(VLOOKUP(P34&amp;"|ALL|ALL",V8_COHORT_TABLE,5,FALSE),VLOOKUP("GLOBAL",V8_COHORT_TABLE,5,FALSE))))</f>
        <v/>
      </c>
      <c r="Z34" s="15">
        <f>V34+W34/(1+EXP(-(U34-X34)/Y34))</f>
        <v/>
      </c>
      <c r="AA34" s="16">
        <f>1-(1-Z34)^12</f>
        <v/>
      </c>
      <c r="AB34" s="14">
        <f>IF(K34&lt;=V8_AGE_KNOT_X_0,V8_AGE_KNOT_Y_0,IF(K34&gt;=V8_AGE_KNOT_X_5,V8_AGE_KNOT_Y_5,IF(K34&lt;=V8_AGE_KNOT_X_1,V8_AGE_KNOT_Y_0+(K34-V8_AGE_KNOT_X_0)/(V8_AGE_KNOT_X_1-V8_AGE_KNOT_X_0)*(V8_AGE_KNOT_Y_1-V8_AGE_KNOT_Y_0),IF(K34&lt;=V8_AGE_KNOT_X_2,V8_AGE_KNOT_Y_1+(K34-V8_AGE_KNOT_X_1)/(V8_AGE_KNOT_X_2-V8_AGE_KNOT_X_1)*(V8_AGE_KNOT_Y_2-V8_AGE_KNOT_Y_1),IF(K34&lt;=V8_AGE_KNOT_X_3,V8_AGE_KNOT_Y_2+(K34-V8_AGE_KNOT_X_2)/(V8_AGE_KNOT_X_3-V8_AGE_KNOT_X_2)*(V8_AGE_KNOT_Y_3-V8_AGE_KNOT_Y_2),IF(K34&lt;=V8_AGE_KNOT_X_4,V8_AGE_KNOT_Y_3+(K34-V8_AGE_KNOT_X_3)/(V8_AGE_KNOT_X_4-V8_AGE_KNOT_X_3)*(V8_AGE_KNOT_Y_4-V8_AGE_KNOT_Y_3),V8_AGE_KNOT_Y_4+(K34-V8_AGE_KNOT_X_4)/(V8_AGE_KNOT_X_5-V8_AGE_KNOT_X_4)*(V8_AGE_KNOT_Y_5-V8_AGE_KNOT_Y_4)))))))</f>
        <v/>
      </c>
      <c r="AC34" s="14">
        <f>IF(IF(OR(L34="",NOT(ISNUMBER(L34))),360,MAX(0,MIN(480,(INT(L34/100)-INT(VALUE(F34)/100))*12+MOD(L34,100)-MOD(VALUE(F34),100))))&gt;0,1+V8_MTY_AMP*MAX(0,(V8_MTY_CUTOFF-(IF(OR(L34="",NOT(ISNUMBER(L34))),360,MAX(0,MIN(480,(INT(L34/100)-INT(VALUE(F34)/100))*12+MOD(L34,100)-MOD(VALUE(F34),100))))))/V8_MTY_CUTOFF),1)</f>
        <v/>
      </c>
      <c r="AD34" s="14">
        <f>IF(AND(IF(OR(M34="",NOT(ISNUMBER(M34))),0,MAX(0,MIN(24,(INT(VALUE(F34)/100)-INT(M34/100))*12+MOD(VALUE(F34),100)-MOD(M34,100))))&gt;0,IF(OR(M34="",NOT(ISNUMBER(M34))),0,MAX(0,MIN(24,(INT(VALUE(F34)/100)-INT(M34/100))*12+MOD(VALUE(F34),100)-MOD(M34,100))))&lt;=12),1+V8_LOCKOUT_AMP*EXP(-(IF(OR(M34="",NOT(ISNUMBER(M34))),0,MAX(0,MIN(24,(INT(VALUE(F34)/100)-INT(M34/100))*12+MOD(VALUE(F34),100)-MOD(M34,100)))))/V8_LOCKOUT_TAU),1)</f>
        <v/>
      </c>
      <c r="AE34" s="14">
        <f>MAX(V8_BURN_FLOOR,1-V8_BURN_SLOPE*MIN(1,MAX(0,O34)))</f>
        <v/>
      </c>
      <c r="AF34" s="15">
        <f>MIN(Z34*AB34*AC34*AD34*AE34,0.2)</f>
        <v/>
      </c>
      <c r="AG34" s="16">
        <f>1-(1-AF34)^12</f>
        <v/>
      </c>
    </row>
    <row r="35">
      <c r="A35" s="2" t="inlineStr">
        <is>
          <t>000011335892</t>
        </is>
      </c>
      <c r="B35" t="inlineStr">
        <is>
          <t>221d4</t>
        </is>
      </c>
      <c r="C35" t="inlineStr">
        <is>
          <t>RP</t>
        </is>
      </c>
      <c r="D35" t="inlineStr">
        <is>
          <t>LUMENT REAL ESTATE CAPITAL,LLC</t>
        </is>
      </c>
      <c r="E35" t="n">
        <v>2020</v>
      </c>
      <c r="F35" t="inlineStr">
        <is>
          <t>202602</t>
        </is>
      </c>
      <c r="G35" s="8" t="n">
        <v>17268555.72</v>
      </c>
      <c r="H35" s="12" t="n">
        <v>2.6</v>
      </c>
      <c r="I35" s="13" t="n">
        <v>447</v>
      </c>
      <c r="J35" s="13" t="n">
        <v>5</v>
      </c>
      <c r="K35" t="n">
        <v>64</v>
      </c>
      <c r="L35" t="n">
        <v>206011</v>
      </c>
      <c r="M35" t="inlineStr"/>
      <c r="N35" t="n">
        <v>0</v>
      </c>
      <c r="O35" s="14" t="n">
        <v>0</v>
      </c>
      <c r="P35">
        <f>IF(ISNUMBER(SEARCH("232",B35)),"232",IF(ISNUMBER(SEARCH("538",B35)),"538",IF(ISNUMBER(SEARCH("223a7",B35)),"223a7",IF(ISNUMBER(SEARCH("223f",B35)),"223f","OTHER"))))</f>
        <v/>
      </c>
      <c r="Q35">
        <f>IF(UPPER(C35)="NC","NC","RP")</f>
        <v/>
      </c>
      <c r="R35">
        <f>IF(G35&lt;5000000,"small",IF(G35&lt;25000000,"medium","large"))</f>
        <v/>
      </c>
      <c r="S35">
        <f>P35&amp;"|"&amp;Q35&amp;"|"&amp;R35</f>
        <v/>
      </c>
      <c r="T35" s="13">
        <f>H35*100-I35</f>
        <v/>
      </c>
      <c r="U35" s="13">
        <f>T35-12.5*(J35+1)</f>
        <v/>
      </c>
      <c r="V35" s="15">
        <f>IFERROR(VLOOKUP(S35,V8_COHORT_TABLE,2,FALSE),IFERROR(VLOOKUP(P35&amp;"|"&amp;Q35&amp;"|ALL",V8_COHORT_TABLE,2,FALSE),IFERROR(VLOOKUP(P35&amp;"|ALL|ALL",V8_COHORT_TABLE,2,FALSE),VLOOKUP("GLOBAL",V8_COHORT_TABLE,2,FALSE))))</f>
        <v/>
      </c>
      <c r="W35" s="15">
        <f>IFERROR(VLOOKUP(S35,V8_COHORT_TABLE,3,FALSE),IFERROR(VLOOKUP(P35&amp;"|"&amp;Q35&amp;"|ALL",V8_COHORT_TABLE,3,FALSE),IFERROR(VLOOKUP(P35&amp;"|ALL|ALL",V8_COHORT_TABLE,3,FALSE),VLOOKUP("GLOBAL",V8_COHORT_TABLE,3,FALSE))))</f>
        <v/>
      </c>
      <c r="X35" s="15">
        <f>IFERROR(VLOOKUP(S35,V8_COHORT_TABLE,4,FALSE),IFERROR(VLOOKUP(P35&amp;"|"&amp;Q35&amp;"|ALL",V8_COHORT_TABLE,4,FALSE),IFERROR(VLOOKUP(P35&amp;"|ALL|ALL",V8_COHORT_TABLE,4,FALSE),VLOOKUP("GLOBAL",V8_COHORT_TABLE,4,FALSE))))</f>
        <v/>
      </c>
      <c r="Y35" s="15">
        <f>IFERROR(VLOOKUP(S35,V8_COHORT_TABLE,5,FALSE),IFERROR(VLOOKUP(P35&amp;"|"&amp;Q35&amp;"|ALL",V8_COHORT_TABLE,5,FALSE),IFERROR(VLOOKUP(P35&amp;"|ALL|ALL",V8_COHORT_TABLE,5,FALSE),VLOOKUP("GLOBAL",V8_COHORT_TABLE,5,FALSE))))</f>
        <v/>
      </c>
      <c r="Z35" s="15">
        <f>V35+W35/(1+EXP(-(U35-X35)/Y35))</f>
        <v/>
      </c>
      <c r="AA35" s="16">
        <f>1-(1-Z35)^12</f>
        <v/>
      </c>
      <c r="AB35" s="14">
        <f>IF(K35&lt;=V8_AGE_KNOT_X_0,V8_AGE_KNOT_Y_0,IF(K35&gt;=V8_AGE_KNOT_X_5,V8_AGE_KNOT_Y_5,IF(K35&lt;=V8_AGE_KNOT_X_1,V8_AGE_KNOT_Y_0+(K35-V8_AGE_KNOT_X_0)/(V8_AGE_KNOT_X_1-V8_AGE_KNOT_X_0)*(V8_AGE_KNOT_Y_1-V8_AGE_KNOT_Y_0),IF(K35&lt;=V8_AGE_KNOT_X_2,V8_AGE_KNOT_Y_1+(K35-V8_AGE_KNOT_X_1)/(V8_AGE_KNOT_X_2-V8_AGE_KNOT_X_1)*(V8_AGE_KNOT_Y_2-V8_AGE_KNOT_Y_1),IF(K35&lt;=V8_AGE_KNOT_X_3,V8_AGE_KNOT_Y_2+(K35-V8_AGE_KNOT_X_2)/(V8_AGE_KNOT_X_3-V8_AGE_KNOT_X_2)*(V8_AGE_KNOT_Y_3-V8_AGE_KNOT_Y_2),IF(K35&lt;=V8_AGE_KNOT_X_4,V8_AGE_KNOT_Y_3+(K35-V8_AGE_KNOT_X_3)/(V8_AGE_KNOT_X_4-V8_AGE_KNOT_X_3)*(V8_AGE_KNOT_Y_4-V8_AGE_KNOT_Y_3),V8_AGE_KNOT_Y_4+(K35-V8_AGE_KNOT_X_4)/(V8_AGE_KNOT_X_5-V8_AGE_KNOT_X_4)*(V8_AGE_KNOT_Y_5-V8_AGE_KNOT_Y_4)))))))</f>
        <v/>
      </c>
      <c r="AC35" s="14">
        <f>IF(IF(OR(L35="",NOT(ISNUMBER(L35))),360,MAX(0,MIN(480,(INT(L35/100)-INT(VALUE(F35)/100))*12+MOD(L35,100)-MOD(VALUE(F35),100))))&gt;0,1+V8_MTY_AMP*MAX(0,(V8_MTY_CUTOFF-(IF(OR(L35="",NOT(ISNUMBER(L35))),360,MAX(0,MIN(480,(INT(L35/100)-INT(VALUE(F35)/100))*12+MOD(L35,100)-MOD(VALUE(F35),100))))))/V8_MTY_CUTOFF),1)</f>
        <v/>
      </c>
      <c r="AD35" s="14">
        <f>IF(AND(IF(OR(M35="",NOT(ISNUMBER(M35))),0,MAX(0,MIN(24,(INT(VALUE(F35)/100)-INT(M35/100))*12+MOD(VALUE(F35),100)-MOD(M35,100))))&gt;0,IF(OR(M35="",NOT(ISNUMBER(M35))),0,MAX(0,MIN(24,(INT(VALUE(F35)/100)-INT(M35/100))*12+MOD(VALUE(F35),100)-MOD(M35,100))))&lt;=12),1+V8_LOCKOUT_AMP*EXP(-(IF(OR(M35="",NOT(ISNUMBER(M35))),0,MAX(0,MIN(24,(INT(VALUE(F35)/100)-INT(M35/100))*12+MOD(VALUE(F35),100)-MOD(M35,100)))))/V8_LOCKOUT_TAU),1)</f>
        <v/>
      </c>
      <c r="AE35" s="14">
        <f>MAX(V8_BURN_FLOOR,1-V8_BURN_SLOPE*MIN(1,MAX(0,O35)))</f>
        <v/>
      </c>
      <c r="AF35" s="15">
        <f>MIN(Z35*AB35*AC35*AD35*AE35,0.2)</f>
        <v/>
      </c>
      <c r="AG35" s="16">
        <f>1-(1-AF35)^12</f>
        <v/>
      </c>
    </row>
    <row r="36">
      <c r="A36" s="2" t="inlineStr">
        <is>
          <t>000004622096</t>
        </is>
      </c>
      <c r="B36" t="inlineStr">
        <is>
          <t>232</t>
        </is>
      </c>
      <c r="C36" t="inlineStr">
        <is>
          <t>RP</t>
        </is>
      </c>
      <c r="D36" t="inlineStr">
        <is>
          <t>LUMENT REAL ESTATE CAPITAL,LLC</t>
        </is>
      </c>
      <c r="E36" t="n">
        <v>2017</v>
      </c>
      <c r="F36" t="inlineStr">
        <is>
          <t>202602</t>
        </is>
      </c>
      <c r="G36" s="8" t="n">
        <v>13590843.4</v>
      </c>
      <c r="H36" s="12" t="n">
        <v>3.51</v>
      </c>
      <c r="I36" s="13" t="n">
        <v>447</v>
      </c>
      <c r="J36" s="13" t="n">
        <v>3</v>
      </c>
      <c r="K36" t="n">
        <v>107</v>
      </c>
      <c r="L36" t="n">
        <v>205204</v>
      </c>
      <c r="M36" t="inlineStr"/>
      <c r="N36" t="n">
        <v>25</v>
      </c>
      <c r="O36" s="14" t="n">
        <v>0.2336448598130841</v>
      </c>
      <c r="P36">
        <f>IF(ISNUMBER(SEARCH("232",B36)),"232",IF(ISNUMBER(SEARCH("538",B36)),"538",IF(ISNUMBER(SEARCH("223a7",B36)),"223a7",IF(ISNUMBER(SEARCH("223f",B36)),"223f","OTHER"))))</f>
        <v/>
      </c>
      <c r="Q36">
        <f>IF(UPPER(C36)="NC","NC","RP")</f>
        <v/>
      </c>
      <c r="R36">
        <f>IF(G36&lt;5000000,"small",IF(G36&lt;25000000,"medium","large"))</f>
        <v/>
      </c>
      <c r="S36">
        <f>P36&amp;"|"&amp;Q36&amp;"|"&amp;R36</f>
        <v/>
      </c>
      <c r="T36" s="13">
        <f>H36*100-I36</f>
        <v/>
      </c>
      <c r="U36" s="13">
        <f>T36-12.5*(J36+1)</f>
        <v/>
      </c>
      <c r="V36" s="15">
        <f>IFERROR(VLOOKUP(S36,V8_COHORT_TABLE,2,FALSE),IFERROR(VLOOKUP(P36&amp;"|"&amp;Q36&amp;"|ALL",V8_COHORT_TABLE,2,FALSE),IFERROR(VLOOKUP(P36&amp;"|ALL|ALL",V8_COHORT_TABLE,2,FALSE),VLOOKUP("GLOBAL",V8_COHORT_TABLE,2,FALSE))))</f>
        <v/>
      </c>
      <c r="W36" s="15">
        <f>IFERROR(VLOOKUP(S36,V8_COHORT_TABLE,3,FALSE),IFERROR(VLOOKUP(P36&amp;"|"&amp;Q36&amp;"|ALL",V8_COHORT_TABLE,3,FALSE),IFERROR(VLOOKUP(P36&amp;"|ALL|ALL",V8_COHORT_TABLE,3,FALSE),VLOOKUP("GLOBAL",V8_COHORT_TABLE,3,FALSE))))</f>
        <v/>
      </c>
      <c r="X36" s="15">
        <f>IFERROR(VLOOKUP(S36,V8_COHORT_TABLE,4,FALSE),IFERROR(VLOOKUP(P36&amp;"|"&amp;Q36&amp;"|ALL",V8_COHORT_TABLE,4,FALSE),IFERROR(VLOOKUP(P36&amp;"|ALL|ALL",V8_COHORT_TABLE,4,FALSE),VLOOKUP("GLOBAL",V8_COHORT_TABLE,4,FALSE))))</f>
        <v/>
      </c>
      <c r="Y36" s="15">
        <f>IFERROR(VLOOKUP(S36,V8_COHORT_TABLE,5,FALSE),IFERROR(VLOOKUP(P36&amp;"|"&amp;Q36&amp;"|ALL",V8_COHORT_TABLE,5,FALSE),IFERROR(VLOOKUP(P36&amp;"|ALL|ALL",V8_COHORT_TABLE,5,FALSE),VLOOKUP("GLOBAL",V8_COHORT_TABLE,5,FALSE))))</f>
        <v/>
      </c>
      <c r="Z36" s="15">
        <f>V36+W36/(1+EXP(-(U36-X36)/Y36))</f>
        <v/>
      </c>
      <c r="AA36" s="16">
        <f>1-(1-Z36)^12</f>
        <v/>
      </c>
      <c r="AB36" s="14">
        <f>IF(K36&lt;=V8_AGE_KNOT_X_0,V8_AGE_KNOT_Y_0,IF(K36&gt;=V8_AGE_KNOT_X_5,V8_AGE_KNOT_Y_5,IF(K36&lt;=V8_AGE_KNOT_X_1,V8_AGE_KNOT_Y_0+(K36-V8_AGE_KNOT_X_0)/(V8_AGE_KNOT_X_1-V8_AGE_KNOT_X_0)*(V8_AGE_KNOT_Y_1-V8_AGE_KNOT_Y_0),IF(K36&lt;=V8_AGE_KNOT_X_2,V8_AGE_KNOT_Y_1+(K36-V8_AGE_KNOT_X_1)/(V8_AGE_KNOT_X_2-V8_AGE_KNOT_X_1)*(V8_AGE_KNOT_Y_2-V8_AGE_KNOT_Y_1),IF(K36&lt;=V8_AGE_KNOT_X_3,V8_AGE_KNOT_Y_2+(K36-V8_AGE_KNOT_X_2)/(V8_AGE_KNOT_X_3-V8_AGE_KNOT_X_2)*(V8_AGE_KNOT_Y_3-V8_AGE_KNOT_Y_2),IF(K36&lt;=V8_AGE_KNOT_X_4,V8_AGE_KNOT_Y_3+(K36-V8_AGE_KNOT_X_3)/(V8_AGE_KNOT_X_4-V8_AGE_KNOT_X_3)*(V8_AGE_KNOT_Y_4-V8_AGE_KNOT_Y_3),V8_AGE_KNOT_Y_4+(K36-V8_AGE_KNOT_X_4)/(V8_AGE_KNOT_X_5-V8_AGE_KNOT_X_4)*(V8_AGE_KNOT_Y_5-V8_AGE_KNOT_Y_4)))))))</f>
        <v/>
      </c>
      <c r="AC36" s="14">
        <f>IF(IF(OR(L36="",NOT(ISNUMBER(L36))),360,MAX(0,MIN(480,(INT(L36/100)-INT(VALUE(F36)/100))*12+MOD(L36,100)-MOD(VALUE(F36),100))))&gt;0,1+V8_MTY_AMP*MAX(0,(V8_MTY_CUTOFF-(IF(OR(L36="",NOT(ISNUMBER(L36))),360,MAX(0,MIN(480,(INT(L36/100)-INT(VALUE(F36)/100))*12+MOD(L36,100)-MOD(VALUE(F36),100))))))/V8_MTY_CUTOFF),1)</f>
        <v/>
      </c>
      <c r="AD36" s="14">
        <f>IF(AND(IF(OR(M36="",NOT(ISNUMBER(M36))),0,MAX(0,MIN(24,(INT(VALUE(F36)/100)-INT(M36/100))*12+MOD(VALUE(F36),100)-MOD(M36,100))))&gt;0,IF(OR(M36="",NOT(ISNUMBER(M36))),0,MAX(0,MIN(24,(INT(VALUE(F36)/100)-INT(M36/100))*12+MOD(VALUE(F36),100)-MOD(M36,100))))&lt;=12),1+V8_LOCKOUT_AMP*EXP(-(IF(OR(M36="",NOT(ISNUMBER(M36))),0,MAX(0,MIN(24,(INT(VALUE(F36)/100)-INT(M36/100))*12+MOD(VALUE(F36),100)-MOD(M36,100)))))/V8_LOCKOUT_TAU),1)</f>
        <v/>
      </c>
      <c r="AE36" s="14">
        <f>MAX(V8_BURN_FLOOR,1-V8_BURN_SLOPE*MIN(1,MAX(0,O36)))</f>
        <v/>
      </c>
      <c r="AF36" s="15">
        <f>MIN(Z36*AB36*AC36*AD36*AE36,0.2)</f>
        <v/>
      </c>
      <c r="AG36" s="16">
        <f>1-(1-AF36)^12</f>
        <v/>
      </c>
    </row>
    <row r="37">
      <c r="A37" s="2" t="inlineStr">
        <is>
          <t>000008335768</t>
        </is>
      </c>
      <c r="B37" t="inlineStr">
        <is>
          <t>221d4</t>
        </is>
      </c>
      <c r="C37" t="inlineStr">
        <is>
          <t>NC</t>
        </is>
      </c>
      <c r="D37" t="inlineStr">
        <is>
          <t>LUMENT REAL ESTATE CAPITAL,LLC</t>
        </is>
      </c>
      <c r="E37" t="n">
        <v>2020</v>
      </c>
      <c r="F37" t="inlineStr">
        <is>
          <t>202602</t>
        </is>
      </c>
      <c r="G37" s="8" t="n">
        <v>8926065.5</v>
      </c>
      <c r="H37" s="12" t="n">
        <v>3.05</v>
      </c>
      <c r="I37" s="13" t="n">
        <v>447</v>
      </c>
      <c r="J37" s="13" t="n">
        <v>7</v>
      </c>
      <c r="K37" t="n">
        <v>66</v>
      </c>
      <c r="L37" t="n">
        <v>206206</v>
      </c>
      <c r="M37" t="inlineStr"/>
      <c r="N37" t="n">
        <v>0</v>
      </c>
      <c r="O37" s="14" t="n">
        <v>0</v>
      </c>
      <c r="P37">
        <f>IF(ISNUMBER(SEARCH("232",B37)),"232",IF(ISNUMBER(SEARCH("538",B37)),"538",IF(ISNUMBER(SEARCH("223a7",B37)),"223a7",IF(ISNUMBER(SEARCH("223f",B37)),"223f","OTHER"))))</f>
        <v/>
      </c>
      <c r="Q37">
        <f>IF(UPPER(C37)="NC","NC","RP")</f>
        <v/>
      </c>
      <c r="R37">
        <f>IF(G37&lt;5000000,"small",IF(G37&lt;25000000,"medium","large"))</f>
        <v/>
      </c>
      <c r="S37">
        <f>P37&amp;"|"&amp;Q37&amp;"|"&amp;R37</f>
        <v/>
      </c>
      <c r="T37" s="13">
        <f>H37*100-I37</f>
        <v/>
      </c>
      <c r="U37" s="13">
        <f>T37-12.5*(J37+1)</f>
        <v/>
      </c>
      <c r="V37" s="15">
        <f>IFERROR(VLOOKUP(S37,V8_COHORT_TABLE,2,FALSE),IFERROR(VLOOKUP(P37&amp;"|"&amp;Q37&amp;"|ALL",V8_COHORT_TABLE,2,FALSE),IFERROR(VLOOKUP(P37&amp;"|ALL|ALL",V8_COHORT_TABLE,2,FALSE),VLOOKUP("GLOBAL",V8_COHORT_TABLE,2,FALSE))))</f>
        <v/>
      </c>
      <c r="W37" s="15">
        <f>IFERROR(VLOOKUP(S37,V8_COHORT_TABLE,3,FALSE),IFERROR(VLOOKUP(P37&amp;"|"&amp;Q37&amp;"|ALL",V8_COHORT_TABLE,3,FALSE),IFERROR(VLOOKUP(P37&amp;"|ALL|ALL",V8_COHORT_TABLE,3,FALSE),VLOOKUP("GLOBAL",V8_COHORT_TABLE,3,FALSE))))</f>
        <v/>
      </c>
      <c r="X37" s="15">
        <f>IFERROR(VLOOKUP(S37,V8_COHORT_TABLE,4,FALSE),IFERROR(VLOOKUP(P37&amp;"|"&amp;Q37&amp;"|ALL",V8_COHORT_TABLE,4,FALSE),IFERROR(VLOOKUP(P37&amp;"|ALL|ALL",V8_COHORT_TABLE,4,FALSE),VLOOKUP("GLOBAL",V8_COHORT_TABLE,4,FALSE))))</f>
        <v/>
      </c>
      <c r="Y37" s="15">
        <f>IFERROR(VLOOKUP(S37,V8_COHORT_TABLE,5,FALSE),IFERROR(VLOOKUP(P37&amp;"|"&amp;Q37&amp;"|ALL",V8_COHORT_TABLE,5,FALSE),IFERROR(VLOOKUP(P37&amp;"|ALL|ALL",V8_COHORT_TABLE,5,FALSE),VLOOKUP("GLOBAL",V8_COHORT_TABLE,5,FALSE))))</f>
        <v/>
      </c>
      <c r="Z37" s="15">
        <f>V37+W37/(1+EXP(-(U37-X37)/Y37))</f>
        <v/>
      </c>
      <c r="AA37" s="16">
        <f>1-(1-Z37)^12</f>
        <v/>
      </c>
      <c r="AB37" s="14">
        <f>IF(K37&lt;=V8_AGE_KNOT_X_0,V8_AGE_KNOT_Y_0,IF(K37&gt;=V8_AGE_KNOT_X_5,V8_AGE_KNOT_Y_5,IF(K37&lt;=V8_AGE_KNOT_X_1,V8_AGE_KNOT_Y_0+(K37-V8_AGE_KNOT_X_0)/(V8_AGE_KNOT_X_1-V8_AGE_KNOT_X_0)*(V8_AGE_KNOT_Y_1-V8_AGE_KNOT_Y_0),IF(K37&lt;=V8_AGE_KNOT_X_2,V8_AGE_KNOT_Y_1+(K37-V8_AGE_KNOT_X_1)/(V8_AGE_KNOT_X_2-V8_AGE_KNOT_X_1)*(V8_AGE_KNOT_Y_2-V8_AGE_KNOT_Y_1),IF(K37&lt;=V8_AGE_KNOT_X_3,V8_AGE_KNOT_Y_2+(K37-V8_AGE_KNOT_X_2)/(V8_AGE_KNOT_X_3-V8_AGE_KNOT_X_2)*(V8_AGE_KNOT_Y_3-V8_AGE_KNOT_Y_2),IF(K37&lt;=V8_AGE_KNOT_X_4,V8_AGE_KNOT_Y_3+(K37-V8_AGE_KNOT_X_3)/(V8_AGE_KNOT_X_4-V8_AGE_KNOT_X_3)*(V8_AGE_KNOT_Y_4-V8_AGE_KNOT_Y_3),V8_AGE_KNOT_Y_4+(K37-V8_AGE_KNOT_X_4)/(V8_AGE_KNOT_X_5-V8_AGE_KNOT_X_4)*(V8_AGE_KNOT_Y_5-V8_AGE_KNOT_Y_4)))))))</f>
        <v/>
      </c>
      <c r="AC37" s="14">
        <f>IF(IF(OR(L37="",NOT(ISNUMBER(L37))),360,MAX(0,MIN(480,(INT(L37/100)-INT(VALUE(F37)/100))*12+MOD(L37,100)-MOD(VALUE(F37),100))))&gt;0,1+V8_MTY_AMP*MAX(0,(V8_MTY_CUTOFF-(IF(OR(L37="",NOT(ISNUMBER(L37))),360,MAX(0,MIN(480,(INT(L37/100)-INT(VALUE(F37)/100))*12+MOD(L37,100)-MOD(VALUE(F37),100))))))/V8_MTY_CUTOFF),1)</f>
        <v/>
      </c>
      <c r="AD37" s="14">
        <f>IF(AND(IF(OR(M37="",NOT(ISNUMBER(M37))),0,MAX(0,MIN(24,(INT(VALUE(F37)/100)-INT(M37/100))*12+MOD(VALUE(F37),100)-MOD(M37,100))))&gt;0,IF(OR(M37="",NOT(ISNUMBER(M37))),0,MAX(0,MIN(24,(INT(VALUE(F37)/100)-INT(M37/100))*12+MOD(VALUE(F37),100)-MOD(M37,100))))&lt;=12),1+V8_LOCKOUT_AMP*EXP(-(IF(OR(M37="",NOT(ISNUMBER(M37))),0,MAX(0,MIN(24,(INT(VALUE(F37)/100)-INT(M37/100))*12+MOD(VALUE(F37),100)-MOD(M37,100)))))/V8_LOCKOUT_TAU),1)</f>
        <v/>
      </c>
      <c r="AE37" s="14">
        <f>MAX(V8_BURN_FLOOR,1-V8_BURN_SLOPE*MIN(1,MAX(0,O37)))</f>
        <v/>
      </c>
      <c r="AF37" s="15">
        <f>MIN(Z37*AB37*AC37*AD37*AE37,0.2)</f>
        <v/>
      </c>
      <c r="AG37" s="16">
        <f>1-(1-AF37)^12</f>
        <v/>
      </c>
    </row>
    <row r="38">
      <c r="A38" s="2" t="inlineStr">
        <is>
          <t>000006535598</t>
        </is>
      </c>
      <c r="B38" t="inlineStr">
        <is>
          <t>221d4</t>
        </is>
      </c>
      <c r="C38" t="inlineStr">
        <is>
          <t>RP</t>
        </is>
      </c>
      <c r="D38" t="inlineStr">
        <is>
          <t>BERKADIA COMMERCIAL MORTGAGE, LLC</t>
        </is>
      </c>
      <c r="E38" t="n">
        <v>2003</v>
      </c>
      <c r="F38" t="inlineStr">
        <is>
          <t>202602</t>
        </is>
      </c>
      <c r="G38" s="8" t="n">
        <v>500721.89</v>
      </c>
      <c r="H38" s="12" t="n">
        <v>2.45</v>
      </c>
      <c r="I38" s="13" t="n">
        <v>447</v>
      </c>
      <c r="J38" s="13" t="n">
        <v>6</v>
      </c>
      <c r="K38" t="n">
        <v>268</v>
      </c>
      <c r="L38" t="n">
        <v>203311</v>
      </c>
      <c r="M38" t="inlineStr"/>
      <c r="N38" t="n">
        <v>13</v>
      </c>
      <c r="O38" s="14" t="n">
        <v>0.04850746268656717</v>
      </c>
      <c r="P38">
        <f>IF(ISNUMBER(SEARCH("232",B38)),"232",IF(ISNUMBER(SEARCH("538",B38)),"538",IF(ISNUMBER(SEARCH("223a7",B38)),"223a7",IF(ISNUMBER(SEARCH("223f",B38)),"223f","OTHER"))))</f>
        <v/>
      </c>
      <c r="Q38">
        <f>IF(UPPER(C38)="NC","NC","RP")</f>
        <v/>
      </c>
      <c r="R38">
        <f>IF(G38&lt;5000000,"small",IF(G38&lt;25000000,"medium","large"))</f>
        <v/>
      </c>
      <c r="S38">
        <f>P38&amp;"|"&amp;Q38&amp;"|"&amp;R38</f>
        <v/>
      </c>
      <c r="T38" s="13">
        <f>H38*100-I38</f>
        <v/>
      </c>
      <c r="U38" s="13">
        <f>T38-12.5*(J38+1)</f>
        <v/>
      </c>
      <c r="V38" s="15">
        <f>IFERROR(VLOOKUP(S38,V8_COHORT_TABLE,2,FALSE),IFERROR(VLOOKUP(P38&amp;"|"&amp;Q38&amp;"|ALL",V8_COHORT_TABLE,2,FALSE),IFERROR(VLOOKUP(P38&amp;"|ALL|ALL",V8_COHORT_TABLE,2,FALSE),VLOOKUP("GLOBAL",V8_COHORT_TABLE,2,FALSE))))</f>
        <v/>
      </c>
      <c r="W38" s="15">
        <f>IFERROR(VLOOKUP(S38,V8_COHORT_TABLE,3,FALSE),IFERROR(VLOOKUP(P38&amp;"|"&amp;Q38&amp;"|ALL",V8_COHORT_TABLE,3,FALSE),IFERROR(VLOOKUP(P38&amp;"|ALL|ALL",V8_COHORT_TABLE,3,FALSE),VLOOKUP("GLOBAL",V8_COHORT_TABLE,3,FALSE))))</f>
        <v/>
      </c>
      <c r="X38" s="15">
        <f>IFERROR(VLOOKUP(S38,V8_COHORT_TABLE,4,FALSE),IFERROR(VLOOKUP(P38&amp;"|"&amp;Q38&amp;"|ALL",V8_COHORT_TABLE,4,FALSE),IFERROR(VLOOKUP(P38&amp;"|ALL|ALL",V8_COHORT_TABLE,4,FALSE),VLOOKUP("GLOBAL",V8_COHORT_TABLE,4,FALSE))))</f>
        <v/>
      </c>
      <c r="Y38" s="15">
        <f>IFERROR(VLOOKUP(S38,V8_COHORT_TABLE,5,FALSE),IFERROR(VLOOKUP(P38&amp;"|"&amp;Q38&amp;"|ALL",V8_COHORT_TABLE,5,FALSE),IFERROR(VLOOKUP(P38&amp;"|ALL|ALL",V8_COHORT_TABLE,5,FALSE),VLOOKUP("GLOBAL",V8_COHORT_TABLE,5,FALSE))))</f>
        <v/>
      </c>
      <c r="Z38" s="15">
        <f>V38+W38/(1+EXP(-(U38-X38)/Y38))</f>
        <v/>
      </c>
      <c r="AA38" s="16">
        <f>1-(1-Z38)^12</f>
        <v/>
      </c>
      <c r="AB38" s="14">
        <f>IF(K38&lt;=V8_AGE_KNOT_X_0,V8_AGE_KNOT_Y_0,IF(K38&gt;=V8_AGE_KNOT_X_5,V8_AGE_KNOT_Y_5,IF(K38&lt;=V8_AGE_KNOT_X_1,V8_AGE_KNOT_Y_0+(K38-V8_AGE_KNOT_X_0)/(V8_AGE_KNOT_X_1-V8_AGE_KNOT_X_0)*(V8_AGE_KNOT_Y_1-V8_AGE_KNOT_Y_0),IF(K38&lt;=V8_AGE_KNOT_X_2,V8_AGE_KNOT_Y_1+(K38-V8_AGE_KNOT_X_1)/(V8_AGE_KNOT_X_2-V8_AGE_KNOT_X_1)*(V8_AGE_KNOT_Y_2-V8_AGE_KNOT_Y_1),IF(K38&lt;=V8_AGE_KNOT_X_3,V8_AGE_KNOT_Y_2+(K38-V8_AGE_KNOT_X_2)/(V8_AGE_KNOT_X_3-V8_AGE_KNOT_X_2)*(V8_AGE_KNOT_Y_3-V8_AGE_KNOT_Y_2),IF(K38&lt;=V8_AGE_KNOT_X_4,V8_AGE_KNOT_Y_3+(K38-V8_AGE_KNOT_X_3)/(V8_AGE_KNOT_X_4-V8_AGE_KNOT_X_3)*(V8_AGE_KNOT_Y_4-V8_AGE_KNOT_Y_3),V8_AGE_KNOT_Y_4+(K38-V8_AGE_KNOT_X_4)/(V8_AGE_KNOT_X_5-V8_AGE_KNOT_X_4)*(V8_AGE_KNOT_Y_5-V8_AGE_KNOT_Y_4)))))))</f>
        <v/>
      </c>
      <c r="AC38" s="14">
        <f>IF(IF(OR(L38="",NOT(ISNUMBER(L38))),360,MAX(0,MIN(480,(INT(L38/100)-INT(VALUE(F38)/100))*12+MOD(L38,100)-MOD(VALUE(F38),100))))&gt;0,1+V8_MTY_AMP*MAX(0,(V8_MTY_CUTOFF-(IF(OR(L38="",NOT(ISNUMBER(L38))),360,MAX(0,MIN(480,(INT(L38/100)-INT(VALUE(F38)/100))*12+MOD(L38,100)-MOD(VALUE(F38),100))))))/V8_MTY_CUTOFF),1)</f>
        <v/>
      </c>
      <c r="AD38" s="14">
        <f>IF(AND(IF(OR(M38="",NOT(ISNUMBER(M38))),0,MAX(0,MIN(24,(INT(VALUE(F38)/100)-INT(M38/100))*12+MOD(VALUE(F38),100)-MOD(M38,100))))&gt;0,IF(OR(M38="",NOT(ISNUMBER(M38))),0,MAX(0,MIN(24,(INT(VALUE(F38)/100)-INT(M38/100))*12+MOD(VALUE(F38),100)-MOD(M38,100))))&lt;=12),1+V8_LOCKOUT_AMP*EXP(-(IF(OR(M38="",NOT(ISNUMBER(M38))),0,MAX(0,MIN(24,(INT(VALUE(F38)/100)-INT(M38/100))*12+MOD(VALUE(F38),100)-MOD(M38,100)))))/V8_LOCKOUT_TAU),1)</f>
        <v/>
      </c>
      <c r="AE38" s="14">
        <f>MAX(V8_BURN_FLOOR,1-V8_BURN_SLOPE*MIN(1,MAX(0,O38)))</f>
        <v/>
      </c>
      <c r="AF38" s="15">
        <f>MIN(Z38*AB38*AC38*AD38*AE38,0.2)</f>
        <v/>
      </c>
      <c r="AG38" s="16">
        <f>1-(1-AF38)^12</f>
        <v/>
      </c>
    </row>
    <row r="39">
      <c r="A39" s="2" t="inlineStr">
        <is>
          <t>000007111384</t>
        </is>
      </c>
      <c r="B39" t="inlineStr">
        <is>
          <t>223f</t>
        </is>
      </c>
      <c r="C39" t="inlineStr">
        <is>
          <t>RP</t>
        </is>
      </c>
      <c r="D39" t="inlineStr">
        <is>
          <t>BERKADIA COMMERCIAL MORTGAGE, LLC</t>
        </is>
      </c>
      <c r="E39" t="n">
        <v>2015</v>
      </c>
      <c r="F39" t="inlineStr">
        <is>
          <t>202602</t>
        </is>
      </c>
      <c r="G39" s="8" t="n">
        <v>3434607.45</v>
      </c>
      <c r="H39" s="12" t="n">
        <v>3.25</v>
      </c>
      <c r="I39" s="13" t="n">
        <v>447</v>
      </c>
      <c r="J39" s="13" t="n">
        <v>0</v>
      </c>
      <c r="K39" t="n">
        <v>125</v>
      </c>
      <c r="L39" t="n">
        <v>205101</v>
      </c>
      <c r="M39" t="inlineStr"/>
      <c r="N39" t="n">
        <v>25</v>
      </c>
      <c r="O39" s="14" t="n">
        <v>0.2</v>
      </c>
      <c r="P39">
        <f>IF(ISNUMBER(SEARCH("232",B39)),"232",IF(ISNUMBER(SEARCH("538",B39)),"538",IF(ISNUMBER(SEARCH("223a7",B39)),"223a7",IF(ISNUMBER(SEARCH("223f",B39)),"223f","OTHER"))))</f>
        <v/>
      </c>
      <c r="Q39">
        <f>IF(UPPER(C39)="NC","NC","RP")</f>
        <v/>
      </c>
      <c r="R39">
        <f>IF(G39&lt;5000000,"small",IF(G39&lt;25000000,"medium","large"))</f>
        <v/>
      </c>
      <c r="S39">
        <f>P39&amp;"|"&amp;Q39&amp;"|"&amp;R39</f>
        <v/>
      </c>
      <c r="T39" s="13">
        <f>H39*100-I39</f>
        <v/>
      </c>
      <c r="U39" s="13">
        <f>T39-12.5*(J39+1)</f>
        <v/>
      </c>
      <c r="V39" s="15">
        <f>IFERROR(VLOOKUP(S39,V8_COHORT_TABLE,2,FALSE),IFERROR(VLOOKUP(P39&amp;"|"&amp;Q39&amp;"|ALL",V8_COHORT_TABLE,2,FALSE),IFERROR(VLOOKUP(P39&amp;"|ALL|ALL",V8_COHORT_TABLE,2,FALSE),VLOOKUP("GLOBAL",V8_COHORT_TABLE,2,FALSE))))</f>
        <v/>
      </c>
      <c r="W39" s="15">
        <f>IFERROR(VLOOKUP(S39,V8_COHORT_TABLE,3,FALSE),IFERROR(VLOOKUP(P39&amp;"|"&amp;Q39&amp;"|ALL",V8_COHORT_TABLE,3,FALSE),IFERROR(VLOOKUP(P39&amp;"|ALL|ALL",V8_COHORT_TABLE,3,FALSE),VLOOKUP("GLOBAL",V8_COHORT_TABLE,3,FALSE))))</f>
        <v/>
      </c>
      <c r="X39" s="15">
        <f>IFERROR(VLOOKUP(S39,V8_COHORT_TABLE,4,FALSE),IFERROR(VLOOKUP(P39&amp;"|"&amp;Q39&amp;"|ALL",V8_COHORT_TABLE,4,FALSE),IFERROR(VLOOKUP(P39&amp;"|ALL|ALL",V8_COHORT_TABLE,4,FALSE),VLOOKUP("GLOBAL",V8_COHORT_TABLE,4,FALSE))))</f>
        <v/>
      </c>
      <c r="Y39" s="15">
        <f>IFERROR(VLOOKUP(S39,V8_COHORT_TABLE,5,FALSE),IFERROR(VLOOKUP(P39&amp;"|"&amp;Q39&amp;"|ALL",V8_COHORT_TABLE,5,FALSE),IFERROR(VLOOKUP(P39&amp;"|ALL|ALL",V8_COHORT_TABLE,5,FALSE),VLOOKUP("GLOBAL",V8_COHORT_TABLE,5,FALSE))))</f>
        <v/>
      </c>
      <c r="Z39" s="15">
        <f>V39+W39/(1+EXP(-(U39-X39)/Y39))</f>
        <v/>
      </c>
      <c r="AA39" s="16">
        <f>1-(1-Z39)^12</f>
        <v/>
      </c>
      <c r="AB39" s="14">
        <f>IF(K39&lt;=V8_AGE_KNOT_X_0,V8_AGE_KNOT_Y_0,IF(K39&gt;=V8_AGE_KNOT_X_5,V8_AGE_KNOT_Y_5,IF(K39&lt;=V8_AGE_KNOT_X_1,V8_AGE_KNOT_Y_0+(K39-V8_AGE_KNOT_X_0)/(V8_AGE_KNOT_X_1-V8_AGE_KNOT_X_0)*(V8_AGE_KNOT_Y_1-V8_AGE_KNOT_Y_0),IF(K39&lt;=V8_AGE_KNOT_X_2,V8_AGE_KNOT_Y_1+(K39-V8_AGE_KNOT_X_1)/(V8_AGE_KNOT_X_2-V8_AGE_KNOT_X_1)*(V8_AGE_KNOT_Y_2-V8_AGE_KNOT_Y_1),IF(K39&lt;=V8_AGE_KNOT_X_3,V8_AGE_KNOT_Y_2+(K39-V8_AGE_KNOT_X_2)/(V8_AGE_KNOT_X_3-V8_AGE_KNOT_X_2)*(V8_AGE_KNOT_Y_3-V8_AGE_KNOT_Y_2),IF(K39&lt;=V8_AGE_KNOT_X_4,V8_AGE_KNOT_Y_3+(K39-V8_AGE_KNOT_X_3)/(V8_AGE_KNOT_X_4-V8_AGE_KNOT_X_3)*(V8_AGE_KNOT_Y_4-V8_AGE_KNOT_Y_3),V8_AGE_KNOT_Y_4+(K39-V8_AGE_KNOT_X_4)/(V8_AGE_KNOT_X_5-V8_AGE_KNOT_X_4)*(V8_AGE_KNOT_Y_5-V8_AGE_KNOT_Y_4)))))))</f>
        <v/>
      </c>
      <c r="AC39" s="14">
        <f>IF(IF(OR(L39="",NOT(ISNUMBER(L39))),360,MAX(0,MIN(480,(INT(L39/100)-INT(VALUE(F39)/100))*12+MOD(L39,100)-MOD(VALUE(F39),100))))&gt;0,1+V8_MTY_AMP*MAX(0,(V8_MTY_CUTOFF-(IF(OR(L39="",NOT(ISNUMBER(L39))),360,MAX(0,MIN(480,(INT(L39/100)-INT(VALUE(F39)/100))*12+MOD(L39,100)-MOD(VALUE(F39),100))))))/V8_MTY_CUTOFF),1)</f>
        <v/>
      </c>
      <c r="AD39" s="14">
        <f>IF(AND(IF(OR(M39="",NOT(ISNUMBER(M39))),0,MAX(0,MIN(24,(INT(VALUE(F39)/100)-INT(M39/100))*12+MOD(VALUE(F39),100)-MOD(M39,100))))&gt;0,IF(OR(M39="",NOT(ISNUMBER(M39))),0,MAX(0,MIN(24,(INT(VALUE(F39)/100)-INT(M39/100))*12+MOD(VALUE(F39),100)-MOD(M39,100))))&lt;=12),1+V8_LOCKOUT_AMP*EXP(-(IF(OR(M39="",NOT(ISNUMBER(M39))),0,MAX(0,MIN(24,(INT(VALUE(F39)/100)-INT(M39/100))*12+MOD(VALUE(F39),100)-MOD(M39,100)))))/V8_LOCKOUT_TAU),1)</f>
        <v/>
      </c>
      <c r="AE39" s="14">
        <f>MAX(V8_BURN_FLOOR,1-V8_BURN_SLOPE*MIN(1,MAX(0,O39)))</f>
        <v/>
      </c>
      <c r="AF39" s="15">
        <f>MIN(Z39*AB39*AC39*AD39*AE39,0.2)</f>
        <v/>
      </c>
      <c r="AG39" s="16">
        <f>1-(1-AF39)^12</f>
        <v/>
      </c>
    </row>
    <row r="40">
      <c r="A40" s="2" t="inlineStr">
        <is>
          <t>000006311078</t>
        </is>
      </c>
      <c r="B40" t="inlineStr">
        <is>
          <t>223f</t>
        </is>
      </c>
      <c r="C40" t="inlineStr">
        <is>
          <t>RP</t>
        </is>
      </c>
      <c r="D40" t="inlineStr">
        <is>
          <t>BERKADIA COMMERCIAL MORTGAGE, LLC</t>
        </is>
      </c>
      <c r="E40" t="n">
        <v>2012</v>
      </c>
      <c r="F40" t="inlineStr">
        <is>
          <t>202602</t>
        </is>
      </c>
      <c r="G40" s="8" t="n">
        <v>8184805.03</v>
      </c>
      <c r="H40" s="12" t="n">
        <v>3.2</v>
      </c>
      <c r="I40" s="13" t="n">
        <v>447</v>
      </c>
      <c r="J40" s="13" t="n">
        <v>0</v>
      </c>
      <c r="K40" t="n">
        <v>167</v>
      </c>
      <c r="L40" t="n">
        <v>204708</v>
      </c>
      <c r="M40" t="n">
        <v>201409</v>
      </c>
      <c r="N40" t="n">
        <v>30</v>
      </c>
      <c r="O40" s="14" t="n">
        <v>0.1796407185628743</v>
      </c>
      <c r="P40">
        <f>IF(ISNUMBER(SEARCH("232",B40)),"232",IF(ISNUMBER(SEARCH("538",B40)),"538",IF(ISNUMBER(SEARCH("223a7",B40)),"223a7",IF(ISNUMBER(SEARCH("223f",B40)),"223f","OTHER"))))</f>
        <v/>
      </c>
      <c r="Q40">
        <f>IF(UPPER(C40)="NC","NC","RP")</f>
        <v/>
      </c>
      <c r="R40">
        <f>IF(G40&lt;5000000,"small",IF(G40&lt;25000000,"medium","large"))</f>
        <v/>
      </c>
      <c r="S40">
        <f>P40&amp;"|"&amp;Q40&amp;"|"&amp;R40</f>
        <v/>
      </c>
      <c r="T40" s="13">
        <f>H40*100-I40</f>
        <v/>
      </c>
      <c r="U40" s="13">
        <f>T40-12.5*(J40+1)</f>
        <v/>
      </c>
      <c r="V40" s="15">
        <f>IFERROR(VLOOKUP(S40,V8_COHORT_TABLE,2,FALSE),IFERROR(VLOOKUP(P40&amp;"|"&amp;Q40&amp;"|ALL",V8_COHORT_TABLE,2,FALSE),IFERROR(VLOOKUP(P40&amp;"|ALL|ALL",V8_COHORT_TABLE,2,FALSE),VLOOKUP("GLOBAL",V8_COHORT_TABLE,2,FALSE))))</f>
        <v/>
      </c>
      <c r="W40" s="15">
        <f>IFERROR(VLOOKUP(S40,V8_COHORT_TABLE,3,FALSE),IFERROR(VLOOKUP(P40&amp;"|"&amp;Q40&amp;"|ALL",V8_COHORT_TABLE,3,FALSE),IFERROR(VLOOKUP(P40&amp;"|ALL|ALL",V8_COHORT_TABLE,3,FALSE),VLOOKUP("GLOBAL",V8_COHORT_TABLE,3,FALSE))))</f>
        <v/>
      </c>
      <c r="X40" s="15">
        <f>IFERROR(VLOOKUP(S40,V8_COHORT_TABLE,4,FALSE),IFERROR(VLOOKUP(P40&amp;"|"&amp;Q40&amp;"|ALL",V8_COHORT_TABLE,4,FALSE),IFERROR(VLOOKUP(P40&amp;"|ALL|ALL",V8_COHORT_TABLE,4,FALSE),VLOOKUP("GLOBAL",V8_COHORT_TABLE,4,FALSE))))</f>
        <v/>
      </c>
      <c r="Y40" s="15">
        <f>IFERROR(VLOOKUP(S40,V8_COHORT_TABLE,5,FALSE),IFERROR(VLOOKUP(P40&amp;"|"&amp;Q40&amp;"|ALL",V8_COHORT_TABLE,5,FALSE),IFERROR(VLOOKUP(P40&amp;"|ALL|ALL",V8_COHORT_TABLE,5,FALSE),VLOOKUP("GLOBAL",V8_COHORT_TABLE,5,FALSE))))</f>
        <v/>
      </c>
      <c r="Z40" s="15">
        <f>V40+W40/(1+EXP(-(U40-X40)/Y40))</f>
        <v/>
      </c>
      <c r="AA40" s="16">
        <f>1-(1-Z40)^12</f>
        <v/>
      </c>
      <c r="AB40" s="14">
        <f>IF(K40&lt;=V8_AGE_KNOT_X_0,V8_AGE_KNOT_Y_0,IF(K40&gt;=V8_AGE_KNOT_X_5,V8_AGE_KNOT_Y_5,IF(K40&lt;=V8_AGE_KNOT_X_1,V8_AGE_KNOT_Y_0+(K40-V8_AGE_KNOT_X_0)/(V8_AGE_KNOT_X_1-V8_AGE_KNOT_X_0)*(V8_AGE_KNOT_Y_1-V8_AGE_KNOT_Y_0),IF(K40&lt;=V8_AGE_KNOT_X_2,V8_AGE_KNOT_Y_1+(K40-V8_AGE_KNOT_X_1)/(V8_AGE_KNOT_X_2-V8_AGE_KNOT_X_1)*(V8_AGE_KNOT_Y_2-V8_AGE_KNOT_Y_1),IF(K40&lt;=V8_AGE_KNOT_X_3,V8_AGE_KNOT_Y_2+(K40-V8_AGE_KNOT_X_2)/(V8_AGE_KNOT_X_3-V8_AGE_KNOT_X_2)*(V8_AGE_KNOT_Y_3-V8_AGE_KNOT_Y_2),IF(K40&lt;=V8_AGE_KNOT_X_4,V8_AGE_KNOT_Y_3+(K40-V8_AGE_KNOT_X_3)/(V8_AGE_KNOT_X_4-V8_AGE_KNOT_X_3)*(V8_AGE_KNOT_Y_4-V8_AGE_KNOT_Y_3),V8_AGE_KNOT_Y_4+(K40-V8_AGE_KNOT_X_4)/(V8_AGE_KNOT_X_5-V8_AGE_KNOT_X_4)*(V8_AGE_KNOT_Y_5-V8_AGE_KNOT_Y_4)))))))</f>
        <v/>
      </c>
      <c r="AC40" s="14">
        <f>IF(IF(OR(L40="",NOT(ISNUMBER(L40))),360,MAX(0,MIN(480,(INT(L40/100)-INT(VALUE(F40)/100))*12+MOD(L40,100)-MOD(VALUE(F40),100))))&gt;0,1+V8_MTY_AMP*MAX(0,(V8_MTY_CUTOFF-(IF(OR(L40="",NOT(ISNUMBER(L40))),360,MAX(0,MIN(480,(INT(L40/100)-INT(VALUE(F40)/100))*12+MOD(L40,100)-MOD(VALUE(F40),100))))))/V8_MTY_CUTOFF),1)</f>
        <v/>
      </c>
      <c r="AD40" s="14">
        <f>IF(AND(IF(OR(M40="",NOT(ISNUMBER(M40))),0,MAX(0,MIN(24,(INT(VALUE(F40)/100)-INT(M40/100))*12+MOD(VALUE(F40),100)-MOD(M40,100))))&gt;0,IF(OR(M40="",NOT(ISNUMBER(M40))),0,MAX(0,MIN(24,(INT(VALUE(F40)/100)-INT(M40/100))*12+MOD(VALUE(F40),100)-MOD(M40,100))))&lt;=12),1+V8_LOCKOUT_AMP*EXP(-(IF(OR(M40="",NOT(ISNUMBER(M40))),0,MAX(0,MIN(24,(INT(VALUE(F40)/100)-INT(M40/100))*12+MOD(VALUE(F40),100)-MOD(M40,100)))))/V8_LOCKOUT_TAU),1)</f>
        <v/>
      </c>
      <c r="AE40" s="14">
        <f>MAX(V8_BURN_FLOOR,1-V8_BURN_SLOPE*MIN(1,MAX(0,O40)))</f>
        <v/>
      </c>
      <c r="AF40" s="15">
        <f>MIN(Z40*AB40*AC40*AD40*AE40,0.2)</f>
        <v/>
      </c>
      <c r="AG40" s="16">
        <f>1-(1-AF40)^12</f>
        <v/>
      </c>
    </row>
    <row r="41">
      <c r="A41" s="2" t="inlineStr">
        <is>
          <t>000005111525</t>
        </is>
      </c>
      <c r="B41" t="inlineStr">
        <is>
          <t>223f</t>
        </is>
      </c>
      <c r="C41" t="inlineStr">
        <is>
          <t>RP</t>
        </is>
      </c>
      <c r="D41" t="inlineStr">
        <is>
          <t>BERKADIA COMMERCIAL MORTGAGE, LLC</t>
        </is>
      </c>
      <c r="E41" t="n">
        <v>2022</v>
      </c>
      <c r="F41" t="inlineStr">
        <is>
          <t>202602</t>
        </is>
      </c>
      <c r="G41" s="8" t="n">
        <v>19717396.4</v>
      </c>
      <c r="H41" s="12" t="n">
        <v>4.45</v>
      </c>
      <c r="I41" s="13" t="n">
        <v>447</v>
      </c>
      <c r="J41" s="13" t="n">
        <v>8</v>
      </c>
      <c r="K41" t="n">
        <v>43</v>
      </c>
      <c r="L41" t="n">
        <v>205711</v>
      </c>
      <c r="M41" t="inlineStr"/>
      <c r="N41" t="n">
        <v>1</v>
      </c>
      <c r="O41" s="14" t="n">
        <v>0.02325581395348837</v>
      </c>
      <c r="P41">
        <f>IF(ISNUMBER(SEARCH("232",B41)),"232",IF(ISNUMBER(SEARCH("538",B41)),"538",IF(ISNUMBER(SEARCH("223a7",B41)),"223a7",IF(ISNUMBER(SEARCH("223f",B41)),"223f","OTHER"))))</f>
        <v/>
      </c>
      <c r="Q41">
        <f>IF(UPPER(C41)="NC","NC","RP")</f>
        <v/>
      </c>
      <c r="R41">
        <f>IF(G41&lt;5000000,"small",IF(G41&lt;25000000,"medium","large"))</f>
        <v/>
      </c>
      <c r="S41">
        <f>P41&amp;"|"&amp;Q41&amp;"|"&amp;R41</f>
        <v/>
      </c>
      <c r="T41" s="13">
        <f>H41*100-I41</f>
        <v/>
      </c>
      <c r="U41" s="13">
        <f>T41-12.5*(J41+1)</f>
        <v/>
      </c>
      <c r="V41" s="15">
        <f>IFERROR(VLOOKUP(S41,V8_COHORT_TABLE,2,FALSE),IFERROR(VLOOKUP(P41&amp;"|"&amp;Q41&amp;"|ALL",V8_COHORT_TABLE,2,FALSE),IFERROR(VLOOKUP(P41&amp;"|ALL|ALL",V8_COHORT_TABLE,2,FALSE),VLOOKUP("GLOBAL",V8_COHORT_TABLE,2,FALSE))))</f>
        <v/>
      </c>
      <c r="W41" s="15">
        <f>IFERROR(VLOOKUP(S41,V8_COHORT_TABLE,3,FALSE),IFERROR(VLOOKUP(P41&amp;"|"&amp;Q41&amp;"|ALL",V8_COHORT_TABLE,3,FALSE),IFERROR(VLOOKUP(P41&amp;"|ALL|ALL",V8_COHORT_TABLE,3,FALSE),VLOOKUP("GLOBAL",V8_COHORT_TABLE,3,FALSE))))</f>
        <v/>
      </c>
      <c r="X41" s="15">
        <f>IFERROR(VLOOKUP(S41,V8_COHORT_TABLE,4,FALSE),IFERROR(VLOOKUP(P41&amp;"|"&amp;Q41&amp;"|ALL",V8_COHORT_TABLE,4,FALSE),IFERROR(VLOOKUP(P41&amp;"|ALL|ALL",V8_COHORT_TABLE,4,FALSE),VLOOKUP("GLOBAL",V8_COHORT_TABLE,4,FALSE))))</f>
        <v/>
      </c>
      <c r="Y41" s="15">
        <f>IFERROR(VLOOKUP(S41,V8_COHORT_TABLE,5,FALSE),IFERROR(VLOOKUP(P41&amp;"|"&amp;Q41&amp;"|ALL",V8_COHORT_TABLE,5,FALSE),IFERROR(VLOOKUP(P41&amp;"|ALL|ALL",V8_COHORT_TABLE,5,FALSE),VLOOKUP("GLOBAL",V8_COHORT_TABLE,5,FALSE))))</f>
        <v/>
      </c>
      <c r="Z41" s="15">
        <f>V41+W41/(1+EXP(-(U41-X41)/Y41))</f>
        <v/>
      </c>
      <c r="AA41" s="16">
        <f>1-(1-Z41)^12</f>
        <v/>
      </c>
      <c r="AB41" s="14">
        <f>IF(K41&lt;=V8_AGE_KNOT_X_0,V8_AGE_KNOT_Y_0,IF(K41&gt;=V8_AGE_KNOT_X_5,V8_AGE_KNOT_Y_5,IF(K41&lt;=V8_AGE_KNOT_X_1,V8_AGE_KNOT_Y_0+(K41-V8_AGE_KNOT_X_0)/(V8_AGE_KNOT_X_1-V8_AGE_KNOT_X_0)*(V8_AGE_KNOT_Y_1-V8_AGE_KNOT_Y_0),IF(K41&lt;=V8_AGE_KNOT_X_2,V8_AGE_KNOT_Y_1+(K41-V8_AGE_KNOT_X_1)/(V8_AGE_KNOT_X_2-V8_AGE_KNOT_X_1)*(V8_AGE_KNOT_Y_2-V8_AGE_KNOT_Y_1),IF(K41&lt;=V8_AGE_KNOT_X_3,V8_AGE_KNOT_Y_2+(K41-V8_AGE_KNOT_X_2)/(V8_AGE_KNOT_X_3-V8_AGE_KNOT_X_2)*(V8_AGE_KNOT_Y_3-V8_AGE_KNOT_Y_2),IF(K41&lt;=V8_AGE_KNOT_X_4,V8_AGE_KNOT_Y_3+(K41-V8_AGE_KNOT_X_3)/(V8_AGE_KNOT_X_4-V8_AGE_KNOT_X_3)*(V8_AGE_KNOT_Y_4-V8_AGE_KNOT_Y_3),V8_AGE_KNOT_Y_4+(K41-V8_AGE_KNOT_X_4)/(V8_AGE_KNOT_X_5-V8_AGE_KNOT_X_4)*(V8_AGE_KNOT_Y_5-V8_AGE_KNOT_Y_4)))))))</f>
        <v/>
      </c>
      <c r="AC41" s="14">
        <f>IF(IF(OR(L41="",NOT(ISNUMBER(L41))),360,MAX(0,MIN(480,(INT(L41/100)-INT(VALUE(F41)/100))*12+MOD(L41,100)-MOD(VALUE(F41),100))))&gt;0,1+V8_MTY_AMP*MAX(0,(V8_MTY_CUTOFF-(IF(OR(L41="",NOT(ISNUMBER(L41))),360,MAX(0,MIN(480,(INT(L41/100)-INT(VALUE(F41)/100))*12+MOD(L41,100)-MOD(VALUE(F41),100))))))/V8_MTY_CUTOFF),1)</f>
        <v/>
      </c>
      <c r="AD41" s="14">
        <f>IF(AND(IF(OR(M41="",NOT(ISNUMBER(M41))),0,MAX(0,MIN(24,(INT(VALUE(F41)/100)-INT(M41/100))*12+MOD(VALUE(F41),100)-MOD(M41,100))))&gt;0,IF(OR(M41="",NOT(ISNUMBER(M41))),0,MAX(0,MIN(24,(INT(VALUE(F41)/100)-INT(M41/100))*12+MOD(VALUE(F41),100)-MOD(M41,100))))&lt;=12),1+V8_LOCKOUT_AMP*EXP(-(IF(OR(M41="",NOT(ISNUMBER(M41))),0,MAX(0,MIN(24,(INT(VALUE(F41)/100)-INT(M41/100))*12+MOD(VALUE(F41),100)-MOD(M41,100)))))/V8_LOCKOUT_TAU),1)</f>
        <v/>
      </c>
      <c r="AE41" s="14">
        <f>MAX(V8_BURN_FLOOR,1-V8_BURN_SLOPE*MIN(1,MAX(0,O41)))</f>
        <v/>
      </c>
      <c r="AF41" s="15">
        <f>MIN(Z41*AB41*AC41*AD41*AE41,0.2)</f>
        <v/>
      </c>
      <c r="AG41" s="16">
        <f>1-(1-AF41)^12</f>
        <v/>
      </c>
    </row>
    <row r="42">
      <c r="A42" s="2" t="inlineStr">
        <is>
          <t>000004711152</t>
        </is>
      </c>
      <c r="B42" t="inlineStr">
        <is>
          <t>223f</t>
        </is>
      </c>
      <c r="C42" t="inlineStr">
        <is>
          <t>RP</t>
        </is>
      </c>
      <c r="D42" t="inlineStr">
        <is>
          <t>BERKADIA COMMERCIAL MORTGAGE, LLC</t>
        </is>
      </c>
      <c r="E42" t="n">
        <v>2013</v>
      </c>
      <c r="F42" t="inlineStr">
        <is>
          <t>202602</t>
        </is>
      </c>
      <c r="G42" s="8" t="n">
        <v>345445.31</v>
      </c>
      <c r="H42" s="12" t="n">
        <v>2.9</v>
      </c>
      <c r="I42" s="13" t="n">
        <v>447</v>
      </c>
      <c r="J42" s="13" t="n">
        <v>7</v>
      </c>
      <c r="K42" t="n">
        <v>149</v>
      </c>
      <c r="L42" t="n">
        <v>203401</v>
      </c>
      <c r="M42" t="inlineStr"/>
      <c r="N42" t="n">
        <v>9</v>
      </c>
      <c r="O42" s="14" t="n">
        <v>0.06040268456375839</v>
      </c>
      <c r="P42">
        <f>IF(ISNUMBER(SEARCH("232",B42)),"232",IF(ISNUMBER(SEARCH("538",B42)),"538",IF(ISNUMBER(SEARCH("223a7",B42)),"223a7",IF(ISNUMBER(SEARCH("223f",B42)),"223f","OTHER"))))</f>
        <v/>
      </c>
      <c r="Q42">
        <f>IF(UPPER(C42)="NC","NC","RP")</f>
        <v/>
      </c>
      <c r="R42">
        <f>IF(G42&lt;5000000,"small",IF(G42&lt;25000000,"medium","large"))</f>
        <v/>
      </c>
      <c r="S42">
        <f>P42&amp;"|"&amp;Q42&amp;"|"&amp;R42</f>
        <v/>
      </c>
      <c r="T42" s="13">
        <f>H42*100-I42</f>
        <v/>
      </c>
      <c r="U42" s="13">
        <f>T42-12.5*(J42+1)</f>
        <v/>
      </c>
      <c r="V42" s="15">
        <f>IFERROR(VLOOKUP(S42,V8_COHORT_TABLE,2,FALSE),IFERROR(VLOOKUP(P42&amp;"|"&amp;Q42&amp;"|ALL",V8_COHORT_TABLE,2,FALSE),IFERROR(VLOOKUP(P42&amp;"|ALL|ALL",V8_COHORT_TABLE,2,FALSE),VLOOKUP("GLOBAL",V8_COHORT_TABLE,2,FALSE))))</f>
        <v/>
      </c>
      <c r="W42" s="15">
        <f>IFERROR(VLOOKUP(S42,V8_COHORT_TABLE,3,FALSE),IFERROR(VLOOKUP(P42&amp;"|"&amp;Q42&amp;"|ALL",V8_COHORT_TABLE,3,FALSE),IFERROR(VLOOKUP(P42&amp;"|ALL|ALL",V8_COHORT_TABLE,3,FALSE),VLOOKUP("GLOBAL",V8_COHORT_TABLE,3,FALSE))))</f>
        <v/>
      </c>
      <c r="X42" s="15">
        <f>IFERROR(VLOOKUP(S42,V8_COHORT_TABLE,4,FALSE),IFERROR(VLOOKUP(P42&amp;"|"&amp;Q42&amp;"|ALL",V8_COHORT_TABLE,4,FALSE),IFERROR(VLOOKUP(P42&amp;"|ALL|ALL",V8_COHORT_TABLE,4,FALSE),VLOOKUP("GLOBAL",V8_COHORT_TABLE,4,FALSE))))</f>
        <v/>
      </c>
      <c r="Y42" s="15">
        <f>IFERROR(VLOOKUP(S42,V8_COHORT_TABLE,5,FALSE),IFERROR(VLOOKUP(P42&amp;"|"&amp;Q42&amp;"|ALL",V8_COHORT_TABLE,5,FALSE),IFERROR(VLOOKUP(P42&amp;"|ALL|ALL",V8_COHORT_TABLE,5,FALSE),VLOOKUP("GLOBAL",V8_COHORT_TABLE,5,FALSE))))</f>
        <v/>
      </c>
      <c r="Z42" s="15">
        <f>V42+W42/(1+EXP(-(U42-X42)/Y42))</f>
        <v/>
      </c>
      <c r="AA42" s="16">
        <f>1-(1-Z42)^12</f>
        <v/>
      </c>
      <c r="AB42" s="14">
        <f>IF(K42&lt;=V8_AGE_KNOT_X_0,V8_AGE_KNOT_Y_0,IF(K42&gt;=V8_AGE_KNOT_X_5,V8_AGE_KNOT_Y_5,IF(K42&lt;=V8_AGE_KNOT_X_1,V8_AGE_KNOT_Y_0+(K42-V8_AGE_KNOT_X_0)/(V8_AGE_KNOT_X_1-V8_AGE_KNOT_X_0)*(V8_AGE_KNOT_Y_1-V8_AGE_KNOT_Y_0),IF(K42&lt;=V8_AGE_KNOT_X_2,V8_AGE_KNOT_Y_1+(K42-V8_AGE_KNOT_X_1)/(V8_AGE_KNOT_X_2-V8_AGE_KNOT_X_1)*(V8_AGE_KNOT_Y_2-V8_AGE_KNOT_Y_1),IF(K42&lt;=V8_AGE_KNOT_X_3,V8_AGE_KNOT_Y_2+(K42-V8_AGE_KNOT_X_2)/(V8_AGE_KNOT_X_3-V8_AGE_KNOT_X_2)*(V8_AGE_KNOT_Y_3-V8_AGE_KNOT_Y_2),IF(K42&lt;=V8_AGE_KNOT_X_4,V8_AGE_KNOT_Y_3+(K42-V8_AGE_KNOT_X_3)/(V8_AGE_KNOT_X_4-V8_AGE_KNOT_X_3)*(V8_AGE_KNOT_Y_4-V8_AGE_KNOT_Y_3),V8_AGE_KNOT_Y_4+(K42-V8_AGE_KNOT_X_4)/(V8_AGE_KNOT_X_5-V8_AGE_KNOT_X_4)*(V8_AGE_KNOT_Y_5-V8_AGE_KNOT_Y_4)))))))</f>
        <v/>
      </c>
      <c r="AC42" s="14">
        <f>IF(IF(OR(L42="",NOT(ISNUMBER(L42))),360,MAX(0,MIN(480,(INT(L42/100)-INT(VALUE(F42)/100))*12+MOD(L42,100)-MOD(VALUE(F42),100))))&gt;0,1+V8_MTY_AMP*MAX(0,(V8_MTY_CUTOFF-(IF(OR(L42="",NOT(ISNUMBER(L42))),360,MAX(0,MIN(480,(INT(L42/100)-INT(VALUE(F42)/100))*12+MOD(L42,100)-MOD(VALUE(F42),100))))))/V8_MTY_CUTOFF),1)</f>
        <v/>
      </c>
      <c r="AD42" s="14">
        <f>IF(AND(IF(OR(M42="",NOT(ISNUMBER(M42))),0,MAX(0,MIN(24,(INT(VALUE(F42)/100)-INT(M42/100))*12+MOD(VALUE(F42),100)-MOD(M42,100))))&gt;0,IF(OR(M42="",NOT(ISNUMBER(M42))),0,MAX(0,MIN(24,(INT(VALUE(F42)/100)-INT(M42/100))*12+MOD(VALUE(F42),100)-MOD(M42,100))))&lt;=12),1+V8_LOCKOUT_AMP*EXP(-(IF(OR(M42="",NOT(ISNUMBER(M42))),0,MAX(0,MIN(24,(INT(VALUE(F42)/100)-INT(M42/100))*12+MOD(VALUE(F42),100)-MOD(M42,100)))))/V8_LOCKOUT_TAU),1)</f>
        <v/>
      </c>
      <c r="AE42" s="14">
        <f>MAX(V8_BURN_FLOOR,1-V8_BURN_SLOPE*MIN(1,MAX(0,O42)))</f>
        <v/>
      </c>
      <c r="AF42" s="15">
        <f>MIN(Z42*AB42*AC42*AD42*AE42,0.2)</f>
        <v/>
      </c>
      <c r="AG42" s="16">
        <f>1-(1-AF42)^12</f>
        <v/>
      </c>
    </row>
    <row r="43">
      <c r="A43" s="2" t="inlineStr">
        <is>
          <t>000004811084</t>
        </is>
      </c>
      <c r="B43" t="inlineStr">
        <is>
          <t>223f</t>
        </is>
      </c>
      <c r="C43" t="inlineStr">
        <is>
          <t>RP</t>
        </is>
      </c>
      <c r="D43" t="inlineStr">
        <is>
          <t>BERKADIA COMMERCIAL MORTGAGE, LLC</t>
        </is>
      </c>
      <c r="E43" t="n">
        <v>2021</v>
      </c>
      <c r="F43" t="inlineStr">
        <is>
          <t>202602</t>
        </is>
      </c>
      <c r="G43" s="8" t="n">
        <v>6267503.13</v>
      </c>
      <c r="H43" s="12" t="n">
        <v>2.15</v>
      </c>
      <c r="I43" s="13" t="n">
        <v>447</v>
      </c>
      <c r="J43" s="13" t="n">
        <v>8</v>
      </c>
      <c r="K43" t="n">
        <v>51</v>
      </c>
      <c r="L43" t="n">
        <v>205703</v>
      </c>
      <c r="M43" t="inlineStr"/>
      <c r="N43" t="n">
        <v>0</v>
      </c>
      <c r="O43" s="14" t="n">
        <v>0</v>
      </c>
      <c r="P43">
        <f>IF(ISNUMBER(SEARCH("232",B43)),"232",IF(ISNUMBER(SEARCH("538",B43)),"538",IF(ISNUMBER(SEARCH("223a7",B43)),"223a7",IF(ISNUMBER(SEARCH("223f",B43)),"223f","OTHER"))))</f>
        <v/>
      </c>
      <c r="Q43">
        <f>IF(UPPER(C43)="NC","NC","RP")</f>
        <v/>
      </c>
      <c r="R43">
        <f>IF(G43&lt;5000000,"small",IF(G43&lt;25000000,"medium","large"))</f>
        <v/>
      </c>
      <c r="S43">
        <f>P43&amp;"|"&amp;Q43&amp;"|"&amp;R43</f>
        <v/>
      </c>
      <c r="T43" s="13">
        <f>H43*100-I43</f>
        <v/>
      </c>
      <c r="U43" s="13">
        <f>T43-12.5*(J43+1)</f>
        <v/>
      </c>
      <c r="V43" s="15">
        <f>IFERROR(VLOOKUP(S43,V8_COHORT_TABLE,2,FALSE),IFERROR(VLOOKUP(P43&amp;"|"&amp;Q43&amp;"|ALL",V8_COHORT_TABLE,2,FALSE),IFERROR(VLOOKUP(P43&amp;"|ALL|ALL",V8_COHORT_TABLE,2,FALSE),VLOOKUP("GLOBAL",V8_COHORT_TABLE,2,FALSE))))</f>
        <v/>
      </c>
      <c r="W43" s="15">
        <f>IFERROR(VLOOKUP(S43,V8_COHORT_TABLE,3,FALSE),IFERROR(VLOOKUP(P43&amp;"|"&amp;Q43&amp;"|ALL",V8_COHORT_TABLE,3,FALSE),IFERROR(VLOOKUP(P43&amp;"|ALL|ALL",V8_COHORT_TABLE,3,FALSE),VLOOKUP("GLOBAL",V8_COHORT_TABLE,3,FALSE))))</f>
        <v/>
      </c>
      <c r="X43" s="15">
        <f>IFERROR(VLOOKUP(S43,V8_COHORT_TABLE,4,FALSE),IFERROR(VLOOKUP(P43&amp;"|"&amp;Q43&amp;"|ALL",V8_COHORT_TABLE,4,FALSE),IFERROR(VLOOKUP(P43&amp;"|ALL|ALL",V8_COHORT_TABLE,4,FALSE),VLOOKUP("GLOBAL",V8_COHORT_TABLE,4,FALSE))))</f>
        <v/>
      </c>
      <c r="Y43" s="15">
        <f>IFERROR(VLOOKUP(S43,V8_COHORT_TABLE,5,FALSE),IFERROR(VLOOKUP(P43&amp;"|"&amp;Q43&amp;"|ALL",V8_COHORT_TABLE,5,FALSE),IFERROR(VLOOKUP(P43&amp;"|ALL|ALL",V8_COHORT_TABLE,5,FALSE),VLOOKUP("GLOBAL",V8_COHORT_TABLE,5,FALSE))))</f>
        <v/>
      </c>
      <c r="Z43" s="15">
        <f>V43+W43/(1+EXP(-(U43-X43)/Y43))</f>
        <v/>
      </c>
      <c r="AA43" s="16">
        <f>1-(1-Z43)^12</f>
        <v/>
      </c>
      <c r="AB43" s="14">
        <f>IF(K43&lt;=V8_AGE_KNOT_X_0,V8_AGE_KNOT_Y_0,IF(K43&gt;=V8_AGE_KNOT_X_5,V8_AGE_KNOT_Y_5,IF(K43&lt;=V8_AGE_KNOT_X_1,V8_AGE_KNOT_Y_0+(K43-V8_AGE_KNOT_X_0)/(V8_AGE_KNOT_X_1-V8_AGE_KNOT_X_0)*(V8_AGE_KNOT_Y_1-V8_AGE_KNOT_Y_0),IF(K43&lt;=V8_AGE_KNOT_X_2,V8_AGE_KNOT_Y_1+(K43-V8_AGE_KNOT_X_1)/(V8_AGE_KNOT_X_2-V8_AGE_KNOT_X_1)*(V8_AGE_KNOT_Y_2-V8_AGE_KNOT_Y_1),IF(K43&lt;=V8_AGE_KNOT_X_3,V8_AGE_KNOT_Y_2+(K43-V8_AGE_KNOT_X_2)/(V8_AGE_KNOT_X_3-V8_AGE_KNOT_X_2)*(V8_AGE_KNOT_Y_3-V8_AGE_KNOT_Y_2),IF(K43&lt;=V8_AGE_KNOT_X_4,V8_AGE_KNOT_Y_3+(K43-V8_AGE_KNOT_X_3)/(V8_AGE_KNOT_X_4-V8_AGE_KNOT_X_3)*(V8_AGE_KNOT_Y_4-V8_AGE_KNOT_Y_3),V8_AGE_KNOT_Y_4+(K43-V8_AGE_KNOT_X_4)/(V8_AGE_KNOT_X_5-V8_AGE_KNOT_X_4)*(V8_AGE_KNOT_Y_5-V8_AGE_KNOT_Y_4)))))))</f>
        <v/>
      </c>
      <c r="AC43" s="14">
        <f>IF(IF(OR(L43="",NOT(ISNUMBER(L43))),360,MAX(0,MIN(480,(INT(L43/100)-INT(VALUE(F43)/100))*12+MOD(L43,100)-MOD(VALUE(F43),100))))&gt;0,1+V8_MTY_AMP*MAX(0,(V8_MTY_CUTOFF-(IF(OR(L43="",NOT(ISNUMBER(L43))),360,MAX(0,MIN(480,(INT(L43/100)-INT(VALUE(F43)/100))*12+MOD(L43,100)-MOD(VALUE(F43),100))))))/V8_MTY_CUTOFF),1)</f>
        <v/>
      </c>
      <c r="AD43" s="14">
        <f>IF(AND(IF(OR(M43="",NOT(ISNUMBER(M43))),0,MAX(0,MIN(24,(INT(VALUE(F43)/100)-INT(M43/100))*12+MOD(VALUE(F43),100)-MOD(M43,100))))&gt;0,IF(OR(M43="",NOT(ISNUMBER(M43))),0,MAX(0,MIN(24,(INT(VALUE(F43)/100)-INT(M43/100))*12+MOD(VALUE(F43),100)-MOD(M43,100))))&lt;=12),1+V8_LOCKOUT_AMP*EXP(-(IF(OR(M43="",NOT(ISNUMBER(M43))),0,MAX(0,MIN(24,(INT(VALUE(F43)/100)-INT(M43/100))*12+MOD(VALUE(F43),100)-MOD(M43,100)))))/V8_LOCKOUT_TAU),1)</f>
        <v/>
      </c>
      <c r="AE43" s="14">
        <f>MAX(V8_BURN_FLOOR,1-V8_BURN_SLOPE*MIN(1,MAX(0,O43)))</f>
        <v/>
      </c>
      <c r="AF43" s="15">
        <f>MIN(Z43*AB43*AC43*AD43*AE43,0.2)</f>
        <v/>
      </c>
      <c r="AG43" s="16">
        <f>1-(1-AF43)^12</f>
        <v/>
      </c>
    </row>
    <row r="44">
      <c r="A44" s="2" t="inlineStr">
        <is>
          <t>000006722139</t>
        </is>
      </c>
      <c r="B44" t="inlineStr">
        <is>
          <t>232</t>
        </is>
      </c>
      <c r="C44" t="inlineStr">
        <is>
          <t>RP</t>
        </is>
      </c>
      <c r="D44" t="inlineStr">
        <is>
          <t>BERKADIA COMMERCIAL MORTGAGE, LLC</t>
        </is>
      </c>
      <c r="E44" t="n">
        <v>2013</v>
      </c>
      <c r="F44" t="inlineStr">
        <is>
          <t>202602</t>
        </is>
      </c>
      <c r="G44" s="8" t="n">
        <v>8404084.77</v>
      </c>
      <c r="H44" s="12" t="n">
        <v>2.95</v>
      </c>
      <c r="I44" s="13" t="n">
        <v>447</v>
      </c>
      <c r="J44" s="13" t="n">
        <v>6</v>
      </c>
      <c r="K44" t="n">
        <v>148</v>
      </c>
      <c r="L44" t="n">
        <v>204508</v>
      </c>
      <c r="M44" t="inlineStr"/>
      <c r="N44" t="n">
        <v>14</v>
      </c>
      <c r="O44" s="14" t="n">
        <v>0.0945945945945946</v>
      </c>
      <c r="P44">
        <f>IF(ISNUMBER(SEARCH("232",B44)),"232",IF(ISNUMBER(SEARCH("538",B44)),"538",IF(ISNUMBER(SEARCH("223a7",B44)),"223a7",IF(ISNUMBER(SEARCH("223f",B44)),"223f","OTHER"))))</f>
        <v/>
      </c>
      <c r="Q44">
        <f>IF(UPPER(C44)="NC","NC","RP")</f>
        <v/>
      </c>
      <c r="R44">
        <f>IF(G44&lt;5000000,"small",IF(G44&lt;25000000,"medium","large"))</f>
        <v/>
      </c>
      <c r="S44">
        <f>P44&amp;"|"&amp;Q44&amp;"|"&amp;R44</f>
        <v/>
      </c>
      <c r="T44" s="13">
        <f>H44*100-I44</f>
        <v/>
      </c>
      <c r="U44" s="13">
        <f>T44-12.5*(J44+1)</f>
        <v/>
      </c>
      <c r="V44" s="15">
        <f>IFERROR(VLOOKUP(S44,V8_COHORT_TABLE,2,FALSE),IFERROR(VLOOKUP(P44&amp;"|"&amp;Q44&amp;"|ALL",V8_COHORT_TABLE,2,FALSE),IFERROR(VLOOKUP(P44&amp;"|ALL|ALL",V8_COHORT_TABLE,2,FALSE),VLOOKUP("GLOBAL",V8_COHORT_TABLE,2,FALSE))))</f>
        <v/>
      </c>
      <c r="W44" s="15">
        <f>IFERROR(VLOOKUP(S44,V8_COHORT_TABLE,3,FALSE),IFERROR(VLOOKUP(P44&amp;"|"&amp;Q44&amp;"|ALL",V8_COHORT_TABLE,3,FALSE),IFERROR(VLOOKUP(P44&amp;"|ALL|ALL",V8_COHORT_TABLE,3,FALSE),VLOOKUP("GLOBAL",V8_COHORT_TABLE,3,FALSE))))</f>
        <v/>
      </c>
      <c r="X44" s="15">
        <f>IFERROR(VLOOKUP(S44,V8_COHORT_TABLE,4,FALSE),IFERROR(VLOOKUP(P44&amp;"|"&amp;Q44&amp;"|ALL",V8_COHORT_TABLE,4,FALSE),IFERROR(VLOOKUP(P44&amp;"|ALL|ALL",V8_COHORT_TABLE,4,FALSE),VLOOKUP("GLOBAL",V8_COHORT_TABLE,4,FALSE))))</f>
        <v/>
      </c>
      <c r="Y44" s="15">
        <f>IFERROR(VLOOKUP(S44,V8_COHORT_TABLE,5,FALSE),IFERROR(VLOOKUP(P44&amp;"|"&amp;Q44&amp;"|ALL",V8_COHORT_TABLE,5,FALSE),IFERROR(VLOOKUP(P44&amp;"|ALL|ALL",V8_COHORT_TABLE,5,FALSE),VLOOKUP("GLOBAL",V8_COHORT_TABLE,5,FALSE))))</f>
        <v/>
      </c>
      <c r="Z44" s="15">
        <f>V44+W44/(1+EXP(-(U44-X44)/Y44))</f>
        <v/>
      </c>
      <c r="AA44" s="16">
        <f>1-(1-Z44)^12</f>
        <v/>
      </c>
      <c r="AB44" s="14">
        <f>IF(K44&lt;=V8_AGE_KNOT_X_0,V8_AGE_KNOT_Y_0,IF(K44&gt;=V8_AGE_KNOT_X_5,V8_AGE_KNOT_Y_5,IF(K44&lt;=V8_AGE_KNOT_X_1,V8_AGE_KNOT_Y_0+(K44-V8_AGE_KNOT_X_0)/(V8_AGE_KNOT_X_1-V8_AGE_KNOT_X_0)*(V8_AGE_KNOT_Y_1-V8_AGE_KNOT_Y_0),IF(K44&lt;=V8_AGE_KNOT_X_2,V8_AGE_KNOT_Y_1+(K44-V8_AGE_KNOT_X_1)/(V8_AGE_KNOT_X_2-V8_AGE_KNOT_X_1)*(V8_AGE_KNOT_Y_2-V8_AGE_KNOT_Y_1),IF(K44&lt;=V8_AGE_KNOT_X_3,V8_AGE_KNOT_Y_2+(K44-V8_AGE_KNOT_X_2)/(V8_AGE_KNOT_X_3-V8_AGE_KNOT_X_2)*(V8_AGE_KNOT_Y_3-V8_AGE_KNOT_Y_2),IF(K44&lt;=V8_AGE_KNOT_X_4,V8_AGE_KNOT_Y_3+(K44-V8_AGE_KNOT_X_3)/(V8_AGE_KNOT_X_4-V8_AGE_KNOT_X_3)*(V8_AGE_KNOT_Y_4-V8_AGE_KNOT_Y_3),V8_AGE_KNOT_Y_4+(K44-V8_AGE_KNOT_X_4)/(V8_AGE_KNOT_X_5-V8_AGE_KNOT_X_4)*(V8_AGE_KNOT_Y_5-V8_AGE_KNOT_Y_4)))))))</f>
        <v/>
      </c>
      <c r="AC44" s="14">
        <f>IF(IF(OR(L44="",NOT(ISNUMBER(L44))),360,MAX(0,MIN(480,(INT(L44/100)-INT(VALUE(F44)/100))*12+MOD(L44,100)-MOD(VALUE(F44),100))))&gt;0,1+V8_MTY_AMP*MAX(0,(V8_MTY_CUTOFF-(IF(OR(L44="",NOT(ISNUMBER(L44))),360,MAX(0,MIN(480,(INT(L44/100)-INT(VALUE(F44)/100))*12+MOD(L44,100)-MOD(VALUE(F44),100))))))/V8_MTY_CUTOFF),1)</f>
        <v/>
      </c>
      <c r="AD44" s="14">
        <f>IF(AND(IF(OR(M44="",NOT(ISNUMBER(M44))),0,MAX(0,MIN(24,(INT(VALUE(F44)/100)-INT(M44/100))*12+MOD(VALUE(F44),100)-MOD(M44,100))))&gt;0,IF(OR(M44="",NOT(ISNUMBER(M44))),0,MAX(0,MIN(24,(INT(VALUE(F44)/100)-INT(M44/100))*12+MOD(VALUE(F44),100)-MOD(M44,100))))&lt;=12),1+V8_LOCKOUT_AMP*EXP(-(IF(OR(M44="",NOT(ISNUMBER(M44))),0,MAX(0,MIN(24,(INT(VALUE(F44)/100)-INT(M44/100))*12+MOD(VALUE(F44),100)-MOD(M44,100)))))/V8_LOCKOUT_TAU),1)</f>
        <v/>
      </c>
      <c r="AE44" s="14">
        <f>MAX(V8_BURN_FLOOR,1-V8_BURN_SLOPE*MIN(1,MAX(0,O44)))</f>
        <v/>
      </c>
      <c r="AF44" s="15">
        <f>MIN(Z44*AB44*AC44*AD44*AE44,0.2)</f>
        <v/>
      </c>
      <c r="AG44" s="16">
        <f>1-(1-AF44)^12</f>
        <v/>
      </c>
    </row>
    <row r="45">
      <c r="A45" s="2" t="inlineStr">
        <is>
          <t>000012122239</t>
        </is>
      </c>
      <c r="B45" t="inlineStr">
        <is>
          <t>232</t>
        </is>
      </c>
      <c r="C45" t="inlineStr">
        <is>
          <t>RP</t>
        </is>
      </c>
      <c r="D45" t="inlineStr">
        <is>
          <t>BERKADIA COMMERCIAL MORTGAGE, LLC</t>
        </is>
      </c>
      <c r="E45" t="n">
        <v>2021</v>
      </c>
      <c r="F45" t="inlineStr">
        <is>
          <t>202602</t>
        </is>
      </c>
      <c r="G45" s="8" t="n">
        <v>4130019.17</v>
      </c>
      <c r="H45" s="12" t="n">
        <v>2.58</v>
      </c>
      <c r="I45" s="13" t="n">
        <v>447</v>
      </c>
      <c r="J45" s="13" t="n">
        <v>8</v>
      </c>
      <c r="K45" t="n">
        <v>53</v>
      </c>
      <c r="L45" t="n">
        <v>204206</v>
      </c>
      <c r="M45" t="inlineStr"/>
      <c r="N45" t="n">
        <v>0</v>
      </c>
      <c r="O45" s="14" t="n">
        <v>0</v>
      </c>
      <c r="P45">
        <f>IF(ISNUMBER(SEARCH("232",B45)),"232",IF(ISNUMBER(SEARCH("538",B45)),"538",IF(ISNUMBER(SEARCH("223a7",B45)),"223a7",IF(ISNUMBER(SEARCH("223f",B45)),"223f","OTHER"))))</f>
        <v/>
      </c>
      <c r="Q45">
        <f>IF(UPPER(C45)="NC","NC","RP")</f>
        <v/>
      </c>
      <c r="R45">
        <f>IF(G45&lt;5000000,"small",IF(G45&lt;25000000,"medium","large"))</f>
        <v/>
      </c>
      <c r="S45">
        <f>P45&amp;"|"&amp;Q45&amp;"|"&amp;R45</f>
        <v/>
      </c>
      <c r="T45" s="13">
        <f>H45*100-I45</f>
        <v/>
      </c>
      <c r="U45" s="13">
        <f>T45-12.5*(J45+1)</f>
        <v/>
      </c>
      <c r="V45" s="15">
        <f>IFERROR(VLOOKUP(S45,V8_COHORT_TABLE,2,FALSE),IFERROR(VLOOKUP(P45&amp;"|"&amp;Q45&amp;"|ALL",V8_COHORT_TABLE,2,FALSE),IFERROR(VLOOKUP(P45&amp;"|ALL|ALL",V8_COHORT_TABLE,2,FALSE),VLOOKUP("GLOBAL",V8_COHORT_TABLE,2,FALSE))))</f>
        <v/>
      </c>
      <c r="W45" s="15">
        <f>IFERROR(VLOOKUP(S45,V8_COHORT_TABLE,3,FALSE),IFERROR(VLOOKUP(P45&amp;"|"&amp;Q45&amp;"|ALL",V8_COHORT_TABLE,3,FALSE),IFERROR(VLOOKUP(P45&amp;"|ALL|ALL",V8_COHORT_TABLE,3,FALSE),VLOOKUP("GLOBAL",V8_COHORT_TABLE,3,FALSE))))</f>
        <v/>
      </c>
      <c r="X45" s="15">
        <f>IFERROR(VLOOKUP(S45,V8_COHORT_TABLE,4,FALSE),IFERROR(VLOOKUP(P45&amp;"|"&amp;Q45&amp;"|ALL",V8_COHORT_TABLE,4,FALSE),IFERROR(VLOOKUP(P45&amp;"|ALL|ALL",V8_COHORT_TABLE,4,FALSE),VLOOKUP("GLOBAL",V8_COHORT_TABLE,4,FALSE))))</f>
        <v/>
      </c>
      <c r="Y45" s="15">
        <f>IFERROR(VLOOKUP(S45,V8_COHORT_TABLE,5,FALSE),IFERROR(VLOOKUP(P45&amp;"|"&amp;Q45&amp;"|ALL",V8_COHORT_TABLE,5,FALSE),IFERROR(VLOOKUP(P45&amp;"|ALL|ALL",V8_COHORT_TABLE,5,FALSE),VLOOKUP("GLOBAL",V8_COHORT_TABLE,5,FALSE))))</f>
        <v/>
      </c>
      <c r="Z45" s="15">
        <f>V45+W45/(1+EXP(-(U45-X45)/Y45))</f>
        <v/>
      </c>
      <c r="AA45" s="16">
        <f>1-(1-Z45)^12</f>
        <v/>
      </c>
      <c r="AB45" s="14">
        <f>IF(K45&lt;=V8_AGE_KNOT_X_0,V8_AGE_KNOT_Y_0,IF(K45&gt;=V8_AGE_KNOT_X_5,V8_AGE_KNOT_Y_5,IF(K45&lt;=V8_AGE_KNOT_X_1,V8_AGE_KNOT_Y_0+(K45-V8_AGE_KNOT_X_0)/(V8_AGE_KNOT_X_1-V8_AGE_KNOT_X_0)*(V8_AGE_KNOT_Y_1-V8_AGE_KNOT_Y_0),IF(K45&lt;=V8_AGE_KNOT_X_2,V8_AGE_KNOT_Y_1+(K45-V8_AGE_KNOT_X_1)/(V8_AGE_KNOT_X_2-V8_AGE_KNOT_X_1)*(V8_AGE_KNOT_Y_2-V8_AGE_KNOT_Y_1),IF(K45&lt;=V8_AGE_KNOT_X_3,V8_AGE_KNOT_Y_2+(K45-V8_AGE_KNOT_X_2)/(V8_AGE_KNOT_X_3-V8_AGE_KNOT_X_2)*(V8_AGE_KNOT_Y_3-V8_AGE_KNOT_Y_2),IF(K45&lt;=V8_AGE_KNOT_X_4,V8_AGE_KNOT_Y_3+(K45-V8_AGE_KNOT_X_3)/(V8_AGE_KNOT_X_4-V8_AGE_KNOT_X_3)*(V8_AGE_KNOT_Y_4-V8_AGE_KNOT_Y_3),V8_AGE_KNOT_Y_4+(K45-V8_AGE_KNOT_X_4)/(V8_AGE_KNOT_X_5-V8_AGE_KNOT_X_4)*(V8_AGE_KNOT_Y_5-V8_AGE_KNOT_Y_4)))))))</f>
        <v/>
      </c>
      <c r="AC45" s="14">
        <f>IF(IF(OR(L45="",NOT(ISNUMBER(L45))),360,MAX(0,MIN(480,(INT(L45/100)-INT(VALUE(F45)/100))*12+MOD(L45,100)-MOD(VALUE(F45),100))))&gt;0,1+V8_MTY_AMP*MAX(0,(V8_MTY_CUTOFF-(IF(OR(L45="",NOT(ISNUMBER(L45))),360,MAX(0,MIN(480,(INT(L45/100)-INT(VALUE(F45)/100))*12+MOD(L45,100)-MOD(VALUE(F45),100))))))/V8_MTY_CUTOFF),1)</f>
        <v/>
      </c>
      <c r="AD45" s="14">
        <f>IF(AND(IF(OR(M45="",NOT(ISNUMBER(M45))),0,MAX(0,MIN(24,(INT(VALUE(F45)/100)-INT(M45/100))*12+MOD(VALUE(F45),100)-MOD(M45,100))))&gt;0,IF(OR(M45="",NOT(ISNUMBER(M45))),0,MAX(0,MIN(24,(INT(VALUE(F45)/100)-INT(M45/100))*12+MOD(VALUE(F45),100)-MOD(M45,100))))&lt;=12),1+V8_LOCKOUT_AMP*EXP(-(IF(OR(M45="",NOT(ISNUMBER(M45))),0,MAX(0,MIN(24,(INT(VALUE(F45)/100)-INT(M45/100))*12+MOD(VALUE(F45),100)-MOD(M45,100)))))/V8_LOCKOUT_TAU),1)</f>
        <v/>
      </c>
      <c r="AE45" s="14">
        <f>MAX(V8_BURN_FLOOR,1-V8_BURN_SLOPE*MIN(1,MAX(0,O45)))</f>
        <v/>
      </c>
      <c r="AF45" s="15">
        <f>MIN(Z45*AB45*AC45*AD45*AE45,0.2)</f>
        <v/>
      </c>
      <c r="AG45" s="16">
        <f>1-(1-AF45)^12</f>
        <v/>
      </c>
    </row>
    <row r="46">
      <c r="A46" s="2" t="inlineStr">
        <is>
          <t>000005111395</t>
        </is>
      </c>
      <c r="B46" t="inlineStr">
        <is>
          <t>223f</t>
        </is>
      </c>
      <c r="C46" t="inlineStr">
        <is>
          <t>RP</t>
        </is>
      </c>
      <c r="D46" t="inlineStr">
        <is>
          <t>BERKADIA COMMERCIAL MORTGAGE, LLC</t>
        </is>
      </c>
      <c r="E46" t="n">
        <v>2017</v>
      </c>
      <c r="F46" t="inlineStr">
        <is>
          <t>202602</t>
        </is>
      </c>
      <c r="G46" s="8" t="n">
        <v>6113588.54</v>
      </c>
      <c r="H46" s="12" t="n">
        <v>3.13</v>
      </c>
      <c r="I46" s="13" t="n">
        <v>447</v>
      </c>
      <c r="J46" s="13" t="n">
        <v>4</v>
      </c>
      <c r="K46" t="n">
        <v>98</v>
      </c>
      <c r="L46" t="n">
        <v>205303</v>
      </c>
      <c r="M46" t="inlineStr"/>
      <c r="N46" t="n">
        <v>19</v>
      </c>
      <c r="O46" s="14" t="n">
        <v>0.1938775510204082</v>
      </c>
      <c r="P46">
        <f>IF(ISNUMBER(SEARCH("232",B46)),"232",IF(ISNUMBER(SEARCH("538",B46)),"538",IF(ISNUMBER(SEARCH("223a7",B46)),"223a7",IF(ISNUMBER(SEARCH("223f",B46)),"223f","OTHER"))))</f>
        <v/>
      </c>
      <c r="Q46">
        <f>IF(UPPER(C46)="NC","NC","RP")</f>
        <v/>
      </c>
      <c r="R46">
        <f>IF(G46&lt;5000000,"small",IF(G46&lt;25000000,"medium","large"))</f>
        <v/>
      </c>
      <c r="S46">
        <f>P46&amp;"|"&amp;Q46&amp;"|"&amp;R46</f>
        <v/>
      </c>
      <c r="T46" s="13">
        <f>H46*100-I46</f>
        <v/>
      </c>
      <c r="U46" s="13">
        <f>T46-12.5*(J46+1)</f>
        <v/>
      </c>
      <c r="V46" s="15">
        <f>IFERROR(VLOOKUP(S46,V8_COHORT_TABLE,2,FALSE),IFERROR(VLOOKUP(P46&amp;"|"&amp;Q46&amp;"|ALL",V8_COHORT_TABLE,2,FALSE),IFERROR(VLOOKUP(P46&amp;"|ALL|ALL",V8_COHORT_TABLE,2,FALSE),VLOOKUP("GLOBAL",V8_COHORT_TABLE,2,FALSE))))</f>
        <v/>
      </c>
      <c r="W46" s="15">
        <f>IFERROR(VLOOKUP(S46,V8_COHORT_TABLE,3,FALSE),IFERROR(VLOOKUP(P46&amp;"|"&amp;Q46&amp;"|ALL",V8_COHORT_TABLE,3,FALSE),IFERROR(VLOOKUP(P46&amp;"|ALL|ALL",V8_COHORT_TABLE,3,FALSE),VLOOKUP("GLOBAL",V8_COHORT_TABLE,3,FALSE))))</f>
        <v/>
      </c>
      <c r="X46" s="15">
        <f>IFERROR(VLOOKUP(S46,V8_COHORT_TABLE,4,FALSE),IFERROR(VLOOKUP(P46&amp;"|"&amp;Q46&amp;"|ALL",V8_COHORT_TABLE,4,FALSE),IFERROR(VLOOKUP(P46&amp;"|ALL|ALL",V8_COHORT_TABLE,4,FALSE),VLOOKUP("GLOBAL",V8_COHORT_TABLE,4,FALSE))))</f>
        <v/>
      </c>
      <c r="Y46" s="15">
        <f>IFERROR(VLOOKUP(S46,V8_COHORT_TABLE,5,FALSE),IFERROR(VLOOKUP(P46&amp;"|"&amp;Q46&amp;"|ALL",V8_COHORT_TABLE,5,FALSE),IFERROR(VLOOKUP(P46&amp;"|ALL|ALL",V8_COHORT_TABLE,5,FALSE),VLOOKUP("GLOBAL",V8_COHORT_TABLE,5,FALSE))))</f>
        <v/>
      </c>
      <c r="Z46" s="15">
        <f>V46+W46/(1+EXP(-(U46-X46)/Y46))</f>
        <v/>
      </c>
      <c r="AA46" s="16">
        <f>1-(1-Z46)^12</f>
        <v/>
      </c>
      <c r="AB46" s="14">
        <f>IF(K46&lt;=V8_AGE_KNOT_X_0,V8_AGE_KNOT_Y_0,IF(K46&gt;=V8_AGE_KNOT_X_5,V8_AGE_KNOT_Y_5,IF(K46&lt;=V8_AGE_KNOT_X_1,V8_AGE_KNOT_Y_0+(K46-V8_AGE_KNOT_X_0)/(V8_AGE_KNOT_X_1-V8_AGE_KNOT_X_0)*(V8_AGE_KNOT_Y_1-V8_AGE_KNOT_Y_0),IF(K46&lt;=V8_AGE_KNOT_X_2,V8_AGE_KNOT_Y_1+(K46-V8_AGE_KNOT_X_1)/(V8_AGE_KNOT_X_2-V8_AGE_KNOT_X_1)*(V8_AGE_KNOT_Y_2-V8_AGE_KNOT_Y_1),IF(K46&lt;=V8_AGE_KNOT_X_3,V8_AGE_KNOT_Y_2+(K46-V8_AGE_KNOT_X_2)/(V8_AGE_KNOT_X_3-V8_AGE_KNOT_X_2)*(V8_AGE_KNOT_Y_3-V8_AGE_KNOT_Y_2),IF(K46&lt;=V8_AGE_KNOT_X_4,V8_AGE_KNOT_Y_3+(K46-V8_AGE_KNOT_X_3)/(V8_AGE_KNOT_X_4-V8_AGE_KNOT_X_3)*(V8_AGE_KNOT_Y_4-V8_AGE_KNOT_Y_3),V8_AGE_KNOT_Y_4+(K46-V8_AGE_KNOT_X_4)/(V8_AGE_KNOT_X_5-V8_AGE_KNOT_X_4)*(V8_AGE_KNOT_Y_5-V8_AGE_KNOT_Y_4)))))))</f>
        <v/>
      </c>
      <c r="AC46" s="14">
        <f>IF(IF(OR(L46="",NOT(ISNUMBER(L46))),360,MAX(0,MIN(480,(INT(L46/100)-INT(VALUE(F46)/100))*12+MOD(L46,100)-MOD(VALUE(F46),100))))&gt;0,1+V8_MTY_AMP*MAX(0,(V8_MTY_CUTOFF-(IF(OR(L46="",NOT(ISNUMBER(L46))),360,MAX(0,MIN(480,(INT(L46/100)-INT(VALUE(F46)/100))*12+MOD(L46,100)-MOD(VALUE(F46),100))))))/V8_MTY_CUTOFF),1)</f>
        <v/>
      </c>
      <c r="AD46" s="14">
        <f>IF(AND(IF(OR(M46="",NOT(ISNUMBER(M46))),0,MAX(0,MIN(24,(INT(VALUE(F46)/100)-INT(M46/100))*12+MOD(VALUE(F46),100)-MOD(M46,100))))&gt;0,IF(OR(M46="",NOT(ISNUMBER(M46))),0,MAX(0,MIN(24,(INT(VALUE(F46)/100)-INT(M46/100))*12+MOD(VALUE(F46),100)-MOD(M46,100))))&lt;=12),1+V8_LOCKOUT_AMP*EXP(-(IF(OR(M46="",NOT(ISNUMBER(M46))),0,MAX(0,MIN(24,(INT(VALUE(F46)/100)-INT(M46/100))*12+MOD(VALUE(F46),100)-MOD(M46,100)))))/V8_LOCKOUT_TAU),1)</f>
        <v/>
      </c>
      <c r="AE46" s="14">
        <f>MAX(V8_BURN_FLOOR,1-V8_BURN_SLOPE*MIN(1,MAX(0,O46)))</f>
        <v/>
      </c>
      <c r="AF46" s="15">
        <f>MIN(Z46*AB46*AC46*AD46*AE46,0.2)</f>
        <v/>
      </c>
      <c r="AG46" s="16">
        <f>1-(1-AF46)^12</f>
        <v/>
      </c>
    </row>
    <row r="47">
      <c r="A47" s="2" t="inlineStr">
        <is>
          <t>000007311922</t>
        </is>
      </c>
      <c r="B47" t="inlineStr">
        <is>
          <t>221d4</t>
        </is>
      </c>
      <c r="C47" t="inlineStr">
        <is>
          <t>RP</t>
        </is>
      </c>
      <c r="D47" t="inlineStr">
        <is>
          <t>BERKADIA COMMERCIAL MORTGAGE, LLC</t>
        </is>
      </c>
      <c r="E47" t="n">
        <v>2017</v>
      </c>
      <c r="F47" t="inlineStr">
        <is>
          <t>202602</t>
        </is>
      </c>
      <c r="G47" s="8" t="n">
        <v>137331.58</v>
      </c>
      <c r="H47" s="12" t="n">
        <v>4.25</v>
      </c>
      <c r="I47" s="13" t="n">
        <v>447</v>
      </c>
      <c r="J47" s="13" t="n">
        <v>3</v>
      </c>
      <c r="K47" t="n">
        <v>102</v>
      </c>
      <c r="L47" t="n">
        <v>204712</v>
      </c>
      <c r="M47" t="inlineStr"/>
      <c r="N47" t="n">
        <v>36</v>
      </c>
      <c r="O47" s="14" t="n">
        <v>0.3529411764705883</v>
      </c>
      <c r="P47">
        <f>IF(ISNUMBER(SEARCH("232",B47)),"232",IF(ISNUMBER(SEARCH("538",B47)),"538",IF(ISNUMBER(SEARCH("223a7",B47)),"223a7",IF(ISNUMBER(SEARCH("223f",B47)),"223f","OTHER"))))</f>
        <v/>
      </c>
      <c r="Q47">
        <f>IF(UPPER(C47)="NC","NC","RP")</f>
        <v/>
      </c>
      <c r="R47">
        <f>IF(G47&lt;5000000,"small",IF(G47&lt;25000000,"medium","large"))</f>
        <v/>
      </c>
      <c r="S47">
        <f>P47&amp;"|"&amp;Q47&amp;"|"&amp;R47</f>
        <v/>
      </c>
      <c r="T47" s="13">
        <f>H47*100-I47</f>
        <v/>
      </c>
      <c r="U47" s="13">
        <f>T47-12.5*(J47+1)</f>
        <v/>
      </c>
      <c r="V47" s="15">
        <f>IFERROR(VLOOKUP(S47,V8_COHORT_TABLE,2,FALSE),IFERROR(VLOOKUP(P47&amp;"|"&amp;Q47&amp;"|ALL",V8_COHORT_TABLE,2,FALSE),IFERROR(VLOOKUP(P47&amp;"|ALL|ALL",V8_COHORT_TABLE,2,FALSE),VLOOKUP("GLOBAL",V8_COHORT_TABLE,2,FALSE))))</f>
        <v/>
      </c>
      <c r="W47" s="15">
        <f>IFERROR(VLOOKUP(S47,V8_COHORT_TABLE,3,FALSE),IFERROR(VLOOKUP(P47&amp;"|"&amp;Q47&amp;"|ALL",V8_COHORT_TABLE,3,FALSE),IFERROR(VLOOKUP(P47&amp;"|ALL|ALL",V8_COHORT_TABLE,3,FALSE),VLOOKUP("GLOBAL",V8_COHORT_TABLE,3,FALSE))))</f>
        <v/>
      </c>
      <c r="X47" s="15">
        <f>IFERROR(VLOOKUP(S47,V8_COHORT_TABLE,4,FALSE),IFERROR(VLOOKUP(P47&amp;"|"&amp;Q47&amp;"|ALL",V8_COHORT_TABLE,4,FALSE),IFERROR(VLOOKUP(P47&amp;"|ALL|ALL",V8_COHORT_TABLE,4,FALSE),VLOOKUP("GLOBAL",V8_COHORT_TABLE,4,FALSE))))</f>
        <v/>
      </c>
      <c r="Y47" s="15">
        <f>IFERROR(VLOOKUP(S47,V8_COHORT_TABLE,5,FALSE),IFERROR(VLOOKUP(P47&amp;"|"&amp;Q47&amp;"|ALL",V8_COHORT_TABLE,5,FALSE),IFERROR(VLOOKUP(P47&amp;"|ALL|ALL",V8_COHORT_TABLE,5,FALSE),VLOOKUP("GLOBAL",V8_COHORT_TABLE,5,FALSE))))</f>
        <v/>
      </c>
      <c r="Z47" s="15">
        <f>V47+W47/(1+EXP(-(U47-X47)/Y47))</f>
        <v/>
      </c>
      <c r="AA47" s="16">
        <f>1-(1-Z47)^12</f>
        <v/>
      </c>
      <c r="AB47" s="14">
        <f>IF(K47&lt;=V8_AGE_KNOT_X_0,V8_AGE_KNOT_Y_0,IF(K47&gt;=V8_AGE_KNOT_X_5,V8_AGE_KNOT_Y_5,IF(K47&lt;=V8_AGE_KNOT_X_1,V8_AGE_KNOT_Y_0+(K47-V8_AGE_KNOT_X_0)/(V8_AGE_KNOT_X_1-V8_AGE_KNOT_X_0)*(V8_AGE_KNOT_Y_1-V8_AGE_KNOT_Y_0),IF(K47&lt;=V8_AGE_KNOT_X_2,V8_AGE_KNOT_Y_1+(K47-V8_AGE_KNOT_X_1)/(V8_AGE_KNOT_X_2-V8_AGE_KNOT_X_1)*(V8_AGE_KNOT_Y_2-V8_AGE_KNOT_Y_1),IF(K47&lt;=V8_AGE_KNOT_X_3,V8_AGE_KNOT_Y_2+(K47-V8_AGE_KNOT_X_2)/(V8_AGE_KNOT_X_3-V8_AGE_KNOT_X_2)*(V8_AGE_KNOT_Y_3-V8_AGE_KNOT_Y_2),IF(K47&lt;=V8_AGE_KNOT_X_4,V8_AGE_KNOT_Y_3+(K47-V8_AGE_KNOT_X_3)/(V8_AGE_KNOT_X_4-V8_AGE_KNOT_X_3)*(V8_AGE_KNOT_Y_4-V8_AGE_KNOT_Y_3),V8_AGE_KNOT_Y_4+(K47-V8_AGE_KNOT_X_4)/(V8_AGE_KNOT_X_5-V8_AGE_KNOT_X_4)*(V8_AGE_KNOT_Y_5-V8_AGE_KNOT_Y_4)))))))</f>
        <v/>
      </c>
      <c r="AC47" s="14">
        <f>IF(IF(OR(L47="",NOT(ISNUMBER(L47))),360,MAX(0,MIN(480,(INT(L47/100)-INT(VALUE(F47)/100))*12+MOD(L47,100)-MOD(VALUE(F47),100))))&gt;0,1+V8_MTY_AMP*MAX(0,(V8_MTY_CUTOFF-(IF(OR(L47="",NOT(ISNUMBER(L47))),360,MAX(0,MIN(480,(INT(L47/100)-INT(VALUE(F47)/100))*12+MOD(L47,100)-MOD(VALUE(F47),100))))))/V8_MTY_CUTOFF),1)</f>
        <v/>
      </c>
      <c r="AD47" s="14">
        <f>IF(AND(IF(OR(M47="",NOT(ISNUMBER(M47))),0,MAX(0,MIN(24,(INT(VALUE(F47)/100)-INT(M47/100))*12+MOD(VALUE(F47),100)-MOD(M47,100))))&gt;0,IF(OR(M47="",NOT(ISNUMBER(M47))),0,MAX(0,MIN(24,(INT(VALUE(F47)/100)-INT(M47/100))*12+MOD(VALUE(F47),100)-MOD(M47,100))))&lt;=12),1+V8_LOCKOUT_AMP*EXP(-(IF(OR(M47="",NOT(ISNUMBER(M47))),0,MAX(0,MIN(24,(INT(VALUE(F47)/100)-INT(M47/100))*12+MOD(VALUE(F47),100)-MOD(M47,100)))))/V8_LOCKOUT_TAU),1)</f>
        <v/>
      </c>
      <c r="AE47" s="14">
        <f>MAX(V8_BURN_FLOOR,1-V8_BURN_SLOPE*MIN(1,MAX(0,O47)))</f>
        <v/>
      </c>
      <c r="AF47" s="15">
        <f>MIN(Z47*AB47*AC47*AD47*AE47,0.2)</f>
        <v/>
      </c>
      <c r="AG47" s="16">
        <f>1-(1-AF47)^12</f>
        <v/>
      </c>
    </row>
    <row r="48">
      <c r="A48" s="2" t="inlineStr">
        <is>
          <t>000011535902</t>
        </is>
      </c>
      <c r="B48" t="inlineStr">
        <is>
          <t>221d4</t>
        </is>
      </c>
      <c r="C48" t="inlineStr">
        <is>
          <t>NC</t>
        </is>
      </c>
      <c r="D48" t="inlineStr">
        <is>
          <t>BERKADIA COMMERCIAL MORTGAGE, LLC</t>
        </is>
      </c>
      <c r="E48" t="n">
        <v>2021</v>
      </c>
      <c r="F48" t="inlineStr">
        <is>
          <t>202602</t>
        </is>
      </c>
      <c r="G48" s="8" t="n">
        <v>45179299.6</v>
      </c>
      <c r="H48" s="12" t="n">
        <v>2.96</v>
      </c>
      <c r="I48" s="13" t="n">
        <v>447</v>
      </c>
      <c r="J48" s="13" t="n">
        <v>10</v>
      </c>
      <c r="K48" t="n">
        <v>50</v>
      </c>
      <c r="L48" t="n">
        <v>206408</v>
      </c>
      <c r="M48" t="inlineStr"/>
      <c r="N48" t="n">
        <v>0</v>
      </c>
      <c r="O48" s="14" t="n">
        <v>0</v>
      </c>
      <c r="P48">
        <f>IF(ISNUMBER(SEARCH("232",B48)),"232",IF(ISNUMBER(SEARCH("538",B48)),"538",IF(ISNUMBER(SEARCH("223a7",B48)),"223a7",IF(ISNUMBER(SEARCH("223f",B48)),"223f","OTHER"))))</f>
        <v/>
      </c>
      <c r="Q48">
        <f>IF(UPPER(C48)="NC","NC","RP")</f>
        <v/>
      </c>
      <c r="R48">
        <f>IF(G48&lt;5000000,"small",IF(G48&lt;25000000,"medium","large"))</f>
        <v/>
      </c>
      <c r="S48">
        <f>P48&amp;"|"&amp;Q48&amp;"|"&amp;R48</f>
        <v/>
      </c>
      <c r="T48" s="13">
        <f>H48*100-I48</f>
        <v/>
      </c>
      <c r="U48" s="13">
        <f>T48-12.5*(J48+1)</f>
        <v/>
      </c>
      <c r="V48" s="15">
        <f>IFERROR(VLOOKUP(S48,V8_COHORT_TABLE,2,FALSE),IFERROR(VLOOKUP(P48&amp;"|"&amp;Q48&amp;"|ALL",V8_COHORT_TABLE,2,FALSE),IFERROR(VLOOKUP(P48&amp;"|ALL|ALL",V8_COHORT_TABLE,2,FALSE),VLOOKUP("GLOBAL",V8_COHORT_TABLE,2,FALSE))))</f>
        <v/>
      </c>
      <c r="W48" s="15">
        <f>IFERROR(VLOOKUP(S48,V8_COHORT_TABLE,3,FALSE),IFERROR(VLOOKUP(P48&amp;"|"&amp;Q48&amp;"|ALL",V8_COHORT_TABLE,3,FALSE),IFERROR(VLOOKUP(P48&amp;"|ALL|ALL",V8_COHORT_TABLE,3,FALSE),VLOOKUP("GLOBAL",V8_COHORT_TABLE,3,FALSE))))</f>
        <v/>
      </c>
      <c r="X48" s="15">
        <f>IFERROR(VLOOKUP(S48,V8_COHORT_TABLE,4,FALSE),IFERROR(VLOOKUP(P48&amp;"|"&amp;Q48&amp;"|ALL",V8_COHORT_TABLE,4,FALSE),IFERROR(VLOOKUP(P48&amp;"|ALL|ALL",V8_COHORT_TABLE,4,FALSE),VLOOKUP("GLOBAL",V8_COHORT_TABLE,4,FALSE))))</f>
        <v/>
      </c>
      <c r="Y48" s="15">
        <f>IFERROR(VLOOKUP(S48,V8_COHORT_TABLE,5,FALSE),IFERROR(VLOOKUP(P48&amp;"|"&amp;Q48&amp;"|ALL",V8_COHORT_TABLE,5,FALSE),IFERROR(VLOOKUP(P48&amp;"|ALL|ALL",V8_COHORT_TABLE,5,FALSE),VLOOKUP("GLOBAL",V8_COHORT_TABLE,5,FALSE))))</f>
        <v/>
      </c>
      <c r="Z48" s="15">
        <f>V48+W48/(1+EXP(-(U48-X48)/Y48))</f>
        <v/>
      </c>
      <c r="AA48" s="16">
        <f>1-(1-Z48)^12</f>
        <v/>
      </c>
      <c r="AB48" s="14">
        <f>IF(K48&lt;=V8_AGE_KNOT_X_0,V8_AGE_KNOT_Y_0,IF(K48&gt;=V8_AGE_KNOT_X_5,V8_AGE_KNOT_Y_5,IF(K48&lt;=V8_AGE_KNOT_X_1,V8_AGE_KNOT_Y_0+(K48-V8_AGE_KNOT_X_0)/(V8_AGE_KNOT_X_1-V8_AGE_KNOT_X_0)*(V8_AGE_KNOT_Y_1-V8_AGE_KNOT_Y_0),IF(K48&lt;=V8_AGE_KNOT_X_2,V8_AGE_KNOT_Y_1+(K48-V8_AGE_KNOT_X_1)/(V8_AGE_KNOT_X_2-V8_AGE_KNOT_X_1)*(V8_AGE_KNOT_Y_2-V8_AGE_KNOT_Y_1),IF(K48&lt;=V8_AGE_KNOT_X_3,V8_AGE_KNOT_Y_2+(K48-V8_AGE_KNOT_X_2)/(V8_AGE_KNOT_X_3-V8_AGE_KNOT_X_2)*(V8_AGE_KNOT_Y_3-V8_AGE_KNOT_Y_2),IF(K48&lt;=V8_AGE_KNOT_X_4,V8_AGE_KNOT_Y_3+(K48-V8_AGE_KNOT_X_3)/(V8_AGE_KNOT_X_4-V8_AGE_KNOT_X_3)*(V8_AGE_KNOT_Y_4-V8_AGE_KNOT_Y_3),V8_AGE_KNOT_Y_4+(K48-V8_AGE_KNOT_X_4)/(V8_AGE_KNOT_X_5-V8_AGE_KNOT_X_4)*(V8_AGE_KNOT_Y_5-V8_AGE_KNOT_Y_4)))))))</f>
        <v/>
      </c>
      <c r="AC48" s="14">
        <f>IF(IF(OR(L48="",NOT(ISNUMBER(L48))),360,MAX(0,MIN(480,(INT(L48/100)-INT(VALUE(F48)/100))*12+MOD(L48,100)-MOD(VALUE(F48),100))))&gt;0,1+V8_MTY_AMP*MAX(0,(V8_MTY_CUTOFF-(IF(OR(L48="",NOT(ISNUMBER(L48))),360,MAX(0,MIN(480,(INT(L48/100)-INT(VALUE(F48)/100))*12+MOD(L48,100)-MOD(VALUE(F48),100))))))/V8_MTY_CUTOFF),1)</f>
        <v/>
      </c>
      <c r="AD48" s="14">
        <f>IF(AND(IF(OR(M48="",NOT(ISNUMBER(M48))),0,MAX(0,MIN(24,(INT(VALUE(F48)/100)-INT(M48/100))*12+MOD(VALUE(F48),100)-MOD(M48,100))))&gt;0,IF(OR(M48="",NOT(ISNUMBER(M48))),0,MAX(0,MIN(24,(INT(VALUE(F48)/100)-INT(M48/100))*12+MOD(VALUE(F48),100)-MOD(M48,100))))&lt;=12),1+V8_LOCKOUT_AMP*EXP(-(IF(OR(M48="",NOT(ISNUMBER(M48))),0,MAX(0,MIN(24,(INT(VALUE(F48)/100)-INT(M48/100))*12+MOD(VALUE(F48),100)-MOD(M48,100)))))/V8_LOCKOUT_TAU),1)</f>
        <v/>
      </c>
      <c r="AE48" s="14">
        <f>MAX(V8_BURN_FLOOR,1-V8_BURN_SLOPE*MIN(1,MAX(0,O48)))</f>
        <v/>
      </c>
      <c r="AF48" s="15">
        <f>MIN(Z48*AB48*AC48*AD48*AE48,0.2)</f>
        <v/>
      </c>
      <c r="AG48" s="16">
        <f>1-(1-AF48)^12</f>
        <v/>
      </c>
    </row>
    <row r="49">
      <c r="A49" s="2" t="inlineStr">
        <is>
          <t>000005411156</t>
        </is>
      </c>
      <c r="B49" t="inlineStr">
        <is>
          <t>223f</t>
        </is>
      </c>
      <c r="C49" t="inlineStr">
        <is>
          <t>RP</t>
        </is>
      </c>
      <c r="D49" t="inlineStr">
        <is>
          <t>BERKADIA COMMERCIAL MORTGAGE, LLC</t>
        </is>
      </c>
      <c r="E49" t="n">
        <v>2017</v>
      </c>
      <c r="F49" t="inlineStr">
        <is>
          <t>202602</t>
        </is>
      </c>
      <c r="G49" s="8" t="n">
        <v>3384137.38</v>
      </c>
      <c r="H49" s="12" t="n">
        <v>3.99</v>
      </c>
      <c r="I49" s="13" t="n">
        <v>447</v>
      </c>
      <c r="J49" s="13" t="n">
        <v>0</v>
      </c>
      <c r="K49" t="n">
        <v>99</v>
      </c>
      <c r="L49" t="n">
        <v>204806</v>
      </c>
      <c r="M49" t="inlineStr"/>
      <c r="N49" t="n">
        <v>41</v>
      </c>
      <c r="O49" s="14" t="n">
        <v>0.4141414141414141</v>
      </c>
      <c r="P49">
        <f>IF(ISNUMBER(SEARCH("232",B49)),"232",IF(ISNUMBER(SEARCH("538",B49)),"538",IF(ISNUMBER(SEARCH("223a7",B49)),"223a7",IF(ISNUMBER(SEARCH("223f",B49)),"223f","OTHER"))))</f>
        <v/>
      </c>
      <c r="Q49">
        <f>IF(UPPER(C49)="NC","NC","RP")</f>
        <v/>
      </c>
      <c r="R49">
        <f>IF(G49&lt;5000000,"small",IF(G49&lt;25000000,"medium","large"))</f>
        <v/>
      </c>
      <c r="S49">
        <f>P49&amp;"|"&amp;Q49&amp;"|"&amp;R49</f>
        <v/>
      </c>
      <c r="T49" s="13">
        <f>H49*100-I49</f>
        <v/>
      </c>
      <c r="U49" s="13">
        <f>T49-12.5*(J49+1)</f>
        <v/>
      </c>
      <c r="V49" s="15">
        <f>IFERROR(VLOOKUP(S49,V8_COHORT_TABLE,2,FALSE),IFERROR(VLOOKUP(P49&amp;"|"&amp;Q49&amp;"|ALL",V8_COHORT_TABLE,2,FALSE),IFERROR(VLOOKUP(P49&amp;"|ALL|ALL",V8_COHORT_TABLE,2,FALSE),VLOOKUP("GLOBAL",V8_COHORT_TABLE,2,FALSE))))</f>
        <v/>
      </c>
      <c r="W49" s="15">
        <f>IFERROR(VLOOKUP(S49,V8_COHORT_TABLE,3,FALSE),IFERROR(VLOOKUP(P49&amp;"|"&amp;Q49&amp;"|ALL",V8_COHORT_TABLE,3,FALSE),IFERROR(VLOOKUP(P49&amp;"|ALL|ALL",V8_COHORT_TABLE,3,FALSE),VLOOKUP("GLOBAL",V8_COHORT_TABLE,3,FALSE))))</f>
        <v/>
      </c>
      <c r="X49" s="15">
        <f>IFERROR(VLOOKUP(S49,V8_COHORT_TABLE,4,FALSE),IFERROR(VLOOKUP(P49&amp;"|"&amp;Q49&amp;"|ALL",V8_COHORT_TABLE,4,FALSE),IFERROR(VLOOKUP(P49&amp;"|ALL|ALL",V8_COHORT_TABLE,4,FALSE),VLOOKUP("GLOBAL",V8_COHORT_TABLE,4,FALSE))))</f>
        <v/>
      </c>
      <c r="Y49" s="15">
        <f>IFERROR(VLOOKUP(S49,V8_COHORT_TABLE,5,FALSE),IFERROR(VLOOKUP(P49&amp;"|"&amp;Q49&amp;"|ALL",V8_COHORT_TABLE,5,FALSE),IFERROR(VLOOKUP(P49&amp;"|ALL|ALL",V8_COHORT_TABLE,5,FALSE),VLOOKUP("GLOBAL",V8_COHORT_TABLE,5,FALSE))))</f>
        <v/>
      </c>
      <c r="Z49" s="15">
        <f>V49+W49/(1+EXP(-(U49-X49)/Y49))</f>
        <v/>
      </c>
      <c r="AA49" s="16">
        <f>1-(1-Z49)^12</f>
        <v/>
      </c>
      <c r="AB49" s="14">
        <f>IF(K49&lt;=V8_AGE_KNOT_X_0,V8_AGE_KNOT_Y_0,IF(K49&gt;=V8_AGE_KNOT_X_5,V8_AGE_KNOT_Y_5,IF(K49&lt;=V8_AGE_KNOT_X_1,V8_AGE_KNOT_Y_0+(K49-V8_AGE_KNOT_X_0)/(V8_AGE_KNOT_X_1-V8_AGE_KNOT_X_0)*(V8_AGE_KNOT_Y_1-V8_AGE_KNOT_Y_0),IF(K49&lt;=V8_AGE_KNOT_X_2,V8_AGE_KNOT_Y_1+(K49-V8_AGE_KNOT_X_1)/(V8_AGE_KNOT_X_2-V8_AGE_KNOT_X_1)*(V8_AGE_KNOT_Y_2-V8_AGE_KNOT_Y_1),IF(K49&lt;=V8_AGE_KNOT_X_3,V8_AGE_KNOT_Y_2+(K49-V8_AGE_KNOT_X_2)/(V8_AGE_KNOT_X_3-V8_AGE_KNOT_X_2)*(V8_AGE_KNOT_Y_3-V8_AGE_KNOT_Y_2),IF(K49&lt;=V8_AGE_KNOT_X_4,V8_AGE_KNOT_Y_3+(K49-V8_AGE_KNOT_X_3)/(V8_AGE_KNOT_X_4-V8_AGE_KNOT_X_3)*(V8_AGE_KNOT_Y_4-V8_AGE_KNOT_Y_3),V8_AGE_KNOT_Y_4+(K49-V8_AGE_KNOT_X_4)/(V8_AGE_KNOT_X_5-V8_AGE_KNOT_X_4)*(V8_AGE_KNOT_Y_5-V8_AGE_KNOT_Y_4)))))))</f>
        <v/>
      </c>
      <c r="AC49" s="14">
        <f>IF(IF(OR(L49="",NOT(ISNUMBER(L49))),360,MAX(0,MIN(480,(INT(L49/100)-INT(VALUE(F49)/100))*12+MOD(L49,100)-MOD(VALUE(F49),100))))&gt;0,1+V8_MTY_AMP*MAX(0,(V8_MTY_CUTOFF-(IF(OR(L49="",NOT(ISNUMBER(L49))),360,MAX(0,MIN(480,(INT(L49/100)-INT(VALUE(F49)/100))*12+MOD(L49,100)-MOD(VALUE(F49),100))))))/V8_MTY_CUTOFF),1)</f>
        <v/>
      </c>
      <c r="AD49" s="14">
        <f>IF(AND(IF(OR(M49="",NOT(ISNUMBER(M49))),0,MAX(0,MIN(24,(INT(VALUE(F49)/100)-INT(M49/100))*12+MOD(VALUE(F49),100)-MOD(M49,100))))&gt;0,IF(OR(M49="",NOT(ISNUMBER(M49))),0,MAX(0,MIN(24,(INT(VALUE(F49)/100)-INT(M49/100))*12+MOD(VALUE(F49),100)-MOD(M49,100))))&lt;=12),1+V8_LOCKOUT_AMP*EXP(-(IF(OR(M49="",NOT(ISNUMBER(M49))),0,MAX(0,MIN(24,(INT(VALUE(F49)/100)-INT(M49/100))*12+MOD(VALUE(F49),100)-MOD(M49,100)))))/V8_LOCKOUT_TAU),1)</f>
        <v/>
      </c>
      <c r="AE49" s="14">
        <f>MAX(V8_BURN_FLOOR,1-V8_BURN_SLOPE*MIN(1,MAX(0,O49)))</f>
        <v/>
      </c>
      <c r="AF49" s="15">
        <f>MIN(Z49*AB49*AC49*AD49*AE49,0.2)</f>
        <v/>
      </c>
      <c r="AG49" s="16">
        <f>1-(1-AF49)^12</f>
        <v/>
      </c>
    </row>
    <row r="50">
      <c r="A50" s="2" t="inlineStr">
        <is>
          <t>000004711281</t>
        </is>
      </c>
      <c r="B50" t="inlineStr">
        <is>
          <t>223f</t>
        </is>
      </c>
      <c r="C50" t="inlineStr">
        <is>
          <t>RP</t>
        </is>
      </c>
      <c r="D50" t="inlineStr">
        <is>
          <t>BERKADIA COMMERCIAL MORTGAGE, LLC</t>
        </is>
      </c>
      <c r="E50" t="n">
        <v>2021</v>
      </c>
      <c r="F50" t="inlineStr">
        <is>
          <t>202602</t>
        </is>
      </c>
      <c r="G50" s="8" t="n">
        <v>5205375.79</v>
      </c>
      <c r="H50" s="12" t="n">
        <v>2.49</v>
      </c>
      <c r="I50" s="13" t="n">
        <v>447</v>
      </c>
      <c r="J50" s="13" t="n">
        <v>8</v>
      </c>
      <c r="K50" t="n">
        <v>54</v>
      </c>
      <c r="L50" t="n">
        <v>205604</v>
      </c>
      <c r="M50" t="inlineStr"/>
      <c r="N50" t="n">
        <v>0</v>
      </c>
      <c r="O50" s="14" t="n">
        <v>0</v>
      </c>
      <c r="P50">
        <f>IF(ISNUMBER(SEARCH("232",B50)),"232",IF(ISNUMBER(SEARCH("538",B50)),"538",IF(ISNUMBER(SEARCH("223a7",B50)),"223a7",IF(ISNUMBER(SEARCH("223f",B50)),"223f","OTHER"))))</f>
        <v/>
      </c>
      <c r="Q50">
        <f>IF(UPPER(C50)="NC","NC","RP")</f>
        <v/>
      </c>
      <c r="R50">
        <f>IF(G50&lt;5000000,"small",IF(G50&lt;25000000,"medium","large"))</f>
        <v/>
      </c>
      <c r="S50">
        <f>P50&amp;"|"&amp;Q50&amp;"|"&amp;R50</f>
        <v/>
      </c>
      <c r="T50" s="13">
        <f>H50*100-I50</f>
        <v/>
      </c>
      <c r="U50" s="13">
        <f>T50-12.5*(J50+1)</f>
        <v/>
      </c>
      <c r="V50" s="15">
        <f>IFERROR(VLOOKUP(S50,V8_COHORT_TABLE,2,FALSE),IFERROR(VLOOKUP(P50&amp;"|"&amp;Q50&amp;"|ALL",V8_COHORT_TABLE,2,FALSE),IFERROR(VLOOKUP(P50&amp;"|ALL|ALL",V8_COHORT_TABLE,2,FALSE),VLOOKUP("GLOBAL",V8_COHORT_TABLE,2,FALSE))))</f>
        <v/>
      </c>
      <c r="W50" s="15">
        <f>IFERROR(VLOOKUP(S50,V8_COHORT_TABLE,3,FALSE),IFERROR(VLOOKUP(P50&amp;"|"&amp;Q50&amp;"|ALL",V8_COHORT_TABLE,3,FALSE),IFERROR(VLOOKUP(P50&amp;"|ALL|ALL",V8_COHORT_TABLE,3,FALSE),VLOOKUP("GLOBAL",V8_COHORT_TABLE,3,FALSE))))</f>
        <v/>
      </c>
      <c r="X50" s="15">
        <f>IFERROR(VLOOKUP(S50,V8_COHORT_TABLE,4,FALSE),IFERROR(VLOOKUP(P50&amp;"|"&amp;Q50&amp;"|ALL",V8_COHORT_TABLE,4,FALSE),IFERROR(VLOOKUP(P50&amp;"|ALL|ALL",V8_COHORT_TABLE,4,FALSE),VLOOKUP("GLOBAL",V8_COHORT_TABLE,4,FALSE))))</f>
        <v/>
      </c>
      <c r="Y50" s="15">
        <f>IFERROR(VLOOKUP(S50,V8_COHORT_TABLE,5,FALSE),IFERROR(VLOOKUP(P50&amp;"|"&amp;Q50&amp;"|ALL",V8_COHORT_TABLE,5,FALSE),IFERROR(VLOOKUP(P50&amp;"|ALL|ALL",V8_COHORT_TABLE,5,FALSE),VLOOKUP("GLOBAL",V8_COHORT_TABLE,5,FALSE))))</f>
        <v/>
      </c>
      <c r="Z50" s="15">
        <f>V50+W50/(1+EXP(-(U50-X50)/Y50))</f>
        <v/>
      </c>
      <c r="AA50" s="16">
        <f>1-(1-Z50)^12</f>
        <v/>
      </c>
      <c r="AB50" s="14">
        <f>IF(K50&lt;=V8_AGE_KNOT_X_0,V8_AGE_KNOT_Y_0,IF(K50&gt;=V8_AGE_KNOT_X_5,V8_AGE_KNOT_Y_5,IF(K50&lt;=V8_AGE_KNOT_X_1,V8_AGE_KNOT_Y_0+(K50-V8_AGE_KNOT_X_0)/(V8_AGE_KNOT_X_1-V8_AGE_KNOT_X_0)*(V8_AGE_KNOT_Y_1-V8_AGE_KNOT_Y_0),IF(K50&lt;=V8_AGE_KNOT_X_2,V8_AGE_KNOT_Y_1+(K50-V8_AGE_KNOT_X_1)/(V8_AGE_KNOT_X_2-V8_AGE_KNOT_X_1)*(V8_AGE_KNOT_Y_2-V8_AGE_KNOT_Y_1),IF(K50&lt;=V8_AGE_KNOT_X_3,V8_AGE_KNOT_Y_2+(K50-V8_AGE_KNOT_X_2)/(V8_AGE_KNOT_X_3-V8_AGE_KNOT_X_2)*(V8_AGE_KNOT_Y_3-V8_AGE_KNOT_Y_2),IF(K50&lt;=V8_AGE_KNOT_X_4,V8_AGE_KNOT_Y_3+(K50-V8_AGE_KNOT_X_3)/(V8_AGE_KNOT_X_4-V8_AGE_KNOT_X_3)*(V8_AGE_KNOT_Y_4-V8_AGE_KNOT_Y_3),V8_AGE_KNOT_Y_4+(K50-V8_AGE_KNOT_X_4)/(V8_AGE_KNOT_X_5-V8_AGE_KNOT_X_4)*(V8_AGE_KNOT_Y_5-V8_AGE_KNOT_Y_4)))))))</f>
        <v/>
      </c>
      <c r="AC50" s="14">
        <f>IF(IF(OR(L50="",NOT(ISNUMBER(L50))),360,MAX(0,MIN(480,(INT(L50/100)-INT(VALUE(F50)/100))*12+MOD(L50,100)-MOD(VALUE(F50),100))))&gt;0,1+V8_MTY_AMP*MAX(0,(V8_MTY_CUTOFF-(IF(OR(L50="",NOT(ISNUMBER(L50))),360,MAX(0,MIN(480,(INT(L50/100)-INT(VALUE(F50)/100))*12+MOD(L50,100)-MOD(VALUE(F50),100))))))/V8_MTY_CUTOFF),1)</f>
        <v/>
      </c>
      <c r="AD50" s="14">
        <f>IF(AND(IF(OR(M50="",NOT(ISNUMBER(M50))),0,MAX(0,MIN(24,(INT(VALUE(F50)/100)-INT(M50/100))*12+MOD(VALUE(F50),100)-MOD(M50,100))))&gt;0,IF(OR(M50="",NOT(ISNUMBER(M50))),0,MAX(0,MIN(24,(INT(VALUE(F50)/100)-INT(M50/100))*12+MOD(VALUE(F50),100)-MOD(M50,100))))&lt;=12),1+V8_LOCKOUT_AMP*EXP(-(IF(OR(M50="",NOT(ISNUMBER(M50))),0,MAX(0,MIN(24,(INT(VALUE(F50)/100)-INT(M50/100))*12+MOD(VALUE(F50),100)-MOD(M50,100)))))/V8_LOCKOUT_TAU),1)</f>
        <v/>
      </c>
      <c r="AE50" s="14">
        <f>MAX(V8_BURN_FLOOR,1-V8_BURN_SLOPE*MIN(1,MAX(0,O50)))</f>
        <v/>
      </c>
      <c r="AF50" s="15">
        <f>MIN(Z50*AB50*AC50*AD50*AE50,0.2)</f>
        <v/>
      </c>
      <c r="AG50" s="16">
        <f>1-(1-AF50)^12</f>
        <v/>
      </c>
    </row>
    <row r="51">
      <c r="A51" s="2" t="inlineStr">
        <is>
          <t>000005135817</t>
        </is>
      </c>
      <c r="B51" t="inlineStr">
        <is>
          <t>221d4</t>
        </is>
      </c>
      <c r="C51" t="inlineStr">
        <is>
          <t>RP</t>
        </is>
      </c>
      <c r="D51" t="inlineStr">
        <is>
          <t>BERKADIA COMMERCIAL MORTGAGE, LLC</t>
        </is>
      </c>
      <c r="E51" t="n">
        <v>2020</v>
      </c>
      <c r="F51" t="inlineStr">
        <is>
          <t>202602</t>
        </is>
      </c>
      <c r="G51" s="8" t="n">
        <v>36370658.07</v>
      </c>
      <c r="H51" s="12" t="n">
        <v>2.3</v>
      </c>
      <c r="I51" s="13" t="n">
        <v>447</v>
      </c>
      <c r="J51" s="13" t="n">
        <v>7</v>
      </c>
      <c r="K51" t="n">
        <v>64</v>
      </c>
      <c r="L51" t="n">
        <v>206103</v>
      </c>
      <c r="M51" t="inlineStr"/>
      <c r="N51" t="n">
        <v>12</v>
      </c>
      <c r="O51" s="14" t="n">
        <v>0.1875</v>
      </c>
      <c r="P51">
        <f>IF(ISNUMBER(SEARCH("232",B51)),"232",IF(ISNUMBER(SEARCH("538",B51)),"538",IF(ISNUMBER(SEARCH("223a7",B51)),"223a7",IF(ISNUMBER(SEARCH("223f",B51)),"223f","OTHER"))))</f>
        <v/>
      </c>
      <c r="Q51">
        <f>IF(UPPER(C51)="NC","NC","RP")</f>
        <v/>
      </c>
      <c r="R51">
        <f>IF(G51&lt;5000000,"small",IF(G51&lt;25000000,"medium","large"))</f>
        <v/>
      </c>
      <c r="S51">
        <f>P51&amp;"|"&amp;Q51&amp;"|"&amp;R51</f>
        <v/>
      </c>
      <c r="T51" s="13">
        <f>H51*100-I51</f>
        <v/>
      </c>
      <c r="U51" s="13">
        <f>T51-12.5*(J51+1)</f>
        <v/>
      </c>
      <c r="V51" s="15">
        <f>IFERROR(VLOOKUP(S51,V8_COHORT_TABLE,2,FALSE),IFERROR(VLOOKUP(P51&amp;"|"&amp;Q51&amp;"|ALL",V8_COHORT_TABLE,2,FALSE),IFERROR(VLOOKUP(P51&amp;"|ALL|ALL",V8_COHORT_TABLE,2,FALSE),VLOOKUP("GLOBAL",V8_COHORT_TABLE,2,FALSE))))</f>
        <v/>
      </c>
      <c r="W51" s="15">
        <f>IFERROR(VLOOKUP(S51,V8_COHORT_TABLE,3,FALSE),IFERROR(VLOOKUP(P51&amp;"|"&amp;Q51&amp;"|ALL",V8_COHORT_TABLE,3,FALSE),IFERROR(VLOOKUP(P51&amp;"|ALL|ALL",V8_COHORT_TABLE,3,FALSE),VLOOKUP("GLOBAL",V8_COHORT_TABLE,3,FALSE))))</f>
        <v/>
      </c>
      <c r="X51" s="15">
        <f>IFERROR(VLOOKUP(S51,V8_COHORT_TABLE,4,FALSE),IFERROR(VLOOKUP(P51&amp;"|"&amp;Q51&amp;"|ALL",V8_COHORT_TABLE,4,FALSE),IFERROR(VLOOKUP(P51&amp;"|ALL|ALL",V8_COHORT_TABLE,4,FALSE),VLOOKUP("GLOBAL",V8_COHORT_TABLE,4,FALSE))))</f>
        <v/>
      </c>
      <c r="Y51" s="15">
        <f>IFERROR(VLOOKUP(S51,V8_COHORT_TABLE,5,FALSE),IFERROR(VLOOKUP(P51&amp;"|"&amp;Q51&amp;"|ALL",V8_COHORT_TABLE,5,FALSE),IFERROR(VLOOKUP(P51&amp;"|ALL|ALL",V8_COHORT_TABLE,5,FALSE),VLOOKUP("GLOBAL",V8_COHORT_TABLE,5,FALSE))))</f>
        <v/>
      </c>
      <c r="Z51" s="15">
        <f>V51+W51/(1+EXP(-(U51-X51)/Y51))</f>
        <v/>
      </c>
      <c r="AA51" s="16">
        <f>1-(1-Z51)^12</f>
        <v/>
      </c>
      <c r="AB51" s="14">
        <f>IF(K51&lt;=V8_AGE_KNOT_X_0,V8_AGE_KNOT_Y_0,IF(K51&gt;=V8_AGE_KNOT_X_5,V8_AGE_KNOT_Y_5,IF(K51&lt;=V8_AGE_KNOT_X_1,V8_AGE_KNOT_Y_0+(K51-V8_AGE_KNOT_X_0)/(V8_AGE_KNOT_X_1-V8_AGE_KNOT_X_0)*(V8_AGE_KNOT_Y_1-V8_AGE_KNOT_Y_0),IF(K51&lt;=V8_AGE_KNOT_X_2,V8_AGE_KNOT_Y_1+(K51-V8_AGE_KNOT_X_1)/(V8_AGE_KNOT_X_2-V8_AGE_KNOT_X_1)*(V8_AGE_KNOT_Y_2-V8_AGE_KNOT_Y_1),IF(K51&lt;=V8_AGE_KNOT_X_3,V8_AGE_KNOT_Y_2+(K51-V8_AGE_KNOT_X_2)/(V8_AGE_KNOT_X_3-V8_AGE_KNOT_X_2)*(V8_AGE_KNOT_Y_3-V8_AGE_KNOT_Y_2),IF(K51&lt;=V8_AGE_KNOT_X_4,V8_AGE_KNOT_Y_3+(K51-V8_AGE_KNOT_X_3)/(V8_AGE_KNOT_X_4-V8_AGE_KNOT_X_3)*(V8_AGE_KNOT_Y_4-V8_AGE_KNOT_Y_3),V8_AGE_KNOT_Y_4+(K51-V8_AGE_KNOT_X_4)/(V8_AGE_KNOT_X_5-V8_AGE_KNOT_X_4)*(V8_AGE_KNOT_Y_5-V8_AGE_KNOT_Y_4)))))))</f>
        <v/>
      </c>
      <c r="AC51" s="14">
        <f>IF(IF(OR(L51="",NOT(ISNUMBER(L51))),360,MAX(0,MIN(480,(INT(L51/100)-INT(VALUE(F51)/100))*12+MOD(L51,100)-MOD(VALUE(F51),100))))&gt;0,1+V8_MTY_AMP*MAX(0,(V8_MTY_CUTOFF-(IF(OR(L51="",NOT(ISNUMBER(L51))),360,MAX(0,MIN(480,(INT(L51/100)-INT(VALUE(F51)/100))*12+MOD(L51,100)-MOD(VALUE(F51),100))))))/V8_MTY_CUTOFF),1)</f>
        <v/>
      </c>
      <c r="AD51" s="14">
        <f>IF(AND(IF(OR(M51="",NOT(ISNUMBER(M51))),0,MAX(0,MIN(24,(INT(VALUE(F51)/100)-INT(M51/100))*12+MOD(VALUE(F51),100)-MOD(M51,100))))&gt;0,IF(OR(M51="",NOT(ISNUMBER(M51))),0,MAX(0,MIN(24,(INT(VALUE(F51)/100)-INT(M51/100))*12+MOD(VALUE(F51),100)-MOD(M51,100))))&lt;=12),1+V8_LOCKOUT_AMP*EXP(-(IF(OR(M51="",NOT(ISNUMBER(M51))),0,MAX(0,MIN(24,(INT(VALUE(F51)/100)-INT(M51/100))*12+MOD(VALUE(F51),100)-MOD(M51,100)))))/V8_LOCKOUT_TAU),1)</f>
        <v/>
      </c>
      <c r="AE51" s="14">
        <f>MAX(V8_BURN_FLOOR,1-V8_BURN_SLOPE*MIN(1,MAX(0,O51)))</f>
        <v/>
      </c>
      <c r="AF51" s="15">
        <f>MIN(Z51*AB51*AC51*AD51*AE51,0.2)</f>
        <v/>
      </c>
      <c r="AG51" s="16">
        <f>1-(1-AF51)^12</f>
        <v/>
      </c>
    </row>
    <row r="52">
      <c r="A52" s="2" t="inlineStr">
        <is>
          <t>000010511134</t>
        </is>
      </c>
      <c r="B52" t="inlineStr">
        <is>
          <t>223f</t>
        </is>
      </c>
      <c r="C52" t="inlineStr">
        <is>
          <t>RP</t>
        </is>
      </c>
      <c r="D52" t="inlineStr">
        <is>
          <t>BERKADIA COMMERCIAL MORTGAGE, LLC</t>
        </is>
      </c>
      <c r="E52" t="n">
        <v>2022</v>
      </c>
      <c r="F52" t="inlineStr">
        <is>
          <t>202602</t>
        </is>
      </c>
      <c r="G52" s="8" t="n">
        <v>40172297.82</v>
      </c>
      <c r="H52" s="12" t="n">
        <v>3.68</v>
      </c>
      <c r="I52" s="13" t="n">
        <v>447</v>
      </c>
      <c r="J52" s="13" t="n">
        <v>8</v>
      </c>
      <c r="K52" t="n">
        <v>46</v>
      </c>
      <c r="L52" t="n">
        <v>205709</v>
      </c>
      <c r="M52" t="inlineStr"/>
      <c r="N52" t="n">
        <v>0</v>
      </c>
      <c r="O52" s="14" t="n">
        <v>0</v>
      </c>
      <c r="P52">
        <f>IF(ISNUMBER(SEARCH("232",B52)),"232",IF(ISNUMBER(SEARCH("538",B52)),"538",IF(ISNUMBER(SEARCH("223a7",B52)),"223a7",IF(ISNUMBER(SEARCH("223f",B52)),"223f","OTHER"))))</f>
        <v/>
      </c>
      <c r="Q52">
        <f>IF(UPPER(C52)="NC","NC","RP")</f>
        <v/>
      </c>
      <c r="R52">
        <f>IF(G52&lt;5000000,"small",IF(G52&lt;25000000,"medium","large"))</f>
        <v/>
      </c>
      <c r="S52">
        <f>P52&amp;"|"&amp;Q52&amp;"|"&amp;R52</f>
        <v/>
      </c>
      <c r="T52" s="13">
        <f>H52*100-I52</f>
        <v/>
      </c>
      <c r="U52" s="13">
        <f>T52-12.5*(J52+1)</f>
        <v/>
      </c>
      <c r="V52" s="15">
        <f>IFERROR(VLOOKUP(S52,V8_COHORT_TABLE,2,FALSE),IFERROR(VLOOKUP(P52&amp;"|"&amp;Q52&amp;"|ALL",V8_COHORT_TABLE,2,FALSE),IFERROR(VLOOKUP(P52&amp;"|ALL|ALL",V8_COHORT_TABLE,2,FALSE),VLOOKUP("GLOBAL",V8_COHORT_TABLE,2,FALSE))))</f>
        <v/>
      </c>
      <c r="W52" s="15">
        <f>IFERROR(VLOOKUP(S52,V8_COHORT_TABLE,3,FALSE),IFERROR(VLOOKUP(P52&amp;"|"&amp;Q52&amp;"|ALL",V8_COHORT_TABLE,3,FALSE),IFERROR(VLOOKUP(P52&amp;"|ALL|ALL",V8_COHORT_TABLE,3,FALSE),VLOOKUP("GLOBAL",V8_COHORT_TABLE,3,FALSE))))</f>
        <v/>
      </c>
      <c r="X52" s="15">
        <f>IFERROR(VLOOKUP(S52,V8_COHORT_TABLE,4,FALSE),IFERROR(VLOOKUP(P52&amp;"|"&amp;Q52&amp;"|ALL",V8_COHORT_TABLE,4,FALSE),IFERROR(VLOOKUP(P52&amp;"|ALL|ALL",V8_COHORT_TABLE,4,FALSE),VLOOKUP("GLOBAL",V8_COHORT_TABLE,4,FALSE))))</f>
        <v/>
      </c>
      <c r="Y52" s="15">
        <f>IFERROR(VLOOKUP(S52,V8_COHORT_TABLE,5,FALSE),IFERROR(VLOOKUP(P52&amp;"|"&amp;Q52&amp;"|ALL",V8_COHORT_TABLE,5,FALSE),IFERROR(VLOOKUP(P52&amp;"|ALL|ALL",V8_COHORT_TABLE,5,FALSE),VLOOKUP("GLOBAL",V8_COHORT_TABLE,5,FALSE))))</f>
        <v/>
      </c>
      <c r="Z52" s="15">
        <f>V52+W52/(1+EXP(-(U52-X52)/Y52))</f>
        <v/>
      </c>
      <c r="AA52" s="16">
        <f>1-(1-Z52)^12</f>
        <v/>
      </c>
      <c r="AB52" s="14">
        <f>IF(K52&lt;=V8_AGE_KNOT_X_0,V8_AGE_KNOT_Y_0,IF(K52&gt;=V8_AGE_KNOT_X_5,V8_AGE_KNOT_Y_5,IF(K52&lt;=V8_AGE_KNOT_X_1,V8_AGE_KNOT_Y_0+(K52-V8_AGE_KNOT_X_0)/(V8_AGE_KNOT_X_1-V8_AGE_KNOT_X_0)*(V8_AGE_KNOT_Y_1-V8_AGE_KNOT_Y_0),IF(K52&lt;=V8_AGE_KNOT_X_2,V8_AGE_KNOT_Y_1+(K52-V8_AGE_KNOT_X_1)/(V8_AGE_KNOT_X_2-V8_AGE_KNOT_X_1)*(V8_AGE_KNOT_Y_2-V8_AGE_KNOT_Y_1),IF(K52&lt;=V8_AGE_KNOT_X_3,V8_AGE_KNOT_Y_2+(K52-V8_AGE_KNOT_X_2)/(V8_AGE_KNOT_X_3-V8_AGE_KNOT_X_2)*(V8_AGE_KNOT_Y_3-V8_AGE_KNOT_Y_2),IF(K52&lt;=V8_AGE_KNOT_X_4,V8_AGE_KNOT_Y_3+(K52-V8_AGE_KNOT_X_3)/(V8_AGE_KNOT_X_4-V8_AGE_KNOT_X_3)*(V8_AGE_KNOT_Y_4-V8_AGE_KNOT_Y_3),V8_AGE_KNOT_Y_4+(K52-V8_AGE_KNOT_X_4)/(V8_AGE_KNOT_X_5-V8_AGE_KNOT_X_4)*(V8_AGE_KNOT_Y_5-V8_AGE_KNOT_Y_4)))))))</f>
        <v/>
      </c>
      <c r="AC52" s="14">
        <f>IF(IF(OR(L52="",NOT(ISNUMBER(L52))),360,MAX(0,MIN(480,(INT(L52/100)-INT(VALUE(F52)/100))*12+MOD(L52,100)-MOD(VALUE(F52),100))))&gt;0,1+V8_MTY_AMP*MAX(0,(V8_MTY_CUTOFF-(IF(OR(L52="",NOT(ISNUMBER(L52))),360,MAX(0,MIN(480,(INT(L52/100)-INT(VALUE(F52)/100))*12+MOD(L52,100)-MOD(VALUE(F52),100))))))/V8_MTY_CUTOFF),1)</f>
        <v/>
      </c>
      <c r="AD52" s="14">
        <f>IF(AND(IF(OR(M52="",NOT(ISNUMBER(M52))),0,MAX(0,MIN(24,(INT(VALUE(F52)/100)-INT(M52/100))*12+MOD(VALUE(F52),100)-MOD(M52,100))))&gt;0,IF(OR(M52="",NOT(ISNUMBER(M52))),0,MAX(0,MIN(24,(INT(VALUE(F52)/100)-INT(M52/100))*12+MOD(VALUE(F52),100)-MOD(M52,100))))&lt;=12),1+V8_LOCKOUT_AMP*EXP(-(IF(OR(M52="",NOT(ISNUMBER(M52))),0,MAX(0,MIN(24,(INT(VALUE(F52)/100)-INT(M52/100))*12+MOD(VALUE(F52),100)-MOD(M52,100)))))/V8_LOCKOUT_TAU),1)</f>
        <v/>
      </c>
      <c r="AE52" s="14">
        <f>MAX(V8_BURN_FLOOR,1-V8_BURN_SLOPE*MIN(1,MAX(0,O52)))</f>
        <v/>
      </c>
      <c r="AF52" s="15">
        <f>MIN(Z52*AB52*AC52*AD52*AE52,0.2)</f>
        <v/>
      </c>
      <c r="AG52" s="16">
        <f>1-(1-AF52)^12</f>
        <v/>
      </c>
    </row>
    <row r="53">
      <c r="A53" s="2" t="inlineStr">
        <is>
          <t>000005135731</t>
        </is>
      </c>
      <c r="B53" t="inlineStr">
        <is>
          <t>221d4</t>
        </is>
      </c>
      <c r="C53" t="inlineStr">
        <is>
          <t>RP</t>
        </is>
      </c>
      <c r="D53" t="inlineStr">
        <is>
          <t>BERKADIA COMMERCIAL MORTGAGE, LLC</t>
        </is>
      </c>
      <c r="E53" t="n">
        <v>2016</v>
      </c>
      <c r="F53" t="inlineStr">
        <is>
          <t>202602</t>
        </is>
      </c>
      <c r="G53" s="8" t="n">
        <v>14661111.14</v>
      </c>
      <c r="H53" s="12" t="n">
        <v>3.43</v>
      </c>
      <c r="I53" s="13" t="n">
        <v>447</v>
      </c>
      <c r="J53" s="13" t="n">
        <v>2</v>
      </c>
      <c r="K53" t="n">
        <v>112</v>
      </c>
      <c r="L53" t="n">
        <v>205612</v>
      </c>
      <c r="M53" t="inlineStr"/>
      <c r="N53" t="n">
        <v>25</v>
      </c>
      <c r="O53" s="14" t="n">
        <v>0.2232142857142857</v>
      </c>
      <c r="P53">
        <f>IF(ISNUMBER(SEARCH("232",B53)),"232",IF(ISNUMBER(SEARCH("538",B53)),"538",IF(ISNUMBER(SEARCH("223a7",B53)),"223a7",IF(ISNUMBER(SEARCH("223f",B53)),"223f","OTHER"))))</f>
        <v/>
      </c>
      <c r="Q53">
        <f>IF(UPPER(C53)="NC","NC","RP")</f>
        <v/>
      </c>
      <c r="R53">
        <f>IF(G53&lt;5000000,"small",IF(G53&lt;25000000,"medium","large"))</f>
        <v/>
      </c>
      <c r="S53">
        <f>P53&amp;"|"&amp;Q53&amp;"|"&amp;R53</f>
        <v/>
      </c>
      <c r="T53" s="13">
        <f>H53*100-I53</f>
        <v/>
      </c>
      <c r="U53" s="13">
        <f>T53-12.5*(J53+1)</f>
        <v/>
      </c>
      <c r="V53" s="15">
        <f>IFERROR(VLOOKUP(S53,V8_COHORT_TABLE,2,FALSE),IFERROR(VLOOKUP(P53&amp;"|"&amp;Q53&amp;"|ALL",V8_COHORT_TABLE,2,FALSE),IFERROR(VLOOKUP(P53&amp;"|ALL|ALL",V8_COHORT_TABLE,2,FALSE),VLOOKUP("GLOBAL",V8_COHORT_TABLE,2,FALSE))))</f>
        <v/>
      </c>
      <c r="W53" s="15">
        <f>IFERROR(VLOOKUP(S53,V8_COHORT_TABLE,3,FALSE),IFERROR(VLOOKUP(P53&amp;"|"&amp;Q53&amp;"|ALL",V8_COHORT_TABLE,3,FALSE),IFERROR(VLOOKUP(P53&amp;"|ALL|ALL",V8_COHORT_TABLE,3,FALSE),VLOOKUP("GLOBAL",V8_COHORT_TABLE,3,FALSE))))</f>
        <v/>
      </c>
      <c r="X53" s="15">
        <f>IFERROR(VLOOKUP(S53,V8_COHORT_TABLE,4,FALSE),IFERROR(VLOOKUP(P53&amp;"|"&amp;Q53&amp;"|ALL",V8_COHORT_TABLE,4,FALSE),IFERROR(VLOOKUP(P53&amp;"|ALL|ALL",V8_COHORT_TABLE,4,FALSE),VLOOKUP("GLOBAL",V8_COHORT_TABLE,4,FALSE))))</f>
        <v/>
      </c>
      <c r="Y53" s="15">
        <f>IFERROR(VLOOKUP(S53,V8_COHORT_TABLE,5,FALSE),IFERROR(VLOOKUP(P53&amp;"|"&amp;Q53&amp;"|ALL",V8_COHORT_TABLE,5,FALSE),IFERROR(VLOOKUP(P53&amp;"|ALL|ALL",V8_COHORT_TABLE,5,FALSE),VLOOKUP("GLOBAL",V8_COHORT_TABLE,5,FALSE))))</f>
        <v/>
      </c>
      <c r="Z53" s="15">
        <f>V53+W53/(1+EXP(-(U53-X53)/Y53))</f>
        <v/>
      </c>
      <c r="AA53" s="16">
        <f>1-(1-Z53)^12</f>
        <v/>
      </c>
      <c r="AB53" s="14">
        <f>IF(K53&lt;=V8_AGE_KNOT_X_0,V8_AGE_KNOT_Y_0,IF(K53&gt;=V8_AGE_KNOT_X_5,V8_AGE_KNOT_Y_5,IF(K53&lt;=V8_AGE_KNOT_X_1,V8_AGE_KNOT_Y_0+(K53-V8_AGE_KNOT_X_0)/(V8_AGE_KNOT_X_1-V8_AGE_KNOT_X_0)*(V8_AGE_KNOT_Y_1-V8_AGE_KNOT_Y_0),IF(K53&lt;=V8_AGE_KNOT_X_2,V8_AGE_KNOT_Y_1+(K53-V8_AGE_KNOT_X_1)/(V8_AGE_KNOT_X_2-V8_AGE_KNOT_X_1)*(V8_AGE_KNOT_Y_2-V8_AGE_KNOT_Y_1),IF(K53&lt;=V8_AGE_KNOT_X_3,V8_AGE_KNOT_Y_2+(K53-V8_AGE_KNOT_X_2)/(V8_AGE_KNOT_X_3-V8_AGE_KNOT_X_2)*(V8_AGE_KNOT_Y_3-V8_AGE_KNOT_Y_2),IF(K53&lt;=V8_AGE_KNOT_X_4,V8_AGE_KNOT_Y_3+(K53-V8_AGE_KNOT_X_3)/(V8_AGE_KNOT_X_4-V8_AGE_KNOT_X_3)*(V8_AGE_KNOT_Y_4-V8_AGE_KNOT_Y_3),V8_AGE_KNOT_Y_4+(K53-V8_AGE_KNOT_X_4)/(V8_AGE_KNOT_X_5-V8_AGE_KNOT_X_4)*(V8_AGE_KNOT_Y_5-V8_AGE_KNOT_Y_4)))))))</f>
        <v/>
      </c>
      <c r="AC53" s="14">
        <f>IF(IF(OR(L53="",NOT(ISNUMBER(L53))),360,MAX(0,MIN(480,(INT(L53/100)-INT(VALUE(F53)/100))*12+MOD(L53,100)-MOD(VALUE(F53),100))))&gt;0,1+V8_MTY_AMP*MAX(0,(V8_MTY_CUTOFF-(IF(OR(L53="",NOT(ISNUMBER(L53))),360,MAX(0,MIN(480,(INT(L53/100)-INT(VALUE(F53)/100))*12+MOD(L53,100)-MOD(VALUE(F53),100))))))/V8_MTY_CUTOFF),1)</f>
        <v/>
      </c>
      <c r="AD53" s="14">
        <f>IF(AND(IF(OR(M53="",NOT(ISNUMBER(M53))),0,MAX(0,MIN(24,(INT(VALUE(F53)/100)-INT(M53/100))*12+MOD(VALUE(F53),100)-MOD(M53,100))))&gt;0,IF(OR(M53="",NOT(ISNUMBER(M53))),0,MAX(0,MIN(24,(INT(VALUE(F53)/100)-INT(M53/100))*12+MOD(VALUE(F53),100)-MOD(M53,100))))&lt;=12),1+V8_LOCKOUT_AMP*EXP(-(IF(OR(M53="",NOT(ISNUMBER(M53))),0,MAX(0,MIN(24,(INT(VALUE(F53)/100)-INT(M53/100))*12+MOD(VALUE(F53),100)-MOD(M53,100)))))/V8_LOCKOUT_TAU),1)</f>
        <v/>
      </c>
      <c r="AE53" s="14">
        <f>MAX(V8_BURN_FLOOR,1-V8_BURN_SLOPE*MIN(1,MAX(0,O53)))</f>
        <v/>
      </c>
      <c r="AF53" s="15">
        <f>MIN(Z53*AB53*AC53*AD53*AE53,0.2)</f>
        <v/>
      </c>
      <c r="AG53" s="16">
        <f>1-(1-AF53)^12</f>
        <v/>
      </c>
    </row>
    <row r="54">
      <c r="A54" s="2" t="inlineStr">
        <is>
          <t>000012711148</t>
        </is>
      </c>
      <c r="B54" t="inlineStr">
        <is>
          <t>223f</t>
        </is>
      </c>
      <c r="C54" t="inlineStr">
        <is>
          <t>RP</t>
        </is>
      </c>
      <c r="D54" t="inlineStr">
        <is>
          <t>BERKADIA COMMERCIAL MORTGAGE, LLC</t>
        </is>
      </c>
      <c r="E54" t="n">
        <v>2010</v>
      </c>
      <c r="F54" t="inlineStr">
        <is>
          <t>202602</t>
        </is>
      </c>
      <c r="G54" s="8" t="n">
        <v>1950356.32</v>
      </c>
      <c r="H54" s="12" t="n">
        <v>4.34</v>
      </c>
      <c r="I54" s="13" t="n">
        <v>447</v>
      </c>
      <c r="J54" s="13" t="n">
        <v>0</v>
      </c>
      <c r="K54" t="n">
        <v>191</v>
      </c>
      <c r="L54" t="n">
        <v>204508</v>
      </c>
      <c r="M54" t="inlineStr"/>
      <c r="N54" t="n">
        <v>39</v>
      </c>
      <c r="O54" s="14" t="n">
        <v>0.2041884816753927</v>
      </c>
      <c r="P54">
        <f>IF(ISNUMBER(SEARCH("232",B54)),"232",IF(ISNUMBER(SEARCH("538",B54)),"538",IF(ISNUMBER(SEARCH("223a7",B54)),"223a7",IF(ISNUMBER(SEARCH("223f",B54)),"223f","OTHER"))))</f>
        <v/>
      </c>
      <c r="Q54">
        <f>IF(UPPER(C54)="NC","NC","RP")</f>
        <v/>
      </c>
      <c r="R54">
        <f>IF(G54&lt;5000000,"small",IF(G54&lt;25000000,"medium","large"))</f>
        <v/>
      </c>
      <c r="S54">
        <f>P54&amp;"|"&amp;Q54&amp;"|"&amp;R54</f>
        <v/>
      </c>
      <c r="T54" s="13">
        <f>H54*100-I54</f>
        <v/>
      </c>
      <c r="U54" s="13">
        <f>T54-12.5*(J54+1)</f>
        <v/>
      </c>
      <c r="V54" s="15">
        <f>IFERROR(VLOOKUP(S54,V8_COHORT_TABLE,2,FALSE),IFERROR(VLOOKUP(P54&amp;"|"&amp;Q54&amp;"|ALL",V8_COHORT_TABLE,2,FALSE),IFERROR(VLOOKUP(P54&amp;"|ALL|ALL",V8_COHORT_TABLE,2,FALSE),VLOOKUP("GLOBAL",V8_COHORT_TABLE,2,FALSE))))</f>
        <v/>
      </c>
      <c r="W54" s="15">
        <f>IFERROR(VLOOKUP(S54,V8_COHORT_TABLE,3,FALSE),IFERROR(VLOOKUP(P54&amp;"|"&amp;Q54&amp;"|ALL",V8_COHORT_TABLE,3,FALSE),IFERROR(VLOOKUP(P54&amp;"|ALL|ALL",V8_COHORT_TABLE,3,FALSE),VLOOKUP("GLOBAL",V8_COHORT_TABLE,3,FALSE))))</f>
        <v/>
      </c>
      <c r="X54" s="15">
        <f>IFERROR(VLOOKUP(S54,V8_COHORT_TABLE,4,FALSE),IFERROR(VLOOKUP(P54&amp;"|"&amp;Q54&amp;"|ALL",V8_COHORT_TABLE,4,FALSE),IFERROR(VLOOKUP(P54&amp;"|ALL|ALL",V8_COHORT_TABLE,4,FALSE),VLOOKUP("GLOBAL",V8_COHORT_TABLE,4,FALSE))))</f>
        <v/>
      </c>
      <c r="Y54" s="15">
        <f>IFERROR(VLOOKUP(S54,V8_COHORT_TABLE,5,FALSE),IFERROR(VLOOKUP(P54&amp;"|"&amp;Q54&amp;"|ALL",V8_COHORT_TABLE,5,FALSE),IFERROR(VLOOKUP(P54&amp;"|ALL|ALL",V8_COHORT_TABLE,5,FALSE),VLOOKUP("GLOBAL",V8_COHORT_TABLE,5,FALSE))))</f>
        <v/>
      </c>
      <c r="Z54" s="15">
        <f>V54+W54/(1+EXP(-(U54-X54)/Y54))</f>
        <v/>
      </c>
      <c r="AA54" s="16">
        <f>1-(1-Z54)^12</f>
        <v/>
      </c>
      <c r="AB54" s="14">
        <f>IF(K54&lt;=V8_AGE_KNOT_X_0,V8_AGE_KNOT_Y_0,IF(K54&gt;=V8_AGE_KNOT_X_5,V8_AGE_KNOT_Y_5,IF(K54&lt;=V8_AGE_KNOT_X_1,V8_AGE_KNOT_Y_0+(K54-V8_AGE_KNOT_X_0)/(V8_AGE_KNOT_X_1-V8_AGE_KNOT_X_0)*(V8_AGE_KNOT_Y_1-V8_AGE_KNOT_Y_0),IF(K54&lt;=V8_AGE_KNOT_X_2,V8_AGE_KNOT_Y_1+(K54-V8_AGE_KNOT_X_1)/(V8_AGE_KNOT_X_2-V8_AGE_KNOT_X_1)*(V8_AGE_KNOT_Y_2-V8_AGE_KNOT_Y_1),IF(K54&lt;=V8_AGE_KNOT_X_3,V8_AGE_KNOT_Y_2+(K54-V8_AGE_KNOT_X_2)/(V8_AGE_KNOT_X_3-V8_AGE_KNOT_X_2)*(V8_AGE_KNOT_Y_3-V8_AGE_KNOT_Y_2),IF(K54&lt;=V8_AGE_KNOT_X_4,V8_AGE_KNOT_Y_3+(K54-V8_AGE_KNOT_X_3)/(V8_AGE_KNOT_X_4-V8_AGE_KNOT_X_3)*(V8_AGE_KNOT_Y_4-V8_AGE_KNOT_Y_3),V8_AGE_KNOT_Y_4+(K54-V8_AGE_KNOT_X_4)/(V8_AGE_KNOT_X_5-V8_AGE_KNOT_X_4)*(V8_AGE_KNOT_Y_5-V8_AGE_KNOT_Y_4)))))))</f>
        <v/>
      </c>
      <c r="AC54" s="14">
        <f>IF(IF(OR(L54="",NOT(ISNUMBER(L54))),360,MAX(0,MIN(480,(INT(L54/100)-INT(VALUE(F54)/100))*12+MOD(L54,100)-MOD(VALUE(F54),100))))&gt;0,1+V8_MTY_AMP*MAX(0,(V8_MTY_CUTOFF-(IF(OR(L54="",NOT(ISNUMBER(L54))),360,MAX(0,MIN(480,(INT(L54/100)-INT(VALUE(F54)/100))*12+MOD(L54,100)-MOD(VALUE(F54),100))))))/V8_MTY_CUTOFF),1)</f>
        <v/>
      </c>
      <c r="AD54" s="14">
        <f>IF(AND(IF(OR(M54="",NOT(ISNUMBER(M54))),0,MAX(0,MIN(24,(INT(VALUE(F54)/100)-INT(M54/100))*12+MOD(VALUE(F54),100)-MOD(M54,100))))&gt;0,IF(OR(M54="",NOT(ISNUMBER(M54))),0,MAX(0,MIN(24,(INT(VALUE(F54)/100)-INT(M54/100))*12+MOD(VALUE(F54),100)-MOD(M54,100))))&lt;=12),1+V8_LOCKOUT_AMP*EXP(-(IF(OR(M54="",NOT(ISNUMBER(M54))),0,MAX(0,MIN(24,(INT(VALUE(F54)/100)-INT(M54/100))*12+MOD(VALUE(F54),100)-MOD(M54,100)))))/V8_LOCKOUT_TAU),1)</f>
        <v/>
      </c>
      <c r="AE54" s="14">
        <f>MAX(V8_BURN_FLOOR,1-V8_BURN_SLOPE*MIN(1,MAX(0,O54)))</f>
        <v/>
      </c>
      <c r="AF54" s="15">
        <f>MIN(Z54*AB54*AC54*AD54*AE54,0.2)</f>
        <v/>
      </c>
      <c r="AG54" s="16">
        <f>1-(1-AF54)^12</f>
        <v/>
      </c>
    </row>
    <row r="55">
      <c r="A55" s="2" t="inlineStr">
        <is>
          <t>000007111460</t>
        </is>
      </c>
      <c r="B55" t="inlineStr">
        <is>
          <t>223f</t>
        </is>
      </c>
      <c r="C55" t="inlineStr">
        <is>
          <t>RP</t>
        </is>
      </c>
      <c r="D55" t="inlineStr">
        <is>
          <t>BERKADIA COMMERCIAL MORTGAGE, LLC</t>
        </is>
      </c>
      <c r="E55" t="n">
        <v>2019</v>
      </c>
      <c r="F55" t="inlineStr">
        <is>
          <t>202602</t>
        </is>
      </c>
      <c r="G55" s="8" t="n">
        <v>7426656.74</v>
      </c>
      <c r="H55" s="12" t="n">
        <v>3.4</v>
      </c>
      <c r="I55" s="13" t="n">
        <v>447</v>
      </c>
      <c r="J55" s="13" t="n">
        <v>5</v>
      </c>
      <c r="K55" t="n">
        <v>80</v>
      </c>
      <c r="L55" t="n">
        <v>205408</v>
      </c>
      <c r="M55" t="inlineStr"/>
      <c r="N55" t="n">
        <v>29</v>
      </c>
      <c r="O55" s="14" t="n">
        <v>0.3625</v>
      </c>
      <c r="P55">
        <f>IF(ISNUMBER(SEARCH("232",B55)),"232",IF(ISNUMBER(SEARCH("538",B55)),"538",IF(ISNUMBER(SEARCH("223a7",B55)),"223a7",IF(ISNUMBER(SEARCH("223f",B55)),"223f","OTHER"))))</f>
        <v/>
      </c>
      <c r="Q55">
        <f>IF(UPPER(C55)="NC","NC","RP")</f>
        <v/>
      </c>
      <c r="R55">
        <f>IF(G55&lt;5000000,"small",IF(G55&lt;25000000,"medium","large"))</f>
        <v/>
      </c>
      <c r="S55">
        <f>P55&amp;"|"&amp;Q55&amp;"|"&amp;R55</f>
        <v/>
      </c>
      <c r="T55" s="13">
        <f>H55*100-I55</f>
        <v/>
      </c>
      <c r="U55" s="13">
        <f>T55-12.5*(J55+1)</f>
        <v/>
      </c>
      <c r="V55" s="15">
        <f>IFERROR(VLOOKUP(S55,V8_COHORT_TABLE,2,FALSE),IFERROR(VLOOKUP(P55&amp;"|"&amp;Q55&amp;"|ALL",V8_COHORT_TABLE,2,FALSE),IFERROR(VLOOKUP(P55&amp;"|ALL|ALL",V8_COHORT_TABLE,2,FALSE),VLOOKUP("GLOBAL",V8_COHORT_TABLE,2,FALSE))))</f>
        <v/>
      </c>
      <c r="W55" s="15">
        <f>IFERROR(VLOOKUP(S55,V8_COHORT_TABLE,3,FALSE),IFERROR(VLOOKUP(P55&amp;"|"&amp;Q55&amp;"|ALL",V8_COHORT_TABLE,3,FALSE),IFERROR(VLOOKUP(P55&amp;"|ALL|ALL",V8_COHORT_TABLE,3,FALSE),VLOOKUP("GLOBAL",V8_COHORT_TABLE,3,FALSE))))</f>
        <v/>
      </c>
      <c r="X55" s="15">
        <f>IFERROR(VLOOKUP(S55,V8_COHORT_TABLE,4,FALSE),IFERROR(VLOOKUP(P55&amp;"|"&amp;Q55&amp;"|ALL",V8_COHORT_TABLE,4,FALSE),IFERROR(VLOOKUP(P55&amp;"|ALL|ALL",V8_COHORT_TABLE,4,FALSE),VLOOKUP("GLOBAL",V8_COHORT_TABLE,4,FALSE))))</f>
        <v/>
      </c>
      <c r="Y55" s="15">
        <f>IFERROR(VLOOKUP(S55,V8_COHORT_TABLE,5,FALSE),IFERROR(VLOOKUP(P55&amp;"|"&amp;Q55&amp;"|ALL",V8_COHORT_TABLE,5,FALSE),IFERROR(VLOOKUP(P55&amp;"|ALL|ALL",V8_COHORT_TABLE,5,FALSE),VLOOKUP("GLOBAL",V8_COHORT_TABLE,5,FALSE))))</f>
        <v/>
      </c>
      <c r="Z55" s="15">
        <f>V55+W55/(1+EXP(-(U55-X55)/Y55))</f>
        <v/>
      </c>
      <c r="AA55" s="16">
        <f>1-(1-Z55)^12</f>
        <v/>
      </c>
      <c r="AB55" s="14">
        <f>IF(K55&lt;=V8_AGE_KNOT_X_0,V8_AGE_KNOT_Y_0,IF(K55&gt;=V8_AGE_KNOT_X_5,V8_AGE_KNOT_Y_5,IF(K55&lt;=V8_AGE_KNOT_X_1,V8_AGE_KNOT_Y_0+(K55-V8_AGE_KNOT_X_0)/(V8_AGE_KNOT_X_1-V8_AGE_KNOT_X_0)*(V8_AGE_KNOT_Y_1-V8_AGE_KNOT_Y_0),IF(K55&lt;=V8_AGE_KNOT_X_2,V8_AGE_KNOT_Y_1+(K55-V8_AGE_KNOT_X_1)/(V8_AGE_KNOT_X_2-V8_AGE_KNOT_X_1)*(V8_AGE_KNOT_Y_2-V8_AGE_KNOT_Y_1),IF(K55&lt;=V8_AGE_KNOT_X_3,V8_AGE_KNOT_Y_2+(K55-V8_AGE_KNOT_X_2)/(V8_AGE_KNOT_X_3-V8_AGE_KNOT_X_2)*(V8_AGE_KNOT_Y_3-V8_AGE_KNOT_Y_2),IF(K55&lt;=V8_AGE_KNOT_X_4,V8_AGE_KNOT_Y_3+(K55-V8_AGE_KNOT_X_3)/(V8_AGE_KNOT_X_4-V8_AGE_KNOT_X_3)*(V8_AGE_KNOT_Y_4-V8_AGE_KNOT_Y_3),V8_AGE_KNOT_Y_4+(K55-V8_AGE_KNOT_X_4)/(V8_AGE_KNOT_X_5-V8_AGE_KNOT_X_4)*(V8_AGE_KNOT_Y_5-V8_AGE_KNOT_Y_4)))))))</f>
        <v/>
      </c>
      <c r="AC55" s="14">
        <f>IF(IF(OR(L55="",NOT(ISNUMBER(L55))),360,MAX(0,MIN(480,(INT(L55/100)-INT(VALUE(F55)/100))*12+MOD(L55,100)-MOD(VALUE(F55),100))))&gt;0,1+V8_MTY_AMP*MAX(0,(V8_MTY_CUTOFF-(IF(OR(L55="",NOT(ISNUMBER(L55))),360,MAX(0,MIN(480,(INT(L55/100)-INT(VALUE(F55)/100))*12+MOD(L55,100)-MOD(VALUE(F55),100))))))/V8_MTY_CUTOFF),1)</f>
        <v/>
      </c>
      <c r="AD55" s="14">
        <f>IF(AND(IF(OR(M55="",NOT(ISNUMBER(M55))),0,MAX(0,MIN(24,(INT(VALUE(F55)/100)-INT(M55/100))*12+MOD(VALUE(F55),100)-MOD(M55,100))))&gt;0,IF(OR(M55="",NOT(ISNUMBER(M55))),0,MAX(0,MIN(24,(INT(VALUE(F55)/100)-INT(M55/100))*12+MOD(VALUE(F55),100)-MOD(M55,100))))&lt;=12),1+V8_LOCKOUT_AMP*EXP(-(IF(OR(M55="",NOT(ISNUMBER(M55))),0,MAX(0,MIN(24,(INT(VALUE(F55)/100)-INT(M55/100))*12+MOD(VALUE(F55),100)-MOD(M55,100)))))/V8_LOCKOUT_TAU),1)</f>
        <v/>
      </c>
      <c r="AE55" s="14">
        <f>MAX(V8_BURN_FLOOR,1-V8_BURN_SLOPE*MIN(1,MAX(0,O55)))</f>
        <v/>
      </c>
      <c r="AF55" s="15">
        <f>MIN(Z55*AB55*AC55*AD55*AE55,0.2)</f>
        <v/>
      </c>
      <c r="AG55" s="16">
        <f>1-(1-AF55)^12</f>
        <v/>
      </c>
    </row>
    <row r="56">
      <c r="A56" s="2" t="inlineStr">
        <is>
          <t>000001411229</t>
        </is>
      </c>
      <c r="B56" t="inlineStr">
        <is>
          <t>223f</t>
        </is>
      </c>
      <c r="C56" t="inlineStr">
        <is>
          <t>RP</t>
        </is>
      </c>
      <c r="D56" t="inlineStr">
        <is>
          <t>BERKADIA COMMERCIAL MORTGAGE, LLC</t>
        </is>
      </c>
      <c r="E56" t="n">
        <v>2014</v>
      </c>
      <c r="F56" t="inlineStr">
        <is>
          <t>202602</t>
        </is>
      </c>
      <c r="G56" s="8" t="n">
        <v>894262.78</v>
      </c>
      <c r="H56" s="12" t="n">
        <v>3.1</v>
      </c>
      <c r="I56" s="13" t="n">
        <v>447</v>
      </c>
      <c r="J56" s="13" t="n">
        <v>6</v>
      </c>
      <c r="K56" t="n">
        <v>142</v>
      </c>
      <c r="L56" t="n">
        <v>204710</v>
      </c>
      <c r="M56" t="inlineStr"/>
      <c r="N56" t="n">
        <v>13</v>
      </c>
      <c r="O56" s="14" t="n">
        <v>0.09154929577464789</v>
      </c>
      <c r="P56">
        <f>IF(ISNUMBER(SEARCH("232",B56)),"232",IF(ISNUMBER(SEARCH("538",B56)),"538",IF(ISNUMBER(SEARCH("223a7",B56)),"223a7",IF(ISNUMBER(SEARCH("223f",B56)),"223f","OTHER"))))</f>
        <v/>
      </c>
      <c r="Q56">
        <f>IF(UPPER(C56)="NC","NC","RP")</f>
        <v/>
      </c>
      <c r="R56">
        <f>IF(G56&lt;5000000,"small",IF(G56&lt;25000000,"medium","large"))</f>
        <v/>
      </c>
      <c r="S56">
        <f>P56&amp;"|"&amp;Q56&amp;"|"&amp;R56</f>
        <v/>
      </c>
      <c r="T56" s="13">
        <f>H56*100-I56</f>
        <v/>
      </c>
      <c r="U56" s="13">
        <f>T56-12.5*(J56+1)</f>
        <v/>
      </c>
      <c r="V56" s="15">
        <f>IFERROR(VLOOKUP(S56,V8_COHORT_TABLE,2,FALSE),IFERROR(VLOOKUP(P56&amp;"|"&amp;Q56&amp;"|ALL",V8_COHORT_TABLE,2,FALSE),IFERROR(VLOOKUP(P56&amp;"|ALL|ALL",V8_COHORT_TABLE,2,FALSE),VLOOKUP("GLOBAL",V8_COHORT_TABLE,2,FALSE))))</f>
        <v/>
      </c>
      <c r="W56" s="15">
        <f>IFERROR(VLOOKUP(S56,V8_COHORT_TABLE,3,FALSE),IFERROR(VLOOKUP(P56&amp;"|"&amp;Q56&amp;"|ALL",V8_COHORT_TABLE,3,FALSE),IFERROR(VLOOKUP(P56&amp;"|ALL|ALL",V8_COHORT_TABLE,3,FALSE),VLOOKUP("GLOBAL",V8_COHORT_TABLE,3,FALSE))))</f>
        <v/>
      </c>
      <c r="X56" s="15">
        <f>IFERROR(VLOOKUP(S56,V8_COHORT_TABLE,4,FALSE),IFERROR(VLOOKUP(P56&amp;"|"&amp;Q56&amp;"|ALL",V8_COHORT_TABLE,4,FALSE),IFERROR(VLOOKUP(P56&amp;"|ALL|ALL",V8_COHORT_TABLE,4,FALSE),VLOOKUP("GLOBAL",V8_COHORT_TABLE,4,FALSE))))</f>
        <v/>
      </c>
      <c r="Y56" s="15">
        <f>IFERROR(VLOOKUP(S56,V8_COHORT_TABLE,5,FALSE),IFERROR(VLOOKUP(P56&amp;"|"&amp;Q56&amp;"|ALL",V8_COHORT_TABLE,5,FALSE),IFERROR(VLOOKUP(P56&amp;"|ALL|ALL",V8_COHORT_TABLE,5,FALSE),VLOOKUP("GLOBAL",V8_COHORT_TABLE,5,FALSE))))</f>
        <v/>
      </c>
      <c r="Z56" s="15">
        <f>V56+W56/(1+EXP(-(U56-X56)/Y56))</f>
        <v/>
      </c>
      <c r="AA56" s="16">
        <f>1-(1-Z56)^12</f>
        <v/>
      </c>
      <c r="AB56" s="14">
        <f>IF(K56&lt;=V8_AGE_KNOT_X_0,V8_AGE_KNOT_Y_0,IF(K56&gt;=V8_AGE_KNOT_X_5,V8_AGE_KNOT_Y_5,IF(K56&lt;=V8_AGE_KNOT_X_1,V8_AGE_KNOT_Y_0+(K56-V8_AGE_KNOT_X_0)/(V8_AGE_KNOT_X_1-V8_AGE_KNOT_X_0)*(V8_AGE_KNOT_Y_1-V8_AGE_KNOT_Y_0),IF(K56&lt;=V8_AGE_KNOT_X_2,V8_AGE_KNOT_Y_1+(K56-V8_AGE_KNOT_X_1)/(V8_AGE_KNOT_X_2-V8_AGE_KNOT_X_1)*(V8_AGE_KNOT_Y_2-V8_AGE_KNOT_Y_1),IF(K56&lt;=V8_AGE_KNOT_X_3,V8_AGE_KNOT_Y_2+(K56-V8_AGE_KNOT_X_2)/(V8_AGE_KNOT_X_3-V8_AGE_KNOT_X_2)*(V8_AGE_KNOT_Y_3-V8_AGE_KNOT_Y_2),IF(K56&lt;=V8_AGE_KNOT_X_4,V8_AGE_KNOT_Y_3+(K56-V8_AGE_KNOT_X_3)/(V8_AGE_KNOT_X_4-V8_AGE_KNOT_X_3)*(V8_AGE_KNOT_Y_4-V8_AGE_KNOT_Y_3),V8_AGE_KNOT_Y_4+(K56-V8_AGE_KNOT_X_4)/(V8_AGE_KNOT_X_5-V8_AGE_KNOT_X_4)*(V8_AGE_KNOT_Y_5-V8_AGE_KNOT_Y_4)))))))</f>
        <v/>
      </c>
      <c r="AC56" s="14">
        <f>IF(IF(OR(L56="",NOT(ISNUMBER(L56))),360,MAX(0,MIN(480,(INT(L56/100)-INT(VALUE(F56)/100))*12+MOD(L56,100)-MOD(VALUE(F56),100))))&gt;0,1+V8_MTY_AMP*MAX(0,(V8_MTY_CUTOFF-(IF(OR(L56="",NOT(ISNUMBER(L56))),360,MAX(0,MIN(480,(INT(L56/100)-INT(VALUE(F56)/100))*12+MOD(L56,100)-MOD(VALUE(F56),100))))))/V8_MTY_CUTOFF),1)</f>
        <v/>
      </c>
      <c r="AD56" s="14">
        <f>IF(AND(IF(OR(M56="",NOT(ISNUMBER(M56))),0,MAX(0,MIN(24,(INT(VALUE(F56)/100)-INT(M56/100))*12+MOD(VALUE(F56),100)-MOD(M56,100))))&gt;0,IF(OR(M56="",NOT(ISNUMBER(M56))),0,MAX(0,MIN(24,(INT(VALUE(F56)/100)-INT(M56/100))*12+MOD(VALUE(F56),100)-MOD(M56,100))))&lt;=12),1+V8_LOCKOUT_AMP*EXP(-(IF(OR(M56="",NOT(ISNUMBER(M56))),0,MAX(0,MIN(24,(INT(VALUE(F56)/100)-INT(M56/100))*12+MOD(VALUE(F56),100)-MOD(M56,100)))))/V8_LOCKOUT_TAU),1)</f>
        <v/>
      </c>
      <c r="AE56" s="14">
        <f>MAX(V8_BURN_FLOOR,1-V8_BURN_SLOPE*MIN(1,MAX(0,O56)))</f>
        <v/>
      </c>
      <c r="AF56" s="15">
        <f>MIN(Z56*AB56*AC56*AD56*AE56,0.2)</f>
        <v/>
      </c>
      <c r="AG56" s="16">
        <f>1-(1-AF56)^12</f>
        <v/>
      </c>
    </row>
    <row r="57">
      <c r="A57" s="2" t="inlineStr">
        <is>
          <t>000012622168</t>
        </is>
      </c>
      <c r="B57" t="inlineStr">
        <is>
          <t>232</t>
        </is>
      </c>
      <c r="C57" t="inlineStr">
        <is>
          <t>RP</t>
        </is>
      </c>
      <c r="D57" t="inlineStr">
        <is>
          <t>BERKADIA COMMERCIAL MORTGAGE, LLC</t>
        </is>
      </c>
      <c r="E57" t="n">
        <v>2018</v>
      </c>
      <c r="F57" t="inlineStr">
        <is>
          <t>202602</t>
        </is>
      </c>
      <c r="G57" s="8" t="n">
        <v>8760424.359999999</v>
      </c>
      <c r="H57" s="12" t="n">
        <v>4.1</v>
      </c>
      <c r="I57" s="13" t="n">
        <v>447</v>
      </c>
      <c r="J57" s="13" t="n">
        <v>6</v>
      </c>
      <c r="K57" t="n">
        <v>87</v>
      </c>
      <c r="L57" t="n">
        <v>204901</v>
      </c>
      <c r="M57" t="inlineStr"/>
      <c r="N57" t="n">
        <v>22</v>
      </c>
      <c r="O57" s="14" t="n">
        <v>0.2528735632183908</v>
      </c>
      <c r="P57">
        <f>IF(ISNUMBER(SEARCH("232",B57)),"232",IF(ISNUMBER(SEARCH("538",B57)),"538",IF(ISNUMBER(SEARCH("223a7",B57)),"223a7",IF(ISNUMBER(SEARCH("223f",B57)),"223f","OTHER"))))</f>
        <v/>
      </c>
      <c r="Q57">
        <f>IF(UPPER(C57)="NC","NC","RP")</f>
        <v/>
      </c>
      <c r="R57">
        <f>IF(G57&lt;5000000,"small",IF(G57&lt;25000000,"medium","large"))</f>
        <v/>
      </c>
      <c r="S57">
        <f>P57&amp;"|"&amp;Q57&amp;"|"&amp;R57</f>
        <v/>
      </c>
      <c r="T57" s="13">
        <f>H57*100-I57</f>
        <v/>
      </c>
      <c r="U57" s="13">
        <f>T57-12.5*(J57+1)</f>
        <v/>
      </c>
      <c r="V57" s="15">
        <f>IFERROR(VLOOKUP(S57,V8_COHORT_TABLE,2,FALSE),IFERROR(VLOOKUP(P57&amp;"|"&amp;Q57&amp;"|ALL",V8_COHORT_TABLE,2,FALSE),IFERROR(VLOOKUP(P57&amp;"|ALL|ALL",V8_COHORT_TABLE,2,FALSE),VLOOKUP("GLOBAL",V8_COHORT_TABLE,2,FALSE))))</f>
        <v/>
      </c>
      <c r="W57" s="15">
        <f>IFERROR(VLOOKUP(S57,V8_COHORT_TABLE,3,FALSE),IFERROR(VLOOKUP(P57&amp;"|"&amp;Q57&amp;"|ALL",V8_COHORT_TABLE,3,FALSE),IFERROR(VLOOKUP(P57&amp;"|ALL|ALL",V8_COHORT_TABLE,3,FALSE),VLOOKUP("GLOBAL",V8_COHORT_TABLE,3,FALSE))))</f>
        <v/>
      </c>
      <c r="X57" s="15">
        <f>IFERROR(VLOOKUP(S57,V8_COHORT_TABLE,4,FALSE),IFERROR(VLOOKUP(P57&amp;"|"&amp;Q57&amp;"|ALL",V8_COHORT_TABLE,4,FALSE),IFERROR(VLOOKUP(P57&amp;"|ALL|ALL",V8_COHORT_TABLE,4,FALSE),VLOOKUP("GLOBAL",V8_COHORT_TABLE,4,FALSE))))</f>
        <v/>
      </c>
      <c r="Y57" s="15">
        <f>IFERROR(VLOOKUP(S57,V8_COHORT_TABLE,5,FALSE),IFERROR(VLOOKUP(P57&amp;"|"&amp;Q57&amp;"|ALL",V8_COHORT_TABLE,5,FALSE),IFERROR(VLOOKUP(P57&amp;"|ALL|ALL",V8_COHORT_TABLE,5,FALSE),VLOOKUP("GLOBAL",V8_COHORT_TABLE,5,FALSE))))</f>
        <v/>
      </c>
      <c r="Z57" s="15">
        <f>V57+W57/(1+EXP(-(U57-X57)/Y57))</f>
        <v/>
      </c>
      <c r="AA57" s="16">
        <f>1-(1-Z57)^12</f>
        <v/>
      </c>
      <c r="AB57" s="14">
        <f>IF(K57&lt;=V8_AGE_KNOT_X_0,V8_AGE_KNOT_Y_0,IF(K57&gt;=V8_AGE_KNOT_X_5,V8_AGE_KNOT_Y_5,IF(K57&lt;=V8_AGE_KNOT_X_1,V8_AGE_KNOT_Y_0+(K57-V8_AGE_KNOT_X_0)/(V8_AGE_KNOT_X_1-V8_AGE_KNOT_X_0)*(V8_AGE_KNOT_Y_1-V8_AGE_KNOT_Y_0),IF(K57&lt;=V8_AGE_KNOT_X_2,V8_AGE_KNOT_Y_1+(K57-V8_AGE_KNOT_X_1)/(V8_AGE_KNOT_X_2-V8_AGE_KNOT_X_1)*(V8_AGE_KNOT_Y_2-V8_AGE_KNOT_Y_1),IF(K57&lt;=V8_AGE_KNOT_X_3,V8_AGE_KNOT_Y_2+(K57-V8_AGE_KNOT_X_2)/(V8_AGE_KNOT_X_3-V8_AGE_KNOT_X_2)*(V8_AGE_KNOT_Y_3-V8_AGE_KNOT_Y_2),IF(K57&lt;=V8_AGE_KNOT_X_4,V8_AGE_KNOT_Y_3+(K57-V8_AGE_KNOT_X_3)/(V8_AGE_KNOT_X_4-V8_AGE_KNOT_X_3)*(V8_AGE_KNOT_Y_4-V8_AGE_KNOT_Y_3),V8_AGE_KNOT_Y_4+(K57-V8_AGE_KNOT_X_4)/(V8_AGE_KNOT_X_5-V8_AGE_KNOT_X_4)*(V8_AGE_KNOT_Y_5-V8_AGE_KNOT_Y_4)))))))</f>
        <v/>
      </c>
      <c r="AC57" s="14">
        <f>IF(IF(OR(L57="",NOT(ISNUMBER(L57))),360,MAX(0,MIN(480,(INT(L57/100)-INT(VALUE(F57)/100))*12+MOD(L57,100)-MOD(VALUE(F57),100))))&gt;0,1+V8_MTY_AMP*MAX(0,(V8_MTY_CUTOFF-(IF(OR(L57="",NOT(ISNUMBER(L57))),360,MAX(0,MIN(480,(INT(L57/100)-INT(VALUE(F57)/100))*12+MOD(L57,100)-MOD(VALUE(F57),100))))))/V8_MTY_CUTOFF),1)</f>
        <v/>
      </c>
      <c r="AD57" s="14">
        <f>IF(AND(IF(OR(M57="",NOT(ISNUMBER(M57))),0,MAX(0,MIN(24,(INT(VALUE(F57)/100)-INT(M57/100))*12+MOD(VALUE(F57),100)-MOD(M57,100))))&gt;0,IF(OR(M57="",NOT(ISNUMBER(M57))),0,MAX(0,MIN(24,(INT(VALUE(F57)/100)-INT(M57/100))*12+MOD(VALUE(F57),100)-MOD(M57,100))))&lt;=12),1+V8_LOCKOUT_AMP*EXP(-(IF(OR(M57="",NOT(ISNUMBER(M57))),0,MAX(0,MIN(24,(INT(VALUE(F57)/100)-INT(M57/100))*12+MOD(VALUE(F57),100)-MOD(M57,100)))))/V8_LOCKOUT_TAU),1)</f>
        <v/>
      </c>
      <c r="AE57" s="14">
        <f>MAX(V8_BURN_FLOOR,1-V8_BURN_SLOPE*MIN(1,MAX(0,O57)))</f>
        <v/>
      </c>
      <c r="AF57" s="15">
        <f>MIN(Z57*AB57*AC57*AD57*AE57,0.2)</f>
        <v/>
      </c>
      <c r="AG57" s="16">
        <f>1-(1-AF57)^12</f>
        <v/>
      </c>
    </row>
    <row r="58">
      <c r="A58" s="2" t="inlineStr">
        <is>
          <t>000010511032</t>
        </is>
      </c>
      <c r="B58" t="inlineStr">
        <is>
          <t>223f</t>
        </is>
      </c>
      <c r="C58" t="inlineStr">
        <is>
          <t>RP</t>
        </is>
      </c>
      <c r="D58" t="inlineStr">
        <is>
          <t>BERKADIA COMMERCIAL MORTGAGE, LLC</t>
        </is>
      </c>
      <c r="E58" t="n">
        <v>2007</v>
      </c>
      <c r="F58" t="inlineStr">
        <is>
          <t>202602</t>
        </is>
      </c>
      <c r="G58" s="8" t="n">
        <v>2605551.37</v>
      </c>
      <c r="H58" s="12" t="n">
        <v>2.83</v>
      </c>
      <c r="I58" s="13" t="n">
        <v>447</v>
      </c>
      <c r="J58" s="13" t="n">
        <v>6</v>
      </c>
      <c r="K58" t="n">
        <v>229</v>
      </c>
      <c r="L58" t="n">
        <v>204205</v>
      </c>
      <c r="M58" t="inlineStr"/>
      <c r="N58" t="n">
        <v>13</v>
      </c>
      <c r="O58" s="14" t="n">
        <v>0.05676855895196507</v>
      </c>
      <c r="P58">
        <f>IF(ISNUMBER(SEARCH("232",B58)),"232",IF(ISNUMBER(SEARCH("538",B58)),"538",IF(ISNUMBER(SEARCH("223a7",B58)),"223a7",IF(ISNUMBER(SEARCH("223f",B58)),"223f","OTHER"))))</f>
        <v/>
      </c>
      <c r="Q58">
        <f>IF(UPPER(C58)="NC","NC","RP")</f>
        <v/>
      </c>
      <c r="R58">
        <f>IF(G58&lt;5000000,"small",IF(G58&lt;25000000,"medium","large"))</f>
        <v/>
      </c>
      <c r="S58">
        <f>P58&amp;"|"&amp;Q58&amp;"|"&amp;R58</f>
        <v/>
      </c>
      <c r="T58" s="13">
        <f>H58*100-I58</f>
        <v/>
      </c>
      <c r="U58" s="13">
        <f>T58-12.5*(J58+1)</f>
        <v/>
      </c>
      <c r="V58" s="15">
        <f>IFERROR(VLOOKUP(S58,V8_COHORT_TABLE,2,FALSE),IFERROR(VLOOKUP(P58&amp;"|"&amp;Q58&amp;"|ALL",V8_COHORT_TABLE,2,FALSE),IFERROR(VLOOKUP(P58&amp;"|ALL|ALL",V8_COHORT_TABLE,2,FALSE),VLOOKUP("GLOBAL",V8_COHORT_TABLE,2,FALSE))))</f>
        <v/>
      </c>
      <c r="W58" s="15">
        <f>IFERROR(VLOOKUP(S58,V8_COHORT_TABLE,3,FALSE),IFERROR(VLOOKUP(P58&amp;"|"&amp;Q58&amp;"|ALL",V8_COHORT_TABLE,3,FALSE),IFERROR(VLOOKUP(P58&amp;"|ALL|ALL",V8_COHORT_TABLE,3,FALSE),VLOOKUP("GLOBAL",V8_COHORT_TABLE,3,FALSE))))</f>
        <v/>
      </c>
      <c r="X58" s="15">
        <f>IFERROR(VLOOKUP(S58,V8_COHORT_TABLE,4,FALSE),IFERROR(VLOOKUP(P58&amp;"|"&amp;Q58&amp;"|ALL",V8_COHORT_TABLE,4,FALSE),IFERROR(VLOOKUP(P58&amp;"|ALL|ALL",V8_COHORT_TABLE,4,FALSE),VLOOKUP("GLOBAL",V8_COHORT_TABLE,4,FALSE))))</f>
        <v/>
      </c>
      <c r="Y58" s="15">
        <f>IFERROR(VLOOKUP(S58,V8_COHORT_TABLE,5,FALSE),IFERROR(VLOOKUP(P58&amp;"|"&amp;Q58&amp;"|ALL",V8_COHORT_TABLE,5,FALSE),IFERROR(VLOOKUP(P58&amp;"|ALL|ALL",V8_COHORT_TABLE,5,FALSE),VLOOKUP("GLOBAL",V8_COHORT_TABLE,5,FALSE))))</f>
        <v/>
      </c>
      <c r="Z58" s="15">
        <f>V58+W58/(1+EXP(-(U58-X58)/Y58))</f>
        <v/>
      </c>
      <c r="AA58" s="16">
        <f>1-(1-Z58)^12</f>
        <v/>
      </c>
      <c r="AB58" s="14">
        <f>IF(K58&lt;=V8_AGE_KNOT_X_0,V8_AGE_KNOT_Y_0,IF(K58&gt;=V8_AGE_KNOT_X_5,V8_AGE_KNOT_Y_5,IF(K58&lt;=V8_AGE_KNOT_X_1,V8_AGE_KNOT_Y_0+(K58-V8_AGE_KNOT_X_0)/(V8_AGE_KNOT_X_1-V8_AGE_KNOT_X_0)*(V8_AGE_KNOT_Y_1-V8_AGE_KNOT_Y_0),IF(K58&lt;=V8_AGE_KNOT_X_2,V8_AGE_KNOT_Y_1+(K58-V8_AGE_KNOT_X_1)/(V8_AGE_KNOT_X_2-V8_AGE_KNOT_X_1)*(V8_AGE_KNOT_Y_2-V8_AGE_KNOT_Y_1),IF(K58&lt;=V8_AGE_KNOT_X_3,V8_AGE_KNOT_Y_2+(K58-V8_AGE_KNOT_X_2)/(V8_AGE_KNOT_X_3-V8_AGE_KNOT_X_2)*(V8_AGE_KNOT_Y_3-V8_AGE_KNOT_Y_2),IF(K58&lt;=V8_AGE_KNOT_X_4,V8_AGE_KNOT_Y_3+(K58-V8_AGE_KNOT_X_3)/(V8_AGE_KNOT_X_4-V8_AGE_KNOT_X_3)*(V8_AGE_KNOT_Y_4-V8_AGE_KNOT_Y_3),V8_AGE_KNOT_Y_4+(K58-V8_AGE_KNOT_X_4)/(V8_AGE_KNOT_X_5-V8_AGE_KNOT_X_4)*(V8_AGE_KNOT_Y_5-V8_AGE_KNOT_Y_4)))))))</f>
        <v/>
      </c>
      <c r="AC58" s="14">
        <f>IF(IF(OR(L58="",NOT(ISNUMBER(L58))),360,MAX(0,MIN(480,(INT(L58/100)-INT(VALUE(F58)/100))*12+MOD(L58,100)-MOD(VALUE(F58),100))))&gt;0,1+V8_MTY_AMP*MAX(0,(V8_MTY_CUTOFF-(IF(OR(L58="",NOT(ISNUMBER(L58))),360,MAX(0,MIN(480,(INT(L58/100)-INT(VALUE(F58)/100))*12+MOD(L58,100)-MOD(VALUE(F58),100))))))/V8_MTY_CUTOFF),1)</f>
        <v/>
      </c>
      <c r="AD58" s="14">
        <f>IF(AND(IF(OR(M58="",NOT(ISNUMBER(M58))),0,MAX(0,MIN(24,(INT(VALUE(F58)/100)-INT(M58/100))*12+MOD(VALUE(F58),100)-MOD(M58,100))))&gt;0,IF(OR(M58="",NOT(ISNUMBER(M58))),0,MAX(0,MIN(24,(INT(VALUE(F58)/100)-INT(M58/100))*12+MOD(VALUE(F58),100)-MOD(M58,100))))&lt;=12),1+V8_LOCKOUT_AMP*EXP(-(IF(OR(M58="",NOT(ISNUMBER(M58))),0,MAX(0,MIN(24,(INT(VALUE(F58)/100)-INT(M58/100))*12+MOD(VALUE(F58),100)-MOD(M58,100)))))/V8_LOCKOUT_TAU),1)</f>
        <v/>
      </c>
      <c r="AE58" s="14">
        <f>MAX(V8_BURN_FLOOR,1-V8_BURN_SLOPE*MIN(1,MAX(0,O58)))</f>
        <v/>
      </c>
      <c r="AF58" s="15">
        <f>MIN(Z58*AB58*AC58*AD58*AE58,0.2)</f>
        <v/>
      </c>
      <c r="AG58" s="16">
        <f>1-(1-AF58)^12</f>
        <v/>
      </c>
    </row>
    <row r="59">
      <c r="A59" s="2" t="inlineStr">
        <is>
          <t>000012222261</t>
        </is>
      </c>
      <c r="B59" t="inlineStr">
        <is>
          <t>232</t>
        </is>
      </c>
      <c r="C59" t="inlineStr">
        <is>
          <t>RP</t>
        </is>
      </c>
      <c r="D59" t="inlineStr">
        <is>
          <t>BERKADIA COMMERCIAL MORTGAGE, LLC</t>
        </is>
      </c>
      <c r="E59" t="n">
        <v>2021</v>
      </c>
      <c r="F59" t="inlineStr">
        <is>
          <t>202602</t>
        </is>
      </c>
      <c r="G59" s="8" t="n">
        <v>1287013.14</v>
      </c>
      <c r="H59" s="12" t="n">
        <v>2.58</v>
      </c>
      <c r="I59" s="13" t="n">
        <v>447</v>
      </c>
      <c r="J59" s="13" t="n">
        <v>8</v>
      </c>
      <c r="K59" t="n">
        <v>52</v>
      </c>
      <c r="L59" t="n">
        <v>204407</v>
      </c>
      <c r="M59" t="inlineStr"/>
      <c r="N59" t="n">
        <v>0</v>
      </c>
      <c r="O59" s="14" t="n">
        <v>0</v>
      </c>
      <c r="P59">
        <f>IF(ISNUMBER(SEARCH("232",B59)),"232",IF(ISNUMBER(SEARCH("538",B59)),"538",IF(ISNUMBER(SEARCH("223a7",B59)),"223a7",IF(ISNUMBER(SEARCH("223f",B59)),"223f","OTHER"))))</f>
        <v/>
      </c>
      <c r="Q59">
        <f>IF(UPPER(C59)="NC","NC","RP")</f>
        <v/>
      </c>
      <c r="R59">
        <f>IF(G59&lt;5000000,"small",IF(G59&lt;25000000,"medium","large"))</f>
        <v/>
      </c>
      <c r="S59">
        <f>P59&amp;"|"&amp;Q59&amp;"|"&amp;R59</f>
        <v/>
      </c>
      <c r="T59" s="13">
        <f>H59*100-I59</f>
        <v/>
      </c>
      <c r="U59" s="13">
        <f>T59-12.5*(J59+1)</f>
        <v/>
      </c>
      <c r="V59" s="15">
        <f>IFERROR(VLOOKUP(S59,V8_COHORT_TABLE,2,FALSE),IFERROR(VLOOKUP(P59&amp;"|"&amp;Q59&amp;"|ALL",V8_COHORT_TABLE,2,FALSE),IFERROR(VLOOKUP(P59&amp;"|ALL|ALL",V8_COHORT_TABLE,2,FALSE),VLOOKUP("GLOBAL",V8_COHORT_TABLE,2,FALSE))))</f>
        <v/>
      </c>
      <c r="W59" s="15">
        <f>IFERROR(VLOOKUP(S59,V8_COHORT_TABLE,3,FALSE),IFERROR(VLOOKUP(P59&amp;"|"&amp;Q59&amp;"|ALL",V8_COHORT_TABLE,3,FALSE),IFERROR(VLOOKUP(P59&amp;"|ALL|ALL",V8_COHORT_TABLE,3,FALSE),VLOOKUP("GLOBAL",V8_COHORT_TABLE,3,FALSE))))</f>
        <v/>
      </c>
      <c r="X59" s="15">
        <f>IFERROR(VLOOKUP(S59,V8_COHORT_TABLE,4,FALSE),IFERROR(VLOOKUP(P59&amp;"|"&amp;Q59&amp;"|ALL",V8_COHORT_TABLE,4,FALSE),IFERROR(VLOOKUP(P59&amp;"|ALL|ALL",V8_COHORT_TABLE,4,FALSE),VLOOKUP("GLOBAL",V8_COHORT_TABLE,4,FALSE))))</f>
        <v/>
      </c>
      <c r="Y59" s="15">
        <f>IFERROR(VLOOKUP(S59,V8_COHORT_TABLE,5,FALSE),IFERROR(VLOOKUP(P59&amp;"|"&amp;Q59&amp;"|ALL",V8_COHORT_TABLE,5,FALSE),IFERROR(VLOOKUP(P59&amp;"|ALL|ALL",V8_COHORT_TABLE,5,FALSE),VLOOKUP("GLOBAL",V8_COHORT_TABLE,5,FALSE))))</f>
        <v/>
      </c>
      <c r="Z59" s="15">
        <f>V59+W59/(1+EXP(-(U59-X59)/Y59))</f>
        <v/>
      </c>
      <c r="AA59" s="16">
        <f>1-(1-Z59)^12</f>
        <v/>
      </c>
      <c r="AB59" s="14">
        <f>IF(K59&lt;=V8_AGE_KNOT_X_0,V8_AGE_KNOT_Y_0,IF(K59&gt;=V8_AGE_KNOT_X_5,V8_AGE_KNOT_Y_5,IF(K59&lt;=V8_AGE_KNOT_X_1,V8_AGE_KNOT_Y_0+(K59-V8_AGE_KNOT_X_0)/(V8_AGE_KNOT_X_1-V8_AGE_KNOT_X_0)*(V8_AGE_KNOT_Y_1-V8_AGE_KNOT_Y_0),IF(K59&lt;=V8_AGE_KNOT_X_2,V8_AGE_KNOT_Y_1+(K59-V8_AGE_KNOT_X_1)/(V8_AGE_KNOT_X_2-V8_AGE_KNOT_X_1)*(V8_AGE_KNOT_Y_2-V8_AGE_KNOT_Y_1),IF(K59&lt;=V8_AGE_KNOT_X_3,V8_AGE_KNOT_Y_2+(K59-V8_AGE_KNOT_X_2)/(V8_AGE_KNOT_X_3-V8_AGE_KNOT_X_2)*(V8_AGE_KNOT_Y_3-V8_AGE_KNOT_Y_2),IF(K59&lt;=V8_AGE_KNOT_X_4,V8_AGE_KNOT_Y_3+(K59-V8_AGE_KNOT_X_3)/(V8_AGE_KNOT_X_4-V8_AGE_KNOT_X_3)*(V8_AGE_KNOT_Y_4-V8_AGE_KNOT_Y_3),V8_AGE_KNOT_Y_4+(K59-V8_AGE_KNOT_X_4)/(V8_AGE_KNOT_X_5-V8_AGE_KNOT_X_4)*(V8_AGE_KNOT_Y_5-V8_AGE_KNOT_Y_4)))))))</f>
        <v/>
      </c>
      <c r="AC59" s="14">
        <f>IF(IF(OR(L59="",NOT(ISNUMBER(L59))),360,MAX(0,MIN(480,(INT(L59/100)-INT(VALUE(F59)/100))*12+MOD(L59,100)-MOD(VALUE(F59),100))))&gt;0,1+V8_MTY_AMP*MAX(0,(V8_MTY_CUTOFF-(IF(OR(L59="",NOT(ISNUMBER(L59))),360,MAX(0,MIN(480,(INT(L59/100)-INT(VALUE(F59)/100))*12+MOD(L59,100)-MOD(VALUE(F59),100))))))/V8_MTY_CUTOFF),1)</f>
        <v/>
      </c>
      <c r="AD59" s="14">
        <f>IF(AND(IF(OR(M59="",NOT(ISNUMBER(M59))),0,MAX(0,MIN(24,(INT(VALUE(F59)/100)-INT(M59/100))*12+MOD(VALUE(F59),100)-MOD(M59,100))))&gt;0,IF(OR(M59="",NOT(ISNUMBER(M59))),0,MAX(0,MIN(24,(INT(VALUE(F59)/100)-INT(M59/100))*12+MOD(VALUE(F59),100)-MOD(M59,100))))&lt;=12),1+V8_LOCKOUT_AMP*EXP(-(IF(OR(M59="",NOT(ISNUMBER(M59))),0,MAX(0,MIN(24,(INT(VALUE(F59)/100)-INT(M59/100))*12+MOD(VALUE(F59),100)-MOD(M59,100)))))/V8_LOCKOUT_TAU),1)</f>
        <v/>
      </c>
      <c r="AE59" s="14">
        <f>MAX(V8_BURN_FLOOR,1-V8_BURN_SLOPE*MIN(1,MAX(0,O59)))</f>
        <v/>
      </c>
      <c r="AF59" s="15">
        <f>MIN(Z59*AB59*AC59*AD59*AE59,0.2)</f>
        <v/>
      </c>
      <c r="AG59" s="16">
        <f>1-(1-AF59)^12</f>
        <v/>
      </c>
    </row>
    <row r="60">
      <c r="A60" s="2" t="inlineStr">
        <is>
          <t>000012711198</t>
        </is>
      </c>
      <c r="B60" t="inlineStr">
        <is>
          <t>223f</t>
        </is>
      </c>
      <c r="C60" t="inlineStr">
        <is>
          <t>RP</t>
        </is>
      </c>
      <c r="D60" t="inlineStr">
        <is>
          <t>BERKADIA COMMERCIAL MORTGAGE, LLC</t>
        </is>
      </c>
      <c r="E60" t="n">
        <v>2013</v>
      </c>
      <c r="F60" t="inlineStr">
        <is>
          <t>202602</t>
        </is>
      </c>
      <c r="G60" s="8" t="n">
        <v>13509058.06</v>
      </c>
      <c r="H60" s="12" t="n">
        <v>2.65</v>
      </c>
      <c r="I60" s="13" t="n">
        <v>447</v>
      </c>
      <c r="J60" s="13" t="n">
        <v>6</v>
      </c>
      <c r="K60" t="n">
        <v>155</v>
      </c>
      <c r="L60" t="n">
        <v>204806</v>
      </c>
      <c r="M60" t="inlineStr"/>
      <c r="N60" t="n">
        <v>13</v>
      </c>
      <c r="O60" s="14" t="n">
        <v>0.08387096774193549</v>
      </c>
      <c r="P60">
        <f>IF(ISNUMBER(SEARCH("232",B60)),"232",IF(ISNUMBER(SEARCH("538",B60)),"538",IF(ISNUMBER(SEARCH("223a7",B60)),"223a7",IF(ISNUMBER(SEARCH("223f",B60)),"223f","OTHER"))))</f>
        <v/>
      </c>
      <c r="Q60">
        <f>IF(UPPER(C60)="NC","NC","RP")</f>
        <v/>
      </c>
      <c r="R60">
        <f>IF(G60&lt;5000000,"small",IF(G60&lt;25000000,"medium","large"))</f>
        <v/>
      </c>
      <c r="S60">
        <f>P60&amp;"|"&amp;Q60&amp;"|"&amp;R60</f>
        <v/>
      </c>
      <c r="T60" s="13">
        <f>H60*100-I60</f>
        <v/>
      </c>
      <c r="U60" s="13">
        <f>T60-12.5*(J60+1)</f>
        <v/>
      </c>
      <c r="V60" s="15">
        <f>IFERROR(VLOOKUP(S60,V8_COHORT_TABLE,2,FALSE),IFERROR(VLOOKUP(P60&amp;"|"&amp;Q60&amp;"|ALL",V8_COHORT_TABLE,2,FALSE),IFERROR(VLOOKUP(P60&amp;"|ALL|ALL",V8_COHORT_TABLE,2,FALSE),VLOOKUP("GLOBAL",V8_COHORT_TABLE,2,FALSE))))</f>
        <v/>
      </c>
      <c r="W60" s="15">
        <f>IFERROR(VLOOKUP(S60,V8_COHORT_TABLE,3,FALSE),IFERROR(VLOOKUP(P60&amp;"|"&amp;Q60&amp;"|ALL",V8_COHORT_TABLE,3,FALSE),IFERROR(VLOOKUP(P60&amp;"|ALL|ALL",V8_COHORT_TABLE,3,FALSE),VLOOKUP("GLOBAL",V8_COHORT_TABLE,3,FALSE))))</f>
        <v/>
      </c>
      <c r="X60" s="15">
        <f>IFERROR(VLOOKUP(S60,V8_COHORT_TABLE,4,FALSE),IFERROR(VLOOKUP(P60&amp;"|"&amp;Q60&amp;"|ALL",V8_COHORT_TABLE,4,FALSE),IFERROR(VLOOKUP(P60&amp;"|ALL|ALL",V8_COHORT_TABLE,4,FALSE),VLOOKUP("GLOBAL",V8_COHORT_TABLE,4,FALSE))))</f>
        <v/>
      </c>
      <c r="Y60" s="15">
        <f>IFERROR(VLOOKUP(S60,V8_COHORT_TABLE,5,FALSE),IFERROR(VLOOKUP(P60&amp;"|"&amp;Q60&amp;"|ALL",V8_COHORT_TABLE,5,FALSE),IFERROR(VLOOKUP(P60&amp;"|ALL|ALL",V8_COHORT_TABLE,5,FALSE),VLOOKUP("GLOBAL",V8_COHORT_TABLE,5,FALSE))))</f>
        <v/>
      </c>
      <c r="Z60" s="15">
        <f>V60+W60/(1+EXP(-(U60-X60)/Y60))</f>
        <v/>
      </c>
      <c r="AA60" s="16">
        <f>1-(1-Z60)^12</f>
        <v/>
      </c>
      <c r="AB60" s="14">
        <f>IF(K60&lt;=V8_AGE_KNOT_X_0,V8_AGE_KNOT_Y_0,IF(K60&gt;=V8_AGE_KNOT_X_5,V8_AGE_KNOT_Y_5,IF(K60&lt;=V8_AGE_KNOT_X_1,V8_AGE_KNOT_Y_0+(K60-V8_AGE_KNOT_X_0)/(V8_AGE_KNOT_X_1-V8_AGE_KNOT_X_0)*(V8_AGE_KNOT_Y_1-V8_AGE_KNOT_Y_0),IF(K60&lt;=V8_AGE_KNOT_X_2,V8_AGE_KNOT_Y_1+(K60-V8_AGE_KNOT_X_1)/(V8_AGE_KNOT_X_2-V8_AGE_KNOT_X_1)*(V8_AGE_KNOT_Y_2-V8_AGE_KNOT_Y_1),IF(K60&lt;=V8_AGE_KNOT_X_3,V8_AGE_KNOT_Y_2+(K60-V8_AGE_KNOT_X_2)/(V8_AGE_KNOT_X_3-V8_AGE_KNOT_X_2)*(V8_AGE_KNOT_Y_3-V8_AGE_KNOT_Y_2),IF(K60&lt;=V8_AGE_KNOT_X_4,V8_AGE_KNOT_Y_3+(K60-V8_AGE_KNOT_X_3)/(V8_AGE_KNOT_X_4-V8_AGE_KNOT_X_3)*(V8_AGE_KNOT_Y_4-V8_AGE_KNOT_Y_3),V8_AGE_KNOT_Y_4+(K60-V8_AGE_KNOT_X_4)/(V8_AGE_KNOT_X_5-V8_AGE_KNOT_X_4)*(V8_AGE_KNOT_Y_5-V8_AGE_KNOT_Y_4)))))))</f>
        <v/>
      </c>
      <c r="AC60" s="14">
        <f>IF(IF(OR(L60="",NOT(ISNUMBER(L60))),360,MAX(0,MIN(480,(INT(L60/100)-INT(VALUE(F60)/100))*12+MOD(L60,100)-MOD(VALUE(F60),100))))&gt;0,1+V8_MTY_AMP*MAX(0,(V8_MTY_CUTOFF-(IF(OR(L60="",NOT(ISNUMBER(L60))),360,MAX(0,MIN(480,(INT(L60/100)-INT(VALUE(F60)/100))*12+MOD(L60,100)-MOD(VALUE(F60),100))))))/V8_MTY_CUTOFF),1)</f>
        <v/>
      </c>
      <c r="AD60" s="14">
        <f>IF(AND(IF(OR(M60="",NOT(ISNUMBER(M60))),0,MAX(0,MIN(24,(INT(VALUE(F60)/100)-INT(M60/100))*12+MOD(VALUE(F60),100)-MOD(M60,100))))&gt;0,IF(OR(M60="",NOT(ISNUMBER(M60))),0,MAX(0,MIN(24,(INT(VALUE(F60)/100)-INT(M60/100))*12+MOD(VALUE(F60),100)-MOD(M60,100))))&lt;=12),1+V8_LOCKOUT_AMP*EXP(-(IF(OR(M60="",NOT(ISNUMBER(M60))),0,MAX(0,MIN(24,(INT(VALUE(F60)/100)-INT(M60/100))*12+MOD(VALUE(F60),100)-MOD(M60,100)))))/V8_LOCKOUT_TAU),1)</f>
        <v/>
      </c>
      <c r="AE60" s="14">
        <f>MAX(V8_BURN_FLOOR,1-V8_BURN_SLOPE*MIN(1,MAX(0,O60)))</f>
        <v/>
      </c>
      <c r="AF60" s="15">
        <f>MIN(Z60*AB60*AC60*AD60*AE60,0.2)</f>
        <v/>
      </c>
      <c r="AG60" s="16">
        <f>1-(1-AF60)^12</f>
        <v/>
      </c>
    </row>
    <row r="61">
      <c r="A61" s="2" t="inlineStr">
        <is>
          <t>000005311191</t>
        </is>
      </c>
      <c r="B61" t="inlineStr">
        <is>
          <t>223f</t>
        </is>
      </c>
      <c r="C61" t="inlineStr">
        <is>
          <t>RP</t>
        </is>
      </c>
      <c r="D61" t="inlineStr">
        <is>
          <t>BERKADIA COMMERCIAL MORTGAGE, LLC</t>
        </is>
      </c>
      <c r="E61" t="n">
        <v>2006</v>
      </c>
      <c r="F61" t="inlineStr">
        <is>
          <t>202602</t>
        </is>
      </c>
      <c r="G61" s="8" t="n">
        <v>1200023.12</v>
      </c>
      <c r="H61" s="12" t="n">
        <v>3.85</v>
      </c>
      <c r="I61" s="13" t="n">
        <v>447</v>
      </c>
      <c r="J61" s="13" t="n">
        <v>0</v>
      </c>
      <c r="K61" t="n">
        <v>239</v>
      </c>
      <c r="L61" t="n">
        <v>204106</v>
      </c>
      <c r="M61" t="inlineStr"/>
      <c r="N61" t="n">
        <v>33</v>
      </c>
      <c r="O61" s="14" t="n">
        <v>0.1380753138075314</v>
      </c>
      <c r="P61">
        <f>IF(ISNUMBER(SEARCH("232",B61)),"232",IF(ISNUMBER(SEARCH("538",B61)),"538",IF(ISNUMBER(SEARCH("223a7",B61)),"223a7",IF(ISNUMBER(SEARCH("223f",B61)),"223f","OTHER"))))</f>
        <v/>
      </c>
      <c r="Q61">
        <f>IF(UPPER(C61)="NC","NC","RP")</f>
        <v/>
      </c>
      <c r="R61">
        <f>IF(G61&lt;5000000,"small",IF(G61&lt;25000000,"medium","large"))</f>
        <v/>
      </c>
      <c r="S61">
        <f>P61&amp;"|"&amp;Q61&amp;"|"&amp;R61</f>
        <v/>
      </c>
      <c r="T61" s="13">
        <f>H61*100-I61</f>
        <v/>
      </c>
      <c r="U61" s="13">
        <f>T61-12.5*(J61+1)</f>
        <v/>
      </c>
      <c r="V61" s="15">
        <f>IFERROR(VLOOKUP(S61,V8_COHORT_TABLE,2,FALSE),IFERROR(VLOOKUP(P61&amp;"|"&amp;Q61&amp;"|ALL",V8_COHORT_TABLE,2,FALSE),IFERROR(VLOOKUP(P61&amp;"|ALL|ALL",V8_COHORT_TABLE,2,FALSE),VLOOKUP("GLOBAL",V8_COHORT_TABLE,2,FALSE))))</f>
        <v/>
      </c>
      <c r="W61" s="15">
        <f>IFERROR(VLOOKUP(S61,V8_COHORT_TABLE,3,FALSE),IFERROR(VLOOKUP(P61&amp;"|"&amp;Q61&amp;"|ALL",V8_COHORT_TABLE,3,FALSE),IFERROR(VLOOKUP(P61&amp;"|ALL|ALL",V8_COHORT_TABLE,3,FALSE),VLOOKUP("GLOBAL",V8_COHORT_TABLE,3,FALSE))))</f>
        <v/>
      </c>
      <c r="X61" s="15">
        <f>IFERROR(VLOOKUP(S61,V8_COHORT_TABLE,4,FALSE),IFERROR(VLOOKUP(P61&amp;"|"&amp;Q61&amp;"|ALL",V8_COHORT_TABLE,4,FALSE),IFERROR(VLOOKUP(P61&amp;"|ALL|ALL",V8_COHORT_TABLE,4,FALSE),VLOOKUP("GLOBAL",V8_COHORT_TABLE,4,FALSE))))</f>
        <v/>
      </c>
      <c r="Y61" s="15">
        <f>IFERROR(VLOOKUP(S61,V8_COHORT_TABLE,5,FALSE),IFERROR(VLOOKUP(P61&amp;"|"&amp;Q61&amp;"|ALL",V8_COHORT_TABLE,5,FALSE),IFERROR(VLOOKUP(P61&amp;"|ALL|ALL",V8_COHORT_TABLE,5,FALSE),VLOOKUP("GLOBAL",V8_COHORT_TABLE,5,FALSE))))</f>
        <v/>
      </c>
      <c r="Z61" s="15">
        <f>V61+W61/(1+EXP(-(U61-X61)/Y61))</f>
        <v/>
      </c>
      <c r="AA61" s="16">
        <f>1-(1-Z61)^12</f>
        <v/>
      </c>
      <c r="AB61" s="14">
        <f>IF(K61&lt;=V8_AGE_KNOT_X_0,V8_AGE_KNOT_Y_0,IF(K61&gt;=V8_AGE_KNOT_X_5,V8_AGE_KNOT_Y_5,IF(K61&lt;=V8_AGE_KNOT_X_1,V8_AGE_KNOT_Y_0+(K61-V8_AGE_KNOT_X_0)/(V8_AGE_KNOT_X_1-V8_AGE_KNOT_X_0)*(V8_AGE_KNOT_Y_1-V8_AGE_KNOT_Y_0),IF(K61&lt;=V8_AGE_KNOT_X_2,V8_AGE_KNOT_Y_1+(K61-V8_AGE_KNOT_X_1)/(V8_AGE_KNOT_X_2-V8_AGE_KNOT_X_1)*(V8_AGE_KNOT_Y_2-V8_AGE_KNOT_Y_1),IF(K61&lt;=V8_AGE_KNOT_X_3,V8_AGE_KNOT_Y_2+(K61-V8_AGE_KNOT_X_2)/(V8_AGE_KNOT_X_3-V8_AGE_KNOT_X_2)*(V8_AGE_KNOT_Y_3-V8_AGE_KNOT_Y_2),IF(K61&lt;=V8_AGE_KNOT_X_4,V8_AGE_KNOT_Y_3+(K61-V8_AGE_KNOT_X_3)/(V8_AGE_KNOT_X_4-V8_AGE_KNOT_X_3)*(V8_AGE_KNOT_Y_4-V8_AGE_KNOT_Y_3),V8_AGE_KNOT_Y_4+(K61-V8_AGE_KNOT_X_4)/(V8_AGE_KNOT_X_5-V8_AGE_KNOT_X_4)*(V8_AGE_KNOT_Y_5-V8_AGE_KNOT_Y_4)))))))</f>
        <v/>
      </c>
      <c r="AC61" s="14">
        <f>IF(IF(OR(L61="",NOT(ISNUMBER(L61))),360,MAX(0,MIN(480,(INT(L61/100)-INT(VALUE(F61)/100))*12+MOD(L61,100)-MOD(VALUE(F61),100))))&gt;0,1+V8_MTY_AMP*MAX(0,(V8_MTY_CUTOFF-(IF(OR(L61="",NOT(ISNUMBER(L61))),360,MAX(0,MIN(480,(INT(L61/100)-INT(VALUE(F61)/100))*12+MOD(L61,100)-MOD(VALUE(F61),100))))))/V8_MTY_CUTOFF),1)</f>
        <v/>
      </c>
      <c r="AD61" s="14">
        <f>IF(AND(IF(OR(M61="",NOT(ISNUMBER(M61))),0,MAX(0,MIN(24,(INT(VALUE(F61)/100)-INT(M61/100))*12+MOD(VALUE(F61),100)-MOD(M61,100))))&gt;0,IF(OR(M61="",NOT(ISNUMBER(M61))),0,MAX(0,MIN(24,(INT(VALUE(F61)/100)-INT(M61/100))*12+MOD(VALUE(F61),100)-MOD(M61,100))))&lt;=12),1+V8_LOCKOUT_AMP*EXP(-(IF(OR(M61="",NOT(ISNUMBER(M61))),0,MAX(0,MIN(24,(INT(VALUE(F61)/100)-INT(M61/100))*12+MOD(VALUE(F61),100)-MOD(M61,100)))))/V8_LOCKOUT_TAU),1)</f>
        <v/>
      </c>
      <c r="AE61" s="14">
        <f>MAX(V8_BURN_FLOOR,1-V8_BURN_SLOPE*MIN(1,MAX(0,O61)))</f>
        <v/>
      </c>
      <c r="AF61" s="15">
        <f>MIN(Z61*AB61*AC61*AD61*AE61,0.2)</f>
        <v/>
      </c>
      <c r="AG61" s="16">
        <f>1-(1-AF61)^12</f>
        <v/>
      </c>
    </row>
    <row r="62">
      <c r="A62" s="2" t="inlineStr">
        <is>
          <t>000007535464</t>
        </is>
      </c>
      <c r="B62" t="inlineStr">
        <is>
          <t>221d4</t>
        </is>
      </c>
      <c r="C62" t="inlineStr">
        <is>
          <t>NC</t>
        </is>
      </c>
      <c r="D62" t="inlineStr">
        <is>
          <t>BERKADIA COMMERCIAL MORTGAGE, LLC</t>
        </is>
      </c>
      <c r="E62" t="n">
        <v>2016</v>
      </c>
      <c r="F62" t="inlineStr">
        <is>
          <t>202602</t>
        </is>
      </c>
      <c r="G62" s="8" t="n">
        <v>17297981.93</v>
      </c>
      <c r="H62" s="12" t="n">
        <v>3.25</v>
      </c>
      <c r="I62" s="13" t="n">
        <v>447</v>
      </c>
      <c r="J62" s="13" t="n">
        <v>6</v>
      </c>
      <c r="K62" t="n">
        <v>113</v>
      </c>
      <c r="L62" t="n">
        <v>205806</v>
      </c>
      <c r="M62" t="inlineStr"/>
      <c r="N62" t="n">
        <v>16</v>
      </c>
      <c r="O62" s="14" t="n">
        <v>0.1415929203539823</v>
      </c>
      <c r="P62">
        <f>IF(ISNUMBER(SEARCH("232",B62)),"232",IF(ISNUMBER(SEARCH("538",B62)),"538",IF(ISNUMBER(SEARCH("223a7",B62)),"223a7",IF(ISNUMBER(SEARCH("223f",B62)),"223f","OTHER"))))</f>
        <v/>
      </c>
      <c r="Q62">
        <f>IF(UPPER(C62)="NC","NC","RP")</f>
        <v/>
      </c>
      <c r="R62">
        <f>IF(G62&lt;5000000,"small",IF(G62&lt;25000000,"medium","large"))</f>
        <v/>
      </c>
      <c r="S62">
        <f>P62&amp;"|"&amp;Q62&amp;"|"&amp;R62</f>
        <v/>
      </c>
      <c r="T62" s="13">
        <f>H62*100-I62</f>
        <v/>
      </c>
      <c r="U62" s="13">
        <f>T62-12.5*(J62+1)</f>
        <v/>
      </c>
      <c r="V62" s="15">
        <f>IFERROR(VLOOKUP(S62,V8_COHORT_TABLE,2,FALSE),IFERROR(VLOOKUP(P62&amp;"|"&amp;Q62&amp;"|ALL",V8_COHORT_TABLE,2,FALSE),IFERROR(VLOOKUP(P62&amp;"|ALL|ALL",V8_COHORT_TABLE,2,FALSE),VLOOKUP("GLOBAL",V8_COHORT_TABLE,2,FALSE))))</f>
        <v/>
      </c>
      <c r="W62" s="15">
        <f>IFERROR(VLOOKUP(S62,V8_COHORT_TABLE,3,FALSE),IFERROR(VLOOKUP(P62&amp;"|"&amp;Q62&amp;"|ALL",V8_COHORT_TABLE,3,FALSE),IFERROR(VLOOKUP(P62&amp;"|ALL|ALL",V8_COHORT_TABLE,3,FALSE),VLOOKUP("GLOBAL",V8_COHORT_TABLE,3,FALSE))))</f>
        <v/>
      </c>
      <c r="X62" s="15">
        <f>IFERROR(VLOOKUP(S62,V8_COHORT_TABLE,4,FALSE),IFERROR(VLOOKUP(P62&amp;"|"&amp;Q62&amp;"|ALL",V8_COHORT_TABLE,4,FALSE),IFERROR(VLOOKUP(P62&amp;"|ALL|ALL",V8_COHORT_TABLE,4,FALSE),VLOOKUP("GLOBAL",V8_COHORT_TABLE,4,FALSE))))</f>
        <v/>
      </c>
      <c r="Y62" s="15">
        <f>IFERROR(VLOOKUP(S62,V8_COHORT_TABLE,5,FALSE),IFERROR(VLOOKUP(P62&amp;"|"&amp;Q62&amp;"|ALL",V8_COHORT_TABLE,5,FALSE),IFERROR(VLOOKUP(P62&amp;"|ALL|ALL",V8_COHORT_TABLE,5,FALSE),VLOOKUP("GLOBAL",V8_COHORT_TABLE,5,FALSE))))</f>
        <v/>
      </c>
      <c r="Z62" s="15">
        <f>V62+W62/(1+EXP(-(U62-X62)/Y62))</f>
        <v/>
      </c>
      <c r="AA62" s="16">
        <f>1-(1-Z62)^12</f>
        <v/>
      </c>
      <c r="AB62" s="14">
        <f>IF(K62&lt;=V8_AGE_KNOT_X_0,V8_AGE_KNOT_Y_0,IF(K62&gt;=V8_AGE_KNOT_X_5,V8_AGE_KNOT_Y_5,IF(K62&lt;=V8_AGE_KNOT_X_1,V8_AGE_KNOT_Y_0+(K62-V8_AGE_KNOT_X_0)/(V8_AGE_KNOT_X_1-V8_AGE_KNOT_X_0)*(V8_AGE_KNOT_Y_1-V8_AGE_KNOT_Y_0),IF(K62&lt;=V8_AGE_KNOT_X_2,V8_AGE_KNOT_Y_1+(K62-V8_AGE_KNOT_X_1)/(V8_AGE_KNOT_X_2-V8_AGE_KNOT_X_1)*(V8_AGE_KNOT_Y_2-V8_AGE_KNOT_Y_1),IF(K62&lt;=V8_AGE_KNOT_X_3,V8_AGE_KNOT_Y_2+(K62-V8_AGE_KNOT_X_2)/(V8_AGE_KNOT_X_3-V8_AGE_KNOT_X_2)*(V8_AGE_KNOT_Y_3-V8_AGE_KNOT_Y_2),IF(K62&lt;=V8_AGE_KNOT_X_4,V8_AGE_KNOT_Y_3+(K62-V8_AGE_KNOT_X_3)/(V8_AGE_KNOT_X_4-V8_AGE_KNOT_X_3)*(V8_AGE_KNOT_Y_4-V8_AGE_KNOT_Y_3),V8_AGE_KNOT_Y_4+(K62-V8_AGE_KNOT_X_4)/(V8_AGE_KNOT_X_5-V8_AGE_KNOT_X_4)*(V8_AGE_KNOT_Y_5-V8_AGE_KNOT_Y_4)))))))</f>
        <v/>
      </c>
      <c r="AC62" s="14">
        <f>IF(IF(OR(L62="",NOT(ISNUMBER(L62))),360,MAX(0,MIN(480,(INT(L62/100)-INT(VALUE(F62)/100))*12+MOD(L62,100)-MOD(VALUE(F62),100))))&gt;0,1+V8_MTY_AMP*MAX(0,(V8_MTY_CUTOFF-(IF(OR(L62="",NOT(ISNUMBER(L62))),360,MAX(0,MIN(480,(INT(L62/100)-INT(VALUE(F62)/100))*12+MOD(L62,100)-MOD(VALUE(F62),100))))))/V8_MTY_CUTOFF),1)</f>
        <v/>
      </c>
      <c r="AD62" s="14">
        <f>IF(AND(IF(OR(M62="",NOT(ISNUMBER(M62))),0,MAX(0,MIN(24,(INT(VALUE(F62)/100)-INT(M62/100))*12+MOD(VALUE(F62),100)-MOD(M62,100))))&gt;0,IF(OR(M62="",NOT(ISNUMBER(M62))),0,MAX(0,MIN(24,(INT(VALUE(F62)/100)-INT(M62/100))*12+MOD(VALUE(F62),100)-MOD(M62,100))))&lt;=12),1+V8_LOCKOUT_AMP*EXP(-(IF(OR(M62="",NOT(ISNUMBER(M62))),0,MAX(0,MIN(24,(INT(VALUE(F62)/100)-INT(M62/100))*12+MOD(VALUE(F62),100)-MOD(M62,100)))))/V8_LOCKOUT_TAU),1)</f>
        <v/>
      </c>
      <c r="AE62" s="14">
        <f>MAX(V8_BURN_FLOOR,1-V8_BURN_SLOPE*MIN(1,MAX(0,O62)))</f>
        <v/>
      </c>
      <c r="AF62" s="15">
        <f>MIN(Z62*AB62*AC62*AD62*AE62,0.2)</f>
        <v/>
      </c>
      <c r="AG62" s="16">
        <f>1-(1-AF62)^12</f>
        <v/>
      </c>
    </row>
    <row r="63">
      <c r="A63" s="2" t="inlineStr">
        <is>
          <t>000003111141</t>
        </is>
      </c>
      <c r="B63" t="inlineStr">
        <is>
          <t>223f</t>
        </is>
      </c>
      <c r="C63" t="inlineStr">
        <is>
          <t>RP</t>
        </is>
      </c>
      <c r="D63" t="inlineStr">
        <is>
          <t>BERKADIA COMMERCIAL MORTGAGE, LLC</t>
        </is>
      </c>
      <c r="E63" t="n">
        <v>2021</v>
      </c>
      <c r="F63" t="inlineStr">
        <is>
          <t>202602</t>
        </is>
      </c>
      <c r="G63" s="8" t="n">
        <v>23902483.14</v>
      </c>
      <c r="H63" s="12" t="n">
        <v>2.58</v>
      </c>
      <c r="I63" s="13" t="n">
        <v>447</v>
      </c>
      <c r="J63" s="13" t="n">
        <v>7</v>
      </c>
      <c r="K63" t="n">
        <v>58</v>
      </c>
      <c r="L63" t="n">
        <v>205610</v>
      </c>
      <c r="M63" t="inlineStr"/>
      <c r="N63" t="n">
        <v>6</v>
      </c>
      <c r="O63" s="14" t="n">
        <v>0.103448275862069</v>
      </c>
      <c r="P63">
        <f>IF(ISNUMBER(SEARCH("232",B63)),"232",IF(ISNUMBER(SEARCH("538",B63)),"538",IF(ISNUMBER(SEARCH("223a7",B63)),"223a7",IF(ISNUMBER(SEARCH("223f",B63)),"223f","OTHER"))))</f>
        <v/>
      </c>
      <c r="Q63">
        <f>IF(UPPER(C63)="NC","NC","RP")</f>
        <v/>
      </c>
      <c r="R63">
        <f>IF(G63&lt;5000000,"small",IF(G63&lt;25000000,"medium","large"))</f>
        <v/>
      </c>
      <c r="S63">
        <f>P63&amp;"|"&amp;Q63&amp;"|"&amp;R63</f>
        <v/>
      </c>
      <c r="T63" s="13">
        <f>H63*100-I63</f>
        <v/>
      </c>
      <c r="U63" s="13">
        <f>T63-12.5*(J63+1)</f>
        <v/>
      </c>
      <c r="V63" s="15">
        <f>IFERROR(VLOOKUP(S63,V8_COHORT_TABLE,2,FALSE),IFERROR(VLOOKUP(P63&amp;"|"&amp;Q63&amp;"|ALL",V8_COHORT_TABLE,2,FALSE),IFERROR(VLOOKUP(P63&amp;"|ALL|ALL",V8_COHORT_TABLE,2,FALSE),VLOOKUP("GLOBAL",V8_COHORT_TABLE,2,FALSE))))</f>
        <v/>
      </c>
      <c r="W63" s="15">
        <f>IFERROR(VLOOKUP(S63,V8_COHORT_TABLE,3,FALSE),IFERROR(VLOOKUP(P63&amp;"|"&amp;Q63&amp;"|ALL",V8_COHORT_TABLE,3,FALSE),IFERROR(VLOOKUP(P63&amp;"|ALL|ALL",V8_COHORT_TABLE,3,FALSE),VLOOKUP("GLOBAL",V8_COHORT_TABLE,3,FALSE))))</f>
        <v/>
      </c>
      <c r="X63" s="15">
        <f>IFERROR(VLOOKUP(S63,V8_COHORT_TABLE,4,FALSE),IFERROR(VLOOKUP(P63&amp;"|"&amp;Q63&amp;"|ALL",V8_COHORT_TABLE,4,FALSE),IFERROR(VLOOKUP(P63&amp;"|ALL|ALL",V8_COHORT_TABLE,4,FALSE),VLOOKUP("GLOBAL",V8_COHORT_TABLE,4,FALSE))))</f>
        <v/>
      </c>
      <c r="Y63" s="15">
        <f>IFERROR(VLOOKUP(S63,V8_COHORT_TABLE,5,FALSE),IFERROR(VLOOKUP(P63&amp;"|"&amp;Q63&amp;"|ALL",V8_COHORT_TABLE,5,FALSE),IFERROR(VLOOKUP(P63&amp;"|ALL|ALL",V8_COHORT_TABLE,5,FALSE),VLOOKUP("GLOBAL",V8_COHORT_TABLE,5,FALSE))))</f>
        <v/>
      </c>
      <c r="Z63" s="15">
        <f>V63+W63/(1+EXP(-(U63-X63)/Y63))</f>
        <v/>
      </c>
      <c r="AA63" s="16">
        <f>1-(1-Z63)^12</f>
        <v/>
      </c>
      <c r="AB63" s="14">
        <f>IF(K63&lt;=V8_AGE_KNOT_X_0,V8_AGE_KNOT_Y_0,IF(K63&gt;=V8_AGE_KNOT_X_5,V8_AGE_KNOT_Y_5,IF(K63&lt;=V8_AGE_KNOT_X_1,V8_AGE_KNOT_Y_0+(K63-V8_AGE_KNOT_X_0)/(V8_AGE_KNOT_X_1-V8_AGE_KNOT_X_0)*(V8_AGE_KNOT_Y_1-V8_AGE_KNOT_Y_0),IF(K63&lt;=V8_AGE_KNOT_X_2,V8_AGE_KNOT_Y_1+(K63-V8_AGE_KNOT_X_1)/(V8_AGE_KNOT_X_2-V8_AGE_KNOT_X_1)*(V8_AGE_KNOT_Y_2-V8_AGE_KNOT_Y_1),IF(K63&lt;=V8_AGE_KNOT_X_3,V8_AGE_KNOT_Y_2+(K63-V8_AGE_KNOT_X_2)/(V8_AGE_KNOT_X_3-V8_AGE_KNOT_X_2)*(V8_AGE_KNOT_Y_3-V8_AGE_KNOT_Y_2),IF(K63&lt;=V8_AGE_KNOT_X_4,V8_AGE_KNOT_Y_3+(K63-V8_AGE_KNOT_X_3)/(V8_AGE_KNOT_X_4-V8_AGE_KNOT_X_3)*(V8_AGE_KNOT_Y_4-V8_AGE_KNOT_Y_3),V8_AGE_KNOT_Y_4+(K63-V8_AGE_KNOT_X_4)/(V8_AGE_KNOT_X_5-V8_AGE_KNOT_X_4)*(V8_AGE_KNOT_Y_5-V8_AGE_KNOT_Y_4)))))))</f>
        <v/>
      </c>
      <c r="AC63" s="14">
        <f>IF(IF(OR(L63="",NOT(ISNUMBER(L63))),360,MAX(0,MIN(480,(INT(L63/100)-INT(VALUE(F63)/100))*12+MOD(L63,100)-MOD(VALUE(F63),100))))&gt;0,1+V8_MTY_AMP*MAX(0,(V8_MTY_CUTOFF-(IF(OR(L63="",NOT(ISNUMBER(L63))),360,MAX(0,MIN(480,(INT(L63/100)-INT(VALUE(F63)/100))*12+MOD(L63,100)-MOD(VALUE(F63),100))))))/V8_MTY_CUTOFF),1)</f>
        <v/>
      </c>
      <c r="AD63" s="14">
        <f>IF(AND(IF(OR(M63="",NOT(ISNUMBER(M63))),0,MAX(0,MIN(24,(INT(VALUE(F63)/100)-INT(M63/100))*12+MOD(VALUE(F63),100)-MOD(M63,100))))&gt;0,IF(OR(M63="",NOT(ISNUMBER(M63))),0,MAX(0,MIN(24,(INT(VALUE(F63)/100)-INT(M63/100))*12+MOD(VALUE(F63),100)-MOD(M63,100))))&lt;=12),1+V8_LOCKOUT_AMP*EXP(-(IF(OR(M63="",NOT(ISNUMBER(M63))),0,MAX(0,MIN(24,(INT(VALUE(F63)/100)-INT(M63/100))*12+MOD(VALUE(F63),100)-MOD(M63,100)))))/V8_LOCKOUT_TAU),1)</f>
        <v/>
      </c>
      <c r="AE63" s="14">
        <f>MAX(V8_BURN_FLOOR,1-V8_BURN_SLOPE*MIN(1,MAX(0,O63)))</f>
        <v/>
      </c>
      <c r="AF63" s="15">
        <f>MIN(Z63*AB63*AC63*AD63*AE63,0.2)</f>
        <v/>
      </c>
      <c r="AG63" s="16">
        <f>1-(1-AF63)^12</f>
        <v/>
      </c>
    </row>
    <row r="64">
      <c r="A64" s="2" t="inlineStr">
        <is>
          <t>000001410045</t>
        </is>
      </c>
      <c r="B64" t="inlineStr">
        <is>
          <t>241</t>
        </is>
      </c>
      <c r="C64" t="inlineStr">
        <is>
          <t>NC</t>
        </is>
      </c>
      <c r="D64" t="inlineStr">
        <is>
          <t>BERKADIA COMMERCIAL MORTGAGE, LLC</t>
        </is>
      </c>
      <c r="E64" t="n">
        <v>2009</v>
      </c>
      <c r="F64" t="inlineStr">
        <is>
          <t>202602</t>
        </is>
      </c>
      <c r="G64" s="8" t="n">
        <v>662700.64</v>
      </c>
      <c r="H64" s="12" t="n">
        <v>6.2</v>
      </c>
      <c r="I64" s="13" t="n">
        <v>447</v>
      </c>
      <c r="J64" s="13" t="n">
        <v>0</v>
      </c>
      <c r="K64" t="n">
        <v>197</v>
      </c>
      <c r="L64" t="n">
        <v>203811</v>
      </c>
      <c r="M64" t="n">
        <v>201205</v>
      </c>
      <c r="N64" t="n">
        <v>86</v>
      </c>
      <c r="O64" s="14" t="n">
        <v>0.4365482233502538</v>
      </c>
      <c r="P64">
        <f>IF(ISNUMBER(SEARCH("232",B64)),"232",IF(ISNUMBER(SEARCH("538",B64)),"538",IF(ISNUMBER(SEARCH("223a7",B64)),"223a7",IF(ISNUMBER(SEARCH("223f",B64)),"223f","OTHER"))))</f>
        <v/>
      </c>
      <c r="Q64">
        <f>IF(UPPER(C64)="NC","NC","RP")</f>
        <v/>
      </c>
      <c r="R64">
        <f>IF(G64&lt;5000000,"small",IF(G64&lt;25000000,"medium","large"))</f>
        <v/>
      </c>
      <c r="S64">
        <f>P64&amp;"|"&amp;Q64&amp;"|"&amp;R64</f>
        <v/>
      </c>
      <c r="T64" s="13">
        <f>H64*100-I64</f>
        <v/>
      </c>
      <c r="U64" s="13">
        <f>T64-12.5*(J64+1)</f>
        <v/>
      </c>
      <c r="V64" s="15">
        <f>IFERROR(VLOOKUP(S64,V8_COHORT_TABLE,2,FALSE),IFERROR(VLOOKUP(P64&amp;"|"&amp;Q64&amp;"|ALL",V8_COHORT_TABLE,2,FALSE),IFERROR(VLOOKUP(P64&amp;"|ALL|ALL",V8_COHORT_TABLE,2,FALSE),VLOOKUP("GLOBAL",V8_COHORT_TABLE,2,FALSE))))</f>
        <v/>
      </c>
      <c r="W64" s="15">
        <f>IFERROR(VLOOKUP(S64,V8_COHORT_TABLE,3,FALSE),IFERROR(VLOOKUP(P64&amp;"|"&amp;Q64&amp;"|ALL",V8_COHORT_TABLE,3,FALSE),IFERROR(VLOOKUP(P64&amp;"|ALL|ALL",V8_COHORT_TABLE,3,FALSE),VLOOKUP("GLOBAL",V8_COHORT_TABLE,3,FALSE))))</f>
        <v/>
      </c>
      <c r="X64" s="15">
        <f>IFERROR(VLOOKUP(S64,V8_COHORT_TABLE,4,FALSE),IFERROR(VLOOKUP(P64&amp;"|"&amp;Q64&amp;"|ALL",V8_COHORT_TABLE,4,FALSE),IFERROR(VLOOKUP(P64&amp;"|ALL|ALL",V8_COHORT_TABLE,4,FALSE),VLOOKUP("GLOBAL",V8_COHORT_TABLE,4,FALSE))))</f>
        <v/>
      </c>
      <c r="Y64" s="15">
        <f>IFERROR(VLOOKUP(S64,V8_COHORT_TABLE,5,FALSE),IFERROR(VLOOKUP(P64&amp;"|"&amp;Q64&amp;"|ALL",V8_COHORT_TABLE,5,FALSE),IFERROR(VLOOKUP(P64&amp;"|ALL|ALL",V8_COHORT_TABLE,5,FALSE),VLOOKUP("GLOBAL",V8_COHORT_TABLE,5,FALSE))))</f>
        <v/>
      </c>
      <c r="Z64" s="15">
        <f>V64+W64/(1+EXP(-(U64-X64)/Y64))</f>
        <v/>
      </c>
      <c r="AA64" s="16">
        <f>1-(1-Z64)^12</f>
        <v/>
      </c>
      <c r="AB64" s="14">
        <f>IF(K64&lt;=V8_AGE_KNOT_X_0,V8_AGE_KNOT_Y_0,IF(K64&gt;=V8_AGE_KNOT_X_5,V8_AGE_KNOT_Y_5,IF(K64&lt;=V8_AGE_KNOT_X_1,V8_AGE_KNOT_Y_0+(K64-V8_AGE_KNOT_X_0)/(V8_AGE_KNOT_X_1-V8_AGE_KNOT_X_0)*(V8_AGE_KNOT_Y_1-V8_AGE_KNOT_Y_0),IF(K64&lt;=V8_AGE_KNOT_X_2,V8_AGE_KNOT_Y_1+(K64-V8_AGE_KNOT_X_1)/(V8_AGE_KNOT_X_2-V8_AGE_KNOT_X_1)*(V8_AGE_KNOT_Y_2-V8_AGE_KNOT_Y_1),IF(K64&lt;=V8_AGE_KNOT_X_3,V8_AGE_KNOT_Y_2+(K64-V8_AGE_KNOT_X_2)/(V8_AGE_KNOT_X_3-V8_AGE_KNOT_X_2)*(V8_AGE_KNOT_Y_3-V8_AGE_KNOT_Y_2),IF(K64&lt;=V8_AGE_KNOT_X_4,V8_AGE_KNOT_Y_3+(K64-V8_AGE_KNOT_X_3)/(V8_AGE_KNOT_X_4-V8_AGE_KNOT_X_3)*(V8_AGE_KNOT_Y_4-V8_AGE_KNOT_Y_3),V8_AGE_KNOT_Y_4+(K64-V8_AGE_KNOT_X_4)/(V8_AGE_KNOT_X_5-V8_AGE_KNOT_X_4)*(V8_AGE_KNOT_Y_5-V8_AGE_KNOT_Y_4)))))))</f>
        <v/>
      </c>
      <c r="AC64" s="14">
        <f>IF(IF(OR(L64="",NOT(ISNUMBER(L64))),360,MAX(0,MIN(480,(INT(L64/100)-INT(VALUE(F64)/100))*12+MOD(L64,100)-MOD(VALUE(F64),100))))&gt;0,1+V8_MTY_AMP*MAX(0,(V8_MTY_CUTOFF-(IF(OR(L64="",NOT(ISNUMBER(L64))),360,MAX(0,MIN(480,(INT(L64/100)-INT(VALUE(F64)/100))*12+MOD(L64,100)-MOD(VALUE(F64),100))))))/V8_MTY_CUTOFF),1)</f>
        <v/>
      </c>
      <c r="AD64" s="14">
        <f>IF(AND(IF(OR(M64="",NOT(ISNUMBER(M64))),0,MAX(0,MIN(24,(INT(VALUE(F64)/100)-INT(M64/100))*12+MOD(VALUE(F64),100)-MOD(M64,100))))&gt;0,IF(OR(M64="",NOT(ISNUMBER(M64))),0,MAX(0,MIN(24,(INT(VALUE(F64)/100)-INT(M64/100))*12+MOD(VALUE(F64),100)-MOD(M64,100))))&lt;=12),1+V8_LOCKOUT_AMP*EXP(-(IF(OR(M64="",NOT(ISNUMBER(M64))),0,MAX(0,MIN(24,(INT(VALUE(F64)/100)-INT(M64/100))*12+MOD(VALUE(F64),100)-MOD(M64,100)))))/V8_LOCKOUT_TAU),1)</f>
        <v/>
      </c>
      <c r="AE64" s="14">
        <f>MAX(V8_BURN_FLOOR,1-V8_BURN_SLOPE*MIN(1,MAX(0,O64)))</f>
        <v/>
      </c>
      <c r="AF64" s="15">
        <f>MIN(Z64*AB64*AC64*AD64*AE64,0.2)</f>
        <v/>
      </c>
      <c r="AG64" s="16">
        <f>1-(1-AF64)^12</f>
        <v/>
      </c>
    </row>
    <row r="65">
      <c r="A65" s="2" t="inlineStr">
        <is>
          <t>000009335146</t>
        </is>
      </c>
      <c r="B65" t="inlineStr">
        <is>
          <t>221d4</t>
        </is>
      </c>
      <c r="C65" t="inlineStr">
        <is>
          <t>NC</t>
        </is>
      </c>
      <c r="D65" t="inlineStr">
        <is>
          <t>BERKADIA COMMERCIAL MORTGAGE, LLC</t>
        </is>
      </c>
      <c r="E65" t="n">
        <v>2022</v>
      </c>
      <c r="F65" t="inlineStr">
        <is>
          <t>202602</t>
        </is>
      </c>
      <c r="G65" s="8" t="n">
        <v>9907257.279999999</v>
      </c>
      <c r="H65" s="12" t="n">
        <v>4.6</v>
      </c>
      <c r="I65" s="13" t="n">
        <v>447</v>
      </c>
      <c r="J65" s="13" t="n">
        <v>10</v>
      </c>
      <c r="K65" t="n">
        <v>41</v>
      </c>
      <c r="L65" t="n">
        <v>206404</v>
      </c>
      <c r="M65" t="inlineStr"/>
      <c r="N65" t="n">
        <v>0</v>
      </c>
      <c r="O65" s="14" t="n">
        <v>0</v>
      </c>
      <c r="P65">
        <f>IF(ISNUMBER(SEARCH("232",B65)),"232",IF(ISNUMBER(SEARCH("538",B65)),"538",IF(ISNUMBER(SEARCH("223a7",B65)),"223a7",IF(ISNUMBER(SEARCH("223f",B65)),"223f","OTHER"))))</f>
        <v/>
      </c>
      <c r="Q65">
        <f>IF(UPPER(C65)="NC","NC","RP")</f>
        <v/>
      </c>
      <c r="R65">
        <f>IF(G65&lt;5000000,"small",IF(G65&lt;25000000,"medium","large"))</f>
        <v/>
      </c>
      <c r="S65">
        <f>P65&amp;"|"&amp;Q65&amp;"|"&amp;R65</f>
        <v/>
      </c>
      <c r="T65" s="13">
        <f>H65*100-I65</f>
        <v/>
      </c>
      <c r="U65" s="13">
        <f>T65-12.5*(J65+1)</f>
        <v/>
      </c>
      <c r="V65" s="15">
        <f>IFERROR(VLOOKUP(S65,V8_COHORT_TABLE,2,FALSE),IFERROR(VLOOKUP(P65&amp;"|"&amp;Q65&amp;"|ALL",V8_COHORT_TABLE,2,FALSE),IFERROR(VLOOKUP(P65&amp;"|ALL|ALL",V8_COHORT_TABLE,2,FALSE),VLOOKUP("GLOBAL",V8_COHORT_TABLE,2,FALSE))))</f>
        <v/>
      </c>
      <c r="W65" s="15">
        <f>IFERROR(VLOOKUP(S65,V8_COHORT_TABLE,3,FALSE),IFERROR(VLOOKUP(P65&amp;"|"&amp;Q65&amp;"|ALL",V8_COHORT_TABLE,3,FALSE),IFERROR(VLOOKUP(P65&amp;"|ALL|ALL",V8_COHORT_TABLE,3,FALSE),VLOOKUP("GLOBAL",V8_COHORT_TABLE,3,FALSE))))</f>
        <v/>
      </c>
      <c r="X65" s="15">
        <f>IFERROR(VLOOKUP(S65,V8_COHORT_TABLE,4,FALSE),IFERROR(VLOOKUP(P65&amp;"|"&amp;Q65&amp;"|ALL",V8_COHORT_TABLE,4,FALSE),IFERROR(VLOOKUP(P65&amp;"|ALL|ALL",V8_COHORT_TABLE,4,FALSE),VLOOKUP("GLOBAL",V8_COHORT_TABLE,4,FALSE))))</f>
        <v/>
      </c>
      <c r="Y65" s="15">
        <f>IFERROR(VLOOKUP(S65,V8_COHORT_TABLE,5,FALSE),IFERROR(VLOOKUP(P65&amp;"|"&amp;Q65&amp;"|ALL",V8_COHORT_TABLE,5,FALSE),IFERROR(VLOOKUP(P65&amp;"|ALL|ALL",V8_COHORT_TABLE,5,FALSE),VLOOKUP("GLOBAL",V8_COHORT_TABLE,5,FALSE))))</f>
        <v/>
      </c>
      <c r="Z65" s="15">
        <f>V65+W65/(1+EXP(-(U65-X65)/Y65))</f>
        <v/>
      </c>
      <c r="AA65" s="16">
        <f>1-(1-Z65)^12</f>
        <v/>
      </c>
      <c r="AB65" s="14">
        <f>IF(K65&lt;=V8_AGE_KNOT_X_0,V8_AGE_KNOT_Y_0,IF(K65&gt;=V8_AGE_KNOT_X_5,V8_AGE_KNOT_Y_5,IF(K65&lt;=V8_AGE_KNOT_X_1,V8_AGE_KNOT_Y_0+(K65-V8_AGE_KNOT_X_0)/(V8_AGE_KNOT_X_1-V8_AGE_KNOT_X_0)*(V8_AGE_KNOT_Y_1-V8_AGE_KNOT_Y_0),IF(K65&lt;=V8_AGE_KNOT_X_2,V8_AGE_KNOT_Y_1+(K65-V8_AGE_KNOT_X_1)/(V8_AGE_KNOT_X_2-V8_AGE_KNOT_X_1)*(V8_AGE_KNOT_Y_2-V8_AGE_KNOT_Y_1),IF(K65&lt;=V8_AGE_KNOT_X_3,V8_AGE_KNOT_Y_2+(K65-V8_AGE_KNOT_X_2)/(V8_AGE_KNOT_X_3-V8_AGE_KNOT_X_2)*(V8_AGE_KNOT_Y_3-V8_AGE_KNOT_Y_2),IF(K65&lt;=V8_AGE_KNOT_X_4,V8_AGE_KNOT_Y_3+(K65-V8_AGE_KNOT_X_3)/(V8_AGE_KNOT_X_4-V8_AGE_KNOT_X_3)*(V8_AGE_KNOT_Y_4-V8_AGE_KNOT_Y_3),V8_AGE_KNOT_Y_4+(K65-V8_AGE_KNOT_X_4)/(V8_AGE_KNOT_X_5-V8_AGE_KNOT_X_4)*(V8_AGE_KNOT_Y_5-V8_AGE_KNOT_Y_4)))))))</f>
        <v/>
      </c>
      <c r="AC65" s="14">
        <f>IF(IF(OR(L65="",NOT(ISNUMBER(L65))),360,MAX(0,MIN(480,(INT(L65/100)-INT(VALUE(F65)/100))*12+MOD(L65,100)-MOD(VALUE(F65),100))))&gt;0,1+V8_MTY_AMP*MAX(0,(V8_MTY_CUTOFF-(IF(OR(L65="",NOT(ISNUMBER(L65))),360,MAX(0,MIN(480,(INT(L65/100)-INT(VALUE(F65)/100))*12+MOD(L65,100)-MOD(VALUE(F65),100))))))/V8_MTY_CUTOFF),1)</f>
        <v/>
      </c>
      <c r="AD65" s="14">
        <f>IF(AND(IF(OR(M65="",NOT(ISNUMBER(M65))),0,MAX(0,MIN(24,(INT(VALUE(F65)/100)-INT(M65/100))*12+MOD(VALUE(F65),100)-MOD(M65,100))))&gt;0,IF(OR(M65="",NOT(ISNUMBER(M65))),0,MAX(0,MIN(24,(INT(VALUE(F65)/100)-INT(M65/100))*12+MOD(VALUE(F65),100)-MOD(M65,100))))&lt;=12),1+V8_LOCKOUT_AMP*EXP(-(IF(OR(M65="",NOT(ISNUMBER(M65))),0,MAX(0,MIN(24,(INT(VALUE(F65)/100)-INT(M65/100))*12+MOD(VALUE(F65),100)-MOD(M65,100)))))/V8_LOCKOUT_TAU),1)</f>
        <v/>
      </c>
      <c r="AE65" s="14">
        <f>MAX(V8_BURN_FLOOR,1-V8_BURN_SLOPE*MIN(1,MAX(0,O65)))</f>
        <v/>
      </c>
      <c r="AF65" s="15">
        <f>MIN(Z65*AB65*AC65*AD65*AE65,0.2)</f>
        <v/>
      </c>
      <c r="AG65" s="16">
        <f>1-(1-AF65)^12</f>
        <v/>
      </c>
    </row>
    <row r="66">
      <c r="A66" s="2" t="inlineStr">
        <is>
          <t>000005111250</t>
        </is>
      </c>
      <c r="B66" t="inlineStr">
        <is>
          <t>223a7</t>
        </is>
      </c>
      <c r="C66" t="inlineStr">
        <is>
          <t>RP</t>
        </is>
      </c>
      <c r="D66" t="inlineStr">
        <is>
          <t>BERKADIA COMMERCIAL MORTGAGE, LLC</t>
        </is>
      </c>
      <c r="E66" t="n">
        <v>2012</v>
      </c>
      <c r="F66" t="inlineStr">
        <is>
          <t>202602</t>
        </is>
      </c>
      <c r="G66" s="8" t="n">
        <v>17841211.06</v>
      </c>
      <c r="H66" s="12" t="n">
        <v>3.05</v>
      </c>
      <c r="I66" s="13" t="n">
        <v>447</v>
      </c>
      <c r="J66" s="13" t="n">
        <v>0</v>
      </c>
      <c r="K66" t="n">
        <v>160</v>
      </c>
      <c r="L66" t="n">
        <v>204801</v>
      </c>
      <c r="M66" t="n">
        <v>201402</v>
      </c>
      <c r="N66" t="n">
        <v>26</v>
      </c>
      <c r="O66" s="14" t="n">
        <v>0.1625</v>
      </c>
      <c r="P66">
        <f>IF(ISNUMBER(SEARCH("232",B66)),"232",IF(ISNUMBER(SEARCH("538",B66)),"538",IF(ISNUMBER(SEARCH("223a7",B66)),"223a7",IF(ISNUMBER(SEARCH("223f",B66)),"223f","OTHER"))))</f>
        <v/>
      </c>
      <c r="Q66">
        <f>IF(UPPER(C66)="NC","NC","RP")</f>
        <v/>
      </c>
      <c r="R66">
        <f>IF(G66&lt;5000000,"small",IF(G66&lt;25000000,"medium","large"))</f>
        <v/>
      </c>
      <c r="S66">
        <f>P66&amp;"|"&amp;Q66&amp;"|"&amp;R66</f>
        <v/>
      </c>
      <c r="T66" s="13">
        <f>H66*100-I66</f>
        <v/>
      </c>
      <c r="U66" s="13">
        <f>T66-12.5*(J66+1)</f>
        <v/>
      </c>
      <c r="V66" s="15">
        <f>IFERROR(VLOOKUP(S66,V8_COHORT_TABLE,2,FALSE),IFERROR(VLOOKUP(P66&amp;"|"&amp;Q66&amp;"|ALL",V8_COHORT_TABLE,2,FALSE),IFERROR(VLOOKUP(P66&amp;"|ALL|ALL",V8_COHORT_TABLE,2,FALSE),VLOOKUP("GLOBAL",V8_COHORT_TABLE,2,FALSE))))</f>
        <v/>
      </c>
      <c r="W66" s="15">
        <f>IFERROR(VLOOKUP(S66,V8_COHORT_TABLE,3,FALSE),IFERROR(VLOOKUP(P66&amp;"|"&amp;Q66&amp;"|ALL",V8_COHORT_TABLE,3,FALSE),IFERROR(VLOOKUP(P66&amp;"|ALL|ALL",V8_COHORT_TABLE,3,FALSE),VLOOKUP("GLOBAL",V8_COHORT_TABLE,3,FALSE))))</f>
        <v/>
      </c>
      <c r="X66" s="15">
        <f>IFERROR(VLOOKUP(S66,V8_COHORT_TABLE,4,FALSE),IFERROR(VLOOKUP(P66&amp;"|"&amp;Q66&amp;"|ALL",V8_COHORT_TABLE,4,FALSE),IFERROR(VLOOKUP(P66&amp;"|ALL|ALL",V8_COHORT_TABLE,4,FALSE),VLOOKUP("GLOBAL",V8_COHORT_TABLE,4,FALSE))))</f>
        <v/>
      </c>
      <c r="Y66" s="15">
        <f>IFERROR(VLOOKUP(S66,V8_COHORT_TABLE,5,FALSE),IFERROR(VLOOKUP(P66&amp;"|"&amp;Q66&amp;"|ALL",V8_COHORT_TABLE,5,FALSE),IFERROR(VLOOKUP(P66&amp;"|ALL|ALL",V8_COHORT_TABLE,5,FALSE),VLOOKUP("GLOBAL",V8_COHORT_TABLE,5,FALSE))))</f>
        <v/>
      </c>
      <c r="Z66" s="15">
        <f>V66+W66/(1+EXP(-(U66-X66)/Y66))</f>
        <v/>
      </c>
      <c r="AA66" s="16">
        <f>1-(1-Z66)^12</f>
        <v/>
      </c>
      <c r="AB66" s="14">
        <f>IF(K66&lt;=V8_AGE_KNOT_X_0,V8_AGE_KNOT_Y_0,IF(K66&gt;=V8_AGE_KNOT_X_5,V8_AGE_KNOT_Y_5,IF(K66&lt;=V8_AGE_KNOT_X_1,V8_AGE_KNOT_Y_0+(K66-V8_AGE_KNOT_X_0)/(V8_AGE_KNOT_X_1-V8_AGE_KNOT_X_0)*(V8_AGE_KNOT_Y_1-V8_AGE_KNOT_Y_0),IF(K66&lt;=V8_AGE_KNOT_X_2,V8_AGE_KNOT_Y_1+(K66-V8_AGE_KNOT_X_1)/(V8_AGE_KNOT_X_2-V8_AGE_KNOT_X_1)*(V8_AGE_KNOT_Y_2-V8_AGE_KNOT_Y_1),IF(K66&lt;=V8_AGE_KNOT_X_3,V8_AGE_KNOT_Y_2+(K66-V8_AGE_KNOT_X_2)/(V8_AGE_KNOT_X_3-V8_AGE_KNOT_X_2)*(V8_AGE_KNOT_Y_3-V8_AGE_KNOT_Y_2),IF(K66&lt;=V8_AGE_KNOT_X_4,V8_AGE_KNOT_Y_3+(K66-V8_AGE_KNOT_X_3)/(V8_AGE_KNOT_X_4-V8_AGE_KNOT_X_3)*(V8_AGE_KNOT_Y_4-V8_AGE_KNOT_Y_3),V8_AGE_KNOT_Y_4+(K66-V8_AGE_KNOT_X_4)/(V8_AGE_KNOT_X_5-V8_AGE_KNOT_X_4)*(V8_AGE_KNOT_Y_5-V8_AGE_KNOT_Y_4)))))))</f>
        <v/>
      </c>
      <c r="AC66" s="14">
        <f>IF(IF(OR(L66="",NOT(ISNUMBER(L66))),360,MAX(0,MIN(480,(INT(L66/100)-INT(VALUE(F66)/100))*12+MOD(L66,100)-MOD(VALUE(F66),100))))&gt;0,1+V8_MTY_AMP*MAX(0,(V8_MTY_CUTOFF-(IF(OR(L66="",NOT(ISNUMBER(L66))),360,MAX(0,MIN(480,(INT(L66/100)-INT(VALUE(F66)/100))*12+MOD(L66,100)-MOD(VALUE(F66),100))))))/V8_MTY_CUTOFF),1)</f>
        <v/>
      </c>
      <c r="AD66" s="14">
        <f>IF(AND(IF(OR(M66="",NOT(ISNUMBER(M66))),0,MAX(0,MIN(24,(INT(VALUE(F66)/100)-INT(M66/100))*12+MOD(VALUE(F66),100)-MOD(M66,100))))&gt;0,IF(OR(M66="",NOT(ISNUMBER(M66))),0,MAX(0,MIN(24,(INT(VALUE(F66)/100)-INT(M66/100))*12+MOD(VALUE(F66),100)-MOD(M66,100))))&lt;=12),1+V8_LOCKOUT_AMP*EXP(-(IF(OR(M66="",NOT(ISNUMBER(M66))),0,MAX(0,MIN(24,(INT(VALUE(F66)/100)-INT(M66/100))*12+MOD(VALUE(F66),100)-MOD(M66,100)))))/V8_LOCKOUT_TAU),1)</f>
        <v/>
      </c>
      <c r="AE66" s="14">
        <f>MAX(V8_BURN_FLOOR,1-V8_BURN_SLOPE*MIN(1,MAX(0,O66)))</f>
        <v/>
      </c>
      <c r="AF66" s="15">
        <f>MIN(Z66*AB66*AC66*AD66*AE66,0.2)</f>
        <v/>
      </c>
      <c r="AG66" s="16">
        <f>1-(1-AF66)^12</f>
        <v/>
      </c>
    </row>
    <row r="67">
      <c r="A67" s="2" t="inlineStr">
        <is>
          <t>000011422098</t>
        </is>
      </c>
      <c r="B67" t="inlineStr">
        <is>
          <t>232</t>
        </is>
      </c>
      <c r="C67" t="inlineStr">
        <is>
          <t>RP</t>
        </is>
      </c>
      <c r="D67" t="inlineStr">
        <is>
          <t>BERKADIA COMMERCIAL MORTGAGE, LLC</t>
        </is>
      </c>
      <c r="E67" t="n">
        <v>2020</v>
      </c>
      <c r="F67" t="inlineStr">
        <is>
          <t>202602</t>
        </is>
      </c>
      <c r="G67" s="8" t="n">
        <v>6103063.28</v>
      </c>
      <c r="H67" s="12" t="n">
        <v>2.63</v>
      </c>
      <c r="I67" s="13" t="n">
        <v>447</v>
      </c>
      <c r="J67" s="13" t="n">
        <v>6</v>
      </c>
      <c r="K67" t="n">
        <v>71</v>
      </c>
      <c r="L67" t="n">
        <v>205506</v>
      </c>
      <c r="M67" t="inlineStr"/>
      <c r="N67" t="n">
        <v>13</v>
      </c>
      <c r="O67" s="14" t="n">
        <v>0.1830985915492958</v>
      </c>
      <c r="P67">
        <f>IF(ISNUMBER(SEARCH("232",B67)),"232",IF(ISNUMBER(SEARCH("538",B67)),"538",IF(ISNUMBER(SEARCH("223a7",B67)),"223a7",IF(ISNUMBER(SEARCH("223f",B67)),"223f","OTHER"))))</f>
        <v/>
      </c>
      <c r="Q67">
        <f>IF(UPPER(C67)="NC","NC","RP")</f>
        <v/>
      </c>
      <c r="R67">
        <f>IF(G67&lt;5000000,"small",IF(G67&lt;25000000,"medium","large"))</f>
        <v/>
      </c>
      <c r="S67">
        <f>P67&amp;"|"&amp;Q67&amp;"|"&amp;R67</f>
        <v/>
      </c>
      <c r="T67" s="13">
        <f>H67*100-I67</f>
        <v/>
      </c>
      <c r="U67" s="13">
        <f>T67-12.5*(J67+1)</f>
        <v/>
      </c>
      <c r="V67" s="15">
        <f>IFERROR(VLOOKUP(S67,V8_COHORT_TABLE,2,FALSE),IFERROR(VLOOKUP(P67&amp;"|"&amp;Q67&amp;"|ALL",V8_COHORT_TABLE,2,FALSE),IFERROR(VLOOKUP(P67&amp;"|ALL|ALL",V8_COHORT_TABLE,2,FALSE),VLOOKUP("GLOBAL",V8_COHORT_TABLE,2,FALSE))))</f>
        <v/>
      </c>
      <c r="W67" s="15">
        <f>IFERROR(VLOOKUP(S67,V8_COHORT_TABLE,3,FALSE),IFERROR(VLOOKUP(P67&amp;"|"&amp;Q67&amp;"|ALL",V8_COHORT_TABLE,3,FALSE),IFERROR(VLOOKUP(P67&amp;"|ALL|ALL",V8_COHORT_TABLE,3,FALSE),VLOOKUP("GLOBAL",V8_COHORT_TABLE,3,FALSE))))</f>
        <v/>
      </c>
      <c r="X67" s="15">
        <f>IFERROR(VLOOKUP(S67,V8_COHORT_TABLE,4,FALSE),IFERROR(VLOOKUP(P67&amp;"|"&amp;Q67&amp;"|ALL",V8_COHORT_TABLE,4,FALSE),IFERROR(VLOOKUP(P67&amp;"|ALL|ALL",V8_COHORT_TABLE,4,FALSE),VLOOKUP("GLOBAL",V8_COHORT_TABLE,4,FALSE))))</f>
        <v/>
      </c>
      <c r="Y67" s="15">
        <f>IFERROR(VLOOKUP(S67,V8_COHORT_TABLE,5,FALSE),IFERROR(VLOOKUP(P67&amp;"|"&amp;Q67&amp;"|ALL",V8_COHORT_TABLE,5,FALSE),IFERROR(VLOOKUP(P67&amp;"|ALL|ALL",V8_COHORT_TABLE,5,FALSE),VLOOKUP("GLOBAL",V8_COHORT_TABLE,5,FALSE))))</f>
        <v/>
      </c>
      <c r="Z67" s="15">
        <f>V67+W67/(1+EXP(-(U67-X67)/Y67))</f>
        <v/>
      </c>
      <c r="AA67" s="16">
        <f>1-(1-Z67)^12</f>
        <v/>
      </c>
      <c r="AB67" s="14">
        <f>IF(K67&lt;=V8_AGE_KNOT_X_0,V8_AGE_KNOT_Y_0,IF(K67&gt;=V8_AGE_KNOT_X_5,V8_AGE_KNOT_Y_5,IF(K67&lt;=V8_AGE_KNOT_X_1,V8_AGE_KNOT_Y_0+(K67-V8_AGE_KNOT_X_0)/(V8_AGE_KNOT_X_1-V8_AGE_KNOT_X_0)*(V8_AGE_KNOT_Y_1-V8_AGE_KNOT_Y_0),IF(K67&lt;=V8_AGE_KNOT_X_2,V8_AGE_KNOT_Y_1+(K67-V8_AGE_KNOT_X_1)/(V8_AGE_KNOT_X_2-V8_AGE_KNOT_X_1)*(V8_AGE_KNOT_Y_2-V8_AGE_KNOT_Y_1),IF(K67&lt;=V8_AGE_KNOT_X_3,V8_AGE_KNOT_Y_2+(K67-V8_AGE_KNOT_X_2)/(V8_AGE_KNOT_X_3-V8_AGE_KNOT_X_2)*(V8_AGE_KNOT_Y_3-V8_AGE_KNOT_Y_2),IF(K67&lt;=V8_AGE_KNOT_X_4,V8_AGE_KNOT_Y_3+(K67-V8_AGE_KNOT_X_3)/(V8_AGE_KNOT_X_4-V8_AGE_KNOT_X_3)*(V8_AGE_KNOT_Y_4-V8_AGE_KNOT_Y_3),V8_AGE_KNOT_Y_4+(K67-V8_AGE_KNOT_X_4)/(V8_AGE_KNOT_X_5-V8_AGE_KNOT_X_4)*(V8_AGE_KNOT_Y_5-V8_AGE_KNOT_Y_4)))))))</f>
        <v/>
      </c>
      <c r="AC67" s="14">
        <f>IF(IF(OR(L67="",NOT(ISNUMBER(L67))),360,MAX(0,MIN(480,(INT(L67/100)-INT(VALUE(F67)/100))*12+MOD(L67,100)-MOD(VALUE(F67),100))))&gt;0,1+V8_MTY_AMP*MAX(0,(V8_MTY_CUTOFF-(IF(OR(L67="",NOT(ISNUMBER(L67))),360,MAX(0,MIN(480,(INT(L67/100)-INT(VALUE(F67)/100))*12+MOD(L67,100)-MOD(VALUE(F67),100))))))/V8_MTY_CUTOFF),1)</f>
        <v/>
      </c>
      <c r="AD67" s="14">
        <f>IF(AND(IF(OR(M67="",NOT(ISNUMBER(M67))),0,MAX(0,MIN(24,(INT(VALUE(F67)/100)-INT(M67/100))*12+MOD(VALUE(F67),100)-MOD(M67,100))))&gt;0,IF(OR(M67="",NOT(ISNUMBER(M67))),0,MAX(0,MIN(24,(INT(VALUE(F67)/100)-INT(M67/100))*12+MOD(VALUE(F67),100)-MOD(M67,100))))&lt;=12),1+V8_LOCKOUT_AMP*EXP(-(IF(OR(M67="",NOT(ISNUMBER(M67))),0,MAX(0,MIN(24,(INT(VALUE(F67)/100)-INT(M67/100))*12+MOD(VALUE(F67),100)-MOD(M67,100)))))/V8_LOCKOUT_TAU),1)</f>
        <v/>
      </c>
      <c r="AE67" s="14">
        <f>MAX(V8_BURN_FLOOR,1-V8_BURN_SLOPE*MIN(1,MAX(0,O67)))</f>
        <v/>
      </c>
      <c r="AF67" s="15">
        <f>MIN(Z67*AB67*AC67*AD67*AE67,0.2)</f>
        <v/>
      </c>
      <c r="AG67" s="16">
        <f>1-(1-AF67)^12</f>
        <v/>
      </c>
    </row>
    <row r="68">
      <c r="A68" s="2" t="inlineStr">
        <is>
          <t>000007111200</t>
        </is>
      </c>
      <c r="B68" t="inlineStr">
        <is>
          <t>223f</t>
        </is>
      </c>
      <c r="C68" t="inlineStr">
        <is>
          <t>RP</t>
        </is>
      </c>
      <c r="D68" t="inlineStr">
        <is>
          <t>WALKER &amp; DUNLOP, LLC</t>
        </is>
      </c>
      <c r="E68" t="n">
        <v>2010</v>
      </c>
      <c r="F68" t="inlineStr">
        <is>
          <t>202602</t>
        </is>
      </c>
      <c r="G68" s="8" t="n">
        <v>3987517.41</v>
      </c>
      <c r="H68" s="12" t="n">
        <v>3.65</v>
      </c>
      <c r="I68" s="13" t="n">
        <v>447</v>
      </c>
      <c r="J68" s="13" t="n">
        <v>1</v>
      </c>
      <c r="K68" t="n">
        <v>188</v>
      </c>
      <c r="L68" t="n">
        <v>204507</v>
      </c>
      <c r="M68" t="inlineStr"/>
      <c r="N68" t="n">
        <v>29</v>
      </c>
      <c r="O68" s="14" t="n">
        <v>0.1542553191489362</v>
      </c>
      <c r="P68">
        <f>IF(ISNUMBER(SEARCH("232",B68)),"232",IF(ISNUMBER(SEARCH("538",B68)),"538",IF(ISNUMBER(SEARCH("223a7",B68)),"223a7",IF(ISNUMBER(SEARCH("223f",B68)),"223f","OTHER"))))</f>
        <v/>
      </c>
      <c r="Q68">
        <f>IF(UPPER(C68)="NC","NC","RP")</f>
        <v/>
      </c>
      <c r="R68">
        <f>IF(G68&lt;5000000,"small",IF(G68&lt;25000000,"medium","large"))</f>
        <v/>
      </c>
      <c r="S68">
        <f>P68&amp;"|"&amp;Q68&amp;"|"&amp;R68</f>
        <v/>
      </c>
      <c r="T68" s="13">
        <f>H68*100-I68</f>
        <v/>
      </c>
      <c r="U68" s="13">
        <f>T68-12.5*(J68+1)</f>
        <v/>
      </c>
      <c r="V68" s="15">
        <f>IFERROR(VLOOKUP(S68,V8_COHORT_TABLE,2,FALSE),IFERROR(VLOOKUP(P68&amp;"|"&amp;Q68&amp;"|ALL",V8_COHORT_TABLE,2,FALSE),IFERROR(VLOOKUP(P68&amp;"|ALL|ALL",V8_COHORT_TABLE,2,FALSE),VLOOKUP("GLOBAL",V8_COHORT_TABLE,2,FALSE))))</f>
        <v/>
      </c>
      <c r="W68" s="15">
        <f>IFERROR(VLOOKUP(S68,V8_COHORT_TABLE,3,FALSE),IFERROR(VLOOKUP(P68&amp;"|"&amp;Q68&amp;"|ALL",V8_COHORT_TABLE,3,FALSE),IFERROR(VLOOKUP(P68&amp;"|ALL|ALL",V8_COHORT_TABLE,3,FALSE),VLOOKUP("GLOBAL",V8_COHORT_TABLE,3,FALSE))))</f>
        <v/>
      </c>
      <c r="X68" s="15">
        <f>IFERROR(VLOOKUP(S68,V8_COHORT_TABLE,4,FALSE),IFERROR(VLOOKUP(P68&amp;"|"&amp;Q68&amp;"|ALL",V8_COHORT_TABLE,4,FALSE),IFERROR(VLOOKUP(P68&amp;"|ALL|ALL",V8_COHORT_TABLE,4,FALSE),VLOOKUP("GLOBAL",V8_COHORT_TABLE,4,FALSE))))</f>
        <v/>
      </c>
      <c r="Y68" s="15">
        <f>IFERROR(VLOOKUP(S68,V8_COHORT_TABLE,5,FALSE),IFERROR(VLOOKUP(P68&amp;"|"&amp;Q68&amp;"|ALL",V8_COHORT_TABLE,5,FALSE),IFERROR(VLOOKUP(P68&amp;"|ALL|ALL",V8_COHORT_TABLE,5,FALSE),VLOOKUP("GLOBAL",V8_COHORT_TABLE,5,FALSE))))</f>
        <v/>
      </c>
      <c r="Z68" s="15">
        <f>V68+W68/(1+EXP(-(U68-X68)/Y68))</f>
        <v/>
      </c>
      <c r="AA68" s="16">
        <f>1-(1-Z68)^12</f>
        <v/>
      </c>
      <c r="AB68" s="14">
        <f>IF(K68&lt;=V8_AGE_KNOT_X_0,V8_AGE_KNOT_Y_0,IF(K68&gt;=V8_AGE_KNOT_X_5,V8_AGE_KNOT_Y_5,IF(K68&lt;=V8_AGE_KNOT_X_1,V8_AGE_KNOT_Y_0+(K68-V8_AGE_KNOT_X_0)/(V8_AGE_KNOT_X_1-V8_AGE_KNOT_X_0)*(V8_AGE_KNOT_Y_1-V8_AGE_KNOT_Y_0),IF(K68&lt;=V8_AGE_KNOT_X_2,V8_AGE_KNOT_Y_1+(K68-V8_AGE_KNOT_X_1)/(V8_AGE_KNOT_X_2-V8_AGE_KNOT_X_1)*(V8_AGE_KNOT_Y_2-V8_AGE_KNOT_Y_1),IF(K68&lt;=V8_AGE_KNOT_X_3,V8_AGE_KNOT_Y_2+(K68-V8_AGE_KNOT_X_2)/(V8_AGE_KNOT_X_3-V8_AGE_KNOT_X_2)*(V8_AGE_KNOT_Y_3-V8_AGE_KNOT_Y_2),IF(K68&lt;=V8_AGE_KNOT_X_4,V8_AGE_KNOT_Y_3+(K68-V8_AGE_KNOT_X_3)/(V8_AGE_KNOT_X_4-V8_AGE_KNOT_X_3)*(V8_AGE_KNOT_Y_4-V8_AGE_KNOT_Y_3),V8_AGE_KNOT_Y_4+(K68-V8_AGE_KNOT_X_4)/(V8_AGE_KNOT_X_5-V8_AGE_KNOT_X_4)*(V8_AGE_KNOT_Y_5-V8_AGE_KNOT_Y_4)))))))</f>
        <v/>
      </c>
      <c r="AC68" s="14">
        <f>IF(IF(OR(L68="",NOT(ISNUMBER(L68))),360,MAX(0,MIN(480,(INT(L68/100)-INT(VALUE(F68)/100))*12+MOD(L68,100)-MOD(VALUE(F68),100))))&gt;0,1+V8_MTY_AMP*MAX(0,(V8_MTY_CUTOFF-(IF(OR(L68="",NOT(ISNUMBER(L68))),360,MAX(0,MIN(480,(INT(L68/100)-INT(VALUE(F68)/100))*12+MOD(L68,100)-MOD(VALUE(F68),100))))))/V8_MTY_CUTOFF),1)</f>
        <v/>
      </c>
      <c r="AD68" s="14">
        <f>IF(AND(IF(OR(M68="",NOT(ISNUMBER(M68))),0,MAX(0,MIN(24,(INT(VALUE(F68)/100)-INT(M68/100))*12+MOD(VALUE(F68),100)-MOD(M68,100))))&gt;0,IF(OR(M68="",NOT(ISNUMBER(M68))),0,MAX(0,MIN(24,(INT(VALUE(F68)/100)-INT(M68/100))*12+MOD(VALUE(F68),100)-MOD(M68,100))))&lt;=12),1+V8_LOCKOUT_AMP*EXP(-(IF(OR(M68="",NOT(ISNUMBER(M68))),0,MAX(0,MIN(24,(INT(VALUE(F68)/100)-INT(M68/100))*12+MOD(VALUE(F68),100)-MOD(M68,100)))))/V8_LOCKOUT_TAU),1)</f>
        <v/>
      </c>
      <c r="AE68" s="14">
        <f>MAX(V8_BURN_FLOOR,1-V8_BURN_SLOPE*MIN(1,MAX(0,O68)))</f>
        <v/>
      </c>
      <c r="AF68" s="15">
        <f>MIN(Z68*AB68*AC68*AD68*AE68,0.2)</f>
        <v/>
      </c>
      <c r="AG68" s="16">
        <f>1-(1-AF68)^12</f>
        <v/>
      </c>
    </row>
    <row r="69">
      <c r="A69" s="2" t="inlineStr">
        <is>
          <t>000011311435</t>
        </is>
      </c>
      <c r="B69" t="inlineStr">
        <is>
          <t>223f</t>
        </is>
      </c>
      <c r="C69" t="inlineStr">
        <is>
          <t>RP</t>
        </is>
      </c>
      <c r="D69" t="inlineStr">
        <is>
          <t>WALKER &amp; DUNLOP, LLC</t>
        </is>
      </c>
      <c r="E69" t="n">
        <v>2021</v>
      </c>
      <c r="F69" t="inlineStr">
        <is>
          <t>202602</t>
        </is>
      </c>
      <c r="G69" s="8" t="n">
        <v>17646196.84</v>
      </c>
      <c r="H69" s="12" t="n">
        <v>2.33</v>
      </c>
      <c r="I69" s="13" t="n">
        <v>447</v>
      </c>
      <c r="J69" s="13" t="n">
        <v>6</v>
      </c>
      <c r="K69" t="n">
        <v>51</v>
      </c>
      <c r="L69" t="n">
        <v>205612</v>
      </c>
      <c r="M69" t="inlineStr"/>
      <c r="N69" t="n">
        <v>0</v>
      </c>
      <c r="O69" s="14" t="n">
        <v>0</v>
      </c>
      <c r="P69">
        <f>IF(ISNUMBER(SEARCH("232",B69)),"232",IF(ISNUMBER(SEARCH("538",B69)),"538",IF(ISNUMBER(SEARCH("223a7",B69)),"223a7",IF(ISNUMBER(SEARCH("223f",B69)),"223f","OTHER"))))</f>
        <v/>
      </c>
      <c r="Q69">
        <f>IF(UPPER(C69)="NC","NC","RP")</f>
        <v/>
      </c>
      <c r="R69">
        <f>IF(G69&lt;5000000,"small",IF(G69&lt;25000000,"medium","large"))</f>
        <v/>
      </c>
      <c r="S69">
        <f>P69&amp;"|"&amp;Q69&amp;"|"&amp;R69</f>
        <v/>
      </c>
      <c r="T69" s="13">
        <f>H69*100-I69</f>
        <v/>
      </c>
      <c r="U69" s="13">
        <f>T69-12.5*(J69+1)</f>
        <v/>
      </c>
      <c r="V69" s="15">
        <f>IFERROR(VLOOKUP(S69,V8_COHORT_TABLE,2,FALSE),IFERROR(VLOOKUP(P69&amp;"|"&amp;Q69&amp;"|ALL",V8_COHORT_TABLE,2,FALSE),IFERROR(VLOOKUP(P69&amp;"|ALL|ALL",V8_COHORT_TABLE,2,FALSE),VLOOKUP("GLOBAL",V8_COHORT_TABLE,2,FALSE))))</f>
        <v/>
      </c>
      <c r="W69" s="15">
        <f>IFERROR(VLOOKUP(S69,V8_COHORT_TABLE,3,FALSE),IFERROR(VLOOKUP(P69&amp;"|"&amp;Q69&amp;"|ALL",V8_COHORT_TABLE,3,FALSE),IFERROR(VLOOKUP(P69&amp;"|ALL|ALL",V8_COHORT_TABLE,3,FALSE),VLOOKUP("GLOBAL",V8_COHORT_TABLE,3,FALSE))))</f>
        <v/>
      </c>
      <c r="X69" s="15">
        <f>IFERROR(VLOOKUP(S69,V8_COHORT_TABLE,4,FALSE),IFERROR(VLOOKUP(P69&amp;"|"&amp;Q69&amp;"|ALL",V8_COHORT_TABLE,4,FALSE),IFERROR(VLOOKUP(P69&amp;"|ALL|ALL",V8_COHORT_TABLE,4,FALSE),VLOOKUP("GLOBAL",V8_COHORT_TABLE,4,FALSE))))</f>
        <v/>
      </c>
      <c r="Y69" s="15">
        <f>IFERROR(VLOOKUP(S69,V8_COHORT_TABLE,5,FALSE),IFERROR(VLOOKUP(P69&amp;"|"&amp;Q69&amp;"|ALL",V8_COHORT_TABLE,5,FALSE),IFERROR(VLOOKUP(P69&amp;"|ALL|ALL",V8_COHORT_TABLE,5,FALSE),VLOOKUP("GLOBAL",V8_COHORT_TABLE,5,FALSE))))</f>
        <v/>
      </c>
      <c r="Z69" s="15">
        <f>V69+W69/(1+EXP(-(U69-X69)/Y69))</f>
        <v/>
      </c>
      <c r="AA69" s="16">
        <f>1-(1-Z69)^12</f>
        <v/>
      </c>
      <c r="AB69" s="14">
        <f>IF(K69&lt;=V8_AGE_KNOT_X_0,V8_AGE_KNOT_Y_0,IF(K69&gt;=V8_AGE_KNOT_X_5,V8_AGE_KNOT_Y_5,IF(K69&lt;=V8_AGE_KNOT_X_1,V8_AGE_KNOT_Y_0+(K69-V8_AGE_KNOT_X_0)/(V8_AGE_KNOT_X_1-V8_AGE_KNOT_X_0)*(V8_AGE_KNOT_Y_1-V8_AGE_KNOT_Y_0),IF(K69&lt;=V8_AGE_KNOT_X_2,V8_AGE_KNOT_Y_1+(K69-V8_AGE_KNOT_X_1)/(V8_AGE_KNOT_X_2-V8_AGE_KNOT_X_1)*(V8_AGE_KNOT_Y_2-V8_AGE_KNOT_Y_1),IF(K69&lt;=V8_AGE_KNOT_X_3,V8_AGE_KNOT_Y_2+(K69-V8_AGE_KNOT_X_2)/(V8_AGE_KNOT_X_3-V8_AGE_KNOT_X_2)*(V8_AGE_KNOT_Y_3-V8_AGE_KNOT_Y_2),IF(K69&lt;=V8_AGE_KNOT_X_4,V8_AGE_KNOT_Y_3+(K69-V8_AGE_KNOT_X_3)/(V8_AGE_KNOT_X_4-V8_AGE_KNOT_X_3)*(V8_AGE_KNOT_Y_4-V8_AGE_KNOT_Y_3),V8_AGE_KNOT_Y_4+(K69-V8_AGE_KNOT_X_4)/(V8_AGE_KNOT_X_5-V8_AGE_KNOT_X_4)*(V8_AGE_KNOT_Y_5-V8_AGE_KNOT_Y_4)))))))</f>
        <v/>
      </c>
      <c r="AC69" s="14">
        <f>IF(IF(OR(L69="",NOT(ISNUMBER(L69))),360,MAX(0,MIN(480,(INT(L69/100)-INT(VALUE(F69)/100))*12+MOD(L69,100)-MOD(VALUE(F69),100))))&gt;0,1+V8_MTY_AMP*MAX(0,(V8_MTY_CUTOFF-(IF(OR(L69="",NOT(ISNUMBER(L69))),360,MAX(0,MIN(480,(INT(L69/100)-INT(VALUE(F69)/100))*12+MOD(L69,100)-MOD(VALUE(F69),100))))))/V8_MTY_CUTOFF),1)</f>
        <v/>
      </c>
      <c r="AD69" s="14">
        <f>IF(AND(IF(OR(M69="",NOT(ISNUMBER(M69))),0,MAX(0,MIN(24,(INT(VALUE(F69)/100)-INT(M69/100))*12+MOD(VALUE(F69),100)-MOD(M69,100))))&gt;0,IF(OR(M69="",NOT(ISNUMBER(M69))),0,MAX(0,MIN(24,(INT(VALUE(F69)/100)-INT(M69/100))*12+MOD(VALUE(F69),100)-MOD(M69,100))))&lt;=12),1+V8_LOCKOUT_AMP*EXP(-(IF(OR(M69="",NOT(ISNUMBER(M69))),0,MAX(0,MIN(24,(INT(VALUE(F69)/100)-INT(M69/100))*12+MOD(VALUE(F69),100)-MOD(M69,100)))))/V8_LOCKOUT_TAU),1)</f>
        <v/>
      </c>
      <c r="AE69" s="14">
        <f>MAX(V8_BURN_FLOOR,1-V8_BURN_SLOPE*MIN(1,MAX(0,O69)))</f>
        <v/>
      </c>
      <c r="AF69" s="15">
        <f>MIN(Z69*AB69*AC69*AD69*AE69,0.2)</f>
        <v/>
      </c>
      <c r="AG69" s="16">
        <f>1-(1-AF69)^12</f>
        <v/>
      </c>
    </row>
    <row r="70">
      <c r="A70" s="2" t="inlineStr">
        <is>
          <t>000005111489</t>
        </is>
      </c>
      <c r="B70" t="inlineStr">
        <is>
          <t>223a7</t>
        </is>
      </c>
      <c r="C70" t="inlineStr">
        <is>
          <t>RP</t>
        </is>
      </c>
      <c r="D70" t="inlineStr">
        <is>
          <t>WALKER &amp; DUNLOP, LLC</t>
        </is>
      </c>
      <c r="E70" t="n">
        <v>2021</v>
      </c>
      <c r="F70" t="inlineStr">
        <is>
          <t>202602</t>
        </is>
      </c>
      <c r="G70" s="8" t="n">
        <v>5985368.08</v>
      </c>
      <c r="H70" s="12" t="n">
        <v>2.29</v>
      </c>
      <c r="I70" s="13" t="n">
        <v>447</v>
      </c>
      <c r="J70" s="13" t="n">
        <v>6</v>
      </c>
      <c r="K70" t="n">
        <v>60</v>
      </c>
      <c r="L70" t="n">
        <v>205103</v>
      </c>
      <c r="M70" t="inlineStr"/>
      <c r="N70" t="n">
        <v>0</v>
      </c>
      <c r="O70" s="14" t="n">
        <v>0</v>
      </c>
      <c r="P70">
        <f>IF(ISNUMBER(SEARCH("232",B70)),"232",IF(ISNUMBER(SEARCH("538",B70)),"538",IF(ISNUMBER(SEARCH("223a7",B70)),"223a7",IF(ISNUMBER(SEARCH("223f",B70)),"223f","OTHER"))))</f>
        <v/>
      </c>
      <c r="Q70">
        <f>IF(UPPER(C70)="NC","NC","RP")</f>
        <v/>
      </c>
      <c r="R70">
        <f>IF(G70&lt;5000000,"small",IF(G70&lt;25000000,"medium","large"))</f>
        <v/>
      </c>
      <c r="S70">
        <f>P70&amp;"|"&amp;Q70&amp;"|"&amp;R70</f>
        <v/>
      </c>
      <c r="T70" s="13">
        <f>H70*100-I70</f>
        <v/>
      </c>
      <c r="U70" s="13">
        <f>T70-12.5*(J70+1)</f>
        <v/>
      </c>
      <c r="V70" s="15">
        <f>IFERROR(VLOOKUP(S70,V8_COHORT_TABLE,2,FALSE),IFERROR(VLOOKUP(P70&amp;"|"&amp;Q70&amp;"|ALL",V8_COHORT_TABLE,2,FALSE),IFERROR(VLOOKUP(P70&amp;"|ALL|ALL",V8_COHORT_TABLE,2,FALSE),VLOOKUP("GLOBAL",V8_COHORT_TABLE,2,FALSE))))</f>
        <v/>
      </c>
      <c r="W70" s="15">
        <f>IFERROR(VLOOKUP(S70,V8_COHORT_TABLE,3,FALSE),IFERROR(VLOOKUP(P70&amp;"|"&amp;Q70&amp;"|ALL",V8_COHORT_TABLE,3,FALSE),IFERROR(VLOOKUP(P70&amp;"|ALL|ALL",V8_COHORT_TABLE,3,FALSE),VLOOKUP("GLOBAL",V8_COHORT_TABLE,3,FALSE))))</f>
        <v/>
      </c>
      <c r="X70" s="15">
        <f>IFERROR(VLOOKUP(S70,V8_COHORT_TABLE,4,FALSE),IFERROR(VLOOKUP(P70&amp;"|"&amp;Q70&amp;"|ALL",V8_COHORT_TABLE,4,FALSE),IFERROR(VLOOKUP(P70&amp;"|ALL|ALL",V8_COHORT_TABLE,4,FALSE),VLOOKUP("GLOBAL",V8_COHORT_TABLE,4,FALSE))))</f>
        <v/>
      </c>
      <c r="Y70" s="15">
        <f>IFERROR(VLOOKUP(S70,V8_COHORT_TABLE,5,FALSE),IFERROR(VLOOKUP(P70&amp;"|"&amp;Q70&amp;"|ALL",V8_COHORT_TABLE,5,FALSE),IFERROR(VLOOKUP(P70&amp;"|ALL|ALL",V8_COHORT_TABLE,5,FALSE),VLOOKUP("GLOBAL",V8_COHORT_TABLE,5,FALSE))))</f>
        <v/>
      </c>
      <c r="Z70" s="15">
        <f>V70+W70/(1+EXP(-(U70-X70)/Y70))</f>
        <v/>
      </c>
      <c r="AA70" s="16">
        <f>1-(1-Z70)^12</f>
        <v/>
      </c>
      <c r="AB70" s="14">
        <f>IF(K70&lt;=V8_AGE_KNOT_X_0,V8_AGE_KNOT_Y_0,IF(K70&gt;=V8_AGE_KNOT_X_5,V8_AGE_KNOT_Y_5,IF(K70&lt;=V8_AGE_KNOT_X_1,V8_AGE_KNOT_Y_0+(K70-V8_AGE_KNOT_X_0)/(V8_AGE_KNOT_X_1-V8_AGE_KNOT_X_0)*(V8_AGE_KNOT_Y_1-V8_AGE_KNOT_Y_0),IF(K70&lt;=V8_AGE_KNOT_X_2,V8_AGE_KNOT_Y_1+(K70-V8_AGE_KNOT_X_1)/(V8_AGE_KNOT_X_2-V8_AGE_KNOT_X_1)*(V8_AGE_KNOT_Y_2-V8_AGE_KNOT_Y_1),IF(K70&lt;=V8_AGE_KNOT_X_3,V8_AGE_KNOT_Y_2+(K70-V8_AGE_KNOT_X_2)/(V8_AGE_KNOT_X_3-V8_AGE_KNOT_X_2)*(V8_AGE_KNOT_Y_3-V8_AGE_KNOT_Y_2),IF(K70&lt;=V8_AGE_KNOT_X_4,V8_AGE_KNOT_Y_3+(K70-V8_AGE_KNOT_X_3)/(V8_AGE_KNOT_X_4-V8_AGE_KNOT_X_3)*(V8_AGE_KNOT_Y_4-V8_AGE_KNOT_Y_3),V8_AGE_KNOT_Y_4+(K70-V8_AGE_KNOT_X_4)/(V8_AGE_KNOT_X_5-V8_AGE_KNOT_X_4)*(V8_AGE_KNOT_Y_5-V8_AGE_KNOT_Y_4)))))))</f>
        <v/>
      </c>
      <c r="AC70" s="14">
        <f>IF(IF(OR(L70="",NOT(ISNUMBER(L70))),360,MAX(0,MIN(480,(INT(L70/100)-INT(VALUE(F70)/100))*12+MOD(L70,100)-MOD(VALUE(F70),100))))&gt;0,1+V8_MTY_AMP*MAX(0,(V8_MTY_CUTOFF-(IF(OR(L70="",NOT(ISNUMBER(L70))),360,MAX(0,MIN(480,(INT(L70/100)-INT(VALUE(F70)/100))*12+MOD(L70,100)-MOD(VALUE(F70),100))))))/V8_MTY_CUTOFF),1)</f>
        <v/>
      </c>
      <c r="AD70" s="14">
        <f>IF(AND(IF(OR(M70="",NOT(ISNUMBER(M70))),0,MAX(0,MIN(24,(INT(VALUE(F70)/100)-INT(M70/100))*12+MOD(VALUE(F70),100)-MOD(M70,100))))&gt;0,IF(OR(M70="",NOT(ISNUMBER(M70))),0,MAX(0,MIN(24,(INT(VALUE(F70)/100)-INT(M70/100))*12+MOD(VALUE(F70),100)-MOD(M70,100))))&lt;=12),1+V8_LOCKOUT_AMP*EXP(-(IF(OR(M70="",NOT(ISNUMBER(M70))),0,MAX(0,MIN(24,(INT(VALUE(F70)/100)-INT(M70/100))*12+MOD(VALUE(F70),100)-MOD(M70,100)))))/V8_LOCKOUT_TAU),1)</f>
        <v/>
      </c>
      <c r="AE70" s="14">
        <f>MAX(V8_BURN_FLOOR,1-V8_BURN_SLOPE*MIN(1,MAX(0,O70)))</f>
        <v/>
      </c>
      <c r="AF70" s="15">
        <f>MIN(Z70*AB70*AC70*AD70*AE70,0.2)</f>
        <v/>
      </c>
      <c r="AG70" s="16">
        <f>1-(1-AF70)^12</f>
        <v/>
      </c>
    </row>
    <row r="71">
      <c r="A71" s="2" t="inlineStr">
        <is>
          <t>000004322064</t>
        </is>
      </c>
      <c r="B71" t="inlineStr">
        <is>
          <t>232</t>
        </is>
      </c>
      <c r="C71" t="inlineStr">
        <is>
          <t>RP</t>
        </is>
      </c>
      <c r="D71" t="inlineStr">
        <is>
          <t>WALKER &amp; DUNLOP, LLC</t>
        </is>
      </c>
      <c r="E71" t="n">
        <v>2011</v>
      </c>
      <c r="F71" t="inlineStr">
        <is>
          <t>202602</t>
        </is>
      </c>
      <c r="G71" s="8" t="n">
        <v>4469240.88</v>
      </c>
      <c r="H71" s="12" t="n">
        <v>3.73</v>
      </c>
      <c r="I71" s="13" t="n">
        <v>447</v>
      </c>
      <c r="J71" s="13" t="n">
        <v>0</v>
      </c>
      <c r="K71" t="n">
        <v>172</v>
      </c>
      <c r="L71" t="n">
        <v>204611</v>
      </c>
      <c r="M71" t="n">
        <v>201312</v>
      </c>
      <c r="N71" t="n">
        <v>38</v>
      </c>
      <c r="O71" s="14" t="n">
        <v>0.2209302325581395</v>
      </c>
      <c r="P71">
        <f>IF(ISNUMBER(SEARCH("232",B71)),"232",IF(ISNUMBER(SEARCH("538",B71)),"538",IF(ISNUMBER(SEARCH("223a7",B71)),"223a7",IF(ISNUMBER(SEARCH("223f",B71)),"223f","OTHER"))))</f>
        <v/>
      </c>
      <c r="Q71">
        <f>IF(UPPER(C71)="NC","NC","RP")</f>
        <v/>
      </c>
      <c r="R71">
        <f>IF(G71&lt;5000000,"small",IF(G71&lt;25000000,"medium","large"))</f>
        <v/>
      </c>
      <c r="S71">
        <f>P71&amp;"|"&amp;Q71&amp;"|"&amp;R71</f>
        <v/>
      </c>
      <c r="T71" s="13">
        <f>H71*100-I71</f>
        <v/>
      </c>
      <c r="U71" s="13">
        <f>T71-12.5*(J71+1)</f>
        <v/>
      </c>
      <c r="V71" s="15">
        <f>IFERROR(VLOOKUP(S71,V8_COHORT_TABLE,2,FALSE),IFERROR(VLOOKUP(P71&amp;"|"&amp;Q71&amp;"|ALL",V8_COHORT_TABLE,2,FALSE),IFERROR(VLOOKUP(P71&amp;"|ALL|ALL",V8_COHORT_TABLE,2,FALSE),VLOOKUP("GLOBAL",V8_COHORT_TABLE,2,FALSE))))</f>
        <v/>
      </c>
      <c r="W71" s="15">
        <f>IFERROR(VLOOKUP(S71,V8_COHORT_TABLE,3,FALSE),IFERROR(VLOOKUP(P71&amp;"|"&amp;Q71&amp;"|ALL",V8_COHORT_TABLE,3,FALSE),IFERROR(VLOOKUP(P71&amp;"|ALL|ALL",V8_COHORT_TABLE,3,FALSE),VLOOKUP("GLOBAL",V8_COHORT_TABLE,3,FALSE))))</f>
        <v/>
      </c>
      <c r="X71" s="15">
        <f>IFERROR(VLOOKUP(S71,V8_COHORT_TABLE,4,FALSE),IFERROR(VLOOKUP(P71&amp;"|"&amp;Q71&amp;"|ALL",V8_COHORT_TABLE,4,FALSE),IFERROR(VLOOKUP(P71&amp;"|ALL|ALL",V8_COHORT_TABLE,4,FALSE),VLOOKUP("GLOBAL",V8_COHORT_TABLE,4,FALSE))))</f>
        <v/>
      </c>
      <c r="Y71" s="15">
        <f>IFERROR(VLOOKUP(S71,V8_COHORT_TABLE,5,FALSE),IFERROR(VLOOKUP(P71&amp;"|"&amp;Q71&amp;"|ALL",V8_COHORT_TABLE,5,FALSE),IFERROR(VLOOKUP(P71&amp;"|ALL|ALL",V8_COHORT_TABLE,5,FALSE),VLOOKUP("GLOBAL",V8_COHORT_TABLE,5,FALSE))))</f>
        <v/>
      </c>
      <c r="Z71" s="15">
        <f>V71+W71/(1+EXP(-(U71-X71)/Y71))</f>
        <v/>
      </c>
      <c r="AA71" s="16">
        <f>1-(1-Z71)^12</f>
        <v/>
      </c>
      <c r="AB71" s="14">
        <f>IF(K71&lt;=V8_AGE_KNOT_X_0,V8_AGE_KNOT_Y_0,IF(K71&gt;=V8_AGE_KNOT_X_5,V8_AGE_KNOT_Y_5,IF(K71&lt;=V8_AGE_KNOT_X_1,V8_AGE_KNOT_Y_0+(K71-V8_AGE_KNOT_X_0)/(V8_AGE_KNOT_X_1-V8_AGE_KNOT_X_0)*(V8_AGE_KNOT_Y_1-V8_AGE_KNOT_Y_0),IF(K71&lt;=V8_AGE_KNOT_X_2,V8_AGE_KNOT_Y_1+(K71-V8_AGE_KNOT_X_1)/(V8_AGE_KNOT_X_2-V8_AGE_KNOT_X_1)*(V8_AGE_KNOT_Y_2-V8_AGE_KNOT_Y_1),IF(K71&lt;=V8_AGE_KNOT_X_3,V8_AGE_KNOT_Y_2+(K71-V8_AGE_KNOT_X_2)/(V8_AGE_KNOT_X_3-V8_AGE_KNOT_X_2)*(V8_AGE_KNOT_Y_3-V8_AGE_KNOT_Y_2),IF(K71&lt;=V8_AGE_KNOT_X_4,V8_AGE_KNOT_Y_3+(K71-V8_AGE_KNOT_X_3)/(V8_AGE_KNOT_X_4-V8_AGE_KNOT_X_3)*(V8_AGE_KNOT_Y_4-V8_AGE_KNOT_Y_3),V8_AGE_KNOT_Y_4+(K71-V8_AGE_KNOT_X_4)/(V8_AGE_KNOT_X_5-V8_AGE_KNOT_X_4)*(V8_AGE_KNOT_Y_5-V8_AGE_KNOT_Y_4)))))))</f>
        <v/>
      </c>
      <c r="AC71" s="14">
        <f>IF(IF(OR(L71="",NOT(ISNUMBER(L71))),360,MAX(0,MIN(480,(INT(L71/100)-INT(VALUE(F71)/100))*12+MOD(L71,100)-MOD(VALUE(F71),100))))&gt;0,1+V8_MTY_AMP*MAX(0,(V8_MTY_CUTOFF-(IF(OR(L71="",NOT(ISNUMBER(L71))),360,MAX(0,MIN(480,(INT(L71/100)-INT(VALUE(F71)/100))*12+MOD(L71,100)-MOD(VALUE(F71),100))))))/V8_MTY_CUTOFF),1)</f>
        <v/>
      </c>
      <c r="AD71" s="14">
        <f>IF(AND(IF(OR(M71="",NOT(ISNUMBER(M71))),0,MAX(0,MIN(24,(INT(VALUE(F71)/100)-INT(M71/100))*12+MOD(VALUE(F71),100)-MOD(M71,100))))&gt;0,IF(OR(M71="",NOT(ISNUMBER(M71))),0,MAX(0,MIN(24,(INT(VALUE(F71)/100)-INT(M71/100))*12+MOD(VALUE(F71),100)-MOD(M71,100))))&lt;=12),1+V8_LOCKOUT_AMP*EXP(-(IF(OR(M71="",NOT(ISNUMBER(M71))),0,MAX(0,MIN(24,(INT(VALUE(F71)/100)-INT(M71/100))*12+MOD(VALUE(F71),100)-MOD(M71,100)))))/V8_LOCKOUT_TAU),1)</f>
        <v/>
      </c>
      <c r="AE71" s="14">
        <f>MAX(V8_BURN_FLOOR,1-V8_BURN_SLOPE*MIN(1,MAX(0,O71)))</f>
        <v/>
      </c>
      <c r="AF71" s="15">
        <f>MIN(Z71*AB71*AC71*AD71*AE71,0.2)</f>
        <v/>
      </c>
      <c r="AG71" s="16">
        <f>1-(1-AF71)^12</f>
        <v/>
      </c>
    </row>
    <row r="72">
      <c r="A72" s="2" t="inlineStr">
        <is>
          <t>000004722066</t>
        </is>
      </c>
      <c r="B72" t="inlineStr">
        <is>
          <t>232</t>
        </is>
      </c>
      <c r="C72" t="inlineStr">
        <is>
          <t>RP</t>
        </is>
      </c>
      <c r="D72" t="inlineStr">
        <is>
          <t>WALKER &amp; DUNLOP, LLC</t>
        </is>
      </c>
      <c r="E72" t="n">
        <v>2011</v>
      </c>
      <c r="F72" t="inlineStr">
        <is>
          <t>202602</t>
        </is>
      </c>
      <c r="G72" s="8" t="n">
        <v>1687095.6</v>
      </c>
      <c r="H72" s="12" t="n">
        <v>3.58</v>
      </c>
      <c r="I72" s="13" t="n">
        <v>447</v>
      </c>
      <c r="J72" s="13" t="n">
        <v>1</v>
      </c>
      <c r="K72" t="n">
        <v>176</v>
      </c>
      <c r="L72" t="n">
        <v>204107</v>
      </c>
      <c r="M72" t="inlineStr"/>
      <c r="N72" t="n">
        <v>27</v>
      </c>
      <c r="O72" s="14" t="n">
        <v>0.1534090909090909</v>
      </c>
      <c r="P72">
        <f>IF(ISNUMBER(SEARCH("232",B72)),"232",IF(ISNUMBER(SEARCH("538",B72)),"538",IF(ISNUMBER(SEARCH("223a7",B72)),"223a7",IF(ISNUMBER(SEARCH("223f",B72)),"223f","OTHER"))))</f>
        <v/>
      </c>
      <c r="Q72">
        <f>IF(UPPER(C72)="NC","NC","RP")</f>
        <v/>
      </c>
      <c r="R72">
        <f>IF(G72&lt;5000000,"small",IF(G72&lt;25000000,"medium","large"))</f>
        <v/>
      </c>
      <c r="S72">
        <f>P72&amp;"|"&amp;Q72&amp;"|"&amp;R72</f>
        <v/>
      </c>
      <c r="T72" s="13">
        <f>H72*100-I72</f>
        <v/>
      </c>
      <c r="U72" s="13">
        <f>T72-12.5*(J72+1)</f>
        <v/>
      </c>
      <c r="V72" s="15">
        <f>IFERROR(VLOOKUP(S72,V8_COHORT_TABLE,2,FALSE),IFERROR(VLOOKUP(P72&amp;"|"&amp;Q72&amp;"|ALL",V8_COHORT_TABLE,2,FALSE),IFERROR(VLOOKUP(P72&amp;"|ALL|ALL",V8_COHORT_TABLE,2,FALSE),VLOOKUP("GLOBAL",V8_COHORT_TABLE,2,FALSE))))</f>
        <v/>
      </c>
      <c r="W72" s="15">
        <f>IFERROR(VLOOKUP(S72,V8_COHORT_TABLE,3,FALSE),IFERROR(VLOOKUP(P72&amp;"|"&amp;Q72&amp;"|ALL",V8_COHORT_TABLE,3,FALSE),IFERROR(VLOOKUP(P72&amp;"|ALL|ALL",V8_COHORT_TABLE,3,FALSE),VLOOKUP("GLOBAL",V8_COHORT_TABLE,3,FALSE))))</f>
        <v/>
      </c>
      <c r="X72" s="15">
        <f>IFERROR(VLOOKUP(S72,V8_COHORT_TABLE,4,FALSE),IFERROR(VLOOKUP(P72&amp;"|"&amp;Q72&amp;"|ALL",V8_COHORT_TABLE,4,FALSE),IFERROR(VLOOKUP(P72&amp;"|ALL|ALL",V8_COHORT_TABLE,4,FALSE),VLOOKUP("GLOBAL",V8_COHORT_TABLE,4,FALSE))))</f>
        <v/>
      </c>
      <c r="Y72" s="15">
        <f>IFERROR(VLOOKUP(S72,V8_COHORT_TABLE,5,FALSE),IFERROR(VLOOKUP(P72&amp;"|"&amp;Q72&amp;"|ALL",V8_COHORT_TABLE,5,FALSE),IFERROR(VLOOKUP(P72&amp;"|ALL|ALL",V8_COHORT_TABLE,5,FALSE),VLOOKUP("GLOBAL",V8_COHORT_TABLE,5,FALSE))))</f>
        <v/>
      </c>
      <c r="Z72" s="15">
        <f>V72+W72/(1+EXP(-(U72-X72)/Y72))</f>
        <v/>
      </c>
      <c r="AA72" s="16">
        <f>1-(1-Z72)^12</f>
        <v/>
      </c>
      <c r="AB72" s="14">
        <f>IF(K72&lt;=V8_AGE_KNOT_X_0,V8_AGE_KNOT_Y_0,IF(K72&gt;=V8_AGE_KNOT_X_5,V8_AGE_KNOT_Y_5,IF(K72&lt;=V8_AGE_KNOT_X_1,V8_AGE_KNOT_Y_0+(K72-V8_AGE_KNOT_X_0)/(V8_AGE_KNOT_X_1-V8_AGE_KNOT_X_0)*(V8_AGE_KNOT_Y_1-V8_AGE_KNOT_Y_0),IF(K72&lt;=V8_AGE_KNOT_X_2,V8_AGE_KNOT_Y_1+(K72-V8_AGE_KNOT_X_1)/(V8_AGE_KNOT_X_2-V8_AGE_KNOT_X_1)*(V8_AGE_KNOT_Y_2-V8_AGE_KNOT_Y_1),IF(K72&lt;=V8_AGE_KNOT_X_3,V8_AGE_KNOT_Y_2+(K72-V8_AGE_KNOT_X_2)/(V8_AGE_KNOT_X_3-V8_AGE_KNOT_X_2)*(V8_AGE_KNOT_Y_3-V8_AGE_KNOT_Y_2),IF(K72&lt;=V8_AGE_KNOT_X_4,V8_AGE_KNOT_Y_3+(K72-V8_AGE_KNOT_X_3)/(V8_AGE_KNOT_X_4-V8_AGE_KNOT_X_3)*(V8_AGE_KNOT_Y_4-V8_AGE_KNOT_Y_3),V8_AGE_KNOT_Y_4+(K72-V8_AGE_KNOT_X_4)/(V8_AGE_KNOT_X_5-V8_AGE_KNOT_X_4)*(V8_AGE_KNOT_Y_5-V8_AGE_KNOT_Y_4)))))))</f>
        <v/>
      </c>
      <c r="AC72" s="14">
        <f>IF(IF(OR(L72="",NOT(ISNUMBER(L72))),360,MAX(0,MIN(480,(INT(L72/100)-INT(VALUE(F72)/100))*12+MOD(L72,100)-MOD(VALUE(F72),100))))&gt;0,1+V8_MTY_AMP*MAX(0,(V8_MTY_CUTOFF-(IF(OR(L72="",NOT(ISNUMBER(L72))),360,MAX(0,MIN(480,(INT(L72/100)-INT(VALUE(F72)/100))*12+MOD(L72,100)-MOD(VALUE(F72),100))))))/V8_MTY_CUTOFF),1)</f>
        <v/>
      </c>
      <c r="AD72" s="14">
        <f>IF(AND(IF(OR(M72="",NOT(ISNUMBER(M72))),0,MAX(0,MIN(24,(INT(VALUE(F72)/100)-INT(M72/100))*12+MOD(VALUE(F72),100)-MOD(M72,100))))&gt;0,IF(OR(M72="",NOT(ISNUMBER(M72))),0,MAX(0,MIN(24,(INT(VALUE(F72)/100)-INT(M72/100))*12+MOD(VALUE(F72),100)-MOD(M72,100))))&lt;=12),1+V8_LOCKOUT_AMP*EXP(-(IF(OR(M72="",NOT(ISNUMBER(M72))),0,MAX(0,MIN(24,(INT(VALUE(F72)/100)-INT(M72/100))*12+MOD(VALUE(F72),100)-MOD(M72,100)))))/V8_LOCKOUT_TAU),1)</f>
        <v/>
      </c>
      <c r="AE72" s="14">
        <f>MAX(V8_BURN_FLOOR,1-V8_BURN_SLOPE*MIN(1,MAX(0,O72)))</f>
        <v/>
      </c>
      <c r="AF72" s="15">
        <f>MIN(Z72*AB72*AC72*AD72*AE72,0.2)</f>
        <v/>
      </c>
      <c r="AG72" s="16">
        <f>1-(1-AF72)^12</f>
        <v/>
      </c>
    </row>
    <row r="73">
      <c r="A73" s="2" t="inlineStr">
        <is>
          <t>000002311566</t>
        </is>
      </c>
      <c r="B73" t="inlineStr">
        <is>
          <t>223f</t>
        </is>
      </c>
      <c r="C73" t="inlineStr">
        <is>
          <t>RP</t>
        </is>
      </c>
      <c r="D73" t="inlineStr">
        <is>
          <t>WALKER &amp; DUNLOP, LLC</t>
        </is>
      </c>
      <c r="E73" t="n">
        <v>2020</v>
      </c>
      <c r="F73" t="inlineStr">
        <is>
          <t>202602</t>
        </is>
      </c>
      <c r="G73" s="8" t="n">
        <v>13589483.51</v>
      </c>
      <c r="H73" s="12" t="n">
        <v>2.25</v>
      </c>
      <c r="I73" s="13" t="n">
        <v>447</v>
      </c>
      <c r="J73" s="13" t="n">
        <v>5</v>
      </c>
      <c r="K73" t="n">
        <v>65</v>
      </c>
      <c r="L73" t="n">
        <v>205510</v>
      </c>
      <c r="M73" t="inlineStr"/>
      <c r="N73" t="n">
        <v>0</v>
      </c>
      <c r="O73" s="14" t="n">
        <v>0</v>
      </c>
      <c r="P73">
        <f>IF(ISNUMBER(SEARCH("232",B73)),"232",IF(ISNUMBER(SEARCH("538",B73)),"538",IF(ISNUMBER(SEARCH("223a7",B73)),"223a7",IF(ISNUMBER(SEARCH("223f",B73)),"223f","OTHER"))))</f>
        <v/>
      </c>
      <c r="Q73">
        <f>IF(UPPER(C73)="NC","NC","RP")</f>
        <v/>
      </c>
      <c r="R73">
        <f>IF(G73&lt;5000000,"small",IF(G73&lt;25000000,"medium","large"))</f>
        <v/>
      </c>
      <c r="S73">
        <f>P73&amp;"|"&amp;Q73&amp;"|"&amp;R73</f>
        <v/>
      </c>
      <c r="T73" s="13">
        <f>H73*100-I73</f>
        <v/>
      </c>
      <c r="U73" s="13">
        <f>T73-12.5*(J73+1)</f>
        <v/>
      </c>
      <c r="V73" s="15">
        <f>IFERROR(VLOOKUP(S73,V8_COHORT_TABLE,2,FALSE),IFERROR(VLOOKUP(P73&amp;"|"&amp;Q73&amp;"|ALL",V8_COHORT_TABLE,2,FALSE),IFERROR(VLOOKUP(P73&amp;"|ALL|ALL",V8_COHORT_TABLE,2,FALSE),VLOOKUP("GLOBAL",V8_COHORT_TABLE,2,FALSE))))</f>
        <v/>
      </c>
      <c r="W73" s="15">
        <f>IFERROR(VLOOKUP(S73,V8_COHORT_TABLE,3,FALSE),IFERROR(VLOOKUP(P73&amp;"|"&amp;Q73&amp;"|ALL",V8_COHORT_TABLE,3,FALSE),IFERROR(VLOOKUP(P73&amp;"|ALL|ALL",V8_COHORT_TABLE,3,FALSE),VLOOKUP("GLOBAL",V8_COHORT_TABLE,3,FALSE))))</f>
        <v/>
      </c>
      <c r="X73" s="15">
        <f>IFERROR(VLOOKUP(S73,V8_COHORT_TABLE,4,FALSE),IFERROR(VLOOKUP(P73&amp;"|"&amp;Q73&amp;"|ALL",V8_COHORT_TABLE,4,FALSE),IFERROR(VLOOKUP(P73&amp;"|ALL|ALL",V8_COHORT_TABLE,4,FALSE),VLOOKUP("GLOBAL",V8_COHORT_TABLE,4,FALSE))))</f>
        <v/>
      </c>
      <c r="Y73" s="15">
        <f>IFERROR(VLOOKUP(S73,V8_COHORT_TABLE,5,FALSE),IFERROR(VLOOKUP(P73&amp;"|"&amp;Q73&amp;"|ALL",V8_COHORT_TABLE,5,FALSE),IFERROR(VLOOKUP(P73&amp;"|ALL|ALL",V8_COHORT_TABLE,5,FALSE),VLOOKUP("GLOBAL",V8_COHORT_TABLE,5,FALSE))))</f>
        <v/>
      </c>
      <c r="Z73" s="15">
        <f>V73+W73/(1+EXP(-(U73-X73)/Y73))</f>
        <v/>
      </c>
      <c r="AA73" s="16">
        <f>1-(1-Z73)^12</f>
        <v/>
      </c>
      <c r="AB73" s="14">
        <f>IF(K73&lt;=V8_AGE_KNOT_X_0,V8_AGE_KNOT_Y_0,IF(K73&gt;=V8_AGE_KNOT_X_5,V8_AGE_KNOT_Y_5,IF(K73&lt;=V8_AGE_KNOT_X_1,V8_AGE_KNOT_Y_0+(K73-V8_AGE_KNOT_X_0)/(V8_AGE_KNOT_X_1-V8_AGE_KNOT_X_0)*(V8_AGE_KNOT_Y_1-V8_AGE_KNOT_Y_0),IF(K73&lt;=V8_AGE_KNOT_X_2,V8_AGE_KNOT_Y_1+(K73-V8_AGE_KNOT_X_1)/(V8_AGE_KNOT_X_2-V8_AGE_KNOT_X_1)*(V8_AGE_KNOT_Y_2-V8_AGE_KNOT_Y_1),IF(K73&lt;=V8_AGE_KNOT_X_3,V8_AGE_KNOT_Y_2+(K73-V8_AGE_KNOT_X_2)/(V8_AGE_KNOT_X_3-V8_AGE_KNOT_X_2)*(V8_AGE_KNOT_Y_3-V8_AGE_KNOT_Y_2),IF(K73&lt;=V8_AGE_KNOT_X_4,V8_AGE_KNOT_Y_3+(K73-V8_AGE_KNOT_X_3)/(V8_AGE_KNOT_X_4-V8_AGE_KNOT_X_3)*(V8_AGE_KNOT_Y_4-V8_AGE_KNOT_Y_3),V8_AGE_KNOT_Y_4+(K73-V8_AGE_KNOT_X_4)/(V8_AGE_KNOT_X_5-V8_AGE_KNOT_X_4)*(V8_AGE_KNOT_Y_5-V8_AGE_KNOT_Y_4)))))))</f>
        <v/>
      </c>
      <c r="AC73" s="14">
        <f>IF(IF(OR(L73="",NOT(ISNUMBER(L73))),360,MAX(0,MIN(480,(INT(L73/100)-INT(VALUE(F73)/100))*12+MOD(L73,100)-MOD(VALUE(F73),100))))&gt;0,1+V8_MTY_AMP*MAX(0,(V8_MTY_CUTOFF-(IF(OR(L73="",NOT(ISNUMBER(L73))),360,MAX(0,MIN(480,(INT(L73/100)-INT(VALUE(F73)/100))*12+MOD(L73,100)-MOD(VALUE(F73),100))))))/V8_MTY_CUTOFF),1)</f>
        <v/>
      </c>
      <c r="AD73" s="14">
        <f>IF(AND(IF(OR(M73="",NOT(ISNUMBER(M73))),0,MAX(0,MIN(24,(INT(VALUE(F73)/100)-INT(M73/100))*12+MOD(VALUE(F73),100)-MOD(M73,100))))&gt;0,IF(OR(M73="",NOT(ISNUMBER(M73))),0,MAX(0,MIN(24,(INT(VALUE(F73)/100)-INT(M73/100))*12+MOD(VALUE(F73),100)-MOD(M73,100))))&lt;=12),1+V8_LOCKOUT_AMP*EXP(-(IF(OR(M73="",NOT(ISNUMBER(M73))),0,MAX(0,MIN(24,(INT(VALUE(F73)/100)-INT(M73/100))*12+MOD(VALUE(F73),100)-MOD(M73,100)))))/V8_LOCKOUT_TAU),1)</f>
        <v/>
      </c>
      <c r="AE73" s="14">
        <f>MAX(V8_BURN_FLOOR,1-V8_BURN_SLOPE*MIN(1,MAX(0,O73)))</f>
        <v/>
      </c>
      <c r="AF73" s="15">
        <f>MIN(Z73*AB73*AC73*AD73*AE73,0.2)</f>
        <v/>
      </c>
      <c r="AG73" s="16">
        <f>1-(1-AF73)^12</f>
        <v/>
      </c>
    </row>
    <row r="74">
      <c r="A74" s="2" t="inlineStr">
        <is>
          <t>000004211125</t>
        </is>
      </c>
      <c r="B74" t="inlineStr">
        <is>
          <t>223f</t>
        </is>
      </c>
      <c r="C74" t="inlineStr">
        <is>
          <t>RP</t>
        </is>
      </c>
      <c r="D74" t="inlineStr">
        <is>
          <t>WALKER &amp; DUNLOP, LLC</t>
        </is>
      </c>
      <c r="E74" t="n">
        <v>2009</v>
      </c>
      <c r="F74" t="inlineStr">
        <is>
          <t>202602</t>
        </is>
      </c>
      <c r="G74" s="8" t="n">
        <v>2401815.05</v>
      </c>
      <c r="H74" s="12" t="n">
        <v>3.65</v>
      </c>
      <c r="I74" s="13" t="n">
        <v>447</v>
      </c>
      <c r="J74" s="13" t="n">
        <v>5</v>
      </c>
      <c r="K74" t="n">
        <v>203</v>
      </c>
      <c r="L74" t="n">
        <v>204404</v>
      </c>
      <c r="M74" t="inlineStr"/>
      <c r="N74" t="n">
        <v>21</v>
      </c>
      <c r="O74" s="14" t="n">
        <v>0.103448275862069</v>
      </c>
      <c r="P74">
        <f>IF(ISNUMBER(SEARCH("232",B74)),"232",IF(ISNUMBER(SEARCH("538",B74)),"538",IF(ISNUMBER(SEARCH("223a7",B74)),"223a7",IF(ISNUMBER(SEARCH("223f",B74)),"223f","OTHER"))))</f>
        <v/>
      </c>
      <c r="Q74">
        <f>IF(UPPER(C74)="NC","NC","RP")</f>
        <v/>
      </c>
      <c r="R74">
        <f>IF(G74&lt;5000000,"small",IF(G74&lt;25000000,"medium","large"))</f>
        <v/>
      </c>
      <c r="S74">
        <f>P74&amp;"|"&amp;Q74&amp;"|"&amp;R74</f>
        <v/>
      </c>
      <c r="T74" s="13">
        <f>H74*100-I74</f>
        <v/>
      </c>
      <c r="U74" s="13">
        <f>T74-12.5*(J74+1)</f>
        <v/>
      </c>
      <c r="V74" s="15">
        <f>IFERROR(VLOOKUP(S74,V8_COHORT_TABLE,2,FALSE),IFERROR(VLOOKUP(P74&amp;"|"&amp;Q74&amp;"|ALL",V8_COHORT_TABLE,2,FALSE),IFERROR(VLOOKUP(P74&amp;"|ALL|ALL",V8_COHORT_TABLE,2,FALSE),VLOOKUP("GLOBAL",V8_COHORT_TABLE,2,FALSE))))</f>
        <v/>
      </c>
      <c r="W74" s="15">
        <f>IFERROR(VLOOKUP(S74,V8_COHORT_TABLE,3,FALSE),IFERROR(VLOOKUP(P74&amp;"|"&amp;Q74&amp;"|ALL",V8_COHORT_TABLE,3,FALSE),IFERROR(VLOOKUP(P74&amp;"|ALL|ALL",V8_COHORT_TABLE,3,FALSE),VLOOKUP("GLOBAL",V8_COHORT_TABLE,3,FALSE))))</f>
        <v/>
      </c>
      <c r="X74" s="15">
        <f>IFERROR(VLOOKUP(S74,V8_COHORT_TABLE,4,FALSE),IFERROR(VLOOKUP(P74&amp;"|"&amp;Q74&amp;"|ALL",V8_COHORT_TABLE,4,FALSE),IFERROR(VLOOKUP(P74&amp;"|ALL|ALL",V8_COHORT_TABLE,4,FALSE),VLOOKUP("GLOBAL",V8_COHORT_TABLE,4,FALSE))))</f>
        <v/>
      </c>
      <c r="Y74" s="15">
        <f>IFERROR(VLOOKUP(S74,V8_COHORT_TABLE,5,FALSE),IFERROR(VLOOKUP(P74&amp;"|"&amp;Q74&amp;"|ALL",V8_COHORT_TABLE,5,FALSE),IFERROR(VLOOKUP(P74&amp;"|ALL|ALL",V8_COHORT_TABLE,5,FALSE),VLOOKUP("GLOBAL",V8_COHORT_TABLE,5,FALSE))))</f>
        <v/>
      </c>
      <c r="Z74" s="15">
        <f>V74+W74/(1+EXP(-(U74-X74)/Y74))</f>
        <v/>
      </c>
      <c r="AA74" s="16">
        <f>1-(1-Z74)^12</f>
        <v/>
      </c>
      <c r="AB74" s="14">
        <f>IF(K74&lt;=V8_AGE_KNOT_X_0,V8_AGE_KNOT_Y_0,IF(K74&gt;=V8_AGE_KNOT_X_5,V8_AGE_KNOT_Y_5,IF(K74&lt;=V8_AGE_KNOT_X_1,V8_AGE_KNOT_Y_0+(K74-V8_AGE_KNOT_X_0)/(V8_AGE_KNOT_X_1-V8_AGE_KNOT_X_0)*(V8_AGE_KNOT_Y_1-V8_AGE_KNOT_Y_0),IF(K74&lt;=V8_AGE_KNOT_X_2,V8_AGE_KNOT_Y_1+(K74-V8_AGE_KNOT_X_1)/(V8_AGE_KNOT_X_2-V8_AGE_KNOT_X_1)*(V8_AGE_KNOT_Y_2-V8_AGE_KNOT_Y_1),IF(K74&lt;=V8_AGE_KNOT_X_3,V8_AGE_KNOT_Y_2+(K74-V8_AGE_KNOT_X_2)/(V8_AGE_KNOT_X_3-V8_AGE_KNOT_X_2)*(V8_AGE_KNOT_Y_3-V8_AGE_KNOT_Y_2),IF(K74&lt;=V8_AGE_KNOT_X_4,V8_AGE_KNOT_Y_3+(K74-V8_AGE_KNOT_X_3)/(V8_AGE_KNOT_X_4-V8_AGE_KNOT_X_3)*(V8_AGE_KNOT_Y_4-V8_AGE_KNOT_Y_3),V8_AGE_KNOT_Y_4+(K74-V8_AGE_KNOT_X_4)/(V8_AGE_KNOT_X_5-V8_AGE_KNOT_X_4)*(V8_AGE_KNOT_Y_5-V8_AGE_KNOT_Y_4)))))))</f>
        <v/>
      </c>
      <c r="AC74" s="14">
        <f>IF(IF(OR(L74="",NOT(ISNUMBER(L74))),360,MAX(0,MIN(480,(INT(L74/100)-INT(VALUE(F74)/100))*12+MOD(L74,100)-MOD(VALUE(F74),100))))&gt;0,1+V8_MTY_AMP*MAX(0,(V8_MTY_CUTOFF-(IF(OR(L74="",NOT(ISNUMBER(L74))),360,MAX(0,MIN(480,(INT(L74/100)-INT(VALUE(F74)/100))*12+MOD(L74,100)-MOD(VALUE(F74),100))))))/V8_MTY_CUTOFF),1)</f>
        <v/>
      </c>
      <c r="AD74" s="14">
        <f>IF(AND(IF(OR(M74="",NOT(ISNUMBER(M74))),0,MAX(0,MIN(24,(INT(VALUE(F74)/100)-INT(M74/100))*12+MOD(VALUE(F74),100)-MOD(M74,100))))&gt;0,IF(OR(M74="",NOT(ISNUMBER(M74))),0,MAX(0,MIN(24,(INT(VALUE(F74)/100)-INT(M74/100))*12+MOD(VALUE(F74),100)-MOD(M74,100))))&lt;=12),1+V8_LOCKOUT_AMP*EXP(-(IF(OR(M74="",NOT(ISNUMBER(M74))),0,MAX(0,MIN(24,(INT(VALUE(F74)/100)-INT(M74/100))*12+MOD(VALUE(F74),100)-MOD(M74,100)))))/V8_LOCKOUT_TAU),1)</f>
        <v/>
      </c>
      <c r="AE74" s="14">
        <f>MAX(V8_BURN_FLOOR,1-V8_BURN_SLOPE*MIN(1,MAX(0,O74)))</f>
        <v/>
      </c>
      <c r="AF74" s="15">
        <f>MIN(Z74*AB74*AC74*AD74*AE74,0.2)</f>
        <v/>
      </c>
      <c r="AG74" s="16">
        <f>1-(1-AF74)^12</f>
        <v/>
      </c>
    </row>
    <row r="75">
      <c r="A75" s="2" t="inlineStr">
        <is>
          <t>000007111196</t>
        </is>
      </c>
      <c r="B75" t="inlineStr">
        <is>
          <t>223f</t>
        </is>
      </c>
      <c r="C75" t="inlineStr">
        <is>
          <t>RP</t>
        </is>
      </c>
      <c r="D75" t="inlineStr">
        <is>
          <t>WALKER &amp; DUNLOP, LLC</t>
        </is>
      </c>
      <c r="E75" t="n">
        <v>2010</v>
      </c>
      <c r="F75" t="inlineStr">
        <is>
          <t>202602</t>
        </is>
      </c>
      <c r="G75" s="8" t="n">
        <v>3458376.57</v>
      </c>
      <c r="H75" s="12" t="n">
        <v>3.49</v>
      </c>
      <c r="I75" s="13" t="n">
        <v>447</v>
      </c>
      <c r="J75" s="13" t="n">
        <v>6</v>
      </c>
      <c r="K75" t="n">
        <v>190</v>
      </c>
      <c r="L75" t="n">
        <v>204505</v>
      </c>
      <c r="M75" t="inlineStr"/>
      <c r="N75" t="n">
        <v>12</v>
      </c>
      <c r="O75" s="14" t="n">
        <v>0.06315789473684211</v>
      </c>
      <c r="P75">
        <f>IF(ISNUMBER(SEARCH("232",B75)),"232",IF(ISNUMBER(SEARCH("538",B75)),"538",IF(ISNUMBER(SEARCH("223a7",B75)),"223a7",IF(ISNUMBER(SEARCH("223f",B75)),"223f","OTHER"))))</f>
        <v/>
      </c>
      <c r="Q75">
        <f>IF(UPPER(C75)="NC","NC","RP")</f>
        <v/>
      </c>
      <c r="R75">
        <f>IF(G75&lt;5000000,"small",IF(G75&lt;25000000,"medium","large"))</f>
        <v/>
      </c>
      <c r="S75">
        <f>P75&amp;"|"&amp;Q75&amp;"|"&amp;R75</f>
        <v/>
      </c>
      <c r="T75" s="13">
        <f>H75*100-I75</f>
        <v/>
      </c>
      <c r="U75" s="13">
        <f>T75-12.5*(J75+1)</f>
        <v/>
      </c>
      <c r="V75" s="15">
        <f>IFERROR(VLOOKUP(S75,V8_COHORT_TABLE,2,FALSE),IFERROR(VLOOKUP(P75&amp;"|"&amp;Q75&amp;"|ALL",V8_COHORT_TABLE,2,FALSE),IFERROR(VLOOKUP(P75&amp;"|ALL|ALL",V8_COHORT_TABLE,2,FALSE),VLOOKUP("GLOBAL",V8_COHORT_TABLE,2,FALSE))))</f>
        <v/>
      </c>
      <c r="W75" s="15">
        <f>IFERROR(VLOOKUP(S75,V8_COHORT_TABLE,3,FALSE),IFERROR(VLOOKUP(P75&amp;"|"&amp;Q75&amp;"|ALL",V8_COHORT_TABLE,3,FALSE),IFERROR(VLOOKUP(P75&amp;"|ALL|ALL",V8_COHORT_TABLE,3,FALSE),VLOOKUP("GLOBAL",V8_COHORT_TABLE,3,FALSE))))</f>
        <v/>
      </c>
      <c r="X75" s="15">
        <f>IFERROR(VLOOKUP(S75,V8_COHORT_TABLE,4,FALSE),IFERROR(VLOOKUP(P75&amp;"|"&amp;Q75&amp;"|ALL",V8_COHORT_TABLE,4,FALSE),IFERROR(VLOOKUP(P75&amp;"|ALL|ALL",V8_COHORT_TABLE,4,FALSE),VLOOKUP("GLOBAL",V8_COHORT_TABLE,4,FALSE))))</f>
        <v/>
      </c>
      <c r="Y75" s="15">
        <f>IFERROR(VLOOKUP(S75,V8_COHORT_TABLE,5,FALSE),IFERROR(VLOOKUP(P75&amp;"|"&amp;Q75&amp;"|ALL",V8_COHORT_TABLE,5,FALSE),IFERROR(VLOOKUP(P75&amp;"|ALL|ALL",V8_COHORT_TABLE,5,FALSE),VLOOKUP("GLOBAL",V8_COHORT_TABLE,5,FALSE))))</f>
        <v/>
      </c>
      <c r="Z75" s="15">
        <f>V75+W75/(1+EXP(-(U75-X75)/Y75))</f>
        <v/>
      </c>
      <c r="AA75" s="16">
        <f>1-(1-Z75)^12</f>
        <v/>
      </c>
      <c r="AB75" s="14">
        <f>IF(K75&lt;=V8_AGE_KNOT_X_0,V8_AGE_KNOT_Y_0,IF(K75&gt;=V8_AGE_KNOT_X_5,V8_AGE_KNOT_Y_5,IF(K75&lt;=V8_AGE_KNOT_X_1,V8_AGE_KNOT_Y_0+(K75-V8_AGE_KNOT_X_0)/(V8_AGE_KNOT_X_1-V8_AGE_KNOT_X_0)*(V8_AGE_KNOT_Y_1-V8_AGE_KNOT_Y_0),IF(K75&lt;=V8_AGE_KNOT_X_2,V8_AGE_KNOT_Y_1+(K75-V8_AGE_KNOT_X_1)/(V8_AGE_KNOT_X_2-V8_AGE_KNOT_X_1)*(V8_AGE_KNOT_Y_2-V8_AGE_KNOT_Y_1),IF(K75&lt;=V8_AGE_KNOT_X_3,V8_AGE_KNOT_Y_2+(K75-V8_AGE_KNOT_X_2)/(V8_AGE_KNOT_X_3-V8_AGE_KNOT_X_2)*(V8_AGE_KNOT_Y_3-V8_AGE_KNOT_Y_2),IF(K75&lt;=V8_AGE_KNOT_X_4,V8_AGE_KNOT_Y_3+(K75-V8_AGE_KNOT_X_3)/(V8_AGE_KNOT_X_4-V8_AGE_KNOT_X_3)*(V8_AGE_KNOT_Y_4-V8_AGE_KNOT_Y_3),V8_AGE_KNOT_Y_4+(K75-V8_AGE_KNOT_X_4)/(V8_AGE_KNOT_X_5-V8_AGE_KNOT_X_4)*(V8_AGE_KNOT_Y_5-V8_AGE_KNOT_Y_4)))))))</f>
        <v/>
      </c>
      <c r="AC75" s="14">
        <f>IF(IF(OR(L75="",NOT(ISNUMBER(L75))),360,MAX(0,MIN(480,(INT(L75/100)-INT(VALUE(F75)/100))*12+MOD(L75,100)-MOD(VALUE(F75),100))))&gt;0,1+V8_MTY_AMP*MAX(0,(V8_MTY_CUTOFF-(IF(OR(L75="",NOT(ISNUMBER(L75))),360,MAX(0,MIN(480,(INT(L75/100)-INT(VALUE(F75)/100))*12+MOD(L75,100)-MOD(VALUE(F75),100))))))/V8_MTY_CUTOFF),1)</f>
        <v/>
      </c>
      <c r="AD75" s="14">
        <f>IF(AND(IF(OR(M75="",NOT(ISNUMBER(M75))),0,MAX(0,MIN(24,(INT(VALUE(F75)/100)-INT(M75/100))*12+MOD(VALUE(F75),100)-MOD(M75,100))))&gt;0,IF(OR(M75="",NOT(ISNUMBER(M75))),0,MAX(0,MIN(24,(INT(VALUE(F75)/100)-INT(M75/100))*12+MOD(VALUE(F75),100)-MOD(M75,100))))&lt;=12),1+V8_LOCKOUT_AMP*EXP(-(IF(OR(M75="",NOT(ISNUMBER(M75))),0,MAX(0,MIN(24,(INT(VALUE(F75)/100)-INT(M75/100))*12+MOD(VALUE(F75),100)-MOD(M75,100)))))/V8_LOCKOUT_TAU),1)</f>
        <v/>
      </c>
      <c r="AE75" s="14">
        <f>MAX(V8_BURN_FLOOR,1-V8_BURN_SLOPE*MIN(1,MAX(0,O75)))</f>
        <v/>
      </c>
      <c r="AF75" s="15">
        <f>MIN(Z75*AB75*AC75*AD75*AE75,0.2)</f>
        <v/>
      </c>
      <c r="AG75" s="16">
        <f>1-(1-AF75)^12</f>
        <v/>
      </c>
    </row>
    <row r="76">
      <c r="A76" s="2" t="inlineStr">
        <is>
          <t>000010222049</t>
        </is>
      </c>
      <c r="B76" t="inlineStr">
        <is>
          <t>232</t>
        </is>
      </c>
      <c r="C76" t="inlineStr">
        <is>
          <t>RP</t>
        </is>
      </c>
      <c r="D76" t="inlineStr">
        <is>
          <t>WALKER &amp; DUNLOP, LLC</t>
        </is>
      </c>
      <c r="E76" t="n">
        <v>2012</v>
      </c>
      <c r="F76" t="inlineStr">
        <is>
          <t>202602</t>
        </is>
      </c>
      <c r="G76" s="8" t="n">
        <v>9942041.35</v>
      </c>
      <c r="H76" s="12" t="n">
        <v>3.35</v>
      </c>
      <c r="I76" s="13" t="n">
        <v>447</v>
      </c>
      <c r="J76" s="13" t="n">
        <v>0</v>
      </c>
      <c r="K76" t="n">
        <v>158</v>
      </c>
      <c r="L76" t="n">
        <v>204801</v>
      </c>
      <c r="M76" t="n">
        <v>201401</v>
      </c>
      <c r="N76" t="n">
        <v>32</v>
      </c>
      <c r="O76" s="14" t="n">
        <v>0.2025316455696203</v>
      </c>
      <c r="P76">
        <f>IF(ISNUMBER(SEARCH("232",B76)),"232",IF(ISNUMBER(SEARCH("538",B76)),"538",IF(ISNUMBER(SEARCH("223a7",B76)),"223a7",IF(ISNUMBER(SEARCH("223f",B76)),"223f","OTHER"))))</f>
        <v/>
      </c>
      <c r="Q76">
        <f>IF(UPPER(C76)="NC","NC","RP")</f>
        <v/>
      </c>
      <c r="R76">
        <f>IF(G76&lt;5000000,"small",IF(G76&lt;25000000,"medium","large"))</f>
        <v/>
      </c>
      <c r="S76">
        <f>P76&amp;"|"&amp;Q76&amp;"|"&amp;R76</f>
        <v/>
      </c>
      <c r="T76" s="13">
        <f>H76*100-I76</f>
        <v/>
      </c>
      <c r="U76" s="13">
        <f>T76-12.5*(J76+1)</f>
        <v/>
      </c>
      <c r="V76" s="15">
        <f>IFERROR(VLOOKUP(S76,V8_COHORT_TABLE,2,FALSE),IFERROR(VLOOKUP(P76&amp;"|"&amp;Q76&amp;"|ALL",V8_COHORT_TABLE,2,FALSE),IFERROR(VLOOKUP(P76&amp;"|ALL|ALL",V8_COHORT_TABLE,2,FALSE),VLOOKUP("GLOBAL",V8_COHORT_TABLE,2,FALSE))))</f>
        <v/>
      </c>
      <c r="W76" s="15">
        <f>IFERROR(VLOOKUP(S76,V8_COHORT_TABLE,3,FALSE),IFERROR(VLOOKUP(P76&amp;"|"&amp;Q76&amp;"|ALL",V8_COHORT_TABLE,3,FALSE),IFERROR(VLOOKUP(P76&amp;"|ALL|ALL",V8_COHORT_TABLE,3,FALSE),VLOOKUP("GLOBAL",V8_COHORT_TABLE,3,FALSE))))</f>
        <v/>
      </c>
      <c r="X76" s="15">
        <f>IFERROR(VLOOKUP(S76,V8_COHORT_TABLE,4,FALSE),IFERROR(VLOOKUP(P76&amp;"|"&amp;Q76&amp;"|ALL",V8_COHORT_TABLE,4,FALSE),IFERROR(VLOOKUP(P76&amp;"|ALL|ALL",V8_COHORT_TABLE,4,FALSE),VLOOKUP("GLOBAL",V8_COHORT_TABLE,4,FALSE))))</f>
        <v/>
      </c>
      <c r="Y76" s="15">
        <f>IFERROR(VLOOKUP(S76,V8_COHORT_TABLE,5,FALSE),IFERROR(VLOOKUP(P76&amp;"|"&amp;Q76&amp;"|ALL",V8_COHORT_TABLE,5,FALSE),IFERROR(VLOOKUP(P76&amp;"|ALL|ALL",V8_COHORT_TABLE,5,FALSE),VLOOKUP("GLOBAL",V8_COHORT_TABLE,5,FALSE))))</f>
        <v/>
      </c>
      <c r="Z76" s="15">
        <f>V76+W76/(1+EXP(-(U76-X76)/Y76))</f>
        <v/>
      </c>
      <c r="AA76" s="16">
        <f>1-(1-Z76)^12</f>
        <v/>
      </c>
      <c r="AB76" s="14">
        <f>IF(K76&lt;=V8_AGE_KNOT_X_0,V8_AGE_KNOT_Y_0,IF(K76&gt;=V8_AGE_KNOT_X_5,V8_AGE_KNOT_Y_5,IF(K76&lt;=V8_AGE_KNOT_X_1,V8_AGE_KNOT_Y_0+(K76-V8_AGE_KNOT_X_0)/(V8_AGE_KNOT_X_1-V8_AGE_KNOT_X_0)*(V8_AGE_KNOT_Y_1-V8_AGE_KNOT_Y_0),IF(K76&lt;=V8_AGE_KNOT_X_2,V8_AGE_KNOT_Y_1+(K76-V8_AGE_KNOT_X_1)/(V8_AGE_KNOT_X_2-V8_AGE_KNOT_X_1)*(V8_AGE_KNOT_Y_2-V8_AGE_KNOT_Y_1),IF(K76&lt;=V8_AGE_KNOT_X_3,V8_AGE_KNOT_Y_2+(K76-V8_AGE_KNOT_X_2)/(V8_AGE_KNOT_X_3-V8_AGE_KNOT_X_2)*(V8_AGE_KNOT_Y_3-V8_AGE_KNOT_Y_2),IF(K76&lt;=V8_AGE_KNOT_X_4,V8_AGE_KNOT_Y_3+(K76-V8_AGE_KNOT_X_3)/(V8_AGE_KNOT_X_4-V8_AGE_KNOT_X_3)*(V8_AGE_KNOT_Y_4-V8_AGE_KNOT_Y_3),V8_AGE_KNOT_Y_4+(K76-V8_AGE_KNOT_X_4)/(V8_AGE_KNOT_X_5-V8_AGE_KNOT_X_4)*(V8_AGE_KNOT_Y_5-V8_AGE_KNOT_Y_4)))))))</f>
        <v/>
      </c>
      <c r="AC76" s="14">
        <f>IF(IF(OR(L76="",NOT(ISNUMBER(L76))),360,MAX(0,MIN(480,(INT(L76/100)-INT(VALUE(F76)/100))*12+MOD(L76,100)-MOD(VALUE(F76),100))))&gt;0,1+V8_MTY_AMP*MAX(0,(V8_MTY_CUTOFF-(IF(OR(L76="",NOT(ISNUMBER(L76))),360,MAX(0,MIN(480,(INT(L76/100)-INT(VALUE(F76)/100))*12+MOD(L76,100)-MOD(VALUE(F76),100))))))/V8_MTY_CUTOFF),1)</f>
        <v/>
      </c>
      <c r="AD76" s="14">
        <f>IF(AND(IF(OR(M76="",NOT(ISNUMBER(M76))),0,MAX(0,MIN(24,(INT(VALUE(F76)/100)-INT(M76/100))*12+MOD(VALUE(F76),100)-MOD(M76,100))))&gt;0,IF(OR(M76="",NOT(ISNUMBER(M76))),0,MAX(0,MIN(24,(INT(VALUE(F76)/100)-INT(M76/100))*12+MOD(VALUE(F76),100)-MOD(M76,100))))&lt;=12),1+V8_LOCKOUT_AMP*EXP(-(IF(OR(M76="",NOT(ISNUMBER(M76))),0,MAX(0,MIN(24,(INT(VALUE(F76)/100)-INT(M76/100))*12+MOD(VALUE(F76),100)-MOD(M76,100)))))/V8_LOCKOUT_TAU),1)</f>
        <v/>
      </c>
      <c r="AE76" s="14">
        <f>MAX(V8_BURN_FLOOR,1-V8_BURN_SLOPE*MIN(1,MAX(0,O76)))</f>
        <v/>
      </c>
      <c r="AF76" s="15">
        <f>MIN(Z76*AB76*AC76*AD76*AE76,0.2)</f>
        <v/>
      </c>
      <c r="AG76" s="16">
        <f>1-(1-AF76)^12</f>
        <v/>
      </c>
    </row>
    <row r="77">
      <c r="A77" s="2" t="inlineStr">
        <is>
          <t>000001711151</t>
        </is>
      </c>
      <c r="B77" t="inlineStr">
        <is>
          <t>223f</t>
        </is>
      </c>
      <c r="C77" t="inlineStr">
        <is>
          <t>RP</t>
        </is>
      </c>
      <c r="D77" t="inlineStr">
        <is>
          <t>WALKER &amp; DUNLOP, LLC</t>
        </is>
      </c>
      <c r="E77" t="n">
        <v>2012</v>
      </c>
      <c r="F77" t="inlineStr">
        <is>
          <t>202602</t>
        </is>
      </c>
      <c r="G77" s="8" t="n">
        <v>1567346.24</v>
      </c>
      <c r="H77" s="12" t="n">
        <v>3.33</v>
      </c>
      <c r="I77" s="13" t="n">
        <v>447</v>
      </c>
      <c r="J77" s="13" t="n">
        <v>0</v>
      </c>
      <c r="K77" t="n">
        <v>167</v>
      </c>
      <c r="L77" t="n">
        <v>204705</v>
      </c>
      <c r="M77" t="n">
        <v>201305</v>
      </c>
      <c r="N77" t="n">
        <v>35</v>
      </c>
      <c r="O77" s="14" t="n">
        <v>0.2095808383233533</v>
      </c>
      <c r="P77">
        <f>IF(ISNUMBER(SEARCH("232",B77)),"232",IF(ISNUMBER(SEARCH("538",B77)),"538",IF(ISNUMBER(SEARCH("223a7",B77)),"223a7",IF(ISNUMBER(SEARCH("223f",B77)),"223f","OTHER"))))</f>
        <v/>
      </c>
      <c r="Q77">
        <f>IF(UPPER(C77)="NC","NC","RP")</f>
        <v/>
      </c>
      <c r="R77">
        <f>IF(G77&lt;5000000,"small",IF(G77&lt;25000000,"medium","large"))</f>
        <v/>
      </c>
      <c r="S77">
        <f>P77&amp;"|"&amp;Q77&amp;"|"&amp;R77</f>
        <v/>
      </c>
      <c r="T77" s="13">
        <f>H77*100-I77</f>
        <v/>
      </c>
      <c r="U77" s="13">
        <f>T77-12.5*(J77+1)</f>
        <v/>
      </c>
      <c r="V77" s="15">
        <f>IFERROR(VLOOKUP(S77,V8_COHORT_TABLE,2,FALSE),IFERROR(VLOOKUP(P77&amp;"|"&amp;Q77&amp;"|ALL",V8_COHORT_TABLE,2,FALSE),IFERROR(VLOOKUP(P77&amp;"|ALL|ALL",V8_COHORT_TABLE,2,FALSE),VLOOKUP("GLOBAL",V8_COHORT_TABLE,2,FALSE))))</f>
        <v/>
      </c>
      <c r="W77" s="15">
        <f>IFERROR(VLOOKUP(S77,V8_COHORT_TABLE,3,FALSE),IFERROR(VLOOKUP(P77&amp;"|"&amp;Q77&amp;"|ALL",V8_COHORT_TABLE,3,FALSE),IFERROR(VLOOKUP(P77&amp;"|ALL|ALL",V8_COHORT_TABLE,3,FALSE),VLOOKUP("GLOBAL",V8_COHORT_TABLE,3,FALSE))))</f>
        <v/>
      </c>
      <c r="X77" s="15">
        <f>IFERROR(VLOOKUP(S77,V8_COHORT_TABLE,4,FALSE),IFERROR(VLOOKUP(P77&amp;"|"&amp;Q77&amp;"|ALL",V8_COHORT_TABLE,4,FALSE),IFERROR(VLOOKUP(P77&amp;"|ALL|ALL",V8_COHORT_TABLE,4,FALSE),VLOOKUP("GLOBAL",V8_COHORT_TABLE,4,FALSE))))</f>
        <v/>
      </c>
      <c r="Y77" s="15">
        <f>IFERROR(VLOOKUP(S77,V8_COHORT_TABLE,5,FALSE),IFERROR(VLOOKUP(P77&amp;"|"&amp;Q77&amp;"|ALL",V8_COHORT_TABLE,5,FALSE),IFERROR(VLOOKUP(P77&amp;"|ALL|ALL",V8_COHORT_TABLE,5,FALSE),VLOOKUP("GLOBAL",V8_COHORT_TABLE,5,FALSE))))</f>
        <v/>
      </c>
      <c r="Z77" s="15">
        <f>V77+W77/(1+EXP(-(U77-X77)/Y77))</f>
        <v/>
      </c>
      <c r="AA77" s="16">
        <f>1-(1-Z77)^12</f>
        <v/>
      </c>
      <c r="AB77" s="14">
        <f>IF(K77&lt;=V8_AGE_KNOT_X_0,V8_AGE_KNOT_Y_0,IF(K77&gt;=V8_AGE_KNOT_X_5,V8_AGE_KNOT_Y_5,IF(K77&lt;=V8_AGE_KNOT_X_1,V8_AGE_KNOT_Y_0+(K77-V8_AGE_KNOT_X_0)/(V8_AGE_KNOT_X_1-V8_AGE_KNOT_X_0)*(V8_AGE_KNOT_Y_1-V8_AGE_KNOT_Y_0),IF(K77&lt;=V8_AGE_KNOT_X_2,V8_AGE_KNOT_Y_1+(K77-V8_AGE_KNOT_X_1)/(V8_AGE_KNOT_X_2-V8_AGE_KNOT_X_1)*(V8_AGE_KNOT_Y_2-V8_AGE_KNOT_Y_1),IF(K77&lt;=V8_AGE_KNOT_X_3,V8_AGE_KNOT_Y_2+(K77-V8_AGE_KNOT_X_2)/(V8_AGE_KNOT_X_3-V8_AGE_KNOT_X_2)*(V8_AGE_KNOT_Y_3-V8_AGE_KNOT_Y_2),IF(K77&lt;=V8_AGE_KNOT_X_4,V8_AGE_KNOT_Y_3+(K77-V8_AGE_KNOT_X_3)/(V8_AGE_KNOT_X_4-V8_AGE_KNOT_X_3)*(V8_AGE_KNOT_Y_4-V8_AGE_KNOT_Y_3),V8_AGE_KNOT_Y_4+(K77-V8_AGE_KNOT_X_4)/(V8_AGE_KNOT_X_5-V8_AGE_KNOT_X_4)*(V8_AGE_KNOT_Y_5-V8_AGE_KNOT_Y_4)))))))</f>
        <v/>
      </c>
      <c r="AC77" s="14">
        <f>IF(IF(OR(L77="",NOT(ISNUMBER(L77))),360,MAX(0,MIN(480,(INT(L77/100)-INT(VALUE(F77)/100))*12+MOD(L77,100)-MOD(VALUE(F77),100))))&gt;0,1+V8_MTY_AMP*MAX(0,(V8_MTY_CUTOFF-(IF(OR(L77="",NOT(ISNUMBER(L77))),360,MAX(0,MIN(480,(INT(L77/100)-INT(VALUE(F77)/100))*12+MOD(L77,100)-MOD(VALUE(F77),100))))))/V8_MTY_CUTOFF),1)</f>
        <v/>
      </c>
      <c r="AD77" s="14">
        <f>IF(AND(IF(OR(M77="",NOT(ISNUMBER(M77))),0,MAX(0,MIN(24,(INT(VALUE(F77)/100)-INT(M77/100))*12+MOD(VALUE(F77),100)-MOD(M77,100))))&gt;0,IF(OR(M77="",NOT(ISNUMBER(M77))),0,MAX(0,MIN(24,(INT(VALUE(F77)/100)-INT(M77/100))*12+MOD(VALUE(F77),100)-MOD(M77,100))))&lt;=12),1+V8_LOCKOUT_AMP*EXP(-(IF(OR(M77="",NOT(ISNUMBER(M77))),0,MAX(0,MIN(24,(INT(VALUE(F77)/100)-INT(M77/100))*12+MOD(VALUE(F77),100)-MOD(M77,100)))))/V8_LOCKOUT_TAU),1)</f>
        <v/>
      </c>
      <c r="AE77" s="14">
        <f>MAX(V8_BURN_FLOOR,1-V8_BURN_SLOPE*MIN(1,MAX(0,O77)))</f>
        <v/>
      </c>
      <c r="AF77" s="15">
        <f>MIN(Z77*AB77*AC77*AD77*AE77,0.2)</f>
        <v/>
      </c>
      <c r="AG77" s="16">
        <f>1-(1-AF77)^12</f>
        <v/>
      </c>
    </row>
    <row r="78">
      <c r="A78" s="2" t="inlineStr">
        <is>
          <t>000012111176</t>
        </is>
      </c>
      <c r="B78" t="inlineStr">
        <is>
          <t>223f</t>
        </is>
      </c>
      <c r="C78" t="inlineStr">
        <is>
          <t>RP</t>
        </is>
      </c>
      <c r="D78" t="inlineStr">
        <is>
          <t>WALKER &amp; DUNLOP, LLC</t>
        </is>
      </c>
      <c r="E78" t="n">
        <v>2013</v>
      </c>
      <c r="F78" t="inlineStr">
        <is>
          <t>202602</t>
        </is>
      </c>
      <c r="G78" s="8" t="n">
        <v>4626699.62</v>
      </c>
      <c r="H78" s="12" t="n">
        <v>4.35</v>
      </c>
      <c r="I78" s="13" t="n">
        <v>447</v>
      </c>
      <c r="J78" s="13" t="n">
        <v>0</v>
      </c>
      <c r="K78" t="n">
        <v>146</v>
      </c>
      <c r="L78" t="n">
        <v>204904</v>
      </c>
      <c r="M78" t="n">
        <v>201605</v>
      </c>
      <c r="N78" t="n">
        <v>41</v>
      </c>
      <c r="O78" s="14" t="n">
        <v>0.2808219178082192</v>
      </c>
      <c r="P78">
        <f>IF(ISNUMBER(SEARCH("232",B78)),"232",IF(ISNUMBER(SEARCH("538",B78)),"538",IF(ISNUMBER(SEARCH("223a7",B78)),"223a7",IF(ISNUMBER(SEARCH("223f",B78)),"223f","OTHER"))))</f>
        <v/>
      </c>
      <c r="Q78">
        <f>IF(UPPER(C78)="NC","NC","RP")</f>
        <v/>
      </c>
      <c r="R78">
        <f>IF(G78&lt;5000000,"small",IF(G78&lt;25000000,"medium","large"))</f>
        <v/>
      </c>
      <c r="S78">
        <f>P78&amp;"|"&amp;Q78&amp;"|"&amp;R78</f>
        <v/>
      </c>
      <c r="T78" s="13">
        <f>H78*100-I78</f>
        <v/>
      </c>
      <c r="U78" s="13">
        <f>T78-12.5*(J78+1)</f>
        <v/>
      </c>
      <c r="V78" s="15">
        <f>IFERROR(VLOOKUP(S78,V8_COHORT_TABLE,2,FALSE),IFERROR(VLOOKUP(P78&amp;"|"&amp;Q78&amp;"|ALL",V8_COHORT_TABLE,2,FALSE),IFERROR(VLOOKUP(P78&amp;"|ALL|ALL",V8_COHORT_TABLE,2,FALSE),VLOOKUP("GLOBAL",V8_COHORT_TABLE,2,FALSE))))</f>
        <v/>
      </c>
      <c r="W78" s="15">
        <f>IFERROR(VLOOKUP(S78,V8_COHORT_TABLE,3,FALSE),IFERROR(VLOOKUP(P78&amp;"|"&amp;Q78&amp;"|ALL",V8_COHORT_TABLE,3,FALSE),IFERROR(VLOOKUP(P78&amp;"|ALL|ALL",V8_COHORT_TABLE,3,FALSE),VLOOKUP("GLOBAL",V8_COHORT_TABLE,3,FALSE))))</f>
        <v/>
      </c>
      <c r="X78" s="15">
        <f>IFERROR(VLOOKUP(S78,V8_COHORT_TABLE,4,FALSE),IFERROR(VLOOKUP(P78&amp;"|"&amp;Q78&amp;"|ALL",V8_COHORT_TABLE,4,FALSE),IFERROR(VLOOKUP(P78&amp;"|ALL|ALL",V8_COHORT_TABLE,4,FALSE),VLOOKUP("GLOBAL",V8_COHORT_TABLE,4,FALSE))))</f>
        <v/>
      </c>
      <c r="Y78" s="15">
        <f>IFERROR(VLOOKUP(S78,V8_COHORT_TABLE,5,FALSE),IFERROR(VLOOKUP(P78&amp;"|"&amp;Q78&amp;"|ALL",V8_COHORT_TABLE,5,FALSE),IFERROR(VLOOKUP(P78&amp;"|ALL|ALL",V8_COHORT_TABLE,5,FALSE),VLOOKUP("GLOBAL",V8_COHORT_TABLE,5,FALSE))))</f>
        <v/>
      </c>
      <c r="Z78" s="15">
        <f>V78+W78/(1+EXP(-(U78-X78)/Y78))</f>
        <v/>
      </c>
      <c r="AA78" s="16">
        <f>1-(1-Z78)^12</f>
        <v/>
      </c>
      <c r="AB78" s="14">
        <f>IF(K78&lt;=V8_AGE_KNOT_X_0,V8_AGE_KNOT_Y_0,IF(K78&gt;=V8_AGE_KNOT_X_5,V8_AGE_KNOT_Y_5,IF(K78&lt;=V8_AGE_KNOT_X_1,V8_AGE_KNOT_Y_0+(K78-V8_AGE_KNOT_X_0)/(V8_AGE_KNOT_X_1-V8_AGE_KNOT_X_0)*(V8_AGE_KNOT_Y_1-V8_AGE_KNOT_Y_0),IF(K78&lt;=V8_AGE_KNOT_X_2,V8_AGE_KNOT_Y_1+(K78-V8_AGE_KNOT_X_1)/(V8_AGE_KNOT_X_2-V8_AGE_KNOT_X_1)*(V8_AGE_KNOT_Y_2-V8_AGE_KNOT_Y_1),IF(K78&lt;=V8_AGE_KNOT_X_3,V8_AGE_KNOT_Y_2+(K78-V8_AGE_KNOT_X_2)/(V8_AGE_KNOT_X_3-V8_AGE_KNOT_X_2)*(V8_AGE_KNOT_Y_3-V8_AGE_KNOT_Y_2),IF(K78&lt;=V8_AGE_KNOT_X_4,V8_AGE_KNOT_Y_3+(K78-V8_AGE_KNOT_X_3)/(V8_AGE_KNOT_X_4-V8_AGE_KNOT_X_3)*(V8_AGE_KNOT_Y_4-V8_AGE_KNOT_Y_3),V8_AGE_KNOT_Y_4+(K78-V8_AGE_KNOT_X_4)/(V8_AGE_KNOT_X_5-V8_AGE_KNOT_X_4)*(V8_AGE_KNOT_Y_5-V8_AGE_KNOT_Y_4)))))))</f>
        <v/>
      </c>
      <c r="AC78" s="14">
        <f>IF(IF(OR(L78="",NOT(ISNUMBER(L78))),360,MAX(0,MIN(480,(INT(L78/100)-INT(VALUE(F78)/100))*12+MOD(L78,100)-MOD(VALUE(F78),100))))&gt;0,1+V8_MTY_AMP*MAX(0,(V8_MTY_CUTOFF-(IF(OR(L78="",NOT(ISNUMBER(L78))),360,MAX(0,MIN(480,(INT(L78/100)-INT(VALUE(F78)/100))*12+MOD(L78,100)-MOD(VALUE(F78),100))))))/V8_MTY_CUTOFF),1)</f>
        <v/>
      </c>
      <c r="AD78" s="14">
        <f>IF(AND(IF(OR(M78="",NOT(ISNUMBER(M78))),0,MAX(0,MIN(24,(INT(VALUE(F78)/100)-INT(M78/100))*12+MOD(VALUE(F78),100)-MOD(M78,100))))&gt;0,IF(OR(M78="",NOT(ISNUMBER(M78))),0,MAX(0,MIN(24,(INT(VALUE(F78)/100)-INT(M78/100))*12+MOD(VALUE(F78),100)-MOD(M78,100))))&lt;=12),1+V8_LOCKOUT_AMP*EXP(-(IF(OR(M78="",NOT(ISNUMBER(M78))),0,MAX(0,MIN(24,(INT(VALUE(F78)/100)-INT(M78/100))*12+MOD(VALUE(F78),100)-MOD(M78,100)))))/V8_LOCKOUT_TAU),1)</f>
        <v/>
      </c>
      <c r="AE78" s="14">
        <f>MAX(V8_BURN_FLOOR,1-V8_BURN_SLOPE*MIN(1,MAX(0,O78)))</f>
        <v/>
      </c>
      <c r="AF78" s="15">
        <f>MIN(Z78*AB78*AC78*AD78*AE78,0.2)</f>
        <v/>
      </c>
      <c r="AG78" s="16">
        <f>1-(1-AF78)^12</f>
        <v/>
      </c>
    </row>
    <row r="79">
      <c r="A79" s="2" t="inlineStr">
        <is>
          <t>000012722086</t>
        </is>
      </c>
      <c r="B79" t="inlineStr">
        <is>
          <t>232</t>
        </is>
      </c>
      <c r="C79" t="inlineStr">
        <is>
          <t>RP</t>
        </is>
      </c>
      <c r="D79" t="inlineStr">
        <is>
          <t>WALKER &amp; DUNLOP, LLC</t>
        </is>
      </c>
      <c r="E79" t="n">
        <v>2012</v>
      </c>
      <c r="F79" t="inlineStr">
        <is>
          <t>202602</t>
        </is>
      </c>
      <c r="G79" s="8" t="n">
        <v>2391566.61</v>
      </c>
      <c r="H79" s="12" t="n">
        <v>2.8</v>
      </c>
      <c r="I79" s="13" t="n">
        <v>447</v>
      </c>
      <c r="J79" s="13" t="n">
        <v>0</v>
      </c>
      <c r="K79" t="n">
        <v>164</v>
      </c>
      <c r="L79" t="n">
        <v>203708</v>
      </c>
      <c r="M79" t="n">
        <v>201308</v>
      </c>
      <c r="N79" t="n">
        <v>26</v>
      </c>
      <c r="O79" s="14" t="n">
        <v>0.1585365853658537</v>
      </c>
      <c r="P79">
        <f>IF(ISNUMBER(SEARCH("232",B79)),"232",IF(ISNUMBER(SEARCH("538",B79)),"538",IF(ISNUMBER(SEARCH("223a7",B79)),"223a7",IF(ISNUMBER(SEARCH("223f",B79)),"223f","OTHER"))))</f>
        <v/>
      </c>
      <c r="Q79">
        <f>IF(UPPER(C79)="NC","NC","RP")</f>
        <v/>
      </c>
      <c r="R79">
        <f>IF(G79&lt;5000000,"small",IF(G79&lt;25000000,"medium","large"))</f>
        <v/>
      </c>
      <c r="S79">
        <f>P79&amp;"|"&amp;Q79&amp;"|"&amp;R79</f>
        <v/>
      </c>
      <c r="T79" s="13">
        <f>H79*100-I79</f>
        <v/>
      </c>
      <c r="U79" s="13">
        <f>T79-12.5*(J79+1)</f>
        <v/>
      </c>
      <c r="V79" s="15">
        <f>IFERROR(VLOOKUP(S79,V8_COHORT_TABLE,2,FALSE),IFERROR(VLOOKUP(P79&amp;"|"&amp;Q79&amp;"|ALL",V8_COHORT_TABLE,2,FALSE),IFERROR(VLOOKUP(P79&amp;"|ALL|ALL",V8_COHORT_TABLE,2,FALSE),VLOOKUP("GLOBAL",V8_COHORT_TABLE,2,FALSE))))</f>
        <v/>
      </c>
      <c r="W79" s="15">
        <f>IFERROR(VLOOKUP(S79,V8_COHORT_TABLE,3,FALSE),IFERROR(VLOOKUP(P79&amp;"|"&amp;Q79&amp;"|ALL",V8_COHORT_TABLE,3,FALSE),IFERROR(VLOOKUP(P79&amp;"|ALL|ALL",V8_COHORT_TABLE,3,FALSE),VLOOKUP("GLOBAL",V8_COHORT_TABLE,3,FALSE))))</f>
        <v/>
      </c>
      <c r="X79" s="15">
        <f>IFERROR(VLOOKUP(S79,V8_COHORT_TABLE,4,FALSE),IFERROR(VLOOKUP(P79&amp;"|"&amp;Q79&amp;"|ALL",V8_COHORT_TABLE,4,FALSE),IFERROR(VLOOKUP(P79&amp;"|ALL|ALL",V8_COHORT_TABLE,4,FALSE),VLOOKUP("GLOBAL",V8_COHORT_TABLE,4,FALSE))))</f>
        <v/>
      </c>
      <c r="Y79" s="15">
        <f>IFERROR(VLOOKUP(S79,V8_COHORT_TABLE,5,FALSE),IFERROR(VLOOKUP(P79&amp;"|"&amp;Q79&amp;"|ALL",V8_COHORT_TABLE,5,FALSE),IFERROR(VLOOKUP(P79&amp;"|ALL|ALL",V8_COHORT_TABLE,5,FALSE),VLOOKUP("GLOBAL",V8_COHORT_TABLE,5,FALSE))))</f>
        <v/>
      </c>
      <c r="Z79" s="15">
        <f>V79+W79/(1+EXP(-(U79-X79)/Y79))</f>
        <v/>
      </c>
      <c r="AA79" s="16">
        <f>1-(1-Z79)^12</f>
        <v/>
      </c>
      <c r="AB79" s="14">
        <f>IF(K79&lt;=V8_AGE_KNOT_X_0,V8_AGE_KNOT_Y_0,IF(K79&gt;=V8_AGE_KNOT_X_5,V8_AGE_KNOT_Y_5,IF(K79&lt;=V8_AGE_KNOT_X_1,V8_AGE_KNOT_Y_0+(K79-V8_AGE_KNOT_X_0)/(V8_AGE_KNOT_X_1-V8_AGE_KNOT_X_0)*(V8_AGE_KNOT_Y_1-V8_AGE_KNOT_Y_0),IF(K79&lt;=V8_AGE_KNOT_X_2,V8_AGE_KNOT_Y_1+(K79-V8_AGE_KNOT_X_1)/(V8_AGE_KNOT_X_2-V8_AGE_KNOT_X_1)*(V8_AGE_KNOT_Y_2-V8_AGE_KNOT_Y_1),IF(K79&lt;=V8_AGE_KNOT_X_3,V8_AGE_KNOT_Y_2+(K79-V8_AGE_KNOT_X_2)/(V8_AGE_KNOT_X_3-V8_AGE_KNOT_X_2)*(V8_AGE_KNOT_Y_3-V8_AGE_KNOT_Y_2),IF(K79&lt;=V8_AGE_KNOT_X_4,V8_AGE_KNOT_Y_3+(K79-V8_AGE_KNOT_X_3)/(V8_AGE_KNOT_X_4-V8_AGE_KNOT_X_3)*(V8_AGE_KNOT_Y_4-V8_AGE_KNOT_Y_3),V8_AGE_KNOT_Y_4+(K79-V8_AGE_KNOT_X_4)/(V8_AGE_KNOT_X_5-V8_AGE_KNOT_X_4)*(V8_AGE_KNOT_Y_5-V8_AGE_KNOT_Y_4)))))))</f>
        <v/>
      </c>
      <c r="AC79" s="14">
        <f>IF(IF(OR(L79="",NOT(ISNUMBER(L79))),360,MAX(0,MIN(480,(INT(L79/100)-INT(VALUE(F79)/100))*12+MOD(L79,100)-MOD(VALUE(F79),100))))&gt;0,1+V8_MTY_AMP*MAX(0,(V8_MTY_CUTOFF-(IF(OR(L79="",NOT(ISNUMBER(L79))),360,MAX(0,MIN(480,(INT(L79/100)-INT(VALUE(F79)/100))*12+MOD(L79,100)-MOD(VALUE(F79),100))))))/V8_MTY_CUTOFF),1)</f>
        <v/>
      </c>
      <c r="AD79" s="14">
        <f>IF(AND(IF(OR(M79="",NOT(ISNUMBER(M79))),0,MAX(0,MIN(24,(INT(VALUE(F79)/100)-INT(M79/100))*12+MOD(VALUE(F79),100)-MOD(M79,100))))&gt;0,IF(OR(M79="",NOT(ISNUMBER(M79))),0,MAX(0,MIN(24,(INT(VALUE(F79)/100)-INT(M79/100))*12+MOD(VALUE(F79),100)-MOD(M79,100))))&lt;=12),1+V8_LOCKOUT_AMP*EXP(-(IF(OR(M79="",NOT(ISNUMBER(M79))),0,MAX(0,MIN(24,(INT(VALUE(F79)/100)-INT(M79/100))*12+MOD(VALUE(F79),100)-MOD(M79,100)))))/V8_LOCKOUT_TAU),1)</f>
        <v/>
      </c>
      <c r="AE79" s="14">
        <f>MAX(V8_BURN_FLOOR,1-V8_BURN_SLOPE*MIN(1,MAX(0,O79)))</f>
        <v/>
      </c>
      <c r="AF79" s="15">
        <f>MIN(Z79*AB79*AC79*AD79*AE79,0.2)</f>
        <v/>
      </c>
      <c r="AG79" s="16">
        <f>1-(1-AF79)^12</f>
        <v/>
      </c>
    </row>
    <row r="80">
      <c r="A80" s="2" t="inlineStr">
        <is>
          <t>000002311546</t>
        </is>
      </c>
      <c r="B80" t="inlineStr">
        <is>
          <t>223f</t>
        </is>
      </c>
      <c r="C80" t="inlineStr">
        <is>
          <t>RP</t>
        </is>
      </c>
      <c r="D80" t="inlineStr">
        <is>
          <t>WALKER &amp; DUNLOP, LLC</t>
        </is>
      </c>
      <c r="E80" t="n">
        <v>2020</v>
      </c>
      <c r="F80" t="inlineStr">
        <is>
          <t>202602</t>
        </is>
      </c>
      <c r="G80" s="8" t="n">
        <v>5130860.07</v>
      </c>
      <c r="H80" s="12" t="n">
        <v>2.55</v>
      </c>
      <c r="I80" s="13" t="n">
        <v>447</v>
      </c>
      <c r="J80" s="13" t="n">
        <v>5</v>
      </c>
      <c r="K80" t="n">
        <v>68</v>
      </c>
      <c r="L80" t="n">
        <v>205507</v>
      </c>
      <c r="M80" t="inlineStr"/>
      <c r="N80" t="n">
        <v>0</v>
      </c>
      <c r="O80" s="14" t="n">
        <v>0</v>
      </c>
      <c r="P80">
        <f>IF(ISNUMBER(SEARCH("232",B80)),"232",IF(ISNUMBER(SEARCH("538",B80)),"538",IF(ISNUMBER(SEARCH("223a7",B80)),"223a7",IF(ISNUMBER(SEARCH("223f",B80)),"223f","OTHER"))))</f>
        <v/>
      </c>
      <c r="Q80">
        <f>IF(UPPER(C80)="NC","NC","RP")</f>
        <v/>
      </c>
      <c r="R80">
        <f>IF(G80&lt;5000000,"small",IF(G80&lt;25000000,"medium","large"))</f>
        <v/>
      </c>
      <c r="S80">
        <f>P80&amp;"|"&amp;Q80&amp;"|"&amp;R80</f>
        <v/>
      </c>
      <c r="T80" s="13">
        <f>H80*100-I80</f>
        <v/>
      </c>
      <c r="U80" s="13">
        <f>T80-12.5*(J80+1)</f>
        <v/>
      </c>
      <c r="V80" s="15">
        <f>IFERROR(VLOOKUP(S80,V8_COHORT_TABLE,2,FALSE),IFERROR(VLOOKUP(P80&amp;"|"&amp;Q80&amp;"|ALL",V8_COHORT_TABLE,2,FALSE),IFERROR(VLOOKUP(P80&amp;"|ALL|ALL",V8_COHORT_TABLE,2,FALSE),VLOOKUP("GLOBAL",V8_COHORT_TABLE,2,FALSE))))</f>
        <v/>
      </c>
      <c r="W80" s="15">
        <f>IFERROR(VLOOKUP(S80,V8_COHORT_TABLE,3,FALSE),IFERROR(VLOOKUP(P80&amp;"|"&amp;Q80&amp;"|ALL",V8_COHORT_TABLE,3,FALSE),IFERROR(VLOOKUP(P80&amp;"|ALL|ALL",V8_COHORT_TABLE,3,FALSE),VLOOKUP("GLOBAL",V8_COHORT_TABLE,3,FALSE))))</f>
        <v/>
      </c>
      <c r="X80" s="15">
        <f>IFERROR(VLOOKUP(S80,V8_COHORT_TABLE,4,FALSE),IFERROR(VLOOKUP(P80&amp;"|"&amp;Q80&amp;"|ALL",V8_COHORT_TABLE,4,FALSE),IFERROR(VLOOKUP(P80&amp;"|ALL|ALL",V8_COHORT_TABLE,4,FALSE),VLOOKUP("GLOBAL",V8_COHORT_TABLE,4,FALSE))))</f>
        <v/>
      </c>
      <c r="Y80" s="15">
        <f>IFERROR(VLOOKUP(S80,V8_COHORT_TABLE,5,FALSE),IFERROR(VLOOKUP(P80&amp;"|"&amp;Q80&amp;"|ALL",V8_COHORT_TABLE,5,FALSE),IFERROR(VLOOKUP(P80&amp;"|ALL|ALL",V8_COHORT_TABLE,5,FALSE),VLOOKUP("GLOBAL",V8_COHORT_TABLE,5,FALSE))))</f>
        <v/>
      </c>
      <c r="Z80" s="15">
        <f>V80+W80/(1+EXP(-(U80-X80)/Y80))</f>
        <v/>
      </c>
      <c r="AA80" s="16">
        <f>1-(1-Z80)^12</f>
        <v/>
      </c>
      <c r="AB80" s="14">
        <f>IF(K80&lt;=V8_AGE_KNOT_X_0,V8_AGE_KNOT_Y_0,IF(K80&gt;=V8_AGE_KNOT_X_5,V8_AGE_KNOT_Y_5,IF(K80&lt;=V8_AGE_KNOT_X_1,V8_AGE_KNOT_Y_0+(K80-V8_AGE_KNOT_X_0)/(V8_AGE_KNOT_X_1-V8_AGE_KNOT_X_0)*(V8_AGE_KNOT_Y_1-V8_AGE_KNOT_Y_0),IF(K80&lt;=V8_AGE_KNOT_X_2,V8_AGE_KNOT_Y_1+(K80-V8_AGE_KNOT_X_1)/(V8_AGE_KNOT_X_2-V8_AGE_KNOT_X_1)*(V8_AGE_KNOT_Y_2-V8_AGE_KNOT_Y_1),IF(K80&lt;=V8_AGE_KNOT_X_3,V8_AGE_KNOT_Y_2+(K80-V8_AGE_KNOT_X_2)/(V8_AGE_KNOT_X_3-V8_AGE_KNOT_X_2)*(V8_AGE_KNOT_Y_3-V8_AGE_KNOT_Y_2),IF(K80&lt;=V8_AGE_KNOT_X_4,V8_AGE_KNOT_Y_3+(K80-V8_AGE_KNOT_X_3)/(V8_AGE_KNOT_X_4-V8_AGE_KNOT_X_3)*(V8_AGE_KNOT_Y_4-V8_AGE_KNOT_Y_3),V8_AGE_KNOT_Y_4+(K80-V8_AGE_KNOT_X_4)/(V8_AGE_KNOT_X_5-V8_AGE_KNOT_X_4)*(V8_AGE_KNOT_Y_5-V8_AGE_KNOT_Y_4)))))))</f>
        <v/>
      </c>
      <c r="AC80" s="14">
        <f>IF(IF(OR(L80="",NOT(ISNUMBER(L80))),360,MAX(0,MIN(480,(INT(L80/100)-INT(VALUE(F80)/100))*12+MOD(L80,100)-MOD(VALUE(F80),100))))&gt;0,1+V8_MTY_AMP*MAX(0,(V8_MTY_CUTOFF-(IF(OR(L80="",NOT(ISNUMBER(L80))),360,MAX(0,MIN(480,(INT(L80/100)-INT(VALUE(F80)/100))*12+MOD(L80,100)-MOD(VALUE(F80),100))))))/V8_MTY_CUTOFF),1)</f>
        <v/>
      </c>
      <c r="AD80" s="14">
        <f>IF(AND(IF(OR(M80="",NOT(ISNUMBER(M80))),0,MAX(0,MIN(24,(INT(VALUE(F80)/100)-INT(M80/100))*12+MOD(VALUE(F80),100)-MOD(M80,100))))&gt;0,IF(OR(M80="",NOT(ISNUMBER(M80))),0,MAX(0,MIN(24,(INT(VALUE(F80)/100)-INT(M80/100))*12+MOD(VALUE(F80),100)-MOD(M80,100))))&lt;=12),1+V8_LOCKOUT_AMP*EXP(-(IF(OR(M80="",NOT(ISNUMBER(M80))),0,MAX(0,MIN(24,(INT(VALUE(F80)/100)-INT(M80/100))*12+MOD(VALUE(F80),100)-MOD(M80,100)))))/V8_LOCKOUT_TAU),1)</f>
        <v/>
      </c>
      <c r="AE80" s="14">
        <f>MAX(V8_BURN_FLOOR,1-V8_BURN_SLOPE*MIN(1,MAX(0,O80)))</f>
        <v/>
      </c>
      <c r="AF80" s="15">
        <f>MIN(Z80*AB80*AC80*AD80*AE80,0.2)</f>
        <v/>
      </c>
      <c r="AG80" s="16">
        <f>1-(1-AF80)^12</f>
        <v/>
      </c>
    </row>
    <row r="81">
      <c r="A81" s="2" t="inlineStr">
        <is>
          <t>000001711123</t>
        </is>
      </c>
      <c r="B81" t="inlineStr">
        <is>
          <t>223f</t>
        </is>
      </c>
      <c r="C81" t="inlineStr">
        <is>
          <t>RP</t>
        </is>
      </c>
      <c r="D81" t="inlineStr">
        <is>
          <t>WALKER &amp; DUNLOP, LLC</t>
        </is>
      </c>
      <c r="E81" t="n">
        <v>2010</v>
      </c>
      <c r="F81" t="inlineStr">
        <is>
          <t>202602</t>
        </is>
      </c>
      <c r="G81" s="8" t="n">
        <v>1165207.31</v>
      </c>
      <c r="H81" s="12" t="n">
        <v>4.6</v>
      </c>
      <c r="I81" s="13" t="n">
        <v>447</v>
      </c>
      <c r="J81" s="13" t="n">
        <v>0</v>
      </c>
      <c r="K81" t="n">
        <v>189</v>
      </c>
      <c r="L81" t="n">
        <v>204507</v>
      </c>
      <c r="M81" t="n">
        <v>201207</v>
      </c>
      <c r="N81" t="n">
        <v>47</v>
      </c>
      <c r="O81" s="14" t="n">
        <v>0.2486772486772487</v>
      </c>
      <c r="P81">
        <f>IF(ISNUMBER(SEARCH("232",B81)),"232",IF(ISNUMBER(SEARCH("538",B81)),"538",IF(ISNUMBER(SEARCH("223a7",B81)),"223a7",IF(ISNUMBER(SEARCH("223f",B81)),"223f","OTHER"))))</f>
        <v/>
      </c>
      <c r="Q81">
        <f>IF(UPPER(C81)="NC","NC","RP")</f>
        <v/>
      </c>
      <c r="R81">
        <f>IF(G81&lt;5000000,"small",IF(G81&lt;25000000,"medium","large"))</f>
        <v/>
      </c>
      <c r="S81">
        <f>P81&amp;"|"&amp;Q81&amp;"|"&amp;R81</f>
        <v/>
      </c>
      <c r="T81" s="13">
        <f>H81*100-I81</f>
        <v/>
      </c>
      <c r="U81" s="13">
        <f>T81-12.5*(J81+1)</f>
        <v/>
      </c>
      <c r="V81" s="15">
        <f>IFERROR(VLOOKUP(S81,V8_COHORT_TABLE,2,FALSE),IFERROR(VLOOKUP(P81&amp;"|"&amp;Q81&amp;"|ALL",V8_COHORT_TABLE,2,FALSE),IFERROR(VLOOKUP(P81&amp;"|ALL|ALL",V8_COHORT_TABLE,2,FALSE),VLOOKUP("GLOBAL",V8_COHORT_TABLE,2,FALSE))))</f>
        <v/>
      </c>
      <c r="W81" s="15">
        <f>IFERROR(VLOOKUP(S81,V8_COHORT_TABLE,3,FALSE),IFERROR(VLOOKUP(P81&amp;"|"&amp;Q81&amp;"|ALL",V8_COHORT_TABLE,3,FALSE),IFERROR(VLOOKUP(P81&amp;"|ALL|ALL",V8_COHORT_TABLE,3,FALSE),VLOOKUP("GLOBAL",V8_COHORT_TABLE,3,FALSE))))</f>
        <v/>
      </c>
      <c r="X81" s="15">
        <f>IFERROR(VLOOKUP(S81,V8_COHORT_TABLE,4,FALSE),IFERROR(VLOOKUP(P81&amp;"|"&amp;Q81&amp;"|ALL",V8_COHORT_TABLE,4,FALSE),IFERROR(VLOOKUP(P81&amp;"|ALL|ALL",V8_COHORT_TABLE,4,FALSE),VLOOKUP("GLOBAL",V8_COHORT_TABLE,4,FALSE))))</f>
        <v/>
      </c>
      <c r="Y81" s="15">
        <f>IFERROR(VLOOKUP(S81,V8_COHORT_TABLE,5,FALSE),IFERROR(VLOOKUP(P81&amp;"|"&amp;Q81&amp;"|ALL",V8_COHORT_TABLE,5,FALSE),IFERROR(VLOOKUP(P81&amp;"|ALL|ALL",V8_COHORT_TABLE,5,FALSE),VLOOKUP("GLOBAL",V8_COHORT_TABLE,5,FALSE))))</f>
        <v/>
      </c>
      <c r="Z81" s="15">
        <f>V81+W81/(1+EXP(-(U81-X81)/Y81))</f>
        <v/>
      </c>
      <c r="AA81" s="16">
        <f>1-(1-Z81)^12</f>
        <v/>
      </c>
      <c r="AB81" s="14">
        <f>IF(K81&lt;=V8_AGE_KNOT_X_0,V8_AGE_KNOT_Y_0,IF(K81&gt;=V8_AGE_KNOT_X_5,V8_AGE_KNOT_Y_5,IF(K81&lt;=V8_AGE_KNOT_X_1,V8_AGE_KNOT_Y_0+(K81-V8_AGE_KNOT_X_0)/(V8_AGE_KNOT_X_1-V8_AGE_KNOT_X_0)*(V8_AGE_KNOT_Y_1-V8_AGE_KNOT_Y_0),IF(K81&lt;=V8_AGE_KNOT_X_2,V8_AGE_KNOT_Y_1+(K81-V8_AGE_KNOT_X_1)/(V8_AGE_KNOT_X_2-V8_AGE_KNOT_X_1)*(V8_AGE_KNOT_Y_2-V8_AGE_KNOT_Y_1),IF(K81&lt;=V8_AGE_KNOT_X_3,V8_AGE_KNOT_Y_2+(K81-V8_AGE_KNOT_X_2)/(V8_AGE_KNOT_X_3-V8_AGE_KNOT_X_2)*(V8_AGE_KNOT_Y_3-V8_AGE_KNOT_Y_2),IF(K81&lt;=V8_AGE_KNOT_X_4,V8_AGE_KNOT_Y_3+(K81-V8_AGE_KNOT_X_3)/(V8_AGE_KNOT_X_4-V8_AGE_KNOT_X_3)*(V8_AGE_KNOT_Y_4-V8_AGE_KNOT_Y_3),V8_AGE_KNOT_Y_4+(K81-V8_AGE_KNOT_X_4)/(V8_AGE_KNOT_X_5-V8_AGE_KNOT_X_4)*(V8_AGE_KNOT_Y_5-V8_AGE_KNOT_Y_4)))))))</f>
        <v/>
      </c>
      <c r="AC81" s="14">
        <f>IF(IF(OR(L81="",NOT(ISNUMBER(L81))),360,MAX(0,MIN(480,(INT(L81/100)-INT(VALUE(F81)/100))*12+MOD(L81,100)-MOD(VALUE(F81),100))))&gt;0,1+V8_MTY_AMP*MAX(0,(V8_MTY_CUTOFF-(IF(OR(L81="",NOT(ISNUMBER(L81))),360,MAX(0,MIN(480,(INT(L81/100)-INT(VALUE(F81)/100))*12+MOD(L81,100)-MOD(VALUE(F81),100))))))/V8_MTY_CUTOFF),1)</f>
        <v/>
      </c>
      <c r="AD81" s="14">
        <f>IF(AND(IF(OR(M81="",NOT(ISNUMBER(M81))),0,MAX(0,MIN(24,(INT(VALUE(F81)/100)-INT(M81/100))*12+MOD(VALUE(F81),100)-MOD(M81,100))))&gt;0,IF(OR(M81="",NOT(ISNUMBER(M81))),0,MAX(0,MIN(24,(INT(VALUE(F81)/100)-INT(M81/100))*12+MOD(VALUE(F81),100)-MOD(M81,100))))&lt;=12),1+V8_LOCKOUT_AMP*EXP(-(IF(OR(M81="",NOT(ISNUMBER(M81))),0,MAX(0,MIN(24,(INT(VALUE(F81)/100)-INT(M81/100))*12+MOD(VALUE(F81),100)-MOD(M81,100)))))/V8_LOCKOUT_TAU),1)</f>
        <v/>
      </c>
      <c r="AE81" s="14">
        <f>MAX(V8_BURN_FLOOR,1-V8_BURN_SLOPE*MIN(1,MAX(0,O81)))</f>
        <v/>
      </c>
      <c r="AF81" s="15">
        <f>MIN(Z81*AB81*AC81*AD81*AE81,0.2)</f>
        <v/>
      </c>
      <c r="AG81" s="16">
        <f>1-(1-AF81)^12</f>
        <v/>
      </c>
    </row>
    <row r="82">
      <c r="A82" s="2" t="inlineStr">
        <is>
          <t>000008111083</t>
        </is>
      </c>
      <c r="B82" t="inlineStr">
        <is>
          <t>223f</t>
        </is>
      </c>
      <c r="C82" t="inlineStr">
        <is>
          <t>RP</t>
        </is>
      </c>
      <c r="D82" t="inlineStr">
        <is>
          <t>WALKER &amp; DUNLOP, LLC</t>
        </is>
      </c>
      <c r="E82" t="n">
        <v>2013</v>
      </c>
      <c r="F82" t="inlineStr">
        <is>
          <t>202602</t>
        </is>
      </c>
      <c r="G82" s="8" t="n">
        <v>696510.77</v>
      </c>
      <c r="H82" s="12" t="n">
        <v>2.97</v>
      </c>
      <c r="I82" s="13" t="n">
        <v>447</v>
      </c>
      <c r="J82" s="13" t="n">
        <v>0</v>
      </c>
      <c r="K82" t="n">
        <v>152</v>
      </c>
      <c r="L82" t="n">
        <v>204307</v>
      </c>
      <c r="M82" t="inlineStr"/>
      <c r="N82" t="n">
        <v>27</v>
      </c>
      <c r="O82" s="14" t="n">
        <v>0.1776315789473684</v>
      </c>
      <c r="P82">
        <f>IF(ISNUMBER(SEARCH("232",B82)),"232",IF(ISNUMBER(SEARCH("538",B82)),"538",IF(ISNUMBER(SEARCH("223a7",B82)),"223a7",IF(ISNUMBER(SEARCH("223f",B82)),"223f","OTHER"))))</f>
        <v/>
      </c>
      <c r="Q82">
        <f>IF(UPPER(C82)="NC","NC","RP")</f>
        <v/>
      </c>
      <c r="R82">
        <f>IF(G82&lt;5000000,"small",IF(G82&lt;25000000,"medium","large"))</f>
        <v/>
      </c>
      <c r="S82">
        <f>P82&amp;"|"&amp;Q82&amp;"|"&amp;R82</f>
        <v/>
      </c>
      <c r="T82" s="13">
        <f>H82*100-I82</f>
        <v/>
      </c>
      <c r="U82" s="13">
        <f>T82-12.5*(J82+1)</f>
        <v/>
      </c>
      <c r="V82" s="15">
        <f>IFERROR(VLOOKUP(S82,V8_COHORT_TABLE,2,FALSE),IFERROR(VLOOKUP(P82&amp;"|"&amp;Q82&amp;"|ALL",V8_COHORT_TABLE,2,FALSE),IFERROR(VLOOKUP(P82&amp;"|ALL|ALL",V8_COHORT_TABLE,2,FALSE),VLOOKUP("GLOBAL",V8_COHORT_TABLE,2,FALSE))))</f>
        <v/>
      </c>
      <c r="W82" s="15">
        <f>IFERROR(VLOOKUP(S82,V8_COHORT_TABLE,3,FALSE),IFERROR(VLOOKUP(P82&amp;"|"&amp;Q82&amp;"|ALL",V8_COHORT_TABLE,3,FALSE),IFERROR(VLOOKUP(P82&amp;"|ALL|ALL",V8_COHORT_TABLE,3,FALSE),VLOOKUP("GLOBAL",V8_COHORT_TABLE,3,FALSE))))</f>
        <v/>
      </c>
      <c r="X82" s="15">
        <f>IFERROR(VLOOKUP(S82,V8_COHORT_TABLE,4,FALSE),IFERROR(VLOOKUP(P82&amp;"|"&amp;Q82&amp;"|ALL",V8_COHORT_TABLE,4,FALSE),IFERROR(VLOOKUP(P82&amp;"|ALL|ALL",V8_COHORT_TABLE,4,FALSE),VLOOKUP("GLOBAL",V8_COHORT_TABLE,4,FALSE))))</f>
        <v/>
      </c>
      <c r="Y82" s="15">
        <f>IFERROR(VLOOKUP(S82,V8_COHORT_TABLE,5,FALSE),IFERROR(VLOOKUP(P82&amp;"|"&amp;Q82&amp;"|ALL",V8_COHORT_TABLE,5,FALSE),IFERROR(VLOOKUP(P82&amp;"|ALL|ALL",V8_COHORT_TABLE,5,FALSE),VLOOKUP("GLOBAL",V8_COHORT_TABLE,5,FALSE))))</f>
        <v/>
      </c>
      <c r="Z82" s="15">
        <f>V82+W82/(1+EXP(-(U82-X82)/Y82))</f>
        <v/>
      </c>
      <c r="AA82" s="16">
        <f>1-(1-Z82)^12</f>
        <v/>
      </c>
      <c r="AB82" s="14">
        <f>IF(K82&lt;=V8_AGE_KNOT_X_0,V8_AGE_KNOT_Y_0,IF(K82&gt;=V8_AGE_KNOT_X_5,V8_AGE_KNOT_Y_5,IF(K82&lt;=V8_AGE_KNOT_X_1,V8_AGE_KNOT_Y_0+(K82-V8_AGE_KNOT_X_0)/(V8_AGE_KNOT_X_1-V8_AGE_KNOT_X_0)*(V8_AGE_KNOT_Y_1-V8_AGE_KNOT_Y_0),IF(K82&lt;=V8_AGE_KNOT_X_2,V8_AGE_KNOT_Y_1+(K82-V8_AGE_KNOT_X_1)/(V8_AGE_KNOT_X_2-V8_AGE_KNOT_X_1)*(V8_AGE_KNOT_Y_2-V8_AGE_KNOT_Y_1),IF(K82&lt;=V8_AGE_KNOT_X_3,V8_AGE_KNOT_Y_2+(K82-V8_AGE_KNOT_X_2)/(V8_AGE_KNOT_X_3-V8_AGE_KNOT_X_2)*(V8_AGE_KNOT_Y_3-V8_AGE_KNOT_Y_2),IF(K82&lt;=V8_AGE_KNOT_X_4,V8_AGE_KNOT_Y_3+(K82-V8_AGE_KNOT_X_3)/(V8_AGE_KNOT_X_4-V8_AGE_KNOT_X_3)*(V8_AGE_KNOT_Y_4-V8_AGE_KNOT_Y_3),V8_AGE_KNOT_Y_4+(K82-V8_AGE_KNOT_X_4)/(V8_AGE_KNOT_X_5-V8_AGE_KNOT_X_4)*(V8_AGE_KNOT_Y_5-V8_AGE_KNOT_Y_4)))))))</f>
        <v/>
      </c>
      <c r="AC82" s="14">
        <f>IF(IF(OR(L82="",NOT(ISNUMBER(L82))),360,MAX(0,MIN(480,(INT(L82/100)-INT(VALUE(F82)/100))*12+MOD(L82,100)-MOD(VALUE(F82),100))))&gt;0,1+V8_MTY_AMP*MAX(0,(V8_MTY_CUTOFF-(IF(OR(L82="",NOT(ISNUMBER(L82))),360,MAX(0,MIN(480,(INT(L82/100)-INT(VALUE(F82)/100))*12+MOD(L82,100)-MOD(VALUE(F82),100))))))/V8_MTY_CUTOFF),1)</f>
        <v/>
      </c>
      <c r="AD82" s="14">
        <f>IF(AND(IF(OR(M82="",NOT(ISNUMBER(M82))),0,MAX(0,MIN(24,(INT(VALUE(F82)/100)-INT(M82/100))*12+MOD(VALUE(F82),100)-MOD(M82,100))))&gt;0,IF(OR(M82="",NOT(ISNUMBER(M82))),0,MAX(0,MIN(24,(INT(VALUE(F82)/100)-INT(M82/100))*12+MOD(VALUE(F82),100)-MOD(M82,100))))&lt;=12),1+V8_LOCKOUT_AMP*EXP(-(IF(OR(M82="",NOT(ISNUMBER(M82))),0,MAX(0,MIN(24,(INT(VALUE(F82)/100)-INT(M82/100))*12+MOD(VALUE(F82),100)-MOD(M82,100)))))/V8_LOCKOUT_TAU),1)</f>
        <v/>
      </c>
      <c r="AE82" s="14">
        <f>MAX(V8_BURN_FLOOR,1-V8_BURN_SLOPE*MIN(1,MAX(0,O82)))</f>
        <v/>
      </c>
      <c r="AF82" s="15">
        <f>MIN(Z82*AB82*AC82*AD82*AE82,0.2)</f>
        <v/>
      </c>
      <c r="AG82" s="16">
        <f>1-(1-AF82)^12</f>
        <v/>
      </c>
    </row>
    <row r="83">
      <c r="A83" s="2" t="inlineStr">
        <is>
          <t>000005138032</t>
        </is>
      </c>
      <c r="B83" t="inlineStr">
        <is>
          <t>OTHER</t>
        </is>
      </c>
      <c r="C83" t="inlineStr">
        <is>
          <t>OTHER</t>
        </is>
      </c>
      <c r="D83" t="inlineStr">
        <is>
          <t>WALKER &amp; DUNLOP, LLC</t>
        </is>
      </c>
      <c r="E83" t="n">
        <v>2022</v>
      </c>
      <c r="F83" t="inlineStr">
        <is>
          <t>202602</t>
        </is>
      </c>
      <c r="G83" s="8" t="n">
        <v>31181676.4</v>
      </c>
      <c r="H83" s="12" t="n">
        <v>3.15</v>
      </c>
      <c r="I83" s="13" t="n">
        <v>447</v>
      </c>
      <c r="J83" s="13" t="n">
        <v>9</v>
      </c>
      <c r="K83" t="n">
        <v>45</v>
      </c>
      <c r="L83" t="n">
        <v>206406</v>
      </c>
      <c r="M83" t="inlineStr"/>
      <c r="N83" t="n">
        <v>0</v>
      </c>
      <c r="O83" s="14" t="n">
        <v>0</v>
      </c>
      <c r="P83">
        <f>IF(ISNUMBER(SEARCH("232",B83)),"232",IF(ISNUMBER(SEARCH("538",B83)),"538",IF(ISNUMBER(SEARCH("223a7",B83)),"223a7",IF(ISNUMBER(SEARCH("223f",B83)),"223f","OTHER"))))</f>
        <v/>
      </c>
      <c r="Q83">
        <f>IF(UPPER(C83)="NC","NC","RP")</f>
        <v/>
      </c>
      <c r="R83">
        <f>IF(G83&lt;5000000,"small",IF(G83&lt;25000000,"medium","large"))</f>
        <v/>
      </c>
      <c r="S83">
        <f>P83&amp;"|"&amp;Q83&amp;"|"&amp;R83</f>
        <v/>
      </c>
      <c r="T83" s="13">
        <f>H83*100-I83</f>
        <v/>
      </c>
      <c r="U83" s="13">
        <f>T83-12.5*(J83+1)</f>
        <v/>
      </c>
      <c r="V83" s="15">
        <f>IFERROR(VLOOKUP(S83,V8_COHORT_TABLE,2,FALSE),IFERROR(VLOOKUP(P83&amp;"|"&amp;Q83&amp;"|ALL",V8_COHORT_TABLE,2,FALSE),IFERROR(VLOOKUP(P83&amp;"|ALL|ALL",V8_COHORT_TABLE,2,FALSE),VLOOKUP("GLOBAL",V8_COHORT_TABLE,2,FALSE))))</f>
        <v/>
      </c>
      <c r="W83" s="15">
        <f>IFERROR(VLOOKUP(S83,V8_COHORT_TABLE,3,FALSE),IFERROR(VLOOKUP(P83&amp;"|"&amp;Q83&amp;"|ALL",V8_COHORT_TABLE,3,FALSE),IFERROR(VLOOKUP(P83&amp;"|ALL|ALL",V8_COHORT_TABLE,3,FALSE),VLOOKUP("GLOBAL",V8_COHORT_TABLE,3,FALSE))))</f>
        <v/>
      </c>
      <c r="X83" s="15">
        <f>IFERROR(VLOOKUP(S83,V8_COHORT_TABLE,4,FALSE),IFERROR(VLOOKUP(P83&amp;"|"&amp;Q83&amp;"|ALL",V8_COHORT_TABLE,4,FALSE),IFERROR(VLOOKUP(P83&amp;"|ALL|ALL",V8_COHORT_TABLE,4,FALSE),VLOOKUP("GLOBAL",V8_COHORT_TABLE,4,FALSE))))</f>
        <v/>
      </c>
      <c r="Y83" s="15">
        <f>IFERROR(VLOOKUP(S83,V8_COHORT_TABLE,5,FALSE),IFERROR(VLOOKUP(P83&amp;"|"&amp;Q83&amp;"|ALL",V8_COHORT_TABLE,5,FALSE),IFERROR(VLOOKUP(P83&amp;"|ALL|ALL",V8_COHORT_TABLE,5,FALSE),VLOOKUP("GLOBAL",V8_COHORT_TABLE,5,FALSE))))</f>
        <v/>
      </c>
      <c r="Z83" s="15">
        <f>V83+W83/(1+EXP(-(U83-X83)/Y83))</f>
        <v/>
      </c>
      <c r="AA83" s="16">
        <f>1-(1-Z83)^12</f>
        <v/>
      </c>
      <c r="AB83" s="14">
        <f>IF(K83&lt;=V8_AGE_KNOT_X_0,V8_AGE_KNOT_Y_0,IF(K83&gt;=V8_AGE_KNOT_X_5,V8_AGE_KNOT_Y_5,IF(K83&lt;=V8_AGE_KNOT_X_1,V8_AGE_KNOT_Y_0+(K83-V8_AGE_KNOT_X_0)/(V8_AGE_KNOT_X_1-V8_AGE_KNOT_X_0)*(V8_AGE_KNOT_Y_1-V8_AGE_KNOT_Y_0),IF(K83&lt;=V8_AGE_KNOT_X_2,V8_AGE_KNOT_Y_1+(K83-V8_AGE_KNOT_X_1)/(V8_AGE_KNOT_X_2-V8_AGE_KNOT_X_1)*(V8_AGE_KNOT_Y_2-V8_AGE_KNOT_Y_1),IF(K83&lt;=V8_AGE_KNOT_X_3,V8_AGE_KNOT_Y_2+(K83-V8_AGE_KNOT_X_2)/(V8_AGE_KNOT_X_3-V8_AGE_KNOT_X_2)*(V8_AGE_KNOT_Y_3-V8_AGE_KNOT_Y_2),IF(K83&lt;=V8_AGE_KNOT_X_4,V8_AGE_KNOT_Y_3+(K83-V8_AGE_KNOT_X_3)/(V8_AGE_KNOT_X_4-V8_AGE_KNOT_X_3)*(V8_AGE_KNOT_Y_4-V8_AGE_KNOT_Y_3),V8_AGE_KNOT_Y_4+(K83-V8_AGE_KNOT_X_4)/(V8_AGE_KNOT_X_5-V8_AGE_KNOT_X_4)*(V8_AGE_KNOT_Y_5-V8_AGE_KNOT_Y_4)))))))</f>
        <v/>
      </c>
      <c r="AC83" s="14">
        <f>IF(IF(OR(L83="",NOT(ISNUMBER(L83))),360,MAX(0,MIN(480,(INT(L83/100)-INT(VALUE(F83)/100))*12+MOD(L83,100)-MOD(VALUE(F83),100))))&gt;0,1+V8_MTY_AMP*MAX(0,(V8_MTY_CUTOFF-(IF(OR(L83="",NOT(ISNUMBER(L83))),360,MAX(0,MIN(480,(INT(L83/100)-INT(VALUE(F83)/100))*12+MOD(L83,100)-MOD(VALUE(F83),100))))))/V8_MTY_CUTOFF),1)</f>
        <v/>
      </c>
      <c r="AD83" s="14">
        <f>IF(AND(IF(OR(M83="",NOT(ISNUMBER(M83))),0,MAX(0,MIN(24,(INT(VALUE(F83)/100)-INT(M83/100))*12+MOD(VALUE(F83),100)-MOD(M83,100))))&gt;0,IF(OR(M83="",NOT(ISNUMBER(M83))),0,MAX(0,MIN(24,(INT(VALUE(F83)/100)-INT(M83/100))*12+MOD(VALUE(F83),100)-MOD(M83,100))))&lt;=12),1+V8_LOCKOUT_AMP*EXP(-(IF(OR(M83="",NOT(ISNUMBER(M83))),0,MAX(0,MIN(24,(INT(VALUE(F83)/100)-INT(M83/100))*12+MOD(VALUE(F83),100)-MOD(M83,100)))))/V8_LOCKOUT_TAU),1)</f>
        <v/>
      </c>
      <c r="AE83" s="14">
        <f>MAX(V8_BURN_FLOOR,1-V8_BURN_SLOPE*MIN(1,MAX(0,O83)))</f>
        <v/>
      </c>
      <c r="AF83" s="15">
        <f>MIN(Z83*AB83*AC83*AD83*AE83,0.2)</f>
        <v/>
      </c>
      <c r="AG83" s="16">
        <f>1-(1-AF83)^12</f>
        <v/>
      </c>
    </row>
    <row r="84">
      <c r="A84" s="2" t="inlineStr">
        <is>
          <t>000012711174</t>
        </is>
      </c>
      <c r="B84" t="inlineStr">
        <is>
          <t>223f</t>
        </is>
      </c>
      <c r="C84" t="inlineStr">
        <is>
          <t>RP</t>
        </is>
      </c>
      <c r="D84" t="inlineStr">
        <is>
          <t>WALKER &amp; DUNLOP, LLC</t>
        </is>
      </c>
      <c r="E84" t="n">
        <v>2012</v>
      </c>
      <c r="F84" t="inlineStr">
        <is>
          <t>202602</t>
        </is>
      </c>
      <c r="G84" s="8" t="n">
        <v>1897260.93</v>
      </c>
      <c r="H84" s="12" t="n">
        <v>3.35</v>
      </c>
      <c r="I84" s="13" t="n">
        <v>447</v>
      </c>
      <c r="J84" s="13" t="n">
        <v>0</v>
      </c>
      <c r="K84" t="n">
        <v>163</v>
      </c>
      <c r="L84" t="n">
        <v>204708</v>
      </c>
      <c r="M84" t="n">
        <v>201409</v>
      </c>
      <c r="N84" t="n">
        <v>33</v>
      </c>
      <c r="O84" s="14" t="n">
        <v>0.2024539877300613</v>
      </c>
      <c r="P84">
        <f>IF(ISNUMBER(SEARCH("232",B84)),"232",IF(ISNUMBER(SEARCH("538",B84)),"538",IF(ISNUMBER(SEARCH("223a7",B84)),"223a7",IF(ISNUMBER(SEARCH("223f",B84)),"223f","OTHER"))))</f>
        <v/>
      </c>
      <c r="Q84">
        <f>IF(UPPER(C84)="NC","NC","RP")</f>
        <v/>
      </c>
      <c r="R84">
        <f>IF(G84&lt;5000000,"small",IF(G84&lt;25000000,"medium","large"))</f>
        <v/>
      </c>
      <c r="S84">
        <f>P84&amp;"|"&amp;Q84&amp;"|"&amp;R84</f>
        <v/>
      </c>
      <c r="T84" s="13">
        <f>H84*100-I84</f>
        <v/>
      </c>
      <c r="U84" s="13">
        <f>T84-12.5*(J84+1)</f>
        <v/>
      </c>
      <c r="V84" s="15">
        <f>IFERROR(VLOOKUP(S84,V8_COHORT_TABLE,2,FALSE),IFERROR(VLOOKUP(P84&amp;"|"&amp;Q84&amp;"|ALL",V8_COHORT_TABLE,2,FALSE),IFERROR(VLOOKUP(P84&amp;"|ALL|ALL",V8_COHORT_TABLE,2,FALSE),VLOOKUP("GLOBAL",V8_COHORT_TABLE,2,FALSE))))</f>
        <v/>
      </c>
      <c r="W84" s="15">
        <f>IFERROR(VLOOKUP(S84,V8_COHORT_TABLE,3,FALSE),IFERROR(VLOOKUP(P84&amp;"|"&amp;Q84&amp;"|ALL",V8_COHORT_TABLE,3,FALSE),IFERROR(VLOOKUP(P84&amp;"|ALL|ALL",V8_COHORT_TABLE,3,FALSE),VLOOKUP("GLOBAL",V8_COHORT_TABLE,3,FALSE))))</f>
        <v/>
      </c>
      <c r="X84" s="15">
        <f>IFERROR(VLOOKUP(S84,V8_COHORT_TABLE,4,FALSE),IFERROR(VLOOKUP(P84&amp;"|"&amp;Q84&amp;"|ALL",V8_COHORT_TABLE,4,FALSE),IFERROR(VLOOKUP(P84&amp;"|ALL|ALL",V8_COHORT_TABLE,4,FALSE),VLOOKUP("GLOBAL",V8_COHORT_TABLE,4,FALSE))))</f>
        <v/>
      </c>
      <c r="Y84" s="15">
        <f>IFERROR(VLOOKUP(S84,V8_COHORT_TABLE,5,FALSE),IFERROR(VLOOKUP(P84&amp;"|"&amp;Q84&amp;"|ALL",V8_COHORT_TABLE,5,FALSE),IFERROR(VLOOKUP(P84&amp;"|ALL|ALL",V8_COHORT_TABLE,5,FALSE),VLOOKUP("GLOBAL",V8_COHORT_TABLE,5,FALSE))))</f>
        <v/>
      </c>
      <c r="Z84" s="15">
        <f>V84+W84/(1+EXP(-(U84-X84)/Y84))</f>
        <v/>
      </c>
      <c r="AA84" s="16">
        <f>1-(1-Z84)^12</f>
        <v/>
      </c>
      <c r="AB84" s="14">
        <f>IF(K84&lt;=V8_AGE_KNOT_X_0,V8_AGE_KNOT_Y_0,IF(K84&gt;=V8_AGE_KNOT_X_5,V8_AGE_KNOT_Y_5,IF(K84&lt;=V8_AGE_KNOT_X_1,V8_AGE_KNOT_Y_0+(K84-V8_AGE_KNOT_X_0)/(V8_AGE_KNOT_X_1-V8_AGE_KNOT_X_0)*(V8_AGE_KNOT_Y_1-V8_AGE_KNOT_Y_0),IF(K84&lt;=V8_AGE_KNOT_X_2,V8_AGE_KNOT_Y_1+(K84-V8_AGE_KNOT_X_1)/(V8_AGE_KNOT_X_2-V8_AGE_KNOT_X_1)*(V8_AGE_KNOT_Y_2-V8_AGE_KNOT_Y_1),IF(K84&lt;=V8_AGE_KNOT_X_3,V8_AGE_KNOT_Y_2+(K84-V8_AGE_KNOT_X_2)/(V8_AGE_KNOT_X_3-V8_AGE_KNOT_X_2)*(V8_AGE_KNOT_Y_3-V8_AGE_KNOT_Y_2),IF(K84&lt;=V8_AGE_KNOT_X_4,V8_AGE_KNOT_Y_3+(K84-V8_AGE_KNOT_X_3)/(V8_AGE_KNOT_X_4-V8_AGE_KNOT_X_3)*(V8_AGE_KNOT_Y_4-V8_AGE_KNOT_Y_3),V8_AGE_KNOT_Y_4+(K84-V8_AGE_KNOT_X_4)/(V8_AGE_KNOT_X_5-V8_AGE_KNOT_X_4)*(V8_AGE_KNOT_Y_5-V8_AGE_KNOT_Y_4)))))))</f>
        <v/>
      </c>
      <c r="AC84" s="14">
        <f>IF(IF(OR(L84="",NOT(ISNUMBER(L84))),360,MAX(0,MIN(480,(INT(L84/100)-INT(VALUE(F84)/100))*12+MOD(L84,100)-MOD(VALUE(F84),100))))&gt;0,1+V8_MTY_AMP*MAX(0,(V8_MTY_CUTOFF-(IF(OR(L84="",NOT(ISNUMBER(L84))),360,MAX(0,MIN(480,(INT(L84/100)-INT(VALUE(F84)/100))*12+MOD(L84,100)-MOD(VALUE(F84),100))))))/V8_MTY_CUTOFF),1)</f>
        <v/>
      </c>
      <c r="AD84" s="14">
        <f>IF(AND(IF(OR(M84="",NOT(ISNUMBER(M84))),0,MAX(0,MIN(24,(INT(VALUE(F84)/100)-INT(M84/100))*12+MOD(VALUE(F84),100)-MOD(M84,100))))&gt;0,IF(OR(M84="",NOT(ISNUMBER(M84))),0,MAX(0,MIN(24,(INT(VALUE(F84)/100)-INT(M84/100))*12+MOD(VALUE(F84),100)-MOD(M84,100))))&lt;=12),1+V8_LOCKOUT_AMP*EXP(-(IF(OR(M84="",NOT(ISNUMBER(M84))),0,MAX(0,MIN(24,(INT(VALUE(F84)/100)-INT(M84/100))*12+MOD(VALUE(F84),100)-MOD(M84,100)))))/V8_LOCKOUT_TAU),1)</f>
        <v/>
      </c>
      <c r="AE84" s="14">
        <f>MAX(V8_BURN_FLOOR,1-V8_BURN_SLOPE*MIN(1,MAX(0,O84)))</f>
        <v/>
      </c>
      <c r="AF84" s="15">
        <f>MIN(Z84*AB84*AC84*AD84*AE84,0.2)</f>
        <v/>
      </c>
      <c r="AG84" s="16">
        <f>1-(1-AF84)^12</f>
        <v/>
      </c>
    </row>
    <row r="85">
      <c r="A85" s="2" t="inlineStr">
        <is>
          <t>000005143257</t>
        </is>
      </c>
      <c r="B85" t="inlineStr">
        <is>
          <t>232</t>
        </is>
      </c>
      <c r="C85" t="inlineStr">
        <is>
          <t>NC</t>
        </is>
      </c>
      <c r="D85" t="inlineStr">
        <is>
          <t>WALKER &amp; DUNLOP, LLC</t>
        </is>
      </c>
      <c r="E85" t="n">
        <v>2021</v>
      </c>
      <c r="F85" t="inlineStr">
        <is>
          <t>202602</t>
        </is>
      </c>
      <c r="G85" s="8" t="n">
        <v>20697799.73</v>
      </c>
      <c r="H85" s="12" t="n">
        <v>2.69</v>
      </c>
      <c r="I85" s="13" t="n">
        <v>447</v>
      </c>
      <c r="J85" s="13" t="n">
        <v>8</v>
      </c>
      <c r="K85" t="n">
        <v>50</v>
      </c>
      <c r="L85" t="n">
        <v>206310</v>
      </c>
      <c r="M85" t="inlineStr"/>
      <c r="N85" t="n">
        <v>0</v>
      </c>
      <c r="O85" s="14" t="n">
        <v>0</v>
      </c>
      <c r="P85">
        <f>IF(ISNUMBER(SEARCH("232",B85)),"232",IF(ISNUMBER(SEARCH("538",B85)),"538",IF(ISNUMBER(SEARCH("223a7",B85)),"223a7",IF(ISNUMBER(SEARCH("223f",B85)),"223f","OTHER"))))</f>
        <v/>
      </c>
      <c r="Q85">
        <f>IF(UPPER(C85)="NC","NC","RP")</f>
        <v/>
      </c>
      <c r="R85">
        <f>IF(G85&lt;5000000,"small",IF(G85&lt;25000000,"medium","large"))</f>
        <v/>
      </c>
      <c r="S85">
        <f>P85&amp;"|"&amp;Q85&amp;"|"&amp;R85</f>
        <v/>
      </c>
      <c r="T85" s="13">
        <f>H85*100-I85</f>
        <v/>
      </c>
      <c r="U85" s="13">
        <f>T85-12.5*(J85+1)</f>
        <v/>
      </c>
      <c r="V85" s="15">
        <f>IFERROR(VLOOKUP(S85,V8_COHORT_TABLE,2,FALSE),IFERROR(VLOOKUP(P85&amp;"|"&amp;Q85&amp;"|ALL",V8_COHORT_TABLE,2,FALSE),IFERROR(VLOOKUP(P85&amp;"|ALL|ALL",V8_COHORT_TABLE,2,FALSE),VLOOKUP("GLOBAL",V8_COHORT_TABLE,2,FALSE))))</f>
        <v/>
      </c>
      <c r="W85" s="15">
        <f>IFERROR(VLOOKUP(S85,V8_COHORT_TABLE,3,FALSE),IFERROR(VLOOKUP(P85&amp;"|"&amp;Q85&amp;"|ALL",V8_COHORT_TABLE,3,FALSE),IFERROR(VLOOKUP(P85&amp;"|ALL|ALL",V8_COHORT_TABLE,3,FALSE),VLOOKUP("GLOBAL",V8_COHORT_TABLE,3,FALSE))))</f>
        <v/>
      </c>
      <c r="X85" s="15">
        <f>IFERROR(VLOOKUP(S85,V8_COHORT_TABLE,4,FALSE),IFERROR(VLOOKUP(P85&amp;"|"&amp;Q85&amp;"|ALL",V8_COHORT_TABLE,4,FALSE),IFERROR(VLOOKUP(P85&amp;"|ALL|ALL",V8_COHORT_TABLE,4,FALSE),VLOOKUP("GLOBAL",V8_COHORT_TABLE,4,FALSE))))</f>
        <v/>
      </c>
      <c r="Y85" s="15">
        <f>IFERROR(VLOOKUP(S85,V8_COHORT_TABLE,5,FALSE),IFERROR(VLOOKUP(P85&amp;"|"&amp;Q85&amp;"|ALL",V8_COHORT_TABLE,5,FALSE),IFERROR(VLOOKUP(P85&amp;"|ALL|ALL",V8_COHORT_TABLE,5,FALSE),VLOOKUP("GLOBAL",V8_COHORT_TABLE,5,FALSE))))</f>
        <v/>
      </c>
      <c r="Z85" s="15">
        <f>V85+W85/(1+EXP(-(U85-X85)/Y85))</f>
        <v/>
      </c>
      <c r="AA85" s="16">
        <f>1-(1-Z85)^12</f>
        <v/>
      </c>
      <c r="AB85" s="14">
        <f>IF(K85&lt;=V8_AGE_KNOT_X_0,V8_AGE_KNOT_Y_0,IF(K85&gt;=V8_AGE_KNOT_X_5,V8_AGE_KNOT_Y_5,IF(K85&lt;=V8_AGE_KNOT_X_1,V8_AGE_KNOT_Y_0+(K85-V8_AGE_KNOT_X_0)/(V8_AGE_KNOT_X_1-V8_AGE_KNOT_X_0)*(V8_AGE_KNOT_Y_1-V8_AGE_KNOT_Y_0),IF(K85&lt;=V8_AGE_KNOT_X_2,V8_AGE_KNOT_Y_1+(K85-V8_AGE_KNOT_X_1)/(V8_AGE_KNOT_X_2-V8_AGE_KNOT_X_1)*(V8_AGE_KNOT_Y_2-V8_AGE_KNOT_Y_1),IF(K85&lt;=V8_AGE_KNOT_X_3,V8_AGE_KNOT_Y_2+(K85-V8_AGE_KNOT_X_2)/(V8_AGE_KNOT_X_3-V8_AGE_KNOT_X_2)*(V8_AGE_KNOT_Y_3-V8_AGE_KNOT_Y_2),IF(K85&lt;=V8_AGE_KNOT_X_4,V8_AGE_KNOT_Y_3+(K85-V8_AGE_KNOT_X_3)/(V8_AGE_KNOT_X_4-V8_AGE_KNOT_X_3)*(V8_AGE_KNOT_Y_4-V8_AGE_KNOT_Y_3),V8_AGE_KNOT_Y_4+(K85-V8_AGE_KNOT_X_4)/(V8_AGE_KNOT_X_5-V8_AGE_KNOT_X_4)*(V8_AGE_KNOT_Y_5-V8_AGE_KNOT_Y_4)))))))</f>
        <v/>
      </c>
      <c r="AC85" s="14">
        <f>IF(IF(OR(L85="",NOT(ISNUMBER(L85))),360,MAX(0,MIN(480,(INT(L85/100)-INT(VALUE(F85)/100))*12+MOD(L85,100)-MOD(VALUE(F85),100))))&gt;0,1+V8_MTY_AMP*MAX(0,(V8_MTY_CUTOFF-(IF(OR(L85="",NOT(ISNUMBER(L85))),360,MAX(0,MIN(480,(INT(L85/100)-INT(VALUE(F85)/100))*12+MOD(L85,100)-MOD(VALUE(F85),100))))))/V8_MTY_CUTOFF),1)</f>
        <v/>
      </c>
      <c r="AD85" s="14">
        <f>IF(AND(IF(OR(M85="",NOT(ISNUMBER(M85))),0,MAX(0,MIN(24,(INT(VALUE(F85)/100)-INT(M85/100))*12+MOD(VALUE(F85),100)-MOD(M85,100))))&gt;0,IF(OR(M85="",NOT(ISNUMBER(M85))),0,MAX(0,MIN(24,(INT(VALUE(F85)/100)-INT(M85/100))*12+MOD(VALUE(F85),100)-MOD(M85,100))))&lt;=12),1+V8_LOCKOUT_AMP*EXP(-(IF(OR(M85="",NOT(ISNUMBER(M85))),0,MAX(0,MIN(24,(INT(VALUE(F85)/100)-INT(M85/100))*12+MOD(VALUE(F85),100)-MOD(M85,100)))))/V8_LOCKOUT_TAU),1)</f>
        <v/>
      </c>
      <c r="AE85" s="14">
        <f>MAX(V8_BURN_FLOOR,1-V8_BURN_SLOPE*MIN(1,MAX(0,O85)))</f>
        <v/>
      </c>
      <c r="AF85" s="15">
        <f>MIN(Z85*AB85*AC85*AD85*AE85,0.2)</f>
        <v/>
      </c>
      <c r="AG85" s="16">
        <f>1-(1-AF85)^12</f>
        <v/>
      </c>
    </row>
    <row r="86">
      <c r="A86" s="2" t="inlineStr">
        <is>
          <t>000012911145</t>
        </is>
      </c>
      <c r="B86" t="inlineStr">
        <is>
          <t>223f</t>
        </is>
      </c>
      <c r="C86" t="inlineStr">
        <is>
          <t>RP</t>
        </is>
      </c>
      <c r="D86" t="inlineStr">
        <is>
          <t>WALKER &amp; DUNLOP, LLC</t>
        </is>
      </c>
      <c r="E86" t="n">
        <v>2025</v>
      </c>
      <c r="F86" t="inlineStr">
        <is>
          <t>202602</t>
        </is>
      </c>
      <c r="G86" s="8" t="n">
        <v>69885954.31999999</v>
      </c>
      <c r="H86" s="12" t="n">
        <v>5.95</v>
      </c>
      <c r="I86" s="13" t="n">
        <v>447</v>
      </c>
      <c r="J86" s="13" t="n">
        <v>10</v>
      </c>
      <c r="K86" t="n">
        <v>7</v>
      </c>
      <c r="L86" t="n">
        <v>206008</v>
      </c>
      <c r="M86" t="inlineStr"/>
      <c r="N86" t="n">
        <v>1</v>
      </c>
      <c r="O86" s="14" t="n">
        <v>0.1428571428571428</v>
      </c>
      <c r="P86">
        <f>IF(ISNUMBER(SEARCH("232",B86)),"232",IF(ISNUMBER(SEARCH("538",B86)),"538",IF(ISNUMBER(SEARCH("223a7",B86)),"223a7",IF(ISNUMBER(SEARCH("223f",B86)),"223f","OTHER"))))</f>
        <v/>
      </c>
      <c r="Q86">
        <f>IF(UPPER(C86)="NC","NC","RP")</f>
        <v/>
      </c>
      <c r="R86">
        <f>IF(G86&lt;5000000,"small",IF(G86&lt;25000000,"medium","large"))</f>
        <v/>
      </c>
      <c r="S86">
        <f>P86&amp;"|"&amp;Q86&amp;"|"&amp;R86</f>
        <v/>
      </c>
      <c r="T86" s="13">
        <f>H86*100-I86</f>
        <v/>
      </c>
      <c r="U86" s="13">
        <f>T86-12.5*(J86+1)</f>
        <v/>
      </c>
      <c r="V86" s="15">
        <f>IFERROR(VLOOKUP(S86,V8_COHORT_TABLE,2,FALSE),IFERROR(VLOOKUP(P86&amp;"|"&amp;Q86&amp;"|ALL",V8_COHORT_TABLE,2,FALSE),IFERROR(VLOOKUP(P86&amp;"|ALL|ALL",V8_COHORT_TABLE,2,FALSE),VLOOKUP("GLOBAL",V8_COHORT_TABLE,2,FALSE))))</f>
        <v/>
      </c>
      <c r="W86" s="15">
        <f>IFERROR(VLOOKUP(S86,V8_COHORT_TABLE,3,FALSE),IFERROR(VLOOKUP(P86&amp;"|"&amp;Q86&amp;"|ALL",V8_COHORT_TABLE,3,FALSE),IFERROR(VLOOKUP(P86&amp;"|ALL|ALL",V8_COHORT_TABLE,3,FALSE),VLOOKUP("GLOBAL",V8_COHORT_TABLE,3,FALSE))))</f>
        <v/>
      </c>
      <c r="X86" s="15">
        <f>IFERROR(VLOOKUP(S86,V8_COHORT_TABLE,4,FALSE),IFERROR(VLOOKUP(P86&amp;"|"&amp;Q86&amp;"|ALL",V8_COHORT_TABLE,4,FALSE),IFERROR(VLOOKUP(P86&amp;"|ALL|ALL",V8_COHORT_TABLE,4,FALSE),VLOOKUP("GLOBAL",V8_COHORT_TABLE,4,FALSE))))</f>
        <v/>
      </c>
      <c r="Y86" s="15">
        <f>IFERROR(VLOOKUP(S86,V8_COHORT_TABLE,5,FALSE),IFERROR(VLOOKUP(P86&amp;"|"&amp;Q86&amp;"|ALL",V8_COHORT_TABLE,5,FALSE),IFERROR(VLOOKUP(P86&amp;"|ALL|ALL",V8_COHORT_TABLE,5,FALSE),VLOOKUP("GLOBAL",V8_COHORT_TABLE,5,FALSE))))</f>
        <v/>
      </c>
      <c r="Z86" s="15">
        <f>V86+W86/(1+EXP(-(U86-X86)/Y86))</f>
        <v/>
      </c>
      <c r="AA86" s="16">
        <f>1-(1-Z86)^12</f>
        <v/>
      </c>
      <c r="AB86" s="14">
        <f>IF(K86&lt;=V8_AGE_KNOT_X_0,V8_AGE_KNOT_Y_0,IF(K86&gt;=V8_AGE_KNOT_X_5,V8_AGE_KNOT_Y_5,IF(K86&lt;=V8_AGE_KNOT_X_1,V8_AGE_KNOT_Y_0+(K86-V8_AGE_KNOT_X_0)/(V8_AGE_KNOT_X_1-V8_AGE_KNOT_X_0)*(V8_AGE_KNOT_Y_1-V8_AGE_KNOT_Y_0),IF(K86&lt;=V8_AGE_KNOT_X_2,V8_AGE_KNOT_Y_1+(K86-V8_AGE_KNOT_X_1)/(V8_AGE_KNOT_X_2-V8_AGE_KNOT_X_1)*(V8_AGE_KNOT_Y_2-V8_AGE_KNOT_Y_1),IF(K86&lt;=V8_AGE_KNOT_X_3,V8_AGE_KNOT_Y_2+(K86-V8_AGE_KNOT_X_2)/(V8_AGE_KNOT_X_3-V8_AGE_KNOT_X_2)*(V8_AGE_KNOT_Y_3-V8_AGE_KNOT_Y_2),IF(K86&lt;=V8_AGE_KNOT_X_4,V8_AGE_KNOT_Y_3+(K86-V8_AGE_KNOT_X_3)/(V8_AGE_KNOT_X_4-V8_AGE_KNOT_X_3)*(V8_AGE_KNOT_Y_4-V8_AGE_KNOT_Y_3),V8_AGE_KNOT_Y_4+(K86-V8_AGE_KNOT_X_4)/(V8_AGE_KNOT_X_5-V8_AGE_KNOT_X_4)*(V8_AGE_KNOT_Y_5-V8_AGE_KNOT_Y_4)))))))</f>
        <v/>
      </c>
      <c r="AC86" s="14">
        <f>IF(IF(OR(L86="",NOT(ISNUMBER(L86))),360,MAX(0,MIN(480,(INT(L86/100)-INT(VALUE(F86)/100))*12+MOD(L86,100)-MOD(VALUE(F86),100))))&gt;0,1+V8_MTY_AMP*MAX(0,(V8_MTY_CUTOFF-(IF(OR(L86="",NOT(ISNUMBER(L86))),360,MAX(0,MIN(480,(INT(L86/100)-INT(VALUE(F86)/100))*12+MOD(L86,100)-MOD(VALUE(F86),100))))))/V8_MTY_CUTOFF),1)</f>
        <v/>
      </c>
      <c r="AD86" s="14">
        <f>IF(AND(IF(OR(M86="",NOT(ISNUMBER(M86))),0,MAX(0,MIN(24,(INT(VALUE(F86)/100)-INT(M86/100))*12+MOD(VALUE(F86),100)-MOD(M86,100))))&gt;0,IF(OR(M86="",NOT(ISNUMBER(M86))),0,MAX(0,MIN(24,(INT(VALUE(F86)/100)-INT(M86/100))*12+MOD(VALUE(F86),100)-MOD(M86,100))))&lt;=12),1+V8_LOCKOUT_AMP*EXP(-(IF(OR(M86="",NOT(ISNUMBER(M86))),0,MAX(0,MIN(24,(INT(VALUE(F86)/100)-INT(M86/100))*12+MOD(VALUE(F86),100)-MOD(M86,100)))))/V8_LOCKOUT_TAU),1)</f>
        <v/>
      </c>
      <c r="AE86" s="14">
        <f>MAX(V8_BURN_FLOOR,1-V8_BURN_SLOPE*MIN(1,MAX(0,O86)))</f>
        <v/>
      </c>
      <c r="AF86" s="15">
        <f>MIN(Z86*AB86*AC86*AD86*AE86,0.2)</f>
        <v/>
      </c>
      <c r="AG86" s="16">
        <f>1-(1-AF86)^12</f>
        <v/>
      </c>
    </row>
    <row r="87">
      <c r="A87" s="2" t="inlineStr">
        <is>
          <t>000007235671</t>
        </is>
      </c>
      <c r="B87" t="inlineStr">
        <is>
          <t>221d4</t>
        </is>
      </c>
      <c r="C87" t="inlineStr">
        <is>
          <t>RP</t>
        </is>
      </c>
      <c r="D87" t="inlineStr">
        <is>
          <t>WALKER &amp; DUNLOP, LLC</t>
        </is>
      </c>
      <c r="E87" t="n">
        <v>2010</v>
      </c>
      <c r="F87" t="inlineStr">
        <is>
          <t>202602</t>
        </is>
      </c>
      <c r="G87" s="8" t="n">
        <v>383060.16</v>
      </c>
      <c r="H87" s="12" t="n">
        <v>4.65</v>
      </c>
      <c r="I87" s="13" t="n">
        <v>447</v>
      </c>
      <c r="J87" s="13" t="n">
        <v>0</v>
      </c>
      <c r="K87" t="n">
        <v>187</v>
      </c>
      <c r="L87" t="n">
        <v>203403</v>
      </c>
      <c r="M87" t="n">
        <v>201209</v>
      </c>
      <c r="N87" t="n">
        <v>49</v>
      </c>
      <c r="O87" s="14" t="n">
        <v>0.2620320855614973</v>
      </c>
      <c r="P87">
        <f>IF(ISNUMBER(SEARCH("232",B87)),"232",IF(ISNUMBER(SEARCH("538",B87)),"538",IF(ISNUMBER(SEARCH("223a7",B87)),"223a7",IF(ISNUMBER(SEARCH("223f",B87)),"223f","OTHER"))))</f>
        <v/>
      </c>
      <c r="Q87">
        <f>IF(UPPER(C87)="NC","NC","RP")</f>
        <v/>
      </c>
      <c r="R87">
        <f>IF(G87&lt;5000000,"small",IF(G87&lt;25000000,"medium","large"))</f>
        <v/>
      </c>
      <c r="S87">
        <f>P87&amp;"|"&amp;Q87&amp;"|"&amp;R87</f>
        <v/>
      </c>
      <c r="T87" s="13">
        <f>H87*100-I87</f>
        <v/>
      </c>
      <c r="U87" s="13">
        <f>T87-12.5*(J87+1)</f>
        <v/>
      </c>
      <c r="V87" s="15">
        <f>IFERROR(VLOOKUP(S87,V8_COHORT_TABLE,2,FALSE),IFERROR(VLOOKUP(P87&amp;"|"&amp;Q87&amp;"|ALL",V8_COHORT_TABLE,2,FALSE),IFERROR(VLOOKUP(P87&amp;"|ALL|ALL",V8_COHORT_TABLE,2,FALSE),VLOOKUP("GLOBAL",V8_COHORT_TABLE,2,FALSE))))</f>
        <v/>
      </c>
      <c r="W87" s="15">
        <f>IFERROR(VLOOKUP(S87,V8_COHORT_TABLE,3,FALSE),IFERROR(VLOOKUP(P87&amp;"|"&amp;Q87&amp;"|ALL",V8_COHORT_TABLE,3,FALSE),IFERROR(VLOOKUP(P87&amp;"|ALL|ALL",V8_COHORT_TABLE,3,FALSE),VLOOKUP("GLOBAL",V8_COHORT_TABLE,3,FALSE))))</f>
        <v/>
      </c>
      <c r="X87" s="15">
        <f>IFERROR(VLOOKUP(S87,V8_COHORT_TABLE,4,FALSE),IFERROR(VLOOKUP(P87&amp;"|"&amp;Q87&amp;"|ALL",V8_COHORT_TABLE,4,FALSE),IFERROR(VLOOKUP(P87&amp;"|ALL|ALL",V8_COHORT_TABLE,4,FALSE),VLOOKUP("GLOBAL",V8_COHORT_TABLE,4,FALSE))))</f>
        <v/>
      </c>
      <c r="Y87" s="15">
        <f>IFERROR(VLOOKUP(S87,V8_COHORT_TABLE,5,FALSE),IFERROR(VLOOKUP(P87&amp;"|"&amp;Q87&amp;"|ALL",V8_COHORT_TABLE,5,FALSE),IFERROR(VLOOKUP(P87&amp;"|ALL|ALL",V8_COHORT_TABLE,5,FALSE),VLOOKUP("GLOBAL",V8_COHORT_TABLE,5,FALSE))))</f>
        <v/>
      </c>
      <c r="Z87" s="15">
        <f>V87+W87/(1+EXP(-(U87-X87)/Y87))</f>
        <v/>
      </c>
      <c r="AA87" s="16">
        <f>1-(1-Z87)^12</f>
        <v/>
      </c>
      <c r="AB87" s="14">
        <f>IF(K87&lt;=V8_AGE_KNOT_X_0,V8_AGE_KNOT_Y_0,IF(K87&gt;=V8_AGE_KNOT_X_5,V8_AGE_KNOT_Y_5,IF(K87&lt;=V8_AGE_KNOT_X_1,V8_AGE_KNOT_Y_0+(K87-V8_AGE_KNOT_X_0)/(V8_AGE_KNOT_X_1-V8_AGE_KNOT_X_0)*(V8_AGE_KNOT_Y_1-V8_AGE_KNOT_Y_0),IF(K87&lt;=V8_AGE_KNOT_X_2,V8_AGE_KNOT_Y_1+(K87-V8_AGE_KNOT_X_1)/(V8_AGE_KNOT_X_2-V8_AGE_KNOT_X_1)*(V8_AGE_KNOT_Y_2-V8_AGE_KNOT_Y_1),IF(K87&lt;=V8_AGE_KNOT_X_3,V8_AGE_KNOT_Y_2+(K87-V8_AGE_KNOT_X_2)/(V8_AGE_KNOT_X_3-V8_AGE_KNOT_X_2)*(V8_AGE_KNOT_Y_3-V8_AGE_KNOT_Y_2),IF(K87&lt;=V8_AGE_KNOT_X_4,V8_AGE_KNOT_Y_3+(K87-V8_AGE_KNOT_X_3)/(V8_AGE_KNOT_X_4-V8_AGE_KNOT_X_3)*(V8_AGE_KNOT_Y_4-V8_AGE_KNOT_Y_3),V8_AGE_KNOT_Y_4+(K87-V8_AGE_KNOT_X_4)/(V8_AGE_KNOT_X_5-V8_AGE_KNOT_X_4)*(V8_AGE_KNOT_Y_5-V8_AGE_KNOT_Y_4)))))))</f>
        <v/>
      </c>
      <c r="AC87" s="14">
        <f>IF(IF(OR(L87="",NOT(ISNUMBER(L87))),360,MAX(0,MIN(480,(INT(L87/100)-INT(VALUE(F87)/100))*12+MOD(L87,100)-MOD(VALUE(F87),100))))&gt;0,1+V8_MTY_AMP*MAX(0,(V8_MTY_CUTOFF-(IF(OR(L87="",NOT(ISNUMBER(L87))),360,MAX(0,MIN(480,(INT(L87/100)-INT(VALUE(F87)/100))*12+MOD(L87,100)-MOD(VALUE(F87),100))))))/V8_MTY_CUTOFF),1)</f>
        <v/>
      </c>
      <c r="AD87" s="14">
        <f>IF(AND(IF(OR(M87="",NOT(ISNUMBER(M87))),0,MAX(0,MIN(24,(INT(VALUE(F87)/100)-INT(M87/100))*12+MOD(VALUE(F87),100)-MOD(M87,100))))&gt;0,IF(OR(M87="",NOT(ISNUMBER(M87))),0,MAX(0,MIN(24,(INT(VALUE(F87)/100)-INT(M87/100))*12+MOD(VALUE(F87),100)-MOD(M87,100))))&lt;=12),1+V8_LOCKOUT_AMP*EXP(-(IF(OR(M87="",NOT(ISNUMBER(M87))),0,MAX(0,MIN(24,(INT(VALUE(F87)/100)-INT(M87/100))*12+MOD(VALUE(F87),100)-MOD(M87,100)))))/V8_LOCKOUT_TAU),1)</f>
        <v/>
      </c>
      <c r="AE87" s="14">
        <f>MAX(V8_BURN_FLOOR,1-V8_BURN_SLOPE*MIN(1,MAX(0,O87)))</f>
        <v/>
      </c>
      <c r="AF87" s="15">
        <f>MIN(Z87*AB87*AC87*AD87*AE87,0.2)</f>
        <v/>
      </c>
      <c r="AG87" s="16">
        <f>1-(1-AF87)^12</f>
        <v/>
      </c>
    </row>
    <row r="88">
      <c r="A88" s="2" t="inlineStr">
        <is>
          <t>000012635300</t>
        </is>
      </c>
      <c r="B88" t="inlineStr">
        <is>
          <t>OTHER</t>
        </is>
      </c>
      <c r="C88" t="inlineStr">
        <is>
          <t>OTHER</t>
        </is>
      </c>
      <c r="D88" t="inlineStr">
        <is>
          <t>WALKER &amp; DUNLOP, LLC</t>
        </is>
      </c>
      <c r="E88" t="n">
        <v>2011</v>
      </c>
      <c r="F88" t="inlineStr">
        <is>
          <t>202602</t>
        </is>
      </c>
      <c r="G88" s="8" t="n">
        <v>1739264.07</v>
      </c>
      <c r="H88" s="12" t="n">
        <v>6.25</v>
      </c>
      <c r="I88" s="13" t="n">
        <v>447</v>
      </c>
      <c r="J88" s="13" t="n">
        <v>0</v>
      </c>
      <c r="K88" t="n">
        <v>174</v>
      </c>
      <c r="L88" t="n">
        <v>205304</v>
      </c>
      <c r="M88" t="n">
        <v>201405</v>
      </c>
      <c r="N88" t="n">
        <v>86</v>
      </c>
      <c r="O88" s="14" t="n">
        <v>0.4942528735632184</v>
      </c>
      <c r="P88">
        <f>IF(ISNUMBER(SEARCH("232",B88)),"232",IF(ISNUMBER(SEARCH("538",B88)),"538",IF(ISNUMBER(SEARCH("223a7",B88)),"223a7",IF(ISNUMBER(SEARCH("223f",B88)),"223f","OTHER"))))</f>
        <v/>
      </c>
      <c r="Q88">
        <f>IF(UPPER(C88)="NC","NC","RP")</f>
        <v/>
      </c>
      <c r="R88">
        <f>IF(G88&lt;5000000,"small",IF(G88&lt;25000000,"medium","large"))</f>
        <v/>
      </c>
      <c r="S88">
        <f>P88&amp;"|"&amp;Q88&amp;"|"&amp;R88</f>
        <v/>
      </c>
      <c r="T88" s="13">
        <f>H88*100-I88</f>
        <v/>
      </c>
      <c r="U88" s="13">
        <f>T88-12.5*(J88+1)</f>
        <v/>
      </c>
      <c r="V88" s="15">
        <f>IFERROR(VLOOKUP(S88,V8_COHORT_TABLE,2,FALSE),IFERROR(VLOOKUP(P88&amp;"|"&amp;Q88&amp;"|ALL",V8_COHORT_TABLE,2,FALSE),IFERROR(VLOOKUP(P88&amp;"|ALL|ALL",V8_COHORT_TABLE,2,FALSE),VLOOKUP("GLOBAL",V8_COHORT_TABLE,2,FALSE))))</f>
        <v/>
      </c>
      <c r="W88" s="15">
        <f>IFERROR(VLOOKUP(S88,V8_COHORT_TABLE,3,FALSE),IFERROR(VLOOKUP(P88&amp;"|"&amp;Q88&amp;"|ALL",V8_COHORT_TABLE,3,FALSE),IFERROR(VLOOKUP(P88&amp;"|ALL|ALL",V8_COHORT_TABLE,3,FALSE),VLOOKUP("GLOBAL",V8_COHORT_TABLE,3,FALSE))))</f>
        <v/>
      </c>
      <c r="X88" s="15">
        <f>IFERROR(VLOOKUP(S88,V8_COHORT_TABLE,4,FALSE),IFERROR(VLOOKUP(P88&amp;"|"&amp;Q88&amp;"|ALL",V8_COHORT_TABLE,4,FALSE),IFERROR(VLOOKUP(P88&amp;"|ALL|ALL",V8_COHORT_TABLE,4,FALSE),VLOOKUP("GLOBAL",V8_COHORT_TABLE,4,FALSE))))</f>
        <v/>
      </c>
      <c r="Y88" s="15">
        <f>IFERROR(VLOOKUP(S88,V8_COHORT_TABLE,5,FALSE),IFERROR(VLOOKUP(P88&amp;"|"&amp;Q88&amp;"|ALL",V8_COHORT_TABLE,5,FALSE),IFERROR(VLOOKUP(P88&amp;"|ALL|ALL",V8_COHORT_TABLE,5,FALSE),VLOOKUP("GLOBAL",V8_COHORT_TABLE,5,FALSE))))</f>
        <v/>
      </c>
      <c r="Z88" s="15">
        <f>V88+W88/(1+EXP(-(U88-X88)/Y88))</f>
        <v/>
      </c>
      <c r="AA88" s="16">
        <f>1-(1-Z88)^12</f>
        <v/>
      </c>
      <c r="AB88" s="14">
        <f>IF(K88&lt;=V8_AGE_KNOT_X_0,V8_AGE_KNOT_Y_0,IF(K88&gt;=V8_AGE_KNOT_X_5,V8_AGE_KNOT_Y_5,IF(K88&lt;=V8_AGE_KNOT_X_1,V8_AGE_KNOT_Y_0+(K88-V8_AGE_KNOT_X_0)/(V8_AGE_KNOT_X_1-V8_AGE_KNOT_X_0)*(V8_AGE_KNOT_Y_1-V8_AGE_KNOT_Y_0),IF(K88&lt;=V8_AGE_KNOT_X_2,V8_AGE_KNOT_Y_1+(K88-V8_AGE_KNOT_X_1)/(V8_AGE_KNOT_X_2-V8_AGE_KNOT_X_1)*(V8_AGE_KNOT_Y_2-V8_AGE_KNOT_Y_1),IF(K88&lt;=V8_AGE_KNOT_X_3,V8_AGE_KNOT_Y_2+(K88-V8_AGE_KNOT_X_2)/(V8_AGE_KNOT_X_3-V8_AGE_KNOT_X_2)*(V8_AGE_KNOT_Y_3-V8_AGE_KNOT_Y_2),IF(K88&lt;=V8_AGE_KNOT_X_4,V8_AGE_KNOT_Y_3+(K88-V8_AGE_KNOT_X_3)/(V8_AGE_KNOT_X_4-V8_AGE_KNOT_X_3)*(V8_AGE_KNOT_Y_4-V8_AGE_KNOT_Y_3),V8_AGE_KNOT_Y_4+(K88-V8_AGE_KNOT_X_4)/(V8_AGE_KNOT_X_5-V8_AGE_KNOT_X_4)*(V8_AGE_KNOT_Y_5-V8_AGE_KNOT_Y_4)))))))</f>
        <v/>
      </c>
      <c r="AC88" s="14">
        <f>IF(IF(OR(L88="",NOT(ISNUMBER(L88))),360,MAX(0,MIN(480,(INT(L88/100)-INT(VALUE(F88)/100))*12+MOD(L88,100)-MOD(VALUE(F88),100))))&gt;0,1+V8_MTY_AMP*MAX(0,(V8_MTY_CUTOFF-(IF(OR(L88="",NOT(ISNUMBER(L88))),360,MAX(0,MIN(480,(INT(L88/100)-INT(VALUE(F88)/100))*12+MOD(L88,100)-MOD(VALUE(F88),100))))))/V8_MTY_CUTOFF),1)</f>
        <v/>
      </c>
      <c r="AD88" s="14">
        <f>IF(AND(IF(OR(M88="",NOT(ISNUMBER(M88))),0,MAX(0,MIN(24,(INT(VALUE(F88)/100)-INT(M88/100))*12+MOD(VALUE(F88),100)-MOD(M88,100))))&gt;0,IF(OR(M88="",NOT(ISNUMBER(M88))),0,MAX(0,MIN(24,(INT(VALUE(F88)/100)-INT(M88/100))*12+MOD(VALUE(F88),100)-MOD(M88,100))))&lt;=12),1+V8_LOCKOUT_AMP*EXP(-(IF(OR(M88="",NOT(ISNUMBER(M88))),0,MAX(0,MIN(24,(INT(VALUE(F88)/100)-INT(M88/100))*12+MOD(VALUE(F88),100)-MOD(M88,100)))))/V8_LOCKOUT_TAU),1)</f>
        <v/>
      </c>
      <c r="AE88" s="14">
        <f>MAX(V8_BURN_FLOOR,1-V8_BURN_SLOPE*MIN(1,MAX(0,O88)))</f>
        <v/>
      </c>
      <c r="AF88" s="15">
        <f>MIN(Z88*AB88*AC88*AD88*AE88,0.2)</f>
        <v/>
      </c>
      <c r="AG88" s="16">
        <f>1-(1-AF88)^12</f>
        <v/>
      </c>
    </row>
    <row r="89">
      <c r="A89" s="2" t="inlineStr">
        <is>
          <t>000012311329</t>
        </is>
      </c>
      <c r="B89" t="inlineStr">
        <is>
          <t>223f</t>
        </is>
      </c>
      <c r="C89" t="inlineStr">
        <is>
          <t>RP</t>
        </is>
      </c>
      <c r="D89" t="inlineStr">
        <is>
          <t>WALKER &amp; DUNLOP, LLC</t>
        </is>
      </c>
      <c r="E89" t="n">
        <v>2022</v>
      </c>
      <c r="F89" t="inlineStr">
        <is>
          <t>202602</t>
        </is>
      </c>
      <c r="G89" s="8" t="n">
        <v>64446669.9</v>
      </c>
      <c r="H89" s="12" t="n">
        <v>4.25</v>
      </c>
      <c r="I89" s="13" t="n">
        <v>447</v>
      </c>
      <c r="J89" s="13" t="n">
        <v>7</v>
      </c>
      <c r="K89" t="n">
        <v>42</v>
      </c>
      <c r="L89" t="n">
        <v>205709</v>
      </c>
      <c r="M89" t="inlineStr"/>
      <c r="N89" t="n">
        <v>0</v>
      </c>
      <c r="O89" s="14" t="n">
        <v>0</v>
      </c>
      <c r="P89">
        <f>IF(ISNUMBER(SEARCH("232",B89)),"232",IF(ISNUMBER(SEARCH("538",B89)),"538",IF(ISNUMBER(SEARCH("223a7",B89)),"223a7",IF(ISNUMBER(SEARCH("223f",B89)),"223f","OTHER"))))</f>
        <v/>
      </c>
      <c r="Q89">
        <f>IF(UPPER(C89)="NC","NC","RP")</f>
        <v/>
      </c>
      <c r="R89">
        <f>IF(G89&lt;5000000,"small",IF(G89&lt;25000000,"medium","large"))</f>
        <v/>
      </c>
      <c r="S89">
        <f>P89&amp;"|"&amp;Q89&amp;"|"&amp;R89</f>
        <v/>
      </c>
      <c r="T89" s="13">
        <f>H89*100-I89</f>
        <v/>
      </c>
      <c r="U89" s="13">
        <f>T89-12.5*(J89+1)</f>
        <v/>
      </c>
      <c r="V89" s="15">
        <f>IFERROR(VLOOKUP(S89,V8_COHORT_TABLE,2,FALSE),IFERROR(VLOOKUP(P89&amp;"|"&amp;Q89&amp;"|ALL",V8_COHORT_TABLE,2,FALSE),IFERROR(VLOOKUP(P89&amp;"|ALL|ALL",V8_COHORT_TABLE,2,FALSE),VLOOKUP("GLOBAL",V8_COHORT_TABLE,2,FALSE))))</f>
        <v/>
      </c>
      <c r="W89" s="15">
        <f>IFERROR(VLOOKUP(S89,V8_COHORT_TABLE,3,FALSE),IFERROR(VLOOKUP(P89&amp;"|"&amp;Q89&amp;"|ALL",V8_COHORT_TABLE,3,FALSE),IFERROR(VLOOKUP(P89&amp;"|ALL|ALL",V8_COHORT_TABLE,3,FALSE),VLOOKUP("GLOBAL",V8_COHORT_TABLE,3,FALSE))))</f>
        <v/>
      </c>
      <c r="X89" s="15">
        <f>IFERROR(VLOOKUP(S89,V8_COHORT_TABLE,4,FALSE),IFERROR(VLOOKUP(P89&amp;"|"&amp;Q89&amp;"|ALL",V8_COHORT_TABLE,4,FALSE),IFERROR(VLOOKUP(P89&amp;"|ALL|ALL",V8_COHORT_TABLE,4,FALSE),VLOOKUP("GLOBAL",V8_COHORT_TABLE,4,FALSE))))</f>
        <v/>
      </c>
      <c r="Y89" s="15">
        <f>IFERROR(VLOOKUP(S89,V8_COHORT_TABLE,5,FALSE),IFERROR(VLOOKUP(P89&amp;"|"&amp;Q89&amp;"|ALL",V8_COHORT_TABLE,5,FALSE),IFERROR(VLOOKUP(P89&amp;"|ALL|ALL",V8_COHORT_TABLE,5,FALSE),VLOOKUP("GLOBAL",V8_COHORT_TABLE,5,FALSE))))</f>
        <v/>
      </c>
      <c r="Z89" s="15">
        <f>V89+W89/(1+EXP(-(U89-X89)/Y89))</f>
        <v/>
      </c>
      <c r="AA89" s="16">
        <f>1-(1-Z89)^12</f>
        <v/>
      </c>
      <c r="AB89" s="14">
        <f>IF(K89&lt;=V8_AGE_KNOT_X_0,V8_AGE_KNOT_Y_0,IF(K89&gt;=V8_AGE_KNOT_X_5,V8_AGE_KNOT_Y_5,IF(K89&lt;=V8_AGE_KNOT_X_1,V8_AGE_KNOT_Y_0+(K89-V8_AGE_KNOT_X_0)/(V8_AGE_KNOT_X_1-V8_AGE_KNOT_X_0)*(V8_AGE_KNOT_Y_1-V8_AGE_KNOT_Y_0),IF(K89&lt;=V8_AGE_KNOT_X_2,V8_AGE_KNOT_Y_1+(K89-V8_AGE_KNOT_X_1)/(V8_AGE_KNOT_X_2-V8_AGE_KNOT_X_1)*(V8_AGE_KNOT_Y_2-V8_AGE_KNOT_Y_1),IF(K89&lt;=V8_AGE_KNOT_X_3,V8_AGE_KNOT_Y_2+(K89-V8_AGE_KNOT_X_2)/(V8_AGE_KNOT_X_3-V8_AGE_KNOT_X_2)*(V8_AGE_KNOT_Y_3-V8_AGE_KNOT_Y_2),IF(K89&lt;=V8_AGE_KNOT_X_4,V8_AGE_KNOT_Y_3+(K89-V8_AGE_KNOT_X_3)/(V8_AGE_KNOT_X_4-V8_AGE_KNOT_X_3)*(V8_AGE_KNOT_Y_4-V8_AGE_KNOT_Y_3),V8_AGE_KNOT_Y_4+(K89-V8_AGE_KNOT_X_4)/(V8_AGE_KNOT_X_5-V8_AGE_KNOT_X_4)*(V8_AGE_KNOT_Y_5-V8_AGE_KNOT_Y_4)))))))</f>
        <v/>
      </c>
      <c r="AC89" s="14">
        <f>IF(IF(OR(L89="",NOT(ISNUMBER(L89))),360,MAX(0,MIN(480,(INT(L89/100)-INT(VALUE(F89)/100))*12+MOD(L89,100)-MOD(VALUE(F89),100))))&gt;0,1+V8_MTY_AMP*MAX(0,(V8_MTY_CUTOFF-(IF(OR(L89="",NOT(ISNUMBER(L89))),360,MAX(0,MIN(480,(INT(L89/100)-INT(VALUE(F89)/100))*12+MOD(L89,100)-MOD(VALUE(F89),100))))))/V8_MTY_CUTOFF),1)</f>
        <v/>
      </c>
      <c r="AD89" s="14">
        <f>IF(AND(IF(OR(M89="",NOT(ISNUMBER(M89))),0,MAX(0,MIN(24,(INT(VALUE(F89)/100)-INT(M89/100))*12+MOD(VALUE(F89),100)-MOD(M89,100))))&gt;0,IF(OR(M89="",NOT(ISNUMBER(M89))),0,MAX(0,MIN(24,(INT(VALUE(F89)/100)-INT(M89/100))*12+MOD(VALUE(F89),100)-MOD(M89,100))))&lt;=12),1+V8_LOCKOUT_AMP*EXP(-(IF(OR(M89="",NOT(ISNUMBER(M89))),0,MAX(0,MIN(24,(INT(VALUE(F89)/100)-INT(M89/100))*12+MOD(VALUE(F89),100)-MOD(M89,100)))))/V8_LOCKOUT_TAU),1)</f>
        <v/>
      </c>
      <c r="AE89" s="14">
        <f>MAX(V8_BURN_FLOOR,1-V8_BURN_SLOPE*MIN(1,MAX(0,O89)))</f>
        <v/>
      </c>
      <c r="AF89" s="15">
        <f>MIN(Z89*AB89*AC89*AD89*AE89,0.2)</f>
        <v/>
      </c>
      <c r="AG89" s="16">
        <f>1-(1-AF89)^12</f>
        <v/>
      </c>
    </row>
    <row r="90">
      <c r="A90" s="2" t="inlineStr">
        <is>
          <t>000008711151</t>
        </is>
      </c>
      <c r="B90" t="inlineStr">
        <is>
          <t>223f</t>
        </is>
      </c>
      <c r="C90" t="inlineStr">
        <is>
          <t>RP</t>
        </is>
      </c>
      <c r="D90" t="inlineStr">
        <is>
          <t>WALKER &amp; DUNLOP, LLC</t>
        </is>
      </c>
      <c r="E90" t="n">
        <v>2023</v>
      </c>
      <c r="F90" t="inlineStr">
        <is>
          <t>202602</t>
        </is>
      </c>
      <c r="G90" s="8" t="n">
        <v>6005643.3</v>
      </c>
      <c r="H90" s="12" t="n">
        <v>6.19</v>
      </c>
      <c r="I90" s="13" t="n">
        <v>447</v>
      </c>
      <c r="J90" s="13" t="n">
        <v>8</v>
      </c>
      <c r="K90" t="n">
        <v>28</v>
      </c>
      <c r="L90" t="n">
        <v>205811</v>
      </c>
      <c r="M90" t="inlineStr"/>
      <c r="N90" t="n">
        <v>7</v>
      </c>
      <c r="O90" s="14" t="n">
        <v>0.25</v>
      </c>
      <c r="P90">
        <f>IF(ISNUMBER(SEARCH("232",B90)),"232",IF(ISNUMBER(SEARCH("538",B90)),"538",IF(ISNUMBER(SEARCH("223a7",B90)),"223a7",IF(ISNUMBER(SEARCH("223f",B90)),"223f","OTHER"))))</f>
        <v/>
      </c>
      <c r="Q90">
        <f>IF(UPPER(C90)="NC","NC","RP")</f>
        <v/>
      </c>
      <c r="R90">
        <f>IF(G90&lt;5000000,"small",IF(G90&lt;25000000,"medium","large"))</f>
        <v/>
      </c>
      <c r="S90">
        <f>P90&amp;"|"&amp;Q90&amp;"|"&amp;R90</f>
        <v/>
      </c>
      <c r="T90" s="13">
        <f>H90*100-I90</f>
        <v/>
      </c>
      <c r="U90" s="13">
        <f>T90-12.5*(J90+1)</f>
        <v/>
      </c>
      <c r="V90" s="15">
        <f>IFERROR(VLOOKUP(S90,V8_COHORT_TABLE,2,FALSE),IFERROR(VLOOKUP(P90&amp;"|"&amp;Q90&amp;"|ALL",V8_COHORT_TABLE,2,FALSE),IFERROR(VLOOKUP(P90&amp;"|ALL|ALL",V8_COHORT_TABLE,2,FALSE),VLOOKUP("GLOBAL",V8_COHORT_TABLE,2,FALSE))))</f>
        <v/>
      </c>
      <c r="W90" s="15">
        <f>IFERROR(VLOOKUP(S90,V8_COHORT_TABLE,3,FALSE),IFERROR(VLOOKUP(P90&amp;"|"&amp;Q90&amp;"|ALL",V8_COHORT_TABLE,3,FALSE),IFERROR(VLOOKUP(P90&amp;"|ALL|ALL",V8_COHORT_TABLE,3,FALSE),VLOOKUP("GLOBAL",V8_COHORT_TABLE,3,FALSE))))</f>
        <v/>
      </c>
      <c r="X90" s="15">
        <f>IFERROR(VLOOKUP(S90,V8_COHORT_TABLE,4,FALSE),IFERROR(VLOOKUP(P90&amp;"|"&amp;Q90&amp;"|ALL",V8_COHORT_TABLE,4,FALSE),IFERROR(VLOOKUP(P90&amp;"|ALL|ALL",V8_COHORT_TABLE,4,FALSE),VLOOKUP("GLOBAL",V8_COHORT_TABLE,4,FALSE))))</f>
        <v/>
      </c>
      <c r="Y90" s="15">
        <f>IFERROR(VLOOKUP(S90,V8_COHORT_TABLE,5,FALSE),IFERROR(VLOOKUP(P90&amp;"|"&amp;Q90&amp;"|ALL",V8_COHORT_TABLE,5,FALSE),IFERROR(VLOOKUP(P90&amp;"|ALL|ALL",V8_COHORT_TABLE,5,FALSE),VLOOKUP("GLOBAL",V8_COHORT_TABLE,5,FALSE))))</f>
        <v/>
      </c>
      <c r="Z90" s="15">
        <f>V90+W90/(1+EXP(-(U90-X90)/Y90))</f>
        <v/>
      </c>
      <c r="AA90" s="16">
        <f>1-(1-Z90)^12</f>
        <v/>
      </c>
      <c r="AB90" s="14">
        <f>IF(K90&lt;=V8_AGE_KNOT_X_0,V8_AGE_KNOT_Y_0,IF(K90&gt;=V8_AGE_KNOT_X_5,V8_AGE_KNOT_Y_5,IF(K90&lt;=V8_AGE_KNOT_X_1,V8_AGE_KNOT_Y_0+(K90-V8_AGE_KNOT_X_0)/(V8_AGE_KNOT_X_1-V8_AGE_KNOT_X_0)*(V8_AGE_KNOT_Y_1-V8_AGE_KNOT_Y_0),IF(K90&lt;=V8_AGE_KNOT_X_2,V8_AGE_KNOT_Y_1+(K90-V8_AGE_KNOT_X_1)/(V8_AGE_KNOT_X_2-V8_AGE_KNOT_X_1)*(V8_AGE_KNOT_Y_2-V8_AGE_KNOT_Y_1),IF(K90&lt;=V8_AGE_KNOT_X_3,V8_AGE_KNOT_Y_2+(K90-V8_AGE_KNOT_X_2)/(V8_AGE_KNOT_X_3-V8_AGE_KNOT_X_2)*(V8_AGE_KNOT_Y_3-V8_AGE_KNOT_Y_2),IF(K90&lt;=V8_AGE_KNOT_X_4,V8_AGE_KNOT_Y_3+(K90-V8_AGE_KNOT_X_3)/(V8_AGE_KNOT_X_4-V8_AGE_KNOT_X_3)*(V8_AGE_KNOT_Y_4-V8_AGE_KNOT_Y_3),V8_AGE_KNOT_Y_4+(K90-V8_AGE_KNOT_X_4)/(V8_AGE_KNOT_X_5-V8_AGE_KNOT_X_4)*(V8_AGE_KNOT_Y_5-V8_AGE_KNOT_Y_4)))))))</f>
        <v/>
      </c>
      <c r="AC90" s="14">
        <f>IF(IF(OR(L90="",NOT(ISNUMBER(L90))),360,MAX(0,MIN(480,(INT(L90/100)-INT(VALUE(F90)/100))*12+MOD(L90,100)-MOD(VALUE(F90),100))))&gt;0,1+V8_MTY_AMP*MAX(0,(V8_MTY_CUTOFF-(IF(OR(L90="",NOT(ISNUMBER(L90))),360,MAX(0,MIN(480,(INT(L90/100)-INT(VALUE(F90)/100))*12+MOD(L90,100)-MOD(VALUE(F90),100))))))/V8_MTY_CUTOFF),1)</f>
        <v/>
      </c>
      <c r="AD90" s="14">
        <f>IF(AND(IF(OR(M90="",NOT(ISNUMBER(M90))),0,MAX(0,MIN(24,(INT(VALUE(F90)/100)-INT(M90/100))*12+MOD(VALUE(F90),100)-MOD(M90,100))))&gt;0,IF(OR(M90="",NOT(ISNUMBER(M90))),0,MAX(0,MIN(24,(INT(VALUE(F90)/100)-INT(M90/100))*12+MOD(VALUE(F90),100)-MOD(M90,100))))&lt;=12),1+V8_LOCKOUT_AMP*EXP(-(IF(OR(M90="",NOT(ISNUMBER(M90))),0,MAX(0,MIN(24,(INT(VALUE(F90)/100)-INT(M90/100))*12+MOD(VALUE(F90),100)-MOD(M90,100)))))/V8_LOCKOUT_TAU),1)</f>
        <v/>
      </c>
      <c r="AE90" s="14">
        <f>MAX(V8_BURN_FLOOR,1-V8_BURN_SLOPE*MIN(1,MAX(0,O90)))</f>
        <v/>
      </c>
      <c r="AF90" s="15">
        <f>MIN(Z90*AB90*AC90*AD90*AE90,0.2)</f>
        <v/>
      </c>
      <c r="AG90" s="16">
        <f>1-(1-AF90)^12</f>
        <v/>
      </c>
    </row>
    <row r="91">
      <c r="A91" s="2" t="inlineStr">
        <is>
          <t>000014311196</t>
        </is>
      </c>
      <c r="B91" t="inlineStr">
        <is>
          <t>223f</t>
        </is>
      </c>
      <c r="C91" t="inlineStr">
        <is>
          <t>RP</t>
        </is>
      </c>
      <c r="D91" t="inlineStr">
        <is>
          <t>WALKER &amp; DUNLOP, LLC</t>
        </is>
      </c>
      <c r="E91" t="n">
        <v>2018</v>
      </c>
      <c r="F91" t="inlineStr">
        <is>
          <t>202602</t>
        </is>
      </c>
      <c r="G91" s="8" t="n">
        <v>39007699.47</v>
      </c>
      <c r="H91" s="12" t="n">
        <v>3.38</v>
      </c>
      <c r="I91" s="13" t="n">
        <v>447</v>
      </c>
      <c r="J91" s="13" t="n">
        <v>7</v>
      </c>
      <c r="K91" t="n">
        <v>88</v>
      </c>
      <c r="L91" t="n">
        <v>205311</v>
      </c>
      <c r="M91" t="n">
        <v>202204</v>
      </c>
      <c r="N91" t="n">
        <v>9</v>
      </c>
      <c r="O91" s="14" t="n">
        <v>0.1022727272727273</v>
      </c>
      <c r="P91">
        <f>IF(ISNUMBER(SEARCH("232",B91)),"232",IF(ISNUMBER(SEARCH("538",B91)),"538",IF(ISNUMBER(SEARCH("223a7",B91)),"223a7",IF(ISNUMBER(SEARCH("223f",B91)),"223f","OTHER"))))</f>
        <v/>
      </c>
      <c r="Q91">
        <f>IF(UPPER(C91)="NC","NC","RP")</f>
        <v/>
      </c>
      <c r="R91">
        <f>IF(G91&lt;5000000,"small",IF(G91&lt;25000000,"medium","large"))</f>
        <v/>
      </c>
      <c r="S91">
        <f>P91&amp;"|"&amp;Q91&amp;"|"&amp;R91</f>
        <v/>
      </c>
      <c r="T91" s="13">
        <f>H91*100-I91</f>
        <v/>
      </c>
      <c r="U91" s="13">
        <f>T91-12.5*(J91+1)</f>
        <v/>
      </c>
      <c r="V91" s="15">
        <f>IFERROR(VLOOKUP(S91,V8_COHORT_TABLE,2,FALSE),IFERROR(VLOOKUP(P91&amp;"|"&amp;Q91&amp;"|ALL",V8_COHORT_TABLE,2,FALSE),IFERROR(VLOOKUP(P91&amp;"|ALL|ALL",V8_COHORT_TABLE,2,FALSE),VLOOKUP("GLOBAL",V8_COHORT_TABLE,2,FALSE))))</f>
        <v/>
      </c>
      <c r="W91" s="15">
        <f>IFERROR(VLOOKUP(S91,V8_COHORT_TABLE,3,FALSE),IFERROR(VLOOKUP(P91&amp;"|"&amp;Q91&amp;"|ALL",V8_COHORT_TABLE,3,FALSE),IFERROR(VLOOKUP(P91&amp;"|ALL|ALL",V8_COHORT_TABLE,3,FALSE),VLOOKUP("GLOBAL",V8_COHORT_TABLE,3,FALSE))))</f>
        <v/>
      </c>
      <c r="X91" s="15">
        <f>IFERROR(VLOOKUP(S91,V8_COHORT_TABLE,4,FALSE),IFERROR(VLOOKUP(P91&amp;"|"&amp;Q91&amp;"|ALL",V8_COHORT_TABLE,4,FALSE),IFERROR(VLOOKUP(P91&amp;"|ALL|ALL",V8_COHORT_TABLE,4,FALSE),VLOOKUP("GLOBAL",V8_COHORT_TABLE,4,FALSE))))</f>
        <v/>
      </c>
      <c r="Y91" s="15">
        <f>IFERROR(VLOOKUP(S91,V8_COHORT_TABLE,5,FALSE),IFERROR(VLOOKUP(P91&amp;"|"&amp;Q91&amp;"|ALL",V8_COHORT_TABLE,5,FALSE),IFERROR(VLOOKUP(P91&amp;"|ALL|ALL",V8_COHORT_TABLE,5,FALSE),VLOOKUP("GLOBAL",V8_COHORT_TABLE,5,FALSE))))</f>
        <v/>
      </c>
      <c r="Z91" s="15">
        <f>V91+W91/(1+EXP(-(U91-X91)/Y91))</f>
        <v/>
      </c>
      <c r="AA91" s="16">
        <f>1-(1-Z91)^12</f>
        <v/>
      </c>
      <c r="AB91" s="14">
        <f>IF(K91&lt;=V8_AGE_KNOT_X_0,V8_AGE_KNOT_Y_0,IF(K91&gt;=V8_AGE_KNOT_X_5,V8_AGE_KNOT_Y_5,IF(K91&lt;=V8_AGE_KNOT_X_1,V8_AGE_KNOT_Y_0+(K91-V8_AGE_KNOT_X_0)/(V8_AGE_KNOT_X_1-V8_AGE_KNOT_X_0)*(V8_AGE_KNOT_Y_1-V8_AGE_KNOT_Y_0),IF(K91&lt;=V8_AGE_KNOT_X_2,V8_AGE_KNOT_Y_1+(K91-V8_AGE_KNOT_X_1)/(V8_AGE_KNOT_X_2-V8_AGE_KNOT_X_1)*(V8_AGE_KNOT_Y_2-V8_AGE_KNOT_Y_1),IF(K91&lt;=V8_AGE_KNOT_X_3,V8_AGE_KNOT_Y_2+(K91-V8_AGE_KNOT_X_2)/(V8_AGE_KNOT_X_3-V8_AGE_KNOT_X_2)*(V8_AGE_KNOT_Y_3-V8_AGE_KNOT_Y_2),IF(K91&lt;=V8_AGE_KNOT_X_4,V8_AGE_KNOT_Y_3+(K91-V8_AGE_KNOT_X_3)/(V8_AGE_KNOT_X_4-V8_AGE_KNOT_X_3)*(V8_AGE_KNOT_Y_4-V8_AGE_KNOT_Y_3),V8_AGE_KNOT_Y_4+(K91-V8_AGE_KNOT_X_4)/(V8_AGE_KNOT_X_5-V8_AGE_KNOT_X_4)*(V8_AGE_KNOT_Y_5-V8_AGE_KNOT_Y_4)))))))</f>
        <v/>
      </c>
      <c r="AC91" s="14">
        <f>IF(IF(OR(L91="",NOT(ISNUMBER(L91))),360,MAX(0,MIN(480,(INT(L91/100)-INT(VALUE(F91)/100))*12+MOD(L91,100)-MOD(VALUE(F91),100))))&gt;0,1+V8_MTY_AMP*MAX(0,(V8_MTY_CUTOFF-(IF(OR(L91="",NOT(ISNUMBER(L91))),360,MAX(0,MIN(480,(INT(L91/100)-INT(VALUE(F91)/100))*12+MOD(L91,100)-MOD(VALUE(F91),100))))))/V8_MTY_CUTOFF),1)</f>
        <v/>
      </c>
      <c r="AD91" s="14">
        <f>IF(AND(IF(OR(M91="",NOT(ISNUMBER(M91))),0,MAX(0,MIN(24,(INT(VALUE(F91)/100)-INT(M91/100))*12+MOD(VALUE(F91),100)-MOD(M91,100))))&gt;0,IF(OR(M91="",NOT(ISNUMBER(M91))),0,MAX(0,MIN(24,(INT(VALUE(F91)/100)-INT(M91/100))*12+MOD(VALUE(F91),100)-MOD(M91,100))))&lt;=12),1+V8_LOCKOUT_AMP*EXP(-(IF(OR(M91="",NOT(ISNUMBER(M91))),0,MAX(0,MIN(24,(INT(VALUE(F91)/100)-INT(M91/100))*12+MOD(VALUE(F91),100)-MOD(M91,100)))))/V8_LOCKOUT_TAU),1)</f>
        <v/>
      </c>
      <c r="AE91" s="14">
        <f>MAX(V8_BURN_FLOOR,1-V8_BURN_SLOPE*MIN(1,MAX(0,O91)))</f>
        <v/>
      </c>
      <c r="AF91" s="15">
        <f>MIN(Z91*AB91*AC91*AD91*AE91,0.2)</f>
        <v/>
      </c>
      <c r="AG91" s="16">
        <f>1-(1-AF91)^12</f>
        <v/>
      </c>
    </row>
    <row r="92">
      <c r="A92" s="2" t="inlineStr">
        <is>
          <t>000010322077</t>
        </is>
      </c>
      <c r="B92" t="inlineStr">
        <is>
          <t>232</t>
        </is>
      </c>
      <c r="C92" t="inlineStr">
        <is>
          <t>RP</t>
        </is>
      </c>
      <c r="D92" t="inlineStr">
        <is>
          <t>WALKER &amp; DUNLOP, LLC</t>
        </is>
      </c>
      <c r="E92" t="n">
        <v>2022</v>
      </c>
      <c r="F92" t="inlineStr">
        <is>
          <t>202602</t>
        </is>
      </c>
      <c r="G92" s="8" t="n">
        <v>7367099.98</v>
      </c>
      <c r="H92" s="12" t="n">
        <v>5.7</v>
      </c>
      <c r="I92" s="13" t="n">
        <v>447</v>
      </c>
      <c r="J92" s="13" t="n">
        <v>7</v>
      </c>
      <c r="K92" t="n">
        <v>39</v>
      </c>
      <c r="L92" t="n">
        <v>205712</v>
      </c>
      <c r="M92" t="inlineStr"/>
      <c r="N92" t="n">
        <v>3</v>
      </c>
      <c r="O92" s="14" t="n">
        <v>0.07692307692307693</v>
      </c>
      <c r="P92">
        <f>IF(ISNUMBER(SEARCH("232",B92)),"232",IF(ISNUMBER(SEARCH("538",B92)),"538",IF(ISNUMBER(SEARCH("223a7",B92)),"223a7",IF(ISNUMBER(SEARCH("223f",B92)),"223f","OTHER"))))</f>
        <v/>
      </c>
      <c r="Q92">
        <f>IF(UPPER(C92)="NC","NC","RP")</f>
        <v/>
      </c>
      <c r="R92">
        <f>IF(G92&lt;5000000,"small",IF(G92&lt;25000000,"medium","large"))</f>
        <v/>
      </c>
      <c r="S92">
        <f>P92&amp;"|"&amp;Q92&amp;"|"&amp;R92</f>
        <v/>
      </c>
      <c r="T92" s="13">
        <f>H92*100-I92</f>
        <v/>
      </c>
      <c r="U92" s="13">
        <f>T92-12.5*(J92+1)</f>
        <v/>
      </c>
      <c r="V92" s="15">
        <f>IFERROR(VLOOKUP(S92,V8_COHORT_TABLE,2,FALSE),IFERROR(VLOOKUP(P92&amp;"|"&amp;Q92&amp;"|ALL",V8_COHORT_TABLE,2,FALSE),IFERROR(VLOOKUP(P92&amp;"|ALL|ALL",V8_COHORT_TABLE,2,FALSE),VLOOKUP("GLOBAL",V8_COHORT_TABLE,2,FALSE))))</f>
        <v/>
      </c>
      <c r="W92" s="15">
        <f>IFERROR(VLOOKUP(S92,V8_COHORT_TABLE,3,FALSE),IFERROR(VLOOKUP(P92&amp;"|"&amp;Q92&amp;"|ALL",V8_COHORT_TABLE,3,FALSE),IFERROR(VLOOKUP(P92&amp;"|ALL|ALL",V8_COHORT_TABLE,3,FALSE),VLOOKUP("GLOBAL",V8_COHORT_TABLE,3,FALSE))))</f>
        <v/>
      </c>
      <c r="X92" s="15">
        <f>IFERROR(VLOOKUP(S92,V8_COHORT_TABLE,4,FALSE),IFERROR(VLOOKUP(P92&amp;"|"&amp;Q92&amp;"|ALL",V8_COHORT_TABLE,4,FALSE),IFERROR(VLOOKUP(P92&amp;"|ALL|ALL",V8_COHORT_TABLE,4,FALSE),VLOOKUP("GLOBAL",V8_COHORT_TABLE,4,FALSE))))</f>
        <v/>
      </c>
      <c r="Y92" s="15">
        <f>IFERROR(VLOOKUP(S92,V8_COHORT_TABLE,5,FALSE),IFERROR(VLOOKUP(P92&amp;"|"&amp;Q92&amp;"|ALL",V8_COHORT_TABLE,5,FALSE),IFERROR(VLOOKUP(P92&amp;"|ALL|ALL",V8_COHORT_TABLE,5,FALSE),VLOOKUP("GLOBAL",V8_COHORT_TABLE,5,FALSE))))</f>
        <v/>
      </c>
      <c r="Z92" s="15">
        <f>V92+W92/(1+EXP(-(U92-X92)/Y92))</f>
        <v/>
      </c>
      <c r="AA92" s="16">
        <f>1-(1-Z92)^12</f>
        <v/>
      </c>
      <c r="AB92" s="14">
        <f>IF(K92&lt;=V8_AGE_KNOT_X_0,V8_AGE_KNOT_Y_0,IF(K92&gt;=V8_AGE_KNOT_X_5,V8_AGE_KNOT_Y_5,IF(K92&lt;=V8_AGE_KNOT_X_1,V8_AGE_KNOT_Y_0+(K92-V8_AGE_KNOT_X_0)/(V8_AGE_KNOT_X_1-V8_AGE_KNOT_X_0)*(V8_AGE_KNOT_Y_1-V8_AGE_KNOT_Y_0),IF(K92&lt;=V8_AGE_KNOT_X_2,V8_AGE_KNOT_Y_1+(K92-V8_AGE_KNOT_X_1)/(V8_AGE_KNOT_X_2-V8_AGE_KNOT_X_1)*(V8_AGE_KNOT_Y_2-V8_AGE_KNOT_Y_1),IF(K92&lt;=V8_AGE_KNOT_X_3,V8_AGE_KNOT_Y_2+(K92-V8_AGE_KNOT_X_2)/(V8_AGE_KNOT_X_3-V8_AGE_KNOT_X_2)*(V8_AGE_KNOT_Y_3-V8_AGE_KNOT_Y_2),IF(K92&lt;=V8_AGE_KNOT_X_4,V8_AGE_KNOT_Y_3+(K92-V8_AGE_KNOT_X_3)/(V8_AGE_KNOT_X_4-V8_AGE_KNOT_X_3)*(V8_AGE_KNOT_Y_4-V8_AGE_KNOT_Y_3),V8_AGE_KNOT_Y_4+(K92-V8_AGE_KNOT_X_4)/(V8_AGE_KNOT_X_5-V8_AGE_KNOT_X_4)*(V8_AGE_KNOT_Y_5-V8_AGE_KNOT_Y_4)))))))</f>
        <v/>
      </c>
      <c r="AC92" s="14">
        <f>IF(IF(OR(L92="",NOT(ISNUMBER(L92))),360,MAX(0,MIN(480,(INT(L92/100)-INT(VALUE(F92)/100))*12+MOD(L92,100)-MOD(VALUE(F92),100))))&gt;0,1+V8_MTY_AMP*MAX(0,(V8_MTY_CUTOFF-(IF(OR(L92="",NOT(ISNUMBER(L92))),360,MAX(0,MIN(480,(INT(L92/100)-INT(VALUE(F92)/100))*12+MOD(L92,100)-MOD(VALUE(F92),100))))))/V8_MTY_CUTOFF),1)</f>
        <v/>
      </c>
      <c r="AD92" s="14">
        <f>IF(AND(IF(OR(M92="",NOT(ISNUMBER(M92))),0,MAX(0,MIN(24,(INT(VALUE(F92)/100)-INT(M92/100))*12+MOD(VALUE(F92),100)-MOD(M92,100))))&gt;0,IF(OR(M92="",NOT(ISNUMBER(M92))),0,MAX(0,MIN(24,(INT(VALUE(F92)/100)-INT(M92/100))*12+MOD(VALUE(F92),100)-MOD(M92,100))))&lt;=12),1+V8_LOCKOUT_AMP*EXP(-(IF(OR(M92="",NOT(ISNUMBER(M92))),0,MAX(0,MIN(24,(INT(VALUE(F92)/100)-INT(M92/100))*12+MOD(VALUE(F92),100)-MOD(M92,100)))))/V8_LOCKOUT_TAU),1)</f>
        <v/>
      </c>
      <c r="AE92" s="14">
        <f>MAX(V8_BURN_FLOOR,1-V8_BURN_SLOPE*MIN(1,MAX(0,O92)))</f>
        <v/>
      </c>
      <c r="AF92" s="15">
        <f>MIN(Z92*AB92*AC92*AD92*AE92,0.2)</f>
        <v/>
      </c>
      <c r="AG92" s="16">
        <f>1-(1-AF92)^12</f>
        <v/>
      </c>
    </row>
    <row r="93">
      <c r="A93" s="2" t="inlineStr">
        <is>
          <t>000004611202</t>
        </is>
      </c>
      <c r="B93" t="inlineStr">
        <is>
          <t>223f</t>
        </is>
      </c>
      <c r="C93" t="inlineStr">
        <is>
          <t>RP</t>
        </is>
      </c>
      <c r="D93" t="inlineStr">
        <is>
          <t>GREYSTONE FUNDING COMPANY LLC</t>
        </is>
      </c>
      <c r="E93" t="n">
        <v>2022</v>
      </c>
      <c r="F93" t="inlineStr">
        <is>
          <t>202602</t>
        </is>
      </c>
      <c r="G93" s="8" t="n">
        <v>6334987</v>
      </c>
      <c r="H93" s="12" t="n">
        <v>2.9</v>
      </c>
      <c r="I93" s="13" t="n">
        <v>447</v>
      </c>
      <c r="J93" s="13" t="n">
        <v>0</v>
      </c>
      <c r="K93" t="n">
        <v>47</v>
      </c>
      <c r="L93" t="n">
        <v>205704</v>
      </c>
      <c r="M93" t="inlineStr"/>
      <c r="N93" t="n">
        <v>0</v>
      </c>
      <c r="O93" s="14" t="n">
        <v>0</v>
      </c>
      <c r="P93">
        <f>IF(ISNUMBER(SEARCH("232",B93)),"232",IF(ISNUMBER(SEARCH("538",B93)),"538",IF(ISNUMBER(SEARCH("223a7",B93)),"223a7",IF(ISNUMBER(SEARCH("223f",B93)),"223f","OTHER"))))</f>
        <v/>
      </c>
      <c r="Q93">
        <f>IF(UPPER(C93)="NC","NC","RP")</f>
        <v/>
      </c>
      <c r="R93">
        <f>IF(G93&lt;5000000,"small",IF(G93&lt;25000000,"medium","large"))</f>
        <v/>
      </c>
      <c r="S93">
        <f>P93&amp;"|"&amp;Q93&amp;"|"&amp;R93</f>
        <v/>
      </c>
      <c r="T93" s="13">
        <f>H93*100-I93</f>
        <v/>
      </c>
      <c r="U93" s="13">
        <f>T93-12.5*(J93+1)</f>
        <v/>
      </c>
      <c r="V93" s="15">
        <f>IFERROR(VLOOKUP(S93,V8_COHORT_TABLE,2,FALSE),IFERROR(VLOOKUP(P93&amp;"|"&amp;Q93&amp;"|ALL",V8_COHORT_TABLE,2,FALSE),IFERROR(VLOOKUP(P93&amp;"|ALL|ALL",V8_COHORT_TABLE,2,FALSE),VLOOKUP("GLOBAL",V8_COHORT_TABLE,2,FALSE))))</f>
        <v/>
      </c>
      <c r="W93" s="15">
        <f>IFERROR(VLOOKUP(S93,V8_COHORT_TABLE,3,FALSE),IFERROR(VLOOKUP(P93&amp;"|"&amp;Q93&amp;"|ALL",V8_COHORT_TABLE,3,FALSE),IFERROR(VLOOKUP(P93&amp;"|ALL|ALL",V8_COHORT_TABLE,3,FALSE),VLOOKUP("GLOBAL",V8_COHORT_TABLE,3,FALSE))))</f>
        <v/>
      </c>
      <c r="X93" s="15">
        <f>IFERROR(VLOOKUP(S93,V8_COHORT_TABLE,4,FALSE),IFERROR(VLOOKUP(P93&amp;"|"&amp;Q93&amp;"|ALL",V8_COHORT_TABLE,4,FALSE),IFERROR(VLOOKUP(P93&amp;"|ALL|ALL",V8_COHORT_TABLE,4,FALSE),VLOOKUP("GLOBAL",V8_COHORT_TABLE,4,FALSE))))</f>
        <v/>
      </c>
      <c r="Y93" s="15">
        <f>IFERROR(VLOOKUP(S93,V8_COHORT_TABLE,5,FALSE),IFERROR(VLOOKUP(P93&amp;"|"&amp;Q93&amp;"|ALL",V8_COHORT_TABLE,5,FALSE),IFERROR(VLOOKUP(P93&amp;"|ALL|ALL",V8_COHORT_TABLE,5,FALSE),VLOOKUP("GLOBAL",V8_COHORT_TABLE,5,FALSE))))</f>
        <v/>
      </c>
      <c r="Z93" s="15">
        <f>V93+W93/(1+EXP(-(U93-X93)/Y93))</f>
        <v/>
      </c>
      <c r="AA93" s="16">
        <f>1-(1-Z93)^12</f>
        <v/>
      </c>
      <c r="AB93" s="14">
        <f>IF(K93&lt;=V8_AGE_KNOT_X_0,V8_AGE_KNOT_Y_0,IF(K93&gt;=V8_AGE_KNOT_X_5,V8_AGE_KNOT_Y_5,IF(K93&lt;=V8_AGE_KNOT_X_1,V8_AGE_KNOT_Y_0+(K93-V8_AGE_KNOT_X_0)/(V8_AGE_KNOT_X_1-V8_AGE_KNOT_X_0)*(V8_AGE_KNOT_Y_1-V8_AGE_KNOT_Y_0),IF(K93&lt;=V8_AGE_KNOT_X_2,V8_AGE_KNOT_Y_1+(K93-V8_AGE_KNOT_X_1)/(V8_AGE_KNOT_X_2-V8_AGE_KNOT_X_1)*(V8_AGE_KNOT_Y_2-V8_AGE_KNOT_Y_1),IF(K93&lt;=V8_AGE_KNOT_X_3,V8_AGE_KNOT_Y_2+(K93-V8_AGE_KNOT_X_2)/(V8_AGE_KNOT_X_3-V8_AGE_KNOT_X_2)*(V8_AGE_KNOT_Y_3-V8_AGE_KNOT_Y_2),IF(K93&lt;=V8_AGE_KNOT_X_4,V8_AGE_KNOT_Y_3+(K93-V8_AGE_KNOT_X_3)/(V8_AGE_KNOT_X_4-V8_AGE_KNOT_X_3)*(V8_AGE_KNOT_Y_4-V8_AGE_KNOT_Y_3),V8_AGE_KNOT_Y_4+(K93-V8_AGE_KNOT_X_4)/(V8_AGE_KNOT_X_5-V8_AGE_KNOT_X_4)*(V8_AGE_KNOT_Y_5-V8_AGE_KNOT_Y_4)))))))</f>
        <v/>
      </c>
      <c r="AC93" s="14">
        <f>IF(IF(OR(L93="",NOT(ISNUMBER(L93))),360,MAX(0,MIN(480,(INT(L93/100)-INT(VALUE(F93)/100))*12+MOD(L93,100)-MOD(VALUE(F93),100))))&gt;0,1+V8_MTY_AMP*MAX(0,(V8_MTY_CUTOFF-(IF(OR(L93="",NOT(ISNUMBER(L93))),360,MAX(0,MIN(480,(INT(L93/100)-INT(VALUE(F93)/100))*12+MOD(L93,100)-MOD(VALUE(F93),100))))))/V8_MTY_CUTOFF),1)</f>
        <v/>
      </c>
      <c r="AD93" s="14">
        <f>IF(AND(IF(OR(M93="",NOT(ISNUMBER(M93))),0,MAX(0,MIN(24,(INT(VALUE(F93)/100)-INT(M93/100))*12+MOD(VALUE(F93),100)-MOD(M93,100))))&gt;0,IF(OR(M93="",NOT(ISNUMBER(M93))),0,MAX(0,MIN(24,(INT(VALUE(F93)/100)-INT(M93/100))*12+MOD(VALUE(F93),100)-MOD(M93,100))))&lt;=12),1+V8_LOCKOUT_AMP*EXP(-(IF(OR(M93="",NOT(ISNUMBER(M93))),0,MAX(0,MIN(24,(INT(VALUE(F93)/100)-INT(M93/100))*12+MOD(VALUE(F93),100)-MOD(M93,100)))))/V8_LOCKOUT_TAU),1)</f>
        <v/>
      </c>
      <c r="AE93" s="14">
        <f>MAX(V8_BURN_FLOOR,1-V8_BURN_SLOPE*MIN(1,MAX(0,O93)))</f>
        <v/>
      </c>
      <c r="AF93" s="15">
        <f>MIN(Z93*AB93*AC93*AD93*AE93,0.2)</f>
        <v/>
      </c>
      <c r="AG93" s="16">
        <f>1-(1-AF93)^12</f>
        <v/>
      </c>
    </row>
    <row r="94">
      <c r="A94" s="2" t="inlineStr">
        <is>
          <t>000004222412</t>
        </is>
      </c>
      <c r="B94" t="inlineStr">
        <is>
          <t>232</t>
        </is>
      </c>
      <c r="C94" t="inlineStr">
        <is>
          <t>RP</t>
        </is>
      </c>
      <c r="D94" t="inlineStr">
        <is>
          <t>GREYSTONE FUNDING COMPANY LLC</t>
        </is>
      </c>
      <c r="E94" t="n">
        <v>2023</v>
      </c>
      <c r="F94" t="inlineStr">
        <is>
          <t>202602</t>
        </is>
      </c>
      <c r="G94" s="8" t="n">
        <v>8313205.86</v>
      </c>
      <c r="H94" s="12" t="n">
        <v>6.09</v>
      </c>
      <c r="I94" s="13" t="n">
        <v>447</v>
      </c>
      <c r="J94" s="13" t="n">
        <v>8</v>
      </c>
      <c r="K94" t="n">
        <v>29</v>
      </c>
      <c r="L94" t="n">
        <v>205810</v>
      </c>
      <c r="M94" t="inlineStr"/>
      <c r="N94" t="n">
        <v>5</v>
      </c>
      <c r="O94" s="14" t="n">
        <v>0.1724137931034483</v>
      </c>
      <c r="P94">
        <f>IF(ISNUMBER(SEARCH("232",B94)),"232",IF(ISNUMBER(SEARCH("538",B94)),"538",IF(ISNUMBER(SEARCH("223a7",B94)),"223a7",IF(ISNUMBER(SEARCH("223f",B94)),"223f","OTHER"))))</f>
        <v/>
      </c>
      <c r="Q94">
        <f>IF(UPPER(C94)="NC","NC","RP")</f>
        <v/>
      </c>
      <c r="R94">
        <f>IF(G94&lt;5000000,"small",IF(G94&lt;25000000,"medium","large"))</f>
        <v/>
      </c>
      <c r="S94">
        <f>P94&amp;"|"&amp;Q94&amp;"|"&amp;R94</f>
        <v/>
      </c>
      <c r="T94" s="13">
        <f>H94*100-I94</f>
        <v/>
      </c>
      <c r="U94" s="13">
        <f>T94-12.5*(J94+1)</f>
        <v/>
      </c>
      <c r="V94" s="15">
        <f>IFERROR(VLOOKUP(S94,V8_COHORT_TABLE,2,FALSE),IFERROR(VLOOKUP(P94&amp;"|"&amp;Q94&amp;"|ALL",V8_COHORT_TABLE,2,FALSE),IFERROR(VLOOKUP(P94&amp;"|ALL|ALL",V8_COHORT_TABLE,2,FALSE),VLOOKUP("GLOBAL",V8_COHORT_TABLE,2,FALSE))))</f>
        <v/>
      </c>
      <c r="W94" s="15">
        <f>IFERROR(VLOOKUP(S94,V8_COHORT_TABLE,3,FALSE),IFERROR(VLOOKUP(P94&amp;"|"&amp;Q94&amp;"|ALL",V8_COHORT_TABLE,3,FALSE),IFERROR(VLOOKUP(P94&amp;"|ALL|ALL",V8_COHORT_TABLE,3,FALSE),VLOOKUP("GLOBAL",V8_COHORT_TABLE,3,FALSE))))</f>
        <v/>
      </c>
      <c r="X94" s="15">
        <f>IFERROR(VLOOKUP(S94,V8_COHORT_TABLE,4,FALSE),IFERROR(VLOOKUP(P94&amp;"|"&amp;Q94&amp;"|ALL",V8_COHORT_TABLE,4,FALSE),IFERROR(VLOOKUP(P94&amp;"|ALL|ALL",V8_COHORT_TABLE,4,FALSE),VLOOKUP("GLOBAL",V8_COHORT_TABLE,4,FALSE))))</f>
        <v/>
      </c>
      <c r="Y94" s="15">
        <f>IFERROR(VLOOKUP(S94,V8_COHORT_TABLE,5,FALSE),IFERROR(VLOOKUP(P94&amp;"|"&amp;Q94&amp;"|ALL",V8_COHORT_TABLE,5,FALSE),IFERROR(VLOOKUP(P94&amp;"|ALL|ALL",V8_COHORT_TABLE,5,FALSE),VLOOKUP("GLOBAL",V8_COHORT_TABLE,5,FALSE))))</f>
        <v/>
      </c>
      <c r="Z94" s="15">
        <f>V94+W94/(1+EXP(-(U94-X94)/Y94))</f>
        <v/>
      </c>
      <c r="AA94" s="16">
        <f>1-(1-Z94)^12</f>
        <v/>
      </c>
      <c r="AB94" s="14">
        <f>IF(K94&lt;=V8_AGE_KNOT_X_0,V8_AGE_KNOT_Y_0,IF(K94&gt;=V8_AGE_KNOT_X_5,V8_AGE_KNOT_Y_5,IF(K94&lt;=V8_AGE_KNOT_X_1,V8_AGE_KNOT_Y_0+(K94-V8_AGE_KNOT_X_0)/(V8_AGE_KNOT_X_1-V8_AGE_KNOT_X_0)*(V8_AGE_KNOT_Y_1-V8_AGE_KNOT_Y_0),IF(K94&lt;=V8_AGE_KNOT_X_2,V8_AGE_KNOT_Y_1+(K94-V8_AGE_KNOT_X_1)/(V8_AGE_KNOT_X_2-V8_AGE_KNOT_X_1)*(V8_AGE_KNOT_Y_2-V8_AGE_KNOT_Y_1),IF(K94&lt;=V8_AGE_KNOT_X_3,V8_AGE_KNOT_Y_2+(K94-V8_AGE_KNOT_X_2)/(V8_AGE_KNOT_X_3-V8_AGE_KNOT_X_2)*(V8_AGE_KNOT_Y_3-V8_AGE_KNOT_Y_2),IF(K94&lt;=V8_AGE_KNOT_X_4,V8_AGE_KNOT_Y_3+(K94-V8_AGE_KNOT_X_3)/(V8_AGE_KNOT_X_4-V8_AGE_KNOT_X_3)*(V8_AGE_KNOT_Y_4-V8_AGE_KNOT_Y_3),V8_AGE_KNOT_Y_4+(K94-V8_AGE_KNOT_X_4)/(V8_AGE_KNOT_X_5-V8_AGE_KNOT_X_4)*(V8_AGE_KNOT_Y_5-V8_AGE_KNOT_Y_4)))))))</f>
        <v/>
      </c>
      <c r="AC94" s="14">
        <f>IF(IF(OR(L94="",NOT(ISNUMBER(L94))),360,MAX(0,MIN(480,(INT(L94/100)-INT(VALUE(F94)/100))*12+MOD(L94,100)-MOD(VALUE(F94),100))))&gt;0,1+V8_MTY_AMP*MAX(0,(V8_MTY_CUTOFF-(IF(OR(L94="",NOT(ISNUMBER(L94))),360,MAX(0,MIN(480,(INT(L94/100)-INT(VALUE(F94)/100))*12+MOD(L94,100)-MOD(VALUE(F94),100))))))/V8_MTY_CUTOFF),1)</f>
        <v/>
      </c>
      <c r="AD94" s="14">
        <f>IF(AND(IF(OR(M94="",NOT(ISNUMBER(M94))),0,MAX(0,MIN(24,(INT(VALUE(F94)/100)-INT(M94/100))*12+MOD(VALUE(F94),100)-MOD(M94,100))))&gt;0,IF(OR(M94="",NOT(ISNUMBER(M94))),0,MAX(0,MIN(24,(INT(VALUE(F94)/100)-INT(M94/100))*12+MOD(VALUE(F94),100)-MOD(M94,100))))&lt;=12),1+V8_LOCKOUT_AMP*EXP(-(IF(OR(M94="",NOT(ISNUMBER(M94))),0,MAX(0,MIN(24,(INT(VALUE(F94)/100)-INT(M94/100))*12+MOD(VALUE(F94),100)-MOD(M94,100)))))/V8_LOCKOUT_TAU),1)</f>
        <v/>
      </c>
      <c r="AE94" s="14">
        <f>MAX(V8_BURN_FLOOR,1-V8_BURN_SLOPE*MIN(1,MAX(0,O94)))</f>
        <v/>
      </c>
      <c r="AF94" s="15">
        <f>MIN(Z94*AB94*AC94*AD94*AE94,0.2)</f>
        <v/>
      </c>
      <c r="AG94" s="16">
        <f>1-(1-AF94)^12</f>
        <v/>
      </c>
    </row>
    <row r="95">
      <c r="A95" s="2" t="inlineStr">
        <is>
          <t>000012335554</t>
        </is>
      </c>
      <c r="B95" t="inlineStr">
        <is>
          <t>221d4</t>
        </is>
      </c>
      <c r="C95" t="inlineStr">
        <is>
          <t>NC</t>
        </is>
      </c>
      <c r="D95" t="inlineStr">
        <is>
          <t>GREYSTONE FUNDING COMPANY LLC</t>
        </is>
      </c>
      <c r="E95" t="n">
        <v>2020</v>
      </c>
      <c r="F95" t="inlineStr">
        <is>
          <t>202602</t>
        </is>
      </c>
      <c r="G95" s="8" t="n">
        <v>28046987.97</v>
      </c>
      <c r="H95" s="12" t="n">
        <v>3.25</v>
      </c>
      <c r="I95" s="13" t="n">
        <v>447</v>
      </c>
      <c r="J95" s="13" t="n">
        <v>7</v>
      </c>
      <c r="K95" t="n">
        <v>65</v>
      </c>
      <c r="L95" t="n">
        <v>206209</v>
      </c>
      <c r="M95" t="inlineStr"/>
      <c r="N95" t="n">
        <v>0</v>
      </c>
      <c r="O95" s="14" t="n">
        <v>0</v>
      </c>
      <c r="P95">
        <f>IF(ISNUMBER(SEARCH("232",B95)),"232",IF(ISNUMBER(SEARCH("538",B95)),"538",IF(ISNUMBER(SEARCH("223a7",B95)),"223a7",IF(ISNUMBER(SEARCH("223f",B95)),"223f","OTHER"))))</f>
        <v/>
      </c>
      <c r="Q95">
        <f>IF(UPPER(C95)="NC","NC","RP")</f>
        <v/>
      </c>
      <c r="R95">
        <f>IF(G95&lt;5000000,"small",IF(G95&lt;25000000,"medium","large"))</f>
        <v/>
      </c>
      <c r="S95">
        <f>P95&amp;"|"&amp;Q95&amp;"|"&amp;R95</f>
        <v/>
      </c>
      <c r="T95" s="13">
        <f>H95*100-I95</f>
        <v/>
      </c>
      <c r="U95" s="13">
        <f>T95-12.5*(J95+1)</f>
        <v/>
      </c>
      <c r="V95" s="15">
        <f>IFERROR(VLOOKUP(S95,V8_COHORT_TABLE,2,FALSE),IFERROR(VLOOKUP(P95&amp;"|"&amp;Q95&amp;"|ALL",V8_COHORT_TABLE,2,FALSE),IFERROR(VLOOKUP(P95&amp;"|ALL|ALL",V8_COHORT_TABLE,2,FALSE),VLOOKUP("GLOBAL",V8_COHORT_TABLE,2,FALSE))))</f>
        <v/>
      </c>
      <c r="W95" s="15">
        <f>IFERROR(VLOOKUP(S95,V8_COHORT_TABLE,3,FALSE),IFERROR(VLOOKUP(P95&amp;"|"&amp;Q95&amp;"|ALL",V8_COHORT_TABLE,3,FALSE),IFERROR(VLOOKUP(P95&amp;"|ALL|ALL",V8_COHORT_TABLE,3,FALSE),VLOOKUP("GLOBAL",V8_COHORT_TABLE,3,FALSE))))</f>
        <v/>
      </c>
      <c r="X95" s="15">
        <f>IFERROR(VLOOKUP(S95,V8_COHORT_TABLE,4,FALSE),IFERROR(VLOOKUP(P95&amp;"|"&amp;Q95&amp;"|ALL",V8_COHORT_TABLE,4,FALSE),IFERROR(VLOOKUP(P95&amp;"|ALL|ALL",V8_COHORT_TABLE,4,FALSE),VLOOKUP("GLOBAL",V8_COHORT_TABLE,4,FALSE))))</f>
        <v/>
      </c>
      <c r="Y95" s="15">
        <f>IFERROR(VLOOKUP(S95,V8_COHORT_TABLE,5,FALSE),IFERROR(VLOOKUP(P95&amp;"|"&amp;Q95&amp;"|ALL",V8_COHORT_TABLE,5,FALSE),IFERROR(VLOOKUP(P95&amp;"|ALL|ALL",V8_COHORT_TABLE,5,FALSE),VLOOKUP("GLOBAL",V8_COHORT_TABLE,5,FALSE))))</f>
        <v/>
      </c>
      <c r="Z95" s="15">
        <f>V95+W95/(1+EXP(-(U95-X95)/Y95))</f>
        <v/>
      </c>
      <c r="AA95" s="16">
        <f>1-(1-Z95)^12</f>
        <v/>
      </c>
      <c r="AB95" s="14">
        <f>IF(K95&lt;=V8_AGE_KNOT_X_0,V8_AGE_KNOT_Y_0,IF(K95&gt;=V8_AGE_KNOT_X_5,V8_AGE_KNOT_Y_5,IF(K95&lt;=V8_AGE_KNOT_X_1,V8_AGE_KNOT_Y_0+(K95-V8_AGE_KNOT_X_0)/(V8_AGE_KNOT_X_1-V8_AGE_KNOT_X_0)*(V8_AGE_KNOT_Y_1-V8_AGE_KNOT_Y_0),IF(K95&lt;=V8_AGE_KNOT_X_2,V8_AGE_KNOT_Y_1+(K95-V8_AGE_KNOT_X_1)/(V8_AGE_KNOT_X_2-V8_AGE_KNOT_X_1)*(V8_AGE_KNOT_Y_2-V8_AGE_KNOT_Y_1),IF(K95&lt;=V8_AGE_KNOT_X_3,V8_AGE_KNOT_Y_2+(K95-V8_AGE_KNOT_X_2)/(V8_AGE_KNOT_X_3-V8_AGE_KNOT_X_2)*(V8_AGE_KNOT_Y_3-V8_AGE_KNOT_Y_2),IF(K95&lt;=V8_AGE_KNOT_X_4,V8_AGE_KNOT_Y_3+(K95-V8_AGE_KNOT_X_3)/(V8_AGE_KNOT_X_4-V8_AGE_KNOT_X_3)*(V8_AGE_KNOT_Y_4-V8_AGE_KNOT_Y_3),V8_AGE_KNOT_Y_4+(K95-V8_AGE_KNOT_X_4)/(V8_AGE_KNOT_X_5-V8_AGE_KNOT_X_4)*(V8_AGE_KNOT_Y_5-V8_AGE_KNOT_Y_4)))))))</f>
        <v/>
      </c>
      <c r="AC95" s="14">
        <f>IF(IF(OR(L95="",NOT(ISNUMBER(L95))),360,MAX(0,MIN(480,(INT(L95/100)-INT(VALUE(F95)/100))*12+MOD(L95,100)-MOD(VALUE(F95),100))))&gt;0,1+V8_MTY_AMP*MAX(0,(V8_MTY_CUTOFF-(IF(OR(L95="",NOT(ISNUMBER(L95))),360,MAX(0,MIN(480,(INT(L95/100)-INT(VALUE(F95)/100))*12+MOD(L95,100)-MOD(VALUE(F95),100))))))/V8_MTY_CUTOFF),1)</f>
        <v/>
      </c>
      <c r="AD95" s="14">
        <f>IF(AND(IF(OR(M95="",NOT(ISNUMBER(M95))),0,MAX(0,MIN(24,(INT(VALUE(F95)/100)-INT(M95/100))*12+MOD(VALUE(F95),100)-MOD(M95,100))))&gt;0,IF(OR(M95="",NOT(ISNUMBER(M95))),0,MAX(0,MIN(24,(INT(VALUE(F95)/100)-INT(M95/100))*12+MOD(VALUE(F95),100)-MOD(M95,100))))&lt;=12),1+V8_LOCKOUT_AMP*EXP(-(IF(OR(M95="",NOT(ISNUMBER(M95))),0,MAX(0,MIN(24,(INT(VALUE(F95)/100)-INT(M95/100))*12+MOD(VALUE(F95),100)-MOD(M95,100)))))/V8_LOCKOUT_TAU),1)</f>
        <v/>
      </c>
      <c r="AE95" s="14">
        <f>MAX(V8_BURN_FLOOR,1-V8_BURN_SLOPE*MIN(1,MAX(0,O95)))</f>
        <v/>
      </c>
      <c r="AF95" s="15">
        <f>MIN(Z95*AB95*AC95*AD95*AE95,0.2)</f>
        <v/>
      </c>
      <c r="AG95" s="16">
        <f>1-(1-AF95)^12</f>
        <v/>
      </c>
    </row>
    <row r="96">
      <c r="A96" s="2" t="inlineStr">
        <is>
          <t>000009211486</t>
        </is>
      </c>
      <c r="B96" t="inlineStr">
        <is>
          <t>223f</t>
        </is>
      </c>
      <c r="C96" t="inlineStr">
        <is>
          <t>RP</t>
        </is>
      </c>
      <c r="D96" t="inlineStr">
        <is>
          <t>GREYSTONE FUNDING COMPANY LLC</t>
        </is>
      </c>
      <c r="E96" t="n">
        <v>2020</v>
      </c>
      <c r="F96" t="inlineStr">
        <is>
          <t>202602</t>
        </is>
      </c>
      <c r="G96" s="8" t="n">
        <v>4214790.92</v>
      </c>
      <c r="H96" s="12" t="n">
        <v>2.41</v>
      </c>
      <c r="I96" s="13" t="n">
        <v>447</v>
      </c>
      <c r="J96" s="13" t="n">
        <v>5</v>
      </c>
      <c r="K96" t="n">
        <v>62</v>
      </c>
      <c r="L96" t="n">
        <v>205601</v>
      </c>
      <c r="M96" t="inlineStr"/>
      <c r="N96" t="n">
        <v>0</v>
      </c>
      <c r="O96" s="14" t="n">
        <v>0</v>
      </c>
      <c r="P96">
        <f>IF(ISNUMBER(SEARCH("232",B96)),"232",IF(ISNUMBER(SEARCH("538",B96)),"538",IF(ISNUMBER(SEARCH("223a7",B96)),"223a7",IF(ISNUMBER(SEARCH("223f",B96)),"223f","OTHER"))))</f>
        <v/>
      </c>
      <c r="Q96">
        <f>IF(UPPER(C96)="NC","NC","RP")</f>
        <v/>
      </c>
      <c r="R96">
        <f>IF(G96&lt;5000000,"small",IF(G96&lt;25000000,"medium","large"))</f>
        <v/>
      </c>
      <c r="S96">
        <f>P96&amp;"|"&amp;Q96&amp;"|"&amp;R96</f>
        <v/>
      </c>
      <c r="T96" s="13">
        <f>H96*100-I96</f>
        <v/>
      </c>
      <c r="U96" s="13">
        <f>T96-12.5*(J96+1)</f>
        <v/>
      </c>
      <c r="V96" s="15">
        <f>IFERROR(VLOOKUP(S96,V8_COHORT_TABLE,2,FALSE),IFERROR(VLOOKUP(P96&amp;"|"&amp;Q96&amp;"|ALL",V8_COHORT_TABLE,2,FALSE),IFERROR(VLOOKUP(P96&amp;"|ALL|ALL",V8_COHORT_TABLE,2,FALSE),VLOOKUP("GLOBAL",V8_COHORT_TABLE,2,FALSE))))</f>
        <v/>
      </c>
      <c r="W96" s="15">
        <f>IFERROR(VLOOKUP(S96,V8_COHORT_TABLE,3,FALSE),IFERROR(VLOOKUP(P96&amp;"|"&amp;Q96&amp;"|ALL",V8_COHORT_TABLE,3,FALSE),IFERROR(VLOOKUP(P96&amp;"|ALL|ALL",V8_COHORT_TABLE,3,FALSE),VLOOKUP("GLOBAL",V8_COHORT_TABLE,3,FALSE))))</f>
        <v/>
      </c>
      <c r="X96" s="15">
        <f>IFERROR(VLOOKUP(S96,V8_COHORT_TABLE,4,FALSE),IFERROR(VLOOKUP(P96&amp;"|"&amp;Q96&amp;"|ALL",V8_COHORT_TABLE,4,FALSE),IFERROR(VLOOKUP(P96&amp;"|ALL|ALL",V8_COHORT_TABLE,4,FALSE),VLOOKUP("GLOBAL",V8_COHORT_TABLE,4,FALSE))))</f>
        <v/>
      </c>
      <c r="Y96" s="15">
        <f>IFERROR(VLOOKUP(S96,V8_COHORT_TABLE,5,FALSE),IFERROR(VLOOKUP(P96&amp;"|"&amp;Q96&amp;"|ALL",V8_COHORT_TABLE,5,FALSE),IFERROR(VLOOKUP(P96&amp;"|ALL|ALL",V8_COHORT_TABLE,5,FALSE),VLOOKUP("GLOBAL",V8_COHORT_TABLE,5,FALSE))))</f>
        <v/>
      </c>
      <c r="Z96" s="15">
        <f>V96+W96/(1+EXP(-(U96-X96)/Y96))</f>
        <v/>
      </c>
      <c r="AA96" s="16">
        <f>1-(1-Z96)^12</f>
        <v/>
      </c>
      <c r="AB96" s="14">
        <f>IF(K96&lt;=V8_AGE_KNOT_X_0,V8_AGE_KNOT_Y_0,IF(K96&gt;=V8_AGE_KNOT_X_5,V8_AGE_KNOT_Y_5,IF(K96&lt;=V8_AGE_KNOT_X_1,V8_AGE_KNOT_Y_0+(K96-V8_AGE_KNOT_X_0)/(V8_AGE_KNOT_X_1-V8_AGE_KNOT_X_0)*(V8_AGE_KNOT_Y_1-V8_AGE_KNOT_Y_0),IF(K96&lt;=V8_AGE_KNOT_X_2,V8_AGE_KNOT_Y_1+(K96-V8_AGE_KNOT_X_1)/(V8_AGE_KNOT_X_2-V8_AGE_KNOT_X_1)*(V8_AGE_KNOT_Y_2-V8_AGE_KNOT_Y_1),IF(K96&lt;=V8_AGE_KNOT_X_3,V8_AGE_KNOT_Y_2+(K96-V8_AGE_KNOT_X_2)/(V8_AGE_KNOT_X_3-V8_AGE_KNOT_X_2)*(V8_AGE_KNOT_Y_3-V8_AGE_KNOT_Y_2),IF(K96&lt;=V8_AGE_KNOT_X_4,V8_AGE_KNOT_Y_3+(K96-V8_AGE_KNOT_X_3)/(V8_AGE_KNOT_X_4-V8_AGE_KNOT_X_3)*(V8_AGE_KNOT_Y_4-V8_AGE_KNOT_Y_3),V8_AGE_KNOT_Y_4+(K96-V8_AGE_KNOT_X_4)/(V8_AGE_KNOT_X_5-V8_AGE_KNOT_X_4)*(V8_AGE_KNOT_Y_5-V8_AGE_KNOT_Y_4)))))))</f>
        <v/>
      </c>
      <c r="AC96" s="14">
        <f>IF(IF(OR(L96="",NOT(ISNUMBER(L96))),360,MAX(0,MIN(480,(INT(L96/100)-INT(VALUE(F96)/100))*12+MOD(L96,100)-MOD(VALUE(F96),100))))&gt;0,1+V8_MTY_AMP*MAX(0,(V8_MTY_CUTOFF-(IF(OR(L96="",NOT(ISNUMBER(L96))),360,MAX(0,MIN(480,(INT(L96/100)-INT(VALUE(F96)/100))*12+MOD(L96,100)-MOD(VALUE(F96),100))))))/V8_MTY_CUTOFF),1)</f>
        <v/>
      </c>
      <c r="AD96" s="14">
        <f>IF(AND(IF(OR(M96="",NOT(ISNUMBER(M96))),0,MAX(0,MIN(24,(INT(VALUE(F96)/100)-INT(M96/100))*12+MOD(VALUE(F96),100)-MOD(M96,100))))&gt;0,IF(OR(M96="",NOT(ISNUMBER(M96))),0,MAX(0,MIN(24,(INT(VALUE(F96)/100)-INT(M96/100))*12+MOD(VALUE(F96),100)-MOD(M96,100))))&lt;=12),1+V8_LOCKOUT_AMP*EXP(-(IF(OR(M96="",NOT(ISNUMBER(M96))),0,MAX(0,MIN(24,(INT(VALUE(F96)/100)-INT(M96/100))*12+MOD(VALUE(F96),100)-MOD(M96,100)))))/V8_LOCKOUT_TAU),1)</f>
        <v/>
      </c>
      <c r="AE96" s="14">
        <f>MAX(V8_BURN_FLOOR,1-V8_BURN_SLOPE*MIN(1,MAX(0,O96)))</f>
        <v/>
      </c>
      <c r="AF96" s="15">
        <f>MIN(Z96*AB96*AC96*AD96*AE96,0.2)</f>
        <v/>
      </c>
      <c r="AG96" s="16">
        <f>1-(1-AF96)^12</f>
        <v/>
      </c>
    </row>
    <row r="97">
      <c r="A97" s="2" t="inlineStr">
        <is>
          <t>000011722043</t>
        </is>
      </c>
      <c r="B97" t="inlineStr">
        <is>
          <t>232</t>
        </is>
      </c>
      <c r="C97" t="inlineStr">
        <is>
          <t>RP</t>
        </is>
      </c>
      <c r="D97" t="inlineStr">
        <is>
          <t>GREYSTONE FUNDING COMPANY LLC</t>
        </is>
      </c>
      <c r="E97" t="n">
        <v>2021</v>
      </c>
      <c r="F97" t="inlineStr">
        <is>
          <t>202602</t>
        </is>
      </c>
      <c r="G97" s="8" t="n">
        <v>3120938.09</v>
      </c>
      <c r="H97" s="12" t="n">
        <v>2.75</v>
      </c>
      <c r="I97" s="13" t="n">
        <v>447</v>
      </c>
      <c r="J97" s="13" t="n">
        <v>6</v>
      </c>
      <c r="K97" t="n">
        <v>50</v>
      </c>
      <c r="L97" t="n">
        <v>205201</v>
      </c>
      <c r="M97" t="inlineStr"/>
      <c r="N97" t="n">
        <v>0</v>
      </c>
      <c r="O97" s="14" t="n">
        <v>0</v>
      </c>
      <c r="P97">
        <f>IF(ISNUMBER(SEARCH("232",B97)),"232",IF(ISNUMBER(SEARCH("538",B97)),"538",IF(ISNUMBER(SEARCH("223a7",B97)),"223a7",IF(ISNUMBER(SEARCH("223f",B97)),"223f","OTHER"))))</f>
        <v/>
      </c>
      <c r="Q97">
        <f>IF(UPPER(C97)="NC","NC","RP")</f>
        <v/>
      </c>
      <c r="R97">
        <f>IF(G97&lt;5000000,"small",IF(G97&lt;25000000,"medium","large"))</f>
        <v/>
      </c>
      <c r="S97">
        <f>P97&amp;"|"&amp;Q97&amp;"|"&amp;R97</f>
        <v/>
      </c>
      <c r="T97" s="13">
        <f>H97*100-I97</f>
        <v/>
      </c>
      <c r="U97" s="13">
        <f>T97-12.5*(J97+1)</f>
        <v/>
      </c>
      <c r="V97" s="15">
        <f>IFERROR(VLOOKUP(S97,V8_COHORT_TABLE,2,FALSE),IFERROR(VLOOKUP(P97&amp;"|"&amp;Q97&amp;"|ALL",V8_COHORT_TABLE,2,FALSE),IFERROR(VLOOKUP(P97&amp;"|ALL|ALL",V8_COHORT_TABLE,2,FALSE),VLOOKUP("GLOBAL",V8_COHORT_TABLE,2,FALSE))))</f>
        <v/>
      </c>
      <c r="W97" s="15">
        <f>IFERROR(VLOOKUP(S97,V8_COHORT_TABLE,3,FALSE),IFERROR(VLOOKUP(P97&amp;"|"&amp;Q97&amp;"|ALL",V8_COHORT_TABLE,3,FALSE),IFERROR(VLOOKUP(P97&amp;"|ALL|ALL",V8_COHORT_TABLE,3,FALSE),VLOOKUP("GLOBAL",V8_COHORT_TABLE,3,FALSE))))</f>
        <v/>
      </c>
      <c r="X97" s="15">
        <f>IFERROR(VLOOKUP(S97,V8_COHORT_TABLE,4,FALSE),IFERROR(VLOOKUP(P97&amp;"|"&amp;Q97&amp;"|ALL",V8_COHORT_TABLE,4,FALSE),IFERROR(VLOOKUP(P97&amp;"|ALL|ALL",V8_COHORT_TABLE,4,FALSE),VLOOKUP("GLOBAL",V8_COHORT_TABLE,4,FALSE))))</f>
        <v/>
      </c>
      <c r="Y97" s="15">
        <f>IFERROR(VLOOKUP(S97,V8_COHORT_TABLE,5,FALSE),IFERROR(VLOOKUP(P97&amp;"|"&amp;Q97&amp;"|ALL",V8_COHORT_TABLE,5,FALSE),IFERROR(VLOOKUP(P97&amp;"|ALL|ALL",V8_COHORT_TABLE,5,FALSE),VLOOKUP("GLOBAL",V8_COHORT_TABLE,5,FALSE))))</f>
        <v/>
      </c>
      <c r="Z97" s="15">
        <f>V97+W97/(1+EXP(-(U97-X97)/Y97))</f>
        <v/>
      </c>
      <c r="AA97" s="16">
        <f>1-(1-Z97)^12</f>
        <v/>
      </c>
      <c r="AB97" s="14">
        <f>IF(K97&lt;=V8_AGE_KNOT_X_0,V8_AGE_KNOT_Y_0,IF(K97&gt;=V8_AGE_KNOT_X_5,V8_AGE_KNOT_Y_5,IF(K97&lt;=V8_AGE_KNOT_X_1,V8_AGE_KNOT_Y_0+(K97-V8_AGE_KNOT_X_0)/(V8_AGE_KNOT_X_1-V8_AGE_KNOT_X_0)*(V8_AGE_KNOT_Y_1-V8_AGE_KNOT_Y_0),IF(K97&lt;=V8_AGE_KNOT_X_2,V8_AGE_KNOT_Y_1+(K97-V8_AGE_KNOT_X_1)/(V8_AGE_KNOT_X_2-V8_AGE_KNOT_X_1)*(V8_AGE_KNOT_Y_2-V8_AGE_KNOT_Y_1),IF(K97&lt;=V8_AGE_KNOT_X_3,V8_AGE_KNOT_Y_2+(K97-V8_AGE_KNOT_X_2)/(V8_AGE_KNOT_X_3-V8_AGE_KNOT_X_2)*(V8_AGE_KNOT_Y_3-V8_AGE_KNOT_Y_2),IF(K97&lt;=V8_AGE_KNOT_X_4,V8_AGE_KNOT_Y_3+(K97-V8_AGE_KNOT_X_3)/(V8_AGE_KNOT_X_4-V8_AGE_KNOT_X_3)*(V8_AGE_KNOT_Y_4-V8_AGE_KNOT_Y_3),V8_AGE_KNOT_Y_4+(K97-V8_AGE_KNOT_X_4)/(V8_AGE_KNOT_X_5-V8_AGE_KNOT_X_4)*(V8_AGE_KNOT_Y_5-V8_AGE_KNOT_Y_4)))))))</f>
        <v/>
      </c>
      <c r="AC97" s="14">
        <f>IF(IF(OR(L97="",NOT(ISNUMBER(L97))),360,MAX(0,MIN(480,(INT(L97/100)-INT(VALUE(F97)/100))*12+MOD(L97,100)-MOD(VALUE(F97),100))))&gt;0,1+V8_MTY_AMP*MAX(0,(V8_MTY_CUTOFF-(IF(OR(L97="",NOT(ISNUMBER(L97))),360,MAX(0,MIN(480,(INT(L97/100)-INT(VALUE(F97)/100))*12+MOD(L97,100)-MOD(VALUE(F97),100))))))/V8_MTY_CUTOFF),1)</f>
        <v/>
      </c>
      <c r="AD97" s="14">
        <f>IF(AND(IF(OR(M97="",NOT(ISNUMBER(M97))),0,MAX(0,MIN(24,(INT(VALUE(F97)/100)-INT(M97/100))*12+MOD(VALUE(F97),100)-MOD(M97,100))))&gt;0,IF(OR(M97="",NOT(ISNUMBER(M97))),0,MAX(0,MIN(24,(INT(VALUE(F97)/100)-INT(M97/100))*12+MOD(VALUE(F97),100)-MOD(M97,100))))&lt;=12),1+V8_LOCKOUT_AMP*EXP(-(IF(OR(M97="",NOT(ISNUMBER(M97))),0,MAX(0,MIN(24,(INT(VALUE(F97)/100)-INT(M97/100))*12+MOD(VALUE(F97),100)-MOD(M97,100)))))/V8_LOCKOUT_TAU),1)</f>
        <v/>
      </c>
      <c r="AE97" s="14">
        <f>MAX(V8_BURN_FLOOR,1-V8_BURN_SLOPE*MIN(1,MAX(0,O97)))</f>
        <v/>
      </c>
      <c r="AF97" s="15">
        <f>MIN(Z97*AB97*AC97*AD97*AE97,0.2)</f>
        <v/>
      </c>
      <c r="AG97" s="16">
        <f>1-(1-AF97)^12</f>
        <v/>
      </c>
    </row>
    <row r="98">
      <c r="A98" s="2" t="inlineStr">
        <is>
          <t>000011311514</t>
        </is>
      </c>
      <c r="B98" t="inlineStr">
        <is>
          <t>223f</t>
        </is>
      </c>
      <c r="C98" t="inlineStr">
        <is>
          <t>RP</t>
        </is>
      </c>
      <c r="D98" t="inlineStr">
        <is>
          <t>GREYSTONE FUNDING COMPANY LLC</t>
        </is>
      </c>
      <c r="E98" t="n">
        <v>2022</v>
      </c>
      <c r="F98" t="inlineStr">
        <is>
          <t>202602</t>
        </is>
      </c>
      <c r="G98" s="8" t="n">
        <v>40409683.54</v>
      </c>
      <c r="H98" s="12" t="n">
        <v>4.08</v>
      </c>
      <c r="I98" s="13" t="n">
        <v>447</v>
      </c>
      <c r="J98" s="13" t="n">
        <v>7</v>
      </c>
      <c r="K98" t="n">
        <v>41</v>
      </c>
      <c r="L98" t="n">
        <v>205710</v>
      </c>
      <c r="M98" t="inlineStr"/>
      <c r="N98" t="n">
        <v>0</v>
      </c>
      <c r="O98" s="14" t="n">
        <v>0</v>
      </c>
      <c r="P98">
        <f>IF(ISNUMBER(SEARCH("232",B98)),"232",IF(ISNUMBER(SEARCH("538",B98)),"538",IF(ISNUMBER(SEARCH("223a7",B98)),"223a7",IF(ISNUMBER(SEARCH("223f",B98)),"223f","OTHER"))))</f>
        <v/>
      </c>
      <c r="Q98">
        <f>IF(UPPER(C98)="NC","NC","RP")</f>
        <v/>
      </c>
      <c r="R98">
        <f>IF(G98&lt;5000000,"small",IF(G98&lt;25000000,"medium","large"))</f>
        <v/>
      </c>
      <c r="S98">
        <f>P98&amp;"|"&amp;Q98&amp;"|"&amp;R98</f>
        <v/>
      </c>
      <c r="T98" s="13">
        <f>H98*100-I98</f>
        <v/>
      </c>
      <c r="U98" s="13">
        <f>T98-12.5*(J98+1)</f>
        <v/>
      </c>
      <c r="V98" s="15">
        <f>IFERROR(VLOOKUP(S98,V8_COHORT_TABLE,2,FALSE),IFERROR(VLOOKUP(P98&amp;"|"&amp;Q98&amp;"|ALL",V8_COHORT_TABLE,2,FALSE),IFERROR(VLOOKUP(P98&amp;"|ALL|ALL",V8_COHORT_TABLE,2,FALSE),VLOOKUP("GLOBAL",V8_COHORT_TABLE,2,FALSE))))</f>
        <v/>
      </c>
      <c r="W98" s="15">
        <f>IFERROR(VLOOKUP(S98,V8_COHORT_TABLE,3,FALSE),IFERROR(VLOOKUP(P98&amp;"|"&amp;Q98&amp;"|ALL",V8_COHORT_TABLE,3,FALSE),IFERROR(VLOOKUP(P98&amp;"|ALL|ALL",V8_COHORT_TABLE,3,FALSE),VLOOKUP("GLOBAL",V8_COHORT_TABLE,3,FALSE))))</f>
        <v/>
      </c>
      <c r="X98" s="15">
        <f>IFERROR(VLOOKUP(S98,V8_COHORT_TABLE,4,FALSE),IFERROR(VLOOKUP(P98&amp;"|"&amp;Q98&amp;"|ALL",V8_COHORT_TABLE,4,FALSE),IFERROR(VLOOKUP(P98&amp;"|ALL|ALL",V8_COHORT_TABLE,4,FALSE),VLOOKUP("GLOBAL",V8_COHORT_TABLE,4,FALSE))))</f>
        <v/>
      </c>
      <c r="Y98" s="15">
        <f>IFERROR(VLOOKUP(S98,V8_COHORT_TABLE,5,FALSE),IFERROR(VLOOKUP(P98&amp;"|"&amp;Q98&amp;"|ALL",V8_COHORT_TABLE,5,FALSE),IFERROR(VLOOKUP(P98&amp;"|ALL|ALL",V8_COHORT_TABLE,5,FALSE),VLOOKUP("GLOBAL",V8_COHORT_TABLE,5,FALSE))))</f>
        <v/>
      </c>
      <c r="Z98" s="15">
        <f>V98+W98/(1+EXP(-(U98-X98)/Y98))</f>
        <v/>
      </c>
      <c r="AA98" s="16">
        <f>1-(1-Z98)^12</f>
        <v/>
      </c>
      <c r="AB98" s="14">
        <f>IF(K98&lt;=V8_AGE_KNOT_X_0,V8_AGE_KNOT_Y_0,IF(K98&gt;=V8_AGE_KNOT_X_5,V8_AGE_KNOT_Y_5,IF(K98&lt;=V8_AGE_KNOT_X_1,V8_AGE_KNOT_Y_0+(K98-V8_AGE_KNOT_X_0)/(V8_AGE_KNOT_X_1-V8_AGE_KNOT_X_0)*(V8_AGE_KNOT_Y_1-V8_AGE_KNOT_Y_0),IF(K98&lt;=V8_AGE_KNOT_X_2,V8_AGE_KNOT_Y_1+(K98-V8_AGE_KNOT_X_1)/(V8_AGE_KNOT_X_2-V8_AGE_KNOT_X_1)*(V8_AGE_KNOT_Y_2-V8_AGE_KNOT_Y_1),IF(K98&lt;=V8_AGE_KNOT_X_3,V8_AGE_KNOT_Y_2+(K98-V8_AGE_KNOT_X_2)/(V8_AGE_KNOT_X_3-V8_AGE_KNOT_X_2)*(V8_AGE_KNOT_Y_3-V8_AGE_KNOT_Y_2),IF(K98&lt;=V8_AGE_KNOT_X_4,V8_AGE_KNOT_Y_3+(K98-V8_AGE_KNOT_X_3)/(V8_AGE_KNOT_X_4-V8_AGE_KNOT_X_3)*(V8_AGE_KNOT_Y_4-V8_AGE_KNOT_Y_3),V8_AGE_KNOT_Y_4+(K98-V8_AGE_KNOT_X_4)/(V8_AGE_KNOT_X_5-V8_AGE_KNOT_X_4)*(V8_AGE_KNOT_Y_5-V8_AGE_KNOT_Y_4)))))))</f>
        <v/>
      </c>
      <c r="AC98" s="14">
        <f>IF(IF(OR(L98="",NOT(ISNUMBER(L98))),360,MAX(0,MIN(480,(INT(L98/100)-INT(VALUE(F98)/100))*12+MOD(L98,100)-MOD(VALUE(F98),100))))&gt;0,1+V8_MTY_AMP*MAX(0,(V8_MTY_CUTOFF-(IF(OR(L98="",NOT(ISNUMBER(L98))),360,MAX(0,MIN(480,(INT(L98/100)-INT(VALUE(F98)/100))*12+MOD(L98,100)-MOD(VALUE(F98),100))))))/V8_MTY_CUTOFF),1)</f>
        <v/>
      </c>
      <c r="AD98" s="14">
        <f>IF(AND(IF(OR(M98="",NOT(ISNUMBER(M98))),0,MAX(0,MIN(24,(INT(VALUE(F98)/100)-INT(M98/100))*12+MOD(VALUE(F98),100)-MOD(M98,100))))&gt;0,IF(OR(M98="",NOT(ISNUMBER(M98))),0,MAX(0,MIN(24,(INT(VALUE(F98)/100)-INT(M98/100))*12+MOD(VALUE(F98),100)-MOD(M98,100))))&lt;=12),1+V8_LOCKOUT_AMP*EXP(-(IF(OR(M98="",NOT(ISNUMBER(M98))),0,MAX(0,MIN(24,(INT(VALUE(F98)/100)-INT(M98/100))*12+MOD(VALUE(F98),100)-MOD(M98,100)))))/V8_LOCKOUT_TAU),1)</f>
        <v/>
      </c>
      <c r="AE98" s="14">
        <f>MAX(V8_BURN_FLOOR,1-V8_BURN_SLOPE*MIN(1,MAX(0,O98)))</f>
        <v/>
      </c>
      <c r="AF98" s="15">
        <f>MIN(Z98*AB98*AC98*AD98*AE98,0.2)</f>
        <v/>
      </c>
      <c r="AG98" s="16">
        <f>1-(1-AF98)^12</f>
        <v/>
      </c>
    </row>
    <row r="99">
      <c r="A99" s="2" t="inlineStr">
        <is>
          <t>000003122133</t>
        </is>
      </c>
      <c r="B99" t="inlineStr">
        <is>
          <t>232</t>
        </is>
      </c>
      <c r="C99" t="inlineStr">
        <is>
          <t>RP</t>
        </is>
      </c>
      <c r="D99" t="inlineStr">
        <is>
          <t>GREYSTONE FUNDING COMPANY LLC</t>
        </is>
      </c>
      <c r="E99" t="n">
        <v>2021</v>
      </c>
      <c r="F99" t="inlineStr">
        <is>
          <t>202602</t>
        </is>
      </c>
      <c r="G99" s="8" t="n">
        <v>33132361.37</v>
      </c>
      <c r="H99" s="12" t="n">
        <v>2.29</v>
      </c>
      <c r="I99" s="13" t="n">
        <v>447</v>
      </c>
      <c r="J99" s="13" t="n">
        <v>6</v>
      </c>
      <c r="K99" t="n">
        <v>60</v>
      </c>
      <c r="L99" t="n">
        <v>205103</v>
      </c>
      <c r="M99" t="inlineStr"/>
      <c r="N99" t="n">
        <v>0</v>
      </c>
      <c r="O99" s="14" t="n">
        <v>0</v>
      </c>
      <c r="P99">
        <f>IF(ISNUMBER(SEARCH("232",B99)),"232",IF(ISNUMBER(SEARCH("538",B99)),"538",IF(ISNUMBER(SEARCH("223a7",B99)),"223a7",IF(ISNUMBER(SEARCH("223f",B99)),"223f","OTHER"))))</f>
        <v/>
      </c>
      <c r="Q99">
        <f>IF(UPPER(C99)="NC","NC","RP")</f>
        <v/>
      </c>
      <c r="R99">
        <f>IF(G99&lt;5000000,"small",IF(G99&lt;25000000,"medium","large"))</f>
        <v/>
      </c>
      <c r="S99">
        <f>P99&amp;"|"&amp;Q99&amp;"|"&amp;R99</f>
        <v/>
      </c>
      <c r="T99" s="13">
        <f>H99*100-I99</f>
        <v/>
      </c>
      <c r="U99" s="13">
        <f>T99-12.5*(J99+1)</f>
        <v/>
      </c>
      <c r="V99" s="15">
        <f>IFERROR(VLOOKUP(S99,V8_COHORT_TABLE,2,FALSE),IFERROR(VLOOKUP(P99&amp;"|"&amp;Q99&amp;"|ALL",V8_COHORT_TABLE,2,FALSE),IFERROR(VLOOKUP(P99&amp;"|ALL|ALL",V8_COHORT_TABLE,2,FALSE),VLOOKUP("GLOBAL",V8_COHORT_TABLE,2,FALSE))))</f>
        <v/>
      </c>
      <c r="W99" s="15">
        <f>IFERROR(VLOOKUP(S99,V8_COHORT_TABLE,3,FALSE),IFERROR(VLOOKUP(P99&amp;"|"&amp;Q99&amp;"|ALL",V8_COHORT_TABLE,3,FALSE),IFERROR(VLOOKUP(P99&amp;"|ALL|ALL",V8_COHORT_TABLE,3,FALSE),VLOOKUP("GLOBAL",V8_COHORT_TABLE,3,FALSE))))</f>
        <v/>
      </c>
      <c r="X99" s="15">
        <f>IFERROR(VLOOKUP(S99,V8_COHORT_TABLE,4,FALSE),IFERROR(VLOOKUP(P99&amp;"|"&amp;Q99&amp;"|ALL",V8_COHORT_TABLE,4,FALSE),IFERROR(VLOOKUP(P99&amp;"|ALL|ALL",V8_COHORT_TABLE,4,FALSE),VLOOKUP("GLOBAL",V8_COHORT_TABLE,4,FALSE))))</f>
        <v/>
      </c>
      <c r="Y99" s="15">
        <f>IFERROR(VLOOKUP(S99,V8_COHORT_TABLE,5,FALSE),IFERROR(VLOOKUP(P99&amp;"|"&amp;Q99&amp;"|ALL",V8_COHORT_TABLE,5,FALSE),IFERROR(VLOOKUP(P99&amp;"|ALL|ALL",V8_COHORT_TABLE,5,FALSE),VLOOKUP("GLOBAL",V8_COHORT_TABLE,5,FALSE))))</f>
        <v/>
      </c>
      <c r="Z99" s="15">
        <f>V99+W99/(1+EXP(-(U99-X99)/Y99))</f>
        <v/>
      </c>
      <c r="AA99" s="16">
        <f>1-(1-Z99)^12</f>
        <v/>
      </c>
      <c r="AB99" s="14">
        <f>IF(K99&lt;=V8_AGE_KNOT_X_0,V8_AGE_KNOT_Y_0,IF(K99&gt;=V8_AGE_KNOT_X_5,V8_AGE_KNOT_Y_5,IF(K99&lt;=V8_AGE_KNOT_X_1,V8_AGE_KNOT_Y_0+(K99-V8_AGE_KNOT_X_0)/(V8_AGE_KNOT_X_1-V8_AGE_KNOT_X_0)*(V8_AGE_KNOT_Y_1-V8_AGE_KNOT_Y_0),IF(K99&lt;=V8_AGE_KNOT_X_2,V8_AGE_KNOT_Y_1+(K99-V8_AGE_KNOT_X_1)/(V8_AGE_KNOT_X_2-V8_AGE_KNOT_X_1)*(V8_AGE_KNOT_Y_2-V8_AGE_KNOT_Y_1),IF(K99&lt;=V8_AGE_KNOT_X_3,V8_AGE_KNOT_Y_2+(K99-V8_AGE_KNOT_X_2)/(V8_AGE_KNOT_X_3-V8_AGE_KNOT_X_2)*(V8_AGE_KNOT_Y_3-V8_AGE_KNOT_Y_2),IF(K99&lt;=V8_AGE_KNOT_X_4,V8_AGE_KNOT_Y_3+(K99-V8_AGE_KNOT_X_3)/(V8_AGE_KNOT_X_4-V8_AGE_KNOT_X_3)*(V8_AGE_KNOT_Y_4-V8_AGE_KNOT_Y_3),V8_AGE_KNOT_Y_4+(K99-V8_AGE_KNOT_X_4)/(V8_AGE_KNOT_X_5-V8_AGE_KNOT_X_4)*(V8_AGE_KNOT_Y_5-V8_AGE_KNOT_Y_4)))))))</f>
        <v/>
      </c>
      <c r="AC99" s="14">
        <f>IF(IF(OR(L99="",NOT(ISNUMBER(L99))),360,MAX(0,MIN(480,(INT(L99/100)-INT(VALUE(F99)/100))*12+MOD(L99,100)-MOD(VALUE(F99),100))))&gt;0,1+V8_MTY_AMP*MAX(0,(V8_MTY_CUTOFF-(IF(OR(L99="",NOT(ISNUMBER(L99))),360,MAX(0,MIN(480,(INT(L99/100)-INT(VALUE(F99)/100))*12+MOD(L99,100)-MOD(VALUE(F99),100))))))/V8_MTY_CUTOFF),1)</f>
        <v/>
      </c>
      <c r="AD99" s="14">
        <f>IF(AND(IF(OR(M99="",NOT(ISNUMBER(M99))),0,MAX(0,MIN(24,(INT(VALUE(F99)/100)-INT(M99/100))*12+MOD(VALUE(F99),100)-MOD(M99,100))))&gt;0,IF(OR(M99="",NOT(ISNUMBER(M99))),0,MAX(0,MIN(24,(INT(VALUE(F99)/100)-INT(M99/100))*12+MOD(VALUE(F99),100)-MOD(M99,100))))&lt;=12),1+V8_LOCKOUT_AMP*EXP(-(IF(OR(M99="",NOT(ISNUMBER(M99))),0,MAX(0,MIN(24,(INT(VALUE(F99)/100)-INT(M99/100))*12+MOD(VALUE(F99),100)-MOD(M99,100)))))/V8_LOCKOUT_TAU),1)</f>
        <v/>
      </c>
      <c r="AE99" s="14">
        <f>MAX(V8_BURN_FLOOR,1-V8_BURN_SLOPE*MIN(1,MAX(0,O99)))</f>
        <v/>
      </c>
      <c r="AF99" s="15">
        <f>MIN(Z99*AB99*AC99*AD99*AE99,0.2)</f>
        <v/>
      </c>
      <c r="AG99" s="16">
        <f>1-(1-AF99)^12</f>
        <v/>
      </c>
    </row>
    <row r="100">
      <c r="A100" s="2" t="inlineStr">
        <is>
          <t>046048226800</t>
        </is>
      </c>
      <c r="B100" t="inlineStr">
        <is>
          <t>538</t>
        </is>
      </c>
      <c r="C100" t="inlineStr">
        <is>
          <t>538</t>
        </is>
      </c>
      <c r="D100" t="inlineStr">
        <is>
          <t>GREYSTONE SERVICING COMPANY LLC</t>
        </is>
      </c>
      <c r="E100" t="n">
        <v>2017</v>
      </c>
      <c r="F100" t="inlineStr">
        <is>
          <t>202602</t>
        </is>
      </c>
      <c r="G100" s="8" t="n">
        <v>1023320.89</v>
      </c>
      <c r="H100" s="12" t="n">
        <v>3.95</v>
      </c>
      <c r="I100" s="13" t="n">
        <v>447</v>
      </c>
      <c r="J100" s="13" t="n">
        <v>3</v>
      </c>
      <c r="K100" t="n">
        <v>103</v>
      </c>
      <c r="L100" t="n">
        <v>205901</v>
      </c>
      <c r="M100" t="inlineStr"/>
      <c r="N100" t="n">
        <v>29</v>
      </c>
      <c r="O100" s="14" t="n">
        <v>0.2815533980582524</v>
      </c>
      <c r="P100">
        <f>IF(ISNUMBER(SEARCH("232",B100)),"232",IF(ISNUMBER(SEARCH("538",B100)),"538",IF(ISNUMBER(SEARCH("223a7",B100)),"223a7",IF(ISNUMBER(SEARCH("223f",B100)),"223f","OTHER"))))</f>
        <v/>
      </c>
      <c r="Q100">
        <f>IF(UPPER(C100)="NC","NC","RP")</f>
        <v/>
      </c>
      <c r="R100">
        <f>IF(G100&lt;5000000,"small",IF(G100&lt;25000000,"medium","large"))</f>
        <v/>
      </c>
      <c r="S100">
        <f>P100&amp;"|"&amp;Q100&amp;"|"&amp;R100</f>
        <v/>
      </c>
      <c r="T100" s="13">
        <f>H100*100-I100</f>
        <v/>
      </c>
      <c r="U100" s="13">
        <f>T100-12.5*(J100+1)</f>
        <v/>
      </c>
      <c r="V100" s="15">
        <f>IFERROR(VLOOKUP(S100,V8_COHORT_TABLE,2,FALSE),IFERROR(VLOOKUP(P100&amp;"|"&amp;Q100&amp;"|ALL",V8_COHORT_TABLE,2,FALSE),IFERROR(VLOOKUP(P100&amp;"|ALL|ALL",V8_COHORT_TABLE,2,FALSE),VLOOKUP("GLOBAL",V8_COHORT_TABLE,2,FALSE))))</f>
        <v/>
      </c>
      <c r="W100" s="15">
        <f>IFERROR(VLOOKUP(S100,V8_COHORT_TABLE,3,FALSE),IFERROR(VLOOKUP(P100&amp;"|"&amp;Q100&amp;"|ALL",V8_COHORT_TABLE,3,FALSE),IFERROR(VLOOKUP(P100&amp;"|ALL|ALL",V8_COHORT_TABLE,3,FALSE),VLOOKUP("GLOBAL",V8_COHORT_TABLE,3,FALSE))))</f>
        <v/>
      </c>
      <c r="X100" s="15">
        <f>IFERROR(VLOOKUP(S100,V8_COHORT_TABLE,4,FALSE),IFERROR(VLOOKUP(P100&amp;"|"&amp;Q100&amp;"|ALL",V8_COHORT_TABLE,4,FALSE),IFERROR(VLOOKUP(P100&amp;"|ALL|ALL",V8_COHORT_TABLE,4,FALSE),VLOOKUP("GLOBAL",V8_COHORT_TABLE,4,FALSE))))</f>
        <v/>
      </c>
      <c r="Y100" s="15">
        <f>IFERROR(VLOOKUP(S100,V8_COHORT_TABLE,5,FALSE),IFERROR(VLOOKUP(P100&amp;"|"&amp;Q100&amp;"|ALL",V8_COHORT_TABLE,5,FALSE),IFERROR(VLOOKUP(P100&amp;"|ALL|ALL",V8_COHORT_TABLE,5,FALSE),VLOOKUP("GLOBAL",V8_COHORT_TABLE,5,FALSE))))</f>
        <v/>
      </c>
      <c r="Z100" s="15">
        <f>V100+W100/(1+EXP(-(U100-X100)/Y100))</f>
        <v/>
      </c>
      <c r="AA100" s="16">
        <f>1-(1-Z100)^12</f>
        <v/>
      </c>
      <c r="AB100" s="14">
        <f>IF(K100&lt;=V8_AGE_KNOT_X_0,V8_AGE_KNOT_Y_0,IF(K100&gt;=V8_AGE_KNOT_X_5,V8_AGE_KNOT_Y_5,IF(K100&lt;=V8_AGE_KNOT_X_1,V8_AGE_KNOT_Y_0+(K100-V8_AGE_KNOT_X_0)/(V8_AGE_KNOT_X_1-V8_AGE_KNOT_X_0)*(V8_AGE_KNOT_Y_1-V8_AGE_KNOT_Y_0),IF(K100&lt;=V8_AGE_KNOT_X_2,V8_AGE_KNOT_Y_1+(K100-V8_AGE_KNOT_X_1)/(V8_AGE_KNOT_X_2-V8_AGE_KNOT_X_1)*(V8_AGE_KNOT_Y_2-V8_AGE_KNOT_Y_1),IF(K100&lt;=V8_AGE_KNOT_X_3,V8_AGE_KNOT_Y_2+(K100-V8_AGE_KNOT_X_2)/(V8_AGE_KNOT_X_3-V8_AGE_KNOT_X_2)*(V8_AGE_KNOT_Y_3-V8_AGE_KNOT_Y_2),IF(K100&lt;=V8_AGE_KNOT_X_4,V8_AGE_KNOT_Y_3+(K100-V8_AGE_KNOT_X_3)/(V8_AGE_KNOT_X_4-V8_AGE_KNOT_X_3)*(V8_AGE_KNOT_Y_4-V8_AGE_KNOT_Y_3),V8_AGE_KNOT_Y_4+(K100-V8_AGE_KNOT_X_4)/(V8_AGE_KNOT_X_5-V8_AGE_KNOT_X_4)*(V8_AGE_KNOT_Y_5-V8_AGE_KNOT_Y_4)))))))</f>
        <v/>
      </c>
      <c r="AC100" s="14">
        <f>IF(IF(OR(L100="",NOT(ISNUMBER(L100))),360,MAX(0,MIN(480,(INT(L100/100)-INT(VALUE(F100)/100))*12+MOD(L100,100)-MOD(VALUE(F100),100))))&gt;0,1+V8_MTY_AMP*MAX(0,(V8_MTY_CUTOFF-(IF(OR(L100="",NOT(ISNUMBER(L100))),360,MAX(0,MIN(480,(INT(L100/100)-INT(VALUE(F100)/100))*12+MOD(L100,100)-MOD(VALUE(F100),100))))))/V8_MTY_CUTOFF),1)</f>
        <v/>
      </c>
      <c r="AD100" s="14">
        <f>IF(AND(IF(OR(M100="",NOT(ISNUMBER(M100))),0,MAX(0,MIN(24,(INT(VALUE(F100)/100)-INT(M100/100))*12+MOD(VALUE(F100),100)-MOD(M100,100))))&gt;0,IF(OR(M100="",NOT(ISNUMBER(M100))),0,MAX(0,MIN(24,(INT(VALUE(F100)/100)-INT(M100/100))*12+MOD(VALUE(F100),100)-MOD(M100,100))))&lt;=12),1+V8_LOCKOUT_AMP*EXP(-(IF(OR(M100="",NOT(ISNUMBER(M100))),0,MAX(0,MIN(24,(INT(VALUE(F100)/100)-INT(M100/100))*12+MOD(VALUE(F100),100)-MOD(M100,100)))))/V8_LOCKOUT_TAU),1)</f>
        <v/>
      </c>
      <c r="AE100" s="14">
        <f>MAX(V8_BURN_FLOOR,1-V8_BURN_SLOPE*MIN(1,MAX(0,O100)))</f>
        <v/>
      </c>
      <c r="AF100" s="15">
        <f>MIN(Z100*AB100*AC100*AD100*AE100,0.2)</f>
        <v/>
      </c>
      <c r="AG100" s="16">
        <f>1-(1-AF100)^12</f>
        <v/>
      </c>
    </row>
    <row r="101">
      <c r="A101" s="2" t="inlineStr">
        <is>
          <t>000010111250</t>
        </is>
      </c>
      <c r="B101" t="inlineStr">
        <is>
          <t>223a7</t>
        </is>
      </c>
      <c r="C101" t="inlineStr">
        <is>
          <t>RP</t>
        </is>
      </c>
      <c r="D101" t="inlineStr">
        <is>
          <t>GREYSTONE FUNDING COMPANY LLC</t>
        </is>
      </c>
      <c r="E101" t="n">
        <v>2016</v>
      </c>
      <c r="F101" t="inlineStr">
        <is>
          <t>202602</t>
        </is>
      </c>
      <c r="G101" s="8" t="n">
        <v>9943905.23</v>
      </c>
      <c r="H101" s="12" t="n">
        <v>3.39</v>
      </c>
      <c r="I101" s="13" t="n">
        <v>447</v>
      </c>
      <c r="J101" s="13" t="n">
        <v>1</v>
      </c>
      <c r="K101" t="n">
        <v>111</v>
      </c>
      <c r="L101" t="n">
        <v>205112</v>
      </c>
      <c r="M101" t="inlineStr"/>
      <c r="N101" t="n">
        <v>26</v>
      </c>
      <c r="O101" s="14" t="n">
        <v>0.2342342342342342</v>
      </c>
      <c r="P101">
        <f>IF(ISNUMBER(SEARCH("232",B101)),"232",IF(ISNUMBER(SEARCH("538",B101)),"538",IF(ISNUMBER(SEARCH("223a7",B101)),"223a7",IF(ISNUMBER(SEARCH("223f",B101)),"223f","OTHER"))))</f>
        <v/>
      </c>
      <c r="Q101">
        <f>IF(UPPER(C101)="NC","NC","RP")</f>
        <v/>
      </c>
      <c r="R101">
        <f>IF(G101&lt;5000000,"small",IF(G101&lt;25000000,"medium","large"))</f>
        <v/>
      </c>
      <c r="S101">
        <f>P101&amp;"|"&amp;Q101&amp;"|"&amp;R101</f>
        <v/>
      </c>
      <c r="T101" s="13">
        <f>H101*100-I101</f>
        <v/>
      </c>
      <c r="U101" s="13">
        <f>T101-12.5*(J101+1)</f>
        <v/>
      </c>
      <c r="V101" s="15">
        <f>IFERROR(VLOOKUP(S101,V8_COHORT_TABLE,2,FALSE),IFERROR(VLOOKUP(P101&amp;"|"&amp;Q101&amp;"|ALL",V8_COHORT_TABLE,2,FALSE),IFERROR(VLOOKUP(P101&amp;"|ALL|ALL",V8_COHORT_TABLE,2,FALSE),VLOOKUP("GLOBAL",V8_COHORT_TABLE,2,FALSE))))</f>
        <v/>
      </c>
      <c r="W101" s="15">
        <f>IFERROR(VLOOKUP(S101,V8_COHORT_TABLE,3,FALSE),IFERROR(VLOOKUP(P101&amp;"|"&amp;Q101&amp;"|ALL",V8_COHORT_TABLE,3,FALSE),IFERROR(VLOOKUP(P101&amp;"|ALL|ALL",V8_COHORT_TABLE,3,FALSE),VLOOKUP("GLOBAL",V8_COHORT_TABLE,3,FALSE))))</f>
        <v/>
      </c>
      <c r="X101" s="15">
        <f>IFERROR(VLOOKUP(S101,V8_COHORT_TABLE,4,FALSE),IFERROR(VLOOKUP(P101&amp;"|"&amp;Q101&amp;"|ALL",V8_COHORT_TABLE,4,FALSE),IFERROR(VLOOKUP(P101&amp;"|ALL|ALL",V8_COHORT_TABLE,4,FALSE),VLOOKUP("GLOBAL",V8_COHORT_TABLE,4,FALSE))))</f>
        <v/>
      </c>
      <c r="Y101" s="15">
        <f>IFERROR(VLOOKUP(S101,V8_COHORT_TABLE,5,FALSE),IFERROR(VLOOKUP(P101&amp;"|"&amp;Q101&amp;"|ALL",V8_COHORT_TABLE,5,FALSE),IFERROR(VLOOKUP(P101&amp;"|ALL|ALL",V8_COHORT_TABLE,5,FALSE),VLOOKUP("GLOBAL",V8_COHORT_TABLE,5,FALSE))))</f>
        <v/>
      </c>
      <c r="Z101" s="15">
        <f>V101+W101/(1+EXP(-(U101-X101)/Y101))</f>
        <v/>
      </c>
      <c r="AA101" s="16">
        <f>1-(1-Z101)^12</f>
        <v/>
      </c>
      <c r="AB101" s="14">
        <f>IF(K101&lt;=V8_AGE_KNOT_X_0,V8_AGE_KNOT_Y_0,IF(K101&gt;=V8_AGE_KNOT_X_5,V8_AGE_KNOT_Y_5,IF(K101&lt;=V8_AGE_KNOT_X_1,V8_AGE_KNOT_Y_0+(K101-V8_AGE_KNOT_X_0)/(V8_AGE_KNOT_X_1-V8_AGE_KNOT_X_0)*(V8_AGE_KNOT_Y_1-V8_AGE_KNOT_Y_0),IF(K101&lt;=V8_AGE_KNOT_X_2,V8_AGE_KNOT_Y_1+(K101-V8_AGE_KNOT_X_1)/(V8_AGE_KNOT_X_2-V8_AGE_KNOT_X_1)*(V8_AGE_KNOT_Y_2-V8_AGE_KNOT_Y_1),IF(K101&lt;=V8_AGE_KNOT_X_3,V8_AGE_KNOT_Y_2+(K101-V8_AGE_KNOT_X_2)/(V8_AGE_KNOT_X_3-V8_AGE_KNOT_X_2)*(V8_AGE_KNOT_Y_3-V8_AGE_KNOT_Y_2),IF(K101&lt;=V8_AGE_KNOT_X_4,V8_AGE_KNOT_Y_3+(K101-V8_AGE_KNOT_X_3)/(V8_AGE_KNOT_X_4-V8_AGE_KNOT_X_3)*(V8_AGE_KNOT_Y_4-V8_AGE_KNOT_Y_3),V8_AGE_KNOT_Y_4+(K101-V8_AGE_KNOT_X_4)/(V8_AGE_KNOT_X_5-V8_AGE_KNOT_X_4)*(V8_AGE_KNOT_Y_5-V8_AGE_KNOT_Y_4)))))))</f>
        <v/>
      </c>
      <c r="AC101" s="14">
        <f>IF(IF(OR(L101="",NOT(ISNUMBER(L101))),360,MAX(0,MIN(480,(INT(L101/100)-INT(VALUE(F101)/100))*12+MOD(L101,100)-MOD(VALUE(F101),100))))&gt;0,1+V8_MTY_AMP*MAX(0,(V8_MTY_CUTOFF-(IF(OR(L101="",NOT(ISNUMBER(L101))),360,MAX(0,MIN(480,(INT(L101/100)-INT(VALUE(F101)/100))*12+MOD(L101,100)-MOD(VALUE(F101),100))))))/V8_MTY_CUTOFF),1)</f>
        <v/>
      </c>
      <c r="AD101" s="14">
        <f>IF(AND(IF(OR(M101="",NOT(ISNUMBER(M101))),0,MAX(0,MIN(24,(INT(VALUE(F101)/100)-INT(M101/100))*12+MOD(VALUE(F101),100)-MOD(M101,100))))&gt;0,IF(OR(M101="",NOT(ISNUMBER(M101))),0,MAX(0,MIN(24,(INT(VALUE(F101)/100)-INT(M101/100))*12+MOD(VALUE(F101),100)-MOD(M101,100))))&lt;=12),1+V8_LOCKOUT_AMP*EXP(-(IF(OR(M101="",NOT(ISNUMBER(M101))),0,MAX(0,MIN(24,(INT(VALUE(F101)/100)-INT(M101/100))*12+MOD(VALUE(F101),100)-MOD(M101,100)))))/V8_LOCKOUT_TAU),1)</f>
        <v/>
      </c>
      <c r="AE101" s="14">
        <f>MAX(V8_BURN_FLOOR,1-V8_BURN_SLOPE*MIN(1,MAX(0,O101)))</f>
        <v/>
      </c>
      <c r="AF101" s="15">
        <f>MIN(Z101*AB101*AC101*AD101*AE101,0.2)</f>
        <v/>
      </c>
      <c r="AG101" s="16">
        <f>1-(1-AF101)^12</f>
        <v/>
      </c>
    </row>
    <row r="102">
      <c r="A102" s="2" t="inlineStr">
        <is>
          <t>000008522106</t>
        </is>
      </c>
      <c r="B102" t="inlineStr">
        <is>
          <t>232</t>
        </is>
      </c>
      <c r="C102" t="inlineStr">
        <is>
          <t>RP</t>
        </is>
      </c>
      <c r="D102" t="inlineStr">
        <is>
          <t>GREYSTONE FUNDING COMPANY LLC</t>
        </is>
      </c>
      <c r="E102" t="n">
        <v>2022</v>
      </c>
      <c r="F102" t="inlineStr">
        <is>
          <t>202602</t>
        </is>
      </c>
      <c r="G102" s="8" t="n">
        <v>11574005.09</v>
      </c>
      <c r="H102" s="12" t="n">
        <v>3.3</v>
      </c>
      <c r="I102" s="13" t="n">
        <v>447</v>
      </c>
      <c r="J102" s="13" t="n">
        <v>7</v>
      </c>
      <c r="K102" t="n">
        <v>45</v>
      </c>
      <c r="L102" t="n">
        <v>205706</v>
      </c>
      <c r="M102" t="inlineStr"/>
      <c r="N102" t="n">
        <v>0</v>
      </c>
      <c r="O102" s="14" t="n">
        <v>0</v>
      </c>
      <c r="P102">
        <f>IF(ISNUMBER(SEARCH("232",B102)),"232",IF(ISNUMBER(SEARCH("538",B102)),"538",IF(ISNUMBER(SEARCH("223a7",B102)),"223a7",IF(ISNUMBER(SEARCH("223f",B102)),"223f","OTHER"))))</f>
        <v/>
      </c>
      <c r="Q102">
        <f>IF(UPPER(C102)="NC","NC","RP")</f>
        <v/>
      </c>
      <c r="R102">
        <f>IF(G102&lt;5000000,"small",IF(G102&lt;25000000,"medium","large"))</f>
        <v/>
      </c>
      <c r="S102">
        <f>P102&amp;"|"&amp;Q102&amp;"|"&amp;R102</f>
        <v/>
      </c>
      <c r="T102" s="13">
        <f>H102*100-I102</f>
        <v/>
      </c>
      <c r="U102" s="13">
        <f>T102-12.5*(J102+1)</f>
        <v/>
      </c>
      <c r="V102" s="15">
        <f>IFERROR(VLOOKUP(S102,V8_COHORT_TABLE,2,FALSE),IFERROR(VLOOKUP(P102&amp;"|"&amp;Q102&amp;"|ALL",V8_COHORT_TABLE,2,FALSE),IFERROR(VLOOKUP(P102&amp;"|ALL|ALL",V8_COHORT_TABLE,2,FALSE),VLOOKUP("GLOBAL",V8_COHORT_TABLE,2,FALSE))))</f>
        <v/>
      </c>
      <c r="W102" s="15">
        <f>IFERROR(VLOOKUP(S102,V8_COHORT_TABLE,3,FALSE),IFERROR(VLOOKUP(P102&amp;"|"&amp;Q102&amp;"|ALL",V8_COHORT_TABLE,3,FALSE),IFERROR(VLOOKUP(P102&amp;"|ALL|ALL",V8_COHORT_TABLE,3,FALSE),VLOOKUP("GLOBAL",V8_COHORT_TABLE,3,FALSE))))</f>
        <v/>
      </c>
      <c r="X102" s="15">
        <f>IFERROR(VLOOKUP(S102,V8_COHORT_TABLE,4,FALSE),IFERROR(VLOOKUP(P102&amp;"|"&amp;Q102&amp;"|ALL",V8_COHORT_TABLE,4,FALSE),IFERROR(VLOOKUP(P102&amp;"|ALL|ALL",V8_COHORT_TABLE,4,FALSE),VLOOKUP("GLOBAL",V8_COHORT_TABLE,4,FALSE))))</f>
        <v/>
      </c>
      <c r="Y102" s="15">
        <f>IFERROR(VLOOKUP(S102,V8_COHORT_TABLE,5,FALSE),IFERROR(VLOOKUP(P102&amp;"|"&amp;Q102&amp;"|ALL",V8_COHORT_TABLE,5,FALSE),IFERROR(VLOOKUP(P102&amp;"|ALL|ALL",V8_COHORT_TABLE,5,FALSE),VLOOKUP("GLOBAL",V8_COHORT_TABLE,5,FALSE))))</f>
        <v/>
      </c>
      <c r="Z102" s="15">
        <f>V102+W102/(1+EXP(-(U102-X102)/Y102))</f>
        <v/>
      </c>
      <c r="AA102" s="16">
        <f>1-(1-Z102)^12</f>
        <v/>
      </c>
      <c r="AB102" s="14">
        <f>IF(K102&lt;=V8_AGE_KNOT_X_0,V8_AGE_KNOT_Y_0,IF(K102&gt;=V8_AGE_KNOT_X_5,V8_AGE_KNOT_Y_5,IF(K102&lt;=V8_AGE_KNOT_X_1,V8_AGE_KNOT_Y_0+(K102-V8_AGE_KNOT_X_0)/(V8_AGE_KNOT_X_1-V8_AGE_KNOT_X_0)*(V8_AGE_KNOT_Y_1-V8_AGE_KNOT_Y_0),IF(K102&lt;=V8_AGE_KNOT_X_2,V8_AGE_KNOT_Y_1+(K102-V8_AGE_KNOT_X_1)/(V8_AGE_KNOT_X_2-V8_AGE_KNOT_X_1)*(V8_AGE_KNOT_Y_2-V8_AGE_KNOT_Y_1),IF(K102&lt;=V8_AGE_KNOT_X_3,V8_AGE_KNOT_Y_2+(K102-V8_AGE_KNOT_X_2)/(V8_AGE_KNOT_X_3-V8_AGE_KNOT_X_2)*(V8_AGE_KNOT_Y_3-V8_AGE_KNOT_Y_2),IF(K102&lt;=V8_AGE_KNOT_X_4,V8_AGE_KNOT_Y_3+(K102-V8_AGE_KNOT_X_3)/(V8_AGE_KNOT_X_4-V8_AGE_KNOT_X_3)*(V8_AGE_KNOT_Y_4-V8_AGE_KNOT_Y_3),V8_AGE_KNOT_Y_4+(K102-V8_AGE_KNOT_X_4)/(V8_AGE_KNOT_X_5-V8_AGE_KNOT_X_4)*(V8_AGE_KNOT_Y_5-V8_AGE_KNOT_Y_4)))))))</f>
        <v/>
      </c>
      <c r="AC102" s="14">
        <f>IF(IF(OR(L102="",NOT(ISNUMBER(L102))),360,MAX(0,MIN(480,(INT(L102/100)-INT(VALUE(F102)/100))*12+MOD(L102,100)-MOD(VALUE(F102),100))))&gt;0,1+V8_MTY_AMP*MAX(0,(V8_MTY_CUTOFF-(IF(OR(L102="",NOT(ISNUMBER(L102))),360,MAX(0,MIN(480,(INT(L102/100)-INT(VALUE(F102)/100))*12+MOD(L102,100)-MOD(VALUE(F102),100))))))/V8_MTY_CUTOFF),1)</f>
        <v/>
      </c>
      <c r="AD102" s="14">
        <f>IF(AND(IF(OR(M102="",NOT(ISNUMBER(M102))),0,MAX(0,MIN(24,(INT(VALUE(F102)/100)-INT(M102/100))*12+MOD(VALUE(F102),100)-MOD(M102,100))))&gt;0,IF(OR(M102="",NOT(ISNUMBER(M102))),0,MAX(0,MIN(24,(INT(VALUE(F102)/100)-INT(M102/100))*12+MOD(VALUE(F102),100)-MOD(M102,100))))&lt;=12),1+V8_LOCKOUT_AMP*EXP(-(IF(OR(M102="",NOT(ISNUMBER(M102))),0,MAX(0,MIN(24,(INT(VALUE(F102)/100)-INT(M102/100))*12+MOD(VALUE(F102),100)-MOD(M102,100)))))/V8_LOCKOUT_TAU),1)</f>
        <v/>
      </c>
      <c r="AE102" s="14">
        <f>MAX(V8_BURN_FLOOR,1-V8_BURN_SLOPE*MIN(1,MAX(0,O102)))</f>
        <v/>
      </c>
      <c r="AF102" s="15">
        <f>MIN(Z102*AB102*AC102*AD102*AE102,0.2)</f>
        <v/>
      </c>
      <c r="AG102" s="16">
        <f>1-(1-AF102)^12</f>
        <v/>
      </c>
    </row>
    <row r="103">
      <c r="A103" s="2" t="inlineStr">
        <is>
          <t>000011411535</t>
        </is>
      </c>
      <c r="B103" t="inlineStr">
        <is>
          <t>223f</t>
        </is>
      </c>
      <c r="C103" t="inlineStr">
        <is>
          <t>RP</t>
        </is>
      </c>
      <c r="D103" t="inlineStr">
        <is>
          <t>GREYSTONE FUNDING COMPANY LLC</t>
        </is>
      </c>
      <c r="E103" t="n">
        <v>2022</v>
      </c>
      <c r="F103" t="inlineStr">
        <is>
          <t>202602</t>
        </is>
      </c>
      <c r="G103" s="8" t="n">
        <v>11232891.01</v>
      </c>
      <c r="H103" s="12" t="n">
        <v>2.38</v>
      </c>
      <c r="I103" s="13" t="n">
        <v>447</v>
      </c>
      <c r="J103" s="13" t="n">
        <v>7</v>
      </c>
      <c r="K103" t="n">
        <v>49</v>
      </c>
      <c r="L103" t="n">
        <v>205702</v>
      </c>
      <c r="M103" t="inlineStr"/>
      <c r="N103" t="n">
        <v>0</v>
      </c>
      <c r="O103" s="14" t="n">
        <v>0</v>
      </c>
      <c r="P103">
        <f>IF(ISNUMBER(SEARCH("232",B103)),"232",IF(ISNUMBER(SEARCH("538",B103)),"538",IF(ISNUMBER(SEARCH("223a7",B103)),"223a7",IF(ISNUMBER(SEARCH("223f",B103)),"223f","OTHER"))))</f>
        <v/>
      </c>
      <c r="Q103">
        <f>IF(UPPER(C103)="NC","NC","RP")</f>
        <v/>
      </c>
      <c r="R103">
        <f>IF(G103&lt;5000000,"small",IF(G103&lt;25000000,"medium","large"))</f>
        <v/>
      </c>
      <c r="S103">
        <f>P103&amp;"|"&amp;Q103&amp;"|"&amp;R103</f>
        <v/>
      </c>
      <c r="T103" s="13">
        <f>H103*100-I103</f>
        <v/>
      </c>
      <c r="U103" s="13">
        <f>T103-12.5*(J103+1)</f>
        <v/>
      </c>
      <c r="V103" s="15">
        <f>IFERROR(VLOOKUP(S103,V8_COHORT_TABLE,2,FALSE),IFERROR(VLOOKUP(P103&amp;"|"&amp;Q103&amp;"|ALL",V8_COHORT_TABLE,2,FALSE),IFERROR(VLOOKUP(P103&amp;"|ALL|ALL",V8_COHORT_TABLE,2,FALSE),VLOOKUP("GLOBAL",V8_COHORT_TABLE,2,FALSE))))</f>
        <v/>
      </c>
      <c r="W103" s="15">
        <f>IFERROR(VLOOKUP(S103,V8_COHORT_TABLE,3,FALSE),IFERROR(VLOOKUP(P103&amp;"|"&amp;Q103&amp;"|ALL",V8_COHORT_TABLE,3,FALSE),IFERROR(VLOOKUP(P103&amp;"|ALL|ALL",V8_COHORT_TABLE,3,FALSE),VLOOKUP("GLOBAL",V8_COHORT_TABLE,3,FALSE))))</f>
        <v/>
      </c>
      <c r="X103" s="15">
        <f>IFERROR(VLOOKUP(S103,V8_COHORT_TABLE,4,FALSE),IFERROR(VLOOKUP(P103&amp;"|"&amp;Q103&amp;"|ALL",V8_COHORT_TABLE,4,FALSE),IFERROR(VLOOKUP(P103&amp;"|ALL|ALL",V8_COHORT_TABLE,4,FALSE),VLOOKUP("GLOBAL",V8_COHORT_TABLE,4,FALSE))))</f>
        <v/>
      </c>
      <c r="Y103" s="15">
        <f>IFERROR(VLOOKUP(S103,V8_COHORT_TABLE,5,FALSE),IFERROR(VLOOKUP(P103&amp;"|"&amp;Q103&amp;"|ALL",V8_COHORT_TABLE,5,FALSE),IFERROR(VLOOKUP(P103&amp;"|ALL|ALL",V8_COHORT_TABLE,5,FALSE),VLOOKUP("GLOBAL",V8_COHORT_TABLE,5,FALSE))))</f>
        <v/>
      </c>
      <c r="Z103" s="15">
        <f>V103+W103/(1+EXP(-(U103-X103)/Y103))</f>
        <v/>
      </c>
      <c r="AA103" s="16">
        <f>1-(1-Z103)^12</f>
        <v/>
      </c>
      <c r="AB103" s="14">
        <f>IF(K103&lt;=V8_AGE_KNOT_X_0,V8_AGE_KNOT_Y_0,IF(K103&gt;=V8_AGE_KNOT_X_5,V8_AGE_KNOT_Y_5,IF(K103&lt;=V8_AGE_KNOT_X_1,V8_AGE_KNOT_Y_0+(K103-V8_AGE_KNOT_X_0)/(V8_AGE_KNOT_X_1-V8_AGE_KNOT_X_0)*(V8_AGE_KNOT_Y_1-V8_AGE_KNOT_Y_0),IF(K103&lt;=V8_AGE_KNOT_X_2,V8_AGE_KNOT_Y_1+(K103-V8_AGE_KNOT_X_1)/(V8_AGE_KNOT_X_2-V8_AGE_KNOT_X_1)*(V8_AGE_KNOT_Y_2-V8_AGE_KNOT_Y_1),IF(K103&lt;=V8_AGE_KNOT_X_3,V8_AGE_KNOT_Y_2+(K103-V8_AGE_KNOT_X_2)/(V8_AGE_KNOT_X_3-V8_AGE_KNOT_X_2)*(V8_AGE_KNOT_Y_3-V8_AGE_KNOT_Y_2),IF(K103&lt;=V8_AGE_KNOT_X_4,V8_AGE_KNOT_Y_3+(K103-V8_AGE_KNOT_X_3)/(V8_AGE_KNOT_X_4-V8_AGE_KNOT_X_3)*(V8_AGE_KNOT_Y_4-V8_AGE_KNOT_Y_3),V8_AGE_KNOT_Y_4+(K103-V8_AGE_KNOT_X_4)/(V8_AGE_KNOT_X_5-V8_AGE_KNOT_X_4)*(V8_AGE_KNOT_Y_5-V8_AGE_KNOT_Y_4)))))))</f>
        <v/>
      </c>
      <c r="AC103" s="14">
        <f>IF(IF(OR(L103="",NOT(ISNUMBER(L103))),360,MAX(0,MIN(480,(INT(L103/100)-INT(VALUE(F103)/100))*12+MOD(L103,100)-MOD(VALUE(F103),100))))&gt;0,1+V8_MTY_AMP*MAX(0,(V8_MTY_CUTOFF-(IF(OR(L103="",NOT(ISNUMBER(L103))),360,MAX(0,MIN(480,(INT(L103/100)-INT(VALUE(F103)/100))*12+MOD(L103,100)-MOD(VALUE(F103),100))))))/V8_MTY_CUTOFF),1)</f>
        <v/>
      </c>
      <c r="AD103" s="14">
        <f>IF(AND(IF(OR(M103="",NOT(ISNUMBER(M103))),0,MAX(0,MIN(24,(INT(VALUE(F103)/100)-INT(M103/100))*12+MOD(VALUE(F103),100)-MOD(M103,100))))&gt;0,IF(OR(M103="",NOT(ISNUMBER(M103))),0,MAX(0,MIN(24,(INT(VALUE(F103)/100)-INT(M103/100))*12+MOD(VALUE(F103),100)-MOD(M103,100))))&lt;=12),1+V8_LOCKOUT_AMP*EXP(-(IF(OR(M103="",NOT(ISNUMBER(M103))),0,MAX(0,MIN(24,(INT(VALUE(F103)/100)-INT(M103/100))*12+MOD(VALUE(F103),100)-MOD(M103,100)))))/V8_LOCKOUT_TAU),1)</f>
        <v/>
      </c>
      <c r="AE103" s="14">
        <f>MAX(V8_BURN_FLOOR,1-V8_BURN_SLOPE*MIN(1,MAX(0,O103)))</f>
        <v/>
      </c>
      <c r="AF103" s="15">
        <f>MIN(Z103*AB103*AC103*AD103*AE103,0.2)</f>
        <v/>
      </c>
      <c r="AG103" s="16">
        <f>1-(1-AF103)^12</f>
        <v/>
      </c>
    </row>
    <row r="104">
      <c r="A104" s="2" t="inlineStr">
        <is>
          <t>000001711241</t>
        </is>
      </c>
      <c r="B104" t="inlineStr">
        <is>
          <t>223f</t>
        </is>
      </c>
      <c r="C104" t="inlineStr">
        <is>
          <t>RP</t>
        </is>
      </c>
      <c r="D104" t="inlineStr">
        <is>
          <t>GREYSTONE FUNDING COMPANY LLC</t>
        </is>
      </c>
      <c r="E104" t="n">
        <v>2022</v>
      </c>
      <c r="F104" t="inlineStr">
        <is>
          <t>202602</t>
        </is>
      </c>
      <c r="G104" s="8" t="n">
        <v>30292588.75</v>
      </c>
      <c r="H104" s="12" t="n">
        <v>3.9</v>
      </c>
      <c r="I104" s="13" t="n">
        <v>447</v>
      </c>
      <c r="J104" s="13" t="n">
        <v>7</v>
      </c>
      <c r="K104" t="n">
        <v>44</v>
      </c>
      <c r="L104" t="n">
        <v>205707</v>
      </c>
      <c r="M104" t="inlineStr"/>
      <c r="N104" t="n">
        <v>0</v>
      </c>
      <c r="O104" s="14" t="n">
        <v>0</v>
      </c>
      <c r="P104">
        <f>IF(ISNUMBER(SEARCH("232",B104)),"232",IF(ISNUMBER(SEARCH("538",B104)),"538",IF(ISNUMBER(SEARCH("223a7",B104)),"223a7",IF(ISNUMBER(SEARCH("223f",B104)),"223f","OTHER"))))</f>
        <v/>
      </c>
      <c r="Q104">
        <f>IF(UPPER(C104)="NC","NC","RP")</f>
        <v/>
      </c>
      <c r="R104">
        <f>IF(G104&lt;5000000,"small",IF(G104&lt;25000000,"medium","large"))</f>
        <v/>
      </c>
      <c r="S104">
        <f>P104&amp;"|"&amp;Q104&amp;"|"&amp;R104</f>
        <v/>
      </c>
      <c r="T104" s="13">
        <f>H104*100-I104</f>
        <v/>
      </c>
      <c r="U104" s="13">
        <f>T104-12.5*(J104+1)</f>
        <v/>
      </c>
      <c r="V104" s="15">
        <f>IFERROR(VLOOKUP(S104,V8_COHORT_TABLE,2,FALSE),IFERROR(VLOOKUP(P104&amp;"|"&amp;Q104&amp;"|ALL",V8_COHORT_TABLE,2,FALSE),IFERROR(VLOOKUP(P104&amp;"|ALL|ALL",V8_COHORT_TABLE,2,FALSE),VLOOKUP("GLOBAL",V8_COHORT_TABLE,2,FALSE))))</f>
        <v/>
      </c>
      <c r="W104" s="15">
        <f>IFERROR(VLOOKUP(S104,V8_COHORT_TABLE,3,FALSE),IFERROR(VLOOKUP(P104&amp;"|"&amp;Q104&amp;"|ALL",V8_COHORT_TABLE,3,FALSE),IFERROR(VLOOKUP(P104&amp;"|ALL|ALL",V8_COHORT_TABLE,3,FALSE),VLOOKUP("GLOBAL",V8_COHORT_TABLE,3,FALSE))))</f>
        <v/>
      </c>
      <c r="X104" s="15">
        <f>IFERROR(VLOOKUP(S104,V8_COHORT_TABLE,4,FALSE),IFERROR(VLOOKUP(P104&amp;"|"&amp;Q104&amp;"|ALL",V8_COHORT_TABLE,4,FALSE),IFERROR(VLOOKUP(P104&amp;"|ALL|ALL",V8_COHORT_TABLE,4,FALSE),VLOOKUP("GLOBAL",V8_COHORT_TABLE,4,FALSE))))</f>
        <v/>
      </c>
      <c r="Y104" s="15">
        <f>IFERROR(VLOOKUP(S104,V8_COHORT_TABLE,5,FALSE),IFERROR(VLOOKUP(P104&amp;"|"&amp;Q104&amp;"|ALL",V8_COHORT_TABLE,5,FALSE),IFERROR(VLOOKUP(P104&amp;"|ALL|ALL",V8_COHORT_TABLE,5,FALSE),VLOOKUP("GLOBAL",V8_COHORT_TABLE,5,FALSE))))</f>
        <v/>
      </c>
      <c r="Z104" s="15">
        <f>V104+W104/(1+EXP(-(U104-X104)/Y104))</f>
        <v/>
      </c>
      <c r="AA104" s="16">
        <f>1-(1-Z104)^12</f>
        <v/>
      </c>
      <c r="AB104" s="14">
        <f>IF(K104&lt;=V8_AGE_KNOT_X_0,V8_AGE_KNOT_Y_0,IF(K104&gt;=V8_AGE_KNOT_X_5,V8_AGE_KNOT_Y_5,IF(K104&lt;=V8_AGE_KNOT_X_1,V8_AGE_KNOT_Y_0+(K104-V8_AGE_KNOT_X_0)/(V8_AGE_KNOT_X_1-V8_AGE_KNOT_X_0)*(V8_AGE_KNOT_Y_1-V8_AGE_KNOT_Y_0),IF(K104&lt;=V8_AGE_KNOT_X_2,V8_AGE_KNOT_Y_1+(K104-V8_AGE_KNOT_X_1)/(V8_AGE_KNOT_X_2-V8_AGE_KNOT_X_1)*(V8_AGE_KNOT_Y_2-V8_AGE_KNOT_Y_1),IF(K104&lt;=V8_AGE_KNOT_X_3,V8_AGE_KNOT_Y_2+(K104-V8_AGE_KNOT_X_2)/(V8_AGE_KNOT_X_3-V8_AGE_KNOT_X_2)*(V8_AGE_KNOT_Y_3-V8_AGE_KNOT_Y_2),IF(K104&lt;=V8_AGE_KNOT_X_4,V8_AGE_KNOT_Y_3+(K104-V8_AGE_KNOT_X_3)/(V8_AGE_KNOT_X_4-V8_AGE_KNOT_X_3)*(V8_AGE_KNOT_Y_4-V8_AGE_KNOT_Y_3),V8_AGE_KNOT_Y_4+(K104-V8_AGE_KNOT_X_4)/(V8_AGE_KNOT_X_5-V8_AGE_KNOT_X_4)*(V8_AGE_KNOT_Y_5-V8_AGE_KNOT_Y_4)))))))</f>
        <v/>
      </c>
      <c r="AC104" s="14">
        <f>IF(IF(OR(L104="",NOT(ISNUMBER(L104))),360,MAX(0,MIN(480,(INT(L104/100)-INT(VALUE(F104)/100))*12+MOD(L104,100)-MOD(VALUE(F104),100))))&gt;0,1+V8_MTY_AMP*MAX(0,(V8_MTY_CUTOFF-(IF(OR(L104="",NOT(ISNUMBER(L104))),360,MAX(0,MIN(480,(INT(L104/100)-INT(VALUE(F104)/100))*12+MOD(L104,100)-MOD(VALUE(F104),100))))))/V8_MTY_CUTOFF),1)</f>
        <v/>
      </c>
      <c r="AD104" s="14">
        <f>IF(AND(IF(OR(M104="",NOT(ISNUMBER(M104))),0,MAX(0,MIN(24,(INT(VALUE(F104)/100)-INT(M104/100))*12+MOD(VALUE(F104),100)-MOD(M104,100))))&gt;0,IF(OR(M104="",NOT(ISNUMBER(M104))),0,MAX(0,MIN(24,(INT(VALUE(F104)/100)-INT(M104/100))*12+MOD(VALUE(F104),100)-MOD(M104,100))))&lt;=12),1+V8_LOCKOUT_AMP*EXP(-(IF(OR(M104="",NOT(ISNUMBER(M104))),0,MAX(0,MIN(24,(INT(VALUE(F104)/100)-INT(M104/100))*12+MOD(VALUE(F104),100)-MOD(M104,100)))))/V8_LOCKOUT_TAU),1)</f>
        <v/>
      </c>
      <c r="AE104" s="14">
        <f>MAX(V8_BURN_FLOOR,1-V8_BURN_SLOPE*MIN(1,MAX(0,O104)))</f>
        <v/>
      </c>
      <c r="AF104" s="15">
        <f>MIN(Z104*AB104*AC104*AD104*AE104,0.2)</f>
        <v/>
      </c>
      <c r="AG104" s="16">
        <f>1-(1-AF104)^12</f>
        <v/>
      </c>
    </row>
    <row r="105">
      <c r="A105" s="2" t="inlineStr">
        <is>
          <t>000004222338</t>
        </is>
      </c>
      <c r="B105" t="inlineStr">
        <is>
          <t>232</t>
        </is>
      </c>
      <c r="C105" t="inlineStr">
        <is>
          <t>RP</t>
        </is>
      </c>
      <c r="D105" t="inlineStr">
        <is>
          <t>GREYSTONE FUNDING COMPANY LLC</t>
        </is>
      </c>
      <c r="E105" t="n">
        <v>2021</v>
      </c>
      <c r="F105" t="inlineStr">
        <is>
          <t>202602</t>
        </is>
      </c>
      <c r="G105" s="8" t="n">
        <v>5731386.6</v>
      </c>
      <c r="H105" s="12" t="n">
        <v>2.94</v>
      </c>
      <c r="I105" s="13" t="n">
        <v>447</v>
      </c>
      <c r="J105" s="13" t="n">
        <v>6</v>
      </c>
      <c r="K105" t="n">
        <v>58</v>
      </c>
      <c r="L105" t="n">
        <v>205405</v>
      </c>
      <c r="M105" t="inlineStr"/>
      <c r="N105" t="n">
        <v>1</v>
      </c>
      <c r="O105" s="14" t="n">
        <v>0.01724137931034483</v>
      </c>
      <c r="P105">
        <f>IF(ISNUMBER(SEARCH("232",B105)),"232",IF(ISNUMBER(SEARCH("538",B105)),"538",IF(ISNUMBER(SEARCH("223a7",B105)),"223a7",IF(ISNUMBER(SEARCH("223f",B105)),"223f","OTHER"))))</f>
        <v/>
      </c>
      <c r="Q105">
        <f>IF(UPPER(C105)="NC","NC","RP")</f>
        <v/>
      </c>
      <c r="R105">
        <f>IF(G105&lt;5000000,"small",IF(G105&lt;25000000,"medium","large"))</f>
        <v/>
      </c>
      <c r="S105">
        <f>P105&amp;"|"&amp;Q105&amp;"|"&amp;R105</f>
        <v/>
      </c>
      <c r="T105" s="13">
        <f>H105*100-I105</f>
        <v/>
      </c>
      <c r="U105" s="13">
        <f>T105-12.5*(J105+1)</f>
        <v/>
      </c>
      <c r="V105" s="15">
        <f>IFERROR(VLOOKUP(S105,V8_COHORT_TABLE,2,FALSE),IFERROR(VLOOKUP(P105&amp;"|"&amp;Q105&amp;"|ALL",V8_COHORT_TABLE,2,FALSE),IFERROR(VLOOKUP(P105&amp;"|ALL|ALL",V8_COHORT_TABLE,2,FALSE),VLOOKUP("GLOBAL",V8_COHORT_TABLE,2,FALSE))))</f>
        <v/>
      </c>
      <c r="W105" s="15">
        <f>IFERROR(VLOOKUP(S105,V8_COHORT_TABLE,3,FALSE),IFERROR(VLOOKUP(P105&amp;"|"&amp;Q105&amp;"|ALL",V8_COHORT_TABLE,3,FALSE),IFERROR(VLOOKUP(P105&amp;"|ALL|ALL",V8_COHORT_TABLE,3,FALSE),VLOOKUP("GLOBAL",V8_COHORT_TABLE,3,FALSE))))</f>
        <v/>
      </c>
      <c r="X105" s="15">
        <f>IFERROR(VLOOKUP(S105,V8_COHORT_TABLE,4,FALSE),IFERROR(VLOOKUP(P105&amp;"|"&amp;Q105&amp;"|ALL",V8_COHORT_TABLE,4,FALSE),IFERROR(VLOOKUP(P105&amp;"|ALL|ALL",V8_COHORT_TABLE,4,FALSE),VLOOKUP("GLOBAL",V8_COHORT_TABLE,4,FALSE))))</f>
        <v/>
      </c>
      <c r="Y105" s="15">
        <f>IFERROR(VLOOKUP(S105,V8_COHORT_TABLE,5,FALSE),IFERROR(VLOOKUP(P105&amp;"|"&amp;Q105&amp;"|ALL",V8_COHORT_TABLE,5,FALSE),IFERROR(VLOOKUP(P105&amp;"|ALL|ALL",V8_COHORT_TABLE,5,FALSE),VLOOKUP("GLOBAL",V8_COHORT_TABLE,5,FALSE))))</f>
        <v/>
      </c>
      <c r="Z105" s="15">
        <f>V105+W105/(1+EXP(-(U105-X105)/Y105))</f>
        <v/>
      </c>
      <c r="AA105" s="16">
        <f>1-(1-Z105)^12</f>
        <v/>
      </c>
      <c r="AB105" s="14">
        <f>IF(K105&lt;=V8_AGE_KNOT_X_0,V8_AGE_KNOT_Y_0,IF(K105&gt;=V8_AGE_KNOT_X_5,V8_AGE_KNOT_Y_5,IF(K105&lt;=V8_AGE_KNOT_X_1,V8_AGE_KNOT_Y_0+(K105-V8_AGE_KNOT_X_0)/(V8_AGE_KNOT_X_1-V8_AGE_KNOT_X_0)*(V8_AGE_KNOT_Y_1-V8_AGE_KNOT_Y_0),IF(K105&lt;=V8_AGE_KNOT_X_2,V8_AGE_KNOT_Y_1+(K105-V8_AGE_KNOT_X_1)/(V8_AGE_KNOT_X_2-V8_AGE_KNOT_X_1)*(V8_AGE_KNOT_Y_2-V8_AGE_KNOT_Y_1),IF(K105&lt;=V8_AGE_KNOT_X_3,V8_AGE_KNOT_Y_2+(K105-V8_AGE_KNOT_X_2)/(V8_AGE_KNOT_X_3-V8_AGE_KNOT_X_2)*(V8_AGE_KNOT_Y_3-V8_AGE_KNOT_Y_2),IF(K105&lt;=V8_AGE_KNOT_X_4,V8_AGE_KNOT_Y_3+(K105-V8_AGE_KNOT_X_3)/(V8_AGE_KNOT_X_4-V8_AGE_KNOT_X_3)*(V8_AGE_KNOT_Y_4-V8_AGE_KNOT_Y_3),V8_AGE_KNOT_Y_4+(K105-V8_AGE_KNOT_X_4)/(V8_AGE_KNOT_X_5-V8_AGE_KNOT_X_4)*(V8_AGE_KNOT_Y_5-V8_AGE_KNOT_Y_4)))))))</f>
        <v/>
      </c>
      <c r="AC105" s="14">
        <f>IF(IF(OR(L105="",NOT(ISNUMBER(L105))),360,MAX(0,MIN(480,(INT(L105/100)-INT(VALUE(F105)/100))*12+MOD(L105,100)-MOD(VALUE(F105),100))))&gt;0,1+V8_MTY_AMP*MAX(0,(V8_MTY_CUTOFF-(IF(OR(L105="",NOT(ISNUMBER(L105))),360,MAX(0,MIN(480,(INT(L105/100)-INT(VALUE(F105)/100))*12+MOD(L105,100)-MOD(VALUE(F105),100))))))/V8_MTY_CUTOFF),1)</f>
        <v/>
      </c>
      <c r="AD105" s="14">
        <f>IF(AND(IF(OR(M105="",NOT(ISNUMBER(M105))),0,MAX(0,MIN(24,(INT(VALUE(F105)/100)-INT(M105/100))*12+MOD(VALUE(F105),100)-MOD(M105,100))))&gt;0,IF(OR(M105="",NOT(ISNUMBER(M105))),0,MAX(0,MIN(24,(INT(VALUE(F105)/100)-INT(M105/100))*12+MOD(VALUE(F105),100)-MOD(M105,100))))&lt;=12),1+V8_LOCKOUT_AMP*EXP(-(IF(OR(M105="",NOT(ISNUMBER(M105))),0,MAX(0,MIN(24,(INT(VALUE(F105)/100)-INT(M105/100))*12+MOD(VALUE(F105),100)-MOD(M105,100)))))/V8_LOCKOUT_TAU),1)</f>
        <v/>
      </c>
      <c r="AE105" s="14">
        <f>MAX(V8_BURN_FLOOR,1-V8_BURN_SLOPE*MIN(1,MAX(0,O105)))</f>
        <v/>
      </c>
      <c r="AF105" s="15">
        <f>MIN(Z105*AB105*AC105*AD105*AE105,0.2)</f>
        <v/>
      </c>
      <c r="AG105" s="16">
        <f>1-(1-AF105)^12</f>
        <v/>
      </c>
    </row>
    <row r="106">
      <c r="A106" s="2" t="inlineStr">
        <is>
          <t>000003122150</t>
        </is>
      </c>
      <c r="B106" t="inlineStr">
        <is>
          <t>232</t>
        </is>
      </c>
      <c r="C106" t="inlineStr">
        <is>
          <t>RP</t>
        </is>
      </c>
      <c r="D106" t="inlineStr">
        <is>
          <t>GREYSTONE FUNDING COMPANY LLC</t>
        </is>
      </c>
      <c r="E106" t="n">
        <v>2022</v>
      </c>
      <c r="F106" t="inlineStr">
        <is>
          <t>202602</t>
        </is>
      </c>
      <c r="G106" s="8" t="n">
        <v>5481862.74</v>
      </c>
      <c r="H106" s="12" t="n">
        <v>2.59</v>
      </c>
      <c r="I106" s="13" t="n">
        <v>447</v>
      </c>
      <c r="J106" s="13" t="n">
        <v>7</v>
      </c>
      <c r="K106" t="n">
        <v>49</v>
      </c>
      <c r="L106" t="n">
        <v>205702</v>
      </c>
      <c r="M106" t="inlineStr"/>
      <c r="N106" t="n">
        <v>0</v>
      </c>
      <c r="O106" s="14" t="n">
        <v>0</v>
      </c>
      <c r="P106">
        <f>IF(ISNUMBER(SEARCH("232",B106)),"232",IF(ISNUMBER(SEARCH("538",B106)),"538",IF(ISNUMBER(SEARCH("223a7",B106)),"223a7",IF(ISNUMBER(SEARCH("223f",B106)),"223f","OTHER"))))</f>
        <v/>
      </c>
      <c r="Q106">
        <f>IF(UPPER(C106)="NC","NC","RP")</f>
        <v/>
      </c>
      <c r="R106">
        <f>IF(G106&lt;5000000,"small",IF(G106&lt;25000000,"medium","large"))</f>
        <v/>
      </c>
      <c r="S106">
        <f>P106&amp;"|"&amp;Q106&amp;"|"&amp;R106</f>
        <v/>
      </c>
      <c r="T106" s="13">
        <f>H106*100-I106</f>
        <v/>
      </c>
      <c r="U106" s="13">
        <f>T106-12.5*(J106+1)</f>
        <v/>
      </c>
      <c r="V106" s="15">
        <f>IFERROR(VLOOKUP(S106,V8_COHORT_TABLE,2,FALSE),IFERROR(VLOOKUP(P106&amp;"|"&amp;Q106&amp;"|ALL",V8_COHORT_TABLE,2,FALSE),IFERROR(VLOOKUP(P106&amp;"|ALL|ALL",V8_COHORT_TABLE,2,FALSE),VLOOKUP("GLOBAL",V8_COHORT_TABLE,2,FALSE))))</f>
        <v/>
      </c>
      <c r="W106" s="15">
        <f>IFERROR(VLOOKUP(S106,V8_COHORT_TABLE,3,FALSE),IFERROR(VLOOKUP(P106&amp;"|"&amp;Q106&amp;"|ALL",V8_COHORT_TABLE,3,FALSE),IFERROR(VLOOKUP(P106&amp;"|ALL|ALL",V8_COHORT_TABLE,3,FALSE),VLOOKUP("GLOBAL",V8_COHORT_TABLE,3,FALSE))))</f>
        <v/>
      </c>
      <c r="X106" s="15">
        <f>IFERROR(VLOOKUP(S106,V8_COHORT_TABLE,4,FALSE),IFERROR(VLOOKUP(P106&amp;"|"&amp;Q106&amp;"|ALL",V8_COHORT_TABLE,4,FALSE),IFERROR(VLOOKUP(P106&amp;"|ALL|ALL",V8_COHORT_TABLE,4,FALSE),VLOOKUP("GLOBAL",V8_COHORT_TABLE,4,FALSE))))</f>
        <v/>
      </c>
      <c r="Y106" s="15">
        <f>IFERROR(VLOOKUP(S106,V8_COHORT_TABLE,5,FALSE),IFERROR(VLOOKUP(P106&amp;"|"&amp;Q106&amp;"|ALL",V8_COHORT_TABLE,5,FALSE),IFERROR(VLOOKUP(P106&amp;"|ALL|ALL",V8_COHORT_TABLE,5,FALSE),VLOOKUP("GLOBAL",V8_COHORT_TABLE,5,FALSE))))</f>
        <v/>
      </c>
      <c r="Z106" s="15">
        <f>V106+W106/(1+EXP(-(U106-X106)/Y106))</f>
        <v/>
      </c>
      <c r="AA106" s="16">
        <f>1-(1-Z106)^12</f>
        <v/>
      </c>
      <c r="AB106" s="14">
        <f>IF(K106&lt;=V8_AGE_KNOT_X_0,V8_AGE_KNOT_Y_0,IF(K106&gt;=V8_AGE_KNOT_X_5,V8_AGE_KNOT_Y_5,IF(K106&lt;=V8_AGE_KNOT_X_1,V8_AGE_KNOT_Y_0+(K106-V8_AGE_KNOT_X_0)/(V8_AGE_KNOT_X_1-V8_AGE_KNOT_X_0)*(V8_AGE_KNOT_Y_1-V8_AGE_KNOT_Y_0),IF(K106&lt;=V8_AGE_KNOT_X_2,V8_AGE_KNOT_Y_1+(K106-V8_AGE_KNOT_X_1)/(V8_AGE_KNOT_X_2-V8_AGE_KNOT_X_1)*(V8_AGE_KNOT_Y_2-V8_AGE_KNOT_Y_1),IF(K106&lt;=V8_AGE_KNOT_X_3,V8_AGE_KNOT_Y_2+(K106-V8_AGE_KNOT_X_2)/(V8_AGE_KNOT_X_3-V8_AGE_KNOT_X_2)*(V8_AGE_KNOT_Y_3-V8_AGE_KNOT_Y_2),IF(K106&lt;=V8_AGE_KNOT_X_4,V8_AGE_KNOT_Y_3+(K106-V8_AGE_KNOT_X_3)/(V8_AGE_KNOT_X_4-V8_AGE_KNOT_X_3)*(V8_AGE_KNOT_Y_4-V8_AGE_KNOT_Y_3),V8_AGE_KNOT_Y_4+(K106-V8_AGE_KNOT_X_4)/(V8_AGE_KNOT_X_5-V8_AGE_KNOT_X_4)*(V8_AGE_KNOT_Y_5-V8_AGE_KNOT_Y_4)))))))</f>
        <v/>
      </c>
      <c r="AC106" s="14">
        <f>IF(IF(OR(L106="",NOT(ISNUMBER(L106))),360,MAX(0,MIN(480,(INT(L106/100)-INT(VALUE(F106)/100))*12+MOD(L106,100)-MOD(VALUE(F106),100))))&gt;0,1+V8_MTY_AMP*MAX(0,(V8_MTY_CUTOFF-(IF(OR(L106="",NOT(ISNUMBER(L106))),360,MAX(0,MIN(480,(INT(L106/100)-INT(VALUE(F106)/100))*12+MOD(L106,100)-MOD(VALUE(F106),100))))))/V8_MTY_CUTOFF),1)</f>
        <v/>
      </c>
      <c r="AD106" s="14">
        <f>IF(AND(IF(OR(M106="",NOT(ISNUMBER(M106))),0,MAX(0,MIN(24,(INT(VALUE(F106)/100)-INT(M106/100))*12+MOD(VALUE(F106),100)-MOD(M106,100))))&gt;0,IF(OR(M106="",NOT(ISNUMBER(M106))),0,MAX(0,MIN(24,(INT(VALUE(F106)/100)-INT(M106/100))*12+MOD(VALUE(F106),100)-MOD(M106,100))))&lt;=12),1+V8_LOCKOUT_AMP*EXP(-(IF(OR(M106="",NOT(ISNUMBER(M106))),0,MAX(0,MIN(24,(INT(VALUE(F106)/100)-INT(M106/100))*12+MOD(VALUE(F106),100)-MOD(M106,100)))))/V8_LOCKOUT_TAU),1)</f>
        <v/>
      </c>
      <c r="AE106" s="14">
        <f>MAX(V8_BURN_FLOOR,1-V8_BURN_SLOPE*MIN(1,MAX(0,O106)))</f>
        <v/>
      </c>
      <c r="AF106" s="15">
        <f>MIN(Z106*AB106*AC106*AD106*AE106,0.2)</f>
        <v/>
      </c>
      <c r="AG106" s="16">
        <f>1-(1-AF106)^12</f>
        <v/>
      </c>
    </row>
    <row r="107">
      <c r="A107" s="2" t="inlineStr">
        <is>
          <t>000001243322</t>
        </is>
      </c>
      <c r="B107" t="inlineStr">
        <is>
          <t>232</t>
        </is>
      </c>
      <c r="C107" t="inlineStr">
        <is>
          <t>NC</t>
        </is>
      </c>
      <c r="D107" t="inlineStr">
        <is>
          <t>GREYSTONE FUNDING COMPANY LLC</t>
        </is>
      </c>
      <c r="E107" t="n">
        <v>2023</v>
      </c>
      <c r="F107" t="inlineStr">
        <is>
          <t>202602</t>
        </is>
      </c>
      <c r="G107" s="8" t="n">
        <v>25884385.79</v>
      </c>
      <c r="H107" s="12" t="n">
        <v>5.69</v>
      </c>
      <c r="I107" s="13" t="n">
        <v>447</v>
      </c>
      <c r="J107" s="13" t="n">
        <v>9</v>
      </c>
      <c r="K107" t="n">
        <v>32</v>
      </c>
      <c r="L107" t="n">
        <v>206501</v>
      </c>
      <c r="M107" t="inlineStr"/>
      <c r="N107" t="n">
        <v>0</v>
      </c>
      <c r="O107" s="14" t="n">
        <v>0</v>
      </c>
      <c r="P107">
        <f>IF(ISNUMBER(SEARCH("232",B107)),"232",IF(ISNUMBER(SEARCH("538",B107)),"538",IF(ISNUMBER(SEARCH("223a7",B107)),"223a7",IF(ISNUMBER(SEARCH("223f",B107)),"223f","OTHER"))))</f>
        <v/>
      </c>
      <c r="Q107">
        <f>IF(UPPER(C107)="NC","NC","RP")</f>
        <v/>
      </c>
      <c r="R107">
        <f>IF(G107&lt;5000000,"small",IF(G107&lt;25000000,"medium","large"))</f>
        <v/>
      </c>
      <c r="S107">
        <f>P107&amp;"|"&amp;Q107&amp;"|"&amp;R107</f>
        <v/>
      </c>
      <c r="T107" s="13">
        <f>H107*100-I107</f>
        <v/>
      </c>
      <c r="U107" s="13">
        <f>T107-12.5*(J107+1)</f>
        <v/>
      </c>
      <c r="V107" s="15">
        <f>IFERROR(VLOOKUP(S107,V8_COHORT_TABLE,2,FALSE),IFERROR(VLOOKUP(P107&amp;"|"&amp;Q107&amp;"|ALL",V8_COHORT_TABLE,2,FALSE),IFERROR(VLOOKUP(P107&amp;"|ALL|ALL",V8_COHORT_TABLE,2,FALSE),VLOOKUP("GLOBAL",V8_COHORT_TABLE,2,FALSE))))</f>
        <v/>
      </c>
      <c r="W107" s="15">
        <f>IFERROR(VLOOKUP(S107,V8_COHORT_TABLE,3,FALSE),IFERROR(VLOOKUP(P107&amp;"|"&amp;Q107&amp;"|ALL",V8_COHORT_TABLE,3,FALSE),IFERROR(VLOOKUP(P107&amp;"|ALL|ALL",V8_COHORT_TABLE,3,FALSE),VLOOKUP("GLOBAL",V8_COHORT_TABLE,3,FALSE))))</f>
        <v/>
      </c>
      <c r="X107" s="15">
        <f>IFERROR(VLOOKUP(S107,V8_COHORT_TABLE,4,FALSE),IFERROR(VLOOKUP(P107&amp;"|"&amp;Q107&amp;"|ALL",V8_COHORT_TABLE,4,FALSE),IFERROR(VLOOKUP(P107&amp;"|ALL|ALL",V8_COHORT_TABLE,4,FALSE),VLOOKUP("GLOBAL",V8_COHORT_TABLE,4,FALSE))))</f>
        <v/>
      </c>
      <c r="Y107" s="15">
        <f>IFERROR(VLOOKUP(S107,V8_COHORT_TABLE,5,FALSE),IFERROR(VLOOKUP(P107&amp;"|"&amp;Q107&amp;"|ALL",V8_COHORT_TABLE,5,FALSE),IFERROR(VLOOKUP(P107&amp;"|ALL|ALL",V8_COHORT_TABLE,5,FALSE),VLOOKUP("GLOBAL",V8_COHORT_TABLE,5,FALSE))))</f>
        <v/>
      </c>
      <c r="Z107" s="15">
        <f>V107+W107/(1+EXP(-(U107-X107)/Y107))</f>
        <v/>
      </c>
      <c r="AA107" s="16">
        <f>1-(1-Z107)^12</f>
        <v/>
      </c>
      <c r="AB107" s="14">
        <f>IF(K107&lt;=V8_AGE_KNOT_X_0,V8_AGE_KNOT_Y_0,IF(K107&gt;=V8_AGE_KNOT_X_5,V8_AGE_KNOT_Y_5,IF(K107&lt;=V8_AGE_KNOT_X_1,V8_AGE_KNOT_Y_0+(K107-V8_AGE_KNOT_X_0)/(V8_AGE_KNOT_X_1-V8_AGE_KNOT_X_0)*(V8_AGE_KNOT_Y_1-V8_AGE_KNOT_Y_0),IF(K107&lt;=V8_AGE_KNOT_X_2,V8_AGE_KNOT_Y_1+(K107-V8_AGE_KNOT_X_1)/(V8_AGE_KNOT_X_2-V8_AGE_KNOT_X_1)*(V8_AGE_KNOT_Y_2-V8_AGE_KNOT_Y_1),IF(K107&lt;=V8_AGE_KNOT_X_3,V8_AGE_KNOT_Y_2+(K107-V8_AGE_KNOT_X_2)/(V8_AGE_KNOT_X_3-V8_AGE_KNOT_X_2)*(V8_AGE_KNOT_Y_3-V8_AGE_KNOT_Y_2),IF(K107&lt;=V8_AGE_KNOT_X_4,V8_AGE_KNOT_Y_3+(K107-V8_AGE_KNOT_X_3)/(V8_AGE_KNOT_X_4-V8_AGE_KNOT_X_3)*(V8_AGE_KNOT_Y_4-V8_AGE_KNOT_Y_3),V8_AGE_KNOT_Y_4+(K107-V8_AGE_KNOT_X_4)/(V8_AGE_KNOT_X_5-V8_AGE_KNOT_X_4)*(V8_AGE_KNOT_Y_5-V8_AGE_KNOT_Y_4)))))))</f>
        <v/>
      </c>
      <c r="AC107" s="14">
        <f>IF(IF(OR(L107="",NOT(ISNUMBER(L107))),360,MAX(0,MIN(480,(INT(L107/100)-INT(VALUE(F107)/100))*12+MOD(L107,100)-MOD(VALUE(F107),100))))&gt;0,1+V8_MTY_AMP*MAX(0,(V8_MTY_CUTOFF-(IF(OR(L107="",NOT(ISNUMBER(L107))),360,MAX(0,MIN(480,(INT(L107/100)-INT(VALUE(F107)/100))*12+MOD(L107,100)-MOD(VALUE(F107),100))))))/V8_MTY_CUTOFF),1)</f>
        <v/>
      </c>
      <c r="AD107" s="14">
        <f>IF(AND(IF(OR(M107="",NOT(ISNUMBER(M107))),0,MAX(0,MIN(24,(INT(VALUE(F107)/100)-INT(M107/100))*12+MOD(VALUE(F107),100)-MOD(M107,100))))&gt;0,IF(OR(M107="",NOT(ISNUMBER(M107))),0,MAX(0,MIN(24,(INT(VALUE(F107)/100)-INT(M107/100))*12+MOD(VALUE(F107),100)-MOD(M107,100))))&lt;=12),1+V8_LOCKOUT_AMP*EXP(-(IF(OR(M107="",NOT(ISNUMBER(M107))),0,MAX(0,MIN(24,(INT(VALUE(F107)/100)-INT(M107/100))*12+MOD(VALUE(F107),100)-MOD(M107,100)))))/V8_LOCKOUT_TAU),1)</f>
        <v/>
      </c>
      <c r="AE107" s="14">
        <f>MAX(V8_BURN_FLOOR,1-V8_BURN_SLOPE*MIN(1,MAX(0,O107)))</f>
        <v/>
      </c>
      <c r="AF107" s="15">
        <f>MIN(Z107*AB107*AC107*AD107*AE107,0.2)</f>
        <v/>
      </c>
      <c r="AG107" s="16">
        <f>1-(1-AF107)^12</f>
        <v/>
      </c>
    </row>
    <row r="108">
      <c r="A108" s="2" t="inlineStr">
        <is>
          <t>000011511423</t>
        </is>
      </c>
      <c r="B108" t="inlineStr">
        <is>
          <t>223f</t>
        </is>
      </c>
      <c r="C108" t="inlineStr">
        <is>
          <t>RP</t>
        </is>
      </c>
      <c r="D108" t="inlineStr">
        <is>
          <t>GREYSTONE FUNDING COMPANY LLC</t>
        </is>
      </c>
      <c r="E108" t="n">
        <v>2023</v>
      </c>
      <c r="F108" t="inlineStr">
        <is>
          <t>202602</t>
        </is>
      </c>
      <c r="G108" s="8" t="n">
        <v>3566840.6</v>
      </c>
      <c r="H108" s="12" t="n">
        <v>5.9</v>
      </c>
      <c r="I108" s="13" t="n">
        <v>447</v>
      </c>
      <c r="J108" s="13" t="n">
        <v>8</v>
      </c>
      <c r="K108" t="n">
        <v>30</v>
      </c>
      <c r="L108" t="n">
        <v>205809</v>
      </c>
      <c r="M108" t="inlineStr"/>
      <c r="N108" t="n">
        <v>2</v>
      </c>
      <c r="O108" s="14" t="n">
        <v>0.06666666666666667</v>
      </c>
      <c r="P108">
        <f>IF(ISNUMBER(SEARCH("232",B108)),"232",IF(ISNUMBER(SEARCH("538",B108)),"538",IF(ISNUMBER(SEARCH("223a7",B108)),"223a7",IF(ISNUMBER(SEARCH("223f",B108)),"223f","OTHER"))))</f>
        <v/>
      </c>
      <c r="Q108">
        <f>IF(UPPER(C108)="NC","NC","RP")</f>
        <v/>
      </c>
      <c r="R108">
        <f>IF(G108&lt;5000000,"small",IF(G108&lt;25000000,"medium","large"))</f>
        <v/>
      </c>
      <c r="S108">
        <f>P108&amp;"|"&amp;Q108&amp;"|"&amp;R108</f>
        <v/>
      </c>
      <c r="T108" s="13">
        <f>H108*100-I108</f>
        <v/>
      </c>
      <c r="U108" s="13">
        <f>T108-12.5*(J108+1)</f>
        <v/>
      </c>
      <c r="V108" s="15">
        <f>IFERROR(VLOOKUP(S108,V8_COHORT_TABLE,2,FALSE),IFERROR(VLOOKUP(P108&amp;"|"&amp;Q108&amp;"|ALL",V8_COHORT_TABLE,2,FALSE),IFERROR(VLOOKUP(P108&amp;"|ALL|ALL",V8_COHORT_TABLE,2,FALSE),VLOOKUP("GLOBAL",V8_COHORT_TABLE,2,FALSE))))</f>
        <v/>
      </c>
      <c r="W108" s="15">
        <f>IFERROR(VLOOKUP(S108,V8_COHORT_TABLE,3,FALSE),IFERROR(VLOOKUP(P108&amp;"|"&amp;Q108&amp;"|ALL",V8_COHORT_TABLE,3,FALSE),IFERROR(VLOOKUP(P108&amp;"|ALL|ALL",V8_COHORT_TABLE,3,FALSE),VLOOKUP("GLOBAL",V8_COHORT_TABLE,3,FALSE))))</f>
        <v/>
      </c>
      <c r="X108" s="15">
        <f>IFERROR(VLOOKUP(S108,V8_COHORT_TABLE,4,FALSE),IFERROR(VLOOKUP(P108&amp;"|"&amp;Q108&amp;"|ALL",V8_COHORT_TABLE,4,FALSE),IFERROR(VLOOKUP(P108&amp;"|ALL|ALL",V8_COHORT_TABLE,4,FALSE),VLOOKUP("GLOBAL",V8_COHORT_TABLE,4,FALSE))))</f>
        <v/>
      </c>
      <c r="Y108" s="15">
        <f>IFERROR(VLOOKUP(S108,V8_COHORT_TABLE,5,FALSE),IFERROR(VLOOKUP(P108&amp;"|"&amp;Q108&amp;"|ALL",V8_COHORT_TABLE,5,FALSE),IFERROR(VLOOKUP(P108&amp;"|ALL|ALL",V8_COHORT_TABLE,5,FALSE),VLOOKUP("GLOBAL",V8_COHORT_TABLE,5,FALSE))))</f>
        <v/>
      </c>
      <c r="Z108" s="15">
        <f>V108+W108/(1+EXP(-(U108-X108)/Y108))</f>
        <v/>
      </c>
      <c r="AA108" s="16">
        <f>1-(1-Z108)^12</f>
        <v/>
      </c>
      <c r="AB108" s="14">
        <f>IF(K108&lt;=V8_AGE_KNOT_X_0,V8_AGE_KNOT_Y_0,IF(K108&gt;=V8_AGE_KNOT_X_5,V8_AGE_KNOT_Y_5,IF(K108&lt;=V8_AGE_KNOT_X_1,V8_AGE_KNOT_Y_0+(K108-V8_AGE_KNOT_X_0)/(V8_AGE_KNOT_X_1-V8_AGE_KNOT_X_0)*(V8_AGE_KNOT_Y_1-V8_AGE_KNOT_Y_0),IF(K108&lt;=V8_AGE_KNOT_X_2,V8_AGE_KNOT_Y_1+(K108-V8_AGE_KNOT_X_1)/(V8_AGE_KNOT_X_2-V8_AGE_KNOT_X_1)*(V8_AGE_KNOT_Y_2-V8_AGE_KNOT_Y_1),IF(K108&lt;=V8_AGE_KNOT_X_3,V8_AGE_KNOT_Y_2+(K108-V8_AGE_KNOT_X_2)/(V8_AGE_KNOT_X_3-V8_AGE_KNOT_X_2)*(V8_AGE_KNOT_Y_3-V8_AGE_KNOT_Y_2),IF(K108&lt;=V8_AGE_KNOT_X_4,V8_AGE_KNOT_Y_3+(K108-V8_AGE_KNOT_X_3)/(V8_AGE_KNOT_X_4-V8_AGE_KNOT_X_3)*(V8_AGE_KNOT_Y_4-V8_AGE_KNOT_Y_3),V8_AGE_KNOT_Y_4+(K108-V8_AGE_KNOT_X_4)/(V8_AGE_KNOT_X_5-V8_AGE_KNOT_X_4)*(V8_AGE_KNOT_Y_5-V8_AGE_KNOT_Y_4)))))))</f>
        <v/>
      </c>
      <c r="AC108" s="14">
        <f>IF(IF(OR(L108="",NOT(ISNUMBER(L108))),360,MAX(0,MIN(480,(INT(L108/100)-INT(VALUE(F108)/100))*12+MOD(L108,100)-MOD(VALUE(F108),100))))&gt;0,1+V8_MTY_AMP*MAX(0,(V8_MTY_CUTOFF-(IF(OR(L108="",NOT(ISNUMBER(L108))),360,MAX(0,MIN(480,(INT(L108/100)-INT(VALUE(F108)/100))*12+MOD(L108,100)-MOD(VALUE(F108),100))))))/V8_MTY_CUTOFF),1)</f>
        <v/>
      </c>
      <c r="AD108" s="14">
        <f>IF(AND(IF(OR(M108="",NOT(ISNUMBER(M108))),0,MAX(0,MIN(24,(INT(VALUE(F108)/100)-INT(M108/100))*12+MOD(VALUE(F108),100)-MOD(M108,100))))&gt;0,IF(OR(M108="",NOT(ISNUMBER(M108))),0,MAX(0,MIN(24,(INT(VALUE(F108)/100)-INT(M108/100))*12+MOD(VALUE(F108),100)-MOD(M108,100))))&lt;=12),1+V8_LOCKOUT_AMP*EXP(-(IF(OR(M108="",NOT(ISNUMBER(M108))),0,MAX(0,MIN(24,(INT(VALUE(F108)/100)-INT(M108/100))*12+MOD(VALUE(F108),100)-MOD(M108,100)))))/V8_LOCKOUT_TAU),1)</f>
        <v/>
      </c>
      <c r="AE108" s="14">
        <f>MAX(V8_BURN_FLOOR,1-V8_BURN_SLOPE*MIN(1,MAX(0,O108)))</f>
        <v/>
      </c>
      <c r="AF108" s="15">
        <f>MIN(Z108*AB108*AC108*AD108*AE108,0.2)</f>
        <v/>
      </c>
      <c r="AG108" s="16">
        <f>1-(1-AF108)^12</f>
        <v/>
      </c>
    </row>
    <row r="109">
      <c r="A109" s="2" t="inlineStr">
        <is>
          <t>000006311131</t>
        </is>
      </c>
      <c r="B109" t="inlineStr">
        <is>
          <t>223f</t>
        </is>
      </c>
      <c r="C109" t="inlineStr">
        <is>
          <t>RP</t>
        </is>
      </c>
      <c r="D109" t="inlineStr">
        <is>
          <t>GREYSTONE FUNDING COMPANY LLC</t>
        </is>
      </c>
      <c r="E109" t="n">
        <v>2018</v>
      </c>
      <c r="F109" t="inlineStr">
        <is>
          <t>202602</t>
        </is>
      </c>
      <c r="G109" s="8" t="n">
        <v>22168905.15</v>
      </c>
      <c r="H109" s="12" t="n">
        <v>2.7</v>
      </c>
      <c r="I109" s="13" t="n">
        <v>447</v>
      </c>
      <c r="J109" s="13" t="n">
        <v>6</v>
      </c>
      <c r="K109" t="n">
        <v>96</v>
      </c>
      <c r="L109" t="n">
        <v>205303</v>
      </c>
      <c r="M109" t="inlineStr"/>
      <c r="N109" t="n">
        <v>0</v>
      </c>
      <c r="O109" s="14" t="n">
        <v>0</v>
      </c>
      <c r="P109">
        <f>IF(ISNUMBER(SEARCH("232",B109)),"232",IF(ISNUMBER(SEARCH("538",B109)),"538",IF(ISNUMBER(SEARCH("223a7",B109)),"223a7",IF(ISNUMBER(SEARCH("223f",B109)),"223f","OTHER"))))</f>
        <v/>
      </c>
      <c r="Q109">
        <f>IF(UPPER(C109)="NC","NC","RP")</f>
        <v/>
      </c>
      <c r="R109">
        <f>IF(G109&lt;5000000,"small",IF(G109&lt;25000000,"medium","large"))</f>
        <v/>
      </c>
      <c r="S109">
        <f>P109&amp;"|"&amp;Q109&amp;"|"&amp;R109</f>
        <v/>
      </c>
      <c r="T109" s="13">
        <f>H109*100-I109</f>
        <v/>
      </c>
      <c r="U109" s="13">
        <f>T109-12.5*(J109+1)</f>
        <v/>
      </c>
      <c r="V109" s="15">
        <f>IFERROR(VLOOKUP(S109,V8_COHORT_TABLE,2,FALSE),IFERROR(VLOOKUP(P109&amp;"|"&amp;Q109&amp;"|ALL",V8_COHORT_TABLE,2,FALSE),IFERROR(VLOOKUP(P109&amp;"|ALL|ALL",V8_COHORT_TABLE,2,FALSE),VLOOKUP("GLOBAL",V8_COHORT_TABLE,2,FALSE))))</f>
        <v/>
      </c>
      <c r="W109" s="15">
        <f>IFERROR(VLOOKUP(S109,V8_COHORT_TABLE,3,FALSE),IFERROR(VLOOKUP(P109&amp;"|"&amp;Q109&amp;"|ALL",V8_COHORT_TABLE,3,FALSE),IFERROR(VLOOKUP(P109&amp;"|ALL|ALL",V8_COHORT_TABLE,3,FALSE),VLOOKUP("GLOBAL",V8_COHORT_TABLE,3,FALSE))))</f>
        <v/>
      </c>
      <c r="X109" s="15">
        <f>IFERROR(VLOOKUP(S109,V8_COHORT_TABLE,4,FALSE),IFERROR(VLOOKUP(P109&amp;"|"&amp;Q109&amp;"|ALL",V8_COHORT_TABLE,4,FALSE),IFERROR(VLOOKUP(P109&amp;"|ALL|ALL",V8_COHORT_TABLE,4,FALSE),VLOOKUP("GLOBAL",V8_COHORT_TABLE,4,FALSE))))</f>
        <v/>
      </c>
      <c r="Y109" s="15">
        <f>IFERROR(VLOOKUP(S109,V8_COHORT_TABLE,5,FALSE),IFERROR(VLOOKUP(P109&amp;"|"&amp;Q109&amp;"|ALL",V8_COHORT_TABLE,5,FALSE),IFERROR(VLOOKUP(P109&amp;"|ALL|ALL",V8_COHORT_TABLE,5,FALSE),VLOOKUP("GLOBAL",V8_COHORT_TABLE,5,FALSE))))</f>
        <v/>
      </c>
      <c r="Z109" s="15">
        <f>V109+W109/(1+EXP(-(U109-X109)/Y109))</f>
        <v/>
      </c>
      <c r="AA109" s="16">
        <f>1-(1-Z109)^12</f>
        <v/>
      </c>
      <c r="AB109" s="14">
        <f>IF(K109&lt;=V8_AGE_KNOT_X_0,V8_AGE_KNOT_Y_0,IF(K109&gt;=V8_AGE_KNOT_X_5,V8_AGE_KNOT_Y_5,IF(K109&lt;=V8_AGE_KNOT_X_1,V8_AGE_KNOT_Y_0+(K109-V8_AGE_KNOT_X_0)/(V8_AGE_KNOT_X_1-V8_AGE_KNOT_X_0)*(V8_AGE_KNOT_Y_1-V8_AGE_KNOT_Y_0),IF(K109&lt;=V8_AGE_KNOT_X_2,V8_AGE_KNOT_Y_1+(K109-V8_AGE_KNOT_X_1)/(V8_AGE_KNOT_X_2-V8_AGE_KNOT_X_1)*(V8_AGE_KNOT_Y_2-V8_AGE_KNOT_Y_1),IF(K109&lt;=V8_AGE_KNOT_X_3,V8_AGE_KNOT_Y_2+(K109-V8_AGE_KNOT_X_2)/(V8_AGE_KNOT_X_3-V8_AGE_KNOT_X_2)*(V8_AGE_KNOT_Y_3-V8_AGE_KNOT_Y_2),IF(K109&lt;=V8_AGE_KNOT_X_4,V8_AGE_KNOT_Y_3+(K109-V8_AGE_KNOT_X_3)/(V8_AGE_KNOT_X_4-V8_AGE_KNOT_X_3)*(V8_AGE_KNOT_Y_4-V8_AGE_KNOT_Y_3),V8_AGE_KNOT_Y_4+(K109-V8_AGE_KNOT_X_4)/(V8_AGE_KNOT_X_5-V8_AGE_KNOT_X_4)*(V8_AGE_KNOT_Y_5-V8_AGE_KNOT_Y_4)))))))</f>
        <v/>
      </c>
      <c r="AC109" s="14">
        <f>IF(IF(OR(L109="",NOT(ISNUMBER(L109))),360,MAX(0,MIN(480,(INT(L109/100)-INT(VALUE(F109)/100))*12+MOD(L109,100)-MOD(VALUE(F109),100))))&gt;0,1+V8_MTY_AMP*MAX(0,(V8_MTY_CUTOFF-(IF(OR(L109="",NOT(ISNUMBER(L109))),360,MAX(0,MIN(480,(INT(L109/100)-INT(VALUE(F109)/100))*12+MOD(L109,100)-MOD(VALUE(F109),100))))))/V8_MTY_CUTOFF),1)</f>
        <v/>
      </c>
      <c r="AD109" s="14">
        <f>IF(AND(IF(OR(M109="",NOT(ISNUMBER(M109))),0,MAX(0,MIN(24,(INT(VALUE(F109)/100)-INT(M109/100))*12+MOD(VALUE(F109),100)-MOD(M109,100))))&gt;0,IF(OR(M109="",NOT(ISNUMBER(M109))),0,MAX(0,MIN(24,(INT(VALUE(F109)/100)-INT(M109/100))*12+MOD(VALUE(F109),100)-MOD(M109,100))))&lt;=12),1+V8_LOCKOUT_AMP*EXP(-(IF(OR(M109="",NOT(ISNUMBER(M109))),0,MAX(0,MIN(24,(INT(VALUE(F109)/100)-INT(M109/100))*12+MOD(VALUE(F109),100)-MOD(M109,100)))))/V8_LOCKOUT_TAU),1)</f>
        <v/>
      </c>
      <c r="AE109" s="14">
        <f>MAX(V8_BURN_FLOOR,1-V8_BURN_SLOPE*MIN(1,MAX(0,O109)))</f>
        <v/>
      </c>
      <c r="AF109" s="15">
        <f>MIN(Z109*AB109*AC109*AD109*AE109,0.2)</f>
        <v/>
      </c>
      <c r="AG109" s="16">
        <f>1-(1-AF109)^12</f>
        <v/>
      </c>
    </row>
    <row r="110">
      <c r="A110" s="2" t="inlineStr">
        <is>
          <t>000004222419</t>
        </is>
      </c>
      <c r="B110" t="inlineStr">
        <is>
          <t>232</t>
        </is>
      </c>
      <c r="C110" t="inlineStr">
        <is>
          <t>RP</t>
        </is>
      </c>
      <c r="D110" t="inlineStr">
        <is>
          <t>GREYSTONE FUNDING COMPANY LLC</t>
        </is>
      </c>
      <c r="E110" t="n">
        <v>2024</v>
      </c>
      <c r="F110" t="inlineStr">
        <is>
          <t>202602</t>
        </is>
      </c>
      <c r="G110" s="8" t="n">
        <v>8449315.109999999</v>
      </c>
      <c r="H110" s="12" t="n">
        <v>5.82</v>
      </c>
      <c r="I110" s="13" t="n">
        <v>447</v>
      </c>
      <c r="J110" s="13" t="n">
        <v>10</v>
      </c>
      <c r="K110" t="n">
        <v>18</v>
      </c>
      <c r="L110" t="n">
        <v>205909</v>
      </c>
      <c r="M110" t="inlineStr"/>
      <c r="N110" t="n">
        <v>0</v>
      </c>
      <c r="O110" s="14" t="n">
        <v>0</v>
      </c>
      <c r="P110">
        <f>IF(ISNUMBER(SEARCH("232",B110)),"232",IF(ISNUMBER(SEARCH("538",B110)),"538",IF(ISNUMBER(SEARCH("223a7",B110)),"223a7",IF(ISNUMBER(SEARCH("223f",B110)),"223f","OTHER"))))</f>
        <v/>
      </c>
      <c r="Q110">
        <f>IF(UPPER(C110)="NC","NC","RP")</f>
        <v/>
      </c>
      <c r="R110">
        <f>IF(G110&lt;5000000,"small",IF(G110&lt;25000000,"medium","large"))</f>
        <v/>
      </c>
      <c r="S110">
        <f>P110&amp;"|"&amp;Q110&amp;"|"&amp;R110</f>
        <v/>
      </c>
      <c r="T110" s="13">
        <f>H110*100-I110</f>
        <v/>
      </c>
      <c r="U110" s="13">
        <f>T110-12.5*(J110+1)</f>
        <v/>
      </c>
      <c r="V110" s="15">
        <f>IFERROR(VLOOKUP(S110,V8_COHORT_TABLE,2,FALSE),IFERROR(VLOOKUP(P110&amp;"|"&amp;Q110&amp;"|ALL",V8_COHORT_TABLE,2,FALSE),IFERROR(VLOOKUP(P110&amp;"|ALL|ALL",V8_COHORT_TABLE,2,FALSE),VLOOKUP("GLOBAL",V8_COHORT_TABLE,2,FALSE))))</f>
        <v/>
      </c>
      <c r="W110" s="15">
        <f>IFERROR(VLOOKUP(S110,V8_COHORT_TABLE,3,FALSE),IFERROR(VLOOKUP(P110&amp;"|"&amp;Q110&amp;"|ALL",V8_COHORT_TABLE,3,FALSE),IFERROR(VLOOKUP(P110&amp;"|ALL|ALL",V8_COHORT_TABLE,3,FALSE),VLOOKUP("GLOBAL",V8_COHORT_TABLE,3,FALSE))))</f>
        <v/>
      </c>
      <c r="X110" s="15">
        <f>IFERROR(VLOOKUP(S110,V8_COHORT_TABLE,4,FALSE),IFERROR(VLOOKUP(P110&amp;"|"&amp;Q110&amp;"|ALL",V8_COHORT_TABLE,4,FALSE),IFERROR(VLOOKUP(P110&amp;"|ALL|ALL",V8_COHORT_TABLE,4,FALSE),VLOOKUP("GLOBAL",V8_COHORT_TABLE,4,FALSE))))</f>
        <v/>
      </c>
      <c r="Y110" s="15">
        <f>IFERROR(VLOOKUP(S110,V8_COHORT_TABLE,5,FALSE),IFERROR(VLOOKUP(P110&amp;"|"&amp;Q110&amp;"|ALL",V8_COHORT_TABLE,5,FALSE),IFERROR(VLOOKUP(P110&amp;"|ALL|ALL",V8_COHORT_TABLE,5,FALSE),VLOOKUP("GLOBAL",V8_COHORT_TABLE,5,FALSE))))</f>
        <v/>
      </c>
      <c r="Z110" s="15">
        <f>V110+W110/(1+EXP(-(U110-X110)/Y110))</f>
        <v/>
      </c>
      <c r="AA110" s="16">
        <f>1-(1-Z110)^12</f>
        <v/>
      </c>
      <c r="AB110" s="14">
        <f>IF(K110&lt;=V8_AGE_KNOT_X_0,V8_AGE_KNOT_Y_0,IF(K110&gt;=V8_AGE_KNOT_X_5,V8_AGE_KNOT_Y_5,IF(K110&lt;=V8_AGE_KNOT_X_1,V8_AGE_KNOT_Y_0+(K110-V8_AGE_KNOT_X_0)/(V8_AGE_KNOT_X_1-V8_AGE_KNOT_X_0)*(V8_AGE_KNOT_Y_1-V8_AGE_KNOT_Y_0),IF(K110&lt;=V8_AGE_KNOT_X_2,V8_AGE_KNOT_Y_1+(K110-V8_AGE_KNOT_X_1)/(V8_AGE_KNOT_X_2-V8_AGE_KNOT_X_1)*(V8_AGE_KNOT_Y_2-V8_AGE_KNOT_Y_1),IF(K110&lt;=V8_AGE_KNOT_X_3,V8_AGE_KNOT_Y_2+(K110-V8_AGE_KNOT_X_2)/(V8_AGE_KNOT_X_3-V8_AGE_KNOT_X_2)*(V8_AGE_KNOT_Y_3-V8_AGE_KNOT_Y_2),IF(K110&lt;=V8_AGE_KNOT_X_4,V8_AGE_KNOT_Y_3+(K110-V8_AGE_KNOT_X_3)/(V8_AGE_KNOT_X_4-V8_AGE_KNOT_X_3)*(V8_AGE_KNOT_Y_4-V8_AGE_KNOT_Y_3),V8_AGE_KNOT_Y_4+(K110-V8_AGE_KNOT_X_4)/(V8_AGE_KNOT_X_5-V8_AGE_KNOT_X_4)*(V8_AGE_KNOT_Y_5-V8_AGE_KNOT_Y_4)))))))</f>
        <v/>
      </c>
      <c r="AC110" s="14">
        <f>IF(IF(OR(L110="",NOT(ISNUMBER(L110))),360,MAX(0,MIN(480,(INT(L110/100)-INT(VALUE(F110)/100))*12+MOD(L110,100)-MOD(VALUE(F110),100))))&gt;0,1+V8_MTY_AMP*MAX(0,(V8_MTY_CUTOFF-(IF(OR(L110="",NOT(ISNUMBER(L110))),360,MAX(0,MIN(480,(INT(L110/100)-INT(VALUE(F110)/100))*12+MOD(L110,100)-MOD(VALUE(F110),100))))))/V8_MTY_CUTOFF),1)</f>
        <v/>
      </c>
      <c r="AD110" s="14">
        <f>IF(AND(IF(OR(M110="",NOT(ISNUMBER(M110))),0,MAX(0,MIN(24,(INT(VALUE(F110)/100)-INT(M110/100))*12+MOD(VALUE(F110),100)-MOD(M110,100))))&gt;0,IF(OR(M110="",NOT(ISNUMBER(M110))),0,MAX(0,MIN(24,(INT(VALUE(F110)/100)-INT(M110/100))*12+MOD(VALUE(F110),100)-MOD(M110,100))))&lt;=12),1+V8_LOCKOUT_AMP*EXP(-(IF(OR(M110="",NOT(ISNUMBER(M110))),0,MAX(0,MIN(24,(INT(VALUE(F110)/100)-INT(M110/100))*12+MOD(VALUE(F110),100)-MOD(M110,100)))))/V8_LOCKOUT_TAU),1)</f>
        <v/>
      </c>
      <c r="AE110" s="14">
        <f>MAX(V8_BURN_FLOOR,1-V8_BURN_SLOPE*MIN(1,MAX(0,O110)))</f>
        <v/>
      </c>
      <c r="AF110" s="15">
        <f>MIN(Z110*AB110*AC110*AD110*AE110,0.2)</f>
        <v/>
      </c>
      <c r="AG110" s="16">
        <f>1-(1-AF110)^12</f>
        <v/>
      </c>
    </row>
    <row r="111">
      <c r="A111" s="2" t="inlineStr">
        <is>
          <t>000006322135</t>
        </is>
      </c>
      <c r="B111" t="inlineStr">
        <is>
          <t>232</t>
        </is>
      </c>
      <c r="C111" t="inlineStr">
        <is>
          <t>RP</t>
        </is>
      </c>
      <c r="D111" t="inlineStr">
        <is>
          <t>GREYSTONE FUNDING COMPANY LLC</t>
        </is>
      </c>
      <c r="E111" t="n">
        <v>2025</v>
      </c>
      <c r="F111" t="inlineStr">
        <is>
          <t>202602</t>
        </is>
      </c>
      <c r="G111" s="8" t="n">
        <v>27332938.98</v>
      </c>
      <c r="H111" s="12" t="n">
        <v>6.24</v>
      </c>
      <c r="I111" s="13" t="n">
        <v>447</v>
      </c>
      <c r="J111" s="13" t="n">
        <v>10</v>
      </c>
      <c r="K111" t="n">
        <v>11</v>
      </c>
      <c r="L111" t="n">
        <v>206004</v>
      </c>
      <c r="M111" t="inlineStr"/>
      <c r="N111" t="n">
        <v>4</v>
      </c>
      <c r="O111" s="14" t="n">
        <v>0.3636363636363636</v>
      </c>
      <c r="P111">
        <f>IF(ISNUMBER(SEARCH("232",B111)),"232",IF(ISNUMBER(SEARCH("538",B111)),"538",IF(ISNUMBER(SEARCH("223a7",B111)),"223a7",IF(ISNUMBER(SEARCH("223f",B111)),"223f","OTHER"))))</f>
        <v/>
      </c>
      <c r="Q111">
        <f>IF(UPPER(C111)="NC","NC","RP")</f>
        <v/>
      </c>
      <c r="R111">
        <f>IF(G111&lt;5000000,"small",IF(G111&lt;25000000,"medium","large"))</f>
        <v/>
      </c>
      <c r="S111">
        <f>P111&amp;"|"&amp;Q111&amp;"|"&amp;R111</f>
        <v/>
      </c>
      <c r="T111" s="13">
        <f>H111*100-I111</f>
        <v/>
      </c>
      <c r="U111" s="13">
        <f>T111-12.5*(J111+1)</f>
        <v/>
      </c>
      <c r="V111" s="15">
        <f>IFERROR(VLOOKUP(S111,V8_COHORT_TABLE,2,FALSE),IFERROR(VLOOKUP(P111&amp;"|"&amp;Q111&amp;"|ALL",V8_COHORT_TABLE,2,FALSE),IFERROR(VLOOKUP(P111&amp;"|ALL|ALL",V8_COHORT_TABLE,2,FALSE),VLOOKUP("GLOBAL",V8_COHORT_TABLE,2,FALSE))))</f>
        <v/>
      </c>
      <c r="W111" s="15">
        <f>IFERROR(VLOOKUP(S111,V8_COHORT_TABLE,3,FALSE),IFERROR(VLOOKUP(P111&amp;"|"&amp;Q111&amp;"|ALL",V8_COHORT_TABLE,3,FALSE),IFERROR(VLOOKUP(P111&amp;"|ALL|ALL",V8_COHORT_TABLE,3,FALSE),VLOOKUP("GLOBAL",V8_COHORT_TABLE,3,FALSE))))</f>
        <v/>
      </c>
      <c r="X111" s="15">
        <f>IFERROR(VLOOKUP(S111,V8_COHORT_TABLE,4,FALSE),IFERROR(VLOOKUP(P111&amp;"|"&amp;Q111&amp;"|ALL",V8_COHORT_TABLE,4,FALSE),IFERROR(VLOOKUP(P111&amp;"|ALL|ALL",V8_COHORT_TABLE,4,FALSE),VLOOKUP("GLOBAL",V8_COHORT_TABLE,4,FALSE))))</f>
        <v/>
      </c>
      <c r="Y111" s="15">
        <f>IFERROR(VLOOKUP(S111,V8_COHORT_TABLE,5,FALSE),IFERROR(VLOOKUP(P111&amp;"|"&amp;Q111&amp;"|ALL",V8_COHORT_TABLE,5,FALSE),IFERROR(VLOOKUP(P111&amp;"|ALL|ALL",V8_COHORT_TABLE,5,FALSE),VLOOKUP("GLOBAL",V8_COHORT_TABLE,5,FALSE))))</f>
        <v/>
      </c>
      <c r="Z111" s="15">
        <f>V111+W111/(1+EXP(-(U111-X111)/Y111))</f>
        <v/>
      </c>
      <c r="AA111" s="16">
        <f>1-(1-Z111)^12</f>
        <v/>
      </c>
      <c r="AB111" s="14">
        <f>IF(K111&lt;=V8_AGE_KNOT_X_0,V8_AGE_KNOT_Y_0,IF(K111&gt;=V8_AGE_KNOT_X_5,V8_AGE_KNOT_Y_5,IF(K111&lt;=V8_AGE_KNOT_X_1,V8_AGE_KNOT_Y_0+(K111-V8_AGE_KNOT_X_0)/(V8_AGE_KNOT_X_1-V8_AGE_KNOT_X_0)*(V8_AGE_KNOT_Y_1-V8_AGE_KNOT_Y_0),IF(K111&lt;=V8_AGE_KNOT_X_2,V8_AGE_KNOT_Y_1+(K111-V8_AGE_KNOT_X_1)/(V8_AGE_KNOT_X_2-V8_AGE_KNOT_X_1)*(V8_AGE_KNOT_Y_2-V8_AGE_KNOT_Y_1),IF(K111&lt;=V8_AGE_KNOT_X_3,V8_AGE_KNOT_Y_2+(K111-V8_AGE_KNOT_X_2)/(V8_AGE_KNOT_X_3-V8_AGE_KNOT_X_2)*(V8_AGE_KNOT_Y_3-V8_AGE_KNOT_Y_2),IF(K111&lt;=V8_AGE_KNOT_X_4,V8_AGE_KNOT_Y_3+(K111-V8_AGE_KNOT_X_3)/(V8_AGE_KNOT_X_4-V8_AGE_KNOT_X_3)*(V8_AGE_KNOT_Y_4-V8_AGE_KNOT_Y_3),V8_AGE_KNOT_Y_4+(K111-V8_AGE_KNOT_X_4)/(V8_AGE_KNOT_X_5-V8_AGE_KNOT_X_4)*(V8_AGE_KNOT_Y_5-V8_AGE_KNOT_Y_4)))))))</f>
        <v/>
      </c>
      <c r="AC111" s="14">
        <f>IF(IF(OR(L111="",NOT(ISNUMBER(L111))),360,MAX(0,MIN(480,(INT(L111/100)-INT(VALUE(F111)/100))*12+MOD(L111,100)-MOD(VALUE(F111),100))))&gt;0,1+V8_MTY_AMP*MAX(0,(V8_MTY_CUTOFF-(IF(OR(L111="",NOT(ISNUMBER(L111))),360,MAX(0,MIN(480,(INT(L111/100)-INT(VALUE(F111)/100))*12+MOD(L111,100)-MOD(VALUE(F111),100))))))/V8_MTY_CUTOFF),1)</f>
        <v/>
      </c>
      <c r="AD111" s="14">
        <f>IF(AND(IF(OR(M111="",NOT(ISNUMBER(M111))),0,MAX(0,MIN(24,(INT(VALUE(F111)/100)-INT(M111/100))*12+MOD(VALUE(F111),100)-MOD(M111,100))))&gt;0,IF(OR(M111="",NOT(ISNUMBER(M111))),0,MAX(0,MIN(24,(INT(VALUE(F111)/100)-INT(M111/100))*12+MOD(VALUE(F111),100)-MOD(M111,100))))&lt;=12),1+V8_LOCKOUT_AMP*EXP(-(IF(OR(M111="",NOT(ISNUMBER(M111))),0,MAX(0,MIN(24,(INT(VALUE(F111)/100)-INT(M111/100))*12+MOD(VALUE(F111),100)-MOD(M111,100)))))/V8_LOCKOUT_TAU),1)</f>
        <v/>
      </c>
      <c r="AE111" s="14">
        <f>MAX(V8_BURN_FLOOR,1-V8_BURN_SLOPE*MIN(1,MAX(0,O111)))</f>
        <v/>
      </c>
      <c r="AF111" s="15">
        <f>MIN(Z111*AB111*AC111*AD111*AE111,0.2)</f>
        <v/>
      </c>
      <c r="AG111" s="16">
        <f>1-(1-AF111)^12</f>
        <v/>
      </c>
    </row>
    <row r="112">
      <c r="A112" s="2" t="inlineStr">
        <is>
          <t>000004711254</t>
        </is>
      </c>
      <c r="B112" t="inlineStr">
        <is>
          <t>223f</t>
        </is>
      </c>
      <c r="C112" t="inlineStr">
        <is>
          <t>RP</t>
        </is>
      </c>
      <c r="D112" t="inlineStr">
        <is>
          <t>GREYSTONE FUNDING COMPANY LLC</t>
        </is>
      </c>
      <c r="E112" t="n">
        <v>2020</v>
      </c>
      <c r="F112" t="inlineStr">
        <is>
          <t>202602</t>
        </is>
      </c>
      <c r="G112" s="8" t="n">
        <v>7797494.64</v>
      </c>
      <c r="H112" s="12" t="n">
        <v>2.09</v>
      </c>
      <c r="I112" s="13" t="n">
        <v>447</v>
      </c>
      <c r="J112" s="13" t="n">
        <v>5</v>
      </c>
      <c r="K112" t="n">
        <v>63</v>
      </c>
      <c r="L112" t="n">
        <v>205512</v>
      </c>
      <c r="M112" t="inlineStr"/>
      <c r="N112" t="n">
        <v>0</v>
      </c>
      <c r="O112" s="14" t="n">
        <v>0</v>
      </c>
      <c r="P112">
        <f>IF(ISNUMBER(SEARCH("232",B112)),"232",IF(ISNUMBER(SEARCH("538",B112)),"538",IF(ISNUMBER(SEARCH("223a7",B112)),"223a7",IF(ISNUMBER(SEARCH("223f",B112)),"223f","OTHER"))))</f>
        <v/>
      </c>
      <c r="Q112">
        <f>IF(UPPER(C112)="NC","NC","RP")</f>
        <v/>
      </c>
      <c r="R112">
        <f>IF(G112&lt;5000000,"small",IF(G112&lt;25000000,"medium","large"))</f>
        <v/>
      </c>
      <c r="S112">
        <f>P112&amp;"|"&amp;Q112&amp;"|"&amp;R112</f>
        <v/>
      </c>
      <c r="T112" s="13">
        <f>H112*100-I112</f>
        <v/>
      </c>
      <c r="U112" s="13">
        <f>T112-12.5*(J112+1)</f>
        <v/>
      </c>
      <c r="V112" s="15">
        <f>IFERROR(VLOOKUP(S112,V8_COHORT_TABLE,2,FALSE),IFERROR(VLOOKUP(P112&amp;"|"&amp;Q112&amp;"|ALL",V8_COHORT_TABLE,2,FALSE),IFERROR(VLOOKUP(P112&amp;"|ALL|ALL",V8_COHORT_TABLE,2,FALSE),VLOOKUP("GLOBAL",V8_COHORT_TABLE,2,FALSE))))</f>
        <v/>
      </c>
      <c r="W112" s="15">
        <f>IFERROR(VLOOKUP(S112,V8_COHORT_TABLE,3,FALSE),IFERROR(VLOOKUP(P112&amp;"|"&amp;Q112&amp;"|ALL",V8_COHORT_TABLE,3,FALSE),IFERROR(VLOOKUP(P112&amp;"|ALL|ALL",V8_COHORT_TABLE,3,FALSE),VLOOKUP("GLOBAL",V8_COHORT_TABLE,3,FALSE))))</f>
        <v/>
      </c>
      <c r="X112" s="15">
        <f>IFERROR(VLOOKUP(S112,V8_COHORT_TABLE,4,FALSE),IFERROR(VLOOKUP(P112&amp;"|"&amp;Q112&amp;"|ALL",V8_COHORT_TABLE,4,FALSE),IFERROR(VLOOKUP(P112&amp;"|ALL|ALL",V8_COHORT_TABLE,4,FALSE),VLOOKUP("GLOBAL",V8_COHORT_TABLE,4,FALSE))))</f>
        <v/>
      </c>
      <c r="Y112" s="15">
        <f>IFERROR(VLOOKUP(S112,V8_COHORT_TABLE,5,FALSE),IFERROR(VLOOKUP(P112&amp;"|"&amp;Q112&amp;"|ALL",V8_COHORT_TABLE,5,FALSE),IFERROR(VLOOKUP(P112&amp;"|ALL|ALL",V8_COHORT_TABLE,5,FALSE),VLOOKUP("GLOBAL",V8_COHORT_TABLE,5,FALSE))))</f>
        <v/>
      </c>
      <c r="Z112" s="15">
        <f>V112+W112/(1+EXP(-(U112-X112)/Y112))</f>
        <v/>
      </c>
      <c r="AA112" s="16">
        <f>1-(1-Z112)^12</f>
        <v/>
      </c>
      <c r="AB112" s="14">
        <f>IF(K112&lt;=V8_AGE_KNOT_X_0,V8_AGE_KNOT_Y_0,IF(K112&gt;=V8_AGE_KNOT_X_5,V8_AGE_KNOT_Y_5,IF(K112&lt;=V8_AGE_KNOT_X_1,V8_AGE_KNOT_Y_0+(K112-V8_AGE_KNOT_X_0)/(V8_AGE_KNOT_X_1-V8_AGE_KNOT_X_0)*(V8_AGE_KNOT_Y_1-V8_AGE_KNOT_Y_0),IF(K112&lt;=V8_AGE_KNOT_X_2,V8_AGE_KNOT_Y_1+(K112-V8_AGE_KNOT_X_1)/(V8_AGE_KNOT_X_2-V8_AGE_KNOT_X_1)*(V8_AGE_KNOT_Y_2-V8_AGE_KNOT_Y_1),IF(K112&lt;=V8_AGE_KNOT_X_3,V8_AGE_KNOT_Y_2+(K112-V8_AGE_KNOT_X_2)/(V8_AGE_KNOT_X_3-V8_AGE_KNOT_X_2)*(V8_AGE_KNOT_Y_3-V8_AGE_KNOT_Y_2),IF(K112&lt;=V8_AGE_KNOT_X_4,V8_AGE_KNOT_Y_3+(K112-V8_AGE_KNOT_X_3)/(V8_AGE_KNOT_X_4-V8_AGE_KNOT_X_3)*(V8_AGE_KNOT_Y_4-V8_AGE_KNOT_Y_3),V8_AGE_KNOT_Y_4+(K112-V8_AGE_KNOT_X_4)/(V8_AGE_KNOT_X_5-V8_AGE_KNOT_X_4)*(V8_AGE_KNOT_Y_5-V8_AGE_KNOT_Y_4)))))))</f>
        <v/>
      </c>
      <c r="AC112" s="14">
        <f>IF(IF(OR(L112="",NOT(ISNUMBER(L112))),360,MAX(0,MIN(480,(INT(L112/100)-INT(VALUE(F112)/100))*12+MOD(L112,100)-MOD(VALUE(F112),100))))&gt;0,1+V8_MTY_AMP*MAX(0,(V8_MTY_CUTOFF-(IF(OR(L112="",NOT(ISNUMBER(L112))),360,MAX(0,MIN(480,(INT(L112/100)-INT(VALUE(F112)/100))*12+MOD(L112,100)-MOD(VALUE(F112),100))))))/V8_MTY_CUTOFF),1)</f>
        <v/>
      </c>
      <c r="AD112" s="14">
        <f>IF(AND(IF(OR(M112="",NOT(ISNUMBER(M112))),0,MAX(0,MIN(24,(INT(VALUE(F112)/100)-INT(M112/100))*12+MOD(VALUE(F112),100)-MOD(M112,100))))&gt;0,IF(OR(M112="",NOT(ISNUMBER(M112))),0,MAX(0,MIN(24,(INT(VALUE(F112)/100)-INT(M112/100))*12+MOD(VALUE(F112),100)-MOD(M112,100))))&lt;=12),1+V8_LOCKOUT_AMP*EXP(-(IF(OR(M112="",NOT(ISNUMBER(M112))),0,MAX(0,MIN(24,(INT(VALUE(F112)/100)-INT(M112/100))*12+MOD(VALUE(F112),100)-MOD(M112,100)))))/V8_LOCKOUT_TAU),1)</f>
        <v/>
      </c>
      <c r="AE112" s="14">
        <f>MAX(V8_BURN_FLOOR,1-V8_BURN_SLOPE*MIN(1,MAX(0,O112)))</f>
        <v/>
      </c>
      <c r="AF112" s="15">
        <f>MIN(Z112*AB112*AC112*AD112*AE112,0.2)</f>
        <v/>
      </c>
      <c r="AG112" s="16">
        <f>1-(1-AF112)^12</f>
        <v/>
      </c>
    </row>
    <row r="113">
      <c r="A113" s="2" t="inlineStr">
        <is>
          <t>000003422183</t>
        </is>
      </c>
      <c r="B113" t="inlineStr">
        <is>
          <t>232</t>
        </is>
      </c>
      <c r="C113" t="inlineStr">
        <is>
          <t>RP</t>
        </is>
      </c>
      <c r="D113" t="inlineStr">
        <is>
          <t>GREYSTONE FUNDING COMPANY LLC</t>
        </is>
      </c>
      <c r="E113" t="n">
        <v>2022</v>
      </c>
      <c r="F113" t="inlineStr">
        <is>
          <t>202602</t>
        </is>
      </c>
      <c r="G113" s="8" t="n">
        <v>69082495.2</v>
      </c>
      <c r="H113" s="12" t="n">
        <v>4.58</v>
      </c>
      <c r="I113" s="13" t="n">
        <v>447</v>
      </c>
      <c r="J113" s="13" t="n">
        <v>7</v>
      </c>
      <c r="K113" t="n">
        <v>40</v>
      </c>
      <c r="L113" t="n">
        <v>205711</v>
      </c>
      <c r="M113" t="inlineStr"/>
      <c r="N113" t="n">
        <v>0</v>
      </c>
      <c r="O113" s="14" t="n">
        <v>0</v>
      </c>
      <c r="P113">
        <f>IF(ISNUMBER(SEARCH("232",B113)),"232",IF(ISNUMBER(SEARCH("538",B113)),"538",IF(ISNUMBER(SEARCH("223a7",B113)),"223a7",IF(ISNUMBER(SEARCH("223f",B113)),"223f","OTHER"))))</f>
        <v/>
      </c>
      <c r="Q113">
        <f>IF(UPPER(C113)="NC","NC","RP")</f>
        <v/>
      </c>
      <c r="R113">
        <f>IF(G113&lt;5000000,"small",IF(G113&lt;25000000,"medium","large"))</f>
        <v/>
      </c>
      <c r="S113">
        <f>P113&amp;"|"&amp;Q113&amp;"|"&amp;R113</f>
        <v/>
      </c>
      <c r="T113" s="13">
        <f>H113*100-I113</f>
        <v/>
      </c>
      <c r="U113" s="13">
        <f>T113-12.5*(J113+1)</f>
        <v/>
      </c>
      <c r="V113" s="15">
        <f>IFERROR(VLOOKUP(S113,V8_COHORT_TABLE,2,FALSE),IFERROR(VLOOKUP(P113&amp;"|"&amp;Q113&amp;"|ALL",V8_COHORT_TABLE,2,FALSE),IFERROR(VLOOKUP(P113&amp;"|ALL|ALL",V8_COHORT_TABLE,2,FALSE),VLOOKUP("GLOBAL",V8_COHORT_TABLE,2,FALSE))))</f>
        <v/>
      </c>
      <c r="W113" s="15">
        <f>IFERROR(VLOOKUP(S113,V8_COHORT_TABLE,3,FALSE),IFERROR(VLOOKUP(P113&amp;"|"&amp;Q113&amp;"|ALL",V8_COHORT_TABLE,3,FALSE),IFERROR(VLOOKUP(P113&amp;"|ALL|ALL",V8_COHORT_TABLE,3,FALSE),VLOOKUP("GLOBAL",V8_COHORT_TABLE,3,FALSE))))</f>
        <v/>
      </c>
      <c r="X113" s="15">
        <f>IFERROR(VLOOKUP(S113,V8_COHORT_TABLE,4,FALSE),IFERROR(VLOOKUP(P113&amp;"|"&amp;Q113&amp;"|ALL",V8_COHORT_TABLE,4,FALSE),IFERROR(VLOOKUP(P113&amp;"|ALL|ALL",V8_COHORT_TABLE,4,FALSE),VLOOKUP("GLOBAL",V8_COHORT_TABLE,4,FALSE))))</f>
        <v/>
      </c>
      <c r="Y113" s="15">
        <f>IFERROR(VLOOKUP(S113,V8_COHORT_TABLE,5,FALSE),IFERROR(VLOOKUP(P113&amp;"|"&amp;Q113&amp;"|ALL",V8_COHORT_TABLE,5,FALSE),IFERROR(VLOOKUP(P113&amp;"|ALL|ALL",V8_COHORT_TABLE,5,FALSE),VLOOKUP("GLOBAL",V8_COHORT_TABLE,5,FALSE))))</f>
        <v/>
      </c>
      <c r="Z113" s="15">
        <f>V113+W113/(1+EXP(-(U113-X113)/Y113))</f>
        <v/>
      </c>
      <c r="AA113" s="16">
        <f>1-(1-Z113)^12</f>
        <v/>
      </c>
      <c r="AB113" s="14">
        <f>IF(K113&lt;=V8_AGE_KNOT_X_0,V8_AGE_KNOT_Y_0,IF(K113&gt;=V8_AGE_KNOT_X_5,V8_AGE_KNOT_Y_5,IF(K113&lt;=V8_AGE_KNOT_X_1,V8_AGE_KNOT_Y_0+(K113-V8_AGE_KNOT_X_0)/(V8_AGE_KNOT_X_1-V8_AGE_KNOT_X_0)*(V8_AGE_KNOT_Y_1-V8_AGE_KNOT_Y_0),IF(K113&lt;=V8_AGE_KNOT_X_2,V8_AGE_KNOT_Y_1+(K113-V8_AGE_KNOT_X_1)/(V8_AGE_KNOT_X_2-V8_AGE_KNOT_X_1)*(V8_AGE_KNOT_Y_2-V8_AGE_KNOT_Y_1),IF(K113&lt;=V8_AGE_KNOT_X_3,V8_AGE_KNOT_Y_2+(K113-V8_AGE_KNOT_X_2)/(V8_AGE_KNOT_X_3-V8_AGE_KNOT_X_2)*(V8_AGE_KNOT_Y_3-V8_AGE_KNOT_Y_2),IF(K113&lt;=V8_AGE_KNOT_X_4,V8_AGE_KNOT_Y_3+(K113-V8_AGE_KNOT_X_3)/(V8_AGE_KNOT_X_4-V8_AGE_KNOT_X_3)*(V8_AGE_KNOT_Y_4-V8_AGE_KNOT_Y_3),V8_AGE_KNOT_Y_4+(K113-V8_AGE_KNOT_X_4)/(V8_AGE_KNOT_X_5-V8_AGE_KNOT_X_4)*(V8_AGE_KNOT_Y_5-V8_AGE_KNOT_Y_4)))))))</f>
        <v/>
      </c>
      <c r="AC113" s="14">
        <f>IF(IF(OR(L113="",NOT(ISNUMBER(L113))),360,MAX(0,MIN(480,(INT(L113/100)-INT(VALUE(F113)/100))*12+MOD(L113,100)-MOD(VALUE(F113),100))))&gt;0,1+V8_MTY_AMP*MAX(0,(V8_MTY_CUTOFF-(IF(OR(L113="",NOT(ISNUMBER(L113))),360,MAX(0,MIN(480,(INT(L113/100)-INT(VALUE(F113)/100))*12+MOD(L113,100)-MOD(VALUE(F113),100))))))/V8_MTY_CUTOFF),1)</f>
        <v/>
      </c>
      <c r="AD113" s="14">
        <f>IF(AND(IF(OR(M113="",NOT(ISNUMBER(M113))),0,MAX(0,MIN(24,(INT(VALUE(F113)/100)-INT(M113/100))*12+MOD(VALUE(F113),100)-MOD(M113,100))))&gt;0,IF(OR(M113="",NOT(ISNUMBER(M113))),0,MAX(0,MIN(24,(INT(VALUE(F113)/100)-INT(M113/100))*12+MOD(VALUE(F113),100)-MOD(M113,100))))&lt;=12),1+V8_LOCKOUT_AMP*EXP(-(IF(OR(M113="",NOT(ISNUMBER(M113))),0,MAX(0,MIN(24,(INT(VALUE(F113)/100)-INT(M113/100))*12+MOD(VALUE(F113),100)-MOD(M113,100)))))/V8_LOCKOUT_TAU),1)</f>
        <v/>
      </c>
      <c r="AE113" s="14">
        <f>MAX(V8_BURN_FLOOR,1-V8_BURN_SLOPE*MIN(1,MAX(0,O113)))</f>
        <v/>
      </c>
      <c r="AF113" s="15">
        <f>MIN(Z113*AB113*AC113*AD113*AE113,0.2)</f>
        <v/>
      </c>
      <c r="AG113" s="16">
        <f>1-(1-AF113)^12</f>
        <v/>
      </c>
    </row>
    <row r="114">
      <c r="A114" s="2" t="inlineStr">
        <is>
          <t>008946585285</t>
        </is>
      </c>
      <c r="B114" t="inlineStr">
        <is>
          <t>538</t>
        </is>
      </c>
      <c r="C114" t="inlineStr">
        <is>
          <t>538</t>
        </is>
      </c>
      <c r="D114" t="inlineStr">
        <is>
          <t>GREYSTONE SERVICING COMPANY LLC</t>
        </is>
      </c>
      <c r="E114" t="n">
        <v>2020</v>
      </c>
      <c r="F114" t="inlineStr">
        <is>
          <t>202602</t>
        </is>
      </c>
      <c r="G114" s="8" t="n">
        <v>1751473.04</v>
      </c>
      <c r="H114" s="12" t="n">
        <v>4.15</v>
      </c>
      <c r="I114" s="13" t="n">
        <v>447</v>
      </c>
      <c r="J114" s="13" t="n">
        <v>7</v>
      </c>
      <c r="K114" t="n">
        <v>68</v>
      </c>
      <c r="L114" t="n">
        <v>206007</v>
      </c>
      <c r="M114" t="n">
        <v>202205</v>
      </c>
      <c r="N114" t="n">
        <v>0</v>
      </c>
      <c r="O114" s="14" t="n">
        <v>0</v>
      </c>
      <c r="P114">
        <f>IF(ISNUMBER(SEARCH("232",B114)),"232",IF(ISNUMBER(SEARCH("538",B114)),"538",IF(ISNUMBER(SEARCH("223a7",B114)),"223a7",IF(ISNUMBER(SEARCH("223f",B114)),"223f","OTHER"))))</f>
        <v/>
      </c>
      <c r="Q114">
        <f>IF(UPPER(C114)="NC","NC","RP")</f>
        <v/>
      </c>
      <c r="R114">
        <f>IF(G114&lt;5000000,"small",IF(G114&lt;25000000,"medium","large"))</f>
        <v/>
      </c>
      <c r="S114">
        <f>P114&amp;"|"&amp;Q114&amp;"|"&amp;R114</f>
        <v/>
      </c>
      <c r="T114" s="13">
        <f>H114*100-I114</f>
        <v/>
      </c>
      <c r="U114" s="13">
        <f>T114-12.5*(J114+1)</f>
        <v/>
      </c>
      <c r="V114" s="15">
        <f>IFERROR(VLOOKUP(S114,V8_COHORT_TABLE,2,FALSE),IFERROR(VLOOKUP(P114&amp;"|"&amp;Q114&amp;"|ALL",V8_COHORT_TABLE,2,FALSE),IFERROR(VLOOKUP(P114&amp;"|ALL|ALL",V8_COHORT_TABLE,2,FALSE),VLOOKUP("GLOBAL",V8_COHORT_TABLE,2,FALSE))))</f>
        <v/>
      </c>
      <c r="W114" s="15">
        <f>IFERROR(VLOOKUP(S114,V8_COHORT_TABLE,3,FALSE),IFERROR(VLOOKUP(P114&amp;"|"&amp;Q114&amp;"|ALL",V8_COHORT_TABLE,3,FALSE),IFERROR(VLOOKUP(P114&amp;"|ALL|ALL",V8_COHORT_TABLE,3,FALSE),VLOOKUP("GLOBAL",V8_COHORT_TABLE,3,FALSE))))</f>
        <v/>
      </c>
      <c r="X114" s="15">
        <f>IFERROR(VLOOKUP(S114,V8_COHORT_TABLE,4,FALSE),IFERROR(VLOOKUP(P114&amp;"|"&amp;Q114&amp;"|ALL",V8_COHORT_TABLE,4,FALSE),IFERROR(VLOOKUP(P114&amp;"|ALL|ALL",V8_COHORT_TABLE,4,FALSE),VLOOKUP("GLOBAL",V8_COHORT_TABLE,4,FALSE))))</f>
        <v/>
      </c>
      <c r="Y114" s="15">
        <f>IFERROR(VLOOKUP(S114,V8_COHORT_TABLE,5,FALSE),IFERROR(VLOOKUP(P114&amp;"|"&amp;Q114&amp;"|ALL",V8_COHORT_TABLE,5,FALSE),IFERROR(VLOOKUP(P114&amp;"|ALL|ALL",V8_COHORT_TABLE,5,FALSE),VLOOKUP("GLOBAL",V8_COHORT_TABLE,5,FALSE))))</f>
        <v/>
      </c>
      <c r="Z114" s="15">
        <f>V114+W114/(1+EXP(-(U114-X114)/Y114))</f>
        <v/>
      </c>
      <c r="AA114" s="16">
        <f>1-(1-Z114)^12</f>
        <v/>
      </c>
      <c r="AB114" s="14">
        <f>IF(K114&lt;=V8_AGE_KNOT_X_0,V8_AGE_KNOT_Y_0,IF(K114&gt;=V8_AGE_KNOT_X_5,V8_AGE_KNOT_Y_5,IF(K114&lt;=V8_AGE_KNOT_X_1,V8_AGE_KNOT_Y_0+(K114-V8_AGE_KNOT_X_0)/(V8_AGE_KNOT_X_1-V8_AGE_KNOT_X_0)*(V8_AGE_KNOT_Y_1-V8_AGE_KNOT_Y_0),IF(K114&lt;=V8_AGE_KNOT_X_2,V8_AGE_KNOT_Y_1+(K114-V8_AGE_KNOT_X_1)/(V8_AGE_KNOT_X_2-V8_AGE_KNOT_X_1)*(V8_AGE_KNOT_Y_2-V8_AGE_KNOT_Y_1),IF(K114&lt;=V8_AGE_KNOT_X_3,V8_AGE_KNOT_Y_2+(K114-V8_AGE_KNOT_X_2)/(V8_AGE_KNOT_X_3-V8_AGE_KNOT_X_2)*(V8_AGE_KNOT_Y_3-V8_AGE_KNOT_Y_2),IF(K114&lt;=V8_AGE_KNOT_X_4,V8_AGE_KNOT_Y_3+(K114-V8_AGE_KNOT_X_3)/(V8_AGE_KNOT_X_4-V8_AGE_KNOT_X_3)*(V8_AGE_KNOT_Y_4-V8_AGE_KNOT_Y_3),V8_AGE_KNOT_Y_4+(K114-V8_AGE_KNOT_X_4)/(V8_AGE_KNOT_X_5-V8_AGE_KNOT_X_4)*(V8_AGE_KNOT_Y_5-V8_AGE_KNOT_Y_4)))))))</f>
        <v/>
      </c>
      <c r="AC114" s="14">
        <f>IF(IF(OR(L114="",NOT(ISNUMBER(L114))),360,MAX(0,MIN(480,(INT(L114/100)-INT(VALUE(F114)/100))*12+MOD(L114,100)-MOD(VALUE(F114),100))))&gt;0,1+V8_MTY_AMP*MAX(0,(V8_MTY_CUTOFF-(IF(OR(L114="",NOT(ISNUMBER(L114))),360,MAX(0,MIN(480,(INT(L114/100)-INT(VALUE(F114)/100))*12+MOD(L114,100)-MOD(VALUE(F114),100))))))/V8_MTY_CUTOFF),1)</f>
        <v/>
      </c>
      <c r="AD114" s="14">
        <f>IF(AND(IF(OR(M114="",NOT(ISNUMBER(M114))),0,MAX(0,MIN(24,(INT(VALUE(F114)/100)-INT(M114/100))*12+MOD(VALUE(F114),100)-MOD(M114,100))))&gt;0,IF(OR(M114="",NOT(ISNUMBER(M114))),0,MAX(0,MIN(24,(INT(VALUE(F114)/100)-INT(M114/100))*12+MOD(VALUE(F114),100)-MOD(M114,100))))&lt;=12),1+V8_LOCKOUT_AMP*EXP(-(IF(OR(M114="",NOT(ISNUMBER(M114))),0,MAX(0,MIN(24,(INT(VALUE(F114)/100)-INT(M114/100))*12+MOD(VALUE(F114),100)-MOD(M114,100)))))/V8_LOCKOUT_TAU),1)</f>
        <v/>
      </c>
      <c r="AE114" s="14">
        <f>MAX(V8_BURN_FLOOR,1-V8_BURN_SLOPE*MIN(1,MAX(0,O114)))</f>
        <v/>
      </c>
      <c r="AF114" s="15">
        <f>MIN(Z114*AB114*AC114*AD114*AE114,0.2)</f>
        <v/>
      </c>
      <c r="AG114" s="16">
        <f>1-(1-AF114)^12</f>
        <v/>
      </c>
    </row>
    <row r="115">
      <c r="A115" s="2" t="inlineStr">
        <is>
          <t>000006411265</t>
        </is>
      </c>
      <c r="B115" t="inlineStr">
        <is>
          <t>223f</t>
        </is>
      </c>
      <c r="C115" t="inlineStr">
        <is>
          <t>RP</t>
        </is>
      </c>
      <c r="D115" t="inlineStr">
        <is>
          <t>GREYSTONE FUNDING COMPANY LLC</t>
        </is>
      </c>
      <c r="E115" t="n">
        <v>2025</v>
      </c>
      <c r="F115" t="inlineStr">
        <is>
          <t>202602</t>
        </is>
      </c>
      <c r="G115" s="8" t="n">
        <v>5322544.26</v>
      </c>
      <c r="H115" s="12" t="n">
        <v>5.85</v>
      </c>
      <c r="I115" s="13" t="n">
        <v>447</v>
      </c>
      <c r="J115" s="13" t="n">
        <v>10</v>
      </c>
      <c r="K115" t="n">
        <v>9</v>
      </c>
      <c r="L115" t="n">
        <v>206006</v>
      </c>
      <c r="M115" t="inlineStr"/>
      <c r="N115" t="n">
        <v>1</v>
      </c>
      <c r="O115" s="14" t="n">
        <v>0.1111111111111111</v>
      </c>
      <c r="P115">
        <f>IF(ISNUMBER(SEARCH("232",B115)),"232",IF(ISNUMBER(SEARCH("538",B115)),"538",IF(ISNUMBER(SEARCH("223a7",B115)),"223a7",IF(ISNUMBER(SEARCH("223f",B115)),"223f","OTHER"))))</f>
        <v/>
      </c>
      <c r="Q115">
        <f>IF(UPPER(C115)="NC","NC","RP")</f>
        <v/>
      </c>
      <c r="R115">
        <f>IF(G115&lt;5000000,"small",IF(G115&lt;25000000,"medium","large"))</f>
        <v/>
      </c>
      <c r="S115">
        <f>P115&amp;"|"&amp;Q115&amp;"|"&amp;R115</f>
        <v/>
      </c>
      <c r="T115" s="13">
        <f>H115*100-I115</f>
        <v/>
      </c>
      <c r="U115" s="13">
        <f>T115-12.5*(J115+1)</f>
        <v/>
      </c>
      <c r="V115" s="15">
        <f>IFERROR(VLOOKUP(S115,V8_COHORT_TABLE,2,FALSE),IFERROR(VLOOKUP(P115&amp;"|"&amp;Q115&amp;"|ALL",V8_COHORT_TABLE,2,FALSE),IFERROR(VLOOKUP(P115&amp;"|ALL|ALL",V8_COHORT_TABLE,2,FALSE),VLOOKUP("GLOBAL",V8_COHORT_TABLE,2,FALSE))))</f>
        <v/>
      </c>
      <c r="W115" s="15">
        <f>IFERROR(VLOOKUP(S115,V8_COHORT_TABLE,3,FALSE),IFERROR(VLOOKUP(P115&amp;"|"&amp;Q115&amp;"|ALL",V8_COHORT_TABLE,3,FALSE),IFERROR(VLOOKUP(P115&amp;"|ALL|ALL",V8_COHORT_TABLE,3,FALSE),VLOOKUP("GLOBAL",V8_COHORT_TABLE,3,FALSE))))</f>
        <v/>
      </c>
      <c r="X115" s="15">
        <f>IFERROR(VLOOKUP(S115,V8_COHORT_TABLE,4,FALSE),IFERROR(VLOOKUP(P115&amp;"|"&amp;Q115&amp;"|ALL",V8_COHORT_TABLE,4,FALSE),IFERROR(VLOOKUP(P115&amp;"|ALL|ALL",V8_COHORT_TABLE,4,FALSE),VLOOKUP("GLOBAL",V8_COHORT_TABLE,4,FALSE))))</f>
        <v/>
      </c>
      <c r="Y115" s="15">
        <f>IFERROR(VLOOKUP(S115,V8_COHORT_TABLE,5,FALSE),IFERROR(VLOOKUP(P115&amp;"|"&amp;Q115&amp;"|ALL",V8_COHORT_TABLE,5,FALSE),IFERROR(VLOOKUP(P115&amp;"|ALL|ALL",V8_COHORT_TABLE,5,FALSE),VLOOKUP("GLOBAL",V8_COHORT_TABLE,5,FALSE))))</f>
        <v/>
      </c>
      <c r="Z115" s="15">
        <f>V115+W115/(1+EXP(-(U115-X115)/Y115))</f>
        <v/>
      </c>
      <c r="AA115" s="16">
        <f>1-(1-Z115)^12</f>
        <v/>
      </c>
      <c r="AB115" s="14">
        <f>IF(K115&lt;=V8_AGE_KNOT_X_0,V8_AGE_KNOT_Y_0,IF(K115&gt;=V8_AGE_KNOT_X_5,V8_AGE_KNOT_Y_5,IF(K115&lt;=V8_AGE_KNOT_X_1,V8_AGE_KNOT_Y_0+(K115-V8_AGE_KNOT_X_0)/(V8_AGE_KNOT_X_1-V8_AGE_KNOT_X_0)*(V8_AGE_KNOT_Y_1-V8_AGE_KNOT_Y_0),IF(K115&lt;=V8_AGE_KNOT_X_2,V8_AGE_KNOT_Y_1+(K115-V8_AGE_KNOT_X_1)/(V8_AGE_KNOT_X_2-V8_AGE_KNOT_X_1)*(V8_AGE_KNOT_Y_2-V8_AGE_KNOT_Y_1),IF(K115&lt;=V8_AGE_KNOT_X_3,V8_AGE_KNOT_Y_2+(K115-V8_AGE_KNOT_X_2)/(V8_AGE_KNOT_X_3-V8_AGE_KNOT_X_2)*(V8_AGE_KNOT_Y_3-V8_AGE_KNOT_Y_2),IF(K115&lt;=V8_AGE_KNOT_X_4,V8_AGE_KNOT_Y_3+(K115-V8_AGE_KNOT_X_3)/(V8_AGE_KNOT_X_4-V8_AGE_KNOT_X_3)*(V8_AGE_KNOT_Y_4-V8_AGE_KNOT_Y_3),V8_AGE_KNOT_Y_4+(K115-V8_AGE_KNOT_X_4)/(V8_AGE_KNOT_X_5-V8_AGE_KNOT_X_4)*(V8_AGE_KNOT_Y_5-V8_AGE_KNOT_Y_4)))))))</f>
        <v/>
      </c>
      <c r="AC115" s="14">
        <f>IF(IF(OR(L115="",NOT(ISNUMBER(L115))),360,MAX(0,MIN(480,(INT(L115/100)-INT(VALUE(F115)/100))*12+MOD(L115,100)-MOD(VALUE(F115),100))))&gt;0,1+V8_MTY_AMP*MAX(0,(V8_MTY_CUTOFF-(IF(OR(L115="",NOT(ISNUMBER(L115))),360,MAX(0,MIN(480,(INT(L115/100)-INT(VALUE(F115)/100))*12+MOD(L115,100)-MOD(VALUE(F115),100))))))/V8_MTY_CUTOFF),1)</f>
        <v/>
      </c>
      <c r="AD115" s="14">
        <f>IF(AND(IF(OR(M115="",NOT(ISNUMBER(M115))),0,MAX(0,MIN(24,(INT(VALUE(F115)/100)-INT(M115/100))*12+MOD(VALUE(F115),100)-MOD(M115,100))))&gt;0,IF(OR(M115="",NOT(ISNUMBER(M115))),0,MAX(0,MIN(24,(INT(VALUE(F115)/100)-INT(M115/100))*12+MOD(VALUE(F115),100)-MOD(M115,100))))&lt;=12),1+V8_LOCKOUT_AMP*EXP(-(IF(OR(M115="",NOT(ISNUMBER(M115))),0,MAX(0,MIN(24,(INT(VALUE(F115)/100)-INT(M115/100))*12+MOD(VALUE(F115),100)-MOD(M115,100)))))/V8_LOCKOUT_TAU),1)</f>
        <v/>
      </c>
      <c r="AE115" s="14">
        <f>MAX(V8_BURN_FLOOR,1-V8_BURN_SLOPE*MIN(1,MAX(0,O115)))</f>
        <v/>
      </c>
      <c r="AF115" s="15">
        <f>MIN(Z115*AB115*AC115*AD115*AE115,0.2)</f>
        <v/>
      </c>
      <c r="AG115" s="16">
        <f>1-(1-AF115)^12</f>
        <v/>
      </c>
    </row>
    <row r="116">
      <c r="A116" s="2" t="inlineStr">
        <is>
          <t>001803759912</t>
        </is>
      </c>
      <c r="B116" t="inlineStr">
        <is>
          <t>538</t>
        </is>
      </c>
      <c r="C116" t="inlineStr">
        <is>
          <t>538</t>
        </is>
      </c>
      <c r="D116" t="inlineStr">
        <is>
          <t>GREYSTONE SERVICING COMPANY LLC</t>
        </is>
      </c>
      <c r="E116" t="n">
        <v>2018</v>
      </c>
      <c r="F116" t="inlineStr">
        <is>
          <t>202602</t>
        </is>
      </c>
      <c r="G116" s="8" t="n">
        <v>859779.96</v>
      </c>
      <c r="H116" s="12" t="n">
        <v>4.5</v>
      </c>
      <c r="I116" s="13" t="n">
        <v>447</v>
      </c>
      <c r="J116" s="13" t="n">
        <v>3</v>
      </c>
      <c r="K116" t="n">
        <v>95</v>
      </c>
      <c r="L116" t="n">
        <v>205804</v>
      </c>
      <c r="M116" t="inlineStr"/>
      <c r="N116" t="n">
        <v>38</v>
      </c>
      <c r="O116" s="14" t="n">
        <v>0.4</v>
      </c>
      <c r="P116">
        <f>IF(ISNUMBER(SEARCH("232",B116)),"232",IF(ISNUMBER(SEARCH("538",B116)),"538",IF(ISNUMBER(SEARCH("223a7",B116)),"223a7",IF(ISNUMBER(SEARCH("223f",B116)),"223f","OTHER"))))</f>
        <v/>
      </c>
      <c r="Q116">
        <f>IF(UPPER(C116)="NC","NC","RP")</f>
        <v/>
      </c>
      <c r="R116">
        <f>IF(G116&lt;5000000,"small",IF(G116&lt;25000000,"medium","large"))</f>
        <v/>
      </c>
      <c r="S116">
        <f>P116&amp;"|"&amp;Q116&amp;"|"&amp;R116</f>
        <v/>
      </c>
      <c r="T116" s="13">
        <f>H116*100-I116</f>
        <v/>
      </c>
      <c r="U116" s="13">
        <f>T116-12.5*(J116+1)</f>
        <v/>
      </c>
      <c r="V116" s="15">
        <f>IFERROR(VLOOKUP(S116,V8_COHORT_TABLE,2,FALSE),IFERROR(VLOOKUP(P116&amp;"|"&amp;Q116&amp;"|ALL",V8_COHORT_TABLE,2,FALSE),IFERROR(VLOOKUP(P116&amp;"|ALL|ALL",V8_COHORT_TABLE,2,FALSE),VLOOKUP("GLOBAL",V8_COHORT_TABLE,2,FALSE))))</f>
        <v/>
      </c>
      <c r="W116" s="15">
        <f>IFERROR(VLOOKUP(S116,V8_COHORT_TABLE,3,FALSE),IFERROR(VLOOKUP(P116&amp;"|"&amp;Q116&amp;"|ALL",V8_COHORT_TABLE,3,FALSE),IFERROR(VLOOKUP(P116&amp;"|ALL|ALL",V8_COHORT_TABLE,3,FALSE),VLOOKUP("GLOBAL",V8_COHORT_TABLE,3,FALSE))))</f>
        <v/>
      </c>
      <c r="X116" s="15">
        <f>IFERROR(VLOOKUP(S116,V8_COHORT_TABLE,4,FALSE),IFERROR(VLOOKUP(P116&amp;"|"&amp;Q116&amp;"|ALL",V8_COHORT_TABLE,4,FALSE),IFERROR(VLOOKUP(P116&amp;"|ALL|ALL",V8_COHORT_TABLE,4,FALSE),VLOOKUP("GLOBAL",V8_COHORT_TABLE,4,FALSE))))</f>
        <v/>
      </c>
      <c r="Y116" s="15">
        <f>IFERROR(VLOOKUP(S116,V8_COHORT_TABLE,5,FALSE),IFERROR(VLOOKUP(P116&amp;"|"&amp;Q116&amp;"|ALL",V8_COHORT_TABLE,5,FALSE),IFERROR(VLOOKUP(P116&amp;"|ALL|ALL",V8_COHORT_TABLE,5,FALSE),VLOOKUP("GLOBAL",V8_COHORT_TABLE,5,FALSE))))</f>
        <v/>
      </c>
      <c r="Z116" s="15">
        <f>V116+W116/(1+EXP(-(U116-X116)/Y116))</f>
        <v/>
      </c>
      <c r="AA116" s="16">
        <f>1-(1-Z116)^12</f>
        <v/>
      </c>
      <c r="AB116" s="14">
        <f>IF(K116&lt;=V8_AGE_KNOT_X_0,V8_AGE_KNOT_Y_0,IF(K116&gt;=V8_AGE_KNOT_X_5,V8_AGE_KNOT_Y_5,IF(K116&lt;=V8_AGE_KNOT_X_1,V8_AGE_KNOT_Y_0+(K116-V8_AGE_KNOT_X_0)/(V8_AGE_KNOT_X_1-V8_AGE_KNOT_X_0)*(V8_AGE_KNOT_Y_1-V8_AGE_KNOT_Y_0),IF(K116&lt;=V8_AGE_KNOT_X_2,V8_AGE_KNOT_Y_1+(K116-V8_AGE_KNOT_X_1)/(V8_AGE_KNOT_X_2-V8_AGE_KNOT_X_1)*(V8_AGE_KNOT_Y_2-V8_AGE_KNOT_Y_1),IF(K116&lt;=V8_AGE_KNOT_X_3,V8_AGE_KNOT_Y_2+(K116-V8_AGE_KNOT_X_2)/(V8_AGE_KNOT_X_3-V8_AGE_KNOT_X_2)*(V8_AGE_KNOT_Y_3-V8_AGE_KNOT_Y_2),IF(K116&lt;=V8_AGE_KNOT_X_4,V8_AGE_KNOT_Y_3+(K116-V8_AGE_KNOT_X_3)/(V8_AGE_KNOT_X_4-V8_AGE_KNOT_X_3)*(V8_AGE_KNOT_Y_4-V8_AGE_KNOT_Y_3),V8_AGE_KNOT_Y_4+(K116-V8_AGE_KNOT_X_4)/(V8_AGE_KNOT_X_5-V8_AGE_KNOT_X_4)*(V8_AGE_KNOT_Y_5-V8_AGE_KNOT_Y_4)))))))</f>
        <v/>
      </c>
      <c r="AC116" s="14">
        <f>IF(IF(OR(L116="",NOT(ISNUMBER(L116))),360,MAX(0,MIN(480,(INT(L116/100)-INT(VALUE(F116)/100))*12+MOD(L116,100)-MOD(VALUE(F116),100))))&gt;0,1+V8_MTY_AMP*MAX(0,(V8_MTY_CUTOFF-(IF(OR(L116="",NOT(ISNUMBER(L116))),360,MAX(0,MIN(480,(INT(L116/100)-INT(VALUE(F116)/100))*12+MOD(L116,100)-MOD(VALUE(F116),100))))))/V8_MTY_CUTOFF),1)</f>
        <v/>
      </c>
      <c r="AD116" s="14">
        <f>IF(AND(IF(OR(M116="",NOT(ISNUMBER(M116))),0,MAX(0,MIN(24,(INT(VALUE(F116)/100)-INT(M116/100))*12+MOD(VALUE(F116),100)-MOD(M116,100))))&gt;0,IF(OR(M116="",NOT(ISNUMBER(M116))),0,MAX(0,MIN(24,(INT(VALUE(F116)/100)-INT(M116/100))*12+MOD(VALUE(F116),100)-MOD(M116,100))))&lt;=12),1+V8_LOCKOUT_AMP*EXP(-(IF(OR(M116="",NOT(ISNUMBER(M116))),0,MAX(0,MIN(24,(INT(VALUE(F116)/100)-INT(M116/100))*12+MOD(VALUE(F116),100)-MOD(M116,100)))))/V8_LOCKOUT_TAU),1)</f>
        <v/>
      </c>
      <c r="AE116" s="14">
        <f>MAX(V8_BURN_FLOOR,1-V8_BURN_SLOPE*MIN(1,MAX(0,O116)))</f>
        <v/>
      </c>
      <c r="AF116" s="15">
        <f>MIN(Z116*AB116*AC116*AD116*AE116,0.2)</f>
        <v/>
      </c>
      <c r="AG116" s="16">
        <f>1-(1-AF116)^12</f>
        <v/>
      </c>
    </row>
    <row r="117">
      <c r="A117" s="2" t="inlineStr">
        <is>
          <t>020895936416</t>
        </is>
      </c>
      <c r="B117" t="inlineStr">
        <is>
          <t>538</t>
        </is>
      </c>
      <c r="C117" t="inlineStr">
        <is>
          <t>538</t>
        </is>
      </c>
      <c r="D117" t="inlineStr">
        <is>
          <t>GREYSTONE SERVICING COMPANY LLC</t>
        </is>
      </c>
      <c r="E117" t="n">
        <v>2018</v>
      </c>
      <c r="F117" t="inlineStr">
        <is>
          <t>202602</t>
        </is>
      </c>
      <c r="G117" s="8" t="n">
        <v>1338183.97</v>
      </c>
      <c r="H117" s="12" t="n">
        <v>4.5</v>
      </c>
      <c r="I117" s="13" t="n">
        <v>447</v>
      </c>
      <c r="J117" s="13" t="n">
        <v>4</v>
      </c>
      <c r="K117" t="n">
        <v>95</v>
      </c>
      <c r="L117" t="n">
        <v>205804</v>
      </c>
      <c r="M117" t="inlineStr"/>
      <c r="N117" t="n">
        <v>34</v>
      </c>
      <c r="O117" s="14" t="n">
        <v>0.3578947368421053</v>
      </c>
      <c r="P117">
        <f>IF(ISNUMBER(SEARCH("232",B117)),"232",IF(ISNUMBER(SEARCH("538",B117)),"538",IF(ISNUMBER(SEARCH("223a7",B117)),"223a7",IF(ISNUMBER(SEARCH("223f",B117)),"223f","OTHER"))))</f>
        <v/>
      </c>
      <c r="Q117">
        <f>IF(UPPER(C117)="NC","NC","RP")</f>
        <v/>
      </c>
      <c r="R117">
        <f>IF(G117&lt;5000000,"small",IF(G117&lt;25000000,"medium","large"))</f>
        <v/>
      </c>
      <c r="S117">
        <f>P117&amp;"|"&amp;Q117&amp;"|"&amp;R117</f>
        <v/>
      </c>
      <c r="T117" s="13">
        <f>H117*100-I117</f>
        <v/>
      </c>
      <c r="U117" s="13">
        <f>T117-12.5*(J117+1)</f>
        <v/>
      </c>
      <c r="V117" s="15">
        <f>IFERROR(VLOOKUP(S117,V8_COHORT_TABLE,2,FALSE),IFERROR(VLOOKUP(P117&amp;"|"&amp;Q117&amp;"|ALL",V8_COHORT_TABLE,2,FALSE),IFERROR(VLOOKUP(P117&amp;"|ALL|ALL",V8_COHORT_TABLE,2,FALSE),VLOOKUP("GLOBAL",V8_COHORT_TABLE,2,FALSE))))</f>
        <v/>
      </c>
      <c r="W117" s="15">
        <f>IFERROR(VLOOKUP(S117,V8_COHORT_TABLE,3,FALSE),IFERROR(VLOOKUP(P117&amp;"|"&amp;Q117&amp;"|ALL",V8_COHORT_TABLE,3,FALSE),IFERROR(VLOOKUP(P117&amp;"|ALL|ALL",V8_COHORT_TABLE,3,FALSE),VLOOKUP("GLOBAL",V8_COHORT_TABLE,3,FALSE))))</f>
        <v/>
      </c>
      <c r="X117" s="15">
        <f>IFERROR(VLOOKUP(S117,V8_COHORT_TABLE,4,FALSE),IFERROR(VLOOKUP(P117&amp;"|"&amp;Q117&amp;"|ALL",V8_COHORT_TABLE,4,FALSE),IFERROR(VLOOKUP(P117&amp;"|ALL|ALL",V8_COHORT_TABLE,4,FALSE),VLOOKUP("GLOBAL",V8_COHORT_TABLE,4,FALSE))))</f>
        <v/>
      </c>
      <c r="Y117" s="15">
        <f>IFERROR(VLOOKUP(S117,V8_COHORT_TABLE,5,FALSE),IFERROR(VLOOKUP(P117&amp;"|"&amp;Q117&amp;"|ALL",V8_COHORT_TABLE,5,FALSE),IFERROR(VLOOKUP(P117&amp;"|ALL|ALL",V8_COHORT_TABLE,5,FALSE),VLOOKUP("GLOBAL",V8_COHORT_TABLE,5,FALSE))))</f>
        <v/>
      </c>
      <c r="Z117" s="15">
        <f>V117+W117/(1+EXP(-(U117-X117)/Y117))</f>
        <v/>
      </c>
      <c r="AA117" s="16">
        <f>1-(1-Z117)^12</f>
        <v/>
      </c>
      <c r="AB117" s="14">
        <f>IF(K117&lt;=V8_AGE_KNOT_X_0,V8_AGE_KNOT_Y_0,IF(K117&gt;=V8_AGE_KNOT_X_5,V8_AGE_KNOT_Y_5,IF(K117&lt;=V8_AGE_KNOT_X_1,V8_AGE_KNOT_Y_0+(K117-V8_AGE_KNOT_X_0)/(V8_AGE_KNOT_X_1-V8_AGE_KNOT_X_0)*(V8_AGE_KNOT_Y_1-V8_AGE_KNOT_Y_0),IF(K117&lt;=V8_AGE_KNOT_X_2,V8_AGE_KNOT_Y_1+(K117-V8_AGE_KNOT_X_1)/(V8_AGE_KNOT_X_2-V8_AGE_KNOT_X_1)*(V8_AGE_KNOT_Y_2-V8_AGE_KNOT_Y_1),IF(K117&lt;=V8_AGE_KNOT_X_3,V8_AGE_KNOT_Y_2+(K117-V8_AGE_KNOT_X_2)/(V8_AGE_KNOT_X_3-V8_AGE_KNOT_X_2)*(V8_AGE_KNOT_Y_3-V8_AGE_KNOT_Y_2),IF(K117&lt;=V8_AGE_KNOT_X_4,V8_AGE_KNOT_Y_3+(K117-V8_AGE_KNOT_X_3)/(V8_AGE_KNOT_X_4-V8_AGE_KNOT_X_3)*(V8_AGE_KNOT_Y_4-V8_AGE_KNOT_Y_3),V8_AGE_KNOT_Y_4+(K117-V8_AGE_KNOT_X_4)/(V8_AGE_KNOT_X_5-V8_AGE_KNOT_X_4)*(V8_AGE_KNOT_Y_5-V8_AGE_KNOT_Y_4)))))))</f>
        <v/>
      </c>
      <c r="AC117" s="14">
        <f>IF(IF(OR(L117="",NOT(ISNUMBER(L117))),360,MAX(0,MIN(480,(INT(L117/100)-INT(VALUE(F117)/100))*12+MOD(L117,100)-MOD(VALUE(F117),100))))&gt;0,1+V8_MTY_AMP*MAX(0,(V8_MTY_CUTOFF-(IF(OR(L117="",NOT(ISNUMBER(L117))),360,MAX(0,MIN(480,(INT(L117/100)-INT(VALUE(F117)/100))*12+MOD(L117,100)-MOD(VALUE(F117),100))))))/V8_MTY_CUTOFF),1)</f>
        <v/>
      </c>
      <c r="AD117" s="14">
        <f>IF(AND(IF(OR(M117="",NOT(ISNUMBER(M117))),0,MAX(0,MIN(24,(INT(VALUE(F117)/100)-INT(M117/100))*12+MOD(VALUE(F117),100)-MOD(M117,100))))&gt;0,IF(OR(M117="",NOT(ISNUMBER(M117))),0,MAX(0,MIN(24,(INT(VALUE(F117)/100)-INT(M117/100))*12+MOD(VALUE(F117),100)-MOD(M117,100))))&lt;=12),1+V8_LOCKOUT_AMP*EXP(-(IF(OR(M117="",NOT(ISNUMBER(M117))),0,MAX(0,MIN(24,(INT(VALUE(F117)/100)-INT(M117/100))*12+MOD(VALUE(F117),100)-MOD(M117,100)))))/V8_LOCKOUT_TAU),1)</f>
        <v/>
      </c>
      <c r="AE117" s="14">
        <f>MAX(V8_BURN_FLOOR,1-V8_BURN_SLOPE*MIN(1,MAX(0,O117)))</f>
        <v/>
      </c>
      <c r="AF117" s="15">
        <f>MIN(Z117*AB117*AC117*AD117*AE117,0.2)</f>
        <v/>
      </c>
      <c r="AG117" s="16">
        <f>1-(1-AF117)^12</f>
        <v/>
      </c>
    </row>
    <row r="118">
      <c r="A118" s="2" t="inlineStr">
        <is>
          <t>000002311576</t>
        </is>
      </c>
      <c r="B118" t="inlineStr">
        <is>
          <t>223f</t>
        </is>
      </c>
      <c r="C118" t="inlineStr">
        <is>
          <t>RP</t>
        </is>
      </c>
      <c r="D118" t="inlineStr">
        <is>
          <t>MERCHANTS CAPITAL CORP.</t>
        </is>
      </c>
      <c r="E118" t="n">
        <v>2020</v>
      </c>
      <c r="F118" t="inlineStr">
        <is>
          <t>202602</t>
        </is>
      </c>
      <c r="G118" s="8" t="n">
        <v>10194656.76</v>
      </c>
      <c r="H118" s="12" t="n">
        <v>2.2</v>
      </c>
      <c r="I118" s="13" t="n">
        <v>447</v>
      </c>
      <c r="J118" s="13" t="n">
        <v>5</v>
      </c>
      <c r="K118" t="n">
        <v>62</v>
      </c>
      <c r="L118" t="n">
        <v>205601</v>
      </c>
      <c r="M118" t="inlineStr"/>
      <c r="N118" t="n">
        <v>0</v>
      </c>
      <c r="O118" s="14" t="n">
        <v>0</v>
      </c>
      <c r="P118">
        <f>IF(ISNUMBER(SEARCH("232",B118)),"232",IF(ISNUMBER(SEARCH("538",B118)),"538",IF(ISNUMBER(SEARCH("223a7",B118)),"223a7",IF(ISNUMBER(SEARCH("223f",B118)),"223f","OTHER"))))</f>
        <v/>
      </c>
      <c r="Q118">
        <f>IF(UPPER(C118)="NC","NC","RP")</f>
        <v/>
      </c>
      <c r="R118">
        <f>IF(G118&lt;5000000,"small",IF(G118&lt;25000000,"medium","large"))</f>
        <v/>
      </c>
      <c r="S118">
        <f>P118&amp;"|"&amp;Q118&amp;"|"&amp;R118</f>
        <v/>
      </c>
      <c r="T118" s="13">
        <f>H118*100-I118</f>
        <v/>
      </c>
      <c r="U118" s="13">
        <f>T118-12.5*(J118+1)</f>
        <v/>
      </c>
      <c r="V118" s="15">
        <f>IFERROR(VLOOKUP(S118,V8_COHORT_TABLE,2,FALSE),IFERROR(VLOOKUP(P118&amp;"|"&amp;Q118&amp;"|ALL",V8_COHORT_TABLE,2,FALSE),IFERROR(VLOOKUP(P118&amp;"|ALL|ALL",V8_COHORT_TABLE,2,FALSE),VLOOKUP("GLOBAL",V8_COHORT_TABLE,2,FALSE))))</f>
        <v/>
      </c>
      <c r="W118" s="15">
        <f>IFERROR(VLOOKUP(S118,V8_COHORT_TABLE,3,FALSE),IFERROR(VLOOKUP(P118&amp;"|"&amp;Q118&amp;"|ALL",V8_COHORT_TABLE,3,FALSE),IFERROR(VLOOKUP(P118&amp;"|ALL|ALL",V8_COHORT_TABLE,3,FALSE),VLOOKUP("GLOBAL",V8_COHORT_TABLE,3,FALSE))))</f>
        <v/>
      </c>
      <c r="X118" s="15">
        <f>IFERROR(VLOOKUP(S118,V8_COHORT_TABLE,4,FALSE),IFERROR(VLOOKUP(P118&amp;"|"&amp;Q118&amp;"|ALL",V8_COHORT_TABLE,4,FALSE),IFERROR(VLOOKUP(P118&amp;"|ALL|ALL",V8_COHORT_TABLE,4,FALSE),VLOOKUP("GLOBAL",V8_COHORT_TABLE,4,FALSE))))</f>
        <v/>
      </c>
      <c r="Y118" s="15">
        <f>IFERROR(VLOOKUP(S118,V8_COHORT_TABLE,5,FALSE),IFERROR(VLOOKUP(P118&amp;"|"&amp;Q118&amp;"|ALL",V8_COHORT_TABLE,5,FALSE),IFERROR(VLOOKUP(P118&amp;"|ALL|ALL",V8_COHORT_TABLE,5,FALSE),VLOOKUP("GLOBAL",V8_COHORT_TABLE,5,FALSE))))</f>
        <v/>
      </c>
      <c r="Z118" s="15">
        <f>V118+W118/(1+EXP(-(U118-X118)/Y118))</f>
        <v/>
      </c>
      <c r="AA118" s="16">
        <f>1-(1-Z118)^12</f>
        <v/>
      </c>
      <c r="AB118" s="14">
        <f>IF(K118&lt;=V8_AGE_KNOT_X_0,V8_AGE_KNOT_Y_0,IF(K118&gt;=V8_AGE_KNOT_X_5,V8_AGE_KNOT_Y_5,IF(K118&lt;=V8_AGE_KNOT_X_1,V8_AGE_KNOT_Y_0+(K118-V8_AGE_KNOT_X_0)/(V8_AGE_KNOT_X_1-V8_AGE_KNOT_X_0)*(V8_AGE_KNOT_Y_1-V8_AGE_KNOT_Y_0),IF(K118&lt;=V8_AGE_KNOT_X_2,V8_AGE_KNOT_Y_1+(K118-V8_AGE_KNOT_X_1)/(V8_AGE_KNOT_X_2-V8_AGE_KNOT_X_1)*(V8_AGE_KNOT_Y_2-V8_AGE_KNOT_Y_1),IF(K118&lt;=V8_AGE_KNOT_X_3,V8_AGE_KNOT_Y_2+(K118-V8_AGE_KNOT_X_2)/(V8_AGE_KNOT_X_3-V8_AGE_KNOT_X_2)*(V8_AGE_KNOT_Y_3-V8_AGE_KNOT_Y_2),IF(K118&lt;=V8_AGE_KNOT_X_4,V8_AGE_KNOT_Y_3+(K118-V8_AGE_KNOT_X_3)/(V8_AGE_KNOT_X_4-V8_AGE_KNOT_X_3)*(V8_AGE_KNOT_Y_4-V8_AGE_KNOT_Y_3),V8_AGE_KNOT_Y_4+(K118-V8_AGE_KNOT_X_4)/(V8_AGE_KNOT_X_5-V8_AGE_KNOT_X_4)*(V8_AGE_KNOT_Y_5-V8_AGE_KNOT_Y_4)))))))</f>
        <v/>
      </c>
      <c r="AC118" s="14">
        <f>IF(IF(OR(L118="",NOT(ISNUMBER(L118))),360,MAX(0,MIN(480,(INT(L118/100)-INT(VALUE(F118)/100))*12+MOD(L118,100)-MOD(VALUE(F118),100))))&gt;0,1+V8_MTY_AMP*MAX(0,(V8_MTY_CUTOFF-(IF(OR(L118="",NOT(ISNUMBER(L118))),360,MAX(0,MIN(480,(INT(L118/100)-INT(VALUE(F118)/100))*12+MOD(L118,100)-MOD(VALUE(F118),100))))))/V8_MTY_CUTOFF),1)</f>
        <v/>
      </c>
      <c r="AD118" s="14">
        <f>IF(AND(IF(OR(M118="",NOT(ISNUMBER(M118))),0,MAX(0,MIN(24,(INT(VALUE(F118)/100)-INT(M118/100))*12+MOD(VALUE(F118),100)-MOD(M118,100))))&gt;0,IF(OR(M118="",NOT(ISNUMBER(M118))),0,MAX(0,MIN(24,(INT(VALUE(F118)/100)-INT(M118/100))*12+MOD(VALUE(F118),100)-MOD(M118,100))))&lt;=12),1+V8_LOCKOUT_AMP*EXP(-(IF(OR(M118="",NOT(ISNUMBER(M118))),0,MAX(0,MIN(24,(INT(VALUE(F118)/100)-INT(M118/100))*12+MOD(VALUE(F118),100)-MOD(M118,100)))))/V8_LOCKOUT_TAU),1)</f>
        <v/>
      </c>
      <c r="AE118" s="14">
        <f>MAX(V8_BURN_FLOOR,1-V8_BURN_SLOPE*MIN(1,MAX(0,O118)))</f>
        <v/>
      </c>
      <c r="AF118" s="15">
        <f>MIN(Z118*AB118*AC118*AD118*AE118,0.2)</f>
        <v/>
      </c>
      <c r="AG118" s="16">
        <f>1-(1-AF118)^12</f>
        <v/>
      </c>
    </row>
    <row r="119">
      <c r="A119" s="2" t="inlineStr">
        <is>
          <t>000007522246</t>
        </is>
      </c>
      <c r="B119" t="inlineStr">
        <is>
          <t>232</t>
        </is>
      </c>
      <c r="C119" t="inlineStr">
        <is>
          <t>RP</t>
        </is>
      </c>
      <c r="D119" t="inlineStr">
        <is>
          <t>MERCHANTS CAPITAL CORP.</t>
        </is>
      </c>
      <c r="E119" t="n">
        <v>2022</v>
      </c>
      <c r="F119" t="inlineStr">
        <is>
          <t>202602</t>
        </is>
      </c>
      <c r="G119" s="8" t="n">
        <v>3906768.91</v>
      </c>
      <c r="H119" s="12" t="n">
        <v>4</v>
      </c>
      <c r="I119" s="13" t="n">
        <v>447</v>
      </c>
      <c r="J119" s="13" t="n">
        <v>7</v>
      </c>
      <c r="K119" t="n">
        <v>40</v>
      </c>
      <c r="L119" t="n">
        <v>205711</v>
      </c>
      <c r="M119" t="inlineStr"/>
      <c r="N119" t="n">
        <v>0</v>
      </c>
      <c r="O119" s="14" t="n">
        <v>0</v>
      </c>
      <c r="P119">
        <f>IF(ISNUMBER(SEARCH("232",B119)),"232",IF(ISNUMBER(SEARCH("538",B119)),"538",IF(ISNUMBER(SEARCH("223a7",B119)),"223a7",IF(ISNUMBER(SEARCH("223f",B119)),"223f","OTHER"))))</f>
        <v/>
      </c>
      <c r="Q119">
        <f>IF(UPPER(C119)="NC","NC","RP")</f>
        <v/>
      </c>
      <c r="R119">
        <f>IF(G119&lt;5000000,"small",IF(G119&lt;25000000,"medium","large"))</f>
        <v/>
      </c>
      <c r="S119">
        <f>P119&amp;"|"&amp;Q119&amp;"|"&amp;R119</f>
        <v/>
      </c>
      <c r="T119" s="13">
        <f>H119*100-I119</f>
        <v/>
      </c>
      <c r="U119" s="13">
        <f>T119-12.5*(J119+1)</f>
        <v/>
      </c>
      <c r="V119" s="15">
        <f>IFERROR(VLOOKUP(S119,V8_COHORT_TABLE,2,FALSE),IFERROR(VLOOKUP(P119&amp;"|"&amp;Q119&amp;"|ALL",V8_COHORT_TABLE,2,FALSE),IFERROR(VLOOKUP(P119&amp;"|ALL|ALL",V8_COHORT_TABLE,2,FALSE),VLOOKUP("GLOBAL",V8_COHORT_TABLE,2,FALSE))))</f>
        <v/>
      </c>
      <c r="W119" s="15">
        <f>IFERROR(VLOOKUP(S119,V8_COHORT_TABLE,3,FALSE),IFERROR(VLOOKUP(P119&amp;"|"&amp;Q119&amp;"|ALL",V8_COHORT_TABLE,3,FALSE),IFERROR(VLOOKUP(P119&amp;"|ALL|ALL",V8_COHORT_TABLE,3,FALSE),VLOOKUP("GLOBAL",V8_COHORT_TABLE,3,FALSE))))</f>
        <v/>
      </c>
      <c r="X119" s="15">
        <f>IFERROR(VLOOKUP(S119,V8_COHORT_TABLE,4,FALSE),IFERROR(VLOOKUP(P119&amp;"|"&amp;Q119&amp;"|ALL",V8_COHORT_TABLE,4,FALSE),IFERROR(VLOOKUP(P119&amp;"|ALL|ALL",V8_COHORT_TABLE,4,FALSE),VLOOKUP("GLOBAL",V8_COHORT_TABLE,4,FALSE))))</f>
        <v/>
      </c>
      <c r="Y119" s="15">
        <f>IFERROR(VLOOKUP(S119,V8_COHORT_TABLE,5,FALSE),IFERROR(VLOOKUP(P119&amp;"|"&amp;Q119&amp;"|ALL",V8_COHORT_TABLE,5,FALSE),IFERROR(VLOOKUP(P119&amp;"|ALL|ALL",V8_COHORT_TABLE,5,FALSE),VLOOKUP("GLOBAL",V8_COHORT_TABLE,5,FALSE))))</f>
        <v/>
      </c>
      <c r="Z119" s="15">
        <f>V119+W119/(1+EXP(-(U119-X119)/Y119))</f>
        <v/>
      </c>
      <c r="AA119" s="16">
        <f>1-(1-Z119)^12</f>
        <v/>
      </c>
      <c r="AB119" s="14">
        <f>IF(K119&lt;=V8_AGE_KNOT_X_0,V8_AGE_KNOT_Y_0,IF(K119&gt;=V8_AGE_KNOT_X_5,V8_AGE_KNOT_Y_5,IF(K119&lt;=V8_AGE_KNOT_X_1,V8_AGE_KNOT_Y_0+(K119-V8_AGE_KNOT_X_0)/(V8_AGE_KNOT_X_1-V8_AGE_KNOT_X_0)*(V8_AGE_KNOT_Y_1-V8_AGE_KNOT_Y_0),IF(K119&lt;=V8_AGE_KNOT_X_2,V8_AGE_KNOT_Y_1+(K119-V8_AGE_KNOT_X_1)/(V8_AGE_KNOT_X_2-V8_AGE_KNOT_X_1)*(V8_AGE_KNOT_Y_2-V8_AGE_KNOT_Y_1),IF(K119&lt;=V8_AGE_KNOT_X_3,V8_AGE_KNOT_Y_2+(K119-V8_AGE_KNOT_X_2)/(V8_AGE_KNOT_X_3-V8_AGE_KNOT_X_2)*(V8_AGE_KNOT_Y_3-V8_AGE_KNOT_Y_2),IF(K119&lt;=V8_AGE_KNOT_X_4,V8_AGE_KNOT_Y_3+(K119-V8_AGE_KNOT_X_3)/(V8_AGE_KNOT_X_4-V8_AGE_KNOT_X_3)*(V8_AGE_KNOT_Y_4-V8_AGE_KNOT_Y_3),V8_AGE_KNOT_Y_4+(K119-V8_AGE_KNOT_X_4)/(V8_AGE_KNOT_X_5-V8_AGE_KNOT_X_4)*(V8_AGE_KNOT_Y_5-V8_AGE_KNOT_Y_4)))))))</f>
        <v/>
      </c>
      <c r="AC119" s="14">
        <f>IF(IF(OR(L119="",NOT(ISNUMBER(L119))),360,MAX(0,MIN(480,(INT(L119/100)-INT(VALUE(F119)/100))*12+MOD(L119,100)-MOD(VALUE(F119),100))))&gt;0,1+V8_MTY_AMP*MAX(0,(V8_MTY_CUTOFF-(IF(OR(L119="",NOT(ISNUMBER(L119))),360,MAX(0,MIN(480,(INT(L119/100)-INT(VALUE(F119)/100))*12+MOD(L119,100)-MOD(VALUE(F119),100))))))/V8_MTY_CUTOFF),1)</f>
        <v/>
      </c>
      <c r="AD119" s="14">
        <f>IF(AND(IF(OR(M119="",NOT(ISNUMBER(M119))),0,MAX(0,MIN(24,(INT(VALUE(F119)/100)-INT(M119/100))*12+MOD(VALUE(F119),100)-MOD(M119,100))))&gt;0,IF(OR(M119="",NOT(ISNUMBER(M119))),0,MAX(0,MIN(24,(INT(VALUE(F119)/100)-INT(M119/100))*12+MOD(VALUE(F119),100)-MOD(M119,100))))&lt;=12),1+V8_LOCKOUT_AMP*EXP(-(IF(OR(M119="",NOT(ISNUMBER(M119))),0,MAX(0,MIN(24,(INT(VALUE(F119)/100)-INT(M119/100))*12+MOD(VALUE(F119),100)-MOD(M119,100)))))/V8_LOCKOUT_TAU),1)</f>
        <v/>
      </c>
      <c r="AE119" s="14">
        <f>MAX(V8_BURN_FLOOR,1-V8_BURN_SLOPE*MIN(1,MAX(0,O119)))</f>
        <v/>
      </c>
      <c r="AF119" s="15">
        <f>MIN(Z119*AB119*AC119*AD119*AE119,0.2)</f>
        <v/>
      </c>
      <c r="AG119" s="16">
        <f>1-(1-AF119)^12</f>
        <v/>
      </c>
    </row>
    <row r="120">
      <c r="A120" s="2" t="inlineStr">
        <is>
          <t>000007311284</t>
        </is>
      </c>
      <c r="B120" t="inlineStr">
        <is>
          <t>223f</t>
        </is>
      </c>
      <c r="C120" t="inlineStr">
        <is>
          <t>RP</t>
        </is>
      </c>
      <c r="D120" t="inlineStr">
        <is>
          <t>MERCHANTS CAPITAL CORP.</t>
        </is>
      </c>
      <c r="E120" t="n">
        <v>2004</v>
      </c>
      <c r="F120" t="inlineStr">
        <is>
          <t>202602</t>
        </is>
      </c>
      <c r="G120" s="8" t="n">
        <v>25063.28</v>
      </c>
      <c r="H120" s="12" t="n">
        <v>3.45</v>
      </c>
      <c r="I120" s="13" t="n">
        <v>447</v>
      </c>
      <c r="J120" s="13" t="n">
        <v>0</v>
      </c>
      <c r="K120" t="n">
        <v>258</v>
      </c>
      <c r="L120" t="n">
        <v>202609</v>
      </c>
      <c r="M120" t="inlineStr"/>
      <c r="N120" t="n">
        <v>30</v>
      </c>
      <c r="O120" s="14" t="n">
        <v>0.1162790697674419</v>
      </c>
      <c r="P120">
        <f>IF(ISNUMBER(SEARCH("232",B120)),"232",IF(ISNUMBER(SEARCH("538",B120)),"538",IF(ISNUMBER(SEARCH("223a7",B120)),"223a7",IF(ISNUMBER(SEARCH("223f",B120)),"223f","OTHER"))))</f>
        <v/>
      </c>
      <c r="Q120">
        <f>IF(UPPER(C120)="NC","NC","RP")</f>
        <v/>
      </c>
      <c r="R120">
        <f>IF(G120&lt;5000000,"small",IF(G120&lt;25000000,"medium","large"))</f>
        <v/>
      </c>
      <c r="S120">
        <f>P120&amp;"|"&amp;Q120&amp;"|"&amp;R120</f>
        <v/>
      </c>
      <c r="T120" s="13">
        <f>H120*100-I120</f>
        <v/>
      </c>
      <c r="U120" s="13">
        <f>T120-12.5*(J120+1)</f>
        <v/>
      </c>
      <c r="V120" s="15">
        <f>IFERROR(VLOOKUP(S120,V8_COHORT_TABLE,2,FALSE),IFERROR(VLOOKUP(P120&amp;"|"&amp;Q120&amp;"|ALL",V8_COHORT_TABLE,2,FALSE),IFERROR(VLOOKUP(P120&amp;"|ALL|ALL",V8_COHORT_TABLE,2,FALSE),VLOOKUP("GLOBAL",V8_COHORT_TABLE,2,FALSE))))</f>
        <v/>
      </c>
      <c r="W120" s="15">
        <f>IFERROR(VLOOKUP(S120,V8_COHORT_TABLE,3,FALSE),IFERROR(VLOOKUP(P120&amp;"|"&amp;Q120&amp;"|ALL",V8_COHORT_TABLE,3,FALSE),IFERROR(VLOOKUP(P120&amp;"|ALL|ALL",V8_COHORT_TABLE,3,FALSE),VLOOKUP("GLOBAL",V8_COHORT_TABLE,3,FALSE))))</f>
        <v/>
      </c>
      <c r="X120" s="15">
        <f>IFERROR(VLOOKUP(S120,V8_COHORT_TABLE,4,FALSE),IFERROR(VLOOKUP(P120&amp;"|"&amp;Q120&amp;"|ALL",V8_COHORT_TABLE,4,FALSE),IFERROR(VLOOKUP(P120&amp;"|ALL|ALL",V8_COHORT_TABLE,4,FALSE),VLOOKUP("GLOBAL",V8_COHORT_TABLE,4,FALSE))))</f>
        <v/>
      </c>
      <c r="Y120" s="15">
        <f>IFERROR(VLOOKUP(S120,V8_COHORT_TABLE,5,FALSE),IFERROR(VLOOKUP(P120&amp;"|"&amp;Q120&amp;"|ALL",V8_COHORT_TABLE,5,FALSE),IFERROR(VLOOKUP(P120&amp;"|ALL|ALL",V8_COHORT_TABLE,5,FALSE),VLOOKUP("GLOBAL",V8_COHORT_TABLE,5,FALSE))))</f>
        <v/>
      </c>
      <c r="Z120" s="15">
        <f>V120+W120/(1+EXP(-(U120-X120)/Y120))</f>
        <v/>
      </c>
      <c r="AA120" s="16">
        <f>1-(1-Z120)^12</f>
        <v/>
      </c>
      <c r="AB120" s="14">
        <f>IF(K120&lt;=V8_AGE_KNOT_X_0,V8_AGE_KNOT_Y_0,IF(K120&gt;=V8_AGE_KNOT_X_5,V8_AGE_KNOT_Y_5,IF(K120&lt;=V8_AGE_KNOT_X_1,V8_AGE_KNOT_Y_0+(K120-V8_AGE_KNOT_X_0)/(V8_AGE_KNOT_X_1-V8_AGE_KNOT_X_0)*(V8_AGE_KNOT_Y_1-V8_AGE_KNOT_Y_0),IF(K120&lt;=V8_AGE_KNOT_X_2,V8_AGE_KNOT_Y_1+(K120-V8_AGE_KNOT_X_1)/(V8_AGE_KNOT_X_2-V8_AGE_KNOT_X_1)*(V8_AGE_KNOT_Y_2-V8_AGE_KNOT_Y_1),IF(K120&lt;=V8_AGE_KNOT_X_3,V8_AGE_KNOT_Y_2+(K120-V8_AGE_KNOT_X_2)/(V8_AGE_KNOT_X_3-V8_AGE_KNOT_X_2)*(V8_AGE_KNOT_Y_3-V8_AGE_KNOT_Y_2),IF(K120&lt;=V8_AGE_KNOT_X_4,V8_AGE_KNOT_Y_3+(K120-V8_AGE_KNOT_X_3)/(V8_AGE_KNOT_X_4-V8_AGE_KNOT_X_3)*(V8_AGE_KNOT_Y_4-V8_AGE_KNOT_Y_3),V8_AGE_KNOT_Y_4+(K120-V8_AGE_KNOT_X_4)/(V8_AGE_KNOT_X_5-V8_AGE_KNOT_X_4)*(V8_AGE_KNOT_Y_5-V8_AGE_KNOT_Y_4)))))))</f>
        <v/>
      </c>
      <c r="AC120" s="14">
        <f>IF(IF(OR(L120="",NOT(ISNUMBER(L120))),360,MAX(0,MIN(480,(INT(L120/100)-INT(VALUE(F120)/100))*12+MOD(L120,100)-MOD(VALUE(F120),100))))&gt;0,1+V8_MTY_AMP*MAX(0,(V8_MTY_CUTOFF-(IF(OR(L120="",NOT(ISNUMBER(L120))),360,MAX(0,MIN(480,(INT(L120/100)-INT(VALUE(F120)/100))*12+MOD(L120,100)-MOD(VALUE(F120),100))))))/V8_MTY_CUTOFF),1)</f>
        <v/>
      </c>
      <c r="AD120" s="14">
        <f>IF(AND(IF(OR(M120="",NOT(ISNUMBER(M120))),0,MAX(0,MIN(24,(INT(VALUE(F120)/100)-INT(M120/100))*12+MOD(VALUE(F120),100)-MOD(M120,100))))&gt;0,IF(OR(M120="",NOT(ISNUMBER(M120))),0,MAX(0,MIN(24,(INT(VALUE(F120)/100)-INT(M120/100))*12+MOD(VALUE(F120),100)-MOD(M120,100))))&lt;=12),1+V8_LOCKOUT_AMP*EXP(-(IF(OR(M120="",NOT(ISNUMBER(M120))),0,MAX(0,MIN(24,(INT(VALUE(F120)/100)-INT(M120/100))*12+MOD(VALUE(F120),100)-MOD(M120,100)))))/V8_LOCKOUT_TAU),1)</f>
        <v/>
      </c>
      <c r="AE120" s="14">
        <f>MAX(V8_BURN_FLOOR,1-V8_BURN_SLOPE*MIN(1,MAX(0,O120)))</f>
        <v/>
      </c>
      <c r="AF120" s="15">
        <f>MIN(Z120*AB120*AC120*AD120*AE120,0.2)</f>
        <v/>
      </c>
      <c r="AG120" s="16">
        <f>1-(1-AF120)^12</f>
        <v/>
      </c>
    </row>
    <row r="121">
      <c r="A121" s="2" t="inlineStr">
        <is>
          <t>015247586480</t>
        </is>
      </c>
      <c r="B121" t="inlineStr">
        <is>
          <t>538</t>
        </is>
      </c>
      <c r="C121" t="inlineStr">
        <is>
          <t>538</t>
        </is>
      </c>
      <c r="D121" t="inlineStr">
        <is>
          <t>MERCHANTS CAPITAL CORP.</t>
        </is>
      </c>
      <c r="E121" t="n">
        <v>2023</v>
      </c>
      <c r="F121" t="inlineStr">
        <is>
          <t>202602</t>
        </is>
      </c>
      <c r="G121" s="8" t="n">
        <v>3935901.15</v>
      </c>
      <c r="H121" s="12" t="n">
        <v>5.45</v>
      </c>
      <c r="I121" s="13" t="n">
        <v>447</v>
      </c>
      <c r="J121" s="13" t="n">
        <v>10</v>
      </c>
      <c r="K121" t="n">
        <v>27</v>
      </c>
      <c r="L121" t="n">
        <v>206312</v>
      </c>
      <c r="M121" t="inlineStr"/>
      <c r="N121" t="n">
        <v>0</v>
      </c>
      <c r="O121" s="14" t="n">
        <v>0</v>
      </c>
      <c r="P121">
        <f>IF(ISNUMBER(SEARCH("232",B121)),"232",IF(ISNUMBER(SEARCH("538",B121)),"538",IF(ISNUMBER(SEARCH("223a7",B121)),"223a7",IF(ISNUMBER(SEARCH("223f",B121)),"223f","OTHER"))))</f>
        <v/>
      </c>
      <c r="Q121">
        <f>IF(UPPER(C121)="NC","NC","RP")</f>
        <v/>
      </c>
      <c r="R121">
        <f>IF(G121&lt;5000000,"small",IF(G121&lt;25000000,"medium","large"))</f>
        <v/>
      </c>
      <c r="S121">
        <f>P121&amp;"|"&amp;Q121&amp;"|"&amp;R121</f>
        <v/>
      </c>
      <c r="T121" s="13">
        <f>H121*100-I121</f>
        <v/>
      </c>
      <c r="U121" s="13">
        <f>T121-12.5*(J121+1)</f>
        <v/>
      </c>
      <c r="V121" s="15">
        <f>IFERROR(VLOOKUP(S121,V8_COHORT_TABLE,2,FALSE),IFERROR(VLOOKUP(P121&amp;"|"&amp;Q121&amp;"|ALL",V8_COHORT_TABLE,2,FALSE),IFERROR(VLOOKUP(P121&amp;"|ALL|ALL",V8_COHORT_TABLE,2,FALSE),VLOOKUP("GLOBAL",V8_COHORT_TABLE,2,FALSE))))</f>
        <v/>
      </c>
      <c r="W121" s="15">
        <f>IFERROR(VLOOKUP(S121,V8_COHORT_TABLE,3,FALSE),IFERROR(VLOOKUP(P121&amp;"|"&amp;Q121&amp;"|ALL",V8_COHORT_TABLE,3,FALSE),IFERROR(VLOOKUP(P121&amp;"|ALL|ALL",V8_COHORT_TABLE,3,FALSE),VLOOKUP("GLOBAL",V8_COHORT_TABLE,3,FALSE))))</f>
        <v/>
      </c>
      <c r="X121" s="15">
        <f>IFERROR(VLOOKUP(S121,V8_COHORT_TABLE,4,FALSE),IFERROR(VLOOKUP(P121&amp;"|"&amp;Q121&amp;"|ALL",V8_COHORT_TABLE,4,FALSE),IFERROR(VLOOKUP(P121&amp;"|ALL|ALL",V8_COHORT_TABLE,4,FALSE),VLOOKUP("GLOBAL",V8_COHORT_TABLE,4,FALSE))))</f>
        <v/>
      </c>
      <c r="Y121" s="15">
        <f>IFERROR(VLOOKUP(S121,V8_COHORT_TABLE,5,FALSE),IFERROR(VLOOKUP(P121&amp;"|"&amp;Q121&amp;"|ALL",V8_COHORT_TABLE,5,FALSE),IFERROR(VLOOKUP(P121&amp;"|ALL|ALL",V8_COHORT_TABLE,5,FALSE),VLOOKUP("GLOBAL",V8_COHORT_TABLE,5,FALSE))))</f>
        <v/>
      </c>
      <c r="Z121" s="15">
        <f>V121+W121/(1+EXP(-(U121-X121)/Y121))</f>
        <v/>
      </c>
      <c r="AA121" s="16">
        <f>1-(1-Z121)^12</f>
        <v/>
      </c>
      <c r="AB121" s="14">
        <f>IF(K121&lt;=V8_AGE_KNOT_X_0,V8_AGE_KNOT_Y_0,IF(K121&gt;=V8_AGE_KNOT_X_5,V8_AGE_KNOT_Y_5,IF(K121&lt;=V8_AGE_KNOT_X_1,V8_AGE_KNOT_Y_0+(K121-V8_AGE_KNOT_X_0)/(V8_AGE_KNOT_X_1-V8_AGE_KNOT_X_0)*(V8_AGE_KNOT_Y_1-V8_AGE_KNOT_Y_0),IF(K121&lt;=V8_AGE_KNOT_X_2,V8_AGE_KNOT_Y_1+(K121-V8_AGE_KNOT_X_1)/(V8_AGE_KNOT_X_2-V8_AGE_KNOT_X_1)*(V8_AGE_KNOT_Y_2-V8_AGE_KNOT_Y_1),IF(K121&lt;=V8_AGE_KNOT_X_3,V8_AGE_KNOT_Y_2+(K121-V8_AGE_KNOT_X_2)/(V8_AGE_KNOT_X_3-V8_AGE_KNOT_X_2)*(V8_AGE_KNOT_Y_3-V8_AGE_KNOT_Y_2),IF(K121&lt;=V8_AGE_KNOT_X_4,V8_AGE_KNOT_Y_3+(K121-V8_AGE_KNOT_X_3)/(V8_AGE_KNOT_X_4-V8_AGE_KNOT_X_3)*(V8_AGE_KNOT_Y_4-V8_AGE_KNOT_Y_3),V8_AGE_KNOT_Y_4+(K121-V8_AGE_KNOT_X_4)/(V8_AGE_KNOT_X_5-V8_AGE_KNOT_X_4)*(V8_AGE_KNOT_Y_5-V8_AGE_KNOT_Y_4)))))))</f>
        <v/>
      </c>
      <c r="AC121" s="14">
        <f>IF(IF(OR(L121="",NOT(ISNUMBER(L121))),360,MAX(0,MIN(480,(INT(L121/100)-INT(VALUE(F121)/100))*12+MOD(L121,100)-MOD(VALUE(F121),100))))&gt;0,1+V8_MTY_AMP*MAX(0,(V8_MTY_CUTOFF-(IF(OR(L121="",NOT(ISNUMBER(L121))),360,MAX(0,MIN(480,(INT(L121/100)-INT(VALUE(F121)/100))*12+MOD(L121,100)-MOD(VALUE(F121),100))))))/V8_MTY_CUTOFF),1)</f>
        <v/>
      </c>
      <c r="AD121" s="14">
        <f>IF(AND(IF(OR(M121="",NOT(ISNUMBER(M121))),0,MAX(0,MIN(24,(INT(VALUE(F121)/100)-INT(M121/100))*12+MOD(VALUE(F121),100)-MOD(M121,100))))&gt;0,IF(OR(M121="",NOT(ISNUMBER(M121))),0,MAX(0,MIN(24,(INT(VALUE(F121)/100)-INT(M121/100))*12+MOD(VALUE(F121),100)-MOD(M121,100))))&lt;=12),1+V8_LOCKOUT_AMP*EXP(-(IF(OR(M121="",NOT(ISNUMBER(M121))),0,MAX(0,MIN(24,(INT(VALUE(F121)/100)-INT(M121/100))*12+MOD(VALUE(F121),100)-MOD(M121,100)))))/V8_LOCKOUT_TAU),1)</f>
        <v/>
      </c>
      <c r="AE121" s="14">
        <f>MAX(V8_BURN_FLOOR,1-V8_BURN_SLOPE*MIN(1,MAX(0,O121)))</f>
        <v/>
      </c>
      <c r="AF121" s="15">
        <f>MIN(Z121*AB121*AC121*AD121*AE121,0.2)</f>
        <v/>
      </c>
      <c r="AG121" s="16">
        <f>1-(1-AF121)^12</f>
        <v/>
      </c>
    </row>
    <row r="122">
      <c r="A122" s="2" t="inlineStr">
        <is>
          <t>000007135941</t>
        </is>
      </c>
      <c r="B122" t="inlineStr">
        <is>
          <t>221d4</t>
        </is>
      </c>
      <c r="C122" t="inlineStr">
        <is>
          <t>NC</t>
        </is>
      </c>
      <c r="D122" t="inlineStr">
        <is>
          <t>MERCHANTS CAPITAL CORP.</t>
        </is>
      </c>
      <c r="E122" t="n">
        <v>2022</v>
      </c>
      <c r="F122" t="inlineStr">
        <is>
          <t>202602</t>
        </is>
      </c>
      <c r="G122" s="8" t="n">
        <v>5535314.39</v>
      </c>
      <c r="H122" s="12" t="n">
        <v>4</v>
      </c>
      <c r="I122" s="13" t="n">
        <v>447</v>
      </c>
      <c r="J122" s="13" t="n">
        <v>8</v>
      </c>
      <c r="K122" t="n">
        <v>41</v>
      </c>
      <c r="L122" t="n">
        <v>206401</v>
      </c>
      <c r="M122" t="n">
        <v>202402</v>
      </c>
      <c r="N122" t="n">
        <v>0</v>
      </c>
      <c r="O122" s="14" t="n">
        <v>0</v>
      </c>
      <c r="P122">
        <f>IF(ISNUMBER(SEARCH("232",B122)),"232",IF(ISNUMBER(SEARCH("538",B122)),"538",IF(ISNUMBER(SEARCH("223a7",B122)),"223a7",IF(ISNUMBER(SEARCH("223f",B122)),"223f","OTHER"))))</f>
        <v/>
      </c>
      <c r="Q122">
        <f>IF(UPPER(C122)="NC","NC","RP")</f>
        <v/>
      </c>
      <c r="R122">
        <f>IF(G122&lt;5000000,"small",IF(G122&lt;25000000,"medium","large"))</f>
        <v/>
      </c>
      <c r="S122">
        <f>P122&amp;"|"&amp;Q122&amp;"|"&amp;R122</f>
        <v/>
      </c>
      <c r="T122" s="13">
        <f>H122*100-I122</f>
        <v/>
      </c>
      <c r="U122" s="13">
        <f>T122-12.5*(J122+1)</f>
        <v/>
      </c>
      <c r="V122" s="15">
        <f>IFERROR(VLOOKUP(S122,V8_COHORT_TABLE,2,FALSE),IFERROR(VLOOKUP(P122&amp;"|"&amp;Q122&amp;"|ALL",V8_COHORT_TABLE,2,FALSE),IFERROR(VLOOKUP(P122&amp;"|ALL|ALL",V8_COHORT_TABLE,2,FALSE),VLOOKUP("GLOBAL",V8_COHORT_TABLE,2,FALSE))))</f>
        <v/>
      </c>
      <c r="W122" s="15">
        <f>IFERROR(VLOOKUP(S122,V8_COHORT_TABLE,3,FALSE),IFERROR(VLOOKUP(P122&amp;"|"&amp;Q122&amp;"|ALL",V8_COHORT_TABLE,3,FALSE),IFERROR(VLOOKUP(P122&amp;"|ALL|ALL",V8_COHORT_TABLE,3,FALSE),VLOOKUP("GLOBAL",V8_COHORT_TABLE,3,FALSE))))</f>
        <v/>
      </c>
      <c r="X122" s="15">
        <f>IFERROR(VLOOKUP(S122,V8_COHORT_TABLE,4,FALSE),IFERROR(VLOOKUP(P122&amp;"|"&amp;Q122&amp;"|ALL",V8_COHORT_TABLE,4,FALSE),IFERROR(VLOOKUP(P122&amp;"|ALL|ALL",V8_COHORT_TABLE,4,FALSE),VLOOKUP("GLOBAL",V8_COHORT_TABLE,4,FALSE))))</f>
        <v/>
      </c>
      <c r="Y122" s="15">
        <f>IFERROR(VLOOKUP(S122,V8_COHORT_TABLE,5,FALSE),IFERROR(VLOOKUP(P122&amp;"|"&amp;Q122&amp;"|ALL",V8_COHORT_TABLE,5,FALSE),IFERROR(VLOOKUP(P122&amp;"|ALL|ALL",V8_COHORT_TABLE,5,FALSE),VLOOKUP("GLOBAL",V8_COHORT_TABLE,5,FALSE))))</f>
        <v/>
      </c>
      <c r="Z122" s="15">
        <f>V122+W122/(1+EXP(-(U122-X122)/Y122))</f>
        <v/>
      </c>
      <c r="AA122" s="16">
        <f>1-(1-Z122)^12</f>
        <v/>
      </c>
      <c r="AB122" s="14">
        <f>IF(K122&lt;=V8_AGE_KNOT_X_0,V8_AGE_KNOT_Y_0,IF(K122&gt;=V8_AGE_KNOT_X_5,V8_AGE_KNOT_Y_5,IF(K122&lt;=V8_AGE_KNOT_X_1,V8_AGE_KNOT_Y_0+(K122-V8_AGE_KNOT_X_0)/(V8_AGE_KNOT_X_1-V8_AGE_KNOT_X_0)*(V8_AGE_KNOT_Y_1-V8_AGE_KNOT_Y_0),IF(K122&lt;=V8_AGE_KNOT_X_2,V8_AGE_KNOT_Y_1+(K122-V8_AGE_KNOT_X_1)/(V8_AGE_KNOT_X_2-V8_AGE_KNOT_X_1)*(V8_AGE_KNOT_Y_2-V8_AGE_KNOT_Y_1),IF(K122&lt;=V8_AGE_KNOT_X_3,V8_AGE_KNOT_Y_2+(K122-V8_AGE_KNOT_X_2)/(V8_AGE_KNOT_X_3-V8_AGE_KNOT_X_2)*(V8_AGE_KNOT_Y_3-V8_AGE_KNOT_Y_2),IF(K122&lt;=V8_AGE_KNOT_X_4,V8_AGE_KNOT_Y_3+(K122-V8_AGE_KNOT_X_3)/(V8_AGE_KNOT_X_4-V8_AGE_KNOT_X_3)*(V8_AGE_KNOT_Y_4-V8_AGE_KNOT_Y_3),V8_AGE_KNOT_Y_4+(K122-V8_AGE_KNOT_X_4)/(V8_AGE_KNOT_X_5-V8_AGE_KNOT_X_4)*(V8_AGE_KNOT_Y_5-V8_AGE_KNOT_Y_4)))))))</f>
        <v/>
      </c>
      <c r="AC122" s="14">
        <f>IF(IF(OR(L122="",NOT(ISNUMBER(L122))),360,MAX(0,MIN(480,(INT(L122/100)-INT(VALUE(F122)/100))*12+MOD(L122,100)-MOD(VALUE(F122),100))))&gt;0,1+V8_MTY_AMP*MAX(0,(V8_MTY_CUTOFF-(IF(OR(L122="",NOT(ISNUMBER(L122))),360,MAX(0,MIN(480,(INT(L122/100)-INT(VALUE(F122)/100))*12+MOD(L122,100)-MOD(VALUE(F122),100))))))/V8_MTY_CUTOFF),1)</f>
        <v/>
      </c>
      <c r="AD122" s="14">
        <f>IF(AND(IF(OR(M122="",NOT(ISNUMBER(M122))),0,MAX(0,MIN(24,(INT(VALUE(F122)/100)-INT(M122/100))*12+MOD(VALUE(F122),100)-MOD(M122,100))))&gt;0,IF(OR(M122="",NOT(ISNUMBER(M122))),0,MAX(0,MIN(24,(INT(VALUE(F122)/100)-INT(M122/100))*12+MOD(VALUE(F122),100)-MOD(M122,100))))&lt;=12),1+V8_LOCKOUT_AMP*EXP(-(IF(OR(M122="",NOT(ISNUMBER(M122))),0,MAX(0,MIN(24,(INT(VALUE(F122)/100)-INT(M122/100))*12+MOD(VALUE(F122),100)-MOD(M122,100)))))/V8_LOCKOUT_TAU),1)</f>
        <v/>
      </c>
      <c r="AE122" s="14">
        <f>MAX(V8_BURN_FLOOR,1-V8_BURN_SLOPE*MIN(1,MAX(0,O122)))</f>
        <v/>
      </c>
      <c r="AF122" s="15">
        <f>MIN(Z122*AB122*AC122*AD122*AE122,0.2)</f>
        <v/>
      </c>
      <c r="AG122" s="16">
        <f>1-(1-AF122)^12</f>
        <v/>
      </c>
    </row>
    <row r="123">
      <c r="A123" s="2" t="inlineStr">
        <is>
          <t>000012222294</t>
        </is>
      </c>
      <c r="B123" t="inlineStr">
        <is>
          <t>232</t>
        </is>
      </c>
      <c r="C123" t="inlineStr">
        <is>
          <t>RP</t>
        </is>
      </c>
      <c r="D123" t="inlineStr">
        <is>
          <t>MERCHANTS CAPITAL CORP.</t>
        </is>
      </c>
      <c r="E123" t="n">
        <v>2024</v>
      </c>
      <c r="F123" t="inlineStr">
        <is>
          <t>202602</t>
        </is>
      </c>
      <c r="G123" s="8" t="n">
        <v>36786426.13</v>
      </c>
      <c r="H123" s="12" t="n">
        <v>5.75</v>
      </c>
      <c r="I123" s="13" t="n">
        <v>447</v>
      </c>
      <c r="J123" s="13" t="n">
        <v>9</v>
      </c>
      <c r="K123" t="n">
        <v>21</v>
      </c>
      <c r="L123" t="n">
        <v>205906</v>
      </c>
      <c r="M123" t="inlineStr"/>
      <c r="N123" t="n">
        <v>1</v>
      </c>
      <c r="O123" s="14" t="n">
        <v>0.04761904761904762</v>
      </c>
      <c r="P123">
        <f>IF(ISNUMBER(SEARCH("232",B123)),"232",IF(ISNUMBER(SEARCH("538",B123)),"538",IF(ISNUMBER(SEARCH("223a7",B123)),"223a7",IF(ISNUMBER(SEARCH("223f",B123)),"223f","OTHER"))))</f>
        <v/>
      </c>
      <c r="Q123">
        <f>IF(UPPER(C123)="NC","NC","RP")</f>
        <v/>
      </c>
      <c r="R123">
        <f>IF(G123&lt;5000000,"small",IF(G123&lt;25000000,"medium","large"))</f>
        <v/>
      </c>
      <c r="S123">
        <f>P123&amp;"|"&amp;Q123&amp;"|"&amp;R123</f>
        <v/>
      </c>
      <c r="T123" s="13">
        <f>H123*100-I123</f>
        <v/>
      </c>
      <c r="U123" s="13">
        <f>T123-12.5*(J123+1)</f>
        <v/>
      </c>
      <c r="V123" s="15">
        <f>IFERROR(VLOOKUP(S123,V8_COHORT_TABLE,2,FALSE),IFERROR(VLOOKUP(P123&amp;"|"&amp;Q123&amp;"|ALL",V8_COHORT_TABLE,2,FALSE),IFERROR(VLOOKUP(P123&amp;"|ALL|ALL",V8_COHORT_TABLE,2,FALSE),VLOOKUP("GLOBAL",V8_COHORT_TABLE,2,FALSE))))</f>
        <v/>
      </c>
      <c r="W123" s="15">
        <f>IFERROR(VLOOKUP(S123,V8_COHORT_TABLE,3,FALSE),IFERROR(VLOOKUP(P123&amp;"|"&amp;Q123&amp;"|ALL",V8_COHORT_TABLE,3,FALSE),IFERROR(VLOOKUP(P123&amp;"|ALL|ALL",V8_COHORT_TABLE,3,FALSE),VLOOKUP("GLOBAL",V8_COHORT_TABLE,3,FALSE))))</f>
        <v/>
      </c>
      <c r="X123" s="15">
        <f>IFERROR(VLOOKUP(S123,V8_COHORT_TABLE,4,FALSE),IFERROR(VLOOKUP(P123&amp;"|"&amp;Q123&amp;"|ALL",V8_COHORT_TABLE,4,FALSE),IFERROR(VLOOKUP(P123&amp;"|ALL|ALL",V8_COHORT_TABLE,4,FALSE),VLOOKUP("GLOBAL",V8_COHORT_TABLE,4,FALSE))))</f>
        <v/>
      </c>
      <c r="Y123" s="15">
        <f>IFERROR(VLOOKUP(S123,V8_COHORT_TABLE,5,FALSE),IFERROR(VLOOKUP(P123&amp;"|"&amp;Q123&amp;"|ALL",V8_COHORT_TABLE,5,FALSE),IFERROR(VLOOKUP(P123&amp;"|ALL|ALL",V8_COHORT_TABLE,5,FALSE),VLOOKUP("GLOBAL",V8_COHORT_TABLE,5,FALSE))))</f>
        <v/>
      </c>
      <c r="Z123" s="15">
        <f>V123+W123/(1+EXP(-(U123-X123)/Y123))</f>
        <v/>
      </c>
      <c r="AA123" s="16">
        <f>1-(1-Z123)^12</f>
        <v/>
      </c>
      <c r="AB123" s="14">
        <f>IF(K123&lt;=V8_AGE_KNOT_X_0,V8_AGE_KNOT_Y_0,IF(K123&gt;=V8_AGE_KNOT_X_5,V8_AGE_KNOT_Y_5,IF(K123&lt;=V8_AGE_KNOT_X_1,V8_AGE_KNOT_Y_0+(K123-V8_AGE_KNOT_X_0)/(V8_AGE_KNOT_X_1-V8_AGE_KNOT_X_0)*(V8_AGE_KNOT_Y_1-V8_AGE_KNOT_Y_0),IF(K123&lt;=V8_AGE_KNOT_X_2,V8_AGE_KNOT_Y_1+(K123-V8_AGE_KNOT_X_1)/(V8_AGE_KNOT_X_2-V8_AGE_KNOT_X_1)*(V8_AGE_KNOT_Y_2-V8_AGE_KNOT_Y_1),IF(K123&lt;=V8_AGE_KNOT_X_3,V8_AGE_KNOT_Y_2+(K123-V8_AGE_KNOT_X_2)/(V8_AGE_KNOT_X_3-V8_AGE_KNOT_X_2)*(V8_AGE_KNOT_Y_3-V8_AGE_KNOT_Y_2),IF(K123&lt;=V8_AGE_KNOT_X_4,V8_AGE_KNOT_Y_3+(K123-V8_AGE_KNOT_X_3)/(V8_AGE_KNOT_X_4-V8_AGE_KNOT_X_3)*(V8_AGE_KNOT_Y_4-V8_AGE_KNOT_Y_3),V8_AGE_KNOT_Y_4+(K123-V8_AGE_KNOT_X_4)/(V8_AGE_KNOT_X_5-V8_AGE_KNOT_X_4)*(V8_AGE_KNOT_Y_5-V8_AGE_KNOT_Y_4)))))))</f>
        <v/>
      </c>
      <c r="AC123" s="14">
        <f>IF(IF(OR(L123="",NOT(ISNUMBER(L123))),360,MAX(0,MIN(480,(INT(L123/100)-INT(VALUE(F123)/100))*12+MOD(L123,100)-MOD(VALUE(F123),100))))&gt;0,1+V8_MTY_AMP*MAX(0,(V8_MTY_CUTOFF-(IF(OR(L123="",NOT(ISNUMBER(L123))),360,MAX(0,MIN(480,(INT(L123/100)-INT(VALUE(F123)/100))*12+MOD(L123,100)-MOD(VALUE(F123),100))))))/V8_MTY_CUTOFF),1)</f>
        <v/>
      </c>
      <c r="AD123" s="14">
        <f>IF(AND(IF(OR(M123="",NOT(ISNUMBER(M123))),0,MAX(0,MIN(24,(INT(VALUE(F123)/100)-INT(M123/100))*12+MOD(VALUE(F123),100)-MOD(M123,100))))&gt;0,IF(OR(M123="",NOT(ISNUMBER(M123))),0,MAX(0,MIN(24,(INT(VALUE(F123)/100)-INT(M123/100))*12+MOD(VALUE(F123),100)-MOD(M123,100))))&lt;=12),1+V8_LOCKOUT_AMP*EXP(-(IF(OR(M123="",NOT(ISNUMBER(M123))),0,MAX(0,MIN(24,(INT(VALUE(F123)/100)-INT(M123/100))*12+MOD(VALUE(F123),100)-MOD(M123,100)))))/V8_LOCKOUT_TAU),1)</f>
        <v/>
      </c>
      <c r="AE123" s="14">
        <f>MAX(V8_BURN_FLOOR,1-V8_BURN_SLOPE*MIN(1,MAX(0,O123)))</f>
        <v/>
      </c>
      <c r="AF123" s="15">
        <f>MIN(Z123*AB123*AC123*AD123*AE123,0.2)</f>
        <v/>
      </c>
      <c r="AG123" s="16">
        <f>1-(1-AF123)^12</f>
        <v/>
      </c>
    </row>
    <row r="124">
      <c r="A124" s="2" t="inlineStr">
        <is>
          <t>000007335768</t>
        </is>
      </c>
      <c r="B124" t="inlineStr">
        <is>
          <t>221d4</t>
        </is>
      </c>
      <c r="C124" t="inlineStr">
        <is>
          <t>NC</t>
        </is>
      </c>
      <c r="D124" t="inlineStr">
        <is>
          <t>MERCHANTS CAPITAL CORP.</t>
        </is>
      </c>
      <c r="E124" t="n">
        <v>2012</v>
      </c>
      <c r="F124" t="inlineStr">
        <is>
          <t>202602</t>
        </is>
      </c>
      <c r="G124" s="8" t="n">
        <v>18301336.04</v>
      </c>
      <c r="H124" s="12" t="n">
        <v>2.37</v>
      </c>
      <c r="I124" s="13" t="n">
        <v>447</v>
      </c>
      <c r="J124" s="13" t="n">
        <v>6</v>
      </c>
      <c r="K124" t="n">
        <v>158</v>
      </c>
      <c r="L124" t="n">
        <v>205401</v>
      </c>
      <c r="M124" t="inlineStr"/>
      <c r="N124" t="n">
        <v>0</v>
      </c>
      <c r="O124" s="14" t="n">
        <v>0</v>
      </c>
      <c r="P124">
        <f>IF(ISNUMBER(SEARCH("232",B124)),"232",IF(ISNUMBER(SEARCH("538",B124)),"538",IF(ISNUMBER(SEARCH("223a7",B124)),"223a7",IF(ISNUMBER(SEARCH("223f",B124)),"223f","OTHER"))))</f>
        <v/>
      </c>
      <c r="Q124">
        <f>IF(UPPER(C124)="NC","NC","RP")</f>
        <v/>
      </c>
      <c r="R124">
        <f>IF(G124&lt;5000000,"small",IF(G124&lt;25000000,"medium","large"))</f>
        <v/>
      </c>
      <c r="S124">
        <f>P124&amp;"|"&amp;Q124&amp;"|"&amp;R124</f>
        <v/>
      </c>
      <c r="T124" s="13">
        <f>H124*100-I124</f>
        <v/>
      </c>
      <c r="U124" s="13">
        <f>T124-12.5*(J124+1)</f>
        <v/>
      </c>
      <c r="V124" s="15">
        <f>IFERROR(VLOOKUP(S124,V8_COHORT_TABLE,2,FALSE),IFERROR(VLOOKUP(P124&amp;"|"&amp;Q124&amp;"|ALL",V8_COHORT_TABLE,2,FALSE),IFERROR(VLOOKUP(P124&amp;"|ALL|ALL",V8_COHORT_TABLE,2,FALSE),VLOOKUP("GLOBAL",V8_COHORT_TABLE,2,FALSE))))</f>
        <v/>
      </c>
      <c r="W124" s="15">
        <f>IFERROR(VLOOKUP(S124,V8_COHORT_TABLE,3,FALSE),IFERROR(VLOOKUP(P124&amp;"|"&amp;Q124&amp;"|ALL",V8_COHORT_TABLE,3,FALSE),IFERROR(VLOOKUP(P124&amp;"|ALL|ALL",V8_COHORT_TABLE,3,FALSE),VLOOKUP("GLOBAL",V8_COHORT_TABLE,3,FALSE))))</f>
        <v/>
      </c>
      <c r="X124" s="15">
        <f>IFERROR(VLOOKUP(S124,V8_COHORT_TABLE,4,FALSE),IFERROR(VLOOKUP(P124&amp;"|"&amp;Q124&amp;"|ALL",V8_COHORT_TABLE,4,FALSE),IFERROR(VLOOKUP(P124&amp;"|ALL|ALL",V8_COHORT_TABLE,4,FALSE),VLOOKUP("GLOBAL",V8_COHORT_TABLE,4,FALSE))))</f>
        <v/>
      </c>
      <c r="Y124" s="15">
        <f>IFERROR(VLOOKUP(S124,V8_COHORT_TABLE,5,FALSE),IFERROR(VLOOKUP(P124&amp;"|"&amp;Q124&amp;"|ALL",V8_COHORT_TABLE,5,FALSE),IFERROR(VLOOKUP(P124&amp;"|ALL|ALL",V8_COHORT_TABLE,5,FALSE),VLOOKUP("GLOBAL",V8_COHORT_TABLE,5,FALSE))))</f>
        <v/>
      </c>
      <c r="Z124" s="15">
        <f>V124+W124/(1+EXP(-(U124-X124)/Y124))</f>
        <v/>
      </c>
      <c r="AA124" s="16">
        <f>1-(1-Z124)^12</f>
        <v/>
      </c>
      <c r="AB124" s="14">
        <f>IF(K124&lt;=V8_AGE_KNOT_X_0,V8_AGE_KNOT_Y_0,IF(K124&gt;=V8_AGE_KNOT_X_5,V8_AGE_KNOT_Y_5,IF(K124&lt;=V8_AGE_KNOT_X_1,V8_AGE_KNOT_Y_0+(K124-V8_AGE_KNOT_X_0)/(V8_AGE_KNOT_X_1-V8_AGE_KNOT_X_0)*(V8_AGE_KNOT_Y_1-V8_AGE_KNOT_Y_0),IF(K124&lt;=V8_AGE_KNOT_X_2,V8_AGE_KNOT_Y_1+(K124-V8_AGE_KNOT_X_1)/(V8_AGE_KNOT_X_2-V8_AGE_KNOT_X_1)*(V8_AGE_KNOT_Y_2-V8_AGE_KNOT_Y_1),IF(K124&lt;=V8_AGE_KNOT_X_3,V8_AGE_KNOT_Y_2+(K124-V8_AGE_KNOT_X_2)/(V8_AGE_KNOT_X_3-V8_AGE_KNOT_X_2)*(V8_AGE_KNOT_Y_3-V8_AGE_KNOT_Y_2),IF(K124&lt;=V8_AGE_KNOT_X_4,V8_AGE_KNOT_Y_3+(K124-V8_AGE_KNOT_X_3)/(V8_AGE_KNOT_X_4-V8_AGE_KNOT_X_3)*(V8_AGE_KNOT_Y_4-V8_AGE_KNOT_Y_3),V8_AGE_KNOT_Y_4+(K124-V8_AGE_KNOT_X_4)/(V8_AGE_KNOT_X_5-V8_AGE_KNOT_X_4)*(V8_AGE_KNOT_Y_5-V8_AGE_KNOT_Y_4)))))))</f>
        <v/>
      </c>
      <c r="AC124" s="14">
        <f>IF(IF(OR(L124="",NOT(ISNUMBER(L124))),360,MAX(0,MIN(480,(INT(L124/100)-INT(VALUE(F124)/100))*12+MOD(L124,100)-MOD(VALUE(F124),100))))&gt;0,1+V8_MTY_AMP*MAX(0,(V8_MTY_CUTOFF-(IF(OR(L124="",NOT(ISNUMBER(L124))),360,MAX(0,MIN(480,(INT(L124/100)-INT(VALUE(F124)/100))*12+MOD(L124,100)-MOD(VALUE(F124),100))))))/V8_MTY_CUTOFF),1)</f>
        <v/>
      </c>
      <c r="AD124" s="14">
        <f>IF(AND(IF(OR(M124="",NOT(ISNUMBER(M124))),0,MAX(0,MIN(24,(INT(VALUE(F124)/100)-INT(M124/100))*12+MOD(VALUE(F124),100)-MOD(M124,100))))&gt;0,IF(OR(M124="",NOT(ISNUMBER(M124))),0,MAX(0,MIN(24,(INT(VALUE(F124)/100)-INT(M124/100))*12+MOD(VALUE(F124),100)-MOD(M124,100))))&lt;=12),1+V8_LOCKOUT_AMP*EXP(-(IF(OR(M124="",NOT(ISNUMBER(M124))),0,MAX(0,MIN(24,(INT(VALUE(F124)/100)-INT(M124/100))*12+MOD(VALUE(F124),100)-MOD(M124,100)))))/V8_LOCKOUT_TAU),1)</f>
        <v/>
      </c>
      <c r="AE124" s="14">
        <f>MAX(V8_BURN_FLOOR,1-V8_BURN_SLOPE*MIN(1,MAX(0,O124)))</f>
        <v/>
      </c>
      <c r="AF124" s="15">
        <f>MIN(Z124*AB124*AC124*AD124*AE124,0.2)</f>
        <v/>
      </c>
      <c r="AG124" s="16">
        <f>1-(1-AF124)^12</f>
        <v/>
      </c>
    </row>
    <row r="125">
      <c r="A125" s="2" t="inlineStr">
        <is>
          <t>012645395099</t>
        </is>
      </c>
      <c r="B125" t="inlineStr">
        <is>
          <t>538</t>
        </is>
      </c>
      <c r="C125" t="inlineStr">
        <is>
          <t>538</t>
        </is>
      </c>
      <c r="D125" t="inlineStr">
        <is>
          <t>MERCHANTS CAPITAL CORP.</t>
        </is>
      </c>
      <c r="E125" t="n">
        <v>2019</v>
      </c>
      <c r="F125" t="inlineStr">
        <is>
          <t>202602</t>
        </is>
      </c>
      <c r="G125" s="8" t="n">
        <v>1122425.57</v>
      </c>
      <c r="H125" s="12" t="n">
        <v>4.55</v>
      </c>
      <c r="I125" s="13" t="n">
        <v>447</v>
      </c>
      <c r="J125" s="13" t="n">
        <v>6</v>
      </c>
      <c r="K125" t="n">
        <v>82</v>
      </c>
      <c r="L125" t="n">
        <v>205904</v>
      </c>
      <c r="M125" t="inlineStr"/>
      <c r="N125" t="n">
        <v>13</v>
      </c>
      <c r="O125" s="14" t="n">
        <v>0.1585365853658537</v>
      </c>
      <c r="P125">
        <f>IF(ISNUMBER(SEARCH("232",B125)),"232",IF(ISNUMBER(SEARCH("538",B125)),"538",IF(ISNUMBER(SEARCH("223a7",B125)),"223a7",IF(ISNUMBER(SEARCH("223f",B125)),"223f","OTHER"))))</f>
        <v/>
      </c>
      <c r="Q125">
        <f>IF(UPPER(C125)="NC","NC","RP")</f>
        <v/>
      </c>
      <c r="R125">
        <f>IF(G125&lt;5000000,"small",IF(G125&lt;25000000,"medium","large"))</f>
        <v/>
      </c>
      <c r="S125">
        <f>P125&amp;"|"&amp;Q125&amp;"|"&amp;R125</f>
        <v/>
      </c>
      <c r="T125" s="13">
        <f>H125*100-I125</f>
        <v/>
      </c>
      <c r="U125" s="13">
        <f>T125-12.5*(J125+1)</f>
        <v/>
      </c>
      <c r="V125" s="15">
        <f>IFERROR(VLOOKUP(S125,V8_COHORT_TABLE,2,FALSE),IFERROR(VLOOKUP(P125&amp;"|"&amp;Q125&amp;"|ALL",V8_COHORT_TABLE,2,FALSE),IFERROR(VLOOKUP(P125&amp;"|ALL|ALL",V8_COHORT_TABLE,2,FALSE),VLOOKUP("GLOBAL",V8_COHORT_TABLE,2,FALSE))))</f>
        <v/>
      </c>
      <c r="W125" s="15">
        <f>IFERROR(VLOOKUP(S125,V8_COHORT_TABLE,3,FALSE),IFERROR(VLOOKUP(P125&amp;"|"&amp;Q125&amp;"|ALL",V8_COHORT_TABLE,3,FALSE),IFERROR(VLOOKUP(P125&amp;"|ALL|ALL",V8_COHORT_TABLE,3,FALSE),VLOOKUP("GLOBAL",V8_COHORT_TABLE,3,FALSE))))</f>
        <v/>
      </c>
      <c r="X125" s="15">
        <f>IFERROR(VLOOKUP(S125,V8_COHORT_TABLE,4,FALSE),IFERROR(VLOOKUP(P125&amp;"|"&amp;Q125&amp;"|ALL",V8_COHORT_TABLE,4,FALSE),IFERROR(VLOOKUP(P125&amp;"|ALL|ALL",V8_COHORT_TABLE,4,FALSE),VLOOKUP("GLOBAL",V8_COHORT_TABLE,4,FALSE))))</f>
        <v/>
      </c>
      <c r="Y125" s="15">
        <f>IFERROR(VLOOKUP(S125,V8_COHORT_TABLE,5,FALSE),IFERROR(VLOOKUP(P125&amp;"|"&amp;Q125&amp;"|ALL",V8_COHORT_TABLE,5,FALSE),IFERROR(VLOOKUP(P125&amp;"|ALL|ALL",V8_COHORT_TABLE,5,FALSE),VLOOKUP("GLOBAL",V8_COHORT_TABLE,5,FALSE))))</f>
        <v/>
      </c>
      <c r="Z125" s="15">
        <f>V125+W125/(1+EXP(-(U125-X125)/Y125))</f>
        <v/>
      </c>
      <c r="AA125" s="16">
        <f>1-(1-Z125)^12</f>
        <v/>
      </c>
      <c r="AB125" s="14">
        <f>IF(K125&lt;=V8_AGE_KNOT_X_0,V8_AGE_KNOT_Y_0,IF(K125&gt;=V8_AGE_KNOT_X_5,V8_AGE_KNOT_Y_5,IF(K125&lt;=V8_AGE_KNOT_X_1,V8_AGE_KNOT_Y_0+(K125-V8_AGE_KNOT_X_0)/(V8_AGE_KNOT_X_1-V8_AGE_KNOT_X_0)*(V8_AGE_KNOT_Y_1-V8_AGE_KNOT_Y_0),IF(K125&lt;=V8_AGE_KNOT_X_2,V8_AGE_KNOT_Y_1+(K125-V8_AGE_KNOT_X_1)/(V8_AGE_KNOT_X_2-V8_AGE_KNOT_X_1)*(V8_AGE_KNOT_Y_2-V8_AGE_KNOT_Y_1),IF(K125&lt;=V8_AGE_KNOT_X_3,V8_AGE_KNOT_Y_2+(K125-V8_AGE_KNOT_X_2)/(V8_AGE_KNOT_X_3-V8_AGE_KNOT_X_2)*(V8_AGE_KNOT_Y_3-V8_AGE_KNOT_Y_2),IF(K125&lt;=V8_AGE_KNOT_X_4,V8_AGE_KNOT_Y_3+(K125-V8_AGE_KNOT_X_3)/(V8_AGE_KNOT_X_4-V8_AGE_KNOT_X_3)*(V8_AGE_KNOT_Y_4-V8_AGE_KNOT_Y_3),V8_AGE_KNOT_Y_4+(K125-V8_AGE_KNOT_X_4)/(V8_AGE_KNOT_X_5-V8_AGE_KNOT_X_4)*(V8_AGE_KNOT_Y_5-V8_AGE_KNOT_Y_4)))))))</f>
        <v/>
      </c>
      <c r="AC125" s="14">
        <f>IF(IF(OR(L125="",NOT(ISNUMBER(L125))),360,MAX(0,MIN(480,(INT(L125/100)-INT(VALUE(F125)/100))*12+MOD(L125,100)-MOD(VALUE(F125),100))))&gt;0,1+V8_MTY_AMP*MAX(0,(V8_MTY_CUTOFF-(IF(OR(L125="",NOT(ISNUMBER(L125))),360,MAX(0,MIN(480,(INT(L125/100)-INT(VALUE(F125)/100))*12+MOD(L125,100)-MOD(VALUE(F125),100))))))/V8_MTY_CUTOFF),1)</f>
        <v/>
      </c>
      <c r="AD125" s="14">
        <f>IF(AND(IF(OR(M125="",NOT(ISNUMBER(M125))),0,MAX(0,MIN(24,(INT(VALUE(F125)/100)-INT(M125/100))*12+MOD(VALUE(F125),100)-MOD(M125,100))))&gt;0,IF(OR(M125="",NOT(ISNUMBER(M125))),0,MAX(0,MIN(24,(INT(VALUE(F125)/100)-INT(M125/100))*12+MOD(VALUE(F125),100)-MOD(M125,100))))&lt;=12),1+V8_LOCKOUT_AMP*EXP(-(IF(OR(M125="",NOT(ISNUMBER(M125))),0,MAX(0,MIN(24,(INT(VALUE(F125)/100)-INT(M125/100))*12+MOD(VALUE(F125),100)-MOD(M125,100)))))/V8_LOCKOUT_TAU),1)</f>
        <v/>
      </c>
      <c r="AE125" s="14">
        <f>MAX(V8_BURN_FLOOR,1-V8_BURN_SLOPE*MIN(1,MAX(0,O125)))</f>
        <v/>
      </c>
      <c r="AF125" s="15">
        <f>MIN(Z125*AB125*AC125*AD125*AE125,0.2)</f>
        <v/>
      </c>
      <c r="AG125" s="16">
        <f>1-(1-AF125)^12</f>
        <v/>
      </c>
    </row>
    <row r="126">
      <c r="A126" s="2" t="inlineStr">
        <is>
          <t>000007311982</t>
        </is>
      </c>
      <c r="B126" t="inlineStr">
        <is>
          <t>223f</t>
        </is>
      </c>
      <c r="C126" t="inlineStr">
        <is>
          <t>RP</t>
        </is>
      </c>
      <c r="D126" t="inlineStr">
        <is>
          <t>MERCHANTS CAPITAL SERVICING LLC</t>
        </is>
      </c>
      <c r="E126" t="n">
        <v>2020</v>
      </c>
      <c r="F126" t="inlineStr">
        <is>
          <t>202602</t>
        </is>
      </c>
      <c r="G126" s="8" t="n">
        <v>14899055.27</v>
      </c>
      <c r="H126" s="12" t="n">
        <v>3</v>
      </c>
      <c r="I126" s="13" t="n">
        <v>447</v>
      </c>
      <c r="J126" s="13" t="n">
        <v>5</v>
      </c>
      <c r="K126" t="n">
        <v>72</v>
      </c>
      <c r="L126" t="n">
        <v>205503</v>
      </c>
      <c r="M126" t="inlineStr"/>
      <c r="N126" t="n">
        <v>9</v>
      </c>
      <c r="O126" s="14" t="n">
        <v>0.125</v>
      </c>
      <c r="P126">
        <f>IF(ISNUMBER(SEARCH("232",B126)),"232",IF(ISNUMBER(SEARCH("538",B126)),"538",IF(ISNUMBER(SEARCH("223a7",B126)),"223a7",IF(ISNUMBER(SEARCH("223f",B126)),"223f","OTHER"))))</f>
        <v/>
      </c>
      <c r="Q126">
        <f>IF(UPPER(C126)="NC","NC","RP")</f>
        <v/>
      </c>
      <c r="R126">
        <f>IF(G126&lt;5000000,"small",IF(G126&lt;25000000,"medium","large"))</f>
        <v/>
      </c>
      <c r="S126">
        <f>P126&amp;"|"&amp;Q126&amp;"|"&amp;R126</f>
        <v/>
      </c>
      <c r="T126" s="13">
        <f>H126*100-I126</f>
        <v/>
      </c>
      <c r="U126" s="13">
        <f>T126-12.5*(J126+1)</f>
        <v/>
      </c>
      <c r="V126" s="15">
        <f>IFERROR(VLOOKUP(S126,V8_COHORT_TABLE,2,FALSE),IFERROR(VLOOKUP(P126&amp;"|"&amp;Q126&amp;"|ALL",V8_COHORT_TABLE,2,FALSE),IFERROR(VLOOKUP(P126&amp;"|ALL|ALL",V8_COHORT_TABLE,2,FALSE),VLOOKUP("GLOBAL",V8_COHORT_TABLE,2,FALSE))))</f>
        <v/>
      </c>
      <c r="W126" s="15">
        <f>IFERROR(VLOOKUP(S126,V8_COHORT_TABLE,3,FALSE),IFERROR(VLOOKUP(P126&amp;"|"&amp;Q126&amp;"|ALL",V8_COHORT_TABLE,3,FALSE),IFERROR(VLOOKUP(P126&amp;"|ALL|ALL",V8_COHORT_TABLE,3,FALSE),VLOOKUP("GLOBAL",V8_COHORT_TABLE,3,FALSE))))</f>
        <v/>
      </c>
      <c r="X126" s="15">
        <f>IFERROR(VLOOKUP(S126,V8_COHORT_TABLE,4,FALSE),IFERROR(VLOOKUP(P126&amp;"|"&amp;Q126&amp;"|ALL",V8_COHORT_TABLE,4,FALSE),IFERROR(VLOOKUP(P126&amp;"|ALL|ALL",V8_COHORT_TABLE,4,FALSE),VLOOKUP("GLOBAL",V8_COHORT_TABLE,4,FALSE))))</f>
        <v/>
      </c>
      <c r="Y126" s="15">
        <f>IFERROR(VLOOKUP(S126,V8_COHORT_TABLE,5,FALSE),IFERROR(VLOOKUP(P126&amp;"|"&amp;Q126&amp;"|ALL",V8_COHORT_TABLE,5,FALSE),IFERROR(VLOOKUP(P126&amp;"|ALL|ALL",V8_COHORT_TABLE,5,FALSE),VLOOKUP("GLOBAL",V8_COHORT_TABLE,5,FALSE))))</f>
        <v/>
      </c>
      <c r="Z126" s="15">
        <f>V126+W126/(1+EXP(-(U126-X126)/Y126))</f>
        <v/>
      </c>
      <c r="AA126" s="16">
        <f>1-(1-Z126)^12</f>
        <v/>
      </c>
      <c r="AB126" s="14">
        <f>IF(K126&lt;=V8_AGE_KNOT_X_0,V8_AGE_KNOT_Y_0,IF(K126&gt;=V8_AGE_KNOT_X_5,V8_AGE_KNOT_Y_5,IF(K126&lt;=V8_AGE_KNOT_X_1,V8_AGE_KNOT_Y_0+(K126-V8_AGE_KNOT_X_0)/(V8_AGE_KNOT_X_1-V8_AGE_KNOT_X_0)*(V8_AGE_KNOT_Y_1-V8_AGE_KNOT_Y_0),IF(K126&lt;=V8_AGE_KNOT_X_2,V8_AGE_KNOT_Y_1+(K126-V8_AGE_KNOT_X_1)/(V8_AGE_KNOT_X_2-V8_AGE_KNOT_X_1)*(V8_AGE_KNOT_Y_2-V8_AGE_KNOT_Y_1),IF(K126&lt;=V8_AGE_KNOT_X_3,V8_AGE_KNOT_Y_2+(K126-V8_AGE_KNOT_X_2)/(V8_AGE_KNOT_X_3-V8_AGE_KNOT_X_2)*(V8_AGE_KNOT_Y_3-V8_AGE_KNOT_Y_2),IF(K126&lt;=V8_AGE_KNOT_X_4,V8_AGE_KNOT_Y_3+(K126-V8_AGE_KNOT_X_3)/(V8_AGE_KNOT_X_4-V8_AGE_KNOT_X_3)*(V8_AGE_KNOT_Y_4-V8_AGE_KNOT_Y_3),V8_AGE_KNOT_Y_4+(K126-V8_AGE_KNOT_X_4)/(V8_AGE_KNOT_X_5-V8_AGE_KNOT_X_4)*(V8_AGE_KNOT_Y_5-V8_AGE_KNOT_Y_4)))))))</f>
        <v/>
      </c>
      <c r="AC126" s="14">
        <f>IF(IF(OR(L126="",NOT(ISNUMBER(L126))),360,MAX(0,MIN(480,(INT(L126/100)-INT(VALUE(F126)/100))*12+MOD(L126,100)-MOD(VALUE(F126),100))))&gt;0,1+V8_MTY_AMP*MAX(0,(V8_MTY_CUTOFF-(IF(OR(L126="",NOT(ISNUMBER(L126))),360,MAX(0,MIN(480,(INT(L126/100)-INT(VALUE(F126)/100))*12+MOD(L126,100)-MOD(VALUE(F126),100))))))/V8_MTY_CUTOFF),1)</f>
        <v/>
      </c>
      <c r="AD126" s="14">
        <f>IF(AND(IF(OR(M126="",NOT(ISNUMBER(M126))),0,MAX(0,MIN(24,(INT(VALUE(F126)/100)-INT(M126/100))*12+MOD(VALUE(F126),100)-MOD(M126,100))))&gt;0,IF(OR(M126="",NOT(ISNUMBER(M126))),0,MAX(0,MIN(24,(INT(VALUE(F126)/100)-INT(M126/100))*12+MOD(VALUE(F126),100)-MOD(M126,100))))&lt;=12),1+V8_LOCKOUT_AMP*EXP(-(IF(OR(M126="",NOT(ISNUMBER(M126))),0,MAX(0,MIN(24,(INT(VALUE(F126)/100)-INT(M126/100))*12+MOD(VALUE(F126),100)-MOD(M126,100)))))/V8_LOCKOUT_TAU),1)</f>
        <v/>
      </c>
      <c r="AE126" s="14">
        <f>MAX(V8_BURN_FLOOR,1-V8_BURN_SLOPE*MIN(1,MAX(0,O126)))</f>
        <v/>
      </c>
      <c r="AF126" s="15">
        <f>MIN(Z126*AB126*AC126*AD126*AE126,0.2)</f>
        <v/>
      </c>
      <c r="AG126" s="16">
        <f>1-(1-AF126)^12</f>
        <v/>
      </c>
    </row>
    <row r="127">
      <c r="A127" s="2" t="inlineStr">
        <is>
          <t>000004211222</t>
        </is>
      </c>
      <c r="B127" t="inlineStr">
        <is>
          <t>223f</t>
        </is>
      </c>
      <c r="C127" t="inlineStr">
        <is>
          <t>RP</t>
        </is>
      </c>
      <c r="D127" t="inlineStr">
        <is>
          <t>MERCHANTS CAPITAL SERVICING LLC</t>
        </is>
      </c>
      <c r="E127" t="n">
        <v>2013</v>
      </c>
      <c r="F127" t="inlineStr">
        <is>
          <t>202602</t>
        </is>
      </c>
      <c r="G127" s="8" t="n">
        <v>1650551.67</v>
      </c>
      <c r="H127" s="12" t="n">
        <v>3.75</v>
      </c>
      <c r="I127" s="13" t="n">
        <v>447</v>
      </c>
      <c r="J127" s="13" t="n">
        <v>0</v>
      </c>
      <c r="K127" t="n">
        <v>155</v>
      </c>
      <c r="L127" t="n">
        <v>204804</v>
      </c>
      <c r="M127" t="inlineStr"/>
      <c r="N127" t="n">
        <v>37</v>
      </c>
      <c r="O127" s="14" t="n">
        <v>0.2387096774193548</v>
      </c>
      <c r="P127">
        <f>IF(ISNUMBER(SEARCH("232",B127)),"232",IF(ISNUMBER(SEARCH("538",B127)),"538",IF(ISNUMBER(SEARCH("223a7",B127)),"223a7",IF(ISNUMBER(SEARCH("223f",B127)),"223f","OTHER"))))</f>
        <v/>
      </c>
      <c r="Q127">
        <f>IF(UPPER(C127)="NC","NC","RP")</f>
        <v/>
      </c>
      <c r="R127">
        <f>IF(G127&lt;5000000,"small",IF(G127&lt;25000000,"medium","large"))</f>
        <v/>
      </c>
      <c r="S127">
        <f>P127&amp;"|"&amp;Q127&amp;"|"&amp;R127</f>
        <v/>
      </c>
      <c r="T127" s="13">
        <f>H127*100-I127</f>
        <v/>
      </c>
      <c r="U127" s="13">
        <f>T127-12.5*(J127+1)</f>
        <v/>
      </c>
      <c r="V127" s="15">
        <f>IFERROR(VLOOKUP(S127,V8_COHORT_TABLE,2,FALSE),IFERROR(VLOOKUP(P127&amp;"|"&amp;Q127&amp;"|ALL",V8_COHORT_TABLE,2,FALSE),IFERROR(VLOOKUP(P127&amp;"|ALL|ALL",V8_COHORT_TABLE,2,FALSE),VLOOKUP("GLOBAL",V8_COHORT_TABLE,2,FALSE))))</f>
        <v/>
      </c>
      <c r="W127" s="15">
        <f>IFERROR(VLOOKUP(S127,V8_COHORT_TABLE,3,FALSE),IFERROR(VLOOKUP(P127&amp;"|"&amp;Q127&amp;"|ALL",V8_COHORT_TABLE,3,FALSE),IFERROR(VLOOKUP(P127&amp;"|ALL|ALL",V8_COHORT_TABLE,3,FALSE),VLOOKUP("GLOBAL",V8_COHORT_TABLE,3,FALSE))))</f>
        <v/>
      </c>
      <c r="X127" s="15">
        <f>IFERROR(VLOOKUP(S127,V8_COHORT_TABLE,4,FALSE),IFERROR(VLOOKUP(P127&amp;"|"&amp;Q127&amp;"|ALL",V8_COHORT_TABLE,4,FALSE),IFERROR(VLOOKUP(P127&amp;"|ALL|ALL",V8_COHORT_TABLE,4,FALSE),VLOOKUP("GLOBAL",V8_COHORT_TABLE,4,FALSE))))</f>
        <v/>
      </c>
      <c r="Y127" s="15">
        <f>IFERROR(VLOOKUP(S127,V8_COHORT_TABLE,5,FALSE),IFERROR(VLOOKUP(P127&amp;"|"&amp;Q127&amp;"|ALL",V8_COHORT_TABLE,5,FALSE),IFERROR(VLOOKUP(P127&amp;"|ALL|ALL",V8_COHORT_TABLE,5,FALSE),VLOOKUP("GLOBAL",V8_COHORT_TABLE,5,FALSE))))</f>
        <v/>
      </c>
      <c r="Z127" s="15">
        <f>V127+W127/(1+EXP(-(U127-X127)/Y127))</f>
        <v/>
      </c>
      <c r="AA127" s="16">
        <f>1-(1-Z127)^12</f>
        <v/>
      </c>
      <c r="AB127" s="14">
        <f>IF(K127&lt;=V8_AGE_KNOT_X_0,V8_AGE_KNOT_Y_0,IF(K127&gt;=V8_AGE_KNOT_X_5,V8_AGE_KNOT_Y_5,IF(K127&lt;=V8_AGE_KNOT_X_1,V8_AGE_KNOT_Y_0+(K127-V8_AGE_KNOT_X_0)/(V8_AGE_KNOT_X_1-V8_AGE_KNOT_X_0)*(V8_AGE_KNOT_Y_1-V8_AGE_KNOT_Y_0),IF(K127&lt;=V8_AGE_KNOT_X_2,V8_AGE_KNOT_Y_1+(K127-V8_AGE_KNOT_X_1)/(V8_AGE_KNOT_X_2-V8_AGE_KNOT_X_1)*(V8_AGE_KNOT_Y_2-V8_AGE_KNOT_Y_1),IF(K127&lt;=V8_AGE_KNOT_X_3,V8_AGE_KNOT_Y_2+(K127-V8_AGE_KNOT_X_2)/(V8_AGE_KNOT_X_3-V8_AGE_KNOT_X_2)*(V8_AGE_KNOT_Y_3-V8_AGE_KNOT_Y_2),IF(K127&lt;=V8_AGE_KNOT_X_4,V8_AGE_KNOT_Y_3+(K127-V8_AGE_KNOT_X_3)/(V8_AGE_KNOT_X_4-V8_AGE_KNOT_X_3)*(V8_AGE_KNOT_Y_4-V8_AGE_KNOT_Y_3),V8_AGE_KNOT_Y_4+(K127-V8_AGE_KNOT_X_4)/(V8_AGE_KNOT_X_5-V8_AGE_KNOT_X_4)*(V8_AGE_KNOT_Y_5-V8_AGE_KNOT_Y_4)))))))</f>
        <v/>
      </c>
      <c r="AC127" s="14">
        <f>IF(IF(OR(L127="",NOT(ISNUMBER(L127))),360,MAX(0,MIN(480,(INT(L127/100)-INT(VALUE(F127)/100))*12+MOD(L127,100)-MOD(VALUE(F127),100))))&gt;0,1+V8_MTY_AMP*MAX(0,(V8_MTY_CUTOFF-(IF(OR(L127="",NOT(ISNUMBER(L127))),360,MAX(0,MIN(480,(INT(L127/100)-INT(VALUE(F127)/100))*12+MOD(L127,100)-MOD(VALUE(F127),100))))))/V8_MTY_CUTOFF),1)</f>
        <v/>
      </c>
      <c r="AD127" s="14">
        <f>IF(AND(IF(OR(M127="",NOT(ISNUMBER(M127))),0,MAX(0,MIN(24,(INT(VALUE(F127)/100)-INT(M127/100))*12+MOD(VALUE(F127),100)-MOD(M127,100))))&gt;0,IF(OR(M127="",NOT(ISNUMBER(M127))),0,MAX(0,MIN(24,(INT(VALUE(F127)/100)-INT(M127/100))*12+MOD(VALUE(F127),100)-MOD(M127,100))))&lt;=12),1+V8_LOCKOUT_AMP*EXP(-(IF(OR(M127="",NOT(ISNUMBER(M127))),0,MAX(0,MIN(24,(INT(VALUE(F127)/100)-INT(M127/100))*12+MOD(VALUE(F127),100)-MOD(M127,100)))))/V8_LOCKOUT_TAU),1)</f>
        <v/>
      </c>
      <c r="AE127" s="14">
        <f>MAX(V8_BURN_FLOOR,1-V8_BURN_SLOPE*MIN(1,MAX(0,O127)))</f>
        <v/>
      </c>
      <c r="AF127" s="15">
        <f>MIN(Z127*AB127*AC127*AD127*AE127,0.2)</f>
        <v/>
      </c>
      <c r="AG127" s="16">
        <f>1-(1-AF127)^12</f>
        <v/>
      </c>
    </row>
    <row r="128">
      <c r="A128" s="2" t="inlineStr">
        <is>
          <t>000008335751</t>
        </is>
      </c>
      <c r="B128" t="inlineStr">
        <is>
          <t>221d4</t>
        </is>
      </c>
      <c r="C128" t="inlineStr">
        <is>
          <t>NC</t>
        </is>
      </c>
      <c r="D128" t="inlineStr">
        <is>
          <t>MERCHANTS CAPITAL CORP.</t>
        </is>
      </c>
      <c r="E128" t="n">
        <v>2018</v>
      </c>
      <c r="F128" t="inlineStr">
        <is>
          <t>202602</t>
        </is>
      </c>
      <c r="G128" s="8" t="n">
        <v>33199053.07</v>
      </c>
      <c r="H128" s="12" t="n">
        <v>3.64</v>
      </c>
      <c r="I128" s="13" t="n">
        <v>447</v>
      </c>
      <c r="J128" s="13" t="n">
        <v>7</v>
      </c>
      <c r="K128" t="n">
        <v>95</v>
      </c>
      <c r="L128" t="n">
        <v>206004</v>
      </c>
      <c r="M128" t="n">
        <v>202206</v>
      </c>
      <c r="N128" t="n">
        <v>8</v>
      </c>
      <c r="O128" s="14" t="n">
        <v>0.08421052631578947</v>
      </c>
      <c r="P128">
        <f>IF(ISNUMBER(SEARCH("232",B128)),"232",IF(ISNUMBER(SEARCH("538",B128)),"538",IF(ISNUMBER(SEARCH("223a7",B128)),"223a7",IF(ISNUMBER(SEARCH("223f",B128)),"223f","OTHER"))))</f>
        <v/>
      </c>
      <c r="Q128">
        <f>IF(UPPER(C128)="NC","NC","RP")</f>
        <v/>
      </c>
      <c r="R128">
        <f>IF(G128&lt;5000000,"small",IF(G128&lt;25000000,"medium","large"))</f>
        <v/>
      </c>
      <c r="S128">
        <f>P128&amp;"|"&amp;Q128&amp;"|"&amp;R128</f>
        <v/>
      </c>
      <c r="T128" s="13">
        <f>H128*100-I128</f>
        <v/>
      </c>
      <c r="U128" s="13">
        <f>T128-12.5*(J128+1)</f>
        <v/>
      </c>
      <c r="V128" s="15">
        <f>IFERROR(VLOOKUP(S128,V8_COHORT_TABLE,2,FALSE),IFERROR(VLOOKUP(P128&amp;"|"&amp;Q128&amp;"|ALL",V8_COHORT_TABLE,2,FALSE),IFERROR(VLOOKUP(P128&amp;"|ALL|ALL",V8_COHORT_TABLE,2,FALSE),VLOOKUP("GLOBAL",V8_COHORT_TABLE,2,FALSE))))</f>
        <v/>
      </c>
      <c r="W128" s="15">
        <f>IFERROR(VLOOKUP(S128,V8_COHORT_TABLE,3,FALSE),IFERROR(VLOOKUP(P128&amp;"|"&amp;Q128&amp;"|ALL",V8_COHORT_TABLE,3,FALSE),IFERROR(VLOOKUP(P128&amp;"|ALL|ALL",V8_COHORT_TABLE,3,FALSE),VLOOKUP("GLOBAL",V8_COHORT_TABLE,3,FALSE))))</f>
        <v/>
      </c>
      <c r="X128" s="15">
        <f>IFERROR(VLOOKUP(S128,V8_COHORT_TABLE,4,FALSE),IFERROR(VLOOKUP(P128&amp;"|"&amp;Q128&amp;"|ALL",V8_COHORT_TABLE,4,FALSE),IFERROR(VLOOKUP(P128&amp;"|ALL|ALL",V8_COHORT_TABLE,4,FALSE),VLOOKUP("GLOBAL",V8_COHORT_TABLE,4,FALSE))))</f>
        <v/>
      </c>
      <c r="Y128" s="15">
        <f>IFERROR(VLOOKUP(S128,V8_COHORT_TABLE,5,FALSE),IFERROR(VLOOKUP(P128&amp;"|"&amp;Q128&amp;"|ALL",V8_COHORT_TABLE,5,FALSE),IFERROR(VLOOKUP(P128&amp;"|ALL|ALL",V8_COHORT_TABLE,5,FALSE),VLOOKUP("GLOBAL",V8_COHORT_TABLE,5,FALSE))))</f>
        <v/>
      </c>
      <c r="Z128" s="15">
        <f>V128+W128/(1+EXP(-(U128-X128)/Y128))</f>
        <v/>
      </c>
      <c r="AA128" s="16">
        <f>1-(1-Z128)^12</f>
        <v/>
      </c>
      <c r="AB128" s="14">
        <f>IF(K128&lt;=V8_AGE_KNOT_X_0,V8_AGE_KNOT_Y_0,IF(K128&gt;=V8_AGE_KNOT_X_5,V8_AGE_KNOT_Y_5,IF(K128&lt;=V8_AGE_KNOT_X_1,V8_AGE_KNOT_Y_0+(K128-V8_AGE_KNOT_X_0)/(V8_AGE_KNOT_X_1-V8_AGE_KNOT_X_0)*(V8_AGE_KNOT_Y_1-V8_AGE_KNOT_Y_0),IF(K128&lt;=V8_AGE_KNOT_X_2,V8_AGE_KNOT_Y_1+(K128-V8_AGE_KNOT_X_1)/(V8_AGE_KNOT_X_2-V8_AGE_KNOT_X_1)*(V8_AGE_KNOT_Y_2-V8_AGE_KNOT_Y_1),IF(K128&lt;=V8_AGE_KNOT_X_3,V8_AGE_KNOT_Y_2+(K128-V8_AGE_KNOT_X_2)/(V8_AGE_KNOT_X_3-V8_AGE_KNOT_X_2)*(V8_AGE_KNOT_Y_3-V8_AGE_KNOT_Y_2),IF(K128&lt;=V8_AGE_KNOT_X_4,V8_AGE_KNOT_Y_3+(K128-V8_AGE_KNOT_X_3)/(V8_AGE_KNOT_X_4-V8_AGE_KNOT_X_3)*(V8_AGE_KNOT_Y_4-V8_AGE_KNOT_Y_3),V8_AGE_KNOT_Y_4+(K128-V8_AGE_KNOT_X_4)/(V8_AGE_KNOT_X_5-V8_AGE_KNOT_X_4)*(V8_AGE_KNOT_Y_5-V8_AGE_KNOT_Y_4)))))))</f>
        <v/>
      </c>
      <c r="AC128" s="14">
        <f>IF(IF(OR(L128="",NOT(ISNUMBER(L128))),360,MAX(0,MIN(480,(INT(L128/100)-INT(VALUE(F128)/100))*12+MOD(L128,100)-MOD(VALUE(F128),100))))&gt;0,1+V8_MTY_AMP*MAX(0,(V8_MTY_CUTOFF-(IF(OR(L128="",NOT(ISNUMBER(L128))),360,MAX(0,MIN(480,(INT(L128/100)-INT(VALUE(F128)/100))*12+MOD(L128,100)-MOD(VALUE(F128),100))))))/V8_MTY_CUTOFF),1)</f>
        <v/>
      </c>
      <c r="AD128" s="14">
        <f>IF(AND(IF(OR(M128="",NOT(ISNUMBER(M128))),0,MAX(0,MIN(24,(INT(VALUE(F128)/100)-INT(M128/100))*12+MOD(VALUE(F128),100)-MOD(M128,100))))&gt;0,IF(OR(M128="",NOT(ISNUMBER(M128))),0,MAX(0,MIN(24,(INT(VALUE(F128)/100)-INT(M128/100))*12+MOD(VALUE(F128),100)-MOD(M128,100))))&lt;=12),1+V8_LOCKOUT_AMP*EXP(-(IF(OR(M128="",NOT(ISNUMBER(M128))),0,MAX(0,MIN(24,(INT(VALUE(F128)/100)-INT(M128/100))*12+MOD(VALUE(F128),100)-MOD(M128,100)))))/V8_LOCKOUT_TAU),1)</f>
        <v/>
      </c>
      <c r="AE128" s="14">
        <f>MAX(V8_BURN_FLOOR,1-V8_BURN_SLOPE*MIN(1,MAX(0,O128)))</f>
        <v/>
      </c>
      <c r="AF128" s="15">
        <f>MIN(Z128*AB128*AC128*AD128*AE128,0.2)</f>
        <v/>
      </c>
      <c r="AG128" s="16">
        <f>1-(1-AF128)^12</f>
        <v/>
      </c>
    </row>
    <row r="129">
      <c r="A129" s="2" t="inlineStr">
        <is>
          <t>000006135951</t>
        </is>
      </c>
      <c r="B129" t="inlineStr">
        <is>
          <t>221d4</t>
        </is>
      </c>
      <c r="C129" t="inlineStr">
        <is>
          <t>NC</t>
        </is>
      </c>
      <c r="D129" t="inlineStr">
        <is>
          <t>MERCHANTS CAPITAL CORP.</t>
        </is>
      </c>
      <c r="E129" t="n">
        <v>2022</v>
      </c>
      <c r="F129" t="inlineStr">
        <is>
          <t>202602</t>
        </is>
      </c>
      <c r="G129" s="8" t="n">
        <v>14907417.95</v>
      </c>
      <c r="H129" s="12" t="n">
        <v>2.85</v>
      </c>
      <c r="I129" s="13" t="n">
        <v>447</v>
      </c>
      <c r="J129" s="13" t="n">
        <v>9</v>
      </c>
      <c r="K129" t="n">
        <v>49</v>
      </c>
      <c r="L129" t="n">
        <v>206405</v>
      </c>
      <c r="M129" t="inlineStr"/>
      <c r="N129" t="n">
        <v>0</v>
      </c>
      <c r="O129" s="14" t="n">
        <v>0</v>
      </c>
      <c r="P129">
        <f>IF(ISNUMBER(SEARCH("232",B129)),"232",IF(ISNUMBER(SEARCH("538",B129)),"538",IF(ISNUMBER(SEARCH("223a7",B129)),"223a7",IF(ISNUMBER(SEARCH("223f",B129)),"223f","OTHER"))))</f>
        <v/>
      </c>
      <c r="Q129">
        <f>IF(UPPER(C129)="NC","NC","RP")</f>
        <v/>
      </c>
      <c r="R129">
        <f>IF(G129&lt;5000000,"small",IF(G129&lt;25000000,"medium","large"))</f>
        <v/>
      </c>
      <c r="S129">
        <f>P129&amp;"|"&amp;Q129&amp;"|"&amp;R129</f>
        <v/>
      </c>
      <c r="T129" s="13">
        <f>H129*100-I129</f>
        <v/>
      </c>
      <c r="U129" s="13">
        <f>T129-12.5*(J129+1)</f>
        <v/>
      </c>
      <c r="V129" s="15">
        <f>IFERROR(VLOOKUP(S129,V8_COHORT_TABLE,2,FALSE),IFERROR(VLOOKUP(P129&amp;"|"&amp;Q129&amp;"|ALL",V8_COHORT_TABLE,2,FALSE),IFERROR(VLOOKUP(P129&amp;"|ALL|ALL",V8_COHORT_TABLE,2,FALSE),VLOOKUP("GLOBAL",V8_COHORT_TABLE,2,FALSE))))</f>
        <v/>
      </c>
      <c r="W129" s="15">
        <f>IFERROR(VLOOKUP(S129,V8_COHORT_TABLE,3,FALSE),IFERROR(VLOOKUP(P129&amp;"|"&amp;Q129&amp;"|ALL",V8_COHORT_TABLE,3,FALSE),IFERROR(VLOOKUP(P129&amp;"|ALL|ALL",V8_COHORT_TABLE,3,FALSE),VLOOKUP("GLOBAL",V8_COHORT_TABLE,3,FALSE))))</f>
        <v/>
      </c>
      <c r="X129" s="15">
        <f>IFERROR(VLOOKUP(S129,V8_COHORT_TABLE,4,FALSE),IFERROR(VLOOKUP(P129&amp;"|"&amp;Q129&amp;"|ALL",V8_COHORT_TABLE,4,FALSE),IFERROR(VLOOKUP(P129&amp;"|ALL|ALL",V8_COHORT_TABLE,4,FALSE),VLOOKUP("GLOBAL",V8_COHORT_TABLE,4,FALSE))))</f>
        <v/>
      </c>
      <c r="Y129" s="15">
        <f>IFERROR(VLOOKUP(S129,V8_COHORT_TABLE,5,FALSE),IFERROR(VLOOKUP(P129&amp;"|"&amp;Q129&amp;"|ALL",V8_COHORT_TABLE,5,FALSE),IFERROR(VLOOKUP(P129&amp;"|ALL|ALL",V8_COHORT_TABLE,5,FALSE),VLOOKUP("GLOBAL",V8_COHORT_TABLE,5,FALSE))))</f>
        <v/>
      </c>
      <c r="Z129" s="15">
        <f>V129+W129/(1+EXP(-(U129-X129)/Y129))</f>
        <v/>
      </c>
      <c r="AA129" s="16">
        <f>1-(1-Z129)^12</f>
        <v/>
      </c>
      <c r="AB129" s="14">
        <f>IF(K129&lt;=V8_AGE_KNOT_X_0,V8_AGE_KNOT_Y_0,IF(K129&gt;=V8_AGE_KNOT_X_5,V8_AGE_KNOT_Y_5,IF(K129&lt;=V8_AGE_KNOT_X_1,V8_AGE_KNOT_Y_0+(K129-V8_AGE_KNOT_X_0)/(V8_AGE_KNOT_X_1-V8_AGE_KNOT_X_0)*(V8_AGE_KNOT_Y_1-V8_AGE_KNOT_Y_0),IF(K129&lt;=V8_AGE_KNOT_X_2,V8_AGE_KNOT_Y_1+(K129-V8_AGE_KNOT_X_1)/(V8_AGE_KNOT_X_2-V8_AGE_KNOT_X_1)*(V8_AGE_KNOT_Y_2-V8_AGE_KNOT_Y_1),IF(K129&lt;=V8_AGE_KNOT_X_3,V8_AGE_KNOT_Y_2+(K129-V8_AGE_KNOT_X_2)/(V8_AGE_KNOT_X_3-V8_AGE_KNOT_X_2)*(V8_AGE_KNOT_Y_3-V8_AGE_KNOT_Y_2),IF(K129&lt;=V8_AGE_KNOT_X_4,V8_AGE_KNOT_Y_3+(K129-V8_AGE_KNOT_X_3)/(V8_AGE_KNOT_X_4-V8_AGE_KNOT_X_3)*(V8_AGE_KNOT_Y_4-V8_AGE_KNOT_Y_3),V8_AGE_KNOT_Y_4+(K129-V8_AGE_KNOT_X_4)/(V8_AGE_KNOT_X_5-V8_AGE_KNOT_X_4)*(V8_AGE_KNOT_Y_5-V8_AGE_KNOT_Y_4)))))))</f>
        <v/>
      </c>
      <c r="AC129" s="14">
        <f>IF(IF(OR(L129="",NOT(ISNUMBER(L129))),360,MAX(0,MIN(480,(INT(L129/100)-INT(VALUE(F129)/100))*12+MOD(L129,100)-MOD(VALUE(F129),100))))&gt;0,1+V8_MTY_AMP*MAX(0,(V8_MTY_CUTOFF-(IF(OR(L129="",NOT(ISNUMBER(L129))),360,MAX(0,MIN(480,(INT(L129/100)-INT(VALUE(F129)/100))*12+MOD(L129,100)-MOD(VALUE(F129),100))))))/V8_MTY_CUTOFF),1)</f>
        <v/>
      </c>
      <c r="AD129" s="14">
        <f>IF(AND(IF(OR(M129="",NOT(ISNUMBER(M129))),0,MAX(0,MIN(24,(INT(VALUE(F129)/100)-INT(M129/100))*12+MOD(VALUE(F129),100)-MOD(M129,100))))&gt;0,IF(OR(M129="",NOT(ISNUMBER(M129))),0,MAX(0,MIN(24,(INT(VALUE(F129)/100)-INT(M129/100))*12+MOD(VALUE(F129),100)-MOD(M129,100))))&lt;=12),1+V8_LOCKOUT_AMP*EXP(-(IF(OR(M129="",NOT(ISNUMBER(M129))),0,MAX(0,MIN(24,(INT(VALUE(F129)/100)-INT(M129/100))*12+MOD(VALUE(F129),100)-MOD(M129,100)))))/V8_LOCKOUT_TAU),1)</f>
        <v/>
      </c>
      <c r="AE129" s="14">
        <f>MAX(V8_BURN_FLOOR,1-V8_BURN_SLOPE*MIN(1,MAX(0,O129)))</f>
        <v/>
      </c>
      <c r="AF129" s="15">
        <f>MIN(Z129*AB129*AC129*AD129*AE129,0.2)</f>
        <v/>
      </c>
      <c r="AG129" s="16">
        <f>1-(1-AF129)^12</f>
        <v/>
      </c>
    </row>
    <row r="130">
      <c r="A130" s="2" t="inlineStr">
        <is>
          <t>036388457355</t>
        </is>
      </c>
      <c r="B130" t="inlineStr">
        <is>
          <t>OTHER</t>
        </is>
      </c>
      <c r="C130" t="inlineStr">
        <is>
          <t>OTHER</t>
        </is>
      </c>
      <c r="D130" t="inlineStr">
        <is>
          <t>MERCHANTS CAPITAL CORP.</t>
        </is>
      </c>
      <c r="E130" t="n">
        <v>2007</v>
      </c>
      <c r="F130" t="inlineStr">
        <is>
          <t>202602</t>
        </is>
      </c>
      <c r="G130" s="8" t="n">
        <v>359130.32</v>
      </c>
      <c r="H130" s="12" t="n">
        <v>7.28</v>
      </c>
      <c r="I130" s="13" t="n">
        <v>447</v>
      </c>
      <c r="J130" s="13" t="n">
        <v>0</v>
      </c>
      <c r="K130" t="n">
        <v>219</v>
      </c>
      <c r="L130" t="n">
        <v>204711</v>
      </c>
      <c r="M130" t="n">
        <v>200811</v>
      </c>
      <c r="N130" t="n">
        <v>37</v>
      </c>
      <c r="O130" s="14" t="n">
        <v>0.1689497716894977</v>
      </c>
      <c r="P130">
        <f>IF(ISNUMBER(SEARCH("232",B130)),"232",IF(ISNUMBER(SEARCH("538",B130)),"538",IF(ISNUMBER(SEARCH("223a7",B130)),"223a7",IF(ISNUMBER(SEARCH("223f",B130)),"223f","OTHER"))))</f>
        <v/>
      </c>
      <c r="Q130">
        <f>IF(UPPER(C130)="NC","NC","RP")</f>
        <v/>
      </c>
      <c r="R130">
        <f>IF(G130&lt;5000000,"small",IF(G130&lt;25000000,"medium","large"))</f>
        <v/>
      </c>
      <c r="S130">
        <f>P130&amp;"|"&amp;Q130&amp;"|"&amp;R130</f>
        <v/>
      </c>
      <c r="T130" s="13">
        <f>H130*100-I130</f>
        <v/>
      </c>
      <c r="U130" s="13">
        <f>T130-12.5*(J130+1)</f>
        <v/>
      </c>
      <c r="V130" s="15">
        <f>IFERROR(VLOOKUP(S130,V8_COHORT_TABLE,2,FALSE),IFERROR(VLOOKUP(P130&amp;"|"&amp;Q130&amp;"|ALL",V8_COHORT_TABLE,2,FALSE),IFERROR(VLOOKUP(P130&amp;"|ALL|ALL",V8_COHORT_TABLE,2,FALSE),VLOOKUP("GLOBAL",V8_COHORT_TABLE,2,FALSE))))</f>
        <v/>
      </c>
      <c r="W130" s="15">
        <f>IFERROR(VLOOKUP(S130,V8_COHORT_TABLE,3,FALSE),IFERROR(VLOOKUP(P130&amp;"|"&amp;Q130&amp;"|ALL",V8_COHORT_TABLE,3,FALSE),IFERROR(VLOOKUP(P130&amp;"|ALL|ALL",V8_COHORT_TABLE,3,FALSE),VLOOKUP("GLOBAL",V8_COHORT_TABLE,3,FALSE))))</f>
        <v/>
      </c>
      <c r="X130" s="15">
        <f>IFERROR(VLOOKUP(S130,V8_COHORT_TABLE,4,FALSE),IFERROR(VLOOKUP(P130&amp;"|"&amp;Q130&amp;"|ALL",V8_COHORT_TABLE,4,FALSE),IFERROR(VLOOKUP(P130&amp;"|ALL|ALL",V8_COHORT_TABLE,4,FALSE),VLOOKUP("GLOBAL",V8_COHORT_TABLE,4,FALSE))))</f>
        <v/>
      </c>
      <c r="Y130" s="15">
        <f>IFERROR(VLOOKUP(S130,V8_COHORT_TABLE,5,FALSE),IFERROR(VLOOKUP(P130&amp;"|"&amp;Q130&amp;"|ALL",V8_COHORT_TABLE,5,FALSE),IFERROR(VLOOKUP(P130&amp;"|ALL|ALL",V8_COHORT_TABLE,5,FALSE),VLOOKUP("GLOBAL",V8_COHORT_TABLE,5,FALSE))))</f>
        <v/>
      </c>
      <c r="Z130" s="15">
        <f>V130+W130/(1+EXP(-(U130-X130)/Y130))</f>
        <v/>
      </c>
      <c r="AA130" s="16">
        <f>1-(1-Z130)^12</f>
        <v/>
      </c>
      <c r="AB130" s="14">
        <f>IF(K130&lt;=V8_AGE_KNOT_X_0,V8_AGE_KNOT_Y_0,IF(K130&gt;=V8_AGE_KNOT_X_5,V8_AGE_KNOT_Y_5,IF(K130&lt;=V8_AGE_KNOT_X_1,V8_AGE_KNOT_Y_0+(K130-V8_AGE_KNOT_X_0)/(V8_AGE_KNOT_X_1-V8_AGE_KNOT_X_0)*(V8_AGE_KNOT_Y_1-V8_AGE_KNOT_Y_0),IF(K130&lt;=V8_AGE_KNOT_X_2,V8_AGE_KNOT_Y_1+(K130-V8_AGE_KNOT_X_1)/(V8_AGE_KNOT_X_2-V8_AGE_KNOT_X_1)*(V8_AGE_KNOT_Y_2-V8_AGE_KNOT_Y_1),IF(K130&lt;=V8_AGE_KNOT_X_3,V8_AGE_KNOT_Y_2+(K130-V8_AGE_KNOT_X_2)/(V8_AGE_KNOT_X_3-V8_AGE_KNOT_X_2)*(V8_AGE_KNOT_Y_3-V8_AGE_KNOT_Y_2),IF(K130&lt;=V8_AGE_KNOT_X_4,V8_AGE_KNOT_Y_3+(K130-V8_AGE_KNOT_X_3)/(V8_AGE_KNOT_X_4-V8_AGE_KNOT_X_3)*(V8_AGE_KNOT_Y_4-V8_AGE_KNOT_Y_3),V8_AGE_KNOT_Y_4+(K130-V8_AGE_KNOT_X_4)/(V8_AGE_KNOT_X_5-V8_AGE_KNOT_X_4)*(V8_AGE_KNOT_Y_5-V8_AGE_KNOT_Y_4)))))))</f>
        <v/>
      </c>
      <c r="AC130" s="14">
        <f>IF(IF(OR(L130="",NOT(ISNUMBER(L130))),360,MAX(0,MIN(480,(INT(L130/100)-INT(VALUE(F130)/100))*12+MOD(L130,100)-MOD(VALUE(F130),100))))&gt;0,1+V8_MTY_AMP*MAX(0,(V8_MTY_CUTOFF-(IF(OR(L130="",NOT(ISNUMBER(L130))),360,MAX(0,MIN(480,(INT(L130/100)-INT(VALUE(F130)/100))*12+MOD(L130,100)-MOD(VALUE(F130),100))))))/V8_MTY_CUTOFF),1)</f>
        <v/>
      </c>
      <c r="AD130" s="14">
        <f>IF(AND(IF(OR(M130="",NOT(ISNUMBER(M130))),0,MAX(0,MIN(24,(INT(VALUE(F130)/100)-INT(M130/100))*12+MOD(VALUE(F130),100)-MOD(M130,100))))&gt;0,IF(OR(M130="",NOT(ISNUMBER(M130))),0,MAX(0,MIN(24,(INT(VALUE(F130)/100)-INT(M130/100))*12+MOD(VALUE(F130),100)-MOD(M130,100))))&lt;=12),1+V8_LOCKOUT_AMP*EXP(-(IF(OR(M130="",NOT(ISNUMBER(M130))),0,MAX(0,MIN(24,(INT(VALUE(F130)/100)-INT(M130/100))*12+MOD(VALUE(F130),100)-MOD(M130,100)))))/V8_LOCKOUT_TAU),1)</f>
        <v/>
      </c>
      <c r="AE130" s="14">
        <f>MAX(V8_BURN_FLOOR,1-V8_BURN_SLOPE*MIN(1,MAX(0,O130)))</f>
        <v/>
      </c>
      <c r="AF130" s="15">
        <f>MIN(Z130*AB130*AC130*AD130*AE130,0.2)</f>
        <v/>
      </c>
      <c r="AG130" s="16">
        <f>1-(1-AF130)^12</f>
        <v/>
      </c>
    </row>
    <row r="131">
      <c r="A131" s="2" t="inlineStr">
        <is>
          <t>000007211147</t>
        </is>
      </c>
      <c r="B131" t="inlineStr">
        <is>
          <t>223f</t>
        </is>
      </c>
      <c r="C131" t="inlineStr">
        <is>
          <t>RP</t>
        </is>
      </c>
      <c r="D131" t="inlineStr">
        <is>
          <t>MERCHANTS CAPITAL CORP.</t>
        </is>
      </c>
      <c r="E131" t="n">
        <v>2014</v>
      </c>
      <c r="F131" t="inlineStr">
        <is>
          <t>202602</t>
        </is>
      </c>
      <c r="G131" s="8" t="n">
        <v>4604677.56</v>
      </c>
      <c r="H131" s="12" t="n">
        <v>2.92</v>
      </c>
      <c r="I131" s="13" t="n">
        <v>447</v>
      </c>
      <c r="J131" s="13" t="n">
        <v>4</v>
      </c>
      <c r="K131" t="n">
        <v>135</v>
      </c>
      <c r="L131" t="n">
        <v>204912</v>
      </c>
      <c r="M131" t="inlineStr"/>
      <c r="N131" t="n">
        <v>10</v>
      </c>
      <c r="O131" s="14" t="n">
        <v>0.07407407407407407</v>
      </c>
      <c r="P131">
        <f>IF(ISNUMBER(SEARCH("232",B131)),"232",IF(ISNUMBER(SEARCH("538",B131)),"538",IF(ISNUMBER(SEARCH("223a7",B131)),"223a7",IF(ISNUMBER(SEARCH("223f",B131)),"223f","OTHER"))))</f>
        <v/>
      </c>
      <c r="Q131">
        <f>IF(UPPER(C131)="NC","NC","RP")</f>
        <v/>
      </c>
      <c r="R131">
        <f>IF(G131&lt;5000000,"small",IF(G131&lt;25000000,"medium","large"))</f>
        <v/>
      </c>
      <c r="S131">
        <f>P131&amp;"|"&amp;Q131&amp;"|"&amp;R131</f>
        <v/>
      </c>
      <c r="T131" s="13">
        <f>H131*100-I131</f>
        <v/>
      </c>
      <c r="U131" s="13">
        <f>T131-12.5*(J131+1)</f>
        <v/>
      </c>
      <c r="V131" s="15">
        <f>IFERROR(VLOOKUP(S131,V8_COHORT_TABLE,2,FALSE),IFERROR(VLOOKUP(P131&amp;"|"&amp;Q131&amp;"|ALL",V8_COHORT_TABLE,2,FALSE),IFERROR(VLOOKUP(P131&amp;"|ALL|ALL",V8_COHORT_TABLE,2,FALSE),VLOOKUP("GLOBAL",V8_COHORT_TABLE,2,FALSE))))</f>
        <v/>
      </c>
      <c r="W131" s="15">
        <f>IFERROR(VLOOKUP(S131,V8_COHORT_TABLE,3,FALSE),IFERROR(VLOOKUP(P131&amp;"|"&amp;Q131&amp;"|ALL",V8_COHORT_TABLE,3,FALSE),IFERROR(VLOOKUP(P131&amp;"|ALL|ALL",V8_COHORT_TABLE,3,FALSE),VLOOKUP("GLOBAL",V8_COHORT_TABLE,3,FALSE))))</f>
        <v/>
      </c>
      <c r="X131" s="15">
        <f>IFERROR(VLOOKUP(S131,V8_COHORT_TABLE,4,FALSE),IFERROR(VLOOKUP(P131&amp;"|"&amp;Q131&amp;"|ALL",V8_COHORT_TABLE,4,FALSE),IFERROR(VLOOKUP(P131&amp;"|ALL|ALL",V8_COHORT_TABLE,4,FALSE),VLOOKUP("GLOBAL",V8_COHORT_TABLE,4,FALSE))))</f>
        <v/>
      </c>
      <c r="Y131" s="15">
        <f>IFERROR(VLOOKUP(S131,V8_COHORT_TABLE,5,FALSE),IFERROR(VLOOKUP(P131&amp;"|"&amp;Q131&amp;"|ALL",V8_COHORT_TABLE,5,FALSE),IFERROR(VLOOKUP(P131&amp;"|ALL|ALL",V8_COHORT_TABLE,5,FALSE),VLOOKUP("GLOBAL",V8_COHORT_TABLE,5,FALSE))))</f>
        <v/>
      </c>
      <c r="Z131" s="15">
        <f>V131+W131/(1+EXP(-(U131-X131)/Y131))</f>
        <v/>
      </c>
      <c r="AA131" s="16">
        <f>1-(1-Z131)^12</f>
        <v/>
      </c>
      <c r="AB131" s="14">
        <f>IF(K131&lt;=V8_AGE_KNOT_X_0,V8_AGE_KNOT_Y_0,IF(K131&gt;=V8_AGE_KNOT_X_5,V8_AGE_KNOT_Y_5,IF(K131&lt;=V8_AGE_KNOT_X_1,V8_AGE_KNOT_Y_0+(K131-V8_AGE_KNOT_X_0)/(V8_AGE_KNOT_X_1-V8_AGE_KNOT_X_0)*(V8_AGE_KNOT_Y_1-V8_AGE_KNOT_Y_0),IF(K131&lt;=V8_AGE_KNOT_X_2,V8_AGE_KNOT_Y_1+(K131-V8_AGE_KNOT_X_1)/(V8_AGE_KNOT_X_2-V8_AGE_KNOT_X_1)*(V8_AGE_KNOT_Y_2-V8_AGE_KNOT_Y_1),IF(K131&lt;=V8_AGE_KNOT_X_3,V8_AGE_KNOT_Y_2+(K131-V8_AGE_KNOT_X_2)/(V8_AGE_KNOT_X_3-V8_AGE_KNOT_X_2)*(V8_AGE_KNOT_Y_3-V8_AGE_KNOT_Y_2),IF(K131&lt;=V8_AGE_KNOT_X_4,V8_AGE_KNOT_Y_3+(K131-V8_AGE_KNOT_X_3)/(V8_AGE_KNOT_X_4-V8_AGE_KNOT_X_3)*(V8_AGE_KNOT_Y_4-V8_AGE_KNOT_Y_3),V8_AGE_KNOT_Y_4+(K131-V8_AGE_KNOT_X_4)/(V8_AGE_KNOT_X_5-V8_AGE_KNOT_X_4)*(V8_AGE_KNOT_Y_5-V8_AGE_KNOT_Y_4)))))))</f>
        <v/>
      </c>
      <c r="AC131" s="14">
        <f>IF(IF(OR(L131="",NOT(ISNUMBER(L131))),360,MAX(0,MIN(480,(INT(L131/100)-INT(VALUE(F131)/100))*12+MOD(L131,100)-MOD(VALUE(F131),100))))&gt;0,1+V8_MTY_AMP*MAX(0,(V8_MTY_CUTOFF-(IF(OR(L131="",NOT(ISNUMBER(L131))),360,MAX(0,MIN(480,(INT(L131/100)-INT(VALUE(F131)/100))*12+MOD(L131,100)-MOD(VALUE(F131),100))))))/V8_MTY_CUTOFF),1)</f>
        <v/>
      </c>
      <c r="AD131" s="14">
        <f>IF(AND(IF(OR(M131="",NOT(ISNUMBER(M131))),0,MAX(0,MIN(24,(INT(VALUE(F131)/100)-INT(M131/100))*12+MOD(VALUE(F131),100)-MOD(M131,100))))&gt;0,IF(OR(M131="",NOT(ISNUMBER(M131))),0,MAX(0,MIN(24,(INT(VALUE(F131)/100)-INT(M131/100))*12+MOD(VALUE(F131),100)-MOD(M131,100))))&lt;=12),1+V8_LOCKOUT_AMP*EXP(-(IF(OR(M131="",NOT(ISNUMBER(M131))),0,MAX(0,MIN(24,(INT(VALUE(F131)/100)-INT(M131/100))*12+MOD(VALUE(F131),100)-MOD(M131,100)))))/V8_LOCKOUT_TAU),1)</f>
        <v/>
      </c>
      <c r="AE131" s="14">
        <f>MAX(V8_BURN_FLOOR,1-V8_BURN_SLOPE*MIN(1,MAX(0,O131)))</f>
        <v/>
      </c>
      <c r="AF131" s="15">
        <f>MIN(Z131*AB131*AC131*AD131*AE131,0.2)</f>
        <v/>
      </c>
      <c r="AG131" s="16">
        <f>1-(1-AF131)^12</f>
        <v/>
      </c>
    </row>
    <row r="132">
      <c r="A132" s="2" t="inlineStr">
        <is>
          <t>000007522247</t>
        </is>
      </c>
      <c r="B132" t="inlineStr">
        <is>
          <t>232</t>
        </is>
      </c>
      <c r="C132" t="inlineStr">
        <is>
          <t>RP</t>
        </is>
      </c>
      <c r="D132" t="inlineStr">
        <is>
          <t>MERCHANTS CAPITAL CORP.</t>
        </is>
      </c>
      <c r="E132" t="n">
        <v>2022</v>
      </c>
      <c r="F132" t="inlineStr">
        <is>
          <t>202602</t>
        </is>
      </c>
      <c r="G132" s="8" t="n">
        <v>4811062.66</v>
      </c>
      <c r="H132" s="12" t="n">
        <v>4.18</v>
      </c>
      <c r="I132" s="13" t="n">
        <v>447</v>
      </c>
      <c r="J132" s="13" t="n">
        <v>7</v>
      </c>
      <c r="K132" t="n">
        <v>40</v>
      </c>
      <c r="L132" t="n">
        <v>205711</v>
      </c>
      <c r="M132" t="inlineStr"/>
      <c r="N132" t="n">
        <v>0</v>
      </c>
      <c r="O132" s="14" t="n">
        <v>0</v>
      </c>
      <c r="P132">
        <f>IF(ISNUMBER(SEARCH("232",B132)),"232",IF(ISNUMBER(SEARCH("538",B132)),"538",IF(ISNUMBER(SEARCH("223a7",B132)),"223a7",IF(ISNUMBER(SEARCH("223f",B132)),"223f","OTHER"))))</f>
        <v/>
      </c>
      <c r="Q132">
        <f>IF(UPPER(C132)="NC","NC","RP")</f>
        <v/>
      </c>
      <c r="R132">
        <f>IF(G132&lt;5000000,"small",IF(G132&lt;25000000,"medium","large"))</f>
        <v/>
      </c>
      <c r="S132">
        <f>P132&amp;"|"&amp;Q132&amp;"|"&amp;R132</f>
        <v/>
      </c>
      <c r="T132" s="13">
        <f>H132*100-I132</f>
        <v/>
      </c>
      <c r="U132" s="13">
        <f>T132-12.5*(J132+1)</f>
        <v/>
      </c>
      <c r="V132" s="15">
        <f>IFERROR(VLOOKUP(S132,V8_COHORT_TABLE,2,FALSE),IFERROR(VLOOKUP(P132&amp;"|"&amp;Q132&amp;"|ALL",V8_COHORT_TABLE,2,FALSE),IFERROR(VLOOKUP(P132&amp;"|ALL|ALL",V8_COHORT_TABLE,2,FALSE),VLOOKUP("GLOBAL",V8_COHORT_TABLE,2,FALSE))))</f>
        <v/>
      </c>
      <c r="W132" s="15">
        <f>IFERROR(VLOOKUP(S132,V8_COHORT_TABLE,3,FALSE),IFERROR(VLOOKUP(P132&amp;"|"&amp;Q132&amp;"|ALL",V8_COHORT_TABLE,3,FALSE),IFERROR(VLOOKUP(P132&amp;"|ALL|ALL",V8_COHORT_TABLE,3,FALSE),VLOOKUP("GLOBAL",V8_COHORT_TABLE,3,FALSE))))</f>
        <v/>
      </c>
      <c r="X132" s="15">
        <f>IFERROR(VLOOKUP(S132,V8_COHORT_TABLE,4,FALSE),IFERROR(VLOOKUP(P132&amp;"|"&amp;Q132&amp;"|ALL",V8_COHORT_TABLE,4,FALSE),IFERROR(VLOOKUP(P132&amp;"|ALL|ALL",V8_COHORT_TABLE,4,FALSE),VLOOKUP("GLOBAL",V8_COHORT_TABLE,4,FALSE))))</f>
        <v/>
      </c>
      <c r="Y132" s="15">
        <f>IFERROR(VLOOKUP(S132,V8_COHORT_TABLE,5,FALSE),IFERROR(VLOOKUP(P132&amp;"|"&amp;Q132&amp;"|ALL",V8_COHORT_TABLE,5,FALSE),IFERROR(VLOOKUP(P132&amp;"|ALL|ALL",V8_COHORT_TABLE,5,FALSE),VLOOKUP("GLOBAL",V8_COHORT_TABLE,5,FALSE))))</f>
        <v/>
      </c>
      <c r="Z132" s="15">
        <f>V132+W132/(1+EXP(-(U132-X132)/Y132))</f>
        <v/>
      </c>
      <c r="AA132" s="16">
        <f>1-(1-Z132)^12</f>
        <v/>
      </c>
      <c r="AB132" s="14">
        <f>IF(K132&lt;=V8_AGE_KNOT_X_0,V8_AGE_KNOT_Y_0,IF(K132&gt;=V8_AGE_KNOT_X_5,V8_AGE_KNOT_Y_5,IF(K132&lt;=V8_AGE_KNOT_X_1,V8_AGE_KNOT_Y_0+(K132-V8_AGE_KNOT_X_0)/(V8_AGE_KNOT_X_1-V8_AGE_KNOT_X_0)*(V8_AGE_KNOT_Y_1-V8_AGE_KNOT_Y_0),IF(K132&lt;=V8_AGE_KNOT_X_2,V8_AGE_KNOT_Y_1+(K132-V8_AGE_KNOT_X_1)/(V8_AGE_KNOT_X_2-V8_AGE_KNOT_X_1)*(V8_AGE_KNOT_Y_2-V8_AGE_KNOT_Y_1),IF(K132&lt;=V8_AGE_KNOT_X_3,V8_AGE_KNOT_Y_2+(K132-V8_AGE_KNOT_X_2)/(V8_AGE_KNOT_X_3-V8_AGE_KNOT_X_2)*(V8_AGE_KNOT_Y_3-V8_AGE_KNOT_Y_2),IF(K132&lt;=V8_AGE_KNOT_X_4,V8_AGE_KNOT_Y_3+(K132-V8_AGE_KNOT_X_3)/(V8_AGE_KNOT_X_4-V8_AGE_KNOT_X_3)*(V8_AGE_KNOT_Y_4-V8_AGE_KNOT_Y_3),V8_AGE_KNOT_Y_4+(K132-V8_AGE_KNOT_X_4)/(V8_AGE_KNOT_X_5-V8_AGE_KNOT_X_4)*(V8_AGE_KNOT_Y_5-V8_AGE_KNOT_Y_4)))))))</f>
        <v/>
      </c>
      <c r="AC132" s="14">
        <f>IF(IF(OR(L132="",NOT(ISNUMBER(L132))),360,MAX(0,MIN(480,(INT(L132/100)-INT(VALUE(F132)/100))*12+MOD(L132,100)-MOD(VALUE(F132),100))))&gt;0,1+V8_MTY_AMP*MAX(0,(V8_MTY_CUTOFF-(IF(OR(L132="",NOT(ISNUMBER(L132))),360,MAX(0,MIN(480,(INT(L132/100)-INT(VALUE(F132)/100))*12+MOD(L132,100)-MOD(VALUE(F132),100))))))/V8_MTY_CUTOFF),1)</f>
        <v/>
      </c>
      <c r="AD132" s="14">
        <f>IF(AND(IF(OR(M132="",NOT(ISNUMBER(M132))),0,MAX(0,MIN(24,(INT(VALUE(F132)/100)-INT(M132/100))*12+MOD(VALUE(F132),100)-MOD(M132,100))))&gt;0,IF(OR(M132="",NOT(ISNUMBER(M132))),0,MAX(0,MIN(24,(INT(VALUE(F132)/100)-INT(M132/100))*12+MOD(VALUE(F132),100)-MOD(M132,100))))&lt;=12),1+V8_LOCKOUT_AMP*EXP(-(IF(OR(M132="",NOT(ISNUMBER(M132))),0,MAX(0,MIN(24,(INT(VALUE(F132)/100)-INT(M132/100))*12+MOD(VALUE(F132),100)-MOD(M132,100)))))/V8_LOCKOUT_TAU),1)</f>
        <v/>
      </c>
      <c r="AE132" s="14">
        <f>MAX(V8_BURN_FLOOR,1-V8_BURN_SLOPE*MIN(1,MAX(0,O132)))</f>
        <v/>
      </c>
      <c r="AF132" s="15">
        <f>MIN(Z132*AB132*AC132*AD132*AE132,0.2)</f>
        <v/>
      </c>
      <c r="AG132" s="16">
        <f>1-(1-AF132)^12</f>
        <v/>
      </c>
    </row>
    <row r="133">
      <c r="A133" s="2" t="inlineStr">
        <is>
          <t>000004322058</t>
        </is>
      </c>
      <c r="B133" t="inlineStr">
        <is>
          <t>223f</t>
        </is>
      </c>
      <c r="C133" t="inlineStr">
        <is>
          <t>RP</t>
        </is>
      </c>
      <c r="D133" t="inlineStr">
        <is>
          <t>MERCHANTS CAPITAL CORP.</t>
        </is>
      </c>
      <c r="E133" t="n">
        <v>2012</v>
      </c>
      <c r="F133" t="inlineStr">
        <is>
          <t>202602</t>
        </is>
      </c>
      <c r="G133" s="8" t="n">
        <v>1907136.33</v>
      </c>
      <c r="H133" s="12" t="n">
        <v>3.5</v>
      </c>
      <c r="I133" s="13" t="n">
        <v>447</v>
      </c>
      <c r="J133" s="13" t="n">
        <v>0</v>
      </c>
      <c r="K133" t="n">
        <v>167</v>
      </c>
      <c r="L133" t="n">
        <v>204204</v>
      </c>
      <c r="M133" t="n">
        <v>201404</v>
      </c>
      <c r="N133" t="n">
        <v>35</v>
      </c>
      <c r="O133" s="14" t="n">
        <v>0.2095808383233533</v>
      </c>
      <c r="P133">
        <f>IF(ISNUMBER(SEARCH("232",B133)),"232",IF(ISNUMBER(SEARCH("538",B133)),"538",IF(ISNUMBER(SEARCH("223a7",B133)),"223a7",IF(ISNUMBER(SEARCH("223f",B133)),"223f","OTHER"))))</f>
        <v/>
      </c>
      <c r="Q133">
        <f>IF(UPPER(C133)="NC","NC","RP")</f>
        <v/>
      </c>
      <c r="R133">
        <f>IF(G133&lt;5000000,"small",IF(G133&lt;25000000,"medium","large"))</f>
        <v/>
      </c>
      <c r="S133">
        <f>P133&amp;"|"&amp;Q133&amp;"|"&amp;R133</f>
        <v/>
      </c>
      <c r="T133" s="13">
        <f>H133*100-I133</f>
        <v/>
      </c>
      <c r="U133" s="13">
        <f>T133-12.5*(J133+1)</f>
        <v/>
      </c>
      <c r="V133" s="15">
        <f>IFERROR(VLOOKUP(S133,V8_COHORT_TABLE,2,FALSE),IFERROR(VLOOKUP(P133&amp;"|"&amp;Q133&amp;"|ALL",V8_COHORT_TABLE,2,FALSE),IFERROR(VLOOKUP(P133&amp;"|ALL|ALL",V8_COHORT_TABLE,2,FALSE),VLOOKUP("GLOBAL",V8_COHORT_TABLE,2,FALSE))))</f>
        <v/>
      </c>
      <c r="W133" s="15">
        <f>IFERROR(VLOOKUP(S133,V8_COHORT_TABLE,3,FALSE),IFERROR(VLOOKUP(P133&amp;"|"&amp;Q133&amp;"|ALL",V8_COHORT_TABLE,3,FALSE),IFERROR(VLOOKUP(P133&amp;"|ALL|ALL",V8_COHORT_TABLE,3,FALSE),VLOOKUP("GLOBAL",V8_COHORT_TABLE,3,FALSE))))</f>
        <v/>
      </c>
      <c r="X133" s="15">
        <f>IFERROR(VLOOKUP(S133,V8_COHORT_TABLE,4,FALSE),IFERROR(VLOOKUP(P133&amp;"|"&amp;Q133&amp;"|ALL",V8_COHORT_TABLE,4,FALSE),IFERROR(VLOOKUP(P133&amp;"|ALL|ALL",V8_COHORT_TABLE,4,FALSE),VLOOKUP("GLOBAL",V8_COHORT_TABLE,4,FALSE))))</f>
        <v/>
      </c>
      <c r="Y133" s="15">
        <f>IFERROR(VLOOKUP(S133,V8_COHORT_TABLE,5,FALSE),IFERROR(VLOOKUP(P133&amp;"|"&amp;Q133&amp;"|ALL",V8_COHORT_TABLE,5,FALSE),IFERROR(VLOOKUP(P133&amp;"|ALL|ALL",V8_COHORT_TABLE,5,FALSE),VLOOKUP("GLOBAL",V8_COHORT_TABLE,5,FALSE))))</f>
        <v/>
      </c>
      <c r="Z133" s="15">
        <f>V133+W133/(1+EXP(-(U133-X133)/Y133))</f>
        <v/>
      </c>
      <c r="AA133" s="16">
        <f>1-(1-Z133)^12</f>
        <v/>
      </c>
      <c r="AB133" s="14">
        <f>IF(K133&lt;=V8_AGE_KNOT_X_0,V8_AGE_KNOT_Y_0,IF(K133&gt;=V8_AGE_KNOT_X_5,V8_AGE_KNOT_Y_5,IF(K133&lt;=V8_AGE_KNOT_X_1,V8_AGE_KNOT_Y_0+(K133-V8_AGE_KNOT_X_0)/(V8_AGE_KNOT_X_1-V8_AGE_KNOT_X_0)*(V8_AGE_KNOT_Y_1-V8_AGE_KNOT_Y_0),IF(K133&lt;=V8_AGE_KNOT_X_2,V8_AGE_KNOT_Y_1+(K133-V8_AGE_KNOT_X_1)/(V8_AGE_KNOT_X_2-V8_AGE_KNOT_X_1)*(V8_AGE_KNOT_Y_2-V8_AGE_KNOT_Y_1),IF(K133&lt;=V8_AGE_KNOT_X_3,V8_AGE_KNOT_Y_2+(K133-V8_AGE_KNOT_X_2)/(V8_AGE_KNOT_X_3-V8_AGE_KNOT_X_2)*(V8_AGE_KNOT_Y_3-V8_AGE_KNOT_Y_2),IF(K133&lt;=V8_AGE_KNOT_X_4,V8_AGE_KNOT_Y_3+(K133-V8_AGE_KNOT_X_3)/(V8_AGE_KNOT_X_4-V8_AGE_KNOT_X_3)*(V8_AGE_KNOT_Y_4-V8_AGE_KNOT_Y_3),V8_AGE_KNOT_Y_4+(K133-V8_AGE_KNOT_X_4)/(V8_AGE_KNOT_X_5-V8_AGE_KNOT_X_4)*(V8_AGE_KNOT_Y_5-V8_AGE_KNOT_Y_4)))))))</f>
        <v/>
      </c>
      <c r="AC133" s="14">
        <f>IF(IF(OR(L133="",NOT(ISNUMBER(L133))),360,MAX(0,MIN(480,(INT(L133/100)-INT(VALUE(F133)/100))*12+MOD(L133,100)-MOD(VALUE(F133),100))))&gt;0,1+V8_MTY_AMP*MAX(0,(V8_MTY_CUTOFF-(IF(OR(L133="",NOT(ISNUMBER(L133))),360,MAX(0,MIN(480,(INT(L133/100)-INT(VALUE(F133)/100))*12+MOD(L133,100)-MOD(VALUE(F133),100))))))/V8_MTY_CUTOFF),1)</f>
        <v/>
      </c>
      <c r="AD133" s="14">
        <f>IF(AND(IF(OR(M133="",NOT(ISNUMBER(M133))),0,MAX(0,MIN(24,(INT(VALUE(F133)/100)-INT(M133/100))*12+MOD(VALUE(F133),100)-MOD(M133,100))))&gt;0,IF(OR(M133="",NOT(ISNUMBER(M133))),0,MAX(0,MIN(24,(INT(VALUE(F133)/100)-INT(M133/100))*12+MOD(VALUE(F133),100)-MOD(M133,100))))&lt;=12),1+V8_LOCKOUT_AMP*EXP(-(IF(OR(M133="",NOT(ISNUMBER(M133))),0,MAX(0,MIN(24,(INT(VALUE(F133)/100)-INT(M133/100))*12+MOD(VALUE(F133),100)-MOD(M133,100)))))/V8_LOCKOUT_TAU),1)</f>
        <v/>
      </c>
      <c r="AE133" s="14">
        <f>MAX(V8_BURN_FLOOR,1-V8_BURN_SLOPE*MIN(1,MAX(0,O133)))</f>
        <v/>
      </c>
      <c r="AF133" s="15">
        <f>MIN(Z133*AB133*AC133*AD133*AE133,0.2)</f>
        <v/>
      </c>
      <c r="AG133" s="16">
        <f>1-(1-AF133)^12</f>
        <v/>
      </c>
    </row>
    <row r="134">
      <c r="A134" s="2" t="inlineStr">
        <is>
          <t>000007311990</t>
        </is>
      </c>
      <c r="B134" t="inlineStr">
        <is>
          <t>223f</t>
        </is>
      </c>
      <c r="C134" t="inlineStr">
        <is>
          <t>RP</t>
        </is>
      </c>
      <c r="D134" t="inlineStr">
        <is>
          <t>MERCHANTS CAPITAL SERVICING LLC</t>
        </is>
      </c>
      <c r="E134" t="n">
        <v>2020</v>
      </c>
      <c r="F134" t="inlineStr">
        <is>
          <t>202602</t>
        </is>
      </c>
      <c r="G134" s="8" t="n">
        <v>35631447.08</v>
      </c>
      <c r="H134" s="12" t="n">
        <v>2.1</v>
      </c>
      <c r="I134" s="13" t="n">
        <v>447</v>
      </c>
      <c r="J134" s="13" t="n">
        <v>5</v>
      </c>
      <c r="K134" t="n">
        <v>65</v>
      </c>
      <c r="L134" t="n">
        <v>205510</v>
      </c>
      <c r="M134" t="inlineStr"/>
      <c r="N134" t="n">
        <v>0</v>
      </c>
      <c r="O134" s="14" t="n">
        <v>0</v>
      </c>
      <c r="P134">
        <f>IF(ISNUMBER(SEARCH("232",B134)),"232",IF(ISNUMBER(SEARCH("538",B134)),"538",IF(ISNUMBER(SEARCH("223a7",B134)),"223a7",IF(ISNUMBER(SEARCH("223f",B134)),"223f","OTHER"))))</f>
        <v/>
      </c>
      <c r="Q134">
        <f>IF(UPPER(C134)="NC","NC","RP")</f>
        <v/>
      </c>
      <c r="R134">
        <f>IF(G134&lt;5000000,"small",IF(G134&lt;25000000,"medium","large"))</f>
        <v/>
      </c>
      <c r="S134">
        <f>P134&amp;"|"&amp;Q134&amp;"|"&amp;R134</f>
        <v/>
      </c>
      <c r="T134" s="13">
        <f>H134*100-I134</f>
        <v/>
      </c>
      <c r="U134" s="13">
        <f>T134-12.5*(J134+1)</f>
        <v/>
      </c>
      <c r="V134" s="15">
        <f>IFERROR(VLOOKUP(S134,V8_COHORT_TABLE,2,FALSE),IFERROR(VLOOKUP(P134&amp;"|"&amp;Q134&amp;"|ALL",V8_COHORT_TABLE,2,FALSE),IFERROR(VLOOKUP(P134&amp;"|ALL|ALL",V8_COHORT_TABLE,2,FALSE),VLOOKUP("GLOBAL",V8_COHORT_TABLE,2,FALSE))))</f>
        <v/>
      </c>
      <c r="W134" s="15">
        <f>IFERROR(VLOOKUP(S134,V8_COHORT_TABLE,3,FALSE),IFERROR(VLOOKUP(P134&amp;"|"&amp;Q134&amp;"|ALL",V8_COHORT_TABLE,3,FALSE),IFERROR(VLOOKUP(P134&amp;"|ALL|ALL",V8_COHORT_TABLE,3,FALSE),VLOOKUP("GLOBAL",V8_COHORT_TABLE,3,FALSE))))</f>
        <v/>
      </c>
      <c r="X134" s="15">
        <f>IFERROR(VLOOKUP(S134,V8_COHORT_TABLE,4,FALSE),IFERROR(VLOOKUP(P134&amp;"|"&amp;Q134&amp;"|ALL",V8_COHORT_TABLE,4,FALSE),IFERROR(VLOOKUP(P134&amp;"|ALL|ALL",V8_COHORT_TABLE,4,FALSE),VLOOKUP("GLOBAL",V8_COHORT_TABLE,4,FALSE))))</f>
        <v/>
      </c>
      <c r="Y134" s="15">
        <f>IFERROR(VLOOKUP(S134,V8_COHORT_TABLE,5,FALSE),IFERROR(VLOOKUP(P134&amp;"|"&amp;Q134&amp;"|ALL",V8_COHORT_TABLE,5,FALSE),IFERROR(VLOOKUP(P134&amp;"|ALL|ALL",V8_COHORT_TABLE,5,FALSE),VLOOKUP("GLOBAL",V8_COHORT_TABLE,5,FALSE))))</f>
        <v/>
      </c>
      <c r="Z134" s="15">
        <f>V134+W134/(1+EXP(-(U134-X134)/Y134))</f>
        <v/>
      </c>
      <c r="AA134" s="16">
        <f>1-(1-Z134)^12</f>
        <v/>
      </c>
      <c r="AB134" s="14">
        <f>IF(K134&lt;=V8_AGE_KNOT_X_0,V8_AGE_KNOT_Y_0,IF(K134&gt;=V8_AGE_KNOT_X_5,V8_AGE_KNOT_Y_5,IF(K134&lt;=V8_AGE_KNOT_X_1,V8_AGE_KNOT_Y_0+(K134-V8_AGE_KNOT_X_0)/(V8_AGE_KNOT_X_1-V8_AGE_KNOT_X_0)*(V8_AGE_KNOT_Y_1-V8_AGE_KNOT_Y_0),IF(K134&lt;=V8_AGE_KNOT_X_2,V8_AGE_KNOT_Y_1+(K134-V8_AGE_KNOT_X_1)/(V8_AGE_KNOT_X_2-V8_AGE_KNOT_X_1)*(V8_AGE_KNOT_Y_2-V8_AGE_KNOT_Y_1),IF(K134&lt;=V8_AGE_KNOT_X_3,V8_AGE_KNOT_Y_2+(K134-V8_AGE_KNOT_X_2)/(V8_AGE_KNOT_X_3-V8_AGE_KNOT_X_2)*(V8_AGE_KNOT_Y_3-V8_AGE_KNOT_Y_2),IF(K134&lt;=V8_AGE_KNOT_X_4,V8_AGE_KNOT_Y_3+(K134-V8_AGE_KNOT_X_3)/(V8_AGE_KNOT_X_4-V8_AGE_KNOT_X_3)*(V8_AGE_KNOT_Y_4-V8_AGE_KNOT_Y_3),V8_AGE_KNOT_Y_4+(K134-V8_AGE_KNOT_X_4)/(V8_AGE_KNOT_X_5-V8_AGE_KNOT_X_4)*(V8_AGE_KNOT_Y_5-V8_AGE_KNOT_Y_4)))))))</f>
        <v/>
      </c>
      <c r="AC134" s="14">
        <f>IF(IF(OR(L134="",NOT(ISNUMBER(L134))),360,MAX(0,MIN(480,(INT(L134/100)-INT(VALUE(F134)/100))*12+MOD(L134,100)-MOD(VALUE(F134),100))))&gt;0,1+V8_MTY_AMP*MAX(0,(V8_MTY_CUTOFF-(IF(OR(L134="",NOT(ISNUMBER(L134))),360,MAX(0,MIN(480,(INT(L134/100)-INT(VALUE(F134)/100))*12+MOD(L134,100)-MOD(VALUE(F134),100))))))/V8_MTY_CUTOFF),1)</f>
        <v/>
      </c>
      <c r="AD134" s="14">
        <f>IF(AND(IF(OR(M134="",NOT(ISNUMBER(M134))),0,MAX(0,MIN(24,(INT(VALUE(F134)/100)-INT(M134/100))*12+MOD(VALUE(F134),100)-MOD(M134,100))))&gt;0,IF(OR(M134="",NOT(ISNUMBER(M134))),0,MAX(0,MIN(24,(INT(VALUE(F134)/100)-INT(M134/100))*12+MOD(VALUE(F134),100)-MOD(M134,100))))&lt;=12),1+V8_LOCKOUT_AMP*EXP(-(IF(OR(M134="",NOT(ISNUMBER(M134))),0,MAX(0,MIN(24,(INT(VALUE(F134)/100)-INT(M134/100))*12+MOD(VALUE(F134),100)-MOD(M134,100)))))/V8_LOCKOUT_TAU),1)</f>
        <v/>
      </c>
      <c r="AE134" s="14">
        <f>MAX(V8_BURN_FLOOR,1-V8_BURN_SLOPE*MIN(1,MAX(0,O134)))</f>
        <v/>
      </c>
      <c r="AF134" s="15">
        <f>MIN(Z134*AB134*AC134*AD134*AE134,0.2)</f>
        <v/>
      </c>
      <c r="AG134" s="16">
        <f>1-(1-AF134)^12</f>
        <v/>
      </c>
    </row>
    <row r="135">
      <c r="A135" s="2" t="inlineStr">
        <is>
          <t>000004322165</t>
        </is>
      </c>
      <c r="B135" t="inlineStr">
        <is>
          <t>232</t>
        </is>
      </c>
      <c r="C135" t="inlineStr">
        <is>
          <t>RP</t>
        </is>
      </c>
      <c r="D135" t="inlineStr">
        <is>
          <t>MERCHANTS CAPITAL CORP.</t>
        </is>
      </c>
      <c r="E135" t="n">
        <v>2022</v>
      </c>
      <c r="F135" t="inlineStr">
        <is>
          <t>202602</t>
        </is>
      </c>
      <c r="G135" s="8" t="n">
        <v>5891589.56</v>
      </c>
      <c r="H135" s="12" t="n">
        <v>2.95</v>
      </c>
      <c r="I135" s="13" t="n">
        <v>447</v>
      </c>
      <c r="J135" s="13" t="n">
        <v>7</v>
      </c>
      <c r="K135" t="n">
        <v>48</v>
      </c>
      <c r="L135" t="n">
        <v>205703</v>
      </c>
      <c r="M135" t="inlineStr"/>
      <c r="N135" t="n">
        <v>0</v>
      </c>
      <c r="O135" s="14" t="n">
        <v>0</v>
      </c>
      <c r="P135">
        <f>IF(ISNUMBER(SEARCH("232",B135)),"232",IF(ISNUMBER(SEARCH("538",B135)),"538",IF(ISNUMBER(SEARCH("223a7",B135)),"223a7",IF(ISNUMBER(SEARCH("223f",B135)),"223f","OTHER"))))</f>
        <v/>
      </c>
      <c r="Q135">
        <f>IF(UPPER(C135)="NC","NC","RP")</f>
        <v/>
      </c>
      <c r="R135">
        <f>IF(G135&lt;5000000,"small",IF(G135&lt;25000000,"medium","large"))</f>
        <v/>
      </c>
      <c r="S135">
        <f>P135&amp;"|"&amp;Q135&amp;"|"&amp;R135</f>
        <v/>
      </c>
      <c r="T135" s="13">
        <f>H135*100-I135</f>
        <v/>
      </c>
      <c r="U135" s="13">
        <f>T135-12.5*(J135+1)</f>
        <v/>
      </c>
      <c r="V135" s="15">
        <f>IFERROR(VLOOKUP(S135,V8_COHORT_TABLE,2,FALSE),IFERROR(VLOOKUP(P135&amp;"|"&amp;Q135&amp;"|ALL",V8_COHORT_TABLE,2,FALSE),IFERROR(VLOOKUP(P135&amp;"|ALL|ALL",V8_COHORT_TABLE,2,FALSE),VLOOKUP("GLOBAL",V8_COHORT_TABLE,2,FALSE))))</f>
        <v/>
      </c>
      <c r="W135" s="15">
        <f>IFERROR(VLOOKUP(S135,V8_COHORT_TABLE,3,FALSE),IFERROR(VLOOKUP(P135&amp;"|"&amp;Q135&amp;"|ALL",V8_COHORT_TABLE,3,FALSE),IFERROR(VLOOKUP(P135&amp;"|ALL|ALL",V8_COHORT_TABLE,3,FALSE),VLOOKUP("GLOBAL",V8_COHORT_TABLE,3,FALSE))))</f>
        <v/>
      </c>
      <c r="X135" s="15">
        <f>IFERROR(VLOOKUP(S135,V8_COHORT_TABLE,4,FALSE),IFERROR(VLOOKUP(P135&amp;"|"&amp;Q135&amp;"|ALL",V8_COHORT_TABLE,4,FALSE),IFERROR(VLOOKUP(P135&amp;"|ALL|ALL",V8_COHORT_TABLE,4,FALSE),VLOOKUP("GLOBAL",V8_COHORT_TABLE,4,FALSE))))</f>
        <v/>
      </c>
      <c r="Y135" s="15">
        <f>IFERROR(VLOOKUP(S135,V8_COHORT_TABLE,5,FALSE),IFERROR(VLOOKUP(P135&amp;"|"&amp;Q135&amp;"|ALL",V8_COHORT_TABLE,5,FALSE),IFERROR(VLOOKUP(P135&amp;"|ALL|ALL",V8_COHORT_TABLE,5,FALSE),VLOOKUP("GLOBAL",V8_COHORT_TABLE,5,FALSE))))</f>
        <v/>
      </c>
      <c r="Z135" s="15">
        <f>V135+W135/(1+EXP(-(U135-X135)/Y135))</f>
        <v/>
      </c>
      <c r="AA135" s="16">
        <f>1-(1-Z135)^12</f>
        <v/>
      </c>
      <c r="AB135" s="14">
        <f>IF(K135&lt;=V8_AGE_KNOT_X_0,V8_AGE_KNOT_Y_0,IF(K135&gt;=V8_AGE_KNOT_X_5,V8_AGE_KNOT_Y_5,IF(K135&lt;=V8_AGE_KNOT_X_1,V8_AGE_KNOT_Y_0+(K135-V8_AGE_KNOT_X_0)/(V8_AGE_KNOT_X_1-V8_AGE_KNOT_X_0)*(V8_AGE_KNOT_Y_1-V8_AGE_KNOT_Y_0),IF(K135&lt;=V8_AGE_KNOT_X_2,V8_AGE_KNOT_Y_1+(K135-V8_AGE_KNOT_X_1)/(V8_AGE_KNOT_X_2-V8_AGE_KNOT_X_1)*(V8_AGE_KNOT_Y_2-V8_AGE_KNOT_Y_1),IF(K135&lt;=V8_AGE_KNOT_X_3,V8_AGE_KNOT_Y_2+(K135-V8_AGE_KNOT_X_2)/(V8_AGE_KNOT_X_3-V8_AGE_KNOT_X_2)*(V8_AGE_KNOT_Y_3-V8_AGE_KNOT_Y_2),IF(K135&lt;=V8_AGE_KNOT_X_4,V8_AGE_KNOT_Y_3+(K135-V8_AGE_KNOT_X_3)/(V8_AGE_KNOT_X_4-V8_AGE_KNOT_X_3)*(V8_AGE_KNOT_Y_4-V8_AGE_KNOT_Y_3),V8_AGE_KNOT_Y_4+(K135-V8_AGE_KNOT_X_4)/(V8_AGE_KNOT_X_5-V8_AGE_KNOT_X_4)*(V8_AGE_KNOT_Y_5-V8_AGE_KNOT_Y_4)))))))</f>
        <v/>
      </c>
      <c r="AC135" s="14">
        <f>IF(IF(OR(L135="",NOT(ISNUMBER(L135))),360,MAX(0,MIN(480,(INT(L135/100)-INT(VALUE(F135)/100))*12+MOD(L135,100)-MOD(VALUE(F135),100))))&gt;0,1+V8_MTY_AMP*MAX(0,(V8_MTY_CUTOFF-(IF(OR(L135="",NOT(ISNUMBER(L135))),360,MAX(0,MIN(480,(INT(L135/100)-INT(VALUE(F135)/100))*12+MOD(L135,100)-MOD(VALUE(F135),100))))))/V8_MTY_CUTOFF),1)</f>
        <v/>
      </c>
      <c r="AD135" s="14">
        <f>IF(AND(IF(OR(M135="",NOT(ISNUMBER(M135))),0,MAX(0,MIN(24,(INT(VALUE(F135)/100)-INT(M135/100))*12+MOD(VALUE(F135),100)-MOD(M135,100))))&gt;0,IF(OR(M135="",NOT(ISNUMBER(M135))),0,MAX(0,MIN(24,(INT(VALUE(F135)/100)-INT(M135/100))*12+MOD(VALUE(F135),100)-MOD(M135,100))))&lt;=12),1+V8_LOCKOUT_AMP*EXP(-(IF(OR(M135="",NOT(ISNUMBER(M135))),0,MAX(0,MIN(24,(INT(VALUE(F135)/100)-INT(M135/100))*12+MOD(VALUE(F135),100)-MOD(M135,100)))))/V8_LOCKOUT_TAU),1)</f>
        <v/>
      </c>
      <c r="AE135" s="14">
        <f>MAX(V8_BURN_FLOOR,1-V8_BURN_SLOPE*MIN(1,MAX(0,O135)))</f>
        <v/>
      </c>
      <c r="AF135" s="15">
        <f>MIN(Z135*AB135*AC135*AD135*AE135,0.2)</f>
        <v/>
      </c>
      <c r="AG135" s="16">
        <f>1-(1-AF135)^12</f>
        <v/>
      </c>
    </row>
    <row r="136">
      <c r="A136" s="2" t="inlineStr">
        <is>
          <t>000004535249</t>
        </is>
      </c>
      <c r="B136" t="inlineStr">
        <is>
          <t>223a7</t>
        </is>
      </c>
      <c r="C136" t="inlineStr">
        <is>
          <t>RP</t>
        </is>
      </c>
      <c r="D136" t="inlineStr">
        <is>
          <t>MERCHANTS CAPITAL CORP.</t>
        </is>
      </c>
      <c r="E136" t="n">
        <v>2013</v>
      </c>
      <c r="F136" t="inlineStr">
        <is>
          <t>202602</t>
        </is>
      </c>
      <c r="G136" s="8" t="n">
        <v>707351.03</v>
      </c>
      <c r="H136" s="12" t="n">
        <v>3.5</v>
      </c>
      <c r="I136" s="13" t="n">
        <v>447</v>
      </c>
      <c r="J136" s="13" t="n">
        <v>0</v>
      </c>
      <c r="K136" t="n">
        <v>151</v>
      </c>
      <c r="L136" t="n">
        <v>204308</v>
      </c>
      <c r="M136" t="inlineStr"/>
      <c r="N136" t="n">
        <v>33</v>
      </c>
      <c r="O136" s="14" t="n">
        <v>0.2185430463576159</v>
      </c>
      <c r="P136">
        <f>IF(ISNUMBER(SEARCH("232",B136)),"232",IF(ISNUMBER(SEARCH("538",B136)),"538",IF(ISNUMBER(SEARCH("223a7",B136)),"223a7",IF(ISNUMBER(SEARCH("223f",B136)),"223f","OTHER"))))</f>
        <v/>
      </c>
      <c r="Q136">
        <f>IF(UPPER(C136)="NC","NC","RP")</f>
        <v/>
      </c>
      <c r="R136">
        <f>IF(G136&lt;5000000,"small",IF(G136&lt;25000000,"medium","large"))</f>
        <v/>
      </c>
      <c r="S136">
        <f>P136&amp;"|"&amp;Q136&amp;"|"&amp;R136</f>
        <v/>
      </c>
      <c r="T136" s="13">
        <f>H136*100-I136</f>
        <v/>
      </c>
      <c r="U136" s="13">
        <f>T136-12.5*(J136+1)</f>
        <v/>
      </c>
      <c r="V136" s="15">
        <f>IFERROR(VLOOKUP(S136,V8_COHORT_TABLE,2,FALSE),IFERROR(VLOOKUP(P136&amp;"|"&amp;Q136&amp;"|ALL",V8_COHORT_TABLE,2,FALSE),IFERROR(VLOOKUP(P136&amp;"|ALL|ALL",V8_COHORT_TABLE,2,FALSE),VLOOKUP("GLOBAL",V8_COHORT_TABLE,2,FALSE))))</f>
        <v/>
      </c>
      <c r="W136" s="15">
        <f>IFERROR(VLOOKUP(S136,V8_COHORT_TABLE,3,FALSE),IFERROR(VLOOKUP(P136&amp;"|"&amp;Q136&amp;"|ALL",V8_COHORT_TABLE,3,FALSE),IFERROR(VLOOKUP(P136&amp;"|ALL|ALL",V8_COHORT_TABLE,3,FALSE),VLOOKUP("GLOBAL",V8_COHORT_TABLE,3,FALSE))))</f>
        <v/>
      </c>
      <c r="X136" s="15">
        <f>IFERROR(VLOOKUP(S136,V8_COHORT_TABLE,4,FALSE),IFERROR(VLOOKUP(P136&amp;"|"&amp;Q136&amp;"|ALL",V8_COHORT_TABLE,4,FALSE),IFERROR(VLOOKUP(P136&amp;"|ALL|ALL",V8_COHORT_TABLE,4,FALSE),VLOOKUP("GLOBAL",V8_COHORT_TABLE,4,FALSE))))</f>
        <v/>
      </c>
      <c r="Y136" s="15">
        <f>IFERROR(VLOOKUP(S136,V8_COHORT_TABLE,5,FALSE),IFERROR(VLOOKUP(P136&amp;"|"&amp;Q136&amp;"|ALL",V8_COHORT_TABLE,5,FALSE),IFERROR(VLOOKUP(P136&amp;"|ALL|ALL",V8_COHORT_TABLE,5,FALSE),VLOOKUP("GLOBAL",V8_COHORT_TABLE,5,FALSE))))</f>
        <v/>
      </c>
      <c r="Z136" s="15">
        <f>V136+W136/(1+EXP(-(U136-X136)/Y136))</f>
        <v/>
      </c>
      <c r="AA136" s="16">
        <f>1-(1-Z136)^12</f>
        <v/>
      </c>
      <c r="AB136" s="14">
        <f>IF(K136&lt;=V8_AGE_KNOT_X_0,V8_AGE_KNOT_Y_0,IF(K136&gt;=V8_AGE_KNOT_X_5,V8_AGE_KNOT_Y_5,IF(K136&lt;=V8_AGE_KNOT_X_1,V8_AGE_KNOT_Y_0+(K136-V8_AGE_KNOT_X_0)/(V8_AGE_KNOT_X_1-V8_AGE_KNOT_X_0)*(V8_AGE_KNOT_Y_1-V8_AGE_KNOT_Y_0),IF(K136&lt;=V8_AGE_KNOT_X_2,V8_AGE_KNOT_Y_1+(K136-V8_AGE_KNOT_X_1)/(V8_AGE_KNOT_X_2-V8_AGE_KNOT_X_1)*(V8_AGE_KNOT_Y_2-V8_AGE_KNOT_Y_1),IF(K136&lt;=V8_AGE_KNOT_X_3,V8_AGE_KNOT_Y_2+(K136-V8_AGE_KNOT_X_2)/(V8_AGE_KNOT_X_3-V8_AGE_KNOT_X_2)*(V8_AGE_KNOT_Y_3-V8_AGE_KNOT_Y_2),IF(K136&lt;=V8_AGE_KNOT_X_4,V8_AGE_KNOT_Y_3+(K136-V8_AGE_KNOT_X_3)/(V8_AGE_KNOT_X_4-V8_AGE_KNOT_X_3)*(V8_AGE_KNOT_Y_4-V8_AGE_KNOT_Y_3),V8_AGE_KNOT_Y_4+(K136-V8_AGE_KNOT_X_4)/(V8_AGE_KNOT_X_5-V8_AGE_KNOT_X_4)*(V8_AGE_KNOT_Y_5-V8_AGE_KNOT_Y_4)))))))</f>
        <v/>
      </c>
      <c r="AC136" s="14">
        <f>IF(IF(OR(L136="",NOT(ISNUMBER(L136))),360,MAX(0,MIN(480,(INT(L136/100)-INT(VALUE(F136)/100))*12+MOD(L136,100)-MOD(VALUE(F136),100))))&gt;0,1+V8_MTY_AMP*MAX(0,(V8_MTY_CUTOFF-(IF(OR(L136="",NOT(ISNUMBER(L136))),360,MAX(0,MIN(480,(INT(L136/100)-INT(VALUE(F136)/100))*12+MOD(L136,100)-MOD(VALUE(F136),100))))))/V8_MTY_CUTOFF),1)</f>
        <v/>
      </c>
      <c r="AD136" s="14">
        <f>IF(AND(IF(OR(M136="",NOT(ISNUMBER(M136))),0,MAX(0,MIN(24,(INT(VALUE(F136)/100)-INT(M136/100))*12+MOD(VALUE(F136),100)-MOD(M136,100))))&gt;0,IF(OR(M136="",NOT(ISNUMBER(M136))),0,MAX(0,MIN(24,(INT(VALUE(F136)/100)-INT(M136/100))*12+MOD(VALUE(F136),100)-MOD(M136,100))))&lt;=12),1+V8_LOCKOUT_AMP*EXP(-(IF(OR(M136="",NOT(ISNUMBER(M136))),0,MAX(0,MIN(24,(INT(VALUE(F136)/100)-INT(M136/100))*12+MOD(VALUE(F136),100)-MOD(M136,100)))))/V8_LOCKOUT_TAU),1)</f>
        <v/>
      </c>
      <c r="AE136" s="14">
        <f>MAX(V8_BURN_FLOOR,1-V8_BURN_SLOPE*MIN(1,MAX(0,O136)))</f>
        <v/>
      </c>
      <c r="AF136" s="15">
        <f>MIN(Z136*AB136*AC136*AD136*AE136,0.2)</f>
        <v/>
      </c>
      <c r="AG136" s="16">
        <f>1-(1-AF136)^12</f>
        <v/>
      </c>
    </row>
    <row r="137">
      <c r="A137" s="2" t="inlineStr">
        <is>
          <t>000007211158</t>
        </is>
      </c>
      <c r="B137" t="inlineStr">
        <is>
          <t>223f</t>
        </is>
      </c>
      <c r="C137" t="inlineStr">
        <is>
          <t>RP</t>
        </is>
      </c>
      <c r="D137" t="inlineStr">
        <is>
          <t>MERCHANTS CAPITAL CORP.</t>
        </is>
      </c>
      <c r="E137" t="n">
        <v>2016</v>
      </c>
      <c r="F137" t="inlineStr">
        <is>
          <t>202602</t>
        </is>
      </c>
      <c r="G137" s="8" t="n">
        <v>1838375.43</v>
      </c>
      <c r="H137" s="12" t="n">
        <v>3.35</v>
      </c>
      <c r="I137" s="13" t="n">
        <v>447</v>
      </c>
      <c r="J137" s="13" t="n">
        <v>1</v>
      </c>
      <c r="K137" t="n">
        <v>115</v>
      </c>
      <c r="L137" t="n">
        <v>205108</v>
      </c>
      <c r="M137" t="inlineStr"/>
      <c r="N137" t="n">
        <v>26</v>
      </c>
      <c r="O137" s="14" t="n">
        <v>0.2260869565217391</v>
      </c>
      <c r="P137">
        <f>IF(ISNUMBER(SEARCH("232",B137)),"232",IF(ISNUMBER(SEARCH("538",B137)),"538",IF(ISNUMBER(SEARCH("223a7",B137)),"223a7",IF(ISNUMBER(SEARCH("223f",B137)),"223f","OTHER"))))</f>
        <v/>
      </c>
      <c r="Q137">
        <f>IF(UPPER(C137)="NC","NC","RP")</f>
        <v/>
      </c>
      <c r="R137">
        <f>IF(G137&lt;5000000,"small",IF(G137&lt;25000000,"medium","large"))</f>
        <v/>
      </c>
      <c r="S137">
        <f>P137&amp;"|"&amp;Q137&amp;"|"&amp;R137</f>
        <v/>
      </c>
      <c r="T137" s="13">
        <f>H137*100-I137</f>
        <v/>
      </c>
      <c r="U137" s="13">
        <f>T137-12.5*(J137+1)</f>
        <v/>
      </c>
      <c r="V137" s="15">
        <f>IFERROR(VLOOKUP(S137,V8_COHORT_TABLE,2,FALSE),IFERROR(VLOOKUP(P137&amp;"|"&amp;Q137&amp;"|ALL",V8_COHORT_TABLE,2,FALSE),IFERROR(VLOOKUP(P137&amp;"|ALL|ALL",V8_COHORT_TABLE,2,FALSE),VLOOKUP("GLOBAL",V8_COHORT_TABLE,2,FALSE))))</f>
        <v/>
      </c>
      <c r="W137" s="15">
        <f>IFERROR(VLOOKUP(S137,V8_COHORT_TABLE,3,FALSE),IFERROR(VLOOKUP(P137&amp;"|"&amp;Q137&amp;"|ALL",V8_COHORT_TABLE,3,FALSE),IFERROR(VLOOKUP(P137&amp;"|ALL|ALL",V8_COHORT_TABLE,3,FALSE),VLOOKUP("GLOBAL",V8_COHORT_TABLE,3,FALSE))))</f>
        <v/>
      </c>
      <c r="X137" s="15">
        <f>IFERROR(VLOOKUP(S137,V8_COHORT_TABLE,4,FALSE),IFERROR(VLOOKUP(P137&amp;"|"&amp;Q137&amp;"|ALL",V8_COHORT_TABLE,4,FALSE),IFERROR(VLOOKUP(P137&amp;"|ALL|ALL",V8_COHORT_TABLE,4,FALSE),VLOOKUP("GLOBAL",V8_COHORT_TABLE,4,FALSE))))</f>
        <v/>
      </c>
      <c r="Y137" s="15">
        <f>IFERROR(VLOOKUP(S137,V8_COHORT_TABLE,5,FALSE),IFERROR(VLOOKUP(P137&amp;"|"&amp;Q137&amp;"|ALL",V8_COHORT_TABLE,5,FALSE),IFERROR(VLOOKUP(P137&amp;"|ALL|ALL",V8_COHORT_TABLE,5,FALSE),VLOOKUP("GLOBAL",V8_COHORT_TABLE,5,FALSE))))</f>
        <v/>
      </c>
      <c r="Z137" s="15">
        <f>V137+W137/(1+EXP(-(U137-X137)/Y137))</f>
        <v/>
      </c>
      <c r="AA137" s="16">
        <f>1-(1-Z137)^12</f>
        <v/>
      </c>
      <c r="AB137" s="14">
        <f>IF(K137&lt;=V8_AGE_KNOT_X_0,V8_AGE_KNOT_Y_0,IF(K137&gt;=V8_AGE_KNOT_X_5,V8_AGE_KNOT_Y_5,IF(K137&lt;=V8_AGE_KNOT_X_1,V8_AGE_KNOT_Y_0+(K137-V8_AGE_KNOT_X_0)/(V8_AGE_KNOT_X_1-V8_AGE_KNOT_X_0)*(V8_AGE_KNOT_Y_1-V8_AGE_KNOT_Y_0),IF(K137&lt;=V8_AGE_KNOT_X_2,V8_AGE_KNOT_Y_1+(K137-V8_AGE_KNOT_X_1)/(V8_AGE_KNOT_X_2-V8_AGE_KNOT_X_1)*(V8_AGE_KNOT_Y_2-V8_AGE_KNOT_Y_1),IF(K137&lt;=V8_AGE_KNOT_X_3,V8_AGE_KNOT_Y_2+(K137-V8_AGE_KNOT_X_2)/(V8_AGE_KNOT_X_3-V8_AGE_KNOT_X_2)*(V8_AGE_KNOT_Y_3-V8_AGE_KNOT_Y_2),IF(K137&lt;=V8_AGE_KNOT_X_4,V8_AGE_KNOT_Y_3+(K137-V8_AGE_KNOT_X_3)/(V8_AGE_KNOT_X_4-V8_AGE_KNOT_X_3)*(V8_AGE_KNOT_Y_4-V8_AGE_KNOT_Y_3),V8_AGE_KNOT_Y_4+(K137-V8_AGE_KNOT_X_4)/(V8_AGE_KNOT_X_5-V8_AGE_KNOT_X_4)*(V8_AGE_KNOT_Y_5-V8_AGE_KNOT_Y_4)))))))</f>
        <v/>
      </c>
      <c r="AC137" s="14">
        <f>IF(IF(OR(L137="",NOT(ISNUMBER(L137))),360,MAX(0,MIN(480,(INT(L137/100)-INT(VALUE(F137)/100))*12+MOD(L137,100)-MOD(VALUE(F137),100))))&gt;0,1+V8_MTY_AMP*MAX(0,(V8_MTY_CUTOFF-(IF(OR(L137="",NOT(ISNUMBER(L137))),360,MAX(0,MIN(480,(INT(L137/100)-INT(VALUE(F137)/100))*12+MOD(L137,100)-MOD(VALUE(F137),100))))))/V8_MTY_CUTOFF),1)</f>
        <v/>
      </c>
      <c r="AD137" s="14">
        <f>IF(AND(IF(OR(M137="",NOT(ISNUMBER(M137))),0,MAX(0,MIN(24,(INT(VALUE(F137)/100)-INT(M137/100))*12+MOD(VALUE(F137),100)-MOD(M137,100))))&gt;0,IF(OR(M137="",NOT(ISNUMBER(M137))),0,MAX(0,MIN(24,(INT(VALUE(F137)/100)-INT(M137/100))*12+MOD(VALUE(F137),100)-MOD(M137,100))))&lt;=12),1+V8_LOCKOUT_AMP*EXP(-(IF(OR(M137="",NOT(ISNUMBER(M137))),0,MAX(0,MIN(24,(INT(VALUE(F137)/100)-INT(M137/100))*12+MOD(VALUE(F137),100)-MOD(M137,100)))))/V8_LOCKOUT_TAU),1)</f>
        <v/>
      </c>
      <c r="AE137" s="14">
        <f>MAX(V8_BURN_FLOOR,1-V8_BURN_SLOPE*MIN(1,MAX(0,O137)))</f>
        <v/>
      </c>
      <c r="AF137" s="15">
        <f>MIN(Z137*AB137*AC137*AD137*AE137,0.2)</f>
        <v/>
      </c>
      <c r="AG137" s="16">
        <f>1-(1-AF137)^12</f>
        <v/>
      </c>
    </row>
    <row r="138">
      <c r="A138" s="2" t="inlineStr">
        <is>
          <t>000011535893</t>
        </is>
      </c>
      <c r="B138" t="inlineStr">
        <is>
          <t>221d4</t>
        </is>
      </c>
      <c r="C138" t="inlineStr">
        <is>
          <t>NC</t>
        </is>
      </c>
      <c r="D138" t="inlineStr">
        <is>
          <t>PNC BANK, NA</t>
        </is>
      </c>
      <c r="E138" t="n">
        <v>2020</v>
      </c>
      <c r="F138" t="inlineStr">
        <is>
          <t>202602</t>
        </is>
      </c>
      <c r="G138" s="8" t="n">
        <v>15491709.69</v>
      </c>
      <c r="H138" s="12" t="n">
        <v>2.99</v>
      </c>
      <c r="I138" s="13" t="n">
        <v>447</v>
      </c>
      <c r="J138" s="13" t="n">
        <v>7</v>
      </c>
      <c r="K138" t="n">
        <v>68</v>
      </c>
      <c r="L138" t="n">
        <v>206209</v>
      </c>
      <c r="M138" t="inlineStr"/>
      <c r="N138" t="n">
        <v>0</v>
      </c>
      <c r="O138" s="14" t="n">
        <v>0</v>
      </c>
      <c r="P138">
        <f>IF(ISNUMBER(SEARCH("232",B138)),"232",IF(ISNUMBER(SEARCH("538",B138)),"538",IF(ISNUMBER(SEARCH("223a7",B138)),"223a7",IF(ISNUMBER(SEARCH("223f",B138)),"223f","OTHER"))))</f>
        <v/>
      </c>
      <c r="Q138">
        <f>IF(UPPER(C138)="NC","NC","RP")</f>
        <v/>
      </c>
      <c r="R138">
        <f>IF(G138&lt;5000000,"small",IF(G138&lt;25000000,"medium","large"))</f>
        <v/>
      </c>
      <c r="S138">
        <f>P138&amp;"|"&amp;Q138&amp;"|"&amp;R138</f>
        <v/>
      </c>
      <c r="T138" s="13">
        <f>H138*100-I138</f>
        <v/>
      </c>
      <c r="U138" s="13">
        <f>T138-12.5*(J138+1)</f>
        <v/>
      </c>
      <c r="V138" s="15">
        <f>IFERROR(VLOOKUP(S138,V8_COHORT_TABLE,2,FALSE),IFERROR(VLOOKUP(P138&amp;"|"&amp;Q138&amp;"|ALL",V8_COHORT_TABLE,2,FALSE),IFERROR(VLOOKUP(P138&amp;"|ALL|ALL",V8_COHORT_TABLE,2,FALSE),VLOOKUP("GLOBAL",V8_COHORT_TABLE,2,FALSE))))</f>
        <v/>
      </c>
      <c r="W138" s="15">
        <f>IFERROR(VLOOKUP(S138,V8_COHORT_TABLE,3,FALSE),IFERROR(VLOOKUP(P138&amp;"|"&amp;Q138&amp;"|ALL",V8_COHORT_TABLE,3,FALSE),IFERROR(VLOOKUP(P138&amp;"|ALL|ALL",V8_COHORT_TABLE,3,FALSE),VLOOKUP("GLOBAL",V8_COHORT_TABLE,3,FALSE))))</f>
        <v/>
      </c>
      <c r="X138" s="15">
        <f>IFERROR(VLOOKUP(S138,V8_COHORT_TABLE,4,FALSE),IFERROR(VLOOKUP(P138&amp;"|"&amp;Q138&amp;"|ALL",V8_COHORT_TABLE,4,FALSE),IFERROR(VLOOKUP(P138&amp;"|ALL|ALL",V8_COHORT_TABLE,4,FALSE),VLOOKUP("GLOBAL",V8_COHORT_TABLE,4,FALSE))))</f>
        <v/>
      </c>
      <c r="Y138" s="15">
        <f>IFERROR(VLOOKUP(S138,V8_COHORT_TABLE,5,FALSE),IFERROR(VLOOKUP(P138&amp;"|"&amp;Q138&amp;"|ALL",V8_COHORT_TABLE,5,FALSE),IFERROR(VLOOKUP(P138&amp;"|ALL|ALL",V8_COHORT_TABLE,5,FALSE),VLOOKUP("GLOBAL",V8_COHORT_TABLE,5,FALSE))))</f>
        <v/>
      </c>
      <c r="Z138" s="15">
        <f>V138+W138/(1+EXP(-(U138-X138)/Y138))</f>
        <v/>
      </c>
      <c r="AA138" s="16">
        <f>1-(1-Z138)^12</f>
        <v/>
      </c>
      <c r="AB138" s="14">
        <f>IF(K138&lt;=V8_AGE_KNOT_X_0,V8_AGE_KNOT_Y_0,IF(K138&gt;=V8_AGE_KNOT_X_5,V8_AGE_KNOT_Y_5,IF(K138&lt;=V8_AGE_KNOT_X_1,V8_AGE_KNOT_Y_0+(K138-V8_AGE_KNOT_X_0)/(V8_AGE_KNOT_X_1-V8_AGE_KNOT_X_0)*(V8_AGE_KNOT_Y_1-V8_AGE_KNOT_Y_0),IF(K138&lt;=V8_AGE_KNOT_X_2,V8_AGE_KNOT_Y_1+(K138-V8_AGE_KNOT_X_1)/(V8_AGE_KNOT_X_2-V8_AGE_KNOT_X_1)*(V8_AGE_KNOT_Y_2-V8_AGE_KNOT_Y_1),IF(K138&lt;=V8_AGE_KNOT_X_3,V8_AGE_KNOT_Y_2+(K138-V8_AGE_KNOT_X_2)/(V8_AGE_KNOT_X_3-V8_AGE_KNOT_X_2)*(V8_AGE_KNOT_Y_3-V8_AGE_KNOT_Y_2),IF(K138&lt;=V8_AGE_KNOT_X_4,V8_AGE_KNOT_Y_3+(K138-V8_AGE_KNOT_X_3)/(V8_AGE_KNOT_X_4-V8_AGE_KNOT_X_3)*(V8_AGE_KNOT_Y_4-V8_AGE_KNOT_Y_3),V8_AGE_KNOT_Y_4+(K138-V8_AGE_KNOT_X_4)/(V8_AGE_KNOT_X_5-V8_AGE_KNOT_X_4)*(V8_AGE_KNOT_Y_5-V8_AGE_KNOT_Y_4)))))))</f>
        <v/>
      </c>
      <c r="AC138" s="14">
        <f>IF(IF(OR(L138="",NOT(ISNUMBER(L138))),360,MAX(0,MIN(480,(INT(L138/100)-INT(VALUE(F138)/100))*12+MOD(L138,100)-MOD(VALUE(F138),100))))&gt;0,1+V8_MTY_AMP*MAX(0,(V8_MTY_CUTOFF-(IF(OR(L138="",NOT(ISNUMBER(L138))),360,MAX(0,MIN(480,(INT(L138/100)-INT(VALUE(F138)/100))*12+MOD(L138,100)-MOD(VALUE(F138),100))))))/V8_MTY_CUTOFF),1)</f>
        <v/>
      </c>
      <c r="AD138" s="14">
        <f>IF(AND(IF(OR(M138="",NOT(ISNUMBER(M138))),0,MAX(0,MIN(24,(INT(VALUE(F138)/100)-INT(M138/100))*12+MOD(VALUE(F138),100)-MOD(M138,100))))&gt;0,IF(OR(M138="",NOT(ISNUMBER(M138))),0,MAX(0,MIN(24,(INT(VALUE(F138)/100)-INT(M138/100))*12+MOD(VALUE(F138),100)-MOD(M138,100))))&lt;=12),1+V8_LOCKOUT_AMP*EXP(-(IF(OR(M138="",NOT(ISNUMBER(M138))),0,MAX(0,MIN(24,(INT(VALUE(F138)/100)-INT(M138/100))*12+MOD(VALUE(F138),100)-MOD(M138,100)))))/V8_LOCKOUT_TAU),1)</f>
        <v/>
      </c>
      <c r="AE138" s="14">
        <f>MAX(V8_BURN_FLOOR,1-V8_BURN_SLOPE*MIN(1,MAX(0,O138)))</f>
        <v/>
      </c>
      <c r="AF138" s="15">
        <f>MIN(Z138*AB138*AC138*AD138*AE138,0.2)</f>
        <v/>
      </c>
      <c r="AG138" s="16">
        <f>1-(1-AF138)^12</f>
        <v/>
      </c>
    </row>
    <row r="139">
      <c r="A139" s="2" t="inlineStr">
        <is>
          <t>000007535415</t>
        </is>
      </c>
      <c r="B139" t="inlineStr">
        <is>
          <t>221d4</t>
        </is>
      </c>
      <c r="C139" t="inlineStr">
        <is>
          <t>NC</t>
        </is>
      </c>
      <c r="D139" t="inlineStr">
        <is>
          <t>PNC BANK, NA</t>
        </is>
      </c>
      <c r="E139" t="n">
        <v>2015</v>
      </c>
      <c r="F139" t="inlineStr">
        <is>
          <t>202602</t>
        </is>
      </c>
      <c r="G139" s="8" t="n">
        <v>4231318.11</v>
      </c>
      <c r="H139" s="12" t="n">
        <v>3.35</v>
      </c>
      <c r="I139" s="13" t="n">
        <v>447</v>
      </c>
      <c r="J139" s="13" t="n">
        <v>0</v>
      </c>
      <c r="K139" t="n">
        <v>127</v>
      </c>
      <c r="L139" t="n">
        <v>204504</v>
      </c>
      <c r="M139" t="inlineStr"/>
      <c r="N139" t="n">
        <v>29</v>
      </c>
      <c r="O139" s="14" t="n">
        <v>0.2283464566929134</v>
      </c>
      <c r="P139">
        <f>IF(ISNUMBER(SEARCH("232",B139)),"232",IF(ISNUMBER(SEARCH("538",B139)),"538",IF(ISNUMBER(SEARCH("223a7",B139)),"223a7",IF(ISNUMBER(SEARCH("223f",B139)),"223f","OTHER"))))</f>
        <v/>
      </c>
      <c r="Q139">
        <f>IF(UPPER(C139)="NC","NC","RP")</f>
        <v/>
      </c>
      <c r="R139">
        <f>IF(G139&lt;5000000,"small",IF(G139&lt;25000000,"medium","large"))</f>
        <v/>
      </c>
      <c r="S139">
        <f>P139&amp;"|"&amp;Q139&amp;"|"&amp;R139</f>
        <v/>
      </c>
      <c r="T139" s="13">
        <f>H139*100-I139</f>
        <v/>
      </c>
      <c r="U139" s="13">
        <f>T139-12.5*(J139+1)</f>
        <v/>
      </c>
      <c r="V139" s="15">
        <f>IFERROR(VLOOKUP(S139,V8_COHORT_TABLE,2,FALSE),IFERROR(VLOOKUP(P139&amp;"|"&amp;Q139&amp;"|ALL",V8_COHORT_TABLE,2,FALSE),IFERROR(VLOOKUP(P139&amp;"|ALL|ALL",V8_COHORT_TABLE,2,FALSE),VLOOKUP("GLOBAL",V8_COHORT_TABLE,2,FALSE))))</f>
        <v/>
      </c>
      <c r="W139" s="15">
        <f>IFERROR(VLOOKUP(S139,V8_COHORT_TABLE,3,FALSE),IFERROR(VLOOKUP(P139&amp;"|"&amp;Q139&amp;"|ALL",V8_COHORT_TABLE,3,FALSE),IFERROR(VLOOKUP(P139&amp;"|ALL|ALL",V8_COHORT_TABLE,3,FALSE),VLOOKUP("GLOBAL",V8_COHORT_TABLE,3,FALSE))))</f>
        <v/>
      </c>
      <c r="X139" s="15">
        <f>IFERROR(VLOOKUP(S139,V8_COHORT_TABLE,4,FALSE),IFERROR(VLOOKUP(P139&amp;"|"&amp;Q139&amp;"|ALL",V8_COHORT_TABLE,4,FALSE),IFERROR(VLOOKUP(P139&amp;"|ALL|ALL",V8_COHORT_TABLE,4,FALSE),VLOOKUP("GLOBAL",V8_COHORT_TABLE,4,FALSE))))</f>
        <v/>
      </c>
      <c r="Y139" s="15">
        <f>IFERROR(VLOOKUP(S139,V8_COHORT_TABLE,5,FALSE),IFERROR(VLOOKUP(P139&amp;"|"&amp;Q139&amp;"|ALL",V8_COHORT_TABLE,5,FALSE),IFERROR(VLOOKUP(P139&amp;"|ALL|ALL",V8_COHORT_TABLE,5,FALSE),VLOOKUP("GLOBAL",V8_COHORT_TABLE,5,FALSE))))</f>
        <v/>
      </c>
      <c r="Z139" s="15">
        <f>V139+W139/(1+EXP(-(U139-X139)/Y139))</f>
        <v/>
      </c>
      <c r="AA139" s="16">
        <f>1-(1-Z139)^12</f>
        <v/>
      </c>
      <c r="AB139" s="14">
        <f>IF(K139&lt;=V8_AGE_KNOT_X_0,V8_AGE_KNOT_Y_0,IF(K139&gt;=V8_AGE_KNOT_X_5,V8_AGE_KNOT_Y_5,IF(K139&lt;=V8_AGE_KNOT_X_1,V8_AGE_KNOT_Y_0+(K139-V8_AGE_KNOT_X_0)/(V8_AGE_KNOT_X_1-V8_AGE_KNOT_X_0)*(V8_AGE_KNOT_Y_1-V8_AGE_KNOT_Y_0),IF(K139&lt;=V8_AGE_KNOT_X_2,V8_AGE_KNOT_Y_1+(K139-V8_AGE_KNOT_X_1)/(V8_AGE_KNOT_X_2-V8_AGE_KNOT_X_1)*(V8_AGE_KNOT_Y_2-V8_AGE_KNOT_Y_1),IF(K139&lt;=V8_AGE_KNOT_X_3,V8_AGE_KNOT_Y_2+(K139-V8_AGE_KNOT_X_2)/(V8_AGE_KNOT_X_3-V8_AGE_KNOT_X_2)*(V8_AGE_KNOT_Y_3-V8_AGE_KNOT_Y_2),IF(K139&lt;=V8_AGE_KNOT_X_4,V8_AGE_KNOT_Y_3+(K139-V8_AGE_KNOT_X_3)/(V8_AGE_KNOT_X_4-V8_AGE_KNOT_X_3)*(V8_AGE_KNOT_Y_4-V8_AGE_KNOT_Y_3),V8_AGE_KNOT_Y_4+(K139-V8_AGE_KNOT_X_4)/(V8_AGE_KNOT_X_5-V8_AGE_KNOT_X_4)*(V8_AGE_KNOT_Y_5-V8_AGE_KNOT_Y_4)))))))</f>
        <v/>
      </c>
      <c r="AC139" s="14">
        <f>IF(IF(OR(L139="",NOT(ISNUMBER(L139))),360,MAX(0,MIN(480,(INT(L139/100)-INT(VALUE(F139)/100))*12+MOD(L139,100)-MOD(VALUE(F139),100))))&gt;0,1+V8_MTY_AMP*MAX(0,(V8_MTY_CUTOFF-(IF(OR(L139="",NOT(ISNUMBER(L139))),360,MAX(0,MIN(480,(INT(L139/100)-INT(VALUE(F139)/100))*12+MOD(L139,100)-MOD(VALUE(F139),100))))))/V8_MTY_CUTOFF),1)</f>
        <v/>
      </c>
      <c r="AD139" s="14">
        <f>IF(AND(IF(OR(M139="",NOT(ISNUMBER(M139))),0,MAX(0,MIN(24,(INT(VALUE(F139)/100)-INT(M139/100))*12+MOD(VALUE(F139),100)-MOD(M139,100))))&gt;0,IF(OR(M139="",NOT(ISNUMBER(M139))),0,MAX(0,MIN(24,(INT(VALUE(F139)/100)-INT(M139/100))*12+MOD(VALUE(F139),100)-MOD(M139,100))))&lt;=12),1+V8_LOCKOUT_AMP*EXP(-(IF(OR(M139="",NOT(ISNUMBER(M139))),0,MAX(0,MIN(24,(INT(VALUE(F139)/100)-INT(M139/100))*12+MOD(VALUE(F139),100)-MOD(M139,100)))))/V8_LOCKOUT_TAU),1)</f>
        <v/>
      </c>
      <c r="AE139" s="14">
        <f>MAX(V8_BURN_FLOOR,1-V8_BURN_SLOPE*MIN(1,MAX(0,O139)))</f>
        <v/>
      </c>
      <c r="AF139" s="15">
        <f>MIN(Z139*AB139*AC139*AD139*AE139,0.2)</f>
        <v/>
      </c>
      <c r="AG139" s="16">
        <f>1-(1-AF139)^12</f>
        <v/>
      </c>
    </row>
    <row r="140">
      <c r="A140" s="2" t="inlineStr">
        <is>
          <t>000004711044</t>
        </is>
      </c>
      <c r="B140" t="inlineStr">
        <is>
          <t>223f</t>
        </is>
      </c>
      <c r="C140" t="inlineStr">
        <is>
          <t>RP</t>
        </is>
      </c>
      <c r="D140" t="inlineStr">
        <is>
          <t>PNC BANK, NA</t>
        </is>
      </c>
      <c r="E140" t="n">
        <v>2007</v>
      </c>
      <c r="F140" t="inlineStr">
        <is>
          <t>202602</t>
        </is>
      </c>
      <c r="G140" s="8" t="n">
        <v>656933.48</v>
      </c>
      <c r="H140" s="12" t="n">
        <v>5.8</v>
      </c>
      <c r="I140" s="13" t="n">
        <v>447</v>
      </c>
      <c r="J140" s="13" t="n">
        <v>0</v>
      </c>
      <c r="K140" t="n">
        <v>223</v>
      </c>
      <c r="L140" t="n">
        <v>204208</v>
      </c>
      <c r="M140" t="n">
        <v>200909</v>
      </c>
      <c r="N140" t="n">
        <v>85</v>
      </c>
      <c r="O140" s="14" t="n">
        <v>0.3811659192825112</v>
      </c>
      <c r="P140">
        <f>IF(ISNUMBER(SEARCH("232",B140)),"232",IF(ISNUMBER(SEARCH("538",B140)),"538",IF(ISNUMBER(SEARCH("223a7",B140)),"223a7",IF(ISNUMBER(SEARCH("223f",B140)),"223f","OTHER"))))</f>
        <v/>
      </c>
      <c r="Q140">
        <f>IF(UPPER(C140)="NC","NC","RP")</f>
        <v/>
      </c>
      <c r="R140">
        <f>IF(G140&lt;5000000,"small",IF(G140&lt;25000000,"medium","large"))</f>
        <v/>
      </c>
      <c r="S140">
        <f>P140&amp;"|"&amp;Q140&amp;"|"&amp;R140</f>
        <v/>
      </c>
      <c r="T140" s="13">
        <f>H140*100-I140</f>
        <v/>
      </c>
      <c r="U140" s="13">
        <f>T140-12.5*(J140+1)</f>
        <v/>
      </c>
      <c r="V140" s="15">
        <f>IFERROR(VLOOKUP(S140,V8_COHORT_TABLE,2,FALSE),IFERROR(VLOOKUP(P140&amp;"|"&amp;Q140&amp;"|ALL",V8_COHORT_TABLE,2,FALSE),IFERROR(VLOOKUP(P140&amp;"|ALL|ALL",V8_COHORT_TABLE,2,FALSE),VLOOKUP("GLOBAL",V8_COHORT_TABLE,2,FALSE))))</f>
        <v/>
      </c>
      <c r="W140" s="15">
        <f>IFERROR(VLOOKUP(S140,V8_COHORT_TABLE,3,FALSE),IFERROR(VLOOKUP(P140&amp;"|"&amp;Q140&amp;"|ALL",V8_COHORT_TABLE,3,FALSE),IFERROR(VLOOKUP(P140&amp;"|ALL|ALL",V8_COHORT_TABLE,3,FALSE),VLOOKUP("GLOBAL",V8_COHORT_TABLE,3,FALSE))))</f>
        <v/>
      </c>
      <c r="X140" s="15">
        <f>IFERROR(VLOOKUP(S140,V8_COHORT_TABLE,4,FALSE),IFERROR(VLOOKUP(P140&amp;"|"&amp;Q140&amp;"|ALL",V8_COHORT_TABLE,4,FALSE),IFERROR(VLOOKUP(P140&amp;"|ALL|ALL",V8_COHORT_TABLE,4,FALSE),VLOOKUP("GLOBAL",V8_COHORT_TABLE,4,FALSE))))</f>
        <v/>
      </c>
      <c r="Y140" s="15">
        <f>IFERROR(VLOOKUP(S140,V8_COHORT_TABLE,5,FALSE),IFERROR(VLOOKUP(P140&amp;"|"&amp;Q140&amp;"|ALL",V8_COHORT_TABLE,5,FALSE),IFERROR(VLOOKUP(P140&amp;"|ALL|ALL",V8_COHORT_TABLE,5,FALSE),VLOOKUP("GLOBAL",V8_COHORT_TABLE,5,FALSE))))</f>
        <v/>
      </c>
      <c r="Z140" s="15">
        <f>V140+W140/(1+EXP(-(U140-X140)/Y140))</f>
        <v/>
      </c>
      <c r="AA140" s="16">
        <f>1-(1-Z140)^12</f>
        <v/>
      </c>
      <c r="AB140" s="14">
        <f>IF(K140&lt;=V8_AGE_KNOT_X_0,V8_AGE_KNOT_Y_0,IF(K140&gt;=V8_AGE_KNOT_X_5,V8_AGE_KNOT_Y_5,IF(K140&lt;=V8_AGE_KNOT_X_1,V8_AGE_KNOT_Y_0+(K140-V8_AGE_KNOT_X_0)/(V8_AGE_KNOT_X_1-V8_AGE_KNOT_X_0)*(V8_AGE_KNOT_Y_1-V8_AGE_KNOT_Y_0),IF(K140&lt;=V8_AGE_KNOT_X_2,V8_AGE_KNOT_Y_1+(K140-V8_AGE_KNOT_X_1)/(V8_AGE_KNOT_X_2-V8_AGE_KNOT_X_1)*(V8_AGE_KNOT_Y_2-V8_AGE_KNOT_Y_1),IF(K140&lt;=V8_AGE_KNOT_X_3,V8_AGE_KNOT_Y_2+(K140-V8_AGE_KNOT_X_2)/(V8_AGE_KNOT_X_3-V8_AGE_KNOT_X_2)*(V8_AGE_KNOT_Y_3-V8_AGE_KNOT_Y_2),IF(K140&lt;=V8_AGE_KNOT_X_4,V8_AGE_KNOT_Y_3+(K140-V8_AGE_KNOT_X_3)/(V8_AGE_KNOT_X_4-V8_AGE_KNOT_X_3)*(V8_AGE_KNOT_Y_4-V8_AGE_KNOT_Y_3),V8_AGE_KNOT_Y_4+(K140-V8_AGE_KNOT_X_4)/(V8_AGE_KNOT_X_5-V8_AGE_KNOT_X_4)*(V8_AGE_KNOT_Y_5-V8_AGE_KNOT_Y_4)))))))</f>
        <v/>
      </c>
      <c r="AC140" s="14">
        <f>IF(IF(OR(L140="",NOT(ISNUMBER(L140))),360,MAX(0,MIN(480,(INT(L140/100)-INT(VALUE(F140)/100))*12+MOD(L140,100)-MOD(VALUE(F140),100))))&gt;0,1+V8_MTY_AMP*MAX(0,(V8_MTY_CUTOFF-(IF(OR(L140="",NOT(ISNUMBER(L140))),360,MAX(0,MIN(480,(INT(L140/100)-INT(VALUE(F140)/100))*12+MOD(L140,100)-MOD(VALUE(F140),100))))))/V8_MTY_CUTOFF),1)</f>
        <v/>
      </c>
      <c r="AD140" s="14">
        <f>IF(AND(IF(OR(M140="",NOT(ISNUMBER(M140))),0,MAX(0,MIN(24,(INT(VALUE(F140)/100)-INT(M140/100))*12+MOD(VALUE(F140),100)-MOD(M140,100))))&gt;0,IF(OR(M140="",NOT(ISNUMBER(M140))),0,MAX(0,MIN(24,(INT(VALUE(F140)/100)-INT(M140/100))*12+MOD(VALUE(F140),100)-MOD(M140,100))))&lt;=12),1+V8_LOCKOUT_AMP*EXP(-(IF(OR(M140="",NOT(ISNUMBER(M140))),0,MAX(0,MIN(24,(INT(VALUE(F140)/100)-INT(M140/100))*12+MOD(VALUE(F140),100)-MOD(M140,100)))))/V8_LOCKOUT_TAU),1)</f>
        <v/>
      </c>
      <c r="AE140" s="14">
        <f>MAX(V8_BURN_FLOOR,1-V8_BURN_SLOPE*MIN(1,MAX(0,O140)))</f>
        <v/>
      </c>
      <c r="AF140" s="15">
        <f>MIN(Z140*AB140*AC140*AD140*AE140,0.2)</f>
        <v/>
      </c>
      <c r="AG140" s="16">
        <f>1-(1-AF140)^12</f>
        <v/>
      </c>
    </row>
    <row r="141">
      <c r="A141" s="2" t="inlineStr">
        <is>
          <t>000001711215</t>
        </is>
      </c>
      <c r="B141" t="inlineStr">
        <is>
          <t>223f</t>
        </is>
      </c>
      <c r="C141" t="inlineStr">
        <is>
          <t>RP</t>
        </is>
      </c>
      <c r="D141" t="inlineStr">
        <is>
          <t>PNC BANK, NA</t>
        </is>
      </c>
      <c r="E141" t="n">
        <v>2020</v>
      </c>
      <c r="F141" t="inlineStr">
        <is>
          <t>202602</t>
        </is>
      </c>
      <c r="G141" s="8" t="n">
        <v>12716615.97</v>
      </c>
      <c r="H141" s="12" t="n">
        <v>2.38</v>
      </c>
      <c r="I141" s="13" t="n">
        <v>447</v>
      </c>
      <c r="J141" s="13" t="n">
        <v>5</v>
      </c>
      <c r="K141" t="n">
        <v>67</v>
      </c>
      <c r="L141" t="n">
        <v>205508</v>
      </c>
      <c r="M141" t="inlineStr"/>
      <c r="N141" t="n">
        <v>0</v>
      </c>
      <c r="O141" s="14" t="n">
        <v>0</v>
      </c>
      <c r="P141">
        <f>IF(ISNUMBER(SEARCH("232",B141)),"232",IF(ISNUMBER(SEARCH("538",B141)),"538",IF(ISNUMBER(SEARCH("223a7",B141)),"223a7",IF(ISNUMBER(SEARCH("223f",B141)),"223f","OTHER"))))</f>
        <v/>
      </c>
      <c r="Q141">
        <f>IF(UPPER(C141)="NC","NC","RP")</f>
        <v/>
      </c>
      <c r="R141">
        <f>IF(G141&lt;5000000,"small",IF(G141&lt;25000000,"medium","large"))</f>
        <v/>
      </c>
      <c r="S141">
        <f>P141&amp;"|"&amp;Q141&amp;"|"&amp;R141</f>
        <v/>
      </c>
      <c r="T141" s="13">
        <f>H141*100-I141</f>
        <v/>
      </c>
      <c r="U141" s="13">
        <f>T141-12.5*(J141+1)</f>
        <v/>
      </c>
      <c r="V141" s="15">
        <f>IFERROR(VLOOKUP(S141,V8_COHORT_TABLE,2,FALSE),IFERROR(VLOOKUP(P141&amp;"|"&amp;Q141&amp;"|ALL",V8_COHORT_TABLE,2,FALSE),IFERROR(VLOOKUP(P141&amp;"|ALL|ALL",V8_COHORT_TABLE,2,FALSE),VLOOKUP("GLOBAL",V8_COHORT_TABLE,2,FALSE))))</f>
        <v/>
      </c>
      <c r="W141" s="15">
        <f>IFERROR(VLOOKUP(S141,V8_COHORT_TABLE,3,FALSE),IFERROR(VLOOKUP(P141&amp;"|"&amp;Q141&amp;"|ALL",V8_COHORT_TABLE,3,FALSE),IFERROR(VLOOKUP(P141&amp;"|ALL|ALL",V8_COHORT_TABLE,3,FALSE),VLOOKUP("GLOBAL",V8_COHORT_TABLE,3,FALSE))))</f>
        <v/>
      </c>
      <c r="X141" s="15">
        <f>IFERROR(VLOOKUP(S141,V8_COHORT_TABLE,4,FALSE),IFERROR(VLOOKUP(P141&amp;"|"&amp;Q141&amp;"|ALL",V8_COHORT_TABLE,4,FALSE),IFERROR(VLOOKUP(P141&amp;"|ALL|ALL",V8_COHORT_TABLE,4,FALSE),VLOOKUP("GLOBAL",V8_COHORT_TABLE,4,FALSE))))</f>
        <v/>
      </c>
      <c r="Y141" s="15">
        <f>IFERROR(VLOOKUP(S141,V8_COHORT_TABLE,5,FALSE),IFERROR(VLOOKUP(P141&amp;"|"&amp;Q141&amp;"|ALL",V8_COHORT_TABLE,5,FALSE),IFERROR(VLOOKUP(P141&amp;"|ALL|ALL",V8_COHORT_TABLE,5,FALSE),VLOOKUP("GLOBAL",V8_COHORT_TABLE,5,FALSE))))</f>
        <v/>
      </c>
      <c r="Z141" s="15">
        <f>V141+W141/(1+EXP(-(U141-X141)/Y141))</f>
        <v/>
      </c>
      <c r="AA141" s="16">
        <f>1-(1-Z141)^12</f>
        <v/>
      </c>
      <c r="AB141" s="14">
        <f>IF(K141&lt;=V8_AGE_KNOT_X_0,V8_AGE_KNOT_Y_0,IF(K141&gt;=V8_AGE_KNOT_X_5,V8_AGE_KNOT_Y_5,IF(K141&lt;=V8_AGE_KNOT_X_1,V8_AGE_KNOT_Y_0+(K141-V8_AGE_KNOT_X_0)/(V8_AGE_KNOT_X_1-V8_AGE_KNOT_X_0)*(V8_AGE_KNOT_Y_1-V8_AGE_KNOT_Y_0),IF(K141&lt;=V8_AGE_KNOT_X_2,V8_AGE_KNOT_Y_1+(K141-V8_AGE_KNOT_X_1)/(V8_AGE_KNOT_X_2-V8_AGE_KNOT_X_1)*(V8_AGE_KNOT_Y_2-V8_AGE_KNOT_Y_1),IF(K141&lt;=V8_AGE_KNOT_X_3,V8_AGE_KNOT_Y_2+(K141-V8_AGE_KNOT_X_2)/(V8_AGE_KNOT_X_3-V8_AGE_KNOT_X_2)*(V8_AGE_KNOT_Y_3-V8_AGE_KNOT_Y_2),IF(K141&lt;=V8_AGE_KNOT_X_4,V8_AGE_KNOT_Y_3+(K141-V8_AGE_KNOT_X_3)/(V8_AGE_KNOT_X_4-V8_AGE_KNOT_X_3)*(V8_AGE_KNOT_Y_4-V8_AGE_KNOT_Y_3),V8_AGE_KNOT_Y_4+(K141-V8_AGE_KNOT_X_4)/(V8_AGE_KNOT_X_5-V8_AGE_KNOT_X_4)*(V8_AGE_KNOT_Y_5-V8_AGE_KNOT_Y_4)))))))</f>
        <v/>
      </c>
      <c r="AC141" s="14">
        <f>IF(IF(OR(L141="",NOT(ISNUMBER(L141))),360,MAX(0,MIN(480,(INT(L141/100)-INT(VALUE(F141)/100))*12+MOD(L141,100)-MOD(VALUE(F141),100))))&gt;0,1+V8_MTY_AMP*MAX(0,(V8_MTY_CUTOFF-(IF(OR(L141="",NOT(ISNUMBER(L141))),360,MAX(0,MIN(480,(INT(L141/100)-INT(VALUE(F141)/100))*12+MOD(L141,100)-MOD(VALUE(F141),100))))))/V8_MTY_CUTOFF),1)</f>
        <v/>
      </c>
      <c r="AD141" s="14">
        <f>IF(AND(IF(OR(M141="",NOT(ISNUMBER(M141))),0,MAX(0,MIN(24,(INT(VALUE(F141)/100)-INT(M141/100))*12+MOD(VALUE(F141),100)-MOD(M141,100))))&gt;0,IF(OR(M141="",NOT(ISNUMBER(M141))),0,MAX(0,MIN(24,(INT(VALUE(F141)/100)-INT(M141/100))*12+MOD(VALUE(F141),100)-MOD(M141,100))))&lt;=12),1+V8_LOCKOUT_AMP*EXP(-(IF(OR(M141="",NOT(ISNUMBER(M141))),0,MAX(0,MIN(24,(INT(VALUE(F141)/100)-INT(M141/100))*12+MOD(VALUE(F141),100)-MOD(M141,100)))))/V8_LOCKOUT_TAU),1)</f>
        <v/>
      </c>
      <c r="AE141" s="14">
        <f>MAX(V8_BURN_FLOOR,1-V8_BURN_SLOPE*MIN(1,MAX(0,O141)))</f>
        <v/>
      </c>
      <c r="AF141" s="15">
        <f>MIN(Z141*AB141*AC141*AD141*AE141,0.2)</f>
        <v/>
      </c>
      <c r="AG141" s="16">
        <f>1-(1-AF141)^12</f>
        <v/>
      </c>
    </row>
    <row r="142">
      <c r="A142" s="2" t="inlineStr">
        <is>
          <t>000005335916</t>
        </is>
      </c>
      <c r="B142" t="inlineStr">
        <is>
          <t>223a7</t>
        </is>
      </c>
      <c r="C142" t="inlineStr">
        <is>
          <t>RP</t>
        </is>
      </c>
      <c r="D142" t="inlineStr">
        <is>
          <t>PNC BANK, NA</t>
        </is>
      </c>
      <c r="E142" t="n">
        <v>2006</v>
      </c>
      <c r="F142" t="inlineStr">
        <is>
          <t>202602</t>
        </is>
      </c>
      <c r="G142" s="8" t="n">
        <v>182364.07</v>
      </c>
      <c r="H142" s="12" t="n">
        <v>6.75</v>
      </c>
      <c r="I142" s="13" t="n">
        <v>447</v>
      </c>
      <c r="J142" s="13" t="n">
        <v>0</v>
      </c>
      <c r="K142" t="n">
        <v>232</v>
      </c>
      <c r="L142" t="n">
        <v>203611</v>
      </c>
      <c r="M142" t="n">
        <v>200712</v>
      </c>
      <c r="N142" t="n">
        <v>87</v>
      </c>
      <c r="O142" s="14" t="n">
        <v>0.375</v>
      </c>
      <c r="P142">
        <f>IF(ISNUMBER(SEARCH("232",B142)),"232",IF(ISNUMBER(SEARCH("538",B142)),"538",IF(ISNUMBER(SEARCH("223a7",B142)),"223a7",IF(ISNUMBER(SEARCH("223f",B142)),"223f","OTHER"))))</f>
        <v/>
      </c>
      <c r="Q142">
        <f>IF(UPPER(C142)="NC","NC","RP")</f>
        <v/>
      </c>
      <c r="R142">
        <f>IF(G142&lt;5000000,"small",IF(G142&lt;25000000,"medium","large"))</f>
        <v/>
      </c>
      <c r="S142">
        <f>P142&amp;"|"&amp;Q142&amp;"|"&amp;R142</f>
        <v/>
      </c>
      <c r="T142" s="13">
        <f>H142*100-I142</f>
        <v/>
      </c>
      <c r="U142" s="13">
        <f>T142-12.5*(J142+1)</f>
        <v/>
      </c>
      <c r="V142" s="15">
        <f>IFERROR(VLOOKUP(S142,V8_COHORT_TABLE,2,FALSE),IFERROR(VLOOKUP(P142&amp;"|"&amp;Q142&amp;"|ALL",V8_COHORT_TABLE,2,FALSE),IFERROR(VLOOKUP(P142&amp;"|ALL|ALL",V8_COHORT_TABLE,2,FALSE),VLOOKUP("GLOBAL",V8_COHORT_TABLE,2,FALSE))))</f>
        <v/>
      </c>
      <c r="W142" s="15">
        <f>IFERROR(VLOOKUP(S142,V8_COHORT_TABLE,3,FALSE),IFERROR(VLOOKUP(P142&amp;"|"&amp;Q142&amp;"|ALL",V8_COHORT_TABLE,3,FALSE),IFERROR(VLOOKUP(P142&amp;"|ALL|ALL",V8_COHORT_TABLE,3,FALSE),VLOOKUP("GLOBAL",V8_COHORT_TABLE,3,FALSE))))</f>
        <v/>
      </c>
      <c r="X142" s="15">
        <f>IFERROR(VLOOKUP(S142,V8_COHORT_TABLE,4,FALSE),IFERROR(VLOOKUP(P142&amp;"|"&amp;Q142&amp;"|ALL",V8_COHORT_TABLE,4,FALSE),IFERROR(VLOOKUP(P142&amp;"|ALL|ALL",V8_COHORT_TABLE,4,FALSE),VLOOKUP("GLOBAL",V8_COHORT_TABLE,4,FALSE))))</f>
        <v/>
      </c>
      <c r="Y142" s="15">
        <f>IFERROR(VLOOKUP(S142,V8_COHORT_TABLE,5,FALSE),IFERROR(VLOOKUP(P142&amp;"|"&amp;Q142&amp;"|ALL",V8_COHORT_TABLE,5,FALSE),IFERROR(VLOOKUP(P142&amp;"|ALL|ALL",V8_COHORT_TABLE,5,FALSE),VLOOKUP("GLOBAL",V8_COHORT_TABLE,5,FALSE))))</f>
        <v/>
      </c>
      <c r="Z142" s="15">
        <f>V142+W142/(1+EXP(-(U142-X142)/Y142))</f>
        <v/>
      </c>
      <c r="AA142" s="16">
        <f>1-(1-Z142)^12</f>
        <v/>
      </c>
      <c r="AB142" s="14">
        <f>IF(K142&lt;=V8_AGE_KNOT_X_0,V8_AGE_KNOT_Y_0,IF(K142&gt;=V8_AGE_KNOT_X_5,V8_AGE_KNOT_Y_5,IF(K142&lt;=V8_AGE_KNOT_X_1,V8_AGE_KNOT_Y_0+(K142-V8_AGE_KNOT_X_0)/(V8_AGE_KNOT_X_1-V8_AGE_KNOT_X_0)*(V8_AGE_KNOT_Y_1-V8_AGE_KNOT_Y_0),IF(K142&lt;=V8_AGE_KNOT_X_2,V8_AGE_KNOT_Y_1+(K142-V8_AGE_KNOT_X_1)/(V8_AGE_KNOT_X_2-V8_AGE_KNOT_X_1)*(V8_AGE_KNOT_Y_2-V8_AGE_KNOT_Y_1),IF(K142&lt;=V8_AGE_KNOT_X_3,V8_AGE_KNOT_Y_2+(K142-V8_AGE_KNOT_X_2)/(V8_AGE_KNOT_X_3-V8_AGE_KNOT_X_2)*(V8_AGE_KNOT_Y_3-V8_AGE_KNOT_Y_2),IF(K142&lt;=V8_AGE_KNOT_X_4,V8_AGE_KNOT_Y_3+(K142-V8_AGE_KNOT_X_3)/(V8_AGE_KNOT_X_4-V8_AGE_KNOT_X_3)*(V8_AGE_KNOT_Y_4-V8_AGE_KNOT_Y_3),V8_AGE_KNOT_Y_4+(K142-V8_AGE_KNOT_X_4)/(V8_AGE_KNOT_X_5-V8_AGE_KNOT_X_4)*(V8_AGE_KNOT_Y_5-V8_AGE_KNOT_Y_4)))))))</f>
        <v/>
      </c>
      <c r="AC142" s="14">
        <f>IF(IF(OR(L142="",NOT(ISNUMBER(L142))),360,MAX(0,MIN(480,(INT(L142/100)-INT(VALUE(F142)/100))*12+MOD(L142,100)-MOD(VALUE(F142),100))))&gt;0,1+V8_MTY_AMP*MAX(0,(V8_MTY_CUTOFF-(IF(OR(L142="",NOT(ISNUMBER(L142))),360,MAX(0,MIN(480,(INT(L142/100)-INT(VALUE(F142)/100))*12+MOD(L142,100)-MOD(VALUE(F142),100))))))/V8_MTY_CUTOFF),1)</f>
        <v/>
      </c>
      <c r="AD142" s="14">
        <f>IF(AND(IF(OR(M142="",NOT(ISNUMBER(M142))),0,MAX(0,MIN(24,(INT(VALUE(F142)/100)-INT(M142/100))*12+MOD(VALUE(F142),100)-MOD(M142,100))))&gt;0,IF(OR(M142="",NOT(ISNUMBER(M142))),0,MAX(0,MIN(24,(INT(VALUE(F142)/100)-INT(M142/100))*12+MOD(VALUE(F142),100)-MOD(M142,100))))&lt;=12),1+V8_LOCKOUT_AMP*EXP(-(IF(OR(M142="",NOT(ISNUMBER(M142))),0,MAX(0,MIN(24,(INT(VALUE(F142)/100)-INT(M142/100))*12+MOD(VALUE(F142),100)-MOD(M142,100)))))/V8_LOCKOUT_TAU),1)</f>
        <v/>
      </c>
      <c r="AE142" s="14">
        <f>MAX(V8_BURN_FLOOR,1-V8_BURN_SLOPE*MIN(1,MAX(0,O142)))</f>
        <v/>
      </c>
      <c r="AF142" s="15">
        <f>MIN(Z142*AB142*AC142*AD142*AE142,0.2)</f>
        <v/>
      </c>
      <c r="AG142" s="16">
        <f>1-(1-AF142)^12</f>
        <v/>
      </c>
    </row>
    <row r="143">
      <c r="A143" s="2" t="inlineStr">
        <is>
          <t>170032150983</t>
        </is>
      </c>
      <c r="B143" t="inlineStr">
        <is>
          <t>OTHER</t>
        </is>
      </c>
      <c r="C143" t="inlineStr">
        <is>
          <t>OTHER</t>
        </is>
      </c>
      <c r="D143" t="inlineStr">
        <is>
          <t>PNC BANK, NA</t>
        </is>
      </c>
      <c r="E143" t="n">
        <v>2008</v>
      </c>
      <c r="F143" t="inlineStr">
        <is>
          <t>202602</t>
        </is>
      </c>
      <c r="G143" s="8" t="n">
        <v>1053037.65</v>
      </c>
      <c r="H143" s="12" t="n">
        <v>6.69</v>
      </c>
      <c r="I143" s="13" t="n">
        <v>447</v>
      </c>
      <c r="J143" s="13" t="n">
        <v>0</v>
      </c>
      <c r="K143" t="n">
        <v>215</v>
      </c>
      <c r="L143" t="n">
        <v>204803</v>
      </c>
      <c r="M143" t="n">
        <v>201503</v>
      </c>
      <c r="N143" t="n">
        <v>87</v>
      </c>
      <c r="O143" s="14" t="n">
        <v>0.4046511627906977</v>
      </c>
      <c r="P143">
        <f>IF(ISNUMBER(SEARCH("232",B143)),"232",IF(ISNUMBER(SEARCH("538",B143)),"538",IF(ISNUMBER(SEARCH("223a7",B143)),"223a7",IF(ISNUMBER(SEARCH("223f",B143)),"223f","OTHER"))))</f>
        <v/>
      </c>
      <c r="Q143">
        <f>IF(UPPER(C143)="NC","NC","RP")</f>
        <v/>
      </c>
      <c r="R143">
        <f>IF(G143&lt;5000000,"small",IF(G143&lt;25000000,"medium","large"))</f>
        <v/>
      </c>
      <c r="S143">
        <f>P143&amp;"|"&amp;Q143&amp;"|"&amp;R143</f>
        <v/>
      </c>
      <c r="T143" s="13">
        <f>H143*100-I143</f>
        <v/>
      </c>
      <c r="U143" s="13">
        <f>T143-12.5*(J143+1)</f>
        <v/>
      </c>
      <c r="V143" s="15">
        <f>IFERROR(VLOOKUP(S143,V8_COHORT_TABLE,2,FALSE),IFERROR(VLOOKUP(P143&amp;"|"&amp;Q143&amp;"|ALL",V8_COHORT_TABLE,2,FALSE),IFERROR(VLOOKUP(P143&amp;"|ALL|ALL",V8_COHORT_TABLE,2,FALSE),VLOOKUP("GLOBAL",V8_COHORT_TABLE,2,FALSE))))</f>
        <v/>
      </c>
      <c r="W143" s="15">
        <f>IFERROR(VLOOKUP(S143,V8_COHORT_TABLE,3,FALSE),IFERROR(VLOOKUP(P143&amp;"|"&amp;Q143&amp;"|ALL",V8_COHORT_TABLE,3,FALSE),IFERROR(VLOOKUP(P143&amp;"|ALL|ALL",V8_COHORT_TABLE,3,FALSE),VLOOKUP("GLOBAL",V8_COHORT_TABLE,3,FALSE))))</f>
        <v/>
      </c>
      <c r="X143" s="15">
        <f>IFERROR(VLOOKUP(S143,V8_COHORT_TABLE,4,FALSE),IFERROR(VLOOKUP(P143&amp;"|"&amp;Q143&amp;"|ALL",V8_COHORT_TABLE,4,FALSE),IFERROR(VLOOKUP(P143&amp;"|ALL|ALL",V8_COHORT_TABLE,4,FALSE),VLOOKUP("GLOBAL",V8_COHORT_TABLE,4,FALSE))))</f>
        <v/>
      </c>
      <c r="Y143" s="15">
        <f>IFERROR(VLOOKUP(S143,V8_COHORT_TABLE,5,FALSE),IFERROR(VLOOKUP(P143&amp;"|"&amp;Q143&amp;"|ALL",V8_COHORT_TABLE,5,FALSE),IFERROR(VLOOKUP(P143&amp;"|ALL|ALL",V8_COHORT_TABLE,5,FALSE),VLOOKUP("GLOBAL",V8_COHORT_TABLE,5,FALSE))))</f>
        <v/>
      </c>
      <c r="Z143" s="15">
        <f>V143+W143/(1+EXP(-(U143-X143)/Y143))</f>
        <v/>
      </c>
      <c r="AA143" s="16">
        <f>1-(1-Z143)^12</f>
        <v/>
      </c>
      <c r="AB143" s="14">
        <f>IF(K143&lt;=V8_AGE_KNOT_X_0,V8_AGE_KNOT_Y_0,IF(K143&gt;=V8_AGE_KNOT_X_5,V8_AGE_KNOT_Y_5,IF(K143&lt;=V8_AGE_KNOT_X_1,V8_AGE_KNOT_Y_0+(K143-V8_AGE_KNOT_X_0)/(V8_AGE_KNOT_X_1-V8_AGE_KNOT_X_0)*(V8_AGE_KNOT_Y_1-V8_AGE_KNOT_Y_0),IF(K143&lt;=V8_AGE_KNOT_X_2,V8_AGE_KNOT_Y_1+(K143-V8_AGE_KNOT_X_1)/(V8_AGE_KNOT_X_2-V8_AGE_KNOT_X_1)*(V8_AGE_KNOT_Y_2-V8_AGE_KNOT_Y_1),IF(K143&lt;=V8_AGE_KNOT_X_3,V8_AGE_KNOT_Y_2+(K143-V8_AGE_KNOT_X_2)/(V8_AGE_KNOT_X_3-V8_AGE_KNOT_X_2)*(V8_AGE_KNOT_Y_3-V8_AGE_KNOT_Y_2),IF(K143&lt;=V8_AGE_KNOT_X_4,V8_AGE_KNOT_Y_3+(K143-V8_AGE_KNOT_X_3)/(V8_AGE_KNOT_X_4-V8_AGE_KNOT_X_3)*(V8_AGE_KNOT_Y_4-V8_AGE_KNOT_Y_3),V8_AGE_KNOT_Y_4+(K143-V8_AGE_KNOT_X_4)/(V8_AGE_KNOT_X_5-V8_AGE_KNOT_X_4)*(V8_AGE_KNOT_Y_5-V8_AGE_KNOT_Y_4)))))))</f>
        <v/>
      </c>
      <c r="AC143" s="14">
        <f>IF(IF(OR(L143="",NOT(ISNUMBER(L143))),360,MAX(0,MIN(480,(INT(L143/100)-INT(VALUE(F143)/100))*12+MOD(L143,100)-MOD(VALUE(F143),100))))&gt;0,1+V8_MTY_AMP*MAX(0,(V8_MTY_CUTOFF-(IF(OR(L143="",NOT(ISNUMBER(L143))),360,MAX(0,MIN(480,(INT(L143/100)-INT(VALUE(F143)/100))*12+MOD(L143,100)-MOD(VALUE(F143),100))))))/V8_MTY_CUTOFF),1)</f>
        <v/>
      </c>
      <c r="AD143" s="14">
        <f>IF(AND(IF(OR(M143="",NOT(ISNUMBER(M143))),0,MAX(0,MIN(24,(INT(VALUE(F143)/100)-INT(M143/100))*12+MOD(VALUE(F143),100)-MOD(M143,100))))&gt;0,IF(OR(M143="",NOT(ISNUMBER(M143))),0,MAX(0,MIN(24,(INT(VALUE(F143)/100)-INT(M143/100))*12+MOD(VALUE(F143),100)-MOD(M143,100))))&lt;=12),1+V8_LOCKOUT_AMP*EXP(-(IF(OR(M143="",NOT(ISNUMBER(M143))),0,MAX(0,MIN(24,(INT(VALUE(F143)/100)-INT(M143/100))*12+MOD(VALUE(F143),100)-MOD(M143,100)))))/V8_LOCKOUT_TAU),1)</f>
        <v/>
      </c>
      <c r="AE143" s="14">
        <f>MAX(V8_BURN_FLOOR,1-V8_BURN_SLOPE*MIN(1,MAX(0,O143)))</f>
        <v/>
      </c>
      <c r="AF143" s="15">
        <f>MIN(Z143*AB143*AC143*AD143*AE143,0.2)</f>
        <v/>
      </c>
      <c r="AG143" s="16">
        <f>1-(1-AF143)^12</f>
        <v/>
      </c>
    </row>
    <row r="144">
      <c r="A144" s="2" t="inlineStr">
        <is>
          <t>000003335287</t>
        </is>
      </c>
      <c r="B144" t="inlineStr">
        <is>
          <t>221d4</t>
        </is>
      </c>
      <c r="C144" t="inlineStr">
        <is>
          <t>NC</t>
        </is>
      </c>
      <c r="D144" t="inlineStr">
        <is>
          <t>PNC BANK, NA</t>
        </is>
      </c>
      <c r="E144" t="n">
        <v>2014</v>
      </c>
      <c r="F144" t="inlineStr">
        <is>
          <t>202602</t>
        </is>
      </c>
      <c r="G144" s="8" t="n">
        <v>1436097.5</v>
      </c>
      <c r="H144" s="12" t="n">
        <v>3.95</v>
      </c>
      <c r="I144" s="13" t="n">
        <v>447</v>
      </c>
      <c r="J144" s="13" t="n">
        <v>0</v>
      </c>
      <c r="K144" t="n">
        <v>138</v>
      </c>
      <c r="L144" t="n">
        <v>205511</v>
      </c>
      <c r="M144" t="n">
        <v>201612</v>
      </c>
      <c r="N144" t="n">
        <v>35</v>
      </c>
      <c r="O144" s="14" t="n">
        <v>0.2536231884057971</v>
      </c>
      <c r="P144">
        <f>IF(ISNUMBER(SEARCH("232",B144)),"232",IF(ISNUMBER(SEARCH("538",B144)),"538",IF(ISNUMBER(SEARCH("223a7",B144)),"223a7",IF(ISNUMBER(SEARCH("223f",B144)),"223f","OTHER"))))</f>
        <v/>
      </c>
      <c r="Q144">
        <f>IF(UPPER(C144)="NC","NC","RP")</f>
        <v/>
      </c>
      <c r="R144">
        <f>IF(G144&lt;5000000,"small",IF(G144&lt;25000000,"medium","large"))</f>
        <v/>
      </c>
      <c r="S144">
        <f>P144&amp;"|"&amp;Q144&amp;"|"&amp;R144</f>
        <v/>
      </c>
      <c r="T144" s="13">
        <f>H144*100-I144</f>
        <v/>
      </c>
      <c r="U144" s="13">
        <f>T144-12.5*(J144+1)</f>
        <v/>
      </c>
      <c r="V144" s="15">
        <f>IFERROR(VLOOKUP(S144,V8_COHORT_TABLE,2,FALSE),IFERROR(VLOOKUP(P144&amp;"|"&amp;Q144&amp;"|ALL",V8_COHORT_TABLE,2,FALSE),IFERROR(VLOOKUP(P144&amp;"|ALL|ALL",V8_COHORT_TABLE,2,FALSE),VLOOKUP("GLOBAL",V8_COHORT_TABLE,2,FALSE))))</f>
        <v/>
      </c>
      <c r="W144" s="15">
        <f>IFERROR(VLOOKUP(S144,V8_COHORT_TABLE,3,FALSE),IFERROR(VLOOKUP(P144&amp;"|"&amp;Q144&amp;"|ALL",V8_COHORT_TABLE,3,FALSE),IFERROR(VLOOKUP(P144&amp;"|ALL|ALL",V8_COHORT_TABLE,3,FALSE),VLOOKUP("GLOBAL",V8_COHORT_TABLE,3,FALSE))))</f>
        <v/>
      </c>
      <c r="X144" s="15">
        <f>IFERROR(VLOOKUP(S144,V8_COHORT_TABLE,4,FALSE),IFERROR(VLOOKUP(P144&amp;"|"&amp;Q144&amp;"|ALL",V8_COHORT_TABLE,4,FALSE),IFERROR(VLOOKUP(P144&amp;"|ALL|ALL",V8_COHORT_TABLE,4,FALSE),VLOOKUP("GLOBAL",V8_COHORT_TABLE,4,FALSE))))</f>
        <v/>
      </c>
      <c r="Y144" s="15">
        <f>IFERROR(VLOOKUP(S144,V8_COHORT_TABLE,5,FALSE),IFERROR(VLOOKUP(P144&amp;"|"&amp;Q144&amp;"|ALL",V8_COHORT_TABLE,5,FALSE),IFERROR(VLOOKUP(P144&amp;"|ALL|ALL",V8_COHORT_TABLE,5,FALSE),VLOOKUP("GLOBAL",V8_COHORT_TABLE,5,FALSE))))</f>
        <v/>
      </c>
      <c r="Z144" s="15">
        <f>V144+W144/(1+EXP(-(U144-X144)/Y144))</f>
        <v/>
      </c>
      <c r="AA144" s="16">
        <f>1-(1-Z144)^12</f>
        <v/>
      </c>
      <c r="AB144" s="14">
        <f>IF(K144&lt;=V8_AGE_KNOT_X_0,V8_AGE_KNOT_Y_0,IF(K144&gt;=V8_AGE_KNOT_X_5,V8_AGE_KNOT_Y_5,IF(K144&lt;=V8_AGE_KNOT_X_1,V8_AGE_KNOT_Y_0+(K144-V8_AGE_KNOT_X_0)/(V8_AGE_KNOT_X_1-V8_AGE_KNOT_X_0)*(V8_AGE_KNOT_Y_1-V8_AGE_KNOT_Y_0),IF(K144&lt;=V8_AGE_KNOT_X_2,V8_AGE_KNOT_Y_1+(K144-V8_AGE_KNOT_X_1)/(V8_AGE_KNOT_X_2-V8_AGE_KNOT_X_1)*(V8_AGE_KNOT_Y_2-V8_AGE_KNOT_Y_1),IF(K144&lt;=V8_AGE_KNOT_X_3,V8_AGE_KNOT_Y_2+(K144-V8_AGE_KNOT_X_2)/(V8_AGE_KNOT_X_3-V8_AGE_KNOT_X_2)*(V8_AGE_KNOT_Y_3-V8_AGE_KNOT_Y_2),IF(K144&lt;=V8_AGE_KNOT_X_4,V8_AGE_KNOT_Y_3+(K144-V8_AGE_KNOT_X_3)/(V8_AGE_KNOT_X_4-V8_AGE_KNOT_X_3)*(V8_AGE_KNOT_Y_4-V8_AGE_KNOT_Y_3),V8_AGE_KNOT_Y_4+(K144-V8_AGE_KNOT_X_4)/(V8_AGE_KNOT_X_5-V8_AGE_KNOT_X_4)*(V8_AGE_KNOT_Y_5-V8_AGE_KNOT_Y_4)))))))</f>
        <v/>
      </c>
      <c r="AC144" s="14">
        <f>IF(IF(OR(L144="",NOT(ISNUMBER(L144))),360,MAX(0,MIN(480,(INT(L144/100)-INT(VALUE(F144)/100))*12+MOD(L144,100)-MOD(VALUE(F144),100))))&gt;0,1+V8_MTY_AMP*MAX(0,(V8_MTY_CUTOFF-(IF(OR(L144="",NOT(ISNUMBER(L144))),360,MAX(0,MIN(480,(INT(L144/100)-INT(VALUE(F144)/100))*12+MOD(L144,100)-MOD(VALUE(F144),100))))))/V8_MTY_CUTOFF),1)</f>
        <v/>
      </c>
      <c r="AD144" s="14">
        <f>IF(AND(IF(OR(M144="",NOT(ISNUMBER(M144))),0,MAX(0,MIN(24,(INT(VALUE(F144)/100)-INT(M144/100))*12+MOD(VALUE(F144),100)-MOD(M144,100))))&gt;0,IF(OR(M144="",NOT(ISNUMBER(M144))),0,MAX(0,MIN(24,(INT(VALUE(F144)/100)-INT(M144/100))*12+MOD(VALUE(F144),100)-MOD(M144,100))))&lt;=12),1+V8_LOCKOUT_AMP*EXP(-(IF(OR(M144="",NOT(ISNUMBER(M144))),0,MAX(0,MIN(24,(INT(VALUE(F144)/100)-INT(M144/100))*12+MOD(VALUE(F144),100)-MOD(M144,100)))))/V8_LOCKOUT_TAU),1)</f>
        <v/>
      </c>
      <c r="AE144" s="14">
        <f>MAX(V8_BURN_FLOOR,1-V8_BURN_SLOPE*MIN(1,MAX(0,O144)))</f>
        <v/>
      </c>
      <c r="AF144" s="15">
        <f>MIN(Z144*AB144*AC144*AD144*AE144,0.2)</f>
        <v/>
      </c>
      <c r="AG144" s="16">
        <f>1-(1-AF144)^12</f>
        <v/>
      </c>
    </row>
    <row r="145">
      <c r="A145" s="2" t="inlineStr">
        <is>
          <t>000012211432</t>
        </is>
      </c>
      <c r="B145" t="inlineStr">
        <is>
          <t>223f</t>
        </is>
      </c>
      <c r="C145" t="inlineStr">
        <is>
          <t>RP</t>
        </is>
      </c>
      <c r="D145" t="inlineStr">
        <is>
          <t>PNC BANK, NA</t>
        </is>
      </c>
      <c r="E145" t="n">
        <v>2019</v>
      </c>
      <c r="F145" t="inlineStr">
        <is>
          <t>202602</t>
        </is>
      </c>
      <c r="G145" s="8" t="n">
        <v>26299051.2</v>
      </c>
      <c r="H145" s="12" t="n">
        <v>3.22</v>
      </c>
      <c r="I145" s="13" t="n">
        <v>447</v>
      </c>
      <c r="J145" s="13" t="n">
        <v>4</v>
      </c>
      <c r="K145" t="n">
        <v>77</v>
      </c>
      <c r="L145" t="n">
        <v>205410</v>
      </c>
      <c r="M145" t="inlineStr"/>
      <c r="N145" t="n">
        <v>20</v>
      </c>
      <c r="O145" s="14" t="n">
        <v>0.2597402597402597</v>
      </c>
      <c r="P145">
        <f>IF(ISNUMBER(SEARCH("232",B145)),"232",IF(ISNUMBER(SEARCH("538",B145)),"538",IF(ISNUMBER(SEARCH("223a7",B145)),"223a7",IF(ISNUMBER(SEARCH("223f",B145)),"223f","OTHER"))))</f>
        <v/>
      </c>
      <c r="Q145">
        <f>IF(UPPER(C145)="NC","NC","RP")</f>
        <v/>
      </c>
      <c r="R145">
        <f>IF(G145&lt;5000000,"small",IF(G145&lt;25000000,"medium","large"))</f>
        <v/>
      </c>
      <c r="S145">
        <f>P145&amp;"|"&amp;Q145&amp;"|"&amp;R145</f>
        <v/>
      </c>
      <c r="T145" s="13">
        <f>H145*100-I145</f>
        <v/>
      </c>
      <c r="U145" s="13">
        <f>T145-12.5*(J145+1)</f>
        <v/>
      </c>
      <c r="V145" s="15">
        <f>IFERROR(VLOOKUP(S145,V8_COHORT_TABLE,2,FALSE),IFERROR(VLOOKUP(P145&amp;"|"&amp;Q145&amp;"|ALL",V8_COHORT_TABLE,2,FALSE),IFERROR(VLOOKUP(P145&amp;"|ALL|ALL",V8_COHORT_TABLE,2,FALSE),VLOOKUP("GLOBAL",V8_COHORT_TABLE,2,FALSE))))</f>
        <v/>
      </c>
      <c r="W145" s="15">
        <f>IFERROR(VLOOKUP(S145,V8_COHORT_TABLE,3,FALSE),IFERROR(VLOOKUP(P145&amp;"|"&amp;Q145&amp;"|ALL",V8_COHORT_TABLE,3,FALSE),IFERROR(VLOOKUP(P145&amp;"|ALL|ALL",V8_COHORT_TABLE,3,FALSE),VLOOKUP("GLOBAL",V8_COHORT_TABLE,3,FALSE))))</f>
        <v/>
      </c>
      <c r="X145" s="15">
        <f>IFERROR(VLOOKUP(S145,V8_COHORT_TABLE,4,FALSE),IFERROR(VLOOKUP(P145&amp;"|"&amp;Q145&amp;"|ALL",V8_COHORT_TABLE,4,FALSE),IFERROR(VLOOKUP(P145&amp;"|ALL|ALL",V8_COHORT_TABLE,4,FALSE),VLOOKUP("GLOBAL",V8_COHORT_TABLE,4,FALSE))))</f>
        <v/>
      </c>
      <c r="Y145" s="15">
        <f>IFERROR(VLOOKUP(S145,V8_COHORT_TABLE,5,FALSE),IFERROR(VLOOKUP(P145&amp;"|"&amp;Q145&amp;"|ALL",V8_COHORT_TABLE,5,FALSE),IFERROR(VLOOKUP(P145&amp;"|ALL|ALL",V8_COHORT_TABLE,5,FALSE),VLOOKUP("GLOBAL",V8_COHORT_TABLE,5,FALSE))))</f>
        <v/>
      </c>
      <c r="Z145" s="15">
        <f>V145+W145/(1+EXP(-(U145-X145)/Y145))</f>
        <v/>
      </c>
      <c r="AA145" s="16">
        <f>1-(1-Z145)^12</f>
        <v/>
      </c>
      <c r="AB145" s="14">
        <f>IF(K145&lt;=V8_AGE_KNOT_X_0,V8_AGE_KNOT_Y_0,IF(K145&gt;=V8_AGE_KNOT_X_5,V8_AGE_KNOT_Y_5,IF(K145&lt;=V8_AGE_KNOT_X_1,V8_AGE_KNOT_Y_0+(K145-V8_AGE_KNOT_X_0)/(V8_AGE_KNOT_X_1-V8_AGE_KNOT_X_0)*(V8_AGE_KNOT_Y_1-V8_AGE_KNOT_Y_0),IF(K145&lt;=V8_AGE_KNOT_X_2,V8_AGE_KNOT_Y_1+(K145-V8_AGE_KNOT_X_1)/(V8_AGE_KNOT_X_2-V8_AGE_KNOT_X_1)*(V8_AGE_KNOT_Y_2-V8_AGE_KNOT_Y_1),IF(K145&lt;=V8_AGE_KNOT_X_3,V8_AGE_KNOT_Y_2+(K145-V8_AGE_KNOT_X_2)/(V8_AGE_KNOT_X_3-V8_AGE_KNOT_X_2)*(V8_AGE_KNOT_Y_3-V8_AGE_KNOT_Y_2),IF(K145&lt;=V8_AGE_KNOT_X_4,V8_AGE_KNOT_Y_3+(K145-V8_AGE_KNOT_X_3)/(V8_AGE_KNOT_X_4-V8_AGE_KNOT_X_3)*(V8_AGE_KNOT_Y_4-V8_AGE_KNOT_Y_3),V8_AGE_KNOT_Y_4+(K145-V8_AGE_KNOT_X_4)/(V8_AGE_KNOT_X_5-V8_AGE_KNOT_X_4)*(V8_AGE_KNOT_Y_5-V8_AGE_KNOT_Y_4)))))))</f>
        <v/>
      </c>
      <c r="AC145" s="14">
        <f>IF(IF(OR(L145="",NOT(ISNUMBER(L145))),360,MAX(0,MIN(480,(INT(L145/100)-INT(VALUE(F145)/100))*12+MOD(L145,100)-MOD(VALUE(F145),100))))&gt;0,1+V8_MTY_AMP*MAX(0,(V8_MTY_CUTOFF-(IF(OR(L145="",NOT(ISNUMBER(L145))),360,MAX(0,MIN(480,(INT(L145/100)-INT(VALUE(F145)/100))*12+MOD(L145,100)-MOD(VALUE(F145),100))))))/V8_MTY_CUTOFF),1)</f>
        <v/>
      </c>
      <c r="AD145" s="14">
        <f>IF(AND(IF(OR(M145="",NOT(ISNUMBER(M145))),0,MAX(0,MIN(24,(INT(VALUE(F145)/100)-INT(M145/100))*12+MOD(VALUE(F145),100)-MOD(M145,100))))&gt;0,IF(OR(M145="",NOT(ISNUMBER(M145))),0,MAX(0,MIN(24,(INT(VALUE(F145)/100)-INT(M145/100))*12+MOD(VALUE(F145),100)-MOD(M145,100))))&lt;=12),1+V8_LOCKOUT_AMP*EXP(-(IF(OR(M145="",NOT(ISNUMBER(M145))),0,MAX(0,MIN(24,(INT(VALUE(F145)/100)-INT(M145/100))*12+MOD(VALUE(F145),100)-MOD(M145,100)))))/V8_LOCKOUT_TAU),1)</f>
        <v/>
      </c>
      <c r="AE145" s="14">
        <f>MAX(V8_BURN_FLOOR,1-V8_BURN_SLOPE*MIN(1,MAX(0,O145)))</f>
        <v/>
      </c>
      <c r="AF145" s="15">
        <f>MIN(Z145*AB145*AC145*AD145*AE145,0.2)</f>
        <v/>
      </c>
      <c r="AG145" s="16">
        <f>1-(1-AF145)^12</f>
        <v/>
      </c>
    </row>
    <row r="146">
      <c r="A146" s="2" t="inlineStr">
        <is>
          <t>000010335188</t>
        </is>
      </c>
      <c r="B146" t="inlineStr">
        <is>
          <t>221d4</t>
        </is>
      </c>
      <c r="C146" t="inlineStr">
        <is>
          <t>RP</t>
        </is>
      </c>
      <c r="D146" t="inlineStr">
        <is>
          <t>PNC BANK, NA</t>
        </is>
      </c>
      <c r="E146" t="n">
        <v>2020</v>
      </c>
      <c r="F146" t="inlineStr">
        <is>
          <t>202602</t>
        </is>
      </c>
      <c r="G146" s="8" t="n">
        <v>22595607.96</v>
      </c>
      <c r="H146" s="12" t="n">
        <v>2.65</v>
      </c>
      <c r="I146" s="13" t="n">
        <v>447</v>
      </c>
      <c r="J146" s="13" t="n">
        <v>5</v>
      </c>
      <c r="K146" t="n">
        <v>69</v>
      </c>
      <c r="L146" t="n">
        <v>206006</v>
      </c>
      <c r="M146" t="inlineStr"/>
      <c r="N146" t="n">
        <v>0</v>
      </c>
      <c r="O146" s="14" t="n">
        <v>0</v>
      </c>
      <c r="P146">
        <f>IF(ISNUMBER(SEARCH("232",B146)),"232",IF(ISNUMBER(SEARCH("538",B146)),"538",IF(ISNUMBER(SEARCH("223a7",B146)),"223a7",IF(ISNUMBER(SEARCH("223f",B146)),"223f","OTHER"))))</f>
        <v/>
      </c>
      <c r="Q146">
        <f>IF(UPPER(C146)="NC","NC","RP")</f>
        <v/>
      </c>
      <c r="R146">
        <f>IF(G146&lt;5000000,"small",IF(G146&lt;25000000,"medium","large"))</f>
        <v/>
      </c>
      <c r="S146">
        <f>P146&amp;"|"&amp;Q146&amp;"|"&amp;R146</f>
        <v/>
      </c>
      <c r="T146" s="13">
        <f>H146*100-I146</f>
        <v/>
      </c>
      <c r="U146" s="13">
        <f>T146-12.5*(J146+1)</f>
        <v/>
      </c>
      <c r="V146" s="15">
        <f>IFERROR(VLOOKUP(S146,V8_COHORT_TABLE,2,FALSE),IFERROR(VLOOKUP(P146&amp;"|"&amp;Q146&amp;"|ALL",V8_COHORT_TABLE,2,FALSE),IFERROR(VLOOKUP(P146&amp;"|ALL|ALL",V8_COHORT_TABLE,2,FALSE),VLOOKUP("GLOBAL",V8_COHORT_TABLE,2,FALSE))))</f>
        <v/>
      </c>
      <c r="W146" s="15">
        <f>IFERROR(VLOOKUP(S146,V8_COHORT_TABLE,3,FALSE),IFERROR(VLOOKUP(P146&amp;"|"&amp;Q146&amp;"|ALL",V8_COHORT_TABLE,3,FALSE),IFERROR(VLOOKUP(P146&amp;"|ALL|ALL",V8_COHORT_TABLE,3,FALSE),VLOOKUP("GLOBAL",V8_COHORT_TABLE,3,FALSE))))</f>
        <v/>
      </c>
      <c r="X146" s="15">
        <f>IFERROR(VLOOKUP(S146,V8_COHORT_TABLE,4,FALSE),IFERROR(VLOOKUP(P146&amp;"|"&amp;Q146&amp;"|ALL",V8_COHORT_TABLE,4,FALSE),IFERROR(VLOOKUP(P146&amp;"|ALL|ALL",V8_COHORT_TABLE,4,FALSE),VLOOKUP("GLOBAL",V8_COHORT_TABLE,4,FALSE))))</f>
        <v/>
      </c>
      <c r="Y146" s="15">
        <f>IFERROR(VLOOKUP(S146,V8_COHORT_TABLE,5,FALSE),IFERROR(VLOOKUP(P146&amp;"|"&amp;Q146&amp;"|ALL",V8_COHORT_TABLE,5,FALSE),IFERROR(VLOOKUP(P146&amp;"|ALL|ALL",V8_COHORT_TABLE,5,FALSE),VLOOKUP("GLOBAL",V8_COHORT_TABLE,5,FALSE))))</f>
        <v/>
      </c>
      <c r="Z146" s="15">
        <f>V146+W146/(1+EXP(-(U146-X146)/Y146))</f>
        <v/>
      </c>
      <c r="AA146" s="16">
        <f>1-(1-Z146)^12</f>
        <v/>
      </c>
      <c r="AB146" s="14">
        <f>IF(K146&lt;=V8_AGE_KNOT_X_0,V8_AGE_KNOT_Y_0,IF(K146&gt;=V8_AGE_KNOT_X_5,V8_AGE_KNOT_Y_5,IF(K146&lt;=V8_AGE_KNOT_X_1,V8_AGE_KNOT_Y_0+(K146-V8_AGE_KNOT_X_0)/(V8_AGE_KNOT_X_1-V8_AGE_KNOT_X_0)*(V8_AGE_KNOT_Y_1-V8_AGE_KNOT_Y_0),IF(K146&lt;=V8_AGE_KNOT_X_2,V8_AGE_KNOT_Y_1+(K146-V8_AGE_KNOT_X_1)/(V8_AGE_KNOT_X_2-V8_AGE_KNOT_X_1)*(V8_AGE_KNOT_Y_2-V8_AGE_KNOT_Y_1),IF(K146&lt;=V8_AGE_KNOT_X_3,V8_AGE_KNOT_Y_2+(K146-V8_AGE_KNOT_X_2)/(V8_AGE_KNOT_X_3-V8_AGE_KNOT_X_2)*(V8_AGE_KNOT_Y_3-V8_AGE_KNOT_Y_2),IF(K146&lt;=V8_AGE_KNOT_X_4,V8_AGE_KNOT_Y_3+(K146-V8_AGE_KNOT_X_3)/(V8_AGE_KNOT_X_4-V8_AGE_KNOT_X_3)*(V8_AGE_KNOT_Y_4-V8_AGE_KNOT_Y_3),V8_AGE_KNOT_Y_4+(K146-V8_AGE_KNOT_X_4)/(V8_AGE_KNOT_X_5-V8_AGE_KNOT_X_4)*(V8_AGE_KNOT_Y_5-V8_AGE_KNOT_Y_4)))))))</f>
        <v/>
      </c>
      <c r="AC146" s="14">
        <f>IF(IF(OR(L146="",NOT(ISNUMBER(L146))),360,MAX(0,MIN(480,(INT(L146/100)-INT(VALUE(F146)/100))*12+MOD(L146,100)-MOD(VALUE(F146),100))))&gt;0,1+V8_MTY_AMP*MAX(0,(V8_MTY_CUTOFF-(IF(OR(L146="",NOT(ISNUMBER(L146))),360,MAX(0,MIN(480,(INT(L146/100)-INT(VALUE(F146)/100))*12+MOD(L146,100)-MOD(VALUE(F146),100))))))/V8_MTY_CUTOFF),1)</f>
        <v/>
      </c>
      <c r="AD146" s="14">
        <f>IF(AND(IF(OR(M146="",NOT(ISNUMBER(M146))),0,MAX(0,MIN(24,(INT(VALUE(F146)/100)-INT(M146/100))*12+MOD(VALUE(F146),100)-MOD(M146,100))))&gt;0,IF(OR(M146="",NOT(ISNUMBER(M146))),0,MAX(0,MIN(24,(INT(VALUE(F146)/100)-INT(M146/100))*12+MOD(VALUE(F146),100)-MOD(M146,100))))&lt;=12),1+V8_LOCKOUT_AMP*EXP(-(IF(OR(M146="",NOT(ISNUMBER(M146))),0,MAX(0,MIN(24,(INT(VALUE(F146)/100)-INT(M146/100))*12+MOD(VALUE(F146),100)-MOD(M146,100)))))/V8_LOCKOUT_TAU),1)</f>
        <v/>
      </c>
      <c r="AE146" s="14">
        <f>MAX(V8_BURN_FLOOR,1-V8_BURN_SLOPE*MIN(1,MAX(0,O146)))</f>
        <v/>
      </c>
      <c r="AF146" s="15">
        <f>MIN(Z146*AB146*AC146*AD146*AE146,0.2)</f>
        <v/>
      </c>
      <c r="AG146" s="16">
        <f>1-(1-AF146)^12</f>
        <v/>
      </c>
    </row>
    <row r="147">
      <c r="A147" s="2" t="inlineStr">
        <is>
          <t>000011311100</t>
        </is>
      </c>
      <c r="B147" t="inlineStr">
        <is>
          <t>223f</t>
        </is>
      </c>
      <c r="C147" t="inlineStr">
        <is>
          <t>RP</t>
        </is>
      </c>
      <c r="D147" t="inlineStr">
        <is>
          <t>PNC BANK, NA</t>
        </is>
      </c>
      <c r="E147" t="n">
        <v>2017</v>
      </c>
      <c r="F147" t="inlineStr">
        <is>
          <t>202602</t>
        </is>
      </c>
      <c r="G147" s="8" t="n">
        <v>760254.09</v>
      </c>
      <c r="H147" s="12" t="n">
        <v>3.75</v>
      </c>
      <c r="I147" s="13" t="n">
        <v>447</v>
      </c>
      <c r="J147" s="13" t="n">
        <v>2</v>
      </c>
      <c r="K147" t="n">
        <v>109</v>
      </c>
      <c r="L147" t="n">
        <v>203604</v>
      </c>
      <c r="M147" t="inlineStr"/>
      <c r="N147" t="n">
        <v>31</v>
      </c>
      <c r="O147" s="14" t="n">
        <v>0.2844036697247707</v>
      </c>
      <c r="P147">
        <f>IF(ISNUMBER(SEARCH("232",B147)),"232",IF(ISNUMBER(SEARCH("538",B147)),"538",IF(ISNUMBER(SEARCH("223a7",B147)),"223a7",IF(ISNUMBER(SEARCH("223f",B147)),"223f","OTHER"))))</f>
        <v/>
      </c>
      <c r="Q147">
        <f>IF(UPPER(C147)="NC","NC","RP")</f>
        <v/>
      </c>
      <c r="R147">
        <f>IF(G147&lt;5000000,"small",IF(G147&lt;25000000,"medium","large"))</f>
        <v/>
      </c>
      <c r="S147">
        <f>P147&amp;"|"&amp;Q147&amp;"|"&amp;R147</f>
        <v/>
      </c>
      <c r="T147" s="13">
        <f>H147*100-I147</f>
        <v/>
      </c>
      <c r="U147" s="13">
        <f>T147-12.5*(J147+1)</f>
        <v/>
      </c>
      <c r="V147" s="15">
        <f>IFERROR(VLOOKUP(S147,V8_COHORT_TABLE,2,FALSE),IFERROR(VLOOKUP(P147&amp;"|"&amp;Q147&amp;"|ALL",V8_COHORT_TABLE,2,FALSE),IFERROR(VLOOKUP(P147&amp;"|ALL|ALL",V8_COHORT_TABLE,2,FALSE),VLOOKUP("GLOBAL",V8_COHORT_TABLE,2,FALSE))))</f>
        <v/>
      </c>
      <c r="W147" s="15">
        <f>IFERROR(VLOOKUP(S147,V8_COHORT_TABLE,3,FALSE),IFERROR(VLOOKUP(P147&amp;"|"&amp;Q147&amp;"|ALL",V8_COHORT_TABLE,3,FALSE),IFERROR(VLOOKUP(P147&amp;"|ALL|ALL",V8_COHORT_TABLE,3,FALSE),VLOOKUP("GLOBAL",V8_COHORT_TABLE,3,FALSE))))</f>
        <v/>
      </c>
      <c r="X147" s="15">
        <f>IFERROR(VLOOKUP(S147,V8_COHORT_TABLE,4,FALSE),IFERROR(VLOOKUP(P147&amp;"|"&amp;Q147&amp;"|ALL",V8_COHORT_TABLE,4,FALSE),IFERROR(VLOOKUP(P147&amp;"|ALL|ALL",V8_COHORT_TABLE,4,FALSE),VLOOKUP("GLOBAL",V8_COHORT_TABLE,4,FALSE))))</f>
        <v/>
      </c>
      <c r="Y147" s="15">
        <f>IFERROR(VLOOKUP(S147,V8_COHORT_TABLE,5,FALSE),IFERROR(VLOOKUP(P147&amp;"|"&amp;Q147&amp;"|ALL",V8_COHORT_TABLE,5,FALSE),IFERROR(VLOOKUP(P147&amp;"|ALL|ALL",V8_COHORT_TABLE,5,FALSE),VLOOKUP("GLOBAL",V8_COHORT_TABLE,5,FALSE))))</f>
        <v/>
      </c>
      <c r="Z147" s="15">
        <f>V147+W147/(1+EXP(-(U147-X147)/Y147))</f>
        <v/>
      </c>
      <c r="AA147" s="16">
        <f>1-(1-Z147)^12</f>
        <v/>
      </c>
      <c r="AB147" s="14">
        <f>IF(K147&lt;=V8_AGE_KNOT_X_0,V8_AGE_KNOT_Y_0,IF(K147&gt;=V8_AGE_KNOT_X_5,V8_AGE_KNOT_Y_5,IF(K147&lt;=V8_AGE_KNOT_X_1,V8_AGE_KNOT_Y_0+(K147-V8_AGE_KNOT_X_0)/(V8_AGE_KNOT_X_1-V8_AGE_KNOT_X_0)*(V8_AGE_KNOT_Y_1-V8_AGE_KNOT_Y_0),IF(K147&lt;=V8_AGE_KNOT_X_2,V8_AGE_KNOT_Y_1+(K147-V8_AGE_KNOT_X_1)/(V8_AGE_KNOT_X_2-V8_AGE_KNOT_X_1)*(V8_AGE_KNOT_Y_2-V8_AGE_KNOT_Y_1),IF(K147&lt;=V8_AGE_KNOT_X_3,V8_AGE_KNOT_Y_2+(K147-V8_AGE_KNOT_X_2)/(V8_AGE_KNOT_X_3-V8_AGE_KNOT_X_2)*(V8_AGE_KNOT_Y_3-V8_AGE_KNOT_Y_2),IF(K147&lt;=V8_AGE_KNOT_X_4,V8_AGE_KNOT_Y_3+(K147-V8_AGE_KNOT_X_3)/(V8_AGE_KNOT_X_4-V8_AGE_KNOT_X_3)*(V8_AGE_KNOT_Y_4-V8_AGE_KNOT_Y_3),V8_AGE_KNOT_Y_4+(K147-V8_AGE_KNOT_X_4)/(V8_AGE_KNOT_X_5-V8_AGE_KNOT_X_4)*(V8_AGE_KNOT_Y_5-V8_AGE_KNOT_Y_4)))))))</f>
        <v/>
      </c>
      <c r="AC147" s="14">
        <f>IF(IF(OR(L147="",NOT(ISNUMBER(L147))),360,MAX(0,MIN(480,(INT(L147/100)-INT(VALUE(F147)/100))*12+MOD(L147,100)-MOD(VALUE(F147),100))))&gt;0,1+V8_MTY_AMP*MAX(0,(V8_MTY_CUTOFF-(IF(OR(L147="",NOT(ISNUMBER(L147))),360,MAX(0,MIN(480,(INT(L147/100)-INT(VALUE(F147)/100))*12+MOD(L147,100)-MOD(VALUE(F147),100))))))/V8_MTY_CUTOFF),1)</f>
        <v/>
      </c>
      <c r="AD147" s="14">
        <f>IF(AND(IF(OR(M147="",NOT(ISNUMBER(M147))),0,MAX(0,MIN(24,(INT(VALUE(F147)/100)-INT(M147/100))*12+MOD(VALUE(F147),100)-MOD(M147,100))))&gt;0,IF(OR(M147="",NOT(ISNUMBER(M147))),0,MAX(0,MIN(24,(INT(VALUE(F147)/100)-INT(M147/100))*12+MOD(VALUE(F147),100)-MOD(M147,100))))&lt;=12),1+V8_LOCKOUT_AMP*EXP(-(IF(OR(M147="",NOT(ISNUMBER(M147))),0,MAX(0,MIN(24,(INT(VALUE(F147)/100)-INT(M147/100))*12+MOD(VALUE(F147),100)-MOD(M147,100)))))/V8_LOCKOUT_TAU),1)</f>
        <v/>
      </c>
      <c r="AE147" s="14">
        <f>MAX(V8_BURN_FLOOR,1-V8_BURN_SLOPE*MIN(1,MAX(0,O147)))</f>
        <v/>
      </c>
      <c r="AF147" s="15">
        <f>MIN(Z147*AB147*AC147*AD147*AE147,0.2)</f>
        <v/>
      </c>
      <c r="AG147" s="16">
        <f>1-(1-AF147)^12</f>
        <v/>
      </c>
    </row>
    <row r="148">
      <c r="A148" s="2" t="inlineStr">
        <is>
          <t>000012211229</t>
        </is>
      </c>
      <c r="B148" t="inlineStr">
        <is>
          <t>223a7</t>
        </is>
      </c>
      <c r="C148" t="inlineStr">
        <is>
          <t>RP</t>
        </is>
      </c>
      <c r="D148" t="inlineStr">
        <is>
          <t>PNC BANK, NA</t>
        </is>
      </c>
      <c r="E148" t="n">
        <v>2011</v>
      </c>
      <c r="F148" t="inlineStr">
        <is>
          <t>202602</t>
        </is>
      </c>
      <c r="G148" s="8" t="n">
        <v>3177123.41</v>
      </c>
      <c r="H148" s="12" t="n">
        <v>3.3</v>
      </c>
      <c r="I148" s="13" t="n">
        <v>447</v>
      </c>
      <c r="J148" s="13" t="n">
        <v>0</v>
      </c>
      <c r="K148" t="n">
        <v>172</v>
      </c>
      <c r="L148" t="n">
        <v>204611</v>
      </c>
      <c r="M148" t="n">
        <v>201312</v>
      </c>
      <c r="N148" t="n">
        <v>35</v>
      </c>
      <c r="O148" s="14" t="n">
        <v>0.2034883720930233</v>
      </c>
      <c r="P148">
        <f>IF(ISNUMBER(SEARCH("232",B148)),"232",IF(ISNUMBER(SEARCH("538",B148)),"538",IF(ISNUMBER(SEARCH("223a7",B148)),"223a7",IF(ISNUMBER(SEARCH("223f",B148)),"223f","OTHER"))))</f>
        <v/>
      </c>
      <c r="Q148">
        <f>IF(UPPER(C148)="NC","NC","RP")</f>
        <v/>
      </c>
      <c r="R148">
        <f>IF(G148&lt;5000000,"small",IF(G148&lt;25000000,"medium","large"))</f>
        <v/>
      </c>
      <c r="S148">
        <f>P148&amp;"|"&amp;Q148&amp;"|"&amp;R148</f>
        <v/>
      </c>
      <c r="T148" s="13">
        <f>H148*100-I148</f>
        <v/>
      </c>
      <c r="U148" s="13">
        <f>T148-12.5*(J148+1)</f>
        <v/>
      </c>
      <c r="V148" s="15">
        <f>IFERROR(VLOOKUP(S148,V8_COHORT_TABLE,2,FALSE),IFERROR(VLOOKUP(P148&amp;"|"&amp;Q148&amp;"|ALL",V8_COHORT_TABLE,2,FALSE),IFERROR(VLOOKUP(P148&amp;"|ALL|ALL",V8_COHORT_TABLE,2,FALSE),VLOOKUP("GLOBAL",V8_COHORT_TABLE,2,FALSE))))</f>
        <v/>
      </c>
      <c r="W148" s="15">
        <f>IFERROR(VLOOKUP(S148,V8_COHORT_TABLE,3,FALSE),IFERROR(VLOOKUP(P148&amp;"|"&amp;Q148&amp;"|ALL",V8_COHORT_TABLE,3,FALSE),IFERROR(VLOOKUP(P148&amp;"|ALL|ALL",V8_COHORT_TABLE,3,FALSE),VLOOKUP("GLOBAL",V8_COHORT_TABLE,3,FALSE))))</f>
        <v/>
      </c>
      <c r="X148" s="15">
        <f>IFERROR(VLOOKUP(S148,V8_COHORT_TABLE,4,FALSE),IFERROR(VLOOKUP(P148&amp;"|"&amp;Q148&amp;"|ALL",V8_COHORT_TABLE,4,FALSE),IFERROR(VLOOKUP(P148&amp;"|ALL|ALL",V8_COHORT_TABLE,4,FALSE),VLOOKUP("GLOBAL",V8_COHORT_TABLE,4,FALSE))))</f>
        <v/>
      </c>
      <c r="Y148" s="15">
        <f>IFERROR(VLOOKUP(S148,V8_COHORT_TABLE,5,FALSE),IFERROR(VLOOKUP(P148&amp;"|"&amp;Q148&amp;"|ALL",V8_COHORT_TABLE,5,FALSE),IFERROR(VLOOKUP(P148&amp;"|ALL|ALL",V8_COHORT_TABLE,5,FALSE),VLOOKUP("GLOBAL",V8_COHORT_TABLE,5,FALSE))))</f>
        <v/>
      </c>
      <c r="Z148" s="15">
        <f>V148+W148/(1+EXP(-(U148-X148)/Y148))</f>
        <v/>
      </c>
      <c r="AA148" s="16">
        <f>1-(1-Z148)^12</f>
        <v/>
      </c>
      <c r="AB148" s="14">
        <f>IF(K148&lt;=V8_AGE_KNOT_X_0,V8_AGE_KNOT_Y_0,IF(K148&gt;=V8_AGE_KNOT_X_5,V8_AGE_KNOT_Y_5,IF(K148&lt;=V8_AGE_KNOT_X_1,V8_AGE_KNOT_Y_0+(K148-V8_AGE_KNOT_X_0)/(V8_AGE_KNOT_X_1-V8_AGE_KNOT_X_0)*(V8_AGE_KNOT_Y_1-V8_AGE_KNOT_Y_0),IF(K148&lt;=V8_AGE_KNOT_X_2,V8_AGE_KNOT_Y_1+(K148-V8_AGE_KNOT_X_1)/(V8_AGE_KNOT_X_2-V8_AGE_KNOT_X_1)*(V8_AGE_KNOT_Y_2-V8_AGE_KNOT_Y_1),IF(K148&lt;=V8_AGE_KNOT_X_3,V8_AGE_KNOT_Y_2+(K148-V8_AGE_KNOT_X_2)/(V8_AGE_KNOT_X_3-V8_AGE_KNOT_X_2)*(V8_AGE_KNOT_Y_3-V8_AGE_KNOT_Y_2),IF(K148&lt;=V8_AGE_KNOT_X_4,V8_AGE_KNOT_Y_3+(K148-V8_AGE_KNOT_X_3)/(V8_AGE_KNOT_X_4-V8_AGE_KNOT_X_3)*(V8_AGE_KNOT_Y_4-V8_AGE_KNOT_Y_3),V8_AGE_KNOT_Y_4+(K148-V8_AGE_KNOT_X_4)/(V8_AGE_KNOT_X_5-V8_AGE_KNOT_X_4)*(V8_AGE_KNOT_Y_5-V8_AGE_KNOT_Y_4)))))))</f>
        <v/>
      </c>
      <c r="AC148" s="14">
        <f>IF(IF(OR(L148="",NOT(ISNUMBER(L148))),360,MAX(0,MIN(480,(INT(L148/100)-INT(VALUE(F148)/100))*12+MOD(L148,100)-MOD(VALUE(F148),100))))&gt;0,1+V8_MTY_AMP*MAX(0,(V8_MTY_CUTOFF-(IF(OR(L148="",NOT(ISNUMBER(L148))),360,MAX(0,MIN(480,(INT(L148/100)-INT(VALUE(F148)/100))*12+MOD(L148,100)-MOD(VALUE(F148),100))))))/V8_MTY_CUTOFF),1)</f>
        <v/>
      </c>
      <c r="AD148" s="14">
        <f>IF(AND(IF(OR(M148="",NOT(ISNUMBER(M148))),0,MAX(0,MIN(24,(INT(VALUE(F148)/100)-INT(M148/100))*12+MOD(VALUE(F148),100)-MOD(M148,100))))&gt;0,IF(OR(M148="",NOT(ISNUMBER(M148))),0,MAX(0,MIN(24,(INT(VALUE(F148)/100)-INT(M148/100))*12+MOD(VALUE(F148),100)-MOD(M148,100))))&lt;=12),1+V8_LOCKOUT_AMP*EXP(-(IF(OR(M148="",NOT(ISNUMBER(M148))),0,MAX(0,MIN(24,(INT(VALUE(F148)/100)-INT(M148/100))*12+MOD(VALUE(F148),100)-MOD(M148,100)))))/V8_LOCKOUT_TAU),1)</f>
        <v/>
      </c>
      <c r="AE148" s="14">
        <f>MAX(V8_BURN_FLOOR,1-V8_BURN_SLOPE*MIN(1,MAX(0,O148)))</f>
        <v/>
      </c>
      <c r="AF148" s="15">
        <f>MIN(Z148*AB148*AC148*AD148*AE148,0.2)</f>
        <v/>
      </c>
      <c r="AG148" s="16">
        <f>1-(1-AF148)^12</f>
        <v/>
      </c>
    </row>
    <row r="149">
      <c r="A149" s="2" t="inlineStr">
        <is>
          <t>000012135982</t>
        </is>
      </c>
      <c r="B149" t="inlineStr">
        <is>
          <t>221d4</t>
        </is>
      </c>
      <c r="C149" t="inlineStr">
        <is>
          <t>NC</t>
        </is>
      </c>
      <c r="D149" t="inlineStr">
        <is>
          <t>PNC BANK, NA</t>
        </is>
      </c>
      <c r="E149" t="n">
        <v>2019</v>
      </c>
      <c r="F149" t="inlineStr">
        <is>
          <t>202602</t>
        </is>
      </c>
      <c r="G149" s="8" t="n">
        <v>8882184.109999999</v>
      </c>
      <c r="H149" s="12" t="n">
        <v>3.07</v>
      </c>
      <c r="I149" s="13" t="n">
        <v>447</v>
      </c>
      <c r="J149" s="13" t="n">
        <v>5</v>
      </c>
      <c r="K149" t="n">
        <v>76</v>
      </c>
      <c r="L149" t="n">
        <v>205101</v>
      </c>
      <c r="M149" t="inlineStr"/>
      <c r="N149" t="n">
        <v>0</v>
      </c>
      <c r="O149" s="14" t="n">
        <v>0</v>
      </c>
      <c r="P149">
        <f>IF(ISNUMBER(SEARCH("232",B149)),"232",IF(ISNUMBER(SEARCH("538",B149)),"538",IF(ISNUMBER(SEARCH("223a7",B149)),"223a7",IF(ISNUMBER(SEARCH("223f",B149)),"223f","OTHER"))))</f>
        <v/>
      </c>
      <c r="Q149">
        <f>IF(UPPER(C149)="NC","NC","RP")</f>
        <v/>
      </c>
      <c r="R149">
        <f>IF(G149&lt;5000000,"small",IF(G149&lt;25000000,"medium","large"))</f>
        <v/>
      </c>
      <c r="S149">
        <f>P149&amp;"|"&amp;Q149&amp;"|"&amp;R149</f>
        <v/>
      </c>
      <c r="T149" s="13">
        <f>H149*100-I149</f>
        <v/>
      </c>
      <c r="U149" s="13">
        <f>T149-12.5*(J149+1)</f>
        <v/>
      </c>
      <c r="V149" s="15">
        <f>IFERROR(VLOOKUP(S149,V8_COHORT_TABLE,2,FALSE),IFERROR(VLOOKUP(P149&amp;"|"&amp;Q149&amp;"|ALL",V8_COHORT_TABLE,2,FALSE),IFERROR(VLOOKUP(P149&amp;"|ALL|ALL",V8_COHORT_TABLE,2,FALSE),VLOOKUP("GLOBAL",V8_COHORT_TABLE,2,FALSE))))</f>
        <v/>
      </c>
      <c r="W149" s="15">
        <f>IFERROR(VLOOKUP(S149,V8_COHORT_TABLE,3,FALSE),IFERROR(VLOOKUP(P149&amp;"|"&amp;Q149&amp;"|ALL",V8_COHORT_TABLE,3,FALSE),IFERROR(VLOOKUP(P149&amp;"|ALL|ALL",V8_COHORT_TABLE,3,FALSE),VLOOKUP("GLOBAL",V8_COHORT_TABLE,3,FALSE))))</f>
        <v/>
      </c>
      <c r="X149" s="15">
        <f>IFERROR(VLOOKUP(S149,V8_COHORT_TABLE,4,FALSE),IFERROR(VLOOKUP(P149&amp;"|"&amp;Q149&amp;"|ALL",V8_COHORT_TABLE,4,FALSE),IFERROR(VLOOKUP(P149&amp;"|ALL|ALL",V8_COHORT_TABLE,4,FALSE),VLOOKUP("GLOBAL",V8_COHORT_TABLE,4,FALSE))))</f>
        <v/>
      </c>
      <c r="Y149" s="15">
        <f>IFERROR(VLOOKUP(S149,V8_COHORT_TABLE,5,FALSE),IFERROR(VLOOKUP(P149&amp;"|"&amp;Q149&amp;"|ALL",V8_COHORT_TABLE,5,FALSE),IFERROR(VLOOKUP(P149&amp;"|ALL|ALL",V8_COHORT_TABLE,5,FALSE),VLOOKUP("GLOBAL",V8_COHORT_TABLE,5,FALSE))))</f>
        <v/>
      </c>
      <c r="Z149" s="15">
        <f>V149+W149/(1+EXP(-(U149-X149)/Y149))</f>
        <v/>
      </c>
      <c r="AA149" s="16">
        <f>1-(1-Z149)^12</f>
        <v/>
      </c>
      <c r="AB149" s="14">
        <f>IF(K149&lt;=V8_AGE_KNOT_X_0,V8_AGE_KNOT_Y_0,IF(K149&gt;=V8_AGE_KNOT_X_5,V8_AGE_KNOT_Y_5,IF(K149&lt;=V8_AGE_KNOT_X_1,V8_AGE_KNOT_Y_0+(K149-V8_AGE_KNOT_X_0)/(V8_AGE_KNOT_X_1-V8_AGE_KNOT_X_0)*(V8_AGE_KNOT_Y_1-V8_AGE_KNOT_Y_0),IF(K149&lt;=V8_AGE_KNOT_X_2,V8_AGE_KNOT_Y_1+(K149-V8_AGE_KNOT_X_1)/(V8_AGE_KNOT_X_2-V8_AGE_KNOT_X_1)*(V8_AGE_KNOT_Y_2-V8_AGE_KNOT_Y_1),IF(K149&lt;=V8_AGE_KNOT_X_3,V8_AGE_KNOT_Y_2+(K149-V8_AGE_KNOT_X_2)/(V8_AGE_KNOT_X_3-V8_AGE_KNOT_X_2)*(V8_AGE_KNOT_Y_3-V8_AGE_KNOT_Y_2),IF(K149&lt;=V8_AGE_KNOT_X_4,V8_AGE_KNOT_Y_3+(K149-V8_AGE_KNOT_X_3)/(V8_AGE_KNOT_X_4-V8_AGE_KNOT_X_3)*(V8_AGE_KNOT_Y_4-V8_AGE_KNOT_Y_3),V8_AGE_KNOT_Y_4+(K149-V8_AGE_KNOT_X_4)/(V8_AGE_KNOT_X_5-V8_AGE_KNOT_X_4)*(V8_AGE_KNOT_Y_5-V8_AGE_KNOT_Y_4)))))))</f>
        <v/>
      </c>
      <c r="AC149" s="14">
        <f>IF(IF(OR(L149="",NOT(ISNUMBER(L149))),360,MAX(0,MIN(480,(INT(L149/100)-INT(VALUE(F149)/100))*12+MOD(L149,100)-MOD(VALUE(F149),100))))&gt;0,1+V8_MTY_AMP*MAX(0,(V8_MTY_CUTOFF-(IF(OR(L149="",NOT(ISNUMBER(L149))),360,MAX(0,MIN(480,(INT(L149/100)-INT(VALUE(F149)/100))*12+MOD(L149,100)-MOD(VALUE(F149),100))))))/V8_MTY_CUTOFF),1)</f>
        <v/>
      </c>
      <c r="AD149" s="14">
        <f>IF(AND(IF(OR(M149="",NOT(ISNUMBER(M149))),0,MAX(0,MIN(24,(INT(VALUE(F149)/100)-INT(M149/100))*12+MOD(VALUE(F149),100)-MOD(M149,100))))&gt;0,IF(OR(M149="",NOT(ISNUMBER(M149))),0,MAX(0,MIN(24,(INT(VALUE(F149)/100)-INT(M149/100))*12+MOD(VALUE(F149),100)-MOD(M149,100))))&lt;=12),1+V8_LOCKOUT_AMP*EXP(-(IF(OR(M149="",NOT(ISNUMBER(M149))),0,MAX(0,MIN(24,(INT(VALUE(F149)/100)-INT(M149/100))*12+MOD(VALUE(F149),100)-MOD(M149,100)))))/V8_LOCKOUT_TAU),1)</f>
        <v/>
      </c>
      <c r="AE149" s="14">
        <f>MAX(V8_BURN_FLOOR,1-V8_BURN_SLOPE*MIN(1,MAX(0,O149)))</f>
        <v/>
      </c>
      <c r="AF149" s="15">
        <f>MIN(Z149*AB149*AC149*AD149*AE149,0.2)</f>
        <v/>
      </c>
      <c r="AG149" s="16">
        <f>1-(1-AF149)^12</f>
        <v/>
      </c>
    </row>
    <row r="150">
      <c r="A150" s="2" t="inlineStr">
        <is>
          <t>003202439995</t>
        </is>
      </c>
      <c r="B150" t="inlineStr">
        <is>
          <t>538</t>
        </is>
      </c>
      <c r="C150" t="inlineStr">
        <is>
          <t>538</t>
        </is>
      </c>
      <c r="D150" t="inlineStr">
        <is>
          <t>PNC BANK, NA</t>
        </is>
      </c>
      <c r="E150" t="n">
        <v>2006</v>
      </c>
      <c r="F150" t="inlineStr">
        <is>
          <t>202602</t>
        </is>
      </c>
      <c r="G150" s="8" t="n">
        <v>746262.11</v>
      </c>
      <c r="H150" s="12" t="n">
        <v>7.29</v>
      </c>
      <c r="I150" s="13" t="n">
        <v>447</v>
      </c>
      <c r="J150" s="13" t="n">
        <v>0</v>
      </c>
      <c r="K150" t="n">
        <v>230</v>
      </c>
      <c r="L150" t="n">
        <v>204612</v>
      </c>
      <c r="M150" t="n">
        <v>202312</v>
      </c>
      <c r="N150" t="n">
        <v>87</v>
      </c>
      <c r="O150" s="14" t="n">
        <v>0.3782608695652174</v>
      </c>
      <c r="P150">
        <f>IF(ISNUMBER(SEARCH("232",B150)),"232",IF(ISNUMBER(SEARCH("538",B150)),"538",IF(ISNUMBER(SEARCH("223a7",B150)),"223a7",IF(ISNUMBER(SEARCH("223f",B150)),"223f","OTHER"))))</f>
        <v/>
      </c>
      <c r="Q150">
        <f>IF(UPPER(C150)="NC","NC","RP")</f>
        <v/>
      </c>
      <c r="R150">
        <f>IF(G150&lt;5000000,"small",IF(G150&lt;25000000,"medium","large"))</f>
        <v/>
      </c>
      <c r="S150">
        <f>P150&amp;"|"&amp;Q150&amp;"|"&amp;R150</f>
        <v/>
      </c>
      <c r="T150" s="13">
        <f>H150*100-I150</f>
        <v/>
      </c>
      <c r="U150" s="13">
        <f>T150-12.5*(J150+1)</f>
        <v/>
      </c>
      <c r="V150" s="15">
        <f>IFERROR(VLOOKUP(S150,V8_COHORT_TABLE,2,FALSE),IFERROR(VLOOKUP(P150&amp;"|"&amp;Q150&amp;"|ALL",V8_COHORT_TABLE,2,FALSE),IFERROR(VLOOKUP(P150&amp;"|ALL|ALL",V8_COHORT_TABLE,2,FALSE),VLOOKUP("GLOBAL",V8_COHORT_TABLE,2,FALSE))))</f>
        <v/>
      </c>
      <c r="W150" s="15">
        <f>IFERROR(VLOOKUP(S150,V8_COHORT_TABLE,3,FALSE),IFERROR(VLOOKUP(P150&amp;"|"&amp;Q150&amp;"|ALL",V8_COHORT_TABLE,3,FALSE),IFERROR(VLOOKUP(P150&amp;"|ALL|ALL",V8_COHORT_TABLE,3,FALSE),VLOOKUP("GLOBAL",V8_COHORT_TABLE,3,FALSE))))</f>
        <v/>
      </c>
      <c r="X150" s="15">
        <f>IFERROR(VLOOKUP(S150,V8_COHORT_TABLE,4,FALSE),IFERROR(VLOOKUP(P150&amp;"|"&amp;Q150&amp;"|ALL",V8_COHORT_TABLE,4,FALSE),IFERROR(VLOOKUP(P150&amp;"|ALL|ALL",V8_COHORT_TABLE,4,FALSE),VLOOKUP("GLOBAL",V8_COHORT_TABLE,4,FALSE))))</f>
        <v/>
      </c>
      <c r="Y150" s="15">
        <f>IFERROR(VLOOKUP(S150,V8_COHORT_TABLE,5,FALSE),IFERROR(VLOOKUP(P150&amp;"|"&amp;Q150&amp;"|ALL",V8_COHORT_TABLE,5,FALSE),IFERROR(VLOOKUP(P150&amp;"|ALL|ALL",V8_COHORT_TABLE,5,FALSE),VLOOKUP("GLOBAL",V8_COHORT_TABLE,5,FALSE))))</f>
        <v/>
      </c>
      <c r="Z150" s="15">
        <f>V150+W150/(1+EXP(-(U150-X150)/Y150))</f>
        <v/>
      </c>
      <c r="AA150" s="16">
        <f>1-(1-Z150)^12</f>
        <v/>
      </c>
      <c r="AB150" s="14">
        <f>IF(K150&lt;=V8_AGE_KNOT_X_0,V8_AGE_KNOT_Y_0,IF(K150&gt;=V8_AGE_KNOT_X_5,V8_AGE_KNOT_Y_5,IF(K150&lt;=V8_AGE_KNOT_X_1,V8_AGE_KNOT_Y_0+(K150-V8_AGE_KNOT_X_0)/(V8_AGE_KNOT_X_1-V8_AGE_KNOT_X_0)*(V8_AGE_KNOT_Y_1-V8_AGE_KNOT_Y_0),IF(K150&lt;=V8_AGE_KNOT_X_2,V8_AGE_KNOT_Y_1+(K150-V8_AGE_KNOT_X_1)/(V8_AGE_KNOT_X_2-V8_AGE_KNOT_X_1)*(V8_AGE_KNOT_Y_2-V8_AGE_KNOT_Y_1),IF(K150&lt;=V8_AGE_KNOT_X_3,V8_AGE_KNOT_Y_2+(K150-V8_AGE_KNOT_X_2)/(V8_AGE_KNOT_X_3-V8_AGE_KNOT_X_2)*(V8_AGE_KNOT_Y_3-V8_AGE_KNOT_Y_2),IF(K150&lt;=V8_AGE_KNOT_X_4,V8_AGE_KNOT_Y_3+(K150-V8_AGE_KNOT_X_3)/(V8_AGE_KNOT_X_4-V8_AGE_KNOT_X_3)*(V8_AGE_KNOT_Y_4-V8_AGE_KNOT_Y_3),V8_AGE_KNOT_Y_4+(K150-V8_AGE_KNOT_X_4)/(V8_AGE_KNOT_X_5-V8_AGE_KNOT_X_4)*(V8_AGE_KNOT_Y_5-V8_AGE_KNOT_Y_4)))))))</f>
        <v/>
      </c>
      <c r="AC150" s="14">
        <f>IF(IF(OR(L150="",NOT(ISNUMBER(L150))),360,MAX(0,MIN(480,(INT(L150/100)-INT(VALUE(F150)/100))*12+MOD(L150,100)-MOD(VALUE(F150),100))))&gt;0,1+V8_MTY_AMP*MAX(0,(V8_MTY_CUTOFF-(IF(OR(L150="",NOT(ISNUMBER(L150))),360,MAX(0,MIN(480,(INT(L150/100)-INT(VALUE(F150)/100))*12+MOD(L150,100)-MOD(VALUE(F150),100))))))/V8_MTY_CUTOFF),1)</f>
        <v/>
      </c>
      <c r="AD150" s="14">
        <f>IF(AND(IF(OR(M150="",NOT(ISNUMBER(M150))),0,MAX(0,MIN(24,(INT(VALUE(F150)/100)-INT(M150/100))*12+MOD(VALUE(F150),100)-MOD(M150,100))))&gt;0,IF(OR(M150="",NOT(ISNUMBER(M150))),0,MAX(0,MIN(24,(INT(VALUE(F150)/100)-INT(M150/100))*12+MOD(VALUE(F150),100)-MOD(M150,100))))&lt;=12),1+V8_LOCKOUT_AMP*EXP(-(IF(OR(M150="",NOT(ISNUMBER(M150))),0,MAX(0,MIN(24,(INT(VALUE(F150)/100)-INT(M150/100))*12+MOD(VALUE(F150),100)-MOD(M150,100)))))/V8_LOCKOUT_TAU),1)</f>
        <v/>
      </c>
      <c r="AE150" s="14">
        <f>MAX(V8_BURN_FLOOR,1-V8_BURN_SLOPE*MIN(1,MAX(0,O150)))</f>
        <v/>
      </c>
      <c r="AF150" s="15">
        <f>MIN(Z150*AB150*AC150*AD150*AE150,0.2)</f>
        <v/>
      </c>
      <c r="AG150" s="16">
        <f>1-(1-AF150)^12</f>
        <v/>
      </c>
    </row>
    <row r="151">
      <c r="A151" s="2" t="inlineStr">
        <is>
          <t>000003335263</t>
        </is>
      </c>
      <c r="B151" t="inlineStr">
        <is>
          <t>223a7</t>
        </is>
      </c>
      <c r="C151" t="inlineStr">
        <is>
          <t>RP</t>
        </is>
      </c>
      <c r="D151" t="inlineStr">
        <is>
          <t>PNC BANK, NA</t>
        </is>
      </c>
      <c r="E151" t="n">
        <v>2005</v>
      </c>
      <c r="F151" t="inlineStr">
        <is>
          <t>202602</t>
        </is>
      </c>
      <c r="G151" s="8" t="n">
        <v>318126.52</v>
      </c>
      <c r="H151" s="12" t="n">
        <v>6.45</v>
      </c>
      <c r="I151" s="13" t="n">
        <v>447</v>
      </c>
      <c r="J151" s="13" t="n">
        <v>0</v>
      </c>
      <c r="K151" t="n">
        <v>250</v>
      </c>
      <c r="L151" t="n">
        <v>203505</v>
      </c>
      <c r="M151" t="inlineStr"/>
      <c r="N151" t="n">
        <v>87</v>
      </c>
      <c r="O151" s="14" t="n">
        <v>0.348</v>
      </c>
      <c r="P151">
        <f>IF(ISNUMBER(SEARCH("232",B151)),"232",IF(ISNUMBER(SEARCH("538",B151)),"538",IF(ISNUMBER(SEARCH("223a7",B151)),"223a7",IF(ISNUMBER(SEARCH("223f",B151)),"223f","OTHER"))))</f>
        <v/>
      </c>
      <c r="Q151">
        <f>IF(UPPER(C151)="NC","NC","RP")</f>
        <v/>
      </c>
      <c r="R151">
        <f>IF(G151&lt;5000000,"small",IF(G151&lt;25000000,"medium","large"))</f>
        <v/>
      </c>
      <c r="S151">
        <f>P151&amp;"|"&amp;Q151&amp;"|"&amp;R151</f>
        <v/>
      </c>
      <c r="T151" s="13">
        <f>H151*100-I151</f>
        <v/>
      </c>
      <c r="U151" s="13">
        <f>T151-12.5*(J151+1)</f>
        <v/>
      </c>
      <c r="V151" s="15">
        <f>IFERROR(VLOOKUP(S151,V8_COHORT_TABLE,2,FALSE),IFERROR(VLOOKUP(P151&amp;"|"&amp;Q151&amp;"|ALL",V8_COHORT_TABLE,2,FALSE),IFERROR(VLOOKUP(P151&amp;"|ALL|ALL",V8_COHORT_TABLE,2,FALSE),VLOOKUP("GLOBAL",V8_COHORT_TABLE,2,FALSE))))</f>
        <v/>
      </c>
      <c r="W151" s="15">
        <f>IFERROR(VLOOKUP(S151,V8_COHORT_TABLE,3,FALSE),IFERROR(VLOOKUP(P151&amp;"|"&amp;Q151&amp;"|ALL",V8_COHORT_TABLE,3,FALSE),IFERROR(VLOOKUP(P151&amp;"|ALL|ALL",V8_COHORT_TABLE,3,FALSE),VLOOKUP("GLOBAL",V8_COHORT_TABLE,3,FALSE))))</f>
        <v/>
      </c>
      <c r="X151" s="15">
        <f>IFERROR(VLOOKUP(S151,V8_COHORT_TABLE,4,FALSE),IFERROR(VLOOKUP(P151&amp;"|"&amp;Q151&amp;"|ALL",V8_COHORT_TABLE,4,FALSE),IFERROR(VLOOKUP(P151&amp;"|ALL|ALL",V8_COHORT_TABLE,4,FALSE),VLOOKUP("GLOBAL",V8_COHORT_TABLE,4,FALSE))))</f>
        <v/>
      </c>
      <c r="Y151" s="15">
        <f>IFERROR(VLOOKUP(S151,V8_COHORT_TABLE,5,FALSE),IFERROR(VLOOKUP(P151&amp;"|"&amp;Q151&amp;"|ALL",V8_COHORT_TABLE,5,FALSE),IFERROR(VLOOKUP(P151&amp;"|ALL|ALL",V8_COHORT_TABLE,5,FALSE),VLOOKUP("GLOBAL",V8_COHORT_TABLE,5,FALSE))))</f>
        <v/>
      </c>
      <c r="Z151" s="15">
        <f>V151+W151/(1+EXP(-(U151-X151)/Y151))</f>
        <v/>
      </c>
      <c r="AA151" s="16">
        <f>1-(1-Z151)^12</f>
        <v/>
      </c>
      <c r="AB151" s="14">
        <f>IF(K151&lt;=V8_AGE_KNOT_X_0,V8_AGE_KNOT_Y_0,IF(K151&gt;=V8_AGE_KNOT_X_5,V8_AGE_KNOT_Y_5,IF(K151&lt;=V8_AGE_KNOT_X_1,V8_AGE_KNOT_Y_0+(K151-V8_AGE_KNOT_X_0)/(V8_AGE_KNOT_X_1-V8_AGE_KNOT_X_0)*(V8_AGE_KNOT_Y_1-V8_AGE_KNOT_Y_0),IF(K151&lt;=V8_AGE_KNOT_X_2,V8_AGE_KNOT_Y_1+(K151-V8_AGE_KNOT_X_1)/(V8_AGE_KNOT_X_2-V8_AGE_KNOT_X_1)*(V8_AGE_KNOT_Y_2-V8_AGE_KNOT_Y_1),IF(K151&lt;=V8_AGE_KNOT_X_3,V8_AGE_KNOT_Y_2+(K151-V8_AGE_KNOT_X_2)/(V8_AGE_KNOT_X_3-V8_AGE_KNOT_X_2)*(V8_AGE_KNOT_Y_3-V8_AGE_KNOT_Y_2),IF(K151&lt;=V8_AGE_KNOT_X_4,V8_AGE_KNOT_Y_3+(K151-V8_AGE_KNOT_X_3)/(V8_AGE_KNOT_X_4-V8_AGE_KNOT_X_3)*(V8_AGE_KNOT_Y_4-V8_AGE_KNOT_Y_3),V8_AGE_KNOT_Y_4+(K151-V8_AGE_KNOT_X_4)/(V8_AGE_KNOT_X_5-V8_AGE_KNOT_X_4)*(V8_AGE_KNOT_Y_5-V8_AGE_KNOT_Y_4)))))))</f>
        <v/>
      </c>
      <c r="AC151" s="14">
        <f>IF(IF(OR(L151="",NOT(ISNUMBER(L151))),360,MAX(0,MIN(480,(INT(L151/100)-INT(VALUE(F151)/100))*12+MOD(L151,100)-MOD(VALUE(F151),100))))&gt;0,1+V8_MTY_AMP*MAX(0,(V8_MTY_CUTOFF-(IF(OR(L151="",NOT(ISNUMBER(L151))),360,MAX(0,MIN(480,(INT(L151/100)-INT(VALUE(F151)/100))*12+MOD(L151,100)-MOD(VALUE(F151),100))))))/V8_MTY_CUTOFF),1)</f>
        <v/>
      </c>
      <c r="AD151" s="14">
        <f>IF(AND(IF(OR(M151="",NOT(ISNUMBER(M151))),0,MAX(0,MIN(24,(INT(VALUE(F151)/100)-INT(M151/100))*12+MOD(VALUE(F151),100)-MOD(M151,100))))&gt;0,IF(OR(M151="",NOT(ISNUMBER(M151))),0,MAX(0,MIN(24,(INT(VALUE(F151)/100)-INT(M151/100))*12+MOD(VALUE(F151),100)-MOD(M151,100))))&lt;=12),1+V8_LOCKOUT_AMP*EXP(-(IF(OR(M151="",NOT(ISNUMBER(M151))),0,MAX(0,MIN(24,(INT(VALUE(F151)/100)-INT(M151/100))*12+MOD(VALUE(F151),100)-MOD(M151,100)))))/V8_LOCKOUT_TAU),1)</f>
        <v/>
      </c>
      <c r="AE151" s="14">
        <f>MAX(V8_BURN_FLOOR,1-V8_BURN_SLOPE*MIN(1,MAX(0,O151)))</f>
        <v/>
      </c>
      <c r="AF151" s="15">
        <f>MIN(Z151*AB151*AC151*AD151*AE151,0.2)</f>
        <v/>
      </c>
      <c r="AG151" s="16">
        <f>1-(1-AF151)^12</f>
        <v/>
      </c>
    </row>
    <row r="152">
      <c r="A152" s="2" t="inlineStr">
        <is>
          <t>000005235634</t>
        </is>
      </c>
      <c r="B152" t="inlineStr">
        <is>
          <t>221d4</t>
        </is>
      </c>
      <c r="C152" t="inlineStr">
        <is>
          <t>NC</t>
        </is>
      </c>
      <c r="D152" t="inlineStr">
        <is>
          <t>PNC BANK, NA</t>
        </is>
      </c>
      <c r="E152" t="n">
        <v>2006</v>
      </c>
      <c r="F152" t="inlineStr">
        <is>
          <t>202602</t>
        </is>
      </c>
      <c r="G152" s="8" t="n">
        <v>3504869.26</v>
      </c>
      <c r="H152" s="12" t="n">
        <v>5.55</v>
      </c>
      <c r="I152" s="13" t="n">
        <v>447</v>
      </c>
      <c r="J152" s="13" t="n">
        <v>0</v>
      </c>
      <c r="K152" t="n">
        <v>233</v>
      </c>
      <c r="L152" t="n">
        <v>204803</v>
      </c>
      <c r="M152" t="n">
        <v>201804</v>
      </c>
      <c r="N152" t="n">
        <v>83</v>
      </c>
      <c r="O152" s="14" t="n">
        <v>0.3562231759656652</v>
      </c>
      <c r="P152">
        <f>IF(ISNUMBER(SEARCH("232",B152)),"232",IF(ISNUMBER(SEARCH("538",B152)),"538",IF(ISNUMBER(SEARCH("223a7",B152)),"223a7",IF(ISNUMBER(SEARCH("223f",B152)),"223f","OTHER"))))</f>
        <v/>
      </c>
      <c r="Q152">
        <f>IF(UPPER(C152)="NC","NC","RP")</f>
        <v/>
      </c>
      <c r="R152">
        <f>IF(G152&lt;5000000,"small",IF(G152&lt;25000000,"medium","large"))</f>
        <v/>
      </c>
      <c r="S152">
        <f>P152&amp;"|"&amp;Q152&amp;"|"&amp;R152</f>
        <v/>
      </c>
      <c r="T152" s="13">
        <f>H152*100-I152</f>
        <v/>
      </c>
      <c r="U152" s="13">
        <f>T152-12.5*(J152+1)</f>
        <v/>
      </c>
      <c r="V152" s="15">
        <f>IFERROR(VLOOKUP(S152,V8_COHORT_TABLE,2,FALSE),IFERROR(VLOOKUP(P152&amp;"|"&amp;Q152&amp;"|ALL",V8_COHORT_TABLE,2,FALSE),IFERROR(VLOOKUP(P152&amp;"|ALL|ALL",V8_COHORT_TABLE,2,FALSE),VLOOKUP("GLOBAL",V8_COHORT_TABLE,2,FALSE))))</f>
        <v/>
      </c>
      <c r="W152" s="15">
        <f>IFERROR(VLOOKUP(S152,V8_COHORT_TABLE,3,FALSE),IFERROR(VLOOKUP(P152&amp;"|"&amp;Q152&amp;"|ALL",V8_COHORT_TABLE,3,FALSE),IFERROR(VLOOKUP(P152&amp;"|ALL|ALL",V8_COHORT_TABLE,3,FALSE),VLOOKUP("GLOBAL",V8_COHORT_TABLE,3,FALSE))))</f>
        <v/>
      </c>
      <c r="X152" s="15">
        <f>IFERROR(VLOOKUP(S152,V8_COHORT_TABLE,4,FALSE),IFERROR(VLOOKUP(P152&amp;"|"&amp;Q152&amp;"|ALL",V8_COHORT_TABLE,4,FALSE),IFERROR(VLOOKUP(P152&amp;"|ALL|ALL",V8_COHORT_TABLE,4,FALSE),VLOOKUP("GLOBAL",V8_COHORT_TABLE,4,FALSE))))</f>
        <v/>
      </c>
      <c r="Y152" s="15">
        <f>IFERROR(VLOOKUP(S152,V8_COHORT_TABLE,5,FALSE),IFERROR(VLOOKUP(P152&amp;"|"&amp;Q152&amp;"|ALL",V8_COHORT_TABLE,5,FALSE),IFERROR(VLOOKUP(P152&amp;"|ALL|ALL",V8_COHORT_TABLE,5,FALSE),VLOOKUP("GLOBAL",V8_COHORT_TABLE,5,FALSE))))</f>
        <v/>
      </c>
      <c r="Z152" s="15">
        <f>V152+W152/(1+EXP(-(U152-X152)/Y152))</f>
        <v/>
      </c>
      <c r="AA152" s="16">
        <f>1-(1-Z152)^12</f>
        <v/>
      </c>
      <c r="AB152" s="14">
        <f>IF(K152&lt;=V8_AGE_KNOT_X_0,V8_AGE_KNOT_Y_0,IF(K152&gt;=V8_AGE_KNOT_X_5,V8_AGE_KNOT_Y_5,IF(K152&lt;=V8_AGE_KNOT_X_1,V8_AGE_KNOT_Y_0+(K152-V8_AGE_KNOT_X_0)/(V8_AGE_KNOT_X_1-V8_AGE_KNOT_X_0)*(V8_AGE_KNOT_Y_1-V8_AGE_KNOT_Y_0),IF(K152&lt;=V8_AGE_KNOT_X_2,V8_AGE_KNOT_Y_1+(K152-V8_AGE_KNOT_X_1)/(V8_AGE_KNOT_X_2-V8_AGE_KNOT_X_1)*(V8_AGE_KNOT_Y_2-V8_AGE_KNOT_Y_1),IF(K152&lt;=V8_AGE_KNOT_X_3,V8_AGE_KNOT_Y_2+(K152-V8_AGE_KNOT_X_2)/(V8_AGE_KNOT_X_3-V8_AGE_KNOT_X_2)*(V8_AGE_KNOT_Y_3-V8_AGE_KNOT_Y_2),IF(K152&lt;=V8_AGE_KNOT_X_4,V8_AGE_KNOT_Y_3+(K152-V8_AGE_KNOT_X_3)/(V8_AGE_KNOT_X_4-V8_AGE_KNOT_X_3)*(V8_AGE_KNOT_Y_4-V8_AGE_KNOT_Y_3),V8_AGE_KNOT_Y_4+(K152-V8_AGE_KNOT_X_4)/(V8_AGE_KNOT_X_5-V8_AGE_KNOT_X_4)*(V8_AGE_KNOT_Y_5-V8_AGE_KNOT_Y_4)))))))</f>
        <v/>
      </c>
      <c r="AC152" s="14">
        <f>IF(IF(OR(L152="",NOT(ISNUMBER(L152))),360,MAX(0,MIN(480,(INT(L152/100)-INT(VALUE(F152)/100))*12+MOD(L152,100)-MOD(VALUE(F152),100))))&gt;0,1+V8_MTY_AMP*MAX(0,(V8_MTY_CUTOFF-(IF(OR(L152="",NOT(ISNUMBER(L152))),360,MAX(0,MIN(480,(INT(L152/100)-INT(VALUE(F152)/100))*12+MOD(L152,100)-MOD(VALUE(F152),100))))))/V8_MTY_CUTOFF),1)</f>
        <v/>
      </c>
      <c r="AD152" s="14">
        <f>IF(AND(IF(OR(M152="",NOT(ISNUMBER(M152))),0,MAX(0,MIN(24,(INT(VALUE(F152)/100)-INT(M152/100))*12+MOD(VALUE(F152),100)-MOD(M152,100))))&gt;0,IF(OR(M152="",NOT(ISNUMBER(M152))),0,MAX(0,MIN(24,(INT(VALUE(F152)/100)-INT(M152/100))*12+MOD(VALUE(F152),100)-MOD(M152,100))))&lt;=12),1+V8_LOCKOUT_AMP*EXP(-(IF(OR(M152="",NOT(ISNUMBER(M152))),0,MAX(0,MIN(24,(INT(VALUE(F152)/100)-INT(M152/100))*12+MOD(VALUE(F152),100)-MOD(M152,100)))))/V8_LOCKOUT_TAU),1)</f>
        <v/>
      </c>
      <c r="AE152" s="14">
        <f>MAX(V8_BURN_FLOOR,1-V8_BURN_SLOPE*MIN(1,MAX(0,O152)))</f>
        <v/>
      </c>
      <c r="AF152" s="15">
        <f>MIN(Z152*AB152*AC152*AD152*AE152,0.2)</f>
        <v/>
      </c>
      <c r="AG152" s="16">
        <f>1-(1-AF152)^12</f>
        <v/>
      </c>
    </row>
    <row r="153">
      <c r="A153" s="2" t="inlineStr">
        <is>
          <t>033030406928</t>
        </is>
      </c>
      <c r="B153" t="inlineStr">
        <is>
          <t>538</t>
        </is>
      </c>
      <c r="C153" t="inlineStr">
        <is>
          <t>538</t>
        </is>
      </c>
      <c r="D153" t="inlineStr">
        <is>
          <t>PNC BANK, NA</t>
        </is>
      </c>
      <c r="E153" t="n">
        <v>2006</v>
      </c>
      <c r="F153" t="inlineStr">
        <is>
          <t>202602</t>
        </is>
      </c>
      <c r="G153" s="8" t="n">
        <v>1569603.44</v>
      </c>
      <c r="H153" s="12" t="n">
        <v>7.09</v>
      </c>
      <c r="I153" s="13" t="n">
        <v>447</v>
      </c>
      <c r="J153" s="13" t="n">
        <v>5.08</v>
      </c>
      <c r="K153" t="n">
        <v>239</v>
      </c>
      <c r="L153" t="n">
        <v>204104</v>
      </c>
      <c r="M153" t="n">
        <v>202104</v>
      </c>
      <c r="N153" t="n">
        <v>86</v>
      </c>
      <c r="O153" s="14" t="n">
        <v>0.3598326359832636</v>
      </c>
      <c r="P153">
        <f>IF(ISNUMBER(SEARCH("232",B153)),"232",IF(ISNUMBER(SEARCH("538",B153)),"538",IF(ISNUMBER(SEARCH("223a7",B153)),"223a7",IF(ISNUMBER(SEARCH("223f",B153)),"223f","OTHER"))))</f>
        <v/>
      </c>
      <c r="Q153">
        <f>IF(UPPER(C153)="NC","NC","RP")</f>
        <v/>
      </c>
      <c r="R153">
        <f>IF(G153&lt;5000000,"small",IF(G153&lt;25000000,"medium","large"))</f>
        <v/>
      </c>
      <c r="S153">
        <f>P153&amp;"|"&amp;Q153&amp;"|"&amp;R153</f>
        <v/>
      </c>
      <c r="T153" s="13">
        <f>H153*100-I153</f>
        <v/>
      </c>
      <c r="U153" s="13">
        <f>T153-12.5*(J153+1)</f>
        <v/>
      </c>
      <c r="V153" s="15">
        <f>IFERROR(VLOOKUP(S153,V8_COHORT_TABLE,2,FALSE),IFERROR(VLOOKUP(P153&amp;"|"&amp;Q153&amp;"|ALL",V8_COHORT_TABLE,2,FALSE),IFERROR(VLOOKUP(P153&amp;"|ALL|ALL",V8_COHORT_TABLE,2,FALSE),VLOOKUP("GLOBAL",V8_COHORT_TABLE,2,FALSE))))</f>
        <v/>
      </c>
      <c r="W153" s="15">
        <f>IFERROR(VLOOKUP(S153,V8_COHORT_TABLE,3,FALSE),IFERROR(VLOOKUP(P153&amp;"|"&amp;Q153&amp;"|ALL",V8_COHORT_TABLE,3,FALSE),IFERROR(VLOOKUP(P153&amp;"|ALL|ALL",V8_COHORT_TABLE,3,FALSE),VLOOKUP("GLOBAL",V8_COHORT_TABLE,3,FALSE))))</f>
        <v/>
      </c>
      <c r="X153" s="15">
        <f>IFERROR(VLOOKUP(S153,V8_COHORT_TABLE,4,FALSE),IFERROR(VLOOKUP(P153&amp;"|"&amp;Q153&amp;"|ALL",V8_COHORT_TABLE,4,FALSE),IFERROR(VLOOKUP(P153&amp;"|ALL|ALL",V8_COHORT_TABLE,4,FALSE),VLOOKUP("GLOBAL",V8_COHORT_TABLE,4,FALSE))))</f>
        <v/>
      </c>
      <c r="Y153" s="15">
        <f>IFERROR(VLOOKUP(S153,V8_COHORT_TABLE,5,FALSE),IFERROR(VLOOKUP(P153&amp;"|"&amp;Q153&amp;"|ALL",V8_COHORT_TABLE,5,FALSE),IFERROR(VLOOKUP(P153&amp;"|ALL|ALL",V8_COHORT_TABLE,5,FALSE),VLOOKUP("GLOBAL",V8_COHORT_TABLE,5,FALSE))))</f>
        <v/>
      </c>
      <c r="Z153" s="15">
        <f>V153+W153/(1+EXP(-(U153-X153)/Y153))</f>
        <v/>
      </c>
      <c r="AA153" s="16">
        <f>1-(1-Z153)^12</f>
        <v/>
      </c>
      <c r="AB153" s="14">
        <f>IF(K153&lt;=V8_AGE_KNOT_X_0,V8_AGE_KNOT_Y_0,IF(K153&gt;=V8_AGE_KNOT_X_5,V8_AGE_KNOT_Y_5,IF(K153&lt;=V8_AGE_KNOT_X_1,V8_AGE_KNOT_Y_0+(K153-V8_AGE_KNOT_X_0)/(V8_AGE_KNOT_X_1-V8_AGE_KNOT_X_0)*(V8_AGE_KNOT_Y_1-V8_AGE_KNOT_Y_0),IF(K153&lt;=V8_AGE_KNOT_X_2,V8_AGE_KNOT_Y_1+(K153-V8_AGE_KNOT_X_1)/(V8_AGE_KNOT_X_2-V8_AGE_KNOT_X_1)*(V8_AGE_KNOT_Y_2-V8_AGE_KNOT_Y_1),IF(K153&lt;=V8_AGE_KNOT_X_3,V8_AGE_KNOT_Y_2+(K153-V8_AGE_KNOT_X_2)/(V8_AGE_KNOT_X_3-V8_AGE_KNOT_X_2)*(V8_AGE_KNOT_Y_3-V8_AGE_KNOT_Y_2),IF(K153&lt;=V8_AGE_KNOT_X_4,V8_AGE_KNOT_Y_3+(K153-V8_AGE_KNOT_X_3)/(V8_AGE_KNOT_X_4-V8_AGE_KNOT_X_3)*(V8_AGE_KNOT_Y_4-V8_AGE_KNOT_Y_3),V8_AGE_KNOT_Y_4+(K153-V8_AGE_KNOT_X_4)/(V8_AGE_KNOT_X_5-V8_AGE_KNOT_X_4)*(V8_AGE_KNOT_Y_5-V8_AGE_KNOT_Y_4)))))))</f>
        <v/>
      </c>
      <c r="AC153" s="14">
        <f>IF(IF(OR(L153="",NOT(ISNUMBER(L153))),360,MAX(0,MIN(480,(INT(L153/100)-INT(VALUE(F153)/100))*12+MOD(L153,100)-MOD(VALUE(F153),100))))&gt;0,1+V8_MTY_AMP*MAX(0,(V8_MTY_CUTOFF-(IF(OR(L153="",NOT(ISNUMBER(L153))),360,MAX(0,MIN(480,(INT(L153/100)-INT(VALUE(F153)/100))*12+MOD(L153,100)-MOD(VALUE(F153),100))))))/V8_MTY_CUTOFF),1)</f>
        <v/>
      </c>
      <c r="AD153" s="14">
        <f>IF(AND(IF(OR(M153="",NOT(ISNUMBER(M153))),0,MAX(0,MIN(24,(INT(VALUE(F153)/100)-INT(M153/100))*12+MOD(VALUE(F153),100)-MOD(M153,100))))&gt;0,IF(OR(M153="",NOT(ISNUMBER(M153))),0,MAX(0,MIN(24,(INT(VALUE(F153)/100)-INT(M153/100))*12+MOD(VALUE(F153),100)-MOD(M153,100))))&lt;=12),1+V8_LOCKOUT_AMP*EXP(-(IF(OR(M153="",NOT(ISNUMBER(M153))),0,MAX(0,MIN(24,(INT(VALUE(F153)/100)-INT(M153/100))*12+MOD(VALUE(F153),100)-MOD(M153,100)))))/V8_LOCKOUT_TAU),1)</f>
        <v/>
      </c>
      <c r="AE153" s="14">
        <f>MAX(V8_BURN_FLOOR,1-V8_BURN_SLOPE*MIN(1,MAX(0,O153)))</f>
        <v/>
      </c>
      <c r="AF153" s="15">
        <f>MIN(Z153*AB153*AC153*AD153*AE153,0.2)</f>
        <v/>
      </c>
      <c r="AG153" s="16">
        <f>1-(1-AF153)^12</f>
        <v/>
      </c>
    </row>
    <row r="154">
      <c r="A154" s="2" t="inlineStr">
        <is>
          <t>000009211215</t>
        </is>
      </c>
      <c r="B154" t="inlineStr">
        <is>
          <t>223f</t>
        </is>
      </c>
      <c r="C154" t="inlineStr">
        <is>
          <t>RP</t>
        </is>
      </c>
      <c r="D154" t="inlineStr">
        <is>
          <t>PNC BANK, NA</t>
        </is>
      </c>
      <c r="E154" t="n">
        <v>2017</v>
      </c>
      <c r="F154" t="inlineStr">
        <is>
          <t>202602</t>
        </is>
      </c>
      <c r="G154" s="8" t="n">
        <v>893861.5699999999</v>
      </c>
      <c r="H154" s="12" t="n">
        <v>3.9</v>
      </c>
      <c r="I154" s="13" t="n">
        <v>447</v>
      </c>
      <c r="J154" s="13" t="n">
        <v>2</v>
      </c>
      <c r="K154" t="n">
        <v>98</v>
      </c>
      <c r="L154" t="n">
        <v>204109</v>
      </c>
      <c r="M154" t="inlineStr"/>
      <c r="N154" t="n">
        <v>30</v>
      </c>
      <c r="O154" s="14" t="n">
        <v>0.3061224489795918</v>
      </c>
      <c r="P154">
        <f>IF(ISNUMBER(SEARCH("232",B154)),"232",IF(ISNUMBER(SEARCH("538",B154)),"538",IF(ISNUMBER(SEARCH("223a7",B154)),"223a7",IF(ISNUMBER(SEARCH("223f",B154)),"223f","OTHER"))))</f>
        <v/>
      </c>
      <c r="Q154">
        <f>IF(UPPER(C154)="NC","NC","RP")</f>
        <v/>
      </c>
      <c r="R154">
        <f>IF(G154&lt;5000000,"small",IF(G154&lt;25000000,"medium","large"))</f>
        <v/>
      </c>
      <c r="S154">
        <f>P154&amp;"|"&amp;Q154&amp;"|"&amp;R154</f>
        <v/>
      </c>
      <c r="T154" s="13">
        <f>H154*100-I154</f>
        <v/>
      </c>
      <c r="U154" s="13">
        <f>T154-12.5*(J154+1)</f>
        <v/>
      </c>
      <c r="V154" s="15">
        <f>IFERROR(VLOOKUP(S154,V8_COHORT_TABLE,2,FALSE),IFERROR(VLOOKUP(P154&amp;"|"&amp;Q154&amp;"|ALL",V8_COHORT_TABLE,2,FALSE),IFERROR(VLOOKUP(P154&amp;"|ALL|ALL",V8_COHORT_TABLE,2,FALSE),VLOOKUP("GLOBAL",V8_COHORT_TABLE,2,FALSE))))</f>
        <v/>
      </c>
      <c r="W154" s="15">
        <f>IFERROR(VLOOKUP(S154,V8_COHORT_TABLE,3,FALSE),IFERROR(VLOOKUP(P154&amp;"|"&amp;Q154&amp;"|ALL",V8_COHORT_TABLE,3,FALSE),IFERROR(VLOOKUP(P154&amp;"|ALL|ALL",V8_COHORT_TABLE,3,FALSE),VLOOKUP("GLOBAL",V8_COHORT_TABLE,3,FALSE))))</f>
        <v/>
      </c>
      <c r="X154" s="15">
        <f>IFERROR(VLOOKUP(S154,V8_COHORT_TABLE,4,FALSE),IFERROR(VLOOKUP(P154&amp;"|"&amp;Q154&amp;"|ALL",V8_COHORT_TABLE,4,FALSE),IFERROR(VLOOKUP(P154&amp;"|ALL|ALL",V8_COHORT_TABLE,4,FALSE),VLOOKUP("GLOBAL",V8_COHORT_TABLE,4,FALSE))))</f>
        <v/>
      </c>
      <c r="Y154" s="15">
        <f>IFERROR(VLOOKUP(S154,V8_COHORT_TABLE,5,FALSE),IFERROR(VLOOKUP(P154&amp;"|"&amp;Q154&amp;"|ALL",V8_COHORT_TABLE,5,FALSE),IFERROR(VLOOKUP(P154&amp;"|ALL|ALL",V8_COHORT_TABLE,5,FALSE),VLOOKUP("GLOBAL",V8_COHORT_TABLE,5,FALSE))))</f>
        <v/>
      </c>
      <c r="Z154" s="15">
        <f>V154+W154/(1+EXP(-(U154-X154)/Y154))</f>
        <v/>
      </c>
      <c r="AA154" s="16">
        <f>1-(1-Z154)^12</f>
        <v/>
      </c>
      <c r="AB154" s="14">
        <f>IF(K154&lt;=V8_AGE_KNOT_X_0,V8_AGE_KNOT_Y_0,IF(K154&gt;=V8_AGE_KNOT_X_5,V8_AGE_KNOT_Y_5,IF(K154&lt;=V8_AGE_KNOT_X_1,V8_AGE_KNOT_Y_0+(K154-V8_AGE_KNOT_X_0)/(V8_AGE_KNOT_X_1-V8_AGE_KNOT_X_0)*(V8_AGE_KNOT_Y_1-V8_AGE_KNOT_Y_0),IF(K154&lt;=V8_AGE_KNOT_X_2,V8_AGE_KNOT_Y_1+(K154-V8_AGE_KNOT_X_1)/(V8_AGE_KNOT_X_2-V8_AGE_KNOT_X_1)*(V8_AGE_KNOT_Y_2-V8_AGE_KNOT_Y_1),IF(K154&lt;=V8_AGE_KNOT_X_3,V8_AGE_KNOT_Y_2+(K154-V8_AGE_KNOT_X_2)/(V8_AGE_KNOT_X_3-V8_AGE_KNOT_X_2)*(V8_AGE_KNOT_Y_3-V8_AGE_KNOT_Y_2),IF(K154&lt;=V8_AGE_KNOT_X_4,V8_AGE_KNOT_Y_3+(K154-V8_AGE_KNOT_X_3)/(V8_AGE_KNOT_X_4-V8_AGE_KNOT_X_3)*(V8_AGE_KNOT_Y_4-V8_AGE_KNOT_Y_3),V8_AGE_KNOT_Y_4+(K154-V8_AGE_KNOT_X_4)/(V8_AGE_KNOT_X_5-V8_AGE_KNOT_X_4)*(V8_AGE_KNOT_Y_5-V8_AGE_KNOT_Y_4)))))))</f>
        <v/>
      </c>
      <c r="AC154" s="14">
        <f>IF(IF(OR(L154="",NOT(ISNUMBER(L154))),360,MAX(0,MIN(480,(INT(L154/100)-INT(VALUE(F154)/100))*12+MOD(L154,100)-MOD(VALUE(F154),100))))&gt;0,1+V8_MTY_AMP*MAX(0,(V8_MTY_CUTOFF-(IF(OR(L154="",NOT(ISNUMBER(L154))),360,MAX(0,MIN(480,(INT(L154/100)-INT(VALUE(F154)/100))*12+MOD(L154,100)-MOD(VALUE(F154),100))))))/V8_MTY_CUTOFF),1)</f>
        <v/>
      </c>
      <c r="AD154" s="14">
        <f>IF(AND(IF(OR(M154="",NOT(ISNUMBER(M154))),0,MAX(0,MIN(24,(INT(VALUE(F154)/100)-INT(M154/100))*12+MOD(VALUE(F154),100)-MOD(M154,100))))&gt;0,IF(OR(M154="",NOT(ISNUMBER(M154))),0,MAX(0,MIN(24,(INT(VALUE(F154)/100)-INT(M154/100))*12+MOD(VALUE(F154),100)-MOD(M154,100))))&lt;=12),1+V8_LOCKOUT_AMP*EXP(-(IF(OR(M154="",NOT(ISNUMBER(M154))),0,MAX(0,MIN(24,(INT(VALUE(F154)/100)-INT(M154/100))*12+MOD(VALUE(F154),100)-MOD(M154,100)))))/V8_LOCKOUT_TAU),1)</f>
        <v/>
      </c>
      <c r="AE154" s="14">
        <f>MAX(V8_BURN_FLOOR,1-V8_BURN_SLOPE*MIN(1,MAX(0,O154)))</f>
        <v/>
      </c>
      <c r="AF154" s="15">
        <f>MIN(Z154*AB154*AC154*AD154*AE154,0.2)</f>
        <v/>
      </c>
      <c r="AG154" s="16">
        <f>1-(1-AF154)^12</f>
        <v/>
      </c>
    </row>
    <row r="155">
      <c r="A155" s="2" t="inlineStr">
        <is>
          <t>000006611270</t>
        </is>
      </c>
      <c r="B155" t="inlineStr">
        <is>
          <t>223f</t>
        </is>
      </c>
      <c r="C155" t="inlineStr">
        <is>
          <t>RP</t>
        </is>
      </c>
      <c r="D155" t="inlineStr">
        <is>
          <t>PNC BANK, NA</t>
        </is>
      </c>
      <c r="E155" t="n">
        <v>2022</v>
      </c>
      <c r="F155" t="inlineStr">
        <is>
          <t>202602</t>
        </is>
      </c>
      <c r="G155" s="8" t="n">
        <v>4429820.32</v>
      </c>
      <c r="H155" s="12" t="n">
        <v>2.98</v>
      </c>
      <c r="I155" s="13" t="n">
        <v>447</v>
      </c>
      <c r="J155" s="13" t="n">
        <v>7</v>
      </c>
      <c r="K155" t="n">
        <v>45</v>
      </c>
      <c r="L155" t="n">
        <v>204706</v>
      </c>
      <c r="M155" t="inlineStr"/>
      <c r="N155" t="n">
        <v>0</v>
      </c>
      <c r="O155" s="14" t="n">
        <v>0</v>
      </c>
      <c r="P155">
        <f>IF(ISNUMBER(SEARCH("232",B155)),"232",IF(ISNUMBER(SEARCH("538",B155)),"538",IF(ISNUMBER(SEARCH("223a7",B155)),"223a7",IF(ISNUMBER(SEARCH("223f",B155)),"223f","OTHER"))))</f>
        <v/>
      </c>
      <c r="Q155">
        <f>IF(UPPER(C155)="NC","NC","RP")</f>
        <v/>
      </c>
      <c r="R155">
        <f>IF(G155&lt;5000000,"small",IF(G155&lt;25000000,"medium","large"))</f>
        <v/>
      </c>
      <c r="S155">
        <f>P155&amp;"|"&amp;Q155&amp;"|"&amp;R155</f>
        <v/>
      </c>
      <c r="T155" s="13">
        <f>H155*100-I155</f>
        <v/>
      </c>
      <c r="U155" s="13">
        <f>T155-12.5*(J155+1)</f>
        <v/>
      </c>
      <c r="V155" s="15">
        <f>IFERROR(VLOOKUP(S155,V8_COHORT_TABLE,2,FALSE),IFERROR(VLOOKUP(P155&amp;"|"&amp;Q155&amp;"|ALL",V8_COHORT_TABLE,2,FALSE),IFERROR(VLOOKUP(P155&amp;"|ALL|ALL",V8_COHORT_TABLE,2,FALSE),VLOOKUP("GLOBAL",V8_COHORT_TABLE,2,FALSE))))</f>
        <v/>
      </c>
      <c r="W155" s="15">
        <f>IFERROR(VLOOKUP(S155,V8_COHORT_TABLE,3,FALSE),IFERROR(VLOOKUP(P155&amp;"|"&amp;Q155&amp;"|ALL",V8_COHORT_TABLE,3,FALSE),IFERROR(VLOOKUP(P155&amp;"|ALL|ALL",V8_COHORT_TABLE,3,FALSE),VLOOKUP("GLOBAL",V8_COHORT_TABLE,3,FALSE))))</f>
        <v/>
      </c>
      <c r="X155" s="15">
        <f>IFERROR(VLOOKUP(S155,V8_COHORT_TABLE,4,FALSE),IFERROR(VLOOKUP(P155&amp;"|"&amp;Q155&amp;"|ALL",V8_COHORT_TABLE,4,FALSE),IFERROR(VLOOKUP(P155&amp;"|ALL|ALL",V8_COHORT_TABLE,4,FALSE),VLOOKUP("GLOBAL",V8_COHORT_TABLE,4,FALSE))))</f>
        <v/>
      </c>
      <c r="Y155" s="15">
        <f>IFERROR(VLOOKUP(S155,V8_COHORT_TABLE,5,FALSE),IFERROR(VLOOKUP(P155&amp;"|"&amp;Q155&amp;"|ALL",V8_COHORT_TABLE,5,FALSE),IFERROR(VLOOKUP(P155&amp;"|ALL|ALL",V8_COHORT_TABLE,5,FALSE),VLOOKUP("GLOBAL",V8_COHORT_TABLE,5,FALSE))))</f>
        <v/>
      </c>
      <c r="Z155" s="15">
        <f>V155+W155/(1+EXP(-(U155-X155)/Y155))</f>
        <v/>
      </c>
      <c r="AA155" s="16">
        <f>1-(1-Z155)^12</f>
        <v/>
      </c>
      <c r="AB155" s="14">
        <f>IF(K155&lt;=V8_AGE_KNOT_X_0,V8_AGE_KNOT_Y_0,IF(K155&gt;=V8_AGE_KNOT_X_5,V8_AGE_KNOT_Y_5,IF(K155&lt;=V8_AGE_KNOT_X_1,V8_AGE_KNOT_Y_0+(K155-V8_AGE_KNOT_X_0)/(V8_AGE_KNOT_X_1-V8_AGE_KNOT_X_0)*(V8_AGE_KNOT_Y_1-V8_AGE_KNOT_Y_0),IF(K155&lt;=V8_AGE_KNOT_X_2,V8_AGE_KNOT_Y_1+(K155-V8_AGE_KNOT_X_1)/(V8_AGE_KNOT_X_2-V8_AGE_KNOT_X_1)*(V8_AGE_KNOT_Y_2-V8_AGE_KNOT_Y_1),IF(K155&lt;=V8_AGE_KNOT_X_3,V8_AGE_KNOT_Y_2+(K155-V8_AGE_KNOT_X_2)/(V8_AGE_KNOT_X_3-V8_AGE_KNOT_X_2)*(V8_AGE_KNOT_Y_3-V8_AGE_KNOT_Y_2),IF(K155&lt;=V8_AGE_KNOT_X_4,V8_AGE_KNOT_Y_3+(K155-V8_AGE_KNOT_X_3)/(V8_AGE_KNOT_X_4-V8_AGE_KNOT_X_3)*(V8_AGE_KNOT_Y_4-V8_AGE_KNOT_Y_3),V8_AGE_KNOT_Y_4+(K155-V8_AGE_KNOT_X_4)/(V8_AGE_KNOT_X_5-V8_AGE_KNOT_X_4)*(V8_AGE_KNOT_Y_5-V8_AGE_KNOT_Y_4)))))))</f>
        <v/>
      </c>
      <c r="AC155" s="14">
        <f>IF(IF(OR(L155="",NOT(ISNUMBER(L155))),360,MAX(0,MIN(480,(INT(L155/100)-INT(VALUE(F155)/100))*12+MOD(L155,100)-MOD(VALUE(F155),100))))&gt;0,1+V8_MTY_AMP*MAX(0,(V8_MTY_CUTOFF-(IF(OR(L155="",NOT(ISNUMBER(L155))),360,MAX(0,MIN(480,(INT(L155/100)-INT(VALUE(F155)/100))*12+MOD(L155,100)-MOD(VALUE(F155),100))))))/V8_MTY_CUTOFF),1)</f>
        <v/>
      </c>
      <c r="AD155" s="14">
        <f>IF(AND(IF(OR(M155="",NOT(ISNUMBER(M155))),0,MAX(0,MIN(24,(INT(VALUE(F155)/100)-INT(M155/100))*12+MOD(VALUE(F155),100)-MOD(M155,100))))&gt;0,IF(OR(M155="",NOT(ISNUMBER(M155))),0,MAX(0,MIN(24,(INT(VALUE(F155)/100)-INT(M155/100))*12+MOD(VALUE(F155),100)-MOD(M155,100))))&lt;=12),1+V8_LOCKOUT_AMP*EXP(-(IF(OR(M155="",NOT(ISNUMBER(M155))),0,MAX(0,MIN(24,(INT(VALUE(F155)/100)-INT(M155/100))*12+MOD(VALUE(F155),100)-MOD(M155,100)))))/V8_LOCKOUT_TAU),1)</f>
        <v/>
      </c>
      <c r="AE155" s="14">
        <f>MAX(V8_BURN_FLOOR,1-V8_BURN_SLOPE*MIN(1,MAX(0,O155)))</f>
        <v/>
      </c>
      <c r="AF155" s="15">
        <f>MIN(Z155*AB155*AC155*AD155*AE155,0.2)</f>
        <v/>
      </c>
      <c r="AG155" s="16">
        <f>1-(1-AF155)^12</f>
        <v/>
      </c>
    </row>
    <row r="156">
      <c r="A156" s="2" t="inlineStr">
        <is>
          <t>000001438006</t>
        </is>
      </c>
      <c r="B156" t="inlineStr">
        <is>
          <t>223a7</t>
        </is>
      </c>
      <c r="C156" t="inlineStr">
        <is>
          <t>RP</t>
        </is>
      </c>
      <c r="D156" t="inlineStr">
        <is>
          <t>PNC BANK, NA</t>
        </is>
      </c>
      <c r="E156" t="n">
        <v>2008</v>
      </c>
      <c r="F156" t="inlineStr">
        <is>
          <t>202602</t>
        </is>
      </c>
      <c r="G156" s="8" t="n">
        <v>773318.4</v>
      </c>
      <c r="H156" s="12" t="n">
        <v>6.22</v>
      </c>
      <c r="I156" s="13" t="n">
        <v>447</v>
      </c>
      <c r="J156" s="13" t="n">
        <v>0</v>
      </c>
      <c r="K156" t="n">
        <v>213</v>
      </c>
      <c r="L156" t="n">
        <v>203111</v>
      </c>
      <c r="M156" t="n">
        <v>201307</v>
      </c>
      <c r="N156" t="n">
        <v>86</v>
      </c>
      <c r="O156" s="14" t="n">
        <v>0.4037558685446009</v>
      </c>
      <c r="P156">
        <f>IF(ISNUMBER(SEARCH("232",B156)),"232",IF(ISNUMBER(SEARCH("538",B156)),"538",IF(ISNUMBER(SEARCH("223a7",B156)),"223a7",IF(ISNUMBER(SEARCH("223f",B156)),"223f","OTHER"))))</f>
        <v/>
      </c>
      <c r="Q156">
        <f>IF(UPPER(C156)="NC","NC","RP")</f>
        <v/>
      </c>
      <c r="R156">
        <f>IF(G156&lt;5000000,"small",IF(G156&lt;25000000,"medium","large"))</f>
        <v/>
      </c>
      <c r="S156">
        <f>P156&amp;"|"&amp;Q156&amp;"|"&amp;R156</f>
        <v/>
      </c>
      <c r="T156" s="13">
        <f>H156*100-I156</f>
        <v/>
      </c>
      <c r="U156" s="13">
        <f>T156-12.5*(J156+1)</f>
        <v/>
      </c>
      <c r="V156" s="15">
        <f>IFERROR(VLOOKUP(S156,V8_COHORT_TABLE,2,FALSE),IFERROR(VLOOKUP(P156&amp;"|"&amp;Q156&amp;"|ALL",V8_COHORT_TABLE,2,FALSE),IFERROR(VLOOKUP(P156&amp;"|ALL|ALL",V8_COHORT_TABLE,2,FALSE),VLOOKUP("GLOBAL",V8_COHORT_TABLE,2,FALSE))))</f>
        <v/>
      </c>
      <c r="W156" s="15">
        <f>IFERROR(VLOOKUP(S156,V8_COHORT_TABLE,3,FALSE),IFERROR(VLOOKUP(P156&amp;"|"&amp;Q156&amp;"|ALL",V8_COHORT_TABLE,3,FALSE),IFERROR(VLOOKUP(P156&amp;"|ALL|ALL",V8_COHORT_TABLE,3,FALSE),VLOOKUP("GLOBAL",V8_COHORT_TABLE,3,FALSE))))</f>
        <v/>
      </c>
      <c r="X156" s="15">
        <f>IFERROR(VLOOKUP(S156,V8_COHORT_TABLE,4,FALSE),IFERROR(VLOOKUP(P156&amp;"|"&amp;Q156&amp;"|ALL",V8_COHORT_TABLE,4,FALSE),IFERROR(VLOOKUP(P156&amp;"|ALL|ALL",V8_COHORT_TABLE,4,FALSE),VLOOKUP("GLOBAL",V8_COHORT_TABLE,4,FALSE))))</f>
        <v/>
      </c>
      <c r="Y156" s="15">
        <f>IFERROR(VLOOKUP(S156,V8_COHORT_TABLE,5,FALSE),IFERROR(VLOOKUP(P156&amp;"|"&amp;Q156&amp;"|ALL",V8_COHORT_TABLE,5,FALSE),IFERROR(VLOOKUP(P156&amp;"|ALL|ALL",V8_COHORT_TABLE,5,FALSE),VLOOKUP("GLOBAL",V8_COHORT_TABLE,5,FALSE))))</f>
        <v/>
      </c>
      <c r="Z156" s="15">
        <f>V156+W156/(1+EXP(-(U156-X156)/Y156))</f>
        <v/>
      </c>
      <c r="AA156" s="16">
        <f>1-(1-Z156)^12</f>
        <v/>
      </c>
      <c r="AB156" s="14">
        <f>IF(K156&lt;=V8_AGE_KNOT_X_0,V8_AGE_KNOT_Y_0,IF(K156&gt;=V8_AGE_KNOT_X_5,V8_AGE_KNOT_Y_5,IF(K156&lt;=V8_AGE_KNOT_X_1,V8_AGE_KNOT_Y_0+(K156-V8_AGE_KNOT_X_0)/(V8_AGE_KNOT_X_1-V8_AGE_KNOT_X_0)*(V8_AGE_KNOT_Y_1-V8_AGE_KNOT_Y_0),IF(K156&lt;=V8_AGE_KNOT_X_2,V8_AGE_KNOT_Y_1+(K156-V8_AGE_KNOT_X_1)/(V8_AGE_KNOT_X_2-V8_AGE_KNOT_X_1)*(V8_AGE_KNOT_Y_2-V8_AGE_KNOT_Y_1),IF(K156&lt;=V8_AGE_KNOT_X_3,V8_AGE_KNOT_Y_2+(K156-V8_AGE_KNOT_X_2)/(V8_AGE_KNOT_X_3-V8_AGE_KNOT_X_2)*(V8_AGE_KNOT_Y_3-V8_AGE_KNOT_Y_2),IF(K156&lt;=V8_AGE_KNOT_X_4,V8_AGE_KNOT_Y_3+(K156-V8_AGE_KNOT_X_3)/(V8_AGE_KNOT_X_4-V8_AGE_KNOT_X_3)*(V8_AGE_KNOT_Y_4-V8_AGE_KNOT_Y_3),V8_AGE_KNOT_Y_4+(K156-V8_AGE_KNOT_X_4)/(V8_AGE_KNOT_X_5-V8_AGE_KNOT_X_4)*(V8_AGE_KNOT_Y_5-V8_AGE_KNOT_Y_4)))))))</f>
        <v/>
      </c>
      <c r="AC156" s="14">
        <f>IF(IF(OR(L156="",NOT(ISNUMBER(L156))),360,MAX(0,MIN(480,(INT(L156/100)-INT(VALUE(F156)/100))*12+MOD(L156,100)-MOD(VALUE(F156),100))))&gt;0,1+V8_MTY_AMP*MAX(0,(V8_MTY_CUTOFF-(IF(OR(L156="",NOT(ISNUMBER(L156))),360,MAX(0,MIN(480,(INT(L156/100)-INT(VALUE(F156)/100))*12+MOD(L156,100)-MOD(VALUE(F156),100))))))/V8_MTY_CUTOFF),1)</f>
        <v/>
      </c>
      <c r="AD156" s="14">
        <f>IF(AND(IF(OR(M156="",NOT(ISNUMBER(M156))),0,MAX(0,MIN(24,(INT(VALUE(F156)/100)-INT(M156/100))*12+MOD(VALUE(F156),100)-MOD(M156,100))))&gt;0,IF(OR(M156="",NOT(ISNUMBER(M156))),0,MAX(0,MIN(24,(INT(VALUE(F156)/100)-INT(M156/100))*12+MOD(VALUE(F156),100)-MOD(M156,100))))&lt;=12),1+V8_LOCKOUT_AMP*EXP(-(IF(OR(M156="",NOT(ISNUMBER(M156))),0,MAX(0,MIN(24,(INT(VALUE(F156)/100)-INT(M156/100))*12+MOD(VALUE(F156),100)-MOD(M156,100)))))/V8_LOCKOUT_TAU),1)</f>
        <v/>
      </c>
      <c r="AE156" s="14">
        <f>MAX(V8_BURN_FLOOR,1-V8_BURN_SLOPE*MIN(1,MAX(0,O156)))</f>
        <v/>
      </c>
      <c r="AF156" s="15">
        <f>MIN(Z156*AB156*AC156*AD156*AE156,0.2)</f>
        <v/>
      </c>
      <c r="AG156" s="16">
        <f>1-(1-AF156)^12</f>
        <v/>
      </c>
    </row>
    <row r="157">
      <c r="A157" s="2" t="inlineStr">
        <is>
          <t>000005411219</t>
        </is>
      </c>
      <c r="B157" t="inlineStr">
        <is>
          <t>223f</t>
        </is>
      </c>
      <c r="C157" t="inlineStr">
        <is>
          <t>RP</t>
        </is>
      </c>
      <c r="D157" t="inlineStr">
        <is>
          <t>WELLS FARGO BANK, N.A.</t>
        </is>
      </c>
      <c r="E157" t="n">
        <v>2022</v>
      </c>
      <c r="F157" t="inlineStr">
        <is>
          <t>202602</t>
        </is>
      </c>
      <c r="G157" s="8" t="n">
        <v>19256440.04</v>
      </c>
      <c r="H157" s="12" t="n">
        <v>2.19</v>
      </c>
      <c r="I157" s="13" t="n">
        <v>447</v>
      </c>
      <c r="J157" s="13" t="n">
        <v>7</v>
      </c>
      <c r="K157" t="n">
        <v>48</v>
      </c>
      <c r="L157" t="n">
        <v>205703</v>
      </c>
      <c r="M157" t="inlineStr"/>
      <c r="N157" t="n">
        <v>0</v>
      </c>
      <c r="O157" s="14" t="n">
        <v>0</v>
      </c>
      <c r="P157">
        <f>IF(ISNUMBER(SEARCH("232",B157)),"232",IF(ISNUMBER(SEARCH("538",B157)),"538",IF(ISNUMBER(SEARCH("223a7",B157)),"223a7",IF(ISNUMBER(SEARCH("223f",B157)),"223f","OTHER"))))</f>
        <v/>
      </c>
      <c r="Q157">
        <f>IF(UPPER(C157)="NC","NC","RP")</f>
        <v/>
      </c>
      <c r="R157">
        <f>IF(G157&lt;5000000,"small",IF(G157&lt;25000000,"medium","large"))</f>
        <v/>
      </c>
      <c r="S157">
        <f>P157&amp;"|"&amp;Q157&amp;"|"&amp;R157</f>
        <v/>
      </c>
      <c r="T157" s="13">
        <f>H157*100-I157</f>
        <v/>
      </c>
      <c r="U157" s="13">
        <f>T157-12.5*(J157+1)</f>
        <v/>
      </c>
      <c r="V157" s="15">
        <f>IFERROR(VLOOKUP(S157,V8_COHORT_TABLE,2,FALSE),IFERROR(VLOOKUP(P157&amp;"|"&amp;Q157&amp;"|ALL",V8_COHORT_TABLE,2,FALSE),IFERROR(VLOOKUP(P157&amp;"|ALL|ALL",V8_COHORT_TABLE,2,FALSE),VLOOKUP("GLOBAL",V8_COHORT_TABLE,2,FALSE))))</f>
        <v/>
      </c>
      <c r="W157" s="15">
        <f>IFERROR(VLOOKUP(S157,V8_COHORT_TABLE,3,FALSE),IFERROR(VLOOKUP(P157&amp;"|"&amp;Q157&amp;"|ALL",V8_COHORT_TABLE,3,FALSE),IFERROR(VLOOKUP(P157&amp;"|ALL|ALL",V8_COHORT_TABLE,3,FALSE),VLOOKUP("GLOBAL",V8_COHORT_TABLE,3,FALSE))))</f>
        <v/>
      </c>
      <c r="X157" s="15">
        <f>IFERROR(VLOOKUP(S157,V8_COHORT_TABLE,4,FALSE),IFERROR(VLOOKUP(P157&amp;"|"&amp;Q157&amp;"|ALL",V8_COHORT_TABLE,4,FALSE),IFERROR(VLOOKUP(P157&amp;"|ALL|ALL",V8_COHORT_TABLE,4,FALSE),VLOOKUP("GLOBAL",V8_COHORT_TABLE,4,FALSE))))</f>
        <v/>
      </c>
      <c r="Y157" s="15">
        <f>IFERROR(VLOOKUP(S157,V8_COHORT_TABLE,5,FALSE),IFERROR(VLOOKUP(P157&amp;"|"&amp;Q157&amp;"|ALL",V8_COHORT_TABLE,5,FALSE),IFERROR(VLOOKUP(P157&amp;"|ALL|ALL",V8_COHORT_TABLE,5,FALSE),VLOOKUP("GLOBAL",V8_COHORT_TABLE,5,FALSE))))</f>
        <v/>
      </c>
      <c r="Z157" s="15">
        <f>V157+W157/(1+EXP(-(U157-X157)/Y157))</f>
        <v/>
      </c>
      <c r="AA157" s="16">
        <f>1-(1-Z157)^12</f>
        <v/>
      </c>
      <c r="AB157" s="14">
        <f>IF(K157&lt;=V8_AGE_KNOT_X_0,V8_AGE_KNOT_Y_0,IF(K157&gt;=V8_AGE_KNOT_X_5,V8_AGE_KNOT_Y_5,IF(K157&lt;=V8_AGE_KNOT_X_1,V8_AGE_KNOT_Y_0+(K157-V8_AGE_KNOT_X_0)/(V8_AGE_KNOT_X_1-V8_AGE_KNOT_X_0)*(V8_AGE_KNOT_Y_1-V8_AGE_KNOT_Y_0),IF(K157&lt;=V8_AGE_KNOT_X_2,V8_AGE_KNOT_Y_1+(K157-V8_AGE_KNOT_X_1)/(V8_AGE_KNOT_X_2-V8_AGE_KNOT_X_1)*(V8_AGE_KNOT_Y_2-V8_AGE_KNOT_Y_1),IF(K157&lt;=V8_AGE_KNOT_X_3,V8_AGE_KNOT_Y_2+(K157-V8_AGE_KNOT_X_2)/(V8_AGE_KNOT_X_3-V8_AGE_KNOT_X_2)*(V8_AGE_KNOT_Y_3-V8_AGE_KNOT_Y_2),IF(K157&lt;=V8_AGE_KNOT_X_4,V8_AGE_KNOT_Y_3+(K157-V8_AGE_KNOT_X_3)/(V8_AGE_KNOT_X_4-V8_AGE_KNOT_X_3)*(V8_AGE_KNOT_Y_4-V8_AGE_KNOT_Y_3),V8_AGE_KNOT_Y_4+(K157-V8_AGE_KNOT_X_4)/(V8_AGE_KNOT_X_5-V8_AGE_KNOT_X_4)*(V8_AGE_KNOT_Y_5-V8_AGE_KNOT_Y_4)))))))</f>
        <v/>
      </c>
      <c r="AC157" s="14">
        <f>IF(IF(OR(L157="",NOT(ISNUMBER(L157))),360,MAX(0,MIN(480,(INT(L157/100)-INT(VALUE(F157)/100))*12+MOD(L157,100)-MOD(VALUE(F157),100))))&gt;0,1+V8_MTY_AMP*MAX(0,(V8_MTY_CUTOFF-(IF(OR(L157="",NOT(ISNUMBER(L157))),360,MAX(0,MIN(480,(INT(L157/100)-INT(VALUE(F157)/100))*12+MOD(L157,100)-MOD(VALUE(F157),100))))))/V8_MTY_CUTOFF),1)</f>
        <v/>
      </c>
      <c r="AD157" s="14">
        <f>IF(AND(IF(OR(M157="",NOT(ISNUMBER(M157))),0,MAX(0,MIN(24,(INT(VALUE(F157)/100)-INT(M157/100))*12+MOD(VALUE(F157),100)-MOD(M157,100))))&gt;0,IF(OR(M157="",NOT(ISNUMBER(M157))),0,MAX(0,MIN(24,(INT(VALUE(F157)/100)-INT(M157/100))*12+MOD(VALUE(F157),100)-MOD(M157,100))))&lt;=12),1+V8_LOCKOUT_AMP*EXP(-(IF(OR(M157="",NOT(ISNUMBER(M157))),0,MAX(0,MIN(24,(INT(VALUE(F157)/100)-INT(M157/100))*12+MOD(VALUE(F157),100)-MOD(M157,100)))))/V8_LOCKOUT_TAU),1)</f>
        <v/>
      </c>
      <c r="AE157" s="14">
        <f>MAX(V8_BURN_FLOOR,1-V8_BURN_SLOPE*MIN(1,MAX(0,O157)))</f>
        <v/>
      </c>
      <c r="AF157" s="15">
        <f>MIN(Z157*AB157*AC157*AD157*AE157,0.2)</f>
        <v/>
      </c>
      <c r="AG157" s="16">
        <f>1-(1-AF157)^12</f>
        <v/>
      </c>
    </row>
    <row r="158">
      <c r="A158" s="2" t="inlineStr">
        <is>
          <t>000009211228</t>
        </is>
      </c>
      <c r="B158" t="inlineStr">
        <is>
          <t>223f</t>
        </is>
      </c>
      <c r="C158" t="inlineStr">
        <is>
          <t>RP</t>
        </is>
      </c>
      <c r="D158" t="inlineStr">
        <is>
          <t>WELLS FARGO BANK, N.A.</t>
        </is>
      </c>
      <c r="E158" t="n">
        <v>2006</v>
      </c>
      <c r="F158" t="inlineStr">
        <is>
          <t>202602</t>
        </is>
      </c>
      <c r="G158" s="8" t="n">
        <v>1059530.98</v>
      </c>
      <c r="H158" s="12" t="n">
        <v>5.96</v>
      </c>
      <c r="I158" s="13" t="n">
        <v>447</v>
      </c>
      <c r="J158" s="13" t="n">
        <v>0</v>
      </c>
      <c r="K158" t="n">
        <v>230</v>
      </c>
      <c r="L158" t="n">
        <v>204201</v>
      </c>
      <c r="M158" t="n">
        <v>200802</v>
      </c>
      <c r="N158" t="n">
        <v>86</v>
      </c>
      <c r="O158" s="14" t="n">
        <v>0.3739130434782609</v>
      </c>
      <c r="P158">
        <f>IF(ISNUMBER(SEARCH("232",B158)),"232",IF(ISNUMBER(SEARCH("538",B158)),"538",IF(ISNUMBER(SEARCH("223a7",B158)),"223a7",IF(ISNUMBER(SEARCH("223f",B158)),"223f","OTHER"))))</f>
        <v/>
      </c>
      <c r="Q158">
        <f>IF(UPPER(C158)="NC","NC","RP")</f>
        <v/>
      </c>
      <c r="R158">
        <f>IF(G158&lt;5000000,"small",IF(G158&lt;25000000,"medium","large"))</f>
        <v/>
      </c>
      <c r="S158">
        <f>P158&amp;"|"&amp;Q158&amp;"|"&amp;R158</f>
        <v/>
      </c>
      <c r="T158" s="13">
        <f>H158*100-I158</f>
        <v/>
      </c>
      <c r="U158" s="13">
        <f>T158-12.5*(J158+1)</f>
        <v/>
      </c>
      <c r="V158" s="15">
        <f>IFERROR(VLOOKUP(S158,V8_COHORT_TABLE,2,FALSE),IFERROR(VLOOKUP(P158&amp;"|"&amp;Q158&amp;"|ALL",V8_COHORT_TABLE,2,FALSE),IFERROR(VLOOKUP(P158&amp;"|ALL|ALL",V8_COHORT_TABLE,2,FALSE),VLOOKUP("GLOBAL",V8_COHORT_TABLE,2,FALSE))))</f>
        <v/>
      </c>
      <c r="W158" s="15">
        <f>IFERROR(VLOOKUP(S158,V8_COHORT_TABLE,3,FALSE),IFERROR(VLOOKUP(P158&amp;"|"&amp;Q158&amp;"|ALL",V8_COHORT_TABLE,3,FALSE),IFERROR(VLOOKUP(P158&amp;"|ALL|ALL",V8_COHORT_TABLE,3,FALSE),VLOOKUP("GLOBAL",V8_COHORT_TABLE,3,FALSE))))</f>
        <v/>
      </c>
      <c r="X158" s="15">
        <f>IFERROR(VLOOKUP(S158,V8_COHORT_TABLE,4,FALSE),IFERROR(VLOOKUP(P158&amp;"|"&amp;Q158&amp;"|ALL",V8_COHORT_TABLE,4,FALSE),IFERROR(VLOOKUP(P158&amp;"|ALL|ALL",V8_COHORT_TABLE,4,FALSE),VLOOKUP("GLOBAL",V8_COHORT_TABLE,4,FALSE))))</f>
        <v/>
      </c>
      <c r="Y158" s="15">
        <f>IFERROR(VLOOKUP(S158,V8_COHORT_TABLE,5,FALSE),IFERROR(VLOOKUP(P158&amp;"|"&amp;Q158&amp;"|ALL",V8_COHORT_TABLE,5,FALSE),IFERROR(VLOOKUP(P158&amp;"|ALL|ALL",V8_COHORT_TABLE,5,FALSE),VLOOKUP("GLOBAL",V8_COHORT_TABLE,5,FALSE))))</f>
        <v/>
      </c>
      <c r="Z158" s="15">
        <f>V158+W158/(1+EXP(-(U158-X158)/Y158))</f>
        <v/>
      </c>
      <c r="AA158" s="16">
        <f>1-(1-Z158)^12</f>
        <v/>
      </c>
      <c r="AB158" s="14">
        <f>IF(K158&lt;=V8_AGE_KNOT_X_0,V8_AGE_KNOT_Y_0,IF(K158&gt;=V8_AGE_KNOT_X_5,V8_AGE_KNOT_Y_5,IF(K158&lt;=V8_AGE_KNOT_X_1,V8_AGE_KNOT_Y_0+(K158-V8_AGE_KNOT_X_0)/(V8_AGE_KNOT_X_1-V8_AGE_KNOT_X_0)*(V8_AGE_KNOT_Y_1-V8_AGE_KNOT_Y_0),IF(K158&lt;=V8_AGE_KNOT_X_2,V8_AGE_KNOT_Y_1+(K158-V8_AGE_KNOT_X_1)/(V8_AGE_KNOT_X_2-V8_AGE_KNOT_X_1)*(V8_AGE_KNOT_Y_2-V8_AGE_KNOT_Y_1),IF(K158&lt;=V8_AGE_KNOT_X_3,V8_AGE_KNOT_Y_2+(K158-V8_AGE_KNOT_X_2)/(V8_AGE_KNOT_X_3-V8_AGE_KNOT_X_2)*(V8_AGE_KNOT_Y_3-V8_AGE_KNOT_Y_2),IF(K158&lt;=V8_AGE_KNOT_X_4,V8_AGE_KNOT_Y_3+(K158-V8_AGE_KNOT_X_3)/(V8_AGE_KNOT_X_4-V8_AGE_KNOT_X_3)*(V8_AGE_KNOT_Y_4-V8_AGE_KNOT_Y_3),V8_AGE_KNOT_Y_4+(K158-V8_AGE_KNOT_X_4)/(V8_AGE_KNOT_X_5-V8_AGE_KNOT_X_4)*(V8_AGE_KNOT_Y_5-V8_AGE_KNOT_Y_4)))))))</f>
        <v/>
      </c>
      <c r="AC158" s="14">
        <f>IF(IF(OR(L158="",NOT(ISNUMBER(L158))),360,MAX(0,MIN(480,(INT(L158/100)-INT(VALUE(F158)/100))*12+MOD(L158,100)-MOD(VALUE(F158),100))))&gt;0,1+V8_MTY_AMP*MAX(0,(V8_MTY_CUTOFF-(IF(OR(L158="",NOT(ISNUMBER(L158))),360,MAX(0,MIN(480,(INT(L158/100)-INT(VALUE(F158)/100))*12+MOD(L158,100)-MOD(VALUE(F158),100))))))/V8_MTY_CUTOFF),1)</f>
        <v/>
      </c>
      <c r="AD158" s="14">
        <f>IF(AND(IF(OR(M158="",NOT(ISNUMBER(M158))),0,MAX(0,MIN(24,(INT(VALUE(F158)/100)-INT(M158/100))*12+MOD(VALUE(F158),100)-MOD(M158,100))))&gt;0,IF(OR(M158="",NOT(ISNUMBER(M158))),0,MAX(0,MIN(24,(INT(VALUE(F158)/100)-INT(M158/100))*12+MOD(VALUE(F158),100)-MOD(M158,100))))&lt;=12),1+V8_LOCKOUT_AMP*EXP(-(IF(OR(M158="",NOT(ISNUMBER(M158))),0,MAX(0,MIN(24,(INT(VALUE(F158)/100)-INT(M158/100))*12+MOD(VALUE(F158),100)-MOD(M158,100)))))/V8_LOCKOUT_TAU),1)</f>
        <v/>
      </c>
      <c r="AE158" s="14">
        <f>MAX(V8_BURN_FLOOR,1-V8_BURN_SLOPE*MIN(1,MAX(0,O158)))</f>
        <v/>
      </c>
      <c r="AF158" s="15">
        <f>MIN(Z158*AB158*AC158*AD158*AE158,0.2)</f>
        <v/>
      </c>
      <c r="AG158" s="16">
        <f>1-(1-AF158)^12</f>
        <v/>
      </c>
    </row>
    <row r="159">
      <c r="A159" s="2" t="inlineStr">
        <is>
          <t>000011394011</t>
        </is>
      </c>
      <c r="B159" t="inlineStr">
        <is>
          <t>223a7</t>
        </is>
      </c>
      <c r="C159" t="inlineStr">
        <is>
          <t>RP</t>
        </is>
      </c>
      <c r="D159" t="inlineStr">
        <is>
          <t>WELLS FARGO BANK, N.A.</t>
        </is>
      </c>
      <c r="E159" t="n">
        <v>2002</v>
      </c>
      <c r="F159" t="inlineStr">
        <is>
          <t>202602</t>
        </is>
      </c>
      <c r="G159" s="8" t="n">
        <v>1859197.29</v>
      </c>
      <c r="H159" s="12" t="n">
        <v>5.96</v>
      </c>
      <c r="I159" s="13" t="n">
        <v>447</v>
      </c>
      <c r="J159" s="13" t="n">
        <v>0</v>
      </c>
      <c r="K159" t="n">
        <v>279</v>
      </c>
      <c r="L159" t="n">
        <v>203212</v>
      </c>
      <c r="M159" t="n">
        <v>200712</v>
      </c>
      <c r="N159" t="n">
        <v>86</v>
      </c>
      <c r="O159" s="14" t="n">
        <v>0.3082437275985663</v>
      </c>
      <c r="P159">
        <f>IF(ISNUMBER(SEARCH("232",B159)),"232",IF(ISNUMBER(SEARCH("538",B159)),"538",IF(ISNUMBER(SEARCH("223a7",B159)),"223a7",IF(ISNUMBER(SEARCH("223f",B159)),"223f","OTHER"))))</f>
        <v/>
      </c>
      <c r="Q159">
        <f>IF(UPPER(C159)="NC","NC","RP")</f>
        <v/>
      </c>
      <c r="R159">
        <f>IF(G159&lt;5000000,"small",IF(G159&lt;25000000,"medium","large"))</f>
        <v/>
      </c>
      <c r="S159">
        <f>P159&amp;"|"&amp;Q159&amp;"|"&amp;R159</f>
        <v/>
      </c>
      <c r="T159" s="13">
        <f>H159*100-I159</f>
        <v/>
      </c>
      <c r="U159" s="13">
        <f>T159-12.5*(J159+1)</f>
        <v/>
      </c>
      <c r="V159" s="15">
        <f>IFERROR(VLOOKUP(S159,V8_COHORT_TABLE,2,FALSE),IFERROR(VLOOKUP(P159&amp;"|"&amp;Q159&amp;"|ALL",V8_COHORT_TABLE,2,FALSE),IFERROR(VLOOKUP(P159&amp;"|ALL|ALL",V8_COHORT_TABLE,2,FALSE),VLOOKUP("GLOBAL",V8_COHORT_TABLE,2,FALSE))))</f>
        <v/>
      </c>
      <c r="W159" s="15">
        <f>IFERROR(VLOOKUP(S159,V8_COHORT_TABLE,3,FALSE),IFERROR(VLOOKUP(P159&amp;"|"&amp;Q159&amp;"|ALL",V8_COHORT_TABLE,3,FALSE),IFERROR(VLOOKUP(P159&amp;"|ALL|ALL",V8_COHORT_TABLE,3,FALSE),VLOOKUP("GLOBAL",V8_COHORT_TABLE,3,FALSE))))</f>
        <v/>
      </c>
      <c r="X159" s="15">
        <f>IFERROR(VLOOKUP(S159,V8_COHORT_TABLE,4,FALSE),IFERROR(VLOOKUP(P159&amp;"|"&amp;Q159&amp;"|ALL",V8_COHORT_TABLE,4,FALSE),IFERROR(VLOOKUP(P159&amp;"|ALL|ALL",V8_COHORT_TABLE,4,FALSE),VLOOKUP("GLOBAL",V8_COHORT_TABLE,4,FALSE))))</f>
        <v/>
      </c>
      <c r="Y159" s="15">
        <f>IFERROR(VLOOKUP(S159,V8_COHORT_TABLE,5,FALSE),IFERROR(VLOOKUP(P159&amp;"|"&amp;Q159&amp;"|ALL",V8_COHORT_TABLE,5,FALSE),IFERROR(VLOOKUP(P159&amp;"|ALL|ALL",V8_COHORT_TABLE,5,FALSE),VLOOKUP("GLOBAL",V8_COHORT_TABLE,5,FALSE))))</f>
        <v/>
      </c>
      <c r="Z159" s="15">
        <f>V159+W159/(1+EXP(-(U159-X159)/Y159))</f>
        <v/>
      </c>
      <c r="AA159" s="16">
        <f>1-(1-Z159)^12</f>
        <v/>
      </c>
      <c r="AB159" s="14">
        <f>IF(K159&lt;=V8_AGE_KNOT_X_0,V8_AGE_KNOT_Y_0,IF(K159&gt;=V8_AGE_KNOT_X_5,V8_AGE_KNOT_Y_5,IF(K159&lt;=V8_AGE_KNOT_X_1,V8_AGE_KNOT_Y_0+(K159-V8_AGE_KNOT_X_0)/(V8_AGE_KNOT_X_1-V8_AGE_KNOT_X_0)*(V8_AGE_KNOT_Y_1-V8_AGE_KNOT_Y_0),IF(K159&lt;=V8_AGE_KNOT_X_2,V8_AGE_KNOT_Y_1+(K159-V8_AGE_KNOT_X_1)/(V8_AGE_KNOT_X_2-V8_AGE_KNOT_X_1)*(V8_AGE_KNOT_Y_2-V8_AGE_KNOT_Y_1),IF(K159&lt;=V8_AGE_KNOT_X_3,V8_AGE_KNOT_Y_2+(K159-V8_AGE_KNOT_X_2)/(V8_AGE_KNOT_X_3-V8_AGE_KNOT_X_2)*(V8_AGE_KNOT_Y_3-V8_AGE_KNOT_Y_2),IF(K159&lt;=V8_AGE_KNOT_X_4,V8_AGE_KNOT_Y_3+(K159-V8_AGE_KNOT_X_3)/(V8_AGE_KNOT_X_4-V8_AGE_KNOT_X_3)*(V8_AGE_KNOT_Y_4-V8_AGE_KNOT_Y_3),V8_AGE_KNOT_Y_4+(K159-V8_AGE_KNOT_X_4)/(V8_AGE_KNOT_X_5-V8_AGE_KNOT_X_4)*(V8_AGE_KNOT_Y_5-V8_AGE_KNOT_Y_4)))))))</f>
        <v/>
      </c>
      <c r="AC159" s="14">
        <f>IF(IF(OR(L159="",NOT(ISNUMBER(L159))),360,MAX(0,MIN(480,(INT(L159/100)-INT(VALUE(F159)/100))*12+MOD(L159,100)-MOD(VALUE(F159),100))))&gt;0,1+V8_MTY_AMP*MAX(0,(V8_MTY_CUTOFF-(IF(OR(L159="",NOT(ISNUMBER(L159))),360,MAX(0,MIN(480,(INT(L159/100)-INT(VALUE(F159)/100))*12+MOD(L159,100)-MOD(VALUE(F159),100))))))/V8_MTY_CUTOFF),1)</f>
        <v/>
      </c>
      <c r="AD159" s="14">
        <f>IF(AND(IF(OR(M159="",NOT(ISNUMBER(M159))),0,MAX(0,MIN(24,(INT(VALUE(F159)/100)-INT(M159/100))*12+MOD(VALUE(F159),100)-MOD(M159,100))))&gt;0,IF(OR(M159="",NOT(ISNUMBER(M159))),0,MAX(0,MIN(24,(INT(VALUE(F159)/100)-INT(M159/100))*12+MOD(VALUE(F159),100)-MOD(M159,100))))&lt;=12),1+V8_LOCKOUT_AMP*EXP(-(IF(OR(M159="",NOT(ISNUMBER(M159))),0,MAX(0,MIN(24,(INT(VALUE(F159)/100)-INT(M159/100))*12+MOD(VALUE(F159),100)-MOD(M159,100)))))/V8_LOCKOUT_TAU),1)</f>
        <v/>
      </c>
      <c r="AE159" s="14">
        <f>MAX(V8_BURN_FLOOR,1-V8_BURN_SLOPE*MIN(1,MAX(0,O159)))</f>
        <v/>
      </c>
      <c r="AF159" s="15">
        <f>MIN(Z159*AB159*AC159*AD159*AE159,0.2)</f>
        <v/>
      </c>
      <c r="AG159" s="16">
        <f>1-(1-AF159)^12</f>
        <v/>
      </c>
    </row>
    <row r="160">
      <c r="A160" s="2" t="inlineStr">
        <is>
          <t>000005235792</t>
        </is>
      </c>
      <c r="B160" t="inlineStr">
        <is>
          <t>221d4</t>
        </is>
      </c>
      <c r="C160" t="inlineStr">
        <is>
          <t>NC</t>
        </is>
      </c>
      <c r="D160" t="inlineStr">
        <is>
          <t>WELLS FARGO BANK, N.A.</t>
        </is>
      </c>
      <c r="E160" t="n">
        <v>2018</v>
      </c>
      <c r="F160" t="inlineStr">
        <is>
          <t>202602</t>
        </is>
      </c>
      <c r="G160" s="8" t="n">
        <v>6299265.16</v>
      </c>
      <c r="H160" s="12" t="n">
        <v>3.89</v>
      </c>
      <c r="I160" s="13" t="n">
        <v>447</v>
      </c>
      <c r="J160" s="13" t="n">
        <v>4</v>
      </c>
      <c r="K160" t="n">
        <v>95</v>
      </c>
      <c r="L160" t="n">
        <v>205908</v>
      </c>
      <c r="M160" t="inlineStr"/>
      <c r="N160" t="n">
        <v>24</v>
      </c>
      <c r="O160" s="14" t="n">
        <v>0.2526315789473684</v>
      </c>
      <c r="P160">
        <f>IF(ISNUMBER(SEARCH("232",B160)),"232",IF(ISNUMBER(SEARCH("538",B160)),"538",IF(ISNUMBER(SEARCH("223a7",B160)),"223a7",IF(ISNUMBER(SEARCH("223f",B160)),"223f","OTHER"))))</f>
        <v/>
      </c>
      <c r="Q160">
        <f>IF(UPPER(C160)="NC","NC","RP")</f>
        <v/>
      </c>
      <c r="R160">
        <f>IF(G160&lt;5000000,"small",IF(G160&lt;25000000,"medium","large"))</f>
        <v/>
      </c>
      <c r="S160">
        <f>P160&amp;"|"&amp;Q160&amp;"|"&amp;R160</f>
        <v/>
      </c>
      <c r="T160" s="13">
        <f>H160*100-I160</f>
        <v/>
      </c>
      <c r="U160" s="13">
        <f>T160-12.5*(J160+1)</f>
        <v/>
      </c>
      <c r="V160" s="15">
        <f>IFERROR(VLOOKUP(S160,V8_COHORT_TABLE,2,FALSE),IFERROR(VLOOKUP(P160&amp;"|"&amp;Q160&amp;"|ALL",V8_COHORT_TABLE,2,FALSE),IFERROR(VLOOKUP(P160&amp;"|ALL|ALL",V8_COHORT_TABLE,2,FALSE),VLOOKUP("GLOBAL",V8_COHORT_TABLE,2,FALSE))))</f>
        <v/>
      </c>
      <c r="W160" s="15">
        <f>IFERROR(VLOOKUP(S160,V8_COHORT_TABLE,3,FALSE),IFERROR(VLOOKUP(P160&amp;"|"&amp;Q160&amp;"|ALL",V8_COHORT_TABLE,3,FALSE),IFERROR(VLOOKUP(P160&amp;"|ALL|ALL",V8_COHORT_TABLE,3,FALSE),VLOOKUP("GLOBAL",V8_COHORT_TABLE,3,FALSE))))</f>
        <v/>
      </c>
      <c r="X160" s="15">
        <f>IFERROR(VLOOKUP(S160,V8_COHORT_TABLE,4,FALSE),IFERROR(VLOOKUP(P160&amp;"|"&amp;Q160&amp;"|ALL",V8_COHORT_TABLE,4,FALSE),IFERROR(VLOOKUP(P160&amp;"|ALL|ALL",V8_COHORT_TABLE,4,FALSE),VLOOKUP("GLOBAL",V8_COHORT_TABLE,4,FALSE))))</f>
        <v/>
      </c>
      <c r="Y160" s="15">
        <f>IFERROR(VLOOKUP(S160,V8_COHORT_TABLE,5,FALSE),IFERROR(VLOOKUP(P160&amp;"|"&amp;Q160&amp;"|ALL",V8_COHORT_TABLE,5,FALSE),IFERROR(VLOOKUP(P160&amp;"|ALL|ALL",V8_COHORT_TABLE,5,FALSE),VLOOKUP("GLOBAL",V8_COHORT_TABLE,5,FALSE))))</f>
        <v/>
      </c>
      <c r="Z160" s="15">
        <f>V160+W160/(1+EXP(-(U160-X160)/Y160))</f>
        <v/>
      </c>
      <c r="AA160" s="16">
        <f>1-(1-Z160)^12</f>
        <v/>
      </c>
      <c r="AB160" s="14">
        <f>IF(K160&lt;=V8_AGE_KNOT_X_0,V8_AGE_KNOT_Y_0,IF(K160&gt;=V8_AGE_KNOT_X_5,V8_AGE_KNOT_Y_5,IF(K160&lt;=V8_AGE_KNOT_X_1,V8_AGE_KNOT_Y_0+(K160-V8_AGE_KNOT_X_0)/(V8_AGE_KNOT_X_1-V8_AGE_KNOT_X_0)*(V8_AGE_KNOT_Y_1-V8_AGE_KNOT_Y_0),IF(K160&lt;=V8_AGE_KNOT_X_2,V8_AGE_KNOT_Y_1+(K160-V8_AGE_KNOT_X_1)/(V8_AGE_KNOT_X_2-V8_AGE_KNOT_X_1)*(V8_AGE_KNOT_Y_2-V8_AGE_KNOT_Y_1),IF(K160&lt;=V8_AGE_KNOT_X_3,V8_AGE_KNOT_Y_2+(K160-V8_AGE_KNOT_X_2)/(V8_AGE_KNOT_X_3-V8_AGE_KNOT_X_2)*(V8_AGE_KNOT_Y_3-V8_AGE_KNOT_Y_2),IF(K160&lt;=V8_AGE_KNOT_X_4,V8_AGE_KNOT_Y_3+(K160-V8_AGE_KNOT_X_3)/(V8_AGE_KNOT_X_4-V8_AGE_KNOT_X_3)*(V8_AGE_KNOT_Y_4-V8_AGE_KNOT_Y_3),V8_AGE_KNOT_Y_4+(K160-V8_AGE_KNOT_X_4)/(V8_AGE_KNOT_X_5-V8_AGE_KNOT_X_4)*(V8_AGE_KNOT_Y_5-V8_AGE_KNOT_Y_4)))))))</f>
        <v/>
      </c>
      <c r="AC160" s="14">
        <f>IF(IF(OR(L160="",NOT(ISNUMBER(L160))),360,MAX(0,MIN(480,(INT(L160/100)-INT(VALUE(F160)/100))*12+MOD(L160,100)-MOD(VALUE(F160),100))))&gt;0,1+V8_MTY_AMP*MAX(0,(V8_MTY_CUTOFF-(IF(OR(L160="",NOT(ISNUMBER(L160))),360,MAX(0,MIN(480,(INT(L160/100)-INT(VALUE(F160)/100))*12+MOD(L160,100)-MOD(VALUE(F160),100))))))/V8_MTY_CUTOFF),1)</f>
        <v/>
      </c>
      <c r="AD160" s="14">
        <f>IF(AND(IF(OR(M160="",NOT(ISNUMBER(M160))),0,MAX(0,MIN(24,(INT(VALUE(F160)/100)-INT(M160/100))*12+MOD(VALUE(F160),100)-MOD(M160,100))))&gt;0,IF(OR(M160="",NOT(ISNUMBER(M160))),0,MAX(0,MIN(24,(INT(VALUE(F160)/100)-INT(M160/100))*12+MOD(VALUE(F160),100)-MOD(M160,100))))&lt;=12),1+V8_LOCKOUT_AMP*EXP(-(IF(OR(M160="",NOT(ISNUMBER(M160))),0,MAX(0,MIN(24,(INT(VALUE(F160)/100)-INT(M160/100))*12+MOD(VALUE(F160),100)-MOD(M160,100)))))/V8_LOCKOUT_TAU),1)</f>
        <v/>
      </c>
      <c r="AE160" s="14">
        <f>MAX(V8_BURN_FLOOR,1-V8_BURN_SLOPE*MIN(1,MAX(0,O160)))</f>
        <v/>
      </c>
      <c r="AF160" s="15">
        <f>MIN(Z160*AB160*AC160*AD160*AE160,0.2)</f>
        <v/>
      </c>
      <c r="AG160" s="16">
        <f>1-(1-AF160)^12</f>
        <v/>
      </c>
    </row>
    <row r="161">
      <c r="A161" s="2" t="inlineStr">
        <is>
          <t>000001257419</t>
        </is>
      </c>
      <c r="B161" t="inlineStr">
        <is>
          <t>223a7</t>
        </is>
      </c>
      <c r="C161" t="inlineStr">
        <is>
          <t>RP</t>
        </is>
      </c>
      <c r="D161" t="inlineStr">
        <is>
          <t>WELLS FARGO BANK, N.A.</t>
        </is>
      </c>
      <c r="E161" t="n">
        <v>2006</v>
      </c>
      <c r="F161" t="inlineStr">
        <is>
          <t>202602</t>
        </is>
      </c>
      <c r="G161" s="8" t="n">
        <v>237341.87</v>
      </c>
      <c r="H161" s="12" t="n">
        <v>6.75</v>
      </c>
      <c r="I161" s="13" t="n">
        <v>447</v>
      </c>
      <c r="J161" s="13" t="n">
        <v>0</v>
      </c>
      <c r="K161" t="n">
        <v>238</v>
      </c>
      <c r="L161" t="n">
        <v>203605</v>
      </c>
      <c r="M161" t="n">
        <v>200806</v>
      </c>
      <c r="N161" t="n">
        <v>87</v>
      </c>
      <c r="O161" s="14" t="n">
        <v>0.3655462184873949</v>
      </c>
      <c r="P161">
        <f>IF(ISNUMBER(SEARCH("232",B161)),"232",IF(ISNUMBER(SEARCH("538",B161)),"538",IF(ISNUMBER(SEARCH("223a7",B161)),"223a7",IF(ISNUMBER(SEARCH("223f",B161)),"223f","OTHER"))))</f>
        <v/>
      </c>
      <c r="Q161">
        <f>IF(UPPER(C161)="NC","NC","RP")</f>
        <v/>
      </c>
      <c r="R161">
        <f>IF(G161&lt;5000000,"small",IF(G161&lt;25000000,"medium","large"))</f>
        <v/>
      </c>
      <c r="S161">
        <f>P161&amp;"|"&amp;Q161&amp;"|"&amp;R161</f>
        <v/>
      </c>
      <c r="T161" s="13">
        <f>H161*100-I161</f>
        <v/>
      </c>
      <c r="U161" s="13">
        <f>T161-12.5*(J161+1)</f>
        <v/>
      </c>
      <c r="V161" s="15">
        <f>IFERROR(VLOOKUP(S161,V8_COHORT_TABLE,2,FALSE),IFERROR(VLOOKUP(P161&amp;"|"&amp;Q161&amp;"|ALL",V8_COHORT_TABLE,2,FALSE),IFERROR(VLOOKUP(P161&amp;"|ALL|ALL",V8_COHORT_TABLE,2,FALSE),VLOOKUP("GLOBAL",V8_COHORT_TABLE,2,FALSE))))</f>
        <v/>
      </c>
      <c r="W161" s="15">
        <f>IFERROR(VLOOKUP(S161,V8_COHORT_TABLE,3,FALSE),IFERROR(VLOOKUP(P161&amp;"|"&amp;Q161&amp;"|ALL",V8_COHORT_TABLE,3,FALSE),IFERROR(VLOOKUP(P161&amp;"|ALL|ALL",V8_COHORT_TABLE,3,FALSE),VLOOKUP("GLOBAL",V8_COHORT_TABLE,3,FALSE))))</f>
        <v/>
      </c>
      <c r="X161" s="15">
        <f>IFERROR(VLOOKUP(S161,V8_COHORT_TABLE,4,FALSE),IFERROR(VLOOKUP(P161&amp;"|"&amp;Q161&amp;"|ALL",V8_COHORT_TABLE,4,FALSE),IFERROR(VLOOKUP(P161&amp;"|ALL|ALL",V8_COHORT_TABLE,4,FALSE),VLOOKUP("GLOBAL",V8_COHORT_TABLE,4,FALSE))))</f>
        <v/>
      </c>
      <c r="Y161" s="15">
        <f>IFERROR(VLOOKUP(S161,V8_COHORT_TABLE,5,FALSE),IFERROR(VLOOKUP(P161&amp;"|"&amp;Q161&amp;"|ALL",V8_COHORT_TABLE,5,FALSE),IFERROR(VLOOKUP(P161&amp;"|ALL|ALL",V8_COHORT_TABLE,5,FALSE),VLOOKUP("GLOBAL",V8_COHORT_TABLE,5,FALSE))))</f>
        <v/>
      </c>
      <c r="Z161" s="15">
        <f>V161+W161/(1+EXP(-(U161-X161)/Y161))</f>
        <v/>
      </c>
      <c r="AA161" s="16">
        <f>1-(1-Z161)^12</f>
        <v/>
      </c>
      <c r="AB161" s="14">
        <f>IF(K161&lt;=V8_AGE_KNOT_X_0,V8_AGE_KNOT_Y_0,IF(K161&gt;=V8_AGE_KNOT_X_5,V8_AGE_KNOT_Y_5,IF(K161&lt;=V8_AGE_KNOT_X_1,V8_AGE_KNOT_Y_0+(K161-V8_AGE_KNOT_X_0)/(V8_AGE_KNOT_X_1-V8_AGE_KNOT_X_0)*(V8_AGE_KNOT_Y_1-V8_AGE_KNOT_Y_0),IF(K161&lt;=V8_AGE_KNOT_X_2,V8_AGE_KNOT_Y_1+(K161-V8_AGE_KNOT_X_1)/(V8_AGE_KNOT_X_2-V8_AGE_KNOT_X_1)*(V8_AGE_KNOT_Y_2-V8_AGE_KNOT_Y_1),IF(K161&lt;=V8_AGE_KNOT_X_3,V8_AGE_KNOT_Y_2+(K161-V8_AGE_KNOT_X_2)/(V8_AGE_KNOT_X_3-V8_AGE_KNOT_X_2)*(V8_AGE_KNOT_Y_3-V8_AGE_KNOT_Y_2),IF(K161&lt;=V8_AGE_KNOT_X_4,V8_AGE_KNOT_Y_3+(K161-V8_AGE_KNOT_X_3)/(V8_AGE_KNOT_X_4-V8_AGE_KNOT_X_3)*(V8_AGE_KNOT_Y_4-V8_AGE_KNOT_Y_3),V8_AGE_KNOT_Y_4+(K161-V8_AGE_KNOT_X_4)/(V8_AGE_KNOT_X_5-V8_AGE_KNOT_X_4)*(V8_AGE_KNOT_Y_5-V8_AGE_KNOT_Y_4)))))))</f>
        <v/>
      </c>
      <c r="AC161" s="14">
        <f>IF(IF(OR(L161="",NOT(ISNUMBER(L161))),360,MAX(0,MIN(480,(INT(L161/100)-INT(VALUE(F161)/100))*12+MOD(L161,100)-MOD(VALUE(F161),100))))&gt;0,1+V8_MTY_AMP*MAX(0,(V8_MTY_CUTOFF-(IF(OR(L161="",NOT(ISNUMBER(L161))),360,MAX(0,MIN(480,(INT(L161/100)-INT(VALUE(F161)/100))*12+MOD(L161,100)-MOD(VALUE(F161),100))))))/V8_MTY_CUTOFF),1)</f>
        <v/>
      </c>
      <c r="AD161" s="14">
        <f>IF(AND(IF(OR(M161="",NOT(ISNUMBER(M161))),0,MAX(0,MIN(24,(INT(VALUE(F161)/100)-INT(M161/100))*12+MOD(VALUE(F161),100)-MOD(M161,100))))&gt;0,IF(OR(M161="",NOT(ISNUMBER(M161))),0,MAX(0,MIN(24,(INT(VALUE(F161)/100)-INT(M161/100))*12+MOD(VALUE(F161),100)-MOD(M161,100))))&lt;=12),1+V8_LOCKOUT_AMP*EXP(-(IF(OR(M161="",NOT(ISNUMBER(M161))),0,MAX(0,MIN(24,(INT(VALUE(F161)/100)-INT(M161/100))*12+MOD(VALUE(F161),100)-MOD(M161,100)))))/V8_LOCKOUT_TAU),1)</f>
        <v/>
      </c>
      <c r="AE161" s="14">
        <f>MAX(V8_BURN_FLOOR,1-V8_BURN_SLOPE*MIN(1,MAX(0,O161)))</f>
        <v/>
      </c>
      <c r="AF161" s="15">
        <f>MIN(Z161*AB161*AC161*AD161*AE161,0.2)</f>
        <v/>
      </c>
      <c r="AG161" s="16">
        <f>1-(1-AF161)^12</f>
        <v/>
      </c>
    </row>
    <row r="162">
      <c r="A162" s="2" t="inlineStr">
        <is>
          <t>000010511085</t>
        </is>
      </c>
      <c r="B162" t="inlineStr">
        <is>
          <t>223f</t>
        </is>
      </c>
      <c r="C162" t="inlineStr">
        <is>
          <t>RP</t>
        </is>
      </c>
      <c r="D162" t="inlineStr">
        <is>
          <t>WELLS FARGO BANK, N.A.</t>
        </is>
      </c>
      <c r="E162" t="n">
        <v>2017</v>
      </c>
      <c r="F162" t="inlineStr">
        <is>
          <t>202602</t>
        </is>
      </c>
      <c r="G162" s="8" t="n">
        <v>6227483.14</v>
      </c>
      <c r="H162" s="12" t="n">
        <v>3.22</v>
      </c>
      <c r="I162" s="13" t="n">
        <v>447</v>
      </c>
      <c r="J162" s="13" t="n">
        <v>2</v>
      </c>
      <c r="K162" t="n">
        <v>102</v>
      </c>
      <c r="L162" t="n">
        <v>205209</v>
      </c>
      <c r="M162" t="inlineStr"/>
      <c r="N162" t="n">
        <v>25</v>
      </c>
      <c r="O162" s="14" t="n">
        <v>0.2450980392156863</v>
      </c>
      <c r="P162">
        <f>IF(ISNUMBER(SEARCH("232",B162)),"232",IF(ISNUMBER(SEARCH("538",B162)),"538",IF(ISNUMBER(SEARCH("223a7",B162)),"223a7",IF(ISNUMBER(SEARCH("223f",B162)),"223f","OTHER"))))</f>
        <v/>
      </c>
      <c r="Q162">
        <f>IF(UPPER(C162)="NC","NC","RP")</f>
        <v/>
      </c>
      <c r="R162">
        <f>IF(G162&lt;5000000,"small",IF(G162&lt;25000000,"medium","large"))</f>
        <v/>
      </c>
      <c r="S162">
        <f>P162&amp;"|"&amp;Q162&amp;"|"&amp;R162</f>
        <v/>
      </c>
      <c r="T162" s="13">
        <f>H162*100-I162</f>
        <v/>
      </c>
      <c r="U162" s="13">
        <f>T162-12.5*(J162+1)</f>
        <v/>
      </c>
      <c r="V162" s="15">
        <f>IFERROR(VLOOKUP(S162,V8_COHORT_TABLE,2,FALSE),IFERROR(VLOOKUP(P162&amp;"|"&amp;Q162&amp;"|ALL",V8_COHORT_TABLE,2,FALSE),IFERROR(VLOOKUP(P162&amp;"|ALL|ALL",V8_COHORT_TABLE,2,FALSE),VLOOKUP("GLOBAL",V8_COHORT_TABLE,2,FALSE))))</f>
        <v/>
      </c>
      <c r="W162" s="15">
        <f>IFERROR(VLOOKUP(S162,V8_COHORT_TABLE,3,FALSE),IFERROR(VLOOKUP(P162&amp;"|"&amp;Q162&amp;"|ALL",V8_COHORT_TABLE,3,FALSE),IFERROR(VLOOKUP(P162&amp;"|ALL|ALL",V8_COHORT_TABLE,3,FALSE),VLOOKUP("GLOBAL",V8_COHORT_TABLE,3,FALSE))))</f>
        <v/>
      </c>
      <c r="X162" s="15">
        <f>IFERROR(VLOOKUP(S162,V8_COHORT_TABLE,4,FALSE),IFERROR(VLOOKUP(P162&amp;"|"&amp;Q162&amp;"|ALL",V8_COHORT_TABLE,4,FALSE),IFERROR(VLOOKUP(P162&amp;"|ALL|ALL",V8_COHORT_TABLE,4,FALSE),VLOOKUP("GLOBAL",V8_COHORT_TABLE,4,FALSE))))</f>
        <v/>
      </c>
      <c r="Y162" s="15">
        <f>IFERROR(VLOOKUP(S162,V8_COHORT_TABLE,5,FALSE),IFERROR(VLOOKUP(P162&amp;"|"&amp;Q162&amp;"|ALL",V8_COHORT_TABLE,5,FALSE),IFERROR(VLOOKUP(P162&amp;"|ALL|ALL",V8_COHORT_TABLE,5,FALSE),VLOOKUP("GLOBAL",V8_COHORT_TABLE,5,FALSE))))</f>
        <v/>
      </c>
      <c r="Z162" s="15">
        <f>V162+W162/(1+EXP(-(U162-X162)/Y162))</f>
        <v/>
      </c>
      <c r="AA162" s="16">
        <f>1-(1-Z162)^12</f>
        <v/>
      </c>
      <c r="AB162" s="14">
        <f>IF(K162&lt;=V8_AGE_KNOT_X_0,V8_AGE_KNOT_Y_0,IF(K162&gt;=V8_AGE_KNOT_X_5,V8_AGE_KNOT_Y_5,IF(K162&lt;=V8_AGE_KNOT_X_1,V8_AGE_KNOT_Y_0+(K162-V8_AGE_KNOT_X_0)/(V8_AGE_KNOT_X_1-V8_AGE_KNOT_X_0)*(V8_AGE_KNOT_Y_1-V8_AGE_KNOT_Y_0),IF(K162&lt;=V8_AGE_KNOT_X_2,V8_AGE_KNOT_Y_1+(K162-V8_AGE_KNOT_X_1)/(V8_AGE_KNOT_X_2-V8_AGE_KNOT_X_1)*(V8_AGE_KNOT_Y_2-V8_AGE_KNOT_Y_1),IF(K162&lt;=V8_AGE_KNOT_X_3,V8_AGE_KNOT_Y_2+(K162-V8_AGE_KNOT_X_2)/(V8_AGE_KNOT_X_3-V8_AGE_KNOT_X_2)*(V8_AGE_KNOT_Y_3-V8_AGE_KNOT_Y_2),IF(K162&lt;=V8_AGE_KNOT_X_4,V8_AGE_KNOT_Y_3+(K162-V8_AGE_KNOT_X_3)/(V8_AGE_KNOT_X_4-V8_AGE_KNOT_X_3)*(V8_AGE_KNOT_Y_4-V8_AGE_KNOT_Y_3),V8_AGE_KNOT_Y_4+(K162-V8_AGE_KNOT_X_4)/(V8_AGE_KNOT_X_5-V8_AGE_KNOT_X_4)*(V8_AGE_KNOT_Y_5-V8_AGE_KNOT_Y_4)))))))</f>
        <v/>
      </c>
      <c r="AC162" s="14">
        <f>IF(IF(OR(L162="",NOT(ISNUMBER(L162))),360,MAX(0,MIN(480,(INT(L162/100)-INT(VALUE(F162)/100))*12+MOD(L162,100)-MOD(VALUE(F162),100))))&gt;0,1+V8_MTY_AMP*MAX(0,(V8_MTY_CUTOFF-(IF(OR(L162="",NOT(ISNUMBER(L162))),360,MAX(0,MIN(480,(INT(L162/100)-INT(VALUE(F162)/100))*12+MOD(L162,100)-MOD(VALUE(F162),100))))))/V8_MTY_CUTOFF),1)</f>
        <v/>
      </c>
      <c r="AD162" s="14">
        <f>IF(AND(IF(OR(M162="",NOT(ISNUMBER(M162))),0,MAX(0,MIN(24,(INT(VALUE(F162)/100)-INT(M162/100))*12+MOD(VALUE(F162),100)-MOD(M162,100))))&gt;0,IF(OR(M162="",NOT(ISNUMBER(M162))),0,MAX(0,MIN(24,(INT(VALUE(F162)/100)-INT(M162/100))*12+MOD(VALUE(F162),100)-MOD(M162,100))))&lt;=12),1+V8_LOCKOUT_AMP*EXP(-(IF(OR(M162="",NOT(ISNUMBER(M162))),0,MAX(0,MIN(24,(INT(VALUE(F162)/100)-INT(M162/100))*12+MOD(VALUE(F162),100)-MOD(M162,100)))))/V8_LOCKOUT_TAU),1)</f>
        <v/>
      </c>
      <c r="AE162" s="14">
        <f>MAX(V8_BURN_FLOOR,1-V8_BURN_SLOPE*MIN(1,MAX(0,O162)))</f>
        <v/>
      </c>
      <c r="AF162" s="15">
        <f>MIN(Z162*AB162*AC162*AD162*AE162,0.2)</f>
        <v/>
      </c>
      <c r="AG162" s="16">
        <f>1-(1-AF162)^12</f>
        <v/>
      </c>
    </row>
    <row r="163">
      <c r="A163" s="2" t="inlineStr">
        <is>
          <t>000005311417</t>
        </is>
      </c>
      <c r="B163" t="inlineStr">
        <is>
          <t>223f</t>
        </is>
      </c>
      <c r="C163" t="inlineStr">
        <is>
          <t>RP</t>
        </is>
      </c>
      <c r="D163" t="inlineStr">
        <is>
          <t>WELLS FARGO BANK, N.A.</t>
        </is>
      </c>
      <c r="E163" t="n">
        <v>2018</v>
      </c>
      <c r="F163" t="inlineStr">
        <is>
          <t>202602</t>
        </is>
      </c>
      <c r="G163" s="8" t="n">
        <v>18408131.46</v>
      </c>
      <c r="H163" s="12" t="n">
        <v>3.01</v>
      </c>
      <c r="I163" s="13" t="n">
        <v>447</v>
      </c>
      <c r="J163" s="13" t="n">
        <v>6</v>
      </c>
      <c r="K163" t="n">
        <v>94</v>
      </c>
      <c r="L163" t="n">
        <v>205305</v>
      </c>
      <c r="M163" t="n">
        <v>202202</v>
      </c>
      <c r="N163" t="n">
        <v>1</v>
      </c>
      <c r="O163" s="14" t="n">
        <v>0.01063829787234043</v>
      </c>
      <c r="P163">
        <f>IF(ISNUMBER(SEARCH("232",B163)),"232",IF(ISNUMBER(SEARCH("538",B163)),"538",IF(ISNUMBER(SEARCH("223a7",B163)),"223a7",IF(ISNUMBER(SEARCH("223f",B163)),"223f","OTHER"))))</f>
        <v/>
      </c>
      <c r="Q163">
        <f>IF(UPPER(C163)="NC","NC","RP")</f>
        <v/>
      </c>
      <c r="R163">
        <f>IF(G163&lt;5000000,"small",IF(G163&lt;25000000,"medium","large"))</f>
        <v/>
      </c>
      <c r="S163">
        <f>P163&amp;"|"&amp;Q163&amp;"|"&amp;R163</f>
        <v/>
      </c>
      <c r="T163" s="13">
        <f>H163*100-I163</f>
        <v/>
      </c>
      <c r="U163" s="13">
        <f>T163-12.5*(J163+1)</f>
        <v/>
      </c>
      <c r="V163" s="15">
        <f>IFERROR(VLOOKUP(S163,V8_COHORT_TABLE,2,FALSE),IFERROR(VLOOKUP(P163&amp;"|"&amp;Q163&amp;"|ALL",V8_COHORT_TABLE,2,FALSE),IFERROR(VLOOKUP(P163&amp;"|ALL|ALL",V8_COHORT_TABLE,2,FALSE),VLOOKUP("GLOBAL",V8_COHORT_TABLE,2,FALSE))))</f>
        <v/>
      </c>
      <c r="W163" s="15">
        <f>IFERROR(VLOOKUP(S163,V8_COHORT_TABLE,3,FALSE),IFERROR(VLOOKUP(P163&amp;"|"&amp;Q163&amp;"|ALL",V8_COHORT_TABLE,3,FALSE),IFERROR(VLOOKUP(P163&amp;"|ALL|ALL",V8_COHORT_TABLE,3,FALSE),VLOOKUP("GLOBAL",V8_COHORT_TABLE,3,FALSE))))</f>
        <v/>
      </c>
      <c r="X163" s="15">
        <f>IFERROR(VLOOKUP(S163,V8_COHORT_TABLE,4,FALSE),IFERROR(VLOOKUP(P163&amp;"|"&amp;Q163&amp;"|ALL",V8_COHORT_TABLE,4,FALSE),IFERROR(VLOOKUP(P163&amp;"|ALL|ALL",V8_COHORT_TABLE,4,FALSE),VLOOKUP("GLOBAL",V8_COHORT_TABLE,4,FALSE))))</f>
        <v/>
      </c>
      <c r="Y163" s="15">
        <f>IFERROR(VLOOKUP(S163,V8_COHORT_TABLE,5,FALSE),IFERROR(VLOOKUP(P163&amp;"|"&amp;Q163&amp;"|ALL",V8_COHORT_TABLE,5,FALSE),IFERROR(VLOOKUP(P163&amp;"|ALL|ALL",V8_COHORT_TABLE,5,FALSE),VLOOKUP("GLOBAL",V8_COHORT_TABLE,5,FALSE))))</f>
        <v/>
      </c>
      <c r="Z163" s="15">
        <f>V163+W163/(1+EXP(-(U163-X163)/Y163))</f>
        <v/>
      </c>
      <c r="AA163" s="16">
        <f>1-(1-Z163)^12</f>
        <v/>
      </c>
      <c r="AB163" s="14">
        <f>IF(K163&lt;=V8_AGE_KNOT_X_0,V8_AGE_KNOT_Y_0,IF(K163&gt;=V8_AGE_KNOT_X_5,V8_AGE_KNOT_Y_5,IF(K163&lt;=V8_AGE_KNOT_X_1,V8_AGE_KNOT_Y_0+(K163-V8_AGE_KNOT_X_0)/(V8_AGE_KNOT_X_1-V8_AGE_KNOT_X_0)*(V8_AGE_KNOT_Y_1-V8_AGE_KNOT_Y_0),IF(K163&lt;=V8_AGE_KNOT_X_2,V8_AGE_KNOT_Y_1+(K163-V8_AGE_KNOT_X_1)/(V8_AGE_KNOT_X_2-V8_AGE_KNOT_X_1)*(V8_AGE_KNOT_Y_2-V8_AGE_KNOT_Y_1),IF(K163&lt;=V8_AGE_KNOT_X_3,V8_AGE_KNOT_Y_2+(K163-V8_AGE_KNOT_X_2)/(V8_AGE_KNOT_X_3-V8_AGE_KNOT_X_2)*(V8_AGE_KNOT_Y_3-V8_AGE_KNOT_Y_2),IF(K163&lt;=V8_AGE_KNOT_X_4,V8_AGE_KNOT_Y_3+(K163-V8_AGE_KNOT_X_3)/(V8_AGE_KNOT_X_4-V8_AGE_KNOT_X_3)*(V8_AGE_KNOT_Y_4-V8_AGE_KNOT_Y_3),V8_AGE_KNOT_Y_4+(K163-V8_AGE_KNOT_X_4)/(V8_AGE_KNOT_X_5-V8_AGE_KNOT_X_4)*(V8_AGE_KNOT_Y_5-V8_AGE_KNOT_Y_4)))))))</f>
        <v/>
      </c>
      <c r="AC163" s="14">
        <f>IF(IF(OR(L163="",NOT(ISNUMBER(L163))),360,MAX(0,MIN(480,(INT(L163/100)-INT(VALUE(F163)/100))*12+MOD(L163,100)-MOD(VALUE(F163),100))))&gt;0,1+V8_MTY_AMP*MAX(0,(V8_MTY_CUTOFF-(IF(OR(L163="",NOT(ISNUMBER(L163))),360,MAX(0,MIN(480,(INT(L163/100)-INT(VALUE(F163)/100))*12+MOD(L163,100)-MOD(VALUE(F163),100))))))/V8_MTY_CUTOFF),1)</f>
        <v/>
      </c>
      <c r="AD163" s="14">
        <f>IF(AND(IF(OR(M163="",NOT(ISNUMBER(M163))),0,MAX(0,MIN(24,(INT(VALUE(F163)/100)-INT(M163/100))*12+MOD(VALUE(F163),100)-MOD(M163,100))))&gt;0,IF(OR(M163="",NOT(ISNUMBER(M163))),0,MAX(0,MIN(24,(INT(VALUE(F163)/100)-INT(M163/100))*12+MOD(VALUE(F163),100)-MOD(M163,100))))&lt;=12),1+V8_LOCKOUT_AMP*EXP(-(IF(OR(M163="",NOT(ISNUMBER(M163))),0,MAX(0,MIN(24,(INT(VALUE(F163)/100)-INT(M163/100))*12+MOD(VALUE(F163),100)-MOD(M163,100)))))/V8_LOCKOUT_TAU),1)</f>
        <v/>
      </c>
      <c r="AE163" s="14">
        <f>MAX(V8_BURN_FLOOR,1-V8_BURN_SLOPE*MIN(1,MAX(0,O163)))</f>
        <v/>
      </c>
      <c r="AF163" s="15">
        <f>MIN(Z163*AB163*AC163*AD163*AE163,0.2)</f>
        <v/>
      </c>
      <c r="AG163" s="16">
        <f>1-(1-AF163)^12</f>
        <v/>
      </c>
    </row>
    <row r="164">
      <c r="A164" s="2" t="inlineStr">
        <is>
          <t>000008211077</t>
        </is>
      </c>
      <c r="B164" t="inlineStr">
        <is>
          <t>223f</t>
        </is>
      </c>
      <c r="C164" t="inlineStr">
        <is>
          <t>RP</t>
        </is>
      </c>
      <c r="D164" t="inlineStr">
        <is>
          <t>WELLS FARGO BANK, N.A.</t>
        </is>
      </c>
      <c r="E164" t="n">
        <v>2009</v>
      </c>
      <c r="F164" t="inlineStr">
        <is>
          <t>202602</t>
        </is>
      </c>
      <c r="G164" s="8" t="n">
        <v>980803.6</v>
      </c>
      <c r="H164" s="12" t="n">
        <v>4.6</v>
      </c>
      <c r="I164" s="13" t="n">
        <v>447</v>
      </c>
      <c r="J164" s="13" t="n">
        <v>0</v>
      </c>
      <c r="K164" t="n">
        <v>194</v>
      </c>
      <c r="L164" t="n">
        <v>204501</v>
      </c>
      <c r="M164" t="n">
        <v>201202</v>
      </c>
      <c r="N164" t="n">
        <v>47</v>
      </c>
      <c r="O164" s="14" t="n">
        <v>0.2422680412371134</v>
      </c>
      <c r="P164">
        <f>IF(ISNUMBER(SEARCH("232",B164)),"232",IF(ISNUMBER(SEARCH("538",B164)),"538",IF(ISNUMBER(SEARCH("223a7",B164)),"223a7",IF(ISNUMBER(SEARCH("223f",B164)),"223f","OTHER"))))</f>
        <v/>
      </c>
      <c r="Q164">
        <f>IF(UPPER(C164)="NC","NC","RP")</f>
        <v/>
      </c>
      <c r="R164">
        <f>IF(G164&lt;5000000,"small",IF(G164&lt;25000000,"medium","large"))</f>
        <v/>
      </c>
      <c r="S164">
        <f>P164&amp;"|"&amp;Q164&amp;"|"&amp;R164</f>
        <v/>
      </c>
      <c r="T164" s="13">
        <f>H164*100-I164</f>
        <v/>
      </c>
      <c r="U164" s="13">
        <f>T164-12.5*(J164+1)</f>
        <v/>
      </c>
      <c r="V164" s="15">
        <f>IFERROR(VLOOKUP(S164,V8_COHORT_TABLE,2,FALSE),IFERROR(VLOOKUP(P164&amp;"|"&amp;Q164&amp;"|ALL",V8_COHORT_TABLE,2,FALSE),IFERROR(VLOOKUP(P164&amp;"|ALL|ALL",V8_COHORT_TABLE,2,FALSE),VLOOKUP("GLOBAL",V8_COHORT_TABLE,2,FALSE))))</f>
        <v/>
      </c>
      <c r="W164" s="15">
        <f>IFERROR(VLOOKUP(S164,V8_COHORT_TABLE,3,FALSE),IFERROR(VLOOKUP(P164&amp;"|"&amp;Q164&amp;"|ALL",V8_COHORT_TABLE,3,FALSE),IFERROR(VLOOKUP(P164&amp;"|ALL|ALL",V8_COHORT_TABLE,3,FALSE),VLOOKUP("GLOBAL",V8_COHORT_TABLE,3,FALSE))))</f>
        <v/>
      </c>
      <c r="X164" s="15">
        <f>IFERROR(VLOOKUP(S164,V8_COHORT_TABLE,4,FALSE),IFERROR(VLOOKUP(P164&amp;"|"&amp;Q164&amp;"|ALL",V8_COHORT_TABLE,4,FALSE),IFERROR(VLOOKUP(P164&amp;"|ALL|ALL",V8_COHORT_TABLE,4,FALSE),VLOOKUP("GLOBAL",V8_COHORT_TABLE,4,FALSE))))</f>
        <v/>
      </c>
      <c r="Y164" s="15">
        <f>IFERROR(VLOOKUP(S164,V8_COHORT_TABLE,5,FALSE),IFERROR(VLOOKUP(P164&amp;"|"&amp;Q164&amp;"|ALL",V8_COHORT_TABLE,5,FALSE),IFERROR(VLOOKUP(P164&amp;"|ALL|ALL",V8_COHORT_TABLE,5,FALSE),VLOOKUP("GLOBAL",V8_COHORT_TABLE,5,FALSE))))</f>
        <v/>
      </c>
      <c r="Z164" s="15">
        <f>V164+W164/(1+EXP(-(U164-X164)/Y164))</f>
        <v/>
      </c>
      <c r="AA164" s="16">
        <f>1-(1-Z164)^12</f>
        <v/>
      </c>
      <c r="AB164" s="14">
        <f>IF(K164&lt;=V8_AGE_KNOT_X_0,V8_AGE_KNOT_Y_0,IF(K164&gt;=V8_AGE_KNOT_X_5,V8_AGE_KNOT_Y_5,IF(K164&lt;=V8_AGE_KNOT_X_1,V8_AGE_KNOT_Y_0+(K164-V8_AGE_KNOT_X_0)/(V8_AGE_KNOT_X_1-V8_AGE_KNOT_X_0)*(V8_AGE_KNOT_Y_1-V8_AGE_KNOT_Y_0),IF(K164&lt;=V8_AGE_KNOT_X_2,V8_AGE_KNOT_Y_1+(K164-V8_AGE_KNOT_X_1)/(V8_AGE_KNOT_X_2-V8_AGE_KNOT_X_1)*(V8_AGE_KNOT_Y_2-V8_AGE_KNOT_Y_1),IF(K164&lt;=V8_AGE_KNOT_X_3,V8_AGE_KNOT_Y_2+(K164-V8_AGE_KNOT_X_2)/(V8_AGE_KNOT_X_3-V8_AGE_KNOT_X_2)*(V8_AGE_KNOT_Y_3-V8_AGE_KNOT_Y_2),IF(K164&lt;=V8_AGE_KNOT_X_4,V8_AGE_KNOT_Y_3+(K164-V8_AGE_KNOT_X_3)/(V8_AGE_KNOT_X_4-V8_AGE_KNOT_X_3)*(V8_AGE_KNOT_Y_4-V8_AGE_KNOT_Y_3),V8_AGE_KNOT_Y_4+(K164-V8_AGE_KNOT_X_4)/(V8_AGE_KNOT_X_5-V8_AGE_KNOT_X_4)*(V8_AGE_KNOT_Y_5-V8_AGE_KNOT_Y_4)))))))</f>
        <v/>
      </c>
      <c r="AC164" s="14">
        <f>IF(IF(OR(L164="",NOT(ISNUMBER(L164))),360,MAX(0,MIN(480,(INT(L164/100)-INT(VALUE(F164)/100))*12+MOD(L164,100)-MOD(VALUE(F164),100))))&gt;0,1+V8_MTY_AMP*MAX(0,(V8_MTY_CUTOFF-(IF(OR(L164="",NOT(ISNUMBER(L164))),360,MAX(0,MIN(480,(INT(L164/100)-INT(VALUE(F164)/100))*12+MOD(L164,100)-MOD(VALUE(F164),100))))))/V8_MTY_CUTOFF),1)</f>
        <v/>
      </c>
      <c r="AD164" s="14">
        <f>IF(AND(IF(OR(M164="",NOT(ISNUMBER(M164))),0,MAX(0,MIN(24,(INT(VALUE(F164)/100)-INT(M164/100))*12+MOD(VALUE(F164),100)-MOD(M164,100))))&gt;0,IF(OR(M164="",NOT(ISNUMBER(M164))),0,MAX(0,MIN(24,(INT(VALUE(F164)/100)-INT(M164/100))*12+MOD(VALUE(F164),100)-MOD(M164,100))))&lt;=12),1+V8_LOCKOUT_AMP*EXP(-(IF(OR(M164="",NOT(ISNUMBER(M164))),0,MAX(0,MIN(24,(INT(VALUE(F164)/100)-INT(M164/100))*12+MOD(VALUE(F164),100)-MOD(M164,100)))))/V8_LOCKOUT_TAU),1)</f>
        <v/>
      </c>
      <c r="AE164" s="14">
        <f>MAX(V8_BURN_FLOOR,1-V8_BURN_SLOPE*MIN(1,MAX(0,O164)))</f>
        <v/>
      </c>
      <c r="AF164" s="15">
        <f>MIN(Z164*AB164*AC164*AD164*AE164,0.2)</f>
        <v/>
      </c>
      <c r="AG164" s="16">
        <f>1-(1-AF164)^12</f>
        <v/>
      </c>
    </row>
    <row r="165">
      <c r="A165" s="2" t="inlineStr">
        <is>
          <t>000005235725</t>
        </is>
      </c>
      <c r="B165" t="inlineStr">
        <is>
          <t>221d4</t>
        </is>
      </c>
      <c r="C165" t="inlineStr">
        <is>
          <t>NC</t>
        </is>
      </c>
      <c r="D165" t="inlineStr">
        <is>
          <t>WELLS FARGO BANK, N.A.</t>
        </is>
      </c>
      <c r="E165" t="n">
        <v>2014</v>
      </c>
      <c r="F165" t="inlineStr">
        <is>
          <t>202602</t>
        </is>
      </c>
      <c r="G165" s="8" t="n">
        <v>4248949.93</v>
      </c>
      <c r="H165" s="12" t="n">
        <v>5</v>
      </c>
      <c r="I165" s="13" t="n">
        <v>447</v>
      </c>
      <c r="J165" s="13" t="n">
        <v>0</v>
      </c>
      <c r="K165" t="n">
        <v>144</v>
      </c>
      <c r="L165" t="n">
        <v>205503</v>
      </c>
      <c r="M165" t="n">
        <v>201704</v>
      </c>
      <c r="N165" t="n">
        <v>52</v>
      </c>
      <c r="O165" s="14" t="n">
        <v>0.3611111111111111</v>
      </c>
      <c r="P165">
        <f>IF(ISNUMBER(SEARCH("232",B165)),"232",IF(ISNUMBER(SEARCH("538",B165)),"538",IF(ISNUMBER(SEARCH("223a7",B165)),"223a7",IF(ISNUMBER(SEARCH("223f",B165)),"223f","OTHER"))))</f>
        <v/>
      </c>
      <c r="Q165">
        <f>IF(UPPER(C165)="NC","NC","RP")</f>
        <v/>
      </c>
      <c r="R165">
        <f>IF(G165&lt;5000000,"small",IF(G165&lt;25000000,"medium","large"))</f>
        <v/>
      </c>
      <c r="S165">
        <f>P165&amp;"|"&amp;Q165&amp;"|"&amp;R165</f>
        <v/>
      </c>
      <c r="T165" s="13">
        <f>H165*100-I165</f>
        <v/>
      </c>
      <c r="U165" s="13">
        <f>T165-12.5*(J165+1)</f>
        <v/>
      </c>
      <c r="V165" s="15">
        <f>IFERROR(VLOOKUP(S165,V8_COHORT_TABLE,2,FALSE),IFERROR(VLOOKUP(P165&amp;"|"&amp;Q165&amp;"|ALL",V8_COHORT_TABLE,2,FALSE),IFERROR(VLOOKUP(P165&amp;"|ALL|ALL",V8_COHORT_TABLE,2,FALSE),VLOOKUP("GLOBAL",V8_COHORT_TABLE,2,FALSE))))</f>
        <v/>
      </c>
      <c r="W165" s="15">
        <f>IFERROR(VLOOKUP(S165,V8_COHORT_TABLE,3,FALSE),IFERROR(VLOOKUP(P165&amp;"|"&amp;Q165&amp;"|ALL",V8_COHORT_TABLE,3,FALSE),IFERROR(VLOOKUP(P165&amp;"|ALL|ALL",V8_COHORT_TABLE,3,FALSE),VLOOKUP("GLOBAL",V8_COHORT_TABLE,3,FALSE))))</f>
        <v/>
      </c>
      <c r="X165" s="15">
        <f>IFERROR(VLOOKUP(S165,V8_COHORT_TABLE,4,FALSE),IFERROR(VLOOKUP(P165&amp;"|"&amp;Q165&amp;"|ALL",V8_COHORT_TABLE,4,FALSE),IFERROR(VLOOKUP(P165&amp;"|ALL|ALL",V8_COHORT_TABLE,4,FALSE),VLOOKUP("GLOBAL",V8_COHORT_TABLE,4,FALSE))))</f>
        <v/>
      </c>
      <c r="Y165" s="15">
        <f>IFERROR(VLOOKUP(S165,V8_COHORT_TABLE,5,FALSE),IFERROR(VLOOKUP(P165&amp;"|"&amp;Q165&amp;"|ALL",V8_COHORT_TABLE,5,FALSE),IFERROR(VLOOKUP(P165&amp;"|ALL|ALL",V8_COHORT_TABLE,5,FALSE),VLOOKUP("GLOBAL",V8_COHORT_TABLE,5,FALSE))))</f>
        <v/>
      </c>
      <c r="Z165" s="15">
        <f>V165+W165/(1+EXP(-(U165-X165)/Y165))</f>
        <v/>
      </c>
      <c r="AA165" s="16">
        <f>1-(1-Z165)^12</f>
        <v/>
      </c>
      <c r="AB165" s="14">
        <f>IF(K165&lt;=V8_AGE_KNOT_X_0,V8_AGE_KNOT_Y_0,IF(K165&gt;=V8_AGE_KNOT_X_5,V8_AGE_KNOT_Y_5,IF(K165&lt;=V8_AGE_KNOT_X_1,V8_AGE_KNOT_Y_0+(K165-V8_AGE_KNOT_X_0)/(V8_AGE_KNOT_X_1-V8_AGE_KNOT_X_0)*(V8_AGE_KNOT_Y_1-V8_AGE_KNOT_Y_0),IF(K165&lt;=V8_AGE_KNOT_X_2,V8_AGE_KNOT_Y_1+(K165-V8_AGE_KNOT_X_1)/(V8_AGE_KNOT_X_2-V8_AGE_KNOT_X_1)*(V8_AGE_KNOT_Y_2-V8_AGE_KNOT_Y_1),IF(K165&lt;=V8_AGE_KNOT_X_3,V8_AGE_KNOT_Y_2+(K165-V8_AGE_KNOT_X_2)/(V8_AGE_KNOT_X_3-V8_AGE_KNOT_X_2)*(V8_AGE_KNOT_Y_3-V8_AGE_KNOT_Y_2),IF(K165&lt;=V8_AGE_KNOT_X_4,V8_AGE_KNOT_Y_3+(K165-V8_AGE_KNOT_X_3)/(V8_AGE_KNOT_X_4-V8_AGE_KNOT_X_3)*(V8_AGE_KNOT_Y_4-V8_AGE_KNOT_Y_3),V8_AGE_KNOT_Y_4+(K165-V8_AGE_KNOT_X_4)/(V8_AGE_KNOT_X_5-V8_AGE_KNOT_X_4)*(V8_AGE_KNOT_Y_5-V8_AGE_KNOT_Y_4)))))))</f>
        <v/>
      </c>
      <c r="AC165" s="14">
        <f>IF(IF(OR(L165="",NOT(ISNUMBER(L165))),360,MAX(0,MIN(480,(INT(L165/100)-INT(VALUE(F165)/100))*12+MOD(L165,100)-MOD(VALUE(F165),100))))&gt;0,1+V8_MTY_AMP*MAX(0,(V8_MTY_CUTOFF-(IF(OR(L165="",NOT(ISNUMBER(L165))),360,MAX(0,MIN(480,(INT(L165/100)-INT(VALUE(F165)/100))*12+MOD(L165,100)-MOD(VALUE(F165),100))))))/V8_MTY_CUTOFF),1)</f>
        <v/>
      </c>
      <c r="AD165" s="14">
        <f>IF(AND(IF(OR(M165="",NOT(ISNUMBER(M165))),0,MAX(0,MIN(24,(INT(VALUE(F165)/100)-INT(M165/100))*12+MOD(VALUE(F165),100)-MOD(M165,100))))&gt;0,IF(OR(M165="",NOT(ISNUMBER(M165))),0,MAX(0,MIN(24,(INT(VALUE(F165)/100)-INT(M165/100))*12+MOD(VALUE(F165),100)-MOD(M165,100))))&lt;=12),1+V8_LOCKOUT_AMP*EXP(-(IF(OR(M165="",NOT(ISNUMBER(M165))),0,MAX(0,MIN(24,(INT(VALUE(F165)/100)-INT(M165/100))*12+MOD(VALUE(F165),100)-MOD(M165,100)))))/V8_LOCKOUT_TAU),1)</f>
        <v/>
      </c>
      <c r="AE165" s="14">
        <f>MAX(V8_BURN_FLOOR,1-V8_BURN_SLOPE*MIN(1,MAX(0,O165)))</f>
        <v/>
      </c>
      <c r="AF165" s="15">
        <f>MIN(Z165*AB165*AC165*AD165*AE165,0.2)</f>
        <v/>
      </c>
      <c r="AG165" s="16">
        <f>1-(1-AF165)^12</f>
        <v/>
      </c>
    </row>
    <row r="166">
      <c r="A166" s="2" t="inlineStr">
        <is>
          <t>000005311510</t>
        </is>
      </c>
      <c r="B166" t="inlineStr">
        <is>
          <t>223a7</t>
        </is>
      </c>
      <c r="C166" t="inlineStr">
        <is>
          <t>RP</t>
        </is>
      </c>
      <c r="D166" t="inlineStr">
        <is>
          <t>WELLS FARGO BANK, N.A.</t>
        </is>
      </c>
      <c r="E166" t="n">
        <v>2021</v>
      </c>
      <c r="F166" t="inlineStr">
        <is>
          <t>202602</t>
        </is>
      </c>
      <c r="G166" s="8" t="n">
        <v>25079366.37</v>
      </c>
      <c r="H166" s="12" t="n">
        <v>2.6</v>
      </c>
      <c r="I166" s="13" t="n">
        <v>447</v>
      </c>
      <c r="J166" s="13" t="n">
        <v>6</v>
      </c>
      <c r="K166" t="n">
        <v>56</v>
      </c>
      <c r="L166" t="n">
        <v>205607</v>
      </c>
      <c r="M166" t="inlineStr"/>
      <c r="N166" t="n">
        <v>0</v>
      </c>
      <c r="O166" s="14" t="n">
        <v>0</v>
      </c>
      <c r="P166">
        <f>IF(ISNUMBER(SEARCH("232",B166)),"232",IF(ISNUMBER(SEARCH("538",B166)),"538",IF(ISNUMBER(SEARCH("223a7",B166)),"223a7",IF(ISNUMBER(SEARCH("223f",B166)),"223f","OTHER"))))</f>
        <v/>
      </c>
      <c r="Q166">
        <f>IF(UPPER(C166)="NC","NC","RP")</f>
        <v/>
      </c>
      <c r="R166">
        <f>IF(G166&lt;5000000,"small",IF(G166&lt;25000000,"medium","large"))</f>
        <v/>
      </c>
      <c r="S166">
        <f>P166&amp;"|"&amp;Q166&amp;"|"&amp;R166</f>
        <v/>
      </c>
      <c r="T166" s="13">
        <f>H166*100-I166</f>
        <v/>
      </c>
      <c r="U166" s="13">
        <f>T166-12.5*(J166+1)</f>
        <v/>
      </c>
      <c r="V166" s="15">
        <f>IFERROR(VLOOKUP(S166,V8_COHORT_TABLE,2,FALSE),IFERROR(VLOOKUP(P166&amp;"|"&amp;Q166&amp;"|ALL",V8_COHORT_TABLE,2,FALSE),IFERROR(VLOOKUP(P166&amp;"|ALL|ALL",V8_COHORT_TABLE,2,FALSE),VLOOKUP("GLOBAL",V8_COHORT_TABLE,2,FALSE))))</f>
        <v/>
      </c>
      <c r="W166" s="15">
        <f>IFERROR(VLOOKUP(S166,V8_COHORT_TABLE,3,FALSE),IFERROR(VLOOKUP(P166&amp;"|"&amp;Q166&amp;"|ALL",V8_COHORT_TABLE,3,FALSE),IFERROR(VLOOKUP(P166&amp;"|ALL|ALL",V8_COHORT_TABLE,3,FALSE),VLOOKUP("GLOBAL",V8_COHORT_TABLE,3,FALSE))))</f>
        <v/>
      </c>
      <c r="X166" s="15">
        <f>IFERROR(VLOOKUP(S166,V8_COHORT_TABLE,4,FALSE),IFERROR(VLOOKUP(P166&amp;"|"&amp;Q166&amp;"|ALL",V8_COHORT_TABLE,4,FALSE),IFERROR(VLOOKUP(P166&amp;"|ALL|ALL",V8_COHORT_TABLE,4,FALSE),VLOOKUP("GLOBAL",V8_COHORT_TABLE,4,FALSE))))</f>
        <v/>
      </c>
      <c r="Y166" s="15">
        <f>IFERROR(VLOOKUP(S166,V8_COHORT_TABLE,5,FALSE),IFERROR(VLOOKUP(P166&amp;"|"&amp;Q166&amp;"|ALL",V8_COHORT_TABLE,5,FALSE),IFERROR(VLOOKUP(P166&amp;"|ALL|ALL",V8_COHORT_TABLE,5,FALSE),VLOOKUP("GLOBAL",V8_COHORT_TABLE,5,FALSE))))</f>
        <v/>
      </c>
      <c r="Z166" s="15">
        <f>V166+W166/(1+EXP(-(U166-X166)/Y166))</f>
        <v/>
      </c>
      <c r="AA166" s="16">
        <f>1-(1-Z166)^12</f>
        <v/>
      </c>
      <c r="AB166" s="14">
        <f>IF(K166&lt;=V8_AGE_KNOT_X_0,V8_AGE_KNOT_Y_0,IF(K166&gt;=V8_AGE_KNOT_X_5,V8_AGE_KNOT_Y_5,IF(K166&lt;=V8_AGE_KNOT_X_1,V8_AGE_KNOT_Y_0+(K166-V8_AGE_KNOT_X_0)/(V8_AGE_KNOT_X_1-V8_AGE_KNOT_X_0)*(V8_AGE_KNOT_Y_1-V8_AGE_KNOT_Y_0),IF(K166&lt;=V8_AGE_KNOT_X_2,V8_AGE_KNOT_Y_1+(K166-V8_AGE_KNOT_X_1)/(V8_AGE_KNOT_X_2-V8_AGE_KNOT_X_1)*(V8_AGE_KNOT_Y_2-V8_AGE_KNOT_Y_1),IF(K166&lt;=V8_AGE_KNOT_X_3,V8_AGE_KNOT_Y_2+(K166-V8_AGE_KNOT_X_2)/(V8_AGE_KNOT_X_3-V8_AGE_KNOT_X_2)*(V8_AGE_KNOT_Y_3-V8_AGE_KNOT_Y_2),IF(K166&lt;=V8_AGE_KNOT_X_4,V8_AGE_KNOT_Y_3+(K166-V8_AGE_KNOT_X_3)/(V8_AGE_KNOT_X_4-V8_AGE_KNOT_X_3)*(V8_AGE_KNOT_Y_4-V8_AGE_KNOT_Y_3),V8_AGE_KNOT_Y_4+(K166-V8_AGE_KNOT_X_4)/(V8_AGE_KNOT_X_5-V8_AGE_KNOT_X_4)*(V8_AGE_KNOT_Y_5-V8_AGE_KNOT_Y_4)))))))</f>
        <v/>
      </c>
      <c r="AC166" s="14">
        <f>IF(IF(OR(L166="",NOT(ISNUMBER(L166))),360,MAX(0,MIN(480,(INT(L166/100)-INT(VALUE(F166)/100))*12+MOD(L166,100)-MOD(VALUE(F166),100))))&gt;0,1+V8_MTY_AMP*MAX(0,(V8_MTY_CUTOFF-(IF(OR(L166="",NOT(ISNUMBER(L166))),360,MAX(0,MIN(480,(INT(L166/100)-INT(VALUE(F166)/100))*12+MOD(L166,100)-MOD(VALUE(F166),100))))))/V8_MTY_CUTOFF),1)</f>
        <v/>
      </c>
      <c r="AD166" s="14">
        <f>IF(AND(IF(OR(M166="",NOT(ISNUMBER(M166))),0,MAX(0,MIN(24,(INT(VALUE(F166)/100)-INT(M166/100))*12+MOD(VALUE(F166),100)-MOD(M166,100))))&gt;0,IF(OR(M166="",NOT(ISNUMBER(M166))),0,MAX(0,MIN(24,(INT(VALUE(F166)/100)-INT(M166/100))*12+MOD(VALUE(F166),100)-MOD(M166,100))))&lt;=12),1+V8_LOCKOUT_AMP*EXP(-(IF(OR(M166="",NOT(ISNUMBER(M166))),0,MAX(0,MIN(24,(INT(VALUE(F166)/100)-INT(M166/100))*12+MOD(VALUE(F166),100)-MOD(M166,100)))))/V8_LOCKOUT_TAU),1)</f>
        <v/>
      </c>
      <c r="AE166" s="14">
        <f>MAX(V8_BURN_FLOOR,1-V8_BURN_SLOPE*MIN(1,MAX(0,O166)))</f>
        <v/>
      </c>
      <c r="AF166" s="15">
        <f>MIN(Z166*AB166*AC166*AD166*AE166,0.2)</f>
        <v/>
      </c>
      <c r="AG166" s="16">
        <f>1-(1-AF166)^12</f>
        <v/>
      </c>
    </row>
    <row r="167">
      <c r="A167" s="2" t="inlineStr">
        <is>
          <t>000006535650</t>
        </is>
      </c>
      <c r="B167" t="inlineStr">
        <is>
          <t>221d4</t>
        </is>
      </c>
      <c r="C167" t="inlineStr">
        <is>
          <t>RP</t>
        </is>
      </c>
      <c r="D167" t="inlineStr">
        <is>
          <t>WELLS FARGO BANK, N.A.</t>
        </is>
      </c>
      <c r="E167" t="n">
        <v>2007</v>
      </c>
      <c r="F167" t="inlineStr">
        <is>
          <t>202602</t>
        </is>
      </c>
      <c r="G167" s="8" t="n">
        <v>822660.01</v>
      </c>
      <c r="H167" s="12" t="n">
        <v>6.5</v>
      </c>
      <c r="I167" s="13" t="n">
        <v>447</v>
      </c>
      <c r="J167" s="13" t="n">
        <v>0</v>
      </c>
      <c r="K167" t="n">
        <v>221</v>
      </c>
      <c r="L167" t="n">
        <v>203710</v>
      </c>
      <c r="M167" t="n">
        <v>200811</v>
      </c>
      <c r="N167" t="n">
        <v>87</v>
      </c>
      <c r="O167" s="14" t="n">
        <v>0.3936651583710407</v>
      </c>
      <c r="P167">
        <f>IF(ISNUMBER(SEARCH("232",B167)),"232",IF(ISNUMBER(SEARCH("538",B167)),"538",IF(ISNUMBER(SEARCH("223a7",B167)),"223a7",IF(ISNUMBER(SEARCH("223f",B167)),"223f","OTHER"))))</f>
        <v/>
      </c>
      <c r="Q167">
        <f>IF(UPPER(C167)="NC","NC","RP")</f>
        <v/>
      </c>
      <c r="R167">
        <f>IF(G167&lt;5000000,"small",IF(G167&lt;25000000,"medium","large"))</f>
        <v/>
      </c>
      <c r="S167">
        <f>P167&amp;"|"&amp;Q167&amp;"|"&amp;R167</f>
        <v/>
      </c>
      <c r="T167" s="13">
        <f>H167*100-I167</f>
        <v/>
      </c>
      <c r="U167" s="13">
        <f>T167-12.5*(J167+1)</f>
        <v/>
      </c>
      <c r="V167" s="15">
        <f>IFERROR(VLOOKUP(S167,V8_COHORT_TABLE,2,FALSE),IFERROR(VLOOKUP(P167&amp;"|"&amp;Q167&amp;"|ALL",V8_COHORT_TABLE,2,FALSE),IFERROR(VLOOKUP(P167&amp;"|ALL|ALL",V8_COHORT_TABLE,2,FALSE),VLOOKUP("GLOBAL",V8_COHORT_TABLE,2,FALSE))))</f>
        <v/>
      </c>
      <c r="W167" s="15">
        <f>IFERROR(VLOOKUP(S167,V8_COHORT_TABLE,3,FALSE),IFERROR(VLOOKUP(P167&amp;"|"&amp;Q167&amp;"|ALL",V8_COHORT_TABLE,3,FALSE),IFERROR(VLOOKUP(P167&amp;"|ALL|ALL",V8_COHORT_TABLE,3,FALSE),VLOOKUP("GLOBAL",V8_COHORT_TABLE,3,FALSE))))</f>
        <v/>
      </c>
      <c r="X167" s="15">
        <f>IFERROR(VLOOKUP(S167,V8_COHORT_TABLE,4,FALSE),IFERROR(VLOOKUP(P167&amp;"|"&amp;Q167&amp;"|ALL",V8_COHORT_TABLE,4,FALSE),IFERROR(VLOOKUP(P167&amp;"|ALL|ALL",V8_COHORT_TABLE,4,FALSE),VLOOKUP("GLOBAL",V8_COHORT_TABLE,4,FALSE))))</f>
        <v/>
      </c>
      <c r="Y167" s="15">
        <f>IFERROR(VLOOKUP(S167,V8_COHORT_TABLE,5,FALSE),IFERROR(VLOOKUP(P167&amp;"|"&amp;Q167&amp;"|ALL",V8_COHORT_TABLE,5,FALSE),IFERROR(VLOOKUP(P167&amp;"|ALL|ALL",V8_COHORT_TABLE,5,FALSE),VLOOKUP("GLOBAL",V8_COHORT_TABLE,5,FALSE))))</f>
        <v/>
      </c>
      <c r="Z167" s="15">
        <f>V167+W167/(1+EXP(-(U167-X167)/Y167))</f>
        <v/>
      </c>
      <c r="AA167" s="16">
        <f>1-(1-Z167)^12</f>
        <v/>
      </c>
      <c r="AB167" s="14">
        <f>IF(K167&lt;=V8_AGE_KNOT_X_0,V8_AGE_KNOT_Y_0,IF(K167&gt;=V8_AGE_KNOT_X_5,V8_AGE_KNOT_Y_5,IF(K167&lt;=V8_AGE_KNOT_X_1,V8_AGE_KNOT_Y_0+(K167-V8_AGE_KNOT_X_0)/(V8_AGE_KNOT_X_1-V8_AGE_KNOT_X_0)*(V8_AGE_KNOT_Y_1-V8_AGE_KNOT_Y_0),IF(K167&lt;=V8_AGE_KNOT_X_2,V8_AGE_KNOT_Y_1+(K167-V8_AGE_KNOT_X_1)/(V8_AGE_KNOT_X_2-V8_AGE_KNOT_X_1)*(V8_AGE_KNOT_Y_2-V8_AGE_KNOT_Y_1),IF(K167&lt;=V8_AGE_KNOT_X_3,V8_AGE_KNOT_Y_2+(K167-V8_AGE_KNOT_X_2)/(V8_AGE_KNOT_X_3-V8_AGE_KNOT_X_2)*(V8_AGE_KNOT_Y_3-V8_AGE_KNOT_Y_2),IF(K167&lt;=V8_AGE_KNOT_X_4,V8_AGE_KNOT_Y_3+(K167-V8_AGE_KNOT_X_3)/(V8_AGE_KNOT_X_4-V8_AGE_KNOT_X_3)*(V8_AGE_KNOT_Y_4-V8_AGE_KNOT_Y_3),V8_AGE_KNOT_Y_4+(K167-V8_AGE_KNOT_X_4)/(V8_AGE_KNOT_X_5-V8_AGE_KNOT_X_4)*(V8_AGE_KNOT_Y_5-V8_AGE_KNOT_Y_4)))))))</f>
        <v/>
      </c>
      <c r="AC167" s="14">
        <f>IF(IF(OR(L167="",NOT(ISNUMBER(L167))),360,MAX(0,MIN(480,(INT(L167/100)-INT(VALUE(F167)/100))*12+MOD(L167,100)-MOD(VALUE(F167),100))))&gt;0,1+V8_MTY_AMP*MAX(0,(V8_MTY_CUTOFF-(IF(OR(L167="",NOT(ISNUMBER(L167))),360,MAX(0,MIN(480,(INT(L167/100)-INT(VALUE(F167)/100))*12+MOD(L167,100)-MOD(VALUE(F167),100))))))/V8_MTY_CUTOFF),1)</f>
        <v/>
      </c>
      <c r="AD167" s="14">
        <f>IF(AND(IF(OR(M167="",NOT(ISNUMBER(M167))),0,MAX(0,MIN(24,(INT(VALUE(F167)/100)-INT(M167/100))*12+MOD(VALUE(F167),100)-MOD(M167,100))))&gt;0,IF(OR(M167="",NOT(ISNUMBER(M167))),0,MAX(0,MIN(24,(INT(VALUE(F167)/100)-INT(M167/100))*12+MOD(VALUE(F167),100)-MOD(M167,100))))&lt;=12),1+V8_LOCKOUT_AMP*EXP(-(IF(OR(M167="",NOT(ISNUMBER(M167))),0,MAX(0,MIN(24,(INT(VALUE(F167)/100)-INT(M167/100))*12+MOD(VALUE(F167),100)-MOD(M167,100)))))/V8_LOCKOUT_TAU),1)</f>
        <v/>
      </c>
      <c r="AE167" s="14">
        <f>MAX(V8_BURN_FLOOR,1-V8_BURN_SLOPE*MIN(1,MAX(0,O167)))</f>
        <v/>
      </c>
      <c r="AF167" s="15">
        <f>MIN(Z167*AB167*AC167*AD167*AE167,0.2)</f>
        <v/>
      </c>
      <c r="AG167" s="16">
        <f>1-(1-AF167)^12</f>
        <v/>
      </c>
    </row>
    <row r="168">
      <c r="A168" s="2" t="inlineStr">
        <is>
          <t>000010135738</t>
        </is>
      </c>
      <c r="B168" t="inlineStr">
        <is>
          <t>221d4</t>
        </is>
      </c>
      <c r="C168" t="inlineStr">
        <is>
          <t>NC</t>
        </is>
      </c>
      <c r="D168" t="inlineStr">
        <is>
          <t>WELLS FARGO BANK, N.A.</t>
        </is>
      </c>
      <c r="E168" t="n">
        <v>2014</v>
      </c>
      <c r="F168" t="inlineStr">
        <is>
          <t>202602</t>
        </is>
      </c>
      <c r="G168" s="8" t="n">
        <v>8511182.23</v>
      </c>
      <c r="H168" s="12" t="n">
        <v>3.72</v>
      </c>
      <c r="I168" s="13" t="n">
        <v>447</v>
      </c>
      <c r="J168" s="13" t="n">
        <v>0</v>
      </c>
      <c r="K168" t="n">
        <v>138</v>
      </c>
      <c r="L168" t="n">
        <v>205601</v>
      </c>
      <c r="M168" t="n">
        <v>201702</v>
      </c>
      <c r="N168" t="n">
        <v>32</v>
      </c>
      <c r="O168" s="14" t="n">
        <v>0.2318840579710145</v>
      </c>
      <c r="P168">
        <f>IF(ISNUMBER(SEARCH("232",B168)),"232",IF(ISNUMBER(SEARCH("538",B168)),"538",IF(ISNUMBER(SEARCH("223a7",B168)),"223a7",IF(ISNUMBER(SEARCH("223f",B168)),"223f","OTHER"))))</f>
        <v/>
      </c>
      <c r="Q168">
        <f>IF(UPPER(C168)="NC","NC","RP")</f>
        <v/>
      </c>
      <c r="R168">
        <f>IF(G168&lt;5000000,"small",IF(G168&lt;25000000,"medium","large"))</f>
        <v/>
      </c>
      <c r="S168">
        <f>P168&amp;"|"&amp;Q168&amp;"|"&amp;R168</f>
        <v/>
      </c>
      <c r="T168" s="13">
        <f>H168*100-I168</f>
        <v/>
      </c>
      <c r="U168" s="13">
        <f>T168-12.5*(J168+1)</f>
        <v/>
      </c>
      <c r="V168" s="15">
        <f>IFERROR(VLOOKUP(S168,V8_COHORT_TABLE,2,FALSE),IFERROR(VLOOKUP(P168&amp;"|"&amp;Q168&amp;"|ALL",V8_COHORT_TABLE,2,FALSE),IFERROR(VLOOKUP(P168&amp;"|ALL|ALL",V8_COHORT_TABLE,2,FALSE),VLOOKUP("GLOBAL",V8_COHORT_TABLE,2,FALSE))))</f>
        <v/>
      </c>
      <c r="W168" s="15">
        <f>IFERROR(VLOOKUP(S168,V8_COHORT_TABLE,3,FALSE),IFERROR(VLOOKUP(P168&amp;"|"&amp;Q168&amp;"|ALL",V8_COHORT_TABLE,3,FALSE),IFERROR(VLOOKUP(P168&amp;"|ALL|ALL",V8_COHORT_TABLE,3,FALSE),VLOOKUP("GLOBAL",V8_COHORT_TABLE,3,FALSE))))</f>
        <v/>
      </c>
      <c r="X168" s="15">
        <f>IFERROR(VLOOKUP(S168,V8_COHORT_TABLE,4,FALSE),IFERROR(VLOOKUP(P168&amp;"|"&amp;Q168&amp;"|ALL",V8_COHORT_TABLE,4,FALSE),IFERROR(VLOOKUP(P168&amp;"|ALL|ALL",V8_COHORT_TABLE,4,FALSE),VLOOKUP("GLOBAL",V8_COHORT_TABLE,4,FALSE))))</f>
        <v/>
      </c>
      <c r="Y168" s="15">
        <f>IFERROR(VLOOKUP(S168,V8_COHORT_TABLE,5,FALSE),IFERROR(VLOOKUP(P168&amp;"|"&amp;Q168&amp;"|ALL",V8_COHORT_TABLE,5,FALSE),IFERROR(VLOOKUP(P168&amp;"|ALL|ALL",V8_COHORT_TABLE,5,FALSE),VLOOKUP("GLOBAL",V8_COHORT_TABLE,5,FALSE))))</f>
        <v/>
      </c>
      <c r="Z168" s="15">
        <f>V168+W168/(1+EXP(-(U168-X168)/Y168))</f>
        <v/>
      </c>
      <c r="AA168" s="16">
        <f>1-(1-Z168)^12</f>
        <v/>
      </c>
      <c r="AB168" s="14">
        <f>IF(K168&lt;=V8_AGE_KNOT_X_0,V8_AGE_KNOT_Y_0,IF(K168&gt;=V8_AGE_KNOT_X_5,V8_AGE_KNOT_Y_5,IF(K168&lt;=V8_AGE_KNOT_X_1,V8_AGE_KNOT_Y_0+(K168-V8_AGE_KNOT_X_0)/(V8_AGE_KNOT_X_1-V8_AGE_KNOT_X_0)*(V8_AGE_KNOT_Y_1-V8_AGE_KNOT_Y_0),IF(K168&lt;=V8_AGE_KNOT_X_2,V8_AGE_KNOT_Y_1+(K168-V8_AGE_KNOT_X_1)/(V8_AGE_KNOT_X_2-V8_AGE_KNOT_X_1)*(V8_AGE_KNOT_Y_2-V8_AGE_KNOT_Y_1),IF(K168&lt;=V8_AGE_KNOT_X_3,V8_AGE_KNOT_Y_2+(K168-V8_AGE_KNOT_X_2)/(V8_AGE_KNOT_X_3-V8_AGE_KNOT_X_2)*(V8_AGE_KNOT_Y_3-V8_AGE_KNOT_Y_2),IF(K168&lt;=V8_AGE_KNOT_X_4,V8_AGE_KNOT_Y_3+(K168-V8_AGE_KNOT_X_3)/(V8_AGE_KNOT_X_4-V8_AGE_KNOT_X_3)*(V8_AGE_KNOT_Y_4-V8_AGE_KNOT_Y_3),V8_AGE_KNOT_Y_4+(K168-V8_AGE_KNOT_X_4)/(V8_AGE_KNOT_X_5-V8_AGE_KNOT_X_4)*(V8_AGE_KNOT_Y_5-V8_AGE_KNOT_Y_4)))))))</f>
        <v/>
      </c>
      <c r="AC168" s="14">
        <f>IF(IF(OR(L168="",NOT(ISNUMBER(L168))),360,MAX(0,MIN(480,(INT(L168/100)-INT(VALUE(F168)/100))*12+MOD(L168,100)-MOD(VALUE(F168),100))))&gt;0,1+V8_MTY_AMP*MAX(0,(V8_MTY_CUTOFF-(IF(OR(L168="",NOT(ISNUMBER(L168))),360,MAX(0,MIN(480,(INT(L168/100)-INT(VALUE(F168)/100))*12+MOD(L168,100)-MOD(VALUE(F168),100))))))/V8_MTY_CUTOFF),1)</f>
        <v/>
      </c>
      <c r="AD168" s="14">
        <f>IF(AND(IF(OR(M168="",NOT(ISNUMBER(M168))),0,MAX(0,MIN(24,(INT(VALUE(F168)/100)-INT(M168/100))*12+MOD(VALUE(F168),100)-MOD(M168,100))))&gt;0,IF(OR(M168="",NOT(ISNUMBER(M168))),0,MAX(0,MIN(24,(INT(VALUE(F168)/100)-INT(M168/100))*12+MOD(VALUE(F168),100)-MOD(M168,100))))&lt;=12),1+V8_LOCKOUT_AMP*EXP(-(IF(OR(M168="",NOT(ISNUMBER(M168))),0,MAX(0,MIN(24,(INT(VALUE(F168)/100)-INT(M168/100))*12+MOD(VALUE(F168),100)-MOD(M168,100)))))/V8_LOCKOUT_TAU),1)</f>
        <v/>
      </c>
      <c r="AE168" s="14">
        <f>MAX(V8_BURN_FLOOR,1-V8_BURN_SLOPE*MIN(1,MAX(0,O168)))</f>
        <v/>
      </c>
      <c r="AF168" s="15">
        <f>MIN(Z168*AB168*AC168*AD168*AE168,0.2)</f>
        <v/>
      </c>
      <c r="AG168" s="16">
        <f>1-(1-AF168)^12</f>
        <v/>
      </c>
    </row>
    <row r="169">
      <c r="A169" s="2" t="inlineStr">
        <is>
          <t>000010110019</t>
        </is>
      </c>
      <c r="B169" t="inlineStr">
        <is>
          <t>241</t>
        </is>
      </c>
      <c r="C169" t="inlineStr">
        <is>
          <t>NC</t>
        </is>
      </c>
      <c r="D169" t="inlineStr">
        <is>
          <t>WELLS FARGO BANK, N.A.</t>
        </is>
      </c>
      <c r="E169" t="n">
        <v>2021</v>
      </c>
      <c r="F169" t="inlineStr">
        <is>
          <t>202602</t>
        </is>
      </c>
      <c r="G169" s="8" t="n">
        <v>39414589.03</v>
      </c>
      <c r="H169" s="12" t="n">
        <v>2.78</v>
      </c>
      <c r="I169" s="13" t="n">
        <v>447</v>
      </c>
      <c r="J169" s="13" t="n">
        <v>8</v>
      </c>
      <c r="K169" t="n">
        <v>52</v>
      </c>
      <c r="L169" t="n">
        <v>206006</v>
      </c>
      <c r="M169" t="n">
        <v>202306</v>
      </c>
      <c r="N169" t="n">
        <v>0</v>
      </c>
      <c r="O169" s="14" t="n">
        <v>0</v>
      </c>
      <c r="P169">
        <f>IF(ISNUMBER(SEARCH("232",B169)),"232",IF(ISNUMBER(SEARCH("538",B169)),"538",IF(ISNUMBER(SEARCH("223a7",B169)),"223a7",IF(ISNUMBER(SEARCH("223f",B169)),"223f","OTHER"))))</f>
        <v/>
      </c>
      <c r="Q169">
        <f>IF(UPPER(C169)="NC","NC","RP")</f>
        <v/>
      </c>
      <c r="R169">
        <f>IF(G169&lt;5000000,"small",IF(G169&lt;25000000,"medium","large"))</f>
        <v/>
      </c>
      <c r="S169">
        <f>P169&amp;"|"&amp;Q169&amp;"|"&amp;R169</f>
        <v/>
      </c>
      <c r="T169" s="13">
        <f>H169*100-I169</f>
        <v/>
      </c>
      <c r="U169" s="13">
        <f>T169-12.5*(J169+1)</f>
        <v/>
      </c>
      <c r="V169" s="15">
        <f>IFERROR(VLOOKUP(S169,V8_COHORT_TABLE,2,FALSE),IFERROR(VLOOKUP(P169&amp;"|"&amp;Q169&amp;"|ALL",V8_COHORT_TABLE,2,FALSE),IFERROR(VLOOKUP(P169&amp;"|ALL|ALL",V8_COHORT_TABLE,2,FALSE),VLOOKUP("GLOBAL",V8_COHORT_TABLE,2,FALSE))))</f>
        <v/>
      </c>
      <c r="W169" s="15">
        <f>IFERROR(VLOOKUP(S169,V8_COHORT_TABLE,3,FALSE),IFERROR(VLOOKUP(P169&amp;"|"&amp;Q169&amp;"|ALL",V8_COHORT_TABLE,3,FALSE),IFERROR(VLOOKUP(P169&amp;"|ALL|ALL",V8_COHORT_TABLE,3,FALSE),VLOOKUP("GLOBAL",V8_COHORT_TABLE,3,FALSE))))</f>
        <v/>
      </c>
      <c r="X169" s="15">
        <f>IFERROR(VLOOKUP(S169,V8_COHORT_TABLE,4,FALSE),IFERROR(VLOOKUP(P169&amp;"|"&amp;Q169&amp;"|ALL",V8_COHORT_TABLE,4,FALSE),IFERROR(VLOOKUP(P169&amp;"|ALL|ALL",V8_COHORT_TABLE,4,FALSE),VLOOKUP("GLOBAL",V8_COHORT_TABLE,4,FALSE))))</f>
        <v/>
      </c>
      <c r="Y169" s="15">
        <f>IFERROR(VLOOKUP(S169,V8_COHORT_TABLE,5,FALSE),IFERROR(VLOOKUP(P169&amp;"|"&amp;Q169&amp;"|ALL",V8_COHORT_TABLE,5,FALSE),IFERROR(VLOOKUP(P169&amp;"|ALL|ALL",V8_COHORT_TABLE,5,FALSE),VLOOKUP("GLOBAL",V8_COHORT_TABLE,5,FALSE))))</f>
        <v/>
      </c>
      <c r="Z169" s="15">
        <f>V169+W169/(1+EXP(-(U169-X169)/Y169))</f>
        <v/>
      </c>
      <c r="AA169" s="16">
        <f>1-(1-Z169)^12</f>
        <v/>
      </c>
      <c r="AB169" s="14">
        <f>IF(K169&lt;=V8_AGE_KNOT_X_0,V8_AGE_KNOT_Y_0,IF(K169&gt;=V8_AGE_KNOT_X_5,V8_AGE_KNOT_Y_5,IF(K169&lt;=V8_AGE_KNOT_X_1,V8_AGE_KNOT_Y_0+(K169-V8_AGE_KNOT_X_0)/(V8_AGE_KNOT_X_1-V8_AGE_KNOT_X_0)*(V8_AGE_KNOT_Y_1-V8_AGE_KNOT_Y_0),IF(K169&lt;=V8_AGE_KNOT_X_2,V8_AGE_KNOT_Y_1+(K169-V8_AGE_KNOT_X_1)/(V8_AGE_KNOT_X_2-V8_AGE_KNOT_X_1)*(V8_AGE_KNOT_Y_2-V8_AGE_KNOT_Y_1),IF(K169&lt;=V8_AGE_KNOT_X_3,V8_AGE_KNOT_Y_2+(K169-V8_AGE_KNOT_X_2)/(V8_AGE_KNOT_X_3-V8_AGE_KNOT_X_2)*(V8_AGE_KNOT_Y_3-V8_AGE_KNOT_Y_2),IF(K169&lt;=V8_AGE_KNOT_X_4,V8_AGE_KNOT_Y_3+(K169-V8_AGE_KNOT_X_3)/(V8_AGE_KNOT_X_4-V8_AGE_KNOT_X_3)*(V8_AGE_KNOT_Y_4-V8_AGE_KNOT_Y_3),V8_AGE_KNOT_Y_4+(K169-V8_AGE_KNOT_X_4)/(V8_AGE_KNOT_X_5-V8_AGE_KNOT_X_4)*(V8_AGE_KNOT_Y_5-V8_AGE_KNOT_Y_4)))))))</f>
        <v/>
      </c>
      <c r="AC169" s="14">
        <f>IF(IF(OR(L169="",NOT(ISNUMBER(L169))),360,MAX(0,MIN(480,(INT(L169/100)-INT(VALUE(F169)/100))*12+MOD(L169,100)-MOD(VALUE(F169),100))))&gt;0,1+V8_MTY_AMP*MAX(0,(V8_MTY_CUTOFF-(IF(OR(L169="",NOT(ISNUMBER(L169))),360,MAX(0,MIN(480,(INT(L169/100)-INT(VALUE(F169)/100))*12+MOD(L169,100)-MOD(VALUE(F169),100))))))/V8_MTY_CUTOFF),1)</f>
        <v/>
      </c>
      <c r="AD169" s="14">
        <f>IF(AND(IF(OR(M169="",NOT(ISNUMBER(M169))),0,MAX(0,MIN(24,(INT(VALUE(F169)/100)-INT(M169/100))*12+MOD(VALUE(F169),100)-MOD(M169,100))))&gt;0,IF(OR(M169="",NOT(ISNUMBER(M169))),0,MAX(0,MIN(24,(INT(VALUE(F169)/100)-INT(M169/100))*12+MOD(VALUE(F169),100)-MOD(M169,100))))&lt;=12),1+V8_LOCKOUT_AMP*EXP(-(IF(OR(M169="",NOT(ISNUMBER(M169))),0,MAX(0,MIN(24,(INT(VALUE(F169)/100)-INT(M169/100))*12+MOD(VALUE(F169),100)-MOD(M169,100)))))/V8_LOCKOUT_TAU),1)</f>
        <v/>
      </c>
      <c r="AE169" s="14">
        <f>MAX(V8_BURN_FLOOR,1-V8_BURN_SLOPE*MIN(1,MAX(0,O169)))</f>
        <v/>
      </c>
      <c r="AF169" s="15">
        <f>MIN(Z169*AB169*AC169*AD169*AE169,0.2)</f>
        <v/>
      </c>
      <c r="AG169" s="16">
        <f>1-(1-AF169)^12</f>
        <v/>
      </c>
    </row>
    <row r="170">
      <c r="A170" s="2" t="inlineStr">
        <is>
          <t>000005143243</t>
        </is>
      </c>
      <c r="B170" t="inlineStr">
        <is>
          <t>232</t>
        </is>
      </c>
      <c r="C170" t="inlineStr">
        <is>
          <t>RP</t>
        </is>
      </c>
      <c r="D170" t="inlineStr">
        <is>
          <t>WELLS FARGO BANK, N.A.</t>
        </is>
      </c>
      <c r="E170" t="n">
        <v>2013</v>
      </c>
      <c r="F170" t="inlineStr">
        <is>
          <t>202602</t>
        </is>
      </c>
      <c r="G170" s="8" t="n">
        <v>9293553.970000001</v>
      </c>
      <c r="H170" s="12" t="n">
        <v>3.15</v>
      </c>
      <c r="I170" s="13" t="n">
        <v>447</v>
      </c>
      <c r="J170" s="13" t="n">
        <v>0</v>
      </c>
      <c r="K170" t="n">
        <v>153</v>
      </c>
      <c r="L170" t="n">
        <v>205111</v>
      </c>
      <c r="M170" t="inlineStr"/>
      <c r="N170" t="n">
        <v>29</v>
      </c>
      <c r="O170" s="14" t="n">
        <v>0.1895424836601307</v>
      </c>
      <c r="P170">
        <f>IF(ISNUMBER(SEARCH("232",B170)),"232",IF(ISNUMBER(SEARCH("538",B170)),"538",IF(ISNUMBER(SEARCH("223a7",B170)),"223a7",IF(ISNUMBER(SEARCH("223f",B170)),"223f","OTHER"))))</f>
        <v/>
      </c>
      <c r="Q170">
        <f>IF(UPPER(C170)="NC","NC","RP")</f>
        <v/>
      </c>
      <c r="R170">
        <f>IF(G170&lt;5000000,"small",IF(G170&lt;25000000,"medium","large"))</f>
        <v/>
      </c>
      <c r="S170">
        <f>P170&amp;"|"&amp;Q170&amp;"|"&amp;R170</f>
        <v/>
      </c>
      <c r="T170" s="13">
        <f>H170*100-I170</f>
        <v/>
      </c>
      <c r="U170" s="13">
        <f>T170-12.5*(J170+1)</f>
        <v/>
      </c>
      <c r="V170" s="15">
        <f>IFERROR(VLOOKUP(S170,V8_COHORT_TABLE,2,FALSE),IFERROR(VLOOKUP(P170&amp;"|"&amp;Q170&amp;"|ALL",V8_COHORT_TABLE,2,FALSE),IFERROR(VLOOKUP(P170&amp;"|ALL|ALL",V8_COHORT_TABLE,2,FALSE),VLOOKUP("GLOBAL",V8_COHORT_TABLE,2,FALSE))))</f>
        <v/>
      </c>
      <c r="W170" s="15">
        <f>IFERROR(VLOOKUP(S170,V8_COHORT_TABLE,3,FALSE),IFERROR(VLOOKUP(P170&amp;"|"&amp;Q170&amp;"|ALL",V8_COHORT_TABLE,3,FALSE),IFERROR(VLOOKUP(P170&amp;"|ALL|ALL",V8_COHORT_TABLE,3,FALSE),VLOOKUP("GLOBAL",V8_COHORT_TABLE,3,FALSE))))</f>
        <v/>
      </c>
      <c r="X170" s="15">
        <f>IFERROR(VLOOKUP(S170,V8_COHORT_TABLE,4,FALSE),IFERROR(VLOOKUP(P170&amp;"|"&amp;Q170&amp;"|ALL",V8_COHORT_TABLE,4,FALSE),IFERROR(VLOOKUP(P170&amp;"|ALL|ALL",V8_COHORT_TABLE,4,FALSE),VLOOKUP("GLOBAL",V8_COHORT_TABLE,4,FALSE))))</f>
        <v/>
      </c>
      <c r="Y170" s="15">
        <f>IFERROR(VLOOKUP(S170,V8_COHORT_TABLE,5,FALSE),IFERROR(VLOOKUP(P170&amp;"|"&amp;Q170&amp;"|ALL",V8_COHORT_TABLE,5,FALSE),IFERROR(VLOOKUP(P170&amp;"|ALL|ALL",V8_COHORT_TABLE,5,FALSE),VLOOKUP("GLOBAL",V8_COHORT_TABLE,5,FALSE))))</f>
        <v/>
      </c>
      <c r="Z170" s="15">
        <f>V170+W170/(1+EXP(-(U170-X170)/Y170))</f>
        <v/>
      </c>
      <c r="AA170" s="16">
        <f>1-(1-Z170)^12</f>
        <v/>
      </c>
      <c r="AB170" s="14">
        <f>IF(K170&lt;=V8_AGE_KNOT_X_0,V8_AGE_KNOT_Y_0,IF(K170&gt;=V8_AGE_KNOT_X_5,V8_AGE_KNOT_Y_5,IF(K170&lt;=V8_AGE_KNOT_X_1,V8_AGE_KNOT_Y_0+(K170-V8_AGE_KNOT_X_0)/(V8_AGE_KNOT_X_1-V8_AGE_KNOT_X_0)*(V8_AGE_KNOT_Y_1-V8_AGE_KNOT_Y_0),IF(K170&lt;=V8_AGE_KNOT_X_2,V8_AGE_KNOT_Y_1+(K170-V8_AGE_KNOT_X_1)/(V8_AGE_KNOT_X_2-V8_AGE_KNOT_X_1)*(V8_AGE_KNOT_Y_2-V8_AGE_KNOT_Y_1),IF(K170&lt;=V8_AGE_KNOT_X_3,V8_AGE_KNOT_Y_2+(K170-V8_AGE_KNOT_X_2)/(V8_AGE_KNOT_X_3-V8_AGE_KNOT_X_2)*(V8_AGE_KNOT_Y_3-V8_AGE_KNOT_Y_2),IF(K170&lt;=V8_AGE_KNOT_X_4,V8_AGE_KNOT_Y_3+(K170-V8_AGE_KNOT_X_3)/(V8_AGE_KNOT_X_4-V8_AGE_KNOT_X_3)*(V8_AGE_KNOT_Y_4-V8_AGE_KNOT_Y_3),V8_AGE_KNOT_Y_4+(K170-V8_AGE_KNOT_X_4)/(V8_AGE_KNOT_X_5-V8_AGE_KNOT_X_4)*(V8_AGE_KNOT_Y_5-V8_AGE_KNOT_Y_4)))))))</f>
        <v/>
      </c>
      <c r="AC170" s="14">
        <f>IF(IF(OR(L170="",NOT(ISNUMBER(L170))),360,MAX(0,MIN(480,(INT(L170/100)-INT(VALUE(F170)/100))*12+MOD(L170,100)-MOD(VALUE(F170),100))))&gt;0,1+V8_MTY_AMP*MAX(0,(V8_MTY_CUTOFF-(IF(OR(L170="",NOT(ISNUMBER(L170))),360,MAX(0,MIN(480,(INT(L170/100)-INT(VALUE(F170)/100))*12+MOD(L170,100)-MOD(VALUE(F170),100))))))/V8_MTY_CUTOFF),1)</f>
        <v/>
      </c>
      <c r="AD170" s="14">
        <f>IF(AND(IF(OR(M170="",NOT(ISNUMBER(M170))),0,MAX(0,MIN(24,(INT(VALUE(F170)/100)-INT(M170/100))*12+MOD(VALUE(F170),100)-MOD(M170,100))))&gt;0,IF(OR(M170="",NOT(ISNUMBER(M170))),0,MAX(0,MIN(24,(INT(VALUE(F170)/100)-INT(M170/100))*12+MOD(VALUE(F170),100)-MOD(M170,100))))&lt;=12),1+V8_LOCKOUT_AMP*EXP(-(IF(OR(M170="",NOT(ISNUMBER(M170))),0,MAX(0,MIN(24,(INT(VALUE(F170)/100)-INT(M170/100))*12+MOD(VALUE(F170),100)-MOD(M170,100)))))/V8_LOCKOUT_TAU),1)</f>
        <v/>
      </c>
      <c r="AE170" s="14">
        <f>MAX(V8_BURN_FLOOR,1-V8_BURN_SLOPE*MIN(1,MAX(0,O170)))</f>
        <v/>
      </c>
      <c r="AF170" s="15">
        <f>MIN(Z170*AB170*AC170*AD170*AE170,0.2)</f>
        <v/>
      </c>
      <c r="AG170" s="16">
        <f>1-(1-AF170)^12</f>
        <v/>
      </c>
    </row>
    <row r="171">
      <c r="A171" s="2" t="inlineStr">
        <is>
          <t>000007111253</t>
        </is>
      </c>
      <c r="B171" t="inlineStr">
        <is>
          <t>223f</t>
        </is>
      </c>
      <c r="C171" t="inlineStr">
        <is>
          <t>RP</t>
        </is>
      </c>
      <c r="D171" t="inlineStr">
        <is>
          <t>WELLS FARGO BANK, N.A.</t>
        </is>
      </c>
      <c r="E171" t="n">
        <v>2011</v>
      </c>
      <c r="F171" t="inlineStr">
        <is>
          <t>202602</t>
        </is>
      </c>
      <c r="G171" s="8" t="n">
        <v>1811141.27</v>
      </c>
      <c r="H171" s="12" t="n">
        <v>3.79</v>
      </c>
      <c r="I171" s="13" t="n">
        <v>447</v>
      </c>
      <c r="J171" s="13" t="n">
        <v>0</v>
      </c>
      <c r="K171" t="n">
        <v>172</v>
      </c>
      <c r="L171" t="n">
        <v>204611</v>
      </c>
      <c r="M171" t="n">
        <v>201212</v>
      </c>
      <c r="N171" t="n">
        <v>40</v>
      </c>
      <c r="O171" s="14" t="n">
        <v>0.2325581395348837</v>
      </c>
      <c r="P171">
        <f>IF(ISNUMBER(SEARCH("232",B171)),"232",IF(ISNUMBER(SEARCH("538",B171)),"538",IF(ISNUMBER(SEARCH("223a7",B171)),"223a7",IF(ISNUMBER(SEARCH("223f",B171)),"223f","OTHER"))))</f>
        <v/>
      </c>
      <c r="Q171">
        <f>IF(UPPER(C171)="NC","NC","RP")</f>
        <v/>
      </c>
      <c r="R171">
        <f>IF(G171&lt;5000000,"small",IF(G171&lt;25000000,"medium","large"))</f>
        <v/>
      </c>
      <c r="S171">
        <f>P171&amp;"|"&amp;Q171&amp;"|"&amp;R171</f>
        <v/>
      </c>
      <c r="T171" s="13">
        <f>H171*100-I171</f>
        <v/>
      </c>
      <c r="U171" s="13">
        <f>T171-12.5*(J171+1)</f>
        <v/>
      </c>
      <c r="V171" s="15">
        <f>IFERROR(VLOOKUP(S171,V8_COHORT_TABLE,2,FALSE),IFERROR(VLOOKUP(P171&amp;"|"&amp;Q171&amp;"|ALL",V8_COHORT_TABLE,2,FALSE),IFERROR(VLOOKUP(P171&amp;"|ALL|ALL",V8_COHORT_TABLE,2,FALSE),VLOOKUP("GLOBAL",V8_COHORT_TABLE,2,FALSE))))</f>
        <v/>
      </c>
      <c r="W171" s="15">
        <f>IFERROR(VLOOKUP(S171,V8_COHORT_TABLE,3,FALSE),IFERROR(VLOOKUP(P171&amp;"|"&amp;Q171&amp;"|ALL",V8_COHORT_TABLE,3,FALSE),IFERROR(VLOOKUP(P171&amp;"|ALL|ALL",V8_COHORT_TABLE,3,FALSE),VLOOKUP("GLOBAL",V8_COHORT_TABLE,3,FALSE))))</f>
        <v/>
      </c>
      <c r="X171" s="15">
        <f>IFERROR(VLOOKUP(S171,V8_COHORT_TABLE,4,FALSE),IFERROR(VLOOKUP(P171&amp;"|"&amp;Q171&amp;"|ALL",V8_COHORT_TABLE,4,FALSE),IFERROR(VLOOKUP(P171&amp;"|ALL|ALL",V8_COHORT_TABLE,4,FALSE),VLOOKUP("GLOBAL",V8_COHORT_TABLE,4,FALSE))))</f>
        <v/>
      </c>
      <c r="Y171" s="15">
        <f>IFERROR(VLOOKUP(S171,V8_COHORT_TABLE,5,FALSE),IFERROR(VLOOKUP(P171&amp;"|"&amp;Q171&amp;"|ALL",V8_COHORT_TABLE,5,FALSE),IFERROR(VLOOKUP(P171&amp;"|ALL|ALL",V8_COHORT_TABLE,5,FALSE),VLOOKUP("GLOBAL",V8_COHORT_TABLE,5,FALSE))))</f>
        <v/>
      </c>
      <c r="Z171" s="15">
        <f>V171+W171/(1+EXP(-(U171-X171)/Y171))</f>
        <v/>
      </c>
      <c r="AA171" s="16">
        <f>1-(1-Z171)^12</f>
        <v/>
      </c>
      <c r="AB171" s="14">
        <f>IF(K171&lt;=V8_AGE_KNOT_X_0,V8_AGE_KNOT_Y_0,IF(K171&gt;=V8_AGE_KNOT_X_5,V8_AGE_KNOT_Y_5,IF(K171&lt;=V8_AGE_KNOT_X_1,V8_AGE_KNOT_Y_0+(K171-V8_AGE_KNOT_X_0)/(V8_AGE_KNOT_X_1-V8_AGE_KNOT_X_0)*(V8_AGE_KNOT_Y_1-V8_AGE_KNOT_Y_0),IF(K171&lt;=V8_AGE_KNOT_X_2,V8_AGE_KNOT_Y_1+(K171-V8_AGE_KNOT_X_1)/(V8_AGE_KNOT_X_2-V8_AGE_KNOT_X_1)*(V8_AGE_KNOT_Y_2-V8_AGE_KNOT_Y_1),IF(K171&lt;=V8_AGE_KNOT_X_3,V8_AGE_KNOT_Y_2+(K171-V8_AGE_KNOT_X_2)/(V8_AGE_KNOT_X_3-V8_AGE_KNOT_X_2)*(V8_AGE_KNOT_Y_3-V8_AGE_KNOT_Y_2),IF(K171&lt;=V8_AGE_KNOT_X_4,V8_AGE_KNOT_Y_3+(K171-V8_AGE_KNOT_X_3)/(V8_AGE_KNOT_X_4-V8_AGE_KNOT_X_3)*(V8_AGE_KNOT_Y_4-V8_AGE_KNOT_Y_3),V8_AGE_KNOT_Y_4+(K171-V8_AGE_KNOT_X_4)/(V8_AGE_KNOT_X_5-V8_AGE_KNOT_X_4)*(V8_AGE_KNOT_Y_5-V8_AGE_KNOT_Y_4)))))))</f>
        <v/>
      </c>
      <c r="AC171" s="14">
        <f>IF(IF(OR(L171="",NOT(ISNUMBER(L171))),360,MAX(0,MIN(480,(INT(L171/100)-INT(VALUE(F171)/100))*12+MOD(L171,100)-MOD(VALUE(F171),100))))&gt;0,1+V8_MTY_AMP*MAX(0,(V8_MTY_CUTOFF-(IF(OR(L171="",NOT(ISNUMBER(L171))),360,MAX(0,MIN(480,(INT(L171/100)-INT(VALUE(F171)/100))*12+MOD(L171,100)-MOD(VALUE(F171),100))))))/V8_MTY_CUTOFF),1)</f>
        <v/>
      </c>
      <c r="AD171" s="14">
        <f>IF(AND(IF(OR(M171="",NOT(ISNUMBER(M171))),0,MAX(0,MIN(24,(INT(VALUE(F171)/100)-INT(M171/100))*12+MOD(VALUE(F171),100)-MOD(M171,100))))&gt;0,IF(OR(M171="",NOT(ISNUMBER(M171))),0,MAX(0,MIN(24,(INT(VALUE(F171)/100)-INT(M171/100))*12+MOD(VALUE(F171),100)-MOD(M171,100))))&lt;=12),1+V8_LOCKOUT_AMP*EXP(-(IF(OR(M171="",NOT(ISNUMBER(M171))),0,MAX(0,MIN(24,(INT(VALUE(F171)/100)-INT(M171/100))*12+MOD(VALUE(F171),100)-MOD(M171,100)))))/V8_LOCKOUT_TAU),1)</f>
        <v/>
      </c>
      <c r="AE171" s="14">
        <f>MAX(V8_BURN_FLOOR,1-V8_BURN_SLOPE*MIN(1,MAX(0,O171)))</f>
        <v/>
      </c>
      <c r="AF171" s="15">
        <f>MIN(Z171*AB171*AC171*AD171*AE171,0.2)</f>
        <v/>
      </c>
      <c r="AG171" s="16">
        <f>1-(1-AF171)^12</f>
        <v/>
      </c>
    </row>
    <row r="172">
      <c r="A172" s="2" t="inlineStr">
        <is>
          <t>000012722118</t>
        </is>
      </c>
      <c r="B172" t="inlineStr">
        <is>
          <t>232</t>
        </is>
      </c>
      <c r="C172" t="inlineStr">
        <is>
          <t>RP</t>
        </is>
      </c>
      <c r="D172" t="inlineStr">
        <is>
          <t>WELLS FARGO BANK, N.A.</t>
        </is>
      </c>
      <c r="E172" t="n">
        <v>2013</v>
      </c>
      <c r="F172" t="inlineStr">
        <is>
          <t>202602</t>
        </is>
      </c>
      <c r="G172" s="8" t="n">
        <v>2447684.27</v>
      </c>
      <c r="H172" s="12" t="n">
        <v>4.5</v>
      </c>
      <c r="I172" s="13" t="n">
        <v>447</v>
      </c>
      <c r="J172" s="13" t="n">
        <v>0</v>
      </c>
      <c r="K172" t="n">
        <v>146</v>
      </c>
      <c r="L172" t="n">
        <v>204901</v>
      </c>
      <c r="M172" t="n">
        <v>201602</v>
      </c>
      <c r="N172" t="n">
        <v>45</v>
      </c>
      <c r="O172" s="14" t="n">
        <v>0.3082191780821918</v>
      </c>
      <c r="P172">
        <f>IF(ISNUMBER(SEARCH("232",B172)),"232",IF(ISNUMBER(SEARCH("538",B172)),"538",IF(ISNUMBER(SEARCH("223a7",B172)),"223a7",IF(ISNUMBER(SEARCH("223f",B172)),"223f","OTHER"))))</f>
        <v/>
      </c>
      <c r="Q172">
        <f>IF(UPPER(C172)="NC","NC","RP")</f>
        <v/>
      </c>
      <c r="R172">
        <f>IF(G172&lt;5000000,"small",IF(G172&lt;25000000,"medium","large"))</f>
        <v/>
      </c>
      <c r="S172">
        <f>P172&amp;"|"&amp;Q172&amp;"|"&amp;R172</f>
        <v/>
      </c>
      <c r="T172" s="13">
        <f>H172*100-I172</f>
        <v/>
      </c>
      <c r="U172" s="13">
        <f>T172-12.5*(J172+1)</f>
        <v/>
      </c>
      <c r="V172" s="15">
        <f>IFERROR(VLOOKUP(S172,V8_COHORT_TABLE,2,FALSE),IFERROR(VLOOKUP(P172&amp;"|"&amp;Q172&amp;"|ALL",V8_COHORT_TABLE,2,FALSE),IFERROR(VLOOKUP(P172&amp;"|ALL|ALL",V8_COHORT_TABLE,2,FALSE),VLOOKUP("GLOBAL",V8_COHORT_TABLE,2,FALSE))))</f>
        <v/>
      </c>
      <c r="W172" s="15">
        <f>IFERROR(VLOOKUP(S172,V8_COHORT_TABLE,3,FALSE),IFERROR(VLOOKUP(P172&amp;"|"&amp;Q172&amp;"|ALL",V8_COHORT_TABLE,3,FALSE),IFERROR(VLOOKUP(P172&amp;"|ALL|ALL",V8_COHORT_TABLE,3,FALSE),VLOOKUP("GLOBAL",V8_COHORT_TABLE,3,FALSE))))</f>
        <v/>
      </c>
      <c r="X172" s="15">
        <f>IFERROR(VLOOKUP(S172,V8_COHORT_TABLE,4,FALSE),IFERROR(VLOOKUP(P172&amp;"|"&amp;Q172&amp;"|ALL",V8_COHORT_TABLE,4,FALSE),IFERROR(VLOOKUP(P172&amp;"|ALL|ALL",V8_COHORT_TABLE,4,FALSE),VLOOKUP("GLOBAL",V8_COHORT_TABLE,4,FALSE))))</f>
        <v/>
      </c>
      <c r="Y172" s="15">
        <f>IFERROR(VLOOKUP(S172,V8_COHORT_TABLE,5,FALSE),IFERROR(VLOOKUP(P172&amp;"|"&amp;Q172&amp;"|ALL",V8_COHORT_TABLE,5,FALSE),IFERROR(VLOOKUP(P172&amp;"|ALL|ALL",V8_COHORT_TABLE,5,FALSE),VLOOKUP("GLOBAL",V8_COHORT_TABLE,5,FALSE))))</f>
        <v/>
      </c>
      <c r="Z172" s="15">
        <f>V172+W172/(1+EXP(-(U172-X172)/Y172))</f>
        <v/>
      </c>
      <c r="AA172" s="16">
        <f>1-(1-Z172)^12</f>
        <v/>
      </c>
      <c r="AB172" s="14">
        <f>IF(K172&lt;=V8_AGE_KNOT_X_0,V8_AGE_KNOT_Y_0,IF(K172&gt;=V8_AGE_KNOT_X_5,V8_AGE_KNOT_Y_5,IF(K172&lt;=V8_AGE_KNOT_X_1,V8_AGE_KNOT_Y_0+(K172-V8_AGE_KNOT_X_0)/(V8_AGE_KNOT_X_1-V8_AGE_KNOT_X_0)*(V8_AGE_KNOT_Y_1-V8_AGE_KNOT_Y_0),IF(K172&lt;=V8_AGE_KNOT_X_2,V8_AGE_KNOT_Y_1+(K172-V8_AGE_KNOT_X_1)/(V8_AGE_KNOT_X_2-V8_AGE_KNOT_X_1)*(V8_AGE_KNOT_Y_2-V8_AGE_KNOT_Y_1),IF(K172&lt;=V8_AGE_KNOT_X_3,V8_AGE_KNOT_Y_2+(K172-V8_AGE_KNOT_X_2)/(V8_AGE_KNOT_X_3-V8_AGE_KNOT_X_2)*(V8_AGE_KNOT_Y_3-V8_AGE_KNOT_Y_2),IF(K172&lt;=V8_AGE_KNOT_X_4,V8_AGE_KNOT_Y_3+(K172-V8_AGE_KNOT_X_3)/(V8_AGE_KNOT_X_4-V8_AGE_KNOT_X_3)*(V8_AGE_KNOT_Y_4-V8_AGE_KNOT_Y_3),V8_AGE_KNOT_Y_4+(K172-V8_AGE_KNOT_X_4)/(V8_AGE_KNOT_X_5-V8_AGE_KNOT_X_4)*(V8_AGE_KNOT_Y_5-V8_AGE_KNOT_Y_4)))))))</f>
        <v/>
      </c>
      <c r="AC172" s="14">
        <f>IF(IF(OR(L172="",NOT(ISNUMBER(L172))),360,MAX(0,MIN(480,(INT(L172/100)-INT(VALUE(F172)/100))*12+MOD(L172,100)-MOD(VALUE(F172),100))))&gt;0,1+V8_MTY_AMP*MAX(0,(V8_MTY_CUTOFF-(IF(OR(L172="",NOT(ISNUMBER(L172))),360,MAX(0,MIN(480,(INT(L172/100)-INT(VALUE(F172)/100))*12+MOD(L172,100)-MOD(VALUE(F172),100))))))/V8_MTY_CUTOFF),1)</f>
        <v/>
      </c>
      <c r="AD172" s="14">
        <f>IF(AND(IF(OR(M172="",NOT(ISNUMBER(M172))),0,MAX(0,MIN(24,(INT(VALUE(F172)/100)-INT(M172/100))*12+MOD(VALUE(F172),100)-MOD(M172,100))))&gt;0,IF(OR(M172="",NOT(ISNUMBER(M172))),0,MAX(0,MIN(24,(INT(VALUE(F172)/100)-INT(M172/100))*12+MOD(VALUE(F172),100)-MOD(M172,100))))&lt;=12),1+V8_LOCKOUT_AMP*EXP(-(IF(OR(M172="",NOT(ISNUMBER(M172))),0,MAX(0,MIN(24,(INT(VALUE(F172)/100)-INT(M172/100))*12+MOD(VALUE(F172),100)-MOD(M172,100)))))/V8_LOCKOUT_TAU),1)</f>
        <v/>
      </c>
      <c r="AE172" s="14">
        <f>MAX(V8_BURN_FLOOR,1-V8_BURN_SLOPE*MIN(1,MAX(0,O172)))</f>
        <v/>
      </c>
      <c r="AF172" s="15">
        <f>MIN(Z172*AB172*AC172*AD172*AE172,0.2)</f>
        <v/>
      </c>
      <c r="AG172" s="16">
        <f>1-(1-AF172)^12</f>
        <v/>
      </c>
    </row>
    <row r="173">
      <c r="A173" s="2" t="inlineStr">
        <is>
          <t>000008235439</t>
        </is>
      </c>
      <c r="B173" t="inlineStr">
        <is>
          <t>221d4</t>
        </is>
      </c>
      <c r="C173" t="inlineStr">
        <is>
          <t>RP</t>
        </is>
      </c>
      <c r="D173" t="inlineStr">
        <is>
          <t>WELLS FARGO BANK, N.A.</t>
        </is>
      </c>
      <c r="E173" t="n">
        <v>2013</v>
      </c>
      <c r="F173" t="inlineStr">
        <is>
          <t>202602</t>
        </is>
      </c>
      <c r="G173" s="8" t="n">
        <v>827917.08</v>
      </c>
      <c r="H173" s="12" t="n">
        <v>3.17</v>
      </c>
      <c r="I173" s="13" t="n">
        <v>447</v>
      </c>
      <c r="J173" s="13" t="n">
        <v>0</v>
      </c>
      <c r="K173" t="n">
        <v>154</v>
      </c>
      <c r="L173" t="n">
        <v>203505</v>
      </c>
      <c r="M173" t="inlineStr"/>
      <c r="N173" t="n">
        <v>30</v>
      </c>
      <c r="O173" s="14" t="n">
        <v>0.1948051948051948</v>
      </c>
      <c r="P173">
        <f>IF(ISNUMBER(SEARCH("232",B173)),"232",IF(ISNUMBER(SEARCH("538",B173)),"538",IF(ISNUMBER(SEARCH("223a7",B173)),"223a7",IF(ISNUMBER(SEARCH("223f",B173)),"223f","OTHER"))))</f>
        <v/>
      </c>
      <c r="Q173">
        <f>IF(UPPER(C173)="NC","NC","RP")</f>
        <v/>
      </c>
      <c r="R173">
        <f>IF(G173&lt;5000000,"small",IF(G173&lt;25000000,"medium","large"))</f>
        <v/>
      </c>
      <c r="S173">
        <f>P173&amp;"|"&amp;Q173&amp;"|"&amp;R173</f>
        <v/>
      </c>
      <c r="T173" s="13">
        <f>H173*100-I173</f>
        <v/>
      </c>
      <c r="U173" s="13">
        <f>T173-12.5*(J173+1)</f>
        <v/>
      </c>
      <c r="V173" s="15">
        <f>IFERROR(VLOOKUP(S173,V8_COHORT_TABLE,2,FALSE),IFERROR(VLOOKUP(P173&amp;"|"&amp;Q173&amp;"|ALL",V8_COHORT_TABLE,2,FALSE),IFERROR(VLOOKUP(P173&amp;"|ALL|ALL",V8_COHORT_TABLE,2,FALSE),VLOOKUP("GLOBAL",V8_COHORT_TABLE,2,FALSE))))</f>
        <v/>
      </c>
      <c r="W173" s="15">
        <f>IFERROR(VLOOKUP(S173,V8_COHORT_TABLE,3,FALSE),IFERROR(VLOOKUP(P173&amp;"|"&amp;Q173&amp;"|ALL",V8_COHORT_TABLE,3,FALSE),IFERROR(VLOOKUP(P173&amp;"|ALL|ALL",V8_COHORT_TABLE,3,FALSE),VLOOKUP("GLOBAL",V8_COHORT_TABLE,3,FALSE))))</f>
        <v/>
      </c>
      <c r="X173" s="15">
        <f>IFERROR(VLOOKUP(S173,V8_COHORT_TABLE,4,FALSE),IFERROR(VLOOKUP(P173&amp;"|"&amp;Q173&amp;"|ALL",V8_COHORT_TABLE,4,FALSE),IFERROR(VLOOKUP(P173&amp;"|ALL|ALL",V8_COHORT_TABLE,4,FALSE),VLOOKUP("GLOBAL",V8_COHORT_TABLE,4,FALSE))))</f>
        <v/>
      </c>
      <c r="Y173" s="15">
        <f>IFERROR(VLOOKUP(S173,V8_COHORT_TABLE,5,FALSE),IFERROR(VLOOKUP(P173&amp;"|"&amp;Q173&amp;"|ALL",V8_COHORT_TABLE,5,FALSE),IFERROR(VLOOKUP(P173&amp;"|ALL|ALL",V8_COHORT_TABLE,5,FALSE),VLOOKUP("GLOBAL",V8_COHORT_TABLE,5,FALSE))))</f>
        <v/>
      </c>
      <c r="Z173" s="15">
        <f>V173+W173/(1+EXP(-(U173-X173)/Y173))</f>
        <v/>
      </c>
      <c r="AA173" s="16">
        <f>1-(1-Z173)^12</f>
        <v/>
      </c>
      <c r="AB173" s="14">
        <f>IF(K173&lt;=V8_AGE_KNOT_X_0,V8_AGE_KNOT_Y_0,IF(K173&gt;=V8_AGE_KNOT_X_5,V8_AGE_KNOT_Y_5,IF(K173&lt;=V8_AGE_KNOT_X_1,V8_AGE_KNOT_Y_0+(K173-V8_AGE_KNOT_X_0)/(V8_AGE_KNOT_X_1-V8_AGE_KNOT_X_0)*(V8_AGE_KNOT_Y_1-V8_AGE_KNOT_Y_0),IF(K173&lt;=V8_AGE_KNOT_X_2,V8_AGE_KNOT_Y_1+(K173-V8_AGE_KNOT_X_1)/(V8_AGE_KNOT_X_2-V8_AGE_KNOT_X_1)*(V8_AGE_KNOT_Y_2-V8_AGE_KNOT_Y_1),IF(K173&lt;=V8_AGE_KNOT_X_3,V8_AGE_KNOT_Y_2+(K173-V8_AGE_KNOT_X_2)/(V8_AGE_KNOT_X_3-V8_AGE_KNOT_X_2)*(V8_AGE_KNOT_Y_3-V8_AGE_KNOT_Y_2),IF(K173&lt;=V8_AGE_KNOT_X_4,V8_AGE_KNOT_Y_3+(K173-V8_AGE_KNOT_X_3)/(V8_AGE_KNOT_X_4-V8_AGE_KNOT_X_3)*(V8_AGE_KNOT_Y_4-V8_AGE_KNOT_Y_3),V8_AGE_KNOT_Y_4+(K173-V8_AGE_KNOT_X_4)/(V8_AGE_KNOT_X_5-V8_AGE_KNOT_X_4)*(V8_AGE_KNOT_Y_5-V8_AGE_KNOT_Y_4)))))))</f>
        <v/>
      </c>
      <c r="AC173" s="14">
        <f>IF(IF(OR(L173="",NOT(ISNUMBER(L173))),360,MAX(0,MIN(480,(INT(L173/100)-INT(VALUE(F173)/100))*12+MOD(L173,100)-MOD(VALUE(F173),100))))&gt;0,1+V8_MTY_AMP*MAX(0,(V8_MTY_CUTOFF-(IF(OR(L173="",NOT(ISNUMBER(L173))),360,MAX(0,MIN(480,(INT(L173/100)-INT(VALUE(F173)/100))*12+MOD(L173,100)-MOD(VALUE(F173),100))))))/V8_MTY_CUTOFF),1)</f>
        <v/>
      </c>
      <c r="AD173" s="14">
        <f>IF(AND(IF(OR(M173="",NOT(ISNUMBER(M173))),0,MAX(0,MIN(24,(INT(VALUE(F173)/100)-INT(M173/100))*12+MOD(VALUE(F173),100)-MOD(M173,100))))&gt;0,IF(OR(M173="",NOT(ISNUMBER(M173))),0,MAX(0,MIN(24,(INT(VALUE(F173)/100)-INT(M173/100))*12+MOD(VALUE(F173),100)-MOD(M173,100))))&lt;=12),1+V8_LOCKOUT_AMP*EXP(-(IF(OR(M173="",NOT(ISNUMBER(M173))),0,MAX(0,MIN(24,(INT(VALUE(F173)/100)-INT(M173/100))*12+MOD(VALUE(F173),100)-MOD(M173,100)))))/V8_LOCKOUT_TAU),1)</f>
        <v/>
      </c>
      <c r="AE173" s="14">
        <f>MAX(V8_BURN_FLOOR,1-V8_BURN_SLOPE*MIN(1,MAX(0,O173)))</f>
        <v/>
      </c>
      <c r="AF173" s="15">
        <f>MIN(Z173*AB173*AC173*AD173*AE173,0.2)</f>
        <v/>
      </c>
      <c r="AG173" s="16">
        <f>1-(1-AF173)^12</f>
        <v/>
      </c>
    </row>
    <row r="174">
      <c r="A174" s="2" t="inlineStr">
        <is>
          <t>000005211167</t>
        </is>
      </c>
      <c r="B174" t="inlineStr">
        <is>
          <t>223f</t>
        </is>
      </c>
      <c r="C174" t="inlineStr">
        <is>
          <t>RP</t>
        </is>
      </c>
      <c r="D174" t="inlineStr">
        <is>
          <t>WELLS FARGO BANK, N.A.</t>
        </is>
      </c>
      <c r="E174" t="n">
        <v>2012</v>
      </c>
      <c r="F174" t="inlineStr">
        <is>
          <t>202602</t>
        </is>
      </c>
      <c r="G174" s="8" t="n">
        <v>3497280.04</v>
      </c>
      <c r="H174" s="12" t="n">
        <v>2.71</v>
      </c>
      <c r="I174" s="13" t="n">
        <v>447</v>
      </c>
      <c r="J174" s="13" t="n">
        <v>0</v>
      </c>
      <c r="K174" t="n">
        <v>164</v>
      </c>
      <c r="L174" t="n">
        <v>204707</v>
      </c>
      <c r="M174" t="n">
        <v>201308</v>
      </c>
      <c r="N174" t="n">
        <v>25</v>
      </c>
      <c r="O174" s="14" t="n">
        <v>0.1524390243902439</v>
      </c>
      <c r="P174">
        <f>IF(ISNUMBER(SEARCH("232",B174)),"232",IF(ISNUMBER(SEARCH("538",B174)),"538",IF(ISNUMBER(SEARCH("223a7",B174)),"223a7",IF(ISNUMBER(SEARCH("223f",B174)),"223f","OTHER"))))</f>
        <v/>
      </c>
      <c r="Q174">
        <f>IF(UPPER(C174)="NC","NC","RP")</f>
        <v/>
      </c>
      <c r="R174">
        <f>IF(G174&lt;5000000,"small",IF(G174&lt;25000000,"medium","large"))</f>
        <v/>
      </c>
      <c r="S174">
        <f>P174&amp;"|"&amp;Q174&amp;"|"&amp;R174</f>
        <v/>
      </c>
      <c r="T174" s="13">
        <f>H174*100-I174</f>
        <v/>
      </c>
      <c r="U174" s="13">
        <f>T174-12.5*(J174+1)</f>
        <v/>
      </c>
      <c r="V174" s="15">
        <f>IFERROR(VLOOKUP(S174,V8_COHORT_TABLE,2,FALSE),IFERROR(VLOOKUP(P174&amp;"|"&amp;Q174&amp;"|ALL",V8_COHORT_TABLE,2,FALSE),IFERROR(VLOOKUP(P174&amp;"|ALL|ALL",V8_COHORT_TABLE,2,FALSE),VLOOKUP("GLOBAL",V8_COHORT_TABLE,2,FALSE))))</f>
        <v/>
      </c>
      <c r="W174" s="15">
        <f>IFERROR(VLOOKUP(S174,V8_COHORT_TABLE,3,FALSE),IFERROR(VLOOKUP(P174&amp;"|"&amp;Q174&amp;"|ALL",V8_COHORT_TABLE,3,FALSE),IFERROR(VLOOKUP(P174&amp;"|ALL|ALL",V8_COHORT_TABLE,3,FALSE),VLOOKUP("GLOBAL",V8_COHORT_TABLE,3,FALSE))))</f>
        <v/>
      </c>
      <c r="X174" s="15">
        <f>IFERROR(VLOOKUP(S174,V8_COHORT_TABLE,4,FALSE),IFERROR(VLOOKUP(P174&amp;"|"&amp;Q174&amp;"|ALL",V8_COHORT_TABLE,4,FALSE),IFERROR(VLOOKUP(P174&amp;"|ALL|ALL",V8_COHORT_TABLE,4,FALSE),VLOOKUP("GLOBAL",V8_COHORT_TABLE,4,FALSE))))</f>
        <v/>
      </c>
      <c r="Y174" s="15">
        <f>IFERROR(VLOOKUP(S174,V8_COHORT_TABLE,5,FALSE),IFERROR(VLOOKUP(P174&amp;"|"&amp;Q174&amp;"|ALL",V8_COHORT_TABLE,5,FALSE),IFERROR(VLOOKUP(P174&amp;"|ALL|ALL",V8_COHORT_TABLE,5,FALSE),VLOOKUP("GLOBAL",V8_COHORT_TABLE,5,FALSE))))</f>
        <v/>
      </c>
      <c r="Z174" s="15">
        <f>V174+W174/(1+EXP(-(U174-X174)/Y174))</f>
        <v/>
      </c>
      <c r="AA174" s="16">
        <f>1-(1-Z174)^12</f>
        <v/>
      </c>
      <c r="AB174" s="14">
        <f>IF(K174&lt;=V8_AGE_KNOT_X_0,V8_AGE_KNOT_Y_0,IF(K174&gt;=V8_AGE_KNOT_X_5,V8_AGE_KNOT_Y_5,IF(K174&lt;=V8_AGE_KNOT_X_1,V8_AGE_KNOT_Y_0+(K174-V8_AGE_KNOT_X_0)/(V8_AGE_KNOT_X_1-V8_AGE_KNOT_X_0)*(V8_AGE_KNOT_Y_1-V8_AGE_KNOT_Y_0),IF(K174&lt;=V8_AGE_KNOT_X_2,V8_AGE_KNOT_Y_1+(K174-V8_AGE_KNOT_X_1)/(V8_AGE_KNOT_X_2-V8_AGE_KNOT_X_1)*(V8_AGE_KNOT_Y_2-V8_AGE_KNOT_Y_1),IF(K174&lt;=V8_AGE_KNOT_X_3,V8_AGE_KNOT_Y_2+(K174-V8_AGE_KNOT_X_2)/(V8_AGE_KNOT_X_3-V8_AGE_KNOT_X_2)*(V8_AGE_KNOT_Y_3-V8_AGE_KNOT_Y_2),IF(K174&lt;=V8_AGE_KNOT_X_4,V8_AGE_KNOT_Y_3+(K174-V8_AGE_KNOT_X_3)/(V8_AGE_KNOT_X_4-V8_AGE_KNOT_X_3)*(V8_AGE_KNOT_Y_4-V8_AGE_KNOT_Y_3),V8_AGE_KNOT_Y_4+(K174-V8_AGE_KNOT_X_4)/(V8_AGE_KNOT_X_5-V8_AGE_KNOT_X_4)*(V8_AGE_KNOT_Y_5-V8_AGE_KNOT_Y_4)))))))</f>
        <v/>
      </c>
      <c r="AC174" s="14">
        <f>IF(IF(OR(L174="",NOT(ISNUMBER(L174))),360,MAX(0,MIN(480,(INT(L174/100)-INT(VALUE(F174)/100))*12+MOD(L174,100)-MOD(VALUE(F174),100))))&gt;0,1+V8_MTY_AMP*MAX(0,(V8_MTY_CUTOFF-(IF(OR(L174="",NOT(ISNUMBER(L174))),360,MAX(0,MIN(480,(INT(L174/100)-INT(VALUE(F174)/100))*12+MOD(L174,100)-MOD(VALUE(F174),100))))))/V8_MTY_CUTOFF),1)</f>
        <v/>
      </c>
      <c r="AD174" s="14">
        <f>IF(AND(IF(OR(M174="",NOT(ISNUMBER(M174))),0,MAX(0,MIN(24,(INT(VALUE(F174)/100)-INT(M174/100))*12+MOD(VALUE(F174),100)-MOD(M174,100))))&gt;0,IF(OR(M174="",NOT(ISNUMBER(M174))),0,MAX(0,MIN(24,(INT(VALUE(F174)/100)-INT(M174/100))*12+MOD(VALUE(F174),100)-MOD(M174,100))))&lt;=12),1+V8_LOCKOUT_AMP*EXP(-(IF(OR(M174="",NOT(ISNUMBER(M174))),0,MAX(0,MIN(24,(INT(VALUE(F174)/100)-INT(M174/100))*12+MOD(VALUE(F174),100)-MOD(M174,100)))))/V8_LOCKOUT_TAU),1)</f>
        <v/>
      </c>
      <c r="AE174" s="14">
        <f>MAX(V8_BURN_FLOOR,1-V8_BURN_SLOPE*MIN(1,MAX(0,O174)))</f>
        <v/>
      </c>
      <c r="AF174" s="15">
        <f>MIN(Z174*AB174*AC174*AD174*AE174,0.2)</f>
        <v/>
      </c>
      <c r="AG174" s="16">
        <f>1-(1-AF174)^12</f>
        <v/>
      </c>
    </row>
    <row r="175">
      <c r="A175" s="2" t="inlineStr">
        <is>
          <t>000014335134</t>
        </is>
      </c>
      <c r="B175" t="inlineStr">
        <is>
          <t>221d4</t>
        </is>
      </c>
      <c r="C175" t="inlineStr">
        <is>
          <t>NC</t>
        </is>
      </c>
      <c r="D175" t="inlineStr">
        <is>
          <t>WELLS FARGO BANK, N.A.</t>
        </is>
      </c>
      <c r="E175" t="n">
        <v>2020</v>
      </c>
      <c r="F175" t="inlineStr">
        <is>
          <t>202602</t>
        </is>
      </c>
      <c r="G175" s="8" t="n">
        <v>44900623.16</v>
      </c>
      <c r="H175" s="12" t="n">
        <v>2.88</v>
      </c>
      <c r="I175" s="13" t="n">
        <v>447</v>
      </c>
      <c r="J175" s="13" t="n">
        <v>7</v>
      </c>
      <c r="K175" t="n">
        <v>70</v>
      </c>
      <c r="L175" t="n">
        <v>206205</v>
      </c>
      <c r="M175" t="inlineStr"/>
      <c r="N175" t="n">
        <v>0</v>
      </c>
      <c r="O175" s="14" t="n">
        <v>0</v>
      </c>
      <c r="P175">
        <f>IF(ISNUMBER(SEARCH("232",B175)),"232",IF(ISNUMBER(SEARCH("538",B175)),"538",IF(ISNUMBER(SEARCH("223a7",B175)),"223a7",IF(ISNUMBER(SEARCH("223f",B175)),"223f","OTHER"))))</f>
        <v/>
      </c>
      <c r="Q175">
        <f>IF(UPPER(C175)="NC","NC","RP")</f>
        <v/>
      </c>
      <c r="R175">
        <f>IF(G175&lt;5000000,"small",IF(G175&lt;25000000,"medium","large"))</f>
        <v/>
      </c>
      <c r="S175">
        <f>P175&amp;"|"&amp;Q175&amp;"|"&amp;R175</f>
        <v/>
      </c>
      <c r="T175" s="13">
        <f>H175*100-I175</f>
        <v/>
      </c>
      <c r="U175" s="13">
        <f>T175-12.5*(J175+1)</f>
        <v/>
      </c>
      <c r="V175" s="15">
        <f>IFERROR(VLOOKUP(S175,V8_COHORT_TABLE,2,FALSE),IFERROR(VLOOKUP(P175&amp;"|"&amp;Q175&amp;"|ALL",V8_COHORT_TABLE,2,FALSE),IFERROR(VLOOKUP(P175&amp;"|ALL|ALL",V8_COHORT_TABLE,2,FALSE),VLOOKUP("GLOBAL",V8_COHORT_TABLE,2,FALSE))))</f>
        <v/>
      </c>
      <c r="W175" s="15">
        <f>IFERROR(VLOOKUP(S175,V8_COHORT_TABLE,3,FALSE),IFERROR(VLOOKUP(P175&amp;"|"&amp;Q175&amp;"|ALL",V8_COHORT_TABLE,3,FALSE),IFERROR(VLOOKUP(P175&amp;"|ALL|ALL",V8_COHORT_TABLE,3,FALSE),VLOOKUP("GLOBAL",V8_COHORT_TABLE,3,FALSE))))</f>
        <v/>
      </c>
      <c r="X175" s="15">
        <f>IFERROR(VLOOKUP(S175,V8_COHORT_TABLE,4,FALSE),IFERROR(VLOOKUP(P175&amp;"|"&amp;Q175&amp;"|ALL",V8_COHORT_TABLE,4,FALSE),IFERROR(VLOOKUP(P175&amp;"|ALL|ALL",V8_COHORT_TABLE,4,FALSE),VLOOKUP("GLOBAL",V8_COHORT_TABLE,4,FALSE))))</f>
        <v/>
      </c>
      <c r="Y175" s="15">
        <f>IFERROR(VLOOKUP(S175,V8_COHORT_TABLE,5,FALSE),IFERROR(VLOOKUP(P175&amp;"|"&amp;Q175&amp;"|ALL",V8_COHORT_TABLE,5,FALSE),IFERROR(VLOOKUP(P175&amp;"|ALL|ALL",V8_COHORT_TABLE,5,FALSE),VLOOKUP("GLOBAL",V8_COHORT_TABLE,5,FALSE))))</f>
        <v/>
      </c>
      <c r="Z175" s="15">
        <f>V175+W175/(1+EXP(-(U175-X175)/Y175))</f>
        <v/>
      </c>
      <c r="AA175" s="16">
        <f>1-(1-Z175)^12</f>
        <v/>
      </c>
      <c r="AB175" s="14">
        <f>IF(K175&lt;=V8_AGE_KNOT_X_0,V8_AGE_KNOT_Y_0,IF(K175&gt;=V8_AGE_KNOT_X_5,V8_AGE_KNOT_Y_5,IF(K175&lt;=V8_AGE_KNOT_X_1,V8_AGE_KNOT_Y_0+(K175-V8_AGE_KNOT_X_0)/(V8_AGE_KNOT_X_1-V8_AGE_KNOT_X_0)*(V8_AGE_KNOT_Y_1-V8_AGE_KNOT_Y_0),IF(K175&lt;=V8_AGE_KNOT_X_2,V8_AGE_KNOT_Y_1+(K175-V8_AGE_KNOT_X_1)/(V8_AGE_KNOT_X_2-V8_AGE_KNOT_X_1)*(V8_AGE_KNOT_Y_2-V8_AGE_KNOT_Y_1),IF(K175&lt;=V8_AGE_KNOT_X_3,V8_AGE_KNOT_Y_2+(K175-V8_AGE_KNOT_X_2)/(V8_AGE_KNOT_X_3-V8_AGE_KNOT_X_2)*(V8_AGE_KNOT_Y_3-V8_AGE_KNOT_Y_2),IF(K175&lt;=V8_AGE_KNOT_X_4,V8_AGE_KNOT_Y_3+(K175-V8_AGE_KNOT_X_3)/(V8_AGE_KNOT_X_4-V8_AGE_KNOT_X_3)*(V8_AGE_KNOT_Y_4-V8_AGE_KNOT_Y_3),V8_AGE_KNOT_Y_4+(K175-V8_AGE_KNOT_X_4)/(V8_AGE_KNOT_X_5-V8_AGE_KNOT_X_4)*(V8_AGE_KNOT_Y_5-V8_AGE_KNOT_Y_4)))))))</f>
        <v/>
      </c>
      <c r="AC175" s="14">
        <f>IF(IF(OR(L175="",NOT(ISNUMBER(L175))),360,MAX(0,MIN(480,(INT(L175/100)-INT(VALUE(F175)/100))*12+MOD(L175,100)-MOD(VALUE(F175),100))))&gt;0,1+V8_MTY_AMP*MAX(0,(V8_MTY_CUTOFF-(IF(OR(L175="",NOT(ISNUMBER(L175))),360,MAX(0,MIN(480,(INT(L175/100)-INT(VALUE(F175)/100))*12+MOD(L175,100)-MOD(VALUE(F175),100))))))/V8_MTY_CUTOFF),1)</f>
        <v/>
      </c>
      <c r="AD175" s="14">
        <f>IF(AND(IF(OR(M175="",NOT(ISNUMBER(M175))),0,MAX(0,MIN(24,(INT(VALUE(F175)/100)-INT(M175/100))*12+MOD(VALUE(F175),100)-MOD(M175,100))))&gt;0,IF(OR(M175="",NOT(ISNUMBER(M175))),0,MAX(0,MIN(24,(INT(VALUE(F175)/100)-INT(M175/100))*12+MOD(VALUE(F175),100)-MOD(M175,100))))&lt;=12),1+V8_LOCKOUT_AMP*EXP(-(IF(OR(M175="",NOT(ISNUMBER(M175))),0,MAX(0,MIN(24,(INT(VALUE(F175)/100)-INT(M175/100))*12+MOD(VALUE(F175),100)-MOD(M175,100)))))/V8_LOCKOUT_TAU),1)</f>
        <v/>
      </c>
      <c r="AE175" s="14">
        <f>MAX(V8_BURN_FLOOR,1-V8_BURN_SLOPE*MIN(1,MAX(0,O175)))</f>
        <v/>
      </c>
      <c r="AF175" s="15">
        <f>MIN(Z175*AB175*AC175*AD175*AE175,0.2)</f>
        <v/>
      </c>
      <c r="AG175" s="16">
        <f>1-(1-AF175)^12</f>
        <v/>
      </c>
    </row>
    <row r="176">
      <c r="A176" s="2" t="inlineStr">
        <is>
          <t>000005235605</t>
        </is>
      </c>
      <c r="B176" t="inlineStr">
        <is>
          <t>221d4</t>
        </is>
      </c>
      <c r="C176" t="inlineStr">
        <is>
          <t>RP</t>
        </is>
      </c>
      <c r="D176" t="inlineStr">
        <is>
          <t>WELLS FARGO BANK, N.A.</t>
        </is>
      </c>
      <c r="E176" t="n">
        <v>2003</v>
      </c>
      <c r="F176" t="inlineStr">
        <is>
          <t>202602</t>
        </is>
      </c>
      <c r="G176" s="8" t="n">
        <v>436898.39</v>
      </c>
      <c r="H176" s="12" t="n">
        <v>2.3</v>
      </c>
      <c r="I176" s="13" t="n">
        <v>447</v>
      </c>
      <c r="J176" s="13" t="n">
        <v>5</v>
      </c>
      <c r="K176" t="n">
        <v>269</v>
      </c>
      <c r="L176" t="n">
        <v>203310</v>
      </c>
      <c r="M176" t="inlineStr"/>
      <c r="N176" t="n">
        <v>0</v>
      </c>
      <c r="O176" s="14" t="n">
        <v>0</v>
      </c>
      <c r="P176">
        <f>IF(ISNUMBER(SEARCH("232",B176)),"232",IF(ISNUMBER(SEARCH("538",B176)),"538",IF(ISNUMBER(SEARCH("223a7",B176)),"223a7",IF(ISNUMBER(SEARCH("223f",B176)),"223f","OTHER"))))</f>
        <v/>
      </c>
      <c r="Q176">
        <f>IF(UPPER(C176)="NC","NC","RP")</f>
        <v/>
      </c>
      <c r="R176">
        <f>IF(G176&lt;5000000,"small",IF(G176&lt;25000000,"medium","large"))</f>
        <v/>
      </c>
      <c r="S176">
        <f>P176&amp;"|"&amp;Q176&amp;"|"&amp;R176</f>
        <v/>
      </c>
      <c r="T176" s="13">
        <f>H176*100-I176</f>
        <v/>
      </c>
      <c r="U176" s="13">
        <f>T176-12.5*(J176+1)</f>
        <v/>
      </c>
      <c r="V176" s="15">
        <f>IFERROR(VLOOKUP(S176,V8_COHORT_TABLE,2,FALSE),IFERROR(VLOOKUP(P176&amp;"|"&amp;Q176&amp;"|ALL",V8_COHORT_TABLE,2,FALSE),IFERROR(VLOOKUP(P176&amp;"|ALL|ALL",V8_COHORT_TABLE,2,FALSE),VLOOKUP("GLOBAL",V8_COHORT_TABLE,2,FALSE))))</f>
        <v/>
      </c>
      <c r="W176" s="15">
        <f>IFERROR(VLOOKUP(S176,V8_COHORT_TABLE,3,FALSE),IFERROR(VLOOKUP(P176&amp;"|"&amp;Q176&amp;"|ALL",V8_COHORT_TABLE,3,FALSE),IFERROR(VLOOKUP(P176&amp;"|ALL|ALL",V8_COHORT_TABLE,3,FALSE),VLOOKUP("GLOBAL",V8_COHORT_TABLE,3,FALSE))))</f>
        <v/>
      </c>
      <c r="X176" s="15">
        <f>IFERROR(VLOOKUP(S176,V8_COHORT_TABLE,4,FALSE),IFERROR(VLOOKUP(P176&amp;"|"&amp;Q176&amp;"|ALL",V8_COHORT_TABLE,4,FALSE),IFERROR(VLOOKUP(P176&amp;"|ALL|ALL",V8_COHORT_TABLE,4,FALSE),VLOOKUP("GLOBAL",V8_COHORT_TABLE,4,FALSE))))</f>
        <v/>
      </c>
      <c r="Y176" s="15">
        <f>IFERROR(VLOOKUP(S176,V8_COHORT_TABLE,5,FALSE),IFERROR(VLOOKUP(P176&amp;"|"&amp;Q176&amp;"|ALL",V8_COHORT_TABLE,5,FALSE),IFERROR(VLOOKUP(P176&amp;"|ALL|ALL",V8_COHORT_TABLE,5,FALSE),VLOOKUP("GLOBAL",V8_COHORT_TABLE,5,FALSE))))</f>
        <v/>
      </c>
      <c r="Z176" s="15">
        <f>V176+W176/(1+EXP(-(U176-X176)/Y176))</f>
        <v/>
      </c>
      <c r="AA176" s="16">
        <f>1-(1-Z176)^12</f>
        <v/>
      </c>
      <c r="AB176" s="14">
        <f>IF(K176&lt;=V8_AGE_KNOT_X_0,V8_AGE_KNOT_Y_0,IF(K176&gt;=V8_AGE_KNOT_X_5,V8_AGE_KNOT_Y_5,IF(K176&lt;=V8_AGE_KNOT_X_1,V8_AGE_KNOT_Y_0+(K176-V8_AGE_KNOT_X_0)/(V8_AGE_KNOT_X_1-V8_AGE_KNOT_X_0)*(V8_AGE_KNOT_Y_1-V8_AGE_KNOT_Y_0),IF(K176&lt;=V8_AGE_KNOT_X_2,V8_AGE_KNOT_Y_1+(K176-V8_AGE_KNOT_X_1)/(V8_AGE_KNOT_X_2-V8_AGE_KNOT_X_1)*(V8_AGE_KNOT_Y_2-V8_AGE_KNOT_Y_1),IF(K176&lt;=V8_AGE_KNOT_X_3,V8_AGE_KNOT_Y_2+(K176-V8_AGE_KNOT_X_2)/(V8_AGE_KNOT_X_3-V8_AGE_KNOT_X_2)*(V8_AGE_KNOT_Y_3-V8_AGE_KNOT_Y_2),IF(K176&lt;=V8_AGE_KNOT_X_4,V8_AGE_KNOT_Y_3+(K176-V8_AGE_KNOT_X_3)/(V8_AGE_KNOT_X_4-V8_AGE_KNOT_X_3)*(V8_AGE_KNOT_Y_4-V8_AGE_KNOT_Y_3),V8_AGE_KNOT_Y_4+(K176-V8_AGE_KNOT_X_4)/(V8_AGE_KNOT_X_5-V8_AGE_KNOT_X_4)*(V8_AGE_KNOT_Y_5-V8_AGE_KNOT_Y_4)))))))</f>
        <v/>
      </c>
      <c r="AC176" s="14">
        <f>IF(IF(OR(L176="",NOT(ISNUMBER(L176))),360,MAX(0,MIN(480,(INT(L176/100)-INT(VALUE(F176)/100))*12+MOD(L176,100)-MOD(VALUE(F176),100))))&gt;0,1+V8_MTY_AMP*MAX(0,(V8_MTY_CUTOFF-(IF(OR(L176="",NOT(ISNUMBER(L176))),360,MAX(0,MIN(480,(INT(L176/100)-INT(VALUE(F176)/100))*12+MOD(L176,100)-MOD(VALUE(F176),100))))))/V8_MTY_CUTOFF),1)</f>
        <v/>
      </c>
      <c r="AD176" s="14">
        <f>IF(AND(IF(OR(M176="",NOT(ISNUMBER(M176))),0,MAX(0,MIN(24,(INT(VALUE(F176)/100)-INT(M176/100))*12+MOD(VALUE(F176),100)-MOD(M176,100))))&gt;0,IF(OR(M176="",NOT(ISNUMBER(M176))),0,MAX(0,MIN(24,(INT(VALUE(F176)/100)-INT(M176/100))*12+MOD(VALUE(F176),100)-MOD(M176,100))))&lt;=12),1+V8_LOCKOUT_AMP*EXP(-(IF(OR(M176="",NOT(ISNUMBER(M176))),0,MAX(0,MIN(24,(INT(VALUE(F176)/100)-INT(M176/100))*12+MOD(VALUE(F176),100)-MOD(M176,100)))))/V8_LOCKOUT_TAU),1)</f>
        <v/>
      </c>
      <c r="AE176" s="14">
        <f>MAX(V8_BURN_FLOOR,1-V8_BURN_SLOPE*MIN(1,MAX(0,O176)))</f>
        <v/>
      </c>
      <c r="AF176" s="15">
        <f>MIN(Z176*AB176*AC176*AD176*AE176,0.2)</f>
        <v/>
      </c>
      <c r="AG176" s="16">
        <f>1-(1-AF176)^12</f>
        <v/>
      </c>
    </row>
    <row r="177">
      <c r="A177" s="2" t="inlineStr">
        <is>
          <t>000011522381</t>
        </is>
      </c>
      <c r="B177" t="inlineStr">
        <is>
          <t>232</t>
        </is>
      </c>
      <c r="C177" t="inlineStr">
        <is>
          <t>RP</t>
        </is>
      </c>
      <c r="D177" t="inlineStr">
        <is>
          <t>CAPITAL FUNDING,LLC.</t>
        </is>
      </c>
      <c r="E177" t="n">
        <v>2025</v>
      </c>
      <c r="F177" t="inlineStr">
        <is>
          <t>202602</t>
        </is>
      </c>
      <c r="G177" s="8" t="n">
        <v>7329877.03</v>
      </c>
      <c r="H177" s="12" t="n">
        <v>5.53</v>
      </c>
      <c r="I177" s="13" t="n">
        <v>447</v>
      </c>
      <c r="J177" s="13" t="n">
        <v>10</v>
      </c>
      <c r="K177" t="n">
        <v>4</v>
      </c>
      <c r="L177" t="n">
        <v>205511</v>
      </c>
      <c r="M177" t="inlineStr"/>
      <c r="N177" t="n">
        <v>0</v>
      </c>
      <c r="O177" s="14" t="n">
        <v>0</v>
      </c>
      <c r="P177">
        <f>IF(ISNUMBER(SEARCH("232",B177)),"232",IF(ISNUMBER(SEARCH("538",B177)),"538",IF(ISNUMBER(SEARCH("223a7",B177)),"223a7",IF(ISNUMBER(SEARCH("223f",B177)),"223f","OTHER"))))</f>
        <v/>
      </c>
      <c r="Q177">
        <f>IF(UPPER(C177)="NC","NC","RP")</f>
        <v/>
      </c>
      <c r="R177">
        <f>IF(G177&lt;5000000,"small",IF(G177&lt;25000000,"medium","large"))</f>
        <v/>
      </c>
      <c r="S177">
        <f>P177&amp;"|"&amp;Q177&amp;"|"&amp;R177</f>
        <v/>
      </c>
      <c r="T177" s="13">
        <f>H177*100-I177</f>
        <v/>
      </c>
      <c r="U177" s="13">
        <f>T177-12.5*(J177+1)</f>
        <v/>
      </c>
      <c r="V177" s="15">
        <f>IFERROR(VLOOKUP(S177,V8_COHORT_TABLE,2,FALSE),IFERROR(VLOOKUP(P177&amp;"|"&amp;Q177&amp;"|ALL",V8_COHORT_TABLE,2,FALSE),IFERROR(VLOOKUP(P177&amp;"|ALL|ALL",V8_COHORT_TABLE,2,FALSE),VLOOKUP("GLOBAL",V8_COHORT_TABLE,2,FALSE))))</f>
        <v/>
      </c>
      <c r="W177" s="15">
        <f>IFERROR(VLOOKUP(S177,V8_COHORT_TABLE,3,FALSE),IFERROR(VLOOKUP(P177&amp;"|"&amp;Q177&amp;"|ALL",V8_COHORT_TABLE,3,FALSE),IFERROR(VLOOKUP(P177&amp;"|ALL|ALL",V8_COHORT_TABLE,3,FALSE),VLOOKUP("GLOBAL",V8_COHORT_TABLE,3,FALSE))))</f>
        <v/>
      </c>
      <c r="X177" s="15">
        <f>IFERROR(VLOOKUP(S177,V8_COHORT_TABLE,4,FALSE),IFERROR(VLOOKUP(P177&amp;"|"&amp;Q177&amp;"|ALL",V8_COHORT_TABLE,4,FALSE),IFERROR(VLOOKUP(P177&amp;"|ALL|ALL",V8_COHORT_TABLE,4,FALSE),VLOOKUP("GLOBAL",V8_COHORT_TABLE,4,FALSE))))</f>
        <v/>
      </c>
      <c r="Y177" s="15">
        <f>IFERROR(VLOOKUP(S177,V8_COHORT_TABLE,5,FALSE),IFERROR(VLOOKUP(P177&amp;"|"&amp;Q177&amp;"|ALL",V8_COHORT_TABLE,5,FALSE),IFERROR(VLOOKUP(P177&amp;"|ALL|ALL",V8_COHORT_TABLE,5,FALSE),VLOOKUP("GLOBAL",V8_COHORT_TABLE,5,FALSE))))</f>
        <v/>
      </c>
      <c r="Z177" s="15">
        <f>V177+W177/(1+EXP(-(U177-X177)/Y177))</f>
        <v/>
      </c>
      <c r="AA177" s="16">
        <f>1-(1-Z177)^12</f>
        <v/>
      </c>
      <c r="AB177" s="14">
        <f>IF(K177&lt;=V8_AGE_KNOT_X_0,V8_AGE_KNOT_Y_0,IF(K177&gt;=V8_AGE_KNOT_X_5,V8_AGE_KNOT_Y_5,IF(K177&lt;=V8_AGE_KNOT_X_1,V8_AGE_KNOT_Y_0+(K177-V8_AGE_KNOT_X_0)/(V8_AGE_KNOT_X_1-V8_AGE_KNOT_X_0)*(V8_AGE_KNOT_Y_1-V8_AGE_KNOT_Y_0),IF(K177&lt;=V8_AGE_KNOT_X_2,V8_AGE_KNOT_Y_1+(K177-V8_AGE_KNOT_X_1)/(V8_AGE_KNOT_X_2-V8_AGE_KNOT_X_1)*(V8_AGE_KNOT_Y_2-V8_AGE_KNOT_Y_1),IF(K177&lt;=V8_AGE_KNOT_X_3,V8_AGE_KNOT_Y_2+(K177-V8_AGE_KNOT_X_2)/(V8_AGE_KNOT_X_3-V8_AGE_KNOT_X_2)*(V8_AGE_KNOT_Y_3-V8_AGE_KNOT_Y_2),IF(K177&lt;=V8_AGE_KNOT_X_4,V8_AGE_KNOT_Y_3+(K177-V8_AGE_KNOT_X_3)/(V8_AGE_KNOT_X_4-V8_AGE_KNOT_X_3)*(V8_AGE_KNOT_Y_4-V8_AGE_KNOT_Y_3),V8_AGE_KNOT_Y_4+(K177-V8_AGE_KNOT_X_4)/(V8_AGE_KNOT_X_5-V8_AGE_KNOT_X_4)*(V8_AGE_KNOT_Y_5-V8_AGE_KNOT_Y_4)))))))</f>
        <v/>
      </c>
      <c r="AC177" s="14">
        <f>IF(IF(OR(L177="",NOT(ISNUMBER(L177))),360,MAX(0,MIN(480,(INT(L177/100)-INT(VALUE(F177)/100))*12+MOD(L177,100)-MOD(VALUE(F177),100))))&gt;0,1+V8_MTY_AMP*MAX(0,(V8_MTY_CUTOFF-(IF(OR(L177="",NOT(ISNUMBER(L177))),360,MAX(0,MIN(480,(INT(L177/100)-INT(VALUE(F177)/100))*12+MOD(L177,100)-MOD(VALUE(F177),100))))))/V8_MTY_CUTOFF),1)</f>
        <v/>
      </c>
      <c r="AD177" s="14">
        <f>IF(AND(IF(OR(M177="",NOT(ISNUMBER(M177))),0,MAX(0,MIN(24,(INT(VALUE(F177)/100)-INT(M177/100))*12+MOD(VALUE(F177),100)-MOD(M177,100))))&gt;0,IF(OR(M177="",NOT(ISNUMBER(M177))),0,MAX(0,MIN(24,(INT(VALUE(F177)/100)-INT(M177/100))*12+MOD(VALUE(F177),100)-MOD(M177,100))))&lt;=12),1+V8_LOCKOUT_AMP*EXP(-(IF(OR(M177="",NOT(ISNUMBER(M177))),0,MAX(0,MIN(24,(INT(VALUE(F177)/100)-INT(M177/100))*12+MOD(VALUE(F177),100)-MOD(M177,100)))))/V8_LOCKOUT_TAU),1)</f>
        <v/>
      </c>
      <c r="AE177" s="14">
        <f>MAX(V8_BURN_FLOOR,1-V8_BURN_SLOPE*MIN(1,MAX(0,O177)))</f>
        <v/>
      </c>
      <c r="AF177" s="15">
        <f>MIN(Z177*AB177*AC177*AD177*AE177,0.2)</f>
        <v/>
      </c>
      <c r="AG177" s="16">
        <f>1-(1-AF177)^12</f>
        <v/>
      </c>
    </row>
    <row r="178">
      <c r="A178" s="2" t="inlineStr">
        <is>
          <t>000001722122</t>
        </is>
      </c>
      <c r="B178" t="inlineStr">
        <is>
          <t>232</t>
        </is>
      </c>
      <c r="C178" t="inlineStr">
        <is>
          <t>RP</t>
        </is>
      </c>
      <c r="D178" t="inlineStr">
        <is>
          <t>CAPITAL FUNDING,LLC.</t>
        </is>
      </c>
      <c r="E178" t="n">
        <v>2018</v>
      </c>
      <c r="F178" t="inlineStr">
        <is>
          <t>202602</t>
        </is>
      </c>
      <c r="G178" s="8" t="n">
        <v>18578966.2</v>
      </c>
      <c r="H178" s="12" t="n">
        <v>3.75</v>
      </c>
      <c r="I178" s="13" t="n">
        <v>447</v>
      </c>
      <c r="J178" s="13" t="n">
        <v>3</v>
      </c>
      <c r="K178" t="n">
        <v>94</v>
      </c>
      <c r="L178" t="n">
        <v>205105</v>
      </c>
      <c r="M178" t="inlineStr"/>
      <c r="N178" t="n">
        <v>29</v>
      </c>
      <c r="O178" s="14" t="n">
        <v>0.3085106382978723</v>
      </c>
      <c r="P178">
        <f>IF(ISNUMBER(SEARCH("232",B178)),"232",IF(ISNUMBER(SEARCH("538",B178)),"538",IF(ISNUMBER(SEARCH("223a7",B178)),"223a7",IF(ISNUMBER(SEARCH("223f",B178)),"223f","OTHER"))))</f>
        <v/>
      </c>
      <c r="Q178">
        <f>IF(UPPER(C178)="NC","NC","RP")</f>
        <v/>
      </c>
      <c r="R178">
        <f>IF(G178&lt;5000000,"small",IF(G178&lt;25000000,"medium","large"))</f>
        <v/>
      </c>
      <c r="S178">
        <f>P178&amp;"|"&amp;Q178&amp;"|"&amp;R178</f>
        <v/>
      </c>
      <c r="T178" s="13">
        <f>H178*100-I178</f>
        <v/>
      </c>
      <c r="U178" s="13">
        <f>T178-12.5*(J178+1)</f>
        <v/>
      </c>
      <c r="V178" s="15">
        <f>IFERROR(VLOOKUP(S178,V8_COHORT_TABLE,2,FALSE),IFERROR(VLOOKUP(P178&amp;"|"&amp;Q178&amp;"|ALL",V8_COHORT_TABLE,2,FALSE),IFERROR(VLOOKUP(P178&amp;"|ALL|ALL",V8_COHORT_TABLE,2,FALSE),VLOOKUP("GLOBAL",V8_COHORT_TABLE,2,FALSE))))</f>
        <v/>
      </c>
      <c r="W178" s="15">
        <f>IFERROR(VLOOKUP(S178,V8_COHORT_TABLE,3,FALSE),IFERROR(VLOOKUP(P178&amp;"|"&amp;Q178&amp;"|ALL",V8_COHORT_TABLE,3,FALSE),IFERROR(VLOOKUP(P178&amp;"|ALL|ALL",V8_COHORT_TABLE,3,FALSE),VLOOKUP("GLOBAL",V8_COHORT_TABLE,3,FALSE))))</f>
        <v/>
      </c>
      <c r="X178" s="15">
        <f>IFERROR(VLOOKUP(S178,V8_COHORT_TABLE,4,FALSE),IFERROR(VLOOKUP(P178&amp;"|"&amp;Q178&amp;"|ALL",V8_COHORT_TABLE,4,FALSE),IFERROR(VLOOKUP(P178&amp;"|ALL|ALL",V8_COHORT_TABLE,4,FALSE),VLOOKUP("GLOBAL",V8_COHORT_TABLE,4,FALSE))))</f>
        <v/>
      </c>
      <c r="Y178" s="15">
        <f>IFERROR(VLOOKUP(S178,V8_COHORT_TABLE,5,FALSE),IFERROR(VLOOKUP(P178&amp;"|"&amp;Q178&amp;"|ALL",V8_COHORT_TABLE,5,FALSE),IFERROR(VLOOKUP(P178&amp;"|ALL|ALL",V8_COHORT_TABLE,5,FALSE),VLOOKUP("GLOBAL",V8_COHORT_TABLE,5,FALSE))))</f>
        <v/>
      </c>
      <c r="Z178" s="15">
        <f>V178+W178/(1+EXP(-(U178-X178)/Y178))</f>
        <v/>
      </c>
      <c r="AA178" s="16">
        <f>1-(1-Z178)^12</f>
        <v/>
      </c>
      <c r="AB178" s="14">
        <f>IF(K178&lt;=V8_AGE_KNOT_X_0,V8_AGE_KNOT_Y_0,IF(K178&gt;=V8_AGE_KNOT_X_5,V8_AGE_KNOT_Y_5,IF(K178&lt;=V8_AGE_KNOT_X_1,V8_AGE_KNOT_Y_0+(K178-V8_AGE_KNOT_X_0)/(V8_AGE_KNOT_X_1-V8_AGE_KNOT_X_0)*(V8_AGE_KNOT_Y_1-V8_AGE_KNOT_Y_0),IF(K178&lt;=V8_AGE_KNOT_X_2,V8_AGE_KNOT_Y_1+(K178-V8_AGE_KNOT_X_1)/(V8_AGE_KNOT_X_2-V8_AGE_KNOT_X_1)*(V8_AGE_KNOT_Y_2-V8_AGE_KNOT_Y_1),IF(K178&lt;=V8_AGE_KNOT_X_3,V8_AGE_KNOT_Y_2+(K178-V8_AGE_KNOT_X_2)/(V8_AGE_KNOT_X_3-V8_AGE_KNOT_X_2)*(V8_AGE_KNOT_Y_3-V8_AGE_KNOT_Y_2),IF(K178&lt;=V8_AGE_KNOT_X_4,V8_AGE_KNOT_Y_3+(K178-V8_AGE_KNOT_X_3)/(V8_AGE_KNOT_X_4-V8_AGE_KNOT_X_3)*(V8_AGE_KNOT_Y_4-V8_AGE_KNOT_Y_3),V8_AGE_KNOT_Y_4+(K178-V8_AGE_KNOT_X_4)/(V8_AGE_KNOT_X_5-V8_AGE_KNOT_X_4)*(V8_AGE_KNOT_Y_5-V8_AGE_KNOT_Y_4)))))))</f>
        <v/>
      </c>
      <c r="AC178" s="14">
        <f>IF(IF(OR(L178="",NOT(ISNUMBER(L178))),360,MAX(0,MIN(480,(INT(L178/100)-INT(VALUE(F178)/100))*12+MOD(L178,100)-MOD(VALUE(F178),100))))&gt;0,1+V8_MTY_AMP*MAX(0,(V8_MTY_CUTOFF-(IF(OR(L178="",NOT(ISNUMBER(L178))),360,MAX(0,MIN(480,(INT(L178/100)-INT(VALUE(F178)/100))*12+MOD(L178,100)-MOD(VALUE(F178),100))))))/V8_MTY_CUTOFF),1)</f>
        <v/>
      </c>
      <c r="AD178" s="14">
        <f>IF(AND(IF(OR(M178="",NOT(ISNUMBER(M178))),0,MAX(0,MIN(24,(INT(VALUE(F178)/100)-INT(M178/100))*12+MOD(VALUE(F178),100)-MOD(M178,100))))&gt;0,IF(OR(M178="",NOT(ISNUMBER(M178))),0,MAX(0,MIN(24,(INT(VALUE(F178)/100)-INT(M178/100))*12+MOD(VALUE(F178),100)-MOD(M178,100))))&lt;=12),1+V8_LOCKOUT_AMP*EXP(-(IF(OR(M178="",NOT(ISNUMBER(M178))),0,MAX(0,MIN(24,(INT(VALUE(F178)/100)-INT(M178/100))*12+MOD(VALUE(F178),100)-MOD(M178,100)))))/V8_LOCKOUT_TAU),1)</f>
        <v/>
      </c>
      <c r="AE178" s="14">
        <f>MAX(V8_BURN_FLOOR,1-V8_BURN_SLOPE*MIN(1,MAX(0,O178)))</f>
        <v/>
      </c>
      <c r="AF178" s="15">
        <f>MIN(Z178*AB178*AC178*AD178*AE178,0.2)</f>
        <v/>
      </c>
      <c r="AG178" s="16">
        <f>1-(1-AF178)^12</f>
        <v/>
      </c>
    </row>
    <row r="179">
      <c r="A179" s="2" t="inlineStr">
        <is>
          <t>000010122136</t>
        </is>
      </c>
      <c r="B179" t="inlineStr">
        <is>
          <t>232</t>
        </is>
      </c>
      <c r="C179" t="inlineStr">
        <is>
          <t>RP</t>
        </is>
      </c>
      <c r="D179" t="inlineStr">
        <is>
          <t>CAPITAL FUNDING,LLC.</t>
        </is>
      </c>
      <c r="E179" t="n">
        <v>2018</v>
      </c>
      <c r="F179" t="inlineStr">
        <is>
          <t>202602</t>
        </is>
      </c>
      <c r="G179" s="8" t="n">
        <v>11738844.66</v>
      </c>
      <c r="H179" s="12" t="n">
        <v>3.05</v>
      </c>
      <c r="I179" s="13" t="n">
        <v>447</v>
      </c>
      <c r="J179" s="13" t="n">
        <v>6</v>
      </c>
      <c r="K179" t="n">
        <v>90</v>
      </c>
      <c r="L179" t="n">
        <v>205309</v>
      </c>
      <c r="M179" t="inlineStr"/>
      <c r="N179" t="n">
        <v>2</v>
      </c>
      <c r="O179" s="14" t="n">
        <v>0.02222222222222222</v>
      </c>
      <c r="P179">
        <f>IF(ISNUMBER(SEARCH("232",B179)),"232",IF(ISNUMBER(SEARCH("538",B179)),"538",IF(ISNUMBER(SEARCH("223a7",B179)),"223a7",IF(ISNUMBER(SEARCH("223f",B179)),"223f","OTHER"))))</f>
        <v/>
      </c>
      <c r="Q179">
        <f>IF(UPPER(C179)="NC","NC","RP")</f>
        <v/>
      </c>
      <c r="R179">
        <f>IF(G179&lt;5000000,"small",IF(G179&lt;25000000,"medium","large"))</f>
        <v/>
      </c>
      <c r="S179">
        <f>P179&amp;"|"&amp;Q179&amp;"|"&amp;R179</f>
        <v/>
      </c>
      <c r="T179" s="13">
        <f>H179*100-I179</f>
        <v/>
      </c>
      <c r="U179" s="13">
        <f>T179-12.5*(J179+1)</f>
        <v/>
      </c>
      <c r="V179" s="15">
        <f>IFERROR(VLOOKUP(S179,V8_COHORT_TABLE,2,FALSE),IFERROR(VLOOKUP(P179&amp;"|"&amp;Q179&amp;"|ALL",V8_COHORT_TABLE,2,FALSE),IFERROR(VLOOKUP(P179&amp;"|ALL|ALL",V8_COHORT_TABLE,2,FALSE),VLOOKUP("GLOBAL",V8_COHORT_TABLE,2,FALSE))))</f>
        <v/>
      </c>
      <c r="W179" s="15">
        <f>IFERROR(VLOOKUP(S179,V8_COHORT_TABLE,3,FALSE),IFERROR(VLOOKUP(P179&amp;"|"&amp;Q179&amp;"|ALL",V8_COHORT_TABLE,3,FALSE),IFERROR(VLOOKUP(P179&amp;"|ALL|ALL",V8_COHORT_TABLE,3,FALSE),VLOOKUP("GLOBAL",V8_COHORT_TABLE,3,FALSE))))</f>
        <v/>
      </c>
      <c r="X179" s="15">
        <f>IFERROR(VLOOKUP(S179,V8_COHORT_TABLE,4,FALSE),IFERROR(VLOOKUP(P179&amp;"|"&amp;Q179&amp;"|ALL",V8_COHORT_TABLE,4,FALSE),IFERROR(VLOOKUP(P179&amp;"|ALL|ALL",V8_COHORT_TABLE,4,FALSE),VLOOKUP("GLOBAL",V8_COHORT_TABLE,4,FALSE))))</f>
        <v/>
      </c>
      <c r="Y179" s="15">
        <f>IFERROR(VLOOKUP(S179,V8_COHORT_TABLE,5,FALSE),IFERROR(VLOOKUP(P179&amp;"|"&amp;Q179&amp;"|ALL",V8_COHORT_TABLE,5,FALSE),IFERROR(VLOOKUP(P179&amp;"|ALL|ALL",V8_COHORT_TABLE,5,FALSE),VLOOKUP("GLOBAL",V8_COHORT_TABLE,5,FALSE))))</f>
        <v/>
      </c>
      <c r="Z179" s="15">
        <f>V179+W179/(1+EXP(-(U179-X179)/Y179))</f>
        <v/>
      </c>
      <c r="AA179" s="16">
        <f>1-(1-Z179)^12</f>
        <v/>
      </c>
      <c r="AB179" s="14">
        <f>IF(K179&lt;=V8_AGE_KNOT_X_0,V8_AGE_KNOT_Y_0,IF(K179&gt;=V8_AGE_KNOT_X_5,V8_AGE_KNOT_Y_5,IF(K179&lt;=V8_AGE_KNOT_X_1,V8_AGE_KNOT_Y_0+(K179-V8_AGE_KNOT_X_0)/(V8_AGE_KNOT_X_1-V8_AGE_KNOT_X_0)*(V8_AGE_KNOT_Y_1-V8_AGE_KNOT_Y_0),IF(K179&lt;=V8_AGE_KNOT_X_2,V8_AGE_KNOT_Y_1+(K179-V8_AGE_KNOT_X_1)/(V8_AGE_KNOT_X_2-V8_AGE_KNOT_X_1)*(V8_AGE_KNOT_Y_2-V8_AGE_KNOT_Y_1),IF(K179&lt;=V8_AGE_KNOT_X_3,V8_AGE_KNOT_Y_2+(K179-V8_AGE_KNOT_X_2)/(V8_AGE_KNOT_X_3-V8_AGE_KNOT_X_2)*(V8_AGE_KNOT_Y_3-V8_AGE_KNOT_Y_2),IF(K179&lt;=V8_AGE_KNOT_X_4,V8_AGE_KNOT_Y_3+(K179-V8_AGE_KNOT_X_3)/(V8_AGE_KNOT_X_4-V8_AGE_KNOT_X_3)*(V8_AGE_KNOT_Y_4-V8_AGE_KNOT_Y_3),V8_AGE_KNOT_Y_4+(K179-V8_AGE_KNOT_X_4)/(V8_AGE_KNOT_X_5-V8_AGE_KNOT_X_4)*(V8_AGE_KNOT_Y_5-V8_AGE_KNOT_Y_4)))))))</f>
        <v/>
      </c>
      <c r="AC179" s="14">
        <f>IF(IF(OR(L179="",NOT(ISNUMBER(L179))),360,MAX(0,MIN(480,(INT(L179/100)-INT(VALUE(F179)/100))*12+MOD(L179,100)-MOD(VALUE(F179),100))))&gt;0,1+V8_MTY_AMP*MAX(0,(V8_MTY_CUTOFF-(IF(OR(L179="",NOT(ISNUMBER(L179))),360,MAX(0,MIN(480,(INT(L179/100)-INT(VALUE(F179)/100))*12+MOD(L179,100)-MOD(VALUE(F179),100))))))/V8_MTY_CUTOFF),1)</f>
        <v/>
      </c>
      <c r="AD179" s="14">
        <f>IF(AND(IF(OR(M179="",NOT(ISNUMBER(M179))),0,MAX(0,MIN(24,(INT(VALUE(F179)/100)-INT(M179/100))*12+MOD(VALUE(F179),100)-MOD(M179,100))))&gt;0,IF(OR(M179="",NOT(ISNUMBER(M179))),0,MAX(0,MIN(24,(INT(VALUE(F179)/100)-INT(M179/100))*12+MOD(VALUE(F179),100)-MOD(M179,100))))&lt;=12),1+V8_LOCKOUT_AMP*EXP(-(IF(OR(M179="",NOT(ISNUMBER(M179))),0,MAX(0,MIN(24,(INT(VALUE(F179)/100)-INT(M179/100))*12+MOD(VALUE(F179),100)-MOD(M179,100)))))/V8_LOCKOUT_TAU),1)</f>
        <v/>
      </c>
      <c r="AE179" s="14">
        <f>MAX(V8_BURN_FLOOR,1-V8_BURN_SLOPE*MIN(1,MAX(0,O179)))</f>
        <v/>
      </c>
      <c r="AF179" s="15">
        <f>MIN(Z179*AB179*AC179*AD179*AE179,0.2)</f>
        <v/>
      </c>
      <c r="AG179" s="16">
        <f>1-(1-AF179)^12</f>
        <v/>
      </c>
    </row>
    <row r="180">
      <c r="A180" s="2" t="inlineStr">
        <is>
          <t>000007222116</t>
        </is>
      </c>
      <c r="B180" t="inlineStr">
        <is>
          <t>232</t>
        </is>
      </c>
      <c r="C180" t="inlineStr">
        <is>
          <t>RP</t>
        </is>
      </c>
      <c r="D180" t="inlineStr">
        <is>
          <t>CAPITAL FUNDING,LLC.</t>
        </is>
      </c>
      <c r="E180" t="n">
        <v>2014</v>
      </c>
      <c r="F180" t="inlineStr">
        <is>
          <t>202602</t>
        </is>
      </c>
      <c r="G180" s="8" t="n">
        <v>4376116.94</v>
      </c>
      <c r="H180" s="12" t="n">
        <v>3.1</v>
      </c>
      <c r="I180" s="13" t="n">
        <v>447</v>
      </c>
      <c r="J180" s="13" t="n">
        <v>5</v>
      </c>
      <c r="K180" t="n">
        <v>135</v>
      </c>
      <c r="L180" t="n">
        <v>204704</v>
      </c>
      <c r="M180" t="inlineStr"/>
      <c r="N180" t="n">
        <v>12</v>
      </c>
      <c r="O180" s="14" t="n">
        <v>0.08888888888888889</v>
      </c>
      <c r="P180">
        <f>IF(ISNUMBER(SEARCH("232",B180)),"232",IF(ISNUMBER(SEARCH("538",B180)),"538",IF(ISNUMBER(SEARCH("223a7",B180)),"223a7",IF(ISNUMBER(SEARCH("223f",B180)),"223f","OTHER"))))</f>
        <v/>
      </c>
      <c r="Q180">
        <f>IF(UPPER(C180)="NC","NC","RP")</f>
        <v/>
      </c>
      <c r="R180">
        <f>IF(G180&lt;5000000,"small",IF(G180&lt;25000000,"medium","large"))</f>
        <v/>
      </c>
      <c r="S180">
        <f>P180&amp;"|"&amp;Q180&amp;"|"&amp;R180</f>
        <v/>
      </c>
      <c r="T180" s="13">
        <f>H180*100-I180</f>
        <v/>
      </c>
      <c r="U180" s="13">
        <f>T180-12.5*(J180+1)</f>
        <v/>
      </c>
      <c r="V180" s="15">
        <f>IFERROR(VLOOKUP(S180,V8_COHORT_TABLE,2,FALSE),IFERROR(VLOOKUP(P180&amp;"|"&amp;Q180&amp;"|ALL",V8_COHORT_TABLE,2,FALSE),IFERROR(VLOOKUP(P180&amp;"|ALL|ALL",V8_COHORT_TABLE,2,FALSE),VLOOKUP("GLOBAL",V8_COHORT_TABLE,2,FALSE))))</f>
        <v/>
      </c>
      <c r="W180" s="15">
        <f>IFERROR(VLOOKUP(S180,V8_COHORT_TABLE,3,FALSE),IFERROR(VLOOKUP(P180&amp;"|"&amp;Q180&amp;"|ALL",V8_COHORT_TABLE,3,FALSE),IFERROR(VLOOKUP(P180&amp;"|ALL|ALL",V8_COHORT_TABLE,3,FALSE),VLOOKUP("GLOBAL",V8_COHORT_TABLE,3,FALSE))))</f>
        <v/>
      </c>
      <c r="X180" s="15">
        <f>IFERROR(VLOOKUP(S180,V8_COHORT_TABLE,4,FALSE),IFERROR(VLOOKUP(P180&amp;"|"&amp;Q180&amp;"|ALL",V8_COHORT_TABLE,4,FALSE),IFERROR(VLOOKUP(P180&amp;"|ALL|ALL",V8_COHORT_TABLE,4,FALSE),VLOOKUP("GLOBAL",V8_COHORT_TABLE,4,FALSE))))</f>
        <v/>
      </c>
      <c r="Y180" s="15">
        <f>IFERROR(VLOOKUP(S180,V8_COHORT_TABLE,5,FALSE),IFERROR(VLOOKUP(P180&amp;"|"&amp;Q180&amp;"|ALL",V8_COHORT_TABLE,5,FALSE),IFERROR(VLOOKUP(P180&amp;"|ALL|ALL",V8_COHORT_TABLE,5,FALSE),VLOOKUP("GLOBAL",V8_COHORT_TABLE,5,FALSE))))</f>
        <v/>
      </c>
      <c r="Z180" s="15">
        <f>V180+W180/(1+EXP(-(U180-X180)/Y180))</f>
        <v/>
      </c>
      <c r="AA180" s="16">
        <f>1-(1-Z180)^12</f>
        <v/>
      </c>
      <c r="AB180" s="14">
        <f>IF(K180&lt;=V8_AGE_KNOT_X_0,V8_AGE_KNOT_Y_0,IF(K180&gt;=V8_AGE_KNOT_X_5,V8_AGE_KNOT_Y_5,IF(K180&lt;=V8_AGE_KNOT_X_1,V8_AGE_KNOT_Y_0+(K180-V8_AGE_KNOT_X_0)/(V8_AGE_KNOT_X_1-V8_AGE_KNOT_X_0)*(V8_AGE_KNOT_Y_1-V8_AGE_KNOT_Y_0),IF(K180&lt;=V8_AGE_KNOT_X_2,V8_AGE_KNOT_Y_1+(K180-V8_AGE_KNOT_X_1)/(V8_AGE_KNOT_X_2-V8_AGE_KNOT_X_1)*(V8_AGE_KNOT_Y_2-V8_AGE_KNOT_Y_1),IF(K180&lt;=V8_AGE_KNOT_X_3,V8_AGE_KNOT_Y_2+(K180-V8_AGE_KNOT_X_2)/(V8_AGE_KNOT_X_3-V8_AGE_KNOT_X_2)*(V8_AGE_KNOT_Y_3-V8_AGE_KNOT_Y_2),IF(K180&lt;=V8_AGE_KNOT_X_4,V8_AGE_KNOT_Y_3+(K180-V8_AGE_KNOT_X_3)/(V8_AGE_KNOT_X_4-V8_AGE_KNOT_X_3)*(V8_AGE_KNOT_Y_4-V8_AGE_KNOT_Y_3),V8_AGE_KNOT_Y_4+(K180-V8_AGE_KNOT_X_4)/(V8_AGE_KNOT_X_5-V8_AGE_KNOT_X_4)*(V8_AGE_KNOT_Y_5-V8_AGE_KNOT_Y_4)))))))</f>
        <v/>
      </c>
      <c r="AC180" s="14">
        <f>IF(IF(OR(L180="",NOT(ISNUMBER(L180))),360,MAX(0,MIN(480,(INT(L180/100)-INT(VALUE(F180)/100))*12+MOD(L180,100)-MOD(VALUE(F180),100))))&gt;0,1+V8_MTY_AMP*MAX(0,(V8_MTY_CUTOFF-(IF(OR(L180="",NOT(ISNUMBER(L180))),360,MAX(0,MIN(480,(INT(L180/100)-INT(VALUE(F180)/100))*12+MOD(L180,100)-MOD(VALUE(F180),100))))))/V8_MTY_CUTOFF),1)</f>
        <v/>
      </c>
      <c r="AD180" s="14">
        <f>IF(AND(IF(OR(M180="",NOT(ISNUMBER(M180))),0,MAX(0,MIN(24,(INT(VALUE(F180)/100)-INT(M180/100))*12+MOD(VALUE(F180),100)-MOD(M180,100))))&gt;0,IF(OR(M180="",NOT(ISNUMBER(M180))),0,MAX(0,MIN(24,(INT(VALUE(F180)/100)-INT(M180/100))*12+MOD(VALUE(F180),100)-MOD(M180,100))))&lt;=12),1+V8_LOCKOUT_AMP*EXP(-(IF(OR(M180="",NOT(ISNUMBER(M180))),0,MAX(0,MIN(24,(INT(VALUE(F180)/100)-INT(M180/100))*12+MOD(VALUE(F180),100)-MOD(M180,100)))))/V8_LOCKOUT_TAU),1)</f>
        <v/>
      </c>
      <c r="AE180" s="14">
        <f>MAX(V8_BURN_FLOOR,1-V8_BURN_SLOPE*MIN(1,MAX(0,O180)))</f>
        <v/>
      </c>
      <c r="AF180" s="15">
        <f>MIN(Z180*AB180*AC180*AD180*AE180,0.2)</f>
        <v/>
      </c>
      <c r="AG180" s="16">
        <f>1-(1-AF180)^12</f>
        <v/>
      </c>
    </row>
    <row r="181">
      <c r="A181" s="2" t="inlineStr">
        <is>
          <t>000012122227</t>
        </is>
      </c>
      <c r="B181" t="inlineStr">
        <is>
          <t>232</t>
        </is>
      </c>
      <c r="C181" t="inlineStr">
        <is>
          <t>RP</t>
        </is>
      </c>
      <c r="D181" t="inlineStr">
        <is>
          <t>CAPITAL FUNDING,LLC.</t>
        </is>
      </c>
      <c r="E181" t="n">
        <v>2021</v>
      </c>
      <c r="F181" t="inlineStr">
        <is>
          <t>202602</t>
        </is>
      </c>
      <c r="G181" s="8" t="n">
        <v>11745120.48</v>
      </c>
      <c r="H181" s="12" t="n">
        <v>2.44</v>
      </c>
      <c r="I181" s="13" t="n">
        <v>447</v>
      </c>
      <c r="J181" s="13" t="n">
        <v>6</v>
      </c>
      <c r="K181" t="n">
        <v>56</v>
      </c>
      <c r="L181" t="n">
        <v>205107</v>
      </c>
      <c r="M181" t="inlineStr"/>
      <c r="N181" t="n">
        <v>0</v>
      </c>
      <c r="O181" s="14" t="n">
        <v>0</v>
      </c>
      <c r="P181">
        <f>IF(ISNUMBER(SEARCH("232",B181)),"232",IF(ISNUMBER(SEARCH("538",B181)),"538",IF(ISNUMBER(SEARCH("223a7",B181)),"223a7",IF(ISNUMBER(SEARCH("223f",B181)),"223f","OTHER"))))</f>
        <v/>
      </c>
      <c r="Q181">
        <f>IF(UPPER(C181)="NC","NC","RP")</f>
        <v/>
      </c>
      <c r="R181">
        <f>IF(G181&lt;5000000,"small",IF(G181&lt;25000000,"medium","large"))</f>
        <v/>
      </c>
      <c r="S181">
        <f>P181&amp;"|"&amp;Q181&amp;"|"&amp;R181</f>
        <v/>
      </c>
      <c r="T181" s="13">
        <f>H181*100-I181</f>
        <v/>
      </c>
      <c r="U181" s="13">
        <f>T181-12.5*(J181+1)</f>
        <v/>
      </c>
      <c r="V181" s="15">
        <f>IFERROR(VLOOKUP(S181,V8_COHORT_TABLE,2,FALSE),IFERROR(VLOOKUP(P181&amp;"|"&amp;Q181&amp;"|ALL",V8_COHORT_TABLE,2,FALSE),IFERROR(VLOOKUP(P181&amp;"|ALL|ALL",V8_COHORT_TABLE,2,FALSE),VLOOKUP("GLOBAL",V8_COHORT_TABLE,2,FALSE))))</f>
        <v/>
      </c>
      <c r="W181" s="15">
        <f>IFERROR(VLOOKUP(S181,V8_COHORT_TABLE,3,FALSE),IFERROR(VLOOKUP(P181&amp;"|"&amp;Q181&amp;"|ALL",V8_COHORT_TABLE,3,FALSE),IFERROR(VLOOKUP(P181&amp;"|ALL|ALL",V8_COHORT_TABLE,3,FALSE),VLOOKUP("GLOBAL",V8_COHORT_TABLE,3,FALSE))))</f>
        <v/>
      </c>
      <c r="X181" s="15">
        <f>IFERROR(VLOOKUP(S181,V8_COHORT_TABLE,4,FALSE),IFERROR(VLOOKUP(P181&amp;"|"&amp;Q181&amp;"|ALL",V8_COHORT_TABLE,4,FALSE),IFERROR(VLOOKUP(P181&amp;"|ALL|ALL",V8_COHORT_TABLE,4,FALSE),VLOOKUP("GLOBAL",V8_COHORT_TABLE,4,FALSE))))</f>
        <v/>
      </c>
      <c r="Y181" s="15">
        <f>IFERROR(VLOOKUP(S181,V8_COHORT_TABLE,5,FALSE),IFERROR(VLOOKUP(P181&amp;"|"&amp;Q181&amp;"|ALL",V8_COHORT_TABLE,5,FALSE),IFERROR(VLOOKUP(P181&amp;"|ALL|ALL",V8_COHORT_TABLE,5,FALSE),VLOOKUP("GLOBAL",V8_COHORT_TABLE,5,FALSE))))</f>
        <v/>
      </c>
      <c r="Z181" s="15">
        <f>V181+W181/(1+EXP(-(U181-X181)/Y181))</f>
        <v/>
      </c>
      <c r="AA181" s="16">
        <f>1-(1-Z181)^12</f>
        <v/>
      </c>
      <c r="AB181" s="14">
        <f>IF(K181&lt;=V8_AGE_KNOT_X_0,V8_AGE_KNOT_Y_0,IF(K181&gt;=V8_AGE_KNOT_X_5,V8_AGE_KNOT_Y_5,IF(K181&lt;=V8_AGE_KNOT_X_1,V8_AGE_KNOT_Y_0+(K181-V8_AGE_KNOT_X_0)/(V8_AGE_KNOT_X_1-V8_AGE_KNOT_X_0)*(V8_AGE_KNOT_Y_1-V8_AGE_KNOT_Y_0),IF(K181&lt;=V8_AGE_KNOT_X_2,V8_AGE_KNOT_Y_1+(K181-V8_AGE_KNOT_X_1)/(V8_AGE_KNOT_X_2-V8_AGE_KNOT_X_1)*(V8_AGE_KNOT_Y_2-V8_AGE_KNOT_Y_1),IF(K181&lt;=V8_AGE_KNOT_X_3,V8_AGE_KNOT_Y_2+(K181-V8_AGE_KNOT_X_2)/(V8_AGE_KNOT_X_3-V8_AGE_KNOT_X_2)*(V8_AGE_KNOT_Y_3-V8_AGE_KNOT_Y_2),IF(K181&lt;=V8_AGE_KNOT_X_4,V8_AGE_KNOT_Y_3+(K181-V8_AGE_KNOT_X_3)/(V8_AGE_KNOT_X_4-V8_AGE_KNOT_X_3)*(V8_AGE_KNOT_Y_4-V8_AGE_KNOT_Y_3),V8_AGE_KNOT_Y_4+(K181-V8_AGE_KNOT_X_4)/(V8_AGE_KNOT_X_5-V8_AGE_KNOT_X_4)*(V8_AGE_KNOT_Y_5-V8_AGE_KNOT_Y_4)))))))</f>
        <v/>
      </c>
      <c r="AC181" s="14">
        <f>IF(IF(OR(L181="",NOT(ISNUMBER(L181))),360,MAX(0,MIN(480,(INT(L181/100)-INT(VALUE(F181)/100))*12+MOD(L181,100)-MOD(VALUE(F181),100))))&gt;0,1+V8_MTY_AMP*MAX(0,(V8_MTY_CUTOFF-(IF(OR(L181="",NOT(ISNUMBER(L181))),360,MAX(0,MIN(480,(INT(L181/100)-INT(VALUE(F181)/100))*12+MOD(L181,100)-MOD(VALUE(F181),100))))))/V8_MTY_CUTOFF),1)</f>
        <v/>
      </c>
      <c r="AD181" s="14">
        <f>IF(AND(IF(OR(M181="",NOT(ISNUMBER(M181))),0,MAX(0,MIN(24,(INT(VALUE(F181)/100)-INT(M181/100))*12+MOD(VALUE(F181),100)-MOD(M181,100))))&gt;0,IF(OR(M181="",NOT(ISNUMBER(M181))),0,MAX(0,MIN(24,(INT(VALUE(F181)/100)-INT(M181/100))*12+MOD(VALUE(F181),100)-MOD(M181,100))))&lt;=12),1+V8_LOCKOUT_AMP*EXP(-(IF(OR(M181="",NOT(ISNUMBER(M181))),0,MAX(0,MIN(24,(INT(VALUE(F181)/100)-INT(M181/100))*12+MOD(VALUE(F181),100)-MOD(M181,100)))))/V8_LOCKOUT_TAU),1)</f>
        <v/>
      </c>
      <c r="AE181" s="14">
        <f>MAX(V8_BURN_FLOOR,1-V8_BURN_SLOPE*MIN(1,MAX(0,O181)))</f>
        <v/>
      </c>
      <c r="AF181" s="15">
        <f>MIN(Z181*AB181*AC181*AD181*AE181,0.2)</f>
        <v/>
      </c>
      <c r="AG181" s="16">
        <f>1-(1-AF181)^12</f>
        <v/>
      </c>
    </row>
    <row r="182">
      <c r="A182" s="2" t="inlineStr">
        <is>
          <t>000003422195</t>
        </is>
      </c>
      <c r="B182" t="inlineStr">
        <is>
          <t>232</t>
        </is>
      </c>
      <c r="C182" t="inlineStr">
        <is>
          <t>RP</t>
        </is>
      </c>
      <c r="D182" t="inlineStr">
        <is>
          <t>CAPITAL FUNDING,LLC.</t>
        </is>
      </c>
      <c r="E182" t="n">
        <v>2023</v>
      </c>
      <c r="F182" t="inlineStr">
        <is>
          <t>202602</t>
        </is>
      </c>
      <c r="G182" s="8" t="n">
        <v>9257415.58</v>
      </c>
      <c r="H182" s="12" t="n">
        <v>6</v>
      </c>
      <c r="I182" s="13" t="n">
        <v>447</v>
      </c>
      <c r="J182" s="13" t="n">
        <v>8</v>
      </c>
      <c r="K182" t="n">
        <v>26</v>
      </c>
      <c r="L182" t="n">
        <v>205701</v>
      </c>
      <c r="M182" t="inlineStr"/>
      <c r="N182" t="n">
        <v>3</v>
      </c>
      <c r="O182" s="14" t="n">
        <v>0.1153846153846154</v>
      </c>
      <c r="P182">
        <f>IF(ISNUMBER(SEARCH("232",B182)),"232",IF(ISNUMBER(SEARCH("538",B182)),"538",IF(ISNUMBER(SEARCH("223a7",B182)),"223a7",IF(ISNUMBER(SEARCH("223f",B182)),"223f","OTHER"))))</f>
        <v/>
      </c>
      <c r="Q182">
        <f>IF(UPPER(C182)="NC","NC","RP")</f>
        <v/>
      </c>
      <c r="R182">
        <f>IF(G182&lt;5000000,"small",IF(G182&lt;25000000,"medium","large"))</f>
        <v/>
      </c>
      <c r="S182">
        <f>P182&amp;"|"&amp;Q182&amp;"|"&amp;R182</f>
        <v/>
      </c>
      <c r="T182" s="13">
        <f>H182*100-I182</f>
        <v/>
      </c>
      <c r="U182" s="13">
        <f>T182-12.5*(J182+1)</f>
        <v/>
      </c>
      <c r="V182" s="15">
        <f>IFERROR(VLOOKUP(S182,V8_COHORT_TABLE,2,FALSE),IFERROR(VLOOKUP(P182&amp;"|"&amp;Q182&amp;"|ALL",V8_COHORT_TABLE,2,FALSE),IFERROR(VLOOKUP(P182&amp;"|ALL|ALL",V8_COHORT_TABLE,2,FALSE),VLOOKUP("GLOBAL",V8_COHORT_TABLE,2,FALSE))))</f>
        <v/>
      </c>
      <c r="W182" s="15">
        <f>IFERROR(VLOOKUP(S182,V8_COHORT_TABLE,3,FALSE),IFERROR(VLOOKUP(P182&amp;"|"&amp;Q182&amp;"|ALL",V8_COHORT_TABLE,3,FALSE),IFERROR(VLOOKUP(P182&amp;"|ALL|ALL",V8_COHORT_TABLE,3,FALSE),VLOOKUP("GLOBAL",V8_COHORT_TABLE,3,FALSE))))</f>
        <v/>
      </c>
      <c r="X182" s="15">
        <f>IFERROR(VLOOKUP(S182,V8_COHORT_TABLE,4,FALSE),IFERROR(VLOOKUP(P182&amp;"|"&amp;Q182&amp;"|ALL",V8_COHORT_TABLE,4,FALSE),IFERROR(VLOOKUP(P182&amp;"|ALL|ALL",V8_COHORT_TABLE,4,FALSE),VLOOKUP("GLOBAL",V8_COHORT_TABLE,4,FALSE))))</f>
        <v/>
      </c>
      <c r="Y182" s="15">
        <f>IFERROR(VLOOKUP(S182,V8_COHORT_TABLE,5,FALSE),IFERROR(VLOOKUP(P182&amp;"|"&amp;Q182&amp;"|ALL",V8_COHORT_TABLE,5,FALSE),IFERROR(VLOOKUP(P182&amp;"|ALL|ALL",V8_COHORT_TABLE,5,FALSE),VLOOKUP("GLOBAL",V8_COHORT_TABLE,5,FALSE))))</f>
        <v/>
      </c>
      <c r="Z182" s="15">
        <f>V182+W182/(1+EXP(-(U182-X182)/Y182))</f>
        <v/>
      </c>
      <c r="AA182" s="16">
        <f>1-(1-Z182)^12</f>
        <v/>
      </c>
      <c r="AB182" s="14">
        <f>IF(K182&lt;=V8_AGE_KNOT_X_0,V8_AGE_KNOT_Y_0,IF(K182&gt;=V8_AGE_KNOT_X_5,V8_AGE_KNOT_Y_5,IF(K182&lt;=V8_AGE_KNOT_X_1,V8_AGE_KNOT_Y_0+(K182-V8_AGE_KNOT_X_0)/(V8_AGE_KNOT_X_1-V8_AGE_KNOT_X_0)*(V8_AGE_KNOT_Y_1-V8_AGE_KNOT_Y_0),IF(K182&lt;=V8_AGE_KNOT_X_2,V8_AGE_KNOT_Y_1+(K182-V8_AGE_KNOT_X_1)/(V8_AGE_KNOT_X_2-V8_AGE_KNOT_X_1)*(V8_AGE_KNOT_Y_2-V8_AGE_KNOT_Y_1),IF(K182&lt;=V8_AGE_KNOT_X_3,V8_AGE_KNOT_Y_2+(K182-V8_AGE_KNOT_X_2)/(V8_AGE_KNOT_X_3-V8_AGE_KNOT_X_2)*(V8_AGE_KNOT_Y_3-V8_AGE_KNOT_Y_2),IF(K182&lt;=V8_AGE_KNOT_X_4,V8_AGE_KNOT_Y_3+(K182-V8_AGE_KNOT_X_3)/(V8_AGE_KNOT_X_4-V8_AGE_KNOT_X_3)*(V8_AGE_KNOT_Y_4-V8_AGE_KNOT_Y_3),V8_AGE_KNOT_Y_4+(K182-V8_AGE_KNOT_X_4)/(V8_AGE_KNOT_X_5-V8_AGE_KNOT_X_4)*(V8_AGE_KNOT_Y_5-V8_AGE_KNOT_Y_4)))))))</f>
        <v/>
      </c>
      <c r="AC182" s="14">
        <f>IF(IF(OR(L182="",NOT(ISNUMBER(L182))),360,MAX(0,MIN(480,(INT(L182/100)-INT(VALUE(F182)/100))*12+MOD(L182,100)-MOD(VALUE(F182),100))))&gt;0,1+V8_MTY_AMP*MAX(0,(V8_MTY_CUTOFF-(IF(OR(L182="",NOT(ISNUMBER(L182))),360,MAX(0,MIN(480,(INT(L182/100)-INT(VALUE(F182)/100))*12+MOD(L182,100)-MOD(VALUE(F182),100))))))/V8_MTY_CUTOFF),1)</f>
        <v/>
      </c>
      <c r="AD182" s="14">
        <f>IF(AND(IF(OR(M182="",NOT(ISNUMBER(M182))),0,MAX(0,MIN(24,(INT(VALUE(F182)/100)-INT(M182/100))*12+MOD(VALUE(F182),100)-MOD(M182,100))))&gt;0,IF(OR(M182="",NOT(ISNUMBER(M182))),0,MAX(0,MIN(24,(INT(VALUE(F182)/100)-INT(M182/100))*12+MOD(VALUE(F182),100)-MOD(M182,100))))&lt;=12),1+V8_LOCKOUT_AMP*EXP(-(IF(OR(M182="",NOT(ISNUMBER(M182))),0,MAX(0,MIN(24,(INT(VALUE(F182)/100)-INT(M182/100))*12+MOD(VALUE(F182),100)-MOD(M182,100)))))/V8_LOCKOUT_TAU),1)</f>
        <v/>
      </c>
      <c r="AE182" s="14">
        <f>MAX(V8_BURN_FLOOR,1-V8_BURN_SLOPE*MIN(1,MAX(0,O182)))</f>
        <v/>
      </c>
      <c r="AF182" s="15">
        <f>MIN(Z182*AB182*AC182*AD182*AE182,0.2)</f>
        <v/>
      </c>
      <c r="AG182" s="16">
        <f>1-(1-AF182)^12</f>
        <v/>
      </c>
    </row>
    <row r="183">
      <c r="A183" s="2" t="inlineStr">
        <is>
          <t>000004822022</t>
        </is>
      </c>
      <c r="B183" t="inlineStr">
        <is>
          <t>232</t>
        </is>
      </c>
      <c r="C183" t="inlineStr">
        <is>
          <t>RP</t>
        </is>
      </c>
      <c r="D183" t="inlineStr">
        <is>
          <t>CAPITAL FUNDING,LLC.</t>
        </is>
      </c>
      <c r="E183" t="n">
        <v>2010</v>
      </c>
      <c r="F183" t="inlineStr">
        <is>
          <t>202602</t>
        </is>
      </c>
      <c r="G183" s="8" t="n">
        <v>2463434.45</v>
      </c>
      <c r="H183" s="12" t="n">
        <v>2.95</v>
      </c>
      <c r="I183" s="13" t="n">
        <v>447</v>
      </c>
      <c r="J183" s="13" t="n">
        <v>5</v>
      </c>
      <c r="K183" t="n">
        <v>182</v>
      </c>
      <c r="L183" t="n">
        <v>203605</v>
      </c>
      <c r="M183" t="inlineStr"/>
      <c r="N183" t="n">
        <v>5</v>
      </c>
      <c r="O183" s="14" t="n">
        <v>0.02747252747252747</v>
      </c>
      <c r="P183">
        <f>IF(ISNUMBER(SEARCH("232",B183)),"232",IF(ISNUMBER(SEARCH("538",B183)),"538",IF(ISNUMBER(SEARCH("223a7",B183)),"223a7",IF(ISNUMBER(SEARCH("223f",B183)),"223f","OTHER"))))</f>
        <v/>
      </c>
      <c r="Q183">
        <f>IF(UPPER(C183)="NC","NC","RP")</f>
        <v/>
      </c>
      <c r="R183">
        <f>IF(G183&lt;5000000,"small",IF(G183&lt;25000000,"medium","large"))</f>
        <v/>
      </c>
      <c r="S183">
        <f>P183&amp;"|"&amp;Q183&amp;"|"&amp;R183</f>
        <v/>
      </c>
      <c r="T183" s="13">
        <f>H183*100-I183</f>
        <v/>
      </c>
      <c r="U183" s="13">
        <f>T183-12.5*(J183+1)</f>
        <v/>
      </c>
      <c r="V183" s="15">
        <f>IFERROR(VLOOKUP(S183,V8_COHORT_TABLE,2,FALSE),IFERROR(VLOOKUP(P183&amp;"|"&amp;Q183&amp;"|ALL",V8_COHORT_TABLE,2,FALSE),IFERROR(VLOOKUP(P183&amp;"|ALL|ALL",V8_COHORT_TABLE,2,FALSE),VLOOKUP("GLOBAL",V8_COHORT_TABLE,2,FALSE))))</f>
        <v/>
      </c>
      <c r="W183" s="15">
        <f>IFERROR(VLOOKUP(S183,V8_COHORT_TABLE,3,FALSE),IFERROR(VLOOKUP(P183&amp;"|"&amp;Q183&amp;"|ALL",V8_COHORT_TABLE,3,FALSE),IFERROR(VLOOKUP(P183&amp;"|ALL|ALL",V8_COHORT_TABLE,3,FALSE),VLOOKUP("GLOBAL",V8_COHORT_TABLE,3,FALSE))))</f>
        <v/>
      </c>
      <c r="X183" s="15">
        <f>IFERROR(VLOOKUP(S183,V8_COHORT_TABLE,4,FALSE),IFERROR(VLOOKUP(P183&amp;"|"&amp;Q183&amp;"|ALL",V8_COHORT_TABLE,4,FALSE),IFERROR(VLOOKUP(P183&amp;"|ALL|ALL",V8_COHORT_TABLE,4,FALSE),VLOOKUP("GLOBAL",V8_COHORT_TABLE,4,FALSE))))</f>
        <v/>
      </c>
      <c r="Y183" s="15">
        <f>IFERROR(VLOOKUP(S183,V8_COHORT_TABLE,5,FALSE),IFERROR(VLOOKUP(P183&amp;"|"&amp;Q183&amp;"|ALL",V8_COHORT_TABLE,5,FALSE),IFERROR(VLOOKUP(P183&amp;"|ALL|ALL",V8_COHORT_TABLE,5,FALSE),VLOOKUP("GLOBAL",V8_COHORT_TABLE,5,FALSE))))</f>
        <v/>
      </c>
      <c r="Z183" s="15">
        <f>V183+W183/(1+EXP(-(U183-X183)/Y183))</f>
        <v/>
      </c>
      <c r="AA183" s="16">
        <f>1-(1-Z183)^12</f>
        <v/>
      </c>
      <c r="AB183" s="14">
        <f>IF(K183&lt;=V8_AGE_KNOT_X_0,V8_AGE_KNOT_Y_0,IF(K183&gt;=V8_AGE_KNOT_X_5,V8_AGE_KNOT_Y_5,IF(K183&lt;=V8_AGE_KNOT_X_1,V8_AGE_KNOT_Y_0+(K183-V8_AGE_KNOT_X_0)/(V8_AGE_KNOT_X_1-V8_AGE_KNOT_X_0)*(V8_AGE_KNOT_Y_1-V8_AGE_KNOT_Y_0),IF(K183&lt;=V8_AGE_KNOT_X_2,V8_AGE_KNOT_Y_1+(K183-V8_AGE_KNOT_X_1)/(V8_AGE_KNOT_X_2-V8_AGE_KNOT_X_1)*(V8_AGE_KNOT_Y_2-V8_AGE_KNOT_Y_1),IF(K183&lt;=V8_AGE_KNOT_X_3,V8_AGE_KNOT_Y_2+(K183-V8_AGE_KNOT_X_2)/(V8_AGE_KNOT_X_3-V8_AGE_KNOT_X_2)*(V8_AGE_KNOT_Y_3-V8_AGE_KNOT_Y_2),IF(K183&lt;=V8_AGE_KNOT_X_4,V8_AGE_KNOT_Y_3+(K183-V8_AGE_KNOT_X_3)/(V8_AGE_KNOT_X_4-V8_AGE_KNOT_X_3)*(V8_AGE_KNOT_Y_4-V8_AGE_KNOT_Y_3),V8_AGE_KNOT_Y_4+(K183-V8_AGE_KNOT_X_4)/(V8_AGE_KNOT_X_5-V8_AGE_KNOT_X_4)*(V8_AGE_KNOT_Y_5-V8_AGE_KNOT_Y_4)))))))</f>
        <v/>
      </c>
      <c r="AC183" s="14">
        <f>IF(IF(OR(L183="",NOT(ISNUMBER(L183))),360,MAX(0,MIN(480,(INT(L183/100)-INT(VALUE(F183)/100))*12+MOD(L183,100)-MOD(VALUE(F183),100))))&gt;0,1+V8_MTY_AMP*MAX(0,(V8_MTY_CUTOFF-(IF(OR(L183="",NOT(ISNUMBER(L183))),360,MAX(0,MIN(480,(INT(L183/100)-INT(VALUE(F183)/100))*12+MOD(L183,100)-MOD(VALUE(F183),100))))))/V8_MTY_CUTOFF),1)</f>
        <v/>
      </c>
      <c r="AD183" s="14">
        <f>IF(AND(IF(OR(M183="",NOT(ISNUMBER(M183))),0,MAX(0,MIN(24,(INT(VALUE(F183)/100)-INT(M183/100))*12+MOD(VALUE(F183),100)-MOD(M183,100))))&gt;0,IF(OR(M183="",NOT(ISNUMBER(M183))),0,MAX(0,MIN(24,(INT(VALUE(F183)/100)-INT(M183/100))*12+MOD(VALUE(F183),100)-MOD(M183,100))))&lt;=12),1+V8_LOCKOUT_AMP*EXP(-(IF(OR(M183="",NOT(ISNUMBER(M183))),0,MAX(0,MIN(24,(INT(VALUE(F183)/100)-INT(M183/100))*12+MOD(VALUE(F183),100)-MOD(M183,100)))))/V8_LOCKOUT_TAU),1)</f>
        <v/>
      </c>
      <c r="AE183" s="14">
        <f>MAX(V8_BURN_FLOOR,1-V8_BURN_SLOPE*MIN(1,MAX(0,O183)))</f>
        <v/>
      </c>
      <c r="AF183" s="15">
        <f>MIN(Z183*AB183*AC183*AD183*AE183,0.2)</f>
        <v/>
      </c>
      <c r="AG183" s="16">
        <f>1-(1-AF183)^12</f>
        <v/>
      </c>
    </row>
    <row r="184">
      <c r="A184" s="2" t="inlineStr">
        <is>
          <t>000010122125</t>
        </is>
      </c>
      <c r="B184" t="inlineStr">
        <is>
          <t>232</t>
        </is>
      </c>
      <c r="C184" t="inlineStr">
        <is>
          <t>RP</t>
        </is>
      </c>
      <c r="D184" t="inlineStr">
        <is>
          <t>CAPITAL FUNDING,LLC.</t>
        </is>
      </c>
      <c r="E184" t="n">
        <v>2017</v>
      </c>
      <c r="F184" t="inlineStr">
        <is>
          <t>202602</t>
        </is>
      </c>
      <c r="G184" s="8" t="n">
        <v>10506744.22</v>
      </c>
      <c r="H184" s="12" t="n">
        <v>4.15</v>
      </c>
      <c r="I184" s="13" t="n">
        <v>447</v>
      </c>
      <c r="J184" s="13" t="n">
        <v>0</v>
      </c>
      <c r="K184" t="n">
        <v>105</v>
      </c>
      <c r="L184" t="n">
        <v>204706</v>
      </c>
      <c r="M184" t="inlineStr"/>
      <c r="N184" t="n">
        <v>43</v>
      </c>
      <c r="O184" s="14" t="n">
        <v>0.4095238095238095</v>
      </c>
      <c r="P184">
        <f>IF(ISNUMBER(SEARCH("232",B184)),"232",IF(ISNUMBER(SEARCH("538",B184)),"538",IF(ISNUMBER(SEARCH("223a7",B184)),"223a7",IF(ISNUMBER(SEARCH("223f",B184)),"223f","OTHER"))))</f>
        <v/>
      </c>
      <c r="Q184">
        <f>IF(UPPER(C184)="NC","NC","RP")</f>
        <v/>
      </c>
      <c r="R184">
        <f>IF(G184&lt;5000000,"small",IF(G184&lt;25000000,"medium","large"))</f>
        <v/>
      </c>
      <c r="S184">
        <f>P184&amp;"|"&amp;Q184&amp;"|"&amp;R184</f>
        <v/>
      </c>
      <c r="T184" s="13">
        <f>H184*100-I184</f>
        <v/>
      </c>
      <c r="U184" s="13">
        <f>T184-12.5*(J184+1)</f>
        <v/>
      </c>
      <c r="V184" s="15">
        <f>IFERROR(VLOOKUP(S184,V8_COHORT_TABLE,2,FALSE),IFERROR(VLOOKUP(P184&amp;"|"&amp;Q184&amp;"|ALL",V8_COHORT_TABLE,2,FALSE),IFERROR(VLOOKUP(P184&amp;"|ALL|ALL",V8_COHORT_TABLE,2,FALSE),VLOOKUP("GLOBAL",V8_COHORT_TABLE,2,FALSE))))</f>
        <v/>
      </c>
      <c r="W184" s="15">
        <f>IFERROR(VLOOKUP(S184,V8_COHORT_TABLE,3,FALSE),IFERROR(VLOOKUP(P184&amp;"|"&amp;Q184&amp;"|ALL",V8_COHORT_TABLE,3,FALSE),IFERROR(VLOOKUP(P184&amp;"|ALL|ALL",V8_COHORT_TABLE,3,FALSE),VLOOKUP("GLOBAL",V8_COHORT_TABLE,3,FALSE))))</f>
        <v/>
      </c>
      <c r="X184" s="15">
        <f>IFERROR(VLOOKUP(S184,V8_COHORT_TABLE,4,FALSE),IFERROR(VLOOKUP(P184&amp;"|"&amp;Q184&amp;"|ALL",V8_COHORT_TABLE,4,FALSE),IFERROR(VLOOKUP(P184&amp;"|ALL|ALL",V8_COHORT_TABLE,4,FALSE),VLOOKUP("GLOBAL",V8_COHORT_TABLE,4,FALSE))))</f>
        <v/>
      </c>
      <c r="Y184" s="15">
        <f>IFERROR(VLOOKUP(S184,V8_COHORT_TABLE,5,FALSE),IFERROR(VLOOKUP(P184&amp;"|"&amp;Q184&amp;"|ALL",V8_COHORT_TABLE,5,FALSE),IFERROR(VLOOKUP(P184&amp;"|ALL|ALL",V8_COHORT_TABLE,5,FALSE),VLOOKUP("GLOBAL",V8_COHORT_TABLE,5,FALSE))))</f>
        <v/>
      </c>
      <c r="Z184" s="15">
        <f>V184+W184/(1+EXP(-(U184-X184)/Y184))</f>
        <v/>
      </c>
      <c r="AA184" s="16">
        <f>1-(1-Z184)^12</f>
        <v/>
      </c>
      <c r="AB184" s="14">
        <f>IF(K184&lt;=V8_AGE_KNOT_X_0,V8_AGE_KNOT_Y_0,IF(K184&gt;=V8_AGE_KNOT_X_5,V8_AGE_KNOT_Y_5,IF(K184&lt;=V8_AGE_KNOT_X_1,V8_AGE_KNOT_Y_0+(K184-V8_AGE_KNOT_X_0)/(V8_AGE_KNOT_X_1-V8_AGE_KNOT_X_0)*(V8_AGE_KNOT_Y_1-V8_AGE_KNOT_Y_0),IF(K184&lt;=V8_AGE_KNOT_X_2,V8_AGE_KNOT_Y_1+(K184-V8_AGE_KNOT_X_1)/(V8_AGE_KNOT_X_2-V8_AGE_KNOT_X_1)*(V8_AGE_KNOT_Y_2-V8_AGE_KNOT_Y_1),IF(K184&lt;=V8_AGE_KNOT_X_3,V8_AGE_KNOT_Y_2+(K184-V8_AGE_KNOT_X_2)/(V8_AGE_KNOT_X_3-V8_AGE_KNOT_X_2)*(V8_AGE_KNOT_Y_3-V8_AGE_KNOT_Y_2),IF(K184&lt;=V8_AGE_KNOT_X_4,V8_AGE_KNOT_Y_3+(K184-V8_AGE_KNOT_X_3)/(V8_AGE_KNOT_X_4-V8_AGE_KNOT_X_3)*(V8_AGE_KNOT_Y_4-V8_AGE_KNOT_Y_3),V8_AGE_KNOT_Y_4+(K184-V8_AGE_KNOT_X_4)/(V8_AGE_KNOT_X_5-V8_AGE_KNOT_X_4)*(V8_AGE_KNOT_Y_5-V8_AGE_KNOT_Y_4)))))))</f>
        <v/>
      </c>
      <c r="AC184" s="14">
        <f>IF(IF(OR(L184="",NOT(ISNUMBER(L184))),360,MAX(0,MIN(480,(INT(L184/100)-INT(VALUE(F184)/100))*12+MOD(L184,100)-MOD(VALUE(F184),100))))&gt;0,1+V8_MTY_AMP*MAX(0,(V8_MTY_CUTOFF-(IF(OR(L184="",NOT(ISNUMBER(L184))),360,MAX(0,MIN(480,(INT(L184/100)-INT(VALUE(F184)/100))*12+MOD(L184,100)-MOD(VALUE(F184),100))))))/V8_MTY_CUTOFF),1)</f>
        <v/>
      </c>
      <c r="AD184" s="14">
        <f>IF(AND(IF(OR(M184="",NOT(ISNUMBER(M184))),0,MAX(0,MIN(24,(INT(VALUE(F184)/100)-INT(M184/100))*12+MOD(VALUE(F184),100)-MOD(M184,100))))&gt;0,IF(OR(M184="",NOT(ISNUMBER(M184))),0,MAX(0,MIN(24,(INT(VALUE(F184)/100)-INT(M184/100))*12+MOD(VALUE(F184),100)-MOD(M184,100))))&lt;=12),1+V8_LOCKOUT_AMP*EXP(-(IF(OR(M184="",NOT(ISNUMBER(M184))),0,MAX(0,MIN(24,(INT(VALUE(F184)/100)-INT(M184/100))*12+MOD(VALUE(F184),100)-MOD(M184,100)))))/V8_LOCKOUT_TAU),1)</f>
        <v/>
      </c>
      <c r="AE184" s="14">
        <f>MAX(V8_BURN_FLOOR,1-V8_BURN_SLOPE*MIN(1,MAX(0,O184)))</f>
        <v/>
      </c>
      <c r="AF184" s="15">
        <f>MIN(Z184*AB184*AC184*AD184*AE184,0.2)</f>
        <v/>
      </c>
      <c r="AG184" s="16">
        <f>1-(1-AF184)^12</f>
        <v/>
      </c>
    </row>
    <row r="185">
      <c r="A185" s="2" t="inlineStr">
        <is>
          <t>000012122146</t>
        </is>
      </c>
      <c r="B185" t="inlineStr">
        <is>
          <t>232</t>
        </is>
      </c>
      <c r="C185" t="inlineStr">
        <is>
          <t>RP</t>
        </is>
      </c>
      <c r="D185" t="inlineStr">
        <is>
          <t>CAPITAL FUNDING,LLC.</t>
        </is>
      </c>
      <c r="E185" t="n">
        <v>2013</v>
      </c>
      <c r="F185" t="inlineStr">
        <is>
          <t>202602</t>
        </is>
      </c>
      <c r="G185" s="8" t="n">
        <v>2672369.06</v>
      </c>
      <c r="H185" s="12" t="n">
        <v>3.91</v>
      </c>
      <c r="I185" s="13" t="n">
        <v>447</v>
      </c>
      <c r="J185" s="13" t="n">
        <v>0</v>
      </c>
      <c r="K185" t="n">
        <v>153</v>
      </c>
      <c r="L185" t="n">
        <v>203412</v>
      </c>
      <c r="M185" t="inlineStr"/>
      <c r="N185" t="n">
        <v>38</v>
      </c>
      <c r="O185" s="14" t="n">
        <v>0.2483660130718954</v>
      </c>
      <c r="P185">
        <f>IF(ISNUMBER(SEARCH("232",B185)),"232",IF(ISNUMBER(SEARCH("538",B185)),"538",IF(ISNUMBER(SEARCH("223a7",B185)),"223a7",IF(ISNUMBER(SEARCH("223f",B185)),"223f","OTHER"))))</f>
        <v/>
      </c>
      <c r="Q185">
        <f>IF(UPPER(C185)="NC","NC","RP")</f>
        <v/>
      </c>
      <c r="R185">
        <f>IF(G185&lt;5000000,"small",IF(G185&lt;25000000,"medium","large"))</f>
        <v/>
      </c>
      <c r="S185">
        <f>P185&amp;"|"&amp;Q185&amp;"|"&amp;R185</f>
        <v/>
      </c>
      <c r="T185" s="13">
        <f>H185*100-I185</f>
        <v/>
      </c>
      <c r="U185" s="13">
        <f>T185-12.5*(J185+1)</f>
        <v/>
      </c>
      <c r="V185" s="15">
        <f>IFERROR(VLOOKUP(S185,V8_COHORT_TABLE,2,FALSE),IFERROR(VLOOKUP(P185&amp;"|"&amp;Q185&amp;"|ALL",V8_COHORT_TABLE,2,FALSE),IFERROR(VLOOKUP(P185&amp;"|ALL|ALL",V8_COHORT_TABLE,2,FALSE),VLOOKUP("GLOBAL",V8_COHORT_TABLE,2,FALSE))))</f>
        <v/>
      </c>
      <c r="W185" s="15">
        <f>IFERROR(VLOOKUP(S185,V8_COHORT_TABLE,3,FALSE),IFERROR(VLOOKUP(P185&amp;"|"&amp;Q185&amp;"|ALL",V8_COHORT_TABLE,3,FALSE),IFERROR(VLOOKUP(P185&amp;"|ALL|ALL",V8_COHORT_TABLE,3,FALSE),VLOOKUP("GLOBAL",V8_COHORT_TABLE,3,FALSE))))</f>
        <v/>
      </c>
      <c r="X185" s="15">
        <f>IFERROR(VLOOKUP(S185,V8_COHORT_TABLE,4,FALSE),IFERROR(VLOOKUP(P185&amp;"|"&amp;Q185&amp;"|ALL",V8_COHORT_TABLE,4,FALSE),IFERROR(VLOOKUP(P185&amp;"|ALL|ALL",V8_COHORT_TABLE,4,FALSE),VLOOKUP("GLOBAL",V8_COHORT_TABLE,4,FALSE))))</f>
        <v/>
      </c>
      <c r="Y185" s="15">
        <f>IFERROR(VLOOKUP(S185,V8_COHORT_TABLE,5,FALSE),IFERROR(VLOOKUP(P185&amp;"|"&amp;Q185&amp;"|ALL",V8_COHORT_TABLE,5,FALSE),IFERROR(VLOOKUP(P185&amp;"|ALL|ALL",V8_COHORT_TABLE,5,FALSE),VLOOKUP("GLOBAL",V8_COHORT_TABLE,5,FALSE))))</f>
        <v/>
      </c>
      <c r="Z185" s="15">
        <f>V185+W185/(1+EXP(-(U185-X185)/Y185))</f>
        <v/>
      </c>
      <c r="AA185" s="16">
        <f>1-(1-Z185)^12</f>
        <v/>
      </c>
      <c r="AB185" s="14">
        <f>IF(K185&lt;=V8_AGE_KNOT_X_0,V8_AGE_KNOT_Y_0,IF(K185&gt;=V8_AGE_KNOT_X_5,V8_AGE_KNOT_Y_5,IF(K185&lt;=V8_AGE_KNOT_X_1,V8_AGE_KNOT_Y_0+(K185-V8_AGE_KNOT_X_0)/(V8_AGE_KNOT_X_1-V8_AGE_KNOT_X_0)*(V8_AGE_KNOT_Y_1-V8_AGE_KNOT_Y_0),IF(K185&lt;=V8_AGE_KNOT_X_2,V8_AGE_KNOT_Y_1+(K185-V8_AGE_KNOT_X_1)/(V8_AGE_KNOT_X_2-V8_AGE_KNOT_X_1)*(V8_AGE_KNOT_Y_2-V8_AGE_KNOT_Y_1),IF(K185&lt;=V8_AGE_KNOT_X_3,V8_AGE_KNOT_Y_2+(K185-V8_AGE_KNOT_X_2)/(V8_AGE_KNOT_X_3-V8_AGE_KNOT_X_2)*(V8_AGE_KNOT_Y_3-V8_AGE_KNOT_Y_2),IF(K185&lt;=V8_AGE_KNOT_X_4,V8_AGE_KNOT_Y_3+(K185-V8_AGE_KNOT_X_3)/(V8_AGE_KNOT_X_4-V8_AGE_KNOT_X_3)*(V8_AGE_KNOT_Y_4-V8_AGE_KNOT_Y_3),V8_AGE_KNOT_Y_4+(K185-V8_AGE_KNOT_X_4)/(V8_AGE_KNOT_X_5-V8_AGE_KNOT_X_4)*(V8_AGE_KNOT_Y_5-V8_AGE_KNOT_Y_4)))))))</f>
        <v/>
      </c>
      <c r="AC185" s="14">
        <f>IF(IF(OR(L185="",NOT(ISNUMBER(L185))),360,MAX(0,MIN(480,(INT(L185/100)-INT(VALUE(F185)/100))*12+MOD(L185,100)-MOD(VALUE(F185),100))))&gt;0,1+V8_MTY_AMP*MAX(0,(V8_MTY_CUTOFF-(IF(OR(L185="",NOT(ISNUMBER(L185))),360,MAX(0,MIN(480,(INT(L185/100)-INT(VALUE(F185)/100))*12+MOD(L185,100)-MOD(VALUE(F185),100))))))/V8_MTY_CUTOFF),1)</f>
        <v/>
      </c>
      <c r="AD185" s="14">
        <f>IF(AND(IF(OR(M185="",NOT(ISNUMBER(M185))),0,MAX(0,MIN(24,(INT(VALUE(F185)/100)-INT(M185/100))*12+MOD(VALUE(F185),100)-MOD(M185,100))))&gt;0,IF(OR(M185="",NOT(ISNUMBER(M185))),0,MAX(0,MIN(24,(INT(VALUE(F185)/100)-INT(M185/100))*12+MOD(VALUE(F185),100)-MOD(M185,100))))&lt;=12),1+V8_LOCKOUT_AMP*EXP(-(IF(OR(M185="",NOT(ISNUMBER(M185))),0,MAX(0,MIN(24,(INT(VALUE(F185)/100)-INT(M185/100))*12+MOD(VALUE(F185),100)-MOD(M185,100)))))/V8_LOCKOUT_TAU),1)</f>
        <v/>
      </c>
      <c r="AE185" s="14">
        <f>MAX(V8_BURN_FLOOR,1-V8_BURN_SLOPE*MIN(1,MAX(0,O185)))</f>
        <v/>
      </c>
      <c r="AF185" s="15">
        <f>MIN(Z185*AB185*AC185*AD185*AE185,0.2)</f>
        <v/>
      </c>
      <c r="AG185" s="16">
        <f>1-(1-AF185)^12</f>
        <v/>
      </c>
    </row>
    <row r="186">
      <c r="A186" s="2" t="inlineStr">
        <is>
          <t>000007422022</t>
        </is>
      </c>
      <c r="B186" t="inlineStr">
        <is>
          <t>232</t>
        </is>
      </c>
      <c r="C186" t="inlineStr">
        <is>
          <t>RP</t>
        </is>
      </c>
      <c r="D186" t="inlineStr">
        <is>
          <t>CAPITAL FUNDING,LLC.</t>
        </is>
      </c>
      <c r="E186" t="n">
        <v>2012</v>
      </c>
      <c r="F186" t="inlineStr">
        <is>
          <t>202602</t>
        </is>
      </c>
      <c r="G186" s="8" t="n">
        <v>1483057.17</v>
      </c>
      <c r="H186" s="12" t="n">
        <v>3.79</v>
      </c>
      <c r="I186" s="13" t="n">
        <v>447</v>
      </c>
      <c r="J186" s="13" t="n">
        <v>0</v>
      </c>
      <c r="K186" t="n">
        <v>169</v>
      </c>
      <c r="L186" t="n">
        <v>204702</v>
      </c>
      <c r="M186" t="n">
        <v>201403</v>
      </c>
      <c r="N186" t="n">
        <v>40</v>
      </c>
      <c r="O186" s="14" t="n">
        <v>0.2366863905325444</v>
      </c>
      <c r="P186">
        <f>IF(ISNUMBER(SEARCH("232",B186)),"232",IF(ISNUMBER(SEARCH("538",B186)),"538",IF(ISNUMBER(SEARCH("223a7",B186)),"223a7",IF(ISNUMBER(SEARCH("223f",B186)),"223f","OTHER"))))</f>
        <v/>
      </c>
      <c r="Q186">
        <f>IF(UPPER(C186)="NC","NC","RP")</f>
        <v/>
      </c>
      <c r="R186">
        <f>IF(G186&lt;5000000,"small",IF(G186&lt;25000000,"medium","large"))</f>
        <v/>
      </c>
      <c r="S186">
        <f>P186&amp;"|"&amp;Q186&amp;"|"&amp;R186</f>
        <v/>
      </c>
      <c r="T186" s="13">
        <f>H186*100-I186</f>
        <v/>
      </c>
      <c r="U186" s="13">
        <f>T186-12.5*(J186+1)</f>
        <v/>
      </c>
      <c r="V186" s="15">
        <f>IFERROR(VLOOKUP(S186,V8_COHORT_TABLE,2,FALSE),IFERROR(VLOOKUP(P186&amp;"|"&amp;Q186&amp;"|ALL",V8_COHORT_TABLE,2,FALSE),IFERROR(VLOOKUP(P186&amp;"|ALL|ALL",V8_COHORT_TABLE,2,FALSE),VLOOKUP("GLOBAL",V8_COHORT_TABLE,2,FALSE))))</f>
        <v/>
      </c>
      <c r="W186" s="15">
        <f>IFERROR(VLOOKUP(S186,V8_COHORT_TABLE,3,FALSE),IFERROR(VLOOKUP(P186&amp;"|"&amp;Q186&amp;"|ALL",V8_COHORT_TABLE,3,FALSE),IFERROR(VLOOKUP(P186&amp;"|ALL|ALL",V8_COHORT_TABLE,3,FALSE),VLOOKUP("GLOBAL",V8_COHORT_TABLE,3,FALSE))))</f>
        <v/>
      </c>
      <c r="X186" s="15">
        <f>IFERROR(VLOOKUP(S186,V8_COHORT_TABLE,4,FALSE),IFERROR(VLOOKUP(P186&amp;"|"&amp;Q186&amp;"|ALL",V8_COHORT_TABLE,4,FALSE),IFERROR(VLOOKUP(P186&amp;"|ALL|ALL",V8_COHORT_TABLE,4,FALSE),VLOOKUP("GLOBAL",V8_COHORT_TABLE,4,FALSE))))</f>
        <v/>
      </c>
      <c r="Y186" s="15">
        <f>IFERROR(VLOOKUP(S186,V8_COHORT_TABLE,5,FALSE),IFERROR(VLOOKUP(P186&amp;"|"&amp;Q186&amp;"|ALL",V8_COHORT_TABLE,5,FALSE),IFERROR(VLOOKUP(P186&amp;"|ALL|ALL",V8_COHORT_TABLE,5,FALSE),VLOOKUP("GLOBAL",V8_COHORT_TABLE,5,FALSE))))</f>
        <v/>
      </c>
      <c r="Z186" s="15">
        <f>V186+W186/(1+EXP(-(U186-X186)/Y186))</f>
        <v/>
      </c>
      <c r="AA186" s="16">
        <f>1-(1-Z186)^12</f>
        <v/>
      </c>
      <c r="AB186" s="14">
        <f>IF(K186&lt;=V8_AGE_KNOT_X_0,V8_AGE_KNOT_Y_0,IF(K186&gt;=V8_AGE_KNOT_X_5,V8_AGE_KNOT_Y_5,IF(K186&lt;=V8_AGE_KNOT_X_1,V8_AGE_KNOT_Y_0+(K186-V8_AGE_KNOT_X_0)/(V8_AGE_KNOT_X_1-V8_AGE_KNOT_X_0)*(V8_AGE_KNOT_Y_1-V8_AGE_KNOT_Y_0),IF(K186&lt;=V8_AGE_KNOT_X_2,V8_AGE_KNOT_Y_1+(K186-V8_AGE_KNOT_X_1)/(V8_AGE_KNOT_X_2-V8_AGE_KNOT_X_1)*(V8_AGE_KNOT_Y_2-V8_AGE_KNOT_Y_1),IF(K186&lt;=V8_AGE_KNOT_X_3,V8_AGE_KNOT_Y_2+(K186-V8_AGE_KNOT_X_2)/(V8_AGE_KNOT_X_3-V8_AGE_KNOT_X_2)*(V8_AGE_KNOT_Y_3-V8_AGE_KNOT_Y_2),IF(K186&lt;=V8_AGE_KNOT_X_4,V8_AGE_KNOT_Y_3+(K186-V8_AGE_KNOT_X_3)/(V8_AGE_KNOT_X_4-V8_AGE_KNOT_X_3)*(V8_AGE_KNOT_Y_4-V8_AGE_KNOT_Y_3),V8_AGE_KNOT_Y_4+(K186-V8_AGE_KNOT_X_4)/(V8_AGE_KNOT_X_5-V8_AGE_KNOT_X_4)*(V8_AGE_KNOT_Y_5-V8_AGE_KNOT_Y_4)))))))</f>
        <v/>
      </c>
      <c r="AC186" s="14">
        <f>IF(IF(OR(L186="",NOT(ISNUMBER(L186))),360,MAX(0,MIN(480,(INT(L186/100)-INT(VALUE(F186)/100))*12+MOD(L186,100)-MOD(VALUE(F186),100))))&gt;0,1+V8_MTY_AMP*MAX(0,(V8_MTY_CUTOFF-(IF(OR(L186="",NOT(ISNUMBER(L186))),360,MAX(0,MIN(480,(INT(L186/100)-INT(VALUE(F186)/100))*12+MOD(L186,100)-MOD(VALUE(F186),100))))))/V8_MTY_CUTOFF),1)</f>
        <v/>
      </c>
      <c r="AD186" s="14">
        <f>IF(AND(IF(OR(M186="",NOT(ISNUMBER(M186))),0,MAX(0,MIN(24,(INT(VALUE(F186)/100)-INT(M186/100))*12+MOD(VALUE(F186),100)-MOD(M186,100))))&gt;0,IF(OR(M186="",NOT(ISNUMBER(M186))),0,MAX(0,MIN(24,(INT(VALUE(F186)/100)-INT(M186/100))*12+MOD(VALUE(F186),100)-MOD(M186,100))))&lt;=12),1+V8_LOCKOUT_AMP*EXP(-(IF(OR(M186="",NOT(ISNUMBER(M186))),0,MAX(0,MIN(24,(INT(VALUE(F186)/100)-INT(M186/100))*12+MOD(VALUE(F186),100)-MOD(M186,100)))))/V8_LOCKOUT_TAU),1)</f>
        <v/>
      </c>
      <c r="AE186" s="14">
        <f>MAX(V8_BURN_FLOOR,1-V8_BURN_SLOPE*MIN(1,MAX(0,O186)))</f>
        <v/>
      </c>
      <c r="AF186" s="15">
        <f>MIN(Z186*AB186*AC186*AD186*AE186,0.2)</f>
        <v/>
      </c>
      <c r="AG186" s="16">
        <f>1-(1-AF186)^12</f>
        <v/>
      </c>
    </row>
    <row r="187">
      <c r="A187" s="2" t="inlineStr">
        <is>
          <t>000001722134</t>
        </is>
      </c>
      <c r="B187" t="inlineStr">
        <is>
          <t>232</t>
        </is>
      </c>
      <c r="C187" t="inlineStr">
        <is>
          <t>RP</t>
        </is>
      </c>
      <c r="D187" t="inlineStr">
        <is>
          <t>CAPITAL FUNDING,LLC.</t>
        </is>
      </c>
      <c r="E187" t="n">
        <v>2019</v>
      </c>
      <c r="F187" t="inlineStr">
        <is>
          <t>202602</t>
        </is>
      </c>
      <c r="G187" s="8" t="n">
        <v>18483731.62</v>
      </c>
      <c r="H187" s="12" t="n">
        <v>3.92</v>
      </c>
      <c r="I187" s="13" t="n">
        <v>447</v>
      </c>
      <c r="J187" s="13" t="n">
        <v>4</v>
      </c>
      <c r="K187" t="n">
        <v>82</v>
      </c>
      <c r="L187" t="n">
        <v>204905</v>
      </c>
      <c r="M187" t="inlineStr"/>
      <c r="N187" t="n">
        <v>30</v>
      </c>
      <c r="O187" s="14" t="n">
        <v>0.3658536585365854</v>
      </c>
      <c r="P187">
        <f>IF(ISNUMBER(SEARCH("232",B187)),"232",IF(ISNUMBER(SEARCH("538",B187)),"538",IF(ISNUMBER(SEARCH("223a7",B187)),"223a7",IF(ISNUMBER(SEARCH("223f",B187)),"223f","OTHER"))))</f>
        <v/>
      </c>
      <c r="Q187">
        <f>IF(UPPER(C187)="NC","NC","RP")</f>
        <v/>
      </c>
      <c r="R187">
        <f>IF(G187&lt;5000000,"small",IF(G187&lt;25000000,"medium","large"))</f>
        <v/>
      </c>
      <c r="S187">
        <f>P187&amp;"|"&amp;Q187&amp;"|"&amp;R187</f>
        <v/>
      </c>
      <c r="T187" s="13">
        <f>H187*100-I187</f>
        <v/>
      </c>
      <c r="U187" s="13">
        <f>T187-12.5*(J187+1)</f>
        <v/>
      </c>
      <c r="V187" s="15">
        <f>IFERROR(VLOOKUP(S187,V8_COHORT_TABLE,2,FALSE),IFERROR(VLOOKUP(P187&amp;"|"&amp;Q187&amp;"|ALL",V8_COHORT_TABLE,2,FALSE),IFERROR(VLOOKUP(P187&amp;"|ALL|ALL",V8_COHORT_TABLE,2,FALSE),VLOOKUP("GLOBAL",V8_COHORT_TABLE,2,FALSE))))</f>
        <v/>
      </c>
      <c r="W187" s="15">
        <f>IFERROR(VLOOKUP(S187,V8_COHORT_TABLE,3,FALSE),IFERROR(VLOOKUP(P187&amp;"|"&amp;Q187&amp;"|ALL",V8_COHORT_TABLE,3,FALSE),IFERROR(VLOOKUP(P187&amp;"|ALL|ALL",V8_COHORT_TABLE,3,FALSE),VLOOKUP("GLOBAL",V8_COHORT_TABLE,3,FALSE))))</f>
        <v/>
      </c>
      <c r="X187" s="15">
        <f>IFERROR(VLOOKUP(S187,V8_COHORT_TABLE,4,FALSE),IFERROR(VLOOKUP(P187&amp;"|"&amp;Q187&amp;"|ALL",V8_COHORT_TABLE,4,FALSE),IFERROR(VLOOKUP(P187&amp;"|ALL|ALL",V8_COHORT_TABLE,4,FALSE),VLOOKUP("GLOBAL",V8_COHORT_TABLE,4,FALSE))))</f>
        <v/>
      </c>
      <c r="Y187" s="15">
        <f>IFERROR(VLOOKUP(S187,V8_COHORT_TABLE,5,FALSE),IFERROR(VLOOKUP(P187&amp;"|"&amp;Q187&amp;"|ALL",V8_COHORT_TABLE,5,FALSE),IFERROR(VLOOKUP(P187&amp;"|ALL|ALL",V8_COHORT_TABLE,5,FALSE),VLOOKUP("GLOBAL",V8_COHORT_TABLE,5,FALSE))))</f>
        <v/>
      </c>
      <c r="Z187" s="15">
        <f>V187+W187/(1+EXP(-(U187-X187)/Y187))</f>
        <v/>
      </c>
      <c r="AA187" s="16">
        <f>1-(1-Z187)^12</f>
        <v/>
      </c>
      <c r="AB187" s="14">
        <f>IF(K187&lt;=V8_AGE_KNOT_X_0,V8_AGE_KNOT_Y_0,IF(K187&gt;=V8_AGE_KNOT_X_5,V8_AGE_KNOT_Y_5,IF(K187&lt;=V8_AGE_KNOT_X_1,V8_AGE_KNOT_Y_0+(K187-V8_AGE_KNOT_X_0)/(V8_AGE_KNOT_X_1-V8_AGE_KNOT_X_0)*(V8_AGE_KNOT_Y_1-V8_AGE_KNOT_Y_0),IF(K187&lt;=V8_AGE_KNOT_X_2,V8_AGE_KNOT_Y_1+(K187-V8_AGE_KNOT_X_1)/(V8_AGE_KNOT_X_2-V8_AGE_KNOT_X_1)*(V8_AGE_KNOT_Y_2-V8_AGE_KNOT_Y_1),IF(K187&lt;=V8_AGE_KNOT_X_3,V8_AGE_KNOT_Y_2+(K187-V8_AGE_KNOT_X_2)/(V8_AGE_KNOT_X_3-V8_AGE_KNOT_X_2)*(V8_AGE_KNOT_Y_3-V8_AGE_KNOT_Y_2),IF(K187&lt;=V8_AGE_KNOT_X_4,V8_AGE_KNOT_Y_3+(K187-V8_AGE_KNOT_X_3)/(V8_AGE_KNOT_X_4-V8_AGE_KNOT_X_3)*(V8_AGE_KNOT_Y_4-V8_AGE_KNOT_Y_3),V8_AGE_KNOT_Y_4+(K187-V8_AGE_KNOT_X_4)/(V8_AGE_KNOT_X_5-V8_AGE_KNOT_X_4)*(V8_AGE_KNOT_Y_5-V8_AGE_KNOT_Y_4)))))))</f>
        <v/>
      </c>
      <c r="AC187" s="14">
        <f>IF(IF(OR(L187="",NOT(ISNUMBER(L187))),360,MAX(0,MIN(480,(INT(L187/100)-INT(VALUE(F187)/100))*12+MOD(L187,100)-MOD(VALUE(F187),100))))&gt;0,1+V8_MTY_AMP*MAX(0,(V8_MTY_CUTOFF-(IF(OR(L187="",NOT(ISNUMBER(L187))),360,MAX(0,MIN(480,(INT(L187/100)-INT(VALUE(F187)/100))*12+MOD(L187,100)-MOD(VALUE(F187),100))))))/V8_MTY_CUTOFF),1)</f>
        <v/>
      </c>
      <c r="AD187" s="14">
        <f>IF(AND(IF(OR(M187="",NOT(ISNUMBER(M187))),0,MAX(0,MIN(24,(INT(VALUE(F187)/100)-INT(M187/100))*12+MOD(VALUE(F187),100)-MOD(M187,100))))&gt;0,IF(OR(M187="",NOT(ISNUMBER(M187))),0,MAX(0,MIN(24,(INT(VALUE(F187)/100)-INT(M187/100))*12+MOD(VALUE(F187),100)-MOD(M187,100))))&lt;=12),1+V8_LOCKOUT_AMP*EXP(-(IF(OR(M187="",NOT(ISNUMBER(M187))),0,MAX(0,MIN(24,(INT(VALUE(F187)/100)-INT(M187/100))*12+MOD(VALUE(F187),100)-MOD(M187,100)))))/V8_LOCKOUT_TAU),1)</f>
        <v/>
      </c>
      <c r="AE187" s="14">
        <f>MAX(V8_BURN_FLOOR,1-V8_BURN_SLOPE*MIN(1,MAX(0,O187)))</f>
        <v/>
      </c>
      <c r="AF187" s="15">
        <f>MIN(Z187*AB187*AC187*AD187*AE187,0.2)</f>
        <v/>
      </c>
      <c r="AG187" s="16">
        <f>1-(1-AF187)^12</f>
        <v/>
      </c>
    </row>
    <row r="188">
      <c r="A188" s="2" t="inlineStr">
        <is>
          <t>000005422029</t>
        </is>
      </c>
      <c r="B188" t="inlineStr">
        <is>
          <t>232</t>
        </is>
      </c>
      <c r="C188" t="inlineStr">
        <is>
          <t>RP</t>
        </is>
      </c>
      <c r="D188" t="inlineStr">
        <is>
          <t>CAPITAL FUNDING,LLC.</t>
        </is>
      </c>
      <c r="E188" t="n">
        <v>2015</v>
      </c>
      <c r="F188" t="inlineStr">
        <is>
          <t>202602</t>
        </is>
      </c>
      <c r="G188" s="8" t="n">
        <v>2942810.86</v>
      </c>
      <c r="H188" s="12" t="n">
        <v>3.99</v>
      </c>
      <c r="I188" s="13" t="n">
        <v>447</v>
      </c>
      <c r="J188" s="13" t="n">
        <v>0</v>
      </c>
      <c r="K188" t="n">
        <v>130</v>
      </c>
      <c r="L188" t="n">
        <v>204308</v>
      </c>
      <c r="M188" t="inlineStr"/>
      <c r="N188" t="n">
        <v>36</v>
      </c>
      <c r="O188" s="14" t="n">
        <v>0.2769230769230769</v>
      </c>
      <c r="P188">
        <f>IF(ISNUMBER(SEARCH("232",B188)),"232",IF(ISNUMBER(SEARCH("538",B188)),"538",IF(ISNUMBER(SEARCH("223a7",B188)),"223a7",IF(ISNUMBER(SEARCH("223f",B188)),"223f","OTHER"))))</f>
        <v/>
      </c>
      <c r="Q188">
        <f>IF(UPPER(C188)="NC","NC","RP")</f>
        <v/>
      </c>
      <c r="R188">
        <f>IF(G188&lt;5000000,"small",IF(G188&lt;25000000,"medium","large"))</f>
        <v/>
      </c>
      <c r="S188">
        <f>P188&amp;"|"&amp;Q188&amp;"|"&amp;R188</f>
        <v/>
      </c>
      <c r="T188" s="13">
        <f>H188*100-I188</f>
        <v/>
      </c>
      <c r="U188" s="13">
        <f>T188-12.5*(J188+1)</f>
        <v/>
      </c>
      <c r="V188" s="15">
        <f>IFERROR(VLOOKUP(S188,V8_COHORT_TABLE,2,FALSE),IFERROR(VLOOKUP(P188&amp;"|"&amp;Q188&amp;"|ALL",V8_COHORT_TABLE,2,FALSE),IFERROR(VLOOKUP(P188&amp;"|ALL|ALL",V8_COHORT_TABLE,2,FALSE),VLOOKUP("GLOBAL",V8_COHORT_TABLE,2,FALSE))))</f>
        <v/>
      </c>
      <c r="W188" s="15">
        <f>IFERROR(VLOOKUP(S188,V8_COHORT_TABLE,3,FALSE),IFERROR(VLOOKUP(P188&amp;"|"&amp;Q188&amp;"|ALL",V8_COHORT_TABLE,3,FALSE),IFERROR(VLOOKUP(P188&amp;"|ALL|ALL",V8_COHORT_TABLE,3,FALSE),VLOOKUP("GLOBAL",V8_COHORT_TABLE,3,FALSE))))</f>
        <v/>
      </c>
      <c r="X188" s="15">
        <f>IFERROR(VLOOKUP(S188,V8_COHORT_TABLE,4,FALSE),IFERROR(VLOOKUP(P188&amp;"|"&amp;Q188&amp;"|ALL",V8_COHORT_TABLE,4,FALSE),IFERROR(VLOOKUP(P188&amp;"|ALL|ALL",V8_COHORT_TABLE,4,FALSE),VLOOKUP("GLOBAL",V8_COHORT_TABLE,4,FALSE))))</f>
        <v/>
      </c>
      <c r="Y188" s="15">
        <f>IFERROR(VLOOKUP(S188,V8_COHORT_TABLE,5,FALSE),IFERROR(VLOOKUP(P188&amp;"|"&amp;Q188&amp;"|ALL",V8_COHORT_TABLE,5,FALSE),IFERROR(VLOOKUP(P188&amp;"|ALL|ALL",V8_COHORT_TABLE,5,FALSE),VLOOKUP("GLOBAL",V8_COHORT_TABLE,5,FALSE))))</f>
        <v/>
      </c>
      <c r="Z188" s="15">
        <f>V188+W188/(1+EXP(-(U188-X188)/Y188))</f>
        <v/>
      </c>
      <c r="AA188" s="16">
        <f>1-(1-Z188)^12</f>
        <v/>
      </c>
      <c r="AB188" s="14">
        <f>IF(K188&lt;=V8_AGE_KNOT_X_0,V8_AGE_KNOT_Y_0,IF(K188&gt;=V8_AGE_KNOT_X_5,V8_AGE_KNOT_Y_5,IF(K188&lt;=V8_AGE_KNOT_X_1,V8_AGE_KNOT_Y_0+(K188-V8_AGE_KNOT_X_0)/(V8_AGE_KNOT_X_1-V8_AGE_KNOT_X_0)*(V8_AGE_KNOT_Y_1-V8_AGE_KNOT_Y_0),IF(K188&lt;=V8_AGE_KNOT_X_2,V8_AGE_KNOT_Y_1+(K188-V8_AGE_KNOT_X_1)/(V8_AGE_KNOT_X_2-V8_AGE_KNOT_X_1)*(V8_AGE_KNOT_Y_2-V8_AGE_KNOT_Y_1),IF(K188&lt;=V8_AGE_KNOT_X_3,V8_AGE_KNOT_Y_2+(K188-V8_AGE_KNOT_X_2)/(V8_AGE_KNOT_X_3-V8_AGE_KNOT_X_2)*(V8_AGE_KNOT_Y_3-V8_AGE_KNOT_Y_2),IF(K188&lt;=V8_AGE_KNOT_X_4,V8_AGE_KNOT_Y_3+(K188-V8_AGE_KNOT_X_3)/(V8_AGE_KNOT_X_4-V8_AGE_KNOT_X_3)*(V8_AGE_KNOT_Y_4-V8_AGE_KNOT_Y_3),V8_AGE_KNOT_Y_4+(K188-V8_AGE_KNOT_X_4)/(V8_AGE_KNOT_X_5-V8_AGE_KNOT_X_4)*(V8_AGE_KNOT_Y_5-V8_AGE_KNOT_Y_4)))))))</f>
        <v/>
      </c>
      <c r="AC188" s="14">
        <f>IF(IF(OR(L188="",NOT(ISNUMBER(L188))),360,MAX(0,MIN(480,(INT(L188/100)-INT(VALUE(F188)/100))*12+MOD(L188,100)-MOD(VALUE(F188),100))))&gt;0,1+V8_MTY_AMP*MAX(0,(V8_MTY_CUTOFF-(IF(OR(L188="",NOT(ISNUMBER(L188))),360,MAX(0,MIN(480,(INT(L188/100)-INT(VALUE(F188)/100))*12+MOD(L188,100)-MOD(VALUE(F188),100))))))/V8_MTY_CUTOFF),1)</f>
        <v/>
      </c>
      <c r="AD188" s="14">
        <f>IF(AND(IF(OR(M188="",NOT(ISNUMBER(M188))),0,MAX(0,MIN(24,(INT(VALUE(F188)/100)-INT(M188/100))*12+MOD(VALUE(F188),100)-MOD(M188,100))))&gt;0,IF(OR(M188="",NOT(ISNUMBER(M188))),0,MAX(0,MIN(24,(INT(VALUE(F188)/100)-INT(M188/100))*12+MOD(VALUE(F188),100)-MOD(M188,100))))&lt;=12),1+V8_LOCKOUT_AMP*EXP(-(IF(OR(M188="",NOT(ISNUMBER(M188))),0,MAX(0,MIN(24,(INT(VALUE(F188)/100)-INT(M188/100))*12+MOD(VALUE(F188),100)-MOD(M188,100)))))/V8_LOCKOUT_TAU),1)</f>
        <v/>
      </c>
      <c r="AE188" s="14">
        <f>MAX(V8_BURN_FLOOR,1-V8_BURN_SLOPE*MIN(1,MAX(0,O188)))</f>
        <v/>
      </c>
      <c r="AF188" s="15">
        <f>MIN(Z188*AB188*AC188*AD188*AE188,0.2)</f>
        <v/>
      </c>
      <c r="AG188" s="16">
        <f>1-(1-AF188)^12</f>
        <v/>
      </c>
    </row>
    <row r="189">
      <c r="A189" s="2" t="inlineStr">
        <is>
          <t>000001422129</t>
        </is>
      </c>
      <c r="B189" t="inlineStr">
        <is>
          <t>232</t>
        </is>
      </c>
      <c r="C189" t="inlineStr">
        <is>
          <t>RP</t>
        </is>
      </c>
      <c r="D189" t="inlineStr">
        <is>
          <t>CAPITAL FUNDING,LLC.</t>
        </is>
      </c>
      <c r="E189" t="n">
        <v>2016</v>
      </c>
      <c r="F189" t="inlineStr">
        <is>
          <t>202602</t>
        </is>
      </c>
      <c r="G189" s="8" t="n">
        <v>2741628</v>
      </c>
      <c r="H189" s="12" t="n">
        <v>3.45</v>
      </c>
      <c r="I189" s="13" t="n">
        <v>447</v>
      </c>
      <c r="J189" s="13" t="n">
        <v>1</v>
      </c>
      <c r="K189" t="n">
        <v>119</v>
      </c>
      <c r="L189" t="n">
        <v>204204</v>
      </c>
      <c r="M189" t="inlineStr"/>
      <c r="N189" t="n">
        <v>28</v>
      </c>
      <c r="O189" s="14" t="n">
        <v>0.2352941176470588</v>
      </c>
      <c r="P189">
        <f>IF(ISNUMBER(SEARCH("232",B189)),"232",IF(ISNUMBER(SEARCH("538",B189)),"538",IF(ISNUMBER(SEARCH("223a7",B189)),"223a7",IF(ISNUMBER(SEARCH("223f",B189)),"223f","OTHER"))))</f>
        <v/>
      </c>
      <c r="Q189">
        <f>IF(UPPER(C189)="NC","NC","RP")</f>
        <v/>
      </c>
      <c r="R189">
        <f>IF(G189&lt;5000000,"small",IF(G189&lt;25000000,"medium","large"))</f>
        <v/>
      </c>
      <c r="S189">
        <f>P189&amp;"|"&amp;Q189&amp;"|"&amp;R189</f>
        <v/>
      </c>
      <c r="T189" s="13">
        <f>H189*100-I189</f>
        <v/>
      </c>
      <c r="U189" s="13">
        <f>T189-12.5*(J189+1)</f>
        <v/>
      </c>
      <c r="V189" s="15">
        <f>IFERROR(VLOOKUP(S189,V8_COHORT_TABLE,2,FALSE),IFERROR(VLOOKUP(P189&amp;"|"&amp;Q189&amp;"|ALL",V8_COHORT_TABLE,2,FALSE),IFERROR(VLOOKUP(P189&amp;"|ALL|ALL",V8_COHORT_TABLE,2,FALSE),VLOOKUP("GLOBAL",V8_COHORT_TABLE,2,FALSE))))</f>
        <v/>
      </c>
      <c r="W189" s="15">
        <f>IFERROR(VLOOKUP(S189,V8_COHORT_TABLE,3,FALSE),IFERROR(VLOOKUP(P189&amp;"|"&amp;Q189&amp;"|ALL",V8_COHORT_TABLE,3,FALSE),IFERROR(VLOOKUP(P189&amp;"|ALL|ALL",V8_COHORT_TABLE,3,FALSE),VLOOKUP("GLOBAL",V8_COHORT_TABLE,3,FALSE))))</f>
        <v/>
      </c>
      <c r="X189" s="15">
        <f>IFERROR(VLOOKUP(S189,V8_COHORT_TABLE,4,FALSE),IFERROR(VLOOKUP(P189&amp;"|"&amp;Q189&amp;"|ALL",V8_COHORT_TABLE,4,FALSE),IFERROR(VLOOKUP(P189&amp;"|ALL|ALL",V8_COHORT_TABLE,4,FALSE),VLOOKUP("GLOBAL",V8_COHORT_TABLE,4,FALSE))))</f>
        <v/>
      </c>
      <c r="Y189" s="15">
        <f>IFERROR(VLOOKUP(S189,V8_COHORT_TABLE,5,FALSE),IFERROR(VLOOKUP(P189&amp;"|"&amp;Q189&amp;"|ALL",V8_COHORT_TABLE,5,FALSE),IFERROR(VLOOKUP(P189&amp;"|ALL|ALL",V8_COHORT_TABLE,5,FALSE),VLOOKUP("GLOBAL",V8_COHORT_TABLE,5,FALSE))))</f>
        <v/>
      </c>
      <c r="Z189" s="15">
        <f>V189+W189/(1+EXP(-(U189-X189)/Y189))</f>
        <v/>
      </c>
      <c r="AA189" s="16">
        <f>1-(1-Z189)^12</f>
        <v/>
      </c>
      <c r="AB189" s="14">
        <f>IF(K189&lt;=V8_AGE_KNOT_X_0,V8_AGE_KNOT_Y_0,IF(K189&gt;=V8_AGE_KNOT_X_5,V8_AGE_KNOT_Y_5,IF(K189&lt;=V8_AGE_KNOT_X_1,V8_AGE_KNOT_Y_0+(K189-V8_AGE_KNOT_X_0)/(V8_AGE_KNOT_X_1-V8_AGE_KNOT_X_0)*(V8_AGE_KNOT_Y_1-V8_AGE_KNOT_Y_0),IF(K189&lt;=V8_AGE_KNOT_X_2,V8_AGE_KNOT_Y_1+(K189-V8_AGE_KNOT_X_1)/(V8_AGE_KNOT_X_2-V8_AGE_KNOT_X_1)*(V8_AGE_KNOT_Y_2-V8_AGE_KNOT_Y_1),IF(K189&lt;=V8_AGE_KNOT_X_3,V8_AGE_KNOT_Y_2+(K189-V8_AGE_KNOT_X_2)/(V8_AGE_KNOT_X_3-V8_AGE_KNOT_X_2)*(V8_AGE_KNOT_Y_3-V8_AGE_KNOT_Y_2),IF(K189&lt;=V8_AGE_KNOT_X_4,V8_AGE_KNOT_Y_3+(K189-V8_AGE_KNOT_X_3)/(V8_AGE_KNOT_X_4-V8_AGE_KNOT_X_3)*(V8_AGE_KNOT_Y_4-V8_AGE_KNOT_Y_3),V8_AGE_KNOT_Y_4+(K189-V8_AGE_KNOT_X_4)/(V8_AGE_KNOT_X_5-V8_AGE_KNOT_X_4)*(V8_AGE_KNOT_Y_5-V8_AGE_KNOT_Y_4)))))))</f>
        <v/>
      </c>
      <c r="AC189" s="14">
        <f>IF(IF(OR(L189="",NOT(ISNUMBER(L189))),360,MAX(0,MIN(480,(INT(L189/100)-INT(VALUE(F189)/100))*12+MOD(L189,100)-MOD(VALUE(F189),100))))&gt;0,1+V8_MTY_AMP*MAX(0,(V8_MTY_CUTOFF-(IF(OR(L189="",NOT(ISNUMBER(L189))),360,MAX(0,MIN(480,(INT(L189/100)-INT(VALUE(F189)/100))*12+MOD(L189,100)-MOD(VALUE(F189),100))))))/V8_MTY_CUTOFF),1)</f>
        <v/>
      </c>
      <c r="AD189" s="14">
        <f>IF(AND(IF(OR(M189="",NOT(ISNUMBER(M189))),0,MAX(0,MIN(24,(INT(VALUE(F189)/100)-INT(M189/100))*12+MOD(VALUE(F189),100)-MOD(M189,100))))&gt;0,IF(OR(M189="",NOT(ISNUMBER(M189))),0,MAX(0,MIN(24,(INT(VALUE(F189)/100)-INT(M189/100))*12+MOD(VALUE(F189),100)-MOD(M189,100))))&lt;=12),1+V8_LOCKOUT_AMP*EXP(-(IF(OR(M189="",NOT(ISNUMBER(M189))),0,MAX(0,MIN(24,(INT(VALUE(F189)/100)-INT(M189/100))*12+MOD(VALUE(F189),100)-MOD(M189,100)))))/V8_LOCKOUT_TAU),1)</f>
        <v/>
      </c>
      <c r="AE189" s="14">
        <f>MAX(V8_BURN_FLOOR,1-V8_BURN_SLOPE*MIN(1,MAX(0,O189)))</f>
        <v/>
      </c>
      <c r="AF189" s="15">
        <f>MIN(Z189*AB189*AC189*AD189*AE189,0.2)</f>
        <v/>
      </c>
      <c r="AG189" s="16">
        <f>1-(1-AF189)^12</f>
        <v/>
      </c>
    </row>
    <row r="190">
      <c r="A190" s="2" t="inlineStr">
        <is>
          <t>000006622055</t>
        </is>
      </c>
      <c r="B190" t="inlineStr">
        <is>
          <t>232</t>
        </is>
      </c>
      <c r="C190" t="inlineStr">
        <is>
          <t>RP</t>
        </is>
      </c>
      <c r="D190" t="inlineStr">
        <is>
          <t>CAPITAL FUNDING,LLC.</t>
        </is>
      </c>
      <c r="E190" t="n">
        <v>2011</v>
      </c>
      <c r="F190" t="inlineStr">
        <is>
          <t>202602</t>
        </is>
      </c>
      <c r="G190" s="8" t="n">
        <v>6953967.51</v>
      </c>
      <c r="H190" s="12" t="n">
        <v>2.73</v>
      </c>
      <c r="I190" s="13" t="n">
        <v>447</v>
      </c>
      <c r="J190" s="13" t="n">
        <v>2</v>
      </c>
      <c r="K190" t="n">
        <v>170</v>
      </c>
      <c r="L190" t="n">
        <v>204701</v>
      </c>
      <c r="M190" t="inlineStr"/>
      <c r="N190" t="n">
        <v>4</v>
      </c>
      <c r="O190" s="14" t="n">
        <v>0.02352941176470588</v>
      </c>
      <c r="P190">
        <f>IF(ISNUMBER(SEARCH("232",B190)),"232",IF(ISNUMBER(SEARCH("538",B190)),"538",IF(ISNUMBER(SEARCH("223a7",B190)),"223a7",IF(ISNUMBER(SEARCH("223f",B190)),"223f","OTHER"))))</f>
        <v/>
      </c>
      <c r="Q190">
        <f>IF(UPPER(C190)="NC","NC","RP")</f>
        <v/>
      </c>
      <c r="R190">
        <f>IF(G190&lt;5000000,"small",IF(G190&lt;25000000,"medium","large"))</f>
        <v/>
      </c>
      <c r="S190">
        <f>P190&amp;"|"&amp;Q190&amp;"|"&amp;R190</f>
        <v/>
      </c>
      <c r="T190" s="13">
        <f>H190*100-I190</f>
        <v/>
      </c>
      <c r="U190" s="13">
        <f>T190-12.5*(J190+1)</f>
        <v/>
      </c>
      <c r="V190" s="15">
        <f>IFERROR(VLOOKUP(S190,V8_COHORT_TABLE,2,FALSE),IFERROR(VLOOKUP(P190&amp;"|"&amp;Q190&amp;"|ALL",V8_COHORT_TABLE,2,FALSE),IFERROR(VLOOKUP(P190&amp;"|ALL|ALL",V8_COHORT_TABLE,2,FALSE),VLOOKUP("GLOBAL",V8_COHORT_TABLE,2,FALSE))))</f>
        <v/>
      </c>
      <c r="W190" s="15">
        <f>IFERROR(VLOOKUP(S190,V8_COHORT_TABLE,3,FALSE),IFERROR(VLOOKUP(P190&amp;"|"&amp;Q190&amp;"|ALL",V8_COHORT_TABLE,3,FALSE),IFERROR(VLOOKUP(P190&amp;"|ALL|ALL",V8_COHORT_TABLE,3,FALSE),VLOOKUP("GLOBAL",V8_COHORT_TABLE,3,FALSE))))</f>
        <v/>
      </c>
      <c r="X190" s="15">
        <f>IFERROR(VLOOKUP(S190,V8_COHORT_TABLE,4,FALSE),IFERROR(VLOOKUP(P190&amp;"|"&amp;Q190&amp;"|ALL",V8_COHORT_TABLE,4,FALSE),IFERROR(VLOOKUP(P190&amp;"|ALL|ALL",V8_COHORT_TABLE,4,FALSE),VLOOKUP("GLOBAL",V8_COHORT_TABLE,4,FALSE))))</f>
        <v/>
      </c>
      <c r="Y190" s="15">
        <f>IFERROR(VLOOKUP(S190,V8_COHORT_TABLE,5,FALSE),IFERROR(VLOOKUP(P190&amp;"|"&amp;Q190&amp;"|ALL",V8_COHORT_TABLE,5,FALSE),IFERROR(VLOOKUP(P190&amp;"|ALL|ALL",V8_COHORT_TABLE,5,FALSE),VLOOKUP("GLOBAL",V8_COHORT_TABLE,5,FALSE))))</f>
        <v/>
      </c>
      <c r="Z190" s="15">
        <f>V190+W190/(1+EXP(-(U190-X190)/Y190))</f>
        <v/>
      </c>
      <c r="AA190" s="16">
        <f>1-(1-Z190)^12</f>
        <v/>
      </c>
      <c r="AB190" s="14">
        <f>IF(K190&lt;=V8_AGE_KNOT_X_0,V8_AGE_KNOT_Y_0,IF(K190&gt;=V8_AGE_KNOT_X_5,V8_AGE_KNOT_Y_5,IF(K190&lt;=V8_AGE_KNOT_X_1,V8_AGE_KNOT_Y_0+(K190-V8_AGE_KNOT_X_0)/(V8_AGE_KNOT_X_1-V8_AGE_KNOT_X_0)*(V8_AGE_KNOT_Y_1-V8_AGE_KNOT_Y_0),IF(K190&lt;=V8_AGE_KNOT_X_2,V8_AGE_KNOT_Y_1+(K190-V8_AGE_KNOT_X_1)/(V8_AGE_KNOT_X_2-V8_AGE_KNOT_X_1)*(V8_AGE_KNOT_Y_2-V8_AGE_KNOT_Y_1),IF(K190&lt;=V8_AGE_KNOT_X_3,V8_AGE_KNOT_Y_2+(K190-V8_AGE_KNOT_X_2)/(V8_AGE_KNOT_X_3-V8_AGE_KNOT_X_2)*(V8_AGE_KNOT_Y_3-V8_AGE_KNOT_Y_2),IF(K190&lt;=V8_AGE_KNOT_X_4,V8_AGE_KNOT_Y_3+(K190-V8_AGE_KNOT_X_3)/(V8_AGE_KNOT_X_4-V8_AGE_KNOT_X_3)*(V8_AGE_KNOT_Y_4-V8_AGE_KNOT_Y_3),V8_AGE_KNOT_Y_4+(K190-V8_AGE_KNOT_X_4)/(V8_AGE_KNOT_X_5-V8_AGE_KNOT_X_4)*(V8_AGE_KNOT_Y_5-V8_AGE_KNOT_Y_4)))))))</f>
        <v/>
      </c>
      <c r="AC190" s="14">
        <f>IF(IF(OR(L190="",NOT(ISNUMBER(L190))),360,MAX(0,MIN(480,(INT(L190/100)-INT(VALUE(F190)/100))*12+MOD(L190,100)-MOD(VALUE(F190),100))))&gt;0,1+V8_MTY_AMP*MAX(0,(V8_MTY_CUTOFF-(IF(OR(L190="",NOT(ISNUMBER(L190))),360,MAX(0,MIN(480,(INT(L190/100)-INT(VALUE(F190)/100))*12+MOD(L190,100)-MOD(VALUE(F190),100))))))/V8_MTY_CUTOFF),1)</f>
        <v/>
      </c>
      <c r="AD190" s="14">
        <f>IF(AND(IF(OR(M190="",NOT(ISNUMBER(M190))),0,MAX(0,MIN(24,(INT(VALUE(F190)/100)-INT(M190/100))*12+MOD(VALUE(F190),100)-MOD(M190,100))))&gt;0,IF(OR(M190="",NOT(ISNUMBER(M190))),0,MAX(0,MIN(24,(INT(VALUE(F190)/100)-INT(M190/100))*12+MOD(VALUE(F190),100)-MOD(M190,100))))&lt;=12),1+V8_LOCKOUT_AMP*EXP(-(IF(OR(M190="",NOT(ISNUMBER(M190))),0,MAX(0,MIN(24,(INT(VALUE(F190)/100)-INT(M190/100))*12+MOD(VALUE(F190),100)-MOD(M190,100)))))/V8_LOCKOUT_TAU),1)</f>
        <v/>
      </c>
      <c r="AE190" s="14">
        <f>MAX(V8_BURN_FLOOR,1-V8_BURN_SLOPE*MIN(1,MAX(0,O190)))</f>
        <v/>
      </c>
      <c r="AF190" s="15">
        <f>MIN(Z190*AB190*AC190*AD190*AE190,0.2)</f>
        <v/>
      </c>
      <c r="AG190" s="16">
        <f>1-(1-AF190)^12</f>
        <v/>
      </c>
    </row>
    <row r="191">
      <c r="A191" s="2" t="inlineStr">
        <is>
          <t>000006722221</t>
        </is>
      </c>
      <c r="B191" t="inlineStr">
        <is>
          <t>232</t>
        </is>
      </c>
      <c r="C191" t="inlineStr">
        <is>
          <t>RP</t>
        </is>
      </c>
      <c r="D191" t="inlineStr">
        <is>
          <t>CAPITAL FUNDING,LLC.</t>
        </is>
      </c>
      <c r="E191" t="n">
        <v>2019</v>
      </c>
      <c r="F191" t="inlineStr">
        <is>
          <t>202602</t>
        </is>
      </c>
      <c r="G191" s="8" t="n">
        <v>15417164.1</v>
      </c>
      <c r="H191" s="12" t="n">
        <v>4.15</v>
      </c>
      <c r="I191" s="13" t="n">
        <v>447</v>
      </c>
      <c r="J191" s="13" t="n">
        <v>4</v>
      </c>
      <c r="K191" t="n">
        <v>82</v>
      </c>
      <c r="L191" t="n">
        <v>205405</v>
      </c>
      <c r="M191" t="inlineStr"/>
      <c r="N191" t="n">
        <v>34</v>
      </c>
      <c r="O191" s="14" t="n">
        <v>0.4146341463414634</v>
      </c>
      <c r="P191">
        <f>IF(ISNUMBER(SEARCH("232",B191)),"232",IF(ISNUMBER(SEARCH("538",B191)),"538",IF(ISNUMBER(SEARCH("223a7",B191)),"223a7",IF(ISNUMBER(SEARCH("223f",B191)),"223f","OTHER"))))</f>
        <v/>
      </c>
      <c r="Q191">
        <f>IF(UPPER(C191)="NC","NC","RP")</f>
        <v/>
      </c>
      <c r="R191">
        <f>IF(G191&lt;5000000,"small",IF(G191&lt;25000000,"medium","large"))</f>
        <v/>
      </c>
      <c r="S191">
        <f>P191&amp;"|"&amp;Q191&amp;"|"&amp;R191</f>
        <v/>
      </c>
      <c r="T191" s="13">
        <f>H191*100-I191</f>
        <v/>
      </c>
      <c r="U191" s="13">
        <f>T191-12.5*(J191+1)</f>
        <v/>
      </c>
      <c r="V191" s="15">
        <f>IFERROR(VLOOKUP(S191,V8_COHORT_TABLE,2,FALSE),IFERROR(VLOOKUP(P191&amp;"|"&amp;Q191&amp;"|ALL",V8_COHORT_TABLE,2,FALSE),IFERROR(VLOOKUP(P191&amp;"|ALL|ALL",V8_COHORT_TABLE,2,FALSE),VLOOKUP("GLOBAL",V8_COHORT_TABLE,2,FALSE))))</f>
        <v/>
      </c>
      <c r="W191" s="15">
        <f>IFERROR(VLOOKUP(S191,V8_COHORT_TABLE,3,FALSE),IFERROR(VLOOKUP(P191&amp;"|"&amp;Q191&amp;"|ALL",V8_COHORT_TABLE,3,FALSE),IFERROR(VLOOKUP(P191&amp;"|ALL|ALL",V8_COHORT_TABLE,3,FALSE),VLOOKUP("GLOBAL",V8_COHORT_TABLE,3,FALSE))))</f>
        <v/>
      </c>
      <c r="X191" s="15">
        <f>IFERROR(VLOOKUP(S191,V8_COHORT_TABLE,4,FALSE),IFERROR(VLOOKUP(P191&amp;"|"&amp;Q191&amp;"|ALL",V8_COHORT_TABLE,4,FALSE),IFERROR(VLOOKUP(P191&amp;"|ALL|ALL",V8_COHORT_TABLE,4,FALSE),VLOOKUP("GLOBAL",V8_COHORT_TABLE,4,FALSE))))</f>
        <v/>
      </c>
      <c r="Y191" s="15">
        <f>IFERROR(VLOOKUP(S191,V8_COHORT_TABLE,5,FALSE),IFERROR(VLOOKUP(P191&amp;"|"&amp;Q191&amp;"|ALL",V8_COHORT_TABLE,5,FALSE),IFERROR(VLOOKUP(P191&amp;"|ALL|ALL",V8_COHORT_TABLE,5,FALSE),VLOOKUP("GLOBAL",V8_COHORT_TABLE,5,FALSE))))</f>
        <v/>
      </c>
      <c r="Z191" s="15">
        <f>V191+W191/(1+EXP(-(U191-X191)/Y191))</f>
        <v/>
      </c>
      <c r="AA191" s="16">
        <f>1-(1-Z191)^12</f>
        <v/>
      </c>
      <c r="AB191" s="14">
        <f>IF(K191&lt;=V8_AGE_KNOT_X_0,V8_AGE_KNOT_Y_0,IF(K191&gt;=V8_AGE_KNOT_X_5,V8_AGE_KNOT_Y_5,IF(K191&lt;=V8_AGE_KNOT_X_1,V8_AGE_KNOT_Y_0+(K191-V8_AGE_KNOT_X_0)/(V8_AGE_KNOT_X_1-V8_AGE_KNOT_X_0)*(V8_AGE_KNOT_Y_1-V8_AGE_KNOT_Y_0),IF(K191&lt;=V8_AGE_KNOT_X_2,V8_AGE_KNOT_Y_1+(K191-V8_AGE_KNOT_X_1)/(V8_AGE_KNOT_X_2-V8_AGE_KNOT_X_1)*(V8_AGE_KNOT_Y_2-V8_AGE_KNOT_Y_1),IF(K191&lt;=V8_AGE_KNOT_X_3,V8_AGE_KNOT_Y_2+(K191-V8_AGE_KNOT_X_2)/(V8_AGE_KNOT_X_3-V8_AGE_KNOT_X_2)*(V8_AGE_KNOT_Y_3-V8_AGE_KNOT_Y_2),IF(K191&lt;=V8_AGE_KNOT_X_4,V8_AGE_KNOT_Y_3+(K191-V8_AGE_KNOT_X_3)/(V8_AGE_KNOT_X_4-V8_AGE_KNOT_X_3)*(V8_AGE_KNOT_Y_4-V8_AGE_KNOT_Y_3),V8_AGE_KNOT_Y_4+(K191-V8_AGE_KNOT_X_4)/(V8_AGE_KNOT_X_5-V8_AGE_KNOT_X_4)*(V8_AGE_KNOT_Y_5-V8_AGE_KNOT_Y_4)))))))</f>
        <v/>
      </c>
      <c r="AC191" s="14">
        <f>IF(IF(OR(L191="",NOT(ISNUMBER(L191))),360,MAX(0,MIN(480,(INT(L191/100)-INT(VALUE(F191)/100))*12+MOD(L191,100)-MOD(VALUE(F191),100))))&gt;0,1+V8_MTY_AMP*MAX(0,(V8_MTY_CUTOFF-(IF(OR(L191="",NOT(ISNUMBER(L191))),360,MAX(0,MIN(480,(INT(L191/100)-INT(VALUE(F191)/100))*12+MOD(L191,100)-MOD(VALUE(F191),100))))))/V8_MTY_CUTOFF),1)</f>
        <v/>
      </c>
      <c r="AD191" s="14">
        <f>IF(AND(IF(OR(M191="",NOT(ISNUMBER(M191))),0,MAX(0,MIN(24,(INT(VALUE(F191)/100)-INT(M191/100))*12+MOD(VALUE(F191),100)-MOD(M191,100))))&gt;0,IF(OR(M191="",NOT(ISNUMBER(M191))),0,MAX(0,MIN(24,(INT(VALUE(F191)/100)-INT(M191/100))*12+MOD(VALUE(F191),100)-MOD(M191,100))))&lt;=12),1+V8_LOCKOUT_AMP*EXP(-(IF(OR(M191="",NOT(ISNUMBER(M191))),0,MAX(0,MIN(24,(INT(VALUE(F191)/100)-INT(M191/100))*12+MOD(VALUE(F191),100)-MOD(M191,100)))))/V8_LOCKOUT_TAU),1)</f>
        <v/>
      </c>
      <c r="AE191" s="14">
        <f>MAX(V8_BURN_FLOOR,1-V8_BURN_SLOPE*MIN(1,MAX(0,O191)))</f>
        <v/>
      </c>
      <c r="AF191" s="15">
        <f>MIN(Z191*AB191*AC191*AD191*AE191,0.2)</f>
        <v/>
      </c>
      <c r="AG191" s="16">
        <f>1-(1-AF191)^12</f>
        <v/>
      </c>
    </row>
    <row r="192">
      <c r="A192" s="2" t="inlineStr">
        <is>
          <t>000004522073</t>
        </is>
      </c>
      <c r="B192" t="inlineStr">
        <is>
          <t>232</t>
        </is>
      </c>
      <c r="C192" t="inlineStr">
        <is>
          <t>RP</t>
        </is>
      </c>
      <c r="D192" t="inlineStr">
        <is>
          <t>CAPITAL FUNDING,LLC.</t>
        </is>
      </c>
      <c r="E192" t="n">
        <v>2021</v>
      </c>
      <c r="F192" t="inlineStr">
        <is>
          <t>202602</t>
        </is>
      </c>
      <c r="G192" s="8" t="n">
        <v>9321181.66</v>
      </c>
      <c r="H192" s="12" t="n">
        <v>2.54</v>
      </c>
      <c r="I192" s="13" t="n">
        <v>447</v>
      </c>
      <c r="J192" s="13" t="n">
        <v>6</v>
      </c>
      <c r="K192" t="n">
        <v>51</v>
      </c>
      <c r="L192" t="n">
        <v>205112</v>
      </c>
      <c r="M192" t="inlineStr"/>
      <c r="N192" t="n">
        <v>0</v>
      </c>
      <c r="O192" s="14" t="n">
        <v>0</v>
      </c>
      <c r="P192">
        <f>IF(ISNUMBER(SEARCH("232",B192)),"232",IF(ISNUMBER(SEARCH("538",B192)),"538",IF(ISNUMBER(SEARCH("223a7",B192)),"223a7",IF(ISNUMBER(SEARCH("223f",B192)),"223f","OTHER"))))</f>
        <v/>
      </c>
      <c r="Q192">
        <f>IF(UPPER(C192)="NC","NC","RP")</f>
        <v/>
      </c>
      <c r="R192">
        <f>IF(G192&lt;5000000,"small",IF(G192&lt;25000000,"medium","large"))</f>
        <v/>
      </c>
      <c r="S192">
        <f>P192&amp;"|"&amp;Q192&amp;"|"&amp;R192</f>
        <v/>
      </c>
      <c r="T192" s="13">
        <f>H192*100-I192</f>
        <v/>
      </c>
      <c r="U192" s="13">
        <f>T192-12.5*(J192+1)</f>
        <v/>
      </c>
      <c r="V192" s="15">
        <f>IFERROR(VLOOKUP(S192,V8_COHORT_TABLE,2,FALSE),IFERROR(VLOOKUP(P192&amp;"|"&amp;Q192&amp;"|ALL",V8_COHORT_TABLE,2,FALSE),IFERROR(VLOOKUP(P192&amp;"|ALL|ALL",V8_COHORT_TABLE,2,FALSE),VLOOKUP("GLOBAL",V8_COHORT_TABLE,2,FALSE))))</f>
        <v/>
      </c>
      <c r="W192" s="15">
        <f>IFERROR(VLOOKUP(S192,V8_COHORT_TABLE,3,FALSE),IFERROR(VLOOKUP(P192&amp;"|"&amp;Q192&amp;"|ALL",V8_COHORT_TABLE,3,FALSE),IFERROR(VLOOKUP(P192&amp;"|ALL|ALL",V8_COHORT_TABLE,3,FALSE),VLOOKUP("GLOBAL",V8_COHORT_TABLE,3,FALSE))))</f>
        <v/>
      </c>
      <c r="X192" s="15">
        <f>IFERROR(VLOOKUP(S192,V8_COHORT_TABLE,4,FALSE),IFERROR(VLOOKUP(P192&amp;"|"&amp;Q192&amp;"|ALL",V8_COHORT_TABLE,4,FALSE),IFERROR(VLOOKUP(P192&amp;"|ALL|ALL",V8_COHORT_TABLE,4,FALSE),VLOOKUP("GLOBAL",V8_COHORT_TABLE,4,FALSE))))</f>
        <v/>
      </c>
      <c r="Y192" s="15">
        <f>IFERROR(VLOOKUP(S192,V8_COHORT_TABLE,5,FALSE),IFERROR(VLOOKUP(P192&amp;"|"&amp;Q192&amp;"|ALL",V8_COHORT_TABLE,5,FALSE),IFERROR(VLOOKUP(P192&amp;"|ALL|ALL",V8_COHORT_TABLE,5,FALSE),VLOOKUP("GLOBAL",V8_COHORT_TABLE,5,FALSE))))</f>
        <v/>
      </c>
      <c r="Z192" s="15">
        <f>V192+W192/(1+EXP(-(U192-X192)/Y192))</f>
        <v/>
      </c>
      <c r="AA192" s="16">
        <f>1-(1-Z192)^12</f>
        <v/>
      </c>
      <c r="AB192" s="14">
        <f>IF(K192&lt;=V8_AGE_KNOT_X_0,V8_AGE_KNOT_Y_0,IF(K192&gt;=V8_AGE_KNOT_X_5,V8_AGE_KNOT_Y_5,IF(K192&lt;=V8_AGE_KNOT_X_1,V8_AGE_KNOT_Y_0+(K192-V8_AGE_KNOT_X_0)/(V8_AGE_KNOT_X_1-V8_AGE_KNOT_X_0)*(V8_AGE_KNOT_Y_1-V8_AGE_KNOT_Y_0),IF(K192&lt;=V8_AGE_KNOT_X_2,V8_AGE_KNOT_Y_1+(K192-V8_AGE_KNOT_X_1)/(V8_AGE_KNOT_X_2-V8_AGE_KNOT_X_1)*(V8_AGE_KNOT_Y_2-V8_AGE_KNOT_Y_1),IF(K192&lt;=V8_AGE_KNOT_X_3,V8_AGE_KNOT_Y_2+(K192-V8_AGE_KNOT_X_2)/(V8_AGE_KNOT_X_3-V8_AGE_KNOT_X_2)*(V8_AGE_KNOT_Y_3-V8_AGE_KNOT_Y_2),IF(K192&lt;=V8_AGE_KNOT_X_4,V8_AGE_KNOT_Y_3+(K192-V8_AGE_KNOT_X_3)/(V8_AGE_KNOT_X_4-V8_AGE_KNOT_X_3)*(V8_AGE_KNOT_Y_4-V8_AGE_KNOT_Y_3),V8_AGE_KNOT_Y_4+(K192-V8_AGE_KNOT_X_4)/(V8_AGE_KNOT_X_5-V8_AGE_KNOT_X_4)*(V8_AGE_KNOT_Y_5-V8_AGE_KNOT_Y_4)))))))</f>
        <v/>
      </c>
      <c r="AC192" s="14">
        <f>IF(IF(OR(L192="",NOT(ISNUMBER(L192))),360,MAX(0,MIN(480,(INT(L192/100)-INT(VALUE(F192)/100))*12+MOD(L192,100)-MOD(VALUE(F192),100))))&gt;0,1+V8_MTY_AMP*MAX(0,(V8_MTY_CUTOFF-(IF(OR(L192="",NOT(ISNUMBER(L192))),360,MAX(0,MIN(480,(INT(L192/100)-INT(VALUE(F192)/100))*12+MOD(L192,100)-MOD(VALUE(F192),100))))))/V8_MTY_CUTOFF),1)</f>
        <v/>
      </c>
      <c r="AD192" s="14">
        <f>IF(AND(IF(OR(M192="",NOT(ISNUMBER(M192))),0,MAX(0,MIN(24,(INT(VALUE(F192)/100)-INT(M192/100))*12+MOD(VALUE(F192),100)-MOD(M192,100))))&gt;0,IF(OR(M192="",NOT(ISNUMBER(M192))),0,MAX(0,MIN(24,(INT(VALUE(F192)/100)-INT(M192/100))*12+MOD(VALUE(F192),100)-MOD(M192,100))))&lt;=12),1+V8_LOCKOUT_AMP*EXP(-(IF(OR(M192="",NOT(ISNUMBER(M192))),0,MAX(0,MIN(24,(INT(VALUE(F192)/100)-INT(M192/100))*12+MOD(VALUE(F192),100)-MOD(M192,100)))))/V8_LOCKOUT_TAU),1)</f>
        <v/>
      </c>
      <c r="AE192" s="14">
        <f>MAX(V8_BURN_FLOOR,1-V8_BURN_SLOPE*MIN(1,MAX(0,O192)))</f>
        <v/>
      </c>
      <c r="AF192" s="15">
        <f>MIN(Z192*AB192*AC192*AD192*AE192,0.2)</f>
        <v/>
      </c>
      <c r="AG192" s="16">
        <f>1-(1-AF192)^12</f>
        <v/>
      </c>
    </row>
    <row r="193">
      <c r="A193" s="2" t="inlineStr">
        <is>
          <t>000008722062</t>
        </is>
      </c>
      <c r="B193" t="inlineStr">
        <is>
          <t>232</t>
        </is>
      </c>
      <c r="C193" t="inlineStr">
        <is>
          <t>RP</t>
        </is>
      </c>
      <c r="D193" t="inlineStr">
        <is>
          <t>CAPITAL FUNDING,LLC.</t>
        </is>
      </c>
      <c r="E193" t="n">
        <v>2025</v>
      </c>
      <c r="F193" t="inlineStr">
        <is>
          <t>202602</t>
        </is>
      </c>
      <c r="G193" s="8" t="n">
        <v>10905106.68</v>
      </c>
      <c r="H193" s="12" t="n">
        <v>6.02</v>
      </c>
      <c r="I193" s="13" t="n">
        <v>447</v>
      </c>
      <c r="J193" s="13" t="n">
        <v>10</v>
      </c>
      <c r="K193" t="n">
        <v>6</v>
      </c>
      <c r="L193" t="n">
        <v>205509</v>
      </c>
      <c r="M193" t="inlineStr"/>
      <c r="N193" t="n">
        <v>1</v>
      </c>
      <c r="O193" s="14" t="n">
        <v>0.1666666666666667</v>
      </c>
      <c r="P193">
        <f>IF(ISNUMBER(SEARCH("232",B193)),"232",IF(ISNUMBER(SEARCH("538",B193)),"538",IF(ISNUMBER(SEARCH("223a7",B193)),"223a7",IF(ISNUMBER(SEARCH("223f",B193)),"223f","OTHER"))))</f>
        <v/>
      </c>
      <c r="Q193">
        <f>IF(UPPER(C193)="NC","NC","RP")</f>
        <v/>
      </c>
      <c r="R193">
        <f>IF(G193&lt;5000000,"small",IF(G193&lt;25000000,"medium","large"))</f>
        <v/>
      </c>
      <c r="S193">
        <f>P193&amp;"|"&amp;Q193&amp;"|"&amp;R193</f>
        <v/>
      </c>
      <c r="T193" s="13">
        <f>H193*100-I193</f>
        <v/>
      </c>
      <c r="U193" s="13">
        <f>T193-12.5*(J193+1)</f>
        <v/>
      </c>
      <c r="V193" s="15">
        <f>IFERROR(VLOOKUP(S193,V8_COHORT_TABLE,2,FALSE),IFERROR(VLOOKUP(P193&amp;"|"&amp;Q193&amp;"|ALL",V8_COHORT_TABLE,2,FALSE),IFERROR(VLOOKUP(P193&amp;"|ALL|ALL",V8_COHORT_TABLE,2,FALSE),VLOOKUP("GLOBAL",V8_COHORT_TABLE,2,FALSE))))</f>
        <v/>
      </c>
      <c r="W193" s="15">
        <f>IFERROR(VLOOKUP(S193,V8_COHORT_TABLE,3,FALSE),IFERROR(VLOOKUP(P193&amp;"|"&amp;Q193&amp;"|ALL",V8_COHORT_TABLE,3,FALSE),IFERROR(VLOOKUP(P193&amp;"|ALL|ALL",V8_COHORT_TABLE,3,FALSE),VLOOKUP("GLOBAL",V8_COHORT_TABLE,3,FALSE))))</f>
        <v/>
      </c>
      <c r="X193" s="15">
        <f>IFERROR(VLOOKUP(S193,V8_COHORT_TABLE,4,FALSE),IFERROR(VLOOKUP(P193&amp;"|"&amp;Q193&amp;"|ALL",V8_COHORT_TABLE,4,FALSE),IFERROR(VLOOKUP(P193&amp;"|ALL|ALL",V8_COHORT_TABLE,4,FALSE),VLOOKUP("GLOBAL",V8_COHORT_TABLE,4,FALSE))))</f>
        <v/>
      </c>
      <c r="Y193" s="15">
        <f>IFERROR(VLOOKUP(S193,V8_COHORT_TABLE,5,FALSE),IFERROR(VLOOKUP(P193&amp;"|"&amp;Q193&amp;"|ALL",V8_COHORT_TABLE,5,FALSE),IFERROR(VLOOKUP(P193&amp;"|ALL|ALL",V8_COHORT_TABLE,5,FALSE),VLOOKUP("GLOBAL",V8_COHORT_TABLE,5,FALSE))))</f>
        <v/>
      </c>
      <c r="Z193" s="15">
        <f>V193+W193/(1+EXP(-(U193-X193)/Y193))</f>
        <v/>
      </c>
      <c r="AA193" s="16">
        <f>1-(1-Z193)^12</f>
        <v/>
      </c>
      <c r="AB193" s="14">
        <f>IF(K193&lt;=V8_AGE_KNOT_X_0,V8_AGE_KNOT_Y_0,IF(K193&gt;=V8_AGE_KNOT_X_5,V8_AGE_KNOT_Y_5,IF(K193&lt;=V8_AGE_KNOT_X_1,V8_AGE_KNOT_Y_0+(K193-V8_AGE_KNOT_X_0)/(V8_AGE_KNOT_X_1-V8_AGE_KNOT_X_0)*(V8_AGE_KNOT_Y_1-V8_AGE_KNOT_Y_0),IF(K193&lt;=V8_AGE_KNOT_X_2,V8_AGE_KNOT_Y_1+(K193-V8_AGE_KNOT_X_1)/(V8_AGE_KNOT_X_2-V8_AGE_KNOT_X_1)*(V8_AGE_KNOT_Y_2-V8_AGE_KNOT_Y_1),IF(K193&lt;=V8_AGE_KNOT_X_3,V8_AGE_KNOT_Y_2+(K193-V8_AGE_KNOT_X_2)/(V8_AGE_KNOT_X_3-V8_AGE_KNOT_X_2)*(V8_AGE_KNOT_Y_3-V8_AGE_KNOT_Y_2),IF(K193&lt;=V8_AGE_KNOT_X_4,V8_AGE_KNOT_Y_3+(K193-V8_AGE_KNOT_X_3)/(V8_AGE_KNOT_X_4-V8_AGE_KNOT_X_3)*(V8_AGE_KNOT_Y_4-V8_AGE_KNOT_Y_3),V8_AGE_KNOT_Y_4+(K193-V8_AGE_KNOT_X_4)/(V8_AGE_KNOT_X_5-V8_AGE_KNOT_X_4)*(V8_AGE_KNOT_Y_5-V8_AGE_KNOT_Y_4)))))))</f>
        <v/>
      </c>
      <c r="AC193" s="14">
        <f>IF(IF(OR(L193="",NOT(ISNUMBER(L193))),360,MAX(0,MIN(480,(INT(L193/100)-INT(VALUE(F193)/100))*12+MOD(L193,100)-MOD(VALUE(F193),100))))&gt;0,1+V8_MTY_AMP*MAX(0,(V8_MTY_CUTOFF-(IF(OR(L193="",NOT(ISNUMBER(L193))),360,MAX(0,MIN(480,(INT(L193/100)-INT(VALUE(F193)/100))*12+MOD(L193,100)-MOD(VALUE(F193),100))))))/V8_MTY_CUTOFF),1)</f>
        <v/>
      </c>
      <c r="AD193" s="14">
        <f>IF(AND(IF(OR(M193="",NOT(ISNUMBER(M193))),0,MAX(0,MIN(24,(INT(VALUE(F193)/100)-INT(M193/100))*12+MOD(VALUE(F193),100)-MOD(M193,100))))&gt;0,IF(OR(M193="",NOT(ISNUMBER(M193))),0,MAX(0,MIN(24,(INT(VALUE(F193)/100)-INT(M193/100))*12+MOD(VALUE(F193),100)-MOD(M193,100))))&lt;=12),1+V8_LOCKOUT_AMP*EXP(-(IF(OR(M193="",NOT(ISNUMBER(M193))),0,MAX(0,MIN(24,(INT(VALUE(F193)/100)-INT(M193/100))*12+MOD(VALUE(F193),100)-MOD(M193,100)))))/V8_LOCKOUT_TAU),1)</f>
        <v/>
      </c>
      <c r="AE193" s="14">
        <f>MAX(V8_BURN_FLOOR,1-V8_BURN_SLOPE*MIN(1,MAX(0,O193)))</f>
        <v/>
      </c>
      <c r="AF193" s="15">
        <f>MIN(Z193*AB193*AC193*AD193*AE193,0.2)</f>
        <v/>
      </c>
      <c r="AG193" s="16">
        <f>1-(1-AF193)^12</f>
        <v/>
      </c>
    </row>
    <row r="194">
      <c r="A194" s="2" t="inlineStr">
        <is>
          <t>000007422031</t>
        </is>
      </c>
      <c r="B194" t="inlineStr">
        <is>
          <t>232</t>
        </is>
      </c>
      <c r="C194" t="inlineStr">
        <is>
          <t>RP</t>
        </is>
      </c>
      <c r="D194" t="inlineStr">
        <is>
          <t>CAPITAL FUNDING,LLC.</t>
        </is>
      </c>
      <c r="E194" t="n">
        <v>2013</v>
      </c>
      <c r="F194" t="inlineStr">
        <is>
          <t>202602</t>
        </is>
      </c>
      <c r="G194" s="8" t="n">
        <v>1352228.66</v>
      </c>
      <c r="H194" s="12" t="n">
        <v>2.97</v>
      </c>
      <c r="I194" s="13" t="n">
        <v>447</v>
      </c>
      <c r="J194" s="13" t="n">
        <v>0</v>
      </c>
      <c r="K194" t="n">
        <v>157</v>
      </c>
      <c r="L194" t="n">
        <v>203801</v>
      </c>
      <c r="M194" t="n">
        <v>201403</v>
      </c>
      <c r="N194" t="n">
        <v>27</v>
      </c>
      <c r="O194" s="14" t="n">
        <v>0.1719745222929936</v>
      </c>
      <c r="P194">
        <f>IF(ISNUMBER(SEARCH("232",B194)),"232",IF(ISNUMBER(SEARCH("538",B194)),"538",IF(ISNUMBER(SEARCH("223a7",B194)),"223a7",IF(ISNUMBER(SEARCH("223f",B194)),"223f","OTHER"))))</f>
        <v/>
      </c>
      <c r="Q194">
        <f>IF(UPPER(C194)="NC","NC","RP")</f>
        <v/>
      </c>
      <c r="R194">
        <f>IF(G194&lt;5000000,"small",IF(G194&lt;25000000,"medium","large"))</f>
        <v/>
      </c>
      <c r="S194">
        <f>P194&amp;"|"&amp;Q194&amp;"|"&amp;R194</f>
        <v/>
      </c>
      <c r="T194" s="13">
        <f>H194*100-I194</f>
        <v/>
      </c>
      <c r="U194" s="13">
        <f>T194-12.5*(J194+1)</f>
        <v/>
      </c>
      <c r="V194" s="15">
        <f>IFERROR(VLOOKUP(S194,V8_COHORT_TABLE,2,FALSE),IFERROR(VLOOKUP(P194&amp;"|"&amp;Q194&amp;"|ALL",V8_COHORT_TABLE,2,FALSE),IFERROR(VLOOKUP(P194&amp;"|ALL|ALL",V8_COHORT_TABLE,2,FALSE),VLOOKUP("GLOBAL",V8_COHORT_TABLE,2,FALSE))))</f>
        <v/>
      </c>
      <c r="W194" s="15">
        <f>IFERROR(VLOOKUP(S194,V8_COHORT_TABLE,3,FALSE),IFERROR(VLOOKUP(P194&amp;"|"&amp;Q194&amp;"|ALL",V8_COHORT_TABLE,3,FALSE),IFERROR(VLOOKUP(P194&amp;"|ALL|ALL",V8_COHORT_TABLE,3,FALSE),VLOOKUP("GLOBAL",V8_COHORT_TABLE,3,FALSE))))</f>
        <v/>
      </c>
      <c r="X194" s="15">
        <f>IFERROR(VLOOKUP(S194,V8_COHORT_TABLE,4,FALSE),IFERROR(VLOOKUP(P194&amp;"|"&amp;Q194&amp;"|ALL",V8_COHORT_TABLE,4,FALSE),IFERROR(VLOOKUP(P194&amp;"|ALL|ALL",V8_COHORT_TABLE,4,FALSE),VLOOKUP("GLOBAL",V8_COHORT_TABLE,4,FALSE))))</f>
        <v/>
      </c>
      <c r="Y194" s="15">
        <f>IFERROR(VLOOKUP(S194,V8_COHORT_TABLE,5,FALSE),IFERROR(VLOOKUP(P194&amp;"|"&amp;Q194&amp;"|ALL",V8_COHORT_TABLE,5,FALSE),IFERROR(VLOOKUP(P194&amp;"|ALL|ALL",V8_COHORT_TABLE,5,FALSE),VLOOKUP("GLOBAL",V8_COHORT_TABLE,5,FALSE))))</f>
        <v/>
      </c>
      <c r="Z194" s="15">
        <f>V194+W194/(1+EXP(-(U194-X194)/Y194))</f>
        <v/>
      </c>
      <c r="AA194" s="16">
        <f>1-(1-Z194)^12</f>
        <v/>
      </c>
      <c r="AB194" s="14">
        <f>IF(K194&lt;=V8_AGE_KNOT_X_0,V8_AGE_KNOT_Y_0,IF(K194&gt;=V8_AGE_KNOT_X_5,V8_AGE_KNOT_Y_5,IF(K194&lt;=V8_AGE_KNOT_X_1,V8_AGE_KNOT_Y_0+(K194-V8_AGE_KNOT_X_0)/(V8_AGE_KNOT_X_1-V8_AGE_KNOT_X_0)*(V8_AGE_KNOT_Y_1-V8_AGE_KNOT_Y_0),IF(K194&lt;=V8_AGE_KNOT_X_2,V8_AGE_KNOT_Y_1+(K194-V8_AGE_KNOT_X_1)/(V8_AGE_KNOT_X_2-V8_AGE_KNOT_X_1)*(V8_AGE_KNOT_Y_2-V8_AGE_KNOT_Y_1),IF(K194&lt;=V8_AGE_KNOT_X_3,V8_AGE_KNOT_Y_2+(K194-V8_AGE_KNOT_X_2)/(V8_AGE_KNOT_X_3-V8_AGE_KNOT_X_2)*(V8_AGE_KNOT_Y_3-V8_AGE_KNOT_Y_2),IF(K194&lt;=V8_AGE_KNOT_X_4,V8_AGE_KNOT_Y_3+(K194-V8_AGE_KNOT_X_3)/(V8_AGE_KNOT_X_4-V8_AGE_KNOT_X_3)*(V8_AGE_KNOT_Y_4-V8_AGE_KNOT_Y_3),V8_AGE_KNOT_Y_4+(K194-V8_AGE_KNOT_X_4)/(V8_AGE_KNOT_X_5-V8_AGE_KNOT_X_4)*(V8_AGE_KNOT_Y_5-V8_AGE_KNOT_Y_4)))))))</f>
        <v/>
      </c>
      <c r="AC194" s="14">
        <f>IF(IF(OR(L194="",NOT(ISNUMBER(L194))),360,MAX(0,MIN(480,(INT(L194/100)-INT(VALUE(F194)/100))*12+MOD(L194,100)-MOD(VALUE(F194),100))))&gt;0,1+V8_MTY_AMP*MAX(0,(V8_MTY_CUTOFF-(IF(OR(L194="",NOT(ISNUMBER(L194))),360,MAX(0,MIN(480,(INT(L194/100)-INT(VALUE(F194)/100))*12+MOD(L194,100)-MOD(VALUE(F194),100))))))/V8_MTY_CUTOFF),1)</f>
        <v/>
      </c>
      <c r="AD194" s="14">
        <f>IF(AND(IF(OR(M194="",NOT(ISNUMBER(M194))),0,MAX(0,MIN(24,(INT(VALUE(F194)/100)-INT(M194/100))*12+MOD(VALUE(F194),100)-MOD(M194,100))))&gt;0,IF(OR(M194="",NOT(ISNUMBER(M194))),0,MAX(0,MIN(24,(INT(VALUE(F194)/100)-INT(M194/100))*12+MOD(VALUE(F194),100)-MOD(M194,100))))&lt;=12),1+V8_LOCKOUT_AMP*EXP(-(IF(OR(M194="",NOT(ISNUMBER(M194))),0,MAX(0,MIN(24,(INT(VALUE(F194)/100)-INT(M194/100))*12+MOD(VALUE(F194),100)-MOD(M194,100)))))/V8_LOCKOUT_TAU),1)</f>
        <v/>
      </c>
      <c r="AE194" s="14">
        <f>MAX(V8_BURN_FLOOR,1-V8_BURN_SLOPE*MIN(1,MAX(0,O194)))</f>
        <v/>
      </c>
      <c r="AF194" s="15">
        <f>MIN(Z194*AB194*AC194*AD194*AE194,0.2)</f>
        <v/>
      </c>
      <c r="AG194" s="16">
        <f>1-(1-AF194)^12</f>
        <v/>
      </c>
    </row>
    <row r="195">
      <c r="A195" s="2" t="inlineStr">
        <is>
          <t>000001422159</t>
        </is>
      </c>
      <c r="B195" t="inlineStr">
        <is>
          <t>232</t>
        </is>
      </c>
      <c r="C195" t="inlineStr">
        <is>
          <t>RP</t>
        </is>
      </c>
      <c r="D195" t="inlineStr">
        <is>
          <t>CAPITAL FUNDING,LLC.</t>
        </is>
      </c>
      <c r="E195" t="n">
        <v>2019</v>
      </c>
      <c r="F195" t="inlineStr">
        <is>
          <t>202602</t>
        </is>
      </c>
      <c r="G195" s="8" t="n">
        <v>16343371.04</v>
      </c>
      <c r="H195" s="12" t="n">
        <v>3.24</v>
      </c>
      <c r="I195" s="13" t="n">
        <v>447</v>
      </c>
      <c r="J195" s="13" t="n">
        <v>4</v>
      </c>
      <c r="K195" t="n">
        <v>74</v>
      </c>
      <c r="L195" t="n">
        <v>204501</v>
      </c>
      <c r="M195" t="inlineStr"/>
      <c r="N195" t="n">
        <v>19</v>
      </c>
      <c r="O195" s="14" t="n">
        <v>0.2567567567567567</v>
      </c>
      <c r="P195">
        <f>IF(ISNUMBER(SEARCH("232",B195)),"232",IF(ISNUMBER(SEARCH("538",B195)),"538",IF(ISNUMBER(SEARCH("223a7",B195)),"223a7",IF(ISNUMBER(SEARCH("223f",B195)),"223f","OTHER"))))</f>
        <v/>
      </c>
      <c r="Q195">
        <f>IF(UPPER(C195)="NC","NC","RP")</f>
        <v/>
      </c>
      <c r="R195">
        <f>IF(G195&lt;5000000,"small",IF(G195&lt;25000000,"medium","large"))</f>
        <v/>
      </c>
      <c r="S195">
        <f>P195&amp;"|"&amp;Q195&amp;"|"&amp;R195</f>
        <v/>
      </c>
      <c r="T195" s="13">
        <f>H195*100-I195</f>
        <v/>
      </c>
      <c r="U195" s="13">
        <f>T195-12.5*(J195+1)</f>
        <v/>
      </c>
      <c r="V195" s="15">
        <f>IFERROR(VLOOKUP(S195,V8_COHORT_TABLE,2,FALSE),IFERROR(VLOOKUP(P195&amp;"|"&amp;Q195&amp;"|ALL",V8_COHORT_TABLE,2,FALSE),IFERROR(VLOOKUP(P195&amp;"|ALL|ALL",V8_COHORT_TABLE,2,FALSE),VLOOKUP("GLOBAL",V8_COHORT_TABLE,2,FALSE))))</f>
        <v/>
      </c>
      <c r="W195" s="15">
        <f>IFERROR(VLOOKUP(S195,V8_COHORT_TABLE,3,FALSE),IFERROR(VLOOKUP(P195&amp;"|"&amp;Q195&amp;"|ALL",V8_COHORT_TABLE,3,FALSE),IFERROR(VLOOKUP(P195&amp;"|ALL|ALL",V8_COHORT_TABLE,3,FALSE),VLOOKUP("GLOBAL",V8_COHORT_TABLE,3,FALSE))))</f>
        <v/>
      </c>
      <c r="X195" s="15">
        <f>IFERROR(VLOOKUP(S195,V8_COHORT_TABLE,4,FALSE),IFERROR(VLOOKUP(P195&amp;"|"&amp;Q195&amp;"|ALL",V8_COHORT_TABLE,4,FALSE),IFERROR(VLOOKUP(P195&amp;"|ALL|ALL",V8_COHORT_TABLE,4,FALSE),VLOOKUP("GLOBAL",V8_COHORT_TABLE,4,FALSE))))</f>
        <v/>
      </c>
      <c r="Y195" s="15">
        <f>IFERROR(VLOOKUP(S195,V8_COHORT_TABLE,5,FALSE),IFERROR(VLOOKUP(P195&amp;"|"&amp;Q195&amp;"|ALL",V8_COHORT_TABLE,5,FALSE),IFERROR(VLOOKUP(P195&amp;"|ALL|ALL",V8_COHORT_TABLE,5,FALSE),VLOOKUP("GLOBAL",V8_COHORT_TABLE,5,FALSE))))</f>
        <v/>
      </c>
      <c r="Z195" s="15">
        <f>V195+W195/(1+EXP(-(U195-X195)/Y195))</f>
        <v/>
      </c>
      <c r="AA195" s="16">
        <f>1-(1-Z195)^12</f>
        <v/>
      </c>
      <c r="AB195" s="14">
        <f>IF(K195&lt;=V8_AGE_KNOT_X_0,V8_AGE_KNOT_Y_0,IF(K195&gt;=V8_AGE_KNOT_X_5,V8_AGE_KNOT_Y_5,IF(K195&lt;=V8_AGE_KNOT_X_1,V8_AGE_KNOT_Y_0+(K195-V8_AGE_KNOT_X_0)/(V8_AGE_KNOT_X_1-V8_AGE_KNOT_X_0)*(V8_AGE_KNOT_Y_1-V8_AGE_KNOT_Y_0),IF(K195&lt;=V8_AGE_KNOT_X_2,V8_AGE_KNOT_Y_1+(K195-V8_AGE_KNOT_X_1)/(V8_AGE_KNOT_X_2-V8_AGE_KNOT_X_1)*(V8_AGE_KNOT_Y_2-V8_AGE_KNOT_Y_1),IF(K195&lt;=V8_AGE_KNOT_X_3,V8_AGE_KNOT_Y_2+(K195-V8_AGE_KNOT_X_2)/(V8_AGE_KNOT_X_3-V8_AGE_KNOT_X_2)*(V8_AGE_KNOT_Y_3-V8_AGE_KNOT_Y_2),IF(K195&lt;=V8_AGE_KNOT_X_4,V8_AGE_KNOT_Y_3+(K195-V8_AGE_KNOT_X_3)/(V8_AGE_KNOT_X_4-V8_AGE_KNOT_X_3)*(V8_AGE_KNOT_Y_4-V8_AGE_KNOT_Y_3),V8_AGE_KNOT_Y_4+(K195-V8_AGE_KNOT_X_4)/(V8_AGE_KNOT_X_5-V8_AGE_KNOT_X_4)*(V8_AGE_KNOT_Y_5-V8_AGE_KNOT_Y_4)))))))</f>
        <v/>
      </c>
      <c r="AC195" s="14">
        <f>IF(IF(OR(L195="",NOT(ISNUMBER(L195))),360,MAX(0,MIN(480,(INT(L195/100)-INT(VALUE(F195)/100))*12+MOD(L195,100)-MOD(VALUE(F195),100))))&gt;0,1+V8_MTY_AMP*MAX(0,(V8_MTY_CUTOFF-(IF(OR(L195="",NOT(ISNUMBER(L195))),360,MAX(0,MIN(480,(INT(L195/100)-INT(VALUE(F195)/100))*12+MOD(L195,100)-MOD(VALUE(F195),100))))))/V8_MTY_CUTOFF),1)</f>
        <v/>
      </c>
      <c r="AD195" s="14">
        <f>IF(AND(IF(OR(M195="",NOT(ISNUMBER(M195))),0,MAX(0,MIN(24,(INT(VALUE(F195)/100)-INT(M195/100))*12+MOD(VALUE(F195),100)-MOD(M195,100))))&gt;0,IF(OR(M195="",NOT(ISNUMBER(M195))),0,MAX(0,MIN(24,(INT(VALUE(F195)/100)-INT(M195/100))*12+MOD(VALUE(F195),100)-MOD(M195,100))))&lt;=12),1+V8_LOCKOUT_AMP*EXP(-(IF(OR(M195="",NOT(ISNUMBER(M195))),0,MAX(0,MIN(24,(INT(VALUE(F195)/100)-INT(M195/100))*12+MOD(VALUE(F195),100)-MOD(M195,100)))))/V8_LOCKOUT_TAU),1)</f>
        <v/>
      </c>
      <c r="AE195" s="14">
        <f>MAX(V8_BURN_FLOOR,1-V8_BURN_SLOPE*MIN(1,MAX(0,O195)))</f>
        <v/>
      </c>
      <c r="AF195" s="15">
        <f>MIN(Z195*AB195*AC195*AD195*AE195,0.2)</f>
        <v/>
      </c>
      <c r="AG195" s="16">
        <f>1-(1-AF195)^12</f>
        <v/>
      </c>
    </row>
    <row r="196">
      <c r="A196" s="2" t="inlineStr">
        <is>
          <t>000002322133</t>
        </is>
      </c>
      <c r="B196" t="inlineStr">
        <is>
          <t>232</t>
        </is>
      </c>
      <c r="C196" t="inlineStr">
        <is>
          <t>RP</t>
        </is>
      </c>
      <c r="D196" t="inlineStr">
        <is>
          <t>CAPITAL FUNDING,LLC.</t>
        </is>
      </c>
      <c r="E196" t="n">
        <v>2013</v>
      </c>
      <c r="F196" t="inlineStr">
        <is>
          <t>202602</t>
        </is>
      </c>
      <c r="G196" s="8" t="n">
        <v>4844357.94</v>
      </c>
      <c r="H196" s="12" t="n">
        <v>2.94</v>
      </c>
      <c r="I196" s="13" t="n">
        <v>447</v>
      </c>
      <c r="J196" s="13" t="n">
        <v>0</v>
      </c>
      <c r="K196" t="n">
        <v>157</v>
      </c>
      <c r="L196" t="n">
        <v>204802</v>
      </c>
      <c r="M196" t="n">
        <v>201403</v>
      </c>
      <c r="N196" t="n">
        <v>26</v>
      </c>
      <c r="O196" s="14" t="n">
        <v>0.1656050955414013</v>
      </c>
      <c r="P196">
        <f>IF(ISNUMBER(SEARCH("232",B196)),"232",IF(ISNUMBER(SEARCH("538",B196)),"538",IF(ISNUMBER(SEARCH("223a7",B196)),"223a7",IF(ISNUMBER(SEARCH("223f",B196)),"223f","OTHER"))))</f>
        <v/>
      </c>
      <c r="Q196">
        <f>IF(UPPER(C196)="NC","NC","RP")</f>
        <v/>
      </c>
      <c r="R196">
        <f>IF(G196&lt;5000000,"small",IF(G196&lt;25000000,"medium","large"))</f>
        <v/>
      </c>
      <c r="S196">
        <f>P196&amp;"|"&amp;Q196&amp;"|"&amp;R196</f>
        <v/>
      </c>
      <c r="T196" s="13">
        <f>H196*100-I196</f>
        <v/>
      </c>
      <c r="U196" s="13">
        <f>T196-12.5*(J196+1)</f>
        <v/>
      </c>
      <c r="V196" s="15">
        <f>IFERROR(VLOOKUP(S196,V8_COHORT_TABLE,2,FALSE),IFERROR(VLOOKUP(P196&amp;"|"&amp;Q196&amp;"|ALL",V8_COHORT_TABLE,2,FALSE),IFERROR(VLOOKUP(P196&amp;"|ALL|ALL",V8_COHORT_TABLE,2,FALSE),VLOOKUP("GLOBAL",V8_COHORT_TABLE,2,FALSE))))</f>
        <v/>
      </c>
      <c r="W196" s="15">
        <f>IFERROR(VLOOKUP(S196,V8_COHORT_TABLE,3,FALSE),IFERROR(VLOOKUP(P196&amp;"|"&amp;Q196&amp;"|ALL",V8_COHORT_TABLE,3,FALSE),IFERROR(VLOOKUP(P196&amp;"|ALL|ALL",V8_COHORT_TABLE,3,FALSE),VLOOKUP("GLOBAL",V8_COHORT_TABLE,3,FALSE))))</f>
        <v/>
      </c>
      <c r="X196" s="15">
        <f>IFERROR(VLOOKUP(S196,V8_COHORT_TABLE,4,FALSE),IFERROR(VLOOKUP(P196&amp;"|"&amp;Q196&amp;"|ALL",V8_COHORT_TABLE,4,FALSE),IFERROR(VLOOKUP(P196&amp;"|ALL|ALL",V8_COHORT_TABLE,4,FALSE),VLOOKUP("GLOBAL",V8_COHORT_TABLE,4,FALSE))))</f>
        <v/>
      </c>
      <c r="Y196" s="15">
        <f>IFERROR(VLOOKUP(S196,V8_COHORT_TABLE,5,FALSE),IFERROR(VLOOKUP(P196&amp;"|"&amp;Q196&amp;"|ALL",V8_COHORT_TABLE,5,FALSE),IFERROR(VLOOKUP(P196&amp;"|ALL|ALL",V8_COHORT_TABLE,5,FALSE),VLOOKUP("GLOBAL",V8_COHORT_TABLE,5,FALSE))))</f>
        <v/>
      </c>
      <c r="Z196" s="15">
        <f>V196+W196/(1+EXP(-(U196-X196)/Y196))</f>
        <v/>
      </c>
      <c r="AA196" s="16">
        <f>1-(1-Z196)^12</f>
        <v/>
      </c>
      <c r="AB196" s="14">
        <f>IF(K196&lt;=V8_AGE_KNOT_X_0,V8_AGE_KNOT_Y_0,IF(K196&gt;=V8_AGE_KNOT_X_5,V8_AGE_KNOT_Y_5,IF(K196&lt;=V8_AGE_KNOT_X_1,V8_AGE_KNOT_Y_0+(K196-V8_AGE_KNOT_X_0)/(V8_AGE_KNOT_X_1-V8_AGE_KNOT_X_0)*(V8_AGE_KNOT_Y_1-V8_AGE_KNOT_Y_0),IF(K196&lt;=V8_AGE_KNOT_X_2,V8_AGE_KNOT_Y_1+(K196-V8_AGE_KNOT_X_1)/(V8_AGE_KNOT_X_2-V8_AGE_KNOT_X_1)*(V8_AGE_KNOT_Y_2-V8_AGE_KNOT_Y_1),IF(K196&lt;=V8_AGE_KNOT_X_3,V8_AGE_KNOT_Y_2+(K196-V8_AGE_KNOT_X_2)/(V8_AGE_KNOT_X_3-V8_AGE_KNOT_X_2)*(V8_AGE_KNOT_Y_3-V8_AGE_KNOT_Y_2),IF(K196&lt;=V8_AGE_KNOT_X_4,V8_AGE_KNOT_Y_3+(K196-V8_AGE_KNOT_X_3)/(V8_AGE_KNOT_X_4-V8_AGE_KNOT_X_3)*(V8_AGE_KNOT_Y_4-V8_AGE_KNOT_Y_3),V8_AGE_KNOT_Y_4+(K196-V8_AGE_KNOT_X_4)/(V8_AGE_KNOT_X_5-V8_AGE_KNOT_X_4)*(V8_AGE_KNOT_Y_5-V8_AGE_KNOT_Y_4)))))))</f>
        <v/>
      </c>
      <c r="AC196" s="14">
        <f>IF(IF(OR(L196="",NOT(ISNUMBER(L196))),360,MAX(0,MIN(480,(INT(L196/100)-INT(VALUE(F196)/100))*12+MOD(L196,100)-MOD(VALUE(F196),100))))&gt;0,1+V8_MTY_AMP*MAX(0,(V8_MTY_CUTOFF-(IF(OR(L196="",NOT(ISNUMBER(L196))),360,MAX(0,MIN(480,(INT(L196/100)-INT(VALUE(F196)/100))*12+MOD(L196,100)-MOD(VALUE(F196),100))))))/V8_MTY_CUTOFF),1)</f>
        <v/>
      </c>
      <c r="AD196" s="14">
        <f>IF(AND(IF(OR(M196="",NOT(ISNUMBER(M196))),0,MAX(0,MIN(24,(INT(VALUE(F196)/100)-INT(M196/100))*12+MOD(VALUE(F196),100)-MOD(M196,100))))&gt;0,IF(OR(M196="",NOT(ISNUMBER(M196))),0,MAX(0,MIN(24,(INT(VALUE(F196)/100)-INT(M196/100))*12+MOD(VALUE(F196),100)-MOD(M196,100))))&lt;=12),1+V8_LOCKOUT_AMP*EXP(-(IF(OR(M196="",NOT(ISNUMBER(M196))),0,MAX(0,MIN(24,(INT(VALUE(F196)/100)-INT(M196/100))*12+MOD(VALUE(F196),100)-MOD(M196,100)))))/V8_LOCKOUT_TAU),1)</f>
        <v/>
      </c>
      <c r="AE196" s="14">
        <f>MAX(V8_BURN_FLOOR,1-V8_BURN_SLOPE*MIN(1,MAX(0,O196)))</f>
        <v/>
      </c>
      <c r="AF196" s="15">
        <f>MIN(Z196*AB196*AC196*AD196*AE196,0.2)</f>
        <v/>
      </c>
      <c r="AG196" s="16">
        <f>1-(1-AF196)^12</f>
        <v/>
      </c>
    </row>
    <row r="197">
      <c r="A197" s="2" t="inlineStr">
        <is>
          <t>000003411253</t>
        </is>
      </c>
      <c r="B197" t="inlineStr">
        <is>
          <t>223f</t>
        </is>
      </c>
      <c r="C197" t="inlineStr">
        <is>
          <t>RP</t>
        </is>
      </c>
      <c r="D197" t="inlineStr">
        <is>
          <t>DWIGHT CAPITAL LLC</t>
        </is>
      </c>
      <c r="E197" t="n">
        <v>2020</v>
      </c>
      <c r="F197" t="inlineStr">
        <is>
          <t>202602</t>
        </is>
      </c>
      <c r="G197" s="8" t="n">
        <v>9700016.130000001</v>
      </c>
      <c r="H197" s="12" t="n">
        <v>3.44</v>
      </c>
      <c r="I197" s="13" t="n">
        <v>447</v>
      </c>
      <c r="J197" s="13" t="n">
        <v>10</v>
      </c>
      <c r="K197" t="n">
        <v>65</v>
      </c>
      <c r="L197" t="n">
        <v>205510</v>
      </c>
      <c r="M197" t="n">
        <v>202203</v>
      </c>
      <c r="N197" t="n">
        <v>2</v>
      </c>
      <c r="O197" s="14" t="n">
        <v>0.03076923076923077</v>
      </c>
      <c r="P197">
        <f>IF(ISNUMBER(SEARCH("232",B197)),"232",IF(ISNUMBER(SEARCH("538",B197)),"538",IF(ISNUMBER(SEARCH("223a7",B197)),"223a7",IF(ISNUMBER(SEARCH("223f",B197)),"223f","OTHER"))))</f>
        <v/>
      </c>
      <c r="Q197">
        <f>IF(UPPER(C197)="NC","NC","RP")</f>
        <v/>
      </c>
      <c r="R197">
        <f>IF(G197&lt;5000000,"small",IF(G197&lt;25000000,"medium","large"))</f>
        <v/>
      </c>
      <c r="S197">
        <f>P197&amp;"|"&amp;Q197&amp;"|"&amp;R197</f>
        <v/>
      </c>
      <c r="T197" s="13">
        <f>H197*100-I197</f>
        <v/>
      </c>
      <c r="U197" s="13">
        <f>T197-12.5*(J197+1)</f>
        <v/>
      </c>
      <c r="V197" s="15">
        <f>IFERROR(VLOOKUP(S197,V8_COHORT_TABLE,2,FALSE),IFERROR(VLOOKUP(P197&amp;"|"&amp;Q197&amp;"|ALL",V8_COHORT_TABLE,2,FALSE),IFERROR(VLOOKUP(P197&amp;"|ALL|ALL",V8_COHORT_TABLE,2,FALSE),VLOOKUP("GLOBAL",V8_COHORT_TABLE,2,FALSE))))</f>
        <v/>
      </c>
      <c r="W197" s="15">
        <f>IFERROR(VLOOKUP(S197,V8_COHORT_TABLE,3,FALSE),IFERROR(VLOOKUP(P197&amp;"|"&amp;Q197&amp;"|ALL",V8_COHORT_TABLE,3,FALSE),IFERROR(VLOOKUP(P197&amp;"|ALL|ALL",V8_COHORT_TABLE,3,FALSE),VLOOKUP("GLOBAL",V8_COHORT_TABLE,3,FALSE))))</f>
        <v/>
      </c>
      <c r="X197" s="15">
        <f>IFERROR(VLOOKUP(S197,V8_COHORT_TABLE,4,FALSE),IFERROR(VLOOKUP(P197&amp;"|"&amp;Q197&amp;"|ALL",V8_COHORT_TABLE,4,FALSE),IFERROR(VLOOKUP(P197&amp;"|ALL|ALL",V8_COHORT_TABLE,4,FALSE),VLOOKUP("GLOBAL",V8_COHORT_TABLE,4,FALSE))))</f>
        <v/>
      </c>
      <c r="Y197" s="15">
        <f>IFERROR(VLOOKUP(S197,V8_COHORT_TABLE,5,FALSE),IFERROR(VLOOKUP(P197&amp;"|"&amp;Q197&amp;"|ALL",V8_COHORT_TABLE,5,FALSE),IFERROR(VLOOKUP(P197&amp;"|ALL|ALL",V8_COHORT_TABLE,5,FALSE),VLOOKUP("GLOBAL",V8_COHORT_TABLE,5,FALSE))))</f>
        <v/>
      </c>
      <c r="Z197" s="15">
        <f>V197+W197/(1+EXP(-(U197-X197)/Y197))</f>
        <v/>
      </c>
      <c r="AA197" s="16">
        <f>1-(1-Z197)^12</f>
        <v/>
      </c>
      <c r="AB197" s="14">
        <f>IF(K197&lt;=V8_AGE_KNOT_X_0,V8_AGE_KNOT_Y_0,IF(K197&gt;=V8_AGE_KNOT_X_5,V8_AGE_KNOT_Y_5,IF(K197&lt;=V8_AGE_KNOT_X_1,V8_AGE_KNOT_Y_0+(K197-V8_AGE_KNOT_X_0)/(V8_AGE_KNOT_X_1-V8_AGE_KNOT_X_0)*(V8_AGE_KNOT_Y_1-V8_AGE_KNOT_Y_0),IF(K197&lt;=V8_AGE_KNOT_X_2,V8_AGE_KNOT_Y_1+(K197-V8_AGE_KNOT_X_1)/(V8_AGE_KNOT_X_2-V8_AGE_KNOT_X_1)*(V8_AGE_KNOT_Y_2-V8_AGE_KNOT_Y_1),IF(K197&lt;=V8_AGE_KNOT_X_3,V8_AGE_KNOT_Y_2+(K197-V8_AGE_KNOT_X_2)/(V8_AGE_KNOT_X_3-V8_AGE_KNOT_X_2)*(V8_AGE_KNOT_Y_3-V8_AGE_KNOT_Y_2),IF(K197&lt;=V8_AGE_KNOT_X_4,V8_AGE_KNOT_Y_3+(K197-V8_AGE_KNOT_X_3)/(V8_AGE_KNOT_X_4-V8_AGE_KNOT_X_3)*(V8_AGE_KNOT_Y_4-V8_AGE_KNOT_Y_3),V8_AGE_KNOT_Y_4+(K197-V8_AGE_KNOT_X_4)/(V8_AGE_KNOT_X_5-V8_AGE_KNOT_X_4)*(V8_AGE_KNOT_Y_5-V8_AGE_KNOT_Y_4)))))))</f>
        <v/>
      </c>
      <c r="AC197" s="14">
        <f>IF(IF(OR(L197="",NOT(ISNUMBER(L197))),360,MAX(0,MIN(480,(INT(L197/100)-INT(VALUE(F197)/100))*12+MOD(L197,100)-MOD(VALUE(F197),100))))&gt;0,1+V8_MTY_AMP*MAX(0,(V8_MTY_CUTOFF-(IF(OR(L197="",NOT(ISNUMBER(L197))),360,MAX(0,MIN(480,(INT(L197/100)-INT(VALUE(F197)/100))*12+MOD(L197,100)-MOD(VALUE(F197),100))))))/V8_MTY_CUTOFF),1)</f>
        <v/>
      </c>
      <c r="AD197" s="14">
        <f>IF(AND(IF(OR(M197="",NOT(ISNUMBER(M197))),0,MAX(0,MIN(24,(INT(VALUE(F197)/100)-INT(M197/100))*12+MOD(VALUE(F197),100)-MOD(M197,100))))&gt;0,IF(OR(M197="",NOT(ISNUMBER(M197))),0,MAX(0,MIN(24,(INT(VALUE(F197)/100)-INT(M197/100))*12+MOD(VALUE(F197),100)-MOD(M197,100))))&lt;=12),1+V8_LOCKOUT_AMP*EXP(-(IF(OR(M197="",NOT(ISNUMBER(M197))),0,MAX(0,MIN(24,(INT(VALUE(F197)/100)-INT(M197/100))*12+MOD(VALUE(F197),100)-MOD(M197,100)))))/V8_LOCKOUT_TAU),1)</f>
        <v/>
      </c>
      <c r="AE197" s="14">
        <f>MAX(V8_BURN_FLOOR,1-V8_BURN_SLOPE*MIN(1,MAX(0,O197)))</f>
        <v/>
      </c>
      <c r="AF197" s="15">
        <f>MIN(Z197*AB197*AC197*AD197*AE197,0.2)</f>
        <v/>
      </c>
      <c r="AG197" s="16">
        <f>1-(1-AF197)^12</f>
        <v/>
      </c>
    </row>
    <row r="198">
      <c r="A198" s="2" t="inlineStr">
        <is>
          <t>000003111184</t>
        </is>
      </c>
      <c r="B198" t="inlineStr">
        <is>
          <t>223f</t>
        </is>
      </c>
      <c r="C198" t="inlineStr">
        <is>
          <t>RP</t>
        </is>
      </c>
      <c r="D198" t="inlineStr">
        <is>
          <t>DWIGHT CAPITAL LLC</t>
        </is>
      </c>
      <c r="E198" t="n">
        <v>2023</v>
      </c>
      <c r="F198" t="inlineStr">
        <is>
          <t>202602</t>
        </is>
      </c>
      <c r="G198" s="8" t="n">
        <v>8650633.77</v>
      </c>
      <c r="H198" s="12" t="n">
        <v>5.73</v>
      </c>
      <c r="I198" s="13" t="n">
        <v>447</v>
      </c>
      <c r="J198" s="13" t="n">
        <v>9</v>
      </c>
      <c r="K198" t="n">
        <v>30</v>
      </c>
      <c r="L198" t="n">
        <v>205809</v>
      </c>
      <c r="M198" t="inlineStr"/>
      <c r="N198" t="n">
        <v>13</v>
      </c>
      <c r="O198" s="14" t="n">
        <v>0.4333333333333333</v>
      </c>
      <c r="P198">
        <f>IF(ISNUMBER(SEARCH("232",B198)),"232",IF(ISNUMBER(SEARCH("538",B198)),"538",IF(ISNUMBER(SEARCH("223a7",B198)),"223a7",IF(ISNUMBER(SEARCH("223f",B198)),"223f","OTHER"))))</f>
        <v/>
      </c>
      <c r="Q198">
        <f>IF(UPPER(C198)="NC","NC","RP")</f>
        <v/>
      </c>
      <c r="R198">
        <f>IF(G198&lt;5000000,"small",IF(G198&lt;25000000,"medium","large"))</f>
        <v/>
      </c>
      <c r="S198">
        <f>P198&amp;"|"&amp;Q198&amp;"|"&amp;R198</f>
        <v/>
      </c>
      <c r="T198" s="13">
        <f>H198*100-I198</f>
        <v/>
      </c>
      <c r="U198" s="13">
        <f>T198-12.5*(J198+1)</f>
        <v/>
      </c>
      <c r="V198" s="15">
        <f>IFERROR(VLOOKUP(S198,V8_COHORT_TABLE,2,FALSE),IFERROR(VLOOKUP(P198&amp;"|"&amp;Q198&amp;"|ALL",V8_COHORT_TABLE,2,FALSE),IFERROR(VLOOKUP(P198&amp;"|ALL|ALL",V8_COHORT_TABLE,2,FALSE),VLOOKUP("GLOBAL",V8_COHORT_TABLE,2,FALSE))))</f>
        <v/>
      </c>
      <c r="W198" s="15">
        <f>IFERROR(VLOOKUP(S198,V8_COHORT_TABLE,3,FALSE),IFERROR(VLOOKUP(P198&amp;"|"&amp;Q198&amp;"|ALL",V8_COHORT_TABLE,3,FALSE),IFERROR(VLOOKUP(P198&amp;"|ALL|ALL",V8_COHORT_TABLE,3,FALSE),VLOOKUP("GLOBAL",V8_COHORT_TABLE,3,FALSE))))</f>
        <v/>
      </c>
      <c r="X198" s="15">
        <f>IFERROR(VLOOKUP(S198,V8_COHORT_TABLE,4,FALSE),IFERROR(VLOOKUP(P198&amp;"|"&amp;Q198&amp;"|ALL",V8_COHORT_TABLE,4,FALSE),IFERROR(VLOOKUP(P198&amp;"|ALL|ALL",V8_COHORT_TABLE,4,FALSE),VLOOKUP("GLOBAL",V8_COHORT_TABLE,4,FALSE))))</f>
        <v/>
      </c>
      <c r="Y198" s="15">
        <f>IFERROR(VLOOKUP(S198,V8_COHORT_TABLE,5,FALSE),IFERROR(VLOOKUP(P198&amp;"|"&amp;Q198&amp;"|ALL",V8_COHORT_TABLE,5,FALSE),IFERROR(VLOOKUP(P198&amp;"|ALL|ALL",V8_COHORT_TABLE,5,FALSE),VLOOKUP("GLOBAL",V8_COHORT_TABLE,5,FALSE))))</f>
        <v/>
      </c>
      <c r="Z198" s="15">
        <f>V198+W198/(1+EXP(-(U198-X198)/Y198))</f>
        <v/>
      </c>
      <c r="AA198" s="16">
        <f>1-(1-Z198)^12</f>
        <v/>
      </c>
      <c r="AB198" s="14">
        <f>IF(K198&lt;=V8_AGE_KNOT_X_0,V8_AGE_KNOT_Y_0,IF(K198&gt;=V8_AGE_KNOT_X_5,V8_AGE_KNOT_Y_5,IF(K198&lt;=V8_AGE_KNOT_X_1,V8_AGE_KNOT_Y_0+(K198-V8_AGE_KNOT_X_0)/(V8_AGE_KNOT_X_1-V8_AGE_KNOT_X_0)*(V8_AGE_KNOT_Y_1-V8_AGE_KNOT_Y_0),IF(K198&lt;=V8_AGE_KNOT_X_2,V8_AGE_KNOT_Y_1+(K198-V8_AGE_KNOT_X_1)/(V8_AGE_KNOT_X_2-V8_AGE_KNOT_X_1)*(V8_AGE_KNOT_Y_2-V8_AGE_KNOT_Y_1),IF(K198&lt;=V8_AGE_KNOT_X_3,V8_AGE_KNOT_Y_2+(K198-V8_AGE_KNOT_X_2)/(V8_AGE_KNOT_X_3-V8_AGE_KNOT_X_2)*(V8_AGE_KNOT_Y_3-V8_AGE_KNOT_Y_2),IF(K198&lt;=V8_AGE_KNOT_X_4,V8_AGE_KNOT_Y_3+(K198-V8_AGE_KNOT_X_3)/(V8_AGE_KNOT_X_4-V8_AGE_KNOT_X_3)*(V8_AGE_KNOT_Y_4-V8_AGE_KNOT_Y_3),V8_AGE_KNOT_Y_4+(K198-V8_AGE_KNOT_X_4)/(V8_AGE_KNOT_X_5-V8_AGE_KNOT_X_4)*(V8_AGE_KNOT_Y_5-V8_AGE_KNOT_Y_4)))))))</f>
        <v/>
      </c>
      <c r="AC198" s="14">
        <f>IF(IF(OR(L198="",NOT(ISNUMBER(L198))),360,MAX(0,MIN(480,(INT(L198/100)-INT(VALUE(F198)/100))*12+MOD(L198,100)-MOD(VALUE(F198),100))))&gt;0,1+V8_MTY_AMP*MAX(0,(V8_MTY_CUTOFF-(IF(OR(L198="",NOT(ISNUMBER(L198))),360,MAX(0,MIN(480,(INT(L198/100)-INT(VALUE(F198)/100))*12+MOD(L198,100)-MOD(VALUE(F198),100))))))/V8_MTY_CUTOFF),1)</f>
        <v/>
      </c>
      <c r="AD198" s="14">
        <f>IF(AND(IF(OR(M198="",NOT(ISNUMBER(M198))),0,MAX(0,MIN(24,(INT(VALUE(F198)/100)-INT(M198/100))*12+MOD(VALUE(F198),100)-MOD(M198,100))))&gt;0,IF(OR(M198="",NOT(ISNUMBER(M198))),0,MAX(0,MIN(24,(INT(VALUE(F198)/100)-INT(M198/100))*12+MOD(VALUE(F198),100)-MOD(M198,100))))&lt;=12),1+V8_LOCKOUT_AMP*EXP(-(IF(OR(M198="",NOT(ISNUMBER(M198))),0,MAX(0,MIN(24,(INT(VALUE(F198)/100)-INT(M198/100))*12+MOD(VALUE(F198),100)-MOD(M198,100)))))/V8_LOCKOUT_TAU),1)</f>
        <v/>
      </c>
      <c r="AE198" s="14">
        <f>MAX(V8_BURN_FLOOR,1-V8_BURN_SLOPE*MIN(1,MAX(0,O198)))</f>
        <v/>
      </c>
      <c r="AF198" s="15">
        <f>MIN(Z198*AB198*AC198*AD198*AE198,0.2)</f>
        <v/>
      </c>
      <c r="AG198" s="16">
        <f>1-(1-AF198)^12</f>
        <v/>
      </c>
    </row>
    <row r="199">
      <c r="A199" s="2" t="inlineStr">
        <is>
          <t>000008235469</t>
        </is>
      </c>
      <c r="B199" t="inlineStr">
        <is>
          <t>221d4</t>
        </is>
      </c>
      <c r="C199" t="inlineStr">
        <is>
          <t>RP</t>
        </is>
      </c>
      <c r="D199" t="inlineStr">
        <is>
          <t>DWIGHT CAPITAL LLC</t>
        </is>
      </c>
      <c r="E199" t="n">
        <v>2016</v>
      </c>
      <c r="F199" t="inlineStr">
        <is>
          <t>202602</t>
        </is>
      </c>
      <c r="G199" s="8" t="n">
        <v>5477997.66</v>
      </c>
      <c r="H199" s="12" t="n">
        <v>2.95</v>
      </c>
      <c r="I199" s="13" t="n">
        <v>447</v>
      </c>
      <c r="J199" s="13" t="n">
        <v>5</v>
      </c>
      <c r="K199" t="n">
        <v>116</v>
      </c>
      <c r="L199" t="n">
        <v>205607</v>
      </c>
      <c r="M199" t="inlineStr"/>
      <c r="N199" t="n">
        <v>1</v>
      </c>
      <c r="O199" s="14" t="n">
        <v>0.008620689655172414</v>
      </c>
      <c r="P199">
        <f>IF(ISNUMBER(SEARCH("232",B199)),"232",IF(ISNUMBER(SEARCH("538",B199)),"538",IF(ISNUMBER(SEARCH("223a7",B199)),"223a7",IF(ISNUMBER(SEARCH("223f",B199)),"223f","OTHER"))))</f>
        <v/>
      </c>
      <c r="Q199">
        <f>IF(UPPER(C199)="NC","NC","RP")</f>
        <v/>
      </c>
      <c r="R199">
        <f>IF(G199&lt;5000000,"small",IF(G199&lt;25000000,"medium","large"))</f>
        <v/>
      </c>
      <c r="S199">
        <f>P199&amp;"|"&amp;Q199&amp;"|"&amp;R199</f>
        <v/>
      </c>
      <c r="T199" s="13">
        <f>H199*100-I199</f>
        <v/>
      </c>
      <c r="U199" s="13">
        <f>T199-12.5*(J199+1)</f>
        <v/>
      </c>
      <c r="V199" s="15">
        <f>IFERROR(VLOOKUP(S199,V8_COHORT_TABLE,2,FALSE),IFERROR(VLOOKUP(P199&amp;"|"&amp;Q199&amp;"|ALL",V8_COHORT_TABLE,2,FALSE),IFERROR(VLOOKUP(P199&amp;"|ALL|ALL",V8_COHORT_TABLE,2,FALSE),VLOOKUP("GLOBAL",V8_COHORT_TABLE,2,FALSE))))</f>
        <v/>
      </c>
      <c r="W199" s="15">
        <f>IFERROR(VLOOKUP(S199,V8_COHORT_TABLE,3,FALSE),IFERROR(VLOOKUP(P199&amp;"|"&amp;Q199&amp;"|ALL",V8_COHORT_TABLE,3,FALSE),IFERROR(VLOOKUP(P199&amp;"|ALL|ALL",V8_COHORT_TABLE,3,FALSE),VLOOKUP("GLOBAL",V8_COHORT_TABLE,3,FALSE))))</f>
        <v/>
      </c>
      <c r="X199" s="15">
        <f>IFERROR(VLOOKUP(S199,V8_COHORT_TABLE,4,FALSE),IFERROR(VLOOKUP(P199&amp;"|"&amp;Q199&amp;"|ALL",V8_COHORT_TABLE,4,FALSE),IFERROR(VLOOKUP(P199&amp;"|ALL|ALL",V8_COHORT_TABLE,4,FALSE),VLOOKUP("GLOBAL",V8_COHORT_TABLE,4,FALSE))))</f>
        <v/>
      </c>
      <c r="Y199" s="15">
        <f>IFERROR(VLOOKUP(S199,V8_COHORT_TABLE,5,FALSE),IFERROR(VLOOKUP(P199&amp;"|"&amp;Q199&amp;"|ALL",V8_COHORT_TABLE,5,FALSE),IFERROR(VLOOKUP(P199&amp;"|ALL|ALL",V8_COHORT_TABLE,5,FALSE),VLOOKUP("GLOBAL",V8_COHORT_TABLE,5,FALSE))))</f>
        <v/>
      </c>
      <c r="Z199" s="15">
        <f>V199+W199/(1+EXP(-(U199-X199)/Y199))</f>
        <v/>
      </c>
      <c r="AA199" s="16">
        <f>1-(1-Z199)^12</f>
        <v/>
      </c>
      <c r="AB199" s="14">
        <f>IF(K199&lt;=V8_AGE_KNOT_X_0,V8_AGE_KNOT_Y_0,IF(K199&gt;=V8_AGE_KNOT_X_5,V8_AGE_KNOT_Y_5,IF(K199&lt;=V8_AGE_KNOT_X_1,V8_AGE_KNOT_Y_0+(K199-V8_AGE_KNOT_X_0)/(V8_AGE_KNOT_X_1-V8_AGE_KNOT_X_0)*(V8_AGE_KNOT_Y_1-V8_AGE_KNOT_Y_0),IF(K199&lt;=V8_AGE_KNOT_X_2,V8_AGE_KNOT_Y_1+(K199-V8_AGE_KNOT_X_1)/(V8_AGE_KNOT_X_2-V8_AGE_KNOT_X_1)*(V8_AGE_KNOT_Y_2-V8_AGE_KNOT_Y_1),IF(K199&lt;=V8_AGE_KNOT_X_3,V8_AGE_KNOT_Y_2+(K199-V8_AGE_KNOT_X_2)/(V8_AGE_KNOT_X_3-V8_AGE_KNOT_X_2)*(V8_AGE_KNOT_Y_3-V8_AGE_KNOT_Y_2),IF(K199&lt;=V8_AGE_KNOT_X_4,V8_AGE_KNOT_Y_3+(K199-V8_AGE_KNOT_X_3)/(V8_AGE_KNOT_X_4-V8_AGE_KNOT_X_3)*(V8_AGE_KNOT_Y_4-V8_AGE_KNOT_Y_3),V8_AGE_KNOT_Y_4+(K199-V8_AGE_KNOT_X_4)/(V8_AGE_KNOT_X_5-V8_AGE_KNOT_X_4)*(V8_AGE_KNOT_Y_5-V8_AGE_KNOT_Y_4)))))))</f>
        <v/>
      </c>
      <c r="AC199" s="14">
        <f>IF(IF(OR(L199="",NOT(ISNUMBER(L199))),360,MAX(0,MIN(480,(INT(L199/100)-INT(VALUE(F199)/100))*12+MOD(L199,100)-MOD(VALUE(F199),100))))&gt;0,1+V8_MTY_AMP*MAX(0,(V8_MTY_CUTOFF-(IF(OR(L199="",NOT(ISNUMBER(L199))),360,MAX(0,MIN(480,(INT(L199/100)-INT(VALUE(F199)/100))*12+MOD(L199,100)-MOD(VALUE(F199),100))))))/V8_MTY_CUTOFF),1)</f>
        <v/>
      </c>
      <c r="AD199" s="14">
        <f>IF(AND(IF(OR(M199="",NOT(ISNUMBER(M199))),0,MAX(0,MIN(24,(INT(VALUE(F199)/100)-INT(M199/100))*12+MOD(VALUE(F199),100)-MOD(M199,100))))&gt;0,IF(OR(M199="",NOT(ISNUMBER(M199))),0,MAX(0,MIN(24,(INT(VALUE(F199)/100)-INT(M199/100))*12+MOD(VALUE(F199),100)-MOD(M199,100))))&lt;=12),1+V8_LOCKOUT_AMP*EXP(-(IF(OR(M199="",NOT(ISNUMBER(M199))),0,MAX(0,MIN(24,(INT(VALUE(F199)/100)-INT(M199/100))*12+MOD(VALUE(F199),100)-MOD(M199,100)))))/V8_LOCKOUT_TAU),1)</f>
        <v/>
      </c>
      <c r="AE199" s="14">
        <f>MAX(V8_BURN_FLOOR,1-V8_BURN_SLOPE*MIN(1,MAX(0,O199)))</f>
        <v/>
      </c>
      <c r="AF199" s="15">
        <f>MIN(Z199*AB199*AC199*AD199*AE199,0.2)</f>
        <v/>
      </c>
      <c r="AG199" s="16">
        <f>1-(1-AF199)^12</f>
        <v/>
      </c>
    </row>
    <row r="200">
      <c r="A200" s="2" t="inlineStr">
        <is>
          <t>000008311211</t>
        </is>
      </c>
      <c r="B200" t="inlineStr">
        <is>
          <t>223f</t>
        </is>
      </c>
      <c r="C200" t="inlineStr">
        <is>
          <t>RP</t>
        </is>
      </c>
      <c r="D200" t="inlineStr">
        <is>
          <t>DWIGHT CAPITAL LLC</t>
        </is>
      </c>
      <c r="E200" t="n">
        <v>2020</v>
      </c>
      <c r="F200" t="inlineStr">
        <is>
          <t>202602</t>
        </is>
      </c>
      <c r="G200" s="8" t="n">
        <v>968359.23</v>
      </c>
      <c r="H200" s="12" t="n">
        <v>2.39</v>
      </c>
      <c r="I200" s="13" t="n">
        <v>447</v>
      </c>
      <c r="J200" s="13" t="n">
        <v>5</v>
      </c>
      <c r="K200" t="n">
        <v>62</v>
      </c>
      <c r="L200" t="n">
        <v>205601</v>
      </c>
      <c r="M200" t="inlineStr"/>
      <c r="N200" t="n">
        <v>0</v>
      </c>
      <c r="O200" s="14" t="n">
        <v>0</v>
      </c>
      <c r="P200">
        <f>IF(ISNUMBER(SEARCH("232",B200)),"232",IF(ISNUMBER(SEARCH("538",B200)),"538",IF(ISNUMBER(SEARCH("223a7",B200)),"223a7",IF(ISNUMBER(SEARCH("223f",B200)),"223f","OTHER"))))</f>
        <v/>
      </c>
      <c r="Q200">
        <f>IF(UPPER(C200)="NC","NC","RP")</f>
        <v/>
      </c>
      <c r="R200">
        <f>IF(G200&lt;5000000,"small",IF(G200&lt;25000000,"medium","large"))</f>
        <v/>
      </c>
      <c r="S200">
        <f>P200&amp;"|"&amp;Q200&amp;"|"&amp;R200</f>
        <v/>
      </c>
      <c r="T200" s="13">
        <f>H200*100-I200</f>
        <v/>
      </c>
      <c r="U200" s="13">
        <f>T200-12.5*(J200+1)</f>
        <v/>
      </c>
      <c r="V200" s="15">
        <f>IFERROR(VLOOKUP(S200,V8_COHORT_TABLE,2,FALSE),IFERROR(VLOOKUP(P200&amp;"|"&amp;Q200&amp;"|ALL",V8_COHORT_TABLE,2,FALSE),IFERROR(VLOOKUP(P200&amp;"|ALL|ALL",V8_COHORT_TABLE,2,FALSE),VLOOKUP("GLOBAL",V8_COHORT_TABLE,2,FALSE))))</f>
        <v/>
      </c>
      <c r="W200" s="15">
        <f>IFERROR(VLOOKUP(S200,V8_COHORT_TABLE,3,FALSE),IFERROR(VLOOKUP(P200&amp;"|"&amp;Q200&amp;"|ALL",V8_COHORT_TABLE,3,FALSE),IFERROR(VLOOKUP(P200&amp;"|ALL|ALL",V8_COHORT_TABLE,3,FALSE),VLOOKUP("GLOBAL",V8_COHORT_TABLE,3,FALSE))))</f>
        <v/>
      </c>
      <c r="X200" s="15">
        <f>IFERROR(VLOOKUP(S200,V8_COHORT_TABLE,4,FALSE),IFERROR(VLOOKUP(P200&amp;"|"&amp;Q200&amp;"|ALL",V8_COHORT_TABLE,4,FALSE),IFERROR(VLOOKUP(P200&amp;"|ALL|ALL",V8_COHORT_TABLE,4,FALSE),VLOOKUP("GLOBAL",V8_COHORT_TABLE,4,FALSE))))</f>
        <v/>
      </c>
      <c r="Y200" s="15">
        <f>IFERROR(VLOOKUP(S200,V8_COHORT_TABLE,5,FALSE),IFERROR(VLOOKUP(P200&amp;"|"&amp;Q200&amp;"|ALL",V8_COHORT_TABLE,5,FALSE),IFERROR(VLOOKUP(P200&amp;"|ALL|ALL",V8_COHORT_TABLE,5,FALSE),VLOOKUP("GLOBAL",V8_COHORT_TABLE,5,FALSE))))</f>
        <v/>
      </c>
      <c r="Z200" s="15">
        <f>V200+W200/(1+EXP(-(U200-X200)/Y200))</f>
        <v/>
      </c>
      <c r="AA200" s="16">
        <f>1-(1-Z200)^12</f>
        <v/>
      </c>
      <c r="AB200" s="14">
        <f>IF(K200&lt;=V8_AGE_KNOT_X_0,V8_AGE_KNOT_Y_0,IF(K200&gt;=V8_AGE_KNOT_X_5,V8_AGE_KNOT_Y_5,IF(K200&lt;=V8_AGE_KNOT_X_1,V8_AGE_KNOT_Y_0+(K200-V8_AGE_KNOT_X_0)/(V8_AGE_KNOT_X_1-V8_AGE_KNOT_X_0)*(V8_AGE_KNOT_Y_1-V8_AGE_KNOT_Y_0),IF(K200&lt;=V8_AGE_KNOT_X_2,V8_AGE_KNOT_Y_1+(K200-V8_AGE_KNOT_X_1)/(V8_AGE_KNOT_X_2-V8_AGE_KNOT_X_1)*(V8_AGE_KNOT_Y_2-V8_AGE_KNOT_Y_1),IF(K200&lt;=V8_AGE_KNOT_X_3,V8_AGE_KNOT_Y_2+(K200-V8_AGE_KNOT_X_2)/(V8_AGE_KNOT_X_3-V8_AGE_KNOT_X_2)*(V8_AGE_KNOT_Y_3-V8_AGE_KNOT_Y_2),IF(K200&lt;=V8_AGE_KNOT_X_4,V8_AGE_KNOT_Y_3+(K200-V8_AGE_KNOT_X_3)/(V8_AGE_KNOT_X_4-V8_AGE_KNOT_X_3)*(V8_AGE_KNOT_Y_4-V8_AGE_KNOT_Y_3),V8_AGE_KNOT_Y_4+(K200-V8_AGE_KNOT_X_4)/(V8_AGE_KNOT_X_5-V8_AGE_KNOT_X_4)*(V8_AGE_KNOT_Y_5-V8_AGE_KNOT_Y_4)))))))</f>
        <v/>
      </c>
      <c r="AC200" s="14">
        <f>IF(IF(OR(L200="",NOT(ISNUMBER(L200))),360,MAX(0,MIN(480,(INT(L200/100)-INT(VALUE(F200)/100))*12+MOD(L200,100)-MOD(VALUE(F200),100))))&gt;0,1+V8_MTY_AMP*MAX(0,(V8_MTY_CUTOFF-(IF(OR(L200="",NOT(ISNUMBER(L200))),360,MAX(0,MIN(480,(INT(L200/100)-INT(VALUE(F200)/100))*12+MOD(L200,100)-MOD(VALUE(F200),100))))))/V8_MTY_CUTOFF),1)</f>
        <v/>
      </c>
      <c r="AD200" s="14">
        <f>IF(AND(IF(OR(M200="",NOT(ISNUMBER(M200))),0,MAX(0,MIN(24,(INT(VALUE(F200)/100)-INT(M200/100))*12+MOD(VALUE(F200),100)-MOD(M200,100))))&gt;0,IF(OR(M200="",NOT(ISNUMBER(M200))),0,MAX(0,MIN(24,(INT(VALUE(F200)/100)-INT(M200/100))*12+MOD(VALUE(F200),100)-MOD(M200,100))))&lt;=12),1+V8_LOCKOUT_AMP*EXP(-(IF(OR(M200="",NOT(ISNUMBER(M200))),0,MAX(0,MIN(24,(INT(VALUE(F200)/100)-INT(M200/100))*12+MOD(VALUE(F200),100)-MOD(M200,100)))))/V8_LOCKOUT_TAU),1)</f>
        <v/>
      </c>
      <c r="AE200" s="14">
        <f>MAX(V8_BURN_FLOOR,1-V8_BURN_SLOPE*MIN(1,MAX(0,O200)))</f>
        <v/>
      </c>
      <c r="AF200" s="15">
        <f>MIN(Z200*AB200*AC200*AD200*AE200,0.2)</f>
        <v/>
      </c>
      <c r="AG200" s="16">
        <f>1-(1-AF200)^12</f>
        <v/>
      </c>
    </row>
    <row r="201">
      <c r="A201" s="2" t="inlineStr">
        <is>
          <t>000007522256</t>
        </is>
      </c>
      <c r="B201" t="inlineStr">
        <is>
          <t>232</t>
        </is>
      </c>
      <c r="C201" t="inlineStr">
        <is>
          <t>RP</t>
        </is>
      </c>
      <c r="D201" t="inlineStr">
        <is>
          <t>DWIGHT CAPITAL LLC</t>
        </is>
      </c>
      <c r="E201" t="n">
        <v>2023</v>
      </c>
      <c r="F201" t="inlineStr">
        <is>
          <t>202602</t>
        </is>
      </c>
      <c r="G201" s="8" t="n">
        <v>9048849.869999999</v>
      </c>
      <c r="H201" s="12" t="n">
        <v>5.81</v>
      </c>
      <c r="I201" s="13" t="n">
        <v>447</v>
      </c>
      <c r="J201" s="13" t="n">
        <v>9</v>
      </c>
      <c r="K201" t="n">
        <v>31</v>
      </c>
      <c r="L201" t="n">
        <v>205308</v>
      </c>
      <c r="M201" t="inlineStr"/>
      <c r="N201" t="n">
        <v>12</v>
      </c>
      <c r="O201" s="14" t="n">
        <v>0.3870967741935484</v>
      </c>
      <c r="P201">
        <f>IF(ISNUMBER(SEARCH("232",B201)),"232",IF(ISNUMBER(SEARCH("538",B201)),"538",IF(ISNUMBER(SEARCH("223a7",B201)),"223a7",IF(ISNUMBER(SEARCH("223f",B201)),"223f","OTHER"))))</f>
        <v/>
      </c>
      <c r="Q201">
        <f>IF(UPPER(C201)="NC","NC","RP")</f>
        <v/>
      </c>
      <c r="R201">
        <f>IF(G201&lt;5000000,"small",IF(G201&lt;25000000,"medium","large"))</f>
        <v/>
      </c>
      <c r="S201">
        <f>P201&amp;"|"&amp;Q201&amp;"|"&amp;R201</f>
        <v/>
      </c>
      <c r="T201" s="13">
        <f>H201*100-I201</f>
        <v/>
      </c>
      <c r="U201" s="13">
        <f>T201-12.5*(J201+1)</f>
        <v/>
      </c>
      <c r="V201" s="15">
        <f>IFERROR(VLOOKUP(S201,V8_COHORT_TABLE,2,FALSE),IFERROR(VLOOKUP(P201&amp;"|"&amp;Q201&amp;"|ALL",V8_COHORT_TABLE,2,FALSE),IFERROR(VLOOKUP(P201&amp;"|ALL|ALL",V8_COHORT_TABLE,2,FALSE),VLOOKUP("GLOBAL",V8_COHORT_TABLE,2,FALSE))))</f>
        <v/>
      </c>
      <c r="W201" s="15">
        <f>IFERROR(VLOOKUP(S201,V8_COHORT_TABLE,3,FALSE),IFERROR(VLOOKUP(P201&amp;"|"&amp;Q201&amp;"|ALL",V8_COHORT_TABLE,3,FALSE),IFERROR(VLOOKUP(P201&amp;"|ALL|ALL",V8_COHORT_TABLE,3,FALSE),VLOOKUP("GLOBAL",V8_COHORT_TABLE,3,FALSE))))</f>
        <v/>
      </c>
      <c r="X201" s="15">
        <f>IFERROR(VLOOKUP(S201,V8_COHORT_TABLE,4,FALSE),IFERROR(VLOOKUP(P201&amp;"|"&amp;Q201&amp;"|ALL",V8_COHORT_TABLE,4,FALSE),IFERROR(VLOOKUP(P201&amp;"|ALL|ALL",V8_COHORT_TABLE,4,FALSE),VLOOKUP("GLOBAL",V8_COHORT_TABLE,4,FALSE))))</f>
        <v/>
      </c>
      <c r="Y201" s="15">
        <f>IFERROR(VLOOKUP(S201,V8_COHORT_TABLE,5,FALSE),IFERROR(VLOOKUP(P201&amp;"|"&amp;Q201&amp;"|ALL",V8_COHORT_TABLE,5,FALSE),IFERROR(VLOOKUP(P201&amp;"|ALL|ALL",V8_COHORT_TABLE,5,FALSE),VLOOKUP("GLOBAL",V8_COHORT_TABLE,5,FALSE))))</f>
        <v/>
      </c>
      <c r="Z201" s="15">
        <f>V201+W201/(1+EXP(-(U201-X201)/Y201))</f>
        <v/>
      </c>
      <c r="AA201" s="16">
        <f>1-(1-Z201)^12</f>
        <v/>
      </c>
      <c r="AB201" s="14">
        <f>IF(K201&lt;=V8_AGE_KNOT_X_0,V8_AGE_KNOT_Y_0,IF(K201&gt;=V8_AGE_KNOT_X_5,V8_AGE_KNOT_Y_5,IF(K201&lt;=V8_AGE_KNOT_X_1,V8_AGE_KNOT_Y_0+(K201-V8_AGE_KNOT_X_0)/(V8_AGE_KNOT_X_1-V8_AGE_KNOT_X_0)*(V8_AGE_KNOT_Y_1-V8_AGE_KNOT_Y_0),IF(K201&lt;=V8_AGE_KNOT_X_2,V8_AGE_KNOT_Y_1+(K201-V8_AGE_KNOT_X_1)/(V8_AGE_KNOT_X_2-V8_AGE_KNOT_X_1)*(V8_AGE_KNOT_Y_2-V8_AGE_KNOT_Y_1),IF(K201&lt;=V8_AGE_KNOT_X_3,V8_AGE_KNOT_Y_2+(K201-V8_AGE_KNOT_X_2)/(V8_AGE_KNOT_X_3-V8_AGE_KNOT_X_2)*(V8_AGE_KNOT_Y_3-V8_AGE_KNOT_Y_2),IF(K201&lt;=V8_AGE_KNOT_X_4,V8_AGE_KNOT_Y_3+(K201-V8_AGE_KNOT_X_3)/(V8_AGE_KNOT_X_4-V8_AGE_KNOT_X_3)*(V8_AGE_KNOT_Y_4-V8_AGE_KNOT_Y_3),V8_AGE_KNOT_Y_4+(K201-V8_AGE_KNOT_X_4)/(V8_AGE_KNOT_X_5-V8_AGE_KNOT_X_4)*(V8_AGE_KNOT_Y_5-V8_AGE_KNOT_Y_4)))))))</f>
        <v/>
      </c>
      <c r="AC201" s="14">
        <f>IF(IF(OR(L201="",NOT(ISNUMBER(L201))),360,MAX(0,MIN(480,(INT(L201/100)-INT(VALUE(F201)/100))*12+MOD(L201,100)-MOD(VALUE(F201),100))))&gt;0,1+V8_MTY_AMP*MAX(0,(V8_MTY_CUTOFF-(IF(OR(L201="",NOT(ISNUMBER(L201))),360,MAX(0,MIN(480,(INT(L201/100)-INT(VALUE(F201)/100))*12+MOD(L201,100)-MOD(VALUE(F201),100))))))/V8_MTY_CUTOFF),1)</f>
        <v/>
      </c>
      <c r="AD201" s="14">
        <f>IF(AND(IF(OR(M201="",NOT(ISNUMBER(M201))),0,MAX(0,MIN(24,(INT(VALUE(F201)/100)-INT(M201/100))*12+MOD(VALUE(F201),100)-MOD(M201,100))))&gt;0,IF(OR(M201="",NOT(ISNUMBER(M201))),0,MAX(0,MIN(24,(INT(VALUE(F201)/100)-INT(M201/100))*12+MOD(VALUE(F201),100)-MOD(M201,100))))&lt;=12),1+V8_LOCKOUT_AMP*EXP(-(IF(OR(M201="",NOT(ISNUMBER(M201))),0,MAX(0,MIN(24,(INT(VALUE(F201)/100)-INT(M201/100))*12+MOD(VALUE(F201),100)-MOD(M201,100)))))/V8_LOCKOUT_TAU),1)</f>
        <v/>
      </c>
      <c r="AE201" s="14">
        <f>MAX(V8_BURN_FLOOR,1-V8_BURN_SLOPE*MIN(1,MAX(0,O201)))</f>
        <v/>
      </c>
      <c r="AF201" s="15">
        <f>MIN(Z201*AB201*AC201*AD201*AE201,0.2)</f>
        <v/>
      </c>
      <c r="AG201" s="16">
        <f>1-(1-AF201)^12</f>
        <v/>
      </c>
    </row>
    <row r="202">
      <c r="A202" s="2" t="inlineStr">
        <is>
          <t>000007522267</t>
        </is>
      </c>
      <c r="B202" t="inlineStr">
        <is>
          <t>232</t>
        </is>
      </c>
      <c r="C202" t="inlineStr">
        <is>
          <t>RP</t>
        </is>
      </c>
      <c r="D202" t="inlineStr">
        <is>
          <t>DWIGHT CAPITAL LLC</t>
        </is>
      </c>
      <c r="E202" t="n">
        <v>2024</v>
      </c>
      <c r="F202" t="inlineStr">
        <is>
          <t>202602</t>
        </is>
      </c>
      <c r="G202" s="8" t="n">
        <v>6134382.85</v>
      </c>
      <c r="H202" s="12" t="n">
        <v>6.24</v>
      </c>
      <c r="I202" s="13" t="n">
        <v>447</v>
      </c>
      <c r="J202" s="13" t="n">
        <v>10</v>
      </c>
      <c r="K202" t="n">
        <v>18</v>
      </c>
      <c r="L202" t="n">
        <v>205909</v>
      </c>
      <c r="M202" t="inlineStr"/>
      <c r="N202" t="n">
        <v>18</v>
      </c>
      <c r="O202" s="14" t="n">
        <v>1</v>
      </c>
      <c r="P202">
        <f>IF(ISNUMBER(SEARCH("232",B202)),"232",IF(ISNUMBER(SEARCH("538",B202)),"538",IF(ISNUMBER(SEARCH("223a7",B202)),"223a7",IF(ISNUMBER(SEARCH("223f",B202)),"223f","OTHER"))))</f>
        <v/>
      </c>
      <c r="Q202">
        <f>IF(UPPER(C202)="NC","NC","RP")</f>
        <v/>
      </c>
      <c r="R202">
        <f>IF(G202&lt;5000000,"small",IF(G202&lt;25000000,"medium","large"))</f>
        <v/>
      </c>
      <c r="S202">
        <f>P202&amp;"|"&amp;Q202&amp;"|"&amp;R202</f>
        <v/>
      </c>
      <c r="T202" s="13">
        <f>H202*100-I202</f>
        <v/>
      </c>
      <c r="U202" s="13">
        <f>T202-12.5*(J202+1)</f>
        <v/>
      </c>
      <c r="V202" s="15">
        <f>IFERROR(VLOOKUP(S202,V8_COHORT_TABLE,2,FALSE),IFERROR(VLOOKUP(P202&amp;"|"&amp;Q202&amp;"|ALL",V8_COHORT_TABLE,2,FALSE),IFERROR(VLOOKUP(P202&amp;"|ALL|ALL",V8_COHORT_TABLE,2,FALSE),VLOOKUP("GLOBAL",V8_COHORT_TABLE,2,FALSE))))</f>
        <v/>
      </c>
      <c r="W202" s="15">
        <f>IFERROR(VLOOKUP(S202,V8_COHORT_TABLE,3,FALSE),IFERROR(VLOOKUP(P202&amp;"|"&amp;Q202&amp;"|ALL",V8_COHORT_TABLE,3,FALSE),IFERROR(VLOOKUP(P202&amp;"|ALL|ALL",V8_COHORT_TABLE,3,FALSE),VLOOKUP("GLOBAL",V8_COHORT_TABLE,3,FALSE))))</f>
        <v/>
      </c>
      <c r="X202" s="15">
        <f>IFERROR(VLOOKUP(S202,V8_COHORT_TABLE,4,FALSE),IFERROR(VLOOKUP(P202&amp;"|"&amp;Q202&amp;"|ALL",V8_COHORT_TABLE,4,FALSE),IFERROR(VLOOKUP(P202&amp;"|ALL|ALL",V8_COHORT_TABLE,4,FALSE),VLOOKUP("GLOBAL",V8_COHORT_TABLE,4,FALSE))))</f>
        <v/>
      </c>
      <c r="Y202" s="15">
        <f>IFERROR(VLOOKUP(S202,V8_COHORT_TABLE,5,FALSE),IFERROR(VLOOKUP(P202&amp;"|"&amp;Q202&amp;"|ALL",V8_COHORT_TABLE,5,FALSE),IFERROR(VLOOKUP(P202&amp;"|ALL|ALL",V8_COHORT_TABLE,5,FALSE),VLOOKUP("GLOBAL",V8_COHORT_TABLE,5,FALSE))))</f>
        <v/>
      </c>
      <c r="Z202" s="15">
        <f>V202+W202/(1+EXP(-(U202-X202)/Y202))</f>
        <v/>
      </c>
      <c r="AA202" s="16">
        <f>1-(1-Z202)^12</f>
        <v/>
      </c>
      <c r="AB202" s="14">
        <f>IF(K202&lt;=V8_AGE_KNOT_X_0,V8_AGE_KNOT_Y_0,IF(K202&gt;=V8_AGE_KNOT_X_5,V8_AGE_KNOT_Y_5,IF(K202&lt;=V8_AGE_KNOT_X_1,V8_AGE_KNOT_Y_0+(K202-V8_AGE_KNOT_X_0)/(V8_AGE_KNOT_X_1-V8_AGE_KNOT_X_0)*(V8_AGE_KNOT_Y_1-V8_AGE_KNOT_Y_0),IF(K202&lt;=V8_AGE_KNOT_X_2,V8_AGE_KNOT_Y_1+(K202-V8_AGE_KNOT_X_1)/(V8_AGE_KNOT_X_2-V8_AGE_KNOT_X_1)*(V8_AGE_KNOT_Y_2-V8_AGE_KNOT_Y_1),IF(K202&lt;=V8_AGE_KNOT_X_3,V8_AGE_KNOT_Y_2+(K202-V8_AGE_KNOT_X_2)/(V8_AGE_KNOT_X_3-V8_AGE_KNOT_X_2)*(V8_AGE_KNOT_Y_3-V8_AGE_KNOT_Y_2),IF(K202&lt;=V8_AGE_KNOT_X_4,V8_AGE_KNOT_Y_3+(K202-V8_AGE_KNOT_X_3)/(V8_AGE_KNOT_X_4-V8_AGE_KNOT_X_3)*(V8_AGE_KNOT_Y_4-V8_AGE_KNOT_Y_3),V8_AGE_KNOT_Y_4+(K202-V8_AGE_KNOT_X_4)/(V8_AGE_KNOT_X_5-V8_AGE_KNOT_X_4)*(V8_AGE_KNOT_Y_5-V8_AGE_KNOT_Y_4)))))))</f>
        <v/>
      </c>
      <c r="AC202" s="14">
        <f>IF(IF(OR(L202="",NOT(ISNUMBER(L202))),360,MAX(0,MIN(480,(INT(L202/100)-INT(VALUE(F202)/100))*12+MOD(L202,100)-MOD(VALUE(F202),100))))&gt;0,1+V8_MTY_AMP*MAX(0,(V8_MTY_CUTOFF-(IF(OR(L202="",NOT(ISNUMBER(L202))),360,MAX(0,MIN(480,(INT(L202/100)-INT(VALUE(F202)/100))*12+MOD(L202,100)-MOD(VALUE(F202),100))))))/V8_MTY_CUTOFF),1)</f>
        <v/>
      </c>
      <c r="AD202" s="14">
        <f>IF(AND(IF(OR(M202="",NOT(ISNUMBER(M202))),0,MAX(0,MIN(24,(INT(VALUE(F202)/100)-INT(M202/100))*12+MOD(VALUE(F202),100)-MOD(M202,100))))&gt;0,IF(OR(M202="",NOT(ISNUMBER(M202))),0,MAX(0,MIN(24,(INT(VALUE(F202)/100)-INT(M202/100))*12+MOD(VALUE(F202),100)-MOD(M202,100))))&lt;=12),1+V8_LOCKOUT_AMP*EXP(-(IF(OR(M202="",NOT(ISNUMBER(M202))),0,MAX(0,MIN(24,(INT(VALUE(F202)/100)-INT(M202/100))*12+MOD(VALUE(F202),100)-MOD(M202,100)))))/V8_LOCKOUT_TAU),1)</f>
        <v/>
      </c>
      <c r="AE202" s="14">
        <f>MAX(V8_BURN_FLOOR,1-V8_BURN_SLOPE*MIN(1,MAX(0,O202)))</f>
        <v/>
      </c>
      <c r="AF202" s="15">
        <f>MIN(Z202*AB202*AC202*AD202*AE202,0.2)</f>
        <v/>
      </c>
      <c r="AG202" s="16">
        <f>1-(1-AF202)^12</f>
        <v/>
      </c>
    </row>
    <row r="203">
      <c r="A203" s="2" t="inlineStr">
        <is>
          <t>000013611110</t>
        </is>
      </c>
      <c r="B203" t="inlineStr">
        <is>
          <t>223a7</t>
        </is>
      </c>
      <c r="C203" t="inlineStr">
        <is>
          <t>RP</t>
        </is>
      </c>
      <c r="D203" t="inlineStr">
        <is>
          <t>DWIGHT CAPITAL LLC</t>
        </is>
      </c>
      <c r="E203" t="n">
        <v>2020</v>
      </c>
      <c r="F203" t="inlineStr">
        <is>
          <t>202602</t>
        </is>
      </c>
      <c r="G203" s="8" t="n">
        <v>17026960.32</v>
      </c>
      <c r="H203" s="12" t="n">
        <v>3.37</v>
      </c>
      <c r="I203" s="13" t="n">
        <v>447</v>
      </c>
      <c r="J203" s="13" t="n">
        <v>6</v>
      </c>
      <c r="K203" t="n">
        <v>64</v>
      </c>
      <c r="L203" t="n">
        <v>205511</v>
      </c>
      <c r="M203" t="n">
        <v>202112</v>
      </c>
      <c r="N203" t="n">
        <v>14</v>
      </c>
      <c r="O203" s="14" t="n">
        <v>0.21875</v>
      </c>
      <c r="P203">
        <f>IF(ISNUMBER(SEARCH("232",B203)),"232",IF(ISNUMBER(SEARCH("538",B203)),"538",IF(ISNUMBER(SEARCH("223a7",B203)),"223a7",IF(ISNUMBER(SEARCH("223f",B203)),"223f","OTHER"))))</f>
        <v/>
      </c>
      <c r="Q203">
        <f>IF(UPPER(C203)="NC","NC","RP")</f>
        <v/>
      </c>
      <c r="R203">
        <f>IF(G203&lt;5000000,"small",IF(G203&lt;25000000,"medium","large"))</f>
        <v/>
      </c>
      <c r="S203">
        <f>P203&amp;"|"&amp;Q203&amp;"|"&amp;R203</f>
        <v/>
      </c>
      <c r="T203" s="13">
        <f>H203*100-I203</f>
        <v/>
      </c>
      <c r="U203" s="13">
        <f>T203-12.5*(J203+1)</f>
        <v/>
      </c>
      <c r="V203" s="15">
        <f>IFERROR(VLOOKUP(S203,V8_COHORT_TABLE,2,FALSE),IFERROR(VLOOKUP(P203&amp;"|"&amp;Q203&amp;"|ALL",V8_COHORT_TABLE,2,FALSE),IFERROR(VLOOKUP(P203&amp;"|ALL|ALL",V8_COHORT_TABLE,2,FALSE),VLOOKUP("GLOBAL",V8_COHORT_TABLE,2,FALSE))))</f>
        <v/>
      </c>
      <c r="W203" s="15">
        <f>IFERROR(VLOOKUP(S203,V8_COHORT_TABLE,3,FALSE),IFERROR(VLOOKUP(P203&amp;"|"&amp;Q203&amp;"|ALL",V8_COHORT_TABLE,3,FALSE),IFERROR(VLOOKUP(P203&amp;"|ALL|ALL",V8_COHORT_TABLE,3,FALSE),VLOOKUP("GLOBAL",V8_COHORT_TABLE,3,FALSE))))</f>
        <v/>
      </c>
      <c r="X203" s="15">
        <f>IFERROR(VLOOKUP(S203,V8_COHORT_TABLE,4,FALSE),IFERROR(VLOOKUP(P203&amp;"|"&amp;Q203&amp;"|ALL",V8_COHORT_TABLE,4,FALSE),IFERROR(VLOOKUP(P203&amp;"|ALL|ALL",V8_COHORT_TABLE,4,FALSE),VLOOKUP("GLOBAL",V8_COHORT_TABLE,4,FALSE))))</f>
        <v/>
      </c>
      <c r="Y203" s="15">
        <f>IFERROR(VLOOKUP(S203,V8_COHORT_TABLE,5,FALSE),IFERROR(VLOOKUP(P203&amp;"|"&amp;Q203&amp;"|ALL",V8_COHORT_TABLE,5,FALSE),IFERROR(VLOOKUP(P203&amp;"|ALL|ALL",V8_COHORT_TABLE,5,FALSE),VLOOKUP("GLOBAL",V8_COHORT_TABLE,5,FALSE))))</f>
        <v/>
      </c>
      <c r="Z203" s="15">
        <f>V203+W203/(1+EXP(-(U203-X203)/Y203))</f>
        <v/>
      </c>
      <c r="AA203" s="16">
        <f>1-(1-Z203)^12</f>
        <v/>
      </c>
      <c r="AB203" s="14">
        <f>IF(K203&lt;=V8_AGE_KNOT_X_0,V8_AGE_KNOT_Y_0,IF(K203&gt;=V8_AGE_KNOT_X_5,V8_AGE_KNOT_Y_5,IF(K203&lt;=V8_AGE_KNOT_X_1,V8_AGE_KNOT_Y_0+(K203-V8_AGE_KNOT_X_0)/(V8_AGE_KNOT_X_1-V8_AGE_KNOT_X_0)*(V8_AGE_KNOT_Y_1-V8_AGE_KNOT_Y_0),IF(K203&lt;=V8_AGE_KNOT_X_2,V8_AGE_KNOT_Y_1+(K203-V8_AGE_KNOT_X_1)/(V8_AGE_KNOT_X_2-V8_AGE_KNOT_X_1)*(V8_AGE_KNOT_Y_2-V8_AGE_KNOT_Y_1),IF(K203&lt;=V8_AGE_KNOT_X_3,V8_AGE_KNOT_Y_2+(K203-V8_AGE_KNOT_X_2)/(V8_AGE_KNOT_X_3-V8_AGE_KNOT_X_2)*(V8_AGE_KNOT_Y_3-V8_AGE_KNOT_Y_2),IF(K203&lt;=V8_AGE_KNOT_X_4,V8_AGE_KNOT_Y_3+(K203-V8_AGE_KNOT_X_3)/(V8_AGE_KNOT_X_4-V8_AGE_KNOT_X_3)*(V8_AGE_KNOT_Y_4-V8_AGE_KNOT_Y_3),V8_AGE_KNOT_Y_4+(K203-V8_AGE_KNOT_X_4)/(V8_AGE_KNOT_X_5-V8_AGE_KNOT_X_4)*(V8_AGE_KNOT_Y_5-V8_AGE_KNOT_Y_4)))))))</f>
        <v/>
      </c>
      <c r="AC203" s="14">
        <f>IF(IF(OR(L203="",NOT(ISNUMBER(L203))),360,MAX(0,MIN(480,(INT(L203/100)-INT(VALUE(F203)/100))*12+MOD(L203,100)-MOD(VALUE(F203),100))))&gt;0,1+V8_MTY_AMP*MAX(0,(V8_MTY_CUTOFF-(IF(OR(L203="",NOT(ISNUMBER(L203))),360,MAX(0,MIN(480,(INT(L203/100)-INT(VALUE(F203)/100))*12+MOD(L203,100)-MOD(VALUE(F203),100))))))/V8_MTY_CUTOFF),1)</f>
        <v/>
      </c>
      <c r="AD203" s="14">
        <f>IF(AND(IF(OR(M203="",NOT(ISNUMBER(M203))),0,MAX(0,MIN(24,(INT(VALUE(F203)/100)-INT(M203/100))*12+MOD(VALUE(F203),100)-MOD(M203,100))))&gt;0,IF(OR(M203="",NOT(ISNUMBER(M203))),0,MAX(0,MIN(24,(INT(VALUE(F203)/100)-INT(M203/100))*12+MOD(VALUE(F203),100)-MOD(M203,100))))&lt;=12),1+V8_LOCKOUT_AMP*EXP(-(IF(OR(M203="",NOT(ISNUMBER(M203))),0,MAX(0,MIN(24,(INT(VALUE(F203)/100)-INT(M203/100))*12+MOD(VALUE(F203),100)-MOD(M203,100)))))/V8_LOCKOUT_TAU),1)</f>
        <v/>
      </c>
      <c r="AE203" s="14">
        <f>MAX(V8_BURN_FLOOR,1-V8_BURN_SLOPE*MIN(1,MAX(0,O203)))</f>
        <v/>
      </c>
      <c r="AF203" s="15">
        <f>MIN(Z203*AB203*AC203*AD203*AE203,0.2)</f>
        <v/>
      </c>
      <c r="AG203" s="16">
        <f>1-(1-AF203)^12</f>
        <v/>
      </c>
    </row>
    <row r="204">
      <c r="A204" s="2" t="inlineStr">
        <is>
          <t>000003522081</t>
        </is>
      </c>
      <c r="B204" t="inlineStr">
        <is>
          <t>232</t>
        </is>
      </c>
      <c r="C204" t="inlineStr">
        <is>
          <t>RP</t>
        </is>
      </c>
      <c r="D204" t="inlineStr">
        <is>
          <t>DWIGHT CAPITAL LLC</t>
        </is>
      </c>
      <c r="E204" t="n">
        <v>2019</v>
      </c>
      <c r="F204" t="inlineStr">
        <is>
          <t>202602</t>
        </is>
      </c>
      <c r="G204" s="8" t="n">
        <v>45394966.63</v>
      </c>
      <c r="H204" s="12" t="n">
        <v>3.1</v>
      </c>
      <c r="I204" s="13" t="n">
        <v>447</v>
      </c>
      <c r="J204" s="13" t="n">
        <v>4</v>
      </c>
      <c r="K204" t="n">
        <v>75</v>
      </c>
      <c r="L204" t="n">
        <v>205412</v>
      </c>
      <c r="M204" t="inlineStr"/>
      <c r="N204" t="n">
        <v>13</v>
      </c>
      <c r="O204" s="14" t="n">
        <v>0.1733333333333333</v>
      </c>
      <c r="P204">
        <f>IF(ISNUMBER(SEARCH("232",B204)),"232",IF(ISNUMBER(SEARCH("538",B204)),"538",IF(ISNUMBER(SEARCH("223a7",B204)),"223a7",IF(ISNUMBER(SEARCH("223f",B204)),"223f","OTHER"))))</f>
        <v/>
      </c>
      <c r="Q204">
        <f>IF(UPPER(C204)="NC","NC","RP")</f>
        <v/>
      </c>
      <c r="R204">
        <f>IF(G204&lt;5000000,"small",IF(G204&lt;25000000,"medium","large"))</f>
        <v/>
      </c>
      <c r="S204">
        <f>P204&amp;"|"&amp;Q204&amp;"|"&amp;R204</f>
        <v/>
      </c>
      <c r="T204" s="13">
        <f>H204*100-I204</f>
        <v/>
      </c>
      <c r="U204" s="13">
        <f>T204-12.5*(J204+1)</f>
        <v/>
      </c>
      <c r="V204" s="15">
        <f>IFERROR(VLOOKUP(S204,V8_COHORT_TABLE,2,FALSE),IFERROR(VLOOKUP(P204&amp;"|"&amp;Q204&amp;"|ALL",V8_COHORT_TABLE,2,FALSE),IFERROR(VLOOKUP(P204&amp;"|ALL|ALL",V8_COHORT_TABLE,2,FALSE),VLOOKUP("GLOBAL",V8_COHORT_TABLE,2,FALSE))))</f>
        <v/>
      </c>
      <c r="W204" s="15">
        <f>IFERROR(VLOOKUP(S204,V8_COHORT_TABLE,3,FALSE),IFERROR(VLOOKUP(P204&amp;"|"&amp;Q204&amp;"|ALL",V8_COHORT_TABLE,3,FALSE),IFERROR(VLOOKUP(P204&amp;"|ALL|ALL",V8_COHORT_TABLE,3,FALSE),VLOOKUP("GLOBAL",V8_COHORT_TABLE,3,FALSE))))</f>
        <v/>
      </c>
      <c r="X204" s="15">
        <f>IFERROR(VLOOKUP(S204,V8_COHORT_TABLE,4,FALSE),IFERROR(VLOOKUP(P204&amp;"|"&amp;Q204&amp;"|ALL",V8_COHORT_TABLE,4,FALSE),IFERROR(VLOOKUP(P204&amp;"|ALL|ALL",V8_COHORT_TABLE,4,FALSE),VLOOKUP("GLOBAL",V8_COHORT_TABLE,4,FALSE))))</f>
        <v/>
      </c>
      <c r="Y204" s="15">
        <f>IFERROR(VLOOKUP(S204,V8_COHORT_TABLE,5,FALSE),IFERROR(VLOOKUP(P204&amp;"|"&amp;Q204&amp;"|ALL",V8_COHORT_TABLE,5,FALSE),IFERROR(VLOOKUP(P204&amp;"|ALL|ALL",V8_COHORT_TABLE,5,FALSE),VLOOKUP("GLOBAL",V8_COHORT_TABLE,5,FALSE))))</f>
        <v/>
      </c>
      <c r="Z204" s="15">
        <f>V204+W204/(1+EXP(-(U204-X204)/Y204))</f>
        <v/>
      </c>
      <c r="AA204" s="16">
        <f>1-(1-Z204)^12</f>
        <v/>
      </c>
      <c r="AB204" s="14">
        <f>IF(K204&lt;=V8_AGE_KNOT_X_0,V8_AGE_KNOT_Y_0,IF(K204&gt;=V8_AGE_KNOT_X_5,V8_AGE_KNOT_Y_5,IF(K204&lt;=V8_AGE_KNOT_X_1,V8_AGE_KNOT_Y_0+(K204-V8_AGE_KNOT_X_0)/(V8_AGE_KNOT_X_1-V8_AGE_KNOT_X_0)*(V8_AGE_KNOT_Y_1-V8_AGE_KNOT_Y_0),IF(K204&lt;=V8_AGE_KNOT_X_2,V8_AGE_KNOT_Y_1+(K204-V8_AGE_KNOT_X_1)/(V8_AGE_KNOT_X_2-V8_AGE_KNOT_X_1)*(V8_AGE_KNOT_Y_2-V8_AGE_KNOT_Y_1),IF(K204&lt;=V8_AGE_KNOT_X_3,V8_AGE_KNOT_Y_2+(K204-V8_AGE_KNOT_X_2)/(V8_AGE_KNOT_X_3-V8_AGE_KNOT_X_2)*(V8_AGE_KNOT_Y_3-V8_AGE_KNOT_Y_2),IF(K204&lt;=V8_AGE_KNOT_X_4,V8_AGE_KNOT_Y_3+(K204-V8_AGE_KNOT_X_3)/(V8_AGE_KNOT_X_4-V8_AGE_KNOT_X_3)*(V8_AGE_KNOT_Y_4-V8_AGE_KNOT_Y_3),V8_AGE_KNOT_Y_4+(K204-V8_AGE_KNOT_X_4)/(V8_AGE_KNOT_X_5-V8_AGE_KNOT_X_4)*(V8_AGE_KNOT_Y_5-V8_AGE_KNOT_Y_4)))))))</f>
        <v/>
      </c>
      <c r="AC204" s="14">
        <f>IF(IF(OR(L204="",NOT(ISNUMBER(L204))),360,MAX(0,MIN(480,(INT(L204/100)-INT(VALUE(F204)/100))*12+MOD(L204,100)-MOD(VALUE(F204),100))))&gt;0,1+V8_MTY_AMP*MAX(0,(V8_MTY_CUTOFF-(IF(OR(L204="",NOT(ISNUMBER(L204))),360,MAX(0,MIN(480,(INT(L204/100)-INT(VALUE(F204)/100))*12+MOD(L204,100)-MOD(VALUE(F204),100))))))/V8_MTY_CUTOFF),1)</f>
        <v/>
      </c>
      <c r="AD204" s="14">
        <f>IF(AND(IF(OR(M204="",NOT(ISNUMBER(M204))),0,MAX(0,MIN(24,(INT(VALUE(F204)/100)-INT(M204/100))*12+MOD(VALUE(F204),100)-MOD(M204,100))))&gt;0,IF(OR(M204="",NOT(ISNUMBER(M204))),0,MAX(0,MIN(24,(INT(VALUE(F204)/100)-INT(M204/100))*12+MOD(VALUE(F204),100)-MOD(M204,100))))&lt;=12),1+V8_LOCKOUT_AMP*EXP(-(IF(OR(M204="",NOT(ISNUMBER(M204))),0,MAX(0,MIN(24,(INT(VALUE(F204)/100)-INT(M204/100))*12+MOD(VALUE(F204),100)-MOD(M204,100)))))/V8_LOCKOUT_TAU),1)</f>
        <v/>
      </c>
      <c r="AE204" s="14">
        <f>MAX(V8_BURN_FLOOR,1-V8_BURN_SLOPE*MIN(1,MAX(0,O204)))</f>
        <v/>
      </c>
      <c r="AF204" s="15">
        <f>MIN(Z204*AB204*AC204*AD204*AE204,0.2)</f>
        <v/>
      </c>
      <c r="AG204" s="16">
        <f>1-(1-AF204)^12</f>
        <v/>
      </c>
    </row>
    <row r="205">
      <c r="A205" s="2" t="inlineStr">
        <is>
          <t>000009222200</t>
        </is>
      </c>
      <c r="B205" t="inlineStr">
        <is>
          <t>232</t>
        </is>
      </c>
      <c r="C205" t="inlineStr">
        <is>
          <t>RP</t>
        </is>
      </c>
      <c r="D205" t="inlineStr">
        <is>
          <t>DWIGHT CAPITAL LLC</t>
        </is>
      </c>
      <c r="E205" t="n">
        <v>2024</v>
      </c>
      <c r="F205" t="inlineStr">
        <is>
          <t>202602</t>
        </is>
      </c>
      <c r="G205" s="8" t="n">
        <v>5214845.9</v>
      </c>
      <c r="H205" s="12" t="n">
        <v>5.78</v>
      </c>
      <c r="I205" s="13" t="n">
        <v>447</v>
      </c>
      <c r="J205" s="13" t="n">
        <v>10</v>
      </c>
      <c r="K205" t="n">
        <v>17</v>
      </c>
      <c r="L205" t="n">
        <v>205410</v>
      </c>
      <c r="M205" t="inlineStr"/>
      <c r="N205" t="n">
        <v>13</v>
      </c>
      <c r="O205" s="14" t="n">
        <v>0.7647058823529411</v>
      </c>
      <c r="P205">
        <f>IF(ISNUMBER(SEARCH("232",B205)),"232",IF(ISNUMBER(SEARCH("538",B205)),"538",IF(ISNUMBER(SEARCH("223a7",B205)),"223a7",IF(ISNUMBER(SEARCH("223f",B205)),"223f","OTHER"))))</f>
        <v/>
      </c>
      <c r="Q205">
        <f>IF(UPPER(C205)="NC","NC","RP")</f>
        <v/>
      </c>
      <c r="R205">
        <f>IF(G205&lt;5000000,"small",IF(G205&lt;25000000,"medium","large"))</f>
        <v/>
      </c>
      <c r="S205">
        <f>P205&amp;"|"&amp;Q205&amp;"|"&amp;R205</f>
        <v/>
      </c>
      <c r="T205" s="13">
        <f>H205*100-I205</f>
        <v/>
      </c>
      <c r="U205" s="13">
        <f>T205-12.5*(J205+1)</f>
        <v/>
      </c>
      <c r="V205" s="15">
        <f>IFERROR(VLOOKUP(S205,V8_COHORT_TABLE,2,FALSE),IFERROR(VLOOKUP(P205&amp;"|"&amp;Q205&amp;"|ALL",V8_COHORT_TABLE,2,FALSE),IFERROR(VLOOKUP(P205&amp;"|ALL|ALL",V8_COHORT_TABLE,2,FALSE),VLOOKUP("GLOBAL",V8_COHORT_TABLE,2,FALSE))))</f>
        <v/>
      </c>
      <c r="W205" s="15">
        <f>IFERROR(VLOOKUP(S205,V8_COHORT_TABLE,3,FALSE),IFERROR(VLOOKUP(P205&amp;"|"&amp;Q205&amp;"|ALL",V8_COHORT_TABLE,3,FALSE),IFERROR(VLOOKUP(P205&amp;"|ALL|ALL",V8_COHORT_TABLE,3,FALSE),VLOOKUP("GLOBAL",V8_COHORT_TABLE,3,FALSE))))</f>
        <v/>
      </c>
      <c r="X205" s="15">
        <f>IFERROR(VLOOKUP(S205,V8_COHORT_TABLE,4,FALSE),IFERROR(VLOOKUP(P205&amp;"|"&amp;Q205&amp;"|ALL",V8_COHORT_TABLE,4,FALSE),IFERROR(VLOOKUP(P205&amp;"|ALL|ALL",V8_COHORT_TABLE,4,FALSE),VLOOKUP("GLOBAL",V8_COHORT_TABLE,4,FALSE))))</f>
        <v/>
      </c>
      <c r="Y205" s="15">
        <f>IFERROR(VLOOKUP(S205,V8_COHORT_TABLE,5,FALSE),IFERROR(VLOOKUP(P205&amp;"|"&amp;Q205&amp;"|ALL",V8_COHORT_TABLE,5,FALSE),IFERROR(VLOOKUP(P205&amp;"|ALL|ALL",V8_COHORT_TABLE,5,FALSE),VLOOKUP("GLOBAL",V8_COHORT_TABLE,5,FALSE))))</f>
        <v/>
      </c>
      <c r="Z205" s="15">
        <f>V205+W205/(1+EXP(-(U205-X205)/Y205))</f>
        <v/>
      </c>
      <c r="AA205" s="16">
        <f>1-(1-Z205)^12</f>
        <v/>
      </c>
      <c r="AB205" s="14">
        <f>IF(K205&lt;=V8_AGE_KNOT_X_0,V8_AGE_KNOT_Y_0,IF(K205&gt;=V8_AGE_KNOT_X_5,V8_AGE_KNOT_Y_5,IF(K205&lt;=V8_AGE_KNOT_X_1,V8_AGE_KNOT_Y_0+(K205-V8_AGE_KNOT_X_0)/(V8_AGE_KNOT_X_1-V8_AGE_KNOT_X_0)*(V8_AGE_KNOT_Y_1-V8_AGE_KNOT_Y_0),IF(K205&lt;=V8_AGE_KNOT_X_2,V8_AGE_KNOT_Y_1+(K205-V8_AGE_KNOT_X_1)/(V8_AGE_KNOT_X_2-V8_AGE_KNOT_X_1)*(V8_AGE_KNOT_Y_2-V8_AGE_KNOT_Y_1),IF(K205&lt;=V8_AGE_KNOT_X_3,V8_AGE_KNOT_Y_2+(K205-V8_AGE_KNOT_X_2)/(V8_AGE_KNOT_X_3-V8_AGE_KNOT_X_2)*(V8_AGE_KNOT_Y_3-V8_AGE_KNOT_Y_2),IF(K205&lt;=V8_AGE_KNOT_X_4,V8_AGE_KNOT_Y_3+(K205-V8_AGE_KNOT_X_3)/(V8_AGE_KNOT_X_4-V8_AGE_KNOT_X_3)*(V8_AGE_KNOT_Y_4-V8_AGE_KNOT_Y_3),V8_AGE_KNOT_Y_4+(K205-V8_AGE_KNOT_X_4)/(V8_AGE_KNOT_X_5-V8_AGE_KNOT_X_4)*(V8_AGE_KNOT_Y_5-V8_AGE_KNOT_Y_4)))))))</f>
        <v/>
      </c>
      <c r="AC205" s="14">
        <f>IF(IF(OR(L205="",NOT(ISNUMBER(L205))),360,MAX(0,MIN(480,(INT(L205/100)-INT(VALUE(F205)/100))*12+MOD(L205,100)-MOD(VALUE(F205),100))))&gt;0,1+V8_MTY_AMP*MAX(0,(V8_MTY_CUTOFF-(IF(OR(L205="",NOT(ISNUMBER(L205))),360,MAX(0,MIN(480,(INT(L205/100)-INT(VALUE(F205)/100))*12+MOD(L205,100)-MOD(VALUE(F205),100))))))/V8_MTY_CUTOFF),1)</f>
        <v/>
      </c>
      <c r="AD205" s="14">
        <f>IF(AND(IF(OR(M205="",NOT(ISNUMBER(M205))),0,MAX(0,MIN(24,(INT(VALUE(F205)/100)-INT(M205/100))*12+MOD(VALUE(F205),100)-MOD(M205,100))))&gt;0,IF(OR(M205="",NOT(ISNUMBER(M205))),0,MAX(0,MIN(24,(INT(VALUE(F205)/100)-INT(M205/100))*12+MOD(VALUE(F205),100)-MOD(M205,100))))&lt;=12),1+V8_LOCKOUT_AMP*EXP(-(IF(OR(M205="",NOT(ISNUMBER(M205))),0,MAX(0,MIN(24,(INT(VALUE(F205)/100)-INT(M205/100))*12+MOD(VALUE(F205),100)-MOD(M205,100)))))/V8_LOCKOUT_TAU),1)</f>
        <v/>
      </c>
      <c r="AE205" s="14">
        <f>MAX(V8_BURN_FLOOR,1-V8_BURN_SLOPE*MIN(1,MAX(0,O205)))</f>
        <v/>
      </c>
      <c r="AF205" s="15">
        <f>MIN(Z205*AB205*AC205*AD205*AE205,0.2)</f>
        <v/>
      </c>
      <c r="AG205" s="16">
        <f>1-(1-AF205)^12</f>
        <v/>
      </c>
    </row>
    <row r="206">
      <c r="A206" s="2" t="inlineStr">
        <is>
          <t>000012611187</t>
        </is>
      </c>
      <c r="B206" t="inlineStr">
        <is>
          <t>223f</t>
        </is>
      </c>
      <c r="C206" t="inlineStr">
        <is>
          <t>RP</t>
        </is>
      </c>
      <c r="D206" t="inlineStr">
        <is>
          <t>DWIGHT CAPITAL LLC</t>
        </is>
      </c>
      <c r="E206" t="n">
        <v>2020</v>
      </c>
      <c r="F206" t="inlineStr">
        <is>
          <t>202602</t>
        </is>
      </c>
      <c r="G206" s="8" t="n">
        <v>2431852.91</v>
      </c>
      <c r="H206" s="12" t="n">
        <v>2.75</v>
      </c>
      <c r="I206" s="13" t="n">
        <v>447</v>
      </c>
      <c r="J206" s="13" t="n">
        <v>5</v>
      </c>
      <c r="K206" t="n">
        <v>66</v>
      </c>
      <c r="L206" t="n">
        <v>205509</v>
      </c>
      <c r="M206" t="inlineStr"/>
      <c r="N206" t="n">
        <v>0</v>
      </c>
      <c r="O206" s="14" t="n">
        <v>0</v>
      </c>
      <c r="P206">
        <f>IF(ISNUMBER(SEARCH("232",B206)),"232",IF(ISNUMBER(SEARCH("538",B206)),"538",IF(ISNUMBER(SEARCH("223a7",B206)),"223a7",IF(ISNUMBER(SEARCH("223f",B206)),"223f","OTHER"))))</f>
        <v/>
      </c>
      <c r="Q206">
        <f>IF(UPPER(C206)="NC","NC","RP")</f>
        <v/>
      </c>
      <c r="R206">
        <f>IF(G206&lt;5000000,"small",IF(G206&lt;25000000,"medium","large"))</f>
        <v/>
      </c>
      <c r="S206">
        <f>P206&amp;"|"&amp;Q206&amp;"|"&amp;R206</f>
        <v/>
      </c>
      <c r="T206" s="13">
        <f>H206*100-I206</f>
        <v/>
      </c>
      <c r="U206" s="13">
        <f>T206-12.5*(J206+1)</f>
        <v/>
      </c>
      <c r="V206" s="15">
        <f>IFERROR(VLOOKUP(S206,V8_COHORT_TABLE,2,FALSE),IFERROR(VLOOKUP(P206&amp;"|"&amp;Q206&amp;"|ALL",V8_COHORT_TABLE,2,FALSE),IFERROR(VLOOKUP(P206&amp;"|ALL|ALL",V8_COHORT_TABLE,2,FALSE),VLOOKUP("GLOBAL",V8_COHORT_TABLE,2,FALSE))))</f>
        <v/>
      </c>
      <c r="W206" s="15">
        <f>IFERROR(VLOOKUP(S206,V8_COHORT_TABLE,3,FALSE),IFERROR(VLOOKUP(P206&amp;"|"&amp;Q206&amp;"|ALL",V8_COHORT_TABLE,3,FALSE),IFERROR(VLOOKUP(P206&amp;"|ALL|ALL",V8_COHORT_TABLE,3,FALSE),VLOOKUP("GLOBAL",V8_COHORT_TABLE,3,FALSE))))</f>
        <v/>
      </c>
      <c r="X206" s="15">
        <f>IFERROR(VLOOKUP(S206,V8_COHORT_TABLE,4,FALSE),IFERROR(VLOOKUP(P206&amp;"|"&amp;Q206&amp;"|ALL",V8_COHORT_TABLE,4,FALSE),IFERROR(VLOOKUP(P206&amp;"|ALL|ALL",V8_COHORT_TABLE,4,FALSE),VLOOKUP("GLOBAL",V8_COHORT_TABLE,4,FALSE))))</f>
        <v/>
      </c>
      <c r="Y206" s="15">
        <f>IFERROR(VLOOKUP(S206,V8_COHORT_TABLE,5,FALSE),IFERROR(VLOOKUP(P206&amp;"|"&amp;Q206&amp;"|ALL",V8_COHORT_TABLE,5,FALSE),IFERROR(VLOOKUP(P206&amp;"|ALL|ALL",V8_COHORT_TABLE,5,FALSE),VLOOKUP("GLOBAL",V8_COHORT_TABLE,5,FALSE))))</f>
        <v/>
      </c>
      <c r="Z206" s="15">
        <f>V206+W206/(1+EXP(-(U206-X206)/Y206))</f>
        <v/>
      </c>
      <c r="AA206" s="16">
        <f>1-(1-Z206)^12</f>
        <v/>
      </c>
      <c r="AB206" s="14">
        <f>IF(K206&lt;=V8_AGE_KNOT_X_0,V8_AGE_KNOT_Y_0,IF(K206&gt;=V8_AGE_KNOT_X_5,V8_AGE_KNOT_Y_5,IF(K206&lt;=V8_AGE_KNOT_X_1,V8_AGE_KNOT_Y_0+(K206-V8_AGE_KNOT_X_0)/(V8_AGE_KNOT_X_1-V8_AGE_KNOT_X_0)*(V8_AGE_KNOT_Y_1-V8_AGE_KNOT_Y_0),IF(K206&lt;=V8_AGE_KNOT_X_2,V8_AGE_KNOT_Y_1+(K206-V8_AGE_KNOT_X_1)/(V8_AGE_KNOT_X_2-V8_AGE_KNOT_X_1)*(V8_AGE_KNOT_Y_2-V8_AGE_KNOT_Y_1),IF(K206&lt;=V8_AGE_KNOT_X_3,V8_AGE_KNOT_Y_2+(K206-V8_AGE_KNOT_X_2)/(V8_AGE_KNOT_X_3-V8_AGE_KNOT_X_2)*(V8_AGE_KNOT_Y_3-V8_AGE_KNOT_Y_2),IF(K206&lt;=V8_AGE_KNOT_X_4,V8_AGE_KNOT_Y_3+(K206-V8_AGE_KNOT_X_3)/(V8_AGE_KNOT_X_4-V8_AGE_KNOT_X_3)*(V8_AGE_KNOT_Y_4-V8_AGE_KNOT_Y_3),V8_AGE_KNOT_Y_4+(K206-V8_AGE_KNOT_X_4)/(V8_AGE_KNOT_X_5-V8_AGE_KNOT_X_4)*(V8_AGE_KNOT_Y_5-V8_AGE_KNOT_Y_4)))))))</f>
        <v/>
      </c>
      <c r="AC206" s="14">
        <f>IF(IF(OR(L206="",NOT(ISNUMBER(L206))),360,MAX(0,MIN(480,(INT(L206/100)-INT(VALUE(F206)/100))*12+MOD(L206,100)-MOD(VALUE(F206),100))))&gt;0,1+V8_MTY_AMP*MAX(0,(V8_MTY_CUTOFF-(IF(OR(L206="",NOT(ISNUMBER(L206))),360,MAX(0,MIN(480,(INT(L206/100)-INT(VALUE(F206)/100))*12+MOD(L206,100)-MOD(VALUE(F206),100))))))/V8_MTY_CUTOFF),1)</f>
        <v/>
      </c>
      <c r="AD206" s="14">
        <f>IF(AND(IF(OR(M206="",NOT(ISNUMBER(M206))),0,MAX(0,MIN(24,(INT(VALUE(F206)/100)-INT(M206/100))*12+MOD(VALUE(F206),100)-MOD(M206,100))))&gt;0,IF(OR(M206="",NOT(ISNUMBER(M206))),0,MAX(0,MIN(24,(INT(VALUE(F206)/100)-INT(M206/100))*12+MOD(VALUE(F206),100)-MOD(M206,100))))&lt;=12),1+V8_LOCKOUT_AMP*EXP(-(IF(OR(M206="",NOT(ISNUMBER(M206))),0,MAX(0,MIN(24,(INT(VALUE(F206)/100)-INT(M206/100))*12+MOD(VALUE(F206),100)-MOD(M206,100)))))/V8_LOCKOUT_TAU),1)</f>
        <v/>
      </c>
      <c r="AE206" s="14">
        <f>MAX(V8_BURN_FLOOR,1-V8_BURN_SLOPE*MIN(1,MAX(0,O206)))</f>
        <v/>
      </c>
      <c r="AF206" s="15">
        <f>MIN(Z206*AB206*AC206*AD206*AE206,0.2)</f>
        <v/>
      </c>
      <c r="AG206" s="16">
        <f>1-(1-AF206)^12</f>
        <v/>
      </c>
    </row>
    <row r="207">
      <c r="A207" s="2" t="inlineStr">
        <is>
          <t>000001411293</t>
        </is>
      </c>
      <c r="B207" t="inlineStr">
        <is>
          <t>223f</t>
        </is>
      </c>
      <c r="C207" t="inlineStr">
        <is>
          <t>RP</t>
        </is>
      </c>
      <c r="D207" t="inlineStr">
        <is>
          <t>DWIGHT CAPITAL LLC</t>
        </is>
      </c>
      <c r="E207" t="n">
        <v>2021</v>
      </c>
      <c r="F207" t="inlineStr">
        <is>
          <t>202602</t>
        </is>
      </c>
      <c r="G207" s="8" t="n">
        <v>14648405.46</v>
      </c>
      <c r="H207" s="12" t="n">
        <v>2.5</v>
      </c>
      <c r="I207" s="13" t="n">
        <v>447</v>
      </c>
      <c r="J207" s="13" t="n">
        <v>1</v>
      </c>
      <c r="K207" t="n">
        <v>60</v>
      </c>
      <c r="L207" t="n">
        <v>205603</v>
      </c>
      <c r="M207" t="inlineStr"/>
      <c r="N207" t="n">
        <v>0</v>
      </c>
      <c r="O207" s="14" t="n">
        <v>0</v>
      </c>
      <c r="P207">
        <f>IF(ISNUMBER(SEARCH("232",B207)),"232",IF(ISNUMBER(SEARCH("538",B207)),"538",IF(ISNUMBER(SEARCH("223a7",B207)),"223a7",IF(ISNUMBER(SEARCH("223f",B207)),"223f","OTHER"))))</f>
        <v/>
      </c>
      <c r="Q207">
        <f>IF(UPPER(C207)="NC","NC","RP")</f>
        <v/>
      </c>
      <c r="R207">
        <f>IF(G207&lt;5000000,"small",IF(G207&lt;25000000,"medium","large"))</f>
        <v/>
      </c>
      <c r="S207">
        <f>P207&amp;"|"&amp;Q207&amp;"|"&amp;R207</f>
        <v/>
      </c>
      <c r="T207" s="13">
        <f>H207*100-I207</f>
        <v/>
      </c>
      <c r="U207" s="13">
        <f>T207-12.5*(J207+1)</f>
        <v/>
      </c>
      <c r="V207" s="15">
        <f>IFERROR(VLOOKUP(S207,V8_COHORT_TABLE,2,FALSE),IFERROR(VLOOKUP(P207&amp;"|"&amp;Q207&amp;"|ALL",V8_COHORT_TABLE,2,FALSE),IFERROR(VLOOKUP(P207&amp;"|ALL|ALL",V8_COHORT_TABLE,2,FALSE),VLOOKUP("GLOBAL",V8_COHORT_TABLE,2,FALSE))))</f>
        <v/>
      </c>
      <c r="W207" s="15">
        <f>IFERROR(VLOOKUP(S207,V8_COHORT_TABLE,3,FALSE),IFERROR(VLOOKUP(P207&amp;"|"&amp;Q207&amp;"|ALL",V8_COHORT_TABLE,3,FALSE),IFERROR(VLOOKUP(P207&amp;"|ALL|ALL",V8_COHORT_TABLE,3,FALSE),VLOOKUP("GLOBAL",V8_COHORT_TABLE,3,FALSE))))</f>
        <v/>
      </c>
      <c r="X207" s="15">
        <f>IFERROR(VLOOKUP(S207,V8_COHORT_TABLE,4,FALSE),IFERROR(VLOOKUP(P207&amp;"|"&amp;Q207&amp;"|ALL",V8_COHORT_TABLE,4,FALSE),IFERROR(VLOOKUP(P207&amp;"|ALL|ALL",V8_COHORT_TABLE,4,FALSE),VLOOKUP("GLOBAL",V8_COHORT_TABLE,4,FALSE))))</f>
        <v/>
      </c>
      <c r="Y207" s="15">
        <f>IFERROR(VLOOKUP(S207,V8_COHORT_TABLE,5,FALSE),IFERROR(VLOOKUP(P207&amp;"|"&amp;Q207&amp;"|ALL",V8_COHORT_TABLE,5,FALSE),IFERROR(VLOOKUP(P207&amp;"|ALL|ALL",V8_COHORT_TABLE,5,FALSE),VLOOKUP("GLOBAL",V8_COHORT_TABLE,5,FALSE))))</f>
        <v/>
      </c>
      <c r="Z207" s="15">
        <f>V207+W207/(1+EXP(-(U207-X207)/Y207))</f>
        <v/>
      </c>
      <c r="AA207" s="16">
        <f>1-(1-Z207)^12</f>
        <v/>
      </c>
      <c r="AB207" s="14">
        <f>IF(K207&lt;=V8_AGE_KNOT_X_0,V8_AGE_KNOT_Y_0,IF(K207&gt;=V8_AGE_KNOT_X_5,V8_AGE_KNOT_Y_5,IF(K207&lt;=V8_AGE_KNOT_X_1,V8_AGE_KNOT_Y_0+(K207-V8_AGE_KNOT_X_0)/(V8_AGE_KNOT_X_1-V8_AGE_KNOT_X_0)*(V8_AGE_KNOT_Y_1-V8_AGE_KNOT_Y_0),IF(K207&lt;=V8_AGE_KNOT_X_2,V8_AGE_KNOT_Y_1+(K207-V8_AGE_KNOT_X_1)/(V8_AGE_KNOT_X_2-V8_AGE_KNOT_X_1)*(V8_AGE_KNOT_Y_2-V8_AGE_KNOT_Y_1),IF(K207&lt;=V8_AGE_KNOT_X_3,V8_AGE_KNOT_Y_2+(K207-V8_AGE_KNOT_X_2)/(V8_AGE_KNOT_X_3-V8_AGE_KNOT_X_2)*(V8_AGE_KNOT_Y_3-V8_AGE_KNOT_Y_2),IF(K207&lt;=V8_AGE_KNOT_X_4,V8_AGE_KNOT_Y_3+(K207-V8_AGE_KNOT_X_3)/(V8_AGE_KNOT_X_4-V8_AGE_KNOT_X_3)*(V8_AGE_KNOT_Y_4-V8_AGE_KNOT_Y_3),V8_AGE_KNOT_Y_4+(K207-V8_AGE_KNOT_X_4)/(V8_AGE_KNOT_X_5-V8_AGE_KNOT_X_4)*(V8_AGE_KNOT_Y_5-V8_AGE_KNOT_Y_4)))))))</f>
        <v/>
      </c>
      <c r="AC207" s="14">
        <f>IF(IF(OR(L207="",NOT(ISNUMBER(L207))),360,MAX(0,MIN(480,(INT(L207/100)-INT(VALUE(F207)/100))*12+MOD(L207,100)-MOD(VALUE(F207),100))))&gt;0,1+V8_MTY_AMP*MAX(0,(V8_MTY_CUTOFF-(IF(OR(L207="",NOT(ISNUMBER(L207))),360,MAX(0,MIN(480,(INT(L207/100)-INT(VALUE(F207)/100))*12+MOD(L207,100)-MOD(VALUE(F207),100))))))/V8_MTY_CUTOFF),1)</f>
        <v/>
      </c>
      <c r="AD207" s="14">
        <f>IF(AND(IF(OR(M207="",NOT(ISNUMBER(M207))),0,MAX(0,MIN(24,(INT(VALUE(F207)/100)-INT(M207/100))*12+MOD(VALUE(F207),100)-MOD(M207,100))))&gt;0,IF(OR(M207="",NOT(ISNUMBER(M207))),0,MAX(0,MIN(24,(INT(VALUE(F207)/100)-INT(M207/100))*12+MOD(VALUE(F207),100)-MOD(M207,100))))&lt;=12),1+V8_LOCKOUT_AMP*EXP(-(IF(OR(M207="",NOT(ISNUMBER(M207))),0,MAX(0,MIN(24,(INT(VALUE(F207)/100)-INT(M207/100))*12+MOD(VALUE(F207),100)-MOD(M207,100)))))/V8_LOCKOUT_TAU),1)</f>
        <v/>
      </c>
      <c r="AE207" s="14">
        <f>MAX(V8_BURN_FLOOR,1-V8_BURN_SLOPE*MIN(1,MAX(0,O207)))</f>
        <v/>
      </c>
      <c r="AF207" s="15">
        <f>MIN(Z207*AB207*AC207*AD207*AE207,0.2)</f>
        <v/>
      </c>
      <c r="AG207" s="16">
        <f>1-(1-AF207)^12</f>
        <v/>
      </c>
    </row>
    <row r="208">
      <c r="A208" s="2" t="inlineStr">
        <is>
          <t>000011311524</t>
        </is>
      </c>
      <c r="B208" t="inlineStr">
        <is>
          <t>223f</t>
        </is>
      </c>
      <c r="C208" t="inlineStr">
        <is>
          <t>RP</t>
        </is>
      </c>
      <c r="D208" t="inlineStr">
        <is>
          <t>DWIGHT CAPITAL LLC</t>
        </is>
      </c>
      <c r="E208" t="n">
        <v>2022</v>
      </c>
      <c r="F208" t="inlineStr">
        <is>
          <t>202602</t>
        </is>
      </c>
      <c r="G208" s="8" t="n">
        <v>59356883.6</v>
      </c>
      <c r="H208" s="12" t="n">
        <v>4.3</v>
      </c>
      <c r="I208" s="13" t="n">
        <v>447</v>
      </c>
      <c r="J208" s="13" t="n">
        <v>8</v>
      </c>
      <c r="K208" t="n">
        <v>38</v>
      </c>
      <c r="L208" t="n">
        <v>205801</v>
      </c>
      <c r="M208" t="inlineStr"/>
      <c r="N208" t="n">
        <v>0</v>
      </c>
      <c r="O208" s="14" t="n">
        <v>0</v>
      </c>
      <c r="P208">
        <f>IF(ISNUMBER(SEARCH("232",B208)),"232",IF(ISNUMBER(SEARCH("538",B208)),"538",IF(ISNUMBER(SEARCH("223a7",B208)),"223a7",IF(ISNUMBER(SEARCH("223f",B208)),"223f","OTHER"))))</f>
        <v/>
      </c>
      <c r="Q208">
        <f>IF(UPPER(C208)="NC","NC","RP")</f>
        <v/>
      </c>
      <c r="R208">
        <f>IF(G208&lt;5000000,"small",IF(G208&lt;25000000,"medium","large"))</f>
        <v/>
      </c>
      <c r="S208">
        <f>P208&amp;"|"&amp;Q208&amp;"|"&amp;R208</f>
        <v/>
      </c>
      <c r="T208" s="13">
        <f>H208*100-I208</f>
        <v/>
      </c>
      <c r="U208" s="13">
        <f>T208-12.5*(J208+1)</f>
        <v/>
      </c>
      <c r="V208" s="15">
        <f>IFERROR(VLOOKUP(S208,V8_COHORT_TABLE,2,FALSE),IFERROR(VLOOKUP(P208&amp;"|"&amp;Q208&amp;"|ALL",V8_COHORT_TABLE,2,FALSE),IFERROR(VLOOKUP(P208&amp;"|ALL|ALL",V8_COHORT_TABLE,2,FALSE),VLOOKUP("GLOBAL",V8_COHORT_TABLE,2,FALSE))))</f>
        <v/>
      </c>
      <c r="W208" s="15">
        <f>IFERROR(VLOOKUP(S208,V8_COHORT_TABLE,3,FALSE),IFERROR(VLOOKUP(P208&amp;"|"&amp;Q208&amp;"|ALL",V8_COHORT_TABLE,3,FALSE),IFERROR(VLOOKUP(P208&amp;"|ALL|ALL",V8_COHORT_TABLE,3,FALSE),VLOOKUP("GLOBAL",V8_COHORT_TABLE,3,FALSE))))</f>
        <v/>
      </c>
      <c r="X208" s="15">
        <f>IFERROR(VLOOKUP(S208,V8_COHORT_TABLE,4,FALSE),IFERROR(VLOOKUP(P208&amp;"|"&amp;Q208&amp;"|ALL",V8_COHORT_TABLE,4,FALSE),IFERROR(VLOOKUP(P208&amp;"|ALL|ALL",V8_COHORT_TABLE,4,FALSE),VLOOKUP("GLOBAL",V8_COHORT_TABLE,4,FALSE))))</f>
        <v/>
      </c>
      <c r="Y208" s="15">
        <f>IFERROR(VLOOKUP(S208,V8_COHORT_TABLE,5,FALSE),IFERROR(VLOOKUP(P208&amp;"|"&amp;Q208&amp;"|ALL",V8_COHORT_TABLE,5,FALSE),IFERROR(VLOOKUP(P208&amp;"|ALL|ALL",V8_COHORT_TABLE,5,FALSE),VLOOKUP("GLOBAL",V8_COHORT_TABLE,5,FALSE))))</f>
        <v/>
      </c>
      <c r="Z208" s="15">
        <f>V208+W208/(1+EXP(-(U208-X208)/Y208))</f>
        <v/>
      </c>
      <c r="AA208" s="16">
        <f>1-(1-Z208)^12</f>
        <v/>
      </c>
      <c r="AB208" s="14">
        <f>IF(K208&lt;=V8_AGE_KNOT_X_0,V8_AGE_KNOT_Y_0,IF(K208&gt;=V8_AGE_KNOT_X_5,V8_AGE_KNOT_Y_5,IF(K208&lt;=V8_AGE_KNOT_X_1,V8_AGE_KNOT_Y_0+(K208-V8_AGE_KNOT_X_0)/(V8_AGE_KNOT_X_1-V8_AGE_KNOT_X_0)*(V8_AGE_KNOT_Y_1-V8_AGE_KNOT_Y_0),IF(K208&lt;=V8_AGE_KNOT_X_2,V8_AGE_KNOT_Y_1+(K208-V8_AGE_KNOT_X_1)/(V8_AGE_KNOT_X_2-V8_AGE_KNOT_X_1)*(V8_AGE_KNOT_Y_2-V8_AGE_KNOT_Y_1),IF(K208&lt;=V8_AGE_KNOT_X_3,V8_AGE_KNOT_Y_2+(K208-V8_AGE_KNOT_X_2)/(V8_AGE_KNOT_X_3-V8_AGE_KNOT_X_2)*(V8_AGE_KNOT_Y_3-V8_AGE_KNOT_Y_2),IF(K208&lt;=V8_AGE_KNOT_X_4,V8_AGE_KNOT_Y_3+(K208-V8_AGE_KNOT_X_3)/(V8_AGE_KNOT_X_4-V8_AGE_KNOT_X_3)*(V8_AGE_KNOT_Y_4-V8_AGE_KNOT_Y_3),V8_AGE_KNOT_Y_4+(K208-V8_AGE_KNOT_X_4)/(V8_AGE_KNOT_X_5-V8_AGE_KNOT_X_4)*(V8_AGE_KNOT_Y_5-V8_AGE_KNOT_Y_4)))))))</f>
        <v/>
      </c>
      <c r="AC208" s="14">
        <f>IF(IF(OR(L208="",NOT(ISNUMBER(L208))),360,MAX(0,MIN(480,(INT(L208/100)-INT(VALUE(F208)/100))*12+MOD(L208,100)-MOD(VALUE(F208),100))))&gt;0,1+V8_MTY_AMP*MAX(0,(V8_MTY_CUTOFF-(IF(OR(L208="",NOT(ISNUMBER(L208))),360,MAX(0,MIN(480,(INT(L208/100)-INT(VALUE(F208)/100))*12+MOD(L208,100)-MOD(VALUE(F208),100))))))/V8_MTY_CUTOFF),1)</f>
        <v/>
      </c>
      <c r="AD208" s="14">
        <f>IF(AND(IF(OR(M208="",NOT(ISNUMBER(M208))),0,MAX(0,MIN(24,(INT(VALUE(F208)/100)-INT(M208/100))*12+MOD(VALUE(F208),100)-MOD(M208,100))))&gt;0,IF(OR(M208="",NOT(ISNUMBER(M208))),0,MAX(0,MIN(24,(INT(VALUE(F208)/100)-INT(M208/100))*12+MOD(VALUE(F208),100)-MOD(M208,100))))&lt;=12),1+V8_LOCKOUT_AMP*EXP(-(IF(OR(M208="",NOT(ISNUMBER(M208))),0,MAX(0,MIN(24,(INT(VALUE(F208)/100)-INT(M208/100))*12+MOD(VALUE(F208),100)-MOD(M208,100)))))/V8_LOCKOUT_TAU),1)</f>
        <v/>
      </c>
      <c r="AE208" s="14">
        <f>MAX(V8_BURN_FLOOR,1-V8_BURN_SLOPE*MIN(1,MAX(0,O208)))</f>
        <v/>
      </c>
      <c r="AF208" s="15">
        <f>MIN(Z208*AB208*AC208*AD208*AE208,0.2)</f>
        <v/>
      </c>
      <c r="AG208" s="16">
        <f>1-(1-AF208)^12</f>
        <v/>
      </c>
    </row>
    <row r="209">
      <c r="A209" s="2" t="inlineStr">
        <is>
          <t>000001222451</t>
        </is>
      </c>
      <c r="B209" t="inlineStr">
        <is>
          <t>232</t>
        </is>
      </c>
      <c r="C209" t="inlineStr">
        <is>
          <t>RP</t>
        </is>
      </c>
      <c r="D209" t="inlineStr">
        <is>
          <t>DWIGHT CAPITAL LLC</t>
        </is>
      </c>
      <c r="E209" t="n">
        <v>2023</v>
      </c>
      <c r="F209" t="inlineStr">
        <is>
          <t>202602</t>
        </is>
      </c>
      <c r="G209" s="8" t="n">
        <v>37604700.83</v>
      </c>
      <c r="H209" s="12" t="n">
        <v>5.58</v>
      </c>
      <c r="I209" s="13" t="n">
        <v>447</v>
      </c>
      <c r="J209" s="13" t="n">
        <v>9</v>
      </c>
      <c r="K209" t="n">
        <v>37</v>
      </c>
      <c r="L209" t="n">
        <v>205802</v>
      </c>
      <c r="M209" t="inlineStr"/>
      <c r="N209" t="n">
        <v>11</v>
      </c>
      <c r="O209" s="14" t="n">
        <v>0.2972972972972973</v>
      </c>
      <c r="P209">
        <f>IF(ISNUMBER(SEARCH("232",B209)),"232",IF(ISNUMBER(SEARCH("538",B209)),"538",IF(ISNUMBER(SEARCH("223a7",B209)),"223a7",IF(ISNUMBER(SEARCH("223f",B209)),"223f","OTHER"))))</f>
        <v/>
      </c>
      <c r="Q209">
        <f>IF(UPPER(C209)="NC","NC","RP")</f>
        <v/>
      </c>
      <c r="R209">
        <f>IF(G209&lt;5000000,"small",IF(G209&lt;25000000,"medium","large"))</f>
        <v/>
      </c>
      <c r="S209">
        <f>P209&amp;"|"&amp;Q209&amp;"|"&amp;R209</f>
        <v/>
      </c>
      <c r="T209" s="13">
        <f>H209*100-I209</f>
        <v/>
      </c>
      <c r="U209" s="13">
        <f>T209-12.5*(J209+1)</f>
        <v/>
      </c>
      <c r="V209" s="15">
        <f>IFERROR(VLOOKUP(S209,V8_COHORT_TABLE,2,FALSE),IFERROR(VLOOKUP(P209&amp;"|"&amp;Q209&amp;"|ALL",V8_COHORT_TABLE,2,FALSE),IFERROR(VLOOKUP(P209&amp;"|ALL|ALL",V8_COHORT_TABLE,2,FALSE),VLOOKUP("GLOBAL",V8_COHORT_TABLE,2,FALSE))))</f>
        <v/>
      </c>
      <c r="W209" s="15">
        <f>IFERROR(VLOOKUP(S209,V8_COHORT_TABLE,3,FALSE),IFERROR(VLOOKUP(P209&amp;"|"&amp;Q209&amp;"|ALL",V8_COHORT_TABLE,3,FALSE),IFERROR(VLOOKUP(P209&amp;"|ALL|ALL",V8_COHORT_TABLE,3,FALSE),VLOOKUP("GLOBAL",V8_COHORT_TABLE,3,FALSE))))</f>
        <v/>
      </c>
      <c r="X209" s="15">
        <f>IFERROR(VLOOKUP(S209,V8_COHORT_TABLE,4,FALSE),IFERROR(VLOOKUP(P209&amp;"|"&amp;Q209&amp;"|ALL",V8_COHORT_TABLE,4,FALSE),IFERROR(VLOOKUP(P209&amp;"|ALL|ALL",V8_COHORT_TABLE,4,FALSE),VLOOKUP("GLOBAL",V8_COHORT_TABLE,4,FALSE))))</f>
        <v/>
      </c>
      <c r="Y209" s="15">
        <f>IFERROR(VLOOKUP(S209,V8_COHORT_TABLE,5,FALSE),IFERROR(VLOOKUP(P209&amp;"|"&amp;Q209&amp;"|ALL",V8_COHORT_TABLE,5,FALSE),IFERROR(VLOOKUP(P209&amp;"|ALL|ALL",V8_COHORT_TABLE,5,FALSE),VLOOKUP("GLOBAL",V8_COHORT_TABLE,5,FALSE))))</f>
        <v/>
      </c>
      <c r="Z209" s="15">
        <f>V209+W209/(1+EXP(-(U209-X209)/Y209))</f>
        <v/>
      </c>
      <c r="AA209" s="16">
        <f>1-(1-Z209)^12</f>
        <v/>
      </c>
      <c r="AB209" s="14">
        <f>IF(K209&lt;=V8_AGE_KNOT_X_0,V8_AGE_KNOT_Y_0,IF(K209&gt;=V8_AGE_KNOT_X_5,V8_AGE_KNOT_Y_5,IF(K209&lt;=V8_AGE_KNOT_X_1,V8_AGE_KNOT_Y_0+(K209-V8_AGE_KNOT_X_0)/(V8_AGE_KNOT_X_1-V8_AGE_KNOT_X_0)*(V8_AGE_KNOT_Y_1-V8_AGE_KNOT_Y_0),IF(K209&lt;=V8_AGE_KNOT_X_2,V8_AGE_KNOT_Y_1+(K209-V8_AGE_KNOT_X_1)/(V8_AGE_KNOT_X_2-V8_AGE_KNOT_X_1)*(V8_AGE_KNOT_Y_2-V8_AGE_KNOT_Y_1),IF(K209&lt;=V8_AGE_KNOT_X_3,V8_AGE_KNOT_Y_2+(K209-V8_AGE_KNOT_X_2)/(V8_AGE_KNOT_X_3-V8_AGE_KNOT_X_2)*(V8_AGE_KNOT_Y_3-V8_AGE_KNOT_Y_2),IF(K209&lt;=V8_AGE_KNOT_X_4,V8_AGE_KNOT_Y_3+(K209-V8_AGE_KNOT_X_3)/(V8_AGE_KNOT_X_4-V8_AGE_KNOT_X_3)*(V8_AGE_KNOT_Y_4-V8_AGE_KNOT_Y_3),V8_AGE_KNOT_Y_4+(K209-V8_AGE_KNOT_X_4)/(V8_AGE_KNOT_X_5-V8_AGE_KNOT_X_4)*(V8_AGE_KNOT_Y_5-V8_AGE_KNOT_Y_4)))))))</f>
        <v/>
      </c>
      <c r="AC209" s="14">
        <f>IF(IF(OR(L209="",NOT(ISNUMBER(L209))),360,MAX(0,MIN(480,(INT(L209/100)-INT(VALUE(F209)/100))*12+MOD(L209,100)-MOD(VALUE(F209),100))))&gt;0,1+V8_MTY_AMP*MAX(0,(V8_MTY_CUTOFF-(IF(OR(L209="",NOT(ISNUMBER(L209))),360,MAX(0,MIN(480,(INT(L209/100)-INT(VALUE(F209)/100))*12+MOD(L209,100)-MOD(VALUE(F209),100))))))/V8_MTY_CUTOFF),1)</f>
        <v/>
      </c>
      <c r="AD209" s="14">
        <f>IF(AND(IF(OR(M209="",NOT(ISNUMBER(M209))),0,MAX(0,MIN(24,(INT(VALUE(F209)/100)-INT(M209/100))*12+MOD(VALUE(F209),100)-MOD(M209,100))))&gt;0,IF(OR(M209="",NOT(ISNUMBER(M209))),0,MAX(0,MIN(24,(INT(VALUE(F209)/100)-INT(M209/100))*12+MOD(VALUE(F209),100)-MOD(M209,100))))&lt;=12),1+V8_LOCKOUT_AMP*EXP(-(IF(OR(M209="",NOT(ISNUMBER(M209))),0,MAX(0,MIN(24,(INT(VALUE(F209)/100)-INT(M209/100))*12+MOD(VALUE(F209),100)-MOD(M209,100)))))/V8_LOCKOUT_TAU),1)</f>
        <v/>
      </c>
      <c r="AE209" s="14">
        <f>MAX(V8_BURN_FLOOR,1-V8_BURN_SLOPE*MIN(1,MAX(0,O209)))</f>
        <v/>
      </c>
      <c r="AF209" s="15">
        <f>MIN(Z209*AB209*AC209*AD209*AE209,0.2)</f>
        <v/>
      </c>
      <c r="AG209" s="16">
        <f>1-(1-AF209)^12</f>
        <v/>
      </c>
    </row>
    <row r="210">
      <c r="A210" s="2" t="inlineStr">
        <is>
          <t>000006111419</t>
        </is>
      </c>
      <c r="B210" t="inlineStr">
        <is>
          <t>223f</t>
        </is>
      </c>
      <c r="C210" t="inlineStr">
        <is>
          <t>RP</t>
        </is>
      </c>
      <c r="D210" t="inlineStr">
        <is>
          <t>DWIGHT CAPITAL LLC</t>
        </is>
      </c>
      <c r="E210" t="n">
        <v>2020</v>
      </c>
      <c r="F210" t="inlineStr">
        <is>
          <t>202602</t>
        </is>
      </c>
      <c r="G210" s="8" t="n">
        <v>6014766.92</v>
      </c>
      <c r="H210" s="12" t="n">
        <v>3.25</v>
      </c>
      <c r="I210" s="13" t="n">
        <v>447</v>
      </c>
      <c r="J210" s="13" t="n">
        <v>5</v>
      </c>
      <c r="K210" t="n">
        <v>72</v>
      </c>
      <c r="L210" t="n">
        <v>205503</v>
      </c>
      <c r="M210" t="inlineStr"/>
      <c r="N210" t="n">
        <v>19</v>
      </c>
      <c r="O210" s="14" t="n">
        <v>0.2638888888888889</v>
      </c>
      <c r="P210">
        <f>IF(ISNUMBER(SEARCH("232",B210)),"232",IF(ISNUMBER(SEARCH("538",B210)),"538",IF(ISNUMBER(SEARCH("223a7",B210)),"223a7",IF(ISNUMBER(SEARCH("223f",B210)),"223f","OTHER"))))</f>
        <v/>
      </c>
      <c r="Q210">
        <f>IF(UPPER(C210)="NC","NC","RP")</f>
        <v/>
      </c>
      <c r="R210">
        <f>IF(G210&lt;5000000,"small",IF(G210&lt;25000000,"medium","large"))</f>
        <v/>
      </c>
      <c r="S210">
        <f>P210&amp;"|"&amp;Q210&amp;"|"&amp;R210</f>
        <v/>
      </c>
      <c r="T210" s="13">
        <f>H210*100-I210</f>
        <v/>
      </c>
      <c r="U210" s="13">
        <f>T210-12.5*(J210+1)</f>
        <v/>
      </c>
      <c r="V210" s="15">
        <f>IFERROR(VLOOKUP(S210,V8_COHORT_TABLE,2,FALSE),IFERROR(VLOOKUP(P210&amp;"|"&amp;Q210&amp;"|ALL",V8_COHORT_TABLE,2,FALSE),IFERROR(VLOOKUP(P210&amp;"|ALL|ALL",V8_COHORT_TABLE,2,FALSE),VLOOKUP("GLOBAL",V8_COHORT_TABLE,2,FALSE))))</f>
        <v/>
      </c>
      <c r="W210" s="15">
        <f>IFERROR(VLOOKUP(S210,V8_COHORT_TABLE,3,FALSE),IFERROR(VLOOKUP(P210&amp;"|"&amp;Q210&amp;"|ALL",V8_COHORT_TABLE,3,FALSE),IFERROR(VLOOKUP(P210&amp;"|ALL|ALL",V8_COHORT_TABLE,3,FALSE),VLOOKUP("GLOBAL",V8_COHORT_TABLE,3,FALSE))))</f>
        <v/>
      </c>
      <c r="X210" s="15">
        <f>IFERROR(VLOOKUP(S210,V8_COHORT_TABLE,4,FALSE),IFERROR(VLOOKUP(P210&amp;"|"&amp;Q210&amp;"|ALL",V8_COHORT_TABLE,4,FALSE),IFERROR(VLOOKUP(P210&amp;"|ALL|ALL",V8_COHORT_TABLE,4,FALSE),VLOOKUP("GLOBAL",V8_COHORT_TABLE,4,FALSE))))</f>
        <v/>
      </c>
      <c r="Y210" s="15">
        <f>IFERROR(VLOOKUP(S210,V8_COHORT_TABLE,5,FALSE),IFERROR(VLOOKUP(P210&amp;"|"&amp;Q210&amp;"|ALL",V8_COHORT_TABLE,5,FALSE),IFERROR(VLOOKUP(P210&amp;"|ALL|ALL",V8_COHORT_TABLE,5,FALSE),VLOOKUP("GLOBAL",V8_COHORT_TABLE,5,FALSE))))</f>
        <v/>
      </c>
      <c r="Z210" s="15">
        <f>V210+W210/(1+EXP(-(U210-X210)/Y210))</f>
        <v/>
      </c>
      <c r="AA210" s="16">
        <f>1-(1-Z210)^12</f>
        <v/>
      </c>
      <c r="AB210" s="14">
        <f>IF(K210&lt;=V8_AGE_KNOT_X_0,V8_AGE_KNOT_Y_0,IF(K210&gt;=V8_AGE_KNOT_X_5,V8_AGE_KNOT_Y_5,IF(K210&lt;=V8_AGE_KNOT_X_1,V8_AGE_KNOT_Y_0+(K210-V8_AGE_KNOT_X_0)/(V8_AGE_KNOT_X_1-V8_AGE_KNOT_X_0)*(V8_AGE_KNOT_Y_1-V8_AGE_KNOT_Y_0),IF(K210&lt;=V8_AGE_KNOT_X_2,V8_AGE_KNOT_Y_1+(K210-V8_AGE_KNOT_X_1)/(V8_AGE_KNOT_X_2-V8_AGE_KNOT_X_1)*(V8_AGE_KNOT_Y_2-V8_AGE_KNOT_Y_1),IF(K210&lt;=V8_AGE_KNOT_X_3,V8_AGE_KNOT_Y_2+(K210-V8_AGE_KNOT_X_2)/(V8_AGE_KNOT_X_3-V8_AGE_KNOT_X_2)*(V8_AGE_KNOT_Y_3-V8_AGE_KNOT_Y_2),IF(K210&lt;=V8_AGE_KNOT_X_4,V8_AGE_KNOT_Y_3+(K210-V8_AGE_KNOT_X_3)/(V8_AGE_KNOT_X_4-V8_AGE_KNOT_X_3)*(V8_AGE_KNOT_Y_4-V8_AGE_KNOT_Y_3),V8_AGE_KNOT_Y_4+(K210-V8_AGE_KNOT_X_4)/(V8_AGE_KNOT_X_5-V8_AGE_KNOT_X_4)*(V8_AGE_KNOT_Y_5-V8_AGE_KNOT_Y_4)))))))</f>
        <v/>
      </c>
      <c r="AC210" s="14">
        <f>IF(IF(OR(L210="",NOT(ISNUMBER(L210))),360,MAX(0,MIN(480,(INT(L210/100)-INT(VALUE(F210)/100))*12+MOD(L210,100)-MOD(VALUE(F210),100))))&gt;0,1+V8_MTY_AMP*MAX(0,(V8_MTY_CUTOFF-(IF(OR(L210="",NOT(ISNUMBER(L210))),360,MAX(0,MIN(480,(INT(L210/100)-INT(VALUE(F210)/100))*12+MOD(L210,100)-MOD(VALUE(F210),100))))))/V8_MTY_CUTOFF),1)</f>
        <v/>
      </c>
      <c r="AD210" s="14">
        <f>IF(AND(IF(OR(M210="",NOT(ISNUMBER(M210))),0,MAX(0,MIN(24,(INT(VALUE(F210)/100)-INT(M210/100))*12+MOD(VALUE(F210),100)-MOD(M210,100))))&gt;0,IF(OR(M210="",NOT(ISNUMBER(M210))),0,MAX(0,MIN(24,(INT(VALUE(F210)/100)-INT(M210/100))*12+MOD(VALUE(F210),100)-MOD(M210,100))))&lt;=12),1+V8_LOCKOUT_AMP*EXP(-(IF(OR(M210="",NOT(ISNUMBER(M210))),0,MAX(0,MIN(24,(INT(VALUE(F210)/100)-INT(M210/100))*12+MOD(VALUE(F210),100)-MOD(M210,100)))))/V8_LOCKOUT_TAU),1)</f>
        <v/>
      </c>
      <c r="AE210" s="14">
        <f>MAX(V8_BURN_FLOOR,1-V8_BURN_SLOPE*MIN(1,MAX(0,O210)))</f>
        <v/>
      </c>
      <c r="AF210" s="15">
        <f>MIN(Z210*AB210*AC210*AD210*AE210,0.2)</f>
        <v/>
      </c>
      <c r="AG210" s="16">
        <f>1-(1-AF210)^12</f>
        <v/>
      </c>
    </row>
    <row r="211">
      <c r="A211" s="2" t="inlineStr">
        <is>
          <t>000008322130</t>
        </is>
      </c>
      <c r="B211" t="inlineStr">
        <is>
          <t>232</t>
        </is>
      </c>
      <c r="C211" t="inlineStr">
        <is>
          <t>RP</t>
        </is>
      </c>
      <c r="D211" t="inlineStr">
        <is>
          <t>DWIGHT CAPITAL LLC</t>
        </is>
      </c>
      <c r="E211" t="n">
        <v>2025</v>
      </c>
      <c r="F211" t="inlineStr">
        <is>
          <t>202602</t>
        </is>
      </c>
      <c r="G211" s="8" t="n">
        <v>13049676.66</v>
      </c>
      <c r="H211" s="12" t="n">
        <v>6.28</v>
      </c>
      <c r="I211" s="13" t="n">
        <v>447</v>
      </c>
      <c r="J211" s="13" t="n">
        <v>0</v>
      </c>
      <c r="K211" t="n">
        <v>9</v>
      </c>
      <c r="L211" t="n">
        <v>206006</v>
      </c>
      <c r="M211" t="inlineStr"/>
      <c r="N211" t="n">
        <v>9</v>
      </c>
      <c r="O211" s="14" t="n">
        <v>1</v>
      </c>
      <c r="P211">
        <f>IF(ISNUMBER(SEARCH("232",B211)),"232",IF(ISNUMBER(SEARCH("538",B211)),"538",IF(ISNUMBER(SEARCH("223a7",B211)),"223a7",IF(ISNUMBER(SEARCH("223f",B211)),"223f","OTHER"))))</f>
        <v/>
      </c>
      <c r="Q211">
        <f>IF(UPPER(C211)="NC","NC","RP")</f>
        <v/>
      </c>
      <c r="R211">
        <f>IF(G211&lt;5000000,"small",IF(G211&lt;25000000,"medium","large"))</f>
        <v/>
      </c>
      <c r="S211">
        <f>P211&amp;"|"&amp;Q211&amp;"|"&amp;R211</f>
        <v/>
      </c>
      <c r="T211" s="13">
        <f>H211*100-I211</f>
        <v/>
      </c>
      <c r="U211" s="13">
        <f>T211-12.5*(J211+1)</f>
        <v/>
      </c>
      <c r="V211" s="15">
        <f>IFERROR(VLOOKUP(S211,V8_COHORT_TABLE,2,FALSE),IFERROR(VLOOKUP(P211&amp;"|"&amp;Q211&amp;"|ALL",V8_COHORT_TABLE,2,FALSE),IFERROR(VLOOKUP(P211&amp;"|ALL|ALL",V8_COHORT_TABLE,2,FALSE),VLOOKUP("GLOBAL",V8_COHORT_TABLE,2,FALSE))))</f>
        <v/>
      </c>
      <c r="W211" s="15">
        <f>IFERROR(VLOOKUP(S211,V8_COHORT_TABLE,3,FALSE),IFERROR(VLOOKUP(P211&amp;"|"&amp;Q211&amp;"|ALL",V8_COHORT_TABLE,3,FALSE),IFERROR(VLOOKUP(P211&amp;"|ALL|ALL",V8_COHORT_TABLE,3,FALSE),VLOOKUP("GLOBAL",V8_COHORT_TABLE,3,FALSE))))</f>
        <v/>
      </c>
      <c r="X211" s="15">
        <f>IFERROR(VLOOKUP(S211,V8_COHORT_TABLE,4,FALSE),IFERROR(VLOOKUP(P211&amp;"|"&amp;Q211&amp;"|ALL",V8_COHORT_TABLE,4,FALSE),IFERROR(VLOOKUP(P211&amp;"|ALL|ALL",V8_COHORT_TABLE,4,FALSE),VLOOKUP("GLOBAL",V8_COHORT_TABLE,4,FALSE))))</f>
        <v/>
      </c>
      <c r="Y211" s="15">
        <f>IFERROR(VLOOKUP(S211,V8_COHORT_TABLE,5,FALSE),IFERROR(VLOOKUP(P211&amp;"|"&amp;Q211&amp;"|ALL",V8_COHORT_TABLE,5,FALSE),IFERROR(VLOOKUP(P211&amp;"|ALL|ALL",V8_COHORT_TABLE,5,FALSE),VLOOKUP("GLOBAL",V8_COHORT_TABLE,5,FALSE))))</f>
        <v/>
      </c>
      <c r="Z211" s="15">
        <f>V211+W211/(1+EXP(-(U211-X211)/Y211))</f>
        <v/>
      </c>
      <c r="AA211" s="16">
        <f>1-(1-Z211)^12</f>
        <v/>
      </c>
      <c r="AB211" s="14">
        <f>IF(K211&lt;=V8_AGE_KNOT_X_0,V8_AGE_KNOT_Y_0,IF(K211&gt;=V8_AGE_KNOT_X_5,V8_AGE_KNOT_Y_5,IF(K211&lt;=V8_AGE_KNOT_X_1,V8_AGE_KNOT_Y_0+(K211-V8_AGE_KNOT_X_0)/(V8_AGE_KNOT_X_1-V8_AGE_KNOT_X_0)*(V8_AGE_KNOT_Y_1-V8_AGE_KNOT_Y_0),IF(K211&lt;=V8_AGE_KNOT_X_2,V8_AGE_KNOT_Y_1+(K211-V8_AGE_KNOT_X_1)/(V8_AGE_KNOT_X_2-V8_AGE_KNOT_X_1)*(V8_AGE_KNOT_Y_2-V8_AGE_KNOT_Y_1),IF(K211&lt;=V8_AGE_KNOT_X_3,V8_AGE_KNOT_Y_2+(K211-V8_AGE_KNOT_X_2)/(V8_AGE_KNOT_X_3-V8_AGE_KNOT_X_2)*(V8_AGE_KNOT_Y_3-V8_AGE_KNOT_Y_2),IF(K211&lt;=V8_AGE_KNOT_X_4,V8_AGE_KNOT_Y_3+(K211-V8_AGE_KNOT_X_3)/(V8_AGE_KNOT_X_4-V8_AGE_KNOT_X_3)*(V8_AGE_KNOT_Y_4-V8_AGE_KNOT_Y_3),V8_AGE_KNOT_Y_4+(K211-V8_AGE_KNOT_X_4)/(V8_AGE_KNOT_X_5-V8_AGE_KNOT_X_4)*(V8_AGE_KNOT_Y_5-V8_AGE_KNOT_Y_4)))))))</f>
        <v/>
      </c>
      <c r="AC211" s="14">
        <f>IF(IF(OR(L211="",NOT(ISNUMBER(L211))),360,MAX(0,MIN(480,(INT(L211/100)-INT(VALUE(F211)/100))*12+MOD(L211,100)-MOD(VALUE(F211),100))))&gt;0,1+V8_MTY_AMP*MAX(0,(V8_MTY_CUTOFF-(IF(OR(L211="",NOT(ISNUMBER(L211))),360,MAX(0,MIN(480,(INT(L211/100)-INT(VALUE(F211)/100))*12+MOD(L211,100)-MOD(VALUE(F211),100))))))/V8_MTY_CUTOFF),1)</f>
        <v/>
      </c>
      <c r="AD211" s="14">
        <f>IF(AND(IF(OR(M211="",NOT(ISNUMBER(M211))),0,MAX(0,MIN(24,(INT(VALUE(F211)/100)-INT(M211/100))*12+MOD(VALUE(F211),100)-MOD(M211,100))))&gt;0,IF(OR(M211="",NOT(ISNUMBER(M211))),0,MAX(0,MIN(24,(INT(VALUE(F211)/100)-INT(M211/100))*12+MOD(VALUE(F211),100)-MOD(M211,100))))&lt;=12),1+V8_LOCKOUT_AMP*EXP(-(IF(OR(M211="",NOT(ISNUMBER(M211))),0,MAX(0,MIN(24,(INT(VALUE(F211)/100)-INT(M211/100))*12+MOD(VALUE(F211),100)-MOD(M211,100)))))/V8_LOCKOUT_TAU),1)</f>
        <v/>
      </c>
      <c r="AE211" s="14">
        <f>MAX(V8_BURN_FLOOR,1-V8_BURN_SLOPE*MIN(1,MAX(0,O211)))</f>
        <v/>
      </c>
      <c r="AF211" s="15">
        <f>MIN(Z211*AB211*AC211*AD211*AE211,0.2)</f>
        <v/>
      </c>
      <c r="AG211" s="16">
        <f>1-(1-AF211)^12</f>
        <v/>
      </c>
    </row>
    <row r="212">
      <c r="A212" s="2" t="inlineStr">
        <is>
          <t>000017122040</t>
        </is>
      </c>
      <c r="B212" t="inlineStr">
        <is>
          <t>232</t>
        </is>
      </c>
      <c r="C212" t="inlineStr">
        <is>
          <t>RP</t>
        </is>
      </c>
      <c r="D212" t="inlineStr">
        <is>
          <t>KEYBANK NATIONAL ASSOCIATION</t>
        </is>
      </c>
      <c r="E212" t="n">
        <v>2014</v>
      </c>
      <c r="F212" t="inlineStr">
        <is>
          <t>202602</t>
        </is>
      </c>
      <c r="G212" s="8" t="n">
        <v>9448229.029999999</v>
      </c>
      <c r="H212" s="12" t="n">
        <v>3.73</v>
      </c>
      <c r="I212" s="13" t="n">
        <v>447</v>
      </c>
      <c r="J212" s="13" t="n">
        <v>0</v>
      </c>
      <c r="K212" t="n">
        <v>134</v>
      </c>
      <c r="L212" t="n">
        <v>205001</v>
      </c>
      <c r="M212" t="inlineStr"/>
      <c r="N212" t="n">
        <v>35</v>
      </c>
      <c r="O212" s="14" t="n">
        <v>0.2611940298507462</v>
      </c>
      <c r="P212">
        <f>IF(ISNUMBER(SEARCH("232",B212)),"232",IF(ISNUMBER(SEARCH("538",B212)),"538",IF(ISNUMBER(SEARCH("223a7",B212)),"223a7",IF(ISNUMBER(SEARCH("223f",B212)),"223f","OTHER"))))</f>
        <v/>
      </c>
      <c r="Q212">
        <f>IF(UPPER(C212)="NC","NC","RP")</f>
        <v/>
      </c>
      <c r="R212">
        <f>IF(G212&lt;5000000,"small",IF(G212&lt;25000000,"medium","large"))</f>
        <v/>
      </c>
      <c r="S212">
        <f>P212&amp;"|"&amp;Q212&amp;"|"&amp;R212</f>
        <v/>
      </c>
      <c r="T212" s="13">
        <f>H212*100-I212</f>
        <v/>
      </c>
      <c r="U212" s="13">
        <f>T212-12.5*(J212+1)</f>
        <v/>
      </c>
      <c r="V212" s="15">
        <f>IFERROR(VLOOKUP(S212,V8_COHORT_TABLE,2,FALSE),IFERROR(VLOOKUP(P212&amp;"|"&amp;Q212&amp;"|ALL",V8_COHORT_TABLE,2,FALSE),IFERROR(VLOOKUP(P212&amp;"|ALL|ALL",V8_COHORT_TABLE,2,FALSE),VLOOKUP("GLOBAL",V8_COHORT_TABLE,2,FALSE))))</f>
        <v/>
      </c>
      <c r="W212" s="15">
        <f>IFERROR(VLOOKUP(S212,V8_COHORT_TABLE,3,FALSE),IFERROR(VLOOKUP(P212&amp;"|"&amp;Q212&amp;"|ALL",V8_COHORT_TABLE,3,FALSE),IFERROR(VLOOKUP(P212&amp;"|ALL|ALL",V8_COHORT_TABLE,3,FALSE),VLOOKUP("GLOBAL",V8_COHORT_TABLE,3,FALSE))))</f>
        <v/>
      </c>
      <c r="X212" s="15">
        <f>IFERROR(VLOOKUP(S212,V8_COHORT_TABLE,4,FALSE),IFERROR(VLOOKUP(P212&amp;"|"&amp;Q212&amp;"|ALL",V8_COHORT_TABLE,4,FALSE),IFERROR(VLOOKUP(P212&amp;"|ALL|ALL",V8_COHORT_TABLE,4,FALSE),VLOOKUP("GLOBAL",V8_COHORT_TABLE,4,FALSE))))</f>
        <v/>
      </c>
      <c r="Y212" s="15">
        <f>IFERROR(VLOOKUP(S212,V8_COHORT_TABLE,5,FALSE),IFERROR(VLOOKUP(P212&amp;"|"&amp;Q212&amp;"|ALL",V8_COHORT_TABLE,5,FALSE),IFERROR(VLOOKUP(P212&amp;"|ALL|ALL",V8_COHORT_TABLE,5,FALSE),VLOOKUP("GLOBAL",V8_COHORT_TABLE,5,FALSE))))</f>
        <v/>
      </c>
      <c r="Z212" s="15">
        <f>V212+W212/(1+EXP(-(U212-X212)/Y212))</f>
        <v/>
      </c>
      <c r="AA212" s="16">
        <f>1-(1-Z212)^12</f>
        <v/>
      </c>
      <c r="AB212" s="14">
        <f>IF(K212&lt;=V8_AGE_KNOT_X_0,V8_AGE_KNOT_Y_0,IF(K212&gt;=V8_AGE_KNOT_X_5,V8_AGE_KNOT_Y_5,IF(K212&lt;=V8_AGE_KNOT_X_1,V8_AGE_KNOT_Y_0+(K212-V8_AGE_KNOT_X_0)/(V8_AGE_KNOT_X_1-V8_AGE_KNOT_X_0)*(V8_AGE_KNOT_Y_1-V8_AGE_KNOT_Y_0),IF(K212&lt;=V8_AGE_KNOT_X_2,V8_AGE_KNOT_Y_1+(K212-V8_AGE_KNOT_X_1)/(V8_AGE_KNOT_X_2-V8_AGE_KNOT_X_1)*(V8_AGE_KNOT_Y_2-V8_AGE_KNOT_Y_1),IF(K212&lt;=V8_AGE_KNOT_X_3,V8_AGE_KNOT_Y_2+(K212-V8_AGE_KNOT_X_2)/(V8_AGE_KNOT_X_3-V8_AGE_KNOT_X_2)*(V8_AGE_KNOT_Y_3-V8_AGE_KNOT_Y_2),IF(K212&lt;=V8_AGE_KNOT_X_4,V8_AGE_KNOT_Y_3+(K212-V8_AGE_KNOT_X_3)/(V8_AGE_KNOT_X_4-V8_AGE_KNOT_X_3)*(V8_AGE_KNOT_Y_4-V8_AGE_KNOT_Y_3),V8_AGE_KNOT_Y_4+(K212-V8_AGE_KNOT_X_4)/(V8_AGE_KNOT_X_5-V8_AGE_KNOT_X_4)*(V8_AGE_KNOT_Y_5-V8_AGE_KNOT_Y_4)))))))</f>
        <v/>
      </c>
      <c r="AC212" s="14">
        <f>IF(IF(OR(L212="",NOT(ISNUMBER(L212))),360,MAX(0,MIN(480,(INT(L212/100)-INT(VALUE(F212)/100))*12+MOD(L212,100)-MOD(VALUE(F212),100))))&gt;0,1+V8_MTY_AMP*MAX(0,(V8_MTY_CUTOFF-(IF(OR(L212="",NOT(ISNUMBER(L212))),360,MAX(0,MIN(480,(INT(L212/100)-INT(VALUE(F212)/100))*12+MOD(L212,100)-MOD(VALUE(F212),100))))))/V8_MTY_CUTOFF),1)</f>
        <v/>
      </c>
      <c r="AD212" s="14">
        <f>IF(AND(IF(OR(M212="",NOT(ISNUMBER(M212))),0,MAX(0,MIN(24,(INT(VALUE(F212)/100)-INT(M212/100))*12+MOD(VALUE(F212),100)-MOD(M212,100))))&gt;0,IF(OR(M212="",NOT(ISNUMBER(M212))),0,MAX(0,MIN(24,(INT(VALUE(F212)/100)-INT(M212/100))*12+MOD(VALUE(F212),100)-MOD(M212,100))))&lt;=12),1+V8_LOCKOUT_AMP*EXP(-(IF(OR(M212="",NOT(ISNUMBER(M212))),0,MAX(0,MIN(24,(INT(VALUE(F212)/100)-INT(M212/100))*12+MOD(VALUE(F212),100)-MOD(M212,100)))))/V8_LOCKOUT_TAU),1)</f>
        <v/>
      </c>
      <c r="AE212" s="14">
        <f>MAX(V8_BURN_FLOOR,1-V8_BURN_SLOPE*MIN(1,MAX(0,O212)))</f>
        <v/>
      </c>
      <c r="AF212" s="15">
        <f>MIN(Z212*AB212*AC212*AD212*AE212,0.2)</f>
        <v/>
      </c>
      <c r="AG212" s="16">
        <f>1-(1-AF212)^12</f>
        <v/>
      </c>
    </row>
    <row r="213">
      <c r="A213" s="2" t="inlineStr">
        <is>
          <t>000007422080</t>
        </is>
      </c>
      <c r="B213" t="inlineStr">
        <is>
          <t>232</t>
        </is>
      </c>
      <c r="C213" t="inlineStr">
        <is>
          <t>RP</t>
        </is>
      </c>
      <c r="D213" t="inlineStr">
        <is>
          <t>KEYBANK NATIONAL ASSOCIATION</t>
        </is>
      </c>
      <c r="E213" t="n">
        <v>2021</v>
      </c>
      <c r="F213" t="inlineStr">
        <is>
          <t>202602</t>
        </is>
      </c>
      <c r="G213" s="8" t="n">
        <v>3841951.56</v>
      </c>
      <c r="H213" s="12" t="n">
        <v>2.53</v>
      </c>
      <c r="I213" s="13" t="n">
        <v>447</v>
      </c>
      <c r="J213" s="13" t="n">
        <v>6</v>
      </c>
      <c r="K213" t="n">
        <v>50</v>
      </c>
      <c r="L213" t="n">
        <v>205701</v>
      </c>
      <c r="M213" t="inlineStr"/>
      <c r="N213" t="n">
        <v>0</v>
      </c>
      <c r="O213" s="14" t="n">
        <v>0</v>
      </c>
      <c r="P213">
        <f>IF(ISNUMBER(SEARCH("232",B213)),"232",IF(ISNUMBER(SEARCH("538",B213)),"538",IF(ISNUMBER(SEARCH("223a7",B213)),"223a7",IF(ISNUMBER(SEARCH("223f",B213)),"223f","OTHER"))))</f>
        <v/>
      </c>
      <c r="Q213">
        <f>IF(UPPER(C213)="NC","NC","RP")</f>
        <v/>
      </c>
      <c r="R213">
        <f>IF(G213&lt;5000000,"small",IF(G213&lt;25000000,"medium","large"))</f>
        <v/>
      </c>
      <c r="S213">
        <f>P213&amp;"|"&amp;Q213&amp;"|"&amp;R213</f>
        <v/>
      </c>
      <c r="T213" s="13">
        <f>H213*100-I213</f>
        <v/>
      </c>
      <c r="U213" s="13">
        <f>T213-12.5*(J213+1)</f>
        <v/>
      </c>
      <c r="V213" s="15">
        <f>IFERROR(VLOOKUP(S213,V8_COHORT_TABLE,2,FALSE),IFERROR(VLOOKUP(P213&amp;"|"&amp;Q213&amp;"|ALL",V8_COHORT_TABLE,2,FALSE),IFERROR(VLOOKUP(P213&amp;"|ALL|ALL",V8_COHORT_TABLE,2,FALSE),VLOOKUP("GLOBAL",V8_COHORT_TABLE,2,FALSE))))</f>
        <v/>
      </c>
      <c r="W213" s="15">
        <f>IFERROR(VLOOKUP(S213,V8_COHORT_TABLE,3,FALSE),IFERROR(VLOOKUP(P213&amp;"|"&amp;Q213&amp;"|ALL",V8_COHORT_TABLE,3,FALSE),IFERROR(VLOOKUP(P213&amp;"|ALL|ALL",V8_COHORT_TABLE,3,FALSE),VLOOKUP("GLOBAL",V8_COHORT_TABLE,3,FALSE))))</f>
        <v/>
      </c>
      <c r="X213" s="15">
        <f>IFERROR(VLOOKUP(S213,V8_COHORT_TABLE,4,FALSE),IFERROR(VLOOKUP(P213&amp;"|"&amp;Q213&amp;"|ALL",V8_COHORT_TABLE,4,FALSE),IFERROR(VLOOKUP(P213&amp;"|ALL|ALL",V8_COHORT_TABLE,4,FALSE),VLOOKUP("GLOBAL",V8_COHORT_TABLE,4,FALSE))))</f>
        <v/>
      </c>
      <c r="Y213" s="15">
        <f>IFERROR(VLOOKUP(S213,V8_COHORT_TABLE,5,FALSE),IFERROR(VLOOKUP(P213&amp;"|"&amp;Q213&amp;"|ALL",V8_COHORT_TABLE,5,FALSE),IFERROR(VLOOKUP(P213&amp;"|ALL|ALL",V8_COHORT_TABLE,5,FALSE),VLOOKUP("GLOBAL",V8_COHORT_TABLE,5,FALSE))))</f>
        <v/>
      </c>
      <c r="Z213" s="15">
        <f>V213+W213/(1+EXP(-(U213-X213)/Y213))</f>
        <v/>
      </c>
      <c r="AA213" s="16">
        <f>1-(1-Z213)^12</f>
        <v/>
      </c>
      <c r="AB213" s="14">
        <f>IF(K213&lt;=V8_AGE_KNOT_X_0,V8_AGE_KNOT_Y_0,IF(K213&gt;=V8_AGE_KNOT_X_5,V8_AGE_KNOT_Y_5,IF(K213&lt;=V8_AGE_KNOT_X_1,V8_AGE_KNOT_Y_0+(K213-V8_AGE_KNOT_X_0)/(V8_AGE_KNOT_X_1-V8_AGE_KNOT_X_0)*(V8_AGE_KNOT_Y_1-V8_AGE_KNOT_Y_0),IF(K213&lt;=V8_AGE_KNOT_X_2,V8_AGE_KNOT_Y_1+(K213-V8_AGE_KNOT_X_1)/(V8_AGE_KNOT_X_2-V8_AGE_KNOT_X_1)*(V8_AGE_KNOT_Y_2-V8_AGE_KNOT_Y_1),IF(K213&lt;=V8_AGE_KNOT_X_3,V8_AGE_KNOT_Y_2+(K213-V8_AGE_KNOT_X_2)/(V8_AGE_KNOT_X_3-V8_AGE_KNOT_X_2)*(V8_AGE_KNOT_Y_3-V8_AGE_KNOT_Y_2),IF(K213&lt;=V8_AGE_KNOT_X_4,V8_AGE_KNOT_Y_3+(K213-V8_AGE_KNOT_X_3)/(V8_AGE_KNOT_X_4-V8_AGE_KNOT_X_3)*(V8_AGE_KNOT_Y_4-V8_AGE_KNOT_Y_3),V8_AGE_KNOT_Y_4+(K213-V8_AGE_KNOT_X_4)/(V8_AGE_KNOT_X_5-V8_AGE_KNOT_X_4)*(V8_AGE_KNOT_Y_5-V8_AGE_KNOT_Y_4)))))))</f>
        <v/>
      </c>
      <c r="AC213" s="14">
        <f>IF(IF(OR(L213="",NOT(ISNUMBER(L213))),360,MAX(0,MIN(480,(INT(L213/100)-INT(VALUE(F213)/100))*12+MOD(L213,100)-MOD(VALUE(F213),100))))&gt;0,1+V8_MTY_AMP*MAX(0,(V8_MTY_CUTOFF-(IF(OR(L213="",NOT(ISNUMBER(L213))),360,MAX(0,MIN(480,(INT(L213/100)-INT(VALUE(F213)/100))*12+MOD(L213,100)-MOD(VALUE(F213),100))))))/V8_MTY_CUTOFF),1)</f>
        <v/>
      </c>
      <c r="AD213" s="14">
        <f>IF(AND(IF(OR(M213="",NOT(ISNUMBER(M213))),0,MAX(0,MIN(24,(INT(VALUE(F213)/100)-INT(M213/100))*12+MOD(VALUE(F213),100)-MOD(M213,100))))&gt;0,IF(OR(M213="",NOT(ISNUMBER(M213))),0,MAX(0,MIN(24,(INT(VALUE(F213)/100)-INT(M213/100))*12+MOD(VALUE(F213),100)-MOD(M213,100))))&lt;=12),1+V8_LOCKOUT_AMP*EXP(-(IF(OR(M213="",NOT(ISNUMBER(M213))),0,MAX(0,MIN(24,(INT(VALUE(F213)/100)-INT(M213/100))*12+MOD(VALUE(F213),100)-MOD(M213,100)))))/V8_LOCKOUT_TAU),1)</f>
        <v/>
      </c>
      <c r="AE213" s="14">
        <f>MAX(V8_BURN_FLOOR,1-V8_BURN_SLOPE*MIN(1,MAX(0,O213)))</f>
        <v/>
      </c>
      <c r="AF213" s="15">
        <f>MIN(Z213*AB213*AC213*AD213*AE213,0.2)</f>
        <v/>
      </c>
      <c r="AG213" s="16">
        <f>1-(1-AF213)^12</f>
        <v/>
      </c>
    </row>
    <row r="214">
      <c r="A214" s="2" t="inlineStr">
        <is>
          <t>000011522344</t>
        </is>
      </c>
      <c r="B214" t="inlineStr">
        <is>
          <t>232</t>
        </is>
      </c>
      <c r="C214" t="inlineStr">
        <is>
          <t>RP</t>
        </is>
      </c>
      <c r="D214" t="inlineStr">
        <is>
          <t>KEYBANK NATIONAL ASSOCIATION</t>
        </is>
      </c>
      <c r="E214" t="n">
        <v>2016</v>
      </c>
      <c r="F214" t="inlineStr">
        <is>
          <t>202602</t>
        </is>
      </c>
      <c r="G214" s="8" t="n">
        <v>10459622.28</v>
      </c>
      <c r="H214" s="12" t="n">
        <v>3.43</v>
      </c>
      <c r="I214" s="13" t="n">
        <v>447</v>
      </c>
      <c r="J214" s="13" t="n">
        <v>0</v>
      </c>
      <c r="K214" t="n">
        <v>110</v>
      </c>
      <c r="L214" t="n">
        <v>205201</v>
      </c>
      <c r="M214" t="inlineStr"/>
      <c r="N214" t="n">
        <v>35</v>
      </c>
      <c r="O214" s="14" t="n">
        <v>0.3181818181818182</v>
      </c>
      <c r="P214">
        <f>IF(ISNUMBER(SEARCH("232",B214)),"232",IF(ISNUMBER(SEARCH("538",B214)),"538",IF(ISNUMBER(SEARCH("223a7",B214)),"223a7",IF(ISNUMBER(SEARCH("223f",B214)),"223f","OTHER"))))</f>
        <v/>
      </c>
      <c r="Q214">
        <f>IF(UPPER(C214)="NC","NC","RP")</f>
        <v/>
      </c>
      <c r="R214">
        <f>IF(G214&lt;5000000,"small",IF(G214&lt;25000000,"medium","large"))</f>
        <v/>
      </c>
      <c r="S214">
        <f>P214&amp;"|"&amp;Q214&amp;"|"&amp;R214</f>
        <v/>
      </c>
      <c r="T214" s="13">
        <f>H214*100-I214</f>
        <v/>
      </c>
      <c r="U214" s="13">
        <f>T214-12.5*(J214+1)</f>
        <v/>
      </c>
      <c r="V214" s="15">
        <f>IFERROR(VLOOKUP(S214,V8_COHORT_TABLE,2,FALSE),IFERROR(VLOOKUP(P214&amp;"|"&amp;Q214&amp;"|ALL",V8_COHORT_TABLE,2,FALSE),IFERROR(VLOOKUP(P214&amp;"|ALL|ALL",V8_COHORT_TABLE,2,FALSE),VLOOKUP("GLOBAL",V8_COHORT_TABLE,2,FALSE))))</f>
        <v/>
      </c>
      <c r="W214" s="15">
        <f>IFERROR(VLOOKUP(S214,V8_COHORT_TABLE,3,FALSE),IFERROR(VLOOKUP(P214&amp;"|"&amp;Q214&amp;"|ALL",V8_COHORT_TABLE,3,FALSE),IFERROR(VLOOKUP(P214&amp;"|ALL|ALL",V8_COHORT_TABLE,3,FALSE),VLOOKUP("GLOBAL",V8_COHORT_TABLE,3,FALSE))))</f>
        <v/>
      </c>
      <c r="X214" s="15">
        <f>IFERROR(VLOOKUP(S214,V8_COHORT_TABLE,4,FALSE),IFERROR(VLOOKUP(P214&amp;"|"&amp;Q214&amp;"|ALL",V8_COHORT_TABLE,4,FALSE),IFERROR(VLOOKUP(P214&amp;"|ALL|ALL",V8_COHORT_TABLE,4,FALSE),VLOOKUP("GLOBAL",V8_COHORT_TABLE,4,FALSE))))</f>
        <v/>
      </c>
      <c r="Y214" s="15">
        <f>IFERROR(VLOOKUP(S214,V8_COHORT_TABLE,5,FALSE),IFERROR(VLOOKUP(P214&amp;"|"&amp;Q214&amp;"|ALL",V8_COHORT_TABLE,5,FALSE),IFERROR(VLOOKUP(P214&amp;"|ALL|ALL",V8_COHORT_TABLE,5,FALSE),VLOOKUP("GLOBAL",V8_COHORT_TABLE,5,FALSE))))</f>
        <v/>
      </c>
      <c r="Z214" s="15">
        <f>V214+W214/(1+EXP(-(U214-X214)/Y214))</f>
        <v/>
      </c>
      <c r="AA214" s="16">
        <f>1-(1-Z214)^12</f>
        <v/>
      </c>
      <c r="AB214" s="14">
        <f>IF(K214&lt;=V8_AGE_KNOT_X_0,V8_AGE_KNOT_Y_0,IF(K214&gt;=V8_AGE_KNOT_X_5,V8_AGE_KNOT_Y_5,IF(K214&lt;=V8_AGE_KNOT_X_1,V8_AGE_KNOT_Y_0+(K214-V8_AGE_KNOT_X_0)/(V8_AGE_KNOT_X_1-V8_AGE_KNOT_X_0)*(V8_AGE_KNOT_Y_1-V8_AGE_KNOT_Y_0),IF(K214&lt;=V8_AGE_KNOT_X_2,V8_AGE_KNOT_Y_1+(K214-V8_AGE_KNOT_X_1)/(V8_AGE_KNOT_X_2-V8_AGE_KNOT_X_1)*(V8_AGE_KNOT_Y_2-V8_AGE_KNOT_Y_1),IF(K214&lt;=V8_AGE_KNOT_X_3,V8_AGE_KNOT_Y_2+(K214-V8_AGE_KNOT_X_2)/(V8_AGE_KNOT_X_3-V8_AGE_KNOT_X_2)*(V8_AGE_KNOT_Y_3-V8_AGE_KNOT_Y_2),IF(K214&lt;=V8_AGE_KNOT_X_4,V8_AGE_KNOT_Y_3+(K214-V8_AGE_KNOT_X_3)/(V8_AGE_KNOT_X_4-V8_AGE_KNOT_X_3)*(V8_AGE_KNOT_Y_4-V8_AGE_KNOT_Y_3),V8_AGE_KNOT_Y_4+(K214-V8_AGE_KNOT_X_4)/(V8_AGE_KNOT_X_5-V8_AGE_KNOT_X_4)*(V8_AGE_KNOT_Y_5-V8_AGE_KNOT_Y_4)))))))</f>
        <v/>
      </c>
      <c r="AC214" s="14">
        <f>IF(IF(OR(L214="",NOT(ISNUMBER(L214))),360,MAX(0,MIN(480,(INT(L214/100)-INT(VALUE(F214)/100))*12+MOD(L214,100)-MOD(VALUE(F214),100))))&gt;0,1+V8_MTY_AMP*MAX(0,(V8_MTY_CUTOFF-(IF(OR(L214="",NOT(ISNUMBER(L214))),360,MAX(0,MIN(480,(INT(L214/100)-INT(VALUE(F214)/100))*12+MOD(L214,100)-MOD(VALUE(F214),100))))))/V8_MTY_CUTOFF),1)</f>
        <v/>
      </c>
      <c r="AD214" s="14">
        <f>IF(AND(IF(OR(M214="",NOT(ISNUMBER(M214))),0,MAX(0,MIN(24,(INT(VALUE(F214)/100)-INT(M214/100))*12+MOD(VALUE(F214),100)-MOD(M214,100))))&gt;0,IF(OR(M214="",NOT(ISNUMBER(M214))),0,MAX(0,MIN(24,(INT(VALUE(F214)/100)-INT(M214/100))*12+MOD(VALUE(F214),100)-MOD(M214,100))))&lt;=12),1+V8_LOCKOUT_AMP*EXP(-(IF(OR(M214="",NOT(ISNUMBER(M214))),0,MAX(0,MIN(24,(INT(VALUE(F214)/100)-INT(M214/100))*12+MOD(VALUE(F214),100)-MOD(M214,100)))))/V8_LOCKOUT_TAU),1)</f>
        <v/>
      </c>
      <c r="AE214" s="14">
        <f>MAX(V8_BURN_FLOOR,1-V8_BURN_SLOPE*MIN(1,MAX(0,O214)))</f>
        <v/>
      </c>
      <c r="AF214" s="15">
        <f>MIN(Z214*AB214*AC214*AD214*AE214,0.2)</f>
        <v/>
      </c>
      <c r="AG214" s="16">
        <f>1-(1-AF214)^12</f>
        <v/>
      </c>
    </row>
    <row r="215">
      <c r="A215" s="2" t="inlineStr">
        <is>
          <t>000005322286</t>
        </is>
      </c>
      <c r="B215" t="inlineStr">
        <is>
          <t>232</t>
        </is>
      </c>
      <c r="C215" t="inlineStr">
        <is>
          <t>RP</t>
        </is>
      </c>
      <c r="D215" t="inlineStr">
        <is>
          <t>KEYBANK NATIONAL ASSOCIATION</t>
        </is>
      </c>
      <c r="E215" t="n">
        <v>2025</v>
      </c>
      <c r="F215" t="inlineStr">
        <is>
          <t>202602</t>
        </is>
      </c>
      <c r="G215" s="8" t="n">
        <v>35723840.9</v>
      </c>
      <c r="H215" s="12" t="n">
        <v>5.4</v>
      </c>
      <c r="I215" s="13" t="n">
        <v>447</v>
      </c>
      <c r="J215" s="13" t="n">
        <v>10</v>
      </c>
      <c r="K215" t="n">
        <v>5</v>
      </c>
      <c r="L215" t="n">
        <v>206010</v>
      </c>
      <c r="M215" t="inlineStr"/>
      <c r="N215" t="n">
        <v>0</v>
      </c>
      <c r="O215" s="14" t="n">
        <v>0</v>
      </c>
      <c r="P215">
        <f>IF(ISNUMBER(SEARCH("232",B215)),"232",IF(ISNUMBER(SEARCH("538",B215)),"538",IF(ISNUMBER(SEARCH("223a7",B215)),"223a7",IF(ISNUMBER(SEARCH("223f",B215)),"223f","OTHER"))))</f>
        <v/>
      </c>
      <c r="Q215">
        <f>IF(UPPER(C215)="NC","NC","RP")</f>
        <v/>
      </c>
      <c r="R215">
        <f>IF(G215&lt;5000000,"small",IF(G215&lt;25000000,"medium","large"))</f>
        <v/>
      </c>
      <c r="S215">
        <f>P215&amp;"|"&amp;Q215&amp;"|"&amp;R215</f>
        <v/>
      </c>
      <c r="T215" s="13">
        <f>H215*100-I215</f>
        <v/>
      </c>
      <c r="U215" s="13">
        <f>T215-12.5*(J215+1)</f>
        <v/>
      </c>
      <c r="V215" s="15">
        <f>IFERROR(VLOOKUP(S215,V8_COHORT_TABLE,2,FALSE),IFERROR(VLOOKUP(P215&amp;"|"&amp;Q215&amp;"|ALL",V8_COHORT_TABLE,2,FALSE),IFERROR(VLOOKUP(P215&amp;"|ALL|ALL",V8_COHORT_TABLE,2,FALSE),VLOOKUP("GLOBAL",V8_COHORT_TABLE,2,FALSE))))</f>
        <v/>
      </c>
      <c r="W215" s="15">
        <f>IFERROR(VLOOKUP(S215,V8_COHORT_TABLE,3,FALSE),IFERROR(VLOOKUP(P215&amp;"|"&amp;Q215&amp;"|ALL",V8_COHORT_TABLE,3,FALSE),IFERROR(VLOOKUP(P215&amp;"|ALL|ALL",V8_COHORT_TABLE,3,FALSE),VLOOKUP("GLOBAL",V8_COHORT_TABLE,3,FALSE))))</f>
        <v/>
      </c>
      <c r="X215" s="15">
        <f>IFERROR(VLOOKUP(S215,V8_COHORT_TABLE,4,FALSE),IFERROR(VLOOKUP(P215&amp;"|"&amp;Q215&amp;"|ALL",V8_COHORT_TABLE,4,FALSE),IFERROR(VLOOKUP(P215&amp;"|ALL|ALL",V8_COHORT_TABLE,4,FALSE),VLOOKUP("GLOBAL",V8_COHORT_TABLE,4,FALSE))))</f>
        <v/>
      </c>
      <c r="Y215" s="15">
        <f>IFERROR(VLOOKUP(S215,V8_COHORT_TABLE,5,FALSE),IFERROR(VLOOKUP(P215&amp;"|"&amp;Q215&amp;"|ALL",V8_COHORT_TABLE,5,FALSE),IFERROR(VLOOKUP(P215&amp;"|ALL|ALL",V8_COHORT_TABLE,5,FALSE),VLOOKUP("GLOBAL",V8_COHORT_TABLE,5,FALSE))))</f>
        <v/>
      </c>
      <c r="Z215" s="15">
        <f>V215+W215/(1+EXP(-(U215-X215)/Y215))</f>
        <v/>
      </c>
      <c r="AA215" s="16">
        <f>1-(1-Z215)^12</f>
        <v/>
      </c>
      <c r="AB215" s="14">
        <f>IF(K215&lt;=V8_AGE_KNOT_X_0,V8_AGE_KNOT_Y_0,IF(K215&gt;=V8_AGE_KNOT_X_5,V8_AGE_KNOT_Y_5,IF(K215&lt;=V8_AGE_KNOT_X_1,V8_AGE_KNOT_Y_0+(K215-V8_AGE_KNOT_X_0)/(V8_AGE_KNOT_X_1-V8_AGE_KNOT_X_0)*(V8_AGE_KNOT_Y_1-V8_AGE_KNOT_Y_0),IF(K215&lt;=V8_AGE_KNOT_X_2,V8_AGE_KNOT_Y_1+(K215-V8_AGE_KNOT_X_1)/(V8_AGE_KNOT_X_2-V8_AGE_KNOT_X_1)*(V8_AGE_KNOT_Y_2-V8_AGE_KNOT_Y_1),IF(K215&lt;=V8_AGE_KNOT_X_3,V8_AGE_KNOT_Y_2+(K215-V8_AGE_KNOT_X_2)/(V8_AGE_KNOT_X_3-V8_AGE_KNOT_X_2)*(V8_AGE_KNOT_Y_3-V8_AGE_KNOT_Y_2),IF(K215&lt;=V8_AGE_KNOT_X_4,V8_AGE_KNOT_Y_3+(K215-V8_AGE_KNOT_X_3)/(V8_AGE_KNOT_X_4-V8_AGE_KNOT_X_3)*(V8_AGE_KNOT_Y_4-V8_AGE_KNOT_Y_3),V8_AGE_KNOT_Y_4+(K215-V8_AGE_KNOT_X_4)/(V8_AGE_KNOT_X_5-V8_AGE_KNOT_X_4)*(V8_AGE_KNOT_Y_5-V8_AGE_KNOT_Y_4)))))))</f>
        <v/>
      </c>
      <c r="AC215" s="14">
        <f>IF(IF(OR(L215="",NOT(ISNUMBER(L215))),360,MAX(0,MIN(480,(INT(L215/100)-INT(VALUE(F215)/100))*12+MOD(L215,100)-MOD(VALUE(F215),100))))&gt;0,1+V8_MTY_AMP*MAX(0,(V8_MTY_CUTOFF-(IF(OR(L215="",NOT(ISNUMBER(L215))),360,MAX(0,MIN(480,(INT(L215/100)-INT(VALUE(F215)/100))*12+MOD(L215,100)-MOD(VALUE(F215),100))))))/V8_MTY_CUTOFF),1)</f>
        <v/>
      </c>
      <c r="AD215" s="14">
        <f>IF(AND(IF(OR(M215="",NOT(ISNUMBER(M215))),0,MAX(0,MIN(24,(INT(VALUE(F215)/100)-INT(M215/100))*12+MOD(VALUE(F215),100)-MOD(M215,100))))&gt;0,IF(OR(M215="",NOT(ISNUMBER(M215))),0,MAX(0,MIN(24,(INT(VALUE(F215)/100)-INT(M215/100))*12+MOD(VALUE(F215),100)-MOD(M215,100))))&lt;=12),1+V8_LOCKOUT_AMP*EXP(-(IF(OR(M215="",NOT(ISNUMBER(M215))),0,MAX(0,MIN(24,(INT(VALUE(F215)/100)-INT(M215/100))*12+MOD(VALUE(F215),100)-MOD(M215,100)))))/V8_LOCKOUT_TAU),1)</f>
        <v/>
      </c>
      <c r="AE215" s="14">
        <f>MAX(V8_BURN_FLOOR,1-V8_BURN_SLOPE*MIN(1,MAX(0,O215)))</f>
        <v/>
      </c>
      <c r="AF215" s="15">
        <f>MIN(Z215*AB215*AC215*AD215*AE215,0.2)</f>
        <v/>
      </c>
      <c r="AG215" s="16">
        <f>1-(1-AF215)^12</f>
        <v/>
      </c>
    </row>
    <row r="216">
      <c r="A216" s="2" t="inlineStr">
        <is>
          <t>000005122144</t>
        </is>
      </c>
      <c r="B216" t="inlineStr">
        <is>
          <t>232</t>
        </is>
      </c>
      <c r="C216" t="inlineStr">
        <is>
          <t>RP</t>
        </is>
      </c>
      <c r="D216" t="inlineStr">
        <is>
          <t>KEYBANK NATIONAL ASSOCIATION</t>
        </is>
      </c>
      <c r="E216" t="n">
        <v>2017</v>
      </c>
      <c r="F216" t="inlineStr">
        <is>
          <t>202602</t>
        </is>
      </c>
      <c r="G216" s="8" t="n">
        <v>7327880.72</v>
      </c>
      <c r="H216" s="12" t="n">
        <v>3.3</v>
      </c>
      <c r="I216" s="13" t="n">
        <v>447</v>
      </c>
      <c r="J216" s="13" t="n">
        <v>2</v>
      </c>
      <c r="K216" t="n">
        <v>98</v>
      </c>
      <c r="L216" t="n">
        <v>205301</v>
      </c>
      <c r="M216" t="inlineStr"/>
      <c r="N216" t="n">
        <v>25</v>
      </c>
      <c r="O216" s="14" t="n">
        <v>0.2551020408163265</v>
      </c>
      <c r="P216">
        <f>IF(ISNUMBER(SEARCH("232",B216)),"232",IF(ISNUMBER(SEARCH("538",B216)),"538",IF(ISNUMBER(SEARCH("223a7",B216)),"223a7",IF(ISNUMBER(SEARCH("223f",B216)),"223f","OTHER"))))</f>
        <v/>
      </c>
      <c r="Q216">
        <f>IF(UPPER(C216)="NC","NC","RP")</f>
        <v/>
      </c>
      <c r="R216">
        <f>IF(G216&lt;5000000,"small",IF(G216&lt;25000000,"medium","large"))</f>
        <v/>
      </c>
      <c r="S216">
        <f>P216&amp;"|"&amp;Q216&amp;"|"&amp;R216</f>
        <v/>
      </c>
      <c r="T216" s="13">
        <f>H216*100-I216</f>
        <v/>
      </c>
      <c r="U216" s="13">
        <f>T216-12.5*(J216+1)</f>
        <v/>
      </c>
      <c r="V216" s="15">
        <f>IFERROR(VLOOKUP(S216,V8_COHORT_TABLE,2,FALSE),IFERROR(VLOOKUP(P216&amp;"|"&amp;Q216&amp;"|ALL",V8_COHORT_TABLE,2,FALSE),IFERROR(VLOOKUP(P216&amp;"|ALL|ALL",V8_COHORT_TABLE,2,FALSE),VLOOKUP("GLOBAL",V8_COHORT_TABLE,2,FALSE))))</f>
        <v/>
      </c>
      <c r="W216" s="15">
        <f>IFERROR(VLOOKUP(S216,V8_COHORT_TABLE,3,FALSE),IFERROR(VLOOKUP(P216&amp;"|"&amp;Q216&amp;"|ALL",V8_COHORT_TABLE,3,FALSE),IFERROR(VLOOKUP(P216&amp;"|ALL|ALL",V8_COHORT_TABLE,3,FALSE),VLOOKUP("GLOBAL",V8_COHORT_TABLE,3,FALSE))))</f>
        <v/>
      </c>
      <c r="X216" s="15">
        <f>IFERROR(VLOOKUP(S216,V8_COHORT_TABLE,4,FALSE),IFERROR(VLOOKUP(P216&amp;"|"&amp;Q216&amp;"|ALL",V8_COHORT_TABLE,4,FALSE),IFERROR(VLOOKUP(P216&amp;"|ALL|ALL",V8_COHORT_TABLE,4,FALSE),VLOOKUP("GLOBAL",V8_COHORT_TABLE,4,FALSE))))</f>
        <v/>
      </c>
      <c r="Y216" s="15">
        <f>IFERROR(VLOOKUP(S216,V8_COHORT_TABLE,5,FALSE),IFERROR(VLOOKUP(P216&amp;"|"&amp;Q216&amp;"|ALL",V8_COHORT_TABLE,5,FALSE),IFERROR(VLOOKUP(P216&amp;"|ALL|ALL",V8_COHORT_TABLE,5,FALSE),VLOOKUP("GLOBAL",V8_COHORT_TABLE,5,FALSE))))</f>
        <v/>
      </c>
      <c r="Z216" s="15">
        <f>V216+W216/(1+EXP(-(U216-X216)/Y216))</f>
        <v/>
      </c>
      <c r="AA216" s="16">
        <f>1-(1-Z216)^12</f>
        <v/>
      </c>
      <c r="AB216" s="14">
        <f>IF(K216&lt;=V8_AGE_KNOT_X_0,V8_AGE_KNOT_Y_0,IF(K216&gt;=V8_AGE_KNOT_X_5,V8_AGE_KNOT_Y_5,IF(K216&lt;=V8_AGE_KNOT_X_1,V8_AGE_KNOT_Y_0+(K216-V8_AGE_KNOT_X_0)/(V8_AGE_KNOT_X_1-V8_AGE_KNOT_X_0)*(V8_AGE_KNOT_Y_1-V8_AGE_KNOT_Y_0),IF(K216&lt;=V8_AGE_KNOT_X_2,V8_AGE_KNOT_Y_1+(K216-V8_AGE_KNOT_X_1)/(V8_AGE_KNOT_X_2-V8_AGE_KNOT_X_1)*(V8_AGE_KNOT_Y_2-V8_AGE_KNOT_Y_1),IF(K216&lt;=V8_AGE_KNOT_X_3,V8_AGE_KNOT_Y_2+(K216-V8_AGE_KNOT_X_2)/(V8_AGE_KNOT_X_3-V8_AGE_KNOT_X_2)*(V8_AGE_KNOT_Y_3-V8_AGE_KNOT_Y_2),IF(K216&lt;=V8_AGE_KNOT_X_4,V8_AGE_KNOT_Y_3+(K216-V8_AGE_KNOT_X_3)/(V8_AGE_KNOT_X_4-V8_AGE_KNOT_X_3)*(V8_AGE_KNOT_Y_4-V8_AGE_KNOT_Y_3),V8_AGE_KNOT_Y_4+(K216-V8_AGE_KNOT_X_4)/(V8_AGE_KNOT_X_5-V8_AGE_KNOT_X_4)*(V8_AGE_KNOT_Y_5-V8_AGE_KNOT_Y_4)))))))</f>
        <v/>
      </c>
      <c r="AC216" s="14">
        <f>IF(IF(OR(L216="",NOT(ISNUMBER(L216))),360,MAX(0,MIN(480,(INT(L216/100)-INT(VALUE(F216)/100))*12+MOD(L216,100)-MOD(VALUE(F216),100))))&gt;0,1+V8_MTY_AMP*MAX(0,(V8_MTY_CUTOFF-(IF(OR(L216="",NOT(ISNUMBER(L216))),360,MAX(0,MIN(480,(INT(L216/100)-INT(VALUE(F216)/100))*12+MOD(L216,100)-MOD(VALUE(F216),100))))))/V8_MTY_CUTOFF),1)</f>
        <v/>
      </c>
      <c r="AD216" s="14">
        <f>IF(AND(IF(OR(M216="",NOT(ISNUMBER(M216))),0,MAX(0,MIN(24,(INT(VALUE(F216)/100)-INT(M216/100))*12+MOD(VALUE(F216),100)-MOD(M216,100))))&gt;0,IF(OR(M216="",NOT(ISNUMBER(M216))),0,MAX(0,MIN(24,(INT(VALUE(F216)/100)-INT(M216/100))*12+MOD(VALUE(F216),100)-MOD(M216,100))))&lt;=12),1+V8_LOCKOUT_AMP*EXP(-(IF(OR(M216="",NOT(ISNUMBER(M216))),0,MAX(0,MIN(24,(INT(VALUE(F216)/100)-INT(M216/100))*12+MOD(VALUE(F216),100)-MOD(M216,100)))))/V8_LOCKOUT_TAU),1)</f>
        <v/>
      </c>
      <c r="AE216" s="14">
        <f>MAX(V8_BURN_FLOOR,1-V8_BURN_SLOPE*MIN(1,MAX(0,O216)))</f>
        <v/>
      </c>
      <c r="AF216" s="15">
        <f>MIN(Z216*AB216*AC216*AD216*AE216,0.2)</f>
        <v/>
      </c>
      <c r="AG216" s="16">
        <f>1-(1-AF216)^12</f>
        <v/>
      </c>
    </row>
    <row r="217">
      <c r="A217" s="2" t="inlineStr">
        <is>
          <t>000011322062</t>
        </is>
      </c>
      <c r="B217" t="inlineStr">
        <is>
          <t>232</t>
        </is>
      </c>
      <c r="C217" t="inlineStr">
        <is>
          <t>RP</t>
        </is>
      </c>
      <c r="D217" t="inlineStr">
        <is>
          <t>KEYBANK NATIONAL ASSOCIATION</t>
        </is>
      </c>
      <c r="E217" t="n">
        <v>2011</v>
      </c>
      <c r="F217" t="inlineStr">
        <is>
          <t>202602</t>
        </is>
      </c>
      <c r="G217" s="8" t="n">
        <v>3922431.75</v>
      </c>
      <c r="H217" s="12" t="n">
        <v>4.28</v>
      </c>
      <c r="I217" s="13" t="n">
        <v>447</v>
      </c>
      <c r="J217" s="13" t="n">
        <v>0</v>
      </c>
      <c r="K217" t="n">
        <v>179</v>
      </c>
      <c r="L217" t="n">
        <v>203604</v>
      </c>
      <c r="M217" t="inlineStr"/>
      <c r="N217" t="n">
        <v>45</v>
      </c>
      <c r="O217" s="14" t="n">
        <v>0.2513966480446927</v>
      </c>
      <c r="P217">
        <f>IF(ISNUMBER(SEARCH("232",B217)),"232",IF(ISNUMBER(SEARCH("538",B217)),"538",IF(ISNUMBER(SEARCH("223a7",B217)),"223a7",IF(ISNUMBER(SEARCH("223f",B217)),"223f","OTHER"))))</f>
        <v/>
      </c>
      <c r="Q217">
        <f>IF(UPPER(C217)="NC","NC","RP")</f>
        <v/>
      </c>
      <c r="R217">
        <f>IF(G217&lt;5000000,"small",IF(G217&lt;25000000,"medium","large"))</f>
        <v/>
      </c>
      <c r="S217">
        <f>P217&amp;"|"&amp;Q217&amp;"|"&amp;R217</f>
        <v/>
      </c>
      <c r="T217" s="13">
        <f>H217*100-I217</f>
        <v/>
      </c>
      <c r="U217" s="13">
        <f>T217-12.5*(J217+1)</f>
        <v/>
      </c>
      <c r="V217" s="15">
        <f>IFERROR(VLOOKUP(S217,V8_COHORT_TABLE,2,FALSE),IFERROR(VLOOKUP(P217&amp;"|"&amp;Q217&amp;"|ALL",V8_COHORT_TABLE,2,FALSE),IFERROR(VLOOKUP(P217&amp;"|ALL|ALL",V8_COHORT_TABLE,2,FALSE),VLOOKUP("GLOBAL",V8_COHORT_TABLE,2,FALSE))))</f>
        <v/>
      </c>
      <c r="W217" s="15">
        <f>IFERROR(VLOOKUP(S217,V8_COHORT_TABLE,3,FALSE),IFERROR(VLOOKUP(P217&amp;"|"&amp;Q217&amp;"|ALL",V8_COHORT_TABLE,3,FALSE),IFERROR(VLOOKUP(P217&amp;"|ALL|ALL",V8_COHORT_TABLE,3,FALSE),VLOOKUP("GLOBAL",V8_COHORT_TABLE,3,FALSE))))</f>
        <v/>
      </c>
      <c r="X217" s="15">
        <f>IFERROR(VLOOKUP(S217,V8_COHORT_TABLE,4,FALSE),IFERROR(VLOOKUP(P217&amp;"|"&amp;Q217&amp;"|ALL",V8_COHORT_TABLE,4,FALSE),IFERROR(VLOOKUP(P217&amp;"|ALL|ALL",V8_COHORT_TABLE,4,FALSE),VLOOKUP("GLOBAL",V8_COHORT_TABLE,4,FALSE))))</f>
        <v/>
      </c>
      <c r="Y217" s="15">
        <f>IFERROR(VLOOKUP(S217,V8_COHORT_TABLE,5,FALSE),IFERROR(VLOOKUP(P217&amp;"|"&amp;Q217&amp;"|ALL",V8_COHORT_TABLE,5,FALSE),IFERROR(VLOOKUP(P217&amp;"|ALL|ALL",V8_COHORT_TABLE,5,FALSE),VLOOKUP("GLOBAL",V8_COHORT_TABLE,5,FALSE))))</f>
        <v/>
      </c>
      <c r="Z217" s="15">
        <f>V217+W217/(1+EXP(-(U217-X217)/Y217))</f>
        <v/>
      </c>
      <c r="AA217" s="16">
        <f>1-(1-Z217)^12</f>
        <v/>
      </c>
      <c r="AB217" s="14">
        <f>IF(K217&lt;=V8_AGE_KNOT_X_0,V8_AGE_KNOT_Y_0,IF(K217&gt;=V8_AGE_KNOT_X_5,V8_AGE_KNOT_Y_5,IF(K217&lt;=V8_AGE_KNOT_X_1,V8_AGE_KNOT_Y_0+(K217-V8_AGE_KNOT_X_0)/(V8_AGE_KNOT_X_1-V8_AGE_KNOT_X_0)*(V8_AGE_KNOT_Y_1-V8_AGE_KNOT_Y_0),IF(K217&lt;=V8_AGE_KNOT_X_2,V8_AGE_KNOT_Y_1+(K217-V8_AGE_KNOT_X_1)/(V8_AGE_KNOT_X_2-V8_AGE_KNOT_X_1)*(V8_AGE_KNOT_Y_2-V8_AGE_KNOT_Y_1),IF(K217&lt;=V8_AGE_KNOT_X_3,V8_AGE_KNOT_Y_2+(K217-V8_AGE_KNOT_X_2)/(V8_AGE_KNOT_X_3-V8_AGE_KNOT_X_2)*(V8_AGE_KNOT_Y_3-V8_AGE_KNOT_Y_2),IF(K217&lt;=V8_AGE_KNOT_X_4,V8_AGE_KNOT_Y_3+(K217-V8_AGE_KNOT_X_3)/(V8_AGE_KNOT_X_4-V8_AGE_KNOT_X_3)*(V8_AGE_KNOT_Y_4-V8_AGE_KNOT_Y_3),V8_AGE_KNOT_Y_4+(K217-V8_AGE_KNOT_X_4)/(V8_AGE_KNOT_X_5-V8_AGE_KNOT_X_4)*(V8_AGE_KNOT_Y_5-V8_AGE_KNOT_Y_4)))))))</f>
        <v/>
      </c>
      <c r="AC217" s="14">
        <f>IF(IF(OR(L217="",NOT(ISNUMBER(L217))),360,MAX(0,MIN(480,(INT(L217/100)-INT(VALUE(F217)/100))*12+MOD(L217,100)-MOD(VALUE(F217),100))))&gt;0,1+V8_MTY_AMP*MAX(0,(V8_MTY_CUTOFF-(IF(OR(L217="",NOT(ISNUMBER(L217))),360,MAX(0,MIN(480,(INT(L217/100)-INT(VALUE(F217)/100))*12+MOD(L217,100)-MOD(VALUE(F217),100))))))/V8_MTY_CUTOFF),1)</f>
        <v/>
      </c>
      <c r="AD217" s="14">
        <f>IF(AND(IF(OR(M217="",NOT(ISNUMBER(M217))),0,MAX(0,MIN(24,(INT(VALUE(F217)/100)-INT(M217/100))*12+MOD(VALUE(F217),100)-MOD(M217,100))))&gt;0,IF(OR(M217="",NOT(ISNUMBER(M217))),0,MAX(0,MIN(24,(INT(VALUE(F217)/100)-INT(M217/100))*12+MOD(VALUE(F217),100)-MOD(M217,100))))&lt;=12),1+V8_LOCKOUT_AMP*EXP(-(IF(OR(M217="",NOT(ISNUMBER(M217))),0,MAX(0,MIN(24,(INT(VALUE(F217)/100)-INT(M217/100))*12+MOD(VALUE(F217),100)-MOD(M217,100)))))/V8_LOCKOUT_TAU),1)</f>
        <v/>
      </c>
      <c r="AE217" s="14">
        <f>MAX(V8_BURN_FLOOR,1-V8_BURN_SLOPE*MIN(1,MAX(0,O217)))</f>
        <v/>
      </c>
      <c r="AF217" s="15">
        <f>MIN(Z217*AB217*AC217*AD217*AE217,0.2)</f>
        <v/>
      </c>
      <c r="AG217" s="16">
        <f>1-(1-AF217)^12</f>
        <v/>
      </c>
    </row>
    <row r="218">
      <c r="A218" s="2" t="inlineStr">
        <is>
          <t>000002422108</t>
        </is>
      </c>
      <c r="B218" t="inlineStr">
        <is>
          <t>232</t>
        </is>
      </c>
      <c r="C218" t="inlineStr">
        <is>
          <t>RP</t>
        </is>
      </c>
      <c r="D218" t="inlineStr">
        <is>
          <t>KEYBANK NATIONAL ASSOCIATION</t>
        </is>
      </c>
      <c r="E218" t="n">
        <v>2017</v>
      </c>
      <c r="F218" t="inlineStr">
        <is>
          <t>202602</t>
        </is>
      </c>
      <c r="G218" s="8" t="n">
        <v>11973413.59</v>
      </c>
      <c r="H218" s="12" t="n">
        <v>3.24</v>
      </c>
      <c r="I218" s="13" t="n">
        <v>447</v>
      </c>
      <c r="J218" s="13" t="n">
        <v>2</v>
      </c>
      <c r="K218" t="n">
        <v>100</v>
      </c>
      <c r="L218" t="n">
        <v>204711</v>
      </c>
      <c r="M218" t="inlineStr"/>
      <c r="N218" t="n">
        <v>25</v>
      </c>
      <c r="O218" s="14" t="n">
        <v>0.25</v>
      </c>
      <c r="P218">
        <f>IF(ISNUMBER(SEARCH("232",B218)),"232",IF(ISNUMBER(SEARCH("538",B218)),"538",IF(ISNUMBER(SEARCH("223a7",B218)),"223a7",IF(ISNUMBER(SEARCH("223f",B218)),"223f","OTHER"))))</f>
        <v/>
      </c>
      <c r="Q218">
        <f>IF(UPPER(C218)="NC","NC","RP")</f>
        <v/>
      </c>
      <c r="R218">
        <f>IF(G218&lt;5000000,"small",IF(G218&lt;25000000,"medium","large"))</f>
        <v/>
      </c>
      <c r="S218">
        <f>P218&amp;"|"&amp;Q218&amp;"|"&amp;R218</f>
        <v/>
      </c>
      <c r="T218" s="13">
        <f>H218*100-I218</f>
        <v/>
      </c>
      <c r="U218" s="13">
        <f>T218-12.5*(J218+1)</f>
        <v/>
      </c>
      <c r="V218" s="15">
        <f>IFERROR(VLOOKUP(S218,V8_COHORT_TABLE,2,FALSE),IFERROR(VLOOKUP(P218&amp;"|"&amp;Q218&amp;"|ALL",V8_COHORT_TABLE,2,FALSE),IFERROR(VLOOKUP(P218&amp;"|ALL|ALL",V8_COHORT_TABLE,2,FALSE),VLOOKUP("GLOBAL",V8_COHORT_TABLE,2,FALSE))))</f>
        <v/>
      </c>
      <c r="W218" s="15">
        <f>IFERROR(VLOOKUP(S218,V8_COHORT_TABLE,3,FALSE),IFERROR(VLOOKUP(P218&amp;"|"&amp;Q218&amp;"|ALL",V8_COHORT_TABLE,3,FALSE),IFERROR(VLOOKUP(P218&amp;"|ALL|ALL",V8_COHORT_TABLE,3,FALSE),VLOOKUP("GLOBAL",V8_COHORT_TABLE,3,FALSE))))</f>
        <v/>
      </c>
      <c r="X218" s="15">
        <f>IFERROR(VLOOKUP(S218,V8_COHORT_TABLE,4,FALSE),IFERROR(VLOOKUP(P218&amp;"|"&amp;Q218&amp;"|ALL",V8_COHORT_TABLE,4,FALSE),IFERROR(VLOOKUP(P218&amp;"|ALL|ALL",V8_COHORT_TABLE,4,FALSE),VLOOKUP("GLOBAL",V8_COHORT_TABLE,4,FALSE))))</f>
        <v/>
      </c>
      <c r="Y218" s="15">
        <f>IFERROR(VLOOKUP(S218,V8_COHORT_TABLE,5,FALSE),IFERROR(VLOOKUP(P218&amp;"|"&amp;Q218&amp;"|ALL",V8_COHORT_TABLE,5,FALSE),IFERROR(VLOOKUP(P218&amp;"|ALL|ALL",V8_COHORT_TABLE,5,FALSE),VLOOKUP("GLOBAL",V8_COHORT_TABLE,5,FALSE))))</f>
        <v/>
      </c>
      <c r="Z218" s="15">
        <f>V218+W218/(1+EXP(-(U218-X218)/Y218))</f>
        <v/>
      </c>
      <c r="AA218" s="16">
        <f>1-(1-Z218)^12</f>
        <v/>
      </c>
      <c r="AB218" s="14">
        <f>IF(K218&lt;=V8_AGE_KNOT_X_0,V8_AGE_KNOT_Y_0,IF(K218&gt;=V8_AGE_KNOT_X_5,V8_AGE_KNOT_Y_5,IF(K218&lt;=V8_AGE_KNOT_X_1,V8_AGE_KNOT_Y_0+(K218-V8_AGE_KNOT_X_0)/(V8_AGE_KNOT_X_1-V8_AGE_KNOT_X_0)*(V8_AGE_KNOT_Y_1-V8_AGE_KNOT_Y_0),IF(K218&lt;=V8_AGE_KNOT_X_2,V8_AGE_KNOT_Y_1+(K218-V8_AGE_KNOT_X_1)/(V8_AGE_KNOT_X_2-V8_AGE_KNOT_X_1)*(V8_AGE_KNOT_Y_2-V8_AGE_KNOT_Y_1),IF(K218&lt;=V8_AGE_KNOT_X_3,V8_AGE_KNOT_Y_2+(K218-V8_AGE_KNOT_X_2)/(V8_AGE_KNOT_X_3-V8_AGE_KNOT_X_2)*(V8_AGE_KNOT_Y_3-V8_AGE_KNOT_Y_2),IF(K218&lt;=V8_AGE_KNOT_X_4,V8_AGE_KNOT_Y_3+(K218-V8_AGE_KNOT_X_3)/(V8_AGE_KNOT_X_4-V8_AGE_KNOT_X_3)*(V8_AGE_KNOT_Y_4-V8_AGE_KNOT_Y_3),V8_AGE_KNOT_Y_4+(K218-V8_AGE_KNOT_X_4)/(V8_AGE_KNOT_X_5-V8_AGE_KNOT_X_4)*(V8_AGE_KNOT_Y_5-V8_AGE_KNOT_Y_4)))))))</f>
        <v/>
      </c>
      <c r="AC218" s="14">
        <f>IF(IF(OR(L218="",NOT(ISNUMBER(L218))),360,MAX(0,MIN(480,(INT(L218/100)-INT(VALUE(F218)/100))*12+MOD(L218,100)-MOD(VALUE(F218),100))))&gt;0,1+V8_MTY_AMP*MAX(0,(V8_MTY_CUTOFF-(IF(OR(L218="",NOT(ISNUMBER(L218))),360,MAX(0,MIN(480,(INT(L218/100)-INT(VALUE(F218)/100))*12+MOD(L218,100)-MOD(VALUE(F218),100))))))/V8_MTY_CUTOFF),1)</f>
        <v/>
      </c>
      <c r="AD218" s="14">
        <f>IF(AND(IF(OR(M218="",NOT(ISNUMBER(M218))),0,MAX(0,MIN(24,(INT(VALUE(F218)/100)-INT(M218/100))*12+MOD(VALUE(F218),100)-MOD(M218,100))))&gt;0,IF(OR(M218="",NOT(ISNUMBER(M218))),0,MAX(0,MIN(24,(INT(VALUE(F218)/100)-INT(M218/100))*12+MOD(VALUE(F218),100)-MOD(M218,100))))&lt;=12),1+V8_LOCKOUT_AMP*EXP(-(IF(OR(M218="",NOT(ISNUMBER(M218))),0,MAX(0,MIN(24,(INT(VALUE(F218)/100)-INT(M218/100))*12+MOD(VALUE(F218),100)-MOD(M218,100)))))/V8_LOCKOUT_TAU),1)</f>
        <v/>
      </c>
      <c r="AE218" s="14">
        <f>MAX(V8_BURN_FLOOR,1-V8_BURN_SLOPE*MIN(1,MAX(0,O218)))</f>
        <v/>
      </c>
      <c r="AF218" s="15">
        <f>MIN(Z218*AB218*AC218*AD218*AE218,0.2)</f>
        <v/>
      </c>
      <c r="AG218" s="16">
        <f>1-(1-AF218)^12</f>
        <v/>
      </c>
    </row>
    <row r="219">
      <c r="A219" s="2" t="inlineStr">
        <is>
          <t>000001711211</t>
        </is>
      </c>
      <c r="B219" t="inlineStr">
        <is>
          <t>223f</t>
        </is>
      </c>
      <c r="C219" t="inlineStr">
        <is>
          <t>RP</t>
        </is>
      </c>
      <c r="D219" t="inlineStr">
        <is>
          <t>KEYBANK NATIONAL ASSOCIATION</t>
        </is>
      </c>
      <c r="E219" t="n">
        <v>2018</v>
      </c>
      <c r="F219" t="inlineStr">
        <is>
          <t>202602</t>
        </is>
      </c>
      <c r="G219" s="8" t="n">
        <v>2100799.83</v>
      </c>
      <c r="H219" s="12" t="n">
        <v>4.75</v>
      </c>
      <c r="I219" s="13" t="n">
        <v>447</v>
      </c>
      <c r="J219" s="13" t="n">
        <v>3</v>
      </c>
      <c r="K219" t="n">
        <v>86</v>
      </c>
      <c r="L219" t="n">
        <v>205401</v>
      </c>
      <c r="M219" t="inlineStr"/>
      <c r="N219" t="n">
        <v>41</v>
      </c>
      <c r="O219" s="14" t="n">
        <v>0.4767441860465116</v>
      </c>
      <c r="P219">
        <f>IF(ISNUMBER(SEARCH("232",B219)),"232",IF(ISNUMBER(SEARCH("538",B219)),"538",IF(ISNUMBER(SEARCH("223a7",B219)),"223a7",IF(ISNUMBER(SEARCH("223f",B219)),"223f","OTHER"))))</f>
        <v/>
      </c>
      <c r="Q219">
        <f>IF(UPPER(C219)="NC","NC","RP")</f>
        <v/>
      </c>
      <c r="R219">
        <f>IF(G219&lt;5000000,"small",IF(G219&lt;25000000,"medium","large"))</f>
        <v/>
      </c>
      <c r="S219">
        <f>P219&amp;"|"&amp;Q219&amp;"|"&amp;R219</f>
        <v/>
      </c>
      <c r="T219" s="13">
        <f>H219*100-I219</f>
        <v/>
      </c>
      <c r="U219" s="13">
        <f>T219-12.5*(J219+1)</f>
        <v/>
      </c>
      <c r="V219" s="15">
        <f>IFERROR(VLOOKUP(S219,V8_COHORT_TABLE,2,FALSE),IFERROR(VLOOKUP(P219&amp;"|"&amp;Q219&amp;"|ALL",V8_COHORT_TABLE,2,FALSE),IFERROR(VLOOKUP(P219&amp;"|ALL|ALL",V8_COHORT_TABLE,2,FALSE),VLOOKUP("GLOBAL",V8_COHORT_TABLE,2,FALSE))))</f>
        <v/>
      </c>
      <c r="W219" s="15">
        <f>IFERROR(VLOOKUP(S219,V8_COHORT_TABLE,3,FALSE),IFERROR(VLOOKUP(P219&amp;"|"&amp;Q219&amp;"|ALL",V8_COHORT_TABLE,3,FALSE),IFERROR(VLOOKUP(P219&amp;"|ALL|ALL",V8_COHORT_TABLE,3,FALSE),VLOOKUP("GLOBAL",V8_COHORT_TABLE,3,FALSE))))</f>
        <v/>
      </c>
      <c r="X219" s="15">
        <f>IFERROR(VLOOKUP(S219,V8_COHORT_TABLE,4,FALSE),IFERROR(VLOOKUP(P219&amp;"|"&amp;Q219&amp;"|ALL",V8_COHORT_TABLE,4,FALSE),IFERROR(VLOOKUP(P219&amp;"|ALL|ALL",V8_COHORT_TABLE,4,FALSE),VLOOKUP("GLOBAL",V8_COHORT_TABLE,4,FALSE))))</f>
        <v/>
      </c>
      <c r="Y219" s="15">
        <f>IFERROR(VLOOKUP(S219,V8_COHORT_TABLE,5,FALSE),IFERROR(VLOOKUP(P219&amp;"|"&amp;Q219&amp;"|ALL",V8_COHORT_TABLE,5,FALSE),IFERROR(VLOOKUP(P219&amp;"|ALL|ALL",V8_COHORT_TABLE,5,FALSE),VLOOKUP("GLOBAL",V8_COHORT_TABLE,5,FALSE))))</f>
        <v/>
      </c>
      <c r="Z219" s="15">
        <f>V219+W219/(1+EXP(-(U219-X219)/Y219))</f>
        <v/>
      </c>
      <c r="AA219" s="16">
        <f>1-(1-Z219)^12</f>
        <v/>
      </c>
      <c r="AB219" s="14">
        <f>IF(K219&lt;=V8_AGE_KNOT_X_0,V8_AGE_KNOT_Y_0,IF(K219&gt;=V8_AGE_KNOT_X_5,V8_AGE_KNOT_Y_5,IF(K219&lt;=V8_AGE_KNOT_X_1,V8_AGE_KNOT_Y_0+(K219-V8_AGE_KNOT_X_0)/(V8_AGE_KNOT_X_1-V8_AGE_KNOT_X_0)*(V8_AGE_KNOT_Y_1-V8_AGE_KNOT_Y_0),IF(K219&lt;=V8_AGE_KNOT_X_2,V8_AGE_KNOT_Y_1+(K219-V8_AGE_KNOT_X_1)/(V8_AGE_KNOT_X_2-V8_AGE_KNOT_X_1)*(V8_AGE_KNOT_Y_2-V8_AGE_KNOT_Y_1),IF(K219&lt;=V8_AGE_KNOT_X_3,V8_AGE_KNOT_Y_2+(K219-V8_AGE_KNOT_X_2)/(V8_AGE_KNOT_X_3-V8_AGE_KNOT_X_2)*(V8_AGE_KNOT_Y_3-V8_AGE_KNOT_Y_2),IF(K219&lt;=V8_AGE_KNOT_X_4,V8_AGE_KNOT_Y_3+(K219-V8_AGE_KNOT_X_3)/(V8_AGE_KNOT_X_4-V8_AGE_KNOT_X_3)*(V8_AGE_KNOT_Y_4-V8_AGE_KNOT_Y_3),V8_AGE_KNOT_Y_4+(K219-V8_AGE_KNOT_X_4)/(V8_AGE_KNOT_X_5-V8_AGE_KNOT_X_4)*(V8_AGE_KNOT_Y_5-V8_AGE_KNOT_Y_4)))))))</f>
        <v/>
      </c>
      <c r="AC219" s="14">
        <f>IF(IF(OR(L219="",NOT(ISNUMBER(L219))),360,MAX(0,MIN(480,(INT(L219/100)-INT(VALUE(F219)/100))*12+MOD(L219,100)-MOD(VALUE(F219),100))))&gt;0,1+V8_MTY_AMP*MAX(0,(V8_MTY_CUTOFF-(IF(OR(L219="",NOT(ISNUMBER(L219))),360,MAX(0,MIN(480,(INT(L219/100)-INT(VALUE(F219)/100))*12+MOD(L219,100)-MOD(VALUE(F219),100))))))/V8_MTY_CUTOFF),1)</f>
        <v/>
      </c>
      <c r="AD219" s="14">
        <f>IF(AND(IF(OR(M219="",NOT(ISNUMBER(M219))),0,MAX(0,MIN(24,(INT(VALUE(F219)/100)-INT(M219/100))*12+MOD(VALUE(F219),100)-MOD(M219,100))))&gt;0,IF(OR(M219="",NOT(ISNUMBER(M219))),0,MAX(0,MIN(24,(INT(VALUE(F219)/100)-INT(M219/100))*12+MOD(VALUE(F219),100)-MOD(M219,100))))&lt;=12),1+V8_LOCKOUT_AMP*EXP(-(IF(OR(M219="",NOT(ISNUMBER(M219))),0,MAX(0,MIN(24,(INT(VALUE(F219)/100)-INT(M219/100))*12+MOD(VALUE(F219),100)-MOD(M219,100)))))/V8_LOCKOUT_TAU),1)</f>
        <v/>
      </c>
      <c r="AE219" s="14">
        <f>MAX(V8_BURN_FLOOR,1-V8_BURN_SLOPE*MIN(1,MAX(0,O219)))</f>
        <v/>
      </c>
      <c r="AF219" s="15">
        <f>MIN(Z219*AB219*AC219*AD219*AE219,0.2)</f>
        <v/>
      </c>
      <c r="AG219" s="16">
        <f>1-(1-AF219)^12</f>
        <v/>
      </c>
    </row>
    <row r="220">
      <c r="A220" s="2" t="inlineStr">
        <is>
          <t>000011322064</t>
        </is>
      </c>
      <c r="B220" t="inlineStr">
        <is>
          <t>232</t>
        </is>
      </c>
      <c r="C220" t="inlineStr">
        <is>
          <t>RP</t>
        </is>
      </c>
      <c r="D220" t="inlineStr">
        <is>
          <t>KEYBANK NATIONAL ASSOCIATION</t>
        </is>
      </c>
      <c r="E220" t="n">
        <v>2011</v>
      </c>
      <c r="F220" t="inlineStr">
        <is>
          <t>202602</t>
        </is>
      </c>
      <c r="G220" s="8" t="n">
        <v>4594985.17</v>
      </c>
      <c r="H220" s="12" t="n">
        <v>4.28</v>
      </c>
      <c r="I220" s="13" t="n">
        <v>447</v>
      </c>
      <c r="J220" s="13" t="n">
        <v>0</v>
      </c>
      <c r="K220" t="n">
        <v>179</v>
      </c>
      <c r="L220" t="n">
        <v>203604</v>
      </c>
      <c r="M220" t="inlineStr"/>
      <c r="N220" t="n">
        <v>45</v>
      </c>
      <c r="O220" s="14" t="n">
        <v>0.2513966480446927</v>
      </c>
      <c r="P220">
        <f>IF(ISNUMBER(SEARCH("232",B220)),"232",IF(ISNUMBER(SEARCH("538",B220)),"538",IF(ISNUMBER(SEARCH("223a7",B220)),"223a7",IF(ISNUMBER(SEARCH("223f",B220)),"223f","OTHER"))))</f>
        <v/>
      </c>
      <c r="Q220">
        <f>IF(UPPER(C220)="NC","NC","RP")</f>
        <v/>
      </c>
      <c r="R220">
        <f>IF(G220&lt;5000000,"small",IF(G220&lt;25000000,"medium","large"))</f>
        <v/>
      </c>
      <c r="S220">
        <f>P220&amp;"|"&amp;Q220&amp;"|"&amp;R220</f>
        <v/>
      </c>
      <c r="T220" s="13">
        <f>H220*100-I220</f>
        <v/>
      </c>
      <c r="U220" s="13">
        <f>T220-12.5*(J220+1)</f>
        <v/>
      </c>
      <c r="V220" s="15">
        <f>IFERROR(VLOOKUP(S220,V8_COHORT_TABLE,2,FALSE),IFERROR(VLOOKUP(P220&amp;"|"&amp;Q220&amp;"|ALL",V8_COHORT_TABLE,2,FALSE),IFERROR(VLOOKUP(P220&amp;"|ALL|ALL",V8_COHORT_TABLE,2,FALSE),VLOOKUP("GLOBAL",V8_COHORT_TABLE,2,FALSE))))</f>
        <v/>
      </c>
      <c r="W220" s="15">
        <f>IFERROR(VLOOKUP(S220,V8_COHORT_TABLE,3,FALSE),IFERROR(VLOOKUP(P220&amp;"|"&amp;Q220&amp;"|ALL",V8_COHORT_TABLE,3,FALSE),IFERROR(VLOOKUP(P220&amp;"|ALL|ALL",V8_COHORT_TABLE,3,FALSE),VLOOKUP("GLOBAL",V8_COHORT_TABLE,3,FALSE))))</f>
        <v/>
      </c>
      <c r="X220" s="15">
        <f>IFERROR(VLOOKUP(S220,V8_COHORT_TABLE,4,FALSE),IFERROR(VLOOKUP(P220&amp;"|"&amp;Q220&amp;"|ALL",V8_COHORT_TABLE,4,FALSE),IFERROR(VLOOKUP(P220&amp;"|ALL|ALL",V8_COHORT_TABLE,4,FALSE),VLOOKUP("GLOBAL",V8_COHORT_TABLE,4,FALSE))))</f>
        <v/>
      </c>
      <c r="Y220" s="15">
        <f>IFERROR(VLOOKUP(S220,V8_COHORT_TABLE,5,FALSE),IFERROR(VLOOKUP(P220&amp;"|"&amp;Q220&amp;"|ALL",V8_COHORT_TABLE,5,FALSE),IFERROR(VLOOKUP(P220&amp;"|ALL|ALL",V8_COHORT_TABLE,5,FALSE),VLOOKUP("GLOBAL",V8_COHORT_TABLE,5,FALSE))))</f>
        <v/>
      </c>
      <c r="Z220" s="15">
        <f>V220+W220/(1+EXP(-(U220-X220)/Y220))</f>
        <v/>
      </c>
      <c r="AA220" s="16">
        <f>1-(1-Z220)^12</f>
        <v/>
      </c>
      <c r="AB220" s="14">
        <f>IF(K220&lt;=V8_AGE_KNOT_X_0,V8_AGE_KNOT_Y_0,IF(K220&gt;=V8_AGE_KNOT_X_5,V8_AGE_KNOT_Y_5,IF(K220&lt;=V8_AGE_KNOT_X_1,V8_AGE_KNOT_Y_0+(K220-V8_AGE_KNOT_X_0)/(V8_AGE_KNOT_X_1-V8_AGE_KNOT_X_0)*(V8_AGE_KNOT_Y_1-V8_AGE_KNOT_Y_0),IF(K220&lt;=V8_AGE_KNOT_X_2,V8_AGE_KNOT_Y_1+(K220-V8_AGE_KNOT_X_1)/(V8_AGE_KNOT_X_2-V8_AGE_KNOT_X_1)*(V8_AGE_KNOT_Y_2-V8_AGE_KNOT_Y_1),IF(K220&lt;=V8_AGE_KNOT_X_3,V8_AGE_KNOT_Y_2+(K220-V8_AGE_KNOT_X_2)/(V8_AGE_KNOT_X_3-V8_AGE_KNOT_X_2)*(V8_AGE_KNOT_Y_3-V8_AGE_KNOT_Y_2),IF(K220&lt;=V8_AGE_KNOT_X_4,V8_AGE_KNOT_Y_3+(K220-V8_AGE_KNOT_X_3)/(V8_AGE_KNOT_X_4-V8_AGE_KNOT_X_3)*(V8_AGE_KNOT_Y_4-V8_AGE_KNOT_Y_3),V8_AGE_KNOT_Y_4+(K220-V8_AGE_KNOT_X_4)/(V8_AGE_KNOT_X_5-V8_AGE_KNOT_X_4)*(V8_AGE_KNOT_Y_5-V8_AGE_KNOT_Y_4)))))))</f>
        <v/>
      </c>
      <c r="AC220" s="14">
        <f>IF(IF(OR(L220="",NOT(ISNUMBER(L220))),360,MAX(0,MIN(480,(INT(L220/100)-INT(VALUE(F220)/100))*12+MOD(L220,100)-MOD(VALUE(F220),100))))&gt;0,1+V8_MTY_AMP*MAX(0,(V8_MTY_CUTOFF-(IF(OR(L220="",NOT(ISNUMBER(L220))),360,MAX(0,MIN(480,(INT(L220/100)-INT(VALUE(F220)/100))*12+MOD(L220,100)-MOD(VALUE(F220),100))))))/V8_MTY_CUTOFF),1)</f>
        <v/>
      </c>
      <c r="AD220" s="14">
        <f>IF(AND(IF(OR(M220="",NOT(ISNUMBER(M220))),0,MAX(0,MIN(24,(INT(VALUE(F220)/100)-INT(M220/100))*12+MOD(VALUE(F220),100)-MOD(M220,100))))&gt;0,IF(OR(M220="",NOT(ISNUMBER(M220))),0,MAX(0,MIN(24,(INT(VALUE(F220)/100)-INT(M220/100))*12+MOD(VALUE(F220),100)-MOD(M220,100))))&lt;=12),1+V8_LOCKOUT_AMP*EXP(-(IF(OR(M220="",NOT(ISNUMBER(M220))),0,MAX(0,MIN(24,(INT(VALUE(F220)/100)-INT(M220/100))*12+MOD(VALUE(F220),100)-MOD(M220,100)))))/V8_LOCKOUT_TAU),1)</f>
        <v/>
      </c>
      <c r="AE220" s="14">
        <f>MAX(V8_BURN_FLOOR,1-V8_BURN_SLOPE*MIN(1,MAX(0,O220)))</f>
        <v/>
      </c>
      <c r="AF220" s="15">
        <f>MIN(Z220*AB220*AC220*AD220*AE220,0.2)</f>
        <v/>
      </c>
      <c r="AG220" s="16">
        <f>1-(1-AF220)^12</f>
        <v/>
      </c>
    </row>
    <row r="221">
      <c r="A221" s="2" t="inlineStr">
        <is>
          <t>000008322086</t>
        </is>
      </c>
      <c r="B221" t="inlineStr">
        <is>
          <t>232</t>
        </is>
      </c>
      <c r="C221" t="inlineStr">
        <is>
          <t>RP</t>
        </is>
      </c>
      <c r="D221" t="inlineStr">
        <is>
          <t>KEYBANK NATIONAL ASSOCIATION</t>
        </is>
      </c>
      <c r="E221" t="n">
        <v>2019</v>
      </c>
      <c r="F221" t="inlineStr">
        <is>
          <t>202602</t>
        </is>
      </c>
      <c r="G221" s="8" t="n">
        <v>18452989.41</v>
      </c>
      <c r="H221" s="12" t="n">
        <v>3.04</v>
      </c>
      <c r="I221" s="13" t="n">
        <v>447</v>
      </c>
      <c r="J221" s="13" t="n">
        <v>6</v>
      </c>
      <c r="K221" t="n">
        <v>77</v>
      </c>
      <c r="L221" t="n">
        <v>205410</v>
      </c>
      <c r="M221" t="inlineStr"/>
      <c r="N221" t="n">
        <v>0</v>
      </c>
      <c r="O221" s="14" t="n">
        <v>0</v>
      </c>
      <c r="P221">
        <f>IF(ISNUMBER(SEARCH("232",B221)),"232",IF(ISNUMBER(SEARCH("538",B221)),"538",IF(ISNUMBER(SEARCH("223a7",B221)),"223a7",IF(ISNUMBER(SEARCH("223f",B221)),"223f","OTHER"))))</f>
        <v/>
      </c>
      <c r="Q221">
        <f>IF(UPPER(C221)="NC","NC","RP")</f>
        <v/>
      </c>
      <c r="R221">
        <f>IF(G221&lt;5000000,"small",IF(G221&lt;25000000,"medium","large"))</f>
        <v/>
      </c>
      <c r="S221">
        <f>P221&amp;"|"&amp;Q221&amp;"|"&amp;R221</f>
        <v/>
      </c>
      <c r="T221" s="13">
        <f>H221*100-I221</f>
        <v/>
      </c>
      <c r="U221" s="13">
        <f>T221-12.5*(J221+1)</f>
        <v/>
      </c>
      <c r="V221" s="15">
        <f>IFERROR(VLOOKUP(S221,V8_COHORT_TABLE,2,FALSE),IFERROR(VLOOKUP(P221&amp;"|"&amp;Q221&amp;"|ALL",V8_COHORT_TABLE,2,FALSE),IFERROR(VLOOKUP(P221&amp;"|ALL|ALL",V8_COHORT_TABLE,2,FALSE),VLOOKUP("GLOBAL",V8_COHORT_TABLE,2,FALSE))))</f>
        <v/>
      </c>
      <c r="W221" s="15">
        <f>IFERROR(VLOOKUP(S221,V8_COHORT_TABLE,3,FALSE),IFERROR(VLOOKUP(P221&amp;"|"&amp;Q221&amp;"|ALL",V8_COHORT_TABLE,3,FALSE),IFERROR(VLOOKUP(P221&amp;"|ALL|ALL",V8_COHORT_TABLE,3,FALSE),VLOOKUP("GLOBAL",V8_COHORT_TABLE,3,FALSE))))</f>
        <v/>
      </c>
      <c r="X221" s="15">
        <f>IFERROR(VLOOKUP(S221,V8_COHORT_TABLE,4,FALSE),IFERROR(VLOOKUP(P221&amp;"|"&amp;Q221&amp;"|ALL",V8_COHORT_TABLE,4,FALSE),IFERROR(VLOOKUP(P221&amp;"|ALL|ALL",V8_COHORT_TABLE,4,FALSE),VLOOKUP("GLOBAL",V8_COHORT_TABLE,4,FALSE))))</f>
        <v/>
      </c>
      <c r="Y221" s="15">
        <f>IFERROR(VLOOKUP(S221,V8_COHORT_TABLE,5,FALSE),IFERROR(VLOOKUP(P221&amp;"|"&amp;Q221&amp;"|ALL",V8_COHORT_TABLE,5,FALSE),IFERROR(VLOOKUP(P221&amp;"|ALL|ALL",V8_COHORT_TABLE,5,FALSE),VLOOKUP("GLOBAL",V8_COHORT_TABLE,5,FALSE))))</f>
        <v/>
      </c>
      <c r="Z221" s="15">
        <f>V221+W221/(1+EXP(-(U221-X221)/Y221))</f>
        <v/>
      </c>
      <c r="AA221" s="16">
        <f>1-(1-Z221)^12</f>
        <v/>
      </c>
      <c r="AB221" s="14">
        <f>IF(K221&lt;=V8_AGE_KNOT_X_0,V8_AGE_KNOT_Y_0,IF(K221&gt;=V8_AGE_KNOT_X_5,V8_AGE_KNOT_Y_5,IF(K221&lt;=V8_AGE_KNOT_X_1,V8_AGE_KNOT_Y_0+(K221-V8_AGE_KNOT_X_0)/(V8_AGE_KNOT_X_1-V8_AGE_KNOT_X_0)*(V8_AGE_KNOT_Y_1-V8_AGE_KNOT_Y_0),IF(K221&lt;=V8_AGE_KNOT_X_2,V8_AGE_KNOT_Y_1+(K221-V8_AGE_KNOT_X_1)/(V8_AGE_KNOT_X_2-V8_AGE_KNOT_X_1)*(V8_AGE_KNOT_Y_2-V8_AGE_KNOT_Y_1),IF(K221&lt;=V8_AGE_KNOT_X_3,V8_AGE_KNOT_Y_2+(K221-V8_AGE_KNOT_X_2)/(V8_AGE_KNOT_X_3-V8_AGE_KNOT_X_2)*(V8_AGE_KNOT_Y_3-V8_AGE_KNOT_Y_2),IF(K221&lt;=V8_AGE_KNOT_X_4,V8_AGE_KNOT_Y_3+(K221-V8_AGE_KNOT_X_3)/(V8_AGE_KNOT_X_4-V8_AGE_KNOT_X_3)*(V8_AGE_KNOT_Y_4-V8_AGE_KNOT_Y_3),V8_AGE_KNOT_Y_4+(K221-V8_AGE_KNOT_X_4)/(V8_AGE_KNOT_X_5-V8_AGE_KNOT_X_4)*(V8_AGE_KNOT_Y_5-V8_AGE_KNOT_Y_4)))))))</f>
        <v/>
      </c>
      <c r="AC221" s="14">
        <f>IF(IF(OR(L221="",NOT(ISNUMBER(L221))),360,MAX(0,MIN(480,(INT(L221/100)-INT(VALUE(F221)/100))*12+MOD(L221,100)-MOD(VALUE(F221),100))))&gt;0,1+V8_MTY_AMP*MAX(0,(V8_MTY_CUTOFF-(IF(OR(L221="",NOT(ISNUMBER(L221))),360,MAX(0,MIN(480,(INT(L221/100)-INT(VALUE(F221)/100))*12+MOD(L221,100)-MOD(VALUE(F221),100))))))/V8_MTY_CUTOFF),1)</f>
        <v/>
      </c>
      <c r="AD221" s="14">
        <f>IF(AND(IF(OR(M221="",NOT(ISNUMBER(M221))),0,MAX(0,MIN(24,(INT(VALUE(F221)/100)-INT(M221/100))*12+MOD(VALUE(F221),100)-MOD(M221,100))))&gt;0,IF(OR(M221="",NOT(ISNUMBER(M221))),0,MAX(0,MIN(24,(INT(VALUE(F221)/100)-INT(M221/100))*12+MOD(VALUE(F221),100)-MOD(M221,100))))&lt;=12),1+V8_LOCKOUT_AMP*EXP(-(IF(OR(M221="",NOT(ISNUMBER(M221))),0,MAX(0,MIN(24,(INT(VALUE(F221)/100)-INT(M221/100))*12+MOD(VALUE(F221),100)-MOD(M221,100)))))/V8_LOCKOUT_TAU),1)</f>
        <v/>
      </c>
      <c r="AE221" s="14">
        <f>MAX(V8_BURN_FLOOR,1-V8_BURN_SLOPE*MIN(1,MAX(0,O221)))</f>
        <v/>
      </c>
      <c r="AF221" s="15">
        <f>MIN(Z221*AB221*AC221*AD221*AE221,0.2)</f>
        <v/>
      </c>
      <c r="AG221" s="16">
        <f>1-(1-AF221)^12</f>
        <v/>
      </c>
    </row>
    <row r="222">
      <c r="A222" s="2" t="inlineStr">
        <is>
          <t>000008211161</t>
        </is>
      </c>
      <c r="B222" t="inlineStr">
        <is>
          <t>223f</t>
        </is>
      </c>
      <c r="C222" t="inlineStr">
        <is>
          <t>RP</t>
        </is>
      </c>
      <c r="D222" t="inlineStr">
        <is>
          <t>KEYBANK NATIONAL ASSOCIATION</t>
        </is>
      </c>
      <c r="E222" t="n">
        <v>2021</v>
      </c>
      <c r="F222" t="inlineStr">
        <is>
          <t>202602</t>
        </is>
      </c>
      <c r="G222" s="8" t="n">
        <v>25769713.74</v>
      </c>
      <c r="H222" s="12" t="n">
        <v>2.3</v>
      </c>
      <c r="I222" s="13" t="n">
        <v>447</v>
      </c>
      <c r="J222" s="13" t="n">
        <v>6</v>
      </c>
      <c r="K222" t="n">
        <v>50</v>
      </c>
      <c r="L222" t="n">
        <v>205701</v>
      </c>
      <c r="M222" t="inlineStr"/>
      <c r="N222" t="n">
        <v>0</v>
      </c>
      <c r="O222" s="14" t="n">
        <v>0</v>
      </c>
      <c r="P222">
        <f>IF(ISNUMBER(SEARCH("232",B222)),"232",IF(ISNUMBER(SEARCH("538",B222)),"538",IF(ISNUMBER(SEARCH("223a7",B222)),"223a7",IF(ISNUMBER(SEARCH("223f",B222)),"223f","OTHER"))))</f>
        <v/>
      </c>
      <c r="Q222">
        <f>IF(UPPER(C222)="NC","NC","RP")</f>
        <v/>
      </c>
      <c r="R222">
        <f>IF(G222&lt;5000000,"small",IF(G222&lt;25000000,"medium","large"))</f>
        <v/>
      </c>
      <c r="S222">
        <f>P222&amp;"|"&amp;Q222&amp;"|"&amp;R222</f>
        <v/>
      </c>
      <c r="T222" s="13">
        <f>H222*100-I222</f>
        <v/>
      </c>
      <c r="U222" s="13">
        <f>T222-12.5*(J222+1)</f>
        <v/>
      </c>
      <c r="V222" s="15">
        <f>IFERROR(VLOOKUP(S222,V8_COHORT_TABLE,2,FALSE),IFERROR(VLOOKUP(P222&amp;"|"&amp;Q222&amp;"|ALL",V8_COHORT_TABLE,2,FALSE),IFERROR(VLOOKUP(P222&amp;"|ALL|ALL",V8_COHORT_TABLE,2,FALSE),VLOOKUP("GLOBAL",V8_COHORT_TABLE,2,FALSE))))</f>
        <v/>
      </c>
      <c r="W222" s="15">
        <f>IFERROR(VLOOKUP(S222,V8_COHORT_TABLE,3,FALSE),IFERROR(VLOOKUP(P222&amp;"|"&amp;Q222&amp;"|ALL",V8_COHORT_TABLE,3,FALSE),IFERROR(VLOOKUP(P222&amp;"|ALL|ALL",V8_COHORT_TABLE,3,FALSE),VLOOKUP("GLOBAL",V8_COHORT_TABLE,3,FALSE))))</f>
        <v/>
      </c>
      <c r="X222" s="15">
        <f>IFERROR(VLOOKUP(S222,V8_COHORT_TABLE,4,FALSE),IFERROR(VLOOKUP(P222&amp;"|"&amp;Q222&amp;"|ALL",V8_COHORT_TABLE,4,FALSE),IFERROR(VLOOKUP(P222&amp;"|ALL|ALL",V8_COHORT_TABLE,4,FALSE),VLOOKUP("GLOBAL",V8_COHORT_TABLE,4,FALSE))))</f>
        <v/>
      </c>
      <c r="Y222" s="15">
        <f>IFERROR(VLOOKUP(S222,V8_COHORT_TABLE,5,FALSE),IFERROR(VLOOKUP(P222&amp;"|"&amp;Q222&amp;"|ALL",V8_COHORT_TABLE,5,FALSE),IFERROR(VLOOKUP(P222&amp;"|ALL|ALL",V8_COHORT_TABLE,5,FALSE),VLOOKUP("GLOBAL",V8_COHORT_TABLE,5,FALSE))))</f>
        <v/>
      </c>
      <c r="Z222" s="15">
        <f>V222+W222/(1+EXP(-(U222-X222)/Y222))</f>
        <v/>
      </c>
      <c r="AA222" s="16">
        <f>1-(1-Z222)^12</f>
        <v/>
      </c>
      <c r="AB222" s="14">
        <f>IF(K222&lt;=V8_AGE_KNOT_X_0,V8_AGE_KNOT_Y_0,IF(K222&gt;=V8_AGE_KNOT_X_5,V8_AGE_KNOT_Y_5,IF(K222&lt;=V8_AGE_KNOT_X_1,V8_AGE_KNOT_Y_0+(K222-V8_AGE_KNOT_X_0)/(V8_AGE_KNOT_X_1-V8_AGE_KNOT_X_0)*(V8_AGE_KNOT_Y_1-V8_AGE_KNOT_Y_0),IF(K222&lt;=V8_AGE_KNOT_X_2,V8_AGE_KNOT_Y_1+(K222-V8_AGE_KNOT_X_1)/(V8_AGE_KNOT_X_2-V8_AGE_KNOT_X_1)*(V8_AGE_KNOT_Y_2-V8_AGE_KNOT_Y_1),IF(K222&lt;=V8_AGE_KNOT_X_3,V8_AGE_KNOT_Y_2+(K222-V8_AGE_KNOT_X_2)/(V8_AGE_KNOT_X_3-V8_AGE_KNOT_X_2)*(V8_AGE_KNOT_Y_3-V8_AGE_KNOT_Y_2),IF(K222&lt;=V8_AGE_KNOT_X_4,V8_AGE_KNOT_Y_3+(K222-V8_AGE_KNOT_X_3)/(V8_AGE_KNOT_X_4-V8_AGE_KNOT_X_3)*(V8_AGE_KNOT_Y_4-V8_AGE_KNOT_Y_3),V8_AGE_KNOT_Y_4+(K222-V8_AGE_KNOT_X_4)/(V8_AGE_KNOT_X_5-V8_AGE_KNOT_X_4)*(V8_AGE_KNOT_Y_5-V8_AGE_KNOT_Y_4)))))))</f>
        <v/>
      </c>
      <c r="AC222" s="14">
        <f>IF(IF(OR(L222="",NOT(ISNUMBER(L222))),360,MAX(0,MIN(480,(INT(L222/100)-INT(VALUE(F222)/100))*12+MOD(L222,100)-MOD(VALUE(F222),100))))&gt;0,1+V8_MTY_AMP*MAX(0,(V8_MTY_CUTOFF-(IF(OR(L222="",NOT(ISNUMBER(L222))),360,MAX(0,MIN(480,(INT(L222/100)-INT(VALUE(F222)/100))*12+MOD(L222,100)-MOD(VALUE(F222),100))))))/V8_MTY_CUTOFF),1)</f>
        <v/>
      </c>
      <c r="AD222" s="14">
        <f>IF(AND(IF(OR(M222="",NOT(ISNUMBER(M222))),0,MAX(0,MIN(24,(INT(VALUE(F222)/100)-INT(M222/100))*12+MOD(VALUE(F222),100)-MOD(M222,100))))&gt;0,IF(OR(M222="",NOT(ISNUMBER(M222))),0,MAX(0,MIN(24,(INT(VALUE(F222)/100)-INT(M222/100))*12+MOD(VALUE(F222),100)-MOD(M222,100))))&lt;=12),1+V8_LOCKOUT_AMP*EXP(-(IF(OR(M222="",NOT(ISNUMBER(M222))),0,MAX(0,MIN(24,(INT(VALUE(F222)/100)-INT(M222/100))*12+MOD(VALUE(F222),100)-MOD(M222,100)))))/V8_LOCKOUT_TAU),1)</f>
        <v/>
      </c>
      <c r="AE222" s="14">
        <f>MAX(V8_BURN_FLOOR,1-V8_BURN_SLOPE*MIN(1,MAX(0,O222)))</f>
        <v/>
      </c>
      <c r="AF222" s="15">
        <f>MIN(Z222*AB222*AC222*AD222*AE222,0.2)</f>
        <v/>
      </c>
      <c r="AG222" s="16">
        <f>1-(1-AF222)^12</f>
        <v/>
      </c>
    </row>
    <row r="223">
      <c r="A223" s="2" t="inlineStr">
        <is>
          <t>000010535280</t>
        </is>
      </c>
      <c r="B223" t="inlineStr">
        <is>
          <t>221d4</t>
        </is>
      </c>
      <c r="C223" t="inlineStr">
        <is>
          <t>NC</t>
        </is>
      </c>
      <c r="D223" t="inlineStr">
        <is>
          <t>KEYBANK NATIONAL ASSOCIATION</t>
        </is>
      </c>
      <c r="E223" t="n">
        <v>2019</v>
      </c>
      <c r="F223" t="inlineStr">
        <is>
          <t>202602</t>
        </is>
      </c>
      <c r="G223" s="8" t="n">
        <v>47013276.32</v>
      </c>
      <c r="H223" s="12" t="n">
        <v>4.53</v>
      </c>
      <c r="I223" s="13" t="n">
        <v>447</v>
      </c>
      <c r="J223" s="13" t="n">
        <v>6</v>
      </c>
      <c r="K223" t="n">
        <v>81</v>
      </c>
      <c r="L223" t="n">
        <v>206106</v>
      </c>
      <c r="M223" t="inlineStr"/>
      <c r="N223" t="n">
        <v>3</v>
      </c>
      <c r="O223" s="14" t="n">
        <v>0.03703703703703703</v>
      </c>
      <c r="P223">
        <f>IF(ISNUMBER(SEARCH("232",B223)),"232",IF(ISNUMBER(SEARCH("538",B223)),"538",IF(ISNUMBER(SEARCH("223a7",B223)),"223a7",IF(ISNUMBER(SEARCH("223f",B223)),"223f","OTHER"))))</f>
        <v/>
      </c>
      <c r="Q223">
        <f>IF(UPPER(C223)="NC","NC","RP")</f>
        <v/>
      </c>
      <c r="R223">
        <f>IF(G223&lt;5000000,"small",IF(G223&lt;25000000,"medium","large"))</f>
        <v/>
      </c>
      <c r="S223">
        <f>P223&amp;"|"&amp;Q223&amp;"|"&amp;R223</f>
        <v/>
      </c>
      <c r="T223" s="13">
        <f>H223*100-I223</f>
        <v/>
      </c>
      <c r="U223" s="13">
        <f>T223-12.5*(J223+1)</f>
        <v/>
      </c>
      <c r="V223" s="15">
        <f>IFERROR(VLOOKUP(S223,V8_COHORT_TABLE,2,FALSE),IFERROR(VLOOKUP(P223&amp;"|"&amp;Q223&amp;"|ALL",V8_COHORT_TABLE,2,FALSE),IFERROR(VLOOKUP(P223&amp;"|ALL|ALL",V8_COHORT_TABLE,2,FALSE),VLOOKUP("GLOBAL",V8_COHORT_TABLE,2,FALSE))))</f>
        <v/>
      </c>
      <c r="W223" s="15">
        <f>IFERROR(VLOOKUP(S223,V8_COHORT_TABLE,3,FALSE),IFERROR(VLOOKUP(P223&amp;"|"&amp;Q223&amp;"|ALL",V8_COHORT_TABLE,3,FALSE),IFERROR(VLOOKUP(P223&amp;"|ALL|ALL",V8_COHORT_TABLE,3,FALSE),VLOOKUP("GLOBAL",V8_COHORT_TABLE,3,FALSE))))</f>
        <v/>
      </c>
      <c r="X223" s="15">
        <f>IFERROR(VLOOKUP(S223,V8_COHORT_TABLE,4,FALSE),IFERROR(VLOOKUP(P223&amp;"|"&amp;Q223&amp;"|ALL",V8_COHORT_TABLE,4,FALSE),IFERROR(VLOOKUP(P223&amp;"|ALL|ALL",V8_COHORT_TABLE,4,FALSE),VLOOKUP("GLOBAL",V8_COHORT_TABLE,4,FALSE))))</f>
        <v/>
      </c>
      <c r="Y223" s="15">
        <f>IFERROR(VLOOKUP(S223,V8_COHORT_TABLE,5,FALSE),IFERROR(VLOOKUP(P223&amp;"|"&amp;Q223&amp;"|ALL",V8_COHORT_TABLE,5,FALSE),IFERROR(VLOOKUP(P223&amp;"|ALL|ALL",V8_COHORT_TABLE,5,FALSE),VLOOKUP("GLOBAL",V8_COHORT_TABLE,5,FALSE))))</f>
        <v/>
      </c>
      <c r="Z223" s="15">
        <f>V223+W223/(1+EXP(-(U223-X223)/Y223))</f>
        <v/>
      </c>
      <c r="AA223" s="16">
        <f>1-(1-Z223)^12</f>
        <v/>
      </c>
      <c r="AB223" s="14">
        <f>IF(K223&lt;=V8_AGE_KNOT_X_0,V8_AGE_KNOT_Y_0,IF(K223&gt;=V8_AGE_KNOT_X_5,V8_AGE_KNOT_Y_5,IF(K223&lt;=V8_AGE_KNOT_X_1,V8_AGE_KNOT_Y_0+(K223-V8_AGE_KNOT_X_0)/(V8_AGE_KNOT_X_1-V8_AGE_KNOT_X_0)*(V8_AGE_KNOT_Y_1-V8_AGE_KNOT_Y_0),IF(K223&lt;=V8_AGE_KNOT_X_2,V8_AGE_KNOT_Y_1+(K223-V8_AGE_KNOT_X_1)/(V8_AGE_KNOT_X_2-V8_AGE_KNOT_X_1)*(V8_AGE_KNOT_Y_2-V8_AGE_KNOT_Y_1),IF(K223&lt;=V8_AGE_KNOT_X_3,V8_AGE_KNOT_Y_2+(K223-V8_AGE_KNOT_X_2)/(V8_AGE_KNOT_X_3-V8_AGE_KNOT_X_2)*(V8_AGE_KNOT_Y_3-V8_AGE_KNOT_Y_2),IF(K223&lt;=V8_AGE_KNOT_X_4,V8_AGE_KNOT_Y_3+(K223-V8_AGE_KNOT_X_3)/(V8_AGE_KNOT_X_4-V8_AGE_KNOT_X_3)*(V8_AGE_KNOT_Y_4-V8_AGE_KNOT_Y_3),V8_AGE_KNOT_Y_4+(K223-V8_AGE_KNOT_X_4)/(V8_AGE_KNOT_X_5-V8_AGE_KNOT_X_4)*(V8_AGE_KNOT_Y_5-V8_AGE_KNOT_Y_4)))))))</f>
        <v/>
      </c>
      <c r="AC223" s="14">
        <f>IF(IF(OR(L223="",NOT(ISNUMBER(L223))),360,MAX(0,MIN(480,(INT(L223/100)-INT(VALUE(F223)/100))*12+MOD(L223,100)-MOD(VALUE(F223),100))))&gt;0,1+V8_MTY_AMP*MAX(0,(V8_MTY_CUTOFF-(IF(OR(L223="",NOT(ISNUMBER(L223))),360,MAX(0,MIN(480,(INT(L223/100)-INT(VALUE(F223)/100))*12+MOD(L223,100)-MOD(VALUE(F223),100))))))/V8_MTY_CUTOFF),1)</f>
        <v/>
      </c>
      <c r="AD223" s="14">
        <f>IF(AND(IF(OR(M223="",NOT(ISNUMBER(M223))),0,MAX(0,MIN(24,(INT(VALUE(F223)/100)-INT(M223/100))*12+MOD(VALUE(F223),100)-MOD(M223,100))))&gt;0,IF(OR(M223="",NOT(ISNUMBER(M223))),0,MAX(0,MIN(24,(INT(VALUE(F223)/100)-INT(M223/100))*12+MOD(VALUE(F223),100)-MOD(M223,100))))&lt;=12),1+V8_LOCKOUT_AMP*EXP(-(IF(OR(M223="",NOT(ISNUMBER(M223))),0,MAX(0,MIN(24,(INT(VALUE(F223)/100)-INT(M223/100))*12+MOD(VALUE(F223),100)-MOD(M223,100)))))/V8_LOCKOUT_TAU),1)</f>
        <v/>
      </c>
      <c r="AE223" s="14">
        <f>MAX(V8_BURN_FLOOR,1-V8_BURN_SLOPE*MIN(1,MAX(0,O223)))</f>
        <v/>
      </c>
      <c r="AF223" s="15">
        <f>MIN(Z223*AB223*AC223*AD223*AE223,0.2)</f>
        <v/>
      </c>
      <c r="AG223" s="16">
        <f>1-(1-AF223)^12</f>
        <v/>
      </c>
    </row>
    <row r="224">
      <c r="A224" s="2" t="inlineStr">
        <is>
          <t>000006122173</t>
        </is>
      </c>
      <c r="B224" t="inlineStr">
        <is>
          <t>232</t>
        </is>
      </c>
      <c r="C224" t="inlineStr">
        <is>
          <t>RP</t>
        </is>
      </c>
      <c r="D224" t="inlineStr">
        <is>
          <t>KEYBANK NATIONAL ASSOCIATION</t>
        </is>
      </c>
      <c r="E224" t="n">
        <v>2020</v>
      </c>
      <c r="F224" t="inlineStr">
        <is>
          <t>202602</t>
        </is>
      </c>
      <c r="G224" s="8" t="n">
        <v>5946077.12</v>
      </c>
      <c r="H224" s="12" t="n">
        <v>2.33</v>
      </c>
      <c r="I224" s="13" t="n">
        <v>447</v>
      </c>
      <c r="J224" s="13" t="n">
        <v>5</v>
      </c>
      <c r="K224" t="n">
        <v>64</v>
      </c>
      <c r="L224" t="n">
        <v>205011</v>
      </c>
      <c r="M224" t="inlineStr"/>
      <c r="N224" t="n">
        <v>0</v>
      </c>
      <c r="O224" s="14" t="n">
        <v>0</v>
      </c>
      <c r="P224">
        <f>IF(ISNUMBER(SEARCH("232",B224)),"232",IF(ISNUMBER(SEARCH("538",B224)),"538",IF(ISNUMBER(SEARCH("223a7",B224)),"223a7",IF(ISNUMBER(SEARCH("223f",B224)),"223f","OTHER"))))</f>
        <v/>
      </c>
      <c r="Q224">
        <f>IF(UPPER(C224)="NC","NC","RP")</f>
        <v/>
      </c>
      <c r="R224">
        <f>IF(G224&lt;5000000,"small",IF(G224&lt;25000000,"medium","large"))</f>
        <v/>
      </c>
      <c r="S224">
        <f>P224&amp;"|"&amp;Q224&amp;"|"&amp;R224</f>
        <v/>
      </c>
      <c r="T224" s="13">
        <f>H224*100-I224</f>
        <v/>
      </c>
      <c r="U224" s="13">
        <f>T224-12.5*(J224+1)</f>
        <v/>
      </c>
      <c r="V224" s="15">
        <f>IFERROR(VLOOKUP(S224,V8_COHORT_TABLE,2,FALSE),IFERROR(VLOOKUP(P224&amp;"|"&amp;Q224&amp;"|ALL",V8_COHORT_TABLE,2,FALSE),IFERROR(VLOOKUP(P224&amp;"|ALL|ALL",V8_COHORT_TABLE,2,FALSE),VLOOKUP("GLOBAL",V8_COHORT_TABLE,2,FALSE))))</f>
        <v/>
      </c>
      <c r="W224" s="15">
        <f>IFERROR(VLOOKUP(S224,V8_COHORT_TABLE,3,FALSE),IFERROR(VLOOKUP(P224&amp;"|"&amp;Q224&amp;"|ALL",V8_COHORT_TABLE,3,FALSE),IFERROR(VLOOKUP(P224&amp;"|ALL|ALL",V8_COHORT_TABLE,3,FALSE),VLOOKUP("GLOBAL",V8_COHORT_TABLE,3,FALSE))))</f>
        <v/>
      </c>
      <c r="X224" s="15">
        <f>IFERROR(VLOOKUP(S224,V8_COHORT_TABLE,4,FALSE),IFERROR(VLOOKUP(P224&amp;"|"&amp;Q224&amp;"|ALL",V8_COHORT_TABLE,4,FALSE),IFERROR(VLOOKUP(P224&amp;"|ALL|ALL",V8_COHORT_TABLE,4,FALSE),VLOOKUP("GLOBAL",V8_COHORT_TABLE,4,FALSE))))</f>
        <v/>
      </c>
      <c r="Y224" s="15">
        <f>IFERROR(VLOOKUP(S224,V8_COHORT_TABLE,5,FALSE),IFERROR(VLOOKUP(P224&amp;"|"&amp;Q224&amp;"|ALL",V8_COHORT_TABLE,5,FALSE),IFERROR(VLOOKUP(P224&amp;"|ALL|ALL",V8_COHORT_TABLE,5,FALSE),VLOOKUP("GLOBAL",V8_COHORT_TABLE,5,FALSE))))</f>
        <v/>
      </c>
      <c r="Z224" s="15">
        <f>V224+W224/(1+EXP(-(U224-X224)/Y224))</f>
        <v/>
      </c>
      <c r="AA224" s="16">
        <f>1-(1-Z224)^12</f>
        <v/>
      </c>
      <c r="AB224" s="14">
        <f>IF(K224&lt;=V8_AGE_KNOT_X_0,V8_AGE_KNOT_Y_0,IF(K224&gt;=V8_AGE_KNOT_X_5,V8_AGE_KNOT_Y_5,IF(K224&lt;=V8_AGE_KNOT_X_1,V8_AGE_KNOT_Y_0+(K224-V8_AGE_KNOT_X_0)/(V8_AGE_KNOT_X_1-V8_AGE_KNOT_X_0)*(V8_AGE_KNOT_Y_1-V8_AGE_KNOT_Y_0),IF(K224&lt;=V8_AGE_KNOT_X_2,V8_AGE_KNOT_Y_1+(K224-V8_AGE_KNOT_X_1)/(V8_AGE_KNOT_X_2-V8_AGE_KNOT_X_1)*(V8_AGE_KNOT_Y_2-V8_AGE_KNOT_Y_1),IF(K224&lt;=V8_AGE_KNOT_X_3,V8_AGE_KNOT_Y_2+(K224-V8_AGE_KNOT_X_2)/(V8_AGE_KNOT_X_3-V8_AGE_KNOT_X_2)*(V8_AGE_KNOT_Y_3-V8_AGE_KNOT_Y_2),IF(K224&lt;=V8_AGE_KNOT_X_4,V8_AGE_KNOT_Y_3+(K224-V8_AGE_KNOT_X_3)/(V8_AGE_KNOT_X_4-V8_AGE_KNOT_X_3)*(V8_AGE_KNOT_Y_4-V8_AGE_KNOT_Y_3),V8_AGE_KNOT_Y_4+(K224-V8_AGE_KNOT_X_4)/(V8_AGE_KNOT_X_5-V8_AGE_KNOT_X_4)*(V8_AGE_KNOT_Y_5-V8_AGE_KNOT_Y_4)))))))</f>
        <v/>
      </c>
      <c r="AC224" s="14">
        <f>IF(IF(OR(L224="",NOT(ISNUMBER(L224))),360,MAX(0,MIN(480,(INT(L224/100)-INT(VALUE(F224)/100))*12+MOD(L224,100)-MOD(VALUE(F224),100))))&gt;0,1+V8_MTY_AMP*MAX(0,(V8_MTY_CUTOFF-(IF(OR(L224="",NOT(ISNUMBER(L224))),360,MAX(0,MIN(480,(INT(L224/100)-INT(VALUE(F224)/100))*12+MOD(L224,100)-MOD(VALUE(F224),100))))))/V8_MTY_CUTOFF),1)</f>
        <v/>
      </c>
      <c r="AD224" s="14">
        <f>IF(AND(IF(OR(M224="",NOT(ISNUMBER(M224))),0,MAX(0,MIN(24,(INT(VALUE(F224)/100)-INT(M224/100))*12+MOD(VALUE(F224),100)-MOD(M224,100))))&gt;0,IF(OR(M224="",NOT(ISNUMBER(M224))),0,MAX(0,MIN(24,(INT(VALUE(F224)/100)-INT(M224/100))*12+MOD(VALUE(F224),100)-MOD(M224,100))))&lt;=12),1+V8_LOCKOUT_AMP*EXP(-(IF(OR(M224="",NOT(ISNUMBER(M224))),0,MAX(0,MIN(24,(INT(VALUE(F224)/100)-INT(M224/100))*12+MOD(VALUE(F224),100)-MOD(M224,100)))))/V8_LOCKOUT_TAU),1)</f>
        <v/>
      </c>
      <c r="AE224" s="14">
        <f>MAX(V8_BURN_FLOOR,1-V8_BURN_SLOPE*MIN(1,MAX(0,O224)))</f>
        <v/>
      </c>
      <c r="AF224" s="15">
        <f>MIN(Z224*AB224*AC224*AD224*AE224,0.2)</f>
        <v/>
      </c>
      <c r="AG224" s="16">
        <f>1-(1-AF224)^12</f>
        <v/>
      </c>
    </row>
    <row r="225">
      <c r="A225" s="2" t="inlineStr">
        <is>
          <t>000007322294</t>
        </is>
      </c>
      <c r="B225" t="inlineStr">
        <is>
          <t>232</t>
        </is>
      </c>
      <c r="C225" t="inlineStr">
        <is>
          <t>RP</t>
        </is>
      </c>
      <c r="D225" t="inlineStr">
        <is>
          <t>KEYBANK NATIONAL ASSOCIATION</t>
        </is>
      </c>
      <c r="E225" t="n">
        <v>2017</v>
      </c>
      <c r="F225" t="inlineStr">
        <is>
          <t>202602</t>
        </is>
      </c>
      <c r="G225" s="8" t="n">
        <v>8092221.61</v>
      </c>
      <c r="H225" s="12" t="n">
        <v>2.89</v>
      </c>
      <c r="I225" s="13" t="n">
        <v>447</v>
      </c>
      <c r="J225" s="13" t="n">
        <v>6</v>
      </c>
      <c r="K225" t="n">
        <v>106</v>
      </c>
      <c r="L225" t="n">
        <v>205205</v>
      </c>
      <c r="M225" t="inlineStr"/>
      <c r="N225" t="n">
        <v>0</v>
      </c>
      <c r="O225" s="14" t="n">
        <v>0</v>
      </c>
      <c r="P225">
        <f>IF(ISNUMBER(SEARCH("232",B225)),"232",IF(ISNUMBER(SEARCH("538",B225)),"538",IF(ISNUMBER(SEARCH("223a7",B225)),"223a7",IF(ISNUMBER(SEARCH("223f",B225)),"223f","OTHER"))))</f>
        <v/>
      </c>
      <c r="Q225">
        <f>IF(UPPER(C225)="NC","NC","RP")</f>
        <v/>
      </c>
      <c r="R225">
        <f>IF(G225&lt;5000000,"small",IF(G225&lt;25000000,"medium","large"))</f>
        <v/>
      </c>
      <c r="S225">
        <f>P225&amp;"|"&amp;Q225&amp;"|"&amp;R225</f>
        <v/>
      </c>
      <c r="T225" s="13">
        <f>H225*100-I225</f>
        <v/>
      </c>
      <c r="U225" s="13">
        <f>T225-12.5*(J225+1)</f>
        <v/>
      </c>
      <c r="V225" s="15">
        <f>IFERROR(VLOOKUP(S225,V8_COHORT_TABLE,2,FALSE),IFERROR(VLOOKUP(P225&amp;"|"&amp;Q225&amp;"|ALL",V8_COHORT_TABLE,2,FALSE),IFERROR(VLOOKUP(P225&amp;"|ALL|ALL",V8_COHORT_TABLE,2,FALSE),VLOOKUP("GLOBAL",V8_COHORT_TABLE,2,FALSE))))</f>
        <v/>
      </c>
      <c r="W225" s="15">
        <f>IFERROR(VLOOKUP(S225,V8_COHORT_TABLE,3,FALSE),IFERROR(VLOOKUP(P225&amp;"|"&amp;Q225&amp;"|ALL",V8_COHORT_TABLE,3,FALSE),IFERROR(VLOOKUP(P225&amp;"|ALL|ALL",V8_COHORT_TABLE,3,FALSE),VLOOKUP("GLOBAL",V8_COHORT_TABLE,3,FALSE))))</f>
        <v/>
      </c>
      <c r="X225" s="15">
        <f>IFERROR(VLOOKUP(S225,V8_COHORT_TABLE,4,FALSE),IFERROR(VLOOKUP(P225&amp;"|"&amp;Q225&amp;"|ALL",V8_COHORT_TABLE,4,FALSE),IFERROR(VLOOKUP(P225&amp;"|ALL|ALL",V8_COHORT_TABLE,4,FALSE),VLOOKUP("GLOBAL",V8_COHORT_TABLE,4,FALSE))))</f>
        <v/>
      </c>
      <c r="Y225" s="15">
        <f>IFERROR(VLOOKUP(S225,V8_COHORT_TABLE,5,FALSE),IFERROR(VLOOKUP(P225&amp;"|"&amp;Q225&amp;"|ALL",V8_COHORT_TABLE,5,FALSE),IFERROR(VLOOKUP(P225&amp;"|ALL|ALL",V8_COHORT_TABLE,5,FALSE),VLOOKUP("GLOBAL",V8_COHORT_TABLE,5,FALSE))))</f>
        <v/>
      </c>
      <c r="Z225" s="15">
        <f>V225+W225/(1+EXP(-(U225-X225)/Y225))</f>
        <v/>
      </c>
      <c r="AA225" s="16">
        <f>1-(1-Z225)^12</f>
        <v/>
      </c>
      <c r="AB225" s="14">
        <f>IF(K225&lt;=V8_AGE_KNOT_X_0,V8_AGE_KNOT_Y_0,IF(K225&gt;=V8_AGE_KNOT_X_5,V8_AGE_KNOT_Y_5,IF(K225&lt;=V8_AGE_KNOT_X_1,V8_AGE_KNOT_Y_0+(K225-V8_AGE_KNOT_X_0)/(V8_AGE_KNOT_X_1-V8_AGE_KNOT_X_0)*(V8_AGE_KNOT_Y_1-V8_AGE_KNOT_Y_0),IF(K225&lt;=V8_AGE_KNOT_X_2,V8_AGE_KNOT_Y_1+(K225-V8_AGE_KNOT_X_1)/(V8_AGE_KNOT_X_2-V8_AGE_KNOT_X_1)*(V8_AGE_KNOT_Y_2-V8_AGE_KNOT_Y_1),IF(K225&lt;=V8_AGE_KNOT_X_3,V8_AGE_KNOT_Y_2+(K225-V8_AGE_KNOT_X_2)/(V8_AGE_KNOT_X_3-V8_AGE_KNOT_X_2)*(V8_AGE_KNOT_Y_3-V8_AGE_KNOT_Y_2),IF(K225&lt;=V8_AGE_KNOT_X_4,V8_AGE_KNOT_Y_3+(K225-V8_AGE_KNOT_X_3)/(V8_AGE_KNOT_X_4-V8_AGE_KNOT_X_3)*(V8_AGE_KNOT_Y_4-V8_AGE_KNOT_Y_3),V8_AGE_KNOT_Y_4+(K225-V8_AGE_KNOT_X_4)/(V8_AGE_KNOT_X_5-V8_AGE_KNOT_X_4)*(V8_AGE_KNOT_Y_5-V8_AGE_KNOT_Y_4)))))))</f>
        <v/>
      </c>
      <c r="AC225" s="14">
        <f>IF(IF(OR(L225="",NOT(ISNUMBER(L225))),360,MAX(0,MIN(480,(INT(L225/100)-INT(VALUE(F225)/100))*12+MOD(L225,100)-MOD(VALUE(F225),100))))&gt;0,1+V8_MTY_AMP*MAX(0,(V8_MTY_CUTOFF-(IF(OR(L225="",NOT(ISNUMBER(L225))),360,MAX(0,MIN(480,(INT(L225/100)-INT(VALUE(F225)/100))*12+MOD(L225,100)-MOD(VALUE(F225),100))))))/V8_MTY_CUTOFF),1)</f>
        <v/>
      </c>
      <c r="AD225" s="14">
        <f>IF(AND(IF(OR(M225="",NOT(ISNUMBER(M225))),0,MAX(0,MIN(24,(INT(VALUE(F225)/100)-INT(M225/100))*12+MOD(VALUE(F225),100)-MOD(M225,100))))&gt;0,IF(OR(M225="",NOT(ISNUMBER(M225))),0,MAX(0,MIN(24,(INT(VALUE(F225)/100)-INT(M225/100))*12+MOD(VALUE(F225),100)-MOD(M225,100))))&lt;=12),1+V8_LOCKOUT_AMP*EXP(-(IF(OR(M225="",NOT(ISNUMBER(M225))),0,MAX(0,MIN(24,(INT(VALUE(F225)/100)-INT(M225/100))*12+MOD(VALUE(F225),100)-MOD(M225,100)))))/V8_LOCKOUT_TAU),1)</f>
        <v/>
      </c>
      <c r="AE225" s="14">
        <f>MAX(V8_BURN_FLOOR,1-V8_BURN_SLOPE*MIN(1,MAX(0,O225)))</f>
        <v/>
      </c>
      <c r="AF225" s="15">
        <f>MIN(Z225*AB225*AC225*AD225*AE225,0.2)</f>
        <v/>
      </c>
      <c r="AG225" s="16">
        <f>1-(1-AF225)^12</f>
        <v/>
      </c>
    </row>
    <row r="226">
      <c r="A226" s="2" t="inlineStr">
        <is>
          <t>000008322073</t>
        </is>
      </c>
      <c r="B226" t="inlineStr">
        <is>
          <t>232</t>
        </is>
      </c>
      <c r="C226" t="inlineStr">
        <is>
          <t>RP</t>
        </is>
      </c>
      <c r="D226" t="inlineStr">
        <is>
          <t>KEYBANK NATIONAL ASSOCIATION</t>
        </is>
      </c>
      <c r="E226" t="n">
        <v>2019</v>
      </c>
      <c r="F226" t="inlineStr">
        <is>
          <t>202602</t>
        </is>
      </c>
      <c r="G226" s="8" t="n">
        <v>4571894.11</v>
      </c>
      <c r="H226" s="12" t="n">
        <v>3.98</v>
      </c>
      <c r="I226" s="13" t="n">
        <v>447</v>
      </c>
      <c r="J226" s="13" t="n">
        <v>4</v>
      </c>
      <c r="K226" t="n">
        <v>82</v>
      </c>
      <c r="L226" t="n">
        <v>204905</v>
      </c>
      <c r="M226" t="inlineStr"/>
      <c r="N226" t="n">
        <v>30</v>
      </c>
      <c r="O226" s="14" t="n">
        <v>0.3658536585365854</v>
      </c>
      <c r="P226">
        <f>IF(ISNUMBER(SEARCH("232",B226)),"232",IF(ISNUMBER(SEARCH("538",B226)),"538",IF(ISNUMBER(SEARCH("223a7",B226)),"223a7",IF(ISNUMBER(SEARCH("223f",B226)),"223f","OTHER"))))</f>
        <v/>
      </c>
      <c r="Q226">
        <f>IF(UPPER(C226)="NC","NC","RP")</f>
        <v/>
      </c>
      <c r="R226">
        <f>IF(G226&lt;5000000,"small",IF(G226&lt;25000000,"medium","large"))</f>
        <v/>
      </c>
      <c r="S226">
        <f>P226&amp;"|"&amp;Q226&amp;"|"&amp;R226</f>
        <v/>
      </c>
      <c r="T226" s="13">
        <f>H226*100-I226</f>
        <v/>
      </c>
      <c r="U226" s="13">
        <f>T226-12.5*(J226+1)</f>
        <v/>
      </c>
      <c r="V226" s="15">
        <f>IFERROR(VLOOKUP(S226,V8_COHORT_TABLE,2,FALSE),IFERROR(VLOOKUP(P226&amp;"|"&amp;Q226&amp;"|ALL",V8_COHORT_TABLE,2,FALSE),IFERROR(VLOOKUP(P226&amp;"|ALL|ALL",V8_COHORT_TABLE,2,FALSE),VLOOKUP("GLOBAL",V8_COHORT_TABLE,2,FALSE))))</f>
        <v/>
      </c>
      <c r="W226" s="15">
        <f>IFERROR(VLOOKUP(S226,V8_COHORT_TABLE,3,FALSE),IFERROR(VLOOKUP(P226&amp;"|"&amp;Q226&amp;"|ALL",V8_COHORT_TABLE,3,FALSE),IFERROR(VLOOKUP(P226&amp;"|ALL|ALL",V8_COHORT_TABLE,3,FALSE),VLOOKUP("GLOBAL",V8_COHORT_TABLE,3,FALSE))))</f>
        <v/>
      </c>
      <c r="X226" s="15">
        <f>IFERROR(VLOOKUP(S226,V8_COHORT_TABLE,4,FALSE),IFERROR(VLOOKUP(P226&amp;"|"&amp;Q226&amp;"|ALL",V8_COHORT_TABLE,4,FALSE),IFERROR(VLOOKUP(P226&amp;"|ALL|ALL",V8_COHORT_TABLE,4,FALSE),VLOOKUP("GLOBAL",V8_COHORT_TABLE,4,FALSE))))</f>
        <v/>
      </c>
      <c r="Y226" s="15">
        <f>IFERROR(VLOOKUP(S226,V8_COHORT_TABLE,5,FALSE),IFERROR(VLOOKUP(P226&amp;"|"&amp;Q226&amp;"|ALL",V8_COHORT_TABLE,5,FALSE),IFERROR(VLOOKUP(P226&amp;"|ALL|ALL",V8_COHORT_TABLE,5,FALSE),VLOOKUP("GLOBAL",V8_COHORT_TABLE,5,FALSE))))</f>
        <v/>
      </c>
      <c r="Z226" s="15">
        <f>V226+W226/(1+EXP(-(U226-X226)/Y226))</f>
        <v/>
      </c>
      <c r="AA226" s="16">
        <f>1-(1-Z226)^12</f>
        <v/>
      </c>
      <c r="AB226" s="14">
        <f>IF(K226&lt;=V8_AGE_KNOT_X_0,V8_AGE_KNOT_Y_0,IF(K226&gt;=V8_AGE_KNOT_X_5,V8_AGE_KNOT_Y_5,IF(K226&lt;=V8_AGE_KNOT_X_1,V8_AGE_KNOT_Y_0+(K226-V8_AGE_KNOT_X_0)/(V8_AGE_KNOT_X_1-V8_AGE_KNOT_X_0)*(V8_AGE_KNOT_Y_1-V8_AGE_KNOT_Y_0),IF(K226&lt;=V8_AGE_KNOT_X_2,V8_AGE_KNOT_Y_1+(K226-V8_AGE_KNOT_X_1)/(V8_AGE_KNOT_X_2-V8_AGE_KNOT_X_1)*(V8_AGE_KNOT_Y_2-V8_AGE_KNOT_Y_1),IF(K226&lt;=V8_AGE_KNOT_X_3,V8_AGE_KNOT_Y_2+(K226-V8_AGE_KNOT_X_2)/(V8_AGE_KNOT_X_3-V8_AGE_KNOT_X_2)*(V8_AGE_KNOT_Y_3-V8_AGE_KNOT_Y_2),IF(K226&lt;=V8_AGE_KNOT_X_4,V8_AGE_KNOT_Y_3+(K226-V8_AGE_KNOT_X_3)/(V8_AGE_KNOT_X_4-V8_AGE_KNOT_X_3)*(V8_AGE_KNOT_Y_4-V8_AGE_KNOT_Y_3),V8_AGE_KNOT_Y_4+(K226-V8_AGE_KNOT_X_4)/(V8_AGE_KNOT_X_5-V8_AGE_KNOT_X_4)*(V8_AGE_KNOT_Y_5-V8_AGE_KNOT_Y_4)))))))</f>
        <v/>
      </c>
      <c r="AC226" s="14">
        <f>IF(IF(OR(L226="",NOT(ISNUMBER(L226))),360,MAX(0,MIN(480,(INT(L226/100)-INT(VALUE(F226)/100))*12+MOD(L226,100)-MOD(VALUE(F226),100))))&gt;0,1+V8_MTY_AMP*MAX(0,(V8_MTY_CUTOFF-(IF(OR(L226="",NOT(ISNUMBER(L226))),360,MAX(0,MIN(480,(INT(L226/100)-INT(VALUE(F226)/100))*12+MOD(L226,100)-MOD(VALUE(F226),100))))))/V8_MTY_CUTOFF),1)</f>
        <v/>
      </c>
      <c r="AD226" s="14">
        <f>IF(AND(IF(OR(M226="",NOT(ISNUMBER(M226))),0,MAX(0,MIN(24,(INT(VALUE(F226)/100)-INT(M226/100))*12+MOD(VALUE(F226),100)-MOD(M226,100))))&gt;0,IF(OR(M226="",NOT(ISNUMBER(M226))),0,MAX(0,MIN(24,(INT(VALUE(F226)/100)-INT(M226/100))*12+MOD(VALUE(F226),100)-MOD(M226,100))))&lt;=12),1+V8_LOCKOUT_AMP*EXP(-(IF(OR(M226="",NOT(ISNUMBER(M226))),0,MAX(0,MIN(24,(INT(VALUE(F226)/100)-INT(M226/100))*12+MOD(VALUE(F226),100)-MOD(M226,100)))))/V8_LOCKOUT_TAU),1)</f>
        <v/>
      </c>
      <c r="AE226" s="14">
        <f>MAX(V8_BURN_FLOOR,1-V8_BURN_SLOPE*MIN(1,MAX(0,O226)))</f>
        <v/>
      </c>
      <c r="AF226" s="15">
        <f>MIN(Z226*AB226*AC226*AD226*AE226,0.2)</f>
        <v/>
      </c>
      <c r="AG226" s="16">
        <f>1-(1-AF226)^12</f>
        <v/>
      </c>
    </row>
    <row r="227">
      <c r="A227" s="2" t="inlineStr">
        <is>
          <t>000009235736</t>
        </is>
      </c>
      <c r="B227" t="inlineStr">
        <is>
          <t>223a7</t>
        </is>
      </c>
      <c r="C227" t="inlineStr">
        <is>
          <t>RP</t>
        </is>
      </c>
      <c r="D227" t="inlineStr">
        <is>
          <t>JLL REAL ESTATE CAPITAL, LLC</t>
        </is>
      </c>
      <c r="E227" t="n">
        <v>2012</v>
      </c>
      <c r="F227" t="inlineStr">
        <is>
          <t>202602</t>
        </is>
      </c>
      <c r="G227" s="8" t="n">
        <v>592659.27</v>
      </c>
      <c r="H227" s="12" t="n">
        <v>3.2</v>
      </c>
      <c r="I227" s="13" t="n">
        <v>447</v>
      </c>
      <c r="J227" s="13" t="n">
        <v>0</v>
      </c>
      <c r="K227" t="n">
        <v>167</v>
      </c>
      <c r="L227" t="n">
        <v>205204</v>
      </c>
      <c r="M227" t="n">
        <v>201405</v>
      </c>
      <c r="N227" t="n">
        <v>32</v>
      </c>
      <c r="O227" s="14" t="n">
        <v>0.1916167664670659</v>
      </c>
      <c r="P227">
        <f>IF(ISNUMBER(SEARCH("232",B227)),"232",IF(ISNUMBER(SEARCH("538",B227)),"538",IF(ISNUMBER(SEARCH("223a7",B227)),"223a7",IF(ISNUMBER(SEARCH("223f",B227)),"223f","OTHER"))))</f>
        <v/>
      </c>
      <c r="Q227">
        <f>IF(UPPER(C227)="NC","NC","RP")</f>
        <v/>
      </c>
      <c r="R227">
        <f>IF(G227&lt;5000000,"small",IF(G227&lt;25000000,"medium","large"))</f>
        <v/>
      </c>
      <c r="S227">
        <f>P227&amp;"|"&amp;Q227&amp;"|"&amp;R227</f>
        <v/>
      </c>
      <c r="T227" s="13">
        <f>H227*100-I227</f>
        <v/>
      </c>
      <c r="U227" s="13">
        <f>T227-12.5*(J227+1)</f>
        <v/>
      </c>
      <c r="V227" s="15">
        <f>IFERROR(VLOOKUP(S227,V8_COHORT_TABLE,2,FALSE),IFERROR(VLOOKUP(P227&amp;"|"&amp;Q227&amp;"|ALL",V8_COHORT_TABLE,2,FALSE),IFERROR(VLOOKUP(P227&amp;"|ALL|ALL",V8_COHORT_TABLE,2,FALSE),VLOOKUP("GLOBAL",V8_COHORT_TABLE,2,FALSE))))</f>
        <v/>
      </c>
      <c r="W227" s="15">
        <f>IFERROR(VLOOKUP(S227,V8_COHORT_TABLE,3,FALSE),IFERROR(VLOOKUP(P227&amp;"|"&amp;Q227&amp;"|ALL",V8_COHORT_TABLE,3,FALSE),IFERROR(VLOOKUP(P227&amp;"|ALL|ALL",V8_COHORT_TABLE,3,FALSE),VLOOKUP("GLOBAL",V8_COHORT_TABLE,3,FALSE))))</f>
        <v/>
      </c>
      <c r="X227" s="15">
        <f>IFERROR(VLOOKUP(S227,V8_COHORT_TABLE,4,FALSE),IFERROR(VLOOKUP(P227&amp;"|"&amp;Q227&amp;"|ALL",V8_COHORT_TABLE,4,FALSE),IFERROR(VLOOKUP(P227&amp;"|ALL|ALL",V8_COHORT_TABLE,4,FALSE),VLOOKUP("GLOBAL",V8_COHORT_TABLE,4,FALSE))))</f>
        <v/>
      </c>
      <c r="Y227" s="15">
        <f>IFERROR(VLOOKUP(S227,V8_COHORT_TABLE,5,FALSE),IFERROR(VLOOKUP(P227&amp;"|"&amp;Q227&amp;"|ALL",V8_COHORT_TABLE,5,FALSE),IFERROR(VLOOKUP(P227&amp;"|ALL|ALL",V8_COHORT_TABLE,5,FALSE),VLOOKUP("GLOBAL",V8_COHORT_TABLE,5,FALSE))))</f>
        <v/>
      </c>
      <c r="Z227" s="15">
        <f>V227+W227/(1+EXP(-(U227-X227)/Y227))</f>
        <v/>
      </c>
      <c r="AA227" s="16">
        <f>1-(1-Z227)^12</f>
        <v/>
      </c>
      <c r="AB227" s="14">
        <f>IF(K227&lt;=V8_AGE_KNOT_X_0,V8_AGE_KNOT_Y_0,IF(K227&gt;=V8_AGE_KNOT_X_5,V8_AGE_KNOT_Y_5,IF(K227&lt;=V8_AGE_KNOT_X_1,V8_AGE_KNOT_Y_0+(K227-V8_AGE_KNOT_X_0)/(V8_AGE_KNOT_X_1-V8_AGE_KNOT_X_0)*(V8_AGE_KNOT_Y_1-V8_AGE_KNOT_Y_0),IF(K227&lt;=V8_AGE_KNOT_X_2,V8_AGE_KNOT_Y_1+(K227-V8_AGE_KNOT_X_1)/(V8_AGE_KNOT_X_2-V8_AGE_KNOT_X_1)*(V8_AGE_KNOT_Y_2-V8_AGE_KNOT_Y_1),IF(K227&lt;=V8_AGE_KNOT_X_3,V8_AGE_KNOT_Y_2+(K227-V8_AGE_KNOT_X_2)/(V8_AGE_KNOT_X_3-V8_AGE_KNOT_X_2)*(V8_AGE_KNOT_Y_3-V8_AGE_KNOT_Y_2),IF(K227&lt;=V8_AGE_KNOT_X_4,V8_AGE_KNOT_Y_3+(K227-V8_AGE_KNOT_X_3)/(V8_AGE_KNOT_X_4-V8_AGE_KNOT_X_3)*(V8_AGE_KNOT_Y_4-V8_AGE_KNOT_Y_3),V8_AGE_KNOT_Y_4+(K227-V8_AGE_KNOT_X_4)/(V8_AGE_KNOT_X_5-V8_AGE_KNOT_X_4)*(V8_AGE_KNOT_Y_5-V8_AGE_KNOT_Y_4)))))))</f>
        <v/>
      </c>
      <c r="AC227" s="14">
        <f>IF(IF(OR(L227="",NOT(ISNUMBER(L227))),360,MAX(0,MIN(480,(INT(L227/100)-INT(VALUE(F227)/100))*12+MOD(L227,100)-MOD(VALUE(F227),100))))&gt;0,1+V8_MTY_AMP*MAX(0,(V8_MTY_CUTOFF-(IF(OR(L227="",NOT(ISNUMBER(L227))),360,MAX(0,MIN(480,(INT(L227/100)-INT(VALUE(F227)/100))*12+MOD(L227,100)-MOD(VALUE(F227),100))))))/V8_MTY_CUTOFF),1)</f>
        <v/>
      </c>
      <c r="AD227" s="14">
        <f>IF(AND(IF(OR(M227="",NOT(ISNUMBER(M227))),0,MAX(0,MIN(24,(INT(VALUE(F227)/100)-INT(M227/100))*12+MOD(VALUE(F227),100)-MOD(M227,100))))&gt;0,IF(OR(M227="",NOT(ISNUMBER(M227))),0,MAX(0,MIN(24,(INT(VALUE(F227)/100)-INT(M227/100))*12+MOD(VALUE(F227),100)-MOD(M227,100))))&lt;=12),1+V8_LOCKOUT_AMP*EXP(-(IF(OR(M227="",NOT(ISNUMBER(M227))),0,MAX(0,MIN(24,(INT(VALUE(F227)/100)-INT(M227/100))*12+MOD(VALUE(F227),100)-MOD(M227,100)))))/V8_LOCKOUT_TAU),1)</f>
        <v/>
      </c>
      <c r="AE227" s="14">
        <f>MAX(V8_BURN_FLOOR,1-V8_BURN_SLOPE*MIN(1,MAX(0,O227)))</f>
        <v/>
      </c>
      <c r="AF227" s="15">
        <f>MIN(Z227*AB227*AC227*AD227*AE227,0.2)</f>
        <v/>
      </c>
      <c r="AG227" s="16">
        <f>1-(1-AF227)^12</f>
        <v/>
      </c>
    </row>
    <row r="228">
      <c r="A228" s="2" t="inlineStr">
        <is>
          <t>000009235804</t>
        </is>
      </c>
      <c r="B228" t="inlineStr">
        <is>
          <t>221d4</t>
        </is>
      </c>
      <c r="C228" t="inlineStr">
        <is>
          <t>NC</t>
        </is>
      </c>
      <c r="D228" t="inlineStr">
        <is>
          <t>JLL REAL ESTATE CAPITAL, LLC</t>
        </is>
      </c>
      <c r="E228" t="n">
        <v>2016</v>
      </c>
      <c r="F228" t="inlineStr">
        <is>
          <t>202602</t>
        </is>
      </c>
      <c r="G228" s="8" t="n">
        <v>9916135.029999999</v>
      </c>
      <c r="H228" s="12" t="n">
        <v>3.23</v>
      </c>
      <c r="I228" s="13" t="n">
        <v>447</v>
      </c>
      <c r="J228" s="13" t="n">
        <v>10</v>
      </c>
      <c r="K228" t="n">
        <v>116</v>
      </c>
      <c r="L228" t="n">
        <v>205706</v>
      </c>
      <c r="M228" t="n">
        <v>201707</v>
      </c>
      <c r="N228" t="n">
        <v>18</v>
      </c>
      <c r="O228" s="14" t="n">
        <v>0.1551724137931035</v>
      </c>
      <c r="P228">
        <f>IF(ISNUMBER(SEARCH("232",B228)),"232",IF(ISNUMBER(SEARCH("538",B228)),"538",IF(ISNUMBER(SEARCH("223a7",B228)),"223a7",IF(ISNUMBER(SEARCH("223f",B228)),"223f","OTHER"))))</f>
        <v/>
      </c>
      <c r="Q228">
        <f>IF(UPPER(C228)="NC","NC","RP")</f>
        <v/>
      </c>
      <c r="R228">
        <f>IF(G228&lt;5000000,"small",IF(G228&lt;25000000,"medium","large"))</f>
        <v/>
      </c>
      <c r="S228">
        <f>P228&amp;"|"&amp;Q228&amp;"|"&amp;R228</f>
        <v/>
      </c>
      <c r="T228" s="13">
        <f>H228*100-I228</f>
        <v/>
      </c>
      <c r="U228" s="13">
        <f>T228-12.5*(J228+1)</f>
        <v/>
      </c>
      <c r="V228" s="15">
        <f>IFERROR(VLOOKUP(S228,V8_COHORT_TABLE,2,FALSE),IFERROR(VLOOKUP(P228&amp;"|"&amp;Q228&amp;"|ALL",V8_COHORT_TABLE,2,FALSE),IFERROR(VLOOKUP(P228&amp;"|ALL|ALL",V8_COHORT_TABLE,2,FALSE),VLOOKUP("GLOBAL",V8_COHORT_TABLE,2,FALSE))))</f>
        <v/>
      </c>
      <c r="W228" s="15">
        <f>IFERROR(VLOOKUP(S228,V8_COHORT_TABLE,3,FALSE),IFERROR(VLOOKUP(P228&amp;"|"&amp;Q228&amp;"|ALL",V8_COHORT_TABLE,3,FALSE),IFERROR(VLOOKUP(P228&amp;"|ALL|ALL",V8_COHORT_TABLE,3,FALSE),VLOOKUP("GLOBAL",V8_COHORT_TABLE,3,FALSE))))</f>
        <v/>
      </c>
      <c r="X228" s="15">
        <f>IFERROR(VLOOKUP(S228,V8_COHORT_TABLE,4,FALSE),IFERROR(VLOOKUP(P228&amp;"|"&amp;Q228&amp;"|ALL",V8_COHORT_TABLE,4,FALSE),IFERROR(VLOOKUP(P228&amp;"|ALL|ALL",V8_COHORT_TABLE,4,FALSE),VLOOKUP("GLOBAL",V8_COHORT_TABLE,4,FALSE))))</f>
        <v/>
      </c>
      <c r="Y228" s="15">
        <f>IFERROR(VLOOKUP(S228,V8_COHORT_TABLE,5,FALSE),IFERROR(VLOOKUP(P228&amp;"|"&amp;Q228&amp;"|ALL",V8_COHORT_TABLE,5,FALSE),IFERROR(VLOOKUP(P228&amp;"|ALL|ALL",V8_COHORT_TABLE,5,FALSE),VLOOKUP("GLOBAL",V8_COHORT_TABLE,5,FALSE))))</f>
        <v/>
      </c>
      <c r="Z228" s="15">
        <f>V228+W228/(1+EXP(-(U228-X228)/Y228))</f>
        <v/>
      </c>
      <c r="AA228" s="16">
        <f>1-(1-Z228)^12</f>
        <v/>
      </c>
      <c r="AB228" s="14">
        <f>IF(K228&lt;=V8_AGE_KNOT_X_0,V8_AGE_KNOT_Y_0,IF(K228&gt;=V8_AGE_KNOT_X_5,V8_AGE_KNOT_Y_5,IF(K228&lt;=V8_AGE_KNOT_X_1,V8_AGE_KNOT_Y_0+(K228-V8_AGE_KNOT_X_0)/(V8_AGE_KNOT_X_1-V8_AGE_KNOT_X_0)*(V8_AGE_KNOT_Y_1-V8_AGE_KNOT_Y_0),IF(K228&lt;=V8_AGE_KNOT_X_2,V8_AGE_KNOT_Y_1+(K228-V8_AGE_KNOT_X_1)/(V8_AGE_KNOT_X_2-V8_AGE_KNOT_X_1)*(V8_AGE_KNOT_Y_2-V8_AGE_KNOT_Y_1),IF(K228&lt;=V8_AGE_KNOT_X_3,V8_AGE_KNOT_Y_2+(K228-V8_AGE_KNOT_X_2)/(V8_AGE_KNOT_X_3-V8_AGE_KNOT_X_2)*(V8_AGE_KNOT_Y_3-V8_AGE_KNOT_Y_2),IF(K228&lt;=V8_AGE_KNOT_X_4,V8_AGE_KNOT_Y_3+(K228-V8_AGE_KNOT_X_3)/(V8_AGE_KNOT_X_4-V8_AGE_KNOT_X_3)*(V8_AGE_KNOT_Y_4-V8_AGE_KNOT_Y_3),V8_AGE_KNOT_Y_4+(K228-V8_AGE_KNOT_X_4)/(V8_AGE_KNOT_X_5-V8_AGE_KNOT_X_4)*(V8_AGE_KNOT_Y_5-V8_AGE_KNOT_Y_4)))))))</f>
        <v/>
      </c>
      <c r="AC228" s="14">
        <f>IF(IF(OR(L228="",NOT(ISNUMBER(L228))),360,MAX(0,MIN(480,(INT(L228/100)-INT(VALUE(F228)/100))*12+MOD(L228,100)-MOD(VALUE(F228),100))))&gt;0,1+V8_MTY_AMP*MAX(0,(V8_MTY_CUTOFF-(IF(OR(L228="",NOT(ISNUMBER(L228))),360,MAX(0,MIN(480,(INT(L228/100)-INT(VALUE(F228)/100))*12+MOD(L228,100)-MOD(VALUE(F228),100))))))/V8_MTY_CUTOFF),1)</f>
        <v/>
      </c>
      <c r="AD228" s="14">
        <f>IF(AND(IF(OR(M228="",NOT(ISNUMBER(M228))),0,MAX(0,MIN(24,(INT(VALUE(F228)/100)-INT(M228/100))*12+MOD(VALUE(F228),100)-MOD(M228,100))))&gt;0,IF(OR(M228="",NOT(ISNUMBER(M228))),0,MAX(0,MIN(24,(INT(VALUE(F228)/100)-INT(M228/100))*12+MOD(VALUE(F228),100)-MOD(M228,100))))&lt;=12),1+V8_LOCKOUT_AMP*EXP(-(IF(OR(M228="",NOT(ISNUMBER(M228))),0,MAX(0,MIN(24,(INT(VALUE(F228)/100)-INT(M228/100))*12+MOD(VALUE(F228),100)-MOD(M228,100)))))/V8_LOCKOUT_TAU),1)</f>
        <v/>
      </c>
      <c r="AE228" s="14">
        <f>MAX(V8_BURN_FLOOR,1-V8_BURN_SLOPE*MIN(1,MAX(0,O228)))</f>
        <v/>
      </c>
      <c r="AF228" s="15">
        <f>MIN(Z228*AB228*AC228*AD228*AE228,0.2)</f>
        <v/>
      </c>
      <c r="AG228" s="16">
        <f>1-(1-AF228)^12</f>
        <v/>
      </c>
    </row>
    <row r="229">
      <c r="A229" s="2" t="inlineStr">
        <is>
          <t>000007435287</t>
        </is>
      </c>
      <c r="B229" t="inlineStr">
        <is>
          <t>221d4</t>
        </is>
      </c>
      <c r="C229" t="inlineStr">
        <is>
          <t>NC</t>
        </is>
      </c>
      <c r="D229" t="inlineStr">
        <is>
          <t>JLL REAL ESTATE CAPITAL, LLC</t>
        </is>
      </c>
      <c r="E229" t="n">
        <v>2021</v>
      </c>
      <c r="F229" t="inlineStr">
        <is>
          <t>202602</t>
        </is>
      </c>
      <c r="G229" s="8" t="n">
        <v>18685263.1</v>
      </c>
      <c r="H229" s="12" t="n">
        <v>2.94</v>
      </c>
      <c r="I229" s="13" t="n">
        <v>447</v>
      </c>
      <c r="J229" s="13" t="n">
        <v>3</v>
      </c>
      <c r="K229" t="n">
        <v>58</v>
      </c>
      <c r="L229" t="n">
        <v>205803</v>
      </c>
      <c r="M229" t="inlineStr"/>
      <c r="N229" t="n">
        <v>1</v>
      </c>
      <c r="O229" s="14" t="n">
        <v>0.01724137931034483</v>
      </c>
      <c r="P229">
        <f>IF(ISNUMBER(SEARCH("232",B229)),"232",IF(ISNUMBER(SEARCH("538",B229)),"538",IF(ISNUMBER(SEARCH("223a7",B229)),"223a7",IF(ISNUMBER(SEARCH("223f",B229)),"223f","OTHER"))))</f>
        <v/>
      </c>
      <c r="Q229">
        <f>IF(UPPER(C229)="NC","NC","RP")</f>
        <v/>
      </c>
      <c r="R229">
        <f>IF(G229&lt;5000000,"small",IF(G229&lt;25000000,"medium","large"))</f>
        <v/>
      </c>
      <c r="S229">
        <f>P229&amp;"|"&amp;Q229&amp;"|"&amp;R229</f>
        <v/>
      </c>
      <c r="T229" s="13">
        <f>H229*100-I229</f>
        <v/>
      </c>
      <c r="U229" s="13">
        <f>T229-12.5*(J229+1)</f>
        <v/>
      </c>
      <c r="V229" s="15">
        <f>IFERROR(VLOOKUP(S229,V8_COHORT_TABLE,2,FALSE),IFERROR(VLOOKUP(P229&amp;"|"&amp;Q229&amp;"|ALL",V8_COHORT_TABLE,2,FALSE),IFERROR(VLOOKUP(P229&amp;"|ALL|ALL",V8_COHORT_TABLE,2,FALSE),VLOOKUP("GLOBAL",V8_COHORT_TABLE,2,FALSE))))</f>
        <v/>
      </c>
      <c r="W229" s="15">
        <f>IFERROR(VLOOKUP(S229,V8_COHORT_TABLE,3,FALSE),IFERROR(VLOOKUP(P229&amp;"|"&amp;Q229&amp;"|ALL",V8_COHORT_TABLE,3,FALSE),IFERROR(VLOOKUP(P229&amp;"|ALL|ALL",V8_COHORT_TABLE,3,FALSE),VLOOKUP("GLOBAL",V8_COHORT_TABLE,3,FALSE))))</f>
        <v/>
      </c>
      <c r="X229" s="15">
        <f>IFERROR(VLOOKUP(S229,V8_COHORT_TABLE,4,FALSE),IFERROR(VLOOKUP(P229&amp;"|"&amp;Q229&amp;"|ALL",V8_COHORT_TABLE,4,FALSE),IFERROR(VLOOKUP(P229&amp;"|ALL|ALL",V8_COHORT_TABLE,4,FALSE),VLOOKUP("GLOBAL",V8_COHORT_TABLE,4,FALSE))))</f>
        <v/>
      </c>
      <c r="Y229" s="15">
        <f>IFERROR(VLOOKUP(S229,V8_COHORT_TABLE,5,FALSE),IFERROR(VLOOKUP(P229&amp;"|"&amp;Q229&amp;"|ALL",V8_COHORT_TABLE,5,FALSE),IFERROR(VLOOKUP(P229&amp;"|ALL|ALL",V8_COHORT_TABLE,5,FALSE),VLOOKUP("GLOBAL",V8_COHORT_TABLE,5,FALSE))))</f>
        <v/>
      </c>
      <c r="Z229" s="15">
        <f>V229+W229/(1+EXP(-(U229-X229)/Y229))</f>
        <v/>
      </c>
      <c r="AA229" s="16">
        <f>1-(1-Z229)^12</f>
        <v/>
      </c>
      <c r="AB229" s="14">
        <f>IF(K229&lt;=V8_AGE_KNOT_X_0,V8_AGE_KNOT_Y_0,IF(K229&gt;=V8_AGE_KNOT_X_5,V8_AGE_KNOT_Y_5,IF(K229&lt;=V8_AGE_KNOT_X_1,V8_AGE_KNOT_Y_0+(K229-V8_AGE_KNOT_X_0)/(V8_AGE_KNOT_X_1-V8_AGE_KNOT_X_0)*(V8_AGE_KNOT_Y_1-V8_AGE_KNOT_Y_0),IF(K229&lt;=V8_AGE_KNOT_X_2,V8_AGE_KNOT_Y_1+(K229-V8_AGE_KNOT_X_1)/(V8_AGE_KNOT_X_2-V8_AGE_KNOT_X_1)*(V8_AGE_KNOT_Y_2-V8_AGE_KNOT_Y_1),IF(K229&lt;=V8_AGE_KNOT_X_3,V8_AGE_KNOT_Y_2+(K229-V8_AGE_KNOT_X_2)/(V8_AGE_KNOT_X_3-V8_AGE_KNOT_X_2)*(V8_AGE_KNOT_Y_3-V8_AGE_KNOT_Y_2),IF(K229&lt;=V8_AGE_KNOT_X_4,V8_AGE_KNOT_Y_3+(K229-V8_AGE_KNOT_X_3)/(V8_AGE_KNOT_X_4-V8_AGE_KNOT_X_3)*(V8_AGE_KNOT_Y_4-V8_AGE_KNOT_Y_3),V8_AGE_KNOT_Y_4+(K229-V8_AGE_KNOT_X_4)/(V8_AGE_KNOT_X_5-V8_AGE_KNOT_X_4)*(V8_AGE_KNOT_Y_5-V8_AGE_KNOT_Y_4)))))))</f>
        <v/>
      </c>
      <c r="AC229" s="14">
        <f>IF(IF(OR(L229="",NOT(ISNUMBER(L229))),360,MAX(0,MIN(480,(INT(L229/100)-INT(VALUE(F229)/100))*12+MOD(L229,100)-MOD(VALUE(F229),100))))&gt;0,1+V8_MTY_AMP*MAX(0,(V8_MTY_CUTOFF-(IF(OR(L229="",NOT(ISNUMBER(L229))),360,MAX(0,MIN(480,(INT(L229/100)-INT(VALUE(F229)/100))*12+MOD(L229,100)-MOD(VALUE(F229),100))))))/V8_MTY_CUTOFF),1)</f>
        <v/>
      </c>
      <c r="AD229" s="14">
        <f>IF(AND(IF(OR(M229="",NOT(ISNUMBER(M229))),0,MAX(0,MIN(24,(INT(VALUE(F229)/100)-INT(M229/100))*12+MOD(VALUE(F229),100)-MOD(M229,100))))&gt;0,IF(OR(M229="",NOT(ISNUMBER(M229))),0,MAX(0,MIN(24,(INT(VALUE(F229)/100)-INT(M229/100))*12+MOD(VALUE(F229),100)-MOD(M229,100))))&lt;=12),1+V8_LOCKOUT_AMP*EXP(-(IF(OR(M229="",NOT(ISNUMBER(M229))),0,MAX(0,MIN(24,(INT(VALUE(F229)/100)-INT(M229/100))*12+MOD(VALUE(F229),100)-MOD(M229,100)))))/V8_LOCKOUT_TAU),1)</f>
        <v/>
      </c>
      <c r="AE229" s="14">
        <f>MAX(V8_BURN_FLOOR,1-V8_BURN_SLOPE*MIN(1,MAX(0,O229)))</f>
        <v/>
      </c>
      <c r="AF229" s="15">
        <f>MIN(Z229*AB229*AC229*AD229*AE229,0.2)</f>
        <v/>
      </c>
      <c r="AG229" s="16">
        <f>1-(1-AF229)^12</f>
        <v/>
      </c>
    </row>
    <row r="230">
      <c r="A230" s="2" t="inlineStr">
        <is>
          <t>000009222198</t>
        </is>
      </c>
      <c r="B230" t="inlineStr">
        <is>
          <t>232</t>
        </is>
      </c>
      <c r="C230" t="inlineStr">
        <is>
          <t>RP</t>
        </is>
      </c>
      <c r="D230" t="inlineStr">
        <is>
          <t>JLL REAL ESTATE CAPITAL, LLC</t>
        </is>
      </c>
      <c r="E230" t="n">
        <v>2024</v>
      </c>
      <c r="F230" t="inlineStr">
        <is>
          <t>202602</t>
        </is>
      </c>
      <c r="G230" s="8" t="n">
        <v>3738663.02</v>
      </c>
      <c r="H230" s="12" t="n">
        <v>6.28</v>
      </c>
      <c r="I230" s="13" t="n">
        <v>447</v>
      </c>
      <c r="J230" s="13" t="n">
        <v>9</v>
      </c>
      <c r="K230" t="n">
        <v>21</v>
      </c>
      <c r="L230" t="n">
        <v>205906</v>
      </c>
      <c r="M230" t="inlineStr"/>
      <c r="N230" t="n">
        <v>10</v>
      </c>
      <c r="O230" s="14" t="n">
        <v>0.4761904761904762</v>
      </c>
      <c r="P230">
        <f>IF(ISNUMBER(SEARCH("232",B230)),"232",IF(ISNUMBER(SEARCH("538",B230)),"538",IF(ISNUMBER(SEARCH("223a7",B230)),"223a7",IF(ISNUMBER(SEARCH("223f",B230)),"223f","OTHER"))))</f>
        <v/>
      </c>
      <c r="Q230">
        <f>IF(UPPER(C230)="NC","NC","RP")</f>
        <v/>
      </c>
      <c r="R230">
        <f>IF(G230&lt;5000000,"small",IF(G230&lt;25000000,"medium","large"))</f>
        <v/>
      </c>
      <c r="S230">
        <f>P230&amp;"|"&amp;Q230&amp;"|"&amp;R230</f>
        <v/>
      </c>
      <c r="T230" s="13">
        <f>H230*100-I230</f>
        <v/>
      </c>
      <c r="U230" s="13">
        <f>T230-12.5*(J230+1)</f>
        <v/>
      </c>
      <c r="V230" s="15">
        <f>IFERROR(VLOOKUP(S230,V8_COHORT_TABLE,2,FALSE),IFERROR(VLOOKUP(P230&amp;"|"&amp;Q230&amp;"|ALL",V8_COHORT_TABLE,2,FALSE),IFERROR(VLOOKUP(P230&amp;"|ALL|ALL",V8_COHORT_TABLE,2,FALSE),VLOOKUP("GLOBAL",V8_COHORT_TABLE,2,FALSE))))</f>
        <v/>
      </c>
      <c r="W230" s="15">
        <f>IFERROR(VLOOKUP(S230,V8_COHORT_TABLE,3,FALSE),IFERROR(VLOOKUP(P230&amp;"|"&amp;Q230&amp;"|ALL",V8_COHORT_TABLE,3,FALSE),IFERROR(VLOOKUP(P230&amp;"|ALL|ALL",V8_COHORT_TABLE,3,FALSE),VLOOKUP("GLOBAL",V8_COHORT_TABLE,3,FALSE))))</f>
        <v/>
      </c>
      <c r="X230" s="15">
        <f>IFERROR(VLOOKUP(S230,V8_COHORT_TABLE,4,FALSE),IFERROR(VLOOKUP(P230&amp;"|"&amp;Q230&amp;"|ALL",V8_COHORT_TABLE,4,FALSE),IFERROR(VLOOKUP(P230&amp;"|ALL|ALL",V8_COHORT_TABLE,4,FALSE),VLOOKUP("GLOBAL",V8_COHORT_TABLE,4,FALSE))))</f>
        <v/>
      </c>
      <c r="Y230" s="15">
        <f>IFERROR(VLOOKUP(S230,V8_COHORT_TABLE,5,FALSE),IFERROR(VLOOKUP(P230&amp;"|"&amp;Q230&amp;"|ALL",V8_COHORT_TABLE,5,FALSE),IFERROR(VLOOKUP(P230&amp;"|ALL|ALL",V8_COHORT_TABLE,5,FALSE),VLOOKUP("GLOBAL",V8_COHORT_TABLE,5,FALSE))))</f>
        <v/>
      </c>
      <c r="Z230" s="15">
        <f>V230+W230/(1+EXP(-(U230-X230)/Y230))</f>
        <v/>
      </c>
      <c r="AA230" s="16">
        <f>1-(1-Z230)^12</f>
        <v/>
      </c>
      <c r="AB230" s="14">
        <f>IF(K230&lt;=V8_AGE_KNOT_X_0,V8_AGE_KNOT_Y_0,IF(K230&gt;=V8_AGE_KNOT_X_5,V8_AGE_KNOT_Y_5,IF(K230&lt;=V8_AGE_KNOT_X_1,V8_AGE_KNOT_Y_0+(K230-V8_AGE_KNOT_X_0)/(V8_AGE_KNOT_X_1-V8_AGE_KNOT_X_0)*(V8_AGE_KNOT_Y_1-V8_AGE_KNOT_Y_0),IF(K230&lt;=V8_AGE_KNOT_X_2,V8_AGE_KNOT_Y_1+(K230-V8_AGE_KNOT_X_1)/(V8_AGE_KNOT_X_2-V8_AGE_KNOT_X_1)*(V8_AGE_KNOT_Y_2-V8_AGE_KNOT_Y_1),IF(K230&lt;=V8_AGE_KNOT_X_3,V8_AGE_KNOT_Y_2+(K230-V8_AGE_KNOT_X_2)/(V8_AGE_KNOT_X_3-V8_AGE_KNOT_X_2)*(V8_AGE_KNOT_Y_3-V8_AGE_KNOT_Y_2),IF(K230&lt;=V8_AGE_KNOT_X_4,V8_AGE_KNOT_Y_3+(K230-V8_AGE_KNOT_X_3)/(V8_AGE_KNOT_X_4-V8_AGE_KNOT_X_3)*(V8_AGE_KNOT_Y_4-V8_AGE_KNOT_Y_3),V8_AGE_KNOT_Y_4+(K230-V8_AGE_KNOT_X_4)/(V8_AGE_KNOT_X_5-V8_AGE_KNOT_X_4)*(V8_AGE_KNOT_Y_5-V8_AGE_KNOT_Y_4)))))))</f>
        <v/>
      </c>
      <c r="AC230" s="14">
        <f>IF(IF(OR(L230="",NOT(ISNUMBER(L230))),360,MAX(0,MIN(480,(INT(L230/100)-INT(VALUE(F230)/100))*12+MOD(L230,100)-MOD(VALUE(F230),100))))&gt;0,1+V8_MTY_AMP*MAX(0,(V8_MTY_CUTOFF-(IF(OR(L230="",NOT(ISNUMBER(L230))),360,MAX(0,MIN(480,(INT(L230/100)-INT(VALUE(F230)/100))*12+MOD(L230,100)-MOD(VALUE(F230),100))))))/V8_MTY_CUTOFF),1)</f>
        <v/>
      </c>
      <c r="AD230" s="14">
        <f>IF(AND(IF(OR(M230="",NOT(ISNUMBER(M230))),0,MAX(0,MIN(24,(INT(VALUE(F230)/100)-INT(M230/100))*12+MOD(VALUE(F230),100)-MOD(M230,100))))&gt;0,IF(OR(M230="",NOT(ISNUMBER(M230))),0,MAX(0,MIN(24,(INT(VALUE(F230)/100)-INT(M230/100))*12+MOD(VALUE(F230),100)-MOD(M230,100))))&lt;=12),1+V8_LOCKOUT_AMP*EXP(-(IF(OR(M230="",NOT(ISNUMBER(M230))),0,MAX(0,MIN(24,(INT(VALUE(F230)/100)-INT(M230/100))*12+MOD(VALUE(F230),100)-MOD(M230,100)))))/V8_LOCKOUT_TAU),1)</f>
        <v/>
      </c>
      <c r="AE230" s="14">
        <f>MAX(V8_BURN_FLOOR,1-V8_BURN_SLOPE*MIN(1,MAX(0,O230)))</f>
        <v/>
      </c>
      <c r="AF230" s="15">
        <f>MIN(Z230*AB230*AC230*AD230*AE230,0.2)</f>
        <v/>
      </c>
      <c r="AG230" s="16">
        <f>1-(1-AF230)^12</f>
        <v/>
      </c>
    </row>
    <row r="231">
      <c r="A231" s="2" t="inlineStr">
        <is>
          <t>000009211383</t>
        </is>
      </c>
      <c r="B231" t="inlineStr">
        <is>
          <t>223f</t>
        </is>
      </c>
      <c r="C231" t="inlineStr">
        <is>
          <t>RP</t>
        </is>
      </c>
      <c r="D231" t="inlineStr">
        <is>
          <t>JLL REAL ESTATE CAPITAL, LLC</t>
        </is>
      </c>
      <c r="E231" t="n">
        <v>2014</v>
      </c>
      <c r="F231" t="inlineStr">
        <is>
          <t>202602</t>
        </is>
      </c>
      <c r="G231" s="8" t="n">
        <v>1648930.28</v>
      </c>
      <c r="H231" s="12" t="n">
        <v>3.89</v>
      </c>
      <c r="I231" s="13" t="n">
        <v>447</v>
      </c>
      <c r="J231" s="13" t="n">
        <v>0</v>
      </c>
      <c r="K231" t="n">
        <v>142</v>
      </c>
      <c r="L231" t="n">
        <v>204705</v>
      </c>
      <c r="M231" t="inlineStr"/>
      <c r="N231" t="n">
        <v>44</v>
      </c>
      <c r="O231" s="14" t="n">
        <v>0.3098591549295774</v>
      </c>
      <c r="P231">
        <f>IF(ISNUMBER(SEARCH("232",B231)),"232",IF(ISNUMBER(SEARCH("538",B231)),"538",IF(ISNUMBER(SEARCH("223a7",B231)),"223a7",IF(ISNUMBER(SEARCH("223f",B231)),"223f","OTHER"))))</f>
        <v/>
      </c>
      <c r="Q231">
        <f>IF(UPPER(C231)="NC","NC","RP")</f>
        <v/>
      </c>
      <c r="R231">
        <f>IF(G231&lt;5000000,"small",IF(G231&lt;25000000,"medium","large"))</f>
        <v/>
      </c>
      <c r="S231">
        <f>P231&amp;"|"&amp;Q231&amp;"|"&amp;R231</f>
        <v/>
      </c>
      <c r="T231" s="13">
        <f>H231*100-I231</f>
        <v/>
      </c>
      <c r="U231" s="13">
        <f>T231-12.5*(J231+1)</f>
        <v/>
      </c>
      <c r="V231" s="15">
        <f>IFERROR(VLOOKUP(S231,V8_COHORT_TABLE,2,FALSE),IFERROR(VLOOKUP(P231&amp;"|"&amp;Q231&amp;"|ALL",V8_COHORT_TABLE,2,FALSE),IFERROR(VLOOKUP(P231&amp;"|ALL|ALL",V8_COHORT_TABLE,2,FALSE),VLOOKUP("GLOBAL",V8_COHORT_TABLE,2,FALSE))))</f>
        <v/>
      </c>
      <c r="W231" s="15">
        <f>IFERROR(VLOOKUP(S231,V8_COHORT_TABLE,3,FALSE),IFERROR(VLOOKUP(P231&amp;"|"&amp;Q231&amp;"|ALL",V8_COHORT_TABLE,3,FALSE),IFERROR(VLOOKUP(P231&amp;"|ALL|ALL",V8_COHORT_TABLE,3,FALSE),VLOOKUP("GLOBAL",V8_COHORT_TABLE,3,FALSE))))</f>
        <v/>
      </c>
      <c r="X231" s="15">
        <f>IFERROR(VLOOKUP(S231,V8_COHORT_TABLE,4,FALSE),IFERROR(VLOOKUP(P231&amp;"|"&amp;Q231&amp;"|ALL",V8_COHORT_TABLE,4,FALSE),IFERROR(VLOOKUP(P231&amp;"|ALL|ALL",V8_COHORT_TABLE,4,FALSE),VLOOKUP("GLOBAL",V8_COHORT_TABLE,4,FALSE))))</f>
        <v/>
      </c>
      <c r="Y231" s="15">
        <f>IFERROR(VLOOKUP(S231,V8_COHORT_TABLE,5,FALSE),IFERROR(VLOOKUP(P231&amp;"|"&amp;Q231&amp;"|ALL",V8_COHORT_TABLE,5,FALSE),IFERROR(VLOOKUP(P231&amp;"|ALL|ALL",V8_COHORT_TABLE,5,FALSE),VLOOKUP("GLOBAL",V8_COHORT_TABLE,5,FALSE))))</f>
        <v/>
      </c>
      <c r="Z231" s="15">
        <f>V231+W231/(1+EXP(-(U231-X231)/Y231))</f>
        <v/>
      </c>
      <c r="AA231" s="16">
        <f>1-(1-Z231)^12</f>
        <v/>
      </c>
      <c r="AB231" s="14">
        <f>IF(K231&lt;=V8_AGE_KNOT_X_0,V8_AGE_KNOT_Y_0,IF(K231&gt;=V8_AGE_KNOT_X_5,V8_AGE_KNOT_Y_5,IF(K231&lt;=V8_AGE_KNOT_X_1,V8_AGE_KNOT_Y_0+(K231-V8_AGE_KNOT_X_0)/(V8_AGE_KNOT_X_1-V8_AGE_KNOT_X_0)*(V8_AGE_KNOT_Y_1-V8_AGE_KNOT_Y_0),IF(K231&lt;=V8_AGE_KNOT_X_2,V8_AGE_KNOT_Y_1+(K231-V8_AGE_KNOT_X_1)/(V8_AGE_KNOT_X_2-V8_AGE_KNOT_X_1)*(V8_AGE_KNOT_Y_2-V8_AGE_KNOT_Y_1),IF(K231&lt;=V8_AGE_KNOT_X_3,V8_AGE_KNOT_Y_2+(K231-V8_AGE_KNOT_X_2)/(V8_AGE_KNOT_X_3-V8_AGE_KNOT_X_2)*(V8_AGE_KNOT_Y_3-V8_AGE_KNOT_Y_2),IF(K231&lt;=V8_AGE_KNOT_X_4,V8_AGE_KNOT_Y_3+(K231-V8_AGE_KNOT_X_3)/(V8_AGE_KNOT_X_4-V8_AGE_KNOT_X_3)*(V8_AGE_KNOT_Y_4-V8_AGE_KNOT_Y_3),V8_AGE_KNOT_Y_4+(K231-V8_AGE_KNOT_X_4)/(V8_AGE_KNOT_X_5-V8_AGE_KNOT_X_4)*(V8_AGE_KNOT_Y_5-V8_AGE_KNOT_Y_4)))))))</f>
        <v/>
      </c>
      <c r="AC231" s="14">
        <f>IF(IF(OR(L231="",NOT(ISNUMBER(L231))),360,MAX(0,MIN(480,(INT(L231/100)-INT(VALUE(F231)/100))*12+MOD(L231,100)-MOD(VALUE(F231),100))))&gt;0,1+V8_MTY_AMP*MAX(0,(V8_MTY_CUTOFF-(IF(OR(L231="",NOT(ISNUMBER(L231))),360,MAX(0,MIN(480,(INT(L231/100)-INT(VALUE(F231)/100))*12+MOD(L231,100)-MOD(VALUE(F231),100))))))/V8_MTY_CUTOFF),1)</f>
        <v/>
      </c>
      <c r="AD231" s="14">
        <f>IF(AND(IF(OR(M231="",NOT(ISNUMBER(M231))),0,MAX(0,MIN(24,(INT(VALUE(F231)/100)-INT(M231/100))*12+MOD(VALUE(F231),100)-MOD(M231,100))))&gt;0,IF(OR(M231="",NOT(ISNUMBER(M231))),0,MAX(0,MIN(24,(INT(VALUE(F231)/100)-INT(M231/100))*12+MOD(VALUE(F231),100)-MOD(M231,100))))&lt;=12),1+V8_LOCKOUT_AMP*EXP(-(IF(OR(M231="",NOT(ISNUMBER(M231))),0,MAX(0,MIN(24,(INT(VALUE(F231)/100)-INT(M231/100))*12+MOD(VALUE(F231),100)-MOD(M231,100)))))/V8_LOCKOUT_TAU),1)</f>
        <v/>
      </c>
      <c r="AE231" s="14">
        <f>MAX(V8_BURN_FLOOR,1-V8_BURN_SLOPE*MIN(1,MAX(0,O231)))</f>
        <v/>
      </c>
      <c r="AF231" s="15">
        <f>MIN(Z231*AB231*AC231*AD231*AE231,0.2)</f>
        <v/>
      </c>
      <c r="AG231" s="16">
        <f>1-(1-AF231)^12</f>
        <v/>
      </c>
    </row>
    <row r="232">
      <c r="A232" s="2" t="inlineStr">
        <is>
          <t>000011311457</t>
        </is>
      </c>
      <c r="B232" t="inlineStr">
        <is>
          <t>223f</t>
        </is>
      </c>
      <c r="C232" t="inlineStr">
        <is>
          <t>RP</t>
        </is>
      </c>
      <c r="D232" t="inlineStr">
        <is>
          <t>JLL REAL ESTATE CAPITAL, LLC</t>
        </is>
      </c>
      <c r="E232" t="n">
        <v>2021</v>
      </c>
      <c r="F232" t="inlineStr">
        <is>
          <t>202602</t>
        </is>
      </c>
      <c r="G232" s="8" t="n">
        <v>5024963.75</v>
      </c>
      <c r="H232" s="12" t="n">
        <v>2.42</v>
      </c>
      <c r="I232" s="13" t="n">
        <v>447</v>
      </c>
      <c r="J232" s="13" t="n">
        <v>1</v>
      </c>
      <c r="K232" t="n">
        <v>55</v>
      </c>
      <c r="L232" t="n">
        <v>205608</v>
      </c>
      <c r="M232" t="inlineStr"/>
      <c r="N232" t="n">
        <v>0</v>
      </c>
      <c r="O232" s="14" t="n">
        <v>0</v>
      </c>
      <c r="P232">
        <f>IF(ISNUMBER(SEARCH("232",B232)),"232",IF(ISNUMBER(SEARCH("538",B232)),"538",IF(ISNUMBER(SEARCH("223a7",B232)),"223a7",IF(ISNUMBER(SEARCH("223f",B232)),"223f","OTHER"))))</f>
        <v/>
      </c>
      <c r="Q232">
        <f>IF(UPPER(C232)="NC","NC","RP")</f>
        <v/>
      </c>
      <c r="R232">
        <f>IF(G232&lt;5000000,"small",IF(G232&lt;25000000,"medium","large"))</f>
        <v/>
      </c>
      <c r="S232">
        <f>P232&amp;"|"&amp;Q232&amp;"|"&amp;R232</f>
        <v/>
      </c>
      <c r="T232" s="13">
        <f>H232*100-I232</f>
        <v/>
      </c>
      <c r="U232" s="13">
        <f>T232-12.5*(J232+1)</f>
        <v/>
      </c>
      <c r="V232" s="15">
        <f>IFERROR(VLOOKUP(S232,V8_COHORT_TABLE,2,FALSE),IFERROR(VLOOKUP(P232&amp;"|"&amp;Q232&amp;"|ALL",V8_COHORT_TABLE,2,FALSE),IFERROR(VLOOKUP(P232&amp;"|ALL|ALL",V8_COHORT_TABLE,2,FALSE),VLOOKUP("GLOBAL",V8_COHORT_TABLE,2,FALSE))))</f>
        <v/>
      </c>
      <c r="W232" s="15">
        <f>IFERROR(VLOOKUP(S232,V8_COHORT_TABLE,3,FALSE),IFERROR(VLOOKUP(P232&amp;"|"&amp;Q232&amp;"|ALL",V8_COHORT_TABLE,3,FALSE),IFERROR(VLOOKUP(P232&amp;"|ALL|ALL",V8_COHORT_TABLE,3,FALSE),VLOOKUP("GLOBAL",V8_COHORT_TABLE,3,FALSE))))</f>
        <v/>
      </c>
      <c r="X232" s="15">
        <f>IFERROR(VLOOKUP(S232,V8_COHORT_TABLE,4,FALSE),IFERROR(VLOOKUP(P232&amp;"|"&amp;Q232&amp;"|ALL",V8_COHORT_TABLE,4,FALSE),IFERROR(VLOOKUP(P232&amp;"|ALL|ALL",V8_COHORT_TABLE,4,FALSE),VLOOKUP("GLOBAL",V8_COHORT_TABLE,4,FALSE))))</f>
        <v/>
      </c>
      <c r="Y232" s="15">
        <f>IFERROR(VLOOKUP(S232,V8_COHORT_TABLE,5,FALSE),IFERROR(VLOOKUP(P232&amp;"|"&amp;Q232&amp;"|ALL",V8_COHORT_TABLE,5,FALSE),IFERROR(VLOOKUP(P232&amp;"|ALL|ALL",V8_COHORT_TABLE,5,FALSE),VLOOKUP("GLOBAL",V8_COHORT_TABLE,5,FALSE))))</f>
        <v/>
      </c>
      <c r="Z232" s="15">
        <f>V232+W232/(1+EXP(-(U232-X232)/Y232))</f>
        <v/>
      </c>
      <c r="AA232" s="16">
        <f>1-(1-Z232)^12</f>
        <v/>
      </c>
      <c r="AB232" s="14">
        <f>IF(K232&lt;=V8_AGE_KNOT_X_0,V8_AGE_KNOT_Y_0,IF(K232&gt;=V8_AGE_KNOT_X_5,V8_AGE_KNOT_Y_5,IF(K232&lt;=V8_AGE_KNOT_X_1,V8_AGE_KNOT_Y_0+(K232-V8_AGE_KNOT_X_0)/(V8_AGE_KNOT_X_1-V8_AGE_KNOT_X_0)*(V8_AGE_KNOT_Y_1-V8_AGE_KNOT_Y_0),IF(K232&lt;=V8_AGE_KNOT_X_2,V8_AGE_KNOT_Y_1+(K232-V8_AGE_KNOT_X_1)/(V8_AGE_KNOT_X_2-V8_AGE_KNOT_X_1)*(V8_AGE_KNOT_Y_2-V8_AGE_KNOT_Y_1),IF(K232&lt;=V8_AGE_KNOT_X_3,V8_AGE_KNOT_Y_2+(K232-V8_AGE_KNOT_X_2)/(V8_AGE_KNOT_X_3-V8_AGE_KNOT_X_2)*(V8_AGE_KNOT_Y_3-V8_AGE_KNOT_Y_2),IF(K232&lt;=V8_AGE_KNOT_X_4,V8_AGE_KNOT_Y_3+(K232-V8_AGE_KNOT_X_3)/(V8_AGE_KNOT_X_4-V8_AGE_KNOT_X_3)*(V8_AGE_KNOT_Y_4-V8_AGE_KNOT_Y_3),V8_AGE_KNOT_Y_4+(K232-V8_AGE_KNOT_X_4)/(V8_AGE_KNOT_X_5-V8_AGE_KNOT_X_4)*(V8_AGE_KNOT_Y_5-V8_AGE_KNOT_Y_4)))))))</f>
        <v/>
      </c>
      <c r="AC232" s="14">
        <f>IF(IF(OR(L232="",NOT(ISNUMBER(L232))),360,MAX(0,MIN(480,(INT(L232/100)-INT(VALUE(F232)/100))*12+MOD(L232,100)-MOD(VALUE(F232),100))))&gt;0,1+V8_MTY_AMP*MAX(0,(V8_MTY_CUTOFF-(IF(OR(L232="",NOT(ISNUMBER(L232))),360,MAX(0,MIN(480,(INT(L232/100)-INT(VALUE(F232)/100))*12+MOD(L232,100)-MOD(VALUE(F232),100))))))/V8_MTY_CUTOFF),1)</f>
        <v/>
      </c>
      <c r="AD232" s="14">
        <f>IF(AND(IF(OR(M232="",NOT(ISNUMBER(M232))),0,MAX(0,MIN(24,(INT(VALUE(F232)/100)-INT(M232/100))*12+MOD(VALUE(F232),100)-MOD(M232,100))))&gt;0,IF(OR(M232="",NOT(ISNUMBER(M232))),0,MAX(0,MIN(24,(INT(VALUE(F232)/100)-INT(M232/100))*12+MOD(VALUE(F232),100)-MOD(M232,100))))&lt;=12),1+V8_LOCKOUT_AMP*EXP(-(IF(OR(M232="",NOT(ISNUMBER(M232))),0,MAX(0,MIN(24,(INT(VALUE(F232)/100)-INT(M232/100))*12+MOD(VALUE(F232),100)-MOD(M232,100)))))/V8_LOCKOUT_TAU),1)</f>
        <v/>
      </c>
      <c r="AE232" s="14">
        <f>MAX(V8_BURN_FLOOR,1-V8_BURN_SLOPE*MIN(1,MAX(0,O232)))</f>
        <v/>
      </c>
      <c r="AF232" s="15">
        <f>MIN(Z232*AB232*AC232*AD232*AE232,0.2)</f>
        <v/>
      </c>
      <c r="AG232" s="16">
        <f>1-(1-AF232)^12</f>
        <v/>
      </c>
    </row>
    <row r="233">
      <c r="A233" s="2" t="inlineStr">
        <is>
          <t>000007143246</t>
        </is>
      </c>
      <c r="B233" t="inlineStr">
        <is>
          <t>232</t>
        </is>
      </c>
      <c r="C233" t="inlineStr">
        <is>
          <t>RP</t>
        </is>
      </c>
      <c r="D233" t="inlineStr">
        <is>
          <t>JLL REAL ESTATE CAPITAL, LLC</t>
        </is>
      </c>
      <c r="E233" t="n">
        <v>2011</v>
      </c>
      <c r="F233" t="inlineStr">
        <is>
          <t>202602</t>
        </is>
      </c>
      <c r="G233" s="8" t="n">
        <v>6745844.71</v>
      </c>
      <c r="H233" s="12" t="n">
        <v>3.88</v>
      </c>
      <c r="I233" s="13" t="n">
        <v>447</v>
      </c>
      <c r="J233" s="13" t="n">
        <v>0</v>
      </c>
      <c r="K233" t="n">
        <v>174</v>
      </c>
      <c r="L233" t="n">
        <v>204502</v>
      </c>
      <c r="M233" t="n">
        <v>201310</v>
      </c>
      <c r="N233" t="n">
        <v>41</v>
      </c>
      <c r="O233" s="14" t="n">
        <v>0.235632183908046</v>
      </c>
      <c r="P233">
        <f>IF(ISNUMBER(SEARCH("232",B233)),"232",IF(ISNUMBER(SEARCH("538",B233)),"538",IF(ISNUMBER(SEARCH("223a7",B233)),"223a7",IF(ISNUMBER(SEARCH("223f",B233)),"223f","OTHER"))))</f>
        <v/>
      </c>
      <c r="Q233">
        <f>IF(UPPER(C233)="NC","NC","RP")</f>
        <v/>
      </c>
      <c r="R233">
        <f>IF(G233&lt;5000000,"small",IF(G233&lt;25000000,"medium","large"))</f>
        <v/>
      </c>
      <c r="S233">
        <f>P233&amp;"|"&amp;Q233&amp;"|"&amp;R233</f>
        <v/>
      </c>
      <c r="T233" s="13">
        <f>H233*100-I233</f>
        <v/>
      </c>
      <c r="U233" s="13">
        <f>T233-12.5*(J233+1)</f>
        <v/>
      </c>
      <c r="V233" s="15">
        <f>IFERROR(VLOOKUP(S233,V8_COHORT_TABLE,2,FALSE),IFERROR(VLOOKUP(P233&amp;"|"&amp;Q233&amp;"|ALL",V8_COHORT_TABLE,2,FALSE),IFERROR(VLOOKUP(P233&amp;"|ALL|ALL",V8_COHORT_TABLE,2,FALSE),VLOOKUP("GLOBAL",V8_COHORT_TABLE,2,FALSE))))</f>
        <v/>
      </c>
      <c r="W233" s="15">
        <f>IFERROR(VLOOKUP(S233,V8_COHORT_TABLE,3,FALSE),IFERROR(VLOOKUP(P233&amp;"|"&amp;Q233&amp;"|ALL",V8_COHORT_TABLE,3,FALSE),IFERROR(VLOOKUP(P233&amp;"|ALL|ALL",V8_COHORT_TABLE,3,FALSE),VLOOKUP("GLOBAL",V8_COHORT_TABLE,3,FALSE))))</f>
        <v/>
      </c>
      <c r="X233" s="15">
        <f>IFERROR(VLOOKUP(S233,V8_COHORT_TABLE,4,FALSE),IFERROR(VLOOKUP(P233&amp;"|"&amp;Q233&amp;"|ALL",V8_COHORT_TABLE,4,FALSE),IFERROR(VLOOKUP(P233&amp;"|ALL|ALL",V8_COHORT_TABLE,4,FALSE),VLOOKUP("GLOBAL",V8_COHORT_TABLE,4,FALSE))))</f>
        <v/>
      </c>
      <c r="Y233" s="15">
        <f>IFERROR(VLOOKUP(S233,V8_COHORT_TABLE,5,FALSE),IFERROR(VLOOKUP(P233&amp;"|"&amp;Q233&amp;"|ALL",V8_COHORT_TABLE,5,FALSE),IFERROR(VLOOKUP(P233&amp;"|ALL|ALL",V8_COHORT_TABLE,5,FALSE),VLOOKUP("GLOBAL",V8_COHORT_TABLE,5,FALSE))))</f>
        <v/>
      </c>
      <c r="Z233" s="15">
        <f>V233+W233/(1+EXP(-(U233-X233)/Y233))</f>
        <v/>
      </c>
      <c r="AA233" s="16">
        <f>1-(1-Z233)^12</f>
        <v/>
      </c>
      <c r="AB233" s="14">
        <f>IF(K233&lt;=V8_AGE_KNOT_X_0,V8_AGE_KNOT_Y_0,IF(K233&gt;=V8_AGE_KNOT_X_5,V8_AGE_KNOT_Y_5,IF(K233&lt;=V8_AGE_KNOT_X_1,V8_AGE_KNOT_Y_0+(K233-V8_AGE_KNOT_X_0)/(V8_AGE_KNOT_X_1-V8_AGE_KNOT_X_0)*(V8_AGE_KNOT_Y_1-V8_AGE_KNOT_Y_0),IF(K233&lt;=V8_AGE_KNOT_X_2,V8_AGE_KNOT_Y_1+(K233-V8_AGE_KNOT_X_1)/(V8_AGE_KNOT_X_2-V8_AGE_KNOT_X_1)*(V8_AGE_KNOT_Y_2-V8_AGE_KNOT_Y_1),IF(K233&lt;=V8_AGE_KNOT_X_3,V8_AGE_KNOT_Y_2+(K233-V8_AGE_KNOT_X_2)/(V8_AGE_KNOT_X_3-V8_AGE_KNOT_X_2)*(V8_AGE_KNOT_Y_3-V8_AGE_KNOT_Y_2),IF(K233&lt;=V8_AGE_KNOT_X_4,V8_AGE_KNOT_Y_3+(K233-V8_AGE_KNOT_X_3)/(V8_AGE_KNOT_X_4-V8_AGE_KNOT_X_3)*(V8_AGE_KNOT_Y_4-V8_AGE_KNOT_Y_3),V8_AGE_KNOT_Y_4+(K233-V8_AGE_KNOT_X_4)/(V8_AGE_KNOT_X_5-V8_AGE_KNOT_X_4)*(V8_AGE_KNOT_Y_5-V8_AGE_KNOT_Y_4)))))))</f>
        <v/>
      </c>
      <c r="AC233" s="14">
        <f>IF(IF(OR(L233="",NOT(ISNUMBER(L233))),360,MAX(0,MIN(480,(INT(L233/100)-INT(VALUE(F233)/100))*12+MOD(L233,100)-MOD(VALUE(F233),100))))&gt;0,1+V8_MTY_AMP*MAX(0,(V8_MTY_CUTOFF-(IF(OR(L233="",NOT(ISNUMBER(L233))),360,MAX(0,MIN(480,(INT(L233/100)-INT(VALUE(F233)/100))*12+MOD(L233,100)-MOD(VALUE(F233),100))))))/V8_MTY_CUTOFF),1)</f>
        <v/>
      </c>
      <c r="AD233" s="14">
        <f>IF(AND(IF(OR(M233="",NOT(ISNUMBER(M233))),0,MAX(0,MIN(24,(INT(VALUE(F233)/100)-INT(M233/100))*12+MOD(VALUE(F233),100)-MOD(M233,100))))&gt;0,IF(OR(M233="",NOT(ISNUMBER(M233))),0,MAX(0,MIN(24,(INT(VALUE(F233)/100)-INT(M233/100))*12+MOD(VALUE(F233),100)-MOD(M233,100))))&lt;=12),1+V8_LOCKOUT_AMP*EXP(-(IF(OR(M233="",NOT(ISNUMBER(M233))),0,MAX(0,MIN(24,(INT(VALUE(F233)/100)-INT(M233/100))*12+MOD(VALUE(F233),100)-MOD(M233,100)))))/V8_LOCKOUT_TAU),1)</f>
        <v/>
      </c>
      <c r="AE233" s="14">
        <f>MAX(V8_BURN_FLOOR,1-V8_BURN_SLOPE*MIN(1,MAX(0,O233)))</f>
        <v/>
      </c>
      <c r="AF233" s="15">
        <f>MIN(Z233*AB233*AC233*AD233*AE233,0.2)</f>
        <v/>
      </c>
      <c r="AG233" s="16">
        <f>1-(1-AF233)^12</f>
        <v/>
      </c>
    </row>
    <row r="234">
      <c r="A234" s="2" t="inlineStr">
        <is>
          <t>000008235482</t>
        </is>
      </c>
      <c r="B234" t="inlineStr">
        <is>
          <t>221d4</t>
        </is>
      </c>
      <c r="C234" t="inlineStr">
        <is>
          <t>NC</t>
        </is>
      </c>
      <c r="D234" t="inlineStr">
        <is>
          <t>JLL REAL ESTATE CAPITAL, LLC</t>
        </is>
      </c>
      <c r="E234" t="n">
        <v>2019</v>
      </c>
      <c r="F234" t="inlineStr">
        <is>
          <t>202602</t>
        </is>
      </c>
      <c r="G234" s="8" t="n">
        <v>12926537.01</v>
      </c>
      <c r="H234" s="12" t="n">
        <v>4.05</v>
      </c>
      <c r="I234" s="13" t="n">
        <v>447</v>
      </c>
      <c r="J234" s="13" t="n">
        <v>7</v>
      </c>
      <c r="K234" t="n">
        <v>76</v>
      </c>
      <c r="L234" t="n">
        <v>206203</v>
      </c>
      <c r="M234" t="inlineStr"/>
      <c r="N234" t="n">
        <v>0</v>
      </c>
      <c r="O234" s="14" t="n">
        <v>0</v>
      </c>
      <c r="P234">
        <f>IF(ISNUMBER(SEARCH("232",B234)),"232",IF(ISNUMBER(SEARCH("538",B234)),"538",IF(ISNUMBER(SEARCH("223a7",B234)),"223a7",IF(ISNUMBER(SEARCH("223f",B234)),"223f","OTHER"))))</f>
        <v/>
      </c>
      <c r="Q234">
        <f>IF(UPPER(C234)="NC","NC","RP")</f>
        <v/>
      </c>
      <c r="R234">
        <f>IF(G234&lt;5000000,"small",IF(G234&lt;25000000,"medium","large"))</f>
        <v/>
      </c>
      <c r="S234">
        <f>P234&amp;"|"&amp;Q234&amp;"|"&amp;R234</f>
        <v/>
      </c>
      <c r="T234" s="13">
        <f>H234*100-I234</f>
        <v/>
      </c>
      <c r="U234" s="13">
        <f>T234-12.5*(J234+1)</f>
        <v/>
      </c>
      <c r="V234" s="15">
        <f>IFERROR(VLOOKUP(S234,V8_COHORT_TABLE,2,FALSE),IFERROR(VLOOKUP(P234&amp;"|"&amp;Q234&amp;"|ALL",V8_COHORT_TABLE,2,FALSE),IFERROR(VLOOKUP(P234&amp;"|ALL|ALL",V8_COHORT_TABLE,2,FALSE),VLOOKUP("GLOBAL",V8_COHORT_TABLE,2,FALSE))))</f>
        <v/>
      </c>
      <c r="W234" s="15">
        <f>IFERROR(VLOOKUP(S234,V8_COHORT_TABLE,3,FALSE),IFERROR(VLOOKUP(P234&amp;"|"&amp;Q234&amp;"|ALL",V8_COHORT_TABLE,3,FALSE),IFERROR(VLOOKUP(P234&amp;"|ALL|ALL",V8_COHORT_TABLE,3,FALSE),VLOOKUP("GLOBAL",V8_COHORT_TABLE,3,FALSE))))</f>
        <v/>
      </c>
      <c r="X234" s="15">
        <f>IFERROR(VLOOKUP(S234,V8_COHORT_TABLE,4,FALSE),IFERROR(VLOOKUP(P234&amp;"|"&amp;Q234&amp;"|ALL",V8_COHORT_TABLE,4,FALSE),IFERROR(VLOOKUP(P234&amp;"|ALL|ALL",V8_COHORT_TABLE,4,FALSE),VLOOKUP("GLOBAL",V8_COHORT_TABLE,4,FALSE))))</f>
        <v/>
      </c>
      <c r="Y234" s="15">
        <f>IFERROR(VLOOKUP(S234,V8_COHORT_TABLE,5,FALSE),IFERROR(VLOOKUP(P234&amp;"|"&amp;Q234&amp;"|ALL",V8_COHORT_TABLE,5,FALSE),IFERROR(VLOOKUP(P234&amp;"|ALL|ALL",V8_COHORT_TABLE,5,FALSE),VLOOKUP("GLOBAL",V8_COHORT_TABLE,5,FALSE))))</f>
        <v/>
      </c>
      <c r="Z234" s="15">
        <f>V234+W234/(1+EXP(-(U234-X234)/Y234))</f>
        <v/>
      </c>
      <c r="AA234" s="16">
        <f>1-(1-Z234)^12</f>
        <v/>
      </c>
      <c r="AB234" s="14">
        <f>IF(K234&lt;=V8_AGE_KNOT_X_0,V8_AGE_KNOT_Y_0,IF(K234&gt;=V8_AGE_KNOT_X_5,V8_AGE_KNOT_Y_5,IF(K234&lt;=V8_AGE_KNOT_X_1,V8_AGE_KNOT_Y_0+(K234-V8_AGE_KNOT_X_0)/(V8_AGE_KNOT_X_1-V8_AGE_KNOT_X_0)*(V8_AGE_KNOT_Y_1-V8_AGE_KNOT_Y_0),IF(K234&lt;=V8_AGE_KNOT_X_2,V8_AGE_KNOT_Y_1+(K234-V8_AGE_KNOT_X_1)/(V8_AGE_KNOT_X_2-V8_AGE_KNOT_X_1)*(V8_AGE_KNOT_Y_2-V8_AGE_KNOT_Y_1),IF(K234&lt;=V8_AGE_KNOT_X_3,V8_AGE_KNOT_Y_2+(K234-V8_AGE_KNOT_X_2)/(V8_AGE_KNOT_X_3-V8_AGE_KNOT_X_2)*(V8_AGE_KNOT_Y_3-V8_AGE_KNOT_Y_2),IF(K234&lt;=V8_AGE_KNOT_X_4,V8_AGE_KNOT_Y_3+(K234-V8_AGE_KNOT_X_3)/(V8_AGE_KNOT_X_4-V8_AGE_KNOT_X_3)*(V8_AGE_KNOT_Y_4-V8_AGE_KNOT_Y_3),V8_AGE_KNOT_Y_4+(K234-V8_AGE_KNOT_X_4)/(V8_AGE_KNOT_X_5-V8_AGE_KNOT_X_4)*(V8_AGE_KNOT_Y_5-V8_AGE_KNOT_Y_4)))))))</f>
        <v/>
      </c>
      <c r="AC234" s="14">
        <f>IF(IF(OR(L234="",NOT(ISNUMBER(L234))),360,MAX(0,MIN(480,(INT(L234/100)-INT(VALUE(F234)/100))*12+MOD(L234,100)-MOD(VALUE(F234),100))))&gt;0,1+V8_MTY_AMP*MAX(0,(V8_MTY_CUTOFF-(IF(OR(L234="",NOT(ISNUMBER(L234))),360,MAX(0,MIN(480,(INT(L234/100)-INT(VALUE(F234)/100))*12+MOD(L234,100)-MOD(VALUE(F234),100))))))/V8_MTY_CUTOFF),1)</f>
        <v/>
      </c>
      <c r="AD234" s="14">
        <f>IF(AND(IF(OR(M234="",NOT(ISNUMBER(M234))),0,MAX(0,MIN(24,(INT(VALUE(F234)/100)-INT(M234/100))*12+MOD(VALUE(F234),100)-MOD(M234,100))))&gt;0,IF(OR(M234="",NOT(ISNUMBER(M234))),0,MAX(0,MIN(24,(INT(VALUE(F234)/100)-INT(M234/100))*12+MOD(VALUE(F234),100)-MOD(M234,100))))&lt;=12),1+V8_LOCKOUT_AMP*EXP(-(IF(OR(M234="",NOT(ISNUMBER(M234))),0,MAX(0,MIN(24,(INT(VALUE(F234)/100)-INT(M234/100))*12+MOD(VALUE(F234),100)-MOD(M234,100)))))/V8_LOCKOUT_TAU),1)</f>
        <v/>
      </c>
      <c r="AE234" s="14">
        <f>MAX(V8_BURN_FLOOR,1-V8_BURN_SLOPE*MIN(1,MAX(0,O234)))</f>
        <v/>
      </c>
      <c r="AF234" s="15">
        <f>MIN(Z234*AB234*AC234*AD234*AE234,0.2)</f>
        <v/>
      </c>
      <c r="AG234" s="16">
        <f>1-(1-AF234)^12</f>
        <v/>
      </c>
    </row>
    <row r="235">
      <c r="A235" s="2" t="inlineStr">
        <is>
          <t>000006611276</t>
        </is>
      </c>
      <c r="B235" t="inlineStr">
        <is>
          <t>223f</t>
        </is>
      </c>
      <c r="C235" t="inlineStr">
        <is>
          <t>RP</t>
        </is>
      </c>
      <c r="D235" t="inlineStr">
        <is>
          <t>JLL REAL ESTATE CAPITAL, LLC</t>
        </is>
      </c>
      <c r="E235" t="n">
        <v>2022</v>
      </c>
      <c r="F235" t="inlineStr">
        <is>
          <t>202602</t>
        </is>
      </c>
      <c r="G235" s="8" t="n">
        <v>17732412.69</v>
      </c>
      <c r="H235" s="12" t="n">
        <v>4.145</v>
      </c>
      <c r="I235" s="13" t="n">
        <v>447</v>
      </c>
      <c r="J235" s="13" t="n">
        <v>1</v>
      </c>
      <c r="K235" t="n">
        <v>42</v>
      </c>
      <c r="L235" t="n">
        <v>205709</v>
      </c>
      <c r="M235" t="inlineStr"/>
      <c r="N235" t="n">
        <v>0</v>
      </c>
      <c r="O235" s="14" t="n">
        <v>0</v>
      </c>
      <c r="P235">
        <f>IF(ISNUMBER(SEARCH("232",B235)),"232",IF(ISNUMBER(SEARCH("538",B235)),"538",IF(ISNUMBER(SEARCH("223a7",B235)),"223a7",IF(ISNUMBER(SEARCH("223f",B235)),"223f","OTHER"))))</f>
        <v/>
      </c>
      <c r="Q235">
        <f>IF(UPPER(C235)="NC","NC","RP")</f>
        <v/>
      </c>
      <c r="R235">
        <f>IF(G235&lt;5000000,"small",IF(G235&lt;25000000,"medium","large"))</f>
        <v/>
      </c>
      <c r="S235">
        <f>P235&amp;"|"&amp;Q235&amp;"|"&amp;R235</f>
        <v/>
      </c>
      <c r="T235" s="13">
        <f>H235*100-I235</f>
        <v/>
      </c>
      <c r="U235" s="13">
        <f>T235-12.5*(J235+1)</f>
        <v/>
      </c>
      <c r="V235" s="15">
        <f>IFERROR(VLOOKUP(S235,V8_COHORT_TABLE,2,FALSE),IFERROR(VLOOKUP(P235&amp;"|"&amp;Q235&amp;"|ALL",V8_COHORT_TABLE,2,FALSE),IFERROR(VLOOKUP(P235&amp;"|ALL|ALL",V8_COHORT_TABLE,2,FALSE),VLOOKUP("GLOBAL",V8_COHORT_TABLE,2,FALSE))))</f>
        <v/>
      </c>
      <c r="W235" s="15">
        <f>IFERROR(VLOOKUP(S235,V8_COHORT_TABLE,3,FALSE),IFERROR(VLOOKUP(P235&amp;"|"&amp;Q235&amp;"|ALL",V8_COHORT_TABLE,3,FALSE),IFERROR(VLOOKUP(P235&amp;"|ALL|ALL",V8_COHORT_TABLE,3,FALSE),VLOOKUP("GLOBAL",V8_COHORT_TABLE,3,FALSE))))</f>
        <v/>
      </c>
      <c r="X235" s="15">
        <f>IFERROR(VLOOKUP(S235,V8_COHORT_TABLE,4,FALSE),IFERROR(VLOOKUP(P235&amp;"|"&amp;Q235&amp;"|ALL",V8_COHORT_TABLE,4,FALSE),IFERROR(VLOOKUP(P235&amp;"|ALL|ALL",V8_COHORT_TABLE,4,FALSE),VLOOKUP("GLOBAL",V8_COHORT_TABLE,4,FALSE))))</f>
        <v/>
      </c>
      <c r="Y235" s="15">
        <f>IFERROR(VLOOKUP(S235,V8_COHORT_TABLE,5,FALSE),IFERROR(VLOOKUP(P235&amp;"|"&amp;Q235&amp;"|ALL",V8_COHORT_TABLE,5,FALSE),IFERROR(VLOOKUP(P235&amp;"|ALL|ALL",V8_COHORT_TABLE,5,FALSE),VLOOKUP("GLOBAL",V8_COHORT_TABLE,5,FALSE))))</f>
        <v/>
      </c>
      <c r="Z235" s="15">
        <f>V235+W235/(1+EXP(-(U235-X235)/Y235))</f>
        <v/>
      </c>
      <c r="AA235" s="16">
        <f>1-(1-Z235)^12</f>
        <v/>
      </c>
      <c r="AB235" s="14">
        <f>IF(K235&lt;=V8_AGE_KNOT_X_0,V8_AGE_KNOT_Y_0,IF(K235&gt;=V8_AGE_KNOT_X_5,V8_AGE_KNOT_Y_5,IF(K235&lt;=V8_AGE_KNOT_X_1,V8_AGE_KNOT_Y_0+(K235-V8_AGE_KNOT_X_0)/(V8_AGE_KNOT_X_1-V8_AGE_KNOT_X_0)*(V8_AGE_KNOT_Y_1-V8_AGE_KNOT_Y_0),IF(K235&lt;=V8_AGE_KNOT_X_2,V8_AGE_KNOT_Y_1+(K235-V8_AGE_KNOT_X_1)/(V8_AGE_KNOT_X_2-V8_AGE_KNOT_X_1)*(V8_AGE_KNOT_Y_2-V8_AGE_KNOT_Y_1),IF(K235&lt;=V8_AGE_KNOT_X_3,V8_AGE_KNOT_Y_2+(K235-V8_AGE_KNOT_X_2)/(V8_AGE_KNOT_X_3-V8_AGE_KNOT_X_2)*(V8_AGE_KNOT_Y_3-V8_AGE_KNOT_Y_2),IF(K235&lt;=V8_AGE_KNOT_X_4,V8_AGE_KNOT_Y_3+(K235-V8_AGE_KNOT_X_3)/(V8_AGE_KNOT_X_4-V8_AGE_KNOT_X_3)*(V8_AGE_KNOT_Y_4-V8_AGE_KNOT_Y_3),V8_AGE_KNOT_Y_4+(K235-V8_AGE_KNOT_X_4)/(V8_AGE_KNOT_X_5-V8_AGE_KNOT_X_4)*(V8_AGE_KNOT_Y_5-V8_AGE_KNOT_Y_4)))))))</f>
        <v/>
      </c>
      <c r="AC235" s="14">
        <f>IF(IF(OR(L235="",NOT(ISNUMBER(L235))),360,MAX(0,MIN(480,(INT(L235/100)-INT(VALUE(F235)/100))*12+MOD(L235,100)-MOD(VALUE(F235),100))))&gt;0,1+V8_MTY_AMP*MAX(0,(V8_MTY_CUTOFF-(IF(OR(L235="",NOT(ISNUMBER(L235))),360,MAX(0,MIN(480,(INT(L235/100)-INT(VALUE(F235)/100))*12+MOD(L235,100)-MOD(VALUE(F235),100))))))/V8_MTY_CUTOFF),1)</f>
        <v/>
      </c>
      <c r="AD235" s="14">
        <f>IF(AND(IF(OR(M235="",NOT(ISNUMBER(M235))),0,MAX(0,MIN(24,(INT(VALUE(F235)/100)-INT(M235/100))*12+MOD(VALUE(F235),100)-MOD(M235,100))))&gt;0,IF(OR(M235="",NOT(ISNUMBER(M235))),0,MAX(0,MIN(24,(INT(VALUE(F235)/100)-INT(M235/100))*12+MOD(VALUE(F235),100)-MOD(M235,100))))&lt;=12),1+V8_LOCKOUT_AMP*EXP(-(IF(OR(M235="",NOT(ISNUMBER(M235))),0,MAX(0,MIN(24,(INT(VALUE(F235)/100)-INT(M235/100))*12+MOD(VALUE(F235),100)-MOD(M235,100)))))/V8_LOCKOUT_TAU),1)</f>
        <v/>
      </c>
      <c r="AE235" s="14">
        <f>MAX(V8_BURN_FLOOR,1-V8_BURN_SLOPE*MIN(1,MAX(0,O235)))</f>
        <v/>
      </c>
      <c r="AF235" s="15">
        <f>MIN(Z235*AB235*AC235*AD235*AE235,0.2)</f>
        <v/>
      </c>
      <c r="AG235" s="16">
        <f>1-(1-AF235)^12</f>
        <v/>
      </c>
    </row>
    <row r="236">
      <c r="A236" s="2" t="inlineStr">
        <is>
          <t>000009211334</t>
        </is>
      </c>
      <c r="B236" t="inlineStr">
        <is>
          <t>223a7</t>
        </is>
      </c>
      <c r="C236" t="inlineStr">
        <is>
          <t>RP</t>
        </is>
      </c>
      <c r="D236" t="inlineStr">
        <is>
          <t>JLL REAL ESTATE CAPITAL, LLC</t>
        </is>
      </c>
      <c r="E236" t="n">
        <v>2013</v>
      </c>
      <c r="F236" t="inlineStr">
        <is>
          <t>202602</t>
        </is>
      </c>
      <c r="G236" s="8" t="n">
        <v>1229667.79</v>
      </c>
      <c r="H236" s="12" t="n">
        <v>2.7</v>
      </c>
      <c r="I236" s="13" t="n">
        <v>447</v>
      </c>
      <c r="J236" s="13" t="n">
        <v>0</v>
      </c>
      <c r="K236" t="n">
        <v>156</v>
      </c>
      <c r="L236" t="n">
        <v>203909</v>
      </c>
      <c r="M236" t="n">
        <v>201404</v>
      </c>
      <c r="N236" t="n">
        <v>0</v>
      </c>
      <c r="O236" s="14" t="n">
        <v>0</v>
      </c>
      <c r="P236">
        <f>IF(ISNUMBER(SEARCH("232",B236)),"232",IF(ISNUMBER(SEARCH("538",B236)),"538",IF(ISNUMBER(SEARCH("223a7",B236)),"223a7",IF(ISNUMBER(SEARCH("223f",B236)),"223f","OTHER"))))</f>
        <v/>
      </c>
      <c r="Q236">
        <f>IF(UPPER(C236)="NC","NC","RP")</f>
        <v/>
      </c>
      <c r="R236">
        <f>IF(G236&lt;5000000,"small",IF(G236&lt;25000000,"medium","large"))</f>
        <v/>
      </c>
      <c r="S236">
        <f>P236&amp;"|"&amp;Q236&amp;"|"&amp;R236</f>
        <v/>
      </c>
      <c r="T236" s="13">
        <f>H236*100-I236</f>
        <v/>
      </c>
      <c r="U236" s="13">
        <f>T236-12.5*(J236+1)</f>
        <v/>
      </c>
      <c r="V236" s="15">
        <f>IFERROR(VLOOKUP(S236,V8_COHORT_TABLE,2,FALSE),IFERROR(VLOOKUP(P236&amp;"|"&amp;Q236&amp;"|ALL",V8_COHORT_TABLE,2,FALSE),IFERROR(VLOOKUP(P236&amp;"|ALL|ALL",V8_COHORT_TABLE,2,FALSE),VLOOKUP("GLOBAL",V8_COHORT_TABLE,2,FALSE))))</f>
        <v/>
      </c>
      <c r="W236" s="15">
        <f>IFERROR(VLOOKUP(S236,V8_COHORT_TABLE,3,FALSE),IFERROR(VLOOKUP(P236&amp;"|"&amp;Q236&amp;"|ALL",V8_COHORT_TABLE,3,FALSE),IFERROR(VLOOKUP(P236&amp;"|ALL|ALL",V8_COHORT_TABLE,3,FALSE),VLOOKUP("GLOBAL",V8_COHORT_TABLE,3,FALSE))))</f>
        <v/>
      </c>
      <c r="X236" s="15">
        <f>IFERROR(VLOOKUP(S236,V8_COHORT_TABLE,4,FALSE),IFERROR(VLOOKUP(P236&amp;"|"&amp;Q236&amp;"|ALL",V8_COHORT_TABLE,4,FALSE),IFERROR(VLOOKUP(P236&amp;"|ALL|ALL",V8_COHORT_TABLE,4,FALSE),VLOOKUP("GLOBAL",V8_COHORT_TABLE,4,FALSE))))</f>
        <v/>
      </c>
      <c r="Y236" s="15">
        <f>IFERROR(VLOOKUP(S236,V8_COHORT_TABLE,5,FALSE),IFERROR(VLOOKUP(P236&amp;"|"&amp;Q236&amp;"|ALL",V8_COHORT_TABLE,5,FALSE),IFERROR(VLOOKUP(P236&amp;"|ALL|ALL",V8_COHORT_TABLE,5,FALSE),VLOOKUP("GLOBAL",V8_COHORT_TABLE,5,FALSE))))</f>
        <v/>
      </c>
      <c r="Z236" s="15">
        <f>V236+W236/(1+EXP(-(U236-X236)/Y236))</f>
        <v/>
      </c>
      <c r="AA236" s="16">
        <f>1-(1-Z236)^12</f>
        <v/>
      </c>
      <c r="AB236" s="14">
        <f>IF(K236&lt;=V8_AGE_KNOT_X_0,V8_AGE_KNOT_Y_0,IF(K236&gt;=V8_AGE_KNOT_X_5,V8_AGE_KNOT_Y_5,IF(K236&lt;=V8_AGE_KNOT_X_1,V8_AGE_KNOT_Y_0+(K236-V8_AGE_KNOT_X_0)/(V8_AGE_KNOT_X_1-V8_AGE_KNOT_X_0)*(V8_AGE_KNOT_Y_1-V8_AGE_KNOT_Y_0),IF(K236&lt;=V8_AGE_KNOT_X_2,V8_AGE_KNOT_Y_1+(K236-V8_AGE_KNOT_X_1)/(V8_AGE_KNOT_X_2-V8_AGE_KNOT_X_1)*(V8_AGE_KNOT_Y_2-V8_AGE_KNOT_Y_1),IF(K236&lt;=V8_AGE_KNOT_X_3,V8_AGE_KNOT_Y_2+(K236-V8_AGE_KNOT_X_2)/(V8_AGE_KNOT_X_3-V8_AGE_KNOT_X_2)*(V8_AGE_KNOT_Y_3-V8_AGE_KNOT_Y_2),IF(K236&lt;=V8_AGE_KNOT_X_4,V8_AGE_KNOT_Y_3+(K236-V8_AGE_KNOT_X_3)/(V8_AGE_KNOT_X_4-V8_AGE_KNOT_X_3)*(V8_AGE_KNOT_Y_4-V8_AGE_KNOT_Y_3),V8_AGE_KNOT_Y_4+(K236-V8_AGE_KNOT_X_4)/(V8_AGE_KNOT_X_5-V8_AGE_KNOT_X_4)*(V8_AGE_KNOT_Y_5-V8_AGE_KNOT_Y_4)))))))</f>
        <v/>
      </c>
      <c r="AC236" s="14">
        <f>IF(IF(OR(L236="",NOT(ISNUMBER(L236))),360,MAX(0,MIN(480,(INT(L236/100)-INT(VALUE(F236)/100))*12+MOD(L236,100)-MOD(VALUE(F236),100))))&gt;0,1+V8_MTY_AMP*MAX(0,(V8_MTY_CUTOFF-(IF(OR(L236="",NOT(ISNUMBER(L236))),360,MAX(0,MIN(480,(INT(L236/100)-INT(VALUE(F236)/100))*12+MOD(L236,100)-MOD(VALUE(F236),100))))))/V8_MTY_CUTOFF),1)</f>
        <v/>
      </c>
      <c r="AD236" s="14">
        <f>IF(AND(IF(OR(M236="",NOT(ISNUMBER(M236))),0,MAX(0,MIN(24,(INT(VALUE(F236)/100)-INT(M236/100))*12+MOD(VALUE(F236),100)-MOD(M236,100))))&gt;0,IF(OR(M236="",NOT(ISNUMBER(M236))),0,MAX(0,MIN(24,(INT(VALUE(F236)/100)-INT(M236/100))*12+MOD(VALUE(F236),100)-MOD(M236,100))))&lt;=12),1+V8_LOCKOUT_AMP*EXP(-(IF(OR(M236="",NOT(ISNUMBER(M236))),0,MAX(0,MIN(24,(INT(VALUE(F236)/100)-INT(M236/100))*12+MOD(VALUE(F236),100)-MOD(M236,100)))))/V8_LOCKOUT_TAU),1)</f>
        <v/>
      </c>
      <c r="AE236" s="14">
        <f>MAX(V8_BURN_FLOOR,1-V8_BURN_SLOPE*MIN(1,MAX(0,O236)))</f>
        <v/>
      </c>
      <c r="AF236" s="15">
        <f>MIN(Z236*AB236*AC236*AD236*AE236,0.2)</f>
        <v/>
      </c>
      <c r="AG236" s="16">
        <f>1-(1-AF236)^12</f>
        <v/>
      </c>
    </row>
    <row r="237">
      <c r="A237" s="2" t="inlineStr">
        <is>
          <t>028996371108</t>
        </is>
      </c>
      <c r="B237" t="inlineStr">
        <is>
          <t>538</t>
        </is>
      </c>
      <c r="C237" t="inlineStr">
        <is>
          <t>538</t>
        </is>
      </c>
      <c r="D237" t="inlineStr">
        <is>
          <t>BELLWETHER ENTERPRISE REAL ESTATE CAPITA</t>
        </is>
      </c>
      <c r="E237" t="n">
        <v>2024</v>
      </c>
      <c r="F237" t="inlineStr">
        <is>
          <t>202602</t>
        </is>
      </c>
      <c r="G237" s="8" t="n">
        <v>4392205.88</v>
      </c>
      <c r="H237" s="12" t="n">
        <v>3.84</v>
      </c>
      <c r="I237" s="13" t="n">
        <v>447</v>
      </c>
      <c r="J237" s="13" t="n">
        <v>10</v>
      </c>
      <c r="K237" t="n">
        <v>23</v>
      </c>
      <c r="L237" t="n">
        <v>206404</v>
      </c>
      <c r="M237" t="inlineStr"/>
      <c r="N237" t="n">
        <v>0</v>
      </c>
      <c r="O237" s="14" t="n">
        <v>0</v>
      </c>
      <c r="P237">
        <f>IF(ISNUMBER(SEARCH("232",B237)),"232",IF(ISNUMBER(SEARCH("538",B237)),"538",IF(ISNUMBER(SEARCH("223a7",B237)),"223a7",IF(ISNUMBER(SEARCH("223f",B237)),"223f","OTHER"))))</f>
        <v/>
      </c>
      <c r="Q237">
        <f>IF(UPPER(C237)="NC","NC","RP")</f>
        <v/>
      </c>
      <c r="R237">
        <f>IF(G237&lt;5000000,"small",IF(G237&lt;25000000,"medium","large"))</f>
        <v/>
      </c>
      <c r="S237">
        <f>P237&amp;"|"&amp;Q237&amp;"|"&amp;R237</f>
        <v/>
      </c>
      <c r="T237" s="13">
        <f>H237*100-I237</f>
        <v/>
      </c>
      <c r="U237" s="13">
        <f>T237-12.5*(J237+1)</f>
        <v/>
      </c>
      <c r="V237" s="15">
        <f>IFERROR(VLOOKUP(S237,V8_COHORT_TABLE,2,FALSE),IFERROR(VLOOKUP(P237&amp;"|"&amp;Q237&amp;"|ALL",V8_COHORT_TABLE,2,FALSE),IFERROR(VLOOKUP(P237&amp;"|ALL|ALL",V8_COHORT_TABLE,2,FALSE),VLOOKUP("GLOBAL",V8_COHORT_TABLE,2,FALSE))))</f>
        <v/>
      </c>
      <c r="W237" s="15">
        <f>IFERROR(VLOOKUP(S237,V8_COHORT_TABLE,3,FALSE),IFERROR(VLOOKUP(P237&amp;"|"&amp;Q237&amp;"|ALL",V8_COHORT_TABLE,3,FALSE),IFERROR(VLOOKUP(P237&amp;"|ALL|ALL",V8_COHORT_TABLE,3,FALSE),VLOOKUP("GLOBAL",V8_COHORT_TABLE,3,FALSE))))</f>
        <v/>
      </c>
      <c r="X237" s="15">
        <f>IFERROR(VLOOKUP(S237,V8_COHORT_TABLE,4,FALSE),IFERROR(VLOOKUP(P237&amp;"|"&amp;Q237&amp;"|ALL",V8_COHORT_TABLE,4,FALSE),IFERROR(VLOOKUP(P237&amp;"|ALL|ALL",V8_COHORT_TABLE,4,FALSE),VLOOKUP("GLOBAL",V8_COHORT_TABLE,4,FALSE))))</f>
        <v/>
      </c>
      <c r="Y237" s="15">
        <f>IFERROR(VLOOKUP(S237,V8_COHORT_TABLE,5,FALSE),IFERROR(VLOOKUP(P237&amp;"|"&amp;Q237&amp;"|ALL",V8_COHORT_TABLE,5,FALSE),IFERROR(VLOOKUP(P237&amp;"|ALL|ALL",V8_COHORT_TABLE,5,FALSE),VLOOKUP("GLOBAL",V8_COHORT_TABLE,5,FALSE))))</f>
        <v/>
      </c>
      <c r="Z237" s="15">
        <f>V237+W237/(1+EXP(-(U237-X237)/Y237))</f>
        <v/>
      </c>
      <c r="AA237" s="16">
        <f>1-(1-Z237)^12</f>
        <v/>
      </c>
      <c r="AB237" s="14">
        <f>IF(K237&lt;=V8_AGE_KNOT_X_0,V8_AGE_KNOT_Y_0,IF(K237&gt;=V8_AGE_KNOT_X_5,V8_AGE_KNOT_Y_5,IF(K237&lt;=V8_AGE_KNOT_X_1,V8_AGE_KNOT_Y_0+(K237-V8_AGE_KNOT_X_0)/(V8_AGE_KNOT_X_1-V8_AGE_KNOT_X_0)*(V8_AGE_KNOT_Y_1-V8_AGE_KNOT_Y_0),IF(K237&lt;=V8_AGE_KNOT_X_2,V8_AGE_KNOT_Y_1+(K237-V8_AGE_KNOT_X_1)/(V8_AGE_KNOT_X_2-V8_AGE_KNOT_X_1)*(V8_AGE_KNOT_Y_2-V8_AGE_KNOT_Y_1),IF(K237&lt;=V8_AGE_KNOT_X_3,V8_AGE_KNOT_Y_2+(K237-V8_AGE_KNOT_X_2)/(V8_AGE_KNOT_X_3-V8_AGE_KNOT_X_2)*(V8_AGE_KNOT_Y_3-V8_AGE_KNOT_Y_2),IF(K237&lt;=V8_AGE_KNOT_X_4,V8_AGE_KNOT_Y_3+(K237-V8_AGE_KNOT_X_3)/(V8_AGE_KNOT_X_4-V8_AGE_KNOT_X_3)*(V8_AGE_KNOT_Y_4-V8_AGE_KNOT_Y_3),V8_AGE_KNOT_Y_4+(K237-V8_AGE_KNOT_X_4)/(V8_AGE_KNOT_X_5-V8_AGE_KNOT_X_4)*(V8_AGE_KNOT_Y_5-V8_AGE_KNOT_Y_4)))))))</f>
        <v/>
      </c>
      <c r="AC237" s="14">
        <f>IF(IF(OR(L237="",NOT(ISNUMBER(L237))),360,MAX(0,MIN(480,(INT(L237/100)-INT(VALUE(F237)/100))*12+MOD(L237,100)-MOD(VALUE(F237),100))))&gt;0,1+V8_MTY_AMP*MAX(0,(V8_MTY_CUTOFF-(IF(OR(L237="",NOT(ISNUMBER(L237))),360,MAX(0,MIN(480,(INT(L237/100)-INT(VALUE(F237)/100))*12+MOD(L237,100)-MOD(VALUE(F237),100))))))/V8_MTY_CUTOFF),1)</f>
        <v/>
      </c>
      <c r="AD237" s="14">
        <f>IF(AND(IF(OR(M237="",NOT(ISNUMBER(M237))),0,MAX(0,MIN(24,(INT(VALUE(F237)/100)-INT(M237/100))*12+MOD(VALUE(F237),100)-MOD(M237,100))))&gt;0,IF(OR(M237="",NOT(ISNUMBER(M237))),0,MAX(0,MIN(24,(INT(VALUE(F237)/100)-INT(M237/100))*12+MOD(VALUE(F237),100)-MOD(M237,100))))&lt;=12),1+V8_LOCKOUT_AMP*EXP(-(IF(OR(M237="",NOT(ISNUMBER(M237))),0,MAX(0,MIN(24,(INT(VALUE(F237)/100)-INT(M237/100))*12+MOD(VALUE(F237),100)-MOD(M237,100)))))/V8_LOCKOUT_TAU),1)</f>
        <v/>
      </c>
      <c r="AE237" s="14">
        <f>MAX(V8_BURN_FLOOR,1-V8_BURN_SLOPE*MIN(1,MAX(0,O237)))</f>
        <v/>
      </c>
      <c r="AF237" s="15">
        <f>MIN(Z237*AB237*AC237*AD237*AE237,0.2)</f>
        <v/>
      </c>
      <c r="AG237" s="16">
        <f>1-(1-AF237)^12</f>
        <v/>
      </c>
    </row>
    <row r="238">
      <c r="A238" s="2" t="inlineStr">
        <is>
          <t>003374578408</t>
        </is>
      </c>
      <c r="B238" t="inlineStr">
        <is>
          <t>538</t>
        </is>
      </c>
      <c r="C238" t="inlineStr">
        <is>
          <t>538</t>
        </is>
      </c>
      <c r="D238" t="inlineStr">
        <is>
          <t>BELLWETHER ENTERPRISE REAL ESTATE CAPITA</t>
        </is>
      </c>
      <c r="E238" t="n">
        <v>2010</v>
      </c>
      <c r="F238" t="inlineStr">
        <is>
          <t>202602</t>
        </is>
      </c>
      <c r="G238" s="8" t="n">
        <v>862013.46</v>
      </c>
      <c r="H238" s="12" t="n">
        <v>5.29</v>
      </c>
      <c r="I238" s="13" t="n">
        <v>447</v>
      </c>
      <c r="J238" s="13" t="n">
        <v>0</v>
      </c>
      <c r="K238" t="n">
        <v>184</v>
      </c>
      <c r="L238" t="n">
        <v>205011</v>
      </c>
      <c r="M238" t="n">
        <v>201212</v>
      </c>
      <c r="N238" t="n">
        <v>75</v>
      </c>
      <c r="O238" s="14" t="n">
        <v>0.4076086956521739</v>
      </c>
      <c r="P238">
        <f>IF(ISNUMBER(SEARCH("232",B238)),"232",IF(ISNUMBER(SEARCH("538",B238)),"538",IF(ISNUMBER(SEARCH("223a7",B238)),"223a7",IF(ISNUMBER(SEARCH("223f",B238)),"223f","OTHER"))))</f>
        <v/>
      </c>
      <c r="Q238">
        <f>IF(UPPER(C238)="NC","NC","RP")</f>
        <v/>
      </c>
      <c r="R238">
        <f>IF(G238&lt;5000000,"small",IF(G238&lt;25000000,"medium","large"))</f>
        <v/>
      </c>
      <c r="S238">
        <f>P238&amp;"|"&amp;Q238&amp;"|"&amp;R238</f>
        <v/>
      </c>
      <c r="T238" s="13">
        <f>H238*100-I238</f>
        <v/>
      </c>
      <c r="U238" s="13">
        <f>T238-12.5*(J238+1)</f>
        <v/>
      </c>
      <c r="V238" s="15">
        <f>IFERROR(VLOOKUP(S238,V8_COHORT_TABLE,2,FALSE),IFERROR(VLOOKUP(P238&amp;"|"&amp;Q238&amp;"|ALL",V8_COHORT_TABLE,2,FALSE),IFERROR(VLOOKUP(P238&amp;"|ALL|ALL",V8_COHORT_TABLE,2,FALSE),VLOOKUP("GLOBAL",V8_COHORT_TABLE,2,FALSE))))</f>
        <v/>
      </c>
      <c r="W238" s="15">
        <f>IFERROR(VLOOKUP(S238,V8_COHORT_TABLE,3,FALSE),IFERROR(VLOOKUP(P238&amp;"|"&amp;Q238&amp;"|ALL",V8_COHORT_TABLE,3,FALSE),IFERROR(VLOOKUP(P238&amp;"|ALL|ALL",V8_COHORT_TABLE,3,FALSE),VLOOKUP("GLOBAL",V8_COHORT_TABLE,3,FALSE))))</f>
        <v/>
      </c>
      <c r="X238" s="15">
        <f>IFERROR(VLOOKUP(S238,V8_COHORT_TABLE,4,FALSE),IFERROR(VLOOKUP(P238&amp;"|"&amp;Q238&amp;"|ALL",V8_COHORT_TABLE,4,FALSE),IFERROR(VLOOKUP(P238&amp;"|ALL|ALL",V8_COHORT_TABLE,4,FALSE),VLOOKUP("GLOBAL",V8_COHORT_TABLE,4,FALSE))))</f>
        <v/>
      </c>
      <c r="Y238" s="15">
        <f>IFERROR(VLOOKUP(S238,V8_COHORT_TABLE,5,FALSE),IFERROR(VLOOKUP(P238&amp;"|"&amp;Q238&amp;"|ALL",V8_COHORT_TABLE,5,FALSE),IFERROR(VLOOKUP(P238&amp;"|ALL|ALL",V8_COHORT_TABLE,5,FALSE),VLOOKUP("GLOBAL",V8_COHORT_TABLE,5,FALSE))))</f>
        <v/>
      </c>
      <c r="Z238" s="15">
        <f>V238+W238/(1+EXP(-(U238-X238)/Y238))</f>
        <v/>
      </c>
      <c r="AA238" s="16">
        <f>1-(1-Z238)^12</f>
        <v/>
      </c>
      <c r="AB238" s="14">
        <f>IF(K238&lt;=V8_AGE_KNOT_X_0,V8_AGE_KNOT_Y_0,IF(K238&gt;=V8_AGE_KNOT_X_5,V8_AGE_KNOT_Y_5,IF(K238&lt;=V8_AGE_KNOT_X_1,V8_AGE_KNOT_Y_0+(K238-V8_AGE_KNOT_X_0)/(V8_AGE_KNOT_X_1-V8_AGE_KNOT_X_0)*(V8_AGE_KNOT_Y_1-V8_AGE_KNOT_Y_0),IF(K238&lt;=V8_AGE_KNOT_X_2,V8_AGE_KNOT_Y_1+(K238-V8_AGE_KNOT_X_1)/(V8_AGE_KNOT_X_2-V8_AGE_KNOT_X_1)*(V8_AGE_KNOT_Y_2-V8_AGE_KNOT_Y_1),IF(K238&lt;=V8_AGE_KNOT_X_3,V8_AGE_KNOT_Y_2+(K238-V8_AGE_KNOT_X_2)/(V8_AGE_KNOT_X_3-V8_AGE_KNOT_X_2)*(V8_AGE_KNOT_Y_3-V8_AGE_KNOT_Y_2),IF(K238&lt;=V8_AGE_KNOT_X_4,V8_AGE_KNOT_Y_3+(K238-V8_AGE_KNOT_X_3)/(V8_AGE_KNOT_X_4-V8_AGE_KNOT_X_3)*(V8_AGE_KNOT_Y_4-V8_AGE_KNOT_Y_3),V8_AGE_KNOT_Y_4+(K238-V8_AGE_KNOT_X_4)/(V8_AGE_KNOT_X_5-V8_AGE_KNOT_X_4)*(V8_AGE_KNOT_Y_5-V8_AGE_KNOT_Y_4)))))))</f>
        <v/>
      </c>
      <c r="AC238" s="14">
        <f>IF(IF(OR(L238="",NOT(ISNUMBER(L238))),360,MAX(0,MIN(480,(INT(L238/100)-INT(VALUE(F238)/100))*12+MOD(L238,100)-MOD(VALUE(F238),100))))&gt;0,1+V8_MTY_AMP*MAX(0,(V8_MTY_CUTOFF-(IF(OR(L238="",NOT(ISNUMBER(L238))),360,MAX(0,MIN(480,(INT(L238/100)-INT(VALUE(F238)/100))*12+MOD(L238,100)-MOD(VALUE(F238),100))))))/V8_MTY_CUTOFF),1)</f>
        <v/>
      </c>
      <c r="AD238" s="14">
        <f>IF(AND(IF(OR(M238="",NOT(ISNUMBER(M238))),0,MAX(0,MIN(24,(INT(VALUE(F238)/100)-INT(M238/100))*12+MOD(VALUE(F238),100)-MOD(M238,100))))&gt;0,IF(OR(M238="",NOT(ISNUMBER(M238))),0,MAX(0,MIN(24,(INT(VALUE(F238)/100)-INT(M238/100))*12+MOD(VALUE(F238),100)-MOD(M238,100))))&lt;=12),1+V8_LOCKOUT_AMP*EXP(-(IF(OR(M238="",NOT(ISNUMBER(M238))),0,MAX(0,MIN(24,(INT(VALUE(F238)/100)-INT(M238/100))*12+MOD(VALUE(F238),100)-MOD(M238,100)))))/V8_LOCKOUT_TAU),1)</f>
        <v/>
      </c>
      <c r="AE238" s="14">
        <f>MAX(V8_BURN_FLOOR,1-V8_BURN_SLOPE*MIN(1,MAX(0,O238)))</f>
        <v/>
      </c>
      <c r="AF238" s="15">
        <f>MIN(Z238*AB238*AC238*AD238*AE238,0.2)</f>
        <v/>
      </c>
      <c r="AG238" s="16">
        <f>1-(1-AF238)^12</f>
        <v/>
      </c>
    </row>
    <row r="239">
      <c r="A239" s="2" t="inlineStr">
        <is>
          <t>015882752559</t>
        </is>
      </c>
      <c r="B239" t="inlineStr">
        <is>
          <t>538</t>
        </is>
      </c>
      <c r="C239" t="inlineStr">
        <is>
          <t>538</t>
        </is>
      </c>
      <c r="D239" t="inlineStr">
        <is>
          <t>BELLWETHER ENTERPRISE REAL ESTATE CAPITA</t>
        </is>
      </c>
      <c r="E239" t="n">
        <v>2015</v>
      </c>
      <c r="F239" t="inlineStr">
        <is>
          <t>202602</t>
        </is>
      </c>
      <c r="G239" s="8" t="n">
        <v>449622.75</v>
      </c>
      <c r="H239" s="12" t="n">
        <v>5.25</v>
      </c>
      <c r="I239" s="13" t="n">
        <v>447</v>
      </c>
      <c r="J239" s="13" t="n">
        <v>0</v>
      </c>
      <c r="K239" t="n">
        <v>125</v>
      </c>
      <c r="L239" t="n">
        <v>205510</v>
      </c>
      <c r="M239" t="inlineStr"/>
      <c r="N239" t="n">
        <v>62</v>
      </c>
      <c r="O239" s="14" t="n">
        <v>0.496</v>
      </c>
      <c r="P239">
        <f>IF(ISNUMBER(SEARCH("232",B239)),"232",IF(ISNUMBER(SEARCH("538",B239)),"538",IF(ISNUMBER(SEARCH("223a7",B239)),"223a7",IF(ISNUMBER(SEARCH("223f",B239)),"223f","OTHER"))))</f>
        <v/>
      </c>
      <c r="Q239">
        <f>IF(UPPER(C239)="NC","NC","RP")</f>
        <v/>
      </c>
      <c r="R239">
        <f>IF(G239&lt;5000000,"small",IF(G239&lt;25000000,"medium","large"))</f>
        <v/>
      </c>
      <c r="S239">
        <f>P239&amp;"|"&amp;Q239&amp;"|"&amp;R239</f>
        <v/>
      </c>
      <c r="T239" s="13">
        <f>H239*100-I239</f>
        <v/>
      </c>
      <c r="U239" s="13">
        <f>T239-12.5*(J239+1)</f>
        <v/>
      </c>
      <c r="V239" s="15">
        <f>IFERROR(VLOOKUP(S239,V8_COHORT_TABLE,2,FALSE),IFERROR(VLOOKUP(P239&amp;"|"&amp;Q239&amp;"|ALL",V8_COHORT_TABLE,2,FALSE),IFERROR(VLOOKUP(P239&amp;"|ALL|ALL",V8_COHORT_TABLE,2,FALSE),VLOOKUP("GLOBAL",V8_COHORT_TABLE,2,FALSE))))</f>
        <v/>
      </c>
      <c r="W239" s="15">
        <f>IFERROR(VLOOKUP(S239,V8_COHORT_TABLE,3,FALSE),IFERROR(VLOOKUP(P239&amp;"|"&amp;Q239&amp;"|ALL",V8_COHORT_TABLE,3,FALSE),IFERROR(VLOOKUP(P239&amp;"|ALL|ALL",V8_COHORT_TABLE,3,FALSE),VLOOKUP("GLOBAL",V8_COHORT_TABLE,3,FALSE))))</f>
        <v/>
      </c>
      <c r="X239" s="15">
        <f>IFERROR(VLOOKUP(S239,V8_COHORT_TABLE,4,FALSE),IFERROR(VLOOKUP(P239&amp;"|"&amp;Q239&amp;"|ALL",V8_COHORT_TABLE,4,FALSE),IFERROR(VLOOKUP(P239&amp;"|ALL|ALL",V8_COHORT_TABLE,4,FALSE),VLOOKUP("GLOBAL",V8_COHORT_TABLE,4,FALSE))))</f>
        <v/>
      </c>
      <c r="Y239" s="15">
        <f>IFERROR(VLOOKUP(S239,V8_COHORT_TABLE,5,FALSE),IFERROR(VLOOKUP(P239&amp;"|"&amp;Q239&amp;"|ALL",V8_COHORT_TABLE,5,FALSE),IFERROR(VLOOKUP(P239&amp;"|ALL|ALL",V8_COHORT_TABLE,5,FALSE),VLOOKUP("GLOBAL",V8_COHORT_TABLE,5,FALSE))))</f>
        <v/>
      </c>
      <c r="Z239" s="15">
        <f>V239+W239/(1+EXP(-(U239-X239)/Y239))</f>
        <v/>
      </c>
      <c r="AA239" s="16">
        <f>1-(1-Z239)^12</f>
        <v/>
      </c>
      <c r="AB239" s="14">
        <f>IF(K239&lt;=V8_AGE_KNOT_X_0,V8_AGE_KNOT_Y_0,IF(K239&gt;=V8_AGE_KNOT_X_5,V8_AGE_KNOT_Y_5,IF(K239&lt;=V8_AGE_KNOT_X_1,V8_AGE_KNOT_Y_0+(K239-V8_AGE_KNOT_X_0)/(V8_AGE_KNOT_X_1-V8_AGE_KNOT_X_0)*(V8_AGE_KNOT_Y_1-V8_AGE_KNOT_Y_0),IF(K239&lt;=V8_AGE_KNOT_X_2,V8_AGE_KNOT_Y_1+(K239-V8_AGE_KNOT_X_1)/(V8_AGE_KNOT_X_2-V8_AGE_KNOT_X_1)*(V8_AGE_KNOT_Y_2-V8_AGE_KNOT_Y_1),IF(K239&lt;=V8_AGE_KNOT_X_3,V8_AGE_KNOT_Y_2+(K239-V8_AGE_KNOT_X_2)/(V8_AGE_KNOT_X_3-V8_AGE_KNOT_X_2)*(V8_AGE_KNOT_Y_3-V8_AGE_KNOT_Y_2),IF(K239&lt;=V8_AGE_KNOT_X_4,V8_AGE_KNOT_Y_3+(K239-V8_AGE_KNOT_X_3)/(V8_AGE_KNOT_X_4-V8_AGE_KNOT_X_3)*(V8_AGE_KNOT_Y_4-V8_AGE_KNOT_Y_3),V8_AGE_KNOT_Y_4+(K239-V8_AGE_KNOT_X_4)/(V8_AGE_KNOT_X_5-V8_AGE_KNOT_X_4)*(V8_AGE_KNOT_Y_5-V8_AGE_KNOT_Y_4)))))))</f>
        <v/>
      </c>
      <c r="AC239" s="14">
        <f>IF(IF(OR(L239="",NOT(ISNUMBER(L239))),360,MAX(0,MIN(480,(INT(L239/100)-INT(VALUE(F239)/100))*12+MOD(L239,100)-MOD(VALUE(F239),100))))&gt;0,1+V8_MTY_AMP*MAX(0,(V8_MTY_CUTOFF-(IF(OR(L239="",NOT(ISNUMBER(L239))),360,MAX(0,MIN(480,(INT(L239/100)-INT(VALUE(F239)/100))*12+MOD(L239,100)-MOD(VALUE(F239),100))))))/V8_MTY_CUTOFF),1)</f>
        <v/>
      </c>
      <c r="AD239" s="14">
        <f>IF(AND(IF(OR(M239="",NOT(ISNUMBER(M239))),0,MAX(0,MIN(24,(INT(VALUE(F239)/100)-INT(M239/100))*12+MOD(VALUE(F239),100)-MOD(M239,100))))&gt;0,IF(OR(M239="",NOT(ISNUMBER(M239))),0,MAX(0,MIN(24,(INT(VALUE(F239)/100)-INT(M239/100))*12+MOD(VALUE(F239),100)-MOD(M239,100))))&lt;=12),1+V8_LOCKOUT_AMP*EXP(-(IF(OR(M239="",NOT(ISNUMBER(M239))),0,MAX(0,MIN(24,(INT(VALUE(F239)/100)-INT(M239/100))*12+MOD(VALUE(F239),100)-MOD(M239,100)))))/V8_LOCKOUT_TAU),1)</f>
        <v/>
      </c>
      <c r="AE239" s="14">
        <f>MAX(V8_BURN_FLOOR,1-V8_BURN_SLOPE*MIN(1,MAX(0,O239)))</f>
        <v/>
      </c>
      <c r="AF239" s="15">
        <f>MIN(Z239*AB239*AC239*AD239*AE239,0.2)</f>
        <v/>
      </c>
      <c r="AG239" s="16">
        <f>1-(1-AF239)^12</f>
        <v/>
      </c>
    </row>
    <row r="240">
      <c r="A240" s="2" t="inlineStr">
        <is>
          <t>000006135939</t>
        </is>
      </c>
      <c r="B240" t="inlineStr">
        <is>
          <t>221d4</t>
        </is>
      </c>
      <c r="C240" t="inlineStr">
        <is>
          <t>NC</t>
        </is>
      </c>
      <c r="D240" t="inlineStr">
        <is>
          <t>BELLWETHER ENTERPRISE REAL ESTATE CAPITA</t>
        </is>
      </c>
      <c r="E240" t="n">
        <v>2020</v>
      </c>
      <c r="F240" t="inlineStr">
        <is>
          <t>202602</t>
        </is>
      </c>
      <c r="G240" s="8" t="n">
        <v>8918835.859999999</v>
      </c>
      <c r="H240" s="12" t="n">
        <v>2.73</v>
      </c>
      <c r="I240" s="13" t="n">
        <v>447</v>
      </c>
      <c r="J240" s="13" t="n">
        <v>8</v>
      </c>
      <c r="K240" t="n">
        <v>62</v>
      </c>
      <c r="L240" t="n">
        <v>206206</v>
      </c>
      <c r="M240" t="inlineStr"/>
      <c r="N240" t="n">
        <v>0</v>
      </c>
      <c r="O240" s="14" t="n">
        <v>0</v>
      </c>
      <c r="P240">
        <f>IF(ISNUMBER(SEARCH("232",B240)),"232",IF(ISNUMBER(SEARCH("538",B240)),"538",IF(ISNUMBER(SEARCH("223a7",B240)),"223a7",IF(ISNUMBER(SEARCH("223f",B240)),"223f","OTHER"))))</f>
        <v/>
      </c>
      <c r="Q240">
        <f>IF(UPPER(C240)="NC","NC","RP")</f>
        <v/>
      </c>
      <c r="R240">
        <f>IF(G240&lt;5000000,"small",IF(G240&lt;25000000,"medium","large"))</f>
        <v/>
      </c>
      <c r="S240">
        <f>P240&amp;"|"&amp;Q240&amp;"|"&amp;R240</f>
        <v/>
      </c>
      <c r="T240" s="13">
        <f>H240*100-I240</f>
        <v/>
      </c>
      <c r="U240" s="13">
        <f>T240-12.5*(J240+1)</f>
        <v/>
      </c>
      <c r="V240" s="15">
        <f>IFERROR(VLOOKUP(S240,V8_COHORT_TABLE,2,FALSE),IFERROR(VLOOKUP(P240&amp;"|"&amp;Q240&amp;"|ALL",V8_COHORT_TABLE,2,FALSE),IFERROR(VLOOKUP(P240&amp;"|ALL|ALL",V8_COHORT_TABLE,2,FALSE),VLOOKUP("GLOBAL",V8_COHORT_TABLE,2,FALSE))))</f>
        <v/>
      </c>
      <c r="W240" s="15">
        <f>IFERROR(VLOOKUP(S240,V8_COHORT_TABLE,3,FALSE),IFERROR(VLOOKUP(P240&amp;"|"&amp;Q240&amp;"|ALL",V8_COHORT_TABLE,3,FALSE),IFERROR(VLOOKUP(P240&amp;"|ALL|ALL",V8_COHORT_TABLE,3,FALSE),VLOOKUP("GLOBAL",V8_COHORT_TABLE,3,FALSE))))</f>
        <v/>
      </c>
      <c r="X240" s="15">
        <f>IFERROR(VLOOKUP(S240,V8_COHORT_TABLE,4,FALSE),IFERROR(VLOOKUP(P240&amp;"|"&amp;Q240&amp;"|ALL",V8_COHORT_TABLE,4,FALSE),IFERROR(VLOOKUP(P240&amp;"|ALL|ALL",V8_COHORT_TABLE,4,FALSE),VLOOKUP("GLOBAL",V8_COHORT_TABLE,4,FALSE))))</f>
        <v/>
      </c>
      <c r="Y240" s="15">
        <f>IFERROR(VLOOKUP(S240,V8_COHORT_TABLE,5,FALSE),IFERROR(VLOOKUP(P240&amp;"|"&amp;Q240&amp;"|ALL",V8_COHORT_TABLE,5,FALSE),IFERROR(VLOOKUP(P240&amp;"|ALL|ALL",V8_COHORT_TABLE,5,FALSE),VLOOKUP("GLOBAL",V8_COHORT_TABLE,5,FALSE))))</f>
        <v/>
      </c>
      <c r="Z240" s="15">
        <f>V240+W240/(1+EXP(-(U240-X240)/Y240))</f>
        <v/>
      </c>
      <c r="AA240" s="16">
        <f>1-(1-Z240)^12</f>
        <v/>
      </c>
      <c r="AB240" s="14">
        <f>IF(K240&lt;=V8_AGE_KNOT_X_0,V8_AGE_KNOT_Y_0,IF(K240&gt;=V8_AGE_KNOT_X_5,V8_AGE_KNOT_Y_5,IF(K240&lt;=V8_AGE_KNOT_X_1,V8_AGE_KNOT_Y_0+(K240-V8_AGE_KNOT_X_0)/(V8_AGE_KNOT_X_1-V8_AGE_KNOT_X_0)*(V8_AGE_KNOT_Y_1-V8_AGE_KNOT_Y_0),IF(K240&lt;=V8_AGE_KNOT_X_2,V8_AGE_KNOT_Y_1+(K240-V8_AGE_KNOT_X_1)/(V8_AGE_KNOT_X_2-V8_AGE_KNOT_X_1)*(V8_AGE_KNOT_Y_2-V8_AGE_KNOT_Y_1),IF(K240&lt;=V8_AGE_KNOT_X_3,V8_AGE_KNOT_Y_2+(K240-V8_AGE_KNOT_X_2)/(V8_AGE_KNOT_X_3-V8_AGE_KNOT_X_2)*(V8_AGE_KNOT_Y_3-V8_AGE_KNOT_Y_2),IF(K240&lt;=V8_AGE_KNOT_X_4,V8_AGE_KNOT_Y_3+(K240-V8_AGE_KNOT_X_3)/(V8_AGE_KNOT_X_4-V8_AGE_KNOT_X_3)*(V8_AGE_KNOT_Y_4-V8_AGE_KNOT_Y_3),V8_AGE_KNOT_Y_4+(K240-V8_AGE_KNOT_X_4)/(V8_AGE_KNOT_X_5-V8_AGE_KNOT_X_4)*(V8_AGE_KNOT_Y_5-V8_AGE_KNOT_Y_4)))))))</f>
        <v/>
      </c>
      <c r="AC240" s="14">
        <f>IF(IF(OR(L240="",NOT(ISNUMBER(L240))),360,MAX(0,MIN(480,(INT(L240/100)-INT(VALUE(F240)/100))*12+MOD(L240,100)-MOD(VALUE(F240),100))))&gt;0,1+V8_MTY_AMP*MAX(0,(V8_MTY_CUTOFF-(IF(OR(L240="",NOT(ISNUMBER(L240))),360,MAX(0,MIN(480,(INT(L240/100)-INT(VALUE(F240)/100))*12+MOD(L240,100)-MOD(VALUE(F240),100))))))/V8_MTY_CUTOFF),1)</f>
        <v/>
      </c>
      <c r="AD240" s="14">
        <f>IF(AND(IF(OR(M240="",NOT(ISNUMBER(M240))),0,MAX(0,MIN(24,(INT(VALUE(F240)/100)-INT(M240/100))*12+MOD(VALUE(F240),100)-MOD(M240,100))))&gt;0,IF(OR(M240="",NOT(ISNUMBER(M240))),0,MAX(0,MIN(24,(INT(VALUE(F240)/100)-INT(M240/100))*12+MOD(VALUE(F240),100)-MOD(M240,100))))&lt;=12),1+V8_LOCKOUT_AMP*EXP(-(IF(OR(M240="",NOT(ISNUMBER(M240))),0,MAX(0,MIN(24,(INT(VALUE(F240)/100)-INT(M240/100))*12+MOD(VALUE(F240),100)-MOD(M240,100)))))/V8_LOCKOUT_TAU),1)</f>
        <v/>
      </c>
      <c r="AE240" s="14">
        <f>MAX(V8_BURN_FLOOR,1-V8_BURN_SLOPE*MIN(1,MAX(0,O240)))</f>
        <v/>
      </c>
      <c r="AF240" s="15">
        <f>MIN(Z240*AB240*AC240*AD240*AE240,0.2)</f>
        <v/>
      </c>
      <c r="AG240" s="16">
        <f>1-(1-AF240)^12</f>
        <v/>
      </c>
    </row>
    <row r="241">
      <c r="A241" s="2" t="inlineStr">
        <is>
          <t>000008611114</t>
        </is>
      </c>
      <c r="B241" t="inlineStr">
        <is>
          <t>223f</t>
        </is>
      </c>
      <c r="C241" t="inlineStr">
        <is>
          <t>RP</t>
        </is>
      </c>
      <c r="D241" t="inlineStr">
        <is>
          <t>BELLWETHER ENTERPRISE REAL ESTATE CAPITA</t>
        </is>
      </c>
      <c r="E241" t="n">
        <v>2020</v>
      </c>
      <c r="F241" t="inlineStr">
        <is>
          <t>202602</t>
        </is>
      </c>
      <c r="G241" s="8" t="n">
        <v>11462433.94</v>
      </c>
      <c r="H241" s="12" t="n">
        <v>3.32</v>
      </c>
      <c r="I241" s="13" t="n">
        <v>447</v>
      </c>
      <c r="J241" s="13" t="n">
        <v>6</v>
      </c>
      <c r="K241" t="n">
        <v>63</v>
      </c>
      <c r="L241" t="n">
        <v>205312</v>
      </c>
      <c r="M241" t="inlineStr"/>
      <c r="N241" t="n">
        <v>14</v>
      </c>
      <c r="O241" s="14" t="n">
        <v>0.2222222222222222</v>
      </c>
      <c r="P241">
        <f>IF(ISNUMBER(SEARCH("232",B241)),"232",IF(ISNUMBER(SEARCH("538",B241)),"538",IF(ISNUMBER(SEARCH("223a7",B241)),"223a7",IF(ISNUMBER(SEARCH("223f",B241)),"223f","OTHER"))))</f>
        <v/>
      </c>
      <c r="Q241">
        <f>IF(UPPER(C241)="NC","NC","RP")</f>
        <v/>
      </c>
      <c r="R241">
        <f>IF(G241&lt;5000000,"small",IF(G241&lt;25000000,"medium","large"))</f>
        <v/>
      </c>
      <c r="S241">
        <f>P241&amp;"|"&amp;Q241&amp;"|"&amp;R241</f>
        <v/>
      </c>
      <c r="T241" s="13">
        <f>H241*100-I241</f>
        <v/>
      </c>
      <c r="U241" s="13">
        <f>T241-12.5*(J241+1)</f>
        <v/>
      </c>
      <c r="V241" s="15">
        <f>IFERROR(VLOOKUP(S241,V8_COHORT_TABLE,2,FALSE),IFERROR(VLOOKUP(P241&amp;"|"&amp;Q241&amp;"|ALL",V8_COHORT_TABLE,2,FALSE),IFERROR(VLOOKUP(P241&amp;"|ALL|ALL",V8_COHORT_TABLE,2,FALSE),VLOOKUP("GLOBAL",V8_COHORT_TABLE,2,FALSE))))</f>
        <v/>
      </c>
      <c r="W241" s="15">
        <f>IFERROR(VLOOKUP(S241,V8_COHORT_TABLE,3,FALSE),IFERROR(VLOOKUP(P241&amp;"|"&amp;Q241&amp;"|ALL",V8_COHORT_TABLE,3,FALSE),IFERROR(VLOOKUP(P241&amp;"|ALL|ALL",V8_COHORT_TABLE,3,FALSE),VLOOKUP("GLOBAL",V8_COHORT_TABLE,3,FALSE))))</f>
        <v/>
      </c>
      <c r="X241" s="15">
        <f>IFERROR(VLOOKUP(S241,V8_COHORT_TABLE,4,FALSE),IFERROR(VLOOKUP(P241&amp;"|"&amp;Q241&amp;"|ALL",V8_COHORT_TABLE,4,FALSE),IFERROR(VLOOKUP(P241&amp;"|ALL|ALL",V8_COHORT_TABLE,4,FALSE),VLOOKUP("GLOBAL",V8_COHORT_TABLE,4,FALSE))))</f>
        <v/>
      </c>
      <c r="Y241" s="15">
        <f>IFERROR(VLOOKUP(S241,V8_COHORT_TABLE,5,FALSE),IFERROR(VLOOKUP(P241&amp;"|"&amp;Q241&amp;"|ALL",V8_COHORT_TABLE,5,FALSE),IFERROR(VLOOKUP(P241&amp;"|ALL|ALL",V8_COHORT_TABLE,5,FALSE),VLOOKUP("GLOBAL",V8_COHORT_TABLE,5,FALSE))))</f>
        <v/>
      </c>
      <c r="Z241" s="15">
        <f>V241+W241/(1+EXP(-(U241-X241)/Y241))</f>
        <v/>
      </c>
      <c r="AA241" s="16">
        <f>1-(1-Z241)^12</f>
        <v/>
      </c>
      <c r="AB241" s="14">
        <f>IF(K241&lt;=V8_AGE_KNOT_X_0,V8_AGE_KNOT_Y_0,IF(K241&gt;=V8_AGE_KNOT_X_5,V8_AGE_KNOT_Y_5,IF(K241&lt;=V8_AGE_KNOT_X_1,V8_AGE_KNOT_Y_0+(K241-V8_AGE_KNOT_X_0)/(V8_AGE_KNOT_X_1-V8_AGE_KNOT_X_0)*(V8_AGE_KNOT_Y_1-V8_AGE_KNOT_Y_0),IF(K241&lt;=V8_AGE_KNOT_X_2,V8_AGE_KNOT_Y_1+(K241-V8_AGE_KNOT_X_1)/(V8_AGE_KNOT_X_2-V8_AGE_KNOT_X_1)*(V8_AGE_KNOT_Y_2-V8_AGE_KNOT_Y_1),IF(K241&lt;=V8_AGE_KNOT_X_3,V8_AGE_KNOT_Y_2+(K241-V8_AGE_KNOT_X_2)/(V8_AGE_KNOT_X_3-V8_AGE_KNOT_X_2)*(V8_AGE_KNOT_Y_3-V8_AGE_KNOT_Y_2),IF(K241&lt;=V8_AGE_KNOT_X_4,V8_AGE_KNOT_Y_3+(K241-V8_AGE_KNOT_X_3)/(V8_AGE_KNOT_X_4-V8_AGE_KNOT_X_3)*(V8_AGE_KNOT_Y_4-V8_AGE_KNOT_Y_3),V8_AGE_KNOT_Y_4+(K241-V8_AGE_KNOT_X_4)/(V8_AGE_KNOT_X_5-V8_AGE_KNOT_X_4)*(V8_AGE_KNOT_Y_5-V8_AGE_KNOT_Y_4)))))))</f>
        <v/>
      </c>
      <c r="AC241" s="14">
        <f>IF(IF(OR(L241="",NOT(ISNUMBER(L241))),360,MAX(0,MIN(480,(INT(L241/100)-INT(VALUE(F241)/100))*12+MOD(L241,100)-MOD(VALUE(F241),100))))&gt;0,1+V8_MTY_AMP*MAX(0,(V8_MTY_CUTOFF-(IF(OR(L241="",NOT(ISNUMBER(L241))),360,MAX(0,MIN(480,(INT(L241/100)-INT(VALUE(F241)/100))*12+MOD(L241,100)-MOD(VALUE(F241),100))))))/V8_MTY_CUTOFF),1)</f>
        <v/>
      </c>
      <c r="AD241" s="14">
        <f>IF(AND(IF(OR(M241="",NOT(ISNUMBER(M241))),0,MAX(0,MIN(24,(INT(VALUE(F241)/100)-INT(M241/100))*12+MOD(VALUE(F241),100)-MOD(M241,100))))&gt;0,IF(OR(M241="",NOT(ISNUMBER(M241))),0,MAX(0,MIN(24,(INT(VALUE(F241)/100)-INT(M241/100))*12+MOD(VALUE(F241),100)-MOD(M241,100))))&lt;=12),1+V8_LOCKOUT_AMP*EXP(-(IF(OR(M241="",NOT(ISNUMBER(M241))),0,MAX(0,MIN(24,(INT(VALUE(F241)/100)-INT(M241/100))*12+MOD(VALUE(F241),100)-MOD(M241,100)))))/V8_LOCKOUT_TAU),1)</f>
        <v/>
      </c>
      <c r="AE241" s="14">
        <f>MAX(V8_BURN_FLOOR,1-V8_BURN_SLOPE*MIN(1,MAX(0,O241)))</f>
        <v/>
      </c>
      <c r="AF241" s="15">
        <f>MIN(Z241*AB241*AC241*AD241*AE241,0.2)</f>
        <v/>
      </c>
      <c r="AG241" s="16">
        <f>1-(1-AF241)^12</f>
        <v/>
      </c>
    </row>
    <row r="242">
      <c r="A242" s="2" t="inlineStr">
        <is>
          <t>059807196924</t>
        </is>
      </c>
      <c r="B242" t="inlineStr">
        <is>
          <t>538</t>
        </is>
      </c>
      <c r="C242" t="inlineStr">
        <is>
          <t>538</t>
        </is>
      </c>
      <c r="D242" t="inlineStr">
        <is>
          <t>BELLWETHER ENTERPRISE REAL ESTATE CAPITA</t>
        </is>
      </c>
      <c r="E242" t="n">
        <v>2018</v>
      </c>
      <c r="F242" t="inlineStr">
        <is>
          <t>202602</t>
        </is>
      </c>
      <c r="G242" s="8" t="n">
        <v>4774266.46</v>
      </c>
      <c r="H242" s="12" t="n">
        <v>5.18</v>
      </c>
      <c r="I242" s="13" t="n">
        <v>447</v>
      </c>
      <c r="J242" s="13" t="n">
        <v>5</v>
      </c>
      <c r="K242" t="n">
        <v>87</v>
      </c>
      <c r="L242" t="n">
        <v>205811</v>
      </c>
      <c r="M242" t="inlineStr"/>
      <c r="N242" t="n">
        <v>13</v>
      </c>
      <c r="O242" s="14" t="n">
        <v>0.1494252873563219</v>
      </c>
      <c r="P242">
        <f>IF(ISNUMBER(SEARCH("232",B242)),"232",IF(ISNUMBER(SEARCH("538",B242)),"538",IF(ISNUMBER(SEARCH("223a7",B242)),"223a7",IF(ISNUMBER(SEARCH("223f",B242)),"223f","OTHER"))))</f>
        <v/>
      </c>
      <c r="Q242">
        <f>IF(UPPER(C242)="NC","NC","RP")</f>
        <v/>
      </c>
      <c r="R242">
        <f>IF(G242&lt;5000000,"small",IF(G242&lt;25000000,"medium","large"))</f>
        <v/>
      </c>
      <c r="S242">
        <f>P242&amp;"|"&amp;Q242&amp;"|"&amp;R242</f>
        <v/>
      </c>
      <c r="T242" s="13">
        <f>H242*100-I242</f>
        <v/>
      </c>
      <c r="U242" s="13">
        <f>T242-12.5*(J242+1)</f>
        <v/>
      </c>
      <c r="V242" s="15">
        <f>IFERROR(VLOOKUP(S242,V8_COHORT_TABLE,2,FALSE),IFERROR(VLOOKUP(P242&amp;"|"&amp;Q242&amp;"|ALL",V8_COHORT_TABLE,2,FALSE),IFERROR(VLOOKUP(P242&amp;"|ALL|ALL",V8_COHORT_TABLE,2,FALSE),VLOOKUP("GLOBAL",V8_COHORT_TABLE,2,FALSE))))</f>
        <v/>
      </c>
      <c r="W242" s="15">
        <f>IFERROR(VLOOKUP(S242,V8_COHORT_TABLE,3,FALSE),IFERROR(VLOOKUP(P242&amp;"|"&amp;Q242&amp;"|ALL",V8_COHORT_TABLE,3,FALSE),IFERROR(VLOOKUP(P242&amp;"|ALL|ALL",V8_COHORT_TABLE,3,FALSE),VLOOKUP("GLOBAL",V8_COHORT_TABLE,3,FALSE))))</f>
        <v/>
      </c>
      <c r="X242" s="15">
        <f>IFERROR(VLOOKUP(S242,V8_COHORT_TABLE,4,FALSE),IFERROR(VLOOKUP(P242&amp;"|"&amp;Q242&amp;"|ALL",V8_COHORT_TABLE,4,FALSE),IFERROR(VLOOKUP(P242&amp;"|ALL|ALL",V8_COHORT_TABLE,4,FALSE),VLOOKUP("GLOBAL",V8_COHORT_TABLE,4,FALSE))))</f>
        <v/>
      </c>
      <c r="Y242" s="15">
        <f>IFERROR(VLOOKUP(S242,V8_COHORT_TABLE,5,FALSE),IFERROR(VLOOKUP(P242&amp;"|"&amp;Q242&amp;"|ALL",V8_COHORT_TABLE,5,FALSE),IFERROR(VLOOKUP(P242&amp;"|ALL|ALL",V8_COHORT_TABLE,5,FALSE),VLOOKUP("GLOBAL",V8_COHORT_TABLE,5,FALSE))))</f>
        <v/>
      </c>
      <c r="Z242" s="15">
        <f>V242+W242/(1+EXP(-(U242-X242)/Y242))</f>
        <v/>
      </c>
      <c r="AA242" s="16">
        <f>1-(1-Z242)^12</f>
        <v/>
      </c>
      <c r="AB242" s="14">
        <f>IF(K242&lt;=V8_AGE_KNOT_X_0,V8_AGE_KNOT_Y_0,IF(K242&gt;=V8_AGE_KNOT_X_5,V8_AGE_KNOT_Y_5,IF(K242&lt;=V8_AGE_KNOT_X_1,V8_AGE_KNOT_Y_0+(K242-V8_AGE_KNOT_X_0)/(V8_AGE_KNOT_X_1-V8_AGE_KNOT_X_0)*(V8_AGE_KNOT_Y_1-V8_AGE_KNOT_Y_0),IF(K242&lt;=V8_AGE_KNOT_X_2,V8_AGE_KNOT_Y_1+(K242-V8_AGE_KNOT_X_1)/(V8_AGE_KNOT_X_2-V8_AGE_KNOT_X_1)*(V8_AGE_KNOT_Y_2-V8_AGE_KNOT_Y_1),IF(K242&lt;=V8_AGE_KNOT_X_3,V8_AGE_KNOT_Y_2+(K242-V8_AGE_KNOT_X_2)/(V8_AGE_KNOT_X_3-V8_AGE_KNOT_X_2)*(V8_AGE_KNOT_Y_3-V8_AGE_KNOT_Y_2),IF(K242&lt;=V8_AGE_KNOT_X_4,V8_AGE_KNOT_Y_3+(K242-V8_AGE_KNOT_X_3)/(V8_AGE_KNOT_X_4-V8_AGE_KNOT_X_3)*(V8_AGE_KNOT_Y_4-V8_AGE_KNOT_Y_3),V8_AGE_KNOT_Y_4+(K242-V8_AGE_KNOT_X_4)/(V8_AGE_KNOT_X_5-V8_AGE_KNOT_X_4)*(V8_AGE_KNOT_Y_5-V8_AGE_KNOT_Y_4)))))))</f>
        <v/>
      </c>
      <c r="AC242" s="14">
        <f>IF(IF(OR(L242="",NOT(ISNUMBER(L242))),360,MAX(0,MIN(480,(INT(L242/100)-INT(VALUE(F242)/100))*12+MOD(L242,100)-MOD(VALUE(F242),100))))&gt;0,1+V8_MTY_AMP*MAX(0,(V8_MTY_CUTOFF-(IF(OR(L242="",NOT(ISNUMBER(L242))),360,MAX(0,MIN(480,(INT(L242/100)-INT(VALUE(F242)/100))*12+MOD(L242,100)-MOD(VALUE(F242),100))))))/V8_MTY_CUTOFF),1)</f>
        <v/>
      </c>
      <c r="AD242" s="14">
        <f>IF(AND(IF(OR(M242="",NOT(ISNUMBER(M242))),0,MAX(0,MIN(24,(INT(VALUE(F242)/100)-INT(M242/100))*12+MOD(VALUE(F242),100)-MOD(M242,100))))&gt;0,IF(OR(M242="",NOT(ISNUMBER(M242))),0,MAX(0,MIN(24,(INT(VALUE(F242)/100)-INT(M242/100))*12+MOD(VALUE(F242),100)-MOD(M242,100))))&lt;=12),1+V8_LOCKOUT_AMP*EXP(-(IF(OR(M242="",NOT(ISNUMBER(M242))),0,MAX(0,MIN(24,(INT(VALUE(F242)/100)-INT(M242/100))*12+MOD(VALUE(F242),100)-MOD(M242,100)))))/V8_LOCKOUT_TAU),1)</f>
        <v/>
      </c>
      <c r="AE242" s="14">
        <f>MAX(V8_BURN_FLOOR,1-V8_BURN_SLOPE*MIN(1,MAX(0,O242)))</f>
        <v/>
      </c>
      <c r="AF242" s="15">
        <f>MIN(Z242*AB242*AC242*AD242*AE242,0.2)</f>
        <v/>
      </c>
      <c r="AG242" s="16">
        <f>1-(1-AF242)^12</f>
        <v/>
      </c>
    </row>
    <row r="243">
      <c r="A243" s="2" t="inlineStr">
        <is>
          <t>780170490734</t>
        </is>
      </c>
      <c r="B243" t="inlineStr">
        <is>
          <t>538</t>
        </is>
      </c>
      <c r="C243" t="inlineStr">
        <is>
          <t>538</t>
        </is>
      </c>
      <c r="D243" t="inlineStr">
        <is>
          <t>BELLWETHER ENTERPRISE REAL ESTATE CAPITA</t>
        </is>
      </c>
      <c r="E243" t="n">
        <v>2020</v>
      </c>
      <c r="F243" t="inlineStr">
        <is>
          <t>202602</t>
        </is>
      </c>
      <c r="G243" s="8" t="n">
        <v>2710215.67</v>
      </c>
      <c r="H243" s="12" t="n">
        <v>3.78</v>
      </c>
      <c r="I243" s="13" t="n">
        <v>447</v>
      </c>
      <c r="J243" s="13" t="n">
        <v>6</v>
      </c>
      <c r="K243" t="n">
        <v>67</v>
      </c>
      <c r="L243" t="n">
        <v>206008</v>
      </c>
      <c r="M243" t="n">
        <v>202108</v>
      </c>
      <c r="N243" t="n">
        <v>24</v>
      </c>
      <c r="O243" s="14" t="n">
        <v>0.3582089552238806</v>
      </c>
      <c r="P243">
        <f>IF(ISNUMBER(SEARCH("232",B243)),"232",IF(ISNUMBER(SEARCH("538",B243)),"538",IF(ISNUMBER(SEARCH("223a7",B243)),"223a7",IF(ISNUMBER(SEARCH("223f",B243)),"223f","OTHER"))))</f>
        <v/>
      </c>
      <c r="Q243">
        <f>IF(UPPER(C243)="NC","NC","RP")</f>
        <v/>
      </c>
      <c r="R243">
        <f>IF(G243&lt;5000000,"small",IF(G243&lt;25000000,"medium","large"))</f>
        <v/>
      </c>
      <c r="S243">
        <f>P243&amp;"|"&amp;Q243&amp;"|"&amp;R243</f>
        <v/>
      </c>
      <c r="T243" s="13">
        <f>H243*100-I243</f>
        <v/>
      </c>
      <c r="U243" s="13">
        <f>T243-12.5*(J243+1)</f>
        <v/>
      </c>
      <c r="V243" s="15">
        <f>IFERROR(VLOOKUP(S243,V8_COHORT_TABLE,2,FALSE),IFERROR(VLOOKUP(P243&amp;"|"&amp;Q243&amp;"|ALL",V8_COHORT_TABLE,2,FALSE),IFERROR(VLOOKUP(P243&amp;"|ALL|ALL",V8_COHORT_TABLE,2,FALSE),VLOOKUP("GLOBAL",V8_COHORT_TABLE,2,FALSE))))</f>
        <v/>
      </c>
      <c r="W243" s="15">
        <f>IFERROR(VLOOKUP(S243,V8_COHORT_TABLE,3,FALSE),IFERROR(VLOOKUP(P243&amp;"|"&amp;Q243&amp;"|ALL",V8_COHORT_TABLE,3,FALSE),IFERROR(VLOOKUP(P243&amp;"|ALL|ALL",V8_COHORT_TABLE,3,FALSE),VLOOKUP("GLOBAL",V8_COHORT_TABLE,3,FALSE))))</f>
        <v/>
      </c>
      <c r="X243" s="15">
        <f>IFERROR(VLOOKUP(S243,V8_COHORT_TABLE,4,FALSE),IFERROR(VLOOKUP(P243&amp;"|"&amp;Q243&amp;"|ALL",V8_COHORT_TABLE,4,FALSE),IFERROR(VLOOKUP(P243&amp;"|ALL|ALL",V8_COHORT_TABLE,4,FALSE),VLOOKUP("GLOBAL",V8_COHORT_TABLE,4,FALSE))))</f>
        <v/>
      </c>
      <c r="Y243" s="15">
        <f>IFERROR(VLOOKUP(S243,V8_COHORT_TABLE,5,FALSE),IFERROR(VLOOKUP(P243&amp;"|"&amp;Q243&amp;"|ALL",V8_COHORT_TABLE,5,FALSE),IFERROR(VLOOKUP(P243&amp;"|ALL|ALL",V8_COHORT_TABLE,5,FALSE),VLOOKUP("GLOBAL",V8_COHORT_TABLE,5,FALSE))))</f>
        <v/>
      </c>
      <c r="Z243" s="15">
        <f>V243+W243/(1+EXP(-(U243-X243)/Y243))</f>
        <v/>
      </c>
      <c r="AA243" s="16">
        <f>1-(1-Z243)^12</f>
        <v/>
      </c>
      <c r="AB243" s="14">
        <f>IF(K243&lt;=V8_AGE_KNOT_X_0,V8_AGE_KNOT_Y_0,IF(K243&gt;=V8_AGE_KNOT_X_5,V8_AGE_KNOT_Y_5,IF(K243&lt;=V8_AGE_KNOT_X_1,V8_AGE_KNOT_Y_0+(K243-V8_AGE_KNOT_X_0)/(V8_AGE_KNOT_X_1-V8_AGE_KNOT_X_0)*(V8_AGE_KNOT_Y_1-V8_AGE_KNOT_Y_0),IF(K243&lt;=V8_AGE_KNOT_X_2,V8_AGE_KNOT_Y_1+(K243-V8_AGE_KNOT_X_1)/(V8_AGE_KNOT_X_2-V8_AGE_KNOT_X_1)*(V8_AGE_KNOT_Y_2-V8_AGE_KNOT_Y_1),IF(K243&lt;=V8_AGE_KNOT_X_3,V8_AGE_KNOT_Y_2+(K243-V8_AGE_KNOT_X_2)/(V8_AGE_KNOT_X_3-V8_AGE_KNOT_X_2)*(V8_AGE_KNOT_Y_3-V8_AGE_KNOT_Y_2),IF(K243&lt;=V8_AGE_KNOT_X_4,V8_AGE_KNOT_Y_3+(K243-V8_AGE_KNOT_X_3)/(V8_AGE_KNOT_X_4-V8_AGE_KNOT_X_3)*(V8_AGE_KNOT_Y_4-V8_AGE_KNOT_Y_3),V8_AGE_KNOT_Y_4+(K243-V8_AGE_KNOT_X_4)/(V8_AGE_KNOT_X_5-V8_AGE_KNOT_X_4)*(V8_AGE_KNOT_Y_5-V8_AGE_KNOT_Y_4)))))))</f>
        <v/>
      </c>
      <c r="AC243" s="14">
        <f>IF(IF(OR(L243="",NOT(ISNUMBER(L243))),360,MAX(0,MIN(480,(INT(L243/100)-INT(VALUE(F243)/100))*12+MOD(L243,100)-MOD(VALUE(F243),100))))&gt;0,1+V8_MTY_AMP*MAX(0,(V8_MTY_CUTOFF-(IF(OR(L243="",NOT(ISNUMBER(L243))),360,MAX(0,MIN(480,(INT(L243/100)-INT(VALUE(F243)/100))*12+MOD(L243,100)-MOD(VALUE(F243),100))))))/V8_MTY_CUTOFF),1)</f>
        <v/>
      </c>
      <c r="AD243" s="14">
        <f>IF(AND(IF(OR(M243="",NOT(ISNUMBER(M243))),0,MAX(0,MIN(24,(INT(VALUE(F243)/100)-INT(M243/100))*12+MOD(VALUE(F243),100)-MOD(M243,100))))&gt;0,IF(OR(M243="",NOT(ISNUMBER(M243))),0,MAX(0,MIN(24,(INT(VALUE(F243)/100)-INT(M243/100))*12+MOD(VALUE(F243),100)-MOD(M243,100))))&lt;=12),1+V8_LOCKOUT_AMP*EXP(-(IF(OR(M243="",NOT(ISNUMBER(M243))),0,MAX(0,MIN(24,(INT(VALUE(F243)/100)-INT(M243/100))*12+MOD(VALUE(F243),100)-MOD(M243,100)))))/V8_LOCKOUT_TAU),1)</f>
        <v/>
      </c>
      <c r="AE243" s="14">
        <f>MAX(V8_BURN_FLOOR,1-V8_BURN_SLOPE*MIN(1,MAX(0,O243)))</f>
        <v/>
      </c>
      <c r="AF243" s="15">
        <f>MIN(Z243*AB243*AC243*AD243*AE243,0.2)</f>
        <v/>
      </c>
      <c r="AG243" s="16">
        <f>1-(1-AF243)^12</f>
        <v/>
      </c>
    </row>
    <row r="244">
      <c r="A244" s="2" t="inlineStr">
        <is>
          <t>400851006696</t>
        </is>
      </c>
      <c r="B244" t="inlineStr">
        <is>
          <t>538</t>
        </is>
      </c>
      <c r="C244" t="inlineStr">
        <is>
          <t>538</t>
        </is>
      </c>
      <c r="D244" t="inlineStr">
        <is>
          <t>BELLWETHER ENTERPRISE REAL ESTATE CAPITA</t>
        </is>
      </c>
      <c r="E244" t="n">
        <v>2022</v>
      </c>
      <c r="F244" t="inlineStr">
        <is>
          <t>202602</t>
        </is>
      </c>
      <c r="G244" s="8" t="n">
        <v>1236900.2</v>
      </c>
      <c r="H244" s="12" t="n">
        <v>3.89</v>
      </c>
      <c r="I244" s="13" t="n">
        <v>447</v>
      </c>
      <c r="J244" s="13" t="n">
        <v>8</v>
      </c>
      <c r="K244" t="n">
        <v>38</v>
      </c>
      <c r="L244" t="n">
        <v>205301</v>
      </c>
      <c r="M244" t="inlineStr"/>
      <c r="N244" t="n">
        <v>0</v>
      </c>
      <c r="O244" s="14" t="n">
        <v>0</v>
      </c>
      <c r="P244">
        <f>IF(ISNUMBER(SEARCH("232",B244)),"232",IF(ISNUMBER(SEARCH("538",B244)),"538",IF(ISNUMBER(SEARCH("223a7",B244)),"223a7",IF(ISNUMBER(SEARCH("223f",B244)),"223f","OTHER"))))</f>
        <v/>
      </c>
      <c r="Q244">
        <f>IF(UPPER(C244)="NC","NC","RP")</f>
        <v/>
      </c>
      <c r="R244">
        <f>IF(G244&lt;5000000,"small",IF(G244&lt;25000000,"medium","large"))</f>
        <v/>
      </c>
      <c r="S244">
        <f>P244&amp;"|"&amp;Q244&amp;"|"&amp;R244</f>
        <v/>
      </c>
      <c r="T244" s="13">
        <f>H244*100-I244</f>
        <v/>
      </c>
      <c r="U244" s="13">
        <f>T244-12.5*(J244+1)</f>
        <v/>
      </c>
      <c r="V244" s="15">
        <f>IFERROR(VLOOKUP(S244,V8_COHORT_TABLE,2,FALSE),IFERROR(VLOOKUP(P244&amp;"|"&amp;Q244&amp;"|ALL",V8_COHORT_TABLE,2,FALSE),IFERROR(VLOOKUP(P244&amp;"|ALL|ALL",V8_COHORT_TABLE,2,FALSE),VLOOKUP("GLOBAL",V8_COHORT_TABLE,2,FALSE))))</f>
        <v/>
      </c>
      <c r="W244" s="15">
        <f>IFERROR(VLOOKUP(S244,V8_COHORT_TABLE,3,FALSE),IFERROR(VLOOKUP(P244&amp;"|"&amp;Q244&amp;"|ALL",V8_COHORT_TABLE,3,FALSE),IFERROR(VLOOKUP(P244&amp;"|ALL|ALL",V8_COHORT_TABLE,3,FALSE),VLOOKUP("GLOBAL",V8_COHORT_TABLE,3,FALSE))))</f>
        <v/>
      </c>
      <c r="X244" s="15">
        <f>IFERROR(VLOOKUP(S244,V8_COHORT_TABLE,4,FALSE),IFERROR(VLOOKUP(P244&amp;"|"&amp;Q244&amp;"|ALL",V8_COHORT_TABLE,4,FALSE),IFERROR(VLOOKUP(P244&amp;"|ALL|ALL",V8_COHORT_TABLE,4,FALSE),VLOOKUP("GLOBAL",V8_COHORT_TABLE,4,FALSE))))</f>
        <v/>
      </c>
      <c r="Y244" s="15">
        <f>IFERROR(VLOOKUP(S244,V8_COHORT_TABLE,5,FALSE),IFERROR(VLOOKUP(P244&amp;"|"&amp;Q244&amp;"|ALL",V8_COHORT_TABLE,5,FALSE),IFERROR(VLOOKUP(P244&amp;"|ALL|ALL",V8_COHORT_TABLE,5,FALSE),VLOOKUP("GLOBAL",V8_COHORT_TABLE,5,FALSE))))</f>
        <v/>
      </c>
      <c r="Z244" s="15">
        <f>V244+W244/(1+EXP(-(U244-X244)/Y244))</f>
        <v/>
      </c>
      <c r="AA244" s="16">
        <f>1-(1-Z244)^12</f>
        <v/>
      </c>
      <c r="AB244" s="14">
        <f>IF(K244&lt;=V8_AGE_KNOT_X_0,V8_AGE_KNOT_Y_0,IF(K244&gt;=V8_AGE_KNOT_X_5,V8_AGE_KNOT_Y_5,IF(K244&lt;=V8_AGE_KNOT_X_1,V8_AGE_KNOT_Y_0+(K244-V8_AGE_KNOT_X_0)/(V8_AGE_KNOT_X_1-V8_AGE_KNOT_X_0)*(V8_AGE_KNOT_Y_1-V8_AGE_KNOT_Y_0),IF(K244&lt;=V8_AGE_KNOT_X_2,V8_AGE_KNOT_Y_1+(K244-V8_AGE_KNOT_X_1)/(V8_AGE_KNOT_X_2-V8_AGE_KNOT_X_1)*(V8_AGE_KNOT_Y_2-V8_AGE_KNOT_Y_1),IF(K244&lt;=V8_AGE_KNOT_X_3,V8_AGE_KNOT_Y_2+(K244-V8_AGE_KNOT_X_2)/(V8_AGE_KNOT_X_3-V8_AGE_KNOT_X_2)*(V8_AGE_KNOT_Y_3-V8_AGE_KNOT_Y_2),IF(K244&lt;=V8_AGE_KNOT_X_4,V8_AGE_KNOT_Y_3+(K244-V8_AGE_KNOT_X_3)/(V8_AGE_KNOT_X_4-V8_AGE_KNOT_X_3)*(V8_AGE_KNOT_Y_4-V8_AGE_KNOT_Y_3),V8_AGE_KNOT_Y_4+(K244-V8_AGE_KNOT_X_4)/(V8_AGE_KNOT_X_5-V8_AGE_KNOT_X_4)*(V8_AGE_KNOT_Y_5-V8_AGE_KNOT_Y_4)))))))</f>
        <v/>
      </c>
      <c r="AC244" s="14">
        <f>IF(IF(OR(L244="",NOT(ISNUMBER(L244))),360,MAX(0,MIN(480,(INT(L244/100)-INT(VALUE(F244)/100))*12+MOD(L244,100)-MOD(VALUE(F244),100))))&gt;0,1+V8_MTY_AMP*MAX(0,(V8_MTY_CUTOFF-(IF(OR(L244="",NOT(ISNUMBER(L244))),360,MAX(0,MIN(480,(INT(L244/100)-INT(VALUE(F244)/100))*12+MOD(L244,100)-MOD(VALUE(F244),100))))))/V8_MTY_CUTOFF),1)</f>
        <v/>
      </c>
      <c r="AD244" s="14">
        <f>IF(AND(IF(OR(M244="",NOT(ISNUMBER(M244))),0,MAX(0,MIN(24,(INT(VALUE(F244)/100)-INT(M244/100))*12+MOD(VALUE(F244),100)-MOD(M244,100))))&gt;0,IF(OR(M244="",NOT(ISNUMBER(M244))),0,MAX(0,MIN(24,(INT(VALUE(F244)/100)-INT(M244/100))*12+MOD(VALUE(F244),100)-MOD(M244,100))))&lt;=12),1+V8_LOCKOUT_AMP*EXP(-(IF(OR(M244="",NOT(ISNUMBER(M244))),0,MAX(0,MIN(24,(INT(VALUE(F244)/100)-INT(M244/100))*12+MOD(VALUE(F244),100)-MOD(M244,100)))))/V8_LOCKOUT_TAU),1)</f>
        <v/>
      </c>
      <c r="AE244" s="14">
        <f>MAX(V8_BURN_FLOOR,1-V8_BURN_SLOPE*MIN(1,MAX(0,O244)))</f>
        <v/>
      </c>
      <c r="AF244" s="15">
        <f>MIN(Z244*AB244*AC244*AD244*AE244,0.2)</f>
        <v/>
      </c>
      <c r="AG244" s="16">
        <f>1-(1-AF244)^12</f>
        <v/>
      </c>
    </row>
    <row r="245">
      <c r="A245" s="2" t="inlineStr">
        <is>
          <t>000006411084</t>
        </is>
      </c>
      <c r="B245" t="inlineStr">
        <is>
          <t>223f</t>
        </is>
      </c>
      <c r="C245" t="inlineStr">
        <is>
          <t>RP</t>
        </is>
      </c>
      <c r="D245" t="inlineStr">
        <is>
          <t>PGIM REAL ESTATE AGENCY FINANCING, LLC.</t>
        </is>
      </c>
      <c r="E245" t="n">
        <v>2009</v>
      </c>
      <c r="F245" t="inlineStr">
        <is>
          <t>202602</t>
        </is>
      </c>
      <c r="G245" s="8" t="n">
        <v>2217499.69</v>
      </c>
      <c r="H245" s="12" t="n">
        <v>3.77</v>
      </c>
      <c r="I245" s="13" t="n">
        <v>447</v>
      </c>
      <c r="J245" s="13" t="n">
        <v>0</v>
      </c>
      <c r="K245" t="n">
        <v>205</v>
      </c>
      <c r="L245" t="n">
        <v>204402</v>
      </c>
      <c r="M245" t="inlineStr"/>
      <c r="N245" t="n">
        <v>33</v>
      </c>
      <c r="O245" s="14" t="n">
        <v>0.1609756097560976</v>
      </c>
      <c r="P245">
        <f>IF(ISNUMBER(SEARCH("232",B245)),"232",IF(ISNUMBER(SEARCH("538",B245)),"538",IF(ISNUMBER(SEARCH("223a7",B245)),"223a7",IF(ISNUMBER(SEARCH("223f",B245)),"223f","OTHER"))))</f>
        <v/>
      </c>
      <c r="Q245">
        <f>IF(UPPER(C245)="NC","NC","RP")</f>
        <v/>
      </c>
      <c r="R245">
        <f>IF(G245&lt;5000000,"small",IF(G245&lt;25000000,"medium","large"))</f>
        <v/>
      </c>
      <c r="S245">
        <f>P245&amp;"|"&amp;Q245&amp;"|"&amp;R245</f>
        <v/>
      </c>
      <c r="T245" s="13">
        <f>H245*100-I245</f>
        <v/>
      </c>
      <c r="U245" s="13">
        <f>T245-12.5*(J245+1)</f>
        <v/>
      </c>
      <c r="V245" s="15">
        <f>IFERROR(VLOOKUP(S245,V8_COHORT_TABLE,2,FALSE),IFERROR(VLOOKUP(P245&amp;"|"&amp;Q245&amp;"|ALL",V8_COHORT_TABLE,2,FALSE),IFERROR(VLOOKUP(P245&amp;"|ALL|ALL",V8_COHORT_TABLE,2,FALSE),VLOOKUP("GLOBAL",V8_COHORT_TABLE,2,FALSE))))</f>
        <v/>
      </c>
      <c r="W245" s="15">
        <f>IFERROR(VLOOKUP(S245,V8_COHORT_TABLE,3,FALSE),IFERROR(VLOOKUP(P245&amp;"|"&amp;Q245&amp;"|ALL",V8_COHORT_TABLE,3,FALSE),IFERROR(VLOOKUP(P245&amp;"|ALL|ALL",V8_COHORT_TABLE,3,FALSE),VLOOKUP("GLOBAL",V8_COHORT_TABLE,3,FALSE))))</f>
        <v/>
      </c>
      <c r="X245" s="15">
        <f>IFERROR(VLOOKUP(S245,V8_COHORT_TABLE,4,FALSE),IFERROR(VLOOKUP(P245&amp;"|"&amp;Q245&amp;"|ALL",V8_COHORT_TABLE,4,FALSE),IFERROR(VLOOKUP(P245&amp;"|ALL|ALL",V8_COHORT_TABLE,4,FALSE),VLOOKUP("GLOBAL",V8_COHORT_TABLE,4,FALSE))))</f>
        <v/>
      </c>
      <c r="Y245" s="15">
        <f>IFERROR(VLOOKUP(S245,V8_COHORT_TABLE,5,FALSE),IFERROR(VLOOKUP(P245&amp;"|"&amp;Q245&amp;"|ALL",V8_COHORT_TABLE,5,FALSE),IFERROR(VLOOKUP(P245&amp;"|ALL|ALL",V8_COHORT_TABLE,5,FALSE),VLOOKUP("GLOBAL",V8_COHORT_TABLE,5,FALSE))))</f>
        <v/>
      </c>
      <c r="Z245" s="15">
        <f>V245+W245/(1+EXP(-(U245-X245)/Y245))</f>
        <v/>
      </c>
      <c r="AA245" s="16">
        <f>1-(1-Z245)^12</f>
        <v/>
      </c>
      <c r="AB245" s="14">
        <f>IF(K245&lt;=V8_AGE_KNOT_X_0,V8_AGE_KNOT_Y_0,IF(K245&gt;=V8_AGE_KNOT_X_5,V8_AGE_KNOT_Y_5,IF(K245&lt;=V8_AGE_KNOT_X_1,V8_AGE_KNOT_Y_0+(K245-V8_AGE_KNOT_X_0)/(V8_AGE_KNOT_X_1-V8_AGE_KNOT_X_0)*(V8_AGE_KNOT_Y_1-V8_AGE_KNOT_Y_0),IF(K245&lt;=V8_AGE_KNOT_X_2,V8_AGE_KNOT_Y_1+(K245-V8_AGE_KNOT_X_1)/(V8_AGE_KNOT_X_2-V8_AGE_KNOT_X_1)*(V8_AGE_KNOT_Y_2-V8_AGE_KNOT_Y_1),IF(K245&lt;=V8_AGE_KNOT_X_3,V8_AGE_KNOT_Y_2+(K245-V8_AGE_KNOT_X_2)/(V8_AGE_KNOT_X_3-V8_AGE_KNOT_X_2)*(V8_AGE_KNOT_Y_3-V8_AGE_KNOT_Y_2),IF(K245&lt;=V8_AGE_KNOT_X_4,V8_AGE_KNOT_Y_3+(K245-V8_AGE_KNOT_X_3)/(V8_AGE_KNOT_X_4-V8_AGE_KNOT_X_3)*(V8_AGE_KNOT_Y_4-V8_AGE_KNOT_Y_3),V8_AGE_KNOT_Y_4+(K245-V8_AGE_KNOT_X_4)/(V8_AGE_KNOT_X_5-V8_AGE_KNOT_X_4)*(V8_AGE_KNOT_Y_5-V8_AGE_KNOT_Y_4)))))))</f>
        <v/>
      </c>
      <c r="AC245" s="14">
        <f>IF(IF(OR(L245="",NOT(ISNUMBER(L245))),360,MAX(0,MIN(480,(INT(L245/100)-INT(VALUE(F245)/100))*12+MOD(L245,100)-MOD(VALUE(F245),100))))&gt;0,1+V8_MTY_AMP*MAX(0,(V8_MTY_CUTOFF-(IF(OR(L245="",NOT(ISNUMBER(L245))),360,MAX(0,MIN(480,(INT(L245/100)-INT(VALUE(F245)/100))*12+MOD(L245,100)-MOD(VALUE(F245),100))))))/V8_MTY_CUTOFF),1)</f>
        <v/>
      </c>
      <c r="AD245" s="14">
        <f>IF(AND(IF(OR(M245="",NOT(ISNUMBER(M245))),0,MAX(0,MIN(24,(INT(VALUE(F245)/100)-INT(M245/100))*12+MOD(VALUE(F245),100)-MOD(M245,100))))&gt;0,IF(OR(M245="",NOT(ISNUMBER(M245))),0,MAX(0,MIN(24,(INT(VALUE(F245)/100)-INT(M245/100))*12+MOD(VALUE(F245),100)-MOD(M245,100))))&lt;=12),1+V8_LOCKOUT_AMP*EXP(-(IF(OR(M245="",NOT(ISNUMBER(M245))),0,MAX(0,MIN(24,(INT(VALUE(F245)/100)-INT(M245/100))*12+MOD(VALUE(F245),100)-MOD(M245,100)))))/V8_LOCKOUT_TAU),1)</f>
        <v/>
      </c>
      <c r="AE245" s="14">
        <f>MAX(V8_BURN_FLOOR,1-V8_BURN_SLOPE*MIN(1,MAX(0,O245)))</f>
        <v/>
      </c>
      <c r="AF245" s="15">
        <f>MIN(Z245*AB245*AC245*AD245*AE245,0.2)</f>
        <v/>
      </c>
      <c r="AG245" s="16">
        <f>1-(1-AF245)^12</f>
        <v/>
      </c>
    </row>
    <row r="246">
      <c r="A246" s="2" t="inlineStr">
        <is>
          <t>000003435314</t>
        </is>
      </c>
      <c r="B246" t="inlineStr">
        <is>
          <t>221d4</t>
        </is>
      </c>
      <c r="C246" t="inlineStr">
        <is>
          <t>NC</t>
        </is>
      </c>
      <c r="D246" t="inlineStr">
        <is>
          <t>PGIM REAL ESTATE AGENCY FINANCING, LLC.</t>
        </is>
      </c>
      <c r="E246" t="n">
        <v>2012</v>
      </c>
      <c r="F246" t="inlineStr">
        <is>
          <t>202602</t>
        </is>
      </c>
      <c r="G246" s="8" t="n">
        <v>12296442.63</v>
      </c>
      <c r="H246" s="12" t="n">
        <v>2.54</v>
      </c>
      <c r="I246" s="13" t="n">
        <v>447</v>
      </c>
      <c r="J246" s="13" t="n">
        <v>6</v>
      </c>
      <c r="K246" t="n">
        <v>158</v>
      </c>
      <c r="L246" t="n">
        <v>205107</v>
      </c>
      <c r="M246" t="inlineStr"/>
      <c r="N246" t="n">
        <v>11</v>
      </c>
      <c r="O246" s="14" t="n">
        <v>0.06962025316455696</v>
      </c>
      <c r="P246">
        <f>IF(ISNUMBER(SEARCH("232",B246)),"232",IF(ISNUMBER(SEARCH("538",B246)),"538",IF(ISNUMBER(SEARCH("223a7",B246)),"223a7",IF(ISNUMBER(SEARCH("223f",B246)),"223f","OTHER"))))</f>
        <v/>
      </c>
      <c r="Q246">
        <f>IF(UPPER(C246)="NC","NC","RP")</f>
        <v/>
      </c>
      <c r="R246">
        <f>IF(G246&lt;5000000,"small",IF(G246&lt;25000000,"medium","large"))</f>
        <v/>
      </c>
      <c r="S246">
        <f>P246&amp;"|"&amp;Q246&amp;"|"&amp;R246</f>
        <v/>
      </c>
      <c r="T246" s="13">
        <f>H246*100-I246</f>
        <v/>
      </c>
      <c r="U246" s="13">
        <f>T246-12.5*(J246+1)</f>
        <v/>
      </c>
      <c r="V246" s="15">
        <f>IFERROR(VLOOKUP(S246,V8_COHORT_TABLE,2,FALSE),IFERROR(VLOOKUP(P246&amp;"|"&amp;Q246&amp;"|ALL",V8_COHORT_TABLE,2,FALSE),IFERROR(VLOOKUP(P246&amp;"|ALL|ALL",V8_COHORT_TABLE,2,FALSE),VLOOKUP("GLOBAL",V8_COHORT_TABLE,2,FALSE))))</f>
        <v/>
      </c>
      <c r="W246" s="15">
        <f>IFERROR(VLOOKUP(S246,V8_COHORT_TABLE,3,FALSE),IFERROR(VLOOKUP(P246&amp;"|"&amp;Q246&amp;"|ALL",V8_COHORT_TABLE,3,FALSE),IFERROR(VLOOKUP(P246&amp;"|ALL|ALL",V8_COHORT_TABLE,3,FALSE),VLOOKUP("GLOBAL",V8_COHORT_TABLE,3,FALSE))))</f>
        <v/>
      </c>
      <c r="X246" s="15">
        <f>IFERROR(VLOOKUP(S246,V8_COHORT_TABLE,4,FALSE),IFERROR(VLOOKUP(P246&amp;"|"&amp;Q246&amp;"|ALL",V8_COHORT_TABLE,4,FALSE),IFERROR(VLOOKUP(P246&amp;"|ALL|ALL",V8_COHORT_TABLE,4,FALSE),VLOOKUP("GLOBAL",V8_COHORT_TABLE,4,FALSE))))</f>
        <v/>
      </c>
      <c r="Y246" s="15">
        <f>IFERROR(VLOOKUP(S246,V8_COHORT_TABLE,5,FALSE),IFERROR(VLOOKUP(P246&amp;"|"&amp;Q246&amp;"|ALL",V8_COHORT_TABLE,5,FALSE),IFERROR(VLOOKUP(P246&amp;"|ALL|ALL",V8_COHORT_TABLE,5,FALSE),VLOOKUP("GLOBAL",V8_COHORT_TABLE,5,FALSE))))</f>
        <v/>
      </c>
      <c r="Z246" s="15">
        <f>V246+W246/(1+EXP(-(U246-X246)/Y246))</f>
        <v/>
      </c>
      <c r="AA246" s="16">
        <f>1-(1-Z246)^12</f>
        <v/>
      </c>
      <c r="AB246" s="14">
        <f>IF(K246&lt;=V8_AGE_KNOT_X_0,V8_AGE_KNOT_Y_0,IF(K246&gt;=V8_AGE_KNOT_X_5,V8_AGE_KNOT_Y_5,IF(K246&lt;=V8_AGE_KNOT_X_1,V8_AGE_KNOT_Y_0+(K246-V8_AGE_KNOT_X_0)/(V8_AGE_KNOT_X_1-V8_AGE_KNOT_X_0)*(V8_AGE_KNOT_Y_1-V8_AGE_KNOT_Y_0),IF(K246&lt;=V8_AGE_KNOT_X_2,V8_AGE_KNOT_Y_1+(K246-V8_AGE_KNOT_X_1)/(V8_AGE_KNOT_X_2-V8_AGE_KNOT_X_1)*(V8_AGE_KNOT_Y_2-V8_AGE_KNOT_Y_1),IF(K246&lt;=V8_AGE_KNOT_X_3,V8_AGE_KNOT_Y_2+(K246-V8_AGE_KNOT_X_2)/(V8_AGE_KNOT_X_3-V8_AGE_KNOT_X_2)*(V8_AGE_KNOT_Y_3-V8_AGE_KNOT_Y_2),IF(K246&lt;=V8_AGE_KNOT_X_4,V8_AGE_KNOT_Y_3+(K246-V8_AGE_KNOT_X_3)/(V8_AGE_KNOT_X_4-V8_AGE_KNOT_X_3)*(V8_AGE_KNOT_Y_4-V8_AGE_KNOT_Y_3),V8_AGE_KNOT_Y_4+(K246-V8_AGE_KNOT_X_4)/(V8_AGE_KNOT_X_5-V8_AGE_KNOT_X_4)*(V8_AGE_KNOT_Y_5-V8_AGE_KNOT_Y_4)))))))</f>
        <v/>
      </c>
      <c r="AC246" s="14">
        <f>IF(IF(OR(L246="",NOT(ISNUMBER(L246))),360,MAX(0,MIN(480,(INT(L246/100)-INT(VALUE(F246)/100))*12+MOD(L246,100)-MOD(VALUE(F246),100))))&gt;0,1+V8_MTY_AMP*MAX(0,(V8_MTY_CUTOFF-(IF(OR(L246="",NOT(ISNUMBER(L246))),360,MAX(0,MIN(480,(INT(L246/100)-INT(VALUE(F246)/100))*12+MOD(L246,100)-MOD(VALUE(F246),100))))))/V8_MTY_CUTOFF),1)</f>
        <v/>
      </c>
      <c r="AD246" s="14">
        <f>IF(AND(IF(OR(M246="",NOT(ISNUMBER(M246))),0,MAX(0,MIN(24,(INT(VALUE(F246)/100)-INT(M246/100))*12+MOD(VALUE(F246),100)-MOD(M246,100))))&gt;0,IF(OR(M246="",NOT(ISNUMBER(M246))),0,MAX(0,MIN(24,(INT(VALUE(F246)/100)-INT(M246/100))*12+MOD(VALUE(F246),100)-MOD(M246,100))))&lt;=12),1+V8_LOCKOUT_AMP*EXP(-(IF(OR(M246="",NOT(ISNUMBER(M246))),0,MAX(0,MIN(24,(INT(VALUE(F246)/100)-INT(M246/100))*12+MOD(VALUE(F246),100)-MOD(M246,100)))))/V8_LOCKOUT_TAU),1)</f>
        <v/>
      </c>
      <c r="AE246" s="14">
        <f>MAX(V8_BURN_FLOOR,1-V8_BURN_SLOPE*MIN(1,MAX(0,O246)))</f>
        <v/>
      </c>
      <c r="AF246" s="15">
        <f>MIN(Z246*AB246*AC246*AD246*AE246,0.2)</f>
        <v/>
      </c>
      <c r="AG246" s="16">
        <f>1-(1-AF246)^12</f>
        <v/>
      </c>
    </row>
    <row r="247">
      <c r="A247" s="2" t="inlineStr">
        <is>
          <t>000006435549</t>
        </is>
      </c>
      <c r="B247" t="inlineStr">
        <is>
          <t>221d4</t>
        </is>
      </c>
      <c r="C247" t="inlineStr">
        <is>
          <t>RP</t>
        </is>
      </c>
      <c r="D247" t="inlineStr">
        <is>
          <t>PGIM REAL ESTATE AGENCY FINANCING, LLC.</t>
        </is>
      </c>
      <c r="E247" t="n">
        <v>2012</v>
      </c>
      <c r="F247" t="inlineStr">
        <is>
          <t>202602</t>
        </is>
      </c>
      <c r="G247" s="8" t="n">
        <v>7605491.42</v>
      </c>
      <c r="H247" s="12" t="n">
        <v>3.04</v>
      </c>
      <c r="I247" s="13" t="n">
        <v>447</v>
      </c>
      <c r="J247" s="13" t="n">
        <v>5</v>
      </c>
      <c r="K247" t="n">
        <v>166</v>
      </c>
      <c r="L247" t="n">
        <v>205111</v>
      </c>
      <c r="M247" t="inlineStr"/>
      <c r="N247" t="n">
        <v>13</v>
      </c>
      <c r="O247" s="14" t="n">
        <v>0.0783132530120482</v>
      </c>
      <c r="P247">
        <f>IF(ISNUMBER(SEARCH("232",B247)),"232",IF(ISNUMBER(SEARCH("538",B247)),"538",IF(ISNUMBER(SEARCH("223a7",B247)),"223a7",IF(ISNUMBER(SEARCH("223f",B247)),"223f","OTHER"))))</f>
        <v/>
      </c>
      <c r="Q247">
        <f>IF(UPPER(C247)="NC","NC","RP")</f>
        <v/>
      </c>
      <c r="R247">
        <f>IF(G247&lt;5000000,"small",IF(G247&lt;25000000,"medium","large"))</f>
        <v/>
      </c>
      <c r="S247">
        <f>P247&amp;"|"&amp;Q247&amp;"|"&amp;R247</f>
        <v/>
      </c>
      <c r="T247" s="13">
        <f>H247*100-I247</f>
        <v/>
      </c>
      <c r="U247" s="13">
        <f>T247-12.5*(J247+1)</f>
        <v/>
      </c>
      <c r="V247" s="15">
        <f>IFERROR(VLOOKUP(S247,V8_COHORT_TABLE,2,FALSE),IFERROR(VLOOKUP(P247&amp;"|"&amp;Q247&amp;"|ALL",V8_COHORT_TABLE,2,FALSE),IFERROR(VLOOKUP(P247&amp;"|ALL|ALL",V8_COHORT_TABLE,2,FALSE),VLOOKUP("GLOBAL",V8_COHORT_TABLE,2,FALSE))))</f>
        <v/>
      </c>
      <c r="W247" s="15">
        <f>IFERROR(VLOOKUP(S247,V8_COHORT_TABLE,3,FALSE),IFERROR(VLOOKUP(P247&amp;"|"&amp;Q247&amp;"|ALL",V8_COHORT_TABLE,3,FALSE),IFERROR(VLOOKUP(P247&amp;"|ALL|ALL",V8_COHORT_TABLE,3,FALSE),VLOOKUP("GLOBAL",V8_COHORT_TABLE,3,FALSE))))</f>
        <v/>
      </c>
      <c r="X247" s="15">
        <f>IFERROR(VLOOKUP(S247,V8_COHORT_TABLE,4,FALSE),IFERROR(VLOOKUP(P247&amp;"|"&amp;Q247&amp;"|ALL",V8_COHORT_TABLE,4,FALSE),IFERROR(VLOOKUP(P247&amp;"|ALL|ALL",V8_COHORT_TABLE,4,FALSE),VLOOKUP("GLOBAL",V8_COHORT_TABLE,4,FALSE))))</f>
        <v/>
      </c>
      <c r="Y247" s="15">
        <f>IFERROR(VLOOKUP(S247,V8_COHORT_TABLE,5,FALSE),IFERROR(VLOOKUP(P247&amp;"|"&amp;Q247&amp;"|ALL",V8_COHORT_TABLE,5,FALSE),IFERROR(VLOOKUP(P247&amp;"|ALL|ALL",V8_COHORT_TABLE,5,FALSE),VLOOKUP("GLOBAL",V8_COHORT_TABLE,5,FALSE))))</f>
        <v/>
      </c>
      <c r="Z247" s="15">
        <f>V247+W247/(1+EXP(-(U247-X247)/Y247))</f>
        <v/>
      </c>
      <c r="AA247" s="16">
        <f>1-(1-Z247)^12</f>
        <v/>
      </c>
      <c r="AB247" s="14">
        <f>IF(K247&lt;=V8_AGE_KNOT_X_0,V8_AGE_KNOT_Y_0,IF(K247&gt;=V8_AGE_KNOT_X_5,V8_AGE_KNOT_Y_5,IF(K247&lt;=V8_AGE_KNOT_X_1,V8_AGE_KNOT_Y_0+(K247-V8_AGE_KNOT_X_0)/(V8_AGE_KNOT_X_1-V8_AGE_KNOT_X_0)*(V8_AGE_KNOT_Y_1-V8_AGE_KNOT_Y_0),IF(K247&lt;=V8_AGE_KNOT_X_2,V8_AGE_KNOT_Y_1+(K247-V8_AGE_KNOT_X_1)/(V8_AGE_KNOT_X_2-V8_AGE_KNOT_X_1)*(V8_AGE_KNOT_Y_2-V8_AGE_KNOT_Y_1),IF(K247&lt;=V8_AGE_KNOT_X_3,V8_AGE_KNOT_Y_2+(K247-V8_AGE_KNOT_X_2)/(V8_AGE_KNOT_X_3-V8_AGE_KNOT_X_2)*(V8_AGE_KNOT_Y_3-V8_AGE_KNOT_Y_2),IF(K247&lt;=V8_AGE_KNOT_X_4,V8_AGE_KNOT_Y_3+(K247-V8_AGE_KNOT_X_3)/(V8_AGE_KNOT_X_4-V8_AGE_KNOT_X_3)*(V8_AGE_KNOT_Y_4-V8_AGE_KNOT_Y_3),V8_AGE_KNOT_Y_4+(K247-V8_AGE_KNOT_X_4)/(V8_AGE_KNOT_X_5-V8_AGE_KNOT_X_4)*(V8_AGE_KNOT_Y_5-V8_AGE_KNOT_Y_4)))))))</f>
        <v/>
      </c>
      <c r="AC247" s="14">
        <f>IF(IF(OR(L247="",NOT(ISNUMBER(L247))),360,MAX(0,MIN(480,(INT(L247/100)-INT(VALUE(F247)/100))*12+MOD(L247,100)-MOD(VALUE(F247),100))))&gt;0,1+V8_MTY_AMP*MAX(0,(V8_MTY_CUTOFF-(IF(OR(L247="",NOT(ISNUMBER(L247))),360,MAX(0,MIN(480,(INT(L247/100)-INT(VALUE(F247)/100))*12+MOD(L247,100)-MOD(VALUE(F247),100))))))/V8_MTY_CUTOFF),1)</f>
        <v/>
      </c>
      <c r="AD247" s="14">
        <f>IF(AND(IF(OR(M247="",NOT(ISNUMBER(M247))),0,MAX(0,MIN(24,(INT(VALUE(F247)/100)-INT(M247/100))*12+MOD(VALUE(F247),100)-MOD(M247,100))))&gt;0,IF(OR(M247="",NOT(ISNUMBER(M247))),0,MAX(0,MIN(24,(INT(VALUE(F247)/100)-INT(M247/100))*12+MOD(VALUE(F247),100)-MOD(M247,100))))&lt;=12),1+V8_LOCKOUT_AMP*EXP(-(IF(OR(M247="",NOT(ISNUMBER(M247))),0,MAX(0,MIN(24,(INT(VALUE(F247)/100)-INT(M247/100))*12+MOD(VALUE(F247),100)-MOD(M247,100)))))/V8_LOCKOUT_TAU),1)</f>
        <v/>
      </c>
      <c r="AE247" s="14">
        <f>MAX(V8_BURN_FLOOR,1-V8_BURN_SLOPE*MIN(1,MAX(0,O247)))</f>
        <v/>
      </c>
      <c r="AF247" s="15">
        <f>MIN(Z247*AB247*AC247*AD247*AE247,0.2)</f>
        <v/>
      </c>
      <c r="AG247" s="16">
        <f>1-(1-AF247)^12</f>
        <v/>
      </c>
    </row>
    <row r="248">
      <c r="A248" s="2" t="inlineStr">
        <is>
          <t>000005322191</t>
        </is>
      </c>
      <c r="B248" t="inlineStr">
        <is>
          <t>232</t>
        </is>
      </c>
      <c r="C248" t="inlineStr">
        <is>
          <t>RP</t>
        </is>
      </c>
      <c r="D248" t="inlineStr">
        <is>
          <t>PGIM REAL ESTATE AGENCY FINANCING, LLC.</t>
        </is>
      </c>
      <c r="E248" t="n">
        <v>2016</v>
      </c>
      <c r="F248" t="inlineStr">
        <is>
          <t>202602</t>
        </is>
      </c>
      <c r="G248" s="8" t="n">
        <v>4747767.98</v>
      </c>
      <c r="H248" s="12" t="n">
        <v>3.85</v>
      </c>
      <c r="I248" s="13" t="n">
        <v>447</v>
      </c>
      <c r="J248" s="13" t="n">
        <v>2</v>
      </c>
      <c r="K248" t="n">
        <v>119</v>
      </c>
      <c r="L248" t="n">
        <v>205104</v>
      </c>
      <c r="M248" t="inlineStr"/>
      <c r="N248" t="n">
        <v>32</v>
      </c>
      <c r="O248" s="14" t="n">
        <v>0.2689075630252101</v>
      </c>
      <c r="P248">
        <f>IF(ISNUMBER(SEARCH("232",B248)),"232",IF(ISNUMBER(SEARCH("538",B248)),"538",IF(ISNUMBER(SEARCH("223a7",B248)),"223a7",IF(ISNUMBER(SEARCH("223f",B248)),"223f","OTHER"))))</f>
        <v/>
      </c>
      <c r="Q248">
        <f>IF(UPPER(C248)="NC","NC","RP")</f>
        <v/>
      </c>
      <c r="R248">
        <f>IF(G248&lt;5000000,"small",IF(G248&lt;25000000,"medium","large"))</f>
        <v/>
      </c>
      <c r="S248">
        <f>P248&amp;"|"&amp;Q248&amp;"|"&amp;R248</f>
        <v/>
      </c>
      <c r="T248" s="13">
        <f>H248*100-I248</f>
        <v/>
      </c>
      <c r="U248" s="13">
        <f>T248-12.5*(J248+1)</f>
        <v/>
      </c>
      <c r="V248" s="15">
        <f>IFERROR(VLOOKUP(S248,V8_COHORT_TABLE,2,FALSE),IFERROR(VLOOKUP(P248&amp;"|"&amp;Q248&amp;"|ALL",V8_COHORT_TABLE,2,FALSE),IFERROR(VLOOKUP(P248&amp;"|ALL|ALL",V8_COHORT_TABLE,2,FALSE),VLOOKUP("GLOBAL",V8_COHORT_TABLE,2,FALSE))))</f>
        <v/>
      </c>
      <c r="W248" s="15">
        <f>IFERROR(VLOOKUP(S248,V8_COHORT_TABLE,3,FALSE),IFERROR(VLOOKUP(P248&amp;"|"&amp;Q248&amp;"|ALL",V8_COHORT_TABLE,3,FALSE),IFERROR(VLOOKUP(P248&amp;"|ALL|ALL",V8_COHORT_TABLE,3,FALSE),VLOOKUP("GLOBAL",V8_COHORT_TABLE,3,FALSE))))</f>
        <v/>
      </c>
      <c r="X248" s="15">
        <f>IFERROR(VLOOKUP(S248,V8_COHORT_TABLE,4,FALSE),IFERROR(VLOOKUP(P248&amp;"|"&amp;Q248&amp;"|ALL",V8_COHORT_TABLE,4,FALSE),IFERROR(VLOOKUP(P248&amp;"|ALL|ALL",V8_COHORT_TABLE,4,FALSE),VLOOKUP("GLOBAL",V8_COHORT_TABLE,4,FALSE))))</f>
        <v/>
      </c>
      <c r="Y248" s="15">
        <f>IFERROR(VLOOKUP(S248,V8_COHORT_TABLE,5,FALSE),IFERROR(VLOOKUP(P248&amp;"|"&amp;Q248&amp;"|ALL",V8_COHORT_TABLE,5,FALSE),IFERROR(VLOOKUP(P248&amp;"|ALL|ALL",V8_COHORT_TABLE,5,FALSE),VLOOKUP("GLOBAL",V8_COHORT_TABLE,5,FALSE))))</f>
        <v/>
      </c>
      <c r="Z248" s="15">
        <f>V248+W248/(1+EXP(-(U248-X248)/Y248))</f>
        <v/>
      </c>
      <c r="AA248" s="16">
        <f>1-(1-Z248)^12</f>
        <v/>
      </c>
      <c r="AB248" s="14">
        <f>IF(K248&lt;=V8_AGE_KNOT_X_0,V8_AGE_KNOT_Y_0,IF(K248&gt;=V8_AGE_KNOT_X_5,V8_AGE_KNOT_Y_5,IF(K248&lt;=V8_AGE_KNOT_X_1,V8_AGE_KNOT_Y_0+(K248-V8_AGE_KNOT_X_0)/(V8_AGE_KNOT_X_1-V8_AGE_KNOT_X_0)*(V8_AGE_KNOT_Y_1-V8_AGE_KNOT_Y_0),IF(K248&lt;=V8_AGE_KNOT_X_2,V8_AGE_KNOT_Y_1+(K248-V8_AGE_KNOT_X_1)/(V8_AGE_KNOT_X_2-V8_AGE_KNOT_X_1)*(V8_AGE_KNOT_Y_2-V8_AGE_KNOT_Y_1),IF(K248&lt;=V8_AGE_KNOT_X_3,V8_AGE_KNOT_Y_2+(K248-V8_AGE_KNOT_X_2)/(V8_AGE_KNOT_X_3-V8_AGE_KNOT_X_2)*(V8_AGE_KNOT_Y_3-V8_AGE_KNOT_Y_2),IF(K248&lt;=V8_AGE_KNOT_X_4,V8_AGE_KNOT_Y_3+(K248-V8_AGE_KNOT_X_3)/(V8_AGE_KNOT_X_4-V8_AGE_KNOT_X_3)*(V8_AGE_KNOT_Y_4-V8_AGE_KNOT_Y_3),V8_AGE_KNOT_Y_4+(K248-V8_AGE_KNOT_X_4)/(V8_AGE_KNOT_X_5-V8_AGE_KNOT_X_4)*(V8_AGE_KNOT_Y_5-V8_AGE_KNOT_Y_4)))))))</f>
        <v/>
      </c>
      <c r="AC248" s="14">
        <f>IF(IF(OR(L248="",NOT(ISNUMBER(L248))),360,MAX(0,MIN(480,(INT(L248/100)-INT(VALUE(F248)/100))*12+MOD(L248,100)-MOD(VALUE(F248),100))))&gt;0,1+V8_MTY_AMP*MAX(0,(V8_MTY_CUTOFF-(IF(OR(L248="",NOT(ISNUMBER(L248))),360,MAX(0,MIN(480,(INT(L248/100)-INT(VALUE(F248)/100))*12+MOD(L248,100)-MOD(VALUE(F248),100))))))/V8_MTY_CUTOFF),1)</f>
        <v/>
      </c>
      <c r="AD248" s="14">
        <f>IF(AND(IF(OR(M248="",NOT(ISNUMBER(M248))),0,MAX(0,MIN(24,(INT(VALUE(F248)/100)-INT(M248/100))*12+MOD(VALUE(F248),100)-MOD(M248,100))))&gt;0,IF(OR(M248="",NOT(ISNUMBER(M248))),0,MAX(0,MIN(24,(INT(VALUE(F248)/100)-INT(M248/100))*12+MOD(VALUE(F248),100)-MOD(M248,100))))&lt;=12),1+V8_LOCKOUT_AMP*EXP(-(IF(OR(M248="",NOT(ISNUMBER(M248))),0,MAX(0,MIN(24,(INT(VALUE(F248)/100)-INT(M248/100))*12+MOD(VALUE(F248),100)-MOD(M248,100)))))/V8_LOCKOUT_TAU),1)</f>
        <v/>
      </c>
      <c r="AE248" s="14">
        <f>MAX(V8_BURN_FLOOR,1-V8_BURN_SLOPE*MIN(1,MAX(0,O248)))</f>
        <v/>
      </c>
      <c r="AF248" s="15">
        <f>MIN(Z248*AB248*AC248*AD248*AE248,0.2)</f>
        <v/>
      </c>
      <c r="AG248" s="16">
        <f>1-(1-AF248)^12</f>
        <v/>
      </c>
    </row>
    <row r="249">
      <c r="A249" s="2" t="inlineStr">
        <is>
          <t>000005411182</t>
        </is>
      </c>
      <c r="B249" t="inlineStr">
        <is>
          <t>223f</t>
        </is>
      </c>
      <c r="C249" t="inlineStr">
        <is>
          <t>RP</t>
        </is>
      </c>
      <c r="D249" t="inlineStr">
        <is>
          <t>PGIM REAL ESTATE AGENCY FINANCING, LLC.</t>
        </is>
      </c>
      <c r="E249" t="n">
        <v>2020</v>
      </c>
      <c r="F249" t="inlineStr">
        <is>
          <t>202602</t>
        </is>
      </c>
      <c r="G249" s="8" t="n">
        <v>4220732.16</v>
      </c>
      <c r="H249" s="12" t="n">
        <v>3.15</v>
      </c>
      <c r="I249" s="13" t="n">
        <v>447</v>
      </c>
      <c r="J249" s="13" t="n">
        <v>6</v>
      </c>
      <c r="K249" t="n">
        <v>71</v>
      </c>
      <c r="L249" t="n">
        <v>205504</v>
      </c>
      <c r="M249" t="inlineStr"/>
      <c r="N249" t="n">
        <v>19</v>
      </c>
      <c r="O249" s="14" t="n">
        <v>0.2676056338028169</v>
      </c>
      <c r="P249">
        <f>IF(ISNUMBER(SEARCH("232",B249)),"232",IF(ISNUMBER(SEARCH("538",B249)),"538",IF(ISNUMBER(SEARCH("223a7",B249)),"223a7",IF(ISNUMBER(SEARCH("223f",B249)),"223f","OTHER"))))</f>
        <v/>
      </c>
      <c r="Q249">
        <f>IF(UPPER(C249)="NC","NC","RP")</f>
        <v/>
      </c>
      <c r="R249">
        <f>IF(G249&lt;5000000,"small",IF(G249&lt;25000000,"medium","large"))</f>
        <v/>
      </c>
      <c r="S249">
        <f>P249&amp;"|"&amp;Q249&amp;"|"&amp;R249</f>
        <v/>
      </c>
      <c r="T249" s="13">
        <f>H249*100-I249</f>
        <v/>
      </c>
      <c r="U249" s="13">
        <f>T249-12.5*(J249+1)</f>
        <v/>
      </c>
      <c r="V249" s="15">
        <f>IFERROR(VLOOKUP(S249,V8_COHORT_TABLE,2,FALSE),IFERROR(VLOOKUP(P249&amp;"|"&amp;Q249&amp;"|ALL",V8_COHORT_TABLE,2,FALSE),IFERROR(VLOOKUP(P249&amp;"|ALL|ALL",V8_COHORT_TABLE,2,FALSE),VLOOKUP("GLOBAL",V8_COHORT_TABLE,2,FALSE))))</f>
        <v/>
      </c>
      <c r="W249" s="15">
        <f>IFERROR(VLOOKUP(S249,V8_COHORT_TABLE,3,FALSE),IFERROR(VLOOKUP(P249&amp;"|"&amp;Q249&amp;"|ALL",V8_COHORT_TABLE,3,FALSE),IFERROR(VLOOKUP(P249&amp;"|ALL|ALL",V8_COHORT_TABLE,3,FALSE),VLOOKUP("GLOBAL",V8_COHORT_TABLE,3,FALSE))))</f>
        <v/>
      </c>
      <c r="X249" s="15">
        <f>IFERROR(VLOOKUP(S249,V8_COHORT_TABLE,4,FALSE),IFERROR(VLOOKUP(P249&amp;"|"&amp;Q249&amp;"|ALL",V8_COHORT_TABLE,4,FALSE),IFERROR(VLOOKUP(P249&amp;"|ALL|ALL",V8_COHORT_TABLE,4,FALSE),VLOOKUP("GLOBAL",V8_COHORT_TABLE,4,FALSE))))</f>
        <v/>
      </c>
      <c r="Y249" s="15">
        <f>IFERROR(VLOOKUP(S249,V8_COHORT_TABLE,5,FALSE),IFERROR(VLOOKUP(P249&amp;"|"&amp;Q249&amp;"|ALL",V8_COHORT_TABLE,5,FALSE),IFERROR(VLOOKUP(P249&amp;"|ALL|ALL",V8_COHORT_TABLE,5,FALSE),VLOOKUP("GLOBAL",V8_COHORT_TABLE,5,FALSE))))</f>
        <v/>
      </c>
      <c r="Z249" s="15">
        <f>V249+W249/(1+EXP(-(U249-X249)/Y249))</f>
        <v/>
      </c>
      <c r="AA249" s="16">
        <f>1-(1-Z249)^12</f>
        <v/>
      </c>
      <c r="AB249" s="14">
        <f>IF(K249&lt;=V8_AGE_KNOT_X_0,V8_AGE_KNOT_Y_0,IF(K249&gt;=V8_AGE_KNOT_X_5,V8_AGE_KNOT_Y_5,IF(K249&lt;=V8_AGE_KNOT_X_1,V8_AGE_KNOT_Y_0+(K249-V8_AGE_KNOT_X_0)/(V8_AGE_KNOT_X_1-V8_AGE_KNOT_X_0)*(V8_AGE_KNOT_Y_1-V8_AGE_KNOT_Y_0),IF(K249&lt;=V8_AGE_KNOT_X_2,V8_AGE_KNOT_Y_1+(K249-V8_AGE_KNOT_X_1)/(V8_AGE_KNOT_X_2-V8_AGE_KNOT_X_1)*(V8_AGE_KNOT_Y_2-V8_AGE_KNOT_Y_1),IF(K249&lt;=V8_AGE_KNOT_X_3,V8_AGE_KNOT_Y_2+(K249-V8_AGE_KNOT_X_2)/(V8_AGE_KNOT_X_3-V8_AGE_KNOT_X_2)*(V8_AGE_KNOT_Y_3-V8_AGE_KNOT_Y_2),IF(K249&lt;=V8_AGE_KNOT_X_4,V8_AGE_KNOT_Y_3+(K249-V8_AGE_KNOT_X_3)/(V8_AGE_KNOT_X_4-V8_AGE_KNOT_X_3)*(V8_AGE_KNOT_Y_4-V8_AGE_KNOT_Y_3),V8_AGE_KNOT_Y_4+(K249-V8_AGE_KNOT_X_4)/(V8_AGE_KNOT_X_5-V8_AGE_KNOT_X_4)*(V8_AGE_KNOT_Y_5-V8_AGE_KNOT_Y_4)))))))</f>
        <v/>
      </c>
      <c r="AC249" s="14">
        <f>IF(IF(OR(L249="",NOT(ISNUMBER(L249))),360,MAX(0,MIN(480,(INT(L249/100)-INT(VALUE(F249)/100))*12+MOD(L249,100)-MOD(VALUE(F249),100))))&gt;0,1+V8_MTY_AMP*MAX(0,(V8_MTY_CUTOFF-(IF(OR(L249="",NOT(ISNUMBER(L249))),360,MAX(0,MIN(480,(INT(L249/100)-INT(VALUE(F249)/100))*12+MOD(L249,100)-MOD(VALUE(F249),100))))))/V8_MTY_CUTOFF),1)</f>
        <v/>
      </c>
      <c r="AD249" s="14">
        <f>IF(AND(IF(OR(M249="",NOT(ISNUMBER(M249))),0,MAX(0,MIN(24,(INT(VALUE(F249)/100)-INT(M249/100))*12+MOD(VALUE(F249),100)-MOD(M249,100))))&gt;0,IF(OR(M249="",NOT(ISNUMBER(M249))),0,MAX(0,MIN(24,(INT(VALUE(F249)/100)-INT(M249/100))*12+MOD(VALUE(F249),100)-MOD(M249,100))))&lt;=12),1+V8_LOCKOUT_AMP*EXP(-(IF(OR(M249="",NOT(ISNUMBER(M249))),0,MAX(0,MIN(24,(INT(VALUE(F249)/100)-INT(M249/100))*12+MOD(VALUE(F249),100)-MOD(M249,100)))))/V8_LOCKOUT_TAU),1)</f>
        <v/>
      </c>
      <c r="AE249" s="14">
        <f>MAX(V8_BURN_FLOOR,1-V8_BURN_SLOPE*MIN(1,MAX(0,O249)))</f>
        <v/>
      </c>
      <c r="AF249" s="15">
        <f>MIN(Z249*AB249*AC249*AD249*AE249,0.2)</f>
        <v/>
      </c>
      <c r="AG249" s="16">
        <f>1-(1-AF249)^12</f>
        <v/>
      </c>
    </row>
    <row r="250">
      <c r="A250" s="2" t="inlineStr">
        <is>
          <t>000007111471</t>
        </is>
      </c>
      <c r="B250" t="inlineStr">
        <is>
          <t>223f</t>
        </is>
      </c>
      <c r="C250" t="inlineStr">
        <is>
          <t>RP</t>
        </is>
      </c>
      <c r="D250" t="inlineStr">
        <is>
          <t>NORTHMARQ FINANCE, LLC</t>
        </is>
      </c>
      <c r="E250" t="n">
        <v>2019</v>
      </c>
      <c r="F250" t="inlineStr">
        <is>
          <t>202602</t>
        </is>
      </c>
      <c r="G250" s="8" t="n">
        <v>5215061.73</v>
      </c>
      <c r="H250" s="12" t="n">
        <v>2.95</v>
      </c>
      <c r="I250" s="13" t="n">
        <v>447</v>
      </c>
      <c r="J250" s="13" t="n">
        <v>5</v>
      </c>
      <c r="K250" t="n">
        <v>78</v>
      </c>
      <c r="L250" t="n">
        <v>205505</v>
      </c>
      <c r="M250" t="inlineStr"/>
      <c r="N250" t="n">
        <v>6</v>
      </c>
      <c r="O250" s="14" t="n">
        <v>0.07692307692307693</v>
      </c>
      <c r="P250">
        <f>IF(ISNUMBER(SEARCH("232",B250)),"232",IF(ISNUMBER(SEARCH("538",B250)),"538",IF(ISNUMBER(SEARCH("223a7",B250)),"223a7",IF(ISNUMBER(SEARCH("223f",B250)),"223f","OTHER"))))</f>
        <v/>
      </c>
      <c r="Q250">
        <f>IF(UPPER(C250)="NC","NC","RP")</f>
        <v/>
      </c>
      <c r="R250">
        <f>IF(G250&lt;5000000,"small",IF(G250&lt;25000000,"medium","large"))</f>
        <v/>
      </c>
      <c r="S250">
        <f>P250&amp;"|"&amp;Q250&amp;"|"&amp;R250</f>
        <v/>
      </c>
      <c r="T250" s="13">
        <f>H250*100-I250</f>
        <v/>
      </c>
      <c r="U250" s="13">
        <f>T250-12.5*(J250+1)</f>
        <v/>
      </c>
      <c r="V250" s="15">
        <f>IFERROR(VLOOKUP(S250,V8_COHORT_TABLE,2,FALSE),IFERROR(VLOOKUP(P250&amp;"|"&amp;Q250&amp;"|ALL",V8_COHORT_TABLE,2,FALSE),IFERROR(VLOOKUP(P250&amp;"|ALL|ALL",V8_COHORT_TABLE,2,FALSE),VLOOKUP("GLOBAL",V8_COHORT_TABLE,2,FALSE))))</f>
        <v/>
      </c>
      <c r="W250" s="15">
        <f>IFERROR(VLOOKUP(S250,V8_COHORT_TABLE,3,FALSE),IFERROR(VLOOKUP(P250&amp;"|"&amp;Q250&amp;"|ALL",V8_COHORT_TABLE,3,FALSE),IFERROR(VLOOKUP(P250&amp;"|ALL|ALL",V8_COHORT_TABLE,3,FALSE),VLOOKUP("GLOBAL",V8_COHORT_TABLE,3,FALSE))))</f>
        <v/>
      </c>
      <c r="X250" s="15">
        <f>IFERROR(VLOOKUP(S250,V8_COHORT_TABLE,4,FALSE),IFERROR(VLOOKUP(P250&amp;"|"&amp;Q250&amp;"|ALL",V8_COHORT_TABLE,4,FALSE),IFERROR(VLOOKUP(P250&amp;"|ALL|ALL",V8_COHORT_TABLE,4,FALSE),VLOOKUP("GLOBAL",V8_COHORT_TABLE,4,FALSE))))</f>
        <v/>
      </c>
      <c r="Y250" s="15">
        <f>IFERROR(VLOOKUP(S250,V8_COHORT_TABLE,5,FALSE),IFERROR(VLOOKUP(P250&amp;"|"&amp;Q250&amp;"|ALL",V8_COHORT_TABLE,5,FALSE),IFERROR(VLOOKUP(P250&amp;"|ALL|ALL",V8_COHORT_TABLE,5,FALSE),VLOOKUP("GLOBAL",V8_COHORT_TABLE,5,FALSE))))</f>
        <v/>
      </c>
      <c r="Z250" s="15">
        <f>V250+W250/(1+EXP(-(U250-X250)/Y250))</f>
        <v/>
      </c>
      <c r="AA250" s="16">
        <f>1-(1-Z250)^12</f>
        <v/>
      </c>
      <c r="AB250" s="14">
        <f>IF(K250&lt;=V8_AGE_KNOT_X_0,V8_AGE_KNOT_Y_0,IF(K250&gt;=V8_AGE_KNOT_X_5,V8_AGE_KNOT_Y_5,IF(K250&lt;=V8_AGE_KNOT_X_1,V8_AGE_KNOT_Y_0+(K250-V8_AGE_KNOT_X_0)/(V8_AGE_KNOT_X_1-V8_AGE_KNOT_X_0)*(V8_AGE_KNOT_Y_1-V8_AGE_KNOT_Y_0),IF(K250&lt;=V8_AGE_KNOT_X_2,V8_AGE_KNOT_Y_1+(K250-V8_AGE_KNOT_X_1)/(V8_AGE_KNOT_X_2-V8_AGE_KNOT_X_1)*(V8_AGE_KNOT_Y_2-V8_AGE_KNOT_Y_1),IF(K250&lt;=V8_AGE_KNOT_X_3,V8_AGE_KNOT_Y_2+(K250-V8_AGE_KNOT_X_2)/(V8_AGE_KNOT_X_3-V8_AGE_KNOT_X_2)*(V8_AGE_KNOT_Y_3-V8_AGE_KNOT_Y_2),IF(K250&lt;=V8_AGE_KNOT_X_4,V8_AGE_KNOT_Y_3+(K250-V8_AGE_KNOT_X_3)/(V8_AGE_KNOT_X_4-V8_AGE_KNOT_X_3)*(V8_AGE_KNOT_Y_4-V8_AGE_KNOT_Y_3),V8_AGE_KNOT_Y_4+(K250-V8_AGE_KNOT_X_4)/(V8_AGE_KNOT_X_5-V8_AGE_KNOT_X_4)*(V8_AGE_KNOT_Y_5-V8_AGE_KNOT_Y_4)))))))</f>
        <v/>
      </c>
      <c r="AC250" s="14">
        <f>IF(IF(OR(L250="",NOT(ISNUMBER(L250))),360,MAX(0,MIN(480,(INT(L250/100)-INT(VALUE(F250)/100))*12+MOD(L250,100)-MOD(VALUE(F250),100))))&gt;0,1+V8_MTY_AMP*MAX(0,(V8_MTY_CUTOFF-(IF(OR(L250="",NOT(ISNUMBER(L250))),360,MAX(0,MIN(480,(INT(L250/100)-INT(VALUE(F250)/100))*12+MOD(L250,100)-MOD(VALUE(F250),100))))))/V8_MTY_CUTOFF),1)</f>
        <v/>
      </c>
      <c r="AD250" s="14">
        <f>IF(AND(IF(OR(M250="",NOT(ISNUMBER(M250))),0,MAX(0,MIN(24,(INT(VALUE(F250)/100)-INT(M250/100))*12+MOD(VALUE(F250),100)-MOD(M250,100))))&gt;0,IF(OR(M250="",NOT(ISNUMBER(M250))),0,MAX(0,MIN(24,(INT(VALUE(F250)/100)-INT(M250/100))*12+MOD(VALUE(F250),100)-MOD(M250,100))))&lt;=12),1+V8_LOCKOUT_AMP*EXP(-(IF(OR(M250="",NOT(ISNUMBER(M250))),0,MAX(0,MIN(24,(INT(VALUE(F250)/100)-INT(M250/100))*12+MOD(VALUE(F250),100)-MOD(M250,100)))))/V8_LOCKOUT_TAU),1)</f>
        <v/>
      </c>
      <c r="AE250" s="14">
        <f>MAX(V8_BURN_FLOOR,1-V8_BURN_SLOPE*MIN(1,MAX(0,O250)))</f>
        <v/>
      </c>
      <c r="AF250" s="15">
        <f>MIN(Z250*AB250*AC250*AD250*AE250,0.2)</f>
        <v/>
      </c>
      <c r="AG250" s="16">
        <f>1-(1-AF250)^12</f>
        <v/>
      </c>
    </row>
    <row r="251">
      <c r="A251" s="2" t="inlineStr">
        <is>
          <t>000006611272</t>
        </is>
      </c>
      <c r="B251" t="inlineStr">
        <is>
          <t>223f</t>
        </is>
      </c>
      <c r="C251" t="inlineStr">
        <is>
          <t>RP</t>
        </is>
      </c>
      <c r="D251" t="inlineStr">
        <is>
          <t>NORTHMARQ FINANCE, LLC</t>
        </is>
      </c>
      <c r="E251" t="n">
        <v>2022</v>
      </c>
      <c r="F251" t="inlineStr">
        <is>
          <t>202602</t>
        </is>
      </c>
      <c r="G251" s="8" t="n">
        <v>30546412.94</v>
      </c>
      <c r="H251" s="12" t="n">
        <v>2.55</v>
      </c>
      <c r="I251" s="13" t="n">
        <v>447</v>
      </c>
      <c r="J251" s="13" t="n">
        <v>7</v>
      </c>
      <c r="K251" t="n">
        <v>46</v>
      </c>
      <c r="L251" t="n">
        <v>205705</v>
      </c>
      <c r="M251" t="inlineStr"/>
      <c r="N251" t="n">
        <v>0</v>
      </c>
      <c r="O251" s="14" t="n">
        <v>0</v>
      </c>
      <c r="P251">
        <f>IF(ISNUMBER(SEARCH("232",B251)),"232",IF(ISNUMBER(SEARCH("538",B251)),"538",IF(ISNUMBER(SEARCH("223a7",B251)),"223a7",IF(ISNUMBER(SEARCH("223f",B251)),"223f","OTHER"))))</f>
        <v/>
      </c>
      <c r="Q251">
        <f>IF(UPPER(C251)="NC","NC","RP")</f>
        <v/>
      </c>
      <c r="R251">
        <f>IF(G251&lt;5000000,"small",IF(G251&lt;25000000,"medium","large"))</f>
        <v/>
      </c>
      <c r="S251">
        <f>P251&amp;"|"&amp;Q251&amp;"|"&amp;R251</f>
        <v/>
      </c>
      <c r="T251" s="13">
        <f>H251*100-I251</f>
        <v/>
      </c>
      <c r="U251" s="13">
        <f>T251-12.5*(J251+1)</f>
        <v/>
      </c>
      <c r="V251" s="15">
        <f>IFERROR(VLOOKUP(S251,V8_COHORT_TABLE,2,FALSE),IFERROR(VLOOKUP(P251&amp;"|"&amp;Q251&amp;"|ALL",V8_COHORT_TABLE,2,FALSE),IFERROR(VLOOKUP(P251&amp;"|ALL|ALL",V8_COHORT_TABLE,2,FALSE),VLOOKUP("GLOBAL",V8_COHORT_TABLE,2,FALSE))))</f>
        <v/>
      </c>
      <c r="W251" s="15">
        <f>IFERROR(VLOOKUP(S251,V8_COHORT_TABLE,3,FALSE),IFERROR(VLOOKUP(P251&amp;"|"&amp;Q251&amp;"|ALL",V8_COHORT_TABLE,3,FALSE),IFERROR(VLOOKUP(P251&amp;"|ALL|ALL",V8_COHORT_TABLE,3,FALSE),VLOOKUP("GLOBAL",V8_COHORT_TABLE,3,FALSE))))</f>
        <v/>
      </c>
      <c r="X251" s="15">
        <f>IFERROR(VLOOKUP(S251,V8_COHORT_TABLE,4,FALSE),IFERROR(VLOOKUP(P251&amp;"|"&amp;Q251&amp;"|ALL",V8_COHORT_TABLE,4,FALSE),IFERROR(VLOOKUP(P251&amp;"|ALL|ALL",V8_COHORT_TABLE,4,FALSE),VLOOKUP("GLOBAL",V8_COHORT_TABLE,4,FALSE))))</f>
        <v/>
      </c>
      <c r="Y251" s="15">
        <f>IFERROR(VLOOKUP(S251,V8_COHORT_TABLE,5,FALSE),IFERROR(VLOOKUP(P251&amp;"|"&amp;Q251&amp;"|ALL",V8_COHORT_TABLE,5,FALSE),IFERROR(VLOOKUP(P251&amp;"|ALL|ALL",V8_COHORT_TABLE,5,FALSE),VLOOKUP("GLOBAL",V8_COHORT_TABLE,5,FALSE))))</f>
        <v/>
      </c>
      <c r="Z251" s="15">
        <f>V251+W251/(1+EXP(-(U251-X251)/Y251))</f>
        <v/>
      </c>
      <c r="AA251" s="16">
        <f>1-(1-Z251)^12</f>
        <v/>
      </c>
      <c r="AB251" s="14">
        <f>IF(K251&lt;=V8_AGE_KNOT_X_0,V8_AGE_KNOT_Y_0,IF(K251&gt;=V8_AGE_KNOT_X_5,V8_AGE_KNOT_Y_5,IF(K251&lt;=V8_AGE_KNOT_X_1,V8_AGE_KNOT_Y_0+(K251-V8_AGE_KNOT_X_0)/(V8_AGE_KNOT_X_1-V8_AGE_KNOT_X_0)*(V8_AGE_KNOT_Y_1-V8_AGE_KNOT_Y_0),IF(K251&lt;=V8_AGE_KNOT_X_2,V8_AGE_KNOT_Y_1+(K251-V8_AGE_KNOT_X_1)/(V8_AGE_KNOT_X_2-V8_AGE_KNOT_X_1)*(V8_AGE_KNOT_Y_2-V8_AGE_KNOT_Y_1),IF(K251&lt;=V8_AGE_KNOT_X_3,V8_AGE_KNOT_Y_2+(K251-V8_AGE_KNOT_X_2)/(V8_AGE_KNOT_X_3-V8_AGE_KNOT_X_2)*(V8_AGE_KNOT_Y_3-V8_AGE_KNOT_Y_2),IF(K251&lt;=V8_AGE_KNOT_X_4,V8_AGE_KNOT_Y_3+(K251-V8_AGE_KNOT_X_3)/(V8_AGE_KNOT_X_4-V8_AGE_KNOT_X_3)*(V8_AGE_KNOT_Y_4-V8_AGE_KNOT_Y_3),V8_AGE_KNOT_Y_4+(K251-V8_AGE_KNOT_X_4)/(V8_AGE_KNOT_X_5-V8_AGE_KNOT_X_4)*(V8_AGE_KNOT_Y_5-V8_AGE_KNOT_Y_4)))))))</f>
        <v/>
      </c>
      <c r="AC251" s="14">
        <f>IF(IF(OR(L251="",NOT(ISNUMBER(L251))),360,MAX(0,MIN(480,(INT(L251/100)-INT(VALUE(F251)/100))*12+MOD(L251,100)-MOD(VALUE(F251),100))))&gt;0,1+V8_MTY_AMP*MAX(0,(V8_MTY_CUTOFF-(IF(OR(L251="",NOT(ISNUMBER(L251))),360,MAX(0,MIN(480,(INT(L251/100)-INT(VALUE(F251)/100))*12+MOD(L251,100)-MOD(VALUE(F251),100))))))/V8_MTY_CUTOFF),1)</f>
        <v/>
      </c>
      <c r="AD251" s="14">
        <f>IF(AND(IF(OR(M251="",NOT(ISNUMBER(M251))),0,MAX(0,MIN(24,(INT(VALUE(F251)/100)-INT(M251/100))*12+MOD(VALUE(F251),100)-MOD(M251,100))))&gt;0,IF(OR(M251="",NOT(ISNUMBER(M251))),0,MAX(0,MIN(24,(INT(VALUE(F251)/100)-INT(M251/100))*12+MOD(VALUE(F251),100)-MOD(M251,100))))&lt;=12),1+V8_LOCKOUT_AMP*EXP(-(IF(OR(M251="",NOT(ISNUMBER(M251))),0,MAX(0,MIN(24,(INT(VALUE(F251)/100)-INT(M251/100))*12+MOD(VALUE(F251),100)-MOD(M251,100)))))/V8_LOCKOUT_TAU),1)</f>
        <v/>
      </c>
      <c r="AE251" s="14">
        <f>MAX(V8_BURN_FLOOR,1-V8_BURN_SLOPE*MIN(1,MAX(0,O251)))</f>
        <v/>
      </c>
      <c r="AF251" s="15">
        <f>MIN(Z251*AB251*AC251*AD251*AE251,0.2)</f>
        <v/>
      </c>
      <c r="AG251" s="16">
        <f>1-(1-AF251)^12</f>
        <v/>
      </c>
    </row>
    <row r="252">
      <c r="A252" s="2" t="inlineStr">
        <is>
          <t>000005111491</t>
        </is>
      </c>
      <c r="B252" t="inlineStr">
        <is>
          <t>223f</t>
        </is>
      </c>
      <c r="C252" t="inlineStr">
        <is>
          <t>RP</t>
        </is>
      </c>
      <c r="D252" t="inlineStr">
        <is>
          <t>NORTHMARQ FINANCE, LLC</t>
        </is>
      </c>
      <c r="E252" t="n">
        <v>2021</v>
      </c>
      <c r="F252" t="inlineStr">
        <is>
          <t>202602</t>
        </is>
      </c>
      <c r="G252" s="8" t="n">
        <v>33362529.06</v>
      </c>
      <c r="H252" s="12" t="n">
        <v>2.59</v>
      </c>
      <c r="I252" s="13" t="n">
        <v>447</v>
      </c>
      <c r="J252" s="13" t="n">
        <v>6</v>
      </c>
      <c r="K252" t="n">
        <v>56</v>
      </c>
      <c r="L252" t="n">
        <v>205607</v>
      </c>
      <c r="M252" t="inlineStr"/>
      <c r="N252" t="n">
        <v>0</v>
      </c>
      <c r="O252" s="14" t="n">
        <v>0</v>
      </c>
      <c r="P252">
        <f>IF(ISNUMBER(SEARCH("232",B252)),"232",IF(ISNUMBER(SEARCH("538",B252)),"538",IF(ISNUMBER(SEARCH("223a7",B252)),"223a7",IF(ISNUMBER(SEARCH("223f",B252)),"223f","OTHER"))))</f>
        <v/>
      </c>
      <c r="Q252">
        <f>IF(UPPER(C252)="NC","NC","RP")</f>
        <v/>
      </c>
      <c r="R252">
        <f>IF(G252&lt;5000000,"small",IF(G252&lt;25000000,"medium","large"))</f>
        <v/>
      </c>
      <c r="S252">
        <f>P252&amp;"|"&amp;Q252&amp;"|"&amp;R252</f>
        <v/>
      </c>
      <c r="T252" s="13">
        <f>H252*100-I252</f>
        <v/>
      </c>
      <c r="U252" s="13">
        <f>T252-12.5*(J252+1)</f>
        <v/>
      </c>
      <c r="V252" s="15">
        <f>IFERROR(VLOOKUP(S252,V8_COHORT_TABLE,2,FALSE),IFERROR(VLOOKUP(P252&amp;"|"&amp;Q252&amp;"|ALL",V8_COHORT_TABLE,2,FALSE),IFERROR(VLOOKUP(P252&amp;"|ALL|ALL",V8_COHORT_TABLE,2,FALSE),VLOOKUP("GLOBAL",V8_COHORT_TABLE,2,FALSE))))</f>
        <v/>
      </c>
      <c r="W252" s="15">
        <f>IFERROR(VLOOKUP(S252,V8_COHORT_TABLE,3,FALSE),IFERROR(VLOOKUP(P252&amp;"|"&amp;Q252&amp;"|ALL",V8_COHORT_TABLE,3,FALSE),IFERROR(VLOOKUP(P252&amp;"|ALL|ALL",V8_COHORT_TABLE,3,FALSE),VLOOKUP("GLOBAL",V8_COHORT_TABLE,3,FALSE))))</f>
        <v/>
      </c>
      <c r="X252" s="15">
        <f>IFERROR(VLOOKUP(S252,V8_COHORT_TABLE,4,FALSE),IFERROR(VLOOKUP(P252&amp;"|"&amp;Q252&amp;"|ALL",V8_COHORT_TABLE,4,FALSE),IFERROR(VLOOKUP(P252&amp;"|ALL|ALL",V8_COHORT_TABLE,4,FALSE),VLOOKUP("GLOBAL",V8_COHORT_TABLE,4,FALSE))))</f>
        <v/>
      </c>
      <c r="Y252" s="15">
        <f>IFERROR(VLOOKUP(S252,V8_COHORT_TABLE,5,FALSE),IFERROR(VLOOKUP(P252&amp;"|"&amp;Q252&amp;"|ALL",V8_COHORT_TABLE,5,FALSE),IFERROR(VLOOKUP(P252&amp;"|ALL|ALL",V8_COHORT_TABLE,5,FALSE),VLOOKUP("GLOBAL",V8_COHORT_TABLE,5,FALSE))))</f>
        <v/>
      </c>
      <c r="Z252" s="15">
        <f>V252+W252/(1+EXP(-(U252-X252)/Y252))</f>
        <v/>
      </c>
      <c r="AA252" s="16">
        <f>1-(1-Z252)^12</f>
        <v/>
      </c>
      <c r="AB252" s="14">
        <f>IF(K252&lt;=V8_AGE_KNOT_X_0,V8_AGE_KNOT_Y_0,IF(K252&gt;=V8_AGE_KNOT_X_5,V8_AGE_KNOT_Y_5,IF(K252&lt;=V8_AGE_KNOT_X_1,V8_AGE_KNOT_Y_0+(K252-V8_AGE_KNOT_X_0)/(V8_AGE_KNOT_X_1-V8_AGE_KNOT_X_0)*(V8_AGE_KNOT_Y_1-V8_AGE_KNOT_Y_0),IF(K252&lt;=V8_AGE_KNOT_X_2,V8_AGE_KNOT_Y_1+(K252-V8_AGE_KNOT_X_1)/(V8_AGE_KNOT_X_2-V8_AGE_KNOT_X_1)*(V8_AGE_KNOT_Y_2-V8_AGE_KNOT_Y_1),IF(K252&lt;=V8_AGE_KNOT_X_3,V8_AGE_KNOT_Y_2+(K252-V8_AGE_KNOT_X_2)/(V8_AGE_KNOT_X_3-V8_AGE_KNOT_X_2)*(V8_AGE_KNOT_Y_3-V8_AGE_KNOT_Y_2),IF(K252&lt;=V8_AGE_KNOT_X_4,V8_AGE_KNOT_Y_3+(K252-V8_AGE_KNOT_X_3)/(V8_AGE_KNOT_X_4-V8_AGE_KNOT_X_3)*(V8_AGE_KNOT_Y_4-V8_AGE_KNOT_Y_3),V8_AGE_KNOT_Y_4+(K252-V8_AGE_KNOT_X_4)/(V8_AGE_KNOT_X_5-V8_AGE_KNOT_X_4)*(V8_AGE_KNOT_Y_5-V8_AGE_KNOT_Y_4)))))))</f>
        <v/>
      </c>
      <c r="AC252" s="14">
        <f>IF(IF(OR(L252="",NOT(ISNUMBER(L252))),360,MAX(0,MIN(480,(INT(L252/100)-INT(VALUE(F252)/100))*12+MOD(L252,100)-MOD(VALUE(F252),100))))&gt;0,1+V8_MTY_AMP*MAX(0,(V8_MTY_CUTOFF-(IF(OR(L252="",NOT(ISNUMBER(L252))),360,MAX(0,MIN(480,(INT(L252/100)-INT(VALUE(F252)/100))*12+MOD(L252,100)-MOD(VALUE(F252),100))))))/V8_MTY_CUTOFF),1)</f>
        <v/>
      </c>
      <c r="AD252" s="14">
        <f>IF(AND(IF(OR(M252="",NOT(ISNUMBER(M252))),0,MAX(0,MIN(24,(INT(VALUE(F252)/100)-INT(M252/100))*12+MOD(VALUE(F252),100)-MOD(M252,100))))&gt;0,IF(OR(M252="",NOT(ISNUMBER(M252))),0,MAX(0,MIN(24,(INT(VALUE(F252)/100)-INT(M252/100))*12+MOD(VALUE(F252),100)-MOD(M252,100))))&lt;=12),1+V8_LOCKOUT_AMP*EXP(-(IF(OR(M252="",NOT(ISNUMBER(M252))),0,MAX(0,MIN(24,(INT(VALUE(F252)/100)-INT(M252/100))*12+MOD(VALUE(F252),100)-MOD(M252,100)))))/V8_LOCKOUT_TAU),1)</f>
        <v/>
      </c>
      <c r="AE252" s="14">
        <f>MAX(V8_BURN_FLOOR,1-V8_BURN_SLOPE*MIN(1,MAX(0,O252)))</f>
        <v/>
      </c>
      <c r="AF252" s="15">
        <f>MIN(Z252*AB252*AC252*AD252*AE252,0.2)</f>
        <v/>
      </c>
      <c r="AG252" s="16">
        <f>1-(1-AF252)^12</f>
        <v/>
      </c>
    </row>
    <row r="253">
      <c r="A253" s="2" t="inlineStr">
        <is>
          <t>000014311217</t>
        </is>
      </c>
      <c r="B253" t="inlineStr">
        <is>
          <t>223f</t>
        </is>
      </c>
      <c r="C253" t="inlineStr">
        <is>
          <t>RP</t>
        </is>
      </c>
      <c r="D253" t="inlineStr">
        <is>
          <t>NORTHMARQ FINANCE, LLC</t>
        </is>
      </c>
      <c r="E253" t="n">
        <v>2020</v>
      </c>
      <c r="F253" t="inlineStr">
        <is>
          <t>202602</t>
        </is>
      </c>
      <c r="G253" s="8" t="n">
        <v>25166647.59</v>
      </c>
      <c r="H253" s="12" t="n">
        <v>2.25</v>
      </c>
      <c r="I253" s="13" t="n">
        <v>447</v>
      </c>
      <c r="J253" s="13" t="n">
        <v>5</v>
      </c>
      <c r="K253" t="n">
        <v>62</v>
      </c>
      <c r="L253" t="n">
        <v>205601</v>
      </c>
      <c r="M253" t="inlineStr"/>
      <c r="N253" t="n">
        <v>0</v>
      </c>
      <c r="O253" s="14" t="n">
        <v>0</v>
      </c>
      <c r="P253">
        <f>IF(ISNUMBER(SEARCH("232",B253)),"232",IF(ISNUMBER(SEARCH("538",B253)),"538",IF(ISNUMBER(SEARCH("223a7",B253)),"223a7",IF(ISNUMBER(SEARCH("223f",B253)),"223f","OTHER"))))</f>
        <v/>
      </c>
      <c r="Q253">
        <f>IF(UPPER(C253)="NC","NC","RP")</f>
        <v/>
      </c>
      <c r="R253">
        <f>IF(G253&lt;5000000,"small",IF(G253&lt;25000000,"medium","large"))</f>
        <v/>
      </c>
      <c r="S253">
        <f>P253&amp;"|"&amp;Q253&amp;"|"&amp;R253</f>
        <v/>
      </c>
      <c r="T253" s="13">
        <f>H253*100-I253</f>
        <v/>
      </c>
      <c r="U253" s="13">
        <f>T253-12.5*(J253+1)</f>
        <v/>
      </c>
      <c r="V253" s="15">
        <f>IFERROR(VLOOKUP(S253,V8_COHORT_TABLE,2,FALSE),IFERROR(VLOOKUP(P253&amp;"|"&amp;Q253&amp;"|ALL",V8_COHORT_TABLE,2,FALSE),IFERROR(VLOOKUP(P253&amp;"|ALL|ALL",V8_COHORT_TABLE,2,FALSE),VLOOKUP("GLOBAL",V8_COHORT_TABLE,2,FALSE))))</f>
        <v/>
      </c>
      <c r="W253" s="15">
        <f>IFERROR(VLOOKUP(S253,V8_COHORT_TABLE,3,FALSE),IFERROR(VLOOKUP(P253&amp;"|"&amp;Q253&amp;"|ALL",V8_COHORT_TABLE,3,FALSE),IFERROR(VLOOKUP(P253&amp;"|ALL|ALL",V8_COHORT_TABLE,3,FALSE),VLOOKUP("GLOBAL",V8_COHORT_TABLE,3,FALSE))))</f>
        <v/>
      </c>
      <c r="X253" s="15">
        <f>IFERROR(VLOOKUP(S253,V8_COHORT_TABLE,4,FALSE),IFERROR(VLOOKUP(P253&amp;"|"&amp;Q253&amp;"|ALL",V8_COHORT_TABLE,4,FALSE),IFERROR(VLOOKUP(P253&amp;"|ALL|ALL",V8_COHORT_TABLE,4,FALSE),VLOOKUP("GLOBAL",V8_COHORT_TABLE,4,FALSE))))</f>
        <v/>
      </c>
      <c r="Y253" s="15">
        <f>IFERROR(VLOOKUP(S253,V8_COHORT_TABLE,5,FALSE),IFERROR(VLOOKUP(P253&amp;"|"&amp;Q253&amp;"|ALL",V8_COHORT_TABLE,5,FALSE),IFERROR(VLOOKUP(P253&amp;"|ALL|ALL",V8_COHORT_TABLE,5,FALSE),VLOOKUP("GLOBAL",V8_COHORT_TABLE,5,FALSE))))</f>
        <v/>
      </c>
      <c r="Z253" s="15">
        <f>V253+W253/(1+EXP(-(U253-X253)/Y253))</f>
        <v/>
      </c>
      <c r="AA253" s="16">
        <f>1-(1-Z253)^12</f>
        <v/>
      </c>
      <c r="AB253" s="14">
        <f>IF(K253&lt;=V8_AGE_KNOT_X_0,V8_AGE_KNOT_Y_0,IF(K253&gt;=V8_AGE_KNOT_X_5,V8_AGE_KNOT_Y_5,IF(K253&lt;=V8_AGE_KNOT_X_1,V8_AGE_KNOT_Y_0+(K253-V8_AGE_KNOT_X_0)/(V8_AGE_KNOT_X_1-V8_AGE_KNOT_X_0)*(V8_AGE_KNOT_Y_1-V8_AGE_KNOT_Y_0),IF(K253&lt;=V8_AGE_KNOT_X_2,V8_AGE_KNOT_Y_1+(K253-V8_AGE_KNOT_X_1)/(V8_AGE_KNOT_X_2-V8_AGE_KNOT_X_1)*(V8_AGE_KNOT_Y_2-V8_AGE_KNOT_Y_1),IF(K253&lt;=V8_AGE_KNOT_X_3,V8_AGE_KNOT_Y_2+(K253-V8_AGE_KNOT_X_2)/(V8_AGE_KNOT_X_3-V8_AGE_KNOT_X_2)*(V8_AGE_KNOT_Y_3-V8_AGE_KNOT_Y_2),IF(K253&lt;=V8_AGE_KNOT_X_4,V8_AGE_KNOT_Y_3+(K253-V8_AGE_KNOT_X_3)/(V8_AGE_KNOT_X_4-V8_AGE_KNOT_X_3)*(V8_AGE_KNOT_Y_4-V8_AGE_KNOT_Y_3),V8_AGE_KNOT_Y_4+(K253-V8_AGE_KNOT_X_4)/(V8_AGE_KNOT_X_5-V8_AGE_KNOT_X_4)*(V8_AGE_KNOT_Y_5-V8_AGE_KNOT_Y_4)))))))</f>
        <v/>
      </c>
      <c r="AC253" s="14">
        <f>IF(IF(OR(L253="",NOT(ISNUMBER(L253))),360,MAX(0,MIN(480,(INT(L253/100)-INT(VALUE(F253)/100))*12+MOD(L253,100)-MOD(VALUE(F253),100))))&gt;0,1+V8_MTY_AMP*MAX(0,(V8_MTY_CUTOFF-(IF(OR(L253="",NOT(ISNUMBER(L253))),360,MAX(0,MIN(480,(INT(L253/100)-INT(VALUE(F253)/100))*12+MOD(L253,100)-MOD(VALUE(F253),100))))))/V8_MTY_CUTOFF),1)</f>
        <v/>
      </c>
      <c r="AD253" s="14">
        <f>IF(AND(IF(OR(M253="",NOT(ISNUMBER(M253))),0,MAX(0,MIN(24,(INT(VALUE(F253)/100)-INT(M253/100))*12+MOD(VALUE(F253),100)-MOD(M253,100))))&gt;0,IF(OR(M253="",NOT(ISNUMBER(M253))),0,MAX(0,MIN(24,(INT(VALUE(F253)/100)-INT(M253/100))*12+MOD(VALUE(F253),100)-MOD(M253,100))))&lt;=12),1+V8_LOCKOUT_AMP*EXP(-(IF(OR(M253="",NOT(ISNUMBER(M253))),0,MAX(0,MIN(24,(INT(VALUE(F253)/100)-INT(M253/100))*12+MOD(VALUE(F253),100)-MOD(M253,100)))))/V8_LOCKOUT_TAU),1)</f>
        <v/>
      </c>
      <c r="AE253" s="14">
        <f>MAX(V8_BURN_FLOOR,1-V8_BURN_SLOPE*MIN(1,MAX(0,O253)))</f>
        <v/>
      </c>
      <c r="AF253" s="15">
        <f>MIN(Z253*AB253*AC253*AD253*AE253,0.2)</f>
        <v/>
      </c>
      <c r="AG253" s="16">
        <f>1-(1-AF253)^12</f>
        <v/>
      </c>
    </row>
    <row r="254">
      <c r="A254" s="2" t="inlineStr">
        <is>
          <t>000008311216</t>
        </is>
      </c>
      <c r="B254" t="inlineStr">
        <is>
          <t>223f</t>
        </is>
      </c>
      <c r="C254" t="inlineStr">
        <is>
          <t>RP</t>
        </is>
      </c>
      <c r="D254" t="inlineStr">
        <is>
          <t>NORTHMARQ FINANCE, LLC</t>
        </is>
      </c>
      <c r="E254" t="n">
        <v>2021</v>
      </c>
      <c r="F254" t="inlineStr">
        <is>
          <t>202602</t>
        </is>
      </c>
      <c r="G254" s="8" t="n">
        <v>9833583.34</v>
      </c>
      <c r="H254" s="12" t="n">
        <v>2.7</v>
      </c>
      <c r="I254" s="13" t="n">
        <v>447</v>
      </c>
      <c r="J254" s="13" t="n">
        <v>6</v>
      </c>
      <c r="K254" t="n">
        <v>58</v>
      </c>
      <c r="L254" t="n">
        <v>205605</v>
      </c>
      <c r="M254" t="inlineStr"/>
      <c r="N254" t="n">
        <v>0</v>
      </c>
      <c r="O254" s="14" t="n">
        <v>0</v>
      </c>
      <c r="P254">
        <f>IF(ISNUMBER(SEARCH("232",B254)),"232",IF(ISNUMBER(SEARCH("538",B254)),"538",IF(ISNUMBER(SEARCH("223a7",B254)),"223a7",IF(ISNUMBER(SEARCH("223f",B254)),"223f","OTHER"))))</f>
        <v/>
      </c>
      <c r="Q254">
        <f>IF(UPPER(C254)="NC","NC","RP")</f>
        <v/>
      </c>
      <c r="R254">
        <f>IF(G254&lt;5000000,"small",IF(G254&lt;25000000,"medium","large"))</f>
        <v/>
      </c>
      <c r="S254">
        <f>P254&amp;"|"&amp;Q254&amp;"|"&amp;R254</f>
        <v/>
      </c>
      <c r="T254" s="13">
        <f>H254*100-I254</f>
        <v/>
      </c>
      <c r="U254" s="13">
        <f>T254-12.5*(J254+1)</f>
        <v/>
      </c>
      <c r="V254" s="15">
        <f>IFERROR(VLOOKUP(S254,V8_COHORT_TABLE,2,FALSE),IFERROR(VLOOKUP(P254&amp;"|"&amp;Q254&amp;"|ALL",V8_COHORT_TABLE,2,FALSE),IFERROR(VLOOKUP(P254&amp;"|ALL|ALL",V8_COHORT_TABLE,2,FALSE),VLOOKUP("GLOBAL",V8_COHORT_TABLE,2,FALSE))))</f>
        <v/>
      </c>
      <c r="W254" s="15">
        <f>IFERROR(VLOOKUP(S254,V8_COHORT_TABLE,3,FALSE),IFERROR(VLOOKUP(P254&amp;"|"&amp;Q254&amp;"|ALL",V8_COHORT_TABLE,3,FALSE),IFERROR(VLOOKUP(P254&amp;"|ALL|ALL",V8_COHORT_TABLE,3,FALSE),VLOOKUP("GLOBAL",V8_COHORT_TABLE,3,FALSE))))</f>
        <v/>
      </c>
      <c r="X254" s="15">
        <f>IFERROR(VLOOKUP(S254,V8_COHORT_TABLE,4,FALSE),IFERROR(VLOOKUP(P254&amp;"|"&amp;Q254&amp;"|ALL",V8_COHORT_TABLE,4,FALSE),IFERROR(VLOOKUP(P254&amp;"|ALL|ALL",V8_COHORT_TABLE,4,FALSE),VLOOKUP("GLOBAL",V8_COHORT_TABLE,4,FALSE))))</f>
        <v/>
      </c>
      <c r="Y254" s="15">
        <f>IFERROR(VLOOKUP(S254,V8_COHORT_TABLE,5,FALSE),IFERROR(VLOOKUP(P254&amp;"|"&amp;Q254&amp;"|ALL",V8_COHORT_TABLE,5,FALSE),IFERROR(VLOOKUP(P254&amp;"|ALL|ALL",V8_COHORT_TABLE,5,FALSE),VLOOKUP("GLOBAL",V8_COHORT_TABLE,5,FALSE))))</f>
        <v/>
      </c>
      <c r="Z254" s="15">
        <f>V254+W254/(1+EXP(-(U254-X254)/Y254))</f>
        <v/>
      </c>
      <c r="AA254" s="16">
        <f>1-(1-Z254)^12</f>
        <v/>
      </c>
      <c r="AB254" s="14">
        <f>IF(K254&lt;=V8_AGE_KNOT_X_0,V8_AGE_KNOT_Y_0,IF(K254&gt;=V8_AGE_KNOT_X_5,V8_AGE_KNOT_Y_5,IF(K254&lt;=V8_AGE_KNOT_X_1,V8_AGE_KNOT_Y_0+(K254-V8_AGE_KNOT_X_0)/(V8_AGE_KNOT_X_1-V8_AGE_KNOT_X_0)*(V8_AGE_KNOT_Y_1-V8_AGE_KNOT_Y_0),IF(K254&lt;=V8_AGE_KNOT_X_2,V8_AGE_KNOT_Y_1+(K254-V8_AGE_KNOT_X_1)/(V8_AGE_KNOT_X_2-V8_AGE_KNOT_X_1)*(V8_AGE_KNOT_Y_2-V8_AGE_KNOT_Y_1),IF(K254&lt;=V8_AGE_KNOT_X_3,V8_AGE_KNOT_Y_2+(K254-V8_AGE_KNOT_X_2)/(V8_AGE_KNOT_X_3-V8_AGE_KNOT_X_2)*(V8_AGE_KNOT_Y_3-V8_AGE_KNOT_Y_2),IF(K254&lt;=V8_AGE_KNOT_X_4,V8_AGE_KNOT_Y_3+(K254-V8_AGE_KNOT_X_3)/(V8_AGE_KNOT_X_4-V8_AGE_KNOT_X_3)*(V8_AGE_KNOT_Y_4-V8_AGE_KNOT_Y_3),V8_AGE_KNOT_Y_4+(K254-V8_AGE_KNOT_X_4)/(V8_AGE_KNOT_X_5-V8_AGE_KNOT_X_4)*(V8_AGE_KNOT_Y_5-V8_AGE_KNOT_Y_4)))))))</f>
        <v/>
      </c>
      <c r="AC254" s="14">
        <f>IF(IF(OR(L254="",NOT(ISNUMBER(L254))),360,MAX(0,MIN(480,(INT(L254/100)-INT(VALUE(F254)/100))*12+MOD(L254,100)-MOD(VALUE(F254),100))))&gt;0,1+V8_MTY_AMP*MAX(0,(V8_MTY_CUTOFF-(IF(OR(L254="",NOT(ISNUMBER(L254))),360,MAX(0,MIN(480,(INT(L254/100)-INT(VALUE(F254)/100))*12+MOD(L254,100)-MOD(VALUE(F254),100))))))/V8_MTY_CUTOFF),1)</f>
        <v/>
      </c>
      <c r="AD254" s="14">
        <f>IF(AND(IF(OR(M254="",NOT(ISNUMBER(M254))),0,MAX(0,MIN(24,(INT(VALUE(F254)/100)-INT(M254/100))*12+MOD(VALUE(F254),100)-MOD(M254,100))))&gt;0,IF(OR(M254="",NOT(ISNUMBER(M254))),0,MAX(0,MIN(24,(INT(VALUE(F254)/100)-INT(M254/100))*12+MOD(VALUE(F254),100)-MOD(M254,100))))&lt;=12),1+V8_LOCKOUT_AMP*EXP(-(IF(OR(M254="",NOT(ISNUMBER(M254))),0,MAX(0,MIN(24,(INT(VALUE(F254)/100)-INT(M254/100))*12+MOD(VALUE(F254),100)-MOD(M254,100)))))/V8_LOCKOUT_TAU),1)</f>
        <v/>
      </c>
      <c r="AE254" s="14">
        <f>MAX(V8_BURN_FLOOR,1-V8_BURN_SLOPE*MIN(1,MAX(0,O254)))</f>
        <v/>
      </c>
      <c r="AF254" s="15">
        <f>MIN(Z254*AB254*AC254*AD254*AE254,0.2)</f>
        <v/>
      </c>
      <c r="AG254" s="16">
        <f>1-(1-AF254)^12</f>
        <v/>
      </c>
    </row>
  </sheetData>
  <mergeCells count="6">
    <mergeCell ref="V1:AA1"/>
    <mergeCell ref="G1:O1"/>
    <mergeCell ref="P1:U1"/>
    <mergeCell ref="AF1:AG1"/>
    <mergeCell ref="A1:F1"/>
    <mergeCell ref="AB1:A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14" customWidth="1" min="3" max="3"/>
    <col width="14" customWidth="1" min="4" max="4"/>
    <col width="12" customWidth="1" min="5" max="5"/>
    <col width="12" customWidth="1" min="6" max="6"/>
  </cols>
  <sheetData>
    <row r="1">
      <c r="A1" s="3" t="inlineStr">
        <is>
          <t>SanCap per-cohort benchmarks vs V8</t>
        </is>
      </c>
    </row>
    <row r="2">
      <c r="A2" s="4" t="inlineStr">
        <is>
          <t>Each scenario maps to a V8 cohort_id; V8 prediction comes from that cohort's fitted sigmoid + V7 structural multipliers.</t>
        </is>
      </c>
    </row>
    <row r="3">
      <c r="A3" s="4" t="inlineStr">
        <is>
          <t>Persistent gaps reflect the 2018-2026 vs 2014-2018 era mismatch (panel slower than SanCap reference). Informational, not pass/fail.</t>
        </is>
      </c>
    </row>
    <row r="4">
      <c r="A4" s="5" t="inlineStr">
        <is>
          <t>Scenario</t>
        </is>
      </c>
      <c r="B4" s="5" t="inlineStr">
        <is>
          <t>Cohort</t>
        </is>
      </c>
      <c r="C4" s="5" t="inlineStr">
        <is>
          <t>SanCap CPR</t>
        </is>
      </c>
      <c r="D4" s="5" t="inlineStr">
        <is>
          <t>V8 pred CPR</t>
        </is>
      </c>
      <c r="E4" s="5" t="inlineStr">
        <is>
          <t>Δ (pp)</t>
        </is>
      </c>
      <c r="F4" s="5" t="inlineStr">
        <is>
          <t>Flag</t>
        </is>
      </c>
    </row>
    <row r="5">
      <c r="A5" t="inlineStr">
        <is>
          <t>ATM, avg-pen, 5M / 223f / RP</t>
        </is>
      </c>
      <c r="B5" s="2" t="inlineStr">
        <is>
          <t>223f|RP|medium</t>
        </is>
      </c>
      <c r="C5" s="13" t="n">
        <v>20</v>
      </c>
      <c r="D5" s="7" t="n">
        <v>6.54</v>
      </c>
      <c r="E5" s="7" t="n">
        <v>13.46</v>
      </c>
      <c r="F5" s="17" t="inlineStr">
        <is>
          <t>REVIEW</t>
        </is>
      </c>
    </row>
    <row r="6">
      <c r="A6" t="inlineStr">
        <is>
          <t>+50bp, 5M / 223f / RP</t>
        </is>
      </c>
      <c r="B6" s="2" t="inlineStr">
        <is>
          <t>223f|RP|medium</t>
        </is>
      </c>
      <c r="C6" s="13" t="n">
        <v>35</v>
      </c>
      <c r="D6" s="7" t="n">
        <v>10.94</v>
      </c>
      <c r="E6" s="7" t="n">
        <v>24.06</v>
      </c>
      <c r="F6" s="17" t="inlineStr">
        <is>
          <t>REVIEW</t>
        </is>
      </c>
    </row>
    <row r="7">
      <c r="A7" t="inlineStr">
        <is>
          <t>+100bp, 5M / 223f / RP</t>
        </is>
      </c>
      <c r="B7" s="2" t="inlineStr">
        <is>
          <t>223f|RP|medium</t>
        </is>
      </c>
      <c r="C7" s="13" t="n">
        <v>45</v>
      </c>
      <c r="D7" s="7" t="n">
        <v>23.54</v>
      </c>
      <c r="E7" s="7" t="n">
        <v>21.46</v>
      </c>
      <c r="F7" s="17" t="inlineStr">
        <is>
          <t>REVIEW</t>
        </is>
      </c>
    </row>
    <row r="8">
      <c r="A8" t="inlineStr">
        <is>
          <t>+100bp 7%pen, 5M / 223f / RP</t>
        </is>
      </c>
      <c r="B8" s="2" t="inlineStr">
        <is>
          <t>223f|RP|medium</t>
        </is>
      </c>
      <c r="C8" s="13" t="n">
        <v>30</v>
      </c>
      <c r="D8" s="7" t="n">
        <v>15.94</v>
      </c>
      <c r="E8" s="7" t="n">
        <v>14.06</v>
      </c>
      <c r="F8" s="17" t="inlineStr">
        <is>
          <t>REVIEW</t>
        </is>
      </c>
    </row>
    <row r="9">
      <c r="A9" t="inlineStr">
        <is>
          <t>+100bp 9%pen, 5M / 223f / RP</t>
        </is>
      </c>
      <c r="B9" s="2" t="inlineStr">
        <is>
          <t>223f|RP|medium</t>
        </is>
      </c>
      <c r="C9" s="13" t="n">
        <v>18</v>
      </c>
      <c r="D9" s="7" t="n">
        <v>10.94</v>
      </c>
      <c r="E9" s="7" t="n">
        <v>7.06</v>
      </c>
      <c r="F9" s="18" t="inlineStr">
        <is>
          <t>ok</t>
        </is>
      </c>
    </row>
    <row r="10">
      <c r="A10" t="inlineStr">
        <is>
          <t>$15M @ +50bp / 223f / RP</t>
        </is>
      </c>
      <c r="B10" s="2" t="inlineStr">
        <is>
          <t>223f|RP|medium</t>
        </is>
      </c>
      <c r="C10" s="13" t="n">
        <v>40</v>
      </c>
      <c r="D10" s="7" t="n">
        <v>10.94</v>
      </c>
      <c r="E10" s="7" t="n">
        <v>29.06</v>
      </c>
      <c r="F10" s="17" t="inlineStr">
        <is>
          <t>REVIEW</t>
        </is>
      </c>
    </row>
    <row r="11">
      <c r="A11" t="inlineStr">
        <is>
          <t>NC @ +100bp age 30m / 232 / NC</t>
        </is>
      </c>
      <c r="B11" s="2" t="inlineStr">
        <is>
          <t>232|NC|medium</t>
        </is>
      </c>
      <c r="C11" s="13" t="n">
        <v>70</v>
      </c>
      <c r="D11" s="7" t="n">
        <v>13.75</v>
      </c>
      <c r="E11" s="7" t="n">
        <v>56.25</v>
      </c>
      <c r="F11" s="17" t="inlineStr">
        <is>
          <t>REVIEW</t>
        </is>
      </c>
    </row>
    <row r="12">
      <c r="A12" t="inlineStr">
        <is>
          <t>Rural-538 @ +100bp / RP</t>
        </is>
      </c>
      <c r="B12" s="2" t="inlineStr">
        <is>
          <t>538|RP|medium</t>
        </is>
      </c>
      <c r="C12" s="13" t="n">
        <v>10</v>
      </c>
      <c r="D12" s="7" t="n">
        <v>4.03</v>
      </c>
      <c r="E12" s="7" t="n">
        <v>5.97</v>
      </c>
      <c r="F12" s="18" t="inlineStr">
        <is>
          <t>ok</t>
        </is>
      </c>
    </row>
    <row r="13">
      <c r="A13" t="inlineStr">
        <is>
          <t>HC-232 @ +100bp / RP</t>
        </is>
      </c>
      <c r="B13" s="2" t="inlineStr">
        <is>
          <t>232|RP|medium</t>
        </is>
      </c>
      <c r="C13" s="13" t="n">
        <v>30</v>
      </c>
      <c r="D13" s="7" t="n">
        <v>14.58</v>
      </c>
      <c r="E13" s="7" t="n">
        <v>15.42</v>
      </c>
      <c r="F13" s="17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2026-05-05T12:24:56Z</dcterms:created>
  <dcterms:modified xsi:type="dcterms:W3CDTF">2026-05-05T12:24:56Z</dcterms:modified>
</cp:coreProperties>
</file>