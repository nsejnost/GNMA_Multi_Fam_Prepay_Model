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hort_Sigmoids" sheetId="2" state="visible" r:id="rId2"/>
    <sheet name="Structural_Mults" sheetId="3" state="visible" r:id="rId3"/>
    <sheet name="Loan_Snapshot" sheetId="4" state="visible" r:id="rId4"/>
    <sheet name="Benchmarks" sheetId="5" state="visible" r:id="rId5"/>
  </sheets>
  <definedNames>
    <definedName name="V8_COHORT_TABLE">Cohort_Sigmoids!$A$6:$I$57</definedName>
    <definedName name="V8_MTY_AMP">Structural_Mults!$B$4</definedName>
    <definedName name="V8_MTY_CUTOFF">Structural_Mults!$B$5</definedName>
    <definedName name="V8_LOCKOUT_AMP">Structural_Mults!$B$8</definedName>
    <definedName name="V8_LOCKOUT_TAU">Structural_Mults!$B$9</definedName>
    <definedName name="V8_BURN_FLOOR">Structural_Mults!$B$12</definedName>
    <definedName name="V8_BURN_SLOPE">Structural_Mults!$B$13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0"/>
    <numFmt numFmtId="165" formatCode="0.0000"/>
    <numFmt numFmtId="166" formatCode="0.000"/>
    <numFmt numFmtId="167" formatCode="0.0"/>
    <numFmt numFmtId="168" formatCode="0.000000"/>
  </numFmts>
  <fonts count="7">
    <font>
      <name val="Calibri"/>
      <family val="2"/>
      <color theme="1"/>
      <sz val="11"/>
      <scheme val="minor"/>
    </font>
    <font>
      <b val="1"/>
    </font>
    <font>
      <name val="Consolas"/>
    </font>
    <font>
      <b val="1"/>
      <sz val="14"/>
    </font>
    <font>
      <i val="1"/>
      <color rgb="006B7280"/>
    </font>
    <font>
      <b val="1"/>
      <color rgb="00FFFFFF"/>
    </font>
    <font>
      <b val="1"/>
      <color rgb="00991B1B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374151"/>
      </patternFill>
    </fill>
    <fill>
      <patternFill patternType="solid">
        <fgColor rgb="00D1FAE5"/>
      </patternFill>
    </fill>
    <fill>
      <patternFill patternType="solid">
        <fgColor rgb="00FECA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5" fontId="2" fillId="3" borderId="0" pivotButton="0" quotePrefix="0" xfId="0"/>
    <xf numFmtId="2" fontId="2" fillId="3" borderId="0" pivotButton="0" quotePrefix="0" xfId="0"/>
    <xf numFmtId="0" fontId="5" fillId="4" borderId="0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0" fontId="0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V8 Voluntary Prepayment Calculator (cohort-based S-curve)</t>
        </is>
      </c>
    </row>
    <row r="2">
      <c r="A2" t="inlineStr"/>
    </row>
    <row r="3">
      <c r="A3" t="inlineStr">
        <is>
          <t>Test AUC: 0.7858   Test log-loss: 0.04480   Cohorts fit: 20</t>
        </is>
      </c>
    </row>
    <row r="4">
      <c r="A4" t="inlineStr">
        <is>
          <t>Training period: 201812 to 202602</t>
        </is>
      </c>
    </row>
    <row r="5">
      <c r="A5" t="inlineStr">
        <is>
          <t>Max predicted CPR over full panel: 93.13%   (SMM cap: 0.200)</t>
        </is>
      </c>
    </row>
    <row r="6">
      <c r="A6" t="inlineStr"/>
    </row>
    <row r="7">
      <c r="A7" s="1" t="inlineStr">
        <is>
          <t>Architecture</t>
        </is>
      </c>
    </row>
    <row r="8">
      <c r="A8" s="2" t="inlineStr">
        <is>
          <t xml:space="preserve">  cohort_id   = program × purpose × size_bucket  (with hierarchical fallback)</t>
        </is>
      </c>
    </row>
    <row r="9">
      <c r="A9" s="2" t="inlineStr">
        <is>
          <t xml:space="preserve">  cohort_smm  = floor + asymp / (1 + EXP(-(net_refi_bps - mid)/slope))</t>
        </is>
      </c>
    </row>
    <row r="10">
      <c r="A10" s="2" t="inlineStr">
        <is>
          <t xml:space="preserve">  pred_SMM    = MIN(cohort_smm × M_age × M_maturity × M_lockout × M_burnout, smm_cap)</t>
        </is>
      </c>
    </row>
    <row r="11">
      <c r="A11" s="2" t="inlineStr">
        <is>
          <t xml:space="preserve">  pred_CPR    = 1 - (1 - pred_SMM)^12</t>
        </is>
      </c>
    </row>
    <row r="12">
      <c r="A12" t="inlineStr"/>
    </row>
    <row r="13">
      <c r="A13" s="1" t="inlineStr">
        <is>
          <t>Tabs</t>
        </is>
      </c>
    </row>
    <row r="14">
      <c r="A14" t="inlineStr">
        <is>
          <t xml:space="preserve">  Cohort_Sigmoids   - per-cohort fitted sigmoid params (cohort lookup table)</t>
        </is>
      </c>
    </row>
    <row r="15">
      <c r="A15" t="inlineStr">
        <is>
          <t xml:space="preserve">  Structural_Mults  - V7's age/maturity/lockout/burnout multipliers (reused as-is)</t>
        </is>
      </c>
    </row>
    <row r="16">
      <c r="A16" t="inlineStr">
        <is>
          <t xml:space="preserve">  Loan_Snapshot     - per-loan inputs, cohort lookup, sigmoid eval, capped CPR</t>
        </is>
      </c>
    </row>
    <row r="17">
      <c r="A17" t="inlineStr">
        <is>
          <t xml:space="preserve">  Benchmarks        - SanCap reference grid mapped to V8 cohorts</t>
        </is>
      </c>
    </row>
    <row r="18">
      <c r="A18" t="inlineStr"/>
    </row>
    <row r="19">
      <c r="A19" s="1" t="inlineStr">
        <is>
          <t>Cohort definition (axes)</t>
        </is>
      </c>
    </row>
    <row r="20">
      <c r="A20" s="2" t="inlineStr">
        <is>
          <t xml:space="preserve">  program: 232 / 538 / 223a7 / 223f / OTHER</t>
        </is>
      </c>
    </row>
    <row r="21">
      <c r="A21" s="2" t="inlineStr">
        <is>
          <t xml:space="preserve">  purpose: NC / RP</t>
        </is>
      </c>
    </row>
    <row r="22">
      <c r="A22" s="2" t="inlineStr">
        <is>
          <t xml:space="preserve">  size:    small / medium / large  (breaks at $5M and $25M)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1" customWidth="1" min="7" max="7"/>
    <col width="14" customWidth="1" min="8" max="8"/>
    <col width="11" customWidth="1" min="9" max="9"/>
    <col width="12" customWidth="1" min="10" max="10"/>
    <col width="10" customWidth="1" min="11" max="11"/>
    <col width="14" customWidth="1" min="12" max="12"/>
  </cols>
  <sheetData>
    <row r="1">
      <c r="A1" s="3" t="inlineStr">
        <is>
          <t>V8.1 Per-Cohort Sigmoid + Age-Ramp Lookup Table</t>
        </is>
      </c>
    </row>
    <row r="2">
      <c r="A2" s="4" t="inlineStr">
        <is>
          <t>Cohort_id format: 'program|purpose|size|age_bucket'. Fallback ids use '|ALL' for dropped axes; 'GLOBAL' is the universal fallback.</t>
        </is>
      </c>
    </row>
    <row r="3">
      <c r="A3" s="4" t="inlineStr">
        <is>
          <t>Sigmoid evaluates SMM at age=96m (anchor); age_ramp scales it for other ages. Knot positions: 0/24/96/240 months.</t>
        </is>
      </c>
    </row>
    <row r="5">
      <c r="A5" s="5" t="inlineStr">
        <is>
          <t>cohort_id</t>
        </is>
      </c>
      <c r="B5" s="5" t="inlineStr">
        <is>
          <t>floor</t>
        </is>
      </c>
      <c r="C5" s="5" t="inlineStr">
        <is>
          <t>asymp</t>
        </is>
      </c>
      <c r="D5" s="5" t="inlineStr">
        <is>
          <t>mid</t>
        </is>
      </c>
      <c r="E5" s="5" t="inlineStr">
        <is>
          <t>slope</t>
        </is>
      </c>
      <c r="F5" s="5" t="inlineStr">
        <is>
          <t>ramp_y0</t>
        </is>
      </c>
      <c r="G5" s="5" t="inlineStr">
        <is>
          <t>ramp_y1</t>
        </is>
      </c>
      <c r="H5" s="5" t="inlineStr">
        <is>
          <t>ramp_y2_anchor</t>
        </is>
      </c>
      <c r="I5" s="5" t="inlineStr">
        <is>
          <t>ramp_y3</t>
        </is>
      </c>
      <c r="J5" s="5" t="inlineStr">
        <is>
          <t>n_loans</t>
        </is>
      </c>
      <c r="K5" s="5" t="inlineStr">
        <is>
          <t>n_events</t>
        </is>
      </c>
      <c r="L5" s="5" t="inlineStr">
        <is>
          <t>fit_quality</t>
        </is>
      </c>
    </row>
    <row r="6">
      <c r="A6" s="2" t="inlineStr">
        <is>
          <t>223a7|RP|medium|seasoned</t>
        </is>
      </c>
      <c r="B6" s="6" t="n">
        <v>0.003419276639958434</v>
      </c>
      <c r="C6" s="6" t="n">
        <v>0.03820177704959001</v>
      </c>
      <c r="D6" s="7" t="n">
        <v>48.73615488754956</v>
      </c>
      <c r="E6" s="7" t="n">
        <v>35.21352068571779</v>
      </c>
      <c r="F6" s="8" t="n">
        <v>0.2890199159636407</v>
      </c>
      <c r="G6" s="8" t="n">
        <v>0.3726041447428062</v>
      </c>
      <c r="H6" s="8" t="n">
        <v>1</v>
      </c>
      <c r="I6" s="8" t="n">
        <v>0.770719775903042</v>
      </c>
      <c r="J6" s="9" t="n">
        <v>19421</v>
      </c>
      <c r="K6" t="n">
        <v>229</v>
      </c>
      <c r="L6" t="inlineStr">
        <is>
          <t>good</t>
        </is>
      </c>
    </row>
    <row r="7">
      <c r="A7" s="2" t="inlineStr">
        <is>
          <t>223a7|RP|small|aged</t>
        </is>
      </c>
      <c r="B7" s="6" t="n">
        <v>0.004723211620488102</v>
      </c>
      <c r="C7" s="6" t="n">
        <v>0.004830348614178126</v>
      </c>
      <c r="D7" s="7" t="n">
        <v>-64.41939415236783</v>
      </c>
      <c r="E7" s="7" t="n">
        <v>10.00000004283224</v>
      </c>
      <c r="F7" s="8" t="n">
        <v>0.3010791385550621</v>
      </c>
      <c r="G7" s="8" t="n">
        <v>0.8530575592393427</v>
      </c>
      <c r="H7" s="8" t="n">
        <v>1</v>
      </c>
      <c r="I7" s="8" t="n">
        <v>0.9559300029511091</v>
      </c>
      <c r="J7" s="9" t="n">
        <v>43960</v>
      </c>
      <c r="K7" t="n">
        <v>358</v>
      </c>
      <c r="L7" t="inlineStr">
        <is>
          <t>good</t>
        </is>
      </c>
    </row>
    <row r="8">
      <c r="A8" s="2" t="inlineStr">
        <is>
          <t>223a7|RP|small|seasoned</t>
        </is>
      </c>
      <c r="B8" s="6" t="n">
        <v>0.002863019392573765</v>
      </c>
      <c r="C8" s="6" t="n">
        <v>0.02731763470298437</v>
      </c>
      <c r="D8" s="7" t="n">
        <v>108.5570124668906</v>
      </c>
      <c r="E8" s="7" t="n">
        <v>67.7014756428691</v>
      </c>
      <c r="F8" s="8" t="n">
        <v>0.3048557014829478</v>
      </c>
      <c r="G8" s="8" t="n">
        <v>0.5501375205554728</v>
      </c>
      <c r="H8" s="8" t="n">
        <v>1</v>
      </c>
      <c r="I8" s="8" t="n">
        <v>0.812948537287861</v>
      </c>
      <c r="J8" s="9" t="n">
        <v>22858</v>
      </c>
      <c r="K8" t="n">
        <v>219</v>
      </c>
      <c r="L8" t="inlineStr">
        <is>
          <t>good</t>
        </is>
      </c>
    </row>
    <row r="9">
      <c r="A9" s="2" t="inlineStr">
        <is>
          <t>223f|RP|large|seasoned</t>
        </is>
      </c>
      <c r="B9" s="6" t="n">
        <v>0.001641165562062951</v>
      </c>
      <c r="C9" s="6" t="n">
        <v>0.2</v>
      </c>
      <c r="D9" s="7" t="n">
        <v>97.44191182346674</v>
      </c>
      <c r="E9" s="7" t="n">
        <v>55.66459823730629</v>
      </c>
      <c r="F9" s="8" t="n">
        <v>0.2722182132195172</v>
      </c>
      <c r="G9" s="8" t="n">
        <v>0.2388550063774553</v>
      </c>
      <c r="H9" s="8" t="n">
        <v>1</v>
      </c>
      <c r="I9" s="8" t="n">
        <v>0.725915235252046</v>
      </c>
      <c r="J9" s="9" t="n">
        <v>16793</v>
      </c>
      <c r="K9" t="n">
        <v>167</v>
      </c>
      <c r="L9" t="inlineStr">
        <is>
          <t>asymp_pinned</t>
        </is>
      </c>
    </row>
    <row r="10">
      <c r="A10" s="2" t="inlineStr">
        <is>
          <t>223f|RP|medium|seasoned</t>
        </is>
      </c>
      <c r="B10" s="6" t="n">
        <v>0.002593603761997442</v>
      </c>
      <c r="C10" s="6" t="n">
        <v>0.05266003612218213</v>
      </c>
      <c r="D10" s="7" t="n">
        <v>61.72805402638071</v>
      </c>
      <c r="E10" s="7" t="n">
        <v>54.7904641125435</v>
      </c>
      <c r="F10" s="8" t="n">
        <v>0.2985700916281742</v>
      </c>
      <c r="G10" s="8" t="n">
        <v>0.5722263573478779</v>
      </c>
      <c r="H10" s="8" t="n">
        <v>1</v>
      </c>
      <c r="I10" s="8" t="n">
        <v>0.7961869110084646</v>
      </c>
      <c r="J10" s="9" t="n">
        <v>81795</v>
      </c>
      <c r="K10" t="n">
        <v>939</v>
      </c>
      <c r="L10" t="inlineStr">
        <is>
          <t>good</t>
        </is>
      </c>
    </row>
    <row r="11">
      <c r="A11" s="2" t="inlineStr">
        <is>
          <t>223f|RP|medium|young</t>
        </is>
      </c>
      <c r="B11" s="6" t="n">
        <v>0.001941620479045253</v>
      </c>
      <c r="C11" s="6" t="n">
        <v>0.1999999999999999</v>
      </c>
      <c r="D11" s="7" t="n">
        <v>162.9882723204807</v>
      </c>
      <c r="E11" s="7" t="n">
        <v>44.27179241389052</v>
      </c>
      <c r="F11" s="8" t="n">
        <v>0.5824629013800587</v>
      </c>
      <c r="G11" s="8" t="n">
        <v>0.5449456112944193</v>
      </c>
      <c r="H11" s="8" t="n">
        <v>1</v>
      </c>
      <c r="I11" s="8" t="n">
        <v>0.8</v>
      </c>
      <c r="J11" s="9" t="n">
        <v>54645</v>
      </c>
      <c r="K11" t="n">
        <v>248</v>
      </c>
      <c r="L11" t="inlineStr">
        <is>
          <t>asymp_pinned</t>
        </is>
      </c>
    </row>
    <row r="12">
      <c r="A12" s="2" t="inlineStr">
        <is>
          <t>223f|RP|small|aged</t>
        </is>
      </c>
      <c r="B12" s="6" t="n">
        <v>0.003789929333891429</v>
      </c>
      <c r="C12" s="6" t="n">
        <v>0.0114025857232858</v>
      </c>
      <c r="D12" s="7" t="n">
        <v>117.4587204071364</v>
      </c>
      <c r="E12" s="7" t="n">
        <v>23.91318865114751</v>
      </c>
      <c r="F12" s="8" t="n">
        <v>0.3030584061538559</v>
      </c>
      <c r="G12" s="8" t="n">
        <v>0.8586654841025917</v>
      </c>
      <c r="H12" s="8" t="n">
        <v>1</v>
      </c>
      <c r="I12" s="8" t="n">
        <v>0.9147486240191928</v>
      </c>
      <c r="J12" s="9" t="n">
        <v>64859</v>
      </c>
      <c r="K12" t="n">
        <v>414</v>
      </c>
      <c r="L12" t="inlineStr">
        <is>
          <t>good</t>
        </is>
      </c>
    </row>
    <row r="13">
      <c r="A13" s="2" t="inlineStr">
        <is>
          <t>223f|RP|small|seasoned</t>
        </is>
      </c>
      <c r="B13" s="6" t="n">
        <v>0.003416497393316682</v>
      </c>
      <c r="C13" s="6" t="n">
        <v>0.02852975752128493</v>
      </c>
      <c r="D13" s="7" t="n">
        <v>143.6600521469086</v>
      </c>
      <c r="E13" s="7" t="n">
        <v>65.81491097523578</v>
      </c>
      <c r="F13" s="8" t="n">
        <v>0.3013225693618113</v>
      </c>
      <c r="G13" s="8" t="n">
        <v>0.6756465077672851</v>
      </c>
      <c r="H13" s="8" t="n">
        <v>1</v>
      </c>
      <c r="I13" s="8" t="n">
        <v>0.803526851631497</v>
      </c>
      <c r="J13" s="9" t="n">
        <v>92500</v>
      </c>
      <c r="K13" t="n">
        <v>696</v>
      </c>
      <c r="L13" t="inlineStr">
        <is>
          <t>good</t>
        </is>
      </c>
    </row>
    <row r="14">
      <c r="A14" s="2" t="inlineStr">
        <is>
          <t>232|RP|medium|aged</t>
        </is>
      </c>
      <c r="B14" s="6" t="n">
        <v>0.006778288072363979</v>
      </c>
      <c r="C14" s="6" t="n">
        <v>0.02860094577977856</v>
      </c>
      <c r="D14" s="7" t="n">
        <v>-25.86938986333174</v>
      </c>
      <c r="E14" s="7" t="n">
        <v>40.18835950817711</v>
      </c>
      <c r="F14" s="8" t="n">
        <v>0.4053224178972343</v>
      </c>
      <c r="G14" s="8" t="n">
        <v>1.148413517375497</v>
      </c>
      <c r="H14" s="8" t="n">
        <v>1</v>
      </c>
      <c r="I14" s="8" t="n">
        <v>0.06755373631620573</v>
      </c>
      <c r="J14" s="9" t="n">
        <v>16522</v>
      </c>
      <c r="K14" t="n">
        <v>134</v>
      </c>
      <c r="L14" t="inlineStr">
        <is>
          <t>good</t>
        </is>
      </c>
    </row>
    <row r="15">
      <c r="A15" s="2" t="inlineStr">
        <is>
          <t>232|RP|medium|seasoned</t>
        </is>
      </c>
      <c r="B15" s="6" t="n">
        <v>0.003322323616569233</v>
      </c>
      <c r="C15" s="6" t="n">
        <v>0.03239315515515961</v>
      </c>
      <c r="D15" s="7" t="n">
        <v>77.88174477803972</v>
      </c>
      <c r="E15" s="7" t="n">
        <v>33.27665978762478</v>
      </c>
      <c r="F15" s="8" t="n">
        <v>0.2989195447889059</v>
      </c>
      <c r="G15" s="8" t="n">
        <v>0.5964468430540435</v>
      </c>
      <c r="H15" s="8" t="n">
        <v>1</v>
      </c>
      <c r="I15" s="8" t="n">
        <v>0.7971187861037492</v>
      </c>
      <c r="J15" s="9" t="n">
        <v>86450</v>
      </c>
      <c r="K15" t="n">
        <v>731</v>
      </c>
      <c r="L15" t="inlineStr">
        <is>
          <t>good</t>
        </is>
      </c>
    </row>
    <row r="16">
      <c r="A16" s="2" t="inlineStr">
        <is>
          <t>232|RP|medium|young</t>
        </is>
      </c>
      <c r="B16" s="6" t="n">
        <v>0.003764742884971713</v>
      </c>
      <c r="C16" s="6" t="n">
        <v>0.03762347288258302</v>
      </c>
      <c r="D16" s="7" t="n">
        <v>70.89666879056732</v>
      </c>
      <c r="E16" s="7" t="n">
        <v>16.81777874502048</v>
      </c>
      <c r="F16" s="8" t="n">
        <v>0.5346412327405189</v>
      </c>
      <c r="G16" s="8" t="n">
        <v>0.6438266285894553</v>
      </c>
      <c r="H16" s="8" t="n">
        <v>1</v>
      </c>
      <c r="I16" s="8" t="n">
        <v>0.8</v>
      </c>
      <c r="J16" s="9" t="n">
        <v>44660</v>
      </c>
      <c r="K16" t="n">
        <v>249</v>
      </c>
      <c r="L16" t="inlineStr">
        <is>
          <t>good</t>
        </is>
      </c>
    </row>
    <row r="17">
      <c r="A17" s="2" t="inlineStr">
        <is>
          <t>232|RP|small|aged</t>
        </is>
      </c>
      <c r="B17" s="6" t="n">
        <v>0.005287465475111616</v>
      </c>
      <c r="C17" s="6" t="n">
        <v>0.1949181054468311</v>
      </c>
      <c r="D17" s="7" t="n">
        <v>499.9999999999993</v>
      </c>
      <c r="E17" s="7" t="n">
        <v>116.3524575465613</v>
      </c>
      <c r="F17" s="8" t="n">
        <v>0.3048244708538683</v>
      </c>
      <c r="G17" s="8" t="n">
        <v>0.8636693340859602</v>
      </c>
      <c r="H17" s="8" t="n">
        <v>1</v>
      </c>
      <c r="I17" s="8" t="n">
        <v>0.8522185353462872</v>
      </c>
      <c r="J17" s="9" t="n">
        <v>25240</v>
      </c>
      <c r="K17" t="n">
        <v>192</v>
      </c>
      <c r="L17" t="inlineStr">
        <is>
          <t>good</t>
        </is>
      </c>
    </row>
    <row r="18">
      <c r="A18" s="2" t="inlineStr">
        <is>
          <t>232|RP|small|seasoned</t>
        </is>
      </c>
      <c r="B18" s="6" t="n">
        <v>0.007309155864184554</v>
      </c>
      <c r="C18" s="6" t="n">
        <v>0.013071728907321</v>
      </c>
      <c r="D18" s="7" t="n">
        <v>104.5926650623263</v>
      </c>
      <c r="E18" s="7" t="n">
        <v>10.12148686397813</v>
      </c>
      <c r="F18" s="8" t="n">
        <v>0.303564412187258</v>
      </c>
      <c r="G18" s="8" t="n">
        <v>0.5737524328896543</v>
      </c>
      <c r="H18" s="8" t="n">
        <v>1</v>
      </c>
      <c r="I18" s="8" t="n">
        <v>0.8095050991660216</v>
      </c>
      <c r="J18" s="9" t="n">
        <v>48408</v>
      </c>
      <c r="K18" t="n">
        <v>428</v>
      </c>
      <c r="L18" t="inlineStr">
        <is>
          <t>good</t>
        </is>
      </c>
    </row>
    <row r="19">
      <c r="A19" s="2" t="inlineStr">
        <is>
          <t>538|RP|small|young</t>
        </is>
      </c>
      <c r="B19" s="6" t="n">
        <v>0.002139791033193693</v>
      </c>
      <c r="C19" s="6" t="n">
        <v>0.1209614739968071</v>
      </c>
      <c r="D19" s="7" t="n">
        <v>159.1397795079883</v>
      </c>
      <c r="E19" s="7" t="n">
        <v>10.00000000039872</v>
      </c>
      <c r="F19" s="8" t="n">
        <v>5</v>
      </c>
      <c r="G19" s="8" t="n">
        <v>0.2113874633142477</v>
      </c>
      <c r="H19" s="8" t="n">
        <v>1</v>
      </c>
      <c r="I19" s="8" t="n">
        <v>0.8</v>
      </c>
      <c r="J19" s="9" t="n">
        <v>12071</v>
      </c>
      <c r="K19" t="n">
        <v>122</v>
      </c>
      <c r="L19" t="inlineStr">
        <is>
          <t>good</t>
        </is>
      </c>
    </row>
    <row r="20">
      <c r="A20" s="2" t="inlineStr">
        <is>
          <t>OTHER|NC|large|seasoned</t>
        </is>
      </c>
      <c r="B20" s="6" t="n">
        <v>0.001152744085473792</v>
      </c>
      <c r="C20" s="6" t="n">
        <v>0.06852109121287013</v>
      </c>
      <c r="D20" s="7" t="n">
        <v>43.58730458095437</v>
      </c>
      <c r="E20" s="7" t="n">
        <v>30.90896746136251</v>
      </c>
      <c r="F20" s="8" t="n">
        <v>0.348876037692302</v>
      </c>
      <c r="G20" s="8" t="n">
        <v>1.097274406582782</v>
      </c>
      <c r="H20" s="8" t="n">
        <v>1</v>
      </c>
      <c r="I20" s="8" t="n">
        <v>0.9303361005128052</v>
      </c>
      <c r="J20" s="9" t="n">
        <v>16188</v>
      </c>
      <c r="K20" t="n">
        <v>184</v>
      </c>
      <c r="L20" t="inlineStr">
        <is>
          <t>good</t>
        </is>
      </c>
    </row>
    <row r="21">
      <c r="A21" s="2" t="inlineStr">
        <is>
          <t>OTHER|NC|medium|seasoned</t>
        </is>
      </c>
      <c r="B21" s="6" t="n">
        <v>0.001168729625273348</v>
      </c>
      <c r="C21" s="6" t="n">
        <v>0.05942332693626209</v>
      </c>
      <c r="D21" s="7" t="n">
        <v>73.63500761188054</v>
      </c>
      <c r="E21" s="7" t="n">
        <v>29.07290478795058</v>
      </c>
      <c r="F21" s="8" t="n">
        <v>0.3015093951860569</v>
      </c>
      <c r="G21" s="8" t="n">
        <v>0.5706994245069066</v>
      </c>
      <c r="H21" s="8" t="n">
        <v>1</v>
      </c>
      <c r="I21" s="8" t="n">
        <v>0.8040250538294851</v>
      </c>
      <c r="J21" s="9" t="n">
        <v>37236</v>
      </c>
      <c r="K21" t="n">
        <v>395</v>
      </c>
      <c r="L21" t="inlineStr">
        <is>
          <t>good</t>
        </is>
      </c>
    </row>
    <row r="22">
      <c r="A22" s="2" t="inlineStr">
        <is>
          <t>OTHER|NC|small|seasoned</t>
        </is>
      </c>
      <c r="B22" s="6" t="n">
        <v>0.001190761777072272</v>
      </c>
      <c r="C22" s="6" t="n">
        <v>0.01911503245288258</v>
      </c>
      <c r="D22" s="7" t="n">
        <v>80.16345720459458</v>
      </c>
      <c r="E22" s="7" t="n">
        <v>17.40007149733339</v>
      </c>
      <c r="F22" s="8" t="n">
        <v>0.3211749635205121</v>
      </c>
      <c r="G22" s="8" t="n">
        <v>0.7140707087422792</v>
      </c>
      <c r="H22" s="8" t="n">
        <v>1</v>
      </c>
      <c r="I22" s="8" t="n">
        <v>0.8564665693880321</v>
      </c>
      <c r="J22" s="9" t="n">
        <v>18511</v>
      </c>
      <c r="K22" t="n">
        <v>112</v>
      </c>
      <c r="L22" t="inlineStr">
        <is>
          <t>good</t>
        </is>
      </c>
    </row>
    <row r="23">
      <c r="A23" s="2" t="inlineStr">
        <is>
          <t>OTHER|RP|medium|seasoned</t>
        </is>
      </c>
      <c r="B23" s="6" t="n">
        <v>0.003802840903119368</v>
      </c>
      <c r="C23" s="6" t="n">
        <v>0.056853861083135</v>
      </c>
      <c r="D23" s="7" t="n">
        <v>67.91567608549072</v>
      </c>
      <c r="E23" s="7" t="n">
        <v>38.01212603691608</v>
      </c>
      <c r="F23" s="8" t="n">
        <v>0.279343545969053</v>
      </c>
      <c r="G23" s="8" t="n">
        <v>0.3099249581242828</v>
      </c>
      <c r="H23" s="8" t="n">
        <v>1</v>
      </c>
      <c r="I23" s="8" t="n">
        <v>0.7449161225841415</v>
      </c>
      <c r="J23" s="9" t="n">
        <v>21861</v>
      </c>
      <c r="K23" t="n">
        <v>346</v>
      </c>
      <c r="L23" t="inlineStr">
        <is>
          <t>good</t>
        </is>
      </c>
    </row>
    <row r="24">
      <c r="A24" s="2" t="inlineStr">
        <is>
          <t>OTHER|RP|small|aged</t>
        </is>
      </c>
      <c r="B24" s="6" t="n">
        <v>0.003479560946269636</v>
      </c>
      <c r="C24" s="6" t="n">
        <v>0.01246933294841722</v>
      </c>
      <c r="D24" s="7" t="n">
        <v>49.95141928721467</v>
      </c>
      <c r="E24" s="7" t="n">
        <v>106.7590855055087</v>
      </c>
      <c r="F24" s="8" t="n">
        <v>0.3059449950127178</v>
      </c>
      <c r="G24" s="8" t="n">
        <v>0.8668441525360336</v>
      </c>
      <c r="H24" s="8" t="n">
        <v>1</v>
      </c>
      <c r="I24" s="8" t="n">
        <v>0.722303934476858</v>
      </c>
      <c r="J24" s="9" t="n">
        <v>19833</v>
      </c>
      <c r="K24" t="n">
        <v>155</v>
      </c>
      <c r="L24" t="inlineStr">
        <is>
          <t>good</t>
        </is>
      </c>
    </row>
    <row r="25">
      <c r="A25" s="2" t="inlineStr">
        <is>
          <t>OTHER|RP|small|seasoned</t>
        </is>
      </c>
      <c r="B25" s="6" t="n">
        <v>1.970250900504706e-20</v>
      </c>
      <c r="C25" s="6" t="n">
        <v>0.03193376593096772</v>
      </c>
      <c r="D25" s="7" t="n">
        <v>212.2238711834903</v>
      </c>
      <c r="E25" s="7" t="n">
        <v>200.6772991233616</v>
      </c>
      <c r="F25" s="8" t="n">
        <v>0.3061601498940556</v>
      </c>
      <c r="G25" s="8" t="n">
        <v>0.6556895709311682</v>
      </c>
      <c r="H25" s="8" t="n">
        <v>1</v>
      </c>
      <c r="I25" s="8" t="n">
        <v>0.8164270663841483</v>
      </c>
      <c r="J25" s="9" t="n">
        <v>18451</v>
      </c>
      <c r="K25" t="n">
        <v>164</v>
      </c>
      <c r="L25" t="inlineStr">
        <is>
          <t>good</t>
        </is>
      </c>
    </row>
    <row r="26">
      <c r="A26" s="2" t="inlineStr">
        <is>
          <t>GLOBAL</t>
        </is>
      </c>
      <c r="B26" s="6" t="n">
        <v>0.003565180638846445</v>
      </c>
      <c r="C26" s="6" t="n">
        <v>0.02152822676716249</v>
      </c>
      <c r="D26" s="7" t="n">
        <v>38.0857687877459</v>
      </c>
      <c r="E26" s="7" t="n">
        <v>24.85553559233875</v>
      </c>
      <c r="F26" s="8" t="n">
        <v>0.5563865873476619</v>
      </c>
      <c r="G26" s="8" t="n">
        <v>0.5342473702625885</v>
      </c>
      <c r="H26" s="8" t="n">
        <v>1</v>
      </c>
      <c r="I26" s="8" t="n">
        <v>0.6300757075240608</v>
      </c>
      <c r="J26" s="9" t="inlineStr"/>
      <c r="K26" t="inlineStr"/>
      <c r="L26" t="inlineStr"/>
    </row>
    <row r="27">
      <c r="A27" s="2" t="inlineStr">
        <is>
          <t>223a7|RP|ALL|aged</t>
        </is>
      </c>
      <c r="B27" s="6" t="n">
        <v>0.002680644270064791</v>
      </c>
      <c r="C27" s="6" t="n">
        <v>0.007394837067850594</v>
      </c>
      <c r="D27" s="7" t="n">
        <v>-95.01456662597276</v>
      </c>
      <c r="E27" s="7" t="n">
        <v>84.93790272075731</v>
      </c>
      <c r="F27" s="8" t="n">
        <v>0.3020682980572848</v>
      </c>
      <c r="G27" s="8" t="n">
        <v>0.8558601778289736</v>
      </c>
      <c r="H27" s="8" t="n">
        <v>1</v>
      </c>
      <c r="I27" s="8" t="n">
        <v>0.948820517682412</v>
      </c>
      <c r="J27" s="9" t="inlineStr"/>
      <c r="K27" t="inlineStr"/>
      <c r="L27" t="inlineStr"/>
    </row>
    <row r="28">
      <c r="A28" s="2" t="inlineStr">
        <is>
          <t>223a7|RP|ALL|seasoned</t>
        </is>
      </c>
      <c r="B28" s="6" t="n">
        <v>0.003110217112884206</v>
      </c>
      <c r="C28" s="6" t="n">
        <v>0.02712990279592375</v>
      </c>
      <c r="D28" s="7" t="n">
        <v>48.30856845360491</v>
      </c>
      <c r="E28" s="7" t="n">
        <v>38.23645677347388</v>
      </c>
      <c r="F28" s="8" t="n">
        <v>0.2994211714989511</v>
      </c>
      <c r="G28" s="8" t="n">
        <v>0.4455421527072758</v>
      </c>
      <c r="H28" s="8" t="n">
        <v>1</v>
      </c>
      <c r="I28" s="8" t="n">
        <v>0.7984564573305364</v>
      </c>
      <c r="J28" s="9" t="inlineStr"/>
      <c r="K28" t="inlineStr"/>
      <c r="L28" t="inlineStr"/>
    </row>
    <row r="29">
      <c r="A29" s="2" t="inlineStr">
        <is>
          <t>223f|RP|ALL|aged</t>
        </is>
      </c>
      <c r="B29" s="6" t="n">
        <v>0.004183561465230429</v>
      </c>
      <c r="C29" s="6" t="n">
        <v>0.01252971178079179</v>
      </c>
      <c r="D29" s="7" t="n">
        <v>104.8137870055006</v>
      </c>
      <c r="E29" s="7" t="n">
        <v>30.85454719459996</v>
      </c>
      <c r="F29" s="8" t="n">
        <v>0.3067218518197586</v>
      </c>
      <c r="G29" s="8" t="n">
        <v>0.8690452468226493</v>
      </c>
      <c r="H29" s="8" t="n">
        <v>1</v>
      </c>
      <c r="I29" s="8" t="n">
        <v>0.7998621309392013</v>
      </c>
      <c r="J29" s="9" t="inlineStr"/>
      <c r="K29" t="inlineStr"/>
      <c r="L29" t="inlineStr"/>
    </row>
    <row r="30">
      <c r="A30" s="2" t="inlineStr">
        <is>
          <t>223f|RP|ALL|seasoned</t>
        </is>
      </c>
      <c r="B30" s="6" t="n">
        <v>0.00300986361590008</v>
      </c>
      <c r="C30" s="6" t="n">
        <v>0.02793237941500101</v>
      </c>
      <c r="D30" s="7" t="n">
        <v>39.26631404004415</v>
      </c>
      <c r="E30" s="7" t="n">
        <v>43.91349039344472</v>
      </c>
      <c r="F30" s="8" t="n">
        <v>0.298501915103692</v>
      </c>
      <c r="G30" s="8" t="n">
        <v>0.6146485064502806</v>
      </c>
      <c r="H30" s="8" t="n">
        <v>1</v>
      </c>
      <c r="I30" s="8" t="n">
        <v>0.7960051069431788</v>
      </c>
      <c r="J30" s="9" t="inlineStr"/>
      <c r="K30" t="inlineStr"/>
      <c r="L30" t="inlineStr"/>
    </row>
    <row r="31">
      <c r="A31" s="2" t="inlineStr">
        <is>
          <t>223f|RP|ALL|young</t>
        </is>
      </c>
      <c r="B31" s="6" t="n">
        <v>0.001697104338610234</v>
      </c>
      <c r="C31" s="6" t="n">
        <v>0.06833129989161385</v>
      </c>
      <c r="D31" s="7" t="n">
        <v>99.02215934037508</v>
      </c>
      <c r="E31" s="7" t="n">
        <v>30.59491283313899</v>
      </c>
      <c r="F31" s="8" t="n">
        <v>0.6933418189979293</v>
      </c>
      <c r="G31" s="8" t="n">
        <v>0.573391139873587</v>
      </c>
      <c r="H31" s="8" t="n">
        <v>1</v>
      </c>
      <c r="I31" s="8" t="n">
        <v>0.8</v>
      </c>
      <c r="J31" s="9" t="inlineStr"/>
      <c r="K31" t="inlineStr"/>
      <c r="L31" t="inlineStr"/>
    </row>
    <row r="32">
      <c r="A32" s="2" t="inlineStr">
        <is>
          <t>232|RP|ALL|aged</t>
        </is>
      </c>
      <c r="B32" s="6" t="n">
        <v>0.004835446946244841</v>
      </c>
      <c r="C32" s="6" t="n">
        <v>0.02244872368790821</v>
      </c>
      <c r="D32" s="7" t="n">
        <v>49.11487519220527</v>
      </c>
      <c r="E32" s="7" t="n">
        <v>85.57500297321725</v>
      </c>
      <c r="F32" s="8" t="n">
        <v>0.3265848429579535</v>
      </c>
      <c r="G32" s="8" t="n">
        <v>0.9253237217142016</v>
      </c>
      <c r="H32" s="8" t="n">
        <v>1</v>
      </c>
      <c r="I32" s="8" t="n">
        <v>0.6526349646381983</v>
      </c>
      <c r="J32" s="9" t="inlineStr"/>
      <c r="K32" t="inlineStr"/>
      <c r="L32" t="inlineStr"/>
    </row>
    <row r="33">
      <c r="A33" s="2" t="inlineStr">
        <is>
          <t>232|RP|ALL|seasoned</t>
        </is>
      </c>
      <c r="B33" s="6" t="n">
        <v>0.004513335648862511</v>
      </c>
      <c r="C33" s="6" t="n">
        <v>0.02574254212582926</v>
      </c>
      <c r="D33" s="7" t="n">
        <v>86.55506501832994</v>
      </c>
      <c r="E33" s="7" t="n">
        <v>34.40908290023697</v>
      </c>
      <c r="F33" s="8" t="n">
        <v>0.2990033051297675</v>
      </c>
      <c r="G33" s="8" t="n">
        <v>0.5742082477818885</v>
      </c>
      <c r="H33" s="8" t="n">
        <v>1</v>
      </c>
      <c r="I33" s="8" t="n">
        <v>0.7973421470127134</v>
      </c>
      <c r="J33" s="9" t="inlineStr"/>
      <c r="K33" t="inlineStr"/>
      <c r="L33" t="inlineStr"/>
    </row>
    <row r="34">
      <c r="A34" s="2" t="inlineStr">
        <is>
          <t>232|RP|ALL|young</t>
        </is>
      </c>
      <c r="B34" s="6" t="n">
        <v>0.003394349483850955</v>
      </c>
      <c r="C34" s="6" t="n">
        <v>0.03587867025751197</v>
      </c>
      <c r="D34" s="7" t="n">
        <v>71.73850124400501</v>
      </c>
      <c r="E34" s="7" t="n">
        <v>16.88790309164134</v>
      </c>
      <c r="F34" s="8" t="n">
        <v>0.511464208188067</v>
      </c>
      <c r="G34" s="8" t="n">
        <v>0.6621298302114783</v>
      </c>
      <c r="H34" s="8" t="n">
        <v>1</v>
      </c>
      <c r="I34" s="8" t="n">
        <v>0.8</v>
      </c>
      <c r="J34" s="9" t="inlineStr"/>
      <c r="K34" t="inlineStr"/>
      <c r="L34" t="inlineStr"/>
    </row>
    <row r="35">
      <c r="A35" s="2" t="inlineStr">
        <is>
          <t>538|RP|ALL|young</t>
        </is>
      </c>
      <c r="B35" s="6" t="n">
        <v>0.002710276901743231</v>
      </c>
      <c r="C35" s="6" t="n">
        <v>0.1216814067879173</v>
      </c>
      <c r="D35" s="7" t="n">
        <v>158.4824685949961</v>
      </c>
      <c r="E35" s="7" t="n">
        <v>10</v>
      </c>
      <c r="F35" s="8" t="n">
        <v>5</v>
      </c>
      <c r="G35" s="8" t="n">
        <v>0.1762487420258077</v>
      </c>
      <c r="H35" s="8" t="n">
        <v>1</v>
      </c>
      <c r="I35" s="8" t="n">
        <v>0.8</v>
      </c>
      <c r="J35" s="9" t="inlineStr"/>
      <c r="K35" t="inlineStr"/>
      <c r="L35" t="inlineStr"/>
    </row>
    <row r="36">
      <c r="A36" s="2" t="inlineStr">
        <is>
          <t>OTHER|NC|ALL|aged</t>
        </is>
      </c>
      <c r="B36" s="6" t="n">
        <v>0.002351023178622333</v>
      </c>
      <c r="C36" s="6" t="n">
        <v>0.01220155171683059</v>
      </c>
      <c r="D36" s="7" t="n">
        <v>-38.64548183862564</v>
      </c>
      <c r="E36" s="7" t="n">
        <v>53.33373661984321</v>
      </c>
      <c r="F36" s="8" t="n">
        <v>0.3032075628319515</v>
      </c>
      <c r="G36" s="8" t="n">
        <v>0.8590880946905295</v>
      </c>
      <c r="H36" s="8" t="n">
        <v>1</v>
      </c>
      <c r="I36" s="8" t="n">
        <v>1.023149906499423</v>
      </c>
      <c r="J36" s="9" t="inlineStr"/>
      <c r="K36" t="inlineStr"/>
      <c r="L36" t="inlineStr"/>
    </row>
    <row r="37">
      <c r="A37" s="2" t="inlineStr">
        <is>
          <t>OTHER|NC|ALL|seasoned</t>
        </is>
      </c>
      <c r="B37" s="6" t="n">
        <v>0.001002518545440301</v>
      </c>
      <c r="C37" s="6" t="n">
        <v>0.03828212073497882</v>
      </c>
      <c r="D37" s="7" t="n">
        <v>49.66202937608636</v>
      </c>
      <c r="E37" s="7" t="n">
        <v>28.31566288017341</v>
      </c>
      <c r="F37" s="8" t="n">
        <v>0.3103435772425612</v>
      </c>
      <c r="G37" s="8" t="n">
        <v>0.8365306530334785</v>
      </c>
      <c r="H37" s="8" t="n">
        <v>1</v>
      </c>
      <c r="I37" s="8" t="n">
        <v>0.8275828726468301</v>
      </c>
      <c r="J37" s="9" t="inlineStr"/>
      <c r="K37" t="inlineStr"/>
      <c r="L37" t="inlineStr"/>
    </row>
    <row r="38">
      <c r="A38" s="2" t="inlineStr">
        <is>
          <t>OTHER|NC|ALL|young</t>
        </is>
      </c>
      <c r="B38" s="6" t="n">
        <v>0.002307118526213432</v>
      </c>
      <c r="C38" s="6" t="n">
        <v>0.07187331007938037</v>
      </c>
      <c r="D38" s="7" t="n">
        <v>76.93807808633042</v>
      </c>
      <c r="E38" s="7" t="n">
        <v>16.6905180920739</v>
      </c>
      <c r="F38" s="8" t="n">
        <v>0.1873429994277318</v>
      </c>
      <c r="G38" s="8" t="n">
        <v>0.6728273392581919</v>
      </c>
      <c r="H38" s="8" t="n">
        <v>1</v>
      </c>
      <c r="I38" s="8" t="n">
        <v>0.8</v>
      </c>
      <c r="J38" s="9" t="inlineStr"/>
      <c r="K38" t="inlineStr"/>
      <c r="L38" t="inlineStr"/>
    </row>
    <row r="39">
      <c r="A39" s="2" t="inlineStr">
        <is>
          <t>OTHER|RP|ALL|aged</t>
        </is>
      </c>
      <c r="B39" s="6" t="n">
        <v>0.004399498074023532</v>
      </c>
      <c r="C39" s="6" t="n">
        <v>0.01339282526616</v>
      </c>
      <c r="D39" s="7" t="n">
        <v>-30.81648278923566</v>
      </c>
      <c r="E39" s="7" t="n">
        <v>69.95883084219092</v>
      </c>
      <c r="F39" s="8" t="n">
        <v>0.312545703806051</v>
      </c>
      <c r="G39" s="8" t="n">
        <v>0.885546160783811</v>
      </c>
      <c r="H39" s="8" t="n">
        <v>1</v>
      </c>
      <c r="I39" s="8" t="n">
        <v>0.5992332824783748</v>
      </c>
      <c r="J39" s="9" t="inlineStr"/>
      <c r="K39" t="inlineStr"/>
      <c r="L39" t="inlineStr"/>
    </row>
    <row r="40">
      <c r="A40" s="2" t="inlineStr">
        <is>
          <t>OTHER|RP|ALL|seasoned</t>
        </is>
      </c>
      <c r="B40" s="6" t="n">
        <v>0.003597059941981158</v>
      </c>
      <c r="C40" s="6" t="n">
        <v>0.02882301395531613</v>
      </c>
      <c r="D40" s="7" t="n">
        <v>40.18175869571985</v>
      </c>
      <c r="E40" s="7" t="n">
        <v>33.37982497234654</v>
      </c>
      <c r="F40" s="8" t="n">
        <v>0.2974424623546707</v>
      </c>
      <c r="G40" s="8" t="n">
        <v>0.4457253771544325</v>
      </c>
      <c r="H40" s="8" t="n">
        <v>1</v>
      </c>
      <c r="I40" s="8" t="n">
        <v>0.7931798996124553</v>
      </c>
      <c r="J40" s="9" t="inlineStr"/>
      <c r="K40" t="inlineStr"/>
      <c r="L40" t="inlineStr"/>
    </row>
    <row r="41">
      <c r="A41" s="2" t="inlineStr">
        <is>
          <t>223a7|ALL|ALL|aged</t>
        </is>
      </c>
      <c r="B41" s="6" t="n">
        <v>0.002680644270064791</v>
      </c>
      <c r="C41" s="6" t="n">
        <v>0.007394837067850594</v>
      </c>
      <c r="D41" s="7" t="n">
        <v>-95.01456662597276</v>
      </c>
      <c r="E41" s="7" t="n">
        <v>84.93790272075731</v>
      </c>
      <c r="F41" s="8" t="n">
        <v>0.3020682980572848</v>
      </c>
      <c r="G41" s="8" t="n">
        <v>0.8558601778289736</v>
      </c>
      <c r="H41" s="8" t="n">
        <v>1</v>
      </c>
      <c r="I41" s="8" t="n">
        <v>0.948820517682412</v>
      </c>
      <c r="J41" s="9" t="inlineStr"/>
      <c r="K41" t="inlineStr"/>
      <c r="L41" t="inlineStr"/>
    </row>
    <row r="42">
      <c r="A42" s="2" t="inlineStr">
        <is>
          <t>223a7|ALL|ALL|seasoned</t>
        </is>
      </c>
      <c r="B42" s="6" t="n">
        <v>0.003110217112884206</v>
      </c>
      <c r="C42" s="6" t="n">
        <v>0.02712990279592375</v>
      </c>
      <c r="D42" s="7" t="n">
        <v>48.30856845360491</v>
      </c>
      <c r="E42" s="7" t="n">
        <v>38.23645677347388</v>
      </c>
      <c r="F42" s="8" t="n">
        <v>0.2994211714989511</v>
      </c>
      <c r="G42" s="8" t="n">
        <v>0.4455421527072758</v>
      </c>
      <c r="H42" s="8" t="n">
        <v>1</v>
      </c>
      <c r="I42" s="8" t="n">
        <v>0.7984564573305364</v>
      </c>
      <c r="J42" s="9" t="inlineStr"/>
      <c r="K42" t="inlineStr"/>
      <c r="L42" t="inlineStr"/>
    </row>
    <row r="43">
      <c r="A43" s="2" t="inlineStr">
        <is>
          <t>223f|ALL|ALL|aged</t>
        </is>
      </c>
      <c r="B43" s="6" t="n">
        <v>0.004183561465230429</v>
      </c>
      <c r="C43" s="6" t="n">
        <v>0.01252971178079179</v>
      </c>
      <c r="D43" s="7" t="n">
        <v>104.8137870055006</v>
      </c>
      <c r="E43" s="7" t="n">
        <v>30.85454719459996</v>
      </c>
      <c r="F43" s="8" t="n">
        <v>0.3067218518197586</v>
      </c>
      <c r="G43" s="8" t="n">
        <v>0.8690452468226493</v>
      </c>
      <c r="H43" s="8" t="n">
        <v>1</v>
      </c>
      <c r="I43" s="8" t="n">
        <v>0.7998621309392013</v>
      </c>
      <c r="J43" s="9" t="inlineStr"/>
      <c r="K43" t="inlineStr"/>
      <c r="L43" t="inlineStr"/>
    </row>
    <row r="44">
      <c r="A44" s="2" t="inlineStr">
        <is>
          <t>223f|ALL|ALL|seasoned</t>
        </is>
      </c>
      <c r="B44" s="6" t="n">
        <v>0.00300986361590008</v>
      </c>
      <c r="C44" s="6" t="n">
        <v>0.02793237941500101</v>
      </c>
      <c r="D44" s="7" t="n">
        <v>39.26631404004415</v>
      </c>
      <c r="E44" s="7" t="n">
        <v>43.91349039344472</v>
      </c>
      <c r="F44" s="8" t="n">
        <v>0.298501915103692</v>
      </c>
      <c r="G44" s="8" t="n">
        <v>0.6146485064502806</v>
      </c>
      <c r="H44" s="8" t="n">
        <v>1</v>
      </c>
      <c r="I44" s="8" t="n">
        <v>0.7960051069431788</v>
      </c>
      <c r="J44" s="9" t="inlineStr"/>
      <c r="K44" t="inlineStr"/>
      <c r="L44" t="inlineStr"/>
    </row>
    <row r="45">
      <c r="A45" s="2" t="inlineStr">
        <is>
          <t>223f|ALL|ALL|young</t>
        </is>
      </c>
      <c r="B45" s="6" t="n">
        <v>0.001697104338610234</v>
      </c>
      <c r="C45" s="6" t="n">
        <v>0.06833129989161385</v>
      </c>
      <c r="D45" s="7" t="n">
        <v>99.02215934037508</v>
      </c>
      <c r="E45" s="7" t="n">
        <v>30.59491283313899</v>
      </c>
      <c r="F45" s="8" t="n">
        <v>0.6933418189979293</v>
      </c>
      <c r="G45" s="8" t="n">
        <v>0.573391139873587</v>
      </c>
      <c r="H45" s="8" t="n">
        <v>1</v>
      </c>
      <c r="I45" s="8" t="n">
        <v>0.8</v>
      </c>
      <c r="J45" s="9" t="inlineStr"/>
      <c r="K45" t="inlineStr"/>
      <c r="L45" t="inlineStr"/>
    </row>
    <row r="46">
      <c r="A46" s="2" t="inlineStr">
        <is>
          <t>232|ALL|ALL|aged</t>
        </is>
      </c>
      <c r="B46" s="6" t="n">
        <v>0.003434126594787498</v>
      </c>
      <c r="C46" s="6" t="n">
        <v>0.04129774188022101</v>
      </c>
      <c r="D46" s="7" t="n">
        <v>210.3549530506016</v>
      </c>
      <c r="E46" s="7" t="n">
        <v>151.3983788140246</v>
      </c>
      <c r="F46" s="8" t="n">
        <v>0.3243244141987595</v>
      </c>
      <c r="G46" s="8" t="n">
        <v>0.9189191735631518</v>
      </c>
      <c r="H46" s="8" t="n">
        <v>1</v>
      </c>
      <c r="I46" s="8" t="n">
        <v>0.6618997153734648</v>
      </c>
      <c r="J46" s="9" t="inlineStr"/>
      <c r="K46" t="inlineStr"/>
      <c r="L46" t="inlineStr"/>
    </row>
    <row r="47">
      <c r="A47" s="2" t="inlineStr">
        <is>
          <t>232|ALL|ALL|seasoned</t>
        </is>
      </c>
      <c r="B47" s="6" t="n">
        <v>0.004286977277428105</v>
      </c>
      <c r="C47" s="6" t="n">
        <v>0.02746052494138114</v>
      </c>
      <c r="D47" s="7" t="n">
        <v>90.09737775762024</v>
      </c>
      <c r="E47" s="7" t="n">
        <v>40.39634274564921</v>
      </c>
      <c r="F47" s="8" t="n">
        <v>0.2980329561002121</v>
      </c>
      <c r="G47" s="8" t="n">
        <v>0.5674525477824687</v>
      </c>
      <c r="H47" s="8" t="n">
        <v>1</v>
      </c>
      <c r="I47" s="8" t="n">
        <v>0.7947545496005657</v>
      </c>
      <c r="J47" s="9" t="inlineStr"/>
      <c r="K47" t="inlineStr"/>
      <c r="L47" t="inlineStr"/>
    </row>
    <row r="48">
      <c r="A48" s="2" t="inlineStr">
        <is>
          <t>232|ALL|ALL|young</t>
        </is>
      </c>
      <c r="B48" s="6" t="n">
        <v>0.003307663112953408</v>
      </c>
      <c r="C48" s="6" t="n">
        <v>0.03648927062909697</v>
      </c>
      <c r="D48" s="7" t="n">
        <v>73.5648600772691</v>
      </c>
      <c r="E48" s="7" t="n">
        <v>17.35822323461237</v>
      </c>
      <c r="F48" s="8" t="n">
        <v>0.5123417684526856</v>
      </c>
      <c r="G48" s="8" t="n">
        <v>0.6728065732671565</v>
      </c>
      <c r="H48" s="8" t="n">
        <v>1</v>
      </c>
      <c r="I48" s="8" t="n">
        <v>0.8</v>
      </c>
      <c r="J48" s="9" t="inlineStr"/>
      <c r="K48" t="inlineStr"/>
      <c r="L48" t="inlineStr"/>
    </row>
    <row r="49">
      <c r="A49" s="2" t="inlineStr">
        <is>
          <t>538|ALL|ALL|young</t>
        </is>
      </c>
      <c r="B49" s="6" t="n">
        <v>0.002710276901743231</v>
      </c>
      <c r="C49" s="6" t="n">
        <v>0.1216814067879173</v>
      </c>
      <c r="D49" s="7" t="n">
        <v>158.4824685949961</v>
      </c>
      <c r="E49" s="7" t="n">
        <v>10</v>
      </c>
      <c r="F49" s="8" t="n">
        <v>5</v>
      </c>
      <c r="G49" s="8" t="n">
        <v>0.1762487420258077</v>
      </c>
      <c r="H49" s="8" t="n">
        <v>1</v>
      </c>
      <c r="I49" s="8" t="n">
        <v>0.8</v>
      </c>
      <c r="J49" s="9" t="inlineStr"/>
      <c r="K49" t="inlineStr"/>
      <c r="L49" t="inlineStr"/>
    </row>
    <row r="50">
      <c r="A50" s="2" t="inlineStr">
        <is>
          <t>OTHER|ALL|ALL|aged</t>
        </is>
      </c>
      <c r="B50" s="6" t="n">
        <v>0.003361821913685173</v>
      </c>
      <c r="C50" s="6" t="n">
        <v>0.01323631377870762</v>
      </c>
      <c r="D50" s="7" t="n">
        <v>-34.82938085942247</v>
      </c>
      <c r="E50" s="7" t="n">
        <v>62.15836051857357</v>
      </c>
      <c r="F50" s="8" t="n">
        <v>0.3072780621026935</v>
      </c>
      <c r="G50" s="8" t="n">
        <v>0.8706211759576314</v>
      </c>
      <c r="H50" s="8" t="n">
        <v>1</v>
      </c>
      <c r="I50" s="8" t="n">
        <v>0.7553392580344112</v>
      </c>
      <c r="J50" s="9" t="inlineStr"/>
      <c r="K50" t="inlineStr"/>
      <c r="L50" t="inlineStr"/>
    </row>
    <row r="51">
      <c r="A51" s="2" t="inlineStr">
        <is>
          <t>OTHER|ALL|ALL|seasoned</t>
        </is>
      </c>
      <c r="B51" s="6" t="n">
        <v>0.001912792307187371</v>
      </c>
      <c r="C51" s="6" t="n">
        <v>0.03509079269871119</v>
      </c>
      <c r="D51" s="7" t="n">
        <v>43.42952510099335</v>
      </c>
      <c r="E51" s="7" t="n">
        <v>27.83643380931265</v>
      </c>
      <c r="F51" s="8" t="n">
        <v>0.30531900341102</v>
      </c>
      <c r="G51" s="8" t="n">
        <v>0.5979953959542044</v>
      </c>
      <c r="H51" s="8" t="n">
        <v>1</v>
      </c>
      <c r="I51" s="8" t="n">
        <v>0.8141840090960534</v>
      </c>
      <c r="J51" s="9" t="inlineStr"/>
      <c r="K51" t="inlineStr"/>
      <c r="L51" t="inlineStr"/>
    </row>
    <row r="52">
      <c r="A52" s="2" t="inlineStr">
        <is>
          <t>OTHER|ALL|ALL|young</t>
        </is>
      </c>
      <c r="B52" s="6" t="n">
        <v>0.001498073427454663</v>
      </c>
      <c r="C52" s="6" t="n">
        <v>0.07564759137344614</v>
      </c>
      <c r="D52" s="7" t="n">
        <v>83.362096925339</v>
      </c>
      <c r="E52" s="7" t="n">
        <v>39.72487717499757</v>
      </c>
      <c r="F52" s="8" t="n">
        <v>0.5616715595823135</v>
      </c>
      <c r="G52" s="8" t="n">
        <v>0.6114497790065578</v>
      </c>
      <c r="H52" s="8" t="n">
        <v>1</v>
      </c>
      <c r="I52" s="8" t="n">
        <v>0.8</v>
      </c>
      <c r="J52" s="9" t="inlineStr"/>
      <c r="K52" t="inlineStr"/>
      <c r="L52" t="inlineStr"/>
    </row>
    <row r="53">
      <c r="A53" s="2" t="inlineStr">
        <is>
          <t>223a7|ALL|ALL|ALL</t>
        </is>
      </c>
      <c r="B53" s="6" t="n">
        <v>0.003837014635599943</v>
      </c>
      <c r="C53" s="6" t="n">
        <v>0.01375853241770583</v>
      </c>
      <c r="D53" s="7" t="n">
        <v>-10.23163947066149</v>
      </c>
      <c r="E53" s="7" t="n">
        <v>16.25201178886059</v>
      </c>
      <c r="F53" s="8" t="n">
        <v>0.425990614868005</v>
      </c>
      <c r="G53" s="8" t="n">
        <v>0.4071374240367748</v>
      </c>
      <c r="H53" s="8" t="n">
        <v>1</v>
      </c>
      <c r="I53" s="8" t="n">
        <v>0.5789056736135957</v>
      </c>
      <c r="J53" s="9" t="inlineStr"/>
      <c r="K53" t="inlineStr"/>
      <c r="L53" t="inlineStr"/>
    </row>
    <row r="54">
      <c r="A54" s="2" t="inlineStr">
        <is>
          <t>223f|ALL|ALL|ALL</t>
        </is>
      </c>
      <c r="B54" s="6" t="n">
        <v>0.00351061210491934</v>
      </c>
      <c r="C54" s="6" t="n">
        <v>0.02505678092161426</v>
      </c>
      <c r="D54" s="7" t="n">
        <v>40.73510130487968</v>
      </c>
      <c r="E54" s="7" t="n">
        <v>23.86132379563499</v>
      </c>
      <c r="F54" s="8" t="n">
        <v>0.3660541884167925</v>
      </c>
      <c r="G54" s="8" t="n">
        <v>0.5189038328112876</v>
      </c>
      <c r="H54" s="8" t="n">
        <v>1</v>
      </c>
      <c r="I54" s="8" t="n">
        <v>0.584495091713055</v>
      </c>
      <c r="J54" s="9" t="inlineStr"/>
      <c r="K54" t="inlineStr"/>
      <c r="L54" t="inlineStr"/>
    </row>
    <row r="55">
      <c r="A55" s="2" t="inlineStr">
        <is>
          <t>232|ALL|ALL|ALL</t>
        </is>
      </c>
      <c r="B55" s="6" t="n">
        <v>0.004760075085423232</v>
      </c>
      <c r="C55" s="6" t="n">
        <v>0.02592898882889953</v>
      </c>
      <c r="D55" s="7" t="n">
        <v>70.64855105109099</v>
      </c>
      <c r="E55" s="7" t="n">
        <v>27.53074420176148</v>
      </c>
      <c r="F55" s="8" t="n">
        <v>0.3571857856674523</v>
      </c>
      <c r="G55" s="8" t="n">
        <v>0.5314742750100666</v>
      </c>
      <c r="H55" s="8" t="n">
        <v>1</v>
      </c>
      <c r="I55" s="8" t="n">
        <v>0.7791351922106082</v>
      </c>
      <c r="J55" s="9" t="inlineStr"/>
      <c r="K55" t="inlineStr"/>
      <c r="L55" t="inlineStr"/>
    </row>
    <row r="56">
      <c r="A56" s="2" t="inlineStr">
        <is>
          <t>538|ALL|ALL|ALL</t>
        </is>
      </c>
      <c r="B56" s="6" t="n">
        <v>0.0007776502539974126</v>
      </c>
      <c r="C56" s="6" t="n">
        <v>0.009093486031603332</v>
      </c>
      <c r="D56" s="7" t="n">
        <v>156.9820988190352</v>
      </c>
      <c r="E56" s="7" t="n">
        <v>10</v>
      </c>
      <c r="F56" s="8" t="n">
        <v>6.02744805358428</v>
      </c>
      <c r="G56" s="8" t="n">
        <v>0.7586822064283629</v>
      </c>
      <c r="H56" s="8" t="n">
        <v>1</v>
      </c>
      <c r="I56" s="8" t="n">
        <v>3.100487946770496</v>
      </c>
      <c r="J56" s="9" t="inlineStr"/>
      <c r="K56" t="inlineStr"/>
      <c r="L56" t="inlineStr"/>
    </row>
    <row r="57">
      <c r="A57" s="2" t="inlineStr">
        <is>
          <t>OTHER|ALL|ALL|ALL</t>
        </is>
      </c>
      <c r="B57" s="6" t="n">
        <v>0.002669006012003548</v>
      </c>
      <c r="C57" s="6" t="n">
        <v>0.02761085264569813</v>
      </c>
      <c r="D57" s="7" t="n">
        <v>30.80646925508407</v>
      </c>
      <c r="E57" s="7" t="n">
        <v>22.58631795825639</v>
      </c>
      <c r="F57" s="8" t="n">
        <v>0.6871706625258197</v>
      </c>
      <c r="G57" s="8" t="n">
        <v>0.584891875340795</v>
      </c>
      <c r="H57" s="8" t="n">
        <v>1</v>
      </c>
      <c r="I57" s="8" t="n">
        <v>0.8977245371384952</v>
      </c>
      <c r="J57" s="9" t="inlineStr"/>
      <c r="K57" t="inlineStr"/>
      <c r="L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3" t="inlineStr">
        <is>
          <t>V8b Structural Multipliers (reused from V7)</t>
        </is>
      </c>
    </row>
    <row r="3">
      <c r="A3" s="1" t="inlineStr">
        <is>
          <t>M_maturity (1 + amp×max(0, (cutoff-mtm)/cutoff))</t>
        </is>
      </c>
    </row>
    <row r="4">
      <c r="A4" s="2" t="inlineStr">
        <is>
          <t xml:space="preserve">  amplitude</t>
        </is>
      </c>
      <c r="B4" s="10" t="n">
        <v>8</v>
      </c>
    </row>
    <row r="5">
      <c r="A5" s="2" t="inlineStr">
        <is>
          <t xml:space="preserve">  cutoff</t>
        </is>
      </c>
      <c r="B5" s="11" t="n">
        <v>12.30980832137962</v>
      </c>
    </row>
    <row r="7">
      <c r="A7" s="1" t="inlineStr">
        <is>
          <t>M_lockout (1 + amp×exp(-msle/tau) for msle ∈ (0,12])</t>
        </is>
      </c>
    </row>
    <row r="8">
      <c r="A8" s="2" t="inlineStr">
        <is>
          <t xml:space="preserve">  amplitude</t>
        </is>
      </c>
      <c r="B8" s="10" t="n">
        <v>4</v>
      </c>
    </row>
    <row r="9">
      <c r="A9" s="2" t="inlineStr">
        <is>
          <t xml:space="preserve">  tau</t>
        </is>
      </c>
      <c r="B9" s="10" t="n">
        <v>1.755298172709846</v>
      </c>
    </row>
    <row r="11">
      <c r="A11" s="1" t="inlineStr">
        <is>
          <t>M_burnout (max(floor, 1 - slope×burn_ratio))</t>
        </is>
      </c>
    </row>
    <row r="12">
      <c r="A12" s="2" t="inlineStr">
        <is>
          <t xml:space="preserve">  floor</t>
        </is>
      </c>
      <c r="B12" s="10" t="n">
        <v>0.5000000000000001</v>
      </c>
    </row>
    <row r="13">
      <c r="A13" s="2" t="inlineStr">
        <is>
          <t xml:space="preserve">  slope</t>
        </is>
      </c>
      <c r="B13" s="10" t="n">
        <v>-4.028703723895018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pane xSplit="19" ySplit="2" topLeftCell="T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2" t="inlineStr">
        <is>
          <t>ID</t>
        </is>
      </c>
      <c r="G1" s="12" t="inlineStr">
        <is>
          <t>Inputs</t>
        </is>
      </c>
      <c r="P1" s="12" t="inlineStr">
        <is>
          <t>Derived (cohort id)</t>
        </is>
      </c>
      <c r="W1" s="12" t="inlineStr">
        <is>
          <t>Cohort sigmoid</t>
        </is>
      </c>
      <c r="AB1" s="12" t="inlineStr">
        <is>
          <t>Cohort age_ramp</t>
        </is>
      </c>
      <c r="AG1" s="12" t="inlineStr">
        <is>
          <t>Structural mults</t>
        </is>
      </c>
      <c r="AJ1" s="12" t="inlineStr">
        <is>
          <t>Output</t>
        </is>
      </c>
    </row>
    <row r="2">
      <c r="A2" s="5" t="inlineStr">
        <is>
          <t>loan_id</t>
        </is>
      </c>
      <c r="B2" s="5" t="inlineStr">
        <is>
          <t>fha_category</t>
        </is>
      </c>
      <c r="C2" s="5" t="inlineStr">
        <is>
          <t>loan_purpose</t>
        </is>
      </c>
      <c r="D2" s="5" t="inlineStr">
        <is>
          <t>issuer_name</t>
        </is>
      </c>
      <c r="E2" s="5" t="inlineStr">
        <is>
          <t>vintage_year</t>
        </is>
      </c>
      <c r="F2" s="5" t="inlineStr">
        <is>
          <t>period</t>
        </is>
      </c>
      <c r="G2" s="5" t="inlineStr">
        <is>
          <t>upb</t>
        </is>
      </c>
      <c r="H2" s="5" t="inlineStr">
        <is>
          <t>loan_rate_pct</t>
        </is>
      </c>
      <c r="I2" s="5" t="inlineStr">
        <is>
          <t>plc_rate_bps</t>
        </is>
      </c>
      <c r="J2" s="5" t="inlineStr">
        <is>
          <t>prepay_penalty_points</t>
        </is>
      </c>
      <c r="K2" s="5" t="inlineStr">
        <is>
          <t>loan_age_months</t>
        </is>
      </c>
      <c r="L2" s="5" t="inlineStr">
        <is>
          <t>loan_maturity_yyyymm</t>
        </is>
      </c>
      <c r="M2" s="5" t="inlineStr">
        <is>
          <t>lockout_end_yyyymm</t>
        </is>
      </c>
      <c r="N2" s="5" t="inlineStr">
        <is>
          <t>cum_itm</t>
        </is>
      </c>
      <c r="O2" s="5" t="inlineStr">
        <is>
          <t>burn_ratio_in</t>
        </is>
      </c>
      <c r="P2" s="5" t="inlineStr">
        <is>
          <t>program_key</t>
        </is>
      </c>
      <c r="Q2" s="5" t="inlineStr">
        <is>
          <t>purpose_key</t>
        </is>
      </c>
      <c r="R2" s="5" t="inlineStr">
        <is>
          <t>size_bucket</t>
        </is>
      </c>
      <c r="S2" s="5" t="inlineStr">
        <is>
          <t>age_bucket</t>
        </is>
      </c>
      <c r="T2" s="5" t="inlineStr">
        <is>
          <t>cohort_id</t>
        </is>
      </c>
      <c r="U2" s="5" t="inlineStr">
        <is>
          <t>gross_refi_bps</t>
        </is>
      </c>
      <c r="V2" s="5" t="inlineStr">
        <is>
          <t>net_refi_bps</t>
        </is>
      </c>
      <c r="W2" s="5" t="inlineStr">
        <is>
          <t>floor</t>
        </is>
      </c>
      <c r="X2" s="5" t="inlineStr">
        <is>
          <t>asymp</t>
        </is>
      </c>
      <c r="Y2" s="5" t="inlineStr">
        <is>
          <t>mid</t>
        </is>
      </c>
      <c r="Z2" s="5" t="inlineStr">
        <is>
          <t>slope</t>
        </is>
      </c>
      <c r="AA2" s="5" t="inlineStr">
        <is>
          <t>cohort_smm_anchor</t>
        </is>
      </c>
      <c r="AB2" s="5" t="inlineStr">
        <is>
          <t>ramp_y0</t>
        </is>
      </c>
      <c r="AC2" s="5" t="inlineStr">
        <is>
          <t>ramp_y1</t>
        </is>
      </c>
      <c r="AD2" s="5" t="inlineStr">
        <is>
          <t>ramp_y2</t>
        </is>
      </c>
      <c r="AE2" s="5" t="inlineStr">
        <is>
          <t>ramp_y3</t>
        </is>
      </c>
      <c r="AF2" s="5" t="inlineStr">
        <is>
          <t>age_ramp</t>
        </is>
      </c>
      <c r="AG2" s="5" t="inlineStr">
        <is>
          <t>M_maturity</t>
        </is>
      </c>
      <c r="AH2" s="5" t="inlineStr">
        <is>
          <t>M_lockout</t>
        </is>
      </c>
      <c r="AI2" s="5" t="inlineStr">
        <is>
          <t>M_burnout</t>
        </is>
      </c>
      <c r="AJ2" s="5" t="inlineStr">
        <is>
          <t>pred_SMM</t>
        </is>
      </c>
      <c r="AK2" s="5" t="inlineStr">
        <is>
          <t>pred_CPR</t>
        </is>
      </c>
    </row>
    <row r="3">
      <c r="A3" s="2" t="inlineStr">
        <is>
          <t>000012211373</t>
        </is>
      </c>
      <c r="B3" t="inlineStr">
        <is>
          <t>223f</t>
        </is>
      </c>
      <c r="C3" t="inlineStr">
        <is>
          <t>RP</t>
        </is>
      </c>
      <c r="D3" t="inlineStr">
        <is>
          <t>LUMENT REAL ESTATE CAPITAL,LLC</t>
        </is>
      </c>
      <c r="E3" t="n">
        <v>2015</v>
      </c>
      <c r="F3" t="inlineStr">
        <is>
          <t>202602</t>
        </is>
      </c>
      <c r="G3" s="9" t="n">
        <v>4746336.84</v>
      </c>
      <c r="H3" s="13" t="n">
        <v>2.96</v>
      </c>
      <c r="I3" s="14" t="n">
        <v>447</v>
      </c>
      <c r="J3" s="14" t="n">
        <v>5</v>
      </c>
      <c r="K3" t="n">
        <v>122</v>
      </c>
      <c r="L3" t="n">
        <v>205101</v>
      </c>
      <c r="M3" t="inlineStr"/>
      <c r="N3" t="n">
        <v>1</v>
      </c>
      <c r="O3" s="8" t="n">
        <v>0.00819672131147541</v>
      </c>
      <c r="P3">
        <f>IF(ISNUMBER(SEARCH("232",B3)),"232",IF(ISNUMBER(SEARCH("538",B3)),"538",IF(ISNUMBER(SEARCH("223a7",B3)),"223a7",IF(ISNUMBER(SEARCH("223f",B3)),"223f","OTHER"))))</f>
        <v/>
      </c>
      <c r="Q3">
        <f>IF(UPPER(C3)="NC","NC","RP")</f>
        <v/>
      </c>
      <c r="R3">
        <f>IF(G3&lt;5000000,"small",IF(G3&lt;25000000,"medium","large"))</f>
        <v/>
      </c>
      <c r="S3">
        <f>IF(K3&lt;36,"young",IF(K3&lt;120,"seasoned","aged"))</f>
        <v/>
      </c>
      <c r="T3">
        <f>P3&amp;"|"&amp;Q3&amp;"|"&amp;R3&amp;"|"&amp;S3</f>
        <v/>
      </c>
      <c r="U3" s="14">
        <f>H3*100-I3</f>
        <v/>
      </c>
      <c r="V3" s="14">
        <f>U3-12.5*(J3+1)</f>
        <v/>
      </c>
      <c r="W3" s="15">
        <f>IFERROR(VLOOKUP(T3,V8_COHORT_TABLE,2,FALSE),IFERROR(VLOOKUP(P3&amp;"|"&amp;Q3&amp;"|ALL|"&amp;S3,V8_COHORT_TABLE,2,FALSE),IFERROR(VLOOKUP(P3&amp;"|ALL|ALL|"&amp;S3,V8_COHORT_TABLE,2,FALSE),IFERROR(VLOOKUP(P3&amp;"|ALL|ALL|ALL",V8_COHORT_TABLE,2,FALSE),VLOOKUP("GLOBAL",V8_COHORT_TABLE,2,FALSE)))))</f>
        <v/>
      </c>
      <c r="X3" s="15">
        <f>IFERROR(VLOOKUP(T3,V8_COHORT_TABLE,3,FALSE),IFERROR(VLOOKUP(P3&amp;"|"&amp;Q3&amp;"|ALL|"&amp;S3,V8_COHORT_TABLE,3,FALSE),IFERROR(VLOOKUP(P3&amp;"|ALL|ALL|"&amp;S3,V8_COHORT_TABLE,3,FALSE),IFERROR(VLOOKUP(P3&amp;"|ALL|ALL|ALL",V8_COHORT_TABLE,3,FALSE),VLOOKUP("GLOBAL",V8_COHORT_TABLE,3,FALSE)))))</f>
        <v/>
      </c>
      <c r="Y3" s="15">
        <f>IFERROR(VLOOKUP(T3,V8_COHORT_TABLE,4,FALSE),IFERROR(VLOOKUP(P3&amp;"|"&amp;Q3&amp;"|ALL|"&amp;S3,V8_COHORT_TABLE,4,FALSE),IFERROR(VLOOKUP(P3&amp;"|ALL|ALL|"&amp;S3,V8_COHORT_TABLE,4,FALSE),IFERROR(VLOOKUP(P3&amp;"|ALL|ALL|ALL",V8_COHORT_TABLE,4,FALSE),VLOOKUP("GLOBAL",V8_COHORT_TABLE,4,FALSE)))))</f>
        <v/>
      </c>
      <c r="Z3" s="15">
        <f>IFERROR(VLOOKUP(T3,V8_COHORT_TABLE,5,FALSE),IFERROR(VLOOKUP(P3&amp;"|"&amp;Q3&amp;"|ALL|"&amp;S3,V8_COHORT_TABLE,5,FALSE),IFERROR(VLOOKUP(P3&amp;"|ALL|ALL|"&amp;S3,V8_COHORT_TABLE,5,FALSE),IFERROR(VLOOKUP(P3&amp;"|ALL|ALL|ALL",V8_COHORT_TABLE,5,FALSE),VLOOKUP("GLOBAL",V8_COHORT_TABLE,5,FALSE)))))</f>
        <v/>
      </c>
      <c r="AA3" s="15">
        <f>W3+X3/(1+EXP(-(V3-Y3)/Z3))</f>
        <v/>
      </c>
      <c r="AB3" s="15">
        <f>IFERROR(VLOOKUP(T3,V8_COHORT_TABLE,6,FALSE),IFERROR(VLOOKUP(P3&amp;"|"&amp;Q3&amp;"|ALL|"&amp;S3,V8_COHORT_TABLE,6,FALSE),IFERROR(VLOOKUP(P3&amp;"|ALL|ALL|"&amp;S3,V8_COHORT_TABLE,6,FALSE),IFERROR(VLOOKUP(P3&amp;"|ALL|ALL|ALL",V8_COHORT_TABLE,6,FALSE),VLOOKUP("GLOBAL",V8_COHORT_TABLE,6,FALSE)))))</f>
        <v/>
      </c>
      <c r="AC3" s="15">
        <f>IFERROR(VLOOKUP(T3,V8_COHORT_TABLE,7,FALSE),IFERROR(VLOOKUP(P3&amp;"|"&amp;Q3&amp;"|ALL|"&amp;S3,V8_COHORT_TABLE,7,FALSE),IFERROR(VLOOKUP(P3&amp;"|ALL|ALL|"&amp;S3,V8_COHORT_TABLE,7,FALSE),IFERROR(VLOOKUP(P3&amp;"|ALL|ALL|ALL",V8_COHORT_TABLE,7,FALSE),VLOOKUP("GLOBAL",V8_COHORT_TABLE,7,FALSE)))))</f>
        <v/>
      </c>
      <c r="AD3" s="15">
        <f>IFERROR(VLOOKUP(T3,V8_COHORT_TABLE,8,FALSE),IFERROR(VLOOKUP(P3&amp;"|"&amp;Q3&amp;"|ALL|"&amp;S3,V8_COHORT_TABLE,8,FALSE),IFERROR(VLOOKUP(P3&amp;"|ALL|ALL|"&amp;S3,V8_COHORT_TABLE,8,FALSE),IFERROR(VLOOKUP(P3&amp;"|ALL|ALL|ALL",V8_COHORT_TABLE,8,FALSE),VLOOKUP("GLOBAL",V8_COHORT_TABLE,8,FALSE)))))</f>
        <v/>
      </c>
      <c r="AE3" s="15">
        <f>IFERROR(VLOOKUP(T3,V8_COHORT_TABLE,9,FALSE),IFERROR(VLOOKUP(P3&amp;"|"&amp;Q3&amp;"|ALL|"&amp;S3,V8_COHORT_TABLE,9,FALSE),IFERROR(VLOOKUP(P3&amp;"|ALL|ALL|"&amp;S3,V8_COHORT_TABLE,9,FALSE),IFERROR(VLOOKUP(P3&amp;"|ALL|ALL|ALL",V8_COHORT_TABLE,9,FALSE),VLOOKUP("GLOBAL",V8_COHORT_TABLE,9,FALSE)))))</f>
        <v/>
      </c>
      <c r="AF3" s="8">
        <f>IF(K3&lt;=0,AB3,IF(K3&gt;=240,AE3,IF(K3&lt;=24,AB3+(K3-0)/24*(AC3-AB3),IF(K3&lt;=96,AC3+(K3-24)/72*(AD3-AC3),AD3+(K3-96)/144*(AE3-AD3)))))</f>
        <v/>
      </c>
      <c r="AG3" s="8">
        <f>IF(IF(OR(L3="",NOT(ISNUMBER(L3))),360,MAX(0,MIN(480,(INT(L3/100)-INT(VALUE(F3)/100))*12+MOD(L3,100)-MOD(VALUE(F3),100))))&gt;0,1+V8_MTY_AMP*MAX(0,(V8_MTY_CUTOFF-(IF(OR(L3="",NOT(ISNUMBER(L3))),360,MAX(0,MIN(480,(INT(L3/100)-INT(VALUE(F3)/100))*12+MOD(L3,100)-MOD(VALUE(F3),100))))))/V8_MTY_CUTOFF),1)</f>
        <v/>
      </c>
      <c r="AH3" s="8">
        <f>IF(AND(IF(OR(M3="",NOT(ISNUMBER(M3))),0,MAX(0,MIN(24,(INT(VALUE(F3)/100)-INT(M3/100))*12+MOD(VALUE(F3),100)-MOD(M3,100))))&gt;0,IF(OR(M3="",NOT(ISNUMBER(M3))),0,MAX(0,MIN(24,(INT(VALUE(F3)/100)-INT(M3/100))*12+MOD(VALUE(F3),100)-MOD(M3,100))))&lt;=12),1+V8_LOCKOUT_AMP*EXP(-(IF(OR(M3="",NOT(ISNUMBER(M3))),0,MAX(0,MIN(24,(INT(VALUE(F3)/100)-INT(M3/100))*12+MOD(VALUE(F3),100)-MOD(M3,100)))))/V8_LOCKOUT_TAU),1)</f>
        <v/>
      </c>
      <c r="AI3" s="8">
        <f>MAX(V8_BURN_FLOOR,1-V8_BURN_SLOPE*MIN(1,MAX(0,O3)))</f>
        <v/>
      </c>
      <c r="AJ3" s="15">
        <f>MIN(AA3*AF3*AG3*AH3*AI3,0.2)</f>
        <v/>
      </c>
      <c r="AK3" s="16">
        <f>1-(1-AJ3)^12</f>
        <v/>
      </c>
    </row>
    <row r="4">
      <c r="A4" s="2" t="inlineStr">
        <is>
          <t>000012322093</t>
        </is>
      </c>
      <c r="B4" t="inlineStr">
        <is>
          <t>232</t>
        </is>
      </c>
      <c r="C4" t="inlineStr">
        <is>
          <t>RP</t>
        </is>
      </c>
      <c r="D4" t="inlineStr">
        <is>
          <t>LUMENT REAL ESTATE CAPITAL,LLC</t>
        </is>
      </c>
      <c r="E4" t="n">
        <v>2018</v>
      </c>
      <c r="F4" t="inlineStr">
        <is>
          <t>202602</t>
        </is>
      </c>
      <c r="G4" s="9" t="n">
        <v>11482585.08</v>
      </c>
      <c r="H4" s="13" t="n">
        <v>4.35</v>
      </c>
      <c r="I4" s="14" t="n">
        <v>447</v>
      </c>
      <c r="J4" s="14" t="n">
        <v>0</v>
      </c>
      <c r="K4" t="n">
        <v>91</v>
      </c>
      <c r="L4" t="n">
        <v>205308</v>
      </c>
      <c r="M4" t="inlineStr"/>
      <c r="N4" t="n">
        <v>35</v>
      </c>
      <c r="O4" s="8" t="n">
        <v>0.3846153846153846</v>
      </c>
      <c r="P4">
        <f>IF(ISNUMBER(SEARCH("232",B4)),"232",IF(ISNUMBER(SEARCH("538",B4)),"538",IF(ISNUMBER(SEARCH("223a7",B4)),"223a7",IF(ISNUMBER(SEARCH("223f",B4)),"223f","OTHER"))))</f>
        <v/>
      </c>
      <c r="Q4">
        <f>IF(UPPER(C4)="NC","NC","RP")</f>
        <v/>
      </c>
      <c r="R4">
        <f>IF(G4&lt;5000000,"small",IF(G4&lt;25000000,"medium","large"))</f>
        <v/>
      </c>
      <c r="S4">
        <f>IF(K4&lt;36,"young",IF(K4&lt;120,"seasoned","aged"))</f>
        <v/>
      </c>
      <c r="T4">
        <f>P4&amp;"|"&amp;Q4&amp;"|"&amp;R4&amp;"|"&amp;S4</f>
        <v/>
      </c>
      <c r="U4" s="14">
        <f>H4*100-I4</f>
        <v/>
      </c>
      <c r="V4" s="14">
        <f>U4-12.5*(J4+1)</f>
        <v/>
      </c>
      <c r="W4" s="15">
        <f>IFERROR(VLOOKUP(T4,V8_COHORT_TABLE,2,FALSE),IFERROR(VLOOKUP(P4&amp;"|"&amp;Q4&amp;"|ALL|"&amp;S4,V8_COHORT_TABLE,2,FALSE),IFERROR(VLOOKUP(P4&amp;"|ALL|ALL|"&amp;S4,V8_COHORT_TABLE,2,FALSE),IFERROR(VLOOKUP(P4&amp;"|ALL|ALL|ALL",V8_COHORT_TABLE,2,FALSE),VLOOKUP("GLOBAL",V8_COHORT_TABLE,2,FALSE)))))</f>
        <v/>
      </c>
      <c r="X4" s="15">
        <f>IFERROR(VLOOKUP(T4,V8_COHORT_TABLE,3,FALSE),IFERROR(VLOOKUP(P4&amp;"|"&amp;Q4&amp;"|ALL|"&amp;S4,V8_COHORT_TABLE,3,FALSE),IFERROR(VLOOKUP(P4&amp;"|ALL|ALL|"&amp;S4,V8_COHORT_TABLE,3,FALSE),IFERROR(VLOOKUP(P4&amp;"|ALL|ALL|ALL",V8_COHORT_TABLE,3,FALSE),VLOOKUP("GLOBAL",V8_COHORT_TABLE,3,FALSE)))))</f>
        <v/>
      </c>
      <c r="Y4" s="15">
        <f>IFERROR(VLOOKUP(T4,V8_COHORT_TABLE,4,FALSE),IFERROR(VLOOKUP(P4&amp;"|"&amp;Q4&amp;"|ALL|"&amp;S4,V8_COHORT_TABLE,4,FALSE),IFERROR(VLOOKUP(P4&amp;"|ALL|ALL|"&amp;S4,V8_COHORT_TABLE,4,FALSE),IFERROR(VLOOKUP(P4&amp;"|ALL|ALL|ALL",V8_COHORT_TABLE,4,FALSE),VLOOKUP("GLOBAL",V8_COHORT_TABLE,4,FALSE)))))</f>
        <v/>
      </c>
      <c r="Z4" s="15">
        <f>IFERROR(VLOOKUP(T4,V8_COHORT_TABLE,5,FALSE),IFERROR(VLOOKUP(P4&amp;"|"&amp;Q4&amp;"|ALL|"&amp;S4,V8_COHORT_TABLE,5,FALSE),IFERROR(VLOOKUP(P4&amp;"|ALL|ALL|"&amp;S4,V8_COHORT_TABLE,5,FALSE),IFERROR(VLOOKUP(P4&amp;"|ALL|ALL|ALL",V8_COHORT_TABLE,5,FALSE),VLOOKUP("GLOBAL",V8_COHORT_TABLE,5,FALSE)))))</f>
        <v/>
      </c>
      <c r="AA4" s="15">
        <f>W4+X4/(1+EXP(-(V4-Y4)/Z4))</f>
        <v/>
      </c>
      <c r="AB4" s="15">
        <f>IFERROR(VLOOKUP(T4,V8_COHORT_TABLE,6,FALSE),IFERROR(VLOOKUP(P4&amp;"|"&amp;Q4&amp;"|ALL|"&amp;S4,V8_COHORT_TABLE,6,FALSE),IFERROR(VLOOKUP(P4&amp;"|ALL|ALL|"&amp;S4,V8_COHORT_TABLE,6,FALSE),IFERROR(VLOOKUP(P4&amp;"|ALL|ALL|ALL",V8_COHORT_TABLE,6,FALSE),VLOOKUP("GLOBAL",V8_COHORT_TABLE,6,FALSE)))))</f>
        <v/>
      </c>
      <c r="AC4" s="15">
        <f>IFERROR(VLOOKUP(T4,V8_COHORT_TABLE,7,FALSE),IFERROR(VLOOKUP(P4&amp;"|"&amp;Q4&amp;"|ALL|"&amp;S4,V8_COHORT_TABLE,7,FALSE),IFERROR(VLOOKUP(P4&amp;"|ALL|ALL|"&amp;S4,V8_COHORT_TABLE,7,FALSE),IFERROR(VLOOKUP(P4&amp;"|ALL|ALL|ALL",V8_COHORT_TABLE,7,FALSE),VLOOKUP("GLOBAL",V8_COHORT_TABLE,7,FALSE)))))</f>
        <v/>
      </c>
      <c r="AD4" s="15">
        <f>IFERROR(VLOOKUP(T4,V8_COHORT_TABLE,8,FALSE),IFERROR(VLOOKUP(P4&amp;"|"&amp;Q4&amp;"|ALL|"&amp;S4,V8_COHORT_TABLE,8,FALSE),IFERROR(VLOOKUP(P4&amp;"|ALL|ALL|"&amp;S4,V8_COHORT_TABLE,8,FALSE),IFERROR(VLOOKUP(P4&amp;"|ALL|ALL|ALL",V8_COHORT_TABLE,8,FALSE),VLOOKUP("GLOBAL",V8_COHORT_TABLE,8,FALSE)))))</f>
        <v/>
      </c>
      <c r="AE4" s="15">
        <f>IFERROR(VLOOKUP(T4,V8_COHORT_TABLE,9,FALSE),IFERROR(VLOOKUP(P4&amp;"|"&amp;Q4&amp;"|ALL|"&amp;S4,V8_COHORT_TABLE,9,FALSE),IFERROR(VLOOKUP(P4&amp;"|ALL|ALL|"&amp;S4,V8_COHORT_TABLE,9,FALSE),IFERROR(VLOOKUP(P4&amp;"|ALL|ALL|ALL",V8_COHORT_TABLE,9,FALSE),VLOOKUP("GLOBAL",V8_COHORT_TABLE,9,FALSE)))))</f>
        <v/>
      </c>
      <c r="AF4" s="8">
        <f>IF(K4&lt;=0,AB4,IF(K4&gt;=240,AE4,IF(K4&lt;=24,AB4+(K4-0)/24*(AC4-AB4),IF(K4&lt;=96,AC4+(K4-24)/72*(AD4-AC4),AD4+(K4-96)/144*(AE4-AD4)))))</f>
        <v/>
      </c>
      <c r="AG4" s="8">
        <f>IF(IF(OR(L4="",NOT(ISNUMBER(L4))),360,MAX(0,MIN(480,(INT(L4/100)-INT(VALUE(F4)/100))*12+MOD(L4,100)-MOD(VALUE(F4),100))))&gt;0,1+V8_MTY_AMP*MAX(0,(V8_MTY_CUTOFF-(IF(OR(L4="",NOT(ISNUMBER(L4))),360,MAX(0,MIN(480,(INT(L4/100)-INT(VALUE(F4)/100))*12+MOD(L4,100)-MOD(VALUE(F4),100))))))/V8_MTY_CUTOFF),1)</f>
        <v/>
      </c>
      <c r="AH4" s="8">
        <f>IF(AND(IF(OR(M4="",NOT(ISNUMBER(M4))),0,MAX(0,MIN(24,(INT(VALUE(F4)/100)-INT(M4/100))*12+MOD(VALUE(F4),100)-MOD(M4,100))))&gt;0,IF(OR(M4="",NOT(ISNUMBER(M4))),0,MAX(0,MIN(24,(INT(VALUE(F4)/100)-INT(M4/100))*12+MOD(VALUE(F4),100)-MOD(M4,100))))&lt;=12),1+V8_LOCKOUT_AMP*EXP(-(IF(OR(M4="",NOT(ISNUMBER(M4))),0,MAX(0,MIN(24,(INT(VALUE(F4)/100)-INT(M4/100))*12+MOD(VALUE(F4),100)-MOD(M4,100)))))/V8_LOCKOUT_TAU),1)</f>
        <v/>
      </c>
      <c r="AI4" s="8">
        <f>MAX(V8_BURN_FLOOR,1-V8_BURN_SLOPE*MIN(1,MAX(0,O4)))</f>
        <v/>
      </c>
      <c r="AJ4" s="15">
        <f>MIN(AA4*AF4*AG4*AH4*AI4,0.2)</f>
        <v/>
      </c>
      <c r="AK4" s="16">
        <f>1-(1-AJ4)^12</f>
        <v/>
      </c>
    </row>
    <row r="5">
      <c r="A5" s="2" t="inlineStr">
        <is>
          <t>000002311435</t>
        </is>
      </c>
      <c r="B5" t="inlineStr">
        <is>
          <t>223f</t>
        </is>
      </c>
      <c r="C5" t="inlineStr">
        <is>
          <t>RP</t>
        </is>
      </c>
      <c r="D5" t="inlineStr">
        <is>
          <t>LUMENT REAL ESTATE CAPITAL,LLC</t>
        </is>
      </c>
      <c r="E5" t="n">
        <v>2017</v>
      </c>
      <c r="F5" t="inlineStr">
        <is>
          <t>202602</t>
        </is>
      </c>
      <c r="G5" s="9" t="n">
        <v>13751711.14</v>
      </c>
      <c r="H5" s="13" t="n">
        <v>3.15</v>
      </c>
      <c r="I5" s="14" t="n">
        <v>447</v>
      </c>
      <c r="J5" s="14" t="n">
        <v>5</v>
      </c>
      <c r="K5" t="n">
        <v>106</v>
      </c>
      <c r="L5" t="n">
        <v>205205</v>
      </c>
      <c r="M5" t="inlineStr"/>
      <c r="N5" t="n">
        <v>9</v>
      </c>
      <c r="O5" s="8" t="n">
        <v>0.08490566037735849</v>
      </c>
      <c r="P5">
        <f>IF(ISNUMBER(SEARCH("232",B5)),"232",IF(ISNUMBER(SEARCH("538",B5)),"538",IF(ISNUMBER(SEARCH("223a7",B5)),"223a7",IF(ISNUMBER(SEARCH("223f",B5)),"223f","OTHER"))))</f>
        <v/>
      </c>
      <c r="Q5">
        <f>IF(UPPER(C5)="NC","NC","RP")</f>
        <v/>
      </c>
      <c r="R5">
        <f>IF(G5&lt;5000000,"small",IF(G5&lt;25000000,"medium","large"))</f>
        <v/>
      </c>
      <c r="S5">
        <f>IF(K5&lt;36,"young",IF(K5&lt;120,"seasoned","aged"))</f>
        <v/>
      </c>
      <c r="T5">
        <f>P5&amp;"|"&amp;Q5&amp;"|"&amp;R5&amp;"|"&amp;S5</f>
        <v/>
      </c>
      <c r="U5" s="14">
        <f>H5*100-I5</f>
        <v/>
      </c>
      <c r="V5" s="14">
        <f>U5-12.5*(J5+1)</f>
        <v/>
      </c>
      <c r="W5" s="15">
        <f>IFERROR(VLOOKUP(T5,V8_COHORT_TABLE,2,FALSE),IFERROR(VLOOKUP(P5&amp;"|"&amp;Q5&amp;"|ALL|"&amp;S5,V8_COHORT_TABLE,2,FALSE),IFERROR(VLOOKUP(P5&amp;"|ALL|ALL|"&amp;S5,V8_COHORT_TABLE,2,FALSE),IFERROR(VLOOKUP(P5&amp;"|ALL|ALL|ALL",V8_COHORT_TABLE,2,FALSE),VLOOKUP("GLOBAL",V8_COHORT_TABLE,2,FALSE)))))</f>
        <v/>
      </c>
      <c r="X5" s="15">
        <f>IFERROR(VLOOKUP(T5,V8_COHORT_TABLE,3,FALSE),IFERROR(VLOOKUP(P5&amp;"|"&amp;Q5&amp;"|ALL|"&amp;S5,V8_COHORT_TABLE,3,FALSE),IFERROR(VLOOKUP(P5&amp;"|ALL|ALL|"&amp;S5,V8_COHORT_TABLE,3,FALSE),IFERROR(VLOOKUP(P5&amp;"|ALL|ALL|ALL",V8_COHORT_TABLE,3,FALSE),VLOOKUP("GLOBAL",V8_COHORT_TABLE,3,FALSE)))))</f>
        <v/>
      </c>
      <c r="Y5" s="15">
        <f>IFERROR(VLOOKUP(T5,V8_COHORT_TABLE,4,FALSE),IFERROR(VLOOKUP(P5&amp;"|"&amp;Q5&amp;"|ALL|"&amp;S5,V8_COHORT_TABLE,4,FALSE),IFERROR(VLOOKUP(P5&amp;"|ALL|ALL|"&amp;S5,V8_COHORT_TABLE,4,FALSE),IFERROR(VLOOKUP(P5&amp;"|ALL|ALL|ALL",V8_COHORT_TABLE,4,FALSE),VLOOKUP("GLOBAL",V8_COHORT_TABLE,4,FALSE)))))</f>
        <v/>
      </c>
      <c r="Z5" s="15">
        <f>IFERROR(VLOOKUP(T5,V8_COHORT_TABLE,5,FALSE),IFERROR(VLOOKUP(P5&amp;"|"&amp;Q5&amp;"|ALL|"&amp;S5,V8_COHORT_TABLE,5,FALSE),IFERROR(VLOOKUP(P5&amp;"|ALL|ALL|"&amp;S5,V8_COHORT_TABLE,5,FALSE),IFERROR(VLOOKUP(P5&amp;"|ALL|ALL|ALL",V8_COHORT_TABLE,5,FALSE),VLOOKUP("GLOBAL",V8_COHORT_TABLE,5,FALSE)))))</f>
        <v/>
      </c>
      <c r="AA5" s="15">
        <f>W5+X5/(1+EXP(-(V5-Y5)/Z5))</f>
        <v/>
      </c>
      <c r="AB5" s="15">
        <f>IFERROR(VLOOKUP(T5,V8_COHORT_TABLE,6,FALSE),IFERROR(VLOOKUP(P5&amp;"|"&amp;Q5&amp;"|ALL|"&amp;S5,V8_COHORT_TABLE,6,FALSE),IFERROR(VLOOKUP(P5&amp;"|ALL|ALL|"&amp;S5,V8_COHORT_TABLE,6,FALSE),IFERROR(VLOOKUP(P5&amp;"|ALL|ALL|ALL",V8_COHORT_TABLE,6,FALSE),VLOOKUP("GLOBAL",V8_COHORT_TABLE,6,FALSE)))))</f>
        <v/>
      </c>
      <c r="AC5" s="15">
        <f>IFERROR(VLOOKUP(T5,V8_COHORT_TABLE,7,FALSE),IFERROR(VLOOKUP(P5&amp;"|"&amp;Q5&amp;"|ALL|"&amp;S5,V8_COHORT_TABLE,7,FALSE),IFERROR(VLOOKUP(P5&amp;"|ALL|ALL|"&amp;S5,V8_COHORT_TABLE,7,FALSE),IFERROR(VLOOKUP(P5&amp;"|ALL|ALL|ALL",V8_COHORT_TABLE,7,FALSE),VLOOKUP("GLOBAL",V8_COHORT_TABLE,7,FALSE)))))</f>
        <v/>
      </c>
      <c r="AD5" s="15">
        <f>IFERROR(VLOOKUP(T5,V8_COHORT_TABLE,8,FALSE),IFERROR(VLOOKUP(P5&amp;"|"&amp;Q5&amp;"|ALL|"&amp;S5,V8_COHORT_TABLE,8,FALSE),IFERROR(VLOOKUP(P5&amp;"|ALL|ALL|"&amp;S5,V8_COHORT_TABLE,8,FALSE),IFERROR(VLOOKUP(P5&amp;"|ALL|ALL|ALL",V8_COHORT_TABLE,8,FALSE),VLOOKUP("GLOBAL",V8_COHORT_TABLE,8,FALSE)))))</f>
        <v/>
      </c>
      <c r="AE5" s="15">
        <f>IFERROR(VLOOKUP(T5,V8_COHORT_TABLE,9,FALSE),IFERROR(VLOOKUP(P5&amp;"|"&amp;Q5&amp;"|ALL|"&amp;S5,V8_COHORT_TABLE,9,FALSE),IFERROR(VLOOKUP(P5&amp;"|ALL|ALL|"&amp;S5,V8_COHORT_TABLE,9,FALSE),IFERROR(VLOOKUP(P5&amp;"|ALL|ALL|ALL",V8_COHORT_TABLE,9,FALSE),VLOOKUP("GLOBAL",V8_COHORT_TABLE,9,FALSE)))))</f>
        <v/>
      </c>
      <c r="AF5" s="8">
        <f>IF(K5&lt;=0,AB5,IF(K5&gt;=240,AE5,IF(K5&lt;=24,AB5+(K5-0)/24*(AC5-AB5),IF(K5&lt;=96,AC5+(K5-24)/72*(AD5-AC5),AD5+(K5-96)/144*(AE5-AD5)))))</f>
        <v/>
      </c>
      <c r="AG5" s="8">
        <f>IF(IF(OR(L5="",NOT(ISNUMBER(L5))),360,MAX(0,MIN(480,(INT(L5/100)-INT(VALUE(F5)/100))*12+MOD(L5,100)-MOD(VALUE(F5),100))))&gt;0,1+V8_MTY_AMP*MAX(0,(V8_MTY_CUTOFF-(IF(OR(L5="",NOT(ISNUMBER(L5))),360,MAX(0,MIN(480,(INT(L5/100)-INT(VALUE(F5)/100))*12+MOD(L5,100)-MOD(VALUE(F5),100))))))/V8_MTY_CUTOFF),1)</f>
        <v/>
      </c>
      <c r="AH5" s="8">
        <f>IF(AND(IF(OR(M5="",NOT(ISNUMBER(M5))),0,MAX(0,MIN(24,(INT(VALUE(F5)/100)-INT(M5/100))*12+MOD(VALUE(F5),100)-MOD(M5,100))))&gt;0,IF(OR(M5="",NOT(ISNUMBER(M5))),0,MAX(0,MIN(24,(INT(VALUE(F5)/100)-INT(M5/100))*12+MOD(VALUE(F5),100)-MOD(M5,100))))&lt;=12),1+V8_LOCKOUT_AMP*EXP(-(IF(OR(M5="",NOT(ISNUMBER(M5))),0,MAX(0,MIN(24,(INT(VALUE(F5)/100)-INT(M5/100))*12+MOD(VALUE(F5),100)-MOD(M5,100)))))/V8_LOCKOUT_TAU),1)</f>
        <v/>
      </c>
      <c r="AI5" s="8">
        <f>MAX(V8_BURN_FLOOR,1-V8_BURN_SLOPE*MIN(1,MAX(0,O5)))</f>
        <v/>
      </c>
      <c r="AJ5" s="15">
        <f>MIN(AA5*AF5*AG5*AH5*AI5,0.2)</f>
        <v/>
      </c>
      <c r="AK5" s="16">
        <f>1-(1-AJ5)^12</f>
        <v/>
      </c>
    </row>
    <row r="6">
      <c r="A6" s="2" t="inlineStr">
        <is>
          <t>000007122391</t>
        </is>
      </c>
      <c r="B6" t="inlineStr">
        <is>
          <t>232</t>
        </is>
      </c>
      <c r="C6" t="inlineStr">
        <is>
          <t>RP</t>
        </is>
      </c>
      <c r="D6" t="inlineStr">
        <is>
          <t>LUMENT REAL ESTATE CAPITAL,LLC</t>
        </is>
      </c>
      <c r="E6" t="n">
        <v>2018</v>
      </c>
      <c r="F6" t="inlineStr">
        <is>
          <t>202602</t>
        </is>
      </c>
      <c r="G6" s="9" t="n">
        <v>9767084.699999999</v>
      </c>
      <c r="H6" s="13" t="n">
        <v>3.58</v>
      </c>
      <c r="I6" s="14" t="n">
        <v>447</v>
      </c>
      <c r="J6" s="14" t="n">
        <v>4</v>
      </c>
      <c r="K6" t="n">
        <v>95</v>
      </c>
      <c r="L6" t="n">
        <v>205304</v>
      </c>
      <c r="M6" t="inlineStr"/>
      <c r="N6" t="n">
        <v>27</v>
      </c>
      <c r="O6" s="8" t="n">
        <v>0.2842105263157895</v>
      </c>
      <c r="P6">
        <f>IF(ISNUMBER(SEARCH("232",B6)),"232",IF(ISNUMBER(SEARCH("538",B6)),"538",IF(ISNUMBER(SEARCH("223a7",B6)),"223a7",IF(ISNUMBER(SEARCH("223f",B6)),"223f","OTHER"))))</f>
        <v/>
      </c>
      <c r="Q6">
        <f>IF(UPPER(C6)="NC","NC","RP")</f>
        <v/>
      </c>
      <c r="R6">
        <f>IF(G6&lt;5000000,"small",IF(G6&lt;25000000,"medium","large"))</f>
        <v/>
      </c>
      <c r="S6">
        <f>IF(K6&lt;36,"young",IF(K6&lt;120,"seasoned","aged"))</f>
        <v/>
      </c>
      <c r="T6">
        <f>P6&amp;"|"&amp;Q6&amp;"|"&amp;R6&amp;"|"&amp;S6</f>
        <v/>
      </c>
      <c r="U6" s="14">
        <f>H6*100-I6</f>
        <v/>
      </c>
      <c r="V6" s="14">
        <f>U6-12.5*(J6+1)</f>
        <v/>
      </c>
      <c r="W6" s="15">
        <f>IFERROR(VLOOKUP(T6,V8_COHORT_TABLE,2,FALSE),IFERROR(VLOOKUP(P6&amp;"|"&amp;Q6&amp;"|ALL|"&amp;S6,V8_COHORT_TABLE,2,FALSE),IFERROR(VLOOKUP(P6&amp;"|ALL|ALL|"&amp;S6,V8_COHORT_TABLE,2,FALSE),IFERROR(VLOOKUP(P6&amp;"|ALL|ALL|ALL",V8_COHORT_TABLE,2,FALSE),VLOOKUP("GLOBAL",V8_COHORT_TABLE,2,FALSE)))))</f>
        <v/>
      </c>
      <c r="X6" s="15">
        <f>IFERROR(VLOOKUP(T6,V8_COHORT_TABLE,3,FALSE),IFERROR(VLOOKUP(P6&amp;"|"&amp;Q6&amp;"|ALL|"&amp;S6,V8_COHORT_TABLE,3,FALSE),IFERROR(VLOOKUP(P6&amp;"|ALL|ALL|"&amp;S6,V8_COHORT_TABLE,3,FALSE),IFERROR(VLOOKUP(P6&amp;"|ALL|ALL|ALL",V8_COHORT_TABLE,3,FALSE),VLOOKUP("GLOBAL",V8_COHORT_TABLE,3,FALSE)))))</f>
        <v/>
      </c>
      <c r="Y6" s="15">
        <f>IFERROR(VLOOKUP(T6,V8_COHORT_TABLE,4,FALSE),IFERROR(VLOOKUP(P6&amp;"|"&amp;Q6&amp;"|ALL|"&amp;S6,V8_COHORT_TABLE,4,FALSE),IFERROR(VLOOKUP(P6&amp;"|ALL|ALL|"&amp;S6,V8_COHORT_TABLE,4,FALSE),IFERROR(VLOOKUP(P6&amp;"|ALL|ALL|ALL",V8_COHORT_TABLE,4,FALSE),VLOOKUP("GLOBAL",V8_COHORT_TABLE,4,FALSE)))))</f>
        <v/>
      </c>
      <c r="Z6" s="15">
        <f>IFERROR(VLOOKUP(T6,V8_COHORT_TABLE,5,FALSE),IFERROR(VLOOKUP(P6&amp;"|"&amp;Q6&amp;"|ALL|"&amp;S6,V8_COHORT_TABLE,5,FALSE),IFERROR(VLOOKUP(P6&amp;"|ALL|ALL|"&amp;S6,V8_COHORT_TABLE,5,FALSE),IFERROR(VLOOKUP(P6&amp;"|ALL|ALL|ALL",V8_COHORT_TABLE,5,FALSE),VLOOKUP("GLOBAL",V8_COHORT_TABLE,5,FALSE)))))</f>
        <v/>
      </c>
      <c r="AA6" s="15">
        <f>W6+X6/(1+EXP(-(V6-Y6)/Z6))</f>
        <v/>
      </c>
      <c r="AB6" s="15">
        <f>IFERROR(VLOOKUP(T6,V8_COHORT_TABLE,6,FALSE),IFERROR(VLOOKUP(P6&amp;"|"&amp;Q6&amp;"|ALL|"&amp;S6,V8_COHORT_TABLE,6,FALSE),IFERROR(VLOOKUP(P6&amp;"|ALL|ALL|"&amp;S6,V8_COHORT_TABLE,6,FALSE),IFERROR(VLOOKUP(P6&amp;"|ALL|ALL|ALL",V8_COHORT_TABLE,6,FALSE),VLOOKUP("GLOBAL",V8_COHORT_TABLE,6,FALSE)))))</f>
        <v/>
      </c>
      <c r="AC6" s="15">
        <f>IFERROR(VLOOKUP(T6,V8_COHORT_TABLE,7,FALSE),IFERROR(VLOOKUP(P6&amp;"|"&amp;Q6&amp;"|ALL|"&amp;S6,V8_COHORT_TABLE,7,FALSE),IFERROR(VLOOKUP(P6&amp;"|ALL|ALL|"&amp;S6,V8_COHORT_TABLE,7,FALSE),IFERROR(VLOOKUP(P6&amp;"|ALL|ALL|ALL",V8_COHORT_TABLE,7,FALSE),VLOOKUP("GLOBAL",V8_COHORT_TABLE,7,FALSE)))))</f>
        <v/>
      </c>
      <c r="AD6" s="15">
        <f>IFERROR(VLOOKUP(T6,V8_COHORT_TABLE,8,FALSE),IFERROR(VLOOKUP(P6&amp;"|"&amp;Q6&amp;"|ALL|"&amp;S6,V8_COHORT_TABLE,8,FALSE),IFERROR(VLOOKUP(P6&amp;"|ALL|ALL|"&amp;S6,V8_COHORT_TABLE,8,FALSE),IFERROR(VLOOKUP(P6&amp;"|ALL|ALL|ALL",V8_COHORT_TABLE,8,FALSE),VLOOKUP("GLOBAL",V8_COHORT_TABLE,8,FALSE)))))</f>
        <v/>
      </c>
      <c r="AE6" s="15">
        <f>IFERROR(VLOOKUP(T6,V8_COHORT_TABLE,9,FALSE),IFERROR(VLOOKUP(P6&amp;"|"&amp;Q6&amp;"|ALL|"&amp;S6,V8_COHORT_TABLE,9,FALSE),IFERROR(VLOOKUP(P6&amp;"|ALL|ALL|"&amp;S6,V8_COHORT_TABLE,9,FALSE),IFERROR(VLOOKUP(P6&amp;"|ALL|ALL|ALL",V8_COHORT_TABLE,9,FALSE),VLOOKUP("GLOBAL",V8_COHORT_TABLE,9,FALSE)))))</f>
        <v/>
      </c>
      <c r="AF6" s="8">
        <f>IF(K6&lt;=0,AB6,IF(K6&gt;=240,AE6,IF(K6&lt;=24,AB6+(K6-0)/24*(AC6-AB6),IF(K6&lt;=96,AC6+(K6-24)/72*(AD6-AC6),AD6+(K6-96)/144*(AE6-AD6)))))</f>
        <v/>
      </c>
      <c r="AG6" s="8">
        <f>IF(IF(OR(L6="",NOT(ISNUMBER(L6))),360,MAX(0,MIN(480,(INT(L6/100)-INT(VALUE(F6)/100))*12+MOD(L6,100)-MOD(VALUE(F6),100))))&gt;0,1+V8_MTY_AMP*MAX(0,(V8_MTY_CUTOFF-(IF(OR(L6="",NOT(ISNUMBER(L6))),360,MAX(0,MIN(480,(INT(L6/100)-INT(VALUE(F6)/100))*12+MOD(L6,100)-MOD(VALUE(F6),100))))))/V8_MTY_CUTOFF),1)</f>
        <v/>
      </c>
      <c r="AH6" s="8">
        <f>IF(AND(IF(OR(M6="",NOT(ISNUMBER(M6))),0,MAX(0,MIN(24,(INT(VALUE(F6)/100)-INT(M6/100))*12+MOD(VALUE(F6),100)-MOD(M6,100))))&gt;0,IF(OR(M6="",NOT(ISNUMBER(M6))),0,MAX(0,MIN(24,(INT(VALUE(F6)/100)-INT(M6/100))*12+MOD(VALUE(F6),100)-MOD(M6,100))))&lt;=12),1+V8_LOCKOUT_AMP*EXP(-(IF(OR(M6="",NOT(ISNUMBER(M6))),0,MAX(0,MIN(24,(INT(VALUE(F6)/100)-INT(M6/100))*12+MOD(VALUE(F6),100)-MOD(M6,100)))))/V8_LOCKOUT_TAU),1)</f>
        <v/>
      </c>
      <c r="AI6" s="8">
        <f>MAX(V8_BURN_FLOOR,1-V8_BURN_SLOPE*MIN(1,MAX(0,O6)))</f>
        <v/>
      </c>
      <c r="AJ6" s="15">
        <f>MIN(AA6*AF6*AG6*AH6*AI6,0.2)</f>
        <v/>
      </c>
      <c r="AK6" s="16">
        <f>1-(1-AJ6)^12</f>
        <v/>
      </c>
    </row>
    <row r="7">
      <c r="A7" s="2" t="inlineStr">
        <is>
          <t>000003422052</t>
        </is>
      </c>
      <c r="B7" t="inlineStr">
        <is>
          <t>232</t>
        </is>
      </c>
      <c r="C7" t="inlineStr">
        <is>
          <t>RP</t>
        </is>
      </c>
      <c r="D7" t="inlineStr">
        <is>
          <t>LUMENT REAL ESTATE CAPITAL,LLC</t>
        </is>
      </c>
      <c r="E7" t="n">
        <v>2011</v>
      </c>
      <c r="F7" t="inlineStr">
        <is>
          <t>202602</t>
        </is>
      </c>
      <c r="G7" s="9" t="n">
        <v>5069016.55</v>
      </c>
      <c r="H7" s="13" t="n">
        <v>3.05</v>
      </c>
      <c r="I7" s="14" t="n">
        <v>447</v>
      </c>
      <c r="J7" s="14" t="n">
        <v>6</v>
      </c>
      <c r="K7" t="n">
        <v>176</v>
      </c>
      <c r="L7" t="n">
        <v>204607</v>
      </c>
      <c r="M7" t="inlineStr"/>
      <c r="N7" t="n">
        <v>0</v>
      </c>
      <c r="O7" s="8" t="n">
        <v>0</v>
      </c>
      <c r="P7">
        <f>IF(ISNUMBER(SEARCH("232",B7)),"232",IF(ISNUMBER(SEARCH("538",B7)),"538",IF(ISNUMBER(SEARCH("223a7",B7)),"223a7",IF(ISNUMBER(SEARCH("223f",B7)),"223f","OTHER"))))</f>
        <v/>
      </c>
      <c r="Q7">
        <f>IF(UPPER(C7)="NC","NC","RP")</f>
        <v/>
      </c>
      <c r="R7">
        <f>IF(G7&lt;5000000,"small",IF(G7&lt;25000000,"medium","large"))</f>
        <v/>
      </c>
      <c r="S7">
        <f>IF(K7&lt;36,"young",IF(K7&lt;120,"seasoned","aged"))</f>
        <v/>
      </c>
      <c r="T7">
        <f>P7&amp;"|"&amp;Q7&amp;"|"&amp;R7&amp;"|"&amp;S7</f>
        <v/>
      </c>
      <c r="U7" s="14">
        <f>H7*100-I7</f>
        <v/>
      </c>
      <c r="V7" s="14">
        <f>U7-12.5*(J7+1)</f>
        <v/>
      </c>
      <c r="W7" s="15">
        <f>IFERROR(VLOOKUP(T7,V8_COHORT_TABLE,2,FALSE),IFERROR(VLOOKUP(P7&amp;"|"&amp;Q7&amp;"|ALL|"&amp;S7,V8_COHORT_TABLE,2,FALSE),IFERROR(VLOOKUP(P7&amp;"|ALL|ALL|"&amp;S7,V8_COHORT_TABLE,2,FALSE),IFERROR(VLOOKUP(P7&amp;"|ALL|ALL|ALL",V8_COHORT_TABLE,2,FALSE),VLOOKUP("GLOBAL",V8_COHORT_TABLE,2,FALSE)))))</f>
        <v/>
      </c>
      <c r="X7" s="15">
        <f>IFERROR(VLOOKUP(T7,V8_COHORT_TABLE,3,FALSE),IFERROR(VLOOKUP(P7&amp;"|"&amp;Q7&amp;"|ALL|"&amp;S7,V8_COHORT_TABLE,3,FALSE),IFERROR(VLOOKUP(P7&amp;"|ALL|ALL|"&amp;S7,V8_COHORT_TABLE,3,FALSE),IFERROR(VLOOKUP(P7&amp;"|ALL|ALL|ALL",V8_COHORT_TABLE,3,FALSE),VLOOKUP("GLOBAL",V8_COHORT_TABLE,3,FALSE)))))</f>
        <v/>
      </c>
      <c r="Y7" s="15">
        <f>IFERROR(VLOOKUP(T7,V8_COHORT_TABLE,4,FALSE),IFERROR(VLOOKUP(P7&amp;"|"&amp;Q7&amp;"|ALL|"&amp;S7,V8_COHORT_TABLE,4,FALSE),IFERROR(VLOOKUP(P7&amp;"|ALL|ALL|"&amp;S7,V8_COHORT_TABLE,4,FALSE),IFERROR(VLOOKUP(P7&amp;"|ALL|ALL|ALL",V8_COHORT_TABLE,4,FALSE),VLOOKUP("GLOBAL",V8_COHORT_TABLE,4,FALSE)))))</f>
        <v/>
      </c>
      <c r="Z7" s="15">
        <f>IFERROR(VLOOKUP(T7,V8_COHORT_TABLE,5,FALSE),IFERROR(VLOOKUP(P7&amp;"|"&amp;Q7&amp;"|ALL|"&amp;S7,V8_COHORT_TABLE,5,FALSE),IFERROR(VLOOKUP(P7&amp;"|ALL|ALL|"&amp;S7,V8_COHORT_TABLE,5,FALSE),IFERROR(VLOOKUP(P7&amp;"|ALL|ALL|ALL",V8_COHORT_TABLE,5,FALSE),VLOOKUP("GLOBAL",V8_COHORT_TABLE,5,FALSE)))))</f>
        <v/>
      </c>
      <c r="AA7" s="15">
        <f>W7+X7/(1+EXP(-(V7-Y7)/Z7))</f>
        <v/>
      </c>
      <c r="AB7" s="15">
        <f>IFERROR(VLOOKUP(T7,V8_COHORT_TABLE,6,FALSE),IFERROR(VLOOKUP(P7&amp;"|"&amp;Q7&amp;"|ALL|"&amp;S7,V8_COHORT_TABLE,6,FALSE),IFERROR(VLOOKUP(P7&amp;"|ALL|ALL|"&amp;S7,V8_COHORT_TABLE,6,FALSE),IFERROR(VLOOKUP(P7&amp;"|ALL|ALL|ALL",V8_COHORT_TABLE,6,FALSE),VLOOKUP("GLOBAL",V8_COHORT_TABLE,6,FALSE)))))</f>
        <v/>
      </c>
      <c r="AC7" s="15">
        <f>IFERROR(VLOOKUP(T7,V8_COHORT_TABLE,7,FALSE),IFERROR(VLOOKUP(P7&amp;"|"&amp;Q7&amp;"|ALL|"&amp;S7,V8_COHORT_TABLE,7,FALSE),IFERROR(VLOOKUP(P7&amp;"|ALL|ALL|"&amp;S7,V8_COHORT_TABLE,7,FALSE),IFERROR(VLOOKUP(P7&amp;"|ALL|ALL|ALL",V8_COHORT_TABLE,7,FALSE),VLOOKUP("GLOBAL",V8_COHORT_TABLE,7,FALSE)))))</f>
        <v/>
      </c>
      <c r="AD7" s="15">
        <f>IFERROR(VLOOKUP(T7,V8_COHORT_TABLE,8,FALSE),IFERROR(VLOOKUP(P7&amp;"|"&amp;Q7&amp;"|ALL|"&amp;S7,V8_COHORT_TABLE,8,FALSE),IFERROR(VLOOKUP(P7&amp;"|ALL|ALL|"&amp;S7,V8_COHORT_TABLE,8,FALSE),IFERROR(VLOOKUP(P7&amp;"|ALL|ALL|ALL",V8_COHORT_TABLE,8,FALSE),VLOOKUP("GLOBAL",V8_COHORT_TABLE,8,FALSE)))))</f>
        <v/>
      </c>
      <c r="AE7" s="15">
        <f>IFERROR(VLOOKUP(T7,V8_COHORT_TABLE,9,FALSE),IFERROR(VLOOKUP(P7&amp;"|"&amp;Q7&amp;"|ALL|"&amp;S7,V8_COHORT_TABLE,9,FALSE),IFERROR(VLOOKUP(P7&amp;"|ALL|ALL|"&amp;S7,V8_COHORT_TABLE,9,FALSE),IFERROR(VLOOKUP(P7&amp;"|ALL|ALL|ALL",V8_COHORT_TABLE,9,FALSE),VLOOKUP("GLOBAL",V8_COHORT_TABLE,9,FALSE)))))</f>
        <v/>
      </c>
      <c r="AF7" s="8">
        <f>IF(K7&lt;=0,AB7,IF(K7&gt;=240,AE7,IF(K7&lt;=24,AB7+(K7-0)/24*(AC7-AB7),IF(K7&lt;=96,AC7+(K7-24)/72*(AD7-AC7),AD7+(K7-96)/144*(AE7-AD7)))))</f>
        <v/>
      </c>
      <c r="AG7" s="8">
        <f>IF(IF(OR(L7="",NOT(ISNUMBER(L7))),360,MAX(0,MIN(480,(INT(L7/100)-INT(VALUE(F7)/100))*12+MOD(L7,100)-MOD(VALUE(F7),100))))&gt;0,1+V8_MTY_AMP*MAX(0,(V8_MTY_CUTOFF-(IF(OR(L7="",NOT(ISNUMBER(L7))),360,MAX(0,MIN(480,(INT(L7/100)-INT(VALUE(F7)/100))*12+MOD(L7,100)-MOD(VALUE(F7),100))))))/V8_MTY_CUTOFF),1)</f>
        <v/>
      </c>
      <c r="AH7" s="8">
        <f>IF(AND(IF(OR(M7="",NOT(ISNUMBER(M7))),0,MAX(0,MIN(24,(INT(VALUE(F7)/100)-INT(M7/100))*12+MOD(VALUE(F7),100)-MOD(M7,100))))&gt;0,IF(OR(M7="",NOT(ISNUMBER(M7))),0,MAX(0,MIN(24,(INT(VALUE(F7)/100)-INT(M7/100))*12+MOD(VALUE(F7),100)-MOD(M7,100))))&lt;=12),1+V8_LOCKOUT_AMP*EXP(-(IF(OR(M7="",NOT(ISNUMBER(M7))),0,MAX(0,MIN(24,(INT(VALUE(F7)/100)-INT(M7/100))*12+MOD(VALUE(F7),100)-MOD(M7,100)))))/V8_LOCKOUT_TAU),1)</f>
        <v/>
      </c>
      <c r="AI7" s="8">
        <f>MAX(V8_BURN_FLOOR,1-V8_BURN_SLOPE*MIN(1,MAX(0,O7)))</f>
        <v/>
      </c>
      <c r="AJ7" s="15">
        <f>MIN(AA7*AF7*AG7*AH7*AI7,0.2)</f>
        <v/>
      </c>
      <c r="AK7" s="16">
        <f>1-(1-AJ7)^12</f>
        <v/>
      </c>
    </row>
    <row r="8">
      <c r="A8" s="2" t="inlineStr">
        <is>
          <t>000007343145</t>
        </is>
      </c>
      <c r="B8" t="inlineStr">
        <is>
          <t>232</t>
        </is>
      </c>
      <c r="C8" t="inlineStr">
        <is>
          <t>RP</t>
        </is>
      </c>
      <c r="D8" t="inlineStr">
        <is>
          <t>LUMENT REAL ESTATE CAPITAL,LLC</t>
        </is>
      </c>
      <c r="E8" t="n">
        <v>2013</v>
      </c>
      <c r="F8" t="inlineStr">
        <is>
          <t>202602</t>
        </is>
      </c>
      <c r="G8" s="9" t="n">
        <v>11587614.33</v>
      </c>
      <c r="H8" s="13" t="n">
        <v>3.42</v>
      </c>
      <c r="I8" s="14" t="n">
        <v>447</v>
      </c>
      <c r="J8" s="14" t="n">
        <v>6</v>
      </c>
      <c r="K8" t="n">
        <v>148</v>
      </c>
      <c r="L8" t="n">
        <v>205108</v>
      </c>
      <c r="M8" t="inlineStr"/>
      <c r="N8" t="n">
        <v>1</v>
      </c>
      <c r="O8" s="8" t="n">
        <v>0.006756756756756757</v>
      </c>
      <c r="P8">
        <f>IF(ISNUMBER(SEARCH("232",B8)),"232",IF(ISNUMBER(SEARCH("538",B8)),"538",IF(ISNUMBER(SEARCH("223a7",B8)),"223a7",IF(ISNUMBER(SEARCH("223f",B8)),"223f","OTHER"))))</f>
        <v/>
      </c>
      <c r="Q8">
        <f>IF(UPPER(C8)="NC","NC","RP")</f>
        <v/>
      </c>
      <c r="R8">
        <f>IF(G8&lt;5000000,"small",IF(G8&lt;25000000,"medium","large"))</f>
        <v/>
      </c>
      <c r="S8">
        <f>IF(K8&lt;36,"young",IF(K8&lt;120,"seasoned","aged"))</f>
        <v/>
      </c>
      <c r="T8">
        <f>P8&amp;"|"&amp;Q8&amp;"|"&amp;R8&amp;"|"&amp;S8</f>
        <v/>
      </c>
      <c r="U8" s="14">
        <f>H8*100-I8</f>
        <v/>
      </c>
      <c r="V8" s="14">
        <f>U8-12.5*(J8+1)</f>
        <v/>
      </c>
      <c r="W8" s="15">
        <f>IFERROR(VLOOKUP(T8,V8_COHORT_TABLE,2,FALSE),IFERROR(VLOOKUP(P8&amp;"|"&amp;Q8&amp;"|ALL|"&amp;S8,V8_COHORT_TABLE,2,FALSE),IFERROR(VLOOKUP(P8&amp;"|ALL|ALL|"&amp;S8,V8_COHORT_TABLE,2,FALSE),IFERROR(VLOOKUP(P8&amp;"|ALL|ALL|ALL",V8_COHORT_TABLE,2,FALSE),VLOOKUP("GLOBAL",V8_COHORT_TABLE,2,FALSE)))))</f>
        <v/>
      </c>
      <c r="X8" s="15">
        <f>IFERROR(VLOOKUP(T8,V8_COHORT_TABLE,3,FALSE),IFERROR(VLOOKUP(P8&amp;"|"&amp;Q8&amp;"|ALL|"&amp;S8,V8_COHORT_TABLE,3,FALSE),IFERROR(VLOOKUP(P8&amp;"|ALL|ALL|"&amp;S8,V8_COHORT_TABLE,3,FALSE),IFERROR(VLOOKUP(P8&amp;"|ALL|ALL|ALL",V8_COHORT_TABLE,3,FALSE),VLOOKUP("GLOBAL",V8_COHORT_TABLE,3,FALSE)))))</f>
        <v/>
      </c>
      <c r="Y8" s="15">
        <f>IFERROR(VLOOKUP(T8,V8_COHORT_TABLE,4,FALSE),IFERROR(VLOOKUP(P8&amp;"|"&amp;Q8&amp;"|ALL|"&amp;S8,V8_COHORT_TABLE,4,FALSE),IFERROR(VLOOKUP(P8&amp;"|ALL|ALL|"&amp;S8,V8_COHORT_TABLE,4,FALSE),IFERROR(VLOOKUP(P8&amp;"|ALL|ALL|ALL",V8_COHORT_TABLE,4,FALSE),VLOOKUP("GLOBAL",V8_COHORT_TABLE,4,FALSE)))))</f>
        <v/>
      </c>
      <c r="Z8" s="15">
        <f>IFERROR(VLOOKUP(T8,V8_COHORT_TABLE,5,FALSE),IFERROR(VLOOKUP(P8&amp;"|"&amp;Q8&amp;"|ALL|"&amp;S8,V8_COHORT_TABLE,5,FALSE),IFERROR(VLOOKUP(P8&amp;"|ALL|ALL|"&amp;S8,V8_COHORT_TABLE,5,FALSE),IFERROR(VLOOKUP(P8&amp;"|ALL|ALL|ALL",V8_COHORT_TABLE,5,FALSE),VLOOKUP("GLOBAL",V8_COHORT_TABLE,5,FALSE)))))</f>
        <v/>
      </c>
      <c r="AA8" s="15">
        <f>W8+X8/(1+EXP(-(V8-Y8)/Z8))</f>
        <v/>
      </c>
      <c r="AB8" s="15">
        <f>IFERROR(VLOOKUP(T8,V8_COHORT_TABLE,6,FALSE),IFERROR(VLOOKUP(P8&amp;"|"&amp;Q8&amp;"|ALL|"&amp;S8,V8_COHORT_TABLE,6,FALSE),IFERROR(VLOOKUP(P8&amp;"|ALL|ALL|"&amp;S8,V8_COHORT_TABLE,6,FALSE),IFERROR(VLOOKUP(P8&amp;"|ALL|ALL|ALL",V8_COHORT_TABLE,6,FALSE),VLOOKUP("GLOBAL",V8_COHORT_TABLE,6,FALSE)))))</f>
        <v/>
      </c>
      <c r="AC8" s="15">
        <f>IFERROR(VLOOKUP(T8,V8_COHORT_TABLE,7,FALSE),IFERROR(VLOOKUP(P8&amp;"|"&amp;Q8&amp;"|ALL|"&amp;S8,V8_COHORT_TABLE,7,FALSE),IFERROR(VLOOKUP(P8&amp;"|ALL|ALL|"&amp;S8,V8_COHORT_TABLE,7,FALSE),IFERROR(VLOOKUP(P8&amp;"|ALL|ALL|ALL",V8_COHORT_TABLE,7,FALSE),VLOOKUP("GLOBAL",V8_COHORT_TABLE,7,FALSE)))))</f>
        <v/>
      </c>
      <c r="AD8" s="15">
        <f>IFERROR(VLOOKUP(T8,V8_COHORT_TABLE,8,FALSE),IFERROR(VLOOKUP(P8&amp;"|"&amp;Q8&amp;"|ALL|"&amp;S8,V8_COHORT_TABLE,8,FALSE),IFERROR(VLOOKUP(P8&amp;"|ALL|ALL|"&amp;S8,V8_COHORT_TABLE,8,FALSE),IFERROR(VLOOKUP(P8&amp;"|ALL|ALL|ALL",V8_COHORT_TABLE,8,FALSE),VLOOKUP("GLOBAL",V8_COHORT_TABLE,8,FALSE)))))</f>
        <v/>
      </c>
      <c r="AE8" s="15">
        <f>IFERROR(VLOOKUP(T8,V8_COHORT_TABLE,9,FALSE),IFERROR(VLOOKUP(P8&amp;"|"&amp;Q8&amp;"|ALL|"&amp;S8,V8_COHORT_TABLE,9,FALSE),IFERROR(VLOOKUP(P8&amp;"|ALL|ALL|"&amp;S8,V8_COHORT_TABLE,9,FALSE),IFERROR(VLOOKUP(P8&amp;"|ALL|ALL|ALL",V8_COHORT_TABLE,9,FALSE),VLOOKUP("GLOBAL",V8_COHORT_TABLE,9,FALSE)))))</f>
        <v/>
      </c>
      <c r="AF8" s="8">
        <f>IF(K8&lt;=0,AB8,IF(K8&gt;=240,AE8,IF(K8&lt;=24,AB8+(K8-0)/24*(AC8-AB8),IF(K8&lt;=96,AC8+(K8-24)/72*(AD8-AC8),AD8+(K8-96)/144*(AE8-AD8)))))</f>
        <v/>
      </c>
      <c r="AG8" s="8">
        <f>IF(IF(OR(L8="",NOT(ISNUMBER(L8))),360,MAX(0,MIN(480,(INT(L8/100)-INT(VALUE(F8)/100))*12+MOD(L8,100)-MOD(VALUE(F8),100))))&gt;0,1+V8_MTY_AMP*MAX(0,(V8_MTY_CUTOFF-(IF(OR(L8="",NOT(ISNUMBER(L8))),360,MAX(0,MIN(480,(INT(L8/100)-INT(VALUE(F8)/100))*12+MOD(L8,100)-MOD(VALUE(F8),100))))))/V8_MTY_CUTOFF),1)</f>
        <v/>
      </c>
      <c r="AH8" s="8">
        <f>IF(AND(IF(OR(M8="",NOT(ISNUMBER(M8))),0,MAX(0,MIN(24,(INT(VALUE(F8)/100)-INT(M8/100))*12+MOD(VALUE(F8),100)-MOD(M8,100))))&gt;0,IF(OR(M8="",NOT(ISNUMBER(M8))),0,MAX(0,MIN(24,(INT(VALUE(F8)/100)-INT(M8/100))*12+MOD(VALUE(F8),100)-MOD(M8,100))))&lt;=12),1+V8_LOCKOUT_AMP*EXP(-(IF(OR(M8="",NOT(ISNUMBER(M8))),0,MAX(0,MIN(24,(INT(VALUE(F8)/100)-INT(M8/100))*12+MOD(VALUE(F8),100)-MOD(M8,100)))))/V8_LOCKOUT_TAU),1)</f>
        <v/>
      </c>
      <c r="AI8" s="8">
        <f>MAX(V8_BURN_FLOOR,1-V8_BURN_SLOPE*MIN(1,MAX(0,O8)))</f>
        <v/>
      </c>
      <c r="AJ8" s="15">
        <f>MIN(AA8*AF8*AG8*AH8*AI8,0.2)</f>
        <v/>
      </c>
      <c r="AK8" s="16">
        <f>1-(1-AJ8)^12</f>
        <v/>
      </c>
    </row>
    <row r="9">
      <c r="A9" s="2" t="inlineStr">
        <is>
          <t>000010535179</t>
        </is>
      </c>
      <c r="B9" t="inlineStr">
        <is>
          <t>OTHER</t>
        </is>
      </c>
      <c r="C9" t="inlineStr">
        <is>
          <t>OTHER</t>
        </is>
      </c>
      <c r="D9" t="inlineStr">
        <is>
          <t>LUMENT REAL ESTATE CAPITAL,LLC</t>
        </is>
      </c>
      <c r="E9" t="n">
        <v>2010</v>
      </c>
      <c r="F9" t="inlineStr">
        <is>
          <t>202602</t>
        </is>
      </c>
      <c r="G9" s="9" t="n">
        <v>7782165.94</v>
      </c>
      <c r="H9" s="13" t="n">
        <v>3.38</v>
      </c>
      <c r="I9" s="14" t="n">
        <v>447</v>
      </c>
      <c r="J9" s="14" t="n">
        <v>0</v>
      </c>
      <c r="K9" t="n">
        <v>182</v>
      </c>
      <c r="L9" t="n">
        <v>205206</v>
      </c>
      <c r="M9" t="inlineStr"/>
      <c r="N9" t="n">
        <v>36</v>
      </c>
      <c r="O9" s="8" t="n">
        <v>0.1978021978021978</v>
      </c>
      <c r="P9">
        <f>IF(ISNUMBER(SEARCH("232",B9)),"232",IF(ISNUMBER(SEARCH("538",B9)),"538",IF(ISNUMBER(SEARCH("223a7",B9)),"223a7",IF(ISNUMBER(SEARCH("223f",B9)),"223f","OTHER"))))</f>
        <v/>
      </c>
      <c r="Q9">
        <f>IF(UPPER(C9)="NC","NC","RP")</f>
        <v/>
      </c>
      <c r="R9">
        <f>IF(G9&lt;5000000,"small",IF(G9&lt;25000000,"medium","large"))</f>
        <v/>
      </c>
      <c r="S9">
        <f>IF(K9&lt;36,"young",IF(K9&lt;120,"seasoned","aged"))</f>
        <v/>
      </c>
      <c r="T9">
        <f>P9&amp;"|"&amp;Q9&amp;"|"&amp;R9&amp;"|"&amp;S9</f>
        <v/>
      </c>
      <c r="U9" s="14">
        <f>H9*100-I9</f>
        <v/>
      </c>
      <c r="V9" s="14">
        <f>U9-12.5*(J9+1)</f>
        <v/>
      </c>
      <c r="W9" s="15">
        <f>IFERROR(VLOOKUP(T9,V8_COHORT_TABLE,2,FALSE),IFERROR(VLOOKUP(P9&amp;"|"&amp;Q9&amp;"|ALL|"&amp;S9,V8_COHORT_TABLE,2,FALSE),IFERROR(VLOOKUP(P9&amp;"|ALL|ALL|"&amp;S9,V8_COHORT_TABLE,2,FALSE),IFERROR(VLOOKUP(P9&amp;"|ALL|ALL|ALL",V8_COHORT_TABLE,2,FALSE),VLOOKUP("GLOBAL",V8_COHORT_TABLE,2,FALSE)))))</f>
        <v/>
      </c>
      <c r="X9" s="15">
        <f>IFERROR(VLOOKUP(T9,V8_COHORT_TABLE,3,FALSE),IFERROR(VLOOKUP(P9&amp;"|"&amp;Q9&amp;"|ALL|"&amp;S9,V8_COHORT_TABLE,3,FALSE),IFERROR(VLOOKUP(P9&amp;"|ALL|ALL|"&amp;S9,V8_COHORT_TABLE,3,FALSE),IFERROR(VLOOKUP(P9&amp;"|ALL|ALL|ALL",V8_COHORT_TABLE,3,FALSE),VLOOKUP("GLOBAL",V8_COHORT_TABLE,3,FALSE)))))</f>
        <v/>
      </c>
      <c r="Y9" s="15">
        <f>IFERROR(VLOOKUP(T9,V8_COHORT_TABLE,4,FALSE),IFERROR(VLOOKUP(P9&amp;"|"&amp;Q9&amp;"|ALL|"&amp;S9,V8_COHORT_TABLE,4,FALSE),IFERROR(VLOOKUP(P9&amp;"|ALL|ALL|"&amp;S9,V8_COHORT_TABLE,4,FALSE),IFERROR(VLOOKUP(P9&amp;"|ALL|ALL|ALL",V8_COHORT_TABLE,4,FALSE),VLOOKUP("GLOBAL",V8_COHORT_TABLE,4,FALSE)))))</f>
        <v/>
      </c>
      <c r="Z9" s="15">
        <f>IFERROR(VLOOKUP(T9,V8_COHORT_TABLE,5,FALSE),IFERROR(VLOOKUP(P9&amp;"|"&amp;Q9&amp;"|ALL|"&amp;S9,V8_COHORT_TABLE,5,FALSE),IFERROR(VLOOKUP(P9&amp;"|ALL|ALL|"&amp;S9,V8_COHORT_TABLE,5,FALSE),IFERROR(VLOOKUP(P9&amp;"|ALL|ALL|ALL",V8_COHORT_TABLE,5,FALSE),VLOOKUP("GLOBAL",V8_COHORT_TABLE,5,FALSE)))))</f>
        <v/>
      </c>
      <c r="AA9" s="15">
        <f>W9+X9/(1+EXP(-(V9-Y9)/Z9))</f>
        <v/>
      </c>
      <c r="AB9" s="15">
        <f>IFERROR(VLOOKUP(T9,V8_COHORT_TABLE,6,FALSE),IFERROR(VLOOKUP(P9&amp;"|"&amp;Q9&amp;"|ALL|"&amp;S9,V8_COHORT_TABLE,6,FALSE),IFERROR(VLOOKUP(P9&amp;"|ALL|ALL|"&amp;S9,V8_COHORT_TABLE,6,FALSE),IFERROR(VLOOKUP(P9&amp;"|ALL|ALL|ALL",V8_COHORT_TABLE,6,FALSE),VLOOKUP("GLOBAL",V8_COHORT_TABLE,6,FALSE)))))</f>
        <v/>
      </c>
      <c r="AC9" s="15">
        <f>IFERROR(VLOOKUP(T9,V8_COHORT_TABLE,7,FALSE),IFERROR(VLOOKUP(P9&amp;"|"&amp;Q9&amp;"|ALL|"&amp;S9,V8_COHORT_TABLE,7,FALSE),IFERROR(VLOOKUP(P9&amp;"|ALL|ALL|"&amp;S9,V8_COHORT_TABLE,7,FALSE),IFERROR(VLOOKUP(P9&amp;"|ALL|ALL|ALL",V8_COHORT_TABLE,7,FALSE),VLOOKUP("GLOBAL",V8_COHORT_TABLE,7,FALSE)))))</f>
        <v/>
      </c>
      <c r="AD9" s="15">
        <f>IFERROR(VLOOKUP(T9,V8_COHORT_TABLE,8,FALSE),IFERROR(VLOOKUP(P9&amp;"|"&amp;Q9&amp;"|ALL|"&amp;S9,V8_COHORT_TABLE,8,FALSE),IFERROR(VLOOKUP(P9&amp;"|ALL|ALL|"&amp;S9,V8_COHORT_TABLE,8,FALSE),IFERROR(VLOOKUP(P9&amp;"|ALL|ALL|ALL",V8_COHORT_TABLE,8,FALSE),VLOOKUP("GLOBAL",V8_COHORT_TABLE,8,FALSE)))))</f>
        <v/>
      </c>
      <c r="AE9" s="15">
        <f>IFERROR(VLOOKUP(T9,V8_COHORT_TABLE,9,FALSE),IFERROR(VLOOKUP(P9&amp;"|"&amp;Q9&amp;"|ALL|"&amp;S9,V8_COHORT_TABLE,9,FALSE),IFERROR(VLOOKUP(P9&amp;"|ALL|ALL|"&amp;S9,V8_COHORT_TABLE,9,FALSE),IFERROR(VLOOKUP(P9&amp;"|ALL|ALL|ALL",V8_COHORT_TABLE,9,FALSE),VLOOKUP("GLOBAL",V8_COHORT_TABLE,9,FALSE)))))</f>
        <v/>
      </c>
      <c r="AF9" s="8">
        <f>IF(K9&lt;=0,AB9,IF(K9&gt;=240,AE9,IF(K9&lt;=24,AB9+(K9-0)/24*(AC9-AB9),IF(K9&lt;=96,AC9+(K9-24)/72*(AD9-AC9),AD9+(K9-96)/144*(AE9-AD9)))))</f>
        <v/>
      </c>
      <c r="AG9" s="8">
        <f>IF(IF(OR(L9="",NOT(ISNUMBER(L9))),360,MAX(0,MIN(480,(INT(L9/100)-INT(VALUE(F9)/100))*12+MOD(L9,100)-MOD(VALUE(F9),100))))&gt;0,1+V8_MTY_AMP*MAX(0,(V8_MTY_CUTOFF-(IF(OR(L9="",NOT(ISNUMBER(L9))),360,MAX(0,MIN(480,(INT(L9/100)-INT(VALUE(F9)/100))*12+MOD(L9,100)-MOD(VALUE(F9),100))))))/V8_MTY_CUTOFF),1)</f>
        <v/>
      </c>
      <c r="AH9" s="8">
        <f>IF(AND(IF(OR(M9="",NOT(ISNUMBER(M9))),0,MAX(0,MIN(24,(INT(VALUE(F9)/100)-INT(M9/100))*12+MOD(VALUE(F9),100)-MOD(M9,100))))&gt;0,IF(OR(M9="",NOT(ISNUMBER(M9))),0,MAX(0,MIN(24,(INT(VALUE(F9)/100)-INT(M9/100))*12+MOD(VALUE(F9),100)-MOD(M9,100))))&lt;=12),1+V8_LOCKOUT_AMP*EXP(-(IF(OR(M9="",NOT(ISNUMBER(M9))),0,MAX(0,MIN(24,(INT(VALUE(F9)/100)-INT(M9/100))*12+MOD(VALUE(F9),100)-MOD(M9,100)))))/V8_LOCKOUT_TAU),1)</f>
        <v/>
      </c>
      <c r="AI9" s="8">
        <f>MAX(V8_BURN_FLOOR,1-V8_BURN_SLOPE*MIN(1,MAX(0,O9)))</f>
        <v/>
      </c>
      <c r="AJ9" s="15">
        <f>MIN(AA9*AF9*AG9*AH9*AI9,0.2)</f>
        <v/>
      </c>
      <c r="AK9" s="16">
        <f>1-(1-AJ9)^12</f>
        <v/>
      </c>
    </row>
    <row r="10">
      <c r="A10" s="2" t="inlineStr">
        <is>
          <t>000001211581</t>
        </is>
      </c>
      <c r="B10" t="inlineStr">
        <is>
          <t>223f</t>
        </is>
      </c>
      <c r="C10" t="inlineStr">
        <is>
          <t>RP</t>
        </is>
      </c>
      <c r="D10" t="inlineStr">
        <is>
          <t>LUMENT REAL ESTATE CAPITAL,LLC</t>
        </is>
      </c>
      <c r="E10" t="n">
        <v>2023</v>
      </c>
      <c r="F10" t="inlineStr">
        <is>
          <t>202602</t>
        </is>
      </c>
      <c r="G10" s="9" t="n">
        <v>30791262.42</v>
      </c>
      <c r="H10" s="13" t="n">
        <v>5.36</v>
      </c>
      <c r="I10" s="14" t="n">
        <v>447</v>
      </c>
      <c r="J10" s="14" t="n">
        <v>8</v>
      </c>
      <c r="K10" t="n">
        <v>32</v>
      </c>
      <c r="L10" t="n">
        <v>205707</v>
      </c>
      <c r="M10" t="inlineStr"/>
      <c r="N10" t="n">
        <v>0</v>
      </c>
      <c r="O10" s="8" t="n">
        <v>0</v>
      </c>
      <c r="P10">
        <f>IF(ISNUMBER(SEARCH("232",B10)),"232",IF(ISNUMBER(SEARCH("538",B10)),"538",IF(ISNUMBER(SEARCH("223a7",B10)),"223a7",IF(ISNUMBER(SEARCH("223f",B10)),"223f","OTHER"))))</f>
        <v/>
      </c>
      <c r="Q10">
        <f>IF(UPPER(C10)="NC","NC","RP")</f>
        <v/>
      </c>
      <c r="R10">
        <f>IF(G10&lt;5000000,"small",IF(G10&lt;25000000,"medium","large"))</f>
        <v/>
      </c>
      <c r="S10">
        <f>IF(K10&lt;36,"young",IF(K10&lt;120,"seasoned","aged"))</f>
        <v/>
      </c>
      <c r="T10">
        <f>P10&amp;"|"&amp;Q10&amp;"|"&amp;R10&amp;"|"&amp;S10</f>
        <v/>
      </c>
      <c r="U10" s="14">
        <f>H10*100-I10</f>
        <v/>
      </c>
      <c r="V10" s="14">
        <f>U10-12.5*(J10+1)</f>
        <v/>
      </c>
      <c r="W10" s="15">
        <f>IFERROR(VLOOKUP(T10,V8_COHORT_TABLE,2,FALSE),IFERROR(VLOOKUP(P10&amp;"|"&amp;Q10&amp;"|ALL|"&amp;S10,V8_COHORT_TABLE,2,FALSE),IFERROR(VLOOKUP(P10&amp;"|ALL|ALL|"&amp;S10,V8_COHORT_TABLE,2,FALSE),IFERROR(VLOOKUP(P10&amp;"|ALL|ALL|ALL",V8_COHORT_TABLE,2,FALSE),VLOOKUP("GLOBAL",V8_COHORT_TABLE,2,FALSE)))))</f>
        <v/>
      </c>
      <c r="X10" s="15">
        <f>IFERROR(VLOOKUP(T10,V8_COHORT_TABLE,3,FALSE),IFERROR(VLOOKUP(P10&amp;"|"&amp;Q10&amp;"|ALL|"&amp;S10,V8_COHORT_TABLE,3,FALSE),IFERROR(VLOOKUP(P10&amp;"|ALL|ALL|"&amp;S10,V8_COHORT_TABLE,3,FALSE),IFERROR(VLOOKUP(P10&amp;"|ALL|ALL|ALL",V8_COHORT_TABLE,3,FALSE),VLOOKUP("GLOBAL",V8_COHORT_TABLE,3,FALSE)))))</f>
        <v/>
      </c>
      <c r="Y10" s="15">
        <f>IFERROR(VLOOKUP(T10,V8_COHORT_TABLE,4,FALSE),IFERROR(VLOOKUP(P10&amp;"|"&amp;Q10&amp;"|ALL|"&amp;S10,V8_COHORT_TABLE,4,FALSE),IFERROR(VLOOKUP(P10&amp;"|ALL|ALL|"&amp;S10,V8_COHORT_TABLE,4,FALSE),IFERROR(VLOOKUP(P10&amp;"|ALL|ALL|ALL",V8_COHORT_TABLE,4,FALSE),VLOOKUP("GLOBAL",V8_COHORT_TABLE,4,FALSE)))))</f>
        <v/>
      </c>
      <c r="Z10" s="15">
        <f>IFERROR(VLOOKUP(T10,V8_COHORT_TABLE,5,FALSE),IFERROR(VLOOKUP(P10&amp;"|"&amp;Q10&amp;"|ALL|"&amp;S10,V8_COHORT_TABLE,5,FALSE),IFERROR(VLOOKUP(P10&amp;"|ALL|ALL|"&amp;S10,V8_COHORT_TABLE,5,FALSE),IFERROR(VLOOKUP(P10&amp;"|ALL|ALL|ALL",V8_COHORT_TABLE,5,FALSE),VLOOKUP("GLOBAL",V8_COHORT_TABLE,5,FALSE)))))</f>
        <v/>
      </c>
      <c r="AA10" s="15">
        <f>W10+X10/(1+EXP(-(V10-Y10)/Z10))</f>
        <v/>
      </c>
      <c r="AB10" s="15">
        <f>IFERROR(VLOOKUP(T10,V8_COHORT_TABLE,6,FALSE),IFERROR(VLOOKUP(P10&amp;"|"&amp;Q10&amp;"|ALL|"&amp;S10,V8_COHORT_TABLE,6,FALSE),IFERROR(VLOOKUP(P10&amp;"|ALL|ALL|"&amp;S10,V8_COHORT_TABLE,6,FALSE),IFERROR(VLOOKUP(P10&amp;"|ALL|ALL|ALL",V8_COHORT_TABLE,6,FALSE),VLOOKUP("GLOBAL",V8_COHORT_TABLE,6,FALSE)))))</f>
        <v/>
      </c>
      <c r="AC10" s="15">
        <f>IFERROR(VLOOKUP(T10,V8_COHORT_TABLE,7,FALSE),IFERROR(VLOOKUP(P10&amp;"|"&amp;Q10&amp;"|ALL|"&amp;S10,V8_COHORT_TABLE,7,FALSE),IFERROR(VLOOKUP(P10&amp;"|ALL|ALL|"&amp;S10,V8_COHORT_TABLE,7,FALSE),IFERROR(VLOOKUP(P10&amp;"|ALL|ALL|ALL",V8_COHORT_TABLE,7,FALSE),VLOOKUP("GLOBAL",V8_COHORT_TABLE,7,FALSE)))))</f>
        <v/>
      </c>
      <c r="AD10" s="15">
        <f>IFERROR(VLOOKUP(T10,V8_COHORT_TABLE,8,FALSE),IFERROR(VLOOKUP(P10&amp;"|"&amp;Q10&amp;"|ALL|"&amp;S10,V8_COHORT_TABLE,8,FALSE),IFERROR(VLOOKUP(P10&amp;"|ALL|ALL|"&amp;S10,V8_COHORT_TABLE,8,FALSE),IFERROR(VLOOKUP(P10&amp;"|ALL|ALL|ALL",V8_COHORT_TABLE,8,FALSE),VLOOKUP("GLOBAL",V8_COHORT_TABLE,8,FALSE)))))</f>
        <v/>
      </c>
      <c r="AE10" s="15">
        <f>IFERROR(VLOOKUP(T10,V8_COHORT_TABLE,9,FALSE),IFERROR(VLOOKUP(P10&amp;"|"&amp;Q10&amp;"|ALL|"&amp;S10,V8_COHORT_TABLE,9,FALSE),IFERROR(VLOOKUP(P10&amp;"|ALL|ALL|"&amp;S10,V8_COHORT_TABLE,9,FALSE),IFERROR(VLOOKUP(P10&amp;"|ALL|ALL|ALL",V8_COHORT_TABLE,9,FALSE),VLOOKUP("GLOBAL",V8_COHORT_TABLE,9,FALSE)))))</f>
        <v/>
      </c>
      <c r="AF10" s="8">
        <f>IF(K10&lt;=0,AB10,IF(K10&gt;=240,AE10,IF(K10&lt;=24,AB10+(K10-0)/24*(AC10-AB10),IF(K10&lt;=96,AC10+(K10-24)/72*(AD10-AC10),AD10+(K10-96)/144*(AE10-AD10)))))</f>
        <v/>
      </c>
      <c r="AG10" s="8">
        <f>IF(IF(OR(L10="",NOT(ISNUMBER(L10))),360,MAX(0,MIN(480,(INT(L10/100)-INT(VALUE(F10)/100))*12+MOD(L10,100)-MOD(VALUE(F10),100))))&gt;0,1+V8_MTY_AMP*MAX(0,(V8_MTY_CUTOFF-(IF(OR(L10="",NOT(ISNUMBER(L10))),360,MAX(0,MIN(480,(INT(L10/100)-INT(VALUE(F10)/100))*12+MOD(L10,100)-MOD(VALUE(F10),100))))))/V8_MTY_CUTOFF),1)</f>
        <v/>
      </c>
      <c r="AH10" s="8">
        <f>IF(AND(IF(OR(M10="",NOT(ISNUMBER(M10))),0,MAX(0,MIN(24,(INT(VALUE(F10)/100)-INT(M10/100))*12+MOD(VALUE(F10),100)-MOD(M10,100))))&gt;0,IF(OR(M10="",NOT(ISNUMBER(M10))),0,MAX(0,MIN(24,(INT(VALUE(F10)/100)-INT(M10/100))*12+MOD(VALUE(F10),100)-MOD(M10,100))))&lt;=12),1+V8_LOCKOUT_AMP*EXP(-(IF(OR(M10="",NOT(ISNUMBER(M10))),0,MAX(0,MIN(24,(INT(VALUE(F10)/100)-INT(M10/100))*12+MOD(VALUE(F10),100)-MOD(M10,100)))))/V8_LOCKOUT_TAU),1)</f>
        <v/>
      </c>
      <c r="AI10" s="8">
        <f>MAX(V8_BURN_FLOOR,1-V8_BURN_SLOPE*MIN(1,MAX(0,O10)))</f>
        <v/>
      </c>
      <c r="AJ10" s="15">
        <f>MIN(AA10*AF10*AG10*AH10*AI10,0.2)</f>
        <v/>
      </c>
      <c r="AK10" s="16">
        <f>1-(1-AJ10)^12</f>
        <v/>
      </c>
    </row>
    <row r="11">
      <c r="A11" s="2" t="inlineStr">
        <is>
          <t>000001211630</t>
        </is>
      </c>
      <c r="B11" t="inlineStr">
        <is>
          <t>223f</t>
        </is>
      </c>
      <c r="C11" t="inlineStr">
        <is>
          <t>RP</t>
        </is>
      </c>
      <c r="D11" t="inlineStr">
        <is>
          <t>LUMENT REAL ESTATE CAPITAL,LLC</t>
        </is>
      </c>
      <c r="E11" t="n">
        <v>2025</v>
      </c>
      <c r="F11" t="inlineStr">
        <is>
          <t>202602</t>
        </is>
      </c>
      <c r="G11" s="9" t="n">
        <v>59508579.86</v>
      </c>
      <c r="H11" s="13" t="n">
        <v>5.65</v>
      </c>
      <c r="I11" s="14" t="n">
        <v>447</v>
      </c>
      <c r="J11" s="14" t="n">
        <v>10</v>
      </c>
      <c r="K11" t="n">
        <v>4</v>
      </c>
      <c r="L11" t="n">
        <v>206011</v>
      </c>
      <c r="M11" t="inlineStr"/>
      <c r="N11" t="n">
        <v>0</v>
      </c>
      <c r="O11" s="8" t="n">
        <v>0</v>
      </c>
      <c r="P11">
        <f>IF(ISNUMBER(SEARCH("232",B11)),"232",IF(ISNUMBER(SEARCH("538",B11)),"538",IF(ISNUMBER(SEARCH("223a7",B11)),"223a7",IF(ISNUMBER(SEARCH("223f",B11)),"223f","OTHER"))))</f>
        <v/>
      </c>
      <c r="Q11">
        <f>IF(UPPER(C11)="NC","NC","RP")</f>
        <v/>
      </c>
      <c r="R11">
        <f>IF(G11&lt;5000000,"small",IF(G11&lt;25000000,"medium","large"))</f>
        <v/>
      </c>
      <c r="S11">
        <f>IF(K11&lt;36,"young",IF(K11&lt;120,"seasoned","aged"))</f>
        <v/>
      </c>
      <c r="T11">
        <f>P11&amp;"|"&amp;Q11&amp;"|"&amp;R11&amp;"|"&amp;S11</f>
        <v/>
      </c>
      <c r="U11" s="14">
        <f>H11*100-I11</f>
        <v/>
      </c>
      <c r="V11" s="14">
        <f>U11-12.5*(J11+1)</f>
        <v/>
      </c>
      <c r="W11" s="15">
        <f>IFERROR(VLOOKUP(T11,V8_COHORT_TABLE,2,FALSE),IFERROR(VLOOKUP(P11&amp;"|"&amp;Q11&amp;"|ALL|"&amp;S11,V8_COHORT_TABLE,2,FALSE),IFERROR(VLOOKUP(P11&amp;"|ALL|ALL|"&amp;S11,V8_COHORT_TABLE,2,FALSE),IFERROR(VLOOKUP(P11&amp;"|ALL|ALL|ALL",V8_COHORT_TABLE,2,FALSE),VLOOKUP("GLOBAL",V8_COHORT_TABLE,2,FALSE)))))</f>
        <v/>
      </c>
      <c r="X11" s="15">
        <f>IFERROR(VLOOKUP(T11,V8_COHORT_TABLE,3,FALSE),IFERROR(VLOOKUP(P11&amp;"|"&amp;Q11&amp;"|ALL|"&amp;S11,V8_COHORT_TABLE,3,FALSE),IFERROR(VLOOKUP(P11&amp;"|ALL|ALL|"&amp;S11,V8_COHORT_TABLE,3,FALSE),IFERROR(VLOOKUP(P11&amp;"|ALL|ALL|ALL",V8_COHORT_TABLE,3,FALSE),VLOOKUP("GLOBAL",V8_COHORT_TABLE,3,FALSE)))))</f>
        <v/>
      </c>
      <c r="Y11" s="15">
        <f>IFERROR(VLOOKUP(T11,V8_COHORT_TABLE,4,FALSE),IFERROR(VLOOKUP(P11&amp;"|"&amp;Q11&amp;"|ALL|"&amp;S11,V8_COHORT_TABLE,4,FALSE),IFERROR(VLOOKUP(P11&amp;"|ALL|ALL|"&amp;S11,V8_COHORT_TABLE,4,FALSE),IFERROR(VLOOKUP(P11&amp;"|ALL|ALL|ALL",V8_COHORT_TABLE,4,FALSE),VLOOKUP("GLOBAL",V8_COHORT_TABLE,4,FALSE)))))</f>
        <v/>
      </c>
      <c r="Z11" s="15">
        <f>IFERROR(VLOOKUP(T11,V8_COHORT_TABLE,5,FALSE),IFERROR(VLOOKUP(P11&amp;"|"&amp;Q11&amp;"|ALL|"&amp;S11,V8_COHORT_TABLE,5,FALSE),IFERROR(VLOOKUP(P11&amp;"|ALL|ALL|"&amp;S11,V8_COHORT_TABLE,5,FALSE),IFERROR(VLOOKUP(P11&amp;"|ALL|ALL|ALL",V8_COHORT_TABLE,5,FALSE),VLOOKUP("GLOBAL",V8_COHORT_TABLE,5,FALSE)))))</f>
        <v/>
      </c>
      <c r="AA11" s="15">
        <f>W11+X11/(1+EXP(-(V11-Y11)/Z11))</f>
        <v/>
      </c>
      <c r="AB11" s="15">
        <f>IFERROR(VLOOKUP(T11,V8_COHORT_TABLE,6,FALSE),IFERROR(VLOOKUP(P11&amp;"|"&amp;Q11&amp;"|ALL|"&amp;S11,V8_COHORT_TABLE,6,FALSE),IFERROR(VLOOKUP(P11&amp;"|ALL|ALL|"&amp;S11,V8_COHORT_TABLE,6,FALSE),IFERROR(VLOOKUP(P11&amp;"|ALL|ALL|ALL",V8_COHORT_TABLE,6,FALSE),VLOOKUP("GLOBAL",V8_COHORT_TABLE,6,FALSE)))))</f>
        <v/>
      </c>
      <c r="AC11" s="15">
        <f>IFERROR(VLOOKUP(T11,V8_COHORT_TABLE,7,FALSE),IFERROR(VLOOKUP(P11&amp;"|"&amp;Q11&amp;"|ALL|"&amp;S11,V8_COHORT_TABLE,7,FALSE),IFERROR(VLOOKUP(P11&amp;"|ALL|ALL|"&amp;S11,V8_COHORT_TABLE,7,FALSE),IFERROR(VLOOKUP(P11&amp;"|ALL|ALL|ALL",V8_COHORT_TABLE,7,FALSE),VLOOKUP("GLOBAL",V8_COHORT_TABLE,7,FALSE)))))</f>
        <v/>
      </c>
      <c r="AD11" s="15">
        <f>IFERROR(VLOOKUP(T11,V8_COHORT_TABLE,8,FALSE),IFERROR(VLOOKUP(P11&amp;"|"&amp;Q11&amp;"|ALL|"&amp;S11,V8_COHORT_TABLE,8,FALSE),IFERROR(VLOOKUP(P11&amp;"|ALL|ALL|"&amp;S11,V8_COHORT_TABLE,8,FALSE),IFERROR(VLOOKUP(P11&amp;"|ALL|ALL|ALL",V8_COHORT_TABLE,8,FALSE),VLOOKUP("GLOBAL",V8_COHORT_TABLE,8,FALSE)))))</f>
        <v/>
      </c>
      <c r="AE11" s="15">
        <f>IFERROR(VLOOKUP(T11,V8_COHORT_TABLE,9,FALSE),IFERROR(VLOOKUP(P11&amp;"|"&amp;Q11&amp;"|ALL|"&amp;S11,V8_COHORT_TABLE,9,FALSE),IFERROR(VLOOKUP(P11&amp;"|ALL|ALL|"&amp;S11,V8_COHORT_TABLE,9,FALSE),IFERROR(VLOOKUP(P11&amp;"|ALL|ALL|ALL",V8_COHORT_TABLE,9,FALSE),VLOOKUP("GLOBAL",V8_COHORT_TABLE,9,FALSE)))))</f>
        <v/>
      </c>
      <c r="AF11" s="8">
        <f>IF(K11&lt;=0,AB11,IF(K11&gt;=240,AE11,IF(K11&lt;=24,AB11+(K11-0)/24*(AC11-AB11),IF(K11&lt;=96,AC11+(K11-24)/72*(AD11-AC11),AD11+(K11-96)/144*(AE11-AD11)))))</f>
        <v/>
      </c>
      <c r="AG11" s="8">
        <f>IF(IF(OR(L11="",NOT(ISNUMBER(L11))),360,MAX(0,MIN(480,(INT(L11/100)-INT(VALUE(F11)/100))*12+MOD(L11,100)-MOD(VALUE(F11),100))))&gt;0,1+V8_MTY_AMP*MAX(0,(V8_MTY_CUTOFF-(IF(OR(L11="",NOT(ISNUMBER(L11))),360,MAX(0,MIN(480,(INT(L11/100)-INT(VALUE(F11)/100))*12+MOD(L11,100)-MOD(VALUE(F11),100))))))/V8_MTY_CUTOFF),1)</f>
        <v/>
      </c>
      <c r="AH11" s="8">
        <f>IF(AND(IF(OR(M11="",NOT(ISNUMBER(M11))),0,MAX(0,MIN(24,(INT(VALUE(F11)/100)-INT(M11/100))*12+MOD(VALUE(F11),100)-MOD(M11,100))))&gt;0,IF(OR(M11="",NOT(ISNUMBER(M11))),0,MAX(0,MIN(24,(INT(VALUE(F11)/100)-INT(M11/100))*12+MOD(VALUE(F11),100)-MOD(M11,100))))&lt;=12),1+V8_LOCKOUT_AMP*EXP(-(IF(OR(M11="",NOT(ISNUMBER(M11))),0,MAX(0,MIN(24,(INT(VALUE(F11)/100)-INT(M11/100))*12+MOD(VALUE(F11),100)-MOD(M11,100)))))/V8_LOCKOUT_TAU),1)</f>
        <v/>
      </c>
      <c r="AI11" s="8">
        <f>MAX(V8_BURN_FLOOR,1-V8_BURN_SLOPE*MIN(1,MAX(0,O11)))</f>
        <v/>
      </c>
      <c r="AJ11" s="15">
        <f>MIN(AA11*AF11*AG11*AH11*AI11,0.2)</f>
        <v/>
      </c>
      <c r="AK11" s="16">
        <f>1-(1-AJ11)^12</f>
        <v/>
      </c>
    </row>
    <row r="12">
      <c r="A12" s="2" t="inlineStr">
        <is>
          <t>000010222024</t>
        </is>
      </c>
      <c r="B12" t="inlineStr">
        <is>
          <t>232</t>
        </is>
      </c>
      <c r="C12" t="inlineStr">
        <is>
          <t>RP</t>
        </is>
      </c>
      <c r="D12" t="inlineStr">
        <is>
          <t>LUMENT REAL ESTATE CAPITAL,LLC</t>
        </is>
      </c>
      <c r="E12" t="n">
        <v>2009</v>
      </c>
      <c r="F12" t="inlineStr">
        <is>
          <t>202602</t>
        </is>
      </c>
      <c r="G12" s="9" t="n">
        <v>2318598.5</v>
      </c>
      <c r="H12" s="13" t="n">
        <v>5.65</v>
      </c>
      <c r="I12" s="14" t="n">
        <v>447</v>
      </c>
      <c r="J12" s="14" t="n">
        <v>0</v>
      </c>
      <c r="K12" t="n">
        <v>200</v>
      </c>
      <c r="L12" t="n">
        <v>203907</v>
      </c>
      <c r="M12" t="n">
        <v>201108</v>
      </c>
      <c r="N12" t="n">
        <v>84</v>
      </c>
      <c r="O12" s="8" t="n">
        <v>0.42</v>
      </c>
      <c r="P12">
        <f>IF(ISNUMBER(SEARCH("232",B12)),"232",IF(ISNUMBER(SEARCH("538",B12)),"538",IF(ISNUMBER(SEARCH("223a7",B12)),"223a7",IF(ISNUMBER(SEARCH("223f",B12)),"223f","OTHER"))))</f>
        <v/>
      </c>
      <c r="Q12">
        <f>IF(UPPER(C12)="NC","NC","RP")</f>
        <v/>
      </c>
      <c r="R12">
        <f>IF(G12&lt;5000000,"small",IF(G12&lt;25000000,"medium","large"))</f>
        <v/>
      </c>
      <c r="S12">
        <f>IF(K12&lt;36,"young",IF(K12&lt;120,"seasoned","aged"))</f>
        <v/>
      </c>
      <c r="T12">
        <f>P12&amp;"|"&amp;Q12&amp;"|"&amp;R12&amp;"|"&amp;S12</f>
        <v/>
      </c>
      <c r="U12" s="14">
        <f>H12*100-I12</f>
        <v/>
      </c>
      <c r="V12" s="14">
        <f>U12-12.5*(J12+1)</f>
        <v/>
      </c>
      <c r="W12" s="15">
        <f>IFERROR(VLOOKUP(T12,V8_COHORT_TABLE,2,FALSE),IFERROR(VLOOKUP(P12&amp;"|"&amp;Q12&amp;"|ALL|"&amp;S12,V8_COHORT_TABLE,2,FALSE),IFERROR(VLOOKUP(P12&amp;"|ALL|ALL|"&amp;S12,V8_COHORT_TABLE,2,FALSE),IFERROR(VLOOKUP(P12&amp;"|ALL|ALL|ALL",V8_COHORT_TABLE,2,FALSE),VLOOKUP("GLOBAL",V8_COHORT_TABLE,2,FALSE)))))</f>
        <v/>
      </c>
      <c r="X12" s="15">
        <f>IFERROR(VLOOKUP(T12,V8_COHORT_TABLE,3,FALSE),IFERROR(VLOOKUP(P12&amp;"|"&amp;Q12&amp;"|ALL|"&amp;S12,V8_COHORT_TABLE,3,FALSE),IFERROR(VLOOKUP(P12&amp;"|ALL|ALL|"&amp;S12,V8_COHORT_TABLE,3,FALSE),IFERROR(VLOOKUP(P12&amp;"|ALL|ALL|ALL",V8_COHORT_TABLE,3,FALSE),VLOOKUP("GLOBAL",V8_COHORT_TABLE,3,FALSE)))))</f>
        <v/>
      </c>
      <c r="Y12" s="15">
        <f>IFERROR(VLOOKUP(T12,V8_COHORT_TABLE,4,FALSE),IFERROR(VLOOKUP(P12&amp;"|"&amp;Q12&amp;"|ALL|"&amp;S12,V8_COHORT_TABLE,4,FALSE),IFERROR(VLOOKUP(P12&amp;"|ALL|ALL|"&amp;S12,V8_COHORT_TABLE,4,FALSE),IFERROR(VLOOKUP(P12&amp;"|ALL|ALL|ALL",V8_COHORT_TABLE,4,FALSE),VLOOKUP("GLOBAL",V8_COHORT_TABLE,4,FALSE)))))</f>
        <v/>
      </c>
      <c r="Z12" s="15">
        <f>IFERROR(VLOOKUP(T12,V8_COHORT_TABLE,5,FALSE),IFERROR(VLOOKUP(P12&amp;"|"&amp;Q12&amp;"|ALL|"&amp;S12,V8_COHORT_TABLE,5,FALSE),IFERROR(VLOOKUP(P12&amp;"|ALL|ALL|"&amp;S12,V8_COHORT_TABLE,5,FALSE),IFERROR(VLOOKUP(P12&amp;"|ALL|ALL|ALL",V8_COHORT_TABLE,5,FALSE),VLOOKUP("GLOBAL",V8_COHORT_TABLE,5,FALSE)))))</f>
        <v/>
      </c>
      <c r="AA12" s="15">
        <f>W12+X12/(1+EXP(-(V12-Y12)/Z12))</f>
        <v/>
      </c>
      <c r="AB12" s="15">
        <f>IFERROR(VLOOKUP(T12,V8_COHORT_TABLE,6,FALSE),IFERROR(VLOOKUP(P12&amp;"|"&amp;Q12&amp;"|ALL|"&amp;S12,V8_COHORT_TABLE,6,FALSE),IFERROR(VLOOKUP(P12&amp;"|ALL|ALL|"&amp;S12,V8_COHORT_TABLE,6,FALSE),IFERROR(VLOOKUP(P12&amp;"|ALL|ALL|ALL",V8_COHORT_TABLE,6,FALSE),VLOOKUP("GLOBAL",V8_COHORT_TABLE,6,FALSE)))))</f>
        <v/>
      </c>
      <c r="AC12" s="15">
        <f>IFERROR(VLOOKUP(T12,V8_COHORT_TABLE,7,FALSE),IFERROR(VLOOKUP(P12&amp;"|"&amp;Q12&amp;"|ALL|"&amp;S12,V8_COHORT_TABLE,7,FALSE),IFERROR(VLOOKUP(P12&amp;"|ALL|ALL|"&amp;S12,V8_COHORT_TABLE,7,FALSE),IFERROR(VLOOKUP(P12&amp;"|ALL|ALL|ALL",V8_COHORT_TABLE,7,FALSE),VLOOKUP("GLOBAL",V8_COHORT_TABLE,7,FALSE)))))</f>
        <v/>
      </c>
      <c r="AD12" s="15">
        <f>IFERROR(VLOOKUP(T12,V8_COHORT_TABLE,8,FALSE),IFERROR(VLOOKUP(P12&amp;"|"&amp;Q12&amp;"|ALL|"&amp;S12,V8_COHORT_TABLE,8,FALSE),IFERROR(VLOOKUP(P12&amp;"|ALL|ALL|"&amp;S12,V8_COHORT_TABLE,8,FALSE),IFERROR(VLOOKUP(P12&amp;"|ALL|ALL|ALL",V8_COHORT_TABLE,8,FALSE),VLOOKUP("GLOBAL",V8_COHORT_TABLE,8,FALSE)))))</f>
        <v/>
      </c>
      <c r="AE12" s="15">
        <f>IFERROR(VLOOKUP(T12,V8_COHORT_TABLE,9,FALSE),IFERROR(VLOOKUP(P12&amp;"|"&amp;Q12&amp;"|ALL|"&amp;S12,V8_COHORT_TABLE,9,FALSE),IFERROR(VLOOKUP(P12&amp;"|ALL|ALL|"&amp;S12,V8_COHORT_TABLE,9,FALSE),IFERROR(VLOOKUP(P12&amp;"|ALL|ALL|ALL",V8_COHORT_TABLE,9,FALSE),VLOOKUP("GLOBAL",V8_COHORT_TABLE,9,FALSE)))))</f>
        <v/>
      </c>
      <c r="AF12" s="8">
        <f>IF(K12&lt;=0,AB12,IF(K12&gt;=240,AE12,IF(K12&lt;=24,AB12+(K12-0)/24*(AC12-AB12),IF(K12&lt;=96,AC12+(K12-24)/72*(AD12-AC12),AD12+(K12-96)/144*(AE12-AD12)))))</f>
        <v/>
      </c>
      <c r="AG12" s="8">
        <f>IF(IF(OR(L12="",NOT(ISNUMBER(L12))),360,MAX(0,MIN(480,(INT(L12/100)-INT(VALUE(F12)/100))*12+MOD(L12,100)-MOD(VALUE(F12),100))))&gt;0,1+V8_MTY_AMP*MAX(0,(V8_MTY_CUTOFF-(IF(OR(L12="",NOT(ISNUMBER(L12))),360,MAX(0,MIN(480,(INT(L12/100)-INT(VALUE(F12)/100))*12+MOD(L12,100)-MOD(VALUE(F12),100))))))/V8_MTY_CUTOFF),1)</f>
        <v/>
      </c>
      <c r="AH12" s="8">
        <f>IF(AND(IF(OR(M12="",NOT(ISNUMBER(M12))),0,MAX(0,MIN(24,(INT(VALUE(F12)/100)-INT(M12/100))*12+MOD(VALUE(F12),100)-MOD(M12,100))))&gt;0,IF(OR(M12="",NOT(ISNUMBER(M12))),0,MAX(0,MIN(24,(INT(VALUE(F12)/100)-INT(M12/100))*12+MOD(VALUE(F12),100)-MOD(M12,100))))&lt;=12),1+V8_LOCKOUT_AMP*EXP(-(IF(OR(M12="",NOT(ISNUMBER(M12))),0,MAX(0,MIN(24,(INT(VALUE(F12)/100)-INT(M12/100))*12+MOD(VALUE(F12),100)-MOD(M12,100)))))/V8_LOCKOUT_TAU),1)</f>
        <v/>
      </c>
      <c r="AI12" s="8">
        <f>MAX(V8_BURN_FLOOR,1-V8_BURN_SLOPE*MIN(1,MAX(0,O12)))</f>
        <v/>
      </c>
      <c r="AJ12" s="15">
        <f>MIN(AA12*AF12*AG12*AH12*AI12,0.2)</f>
        <v/>
      </c>
      <c r="AK12" s="16">
        <f>1-(1-AJ12)^12</f>
        <v/>
      </c>
    </row>
    <row r="13">
      <c r="A13" s="2" t="inlineStr">
        <is>
          <t>000006122229</t>
        </is>
      </c>
      <c r="B13" t="inlineStr">
        <is>
          <t>232</t>
        </is>
      </c>
      <c r="C13" t="inlineStr">
        <is>
          <t>RP</t>
        </is>
      </c>
      <c r="D13" t="inlineStr">
        <is>
          <t>LUMENT REAL ESTATE CAPITAL,LLC</t>
        </is>
      </c>
      <c r="E13" t="n">
        <v>2024</v>
      </c>
      <c r="F13" t="inlineStr">
        <is>
          <t>202602</t>
        </is>
      </c>
      <c r="G13" s="9" t="n">
        <v>10649282.81</v>
      </c>
      <c r="H13" s="13" t="n">
        <v>5.35</v>
      </c>
      <c r="I13" s="14" t="n">
        <v>447</v>
      </c>
      <c r="J13" s="14" t="n">
        <v>9</v>
      </c>
      <c r="K13" t="n">
        <v>14</v>
      </c>
      <c r="L13" t="n">
        <v>206001</v>
      </c>
      <c r="M13" t="inlineStr"/>
      <c r="N13" t="n">
        <v>0</v>
      </c>
      <c r="O13" s="8" t="n">
        <v>0</v>
      </c>
      <c r="P13">
        <f>IF(ISNUMBER(SEARCH("232",B13)),"232",IF(ISNUMBER(SEARCH("538",B13)),"538",IF(ISNUMBER(SEARCH("223a7",B13)),"223a7",IF(ISNUMBER(SEARCH("223f",B13)),"223f","OTHER"))))</f>
        <v/>
      </c>
      <c r="Q13">
        <f>IF(UPPER(C13)="NC","NC","RP")</f>
        <v/>
      </c>
      <c r="R13">
        <f>IF(G13&lt;5000000,"small",IF(G13&lt;25000000,"medium","large"))</f>
        <v/>
      </c>
      <c r="S13">
        <f>IF(K13&lt;36,"young",IF(K13&lt;120,"seasoned","aged"))</f>
        <v/>
      </c>
      <c r="T13">
        <f>P13&amp;"|"&amp;Q13&amp;"|"&amp;R13&amp;"|"&amp;S13</f>
        <v/>
      </c>
      <c r="U13" s="14">
        <f>H13*100-I13</f>
        <v/>
      </c>
      <c r="V13" s="14">
        <f>U13-12.5*(J13+1)</f>
        <v/>
      </c>
      <c r="W13" s="15">
        <f>IFERROR(VLOOKUP(T13,V8_COHORT_TABLE,2,FALSE),IFERROR(VLOOKUP(P13&amp;"|"&amp;Q13&amp;"|ALL|"&amp;S13,V8_COHORT_TABLE,2,FALSE),IFERROR(VLOOKUP(P13&amp;"|ALL|ALL|"&amp;S13,V8_COHORT_TABLE,2,FALSE),IFERROR(VLOOKUP(P13&amp;"|ALL|ALL|ALL",V8_COHORT_TABLE,2,FALSE),VLOOKUP("GLOBAL",V8_COHORT_TABLE,2,FALSE)))))</f>
        <v/>
      </c>
      <c r="X13" s="15">
        <f>IFERROR(VLOOKUP(T13,V8_COHORT_TABLE,3,FALSE),IFERROR(VLOOKUP(P13&amp;"|"&amp;Q13&amp;"|ALL|"&amp;S13,V8_COHORT_TABLE,3,FALSE),IFERROR(VLOOKUP(P13&amp;"|ALL|ALL|"&amp;S13,V8_COHORT_TABLE,3,FALSE),IFERROR(VLOOKUP(P13&amp;"|ALL|ALL|ALL",V8_COHORT_TABLE,3,FALSE),VLOOKUP("GLOBAL",V8_COHORT_TABLE,3,FALSE)))))</f>
        <v/>
      </c>
      <c r="Y13" s="15">
        <f>IFERROR(VLOOKUP(T13,V8_COHORT_TABLE,4,FALSE),IFERROR(VLOOKUP(P13&amp;"|"&amp;Q13&amp;"|ALL|"&amp;S13,V8_COHORT_TABLE,4,FALSE),IFERROR(VLOOKUP(P13&amp;"|ALL|ALL|"&amp;S13,V8_COHORT_TABLE,4,FALSE),IFERROR(VLOOKUP(P13&amp;"|ALL|ALL|ALL",V8_COHORT_TABLE,4,FALSE),VLOOKUP("GLOBAL",V8_COHORT_TABLE,4,FALSE)))))</f>
        <v/>
      </c>
      <c r="Z13" s="15">
        <f>IFERROR(VLOOKUP(T13,V8_COHORT_TABLE,5,FALSE),IFERROR(VLOOKUP(P13&amp;"|"&amp;Q13&amp;"|ALL|"&amp;S13,V8_COHORT_TABLE,5,FALSE),IFERROR(VLOOKUP(P13&amp;"|ALL|ALL|"&amp;S13,V8_COHORT_TABLE,5,FALSE),IFERROR(VLOOKUP(P13&amp;"|ALL|ALL|ALL",V8_COHORT_TABLE,5,FALSE),VLOOKUP("GLOBAL",V8_COHORT_TABLE,5,FALSE)))))</f>
        <v/>
      </c>
      <c r="AA13" s="15">
        <f>W13+X13/(1+EXP(-(V13-Y13)/Z13))</f>
        <v/>
      </c>
      <c r="AB13" s="15">
        <f>IFERROR(VLOOKUP(T13,V8_COHORT_TABLE,6,FALSE),IFERROR(VLOOKUP(P13&amp;"|"&amp;Q13&amp;"|ALL|"&amp;S13,V8_COHORT_TABLE,6,FALSE),IFERROR(VLOOKUP(P13&amp;"|ALL|ALL|"&amp;S13,V8_COHORT_TABLE,6,FALSE),IFERROR(VLOOKUP(P13&amp;"|ALL|ALL|ALL",V8_COHORT_TABLE,6,FALSE),VLOOKUP("GLOBAL",V8_COHORT_TABLE,6,FALSE)))))</f>
        <v/>
      </c>
      <c r="AC13" s="15">
        <f>IFERROR(VLOOKUP(T13,V8_COHORT_TABLE,7,FALSE),IFERROR(VLOOKUP(P13&amp;"|"&amp;Q13&amp;"|ALL|"&amp;S13,V8_COHORT_TABLE,7,FALSE),IFERROR(VLOOKUP(P13&amp;"|ALL|ALL|"&amp;S13,V8_COHORT_TABLE,7,FALSE),IFERROR(VLOOKUP(P13&amp;"|ALL|ALL|ALL",V8_COHORT_TABLE,7,FALSE),VLOOKUP("GLOBAL",V8_COHORT_TABLE,7,FALSE)))))</f>
        <v/>
      </c>
      <c r="AD13" s="15">
        <f>IFERROR(VLOOKUP(T13,V8_COHORT_TABLE,8,FALSE),IFERROR(VLOOKUP(P13&amp;"|"&amp;Q13&amp;"|ALL|"&amp;S13,V8_COHORT_TABLE,8,FALSE),IFERROR(VLOOKUP(P13&amp;"|ALL|ALL|"&amp;S13,V8_COHORT_TABLE,8,FALSE),IFERROR(VLOOKUP(P13&amp;"|ALL|ALL|ALL",V8_COHORT_TABLE,8,FALSE),VLOOKUP("GLOBAL",V8_COHORT_TABLE,8,FALSE)))))</f>
        <v/>
      </c>
      <c r="AE13" s="15">
        <f>IFERROR(VLOOKUP(T13,V8_COHORT_TABLE,9,FALSE),IFERROR(VLOOKUP(P13&amp;"|"&amp;Q13&amp;"|ALL|"&amp;S13,V8_COHORT_TABLE,9,FALSE),IFERROR(VLOOKUP(P13&amp;"|ALL|ALL|"&amp;S13,V8_COHORT_TABLE,9,FALSE),IFERROR(VLOOKUP(P13&amp;"|ALL|ALL|ALL",V8_COHORT_TABLE,9,FALSE),VLOOKUP("GLOBAL",V8_COHORT_TABLE,9,FALSE)))))</f>
        <v/>
      </c>
      <c r="AF13" s="8">
        <f>IF(K13&lt;=0,AB13,IF(K13&gt;=240,AE13,IF(K13&lt;=24,AB13+(K13-0)/24*(AC13-AB13),IF(K13&lt;=96,AC13+(K13-24)/72*(AD13-AC13),AD13+(K13-96)/144*(AE13-AD13)))))</f>
        <v/>
      </c>
      <c r="AG13" s="8">
        <f>IF(IF(OR(L13="",NOT(ISNUMBER(L13))),360,MAX(0,MIN(480,(INT(L13/100)-INT(VALUE(F13)/100))*12+MOD(L13,100)-MOD(VALUE(F13),100))))&gt;0,1+V8_MTY_AMP*MAX(0,(V8_MTY_CUTOFF-(IF(OR(L13="",NOT(ISNUMBER(L13))),360,MAX(0,MIN(480,(INT(L13/100)-INT(VALUE(F13)/100))*12+MOD(L13,100)-MOD(VALUE(F13),100))))))/V8_MTY_CUTOFF),1)</f>
        <v/>
      </c>
      <c r="AH13" s="8">
        <f>IF(AND(IF(OR(M13="",NOT(ISNUMBER(M13))),0,MAX(0,MIN(24,(INT(VALUE(F13)/100)-INT(M13/100))*12+MOD(VALUE(F13),100)-MOD(M13,100))))&gt;0,IF(OR(M13="",NOT(ISNUMBER(M13))),0,MAX(0,MIN(24,(INT(VALUE(F13)/100)-INT(M13/100))*12+MOD(VALUE(F13),100)-MOD(M13,100))))&lt;=12),1+V8_LOCKOUT_AMP*EXP(-(IF(OR(M13="",NOT(ISNUMBER(M13))),0,MAX(0,MIN(24,(INT(VALUE(F13)/100)-INT(M13/100))*12+MOD(VALUE(F13),100)-MOD(M13,100)))))/V8_LOCKOUT_TAU),1)</f>
        <v/>
      </c>
      <c r="AI13" s="8">
        <f>MAX(V8_BURN_FLOOR,1-V8_BURN_SLOPE*MIN(1,MAX(0,O13)))</f>
        <v/>
      </c>
      <c r="AJ13" s="15">
        <f>MIN(AA13*AF13*AG13*AH13*AI13,0.2)</f>
        <v/>
      </c>
      <c r="AK13" s="16">
        <f>1-(1-AJ13)^12</f>
        <v/>
      </c>
    </row>
    <row r="14">
      <c r="A14" s="2" t="inlineStr">
        <is>
          <t>000004611186</t>
        </is>
      </c>
      <c r="B14" t="inlineStr">
        <is>
          <t>223f</t>
        </is>
      </c>
      <c r="C14" t="inlineStr">
        <is>
          <t>RP</t>
        </is>
      </c>
      <c r="D14" t="inlineStr">
        <is>
          <t>LUMENT REAL ESTATE CAPITAL,LLC</t>
        </is>
      </c>
      <c r="E14" t="n">
        <v>2019</v>
      </c>
      <c r="F14" t="inlineStr">
        <is>
          <t>202602</t>
        </is>
      </c>
      <c r="G14" s="9" t="n">
        <v>14083195.64</v>
      </c>
      <c r="H14" s="13" t="n">
        <v>2.95</v>
      </c>
      <c r="I14" s="14" t="n">
        <v>447</v>
      </c>
      <c r="J14" s="14" t="n">
        <v>4</v>
      </c>
      <c r="K14" t="n">
        <v>75</v>
      </c>
      <c r="L14" t="n">
        <v>205412</v>
      </c>
      <c r="M14" t="inlineStr"/>
      <c r="N14" t="n">
        <v>7</v>
      </c>
      <c r="O14" s="8" t="n">
        <v>0.09333333333333334</v>
      </c>
      <c r="P14">
        <f>IF(ISNUMBER(SEARCH("232",B14)),"232",IF(ISNUMBER(SEARCH("538",B14)),"538",IF(ISNUMBER(SEARCH("223a7",B14)),"223a7",IF(ISNUMBER(SEARCH("223f",B14)),"223f","OTHER"))))</f>
        <v/>
      </c>
      <c r="Q14">
        <f>IF(UPPER(C14)="NC","NC","RP")</f>
        <v/>
      </c>
      <c r="R14">
        <f>IF(G14&lt;5000000,"small",IF(G14&lt;25000000,"medium","large"))</f>
        <v/>
      </c>
      <c r="S14">
        <f>IF(K14&lt;36,"young",IF(K14&lt;120,"seasoned","aged"))</f>
        <v/>
      </c>
      <c r="T14">
        <f>P14&amp;"|"&amp;Q14&amp;"|"&amp;R14&amp;"|"&amp;S14</f>
        <v/>
      </c>
      <c r="U14" s="14">
        <f>H14*100-I14</f>
        <v/>
      </c>
      <c r="V14" s="14">
        <f>U14-12.5*(J14+1)</f>
        <v/>
      </c>
      <c r="W14" s="15">
        <f>IFERROR(VLOOKUP(T14,V8_COHORT_TABLE,2,FALSE),IFERROR(VLOOKUP(P14&amp;"|"&amp;Q14&amp;"|ALL|"&amp;S14,V8_COHORT_TABLE,2,FALSE),IFERROR(VLOOKUP(P14&amp;"|ALL|ALL|"&amp;S14,V8_COHORT_TABLE,2,FALSE),IFERROR(VLOOKUP(P14&amp;"|ALL|ALL|ALL",V8_COHORT_TABLE,2,FALSE),VLOOKUP("GLOBAL",V8_COHORT_TABLE,2,FALSE)))))</f>
        <v/>
      </c>
      <c r="X14" s="15">
        <f>IFERROR(VLOOKUP(T14,V8_COHORT_TABLE,3,FALSE),IFERROR(VLOOKUP(P14&amp;"|"&amp;Q14&amp;"|ALL|"&amp;S14,V8_COHORT_TABLE,3,FALSE),IFERROR(VLOOKUP(P14&amp;"|ALL|ALL|"&amp;S14,V8_COHORT_TABLE,3,FALSE),IFERROR(VLOOKUP(P14&amp;"|ALL|ALL|ALL",V8_COHORT_TABLE,3,FALSE),VLOOKUP("GLOBAL",V8_COHORT_TABLE,3,FALSE)))))</f>
        <v/>
      </c>
      <c r="Y14" s="15">
        <f>IFERROR(VLOOKUP(T14,V8_COHORT_TABLE,4,FALSE),IFERROR(VLOOKUP(P14&amp;"|"&amp;Q14&amp;"|ALL|"&amp;S14,V8_COHORT_TABLE,4,FALSE),IFERROR(VLOOKUP(P14&amp;"|ALL|ALL|"&amp;S14,V8_COHORT_TABLE,4,FALSE),IFERROR(VLOOKUP(P14&amp;"|ALL|ALL|ALL",V8_COHORT_TABLE,4,FALSE),VLOOKUP("GLOBAL",V8_COHORT_TABLE,4,FALSE)))))</f>
        <v/>
      </c>
      <c r="Z14" s="15">
        <f>IFERROR(VLOOKUP(T14,V8_COHORT_TABLE,5,FALSE),IFERROR(VLOOKUP(P14&amp;"|"&amp;Q14&amp;"|ALL|"&amp;S14,V8_COHORT_TABLE,5,FALSE),IFERROR(VLOOKUP(P14&amp;"|ALL|ALL|"&amp;S14,V8_COHORT_TABLE,5,FALSE),IFERROR(VLOOKUP(P14&amp;"|ALL|ALL|ALL",V8_COHORT_TABLE,5,FALSE),VLOOKUP("GLOBAL",V8_COHORT_TABLE,5,FALSE)))))</f>
        <v/>
      </c>
      <c r="AA14" s="15">
        <f>W14+X14/(1+EXP(-(V14-Y14)/Z14))</f>
        <v/>
      </c>
      <c r="AB14" s="15">
        <f>IFERROR(VLOOKUP(T14,V8_COHORT_TABLE,6,FALSE),IFERROR(VLOOKUP(P14&amp;"|"&amp;Q14&amp;"|ALL|"&amp;S14,V8_COHORT_TABLE,6,FALSE),IFERROR(VLOOKUP(P14&amp;"|ALL|ALL|"&amp;S14,V8_COHORT_TABLE,6,FALSE),IFERROR(VLOOKUP(P14&amp;"|ALL|ALL|ALL",V8_COHORT_TABLE,6,FALSE),VLOOKUP("GLOBAL",V8_COHORT_TABLE,6,FALSE)))))</f>
        <v/>
      </c>
      <c r="AC14" s="15">
        <f>IFERROR(VLOOKUP(T14,V8_COHORT_TABLE,7,FALSE),IFERROR(VLOOKUP(P14&amp;"|"&amp;Q14&amp;"|ALL|"&amp;S14,V8_COHORT_TABLE,7,FALSE),IFERROR(VLOOKUP(P14&amp;"|ALL|ALL|"&amp;S14,V8_COHORT_TABLE,7,FALSE),IFERROR(VLOOKUP(P14&amp;"|ALL|ALL|ALL",V8_COHORT_TABLE,7,FALSE),VLOOKUP("GLOBAL",V8_COHORT_TABLE,7,FALSE)))))</f>
        <v/>
      </c>
      <c r="AD14" s="15">
        <f>IFERROR(VLOOKUP(T14,V8_COHORT_TABLE,8,FALSE),IFERROR(VLOOKUP(P14&amp;"|"&amp;Q14&amp;"|ALL|"&amp;S14,V8_COHORT_TABLE,8,FALSE),IFERROR(VLOOKUP(P14&amp;"|ALL|ALL|"&amp;S14,V8_COHORT_TABLE,8,FALSE),IFERROR(VLOOKUP(P14&amp;"|ALL|ALL|ALL",V8_COHORT_TABLE,8,FALSE),VLOOKUP("GLOBAL",V8_COHORT_TABLE,8,FALSE)))))</f>
        <v/>
      </c>
      <c r="AE14" s="15">
        <f>IFERROR(VLOOKUP(T14,V8_COHORT_TABLE,9,FALSE),IFERROR(VLOOKUP(P14&amp;"|"&amp;Q14&amp;"|ALL|"&amp;S14,V8_COHORT_TABLE,9,FALSE),IFERROR(VLOOKUP(P14&amp;"|ALL|ALL|"&amp;S14,V8_COHORT_TABLE,9,FALSE),IFERROR(VLOOKUP(P14&amp;"|ALL|ALL|ALL",V8_COHORT_TABLE,9,FALSE),VLOOKUP("GLOBAL",V8_COHORT_TABLE,9,FALSE)))))</f>
        <v/>
      </c>
      <c r="AF14" s="8">
        <f>IF(K14&lt;=0,AB14,IF(K14&gt;=240,AE14,IF(K14&lt;=24,AB14+(K14-0)/24*(AC14-AB14),IF(K14&lt;=96,AC14+(K14-24)/72*(AD14-AC14),AD14+(K14-96)/144*(AE14-AD14)))))</f>
        <v/>
      </c>
      <c r="AG14" s="8">
        <f>IF(IF(OR(L14="",NOT(ISNUMBER(L14))),360,MAX(0,MIN(480,(INT(L14/100)-INT(VALUE(F14)/100))*12+MOD(L14,100)-MOD(VALUE(F14),100))))&gt;0,1+V8_MTY_AMP*MAX(0,(V8_MTY_CUTOFF-(IF(OR(L14="",NOT(ISNUMBER(L14))),360,MAX(0,MIN(480,(INT(L14/100)-INT(VALUE(F14)/100))*12+MOD(L14,100)-MOD(VALUE(F14),100))))))/V8_MTY_CUTOFF),1)</f>
        <v/>
      </c>
      <c r="AH14" s="8">
        <f>IF(AND(IF(OR(M14="",NOT(ISNUMBER(M14))),0,MAX(0,MIN(24,(INT(VALUE(F14)/100)-INT(M14/100))*12+MOD(VALUE(F14),100)-MOD(M14,100))))&gt;0,IF(OR(M14="",NOT(ISNUMBER(M14))),0,MAX(0,MIN(24,(INT(VALUE(F14)/100)-INT(M14/100))*12+MOD(VALUE(F14),100)-MOD(M14,100))))&lt;=12),1+V8_LOCKOUT_AMP*EXP(-(IF(OR(M14="",NOT(ISNUMBER(M14))),0,MAX(0,MIN(24,(INT(VALUE(F14)/100)-INT(M14/100))*12+MOD(VALUE(F14),100)-MOD(M14,100)))))/V8_LOCKOUT_TAU),1)</f>
        <v/>
      </c>
      <c r="AI14" s="8">
        <f>MAX(V8_BURN_FLOOR,1-V8_BURN_SLOPE*MIN(1,MAX(0,O14)))</f>
        <v/>
      </c>
      <c r="AJ14" s="15">
        <f>MIN(AA14*AF14*AG14*AH14*AI14,0.2)</f>
        <v/>
      </c>
      <c r="AK14" s="16">
        <f>1-(1-AJ14)^12</f>
        <v/>
      </c>
    </row>
    <row r="15">
      <c r="A15" s="2" t="inlineStr">
        <is>
          <t>000001411271</t>
        </is>
      </c>
      <c r="B15" t="inlineStr">
        <is>
          <t>223f</t>
        </is>
      </c>
      <c r="C15" t="inlineStr">
        <is>
          <t>RP</t>
        </is>
      </c>
      <c r="D15" t="inlineStr">
        <is>
          <t>LUMENT REAL ESTATE CAPITAL,LLC</t>
        </is>
      </c>
      <c r="E15" t="n">
        <v>2019</v>
      </c>
      <c r="F15" t="inlineStr">
        <is>
          <t>202602</t>
        </is>
      </c>
      <c r="G15" s="9" t="n">
        <v>6145581.88</v>
      </c>
      <c r="H15" s="13" t="n">
        <v>4.3</v>
      </c>
      <c r="I15" s="14" t="n">
        <v>447</v>
      </c>
      <c r="J15" s="14" t="n">
        <v>4</v>
      </c>
      <c r="K15" t="n">
        <v>82</v>
      </c>
      <c r="L15" t="n">
        <v>205405</v>
      </c>
      <c r="M15" t="inlineStr"/>
      <c r="N15" t="n">
        <v>35</v>
      </c>
      <c r="O15" s="8" t="n">
        <v>0.4268292682926829</v>
      </c>
      <c r="P15">
        <f>IF(ISNUMBER(SEARCH("232",B15)),"232",IF(ISNUMBER(SEARCH("538",B15)),"538",IF(ISNUMBER(SEARCH("223a7",B15)),"223a7",IF(ISNUMBER(SEARCH("223f",B15)),"223f","OTHER"))))</f>
        <v/>
      </c>
      <c r="Q15">
        <f>IF(UPPER(C15)="NC","NC","RP")</f>
        <v/>
      </c>
      <c r="R15">
        <f>IF(G15&lt;5000000,"small",IF(G15&lt;25000000,"medium","large"))</f>
        <v/>
      </c>
      <c r="S15">
        <f>IF(K15&lt;36,"young",IF(K15&lt;120,"seasoned","aged"))</f>
        <v/>
      </c>
      <c r="T15">
        <f>P15&amp;"|"&amp;Q15&amp;"|"&amp;R15&amp;"|"&amp;S15</f>
        <v/>
      </c>
      <c r="U15" s="14">
        <f>H15*100-I15</f>
        <v/>
      </c>
      <c r="V15" s="14">
        <f>U15-12.5*(J15+1)</f>
        <v/>
      </c>
      <c r="W15" s="15">
        <f>IFERROR(VLOOKUP(T15,V8_COHORT_TABLE,2,FALSE),IFERROR(VLOOKUP(P15&amp;"|"&amp;Q15&amp;"|ALL|"&amp;S15,V8_COHORT_TABLE,2,FALSE),IFERROR(VLOOKUP(P15&amp;"|ALL|ALL|"&amp;S15,V8_COHORT_TABLE,2,FALSE),IFERROR(VLOOKUP(P15&amp;"|ALL|ALL|ALL",V8_COHORT_TABLE,2,FALSE),VLOOKUP("GLOBAL",V8_COHORT_TABLE,2,FALSE)))))</f>
        <v/>
      </c>
      <c r="X15" s="15">
        <f>IFERROR(VLOOKUP(T15,V8_COHORT_TABLE,3,FALSE),IFERROR(VLOOKUP(P15&amp;"|"&amp;Q15&amp;"|ALL|"&amp;S15,V8_COHORT_TABLE,3,FALSE),IFERROR(VLOOKUP(P15&amp;"|ALL|ALL|"&amp;S15,V8_COHORT_TABLE,3,FALSE),IFERROR(VLOOKUP(P15&amp;"|ALL|ALL|ALL",V8_COHORT_TABLE,3,FALSE),VLOOKUP("GLOBAL",V8_COHORT_TABLE,3,FALSE)))))</f>
        <v/>
      </c>
      <c r="Y15" s="15">
        <f>IFERROR(VLOOKUP(T15,V8_COHORT_TABLE,4,FALSE),IFERROR(VLOOKUP(P15&amp;"|"&amp;Q15&amp;"|ALL|"&amp;S15,V8_COHORT_TABLE,4,FALSE),IFERROR(VLOOKUP(P15&amp;"|ALL|ALL|"&amp;S15,V8_COHORT_TABLE,4,FALSE),IFERROR(VLOOKUP(P15&amp;"|ALL|ALL|ALL",V8_COHORT_TABLE,4,FALSE),VLOOKUP("GLOBAL",V8_COHORT_TABLE,4,FALSE)))))</f>
        <v/>
      </c>
      <c r="Z15" s="15">
        <f>IFERROR(VLOOKUP(T15,V8_COHORT_TABLE,5,FALSE),IFERROR(VLOOKUP(P15&amp;"|"&amp;Q15&amp;"|ALL|"&amp;S15,V8_COHORT_TABLE,5,FALSE),IFERROR(VLOOKUP(P15&amp;"|ALL|ALL|"&amp;S15,V8_COHORT_TABLE,5,FALSE),IFERROR(VLOOKUP(P15&amp;"|ALL|ALL|ALL",V8_COHORT_TABLE,5,FALSE),VLOOKUP("GLOBAL",V8_COHORT_TABLE,5,FALSE)))))</f>
        <v/>
      </c>
      <c r="AA15" s="15">
        <f>W15+X15/(1+EXP(-(V15-Y15)/Z15))</f>
        <v/>
      </c>
      <c r="AB15" s="15">
        <f>IFERROR(VLOOKUP(T15,V8_COHORT_TABLE,6,FALSE),IFERROR(VLOOKUP(P15&amp;"|"&amp;Q15&amp;"|ALL|"&amp;S15,V8_COHORT_TABLE,6,FALSE),IFERROR(VLOOKUP(P15&amp;"|ALL|ALL|"&amp;S15,V8_COHORT_TABLE,6,FALSE),IFERROR(VLOOKUP(P15&amp;"|ALL|ALL|ALL",V8_COHORT_TABLE,6,FALSE),VLOOKUP("GLOBAL",V8_COHORT_TABLE,6,FALSE)))))</f>
        <v/>
      </c>
      <c r="AC15" s="15">
        <f>IFERROR(VLOOKUP(T15,V8_COHORT_TABLE,7,FALSE),IFERROR(VLOOKUP(P15&amp;"|"&amp;Q15&amp;"|ALL|"&amp;S15,V8_COHORT_TABLE,7,FALSE),IFERROR(VLOOKUP(P15&amp;"|ALL|ALL|"&amp;S15,V8_COHORT_TABLE,7,FALSE),IFERROR(VLOOKUP(P15&amp;"|ALL|ALL|ALL",V8_COHORT_TABLE,7,FALSE),VLOOKUP("GLOBAL",V8_COHORT_TABLE,7,FALSE)))))</f>
        <v/>
      </c>
      <c r="AD15" s="15">
        <f>IFERROR(VLOOKUP(T15,V8_COHORT_TABLE,8,FALSE),IFERROR(VLOOKUP(P15&amp;"|"&amp;Q15&amp;"|ALL|"&amp;S15,V8_COHORT_TABLE,8,FALSE),IFERROR(VLOOKUP(P15&amp;"|ALL|ALL|"&amp;S15,V8_COHORT_TABLE,8,FALSE),IFERROR(VLOOKUP(P15&amp;"|ALL|ALL|ALL",V8_COHORT_TABLE,8,FALSE),VLOOKUP("GLOBAL",V8_COHORT_TABLE,8,FALSE)))))</f>
        <v/>
      </c>
      <c r="AE15" s="15">
        <f>IFERROR(VLOOKUP(T15,V8_COHORT_TABLE,9,FALSE),IFERROR(VLOOKUP(P15&amp;"|"&amp;Q15&amp;"|ALL|"&amp;S15,V8_COHORT_TABLE,9,FALSE),IFERROR(VLOOKUP(P15&amp;"|ALL|ALL|"&amp;S15,V8_COHORT_TABLE,9,FALSE),IFERROR(VLOOKUP(P15&amp;"|ALL|ALL|ALL",V8_COHORT_TABLE,9,FALSE),VLOOKUP("GLOBAL",V8_COHORT_TABLE,9,FALSE)))))</f>
        <v/>
      </c>
      <c r="AF15" s="8">
        <f>IF(K15&lt;=0,AB15,IF(K15&gt;=240,AE15,IF(K15&lt;=24,AB15+(K15-0)/24*(AC15-AB15),IF(K15&lt;=96,AC15+(K15-24)/72*(AD15-AC15),AD15+(K15-96)/144*(AE15-AD15)))))</f>
        <v/>
      </c>
      <c r="AG15" s="8">
        <f>IF(IF(OR(L15="",NOT(ISNUMBER(L15))),360,MAX(0,MIN(480,(INT(L15/100)-INT(VALUE(F15)/100))*12+MOD(L15,100)-MOD(VALUE(F15),100))))&gt;0,1+V8_MTY_AMP*MAX(0,(V8_MTY_CUTOFF-(IF(OR(L15="",NOT(ISNUMBER(L15))),360,MAX(0,MIN(480,(INT(L15/100)-INT(VALUE(F15)/100))*12+MOD(L15,100)-MOD(VALUE(F15),100))))))/V8_MTY_CUTOFF),1)</f>
        <v/>
      </c>
      <c r="AH15" s="8">
        <f>IF(AND(IF(OR(M15="",NOT(ISNUMBER(M15))),0,MAX(0,MIN(24,(INT(VALUE(F15)/100)-INT(M15/100))*12+MOD(VALUE(F15),100)-MOD(M15,100))))&gt;0,IF(OR(M15="",NOT(ISNUMBER(M15))),0,MAX(0,MIN(24,(INT(VALUE(F15)/100)-INT(M15/100))*12+MOD(VALUE(F15),100)-MOD(M15,100))))&lt;=12),1+V8_LOCKOUT_AMP*EXP(-(IF(OR(M15="",NOT(ISNUMBER(M15))),0,MAX(0,MIN(24,(INT(VALUE(F15)/100)-INT(M15/100))*12+MOD(VALUE(F15),100)-MOD(M15,100)))))/V8_LOCKOUT_TAU),1)</f>
        <v/>
      </c>
      <c r="AI15" s="8">
        <f>MAX(V8_BURN_FLOOR,1-V8_BURN_SLOPE*MIN(1,MAX(0,O15)))</f>
        <v/>
      </c>
      <c r="AJ15" s="15">
        <f>MIN(AA15*AF15*AG15*AH15*AI15,0.2)</f>
        <v/>
      </c>
      <c r="AK15" s="16">
        <f>1-(1-AJ15)^12</f>
        <v/>
      </c>
    </row>
    <row r="16">
      <c r="A16" s="2" t="inlineStr">
        <is>
          <t>000008311235</t>
        </is>
      </c>
      <c r="B16" t="inlineStr">
        <is>
          <t>223f</t>
        </is>
      </c>
      <c r="C16" t="inlineStr">
        <is>
          <t>RP</t>
        </is>
      </c>
      <c r="D16" t="inlineStr">
        <is>
          <t>LUMENT REAL ESTATE CAPITAL,LLC</t>
        </is>
      </c>
      <c r="E16" t="n">
        <v>2023</v>
      </c>
      <c r="F16" t="inlineStr">
        <is>
          <t>202602</t>
        </is>
      </c>
      <c r="G16" s="9" t="n">
        <v>15752462.19</v>
      </c>
      <c r="H16" s="13" t="n">
        <v>5.1</v>
      </c>
      <c r="I16" s="14" t="n">
        <v>447</v>
      </c>
      <c r="J16" s="14" t="n">
        <v>8</v>
      </c>
      <c r="K16" t="n">
        <v>34</v>
      </c>
      <c r="L16" t="n">
        <v>205805</v>
      </c>
      <c r="M16" t="inlineStr"/>
      <c r="N16" t="n">
        <v>0</v>
      </c>
      <c r="O16" s="8" t="n">
        <v>0</v>
      </c>
      <c r="P16">
        <f>IF(ISNUMBER(SEARCH("232",B16)),"232",IF(ISNUMBER(SEARCH("538",B16)),"538",IF(ISNUMBER(SEARCH("223a7",B16)),"223a7",IF(ISNUMBER(SEARCH("223f",B16)),"223f","OTHER"))))</f>
        <v/>
      </c>
      <c r="Q16">
        <f>IF(UPPER(C16)="NC","NC","RP")</f>
        <v/>
      </c>
      <c r="R16">
        <f>IF(G16&lt;5000000,"small",IF(G16&lt;25000000,"medium","large"))</f>
        <v/>
      </c>
      <c r="S16">
        <f>IF(K16&lt;36,"young",IF(K16&lt;120,"seasoned","aged"))</f>
        <v/>
      </c>
      <c r="T16">
        <f>P16&amp;"|"&amp;Q16&amp;"|"&amp;R16&amp;"|"&amp;S16</f>
        <v/>
      </c>
      <c r="U16" s="14">
        <f>H16*100-I16</f>
        <v/>
      </c>
      <c r="V16" s="14">
        <f>U16-12.5*(J16+1)</f>
        <v/>
      </c>
      <c r="W16" s="15">
        <f>IFERROR(VLOOKUP(T16,V8_COHORT_TABLE,2,FALSE),IFERROR(VLOOKUP(P16&amp;"|"&amp;Q16&amp;"|ALL|"&amp;S16,V8_COHORT_TABLE,2,FALSE),IFERROR(VLOOKUP(P16&amp;"|ALL|ALL|"&amp;S16,V8_COHORT_TABLE,2,FALSE),IFERROR(VLOOKUP(P16&amp;"|ALL|ALL|ALL",V8_COHORT_TABLE,2,FALSE),VLOOKUP("GLOBAL",V8_COHORT_TABLE,2,FALSE)))))</f>
        <v/>
      </c>
      <c r="X16" s="15">
        <f>IFERROR(VLOOKUP(T16,V8_COHORT_TABLE,3,FALSE),IFERROR(VLOOKUP(P16&amp;"|"&amp;Q16&amp;"|ALL|"&amp;S16,V8_COHORT_TABLE,3,FALSE),IFERROR(VLOOKUP(P16&amp;"|ALL|ALL|"&amp;S16,V8_COHORT_TABLE,3,FALSE),IFERROR(VLOOKUP(P16&amp;"|ALL|ALL|ALL",V8_COHORT_TABLE,3,FALSE),VLOOKUP("GLOBAL",V8_COHORT_TABLE,3,FALSE)))))</f>
        <v/>
      </c>
      <c r="Y16" s="15">
        <f>IFERROR(VLOOKUP(T16,V8_COHORT_TABLE,4,FALSE),IFERROR(VLOOKUP(P16&amp;"|"&amp;Q16&amp;"|ALL|"&amp;S16,V8_COHORT_TABLE,4,FALSE),IFERROR(VLOOKUP(P16&amp;"|ALL|ALL|"&amp;S16,V8_COHORT_TABLE,4,FALSE),IFERROR(VLOOKUP(P16&amp;"|ALL|ALL|ALL",V8_COHORT_TABLE,4,FALSE),VLOOKUP("GLOBAL",V8_COHORT_TABLE,4,FALSE)))))</f>
        <v/>
      </c>
      <c r="Z16" s="15">
        <f>IFERROR(VLOOKUP(T16,V8_COHORT_TABLE,5,FALSE),IFERROR(VLOOKUP(P16&amp;"|"&amp;Q16&amp;"|ALL|"&amp;S16,V8_COHORT_TABLE,5,FALSE),IFERROR(VLOOKUP(P16&amp;"|ALL|ALL|"&amp;S16,V8_COHORT_TABLE,5,FALSE),IFERROR(VLOOKUP(P16&amp;"|ALL|ALL|ALL",V8_COHORT_TABLE,5,FALSE),VLOOKUP("GLOBAL",V8_COHORT_TABLE,5,FALSE)))))</f>
        <v/>
      </c>
      <c r="AA16" s="15">
        <f>W16+X16/(1+EXP(-(V16-Y16)/Z16))</f>
        <v/>
      </c>
      <c r="AB16" s="15">
        <f>IFERROR(VLOOKUP(T16,V8_COHORT_TABLE,6,FALSE),IFERROR(VLOOKUP(P16&amp;"|"&amp;Q16&amp;"|ALL|"&amp;S16,V8_COHORT_TABLE,6,FALSE),IFERROR(VLOOKUP(P16&amp;"|ALL|ALL|"&amp;S16,V8_COHORT_TABLE,6,FALSE),IFERROR(VLOOKUP(P16&amp;"|ALL|ALL|ALL",V8_COHORT_TABLE,6,FALSE),VLOOKUP("GLOBAL",V8_COHORT_TABLE,6,FALSE)))))</f>
        <v/>
      </c>
      <c r="AC16" s="15">
        <f>IFERROR(VLOOKUP(T16,V8_COHORT_TABLE,7,FALSE),IFERROR(VLOOKUP(P16&amp;"|"&amp;Q16&amp;"|ALL|"&amp;S16,V8_COHORT_TABLE,7,FALSE),IFERROR(VLOOKUP(P16&amp;"|ALL|ALL|"&amp;S16,V8_COHORT_TABLE,7,FALSE),IFERROR(VLOOKUP(P16&amp;"|ALL|ALL|ALL",V8_COHORT_TABLE,7,FALSE),VLOOKUP("GLOBAL",V8_COHORT_TABLE,7,FALSE)))))</f>
        <v/>
      </c>
      <c r="AD16" s="15">
        <f>IFERROR(VLOOKUP(T16,V8_COHORT_TABLE,8,FALSE),IFERROR(VLOOKUP(P16&amp;"|"&amp;Q16&amp;"|ALL|"&amp;S16,V8_COHORT_TABLE,8,FALSE),IFERROR(VLOOKUP(P16&amp;"|ALL|ALL|"&amp;S16,V8_COHORT_TABLE,8,FALSE),IFERROR(VLOOKUP(P16&amp;"|ALL|ALL|ALL",V8_COHORT_TABLE,8,FALSE),VLOOKUP("GLOBAL",V8_COHORT_TABLE,8,FALSE)))))</f>
        <v/>
      </c>
      <c r="AE16" s="15">
        <f>IFERROR(VLOOKUP(T16,V8_COHORT_TABLE,9,FALSE),IFERROR(VLOOKUP(P16&amp;"|"&amp;Q16&amp;"|ALL|"&amp;S16,V8_COHORT_TABLE,9,FALSE),IFERROR(VLOOKUP(P16&amp;"|ALL|ALL|"&amp;S16,V8_COHORT_TABLE,9,FALSE),IFERROR(VLOOKUP(P16&amp;"|ALL|ALL|ALL",V8_COHORT_TABLE,9,FALSE),VLOOKUP("GLOBAL",V8_COHORT_TABLE,9,FALSE)))))</f>
        <v/>
      </c>
      <c r="AF16" s="8">
        <f>IF(K16&lt;=0,AB16,IF(K16&gt;=240,AE16,IF(K16&lt;=24,AB16+(K16-0)/24*(AC16-AB16),IF(K16&lt;=96,AC16+(K16-24)/72*(AD16-AC16),AD16+(K16-96)/144*(AE16-AD16)))))</f>
        <v/>
      </c>
      <c r="AG16" s="8">
        <f>IF(IF(OR(L16="",NOT(ISNUMBER(L16))),360,MAX(0,MIN(480,(INT(L16/100)-INT(VALUE(F16)/100))*12+MOD(L16,100)-MOD(VALUE(F16),100))))&gt;0,1+V8_MTY_AMP*MAX(0,(V8_MTY_CUTOFF-(IF(OR(L16="",NOT(ISNUMBER(L16))),360,MAX(0,MIN(480,(INT(L16/100)-INT(VALUE(F16)/100))*12+MOD(L16,100)-MOD(VALUE(F16),100))))))/V8_MTY_CUTOFF),1)</f>
        <v/>
      </c>
      <c r="AH16" s="8">
        <f>IF(AND(IF(OR(M16="",NOT(ISNUMBER(M16))),0,MAX(0,MIN(24,(INT(VALUE(F16)/100)-INT(M16/100))*12+MOD(VALUE(F16),100)-MOD(M16,100))))&gt;0,IF(OR(M16="",NOT(ISNUMBER(M16))),0,MAX(0,MIN(24,(INT(VALUE(F16)/100)-INT(M16/100))*12+MOD(VALUE(F16),100)-MOD(M16,100))))&lt;=12),1+V8_LOCKOUT_AMP*EXP(-(IF(OR(M16="",NOT(ISNUMBER(M16))),0,MAX(0,MIN(24,(INT(VALUE(F16)/100)-INT(M16/100))*12+MOD(VALUE(F16),100)-MOD(M16,100)))))/V8_LOCKOUT_TAU),1)</f>
        <v/>
      </c>
      <c r="AI16" s="8">
        <f>MAX(V8_BURN_FLOOR,1-V8_BURN_SLOPE*MIN(1,MAX(0,O16)))</f>
        <v/>
      </c>
      <c r="AJ16" s="15">
        <f>MIN(AA16*AF16*AG16*AH16*AI16,0.2)</f>
        <v/>
      </c>
      <c r="AK16" s="16">
        <f>1-(1-AJ16)^12</f>
        <v/>
      </c>
    </row>
    <row r="17">
      <c r="A17" s="2" t="inlineStr">
        <is>
          <t>000001411159</t>
        </is>
      </c>
      <c r="B17" t="inlineStr">
        <is>
          <t>223f</t>
        </is>
      </c>
      <c r="C17" t="inlineStr">
        <is>
          <t>RP</t>
        </is>
      </c>
      <c r="D17" t="inlineStr">
        <is>
          <t>LUMENT REAL ESTATE CAPITAL,LLC</t>
        </is>
      </c>
      <c r="E17" t="n">
        <v>2009</v>
      </c>
      <c r="F17" t="inlineStr">
        <is>
          <t>202602</t>
        </is>
      </c>
      <c r="G17" s="9" t="n">
        <v>1334344.32</v>
      </c>
      <c r="H17" s="13" t="n">
        <v>4.29</v>
      </c>
      <c r="I17" s="14" t="n">
        <v>447</v>
      </c>
      <c r="J17" s="14" t="n">
        <v>0</v>
      </c>
      <c r="K17" t="n">
        <v>205</v>
      </c>
      <c r="L17" t="n">
        <v>204403</v>
      </c>
      <c r="M17" t="inlineStr"/>
      <c r="N17" t="n">
        <v>38</v>
      </c>
      <c r="O17" s="8" t="n">
        <v>0.1853658536585366</v>
      </c>
      <c r="P17">
        <f>IF(ISNUMBER(SEARCH("232",B17)),"232",IF(ISNUMBER(SEARCH("538",B17)),"538",IF(ISNUMBER(SEARCH("223a7",B17)),"223a7",IF(ISNUMBER(SEARCH("223f",B17)),"223f","OTHER"))))</f>
        <v/>
      </c>
      <c r="Q17">
        <f>IF(UPPER(C17)="NC","NC","RP")</f>
        <v/>
      </c>
      <c r="R17">
        <f>IF(G17&lt;5000000,"small",IF(G17&lt;25000000,"medium","large"))</f>
        <v/>
      </c>
      <c r="S17">
        <f>IF(K17&lt;36,"young",IF(K17&lt;120,"seasoned","aged"))</f>
        <v/>
      </c>
      <c r="T17">
        <f>P17&amp;"|"&amp;Q17&amp;"|"&amp;R17&amp;"|"&amp;S17</f>
        <v/>
      </c>
      <c r="U17" s="14">
        <f>H17*100-I17</f>
        <v/>
      </c>
      <c r="V17" s="14">
        <f>U17-12.5*(J17+1)</f>
        <v/>
      </c>
      <c r="W17" s="15">
        <f>IFERROR(VLOOKUP(T17,V8_COHORT_TABLE,2,FALSE),IFERROR(VLOOKUP(P17&amp;"|"&amp;Q17&amp;"|ALL|"&amp;S17,V8_COHORT_TABLE,2,FALSE),IFERROR(VLOOKUP(P17&amp;"|ALL|ALL|"&amp;S17,V8_COHORT_TABLE,2,FALSE),IFERROR(VLOOKUP(P17&amp;"|ALL|ALL|ALL",V8_COHORT_TABLE,2,FALSE),VLOOKUP("GLOBAL",V8_COHORT_TABLE,2,FALSE)))))</f>
        <v/>
      </c>
      <c r="X17" s="15">
        <f>IFERROR(VLOOKUP(T17,V8_COHORT_TABLE,3,FALSE),IFERROR(VLOOKUP(P17&amp;"|"&amp;Q17&amp;"|ALL|"&amp;S17,V8_COHORT_TABLE,3,FALSE),IFERROR(VLOOKUP(P17&amp;"|ALL|ALL|"&amp;S17,V8_COHORT_TABLE,3,FALSE),IFERROR(VLOOKUP(P17&amp;"|ALL|ALL|ALL",V8_COHORT_TABLE,3,FALSE),VLOOKUP("GLOBAL",V8_COHORT_TABLE,3,FALSE)))))</f>
        <v/>
      </c>
      <c r="Y17" s="15">
        <f>IFERROR(VLOOKUP(T17,V8_COHORT_TABLE,4,FALSE),IFERROR(VLOOKUP(P17&amp;"|"&amp;Q17&amp;"|ALL|"&amp;S17,V8_COHORT_TABLE,4,FALSE),IFERROR(VLOOKUP(P17&amp;"|ALL|ALL|"&amp;S17,V8_COHORT_TABLE,4,FALSE),IFERROR(VLOOKUP(P17&amp;"|ALL|ALL|ALL",V8_COHORT_TABLE,4,FALSE),VLOOKUP("GLOBAL",V8_COHORT_TABLE,4,FALSE)))))</f>
        <v/>
      </c>
      <c r="Z17" s="15">
        <f>IFERROR(VLOOKUP(T17,V8_COHORT_TABLE,5,FALSE),IFERROR(VLOOKUP(P17&amp;"|"&amp;Q17&amp;"|ALL|"&amp;S17,V8_COHORT_TABLE,5,FALSE),IFERROR(VLOOKUP(P17&amp;"|ALL|ALL|"&amp;S17,V8_COHORT_TABLE,5,FALSE),IFERROR(VLOOKUP(P17&amp;"|ALL|ALL|ALL",V8_COHORT_TABLE,5,FALSE),VLOOKUP("GLOBAL",V8_COHORT_TABLE,5,FALSE)))))</f>
        <v/>
      </c>
      <c r="AA17" s="15">
        <f>W17+X17/(1+EXP(-(V17-Y17)/Z17))</f>
        <v/>
      </c>
      <c r="AB17" s="15">
        <f>IFERROR(VLOOKUP(T17,V8_COHORT_TABLE,6,FALSE),IFERROR(VLOOKUP(P17&amp;"|"&amp;Q17&amp;"|ALL|"&amp;S17,V8_COHORT_TABLE,6,FALSE),IFERROR(VLOOKUP(P17&amp;"|ALL|ALL|"&amp;S17,V8_COHORT_TABLE,6,FALSE),IFERROR(VLOOKUP(P17&amp;"|ALL|ALL|ALL",V8_COHORT_TABLE,6,FALSE),VLOOKUP("GLOBAL",V8_COHORT_TABLE,6,FALSE)))))</f>
        <v/>
      </c>
      <c r="AC17" s="15">
        <f>IFERROR(VLOOKUP(T17,V8_COHORT_TABLE,7,FALSE),IFERROR(VLOOKUP(P17&amp;"|"&amp;Q17&amp;"|ALL|"&amp;S17,V8_COHORT_TABLE,7,FALSE),IFERROR(VLOOKUP(P17&amp;"|ALL|ALL|"&amp;S17,V8_COHORT_TABLE,7,FALSE),IFERROR(VLOOKUP(P17&amp;"|ALL|ALL|ALL",V8_COHORT_TABLE,7,FALSE),VLOOKUP("GLOBAL",V8_COHORT_TABLE,7,FALSE)))))</f>
        <v/>
      </c>
      <c r="AD17" s="15">
        <f>IFERROR(VLOOKUP(T17,V8_COHORT_TABLE,8,FALSE),IFERROR(VLOOKUP(P17&amp;"|"&amp;Q17&amp;"|ALL|"&amp;S17,V8_COHORT_TABLE,8,FALSE),IFERROR(VLOOKUP(P17&amp;"|ALL|ALL|"&amp;S17,V8_COHORT_TABLE,8,FALSE),IFERROR(VLOOKUP(P17&amp;"|ALL|ALL|ALL",V8_COHORT_TABLE,8,FALSE),VLOOKUP("GLOBAL",V8_COHORT_TABLE,8,FALSE)))))</f>
        <v/>
      </c>
      <c r="AE17" s="15">
        <f>IFERROR(VLOOKUP(T17,V8_COHORT_TABLE,9,FALSE),IFERROR(VLOOKUP(P17&amp;"|"&amp;Q17&amp;"|ALL|"&amp;S17,V8_COHORT_TABLE,9,FALSE),IFERROR(VLOOKUP(P17&amp;"|ALL|ALL|"&amp;S17,V8_COHORT_TABLE,9,FALSE),IFERROR(VLOOKUP(P17&amp;"|ALL|ALL|ALL",V8_COHORT_TABLE,9,FALSE),VLOOKUP("GLOBAL",V8_COHORT_TABLE,9,FALSE)))))</f>
        <v/>
      </c>
      <c r="AF17" s="8">
        <f>IF(K17&lt;=0,AB17,IF(K17&gt;=240,AE17,IF(K17&lt;=24,AB17+(K17-0)/24*(AC17-AB17),IF(K17&lt;=96,AC17+(K17-24)/72*(AD17-AC17),AD17+(K17-96)/144*(AE17-AD17)))))</f>
        <v/>
      </c>
      <c r="AG17" s="8">
        <f>IF(IF(OR(L17="",NOT(ISNUMBER(L17))),360,MAX(0,MIN(480,(INT(L17/100)-INT(VALUE(F17)/100))*12+MOD(L17,100)-MOD(VALUE(F17),100))))&gt;0,1+V8_MTY_AMP*MAX(0,(V8_MTY_CUTOFF-(IF(OR(L17="",NOT(ISNUMBER(L17))),360,MAX(0,MIN(480,(INT(L17/100)-INT(VALUE(F17)/100))*12+MOD(L17,100)-MOD(VALUE(F17),100))))))/V8_MTY_CUTOFF),1)</f>
        <v/>
      </c>
      <c r="AH17" s="8">
        <f>IF(AND(IF(OR(M17="",NOT(ISNUMBER(M17))),0,MAX(0,MIN(24,(INT(VALUE(F17)/100)-INT(M17/100))*12+MOD(VALUE(F17),100)-MOD(M17,100))))&gt;0,IF(OR(M17="",NOT(ISNUMBER(M17))),0,MAX(0,MIN(24,(INT(VALUE(F17)/100)-INT(M17/100))*12+MOD(VALUE(F17),100)-MOD(M17,100))))&lt;=12),1+V8_LOCKOUT_AMP*EXP(-(IF(OR(M17="",NOT(ISNUMBER(M17))),0,MAX(0,MIN(24,(INT(VALUE(F17)/100)-INT(M17/100))*12+MOD(VALUE(F17),100)-MOD(M17,100)))))/V8_LOCKOUT_TAU),1)</f>
        <v/>
      </c>
      <c r="AI17" s="8">
        <f>MAX(V8_BURN_FLOOR,1-V8_BURN_SLOPE*MIN(1,MAX(0,O17)))</f>
        <v/>
      </c>
      <c r="AJ17" s="15">
        <f>MIN(AA17*AF17*AG17*AH17*AI17,0.2)</f>
        <v/>
      </c>
      <c r="AK17" s="16">
        <f>1-(1-AJ17)^12</f>
        <v/>
      </c>
    </row>
    <row r="18">
      <c r="A18" s="2" t="inlineStr">
        <is>
          <t>031028004210</t>
        </is>
      </c>
      <c r="B18" t="inlineStr">
        <is>
          <t>538</t>
        </is>
      </c>
      <c r="C18" t="inlineStr">
        <is>
          <t>538</t>
        </is>
      </c>
      <c r="D18" t="inlineStr">
        <is>
          <t>LUMENT REAL ESTATE CAPITAL,LLC</t>
        </is>
      </c>
      <c r="E18" t="n">
        <v>2017</v>
      </c>
      <c r="F18" t="inlineStr">
        <is>
          <t>202602</t>
        </is>
      </c>
      <c r="G18" s="9" t="n">
        <v>1419192.88</v>
      </c>
      <c r="H18" s="13" t="n">
        <v>3.89</v>
      </c>
      <c r="I18" s="14" t="n">
        <v>447</v>
      </c>
      <c r="J18" s="14" t="n">
        <v>3</v>
      </c>
      <c r="K18" t="n">
        <v>103</v>
      </c>
      <c r="L18" t="n">
        <v>204708</v>
      </c>
      <c r="M18" t="inlineStr"/>
      <c r="N18" t="n">
        <v>31</v>
      </c>
      <c r="O18" s="8" t="n">
        <v>0.3009708737864077</v>
      </c>
      <c r="P18">
        <f>IF(ISNUMBER(SEARCH("232",B18)),"232",IF(ISNUMBER(SEARCH("538",B18)),"538",IF(ISNUMBER(SEARCH("223a7",B18)),"223a7",IF(ISNUMBER(SEARCH("223f",B18)),"223f","OTHER"))))</f>
        <v/>
      </c>
      <c r="Q18">
        <f>IF(UPPER(C18)="NC","NC","RP")</f>
        <v/>
      </c>
      <c r="R18">
        <f>IF(G18&lt;5000000,"small",IF(G18&lt;25000000,"medium","large"))</f>
        <v/>
      </c>
      <c r="S18">
        <f>IF(K18&lt;36,"young",IF(K18&lt;120,"seasoned","aged"))</f>
        <v/>
      </c>
      <c r="T18">
        <f>P18&amp;"|"&amp;Q18&amp;"|"&amp;R18&amp;"|"&amp;S18</f>
        <v/>
      </c>
      <c r="U18" s="14">
        <f>H18*100-I18</f>
        <v/>
      </c>
      <c r="V18" s="14">
        <f>U18-12.5*(J18+1)</f>
        <v/>
      </c>
      <c r="W18" s="15">
        <f>IFERROR(VLOOKUP(T18,V8_COHORT_TABLE,2,FALSE),IFERROR(VLOOKUP(P18&amp;"|"&amp;Q18&amp;"|ALL|"&amp;S18,V8_COHORT_TABLE,2,FALSE),IFERROR(VLOOKUP(P18&amp;"|ALL|ALL|"&amp;S18,V8_COHORT_TABLE,2,FALSE),IFERROR(VLOOKUP(P18&amp;"|ALL|ALL|ALL",V8_COHORT_TABLE,2,FALSE),VLOOKUP("GLOBAL",V8_COHORT_TABLE,2,FALSE)))))</f>
        <v/>
      </c>
      <c r="X18" s="15">
        <f>IFERROR(VLOOKUP(T18,V8_COHORT_TABLE,3,FALSE),IFERROR(VLOOKUP(P18&amp;"|"&amp;Q18&amp;"|ALL|"&amp;S18,V8_COHORT_TABLE,3,FALSE),IFERROR(VLOOKUP(P18&amp;"|ALL|ALL|"&amp;S18,V8_COHORT_TABLE,3,FALSE),IFERROR(VLOOKUP(P18&amp;"|ALL|ALL|ALL",V8_COHORT_TABLE,3,FALSE),VLOOKUP("GLOBAL",V8_COHORT_TABLE,3,FALSE)))))</f>
        <v/>
      </c>
      <c r="Y18" s="15">
        <f>IFERROR(VLOOKUP(T18,V8_COHORT_TABLE,4,FALSE),IFERROR(VLOOKUP(P18&amp;"|"&amp;Q18&amp;"|ALL|"&amp;S18,V8_COHORT_TABLE,4,FALSE),IFERROR(VLOOKUP(P18&amp;"|ALL|ALL|"&amp;S18,V8_COHORT_TABLE,4,FALSE),IFERROR(VLOOKUP(P18&amp;"|ALL|ALL|ALL",V8_COHORT_TABLE,4,FALSE),VLOOKUP("GLOBAL",V8_COHORT_TABLE,4,FALSE)))))</f>
        <v/>
      </c>
      <c r="Z18" s="15">
        <f>IFERROR(VLOOKUP(T18,V8_COHORT_TABLE,5,FALSE),IFERROR(VLOOKUP(P18&amp;"|"&amp;Q18&amp;"|ALL|"&amp;S18,V8_COHORT_TABLE,5,FALSE),IFERROR(VLOOKUP(P18&amp;"|ALL|ALL|"&amp;S18,V8_COHORT_TABLE,5,FALSE),IFERROR(VLOOKUP(P18&amp;"|ALL|ALL|ALL",V8_COHORT_TABLE,5,FALSE),VLOOKUP("GLOBAL",V8_COHORT_TABLE,5,FALSE)))))</f>
        <v/>
      </c>
      <c r="AA18" s="15">
        <f>W18+X18/(1+EXP(-(V18-Y18)/Z18))</f>
        <v/>
      </c>
      <c r="AB18" s="15">
        <f>IFERROR(VLOOKUP(T18,V8_COHORT_TABLE,6,FALSE),IFERROR(VLOOKUP(P18&amp;"|"&amp;Q18&amp;"|ALL|"&amp;S18,V8_COHORT_TABLE,6,FALSE),IFERROR(VLOOKUP(P18&amp;"|ALL|ALL|"&amp;S18,V8_COHORT_TABLE,6,FALSE),IFERROR(VLOOKUP(P18&amp;"|ALL|ALL|ALL",V8_COHORT_TABLE,6,FALSE),VLOOKUP("GLOBAL",V8_COHORT_TABLE,6,FALSE)))))</f>
        <v/>
      </c>
      <c r="AC18" s="15">
        <f>IFERROR(VLOOKUP(T18,V8_COHORT_TABLE,7,FALSE),IFERROR(VLOOKUP(P18&amp;"|"&amp;Q18&amp;"|ALL|"&amp;S18,V8_COHORT_TABLE,7,FALSE),IFERROR(VLOOKUP(P18&amp;"|ALL|ALL|"&amp;S18,V8_COHORT_TABLE,7,FALSE),IFERROR(VLOOKUP(P18&amp;"|ALL|ALL|ALL",V8_COHORT_TABLE,7,FALSE),VLOOKUP("GLOBAL",V8_COHORT_TABLE,7,FALSE)))))</f>
        <v/>
      </c>
      <c r="AD18" s="15">
        <f>IFERROR(VLOOKUP(T18,V8_COHORT_TABLE,8,FALSE),IFERROR(VLOOKUP(P18&amp;"|"&amp;Q18&amp;"|ALL|"&amp;S18,V8_COHORT_TABLE,8,FALSE),IFERROR(VLOOKUP(P18&amp;"|ALL|ALL|"&amp;S18,V8_COHORT_TABLE,8,FALSE),IFERROR(VLOOKUP(P18&amp;"|ALL|ALL|ALL",V8_COHORT_TABLE,8,FALSE),VLOOKUP("GLOBAL",V8_COHORT_TABLE,8,FALSE)))))</f>
        <v/>
      </c>
      <c r="AE18" s="15">
        <f>IFERROR(VLOOKUP(T18,V8_COHORT_TABLE,9,FALSE),IFERROR(VLOOKUP(P18&amp;"|"&amp;Q18&amp;"|ALL|"&amp;S18,V8_COHORT_TABLE,9,FALSE),IFERROR(VLOOKUP(P18&amp;"|ALL|ALL|"&amp;S18,V8_COHORT_TABLE,9,FALSE),IFERROR(VLOOKUP(P18&amp;"|ALL|ALL|ALL",V8_COHORT_TABLE,9,FALSE),VLOOKUP("GLOBAL",V8_COHORT_TABLE,9,FALSE)))))</f>
        <v/>
      </c>
      <c r="AF18" s="8">
        <f>IF(K18&lt;=0,AB18,IF(K18&gt;=240,AE18,IF(K18&lt;=24,AB18+(K18-0)/24*(AC18-AB18),IF(K18&lt;=96,AC18+(K18-24)/72*(AD18-AC18),AD18+(K18-96)/144*(AE18-AD18)))))</f>
        <v/>
      </c>
      <c r="AG18" s="8">
        <f>IF(IF(OR(L18="",NOT(ISNUMBER(L18))),360,MAX(0,MIN(480,(INT(L18/100)-INT(VALUE(F18)/100))*12+MOD(L18,100)-MOD(VALUE(F18),100))))&gt;0,1+V8_MTY_AMP*MAX(0,(V8_MTY_CUTOFF-(IF(OR(L18="",NOT(ISNUMBER(L18))),360,MAX(0,MIN(480,(INT(L18/100)-INT(VALUE(F18)/100))*12+MOD(L18,100)-MOD(VALUE(F18),100))))))/V8_MTY_CUTOFF),1)</f>
        <v/>
      </c>
      <c r="AH18" s="8">
        <f>IF(AND(IF(OR(M18="",NOT(ISNUMBER(M18))),0,MAX(0,MIN(24,(INT(VALUE(F18)/100)-INT(M18/100))*12+MOD(VALUE(F18),100)-MOD(M18,100))))&gt;0,IF(OR(M18="",NOT(ISNUMBER(M18))),0,MAX(0,MIN(24,(INT(VALUE(F18)/100)-INT(M18/100))*12+MOD(VALUE(F18),100)-MOD(M18,100))))&lt;=12),1+V8_LOCKOUT_AMP*EXP(-(IF(OR(M18="",NOT(ISNUMBER(M18))),0,MAX(0,MIN(24,(INT(VALUE(F18)/100)-INT(M18/100))*12+MOD(VALUE(F18),100)-MOD(M18,100)))))/V8_LOCKOUT_TAU),1)</f>
        <v/>
      </c>
      <c r="AI18" s="8">
        <f>MAX(V8_BURN_FLOOR,1-V8_BURN_SLOPE*MIN(1,MAX(0,O18)))</f>
        <v/>
      </c>
      <c r="AJ18" s="15">
        <f>MIN(AA18*AF18*AG18*AH18*AI18,0.2)</f>
        <v/>
      </c>
      <c r="AK18" s="16">
        <f>1-(1-AJ18)^12</f>
        <v/>
      </c>
    </row>
    <row r="19">
      <c r="A19" s="2" t="inlineStr">
        <is>
          <t>000002411077</t>
        </is>
      </c>
      <c r="B19" t="inlineStr">
        <is>
          <t>223f</t>
        </is>
      </c>
      <c r="C19" t="inlineStr">
        <is>
          <t>RP</t>
        </is>
      </c>
      <c r="D19" t="inlineStr">
        <is>
          <t>LUMENT REAL ESTATE CAPITAL,LLC</t>
        </is>
      </c>
      <c r="E19" t="n">
        <v>2018</v>
      </c>
      <c r="F19" t="inlineStr">
        <is>
          <t>202602</t>
        </is>
      </c>
      <c r="G19" s="9" t="n">
        <v>5685256.38</v>
      </c>
      <c r="H19" s="13" t="n">
        <v>4.02</v>
      </c>
      <c r="I19" s="14" t="n">
        <v>447</v>
      </c>
      <c r="J19" s="14" t="n">
        <v>3</v>
      </c>
      <c r="K19" t="n">
        <v>93</v>
      </c>
      <c r="L19" t="n">
        <v>205306</v>
      </c>
      <c r="M19" t="inlineStr"/>
      <c r="N19" t="n">
        <v>32</v>
      </c>
      <c r="O19" s="8" t="n">
        <v>0.3440860215053764</v>
      </c>
      <c r="P19">
        <f>IF(ISNUMBER(SEARCH("232",B19)),"232",IF(ISNUMBER(SEARCH("538",B19)),"538",IF(ISNUMBER(SEARCH("223a7",B19)),"223a7",IF(ISNUMBER(SEARCH("223f",B19)),"223f","OTHER"))))</f>
        <v/>
      </c>
      <c r="Q19">
        <f>IF(UPPER(C19)="NC","NC","RP")</f>
        <v/>
      </c>
      <c r="R19">
        <f>IF(G19&lt;5000000,"small",IF(G19&lt;25000000,"medium","large"))</f>
        <v/>
      </c>
      <c r="S19">
        <f>IF(K19&lt;36,"young",IF(K19&lt;120,"seasoned","aged"))</f>
        <v/>
      </c>
      <c r="T19">
        <f>P19&amp;"|"&amp;Q19&amp;"|"&amp;R19&amp;"|"&amp;S19</f>
        <v/>
      </c>
      <c r="U19" s="14">
        <f>H19*100-I19</f>
        <v/>
      </c>
      <c r="V19" s="14">
        <f>U19-12.5*(J19+1)</f>
        <v/>
      </c>
      <c r="W19" s="15">
        <f>IFERROR(VLOOKUP(T19,V8_COHORT_TABLE,2,FALSE),IFERROR(VLOOKUP(P19&amp;"|"&amp;Q19&amp;"|ALL|"&amp;S19,V8_COHORT_TABLE,2,FALSE),IFERROR(VLOOKUP(P19&amp;"|ALL|ALL|"&amp;S19,V8_COHORT_TABLE,2,FALSE),IFERROR(VLOOKUP(P19&amp;"|ALL|ALL|ALL",V8_COHORT_TABLE,2,FALSE),VLOOKUP("GLOBAL",V8_COHORT_TABLE,2,FALSE)))))</f>
        <v/>
      </c>
      <c r="X19" s="15">
        <f>IFERROR(VLOOKUP(T19,V8_COHORT_TABLE,3,FALSE),IFERROR(VLOOKUP(P19&amp;"|"&amp;Q19&amp;"|ALL|"&amp;S19,V8_COHORT_TABLE,3,FALSE),IFERROR(VLOOKUP(P19&amp;"|ALL|ALL|"&amp;S19,V8_COHORT_TABLE,3,FALSE),IFERROR(VLOOKUP(P19&amp;"|ALL|ALL|ALL",V8_COHORT_TABLE,3,FALSE),VLOOKUP("GLOBAL",V8_COHORT_TABLE,3,FALSE)))))</f>
        <v/>
      </c>
      <c r="Y19" s="15">
        <f>IFERROR(VLOOKUP(T19,V8_COHORT_TABLE,4,FALSE),IFERROR(VLOOKUP(P19&amp;"|"&amp;Q19&amp;"|ALL|"&amp;S19,V8_COHORT_TABLE,4,FALSE),IFERROR(VLOOKUP(P19&amp;"|ALL|ALL|"&amp;S19,V8_COHORT_TABLE,4,FALSE),IFERROR(VLOOKUP(P19&amp;"|ALL|ALL|ALL",V8_COHORT_TABLE,4,FALSE),VLOOKUP("GLOBAL",V8_COHORT_TABLE,4,FALSE)))))</f>
        <v/>
      </c>
      <c r="Z19" s="15">
        <f>IFERROR(VLOOKUP(T19,V8_COHORT_TABLE,5,FALSE),IFERROR(VLOOKUP(P19&amp;"|"&amp;Q19&amp;"|ALL|"&amp;S19,V8_COHORT_TABLE,5,FALSE),IFERROR(VLOOKUP(P19&amp;"|ALL|ALL|"&amp;S19,V8_COHORT_TABLE,5,FALSE),IFERROR(VLOOKUP(P19&amp;"|ALL|ALL|ALL",V8_COHORT_TABLE,5,FALSE),VLOOKUP("GLOBAL",V8_COHORT_TABLE,5,FALSE)))))</f>
        <v/>
      </c>
      <c r="AA19" s="15">
        <f>W19+X19/(1+EXP(-(V19-Y19)/Z19))</f>
        <v/>
      </c>
      <c r="AB19" s="15">
        <f>IFERROR(VLOOKUP(T19,V8_COHORT_TABLE,6,FALSE),IFERROR(VLOOKUP(P19&amp;"|"&amp;Q19&amp;"|ALL|"&amp;S19,V8_COHORT_TABLE,6,FALSE),IFERROR(VLOOKUP(P19&amp;"|ALL|ALL|"&amp;S19,V8_COHORT_TABLE,6,FALSE),IFERROR(VLOOKUP(P19&amp;"|ALL|ALL|ALL",V8_COHORT_TABLE,6,FALSE),VLOOKUP("GLOBAL",V8_COHORT_TABLE,6,FALSE)))))</f>
        <v/>
      </c>
      <c r="AC19" s="15">
        <f>IFERROR(VLOOKUP(T19,V8_COHORT_TABLE,7,FALSE),IFERROR(VLOOKUP(P19&amp;"|"&amp;Q19&amp;"|ALL|"&amp;S19,V8_COHORT_TABLE,7,FALSE),IFERROR(VLOOKUP(P19&amp;"|ALL|ALL|"&amp;S19,V8_COHORT_TABLE,7,FALSE),IFERROR(VLOOKUP(P19&amp;"|ALL|ALL|ALL",V8_COHORT_TABLE,7,FALSE),VLOOKUP("GLOBAL",V8_COHORT_TABLE,7,FALSE)))))</f>
        <v/>
      </c>
      <c r="AD19" s="15">
        <f>IFERROR(VLOOKUP(T19,V8_COHORT_TABLE,8,FALSE),IFERROR(VLOOKUP(P19&amp;"|"&amp;Q19&amp;"|ALL|"&amp;S19,V8_COHORT_TABLE,8,FALSE),IFERROR(VLOOKUP(P19&amp;"|ALL|ALL|"&amp;S19,V8_COHORT_TABLE,8,FALSE),IFERROR(VLOOKUP(P19&amp;"|ALL|ALL|ALL",V8_COHORT_TABLE,8,FALSE),VLOOKUP("GLOBAL",V8_COHORT_TABLE,8,FALSE)))))</f>
        <v/>
      </c>
      <c r="AE19" s="15">
        <f>IFERROR(VLOOKUP(T19,V8_COHORT_TABLE,9,FALSE),IFERROR(VLOOKUP(P19&amp;"|"&amp;Q19&amp;"|ALL|"&amp;S19,V8_COHORT_TABLE,9,FALSE),IFERROR(VLOOKUP(P19&amp;"|ALL|ALL|"&amp;S19,V8_COHORT_TABLE,9,FALSE),IFERROR(VLOOKUP(P19&amp;"|ALL|ALL|ALL",V8_COHORT_TABLE,9,FALSE),VLOOKUP("GLOBAL",V8_COHORT_TABLE,9,FALSE)))))</f>
        <v/>
      </c>
      <c r="AF19" s="8">
        <f>IF(K19&lt;=0,AB19,IF(K19&gt;=240,AE19,IF(K19&lt;=24,AB19+(K19-0)/24*(AC19-AB19),IF(K19&lt;=96,AC19+(K19-24)/72*(AD19-AC19),AD19+(K19-96)/144*(AE19-AD19)))))</f>
        <v/>
      </c>
      <c r="AG19" s="8">
        <f>IF(IF(OR(L19="",NOT(ISNUMBER(L19))),360,MAX(0,MIN(480,(INT(L19/100)-INT(VALUE(F19)/100))*12+MOD(L19,100)-MOD(VALUE(F19),100))))&gt;0,1+V8_MTY_AMP*MAX(0,(V8_MTY_CUTOFF-(IF(OR(L19="",NOT(ISNUMBER(L19))),360,MAX(0,MIN(480,(INT(L19/100)-INT(VALUE(F19)/100))*12+MOD(L19,100)-MOD(VALUE(F19),100))))))/V8_MTY_CUTOFF),1)</f>
        <v/>
      </c>
      <c r="AH19" s="8">
        <f>IF(AND(IF(OR(M19="",NOT(ISNUMBER(M19))),0,MAX(0,MIN(24,(INT(VALUE(F19)/100)-INT(M19/100))*12+MOD(VALUE(F19),100)-MOD(M19,100))))&gt;0,IF(OR(M19="",NOT(ISNUMBER(M19))),0,MAX(0,MIN(24,(INT(VALUE(F19)/100)-INT(M19/100))*12+MOD(VALUE(F19),100)-MOD(M19,100))))&lt;=12),1+V8_LOCKOUT_AMP*EXP(-(IF(OR(M19="",NOT(ISNUMBER(M19))),0,MAX(0,MIN(24,(INT(VALUE(F19)/100)-INT(M19/100))*12+MOD(VALUE(F19),100)-MOD(M19,100)))))/V8_LOCKOUT_TAU),1)</f>
        <v/>
      </c>
      <c r="AI19" s="8">
        <f>MAX(V8_BURN_FLOOR,1-V8_BURN_SLOPE*MIN(1,MAX(0,O19)))</f>
        <v/>
      </c>
      <c r="AJ19" s="15">
        <f>MIN(AA19*AF19*AG19*AH19*AI19,0.2)</f>
        <v/>
      </c>
      <c r="AK19" s="16">
        <f>1-(1-AJ19)^12</f>
        <v/>
      </c>
    </row>
    <row r="20">
      <c r="A20" s="2" t="inlineStr">
        <is>
          <t>000010535250</t>
        </is>
      </c>
      <c r="B20" t="inlineStr">
        <is>
          <t>221d4</t>
        </is>
      </c>
      <c r="C20" t="inlineStr">
        <is>
          <t>NC</t>
        </is>
      </c>
      <c r="D20" t="inlineStr">
        <is>
          <t>LUMENT REAL ESTATE CAPITAL,LLC</t>
        </is>
      </c>
      <c r="E20" t="n">
        <v>2015</v>
      </c>
      <c r="F20" t="inlineStr">
        <is>
          <t>202602</t>
        </is>
      </c>
      <c r="G20" s="9" t="n">
        <v>2808410.87</v>
      </c>
      <c r="H20" s="13" t="n">
        <v>3.35</v>
      </c>
      <c r="I20" s="14" t="n">
        <v>447</v>
      </c>
      <c r="J20" s="14" t="n">
        <v>1</v>
      </c>
      <c r="K20" t="n">
        <v>128</v>
      </c>
      <c r="L20" t="n">
        <v>205604</v>
      </c>
      <c r="M20" t="inlineStr"/>
      <c r="N20" t="n">
        <v>27</v>
      </c>
      <c r="O20" s="8" t="n">
        <v>0.2109375</v>
      </c>
      <c r="P20">
        <f>IF(ISNUMBER(SEARCH("232",B20)),"232",IF(ISNUMBER(SEARCH("538",B20)),"538",IF(ISNUMBER(SEARCH("223a7",B20)),"223a7",IF(ISNUMBER(SEARCH("223f",B20)),"223f","OTHER"))))</f>
        <v/>
      </c>
      <c r="Q20">
        <f>IF(UPPER(C20)="NC","NC","RP")</f>
        <v/>
      </c>
      <c r="R20">
        <f>IF(G20&lt;5000000,"small",IF(G20&lt;25000000,"medium","large"))</f>
        <v/>
      </c>
      <c r="S20">
        <f>IF(K20&lt;36,"young",IF(K20&lt;120,"seasoned","aged"))</f>
        <v/>
      </c>
      <c r="T20">
        <f>P20&amp;"|"&amp;Q20&amp;"|"&amp;R20&amp;"|"&amp;S20</f>
        <v/>
      </c>
      <c r="U20" s="14">
        <f>H20*100-I20</f>
        <v/>
      </c>
      <c r="V20" s="14">
        <f>U20-12.5*(J20+1)</f>
        <v/>
      </c>
      <c r="W20" s="15">
        <f>IFERROR(VLOOKUP(T20,V8_COHORT_TABLE,2,FALSE),IFERROR(VLOOKUP(P20&amp;"|"&amp;Q20&amp;"|ALL|"&amp;S20,V8_COHORT_TABLE,2,FALSE),IFERROR(VLOOKUP(P20&amp;"|ALL|ALL|"&amp;S20,V8_COHORT_TABLE,2,FALSE),IFERROR(VLOOKUP(P20&amp;"|ALL|ALL|ALL",V8_COHORT_TABLE,2,FALSE),VLOOKUP("GLOBAL",V8_COHORT_TABLE,2,FALSE)))))</f>
        <v/>
      </c>
      <c r="X20" s="15">
        <f>IFERROR(VLOOKUP(T20,V8_COHORT_TABLE,3,FALSE),IFERROR(VLOOKUP(P20&amp;"|"&amp;Q20&amp;"|ALL|"&amp;S20,V8_COHORT_TABLE,3,FALSE),IFERROR(VLOOKUP(P20&amp;"|ALL|ALL|"&amp;S20,V8_COHORT_TABLE,3,FALSE),IFERROR(VLOOKUP(P20&amp;"|ALL|ALL|ALL",V8_COHORT_TABLE,3,FALSE),VLOOKUP("GLOBAL",V8_COHORT_TABLE,3,FALSE)))))</f>
        <v/>
      </c>
      <c r="Y20" s="15">
        <f>IFERROR(VLOOKUP(T20,V8_COHORT_TABLE,4,FALSE),IFERROR(VLOOKUP(P20&amp;"|"&amp;Q20&amp;"|ALL|"&amp;S20,V8_COHORT_TABLE,4,FALSE),IFERROR(VLOOKUP(P20&amp;"|ALL|ALL|"&amp;S20,V8_COHORT_TABLE,4,FALSE),IFERROR(VLOOKUP(P20&amp;"|ALL|ALL|ALL",V8_COHORT_TABLE,4,FALSE),VLOOKUP("GLOBAL",V8_COHORT_TABLE,4,FALSE)))))</f>
        <v/>
      </c>
      <c r="Z20" s="15">
        <f>IFERROR(VLOOKUP(T20,V8_COHORT_TABLE,5,FALSE),IFERROR(VLOOKUP(P20&amp;"|"&amp;Q20&amp;"|ALL|"&amp;S20,V8_COHORT_TABLE,5,FALSE),IFERROR(VLOOKUP(P20&amp;"|ALL|ALL|"&amp;S20,V8_COHORT_TABLE,5,FALSE),IFERROR(VLOOKUP(P20&amp;"|ALL|ALL|ALL",V8_COHORT_TABLE,5,FALSE),VLOOKUP("GLOBAL",V8_COHORT_TABLE,5,FALSE)))))</f>
        <v/>
      </c>
      <c r="AA20" s="15">
        <f>W20+X20/(1+EXP(-(V20-Y20)/Z20))</f>
        <v/>
      </c>
      <c r="AB20" s="15">
        <f>IFERROR(VLOOKUP(T20,V8_COHORT_TABLE,6,FALSE),IFERROR(VLOOKUP(P20&amp;"|"&amp;Q20&amp;"|ALL|"&amp;S20,V8_COHORT_TABLE,6,FALSE),IFERROR(VLOOKUP(P20&amp;"|ALL|ALL|"&amp;S20,V8_COHORT_TABLE,6,FALSE),IFERROR(VLOOKUP(P20&amp;"|ALL|ALL|ALL",V8_COHORT_TABLE,6,FALSE),VLOOKUP("GLOBAL",V8_COHORT_TABLE,6,FALSE)))))</f>
        <v/>
      </c>
      <c r="AC20" s="15">
        <f>IFERROR(VLOOKUP(T20,V8_COHORT_TABLE,7,FALSE),IFERROR(VLOOKUP(P20&amp;"|"&amp;Q20&amp;"|ALL|"&amp;S20,V8_COHORT_TABLE,7,FALSE),IFERROR(VLOOKUP(P20&amp;"|ALL|ALL|"&amp;S20,V8_COHORT_TABLE,7,FALSE),IFERROR(VLOOKUP(P20&amp;"|ALL|ALL|ALL",V8_COHORT_TABLE,7,FALSE),VLOOKUP("GLOBAL",V8_COHORT_TABLE,7,FALSE)))))</f>
        <v/>
      </c>
      <c r="AD20" s="15">
        <f>IFERROR(VLOOKUP(T20,V8_COHORT_TABLE,8,FALSE),IFERROR(VLOOKUP(P20&amp;"|"&amp;Q20&amp;"|ALL|"&amp;S20,V8_COHORT_TABLE,8,FALSE),IFERROR(VLOOKUP(P20&amp;"|ALL|ALL|"&amp;S20,V8_COHORT_TABLE,8,FALSE),IFERROR(VLOOKUP(P20&amp;"|ALL|ALL|ALL",V8_COHORT_TABLE,8,FALSE),VLOOKUP("GLOBAL",V8_COHORT_TABLE,8,FALSE)))))</f>
        <v/>
      </c>
      <c r="AE20" s="15">
        <f>IFERROR(VLOOKUP(T20,V8_COHORT_TABLE,9,FALSE),IFERROR(VLOOKUP(P20&amp;"|"&amp;Q20&amp;"|ALL|"&amp;S20,V8_COHORT_TABLE,9,FALSE),IFERROR(VLOOKUP(P20&amp;"|ALL|ALL|"&amp;S20,V8_COHORT_TABLE,9,FALSE),IFERROR(VLOOKUP(P20&amp;"|ALL|ALL|ALL",V8_COHORT_TABLE,9,FALSE),VLOOKUP("GLOBAL",V8_COHORT_TABLE,9,FALSE)))))</f>
        <v/>
      </c>
      <c r="AF20" s="8">
        <f>IF(K20&lt;=0,AB20,IF(K20&gt;=240,AE20,IF(K20&lt;=24,AB20+(K20-0)/24*(AC20-AB20),IF(K20&lt;=96,AC20+(K20-24)/72*(AD20-AC20),AD20+(K20-96)/144*(AE20-AD20)))))</f>
        <v/>
      </c>
      <c r="AG20" s="8">
        <f>IF(IF(OR(L20="",NOT(ISNUMBER(L20))),360,MAX(0,MIN(480,(INT(L20/100)-INT(VALUE(F20)/100))*12+MOD(L20,100)-MOD(VALUE(F20),100))))&gt;0,1+V8_MTY_AMP*MAX(0,(V8_MTY_CUTOFF-(IF(OR(L20="",NOT(ISNUMBER(L20))),360,MAX(0,MIN(480,(INT(L20/100)-INT(VALUE(F20)/100))*12+MOD(L20,100)-MOD(VALUE(F20),100))))))/V8_MTY_CUTOFF),1)</f>
        <v/>
      </c>
      <c r="AH20" s="8">
        <f>IF(AND(IF(OR(M20="",NOT(ISNUMBER(M20))),0,MAX(0,MIN(24,(INT(VALUE(F20)/100)-INT(M20/100))*12+MOD(VALUE(F20),100)-MOD(M20,100))))&gt;0,IF(OR(M20="",NOT(ISNUMBER(M20))),0,MAX(0,MIN(24,(INT(VALUE(F20)/100)-INT(M20/100))*12+MOD(VALUE(F20),100)-MOD(M20,100))))&lt;=12),1+V8_LOCKOUT_AMP*EXP(-(IF(OR(M20="",NOT(ISNUMBER(M20))),0,MAX(0,MIN(24,(INT(VALUE(F20)/100)-INT(M20/100))*12+MOD(VALUE(F20),100)-MOD(M20,100)))))/V8_LOCKOUT_TAU),1)</f>
        <v/>
      </c>
      <c r="AI20" s="8">
        <f>MAX(V8_BURN_FLOOR,1-V8_BURN_SLOPE*MIN(1,MAX(0,O20)))</f>
        <v/>
      </c>
      <c r="AJ20" s="15">
        <f>MIN(AA20*AF20*AG20*AH20*AI20,0.2)</f>
        <v/>
      </c>
      <c r="AK20" s="16">
        <f>1-(1-AJ20)^12</f>
        <v/>
      </c>
    </row>
    <row r="21">
      <c r="A21" s="2" t="inlineStr">
        <is>
          <t>000012211483</t>
        </is>
      </c>
      <c r="B21" t="inlineStr">
        <is>
          <t>223f</t>
        </is>
      </c>
      <c r="C21" t="inlineStr">
        <is>
          <t>RP</t>
        </is>
      </c>
      <c r="D21" t="inlineStr">
        <is>
          <t>LUMENT REAL ESTATE CAPITAL,LLC</t>
        </is>
      </c>
      <c r="E21" t="n">
        <v>2022</v>
      </c>
      <c r="F21" t="inlineStr">
        <is>
          <t>202602</t>
        </is>
      </c>
      <c r="G21" s="9" t="n">
        <v>11152290.91</v>
      </c>
      <c r="H21" s="13" t="n">
        <v>2.6</v>
      </c>
      <c r="I21" s="14" t="n">
        <v>447</v>
      </c>
      <c r="J21" s="14" t="n">
        <v>7</v>
      </c>
      <c r="K21" t="n">
        <v>47</v>
      </c>
      <c r="L21" t="n">
        <v>205704</v>
      </c>
      <c r="M21" t="inlineStr"/>
      <c r="N21" t="n">
        <v>0</v>
      </c>
      <c r="O21" s="8" t="n">
        <v>0</v>
      </c>
      <c r="P21">
        <f>IF(ISNUMBER(SEARCH("232",B21)),"232",IF(ISNUMBER(SEARCH("538",B21)),"538",IF(ISNUMBER(SEARCH("223a7",B21)),"223a7",IF(ISNUMBER(SEARCH("223f",B21)),"223f","OTHER"))))</f>
        <v/>
      </c>
      <c r="Q21">
        <f>IF(UPPER(C21)="NC","NC","RP")</f>
        <v/>
      </c>
      <c r="R21">
        <f>IF(G21&lt;5000000,"small",IF(G21&lt;25000000,"medium","large"))</f>
        <v/>
      </c>
      <c r="S21">
        <f>IF(K21&lt;36,"young",IF(K21&lt;120,"seasoned","aged"))</f>
        <v/>
      </c>
      <c r="T21">
        <f>P21&amp;"|"&amp;Q21&amp;"|"&amp;R21&amp;"|"&amp;S21</f>
        <v/>
      </c>
      <c r="U21" s="14">
        <f>H21*100-I21</f>
        <v/>
      </c>
      <c r="V21" s="14">
        <f>U21-12.5*(J21+1)</f>
        <v/>
      </c>
      <c r="W21" s="15">
        <f>IFERROR(VLOOKUP(T21,V8_COHORT_TABLE,2,FALSE),IFERROR(VLOOKUP(P21&amp;"|"&amp;Q21&amp;"|ALL|"&amp;S21,V8_COHORT_TABLE,2,FALSE),IFERROR(VLOOKUP(P21&amp;"|ALL|ALL|"&amp;S21,V8_COHORT_TABLE,2,FALSE),IFERROR(VLOOKUP(P21&amp;"|ALL|ALL|ALL",V8_COHORT_TABLE,2,FALSE),VLOOKUP("GLOBAL",V8_COHORT_TABLE,2,FALSE)))))</f>
        <v/>
      </c>
      <c r="X21" s="15">
        <f>IFERROR(VLOOKUP(T21,V8_COHORT_TABLE,3,FALSE),IFERROR(VLOOKUP(P21&amp;"|"&amp;Q21&amp;"|ALL|"&amp;S21,V8_COHORT_TABLE,3,FALSE),IFERROR(VLOOKUP(P21&amp;"|ALL|ALL|"&amp;S21,V8_COHORT_TABLE,3,FALSE),IFERROR(VLOOKUP(P21&amp;"|ALL|ALL|ALL",V8_COHORT_TABLE,3,FALSE),VLOOKUP("GLOBAL",V8_COHORT_TABLE,3,FALSE)))))</f>
        <v/>
      </c>
      <c r="Y21" s="15">
        <f>IFERROR(VLOOKUP(T21,V8_COHORT_TABLE,4,FALSE),IFERROR(VLOOKUP(P21&amp;"|"&amp;Q21&amp;"|ALL|"&amp;S21,V8_COHORT_TABLE,4,FALSE),IFERROR(VLOOKUP(P21&amp;"|ALL|ALL|"&amp;S21,V8_COHORT_TABLE,4,FALSE),IFERROR(VLOOKUP(P21&amp;"|ALL|ALL|ALL",V8_COHORT_TABLE,4,FALSE),VLOOKUP("GLOBAL",V8_COHORT_TABLE,4,FALSE)))))</f>
        <v/>
      </c>
      <c r="Z21" s="15">
        <f>IFERROR(VLOOKUP(T21,V8_COHORT_TABLE,5,FALSE),IFERROR(VLOOKUP(P21&amp;"|"&amp;Q21&amp;"|ALL|"&amp;S21,V8_COHORT_TABLE,5,FALSE),IFERROR(VLOOKUP(P21&amp;"|ALL|ALL|"&amp;S21,V8_COHORT_TABLE,5,FALSE),IFERROR(VLOOKUP(P21&amp;"|ALL|ALL|ALL",V8_COHORT_TABLE,5,FALSE),VLOOKUP("GLOBAL",V8_COHORT_TABLE,5,FALSE)))))</f>
        <v/>
      </c>
      <c r="AA21" s="15">
        <f>W21+X21/(1+EXP(-(V21-Y21)/Z21))</f>
        <v/>
      </c>
      <c r="AB21" s="15">
        <f>IFERROR(VLOOKUP(T21,V8_COHORT_TABLE,6,FALSE),IFERROR(VLOOKUP(P21&amp;"|"&amp;Q21&amp;"|ALL|"&amp;S21,V8_COHORT_TABLE,6,FALSE),IFERROR(VLOOKUP(P21&amp;"|ALL|ALL|"&amp;S21,V8_COHORT_TABLE,6,FALSE),IFERROR(VLOOKUP(P21&amp;"|ALL|ALL|ALL",V8_COHORT_TABLE,6,FALSE),VLOOKUP("GLOBAL",V8_COHORT_TABLE,6,FALSE)))))</f>
        <v/>
      </c>
      <c r="AC21" s="15">
        <f>IFERROR(VLOOKUP(T21,V8_COHORT_TABLE,7,FALSE),IFERROR(VLOOKUP(P21&amp;"|"&amp;Q21&amp;"|ALL|"&amp;S21,V8_COHORT_TABLE,7,FALSE),IFERROR(VLOOKUP(P21&amp;"|ALL|ALL|"&amp;S21,V8_COHORT_TABLE,7,FALSE),IFERROR(VLOOKUP(P21&amp;"|ALL|ALL|ALL",V8_COHORT_TABLE,7,FALSE),VLOOKUP("GLOBAL",V8_COHORT_TABLE,7,FALSE)))))</f>
        <v/>
      </c>
      <c r="AD21" s="15">
        <f>IFERROR(VLOOKUP(T21,V8_COHORT_TABLE,8,FALSE),IFERROR(VLOOKUP(P21&amp;"|"&amp;Q21&amp;"|ALL|"&amp;S21,V8_COHORT_TABLE,8,FALSE),IFERROR(VLOOKUP(P21&amp;"|ALL|ALL|"&amp;S21,V8_COHORT_TABLE,8,FALSE),IFERROR(VLOOKUP(P21&amp;"|ALL|ALL|ALL",V8_COHORT_TABLE,8,FALSE),VLOOKUP("GLOBAL",V8_COHORT_TABLE,8,FALSE)))))</f>
        <v/>
      </c>
      <c r="AE21" s="15">
        <f>IFERROR(VLOOKUP(T21,V8_COHORT_TABLE,9,FALSE),IFERROR(VLOOKUP(P21&amp;"|"&amp;Q21&amp;"|ALL|"&amp;S21,V8_COHORT_TABLE,9,FALSE),IFERROR(VLOOKUP(P21&amp;"|ALL|ALL|"&amp;S21,V8_COHORT_TABLE,9,FALSE),IFERROR(VLOOKUP(P21&amp;"|ALL|ALL|ALL",V8_COHORT_TABLE,9,FALSE),VLOOKUP("GLOBAL",V8_COHORT_TABLE,9,FALSE)))))</f>
        <v/>
      </c>
      <c r="AF21" s="8">
        <f>IF(K21&lt;=0,AB21,IF(K21&gt;=240,AE21,IF(K21&lt;=24,AB21+(K21-0)/24*(AC21-AB21),IF(K21&lt;=96,AC21+(K21-24)/72*(AD21-AC21),AD21+(K21-96)/144*(AE21-AD21)))))</f>
        <v/>
      </c>
      <c r="AG21" s="8">
        <f>IF(IF(OR(L21="",NOT(ISNUMBER(L21))),360,MAX(0,MIN(480,(INT(L21/100)-INT(VALUE(F21)/100))*12+MOD(L21,100)-MOD(VALUE(F21),100))))&gt;0,1+V8_MTY_AMP*MAX(0,(V8_MTY_CUTOFF-(IF(OR(L21="",NOT(ISNUMBER(L21))),360,MAX(0,MIN(480,(INT(L21/100)-INT(VALUE(F21)/100))*12+MOD(L21,100)-MOD(VALUE(F21),100))))))/V8_MTY_CUTOFF),1)</f>
        <v/>
      </c>
      <c r="AH21" s="8">
        <f>IF(AND(IF(OR(M21="",NOT(ISNUMBER(M21))),0,MAX(0,MIN(24,(INT(VALUE(F21)/100)-INT(M21/100))*12+MOD(VALUE(F21),100)-MOD(M21,100))))&gt;0,IF(OR(M21="",NOT(ISNUMBER(M21))),0,MAX(0,MIN(24,(INT(VALUE(F21)/100)-INT(M21/100))*12+MOD(VALUE(F21),100)-MOD(M21,100))))&lt;=12),1+V8_LOCKOUT_AMP*EXP(-(IF(OR(M21="",NOT(ISNUMBER(M21))),0,MAX(0,MIN(24,(INT(VALUE(F21)/100)-INT(M21/100))*12+MOD(VALUE(F21),100)-MOD(M21,100)))))/V8_LOCKOUT_TAU),1)</f>
        <v/>
      </c>
      <c r="AI21" s="8">
        <f>MAX(V8_BURN_FLOOR,1-V8_BURN_SLOPE*MIN(1,MAX(0,O21)))</f>
        <v/>
      </c>
      <c r="AJ21" s="15">
        <f>MIN(AA21*AF21*AG21*AH21*AI21,0.2)</f>
        <v/>
      </c>
      <c r="AK21" s="16">
        <f>1-(1-AJ21)^12</f>
        <v/>
      </c>
    </row>
    <row r="22">
      <c r="A22" s="2" t="inlineStr">
        <is>
          <t>000011335648</t>
        </is>
      </c>
      <c r="B22" t="inlineStr">
        <is>
          <t>221d4</t>
        </is>
      </c>
      <c r="C22" t="inlineStr">
        <is>
          <t>NC</t>
        </is>
      </c>
      <c r="D22" t="inlineStr">
        <is>
          <t>LUMENT REAL ESTATE CAPITAL,LLC</t>
        </is>
      </c>
      <c r="E22" t="n">
        <v>2016</v>
      </c>
      <c r="F22" t="inlineStr">
        <is>
          <t>202602</t>
        </is>
      </c>
      <c r="G22" s="9" t="n">
        <v>17567640.14</v>
      </c>
      <c r="H22" s="13" t="n">
        <v>2.65</v>
      </c>
      <c r="I22" s="14" t="n">
        <v>447</v>
      </c>
      <c r="J22" s="14" t="n">
        <v>6</v>
      </c>
      <c r="K22" t="n">
        <v>114</v>
      </c>
      <c r="L22" t="n">
        <v>205802</v>
      </c>
      <c r="M22" t="inlineStr"/>
      <c r="N22" t="n">
        <v>0</v>
      </c>
      <c r="O22" s="8" t="n">
        <v>0</v>
      </c>
      <c r="P22">
        <f>IF(ISNUMBER(SEARCH("232",B22)),"232",IF(ISNUMBER(SEARCH("538",B22)),"538",IF(ISNUMBER(SEARCH("223a7",B22)),"223a7",IF(ISNUMBER(SEARCH("223f",B22)),"223f","OTHER"))))</f>
        <v/>
      </c>
      <c r="Q22">
        <f>IF(UPPER(C22)="NC","NC","RP")</f>
        <v/>
      </c>
      <c r="R22">
        <f>IF(G22&lt;5000000,"small",IF(G22&lt;25000000,"medium","large"))</f>
        <v/>
      </c>
      <c r="S22">
        <f>IF(K22&lt;36,"young",IF(K22&lt;120,"seasoned","aged"))</f>
        <v/>
      </c>
      <c r="T22">
        <f>P22&amp;"|"&amp;Q22&amp;"|"&amp;R22&amp;"|"&amp;S22</f>
        <v/>
      </c>
      <c r="U22" s="14">
        <f>H22*100-I22</f>
        <v/>
      </c>
      <c r="V22" s="14">
        <f>U22-12.5*(J22+1)</f>
        <v/>
      </c>
      <c r="W22" s="15">
        <f>IFERROR(VLOOKUP(T22,V8_COHORT_TABLE,2,FALSE),IFERROR(VLOOKUP(P22&amp;"|"&amp;Q22&amp;"|ALL|"&amp;S22,V8_COHORT_TABLE,2,FALSE),IFERROR(VLOOKUP(P22&amp;"|ALL|ALL|"&amp;S22,V8_COHORT_TABLE,2,FALSE),IFERROR(VLOOKUP(P22&amp;"|ALL|ALL|ALL",V8_COHORT_TABLE,2,FALSE),VLOOKUP("GLOBAL",V8_COHORT_TABLE,2,FALSE)))))</f>
        <v/>
      </c>
      <c r="X22" s="15">
        <f>IFERROR(VLOOKUP(T22,V8_COHORT_TABLE,3,FALSE),IFERROR(VLOOKUP(P22&amp;"|"&amp;Q22&amp;"|ALL|"&amp;S22,V8_COHORT_TABLE,3,FALSE),IFERROR(VLOOKUP(P22&amp;"|ALL|ALL|"&amp;S22,V8_COHORT_TABLE,3,FALSE),IFERROR(VLOOKUP(P22&amp;"|ALL|ALL|ALL",V8_COHORT_TABLE,3,FALSE),VLOOKUP("GLOBAL",V8_COHORT_TABLE,3,FALSE)))))</f>
        <v/>
      </c>
      <c r="Y22" s="15">
        <f>IFERROR(VLOOKUP(T22,V8_COHORT_TABLE,4,FALSE),IFERROR(VLOOKUP(P22&amp;"|"&amp;Q22&amp;"|ALL|"&amp;S22,V8_COHORT_TABLE,4,FALSE),IFERROR(VLOOKUP(P22&amp;"|ALL|ALL|"&amp;S22,V8_COHORT_TABLE,4,FALSE),IFERROR(VLOOKUP(P22&amp;"|ALL|ALL|ALL",V8_COHORT_TABLE,4,FALSE),VLOOKUP("GLOBAL",V8_COHORT_TABLE,4,FALSE)))))</f>
        <v/>
      </c>
      <c r="Z22" s="15">
        <f>IFERROR(VLOOKUP(T22,V8_COHORT_TABLE,5,FALSE),IFERROR(VLOOKUP(P22&amp;"|"&amp;Q22&amp;"|ALL|"&amp;S22,V8_COHORT_TABLE,5,FALSE),IFERROR(VLOOKUP(P22&amp;"|ALL|ALL|"&amp;S22,V8_COHORT_TABLE,5,FALSE),IFERROR(VLOOKUP(P22&amp;"|ALL|ALL|ALL",V8_COHORT_TABLE,5,FALSE),VLOOKUP("GLOBAL",V8_COHORT_TABLE,5,FALSE)))))</f>
        <v/>
      </c>
      <c r="AA22" s="15">
        <f>W22+X22/(1+EXP(-(V22-Y22)/Z22))</f>
        <v/>
      </c>
      <c r="AB22" s="15">
        <f>IFERROR(VLOOKUP(T22,V8_COHORT_TABLE,6,FALSE),IFERROR(VLOOKUP(P22&amp;"|"&amp;Q22&amp;"|ALL|"&amp;S22,V8_COHORT_TABLE,6,FALSE),IFERROR(VLOOKUP(P22&amp;"|ALL|ALL|"&amp;S22,V8_COHORT_TABLE,6,FALSE),IFERROR(VLOOKUP(P22&amp;"|ALL|ALL|ALL",V8_COHORT_TABLE,6,FALSE),VLOOKUP("GLOBAL",V8_COHORT_TABLE,6,FALSE)))))</f>
        <v/>
      </c>
      <c r="AC22" s="15">
        <f>IFERROR(VLOOKUP(T22,V8_COHORT_TABLE,7,FALSE),IFERROR(VLOOKUP(P22&amp;"|"&amp;Q22&amp;"|ALL|"&amp;S22,V8_COHORT_TABLE,7,FALSE),IFERROR(VLOOKUP(P22&amp;"|ALL|ALL|"&amp;S22,V8_COHORT_TABLE,7,FALSE),IFERROR(VLOOKUP(P22&amp;"|ALL|ALL|ALL",V8_COHORT_TABLE,7,FALSE),VLOOKUP("GLOBAL",V8_COHORT_TABLE,7,FALSE)))))</f>
        <v/>
      </c>
      <c r="AD22" s="15">
        <f>IFERROR(VLOOKUP(T22,V8_COHORT_TABLE,8,FALSE),IFERROR(VLOOKUP(P22&amp;"|"&amp;Q22&amp;"|ALL|"&amp;S22,V8_COHORT_TABLE,8,FALSE),IFERROR(VLOOKUP(P22&amp;"|ALL|ALL|"&amp;S22,V8_COHORT_TABLE,8,FALSE),IFERROR(VLOOKUP(P22&amp;"|ALL|ALL|ALL",V8_COHORT_TABLE,8,FALSE),VLOOKUP("GLOBAL",V8_COHORT_TABLE,8,FALSE)))))</f>
        <v/>
      </c>
      <c r="AE22" s="15">
        <f>IFERROR(VLOOKUP(T22,V8_COHORT_TABLE,9,FALSE),IFERROR(VLOOKUP(P22&amp;"|"&amp;Q22&amp;"|ALL|"&amp;S22,V8_COHORT_TABLE,9,FALSE),IFERROR(VLOOKUP(P22&amp;"|ALL|ALL|"&amp;S22,V8_COHORT_TABLE,9,FALSE),IFERROR(VLOOKUP(P22&amp;"|ALL|ALL|ALL",V8_COHORT_TABLE,9,FALSE),VLOOKUP("GLOBAL",V8_COHORT_TABLE,9,FALSE)))))</f>
        <v/>
      </c>
      <c r="AF22" s="8">
        <f>IF(K22&lt;=0,AB22,IF(K22&gt;=240,AE22,IF(K22&lt;=24,AB22+(K22-0)/24*(AC22-AB22),IF(K22&lt;=96,AC22+(K22-24)/72*(AD22-AC22),AD22+(K22-96)/144*(AE22-AD22)))))</f>
        <v/>
      </c>
      <c r="AG22" s="8">
        <f>IF(IF(OR(L22="",NOT(ISNUMBER(L22))),360,MAX(0,MIN(480,(INT(L22/100)-INT(VALUE(F22)/100))*12+MOD(L22,100)-MOD(VALUE(F22),100))))&gt;0,1+V8_MTY_AMP*MAX(0,(V8_MTY_CUTOFF-(IF(OR(L22="",NOT(ISNUMBER(L22))),360,MAX(0,MIN(480,(INT(L22/100)-INT(VALUE(F22)/100))*12+MOD(L22,100)-MOD(VALUE(F22),100))))))/V8_MTY_CUTOFF),1)</f>
        <v/>
      </c>
      <c r="AH22" s="8">
        <f>IF(AND(IF(OR(M22="",NOT(ISNUMBER(M22))),0,MAX(0,MIN(24,(INT(VALUE(F22)/100)-INT(M22/100))*12+MOD(VALUE(F22),100)-MOD(M22,100))))&gt;0,IF(OR(M22="",NOT(ISNUMBER(M22))),0,MAX(0,MIN(24,(INT(VALUE(F22)/100)-INT(M22/100))*12+MOD(VALUE(F22),100)-MOD(M22,100))))&lt;=12),1+V8_LOCKOUT_AMP*EXP(-(IF(OR(M22="",NOT(ISNUMBER(M22))),0,MAX(0,MIN(24,(INT(VALUE(F22)/100)-INT(M22/100))*12+MOD(VALUE(F22),100)-MOD(M22,100)))))/V8_LOCKOUT_TAU),1)</f>
        <v/>
      </c>
      <c r="AI22" s="8">
        <f>MAX(V8_BURN_FLOOR,1-V8_BURN_SLOPE*MIN(1,MAX(0,O22)))</f>
        <v/>
      </c>
      <c r="AJ22" s="15">
        <f>MIN(AA22*AF22*AG22*AH22*AI22,0.2)</f>
        <v/>
      </c>
      <c r="AK22" s="16">
        <f>1-(1-AJ22)^12</f>
        <v/>
      </c>
    </row>
    <row r="23">
      <c r="A23" s="2" t="inlineStr">
        <is>
          <t>000003222025</t>
        </is>
      </c>
      <c r="B23" t="inlineStr">
        <is>
          <t>232</t>
        </is>
      </c>
      <c r="C23" t="inlineStr">
        <is>
          <t>RP</t>
        </is>
      </c>
      <c r="D23" t="inlineStr">
        <is>
          <t>LUMENT REAL ESTATE CAPITAL,LLC</t>
        </is>
      </c>
      <c r="E23" t="n">
        <v>2017</v>
      </c>
      <c r="F23" t="inlineStr">
        <is>
          <t>202602</t>
        </is>
      </c>
      <c r="G23" s="9" t="n">
        <v>18702496.16</v>
      </c>
      <c r="H23" s="13" t="n">
        <v>3.48</v>
      </c>
      <c r="I23" s="14" t="n">
        <v>447</v>
      </c>
      <c r="J23" s="14" t="n">
        <v>3</v>
      </c>
      <c r="K23" t="n">
        <v>101</v>
      </c>
      <c r="L23" t="n">
        <v>205210</v>
      </c>
      <c r="M23" t="inlineStr"/>
      <c r="N23" t="n">
        <v>25</v>
      </c>
      <c r="O23" s="8" t="n">
        <v>0.2475247524752475</v>
      </c>
      <c r="P23">
        <f>IF(ISNUMBER(SEARCH("232",B23)),"232",IF(ISNUMBER(SEARCH("538",B23)),"538",IF(ISNUMBER(SEARCH("223a7",B23)),"223a7",IF(ISNUMBER(SEARCH("223f",B23)),"223f","OTHER"))))</f>
        <v/>
      </c>
      <c r="Q23">
        <f>IF(UPPER(C23)="NC","NC","RP")</f>
        <v/>
      </c>
      <c r="R23">
        <f>IF(G23&lt;5000000,"small",IF(G23&lt;25000000,"medium","large"))</f>
        <v/>
      </c>
      <c r="S23">
        <f>IF(K23&lt;36,"young",IF(K23&lt;120,"seasoned","aged"))</f>
        <v/>
      </c>
      <c r="T23">
        <f>P23&amp;"|"&amp;Q23&amp;"|"&amp;R23&amp;"|"&amp;S23</f>
        <v/>
      </c>
      <c r="U23" s="14">
        <f>H23*100-I23</f>
        <v/>
      </c>
      <c r="V23" s="14">
        <f>U23-12.5*(J23+1)</f>
        <v/>
      </c>
      <c r="W23" s="15">
        <f>IFERROR(VLOOKUP(T23,V8_COHORT_TABLE,2,FALSE),IFERROR(VLOOKUP(P23&amp;"|"&amp;Q23&amp;"|ALL|"&amp;S23,V8_COHORT_TABLE,2,FALSE),IFERROR(VLOOKUP(P23&amp;"|ALL|ALL|"&amp;S23,V8_COHORT_TABLE,2,FALSE),IFERROR(VLOOKUP(P23&amp;"|ALL|ALL|ALL",V8_COHORT_TABLE,2,FALSE),VLOOKUP("GLOBAL",V8_COHORT_TABLE,2,FALSE)))))</f>
        <v/>
      </c>
      <c r="X23" s="15">
        <f>IFERROR(VLOOKUP(T23,V8_COHORT_TABLE,3,FALSE),IFERROR(VLOOKUP(P23&amp;"|"&amp;Q23&amp;"|ALL|"&amp;S23,V8_COHORT_TABLE,3,FALSE),IFERROR(VLOOKUP(P23&amp;"|ALL|ALL|"&amp;S23,V8_COHORT_TABLE,3,FALSE),IFERROR(VLOOKUP(P23&amp;"|ALL|ALL|ALL",V8_COHORT_TABLE,3,FALSE),VLOOKUP("GLOBAL",V8_COHORT_TABLE,3,FALSE)))))</f>
        <v/>
      </c>
      <c r="Y23" s="15">
        <f>IFERROR(VLOOKUP(T23,V8_COHORT_TABLE,4,FALSE),IFERROR(VLOOKUP(P23&amp;"|"&amp;Q23&amp;"|ALL|"&amp;S23,V8_COHORT_TABLE,4,FALSE),IFERROR(VLOOKUP(P23&amp;"|ALL|ALL|"&amp;S23,V8_COHORT_TABLE,4,FALSE),IFERROR(VLOOKUP(P23&amp;"|ALL|ALL|ALL",V8_COHORT_TABLE,4,FALSE),VLOOKUP("GLOBAL",V8_COHORT_TABLE,4,FALSE)))))</f>
        <v/>
      </c>
      <c r="Z23" s="15">
        <f>IFERROR(VLOOKUP(T23,V8_COHORT_TABLE,5,FALSE),IFERROR(VLOOKUP(P23&amp;"|"&amp;Q23&amp;"|ALL|"&amp;S23,V8_COHORT_TABLE,5,FALSE),IFERROR(VLOOKUP(P23&amp;"|ALL|ALL|"&amp;S23,V8_COHORT_TABLE,5,FALSE),IFERROR(VLOOKUP(P23&amp;"|ALL|ALL|ALL",V8_COHORT_TABLE,5,FALSE),VLOOKUP("GLOBAL",V8_COHORT_TABLE,5,FALSE)))))</f>
        <v/>
      </c>
      <c r="AA23" s="15">
        <f>W23+X23/(1+EXP(-(V23-Y23)/Z23))</f>
        <v/>
      </c>
      <c r="AB23" s="15">
        <f>IFERROR(VLOOKUP(T23,V8_COHORT_TABLE,6,FALSE),IFERROR(VLOOKUP(P23&amp;"|"&amp;Q23&amp;"|ALL|"&amp;S23,V8_COHORT_TABLE,6,FALSE),IFERROR(VLOOKUP(P23&amp;"|ALL|ALL|"&amp;S23,V8_COHORT_TABLE,6,FALSE),IFERROR(VLOOKUP(P23&amp;"|ALL|ALL|ALL",V8_COHORT_TABLE,6,FALSE),VLOOKUP("GLOBAL",V8_COHORT_TABLE,6,FALSE)))))</f>
        <v/>
      </c>
      <c r="AC23" s="15">
        <f>IFERROR(VLOOKUP(T23,V8_COHORT_TABLE,7,FALSE),IFERROR(VLOOKUP(P23&amp;"|"&amp;Q23&amp;"|ALL|"&amp;S23,V8_COHORT_TABLE,7,FALSE),IFERROR(VLOOKUP(P23&amp;"|ALL|ALL|"&amp;S23,V8_COHORT_TABLE,7,FALSE),IFERROR(VLOOKUP(P23&amp;"|ALL|ALL|ALL",V8_COHORT_TABLE,7,FALSE),VLOOKUP("GLOBAL",V8_COHORT_TABLE,7,FALSE)))))</f>
        <v/>
      </c>
      <c r="AD23" s="15">
        <f>IFERROR(VLOOKUP(T23,V8_COHORT_TABLE,8,FALSE),IFERROR(VLOOKUP(P23&amp;"|"&amp;Q23&amp;"|ALL|"&amp;S23,V8_COHORT_TABLE,8,FALSE),IFERROR(VLOOKUP(P23&amp;"|ALL|ALL|"&amp;S23,V8_COHORT_TABLE,8,FALSE),IFERROR(VLOOKUP(P23&amp;"|ALL|ALL|ALL",V8_COHORT_TABLE,8,FALSE),VLOOKUP("GLOBAL",V8_COHORT_TABLE,8,FALSE)))))</f>
        <v/>
      </c>
      <c r="AE23" s="15">
        <f>IFERROR(VLOOKUP(T23,V8_COHORT_TABLE,9,FALSE),IFERROR(VLOOKUP(P23&amp;"|"&amp;Q23&amp;"|ALL|"&amp;S23,V8_COHORT_TABLE,9,FALSE),IFERROR(VLOOKUP(P23&amp;"|ALL|ALL|"&amp;S23,V8_COHORT_TABLE,9,FALSE),IFERROR(VLOOKUP(P23&amp;"|ALL|ALL|ALL",V8_COHORT_TABLE,9,FALSE),VLOOKUP("GLOBAL",V8_COHORT_TABLE,9,FALSE)))))</f>
        <v/>
      </c>
      <c r="AF23" s="8">
        <f>IF(K23&lt;=0,AB23,IF(K23&gt;=240,AE23,IF(K23&lt;=24,AB23+(K23-0)/24*(AC23-AB23),IF(K23&lt;=96,AC23+(K23-24)/72*(AD23-AC23),AD23+(K23-96)/144*(AE23-AD23)))))</f>
        <v/>
      </c>
      <c r="AG23" s="8">
        <f>IF(IF(OR(L23="",NOT(ISNUMBER(L23))),360,MAX(0,MIN(480,(INT(L23/100)-INT(VALUE(F23)/100))*12+MOD(L23,100)-MOD(VALUE(F23),100))))&gt;0,1+V8_MTY_AMP*MAX(0,(V8_MTY_CUTOFF-(IF(OR(L23="",NOT(ISNUMBER(L23))),360,MAX(0,MIN(480,(INT(L23/100)-INT(VALUE(F23)/100))*12+MOD(L23,100)-MOD(VALUE(F23),100))))))/V8_MTY_CUTOFF),1)</f>
        <v/>
      </c>
      <c r="AH23" s="8">
        <f>IF(AND(IF(OR(M23="",NOT(ISNUMBER(M23))),0,MAX(0,MIN(24,(INT(VALUE(F23)/100)-INT(M23/100))*12+MOD(VALUE(F23),100)-MOD(M23,100))))&gt;0,IF(OR(M23="",NOT(ISNUMBER(M23))),0,MAX(0,MIN(24,(INT(VALUE(F23)/100)-INT(M23/100))*12+MOD(VALUE(F23),100)-MOD(M23,100))))&lt;=12),1+V8_LOCKOUT_AMP*EXP(-(IF(OR(M23="",NOT(ISNUMBER(M23))),0,MAX(0,MIN(24,(INT(VALUE(F23)/100)-INT(M23/100))*12+MOD(VALUE(F23),100)-MOD(M23,100)))))/V8_LOCKOUT_TAU),1)</f>
        <v/>
      </c>
      <c r="AI23" s="8">
        <f>MAX(V8_BURN_FLOOR,1-V8_BURN_SLOPE*MIN(1,MAX(0,O23)))</f>
        <v/>
      </c>
      <c r="AJ23" s="15">
        <f>MIN(AA23*AF23*AG23*AH23*AI23,0.2)</f>
        <v/>
      </c>
      <c r="AK23" s="16">
        <f>1-(1-AJ23)^12</f>
        <v/>
      </c>
    </row>
    <row r="24">
      <c r="A24" s="2" t="inlineStr">
        <is>
          <t>000010522063</t>
        </is>
      </c>
      <c r="B24" t="inlineStr">
        <is>
          <t>232</t>
        </is>
      </c>
      <c r="C24" t="inlineStr">
        <is>
          <t>RP</t>
        </is>
      </c>
      <c r="D24" t="inlineStr">
        <is>
          <t>LUMENT REAL ESTATE CAPITAL,LLC</t>
        </is>
      </c>
      <c r="E24" t="n">
        <v>2015</v>
      </c>
      <c r="F24" t="inlineStr">
        <is>
          <t>202602</t>
        </is>
      </c>
      <c r="G24" s="9" t="n">
        <v>8582540.029999999</v>
      </c>
      <c r="H24" s="13" t="n">
        <v>2.8</v>
      </c>
      <c r="I24" s="14" t="n">
        <v>447</v>
      </c>
      <c r="J24" s="14" t="n">
        <v>10</v>
      </c>
      <c r="K24" t="n">
        <v>124</v>
      </c>
      <c r="L24" t="n">
        <v>205011</v>
      </c>
      <c r="M24" t="inlineStr"/>
      <c r="N24" t="n">
        <v>0</v>
      </c>
      <c r="O24" s="8" t="n">
        <v>0</v>
      </c>
      <c r="P24">
        <f>IF(ISNUMBER(SEARCH("232",B24)),"232",IF(ISNUMBER(SEARCH("538",B24)),"538",IF(ISNUMBER(SEARCH("223a7",B24)),"223a7",IF(ISNUMBER(SEARCH("223f",B24)),"223f","OTHER"))))</f>
        <v/>
      </c>
      <c r="Q24">
        <f>IF(UPPER(C24)="NC","NC","RP")</f>
        <v/>
      </c>
      <c r="R24">
        <f>IF(G24&lt;5000000,"small",IF(G24&lt;25000000,"medium","large"))</f>
        <v/>
      </c>
      <c r="S24">
        <f>IF(K24&lt;36,"young",IF(K24&lt;120,"seasoned","aged"))</f>
        <v/>
      </c>
      <c r="T24">
        <f>P24&amp;"|"&amp;Q24&amp;"|"&amp;R24&amp;"|"&amp;S24</f>
        <v/>
      </c>
      <c r="U24" s="14">
        <f>H24*100-I24</f>
        <v/>
      </c>
      <c r="V24" s="14">
        <f>U24-12.5*(J24+1)</f>
        <v/>
      </c>
      <c r="W24" s="15">
        <f>IFERROR(VLOOKUP(T24,V8_COHORT_TABLE,2,FALSE),IFERROR(VLOOKUP(P24&amp;"|"&amp;Q24&amp;"|ALL|"&amp;S24,V8_COHORT_TABLE,2,FALSE),IFERROR(VLOOKUP(P24&amp;"|ALL|ALL|"&amp;S24,V8_COHORT_TABLE,2,FALSE),IFERROR(VLOOKUP(P24&amp;"|ALL|ALL|ALL",V8_COHORT_TABLE,2,FALSE),VLOOKUP("GLOBAL",V8_COHORT_TABLE,2,FALSE)))))</f>
        <v/>
      </c>
      <c r="X24" s="15">
        <f>IFERROR(VLOOKUP(T24,V8_COHORT_TABLE,3,FALSE),IFERROR(VLOOKUP(P24&amp;"|"&amp;Q24&amp;"|ALL|"&amp;S24,V8_COHORT_TABLE,3,FALSE),IFERROR(VLOOKUP(P24&amp;"|ALL|ALL|"&amp;S24,V8_COHORT_TABLE,3,FALSE),IFERROR(VLOOKUP(P24&amp;"|ALL|ALL|ALL",V8_COHORT_TABLE,3,FALSE),VLOOKUP("GLOBAL",V8_COHORT_TABLE,3,FALSE)))))</f>
        <v/>
      </c>
      <c r="Y24" s="15">
        <f>IFERROR(VLOOKUP(T24,V8_COHORT_TABLE,4,FALSE),IFERROR(VLOOKUP(P24&amp;"|"&amp;Q24&amp;"|ALL|"&amp;S24,V8_COHORT_TABLE,4,FALSE),IFERROR(VLOOKUP(P24&amp;"|ALL|ALL|"&amp;S24,V8_COHORT_TABLE,4,FALSE),IFERROR(VLOOKUP(P24&amp;"|ALL|ALL|ALL",V8_COHORT_TABLE,4,FALSE),VLOOKUP("GLOBAL",V8_COHORT_TABLE,4,FALSE)))))</f>
        <v/>
      </c>
      <c r="Z24" s="15">
        <f>IFERROR(VLOOKUP(T24,V8_COHORT_TABLE,5,FALSE),IFERROR(VLOOKUP(P24&amp;"|"&amp;Q24&amp;"|ALL|"&amp;S24,V8_COHORT_TABLE,5,FALSE),IFERROR(VLOOKUP(P24&amp;"|ALL|ALL|"&amp;S24,V8_COHORT_TABLE,5,FALSE),IFERROR(VLOOKUP(P24&amp;"|ALL|ALL|ALL",V8_COHORT_TABLE,5,FALSE),VLOOKUP("GLOBAL",V8_COHORT_TABLE,5,FALSE)))))</f>
        <v/>
      </c>
      <c r="AA24" s="15">
        <f>W24+X24/(1+EXP(-(V24-Y24)/Z24))</f>
        <v/>
      </c>
      <c r="AB24" s="15">
        <f>IFERROR(VLOOKUP(T24,V8_COHORT_TABLE,6,FALSE),IFERROR(VLOOKUP(P24&amp;"|"&amp;Q24&amp;"|ALL|"&amp;S24,V8_COHORT_TABLE,6,FALSE),IFERROR(VLOOKUP(P24&amp;"|ALL|ALL|"&amp;S24,V8_COHORT_TABLE,6,FALSE),IFERROR(VLOOKUP(P24&amp;"|ALL|ALL|ALL",V8_COHORT_TABLE,6,FALSE),VLOOKUP("GLOBAL",V8_COHORT_TABLE,6,FALSE)))))</f>
        <v/>
      </c>
      <c r="AC24" s="15">
        <f>IFERROR(VLOOKUP(T24,V8_COHORT_TABLE,7,FALSE),IFERROR(VLOOKUP(P24&amp;"|"&amp;Q24&amp;"|ALL|"&amp;S24,V8_COHORT_TABLE,7,FALSE),IFERROR(VLOOKUP(P24&amp;"|ALL|ALL|"&amp;S24,V8_COHORT_TABLE,7,FALSE),IFERROR(VLOOKUP(P24&amp;"|ALL|ALL|ALL",V8_COHORT_TABLE,7,FALSE),VLOOKUP("GLOBAL",V8_COHORT_TABLE,7,FALSE)))))</f>
        <v/>
      </c>
      <c r="AD24" s="15">
        <f>IFERROR(VLOOKUP(T24,V8_COHORT_TABLE,8,FALSE),IFERROR(VLOOKUP(P24&amp;"|"&amp;Q24&amp;"|ALL|"&amp;S24,V8_COHORT_TABLE,8,FALSE),IFERROR(VLOOKUP(P24&amp;"|ALL|ALL|"&amp;S24,V8_COHORT_TABLE,8,FALSE),IFERROR(VLOOKUP(P24&amp;"|ALL|ALL|ALL",V8_COHORT_TABLE,8,FALSE),VLOOKUP("GLOBAL",V8_COHORT_TABLE,8,FALSE)))))</f>
        <v/>
      </c>
      <c r="AE24" s="15">
        <f>IFERROR(VLOOKUP(T24,V8_COHORT_TABLE,9,FALSE),IFERROR(VLOOKUP(P24&amp;"|"&amp;Q24&amp;"|ALL|"&amp;S24,V8_COHORT_TABLE,9,FALSE),IFERROR(VLOOKUP(P24&amp;"|ALL|ALL|"&amp;S24,V8_COHORT_TABLE,9,FALSE),IFERROR(VLOOKUP(P24&amp;"|ALL|ALL|ALL",V8_COHORT_TABLE,9,FALSE),VLOOKUP("GLOBAL",V8_COHORT_TABLE,9,FALSE)))))</f>
        <v/>
      </c>
      <c r="AF24" s="8">
        <f>IF(K24&lt;=0,AB24,IF(K24&gt;=240,AE24,IF(K24&lt;=24,AB24+(K24-0)/24*(AC24-AB24),IF(K24&lt;=96,AC24+(K24-24)/72*(AD24-AC24),AD24+(K24-96)/144*(AE24-AD24)))))</f>
        <v/>
      </c>
      <c r="AG24" s="8">
        <f>IF(IF(OR(L24="",NOT(ISNUMBER(L24))),360,MAX(0,MIN(480,(INT(L24/100)-INT(VALUE(F24)/100))*12+MOD(L24,100)-MOD(VALUE(F24),100))))&gt;0,1+V8_MTY_AMP*MAX(0,(V8_MTY_CUTOFF-(IF(OR(L24="",NOT(ISNUMBER(L24))),360,MAX(0,MIN(480,(INT(L24/100)-INT(VALUE(F24)/100))*12+MOD(L24,100)-MOD(VALUE(F24),100))))))/V8_MTY_CUTOFF),1)</f>
        <v/>
      </c>
      <c r="AH24" s="8">
        <f>IF(AND(IF(OR(M24="",NOT(ISNUMBER(M24))),0,MAX(0,MIN(24,(INT(VALUE(F24)/100)-INT(M24/100))*12+MOD(VALUE(F24),100)-MOD(M24,100))))&gt;0,IF(OR(M24="",NOT(ISNUMBER(M24))),0,MAX(0,MIN(24,(INT(VALUE(F24)/100)-INT(M24/100))*12+MOD(VALUE(F24),100)-MOD(M24,100))))&lt;=12),1+V8_LOCKOUT_AMP*EXP(-(IF(OR(M24="",NOT(ISNUMBER(M24))),0,MAX(0,MIN(24,(INT(VALUE(F24)/100)-INT(M24/100))*12+MOD(VALUE(F24),100)-MOD(M24,100)))))/V8_LOCKOUT_TAU),1)</f>
        <v/>
      </c>
      <c r="AI24" s="8">
        <f>MAX(V8_BURN_FLOOR,1-V8_BURN_SLOPE*MIN(1,MAX(0,O24)))</f>
        <v/>
      </c>
      <c r="AJ24" s="15">
        <f>MIN(AA24*AF24*AG24*AH24*AI24,0.2)</f>
        <v/>
      </c>
      <c r="AK24" s="16">
        <f>1-(1-AJ24)^12</f>
        <v/>
      </c>
    </row>
    <row r="25">
      <c r="A25" s="2" t="inlineStr">
        <is>
          <t>000012311228</t>
        </is>
      </c>
      <c r="B25" t="inlineStr">
        <is>
          <t>223f</t>
        </is>
      </c>
      <c r="C25" t="inlineStr">
        <is>
          <t>RP</t>
        </is>
      </c>
      <c r="D25" t="inlineStr">
        <is>
          <t>LUMENT REAL ESTATE CAPITAL,LLC</t>
        </is>
      </c>
      <c r="E25" t="n">
        <v>2014</v>
      </c>
      <c r="F25" t="inlineStr">
        <is>
          <t>202602</t>
        </is>
      </c>
      <c r="G25" s="9" t="n">
        <v>3346424.31</v>
      </c>
      <c r="H25" s="13" t="n">
        <v>3.69</v>
      </c>
      <c r="I25" s="14" t="n">
        <v>447</v>
      </c>
      <c r="J25" s="14" t="n">
        <v>0</v>
      </c>
      <c r="K25" t="n">
        <v>136</v>
      </c>
      <c r="L25" t="n">
        <v>205001</v>
      </c>
      <c r="M25" t="inlineStr"/>
      <c r="N25" t="n">
        <v>32</v>
      </c>
      <c r="O25" s="8" t="n">
        <v>0.2352941176470588</v>
      </c>
      <c r="P25">
        <f>IF(ISNUMBER(SEARCH("232",B25)),"232",IF(ISNUMBER(SEARCH("538",B25)),"538",IF(ISNUMBER(SEARCH("223a7",B25)),"223a7",IF(ISNUMBER(SEARCH("223f",B25)),"223f","OTHER"))))</f>
        <v/>
      </c>
      <c r="Q25">
        <f>IF(UPPER(C25)="NC","NC","RP")</f>
        <v/>
      </c>
      <c r="R25">
        <f>IF(G25&lt;5000000,"small",IF(G25&lt;25000000,"medium","large"))</f>
        <v/>
      </c>
      <c r="S25">
        <f>IF(K25&lt;36,"young",IF(K25&lt;120,"seasoned","aged"))</f>
        <v/>
      </c>
      <c r="T25">
        <f>P25&amp;"|"&amp;Q25&amp;"|"&amp;R25&amp;"|"&amp;S25</f>
        <v/>
      </c>
      <c r="U25" s="14">
        <f>H25*100-I25</f>
        <v/>
      </c>
      <c r="V25" s="14">
        <f>U25-12.5*(J25+1)</f>
        <v/>
      </c>
      <c r="W25" s="15">
        <f>IFERROR(VLOOKUP(T25,V8_COHORT_TABLE,2,FALSE),IFERROR(VLOOKUP(P25&amp;"|"&amp;Q25&amp;"|ALL|"&amp;S25,V8_COHORT_TABLE,2,FALSE),IFERROR(VLOOKUP(P25&amp;"|ALL|ALL|"&amp;S25,V8_COHORT_TABLE,2,FALSE),IFERROR(VLOOKUP(P25&amp;"|ALL|ALL|ALL",V8_COHORT_TABLE,2,FALSE),VLOOKUP("GLOBAL",V8_COHORT_TABLE,2,FALSE)))))</f>
        <v/>
      </c>
      <c r="X25" s="15">
        <f>IFERROR(VLOOKUP(T25,V8_COHORT_TABLE,3,FALSE),IFERROR(VLOOKUP(P25&amp;"|"&amp;Q25&amp;"|ALL|"&amp;S25,V8_COHORT_TABLE,3,FALSE),IFERROR(VLOOKUP(P25&amp;"|ALL|ALL|"&amp;S25,V8_COHORT_TABLE,3,FALSE),IFERROR(VLOOKUP(P25&amp;"|ALL|ALL|ALL",V8_COHORT_TABLE,3,FALSE),VLOOKUP("GLOBAL",V8_COHORT_TABLE,3,FALSE)))))</f>
        <v/>
      </c>
      <c r="Y25" s="15">
        <f>IFERROR(VLOOKUP(T25,V8_COHORT_TABLE,4,FALSE),IFERROR(VLOOKUP(P25&amp;"|"&amp;Q25&amp;"|ALL|"&amp;S25,V8_COHORT_TABLE,4,FALSE),IFERROR(VLOOKUP(P25&amp;"|ALL|ALL|"&amp;S25,V8_COHORT_TABLE,4,FALSE),IFERROR(VLOOKUP(P25&amp;"|ALL|ALL|ALL",V8_COHORT_TABLE,4,FALSE),VLOOKUP("GLOBAL",V8_COHORT_TABLE,4,FALSE)))))</f>
        <v/>
      </c>
      <c r="Z25" s="15">
        <f>IFERROR(VLOOKUP(T25,V8_COHORT_TABLE,5,FALSE),IFERROR(VLOOKUP(P25&amp;"|"&amp;Q25&amp;"|ALL|"&amp;S25,V8_COHORT_TABLE,5,FALSE),IFERROR(VLOOKUP(P25&amp;"|ALL|ALL|"&amp;S25,V8_COHORT_TABLE,5,FALSE),IFERROR(VLOOKUP(P25&amp;"|ALL|ALL|ALL",V8_COHORT_TABLE,5,FALSE),VLOOKUP("GLOBAL",V8_COHORT_TABLE,5,FALSE)))))</f>
        <v/>
      </c>
      <c r="AA25" s="15">
        <f>W25+X25/(1+EXP(-(V25-Y25)/Z25))</f>
        <v/>
      </c>
      <c r="AB25" s="15">
        <f>IFERROR(VLOOKUP(T25,V8_COHORT_TABLE,6,FALSE),IFERROR(VLOOKUP(P25&amp;"|"&amp;Q25&amp;"|ALL|"&amp;S25,V8_COHORT_TABLE,6,FALSE),IFERROR(VLOOKUP(P25&amp;"|ALL|ALL|"&amp;S25,V8_COHORT_TABLE,6,FALSE),IFERROR(VLOOKUP(P25&amp;"|ALL|ALL|ALL",V8_COHORT_TABLE,6,FALSE),VLOOKUP("GLOBAL",V8_COHORT_TABLE,6,FALSE)))))</f>
        <v/>
      </c>
      <c r="AC25" s="15">
        <f>IFERROR(VLOOKUP(T25,V8_COHORT_TABLE,7,FALSE),IFERROR(VLOOKUP(P25&amp;"|"&amp;Q25&amp;"|ALL|"&amp;S25,V8_COHORT_TABLE,7,FALSE),IFERROR(VLOOKUP(P25&amp;"|ALL|ALL|"&amp;S25,V8_COHORT_TABLE,7,FALSE),IFERROR(VLOOKUP(P25&amp;"|ALL|ALL|ALL",V8_COHORT_TABLE,7,FALSE),VLOOKUP("GLOBAL",V8_COHORT_TABLE,7,FALSE)))))</f>
        <v/>
      </c>
      <c r="AD25" s="15">
        <f>IFERROR(VLOOKUP(T25,V8_COHORT_TABLE,8,FALSE),IFERROR(VLOOKUP(P25&amp;"|"&amp;Q25&amp;"|ALL|"&amp;S25,V8_COHORT_TABLE,8,FALSE),IFERROR(VLOOKUP(P25&amp;"|ALL|ALL|"&amp;S25,V8_COHORT_TABLE,8,FALSE),IFERROR(VLOOKUP(P25&amp;"|ALL|ALL|ALL",V8_COHORT_TABLE,8,FALSE),VLOOKUP("GLOBAL",V8_COHORT_TABLE,8,FALSE)))))</f>
        <v/>
      </c>
      <c r="AE25" s="15">
        <f>IFERROR(VLOOKUP(T25,V8_COHORT_TABLE,9,FALSE),IFERROR(VLOOKUP(P25&amp;"|"&amp;Q25&amp;"|ALL|"&amp;S25,V8_COHORT_TABLE,9,FALSE),IFERROR(VLOOKUP(P25&amp;"|ALL|ALL|"&amp;S25,V8_COHORT_TABLE,9,FALSE),IFERROR(VLOOKUP(P25&amp;"|ALL|ALL|ALL",V8_COHORT_TABLE,9,FALSE),VLOOKUP("GLOBAL",V8_COHORT_TABLE,9,FALSE)))))</f>
        <v/>
      </c>
      <c r="AF25" s="8">
        <f>IF(K25&lt;=0,AB25,IF(K25&gt;=240,AE25,IF(K25&lt;=24,AB25+(K25-0)/24*(AC25-AB25),IF(K25&lt;=96,AC25+(K25-24)/72*(AD25-AC25),AD25+(K25-96)/144*(AE25-AD25)))))</f>
        <v/>
      </c>
      <c r="AG25" s="8">
        <f>IF(IF(OR(L25="",NOT(ISNUMBER(L25))),360,MAX(0,MIN(480,(INT(L25/100)-INT(VALUE(F25)/100))*12+MOD(L25,100)-MOD(VALUE(F25),100))))&gt;0,1+V8_MTY_AMP*MAX(0,(V8_MTY_CUTOFF-(IF(OR(L25="",NOT(ISNUMBER(L25))),360,MAX(0,MIN(480,(INT(L25/100)-INT(VALUE(F25)/100))*12+MOD(L25,100)-MOD(VALUE(F25),100))))))/V8_MTY_CUTOFF),1)</f>
        <v/>
      </c>
      <c r="AH25" s="8">
        <f>IF(AND(IF(OR(M25="",NOT(ISNUMBER(M25))),0,MAX(0,MIN(24,(INT(VALUE(F25)/100)-INT(M25/100))*12+MOD(VALUE(F25),100)-MOD(M25,100))))&gt;0,IF(OR(M25="",NOT(ISNUMBER(M25))),0,MAX(0,MIN(24,(INT(VALUE(F25)/100)-INT(M25/100))*12+MOD(VALUE(F25),100)-MOD(M25,100))))&lt;=12),1+V8_LOCKOUT_AMP*EXP(-(IF(OR(M25="",NOT(ISNUMBER(M25))),0,MAX(0,MIN(24,(INT(VALUE(F25)/100)-INT(M25/100))*12+MOD(VALUE(F25),100)-MOD(M25,100)))))/V8_LOCKOUT_TAU),1)</f>
        <v/>
      </c>
      <c r="AI25" s="8">
        <f>MAX(V8_BURN_FLOOR,1-V8_BURN_SLOPE*MIN(1,MAX(0,O25)))</f>
        <v/>
      </c>
      <c r="AJ25" s="15">
        <f>MIN(AA25*AF25*AG25*AH25*AI25,0.2)</f>
        <v/>
      </c>
      <c r="AK25" s="16">
        <f>1-(1-AJ25)^12</f>
        <v/>
      </c>
    </row>
    <row r="26">
      <c r="A26" s="2" t="inlineStr">
        <is>
          <t>000004335611</t>
        </is>
      </c>
      <c r="B26" t="inlineStr">
        <is>
          <t>221d4</t>
        </is>
      </c>
      <c r="C26" t="inlineStr">
        <is>
          <t>NC</t>
        </is>
      </c>
      <c r="D26" t="inlineStr">
        <is>
          <t>LUMENT REAL ESTATE CAPITAL,LLC</t>
        </is>
      </c>
      <c r="E26" t="n">
        <v>2022</v>
      </c>
      <c r="F26" t="inlineStr">
        <is>
          <t>202602</t>
        </is>
      </c>
      <c r="G26" s="9" t="n">
        <v>12731864.12</v>
      </c>
      <c r="H26" s="13" t="n">
        <v>2.47</v>
      </c>
      <c r="I26" s="14" t="n">
        <v>447</v>
      </c>
      <c r="J26" s="14" t="n">
        <v>8</v>
      </c>
      <c r="K26" t="n">
        <v>47</v>
      </c>
      <c r="L26" t="n">
        <v>206307</v>
      </c>
      <c r="M26" t="inlineStr"/>
      <c r="N26" t="n">
        <v>0</v>
      </c>
      <c r="O26" s="8" t="n">
        <v>0</v>
      </c>
      <c r="P26">
        <f>IF(ISNUMBER(SEARCH("232",B26)),"232",IF(ISNUMBER(SEARCH("538",B26)),"538",IF(ISNUMBER(SEARCH("223a7",B26)),"223a7",IF(ISNUMBER(SEARCH("223f",B26)),"223f","OTHER"))))</f>
        <v/>
      </c>
      <c r="Q26">
        <f>IF(UPPER(C26)="NC","NC","RP")</f>
        <v/>
      </c>
      <c r="R26">
        <f>IF(G26&lt;5000000,"small",IF(G26&lt;25000000,"medium","large"))</f>
        <v/>
      </c>
      <c r="S26">
        <f>IF(K26&lt;36,"young",IF(K26&lt;120,"seasoned","aged"))</f>
        <v/>
      </c>
      <c r="T26">
        <f>P26&amp;"|"&amp;Q26&amp;"|"&amp;R26&amp;"|"&amp;S26</f>
        <v/>
      </c>
      <c r="U26" s="14">
        <f>H26*100-I26</f>
        <v/>
      </c>
      <c r="V26" s="14">
        <f>U26-12.5*(J26+1)</f>
        <v/>
      </c>
      <c r="W26" s="15">
        <f>IFERROR(VLOOKUP(T26,V8_COHORT_TABLE,2,FALSE),IFERROR(VLOOKUP(P26&amp;"|"&amp;Q26&amp;"|ALL|"&amp;S26,V8_COHORT_TABLE,2,FALSE),IFERROR(VLOOKUP(P26&amp;"|ALL|ALL|"&amp;S26,V8_COHORT_TABLE,2,FALSE),IFERROR(VLOOKUP(P26&amp;"|ALL|ALL|ALL",V8_COHORT_TABLE,2,FALSE),VLOOKUP("GLOBAL",V8_COHORT_TABLE,2,FALSE)))))</f>
        <v/>
      </c>
      <c r="X26" s="15">
        <f>IFERROR(VLOOKUP(T26,V8_COHORT_TABLE,3,FALSE),IFERROR(VLOOKUP(P26&amp;"|"&amp;Q26&amp;"|ALL|"&amp;S26,V8_COHORT_TABLE,3,FALSE),IFERROR(VLOOKUP(P26&amp;"|ALL|ALL|"&amp;S26,V8_COHORT_TABLE,3,FALSE),IFERROR(VLOOKUP(P26&amp;"|ALL|ALL|ALL",V8_COHORT_TABLE,3,FALSE),VLOOKUP("GLOBAL",V8_COHORT_TABLE,3,FALSE)))))</f>
        <v/>
      </c>
      <c r="Y26" s="15">
        <f>IFERROR(VLOOKUP(T26,V8_COHORT_TABLE,4,FALSE),IFERROR(VLOOKUP(P26&amp;"|"&amp;Q26&amp;"|ALL|"&amp;S26,V8_COHORT_TABLE,4,FALSE),IFERROR(VLOOKUP(P26&amp;"|ALL|ALL|"&amp;S26,V8_COHORT_TABLE,4,FALSE),IFERROR(VLOOKUP(P26&amp;"|ALL|ALL|ALL",V8_COHORT_TABLE,4,FALSE),VLOOKUP("GLOBAL",V8_COHORT_TABLE,4,FALSE)))))</f>
        <v/>
      </c>
      <c r="Z26" s="15">
        <f>IFERROR(VLOOKUP(T26,V8_COHORT_TABLE,5,FALSE),IFERROR(VLOOKUP(P26&amp;"|"&amp;Q26&amp;"|ALL|"&amp;S26,V8_COHORT_TABLE,5,FALSE),IFERROR(VLOOKUP(P26&amp;"|ALL|ALL|"&amp;S26,V8_COHORT_TABLE,5,FALSE),IFERROR(VLOOKUP(P26&amp;"|ALL|ALL|ALL",V8_COHORT_TABLE,5,FALSE),VLOOKUP("GLOBAL",V8_COHORT_TABLE,5,FALSE)))))</f>
        <v/>
      </c>
      <c r="AA26" s="15">
        <f>W26+X26/(1+EXP(-(V26-Y26)/Z26))</f>
        <v/>
      </c>
      <c r="AB26" s="15">
        <f>IFERROR(VLOOKUP(T26,V8_COHORT_TABLE,6,FALSE),IFERROR(VLOOKUP(P26&amp;"|"&amp;Q26&amp;"|ALL|"&amp;S26,V8_COHORT_TABLE,6,FALSE),IFERROR(VLOOKUP(P26&amp;"|ALL|ALL|"&amp;S26,V8_COHORT_TABLE,6,FALSE),IFERROR(VLOOKUP(P26&amp;"|ALL|ALL|ALL",V8_COHORT_TABLE,6,FALSE),VLOOKUP("GLOBAL",V8_COHORT_TABLE,6,FALSE)))))</f>
        <v/>
      </c>
      <c r="AC26" s="15">
        <f>IFERROR(VLOOKUP(T26,V8_COHORT_TABLE,7,FALSE),IFERROR(VLOOKUP(P26&amp;"|"&amp;Q26&amp;"|ALL|"&amp;S26,V8_COHORT_TABLE,7,FALSE),IFERROR(VLOOKUP(P26&amp;"|ALL|ALL|"&amp;S26,V8_COHORT_TABLE,7,FALSE),IFERROR(VLOOKUP(P26&amp;"|ALL|ALL|ALL",V8_COHORT_TABLE,7,FALSE),VLOOKUP("GLOBAL",V8_COHORT_TABLE,7,FALSE)))))</f>
        <v/>
      </c>
      <c r="AD26" s="15">
        <f>IFERROR(VLOOKUP(T26,V8_COHORT_TABLE,8,FALSE),IFERROR(VLOOKUP(P26&amp;"|"&amp;Q26&amp;"|ALL|"&amp;S26,V8_COHORT_TABLE,8,FALSE),IFERROR(VLOOKUP(P26&amp;"|ALL|ALL|"&amp;S26,V8_COHORT_TABLE,8,FALSE),IFERROR(VLOOKUP(P26&amp;"|ALL|ALL|ALL",V8_COHORT_TABLE,8,FALSE),VLOOKUP("GLOBAL",V8_COHORT_TABLE,8,FALSE)))))</f>
        <v/>
      </c>
      <c r="AE26" s="15">
        <f>IFERROR(VLOOKUP(T26,V8_COHORT_TABLE,9,FALSE),IFERROR(VLOOKUP(P26&amp;"|"&amp;Q26&amp;"|ALL|"&amp;S26,V8_COHORT_TABLE,9,FALSE),IFERROR(VLOOKUP(P26&amp;"|ALL|ALL|"&amp;S26,V8_COHORT_TABLE,9,FALSE),IFERROR(VLOOKUP(P26&amp;"|ALL|ALL|ALL",V8_COHORT_TABLE,9,FALSE),VLOOKUP("GLOBAL",V8_COHORT_TABLE,9,FALSE)))))</f>
        <v/>
      </c>
      <c r="AF26" s="8">
        <f>IF(K26&lt;=0,AB26,IF(K26&gt;=240,AE26,IF(K26&lt;=24,AB26+(K26-0)/24*(AC26-AB26),IF(K26&lt;=96,AC26+(K26-24)/72*(AD26-AC26),AD26+(K26-96)/144*(AE26-AD26)))))</f>
        <v/>
      </c>
      <c r="AG26" s="8">
        <f>IF(IF(OR(L26="",NOT(ISNUMBER(L26))),360,MAX(0,MIN(480,(INT(L26/100)-INT(VALUE(F26)/100))*12+MOD(L26,100)-MOD(VALUE(F26),100))))&gt;0,1+V8_MTY_AMP*MAX(0,(V8_MTY_CUTOFF-(IF(OR(L26="",NOT(ISNUMBER(L26))),360,MAX(0,MIN(480,(INT(L26/100)-INT(VALUE(F26)/100))*12+MOD(L26,100)-MOD(VALUE(F26),100))))))/V8_MTY_CUTOFF),1)</f>
        <v/>
      </c>
      <c r="AH26" s="8">
        <f>IF(AND(IF(OR(M26="",NOT(ISNUMBER(M26))),0,MAX(0,MIN(24,(INT(VALUE(F26)/100)-INT(M26/100))*12+MOD(VALUE(F26),100)-MOD(M26,100))))&gt;0,IF(OR(M26="",NOT(ISNUMBER(M26))),0,MAX(0,MIN(24,(INT(VALUE(F26)/100)-INT(M26/100))*12+MOD(VALUE(F26),100)-MOD(M26,100))))&lt;=12),1+V8_LOCKOUT_AMP*EXP(-(IF(OR(M26="",NOT(ISNUMBER(M26))),0,MAX(0,MIN(24,(INT(VALUE(F26)/100)-INT(M26/100))*12+MOD(VALUE(F26),100)-MOD(M26,100)))))/V8_LOCKOUT_TAU),1)</f>
        <v/>
      </c>
      <c r="AI26" s="8">
        <f>MAX(V8_BURN_FLOOR,1-V8_BURN_SLOPE*MIN(1,MAX(0,O26)))</f>
        <v/>
      </c>
      <c r="AJ26" s="15">
        <f>MIN(AA26*AF26*AG26*AH26*AI26,0.2)</f>
        <v/>
      </c>
      <c r="AK26" s="16">
        <f>1-(1-AJ26)^12</f>
        <v/>
      </c>
    </row>
    <row r="27">
      <c r="A27" s="2" t="inlineStr">
        <is>
          <t>000004635780</t>
        </is>
      </c>
      <c r="B27" t="inlineStr">
        <is>
          <t>221d4</t>
        </is>
      </c>
      <c r="C27" t="inlineStr">
        <is>
          <t>NC</t>
        </is>
      </c>
      <c r="D27" t="inlineStr">
        <is>
          <t>LUMENT REAL ESTATE CAPITAL,LLC</t>
        </is>
      </c>
      <c r="E27" t="n">
        <v>2022</v>
      </c>
      <c r="F27" t="inlineStr">
        <is>
          <t>202602</t>
        </is>
      </c>
      <c r="G27" s="9" t="n">
        <v>9678159.77</v>
      </c>
      <c r="H27" s="13" t="n">
        <v>5.75</v>
      </c>
      <c r="I27" s="14" t="n">
        <v>447</v>
      </c>
      <c r="J27" s="14" t="n">
        <v>9</v>
      </c>
      <c r="K27" t="n">
        <v>38</v>
      </c>
      <c r="L27" t="n">
        <v>206404</v>
      </c>
      <c r="M27" t="inlineStr"/>
      <c r="N27" t="n">
        <v>1</v>
      </c>
      <c r="O27" s="8" t="n">
        <v>0.02631578947368421</v>
      </c>
      <c r="P27">
        <f>IF(ISNUMBER(SEARCH("232",B27)),"232",IF(ISNUMBER(SEARCH("538",B27)),"538",IF(ISNUMBER(SEARCH("223a7",B27)),"223a7",IF(ISNUMBER(SEARCH("223f",B27)),"223f","OTHER"))))</f>
        <v/>
      </c>
      <c r="Q27">
        <f>IF(UPPER(C27)="NC","NC","RP")</f>
        <v/>
      </c>
      <c r="R27">
        <f>IF(G27&lt;5000000,"small",IF(G27&lt;25000000,"medium","large"))</f>
        <v/>
      </c>
      <c r="S27">
        <f>IF(K27&lt;36,"young",IF(K27&lt;120,"seasoned","aged"))</f>
        <v/>
      </c>
      <c r="T27">
        <f>P27&amp;"|"&amp;Q27&amp;"|"&amp;R27&amp;"|"&amp;S27</f>
        <v/>
      </c>
      <c r="U27" s="14">
        <f>H27*100-I27</f>
        <v/>
      </c>
      <c r="V27" s="14">
        <f>U27-12.5*(J27+1)</f>
        <v/>
      </c>
      <c r="W27" s="15">
        <f>IFERROR(VLOOKUP(T27,V8_COHORT_TABLE,2,FALSE),IFERROR(VLOOKUP(P27&amp;"|"&amp;Q27&amp;"|ALL|"&amp;S27,V8_COHORT_TABLE,2,FALSE),IFERROR(VLOOKUP(P27&amp;"|ALL|ALL|"&amp;S27,V8_COHORT_TABLE,2,FALSE),IFERROR(VLOOKUP(P27&amp;"|ALL|ALL|ALL",V8_COHORT_TABLE,2,FALSE),VLOOKUP("GLOBAL",V8_COHORT_TABLE,2,FALSE)))))</f>
        <v/>
      </c>
      <c r="X27" s="15">
        <f>IFERROR(VLOOKUP(T27,V8_COHORT_TABLE,3,FALSE),IFERROR(VLOOKUP(P27&amp;"|"&amp;Q27&amp;"|ALL|"&amp;S27,V8_COHORT_TABLE,3,FALSE),IFERROR(VLOOKUP(P27&amp;"|ALL|ALL|"&amp;S27,V8_COHORT_TABLE,3,FALSE),IFERROR(VLOOKUP(P27&amp;"|ALL|ALL|ALL",V8_COHORT_TABLE,3,FALSE),VLOOKUP("GLOBAL",V8_COHORT_TABLE,3,FALSE)))))</f>
        <v/>
      </c>
      <c r="Y27" s="15">
        <f>IFERROR(VLOOKUP(T27,V8_COHORT_TABLE,4,FALSE),IFERROR(VLOOKUP(P27&amp;"|"&amp;Q27&amp;"|ALL|"&amp;S27,V8_COHORT_TABLE,4,FALSE),IFERROR(VLOOKUP(P27&amp;"|ALL|ALL|"&amp;S27,V8_COHORT_TABLE,4,FALSE),IFERROR(VLOOKUP(P27&amp;"|ALL|ALL|ALL",V8_COHORT_TABLE,4,FALSE),VLOOKUP("GLOBAL",V8_COHORT_TABLE,4,FALSE)))))</f>
        <v/>
      </c>
      <c r="Z27" s="15">
        <f>IFERROR(VLOOKUP(T27,V8_COHORT_TABLE,5,FALSE),IFERROR(VLOOKUP(P27&amp;"|"&amp;Q27&amp;"|ALL|"&amp;S27,V8_COHORT_TABLE,5,FALSE),IFERROR(VLOOKUP(P27&amp;"|ALL|ALL|"&amp;S27,V8_COHORT_TABLE,5,FALSE),IFERROR(VLOOKUP(P27&amp;"|ALL|ALL|ALL",V8_COHORT_TABLE,5,FALSE),VLOOKUP("GLOBAL",V8_COHORT_TABLE,5,FALSE)))))</f>
        <v/>
      </c>
      <c r="AA27" s="15">
        <f>W27+X27/(1+EXP(-(V27-Y27)/Z27))</f>
        <v/>
      </c>
      <c r="AB27" s="15">
        <f>IFERROR(VLOOKUP(T27,V8_COHORT_TABLE,6,FALSE),IFERROR(VLOOKUP(P27&amp;"|"&amp;Q27&amp;"|ALL|"&amp;S27,V8_COHORT_TABLE,6,FALSE),IFERROR(VLOOKUP(P27&amp;"|ALL|ALL|"&amp;S27,V8_COHORT_TABLE,6,FALSE),IFERROR(VLOOKUP(P27&amp;"|ALL|ALL|ALL",V8_COHORT_TABLE,6,FALSE),VLOOKUP("GLOBAL",V8_COHORT_TABLE,6,FALSE)))))</f>
        <v/>
      </c>
      <c r="AC27" s="15">
        <f>IFERROR(VLOOKUP(T27,V8_COHORT_TABLE,7,FALSE),IFERROR(VLOOKUP(P27&amp;"|"&amp;Q27&amp;"|ALL|"&amp;S27,V8_COHORT_TABLE,7,FALSE),IFERROR(VLOOKUP(P27&amp;"|ALL|ALL|"&amp;S27,V8_COHORT_TABLE,7,FALSE),IFERROR(VLOOKUP(P27&amp;"|ALL|ALL|ALL",V8_COHORT_TABLE,7,FALSE),VLOOKUP("GLOBAL",V8_COHORT_TABLE,7,FALSE)))))</f>
        <v/>
      </c>
      <c r="AD27" s="15">
        <f>IFERROR(VLOOKUP(T27,V8_COHORT_TABLE,8,FALSE),IFERROR(VLOOKUP(P27&amp;"|"&amp;Q27&amp;"|ALL|"&amp;S27,V8_COHORT_TABLE,8,FALSE),IFERROR(VLOOKUP(P27&amp;"|ALL|ALL|"&amp;S27,V8_COHORT_TABLE,8,FALSE),IFERROR(VLOOKUP(P27&amp;"|ALL|ALL|ALL",V8_COHORT_TABLE,8,FALSE),VLOOKUP("GLOBAL",V8_COHORT_TABLE,8,FALSE)))))</f>
        <v/>
      </c>
      <c r="AE27" s="15">
        <f>IFERROR(VLOOKUP(T27,V8_COHORT_TABLE,9,FALSE),IFERROR(VLOOKUP(P27&amp;"|"&amp;Q27&amp;"|ALL|"&amp;S27,V8_COHORT_TABLE,9,FALSE),IFERROR(VLOOKUP(P27&amp;"|ALL|ALL|"&amp;S27,V8_COHORT_TABLE,9,FALSE),IFERROR(VLOOKUP(P27&amp;"|ALL|ALL|ALL",V8_COHORT_TABLE,9,FALSE),VLOOKUP("GLOBAL",V8_COHORT_TABLE,9,FALSE)))))</f>
        <v/>
      </c>
      <c r="AF27" s="8">
        <f>IF(K27&lt;=0,AB27,IF(K27&gt;=240,AE27,IF(K27&lt;=24,AB27+(K27-0)/24*(AC27-AB27),IF(K27&lt;=96,AC27+(K27-24)/72*(AD27-AC27),AD27+(K27-96)/144*(AE27-AD27)))))</f>
        <v/>
      </c>
      <c r="AG27" s="8">
        <f>IF(IF(OR(L27="",NOT(ISNUMBER(L27))),360,MAX(0,MIN(480,(INT(L27/100)-INT(VALUE(F27)/100))*12+MOD(L27,100)-MOD(VALUE(F27),100))))&gt;0,1+V8_MTY_AMP*MAX(0,(V8_MTY_CUTOFF-(IF(OR(L27="",NOT(ISNUMBER(L27))),360,MAX(0,MIN(480,(INT(L27/100)-INT(VALUE(F27)/100))*12+MOD(L27,100)-MOD(VALUE(F27),100))))))/V8_MTY_CUTOFF),1)</f>
        <v/>
      </c>
      <c r="AH27" s="8">
        <f>IF(AND(IF(OR(M27="",NOT(ISNUMBER(M27))),0,MAX(0,MIN(24,(INT(VALUE(F27)/100)-INT(M27/100))*12+MOD(VALUE(F27),100)-MOD(M27,100))))&gt;0,IF(OR(M27="",NOT(ISNUMBER(M27))),0,MAX(0,MIN(24,(INT(VALUE(F27)/100)-INT(M27/100))*12+MOD(VALUE(F27),100)-MOD(M27,100))))&lt;=12),1+V8_LOCKOUT_AMP*EXP(-(IF(OR(M27="",NOT(ISNUMBER(M27))),0,MAX(0,MIN(24,(INT(VALUE(F27)/100)-INT(M27/100))*12+MOD(VALUE(F27),100)-MOD(M27,100)))))/V8_LOCKOUT_TAU),1)</f>
        <v/>
      </c>
      <c r="AI27" s="8">
        <f>MAX(V8_BURN_FLOOR,1-V8_BURN_SLOPE*MIN(1,MAX(0,O27)))</f>
        <v/>
      </c>
      <c r="AJ27" s="15">
        <f>MIN(AA27*AF27*AG27*AH27*AI27,0.2)</f>
        <v/>
      </c>
      <c r="AK27" s="16">
        <f>1-(1-AJ27)^12</f>
        <v/>
      </c>
    </row>
    <row r="28">
      <c r="A28" s="2" t="inlineStr">
        <is>
          <t>000005122220</t>
        </is>
      </c>
      <c r="B28" t="inlineStr">
        <is>
          <t>232</t>
        </is>
      </c>
      <c r="C28" t="inlineStr">
        <is>
          <t>RP</t>
        </is>
      </c>
      <c r="D28" t="inlineStr">
        <is>
          <t>LUMENT REAL ESTATE CAPITAL,LLC</t>
        </is>
      </c>
      <c r="E28" t="n">
        <v>2025</v>
      </c>
      <c r="F28" t="inlineStr">
        <is>
          <t>202602</t>
        </is>
      </c>
      <c r="G28" s="9" t="n">
        <v>15537179.74</v>
      </c>
      <c r="H28" s="13" t="n">
        <v>6.07</v>
      </c>
      <c r="I28" s="14" t="n">
        <v>447</v>
      </c>
      <c r="J28" s="14" t="n">
        <v>10</v>
      </c>
      <c r="K28" t="n">
        <v>12</v>
      </c>
      <c r="L28" t="n">
        <v>206003</v>
      </c>
      <c r="M28" t="inlineStr"/>
      <c r="N28" t="n">
        <v>2</v>
      </c>
      <c r="O28" s="8" t="n">
        <v>0.1666666666666667</v>
      </c>
      <c r="P28">
        <f>IF(ISNUMBER(SEARCH("232",B28)),"232",IF(ISNUMBER(SEARCH("538",B28)),"538",IF(ISNUMBER(SEARCH("223a7",B28)),"223a7",IF(ISNUMBER(SEARCH("223f",B28)),"223f","OTHER"))))</f>
        <v/>
      </c>
      <c r="Q28">
        <f>IF(UPPER(C28)="NC","NC","RP")</f>
        <v/>
      </c>
      <c r="R28">
        <f>IF(G28&lt;5000000,"small",IF(G28&lt;25000000,"medium","large"))</f>
        <v/>
      </c>
      <c r="S28">
        <f>IF(K28&lt;36,"young",IF(K28&lt;120,"seasoned","aged"))</f>
        <v/>
      </c>
      <c r="T28">
        <f>P28&amp;"|"&amp;Q28&amp;"|"&amp;R28&amp;"|"&amp;S28</f>
        <v/>
      </c>
      <c r="U28" s="14">
        <f>H28*100-I28</f>
        <v/>
      </c>
      <c r="V28" s="14">
        <f>U28-12.5*(J28+1)</f>
        <v/>
      </c>
      <c r="W28" s="15">
        <f>IFERROR(VLOOKUP(T28,V8_COHORT_TABLE,2,FALSE),IFERROR(VLOOKUP(P28&amp;"|"&amp;Q28&amp;"|ALL|"&amp;S28,V8_COHORT_TABLE,2,FALSE),IFERROR(VLOOKUP(P28&amp;"|ALL|ALL|"&amp;S28,V8_COHORT_TABLE,2,FALSE),IFERROR(VLOOKUP(P28&amp;"|ALL|ALL|ALL",V8_COHORT_TABLE,2,FALSE),VLOOKUP("GLOBAL",V8_COHORT_TABLE,2,FALSE)))))</f>
        <v/>
      </c>
      <c r="X28" s="15">
        <f>IFERROR(VLOOKUP(T28,V8_COHORT_TABLE,3,FALSE),IFERROR(VLOOKUP(P28&amp;"|"&amp;Q28&amp;"|ALL|"&amp;S28,V8_COHORT_TABLE,3,FALSE),IFERROR(VLOOKUP(P28&amp;"|ALL|ALL|"&amp;S28,V8_COHORT_TABLE,3,FALSE),IFERROR(VLOOKUP(P28&amp;"|ALL|ALL|ALL",V8_COHORT_TABLE,3,FALSE),VLOOKUP("GLOBAL",V8_COHORT_TABLE,3,FALSE)))))</f>
        <v/>
      </c>
      <c r="Y28" s="15">
        <f>IFERROR(VLOOKUP(T28,V8_COHORT_TABLE,4,FALSE),IFERROR(VLOOKUP(P28&amp;"|"&amp;Q28&amp;"|ALL|"&amp;S28,V8_COHORT_TABLE,4,FALSE),IFERROR(VLOOKUP(P28&amp;"|ALL|ALL|"&amp;S28,V8_COHORT_TABLE,4,FALSE),IFERROR(VLOOKUP(P28&amp;"|ALL|ALL|ALL",V8_COHORT_TABLE,4,FALSE),VLOOKUP("GLOBAL",V8_COHORT_TABLE,4,FALSE)))))</f>
        <v/>
      </c>
      <c r="Z28" s="15">
        <f>IFERROR(VLOOKUP(T28,V8_COHORT_TABLE,5,FALSE),IFERROR(VLOOKUP(P28&amp;"|"&amp;Q28&amp;"|ALL|"&amp;S28,V8_COHORT_TABLE,5,FALSE),IFERROR(VLOOKUP(P28&amp;"|ALL|ALL|"&amp;S28,V8_COHORT_TABLE,5,FALSE),IFERROR(VLOOKUP(P28&amp;"|ALL|ALL|ALL",V8_COHORT_TABLE,5,FALSE),VLOOKUP("GLOBAL",V8_COHORT_TABLE,5,FALSE)))))</f>
        <v/>
      </c>
      <c r="AA28" s="15">
        <f>W28+X28/(1+EXP(-(V28-Y28)/Z28))</f>
        <v/>
      </c>
      <c r="AB28" s="15">
        <f>IFERROR(VLOOKUP(T28,V8_COHORT_TABLE,6,FALSE),IFERROR(VLOOKUP(P28&amp;"|"&amp;Q28&amp;"|ALL|"&amp;S28,V8_COHORT_TABLE,6,FALSE),IFERROR(VLOOKUP(P28&amp;"|ALL|ALL|"&amp;S28,V8_COHORT_TABLE,6,FALSE),IFERROR(VLOOKUP(P28&amp;"|ALL|ALL|ALL",V8_COHORT_TABLE,6,FALSE),VLOOKUP("GLOBAL",V8_COHORT_TABLE,6,FALSE)))))</f>
        <v/>
      </c>
      <c r="AC28" s="15">
        <f>IFERROR(VLOOKUP(T28,V8_COHORT_TABLE,7,FALSE),IFERROR(VLOOKUP(P28&amp;"|"&amp;Q28&amp;"|ALL|"&amp;S28,V8_COHORT_TABLE,7,FALSE),IFERROR(VLOOKUP(P28&amp;"|ALL|ALL|"&amp;S28,V8_COHORT_TABLE,7,FALSE),IFERROR(VLOOKUP(P28&amp;"|ALL|ALL|ALL",V8_COHORT_TABLE,7,FALSE),VLOOKUP("GLOBAL",V8_COHORT_TABLE,7,FALSE)))))</f>
        <v/>
      </c>
      <c r="AD28" s="15">
        <f>IFERROR(VLOOKUP(T28,V8_COHORT_TABLE,8,FALSE),IFERROR(VLOOKUP(P28&amp;"|"&amp;Q28&amp;"|ALL|"&amp;S28,V8_COHORT_TABLE,8,FALSE),IFERROR(VLOOKUP(P28&amp;"|ALL|ALL|"&amp;S28,V8_COHORT_TABLE,8,FALSE),IFERROR(VLOOKUP(P28&amp;"|ALL|ALL|ALL",V8_COHORT_TABLE,8,FALSE),VLOOKUP("GLOBAL",V8_COHORT_TABLE,8,FALSE)))))</f>
        <v/>
      </c>
      <c r="AE28" s="15">
        <f>IFERROR(VLOOKUP(T28,V8_COHORT_TABLE,9,FALSE),IFERROR(VLOOKUP(P28&amp;"|"&amp;Q28&amp;"|ALL|"&amp;S28,V8_COHORT_TABLE,9,FALSE),IFERROR(VLOOKUP(P28&amp;"|ALL|ALL|"&amp;S28,V8_COHORT_TABLE,9,FALSE),IFERROR(VLOOKUP(P28&amp;"|ALL|ALL|ALL",V8_COHORT_TABLE,9,FALSE),VLOOKUP("GLOBAL",V8_COHORT_TABLE,9,FALSE)))))</f>
        <v/>
      </c>
      <c r="AF28" s="8">
        <f>IF(K28&lt;=0,AB28,IF(K28&gt;=240,AE28,IF(K28&lt;=24,AB28+(K28-0)/24*(AC28-AB28),IF(K28&lt;=96,AC28+(K28-24)/72*(AD28-AC28),AD28+(K28-96)/144*(AE28-AD28)))))</f>
        <v/>
      </c>
      <c r="AG28" s="8">
        <f>IF(IF(OR(L28="",NOT(ISNUMBER(L28))),360,MAX(0,MIN(480,(INT(L28/100)-INT(VALUE(F28)/100))*12+MOD(L28,100)-MOD(VALUE(F28),100))))&gt;0,1+V8_MTY_AMP*MAX(0,(V8_MTY_CUTOFF-(IF(OR(L28="",NOT(ISNUMBER(L28))),360,MAX(0,MIN(480,(INT(L28/100)-INT(VALUE(F28)/100))*12+MOD(L28,100)-MOD(VALUE(F28),100))))))/V8_MTY_CUTOFF),1)</f>
        <v/>
      </c>
      <c r="AH28" s="8">
        <f>IF(AND(IF(OR(M28="",NOT(ISNUMBER(M28))),0,MAX(0,MIN(24,(INT(VALUE(F28)/100)-INT(M28/100))*12+MOD(VALUE(F28),100)-MOD(M28,100))))&gt;0,IF(OR(M28="",NOT(ISNUMBER(M28))),0,MAX(0,MIN(24,(INT(VALUE(F28)/100)-INT(M28/100))*12+MOD(VALUE(F28),100)-MOD(M28,100))))&lt;=12),1+V8_LOCKOUT_AMP*EXP(-(IF(OR(M28="",NOT(ISNUMBER(M28))),0,MAX(0,MIN(24,(INT(VALUE(F28)/100)-INT(M28/100))*12+MOD(VALUE(F28),100)-MOD(M28,100)))))/V8_LOCKOUT_TAU),1)</f>
        <v/>
      </c>
      <c r="AI28" s="8">
        <f>MAX(V8_BURN_FLOOR,1-V8_BURN_SLOPE*MIN(1,MAX(0,O28)))</f>
        <v/>
      </c>
      <c r="AJ28" s="15">
        <f>MIN(AA28*AF28*AG28*AH28*AI28,0.2)</f>
        <v/>
      </c>
      <c r="AK28" s="16">
        <f>1-(1-AJ28)^12</f>
        <v/>
      </c>
    </row>
    <row r="29">
      <c r="A29" s="2" t="inlineStr">
        <is>
          <t>000006322064</t>
        </is>
      </c>
      <c r="B29" t="inlineStr">
        <is>
          <t>232</t>
        </is>
      </c>
      <c r="C29" t="inlineStr">
        <is>
          <t>RP</t>
        </is>
      </c>
      <c r="D29" t="inlineStr">
        <is>
          <t>LUMENT REAL ESTATE CAPITAL,LLC</t>
        </is>
      </c>
      <c r="E29" t="n">
        <v>2013</v>
      </c>
      <c r="F29" t="inlineStr">
        <is>
          <t>202602</t>
        </is>
      </c>
      <c r="G29" s="9" t="n">
        <v>8085044.96</v>
      </c>
      <c r="H29" s="13" t="n">
        <v>2.9</v>
      </c>
      <c r="I29" s="14" t="n">
        <v>447</v>
      </c>
      <c r="J29" s="14" t="n">
        <v>0</v>
      </c>
      <c r="K29" t="n">
        <v>152</v>
      </c>
      <c r="L29" t="n">
        <v>204807</v>
      </c>
      <c r="M29" t="inlineStr"/>
      <c r="N29" t="n">
        <v>25</v>
      </c>
      <c r="O29" s="8" t="n">
        <v>0.1644736842105263</v>
      </c>
      <c r="P29">
        <f>IF(ISNUMBER(SEARCH("232",B29)),"232",IF(ISNUMBER(SEARCH("538",B29)),"538",IF(ISNUMBER(SEARCH("223a7",B29)),"223a7",IF(ISNUMBER(SEARCH("223f",B29)),"223f","OTHER"))))</f>
        <v/>
      </c>
      <c r="Q29">
        <f>IF(UPPER(C29)="NC","NC","RP")</f>
        <v/>
      </c>
      <c r="R29">
        <f>IF(G29&lt;5000000,"small",IF(G29&lt;25000000,"medium","large"))</f>
        <v/>
      </c>
      <c r="S29">
        <f>IF(K29&lt;36,"young",IF(K29&lt;120,"seasoned","aged"))</f>
        <v/>
      </c>
      <c r="T29">
        <f>P29&amp;"|"&amp;Q29&amp;"|"&amp;R29&amp;"|"&amp;S29</f>
        <v/>
      </c>
      <c r="U29" s="14">
        <f>H29*100-I29</f>
        <v/>
      </c>
      <c r="V29" s="14">
        <f>U29-12.5*(J29+1)</f>
        <v/>
      </c>
      <c r="W29" s="15">
        <f>IFERROR(VLOOKUP(T29,V8_COHORT_TABLE,2,FALSE),IFERROR(VLOOKUP(P29&amp;"|"&amp;Q29&amp;"|ALL|"&amp;S29,V8_COHORT_TABLE,2,FALSE),IFERROR(VLOOKUP(P29&amp;"|ALL|ALL|"&amp;S29,V8_COHORT_TABLE,2,FALSE),IFERROR(VLOOKUP(P29&amp;"|ALL|ALL|ALL",V8_COHORT_TABLE,2,FALSE),VLOOKUP("GLOBAL",V8_COHORT_TABLE,2,FALSE)))))</f>
        <v/>
      </c>
      <c r="X29" s="15">
        <f>IFERROR(VLOOKUP(T29,V8_COHORT_TABLE,3,FALSE),IFERROR(VLOOKUP(P29&amp;"|"&amp;Q29&amp;"|ALL|"&amp;S29,V8_COHORT_TABLE,3,FALSE),IFERROR(VLOOKUP(P29&amp;"|ALL|ALL|"&amp;S29,V8_COHORT_TABLE,3,FALSE),IFERROR(VLOOKUP(P29&amp;"|ALL|ALL|ALL",V8_COHORT_TABLE,3,FALSE),VLOOKUP("GLOBAL",V8_COHORT_TABLE,3,FALSE)))))</f>
        <v/>
      </c>
      <c r="Y29" s="15">
        <f>IFERROR(VLOOKUP(T29,V8_COHORT_TABLE,4,FALSE),IFERROR(VLOOKUP(P29&amp;"|"&amp;Q29&amp;"|ALL|"&amp;S29,V8_COHORT_TABLE,4,FALSE),IFERROR(VLOOKUP(P29&amp;"|ALL|ALL|"&amp;S29,V8_COHORT_TABLE,4,FALSE),IFERROR(VLOOKUP(P29&amp;"|ALL|ALL|ALL",V8_COHORT_TABLE,4,FALSE),VLOOKUP("GLOBAL",V8_COHORT_TABLE,4,FALSE)))))</f>
        <v/>
      </c>
      <c r="Z29" s="15">
        <f>IFERROR(VLOOKUP(T29,V8_COHORT_TABLE,5,FALSE),IFERROR(VLOOKUP(P29&amp;"|"&amp;Q29&amp;"|ALL|"&amp;S29,V8_COHORT_TABLE,5,FALSE),IFERROR(VLOOKUP(P29&amp;"|ALL|ALL|"&amp;S29,V8_COHORT_TABLE,5,FALSE),IFERROR(VLOOKUP(P29&amp;"|ALL|ALL|ALL",V8_COHORT_TABLE,5,FALSE),VLOOKUP("GLOBAL",V8_COHORT_TABLE,5,FALSE)))))</f>
        <v/>
      </c>
      <c r="AA29" s="15">
        <f>W29+X29/(1+EXP(-(V29-Y29)/Z29))</f>
        <v/>
      </c>
      <c r="AB29" s="15">
        <f>IFERROR(VLOOKUP(T29,V8_COHORT_TABLE,6,FALSE),IFERROR(VLOOKUP(P29&amp;"|"&amp;Q29&amp;"|ALL|"&amp;S29,V8_COHORT_TABLE,6,FALSE),IFERROR(VLOOKUP(P29&amp;"|ALL|ALL|"&amp;S29,V8_COHORT_TABLE,6,FALSE),IFERROR(VLOOKUP(P29&amp;"|ALL|ALL|ALL",V8_COHORT_TABLE,6,FALSE),VLOOKUP("GLOBAL",V8_COHORT_TABLE,6,FALSE)))))</f>
        <v/>
      </c>
      <c r="AC29" s="15">
        <f>IFERROR(VLOOKUP(T29,V8_COHORT_TABLE,7,FALSE),IFERROR(VLOOKUP(P29&amp;"|"&amp;Q29&amp;"|ALL|"&amp;S29,V8_COHORT_TABLE,7,FALSE),IFERROR(VLOOKUP(P29&amp;"|ALL|ALL|"&amp;S29,V8_COHORT_TABLE,7,FALSE),IFERROR(VLOOKUP(P29&amp;"|ALL|ALL|ALL",V8_COHORT_TABLE,7,FALSE),VLOOKUP("GLOBAL",V8_COHORT_TABLE,7,FALSE)))))</f>
        <v/>
      </c>
      <c r="AD29" s="15">
        <f>IFERROR(VLOOKUP(T29,V8_COHORT_TABLE,8,FALSE),IFERROR(VLOOKUP(P29&amp;"|"&amp;Q29&amp;"|ALL|"&amp;S29,V8_COHORT_TABLE,8,FALSE),IFERROR(VLOOKUP(P29&amp;"|ALL|ALL|"&amp;S29,V8_COHORT_TABLE,8,FALSE),IFERROR(VLOOKUP(P29&amp;"|ALL|ALL|ALL",V8_COHORT_TABLE,8,FALSE),VLOOKUP("GLOBAL",V8_COHORT_TABLE,8,FALSE)))))</f>
        <v/>
      </c>
      <c r="AE29" s="15">
        <f>IFERROR(VLOOKUP(T29,V8_COHORT_TABLE,9,FALSE),IFERROR(VLOOKUP(P29&amp;"|"&amp;Q29&amp;"|ALL|"&amp;S29,V8_COHORT_TABLE,9,FALSE),IFERROR(VLOOKUP(P29&amp;"|ALL|ALL|"&amp;S29,V8_COHORT_TABLE,9,FALSE),IFERROR(VLOOKUP(P29&amp;"|ALL|ALL|ALL",V8_COHORT_TABLE,9,FALSE),VLOOKUP("GLOBAL",V8_COHORT_TABLE,9,FALSE)))))</f>
        <v/>
      </c>
      <c r="AF29" s="8">
        <f>IF(K29&lt;=0,AB29,IF(K29&gt;=240,AE29,IF(K29&lt;=24,AB29+(K29-0)/24*(AC29-AB29),IF(K29&lt;=96,AC29+(K29-24)/72*(AD29-AC29),AD29+(K29-96)/144*(AE29-AD29)))))</f>
        <v/>
      </c>
      <c r="AG29" s="8">
        <f>IF(IF(OR(L29="",NOT(ISNUMBER(L29))),360,MAX(0,MIN(480,(INT(L29/100)-INT(VALUE(F29)/100))*12+MOD(L29,100)-MOD(VALUE(F29),100))))&gt;0,1+V8_MTY_AMP*MAX(0,(V8_MTY_CUTOFF-(IF(OR(L29="",NOT(ISNUMBER(L29))),360,MAX(0,MIN(480,(INT(L29/100)-INT(VALUE(F29)/100))*12+MOD(L29,100)-MOD(VALUE(F29),100))))))/V8_MTY_CUTOFF),1)</f>
        <v/>
      </c>
      <c r="AH29" s="8">
        <f>IF(AND(IF(OR(M29="",NOT(ISNUMBER(M29))),0,MAX(0,MIN(24,(INT(VALUE(F29)/100)-INT(M29/100))*12+MOD(VALUE(F29),100)-MOD(M29,100))))&gt;0,IF(OR(M29="",NOT(ISNUMBER(M29))),0,MAX(0,MIN(24,(INT(VALUE(F29)/100)-INT(M29/100))*12+MOD(VALUE(F29),100)-MOD(M29,100))))&lt;=12),1+V8_LOCKOUT_AMP*EXP(-(IF(OR(M29="",NOT(ISNUMBER(M29))),0,MAX(0,MIN(24,(INT(VALUE(F29)/100)-INT(M29/100))*12+MOD(VALUE(F29),100)-MOD(M29,100)))))/V8_LOCKOUT_TAU),1)</f>
        <v/>
      </c>
      <c r="AI29" s="8">
        <f>MAX(V8_BURN_FLOOR,1-V8_BURN_SLOPE*MIN(1,MAX(0,O29)))</f>
        <v/>
      </c>
      <c r="AJ29" s="15">
        <f>MIN(AA29*AF29*AG29*AH29*AI29,0.2)</f>
        <v/>
      </c>
      <c r="AK29" s="16">
        <f>1-(1-AJ29)^12</f>
        <v/>
      </c>
    </row>
    <row r="30">
      <c r="A30" s="2" t="inlineStr">
        <is>
          <t>000007311376</t>
        </is>
      </c>
      <c r="B30" t="inlineStr">
        <is>
          <t>223f</t>
        </is>
      </c>
      <c r="C30" t="inlineStr">
        <is>
          <t>RP</t>
        </is>
      </c>
      <c r="D30" t="inlineStr">
        <is>
          <t>LUMENT REAL ESTATE CAPITAL,LLC</t>
        </is>
      </c>
      <c r="E30" t="n">
        <v>2008</v>
      </c>
      <c r="F30" t="inlineStr">
        <is>
          <t>202602</t>
        </is>
      </c>
      <c r="G30" s="9" t="n">
        <v>1740203.09</v>
      </c>
      <c r="H30" s="13" t="n">
        <v>3.65</v>
      </c>
      <c r="I30" s="14" t="n">
        <v>447</v>
      </c>
      <c r="J30" s="14" t="n">
        <v>1</v>
      </c>
      <c r="K30" t="n">
        <v>206</v>
      </c>
      <c r="L30" t="n">
        <v>204401</v>
      </c>
      <c r="M30" t="inlineStr"/>
      <c r="N30" t="n">
        <v>32</v>
      </c>
      <c r="O30" s="8" t="n">
        <v>0.1553398058252427</v>
      </c>
      <c r="P30">
        <f>IF(ISNUMBER(SEARCH("232",B30)),"232",IF(ISNUMBER(SEARCH("538",B30)),"538",IF(ISNUMBER(SEARCH("223a7",B30)),"223a7",IF(ISNUMBER(SEARCH("223f",B30)),"223f","OTHER"))))</f>
        <v/>
      </c>
      <c r="Q30">
        <f>IF(UPPER(C30)="NC","NC","RP")</f>
        <v/>
      </c>
      <c r="R30">
        <f>IF(G30&lt;5000000,"small",IF(G30&lt;25000000,"medium","large"))</f>
        <v/>
      </c>
      <c r="S30">
        <f>IF(K30&lt;36,"young",IF(K30&lt;120,"seasoned","aged"))</f>
        <v/>
      </c>
      <c r="T30">
        <f>P30&amp;"|"&amp;Q30&amp;"|"&amp;R30&amp;"|"&amp;S30</f>
        <v/>
      </c>
      <c r="U30" s="14">
        <f>H30*100-I30</f>
        <v/>
      </c>
      <c r="V30" s="14">
        <f>U30-12.5*(J30+1)</f>
        <v/>
      </c>
      <c r="W30" s="15">
        <f>IFERROR(VLOOKUP(T30,V8_COHORT_TABLE,2,FALSE),IFERROR(VLOOKUP(P30&amp;"|"&amp;Q30&amp;"|ALL|"&amp;S30,V8_COHORT_TABLE,2,FALSE),IFERROR(VLOOKUP(P30&amp;"|ALL|ALL|"&amp;S30,V8_COHORT_TABLE,2,FALSE),IFERROR(VLOOKUP(P30&amp;"|ALL|ALL|ALL",V8_COHORT_TABLE,2,FALSE),VLOOKUP("GLOBAL",V8_COHORT_TABLE,2,FALSE)))))</f>
        <v/>
      </c>
      <c r="X30" s="15">
        <f>IFERROR(VLOOKUP(T30,V8_COHORT_TABLE,3,FALSE),IFERROR(VLOOKUP(P30&amp;"|"&amp;Q30&amp;"|ALL|"&amp;S30,V8_COHORT_TABLE,3,FALSE),IFERROR(VLOOKUP(P30&amp;"|ALL|ALL|"&amp;S30,V8_COHORT_TABLE,3,FALSE),IFERROR(VLOOKUP(P30&amp;"|ALL|ALL|ALL",V8_COHORT_TABLE,3,FALSE),VLOOKUP("GLOBAL",V8_COHORT_TABLE,3,FALSE)))))</f>
        <v/>
      </c>
      <c r="Y30" s="15">
        <f>IFERROR(VLOOKUP(T30,V8_COHORT_TABLE,4,FALSE),IFERROR(VLOOKUP(P30&amp;"|"&amp;Q30&amp;"|ALL|"&amp;S30,V8_COHORT_TABLE,4,FALSE),IFERROR(VLOOKUP(P30&amp;"|ALL|ALL|"&amp;S30,V8_COHORT_TABLE,4,FALSE),IFERROR(VLOOKUP(P30&amp;"|ALL|ALL|ALL",V8_COHORT_TABLE,4,FALSE),VLOOKUP("GLOBAL",V8_COHORT_TABLE,4,FALSE)))))</f>
        <v/>
      </c>
      <c r="Z30" s="15">
        <f>IFERROR(VLOOKUP(T30,V8_COHORT_TABLE,5,FALSE),IFERROR(VLOOKUP(P30&amp;"|"&amp;Q30&amp;"|ALL|"&amp;S30,V8_COHORT_TABLE,5,FALSE),IFERROR(VLOOKUP(P30&amp;"|ALL|ALL|"&amp;S30,V8_COHORT_TABLE,5,FALSE),IFERROR(VLOOKUP(P30&amp;"|ALL|ALL|ALL",V8_COHORT_TABLE,5,FALSE),VLOOKUP("GLOBAL",V8_COHORT_TABLE,5,FALSE)))))</f>
        <v/>
      </c>
      <c r="AA30" s="15">
        <f>W30+X30/(1+EXP(-(V30-Y30)/Z30))</f>
        <v/>
      </c>
      <c r="AB30" s="15">
        <f>IFERROR(VLOOKUP(T30,V8_COHORT_TABLE,6,FALSE),IFERROR(VLOOKUP(P30&amp;"|"&amp;Q30&amp;"|ALL|"&amp;S30,V8_COHORT_TABLE,6,FALSE),IFERROR(VLOOKUP(P30&amp;"|ALL|ALL|"&amp;S30,V8_COHORT_TABLE,6,FALSE),IFERROR(VLOOKUP(P30&amp;"|ALL|ALL|ALL",V8_COHORT_TABLE,6,FALSE),VLOOKUP("GLOBAL",V8_COHORT_TABLE,6,FALSE)))))</f>
        <v/>
      </c>
      <c r="AC30" s="15">
        <f>IFERROR(VLOOKUP(T30,V8_COHORT_TABLE,7,FALSE),IFERROR(VLOOKUP(P30&amp;"|"&amp;Q30&amp;"|ALL|"&amp;S30,V8_COHORT_TABLE,7,FALSE),IFERROR(VLOOKUP(P30&amp;"|ALL|ALL|"&amp;S30,V8_COHORT_TABLE,7,FALSE),IFERROR(VLOOKUP(P30&amp;"|ALL|ALL|ALL",V8_COHORT_TABLE,7,FALSE),VLOOKUP("GLOBAL",V8_COHORT_TABLE,7,FALSE)))))</f>
        <v/>
      </c>
      <c r="AD30" s="15">
        <f>IFERROR(VLOOKUP(T30,V8_COHORT_TABLE,8,FALSE),IFERROR(VLOOKUP(P30&amp;"|"&amp;Q30&amp;"|ALL|"&amp;S30,V8_COHORT_TABLE,8,FALSE),IFERROR(VLOOKUP(P30&amp;"|ALL|ALL|"&amp;S30,V8_COHORT_TABLE,8,FALSE),IFERROR(VLOOKUP(P30&amp;"|ALL|ALL|ALL",V8_COHORT_TABLE,8,FALSE),VLOOKUP("GLOBAL",V8_COHORT_TABLE,8,FALSE)))))</f>
        <v/>
      </c>
      <c r="AE30" s="15">
        <f>IFERROR(VLOOKUP(T30,V8_COHORT_TABLE,9,FALSE),IFERROR(VLOOKUP(P30&amp;"|"&amp;Q30&amp;"|ALL|"&amp;S30,V8_COHORT_TABLE,9,FALSE),IFERROR(VLOOKUP(P30&amp;"|ALL|ALL|"&amp;S30,V8_COHORT_TABLE,9,FALSE),IFERROR(VLOOKUP(P30&amp;"|ALL|ALL|ALL",V8_COHORT_TABLE,9,FALSE),VLOOKUP("GLOBAL",V8_COHORT_TABLE,9,FALSE)))))</f>
        <v/>
      </c>
      <c r="AF30" s="8">
        <f>IF(K30&lt;=0,AB30,IF(K30&gt;=240,AE30,IF(K30&lt;=24,AB30+(K30-0)/24*(AC30-AB30),IF(K30&lt;=96,AC30+(K30-24)/72*(AD30-AC30),AD30+(K30-96)/144*(AE30-AD30)))))</f>
        <v/>
      </c>
      <c r="AG30" s="8">
        <f>IF(IF(OR(L30="",NOT(ISNUMBER(L30))),360,MAX(0,MIN(480,(INT(L30/100)-INT(VALUE(F30)/100))*12+MOD(L30,100)-MOD(VALUE(F30),100))))&gt;0,1+V8_MTY_AMP*MAX(0,(V8_MTY_CUTOFF-(IF(OR(L30="",NOT(ISNUMBER(L30))),360,MAX(0,MIN(480,(INT(L30/100)-INT(VALUE(F30)/100))*12+MOD(L30,100)-MOD(VALUE(F30),100))))))/V8_MTY_CUTOFF),1)</f>
        <v/>
      </c>
      <c r="AH30" s="8">
        <f>IF(AND(IF(OR(M30="",NOT(ISNUMBER(M30))),0,MAX(0,MIN(24,(INT(VALUE(F30)/100)-INT(M30/100))*12+MOD(VALUE(F30),100)-MOD(M30,100))))&gt;0,IF(OR(M30="",NOT(ISNUMBER(M30))),0,MAX(0,MIN(24,(INT(VALUE(F30)/100)-INT(M30/100))*12+MOD(VALUE(F30),100)-MOD(M30,100))))&lt;=12),1+V8_LOCKOUT_AMP*EXP(-(IF(OR(M30="",NOT(ISNUMBER(M30))),0,MAX(0,MIN(24,(INT(VALUE(F30)/100)-INT(M30/100))*12+MOD(VALUE(F30),100)-MOD(M30,100)))))/V8_LOCKOUT_TAU),1)</f>
        <v/>
      </c>
      <c r="AI30" s="8">
        <f>MAX(V8_BURN_FLOOR,1-V8_BURN_SLOPE*MIN(1,MAX(0,O30)))</f>
        <v/>
      </c>
      <c r="AJ30" s="15">
        <f>MIN(AA30*AF30*AG30*AH30*AI30,0.2)</f>
        <v/>
      </c>
      <c r="AK30" s="16">
        <f>1-(1-AJ30)^12</f>
        <v/>
      </c>
    </row>
    <row r="31">
      <c r="A31" s="2" t="inlineStr">
        <is>
          <t>000007222191</t>
        </is>
      </c>
      <c r="B31" t="inlineStr">
        <is>
          <t>232</t>
        </is>
      </c>
      <c r="C31" t="inlineStr">
        <is>
          <t>RP</t>
        </is>
      </c>
      <c r="D31" t="inlineStr">
        <is>
          <t>LUMENT REAL ESTATE CAPITAL,LLC</t>
        </is>
      </c>
      <c r="E31" t="n">
        <v>2020</v>
      </c>
      <c r="F31" t="inlineStr">
        <is>
          <t>202602</t>
        </is>
      </c>
      <c r="G31" s="9" t="n">
        <v>8618776.17</v>
      </c>
      <c r="H31" s="13" t="n">
        <v>2.4</v>
      </c>
      <c r="I31" s="14" t="n">
        <v>447</v>
      </c>
      <c r="J31" s="14" t="n">
        <v>5</v>
      </c>
      <c r="K31" t="n">
        <v>64</v>
      </c>
      <c r="L31" t="n">
        <v>205511</v>
      </c>
      <c r="M31" t="inlineStr"/>
      <c r="N31" t="n">
        <v>0</v>
      </c>
      <c r="O31" s="8" t="n">
        <v>0</v>
      </c>
      <c r="P31">
        <f>IF(ISNUMBER(SEARCH("232",B31)),"232",IF(ISNUMBER(SEARCH("538",B31)),"538",IF(ISNUMBER(SEARCH("223a7",B31)),"223a7",IF(ISNUMBER(SEARCH("223f",B31)),"223f","OTHER"))))</f>
        <v/>
      </c>
      <c r="Q31">
        <f>IF(UPPER(C31)="NC","NC","RP")</f>
        <v/>
      </c>
      <c r="R31">
        <f>IF(G31&lt;5000000,"small",IF(G31&lt;25000000,"medium","large"))</f>
        <v/>
      </c>
      <c r="S31">
        <f>IF(K31&lt;36,"young",IF(K31&lt;120,"seasoned","aged"))</f>
        <v/>
      </c>
      <c r="T31">
        <f>P31&amp;"|"&amp;Q31&amp;"|"&amp;R31&amp;"|"&amp;S31</f>
        <v/>
      </c>
      <c r="U31" s="14">
        <f>H31*100-I31</f>
        <v/>
      </c>
      <c r="V31" s="14">
        <f>U31-12.5*(J31+1)</f>
        <v/>
      </c>
      <c r="W31" s="15">
        <f>IFERROR(VLOOKUP(T31,V8_COHORT_TABLE,2,FALSE),IFERROR(VLOOKUP(P31&amp;"|"&amp;Q31&amp;"|ALL|"&amp;S31,V8_COHORT_TABLE,2,FALSE),IFERROR(VLOOKUP(P31&amp;"|ALL|ALL|"&amp;S31,V8_COHORT_TABLE,2,FALSE),IFERROR(VLOOKUP(P31&amp;"|ALL|ALL|ALL",V8_COHORT_TABLE,2,FALSE),VLOOKUP("GLOBAL",V8_COHORT_TABLE,2,FALSE)))))</f>
        <v/>
      </c>
      <c r="X31" s="15">
        <f>IFERROR(VLOOKUP(T31,V8_COHORT_TABLE,3,FALSE),IFERROR(VLOOKUP(P31&amp;"|"&amp;Q31&amp;"|ALL|"&amp;S31,V8_COHORT_TABLE,3,FALSE),IFERROR(VLOOKUP(P31&amp;"|ALL|ALL|"&amp;S31,V8_COHORT_TABLE,3,FALSE),IFERROR(VLOOKUP(P31&amp;"|ALL|ALL|ALL",V8_COHORT_TABLE,3,FALSE),VLOOKUP("GLOBAL",V8_COHORT_TABLE,3,FALSE)))))</f>
        <v/>
      </c>
      <c r="Y31" s="15">
        <f>IFERROR(VLOOKUP(T31,V8_COHORT_TABLE,4,FALSE),IFERROR(VLOOKUP(P31&amp;"|"&amp;Q31&amp;"|ALL|"&amp;S31,V8_COHORT_TABLE,4,FALSE),IFERROR(VLOOKUP(P31&amp;"|ALL|ALL|"&amp;S31,V8_COHORT_TABLE,4,FALSE),IFERROR(VLOOKUP(P31&amp;"|ALL|ALL|ALL",V8_COHORT_TABLE,4,FALSE),VLOOKUP("GLOBAL",V8_COHORT_TABLE,4,FALSE)))))</f>
        <v/>
      </c>
      <c r="Z31" s="15">
        <f>IFERROR(VLOOKUP(T31,V8_COHORT_TABLE,5,FALSE),IFERROR(VLOOKUP(P31&amp;"|"&amp;Q31&amp;"|ALL|"&amp;S31,V8_COHORT_TABLE,5,FALSE),IFERROR(VLOOKUP(P31&amp;"|ALL|ALL|"&amp;S31,V8_COHORT_TABLE,5,FALSE),IFERROR(VLOOKUP(P31&amp;"|ALL|ALL|ALL",V8_COHORT_TABLE,5,FALSE),VLOOKUP("GLOBAL",V8_COHORT_TABLE,5,FALSE)))))</f>
        <v/>
      </c>
      <c r="AA31" s="15">
        <f>W31+X31/(1+EXP(-(V31-Y31)/Z31))</f>
        <v/>
      </c>
      <c r="AB31" s="15">
        <f>IFERROR(VLOOKUP(T31,V8_COHORT_TABLE,6,FALSE),IFERROR(VLOOKUP(P31&amp;"|"&amp;Q31&amp;"|ALL|"&amp;S31,V8_COHORT_TABLE,6,FALSE),IFERROR(VLOOKUP(P31&amp;"|ALL|ALL|"&amp;S31,V8_COHORT_TABLE,6,FALSE),IFERROR(VLOOKUP(P31&amp;"|ALL|ALL|ALL",V8_COHORT_TABLE,6,FALSE),VLOOKUP("GLOBAL",V8_COHORT_TABLE,6,FALSE)))))</f>
        <v/>
      </c>
      <c r="AC31" s="15">
        <f>IFERROR(VLOOKUP(T31,V8_COHORT_TABLE,7,FALSE),IFERROR(VLOOKUP(P31&amp;"|"&amp;Q31&amp;"|ALL|"&amp;S31,V8_COHORT_TABLE,7,FALSE),IFERROR(VLOOKUP(P31&amp;"|ALL|ALL|"&amp;S31,V8_COHORT_TABLE,7,FALSE),IFERROR(VLOOKUP(P31&amp;"|ALL|ALL|ALL",V8_COHORT_TABLE,7,FALSE),VLOOKUP("GLOBAL",V8_COHORT_TABLE,7,FALSE)))))</f>
        <v/>
      </c>
      <c r="AD31" s="15">
        <f>IFERROR(VLOOKUP(T31,V8_COHORT_TABLE,8,FALSE),IFERROR(VLOOKUP(P31&amp;"|"&amp;Q31&amp;"|ALL|"&amp;S31,V8_COHORT_TABLE,8,FALSE),IFERROR(VLOOKUP(P31&amp;"|ALL|ALL|"&amp;S31,V8_COHORT_TABLE,8,FALSE),IFERROR(VLOOKUP(P31&amp;"|ALL|ALL|ALL",V8_COHORT_TABLE,8,FALSE),VLOOKUP("GLOBAL",V8_COHORT_TABLE,8,FALSE)))))</f>
        <v/>
      </c>
      <c r="AE31" s="15">
        <f>IFERROR(VLOOKUP(T31,V8_COHORT_TABLE,9,FALSE),IFERROR(VLOOKUP(P31&amp;"|"&amp;Q31&amp;"|ALL|"&amp;S31,V8_COHORT_TABLE,9,FALSE),IFERROR(VLOOKUP(P31&amp;"|ALL|ALL|"&amp;S31,V8_COHORT_TABLE,9,FALSE),IFERROR(VLOOKUP(P31&amp;"|ALL|ALL|ALL",V8_COHORT_TABLE,9,FALSE),VLOOKUP("GLOBAL",V8_COHORT_TABLE,9,FALSE)))))</f>
        <v/>
      </c>
      <c r="AF31" s="8">
        <f>IF(K31&lt;=0,AB31,IF(K31&gt;=240,AE31,IF(K31&lt;=24,AB31+(K31-0)/24*(AC31-AB31),IF(K31&lt;=96,AC31+(K31-24)/72*(AD31-AC31),AD31+(K31-96)/144*(AE31-AD31)))))</f>
        <v/>
      </c>
      <c r="AG31" s="8">
        <f>IF(IF(OR(L31="",NOT(ISNUMBER(L31))),360,MAX(0,MIN(480,(INT(L31/100)-INT(VALUE(F31)/100))*12+MOD(L31,100)-MOD(VALUE(F31),100))))&gt;0,1+V8_MTY_AMP*MAX(0,(V8_MTY_CUTOFF-(IF(OR(L31="",NOT(ISNUMBER(L31))),360,MAX(0,MIN(480,(INT(L31/100)-INT(VALUE(F31)/100))*12+MOD(L31,100)-MOD(VALUE(F31),100))))))/V8_MTY_CUTOFF),1)</f>
        <v/>
      </c>
      <c r="AH31" s="8">
        <f>IF(AND(IF(OR(M31="",NOT(ISNUMBER(M31))),0,MAX(0,MIN(24,(INT(VALUE(F31)/100)-INT(M31/100))*12+MOD(VALUE(F31),100)-MOD(M31,100))))&gt;0,IF(OR(M31="",NOT(ISNUMBER(M31))),0,MAX(0,MIN(24,(INT(VALUE(F31)/100)-INT(M31/100))*12+MOD(VALUE(F31),100)-MOD(M31,100))))&lt;=12),1+V8_LOCKOUT_AMP*EXP(-(IF(OR(M31="",NOT(ISNUMBER(M31))),0,MAX(0,MIN(24,(INT(VALUE(F31)/100)-INT(M31/100))*12+MOD(VALUE(F31),100)-MOD(M31,100)))))/V8_LOCKOUT_TAU),1)</f>
        <v/>
      </c>
      <c r="AI31" s="8">
        <f>MAX(V8_BURN_FLOOR,1-V8_BURN_SLOPE*MIN(1,MAX(0,O31)))</f>
        <v/>
      </c>
      <c r="AJ31" s="15">
        <f>MIN(AA31*AF31*AG31*AH31*AI31,0.2)</f>
        <v/>
      </c>
      <c r="AK31" s="16">
        <f>1-(1-AJ31)^12</f>
        <v/>
      </c>
    </row>
    <row r="32">
      <c r="A32" s="2" t="inlineStr">
        <is>
          <t>000004311278</t>
        </is>
      </c>
      <c r="B32" t="inlineStr">
        <is>
          <t>223f</t>
        </is>
      </c>
      <c r="C32" t="inlineStr">
        <is>
          <t>RP</t>
        </is>
      </c>
      <c r="D32" t="inlineStr">
        <is>
          <t>LUMENT REAL ESTATE CAPITAL,LLC</t>
        </is>
      </c>
      <c r="E32" t="n">
        <v>2021</v>
      </c>
      <c r="F32" t="inlineStr">
        <is>
          <t>202602</t>
        </is>
      </c>
      <c r="G32" s="9" t="n">
        <v>7838412.72</v>
      </c>
      <c r="H32" s="13" t="n">
        <v>2.23</v>
      </c>
      <c r="I32" s="14" t="n">
        <v>447</v>
      </c>
      <c r="J32" s="14" t="n">
        <v>6</v>
      </c>
      <c r="K32" t="n">
        <v>57</v>
      </c>
      <c r="L32" t="n">
        <v>205606</v>
      </c>
      <c r="M32" t="inlineStr"/>
      <c r="N32" t="n">
        <v>0</v>
      </c>
      <c r="O32" s="8" t="n">
        <v>0</v>
      </c>
      <c r="P32">
        <f>IF(ISNUMBER(SEARCH("232",B32)),"232",IF(ISNUMBER(SEARCH("538",B32)),"538",IF(ISNUMBER(SEARCH("223a7",B32)),"223a7",IF(ISNUMBER(SEARCH("223f",B32)),"223f","OTHER"))))</f>
        <v/>
      </c>
      <c r="Q32">
        <f>IF(UPPER(C32)="NC","NC","RP")</f>
        <v/>
      </c>
      <c r="R32">
        <f>IF(G32&lt;5000000,"small",IF(G32&lt;25000000,"medium","large"))</f>
        <v/>
      </c>
      <c r="S32">
        <f>IF(K32&lt;36,"young",IF(K32&lt;120,"seasoned","aged"))</f>
        <v/>
      </c>
      <c r="T32">
        <f>P32&amp;"|"&amp;Q32&amp;"|"&amp;R32&amp;"|"&amp;S32</f>
        <v/>
      </c>
      <c r="U32" s="14">
        <f>H32*100-I32</f>
        <v/>
      </c>
      <c r="V32" s="14">
        <f>U32-12.5*(J32+1)</f>
        <v/>
      </c>
      <c r="W32" s="15">
        <f>IFERROR(VLOOKUP(T32,V8_COHORT_TABLE,2,FALSE),IFERROR(VLOOKUP(P32&amp;"|"&amp;Q32&amp;"|ALL|"&amp;S32,V8_COHORT_TABLE,2,FALSE),IFERROR(VLOOKUP(P32&amp;"|ALL|ALL|"&amp;S32,V8_COHORT_TABLE,2,FALSE),IFERROR(VLOOKUP(P32&amp;"|ALL|ALL|ALL",V8_COHORT_TABLE,2,FALSE),VLOOKUP("GLOBAL",V8_COHORT_TABLE,2,FALSE)))))</f>
        <v/>
      </c>
      <c r="X32" s="15">
        <f>IFERROR(VLOOKUP(T32,V8_COHORT_TABLE,3,FALSE),IFERROR(VLOOKUP(P32&amp;"|"&amp;Q32&amp;"|ALL|"&amp;S32,V8_COHORT_TABLE,3,FALSE),IFERROR(VLOOKUP(P32&amp;"|ALL|ALL|"&amp;S32,V8_COHORT_TABLE,3,FALSE),IFERROR(VLOOKUP(P32&amp;"|ALL|ALL|ALL",V8_COHORT_TABLE,3,FALSE),VLOOKUP("GLOBAL",V8_COHORT_TABLE,3,FALSE)))))</f>
        <v/>
      </c>
      <c r="Y32" s="15">
        <f>IFERROR(VLOOKUP(T32,V8_COHORT_TABLE,4,FALSE),IFERROR(VLOOKUP(P32&amp;"|"&amp;Q32&amp;"|ALL|"&amp;S32,V8_COHORT_TABLE,4,FALSE),IFERROR(VLOOKUP(P32&amp;"|ALL|ALL|"&amp;S32,V8_COHORT_TABLE,4,FALSE),IFERROR(VLOOKUP(P32&amp;"|ALL|ALL|ALL",V8_COHORT_TABLE,4,FALSE),VLOOKUP("GLOBAL",V8_COHORT_TABLE,4,FALSE)))))</f>
        <v/>
      </c>
      <c r="Z32" s="15">
        <f>IFERROR(VLOOKUP(T32,V8_COHORT_TABLE,5,FALSE),IFERROR(VLOOKUP(P32&amp;"|"&amp;Q32&amp;"|ALL|"&amp;S32,V8_COHORT_TABLE,5,FALSE),IFERROR(VLOOKUP(P32&amp;"|ALL|ALL|"&amp;S32,V8_COHORT_TABLE,5,FALSE),IFERROR(VLOOKUP(P32&amp;"|ALL|ALL|ALL",V8_COHORT_TABLE,5,FALSE),VLOOKUP("GLOBAL",V8_COHORT_TABLE,5,FALSE)))))</f>
        <v/>
      </c>
      <c r="AA32" s="15">
        <f>W32+X32/(1+EXP(-(V32-Y32)/Z32))</f>
        <v/>
      </c>
      <c r="AB32" s="15">
        <f>IFERROR(VLOOKUP(T32,V8_COHORT_TABLE,6,FALSE),IFERROR(VLOOKUP(P32&amp;"|"&amp;Q32&amp;"|ALL|"&amp;S32,V8_COHORT_TABLE,6,FALSE),IFERROR(VLOOKUP(P32&amp;"|ALL|ALL|"&amp;S32,V8_COHORT_TABLE,6,FALSE),IFERROR(VLOOKUP(P32&amp;"|ALL|ALL|ALL",V8_COHORT_TABLE,6,FALSE),VLOOKUP("GLOBAL",V8_COHORT_TABLE,6,FALSE)))))</f>
        <v/>
      </c>
      <c r="AC32" s="15">
        <f>IFERROR(VLOOKUP(T32,V8_COHORT_TABLE,7,FALSE),IFERROR(VLOOKUP(P32&amp;"|"&amp;Q32&amp;"|ALL|"&amp;S32,V8_COHORT_TABLE,7,FALSE),IFERROR(VLOOKUP(P32&amp;"|ALL|ALL|"&amp;S32,V8_COHORT_TABLE,7,FALSE),IFERROR(VLOOKUP(P32&amp;"|ALL|ALL|ALL",V8_COHORT_TABLE,7,FALSE),VLOOKUP("GLOBAL",V8_COHORT_TABLE,7,FALSE)))))</f>
        <v/>
      </c>
      <c r="AD32" s="15">
        <f>IFERROR(VLOOKUP(T32,V8_COHORT_TABLE,8,FALSE),IFERROR(VLOOKUP(P32&amp;"|"&amp;Q32&amp;"|ALL|"&amp;S32,V8_COHORT_TABLE,8,FALSE),IFERROR(VLOOKUP(P32&amp;"|ALL|ALL|"&amp;S32,V8_COHORT_TABLE,8,FALSE),IFERROR(VLOOKUP(P32&amp;"|ALL|ALL|ALL",V8_COHORT_TABLE,8,FALSE),VLOOKUP("GLOBAL",V8_COHORT_TABLE,8,FALSE)))))</f>
        <v/>
      </c>
      <c r="AE32" s="15">
        <f>IFERROR(VLOOKUP(T32,V8_COHORT_TABLE,9,FALSE),IFERROR(VLOOKUP(P32&amp;"|"&amp;Q32&amp;"|ALL|"&amp;S32,V8_COHORT_TABLE,9,FALSE),IFERROR(VLOOKUP(P32&amp;"|ALL|ALL|"&amp;S32,V8_COHORT_TABLE,9,FALSE),IFERROR(VLOOKUP(P32&amp;"|ALL|ALL|ALL",V8_COHORT_TABLE,9,FALSE),VLOOKUP("GLOBAL",V8_COHORT_TABLE,9,FALSE)))))</f>
        <v/>
      </c>
      <c r="AF32" s="8">
        <f>IF(K32&lt;=0,AB32,IF(K32&gt;=240,AE32,IF(K32&lt;=24,AB32+(K32-0)/24*(AC32-AB32),IF(K32&lt;=96,AC32+(K32-24)/72*(AD32-AC32),AD32+(K32-96)/144*(AE32-AD32)))))</f>
        <v/>
      </c>
      <c r="AG32" s="8">
        <f>IF(IF(OR(L32="",NOT(ISNUMBER(L32))),360,MAX(0,MIN(480,(INT(L32/100)-INT(VALUE(F32)/100))*12+MOD(L32,100)-MOD(VALUE(F32),100))))&gt;0,1+V8_MTY_AMP*MAX(0,(V8_MTY_CUTOFF-(IF(OR(L32="",NOT(ISNUMBER(L32))),360,MAX(0,MIN(480,(INT(L32/100)-INT(VALUE(F32)/100))*12+MOD(L32,100)-MOD(VALUE(F32),100))))))/V8_MTY_CUTOFF),1)</f>
        <v/>
      </c>
      <c r="AH32" s="8">
        <f>IF(AND(IF(OR(M32="",NOT(ISNUMBER(M32))),0,MAX(0,MIN(24,(INT(VALUE(F32)/100)-INT(M32/100))*12+MOD(VALUE(F32),100)-MOD(M32,100))))&gt;0,IF(OR(M32="",NOT(ISNUMBER(M32))),0,MAX(0,MIN(24,(INT(VALUE(F32)/100)-INT(M32/100))*12+MOD(VALUE(F32),100)-MOD(M32,100))))&lt;=12),1+V8_LOCKOUT_AMP*EXP(-(IF(OR(M32="",NOT(ISNUMBER(M32))),0,MAX(0,MIN(24,(INT(VALUE(F32)/100)-INT(M32/100))*12+MOD(VALUE(F32),100)-MOD(M32,100)))))/V8_LOCKOUT_TAU),1)</f>
        <v/>
      </c>
      <c r="AI32" s="8">
        <f>MAX(V8_BURN_FLOOR,1-V8_BURN_SLOPE*MIN(1,MAX(0,O32)))</f>
        <v/>
      </c>
      <c r="AJ32" s="15">
        <f>MIN(AA32*AF32*AG32*AH32*AI32,0.2)</f>
        <v/>
      </c>
      <c r="AK32" s="16">
        <f>1-(1-AJ32)^12</f>
        <v/>
      </c>
    </row>
    <row r="33">
      <c r="A33" s="2" t="inlineStr">
        <is>
          <t>000007322280</t>
        </is>
      </c>
      <c r="B33" t="inlineStr">
        <is>
          <t>232</t>
        </is>
      </c>
      <c r="C33" t="inlineStr">
        <is>
          <t>RP</t>
        </is>
      </c>
      <c r="D33" t="inlineStr">
        <is>
          <t>LUMENT REAL ESTATE CAPITAL,LLC</t>
        </is>
      </c>
      <c r="E33" t="n">
        <v>2017</v>
      </c>
      <c r="F33" t="inlineStr">
        <is>
          <t>202602</t>
        </is>
      </c>
      <c r="G33" s="9" t="n">
        <v>16054037.47</v>
      </c>
      <c r="H33" s="13" t="n">
        <v>3.03</v>
      </c>
      <c r="I33" s="14" t="n">
        <v>447</v>
      </c>
      <c r="J33" s="14" t="n">
        <v>6</v>
      </c>
      <c r="K33" t="n">
        <v>106</v>
      </c>
      <c r="L33" t="n">
        <v>205205</v>
      </c>
      <c r="M33" t="inlineStr"/>
      <c r="N33" t="n">
        <v>0</v>
      </c>
      <c r="O33" s="8" t="n">
        <v>0</v>
      </c>
      <c r="P33">
        <f>IF(ISNUMBER(SEARCH("232",B33)),"232",IF(ISNUMBER(SEARCH("538",B33)),"538",IF(ISNUMBER(SEARCH("223a7",B33)),"223a7",IF(ISNUMBER(SEARCH("223f",B33)),"223f","OTHER"))))</f>
        <v/>
      </c>
      <c r="Q33">
        <f>IF(UPPER(C33)="NC","NC","RP")</f>
        <v/>
      </c>
      <c r="R33">
        <f>IF(G33&lt;5000000,"small",IF(G33&lt;25000000,"medium","large"))</f>
        <v/>
      </c>
      <c r="S33">
        <f>IF(K33&lt;36,"young",IF(K33&lt;120,"seasoned","aged"))</f>
        <v/>
      </c>
      <c r="T33">
        <f>P33&amp;"|"&amp;Q33&amp;"|"&amp;R33&amp;"|"&amp;S33</f>
        <v/>
      </c>
      <c r="U33" s="14">
        <f>H33*100-I33</f>
        <v/>
      </c>
      <c r="V33" s="14">
        <f>U33-12.5*(J33+1)</f>
        <v/>
      </c>
      <c r="W33" s="15">
        <f>IFERROR(VLOOKUP(T33,V8_COHORT_TABLE,2,FALSE),IFERROR(VLOOKUP(P33&amp;"|"&amp;Q33&amp;"|ALL|"&amp;S33,V8_COHORT_TABLE,2,FALSE),IFERROR(VLOOKUP(P33&amp;"|ALL|ALL|"&amp;S33,V8_COHORT_TABLE,2,FALSE),IFERROR(VLOOKUP(P33&amp;"|ALL|ALL|ALL",V8_COHORT_TABLE,2,FALSE),VLOOKUP("GLOBAL",V8_COHORT_TABLE,2,FALSE)))))</f>
        <v/>
      </c>
      <c r="X33" s="15">
        <f>IFERROR(VLOOKUP(T33,V8_COHORT_TABLE,3,FALSE),IFERROR(VLOOKUP(P33&amp;"|"&amp;Q33&amp;"|ALL|"&amp;S33,V8_COHORT_TABLE,3,FALSE),IFERROR(VLOOKUP(P33&amp;"|ALL|ALL|"&amp;S33,V8_COHORT_TABLE,3,FALSE),IFERROR(VLOOKUP(P33&amp;"|ALL|ALL|ALL",V8_COHORT_TABLE,3,FALSE),VLOOKUP("GLOBAL",V8_COHORT_TABLE,3,FALSE)))))</f>
        <v/>
      </c>
      <c r="Y33" s="15">
        <f>IFERROR(VLOOKUP(T33,V8_COHORT_TABLE,4,FALSE),IFERROR(VLOOKUP(P33&amp;"|"&amp;Q33&amp;"|ALL|"&amp;S33,V8_COHORT_TABLE,4,FALSE),IFERROR(VLOOKUP(P33&amp;"|ALL|ALL|"&amp;S33,V8_COHORT_TABLE,4,FALSE),IFERROR(VLOOKUP(P33&amp;"|ALL|ALL|ALL",V8_COHORT_TABLE,4,FALSE),VLOOKUP("GLOBAL",V8_COHORT_TABLE,4,FALSE)))))</f>
        <v/>
      </c>
      <c r="Z33" s="15">
        <f>IFERROR(VLOOKUP(T33,V8_COHORT_TABLE,5,FALSE),IFERROR(VLOOKUP(P33&amp;"|"&amp;Q33&amp;"|ALL|"&amp;S33,V8_COHORT_TABLE,5,FALSE),IFERROR(VLOOKUP(P33&amp;"|ALL|ALL|"&amp;S33,V8_COHORT_TABLE,5,FALSE),IFERROR(VLOOKUP(P33&amp;"|ALL|ALL|ALL",V8_COHORT_TABLE,5,FALSE),VLOOKUP("GLOBAL",V8_COHORT_TABLE,5,FALSE)))))</f>
        <v/>
      </c>
      <c r="AA33" s="15">
        <f>W33+X33/(1+EXP(-(V33-Y33)/Z33))</f>
        <v/>
      </c>
      <c r="AB33" s="15">
        <f>IFERROR(VLOOKUP(T33,V8_COHORT_TABLE,6,FALSE),IFERROR(VLOOKUP(P33&amp;"|"&amp;Q33&amp;"|ALL|"&amp;S33,V8_COHORT_TABLE,6,FALSE),IFERROR(VLOOKUP(P33&amp;"|ALL|ALL|"&amp;S33,V8_COHORT_TABLE,6,FALSE),IFERROR(VLOOKUP(P33&amp;"|ALL|ALL|ALL",V8_COHORT_TABLE,6,FALSE),VLOOKUP("GLOBAL",V8_COHORT_TABLE,6,FALSE)))))</f>
        <v/>
      </c>
      <c r="AC33" s="15">
        <f>IFERROR(VLOOKUP(T33,V8_COHORT_TABLE,7,FALSE),IFERROR(VLOOKUP(P33&amp;"|"&amp;Q33&amp;"|ALL|"&amp;S33,V8_COHORT_TABLE,7,FALSE),IFERROR(VLOOKUP(P33&amp;"|ALL|ALL|"&amp;S33,V8_COHORT_TABLE,7,FALSE),IFERROR(VLOOKUP(P33&amp;"|ALL|ALL|ALL",V8_COHORT_TABLE,7,FALSE),VLOOKUP("GLOBAL",V8_COHORT_TABLE,7,FALSE)))))</f>
        <v/>
      </c>
      <c r="AD33" s="15">
        <f>IFERROR(VLOOKUP(T33,V8_COHORT_TABLE,8,FALSE),IFERROR(VLOOKUP(P33&amp;"|"&amp;Q33&amp;"|ALL|"&amp;S33,V8_COHORT_TABLE,8,FALSE),IFERROR(VLOOKUP(P33&amp;"|ALL|ALL|"&amp;S33,V8_COHORT_TABLE,8,FALSE),IFERROR(VLOOKUP(P33&amp;"|ALL|ALL|ALL",V8_COHORT_TABLE,8,FALSE),VLOOKUP("GLOBAL",V8_COHORT_TABLE,8,FALSE)))))</f>
        <v/>
      </c>
      <c r="AE33" s="15">
        <f>IFERROR(VLOOKUP(T33,V8_COHORT_TABLE,9,FALSE),IFERROR(VLOOKUP(P33&amp;"|"&amp;Q33&amp;"|ALL|"&amp;S33,V8_COHORT_TABLE,9,FALSE),IFERROR(VLOOKUP(P33&amp;"|ALL|ALL|"&amp;S33,V8_COHORT_TABLE,9,FALSE),IFERROR(VLOOKUP(P33&amp;"|ALL|ALL|ALL",V8_COHORT_TABLE,9,FALSE),VLOOKUP("GLOBAL",V8_COHORT_TABLE,9,FALSE)))))</f>
        <v/>
      </c>
      <c r="AF33" s="8">
        <f>IF(K33&lt;=0,AB33,IF(K33&gt;=240,AE33,IF(K33&lt;=24,AB33+(K33-0)/24*(AC33-AB33),IF(K33&lt;=96,AC33+(K33-24)/72*(AD33-AC33),AD33+(K33-96)/144*(AE33-AD33)))))</f>
        <v/>
      </c>
      <c r="AG33" s="8">
        <f>IF(IF(OR(L33="",NOT(ISNUMBER(L33))),360,MAX(0,MIN(480,(INT(L33/100)-INT(VALUE(F33)/100))*12+MOD(L33,100)-MOD(VALUE(F33),100))))&gt;0,1+V8_MTY_AMP*MAX(0,(V8_MTY_CUTOFF-(IF(OR(L33="",NOT(ISNUMBER(L33))),360,MAX(0,MIN(480,(INT(L33/100)-INT(VALUE(F33)/100))*12+MOD(L33,100)-MOD(VALUE(F33),100))))))/V8_MTY_CUTOFF),1)</f>
        <v/>
      </c>
      <c r="AH33" s="8">
        <f>IF(AND(IF(OR(M33="",NOT(ISNUMBER(M33))),0,MAX(0,MIN(24,(INT(VALUE(F33)/100)-INT(M33/100))*12+MOD(VALUE(F33),100)-MOD(M33,100))))&gt;0,IF(OR(M33="",NOT(ISNUMBER(M33))),0,MAX(0,MIN(24,(INT(VALUE(F33)/100)-INT(M33/100))*12+MOD(VALUE(F33),100)-MOD(M33,100))))&lt;=12),1+V8_LOCKOUT_AMP*EXP(-(IF(OR(M33="",NOT(ISNUMBER(M33))),0,MAX(0,MIN(24,(INT(VALUE(F33)/100)-INT(M33/100))*12+MOD(VALUE(F33),100)-MOD(M33,100)))))/V8_LOCKOUT_TAU),1)</f>
        <v/>
      </c>
      <c r="AI33" s="8">
        <f>MAX(V8_BURN_FLOOR,1-V8_BURN_SLOPE*MIN(1,MAX(0,O33)))</f>
        <v/>
      </c>
      <c r="AJ33" s="15">
        <f>MIN(AA33*AF33*AG33*AH33*AI33,0.2)</f>
        <v/>
      </c>
      <c r="AK33" s="16">
        <f>1-(1-AJ33)^12</f>
        <v/>
      </c>
    </row>
    <row r="34">
      <c r="A34" s="2" t="inlineStr">
        <is>
          <t>000004635742</t>
        </is>
      </c>
      <c r="B34" t="inlineStr">
        <is>
          <t>221d4</t>
        </is>
      </c>
      <c r="C34" t="inlineStr">
        <is>
          <t>RP</t>
        </is>
      </c>
      <c r="D34" t="inlineStr">
        <is>
          <t>LUMENT REAL ESTATE CAPITAL,LLC</t>
        </is>
      </c>
      <c r="E34" t="n">
        <v>2013</v>
      </c>
      <c r="F34" t="inlineStr">
        <is>
          <t>202602</t>
        </is>
      </c>
      <c r="G34" s="9" t="n">
        <v>1221401.95</v>
      </c>
      <c r="H34" s="13" t="n">
        <v>3.45</v>
      </c>
      <c r="I34" s="14" t="n">
        <v>447</v>
      </c>
      <c r="J34" s="14" t="n">
        <v>0</v>
      </c>
      <c r="K34" t="n">
        <v>152</v>
      </c>
      <c r="L34" t="n">
        <v>203301</v>
      </c>
      <c r="M34" t="inlineStr"/>
      <c r="N34" t="n">
        <v>33</v>
      </c>
      <c r="O34" s="8" t="n">
        <v>0.2171052631578947</v>
      </c>
      <c r="P34">
        <f>IF(ISNUMBER(SEARCH("232",B34)),"232",IF(ISNUMBER(SEARCH("538",B34)),"538",IF(ISNUMBER(SEARCH("223a7",B34)),"223a7",IF(ISNUMBER(SEARCH("223f",B34)),"223f","OTHER"))))</f>
        <v/>
      </c>
      <c r="Q34">
        <f>IF(UPPER(C34)="NC","NC","RP")</f>
        <v/>
      </c>
      <c r="R34">
        <f>IF(G34&lt;5000000,"small",IF(G34&lt;25000000,"medium","large"))</f>
        <v/>
      </c>
      <c r="S34">
        <f>IF(K34&lt;36,"young",IF(K34&lt;120,"seasoned","aged"))</f>
        <v/>
      </c>
      <c r="T34">
        <f>P34&amp;"|"&amp;Q34&amp;"|"&amp;R34&amp;"|"&amp;S34</f>
        <v/>
      </c>
      <c r="U34" s="14">
        <f>H34*100-I34</f>
        <v/>
      </c>
      <c r="V34" s="14">
        <f>U34-12.5*(J34+1)</f>
        <v/>
      </c>
      <c r="W34" s="15">
        <f>IFERROR(VLOOKUP(T34,V8_COHORT_TABLE,2,FALSE),IFERROR(VLOOKUP(P34&amp;"|"&amp;Q34&amp;"|ALL|"&amp;S34,V8_COHORT_TABLE,2,FALSE),IFERROR(VLOOKUP(P34&amp;"|ALL|ALL|"&amp;S34,V8_COHORT_TABLE,2,FALSE),IFERROR(VLOOKUP(P34&amp;"|ALL|ALL|ALL",V8_COHORT_TABLE,2,FALSE),VLOOKUP("GLOBAL",V8_COHORT_TABLE,2,FALSE)))))</f>
        <v/>
      </c>
      <c r="X34" s="15">
        <f>IFERROR(VLOOKUP(T34,V8_COHORT_TABLE,3,FALSE),IFERROR(VLOOKUP(P34&amp;"|"&amp;Q34&amp;"|ALL|"&amp;S34,V8_COHORT_TABLE,3,FALSE),IFERROR(VLOOKUP(P34&amp;"|ALL|ALL|"&amp;S34,V8_COHORT_TABLE,3,FALSE),IFERROR(VLOOKUP(P34&amp;"|ALL|ALL|ALL",V8_COHORT_TABLE,3,FALSE),VLOOKUP("GLOBAL",V8_COHORT_TABLE,3,FALSE)))))</f>
        <v/>
      </c>
      <c r="Y34" s="15">
        <f>IFERROR(VLOOKUP(T34,V8_COHORT_TABLE,4,FALSE),IFERROR(VLOOKUP(P34&amp;"|"&amp;Q34&amp;"|ALL|"&amp;S34,V8_COHORT_TABLE,4,FALSE),IFERROR(VLOOKUP(P34&amp;"|ALL|ALL|"&amp;S34,V8_COHORT_TABLE,4,FALSE),IFERROR(VLOOKUP(P34&amp;"|ALL|ALL|ALL",V8_COHORT_TABLE,4,FALSE),VLOOKUP("GLOBAL",V8_COHORT_TABLE,4,FALSE)))))</f>
        <v/>
      </c>
      <c r="Z34" s="15">
        <f>IFERROR(VLOOKUP(T34,V8_COHORT_TABLE,5,FALSE),IFERROR(VLOOKUP(P34&amp;"|"&amp;Q34&amp;"|ALL|"&amp;S34,V8_COHORT_TABLE,5,FALSE),IFERROR(VLOOKUP(P34&amp;"|ALL|ALL|"&amp;S34,V8_COHORT_TABLE,5,FALSE),IFERROR(VLOOKUP(P34&amp;"|ALL|ALL|ALL",V8_COHORT_TABLE,5,FALSE),VLOOKUP("GLOBAL",V8_COHORT_TABLE,5,FALSE)))))</f>
        <v/>
      </c>
      <c r="AA34" s="15">
        <f>W34+X34/(1+EXP(-(V34-Y34)/Z34))</f>
        <v/>
      </c>
      <c r="AB34" s="15">
        <f>IFERROR(VLOOKUP(T34,V8_COHORT_TABLE,6,FALSE),IFERROR(VLOOKUP(P34&amp;"|"&amp;Q34&amp;"|ALL|"&amp;S34,V8_COHORT_TABLE,6,FALSE),IFERROR(VLOOKUP(P34&amp;"|ALL|ALL|"&amp;S34,V8_COHORT_TABLE,6,FALSE),IFERROR(VLOOKUP(P34&amp;"|ALL|ALL|ALL",V8_COHORT_TABLE,6,FALSE),VLOOKUP("GLOBAL",V8_COHORT_TABLE,6,FALSE)))))</f>
        <v/>
      </c>
      <c r="AC34" s="15">
        <f>IFERROR(VLOOKUP(T34,V8_COHORT_TABLE,7,FALSE),IFERROR(VLOOKUP(P34&amp;"|"&amp;Q34&amp;"|ALL|"&amp;S34,V8_COHORT_TABLE,7,FALSE),IFERROR(VLOOKUP(P34&amp;"|ALL|ALL|"&amp;S34,V8_COHORT_TABLE,7,FALSE),IFERROR(VLOOKUP(P34&amp;"|ALL|ALL|ALL",V8_COHORT_TABLE,7,FALSE),VLOOKUP("GLOBAL",V8_COHORT_TABLE,7,FALSE)))))</f>
        <v/>
      </c>
      <c r="AD34" s="15">
        <f>IFERROR(VLOOKUP(T34,V8_COHORT_TABLE,8,FALSE),IFERROR(VLOOKUP(P34&amp;"|"&amp;Q34&amp;"|ALL|"&amp;S34,V8_COHORT_TABLE,8,FALSE),IFERROR(VLOOKUP(P34&amp;"|ALL|ALL|"&amp;S34,V8_COHORT_TABLE,8,FALSE),IFERROR(VLOOKUP(P34&amp;"|ALL|ALL|ALL",V8_COHORT_TABLE,8,FALSE),VLOOKUP("GLOBAL",V8_COHORT_TABLE,8,FALSE)))))</f>
        <v/>
      </c>
      <c r="AE34" s="15">
        <f>IFERROR(VLOOKUP(T34,V8_COHORT_TABLE,9,FALSE),IFERROR(VLOOKUP(P34&amp;"|"&amp;Q34&amp;"|ALL|"&amp;S34,V8_COHORT_TABLE,9,FALSE),IFERROR(VLOOKUP(P34&amp;"|ALL|ALL|"&amp;S34,V8_COHORT_TABLE,9,FALSE),IFERROR(VLOOKUP(P34&amp;"|ALL|ALL|ALL",V8_COHORT_TABLE,9,FALSE),VLOOKUP("GLOBAL",V8_COHORT_TABLE,9,FALSE)))))</f>
        <v/>
      </c>
      <c r="AF34" s="8">
        <f>IF(K34&lt;=0,AB34,IF(K34&gt;=240,AE34,IF(K34&lt;=24,AB34+(K34-0)/24*(AC34-AB34),IF(K34&lt;=96,AC34+(K34-24)/72*(AD34-AC34),AD34+(K34-96)/144*(AE34-AD34)))))</f>
        <v/>
      </c>
      <c r="AG34" s="8">
        <f>IF(IF(OR(L34="",NOT(ISNUMBER(L34))),360,MAX(0,MIN(480,(INT(L34/100)-INT(VALUE(F34)/100))*12+MOD(L34,100)-MOD(VALUE(F34),100))))&gt;0,1+V8_MTY_AMP*MAX(0,(V8_MTY_CUTOFF-(IF(OR(L34="",NOT(ISNUMBER(L34))),360,MAX(0,MIN(480,(INT(L34/100)-INT(VALUE(F34)/100))*12+MOD(L34,100)-MOD(VALUE(F34),100))))))/V8_MTY_CUTOFF),1)</f>
        <v/>
      </c>
      <c r="AH34" s="8">
        <f>IF(AND(IF(OR(M34="",NOT(ISNUMBER(M34))),0,MAX(0,MIN(24,(INT(VALUE(F34)/100)-INT(M34/100))*12+MOD(VALUE(F34),100)-MOD(M34,100))))&gt;0,IF(OR(M34="",NOT(ISNUMBER(M34))),0,MAX(0,MIN(24,(INT(VALUE(F34)/100)-INT(M34/100))*12+MOD(VALUE(F34),100)-MOD(M34,100))))&lt;=12),1+V8_LOCKOUT_AMP*EXP(-(IF(OR(M34="",NOT(ISNUMBER(M34))),0,MAX(0,MIN(24,(INT(VALUE(F34)/100)-INT(M34/100))*12+MOD(VALUE(F34),100)-MOD(M34,100)))))/V8_LOCKOUT_TAU),1)</f>
        <v/>
      </c>
      <c r="AI34" s="8">
        <f>MAX(V8_BURN_FLOOR,1-V8_BURN_SLOPE*MIN(1,MAX(0,O34)))</f>
        <v/>
      </c>
      <c r="AJ34" s="15">
        <f>MIN(AA34*AF34*AG34*AH34*AI34,0.2)</f>
        <v/>
      </c>
      <c r="AK34" s="16">
        <f>1-(1-AJ34)^12</f>
        <v/>
      </c>
    </row>
    <row r="35">
      <c r="A35" s="2" t="inlineStr">
        <is>
          <t>000011335892</t>
        </is>
      </c>
      <c r="B35" t="inlineStr">
        <is>
          <t>221d4</t>
        </is>
      </c>
      <c r="C35" t="inlineStr">
        <is>
          <t>RP</t>
        </is>
      </c>
      <c r="D35" t="inlineStr">
        <is>
          <t>LUMENT REAL ESTATE CAPITAL,LLC</t>
        </is>
      </c>
      <c r="E35" t="n">
        <v>2020</v>
      </c>
      <c r="F35" t="inlineStr">
        <is>
          <t>202602</t>
        </is>
      </c>
      <c r="G35" s="9" t="n">
        <v>17268555.72</v>
      </c>
      <c r="H35" s="13" t="n">
        <v>2.6</v>
      </c>
      <c r="I35" s="14" t="n">
        <v>447</v>
      </c>
      <c r="J35" s="14" t="n">
        <v>5</v>
      </c>
      <c r="K35" t="n">
        <v>64</v>
      </c>
      <c r="L35" t="n">
        <v>206011</v>
      </c>
      <c r="M35" t="inlineStr"/>
      <c r="N35" t="n">
        <v>0</v>
      </c>
      <c r="O35" s="8" t="n">
        <v>0</v>
      </c>
      <c r="P35">
        <f>IF(ISNUMBER(SEARCH("232",B35)),"232",IF(ISNUMBER(SEARCH("538",B35)),"538",IF(ISNUMBER(SEARCH("223a7",B35)),"223a7",IF(ISNUMBER(SEARCH("223f",B35)),"223f","OTHER"))))</f>
        <v/>
      </c>
      <c r="Q35">
        <f>IF(UPPER(C35)="NC","NC","RP")</f>
        <v/>
      </c>
      <c r="R35">
        <f>IF(G35&lt;5000000,"small",IF(G35&lt;25000000,"medium","large"))</f>
        <v/>
      </c>
      <c r="S35">
        <f>IF(K35&lt;36,"young",IF(K35&lt;120,"seasoned","aged"))</f>
        <v/>
      </c>
      <c r="T35">
        <f>P35&amp;"|"&amp;Q35&amp;"|"&amp;R35&amp;"|"&amp;S35</f>
        <v/>
      </c>
      <c r="U35" s="14">
        <f>H35*100-I35</f>
        <v/>
      </c>
      <c r="V35" s="14">
        <f>U35-12.5*(J35+1)</f>
        <v/>
      </c>
      <c r="W35" s="15">
        <f>IFERROR(VLOOKUP(T35,V8_COHORT_TABLE,2,FALSE),IFERROR(VLOOKUP(P35&amp;"|"&amp;Q35&amp;"|ALL|"&amp;S35,V8_COHORT_TABLE,2,FALSE),IFERROR(VLOOKUP(P35&amp;"|ALL|ALL|"&amp;S35,V8_COHORT_TABLE,2,FALSE),IFERROR(VLOOKUP(P35&amp;"|ALL|ALL|ALL",V8_COHORT_TABLE,2,FALSE),VLOOKUP("GLOBAL",V8_COHORT_TABLE,2,FALSE)))))</f>
        <v/>
      </c>
      <c r="X35" s="15">
        <f>IFERROR(VLOOKUP(T35,V8_COHORT_TABLE,3,FALSE),IFERROR(VLOOKUP(P35&amp;"|"&amp;Q35&amp;"|ALL|"&amp;S35,V8_COHORT_TABLE,3,FALSE),IFERROR(VLOOKUP(P35&amp;"|ALL|ALL|"&amp;S35,V8_COHORT_TABLE,3,FALSE),IFERROR(VLOOKUP(P35&amp;"|ALL|ALL|ALL",V8_COHORT_TABLE,3,FALSE),VLOOKUP("GLOBAL",V8_COHORT_TABLE,3,FALSE)))))</f>
        <v/>
      </c>
      <c r="Y35" s="15">
        <f>IFERROR(VLOOKUP(T35,V8_COHORT_TABLE,4,FALSE),IFERROR(VLOOKUP(P35&amp;"|"&amp;Q35&amp;"|ALL|"&amp;S35,V8_COHORT_TABLE,4,FALSE),IFERROR(VLOOKUP(P35&amp;"|ALL|ALL|"&amp;S35,V8_COHORT_TABLE,4,FALSE),IFERROR(VLOOKUP(P35&amp;"|ALL|ALL|ALL",V8_COHORT_TABLE,4,FALSE),VLOOKUP("GLOBAL",V8_COHORT_TABLE,4,FALSE)))))</f>
        <v/>
      </c>
      <c r="Z35" s="15">
        <f>IFERROR(VLOOKUP(T35,V8_COHORT_TABLE,5,FALSE),IFERROR(VLOOKUP(P35&amp;"|"&amp;Q35&amp;"|ALL|"&amp;S35,V8_COHORT_TABLE,5,FALSE),IFERROR(VLOOKUP(P35&amp;"|ALL|ALL|"&amp;S35,V8_COHORT_TABLE,5,FALSE),IFERROR(VLOOKUP(P35&amp;"|ALL|ALL|ALL",V8_COHORT_TABLE,5,FALSE),VLOOKUP("GLOBAL",V8_COHORT_TABLE,5,FALSE)))))</f>
        <v/>
      </c>
      <c r="AA35" s="15">
        <f>W35+X35/(1+EXP(-(V35-Y35)/Z35))</f>
        <v/>
      </c>
      <c r="AB35" s="15">
        <f>IFERROR(VLOOKUP(T35,V8_COHORT_TABLE,6,FALSE),IFERROR(VLOOKUP(P35&amp;"|"&amp;Q35&amp;"|ALL|"&amp;S35,V8_COHORT_TABLE,6,FALSE),IFERROR(VLOOKUP(P35&amp;"|ALL|ALL|"&amp;S35,V8_COHORT_TABLE,6,FALSE),IFERROR(VLOOKUP(P35&amp;"|ALL|ALL|ALL",V8_COHORT_TABLE,6,FALSE),VLOOKUP("GLOBAL",V8_COHORT_TABLE,6,FALSE)))))</f>
        <v/>
      </c>
      <c r="AC35" s="15">
        <f>IFERROR(VLOOKUP(T35,V8_COHORT_TABLE,7,FALSE),IFERROR(VLOOKUP(P35&amp;"|"&amp;Q35&amp;"|ALL|"&amp;S35,V8_COHORT_TABLE,7,FALSE),IFERROR(VLOOKUP(P35&amp;"|ALL|ALL|"&amp;S35,V8_COHORT_TABLE,7,FALSE),IFERROR(VLOOKUP(P35&amp;"|ALL|ALL|ALL",V8_COHORT_TABLE,7,FALSE),VLOOKUP("GLOBAL",V8_COHORT_TABLE,7,FALSE)))))</f>
        <v/>
      </c>
      <c r="AD35" s="15">
        <f>IFERROR(VLOOKUP(T35,V8_COHORT_TABLE,8,FALSE),IFERROR(VLOOKUP(P35&amp;"|"&amp;Q35&amp;"|ALL|"&amp;S35,V8_COHORT_TABLE,8,FALSE),IFERROR(VLOOKUP(P35&amp;"|ALL|ALL|"&amp;S35,V8_COHORT_TABLE,8,FALSE),IFERROR(VLOOKUP(P35&amp;"|ALL|ALL|ALL",V8_COHORT_TABLE,8,FALSE),VLOOKUP("GLOBAL",V8_COHORT_TABLE,8,FALSE)))))</f>
        <v/>
      </c>
      <c r="AE35" s="15">
        <f>IFERROR(VLOOKUP(T35,V8_COHORT_TABLE,9,FALSE),IFERROR(VLOOKUP(P35&amp;"|"&amp;Q35&amp;"|ALL|"&amp;S35,V8_COHORT_TABLE,9,FALSE),IFERROR(VLOOKUP(P35&amp;"|ALL|ALL|"&amp;S35,V8_COHORT_TABLE,9,FALSE),IFERROR(VLOOKUP(P35&amp;"|ALL|ALL|ALL",V8_COHORT_TABLE,9,FALSE),VLOOKUP("GLOBAL",V8_COHORT_TABLE,9,FALSE)))))</f>
        <v/>
      </c>
      <c r="AF35" s="8">
        <f>IF(K35&lt;=0,AB35,IF(K35&gt;=240,AE35,IF(K35&lt;=24,AB35+(K35-0)/24*(AC35-AB35),IF(K35&lt;=96,AC35+(K35-24)/72*(AD35-AC35),AD35+(K35-96)/144*(AE35-AD35)))))</f>
        <v/>
      </c>
      <c r="AG35" s="8">
        <f>IF(IF(OR(L35="",NOT(ISNUMBER(L35))),360,MAX(0,MIN(480,(INT(L35/100)-INT(VALUE(F35)/100))*12+MOD(L35,100)-MOD(VALUE(F35),100))))&gt;0,1+V8_MTY_AMP*MAX(0,(V8_MTY_CUTOFF-(IF(OR(L35="",NOT(ISNUMBER(L35))),360,MAX(0,MIN(480,(INT(L35/100)-INT(VALUE(F35)/100))*12+MOD(L35,100)-MOD(VALUE(F35),100))))))/V8_MTY_CUTOFF),1)</f>
        <v/>
      </c>
      <c r="AH35" s="8">
        <f>IF(AND(IF(OR(M35="",NOT(ISNUMBER(M35))),0,MAX(0,MIN(24,(INT(VALUE(F35)/100)-INT(M35/100))*12+MOD(VALUE(F35),100)-MOD(M35,100))))&gt;0,IF(OR(M35="",NOT(ISNUMBER(M35))),0,MAX(0,MIN(24,(INT(VALUE(F35)/100)-INT(M35/100))*12+MOD(VALUE(F35),100)-MOD(M35,100))))&lt;=12),1+V8_LOCKOUT_AMP*EXP(-(IF(OR(M35="",NOT(ISNUMBER(M35))),0,MAX(0,MIN(24,(INT(VALUE(F35)/100)-INT(M35/100))*12+MOD(VALUE(F35),100)-MOD(M35,100)))))/V8_LOCKOUT_TAU),1)</f>
        <v/>
      </c>
      <c r="AI35" s="8">
        <f>MAX(V8_BURN_FLOOR,1-V8_BURN_SLOPE*MIN(1,MAX(0,O35)))</f>
        <v/>
      </c>
      <c r="AJ35" s="15">
        <f>MIN(AA35*AF35*AG35*AH35*AI35,0.2)</f>
        <v/>
      </c>
      <c r="AK35" s="16">
        <f>1-(1-AJ35)^12</f>
        <v/>
      </c>
    </row>
    <row r="36">
      <c r="A36" s="2" t="inlineStr">
        <is>
          <t>000004622096</t>
        </is>
      </c>
      <c r="B36" t="inlineStr">
        <is>
          <t>232</t>
        </is>
      </c>
      <c r="C36" t="inlineStr">
        <is>
          <t>RP</t>
        </is>
      </c>
      <c r="D36" t="inlineStr">
        <is>
          <t>LUMENT REAL ESTATE CAPITAL,LLC</t>
        </is>
      </c>
      <c r="E36" t="n">
        <v>2017</v>
      </c>
      <c r="F36" t="inlineStr">
        <is>
          <t>202602</t>
        </is>
      </c>
      <c r="G36" s="9" t="n">
        <v>13590843.4</v>
      </c>
      <c r="H36" s="13" t="n">
        <v>3.51</v>
      </c>
      <c r="I36" s="14" t="n">
        <v>447</v>
      </c>
      <c r="J36" s="14" t="n">
        <v>3</v>
      </c>
      <c r="K36" t="n">
        <v>107</v>
      </c>
      <c r="L36" t="n">
        <v>205204</v>
      </c>
      <c r="M36" t="inlineStr"/>
      <c r="N36" t="n">
        <v>25</v>
      </c>
      <c r="O36" s="8" t="n">
        <v>0.2336448598130841</v>
      </c>
      <c r="P36">
        <f>IF(ISNUMBER(SEARCH("232",B36)),"232",IF(ISNUMBER(SEARCH("538",B36)),"538",IF(ISNUMBER(SEARCH("223a7",B36)),"223a7",IF(ISNUMBER(SEARCH("223f",B36)),"223f","OTHER"))))</f>
        <v/>
      </c>
      <c r="Q36">
        <f>IF(UPPER(C36)="NC","NC","RP")</f>
        <v/>
      </c>
      <c r="R36">
        <f>IF(G36&lt;5000000,"small",IF(G36&lt;25000000,"medium","large"))</f>
        <v/>
      </c>
      <c r="S36">
        <f>IF(K36&lt;36,"young",IF(K36&lt;120,"seasoned","aged"))</f>
        <v/>
      </c>
      <c r="T36">
        <f>P36&amp;"|"&amp;Q36&amp;"|"&amp;R36&amp;"|"&amp;S36</f>
        <v/>
      </c>
      <c r="U36" s="14">
        <f>H36*100-I36</f>
        <v/>
      </c>
      <c r="V36" s="14">
        <f>U36-12.5*(J36+1)</f>
        <v/>
      </c>
      <c r="W36" s="15">
        <f>IFERROR(VLOOKUP(T36,V8_COHORT_TABLE,2,FALSE),IFERROR(VLOOKUP(P36&amp;"|"&amp;Q36&amp;"|ALL|"&amp;S36,V8_COHORT_TABLE,2,FALSE),IFERROR(VLOOKUP(P36&amp;"|ALL|ALL|"&amp;S36,V8_COHORT_TABLE,2,FALSE),IFERROR(VLOOKUP(P36&amp;"|ALL|ALL|ALL",V8_COHORT_TABLE,2,FALSE),VLOOKUP("GLOBAL",V8_COHORT_TABLE,2,FALSE)))))</f>
        <v/>
      </c>
      <c r="X36" s="15">
        <f>IFERROR(VLOOKUP(T36,V8_COHORT_TABLE,3,FALSE),IFERROR(VLOOKUP(P36&amp;"|"&amp;Q36&amp;"|ALL|"&amp;S36,V8_COHORT_TABLE,3,FALSE),IFERROR(VLOOKUP(P36&amp;"|ALL|ALL|"&amp;S36,V8_COHORT_TABLE,3,FALSE),IFERROR(VLOOKUP(P36&amp;"|ALL|ALL|ALL",V8_COHORT_TABLE,3,FALSE),VLOOKUP("GLOBAL",V8_COHORT_TABLE,3,FALSE)))))</f>
        <v/>
      </c>
      <c r="Y36" s="15">
        <f>IFERROR(VLOOKUP(T36,V8_COHORT_TABLE,4,FALSE),IFERROR(VLOOKUP(P36&amp;"|"&amp;Q36&amp;"|ALL|"&amp;S36,V8_COHORT_TABLE,4,FALSE),IFERROR(VLOOKUP(P36&amp;"|ALL|ALL|"&amp;S36,V8_COHORT_TABLE,4,FALSE),IFERROR(VLOOKUP(P36&amp;"|ALL|ALL|ALL",V8_COHORT_TABLE,4,FALSE),VLOOKUP("GLOBAL",V8_COHORT_TABLE,4,FALSE)))))</f>
        <v/>
      </c>
      <c r="Z36" s="15">
        <f>IFERROR(VLOOKUP(T36,V8_COHORT_TABLE,5,FALSE),IFERROR(VLOOKUP(P36&amp;"|"&amp;Q36&amp;"|ALL|"&amp;S36,V8_COHORT_TABLE,5,FALSE),IFERROR(VLOOKUP(P36&amp;"|ALL|ALL|"&amp;S36,V8_COHORT_TABLE,5,FALSE),IFERROR(VLOOKUP(P36&amp;"|ALL|ALL|ALL",V8_COHORT_TABLE,5,FALSE),VLOOKUP("GLOBAL",V8_COHORT_TABLE,5,FALSE)))))</f>
        <v/>
      </c>
      <c r="AA36" s="15">
        <f>W36+X36/(1+EXP(-(V36-Y36)/Z36))</f>
        <v/>
      </c>
      <c r="AB36" s="15">
        <f>IFERROR(VLOOKUP(T36,V8_COHORT_TABLE,6,FALSE),IFERROR(VLOOKUP(P36&amp;"|"&amp;Q36&amp;"|ALL|"&amp;S36,V8_COHORT_TABLE,6,FALSE),IFERROR(VLOOKUP(P36&amp;"|ALL|ALL|"&amp;S36,V8_COHORT_TABLE,6,FALSE),IFERROR(VLOOKUP(P36&amp;"|ALL|ALL|ALL",V8_COHORT_TABLE,6,FALSE),VLOOKUP("GLOBAL",V8_COHORT_TABLE,6,FALSE)))))</f>
        <v/>
      </c>
      <c r="AC36" s="15">
        <f>IFERROR(VLOOKUP(T36,V8_COHORT_TABLE,7,FALSE),IFERROR(VLOOKUP(P36&amp;"|"&amp;Q36&amp;"|ALL|"&amp;S36,V8_COHORT_TABLE,7,FALSE),IFERROR(VLOOKUP(P36&amp;"|ALL|ALL|"&amp;S36,V8_COHORT_TABLE,7,FALSE),IFERROR(VLOOKUP(P36&amp;"|ALL|ALL|ALL",V8_COHORT_TABLE,7,FALSE),VLOOKUP("GLOBAL",V8_COHORT_TABLE,7,FALSE)))))</f>
        <v/>
      </c>
      <c r="AD36" s="15">
        <f>IFERROR(VLOOKUP(T36,V8_COHORT_TABLE,8,FALSE),IFERROR(VLOOKUP(P36&amp;"|"&amp;Q36&amp;"|ALL|"&amp;S36,V8_COHORT_TABLE,8,FALSE),IFERROR(VLOOKUP(P36&amp;"|ALL|ALL|"&amp;S36,V8_COHORT_TABLE,8,FALSE),IFERROR(VLOOKUP(P36&amp;"|ALL|ALL|ALL",V8_COHORT_TABLE,8,FALSE),VLOOKUP("GLOBAL",V8_COHORT_TABLE,8,FALSE)))))</f>
        <v/>
      </c>
      <c r="AE36" s="15">
        <f>IFERROR(VLOOKUP(T36,V8_COHORT_TABLE,9,FALSE),IFERROR(VLOOKUP(P36&amp;"|"&amp;Q36&amp;"|ALL|"&amp;S36,V8_COHORT_TABLE,9,FALSE),IFERROR(VLOOKUP(P36&amp;"|ALL|ALL|"&amp;S36,V8_COHORT_TABLE,9,FALSE),IFERROR(VLOOKUP(P36&amp;"|ALL|ALL|ALL",V8_COHORT_TABLE,9,FALSE),VLOOKUP("GLOBAL",V8_COHORT_TABLE,9,FALSE)))))</f>
        <v/>
      </c>
      <c r="AF36" s="8">
        <f>IF(K36&lt;=0,AB36,IF(K36&gt;=240,AE36,IF(K36&lt;=24,AB36+(K36-0)/24*(AC36-AB36),IF(K36&lt;=96,AC36+(K36-24)/72*(AD36-AC36),AD36+(K36-96)/144*(AE36-AD36)))))</f>
        <v/>
      </c>
      <c r="AG36" s="8">
        <f>IF(IF(OR(L36="",NOT(ISNUMBER(L36))),360,MAX(0,MIN(480,(INT(L36/100)-INT(VALUE(F36)/100))*12+MOD(L36,100)-MOD(VALUE(F36),100))))&gt;0,1+V8_MTY_AMP*MAX(0,(V8_MTY_CUTOFF-(IF(OR(L36="",NOT(ISNUMBER(L36))),360,MAX(0,MIN(480,(INT(L36/100)-INT(VALUE(F36)/100))*12+MOD(L36,100)-MOD(VALUE(F36),100))))))/V8_MTY_CUTOFF),1)</f>
        <v/>
      </c>
      <c r="AH36" s="8">
        <f>IF(AND(IF(OR(M36="",NOT(ISNUMBER(M36))),0,MAX(0,MIN(24,(INT(VALUE(F36)/100)-INT(M36/100))*12+MOD(VALUE(F36),100)-MOD(M36,100))))&gt;0,IF(OR(M36="",NOT(ISNUMBER(M36))),0,MAX(0,MIN(24,(INT(VALUE(F36)/100)-INT(M36/100))*12+MOD(VALUE(F36),100)-MOD(M36,100))))&lt;=12),1+V8_LOCKOUT_AMP*EXP(-(IF(OR(M36="",NOT(ISNUMBER(M36))),0,MAX(0,MIN(24,(INT(VALUE(F36)/100)-INT(M36/100))*12+MOD(VALUE(F36),100)-MOD(M36,100)))))/V8_LOCKOUT_TAU),1)</f>
        <v/>
      </c>
      <c r="AI36" s="8">
        <f>MAX(V8_BURN_FLOOR,1-V8_BURN_SLOPE*MIN(1,MAX(0,O36)))</f>
        <v/>
      </c>
      <c r="AJ36" s="15">
        <f>MIN(AA36*AF36*AG36*AH36*AI36,0.2)</f>
        <v/>
      </c>
      <c r="AK36" s="16">
        <f>1-(1-AJ36)^12</f>
        <v/>
      </c>
    </row>
    <row r="37">
      <c r="A37" s="2" t="inlineStr">
        <is>
          <t>000008335768</t>
        </is>
      </c>
      <c r="B37" t="inlineStr">
        <is>
          <t>221d4</t>
        </is>
      </c>
      <c r="C37" t="inlineStr">
        <is>
          <t>NC</t>
        </is>
      </c>
      <c r="D37" t="inlineStr">
        <is>
          <t>LUMENT REAL ESTATE CAPITAL,LLC</t>
        </is>
      </c>
      <c r="E37" t="n">
        <v>2020</v>
      </c>
      <c r="F37" t="inlineStr">
        <is>
          <t>202602</t>
        </is>
      </c>
      <c r="G37" s="9" t="n">
        <v>8926065.5</v>
      </c>
      <c r="H37" s="13" t="n">
        <v>3.05</v>
      </c>
      <c r="I37" s="14" t="n">
        <v>447</v>
      </c>
      <c r="J37" s="14" t="n">
        <v>7</v>
      </c>
      <c r="K37" t="n">
        <v>66</v>
      </c>
      <c r="L37" t="n">
        <v>206206</v>
      </c>
      <c r="M37" t="inlineStr"/>
      <c r="N37" t="n">
        <v>0</v>
      </c>
      <c r="O37" s="8" t="n">
        <v>0</v>
      </c>
      <c r="P37">
        <f>IF(ISNUMBER(SEARCH("232",B37)),"232",IF(ISNUMBER(SEARCH("538",B37)),"538",IF(ISNUMBER(SEARCH("223a7",B37)),"223a7",IF(ISNUMBER(SEARCH("223f",B37)),"223f","OTHER"))))</f>
        <v/>
      </c>
      <c r="Q37">
        <f>IF(UPPER(C37)="NC","NC","RP")</f>
        <v/>
      </c>
      <c r="R37">
        <f>IF(G37&lt;5000000,"small",IF(G37&lt;25000000,"medium","large"))</f>
        <v/>
      </c>
      <c r="S37">
        <f>IF(K37&lt;36,"young",IF(K37&lt;120,"seasoned","aged"))</f>
        <v/>
      </c>
      <c r="T37">
        <f>P37&amp;"|"&amp;Q37&amp;"|"&amp;R37&amp;"|"&amp;S37</f>
        <v/>
      </c>
      <c r="U37" s="14">
        <f>H37*100-I37</f>
        <v/>
      </c>
      <c r="V37" s="14">
        <f>U37-12.5*(J37+1)</f>
        <v/>
      </c>
      <c r="W37" s="15">
        <f>IFERROR(VLOOKUP(T37,V8_COHORT_TABLE,2,FALSE),IFERROR(VLOOKUP(P37&amp;"|"&amp;Q37&amp;"|ALL|"&amp;S37,V8_COHORT_TABLE,2,FALSE),IFERROR(VLOOKUP(P37&amp;"|ALL|ALL|"&amp;S37,V8_COHORT_TABLE,2,FALSE),IFERROR(VLOOKUP(P37&amp;"|ALL|ALL|ALL",V8_COHORT_TABLE,2,FALSE),VLOOKUP("GLOBAL",V8_COHORT_TABLE,2,FALSE)))))</f>
        <v/>
      </c>
      <c r="X37" s="15">
        <f>IFERROR(VLOOKUP(T37,V8_COHORT_TABLE,3,FALSE),IFERROR(VLOOKUP(P37&amp;"|"&amp;Q37&amp;"|ALL|"&amp;S37,V8_COHORT_TABLE,3,FALSE),IFERROR(VLOOKUP(P37&amp;"|ALL|ALL|"&amp;S37,V8_COHORT_TABLE,3,FALSE),IFERROR(VLOOKUP(P37&amp;"|ALL|ALL|ALL",V8_COHORT_TABLE,3,FALSE),VLOOKUP("GLOBAL",V8_COHORT_TABLE,3,FALSE)))))</f>
        <v/>
      </c>
      <c r="Y37" s="15">
        <f>IFERROR(VLOOKUP(T37,V8_COHORT_TABLE,4,FALSE),IFERROR(VLOOKUP(P37&amp;"|"&amp;Q37&amp;"|ALL|"&amp;S37,V8_COHORT_TABLE,4,FALSE),IFERROR(VLOOKUP(P37&amp;"|ALL|ALL|"&amp;S37,V8_COHORT_TABLE,4,FALSE),IFERROR(VLOOKUP(P37&amp;"|ALL|ALL|ALL",V8_COHORT_TABLE,4,FALSE),VLOOKUP("GLOBAL",V8_COHORT_TABLE,4,FALSE)))))</f>
        <v/>
      </c>
      <c r="Z37" s="15">
        <f>IFERROR(VLOOKUP(T37,V8_COHORT_TABLE,5,FALSE),IFERROR(VLOOKUP(P37&amp;"|"&amp;Q37&amp;"|ALL|"&amp;S37,V8_COHORT_TABLE,5,FALSE),IFERROR(VLOOKUP(P37&amp;"|ALL|ALL|"&amp;S37,V8_COHORT_TABLE,5,FALSE),IFERROR(VLOOKUP(P37&amp;"|ALL|ALL|ALL",V8_COHORT_TABLE,5,FALSE),VLOOKUP("GLOBAL",V8_COHORT_TABLE,5,FALSE)))))</f>
        <v/>
      </c>
      <c r="AA37" s="15">
        <f>W37+X37/(1+EXP(-(V37-Y37)/Z37))</f>
        <v/>
      </c>
      <c r="AB37" s="15">
        <f>IFERROR(VLOOKUP(T37,V8_COHORT_TABLE,6,FALSE),IFERROR(VLOOKUP(P37&amp;"|"&amp;Q37&amp;"|ALL|"&amp;S37,V8_COHORT_TABLE,6,FALSE),IFERROR(VLOOKUP(P37&amp;"|ALL|ALL|"&amp;S37,V8_COHORT_TABLE,6,FALSE),IFERROR(VLOOKUP(P37&amp;"|ALL|ALL|ALL",V8_COHORT_TABLE,6,FALSE),VLOOKUP("GLOBAL",V8_COHORT_TABLE,6,FALSE)))))</f>
        <v/>
      </c>
      <c r="AC37" s="15">
        <f>IFERROR(VLOOKUP(T37,V8_COHORT_TABLE,7,FALSE),IFERROR(VLOOKUP(P37&amp;"|"&amp;Q37&amp;"|ALL|"&amp;S37,V8_COHORT_TABLE,7,FALSE),IFERROR(VLOOKUP(P37&amp;"|ALL|ALL|"&amp;S37,V8_COHORT_TABLE,7,FALSE),IFERROR(VLOOKUP(P37&amp;"|ALL|ALL|ALL",V8_COHORT_TABLE,7,FALSE),VLOOKUP("GLOBAL",V8_COHORT_TABLE,7,FALSE)))))</f>
        <v/>
      </c>
      <c r="AD37" s="15">
        <f>IFERROR(VLOOKUP(T37,V8_COHORT_TABLE,8,FALSE),IFERROR(VLOOKUP(P37&amp;"|"&amp;Q37&amp;"|ALL|"&amp;S37,V8_COHORT_TABLE,8,FALSE),IFERROR(VLOOKUP(P37&amp;"|ALL|ALL|"&amp;S37,V8_COHORT_TABLE,8,FALSE),IFERROR(VLOOKUP(P37&amp;"|ALL|ALL|ALL",V8_COHORT_TABLE,8,FALSE),VLOOKUP("GLOBAL",V8_COHORT_TABLE,8,FALSE)))))</f>
        <v/>
      </c>
      <c r="AE37" s="15">
        <f>IFERROR(VLOOKUP(T37,V8_COHORT_TABLE,9,FALSE),IFERROR(VLOOKUP(P37&amp;"|"&amp;Q37&amp;"|ALL|"&amp;S37,V8_COHORT_TABLE,9,FALSE),IFERROR(VLOOKUP(P37&amp;"|ALL|ALL|"&amp;S37,V8_COHORT_TABLE,9,FALSE),IFERROR(VLOOKUP(P37&amp;"|ALL|ALL|ALL",V8_COHORT_TABLE,9,FALSE),VLOOKUP("GLOBAL",V8_COHORT_TABLE,9,FALSE)))))</f>
        <v/>
      </c>
      <c r="AF37" s="8">
        <f>IF(K37&lt;=0,AB37,IF(K37&gt;=240,AE37,IF(K37&lt;=24,AB37+(K37-0)/24*(AC37-AB37),IF(K37&lt;=96,AC37+(K37-24)/72*(AD37-AC37),AD37+(K37-96)/144*(AE37-AD37)))))</f>
        <v/>
      </c>
      <c r="AG37" s="8">
        <f>IF(IF(OR(L37="",NOT(ISNUMBER(L37))),360,MAX(0,MIN(480,(INT(L37/100)-INT(VALUE(F37)/100))*12+MOD(L37,100)-MOD(VALUE(F37),100))))&gt;0,1+V8_MTY_AMP*MAX(0,(V8_MTY_CUTOFF-(IF(OR(L37="",NOT(ISNUMBER(L37))),360,MAX(0,MIN(480,(INT(L37/100)-INT(VALUE(F37)/100))*12+MOD(L37,100)-MOD(VALUE(F37),100))))))/V8_MTY_CUTOFF),1)</f>
        <v/>
      </c>
      <c r="AH37" s="8">
        <f>IF(AND(IF(OR(M37="",NOT(ISNUMBER(M37))),0,MAX(0,MIN(24,(INT(VALUE(F37)/100)-INT(M37/100))*12+MOD(VALUE(F37),100)-MOD(M37,100))))&gt;0,IF(OR(M37="",NOT(ISNUMBER(M37))),0,MAX(0,MIN(24,(INT(VALUE(F37)/100)-INT(M37/100))*12+MOD(VALUE(F37),100)-MOD(M37,100))))&lt;=12),1+V8_LOCKOUT_AMP*EXP(-(IF(OR(M37="",NOT(ISNUMBER(M37))),0,MAX(0,MIN(24,(INT(VALUE(F37)/100)-INT(M37/100))*12+MOD(VALUE(F37),100)-MOD(M37,100)))))/V8_LOCKOUT_TAU),1)</f>
        <v/>
      </c>
      <c r="AI37" s="8">
        <f>MAX(V8_BURN_FLOOR,1-V8_BURN_SLOPE*MIN(1,MAX(0,O37)))</f>
        <v/>
      </c>
      <c r="AJ37" s="15">
        <f>MIN(AA37*AF37*AG37*AH37*AI37,0.2)</f>
        <v/>
      </c>
      <c r="AK37" s="16">
        <f>1-(1-AJ37)^12</f>
        <v/>
      </c>
    </row>
    <row r="38">
      <c r="A38" s="2" t="inlineStr">
        <is>
          <t>000006535598</t>
        </is>
      </c>
      <c r="B38" t="inlineStr">
        <is>
          <t>221d4</t>
        </is>
      </c>
      <c r="C38" t="inlineStr">
        <is>
          <t>RP</t>
        </is>
      </c>
      <c r="D38" t="inlineStr">
        <is>
          <t>BERKADIA COMMERCIAL MORTGAGE, LLC</t>
        </is>
      </c>
      <c r="E38" t="n">
        <v>2003</v>
      </c>
      <c r="F38" t="inlineStr">
        <is>
          <t>202602</t>
        </is>
      </c>
      <c r="G38" s="9" t="n">
        <v>500721.89</v>
      </c>
      <c r="H38" s="13" t="n">
        <v>2.45</v>
      </c>
      <c r="I38" s="14" t="n">
        <v>447</v>
      </c>
      <c r="J38" s="14" t="n">
        <v>6</v>
      </c>
      <c r="K38" t="n">
        <v>268</v>
      </c>
      <c r="L38" t="n">
        <v>203311</v>
      </c>
      <c r="M38" t="inlineStr"/>
      <c r="N38" t="n">
        <v>13</v>
      </c>
      <c r="O38" s="8" t="n">
        <v>0.04850746268656717</v>
      </c>
      <c r="P38">
        <f>IF(ISNUMBER(SEARCH("232",B38)),"232",IF(ISNUMBER(SEARCH("538",B38)),"538",IF(ISNUMBER(SEARCH("223a7",B38)),"223a7",IF(ISNUMBER(SEARCH("223f",B38)),"223f","OTHER"))))</f>
        <v/>
      </c>
      <c r="Q38">
        <f>IF(UPPER(C38)="NC","NC","RP")</f>
        <v/>
      </c>
      <c r="R38">
        <f>IF(G38&lt;5000000,"small",IF(G38&lt;25000000,"medium","large"))</f>
        <v/>
      </c>
      <c r="S38">
        <f>IF(K38&lt;36,"young",IF(K38&lt;120,"seasoned","aged"))</f>
        <v/>
      </c>
      <c r="T38">
        <f>P38&amp;"|"&amp;Q38&amp;"|"&amp;R38&amp;"|"&amp;S38</f>
        <v/>
      </c>
      <c r="U38" s="14">
        <f>H38*100-I38</f>
        <v/>
      </c>
      <c r="V38" s="14">
        <f>U38-12.5*(J38+1)</f>
        <v/>
      </c>
      <c r="W38" s="15">
        <f>IFERROR(VLOOKUP(T38,V8_COHORT_TABLE,2,FALSE),IFERROR(VLOOKUP(P38&amp;"|"&amp;Q38&amp;"|ALL|"&amp;S38,V8_COHORT_TABLE,2,FALSE),IFERROR(VLOOKUP(P38&amp;"|ALL|ALL|"&amp;S38,V8_COHORT_TABLE,2,FALSE),IFERROR(VLOOKUP(P38&amp;"|ALL|ALL|ALL",V8_COHORT_TABLE,2,FALSE),VLOOKUP("GLOBAL",V8_COHORT_TABLE,2,FALSE)))))</f>
        <v/>
      </c>
      <c r="X38" s="15">
        <f>IFERROR(VLOOKUP(T38,V8_COHORT_TABLE,3,FALSE),IFERROR(VLOOKUP(P38&amp;"|"&amp;Q38&amp;"|ALL|"&amp;S38,V8_COHORT_TABLE,3,FALSE),IFERROR(VLOOKUP(P38&amp;"|ALL|ALL|"&amp;S38,V8_COHORT_TABLE,3,FALSE),IFERROR(VLOOKUP(P38&amp;"|ALL|ALL|ALL",V8_COHORT_TABLE,3,FALSE),VLOOKUP("GLOBAL",V8_COHORT_TABLE,3,FALSE)))))</f>
        <v/>
      </c>
      <c r="Y38" s="15">
        <f>IFERROR(VLOOKUP(T38,V8_COHORT_TABLE,4,FALSE),IFERROR(VLOOKUP(P38&amp;"|"&amp;Q38&amp;"|ALL|"&amp;S38,V8_COHORT_TABLE,4,FALSE),IFERROR(VLOOKUP(P38&amp;"|ALL|ALL|"&amp;S38,V8_COHORT_TABLE,4,FALSE),IFERROR(VLOOKUP(P38&amp;"|ALL|ALL|ALL",V8_COHORT_TABLE,4,FALSE),VLOOKUP("GLOBAL",V8_COHORT_TABLE,4,FALSE)))))</f>
        <v/>
      </c>
      <c r="Z38" s="15">
        <f>IFERROR(VLOOKUP(T38,V8_COHORT_TABLE,5,FALSE),IFERROR(VLOOKUP(P38&amp;"|"&amp;Q38&amp;"|ALL|"&amp;S38,V8_COHORT_TABLE,5,FALSE),IFERROR(VLOOKUP(P38&amp;"|ALL|ALL|"&amp;S38,V8_COHORT_TABLE,5,FALSE),IFERROR(VLOOKUP(P38&amp;"|ALL|ALL|ALL",V8_COHORT_TABLE,5,FALSE),VLOOKUP("GLOBAL",V8_COHORT_TABLE,5,FALSE)))))</f>
        <v/>
      </c>
      <c r="AA38" s="15">
        <f>W38+X38/(1+EXP(-(V38-Y38)/Z38))</f>
        <v/>
      </c>
      <c r="AB38" s="15">
        <f>IFERROR(VLOOKUP(T38,V8_COHORT_TABLE,6,FALSE),IFERROR(VLOOKUP(P38&amp;"|"&amp;Q38&amp;"|ALL|"&amp;S38,V8_COHORT_TABLE,6,FALSE),IFERROR(VLOOKUP(P38&amp;"|ALL|ALL|"&amp;S38,V8_COHORT_TABLE,6,FALSE),IFERROR(VLOOKUP(P38&amp;"|ALL|ALL|ALL",V8_COHORT_TABLE,6,FALSE),VLOOKUP("GLOBAL",V8_COHORT_TABLE,6,FALSE)))))</f>
        <v/>
      </c>
      <c r="AC38" s="15">
        <f>IFERROR(VLOOKUP(T38,V8_COHORT_TABLE,7,FALSE),IFERROR(VLOOKUP(P38&amp;"|"&amp;Q38&amp;"|ALL|"&amp;S38,V8_COHORT_TABLE,7,FALSE),IFERROR(VLOOKUP(P38&amp;"|ALL|ALL|"&amp;S38,V8_COHORT_TABLE,7,FALSE),IFERROR(VLOOKUP(P38&amp;"|ALL|ALL|ALL",V8_COHORT_TABLE,7,FALSE),VLOOKUP("GLOBAL",V8_COHORT_TABLE,7,FALSE)))))</f>
        <v/>
      </c>
      <c r="AD38" s="15">
        <f>IFERROR(VLOOKUP(T38,V8_COHORT_TABLE,8,FALSE),IFERROR(VLOOKUP(P38&amp;"|"&amp;Q38&amp;"|ALL|"&amp;S38,V8_COHORT_TABLE,8,FALSE),IFERROR(VLOOKUP(P38&amp;"|ALL|ALL|"&amp;S38,V8_COHORT_TABLE,8,FALSE),IFERROR(VLOOKUP(P38&amp;"|ALL|ALL|ALL",V8_COHORT_TABLE,8,FALSE),VLOOKUP("GLOBAL",V8_COHORT_TABLE,8,FALSE)))))</f>
        <v/>
      </c>
      <c r="AE38" s="15">
        <f>IFERROR(VLOOKUP(T38,V8_COHORT_TABLE,9,FALSE),IFERROR(VLOOKUP(P38&amp;"|"&amp;Q38&amp;"|ALL|"&amp;S38,V8_COHORT_TABLE,9,FALSE),IFERROR(VLOOKUP(P38&amp;"|ALL|ALL|"&amp;S38,V8_COHORT_TABLE,9,FALSE),IFERROR(VLOOKUP(P38&amp;"|ALL|ALL|ALL",V8_COHORT_TABLE,9,FALSE),VLOOKUP("GLOBAL",V8_COHORT_TABLE,9,FALSE)))))</f>
        <v/>
      </c>
      <c r="AF38" s="8">
        <f>IF(K38&lt;=0,AB38,IF(K38&gt;=240,AE38,IF(K38&lt;=24,AB38+(K38-0)/24*(AC38-AB38),IF(K38&lt;=96,AC38+(K38-24)/72*(AD38-AC38),AD38+(K38-96)/144*(AE38-AD38)))))</f>
        <v/>
      </c>
      <c r="AG38" s="8">
        <f>IF(IF(OR(L38="",NOT(ISNUMBER(L38))),360,MAX(0,MIN(480,(INT(L38/100)-INT(VALUE(F38)/100))*12+MOD(L38,100)-MOD(VALUE(F38),100))))&gt;0,1+V8_MTY_AMP*MAX(0,(V8_MTY_CUTOFF-(IF(OR(L38="",NOT(ISNUMBER(L38))),360,MAX(0,MIN(480,(INT(L38/100)-INT(VALUE(F38)/100))*12+MOD(L38,100)-MOD(VALUE(F38),100))))))/V8_MTY_CUTOFF),1)</f>
        <v/>
      </c>
      <c r="AH38" s="8">
        <f>IF(AND(IF(OR(M38="",NOT(ISNUMBER(M38))),0,MAX(0,MIN(24,(INT(VALUE(F38)/100)-INT(M38/100))*12+MOD(VALUE(F38),100)-MOD(M38,100))))&gt;0,IF(OR(M38="",NOT(ISNUMBER(M38))),0,MAX(0,MIN(24,(INT(VALUE(F38)/100)-INT(M38/100))*12+MOD(VALUE(F38),100)-MOD(M38,100))))&lt;=12),1+V8_LOCKOUT_AMP*EXP(-(IF(OR(M38="",NOT(ISNUMBER(M38))),0,MAX(0,MIN(24,(INT(VALUE(F38)/100)-INT(M38/100))*12+MOD(VALUE(F38),100)-MOD(M38,100)))))/V8_LOCKOUT_TAU),1)</f>
        <v/>
      </c>
      <c r="AI38" s="8">
        <f>MAX(V8_BURN_FLOOR,1-V8_BURN_SLOPE*MIN(1,MAX(0,O38)))</f>
        <v/>
      </c>
      <c r="AJ38" s="15">
        <f>MIN(AA38*AF38*AG38*AH38*AI38,0.2)</f>
        <v/>
      </c>
      <c r="AK38" s="16">
        <f>1-(1-AJ38)^12</f>
        <v/>
      </c>
    </row>
    <row r="39">
      <c r="A39" s="2" t="inlineStr">
        <is>
          <t>000007111384</t>
        </is>
      </c>
      <c r="B39" t="inlineStr">
        <is>
          <t>223f</t>
        </is>
      </c>
      <c r="C39" t="inlineStr">
        <is>
          <t>RP</t>
        </is>
      </c>
      <c r="D39" t="inlineStr">
        <is>
          <t>BERKADIA COMMERCIAL MORTGAGE, LLC</t>
        </is>
      </c>
      <c r="E39" t="n">
        <v>2015</v>
      </c>
      <c r="F39" t="inlineStr">
        <is>
          <t>202602</t>
        </is>
      </c>
      <c r="G39" s="9" t="n">
        <v>3434607.45</v>
      </c>
      <c r="H39" s="13" t="n">
        <v>3.25</v>
      </c>
      <c r="I39" s="14" t="n">
        <v>447</v>
      </c>
      <c r="J39" s="14" t="n">
        <v>0</v>
      </c>
      <c r="K39" t="n">
        <v>125</v>
      </c>
      <c r="L39" t="n">
        <v>205101</v>
      </c>
      <c r="M39" t="inlineStr"/>
      <c r="N39" t="n">
        <v>25</v>
      </c>
      <c r="O39" s="8" t="n">
        <v>0.2</v>
      </c>
      <c r="P39">
        <f>IF(ISNUMBER(SEARCH("232",B39)),"232",IF(ISNUMBER(SEARCH("538",B39)),"538",IF(ISNUMBER(SEARCH("223a7",B39)),"223a7",IF(ISNUMBER(SEARCH("223f",B39)),"223f","OTHER"))))</f>
        <v/>
      </c>
      <c r="Q39">
        <f>IF(UPPER(C39)="NC","NC","RP")</f>
        <v/>
      </c>
      <c r="R39">
        <f>IF(G39&lt;5000000,"small",IF(G39&lt;25000000,"medium","large"))</f>
        <v/>
      </c>
      <c r="S39">
        <f>IF(K39&lt;36,"young",IF(K39&lt;120,"seasoned","aged"))</f>
        <v/>
      </c>
      <c r="T39">
        <f>P39&amp;"|"&amp;Q39&amp;"|"&amp;R39&amp;"|"&amp;S39</f>
        <v/>
      </c>
      <c r="U39" s="14">
        <f>H39*100-I39</f>
        <v/>
      </c>
      <c r="V39" s="14">
        <f>U39-12.5*(J39+1)</f>
        <v/>
      </c>
      <c r="W39" s="15">
        <f>IFERROR(VLOOKUP(T39,V8_COHORT_TABLE,2,FALSE),IFERROR(VLOOKUP(P39&amp;"|"&amp;Q39&amp;"|ALL|"&amp;S39,V8_COHORT_TABLE,2,FALSE),IFERROR(VLOOKUP(P39&amp;"|ALL|ALL|"&amp;S39,V8_COHORT_TABLE,2,FALSE),IFERROR(VLOOKUP(P39&amp;"|ALL|ALL|ALL",V8_COHORT_TABLE,2,FALSE),VLOOKUP("GLOBAL",V8_COHORT_TABLE,2,FALSE)))))</f>
        <v/>
      </c>
      <c r="X39" s="15">
        <f>IFERROR(VLOOKUP(T39,V8_COHORT_TABLE,3,FALSE),IFERROR(VLOOKUP(P39&amp;"|"&amp;Q39&amp;"|ALL|"&amp;S39,V8_COHORT_TABLE,3,FALSE),IFERROR(VLOOKUP(P39&amp;"|ALL|ALL|"&amp;S39,V8_COHORT_TABLE,3,FALSE),IFERROR(VLOOKUP(P39&amp;"|ALL|ALL|ALL",V8_COHORT_TABLE,3,FALSE),VLOOKUP("GLOBAL",V8_COHORT_TABLE,3,FALSE)))))</f>
        <v/>
      </c>
      <c r="Y39" s="15">
        <f>IFERROR(VLOOKUP(T39,V8_COHORT_TABLE,4,FALSE),IFERROR(VLOOKUP(P39&amp;"|"&amp;Q39&amp;"|ALL|"&amp;S39,V8_COHORT_TABLE,4,FALSE),IFERROR(VLOOKUP(P39&amp;"|ALL|ALL|"&amp;S39,V8_COHORT_TABLE,4,FALSE),IFERROR(VLOOKUP(P39&amp;"|ALL|ALL|ALL",V8_COHORT_TABLE,4,FALSE),VLOOKUP("GLOBAL",V8_COHORT_TABLE,4,FALSE)))))</f>
        <v/>
      </c>
      <c r="Z39" s="15">
        <f>IFERROR(VLOOKUP(T39,V8_COHORT_TABLE,5,FALSE),IFERROR(VLOOKUP(P39&amp;"|"&amp;Q39&amp;"|ALL|"&amp;S39,V8_COHORT_TABLE,5,FALSE),IFERROR(VLOOKUP(P39&amp;"|ALL|ALL|"&amp;S39,V8_COHORT_TABLE,5,FALSE),IFERROR(VLOOKUP(P39&amp;"|ALL|ALL|ALL",V8_COHORT_TABLE,5,FALSE),VLOOKUP("GLOBAL",V8_COHORT_TABLE,5,FALSE)))))</f>
        <v/>
      </c>
      <c r="AA39" s="15">
        <f>W39+X39/(1+EXP(-(V39-Y39)/Z39))</f>
        <v/>
      </c>
      <c r="AB39" s="15">
        <f>IFERROR(VLOOKUP(T39,V8_COHORT_TABLE,6,FALSE),IFERROR(VLOOKUP(P39&amp;"|"&amp;Q39&amp;"|ALL|"&amp;S39,V8_COHORT_TABLE,6,FALSE),IFERROR(VLOOKUP(P39&amp;"|ALL|ALL|"&amp;S39,V8_COHORT_TABLE,6,FALSE),IFERROR(VLOOKUP(P39&amp;"|ALL|ALL|ALL",V8_COHORT_TABLE,6,FALSE),VLOOKUP("GLOBAL",V8_COHORT_TABLE,6,FALSE)))))</f>
        <v/>
      </c>
      <c r="AC39" s="15">
        <f>IFERROR(VLOOKUP(T39,V8_COHORT_TABLE,7,FALSE),IFERROR(VLOOKUP(P39&amp;"|"&amp;Q39&amp;"|ALL|"&amp;S39,V8_COHORT_TABLE,7,FALSE),IFERROR(VLOOKUP(P39&amp;"|ALL|ALL|"&amp;S39,V8_COHORT_TABLE,7,FALSE),IFERROR(VLOOKUP(P39&amp;"|ALL|ALL|ALL",V8_COHORT_TABLE,7,FALSE),VLOOKUP("GLOBAL",V8_COHORT_TABLE,7,FALSE)))))</f>
        <v/>
      </c>
      <c r="AD39" s="15">
        <f>IFERROR(VLOOKUP(T39,V8_COHORT_TABLE,8,FALSE),IFERROR(VLOOKUP(P39&amp;"|"&amp;Q39&amp;"|ALL|"&amp;S39,V8_COHORT_TABLE,8,FALSE),IFERROR(VLOOKUP(P39&amp;"|ALL|ALL|"&amp;S39,V8_COHORT_TABLE,8,FALSE),IFERROR(VLOOKUP(P39&amp;"|ALL|ALL|ALL",V8_COHORT_TABLE,8,FALSE),VLOOKUP("GLOBAL",V8_COHORT_TABLE,8,FALSE)))))</f>
        <v/>
      </c>
      <c r="AE39" s="15">
        <f>IFERROR(VLOOKUP(T39,V8_COHORT_TABLE,9,FALSE),IFERROR(VLOOKUP(P39&amp;"|"&amp;Q39&amp;"|ALL|"&amp;S39,V8_COHORT_TABLE,9,FALSE),IFERROR(VLOOKUP(P39&amp;"|ALL|ALL|"&amp;S39,V8_COHORT_TABLE,9,FALSE),IFERROR(VLOOKUP(P39&amp;"|ALL|ALL|ALL",V8_COHORT_TABLE,9,FALSE),VLOOKUP("GLOBAL",V8_COHORT_TABLE,9,FALSE)))))</f>
        <v/>
      </c>
      <c r="AF39" s="8">
        <f>IF(K39&lt;=0,AB39,IF(K39&gt;=240,AE39,IF(K39&lt;=24,AB39+(K39-0)/24*(AC39-AB39),IF(K39&lt;=96,AC39+(K39-24)/72*(AD39-AC39),AD39+(K39-96)/144*(AE39-AD39)))))</f>
        <v/>
      </c>
      <c r="AG39" s="8">
        <f>IF(IF(OR(L39="",NOT(ISNUMBER(L39))),360,MAX(0,MIN(480,(INT(L39/100)-INT(VALUE(F39)/100))*12+MOD(L39,100)-MOD(VALUE(F39),100))))&gt;0,1+V8_MTY_AMP*MAX(0,(V8_MTY_CUTOFF-(IF(OR(L39="",NOT(ISNUMBER(L39))),360,MAX(0,MIN(480,(INT(L39/100)-INT(VALUE(F39)/100))*12+MOD(L39,100)-MOD(VALUE(F39),100))))))/V8_MTY_CUTOFF),1)</f>
        <v/>
      </c>
      <c r="AH39" s="8">
        <f>IF(AND(IF(OR(M39="",NOT(ISNUMBER(M39))),0,MAX(0,MIN(24,(INT(VALUE(F39)/100)-INT(M39/100))*12+MOD(VALUE(F39),100)-MOD(M39,100))))&gt;0,IF(OR(M39="",NOT(ISNUMBER(M39))),0,MAX(0,MIN(24,(INT(VALUE(F39)/100)-INT(M39/100))*12+MOD(VALUE(F39),100)-MOD(M39,100))))&lt;=12),1+V8_LOCKOUT_AMP*EXP(-(IF(OR(M39="",NOT(ISNUMBER(M39))),0,MAX(0,MIN(24,(INT(VALUE(F39)/100)-INT(M39/100))*12+MOD(VALUE(F39),100)-MOD(M39,100)))))/V8_LOCKOUT_TAU),1)</f>
        <v/>
      </c>
      <c r="AI39" s="8">
        <f>MAX(V8_BURN_FLOOR,1-V8_BURN_SLOPE*MIN(1,MAX(0,O39)))</f>
        <v/>
      </c>
      <c r="AJ39" s="15">
        <f>MIN(AA39*AF39*AG39*AH39*AI39,0.2)</f>
        <v/>
      </c>
      <c r="AK39" s="16">
        <f>1-(1-AJ39)^12</f>
        <v/>
      </c>
    </row>
    <row r="40">
      <c r="A40" s="2" t="inlineStr">
        <is>
          <t>000006311078</t>
        </is>
      </c>
      <c r="B40" t="inlineStr">
        <is>
          <t>223f</t>
        </is>
      </c>
      <c r="C40" t="inlineStr">
        <is>
          <t>RP</t>
        </is>
      </c>
      <c r="D40" t="inlineStr">
        <is>
          <t>BERKADIA COMMERCIAL MORTGAGE, LLC</t>
        </is>
      </c>
      <c r="E40" t="n">
        <v>2012</v>
      </c>
      <c r="F40" t="inlineStr">
        <is>
          <t>202602</t>
        </is>
      </c>
      <c r="G40" s="9" t="n">
        <v>8184805.03</v>
      </c>
      <c r="H40" s="13" t="n">
        <v>3.2</v>
      </c>
      <c r="I40" s="14" t="n">
        <v>447</v>
      </c>
      <c r="J40" s="14" t="n">
        <v>0</v>
      </c>
      <c r="K40" t="n">
        <v>167</v>
      </c>
      <c r="L40" t="n">
        <v>204708</v>
      </c>
      <c r="M40" t="n">
        <v>201409</v>
      </c>
      <c r="N40" t="n">
        <v>30</v>
      </c>
      <c r="O40" s="8" t="n">
        <v>0.1796407185628743</v>
      </c>
      <c r="P40">
        <f>IF(ISNUMBER(SEARCH("232",B40)),"232",IF(ISNUMBER(SEARCH("538",B40)),"538",IF(ISNUMBER(SEARCH("223a7",B40)),"223a7",IF(ISNUMBER(SEARCH("223f",B40)),"223f","OTHER"))))</f>
        <v/>
      </c>
      <c r="Q40">
        <f>IF(UPPER(C40)="NC","NC","RP")</f>
        <v/>
      </c>
      <c r="R40">
        <f>IF(G40&lt;5000000,"small",IF(G40&lt;25000000,"medium","large"))</f>
        <v/>
      </c>
      <c r="S40">
        <f>IF(K40&lt;36,"young",IF(K40&lt;120,"seasoned","aged"))</f>
        <v/>
      </c>
      <c r="T40">
        <f>P40&amp;"|"&amp;Q40&amp;"|"&amp;R40&amp;"|"&amp;S40</f>
        <v/>
      </c>
      <c r="U40" s="14">
        <f>H40*100-I40</f>
        <v/>
      </c>
      <c r="V40" s="14">
        <f>U40-12.5*(J40+1)</f>
        <v/>
      </c>
      <c r="W40" s="15">
        <f>IFERROR(VLOOKUP(T40,V8_COHORT_TABLE,2,FALSE),IFERROR(VLOOKUP(P40&amp;"|"&amp;Q40&amp;"|ALL|"&amp;S40,V8_COHORT_TABLE,2,FALSE),IFERROR(VLOOKUP(P40&amp;"|ALL|ALL|"&amp;S40,V8_COHORT_TABLE,2,FALSE),IFERROR(VLOOKUP(P40&amp;"|ALL|ALL|ALL",V8_COHORT_TABLE,2,FALSE),VLOOKUP("GLOBAL",V8_COHORT_TABLE,2,FALSE)))))</f>
        <v/>
      </c>
      <c r="X40" s="15">
        <f>IFERROR(VLOOKUP(T40,V8_COHORT_TABLE,3,FALSE),IFERROR(VLOOKUP(P40&amp;"|"&amp;Q40&amp;"|ALL|"&amp;S40,V8_COHORT_TABLE,3,FALSE),IFERROR(VLOOKUP(P40&amp;"|ALL|ALL|"&amp;S40,V8_COHORT_TABLE,3,FALSE),IFERROR(VLOOKUP(P40&amp;"|ALL|ALL|ALL",V8_COHORT_TABLE,3,FALSE),VLOOKUP("GLOBAL",V8_COHORT_TABLE,3,FALSE)))))</f>
        <v/>
      </c>
      <c r="Y40" s="15">
        <f>IFERROR(VLOOKUP(T40,V8_COHORT_TABLE,4,FALSE),IFERROR(VLOOKUP(P40&amp;"|"&amp;Q40&amp;"|ALL|"&amp;S40,V8_COHORT_TABLE,4,FALSE),IFERROR(VLOOKUP(P40&amp;"|ALL|ALL|"&amp;S40,V8_COHORT_TABLE,4,FALSE),IFERROR(VLOOKUP(P40&amp;"|ALL|ALL|ALL",V8_COHORT_TABLE,4,FALSE),VLOOKUP("GLOBAL",V8_COHORT_TABLE,4,FALSE)))))</f>
        <v/>
      </c>
      <c r="Z40" s="15">
        <f>IFERROR(VLOOKUP(T40,V8_COHORT_TABLE,5,FALSE),IFERROR(VLOOKUP(P40&amp;"|"&amp;Q40&amp;"|ALL|"&amp;S40,V8_COHORT_TABLE,5,FALSE),IFERROR(VLOOKUP(P40&amp;"|ALL|ALL|"&amp;S40,V8_COHORT_TABLE,5,FALSE),IFERROR(VLOOKUP(P40&amp;"|ALL|ALL|ALL",V8_COHORT_TABLE,5,FALSE),VLOOKUP("GLOBAL",V8_COHORT_TABLE,5,FALSE)))))</f>
        <v/>
      </c>
      <c r="AA40" s="15">
        <f>W40+X40/(1+EXP(-(V40-Y40)/Z40))</f>
        <v/>
      </c>
      <c r="AB40" s="15">
        <f>IFERROR(VLOOKUP(T40,V8_COHORT_TABLE,6,FALSE),IFERROR(VLOOKUP(P40&amp;"|"&amp;Q40&amp;"|ALL|"&amp;S40,V8_COHORT_TABLE,6,FALSE),IFERROR(VLOOKUP(P40&amp;"|ALL|ALL|"&amp;S40,V8_COHORT_TABLE,6,FALSE),IFERROR(VLOOKUP(P40&amp;"|ALL|ALL|ALL",V8_COHORT_TABLE,6,FALSE),VLOOKUP("GLOBAL",V8_COHORT_TABLE,6,FALSE)))))</f>
        <v/>
      </c>
      <c r="AC40" s="15">
        <f>IFERROR(VLOOKUP(T40,V8_COHORT_TABLE,7,FALSE),IFERROR(VLOOKUP(P40&amp;"|"&amp;Q40&amp;"|ALL|"&amp;S40,V8_COHORT_TABLE,7,FALSE),IFERROR(VLOOKUP(P40&amp;"|ALL|ALL|"&amp;S40,V8_COHORT_TABLE,7,FALSE),IFERROR(VLOOKUP(P40&amp;"|ALL|ALL|ALL",V8_COHORT_TABLE,7,FALSE),VLOOKUP("GLOBAL",V8_COHORT_TABLE,7,FALSE)))))</f>
        <v/>
      </c>
      <c r="AD40" s="15">
        <f>IFERROR(VLOOKUP(T40,V8_COHORT_TABLE,8,FALSE),IFERROR(VLOOKUP(P40&amp;"|"&amp;Q40&amp;"|ALL|"&amp;S40,V8_COHORT_TABLE,8,FALSE),IFERROR(VLOOKUP(P40&amp;"|ALL|ALL|"&amp;S40,V8_COHORT_TABLE,8,FALSE),IFERROR(VLOOKUP(P40&amp;"|ALL|ALL|ALL",V8_COHORT_TABLE,8,FALSE),VLOOKUP("GLOBAL",V8_COHORT_TABLE,8,FALSE)))))</f>
        <v/>
      </c>
      <c r="AE40" s="15">
        <f>IFERROR(VLOOKUP(T40,V8_COHORT_TABLE,9,FALSE),IFERROR(VLOOKUP(P40&amp;"|"&amp;Q40&amp;"|ALL|"&amp;S40,V8_COHORT_TABLE,9,FALSE),IFERROR(VLOOKUP(P40&amp;"|ALL|ALL|"&amp;S40,V8_COHORT_TABLE,9,FALSE),IFERROR(VLOOKUP(P40&amp;"|ALL|ALL|ALL",V8_COHORT_TABLE,9,FALSE),VLOOKUP("GLOBAL",V8_COHORT_TABLE,9,FALSE)))))</f>
        <v/>
      </c>
      <c r="AF40" s="8">
        <f>IF(K40&lt;=0,AB40,IF(K40&gt;=240,AE40,IF(K40&lt;=24,AB40+(K40-0)/24*(AC40-AB40),IF(K40&lt;=96,AC40+(K40-24)/72*(AD40-AC40),AD40+(K40-96)/144*(AE40-AD40)))))</f>
        <v/>
      </c>
      <c r="AG40" s="8">
        <f>IF(IF(OR(L40="",NOT(ISNUMBER(L40))),360,MAX(0,MIN(480,(INT(L40/100)-INT(VALUE(F40)/100))*12+MOD(L40,100)-MOD(VALUE(F40),100))))&gt;0,1+V8_MTY_AMP*MAX(0,(V8_MTY_CUTOFF-(IF(OR(L40="",NOT(ISNUMBER(L40))),360,MAX(0,MIN(480,(INT(L40/100)-INT(VALUE(F40)/100))*12+MOD(L40,100)-MOD(VALUE(F40),100))))))/V8_MTY_CUTOFF),1)</f>
        <v/>
      </c>
      <c r="AH40" s="8">
        <f>IF(AND(IF(OR(M40="",NOT(ISNUMBER(M40))),0,MAX(0,MIN(24,(INT(VALUE(F40)/100)-INT(M40/100))*12+MOD(VALUE(F40),100)-MOD(M40,100))))&gt;0,IF(OR(M40="",NOT(ISNUMBER(M40))),0,MAX(0,MIN(24,(INT(VALUE(F40)/100)-INT(M40/100))*12+MOD(VALUE(F40),100)-MOD(M40,100))))&lt;=12),1+V8_LOCKOUT_AMP*EXP(-(IF(OR(M40="",NOT(ISNUMBER(M40))),0,MAX(0,MIN(24,(INT(VALUE(F40)/100)-INT(M40/100))*12+MOD(VALUE(F40),100)-MOD(M40,100)))))/V8_LOCKOUT_TAU),1)</f>
        <v/>
      </c>
      <c r="AI40" s="8">
        <f>MAX(V8_BURN_FLOOR,1-V8_BURN_SLOPE*MIN(1,MAX(0,O40)))</f>
        <v/>
      </c>
      <c r="AJ40" s="15">
        <f>MIN(AA40*AF40*AG40*AH40*AI40,0.2)</f>
        <v/>
      </c>
      <c r="AK40" s="16">
        <f>1-(1-AJ40)^12</f>
        <v/>
      </c>
    </row>
    <row r="41">
      <c r="A41" s="2" t="inlineStr">
        <is>
          <t>000005111525</t>
        </is>
      </c>
      <c r="B41" t="inlineStr">
        <is>
          <t>223f</t>
        </is>
      </c>
      <c r="C41" t="inlineStr">
        <is>
          <t>RP</t>
        </is>
      </c>
      <c r="D41" t="inlineStr">
        <is>
          <t>BERKADIA COMMERCIAL MORTGAGE, LLC</t>
        </is>
      </c>
      <c r="E41" t="n">
        <v>2022</v>
      </c>
      <c r="F41" t="inlineStr">
        <is>
          <t>202602</t>
        </is>
      </c>
      <c r="G41" s="9" t="n">
        <v>19717396.4</v>
      </c>
      <c r="H41" s="13" t="n">
        <v>4.45</v>
      </c>
      <c r="I41" s="14" t="n">
        <v>447</v>
      </c>
      <c r="J41" s="14" t="n">
        <v>8</v>
      </c>
      <c r="K41" t="n">
        <v>43</v>
      </c>
      <c r="L41" t="n">
        <v>205711</v>
      </c>
      <c r="M41" t="inlineStr"/>
      <c r="N41" t="n">
        <v>1</v>
      </c>
      <c r="O41" s="8" t="n">
        <v>0.02325581395348837</v>
      </c>
      <c r="P41">
        <f>IF(ISNUMBER(SEARCH("232",B41)),"232",IF(ISNUMBER(SEARCH("538",B41)),"538",IF(ISNUMBER(SEARCH("223a7",B41)),"223a7",IF(ISNUMBER(SEARCH("223f",B41)),"223f","OTHER"))))</f>
        <v/>
      </c>
      <c r="Q41">
        <f>IF(UPPER(C41)="NC","NC","RP")</f>
        <v/>
      </c>
      <c r="R41">
        <f>IF(G41&lt;5000000,"small",IF(G41&lt;25000000,"medium","large"))</f>
        <v/>
      </c>
      <c r="S41">
        <f>IF(K41&lt;36,"young",IF(K41&lt;120,"seasoned","aged"))</f>
        <v/>
      </c>
      <c r="T41">
        <f>P41&amp;"|"&amp;Q41&amp;"|"&amp;R41&amp;"|"&amp;S41</f>
        <v/>
      </c>
      <c r="U41" s="14">
        <f>H41*100-I41</f>
        <v/>
      </c>
      <c r="V41" s="14">
        <f>U41-12.5*(J41+1)</f>
        <v/>
      </c>
      <c r="W41" s="15">
        <f>IFERROR(VLOOKUP(T41,V8_COHORT_TABLE,2,FALSE),IFERROR(VLOOKUP(P41&amp;"|"&amp;Q41&amp;"|ALL|"&amp;S41,V8_COHORT_TABLE,2,FALSE),IFERROR(VLOOKUP(P41&amp;"|ALL|ALL|"&amp;S41,V8_COHORT_TABLE,2,FALSE),IFERROR(VLOOKUP(P41&amp;"|ALL|ALL|ALL",V8_COHORT_TABLE,2,FALSE),VLOOKUP("GLOBAL",V8_COHORT_TABLE,2,FALSE)))))</f>
        <v/>
      </c>
      <c r="X41" s="15">
        <f>IFERROR(VLOOKUP(T41,V8_COHORT_TABLE,3,FALSE),IFERROR(VLOOKUP(P41&amp;"|"&amp;Q41&amp;"|ALL|"&amp;S41,V8_COHORT_TABLE,3,FALSE),IFERROR(VLOOKUP(P41&amp;"|ALL|ALL|"&amp;S41,V8_COHORT_TABLE,3,FALSE),IFERROR(VLOOKUP(P41&amp;"|ALL|ALL|ALL",V8_COHORT_TABLE,3,FALSE),VLOOKUP("GLOBAL",V8_COHORT_TABLE,3,FALSE)))))</f>
        <v/>
      </c>
      <c r="Y41" s="15">
        <f>IFERROR(VLOOKUP(T41,V8_COHORT_TABLE,4,FALSE),IFERROR(VLOOKUP(P41&amp;"|"&amp;Q41&amp;"|ALL|"&amp;S41,V8_COHORT_TABLE,4,FALSE),IFERROR(VLOOKUP(P41&amp;"|ALL|ALL|"&amp;S41,V8_COHORT_TABLE,4,FALSE),IFERROR(VLOOKUP(P41&amp;"|ALL|ALL|ALL",V8_COHORT_TABLE,4,FALSE),VLOOKUP("GLOBAL",V8_COHORT_TABLE,4,FALSE)))))</f>
        <v/>
      </c>
      <c r="Z41" s="15">
        <f>IFERROR(VLOOKUP(T41,V8_COHORT_TABLE,5,FALSE),IFERROR(VLOOKUP(P41&amp;"|"&amp;Q41&amp;"|ALL|"&amp;S41,V8_COHORT_TABLE,5,FALSE),IFERROR(VLOOKUP(P41&amp;"|ALL|ALL|"&amp;S41,V8_COHORT_TABLE,5,FALSE),IFERROR(VLOOKUP(P41&amp;"|ALL|ALL|ALL",V8_COHORT_TABLE,5,FALSE),VLOOKUP("GLOBAL",V8_COHORT_TABLE,5,FALSE)))))</f>
        <v/>
      </c>
      <c r="AA41" s="15">
        <f>W41+X41/(1+EXP(-(V41-Y41)/Z41))</f>
        <v/>
      </c>
      <c r="AB41" s="15">
        <f>IFERROR(VLOOKUP(T41,V8_COHORT_TABLE,6,FALSE),IFERROR(VLOOKUP(P41&amp;"|"&amp;Q41&amp;"|ALL|"&amp;S41,V8_COHORT_TABLE,6,FALSE),IFERROR(VLOOKUP(P41&amp;"|ALL|ALL|"&amp;S41,V8_COHORT_TABLE,6,FALSE),IFERROR(VLOOKUP(P41&amp;"|ALL|ALL|ALL",V8_COHORT_TABLE,6,FALSE),VLOOKUP("GLOBAL",V8_COHORT_TABLE,6,FALSE)))))</f>
        <v/>
      </c>
      <c r="AC41" s="15">
        <f>IFERROR(VLOOKUP(T41,V8_COHORT_TABLE,7,FALSE),IFERROR(VLOOKUP(P41&amp;"|"&amp;Q41&amp;"|ALL|"&amp;S41,V8_COHORT_TABLE,7,FALSE),IFERROR(VLOOKUP(P41&amp;"|ALL|ALL|"&amp;S41,V8_COHORT_TABLE,7,FALSE),IFERROR(VLOOKUP(P41&amp;"|ALL|ALL|ALL",V8_COHORT_TABLE,7,FALSE),VLOOKUP("GLOBAL",V8_COHORT_TABLE,7,FALSE)))))</f>
        <v/>
      </c>
      <c r="AD41" s="15">
        <f>IFERROR(VLOOKUP(T41,V8_COHORT_TABLE,8,FALSE),IFERROR(VLOOKUP(P41&amp;"|"&amp;Q41&amp;"|ALL|"&amp;S41,V8_COHORT_TABLE,8,FALSE),IFERROR(VLOOKUP(P41&amp;"|ALL|ALL|"&amp;S41,V8_COHORT_TABLE,8,FALSE),IFERROR(VLOOKUP(P41&amp;"|ALL|ALL|ALL",V8_COHORT_TABLE,8,FALSE),VLOOKUP("GLOBAL",V8_COHORT_TABLE,8,FALSE)))))</f>
        <v/>
      </c>
      <c r="AE41" s="15">
        <f>IFERROR(VLOOKUP(T41,V8_COHORT_TABLE,9,FALSE),IFERROR(VLOOKUP(P41&amp;"|"&amp;Q41&amp;"|ALL|"&amp;S41,V8_COHORT_TABLE,9,FALSE),IFERROR(VLOOKUP(P41&amp;"|ALL|ALL|"&amp;S41,V8_COHORT_TABLE,9,FALSE),IFERROR(VLOOKUP(P41&amp;"|ALL|ALL|ALL",V8_COHORT_TABLE,9,FALSE),VLOOKUP("GLOBAL",V8_COHORT_TABLE,9,FALSE)))))</f>
        <v/>
      </c>
      <c r="AF41" s="8">
        <f>IF(K41&lt;=0,AB41,IF(K41&gt;=240,AE41,IF(K41&lt;=24,AB41+(K41-0)/24*(AC41-AB41),IF(K41&lt;=96,AC41+(K41-24)/72*(AD41-AC41),AD41+(K41-96)/144*(AE41-AD41)))))</f>
        <v/>
      </c>
      <c r="AG41" s="8">
        <f>IF(IF(OR(L41="",NOT(ISNUMBER(L41))),360,MAX(0,MIN(480,(INT(L41/100)-INT(VALUE(F41)/100))*12+MOD(L41,100)-MOD(VALUE(F41),100))))&gt;0,1+V8_MTY_AMP*MAX(0,(V8_MTY_CUTOFF-(IF(OR(L41="",NOT(ISNUMBER(L41))),360,MAX(0,MIN(480,(INT(L41/100)-INT(VALUE(F41)/100))*12+MOD(L41,100)-MOD(VALUE(F41),100))))))/V8_MTY_CUTOFF),1)</f>
        <v/>
      </c>
      <c r="AH41" s="8">
        <f>IF(AND(IF(OR(M41="",NOT(ISNUMBER(M41))),0,MAX(0,MIN(24,(INT(VALUE(F41)/100)-INT(M41/100))*12+MOD(VALUE(F41),100)-MOD(M41,100))))&gt;0,IF(OR(M41="",NOT(ISNUMBER(M41))),0,MAX(0,MIN(24,(INT(VALUE(F41)/100)-INT(M41/100))*12+MOD(VALUE(F41),100)-MOD(M41,100))))&lt;=12),1+V8_LOCKOUT_AMP*EXP(-(IF(OR(M41="",NOT(ISNUMBER(M41))),0,MAX(0,MIN(24,(INT(VALUE(F41)/100)-INT(M41/100))*12+MOD(VALUE(F41),100)-MOD(M41,100)))))/V8_LOCKOUT_TAU),1)</f>
        <v/>
      </c>
      <c r="AI41" s="8">
        <f>MAX(V8_BURN_FLOOR,1-V8_BURN_SLOPE*MIN(1,MAX(0,O41)))</f>
        <v/>
      </c>
      <c r="AJ41" s="15">
        <f>MIN(AA41*AF41*AG41*AH41*AI41,0.2)</f>
        <v/>
      </c>
      <c r="AK41" s="16">
        <f>1-(1-AJ41)^12</f>
        <v/>
      </c>
    </row>
    <row r="42">
      <c r="A42" s="2" t="inlineStr">
        <is>
          <t>000004711152</t>
        </is>
      </c>
      <c r="B42" t="inlineStr">
        <is>
          <t>223f</t>
        </is>
      </c>
      <c r="C42" t="inlineStr">
        <is>
          <t>RP</t>
        </is>
      </c>
      <c r="D42" t="inlineStr">
        <is>
          <t>BERKADIA COMMERCIAL MORTGAGE, LLC</t>
        </is>
      </c>
      <c r="E42" t="n">
        <v>2013</v>
      </c>
      <c r="F42" t="inlineStr">
        <is>
          <t>202602</t>
        </is>
      </c>
      <c r="G42" s="9" t="n">
        <v>345445.31</v>
      </c>
      <c r="H42" s="13" t="n">
        <v>2.9</v>
      </c>
      <c r="I42" s="14" t="n">
        <v>447</v>
      </c>
      <c r="J42" s="14" t="n">
        <v>7</v>
      </c>
      <c r="K42" t="n">
        <v>149</v>
      </c>
      <c r="L42" t="n">
        <v>203401</v>
      </c>
      <c r="M42" t="inlineStr"/>
      <c r="N42" t="n">
        <v>9</v>
      </c>
      <c r="O42" s="8" t="n">
        <v>0.06040268456375839</v>
      </c>
      <c r="P42">
        <f>IF(ISNUMBER(SEARCH("232",B42)),"232",IF(ISNUMBER(SEARCH("538",B42)),"538",IF(ISNUMBER(SEARCH("223a7",B42)),"223a7",IF(ISNUMBER(SEARCH("223f",B42)),"223f","OTHER"))))</f>
        <v/>
      </c>
      <c r="Q42">
        <f>IF(UPPER(C42)="NC","NC","RP")</f>
        <v/>
      </c>
      <c r="R42">
        <f>IF(G42&lt;5000000,"small",IF(G42&lt;25000000,"medium","large"))</f>
        <v/>
      </c>
      <c r="S42">
        <f>IF(K42&lt;36,"young",IF(K42&lt;120,"seasoned","aged"))</f>
        <v/>
      </c>
      <c r="T42">
        <f>P42&amp;"|"&amp;Q42&amp;"|"&amp;R42&amp;"|"&amp;S42</f>
        <v/>
      </c>
      <c r="U42" s="14">
        <f>H42*100-I42</f>
        <v/>
      </c>
      <c r="V42" s="14">
        <f>U42-12.5*(J42+1)</f>
        <v/>
      </c>
      <c r="W42" s="15">
        <f>IFERROR(VLOOKUP(T42,V8_COHORT_TABLE,2,FALSE),IFERROR(VLOOKUP(P42&amp;"|"&amp;Q42&amp;"|ALL|"&amp;S42,V8_COHORT_TABLE,2,FALSE),IFERROR(VLOOKUP(P42&amp;"|ALL|ALL|"&amp;S42,V8_COHORT_TABLE,2,FALSE),IFERROR(VLOOKUP(P42&amp;"|ALL|ALL|ALL",V8_COHORT_TABLE,2,FALSE),VLOOKUP("GLOBAL",V8_COHORT_TABLE,2,FALSE)))))</f>
        <v/>
      </c>
      <c r="X42" s="15">
        <f>IFERROR(VLOOKUP(T42,V8_COHORT_TABLE,3,FALSE),IFERROR(VLOOKUP(P42&amp;"|"&amp;Q42&amp;"|ALL|"&amp;S42,V8_COHORT_TABLE,3,FALSE),IFERROR(VLOOKUP(P42&amp;"|ALL|ALL|"&amp;S42,V8_COHORT_TABLE,3,FALSE),IFERROR(VLOOKUP(P42&amp;"|ALL|ALL|ALL",V8_COHORT_TABLE,3,FALSE),VLOOKUP("GLOBAL",V8_COHORT_TABLE,3,FALSE)))))</f>
        <v/>
      </c>
      <c r="Y42" s="15">
        <f>IFERROR(VLOOKUP(T42,V8_COHORT_TABLE,4,FALSE),IFERROR(VLOOKUP(P42&amp;"|"&amp;Q42&amp;"|ALL|"&amp;S42,V8_COHORT_TABLE,4,FALSE),IFERROR(VLOOKUP(P42&amp;"|ALL|ALL|"&amp;S42,V8_COHORT_TABLE,4,FALSE),IFERROR(VLOOKUP(P42&amp;"|ALL|ALL|ALL",V8_COHORT_TABLE,4,FALSE),VLOOKUP("GLOBAL",V8_COHORT_TABLE,4,FALSE)))))</f>
        <v/>
      </c>
      <c r="Z42" s="15">
        <f>IFERROR(VLOOKUP(T42,V8_COHORT_TABLE,5,FALSE),IFERROR(VLOOKUP(P42&amp;"|"&amp;Q42&amp;"|ALL|"&amp;S42,V8_COHORT_TABLE,5,FALSE),IFERROR(VLOOKUP(P42&amp;"|ALL|ALL|"&amp;S42,V8_COHORT_TABLE,5,FALSE),IFERROR(VLOOKUP(P42&amp;"|ALL|ALL|ALL",V8_COHORT_TABLE,5,FALSE),VLOOKUP("GLOBAL",V8_COHORT_TABLE,5,FALSE)))))</f>
        <v/>
      </c>
      <c r="AA42" s="15">
        <f>W42+X42/(1+EXP(-(V42-Y42)/Z42))</f>
        <v/>
      </c>
      <c r="AB42" s="15">
        <f>IFERROR(VLOOKUP(T42,V8_COHORT_TABLE,6,FALSE),IFERROR(VLOOKUP(P42&amp;"|"&amp;Q42&amp;"|ALL|"&amp;S42,V8_COHORT_TABLE,6,FALSE),IFERROR(VLOOKUP(P42&amp;"|ALL|ALL|"&amp;S42,V8_COHORT_TABLE,6,FALSE),IFERROR(VLOOKUP(P42&amp;"|ALL|ALL|ALL",V8_COHORT_TABLE,6,FALSE),VLOOKUP("GLOBAL",V8_COHORT_TABLE,6,FALSE)))))</f>
        <v/>
      </c>
      <c r="AC42" s="15">
        <f>IFERROR(VLOOKUP(T42,V8_COHORT_TABLE,7,FALSE),IFERROR(VLOOKUP(P42&amp;"|"&amp;Q42&amp;"|ALL|"&amp;S42,V8_COHORT_TABLE,7,FALSE),IFERROR(VLOOKUP(P42&amp;"|ALL|ALL|"&amp;S42,V8_COHORT_TABLE,7,FALSE),IFERROR(VLOOKUP(P42&amp;"|ALL|ALL|ALL",V8_COHORT_TABLE,7,FALSE),VLOOKUP("GLOBAL",V8_COHORT_TABLE,7,FALSE)))))</f>
        <v/>
      </c>
      <c r="AD42" s="15">
        <f>IFERROR(VLOOKUP(T42,V8_COHORT_TABLE,8,FALSE),IFERROR(VLOOKUP(P42&amp;"|"&amp;Q42&amp;"|ALL|"&amp;S42,V8_COHORT_TABLE,8,FALSE),IFERROR(VLOOKUP(P42&amp;"|ALL|ALL|"&amp;S42,V8_COHORT_TABLE,8,FALSE),IFERROR(VLOOKUP(P42&amp;"|ALL|ALL|ALL",V8_COHORT_TABLE,8,FALSE),VLOOKUP("GLOBAL",V8_COHORT_TABLE,8,FALSE)))))</f>
        <v/>
      </c>
      <c r="AE42" s="15">
        <f>IFERROR(VLOOKUP(T42,V8_COHORT_TABLE,9,FALSE),IFERROR(VLOOKUP(P42&amp;"|"&amp;Q42&amp;"|ALL|"&amp;S42,V8_COHORT_TABLE,9,FALSE),IFERROR(VLOOKUP(P42&amp;"|ALL|ALL|"&amp;S42,V8_COHORT_TABLE,9,FALSE),IFERROR(VLOOKUP(P42&amp;"|ALL|ALL|ALL",V8_COHORT_TABLE,9,FALSE),VLOOKUP("GLOBAL",V8_COHORT_TABLE,9,FALSE)))))</f>
        <v/>
      </c>
      <c r="AF42" s="8">
        <f>IF(K42&lt;=0,AB42,IF(K42&gt;=240,AE42,IF(K42&lt;=24,AB42+(K42-0)/24*(AC42-AB42),IF(K42&lt;=96,AC42+(K42-24)/72*(AD42-AC42),AD42+(K42-96)/144*(AE42-AD42)))))</f>
        <v/>
      </c>
      <c r="AG42" s="8">
        <f>IF(IF(OR(L42="",NOT(ISNUMBER(L42))),360,MAX(0,MIN(480,(INT(L42/100)-INT(VALUE(F42)/100))*12+MOD(L42,100)-MOD(VALUE(F42),100))))&gt;0,1+V8_MTY_AMP*MAX(0,(V8_MTY_CUTOFF-(IF(OR(L42="",NOT(ISNUMBER(L42))),360,MAX(0,MIN(480,(INT(L42/100)-INT(VALUE(F42)/100))*12+MOD(L42,100)-MOD(VALUE(F42),100))))))/V8_MTY_CUTOFF),1)</f>
        <v/>
      </c>
      <c r="AH42" s="8">
        <f>IF(AND(IF(OR(M42="",NOT(ISNUMBER(M42))),0,MAX(0,MIN(24,(INT(VALUE(F42)/100)-INT(M42/100))*12+MOD(VALUE(F42),100)-MOD(M42,100))))&gt;0,IF(OR(M42="",NOT(ISNUMBER(M42))),0,MAX(0,MIN(24,(INT(VALUE(F42)/100)-INT(M42/100))*12+MOD(VALUE(F42),100)-MOD(M42,100))))&lt;=12),1+V8_LOCKOUT_AMP*EXP(-(IF(OR(M42="",NOT(ISNUMBER(M42))),0,MAX(0,MIN(24,(INT(VALUE(F42)/100)-INT(M42/100))*12+MOD(VALUE(F42),100)-MOD(M42,100)))))/V8_LOCKOUT_TAU),1)</f>
        <v/>
      </c>
      <c r="AI42" s="8">
        <f>MAX(V8_BURN_FLOOR,1-V8_BURN_SLOPE*MIN(1,MAX(0,O42)))</f>
        <v/>
      </c>
      <c r="AJ42" s="15">
        <f>MIN(AA42*AF42*AG42*AH42*AI42,0.2)</f>
        <v/>
      </c>
      <c r="AK42" s="16">
        <f>1-(1-AJ42)^12</f>
        <v/>
      </c>
    </row>
    <row r="43">
      <c r="A43" s="2" t="inlineStr">
        <is>
          <t>000004811084</t>
        </is>
      </c>
      <c r="B43" t="inlineStr">
        <is>
          <t>223f</t>
        </is>
      </c>
      <c r="C43" t="inlineStr">
        <is>
          <t>RP</t>
        </is>
      </c>
      <c r="D43" t="inlineStr">
        <is>
          <t>BERKADIA COMMERCIAL MORTGAGE, LLC</t>
        </is>
      </c>
      <c r="E43" t="n">
        <v>2021</v>
      </c>
      <c r="F43" t="inlineStr">
        <is>
          <t>202602</t>
        </is>
      </c>
      <c r="G43" s="9" t="n">
        <v>6267503.13</v>
      </c>
      <c r="H43" s="13" t="n">
        <v>2.15</v>
      </c>
      <c r="I43" s="14" t="n">
        <v>447</v>
      </c>
      <c r="J43" s="14" t="n">
        <v>8</v>
      </c>
      <c r="K43" t="n">
        <v>51</v>
      </c>
      <c r="L43" t="n">
        <v>205703</v>
      </c>
      <c r="M43" t="inlineStr"/>
      <c r="N43" t="n">
        <v>0</v>
      </c>
      <c r="O43" s="8" t="n">
        <v>0</v>
      </c>
      <c r="P43">
        <f>IF(ISNUMBER(SEARCH("232",B43)),"232",IF(ISNUMBER(SEARCH("538",B43)),"538",IF(ISNUMBER(SEARCH("223a7",B43)),"223a7",IF(ISNUMBER(SEARCH("223f",B43)),"223f","OTHER"))))</f>
        <v/>
      </c>
      <c r="Q43">
        <f>IF(UPPER(C43)="NC","NC","RP")</f>
        <v/>
      </c>
      <c r="R43">
        <f>IF(G43&lt;5000000,"small",IF(G43&lt;25000000,"medium","large"))</f>
        <v/>
      </c>
      <c r="S43">
        <f>IF(K43&lt;36,"young",IF(K43&lt;120,"seasoned","aged"))</f>
        <v/>
      </c>
      <c r="T43">
        <f>P43&amp;"|"&amp;Q43&amp;"|"&amp;R43&amp;"|"&amp;S43</f>
        <v/>
      </c>
      <c r="U43" s="14">
        <f>H43*100-I43</f>
        <v/>
      </c>
      <c r="V43" s="14">
        <f>U43-12.5*(J43+1)</f>
        <v/>
      </c>
      <c r="W43" s="15">
        <f>IFERROR(VLOOKUP(T43,V8_COHORT_TABLE,2,FALSE),IFERROR(VLOOKUP(P43&amp;"|"&amp;Q43&amp;"|ALL|"&amp;S43,V8_COHORT_TABLE,2,FALSE),IFERROR(VLOOKUP(P43&amp;"|ALL|ALL|"&amp;S43,V8_COHORT_TABLE,2,FALSE),IFERROR(VLOOKUP(P43&amp;"|ALL|ALL|ALL",V8_COHORT_TABLE,2,FALSE),VLOOKUP("GLOBAL",V8_COHORT_TABLE,2,FALSE)))))</f>
        <v/>
      </c>
      <c r="X43" s="15">
        <f>IFERROR(VLOOKUP(T43,V8_COHORT_TABLE,3,FALSE),IFERROR(VLOOKUP(P43&amp;"|"&amp;Q43&amp;"|ALL|"&amp;S43,V8_COHORT_TABLE,3,FALSE),IFERROR(VLOOKUP(P43&amp;"|ALL|ALL|"&amp;S43,V8_COHORT_TABLE,3,FALSE),IFERROR(VLOOKUP(P43&amp;"|ALL|ALL|ALL",V8_COHORT_TABLE,3,FALSE),VLOOKUP("GLOBAL",V8_COHORT_TABLE,3,FALSE)))))</f>
        <v/>
      </c>
      <c r="Y43" s="15">
        <f>IFERROR(VLOOKUP(T43,V8_COHORT_TABLE,4,FALSE),IFERROR(VLOOKUP(P43&amp;"|"&amp;Q43&amp;"|ALL|"&amp;S43,V8_COHORT_TABLE,4,FALSE),IFERROR(VLOOKUP(P43&amp;"|ALL|ALL|"&amp;S43,V8_COHORT_TABLE,4,FALSE),IFERROR(VLOOKUP(P43&amp;"|ALL|ALL|ALL",V8_COHORT_TABLE,4,FALSE),VLOOKUP("GLOBAL",V8_COHORT_TABLE,4,FALSE)))))</f>
        <v/>
      </c>
      <c r="Z43" s="15">
        <f>IFERROR(VLOOKUP(T43,V8_COHORT_TABLE,5,FALSE),IFERROR(VLOOKUP(P43&amp;"|"&amp;Q43&amp;"|ALL|"&amp;S43,V8_COHORT_TABLE,5,FALSE),IFERROR(VLOOKUP(P43&amp;"|ALL|ALL|"&amp;S43,V8_COHORT_TABLE,5,FALSE),IFERROR(VLOOKUP(P43&amp;"|ALL|ALL|ALL",V8_COHORT_TABLE,5,FALSE),VLOOKUP("GLOBAL",V8_COHORT_TABLE,5,FALSE)))))</f>
        <v/>
      </c>
      <c r="AA43" s="15">
        <f>W43+X43/(1+EXP(-(V43-Y43)/Z43))</f>
        <v/>
      </c>
      <c r="AB43" s="15">
        <f>IFERROR(VLOOKUP(T43,V8_COHORT_TABLE,6,FALSE),IFERROR(VLOOKUP(P43&amp;"|"&amp;Q43&amp;"|ALL|"&amp;S43,V8_COHORT_TABLE,6,FALSE),IFERROR(VLOOKUP(P43&amp;"|ALL|ALL|"&amp;S43,V8_COHORT_TABLE,6,FALSE),IFERROR(VLOOKUP(P43&amp;"|ALL|ALL|ALL",V8_COHORT_TABLE,6,FALSE),VLOOKUP("GLOBAL",V8_COHORT_TABLE,6,FALSE)))))</f>
        <v/>
      </c>
      <c r="AC43" s="15">
        <f>IFERROR(VLOOKUP(T43,V8_COHORT_TABLE,7,FALSE),IFERROR(VLOOKUP(P43&amp;"|"&amp;Q43&amp;"|ALL|"&amp;S43,V8_COHORT_TABLE,7,FALSE),IFERROR(VLOOKUP(P43&amp;"|ALL|ALL|"&amp;S43,V8_COHORT_TABLE,7,FALSE),IFERROR(VLOOKUP(P43&amp;"|ALL|ALL|ALL",V8_COHORT_TABLE,7,FALSE),VLOOKUP("GLOBAL",V8_COHORT_TABLE,7,FALSE)))))</f>
        <v/>
      </c>
      <c r="AD43" s="15">
        <f>IFERROR(VLOOKUP(T43,V8_COHORT_TABLE,8,FALSE),IFERROR(VLOOKUP(P43&amp;"|"&amp;Q43&amp;"|ALL|"&amp;S43,V8_COHORT_TABLE,8,FALSE),IFERROR(VLOOKUP(P43&amp;"|ALL|ALL|"&amp;S43,V8_COHORT_TABLE,8,FALSE),IFERROR(VLOOKUP(P43&amp;"|ALL|ALL|ALL",V8_COHORT_TABLE,8,FALSE),VLOOKUP("GLOBAL",V8_COHORT_TABLE,8,FALSE)))))</f>
        <v/>
      </c>
      <c r="AE43" s="15">
        <f>IFERROR(VLOOKUP(T43,V8_COHORT_TABLE,9,FALSE),IFERROR(VLOOKUP(P43&amp;"|"&amp;Q43&amp;"|ALL|"&amp;S43,V8_COHORT_TABLE,9,FALSE),IFERROR(VLOOKUP(P43&amp;"|ALL|ALL|"&amp;S43,V8_COHORT_TABLE,9,FALSE),IFERROR(VLOOKUP(P43&amp;"|ALL|ALL|ALL",V8_COHORT_TABLE,9,FALSE),VLOOKUP("GLOBAL",V8_COHORT_TABLE,9,FALSE)))))</f>
        <v/>
      </c>
      <c r="AF43" s="8">
        <f>IF(K43&lt;=0,AB43,IF(K43&gt;=240,AE43,IF(K43&lt;=24,AB43+(K43-0)/24*(AC43-AB43),IF(K43&lt;=96,AC43+(K43-24)/72*(AD43-AC43),AD43+(K43-96)/144*(AE43-AD43)))))</f>
        <v/>
      </c>
      <c r="AG43" s="8">
        <f>IF(IF(OR(L43="",NOT(ISNUMBER(L43))),360,MAX(0,MIN(480,(INT(L43/100)-INT(VALUE(F43)/100))*12+MOD(L43,100)-MOD(VALUE(F43),100))))&gt;0,1+V8_MTY_AMP*MAX(0,(V8_MTY_CUTOFF-(IF(OR(L43="",NOT(ISNUMBER(L43))),360,MAX(0,MIN(480,(INT(L43/100)-INT(VALUE(F43)/100))*12+MOD(L43,100)-MOD(VALUE(F43),100))))))/V8_MTY_CUTOFF),1)</f>
        <v/>
      </c>
      <c r="AH43" s="8">
        <f>IF(AND(IF(OR(M43="",NOT(ISNUMBER(M43))),0,MAX(0,MIN(24,(INT(VALUE(F43)/100)-INT(M43/100))*12+MOD(VALUE(F43),100)-MOD(M43,100))))&gt;0,IF(OR(M43="",NOT(ISNUMBER(M43))),0,MAX(0,MIN(24,(INT(VALUE(F43)/100)-INT(M43/100))*12+MOD(VALUE(F43),100)-MOD(M43,100))))&lt;=12),1+V8_LOCKOUT_AMP*EXP(-(IF(OR(M43="",NOT(ISNUMBER(M43))),0,MAX(0,MIN(24,(INT(VALUE(F43)/100)-INT(M43/100))*12+MOD(VALUE(F43),100)-MOD(M43,100)))))/V8_LOCKOUT_TAU),1)</f>
        <v/>
      </c>
      <c r="AI43" s="8">
        <f>MAX(V8_BURN_FLOOR,1-V8_BURN_SLOPE*MIN(1,MAX(0,O43)))</f>
        <v/>
      </c>
      <c r="AJ43" s="15">
        <f>MIN(AA43*AF43*AG43*AH43*AI43,0.2)</f>
        <v/>
      </c>
      <c r="AK43" s="16">
        <f>1-(1-AJ43)^12</f>
        <v/>
      </c>
    </row>
    <row r="44">
      <c r="A44" s="2" t="inlineStr">
        <is>
          <t>000006722139</t>
        </is>
      </c>
      <c r="B44" t="inlineStr">
        <is>
          <t>232</t>
        </is>
      </c>
      <c r="C44" t="inlineStr">
        <is>
          <t>RP</t>
        </is>
      </c>
      <c r="D44" t="inlineStr">
        <is>
          <t>BERKADIA COMMERCIAL MORTGAGE, LLC</t>
        </is>
      </c>
      <c r="E44" t="n">
        <v>2013</v>
      </c>
      <c r="F44" t="inlineStr">
        <is>
          <t>202602</t>
        </is>
      </c>
      <c r="G44" s="9" t="n">
        <v>8404084.77</v>
      </c>
      <c r="H44" s="13" t="n">
        <v>2.95</v>
      </c>
      <c r="I44" s="14" t="n">
        <v>447</v>
      </c>
      <c r="J44" s="14" t="n">
        <v>6</v>
      </c>
      <c r="K44" t="n">
        <v>148</v>
      </c>
      <c r="L44" t="n">
        <v>204508</v>
      </c>
      <c r="M44" t="inlineStr"/>
      <c r="N44" t="n">
        <v>14</v>
      </c>
      <c r="O44" s="8" t="n">
        <v>0.0945945945945946</v>
      </c>
      <c r="P44">
        <f>IF(ISNUMBER(SEARCH("232",B44)),"232",IF(ISNUMBER(SEARCH("538",B44)),"538",IF(ISNUMBER(SEARCH("223a7",B44)),"223a7",IF(ISNUMBER(SEARCH("223f",B44)),"223f","OTHER"))))</f>
        <v/>
      </c>
      <c r="Q44">
        <f>IF(UPPER(C44)="NC","NC","RP")</f>
        <v/>
      </c>
      <c r="R44">
        <f>IF(G44&lt;5000000,"small",IF(G44&lt;25000000,"medium","large"))</f>
        <v/>
      </c>
      <c r="S44">
        <f>IF(K44&lt;36,"young",IF(K44&lt;120,"seasoned","aged"))</f>
        <v/>
      </c>
      <c r="T44">
        <f>P44&amp;"|"&amp;Q44&amp;"|"&amp;R44&amp;"|"&amp;S44</f>
        <v/>
      </c>
      <c r="U44" s="14">
        <f>H44*100-I44</f>
        <v/>
      </c>
      <c r="V44" s="14">
        <f>U44-12.5*(J44+1)</f>
        <v/>
      </c>
      <c r="W44" s="15">
        <f>IFERROR(VLOOKUP(T44,V8_COHORT_TABLE,2,FALSE),IFERROR(VLOOKUP(P44&amp;"|"&amp;Q44&amp;"|ALL|"&amp;S44,V8_COHORT_TABLE,2,FALSE),IFERROR(VLOOKUP(P44&amp;"|ALL|ALL|"&amp;S44,V8_COHORT_TABLE,2,FALSE),IFERROR(VLOOKUP(P44&amp;"|ALL|ALL|ALL",V8_COHORT_TABLE,2,FALSE),VLOOKUP("GLOBAL",V8_COHORT_TABLE,2,FALSE)))))</f>
        <v/>
      </c>
      <c r="X44" s="15">
        <f>IFERROR(VLOOKUP(T44,V8_COHORT_TABLE,3,FALSE),IFERROR(VLOOKUP(P44&amp;"|"&amp;Q44&amp;"|ALL|"&amp;S44,V8_COHORT_TABLE,3,FALSE),IFERROR(VLOOKUP(P44&amp;"|ALL|ALL|"&amp;S44,V8_COHORT_TABLE,3,FALSE),IFERROR(VLOOKUP(P44&amp;"|ALL|ALL|ALL",V8_COHORT_TABLE,3,FALSE),VLOOKUP("GLOBAL",V8_COHORT_TABLE,3,FALSE)))))</f>
        <v/>
      </c>
      <c r="Y44" s="15">
        <f>IFERROR(VLOOKUP(T44,V8_COHORT_TABLE,4,FALSE),IFERROR(VLOOKUP(P44&amp;"|"&amp;Q44&amp;"|ALL|"&amp;S44,V8_COHORT_TABLE,4,FALSE),IFERROR(VLOOKUP(P44&amp;"|ALL|ALL|"&amp;S44,V8_COHORT_TABLE,4,FALSE),IFERROR(VLOOKUP(P44&amp;"|ALL|ALL|ALL",V8_COHORT_TABLE,4,FALSE),VLOOKUP("GLOBAL",V8_COHORT_TABLE,4,FALSE)))))</f>
        <v/>
      </c>
      <c r="Z44" s="15">
        <f>IFERROR(VLOOKUP(T44,V8_COHORT_TABLE,5,FALSE),IFERROR(VLOOKUP(P44&amp;"|"&amp;Q44&amp;"|ALL|"&amp;S44,V8_COHORT_TABLE,5,FALSE),IFERROR(VLOOKUP(P44&amp;"|ALL|ALL|"&amp;S44,V8_COHORT_TABLE,5,FALSE),IFERROR(VLOOKUP(P44&amp;"|ALL|ALL|ALL",V8_COHORT_TABLE,5,FALSE),VLOOKUP("GLOBAL",V8_COHORT_TABLE,5,FALSE)))))</f>
        <v/>
      </c>
      <c r="AA44" s="15">
        <f>W44+X44/(1+EXP(-(V44-Y44)/Z44))</f>
        <v/>
      </c>
      <c r="AB44" s="15">
        <f>IFERROR(VLOOKUP(T44,V8_COHORT_TABLE,6,FALSE),IFERROR(VLOOKUP(P44&amp;"|"&amp;Q44&amp;"|ALL|"&amp;S44,V8_COHORT_TABLE,6,FALSE),IFERROR(VLOOKUP(P44&amp;"|ALL|ALL|"&amp;S44,V8_COHORT_TABLE,6,FALSE),IFERROR(VLOOKUP(P44&amp;"|ALL|ALL|ALL",V8_COHORT_TABLE,6,FALSE),VLOOKUP("GLOBAL",V8_COHORT_TABLE,6,FALSE)))))</f>
        <v/>
      </c>
      <c r="AC44" s="15">
        <f>IFERROR(VLOOKUP(T44,V8_COHORT_TABLE,7,FALSE),IFERROR(VLOOKUP(P44&amp;"|"&amp;Q44&amp;"|ALL|"&amp;S44,V8_COHORT_TABLE,7,FALSE),IFERROR(VLOOKUP(P44&amp;"|ALL|ALL|"&amp;S44,V8_COHORT_TABLE,7,FALSE),IFERROR(VLOOKUP(P44&amp;"|ALL|ALL|ALL",V8_COHORT_TABLE,7,FALSE),VLOOKUP("GLOBAL",V8_COHORT_TABLE,7,FALSE)))))</f>
        <v/>
      </c>
      <c r="AD44" s="15">
        <f>IFERROR(VLOOKUP(T44,V8_COHORT_TABLE,8,FALSE),IFERROR(VLOOKUP(P44&amp;"|"&amp;Q44&amp;"|ALL|"&amp;S44,V8_COHORT_TABLE,8,FALSE),IFERROR(VLOOKUP(P44&amp;"|ALL|ALL|"&amp;S44,V8_COHORT_TABLE,8,FALSE),IFERROR(VLOOKUP(P44&amp;"|ALL|ALL|ALL",V8_COHORT_TABLE,8,FALSE),VLOOKUP("GLOBAL",V8_COHORT_TABLE,8,FALSE)))))</f>
        <v/>
      </c>
      <c r="AE44" s="15">
        <f>IFERROR(VLOOKUP(T44,V8_COHORT_TABLE,9,FALSE),IFERROR(VLOOKUP(P44&amp;"|"&amp;Q44&amp;"|ALL|"&amp;S44,V8_COHORT_TABLE,9,FALSE),IFERROR(VLOOKUP(P44&amp;"|ALL|ALL|"&amp;S44,V8_COHORT_TABLE,9,FALSE),IFERROR(VLOOKUP(P44&amp;"|ALL|ALL|ALL",V8_COHORT_TABLE,9,FALSE),VLOOKUP("GLOBAL",V8_COHORT_TABLE,9,FALSE)))))</f>
        <v/>
      </c>
      <c r="AF44" s="8">
        <f>IF(K44&lt;=0,AB44,IF(K44&gt;=240,AE44,IF(K44&lt;=24,AB44+(K44-0)/24*(AC44-AB44),IF(K44&lt;=96,AC44+(K44-24)/72*(AD44-AC44),AD44+(K44-96)/144*(AE44-AD44)))))</f>
        <v/>
      </c>
      <c r="AG44" s="8">
        <f>IF(IF(OR(L44="",NOT(ISNUMBER(L44))),360,MAX(0,MIN(480,(INT(L44/100)-INT(VALUE(F44)/100))*12+MOD(L44,100)-MOD(VALUE(F44),100))))&gt;0,1+V8_MTY_AMP*MAX(0,(V8_MTY_CUTOFF-(IF(OR(L44="",NOT(ISNUMBER(L44))),360,MAX(0,MIN(480,(INT(L44/100)-INT(VALUE(F44)/100))*12+MOD(L44,100)-MOD(VALUE(F44),100))))))/V8_MTY_CUTOFF),1)</f>
        <v/>
      </c>
      <c r="AH44" s="8">
        <f>IF(AND(IF(OR(M44="",NOT(ISNUMBER(M44))),0,MAX(0,MIN(24,(INT(VALUE(F44)/100)-INT(M44/100))*12+MOD(VALUE(F44),100)-MOD(M44,100))))&gt;0,IF(OR(M44="",NOT(ISNUMBER(M44))),0,MAX(0,MIN(24,(INT(VALUE(F44)/100)-INT(M44/100))*12+MOD(VALUE(F44),100)-MOD(M44,100))))&lt;=12),1+V8_LOCKOUT_AMP*EXP(-(IF(OR(M44="",NOT(ISNUMBER(M44))),0,MAX(0,MIN(24,(INT(VALUE(F44)/100)-INT(M44/100))*12+MOD(VALUE(F44),100)-MOD(M44,100)))))/V8_LOCKOUT_TAU),1)</f>
        <v/>
      </c>
      <c r="AI44" s="8">
        <f>MAX(V8_BURN_FLOOR,1-V8_BURN_SLOPE*MIN(1,MAX(0,O44)))</f>
        <v/>
      </c>
      <c r="AJ44" s="15">
        <f>MIN(AA44*AF44*AG44*AH44*AI44,0.2)</f>
        <v/>
      </c>
      <c r="AK44" s="16">
        <f>1-(1-AJ44)^12</f>
        <v/>
      </c>
    </row>
    <row r="45">
      <c r="A45" s="2" t="inlineStr">
        <is>
          <t>000012122239</t>
        </is>
      </c>
      <c r="B45" t="inlineStr">
        <is>
          <t>232</t>
        </is>
      </c>
      <c r="C45" t="inlineStr">
        <is>
          <t>RP</t>
        </is>
      </c>
      <c r="D45" t="inlineStr">
        <is>
          <t>BERKADIA COMMERCIAL MORTGAGE, LLC</t>
        </is>
      </c>
      <c r="E45" t="n">
        <v>2021</v>
      </c>
      <c r="F45" t="inlineStr">
        <is>
          <t>202602</t>
        </is>
      </c>
      <c r="G45" s="9" t="n">
        <v>4130019.17</v>
      </c>
      <c r="H45" s="13" t="n">
        <v>2.58</v>
      </c>
      <c r="I45" s="14" t="n">
        <v>447</v>
      </c>
      <c r="J45" s="14" t="n">
        <v>8</v>
      </c>
      <c r="K45" t="n">
        <v>53</v>
      </c>
      <c r="L45" t="n">
        <v>204206</v>
      </c>
      <c r="M45" t="inlineStr"/>
      <c r="N45" t="n">
        <v>0</v>
      </c>
      <c r="O45" s="8" t="n">
        <v>0</v>
      </c>
      <c r="P45">
        <f>IF(ISNUMBER(SEARCH("232",B45)),"232",IF(ISNUMBER(SEARCH("538",B45)),"538",IF(ISNUMBER(SEARCH("223a7",B45)),"223a7",IF(ISNUMBER(SEARCH("223f",B45)),"223f","OTHER"))))</f>
        <v/>
      </c>
      <c r="Q45">
        <f>IF(UPPER(C45)="NC","NC","RP")</f>
        <v/>
      </c>
      <c r="R45">
        <f>IF(G45&lt;5000000,"small",IF(G45&lt;25000000,"medium","large"))</f>
        <v/>
      </c>
      <c r="S45">
        <f>IF(K45&lt;36,"young",IF(K45&lt;120,"seasoned","aged"))</f>
        <v/>
      </c>
      <c r="T45">
        <f>P45&amp;"|"&amp;Q45&amp;"|"&amp;R45&amp;"|"&amp;S45</f>
        <v/>
      </c>
      <c r="U45" s="14">
        <f>H45*100-I45</f>
        <v/>
      </c>
      <c r="V45" s="14">
        <f>U45-12.5*(J45+1)</f>
        <v/>
      </c>
      <c r="W45" s="15">
        <f>IFERROR(VLOOKUP(T45,V8_COHORT_TABLE,2,FALSE),IFERROR(VLOOKUP(P45&amp;"|"&amp;Q45&amp;"|ALL|"&amp;S45,V8_COHORT_TABLE,2,FALSE),IFERROR(VLOOKUP(P45&amp;"|ALL|ALL|"&amp;S45,V8_COHORT_TABLE,2,FALSE),IFERROR(VLOOKUP(P45&amp;"|ALL|ALL|ALL",V8_COHORT_TABLE,2,FALSE),VLOOKUP("GLOBAL",V8_COHORT_TABLE,2,FALSE)))))</f>
        <v/>
      </c>
      <c r="X45" s="15">
        <f>IFERROR(VLOOKUP(T45,V8_COHORT_TABLE,3,FALSE),IFERROR(VLOOKUP(P45&amp;"|"&amp;Q45&amp;"|ALL|"&amp;S45,V8_COHORT_TABLE,3,FALSE),IFERROR(VLOOKUP(P45&amp;"|ALL|ALL|"&amp;S45,V8_COHORT_TABLE,3,FALSE),IFERROR(VLOOKUP(P45&amp;"|ALL|ALL|ALL",V8_COHORT_TABLE,3,FALSE),VLOOKUP("GLOBAL",V8_COHORT_TABLE,3,FALSE)))))</f>
        <v/>
      </c>
      <c r="Y45" s="15">
        <f>IFERROR(VLOOKUP(T45,V8_COHORT_TABLE,4,FALSE),IFERROR(VLOOKUP(P45&amp;"|"&amp;Q45&amp;"|ALL|"&amp;S45,V8_COHORT_TABLE,4,FALSE),IFERROR(VLOOKUP(P45&amp;"|ALL|ALL|"&amp;S45,V8_COHORT_TABLE,4,FALSE),IFERROR(VLOOKUP(P45&amp;"|ALL|ALL|ALL",V8_COHORT_TABLE,4,FALSE),VLOOKUP("GLOBAL",V8_COHORT_TABLE,4,FALSE)))))</f>
        <v/>
      </c>
      <c r="Z45" s="15">
        <f>IFERROR(VLOOKUP(T45,V8_COHORT_TABLE,5,FALSE),IFERROR(VLOOKUP(P45&amp;"|"&amp;Q45&amp;"|ALL|"&amp;S45,V8_COHORT_TABLE,5,FALSE),IFERROR(VLOOKUP(P45&amp;"|ALL|ALL|"&amp;S45,V8_COHORT_TABLE,5,FALSE),IFERROR(VLOOKUP(P45&amp;"|ALL|ALL|ALL",V8_COHORT_TABLE,5,FALSE),VLOOKUP("GLOBAL",V8_COHORT_TABLE,5,FALSE)))))</f>
        <v/>
      </c>
      <c r="AA45" s="15">
        <f>W45+X45/(1+EXP(-(V45-Y45)/Z45))</f>
        <v/>
      </c>
      <c r="AB45" s="15">
        <f>IFERROR(VLOOKUP(T45,V8_COHORT_TABLE,6,FALSE),IFERROR(VLOOKUP(P45&amp;"|"&amp;Q45&amp;"|ALL|"&amp;S45,V8_COHORT_TABLE,6,FALSE),IFERROR(VLOOKUP(P45&amp;"|ALL|ALL|"&amp;S45,V8_COHORT_TABLE,6,FALSE),IFERROR(VLOOKUP(P45&amp;"|ALL|ALL|ALL",V8_COHORT_TABLE,6,FALSE),VLOOKUP("GLOBAL",V8_COHORT_TABLE,6,FALSE)))))</f>
        <v/>
      </c>
      <c r="AC45" s="15">
        <f>IFERROR(VLOOKUP(T45,V8_COHORT_TABLE,7,FALSE),IFERROR(VLOOKUP(P45&amp;"|"&amp;Q45&amp;"|ALL|"&amp;S45,V8_COHORT_TABLE,7,FALSE),IFERROR(VLOOKUP(P45&amp;"|ALL|ALL|"&amp;S45,V8_COHORT_TABLE,7,FALSE),IFERROR(VLOOKUP(P45&amp;"|ALL|ALL|ALL",V8_COHORT_TABLE,7,FALSE),VLOOKUP("GLOBAL",V8_COHORT_TABLE,7,FALSE)))))</f>
        <v/>
      </c>
      <c r="AD45" s="15">
        <f>IFERROR(VLOOKUP(T45,V8_COHORT_TABLE,8,FALSE),IFERROR(VLOOKUP(P45&amp;"|"&amp;Q45&amp;"|ALL|"&amp;S45,V8_COHORT_TABLE,8,FALSE),IFERROR(VLOOKUP(P45&amp;"|ALL|ALL|"&amp;S45,V8_COHORT_TABLE,8,FALSE),IFERROR(VLOOKUP(P45&amp;"|ALL|ALL|ALL",V8_COHORT_TABLE,8,FALSE),VLOOKUP("GLOBAL",V8_COHORT_TABLE,8,FALSE)))))</f>
        <v/>
      </c>
      <c r="AE45" s="15">
        <f>IFERROR(VLOOKUP(T45,V8_COHORT_TABLE,9,FALSE),IFERROR(VLOOKUP(P45&amp;"|"&amp;Q45&amp;"|ALL|"&amp;S45,V8_COHORT_TABLE,9,FALSE),IFERROR(VLOOKUP(P45&amp;"|ALL|ALL|"&amp;S45,V8_COHORT_TABLE,9,FALSE),IFERROR(VLOOKUP(P45&amp;"|ALL|ALL|ALL",V8_COHORT_TABLE,9,FALSE),VLOOKUP("GLOBAL",V8_COHORT_TABLE,9,FALSE)))))</f>
        <v/>
      </c>
      <c r="AF45" s="8">
        <f>IF(K45&lt;=0,AB45,IF(K45&gt;=240,AE45,IF(K45&lt;=24,AB45+(K45-0)/24*(AC45-AB45),IF(K45&lt;=96,AC45+(K45-24)/72*(AD45-AC45),AD45+(K45-96)/144*(AE45-AD45)))))</f>
        <v/>
      </c>
      <c r="AG45" s="8">
        <f>IF(IF(OR(L45="",NOT(ISNUMBER(L45))),360,MAX(0,MIN(480,(INT(L45/100)-INT(VALUE(F45)/100))*12+MOD(L45,100)-MOD(VALUE(F45),100))))&gt;0,1+V8_MTY_AMP*MAX(0,(V8_MTY_CUTOFF-(IF(OR(L45="",NOT(ISNUMBER(L45))),360,MAX(0,MIN(480,(INT(L45/100)-INT(VALUE(F45)/100))*12+MOD(L45,100)-MOD(VALUE(F45),100))))))/V8_MTY_CUTOFF),1)</f>
        <v/>
      </c>
      <c r="AH45" s="8">
        <f>IF(AND(IF(OR(M45="",NOT(ISNUMBER(M45))),0,MAX(0,MIN(24,(INT(VALUE(F45)/100)-INT(M45/100))*12+MOD(VALUE(F45),100)-MOD(M45,100))))&gt;0,IF(OR(M45="",NOT(ISNUMBER(M45))),0,MAX(0,MIN(24,(INT(VALUE(F45)/100)-INT(M45/100))*12+MOD(VALUE(F45),100)-MOD(M45,100))))&lt;=12),1+V8_LOCKOUT_AMP*EXP(-(IF(OR(M45="",NOT(ISNUMBER(M45))),0,MAX(0,MIN(24,(INT(VALUE(F45)/100)-INT(M45/100))*12+MOD(VALUE(F45),100)-MOD(M45,100)))))/V8_LOCKOUT_TAU),1)</f>
        <v/>
      </c>
      <c r="AI45" s="8">
        <f>MAX(V8_BURN_FLOOR,1-V8_BURN_SLOPE*MIN(1,MAX(0,O45)))</f>
        <v/>
      </c>
      <c r="AJ45" s="15">
        <f>MIN(AA45*AF45*AG45*AH45*AI45,0.2)</f>
        <v/>
      </c>
      <c r="AK45" s="16">
        <f>1-(1-AJ45)^12</f>
        <v/>
      </c>
    </row>
    <row r="46">
      <c r="A46" s="2" t="inlineStr">
        <is>
          <t>000005111395</t>
        </is>
      </c>
      <c r="B46" t="inlineStr">
        <is>
          <t>223f</t>
        </is>
      </c>
      <c r="C46" t="inlineStr">
        <is>
          <t>RP</t>
        </is>
      </c>
      <c r="D46" t="inlineStr">
        <is>
          <t>BERKADIA COMMERCIAL MORTGAGE, LLC</t>
        </is>
      </c>
      <c r="E46" t="n">
        <v>2017</v>
      </c>
      <c r="F46" t="inlineStr">
        <is>
          <t>202602</t>
        </is>
      </c>
      <c r="G46" s="9" t="n">
        <v>6113588.54</v>
      </c>
      <c r="H46" s="13" t="n">
        <v>3.13</v>
      </c>
      <c r="I46" s="14" t="n">
        <v>447</v>
      </c>
      <c r="J46" s="14" t="n">
        <v>4</v>
      </c>
      <c r="K46" t="n">
        <v>98</v>
      </c>
      <c r="L46" t="n">
        <v>205303</v>
      </c>
      <c r="M46" t="inlineStr"/>
      <c r="N46" t="n">
        <v>19</v>
      </c>
      <c r="O46" s="8" t="n">
        <v>0.1938775510204082</v>
      </c>
      <c r="P46">
        <f>IF(ISNUMBER(SEARCH("232",B46)),"232",IF(ISNUMBER(SEARCH("538",B46)),"538",IF(ISNUMBER(SEARCH("223a7",B46)),"223a7",IF(ISNUMBER(SEARCH("223f",B46)),"223f","OTHER"))))</f>
        <v/>
      </c>
      <c r="Q46">
        <f>IF(UPPER(C46)="NC","NC","RP")</f>
        <v/>
      </c>
      <c r="R46">
        <f>IF(G46&lt;5000000,"small",IF(G46&lt;25000000,"medium","large"))</f>
        <v/>
      </c>
      <c r="S46">
        <f>IF(K46&lt;36,"young",IF(K46&lt;120,"seasoned","aged"))</f>
        <v/>
      </c>
      <c r="T46">
        <f>P46&amp;"|"&amp;Q46&amp;"|"&amp;R46&amp;"|"&amp;S46</f>
        <v/>
      </c>
      <c r="U46" s="14">
        <f>H46*100-I46</f>
        <v/>
      </c>
      <c r="V46" s="14">
        <f>U46-12.5*(J46+1)</f>
        <v/>
      </c>
      <c r="W46" s="15">
        <f>IFERROR(VLOOKUP(T46,V8_COHORT_TABLE,2,FALSE),IFERROR(VLOOKUP(P46&amp;"|"&amp;Q46&amp;"|ALL|"&amp;S46,V8_COHORT_TABLE,2,FALSE),IFERROR(VLOOKUP(P46&amp;"|ALL|ALL|"&amp;S46,V8_COHORT_TABLE,2,FALSE),IFERROR(VLOOKUP(P46&amp;"|ALL|ALL|ALL",V8_COHORT_TABLE,2,FALSE),VLOOKUP("GLOBAL",V8_COHORT_TABLE,2,FALSE)))))</f>
        <v/>
      </c>
      <c r="X46" s="15">
        <f>IFERROR(VLOOKUP(T46,V8_COHORT_TABLE,3,FALSE),IFERROR(VLOOKUP(P46&amp;"|"&amp;Q46&amp;"|ALL|"&amp;S46,V8_COHORT_TABLE,3,FALSE),IFERROR(VLOOKUP(P46&amp;"|ALL|ALL|"&amp;S46,V8_COHORT_TABLE,3,FALSE),IFERROR(VLOOKUP(P46&amp;"|ALL|ALL|ALL",V8_COHORT_TABLE,3,FALSE),VLOOKUP("GLOBAL",V8_COHORT_TABLE,3,FALSE)))))</f>
        <v/>
      </c>
      <c r="Y46" s="15">
        <f>IFERROR(VLOOKUP(T46,V8_COHORT_TABLE,4,FALSE),IFERROR(VLOOKUP(P46&amp;"|"&amp;Q46&amp;"|ALL|"&amp;S46,V8_COHORT_TABLE,4,FALSE),IFERROR(VLOOKUP(P46&amp;"|ALL|ALL|"&amp;S46,V8_COHORT_TABLE,4,FALSE),IFERROR(VLOOKUP(P46&amp;"|ALL|ALL|ALL",V8_COHORT_TABLE,4,FALSE),VLOOKUP("GLOBAL",V8_COHORT_TABLE,4,FALSE)))))</f>
        <v/>
      </c>
      <c r="Z46" s="15">
        <f>IFERROR(VLOOKUP(T46,V8_COHORT_TABLE,5,FALSE),IFERROR(VLOOKUP(P46&amp;"|"&amp;Q46&amp;"|ALL|"&amp;S46,V8_COHORT_TABLE,5,FALSE),IFERROR(VLOOKUP(P46&amp;"|ALL|ALL|"&amp;S46,V8_COHORT_TABLE,5,FALSE),IFERROR(VLOOKUP(P46&amp;"|ALL|ALL|ALL",V8_COHORT_TABLE,5,FALSE),VLOOKUP("GLOBAL",V8_COHORT_TABLE,5,FALSE)))))</f>
        <v/>
      </c>
      <c r="AA46" s="15">
        <f>W46+X46/(1+EXP(-(V46-Y46)/Z46))</f>
        <v/>
      </c>
      <c r="AB46" s="15">
        <f>IFERROR(VLOOKUP(T46,V8_COHORT_TABLE,6,FALSE),IFERROR(VLOOKUP(P46&amp;"|"&amp;Q46&amp;"|ALL|"&amp;S46,V8_COHORT_TABLE,6,FALSE),IFERROR(VLOOKUP(P46&amp;"|ALL|ALL|"&amp;S46,V8_COHORT_TABLE,6,FALSE),IFERROR(VLOOKUP(P46&amp;"|ALL|ALL|ALL",V8_COHORT_TABLE,6,FALSE),VLOOKUP("GLOBAL",V8_COHORT_TABLE,6,FALSE)))))</f>
        <v/>
      </c>
      <c r="AC46" s="15">
        <f>IFERROR(VLOOKUP(T46,V8_COHORT_TABLE,7,FALSE),IFERROR(VLOOKUP(P46&amp;"|"&amp;Q46&amp;"|ALL|"&amp;S46,V8_COHORT_TABLE,7,FALSE),IFERROR(VLOOKUP(P46&amp;"|ALL|ALL|"&amp;S46,V8_COHORT_TABLE,7,FALSE),IFERROR(VLOOKUP(P46&amp;"|ALL|ALL|ALL",V8_COHORT_TABLE,7,FALSE),VLOOKUP("GLOBAL",V8_COHORT_TABLE,7,FALSE)))))</f>
        <v/>
      </c>
      <c r="AD46" s="15">
        <f>IFERROR(VLOOKUP(T46,V8_COHORT_TABLE,8,FALSE),IFERROR(VLOOKUP(P46&amp;"|"&amp;Q46&amp;"|ALL|"&amp;S46,V8_COHORT_TABLE,8,FALSE),IFERROR(VLOOKUP(P46&amp;"|ALL|ALL|"&amp;S46,V8_COHORT_TABLE,8,FALSE),IFERROR(VLOOKUP(P46&amp;"|ALL|ALL|ALL",V8_COHORT_TABLE,8,FALSE),VLOOKUP("GLOBAL",V8_COHORT_TABLE,8,FALSE)))))</f>
        <v/>
      </c>
      <c r="AE46" s="15">
        <f>IFERROR(VLOOKUP(T46,V8_COHORT_TABLE,9,FALSE),IFERROR(VLOOKUP(P46&amp;"|"&amp;Q46&amp;"|ALL|"&amp;S46,V8_COHORT_TABLE,9,FALSE),IFERROR(VLOOKUP(P46&amp;"|ALL|ALL|"&amp;S46,V8_COHORT_TABLE,9,FALSE),IFERROR(VLOOKUP(P46&amp;"|ALL|ALL|ALL",V8_COHORT_TABLE,9,FALSE),VLOOKUP("GLOBAL",V8_COHORT_TABLE,9,FALSE)))))</f>
        <v/>
      </c>
      <c r="AF46" s="8">
        <f>IF(K46&lt;=0,AB46,IF(K46&gt;=240,AE46,IF(K46&lt;=24,AB46+(K46-0)/24*(AC46-AB46),IF(K46&lt;=96,AC46+(K46-24)/72*(AD46-AC46),AD46+(K46-96)/144*(AE46-AD46)))))</f>
        <v/>
      </c>
      <c r="AG46" s="8">
        <f>IF(IF(OR(L46="",NOT(ISNUMBER(L46))),360,MAX(0,MIN(480,(INT(L46/100)-INT(VALUE(F46)/100))*12+MOD(L46,100)-MOD(VALUE(F46),100))))&gt;0,1+V8_MTY_AMP*MAX(0,(V8_MTY_CUTOFF-(IF(OR(L46="",NOT(ISNUMBER(L46))),360,MAX(0,MIN(480,(INT(L46/100)-INT(VALUE(F46)/100))*12+MOD(L46,100)-MOD(VALUE(F46),100))))))/V8_MTY_CUTOFF),1)</f>
        <v/>
      </c>
      <c r="AH46" s="8">
        <f>IF(AND(IF(OR(M46="",NOT(ISNUMBER(M46))),0,MAX(0,MIN(24,(INT(VALUE(F46)/100)-INT(M46/100))*12+MOD(VALUE(F46),100)-MOD(M46,100))))&gt;0,IF(OR(M46="",NOT(ISNUMBER(M46))),0,MAX(0,MIN(24,(INT(VALUE(F46)/100)-INT(M46/100))*12+MOD(VALUE(F46),100)-MOD(M46,100))))&lt;=12),1+V8_LOCKOUT_AMP*EXP(-(IF(OR(M46="",NOT(ISNUMBER(M46))),0,MAX(0,MIN(24,(INT(VALUE(F46)/100)-INT(M46/100))*12+MOD(VALUE(F46),100)-MOD(M46,100)))))/V8_LOCKOUT_TAU),1)</f>
        <v/>
      </c>
      <c r="AI46" s="8">
        <f>MAX(V8_BURN_FLOOR,1-V8_BURN_SLOPE*MIN(1,MAX(0,O46)))</f>
        <v/>
      </c>
      <c r="AJ46" s="15">
        <f>MIN(AA46*AF46*AG46*AH46*AI46,0.2)</f>
        <v/>
      </c>
      <c r="AK46" s="16">
        <f>1-(1-AJ46)^12</f>
        <v/>
      </c>
    </row>
    <row r="47">
      <c r="A47" s="2" t="inlineStr">
        <is>
          <t>000007311922</t>
        </is>
      </c>
      <c r="B47" t="inlineStr">
        <is>
          <t>221d4</t>
        </is>
      </c>
      <c r="C47" t="inlineStr">
        <is>
          <t>RP</t>
        </is>
      </c>
      <c r="D47" t="inlineStr">
        <is>
          <t>BERKADIA COMMERCIAL MORTGAGE, LLC</t>
        </is>
      </c>
      <c r="E47" t="n">
        <v>2017</v>
      </c>
      <c r="F47" t="inlineStr">
        <is>
          <t>202602</t>
        </is>
      </c>
      <c r="G47" s="9" t="n">
        <v>137331.58</v>
      </c>
      <c r="H47" s="13" t="n">
        <v>4.25</v>
      </c>
      <c r="I47" s="14" t="n">
        <v>447</v>
      </c>
      <c r="J47" s="14" t="n">
        <v>3</v>
      </c>
      <c r="K47" t="n">
        <v>102</v>
      </c>
      <c r="L47" t="n">
        <v>204712</v>
      </c>
      <c r="M47" t="inlineStr"/>
      <c r="N47" t="n">
        <v>36</v>
      </c>
      <c r="O47" s="8" t="n">
        <v>0.3529411764705883</v>
      </c>
      <c r="P47">
        <f>IF(ISNUMBER(SEARCH("232",B47)),"232",IF(ISNUMBER(SEARCH("538",B47)),"538",IF(ISNUMBER(SEARCH("223a7",B47)),"223a7",IF(ISNUMBER(SEARCH("223f",B47)),"223f","OTHER"))))</f>
        <v/>
      </c>
      <c r="Q47">
        <f>IF(UPPER(C47)="NC","NC","RP")</f>
        <v/>
      </c>
      <c r="R47">
        <f>IF(G47&lt;5000000,"small",IF(G47&lt;25000000,"medium","large"))</f>
        <v/>
      </c>
      <c r="S47">
        <f>IF(K47&lt;36,"young",IF(K47&lt;120,"seasoned","aged"))</f>
        <v/>
      </c>
      <c r="T47">
        <f>P47&amp;"|"&amp;Q47&amp;"|"&amp;R47&amp;"|"&amp;S47</f>
        <v/>
      </c>
      <c r="U47" s="14">
        <f>H47*100-I47</f>
        <v/>
      </c>
      <c r="V47" s="14">
        <f>U47-12.5*(J47+1)</f>
        <v/>
      </c>
      <c r="W47" s="15">
        <f>IFERROR(VLOOKUP(T47,V8_COHORT_TABLE,2,FALSE),IFERROR(VLOOKUP(P47&amp;"|"&amp;Q47&amp;"|ALL|"&amp;S47,V8_COHORT_TABLE,2,FALSE),IFERROR(VLOOKUP(P47&amp;"|ALL|ALL|"&amp;S47,V8_COHORT_TABLE,2,FALSE),IFERROR(VLOOKUP(P47&amp;"|ALL|ALL|ALL",V8_COHORT_TABLE,2,FALSE),VLOOKUP("GLOBAL",V8_COHORT_TABLE,2,FALSE)))))</f>
        <v/>
      </c>
      <c r="X47" s="15">
        <f>IFERROR(VLOOKUP(T47,V8_COHORT_TABLE,3,FALSE),IFERROR(VLOOKUP(P47&amp;"|"&amp;Q47&amp;"|ALL|"&amp;S47,V8_COHORT_TABLE,3,FALSE),IFERROR(VLOOKUP(P47&amp;"|ALL|ALL|"&amp;S47,V8_COHORT_TABLE,3,FALSE),IFERROR(VLOOKUP(P47&amp;"|ALL|ALL|ALL",V8_COHORT_TABLE,3,FALSE),VLOOKUP("GLOBAL",V8_COHORT_TABLE,3,FALSE)))))</f>
        <v/>
      </c>
      <c r="Y47" s="15">
        <f>IFERROR(VLOOKUP(T47,V8_COHORT_TABLE,4,FALSE),IFERROR(VLOOKUP(P47&amp;"|"&amp;Q47&amp;"|ALL|"&amp;S47,V8_COHORT_TABLE,4,FALSE),IFERROR(VLOOKUP(P47&amp;"|ALL|ALL|"&amp;S47,V8_COHORT_TABLE,4,FALSE),IFERROR(VLOOKUP(P47&amp;"|ALL|ALL|ALL",V8_COHORT_TABLE,4,FALSE),VLOOKUP("GLOBAL",V8_COHORT_TABLE,4,FALSE)))))</f>
        <v/>
      </c>
      <c r="Z47" s="15">
        <f>IFERROR(VLOOKUP(T47,V8_COHORT_TABLE,5,FALSE),IFERROR(VLOOKUP(P47&amp;"|"&amp;Q47&amp;"|ALL|"&amp;S47,V8_COHORT_TABLE,5,FALSE),IFERROR(VLOOKUP(P47&amp;"|ALL|ALL|"&amp;S47,V8_COHORT_TABLE,5,FALSE),IFERROR(VLOOKUP(P47&amp;"|ALL|ALL|ALL",V8_COHORT_TABLE,5,FALSE),VLOOKUP("GLOBAL",V8_COHORT_TABLE,5,FALSE)))))</f>
        <v/>
      </c>
      <c r="AA47" s="15">
        <f>W47+X47/(1+EXP(-(V47-Y47)/Z47))</f>
        <v/>
      </c>
      <c r="AB47" s="15">
        <f>IFERROR(VLOOKUP(T47,V8_COHORT_TABLE,6,FALSE),IFERROR(VLOOKUP(P47&amp;"|"&amp;Q47&amp;"|ALL|"&amp;S47,V8_COHORT_TABLE,6,FALSE),IFERROR(VLOOKUP(P47&amp;"|ALL|ALL|"&amp;S47,V8_COHORT_TABLE,6,FALSE),IFERROR(VLOOKUP(P47&amp;"|ALL|ALL|ALL",V8_COHORT_TABLE,6,FALSE),VLOOKUP("GLOBAL",V8_COHORT_TABLE,6,FALSE)))))</f>
        <v/>
      </c>
      <c r="AC47" s="15">
        <f>IFERROR(VLOOKUP(T47,V8_COHORT_TABLE,7,FALSE),IFERROR(VLOOKUP(P47&amp;"|"&amp;Q47&amp;"|ALL|"&amp;S47,V8_COHORT_TABLE,7,FALSE),IFERROR(VLOOKUP(P47&amp;"|ALL|ALL|"&amp;S47,V8_COHORT_TABLE,7,FALSE),IFERROR(VLOOKUP(P47&amp;"|ALL|ALL|ALL",V8_COHORT_TABLE,7,FALSE),VLOOKUP("GLOBAL",V8_COHORT_TABLE,7,FALSE)))))</f>
        <v/>
      </c>
      <c r="AD47" s="15">
        <f>IFERROR(VLOOKUP(T47,V8_COHORT_TABLE,8,FALSE),IFERROR(VLOOKUP(P47&amp;"|"&amp;Q47&amp;"|ALL|"&amp;S47,V8_COHORT_TABLE,8,FALSE),IFERROR(VLOOKUP(P47&amp;"|ALL|ALL|"&amp;S47,V8_COHORT_TABLE,8,FALSE),IFERROR(VLOOKUP(P47&amp;"|ALL|ALL|ALL",V8_COHORT_TABLE,8,FALSE),VLOOKUP("GLOBAL",V8_COHORT_TABLE,8,FALSE)))))</f>
        <v/>
      </c>
      <c r="AE47" s="15">
        <f>IFERROR(VLOOKUP(T47,V8_COHORT_TABLE,9,FALSE),IFERROR(VLOOKUP(P47&amp;"|"&amp;Q47&amp;"|ALL|"&amp;S47,V8_COHORT_TABLE,9,FALSE),IFERROR(VLOOKUP(P47&amp;"|ALL|ALL|"&amp;S47,V8_COHORT_TABLE,9,FALSE),IFERROR(VLOOKUP(P47&amp;"|ALL|ALL|ALL",V8_COHORT_TABLE,9,FALSE),VLOOKUP("GLOBAL",V8_COHORT_TABLE,9,FALSE)))))</f>
        <v/>
      </c>
      <c r="AF47" s="8">
        <f>IF(K47&lt;=0,AB47,IF(K47&gt;=240,AE47,IF(K47&lt;=24,AB47+(K47-0)/24*(AC47-AB47),IF(K47&lt;=96,AC47+(K47-24)/72*(AD47-AC47),AD47+(K47-96)/144*(AE47-AD47)))))</f>
        <v/>
      </c>
      <c r="AG47" s="8">
        <f>IF(IF(OR(L47="",NOT(ISNUMBER(L47))),360,MAX(0,MIN(480,(INT(L47/100)-INT(VALUE(F47)/100))*12+MOD(L47,100)-MOD(VALUE(F47),100))))&gt;0,1+V8_MTY_AMP*MAX(0,(V8_MTY_CUTOFF-(IF(OR(L47="",NOT(ISNUMBER(L47))),360,MAX(0,MIN(480,(INT(L47/100)-INT(VALUE(F47)/100))*12+MOD(L47,100)-MOD(VALUE(F47),100))))))/V8_MTY_CUTOFF),1)</f>
        <v/>
      </c>
      <c r="AH47" s="8">
        <f>IF(AND(IF(OR(M47="",NOT(ISNUMBER(M47))),0,MAX(0,MIN(24,(INT(VALUE(F47)/100)-INT(M47/100))*12+MOD(VALUE(F47),100)-MOD(M47,100))))&gt;0,IF(OR(M47="",NOT(ISNUMBER(M47))),0,MAX(0,MIN(24,(INT(VALUE(F47)/100)-INT(M47/100))*12+MOD(VALUE(F47),100)-MOD(M47,100))))&lt;=12),1+V8_LOCKOUT_AMP*EXP(-(IF(OR(M47="",NOT(ISNUMBER(M47))),0,MAX(0,MIN(24,(INT(VALUE(F47)/100)-INT(M47/100))*12+MOD(VALUE(F47),100)-MOD(M47,100)))))/V8_LOCKOUT_TAU),1)</f>
        <v/>
      </c>
      <c r="AI47" s="8">
        <f>MAX(V8_BURN_FLOOR,1-V8_BURN_SLOPE*MIN(1,MAX(0,O47)))</f>
        <v/>
      </c>
      <c r="AJ47" s="15">
        <f>MIN(AA47*AF47*AG47*AH47*AI47,0.2)</f>
        <v/>
      </c>
      <c r="AK47" s="16">
        <f>1-(1-AJ47)^12</f>
        <v/>
      </c>
    </row>
    <row r="48">
      <c r="A48" s="2" t="inlineStr">
        <is>
          <t>000011535902</t>
        </is>
      </c>
      <c r="B48" t="inlineStr">
        <is>
          <t>221d4</t>
        </is>
      </c>
      <c r="C48" t="inlineStr">
        <is>
          <t>NC</t>
        </is>
      </c>
      <c r="D48" t="inlineStr">
        <is>
          <t>BERKADIA COMMERCIAL MORTGAGE, LLC</t>
        </is>
      </c>
      <c r="E48" t="n">
        <v>2021</v>
      </c>
      <c r="F48" t="inlineStr">
        <is>
          <t>202602</t>
        </is>
      </c>
      <c r="G48" s="9" t="n">
        <v>45179299.6</v>
      </c>
      <c r="H48" s="13" t="n">
        <v>2.96</v>
      </c>
      <c r="I48" s="14" t="n">
        <v>447</v>
      </c>
      <c r="J48" s="14" t="n">
        <v>10</v>
      </c>
      <c r="K48" t="n">
        <v>50</v>
      </c>
      <c r="L48" t="n">
        <v>206408</v>
      </c>
      <c r="M48" t="inlineStr"/>
      <c r="N48" t="n">
        <v>0</v>
      </c>
      <c r="O48" s="8" t="n">
        <v>0</v>
      </c>
      <c r="P48">
        <f>IF(ISNUMBER(SEARCH("232",B48)),"232",IF(ISNUMBER(SEARCH("538",B48)),"538",IF(ISNUMBER(SEARCH("223a7",B48)),"223a7",IF(ISNUMBER(SEARCH("223f",B48)),"223f","OTHER"))))</f>
        <v/>
      </c>
      <c r="Q48">
        <f>IF(UPPER(C48)="NC","NC","RP")</f>
        <v/>
      </c>
      <c r="R48">
        <f>IF(G48&lt;5000000,"small",IF(G48&lt;25000000,"medium","large"))</f>
        <v/>
      </c>
      <c r="S48">
        <f>IF(K48&lt;36,"young",IF(K48&lt;120,"seasoned","aged"))</f>
        <v/>
      </c>
      <c r="T48">
        <f>P48&amp;"|"&amp;Q48&amp;"|"&amp;R48&amp;"|"&amp;S48</f>
        <v/>
      </c>
      <c r="U48" s="14">
        <f>H48*100-I48</f>
        <v/>
      </c>
      <c r="V48" s="14">
        <f>U48-12.5*(J48+1)</f>
        <v/>
      </c>
      <c r="W48" s="15">
        <f>IFERROR(VLOOKUP(T48,V8_COHORT_TABLE,2,FALSE),IFERROR(VLOOKUP(P48&amp;"|"&amp;Q48&amp;"|ALL|"&amp;S48,V8_COHORT_TABLE,2,FALSE),IFERROR(VLOOKUP(P48&amp;"|ALL|ALL|"&amp;S48,V8_COHORT_TABLE,2,FALSE),IFERROR(VLOOKUP(P48&amp;"|ALL|ALL|ALL",V8_COHORT_TABLE,2,FALSE),VLOOKUP("GLOBAL",V8_COHORT_TABLE,2,FALSE)))))</f>
        <v/>
      </c>
      <c r="X48" s="15">
        <f>IFERROR(VLOOKUP(T48,V8_COHORT_TABLE,3,FALSE),IFERROR(VLOOKUP(P48&amp;"|"&amp;Q48&amp;"|ALL|"&amp;S48,V8_COHORT_TABLE,3,FALSE),IFERROR(VLOOKUP(P48&amp;"|ALL|ALL|"&amp;S48,V8_COHORT_TABLE,3,FALSE),IFERROR(VLOOKUP(P48&amp;"|ALL|ALL|ALL",V8_COHORT_TABLE,3,FALSE),VLOOKUP("GLOBAL",V8_COHORT_TABLE,3,FALSE)))))</f>
        <v/>
      </c>
      <c r="Y48" s="15">
        <f>IFERROR(VLOOKUP(T48,V8_COHORT_TABLE,4,FALSE),IFERROR(VLOOKUP(P48&amp;"|"&amp;Q48&amp;"|ALL|"&amp;S48,V8_COHORT_TABLE,4,FALSE),IFERROR(VLOOKUP(P48&amp;"|ALL|ALL|"&amp;S48,V8_COHORT_TABLE,4,FALSE),IFERROR(VLOOKUP(P48&amp;"|ALL|ALL|ALL",V8_COHORT_TABLE,4,FALSE),VLOOKUP("GLOBAL",V8_COHORT_TABLE,4,FALSE)))))</f>
        <v/>
      </c>
      <c r="Z48" s="15">
        <f>IFERROR(VLOOKUP(T48,V8_COHORT_TABLE,5,FALSE),IFERROR(VLOOKUP(P48&amp;"|"&amp;Q48&amp;"|ALL|"&amp;S48,V8_COHORT_TABLE,5,FALSE),IFERROR(VLOOKUP(P48&amp;"|ALL|ALL|"&amp;S48,V8_COHORT_TABLE,5,FALSE),IFERROR(VLOOKUP(P48&amp;"|ALL|ALL|ALL",V8_COHORT_TABLE,5,FALSE),VLOOKUP("GLOBAL",V8_COHORT_TABLE,5,FALSE)))))</f>
        <v/>
      </c>
      <c r="AA48" s="15">
        <f>W48+X48/(1+EXP(-(V48-Y48)/Z48))</f>
        <v/>
      </c>
      <c r="AB48" s="15">
        <f>IFERROR(VLOOKUP(T48,V8_COHORT_TABLE,6,FALSE),IFERROR(VLOOKUP(P48&amp;"|"&amp;Q48&amp;"|ALL|"&amp;S48,V8_COHORT_TABLE,6,FALSE),IFERROR(VLOOKUP(P48&amp;"|ALL|ALL|"&amp;S48,V8_COHORT_TABLE,6,FALSE),IFERROR(VLOOKUP(P48&amp;"|ALL|ALL|ALL",V8_COHORT_TABLE,6,FALSE),VLOOKUP("GLOBAL",V8_COHORT_TABLE,6,FALSE)))))</f>
        <v/>
      </c>
      <c r="AC48" s="15">
        <f>IFERROR(VLOOKUP(T48,V8_COHORT_TABLE,7,FALSE),IFERROR(VLOOKUP(P48&amp;"|"&amp;Q48&amp;"|ALL|"&amp;S48,V8_COHORT_TABLE,7,FALSE),IFERROR(VLOOKUP(P48&amp;"|ALL|ALL|"&amp;S48,V8_COHORT_TABLE,7,FALSE),IFERROR(VLOOKUP(P48&amp;"|ALL|ALL|ALL",V8_COHORT_TABLE,7,FALSE),VLOOKUP("GLOBAL",V8_COHORT_TABLE,7,FALSE)))))</f>
        <v/>
      </c>
      <c r="AD48" s="15">
        <f>IFERROR(VLOOKUP(T48,V8_COHORT_TABLE,8,FALSE),IFERROR(VLOOKUP(P48&amp;"|"&amp;Q48&amp;"|ALL|"&amp;S48,V8_COHORT_TABLE,8,FALSE),IFERROR(VLOOKUP(P48&amp;"|ALL|ALL|"&amp;S48,V8_COHORT_TABLE,8,FALSE),IFERROR(VLOOKUP(P48&amp;"|ALL|ALL|ALL",V8_COHORT_TABLE,8,FALSE),VLOOKUP("GLOBAL",V8_COHORT_TABLE,8,FALSE)))))</f>
        <v/>
      </c>
      <c r="AE48" s="15">
        <f>IFERROR(VLOOKUP(T48,V8_COHORT_TABLE,9,FALSE),IFERROR(VLOOKUP(P48&amp;"|"&amp;Q48&amp;"|ALL|"&amp;S48,V8_COHORT_TABLE,9,FALSE),IFERROR(VLOOKUP(P48&amp;"|ALL|ALL|"&amp;S48,V8_COHORT_TABLE,9,FALSE),IFERROR(VLOOKUP(P48&amp;"|ALL|ALL|ALL",V8_COHORT_TABLE,9,FALSE),VLOOKUP("GLOBAL",V8_COHORT_TABLE,9,FALSE)))))</f>
        <v/>
      </c>
      <c r="AF48" s="8">
        <f>IF(K48&lt;=0,AB48,IF(K48&gt;=240,AE48,IF(K48&lt;=24,AB48+(K48-0)/24*(AC48-AB48),IF(K48&lt;=96,AC48+(K48-24)/72*(AD48-AC48),AD48+(K48-96)/144*(AE48-AD48)))))</f>
        <v/>
      </c>
      <c r="AG48" s="8">
        <f>IF(IF(OR(L48="",NOT(ISNUMBER(L48))),360,MAX(0,MIN(480,(INT(L48/100)-INT(VALUE(F48)/100))*12+MOD(L48,100)-MOD(VALUE(F48),100))))&gt;0,1+V8_MTY_AMP*MAX(0,(V8_MTY_CUTOFF-(IF(OR(L48="",NOT(ISNUMBER(L48))),360,MAX(0,MIN(480,(INT(L48/100)-INT(VALUE(F48)/100))*12+MOD(L48,100)-MOD(VALUE(F48),100))))))/V8_MTY_CUTOFF),1)</f>
        <v/>
      </c>
      <c r="AH48" s="8">
        <f>IF(AND(IF(OR(M48="",NOT(ISNUMBER(M48))),0,MAX(0,MIN(24,(INT(VALUE(F48)/100)-INT(M48/100))*12+MOD(VALUE(F48),100)-MOD(M48,100))))&gt;0,IF(OR(M48="",NOT(ISNUMBER(M48))),0,MAX(0,MIN(24,(INT(VALUE(F48)/100)-INT(M48/100))*12+MOD(VALUE(F48),100)-MOD(M48,100))))&lt;=12),1+V8_LOCKOUT_AMP*EXP(-(IF(OR(M48="",NOT(ISNUMBER(M48))),0,MAX(0,MIN(24,(INT(VALUE(F48)/100)-INT(M48/100))*12+MOD(VALUE(F48),100)-MOD(M48,100)))))/V8_LOCKOUT_TAU),1)</f>
        <v/>
      </c>
      <c r="AI48" s="8">
        <f>MAX(V8_BURN_FLOOR,1-V8_BURN_SLOPE*MIN(1,MAX(0,O48)))</f>
        <v/>
      </c>
      <c r="AJ48" s="15">
        <f>MIN(AA48*AF48*AG48*AH48*AI48,0.2)</f>
        <v/>
      </c>
      <c r="AK48" s="16">
        <f>1-(1-AJ48)^12</f>
        <v/>
      </c>
    </row>
    <row r="49">
      <c r="A49" s="2" t="inlineStr">
        <is>
          <t>000005411156</t>
        </is>
      </c>
      <c r="B49" t="inlineStr">
        <is>
          <t>223f</t>
        </is>
      </c>
      <c r="C49" t="inlineStr">
        <is>
          <t>RP</t>
        </is>
      </c>
      <c r="D49" t="inlineStr">
        <is>
          <t>BERKADIA COMMERCIAL MORTGAGE, LLC</t>
        </is>
      </c>
      <c r="E49" t="n">
        <v>2017</v>
      </c>
      <c r="F49" t="inlineStr">
        <is>
          <t>202602</t>
        </is>
      </c>
      <c r="G49" s="9" t="n">
        <v>3384137.38</v>
      </c>
      <c r="H49" s="13" t="n">
        <v>3.99</v>
      </c>
      <c r="I49" s="14" t="n">
        <v>447</v>
      </c>
      <c r="J49" s="14" t="n">
        <v>0</v>
      </c>
      <c r="K49" t="n">
        <v>99</v>
      </c>
      <c r="L49" t="n">
        <v>204806</v>
      </c>
      <c r="M49" t="inlineStr"/>
      <c r="N49" t="n">
        <v>41</v>
      </c>
      <c r="O49" s="8" t="n">
        <v>0.4141414141414141</v>
      </c>
      <c r="P49">
        <f>IF(ISNUMBER(SEARCH("232",B49)),"232",IF(ISNUMBER(SEARCH("538",B49)),"538",IF(ISNUMBER(SEARCH("223a7",B49)),"223a7",IF(ISNUMBER(SEARCH("223f",B49)),"223f","OTHER"))))</f>
        <v/>
      </c>
      <c r="Q49">
        <f>IF(UPPER(C49)="NC","NC","RP")</f>
        <v/>
      </c>
      <c r="R49">
        <f>IF(G49&lt;5000000,"small",IF(G49&lt;25000000,"medium","large"))</f>
        <v/>
      </c>
      <c r="S49">
        <f>IF(K49&lt;36,"young",IF(K49&lt;120,"seasoned","aged"))</f>
        <v/>
      </c>
      <c r="T49">
        <f>P49&amp;"|"&amp;Q49&amp;"|"&amp;R49&amp;"|"&amp;S49</f>
        <v/>
      </c>
      <c r="U49" s="14">
        <f>H49*100-I49</f>
        <v/>
      </c>
      <c r="V49" s="14">
        <f>U49-12.5*(J49+1)</f>
        <v/>
      </c>
      <c r="W49" s="15">
        <f>IFERROR(VLOOKUP(T49,V8_COHORT_TABLE,2,FALSE),IFERROR(VLOOKUP(P49&amp;"|"&amp;Q49&amp;"|ALL|"&amp;S49,V8_COHORT_TABLE,2,FALSE),IFERROR(VLOOKUP(P49&amp;"|ALL|ALL|"&amp;S49,V8_COHORT_TABLE,2,FALSE),IFERROR(VLOOKUP(P49&amp;"|ALL|ALL|ALL",V8_COHORT_TABLE,2,FALSE),VLOOKUP("GLOBAL",V8_COHORT_TABLE,2,FALSE)))))</f>
        <v/>
      </c>
      <c r="X49" s="15">
        <f>IFERROR(VLOOKUP(T49,V8_COHORT_TABLE,3,FALSE),IFERROR(VLOOKUP(P49&amp;"|"&amp;Q49&amp;"|ALL|"&amp;S49,V8_COHORT_TABLE,3,FALSE),IFERROR(VLOOKUP(P49&amp;"|ALL|ALL|"&amp;S49,V8_COHORT_TABLE,3,FALSE),IFERROR(VLOOKUP(P49&amp;"|ALL|ALL|ALL",V8_COHORT_TABLE,3,FALSE),VLOOKUP("GLOBAL",V8_COHORT_TABLE,3,FALSE)))))</f>
        <v/>
      </c>
      <c r="Y49" s="15">
        <f>IFERROR(VLOOKUP(T49,V8_COHORT_TABLE,4,FALSE),IFERROR(VLOOKUP(P49&amp;"|"&amp;Q49&amp;"|ALL|"&amp;S49,V8_COHORT_TABLE,4,FALSE),IFERROR(VLOOKUP(P49&amp;"|ALL|ALL|"&amp;S49,V8_COHORT_TABLE,4,FALSE),IFERROR(VLOOKUP(P49&amp;"|ALL|ALL|ALL",V8_COHORT_TABLE,4,FALSE),VLOOKUP("GLOBAL",V8_COHORT_TABLE,4,FALSE)))))</f>
        <v/>
      </c>
      <c r="Z49" s="15">
        <f>IFERROR(VLOOKUP(T49,V8_COHORT_TABLE,5,FALSE),IFERROR(VLOOKUP(P49&amp;"|"&amp;Q49&amp;"|ALL|"&amp;S49,V8_COHORT_TABLE,5,FALSE),IFERROR(VLOOKUP(P49&amp;"|ALL|ALL|"&amp;S49,V8_COHORT_TABLE,5,FALSE),IFERROR(VLOOKUP(P49&amp;"|ALL|ALL|ALL",V8_COHORT_TABLE,5,FALSE),VLOOKUP("GLOBAL",V8_COHORT_TABLE,5,FALSE)))))</f>
        <v/>
      </c>
      <c r="AA49" s="15">
        <f>W49+X49/(1+EXP(-(V49-Y49)/Z49))</f>
        <v/>
      </c>
      <c r="AB49" s="15">
        <f>IFERROR(VLOOKUP(T49,V8_COHORT_TABLE,6,FALSE),IFERROR(VLOOKUP(P49&amp;"|"&amp;Q49&amp;"|ALL|"&amp;S49,V8_COHORT_TABLE,6,FALSE),IFERROR(VLOOKUP(P49&amp;"|ALL|ALL|"&amp;S49,V8_COHORT_TABLE,6,FALSE),IFERROR(VLOOKUP(P49&amp;"|ALL|ALL|ALL",V8_COHORT_TABLE,6,FALSE),VLOOKUP("GLOBAL",V8_COHORT_TABLE,6,FALSE)))))</f>
        <v/>
      </c>
      <c r="AC49" s="15">
        <f>IFERROR(VLOOKUP(T49,V8_COHORT_TABLE,7,FALSE),IFERROR(VLOOKUP(P49&amp;"|"&amp;Q49&amp;"|ALL|"&amp;S49,V8_COHORT_TABLE,7,FALSE),IFERROR(VLOOKUP(P49&amp;"|ALL|ALL|"&amp;S49,V8_COHORT_TABLE,7,FALSE),IFERROR(VLOOKUP(P49&amp;"|ALL|ALL|ALL",V8_COHORT_TABLE,7,FALSE),VLOOKUP("GLOBAL",V8_COHORT_TABLE,7,FALSE)))))</f>
        <v/>
      </c>
      <c r="AD49" s="15">
        <f>IFERROR(VLOOKUP(T49,V8_COHORT_TABLE,8,FALSE),IFERROR(VLOOKUP(P49&amp;"|"&amp;Q49&amp;"|ALL|"&amp;S49,V8_COHORT_TABLE,8,FALSE),IFERROR(VLOOKUP(P49&amp;"|ALL|ALL|"&amp;S49,V8_COHORT_TABLE,8,FALSE),IFERROR(VLOOKUP(P49&amp;"|ALL|ALL|ALL",V8_COHORT_TABLE,8,FALSE),VLOOKUP("GLOBAL",V8_COHORT_TABLE,8,FALSE)))))</f>
        <v/>
      </c>
      <c r="AE49" s="15">
        <f>IFERROR(VLOOKUP(T49,V8_COHORT_TABLE,9,FALSE),IFERROR(VLOOKUP(P49&amp;"|"&amp;Q49&amp;"|ALL|"&amp;S49,V8_COHORT_TABLE,9,FALSE),IFERROR(VLOOKUP(P49&amp;"|ALL|ALL|"&amp;S49,V8_COHORT_TABLE,9,FALSE),IFERROR(VLOOKUP(P49&amp;"|ALL|ALL|ALL",V8_COHORT_TABLE,9,FALSE),VLOOKUP("GLOBAL",V8_COHORT_TABLE,9,FALSE)))))</f>
        <v/>
      </c>
      <c r="AF49" s="8">
        <f>IF(K49&lt;=0,AB49,IF(K49&gt;=240,AE49,IF(K49&lt;=24,AB49+(K49-0)/24*(AC49-AB49),IF(K49&lt;=96,AC49+(K49-24)/72*(AD49-AC49),AD49+(K49-96)/144*(AE49-AD49)))))</f>
        <v/>
      </c>
      <c r="AG49" s="8">
        <f>IF(IF(OR(L49="",NOT(ISNUMBER(L49))),360,MAX(0,MIN(480,(INT(L49/100)-INT(VALUE(F49)/100))*12+MOD(L49,100)-MOD(VALUE(F49),100))))&gt;0,1+V8_MTY_AMP*MAX(0,(V8_MTY_CUTOFF-(IF(OR(L49="",NOT(ISNUMBER(L49))),360,MAX(0,MIN(480,(INT(L49/100)-INT(VALUE(F49)/100))*12+MOD(L49,100)-MOD(VALUE(F49),100))))))/V8_MTY_CUTOFF),1)</f>
        <v/>
      </c>
      <c r="AH49" s="8">
        <f>IF(AND(IF(OR(M49="",NOT(ISNUMBER(M49))),0,MAX(0,MIN(24,(INT(VALUE(F49)/100)-INT(M49/100))*12+MOD(VALUE(F49),100)-MOD(M49,100))))&gt;0,IF(OR(M49="",NOT(ISNUMBER(M49))),0,MAX(0,MIN(24,(INT(VALUE(F49)/100)-INT(M49/100))*12+MOD(VALUE(F49),100)-MOD(M49,100))))&lt;=12),1+V8_LOCKOUT_AMP*EXP(-(IF(OR(M49="",NOT(ISNUMBER(M49))),0,MAX(0,MIN(24,(INT(VALUE(F49)/100)-INT(M49/100))*12+MOD(VALUE(F49),100)-MOD(M49,100)))))/V8_LOCKOUT_TAU),1)</f>
        <v/>
      </c>
      <c r="AI49" s="8">
        <f>MAX(V8_BURN_FLOOR,1-V8_BURN_SLOPE*MIN(1,MAX(0,O49)))</f>
        <v/>
      </c>
      <c r="AJ49" s="15">
        <f>MIN(AA49*AF49*AG49*AH49*AI49,0.2)</f>
        <v/>
      </c>
      <c r="AK49" s="16">
        <f>1-(1-AJ49)^12</f>
        <v/>
      </c>
    </row>
    <row r="50">
      <c r="A50" s="2" t="inlineStr">
        <is>
          <t>000004711281</t>
        </is>
      </c>
      <c r="B50" t="inlineStr">
        <is>
          <t>223f</t>
        </is>
      </c>
      <c r="C50" t="inlineStr">
        <is>
          <t>RP</t>
        </is>
      </c>
      <c r="D50" t="inlineStr">
        <is>
          <t>BERKADIA COMMERCIAL MORTGAGE, LLC</t>
        </is>
      </c>
      <c r="E50" t="n">
        <v>2021</v>
      </c>
      <c r="F50" t="inlineStr">
        <is>
          <t>202602</t>
        </is>
      </c>
      <c r="G50" s="9" t="n">
        <v>5205375.79</v>
      </c>
      <c r="H50" s="13" t="n">
        <v>2.49</v>
      </c>
      <c r="I50" s="14" t="n">
        <v>447</v>
      </c>
      <c r="J50" s="14" t="n">
        <v>8</v>
      </c>
      <c r="K50" t="n">
        <v>54</v>
      </c>
      <c r="L50" t="n">
        <v>205604</v>
      </c>
      <c r="M50" t="inlineStr"/>
      <c r="N50" t="n">
        <v>0</v>
      </c>
      <c r="O50" s="8" t="n">
        <v>0</v>
      </c>
      <c r="P50">
        <f>IF(ISNUMBER(SEARCH("232",B50)),"232",IF(ISNUMBER(SEARCH("538",B50)),"538",IF(ISNUMBER(SEARCH("223a7",B50)),"223a7",IF(ISNUMBER(SEARCH("223f",B50)),"223f","OTHER"))))</f>
        <v/>
      </c>
      <c r="Q50">
        <f>IF(UPPER(C50)="NC","NC","RP")</f>
        <v/>
      </c>
      <c r="R50">
        <f>IF(G50&lt;5000000,"small",IF(G50&lt;25000000,"medium","large"))</f>
        <v/>
      </c>
      <c r="S50">
        <f>IF(K50&lt;36,"young",IF(K50&lt;120,"seasoned","aged"))</f>
        <v/>
      </c>
      <c r="T50">
        <f>P50&amp;"|"&amp;Q50&amp;"|"&amp;R50&amp;"|"&amp;S50</f>
        <v/>
      </c>
      <c r="U50" s="14">
        <f>H50*100-I50</f>
        <v/>
      </c>
      <c r="V50" s="14">
        <f>U50-12.5*(J50+1)</f>
        <v/>
      </c>
      <c r="W50" s="15">
        <f>IFERROR(VLOOKUP(T50,V8_COHORT_TABLE,2,FALSE),IFERROR(VLOOKUP(P50&amp;"|"&amp;Q50&amp;"|ALL|"&amp;S50,V8_COHORT_TABLE,2,FALSE),IFERROR(VLOOKUP(P50&amp;"|ALL|ALL|"&amp;S50,V8_COHORT_TABLE,2,FALSE),IFERROR(VLOOKUP(P50&amp;"|ALL|ALL|ALL",V8_COHORT_TABLE,2,FALSE),VLOOKUP("GLOBAL",V8_COHORT_TABLE,2,FALSE)))))</f>
        <v/>
      </c>
      <c r="X50" s="15">
        <f>IFERROR(VLOOKUP(T50,V8_COHORT_TABLE,3,FALSE),IFERROR(VLOOKUP(P50&amp;"|"&amp;Q50&amp;"|ALL|"&amp;S50,V8_COHORT_TABLE,3,FALSE),IFERROR(VLOOKUP(P50&amp;"|ALL|ALL|"&amp;S50,V8_COHORT_TABLE,3,FALSE),IFERROR(VLOOKUP(P50&amp;"|ALL|ALL|ALL",V8_COHORT_TABLE,3,FALSE),VLOOKUP("GLOBAL",V8_COHORT_TABLE,3,FALSE)))))</f>
        <v/>
      </c>
      <c r="Y50" s="15">
        <f>IFERROR(VLOOKUP(T50,V8_COHORT_TABLE,4,FALSE),IFERROR(VLOOKUP(P50&amp;"|"&amp;Q50&amp;"|ALL|"&amp;S50,V8_COHORT_TABLE,4,FALSE),IFERROR(VLOOKUP(P50&amp;"|ALL|ALL|"&amp;S50,V8_COHORT_TABLE,4,FALSE),IFERROR(VLOOKUP(P50&amp;"|ALL|ALL|ALL",V8_COHORT_TABLE,4,FALSE),VLOOKUP("GLOBAL",V8_COHORT_TABLE,4,FALSE)))))</f>
        <v/>
      </c>
      <c r="Z50" s="15">
        <f>IFERROR(VLOOKUP(T50,V8_COHORT_TABLE,5,FALSE),IFERROR(VLOOKUP(P50&amp;"|"&amp;Q50&amp;"|ALL|"&amp;S50,V8_COHORT_TABLE,5,FALSE),IFERROR(VLOOKUP(P50&amp;"|ALL|ALL|"&amp;S50,V8_COHORT_TABLE,5,FALSE),IFERROR(VLOOKUP(P50&amp;"|ALL|ALL|ALL",V8_COHORT_TABLE,5,FALSE),VLOOKUP("GLOBAL",V8_COHORT_TABLE,5,FALSE)))))</f>
        <v/>
      </c>
      <c r="AA50" s="15">
        <f>W50+X50/(1+EXP(-(V50-Y50)/Z50))</f>
        <v/>
      </c>
      <c r="AB50" s="15">
        <f>IFERROR(VLOOKUP(T50,V8_COHORT_TABLE,6,FALSE),IFERROR(VLOOKUP(P50&amp;"|"&amp;Q50&amp;"|ALL|"&amp;S50,V8_COHORT_TABLE,6,FALSE),IFERROR(VLOOKUP(P50&amp;"|ALL|ALL|"&amp;S50,V8_COHORT_TABLE,6,FALSE),IFERROR(VLOOKUP(P50&amp;"|ALL|ALL|ALL",V8_COHORT_TABLE,6,FALSE),VLOOKUP("GLOBAL",V8_COHORT_TABLE,6,FALSE)))))</f>
        <v/>
      </c>
      <c r="AC50" s="15">
        <f>IFERROR(VLOOKUP(T50,V8_COHORT_TABLE,7,FALSE),IFERROR(VLOOKUP(P50&amp;"|"&amp;Q50&amp;"|ALL|"&amp;S50,V8_COHORT_TABLE,7,FALSE),IFERROR(VLOOKUP(P50&amp;"|ALL|ALL|"&amp;S50,V8_COHORT_TABLE,7,FALSE),IFERROR(VLOOKUP(P50&amp;"|ALL|ALL|ALL",V8_COHORT_TABLE,7,FALSE),VLOOKUP("GLOBAL",V8_COHORT_TABLE,7,FALSE)))))</f>
        <v/>
      </c>
      <c r="AD50" s="15">
        <f>IFERROR(VLOOKUP(T50,V8_COHORT_TABLE,8,FALSE),IFERROR(VLOOKUP(P50&amp;"|"&amp;Q50&amp;"|ALL|"&amp;S50,V8_COHORT_TABLE,8,FALSE),IFERROR(VLOOKUP(P50&amp;"|ALL|ALL|"&amp;S50,V8_COHORT_TABLE,8,FALSE),IFERROR(VLOOKUP(P50&amp;"|ALL|ALL|ALL",V8_COHORT_TABLE,8,FALSE),VLOOKUP("GLOBAL",V8_COHORT_TABLE,8,FALSE)))))</f>
        <v/>
      </c>
      <c r="AE50" s="15">
        <f>IFERROR(VLOOKUP(T50,V8_COHORT_TABLE,9,FALSE),IFERROR(VLOOKUP(P50&amp;"|"&amp;Q50&amp;"|ALL|"&amp;S50,V8_COHORT_TABLE,9,FALSE),IFERROR(VLOOKUP(P50&amp;"|ALL|ALL|"&amp;S50,V8_COHORT_TABLE,9,FALSE),IFERROR(VLOOKUP(P50&amp;"|ALL|ALL|ALL",V8_COHORT_TABLE,9,FALSE),VLOOKUP("GLOBAL",V8_COHORT_TABLE,9,FALSE)))))</f>
        <v/>
      </c>
      <c r="AF50" s="8">
        <f>IF(K50&lt;=0,AB50,IF(K50&gt;=240,AE50,IF(K50&lt;=24,AB50+(K50-0)/24*(AC50-AB50),IF(K50&lt;=96,AC50+(K50-24)/72*(AD50-AC50),AD50+(K50-96)/144*(AE50-AD50)))))</f>
        <v/>
      </c>
      <c r="AG50" s="8">
        <f>IF(IF(OR(L50="",NOT(ISNUMBER(L50))),360,MAX(0,MIN(480,(INT(L50/100)-INT(VALUE(F50)/100))*12+MOD(L50,100)-MOD(VALUE(F50),100))))&gt;0,1+V8_MTY_AMP*MAX(0,(V8_MTY_CUTOFF-(IF(OR(L50="",NOT(ISNUMBER(L50))),360,MAX(0,MIN(480,(INT(L50/100)-INT(VALUE(F50)/100))*12+MOD(L50,100)-MOD(VALUE(F50),100))))))/V8_MTY_CUTOFF),1)</f>
        <v/>
      </c>
      <c r="AH50" s="8">
        <f>IF(AND(IF(OR(M50="",NOT(ISNUMBER(M50))),0,MAX(0,MIN(24,(INT(VALUE(F50)/100)-INT(M50/100))*12+MOD(VALUE(F50),100)-MOD(M50,100))))&gt;0,IF(OR(M50="",NOT(ISNUMBER(M50))),0,MAX(0,MIN(24,(INT(VALUE(F50)/100)-INT(M50/100))*12+MOD(VALUE(F50),100)-MOD(M50,100))))&lt;=12),1+V8_LOCKOUT_AMP*EXP(-(IF(OR(M50="",NOT(ISNUMBER(M50))),0,MAX(0,MIN(24,(INT(VALUE(F50)/100)-INT(M50/100))*12+MOD(VALUE(F50),100)-MOD(M50,100)))))/V8_LOCKOUT_TAU),1)</f>
        <v/>
      </c>
      <c r="AI50" s="8">
        <f>MAX(V8_BURN_FLOOR,1-V8_BURN_SLOPE*MIN(1,MAX(0,O50)))</f>
        <v/>
      </c>
      <c r="AJ50" s="15">
        <f>MIN(AA50*AF50*AG50*AH50*AI50,0.2)</f>
        <v/>
      </c>
      <c r="AK50" s="16">
        <f>1-(1-AJ50)^12</f>
        <v/>
      </c>
    </row>
    <row r="51">
      <c r="A51" s="2" t="inlineStr">
        <is>
          <t>000005135817</t>
        </is>
      </c>
      <c r="B51" t="inlineStr">
        <is>
          <t>221d4</t>
        </is>
      </c>
      <c r="C51" t="inlineStr">
        <is>
          <t>RP</t>
        </is>
      </c>
      <c r="D51" t="inlineStr">
        <is>
          <t>BERKADIA COMMERCIAL MORTGAGE, LLC</t>
        </is>
      </c>
      <c r="E51" t="n">
        <v>2020</v>
      </c>
      <c r="F51" t="inlineStr">
        <is>
          <t>202602</t>
        </is>
      </c>
      <c r="G51" s="9" t="n">
        <v>36370658.07</v>
      </c>
      <c r="H51" s="13" t="n">
        <v>2.3</v>
      </c>
      <c r="I51" s="14" t="n">
        <v>447</v>
      </c>
      <c r="J51" s="14" t="n">
        <v>7</v>
      </c>
      <c r="K51" t="n">
        <v>64</v>
      </c>
      <c r="L51" t="n">
        <v>206103</v>
      </c>
      <c r="M51" t="inlineStr"/>
      <c r="N51" t="n">
        <v>12</v>
      </c>
      <c r="O51" s="8" t="n">
        <v>0.1875</v>
      </c>
      <c r="P51">
        <f>IF(ISNUMBER(SEARCH("232",B51)),"232",IF(ISNUMBER(SEARCH("538",B51)),"538",IF(ISNUMBER(SEARCH("223a7",B51)),"223a7",IF(ISNUMBER(SEARCH("223f",B51)),"223f","OTHER"))))</f>
        <v/>
      </c>
      <c r="Q51">
        <f>IF(UPPER(C51)="NC","NC","RP")</f>
        <v/>
      </c>
      <c r="R51">
        <f>IF(G51&lt;5000000,"small",IF(G51&lt;25000000,"medium","large"))</f>
        <v/>
      </c>
      <c r="S51">
        <f>IF(K51&lt;36,"young",IF(K51&lt;120,"seasoned","aged"))</f>
        <v/>
      </c>
      <c r="T51">
        <f>P51&amp;"|"&amp;Q51&amp;"|"&amp;R51&amp;"|"&amp;S51</f>
        <v/>
      </c>
      <c r="U51" s="14">
        <f>H51*100-I51</f>
        <v/>
      </c>
      <c r="V51" s="14">
        <f>U51-12.5*(J51+1)</f>
        <v/>
      </c>
      <c r="W51" s="15">
        <f>IFERROR(VLOOKUP(T51,V8_COHORT_TABLE,2,FALSE),IFERROR(VLOOKUP(P51&amp;"|"&amp;Q51&amp;"|ALL|"&amp;S51,V8_COHORT_TABLE,2,FALSE),IFERROR(VLOOKUP(P51&amp;"|ALL|ALL|"&amp;S51,V8_COHORT_TABLE,2,FALSE),IFERROR(VLOOKUP(P51&amp;"|ALL|ALL|ALL",V8_COHORT_TABLE,2,FALSE),VLOOKUP("GLOBAL",V8_COHORT_TABLE,2,FALSE)))))</f>
        <v/>
      </c>
      <c r="X51" s="15">
        <f>IFERROR(VLOOKUP(T51,V8_COHORT_TABLE,3,FALSE),IFERROR(VLOOKUP(P51&amp;"|"&amp;Q51&amp;"|ALL|"&amp;S51,V8_COHORT_TABLE,3,FALSE),IFERROR(VLOOKUP(P51&amp;"|ALL|ALL|"&amp;S51,V8_COHORT_TABLE,3,FALSE),IFERROR(VLOOKUP(P51&amp;"|ALL|ALL|ALL",V8_COHORT_TABLE,3,FALSE),VLOOKUP("GLOBAL",V8_COHORT_TABLE,3,FALSE)))))</f>
        <v/>
      </c>
      <c r="Y51" s="15">
        <f>IFERROR(VLOOKUP(T51,V8_COHORT_TABLE,4,FALSE),IFERROR(VLOOKUP(P51&amp;"|"&amp;Q51&amp;"|ALL|"&amp;S51,V8_COHORT_TABLE,4,FALSE),IFERROR(VLOOKUP(P51&amp;"|ALL|ALL|"&amp;S51,V8_COHORT_TABLE,4,FALSE),IFERROR(VLOOKUP(P51&amp;"|ALL|ALL|ALL",V8_COHORT_TABLE,4,FALSE),VLOOKUP("GLOBAL",V8_COHORT_TABLE,4,FALSE)))))</f>
        <v/>
      </c>
      <c r="Z51" s="15">
        <f>IFERROR(VLOOKUP(T51,V8_COHORT_TABLE,5,FALSE),IFERROR(VLOOKUP(P51&amp;"|"&amp;Q51&amp;"|ALL|"&amp;S51,V8_COHORT_TABLE,5,FALSE),IFERROR(VLOOKUP(P51&amp;"|ALL|ALL|"&amp;S51,V8_COHORT_TABLE,5,FALSE),IFERROR(VLOOKUP(P51&amp;"|ALL|ALL|ALL",V8_COHORT_TABLE,5,FALSE),VLOOKUP("GLOBAL",V8_COHORT_TABLE,5,FALSE)))))</f>
        <v/>
      </c>
      <c r="AA51" s="15">
        <f>W51+X51/(1+EXP(-(V51-Y51)/Z51))</f>
        <v/>
      </c>
      <c r="AB51" s="15">
        <f>IFERROR(VLOOKUP(T51,V8_COHORT_TABLE,6,FALSE),IFERROR(VLOOKUP(P51&amp;"|"&amp;Q51&amp;"|ALL|"&amp;S51,V8_COHORT_TABLE,6,FALSE),IFERROR(VLOOKUP(P51&amp;"|ALL|ALL|"&amp;S51,V8_COHORT_TABLE,6,FALSE),IFERROR(VLOOKUP(P51&amp;"|ALL|ALL|ALL",V8_COHORT_TABLE,6,FALSE),VLOOKUP("GLOBAL",V8_COHORT_TABLE,6,FALSE)))))</f>
        <v/>
      </c>
      <c r="AC51" s="15">
        <f>IFERROR(VLOOKUP(T51,V8_COHORT_TABLE,7,FALSE),IFERROR(VLOOKUP(P51&amp;"|"&amp;Q51&amp;"|ALL|"&amp;S51,V8_COHORT_TABLE,7,FALSE),IFERROR(VLOOKUP(P51&amp;"|ALL|ALL|"&amp;S51,V8_COHORT_TABLE,7,FALSE),IFERROR(VLOOKUP(P51&amp;"|ALL|ALL|ALL",V8_COHORT_TABLE,7,FALSE),VLOOKUP("GLOBAL",V8_COHORT_TABLE,7,FALSE)))))</f>
        <v/>
      </c>
      <c r="AD51" s="15">
        <f>IFERROR(VLOOKUP(T51,V8_COHORT_TABLE,8,FALSE),IFERROR(VLOOKUP(P51&amp;"|"&amp;Q51&amp;"|ALL|"&amp;S51,V8_COHORT_TABLE,8,FALSE),IFERROR(VLOOKUP(P51&amp;"|ALL|ALL|"&amp;S51,V8_COHORT_TABLE,8,FALSE),IFERROR(VLOOKUP(P51&amp;"|ALL|ALL|ALL",V8_COHORT_TABLE,8,FALSE),VLOOKUP("GLOBAL",V8_COHORT_TABLE,8,FALSE)))))</f>
        <v/>
      </c>
      <c r="AE51" s="15">
        <f>IFERROR(VLOOKUP(T51,V8_COHORT_TABLE,9,FALSE),IFERROR(VLOOKUP(P51&amp;"|"&amp;Q51&amp;"|ALL|"&amp;S51,V8_COHORT_TABLE,9,FALSE),IFERROR(VLOOKUP(P51&amp;"|ALL|ALL|"&amp;S51,V8_COHORT_TABLE,9,FALSE),IFERROR(VLOOKUP(P51&amp;"|ALL|ALL|ALL",V8_COHORT_TABLE,9,FALSE),VLOOKUP("GLOBAL",V8_COHORT_TABLE,9,FALSE)))))</f>
        <v/>
      </c>
      <c r="AF51" s="8">
        <f>IF(K51&lt;=0,AB51,IF(K51&gt;=240,AE51,IF(K51&lt;=24,AB51+(K51-0)/24*(AC51-AB51),IF(K51&lt;=96,AC51+(K51-24)/72*(AD51-AC51),AD51+(K51-96)/144*(AE51-AD51)))))</f>
        <v/>
      </c>
      <c r="AG51" s="8">
        <f>IF(IF(OR(L51="",NOT(ISNUMBER(L51))),360,MAX(0,MIN(480,(INT(L51/100)-INT(VALUE(F51)/100))*12+MOD(L51,100)-MOD(VALUE(F51),100))))&gt;0,1+V8_MTY_AMP*MAX(0,(V8_MTY_CUTOFF-(IF(OR(L51="",NOT(ISNUMBER(L51))),360,MAX(0,MIN(480,(INT(L51/100)-INT(VALUE(F51)/100))*12+MOD(L51,100)-MOD(VALUE(F51),100))))))/V8_MTY_CUTOFF),1)</f>
        <v/>
      </c>
      <c r="AH51" s="8">
        <f>IF(AND(IF(OR(M51="",NOT(ISNUMBER(M51))),0,MAX(0,MIN(24,(INT(VALUE(F51)/100)-INT(M51/100))*12+MOD(VALUE(F51),100)-MOD(M51,100))))&gt;0,IF(OR(M51="",NOT(ISNUMBER(M51))),0,MAX(0,MIN(24,(INT(VALUE(F51)/100)-INT(M51/100))*12+MOD(VALUE(F51),100)-MOD(M51,100))))&lt;=12),1+V8_LOCKOUT_AMP*EXP(-(IF(OR(M51="",NOT(ISNUMBER(M51))),0,MAX(0,MIN(24,(INT(VALUE(F51)/100)-INT(M51/100))*12+MOD(VALUE(F51),100)-MOD(M51,100)))))/V8_LOCKOUT_TAU),1)</f>
        <v/>
      </c>
      <c r="AI51" s="8">
        <f>MAX(V8_BURN_FLOOR,1-V8_BURN_SLOPE*MIN(1,MAX(0,O51)))</f>
        <v/>
      </c>
      <c r="AJ51" s="15">
        <f>MIN(AA51*AF51*AG51*AH51*AI51,0.2)</f>
        <v/>
      </c>
      <c r="AK51" s="16">
        <f>1-(1-AJ51)^12</f>
        <v/>
      </c>
    </row>
    <row r="52">
      <c r="A52" s="2" t="inlineStr">
        <is>
          <t>000010511134</t>
        </is>
      </c>
      <c r="B52" t="inlineStr">
        <is>
          <t>223f</t>
        </is>
      </c>
      <c r="C52" t="inlineStr">
        <is>
          <t>RP</t>
        </is>
      </c>
      <c r="D52" t="inlineStr">
        <is>
          <t>BERKADIA COMMERCIAL MORTGAGE, LLC</t>
        </is>
      </c>
      <c r="E52" t="n">
        <v>2022</v>
      </c>
      <c r="F52" t="inlineStr">
        <is>
          <t>202602</t>
        </is>
      </c>
      <c r="G52" s="9" t="n">
        <v>40172297.82</v>
      </c>
      <c r="H52" s="13" t="n">
        <v>3.68</v>
      </c>
      <c r="I52" s="14" t="n">
        <v>447</v>
      </c>
      <c r="J52" s="14" t="n">
        <v>8</v>
      </c>
      <c r="K52" t="n">
        <v>46</v>
      </c>
      <c r="L52" t="n">
        <v>205709</v>
      </c>
      <c r="M52" t="inlineStr"/>
      <c r="N52" t="n">
        <v>0</v>
      </c>
      <c r="O52" s="8" t="n">
        <v>0</v>
      </c>
      <c r="P52">
        <f>IF(ISNUMBER(SEARCH("232",B52)),"232",IF(ISNUMBER(SEARCH("538",B52)),"538",IF(ISNUMBER(SEARCH("223a7",B52)),"223a7",IF(ISNUMBER(SEARCH("223f",B52)),"223f","OTHER"))))</f>
        <v/>
      </c>
      <c r="Q52">
        <f>IF(UPPER(C52)="NC","NC","RP")</f>
        <v/>
      </c>
      <c r="R52">
        <f>IF(G52&lt;5000000,"small",IF(G52&lt;25000000,"medium","large"))</f>
        <v/>
      </c>
      <c r="S52">
        <f>IF(K52&lt;36,"young",IF(K52&lt;120,"seasoned","aged"))</f>
        <v/>
      </c>
      <c r="T52">
        <f>P52&amp;"|"&amp;Q52&amp;"|"&amp;R52&amp;"|"&amp;S52</f>
        <v/>
      </c>
      <c r="U52" s="14">
        <f>H52*100-I52</f>
        <v/>
      </c>
      <c r="V52" s="14">
        <f>U52-12.5*(J52+1)</f>
        <v/>
      </c>
      <c r="W52" s="15">
        <f>IFERROR(VLOOKUP(T52,V8_COHORT_TABLE,2,FALSE),IFERROR(VLOOKUP(P52&amp;"|"&amp;Q52&amp;"|ALL|"&amp;S52,V8_COHORT_TABLE,2,FALSE),IFERROR(VLOOKUP(P52&amp;"|ALL|ALL|"&amp;S52,V8_COHORT_TABLE,2,FALSE),IFERROR(VLOOKUP(P52&amp;"|ALL|ALL|ALL",V8_COHORT_TABLE,2,FALSE),VLOOKUP("GLOBAL",V8_COHORT_TABLE,2,FALSE)))))</f>
        <v/>
      </c>
      <c r="X52" s="15">
        <f>IFERROR(VLOOKUP(T52,V8_COHORT_TABLE,3,FALSE),IFERROR(VLOOKUP(P52&amp;"|"&amp;Q52&amp;"|ALL|"&amp;S52,V8_COHORT_TABLE,3,FALSE),IFERROR(VLOOKUP(P52&amp;"|ALL|ALL|"&amp;S52,V8_COHORT_TABLE,3,FALSE),IFERROR(VLOOKUP(P52&amp;"|ALL|ALL|ALL",V8_COHORT_TABLE,3,FALSE),VLOOKUP("GLOBAL",V8_COHORT_TABLE,3,FALSE)))))</f>
        <v/>
      </c>
      <c r="Y52" s="15">
        <f>IFERROR(VLOOKUP(T52,V8_COHORT_TABLE,4,FALSE),IFERROR(VLOOKUP(P52&amp;"|"&amp;Q52&amp;"|ALL|"&amp;S52,V8_COHORT_TABLE,4,FALSE),IFERROR(VLOOKUP(P52&amp;"|ALL|ALL|"&amp;S52,V8_COHORT_TABLE,4,FALSE),IFERROR(VLOOKUP(P52&amp;"|ALL|ALL|ALL",V8_COHORT_TABLE,4,FALSE),VLOOKUP("GLOBAL",V8_COHORT_TABLE,4,FALSE)))))</f>
        <v/>
      </c>
      <c r="Z52" s="15">
        <f>IFERROR(VLOOKUP(T52,V8_COHORT_TABLE,5,FALSE),IFERROR(VLOOKUP(P52&amp;"|"&amp;Q52&amp;"|ALL|"&amp;S52,V8_COHORT_TABLE,5,FALSE),IFERROR(VLOOKUP(P52&amp;"|ALL|ALL|"&amp;S52,V8_COHORT_TABLE,5,FALSE),IFERROR(VLOOKUP(P52&amp;"|ALL|ALL|ALL",V8_COHORT_TABLE,5,FALSE),VLOOKUP("GLOBAL",V8_COHORT_TABLE,5,FALSE)))))</f>
        <v/>
      </c>
      <c r="AA52" s="15">
        <f>W52+X52/(1+EXP(-(V52-Y52)/Z52))</f>
        <v/>
      </c>
      <c r="AB52" s="15">
        <f>IFERROR(VLOOKUP(T52,V8_COHORT_TABLE,6,FALSE),IFERROR(VLOOKUP(P52&amp;"|"&amp;Q52&amp;"|ALL|"&amp;S52,V8_COHORT_TABLE,6,FALSE),IFERROR(VLOOKUP(P52&amp;"|ALL|ALL|"&amp;S52,V8_COHORT_TABLE,6,FALSE),IFERROR(VLOOKUP(P52&amp;"|ALL|ALL|ALL",V8_COHORT_TABLE,6,FALSE),VLOOKUP("GLOBAL",V8_COHORT_TABLE,6,FALSE)))))</f>
        <v/>
      </c>
      <c r="AC52" s="15">
        <f>IFERROR(VLOOKUP(T52,V8_COHORT_TABLE,7,FALSE),IFERROR(VLOOKUP(P52&amp;"|"&amp;Q52&amp;"|ALL|"&amp;S52,V8_COHORT_TABLE,7,FALSE),IFERROR(VLOOKUP(P52&amp;"|ALL|ALL|"&amp;S52,V8_COHORT_TABLE,7,FALSE),IFERROR(VLOOKUP(P52&amp;"|ALL|ALL|ALL",V8_COHORT_TABLE,7,FALSE),VLOOKUP("GLOBAL",V8_COHORT_TABLE,7,FALSE)))))</f>
        <v/>
      </c>
      <c r="AD52" s="15">
        <f>IFERROR(VLOOKUP(T52,V8_COHORT_TABLE,8,FALSE),IFERROR(VLOOKUP(P52&amp;"|"&amp;Q52&amp;"|ALL|"&amp;S52,V8_COHORT_TABLE,8,FALSE),IFERROR(VLOOKUP(P52&amp;"|ALL|ALL|"&amp;S52,V8_COHORT_TABLE,8,FALSE),IFERROR(VLOOKUP(P52&amp;"|ALL|ALL|ALL",V8_COHORT_TABLE,8,FALSE),VLOOKUP("GLOBAL",V8_COHORT_TABLE,8,FALSE)))))</f>
        <v/>
      </c>
      <c r="AE52" s="15">
        <f>IFERROR(VLOOKUP(T52,V8_COHORT_TABLE,9,FALSE),IFERROR(VLOOKUP(P52&amp;"|"&amp;Q52&amp;"|ALL|"&amp;S52,V8_COHORT_TABLE,9,FALSE),IFERROR(VLOOKUP(P52&amp;"|ALL|ALL|"&amp;S52,V8_COHORT_TABLE,9,FALSE),IFERROR(VLOOKUP(P52&amp;"|ALL|ALL|ALL",V8_COHORT_TABLE,9,FALSE),VLOOKUP("GLOBAL",V8_COHORT_TABLE,9,FALSE)))))</f>
        <v/>
      </c>
      <c r="AF52" s="8">
        <f>IF(K52&lt;=0,AB52,IF(K52&gt;=240,AE52,IF(K52&lt;=24,AB52+(K52-0)/24*(AC52-AB52),IF(K52&lt;=96,AC52+(K52-24)/72*(AD52-AC52),AD52+(K52-96)/144*(AE52-AD52)))))</f>
        <v/>
      </c>
      <c r="AG52" s="8">
        <f>IF(IF(OR(L52="",NOT(ISNUMBER(L52))),360,MAX(0,MIN(480,(INT(L52/100)-INT(VALUE(F52)/100))*12+MOD(L52,100)-MOD(VALUE(F52),100))))&gt;0,1+V8_MTY_AMP*MAX(0,(V8_MTY_CUTOFF-(IF(OR(L52="",NOT(ISNUMBER(L52))),360,MAX(0,MIN(480,(INT(L52/100)-INT(VALUE(F52)/100))*12+MOD(L52,100)-MOD(VALUE(F52),100))))))/V8_MTY_CUTOFF),1)</f>
        <v/>
      </c>
      <c r="AH52" s="8">
        <f>IF(AND(IF(OR(M52="",NOT(ISNUMBER(M52))),0,MAX(0,MIN(24,(INT(VALUE(F52)/100)-INT(M52/100))*12+MOD(VALUE(F52),100)-MOD(M52,100))))&gt;0,IF(OR(M52="",NOT(ISNUMBER(M52))),0,MAX(0,MIN(24,(INT(VALUE(F52)/100)-INT(M52/100))*12+MOD(VALUE(F52),100)-MOD(M52,100))))&lt;=12),1+V8_LOCKOUT_AMP*EXP(-(IF(OR(M52="",NOT(ISNUMBER(M52))),0,MAX(0,MIN(24,(INT(VALUE(F52)/100)-INT(M52/100))*12+MOD(VALUE(F52),100)-MOD(M52,100)))))/V8_LOCKOUT_TAU),1)</f>
        <v/>
      </c>
      <c r="AI52" s="8">
        <f>MAX(V8_BURN_FLOOR,1-V8_BURN_SLOPE*MIN(1,MAX(0,O52)))</f>
        <v/>
      </c>
      <c r="AJ52" s="15">
        <f>MIN(AA52*AF52*AG52*AH52*AI52,0.2)</f>
        <v/>
      </c>
      <c r="AK52" s="16">
        <f>1-(1-AJ52)^12</f>
        <v/>
      </c>
    </row>
    <row r="53">
      <c r="A53" s="2" t="inlineStr">
        <is>
          <t>000005135731</t>
        </is>
      </c>
      <c r="B53" t="inlineStr">
        <is>
          <t>221d4</t>
        </is>
      </c>
      <c r="C53" t="inlineStr">
        <is>
          <t>RP</t>
        </is>
      </c>
      <c r="D53" t="inlineStr">
        <is>
          <t>BERKADIA COMMERCIAL MORTGAGE, LLC</t>
        </is>
      </c>
      <c r="E53" t="n">
        <v>2016</v>
      </c>
      <c r="F53" t="inlineStr">
        <is>
          <t>202602</t>
        </is>
      </c>
      <c r="G53" s="9" t="n">
        <v>14661111.14</v>
      </c>
      <c r="H53" s="13" t="n">
        <v>3.43</v>
      </c>
      <c r="I53" s="14" t="n">
        <v>447</v>
      </c>
      <c r="J53" s="14" t="n">
        <v>2</v>
      </c>
      <c r="K53" t="n">
        <v>112</v>
      </c>
      <c r="L53" t="n">
        <v>205612</v>
      </c>
      <c r="M53" t="inlineStr"/>
      <c r="N53" t="n">
        <v>25</v>
      </c>
      <c r="O53" s="8" t="n">
        <v>0.2232142857142857</v>
      </c>
      <c r="P53">
        <f>IF(ISNUMBER(SEARCH("232",B53)),"232",IF(ISNUMBER(SEARCH("538",B53)),"538",IF(ISNUMBER(SEARCH("223a7",B53)),"223a7",IF(ISNUMBER(SEARCH("223f",B53)),"223f","OTHER"))))</f>
        <v/>
      </c>
      <c r="Q53">
        <f>IF(UPPER(C53)="NC","NC","RP")</f>
        <v/>
      </c>
      <c r="R53">
        <f>IF(G53&lt;5000000,"small",IF(G53&lt;25000000,"medium","large"))</f>
        <v/>
      </c>
      <c r="S53">
        <f>IF(K53&lt;36,"young",IF(K53&lt;120,"seasoned","aged"))</f>
        <v/>
      </c>
      <c r="T53">
        <f>P53&amp;"|"&amp;Q53&amp;"|"&amp;R53&amp;"|"&amp;S53</f>
        <v/>
      </c>
      <c r="U53" s="14">
        <f>H53*100-I53</f>
        <v/>
      </c>
      <c r="V53" s="14">
        <f>U53-12.5*(J53+1)</f>
        <v/>
      </c>
      <c r="W53" s="15">
        <f>IFERROR(VLOOKUP(T53,V8_COHORT_TABLE,2,FALSE),IFERROR(VLOOKUP(P53&amp;"|"&amp;Q53&amp;"|ALL|"&amp;S53,V8_COHORT_TABLE,2,FALSE),IFERROR(VLOOKUP(P53&amp;"|ALL|ALL|"&amp;S53,V8_COHORT_TABLE,2,FALSE),IFERROR(VLOOKUP(P53&amp;"|ALL|ALL|ALL",V8_COHORT_TABLE,2,FALSE),VLOOKUP("GLOBAL",V8_COHORT_TABLE,2,FALSE)))))</f>
        <v/>
      </c>
      <c r="X53" s="15">
        <f>IFERROR(VLOOKUP(T53,V8_COHORT_TABLE,3,FALSE),IFERROR(VLOOKUP(P53&amp;"|"&amp;Q53&amp;"|ALL|"&amp;S53,V8_COHORT_TABLE,3,FALSE),IFERROR(VLOOKUP(P53&amp;"|ALL|ALL|"&amp;S53,V8_COHORT_TABLE,3,FALSE),IFERROR(VLOOKUP(P53&amp;"|ALL|ALL|ALL",V8_COHORT_TABLE,3,FALSE),VLOOKUP("GLOBAL",V8_COHORT_TABLE,3,FALSE)))))</f>
        <v/>
      </c>
      <c r="Y53" s="15">
        <f>IFERROR(VLOOKUP(T53,V8_COHORT_TABLE,4,FALSE),IFERROR(VLOOKUP(P53&amp;"|"&amp;Q53&amp;"|ALL|"&amp;S53,V8_COHORT_TABLE,4,FALSE),IFERROR(VLOOKUP(P53&amp;"|ALL|ALL|"&amp;S53,V8_COHORT_TABLE,4,FALSE),IFERROR(VLOOKUP(P53&amp;"|ALL|ALL|ALL",V8_COHORT_TABLE,4,FALSE),VLOOKUP("GLOBAL",V8_COHORT_TABLE,4,FALSE)))))</f>
        <v/>
      </c>
      <c r="Z53" s="15">
        <f>IFERROR(VLOOKUP(T53,V8_COHORT_TABLE,5,FALSE),IFERROR(VLOOKUP(P53&amp;"|"&amp;Q53&amp;"|ALL|"&amp;S53,V8_COHORT_TABLE,5,FALSE),IFERROR(VLOOKUP(P53&amp;"|ALL|ALL|"&amp;S53,V8_COHORT_TABLE,5,FALSE),IFERROR(VLOOKUP(P53&amp;"|ALL|ALL|ALL",V8_COHORT_TABLE,5,FALSE),VLOOKUP("GLOBAL",V8_COHORT_TABLE,5,FALSE)))))</f>
        <v/>
      </c>
      <c r="AA53" s="15">
        <f>W53+X53/(1+EXP(-(V53-Y53)/Z53))</f>
        <v/>
      </c>
      <c r="AB53" s="15">
        <f>IFERROR(VLOOKUP(T53,V8_COHORT_TABLE,6,FALSE),IFERROR(VLOOKUP(P53&amp;"|"&amp;Q53&amp;"|ALL|"&amp;S53,V8_COHORT_TABLE,6,FALSE),IFERROR(VLOOKUP(P53&amp;"|ALL|ALL|"&amp;S53,V8_COHORT_TABLE,6,FALSE),IFERROR(VLOOKUP(P53&amp;"|ALL|ALL|ALL",V8_COHORT_TABLE,6,FALSE),VLOOKUP("GLOBAL",V8_COHORT_TABLE,6,FALSE)))))</f>
        <v/>
      </c>
      <c r="AC53" s="15">
        <f>IFERROR(VLOOKUP(T53,V8_COHORT_TABLE,7,FALSE),IFERROR(VLOOKUP(P53&amp;"|"&amp;Q53&amp;"|ALL|"&amp;S53,V8_COHORT_TABLE,7,FALSE),IFERROR(VLOOKUP(P53&amp;"|ALL|ALL|"&amp;S53,V8_COHORT_TABLE,7,FALSE),IFERROR(VLOOKUP(P53&amp;"|ALL|ALL|ALL",V8_COHORT_TABLE,7,FALSE),VLOOKUP("GLOBAL",V8_COHORT_TABLE,7,FALSE)))))</f>
        <v/>
      </c>
      <c r="AD53" s="15">
        <f>IFERROR(VLOOKUP(T53,V8_COHORT_TABLE,8,FALSE),IFERROR(VLOOKUP(P53&amp;"|"&amp;Q53&amp;"|ALL|"&amp;S53,V8_COHORT_TABLE,8,FALSE),IFERROR(VLOOKUP(P53&amp;"|ALL|ALL|"&amp;S53,V8_COHORT_TABLE,8,FALSE),IFERROR(VLOOKUP(P53&amp;"|ALL|ALL|ALL",V8_COHORT_TABLE,8,FALSE),VLOOKUP("GLOBAL",V8_COHORT_TABLE,8,FALSE)))))</f>
        <v/>
      </c>
      <c r="AE53" s="15">
        <f>IFERROR(VLOOKUP(T53,V8_COHORT_TABLE,9,FALSE),IFERROR(VLOOKUP(P53&amp;"|"&amp;Q53&amp;"|ALL|"&amp;S53,V8_COHORT_TABLE,9,FALSE),IFERROR(VLOOKUP(P53&amp;"|ALL|ALL|"&amp;S53,V8_COHORT_TABLE,9,FALSE),IFERROR(VLOOKUP(P53&amp;"|ALL|ALL|ALL",V8_COHORT_TABLE,9,FALSE),VLOOKUP("GLOBAL",V8_COHORT_TABLE,9,FALSE)))))</f>
        <v/>
      </c>
      <c r="AF53" s="8">
        <f>IF(K53&lt;=0,AB53,IF(K53&gt;=240,AE53,IF(K53&lt;=24,AB53+(K53-0)/24*(AC53-AB53),IF(K53&lt;=96,AC53+(K53-24)/72*(AD53-AC53),AD53+(K53-96)/144*(AE53-AD53)))))</f>
        <v/>
      </c>
      <c r="AG53" s="8">
        <f>IF(IF(OR(L53="",NOT(ISNUMBER(L53))),360,MAX(0,MIN(480,(INT(L53/100)-INT(VALUE(F53)/100))*12+MOD(L53,100)-MOD(VALUE(F53),100))))&gt;0,1+V8_MTY_AMP*MAX(0,(V8_MTY_CUTOFF-(IF(OR(L53="",NOT(ISNUMBER(L53))),360,MAX(0,MIN(480,(INT(L53/100)-INT(VALUE(F53)/100))*12+MOD(L53,100)-MOD(VALUE(F53),100))))))/V8_MTY_CUTOFF),1)</f>
        <v/>
      </c>
      <c r="AH53" s="8">
        <f>IF(AND(IF(OR(M53="",NOT(ISNUMBER(M53))),0,MAX(0,MIN(24,(INT(VALUE(F53)/100)-INT(M53/100))*12+MOD(VALUE(F53),100)-MOD(M53,100))))&gt;0,IF(OR(M53="",NOT(ISNUMBER(M53))),0,MAX(0,MIN(24,(INT(VALUE(F53)/100)-INT(M53/100))*12+MOD(VALUE(F53),100)-MOD(M53,100))))&lt;=12),1+V8_LOCKOUT_AMP*EXP(-(IF(OR(M53="",NOT(ISNUMBER(M53))),0,MAX(0,MIN(24,(INT(VALUE(F53)/100)-INT(M53/100))*12+MOD(VALUE(F53),100)-MOD(M53,100)))))/V8_LOCKOUT_TAU),1)</f>
        <v/>
      </c>
      <c r="AI53" s="8">
        <f>MAX(V8_BURN_FLOOR,1-V8_BURN_SLOPE*MIN(1,MAX(0,O53)))</f>
        <v/>
      </c>
      <c r="AJ53" s="15">
        <f>MIN(AA53*AF53*AG53*AH53*AI53,0.2)</f>
        <v/>
      </c>
      <c r="AK53" s="16">
        <f>1-(1-AJ53)^12</f>
        <v/>
      </c>
    </row>
    <row r="54">
      <c r="A54" s="2" t="inlineStr">
        <is>
          <t>000012711148</t>
        </is>
      </c>
      <c r="B54" t="inlineStr">
        <is>
          <t>223f</t>
        </is>
      </c>
      <c r="C54" t="inlineStr">
        <is>
          <t>RP</t>
        </is>
      </c>
      <c r="D54" t="inlineStr">
        <is>
          <t>BERKADIA COMMERCIAL MORTGAGE, LLC</t>
        </is>
      </c>
      <c r="E54" t="n">
        <v>2010</v>
      </c>
      <c r="F54" t="inlineStr">
        <is>
          <t>202602</t>
        </is>
      </c>
      <c r="G54" s="9" t="n">
        <v>1950356.32</v>
      </c>
      <c r="H54" s="13" t="n">
        <v>4.34</v>
      </c>
      <c r="I54" s="14" t="n">
        <v>447</v>
      </c>
      <c r="J54" s="14" t="n">
        <v>0</v>
      </c>
      <c r="K54" t="n">
        <v>191</v>
      </c>
      <c r="L54" t="n">
        <v>204508</v>
      </c>
      <c r="M54" t="inlineStr"/>
      <c r="N54" t="n">
        <v>39</v>
      </c>
      <c r="O54" s="8" t="n">
        <v>0.2041884816753927</v>
      </c>
      <c r="P54">
        <f>IF(ISNUMBER(SEARCH("232",B54)),"232",IF(ISNUMBER(SEARCH("538",B54)),"538",IF(ISNUMBER(SEARCH("223a7",B54)),"223a7",IF(ISNUMBER(SEARCH("223f",B54)),"223f","OTHER"))))</f>
        <v/>
      </c>
      <c r="Q54">
        <f>IF(UPPER(C54)="NC","NC","RP")</f>
        <v/>
      </c>
      <c r="R54">
        <f>IF(G54&lt;5000000,"small",IF(G54&lt;25000000,"medium","large"))</f>
        <v/>
      </c>
      <c r="S54">
        <f>IF(K54&lt;36,"young",IF(K54&lt;120,"seasoned","aged"))</f>
        <v/>
      </c>
      <c r="T54">
        <f>P54&amp;"|"&amp;Q54&amp;"|"&amp;R54&amp;"|"&amp;S54</f>
        <v/>
      </c>
      <c r="U54" s="14">
        <f>H54*100-I54</f>
        <v/>
      </c>
      <c r="V54" s="14">
        <f>U54-12.5*(J54+1)</f>
        <v/>
      </c>
      <c r="W54" s="15">
        <f>IFERROR(VLOOKUP(T54,V8_COHORT_TABLE,2,FALSE),IFERROR(VLOOKUP(P54&amp;"|"&amp;Q54&amp;"|ALL|"&amp;S54,V8_COHORT_TABLE,2,FALSE),IFERROR(VLOOKUP(P54&amp;"|ALL|ALL|"&amp;S54,V8_COHORT_TABLE,2,FALSE),IFERROR(VLOOKUP(P54&amp;"|ALL|ALL|ALL",V8_COHORT_TABLE,2,FALSE),VLOOKUP("GLOBAL",V8_COHORT_TABLE,2,FALSE)))))</f>
        <v/>
      </c>
      <c r="X54" s="15">
        <f>IFERROR(VLOOKUP(T54,V8_COHORT_TABLE,3,FALSE),IFERROR(VLOOKUP(P54&amp;"|"&amp;Q54&amp;"|ALL|"&amp;S54,V8_COHORT_TABLE,3,FALSE),IFERROR(VLOOKUP(P54&amp;"|ALL|ALL|"&amp;S54,V8_COHORT_TABLE,3,FALSE),IFERROR(VLOOKUP(P54&amp;"|ALL|ALL|ALL",V8_COHORT_TABLE,3,FALSE),VLOOKUP("GLOBAL",V8_COHORT_TABLE,3,FALSE)))))</f>
        <v/>
      </c>
      <c r="Y54" s="15">
        <f>IFERROR(VLOOKUP(T54,V8_COHORT_TABLE,4,FALSE),IFERROR(VLOOKUP(P54&amp;"|"&amp;Q54&amp;"|ALL|"&amp;S54,V8_COHORT_TABLE,4,FALSE),IFERROR(VLOOKUP(P54&amp;"|ALL|ALL|"&amp;S54,V8_COHORT_TABLE,4,FALSE),IFERROR(VLOOKUP(P54&amp;"|ALL|ALL|ALL",V8_COHORT_TABLE,4,FALSE),VLOOKUP("GLOBAL",V8_COHORT_TABLE,4,FALSE)))))</f>
        <v/>
      </c>
      <c r="Z54" s="15">
        <f>IFERROR(VLOOKUP(T54,V8_COHORT_TABLE,5,FALSE),IFERROR(VLOOKUP(P54&amp;"|"&amp;Q54&amp;"|ALL|"&amp;S54,V8_COHORT_TABLE,5,FALSE),IFERROR(VLOOKUP(P54&amp;"|ALL|ALL|"&amp;S54,V8_COHORT_TABLE,5,FALSE),IFERROR(VLOOKUP(P54&amp;"|ALL|ALL|ALL",V8_COHORT_TABLE,5,FALSE),VLOOKUP("GLOBAL",V8_COHORT_TABLE,5,FALSE)))))</f>
        <v/>
      </c>
      <c r="AA54" s="15">
        <f>W54+X54/(1+EXP(-(V54-Y54)/Z54))</f>
        <v/>
      </c>
      <c r="AB54" s="15">
        <f>IFERROR(VLOOKUP(T54,V8_COHORT_TABLE,6,FALSE),IFERROR(VLOOKUP(P54&amp;"|"&amp;Q54&amp;"|ALL|"&amp;S54,V8_COHORT_TABLE,6,FALSE),IFERROR(VLOOKUP(P54&amp;"|ALL|ALL|"&amp;S54,V8_COHORT_TABLE,6,FALSE),IFERROR(VLOOKUP(P54&amp;"|ALL|ALL|ALL",V8_COHORT_TABLE,6,FALSE),VLOOKUP("GLOBAL",V8_COHORT_TABLE,6,FALSE)))))</f>
        <v/>
      </c>
      <c r="AC54" s="15">
        <f>IFERROR(VLOOKUP(T54,V8_COHORT_TABLE,7,FALSE),IFERROR(VLOOKUP(P54&amp;"|"&amp;Q54&amp;"|ALL|"&amp;S54,V8_COHORT_TABLE,7,FALSE),IFERROR(VLOOKUP(P54&amp;"|ALL|ALL|"&amp;S54,V8_COHORT_TABLE,7,FALSE),IFERROR(VLOOKUP(P54&amp;"|ALL|ALL|ALL",V8_COHORT_TABLE,7,FALSE),VLOOKUP("GLOBAL",V8_COHORT_TABLE,7,FALSE)))))</f>
        <v/>
      </c>
      <c r="AD54" s="15">
        <f>IFERROR(VLOOKUP(T54,V8_COHORT_TABLE,8,FALSE),IFERROR(VLOOKUP(P54&amp;"|"&amp;Q54&amp;"|ALL|"&amp;S54,V8_COHORT_TABLE,8,FALSE),IFERROR(VLOOKUP(P54&amp;"|ALL|ALL|"&amp;S54,V8_COHORT_TABLE,8,FALSE),IFERROR(VLOOKUP(P54&amp;"|ALL|ALL|ALL",V8_COHORT_TABLE,8,FALSE),VLOOKUP("GLOBAL",V8_COHORT_TABLE,8,FALSE)))))</f>
        <v/>
      </c>
      <c r="AE54" s="15">
        <f>IFERROR(VLOOKUP(T54,V8_COHORT_TABLE,9,FALSE),IFERROR(VLOOKUP(P54&amp;"|"&amp;Q54&amp;"|ALL|"&amp;S54,V8_COHORT_TABLE,9,FALSE),IFERROR(VLOOKUP(P54&amp;"|ALL|ALL|"&amp;S54,V8_COHORT_TABLE,9,FALSE),IFERROR(VLOOKUP(P54&amp;"|ALL|ALL|ALL",V8_COHORT_TABLE,9,FALSE),VLOOKUP("GLOBAL",V8_COHORT_TABLE,9,FALSE)))))</f>
        <v/>
      </c>
      <c r="AF54" s="8">
        <f>IF(K54&lt;=0,AB54,IF(K54&gt;=240,AE54,IF(K54&lt;=24,AB54+(K54-0)/24*(AC54-AB54),IF(K54&lt;=96,AC54+(K54-24)/72*(AD54-AC54),AD54+(K54-96)/144*(AE54-AD54)))))</f>
        <v/>
      </c>
      <c r="AG54" s="8">
        <f>IF(IF(OR(L54="",NOT(ISNUMBER(L54))),360,MAX(0,MIN(480,(INT(L54/100)-INT(VALUE(F54)/100))*12+MOD(L54,100)-MOD(VALUE(F54),100))))&gt;0,1+V8_MTY_AMP*MAX(0,(V8_MTY_CUTOFF-(IF(OR(L54="",NOT(ISNUMBER(L54))),360,MAX(0,MIN(480,(INT(L54/100)-INT(VALUE(F54)/100))*12+MOD(L54,100)-MOD(VALUE(F54),100))))))/V8_MTY_CUTOFF),1)</f>
        <v/>
      </c>
      <c r="AH54" s="8">
        <f>IF(AND(IF(OR(M54="",NOT(ISNUMBER(M54))),0,MAX(0,MIN(24,(INT(VALUE(F54)/100)-INT(M54/100))*12+MOD(VALUE(F54),100)-MOD(M54,100))))&gt;0,IF(OR(M54="",NOT(ISNUMBER(M54))),0,MAX(0,MIN(24,(INT(VALUE(F54)/100)-INT(M54/100))*12+MOD(VALUE(F54),100)-MOD(M54,100))))&lt;=12),1+V8_LOCKOUT_AMP*EXP(-(IF(OR(M54="",NOT(ISNUMBER(M54))),0,MAX(0,MIN(24,(INT(VALUE(F54)/100)-INT(M54/100))*12+MOD(VALUE(F54),100)-MOD(M54,100)))))/V8_LOCKOUT_TAU),1)</f>
        <v/>
      </c>
      <c r="AI54" s="8">
        <f>MAX(V8_BURN_FLOOR,1-V8_BURN_SLOPE*MIN(1,MAX(0,O54)))</f>
        <v/>
      </c>
      <c r="AJ54" s="15">
        <f>MIN(AA54*AF54*AG54*AH54*AI54,0.2)</f>
        <v/>
      </c>
      <c r="AK54" s="16">
        <f>1-(1-AJ54)^12</f>
        <v/>
      </c>
    </row>
    <row r="55">
      <c r="A55" s="2" t="inlineStr">
        <is>
          <t>000007111460</t>
        </is>
      </c>
      <c r="B55" t="inlineStr">
        <is>
          <t>223f</t>
        </is>
      </c>
      <c r="C55" t="inlineStr">
        <is>
          <t>RP</t>
        </is>
      </c>
      <c r="D55" t="inlineStr">
        <is>
          <t>BERKADIA COMMERCIAL MORTGAGE, LLC</t>
        </is>
      </c>
      <c r="E55" t="n">
        <v>2019</v>
      </c>
      <c r="F55" t="inlineStr">
        <is>
          <t>202602</t>
        </is>
      </c>
      <c r="G55" s="9" t="n">
        <v>7426656.74</v>
      </c>
      <c r="H55" s="13" t="n">
        <v>3.4</v>
      </c>
      <c r="I55" s="14" t="n">
        <v>447</v>
      </c>
      <c r="J55" s="14" t="n">
        <v>5</v>
      </c>
      <c r="K55" t="n">
        <v>80</v>
      </c>
      <c r="L55" t="n">
        <v>205408</v>
      </c>
      <c r="M55" t="inlineStr"/>
      <c r="N55" t="n">
        <v>29</v>
      </c>
      <c r="O55" s="8" t="n">
        <v>0.3625</v>
      </c>
      <c r="P55">
        <f>IF(ISNUMBER(SEARCH("232",B55)),"232",IF(ISNUMBER(SEARCH("538",B55)),"538",IF(ISNUMBER(SEARCH("223a7",B55)),"223a7",IF(ISNUMBER(SEARCH("223f",B55)),"223f","OTHER"))))</f>
        <v/>
      </c>
      <c r="Q55">
        <f>IF(UPPER(C55)="NC","NC","RP")</f>
        <v/>
      </c>
      <c r="R55">
        <f>IF(G55&lt;5000000,"small",IF(G55&lt;25000000,"medium","large"))</f>
        <v/>
      </c>
      <c r="S55">
        <f>IF(K55&lt;36,"young",IF(K55&lt;120,"seasoned","aged"))</f>
        <v/>
      </c>
      <c r="T55">
        <f>P55&amp;"|"&amp;Q55&amp;"|"&amp;R55&amp;"|"&amp;S55</f>
        <v/>
      </c>
      <c r="U55" s="14">
        <f>H55*100-I55</f>
        <v/>
      </c>
      <c r="V55" s="14">
        <f>U55-12.5*(J55+1)</f>
        <v/>
      </c>
      <c r="W55" s="15">
        <f>IFERROR(VLOOKUP(T55,V8_COHORT_TABLE,2,FALSE),IFERROR(VLOOKUP(P55&amp;"|"&amp;Q55&amp;"|ALL|"&amp;S55,V8_COHORT_TABLE,2,FALSE),IFERROR(VLOOKUP(P55&amp;"|ALL|ALL|"&amp;S55,V8_COHORT_TABLE,2,FALSE),IFERROR(VLOOKUP(P55&amp;"|ALL|ALL|ALL",V8_COHORT_TABLE,2,FALSE),VLOOKUP("GLOBAL",V8_COHORT_TABLE,2,FALSE)))))</f>
        <v/>
      </c>
      <c r="X55" s="15">
        <f>IFERROR(VLOOKUP(T55,V8_COHORT_TABLE,3,FALSE),IFERROR(VLOOKUP(P55&amp;"|"&amp;Q55&amp;"|ALL|"&amp;S55,V8_COHORT_TABLE,3,FALSE),IFERROR(VLOOKUP(P55&amp;"|ALL|ALL|"&amp;S55,V8_COHORT_TABLE,3,FALSE),IFERROR(VLOOKUP(P55&amp;"|ALL|ALL|ALL",V8_COHORT_TABLE,3,FALSE),VLOOKUP("GLOBAL",V8_COHORT_TABLE,3,FALSE)))))</f>
        <v/>
      </c>
      <c r="Y55" s="15">
        <f>IFERROR(VLOOKUP(T55,V8_COHORT_TABLE,4,FALSE),IFERROR(VLOOKUP(P55&amp;"|"&amp;Q55&amp;"|ALL|"&amp;S55,V8_COHORT_TABLE,4,FALSE),IFERROR(VLOOKUP(P55&amp;"|ALL|ALL|"&amp;S55,V8_COHORT_TABLE,4,FALSE),IFERROR(VLOOKUP(P55&amp;"|ALL|ALL|ALL",V8_COHORT_TABLE,4,FALSE),VLOOKUP("GLOBAL",V8_COHORT_TABLE,4,FALSE)))))</f>
        <v/>
      </c>
      <c r="Z55" s="15">
        <f>IFERROR(VLOOKUP(T55,V8_COHORT_TABLE,5,FALSE),IFERROR(VLOOKUP(P55&amp;"|"&amp;Q55&amp;"|ALL|"&amp;S55,V8_COHORT_TABLE,5,FALSE),IFERROR(VLOOKUP(P55&amp;"|ALL|ALL|"&amp;S55,V8_COHORT_TABLE,5,FALSE),IFERROR(VLOOKUP(P55&amp;"|ALL|ALL|ALL",V8_COHORT_TABLE,5,FALSE),VLOOKUP("GLOBAL",V8_COHORT_TABLE,5,FALSE)))))</f>
        <v/>
      </c>
      <c r="AA55" s="15">
        <f>W55+X55/(1+EXP(-(V55-Y55)/Z55))</f>
        <v/>
      </c>
      <c r="AB55" s="15">
        <f>IFERROR(VLOOKUP(T55,V8_COHORT_TABLE,6,FALSE),IFERROR(VLOOKUP(P55&amp;"|"&amp;Q55&amp;"|ALL|"&amp;S55,V8_COHORT_TABLE,6,FALSE),IFERROR(VLOOKUP(P55&amp;"|ALL|ALL|"&amp;S55,V8_COHORT_TABLE,6,FALSE),IFERROR(VLOOKUP(P55&amp;"|ALL|ALL|ALL",V8_COHORT_TABLE,6,FALSE),VLOOKUP("GLOBAL",V8_COHORT_TABLE,6,FALSE)))))</f>
        <v/>
      </c>
      <c r="AC55" s="15">
        <f>IFERROR(VLOOKUP(T55,V8_COHORT_TABLE,7,FALSE),IFERROR(VLOOKUP(P55&amp;"|"&amp;Q55&amp;"|ALL|"&amp;S55,V8_COHORT_TABLE,7,FALSE),IFERROR(VLOOKUP(P55&amp;"|ALL|ALL|"&amp;S55,V8_COHORT_TABLE,7,FALSE),IFERROR(VLOOKUP(P55&amp;"|ALL|ALL|ALL",V8_COHORT_TABLE,7,FALSE),VLOOKUP("GLOBAL",V8_COHORT_TABLE,7,FALSE)))))</f>
        <v/>
      </c>
      <c r="AD55" s="15">
        <f>IFERROR(VLOOKUP(T55,V8_COHORT_TABLE,8,FALSE),IFERROR(VLOOKUP(P55&amp;"|"&amp;Q55&amp;"|ALL|"&amp;S55,V8_COHORT_TABLE,8,FALSE),IFERROR(VLOOKUP(P55&amp;"|ALL|ALL|"&amp;S55,V8_COHORT_TABLE,8,FALSE),IFERROR(VLOOKUP(P55&amp;"|ALL|ALL|ALL",V8_COHORT_TABLE,8,FALSE),VLOOKUP("GLOBAL",V8_COHORT_TABLE,8,FALSE)))))</f>
        <v/>
      </c>
      <c r="AE55" s="15">
        <f>IFERROR(VLOOKUP(T55,V8_COHORT_TABLE,9,FALSE),IFERROR(VLOOKUP(P55&amp;"|"&amp;Q55&amp;"|ALL|"&amp;S55,V8_COHORT_TABLE,9,FALSE),IFERROR(VLOOKUP(P55&amp;"|ALL|ALL|"&amp;S55,V8_COHORT_TABLE,9,FALSE),IFERROR(VLOOKUP(P55&amp;"|ALL|ALL|ALL",V8_COHORT_TABLE,9,FALSE),VLOOKUP("GLOBAL",V8_COHORT_TABLE,9,FALSE)))))</f>
        <v/>
      </c>
      <c r="AF55" s="8">
        <f>IF(K55&lt;=0,AB55,IF(K55&gt;=240,AE55,IF(K55&lt;=24,AB55+(K55-0)/24*(AC55-AB55),IF(K55&lt;=96,AC55+(K55-24)/72*(AD55-AC55),AD55+(K55-96)/144*(AE55-AD55)))))</f>
        <v/>
      </c>
      <c r="AG55" s="8">
        <f>IF(IF(OR(L55="",NOT(ISNUMBER(L55))),360,MAX(0,MIN(480,(INT(L55/100)-INT(VALUE(F55)/100))*12+MOD(L55,100)-MOD(VALUE(F55),100))))&gt;0,1+V8_MTY_AMP*MAX(0,(V8_MTY_CUTOFF-(IF(OR(L55="",NOT(ISNUMBER(L55))),360,MAX(0,MIN(480,(INT(L55/100)-INT(VALUE(F55)/100))*12+MOD(L55,100)-MOD(VALUE(F55),100))))))/V8_MTY_CUTOFF),1)</f>
        <v/>
      </c>
      <c r="AH55" s="8">
        <f>IF(AND(IF(OR(M55="",NOT(ISNUMBER(M55))),0,MAX(0,MIN(24,(INT(VALUE(F55)/100)-INT(M55/100))*12+MOD(VALUE(F55),100)-MOD(M55,100))))&gt;0,IF(OR(M55="",NOT(ISNUMBER(M55))),0,MAX(0,MIN(24,(INT(VALUE(F55)/100)-INT(M55/100))*12+MOD(VALUE(F55),100)-MOD(M55,100))))&lt;=12),1+V8_LOCKOUT_AMP*EXP(-(IF(OR(M55="",NOT(ISNUMBER(M55))),0,MAX(0,MIN(24,(INT(VALUE(F55)/100)-INT(M55/100))*12+MOD(VALUE(F55),100)-MOD(M55,100)))))/V8_LOCKOUT_TAU),1)</f>
        <v/>
      </c>
      <c r="AI55" s="8">
        <f>MAX(V8_BURN_FLOOR,1-V8_BURN_SLOPE*MIN(1,MAX(0,O55)))</f>
        <v/>
      </c>
      <c r="AJ55" s="15">
        <f>MIN(AA55*AF55*AG55*AH55*AI55,0.2)</f>
        <v/>
      </c>
      <c r="AK55" s="16">
        <f>1-(1-AJ55)^12</f>
        <v/>
      </c>
    </row>
    <row r="56">
      <c r="A56" s="2" t="inlineStr">
        <is>
          <t>000001411229</t>
        </is>
      </c>
      <c r="B56" t="inlineStr">
        <is>
          <t>223f</t>
        </is>
      </c>
      <c r="C56" t="inlineStr">
        <is>
          <t>RP</t>
        </is>
      </c>
      <c r="D56" t="inlineStr">
        <is>
          <t>BERKADIA COMMERCIAL MORTGAGE, LLC</t>
        </is>
      </c>
      <c r="E56" t="n">
        <v>2014</v>
      </c>
      <c r="F56" t="inlineStr">
        <is>
          <t>202602</t>
        </is>
      </c>
      <c r="G56" s="9" t="n">
        <v>894262.78</v>
      </c>
      <c r="H56" s="13" t="n">
        <v>3.1</v>
      </c>
      <c r="I56" s="14" t="n">
        <v>447</v>
      </c>
      <c r="J56" s="14" t="n">
        <v>6</v>
      </c>
      <c r="K56" t="n">
        <v>142</v>
      </c>
      <c r="L56" t="n">
        <v>204710</v>
      </c>
      <c r="M56" t="inlineStr"/>
      <c r="N56" t="n">
        <v>13</v>
      </c>
      <c r="O56" s="8" t="n">
        <v>0.09154929577464789</v>
      </c>
      <c r="P56">
        <f>IF(ISNUMBER(SEARCH("232",B56)),"232",IF(ISNUMBER(SEARCH("538",B56)),"538",IF(ISNUMBER(SEARCH("223a7",B56)),"223a7",IF(ISNUMBER(SEARCH("223f",B56)),"223f","OTHER"))))</f>
        <v/>
      </c>
      <c r="Q56">
        <f>IF(UPPER(C56)="NC","NC","RP")</f>
        <v/>
      </c>
      <c r="R56">
        <f>IF(G56&lt;5000000,"small",IF(G56&lt;25000000,"medium","large"))</f>
        <v/>
      </c>
      <c r="S56">
        <f>IF(K56&lt;36,"young",IF(K56&lt;120,"seasoned","aged"))</f>
        <v/>
      </c>
      <c r="T56">
        <f>P56&amp;"|"&amp;Q56&amp;"|"&amp;R56&amp;"|"&amp;S56</f>
        <v/>
      </c>
      <c r="U56" s="14">
        <f>H56*100-I56</f>
        <v/>
      </c>
      <c r="V56" s="14">
        <f>U56-12.5*(J56+1)</f>
        <v/>
      </c>
      <c r="W56" s="15">
        <f>IFERROR(VLOOKUP(T56,V8_COHORT_TABLE,2,FALSE),IFERROR(VLOOKUP(P56&amp;"|"&amp;Q56&amp;"|ALL|"&amp;S56,V8_COHORT_TABLE,2,FALSE),IFERROR(VLOOKUP(P56&amp;"|ALL|ALL|"&amp;S56,V8_COHORT_TABLE,2,FALSE),IFERROR(VLOOKUP(P56&amp;"|ALL|ALL|ALL",V8_COHORT_TABLE,2,FALSE),VLOOKUP("GLOBAL",V8_COHORT_TABLE,2,FALSE)))))</f>
        <v/>
      </c>
      <c r="X56" s="15">
        <f>IFERROR(VLOOKUP(T56,V8_COHORT_TABLE,3,FALSE),IFERROR(VLOOKUP(P56&amp;"|"&amp;Q56&amp;"|ALL|"&amp;S56,V8_COHORT_TABLE,3,FALSE),IFERROR(VLOOKUP(P56&amp;"|ALL|ALL|"&amp;S56,V8_COHORT_TABLE,3,FALSE),IFERROR(VLOOKUP(P56&amp;"|ALL|ALL|ALL",V8_COHORT_TABLE,3,FALSE),VLOOKUP("GLOBAL",V8_COHORT_TABLE,3,FALSE)))))</f>
        <v/>
      </c>
      <c r="Y56" s="15">
        <f>IFERROR(VLOOKUP(T56,V8_COHORT_TABLE,4,FALSE),IFERROR(VLOOKUP(P56&amp;"|"&amp;Q56&amp;"|ALL|"&amp;S56,V8_COHORT_TABLE,4,FALSE),IFERROR(VLOOKUP(P56&amp;"|ALL|ALL|"&amp;S56,V8_COHORT_TABLE,4,FALSE),IFERROR(VLOOKUP(P56&amp;"|ALL|ALL|ALL",V8_COHORT_TABLE,4,FALSE),VLOOKUP("GLOBAL",V8_COHORT_TABLE,4,FALSE)))))</f>
        <v/>
      </c>
      <c r="Z56" s="15">
        <f>IFERROR(VLOOKUP(T56,V8_COHORT_TABLE,5,FALSE),IFERROR(VLOOKUP(P56&amp;"|"&amp;Q56&amp;"|ALL|"&amp;S56,V8_COHORT_TABLE,5,FALSE),IFERROR(VLOOKUP(P56&amp;"|ALL|ALL|"&amp;S56,V8_COHORT_TABLE,5,FALSE),IFERROR(VLOOKUP(P56&amp;"|ALL|ALL|ALL",V8_COHORT_TABLE,5,FALSE),VLOOKUP("GLOBAL",V8_COHORT_TABLE,5,FALSE)))))</f>
        <v/>
      </c>
      <c r="AA56" s="15">
        <f>W56+X56/(1+EXP(-(V56-Y56)/Z56))</f>
        <v/>
      </c>
      <c r="AB56" s="15">
        <f>IFERROR(VLOOKUP(T56,V8_COHORT_TABLE,6,FALSE),IFERROR(VLOOKUP(P56&amp;"|"&amp;Q56&amp;"|ALL|"&amp;S56,V8_COHORT_TABLE,6,FALSE),IFERROR(VLOOKUP(P56&amp;"|ALL|ALL|"&amp;S56,V8_COHORT_TABLE,6,FALSE),IFERROR(VLOOKUP(P56&amp;"|ALL|ALL|ALL",V8_COHORT_TABLE,6,FALSE),VLOOKUP("GLOBAL",V8_COHORT_TABLE,6,FALSE)))))</f>
        <v/>
      </c>
      <c r="AC56" s="15">
        <f>IFERROR(VLOOKUP(T56,V8_COHORT_TABLE,7,FALSE),IFERROR(VLOOKUP(P56&amp;"|"&amp;Q56&amp;"|ALL|"&amp;S56,V8_COHORT_TABLE,7,FALSE),IFERROR(VLOOKUP(P56&amp;"|ALL|ALL|"&amp;S56,V8_COHORT_TABLE,7,FALSE),IFERROR(VLOOKUP(P56&amp;"|ALL|ALL|ALL",V8_COHORT_TABLE,7,FALSE),VLOOKUP("GLOBAL",V8_COHORT_TABLE,7,FALSE)))))</f>
        <v/>
      </c>
      <c r="AD56" s="15">
        <f>IFERROR(VLOOKUP(T56,V8_COHORT_TABLE,8,FALSE),IFERROR(VLOOKUP(P56&amp;"|"&amp;Q56&amp;"|ALL|"&amp;S56,V8_COHORT_TABLE,8,FALSE),IFERROR(VLOOKUP(P56&amp;"|ALL|ALL|"&amp;S56,V8_COHORT_TABLE,8,FALSE),IFERROR(VLOOKUP(P56&amp;"|ALL|ALL|ALL",V8_COHORT_TABLE,8,FALSE),VLOOKUP("GLOBAL",V8_COHORT_TABLE,8,FALSE)))))</f>
        <v/>
      </c>
      <c r="AE56" s="15">
        <f>IFERROR(VLOOKUP(T56,V8_COHORT_TABLE,9,FALSE),IFERROR(VLOOKUP(P56&amp;"|"&amp;Q56&amp;"|ALL|"&amp;S56,V8_COHORT_TABLE,9,FALSE),IFERROR(VLOOKUP(P56&amp;"|ALL|ALL|"&amp;S56,V8_COHORT_TABLE,9,FALSE),IFERROR(VLOOKUP(P56&amp;"|ALL|ALL|ALL",V8_COHORT_TABLE,9,FALSE),VLOOKUP("GLOBAL",V8_COHORT_TABLE,9,FALSE)))))</f>
        <v/>
      </c>
      <c r="AF56" s="8">
        <f>IF(K56&lt;=0,AB56,IF(K56&gt;=240,AE56,IF(K56&lt;=24,AB56+(K56-0)/24*(AC56-AB56),IF(K56&lt;=96,AC56+(K56-24)/72*(AD56-AC56),AD56+(K56-96)/144*(AE56-AD56)))))</f>
        <v/>
      </c>
      <c r="AG56" s="8">
        <f>IF(IF(OR(L56="",NOT(ISNUMBER(L56))),360,MAX(0,MIN(480,(INT(L56/100)-INT(VALUE(F56)/100))*12+MOD(L56,100)-MOD(VALUE(F56),100))))&gt;0,1+V8_MTY_AMP*MAX(0,(V8_MTY_CUTOFF-(IF(OR(L56="",NOT(ISNUMBER(L56))),360,MAX(0,MIN(480,(INT(L56/100)-INT(VALUE(F56)/100))*12+MOD(L56,100)-MOD(VALUE(F56),100))))))/V8_MTY_CUTOFF),1)</f>
        <v/>
      </c>
      <c r="AH56" s="8">
        <f>IF(AND(IF(OR(M56="",NOT(ISNUMBER(M56))),0,MAX(0,MIN(24,(INT(VALUE(F56)/100)-INT(M56/100))*12+MOD(VALUE(F56),100)-MOD(M56,100))))&gt;0,IF(OR(M56="",NOT(ISNUMBER(M56))),0,MAX(0,MIN(24,(INT(VALUE(F56)/100)-INT(M56/100))*12+MOD(VALUE(F56),100)-MOD(M56,100))))&lt;=12),1+V8_LOCKOUT_AMP*EXP(-(IF(OR(M56="",NOT(ISNUMBER(M56))),0,MAX(0,MIN(24,(INT(VALUE(F56)/100)-INT(M56/100))*12+MOD(VALUE(F56),100)-MOD(M56,100)))))/V8_LOCKOUT_TAU),1)</f>
        <v/>
      </c>
      <c r="AI56" s="8">
        <f>MAX(V8_BURN_FLOOR,1-V8_BURN_SLOPE*MIN(1,MAX(0,O56)))</f>
        <v/>
      </c>
      <c r="AJ56" s="15">
        <f>MIN(AA56*AF56*AG56*AH56*AI56,0.2)</f>
        <v/>
      </c>
      <c r="AK56" s="16">
        <f>1-(1-AJ56)^12</f>
        <v/>
      </c>
    </row>
    <row r="57">
      <c r="A57" s="2" t="inlineStr">
        <is>
          <t>000012622168</t>
        </is>
      </c>
      <c r="B57" t="inlineStr">
        <is>
          <t>232</t>
        </is>
      </c>
      <c r="C57" t="inlineStr">
        <is>
          <t>RP</t>
        </is>
      </c>
      <c r="D57" t="inlineStr">
        <is>
          <t>BERKADIA COMMERCIAL MORTGAGE, LLC</t>
        </is>
      </c>
      <c r="E57" t="n">
        <v>2018</v>
      </c>
      <c r="F57" t="inlineStr">
        <is>
          <t>202602</t>
        </is>
      </c>
      <c r="G57" s="9" t="n">
        <v>8760424.359999999</v>
      </c>
      <c r="H57" s="13" t="n">
        <v>4.1</v>
      </c>
      <c r="I57" s="14" t="n">
        <v>447</v>
      </c>
      <c r="J57" s="14" t="n">
        <v>6</v>
      </c>
      <c r="K57" t="n">
        <v>87</v>
      </c>
      <c r="L57" t="n">
        <v>204901</v>
      </c>
      <c r="M57" t="inlineStr"/>
      <c r="N57" t="n">
        <v>22</v>
      </c>
      <c r="O57" s="8" t="n">
        <v>0.2528735632183908</v>
      </c>
      <c r="P57">
        <f>IF(ISNUMBER(SEARCH("232",B57)),"232",IF(ISNUMBER(SEARCH("538",B57)),"538",IF(ISNUMBER(SEARCH("223a7",B57)),"223a7",IF(ISNUMBER(SEARCH("223f",B57)),"223f","OTHER"))))</f>
        <v/>
      </c>
      <c r="Q57">
        <f>IF(UPPER(C57)="NC","NC","RP")</f>
        <v/>
      </c>
      <c r="R57">
        <f>IF(G57&lt;5000000,"small",IF(G57&lt;25000000,"medium","large"))</f>
        <v/>
      </c>
      <c r="S57">
        <f>IF(K57&lt;36,"young",IF(K57&lt;120,"seasoned","aged"))</f>
        <v/>
      </c>
      <c r="T57">
        <f>P57&amp;"|"&amp;Q57&amp;"|"&amp;R57&amp;"|"&amp;S57</f>
        <v/>
      </c>
      <c r="U57" s="14">
        <f>H57*100-I57</f>
        <v/>
      </c>
      <c r="V57" s="14">
        <f>U57-12.5*(J57+1)</f>
        <v/>
      </c>
      <c r="W57" s="15">
        <f>IFERROR(VLOOKUP(T57,V8_COHORT_TABLE,2,FALSE),IFERROR(VLOOKUP(P57&amp;"|"&amp;Q57&amp;"|ALL|"&amp;S57,V8_COHORT_TABLE,2,FALSE),IFERROR(VLOOKUP(P57&amp;"|ALL|ALL|"&amp;S57,V8_COHORT_TABLE,2,FALSE),IFERROR(VLOOKUP(P57&amp;"|ALL|ALL|ALL",V8_COHORT_TABLE,2,FALSE),VLOOKUP("GLOBAL",V8_COHORT_TABLE,2,FALSE)))))</f>
        <v/>
      </c>
      <c r="X57" s="15">
        <f>IFERROR(VLOOKUP(T57,V8_COHORT_TABLE,3,FALSE),IFERROR(VLOOKUP(P57&amp;"|"&amp;Q57&amp;"|ALL|"&amp;S57,V8_COHORT_TABLE,3,FALSE),IFERROR(VLOOKUP(P57&amp;"|ALL|ALL|"&amp;S57,V8_COHORT_TABLE,3,FALSE),IFERROR(VLOOKUP(P57&amp;"|ALL|ALL|ALL",V8_COHORT_TABLE,3,FALSE),VLOOKUP("GLOBAL",V8_COHORT_TABLE,3,FALSE)))))</f>
        <v/>
      </c>
      <c r="Y57" s="15">
        <f>IFERROR(VLOOKUP(T57,V8_COHORT_TABLE,4,FALSE),IFERROR(VLOOKUP(P57&amp;"|"&amp;Q57&amp;"|ALL|"&amp;S57,V8_COHORT_TABLE,4,FALSE),IFERROR(VLOOKUP(P57&amp;"|ALL|ALL|"&amp;S57,V8_COHORT_TABLE,4,FALSE),IFERROR(VLOOKUP(P57&amp;"|ALL|ALL|ALL",V8_COHORT_TABLE,4,FALSE),VLOOKUP("GLOBAL",V8_COHORT_TABLE,4,FALSE)))))</f>
        <v/>
      </c>
      <c r="Z57" s="15">
        <f>IFERROR(VLOOKUP(T57,V8_COHORT_TABLE,5,FALSE),IFERROR(VLOOKUP(P57&amp;"|"&amp;Q57&amp;"|ALL|"&amp;S57,V8_COHORT_TABLE,5,FALSE),IFERROR(VLOOKUP(P57&amp;"|ALL|ALL|"&amp;S57,V8_COHORT_TABLE,5,FALSE),IFERROR(VLOOKUP(P57&amp;"|ALL|ALL|ALL",V8_COHORT_TABLE,5,FALSE),VLOOKUP("GLOBAL",V8_COHORT_TABLE,5,FALSE)))))</f>
        <v/>
      </c>
      <c r="AA57" s="15">
        <f>W57+X57/(1+EXP(-(V57-Y57)/Z57))</f>
        <v/>
      </c>
      <c r="AB57" s="15">
        <f>IFERROR(VLOOKUP(T57,V8_COHORT_TABLE,6,FALSE),IFERROR(VLOOKUP(P57&amp;"|"&amp;Q57&amp;"|ALL|"&amp;S57,V8_COHORT_TABLE,6,FALSE),IFERROR(VLOOKUP(P57&amp;"|ALL|ALL|"&amp;S57,V8_COHORT_TABLE,6,FALSE),IFERROR(VLOOKUP(P57&amp;"|ALL|ALL|ALL",V8_COHORT_TABLE,6,FALSE),VLOOKUP("GLOBAL",V8_COHORT_TABLE,6,FALSE)))))</f>
        <v/>
      </c>
      <c r="AC57" s="15">
        <f>IFERROR(VLOOKUP(T57,V8_COHORT_TABLE,7,FALSE),IFERROR(VLOOKUP(P57&amp;"|"&amp;Q57&amp;"|ALL|"&amp;S57,V8_COHORT_TABLE,7,FALSE),IFERROR(VLOOKUP(P57&amp;"|ALL|ALL|"&amp;S57,V8_COHORT_TABLE,7,FALSE),IFERROR(VLOOKUP(P57&amp;"|ALL|ALL|ALL",V8_COHORT_TABLE,7,FALSE),VLOOKUP("GLOBAL",V8_COHORT_TABLE,7,FALSE)))))</f>
        <v/>
      </c>
      <c r="AD57" s="15">
        <f>IFERROR(VLOOKUP(T57,V8_COHORT_TABLE,8,FALSE),IFERROR(VLOOKUP(P57&amp;"|"&amp;Q57&amp;"|ALL|"&amp;S57,V8_COHORT_TABLE,8,FALSE),IFERROR(VLOOKUP(P57&amp;"|ALL|ALL|"&amp;S57,V8_COHORT_TABLE,8,FALSE),IFERROR(VLOOKUP(P57&amp;"|ALL|ALL|ALL",V8_COHORT_TABLE,8,FALSE),VLOOKUP("GLOBAL",V8_COHORT_TABLE,8,FALSE)))))</f>
        <v/>
      </c>
      <c r="AE57" s="15">
        <f>IFERROR(VLOOKUP(T57,V8_COHORT_TABLE,9,FALSE),IFERROR(VLOOKUP(P57&amp;"|"&amp;Q57&amp;"|ALL|"&amp;S57,V8_COHORT_TABLE,9,FALSE),IFERROR(VLOOKUP(P57&amp;"|ALL|ALL|"&amp;S57,V8_COHORT_TABLE,9,FALSE),IFERROR(VLOOKUP(P57&amp;"|ALL|ALL|ALL",V8_COHORT_TABLE,9,FALSE),VLOOKUP("GLOBAL",V8_COHORT_TABLE,9,FALSE)))))</f>
        <v/>
      </c>
      <c r="AF57" s="8">
        <f>IF(K57&lt;=0,AB57,IF(K57&gt;=240,AE57,IF(K57&lt;=24,AB57+(K57-0)/24*(AC57-AB57),IF(K57&lt;=96,AC57+(K57-24)/72*(AD57-AC57),AD57+(K57-96)/144*(AE57-AD57)))))</f>
        <v/>
      </c>
      <c r="AG57" s="8">
        <f>IF(IF(OR(L57="",NOT(ISNUMBER(L57))),360,MAX(0,MIN(480,(INT(L57/100)-INT(VALUE(F57)/100))*12+MOD(L57,100)-MOD(VALUE(F57),100))))&gt;0,1+V8_MTY_AMP*MAX(0,(V8_MTY_CUTOFF-(IF(OR(L57="",NOT(ISNUMBER(L57))),360,MAX(0,MIN(480,(INT(L57/100)-INT(VALUE(F57)/100))*12+MOD(L57,100)-MOD(VALUE(F57),100))))))/V8_MTY_CUTOFF),1)</f>
        <v/>
      </c>
      <c r="AH57" s="8">
        <f>IF(AND(IF(OR(M57="",NOT(ISNUMBER(M57))),0,MAX(0,MIN(24,(INT(VALUE(F57)/100)-INT(M57/100))*12+MOD(VALUE(F57),100)-MOD(M57,100))))&gt;0,IF(OR(M57="",NOT(ISNUMBER(M57))),0,MAX(0,MIN(24,(INT(VALUE(F57)/100)-INT(M57/100))*12+MOD(VALUE(F57),100)-MOD(M57,100))))&lt;=12),1+V8_LOCKOUT_AMP*EXP(-(IF(OR(M57="",NOT(ISNUMBER(M57))),0,MAX(0,MIN(24,(INT(VALUE(F57)/100)-INT(M57/100))*12+MOD(VALUE(F57),100)-MOD(M57,100)))))/V8_LOCKOUT_TAU),1)</f>
        <v/>
      </c>
      <c r="AI57" s="8">
        <f>MAX(V8_BURN_FLOOR,1-V8_BURN_SLOPE*MIN(1,MAX(0,O57)))</f>
        <v/>
      </c>
      <c r="AJ57" s="15">
        <f>MIN(AA57*AF57*AG57*AH57*AI57,0.2)</f>
        <v/>
      </c>
      <c r="AK57" s="16">
        <f>1-(1-AJ57)^12</f>
        <v/>
      </c>
    </row>
    <row r="58">
      <c r="A58" s="2" t="inlineStr">
        <is>
          <t>000010511032</t>
        </is>
      </c>
      <c r="B58" t="inlineStr">
        <is>
          <t>223f</t>
        </is>
      </c>
      <c r="C58" t="inlineStr">
        <is>
          <t>RP</t>
        </is>
      </c>
      <c r="D58" t="inlineStr">
        <is>
          <t>BERKADIA COMMERCIAL MORTGAGE, LLC</t>
        </is>
      </c>
      <c r="E58" t="n">
        <v>2007</v>
      </c>
      <c r="F58" t="inlineStr">
        <is>
          <t>202602</t>
        </is>
      </c>
      <c r="G58" s="9" t="n">
        <v>2605551.37</v>
      </c>
      <c r="H58" s="13" t="n">
        <v>2.83</v>
      </c>
      <c r="I58" s="14" t="n">
        <v>447</v>
      </c>
      <c r="J58" s="14" t="n">
        <v>6</v>
      </c>
      <c r="K58" t="n">
        <v>229</v>
      </c>
      <c r="L58" t="n">
        <v>204205</v>
      </c>
      <c r="M58" t="inlineStr"/>
      <c r="N58" t="n">
        <v>13</v>
      </c>
      <c r="O58" s="8" t="n">
        <v>0.05676855895196507</v>
      </c>
      <c r="P58">
        <f>IF(ISNUMBER(SEARCH("232",B58)),"232",IF(ISNUMBER(SEARCH("538",B58)),"538",IF(ISNUMBER(SEARCH("223a7",B58)),"223a7",IF(ISNUMBER(SEARCH("223f",B58)),"223f","OTHER"))))</f>
        <v/>
      </c>
      <c r="Q58">
        <f>IF(UPPER(C58)="NC","NC","RP")</f>
        <v/>
      </c>
      <c r="R58">
        <f>IF(G58&lt;5000000,"small",IF(G58&lt;25000000,"medium","large"))</f>
        <v/>
      </c>
      <c r="S58">
        <f>IF(K58&lt;36,"young",IF(K58&lt;120,"seasoned","aged"))</f>
        <v/>
      </c>
      <c r="T58">
        <f>P58&amp;"|"&amp;Q58&amp;"|"&amp;R58&amp;"|"&amp;S58</f>
        <v/>
      </c>
      <c r="U58" s="14">
        <f>H58*100-I58</f>
        <v/>
      </c>
      <c r="V58" s="14">
        <f>U58-12.5*(J58+1)</f>
        <v/>
      </c>
      <c r="W58" s="15">
        <f>IFERROR(VLOOKUP(T58,V8_COHORT_TABLE,2,FALSE),IFERROR(VLOOKUP(P58&amp;"|"&amp;Q58&amp;"|ALL|"&amp;S58,V8_COHORT_TABLE,2,FALSE),IFERROR(VLOOKUP(P58&amp;"|ALL|ALL|"&amp;S58,V8_COHORT_TABLE,2,FALSE),IFERROR(VLOOKUP(P58&amp;"|ALL|ALL|ALL",V8_COHORT_TABLE,2,FALSE),VLOOKUP("GLOBAL",V8_COHORT_TABLE,2,FALSE)))))</f>
        <v/>
      </c>
      <c r="X58" s="15">
        <f>IFERROR(VLOOKUP(T58,V8_COHORT_TABLE,3,FALSE),IFERROR(VLOOKUP(P58&amp;"|"&amp;Q58&amp;"|ALL|"&amp;S58,V8_COHORT_TABLE,3,FALSE),IFERROR(VLOOKUP(P58&amp;"|ALL|ALL|"&amp;S58,V8_COHORT_TABLE,3,FALSE),IFERROR(VLOOKUP(P58&amp;"|ALL|ALL|ALL",V8_COHORT_TABLE,3,FALSE),VLOOKUP("GLOBAL",V8_COHORT_TABLE,3,FALSE)))))</f>
        <v/>
      </c>
      <c r="Y58" s="15">
        <f>IFERROR(VLOOKUP(T58,V8_COHORT_TABLE,4,FALSE),IFERROR(VLOOKUP(P58&amp;"|"&amp;Q58&amp;"|ALL|"&amp;S58,V8_COHORT_TABLE,4,FALSE),IFERROR(VLOOKUP(P58&amp;"|ALL|ALL|"&amp;S58,V8_COHORT_TABLE,4,FALSE),IFERROR(VLOOKUP(P58&amp;"|ALL|ALL|ALL",V8_COHORT_TABLE,4,FALSE),VLOOKUP("GLOBAL",V8_COHORT_TABLE,4,FALSE)))))</f>
        <v/>
      </c>
      <c r="Z58" s="15">
        <f>IFERROR(VLOOKUP(T58,V8_COHORT_TABLE,5,FALSE),IFERROR(VLOOKUP(P58&amp;"|"&amp;Q58&amp;"|ALL|"&amp;S58,V8_COHORT_TABLE,5,FALSE),IFERROR(VLOOKUP(P58&amp;"|ALL|ALL|"&amp;S58,V8_COHORT_TABLE,5,FALSE),IFERROR(VLOOKUP(P58&amp;"|ALL|ALL|ALL",V8_COHORT_TABLE,5,FALSE),VLOOKUP("GLOBAL",V8_COHORT_TABLE,5,FALSE)))))</f>
        <v/>
      </c>
      <c r="AA58" s="15">
        <f>W58+X58/(1+EXP(-(V58-Y58)/Z58))</f>
        <v/>
      </c>
      <c r="AB58" s="15">
        <f>IFERROR(VLOOKUP(T58,V8_COHORT_TABLE,6,FALSE),IFERROR(VLOOKUP(P58&amp;"|"&amp;Q58&amp;"|ALL|"&amp;S58,V8_COHORT_TABLE,6,FALSE),IFERROR(VLOOKUP(P58&amp;"|ALL|ALL|"&amp;S58,V8_COHORT_TABLE,6,FALSE),IFERROR(VLOOKUP(P58&amp;"|ALL|ALL|ALL",V8_COHORT_TABLE,6,FALSE),VLOOKUP("GLOBAL",V8_COHORT_TABLE,6,FALSE)))))</f>
        <v/>
      </c>
      <c r="AC58" s="15">
        <f>IFERROR(VLOOKUP(T58,V8_COHORT_TABLE,7,FALSE),IFERROR(VLOOKUP(P58&amp;"|"&amp;Q58&amp;"|ALL|"&amp;S58,V8_COHORT_TABLE,7,FALSE),IFERROR(VLOOKUP(P58&amp;"|ALL|ALL|"&amp;S58,V8_COHORT_TABLE,7,FALSE),IFERROR(VLOOKUP(P58&amp;"|ALL|ALL|ALL",V8_COHORT_TABLE,7,FALSE),VLOOKUP("GLOBAL",V8_COHORT_TABLE,7,FALSE)))))</f>
        <v/>
      </c>
      <c r="AD58" s="15">
        <f>IFERROR(VLOOKUP(T58,V8_COHORT_TABLE,8,FALSE),IFERROR(VLOOKUP(P58&amp;"|"&amp;Q58&amp;"|ALL|"&amp;S58,V8_COHORT_TABLE,8,FALSE),IFERROR(VLOOKUP(P58&amp;"|ALL|ALL|"&amp;S58,V8_COHORT_TABLE,8,FALSE),IFERROR(VLOOKUP(P58&amp;"|ALL|ALL|ALL",V8_COHORT_TABLE,8,FALSE),VLOOKUP("GLOBAL",V8_COHORT_TABLE,8,FALSE)))))</f>
        <v/>
      </c>
      <c r="AE58" s="15">
        <f>IFERROR(VLOOKUP(T58,V8_COHORT_TABLE,9,FALSE),IFERROR(VLOOKUP(P58&amp;"|"&amp;Q58&amp;"|ALL|"&amp;S58,V8_COHORT_TABLE,9,FALSE),IFERROR(VLOOKUP(P58&amp;"|ALL|ALL|"&amp;S58,V8_COHORT_TABLE,9,FALSE),IFERROR(VLOOKUP(P58&amp;"|ALL|ALL|ALL",V8_COHORT_TABLE,9,FALSE),VLOOKUP("GLOBAL",V8_COHORT_TABLE,9,FALSE)))))</f>
        <v/>
      </c>
      <c r="AF58" s="8">
        <f>IF(K58&lt;=0,AB58,IF(K58&gt;=240,AE58,IF(K58&lt;=24,AB58+(K58-0)/24*(AC58-AB58),IF(K58&lt;=96,AC58+(K58-24)/72*(AD58-AC58),AD58+(K58-96)/144*(AE58-AD58)))))</f>
        <v/>
      </c>
      <c r="AG58" s="8">
        <f>IF(IF(OR(L58="",NOT(ISNUMBER(L58))),360,MAX(0,MIN(480,(INT(L58/100)-INT(VALUE(F58)/100))*12+MOD(L58,100)-MOD(VALUE(F58),100))))&gt;0,1+V8_MTY_AMP*MAX(0,(V8_MTY_CUTOFF-(IF(OR(L58="",NOT(ISNUMBER(L58))),360,MAX(0,MIN(480,(INT(L58/100)-INT(VALUE(F58)/100))*12+MOD(L58,100)-MOD(VALUE(F58),100))))))/V8_MTY_CUTOFF),1)</f>
        <v/>
      </c>
      <c r="AH58" s="8">
        <f>IF(AND(IF(OR(M58="",NOT(ISNUMBER(M58))),0,MAX(0,MIN(24,(INT(VALUE(F58)/100)-INT(M58/100))*12+MOD(VALUE(F58),100)-MOD(M58,100))))&gt;0,IF(OR(M58="",NOT(ISNUMBER(M58))),0,MAX(0,MIN(24,(INT(VALUE(F58)/100)-INT(M58/100))*12+MOD(VALUE(F58),100)-MOD(M58,100))))&lt;=12),1+V8_LOCKOUT_AMP*EXP(-(IF(OR(M58="",NOT(ISNUMBER(M58))),0,MAX(0,MIN(24,(INT(VALUE(F58)/100)-INT(M58/100))*12+MOD(VALUE(F58),100)-MOD(M58,100)))))/V8_LOCKOUT_TAU),1)</f>
        <v/>
      </c>
      <c r="AI58" s="8">
        <f>MAX(V8_BURN_FLOOR,1-V8_BURN_SLOPE*MIN(1,MAX(0,O58)))</f>
        <v/>
      </c>
      <c r="AJ58" s="15">
        <f>MIN(AA58*AF58*AG58*AH58*AI58,0.2)</f>
        <v/>
      </c>
      <c r="AK58" s="16">
        <f>1-(1-AJ58)^12</f>
        <v/>
      </c>
    </row>
    <row r="59">
      <c r="A59" s="2" t="inlineStr">
        <is>
          <t>000012222261</t>
        </is>
      </c>
      <c r="B59" t="inlineStr">
        <is>
          <t>232</t>
        </is>
      </c>
      <c r="C59" t="inlineStr">
        <is>
          <t>RP</t>
        </is>
      </c>
      <c r="D59" t="inlineStr">
        <is>
          <t>BERKADIA COMMERCIAL MORTGAGE, LLC</t>
        </is>
      </c>
      <c r="E59" t="n">
        <v>2021</v>
      </c>
      <c r="F59" t="inlineStr">
        <is>
          <t>202602</t>
        </is>
      </c>
      <c r="G59" s="9" t="n">
        <v>1287013.14</v>
      </c>
      <c r="H59" s="13" t="n">
        <v>2.58</v>
      </c>
      <c r="I59" s="14" t="n">
        <v>447</v>
      </c>
      <c r="J59" s="14" t="n">
        <v>8</v>
      </c>
      <c r="K59" t="n">
        <v>52</v>
      </c>
      <c r="L59" t="n">
        <v>204407</v>
      </c>
      <c r="M59" t="inlineStr"/>
      <c r="N59" t="n">
        <v>0</v>
      </c>
      <c r="O59" s="8" t="n">
        <v>0</v>
      </c>
      <c r="P59">
        <f>IF(ISNUMBER(SEARCH("232",B59)),"232",IF(ISNUMBER(SEARCH("538",B59)),"538",IF(ISNUMBER(SEARCH("223a7",B59)),"223a7",IF(ISNUMBER(SEARCH("223f",B59)),"223f","OTHER"))))</f>
        <v/>
      </c>
      <c r="Q59">
        <f>IF(UPPER(C59)="NC","NC","RP")</f>
        <v/>
      </c>
      <c r="R59">
        <f>IF(G59&lt;5000000,"small",IF(G59&lt;25000000,"medium","large"))</f>
        <v/>
      </c>
      <c r="S59">
        <f>IF(K59&lt;36,"young",IF(K59&lt;120,"seasoned","aged"))</f>
        <v/>
      </c>
      <c r="T59">
        <f>P59&amp;"|"&amp;Q59&amp;"|"&amp;R59&amp;"|"&amp;S59</f>
        <v/>
      </c>
      <c r="U59" s="14">
        <f>H59*100-I59</f>
        <v/>
      </c>
      <c r="V59" s="14">
        <f>U59-12.5*(J59+1)</f>
        <v/>
      </c>
      <c r="W59" s="15">
        <f>IFERROR(VLOOKUP(T59,V8_COHORT_TABLE,2,FALSE),IFERROR(VLOOKUP(P59&amp;"|"&amp;Q59&amp;"|ALL|"&amp;S59,V8_COHORT_TABLE,2,FALSE),IFERROR(VLOOKUP(P59&amp;"|ALL|ALL|"&amp;S59,V8_COHORT_TABLE,2,FALSE),IFERROR(VLOOKUP(P59&amp;"|ALL|ALL|ALL",V8_COHORT_TABLE,2,FALSE),VLOOKUP("GLOBAL",V8_COHORT_TABLE,2,FALSE)))))</f>
        <v/>
      </c>
      <c r="X59" s="15">
        <f>IFERROR(VLOOKUP(T59,V8_COHORT_TABLE,3,FALSE),IFERROR(VLOOKUP(P59&amp;"|"&amp;Q59&amp;"|ALL|"&amp;S59,V8_COHORT_TABLE,3,FALSE),IFERROR(VLOOKUP(P59&amp;"|ALL|ALL|"&amp;S59,V8_COHORT_TABLE,3,FALSE),IFERROR(VLOOKUP(P59&amp;"|ALL|ALL|ALL",V8_COHORT_TABLE,3,FALSE),VLOOKUP("GLOBAL",V8_COHORT_TABLE,3,FALSE)))))</f>
        <v/>
      </c>
      <c r="Y59" s="15">
        <f>IFERROR(VLOOKUP(T59,V8_COHORT_TABLE,4,FALSE),IFERROR(VLOOKUP(P59&amp;"|"&amp;Q59&amp;"|ALL|"&amp;S59,V8_COHORT_TABLE,4,FALSE),IFERROR(VLOOKUP(P59&amp;"|ALL|ALL|"&amp;S59,V8_COHORT_TABLE,4,FALSE),IFERROR(VLOOKUP(P59&amp;"|ALL|ALL|ALL",V8_COHORT_TABLE,4,FALSE),VLOOKUP("GLOBAL",V8_COHORT_TABLE,4,FALSE)))))</f>
        <v/>
      </c>
      <c r="Z59" s="15">
        <f>IFERROR(VLOOKUP(T59,V8_COHORT_TABLE,5,FALSE),IFERROR(VLOOKUP(P59&amp;"|"&amp;Q59&amp;"|ALL|"&amp;S59,V8_COHORT_TABLE,5,FALSE),IFERROR(VLOOKUP(P59&amp;"|ALL|ALL|"&amp;S59,V8_COHORT_TABLE,5,FALSE),IFERROR(VLOOKUP(P59&amp;"|ALL|ALL|ALL",V8_COHORT_TABLE,5,FALSE),VLOOKUP("GLOBAL",V8_COHORT_TABLE,5,FALSE)))))</f>
        <v/>
      </c>
      <c r="AA59" s="15">
        <f>W59+X59/(1+EXP(-(V59-Y59)/Z59))</f>
        <v/>
      </c>
      <c r="AB59" s="15">
        <f>IFERROR(VLOOKUP(T59,V8_COHORT_TABLE,6,FALSE),IFERROR(VLOOKUP(P59&amp;"|"&amp;Q59&amp;"|ALL|"&amp;S59,V8_COHORT_TABLE,6,FALSE),IFERROR(VLOOKUP(P59&amp;"|ALL|ALL|"&amp;S59,V8_COHORT_TABLE,6,FALSE),IFERROR(VLOOKUP(P59&amp;"|ALL|ALL|ALL",V8_COHORT_TABLE,6,FALSE),VLOOKUP("GLOBAL",V8_COHORT_TABLE,6,FALSE)))))</f>
        <v/>
      </c>
      <c r="AC59" s="15">
        <f>IFERROR(VLOOKUP(T59,V8_COHORT_TABLE,7,FALSE),IFERROR(VLOOKUP(P59&amp;"|"&amp;Q59&amp;"|ALL|"&amp;S59,V8_COHORT_TABLE,7,FALSE),IFERROR(VLOOKUP(P59&amp;"|ALL|ALL|"&amp;S59,V8_COHORT_TABLE,7,FALSE),IFERROR(VLOOKUP(P59&amp;"|ALL|ALL|ALL",V8_COHORT_TABLE,7,FALSE),VLOOKUP("GLOBAL",V8_COHORT_TABLE,7,FALSE)))))</f>
        <v/>
      </c>
      <c r="AD59" s="15">
        <f>IFERROR(VLOOKUP(T59,V8_COHORT_TABLE,8,FALSE),IFERROR(VLOOKUP(P59&amp;"|"&amp;Q59&amp;"|ALL|"&amp;S59,V8_COHORT_TABLE,8,FALSE),IFERROR(VLOOKUP(P59&amp;"|ALL|ALL|"&amp;S59,V8_COHORT_TABLE,8,FALSE),IFERROR(VLOOKUP(P59&amp;"|ALL|ALL|ALL",V8_COHORT_TABLE,8,FALSE),VLOOKUP("GLOBAL",V8_COHORT_TABLE,8,FALSE)))))</f>
        <v/>
      </c>
      <c r="AE59" s="15">
        <f>IFERROR(VLOOKUP(T59,V8_COHORT_TABLE,9,FALSE),IFERROR(VLOOKUP(P59&amp;"|"&amp;Q59&amp;"|ALL|"&amp;S59,V8_COHORT_TABLE,9,FALSE),IFERROR(VLOOKUP(P59&amp;"|ALL|ALL|"&amp;S59,V8_COHORT_TABLE,9,FALSE),IFERROR(VLOOKUP(P59&amp;"|ALL|ALL|ALL",V8_COHORT_TABLE,9,FALSE),VLOOKUP("GLOBAL",V8_COHORT_TABLE,9,FALSE)))))</f>
        <v/>
      </c>
      <c r="AF59" s="8">
        <f>IF(K59&lt;=0,AB59,IF(K59&gt;=240,AE59,IF(K59&lt;=24,AB59+(K59-0)/24*(AC59-AB59),IF(K59&lt;=96,AC59+(K59-24)/72*(AD59-AC59),AD59+(K59-96)/144*(AE59-AD59)))))</f>
        <v/>
      </c>
      <c r="AG59" s="8">
        <f>IF(IF(OR(L59="",NOT(ISNUMBER(L59))),360,MAX(0,MIN(480,(INT(L59/100)-INT(VALUE(F59)/100))*12+MOD(L59,100)-MOD(VALUE(F59),100))))&gt;0,1+V8_MTY_AMP*MAX(0,(V8_MTY_CUTOFF-(IF(OR(L59="",NOT(ISNUMBER(L59))),360,MAX(0,MIN(480,(INT(L59/100)-INT(VALUE(F59)/100))*12+MOD(L59,100)-MOD(VALUE(F59),100))))))/V8_MTY_CUTOFF),1)</f>
        <v/>
      </c>
      <c r="AH59" s="8">
        <f>IF(AND(IF(OR(M59="",NOT(ISNUMBER(M59))),0,MAX(0,MIN(24,(INT(VALUE(F59)/100)-INT(M59/100))*12+MOD(VALUE(F59),100)-MOD(M59,100))))&gt;0,IF(OR(M59="",NOT(ISNUMBER(M59))),0,MAX(0,MIN(24,(INT(VALUE(F59)/100)-INT(M59/100))*12+MOD(VALUE(F59),100)-MOD(M59,100))))&lt;=12),1+V8_LOCKOUT_AMP*EXP(-(IF(OR(M59="",NOT(ISNUMBER(M59))),0,MAX(0,MIN(24,(INT(VALUE(F59)/100)-INT(M59/100))*12+MOD(VALUE(F59),100)-MOD(M59,100)))))/V8_LOCKOUT_TAU),1)</f>
        <v/>
      </c>
      <c r="AI59" s="8">
        <f>MAX(V8_BURN_FLOOR,1-V8_BURN_SLOPE*MIN(1,MAX(0,O59)))</f>
        <v/>
      </c>
      <c r="AJ59" s="15">
        <f>MIN(AA59*AF59*AG59*AH59*AI59,0.2)</f>
        <v/>
      </c>
      <c r="AK59" s="16">
        <f>1-(1-AJ59)^12</f>
        <v/>
      </c>
    </row>
    <row r="60">
      <c r="A60" s="2" t="inlineStr">
        <is>
          <t>000012711198</t>
        </is>
      </c>
      <c r="B60" t="inlineStr">
        <is>
          <t>223f</t>
        </is>
      </c>
      <c r="C60" t="inlineStr">
        <is>
          <t>RP</t>
        </is>
      </c>
      <c r="D60" t="inlineStr">
        <is>
          <t>BERKADIA COMMERCIAL MORTGAGE, LLC</t>
        </is>
      </c>
      <c r="E60" t="n">
        <v>2013</v>
      </c>
      <c r="F60" t="inlineStr">
        <is>
          <t>202602</t>
        </is>
      </c>
      <c r="G60" s="9" t="n">
        <v>13509058.06</v>
      </c>
      <c r="H60" s="13" t="n">
        <v>2.65</v>
      </c>
      <c r="I60" s="14" t="n">
        <v>447</v>
      </c>
      <c r="J60" s="14" t="n">
        <v>6</v>
      </c>
      <c r="K60" t="n">
        <v>155</v>
      </c>
      <c r="L60" t="n">
        <v>204806</v>
      </c>
      <c r="M60" t="inlineStr"/>
      <c r="N60" t="n">
        <v>13</v>
      </c>
      <c r="O60" s="8" t="n">
        <v>0.08387096774193549</v>
      </c>
      <c r="P60">
        <f>IF(ISNUMBER(SEARCH("232",B60)),"232",IF(ISNUMBER(SEARCH("538",B60)),"538",IF(ISNUMBER(SEARCH("223a7",B60)),"223a7",IF(ISNUMBER(SEARCH("223f",B60)),"223f","OTHER"))))</f>
        <v/>
      </c>
      <c r="Q60">
        <f>IF(UPPER(C60)="NC","NC","RP")</f>
        <v/>
      </c>
      <c r="R60">
        <f>IF(G60&lt;5000000,"small",IF(G60&lt;25000000,"medium","large"))</f>
        <v/>
      </c>
      <c r="S60">
        <f>IF(K60&lt;36,"young",IF(K60&lt;120,"seasoned","aged"))</f>
        <v/>
      </c>
      <c r="T60">
        <f>P60&amp;"|"&amp;Q60&amp;"|"&amp;R60&amp;"|"&amp;S60</f>
        <v/>
      </c>
      <c r="U60" s="14">
        <f>H60*100-I60</f>
        <v/>
      </c>
      <c r="V60" s="14">
        <f>U60-12.5*(J60+1)</f>
        <v/>
      </c>
      <c r="W60" s="15">
        <f>IFERROR(VLOOKUP(T60,V8_COHORT_TABLE,2,FALSE),IFERROR(VLOOKUP(P60&amp;"|"&amp;Q60&amp;"|ALL|"&amp;S60,V8_COHORT_TABLE,2,FALSE),IFERROR(VLOOKUP(P60&amp;"|ALL|ALL|"&amp;S60,V8_COHORT_TABLE,2,FALSE),IFERROR(VLOOKUP(P60&amp;"|ALL|ALL|ALL",V8_COHORT_TABLE,2,FALSE),VLOOKUP("GLOBAL",V8_COHORT_TABLE,2,FALSE)))))</f>
        <v/>
      </c>
      <c r="X60" s="15">
        <f>IFERROR(VLOOKUP(T60,V8_COHORT_TABLE,3,FALSE),IFERROR(VLOOKUP(P60&amp;"|"&amp;Q60&amp;"|ALL|"&amp;S60,V8_COHORT_TABLE,3,FALSE),IFERROR(VLOOKUP(P60&amp;"|ALL|ALL|"&amp;S60,V8_COHORT_TABLE,3,FALSE),IFERROR(VLOOKUP(P60&amp;"|ALL|ALL|ALL",V8_COHORT_TABLE,3,FALSE),VLOOKUP("GLOBAL",V8_COHORT_TABLE,3,FALSE)))))</f>
        <v/>
      </c>
      <c r="Y60" s="15">
        <f>IFERROR(VLOOKUP(T60,V8_COHORT_TABLE,4,FALSE),IFERROR(VLOOKUP(P60&amp;"|"&amp;Q60&amp;"|ALL|"&amp;S60,V8_COHORT_TABLE,4,FALSE),IFERROR(VLOOKUP(P60&amp;"|ALL|ALL|"&amp;S60,V8_COHORT_TABLE,4,FALSE),IFERROR(VLOOKUP(P60&amp;"|ALL|ALL|ALL",V8_COHORT_TABLE,4,FALSE),VLOOKUP("GLOBAL",V8_COHORT_TABLE,4,FALSE)))))</f>
        <v/>
      </c>
      <c r="Z60" s="15">
        <f>IFERROR(VLOOKUP(T60,V8_COHORT_TABLE,5,FALSE),IFERROR(VLOOKUP(P60&amp;"|"&amp;Q60&amp;"|ALL|"&amp;S60,V8_COHORT_TABLE,5,FALSE),IFERROR(VLOOKUP(P60&amp;"|ALL|ALL|"&amp;S60,V8_COHORT_TABLE,5,FALSE),IFERROR(VLOOKUP(P60&amp;"|ALL|ALL|ALL",V8_COHORT_TABLE,5,FALSE),VLOOKUP("GLOBAL",V8_COHORT_TABLE,5,FALSE)))))</f>
        <v/>
      </c>
      <c r="AA60" s="15">
        <f>W60+X60/(1+EXP(-(V60-Y60)/Z60))</f>
        <v/>
      </c>
      <c r="AB60" s="15">
        <f>IFERROR(VLOOKUP(T60,V8_COHORT_TABLE,6,FALSE),IFERROR(VLOOKUP(P60&amp;"|"&amp;Q60&amp;"|ALL|"&amp;S60,V8_COHORT_TABLE,6,FALSE),IFERROR(VLOOKUP(P60&amp;"|ALL|ALL|"&amp;S60,V8_COHORT_TABLE,6,FALSE),IFERROR(VLOOKUP(P60&amp;"|ALL|ALL|ALL",V8_COHORT_TABLE,6,FALSE),VLOOKUP("GLOBAL",V8_COHORT_TABLE,6,FALSE)))))</f>
        <v/>
      </c>
      <c r="AC60" s="15">
        <f>IFERROR(VLOOKUP(T60,V8_COHORT_TABLE,7,FALSE),IFERROR(VLOOKUP(P60&amp;"|"&amp;Q60&amp;"|ALL|"&amp;S60,V8_COHORT_TABLE,7,FALSE),IFERROR(VLOOKUP(P60&amp;"|ALL|ALL|"&amp;S60,V8_COHORT_TABLE,7,FALSE),IFERROR(VLOOKUP(P60&amp;"|ALL|ALL|ALL",V8_COHORT_TABLE,7,FALSE),VLOOKUP("GLOBAL",V8_COHORT_TABLE,7,FALSE)))))</f>
        <v/>
      </c>
      <c r="AD60" s="15">
        <f>IFERROR(VLOOKUP(T60,V8_COHORT_TABLE,8,FALSE),IFERROR(VLOOKUP(P60&amp;"|"&amp;Q60&amp;"|ALL|"&amp;S60,V8_COHORT_TABLE,8,FALSE),IFERROR(VLOOKUP(P60&amp;"|ALL|ALL|"&amp;S60,V8_COHORT_TABLE,8,FALSE),IFERROR(VLOOKUP(P60&amp;"|ALL|ALL|ALL",V8_COHORT_TABLE,8,FALSE),VLOOKUP("GLOBAL",V8_COHORT_TABLE,8,FALSE)))))</f>
        <v/>
      </c>
      <c r="AE60" s="15">
        <f>IFERROR(VLOOKUP(T60,V8_COHORT_TABLE,9,FALSE),IFERROR(VLOOKUP(P60&amp;"|"&amp;Q60&amp;"|ALL|"&amp;S60,V8_COHORT_TABLE,9,FALSE),IFERROR(VLOOKUP(P60&amp;"|ALL|ALL|"&amp;S60,V8_COHORT_TABLE,9,FALSE),IFERROR(VLOOKUP(P60&amp;"|ALL|ALL|ALL",V8_COHORT_TABLE,9,FALSE),VLOOKUP("GLOBAL",V8_COHORT_TABLE,9,FALSE)))))</f>
        <v/>
      </c>
      <c r="AF60" s="8">
        <f>IF(K60&lt;=0,AB60,IF(K60&gt;=240,AE60,IF(K60&lt;=24,AB60+(K60-0)/24*(AC60-AB60),IF(K60&lt;=96,AC60+(K60-24)/72*(AD60-AC60),AD60+(K60-96)/144*(AE60-AD60)))))</f>
        <v/>
      </c>
      <c r="AG60" s="8">
        <f>IF(IF(OR(L60="",NOT(ISNUMBER(L60))),360,MAX(0,MIN(480,(INT(L60/100)-INT(VALUE(F60)/100))*12+MOD(L60,100)-MOD(VALUE(F60),100))))&gt;0,1+V8_MTY_AMP*MAX(0,(V8_MTY_CUTOFF-(IF(OR(L60="",NOT(ISNUMBER(L60))),360,MAX(0,MIN(480,(INT(L60/100)-INT(VALUE(F60)/100))*12+MOD(L60,100)-MOD(VALUE(F60),100))))))/V8_MTY_CUTOFF),1)</f>
        <v/>
      </c>
      <c r="AH60" s="8">
        <f>IF(AND(IF(OR(M60="",NOT(ISNUMBER(M60))),0,MAX(0,MIN(24,(INT(VALUE(F60)/100)-INT(M60/100))*12+MOD(VALUE(F60),100)-MOD(M60,100))))&gt;0,IF(OR(M60="",NOT(ISNUMBER(M60))),0,MAX(0,MIN(24,(INT(VALUE(F60)/100)-INT(M60/100))*12+MOD(VALUE(F60),100)-MOD(M60,100))))&lt;=12),1+V8_LOCKOUT_AMP*EXP(-(IF(OR(M60="",NOT(ISNUMBER(M60))),0,MAX(0,MIN(24,(INT(VALUE(F60)/100)-INT(M60/100))*12+MOD(VALUE(F60),100)-MOD(M60,100)))))/V8_LOCKOUT_TAU),1)</f>
        <v/>
      </c>
      <c r="AI60" s="8">
        <f>MAX(V8_BURN_FLOOR,1-V8_BURN_SLOPE*MIN(1,MAX(0,O60)))</f>
        <v/>
      </c>
      <c r="AJ60" s="15">
        <f>MIN(AA60*AF60*AG60*AH60*AI60,0.2)</f>
        <v/>
      </c>
      <c r="AK60" s="16">
        <f>1-(1-AJ60)^12</f>
        <v/>
      </c>
    </row>
    <row r="61">
      <c r="A61" s="2" t="inlineStr">
        <is>
          <t>000005311191</t>
        </is>
      </c>
      <c r="B61" t="inlineStr">
        <is>
          <t>223f</t>
        </is>
      </c>
      <c r="C61" t="inlineStr">
        <is>
          <t>RP</t>
        </is>
      </c>
      <c r="D61" t="inlineStr">
        <is>
          <t>BERKADIA COMMERCIAL MORTGAGE, LLC</t>
        </is>
      </c>
      <c r="E61" t="n">
        <v>2006</v>
      </c>
      <c r="F61" t="inlineStr">
        <is>
          <t>202602</t>
        </is>
      </c>
      <c r="G61" s="9" t="n">
        <v>1200023.12</v>
      </c>
      <c r="H61" s="13" t="n">
        <v>3.85</v>
      </c>
      <c r="I61" s="14" t="n">
        <v>447</v>
      </c>
      <c r="J61" s="14" t="n">
        <v>0</v>
      </c>
      <c r="K61" t="n">
        <v>239</v>
      </c>
      <c r="L61" t="n">
        <v>204106</v>
      </c>
      <c r="M61" t="inlineStr"/>
      <c r="N61" t="n">
        <v>33</v>
      </c>
      <c r="O61" s="8" t="n">
        <v>0.1380753138075314</v>
      </c>
      <c r="P61">
        <f>IF(ISNUMBER(SEARCH("232",B61)),"232",IF(ISNUMBER(SEARCH("538",B61)),"538",IF(ISNUMBER(SEARCH("223a7",B61)),"223a7",IF(ISNUMBER(SEARCH("223f",B61)),"223f","OTHER"))))</f>
        <v/>
      </c>
      <c r="Q61">
        <f>IF(UPPER(C61)="NC","NC","RP")</f>
        <v/>
      </c>
      <c r="R61">
        <f>IF(G61&lt;5000000,"small",IF(G61&lt;25000000,"medium","large"))</f>
        <v/>
      </c>
      <c r="S61">
        <f>IF(K61&lt;36,"young",IF(K61&lt;120,"seasoned","aged"))</f>
        <v/>
      </c>
      <c r="T61">
        <f>P61&amp;"|"&amp;Q61&amp;"|"&amp;R61&amp;"|"&amp;S61</f>
        <v/>
      </c>
      <c r="U61" s="14">
        <f>H61*100-I61</f>
        <v/>
      </c>
      <c r="V61" s="14">
        <f>U61-12.5*(J61+1)</f>
        <v/>
      </c>
      <c r="W61" s="15">
        <f>IFERROR(VLOOKUP(T61,V8_COHORT_TABLE,2,FALSE),IFERROR(VLOOKUP(P61&amp;"|"&amp;Q61&amp;"|ALL|"&amp;S61,V8_COHORT_TABLE,2,FALSE),IFERROR(VLOOKUP(P61&amp;"|ALL|ALL|"&amp;S61,V8_COHORT_TABLE,2,FALSE),IFERROR(VLOOKUP(P61&amp;"|ALL|ALL|ALL",V8_COHORT_TABLE,2,FALSE),VLOOKUP("GLOBAL",V8_COHORT_TABLE,2,FALSE)))))</f>
        <v/>
      </c>
      <c r="X61" s="15">
        <f>IFERROR(VLOOKUP(T61,V8_COHORT_TABLE,3,FALSE),IFERROR(VLOOKUP(P61&amp;"|"&amp;Q61&amp;"|ALL|"&amp;S61,V8_COHORT_TABLE,3,FALSE),IFERROR(VLOOKUP(P61&amp;"|ALL|ALL|"&amp;S61,V8_COHORT_TABLE,3,FALSE),IFERROR(VLOOKUP(P61&amp;"|ALL|ALL|ALL",V8_COHORT_TABLE,3,FALSE),VLOOKUP("GLOBAL",V8_COHORT_TABLE,3,FALSE)))))</f>
        <v/>
      </c>
      <c r="Y61" s="15">
        <f>IFERROR(VLOOKUP(T61,V8_COHORT_TABLE,4,FALSE),IFERROR(VLOOKUP(P61&amp;"|"&amp;Q61&amp;"|ALL|"&amp;S61,V8_COHORT_TABLE,4,FALSE),IFERROR(VLOOKUP(P61&amp;"|ALL|ALL|"&amp;S61,V8_COHORT_TABLE,4,FALSE),IFERROR(VLOOKUP(P61&amp;"|ALL|ALL|ALL",V8_COHORT_TABLE,4,FALSE),VLOOKUP("GLOBAL",V8_COHORT_TABLE,4,FALSE)))))</f>
        <v/>
      </c>
      <c r="Z61" s="15">
        <f>IFERROR(VLOOKUP(T61,V8_COHORT_TABLE,5,FALSE),IFERROR(VLOOKUP(P61&amp;"|"&amp;Q61&amp;"|ALL|"&amp;S61,V8_COHORT_TABLE,5,FALSE),IFERROR(VLOOKUP(P61&amp;"|ALL|ALL|"&amp;S61,V8_COHORT_TABLE,5,FALSE),IFERROR(VLOOKUP(P61&amp;"|ALL|ALL|ALL",V8_COHORT_TABLE,5,FALSE),VLOOKUP("GLOBAL",V8_COHORT_TABLE,5,FALSE)))))</f>
        <v/>
      </c>
      <c r="AA61" s="15">
        <f>W61+X61/(1+EXP(-(V61-Y61)/Z61))</f>
        <v/>
      </c>
      <c r="AB61" s="15">
        <f>IFERROR(VLOOKUP(T61,V8_COHORT_TABLE,6,FALSE),IFERROR(VLOOKUP(P61&amp;"|"&amp;Q61&amp;"|ALL|"&amp;S61,V8_COHORT_TABLE,6,FALSE),IFERROR(VLOOKUP(P61&amp;"|ALL|ALL|"&amp;S61,V8_COHORT_TABLE,6,FALSE),IFERROR(VLOOKUP(P61&amp;"|ALL|ALL|ALL",V8_COHORT_TABLE,6,FALSE),VLOOKUP("GLOBAL",V8_COHORT_TABLE,6,FALSE)))))</f>
        <v/>
      </c>
      <c r="AC61" s="15">
        <f>IFERROR(VLOOKUP(T61,V8_COHORT_TABLE,7,FALSE),IFERROR(VLOOKUP(P61&amp;"|"&amp;Q61&amp;"|ALL|"&amp;S61,V8_COHORT_TABLE,7,FALSE),IFERROR(VLOOKUP(P61&amp;"|ALL|ALL|"&amp;S61,V8_COHORT_TABLE,7,FALSE),IFERROR(VLOOKUP(P61&amp;"|ALL|ALL|ALL",V8_COHORT_TABLE,7,FALSE),VLOOKUP("GLOBAL",V8_COHORT_TABLE,7,FALSE)))))</f>
        <v/>
      </c>
      <c r="AD61" s="15">
        <f>IFERROR(VLOOKUP(T61,V8_COHORT_TABLE,8,FALSE),IFERROR(VLOOKUP(P61&amp;"|"&amp;Q61&amp;"|ALL|"&amp;S61,V8_COHORT_TABLE,8,FALSE),IFERROR(VLOOKUP(P61&amp;"|ALL|ALL|"&amp;S61,V8_COHORT_TABLE,8,FALSE),IFERROR(VLOOKUP(P61&amp;"|ALL|ALL|ALL",V8_COHORT_TABLE,8,FALSE),VLOOKUP("GLOBAL",V8_COHORT_TABLE,8,FALSE)))))</f>
        <v/>
      </c>
      <c r="AE61" s="15">
        <f>IFERROR(VLOOKUP(T61,V8_COHORT_TABLE,9,FALSE),IFERROR(VLOOKUP(P61&amp;"|"&amp;Q61&amp;"|ALL|"&amp;S61,V8_COHORT_TABLE,9,FALSE),IFERROR(VLOOKUP(P61&amp;"|ALL|ALL|"&amp;S61,V8_COHORT_TABLE,9,FALSE),IFERROR(VLOOKUP(P61&amp;"|ALL|ALL|ALL",V8_COHORT_TABLE,9,FALSE),VLOOKUP("GLOBAL",V8_COHORT_TABLE,9,FALSE)))))</f>
        <v/>
      </c>
      <c r="AF61" s="8">
        <f>IF(K61&lt;=0,AB61,IF(K61&gt;=240,AE61,IF(K61&lt;=24,AB61+(K61-0)/24*(AC61-AB61),IF(K61&lt;=96,AC61+(K61-24)/72*(AD61-AC61),AD61+(K61-96)/144*(AE61-AD61)))))</f>
        <v/>
      </c>
      <c r="AG61" s="8">
        <f>IF(IF(OR(L61="",NOT(ISNUMBER(L61))),360,MAX(0,MIN(480,(INT(L61/100)-INT(VALUE(F61)/100))*12+MOD(L61,100)-MOD(VALUE(F61),100))))&gt;0,1+V8_MTY_AMP*MAX(0,(V8_MTY_CUTOFF-(IF(OR(L61="",NOT(ISNUMBER(L61))),360,MAX(0,MIN(480,(INT(L61/100)-INT(VALUE(F61)/100))*12+MOD(L61,100)-MOD(VALUE(F61),100))))))/V8_MTY_CUTOFF),1)</f>
        <v/>
      </c>
      <c r="AH61" s="8">
        <f>IF(AND(IF(OR(M61="",NOT(ISNUMBER(M61))),0,MAX(0,MIN(24,(INT(VALUE(F61)/100)-INT(M61/100))*12+MOD(VALUE(F61),100)-MOD(M61,100))))&gt;0,IF(OR(M61="",NOT(ISNUMBER(M61))),0,MAX(0,MIN(24,(INT(VALUE(F61)/100)-INT(M61/100))*12+MOD(VALUE(F61),100)-MOD(M61,100))))&lt;=12),1+V8_LOCKOUT_AMP*EXP(-(IF(OR(M61="",NOT(ISNUMBER(M61))),0,MAX(0,MIN(24,(INT(VALUE(F61)/100)-INT(M61/100))*12+MOD(VALUE(F61),100)-MOD(M61,100)))))/V8_LOCKOUT_TAU),1)</f>
        <v/>
      </c>
      <c r="AI61" s="8">
        <f>MAX(V8_BURN_FLOOR,1-V8_BURN_SLOPE*MIN(1,MAX(0,O61)))</f>
        <v/>
      </c>
      <c r="AJ61" s="15">
        <f>MIN(AA61*AF61*AG61*AH61*AI61,0.2)</f>
        <v/>
      </c>
      <c r="AK61" s="16">
        <f>1-(1-AJ61)^12</f>
        <v/>
      </c>
    </row>
    <row r="62">
      <c r="A62" s="2" t="inlineStr">
        <is>
          <t>000007535464</t>
        </is>
      </c>
      <c r="B62" t="inlineStr">
        <is>
          <t>221d4</t>
        </is>
      </c>
      <c r="C62" t="inlineStr">
        <is>
          <t>NC</t>
        </is>
      </c>
      <c r="D62" t="inlineStr">
        <is>
          <t>BERKADIA COMMERCIAL MORTGAGE, LLC</t>
        </is>
      </c>
      <c r="E62" t="n">
        <v>2016</v>
      </c>
      <c r="F62" t="inlineStr">
        <is>
          <t>202602</t>
        </is>
      </c>
      <c r="G62" s="9" t="n">
        <v>17297981.93</v>
      </c>
      <c r="H62" s="13" t="n">
        <v>3.25</v>
      </c>
      <c r="I62" s="14" t="n">
        <v>447</v>
      </c>
      <c r="J62" s="14" t="n">
        <v>6</v>
      </c>
      <c r="K62" t="n">
        <v>113</v>
      </c>
      <c r="L62" t="n">
        <v>205806</v>
      </c>
      <c r="M62" t="inlineStr"/>
      <c r="N62" t="n">
        <v>16</v>
      </c>
      <c r="O62" s="8" t="n">
        <v>0.1415929203539823</v>
      </c>
      <c r="P62">
        <f>IF(ISNUMBER(SEARCH("232",B62)),"232",IF(ISNUMBER(SEARCH("538",B62)),"538",IF(ISNUMBER(SEARCH("223a7",B62)),"223a7",IF(ISNUMBER(SEARCH("223f",B62)),"223f","OTHER"))))</f>
        <v/>
      </c>
      <c r="Q62">
        <f>IF(UPPER(C62)="NC","NC","RP")</f>
        <v/>
      </c>
      <c r="R62">
        <f>IF(G62&lt;5000000,"small",IF(G62&lt;25000000,"medium","large"))</f>
        <v/>
      </c>
      <c r="S62">
        <f>IF(K62&lt;36,"young",IF(K62&lt;120,"seasoned","aged"))</f>
        <v/>
      </c>
      <c r="T62">
        <f>P62&amp;"|"&amp;Q62&amp;"|"&amp;R62&amp;"|"&amp;S62</f>
        <v/>
      </c>
      <c r="U62" s="14">
        <f>H62*100-I62</f>
        <v/>
      </c>
      <c r="V62" s="14">
        <f>U62-12.5*(J62+1)</f>
        <v/>
      </c>
      <c r="W62" s="15">
        <f>IFERROR(VLOOKUP(T62,V8_COHORT_TABLE,2,FALSE),IFERROR(VLOOKUP(P62&amp;"|"&amp;Q62&amp;"|ALL|"&amp;S62,V8_COHORT_TABLE,2,FALSE),IFERROR(VLOOKUP(P62&amp;"|ALL|ALL|"&amp;S62,V8_COHORT_TABLE,2,FALSE),IFERROR(VLOOKUP(P62&amp;"|ALL|ALL|ALL",V8_COHORT_TABLE,2,FALSE),VLOOKUP("GLOBAL",V8_COHORT_TABLE,2,FALSE)))))</f>
        <v/>
      </c>
      <c r="X62" s="15">
        <f>IFERROR(VLOOKUP(T62,V8_COHORT_TABLE,3,FALSE),IFERROR(VLOOKUP(P62&amp;"|"&amp;Q62&amp;"|ALL|"&amp;S62,V8_COHORT_TABLE,3,FALSE),IFERROR(VLOOKUP(P62&amp;"|ALL|ALL|"&amp;S62,V8_COHORT_TABLE,3,FALSE),IFERROR(VLOOKUP(P62&amp;"|ALL|ALL|ALL",V8_COHORT_TABLE,3,FALSE),VLOOKUP("GLOBAL",V8_COHORT_TABLE,3,FALSE)))))</f>
        <v/>
      </c>
      <c r="Y62" s="15">
        <f>IFERROR(VLOOKUP(T62,V8_COHORT_TABLE,4,FALSE),IFERROR(VLOOKUP(P62&amp;"|"&amp;Q62&amp;"|ALL|"&amp;S62,V8_COHORT_TABLE,4,FALSE),IFERROR(VLOOKUP(P62&amp;"|ALL|ALL|"&amp;S62,V8_COHORT_TABLE,4,FALSE),IFERROR(VLOOKUP(P62&amp;"|ALL|ALL|ALL",V8_COHORT_TABLE,4,FALSE),VLOOKUP("GLOBAL",V8_COHORT_TABLE,4,FALSE)))))</f>
        <v/>
      </c>
      <c r="Z62" s="15">
        <f>IFERROR(VLOOKUP(T62,V8_COHORT_TABLE,5,FALSE),IFERROR(VLOOKUP(P62&amp;"|"&amp;Q62&amp;"|ALL|"&amp;S62,V8_COHORT_TABLE,5,FALSE),IFERROR(VLOOKUP(P62&amp;"|ALL|ALL|"&amp;S62,V8_COHORT_TABLE,5,FALSE),IFERROR(VLOOKUP(P62&amp;"|ALL|ALL|ALL",V8_COHORT_TABLE,5,FALSE),VLOOKUP("GLOBAL",V8_COHORT_TABLE,5,FALSE)))))</f>
        <v/>
      </c>
      <c r="AA62" s="15">
        <f>W62+X62/(1+EXP(-(V62-Y62)/Z62))</f>
        <v/>
      </c>
      <c r="AB62" s="15">
        <f>IFERROR(VLOOKUP(T62,V8_COHORT_TABLE,6,FALSE),IFERROR(VLOOKUP(P62&amp;"|"&amp;Q62&amp;"|ALL|"&amp;S62,V8_COHORT_TABLE,6,FALSE),IFERROR(VLOOKUP(P62&amp;"|ALL|ALL|"&amp;S62,V8_COHORT_TABLE,6,FALSE),IFERROR(VLOOKUP(P62&amp;"|ALL|ALL|ALL",V8_COHORT_TABLE,6,FALSE),VLOOKUP("GLOBAL",V8_COHORT_TABLE,6,FALSE)))))</f>
        <v/>
      </c>
      <c r="AC62" s="15">
        <f>IFERROR(VLOOKUP(T62,V8_COHORT_TABLE,7,FALSE),IFERROR(VLOOKUP(P62&amp;"|"&amp;Q62&amp;"|ALL|"&amp;S62,V8_COHORT_TABLE,7,FALSE),IFERROR(VLOOKUP(P62&amp;"|ALL|ALL|"&amp;S62,V8_COHORT_TABLE,7,FALSE),IFERROR(VLOOKUP(P62&amp;"|ALL|ALL|ALL",V8_COHORT_TABLE,7,FALSE),VLOOKUP("GLOBAL",V8_COHORT_TABLE,7,FALSE)))))</f>
        <v/>
      </c>
      <c r="AD62" s="15">
        <f>IFERROR(VLOOKUP(T62,V8_COHORT_TABLE,8,FALSE),IFERROR(VLOOKUP(P62&amp;"|"&amp;Q62&amp;"|ALL|"&amp;S62,V8_COHORT_TABLE,8,FALSE),IFERROR(VLOOKUP(P62&amp;"|ALL|ALL|"&amp;S62,V8_COHORT_TABLE,8,FALSE),IFERROR(VLOOKUP(P62&amp;"|ALL|ALL|ALL",V8_COHORT_TABLE,8,FALSE),VLOOKUP("GLOBAL",V8_COHORT_TABLE,8,FALSE)))))</f>
        <v/>
      </c>
      <c r="AE62" s="15">
        <f>IFERROR(VLOOKUP(T62,V8_COHORT_TABLE,9,FALSE),IFERROR(VLOOKUP(P62&amp;"|"&amp;Q62&amp;"|ALL|"&amp;S62,V8_COHORT_TABLE,9,FALSE),IFERROR(VLOOKUP(P62&amp;"|ALL|ALL|"&amp;S62,V8_COHORT_TABLE,9,FALSE),IFERROR(VLOOKUP(P62&amp;"|ALL|ALL|ALL",V8_COHORT_TABLE,9,FALSE),VLOOKUP("GLOBAL",V8_COHORT_TABLE,9,FALSE)))))</f>
        <v/>
      </c>
      <c r="AF62" s="8">
        <f>IF(K62&lt;=0,AB62,IF(K62&gt;=240,AE62,IF(K62&lt;=24,AB62+(K62-0)/24*(AC62-AB62),IF(K62&lt;=96,AC62+(K62-24)/72*(AD62-AC62),AD62+(K62-96)/144*(AE62-AD62)))))</f>
        <v/>
      </c>
      <c r="AG62" s="8">
        <f>IF(IF(OR(L62="",NOT(ISNUMBER(L62))),360,MAX(0,MIN(480,(INT(L62/100)-INT(VALUE(F62)/100))*12+MOD(L62,100)-MOD(VALUE(F62),100))))&gt;0,1+V8_MTY_AMP*MAX(0,(V8_MTY_CUTOFF-(IF(OR(L62="",NOT(ISNUMBER(L62))),360,MAX(0,MIN(480,(INT(L62/100)-INT(VALUE(F62)/100))*12+MOD(L62,100)-MOD(VALUE(F62),100))))))/V8_MTY_CUTOFF),1)</f>
        <v/>
      </c>
      <c r="AH62" s="8">
        <f>IF(AND(IF(OR(M62="",NOT(ISNUMBER(M62))),0,MAX(0,MIN(24,(INT(VALUE(F62)/100)-INT(M62/100))*12+MOD(VALUE(F62),100)-MOD(M62,100))))&gt;0,IF(OR(M62="",NOT(ISNUMBER(M62))),0,MAX(0,MIN(24,(INT(VALUE(F62)/100)-INT(M62/100))*12+MOD(VALUE(F62),100)-MOD(M62,100))))&lt;=12),1+V8_LOCKOUT_AMP*EXP(-(IF(OR(M62="",NOT(ISNUMBER(M62))),0,MAX(0,MIN(24,(INT(VALUE(F62)/100)-INT(M62/100))*12+MOD(VALUE(F62),100)-MOD(M62,100)))))/V8_LOCKOUT_TAU),1)</f>
        <v/>
      </c>
      <c r="AI62" s="8">
        <f>MAX(V8_BURN_FLOOR,1-V8_BURN_SLOPE*MIN(1,MAX(0,O62)))</f>
        <v/>
      </c>
      <c r="AJ62" s="15">
        <f>MIN(AA62*AF62*AG62*AH62*AI62,0.2)</f>
        <v/>
      </c>
      <c r="AK62" s="16">
        <f>1-(1-AJ62)^12</f>
        <v/>
      </c>
    </row>
    <row r="63">
      <c r="A63" s="2" t="inlineStr">
        <is>
          <t>000003111141</t>
        </is>
      </c>
      <c r="B63" t="inlineStr">
        <is>
          <t>223f</t>
        </is>
      </c>
      <c r="C63" t="inlineStr">
        <is>
          <t>RP</t>
        </is>
      </c>
      <c r="D63" t="inlineStr">
        <is>
          <t>BERKADIA COMMERCIAL MORTGAGE, LLC</t>
        </is>
      </c>
      <c r="E63" t="n">
        <v>2021</v>
      </c>
      <c r="F63" t="inlineStr">
        <is>
          <t>202602</t>
        </is>
      </c>
      <c r="G63" s="9" t="n">
        <v>23902483.14</v>
      </c>
      <c r="H63" s="13" t="n">
        <v>2.58</v>
      </c>
      <c r="I63" s="14" t="n">
        <v>447</v>
      </c>
      <c r="J63" s="14" t="n">
        <v>7</v>
      </c>
      <c r="K63" t="n">
        <v>58</v>
      </c>
      <c r="L63" t="n">
        <v>205610</v>
      </c>
      <c r="M63" t="inlineStr"/>
      <c r="N63" t="n">
        <v>6</v>
      </c>
      <c r="O63" s="8" t="n">
        <v>0.103448275862069</v>
      </c>
      <c r="P63">
        <f>IF(ISNUMBER(SEARCH("232",B63)),"232",IF(ISNUMBER(SEARCH("538",B63)),"538",IF(ISNUMBER(SEARCH("223a7",B63)),"223a7",IF(ISNUMBER(SEARCH("223f",B63)),"223f","OTHER"))))</f>
        <v/>
      </c>
      <c r="Q63">
        <f>IF(UPPER(C63)="NC","NC","RP")</f>
        <v/>
      </c>
      <c r="R63">
        <f>IF(G63&lt;5000000,"small",IF(G63&lt;25000000,"medium","large"))</f>
        <v/>
      </c>
      <c r="S63">
        <f>IF(K63&lt;36,"young",IF(K63&lt;120,"seasoned","aged"))</f>
        <v/>
      </c>
      <c r="T63">
        <f>P63&amp;"|"&amp;Q63&amp;"|"&amp;R63&amp;"|"&amp;S63</f>
        <v/>
      </c>
      <c r="U63" s="14">
        <f>H63*100-I63</f>
        <v/>
      </c>
      <c r="V63" s="14">
        <f>U63-12.5*(J63+1)</f>
        <v/>
      </c>
      <c r="W63" s="15">
        <f>IFERROR(VLOOKUP(T63,V8_COHORT_TABLE,2,FALSE),IFERROR(VLOOKUP(P63&amp;"|"&amp;Q63&amp;"|ALL|"&amp;S63,V8_COHORT_TABLE,2,FALSE),IFERROR(VLOOKUP(P63&amp;"|ALL|ALL|"&amp;S63,V8_COHORT_TABLE,2,FALSE),IFERROR(VLOOKUP(P63&amp;"|ALL|ALL|ALL",V8_COHORT_TABLE,2,FALSE),VLOOKUP("GLOBAL",V8_COHORT_TABLE,2,FALSE)))))</f>
        <v/>
      </c>
      <c r="X63" s="15">
        <f>IFERROR(VLOOKUP(T63,V8_COHORT_TABLE,3,FALSE),IFERROR(VLOOKUP(P63&amp;"|"&amp;Q63&amp;"|ALL|"&amp;S63,V8_COHORT_TABLE,3,FALSE),IFERROR(VLOOKUP(P63&amp;"|ALL|ALL|"&amp;S63,V8_COHORT_TABLE,3,FALSE),IFERROR(VLOOKUP(P63&amp;"|ALL|ALL|ALL",V8_COHORT_TABLE,3,FALSE),VLOOKUP("GLOBAL",V8_COHORT_TABLE,3,FALSE)))))</f>
        <v/>
      </c>
      <c r="Y63" s="15">
        <f>IFERROR(VLOOKUP(T63,V8_COHORT_TABLE,4,FALSE),IFERROR(VLOOKUP(P63&amp;"|"&amp;Q63&amp;"|ALL|"&amp;S63,V8_COHORT_TABLE,4,FALSE),IFERROR(VLOOKUP(P63&amp;"|ALL|ALL|"&amp;S63,V8_COHORT_TABLE,4,FALSE),IFERROR(VLOOKUP(P63&amp;"|ALL|ALL|ALL",V8_COHORT_TABLE,4,FALSE),VLOOKUP("GLOBAL",V8_COHORT_TABLE,4,FALSE)))))</f>
        <v/>
      </c>
      <c r="Z63" s="15">
        <f>IFERROR(VLOOKUP(T63,V8_COHORT_TABLE,5,FALSE),IFERROR(VLOOKUP(P63&amp;"|"&amp;Q63&amp;"|ALL|"&amp;S63,V8_COHORT_TABLE,5,FALSE),IFERROR(VLOOKUP(P63&amp;"|ALL|ALL|"&amp;S63,V8_COHORT_TABLE,5,FALSE),IFERROR(VLOOKUP(P63&amp;"|ALL|ALL|ALL",V8_COHORT_TABLE,5,FALSE),VLOOKUP("GLOBAL",V8_COHORT_TABLE,5,FALSE)))))</f>
        <v/>
      </c>
      <c r="AA63" s="15">
        <f>W63+X63/(1+EXP(-(V63-Y63)/Z63))</f>
        <v/>
      </c>
      <c r="AB63" s="15">
        <f>IFERROR(VLOOKUP(T63,V8_COHORT_TABLE,6,FALSE),IFERROR(VLOOKUP(P63&amp;"|"&amp;Q63&amp;"|ALL|"&amp;S63,V8_COHORT_TABLE,6,FALSE),IFERROR(VLOOKUP(P63&amp;"|ALL|ALL|"&amp;S63,V8_COHORT_TABLE,6,FALSE),IFERROR(VLOOKUP(P63&amp;"|ALL|ALL|ALL",V8_COHORT_TABLE,6,FALSE),VLOOKUP("GLOBAL",V8_COHORT_TABLE,6,FALSE)))))</f>
        <v/>
      </c>
      <c r="AC63" s="15">
        <f>IFERROR(VLOOKUP(T63,V8_COHORT_TABLE,7,FALSE),IFERROR(VLOOKUP(P63&amp;"|"&amp;Q63&amp;"|ALL|"&amp;S63,V8_COHORT_TABLE,7,FALSE),IFERROR(VLOOKUP(P63&amp;"|ALL|ALL|"&amp;S63,V8_COHORT_TABLE,7,FALSE),IFERROR(VLOOKUP(P63&amp;"|ALL|ALL|ALL",V8_COHORT_TABLE,7,FALSE),VLOOKUP("GLOBAL",V8_COHORT_TABLE,7,FALSE)))))</f>
        <v/>
      </c>
      <c r="AD63" s="15">
        <f>IFERROR(VLOOKUP(T63,V8_COHORT_TABLE,8,FALSE),IFERROR(VLOOKUP(P63&amp;"|"&amp;Q63&amp;"|ALL|"&amp;S63,V8_COHORT_TABLE,8,FALSE),IFERROR(VLOOKUP(P63&amp;"|ALL|ALL|"&amp;S63,V8_COHORT_TABLE,8,FALSE),IFERROR(VLOOKUP(P63&amp;"|ALL|ALL|ALL",V8_COHORT_TABLE,8,FALSE),VLOOKUP("GLOBAL",V8_COHORT_TABLE,8,FALSE)))))</f>
        <v/>
      </c>
      <c r="AE63" s="15">
        <f>IFERROR(VLOOKUP(T63,V8_COHORT_TABLE,9,FALSE),IFERROR(VLOOKUP(P63&amp;"|"&amp;Q63&amp;"|ALL|"&amp;S63,V8_COHORT_TABLE,9,FALSE),IFERROR(VLOOKUP(P63&amp;"|ALL|ALL|"&amp;S63,V8_COHORT_TABLE,9,FALSE),IFERROR(VLOOKUP(P63&amp;"|ALL|ALL|ALL",V8_COHORT_TABLE,9,FALSE),VLOOKUP("GLOBAL",V8_COHORT_TABLE,9,FALSE)))))</f>
        <v/>
      </c>
      <c r="AF63" s="8">
        <f>IF(K63&lt;=0,AB63,IF(K63&gt;=240,AE63,IF(K63&lt;=24,AB63+(K63-0)/24*(AC63-AB63),IF(K63&lt;=96,AC63+(K63-24)/72*(AD63-AC63),AD63+(K63-96)/144*(AE63-AD63)))))</f>
        <v/>
      </c>
      <c r="AG63" s="8">
        <f>IF(IF(OR(L63="",NOT(ISNUMBER(L63))),360,MAX(0,MIN(480,(INT(L63/100)-INT(VALUE(F63)/100))*12+MOD(L63,100)-MOD(VALUE(F63),100))))&gt;0,1+V8_MTY_AMP*MAX(0,(V8_MTY_CUTOFF-(IF(OR(L63="",NOT(ISNUMBER(L63))),360,MAX(0,MIN(480,(INT(L63/100)-INT(VALUE(F63)/100))*12+MOD(L63,100)-MOD(VALUE(F63),100))))))/V8_MTY_CUTOFF),1)</f>
        <v/>
      </c>
      <c r="AH63" s="8">
        <f>IF(AND(IF(OR(M63="",NOT(ISNUMBER(M63))),0,MAX(0,MIN(24,(INT(VALUE(F63)/100)-INT(M63/100))*12+MOD(VALUE(F63),100)-MOD(M63,100))))&gt;0,IF(OR(M63="",NOT(ISNUMBER(M63))),0,MAX(0,MIN(24,(INT(VALUE(F63)/100)-INT(M63/100))*12+MOD(VALUE(F63),100)-MOD(M63,100))))&lt;=12),1+V8_LOCKOUT_AMP*EXP(-(IF(OR(M63="",NOT(ISNUMBER(M63))),0,MAX(0,MIN(24,(INT(VALUE(F63)/100)-INT(M63/100))*12+MOD(VALUE(F63),100)-MOD(M63,100)))))/V8_LOCKOUT_TAU),1)</f>
        <v/>
      </c>
      <c r="AI63" s="8">
        <f>MAX(V8_BURN_FLOOR,1-V8_BURN_SLOPE*MIN(1,MAX(0,O63)))</f>
        <v/>
      </c>
      <c r="AJ63" s="15">
        <f>MIN(AA63*AF63*AG63*AH63*AI63,0.2)</f>
        <v/>
      </c>
      <c r="AK63" s="16">
        <f>1-(1-AJ63)^12</f>
        <v/>
      </c>
    </row>
    <row r="64">
      <c r="A64" s="2" t="inlineStr">
        <is>
          <t>000001410045</t>
        </is>
      </c>
      <c r="B64" t="inlineStr">
        <is>
          <t>241</t>
        </is>
      </c>
      <c r="C64" t="inlineStr">
        <is>
          <t>NC</t>
        </is>
      </c>
      <c r="D64" t="inlineStr">
        <is>
          <t>BERKADIA COMMERCIAL MORTGAGE, LLC</t>
        </is>
      </c>
      <c r="E64" t="n">
        <v>2009</v>
      </c>
      <c r="F64" t="inlineStr">
        <is>
          <t>202602</t>
        </is>
      </c>
      <c r="G64" s="9" t="n">
        <v>662700.64</v>
      </c>
      <c r="H64" s="13" t="n">
        <v>6.2</v>
      </c>
      <c r="I64" s="14" t="n">
        <v>447</v>
      </c>
      <c r="J64" s="14" t="n">
        <v>0</v>
      </c>
      <c r="K64" t="n">
        <v>197</v>
      </c>
      <c r="L64" t="n">
        <v>203811</v>
      </c>
      <c r="M64" t="n">
        <v>201205</v>
      </c>
      <c r="N64" t="n">
        <v>86</v>
      </c>
      <c r="O64" s="8" t="n">
        <v>0.4365482233502538</v>
      </c>
      <c r="P64">
        <f>IF(ISNUMBER(SEARCH("232",B64)),"232",IF(ISNUMBER(SEARCH("538",B64)),"538",IF(ISNUMBER(SEARCH("223a7",B64)),"223a7",IF(ISNUMBER(SEARCH("223f",B64)),"223f","OTHER"))))</f>
        <v/>
      </c>
      <c r="Q64">
        <f>IF(UPPER(C64)="NC","NC","RP")</f>
        <v/>
      </c>
      <c r="R64">
        <f>IF(G64&lt;5000000,"small",IF(G64&lt;25000000,"medium","large"))</f>
        <v/>
      </c>
      <c r="S64">
        <f>IF(K64&lt;36,"young",IF(K64&lt;120,"seasoned","aged"))</f>
        <v/>
      </c>
      <c r="T64">
        <f>P64&amp;"|"&amp;Q64&amp;"|"&amp;R64&amp;"|"&amp;S64</f>
        <v/>
      </c>
      <c r="U64" s="14">
        <f>H64*100-I64</f>
        <v/>
      </c>
      <c r="V64" s="14">
        <f>U64-12.5*(J64+1)</f>
        <v/>
      </c>
      <c r="W64" s="15">
        <f>IFERROR(VLOOKUP(T64,V8_COHORT_TABLE,2,FALSE),IFERROR(VLOOKUP(P64&amp;"|"&amp;Q64&amp;"|ALL|"&amp;S64,V8_COHORT_TABLE,2,FALSE),IFERROR(VLOOKUP(P64&amp;"|ALL|ALL|"&amp;S64,V8_COHORT_TABLE,2,FALSE),IFERROR(VLOOKUP(P64&amp;"|ALL|ALL|ALL",V8_COHORT_TABLE,2,FALSE),VLOOKUP("GLOBAL",V8_COHORT_TABLE,2,FALSE)))))</f>
        <v/>
      </c>
      <c r="X64" s="15">
        <f>IFERROR(VLOOKUP(T64,V8_COHORT_TABLE,3,FALSE),IFERROR(VLOOKUP(P64&amp;"|"&amp;Q64&amp;"|ALL|"&amp;S64,V8_COHORT_TABLE,3,FALSE),IFERROR(VLOOKUP(P64&amp;"|ALL|ALL|"&amp;S64,V8_COHORT_TABLE,3,FALSE),IFERROR(VLOOKUP(P64&amp;"|ALL|ALL|ALL",V8_COHORT_TABLE,3,FALSE),VLOOKUP("GLOBAL",V8_COHORT_TABLE,3,FALSE)))))</f>
        <v/>
      </c>
      <c r="Y64" s="15">
        <f>IFERROR(VLOOKUP(T64,V8_COHORT_TABLE,4,FALSE),IFERROR(VLOOKUP(P64&amp;"|"&amp;Q64&amp;"|ALL|"&amp;S64,V8_COHORT_TABLE,4,FALSE),IFERROR(VLOOKUP(P64&amp;"|ALL|ALL|"&amp;S64,V8_COHORT_TABLE,4,FALSE),IFERROR(VLOOKUP(P64&amp;"|ALL|ALL|ALL",V8_COHORT_TABLE,4,FALSE),VLOOKUP("GLOBAL",V8_COHORT_TABLE,4,FALSE)))))</f>
        <v/>
      </c>
      <c r="Z64" s="15">
        <f>IFERROR(VLOOKUP(T64,V8_COHORT_TABLE,5,FALSE),IFERROR(VLOOKUP(P64&amp;"|"&amp;Q64&amp;"|ALL|"&amp;S64,V8_COHORT_TABLE,5,FALSE),IFERROR(VLOOKUP(P64&amp;"|ALL|ALL|"&amp;S64,V8_COHORT_TABLE,5,FALSE),IFERROR(VLOOKUP(P64&amp;"|ALL|ALL|ALL",V8_COHORT_TABLE,5,FALSE),VLOOKUP("GLOBAL",V8_COHORT_TABLE,5,FALSE)))))</f>
        <v/>
      </c>
      <c r="AA64" s="15">
        <f>W64+X64/(1+EXP(-(V64-Y64)/Z64))</f>
        <v/>
      </c>
      <c r="AB64" s="15">
        <f>IFERROR(VLOOKUP(T64,V8_COHORT_TABLE,6,FALSE),IFERROR(VLOOKUP(P64&amp;"|"&amp;Q64&amp;"|ALL|"&amp;S64,V8_COHORT_TABLE,6,FALSE),IFERROR(VLOOKUP(P64&amp;"|ALL|ALL|"&amp;S64,V8_COHORT_TABLE,6,FALSE),IFERROR(VLOOKUP(P64&amp;"|ALL|ALL|ALL",V8_COHORT_TABLE,6,FALSE),VLOOKUP("GLOBAL",V8_COHORT_TABLE,6,FALSE)))))</f>
        <v/>
      </c>
      <c r="AC64" s="15">
        <f>IFERROR(VLOOKUP(T64,V8_COHORT_TABLE,7,FALSE),IFERROR(VLOOKUP(P64&amp;"|"&amp;Q64&amp;"|ALL|"&amp;S64,V8_COHORT_TABLE,7,FALSE),IFERROR(VLOOKUP(P64&amp;"|ALL|ALL|"&amp;S64,V8_COHORT_TABLE,7,FALSE),IFERROR(VLOOKUP(P64&amp;"|ALL|ALL|ALL",V8_COHORT_TABLE,7,FALSE),VLOOKUP("GLOBAL",V8_COHORT_TABLE,7,FALSE)))))</f>
        <v/>
      </c>
      <c r="AD64" s="15">
        <f>IFERROR(VLOOKUP(T64,V8_COHORT_TABLE,8,FALSE),IFERROR(VLOOKUP(P64&amp;"|"&amp;Q64&amp;"|ALL|"&amp;S64,V8_COHORT_TABLE,8,FALSE),IFERROR(VLOOKUP(P64&amp;"|ALL|ALL|"&amp;S64,V8_COHORT_TABLE,8,FALSE),IFERROR(VLOOKUP(P64&amp;"|ALL|ALL|ALL",V8_COHORT_TABLE,8,FALSE),VLOOKUP("GLOBAL",V8_COHORT_TABLE,8,FALSE)))))</f>
        <v/>
      </c>
      <c r="AE64" s="15">
        <f>IFERROR(VLOOKUP(T64,V8_COHORT_TABLE,9,FALSE),IFERROR(VLOOKUP(P64&amp;"|"&amp;Q64&amp;"|ALL|"&amp;S64,V8_COHORT_TABLE,9,FALSE),IFERROR(VLOOKUP(P64&amp;"|ALL|ALL|"&amp;S64,V8_COHORT_TABLE,9,FALSE),IFERROR(VLOOKUP(P64&amp;"|ALL|ALL|ALL",V8_COHORT_TABLE,9,FALSE),VLOOKUP("GLOBAL",V8_COHORT_TABLE,9,FALSE)))))</f>
        <v/>
      </c>
      <c r="AF64" s="8">
        <f>IF(K64&lt;=0,AB64,IF(K64&gt;=240,AE64,IF(K64&lt;=24,AB64+(K64-0)/24*(AC64-AB64),IF(K64&lt;=96,AC64+(K64-24)/72*(AD64-AC64),AD64+(K64-96)/144*(AE64-AD64)))))</f>
        <v/>
      </c>
      <c r="AG64" s="8">
        <f>IF(IF(OR(L64="",NOT(ISNUMBER(L64))),360,MAX(0,MIN(480,(INT(L64/100)-INT(VALUE(F64)/100))*12+MOD(L64,100)-MOD(VALUE(F64),100))))&gt;0,1+V8_MTY_AMP*MAX(0,(V8_MTY_CUTOFF-(IF(OR(L64="",NOT(ISNUMBER(L64))),360,MAX(0,MIN(480,(INT(L64/100)-INT(VALUE(F64)/100))*12+MOD(L64,100)-MOD(VALUE(F64),100))))))/V8_MTY_CUTOFF),1)</f>
        <v/>
      </c>
      <c r="AH64" s="8">
        <f>IF(AND(IF(OR(M64="",NOT(ISNUMBER(M64))),0,MAX(0,MIN(24,(INT(VALUE(F64)/100)-INT(M64/100))*12+MOD(VALUE(F64),100)-MOD(M64,100))))&gt;0,IF(OR(M64="",NOT(ISNUMBER(M64))),0,MAX(0,MIN(24,(INT(VALUE(F64)/100)-INT(M64/100))*12+MOD(VALUE(F64),100)-MOD(M64,100))))&lt;=12),1+V8_LOCKOUT_AMP*EXP(-(IF(OR(M64="",NOT(ISNUMBER(M64))),0,MAX(0,MIN(24,(INT(VALUE(F64)/100)-INT(M64/100))*12+MOD(VALUE(F64),100)-MOD(M64,100)))))/V8_LOCKOUT_TAU),1)</f>
        <v/>
      </c>
      <c r="AI64" s="8">
        <f>MAX(V8_BURN_FLOOR,1-V8_BURN_SLOPE*MIN(1,MAX(0,O64)))</f>
        <v/>
      </c>
      <c r="AJ64" s="15">
        <f>MIN(AA64*AF64*AG64*AH64*AI64,0.2)</f>
        <v/>
      </c>
      <c r="AK64" s="16">
        <f>1-(1-AJ64)^12</f>
        <v/>
      </c>
    </row>
    <row r="65">
      <c r="A65" s="2" t="inlineStr">
        <is>
          <t>000009335146</t>
        </is>
      </c>
      <c r="B65" t="inlineStr">
        <is>
          <t>221d4</t>
        </is>
      </c>
      <c r="C65" t="inlineStr">
        <is>
          <t>NC</t>
        </is>
      </c>
      <c r="D65" t="inlineStr">
        <is>
          <t>BERKADIA COMMERCIAL MORTGAGE, LLC</t>
        </is>
      </c>
      <c r="E65" t="n">
        <v>2022</v>
      </c>
      <c r="F65" t="inlineStr">
        <is>
          <t>202602</t>
        </is>
      </c>
      <c r="G65" s="9" t="n">
        <v>9907257.279999999</v>
      </c>
      <c r="H65" s="13" t="n">
        <v>4.6</v>
      </c>
      <c r="I65" s="14" t="n">
        <v>447</v>
      </c>
      <c r="J65" s="14" t="n">
        <v>10</v>
      </c>
      <c r="K65" t="n">
        <v>41</v>
      </c>
      <c r="L65" t="n">
        <v>206404</v>
      </c>
      <c r="M65" t="inlineStr"/>
      <c r="N65" t="n">
        <v>0</v>
      </c>
      <c r="O65" s="8" t="n">
        <v>0</v>
      </c>
      <c r="P65">
        <f>IF(ISNUMBER(SEARCH("232",B65)),"232",IF(ISNUMBER(SEARCH("538",B65)),"538",IF(ISNUMBER(SEARCH("223a7",B65)),"223a7",IF(ISNUMBER(SEARCH("223f",B65)),"223f","OTHER"))))</f>
        <v/>
      </c>
      <c r="Q65">
        <f>IF(UPPER(C65)="NC","NC","RP")</f>
        <v/>
      </c>
      <c r="R65">
        <f>IF(G65&lt;5000000,"small",IF(G65&lt;25000000,"medium","large"))</f>
        <v/>
      </c>
      <c r="S65">
        <f>IF(K65&lt;36,"young",IF(K65&lt;120,"seasoned","aged"))</f>
        <v/>
      </c>
      <c r="T65">
        <f>P65&amp;"|"&amp;Q65&amp;"|"&amp;R65&amp;"|"&amp;S65</f>
        <v/>
      </c>
      <c r="U65" s="14">
        <f>H65*100-I65</f>
        <v/>
      </c>
      <c r="V65" s="14">
        <f>U65-12.5*(J65+1)</f>
        <v/>
      </c>
      <c r="W65" s="15">
        <f>IFERROR(VLOOKUP(T65,V8_COHORT_TABLE,2,FALSE),IFERROR(VLOOKUP(P65&amp;"|"&amp;Q65&amp;"|ALL|"&amp;S65,V8_COHORT_TABLE,2,FALSE),IFERROR(VLOOKUP(P65&amp;"|ALL|ALL|"&amp;S65,V8_COHORT_TABLE,2,FALSE),IFERROR(VLOOKUP(P65&amp;"|ALL|ALL|ALL",V8_COHORT_TABLE,2,FALSE),VLOOKUP("GLOBAL",V8_COHORT_TABLE,2,FALSE)))))</f>
        <v/>
      </c>
      <c r="X65" s="15">
        <f>IFERROR(VLOOKUP(T65,V8_COHORT_TABLE,3,FALSE),IFERROR(VLOOKUP(P65&amp;"|"&amp;Q65&amp;"|ALL|"&amp;S65,V8_COHORT_TABLE,3,FALSE),IFERROR(VLOOKUP(P65&amp;"|ALL|ALL|"&amp;S65,V8_COHORT_TABLE,3,FALSE),IFERROR(VLOOKUP(P65&amp;"|ALL|ALL|ALL",V8_COHORT_TABLE,3,FALSE),VLOOKUP("GLOBAL",V8_COHORT_TABLE,3,FALSE)))))</f>
        <v/>
      </c>
      <c r="Y65" s="15">
        <f>IFERROR(VLOOKUP(T65,V8_COHORT_TABLE,4,FALSE),IFERROR(VLOOKUP(P65&amp;"|"&amp;Q65&amp;"|ALL|"&amp;S65,V8_COHORT_TABLE,4,FALSE),IFERROR(VLOOKUP(P65&amp;"|ALL|ALL|"&amp;S65,V8_COHORT_TABLE,4,FALSE),IFERROR(VLOOKUP(P65&amp;"|ALL|ALL|ALL",V8_COHORT_TABLE,4,FALSE),VLOOKUP("GLOBAL",V8_COHORT_TABLE,4,FALSE)))))</f>
        <v/>
      </c>
      <c r="Z65" s="15">
        <f>IFERROR(VLOOKUP(T65,V8_COHORT_TABLE,5,FALSE),IFERROR(VLOOKUP(P65&amp;"|"&amp;Q65&amp;"|ALL|"&amp;S65,V8_COHORT_TABLE,5,FALSE),IFERROR(VLOOKUP(P65&amp;"|ALL|ALL|"&amp;S65,V8_COHORT_TABLE,5,FALSE),IFERROR(VLOOKUP(P65&amp;"|ALL|ALL|ALL",V8_COHORT_TABLE,5,FALSE),VLOOKUP("GLOBAL",V8_COHORT_TABLE,5,FALSE)))))</f>
        <v/>
      </c>
      <c r="AA65" s="15">
        <f>W65+X65/(1+EXP(-(V65-Y65)/Z65))</f>
        <v/>
      </c>
      <c r="AB65" s="15">
        <f>IFERROR(VLOOKUP(T65,V8_COHORT_TABLE,6,FALSE),IFERROR(VLOOKUP(P65&amp;"|"&amp;Q65&amp;"|ALL|"&amp;S65,V8_COHORT_TABLE,6,FALSE),IFERROR(VLOOKUP(P65&amp;"|ALL|ALL|"&amp;S65,V8_COHORT_TABLE,6,FALSE),IFERROR(VLOOKUP(P65&amp;"|ALL|ALL|ALL",V8_COHORT_TABLE,6,FALSE),VLOOKUP("GLOBAL",V8_COHORT_TABLE,6,FALSE)))))</f>
        <v/>
      </c>
      <c r="AC65" s="15">
        <f>IFERROR(VLOOKUP(T65,V8_COHORT_TABLE,7,FALSE),IFERROR(VLOOKUP(P65&amp;"|"&amp;Q65&amp;"|ALL|"&amp;S65,V8_COHORT_TABLE,7,FALSE),IFERROR(VLOOKUP(P65&amp;"|ALL|ALL|"&amp;S65,V8_COHORT_TABLE,7,FALSE),IFERROR(VLOOKUP(P65&amp;"|ALL|ALL|ALL",V8_COHORT_TABLE,7,FALSE),VLOOKUP("GLOBAL",V8_COHORT_TABLE,7,FALSE)))))</f>
        <v/>
      </c>
      <c r="AD65" s="15">
        <f>IFERROR(VLOOKUP(T65,V8_COHORT_TABLE,8,FALSE),IFERROR(VLOOKUP(P65&amp;"|"&amp;Q65&amp;"|ALL|"&amp;S65,V8_COHORT_TABLE,8,FALSE),IFERROR(VLOOKUP(P65&amp;"|ALL|ALL|"&amp;S65,V8_COHORT_TABLE,8,FALSE),IFERROR(VLOOKUP(P65&amp;"|ALL|ALL|ALL",V8_COHORT_TABLE,8,FALSE),VLOOKUP("GLOBAL",V8_COHORT_TABLE,8,FALSE)))))</f>
        <v/>
      </c>
      <c r="AE65" s="15">
        <f>IFERROR(VLOOKUP(T65,V8_COHORT_TABLE,9,FALSE),IFERROR(VLOOKUP(P65&amp;"|"&amp;Q65&amp;"|ALL|"&amp;S65,V8_COHORT_TABLE,9,FALSE),IFERROR(VLOOKUP(P65&amp;"|ALL|ALL|"&amp;S65,V8_COHORT_TABLE,9,FALSE),IFERROR(VLOOKUP(P65&amp;"|ALL|ALL|ALL",V8_COHORT_TABLE,9,FALSE),VLOOKUP("GLOBAL",V8_COHORT_TABLE,9,FALSE)))))</f>
        <v/>
      </c>
      <c r="AF65" s="8">
        <f>IF(K65&lt;=0,AB65,IF(K65&gt;=240,AE65,IF(K65&lt;=24,AB65+(K65-0)/24*(AC65-AB65),IF(K65&lt;=96,AC65+(K65-24)/72*(AD65-AC65),AD65+(K65-96)/144*(AE65-AD65)))))</f>
        <v/>
      </c>
      <c r="AG65" s="8">
        <f>IF(IF(OR(L65="",NOT(ISNUMBER(L65))),360,MAX(0,MIN(480,(INT(L65/100)-INT(VALUE(F65)/100))*12+MOD(L65,100)-MOD(VALUE(F65),100))))&gt;0,1+V8_MTY_AMP*MAX(0,(V8_MTY_CUTOFF-(IF(OR(L65="",NOT(ISNUMBER(L65))),360,MAX(0,MIN(480,(INT(L65/100)-INT(VALUE(F65)/100))*12+MOD(L65,100)-MOD(VALUE(F65),100))))))/V8_MTY_CUTOFF),1)</f>
        <v/>
      </c>
      <c r="AH65" s="8">
        <f>IF(AND(IF(OR(M65="",NOT(ISNUMBER(M65))),0,MAX(0,MIN(24,(INT(VALUE(F65)/100)-INT(M65/100))*12+MOD(VALUE(F65),100)-MOD(M65,100))))&gt;0,IF(OR(M65="",NOT(ISNUMBER(M65))),0,MAX(0,MIN(24,(INT(VALUE(F65)/100)-INT(M65/100))*12+MOD(VALUE(F65),100)-MOD(M65,100))))&lt;=12),1+V8_LOCKOUT_AMP*EXP(-(IF(OR(M65="",NOT(ISNUMBER(M65))),0,MAX(0,MIN(24,(INT(VALUE(F65)/100)-INT(M65/100))*12+MOD(VALUE(F65),100)-MOD(M65,100)))))/V8_LOCKOUT_TAU),1)</f>
        <v/>
      </c>
      <c r="AI65" s="8">
        <f>MAX(V8_BURN_FLOOR,1-V8_BURN_SLOPE*MIN(1,MAX(0,O65)))</f>
        <v/>
      </c>
      <c r="AJ65" s="15">
        <f>MIN(AA65*AF65*AG65*AH65*AI65,0.2)</f>
        <v/>
      </c>
      <c r="AK65" s="16">
        <f>1-(1-AJ65)^12</f>
        <v/>
      </c>
    </row>
    <row r="66">
      <c r="A66" s="2" t="inlineStr">
        <is>
          <t>000005111250</t>
        </is>
      </c>
      <c r="B66" t="inlineStr">
        <is>
          <t>223a7</t>
        </is>
      </c>
      <c r="C66" t="inlineStr">
        <is>
          <t>RP</t>
        </is>
      </c>
      <c r="D66" t="inlineStr">
        <is>
          <t>BERKADIA COMMERCIAL MORTGAGE, LLC</t>
        </is>
      </c>
      <c r="E66" t="n">
        <v>2012</v>
      </c>
      <c r="F66" t="inlineStr">
        <is>
          <t>202602</t>
        </is>
      </c>
      <c r="G66" s="9" t="n">
        <v>17841211.06</v>
      </c>
      <c r="H66" s="13" t="n">
        <v>3.05</v>
      </c>
      <c r="I66" s="14" t="n">
        <v>447</v>
      </c>
      <c r="J66" s="14" t="n">
        <v>0</v>
      </c>
      <c r="K66" t="n">
        <v>160</v>
      </c>
      <c r="L66" t="n">
        <v>204801</v>
      </c>
      <c r="M66" t="n">
        <v>201402</v>
      </c>
      <c r="N66" t="n">
        <v>26</v>
      </c>
      <c r="O66" s="8" t="n">
        <v>0.1625</v>
      </c>
      <c r="P66">
        <f>IF(ISNUMBER(SEARCH("232",B66)),"232",IF(ISNUMBER(SEARCH("538",B66)),"538",IF(ISNUMBER(SEARCH("223a7",B66)),"223a7",IF(ISNUMBER(SEARCH("223f",B66)),"223f","OTHER"))))</f>
        <v/>
      </c>
      <c r="Q66">
        <f>IF(UPPER(C66)="NC","NC","RP")</f>
        <v/>
      </c>
      <c r="R66">
        <f>IF(G66&lt;5000000,"small",IF(G66&lt;25000000,"medium","large"))</f>
        <v/>
      </c>
      <c r="S66">
        <f>IF(K66&lt;36,"young",IF(K66&lt;120,"seasoned","aged"))</f>
        <v/>
      </c>
      <c r="T66">
        <f>P66&amp;"|"&amp;Q66&amp;"|"&amp;R66&amp;"|"&amp;S66</f>
        <v/>
      </c>
      <c r="U66" s="14">
        <f>H66*100-I66</f>
        <v/>
      </c>
      <c r="V66" s="14">
        <f>U66-12.5*(J66+1)</f>
        <v/>
      </c>
      <c r="W66" s="15">
        <f>IFERROR(VLOOKUP(T66,V8_COHORT_TABLE,2,FALSE),IFERROR(VLOOKUP(P66&amp;"|"&amp;Q66&amp;"|ALL|"&amp;S66,V8_COHORT_TABLE,2,FALSE),IFERROR(VLOOKUP(P66&amp;"|ALL|ALL|"&amp;S66,V8_COHORT_TABLE,2,FALSE),IFERROR(VLOOKUP(P66&amp;"|ALL|ALL|ALL",V8_COHORT_TABLE,2,FALSE),VLOOKUP("GLOBAL",V8_COHORT_TABLE,2,FALSE)))))</f>
        <v/>
      </c>
      <c r="X66" s="15">
        <f>IFERROR(VLOOKUP(T66,V8_COHORT_TABLE,3,FALSE),IFERROR(VLOOKUP(P66&amp;"|"&amp;Q66&amp;"|ALL|"&amp;S66,V8_COHORT_TABLE,3,FALSE),IFERROR(VLOOKUP(P66&amp;"|ALL|ALL|"&amp;S66,V8_COHORT_TABLE,3,FALSE),IFERROR(VLOOKUP(P66&amp;"|ALL|ALL|ALL",V8_COHORT_TABLE,3,FALSE),VLOOKUP("GLOBAL",V8_COHORT_TABLE,3,FALSE)))))</f>
        <v/>
      </c>
      <c r="Y66" s="15">
        <f>IFERROR(VLOOKUP(T66,V8_COHORT_TABLE,4,FALSE),IFERROR(VLOOKUP(P66&amp;"|"&amp;Q66&amp;"|ALL|"&amp;S66,V8_COHORT_TABLE,4,FALSE),IFERROR(VLOOKUP(P66&amp;"|ALL|ALL|"&amp;S66,V8_COHORT_TABLE,4,FALSE),IFERROR(VLOOKUP(P66&amp;"|ALL|ALL|ALL",V8_COHORT_TABLE,4,FALSE),VLOOKUP("GLOBAL",V8_COHORT_TABLE,4,FALSE)))))</f>
        <v/>
      </c>
      <c r="Z66" s="15">
        <f>IFERROR(VLOOKUP(T66,V8_COHORT_TABLE,5,FALSE),IFERROR(VLOOKUP(P66&amp;"|"&amp;Q66&amp;"|ALL|"&amp;S66,V8_COHORT_TABLE,5,FALSE),IFERROR(VLOOKUP(P66&amp;"|ALL|ALL|"&amp;S66,V8_COHORT_TABLE,5,FALSE),IFERROR(VLOOKUP(P66&amp;"|ALL|ALL|ALL",V8_COHORT_TABLE,5,FALSE),VLOOKUP("GLOBAL",V8_COHORT_TABLE,5,FALSE)))))</f>
        <v/>
      </c>
      <c r="AA66" s="15">
        <f>W66+X66/(1+EXP(-(V66-Y66)/Z66))</f>
        <v/>
      </c>
      <c r="AB66" s="15">
        <f>IFERROR(VLOOKUP(T66,V8_COHORT_TABLE,6,FALSE),IFERROR(VLOOKUP(P66&amp;"|"&amp;Q66&amp;"|ALL|"&amp;S66,V8_COHORT_TABLE,6,FALSE),IFERROR(VLOOKUP(P66&amp;"|ALL|ALL|"&amp;S66,V8_COHORT_TABLE,6,FALSE),IFERROR(VLOOKUP(P66&amp;"|ALL|ALL|ALL",V8_COHORT_TABLE,6,FALSE),VLOOKUP("GLOBAL",V8_COHORT_TABLE,6,FALSE)))))</f>
        <v/>
      </c>
      <c r="AC66" s="15">
        <f>IFERROR(VLOOKUP(T66,V8_COHORT_TABLE,7,FALSE),IFERROR(VLOOKUP(P66&amp;"|"&amp;Q66&amp;"|ALL|"&amp;S66,V8_COHORT_TABLE,7,FALSE),IFERROR(VLOOKUP(P66&amp;"|ALL|ALL|"&amp;S66,V8_COHORT_TABLE,7,FALSE),IFERROR(VLOOKUP(P66&amp;"|ALL|ALL|ALL",V8_COHORT_TABLE,7,FALSE),VLOOKUP("GLOBAL",V8_COHORT_TABLE,7,FALSE)))))</f>
        <v/>
      </c>
      <c r="AD66" s="15">
        <f>IFERROR(VLOOKUP(T66,V8_COHORT_TABLE,8,FALSE),IFERROR(VLOOKUP(P66&amp;"|"&amp;Q66&amp;"|ALL|"&amp;S66,V8_COHORT_TABLE,8,FALSE),IFERROR(VLOOKUP(P66&amp;"|ALL|ALL|"&amp;S66,V8_COHORT_TABLE,8,FALSE),IFERROR(VLOOKUP(P66&amp;"|ALL|ALL|ALL",V8_COHORT_TABLE,8,FALSE),VLOOKUP("GLOBAL",V8_COHORT_TABLE,8,FALSE)))))</f>
        <v/>
      </c>
      <c r="AE66" s="15">
        <f>IFERROR(VLOOKUP(T66,V8_COHORT_TABLE,9,FALSE),IFERROR(VLOOKUP(P66&amp;"|"&amp;Q66&amp;"|ALL|"&amp;S66,V8_COHORT_TABLE,9,FALSE),IFERROR(VLOOKUP(P66&amp;"|ALL|ALL|"&amp;S66,V8_COHORT_TABLE,9,FALSE),IFERROR(VLOOKUP(P66&amp;"|ALL|ALL|ALL",V8_COHORT_TABLE,9,FALSE),VLOOKUP("GLOBAL",V8_COHORT_TABLE,9,FALSE)))))</f>
        <v/>
      </c>
      <c r="AF66" s="8">
        <f>IF(K66&lt;=0,AB66,IF(K66&gt;=240,AE66,IF(K66&lt;=24,AB66+(K66-0)/24*(AC66-AB66),IF(K66&lt;=96,AC66+(K66-24)/72*(AD66-AC66),AD66+(K66-96)/144*(AE66-AD66)))))</f>
        <v/>
      </c>
      <c r="AG66" s="8">
        <f>IF(IF(OR(L66="",NOT(ISNUMBER(L66))),360,MAX(0,MIN(480,(INT(L66/100)-INT(VALUE(F66)/100))*12+MOD(L66,100)-MOD(VALUE(F66),100))))&gt;0,1+V8_MTY_AMP*MAX(0,(V8_MTY_CUTOFF-(IF(OR(L66="",NOT(ISNUMBER(L66))),360,MAX(0,MIN(480,(INT(L66/100)-INT(VALUE(F66)/100))*12+MOD(L66,100)-MOD(VALUE(F66),100))))))/V8_MTY_CUTOFF),1)</f>
        <v/>
      </c>
      <c r="AH66" s="8">
        <f>IF(AND(IF(OR(M66="",NOT(ISNUMBER(M66))),0,MAX(0,MIN(24,(INT(VALUE(F66)/100)-INT(M66/100))*12+MOD(VALUE(F66),100)-MOD(M66,100))))&gt;0,IF(OR(M66="",NOT(ISNUMBER(M66))),0,MAX(0,MIN(24,(INT(VALUE(F66)/100)-INT(M66/100))*12+MOD(VALUE(F66),100)-MOD(M66,100))))&lt;=12),1+V8_LOCKOUT_AMP*EXP(-(IF(OR(M66="",NOT(ISNUMBER(M66))),0,MAX(0,MIN(24,(INT(VALUE(F66)/100)-INT(M66/100))*12+MOD(VALUE(F66),100)-MOD(M66,100)))))/V8_LOCKOUT_TAU),1)</f>
        <v/>
      </c>
      <c r="AI66" s="8">
        <f>MAX(V8_BURN_FLOOR,1-V8_BURN_SLOPE*MIN(1,MAX(0,O66)))</f>
        <v/>
      </c>
      <c r="AJ66" s="15">
        <f>MIN(AA66*AF66*AG66*AH66*AI66,0.2)</f>
        <v/>
      </c>
      <c r="AK66" s="16">
        <f>1-(1-AJ66)^12</f>
        <v/>
      </c>
    </row>
    <row r="67">
      <c r="A67" s="2" t="inlineStr">
        <is>
          <t>000011422098</t>
        </is>
      </c>
      <c r="B67" t="inlineStr">
        <is>
          <t>232</t>
        </is>
      </c>
      <c r="C67" t="inlineStr">
        <is>
          <t>RP</t>
        </is>
      </c>
      <c r="D67" t="inlineStr">
        <is>
          <t>BERKADIA COMMERCIAL MORTGAGE, LLC</t>
        </is>
      </c>
      <c r="E67" t="n">
        <v>2020</v>
      </c>
      <c r="F67" t="inlineStr">
        <is>
          <t>202602</t>
        </is>
      </c>
      <c r="G67" s="9" t="n">
        <v>6103063.28</v>
      </c>
      <c r="H67" s="13" t="n">
        <v>2.63</v>
      </c>
      <c r="I67" s="14" t="n">
        <v>447</v>
      </c>
      <c r="J67" s="14" t="n">
        <v>6</v>
      </c>
      <c r="K67" t="n">
        <v>71</v>
      </c>
      <c r="L67" t="n">
        <v>205506</v>
      </c>
      <c r="M67" t="inlineStr"/>
      <c r="N67" t="n">
        <v>13</v>
      </c>
      <c r="O67" s="8" t="n">
        <v>0.1830985915492958</v>
      </c>
      <c r="P67">
        <f>IF(ISNUMBER(SEARCH("232",B67)),"232",IF(ISNUMBER(SEARCH("538",B67)),"538",IF(ISNUMBER(SEARCH("223a7",B67)),"223a7",IF(ISNUMBER(SEARCH("223f",B67)),"223f","OTHER"))))</f>
        <v/>
      </c>
      <c r="Q67">
        <f>IF(UPPER(C67)="NC","NC","RP")</f>
        <v/>
      </c>
      <c r="R67">
        <f>IF(G67&lt;5000000,"small",IF(G67&lt;25000000,"medium","large"))</f>
        <v/>
      </c>
      <c r="S67">
        <f>IF(K67&lt;36,"young",IF(K67&lt;120,"seasoned","aged"))</f>
        <v/>
      </c>
      <c r="T67">
        <f>P67&amp;"|"&amp;Q67&amp;"|"&amp;R67&amp;"|"&amp;S67</f>
        <v/>
      </c>
      <c r="U67" s="14">
        <f>H67*100-I67</f>
        <v/>
      </c>
      <c r="V67" s="14">
        <f>U67-12.5*(J67+1)</f>
        <v/>
      </c>
      <c r="W67" s="15">
        <f>IFERROR(VLOOKUP(T67,V8_COHORT_TABLE,2,FALSE),IFERROR(VLOOKUP(P67&amp;"|"&amp;Q67&amp;"|ALL|"&amp;S67,V8_COHORT_TABLE,2,FALSE),IFERROR(VLOOKUP(P67&amp;"|ALL|ALL|"&amp;S67,V8_COHORT_TABLE,2,FALSE),IFERROR(VLOOKUP(P67&amp;"|ALL|ALL|ALL",V8_COHORT_TABLE,2,FALSE),VLOOKUP("GLOBAL",V8_COHORT_TABLE,2,FALSE)))))</f>
        <v/>
      </c>
      <c r="X67" s="15">
        <f>IFERROR(VLOOKUP(T67,V8_COHORT_TABLE,3,FALSE),IFERROR(VLOOKUP(P67&amp;"|"&amp;Q67&amp;"|ALL|"&amp;S67,V8_COHORT_TABLE,3,FALSE),IFERROR(VLOOKUP(P67&amp;"|ALL|ALL|"&amp;S67,V8_COHORT_TABLE,3,FALSE),IFERROR(VLOOKUP(P67&amp;"|ALL|ALL|ALL",V8_COHORT_TABLE,3,FALSE),VLOOKUP("GLOBAL",V8_COHORT_TABLE,3,FALSE)))))</f>
        <v/>
      </c>
      <c r="Y67" s="15">
        <f>IFERROR(VLOOKUP(T67,V8_COHORT_TABLE,4,FALSE),IFERROR(VLOOKUP(P67&amp;"|"&amp;Q67&amp;"|ALL|"&amp;S67,V8_COHORT_TABLE,4,FALSE),IFERROR(VLOOKUP(P67&amp;"|ALL|ALL|"&amp;S67,V8_COHORT_TABLE,4,FALSE),IFERROR(VLOOKUP(P67&amp;"|ALL|ALL|ALL",V8_COHORT_TABLE,4,FALSE),VLOOKUP("GLOBAL",V8_COHORT_TABLE,4,FALSE)))))</f>
        <v/>
      </c>
      <c r="Z67" s="15">
        <f>IFERROR(VLOOKUP(T67,V8_COHORT_TABLE,5,FALSE),IFERROR(VLOOKUP(P67&amp;"|"&amp;Q67&amp;"|ALL|"&amp;S67,V8_COHORT_TABLE,5,FALSE),IFERROR(VLOOKUP(P67&amp;"|ALL|ALL|"&amp;S67,V8_COHORT_TABLE,5,FALSE),IFERROR(VLOOKUP(P67&amp;"|ALL|ALL|ALL",V8_COHORT_TABLE,5,FALSE),VLOOKUP("GLOBAL",V8_COHORT_TABLE,5,FALSE)))))</f>
        <v/>
      </c>
      <c r="AA67" s="15">
        <f>W67+X67/(1+EXP(-(V67-Y67)/Z67))</f>
        <v/>
      </c>
      <c r="AB67" s="15">
        <f>IFERROR(VLOOKUP(T67,V8_COHORT_TABLE,6,FALSE),IFERROR(VLOOKUP(P67&amp;"|"&amp;Q67&amp;"|ALL|"&amp;S67,V8_COHORT_TABLE,6,FALSE),IFERROR(VLOOKUP(P67&amp;"|ALL|ALL|"&amp;S67,V8_COHORT_TABLE,6,FALSE),IFERROR(VLOOKUP(P67&amp;"|ALL|ALL|ALL",V8_COHORT_TABLE,6,FALSE),VLOOKUP("GLOBAL",V8_COHORT_TABLE,6,FALSE)))))</f>
        <v/>
      </c>
      <c r="AC67" s="15">
        <f>IFERROR(VLOOKUP(T67,V8_COHORT_TABLE,7,FALSE),IFERROR(VLOOKUP(P67&amp;"|"&amp;Q67&amp;"|ALL|"&amp;S67,V8_COHORT_TABLE,7,FALSE),IFERROR(VLOOKUP(P67&amp;"|ALL|ALL|"&amp;S67,V8_COHORT_TABLE,7,FALSE),IFERROR(VLOOKUP(P67&amp;"|ALL|ALL|ALL",V8_COHORT_TABLE,7,FALSE),VLOOKUP("GLOBAL",V8_COHORT_TABLE,7,FALSE)))))</f>
        <v/>
      </c>
      <c r="AD67" s="15">
        <f>IFERROR(VLOOKUP(T67,V8_COHORT_TABLE,8,FALSE),IFERROR(VLOOKUP(P67&amp;"|"&amp;Q67&amp;"|ALL|"&amp;S67,V8_COHORT_TABLE,8,FALSE),IFERROR(VLOOKUP(P67&amp;"|ALL|ALL|"&amp;S67,V8_COHORT_TABLE,8,FALSE),IFERROR(VLOOKUP(P67&amp;"|ALL|ALL|ALL",V8_COHORT_TABLE,8,FALSE),VLOOKUP("GLOBAL",V8_COHORT_TABLE,8,FALSE)))))</f>
        <v/>
      </c>
      <c r="AE67" s="15">
        <f>IFERROR(VLOOKUP(T67,V8_COHORT_TABLE,9,FALSE),IFERROR(VLOOKUP(P67&amp;"|"&amp;Q67&amp;"|ALL|"&amp;S67,V8_COHORT_TABLE,9,FALSE),IFERROR(VLOOKUP(P67&amp;"|ALL|ALL|"&amp;S67,V8_COHORT_TABLE,9,FALSE),IFERROR(VLOOKUP(P67&amp;"|ALL|ALL|ALL",V8_COHORT_TABLE,9,FALSE),VLOOKUP("GLOBAL",V8_COHORT_TABLE,9,FALSE)))))</f>
        <v/>
      </c>
      <c r="AF67" s="8">
        <f>IF(K67&lt;=0,AB67,IF(K67&gt;=240,AE67,IF(K67&lt;=24,AB67+(K67-0)/24*(AC67-AB67),IF(K67&lt;=96,AC67+(K67-24)/72*(AD67-AC67),AD67+(K67-96)/144*(AE67-AD67)))))</f>
        <v/>
      </c>
      <c r="AG67" s="8">
        <f>IF(IF(OR(L67="",NOT(ISNUMBER(L67))),360,MAX(0,MIN(480,(INT(L67/100)-INT(VALUE(F67)/100))*12+MOD(L67,100)-MOD(VALUE(F67),100))))&gt;0,1+V8_MTY_AMP*MAX(0,(V8_MTY_CUTOFF-(IF(OR(L67="",NOT(ISNUMBER(L67))),360,MAX(0,MIN(480,(INT(L67/100)-INT(VALUE(F67)/100))*12+MOD(L67,100)-MOD(VALUE(F67),100))))))/V8_MTY_CUTOFF),1)</f>
        <v/>
      </c>
      <c r="AH67" s="8">
        <f>IF(AND(IF(OR(M67="",NOT(ISNUMBER(M67))),0,MAX(0,MIN(24,(INT(VALUE(F67)/100)-INT(M67/100))*12+MOD(VALUE(F67),100)-MOD(M67,100))))&gt;0,IF(OR(M67="",NOT(ISNUMBER(M67))),0,MAX(0,MIN(24,(INT(VALUE(F67)/100)-INT(M67/100))*12+MOD(VALUE(F67),100)-MOD(M67,100))))&lt;=12),1+V8_LOCKOUT_AMP*EXP(-(IF(OR(M67="",NOT(ISNUMBER(M67))),0,MAX(0,MIN(24,(INT(VALUE(F67)/100)-INT(M67/100))*12+MOD(VALUE(F67),100)-MOD(M67,100)))))/V8_LOCKOUT_TAU),1)</f>
        <v/>
      </c>
      <c r="AI67" s="8">
        <f>MAX(V8_BURN_FLOOR,1-V8_BURN_SLOPE*MIN(1,MAX(0,O67)))</f>
        <v/>
      </c>
      <c r="AJ67" s="15">
        <f>MIN(AA67*AF67*AG67*AH67*AI67,0.2)</f>
        <v/>
      </c>
      <c r="AK67" s="16">
        <f>1-(1-AJ67)^12</f>
        <v/>
      </c>
    </row>
    <row r="68">
      <c r="A68" s="2" t="inlineStr">
        <is>
          <t>000007111200</t>
        </is>
      </c>
      <c r="B68" t="inlineStr">
        <is>
          <t>223f</t>
        </is>
      </c>
      <c r="C68" t="inlineStr">
        <is>
          <t>RP</t>
        </is>
      </c>
      <c r="D68" t="inlineStr">
        <is>
          <t>WALKER &amp; DUNLOP, LLC</t>
        </is>
      </c>
      <c r="E68" t="n">
        <v>2010</v>
      </c>
      <c r="F68" t="inlineStr">
        <is>
          <t>202602</t>
        </is>
      </c>
      <c r="G68" s="9" t="n">
        <v>3987517.41</v>
      </c>
      <c r="H68" s="13" t="n">
        <v>3.65</v>
      </c>
      <c r="I68" s="14" t="n">
        <v>447</v>
      </c>
      <c r="J68" s="14" t="n">
        <v>1</v>
      </c>
      <c r="K68" t="n">
        <v>188</v>
      </c>
      <c r="L68" t="n">
        <v>204507</v>
      </c>
      <c r="M68" t="inlineStr"/>
      <c r="N68" t="n">
        <v>29</v>
      </c>
      <c r="O68" s="8" t="n">
        <v>0.1542553191489362</v>
      </c>
      <c r="P68">
        <f>IF(ISNUMBER(SEARCH("232",B68)),"232",IF(ISNUMBER(SEARCH("538",B68)),"538",IF(ISNUMBER(SEARCH("223a7",B68)),"223a7",IF(ISNUMBER(SEARCH("223f",B68)),"223f","OTHER"))))</f>
        <v/>
      </c>
      <c r="Q68">
        <f>IF(UPPER(C68)="NC","NC","RP")</f>
        <v/>
      </c>
      <c r="R68">
        <f>IF(G68&lt;5000000,"small",IF(G68&lt;25000000,"medium","large"))</f>
        <v/>
      </c>
      <c r="S68">
        <f>IF(K68&lt;36,"young",IF(K68&lt;120,"seasoned","aged"))</f>
        <v/>
      </c>
      <c r="T68">
        <f>P68&amp;"|"&amp;Q68&amp;"|"&amp;R68&amp;"|"&amp;S68</f>
        <v/>
      </c>
      <c r="U68" s="14">
        <f>H68*100-I68</f>
        <v/>
      </c>
      <c r="V68" s="14">
        <f>U68-12.5*(J68+1)</f>
        <v/>
      </c>
      <c r="W68" s="15">
        <f>IFERROR(VLOOKUP(T68,V8_COHORT_TABLE,2,FALSE),IFERROR(VLOOKUP(P68&amp;"|"&amp;Q68&amp;"|ALL|"&amp;S68,V8_COHORT_TABLE,2,FALSE),IFERROR(VLOOKUP(P68&amp;"|ALL|ALL|"&amp;S68,V8_COHORT_TABLE,2,FALSE),IFERROR(VLOOKUP(P68&amp;"|ALL|ALL|ALL",V8_COHORT_TABLE,2,FALSE),VLOOKUP("GLOBAL",V8_COHORT_TABLE,2,FALSE)))))</f>
        <v/>
      </c>
      <c r="X68" s="15">
        <f>IFERROR(VLOOKUP(T68,V8_COHORT_TABLE,3,FALSE),IFERROR(VLOOKUP(P68&amp;"|"&amp;Q68&amp;"|ALL|"&amp;S68,V8_COHORT_TABLE,3,FALSE),IFERROR(VLOOKUP(P68&amp;"|ALL|ALL|"&amp;S68,V8_COHORT_TABLE,3,FALSE),IFERROR(VLOOKUP(P68&amp;"|ALL|ALL|ALL",V8_COHORT_TABLE,3,FALSE),VLOOKUP("GLOBAL",V8_COHORT_TABLE,3,FALSE)))))</f>
        <v/>
      </c>
      <c r="Y68" s="15">
        <f>IFERROR(VLOOKUP(T68,V8_COHORT_TABLE,4,FALSE),IFERROR(VLOOKUP(P68&amp;"|"&amp;Q68&amp;"|ALL|"&amp;S68,V8_COHORT_TABLE,4,FALSE),IFERROR(VLOOKUP(P68&amp;"|ALL|ALL|"&amp;S68,V8_COHORT_TABLE,4,FALSE),IFERROR(VLOOKUP(P68&amp;"|ALL|ALL|ALL",V8_COHORT_TABLE,4,FALSE),VLOOKUP("GLOBAL",V8_COHORT_TABLE,4,FALSE)))))</f>
        <v/>
      </c>
      <c r="Z68" s="15">
        <f>IFERROR(VLOOKUP(T68,V8_COHORT_TABLE,5,FALSE),IFERROR(VLOOKUP(P68&amp;"|"&amp;Q68&amp;"|ALL|"&amp;S68,V8_COHORT_TABLE,5,FALSE),IFERROR(VLOOKUP(P68&amp;"|ALL|ALL|"&amp;S68,V8_COHORT_TABLE,5,FALSE),IFERROR(VLOOKUP(P68&amp;"|ALL|ALL|ALL",V8_COHORT_TABLE,5,FALSE),VLOOKUP("GLOBAL",V8_COHORT_TABLE,5,FALSE)))))</f>
        <v/>
      </c>
      <c r="AA68" s="15">
        <f>W68+X68/(1+EXP(-(V68-Y68)/Z68))</f>
        <v/>
      </c>
      <c r="AB68" s="15">
        <f>IFERROR(VLOOKUP(T68,V8_COHORT_TABLE,6,FALSE),IFERROR(VLOOKUP(P68&amp;"|"&amp;Q68&amp;"|ALL|"&amp;S68,V8_COHORT_TABLE,6,FALSE),IFERROR(VLOOKUP(P68&amp;"|ALL|ALL|"&amp;S68,V8_COHORT_TABLE,6,FALSE),IFERROR(VLOOKUP(P68&amp;"|ALL|ALL|ALL",V8_COHORT_TABLE,6,FALSE),VLOOKUP("GLOBAL",V8_COHORT_TABLE,6,FALSE)))))</f>
        <v/>
      </c>
      <c r="AC68" s="15">
        <f>IFERROR(VLOOKUP(T68,V8_COHORT_TABLE,7,FALSE),IFERROR(VLOOKUP(P68&amp;"|"&amp;Q68&amp;"|ALL|"&amp;S68,V8_COHORT_TABLE,7,FALSE),IFERROR(VLOOKUP(P68&amp;"|ALL|ALL|"&amp;S68,V8_COHORT_TABLE,7,FALSE),IFERROR(VLOOKUP(P68&amp;"|ALL|ALL|ALL",V8_COHORT_TABLE,7,FALSE),VLOOKUP("GLOBAL",V8_COHORT_TABLE,7,FALSE)))))</f>
        <v/>
      </c>
      <c r="AD68" s="15">
        <f>IFERROR(VLOOKUP(T68,V8_COHORT_TABLE,8,FALSE),IFERROR(VLOOKUP(P68&amp;"|"&amp;Q68&amp;"|ALL|"&amp;S68,V8_COHORT_TABLE,8,FALSE),IFERROR(VLOOKUP(P68&amp;"|ALL|ALL|"&amp;S68,V8_COHORT_TABLE,8,FALSE),IFERROR(VLOOKUP(P68&amp;"|ALL|ALL|ALL",V8_COHORT_TABLE,8,FALSE),VLOOKUP("GLOBAL",V8_COHORT_TABLE,8,FALSE)))))</f>
        <v/>
      </c>
      <c r="AE68" s="15">
        <f>IFERROR(VLOOKUP(T68,V8_COHORT_TABLE,9,FALSE),IFERROR(VLOOKUP(P68&amp;"|"&amp;Q68&amp;"|ALL|"&amp;S68,V8_COHORT_TABLE,9,FALSE),IFERROR(VLOOKUP(P68&amp;"|ALL|ALL|"&amp;S68,V8_COHORT_TABLE,9,FALSE),IFERROR(VLOOKUP(P68&amp;"|ALL|ALL|ALL",V8_COHORT_TABLE,9,FALSE),VLOOKUP("GLOBAL",V8_COHORT_TABLE,9,FALSE)))))</f>
        <v/>
      </c>
      <c r="AF68" s="8">
        <f>IF(K68&lt;=0,AB68,IF(K68&gt;=240,AE68,IF(K68&lt;=24,AB68+(K68-0)/24*(AC68-AB68),IF(K68&lt;=96,AC68+(K68-24)/72*(AD68-AC68),AD68+(K68-96)/144*(AE68-AD68)))))</f>
        <v/>
      </c>
      <c r="AG68" s="8">
        <f>IF(IF(OR(L68="",NOT(ISNUMBER(L68))),360,MAX(0,MIN(480,(INT(L68/100)-INT(VALUE(F68)/100))*12+MOD(L68,100)-MOD(VALUE(F68),100))))&gt;0,1+V8_MTY_AMP*MAX(0,(V8_MTY_CUTOFF-(IF(OR(L68="",NOT(ISNUMBER(L68))),360,MAX(0,MIN(480,(INT(L68/100)-INT(VALUE(F68)/100))*12+MOD(L68,100)-MOD(VALUE(F68),100))))))/V8_MTY_CUTOFF),1)</f>
        <v/>
      </c>
      <c r="AH68" s="8">
        <f>IF(AND(IF(OR(M68="",NOT(ISNUMBER(M68))),0,MAX(0,MIN(24,(INT(VALUE(F68)/100)-INT(M68/100))*12+MOD(VALUE(F68),100)-MOD(M68,100))))&gt;0,IF(OR(M68="",NOT(ISNUMBER(M68))),0,MAX(0,MIN(24,(INT(VALUE(F68)/100)-INT(M68/100))*12+MOD(VALUE(F68),100)-MOD(M68,100))))&lt;=12),1+V8_LOCKOUT_AMP*EXP(-(IF(OR(M68="",NOT(ISNUMBER(M68))),0,MAX(0,MIN(24,(INT(VALUE(F68)/100)-INT(M68/100))*12+MOD(VALUE(F68),100)-MOD(M68,100)))))/V8_LOCKOUT_TAU),1)</f>
        <v/>
      </c>
      <c r="AI68" s="8">
        <f>MAX(V8_BURN_FLOOR,1-V8_BURN_SLOPE*MIN(1,MAX(0,O68)))</f>
        <v/>
      </c>
      <c r="AJ68" s="15">
        <f>MIN(AA68*AF68*AG68*AH68*AI68,0.2)</f>
        <v/>
      </c>
      <c r="AK68" s="16">
        <f>1-(1-AJ68)^12</f>
        <v/>
      </c>
    </row>
    <row r="69">
      <c r="A69" s="2" t="inlineStr">
        <is>
          <t>000011311435</t>
        </is>
      </c>
      <c r="B69" t="inlineStr">
        <is>
          <t>223f</t>
        </is>
      </c>
      <c r="C69" t="inlineStr">
        <is>
          <t>RP</t>
        </is>
      </c>
      <c r="D69" t="inlineStr">
        <is>
          <t>WALKER &amp; DUNLOP, LLC</t>
        </is>
      </c>
      <c r="E69" t="n">
        <v>2021</v>
      </c>
      <c r="F69" t="inlineStr">
        <is>
          <t>202602</t>
        </is>
      </c>
      <c r="G69" s="9" t="n">
        <v>17646196.84</v>
      </c>
      <c r="H69" s="13" t="n">
        <v>2.33</v>
      </c>
      <c r="I69" s="14" t="n">
        <v>447</v>
      </c>
      <c r="J69" s="14" t="n">
        <v>6</v>
      </c>
      <c r="K69" t="n">
        <v>51</v>
      </c>
      <c r="L69" t="n">
        <v>205612</v>
      </c>
      <c r="M69" t="inlineStr"/>
      <c r="N69" t="n">
        <v>0</v>
      </c>
      <c r="O69" s="8" t="n">
        <v>0</v>
      </c>
      <c r="P69">
        <f>IF(ISNUMBER(SEARCH("232",B69)),"232",IF(ISNUMBER(SEARCH("538",B69)),"538",IF(ISNUMBER(SEARCH("223a7",B69)),"223a7",IF(ISNUMBER(SEARCH("223f",B69)),"223f","OTHER"))))</f>
        <v/>
      </c>
      <c r="Q69">
        <f>IF(UPPER(C69)="NC","NC","RP")</f>
        <v/>
      </c>
      <c r="R69">
        <f>IF(G69&lt;5000000,"small",IF(G69&lt;25000000,"medium","large"))</f>
        <v/>
      </c>
      <c r="S69">
        <f>IF(K69&lt;36,"young",IF(K69&lt;120,"seasoned","aged"))</f>
        <v/>
      </c>
      <c r="T69">
        <f>P69&amp;"|"&amp;Q69&amp;"|"&amp;R69&amp;"|"&amp;S69</f>
        <v/>
      </c>
      <c r="U69" s="14">
        <f>H69*100-I69</f>
        <v/>
      </c>
      <c r="V69" s="14">
        <f>U69-12.5*(J69+1)</f>
        <v/>
      </c>
      <c r="W69" s="15">
        <f>IFERROR(VLOOKUP(T69,V8_COHORT_TABLE,2,FALSE),IFERROR(VLOOKUP(P69&amp;"|"&amp;Q69&amp;"|ALL|"&amp;S69,V8_COHORT_TABLE,2,FALSE),IFERROR(VLOOKUP(P69&amp;"|ALL|ALL|"&amp;S69,V8_COHORT_TABLE,2,FALSE),IFERROR(VLOOKUP(P69&amp;"|ALL|ALL|ALL",V8_COHORT_TABLE,2,FALSE),VLOOKUP("GLOBAL",V8_COHORT_TABLE,2,FALSE)))))</f>
        <v/>
      </c>
      <c r="X69" s="15">
        <f>IFERROR(VLOOKUP(T69,V8_COHORT_TABLE,3,FALSE),IFERROR(VLOOKUP(P69&amp;"|"&amp;Q69&amp;"|ALL|"&amp;S69,V8_COHORT_TABLE,3,FALSE),IFERROR(VLOOKUP(P69&amp;"|ALL|ALL|"&amp;S69,V8_COHORT_TABLE,3,FALSE),IFERROR(VLOOKUP(P69&amp;"|ALL|ALL|ALL",V8_COHORT_TABLE,3,FALSE),VLOOKUP("GLOBAL",V8_COHORT_TABLE,3,FALSE)))))</f>
        <v/>
      </c>
      <c r="Y69" s="15">
        <f>IFERROR(VLOOKUP(T69,V8_COHORT_TABLE,4,FALSE),IFERROR(VLOOKUP(P69&amp;"|"&amp;Q69&amp;"|ALL|"&amp;S69,V8_COHORT_TABLE,4,FALSE),IFERROR(VLOOKUP(P69&amp;"|ALL|ALL|"&amp;S69,V8_COHORT_TABLE,4,FALSE),IFERROR(VLOOKUP(P69&amp;"|ALL|ALL|ALL",V8_COHORT_TABLE,4,FALSE),VLOOKUP("GLOBAL",V8_COHORT_TABLE,4,FALSE)))))</f>
        <v/>
      </c>
      <c r="Z69" s="15">
        <f>IFERROR(VLOOKUP(T69,V8_COHORT_TABLE,5,FALSE),IFERROR(VLOOKUP(P69&amp;"|"&amp;Q69&amp;"|ALL|"&amp;S69,V8_COHORT_TABLE,5,FALSE),IFERROR(VLOOKUP(P69&amp;"|ALL|ALL|"&amp;S69,V8_COHORT_TABLE,5,FALSE),IFERROR(VLOOKUP(P69&amp;"|ALL|ALL|ALL",V8_COHORT_TABLE,5,FALSE),VLOOKUP("GLOBAL",V8_COHORT_TABLE,5,FALSE)))))</f>
        <v/>
      </c>
      <c r="AA69" s="15">
        <f>W69+X69/(1+EXP(-(V69-Y69)/Z69))</f>
        <v/>
      </c>
      <c r="AB69" s="15">
        <f>IFERROR(VLOOKUP(T69,V8_COHORT_TABLE,6,FALSE),IFERROR(VLOOKUP(P69&amp;"|"&amp;Q69&amp;"|ALL|"&amp;S69,V8_COHORT_TABLE,6,FALSE),IFERROR(VLOOKUP(P69&amp;"|ALL|ALL|"&amp;S69,V8_COHORT_TABLE,6,FALSE),IFERROR(VLOOKUP(P69&amp;"|ALL|ALL|ALL",V8_COHORT_TABLE,6,FALSE),VLOOKUP("GLOBAL",V8_COHORT_TABLE,6,FALSE)))))</f>
        <v/>
      </c>
      <c r="AC69" s="15">
        <f>IFERROR(VLOOKUP(T69,V8_COHORT_TABLE,7,FALSE),IFERROR(VLOOKUP(P69&amp;"|"&amp;Q69&amp;"|ALL|"&amp;S69,V8_COHORT_TABLE,7,FALSE),IFERROR(VLOOKUP(P69&amp;"|ALL|ALL|"&amp;S69,V8_COHORT_TABLE,7,FALSE),IFERROR(VLOOKUP(P69&amp;"|ALL|ALL|ALL",V8_COHORT_TABLE,7,FALSE),VLOOKUP("GLOBAL",V8_COHORT_TABLE,7,FALSE)))))</f>
        <v/>
      </c>
      <c r="AD69" s="15">
        <f>IFERROR(VLOOKUP(T69,V8_COHORT_TABLE,8,FALSE),IFERROR(VLOOKUP(P69&amp;"|"&amp;Q69&amp;"|ALL|"&amp;S69,V8_COHORT_TABLE,8,FALSE),IFERROR(VLOOKUP(P69&amp;"|ALL|ALL|"&amp;S69,V8_COHORT_TABLE,8,FALSE),IFERROR(VLOOKUP(P69&amp;"|ALL|ALL|ALL",V8_COHORT_TABLE,8,FALSE),VLOOKUP("GLOBAL",V8_COHORT_TABLE,8,FALSE)))))</f>
        <v/>
      </c>
      <c r="AE69" s="15">
        <f>IFERROR(VLOOKUP(T69,V8_COHORT_TABLE,9,FALSE),IFERROR(VLOOKUP(P69&amp;"|"&amp;Q69&amp;"|ALL|"&amp;S69,V8_COHORT_TABLE,9,FALSE),IFERROR(VLOOKUP(P69&amp;"|ALL|ALL|"&amp;S69,V8_COHORT_TABLE,9,FALSE),IFERROR(VLOOKUP(P69&amp;"|ALL|ALL|ALL",V8_COHORT_TABLE,9,FALSE),VLOOKUP("GLOBAL",V8_COHORT_TABLE,9,FALSE)))))</f>
        <v/>
      </c>
      <c r="AF69" s="8">
        <f>IF(K69&lt;=0,AB69,IF(K69&gt;=240,AE69,IF(K69&lt;=24,AB69+(K69-0)/24*(AC69-AB69),IF(K69&lt;=96,AC69+(K69-24)/72*(AD69-AC69),AD69+(K69-96)/144*(AE69-AD69)))))</f>
        <v/>
      </c>
      <c r="AG69" s="8">
        <f>IF(IF(OR(L69="",NOT(ISNUMBER(L69))),360,MAX(0,MIN(480,(INT(L69/100)-INT(VALUE(F69)/100))*12+MOD(L69,100)-MOD(VALUE(F69),100))))&gt;0,1+V8_MTY_AMP*MAX(0,(V8_MTY_CUTOFF-(IF(OR(L69="",NOT(ISNUMBER(L69))),360,MAX(0,MIN(480,(INT(L69/100)-INT(VALUE(F69)/100))*12+MOD(L69,100)-MOD(VALUE(F69),100))))))/V8_MTY_CUTOFF),1)</f>
        <v/>
      </c>
      <c r="AH69" s="8">
        <f>IF(AND(IF(OR(M69="",NOT(ISNUMBER(M69))),0,MAX(0,MIN(24,(INT(VALUE(F69)/100)-INT(M69/100))*12+MOD(VALUE(F69),100)-MOD(M69,100))))&gt;0,IF(OR(M69="",NOT(ISNUMBER(M69))),0,MAX(0,MIN(24,(INT(VALUE(F69)/100)-INT(M69/100))*12+MOD(VALUE(F69),100)-MOD(M69,100))))&lt;=12),1+V8_LOCKOUT_AMP*EXP(-(IF(OR(M69="",NOT(ISNUMBER(M69))),0,MAX(0,MIN(24,(INT(VALUE(F69)/100)-INT(M69/100))*12+MOD(VALUE(F69),100)-MOD(M69,100)))))/V8_LOCKOUT_TAU),1)</f>
        <v/>
      </c>
      <c r="AI69" s="8">
        <f>MAX(V8_BURN_FLOOR,1-V8_BURN_SLOPE*MIN(1,MAX(0,O69)))</f>
        <v/>
      </c>
      <c r="AJ69" s="15">
        <f>MIN(AA69*AF69*AG69*AH69*AI69,0.2)</f>
        <v/>
      </c>
      <c r="AK69" s="16">
        <f>1-(1-AJ69)^12</f>
        <v/>
      </c>
    </row>
    <row r="70">
      <c r="A70" s="2" t="inlineStr">
        <is>
          <t>000005111489</t>
        </is>
      </c>
      <c r="B70" t="inlineStr">
        <is>
          <t>223a7</t>
        </is>
      </c>
      <c r="C70" t="inlineStr">
        <is>
          <t>RP</t>
        </is>
      </c>
      <c r="D70" t="inlineStr">
        <is>
          <t>WALKER &amp; DUNLOP, LLC</t>
        </is>
      </c>
      <c r="E70" t="n">
        <v>2021</v>
      </c>
      <c r="F70" t="inlineStr">
        <is>
          <t>202602</t>
        </is>
      </c>
      <c r="G70" s="9" t="n">
        <v>5985368.08</v>
      </c>
      <c r="H70" s="13" t="n">
        <v>2.29</v>
      </c>
      <c r="I70" s="14" t="n">
        <v>447</v>
      </c>
      <c r="J70" s="14" t="n">
        <v>6</v>
      </c>
      <c r="K70" t="n">
        <v>60</v>
      </c>
      <c r="L70" t="n">
        <v>205103</v>
      </c>
      <c r="M70" t="inlineStr"/>
      <c r="N70" t="n">
        <v>0</v>
      </c>
      <c r="O70" s="8" t="n">
        <v>0</v>
      </c>
      <c r="P70">
        <f>IF(ISNUMBER(SEARCH("232",B70)),"232",IF(ISNUMBER(SEARCH("538",B70)),"538",IF(ISNUMBER(SEARCH("223a7",B70)),"223a7",IF(ISNUMBER(SEARCH("223f",B70)),"223f","OTHER"))))</f>
        <v/>
      </c>
      <c r="Q70">
        <f>IF(UPPER(C70)="NC","NC","RP")</f>
        <v/>
      </c>
      <c r="R70">
        <f>IF(G70&lt;5000000,"small",IF(G70&lt;25000000,"medium","large"))</f>
        <v/>
      </c>
      <c r="S70">
        <f>IF(K70&lt;36,"young",IF(K70&lt;120,"seasoned","aged"))</f>
        <v/>
      </c>
      <c r="T70">
        <f>P70&amp;"|"&amp;Q70&amp;"|"&amp;R70&amp;"|"&amp;S70</f>
        <v/>
      </c>
      <c r="U70" s="14">
        <f>H70*100-I70</f>
        <v/>
      </c>
      <c r="V70" s="14">
        <f>U70-12.5*(J70+1)</f>
        <v/>
      </c>
      <c r="W70" s="15">
        <f>IFERROR(VLOOKUP(T70,V8_COHORT_TABLE,2,FALSE),IFERROR(VLOOKUP(P70&amp;"|"&amp;Q70&amp;"|ALL|"&amp;S70,V8_COHORT_TABLE,2,FALSE),IFERROR(VLOOKUP(P70&amp;"|ALL|ALL|"&amp;S70,V8_COHORT_TABLE,2,FALSE),IFERROR(VLOOKUP(P70&amp;"|ALL|ALL|ALL",V8_COHORT_TABLE,2,FALSE),VLOOKUP("GLOBAL",V8_COHORT_TABLE,2,FALSE)))))</f>
        <v/>
      </c>
      <c r="X70" s="15">
        <f>IFERROR(VLOOKUP(T70,V8_COHORT_TABLE,3,FALSE),IFERROR(VLOOKUP(P70&amp;"|"&amp;Q70&amp;"|ALL|"&amp;S70,V8_COHORT_TABLE,3,FALSE),IFERROR(VLOOKUP(P70&amp;"|ALL|ALL|"&amp;S70,V8_COHORT_TABLE,3,FALSE),IFERROR(VLOOKUP(P70&amp;"|ALL|ALL|ALL",V8_COHORT_TABLE,3,FALSE),VLOOKUP("GLOBAL",V8_COHORT_TABLE,3,FALSE)))))</f>
        <v/>
      </c>
      <c r="Y70" s="15">
        <f>IFERROR(VLOOKUP(T70,V8_COHORT_TABLE,4,FALSE),IFERROR(VLOOKUP(P70&amp;"|"&amp;Q70&amp;"|ALL|"&amp;S70,V8_COHORT_TABLE,4,FALSE),IFERROR(VLOOKUP(P70&amp;"|ALL|ALL|"&amp;S70,V8_COHORT_TABLE,4,FALSE),IFERROR(VLOOKUP(P70&amp;"|ALL|ALL|ALL",V8_COHORT_TABLE,4,FALSE),VLOOKUP("GLOBAL",V8_COHORT_TABLE,4,FALSE)))))</f>
        <v/>
      </c>
      <c r="Z70" s="15">
        <f>IFERROR(VLOOKUP(T70,V8_COHORT_TABLE,5,FALSE),IFERROR(VLOOKUP(P70&amp;"|"&amp;Q70&amp;"|ALL|"&amp;S70,V8_COHORT_TABLE,5,FALSE),IFERROR(VLOOKUP(P70&amp;"|ALL|ALL|"&amp;S70,V8_COHORT_TABLE,5,FALSE),IFERROR(VLOOKUP(P70&amp;"|ALL|ALL|ALL",V8_COHORT_TABLE,5,FALSE),VLOOKUP("GLOBAL",V8_COHORT_TABLE,5,FALSE)))))</f>
        <v/>
      </c>
      <c r="AA70" s="15">
        <f>W70+X70/(1+EXP(-(V70-Y70)/Z70))</f>
        <v/>
      </c>
      <c r="AB70" s="15">
        <f>IFERROR(VLOOKUP(T70,V8_COHORT_TABLE,6,FALSE),IFERROR(VLOOKUP(P70&amp;"|"&amp;Q70&amp;"|ALL|"&amp;S70,V8_COHORT_TABLE,6,FALSE),IFERROR(VLOOKUP(P70&amp;"|ALL|ALL|"&amp;S70,V8_COHORT_TABLE,6,FALSE),IFERROR(VLOOKUP(P70&amp;"|ALL|ALL|ALL",V8_COHORT_TABLE,6,FALSE),VLOOKUP("GLOBAL",V8_COHORT_TABLE,6,FALSE)))))</f>
        <v/>
      </c>
      <c r="AC70" s="15">
        <f>IFERROR(VLOOKUP(T70,V8_COHORT_TABLE,7,FALSE),IFERROR(VLOOKUP(P70&amp;"|"&amp;Q70&amp;"|ALL|"&amp;S70,V8_COHORT_TABLE,7,FALSE),IFERROR(VLOOKUP(P70&amp;"|ALL|ALL|"&amp;S70,V8_COHORT_TABLE,7,FALSE),IFERROR(VLOOKUP(P70&amp;"|ALL|ALL|ALL",V8_COHORT_TABLE,7,FALSE),VLOOKUP("GLOBAL",V8_COHORT_TABLE,7,FALSE)))))</f>
        <v/>
      </c>
      <c r="AD70" s="15">
        <f>IFERROR(VLOOKUP(T70,V8_COHORT_TABLE,8,FALSE),IFERROR(VLOOKUP(P70&amp;"|"&amp;Q70&amp;"|ALL|"&amp;S70,V8_COHORT_TABLE,8,FALSE),IFERROR(VLOOKUP(P70&amp;"|ALL|ALL|"&amp;S70,V8_COHORT_TABLE,8,FALSE),IFERROR(VLOOKUP(P70&amp;"|ALL|ALL|ALL",V8_COHORT_TABLE,8,FALSE),VLOOKUP("GLOBAL",V8_COHORT_TABLE,8,FALSE)))))</f>
        <v/>
      </c>
      <c r="AE70" s="15">
        <f>IFERROR(VLOOKUP(T70,V8_COHORT_TABLE,9,FALSE),IFERROR(VLOOKUP(P70&amp;"|"&amp;Q70&amp;"|ALL|"&amp;S70,V8_COHORT_TABLE,9,FALSE),IFERROR(VLOOKUP(P70&amp;"|ALL|ALL|"&amp;S70,V8_COHORT_TABLE,9,FALSE),IFERROR(VLOOKUP(P70&amp;"|ALL|ALL|ALL",V8_COHORT_TABLE,9,FALSE),VLOOKUP("GLOBAL",V8_COHORT_TABLE,9,FALSE)))))</f>
        <v/>
      </c>
      <c r="AF70" s="8">
        <f>IF(K70&lt;=0,AB70,IF(K70&gt;=240,AE70,IF(K70&lt;=24,AB70+(K70-0)/24*(AC70-AB70),IF(K70&lt;=96,AC70+(K70-24)/72*(AD70-AC70),AD70+(K70-96)/144*(AE70-AD70)))))</f>
        <v/>
      </c>
      <c r="AG70" s="8">
        <f>IF(IF(OR(L70="",NOT(ISNUMBER(L70))),360,MAX(0,MIN(480,(INT(L70/100)-INT(VALUE(F70)/100))*12+MOD(L70,100)-MOD(VALUE(F70),100))))&gt;0,1+V8_MTY_AMP*MAX(0,(V8_MTY_CUTOFF-(IF(OR(L70="",NOT(ISNUMBER(L70))),360,MAX(0,MIN(480,(INT(L70/100)-INT(VALUE(F70)/100))*12+MOD(L70,100)-MOD(VALUE(F70),100))))))/V8_MTY_CUTOFF),1)</f>
        <v/>
      </c>
      <c r="AH70" s="8">
        <f>IF(AND(IF(OR(M70="",NOT(ISNUMBER(M70))),0,MAX(0,MIN(24,(INT(VALUE(F70)/100)-INT(M70/100))*12+MOD(VALUE(F70),100)-MOD(M70,100))))&gt;0,IF(OR(M70="",NOT(ISNUMBER(M70))),0,MAX(0,MIN(24,(INT(VALUE(F70)/100)-INT(M70/100))*12+MOD(VALUE(F70),100)-MOD(M70,100))))&lt;=12),1+V8_LOCKOUT_AMP*EXP(-(IF(OR(M70="",NOT(ISNUMBER(M70))),0,MAX(0,MIN(24,(INT(VALUE(F70)/100)-INT(M70/100))*12+MOD(VALUE(F70),100)-MOD(M70,100)))))/V8_LOCKOUT_TAU),1)</f>
        <v/>
      </c>
      <c r="AI70" s="8">
        <f>MAX(V8_BURN_FLOOR,1-V8_BURN_SLOPE*MIN(1,MAX(0,O70)))</f>
        <v/>
      </c>
      <c r="AJ70" s="15">
        <f>MIN(AA70*AF70*AG70*AH70*AI70,0.2)</f>
        <v/>
      </c>
      <c r="AK70" s="16">
        <f>1-(1-AJ70)^12</f>
        <v/>
      </c>
    </row>
    <row r="71">
      <c r="A71" s="2" t="inlineStr">
        <is>
          <t>000004322064</t>
        </is>
      </c>
      <c r="B71" t="inlineStr">
        <is>
          <t>232</t>
        </is>
      </c>
      <c r="C71" t="inlineStr">
        <is>
          <t>RP</t>
        </is>
      </c>
      <c r="D71" t="inlineStr">
        <is>
          <t>WALKER &amp; DUNLOP, LLC</t>
        </is>
      </c>
      <c r="E71" t="n">
        <v>2011</v>
      </c>
      <c r="F71" t="inlineStr">
        <is>
          <t>202602</t>
        </is>
      </c>
      <c r="G71" s="9" t="n">
        <v>4469240.88</v>
      </c>
      <c r="H71" s="13" t="n">
        <v>3.73</v>
      </c>
      <c r="I71" s="14" t="n">
        <v>447</v>
      </c>
      <c r="J71" s="14" t="n">
        <v>0</v>
      </c>
      <c r="K71" t="n">
        <v>172</v>
      </c>
      <c r="L71" t="n">
        <v>204611</v>
      </c>
      <c r="M71" t="n">
        <v>201312</v>
      </c>
      <c r="N71" t="n">
        <v>38</v>
      </c>
      <c r="O71" s="8" t="n">
        <v>0.2209302325581395</v>
      </c>
      <c r="P71">
        <f>IF(ISNUMBER(SEARCH("232",B71)),"232",IF(ISNUMBER(SEARCH("538",B71)),"538",IF(ISNUMBER(SEARCH("223a7",B71)),"223a7",IF(ISNUMBER(SEARCH("223f",B71)),"223f","OTHER"))))</f>
        <v/>
      </c>
      <c r="Q71">
        <f>IF(UPPER(C71)="NC","NC","RP")</f>
        <v/>
      </c>
      <c r="R71">
        <f>IF(G71&lt;5000000,"small",IF(G71&lt;25000000,"medium","large"))</f>
        <v/>
      </c>
      <c r="S71">
        <f>IF(K71&lt;36,"young",IF(K71&lt;120,"seasoned","aged"))</f>
        <v/>
      </c>
      <c r="T71">
        <f>P71&amp;"|"&amp;Q71&amp;"|"&amp;R71&amp;"|"&amp;S71</f>
        <v/>
      </c>
      <c r="U71" s="14">
        <f>H71*100-I71</f>
        <v/>
      </c>
      <c r="V71" s="14">
        <f>U71-12.5*(J71+1)</f>
        <v/>
      </c>
      <c r="W71" s="15">
        <f>IFERROR(VLOOKUP(T71,V8_COHORT_TABLE,2,FALSE),IFERROR(VLOOKUP(P71&amp;"|"&amp;Q71&amp;"|ALL|"&amp;S71,V8_COHORT_TABLE,2,FALSE),IFERROR(VLOOKUP(P71&amp;"|ALL|ALL|"&amp;S71,V8_COHORT_TABLE,2,FALSE),IFERROR(VLOOKUP(P71&amp;"|ALL|ALL|ALL",V8_COHORT_TABLE,2,FALSE),VLOOKUP("GLOBAL",V8_COHORT_TABLE,2,FALSE)))))</f>
        <v/>
      </c>
      <c r="X71" s="15">
        <f>IFERROR(VLOOKUP(T71,V8_COHORT_TABLE,3,FALSE),IFERROR(VLOOKUP(P71&amp;"|"&amp;Q71&amp;"|ALL|"&amp;S71,V8_COHORT_TABLE,3,FALSE),IFERROR(VLOOKUP(P71&amp;"|ALL|ALL|"&amp;S71,V8_COHORT_TABLE,3,FALSE),IFERROR(VLOOKUP(P71&amp;"|ALL|ALL|ALL",V8_COHORT_TABLE,3,FALSE),VLOOKUP("GLOBAL",V8_COHORT_TABLE,3,FALSE)))))</f>
        <v/>
      </c>
      <c r="Y71" s="15">
        <f>IFERROR(VLOOKUP(T71,V8_COHORT_TABLE,4,FALSE),IFERROR(VLOOKUP(P71&amp;"|"&amp;Q71&amp;"|ALL|"&amp;S71,V8_COHORT_TABLE,4,FALSE),IFERROR(VLOOKUP(P71&amp;"|ALL|ALL|"&amp;S71,V8_COHORT_TABLE,4,FALSE),IFERROR(VLOOKUP(P71&amp;"|ALL|ALL|ALL",V8_COHORT_TABLE,4,FALSE),VLOOKUP("GLOBAL",V8_COHORT_TABLE,4,FALSE)))))</f>
        <v/>
      </c>
      <c r="Z71" s="15">
        <f>IFERROR(VLOOKUP(T71,V8_COHORT_TABLE,5,FALSE),IFERROR(VLOOKUP(P71&amp;"|"&amp;Q71&amp;"|ALL|"&amp;S71,V8_COHORT_TABLE,5,FALSE),IFERROR(VLOOKUP(P71&amp;"|ALL|ALL|"&amp;S71,V8_COHORT_TABLE,5,FALSE),IFERROR(VLOOKUP(P71&amp;"|ALL|ALL|ALL",V8_COHORT_TABLE,5,FALSE),VLOOKUP("GLOBAL",V8_COHORT_TABLE,5,FALSE)))))</f>
        <v/>
      </c>
      <c r="AA71" s="15">
        <f>W71+X71/(1+EXP(-(V71-Y71)/Z71))</f>
        <v/>
      </c>
      <c r="AB71" s="15">
        <f>IFERROR(VLOOKUP(T71,V8_COHORT_TABLE,6,FALSE),IFERROR(VLOOKUP(P71&amp;"|"&amp;Q71&amp;"|ALL|"&amp;S71,V8_COHORT_TABLE,6,FALSE),IFERROR(VLOOKUP(P71&amp;"|ALL|ALL|"&amp;S71,V8_COHORT_TABLE,6,FALSE),IFERROR(VLOOKUP(P71&amp;"|ALL|ALL|ALL",V8_COHORT_TABLE,6,FALSE),VLOOKUP("GLOBAL",V8_COHORT_TABLE,6,FALSE)))))</f>
        <v/>
      </c>
      <c r="AC71" s="15">
        <f>IFERROR(VLOOKUP(T71,V8_COHORT_TABLE,7,FALSE),IFERROR(VLOOKUP(P71&amp;"|"&amp;Q71&amp;"|ALL|"&amp;S71,V8_COHORT_TABLE,7,FALSE),IFERROR(VLOOKUP(P71&amp;"|ALL|ALL|"&amp;S71,V8_COHORT_TABLE,7,FALSE),IFERROR(VLOOKUP(P71&amp;"|ALL|ALL|ALL",V8_COHORT_TABLE,7,FALSE),VLOOKUP("GLOBAL",V8_COHORT_TABLE,7,FALSE)))))</f>
        <v/>
      </c>
      <c r="AD71" s="15">
        <f>IFERROR(VLOOKUP(T71,V8_COHORT_TABLE,8,FALSE),IFERROR(VLOOKUP(P71&amp;"|"&amp;Q71&amp;"|ALL|"&amp;S71,V8_COHORT_TABLE,8,FALSE),IFERROR(VLOOKUP(P71&amp;"|ALL|ALL|"&amp;S71,V8_COHORT_TABLE,8,FALSE),IFERROR(VLOOKUP(P71&amp;"|ALL|ALL|ALL",V8_COHORT_TABLE,8,FALSE),VLOOKUP("GLOBAL",V8_COHORT_TABLE,8,FALSE)))))</f>
        <v/>
      </c>
      <c r="AE71" s="15">
        <f>IFERROR(VLOOKUP(T71,V8_COHORT_TABLE,9,FALSE),IFERROR(VLOOKUP(P71&amp;"|"&amp;Q71&amp;"|ALL|"&amp;S71,V8_COHORT_TABLE,9,FALSE),IFERROR(VLOOKUP(P71&amp;"|ALL|ALL|"&amp;S71,V8_COHORT_TABLE,9,FALSE),IFERROR(VLOOKUP(P71&amp;"|ALL|ALL|ALL",V8_COHORT_TABLE,9,FALSE),VLOOKUP("GLOBAL",V8_COHORT_TABLE,9,FALSE)))))</f>
        <v/>
      </c>
      <c r="AF71" s="8">
        <f>IF(K71&lt;=0,AB71,IF(K71&gt;=240,AE71,IF(K71&lt;=24,AB71+(K71-0)/24*(AC71-AB71),IF(K71&lt;=96,AC71+(K71-24)/72*(AD71-AC71),AD71+(K71-96)/144*(AE71-AD71)))))</f>
        <v/>
      </c>
      <c r="AG71" s="8">
        <f>IF(IF(OR(L71="",NOT(ISNUMBER(L71))),360,MAX(0,MIN(480,(INT(L71/100)-INT(VALUE(F71)/100))*12+MOD(L71,100)-MOD(VALUE(F71),100))))&gt;0,1+V8_MTY_AMP*MAX(0,(V8_MTY_CUTOFF-(IF(OR(L71="",NOT(ISNUMBER(L71))),360,MAX(0,MIN(480,(INT(L71/100)-INT(VALUE(F71)/100))*12+MOD(L71,100)-MOD(VALUE(F71),100))))))/V8_MTY_CUTOFF),1)</f>
        <v/>
      </c>
      <c r="AH71" s="8">
        <f>IF(AND(IF(OR(M71="",NOT(ISNUMBER(M71))),0,MAX(0,MIN(24,(INT(VALUE(F71)/100)-INT(M71/100))*12+MOD(VALUE(F71),100)-MOD(M71,100))))&gt;0,IF(OR(M71="",NOT(ISNUMBER(M71))),0,MAX(0,MIN(24,(INT(VALUE(F71)/100)-INT(M71/100))*12+MOD(VALUE(F71),100)-MOD(M71,100))))&lt;=12),1+V8_LOCKOUT_AMP*EXP(-(IF(OR(M71="",NOT(ISNUMBER(M71))),0,MAX(0,MIN(24,(INT(VALUE(F71)/100)-INT(M71/100))*12+MOD(VALUE(F71),100)-MOD(M71,100)))))/V8_LOCKOUT_TAU),1)</f>
        <v/>
      </c>
      <c r="AI71" s="8">
        <f>MAX(V8_BURN_FLOOR,1-V8_BURN_SLOPE*MIN(1,MAX(0,O71)))</f>
        <v/>
      </c>
      <c r="AJ71" s="15">
        <f>MIN(AA71*AF71*AG71*AH71*AI71,0.2)</f>
        <v/>
      </c>
      <c r="AK71" s="16">
        <f>1-(1-AJ71)^12</f>
        <v/>
      </c>
    </row>
    <row r="72">
      <c r="A72" s="2" t="inlineStr">
        <is>
          <t>000004722066</t>
        </is>
      </c>
      <c r="B72" t="inlineStr">
        <is>
          <t>232</t>
        </is>
      </c>
      <c r="C72" t="inlineStr">
        <is>
          <t>RP</t>
        </is>
      </c>
      <c r="D72" t="inlineStr">
        <is>
          <t>WALKER &amp; DUNLOP, LLC</t>
        </is>
      </c>
      <c r="E72" t="n">
        <v>2011</v>
      </c>
      <c r="F72" t="inlineStr">
        <is>
          <t>202602</t>
        </is>
      </c>
      <c r="G72" s="9" t="n">
        <v>1687095.6</v>
      </c>
      <c r="H72" s="13" t="n">
        <v>3.58</v>
      </c>
      <c r="I72" s="14" t="n">
        <v>447</v>
      </c>
      <c r="J72" s="14" t="n">
        <v>1</v>
      </c>
      <c r="K72" t="n">
        <v>176</v>
      </c>
      <c r="L72" t="n">
        <v>204107</v>
      </c>
      <c r="M72" t="inlineStr"/>
      <c r="N72" t="n">
        <v>27</v>
      </c>
      <c r="O72" s="8" t="n">
        <v>0.1534090909090909</v>
      </c>
      <c r="P72">
        <f>IF(ISNUMBER(SEARCH("232",B72)),"232",IF(ISNUMBER(SEARCH("538",B72)),"538",IF(ISNUMBER(SEARCH("223a7",B72)),"223a7",IF(ISNUMBER(SEARCH("223f",B72)),"223f","OTHER"))))</f>
        <v/>
      </c>
      <c r="Q72">
        <f>IF(UPPER(C72)="NC","NC","RP")</f>
        <v/>
      </c>
      <c r="R72">
        <f>IF(G72&lt;5000000,"small",IF(G72&lt;25000000,"medium","large"))</f>
        <v/>
      </c>
      <c r="S72">
        <f>IF(K72&lt;36,"young",IF(K72&lt;120,"seasoned","aged"))</f>
        <v/>
      </c>
      <c r="T72">
        <f>P72&amp;"|"&amp;Q72&amp;"|"&amp;R72&amp;"|"&amp;S72</f>
        <v/>
      </c>
      <c r="U72" s="14">
        <f>H72*100-I72</f>
        <v/>
      </c>
      <c r="V72" s="14">
        <f>U72-12.5*(J72+1)</f>
        <v/>
      </c>
      <c r="W72" s="15">
        <f>IFERROR(VLOOKUP(T72,V8_COHORT_TABLE,2,FALSE),IFERROR(VLOOKUP(P72&amp;"|"&amp;Q72&amp;"|ALL|"&amp;S72,V8_COHORT_TABLE,2,FALSE),IFERROR(VLOOKUP(P72&amp;"|ALL|ALL|"&amp;S72,V8_COHORT_TABLE,2,FALSE),IFERROR(VLOOKUP(P72&amp;"|ALL|ALL|ALL",V8_COHORT_TABLE,2,FALSE),VLOOKUP("GLOBAL",V8_COHORT_TABLE,2,FALSE)))))</f>
        <v/>
      </c>
      <c r="X72" s="15">
        <f>IFERROR(VLOOKUP(T72,V8_COHORT_TABLE,3,FALSE),IFERROR(VLOOKUP(P72&amp;"|"&amp;Q72&amp;"|ALL|"&amp;S72,V8_COHORT_TABLE,3,FALSE),IFERROR(VLOOKUP(P72&amp;"|ALL|ALL|"&amp;S72,V8_COHORT_TABLE,3,FALSE),IFERROR(VLOOKUP(P72&amp;"|ALL|ALL|ALL",V8_COHORT_TABLE,3,FALSE),VLOOKUP("GLOBAL",V8_COHORT_TABLE,3,FALSE)))))</f>
        <v/>
      </c>
      <c r="Y72" s="15">
        <f>IFERROR(VLOOKUP(T72,V8_COHORT_TABLE,4,FALSE),IFERROR(VLOOKUP(P72&amp;"|"&amp;Q72&amp;"|ALL|"&amp;S72,V8_COHORT_TABLE,4,FALSE),IFERROR(VLOOKUP(P72&amp;"|ALL|ALL|"&amp;S72,V8_COHORT_TABLE,4,FALSE),IFERROR(VLOOKUP(P72&amp;"|ALL|ALL|ALL",V8_COHORT_TABLE,4,FALSE),VLOOKUP("GLOBAL",V8_COHORT_TABLE,4,FALSE)))))</f>
        <v/>
      </c>
      <c r="Z72" s="15">
        <f>IFERROR(VLOOKUP(T72,V8_COHORT_TABLE,5,FALSE),IFERROR(VLOOKUP(P72&amp;"|"&amp;Q72&amp;"|ALL|"&amp;S72,V8_COHORT_TABLE,5,FALSE),IFERROR(VLOOKUP(P72&amp;"|ALL|ALL|"&amp;S72,V8_COHORT_TABLE,5,FALSE),IFERROR(VLOOKUP(P72&amp;"|ALL|ALL|ALL",V8_COHORT_TABLE,5,FALSE),VLOOKUP("GLOBAL",V8_COHORT_TABLE,5,FALSE)))))</f>
        <v/>
      </c>
      <c r="AA72" s="15">
        <f>W72+X72/(1+EXP(-(V72-Y72)/Z72))</f>
        <v/>
      </c>
      <c r="AB72" s="15">
        <f>IFERROR(VLOOKUP(T72,V8_COHORT_TABLE,6,FALSE),IFERROR(VLOOKUP(P72&amp;"|"&amp;Q72&amp;"|ALL|"&amp;S72,V8_COHORT_TABLE,6,FALSE),IFERROR(VLOOKUP(P72&amp;"|ALL|ALL|"&amp;S72,V8_COHORT_TABLE,6,FALSE),IFERROR(VLOOKUP(P72&amp;"|ALL|ALL|ALL",V8_COHORT_TABLE,6,FALSE),VLOOKUP("GLOBAL",V8_COHORT_TABLE,6,FALSE)))))</f>
        <v/>
      </c>
      <c r="AC72" s="15">
        <f>IFERROR(VLOOKUP(T72,V8_COHORT_TABLE,7,FALSE),IFERROR(VLOOKUP(P72&amp;"|"&amp;Q72&amp;"|ALL|"&amp;S72,V8_COHORT_TABLE,7,FALSE),IFERROR(VLOOKUP(P72&amp;"|ALL|ALL|"&amp;S72,V8_COHORT_TABLE,7,FALSE),IFERROR(VLOOKUP(P72&amp;"|ALL|ALL|ALL",V8_COHORT_TABLE,7,FALSE),VLOOKUP("GLOBAL",V8_COHORT_TABLE,7,FALSE)))))</f>
        <v/>
      </c>
      <c r="AD72" s="15">
        <f>IFERROR(VLOOKUP(T72,V8_COHORT_TABLE,8,FALSE),IFERROR(VLOOKUP(P72&amp;"|"&amp;Q72&amp;"|ALL|"&amp;S72,V8_COHORT_TABLE,8,FALSE),IFERROR(VLOOKUP(P72&amp;"|ALL|ALL|"&amp;S72,V8_COHORT_TABLE,8,FALSE),IFERROR(VLOOKUP(P72&amp;"|ALL|ALL|ALL",V8_COHORT_TABLE,8,FALSE),VLOOKUP("GLOBAL",V8_COHORT_TABLE,8,FALSE)))))</f>
        <v/>
      </c>
      <c r="AE72" s="15">
        <f>IFERROR(VLOOKUP(T72,V8_COHORT_TABLE,9,FALSE),IFERROR(VLOOKUP(P72&amp;"|"&amp;Q72&amp;"|ALL|"&amp;S72,V8_COHORT_TABLE,9,FALSE),IFERROR(VLOOKUP(P72&amp;"|ALL|ALL|"&amp;S72,V8_COHORT_TABLE,9,FALSE),IFERROR(VLOOKUP(P72&amp;"|ALL|ALL|ALL",V8_COHORT_TABLE,9,FALSE),VLOOKUP("GLOBAL",V8_COHORT_TABLE,9,FALSE)))))</f>
        <v/>
      </c>
      <c r="AF72" s="8">
        <f>IF(K72&lt;=0,AB72,IF(K72&gt;=240,AE72,IF(K72&lt;=24,AB72+(K72-0)/24*(AC72-AB72),IF(K72&lt;=96,AC72+(K72-24)/72*(AD72-AC72),AD72+(K72-96)/144*(AE72-AD72)))))</f>
        <v/>
      </c>
      <c r="AG72" s="8">
        <f>IF(IF(OR(L72="",NOT(ISNUMBER(L72))),360,MAX(0,MIN(480,(INT(L72/100)-INT(VALUE(F72)/100))*12+MOD(L72,100)-MOD(VALUE(F72),100))))&gt;0,1+V8_MTY_AMP*MAX(0,(V8_MTY_CUTOFF-(IF(OR(L72="",NOT(ISNUMBER(L72))),360,MAX(0,MIN(480,(INT(L72/100)-INT(VALUE(F72)/100))*12+MOD(L72,100)-MOD(VALUE(F72),100))))))/V8_MTY_CUTOFF),1)</f>
        <v/>
      </c>
      <c r="AH72" s="8">
        <f>IF(AND(IF(OR(M72="",NOT(ISNUMBER(M72))),0,MAX(0,MIN(24,(INT(VALUE(F72)/100)-INT(M72/100))*12+MOD(VALUE(F72),100)-MOD(M72,100))))&gt;0,IF(OR(M72="",NOT(ISNUMBER(M72))),0,MAX(0,MIN(24,(INT(VALUE(F72)/100)-INT(M72/100))*12+MOD(VALUE(F72),100)-MOD(M72,100))))&lt;=12),1+V8_LOCKOUT_AMP*EXP(-(IF(OR(M72="",NOT(ISNUMBER(M72))),0,MAX(0,MIN(24,(INT(VALUE(F72)/100)-INT(M72/100))*12+MOD(VALUE(F72),100)-MOD(M72,100)))))/V8_LOCKOUT_TAU),1)</f>
        <v/>
      </c>
      <c r="AI72" s="8">
        <f>MAX(V8_BURN_FLOOR,1-V8_BURN_SLOPE*MIN(1,MAX(0,O72)))</f>
        <v/>
      </c>
      <c r="AJ72" s="15">
        <f>MIN(AA72*AF72*AG72*AH72*AI72,0.2)</f>
        <v/>
      </c>
      <c r="AK72" s="16">
        <f>1-(1-AJ72)^12</f>
        <v/>
      </c>
    </row>
    <row r="73">
      <c r="A73" s="2" t="inlineStr">
        <is>
          <t>000002311566</t>
        </is>
      </c>
      <c r="B73" t="inlineStr">
        <is>
          <t>223f</t>
        </is>
      </c>
      <c r="C73" t="inlineStr">
        <is>
          <t>RP</t>
        </is>
      </c>
      <c r="D73" t="inlineStr">
        <is>
          <t>WALKER &amp; DUNLOP, LLC</t>
        </is>
      </c>
      <c r="E73" t="n">
        <v>2020</v>
      </c>
      <c r="F73" t="inlineStr">
        <is>
          <t>202602</t>
        </is>
      </c>
      <c r="G73" s="9" t="n">
        <v>13589483.51</v>
      </c>
      <c r="H73" s="13" t="n">
        <v>2.25</v>
      </c>
      <c r="I73" s="14" t="n">
        <v>447</v>
      </c>
      <c r="J73" s="14" t="n">
        <v>5</v>
      </c>
      <c r="K73" t="n">
        <v>65</v>
      </c>
      <c r="L73" t="n">
        <v>205510</v>
      </c>
      <c r="M73" t="inlineStr"/>
      <c r="N73" t="n">
        <v>0</v>
      </c>
      <c r="O73" s="8" t="n">
        <v>0</v>
      </c>
      <c r="P73">
        <f>IF(ISNUMBER(SEARCH("232",B73)),"232",IF(ISNUMBER(SEARCH("538",B73)),"538",IF(ISNUMBER(SEARCH("223a7",B73)),"223a7",IF(ISNUMBER(SEARCH("223f",B73)),"223f","OTHER"))))</f>
        <v/>
      </c>
      <c r="Q73">
        <f>IF(UPPER(C73)="NC","NC","RP")</f>
        <v/>
      </c>
      <c r="R73">
        <f>IF(G73&lt;5000000,"small",IF(G73&lt;25000000,"medium","large"))</f>
        <v/>
      </c>
      <c r="S73">
        <f>IF(K73&lt;36,"young",IF(K73&lt;120,"seasoned","aged"))</f>
        <v/>
      </c>
      <c r="T73">
        <f>P73&amp;"|"&amp;Q73&amp;"|"&amp;R73&amp;"|"&amp;S73</f>
        <v/>
      </c>
      <c r="U73" s="14">
        <f>H73*100-I73</f>
        <v/>
      </c>
      <c r="V73" s="14">
        <f>U73-12.5*(J73+1)</f>
        <v/>
      </c>
      <c r="W73" s="15">
        <f>IFERROR(VLOOKUP(T73,V8_COHORT_TABLE,2,FALSE),IFERROR(VLOOKUP(P73&amp;"|"&amp;Q73&amp;"|ALL|"&amp;S73,V8_COHORT_TABLE,2,FALSE),IFERROR(VLOOKUP(P73&amp;"|ALL|ALL|"&amp;S73,V8_COHORT_TABLE,2,FALSE),IFERROR(VLOOKUP(P73&amp;"|ALL|ALL|ALL",V8_COHORT_TABLE,2,FALSE),VLOOKUP("GLOBAL",V8_COHORT_TABLE,2,FALSE)))))</f>
        <v/>
      </c>
      <c r="X73" s="15">
        <f>IFERROR(VLOOKUP(T73,V8_COHORT_TABLE,3,FALSE),IFERROR(VLOOKUP(P73&amp;"|"&amp;Q73&amp;"|ALL|"&amp;S73,V8_COHORT_TABLE,3,FALSE),IFERROR(VLOOKUP(P73&amp;"|ALL|ALL|"&amp;S73,V8_COHORT_TABLE,3,FALSE),IFERROR(VLOOKUP(P73&amp;"|ALL|ALL|ALL",V8_COHORT_TABLE,3,FALSE),VLOOKUP("GLOBAL",V8_COHORT_TABLE,3,FALSE)))))</f>
        <v/>
      </c>
      <c r="Y73" s="15">
        <f>IFERROR(VLOOKUP(T73,V8_COHORT_TABLE,4,FALSE),IFERROR(VLOOKUP(P73&amp;"|"&amp;Q73&amp;"|ALL|"&amp;S73,V8_COHORT_TABLE,4,FALSE),IFERROR(VLOOKUP(P73&amp;"|ALL|ALL|"&amp;S73,V8_COHORT_TABLE,4,FALSE),IFERROR(VLOOKUP(P73&amp;"|ALL|ALL|ALL",V8_COHORT_TABLE,4,FALSE),VLOOKUP("GLOBAL",V8_COHORT_TABLE,4,FALSE)))))</f>
        <v/>
      </c>
      <c r="Z73" s="15">
        <f>IFERROR(VLOOKUP(T73,V8_COHORT_TABLE,5,FALSE),IFERROR(VLOOKUP(P73&amp;"|"&amp;Q73&amp;"|ALL|"&amp;S73,V8_COHORT_TABLE,5,FALSE),IFERROR(VLOOKUP(P73&amp;"|ALL|ALL|"&amp;S73,V8_COHORT_TABLE,5,FALSE),IFERROR(VLOOKUP(P73&amp;"|ALL|ALL|ALL",V8_COHORT_TABLE,5,FALSE),VLOOKUP("GLOBAL",V8_COHORT_TABLE,5,FALSE)))))</f>
        <v/>
      </c>
      <c r="AA73" s="15">
        <f>W73+X73/(1+EXP(-(V73-Y73)/Z73))</f>
        <v/>
      </c>
      <c r="AB73" s="15">
        <f>IFERROR(VLOOKUP(T73,V8_COHORT_TABLE,6,FALSE),IFERROR(VLOOKUP(P73&amp;"|"&amp;Q73&amp;"|ALL|"&amp;S73,V8_COHORT_TABLE,6,FALSE),IFERROR(VLOOKUP(P73&amp;"|ALL|ALL|"&amp;S73,V8_COHORT_TABLE,6,FALSE),IFERROR(VLOOKUP(P73&amp;"|ALL|ALL|ALL",V8_COHORT_TABLE,6,FALSE),VLOOKUP("GLOBAL",V8_COHORT_TABLE,6,FALSE)))))</f>
        <v/>
      </c>
      <c r="AC73" s="15">
        <f>IFERROR(VLOOKUP(T73,V8_COHORT_TABLE,7,FALSE),IFERROR(VLOOKUP(P73&amp;"|"&amp;Q73&amp;"|ALL|"&amp;S73,V8_COHORT_TABLE,7,FALSE),IFERROR(VLOOKUP(P73&amp;"|ALL|ALL|"&amp;S73,V8_COHORT_TABLE,7,FALSE),IFERROR(VLOOKUP(P73&amp;"|ALL|ALL|ALL",V8_COHORT_TABLE,7,FALSE),VLOOKUP("GLOBAL",V8_COHORT_TABLE,7,FALSE)))))</f>
        <v/>
      </c>
      <c r="AD73" s="15">
        <f>IFERROR(VLOOKUP(T73,V8_COHORT_TABLE,8,FALSE),IFERROR(VLOOKUP(P73&amp;"|"&amp;Q73&amp;"|ALL|"&amp;S73,V8_COHORT_TABLE,8,FALSE),IFERROR(VLOOKUP(P73&amp;"|ALL|ALL|"&amp;S73,V8_COHORT_TABLE,8,FALSE),IFERROR(VLOOKUP(P73&amp;"|ALL|ALL|ALL",V8_COHORT_TABLE,8,FALSE),VLOOKUP("GLOBAL",V8_COHORT_TABLE,8,FALSE)))))</f>
        <v/>
      </c>
      <c r="AE73" s="15">
        <f>IFERROR(VLOOKUP(T73,V8_COHORT_TABLE,9,FALSE),IFERROR(VLOOKUP(P73&amp;"|"&amp;Q73&amp;"|ALL|"&amp;S73,V8_COHORT_TABLE,9,FALSE),IFERROR(VLOOKUP(P73&amp;"|ALL|ALL|"&amp;S73,V8_COHORT_TABLE,9,FALSE),IFERROR(VLOOKUP(P73&amp;"|ALL|ALL|ALL",V8_COHORT_TABLE,9,FALSE),VLOOKUP("GLOBAL",V8_COHORT_TABLE,9,FALSE)))))</f>
        <v/>
      </c>
      <c r="AF73" s="8">
        <f>IF(K73&lt;=0,AB73,IF(K73&gt;=240,AE73,IF(K73&lt;=24,AB73+(K73-0)/24*(AC73-AB73),IF(K73&lt;=96,AC73+(K73-24)/72*(AD73-AC73),AD73+(K73-96)/144*(AE73-AD73)))))</f>
        <v/>
      </c>
      <c r="AG73" s="8">
        <f>IF(IF(OR(L73="",NOT(ISNUMBER(L73))),360,MAX(0,MIN(480,(INT(L73/100)-INT(VALUE(F73)/100))*12+MOD(L73,100)-MOD(VALUE(F73),100))))&gt;0,1+V8_MTY_AMP*MAX(0,(V8_MTY_CUTOFF-(IF(OR(L73="",NOT(ISNUMBER(L73))),360,MAX(0,MIN(480,(INT(L73/100)-INT(VALUE(F73)/100))*12+MOD(L73,100)-MOD(VALUE(F73),100))))))/V8_MTY_CUTOFF),1)</f>
        <v/>
      </c>
      <c r="AH73" s="8">
        <f>IF(AND(IF(OR(M73="",NOT(ISNUMBER(M73))),0,MAX(0,MIN(24,(INT(VALUE(F73)/100)-INT(M73/100))*12+MOD(VALUE(F73),100)-MOD(M73,100))))&gt;0,IF(OR(M73="",NOT(ISNUMBER(M73))),0,MAX(0,MIN(24,(INT(VALUE(F73)/100)-INT(M73/100))*12+MOD(VALUE(F73),100)-MOD(M73,100))))&lt;=12),1+V8_LOCKOUT_AMP*EXP(-(IF(OR(M73="",NOT(ISNUMBER(M73))),0,MAX(0,MIN(24,(INT(VALUE(F73)/100)-INT(M73/100))*12+MOD(VALUE(F73),100)-MOD(M73,100)))))/V8_LOCKOUT_TAU),1)</f>
        <v/>
      </c>
      <c r="AI73" s="8">
        <f>MAX(V8_BURN_FLOOR,1-V8_BURN_SLOPE*MIN(1,MAX(0,O73)))</f>
        <v/>
      </c>
      <c r="AJ73" s="15">
        <f>MIN(AA73*AF73*AG73*AH73*AI73,0.2)</f>
        <v/>
      </c>
      <c r="AK73" s="16">
        <f>1-(1-AJ73)^12</f>
        <v/>
      </c>
    </row>
    <row r="74">
      <c r="A74" s="2" t="inlineStr">
        <is>
          <t>000004211125</t>
        </is>
      </c>
      <c r="B74" t="inlineStr">
        <is>
          <t>223f</t>
        </is>
      </c>
      <c r="C74" t="inlineStr">
        <is>
          <t>RP</t>
        </is>
      </c>
      <c r="D74" t="inlineStr">
        <is>
          <t>WALKER &amp; DUNLOP, LLC</t>
        </is>
      </c>
      <c r="E74" t="n">
        <v>2009</v>
      </c>
      <c r="F74" t="inlineStr">
        <is>
          <t>202602</t>
        </is>
      </c>
      <c r="G74" s="9" t="n">
        <v>2401815.05</v>
      </c>
      <c r="H74" s="13" t="n">
        <v>3.65</v>
      </c>
      <c r="I74" s="14" t="n">
        <v>447</v>
      </c>
      <c r="J74" s="14" t="n">
        <v>5</v>
      </c>
      <c r="K74" t="n">
        <v>203</v>
      </c>
      <c r="L74" t="n">
        <v>204404</v>
      </c>
      <c r="M74" t="inlineStr"/>
      <c r="N74" t="n">
        <v>21</v>
      </c>
      <c r="O74" s="8" t="n">
        <v>0.103448275862069</v>
      </c>
      <c r="P74">
        <f>IF(ISNUMBER(SEARCH("232",B74)),"232",IF(ISNUMBER(SEARCH("538",B74)),"538",IF(ISNUMBER(SEARCH("223a7",B74)),"223a7",IF(ISNUMBER(SEARCH("223f",B74)),"223f","OTHER"))))</f>
        <v/>
      </c>
      <c r="Q74">
        <f>IF(UPPER(C74)="NC","NC","RP")</f>
        <v/>
      </c>
      <c r="R74">
        <f>IF(G74&lt;5000000,"small",IF(G74&lt;25000000,"medium","large"))</f>
        <v/>
      </c>
      <c r="S74">
        <f>IF(K74&lt;36,"young",IF(K74&lt;120,"seasoned","aged"))</f>
        <v/>
      </c>
      <c r="T74">
        <f>P74&amp;"|"&amp;Q74&amp;"|"&amp;R74&amp;"|"&amp;S74</f>
        <v/>
      </c>
      <c r="U74" s="14">
        <f>H74*100-I74</f>
        <v/>
      </c>
      <c r="V74" s="14">
        <f>U74-12.5*(J74+1)</f>
        <v/>
      </c>
      <c r="W74" s="15">
        <f>IFERROR(VLOOKUP(T74,V8_COHORT_TABLE,2,FALSE),IFERROR(VLOOKUP(P74&amp;"|"&amp;Q74&amp;"|ALL|"&amp;S74,V8_COHORT_TABLE,2,FALSE),IFERROR(VLOOKUP(P74&amp;"|ALL|ALL|"&amp;S74,V8_COHORT_TABLE,2,FALSE),IFERROR(VLOOKUP(P74&amp;"|ALL|ALL|ALL",V8_COHORT_TABLE,2,FALSE),VLOOKUP("GLOBAL",V8_COHORT_TABLE,2,FALSE)))))</f>
        <v/>
      </c>
      <c r="X74" s="15">
        <f>IFERROR(VLOOKUP(T74,V8_COHORT_TABLE,3,FALSE),IFERROR(VLOOKUP(P74&amp;"|"&amp;Q74&amp;"|ALL|"&amp;S74,V8_COHORT_TABLE,3,FALSE),IFERROR(VLOOKUP(P74&amp;"|ALL|ALL|"&amp;S74,V8_COHORT_TABLE,3,FALSE),IFERROR(VLOOKUP(P74&amp;"|ALL|ALL|ALL",V8_COHORT_TABLE,3,FALSE),VLOOKUP("GLOBAL",V8_COHORT_TABLE,3,FALSE)))))</f>
        <v/>
      </c>
      <c r="Y74" s="15">
        <f>IFERROR(VLOOKUP(T74,V8_COHORT_TABLE,4,FALSE),IFERROR(VLOOKUP(P74&amp;"|"&amp;Q74&amp;"|ALL|"&amp;S74,V8_COHORT_TABLE,4,FALSE),IFERROR(VLOOKUP(P74&amp;"|ALL|ALL|"&amp;S74,V8_COHORT_TABLE,4,FALSE),IFERROR(VLOOKUP(P74&amp;"|ALL|ALL|ALL",V8_COHORT_TABLE,4,FALSE),VLOOKUP("GLOBAL",V8_COHORT_TABLE,4,FALSE)))))</f>
        <v/>
      </c>
      <c r="Z74" s="15">
        <f>IFERROR(VLOOKUP(T74,V8_COHORT_TABLE,5,FALSE),IFERROR(VLOOKUP(P74&amp;"|"&amp;Q74&amp;"|ALL|"&amp;S74,V8_COHORT_TABLE,5,FALSE),IFERROR(VLOOKUP(P74&amp;"|ALL|ALL|"&amp;S74,V8_COHORT_TABLE,5,FALSE),IFERROR(VLOOKUP(P74&amp;"|ALL|ALL|ALL",V8_COHORT_TABLE,5,FALSE),VLOOKUP("GLOBAL",V8_COHORT_TABLE,5,FALSE)))))</f>
        <v/>
      </c>
      <c r="AA74" s="15">
        <f>W74+X74/(1+EXP(-(V74-Y74)/Z74))</f>
        <v/>
      </c>
      <c r="AB74" s="15">
        <f>IFERROR(VLOOKUP(T74,V8_COHORT_TABLE,6,FALSE),IFERROR(VLOOKUP(P74&amp;"|"&amp;Q74&amp;"|ALL|"&amp;S74,V8_COHORT_TABLE,6,FALSE),IFERROR(VLOOKUP(P74&amp;"|ALL|ALL|"&amp;S74,V8_COHORT_TABLE,6,FALSE),IFERROR(VLOOKUP(P74&amp;"|ALL|ALL|ALL",V8_COHORT_TABLE,6,FALSE),VLOOKUP("GLOBAL",V8_COHORT_TABLE,6,FALSE)))))</f>
        <v/>
      </c>
      <c r="AC74" s="15">
        <f>IFERROR(VLOOKUP(T74,V8_COHORT_TABLE,7,FALSE),IFERROR(VLOOKUP(P74&amp;"|"&amp;Q74&amp;"|ALL|"&amp;S74,V8_COHORT_TABLE,7,FALSE),IFERROR(VLOOKUP(P74&amp;"|ALL|ALL|"&amp;S74,V8_COHORT_TABLE,7,FALSE),IFERROR(VLOOKUP(P74&amp;"|ALL|ALL|ALL",V8_COHORT_TABLE,7,FALSE),VLOOKUP("GLOBAL",V8_COHORT_TABLE,7,FALSE)))))</f>
        <v/>
      </c>
      <c r="AD74" s="15">
        <f>IFERROR(VLOOKUP(T74,V8_COHORT_TABLE,8,FALSE),IFERROR(VLOOKUP(P74&amp;"|"&amp;Q74&amp;"|ALL|"&amp;S74,V8_COHORT_TABLE,8,FALSE),IFERROR(VLOOKUP(P74&amp;"|ALL|ALL|"&amp;S74,V8_COHORT_TABLE,8,FALSE),IFERROR(VLOOKUP(P74&amp;"|ALL|ALL|ALL",V8_COHORT_TABLE,8,FALSE),VLOOKUP("GLOBAL",V8_COHORT_TABLE,8,FALSE)))))</f>
        <v/>
      </c>
      <c r="AE74" s="15">
        <f>IFERROR(VLOOKUP(T74,V8_COHORT_TABLE,9,FALSE),IFERROR(VLOOKUP(P74&amp;"|"&amp;Q74&amp;"|ALL|"&amp;S74,V8_COHORT_TABLE,9,FALSE),IFERROR(VLOOKUP(P74&amp;"|ALL|ALL|"&amp;S74,V8_COHORT_TABLE,9,FALSE),IFERROR(VLOOKUP(P74&amp;"|ALL|ALL|ALL",V8_COHORT_TABLE,9,FALSE),VLOOKUP("GLOBAL",V8_COHORT_TABLE,9,FALSE)))))</f>
        <v/>
      </c>
      <c r="AF74" s="8">
        <f>IF(K74&lt;=0,AB74,IF(K74&gt;=240,AE74,IF(K74&lt;=24,AB74+(K74-0)/24*(AC74-AB74),IF(K74&lt;=96,AC74+(K74-24)/72*(AD74-AC74),AD74+(K74-96)/144*(AE74-AD74)))))</f>
        <v/>
      </c>
      <c r="AG74" s="8">
        <f>IF(IF(OR(L74="",NOT(ISNUMBER(L74))),360,MAX(0,MIN(480,(INT(L74/100)-INT(VALUE(F74)/100))*12+MOD(L74,100)-MOD(VALUE(F74),100))))&gt;0,1+V8_MTY_AMP*MAX(0,(V8_MTY_CUTOFF-(IF(OR(L74="",NOT(ISNUMBER(L74))),360,MAX(0,MIN(480,(INT(L74/100)-INT(VALUE(F74)/100))*12+MOD(L74,100)-MOD(VALUE(F74),100))))))/V8_MTY_CUTOFF),1)</f>
        <v/>
      </c>
      <c r="AH74" s="8">
        <f>IF(AND(IF(OR(M74="",NOT(ISNUMBER(M74))),0,MAX(0,MIN(24,(INT(VALUE(F74)/100)-INT(M74/100))*12+MOD(VALUE(F74),100)-MOD(M74,100))))&gt;0,IF(OR(M74="",NOT(ISNUMBER(M74))),0,MAX(0,MIN(24,(INT(VALUE(F74)/100)-INT(M74/100))*12+MOD(VALUE(F74),100)-MOD(M74,100))))&lt;=12),1+V8_LOCKOUT_AMP*EXP(-(IF(OR(M74="",NOT(ISNUMBER(M74))),0,MAX(0,MIN(24,(INT(VALUE(F74)/100)-INT(M74/100))*12+MOD(VALUE(F74),100)-MOD(M74,100)))))/V8_LOCKOUT_TAU),1)</f>
        <v/>
      </c>
      <c r="AI74" s="8">
        <f>MAX(V8_BURN_FLOOR,1-V8_BURN_SLOPE*MIN(1,MAX(0,O74)))</f>
        <v/>
      </c>
      <c r="AJ74" s="15">
        <f>MIN(AA74*AF74*AG74*AH74*AI74,0.2)</f>
        <v/>
      </c>
      <c r="AK74" s="16">
        <f>1-(1-AJ74)^12</f>
        <v/>
      </c>
    </row>
    <row r="75">
      <c r="A75" s="2" t="inlineStr">
        <is>
          <t>000007111196</t>
        </is>
      </c>
      <c r="B75" t="inlineStr">
        <is>
          <t>223f</t>
        </is>
      </c>
      <c r="C75" t="inlineStr">
        <is>
          <t>RP</t>
        </is>
      </c>
      <c r="D75" t="inlineStr">
        <is>
          <t>WALKER &amp; DUNLOP, LLC</t>
        </is>
      </c>
      <c r="E75" t="n">
        <v>2010</v>
      </c>
      <c r="F75" t="inlineStr">
        <is>
          <t>202602</t>
        </is>
      </c>
      <c r="G75" s="9" t="n">
        <v>3458376.57</v>
      </c>
      <c r="H75" s="13" t="n">
        <v>3.49</v>
      </c>
      <c r="I75" s="14" t="n">
        <v>447</v>
      </c>
      <c r="J75" s="14" t="n">
        <v>6</v>
      </c>
      <c r="K75" t="n">
        <v>190</v>
      </c>
      <c r="L75" t="n">
        <v>204505</v>
      </c>
      <c r="M75" t="inlineStr"/>
      <c r="N75" t="n">
        <v>12</v>
      </c>
      <c r="O75" s="8" t="n">
        <v>0.06315789473684211</v>
      </c>
      <c r="P75">
        <f>IF(ISNUMBER(SEARCH("232",B75)),"232",IF(ISNUMBER(SEARCH("538",B75)),"538",IF(ISNUMBER(SEARCH("223a7",B75)),"223a7",IF(ISNUMBER(SEARCH("223f",B75)),"223f","OTHER"))))</f>
        <v/>
      </c>
      <c r="Q75">
        <f>IF(UPPER(C75)="NC","NC","RP")</f>
        <v/>
      </c>
      <c r="R75">
        <f>IF(G75&lt;5000000,"small",IF(G75&lt;25000000,"medium","large"))</f>
        <v/>
      </c>
      <c r="S75">
        <f>IF(K75&lt;36,"young",IF(K75&lt;120,"seasoned","aged"))</f>
        <v/>
      </c>
      <c r="T75">
        <f>P75&amp;"|"&amp;Q75&amp;"|"&amp;R75&amp;"|"&amp;S75</f>
        <v/>
      </c>
      <c r="U75" s="14">
        <f>H75*100-I75</f>
        <v/>
      </c>
      <c r="V75" s="14">
        <f>U75-12.5*(J75+1)</f>
        <v/>
      </c>
      <c r="W75" s="15">
        <f>IFERROR(VLOOKUP(T75,V8_COHORT_TABLE,2,FALSE),IFERROR(VLOOKUP(P75&amp;"|"&amp;Q75&amp;"|ALL|"&amp;S75,V8_COHORT_TABLE,2,FALSE),IFERROR(VLOOKUP(P75&amp;"|ALL|ALL|"&amp;S75,V8_COHORT_TABLE,2,FALSE),IFERROR(VLOOKUP(P75&amp;"|ALL|ALL|ALL",V8_COHORT_TABLE,2,FALSE),VLOOKUP("GLOBAL",V8_COHORT_TABLE,2,FALSE)))))</f>
        <v/>
      </c>
      <c r="X75" s="15">
        <f>IFERROR(VLOOKUP(T75,V8_COHORT_TABLE,3,FALSE),IFERROR(VLOOKUP(P75&amp;"|"&amp;Q75&amp;"|ALL|"&amp;S75,V8_COHORT_TABLE,3,FALSE),IFERROR(VLOOKUP(P75&amp;"|ALL|ALL|"&amp;S75,V8_COHORT_TABLE,3,FALSE),IFERROR(VLOOKUP(P75&amp;"|ALL|ALL|ALL",V8_COHORT_TABLE,3,FALSE),VLOOKUP("GLOBAL",V8_COHORT_TABLE,3,FALSE)))))</f>
        <v/>
      </c>
      <c r="Y75" s="15">
        <f>IFERROR(VLOOKUP(T75,V8_COHORT_TABLE,4,FALSE),IFERROR(VLOOKUP(P75&amp;"|"&amp;Q75&amp;"|ALL|"&amp;S75,V8_COHORT_TABLE,4,FALSE),IFERROR(VLOOKUP(P75&amp;"|ALL|ALL|"&amp;S75,V8_COHORT_TABLE,4,FALSE),IFERROR(VLOOKUP(P75&amp;"|ALL|ALL|ALL",V8_COHORT_TABLE,4,FALSE),VLOOKUP("GLOBAL",V8_COHORT_TABLE,4,FALSE)))))</f>
        <v/>
      </c>
      <c r="Z75" s="15">
        <f>IFERROR(VLOOKUP(T75,V8_COHORT_TABLE,5,FALSE),IFERROR(VLOOKUP(P75&amp;"|"&amp;Q75&amp;"|ALL|"&amp;S75,V8_COHORT_TABLE,5,FALSE),IFERROR(VLOOKUP(P75&amp;"|ALL|ALL|"&amp;S75,V8_COHORT_TABLE,5,FALSE),IFERROR(VLOOKUP(P75&amp;"|ALL|ALL|ALL",V8_COHORT_TABLE,5,FALSE),VLOOKUP("GLOBAL",V8_COHORT_TABLE,5,FALSE)))))</f>
        <v/>
      </c>
      <c r="AA75" s="15">
        <f>W75+X75/(1+EXP(-(V75-Y75)/Z75))</f>
        <v/>
      </c>
      <c r="AB75" s="15">
        <f>IFERROR(VLOOKUP(T75,V8_COHORT_TABLE,6,FALSE),IFERROR(VLOOKUP(P75&amp;"|"&amp;Q75&amp;"|ALL|"&amp;S75,V8_COHORT_TABLE,6,FALSE),IFERROR(VLOOKUP(P75&amp;"|ALL|ALL|"&amp;S75,V8_COHORT_TABLE,6,FALSE),IFERROR(VLOOKUP(P75&amp;"|ALL|ALL|ALL",V8_COHORT_TABLE,6,FALSE),VLOOKUP("GLOBAL",V8_COHORT_TABLE,6,FALSE)))))</f>
        <v/>
      </c>
      <c r="AC75" s="15">
        <f>IFERROR(VLOOKUP(T75,V8_COHORT_TABLE,7,FALSE),IFERROR(VLOOKUP(P75&amp;"|"&amp;Q75&amp;"|ALL|"&amp;S75,V8_COHORT_TABLE,7,FALSE),IFERROR(VLOOKUP(P75&amp;"|ALL|ALL|"&amp;S75,V8_COHORT_TABLE,7,FALSE),IFERROR(VLOOKUP(P75&amp;"|ALL|ALL|ALL",V8_COHORT_TABLE,7,FALSE),VLOOKUP("GLOBAL",V8_COHORT_TABLE,7,FALSE)))))</f>
        <v/>
      </c>
      <c r="AD75" s="15">
        <f>IFERROR(VLOOKUP(T75,V8_COHORT_TABLE,8,FALSE),IFERROR(VLOOKUP(P75&amp;"|"&amp;Q75&amp;"|ALL|"&amp;S75,V8_COHORT_TABLE,8,FALSE),IFERROR(VLOOKUP(P75&amp;"|ALL|ALL|"&amp;S75,V8_COHORT_TABLE,8,FALSE),IFERROR(VLOOKUP(P75&amp;"|ALL|ALL|ALL",V8_COHORT_TABLE,8,FALSE),VLOOKUP("GLOBAL",V8_COHORT_TABLE,8,FALSE)))))</f>
        <v/>
      </c>
      <c r="AE75" s="15">
        <f>IFERROR(VLOOKUP(T75,V8_COHORT_TABLE,9,FALSE),IFERROR(VLOOKUP(P75&amp;"|"&amp;Q75&amp;"|ALL|"&amp;S75,V8_COHORT_TABLE,9,FALSE),IFERROR(VLOOKUP(P75&amp;"|ALL|ALL|"&amp;S75,V8_COHORT_TABLE,9,FALSE),IFERROR(VLOOKUP(P75&amp;"|ALL|ALL|ALL",V8_COHORT_TABLE,9,FALSE),VLOOKUP("GLOBAL",V8_COHORT_TABLE,9,FALSE)))))</f>
        <v/>
      </c>
      <c r="AF75" s="8">
        <f>IF(K75&lt;=0,AB75,IF(K75&gt;=240,AE75,IF(K75&lt;=24,AB75+(K75-0)/24*(AC75-AB75),IF(K75&lt;=96,AC75+(K75-24)/72*(AD75-AC75),AD75+(K75-96)/144*(AE75-AD75)))))</f>
        <v/>
      </c>
      <c r="AG75" s="8">
        <f>IF(IF(OR(L75="",NOT(ISNUMBER(L75))),360,MAX(0,MIN(480,(INT(L75/100)-INT(VALUE(F75)/100))*12+MOD(L75,100)-MOD(VALUE(F75),100))))&gt;0,1+V8_MTY_AMP*MAX(0,(V8_MTY_CUTOFF-(IF(OR(L75="",NOT(ISNUMBER(L75))),360,MAX(0,MIN(480,(INT(L75/100)-INT(VALUE(F75)/100))*12+MOD(L75,100)-MOD(VALUE(F75),100))))))/V8_MTY_CUTOFF),1)</f>
        <v/>
      </c>
      <c r="AH75" s="8">
        <f>IF(AND(IF(OR(M75="",NOT(ISNUMBER(M75))),0,MAX(0,MIN(24,(INT(VALUE(F75)/100)-INT(M75/100))*12+MOD(VALUE(F75),100)-MOD(M75,100))))&gt;0,IF(OR(M75="",NOT(ISNUMBER(M75))),0,MAX(0,MIN(24,(INT(VALUE(F75)/100)-INT(M75/100))*12+MOD(VALUE(F75),100)-MOD(M75,100))))&lt;=12),1+V8_LOCKOUT_AMP*EXP(-(IF(OR(M75="",NOT(ISNUMBER(M75))),0,MAX(0,MIN(24,(INT(VALUE(F75)/100)-INT(M75/100))*12+MOD(VALUE(F75),100)-MOD(M75,100)))))/V8_LOCKOUT_TAU),1)</f>
        <v/>
      </c>
      <c r="AI75" s="8">
        <f>MAX(V8_BURN_FLOOR,1-V8_BURN_SLOPE*MIN(1,MAX(0,O75)))</f>
        <v/>
      </c>
      <c r="AJ75" s="15">
        <f>MIN(AA75*AF75*AG75*AH75*AI75,0.2)</f>
        <v/>
      </c>
      <c r="AK75" s="16">
        <f>1-(1-AJ75)^12</f>
        <v/>
      </c>
    </row>
    <row r="76">
      <c r="A76" s="2" t="inlineStr">
        <is>
          <t>000010222049</t>
        </is>
      </c>
      <c r="B76" t="inlineStr">
        <is>
          <t>232</t>
        </is>
      </c>
      <c r="C76" t="inlineStr">
        <is>
          <t>RP</t>
        </is>
      </c>
      <c r="D76" t="inlineStr">
        <is>
          <t>WALKER &amp; DUNLOP, LLC</t>
        </is>
      </c>
      <c r="E76" t="n">
        <v>2012</v>
      </c>
      <c r="F76" t="inlineStr">
        <is>
          <t>202602</t>
        </is>
      </c>
      <c r="G76" s="9" t="n">
        <v>9942041.35</v>
      </c>
      <c r="H76" s="13" t="n">
        <v>3.35</v>
      </c>
      <c r="I76" s="14" t="n">
        <v>447</v>
      </c>
      <c r="J76" s="14" t="n">
        <v>0</v>
      </c>
      <c r="K76" t="n">
        <v>158</v>
      </c>
      <c r="L76" t="n">
        <v>204801</v>
      </c>
      <c r="M76" t="n">
        <v>201401</v>
      </c>
      <c r="N76" t="n">
        <v>32</v>
      </c>
      <c r="O76" s="8" t="n">
        <v>0.2025316455696203</v>
      </c>
      <c r="P76">
        <f>IF(ISNUMBER(SEARCH("232",B76)),"232",IF(ISNUMBER(SEARCH("538",B76)),"538",IF(ISNUMBER(SEARCH("223a7",B76)),"223a7",IF(ISNUMBER(SEARCH("223f",B76)),"223f","OTHER"))))</f>
        <v/>
      </c>
      <c r="Q76">
        <f>IF(UPPER(C76)="NC","NC","RP")</f>
        <v/>
      </c>
      <c r="R76">
        <f>IF(G76&lt;5000000,"small",IF(G76&lt;25000000,"medium","large"))</f>
        <v/>
      </c>
      <c r="S76">
        <f>IF(K76&lt;36,"young",IF(K76&lt;120,"seasoned","aged"))</f>
        <v/>
      </c>
      <c r="T76">
        <f>P76&amp;"|"&amp;Q76&amp;"|"&amp;R76&amp;"|"&amp;S76</f>
        <v/>
      </c>
      <c r="U76" s="14">
        <f>H76*100-I76</f>
        <v/>
      </c>
      <c r="V76" s="14">
        <f>U76-12.5*(J76+1)</f>
        <v/>
      </c>
      <c r="W76" s="15">
        <f>IFERROR(VLOOKUP(T76,V8_COHORT_TABLE,2,FALSE),IFERROR(VLOOKUP(P76&amp;"|"&amp;Q76&amp;"|ALL|"&amp;S76,V8_COHORT_TABLE,2,FALSE),IFERROR(VLOOKUP(P76&amp;"|ALL|ALL|"&amp;S76,V8_COHORT_TABLE,2,FALSE),IFERROR(VLOOKUP(P76&amp;"|ALL|ALL|ALL",V8_COHORT_TABLE,2,FALSE),VLOOKUP("GLOBAL",V8_COHORT_TABLE,2,FALSE)))))</f>
        <v/>
      </c>
      <c r="X76" s="15">
        <f>IFERROR(VLOOKUP(T76,V8_COHORT_TABLE,3,FALSE),IFERROR(VLOOKUP(P76&amp;"|"&amp;Q76&amp;"|ALL|"&amp;S76,V8_COHORT_TABLE,3,FALSE),IFERROR(VLOOKUP(P76&amp;"|ALL|ALL|"&amp;S76,V8_COHORT_TABLE,3,FALSE),IFERROR(VLOOKUP(P76&amp;"|ALL|ALL|ALL",V8_COHORT_TABLE,3,FALSE),VLOOKUP("GLOBAL",V8_COHORT_TABLE,3,FALSE)))))</f>
        <v/>
      </c>
      <c r="Y76" s="15">
        <f>IFERROR(VLOOKUP(T76,V8_COHORT_TABLE,4,FALSE),IFERROR(VLOOKUP(P76&amp;"|"&amp;Q76&amp;"|ALL|"&amp;S76,V8_COHORT_TABLE,4,FALSE),IFERROR(VLOOKUP(P76&amp;"|ALL|ALL|"&amp;S76,V8_COHORT_TABLE,4,FALSE),IFERROR(VLOOKUP(P76&amp;"|ALL|ALL|ALL",V8_COHORT_TABLE,4,FALSE),VLOOKUP("GLOBAL",V8_COHORT_TABLE,4,FALSE)))))</f>
        <v/>
      </c>
      <c r="Z76" s="15">
        <f>IFERROR(VLOOKUP(T76,V8_COHORT_TABLE,5,FALSE),IFERROR(VLOOKUP(P76&amp;"|"&amp;Q76&amp;"|ALL|"&amp;S76,V8_COHORT_TABLE,5,FALSE),IFERROR(VLOOKUP(P76&amp;"|ALL|ALL|"&amp;S76,V8_COHORT_TABLE,5,FALSE),IFERROR(VLOOKUP(P76&amp;"|ALL|ALL|ALL",V8_COHORT_TABLE,5,FALSE),VLOOKUP("GLOBAL",V8_COHORT_TABLE,5,FALSE)))))</f>
        <v/>
      </c>
      <c r="AA76" s="15">
        <f>W76+X76/(1+EXP(-(V76-Y76)/Z76))</f>
        <v/>
      </c>
      <c r="AB76" s="15">
        <f>IFERROR(VLOOKUP(T76,V8_COHORT_TABLE,6,FALSE),IFERROR(VLOOKUP(P76&amp;"|"&amp;Q76&amp;"|ALL|"&amp;S76,V8_COHORT_TABLE,6,FALSE),IFERROR(VLOOKUP(P76&amp;"|ALL|ALL|"&amp;S76,V8_COHORT_TABLE,6,FALSE),IFERROR(VLOOKUP(P76&amp;"|ALL|ALL|ALL",V8_COHORT_TABLE,6,FALSE),VLOOKUP("GLOBAL",V8_COHORT_TABLE,6,FALSE)))))</f>
        <v/>
      </c>
      <c r="AC76" s="15">
        <f>IFERROR(VLOOKUP(T76,V8_COHORT_TABLE,7,FALSE),IFERROR(VLOOKUP(P76&amp;"|"&amp;Q76&amp;"|ALL|"&amp;S76,V8_COHORT_TABLE,7,FALSE),IFERROR(VLOOKUP(P76&amp;"|ALL|ALL|"&amp;S76,V8_COHORT_TABLE,7,FALSE),IFERROR(VLOOKUP(P76&amp;"|ALL|ALL|ALL",V8_COHORT_TABLE,7,FALSE),VLOOKUP("GLOBAL",V8_COHORT_TABLE,7,FALSE)))))</f>
        <v/>
      </c>
      <c r="AD76" s="15">
        <f>IFERROR(VLOOKUP(T76,V8_COHORT_TABLE,8,FALSE),IFERROR(VLOOKUP(P76&amp;"|"&amp;Q76&amp;"|ALL|"&amp;S76,V8_COHORT_TABLE,8,FALSE),IFERROR(VLOOKUP(P76&amp;"|ALL|ALL|"&amp;S76,V8_COHORT_TABLE,8,FALSE),IFERROR(VLOOKUP(P76&amp;"|ALL|ALL|ALL",V8_COHORT_TABLE,8,FALSE),VLOOKUP("GLOBAL",V8_COHORT_TABLE,8,FALSE)))))</f>
        <v/>
      </c>
      <c r="AE76" s="15">
        <f>IFERROR(VLOOKUP(T76,V8_COHORT_TABLE,9,FALSE),IFERROR(VLOOKUP(P76&amp;"|"&amp;Q76&amp;"|ALL|"&amp;S76,V8_COHORT_TABLE,9,FALSE),IFERROR(VLOOKUP(P76&amp;"|ALL|ALL|"&amp;S76,V8_COHORT_TABLE,9,FALSE),IFERROR(VLOOKUP(P76&amp;"|ALL|ALL|ALL",V8_COHORT_TABLE,9,FALSE),VLOOKUP("GLOBAL",V8_COHORT_TABLE,9,FALSE)))))</f>
        <v/>
      </c>
      <c r="AF76" s="8">
        <f>IF(K76&lt;=0,AB76,IF(K76&gt;=240,AE76,IF(K76&lt;=24,AB76+(K76-0)/24*(AC76-AB76),IF(K76&lt;=96,AC76+(K76-24)/72*(AD76-AC76),AD76+(K76-96)/144*(AE76-AD76)))))</f>
        <v/>
      </c>
      <c r="AG76" s="8">
        <f>IF(IF(OR(L76="",NOT(ISNUMBER(L76))),360,MAX(0,MIN(480,(INT(L76/100)-INT(VALUE(F76)/100))*12+MOD(L76,100)-MOD(VALUE(F76),100))))&gt;0,1+V8_MTY_AMP*MAX(0,(V8_MTY_CUTOFF-(IF(OR(L76="",NOT(ISNUMBER(L76))),360,MAX(0,MIN(480,(INT(L76/100)-INT(VALUE(F76)/100))*12+MOD(L76,100)-MOD(VALUE(F76),100))))))/V8_MTY_CUTOFF),1)</f>
        <v/>
      </c>
      <c r="AH76" s="8">
        <f>IF(AND(IF(OR(M76="",NOT(ISNUMBER(M76))),0,MAX(0,MIN(24,(INT(VALUE(F76)/100)-INT(M76/100))*12+MOD(VALUE(F76),100)-MOD(M76,100))))&gt;0,IF(OR(M76="",NOT(ISNUMBER(M76))),0,MAX(0,MIN(24,(INT(VALUE(F76)/100)-INT(M76/100))*12+MOD(VALUE(F76),100)-MOD(M76,100))))&lt;=12),1+V8_LOCKOUT_AMP*EXP(-(IF(OR(M76="",NOT(ISNUMBER(M76))),0,MAX(0,MIN(24,(INT(VALUE(F76)/100)-INT(M76/100))*12+MOD(VALUE(F76),100)-MOD(M76,100)))))/V8_LOCKOUT_TAU),1)</f>
        <v/>
      </c>
      <c r="AI76" s="8">
        <f>MAX(V8_BURN_FLOOR,1-V8_BURN_SLOPE*MIN(1,MAX(0,O76)))</f>
        <v/>
      </c>
      <c r="AJ76" s="15">
        <f>MIN(AA76*AF76*AG76*AH76*AI76,0.2)</f>
        <v/>
      </c>
      <c r="AK76" s="16">
        <f>1-(1-AJ76)^12</f>
        <v/>
      </c>
    </row>
    <row r="77">
      <c r="A77" s="2" t="inlineStr">
        <is>
          <t>000001711151</t>
        </is>
      </c>
      <c r="B77" t="inlineStr">
        <is>
          <t>223f</t>
        </is>
      </c>
      <c r="C77" t="inlineStr">
        <is>
          <t>RP</t>
        </is>
      </c>
      <c r="D77" t="inlineStr">
        <is>
          <t>WALKER &amp; DUNLOP, LLC</t>
        </is>
      </c>
      <c r="E77" t="n">
        <v>2012</v>
      </c>
      <c r="F77" t="inlineStr">
        <is>
          <t>202602</t>
        </is>
      </c>
      <c r="G77" s="9" t="n">
        <v>1567346.24</v>
      </c>
      <c r="H77" s="13" t="n">
        <v>3.33</v>
      </c>
      <c r="I77" s="14" t="n">
        <v>447</v>
      </c>
      <c r="J77" s="14" t="n">
        <v>0</v>
      </c>
      <c r="K77" t="n">
        <v>167</v>
      </c>
      <c r="L77" t="n">
        <v>204705</v>
      </c>
      <c r="M77" t="n">
        <v>201305</v>
      </c>
      <c r="N77" t="n">
        <v>35</v>
      </c>
      <c r="O77" s="8" t="n">
        <v>0.2095808383233533</v>
      </c>
      <c r="P77">
        <f>IF(ISNUMBER(SEARCH("232",B77)),"232",IF(ISNUMBER(SEARCH("538",B77)),"538",IF(ISNUMBER(SEARCH("223a7",B77)),"223a7",IF(ISNUMBER(SEARCH("223f",B77)),"223f","OTHER"))))</f>
        <v/>
      </c>
      <c r="Q77">
        <f>IF(UPPER(C77)="NC","NC","RP")</f>
        <v/>
      </c>
      <c r="R77">
        <f>IF(G77&lt;5000000,"small",IF(G77&lt;25000000,"medium","large"))</f>
        <v/>
      </c>
      <c r="S77">
        <f>IF(K77&lt;36,"young",IF(K77&lt;120,"seasoned","aged"))</f>
        <v/>
      </c>
      <c r="T77">
        <f>P77&amp;"|"&amp;Q77&amp;"|"&amp;R77&amp;"|"&amp;S77</f>
        <v/>
      </c>
      <c r="U77" s="14">
        <f>H77*100-I77</f>
        <v/>
      </c>
      <c r="V77" s="14">
        <f>U77-12.5*(J77+1)</f>
        <v/>
      </c>
      <c r="W77" s="15">
        <f>IFERROR(VLOOKUP(T77,V8_COHORT_TABLE,2,FALSE),IFERROR(VLOOKUP(P77&amp;"|"&amp;Q77&amp;"|ALL|"&amp;S77,V8_COHORT_TABLE,2,FALSE),IFERROR(VLOOKUP(P77&amp;"|ALL|ALL|"&amp;S77,V8_COHORT_TABLE,2,FALSE),IFERROR(VLOOKUP(P77&amp;"|ALL|ALL|ALL",V8_COHORT_TABLE,2,FALSE),VLOOKUP("GLOBAL",V8_COHORT_TABLE,2,FALSE)))))</f>
        <v/>
      </c>
      <c r="X77" s="15">
        <f>IFERROR(VLOOKUP(T77,V8_COHORT_TABLE,3,FALSE),IFERROR(VLOOKUP(P77&amp;"|"&amp;Q77&amp;"|ALL|"&amp;S77,V8_COHORT_TABLE,3,FALSE),IFERROR(VLOOKUP(P77&amp;"|ALL|ALL|"&amp;S77,V8_COHORT_TABLE,3,FALSE),IFERROR(VLOOKUP(P77&amp;"|ALL|ALL|ALL",V8_COHORT_TABLE,3,FALSE),VLOOKUP("GLOBAL",V8_COHORT_TABLE,3,FALSE)))))</f>
        <v/>
      </c>
      <c r="Y77" s="15">
        <f>IFERROR(VLOOKUP(T77,V8_COHORT_TABLE,4,FALSE),IFERROR(VLOOKUP(P77&amp;"|"&amp;Q77&amp;"|ALL|"&amp;S77,V8_COHORT_TABLE,4,FALSE),IFERROR(VLOOKUP(P77&amp;"|ALL|ALL|"&amp;S77,V8_COHORT_TABLE,4,FALSE),IFERROR(VLOOKUP(P77&amp;"|ALL|ALL|ALL",V8_COHORT_TABLE,4,FALSE),VLOOKUP("GLOBAL",V8_COHORT_TABLE,4,FALSE)))))</f>
        <v/>
      </c>
      <c r="Z77" s="15">
        <f>IFERROR(VLOOKUP(T77,V8_COHORT_TABLE,5,FALSE),IFERROR(VLOOKUP(P77&amp;"|"&amp;Q77&amp;"|ALL|"&amp;S77,V8_COHORT_TABLE,5,FALSE),IFERROR(VLOOKUP(P77&amp;"|ALL|ALL|"&amp;S77,V8_COHORT_TABLE,5,FALSE),IFERROR(VLOOKUP(P77&amp;"|ALL|ALL|ALL",V8_COHORT_TABLE,5,FALSE),VLOOKUP("GLOBAL",V8_COHORT_TABLE,5,FALSE)))))</f>
        <v/>
      </c>
      <c r="AA77" s="15">
        <f>W77+X77/(1+EXP(-(V77-Y77)/Z77))</f>
        <v/>
      </c>
      <c r="AB77" s="15">
        <f>IFERROR(VLOOKUP(T77,V8_COHORT_TABLE,6,FALSE),IFERROR(VLOOKUP(P77&amp;"|"&amp;Q77&amp;"|ALL|"&amp;S77,V8_COHORT_TABLE,6,FALSE),IFERROR(VLOOKUP(P77&amp;"|ALL|ALL|"&amp;S77,V8_COHORT_TABLE,6,FALSE),IFERROR(VLOOKUP(P77&amp;"|ALL|ALL|ALL",V8_COHORT_TABLE,6,FALSE),VLOOKUP("GLOBAL",V8_COHORT_TABLE,6,FALSE)))))</f>
        <v/>
      </c>
      <c r="AC77" s="15">
        <f>IFERROR(VLOOKUP(T77,V8_COHORT_TABLE,7,FALSE),IFERROR(VLOOKUP(P77&amp;"|"&amp;Q77&amp;"|ALL|"&amp;S77,V8_COHORT_TABLE,7,FALSE),IFERROR(VLOOKUP(P77&amp;"|ALL|ALL|"&amp;S77,V8_COHORT_TABLE,7,FALSE),IFERROR(VLOOKUP(P77&amp;"|ALL|ALL|ALL",V8_COHORT_TABLE,7,FALSE),VLOOKUP("GLOBAL",V8_COHORT_TABLE,7,FALSE)))))</f>
        <v/>
      </c>
      <c r="AD77" s="15">
        <f>IFERROR(VLOOKUP(T77,V8_COHORT_TABLE,8,FALSE),IFERROR(VLOOKUP(P77&amp;"|"&amp;Q77&amp;"|ALL|"&amp;S77,V8_COHORT_TABLE,8,FALSE),IFERROR(VLOOKUP(P77&amp;"|ALL|ALL|"&amp;S77,V8_COHORT_TABLE,8,FALSE),IFERROR(VLOOKUP(P77&amp;"|ALL|ALL|ALL",V8_COHORT_TABLE,8,FALSE),VLOOKUP("GLOBAL",V8_COHORT_TABLE,8,FALSE)))))</f>
        <v/>
      </c>
      <c r="AE77" s="15">
        <f>IFERROR(VLOOKUP(T77,V8_COHORT_TABLE,9,FALSE),IFERROR(VLOOKUP(P77&amp;"|"&amp;Q77&amp;"|ALL|"&amp;S77,V8_COHORT_TABLE,9,FALSE),IFERROR(VLOOKUP(P77&amp;"|ALL|ALL|"&amp;S77,V8_COHORT_TABLE,9,FALSE),IFERROR(VLOOKUP(P77&amp;"|ALL|ALL|ALL",V8_COHORT_TABLE,9,FALSE),VLOOKUP("GLOBAL",V8_COHORT_TABLE,9,FALSE)))))</f>
        <v/>
      </c>
      <c r="AF77" s="8">
        <f>IF(K77&lt;=0,AB77,IF(K77&gt;=240,AE77,IF(K77&lt;=24,AB77+(K77-0)/24*(AC77-AB77),IF(K77&lt;=96,AC77+(K77-24)/72*(AD77-AC77),AD77+(K77-96)/144*(AE77-AD77)))))</f>
        <v/>
      </c>
      <c r="AG77" s="8">
        <f>IF(IF(OR(L77="",NOT(ISNUMBER(L77))),360,MAX(0,MIN(480,(INT(L77/100)-INT(VALUE(F77)/100))*12+MOD(L77,100)-MOD(VALUE(F77),100))))&gt;0,1+V8_MTY_AMP*MAX(0,(V8_MTY_CUTOFF-(IF(OR(L77="",NOT(ISNUMBER(L77))),360,MAX(0,MIN(480,(INT(L77/100)-INT(VALUE(F77)/100))*12+MOD(L77,100)-MOD(VALUE(F77),100))))))/V8_MTY_CUTOFF),1)</f>
        <v/>
      </c>
      <c r="AH77" s="8">
        <f>IF(AND(IF(OR(M77="",NOT(ISNUMBER(M77))),0,MAX(0,MIN(24,(INT(VALUE(F77)/100)-INT(M77/100))*12+MOD(VALUE(F77),100)-MOD(M77,100))))&gt;0,IF(OR(M77="",NOT(ISNUMBER(M77))),0,MAX(0,MIN(24,(INT(VALUE(F77)/100)-INT(M77/100))*12+MOD(VALUE(F77),100)-MOD(M77,100))))&lt;=12),1+V8_LOCKOUT_AMP*EXP(-(IF(OR(M77="",NOT(ISNUMBER(M77))),0,MAX(0,MIN(24,(INT(VALUE(F77)/100)-INT(M77/100))*12+MOD(VALUE(F77),100)-MOD(M77,100)))))/V8_LOCKOUT_TAU),1)</f>
        <v/>
      </c>
      <c r="AI77" s="8">
        <f>MAX(V8_BURN_FLOOR,1-V8_BURN_SLOPE*MIN(1,MAX(0,O77)))</f>
        <v/>
      </c>
      <c r="AJ77" s="15">
        <f>MIN(AA77*AF77*AG77*AH77*AI77,0.2)</f>
        <v/>
      </c>
      <c r="AK77" s="16">
        <f>1-(1-AJ77)^12</f>
        <v/>
      </c>
    </row>
    <row r="78">
      <c r="A78" s="2" t="inlineStr">
        <is>
          <t>000012111176</t>
        </is>
      </c>
      <c r="B78" t="inlineStr">
        <is>
          <t>223f</t>
        </is>
      </c>
      <c r="C78" t="inlineStr">
        <is>
          <t>RP</t>
        </is>
      </c>
      <c r="D78" t="inlineStr">
        <is>
          <t>WALKER &amp; DUNLOP, LLC</t>
        </is>
      </c>
      <c r="E78" t="n">
        <v>2013</v>
      </c>
      <c r="F78" t="inlineStr">
        <is>
          <t>202602</t>
        </is>
      </c>
      <c r="G78" s="9" t="n">
        <v>4626699.62</v>
      </c>
      <c r="H78" s="13" t="n">
        <v>4.35</v>
      </c>
      <c r="I78" s="14" t="n">
        <v>447</v>
      </c>
      <c r="J78" s="14" t="n">
        <v>0</v>
      </c>
      <c r="K78" t="n">
        <v>146</v>
      </c>
      <c r="L78" t="n">
        <v>204904</v>
      </c>
      <c r="M78" t="n">
        <v>201605</v>
      </c>
      <c r="N78" t="n">
        <v>41</v>
      </c>
      <c r="O78" s="8" t="n">
        <v>0.2808219178082192</v>
      </c>
      <c r="P78">
        <f>IF(ISNUMBER(SEARCH("232",B78)),"232",IF(ISNUMBER(SEARCH("538",B78)),"538",IF(ISNUMBER(SEARCH("223a7",B78)),"223a7",IF(ISNUMBER(SEARCH("223f",B78)),"223f","OTHER"))))</f>
        <v/>
      </c>
      <c r="Q78">
        <f>IF(UPPER(C78)="NC","NC","RP")</f>
        <v/>
      </c>
      <c r="R78">
        <f>IF(G78&lt;5000000,"small",IF(G78&lt;25000000,"medium","large"))</f>
        <v/>
      </c>
      <c r="S78">
        <f>IF(K78&lt;36,"young",IF(K78&lt;120,"seasoned","aged"))</f>
        <v/>
      </c>
      <c r="T78">
        <f>P78&amp;"|"&amp;Q78&amp;"|"&amp;R78&amp;"|"&amp;S78</f>
        <v/>
      </c>
      <c r="U78" s="14">
        <f>H78*100-I78</f>
        <v/>
      </c>
      <c r="V78" s="14">
        <f>U78-12.5*(J78+1)</f>
        <v/>
      </c>
      <c r="W78" s="15">
        <f>IFERROR(VLOOKUP(T78,V8_COHORT_TABLE,2,FALSE),IFERROR(VLOOKUP(P78&amp;"|"&amp;Q78&amp;"|ALL|"&amp;S78,V8_COHORT_TABLE,2,FALSE),IFERROR(VLOOKUP(P78&amp;"|ALL|ALL|"&amp;S78,V8_COHORT_TABLE,2,FALSE),IFERROR(VLOOKUP(P78&amp;"|ALL|ALL|ALL",V8_COHORT_TABLE,2,FALSE),VLOOKUP("GLOBAL",V8_COHORT_TABLE,2,FALSE)))))</f>
        <v/>
      </c>
      <c r="X78" s="15">
        <f>IFERROR(VLOOKUP(T78,V8_COHORT_TABLE,3,FALSE),IFERROR(VLOOKUP(P78&amp;"|"&amp;Q78&amp;"|ALL|"&amp;S78,V8_COHORT_TABLE,3,FALSE),IFERROR(VLOOKUP(P78&amp;"|ALL|ALL|"&amp;S78,V8_COHORT_TABLE,3,FALSE),IFERROR(VLOOKUP(P78&amp;"|ALL|ALL|ALL",V8_COHORT_TABLE,3,FALSE),VLOOKUP("GLOBAL",V8_COHORT_TABLE,3,FALSE)))))</f>
        <v/>
      </c>
      <c r="Y78" s="15">
        <f>IFERROR(VLOOKUP(T78,V8_COHORT_TABLE,4,FALSE),IFERROR(VLOOKUP(P78&amp;"|"&amp;Q78&amp;"|ALL|"&amp;S78,V8_COHORT_TABLE,4,FALSE),IFERROR(VLOOKUP(P78&amp;"|ALL|ALL|"&amp;S78,V8_COHORT_TABLE,4,FALSE),IFERROR(VLOOKUP(P78&amp;"|ALL|ALL|ALL",V8_COHORT_TABLE,4,FALSE),VLOOKUP("GLOBAL",V8_COHORT_TABLE,4,FALSE)))))</f>
        <v/>
      </c>
      <c r="Z78" s="15">
        <f>IFERROR(VLOOKUP(T78,V8_COHORT_TABLE,5,FALSE),IFERROR(VLOOKUP(P78&amp;"|"&amp;Q78&amp;"|ALL|"&amp;S78,V8_COHORT_TABLE,5,FALSE),IFERROR(VLOOKUP(P78&amp;"|ALL|ALL|"&amp;S78,V8_COHORT_TABLE,5,FALSE),IFERROR(VLOOKUP(P78&amp;"|ALL|ALL|ALL",V8_COHORT_TABLE,5,FALSE),VLOOKUP("GLOBAL",V8_COHORT_TABLE,5,FALSE)))))</f>
        <v/>
      </c>
      <c r="AA78" s="15">
        <f>W78+X78/(1+EXP(-(V78-Y78)/Z78))</f>
        <v/>
      </c>
      <c r="AB78" s="15">
        <f>IFERROR(VLOOKUP(T78,V8_COHORT_TABLE,6,FALSE),IFERROR(VLOOKUP(P78&amp;"|"&amp;Q78&amp;"|ALL|"&amp;S78,V8_COHORT_TABLE,6,FALSE),IFERROR(VLOOKUP(P78&amp;"|ALL|ALL|"&amp;S78,V8_COHORT_TABLE,6,FALSE),IFERROR(VLOOKUP(P78&amp;"|ALL|ALL|ALL",V8_COHORT_TABLE,6,FALSE),VLOOKUP("GLOBAL",V8_COHORT_TABLE,6,FALSE)))))</f>
        <v/>
      </c>
      <c r="AC78" s="15">
        <f>IFERROR(VLOOKUP(T78,V8_COHORT_TABLE,7,FALSE),IFERROR(VLOOKUP(P78&amp;"|"&amp;Q78&amp;"|ALL|"&amp;S78,V8_COHORT_TABLE,7,FALSE),IFERROR(VLOOKUP(P78&amp;"|ALL|ALL|"&amp;S78,V8_COHORT_TABLE,7,FALSE),IFERROR(VLOOKUP(P78&amp;"|ALL|ALL|ALL",V8_COHORT_TABLE,7,FALSE),VLOOKUP("GLOBAL",V8_COHORT_TABLE,7,FALSE)))))</f>
        <v/>
      </c>
      <c r="AD78" s="15">
        <f>IFERROR(VLOOKUP(T78,V8_COHORT_TABLE,8,FALSE),IFERROR(VLOOKUP(P78&amp;"|"&amp;Q78&amp;"|ALL|"&amp;S78,V8_COHORT_TABLE,8,FALSE),IFERROR(VLOOKUP(P78&amp;"|ALL|ALL|"&amp;S78,V8_COHORT_TABLE,8,FALSE),IFERROR(VLOOKUP(P78&amp;"|ALL|ALL|ALL",V8_COHORT_TABLE,8,FALSE),VLOOKUP("GLOBAL",V8_COHORT_TABLE,8,FALSE)))))</f>
        <v/>
      </c>
      <c r="AE78" s="15">
        <f>IFERROR(VLOOKUP(T78,V8_COHORT_TABLE,9,FALSE),IFERROR(VLOOKUP(P78&amp;"|"&amp;Q78&amp;"|ALL|"&amp;S78,V8_COHORT_TABLE,9,FALSE),IFERROR(VLOOKUP(P78&amp;"|ALL|ALL|"&amp;S78,V8_COHORT_TABLE,9,FALSE),IFERROR(VLOOKUP(P78&amp;"|ALL|ALL|ALL",V8_COHORT_TABLE,9,FALSE),VLOOKUP("GLOBAL",V8_COHORT_TABLE,9,FALSE)))))</f>
        <v/>
      </c>
      <c r="AF78" s="8">
        <f>IF(K78&lt;=0,AB78,IF(K78&gt;=240,AE78,IF(K78&lt;=24,AB78+(K78-0)/24*(AC78-AB78),IF(K78&lt;=96,AC78+(K78-24)/72*(AD78-AC78),AD78+(K78-96)/144*(AE78-AD78)))))</f>
        <v/>
      </c>
      <c r="AG78" s="8">
        <f>IF(IF(OR(L78="",NOT(ISNUMBER(L78))),360,MAX(0,MIN(480,(INT(L78/100)-INT(VALUE(F78)/100))*12+MOD(L78,100)-MOD(VALUE(F78),100))))&gt;0,1+V8_MTY_AMP*MAX(0,(V8_MTY_CUTOFF-(IF(OR(L78="",NOT(ISNUMBER(L78))),360,MAX(0,MIN(480,(INT(L78/100)-INT(VALUE(F78)/100))*12+MOD(L78,100)-MOD(VALUE(F78),100))))))/V8_MTY_CUTOFF),1)</f>
        <v/>
      </c>
      <c r="AH78" s="8">
        <f>IF(AND(IF(OR(M78="",NOT(ISNUMBER(M78))),0,MAX(0,MIN(24,(INT(VALUE(F78)/100)-INT(M78/100))*12+MOD(VALUE(F78),100)-MOD(M78,100))))&gt;0,IF(OR(M78="",NOT(ISNUMBER(M78))),0,MAX(0,MIN(24,(INT(VALUE(F78)/100)-INT(M78/100))*12+MOD(VALUE(F78),100)-MOD(M78,100))))&lt;=12),1+V8_LOCKOUT_AMP*EXP(-(IF(OR(M78="",NOT(ISNUMBER(M78))),0,MAX(0,MIN(24,(INT(VALUE(F78)/100)-INT(M78/100))*12+MOD(VALUE(F78),100)-MOD(M78,100)))))/V8_LOCKOUT_TAU),1)</f>
        <v/>
      </c>
      <c r="AI78" s="8">
        <f>MAX(V8_BURN_FLOOR,1-V8_BURN_SLOPE*MIN(1,MAX(0,O78)))</f>
        <v/>
      </c>
      <c r="AJ78" s="15">
        <f>MIN(AA78*AF78*AG78*AH78*AI78,0.2)</f>
        <v/>
      </c>
      <c r="AK78" s="16">
        <f>1-(1-AJ78)^12</f>
        <v/>
      </c>
    </row>
    <row r="79">
      <c r="A79" s="2" t="inlineStr">
        <is>
          <t>000012722086</t>
        </is>
      </c>
      <c r="B79" t="inlineStr">
        <is>
          <t>232</t>
        </is>
      </c>
      <c r="C79" t="inlineStr">
        <is>
          <t>RP</t>
        </is>
      </c>
      <c r="D79" t="inlineStr">
        <is>
          <t>WALKER &amp; DUNLOP, LLC</t>
        </is>
      </c>
      <c r="E79" t="n">
        <v>2012</v>
      </c>
      <c r="F79" t="inlineStr">
        <is>
          <t>202602</t>
        </is>
      </c>
      <c r="G79" s="9" t="n">
        <v>2391566.61</v>
      </c>
      <c r="H79" s="13" t="n">
        <v>2.8</v>
      </c>
      <c r="I79" s="14" t="n">
        <v>447</v>
      </c>
      <c r="J79" s="14" t="n">
        <v>0</v>
      </c>
      <c r="K79" t="n">
        <v>164</v>
      </c>
      <c r="L79" t="n">
        <v>203708</v>
      </c>
      <c r="M79" t="n">
        <v>201308</v>
      </c>
      <c r="N79" t="n">
        <v>26</v>
      </c>
      <c r="O79" s="8" t="n">
        <v>0.1585365853658537</v>
      </c>
      <c r="P79">
        <f>IF(ISNUMBER(SEARCH("232",B79)),"232",IF(ISNUMBER(SEARCH("538",B79)),"538",IF(ISNUMBER(SEARCH("223a7",B79)),"223a7",IF(ISNUMBER(SEARCH("223f",B79)),"223f","OTHER"))))</f>
        <v/>
      </c>
      <c r="Q79">
        <f>IF(UPPER(C79)="NC","NC","RP")</f>
        <v/>
      </c>
      <c r="R79">
        <f>IF(G79&lt;5000000,"small",IF(G79&lt;25000000,"medium","large"))</f>
        <v/>
      </c>
      <c r="S79">
        <f>IF(K79&lt;36,"young",IF(K79&lt;120,"seasoned","aged"))</f>
        <v/>
      </c>
      <c r="T79">
        <f>P79&amp;"|"&amp;Q79&amp;"|"&amp;R79&amp;"|"&amp;S79</f>
        <v/>
      </c>
      <c r="U79" s="14">
        <f>H79*100-I79</f>
        <v/>
      </c>
      <c r="V79" s="14">
        <f>U79-12.5*(J79+1)</f>
        <v/>
      </c>
      <c r="W79" s="15">
        <f>IFERROR(VLOOKUP(T79,V8_COHORT_TABLE,2,FALSE),IFERROR(VLOOKUP(P79&amp;"|"&amp;Q79&amp;"|ALL|"&amp;S79,V8_COHORT_TABLE,2,FALSE),IFERROR(VLOOKUP(P79&amp;"|ALL|ALL|"&amp;S79,V8_COHORT_TABLE,2,FALSE),IFERROR(VLOOKUP(P79&amp;"|ALL|ALL|ALL",V8_COHORT_TABLE,2,FALSE),VLOOKUP("GLOBAL",V8_COHORT_TABLE,2,FALSE)))))</f>
        <v/>
      </c>
      <c r="X79" s="15">
        <f>IFERROR(VLOOKUP(T79,V8_COHORT_TABLE,3,FALSE),IFERROR(VLOOKUP(P79&amp;"|"&amp;Q79&amp;"|ALL|"&amp;S79,V8_COHORT_TABLE,3,FALSE),IFERROR(VLOOKUP(P79&amp;"|ALL|ALL|"&amp;S79,V8_COHORT_TABLE,3,FALSE),IFERROR(VLOOKUP(P79&amp;"|ALL|ALL|ALL",V8_COHORT_TABLE,3,FALSE),VLOOKUP("GLOBAL",V8_COHORT_TABLE,3,FALSE)))))</f>
        <v/>
      </c>
      <c r="Y79" s="15">
        <f>IFERROR(VLOOKUP(T79,V8_COHORT_TABLE,4,FALSE),IFERROR(VLOOKUP(P79&amp;"|"&amp;Q79&amp;"|ALL|"&amp;S79,V8_COHORT_TABLE,4,FALSE),IFERROR(VLOOKUP(P79&amp;"|ALL|ALL|"&amp;S79,V8_COHORT_TABLE,4,FALSE),IFERROR(VLOOKUP(P79&amp;"|ALL|ALL|ALL",V8_COHORT_TABLE,4,FALSE),VLOOKUP("GLOBAL",V8_COHORT_TABLE,4,FALSE)))))</f>
        <v/>
      </c>
      <c r="Z79" s="15">
        <f>IFERROR(VLOOKUP(T79,V8_COHORT_TABLE,5,FALSE),IFERROR(VLOOKUP(P79&amp;"|"&amp;Q79&amp;"|ALL|"&amp;S79,V8_COHORT_TABLE,5,FALSE),IFERROR(VLOOKUP(P79&amp;"|ALL|ALL|"&amp;S79,V8_COHORT_TABLE,5,FALSE),IFERROR(VLOOKUP(P79&amp;"|ALL|ALL|ALL",V8_COHORT_TABLE,5,FALSE),VLOOKUP("GLOBAL",V8_COHORT_TABLE,5,FALSE)))))</f>
        <v/>
      </c>
      <c r="AA79" s="15">
        <f>W79+X79/(1+EXP(-(V79-Y79)/Z79))</f>
        <v/>
      </c>
      <c r="AB79" s="15">
        <f>IFERROR(VLOOKUP(T79,V8_COHORT_TABLE,6,FALSE),IFERROR(VLOOKUP(P79&amp;"|"&amp;Q79&amp;"|ALL|"&amp;S79,V8_COHORT_TABLE,6,FALSE),IFERROR(VLOOKUP(P79&amp;"|ALL|ALL|"&amp;S79,V8_COHORT_TABLE,6,FALSE),IFERROR(VLOOKUP(P79&amp;"|ALL|ALL|ALL",V8_COHORT_TABLE,6,FALSE),VLOOKUP("GLOBAL",V8_COHORT_TABLE,6,FALSE)))))</f>
        <v/>
      </c>
      <c r="AC79" s="15">
        <f>IFERROR(VLOOKUP(T79,V8_COHORT_TABLE,7,FALSE),IFERROR(VLOOKUP(P79&amp;"|"&amp;Q79&amp;"|ALL|"&amp;S79,V8_COHORT_TABLE,7,FALSE),IFERROR(VLOOKUP(P79&amp;"|ALL|ALL|"&amp;S79,V8_COHORT_TABLE,7,FALSE),IFERROR(VLOOKUP(P79&amp;"|ALL|ALL|ALL",V8_COHORT_TABLE,7,FALSE),VLOOKUP("GLOBAL",V8_COHORT_TABLE,7,FALSE)))))</f>
        <v/>
      </c>
      <c r="AD79" s="15">
        <f>IFERROR(VLOOKUP(T79,V8_COHORT_TABLE,8,FALSE),IFERROR(VLOOKUP(P79&amp;"|"&amp;Q79&amp;"|ALL|"&amp;S79,V8_COHORT_TABLE,8,FALSE),IFERROR(VLOOKUP(P79&amp;"|ALL|ALL|"&amp;S79,V8_COHORT_TABLE,8,FALSE),IFERROR(VLOOKUP(P79&amp;"|ALL|ALL|ALL",V8_COHORT_TABLE,8,FALSE),VLOOKUP("GLOBAL",V8_COHORT_TABLE,8,FALSE)))))</f>
        <v/>
      </c>
      <c r="AE79" s="15">
        <f>IFERROR(VLOOKUP(T79,V8_COHORT_TABLE,9,FALSE),IFERROR(VLOOKUP(P79&amp;"|"&amp;Q79&amp;"|ALL|"&amp;S79,V8_COHORT_TABLE,9,FALSE),IFERROR(VLOOKUP(P79&amp;"|ALL|ALL|"&amp;S79,V8_COHORT_TABLE,9,FALSE),IFERROR(VLOOKUP(P79&amp;"|ALL|ALL|ALL",V8_COHORT_TABLE,9,FALSE),VLOOKUP("GLOBAL",V8_COHORT_TABLE,9,FALSE)))))</f>
        <v/>
      </c>
      <c r="AF79" s="8">
        <f>IF(K79&lt;=0,AB79,IF(K79&gt;=240,AE79,IF(K79&lt;=24,AB79+(K79-0)/24*(AC79-AB79),IF(K79&lt;=96,AC79+(K79-24)/72*(AD79-AC79),AD79+(K79-96)/144*(AE79-AD79)))))</f>
        <v/>
      </c>
      <c r="AG79" s="8">
        <f>IF(IF(OR(L79="",NOT(ISNUMBER(L79))),360,MAX(0,MIN(480,(INT(L79/100)-INT(VALUE(F79)/100))*12+MOD(L79,100)-MOD(VALUE(F79),100))))&gt;0,1+V8_MTY_AMP*MAX(0,(V8_MTY_CUTOFF-(IF(OR(L79="",NOT(ISNUMBER(L79))),360,MAX(0,MIN(480,(INT(L79/100)-INT(VALUE(F79)/100))*12+MOD(L79,100)-MOD(VALUE(F79),100))))))/V8_MTY_CUTOFF),1)</f>
        <v/>
      </c>
      <c r="AH79" s="8">
        <f>IF(AND(IF(OR(M79="",NOT(ISNUMBER(M79))),0,MAX(0,MIN(24,(INT(VALUE(F79)/100)-INT(M79/100))*12+MOD(VALUE(F79),100)-MOD(M79,100))))&gt;0,IF(OR(M79="",NOT(ISNUMBER(M79))),0,MAX(0,MIN(24,(INT(VALUE(F79)/100)-INT(M79/100))*12+MOD(VALUE(F79),100)-MOD(M79,100))))&lt;=12),1+V8_LOCKOUT_AMP*EXP(-(IF(OR(M79="",NOT(ISNUMBER(M79))),0,MAX(0,MIN(24,(INT(VALUE(F79)/100)-INT(M79/100))*12+MOD(VALUE(F79),100)-MOD(M79,100)))))/V8_LOCKOUT_TAU),1)</f>
        <v/>
      </c>
      <c r="AI79" s="8">
        <f>MAX(V8_BURN_FLOOR,1-V8_BURN_SLOPE*MIN(1,MAX(0,O79)))</f>
        <v/>
      </c>
      <c r="AJ79" s="15">
        <f>MIN(AA79*AF79*AG79*AH79*AI79,0.2)</f>
        <v/>
      </c>
      <c r="AK79" s="16">
        <f>1-(1-AJ79)^12</f>
        <v/>
      </c>
    </row>
    <row r="80">
      <c r="A80" s="2" t="inlineStr">
        <is>
          <t>000002311546</t>
        </is>
      </c>
      <c r="B80" t="inlineStr">
        <is>
          <t>223f</t>
        </is>
      </c>
      <c r="C80" t="inlineStr">
        <is>
          <t>RP</t>
        </is>
      </c>
      <c r="D80" t="inlineStr">
        <is>
          <t>WALKER &amp; DUNLOP, LLC</t>
        </is>
      </c>
      <c r="E80" t="n">
        <v>2020</v>
      </c>
      <c r="F80" t="inlineStr">
        <is>
          <t>202602</t>
        </is>
      </c>
      <c r="G80" s="9" t="n">
        <v>5130860.07</v>
      </c>
      <c r="H80" s="13" t="n">
        <v>2.55</v>
      </c>
      <c r="I80" s="14" t="n">
        <v>447</v>
      </c>
      <c r="J80" s="14" t="n">
        <v>5</v>
      </c>
      <c r="K80" t="n">
        <v>68</v>
      </c>
      <c r="L80" t="n">
        <v>205507</v>
      </c>
      <c r="M80" t="inlineStr"/>
      <c r="N80" t="n">
        <v>0</v>
      </c>
      <c r="O80" s="8" t="n">
        <v>0</v>
      </c>
      <c r="P80">
        <f>IF(ISNUMBER(SEARCH("232",B80)),"232",IF(ISNUMBER(SEARCH("538",B80)),"538",IF(ISNUMBER(SEARCH("223a7",B80)),"223a7",IF(ISNUMBER(SEARCH("223f",B80)),"223f","OTHER"))))</f>
        <v/>
      </c>
      <c r="Q80">
        <f>IF(UPPER(C80)="NC","NC","RP")</f>
        <v/>
      </c>
      <c r="R80">
        <f>IF(G80&lt;5000000,"small",IF(G80&lt;25000000,"medium","large"))</f>
        <v/>
      </c>
      <c r="S80">
        <f>IF(K80&lt;36,"young",IF(K80&lt;120,"seasoned","aged"))</f>
        <v/>
      </c>
      <c r="T80">
        <f>P80&amp;"|"&amp;Q80&amp;"|"&amp;R80&amp;"|"&amp;S80</f>
        <v/>
      </c>
      <c r="U80" s="14">
        <f>H80*100-I80</f>
        <v/>
      </c>
      <c r="V80" s="14">
        <f>U80-12.5*(J80+1)</f>
        <v/>
      </c>
      <c r="W80" s="15">
        <f>IFERROR(VLOOKUP(T80,V8_COHORT_TABLE,2,FALSE),IFERROR(VLOOKUP(P80&amp;"|"&amp;Q80&amp;"|ALL|"&amp;S80,V8_COHORT_TABLE,2,FALSE),IFERROR(VLOOKUP(P80&amp;"|ALL|ALL|"&amp;S80,V8_COHORT_TABLE,2,FALSE),IFERROR(VLOOKUP(P80&amp;"|ALL|ALL|ALL",V8_COHORT_TABLE,2,FALSE),VLOOKUP("GLOBAL",V8_COHORT_TABLE,2,FALSE)))))</f>
        <v/>
      </c>
      <c r="X80" s="15">
        <f>IFERROR(VLOOKUP(T80,V8_COHORT_TABLE,3,FALSE),IFERROR(VLOOKUP(P80&amp;"|"&amp;Q80&amp;"|ALL|"&amp;S80,V8_COHORT_TABLE,3,FALSE),IFERROR(VLOOKUP(P80&amp;"|ALL|ALL|"&amp;S80,V8_COHORT_TABLE,3,FALSE),IFERROR(VLOOKUP(P80&amp;"|ALL|ALL|ALL",V8_COHORT_TABLE,3,FALSE),VLOOKUP("GLOBAL",V8_COHORT_TABLE,3,FALSE)))))</f>
        <v/>
      </c>
      <c r="Y80" s="15">
        <f>IFERROR(VLOOKUP(T80,V8_COHORT_TABLE,4,FALSE),IFERROR(VLOOKUP(P80&amp;"|"&amp;Q80&amp;"|ALL|"&amp;S80,V8_COHORT_TABLE,4,FALSE),IFERROR(VLOOKUP(P80&amp;"|ALL|ALL|"&amp;S80,V8_COHORT_TABLE,4,FALSE),IFERROR(VLOOKUP(P80&amp;"|ALL|ALL|ALL",V8_COHORT_TABLE,4,FALSE),VLOOKUP("GLOBAL",V8_COHORT_TABLE,4,FALSE)))))</f>
        <v/>
      </c>
      <c r="Z80" s="15">
        <f>IFERROR(VLOOKUP(T80,V8_COHORT_TABLE,5,FALSE),IFERROR(VLOOKUP(P80&amp;"|"&amp;Q80&amp;"|ALL|"&amp;S80,V8_COHORT_TABLE,5,FALSE),IFERROR(VLOOKUP(P80&amp;"|ALL|ALL|"&amp;S80,V8_COHORT_TABLE,5,FALSE),IFERROR(VLOOKUP(P80&amp;"|ALL|ALL|ALL",V8_COHORT_TABLE,5,FALSE),VLOOKUP("GLOBAL",V8_COHORT_TABLE,5,FALSE)))))</f>
        <v/>
      </c>
      <c r="AA80" s="15">
        <f>W80+X80/(1+EXP(-(V80-Y80)/Z80))</f>
        <v/>
      </c>
      <c r="AB80" s="15">
        <f>IFERROR(VLOOKUP(T80,V8_COHORT_TABLE,6,FALSE),IFERROR(VLOOKUP(P80&amp;"|"&amp;Q80&amp;"|ALL|"&amp;S80,V8_COHORT_TABLE,6,FALSE),IFERROR(VLOOKUP(P80&amp;"|ALL|ALL|"&amp;S80,V8_COHORT_TABLE,6,FALSE),IFERROR(VLOOKUP(P80&amp;"|ALL|ALL|ALL",V8_COHORT_TABLE,6,FALSE),VLOOKUP("GLOBAL",V8_COHORT_TABLE,6,FALSE)))))</f>
        <v/>
      </c>
      <c r="AC80" s="15">
        <f>IFERROR(VLOOKUP(T80,V8_COHORT_TABLE,7,FALSE),IFERROR(VLOOKUP(P80&amp;"|"&amp;Q80&amp;"|ALL|"&amp;S80,V8_COHORT_TABLE,7,FALSE),IFERROR(VLOOKUP(P80&amp;"|ALL|ALL|"&amp;S80,V8_COHORT_TABLE,7,FALSE),IFERROR(VLOOKUP(P80&amp;"|ALL|ALL|ALL",V8_COHORT_TABLE,7,FALSE),VLOOKUP("GLOBAL",V8_COHORT_TABLE,7,FALSE)))))</f>
        <v/>
      </c>
      <c r="AD80" s="15">
        <f>IFERROR(VLOOKUP(T80,V8_COHORT_TABLE,8,FALSE),IFERROR(VLOOKUP(P80&amp;"|"&amp;Q80&amp;"|ALL|"&amp;S80,V8_COHORT_TABLE,8,FALSE),IFERROR(VLOOKUP(P80&amp;"|ALL|ALL|"&amp;S80,V8_COHORT_TABLE,8,FALSE),IFERROR(VLOOKUP(P80&amp;"|ALL|ALL|ALL",V8_COHORT_TABLE,8,FALSE),VLOOKUP("GLOBAL",V8_COHORT_TABLE,8,FALSE)))))</f>
        <v/>
      </c>
      <c r="AE80" s="15">
        <f>IFERROR(VLOOKUP(T80,V8_COHORT_TABLE,9,FALSE),IFERROR(VLOOKUP(P80&amp;"|"&amp;Q80&amp;"|ALL|"&amp;S80,V8_COHORT_TABLE,9,FALSE),IFERROR(VLOOKUP(P80&amp;"|ALL|ALL|"&amp;S80,V8_COHORT_TABLE,9,FALSE),IFERROR(VLOOKUP(P80&amp;"|ALL|ALL|ALL",V8_COHORT_TABLE,9,FALSE),VLOOKUP("GLOBAL",V8_COHORT_TABLE,9,FALSE)))))</f>
        <v/>
      </c>
      <c r="AF80" s="8">
        <f>IF(K80&lt;=0,AB80,IF(K80&gt;=240,AE80,IF(K80&lt;=24,AB80+(K80-0)/24*(AC80-AB80),IF(K80&lt;=96,AC80+(K80-24)/72*(AD80-AC80),AD80+(K80-96)/144*(AE80-AD80)))))</f>
        <v/>
      </c>
      <c r="AG80" s="8">
        <f>IF(IF(OR(L80="",NOT(ISNUMBER(L80))),360,MAX(0,MIN(480,(INT(L80/100)-INT(VALUE(F80)/100))*12+MOD(L80,100)-MOD(VALUE(F80),100))))&gt;0,1+V8_MTY_AMP*MAX(0,(V8_MTY_CUTOFF-(IF(OR(L80="",NOT(ISNUMBER(L80))),360,MAX(0,MIN(480,(INT(L80/100)-INT(VALUE(F80)/100))*12+MOD(L80,100)-MOD(VALUE(F80),100))))))/V8_MTY_CUTOFF),1)</f>
        <v/>
      </c>
      <c r="AH80" s="8">
        <f>IF(AND(IF(OR(M80="",NOT(ISNUMBER(M80))),0,MAX(0,MIN(24,(INT(VALUE(F80)/100)-INT(M80/100))*12+MOD(VALUE(F80),100)-MOD(M80,100))))&gt;0,IF(OR(M80="",NOT(ISNUMBER(M80))),0,MAX(0,MIN(24,(INT(VALUE(F80)/100)-INT(M80/100))*12+MOD(VALUE(F80),100)-MOD(M80,100))))&lt;=12),1+V8_LOCKOUT_AMP*EXP(-(IF(OR(M80="",NOT(ISNUMBER(M80))),0,MAX(0,MIN(24,(INT(VALUE(F80)/100)-INT(M80/100))*12+MOD(VALUE(F80),100)-MOD(M80,100)))))/V8_LOCKOUT_TAU),1)</f>
        <v/>
      </c>
      <c r="AI80" s="8">
        <f>MAX(V8_BURN_FLOOR,1-V8_BURN_SLOPE*MIN(1,MAX(0,O80)))</f>
        <v/>
      </c>
      <c r="AJ80" s="15">
        <f>MIN(AA80*AF80*AG80*AH80*AI80,0.2)</f>
        <v/>
      </c>
      <c r="AK80" s="16">
        <f>1-(1-AJ80)^12</f>
        <v/>
      </c>
    </row>
    <row r="81">
      <c r="A81" s="2" t="inlineStr">
        <is>
          <t>000001711123</t>
        </is>
      </c>
      <c r="B81" t="inlineStr">
        <is>
          <t>223f</t>
        </is>
      </c>
      <c r="C81" t="inlineStr">
        <is>
          <t>RP</t>
        </is>
      </c>
      <c r="D81" t="inlineStr">
        <is>
          <t>WALKER &amp; DUNLOP, LLC</t>
        </is>
      </c>
      <c r="E81" t="n">
        <v>2010</v>
      </c>
      <c r="F81" t="inlineStr">
        <is>
          <t>202602</t>
        </is>
      </c>
      <c r="G81" s="9" t="n">
        <v>1165207.31</v>
      </c>
      <c r="H81" s="13" t="n">
        <v>4.6</v>
      </c>
      <c r="I81" s="14" t="n">
        <v>447</v>
      </c>
      <c r="J81" s="14" t="n">
        <v>0</v>
      </c>
      <c r="K81" t="n">
        <v>189</v>
      </c>
      <c r="L81" t="n">
        <v>204507</v>
      </c>
      <c r="M81" t="n">
        <v>201207</v>
      </c>
      <c r="N81" t="n">
        <v>47</v>
      </c>
      <c r="O81" s="8" t="n">
        <v>0.2486772486772487</v>
      </c>
      <c r="P81">
        <f>IF(ISNUMBER(SEARCH("232",B81)),"232",IF(ISNUMBER(SEARCH("538",B81)),"538",IF(ISNUMBER(SEARCH("223a7",B81)),"223a7",IF(ISNUMBER(SEARCH("223f",B81)),"223f","OTHER"))))</f>
        <v/>
      </c>
      <c r="Q81">
        <f>IF(UPPER(C81)="NC","NC","RP")</f>
        <v/>
      </c>
      <c r="R81">
        <f>IF(G81&lt;5000000,"small",IF(G81&lt;25000000,"medium","large"))</f>
        <v/>
      </c>
      <c r="S81">
        <f>IF(K81&lt;36,"young",IF(K81&lt;120,"seasoned","aged"))</f>
        <v/>
      </c>
      <c r="T81">
        <f>P81&amp;"|"&amp;Q81&amp;"|"&amp;R81&amp;"|"&amp;S81</f>
        <v/>
      </c>
      <c r="U81" s="14">
        <f>H81*100-I81</f>
        <v/>
      </c>
      <c r="V81" s="14">
        <f>U81-12.5*(J81+1)</f>
        <v/>
      </c>
      <c r="W81" s="15">
        <f>IFERROR(VLOOKUP(T81,V8_COHORT_TABLE,2,FALSE),IFERROR(VLOOKUP(P81&amp;"|"&amp;Q81&amp;"|ALL|"&amp;S81,V8_COHORT_TABLE,2,FALSE),IFERROR(VLOOKUP(P81&amp;"|ALL|ALL|"&amp;S81,V8_COHORT_TABLE,2,FALSE),IFERROR(VLOOKUP(P81&amp;"|ALL|ALL|ALL",V8_COHORT_TABLE,2,FALSE),VLOOKUP("GLOBAL",V8_COHORT_TABLE,2,FALSE)))))</f>
        <v/>
      </c>
      <c r="X81" s="15">
        <f>IFERROR(VLOOKUP(T81,V8_COHORT_TABLE,3,FALSE),IFERROR(VLOOKUP(P81&amp;"|"&amp;Q81&amp;"|ALL|"&amp;S81,V8_COHORT_TABLE,3,FALSE),IFERROR(VLOOKUP(P81&amp;"|ALL|ALL|"&amp;S81,V8_COHORT_TABLE,3,FALSE),IFERROR(VLOOKUP(P81&amp;"|ALL|ALL|ALL",V8_COHORT_TABLE,3,FALSE),VLOOKUP("GLOBAL",V8_COHORT_TABLE,3,FALSE)))))</f>
        <v/>
      </c>
      <c r="Y81" s="15">
        <f>IFERROR(VLOOKUP(T81,V8_COHORT_TABLE,4,FALSE),IFERROR(VLOOKUP(P81&amp;"|"&amp;Q81&amp;"|ALL|"&amp;S81,V8_COHORT_TABLE,4,FALSE),IFERROR(VLOOKUP(P81&amp;"|ALL|ALL|"&amp;S81,V8_COHORT_TABLE,4,FALSE),IFERROR(VLOOKUP(P81&amp;"|ALL|ALL|ALL",V8_COHORT_TABLE,4,FALSE),VLOOKUP("GLOBAL",V8_COHORT_TABLE,4,FALSE)))))</f>
        <v/>
      </c>
      <c r="Z81" s="15">
        <f>IFERROR(VLOOKUP(T81,V8_COHORT_TABLE,5,FALSE),IFERROR(VLOOKUP(P81&amp;"|"&amp;Q81&amp;"|ALL|"&amp;S81,V8_COHORT_TABLE,5,FALSE),IFERROR(VLOOKUP(P81&amp;"|ALL|ALL|"&amp;S81,V8_COHORT_TABLE,5,FALSE),IFERROR(VLOOKUP(P81&amp;"|ALL|ALL|ALL",V8_COHORT_TABLE,5,FALSE),VLOOKUP("GLOBAL",V8_COHORT_TABLE,5,FALSE)))))</f>
        <v/>
      </c>
      <c r="AA81" s="15">
        <f>W81+X81/(1+EXP(-(V81-Y81)/Z81))</f>
        <v/>
      </c>
      <c r="AB81" s="15">
        <f>IFERROR(VLOOKUP(T81,V8_COHORT_TABLE,6,FALSE),IFERROR(VLOOKUP(P81&amp;"|"&amp;Q81&amp;"|ALL|"&amp;S81,V8_COHORT_TABLE,6,FALSE),IFERROR(VLOOKUP(P81&amp;"|ALL|ALL|"&amp;S81,V8_COHORT_TABLE,6,FALSE),IFERROR(VLOOKUP(P81&amp;"|ALL|ALL|ALL",V8_COHORT_TABLE,6,FALSE),VLOOKUP("GLOBAL",V8_COHORT_TABLE,6,FALSE)))))</f>
        <v/>
      </c>
      <c r="AC81" s="15">
        <f>IFERROR(VLOOKUP(T81,V8_COHORT_TABLE,7,FALSE),IFERROR(VLOOKUP(P81&amp;"|"&amp;Q81&amp;"|ALL|"&amp;S81,V8_COHORT_TABLE,7,FALSE),IFERROR(VLOOKUP(P81&amp;"|ALL|ALL|"&amp;S81,V8_COHORT_TABLE,7,FALSE),IFERROR(VLOOKUP(P81&amp;"|ALL|ALL|ALL",V8_COHORT_TABLE,7,FALSE),VLOOKUP("GLOBAL",V8_COHORT_TABLE,7,FALSE)))))</f>
        <v/>
      </c>
      <c r="AD81" s="15">
        <f>IFERROR(VLOOKUP(T81,V8_COHORT_TABLE,8,FALSE),IFERROR(VLOOKUP(P81&amp;"|"&amp;Q81&amp;"|ALL|"&amp;S81,V8_COHORT_TABLE,8,FALSE),IFERROR(VLOOKUP(P81&amp;"|ALL|ALL|"&amp;S81,V8_COHORT_TABLE,8,FALSE),IFERROR(VLOOKUP(P81&amp;"|ALL|ALL|ALL",V8_COHORT_TABLE,8,FALSE),VLOOKUP("GLOBAL",V8_COHORT_TABLE,8,FALSE)))))</f>
        <v/>
      </c>
      <c r="AE81" s="15">
        <f>IFERROR(VLOOKUP(T81,V8_COHORT_TABLE,9,FALSE),IFERROR(VLOOKUP(P81&amp;"|"&amp;Q81&amp;"|ALL|"&amp;S81,V8_COHORT_TABLE,9,FALSE),IFERROR(VLOOKUP(P81&amp;"|ALL|ALL|"&amp;S81,V8_COHORT_TABLE,9,FALSE),IFERROR(VLOOKUP(P81&amp;"|ALL|ALL|ALL",V8_COHORT_TABLE,9,FALSE),VLOOKUP("GLOBAL",V8_COHORT_TABLE,9,FALSE)))))</f>
        <v/>
      </c>
      <c r="AF81" s="8">
        <f>IF(K81&lt;=0,AB81,IF(K81&gt;=240,AE81,IF(K81&lt;=24,AB81+(K81-0)/24*(AC81-AB81),IF(K81&lt;=96,AC81+(K81-24)/72*(AD81-AC81),AD81+(K81-96)/144*(AE81-AD81)))))</f>
        <v/>
      </c>
      <c r="AG81" s="8">
        <f>IF(IF(OR(L81="",NOT(ISNUMBER(L81))),360,MAX(0,MIN(480,(INT(L81/100)-INT(VALUE(F81)/100))*12+MOD(L81,100)-MOD(VALUE(F81),100))))&gt;0,1+V8_MTY_AMP*MAX(0,(V8_MTY_CUTOFF-(IF(OR(L81="",NOT(ISNUMBER(L81))),360,MAX(0,MIN(480,(INT(L81/100)-INT(VALUE(F81)/100))*12+MOD(L81,100)-MOD(VALUE(F81),100))))))/V8_MTY_CUTOFF),1)</f>
        <v/>
      </c>
      <c r="AH81" s="8">
        <f>IF(AND(IF(OR(M81="",NOT(ISNUMBER(M81))),0,MAX(0,MIN(24,(INT(VALUE(F81)/100)-INT(M81/100))*12+MOD(VALUE(F81),100)-MOD(M81,100))))&gt;0,IF(OR(M81="",NOT(ISNUMBER(M81))),0,MAX(0,MIN(24,(INT(VALUE(F81)/100)-INT(M81/100))*12+MOD(VALUE(F81),100)-MOD(M81,100))))&lt;=12),1+V8_LOCKOUT_AMP*EXP(-(IF(OR(M81="",NOT(ISNUMBER(M81))),0,MAX(0,MIN(24,(INT(VALUE(F81)/100)-INT(M81/100))*12+MOD(VALUE(F81),100)-MOD(M81,100)))))/V8_LOCKOUT_TAU),1)</f>
        <v/>
      </c>
      <c r="AI81" s="8">
        <f>MAX(V8_BURN_FLOOR,1-V8_BURN_SLOPE*MIN(1,MAX(0,O81)))</f>
        <v/>
      </c>
      <c r="AJ81" s="15">
        <f>MIN(AA81*AF81*AG81*AH81*AI81,0.2)</f>
        <v/>
      </c>
      <c r="AK81" s="16">
        <f>1-(1-AJ81)^12</f>
        <v/>
      </c>
    </row>
    <row r="82">
      <c r="A82" s="2" t="inlineStr">
        <is>
          <t>000008111083</t>
        </is>
      </c>
      <c r="B82" t="inlineStr">
        <is>
          <t>223f</t>
        </is>
      </c>
      <c r="C82" t="inlineStr">
        <is>
          <t>RP</t>
        </is>
      </c>
      <c r="D82" t="inlineStr">
        <is>
          <t>WALKER &amp; DUNLOP, LLC</t>
        </is>
      </c>
      <c r="E82" t="n">
        <v>2013</v>
      </c>
      <c r="F82" t="inlineStr">
        <is>
          <t>202602</t>
        </is>
      </c>
      <c r="G82" s="9" t="n">
        <v>696510.77</v>
      </c>
      <c r="H82" s="13" t="n">
        <v>2.97</v>
      </c>
      <c r="I82" s="14" t="n">
        <v>447</v>
      </c>
      <c r="J82" s="14" t="n">
        <v>0</v>
      </c>
      <c r="K82" t="n">
        <v>152</v>
      </c>
      <c r="L82" t="n">
        <v>204307</v>
      </c>
      <c r="M82" t="inlineStr"/>
      <c r="N82" t="n">
        <v>27</v>
      </c>
      <c r="O82" s="8" t="n">
        <v>0.1776315789473684</v>
      </c>
      <c r="P82">
        <f>IF(ISNUMBER(SEARCH("232",B82)),"232",IF(ISNUMBER(SEARCH("538",B82)),"538",IF(ISNUMBER(SEARCH("223a7",B82)),"223a7",IF(ISNUMBER(SEARCH("223f",B82)),"223f","OTHER"))))</f>
        <v/>
      </c>
      <c r="Q82">
        <f>IF(UPPER(C82)="NC","NC","RP")</f>
        <v/>
      </c>
      <c r="R82">
        <f>IF(G82&lt;5000000,"small",IF(G82&lt;25000000,"medium","large"))</f>
        <v/>
      </c>
      <c r="S82">
        <f>IF(K82&lt;36,"young",IF(K82&lt;120,"seasoned","aged"))</f>
        <v/>
      </c>
      <c r="T82">
        <f>P82&amp;"|"&amp;Q82&amp;"|"&amp;R82&amp;"|"&amp;S82</f>
        <v/>
      </c>
      <c r="U82" s="14">
        <f>H82*100-I82</f>
        <v/>
      </c>
      <c r="V82" s="14">
        <f>U82-12.5*(J82+1)</f>
        <v/>
      </c>
      <c r="W82" s="15">
        <f>IFERROR(VLOOKUP(T82,V8_COHORT_TABLE,2,FALSE),IFERROR(VLOOKUP(P82&amp;"|"&amp;Q82&amp;"|ALL|"&amp;S82,V8_COHORT_TABLE,2,FALSE),IFERROR(VLOOKUP(P82&amp;"|ALL|ALL|"&amp;S82,V8_COHORT_TABLE,2,FALSE),IFERROR(VLOOKUP(P82&amp;"|ALL|ALL|ALL",V8_COHORT_TABLE,2,FALSE),VLOOKUP("GLOBAL",V8_COHORT_TABLE,2,FALSE)))))</f>
        <v/>
      </c>
      <c r="X82" s="15">
        <f>IFERROR(VLOOKUP(T82,V8_COHORT_TABLE,3,FALSE),IFERROR(VLOOKUP(P82&amp;"|"&amp;Q82&amp;"|ALL|"&amp;S82,V8_COHORT_TABLE,3,FALSE),IFERROR(VLOOKUP(P82&amp;"|ALL|ALL|"&amp;S82,V8_COHORT_TABLE,3,FALSE),IFERROR(VLOOKUP(P82&amp;"|ALL|ALL|ALL",V8_COHORT_TABLE,3,FALSE),VLOOKUP("GLOBAL",V8_COHORT_TABLE,3,FALSE)))))</f>
        <v/>
      </c>
      <c r="Y82" s="15">
        <f>IFERROR(VLOOKUP(T82,V8_COHORT_TABLE,4,FALSE),IFERROR(VLOOKUP(P82&amp;"|"&amp;Q82&amp;"|ALL|"&amp;S82,V8_COHORT_TABLE,4,FALSE),IFERROR(VLOOKUP(P82&amp;"|ALL|ALL|"&amp;S82,V8_COHORT_TABLE,4,FALSE),IFERROR(VLOOKUP(P82&amp;"|ALL|ALL|ALL",V8_COHORT_TABLE,4,FALSE),VLOOKUP("GLOBAL",V8_COHORT_TABLE,4,FALSE)))))</f>
        <v/>
      </c>
      <c r="Z82" s="15">
        <f>IFERROR(VLOOKUP(T82,V8_COHORT_TABLE,5,FALSE),IFERROR(VLOOKUP(P82&amp;"|"&amp;Q82&amp;"|ALL|"&amp;S82,V8_COHORT_TABLE,5,FALSE),IFERROR(VLOOKUP(P82&amp;"|ALL|ALL|"&amp;S82,V8_COHORT_TABLE,5,FALSE),IFERROR(VLOOKUP(P82&amp;"|ALL|ALL|ALL",V8_COHORT_TABLE,5,FALSE),VLOOKUP("GLOBAL",V8_COHORT_TABLE,5,FALSE)))))</f>
        <v/>
      </c>
      <c r="AA82" s="15">
        <f>W82+X82/(1+EXP(-(V82-Y82)/Z82))</f>
        <v/>
      </c>
      <c r="AB82" s="15">
        <f>IFERROR(VLOOKUP(T82,V8_COHORT_TABLE,6,FALSE),IFERROR(VLOOKUP(P82&amp;"|"&amp;Q82&amp;"|ALL|"&amp;S82,V8_COHORT_TABLE,6,FALSE),IFERROR(VLOOKUP(P82&amp;"|ALL|ALL|"&amp;S82,V8_COHORT_TABLE,6,FALSE),IFERROR(VLOOKUP(P82&amp;"|ALL|ALL|ALL",V8_COHORT_TABLE,6,FALSE),VLOOKUP("GLOBAL",V8_COHORT_TABLE,6,FALSE)))))</f>
        <v/>
      </c>
      <c r="AC82" s="15">
        <f>IFERROR(VLOOKUP(T82,V8_COHORT_TABLE,7,FALSE),IFERROR(VLOOKUP(P82&amp;"|"&amp;Q82&amp;"|ALL|"&amp;S82,V8_COHORT_TABLE,7,FALSE),IFERROR(VLOOKUP(P82&amp;"|ALL|ALL|"&amp;S82,V8_COHORT_TABLE,7,FALSE),IFERROR(VLOOKUP(P82&amp;"|ALL|ALL|ALL",V8_COHORT_TABLE,7,FALSE),VLOOKUP("GLOBAL",V8_COHORT_TABLE,7,FALSE)))))</f>
        <v/>
      </c>
      <c r="AD82" s="15">
        <f>IFERROR(VLOOKUP(T82,V8_COHORT_TABLE,8,FALSE),IFERROR(VLOOKUP(P82&amp;"|"&amp;Q82&amp;"|ALL|"&amp;S82,V8_COHORT_TABLE,8,FALSE),IFERROR(VLOOKUP(P82&amp;"|ALL|ALL|"&amp;S82,V8_COHORT_TABLE,8,FALSE),IFERROR(VLOOKUP(P82&amp;"|ALL|ALL|ALL",V8_COHORT_TABLE,8,FALSE),VLOOKUP("GLOBAL",V8_COHORT_TABLE,8,FALSE)))))</f>
        <v/>
      </c>
      <c r="AE82" s="15">
        <f>IFERROR(VLOOKUP(T82,V8_COHORT_TABLE,9,FALSE),IFERROR(VLOOKUP(P82&amp;"|"&amp;Q82&amp;"|ALL|"&amp;S82,V8_COHORT_TABLE,9,FALSE),IFERROR(VLOOKUP(P82&amp;"|ALL|ALL|"&amp;S82,V8_COHORT_TABLE,9,FALSE),IFERROR(VLOOKUP(P82&amp;"|ALL|ALL|ALL",V8_COHORT_TABLE,9,FALSE),VLOOKUP("GLOBAL",V8_COHORT_TABLE,9,FALSE)))))</f>
        <v/>
      </c>
      <c r="AF82" s="8">
        <f>IF(K82&lt;=0,AB82,IF(K82&gt;=240,AE82,IF(K82&lt;=24,AB82+(K82-0)/24*(AC82-AB82),IF(K82&lt;=96,AC82+(K82-24)/72*(AD82-AC82),AD82+(K82-96)/144*(AE82-AD82)))))</f>
        <v/>
      </c>
      <c r="AG82" s="8">
        <f>IF(IF(OR(L82="",NOT(ISNUMBER(L82))),360,MAX(0,MIN(480,(INT(L82/100)-INT(VALUE(F82)/100))*12+MOD(L82,100)-MOD(VALUE(F82),100))))&gt;0,1+V8_MTY_AMP*MAX(0,(V8_MTY_CUTOFF-(IF(OR(L82="",NOT(ISNUMBER(L82))),360,MAX(0,MIN(480,(INT(L82/100)-INT(VALUE(F82)/100))*12+MOD(L82,100)-MOD(VALUE(F82),100))))))/V8_MTY_CUTOFF),1)</f>
        <v/>
      </c>
      <c r="AH82" s="8">
        <f>IF(AND(IF(OR(M82="",NOT(ISNUMBER(M82))),0,MAX(0,MIN(24,(INT(VALUE(F82)/100)-INT(M82/100))*12+MOD(VALUE(F82),100)-MOD(M82,100))))&gt;0,IF(OR(M82="",NOT(ISNUMBER(M82))),0,MAX(0,MIN(24,(INT(VALUE(F82)/100)-INT(M82/100))*12+MOD(VALUE(F82),100)-MOD(M82,100))))&lt;=12),1+V8_LOCKOUT_AMP*EXP(-(IF(OR(M82="",NOT(ISNUMBER(M82))),0,MAX(0,MIN(24,(INT(VALUE(F82)/100)-INT(M82/100))*12+MOD(VALUE(F82),100)-MOD(M82,100)))))/V8_LOCKOUT_TAU),1)</f>
        <v/>
      </c>
      <c r="AI82" s="8">
        <f>MAX(V8_BURN_FLOOR,1-V8_BURN_SLOPE*MIN(1,MAX(0,O82)))</f>
        <v/>
      </c>
      <c r="AJ82" s="15">
        <f>MIN(AA82*AF82*AG82*AH82*AI82,0.2)</f>
        <v/>
      </c>
      <c r="AK82" s="16">
        <f>1-(1-AJ82)^12</f>
        <v/>
      </c>
    </row>
    <row r="83">
      <c r="A83" s="2" t="inlineStr">
        <is>
          <t>000005138032</t>
        </is>
      </c>
      <c r="B83" t="inlineStr">
        <is>
          <t>OTHER</t>
        </is>
      </c>
      <c r="C83" t="inlineStr">
        <is>
          <t>OTHER</t>
        </is>
      </c>
      <c r="D83" t="inlineStr">
        <is>
          <t>WALKER &amp; DUNLOP, LLC</t>
        </is>
      </c>
      <c r="E83" t="n">
        <v>2022</v>
      </c>
      <c r="F83" t="inlineStr">
        <is>
          <t>202602</t>
        </is>
      </c>
      <c r="G83" s="9" t="n">
        <v>31181676.4</v>
      </c>
      <c r="H83" s="13" t="n">
        <v>3.15</v>
      </c>
      <c r="I83" s="14" t="n">
        <v>447</v>
      </c>
      <c r="J83" s="14" t="n">
        <v>9</v>
      </c>
      <c r="K83" t="n">
        <v>45</v>
      </c>
      <c r="L83" t="n">
        <v>206406</v>
      </c>
      <c r="M83" t="inlineStr"/>
      <c r="N83" t="n">
        <v>0</v>
      </c>
      <c r="O83" s="8" t="n">
        <v>0</v>
      </c>
      <c r="P83">
        <f>IF(ISNUMBER(SEARCH("232",B83)),"232",IF(ISNUMBER(SEARCH("538",B83)),"538",IF(ISNUMBER(SEARCH("223a7",B83)),"223a7",IF(ISNUMBER(SEARCH("223f",B83)),"223f","OTHER"))))</f>
        <v/>
      </c>
      <c r="Q83">
        <f>IF(UPPER(C83)="NC","NC","RP")</f>
        <v/>
      </c>
      <c r="R83">
        <f>IF(G83&lt;5000000,"small",IF(G83&lt;25000000,"medium","large"))</f>
        <v/>
      </c>
      <c r="S83">
        <f>IF(K83&lt;36,"young",IF(K83&lt;120,"seasoned","aged"))</f>
        <v/>
      </c>
      <c r="T83">
        <f>P83&amp;"|"&amp;Q83&amp;"|"&amp;R83&amp;"|"&amp;S83</f>
        <v/>
      </c>
      <c r="U83" s="14">
        <f>H83*100-I83</f>
        <v/>
      </c>
      <c r="V83" s="14">
        <f>U83-12.5*(J83+1)</f>
        <v/>
      </c>
      <c r="W83" s="15">
        <f>IFERROR(VLOOKUP(T83,V8_COHORT_TABLE,2,FALSE),IFERROR(VLOOKUP(P83&amp;"|"&amp;Q83&amp;"|ALL|"&amp;S83,V8_COHORT_TABLE,2,FALSE),IFERROR(VLOOKUP(P83&amp;"|ALL|ALL|"&amp;S83,V8_COHORT_TABLE,2,FALSE),IFERROR(VLOOKUP(P83&amp;"|ALL|ALL|ALL",V8_COHORT_TABLE,2,FALSE),VLOOKUP("GLOBAL",V8_COHORT_TABLE,2,FALSE)))))</f>
        <v/>
      </c>
      <c r="X83" s="15">
        <f>IFERROR(VLOOKUP(T83,V8_COHORT_TABLE,3,FALSE),IFERROR(VLOOKUP(P83&amp;"|"&amp;Q83&amp;"|ALL|"&amp;S83,V8_COHORT_TABLE,3,FALSE),IFERROR(VLOOKUP(P83&amp;"|ALL|ALL|"&amp;S83,V8_COHORT_TABLE,3,FALSE),IFERROR(VLOOKUP(P83&amp;"|ALL|ALL|ALL",V8_COHORT_TABLE,3,FALSE),VLOOKUP("GLOBAL",V8_COHORT_TABLE,3,FALSE)))))</f>
        <v/>
      </c>
      <c r="Y83" s="15">
        <f>IFERROR(VLOOKUP(T83,V8_COHORT_TABLE,4,FALSE),IFERROR(VLOOKUP(P83&amp;"|"&amp;Q83&amp;"|ALL|"&amp;S83,V8_COHORT_TABLE,4,FALSE),IFERROR(VLOOKUP(P83&amp;"|ALL|ALL|"&amp;S83,V8_COHORT_TABLE,4,FALSE),IFERROR(VLOOKUP(P83&amp;"|ALL|ALL|ALL",V8_COHORT_TABLE,4,FALSE),VLOOKUP("GLOBAL",V8_COHORT_TABLE,4,FALSE)))))</f>
        <v/>
      </c>
      <c r="Z83" s="15">
        <f>IFERROR(VLOOKUP(T83,V8_COHORT_TABLE,5,FALSE),IFERROR(VLOOKUP(P83&amp;"|"&amp;Q83&amp;"|ALL|"&amp;S83,V8_COHORT_TABLE,5,FALSE),IFERROR(VLOOKUP(P83&amp;"|ALL|ALL|"&amp;S83,V8_COHORT_TABLE,5,FALSE),IFERROR(VLOOKUP(P83&amp;"|ALL|ALL|ALL",V8_COHORT_TABLE,5,FALSE),VLOOKUP("GLOBAL",V8_COHORT_TABLE,5,FALSE)))))</f>
        <v/>
      </c>
      <c r="AA83" s="15">
        <f>W83+X83/(1+EXP(-(V83-Y83)/Z83))</f>
        <v/>
      </c>
      <c r="AB83" s="15">
        <f>IFERROR(VLOOKUP(T83,V8_COHORT_TABLE,6,FALSE),IFERROR(VLOOKUP(P83&amp;"|"&amp;Q83&amp;"|ALL|"&amp;S83,V8_COHORT_TABLE,6,FALSE),IFERROR(VLOOKUP(P83&amp;"|ALL|ALL|"&amp;S83,V8_COHORT_TABLE,6,FALSE),IFERROR(VLOOKUP(P83&amp;"|ALL|ALL|ALL",V8_COHORT_TABLE,6,FALSE),VLOOKUP("GLOBAL",V8_COHORT_TABLE,6,FALSE)))))</f>
        <v/>
      </c>
      <c r="AC83" s="15">
        <f>IFERROR(VLOOKUP(T83,V8_COHORT_TABLE,7,FALSE),IFERROR(VLOOKUP(P83&amp;"|"&amp;Q83&amp;"|ALL|"&amp;S83,V8_COHORT_TABLE,7,FALSE),IFERROR(VLOOKUP(P83&amp;"|ALL|ALL|"&amp;S83,V8_COHORT_TABLE,7,FALSE),IFERROR(VLOOKUP(P83&amp;"|ALL|ALL|ALL",V8_COHORT_TABLE,7,FALSE),VLOOKUP("GLOBAL",V8_COHORT_TABLE,7,FALSE)))))</f>
        <v/>
      </c>
      <c r="AD83" s="15">
        <f>IFERROR(VLOOKUP(T83,V8_COHORT_TABLE,8,FALSE),IFERROR(VLOOKUP(P83&amp;"|"&amp;Q83&amp;"|ALL|"&amp;S83,V8_COHORT_TABLE,8,FALSE),IFERROR(VLOOKUP(P83&amp;"|ALL|ALL|"&amp;S83,V8_COHORT_TABLE,8,FALSE),IFERROR(VLOOKUP(P83&amp;"|ALL|ALL|ALL",V8_COHORT_TABLE,8,FALSE),VLOOKUP("GLOBAL",V8_COHORT_TABLE,8,FALSE)))))</f>
        <v/>
      </c>
      <c r="AE83" s="15">
        <f>IFERROR(VLOOKUP(T83,V8_COHORT_TABLE,9,FALSE),IFERROR(VLOOKUP(P83&amp;"|"&amp;Q83&amp;"|ALL|"&amp;S83,V8_COHORT_TABLE,9,FALSE),IFERROR(VLOOKUP(P83&amp;"|ALL|ALL|"&amp;S83,V8_COHORT_TABLE,9,FALSE),IFERROR(VLOOKUP(P83&amp;"|ALL|ALL|ALL",V8_COHORT_TABLE,9,FALSE),VLOOKUP("GLOBAL",V8_COHORT_TABLE,9,FALSE)))))</f>
        <v/>
      </c>
      <c r="AF83" s="8">
        <f>IF(K83&lt;=0,AB83,IF(K83&gt;=240,AE83,IF(K83&lt;=24,AB83+(K83-0)/24*(AC83-AB83),IF(K83&lt;=96,AC83+(K83-24)/72*(AD83-AC83),AD83+(K83-96)/144*(AE83-AD83)))))</f>
        <v/>
      </c>
      <c r="AG83" s="8">
        <f>IF(IF(OR(L83="",NOT(ISNUMBER(L83))),360,MAX(0,MIN(480,(INT(L83/100)-INT(VALUE(F83)/100))*12+MOD(L83,100)-MOD(VALUE(F83),100))))&gt;0,1+V8_MTY_AMP*MAX(0,(V8_MTY_CUTOFF-(IF(OR(L83="",NOT(ISNUMBER(L83))),360,MAX(0,MIN(480,(INT(L83/100)-INT(VALUE(F83)/100))*12+MOD(L83,100)-MOD(VALUE(F83),100))))))/V8_MTY_CUTOFF),1)</f>
        <v/>
      </c>
      <c r="AH83" s="8">
        <f>IF(AND(IF(OR(M83="",NOT(ISNUMBER(M83))),0,MAX(0,MIN(24,(INT(VALUE(F83)/100)-INT(M83/100))*12+MOD(VALUE(F83),100)-MOD(M83,100))))&gt;0,IF(OR(M83="",NOT(ISNUMBER(M83))),0,MAX(0,MIN(24,(INT(VALUE(F83)/100)-INT(M83/100))*12+MOD(VALUE(F83),100)-MOD(M83,100))))&lt;=12),1+V8_LOCKOUT_AMP*EXP(-(IF(OR(M83="",NOT(ISNUMBER(M83))),0,MAX(0,MIN(24,(INT(VALUE(F83)/100)-INT(M83/100))*12+MOD(VALUE(F83),100)-MOD(M83,100)))))/V8_LOCKOUT_TAU),1)</f>
        <v/>
      </c>
      <c r="AI83" s="8">
        <f>MAX(V8_BURN_FLOOR,1-V8_BURN_SLOPE*MIN(1,MAX(0,O83)))</f>
        <v/>
      </c>
      <c r="AJ83" s="15">
        <f>MIN(AA83*AF83*AG83*AH83*AI83,0.2)</f>
        <v/>
      </c>
      <c r="AK83" s="16">
        <f>1-(1-AJ83)^12</f>
        <v/>
      </c>
    </row>
    <row r="84">
      <c r="A84" s="2" t="inlineStr">
        <is>
          <t>000012711174</t>
        </is>
      </c>
      <c r="B84" t="inlineStr">
        <is>
          <t>223f</t>
        </is>
      </c>
      <c r="C84" t="inlineStr">
        <is>
          <t>RP</t>
        </is>
      </c>
      <c r="D84" t="inlineStr">
        <is>
          <t>WALKER &amp; DUNLOP, LLC</t>
        </is>
      </c>
      <c r="E84" t="n">
        <v>2012</v>
      </c>
      <c r="F84" t="inlineStr">
        <is>
          <t>202602</t>
        </is>
      </c>
      <c r="G84" s="9" t="n">
        <v>1897260.93</v>
      </c>
      <c r="H84" s="13" t="n">
        <v>3.35</v>
      </c>
      <c r="I84" s="14" t="n">
        <v>447</v>
      </c>
      <c r="J84" s="14" t="n">
        <v>0</v>
      </c>
      <c r="K84" t="n">
        <v>163</v>
      </c>
      <c r="L84" t="n">
        <v>204708</v>
      </c>
      <c r="M84" t="n">
        <v>201409</v>
      </c>
      <c r="N84" t="n">
        <v>33</v>
      </c>
      <c r="O84" s="8" t="n">
        <v>0.2024539877300613</v>
      </c>
      <c r="P84">
        <f>IF(ISNUMBER(SEARCH("232",B84)),"232",IF(ISNUMBER(SEARCH("538",B84)),"538",IF(ISNUMBER(SEARCH("223a7",B84)),"223a7",IF(ISNUMBER(SEARCH("223f",B84)),"223f","OTHER"))))</f>
        <v/>
      </c>
      <c r="Q84">
        <f>IF(UPPER(C84)="NC","NC","RP")</f>
        <v/>
      </c>
      <c r="R84">
        <f>IF(G84&lt;5000000,"small",IF(G84&lt;25000000,"medium","large"))</f>
        <v/>
      </c>
      <c r="S84">
        <f>IF(K84&lt;36,"young",IF(K84&lt;120,"seasoned","aged"))</f>
        <v/>
      </c>
      <c r="T84">
        <f>P84&amp;"|"&amp;Q84&amp;"|"&amp;R84&amp;"|"&amp;S84</f>
        <v/>
      </c>
      <c r="U84" s="14">
        <f>H84*100-I84</f>
        <v/>
      </c>
      <c r="V84" s="14">
        <f>U84-12.5*(J84+1)</f>
        <v/>
      </c>
      <c r="W84" s="15">
        <f>IFERROR(VLOOKUP(T84,V8_COHORT_TABLE,2,FALSE),IFERROR(VLOOKUP(P84&amp;"|"&amp;Q84&amp;"|ALL|"&amp;S84,V8_COHORT_TABLE,2,FALSE),IFERROR(VLOOKUP(P84&amp;"|ALL|ALL|"&amp;S84,V8_COHORT_TABLE,2,FALSE),IFERROR(VLOOKUP(P84&amp;"|ALL|ALL|ALL",V8_COHORT_TABLE,2,FALSE),VLOOKUP("GLOBAL",V8_COHORT_TABLE,2,FALSE)))))</f>
        <v/>
      </c>
      <c r="X84" s="15">
        <f>IFERROR(VLOOKUP(T84,V8_COHORT_TABLE,3,FALSE),IFERROR(VLOOKUP(P84&amp;"|"&amp;Q84&amp;"|ALL|"&amp;S84,V8_COHORT_TABLE,3,FALSE),IFERROR(VLOOKUP(P84&amp;"|ALL|ALL|"&amp;S84,V8_COHORT_TABLE,3,FALSE),IFERROR(VLOOKUP(P84&amp;"|ALL|ALL|ALL",V8_COHORT_TABLE,3,FALSE),VLOOKUP("GLOBAL",V8_COHORT_TABLE,3,FALSE)))))</f>
        <v/>
      </c>
      <c r="Y84" s="15">
        <f>IFERROR(VLOOKUP(T84,V8_COHORT_TABLE,4,FALSE),IFERROR(VLOOKUP(P84&amp;"|"&amp;Q84&amp;"|ALL|"&amp;S84,V8_COHORT_TABLE,4,FALSE),IFERROR(VLOOKUP(P84&amp;"|ALL|ALL|"&amp;S84,V8_COHORT_TABLE,4,FALSE),IFERROR(VLOOKUP(P84&amp;"|ALL|ALL|ALL",V8_COHORT_TABLE,4,FALSE),VLOOKUP("GLOBAL",V8_COHORT_TABLE,4,FALSE)))))</f>
        <v/>
      </c>
      <c r="Z84" s="15">
        <f>IFERROR(VLOOKUP(T84,V8_COHORT_TABLE,5,FALSE),IFERROR(VLOOKUP(P84&amp;"|"&amp;Q84&amp;"|ALL|"&amp;S84,V8_COHORT_TABLE,5,FALSE),IFERROR(VLOOKUP(P84&amp;"|ALL|ALL|"&amp;S84,V8_COHORT_TABLE,5,FALSE),IFERROR(VLOOKUP(P84&amp;"|ALL|ALL|ALL",V8_COHORT_TABLE,5,FALSE),VLOOKUP("GLOBAL",V8_COHORT_TABLE,5,FALSE)))))</f>
        <v/>
      </c>
      <c r="AA84" s="15">
        <f>W84+X84/(1+EXP(-(V84-Y84)/Z84))</f>
        <v/>
      </c>
      <c r="AB84" s="15">
        <f>IFERROR(VLOOKUP(T84,V8_COHORT_TABLE,6,FALSE),IFERROR(VLOOKUP(P84&amp;"|"&amp;Q84&amp;"|ALL|"&amp;S84,V8_COHORT_TABLE,6,FALSE),IFERROR(VLOOKUP(P84&amp;"|ALL|ALL|"&amp;S84,V8_COHORT_TABLE,6,FALSE),IFERROR(VLOOKUP(P84&amp;"|ALL|ALL|ALL",V8_COHORT_TABLE,6,FALSE),VLOOKUP("GLOBAL",V8_COHORT_TABLE,6,FALSE)))))</f>
        <v/>
      </c>
      <c r="AC84" s="15">
        <f>IFERROR(VLOOKUP(T84,V8_COHORT_TABLE,7,FALSE),IFERROR(VLOOKUP(P84&amp;"|"&amp;Q84&amp;"|ALL|"&amp;S84,V8_COHORT_TABLE,7,FALSE),IFERROR(VLOOKUP(P84&amp;"|ALL|ALL|"&amp;S84,V8_COHORT_TABLE,7,FALSE),IFERROR(VLOOKUP(P84&amp;"|ALL|ALL|ALL",V8_COHORT_TABLE,7,FALSE),VLOOKUP("GLOBAL",V8_COHORT_TABLE,7,FALSE)))))</f>
        <v/>
      </c>
      <c r="AD84" s="15">
        <f>IFERROR(VLOOKUP(T84,V8_COHORT_TABLE,8,FALSE),IFERROR(VLOOKUP(P84&amp;"|"&amp;Q84&amp;"|ALL|"&amp;S84,V8_COHORT_TABLE,8,FALSE),IFERROR(VLOOKUP(P84&amp;"|ALL|ALL|"&amp;S84,V8_COHORT_TABLE,8,FALSE),IFERROR(VLOOKUP(P84&amp;"|ALL|ALL|ALL",V8_COHORT_TABLE,8,FALSE),VLOOKUP("GLOBAL",V8_COHORT_TABLE,8,FALSE)))))</f>
        <v/>
      </c>
      <c r="AE84" s="15">
        <f>IFERROR(VLOOKUP(T84,V8_COHORT_TABLE,9,FALSE),IFERROR(VLOOKUP(P84&amp;"|"&amp;Q84&amp;"|ALL|"&amp;S84,V8_COHORT_TABLE,9,FALSE),IFERROR(VLOOKUP(P84&amp;"|ALL|ALL|"&amp;S84,V8_COHORT_TABLE,9,FALSE),IFERROR(VLOOKUP(P84&amp;"|ALL|ALL|ALL",V8_COHORT_TABLE,9,FALSE),VLOOKUP("GLOBAL",V8_COHORT_TABLE,9,FALSE)))))</f>
        <v/>
      </c>
      <c r="AF84" s="8">
        <f>IF(K84&lt;=0,AB84,IF(K84&gt;=240,AE84,IF(K84&lt;=24,AB84+(K84-0)/24*(AC84-AB84),IF(K84&lt;=96,AC84+(K84-24)/72*(AD84-AC84),AD84+(K84-96)/144*(AE84-AD84)))))</f>
        <v/>
      </c>
      <c r="AG84" s="8">
        <f>IF(IF(OR(L84="",NOT(ISNUMBER(L84))),360,MAX(0,MIN(480,(INT(L84/100)-INT(VALUE(F84)/100))*12+MOD(L84,100)-MOD(VALUE(F84),100))))&gt;0,1+V8_MTY_AMP*MAX(0,(V8_MTY_CUTOFF-(IF(OR(L84="",NOT(ISNUMBER(L84))),360,MAX(0,MIN(480,(INT(L84/100)-INT(VALUE(F84)/100))*12+MOD(L84,100)-MOD(VALUE(F84),100))))))/V8_MTY_CUTOFF),1)</f>
        <v/>
      </c>
      <c r="AH84" s="8">
        <f>IF(AND(IF(OR(M84="",NOT(ISNUMBER(M84))),0,MAX(0,MIN(24,(INT(VALUE(F84)/100)-INT(M84/100))*12+MOD(VALUE(F84),100)-MOD(M84,100))))&gt;0,IF(OR(M84="",NOT(ISNUMBER(M84))),0,MAX(0,MIN(24,(INT(VALUE(F84)/100)-INT(M84/100))*12+MOD(VALUE(F84),100)-MOD(M84,100))))&lt;=12),1+V8_LOCKOUT_AMP*EXP(-(IF(OR(M84="",NOT(ISNUMBER(M84))),0,MAX(0,MIN(24,(INT(VALUE(F84)/100)-INT(M84/100))*12+MOD(VALUE(F84),100)-MOD(M84,100)))))/V8_LOCKOUT_TAU),1)</f>
        <v/>
      </c>
      <c r="AI84" s="8">
        <f>MAX(V8_BURN_FLOOR,1-V8_BURN_SLOPE*MIN(1,MAX(0,O84)))</f>
        <v/>
      </c>
      <c r="AJ84" s="15">
        <f>MIN(AA84*AF84*AG84*AH84*AI84,0.2)</f>
        <v/>
      </c>
      <c r="AK84" s="16">
        <f>1-(1-AJ84)^12</f>
        <v/>
      </c>
    </row>
    <row r="85">
      <c r="A85" s="2" t="inlineStr">
        <is>
          <t>000005143257</t>
        </is>
      </c>
      <c r="B85" t="inlineStr">
        <is>
          <t>232</t>
        </is>
      </c>
      <c r="C85" t="inlineStr">
        <is>
          <t>NC</t>
        </is>
      </c>
      <c r="D85" t="inlineStr">
        <is>
          <t>WALKER &amp; DUNLOP, LLC</t>
        </is>
      </c>
      <c r="E85" t="n">
        <v>2021</v>
      </c>
      <c r="F85" t="inlineStr">
        <is>
          <t>202602</t>
        </is>
      </c>
      <c r="G85" s="9" t="n">
        <v>20697799.73</v>
      </c>
      <c r="H85" s="13" t="n">
        <v>2.69</v>
      </c>
      <c r="I85" s="14" t="n">
        <v>447</v>
      </c>
      <c r="J85" s="14" t="n">
        <v>8</v>
      </c>
      <c r="K85" t="n">
        <v>50</v>
      </c>
      <c r="L85" t="n">
        <v>206310</v>
      </c>
      <c r="M85" t="inlineStr"/>
      <c r="N85" t="n">
        <v>0</v>
      </c>
      <c r="O85" s="8" t="n">
        <v>0</v>
      </c>
      <c r="P85">
        <f>IF(ISNUMBER(SEARCH("232",B85)),"232",IF(ISNUMBER(SEARCH("538",B85)),"538",IF(ISNUMBER(SEARCH("223a7",B85)),"223a7",IF(ISNUMBER(SEARCH("223f",B85)),"223f","OTHER"))))</f>
        <v/>
      </c>
      <c r="Q85">
        <f>IF(UPPER(C85)="NC","NC","RP")</f>
        <v/>
      </c>
      <c r="R85">
        <f>IF(G85&lt;5000000,"small",IF(G85&lt;25000000,"medium","large"))</f>
        <v/>
      </c>
      <c r="S85">
        <f>IF(K85&lt;36,"young",IF(K85&lt;120,"seasoned","aged"))</f>
        <v/>
      </c>
      <c r="T85">
        <f>P85&amp;"|"&amp;Q85&amp;"|"&amp;R85&amp;"|"&amp;S85</f>
        <v/>
      </c>
      <c r="U85" s="14">
        <f>H85*100-I85</f>
        <v/>
      </c>
      <c r="V85" s="14">
        <f>U85-12.5*(J85+1)</f>
        <v/>
      </c>
      <c r="W85" s="15">
        <f>IFERROR(VLOOKUP(T85,V8_COHORT_TABLE,2,FALSE),IFERROR(VLOOKUP(P85&amp;"|"&amp;Q85&amp;"|ALL|"&amp;S85,V8_COHORT_TABLE,2,FALSE),IFERROR(VLOOKUP(P85&amp;"|ALL|ALL|"&amp;S85,V8_COHORT_TABLE,2,FALSE),IFERROR(VLOOKUP(P85&amp;"|ALL|ALL|ALL",V8_COHORT_TABLE,2,FALSE),VLOOKUP("GLOBAL",V8_COHORT_TABLE,2,FALSE)))))</f>
        <v/>
      </c>
      <c r="X85" s="15">
        <f>IFERROR(VLOOKUP(T85,V8_COHORT_TABLE,3,FALSE),IFERROR(VLOOKUP(P85&amp;"|"&amp;Q85&amp;"|ALL|"&amp;S85,V8_COHORT_TABLE,3,FALSE),IFERROR(VLOOKUP(P85&amp;"|ALL|ALL|"&amp;S85,V8_COHORT_TABLE,3,FALSE),IFERROR(VLOOKUP(P85&amp;"|ALL|ALL|ALL",V8_COHORT_TABLE,3,FALSE),VLOOKUP("GLOBAL",V8_COHORT_TABLE,3,FALSE)))))</f>
        <v/>
      </c>
      <c r="Y85" s="15">
        <f>IFERROR(VLOOKUP(T85,V8_COHORT_TABLE,4,FALSE),IFERROR(VLOOKUP(P85&amp;"|"&amp;Q85&amp;"|ALL|"&amp;S85,V8_COHORT_TABLE,4,FALSE),IFERROR(VLOOKUP(P85&amp;"|ALL|ALL|"&amp;S85,V8_COHORT_TABLE,4,FALSE),IFERROR(VLOOKUP(P85&amp;"|ALL|ALL|ALL",V8_COHORT_TABLE,4,FALSE),VLOOKUP("GLOBAL",V8_COHORT_TABLE,4,FALSE)))))</f>
        <v/>
      </c>
      <c r="Z85" s="15">
        <f>IFERROR(VLOOKUP(T85,V8_COHORT_TABLE,5,FALSE),IFERROR(VLOOKUP(P85&amp;"|"&amp;Q85&amp;"|ALL|"&amp;S85,V8_COHORT_TABLE,5,FALSE),IFERROR(VLOOKUP(P85&amp;"|ALL|ALL|"&amp;S85,V8_COHORT_TABLE,5,FALSE),IFERROR(VLOOKUP(P85&amp;"|ALL|ALL|ALL",V8_COHORT_TABLE,5,FALSE),VLOOKUP("GLOBAL",V8_COHORT_TABLE,5,FALSE)))))</f>
        <v/>
      </c>
      <c r="AA85" s="15">
        <f>W85+X85/(1+EXP(-(V85-Y85)/Z85))</f>
        <v/>
      </c>
      <c r="AB85" s="15">
        <f>IFERROR(VLOOKUP(T85,V8_COHORT_TABLE,6,FALSE),IFERROR(VLOOKUP(P85&amp;"|"&amp;Q85&amp;"|ALL|"&amp;S85,V8_COHORT_TABLE,6,FALSE),IFERROR(VLOOKUP(P85&amp;"|ALL|ALL|"&amp;S85,V8_COHORT_TABLE,6,FALSE),IFERROR(VLOOKUP(P85&amp;"|ALL|ALL|ALL",V8_COHORT_TABLE,6,FALSE),VLOOKUP("GLOBAL",V8_COHORT_TABLE,6,FALSE)))))</f>
        <v/>
      </c>
      <c r="AC85" s="15">
        <f>IFERROR(VLOOKUP(T85,V8_COHORT_TABLE,7,FALSE),IFERROR(VLOOKUP(P85&amp;"|"&amp;Q85&amp;"|ALL|"&amp;S85,V8_COHORT_TABLE,7,FALSE),IFERROR(VLOOKUP(P85&amp;"|ALL|ALL|"&amp;S85,V8_COHORT_TABLE,7,FALSE),IFERROR(VLOOKUP(P85&amp;"|ALL|ALL|ALL",V8_COHORT_TABLE,7,FALSE),VLOOKUP("GLOBAL",V8_COHORT_TABLE,7,FALSE)))))</f>
        <v/>
      </c>
      <c r="AD85" s="15">
        <f>IFERROR(VLOOKUP(T85,V8_COHORT_TABLE,8,FALSE),IFERROR(VLOOKUP(P85&amp;"|"&amp;Q85&amp;"|ALL|"&amp;S85,V8_COHORT_TABLE,8,FALSE),IFERROR(VLOOKUP(P85&amp;"|ALL|ALL|"&amp;S85,V8_COHORT_TABLE,8,FALSE),IFERROR(VLOOKUP(P85&amp;"|ALL|ALL|ALL",V8_COHORT_TABLE,8,FALSE),VLOOKUP("GLOBAL",V8_COHORT_TABLE,8,FALSE)))))</f>
        <v/>
      </c>
      <c r="AE85" s="15">
        <f>IFERROR(VLOOKUP(T85,V8_COHORT_TABLE,9,FALSE),IFERROR(VLOOKUP(P85&amp;"|"&amp;Q85&amp;"|ALL|"&amp;S85,V8_COHORT_TABLE,9,FALSE),IFERROR(VLOOKUP(P85&amp;"|ALL|ALL|"&amp;S85,V8_COHORT_TABLE,9,FALSE),IFERROR(VLOOKUP(P85&amp;"|ALL|ALL|ALL",V8_COHORT_TABLE,9,FALSE),VLOOKUP("GLOBAL",V8_COHORT_TABLE,9,FALSE)))))</f>
        <v/>
      </c>
      <c r="AF85" s="8">
        <f>IF(K85&lt;=0,AB85,IF(K85&gt;=240,AE85,IF(K85&lt;=24,AB85+(K85-0)/24*(AC85-AB85),IF(K85&lt;=96,AC85+(K85-24)/72*(AD85-AC85),AD85+(K85-96)/144*(AE85-AD85)))))</f>
        <v/>
      </c>
      <c r="AG85" s="8">
        <f>IF(IF(OR(L85="",NOT(ISNUMBER(L85))),360,MAX(0,MIN(480,(INT(L85/100)-INT(VALUE(F85)/100))*12+MOD(L85,100)-MOD(VALUE(F85),100))))&gt;0,1+V8_MTY_AMP*MAX(0,(V8_MTY_CUTOFF-(IF(OR(L85="",NOT(ISNUMBER(L85))),360,MAX(0,MIN(480,(INT(L85/100)-INT(VALUE(F85)/100))*12+MOD(L85,100)-MOD(VALUE(F85),100))))))/V8_MTY_CUTOFF),1)</f>
        <v/>
      </c>
      <c r="AH85" s="8">
        <f>IF(AND(IF(OR(M85="",NOT(ISNUMBER(M85))),0,MAX(0,MIN(24,(INT(VALUE(F85)/100)-INT(M85/100))*12+MOD(VALUE(F85),100)-MOD(M85,100))))&gt;0,IF(OR(M85="",NOT(ISNUMBER(M85))),0,MAX(0,MIN(24,(INT(VALUE(F85)/100)-INT(M85/100))*12+MOD(VALUE(F85),100)-MOD(M85,100))))&lt;=12),1+V8_LOCKOUT_AMP*EXP(-(IF(OR(M85="",NOT(ISNUMBER(M85))),0,MAX(0,MIN(24,(INT(VALUE(F85)/100)-INT(M85/100))*12+MOD(VALUE(F85),100)-MOD(M85,100)))))/V8_LOCKOUT_TAU),1)</f>
        <v/>
      </c>
      <c r="AI85" s="8">
        <f>MAX(V8_BURN_FLOOR,1-V8_BURN_SLOPE*MIN(1,MAX(0,O85)))</f>
        <v/>
      </c>
      <c r="AJ85" s="15">
        <f>MIN(AA85*AF85*AG85*AH85*AI85,0.2)</f>
        <v/>
      </c>
      <c r="AK85" s="16">
        <f>1-(1-AJ85)^12</f>
        <v/>
      </c>
    </row>
    <row r="86">
      <c r="A86" s="2" t="inlineStr">
        <is>
          <t>000012911145</t>
        </is>
      </c>
      <c r="B86" t="inlineStr">
        <is>
          <t>223f</t>
        </is>
      </c>
      <c r="C86" t="inlineStr">
        <is>
          <t>RP</t>
        </is>
      </c>
      <c r="D86" t="inlineStr">
        <is>
          <t>WALKER &amp; DUNLOP, LLC</t>
        </is>
      </c>
      <c r="E86" t="n">
        <v>2025</v>
      </c>
      <c r="F86" t="inlineStr">
        <is>
          <t>202602</t>
        </is>
      </c>
      <c r="G86" s="9" t="n">
        <v>69885954.31999999</v>
      </c>
      <c r="H86" s="13" t="n">
        <v>5.95</v>
      </c>
      <c r="I86" s="14" t="n">
        <v>447</v>
      </c>
      <c r="J86" s="14" t="n">
        <v>10</v>
      </c>
      <c r="K86" t="n">
        <v>7</v>
      </c>
      <c r="L86" t="n">
        <v>206008</v>
      </c>
      <c r="M86" t="inlineStr"/>
      <c r="N86" t="n">
        <v>1</v>
      </c>
      <c r="O86" s="8" t="n">
        <v>0.1428571428571428</v>
      </c>
      <c r="P86">
        <f>IF(ISNUMBER(SEARCH("232",B86)),"232",IF(ISNUMBER(SEARCH("538",B86)),"538",IF(ISNUMBER(SEARCH("223a7",B86)),"223a7",IF(ISNUMBER(SEARCH("223f",B86)),"223f","OTHER"))))</f>
        <v/>
      </c>
      <c r="Q86">
        <f>IF(UPPER(C86)="NC","NC","RP")</f>
        <v/>
      </c>
      <c r="R86">
        <f>IF(G86&lt;5000000,"small",IF(G86&lt;25000000,"medium","large"))</f>
        <v/>
      </c>
      <c r="S86">
        <f>IF(K86&lt;36,"young",IF(K86&lt;120,"seasoned","aged"))</f>
        <v/>
      </c>
      <c r="T86">
        <f>P86&amp;"|"&amp;Q86&amp;"|"&amp;R86&amp;"|"&amp;S86</f>
        <v/>
      </c>
      <c r="U86" s="14">
        <f>H86*100-I86</f>
        <v/>
      </c>
      <c r="V86" s="14">
        <f>U86-12.5*(J86+1)</f>
        <v/>
      </c>
      <c r="W86" s="15">
        <f>IFERROR(VLOOKUP(T86,V8_COHORT_TABLE,2,FALSE),IFERROR(VLOOKUP(P86&amp;"|"&amp;Q86&amp;"|ALL|"&amp;S86,V8_COHORT_TABLE,2,FALSE),IFERROR(VLOOKUP(P86&amp;"|ALL|ALL|"&amp;S86,V8_COHORT_TABLE,2,FALSE),IFERROR(VLOOKUP(P86&amp;"|ALL|ALL|ALL",V8_COHORT_TABLE,2,FALSE),VLOOKUP("GLOBAL",V8_COHORT_TABLE,2,FALSE)))))</f>
        <v/>
      </c>
      <c r="X86" s="15">
        <f>IFERROR(VLOOKUP(T86,V8_COHORT_TABLE,3,FALSE),IFERROR(VLOOKUP(P86&amp;"|"&amp;Q86&amp;"|ALL|"&amp;S86,V8_COHORT_TABLE,3,FALSE),IFERROR(VLOOKUP(P86&amp;"|ALL|ALL|"&amp;S86,V8_COHORT_TABLE,3,FALSE),IFERROR(VLOOKUP(P86&amp;"|ALL|ALL|ALL",V8_COHORT_TABLE,3,FALSE),VLOOKUP("GLOBAL",V8_COHORT_TABLE,3,FALSE)))))</f>
        <v/>
      </c>
      <c r="Y86" s="15">
        <f>IFERROR(VLOOKUP(T86,V8_COHORT_TABLE,4,FALSE),IFERROR(VLOOKUP(P86&amp;"|"&amp;Q86&amp;"|ALL|"&amp;S86,V8_COHORT_TABLE,4,FALSE),IFERROR(VLOOKUP(P86&amp;"|ALL|ALL|"&amp;S86,V8_COHORT_TABLE,4,FALSE),IFERROR(VLOOKUP(P86&amp;"|ALL|ALL|ALL",V8_COHORT_TABLE,4,FALSE),VLOOKUP("GLOBAL",V8_COHORT_TABLE,4,FALSE)))))</f>
        <v/>
      </c>
      <c r="Z86" s="15">
        <f>IFERROR(VLOOKUP(T86,V8_COHORT_TABLE,5,FALSE),IFERROR(VLOOKUP(P86&amp;"|"&amp;Q86&amp;"|ALL|"&amp;S86,V8_COHORT_TABLE,5,FALSE),IFERROR(VLOOKUP(P86&amp;"|ALL|ALL|"&amp;S86,V8_COHORT_TABLE,5,FALSE),IFERROR(VLOOKUP(P86&amp;"|ALL|ALL|ALL",V8_COHORT_TABLE,5,FALSE),VLOOKUP("GLOBAL",V8_COHORT_TABLE,5,FALSE)))))</f>
        <v/>
      </c>
      <c r="AA86" s="15">
        <f>W86+X86/(1+EXP(-(V86-Y86)/Z86))</f>
        <v/>
      </c>
      <c r="AB86" s="15">
        <f>IFERROR(VLOOKUP(T86,V8_COHORT_TABLE,6,FALSE),IFERROR(VLOOKUP(P86&amp;"|"&amp;Q86&amp;"|ALL|"&amp;S86,V8_COHORT_TABLE,6,FALSE),IFERROR(VLOOKUP(P86&amp;"|ALL|ALL|"&amp;S86,V8_COHORT_TABLE,6,FALSE),IFERROR(VLOOKUP(P86&amp;"|ALL|ALL|ALL",V8_COHORT_TABLE,6,FALSE),VLOOKUP("GLOBAL",V8_COHORT_TABLE,6,FALSE)))))</f>
        <v/>
      </c>
      <c r="AC86" s="15">
        <f>IFERROR(VLOOKUP(T86,V8_COHORT_TABLE,7,FALSE),IFERROR(VLOOKUP(P86&amp;"|"&amp;Q86&amp;"|ALL|"&amp;S86,V8_COHORT_TABLE,7,FALSE),IFERROR(VLOOKUP(P86&amp;"|ALL|ALL|"&amp;S86,V8_COHORT_TABLE,7,FALSE),IFERROR(VLOOKUP(P86&amp;"|ALL|ALL|ALL",V8_COHORT_TABLE,7,FALSE),VLOOKUP("GLOBAL",V8_COHORT_TABLE,7,FALSE)))))</f>
        <v/>
      </c>
      <c r="AD86" s="15">
        <f>IFERROR(VLOOKUP(T86,V8_COHORT_TABLE,8,FALSE),IFERROR(VLOOKUP(P86&amp;"|"&amp;Q86&amp;"|ALL|"&amp;S86,V8_COHORT_TABLE,8,FALSE),IFERROR(VLOOKUP(P86&amp;"|ALL|ALL|"&amp;S86,V8_COHORT_TABLE,8,FALSE),IFERROR(VLOOKUP(P86&amp;"|ALL|ALL|ALL",V8_COHORT_TABLE,8,FALSE),VLOOKUP("GLOBAL",V8_COHORT_TABLE,8,FALSE)))))</f>
        <v/>
      </c>
      <c r="AE86" s="15">
        <f>IFERROR(VLOOKUP(T86,V8_COHORT_TABLE,9,FALSE),IFERROR(VLOOKUP(P86&amp;"|"&amp;Q86&amp;"|ALL|"&amp;S86,V8_COHORT_TABLE,9,FALSE),IFERROR(VLOOKUP(P86&amp;"|ALL|ALL|"&amp;S86,V8_COHORT_TABLE,9,FALSE),IFERROR(VLOOKUP(P86&amp;"|ALL|ALL|ALL",V8_COHORT_TABLE,9,FALSE),VLOOKUP("GLOBAL",V8_COHORT_TABLE,9,FALSE)))))</f>
        <v/>
      </c>
      <c r="AF86" s="8">
        <f>IF(K86&lt;=0,AB86,IF(K86&gt;=240,AE86,IF(K86&lt;=24,AB86+(K86-0)/24*(AC86-AB86),IF(K86&lt;=96,AC86+(K86-24)/72*(AD86-AC86),AD86+(K86-96)/144*(AE86-AD86)))))</f>
        <v/>
      </c>
      <c r="AG86" s="8">
        <f>IF(IF(OR(L86="",NOT(ISNUMBER(L86))),360,MAX(0,MIN(480,(INT(L86/100)-INT(VALUE(F86)/100))*12+MOD(L86,100)-MOD(VALUE(F86),100))))&gt;0,1+V8_MTY_AMP*MAX(0,(V8_MTY_CUTOFF-(IF(OR(L86="",NOT(ISNUMBER(L86))),360,MAX(0,MIN(480,(INT(L86/100)-INT(VALUE(F86)/100))*12+MOD(L86,100)-MOD(VALUE(F86),100))))))/V8_MTY_CUTOFF),1)</f>
        <v/>
      </c>
      <c r="AH86" s="8">
        <f>IF(AND(IF(OR(M86="",NOT(ISNUMBER(M86))),0,MAX(0,MIN(24,(INT(VALUE(F86)/100)-INT(M86/100))*12+MOD(VALUE(F86),100)-MOD(M86,100))))&gt;0,IF(OR(M86="",NOT(ISNUMBER(M86))),0,MAX(0,MIN(24,(INT(VALUE(F86)/100)-INT(M86/100))*12+MOD(VALUE(F86),100)-MOD(M86,100))))&lt;=12),1+V8_LOCKOUT_AMP*EXP(-(IF(OR(M86="",NOT(ISNUMBER(M86))),0,MAX(0,MIN(24,(INT(VALUE(F86)/100)-INT(M86/100))*12+MOD(VALUE(F86),100)-MOD(M86,100)))))/V8_LOCKOUT_TAU),1)</f>
        <v/>
      </c>
      <c r="AI86" s="8">
        <f>MAX(V8_BURN_FLOOR,1-V8_BURN_SLOPE*MIN(1,MAX(0,O86)))</f>
        <v/>
      </c>
      <c r="AJ86" s="15">
        <f>MIN(AA86*AF86*AG86*AH86*AI86,0.2)</f>
        <v/>
      </c>
      <c r="AK86" s="16">
        <f>1-(1-AJ86)^12</f>
        <v/>
      </c>
    </row>
    <row r="87">
      <c r="A87" s="2" t="inlineStr">
        <is>
          <t>000007235671</t>
        </is>
      </c>
      <c r="B87" t="inlineStr">
        <is>
          <t>221d4</t>
        </is>
      </c>
      <c r="C87" t="inlineStr">
        <is>
          <t>RP</t>
        </is>
      </c>
      <c r="D87" t="inlineStr">
        <is>
          <t>WALKER &amp; DUNLOP, LLC</t>
        </is>
      </c>
      <c r="E87" t="n">
        <v>2010</v>
      </c>
      <c r="F87" t="inlineStr">
        <is>
          <t>202602</t>
        </is>
      </c>
      <c r="G87" s="9" t="n">
        <v>383060.16</v>
      </c>
      <c r="H87" s="13" t="n">
        <v>4.65</v>
      </c>
      <c r="I87" s="14" t="n">
        <v>447</v>
      </c>
      <c r="J87" s="14" t="n">
        <v>0</v>
      </c>
      <c r="K87" t="n">
        <v>187</v>
      </c>
      <c r="L87" t="n">
        <v>203403</v>
      </c>
      <c r="M87" t="n">
        <v>201209</v>
      </c>
      <c r="N87" t="n">
        <v>49</v>
      </c>
      <c r="O87" s="8" t="n">
        <v>0.2620320855614973</v>
      </c>
      <c r="P87">
        <f>IF(ISNUMBER(SEARCH("232",B87)),"232",IF(ISNUMBER(SEARCH("538",B87)),"538",IF(ISNUMBER(SEARCH("223a7",B87)),"223a7",IF(ISNUMBER(SEARCH("223f",B87)),"223f","OTHER"))))</f>
        <v/>
      </c>
      <c r="Q87">
        <f>IF(UPPER(C87)="NC","NC","RP")</f>
        <v/>
      </c>
      <c r="R87">
        <f>IF(G87&lt;5000000,"small",IF(G87&lt;25000000,"medium","large"))</f>
        <v/>
      </c>
      <c r="S87">
        <f>IF(K87&lt;36,"young",IF(K87&lt;120,"seasoned","aged"))</f>
        <v/>
      </c>
      <c r="T87">
        <f>P87&amp;"|"&amp;Q87&amp;"|"&amp;R87&amp;"|"&amp;S87</f>
        <v/>
      </c>
      <c r="U87" s="14">
        <f>H87*100-I87</f>
        <v/>
      </c>
      <c r="V87" s="14">
        <f>U87-12.5*(J87+1)</f>
        <v/>
      </c>
      <c r="W87" s="15">
        <f>IFERROR(VLOOKUP(T87,V8_COHORT_TABLE,2,FALSE),IFERROR(VLOOKUP(P87&amp;"|"&amp;Q87&amp;"|ALL|"&amp;S87,V8_COHORT_TABLE,2,FALSE),IFERROR(VLOOKUP(P87&amp;"|ALL|ALL|"&amp;S87,V8_COHORT_TABLE,2,FALSE),IFERROR(VLOOKUP(P87&amp;"|ALL|ALL|ALL",V8_COHORT_TABLE,2,FALSE),VLOOKUP("GLOBAL",V8_COHORT_TABLE,2,FALSE)))))</f>
        <v/>
      </c>
      <c r="X87" s="15">
        <f>IFERROR(VLOOKUP(T87,V8_COHORT_TABLE,3,FALSE),IFERROR(VLOOKUP(P87&amp;"|"&amp;Q87&amp;"|ALL|"&amp;S87,V8_COHORT_TABLE,3,FALSE),IFERROR(VLOOKUP(P87&amp;"|ALL|ALL|"&amp;S87,V8_COHORT_TABLE,3,FALSE),IFERROR(VLOOKUP(P87&amp;"|ALL|ALL|ALL",V8_COHORT_TABLE,3,FALSE),VLOOKUP("GLOBAL",V8_COHORT_TABLE,3,FALSE)))))</f>
        <v/>
      </c>
      <c r="Y87" s="15">
        <f>IFERROR(VLOOKUP(T87,V8_COHORT_TABLE,4,FALSE),IFERROR(VLOOKUP(P87&amp;"|"&amp;Q87&amp;"|ALL|"&amp;S87,V8_COHORT_TABLE,4,FALSE),IFERROR(VLOOKUP(P87&amp;"|ALL|ALL|"&amp;S87,V8_COHORT_TABLE,4,FALSE),IFERROR(VLOOKUP(P87&amp;"|ALL|ALL|ALL",V8_COHORT_TABLE,4,FALSE),VLOOKUP("GLOBAL",V8_COHORT_TABLE,4,FALSE)))))</f>
        <v/>
      </c>
      <c r="Z87" s="15">
        <f>IFERROR(VLOOKUP(T87,V8_COHORT_TABLE,5,FALSE),IFERROR(VLOOKUP(P87&amp;"|"&amp;Q87&amp;"|ALL|"&amp;S87,V8_COHORT_TABLE,5,FALSE),IFERROR(VLOOKUP(P87&amp;"|ALL|ALL|"&amp;S87,V8_COHORT_TABLE,5,FALSE),IFERROR(VLOOKUP(P87&amp;"|ALL|ALL|ALL",V8_COHORT_TABLE,5,FALSE),VLOOKUP("GLOBAL",V8_COHORT_TABLE,5,FALSE)))))</f>
        <v/>
      </c>
      <c r="AA87" s="15">
        <f>W87+X87/(1+EXP(-(V87-Y87)/Z87))</f>
        <v/>
      </c>
      <c r="AB87" s="15">
        <f>IFERROR(VLOOKUP(T87,V8_COHORT_TABLE,6,FALSE),IFERROR(VLOOKUP(P87&amp;"|"&amp;Q87&amp;"|ALL|"&amp;S87,V8_COHORT_TABLE,6,FALSE),IFERROR(VLOOKUP(P87&amp;"|ALL|ALL|"&amp;S87,V8_COHORT_TABLE,6,FALSE),IFERROR(VLOOKUP(P87&amp;"|ALL|ALL|ALL",V8_COHORT_TABLE,6,FALSE),VLOOKUP("GLOBAL",V8_COHORT_TABLE,6,FALSE)))))</f>
        <v/>
      </c>
      <c r="AC87" s="15">
        <f>IFERROR(VLOOKUP(T87,V8_COHORT_TABLE,7,FALSE),IFERROR(VLOOKUP(P87&amp;"|"&amp;Q87&amp;"|ALL|"&amp;S87,V8_COHORT_TABLE,7,FALSE),IFERROR(VLOOKUP(P87&amp;"|ALL|ALL|"&amp;S87,V8_COHORT_TABLE,7,FALSE),IFERROR(VLOOKUP(P87&amp;"|ALL|ALL|ALL",V8_COHORT_TABLE,7,FALSE),VLOOKUP("GLOBAL",V8_COHORT_TABLE,7,FALSE)))))</f>
        <v/>
      </c>
      <c r="AD87" s="15">
        <f>IFERROR(VLOOKUP(T87,V8_COHORT_TABLE,8,FALSE),IFERROR(VLOOKUP(P87&amp;"|"&amp;Q87&amp;"|ALL|"&amp;S87,V8_COHORT_TABLE,8,FALSE),IFERROR(VLOOKUP(P87&amp;"|ALL|ALL|"&amp;S87,V8_COHORT_TABLE,8,FALSE),IFERROR(VLOOKUP(P87&amp;"|ALL|ALL|ALL",V8_COHORT_TABLE,8,FALSE),VLOOKUP("GLOBAL",V8_COHORT_TABLE,8,FALSE)))))</f>
        <v/>
      </c>
      <c r="AE87" s="15">
        <f>IFERROR(VLOOKUP(T87,V8_COHORT_TABLE,9,FALSE),IFERROR(VLOOKUP(P87&amp;"|"&amp;Q87&amp;"|ALL|"&amp;S87,V8_COHORT_TABLE,9,FALSE),IFERROR(VLOOKUP(P87&amp;"|ALL|ALL|"&amp;S87,V8_COHORT_TABLE,9,FALSE),IFERROR(VLOOKUP(P87&amp;"|ALL|ALL|ALL",V8_COHORT_TABLE,9,FALSE),VLOOKUP("GLOBAL",V8_COHORT_TABLE,9,FALSE)))))</f>
        <v/>
      </c>
      <c r="AF87" s="8">
        <f>IF(K87&lt;=0,AB87,IF(K87&gt;=240,AE87,IF(K87&lt;=24,AB87+(K87-0)/24*(AC87-AB87),IF(K87&lt;=96,AC87+(K87-24)/72*(AD87-AC87),AD87+(K87-96)/144*(AE87-AD87)))))</f>
        <v/>
      </c>
      <c r="AG87" s="8">
        <f>IF(IF(OR(L87="",NOT(ISNUMBER(L87))),360,MAX(0,MIN(480,(INT(L87/100)-INT(VALUE(F87)/100))*12+MOD(L87,100)-MOD(VALUE(F87),100))))&gt;0,1+V8_MTY_AMP*MAX(0,(V8_MTY_CUTOFF-(IF(OR(L87="",NOT(ISNUMBER(L87))),360,MAX(0,MIN(480,(INT(L87/100)-INT(VALUE(F87)/100))*12+MOD(L87,100)-MOD(VALUE(F87),100))))))/V8_MTY_CUTOFF),1)</f>
        <v/>
      </c>
      <c r="AH87" s="8">
        <f>IF(AND(IF(OR(M87="",NOT(ISNUMBER(M87))),0,MAX(0,MIN(24,(INT(VALUE(F87)/100)-INT(M87/100))*12+MOD(VALUE(F87),100)-MOD(M87,100))))&gt;0,IF(OR(M87="",NOT(ISNUMBER(M87))),0,MAX(0,MIN(24,(INT(VALUE(F87)/100)-INT(M87/100))*12+MOD(VALUE(F87),100)-MOD(M87,100))))&lt;=12),1+V8_LOCKOUT_AMP*EXP(-(IF(OR(M87="",NOT(ISNUMBER(M87))),0,MAX(0,MIN(24,(INT(VALUE(F87)/100)-INT(M87/100))*12+MOD(VALUE(F87),100)-MOD(M87,100)))))/V8_LOCKOUT_TAU),1)</f>
        <v/>
      </c>
      <c r="AI87" s="8">
        <f>MAX(V8_BURN_FLOOR,1-V8_BURN_SLOPE*MIN(1,MAX(0,O87)))</f>
        <v/>
      </c>
      <c r="AJ87" s="15">
        <f>MIN(AA87*AF87*AG87*AH87*AI87,0.2)</f>
        <v/>
      </c>
      <c r="AK87" s="16">
        <f>1-(1-AJ87)^12</f>
        <v/>
      </c>
    </row>
    <row r="88">
      <c r="A88" s="2" t="inlineStr">
        <is>
          <t>000012635300</t>
        </is>
      </c>
      <c r="B88" t="inlineStr">
        <is>
          <t>OTHER</t>
        </is>
      </c>
      <c r="C88" t="inlineStr">
        <is>
          <t>OTHER</t>
        </is>
      </c>
      <c r="D88" t="inlineStr">
        <is>
          <t>WALKER &amp; DUNLOP, LLC</t>
        </is>
      </c>
      <c r="E88" t="n">
        <v>2011</v>
      </c>
      <c r="F88" t="inlineStr">
        <is>
          <t>202602</t>
        </is>
      </c>
      <c r="G88" s="9" t="n">
        <v>1739264.07</v>
      </c>
      <c r="H88" s="13" t="n">
        <v>6.25</v>
      </c>
      <c r="I88" s="14" t="n">
        <v>447</v>
      </c>
      <c r="J88" s="14" t="n">
        <v>0</v>
      </c>
      <c r="K88" t="n">
        <v>174</v>
      </c>
      <c r="L88" t="n">
        <v>205304</v>
      </c>
      <c r="M88" t="n">
        <v>201405</v>
      </c>
      <c r="N88" t="n">
        <v>86</v>
      </c>
      <c r="O88" s="8" t="n">
        <v>0.4942528735632184</v>
      </c>
      <c r="P88">
        <f>IF(ISNUMBER(SEARCH("232",B88)),"232",IF(ISNUMBER(SEARCH("538",B88)),"538",IF(ISNUMBER(SEARCH("223a7",B88)),"223a7",IF(ISNUMBER(SEARCH("223f",B88)),"223f","OTHER"))))</f>
        <v/>
      </c>
      <c r="Q88">
        <f>IF(UPPER(C88)="NC","NC","RP")</f>
        <v/>
      </c>
      <c r="R88">
        <f>IF(G88&lt;5000000,"small",IF(G88&lt;25000000,"medium","large"))</f>
        <v/>
      </c>
      <c r="S88">
        <f>IF(K88&lt;36,"young",IF(K88&lt;120,"seasoned","aged"))</f>
        <v/>
      </c>
      <c r="T88">
        <f>P88&amp;"|"&amp;Q88&amp;"|"&amp;R88&amp;"|"&amp;S88</f>
        <v/>
      </c>
      <c r="U88" s="14">
        <f>H88*100-I88</f>
        <v/>
      </c>
      <c r="V88" s="14">
        <f>U88-12.5*(J88+1)</f>
        <v/>
      </c>
      <c r="W88" s="15">
        <f>IFERROR(VLOOKUP(T88,V8_COHORT_TABLE,2,FALSE),IFERROR(VLOOKUP(P88&amp;"|"&amp;Q88&amp;"|ALL|"&amp;S88,V8_COHORT_TABLE,2,FALSE),IFERROR(VLOOKUP(P88&amp;"|ALL|ALL|"&amp;S88,V8_COHORT_TABLE,2,FALSE),IFERROR(VLOOKUP(P88&amp;"|ALL|ALL|ALL",V8_COHORT_TABLE,2,FALSE),VLOOKUP("GLOBAL",V8_COHORT_TABLE,2,FALSE)))))</f>
        <v/>
      </c>
      <c r="X88" s="15">
        <f>IFERROR(VLOOKUP(T88,V8_COHORT_TABLE,3,FALSE),IFERROR(VLOOKUP(P88&amp;"|"&amp;Q88&amp;"|ALL|"&amp;S88,V8_COHORT_TABLE,3,FALSE),IFERROR(VLOOKUP(P88&amp;"|ALL|ALL|"&amp;S88,V8_COHORT_TABLE,3,FALSE),IFERROR(VLOOKUP(P88&amp;"|ALL|ALL|ALL",V8_COHORT_TABLE,3,FALSE),VLOOKUP("GLOBAL",V8_COHORT_TABLE,3,FALSE)))))</f>
        <v/>
      </c>
      <c r="Y88" s="15">
        <f>IFERROR(VLOOKUP(T88,V8_COHORT_TABLE,4,FALSE),IFERROR(VLOOKUP(P88&amp;"|"&amp;Q88&amp;"|ALL|"&amp;S88,V8_COHORT_TABLE,4,FALSE),IFERROR(VLOOKUP(P88&amp;"|ALL|ALL|"&amp;S88,V8_COHORT_TABLE,4,FALSE),IFERROR(VLOOKUP(P88&amp;"|ALL|ALL|ALL",V8_COHORT_TABLE,4,FALSE),VLOOKUP("GLOBAL",V8_COHORT_TABLE,4,FALSE)))))</f>
        <v/>
      </c>
      <c r="Z88" s="15">
        <f>IFERROR(VLOOKUP(T88,V8_COHORT_TABLE,5,FALSE),IFERROR(VLOOKUP(P88&amp;"|"&amp;Q88&amp;"|ALL|"&amp;S88,V8_COHORT_TABLE,5,FALSE),IFERROR(VLOOKUP(P88&amp;"|ALL|ALL|"&amp;S88,V8_COHORT_TABLE,5,FALSE),IFERROR(VLOOKUP(P88&amp;"|ALL|ALL|ALL",V8_COHORT_TABLE,5,FALSE),VLOOKUP("GLOBAL",V8_COHORT_TABLE,5,FALSE)))))</f>
        <v/>
      </c>
      <c r="AA88" s="15">
        <f>W88+X88/(1+EXP(-(V88-Y88)/Z88))</f>
        <v/>
      </c>
      <c r="AB88" s="15">
        <f>IFERROR(VLOOKUP(T88,V8_COHORT_TABLE,6,FALSE),IFERROR(VLOOKUP(P88&amp;"|"&amp;Q88&amp;"|ALL|"&amp;S88,V8_COHORT_TABLE,6,FALSE),IFERROR(VLOOKUP(P88&amp;"|ALL|ALL|"&amp;S88,V8_COHORT_TABLE,6,FALSE),IFERROR(VLOOKUP(P88&amp;"|ALL|ALL|ALL",V8_COHORT_TABLE,6,FALSE),VLOOKUP("GLOBAL",V8_COHORT_TABLE,6,FALSE)))))</f>
        <v/>
      </c>
      <c r="AC88" s="15">
        <f>IFERROR(VLOOKUP(T88,V8_COHORT_TABLE,7,FALSE),IFERROR(VLOOKUP(P88&amp;"|"&amp;Q88&amp;"|ALL|"&amp;S88,V8_COHORT_TABLE,7,FALSE),IFERROR(VLOOKUP(P88&amp;"|ALL|ALL|"&amp;S88,V8_COHORT_TABLE,7,FALSE),IFERROR(VLOOKUP(P88&amp;"|ALL|ALL|ALL",V8_COHORT_TABLE,7,FALSE),VLOOKUP("GLOBAL",V8_COHORT_TABLE,7,FALSE)))))</f>
        <v/>
      </c>
      <c r="AD88" s="15">
        <f>IFERROR(VLOOKUP(T88,V8_COHORT_TABLE,8,FALSE),IFERROR(VLOOKUP(P88&amp;"|"&amp;Q88&amp;"|ALL|"&amp;S88,V8_COHORT_TABLE,8,FALSE),IFERROR(VLOOKUP(P88&amp;"|ALL|ALL|"&amp;S88,V8_COHORT_TABLE,8,FALSE),IFERROR(VLOOKUP(P88&amp;"|ALL|ALL|ALL",V8_COHORT_TABLE,8,FALSE),VLOOKUP("GLOBAL",V8_COHORT_TABLE,8,FALSE)))))</f>
        <v/>
      </c>
      <c r="AE88" s="15">
        <f>IFERROR(VLOOKUP(T88,V8_COHORT_TABLE,9,FALSE),IFERROR(VLOOKUP(P88&amp;"|"&amp;Q88&amp;"|ALL|"&amp;S88,V8_COHORT_TABLE,9,FALSE),IFERROR(VLOOKUP(P88&amp;"|ALL|ALL|"&amp;S88,V8_COHORT_TABLE,9,FALSE),IFERROR(VLOOKUP(P88&amp;"|ALL|ALL|ALL",V8_COHORT_TABLE,9,FALSE),VLOOKUP("GLOBAL",V8_COHORT_TABLE,9,FALSE)))))</f>
        <v/>
      </c>
      <c r="AF88" s="8">
        <f>IF(K88&lt;=0,AB88,IF(K88&gt;=240,AE88,IF(K88&lt;=24,AB88+(K88-0)/24*(AC88-AB88),IF(K88&lt;=96,AC88+(K88-24)/72*(AD88-AC88),AD88+(K88-96)/144*(AE88-AD88)))))</f>
        <v/>
      </c>
      <c r="AG88" s="8">
        <f>IF(IF(OR(L88="",NOT(ISNUMBER(L88))),360,MAX(0,MIN(480,(INT(L88/100)-INT(VALUE(F88)/100))*12+MOD(L88,100)-MOD(VALUE(F88),100))))&gt;0,1+V8_MTY_AMP*MAX(0,(V8_MTY_CUTOFF-(IF(OR(L88="",NOT(ISNUMBER(L88))),360,MAX(0,MIN(480,(INT(L88/100)-INT(VALUE(F88)/100))*12+MOD(L88,100)-MOD(VALUE(F88),100))))))/V8_MTY_CUTOFF),1)</f>
        <v/>
      </c>
      <c r="AH88" s="8">
        <f>IF(AND(IF(OR(M88="",NOT(ISNUMBER(M88))),0,MAX(0,MIN(24,(INT(VALUE(F88)/100)-INT(M88/100))*12+MOD(VALUE(F88),100)-MOD(M88,100))))&gt;0,IF(OR(M88="",NOT(ISNUMBER(M88))),0,MAX(0,MIN(24,(INT(VALUE(F88)/100)-INT(M88/100))*12+MOD(VALUE(F88),100)-MOD(M88,100))))&lt;=12),1+V8_LOCKOUT_AMP*EXP(-(IF(OR(M88="",NOT(ISNUMBER(M88))),0,MAX(0,MIN(24,(INT(VALUE(F88)/100)-INT(M88/100))*12+MOD(VALUE(F88),100)-MOD(M88,100)))))/V8_LOCKOUT_TAU),1)</f>
        <v/>
      </c>
      <c r="AI88" s="8">
        <f>MAX(V8_BURN_FLOOR,1-V8_BURN_SLOPE*MIN(1,MAX(0,O88)))</f>
        <v/>
      </c>
      <c r="AJ88" s="15">
        <f>MIN(AA88*AF88*AG88*AH88*AI88,0.2)</f>
        <v/>
      </c>
      <c r="AK88" s="16">
        <f>1-(1-AJ88)^12</f>
        <v/>
      </c>
    </row>
    <row r="89">
      <c r="A89" s="2" t="inlineStr">
        <is>
          <t>000012311329</t>
        </is>
      </c>
      <c r="B89" t="inlineStr">
        <is>
          <t>223f</t>
        </is>
      </c>
      <c r="C89" t="inlineStr">
        <is>
          <t>RP</t>
        </is>
      </c>
      <c r="D89" t="inlineStr">
        <is>
          <t>WALKER &amp; DUNLOP, LLC</t>
        </is>
      </c>
      <c r="E89" t="n">
        <v>2022</v>
      </c>
      <c r="F89" t="inlineStr">
        <is>
          <t>202602</t>
        </is>
      </c>
      <c r="G89" s="9" t="n">
        <v>64446669.9</v>
      </c>
      <c r="H89" s="13" t="n">
        <v>4.25</v>
      </c>
      <c r="I89" s="14" t="n">
        <v>447</v>
      </c>
      <c r="J89" s="14" t="n">
        <v>7</v>
      </c>
      <c r="K89" t="n">
        <v>42</v>
      </c>
      <c r="L89" t="n">
        <v>205709</v>
      </c>
      <c r="M89" t="inlineStr"/>
      <c r="N89" t="n">
        <v>0</v>
      </c>
      <c r="O89" s="8" t="n">
        <v>0</v>
      </c>
      <c r="P89">
        <f>IF(ISNUMBER(SEARCH("232",B89)),"232",IF(ISNUMBER(SEARCH("538",B89)),"538",IF(ISNUMBER(SEARCH("223a7",B89)),"223a7",IF(ISNUMBER(SEARCH("223f",B89)),"223f","OTHER"))))</f>
        <v/>
      </c>
      <c r="Q89">
        <f>IF(UPPER(C89)="NC","NC","RP")</f>
        <v/>
      </c>
      <c r="R89">
        <f>IF(G89&lt;5000000,"small",IF(G89&lt;25000000,"medium","large"))</f>
        <v/>
      </c>
      <c r="S89">
        <f>IF(K89&lt;36,"young",IF(K89&lt;120,"seasoned","aged"))</f>
        <v/>
      </c>
      <c r="T89">
        <f>P89&amp;"|"&amp;Q89&amp;"|"&amp;R89&amp;"|"&amp;S89</f>
        <v/>
      </c>
      <c r="U89" s="14">
        <f>H89*100-I89</f>
        <v/>
      </c>
      <c r="V89" s="14">
        <f>U89-12.5*(J89+1)</f>
        <v/>
      </c>
      <c r="W89" s="15">
        <f>IFERROR(VLOOKUP(T89,V8_COHORT_TABLE,2,FALSE),IFERROR(VLOOKUP(P89&amp;"|"&amp;Q89&amp;"|ALL|"&amp;S89,V8_COHORT_TABLE,2,FALSE),IFERROR(VLOOKUP(P89&amp;"|ALL|ALL|"&amp;S89,V8_COHORT_TABLE,2,FALSE),IFERROR(VLOOKUP(P89&amp;"|ALL|ALL|ALL",V8_COHORT_TABLE,2,FALSE),VLOOKUP("GLOBAL",V8_COHORT_TABLE,2,FALSE)))))</f>
        <v/>
      </c>
      <c r="X89" s="15">
        <f>IFERROR(VLOOKUP(T89,V8_COHORT_TABLE,3,FALSE),IFERROR(VLOOKUP(P89&amp;"|"&amp;Q89&amp;"|ALL|"&amp;S89,V8_COHORT_TABLE,3,FALSE),IFERROR(VLOOKUP(P89&amp;"|ALL|ALL|"&amp;S89,V8_COHORT_TABLE,3,FALSE),IFERROR(VLOOKUP(P89&amp;"|ALL|ALL|ALL",V8_COHORT_TABLE,3,FALSE),VLOOKUP("GLOBAL",V8_COHORT_TABLE,3,FALSE)))))</f>
        <v/>
      </c>
      <c r="Y89" s="15">
        <f>IFERROR(VLOOKUP(T89,V8_COHORT_TABLE,4,FALSE),IFERROR(VLOOKUP(P89&amp;"|"&amp;Q89&amp;"|ALL|"&amp;S89,V8_COHORT_TABLE,4,FALSE),IFERROR(VLOOKUP(P89&amp;"|ALL|ALL|"&amp;S89,V8_COHORT_TABLE,4,FALSE),IFERROR(VLOOKUP(P89&amp;"|ALL|ALL|ALL",V8_COHORT_TABLE,4,FALSE),VLOOKUP("GLOBAL",V8_COHORT_TABLE,4,FALSE)))))</f>
        <v/>
      </c>
      <c r="Z89" s="15">
        <f>IFERROR(VLOOKUP(T89,V8_COHORT_TABLE,5,FALSE),IFERROR(VLOOKUP(P89&amp;"|"&amp;Q89&amp;"|ALL|"&amp;S89,V8_COHORT_TABLE,5,FALSE),IFERROR(VLOOKUP(P89&amp;"|ALL|ALL|"&amp;S89,V8_COHORT_TABLE,5,FALSE),IFERROR(VLOOKUP(P89&amp;"|ALL|ALL|ALL",V8_COHORT_TABLE,5,FALSE),VLOOKUP("GLOBAL",V8_COHORT_TABLE,5,FALSE)))))</f>
        <v/>
      </c>
      <c r="AA89" s="15">
        <f>W89+X89/(1+EXP(-(V89-Y89)/Z89))</f>
        <v/>
      </c>
      <c r="AB89" s="15">
        <f>IFERROR(VLOOKUP(T89,V8_COHORT_TABLE,6,FALSE),IFERROR(VLOOKUP(P89&amp;"|"&amp;Q89&amp;"|ALL|"&amp;S89,V8_COHORT_TABLE,6,FALSE),IFERROR(VLOOKUP(P89&amp;"|ALL|ALL|"&amp;S89,V8_COHORT_TABLE,6,FALSE),IFERROR(VLOOKUP(P89&amp;"|ALL|ALL|ALL",V8_COHORT_TABLE,6,FALSE),VLOOKUP("GLOBAL",V8_COHORT_TABLE,6,FALSE)))))</f>
        <v/>
      </c>
      <c r="AC89" s="15">
        <f>IFERROR(VLOOKUP(T89,V8_COHORT_TABLE,7,FALSE),IFERROR(VLOOKUP(P89&amp;"|"&amp;Q89&amp;"|ALL|"&amp;S89,V8_COHORT_TABLE,7,FALSE),IFERROR(VLOOKUP(P89&amp;"|ALL|ALL|"&amp;S89,V8_COHORT_TABLE,7,FALSE),IFERROR(VLOOKUP(P89&amp;"|ALL|ALL|ALL",V8_COHORT_TABLE,7,FALSE),VLOOKUP("GLOBAL",V8_COHORT_TABLE,7,FALSE)))))</f>
        <v/>
      </c>
      <c r="AD89" s="15">
        <f>IFERROR(VLOOKUP(T89,V8_COHORT_TABLE,8,FALSE),IFERROR(VLOOKUP(P89&amp;"|"&amp;Q89&amp;"|ALL|"&amp;S89,V8_COHORT_TABLE,8,FALSE),IFERROR(VLOOKUP(P89&amp;"|ALL|ALL|"&amp;S89,V8_COHORT_TABLE,8,FALSE),IFERROR(VLOOKUP(P89&amp;"|ALL|ALL|ALL",V8_COHORT_TABLE,8,FALSE),VLOOKUP("GLOBAL",V8_COHORT_TABLE,8,FALSE)))))</f>
        <v/>
      </c>
      <c r="AE89" s="15">
        <f>IFERROR(VLOOKUP(T89,V8_COHORT_TABLE,9,FALSE),IFERROR(VLOOKUP(P89&amp;"|"&amp;Q89&amp;"|ALL|"&amp;S89,V8_COHORT_TABLE,9,FALSE),IFERROR(VLOOKUP(P89&amp;"|ALL|ALL|"&amp;S89,V8_COHORT_TABLE,9,FALSE),IFERROR(VLOOKUP(P89&amp;"|ALL|ALL|ALL",V8_COHORT_TABLE,9,FALSE),VLOOKUP("GLOBAL",V8_COHORT_TABLE,9,FALSE)))))</f>
        <v/>
      </c>
      <c r="AF89" s="8">
        <f>IF(K89&lt;=0,AB89,IF(K89&gt;=240,AE89,IF(K89&lt;=24,AB89+(K89-0)/24*(AC89-AB89),IF(K89&lt;=96,AC89+(K89-24)/72*(AD89-AC89),AD89+(K89-96)/144*(AE89-AD89)))))</f>
        <v/>
      </c>
      <c r="AG89" s="8">
        <f>IF(IF(OR(L89="",NOT(ISNUMBER(L89))),360,MAX(0,MIN(480,(INT(L89/100)-INT(VALUE(F89)/100))*12+MOD(L89,100)-MOD(VALUE(F89),100))))&gt;0,1+V8_MTY_AMP*MAX(0,(V8_MTY_CUTOFF-(IF(OR(L89="",NOT(ISNUMBER(L89))),360,MAX(0,MIN(480,(INT(L89/100)-INT(VALUE(F89)/100))*12+MOD(L89,100)-MOD(VALUE(F89),100))))))/V8_MTY_CUTOFF),1)</f>
        <v/>
      </c>
      <c r="AH89" s="8">
        <f>IF(AND(IF(OR(M89="",NOT(ISNUMBER(M89))),0,MAX(0,MIN(24,(INT(VALUE(F89)/100)-INT(M89/100))*12+MOD(VALUE(F89),100)-MOD(M89,100))))&gt;0,IF(OR(M89="",NOT(ISNUMBER(M89))),0,MAX(0,MIN(24,(INT(VALUE(F89)/100)-INT(M89/100))*12+MOD(VALUE(F89),100)-MOD(M89,100))))&lt;=12),1+V8_LOCKOUT_AMP*EXP(-(IF(OR(M89="",NOT(ISNUMBER(M89))),0,MAX(0,MIN(24,(INT(VALUE(F89)/100)-INT(M89/100))*12+MOD(VALUE(F89),100)-MOD(M89,100)))))/V8_LOCKOUT_TAU),1)</f>
        <v/>
      </c>
      <c r="AI89" s="8">
        <f>MAX(V8_BURN_FLOOR,1-V8_BURN_SLOPE*MIN(1,MAX(0,O89)))</f>
        <v/>
      </c>
      <c r="AJ89" s="15">
        <f>MIN(AA89*AF89*AG89*AH89*AI89,0.2)</f>
        <v/>
      </c>
      <c r="AK89" s="16">
        <f>1-(1-AJ89)^12</f>
        <v/>
      </c>
    </row>
    <row r="90">
      <c r="A90" s="2" t="inlineStr">
        <is>
          <t>000008711151</t>
        </is>
      </c>
      <c r="B90" t="inlineStr">
        <is>
          <t>223f</t>
        </is>
      </c>
      <c r="C90" t="inlineStr">
        <is>
          <t>RP</t>
        </is>
      </c>
      <c r="D90" t="inlineStr">
        <is>
          <t>WALKER &amp; DUNLOP, LLC</t>
        </is>
      </c>
      <c r="E90" t="n">
        <v>2023</v>
      </c>
      <c r="F90" t="inlineStr">
        <is>
          <t>202602</t>
        </is>
      </c>
      <c r="G90" s="9" t="n">
        <v>6005643.3</v>
      </c>
      <c r="H90" s="13" t="n">
        <v>6.19</v>
      </c>
      <c r="I90" s="14" t="n">
        <v>447</v>
      </c>
      <c r="J90" s="14" t="n">
        <v>8</v>
      </c>
      <c r="K90" t="n">
        <v>28</v>
      </c>
      <c r="L90" t="n">
        <v>205811</v>
      </c>
      <c r="M90" t="inlineStr"/>
      <c r="N90" t="n">
        <v>7</v>
      </c>
      <c r="O90" s="8" t="n">
        <v>0.25</v>
      </c>
      <c r="P90">
        <f>IF(ISNUMBER(SEARCH("232",B90)),"232",IF(ISNUMBER(SEARCH("538",B90)),"538",IF(ISNUMBER(SEARCH("223a7",B90)),"223a7",IF(ISNUMBER(SEARCH("223f",B90)),"223f","OTHER"))))</f>
        <v/>
      </c>
      <c r="Q90">
        <f>IF(UPPER(C90)="NC","NC","RP")</f>
        <v/>
      </c>
      <c r="R90">
        <f>IF(G90&lt;5000000,"small",IF(G90&lt;25000000,"medium","large"))</f>
        <v/>
      </c>
      <c r="S90">
        <f>IF(K90&lt;36,"young",IF(K90&lt;120,"seasoned","aged"))</f>
        <v/>
      </c>
      <c r="T90">
        <f>P90&amp;"|"&amp;Q90&amp;"|"&amp;R90&amp;"|"&amp;S90</f>
        <v/>
      </c>
      <c r="U90" s="14">
        <f>H90*100-I90</f>
        <v/>
      </c>
      <c r="V90" s="14">
        <f>U90-12.5*(J90+1)</f>
        <v/>
      </c>
      <c r="W90" s="15">
        <f>IFERROR(VLOOKUP(T90,V8_COHORT_TABLE,2,FALSE),IFERROR(VLOOKUP(P90&amp;"|"&amp;Q90&amp;"|ALL|"&amp;S90,V8_COHORT_TABLE,2,FALSE),IFERROR(VLOOKUP(P90&amp;"|ALL|ALL|"&amp;S90,V8_COHORT_TABLE,2,FALSE),IFERROR(VLOOKUP(P90&amp;"|ALL|ALL|ALL",V8_COHORT_TABLE,2,FALSE),VLOOKUP("GLOBAL",V8_COHORT_TABLE,2,FALSE)))))</f>
        <v/>
      </c>
      <c r="X90" s="15">
        <f>IFERROR(VLOOKUP(T90,V8_COHORT_TABLE,3,FALSE),IFERROR(VLOOKUP(P90&amp;"|"&amp;Q90&amp;"|ALL|"&amp;S90,V8_COHORT_TABLE,3,FALSE),IFERROR(VLOOKUP(P90&amp;"|ALL|ALL|"&amp;S90,V8_COHORT_TABLE,3,FALSE),IFERROR(VLOOKUP(P90&amp;"|ALL|ALL|ALL",V8_COHORT_TABLE,3,FALSE),VLOOKUP("GLOBAL",V8_COHORT_TABLE,3,FALSE)))))</f>
        <v/>
      </c>
      <c r="Y90" s="15">
        <f>IFERROR(VLOOKUP(T90,V8_COHORT_TABLE,4,FALSE),IFERROR(VLOOKUP(P90&amp;"|"&amp;Q90&amp;"|ALL|"&amp;S90,V8_COHORT_TABLE,4,FALSE),IFERROR(VLOOKUP(P90&amp;"|ALL|ALL|"&amp;S90,V8_COHORT_TABLE,4,FALSE),IFERROR(VLOOKUP(P90&amp;"|ALL|ALL|ALL",V8_COHORT_TABLE,4,FALSE),VLOOKUP("GLOBAL",V8_COHORT_TABLE,4,FALSE)))))</f>
        <v/>
      </c>
      <c r="Z90" s="15">
        <f>IFERROR(VLOOKUP(T90,V8_COHORT_TABLE,5,FALSE),IFERROR(VLOOKUP(P90&amp;"|"&amp;Q90&amp;"|ALL|"&amp;S90,V8_COHORT_TABLE,5,FALSE),IFERROR(VLOOKUP(P90&amp;"|ALL|ALL|"&amp;S90,V8_COHORT_TABLE,5,FALSE),IFERROR(VLOOKUP(P90&amp;"|ALL|ALL|ALL",V8_COHORT_TABLE,5,FALSE),VLOOKUP("GLOBAL",V8_COHORT_TABLE,5,FALSE)))))</f>
        <v/>
      </c>
      <c r="AA90" s="15">
        <f>W90+X90/(1+EXP(-(V90-Y90)/Z90))</f>
        <v/>
      </c>
      <c r="AB90" s="15">
        <f>IFERROR(VLOOKUP(T90,V8_COHORT_TABLE,6,FALSE),IFERROR(VLOOKUP(P90&amp;"|"&amp;Q90&amp;"|ALL|"&amp;S90,V8_COHORT_TABLE,6,FALSE),IFERROR(VLOOKUP(P90&amp;"|ALL|ALL|"&amp;S90,V8_COHORT_TABLE,6,FALSE),IFERROR(VLOOKUP(P90&amp;"|ALL|ALL|ALL",V8_COHORT_TABLE,6,FALSE),VLOOKUP("GLOBAL",V8_COHORT_TABLE,6,FALSE)))))</f>
        <v/>
      </c>
      <c r="AC90" s="15">
        <f>IFERROR(VLOOKUP(T90,V8_COHORT_TABLE,7,FALSE),IFERROR(VLOOKUP(P90&amp;"|"&amp;Q90&amp;"|ALL|"&amp;S90,V8_COHORT_TABLE,7,FALSE),IFERROR(VLOOKUP(P90&amp;"|ALL|ALL|"&amp;S90,V8_COHORT_TABLE,7,FALSE),IFERROR(VLOOKUP(P90&amp;"|ALL|ALL|ALL",V8_COHORT_TABLE,7,FALSE),VLOOKUP("GLOBAL",V8_COHORT_TABLE,7,FALSE)))))</f>
        <v/>
      </c>
      <c r="AD90" s="15">
        <f>IFERROR(VLOOKUP(T90,V8_COHORT_TABLE,8,FALSE),IFERROR(VLOOKUP(P90&amp;"|"&amp;Q90&amp;"|ALL|"&amp;S90,V8_COHORT_TABLE,8,FALSE),IFERROR(VLOOKUP(P90&amp;"|ALL|ALL|"&amp;S90,V8_COHORT_TABLE,8,FALSE),IFERROR(VLOOKUP(P90&amp;"|ALL|ALL|ALL",V8_COHORT_TABLE,8,FALSE),VLOOKUP("GLOBAL",V8_COHORT_TABLE,8,FALSE)))))</f>
        <v/>
      </c>
      <c r="AE90" s="15">
        <f>IFERROR(VLOOKUP(T90,V8_COHORT_TABLE,9,FALSE),IFERROR(VLOOKUP(P90&amp;"|"&amp;Q90&amp;"|ALL|"&amp;S90,V8_COHORT_TABLE,9,FALSE),IFERROR(VLOOKUP(P90&amp;"|ALL|ALL|"&amp;S90,V8_COHORT_TABLE,9,FALSE),IFERROR(VLOOKUP(P90&amp;"|ALL|ALL|ALL",V8_COHORT_TABLE,9,FALSE),VLOOKUP("GLOBAL",V8_COHORT_TABLE,9,FALSE)))))</f>
        <v/>
      </c>
      <c r="AF90" s="8">
        <f>IF(K90&lt;=0,AB90,IF(K90&gt;=240,AE90,IF(K90&lt;=24,AB90+(K90-0)/24*(AC90-AB90),IF(K90&lt;=96,AC90+(K90-24)/72*(AD90-AC90),AD90+(K90-96)/144*(AE90-AD90)))))</f>
        <v/>
      </c>
      <c r="AG90" s="8">
        <f>IF(IF(OR(L90="",NOT(ISNUMBER(L90))),360,MAX(0,MIN(480,(INT(L90/100)-INT(VALUE(F90)/100))*12+MOD(L90,100)-MOD(VALUE(F90),100))))&gt;0,1+V8_MTY_AMP*MAX(0,(V8_MTY_CUTOFF-(IF(OR(L90="",NOT(ISNUMBER(L90))),360,MAX(0,MIN(480,(INT(L90/100)-INT(VALUE(F90)/100))*12+MOD(L90,100)-MOD(VALUE(F90),100))))))/V8_MTY_CUTOFF),1)</f>
        <v/>
      </c>
      <c r="AH90" s="8">
        <f>IF(AND(IF(OR(M90="",NOT(ISNUMBER(M90))),0,MAX(0,MIN(24,(INT(VALUE(F90)/100)-INT(M90/100))*12+MOD(VALUE(F90),100)-MOD(M90,100))))&gt;0,IF(OR(M90="",NOT(ISNUMBER(M90))),0,MAX(0,MIN(24,(INT(VALUE(F90)/100)-INT(M90/100))*12+MOD(VALUE(F90),100)-MOD(M90,100))))&lt;=12),1+V8_LOCKOUT_AMP*EXP(-(IF(OR(M90="",NOT(ISNUMBER(M90))),0,MAX(0,MIN(24,(INT(VALUE(F90)/100)-INT(M90/100))*12+MOD(VALUE(F90),100)-MOD(M90,100)))))/V8_LOCKOUT_TAU),1)</f>
        <v/>
      </c>
      <c r="AI90" s="8">
        <f>MAX(V8_BURN_FLOOR,1-V8_BURN_SLOPE*MIN(1,MAX(0,O90)))</f>
        <v/>
      </c>
      <c r="AJ90" s="15">
        <f>MIN(AA90*AF90*AG90*AH90*AI90,0.2)</f>
        <v/>
      </c>
      <c r="AK90" s="16">
        <f>1-(1-AJ90)^12</f>
        <v/>
      </c>
    </row>
    <row r="91">
      <c r="A91" s="2" t="inlineStr">
        <is>
          <t>000014311196</t>
        </is>
      </c>
      <c r="B91" t="inlineStr">
        <is>
          <t>223f</t>
        </is>
      </c>
      <c r="C91" t="inlineStr">
        <is>
          <t>RP</t>
        </is>
      </c>
      <c r="D91" t="inlineStr">
        <is>
          <t>WALKER &amp; DUNLOP, LLC</t>
        </is>
      </c>
      <c r="E91" t="n">
        <v>2018</v>
      </c>
      <c r="F91" t="inlineStr">
        <is>
          <t>202602</t>
        </is>
      </c>
      <c r="G91" s="9" t="n">
        <v>39007699.47</v>
      </c>
      <c r="H91" s="13" t="n">
        <v>3.38</v>
      </c>
      <c r="I91" s="14" t="n">
        <v>447</v>
      </c>
      <c r="J91" s="14" t="n">
        <v>7</v>
      </c>
      <c r="K91" t="n">
        <v>88</v>
      </c>
      <c r="L91" t="n">
        <v>205311</v>
      </c>
      <c r="M91" t="n">
        <v>202204</v>
      </c>
      <c r="N91" t="n">
        <v>9</v>
      </c>
      <c r="O91" s="8" t="n">
        <v>0.1022727272727273</v>
      </c>
      <c r="P91">
        <f>IF(ISNUMBER(SEARCH("232",B91)),"232",IF(ISNUMBER(SEARCH("538",B91)),"538",IF(ISNUMBER(SEARCH("223a7",B91)),"223a7",IF(ISNUMBER(SEARCH("223f",B91)),"223f","OTHER"))))</f>
        <v/>
      </c>
      <c r="Q91">
        <f>IF(UPPER(C91)="NC","NC","RP")</f>
        <v/>
      </c>
      <c r="R91">
        <f>IF(G91&lt;5000000,"small",IF(G91&lt;25000000,"medium","large"))</f>
        <v/>
      </c>
      <c r="S91">
        <f>IF(K91&lt;36,"young",IF(K91&lt;120,"seasoned","aged"))</f>
        <v/>
      </c>
      <c r="T91">
        <f>P91&amp;"|"&amp;Q91&amp;"|"&amp;R91&amp;"|"&amp;S91</f>
        <v/>
      </c>
      <c r="U91" s="14">
        <f>H91*100-I91</f>
        <v/>
      </c>
      <c r="V91" s="14">
        <f>U91-12.5*(J91+1)</f>
        <v/>
      </c>
      <c r="W91" s="15">
        <f>IFERROR(VLOOKUP(T91,V8_COHORT_TABLE,2,FALSE),IFERROR(VLOOKUP(P91&amp;"|"&amp;Q91&amp;"|ALL|"&amp;S91,V8_COHORT_TABLE,2,FALSE),IFERROR(VLOOKUP(P91&amp;"|ALL|ALL|"&amp;S91,V8_COHORT_TABLE,2,FALSE),IFERROR(VLOOKUP(P91&amp;"|ALL|ALL|ALL",V8_COHORT_TABLE,2,FALSE),VLOOKUP("GLOBAL",V8_COHORT_TABLE,2,FALSE)))))</f>
        <v/>
      </c>
      <c r="X91" s="15">
        <f>IFERROR(VLOOKUP(T91,V8_COHORT_TABLE,3,FALSE),IFERROR(VLOOKUP(P91&amp;"|"&amp;Q91&amp;"|ALL|"&amp;S91,V8_COHORT_TABLE,3,FALSE),IFERROR(VLOOKUP(P91&amp;"|ALL|ALL|"&amp;S91,V8_COHORT_TABLE,3,FALSE),IFERROR(VLOOKUP(P91&amp;"|ALL|ALL|ALL",V8_COHORT_TABLE,3,FALSE),VLOOKUP("GLOBAL",V8_COHORT_TABLE,3,FALSE)))))</f>
        <v/>
      </c>
      <c r="Y91" s="15">
        <f>IFERROR(VLOOKUP(T91,V8_COHORT_TABLE,4,FALSE),IFERROR(VLOOKUP(P91&amp;"|"&amp;Q91&amp;"|ALL|"&amp;S91,V8_COHORT_TABLE,4,FALSE),IFERROR(VLOOKUP(P91&amp;"|ALL|ALL|"&amp;S91,V8_COHORT_TABLE,4,FALSE),IFERROR(VLOOKUP(P91&amp;"|ALL|ALL|ALL",V8_COHORT_TABLE,4,FALSE),VLOOKUP("GLOBAL",V8_COHORT_TABLE,4,FALSE)))))</f>
        <v/>
      </c>
      <c r="Z91" s="15">
        <f>IFERROR(VLOOKUP(T91,V8_COHORT_TABLE,5,FALSE),IFERROR(VLOOKUP(P91&amp;"|"&amp;Q91&amp;"|ALL|"&amp;S91,V8_COHORT_TABLE,5,FALSE),IFERROR(VLOOKUP(P91&amp;"|ALL|ALL|"&amp;S91,V8_COHORT_TABLE,5,FALSE),IFERROR(VLOOKUP(P91&amp;"|ALL|ALL|ALL",V8_COHORT_TABLE,5,FALSE),VLOOKUP("GLOBAL",V8_COHORT_TABLE,5,FALSE)))))</f>
        <v/>
      </c>
      <c r="AA91" s="15">
        <f>W91+X91/(1+EXP(-(V91-Y91)/Z91))</f>
        <v/>
      </c>
      <c r="AB91" s="15">
        <f>IFERROR(VLOOKUP(T91,V8_COHORT_TABLE,6,FALSE),IFERROR(VLOOKUP(P91&amp;"|"&amp;Q91&amp;"|ALL|"&amp;S91,V8_COHORT_TABLE,6,FALSE),IFERROR(VLOOKUP(P91&amp;"|ALL|ALL|"&amp;S91,V8_COHORT_TABLE,6,FALSE),IFERROR(VLOOKUP(P91&amp;"|ALL|ALL|ALL",V8_COHORT_TABLE,6,FALSE),VLOOKUP("GLOBAL",V8_COHORT_TABLE,6,FALSE)))))</f>
        <v/>
      </c>
      <c r="AC91" s="15">
        <f>IFERROR(VLOOKUP(T91,V8_COHORT_TABLE,7,FALSE),IFERROR(VLOOKUP(P91&amp;"|"&amp;Q91&amp;"|ALL|"&amp;S91,V8_COHORT_TABLE,7,FALSE),IFERROR(VLOOKUP(P91&amp;"|ALL|ALL|"&amp;S91,V8_COHORT_TABLE,7,FALSE),IFERROR(VLOOKUP(P91&amp;"|ALL|ALL|ALL",V8_COHORT_TABLE,7,FALSE),VLOOKUP("GLOBAL",V8_COHORT_TABLE,7,FALSE)))))</f>
        <v/>
      </c>
      <c r="AD91" s="15">
        <f>IFERROR(VLOOKUP(T91,V8_COHORT_TABLE,8,FALSE),IFERROR(VLOOKUP(P91&amp;"|"&amp;Q91&amp;"|ALL|"&amp;S91,V8_COHORT_TABLE,8,FALSE),IFERROR(VLOOKUP(P91&amp;"|ALL|ALL|"&amp;S91,V8_COHORT_TABLE,8,FALSE),IFERROR(VLOOKUP(P91&amp;"|ALL|ALL|ALL",V8_COHORT_TABLE,8,FALSE),VLOOKUP("GLOBAL",V8_COHORT_TABLE,8,FALSE)))))</f>
        <v/>
      </c>
      <c r="AE91" s="15">
        <f>IFERROR(VLOOKUP(T91,V8_COHORT_TABLE,9,FALSE),IFERROR(VLOOKUP(P91&amp;"|"&amp;Q91&amp;"|ALL|"&amp;S91,V8_COHORT_TABLE,9,FALSE),IFERROR(VLOOKUP(P91&amp;"|ALL|ALL|"&amp;S91,V8_COHORT_TABLE,9,FALSE),IFERROR(VLOOKUP(P91&amp;"|ALL|ALL|ALL",V8_COHORT_TABLE,9,FALSE),VLOOKUP("GLOBAL",V8_COHORT_TABLE,9,FALSE)))))</f>
        <v/>
      </c>
      <c r="AF91" s="8">
        <f>IF(K91&lt;=0,AB91,IF(K91&gt;=240,AE91,IF(K91&lt;=24,AB91+(K91-0)/24*(AC91-AB91),IF(K91&lt;=96,AC91+(K91-24)/72*(AD91-AC91),AD91+(K91-96)/144*(AE91-AD91)))))</f>
        <v/>
      </c>
      <c r="AG91" s="8">
        <f>IF(IF(OR(L91="",NOT(ISNUMBER(L91))),360,MAX(0,MIN(480,(INT(L91/100)-INT(VALUE(F91)/100))*12+MOD(L91,100)-MOD(VALUE(F91),100))))&gt;0,1+V8_MTY_AMP*MAX(0,(V8_MTY_CUTOFF-(IF(OR(L91="",NOT(ISNUMBER(L91))),360,MAX(0,MIN(480,(INT(L91/100)-INT(VALUE(F91)/100))*12+MOD(L91,100)-MOD(VALUE(F91),100))))))/V8_MTY_CUTOFF),1)</f>
        <v/>
      </c>
      <c r="AH91" s="8">
        <f>IF(AND(IF(OR(M91="",NOT(ISNUMBER(M91))),0,MAX(0,MIN(24,(INT(VALUE(F91)/100)-INT(M91/100))*12+MOD(VALUE(F91),100)-MOD(M91,100))))&gt;0,IF(OR(M91="",NOT(ISNUMBER(M91))),0,MAX(0,MIN(24,(INT(VALUE(F91)/100)-INT(M91/100))*12+MOD(VALUE(F91),100)-MOD(M91,100))))&lt;=12),1+V8_LOCKOUT_AMP*EXP(-(IF(OR(M91="",NOT(ISNUMBER(M91))),0,MAX(0,MIN(24,(INT(VALUE(F91)/100)-INT(M91/100))*12+MOD(VALUE(F91),100)-MOD(M91,100)))))/V8_LOCKOUT_TAU),1)</f>
        <v/>
      </c>
      <c r="AI91" s="8">
        <f>MAX(V8_BURN_FLOOR,1-V8_BURN_SLOPE*MIN(1,MAX(0,O91)))</f>
        <v/>
      </c>
      <c r="AJ91" s="15">
        <f>MIN(AA91*AF91*AG91*AH91*AI91,0.2)</f>
        <v/>
      </c>
      <c r="AK91" s="16">
        <f>1-(1-AJ91)^12</f>
        <v/>
      </c>
    </row>
    <row r="92">
      <c r="A92" s="2" t="inlineStr">
        <is>
          <t>000010322077</t>
        </is>
      </c>
      <c r="B92" t="inlineStr">
        <is>
          <t>232</t>
        </is>
      </c>
      <c r="C92" t="inlineStr">
        <is>
          <t>RP</t>
        </is>
      </c>
      <c r="D92" t="inlineStr">
        <is>
          <t>WALKER &amp; DUNLOP, LLC</t>
        </is>
      </c>
      <c r="E92" t="n">
        <v>2022</v>
      </c>
      <c r="F92" t="inlineStr">
        <is>
          <t>202602</t>
        </is>
      </c>
      <c r="G92" s="9" t="n">
        <v>7367099.98</v>
      </c>
      <c r="H92" s="13" t="n">
        <v>5.7</v>
      </c>
      <c r="I92" s="14" t="n">
        <v>447</v>
      </c>
      <c r="J92" s="14" t="n">
        <v>7</v>
      </c>
      <c r="K92" t="n">
        <v>39</v>
      </c>
      <c r="L92" t="n">
        <v>205712</v>
      </c>
      <c r="M92" t="inlineStr"/>
      <c r="N92" t="n">
        <v>3</v>
      </c>
      <c r="O92" s="8" t="n">
        <v>0.07692307692307693</v>
      </c>
      <c r="P92">
        <f>IF(ISNUMBER(SEARCH("232",B92)),"232",IF(ISNUMBER(SEARCH("538",B92)),"538",IF(ISNUMBER(SEARCH("223a7",B92)),"223a7",IF(ISNUMBER(SEARCH("223f",B92)),"223f","OTHER"))))</f>
        <v/>
      </c>
      <c r="Q92">
        <f>IF(UPPER(C92)="NC","NC","RP")</f>
        <v/>
      </c>
      <c r="R92">
        <f>IF(G92&lt;5000000,"small",IF(G92&lt;25000000,"medium","large"))</f>
        <v/>
      </c>
      <c r="S92">
        <f>IF(K92&lt;36,"young",IF(K92&lt;120,"seasoned","aged"))</f>
        <v/>
      </c>
      <c r="T92">
        <f>P92&amp;"|"&amp;Q92&amp;"|"&amp;R92&amp;"|"&amp;S92</f>
        <v/>
      </c>
      <c r="U92" s="14">
        <f>H92*100-I92</f>
        <v/>
      </c>
      <c r="V92" s="14">
        <f>U92-12.5*(J92+1)</f>
        <v/>
      </c>
      <c r="W92" s="15">
        <f>IFERROR(VLOOKUP(T92,V8_COHORT_TABLE,2,FALSE),IFERROR(VLOOKUP(P92&amp;"|"&amp;Q92&amp;"|ALL|"&amp;S92,V8_COHORT_TABLE,2,FALSE),IFERROR(VLOOKUP(P92&amp;"|ALL|ALL|"&amp;S92,V8_COHORT_TABLE,2,FALSE),IFERROR(VLOOKUP(P92&amp;"|ALL|ALL|ALL",V8_COHORT_TABLE,2,FALSE),VLOOKUP("GLOBAL",V8_COHORT_TABLE,2,FALSE)))))</f>
        <v/>
      </c>
      <c r="X92" s="15">
        <f>IFERROR(VLOOKUP(T92,V8_COHORT_TABLE,3,FALSE),IFERROR(VLOOKUP(P92&amp;"|"&amp;Q92&amp;"|ALL|"&amp;S92,V8_COHORT_TABLE,3,FALSE),IFERROR(VLOOKUP(P92&amp;"|ALL|ALL|"&amp;S92,V8_COHORT_TABLE,3,FALSE),IFERROR(VLOOKUP(P92&amp;"|ALL|ALL|ALL",V8_COHORT_TABLE,3,FALSE),VLOOKUP("GLOBAL",V8_COHORT_TABLE,3,FALSE)))))</f>
        <v/>
      </c>
      <c r="Y92" s="15">
        <f>IFERROR(VLOOKUP(T92,V8_COHORT_TABLE,4,FALSE),IFERROR(VLOOKUP(P92&amp;"|"&amp;Q92&amp;"|ALL|"&amp;S92,V8_COHORT_TABLE,4,FALSE),IFERROR(VLOOKUP(P92&amp;"|ALL|ALL|"&amp;S92,V8_COHORT_TABLE,4,FALSE),IFERROR(VLOOKUP(P92&amp;"|ALL|ALL|ALL",V8_COHORT_TABLE,4,FALSE),VLOOKUP("GLOBAL",V8_COHORT_TABLE,4,FALSE)))))</f>
        <v/>
      </c>
      <c r="Z92" s="15">
        <f>IFERROR(VLOOKUP(T92,V8_COHORT_TABLE,5,FALSE),IFERROR(VLOOKUP(P92&amp;"|"&amp;Q92&amp;"|ALL|"&amp;S92,V8_COHORT_TABLE,5,FALSE),IFERROR(VLOOKUP(P92&amp;"|ALL|ALL|"&amp;S92,V8_COHORT_TABLE,5,FALSE),IFERROR(VLOOKUP(P92&amp;"|ALL|ALL|ALL",V8_COHORT_TABLE,5,FALSE),VLOOKUP("GLOBAL",V8_COHORT_TABLE,5,FALSE)))))</f>
        <v/>
      </c>
      <c r="AA92" s="15">
        <f>W92+X92/(1+EXP(-(V92-Y92)/Z92))</f>
        <v/>
      </c>
      <c r="AB92" s="15">
        <f>IFERROR(VLOOKUP(T92,V8_COHORT_TABLE,6,FALSE),IFERROR(VLOOKUP(P92&amp;"|"&amp;Q92&amp;"|ALL|"&amp;S92,V8_COHORT_TABLE,6,FALSE),IFERROR(VLOOKUP(P92&amp;"|ALL|ALL|"&amp;S92,V8_COHORT_TABLE,6,FALSE),IFERROR(VLOOKUP(P92&amp;"|ALL|ALL|ALL",V8_COHORT_TABLE,6,FALSE),VLOOKUP("GLOBAL",V8_COHORT_TABLE,6,FALSE)))))</f>
        <v/>
      </c>
      <c r="AC92" s="15">
        <f>IFERROR(VLOOKUP(T92,V8_COHORT_TABLE,7,FALSE),IFERROR(VLOOKUP(P92&amp;"|"&amp;Q92&amp;"|ALL|"&amp;S92,V8_COHORT_TABLE,7,FALSE),IFERROR(VLOOKUP(P92&amp;"|ALL|ALL|"&amp;S92,V8_COHORT_TABLE,7,FALSE),IFERROR(VLOOKUP(P92&amp;"|ALL|ALL|ALL",V8_COHORT_TABLE,7,FALSE),VLOOKUP("GLOBAL",V8_COHORT_TABLE,7,FALSE)))))</f>
        <v/>
      </c>
      <c r="AD92" s="15">
        <f>IFERROR(VLOOKUP(T92,V8_COHORT_TABLE,8,FALSE),IFERROR(VLOOKUP(P92&amp;"|"&amp;Q92&amp;"|ALL|"&amp;S92,V8_COHORT_TABLE,8,FALSE),IFERROR(VLOOKUP(P92&amp;"|ALL|ALL|"&amp;S92,V8_COHORT_TABLE,8,FALSE),IFERROR(VLOOKUP(P92&amp;"|ALL|ALL|ALL",V8_COHORT_TABLE,8,FALSE),VLOOKUP("GLOBAL",V8_COHORT_TABLE,8,FALSE)))))</f>
        <v/>
      </c>
      <c r="AE92" s="15">
        <f>IFERROR(VLOOKUP(T92,V8_COHORT_TABLE,9,FALSE),IFERROR(VLOOKUP(P92&amp;"|"&amp;Q92&amp;"|ALL|"&amp;S92,V8_COHORT_TABLE,9,FALSE),IFERROR(VLOOKUP(P92&amp;"|ALL|ALL|"&amp;S92,V8_COHORT_TABLE,9,FALSE),IFERROR(VLOOKUP(P92&amp;"|ALL|ALL|ALL",V8_COHORT_TABLE,9,FALSE),VLOOKUP("GLOBAL",V8_COHORT_TABLE,9,FALSE)))))</f>
        <v/>
      </c>
      <c r="AF92" s="8">
        <f>IF(K92&lt;=0,AB92,IF(K92&gt;=240,AE92,IF(K92&lt;=24,AB92+(K92-0)/24*(AC92-AB92),IF(K92&lt;=96,AC92+(K92-24)/72*(AD92-AC92),AD92+(K92-96)/144*(AE92-AD92)))))</f>
        <v/>
      </c>
      <c r="AG92" s="8">
        <f>IF(IF(OR(L92="",NOT(ISNUMBER(L92))),360,MAX(0,MIN(480,(INT(L92/100)-INT(VALUE(F92)/100))*12+MOD(L92,100)-MOD(VALUE(F92),100))))&gt;0,1+V8_MTY_AMP*MAX(0,(V8_MTY_CUTOFF-(IF(OR(L92="",NOT(ISNUMBER(L92))),360,MAX(0,MIN(480,(INT(L92/100)-INT(VALUE(F92)/100))*12+MOD(L92,100)-MOD(VALUE(F92),100))))))/V8_MTY_CUTOFF),1)</f>
        <v/>
      </c>
      <c r="AH92" s="8">
        <f>IF(AND(IF(OR(M92="",NOT(ISNUMBER(M92))),0,MAX(0,MIN(24,(INT(VALUE(F92)/100)-INT(M92/100))*12+MOD(VALUE(F92),100)-MOD(M92,100))))&gt;0,IF(OR(M92="",NOT(ISNUMBER(M92))),0,MAX(0,MIN(24,(INT(VALUE(F92)/100)-INT(M92/100))*12+MOD(VALUE(F92),100)-MOD(M92,100))))&lt;=12),1+V8_LOCKOUT_AMP*EXP(-(IF(OR(M92="",NOT(ISNUMBER(M92))),0,MAX(0,MIN(24,(INT(VALUE(F92)/100)-INT(M92/100))*12+MOD(VALUE(F92),100)-MOD(M92,100)))))/V8_LOCKOUT_TAU),1)</f>
        <v/>
      </c>
      <c r="AI92" s="8">
        <f>MAX(V8_BURN_FLOOR,1-V8_BURN_SLOPE*MIN(1,MAX(0,O92)))</f>
        <v/>
      </c>
      <c r="AJ92" s="15">
        <f>MIN(AA92*AF92*AG92*AH92*AI92,0.2)</f>
        <v/>
      </c>
      <c r="AK92" s="16">
        <f>1-(1-AJ92)^12</f>
        <v/>
      </c>
    </row>
    <row r="93">
      <c r="A93" s="2" t="inlineStr">
        <is>
          <t>000004611202</t>
        </is>
      </c>
      <c r="B93" t="inlineStr">
        <is>
          <t>223f</t>
        </is>
      </c>
      <c r="C93" t="inlineStr">
        <is>
          <t>RP</t>
        </is>
      </c>
      <c r="D93" t="inlineStr">
        <is>
          <t>GREYSTONE FUNDING COMPANY LLC</t>
        </is>
      </c>
      <c r="E93" t="n">
        <v>2022</v>
      </c>
      <c r="F93" t="inlineStr">
        <is>
          <t>202602</t>
        </is>
      </c>
      <c r="G93" s="9" t="n">
        <v>6334987</v>
      </c>
      <c r="H93" s="13" t="n">
        <v>2.9</v>
      </c>
      <c r="I93" s="14" t="n">
        <v>447</v>
      </c>
      <c r="J93" s="14" t="n">
        <v>0</v>
      </c>
      <c r="K93" t="n">
        <v>47</v>
      </c>
      <c r="L93" t="n">
        <v>205704</v>
      </c>
      <c r="M93" t="inlineStr"/>
      <c r="N93" t="n">
        <v>0</v>
      </c>
      <c r="O93" s="8" t="n">
        <v>0</v>
      </c>
      <c r="P93">
        <f>IF(ISNUMBER(SEARCH("232",B93)),"232",IF(ISNUMBER(SEARCH("538",B93)),"538",IF(ISNUMBER(SEARCH("223a7",B93)),"223a7",IF(ISNUMBER(SEARCH("223f",B93)),"223f","OTHER"))))</f>
        <v/>
      </c>
      <c r="Q93">
        <f>IF(UPPER(C93)="NC","NC","RP")</f>
        <v/>
      </c>
      <c r="R93">
        <f>IF(G93&lt;5000000,"small",IF(G93&lt;25000000,"medium","large"))</f>
        <v/>
      </c>
      <c r="S93">
        <f>IF(K93&lt;36,"young",IF(K93&lt;120,"seasoned","aged"))</f>
        <v/>
      </c>
      <c r="T93">
        <f>P93&amp;"|"&amp;Q93&amp;"|"&amp;R93&amp;"|"&amp;S93</f>
        <v/>
      </c>
      <c r="U93" s="14">
        <f>H93*100-I93</f>
        <v/>
      </c>
      <c r="V93" s="14">
        <f>U93-12.5*(J93+1)</f>
        <v/>
      </c>
      <c r="W93" s="15">
        <f>IFERROR(VLOOKUP(T93,V8_COHORT_TABLE,2,FALSE),IFERROR(VLOOKUP(P93&amp;"|"&amp;Q93&amp;"|ALL|"&amp;S93,V8_COHORT_TABLE,2,FALSE),IFERROR(VLOOKUP(P93&amp;"|ALL|ALL|"&amp;S93,V8_COHORT_TABLE,2,FALSE),IFERROR(VLOOKUP(P93&amp;"|ALL|ALL|ALL",V8_COHORT_TABLE,2,FALSE),VLOOKUP("GLOBAL",V8_COHORT_TABLE,2,FALSE)))))</f>
        <v/>
      </c>
      <c r="X93" s="15">
        <f>IFERROR(VLOOKUP(T93,V8_COHORT_TABLE,3,FALSE),IFERROR(VLOOKUP(P93&amp;"|"&amp;Q93&amp;"|ALL|"&amp;S93,V8_COHORT_TABLE,3,FALSE),IFERROR(VLOOKUP(P93&amp;"|ALL|ALL|"&amp;S93,V8_COHORT_TABLE,3,FALSE),IFERROR(VLOOKUP(P93&amp;"|ALL|ALL|ALL",V8_COHORT_TABLE,3,FALSE),VLOOKUP("GLOBAL",V8_COHORT_TABLE,3,FALSE)))))</f>
        <v/>
      </c>
      <c r="Y93" s="15">
        <f>IFERROR(VLOOKUP(T93,V8_COHORT_TABLE,4,FALSE),IFERROR(VLOOKUP(P93&amp;"|"&amp;Q93&amp;"|ALL|"&amp;S93,V8_COHORT_TABLE,4,FALSE),IFERROR(VLOOKUP(P93&amp;"|ALL|ALL|"&amp;S93,V8_COHORT_TABLE,4,FALSE),IFERROR(VLOOKUP(P93&amp;"|ALL|ALL|ALL",V8_COHORT_TABLE,4,FALSE),VLOOKUP("GLOBAL",V8_COHORT_TABLE,4,FALSE)))))</f>
        <v/>
      </c>
      <c r="Z93" s="15">
        <f>IFERROR(VLOOKUP(T93,V8_COHORT_TABLE,5,FALSE),IFERROR(VLOOKUP(P93&amp;"|"&amp;Q93&amp;"|ALL|"&amp;S93,V8_COHORT_TABLE,5,FALSE),IFERROR(VLOOKUP(P93&amp;"|ALL|ALL|"&amp;S93,V8_COHORT_TABLE,5,FALSE),IFERROR(VLOOKUP(P93&amp;"|ALL|ALL|ALL",V8_COHORT_TABLE,5,FALSE),VLOOKUP("GLOBAL",V8_COHORT_TABLE,5,FALSE)))))</f>
        <v/>
      </c>
      <c r="AA93" s="15">
        <f>W93+X93/(1+EXP(-(V93-Y93)/Z93))</f>
        <v/>
      </c>
      <c r="AB93" s="15">
        <f>IFERROR(VLOOKUP(T93,V8_COHORT_TABLE,6,FALSE),IFERROR(VLOOKUP(P93&amp;"|"&amp;Q93&amp;"|ALL|"&amp;S93,V8_COHORT_TABLE,6,FALSE),IFERROR(VLOOKUP(P93&amp;"|ALL|ALL|"&amp;S93,V8_COHORT_TABLE,6,FALSE),IFERROR(VLOOKUP(P93&amp;"|ALL|ALL|ALL",V8_COHORT_TABLE,6,FALSE),VLOOKUP("GLOBAL",V8_COHORT_TABLE,6,FALSE)))))</f>
        <v/>
      </c>
      <c r="AC93" s="15">
        <f>IFERROR(VLOOKUP(T93,V8_COHORT_TABLE,7,FALSE),IFERROR(VLOOKUP(P93&amp;"|"&amp;Q93&amp;"|ALL|"&amp;S93,V8_COHORT_TABLE,7,FALSE),IFERROR(VLOOKUP(P93&amp;"|ALL|ALL|"&amp;S93,V8_COHORT_TABLE,7,FALSE),IFERROR(VLOOKUP(P93&amp;"|ALL|ALL|ALL",V8_COHORT_TABLE,7,FALSE),VLOOKUP("GLOBAL",V8_COHORT_TABLE,7,FALSE)))))</f>
        <v/>
      </c>
      <c r="AD93" s="15">
        <f>IFERROR(VLOOKUP(T93,V8_COHORT_TABLE,8,FALSE),IFERROR(VLOOKUP(P93&amp;"|"&amp;Q93&amp;"|ALL|"&amp;S93,V8_COHORT_TABLE,8,FALSE),IFERROR(VLOOKUP(P93&amp;"|ALL|ALL|"&amp;S93,V8_COHORT_TABLE,8,FALSE),IFERROR(VLOOKUP(P93&amp;"|ALL|ALL|ALL",V8_COHORT_TABLE,8,FALSE),VLOOKUP("GLOBAL",V8_COHORT_TABLE,8,FALSE)))))</f>
        <v/>
      </c>
      <c r="AE93" s="15">
        <f>IFERROR(VLOOKUP(T93,V8_COHORT_TABLE,9,FALSE),IFERROR(VLOOKUP(P93&amp;"|"&amp;Q93&amp;"|ALL|"&amp;S93,V8_COHORT_TABLE,9,FALSE),IFERROR(VLOOKUP(P93&amp;"|ALL|ALL|"&amp;S93,V8_COHORT_TABLE,9,FALSE),IFERROR(VLOOKUP(P93&amp;"|ALL|ALL|ALL",V8_COHORT_TABLE,9,FALSE),VLOOKUP("GLOBAL",V8_COHORT_TABLE,9,FALSE)))))</f>
        <v/>
      </c>
      <c r="AF93" s="8">
        <f>IF(K93&lt;=0,AB93,IF(K93&gt;=240,AE93,IF(K93&lt;=24,AB93+(K93-0)/24*(AC93-AB93),IF(K93&lt;=96,AC93+(K93-24)/72*(AD93-AC93),AD93+(K93-96)/144*(AE93-AD93)))))</f>
        <v/>
      </c>
      <c r="AG93" s="8">
        <f>IF(IF(OR(L93="",NOT(ISNUMBER(L93))),360,MAX(0,MIN(480,(INT(L93/100)-INT(VALUE(F93)/100))*12+MOD(L93,100)-MOD(VALUE(F93),100))))&gt;0,1+V8_MTY_AMP*MAX(0,(V8_MTY_CUTOFF-(IF(OR(L93="",NOT(ISNUMBER(L93))),360,MAX(0,MIN(480,(INT(L93/100)-INT(VALUE(F93)/100))*12+MOD(L93,100)-MOD(VALUE(F93),100))))))/V8_MTY_CUTOFF),1)</f>
        <v/>
      </c>
      <c r="AH93" s="8">
        <f>IF(AND(IF(OR(M93="",NOT(ISNUMBER(M93))),0,MAX(0,MIN(24,(INT(VALUE(F93)/100)-INT(M93/100))*12+MOD(VALUE(F93),100)-MOD(M93,100))))&gt;0,IF(OR(M93="",NOT(ISNUMBER(M93))),0,MAX(0,MIN(24,(INT(VALUE(F93)/100)-INT(M93/100))*12+MOD(VALUE(F93),100)-MOD(M93,100))))&lt;=12),1+V8_LOCKOUT_AMP*EXP(-(IF(OR(M93="",NOT(ISNUMBER(M93))),0,MAX(0,MIN(24,(INT(VALUE(F93)/100)-INT(M93/100))*12+MOD(VALUE(F93),100)-MOD(M93,100)))))/V8_LOCKOUT_TAU),1)</f>
        <v/>
      </c>
      <c r="AI93" s="8">
        <f>MAX(V8_BURN_FLOOR,1-V8_BURN_SLOPE*MIN(1,MAX(0,O93)))</f>
        <v/>
      </c>
      <c r="AJ93" s="15">
        <f>MIN(AA93*AF93*AG93*AH93*AI93,0.2)</f>
        <v/>
      </c>
      <c r="AK93" s="16">
        <f>1-(1-AJ93)^12</f>
        <v/>
      </c>
    </row>
    <row r="94">
      <c r="A94" s="2" t="inlineStr">
        <is>
          <t>000004222412</t>
        </is>
      </c>
      <c r="B94" t="inlineStr">
        <is>
          <t>232</t>
        </is>
      </c>
      <c r="C94" t="inlineStr">
        <is>
          <t>RP</t>
        </is>
      </c>
      <c r="D94" t="inlineStr">
        <is>
          <t>GREYSTONE FUNDING COMPANY LLC</t>
        </is>
      </c>
      <c r="E94" t="n">
        <v>2023</v>
      </c>
      <c r="F94" t="inlineStr">
        <is>
          <t>202602</t>
        </is>
      </c>
      <c r="G94" s="9" t="n">
        <v>8313205.86</v>
      </c>
      <c r="H94" s="13" t="n">
        <v>6.09</v>
      </c>
      <c r="I94" s="14" t="n">
        <v>447</v>
      </c>
      <c r="J94" s="14" t="n">
        <v>8</v>
      </c>
      <c r="K94" t="n">
        <v>29</v>
      </c>
      <c r="L94" t="n">
        <v>205810</v>
      </c>
      <c r="M94" t="inlineStr"/>
      <c r="N94" t="n">
        <v>5</v>
      </c>
      <c r="O94" s="8" t="n">
        <v>0.1724137931034483</v>
      </c>
      <c r="P94">
        <f>IF(ISNUMBER(SEARCH("232",B94)),"232",IF(ISNUMBER(SEARCH("538",B94)),"538",IF(ISNUMBER(SEARCH("223a7",B94)),"223a7",IF(ISNUMBER(SEARCH("223f",B94)),"223f","OTHER"))))</f>
        <v/>
      </c>
      <c r="Q94">
        <f>IF(UPPER(C94)="NC","NC","RP")</f>
        <v/>
      </c>
      <c r="R94">
        <f>IF(G94&lt;5000000,"small",IF(G94&lt;25000000,"medium","large"))</f>
        <v/>
      </c>
      <c r="S94">
        <f>IF(K94&lt;36,"young",IF(K94&lt;120,"seasoned","aged"))</f>
        <v/>
      </c>
      <c r="T94">
        <f>P94&amp;"|"&amp;Q94&amp;"|"&amp;R94&amp;"|"&amp;S94</f>
        <v/>
      </c>
      <c r="U94" s="14">
        <f>H94*100-I94</f>
        <v/>
      </c>
      <c r="V94" s="14">
        <f>U94-12.5*(J94+1)</f>
        <v/>
      </c>
      <c r="W94" s="15">
        <f>IFERROR(VLOOKUP(T94,V8_COHORT_TABLE,2,FALSE),IFERROR(VLOOKUP(P94&amp;"|"&amp;Q94&amp;"|ALL|"&amp;S94,V8_COHORT_TABLE,2,FALSE),IFERROR(VLOOKUP(P94&amp;"|ALL|ALL|"&amp;S94,V8_COHORT_TABLE,2,FALSE),IFERROR(VLOOKUP(P94&amp;"|ALL|ALL|ALL",V8_COHORT_TABLE,2,FALSE),VLOOKUP("GLOBAL",V8_COHORT_TABLE,2,FALSE)))))</f>
        <v/>
      </c>
      <c r="X94" s="15">
        <f>IFERROR(VLOOKUP(T94,V8_COHORT_TABLE,3,FALSE),IFERROR(VLOOKUP(P94&amp;"|"&amp;Q94&amp;"|ALL|"&amp;S94,V8_COHORT_TABLE,3,FALSE),IFERROR(VLOOKUP(P94&amp;"|ALL|ALL|"&amp;S94,V8_COHORT_TABLE,3,FALSE),IFERROR(VLOOKUP(P94&amp;"|ALL|ALL|ALL",V8_COHORT_TABLE,3,FALSE),VLOOKUP("GLOBAL",V8_COHORT_TABLE,3,FALSE)))))</f>
        <v/>
      </c>
      <c r="Y94" s="15">
        <f>IFERROR(VLOOKUP(T94,V8_COHORT_TABLE,4,FALSE),IFERROR(VLOOKUP(P94&amp;"|"&amp;Q94&amp;"|ALL|"&amp;S94,V8_COHORT_TABLE,4,FALSE),IFERROR(VLOOKUP(P94&amp;"|ALL|ALL|"&amp;S94,V8_COHORT_TABLE,4,FALSE),IFERROR(VLOOKUP(P94&amp;"|ALL|ALL|ALL",V8_COHORT_TABLE,4,FALSE),VLOOKUP("GLOBAL",V8_COHORT_TABLE,4,FALSE)))))</f>
        <v/>
      </c>
      <c r="Z94" s="15">
        <f>IFERROR(VLOOKUP(T94,V8_COHORT_TABLE,5,FALSE),IFERROR(VLOOKUP(P94&amp;"|"&amp;Q94&amp;"|ALL|"&amp;S94,V8_COHORT_TABLE,5,FALSE),IFERROR(VLOOKUP(P94&amp;"|ALL|ALL|"&amp;S94,V8_COHORT_TABLE,5,FALSE),IFERROR(VLOOKUP(P94&amp;"|ALL|ALL|ALL",V8_COHORT_TABLE,5,FALSE),VLOOKUP("GLOBAL",V8_COHORT_TABLE,5,FALSE)))))</f>
        <v/>
      </c>
      <c r="AA94" s="15">
        <f>W94+X94/(1+EXP(-(V94-Y94)/Z94))</f>
        <v/>
      </c>
      <c r="AB94" s="15">
        <f>IFERROR(VLOOKUP(T94,V8_COHORT_TABLE,6,FALSE),IFERROR(VLOOKUP(P94&amp;"|"&amp;Q94&amp;"|ALL|"&amp;S94,V8_COHORT_TABLE,6,FALSE),IFERROR(VLOOKUP(P94&amp;"|ALL|ALL|"&amp;S94,V8_COHORT_TABLE,6,FALSE),IFERROR(VLOOKUP(P94&amp;"|ALL|ALL|ALL",V8_COHORT_TABLE,6,FALSE),VLOOKUP("GLOBAL",V8_COHORT_TABLE,6,FALSE)))))</f>
        <v/>
      </c>
      <c r="AC94" s="15">
        <f>IFERROR(VLOOKUP(T94,V8_COHORT_TABLE,7,FALSE),IFERROR(VLOOKUP(P94&amp;"|"&amp;Q94&amp;"|ALL|"&amp;S94,V8_COHORT_TABLE,7,FALSE),IFERROR(VLOOKUP(P94&amp;"|ALL|ALL|"&amp;S94,V8_COHORT_TABLE,7,FALSE),IFERROR(VLOOKUP(P94&amp;"|ALL|ALL|ALL",V8_COHORT_TABLE,7,FALSE),VLOOKUP("GLOBAL",V8_COHORT_TABLE,7,FALSE)))))</f>
        <v/>
      </c>
      <c r="AD94" s="15">
        <f>IFERROR(VLOOKUP(T94,V8_COHORT_TABLE,8,FALSE),IFERROR(VLOOKUP(P94&amp;"|"&amp;Q94&amp;"|ALL|"&amp;S94,V8_COHORT_TABLE,8,FALSE),IFERROR(VLOOKUP(P94&amp;"|ALL|ALL|"&amp;S94,V8_COHORT_TABLE,8,FALSE),IFERROR(VLOOKUP(P94&amp;"|ALL|ALL|ALL",V8_COHORT_TABLE,8,FALSE),VLOOKUP("GLOBAL",V8_COHORT_TABLE,8,FALSE)))))</f>
        <v/>
      </c>
      <c r="AE94" s="15">
        <f>IFERROR(VLOOKUP(T94,V8_COHORT_TABLE,9,FALSE),IFERROR(VLOOKUP(P94&amp;"|"&amp;Q94&amp;"|ALL|"&amp;S94,V8_COHORT_TABLE,9,FALSE),IFERROR(VLOOKUP(P94&amp;"|ALL|ALL|"&amp;S94,V8_COHORT_TABLE,9,FALSE),IFERROR(VLOOKUP(P94&amp;"|ALL|ALL|ALL",V8_COHORT_TABLE,9,FALSE),VLOOKUP("GLOBAL",V8_COHORT_TABLE,9,FALSE)))))</f>
        <v/>
      </c>
      <c r="AF94" s="8">
        <f>IF(K94&lt;=0,AB94,IF(K94&gt;=240,AE94,IF(K94&lt;=24,AB94+(K94-0)/24*(AC94-AB94),IF(K94&lt;=96,AC94+(K94-24)/72*(AD94-AC94),AD94+(K94-96)/144*(AE94-AD94)))))</f>
        <v/>
      </c>
      <c r="AG94" s="8">
        <f>IF(IF(OR(L94="",NOT(ISNUMBER(L94))),360,MAX(0,MIN(480,(INT(L94/100)-INT(VALUE(F94)/100))*12+MOD(L94,100)-MOD(VALUE(F94),100))))&gt;0,1+V8_MTY_AMP*MAX(0,(V8_MTY_CUTOFF-(IF(OR(L94="",NOT(ISNUMBER(L94))),360,MAX(0,MIN(480,(INT(L94/100)-INT(VALUE(F94)/100))*12+MOD(L94,100)-MOD(VALUE(F94),100))))))/V8_MTY_CUTOFF),1)</f>
        <v/>
      </c>
      <c r="AH94" s="8">
        <f>IF(AND(IF(OR(M94="",NOT(ISNUMBER(M94))),0,MAX(0,MIN(24,(INT(VALUE(F94)/100)-INT(M94/100))*12+MOD(VALUE(F94),100)-MOD(M94,100))))&gt;0,IF(OR(M94="",NOT(ISNUMBER(M94))),0,MAX(0,MIN(24,(INT(VALUE(F94)/100)-INT(M94/100))*12+MOD(VALUE(F94),100)-MOD(M94,100))))&lt;=12),1+V8_LOCKOUT_AMP*EXP(-(IF(OR(M94="",NOT(ISNUMBER(M94))),0,MAX(0,MIN(24,(INT(VALUE(F94)/100)-INT(M94/100))*12+MOD(VALUE(F94),100)-MOD(M94,100)))))/V8_LOCKOUT_TAU),1)</f>
        <v/>
      </c>
      <c r="AI94" s="8">
        <f>MAX(V8_BURN_FLOOR,1-V8_BURN_SLOPE*MIN(1,MAX(0,O94)))</f>
        <v/>
      </c>
      <c r="AJ94" s="15">
        <f>MIN(AA94*AF94*AG94*AH94*AI94,0.2)</f>
        <v/>
      </c>
      <c r="AK94" s="16">
        <f>1-(1-AJ94)^12</f>
        <v/>
      </c>
    </row>
    <row r="95">
      <c r="A95" s="2" t="inlineStr">
        <is>
          <t>000012335554</t>
        </is>
      </c>
      <c r="B95" t="inlineStr">
        <is>
          <t>221d4</t>
        </is>
      </c>
      <c r="C95" t="inlineStr">
        <is>
          <t>NC</t>
        </is>
      </c>
      <c r="D95" t="inlineStr">
        <is>
          <t>GREYSTONE FUNDING COMPANY LLC</t>
        </is>
      </c>
      <c r="E95" t="n">
        <v>2020</v>
      </c>
      <c r="F95" t="inlineStr">
        <is>
          <t>202602</t>
        </is>
      </c>
      <c r="G95" s="9" t="n">
        <v>28046987.97</v>
      </c>
      <c r="H95" s="13" t="n">
        <v>3.25</v>
      </c>
      <c r="I95" s="14" t="n">
        <v>447</v>
      </c>
      <c r="J95" s="14" t="n">
        <v>7</v>
      </c>
      <c r="K95" t="n">
        <v>65</v>
      </c>
      <c r="L95" t="n">
        <v>206209</v>
      </c>
      <c r="M95" t="inlineStr"/>
      <c r="N95" t="n">
        <v>0</v>
      </c>
      <c r="O95" s="8" t="n">
        <v>0</v>
      </c>
      <c r="P95">
        <f>IF(ISNUMBER(SEARCH("232",B95)),"232",IF(ISNUMBER(SEARCH("538",B95)),"538",IF(ISNUMBER(SEARCH("223a7",B95)),"223a7",IF(ISNUMBER(SEARCH("223f",B95)),"223f","OTHER"))))</f>
        <v/>
      </c>
      <c r="Q95">
        <f>IF(UPPER(C95)="NC","NC","RP")</f>
        <v/>
      </c>
      <c r="R95">
        <f>IF(G95&lt;5000000,"small",IF(G95&lt;25000000,"medium","large"))</f>
        <v/>
      </c>
      <c r="S95">
        <f>IF(K95&lt;36,"young",IF(K95&lt;120,"seasoned","aged"))</f>
        <v/>
      </c>
      <c r="T95">
        <f>P95&amp;"|"&amp;Q95&amp;"|"&amp;R95&amp;"|"&amp;S95</f>
        <v/>
      </c>
      <c r="U95" s="14">
        <f>H95*100-I95</f>
        <v/>
      </c>
      <c r="V95" s="14">
        <f>U95-12.5*(J95+1)</f>
        <v/>
      </c>
      <c r="W95" s="15">
        <f>IFERROR(VLOOKUP(T95,V8_COHORT_TABLE,2,FALSE),IFERROR(VLOOKUP(P95&amp;"|"&amp;Q95&amp;"|ALL|"&amp;S95,V8_COHORT_TABLE,2,FALSE),IFERROR(VLOOKUP(P95&amp;"|ALL|ALL|"&amp;S95,V8_COHORT_TABLE,2,FALSE),IFERROR(VLOOKUP(P95&amp;"|ALL|ALL|ALL",V8_COHORT_TABLE,2,FALSE),VLOOKUP("GLOBAL",V8_COHORT_TABLE,2,FALSE)))))</f>
        <v/>
      </c>
      <c r="X95" s="15">
        <f>IFERROR(VLOOKUP(T95,V8_COHORT_TABLE,3,FALSE),IFERROR(VLOOKUP(P95&amp;"|"&amp;Q95&amp;"|ALL|"&amp;S95,V8_COHORT_TABLE,3,FALSE),IFERROR(VLOOKUP(P95&amp;"|ALL|ALL|"&amp;S95,V8_COHORT_TABLE,3,FALSE),IFERROR(VLOOKUP(P95&amp;"|ALL|ALL|ALL",V8_COHORT_TABLE,3,FALSE),VLOOKUP("GLOBAL",V8_COHORT_TABLE,3,FALSE)))))</f>
        <v/>
      </c>
      <c r="Y95" s="15">
        <f>IFERROR(VLOOKUP(T95,V8_COHORT_TABLE,4,FALSE),IFERROR(VLOOKUP(P95&amp;"|"&amp;Q95&amp;"|ALL|"&amp;S95,V8_COHORT_TABLE,4,FALSE),IFERROR(VLOOKUP(P95&amp;"|ALL|ALL|"&amp;S95,V8_COHORT_TABLE,4,FALSE),IFERROR(VLOOKUP(P95&amp;"|ALL|ALL|ALL",V8_COHORT_TABLE,4,FALSE),VLOOKUP("GLOBAL",V8_COHORT_TABLE,4,FALSE)))))</f>
        <v/>
      </c>
      <c r="Z95" s="15">
        <f>IFERROR(VLOOKUP(T95,V8_COHORT_TABLE,5,FALSE),IFERROR(VLOOKUP(P95&amp;"|"&amp;Q95&amp;"|ALL|"&amp;S95,V8_COHORT_TABLE,5,FALSE),IFERROR(VLOOKUP(P95&amp;"|ALL|ALL|"&amp;S95,V8_COHORT_TABLE,5,FALSE),IFERROR(VLOOKUP(P95&amp;"|ALL|ALL|ALL",V8_COHORT_TABLE,5,FALSE),VLOOKUP("GLOBAL",V8_COHORT_TABLE,5,FALSE)))))</f>
        <v/>
      </c>
      <c r="AA95" s="15">
        <f>W95+X95/(1+EXP(-(V95-Y95)/Z95))</f>
        <v/>
      </c>
      <c r="AB95" s="15">
        <f>IFERROR(VLOOKUP(T95,V8_COHORT_TABLE,6,FALSE),IFERROR(VLOOKUP(P95&amp;"|"&amp;Q95&amp;"|ALL|"&amp;S95,V8_COHORT_TABLE,6,FALSE),IFERROR(VLOOKUP(P95&amp;"|ALL|ALL|"&amp;S95,V8_COHORT_TABLE,6,FALSE),IFERROR(VLOOKUP(P95&amp;"|ALL|ALL|ALL",V8_COHORT_TABLE,6,FALSE),VLOOKUP("GLOBAL",V8_COHORT_TABLE,6,FALSE)))))</f>
        <v/>
      </c>
      <c r="AC95" s="15">
        <f>IFERROR(VLOOKUP(T95,V8_COHORT_TABLE,7,FALSE),IFERROR(VLOOKUP(P95&amp;"|"&amp;Q95&amp;"|ALL|"&amp;S95,V8_COHORT_TABLE,7,FALSE),IFERROR(VLOOKUP(P95&amp;"|ALL|ALL|"&amp;S95,V8_COHORT_TABLE,7,FALSE),IFERROR(VLOOKUP(P95&amp;"|ALL|ALL|ALL",V8_COHORT_TABLE,7,FALSE),VLOOKUP("GLOBAL",V8_COHORT_TABLE,7,FALSE)))))</f>
        <v/>
      </c>
      <c r="AD95" s="15">
        <f>IFERROR(VLOOKUP(T95,V8_COHORT_TABLE,8,FALSE),IFERROR(VLOOKUP(P95&amp;"|"&amp;Q95&amp;"|ALL|"&amp;S95,V8_COHORT_TABLE,8,FALSE),IFERROR(VLOOKUP(P95&amp;"|ALL|ALL|"&amp;S95,V8_COHORT_TABLE,8,FALSE),IFERROR(VLOOKUP(P95&amp;"|ALL|ALL|ALL",V8_COHORT_TABLE,8,FALSE),VLOOKUP("GLOBAL",V8_COHORT_TABLE,8,FALSE)))))</f>
        <v/>
      </c>
      <c r="AE95" s="15">
        <f>IFERROR(VLOOKUP(T95,V8_COHORT_TABLE,9,FALSE),IFERROR(VLOOKUP(P95&amp;"|"&amp;Q95&amp;"|ALL|"&amp;S95,V8_COHORT_TABLE,9,FALSE),IFERROR(VLOOKUP(P95&amp;"|ALL|ALL|"&amp;S95,V8_COHORT_TABLE,9,FALSE),IFERROR(VLOOKUP(P95&amp;"|ALL|ALL|ALL",V8_COHORT_TABLE,9,FALSE),VLOOKUP("GLOBAL",V8_COHORT_TABLE,9,FALSE)))))</f>
        <v/>
      </c>
      <c r="AF95" s="8">
        <f>IF(K95&lt;=0,AB95,IF(K95&gt;=240,AE95,IF(K95&lt;=24,AB95+(K95-0)/24*(AC95-AB95),IF(K95&lt;=96,AC95+(K95-24)/72*(AD95-AC95),AD95+(K95-96)/144*(AE95-AD95)))))</f>
        <v/>
      </c>
      <c r="AG95" s="8">
        <f>IF(IF(OR(L95="",NOT(ISNUMBER(L95))),360,MAX(0,MIN(480,(INT(L95/100)-INT(VALUE(F95)/100))*12+MOD(L95,100)-MOD(VALUE(F95),100))))&gt;0,1+V8_MTY_AMP*MAX(0,(V8_MTY_CUTOFF-(IF(OR(L95="",NOT(ISNUMBER(L95))),360,MAX(0,MIN(480,(INT(L95/100)-INT(VALUE(F95)/100))*12+MOD(L95,100)-MOD(VALUE(F95),100))))))/V8_MTY_CUTOFF),1)</f>
        <v/>
      </c>
      <c r="AH95" s="8">
        <f>IF(AND(IF(OR(M95="",NOT(ISNUMBER(M95))),0,MAX(0,MIN(24,(INT(VALUE(F95)/100)-INT(M95/100))*12+MOD(VALUE(F95),100)-MOD(M95,100))))&gt;0,IF(OR(M95="",NOT(ISNUMBER(M95))),0,MAX(0,MIN(24,(INT(VALUE(F95)/100)-INT(M95/100))*12+MOD(VALUE(F95),100)-MOD(M95,100))))&lt;=12),1+V8_LOCKOUT_AMP*EXP(-(IF(OR(M95="",NOT(ISNUMBER(M95))),0,MAX(0,MIN(24,(INT(VALUE(F95)/100)-INT(M95/100))*12+MOD(VALUE(F95),100)-MOD(M95,100)))))/V8_LOCKOUT_TAU),1)</f>
        <v/>
      </c>
      <c r="AI95" s="8">
        <f>MAX(V8_BURN_FLOOR,1-V8_BURN_SLOPE*MIN(1,MAX(0,O95)))</f>
        <v/>
      </c>
      <c r="AJ95" s="15">
        <f>MIN(AA95*AF95*AG95*AH95*AI95,0.2)</f>
        <v/>
      </c>
      <c r="AK95" s="16">
        <f>1-(1-AJ95)^12</f>
        <v/>
      </c>
    </row>
    <row r="96">
      <c r="A96" s="2" t="inlineStr">
        <is>
          <t>000009211486</t>
        </is>
      </c>
      <c r="B96" t="inlineStr">
        <is>
          <t>223f</t>
        </is>
      </c>
      <c r="C96" t="inlineStr">
        <is>
          <t>RP</t>
        </is>
      </c>
      <c r="D96" t="inlineStr">
        <is>
          <t>GREYSTONE FUNDING COMPANY LLC</t>
        </is>
      </c>
      <c r="E96" t="n">
        <v>2020</v>
      </c>
      <c r="F96" t="inlineStr">
        <is>
          <t>202602</t>
        </is>
      </c>
      <c r="G96" s="9" t="n">
        <v>4214790.92</v>
      </c>
      <c r="H96" s="13" t="n">
        <v>2.41</v>
      </c>
      <c r="I96" s="14" t="n">
        <v>447</v>
      </c>
      <c r="J96" s="14" t="n">
        <v>5</v>
      </c>
      <c r="K96" t="n">
        <v>62</v>
      </c>
      <c r="L96" t="n">
        <v>205601</v>
      </c>
      <c r="M96" t="inlineStr"/>
      <c r="N96" t="n">
        <v>0</v>
      </c>
      <c r="O96" s="8" t="n">
        <v>0</v>
      </c>
      <c r="P96">
        <f>IF(ISNUMBER(SEARCH("232",B96)),"232",IF(ISNUMBER(SEARCH("538",B96)),"538",IF(ISNUMBER(SEARCH("223a7",B96)),"223a7",IF(ISNUMBER(SEARCH("223f",B96)),"223f","OTHER"))))</f>
        <v/>
      </c>
      <c r="Q96">
        <f>IF(UPPER(C96)="NC","NC","RP")</f>
        <v/>
      </c>
      <c r="R96">
        <f>IF(G96&lt;5000000,"small",IF(G96&lt;25000000,"medium","large"))</f>
        <v/>
      </c>
      <c r="S96">
        <f>IF(K96&lt;36,"young",IF(K96&lt;120,"seasoned","aged"))</f>
        <v/>
      </c>
      <c r="T96">
        <f>P96&amp;"|"&amp;Q96&amp;"|"&amp;R96&amp;"|"&amp;S96</f>
        <v/>
      </c>
      <c r="U96" s="14">
        <f>H96*100-I96</f>
        <v/>
      </c>
      <c r="V96" s="14">
        <f>U96-12.5*(J96+1)</f>
        <v/>
      </c>
      <c r="W96" s="15">
        <f>IFERROR(VLOOKUP(T96,V8_COHORT_TABLE,2,FALSE),IFERROR(VLOOKUP(P96&amp;"|"&amp;Q96&amp;"|ALL|"&amp;S96,V8_COHORT_TABLE,2,FALSE),IFERROR(VLOOKUP(P96&amp;"|ALL|ALL|"&amp;S96,V8_COHORT_TABLE,2,FALSE),IFERROR(VLOOKUP(P96&amp;"|ALL|ALL|ALL",V8_COHORT_TABLE,2,FALSE),VLOOKUP("GLOBAL",V8_COHORT_TABLE,2,FALSE)))))</f>
        <v/>
      </c>
      <c r="X96" s="15">
        <f>IFERROR(VLOOKUP(T96,V8_COHORT_TABLE,3,FALSE),IFERROR(VLOOKUP(P96&amp;"|"&amp;Q96&amp;"|ALL|"&amp;S96,V8_COHORT_TABLE,3,FALSE),IFERROR(VLOOKUP(P96&amp;"|ALL|ALL|"&amp;S96,V8_COHORT_TABLE,3,FALSE),IFERROR(VLOOKUP(P96&amp;"|ALL|ALL|ALL",V8_COHORT_TABLE,3,FALSE),VLOOKUP("GLOBAL",V8_COHORT_TABLE,3,FALSE)))))</f>
        <v/>
      </c>
      <c r="Y96" s="15">
        <f>IFERROR(VLOOKUP(T96,V8_COHORT_TABLE,4,FALSE),IFERROR(VLOOKUP(P96&amp;"|"&amp;Q96&amp;"|ALL|"&amp;S96,V8_COHORT_TABLE,4,FALSE),IFERROR(VLOOKUP(P96&amp;"|ALL|ALL|"&amp;S96,V8_COHORT_TABLE,4,FALSE),IFERROR(VLOOKUP(P96&amp;"|ALL|ALL|ALL",V8_COHORT_TABLE,4,FALSE),VLOOKUP("GLOBAL",V8_COHORT_TABLE,4,FALSE)))))</f>
        <v/>
      </c>
      <c r="Z96" s="15">
        <f>IFERROR(VLOOKUP(T96,V8_COHORT_TABLE,5,FALSE),IFERROR(VLOOKUP(P96&amp;"|"&amp;Q96&amp;"|ALL|"&amp;S96,V8_COHORT_TABLE,5,FALSE),IFERROR(VLOOKUP(P96&amp;"|ALL|ALL|"&amp;S96,V8_COHORT_TABLE,5,FALSE),IFERROR(VLOOKUP(P96&amp;"|ALL|ALL|ALL",V8_COHORT_TABLE,5,FALSE),VLOOKUP("GLOBAL",V8_COHORT_TABLE,5,FALSE)))))</f>
        <v/>
      </c>
      <c r="AA96" s="15">
        <f>W96+X96/(1+EXP(-(V96-Y96)/Z96))</f>
        <v/>
      </c>
      <c r="AB96" s="15">
        <f>IFERROR(VLOOKUP(T96,V8_COHORT_TABLE,6,FALSE),IFERROR(VLOOKUP(P96&amp;"|"&amp;Q96&amp;"|ALL|"&amp;S96,V8_COHORT_TABLE,6,FALSE),IFERROR(VLOOKUP(P96&amp;"|ALL|ALL|"&amp;S96,V8_COHORT_TABLE,6,FALSE),IFERROR(VLOOKUP(P96&amp;"|ALL|ALL|ALL",V8_COHORT_TABLE,6,FALSE),VLOOKUP("GLOBAL",V8_COHORT_TABLE,6,FALSE)))))</f>
        <v/>
      </c>
      <c r="AC96" s="15">
        <f>IFERROR(VLOOKUP(T96,V8_COHORT_TABLE,7,FALSE),IFERROR(VLOOKUP(P96&amp;"|"&amp;Q96&amp;"|ALL|"&amp;S96,V8_COHORT_TABLE,7,FALSE),IFERROR(VLOOKUP(P96&amp;"|ALL|ALL|"&amp;S96,V8_COHORT_TABLE,7,FALSE),IFERROR(VLOOKUP(P96&amp;"|ALL|ALL|ALL",V8_COHORT_TABLE,7,FALSE),VLOOKUP("GLOBAL",V8_COHORT_TABLE,7,FALSE)))))</f>
        <v/>
      </c>
      <c r="AD96" s="15">
        <f>IFERROR(VLOOKUP(T96,V8_COHORT_TABLE,8,FALSE),IFERROR(VLOOKUP(P96&amp;"|"&amp;Q96&amp;"|ALL|"&amp;S96,V8_COHORT_TABLE,8,FALSE),IFERROR(VLOOKUP(P96&amp;"|ALL|ALL|"&amp;S96,V8_COHORT_TABLE,8,FALSE),IFERROR(VLOOKUP(P96&amp;"|ALL|ALL|ALL",V8_COHORT_TABLE,8,FALSE),VLOOKUP("GLOBAL",V8_COHORT_TABLE,8,FALSE)))))</f>
        <v/>
      </c>
      <c r="AE96" s="15">
        <f>IFERROR(VLOOKUP(T96,V8_COHORT_TABLE,9,FALSE),IFERROR(VLOOKUP(P96&amp;"|"&amp;Q96&amp;"|ALL|"&amp;S96,V8_COHORT_TABLE,9,FALSE),IFERROR(VLOOKUP(P96&amp;"|ALL|ALL|"&amp;S96,V8_COHORT_TABLE,9,FALSE),IFERROR(VLOOKUP(P96&amp;"|ALL|ALL|ALL",V8_COHORT_TABLE,9,FALSE),VLOOKUP("GLOBAL",V8_COHORT_TABLE,9,FALSE)))))</f>
        <v/>
      </c>
      <c r="AF96" s="8">
        <f>IF(K96&lt;=0,AB96,IF(K96&gt;=240,AE96,IF(K96&lt;=24,AB96+(K96-0)/24*(AC96-AB96),IF(K96&lt;=96,AC96+(K96-24)/72*(AD96-AC96),AD96+(K96-96)/144*(AE96-AD96)))))</f>
        <v/>
      </c>
      <c r="AG96" s="8">
        <f>IF(IF(OR(L96="",NOT(ISNUMBER(L96))),360,MAX(0,MIN(480,(INT(L96/100)-INT(VALUE(F96)/100))*12+MOD(L96,100)-MOD(VALUE(F96),100))))&gt;0,1+V8_MTY_AMP*MAX(0,(V8_MTY_CUTOFF-(IF(OR(L96="",NOT(ISNUMBER(L96))),360,MAX(0,MIN(480,(INT(L96/100)-INT(VALUE(F96)/100))*12+MOD(L96,100)-MOD(VALUE(F96),100))))))/V8_MTY_CUTOFF),1)</f>
        <v/>
      </c>
      <c r="AH96" s="8">
        <f>IF(AND(IF(OR(M96="",NOT(ISNUMBER(M96))),0,MAX(0,MIN(24,(INT(VALUE(F96)/100)-INT(M96/100))*12+MOD(VALUE(F96),100)-MOD(M96,100))))&gt;0,IF(OR(M96="",NOT(ISNUMBER(M96))),0,MAX(0,MIN(24,(INT(VALUE(F96)/100)-INT(M96/100))*12+MOD(VALUE(F96),100)-MOD(M96,100))))&lt;=12),1+V8_LOCKOUT_AMP*EXP(-(IF(OR(M96="",NOT(ISNUMBER(M96))),0,MAX(0,MIN(24,(INT(VALUE(F96)/100)-INT(M96/100))*12+MOD(VALUE(F96),100)-MOD(M96,100)))))/V8_LOCKOUT_TAU),1)</f>
        <v/>
      </c>
      <c r="AI96" s="8">
        <f>MAX(V8_BURN_FLOOR,1-V8_BURN_SLOPE*MIN(1,MAX(0,O96)))</f>
        <v/>
      </c>
      <c r="AJ96" s="15">
        <f>MIN(AA96*AF96*AG96*AH96*AI96,0.2)</f>
        <v/>
      </c>
      <c r="AK96" s="16">
        <f>1-(1-AJ96)^12</f>
        <v/>
      </c>
    </row>
    <row r="97">
      <c r="A97" s="2" t="inlineStr">
        <is>
          <t>000011722043</t>
        </is>
      </c>
      <c r="B97" t="inlineStr">
        <is>
          <t>232</t>
        </is>
      </c>
      <c r="C97" t="inlineStr">
        <is>
          <t>RP</t>
        </is>
      </c>
      <c r="D97" t="inlineStr">
        <is>
          <t>GREYSTONE FUNDING COMPANY LLC</t>
        </is>
      </c>
      <c r="E97" t="n">
        <v>2021</v>
      </c>
      <c r="F97" t="inlineStr">
        <is>
          <t>202602</t>
        </is>
      </c>
      <c r="G97" s="9" t="n">
        <v>3120938.09</v>
      </c>
      <c r="H97" s="13" t="n">
        <v>2.75</v>
      </c>
      <c r="I97" s="14" t="n">
        <v>447</v>
      </c>
      <c r="J97" s="14" t="n">
        <v>6</v>
      </c>
      <c r="K97" t="n">
        <v>50</v>
      </c>
      <c r="L97" t="n">
        <v>205201</v>
      </c>
      <c r="M97" t="inlineStr"/>
      <c r="N97" t="n">
        <v>0</v>
      </c>
      <c r="O97" s="8" t="n">
        <v>0</v>
      </c>
      <c r="P97">
        <f>IF(ISNUMBER(SEARCH("232",B97)),"232",IF(ISNUMBER(SEARCH("538",B97)),"538",IF(ISNUMBER(SEARCH("223a7",B97)),"223a7",IF(ISNUMBER(SEARCH("223f",B97)),"223f","OTHER"))))</f>
        <v/>
      </c>
      <c r="Q97">
        <f>IF(UPPER(C97)="NC","NC","RP")</f>
        <v/>
      </c>
      <c r="R97">
        <f>IF(G97&lt;5000000,"small",IF(G97&lt;25000000,"medium","large"))</f>
        <v/>
      </c>
      <c r="S97">
        <f>IF(K97&lt;36,"young",IF(K97&lt;120,"seasoned","aged"))</f>
        <v/>
      </c>
      <c r="T97">
        <f>P97&amp;"|"&amp;Q97&amp;"|"&amp;R97&amp;"|"&amp;S97</f>
        <v/>
      </c>
      <c r="U97" s="14">
        <f>H97*100-I97</f>
        <v/>
      </c>
      <c r="V97" s="14">
        <f>U97-12.5*(J97+1)</f>
        <v/>
      </c>
      <c r="W97" s="15">
        <f>IFERROR(VLOOKUP(T97,V8_COHORT_TABLE,2,FALSE),IFERROR(VLOOKUP(P97&amp;"|"&amp;Q97&amp;"|ALL|"&amp;S97,V8_COHORT_TABLE,2,FALSE),IFERROR(VLOOKUP(P97&amp;"|ALL|ALL|"&amp;S97,V8_COHORT_TABLE,2,FALSE),IFERROR(VLOOKUP(P97&amp;"|ALL|ALL|ALL",V8_COHORT_TABLE,2,FALSE),VLOOKUP("GLOBAL",V8_COHORT_TABLE,2,FALSE)))))</f>
        <v/>
      </c>
      <c r="X97" s="15">
        <f>IFERROR(VLOOKUP(T97,V8_COHORT_TABLE,3,FALSE),IFERROR(VLOOKUP(P97&amp;"|"&amp;Q97&amp;"|ALL|"&amp;S97,V8_COHORT_TABLE,3,FALSE),IFERROR(VLOOKUP(P97&amp;"|ALL|ALL|"&amp;S97,V8_COHORT_TABLE,3,FALSE),IFERROR(VLOOKUP(P97&amp;"|ALL|ALL|ALL",V8_COHORT_TABLE,3,FALSE),VLOOKUP("GLOBAL",V8_COHORT_TABLE,3,FALSE)))))</f>
        <v/>
      </c>
      <c r="Y97" s="15">
        <f>IFERROR(VLOOKUP(T97,V8_COHORT_TABLE,4,FALSE),IFERROR(VLOOKUP(P97&amp;"|"&amp;Q97&amp;"|ALL|"&amp;S97,V8_COHORT_TABLE,4,FALSE),IFERROR(VLOOKUP(P97&amp;"|ALL|ALL|"&amp;S97,V8_COHORT_TABLE,4,FALSE),IFERROR(VLOOKUP(P97&amp;"|ALL|ALL|ALL",V8_COHORT_TABLE,4,FALSE),VLOOKUP("GLOBAL",V8_COHORT_TABLE,4,FALSE)))))</f>
        <v/>
      </c>
      <c r="Z97" s="15">
        <f>IFERROR(VLOOKUP(T97,V8_COHORT_TABLE,5,FALSE),IFERROR(VLOOKUP(P97&amp;"|"&amp;Q97&amp;"|ALL|"&amp;S97,V8_COHORT_TABLE,5,FALSE),IFERROR(VLOOKUP(P97&amp;"|ALL|ALL|"&amp;S97,V8_COHORT_TABLE,5,FALSE),IFERROR(VLOOKUP(P97&amp;"|ALL|ALL|ALL",V8_COHORT_TABLE,5,FALSE),VLOOKUP("GLOBAL",V8_COHORT_TABLE,5,FALSE)))))</f>
        <v/>
      </c>
      <c r="AA97" s="15">
        <f>W97+X97/(1+EXP(-(V97-Y97)/Z97))</f>
        <v/>
      </c>
      <c r="AB97" s="15">
        <f>IFERROR(VLOOKUP(T97,V8_COHORT_TABLE,6,FALSE),IFERROR(VLOOKUP(P97&amp;"|"&amp;Q97&amp;"|ALL|"&amp;S97,V8_COHORT_TABLE,6,FALSE),IFERROR(VLOOKUP(P97&amp;"|ALL|ALL|"&amp;S97,V8_COHORT_TABLE,6,FALSE),IFERROR(VLOOKUP(P97&amp;"|ALL|ALL|ALL",V8_COHORT_TABLE,6,FALSE),VLOOKUP("GLOBAL",V8_COHORT_TABLE,6,FALSE)))))</f>
        <v/>
      </c>
      <c r="AC97" s="15">
        <f>IFERROR(VLOOKUP(T97,V8_COHORT_TABLE,7,FALSE),IFERROR(VLOOKUP(P97&amp;"|"&amp;Q97&amp;"|ALL|"&amp;S97,V8_COHORT_TABLE,7,FALSE),IFERROR(VLOOKUP(P97&amp;"|ALL|ALL|"&amp;S97,V8_COHORT_TABLE,7,FALSE),IFERROR(VLOOKUP(P97&amp;"|ALL|ALL|ALL",V8_COHORT_TABLE,7,FALSE),VLOOKUP("GLOBAL",V8_COHORT_TABLE,7,FALSE)))))</f>
        <v/>
      </c>
      <c r="AD97" s="15">
        <f>IFERROR(VLOOKUP(T97,V8_COHORT_TABLE,8,FALSE),IFERROR(VLOOKUP(P97&amp;"|"&amp;Q97&amp;"|ALL|"&amp;S97,V8_COHORT_TABLE,8,FALSE),IFERROR(VLOOKUP(P97&amp;"|ALL|ALL|"&amp;S97,V8_COHORT_TABLE,8,FALSE),IFERROR(VLOOKUP(P97&amp;"|ALL|ALL|ALL",V8_COHORT_TABLE,8,FALSE),VLOOKUP("GLOBAL",V8_COHORT_TABLE,8,FALSE)))))</f>
        <v/>
      </c>
      <c r="AE97" s="15">
        <f>IFERROR(VLOOKUP(T97,V8_COHORT_TABLE,9,FALSE),IFERROR(VLOOKUP(P97&amp;"|"&amp;Q97&amp;"|ALL|"&amp;S97,V8_COHORT_TABLE,9,FALSE),IFERROR(VLOOKUP(P97&amp;"|ALL|ALL|"&amp;S97,V8_COHORT_TABLE,9,FALSE),IFERROR(VLOOKUP(P97&amp;"|ALL|ALL|ALL",V8_COHORT_TABLE,9,FALSE),VLOOKUP("GLOBAL",V8_COHORT_TABLE,9,FALSE)))))</f>
        <v/>
      </c>
      <c r="AF97" s="8">
        <f>IF(K97&lt;=0,AB97,IF(K97&gt;=240,AE97,IF(K97&lt;=24,AB97+(K97-0)/24*(AC97-AB97),IF(K97&lt;=96,AC97+(K97-24)/72*(AD97-AC97),AD97+(K97-96)/144*(AE97-AD97)))))</f>
        <v/>
      </c>
      <c r="AG97" s="8">
        <f>IF(IF(OR(L97="",NOT(ISNUMBER(L97))),360,MAX(0,MIN(480,(INT(L97/100)-INT(VALUE(F97)/100))*12+MOD(L97,100)-MOD(VALUE(F97),100))))&gt;0,1+V8_MTY_AMP*MAX(0,(V8_MTY_CUTOFF-(IF(OR(L97="",NOT(ISNUMBER(L97))),360,MAX(0,MIN(480,(INT(L97/100)-INT(VALUE(F97)/100))*12+MOD(L97,100)-MOD(VALUE(F97),100))))))/V8_MTY_CUTOFF),1)</f>
        <v/>
      </c>
      <c r="AH97" s="8">
        <f>IF(AND(IF(OR(M97="",NOT(ISNUMBER(M97))),0,MAX(0,MIN(24,(INT(VALUE(F97)/100)-INT(M97/100))*12+MOD(VALUE(F97),100)-MOD(M97,100))))&gt;0,IF(OR(M97="",NOT(ISNUMBER(M97))),0,MAX(0,MIN(24,(INT(VALUE(F97)/100)-INT(M97/100))*12+MOD(VALUE(F97),100)-MOD(M97,100))))&lt;=12),1+V8_LOCKOUT_AMP*EXP(-(IF(OR(M97="",NOT(ISNUMBER(M97))),0,MAX(0,MIN(24,(INT(VALUE(F97)/100)-INT(M97/100))*12+MOD(VALUE(F97),100)-MOD(M97,100)))))/V8_LOCKOUT_TAU),1)</f>
        <v/>
      </c>
      <c r="AI97" s="8">
        <f>MAX(V8_BURN_FLOOR,1-V8_BURN_SLOPE*MIN(1,MAX(0,O97)))</f>
        <v/>
      </c>
      <c r="AJ97" s="15">
        <f>MIN(AA97*AF97*AG97*AH97*AI97,0.2)</f>
        <v/>
      </c>
      <c r="AK97" s="16">
        <f>1-(1-AJ97)^12</f>
        <v/>
      </c>
    </row>
    <row r="98">
      <c r="A98" s="2" t="inlineStr">
        <is>
          <t>000011311514</t>
        </is>
      </c>
      <c r="B98" t="inlineStr">
        <is>
          <t>223f</t>
        </is>
      </c>
      <c r="C98" t="inlineStr">
        <is>
          <t>RP</t>
        </is>
      </c>
      <c r="D98" t="inlineStr">
        <is>
          <t>GREYSTONE FUNDING COMPANY LLC</t>
        </is>
      </c>
      <c r="E98" t="n">
        <v>2022</v>
      </c>
      <c r="F98" t="inlineStr">
        <is>
          <t>202602</t>
        </is>
      </c>
      <c r="G98" s="9" t="n">
        <v>40409683.54</v>
      </c>
      <c r="H98" s="13" t="n">
        <v>4.08</v>
      </c>
      <c r="I98" s="14" t="n">
        <v>447</v>
      </c>
      <c r="J98" s="14" t="n">
        <v>7</v>
      </c>
      <c r="K98" t="n">
        <v>41</v>
      </c>
      <c r="L98" t="n">
        <v>205710</v>
      </c>
      <c r="M98" t="inlineStr"/>
      <c r="N98" t="n">
        <v>0</v>
      </c>
      <c r="O98" s="8" t="n">
        <v>0</v>
      </c>
      <c r="P98">
        <f>IF(ISNUMBER(SEARCH("232",B98)),"232",IF(ISNUMBER(SEARCH("538",B98)),"538",IF(ISNUMBER(SEARCH("223a7",B98)),"223a7",IF(ISNUMBER(SEARCH("223f",B98)),"223f","OTHER"))))</f>
        <v/>
      </c>
      <c r="Q98">
        <f>IF(UPPER(C98)="NC","NC","RP")</f>
        <v/>
      </c>
      <c r="R98">
        <f>IF(G98&lt;5000000,"small",IF(G98&lt;25000000,"medium","large"))</f>
        <v/>
      </c>
      <c r="S98">
        <f>IF(K98&lt;36,"young",IF(K98&lt;120,"seasoned","aged"))</f>
        <v/>
      </c>
      <c r="T98">
        <f>P98&amp;"|"&amp;Q98&amp;"|"&amp;R98&amp;"|"&amp;S98</f>
        <v/>
      </c>
      <c r="U98" s="14">
        <f>H98*100-I98</f>
        <v/>
      </c>
      <c r="V98" s="14">
        <f>U98-12.5*(J98+1)</f>
        <v/>
      </c>
      <c r="W98" s="15">
        <f>IFERROR(VLOOKUP(T98,V8_COHORT_TABLE,2,FALSE),IFERROR(VLOOKUP(P98&amp;"|"&amp;Q98&amp;"|ALL|"&amp;S98,V8_COHORT_TABLE,2,FALSE),IFERROR(VLOOKUP(P98&amp;"|ALL|ALL|"&amp;S98,V8_COHORT_TABLE,2,FALSE),IFERROR(VLOOKUP(P98&amp;"|ALL|ALL|ALL",V8_COHORT_TABLE,2,FALSE),VLOOKUP("GLOBAL",V8_COHORT_TABLE,2,FALSE)))))</f>
        <v/>
      </c>
      <c r="X98" s="15">
        <f>IFERROR(VLOOKUP(T98,V8_COHORT_TABLE,3,FALSE),IFERROR(VLOOKUP(P98&amp;"|"&amp;Q98&amp;"|ALL|"&amp;S98,V8_COHORT_TABLE,3,FALSE),IFERROR(VLOOKUP(P98&amp;"|ALL|ALL|"&amp;S98,V8_COHORT_TABLE,3,FALSE),IFERROR(VLOOKUP(P98&amp;"|ALL|ALL|ALL",V8_COHORT_TABLE,3,FALSE),VLOOKUP("GLOBAL",V8_COHORT_TABLE,3,FALSE)))))</f>
        <v/>
      </c>
      <c r="Y98" s="15">
        <f>IFERROR(VLOOKUP(T98,V8_COHORT_TABLE,4,FALSE),IFERROR(VLOOKUP(P98&amp;"|"&amp;Q98&amp;"|ALL|"&amp;S98,V8_COHORT_TABLE,4,FALSE),IFERROR(VLOOKUP(P98&amp;"|ALL|ALL|"&amp;S98,V8_COHORT_TABLE,4,FALSE),IFERROR(VLOOKUP(P98&amp;"|ALL|ALL|ALL",V8_COHORT_TABLE,4,FALSE),VLOOKUP("GLOBAL",V8_COHORT_TABLE,4,FALSE)))))</f>
        <v/>
      </c>
      <c r="Z98" s="15">
        <f>IFERROR(VLOOKUP(T98,V8_COHORT_TABLE,5,FALSE),IFERROR(VLOOKUP(P98&amp;"|"&amp;Q98&amp;"|ALL|"&amp;S98,V8_COHORT_TABLE,5,FALSE),IFERROR(VLOOKUP(P98&amp;"|ALL|ALL|"&amp;S98,V8_COHORT_TABLE,5,FALSE),IFERROR(VLOOKUP(P98&amp;"|ALL|ALL|ALL",V8_COHORT_TABLE,5,FALSE),VLOOKUP("GLOBAL",V8_COHORT_TABLE,5,FALSE)))))</f>
        <v/>
      </c>
      <c r="AA98" s="15">
        <f>W98+X98/(1+EXP(-(V98-Y98)/Z98))</f>
        <v/>
      </c>
      <c r="AB98" s="15">
        <f>IFERROR(VLOOKUP(T98,V8_COHORT_TABLE,6,FALSE),IFERROR(VLOOKUP(P98&amp;"|"&amp;Q98&amp;"|ALL|"&amp;S98,V8_COHORT_TABLE,6,FALSE),IFERROR(VLOOKUP(P98&amp;"|ALL|ALL|"&amp;S98,V8_COHORT_TABLE,6,FALSE),IFERROR(VLOOKUP(P98&amp;"|ALL|ALL|ALL",V8_COHORT_TABLE,6,FALSE),VLOOKUP("GLOBAL",V8_COHORT_TABLE,6,FALSE)))))</f>
        <v/>
      </c>
      <c r="AC98" s="15">
        <f>IFERROR(VLOOKUP(T98,V8_COHORT_TABLE,7,FALSE),IFERROR(VLOOKUP(P98&amp;"|"&amp;Q98&amp;"|ALL|"&amp;S98,V8_COHORT_TABLE,7,FALSE),IFERROR(VLOOKUP(P98&amp;"|ALL|ALL|"&amp;S98,V8_COHORT_TABLE,7,FALSE),IFERROR(VLOOKUP(P98&amp;"|ALL|ALL|ALL",V8_COHORT_TABLE,7,FALSE),VLOOKUP("GLOBAL",V8_COHORT_TABLE,7,FALSE)))))</f>
        <v/>
      </c>
      <c r="AD98" s="15">
        <f>IFERROR(VLOOKUP(T98,V8_COHORT_TABLE,8,FALSE),IFERROR(VLOOKUP(P98&amp;"|"&amp;Q98&amp;"|ALL|"&amp;S98,V8_COHORT_TABLE,8,FALSE),IFERROR(VLOOKUP(P98&amp;"|ALL|ALL|"&amp;S98,V8_COHORT_TABLE,8,FALSE),IFERROR(VLOOKUP(P98&amp;"|ALL|ALL|ALL",V8_COHORT_TABLE,8,FALSE),VLOOKUP("GLOBAL",V8_COHORT_TABLE,8,FALSE)))))</f>
        <v/>
      </c>
      <c r="AE98" s="15">
        <f>IFERROR(VLOOKUP(T98,V8_COHORT_TABLE,9,FALSE),IFERROR(VLOOKUP(P98&amp;"|"&amp;Q98&amp;"|ALL|"&amp;S98,V8_COHORT_TABLE,9,FALSE),IFERROR(VLOOKUP(P98&amp;"|ALL|ALL|"&amp;S98,V8_COHORT_TABLE,9,FALSE),IFERROR(VLOOKUP(P98&amp;"|ALL|ALL|ALL",V8_COHORT_TABLE,9,FALSE),VLOOKUP("GLOBAL",V8_COHORT_TABLE,9,FALSE)))))</f>
        <v/>
      </c>
      <c r="AF98" s="8">
        <f>IF(K98&lt;=0,AB98,IF(K98&gt;=240,AE98,IF(K98&lt;=24,AB98+(K98-0)/24*(AC98-AB98),IF(K98&lt;=96,AC98+(K98-24)/72*(AD98-AC98),AD98+(K98-96)/144*(AE98-AD98)))))</f>
        <v/>
      </c>
      <c r="AG98" s="8">
        <f>IF(IF(OR(L98="",NOT(ISNUMBER(L98))),360,MAX(0,MIN(480,(INT(L98/100)-INT(VALUE(F98)/100))*12+MOD(L98,100)-MOD(VALUE(F98),100))))&gt;0,1+V8_MTY_AMP*MAX(0,(V8_MTY_CUTOFF-(IF(OR(L98="",NOT(ISNUMBER(L98))),360,MAX(0,MIN(480,(INT(L98/100)-INT(VALUE(F98)/100))*12+MOD(L98,100)-MOD(VALUE(F98),100))))))/V8_MTY_CUTOFF),1)</f>
        <v/>
      </c>
      <c r="AH98" s="8">
        <f>IF(AND(IF(OR(M98="",NOT(ISNUMBER(M98))),0,MAX(0,MIN(24,(INT(VALUE(F98)/100)-INT(M98/100))*12+MOD(VALUE(F98),100)-MOD(M98,100))))&gt;0,IF(OR(M98="",NOT(ISNUMBER(M98))),0,MAX(0,MIN(24,(INT(VALUE(F98)/100)-INT(M98/100))*12+MOD(VALUE(F98),100)-MOD(M98,100))))&lt;=12),1+V8_LOCKOUT_AMP*EXP(-(IF(OR(M98="",NOT(ISNUMBER(M98))),0,MAX(0,MIN(24,(INT(VALUE(F98)/100)-INT(M98/100))*12+MOD(VALUE(F98),100)-MOD(M98,100)))))/V8_LOCKOUT_TAU),1)</f>
        <v/>
      </c>
      <c r="AI98" s="8">
        <f>MAX(V8_BURN_FLOOR,1-V8_BURN_SLOPE*MIN(1,MAX(0,O98)))</f>
        <v/>
      </c>
      <c r="AJ98" s="15">
        <f>MIN(AA98*AF98*AG98*AH98*AI98,0.2)</f>
        <v/>
      </c>
      <c r="AK98" s="16">
        <f>1-(1-AJ98)^12</f>
        <v/>
      </c>
    </row>
    <row r="99">
      <c r="A99" s="2" t="inlineStr">
        <is>
          <t>000003122133</t>
        </is>
      </c>
      <c r="B99" t="inlineStr">
        <is>
          <t>232</t>
        </is>
      </c>
      <c r="C99" t="inlineStr">
        <is>
          <t>RP</t>
        </is>
      </c>
      <c r="D99" t="inlineStr">
        <is>
          <t>GREYSTONE FUNDING COMPANY LLC</t>
        </is>
      </c>
      <c r="E99" t="n">
        <v>2021</v>
      </c>
      <c r="F99" t="inlineStr">
        <is>
          <t>202602</t>
        </is>
      </c>
      <c r="G99" s="9" t="n">
        <v>33132361.37</v>
      </c>
      <c r="H99" s="13" t="n">
        <v>2.29</v>
      </c>
      <c r="I99" s="14" t="n">
        <v>447</v>
      </c>
      <c r="J99" s="14" t="n">
        <v>6</v>
      </c>
      <c r="K99" t="n">
        <v>60</v>
      </c>
      <c r="L99" t="n">
        <v>205103</v>
      </c>
      <c r="M99" t="inlineStr"/>
      <c r="N99" t="n">
        <v>0</v>
      </c>
      <c r="O99" s="8" t="n">
        <v>0</v>
      </c>
      <c r="P99">
        <f>IF(ISNUMBER(SEARCH("232",B99)),"232",IF(ISNUMBER(SEARCH("538",B99)),"538",IF(ISNUMBER(SEARCH("223a7",B99)),"223a7",IF(ISNUMBER(SEARCH("223f",B99)),"223f","OTHER"))))</f>
        <v/>
      </c>
      <c r="Q99">
        <f>IF(UPPER(C99)="NC","NC","RP")</f>
        <v/>
      </c>
      <c r="R99">
        <f>IF(G99&lt;5000000,"small",IF(G99&lt;25000000,"medium","large"))</f>
        <v/>
      </c>
      <c r="S99">
        <f>IF(K99&lt;36,"young",IF(K99&lt;120,"seasoned","aged"))</f>
        <v/>
      </c>
      <c r="T99">
        <f>P99&amp;"|"&amp;Q99&amp;"|"&amp;R99&amp;"|"&amp;S99</f>
        <v/>
      </c>
      <c r="U99" s="14">
        <f>H99*100-I99</f>
        <v/>
      </c>
      <c r="V99" s="14">
        <f>U99-12.5*(J99+1)</f>
        <v/>
      </c>
      <c r="W99" s="15">
        <f>IFERROR(VLOOKUP(T99,V8_COHORT_TABLE,2,FALSE),IFERROR(VLOOKUP(P99&amp;"|"&amp;Q99&amp;"|ALL|"&amp;S99,V8_COHORT_TABLE,2,FALSE),IFERROR(VLOOKUP(P99&amp;"|ALL|ALL|"&amp;S99,V8_COHORT_TABLE,2,FALSE),IFERROR(VLOOKUP(P99&amp;"|ALL|ALL|ALL",V8_COHORT_TABLE,2,FALSE),VLOOKUP("GLOBAL",V8_COHORT_TABLE,2,FALSE)))))</f>
        <v/>
      </c>
      <c r="X99" s="15">
        <f>IFERROR(VLOOKUP(T99,V8_COHORT_TABLE,3,FALSE),IFERROR(VLOOKUP(P99&amp;"|"&amp;Q99&amp;"|ALL|"&amp;S99,V8_COHORT_TABLE,3,FALSE),IFERROR(VLOOKUP(P99&amp;"|ALL|ALL|"&amp;S99,V8_COHORT_TABLE,3,FALSE),IFERROR(VLOOKUP(P99&amp;"|ALL|ALL|ALL",V8_COHORT_TABLE,3,FALSE),VLOOKUP("GLOBAL",V8_COHORT_TABLE,3,FALSE)))))</f>
        <v/>
      </c>
      <c r="Y99" s="15">
        <f>IFERROR(VLOOKUP(T99,V8_COHORT_TABLE,4,FALSE),IFERROR(VLOOKUP(P99&amp;"|"&amp;Q99&amp;"|ALL|"&amp;S99,V8_COHORT_TABLE,4,FALSE),IFERROR(VLOOKUP(P99&amp;"|ALL|ALL|"&amp;S99,V8_COHORT_TABLE,4,FALSE),IFERROR(VLOOKUP(P99&amp;"|ALL|ALL|ALL",V8_COHORT_TABLE,4,FALSE),VLOOKUP("GLOBAL",V8_COHORT_TABLE,4,FALSE)))))</f>
        <v/>
      </c>
      <c r="Z99" s="15">
        <f>IFERROR(VLOOKUP(T99,V8_COHORT_TABLE,5,FALSE),IFERROR(VLOOKUP(P99&amp;"|"&amp;Q99&amp;"|ALL|"&amp;S99,V8_COHORT_TABLE,5,FALSE),IFERROR(VLOOKUP(P99&amp;"|ALL|ALL|"&amp;S99,V8_COHORT_TABLE,5,FALSE),IFERROR(VLOOKUP(P99&amp;"|ALL|ALL|ALL",V8_COHORT_TABLE,5,FALSE),VLOOKUP("GLOBAL",V8_COHORT_TABLE,5,FALSE)))))</f>
        <v/>
      </c>
      <c r="AA99" s="15">
        <f>W99+X99/(1+EXP(-(V99-Y99)/Z99))</f>
        <v/>
      </c>
      <c r="AB99" s="15">
        <f>IFERROR(VLOOKUP(T99,V8_COHORT_TABLE,6,FALSE),IFERROR(VLOOKUP(P99&amp;"|"&amp;Q99&amp;"|ALL|"&amp;S99,V8_COHORT_TABLE,6,FALSE),IFERROR(VLOOKUP(P99&amp;"|ALL|ALL|"&amp;S99,V8_COHORT_TABLE,6,FALSE),IFERROR(VLOOKUP(P99&amp;"|ALL|ALL|ALL",V8_COHORT_TABLE,6,FALSE),VLOOKUP("GLOBAL",V8_COHORT_TABLE,6,FALSE)))))</f>
        <v/>
      </c>
      <c r="AC99" s="15">
        <f>IFERROR(VLOOKUP(T99,V8_COHORT_TABLE,7,FALSE),IFERROR(VLOOKUP(P99&amp;"|"&amp;Q99&amp;"|ALL|"&amp;S99,V8_COHORT_TABLE,7,FALSE),IFERROR(VLOOKUP(P99&amp;"|ALL|ALL|"&amp;S99,V8_COHORT_TABLE,7,FALSE),IFERROR(VLOOKUP(P99&amp;"|ALL|ALL|ALL",V8_COHORT_TABLE,7,FALSE),VLOOKUP("GLOBAL",V8_COHORT_TABLE,7,FALSE)))))</f>
        <v/>
      </c>
      <c r="AD99" s="15">
        <f>IFERROR(VLOOKUP(T99,V8_COHORT_TABLE,8,FALSE),IFERROR(VLOOKUP(P99&amp;"|"&amp;Q99&amp;"|ALL|"&amp;S99,V8_COHORT_TABLE,8,FALSE),IFERROR(VLOOKUP(P99&amp;"|ALL|ALL|"&amp;S99,V8_COHORT_TABLE,8,FALSE),IFERROR(VLOOKUP(P99&amp;"|ALL|ALL|ALL",V8_COHORT_TABLE,8,FALSE),VLOOKUP("GLOBAL",V8_COHORT_TABLE,8,FALSE)))))</f>
        <v/>
      </c>
      <c r="AE99" s="15">
        <f>IFERROR(VLOOKUP(T99,V8_COHORT_TABLE,9,FALSE),IFERROR(VLOOKUP(P99&amp;"|"&amp;Q99&amp;"|ALL|"&amp;S99,V8_COHORT_TABLE,9,FALSE),IFERROR(VLOOKUP(P99&amp;"|ALL|ALL|"&amp;S99,V8_COHORT_TABLE,9,FALSE),IFERROR(VLOOKUP(P99&amp;"|ALL|ALL|ALL",V8_COHORT_TABLE,9,FALSE),VLOOKUP("GLOBAL",V8_COHORT_TABLE,9,FALSE)))))</f>
        <v/>
      </c>
      <c r="AF99" s="8">
        <f>IF(K99&lt;=0,AB99,IF(K99&gt;=240,AE99,IF(K99&lt;=24,AB99+(K99-0)/24*(AC99-AB99),IF(K99&lt;=96,AC99+(K99-24)/72*(AD99-AC99),AD99+(K99-96)/144*(AE99-AD99)))))</f>
        <v/>
      </c>
      <c r="AG99" s="8">
        <f>IF(IF(OR(L99="",NOT(ISNUMBER(L99))),360,MAX(0,MIN(480,(INT(L99/100)-INT(VALUE(F99)/100))*12+MOD(L99,100)-MOD(VALUE(F99),100))))&gt;0,1+V8_MTY_AMP*MAX(0,(V8_MTY_CUTOFF-(IF(OR(L99="",NOT(ISNUMBER(L99))),360,MAX(0,MIN(480,(INT(L99/100)-INT(VALUE(F99)/100))*12+MOD(L99,100)-MOD(VALUE(F99),100))))))/V8_MTY_CUTOFF),1)</f>
        <v/>
      </c>
      <c r="AH99" s="8">
        <f>IF(AND(IF(OR(M99="",NOT(ISNUMBER(M99))),0,MAX(0,MIN(24,(INT(VALUE(F99)/100)-INT(M99/100))*12+MOD(VALUE(F99),100)-MOD(M99,100))))&gt;0,IF(OR(M99="",NOT(ISNUMBER(M99))),0,MAX(0,MIN(24,(INT(VALUE(F99)/100)-INT(M99/100))*12+MOD(VALUE(F99),100)-MOD(M99,100))))&lt;=12),1+V8_LOCKOUT_AMP*EXP(-(IF(OR(M99="",NOT(ISNUMBER(M99))),0,MAX(0,MIN(24,(INT(VALUE(F99)/100)-INT(M99/100))*12+MOD(VALUE(F99),100)-MOD(M99,100)))))/V8_LOCKOUT_TAU),1)</f>
        <v/>
      </c>
      <c r="AI99" s="8">
        <f>MAX(V8_BURN_FLOOR,1-V8_BURN_SLOPE*MIN(1,MAX(0,O99)))</f>
        <v/>
      </c>
      <c r="AJ99" s="15">
        <f>MIN(AA99*AF99*AG99*AH99*AI99,0.2)</f>
        <v/>
      </c>
      <c r="AK99" s="16">
        <f>1-(1-AJ99)^12</f>
        <v/>
      </c>
    </row>
    <row r="100">
      <c r="A100" s="2" t="inlineStr">
        <is>
          <t>046048226800</t>
        </is>
      </c>
      <c r="B100" t="inlineStr">
        <is>
          <t>538</t>
        </is>
      </c>
      <c r="C100" t="inlineStr">
        <is>
          <t>538</t>
        </is>
      </c>
      <c r="D100" t="inlineStr">
        <is>
          <t>GREYSTONE SERVICING COMPANY LLC</t>
        </is>
      </c>
      <c r="E100" t="n">
        <v>2017</v>
      </c>
      <c r="F100" t="inlineStr">
        <is>
          <t>202602</t>
        </is>
      </c>
      <c r="G100" s="9" t="n">
        <v>1023320.89</v>
      </c>
      <c r="H100" s="13" t="n">
        <v>3.95</v>
      </c>
      <c r="I100" s="14" t="n">
        <v>447</v>
      </c>
      <c r="J100" s="14" t="n">
        <v>3</v>
      </c>
      <c r="K100" t="n">
        <v>103</v>
      </c>
      <c r="L100" t="n">
        <v>205901</v>
      </c>
      <c r="M100" t="inlineStr"/>
      <c r="N100" t="n">
        <v>29</v>
      </c>
      <c r="O100" s="8" t="n">
        <v>0.2815533980582524</v>
      </c>
      <c r="P100">
        <f>IF(ISNUMBER(SEARCH("232",B100)),"232",IF(ISNUMBER(SEARCH("538",B100)),"538",IF(ISNUMBER(SEARCH("223a7",B100)),"223a7",IF(ISNUMBER(SEARCH("223f",B100)),"223f","OTHER"))))</f>
        <v/>
      </c>
      <c r="Q100">
        <f>IF(UPPER(C100)="NC","NC","RP")</f>
        <v/>
      </c>
      <c r="R100">
        <f>IF(G100&lt;5000000,"small",IF(G100&lt;25000000,"medium","large"))</f>
        <v/>
      </c>
      <c r="S100">
        <f>IF(K100&lt;36,"young",IF(K100&lt;120,"seasoned","aged"))</f>
        <v/>
      </c>
      <c r="T100">
        <f>P100&amp;"|"&amp;Q100&amp;"|"&amp;R100&amp;"|"&amp;S100</f>
        <v/>
      </c>
      <c r="U100" s="14">
        <f>H100*100-I100</f>
        <v/>
      </c>
      <c r="V100" s="14">
        <f>U100-12.5*(J100+1)</f>
        <v/>
      </c>
      <c r="W100" s="15">
        <f>IFERROR(VLOOKUP(T100,V8_COHORT_TABLE,2,FALSE),IFERROR(VLOOKUP(P100&amp;"|"&amp;Q100&amp;"|ALL|"&amp;S100,V8_COHORT_TABLE,2,FALSE),IFERROR(VLOOKUP(P100&amp;"|ALL|ALL|"&amp;S100,V8_COHORT_TABLE,2,FALSE),IFERROR(VLOOKUP(P100&amp;"|ALL|ALL|ALL",V8_COHORT_TABLE,2,FALSE),VLOOKUP("GLOBAL",V8_COHORT_TABLE,2,FALSE)))))</f>
        <v/>
      </c>
      <c r="X100" s="15">
        <f>IFERROR(VLOOKUP(T100,V8_COHORT_TABLE,3,FALSE),IFERROR(VLOOKUP(P100&amp;"|"&amp;Q100&amp;"|ALL|"&amp;S100,V8_COHORT_TABLE,3,FALSE),IFERROR(VLOOKUP(P100&amp;"|ALL|ALL|"&amp;S100,V8_COHORT_TABLE,3,FALSE),IFERROR(VLOOKUP(P100&amp;"|ALL|ALL|ALL",V8_COHORT_TABLE,3,FALSE),VLOOKUP("GLOBAL",V8_COHORT_TABLE,3,FALSE)))))</f>
        <v/>
      </c>
      <c r="Y100" s="15">
        <f>IFERROR(VLOOKUP(T100,V8_COHORT_TABLE,4,FALSE),IFERROR(VLOOKUP(P100&amp;"|"&amp;Q100&amp;"|ALL|"&amp;S100,V8_COHORT_TABLE,4,FALSE),IFERROR(VLOOKUP(P100&amp;"|ALL|ALL|"&amp;S100,V8_COHORT_TABLE,4,FALSE),IFERROR(VLOOKUP(P100&amp;"|ALL|ALL|ALL",V8_COHORT_TABLE,4,FALSE),VLOOKUP("GLOBAL",V8_COHORT_TABLE,4,FALSE)))))</f>
        <v/>
      </c>
      <c r="Z100" s="15">
        <f>IFERROR(VLOOKUP(T100,V8_COHORT_TABLE,5,FALSE),IFERROR(VLOOKUP(P100&amp;"|"&amp;Q100&amp;"|ALL|"&amp;S100,V8_COHORT_TABLE,5,FALSE),IFERROR(VLOOKUP(P100&amp;"|ALL|ALL|"&amp;S100,V8_COHORT_TABLE,5,FALSE),IFERROR(VLOOKUP(P100&amp;"|ALL|ALL|ALL",V8_COHORT_TABLE,5,FALSE),VLOOKUP("GLOBAL",V8_COHORT_TABLE,5,FALSE)))))</f>
        <v/>
      </c>
      <c r="AA100" s="15">
        <f>W100+X100/(1+EXP(-(V100-Y100)/Z100))</f>
        <v/>
      </c>
      <c r="AB100" s="15">
        <f>IFERROR(VLOOKUP(T100,V8_COHORT_TABLE,6,FALSE),IFERROR(VLOOKUP(P100&amp;"|"&amp;Q100&amp;"|ALL|"&amp;S100,V8_COHORT_TABLE,6,FALSE),IFERROR(VLOOKUP(P100&amp;"|ALL|ALL|"&amp;S100,V8_COHORT_TABLE,6,FALSE),IFERROR(VLOOKUP(P100&amp;"|ALL|ALL|ALL",V8_COHORT_TABLE,6,FALSE),VLOOKUP("GLOBAL",V8_COHORT_TABLE,6,FALSE)))))</f>
        <v/>
      </c>
      <c r="AC100" s="15">
        <f>IFERROR(VLOOKUP(T100,V8_COHORT_TABLE,7,FALSE),IFERROR(VLOOKUP(P100&amp;"|"&amp;Q100&amp;"|ALL|"&amp;S100,V8_COHORT_TABLE,7,FALSE),IFERROR(VLOOKUP(P100&amp;"|ALL|ALL|"&amp;S100,V8_COHORT_TABLE,7,FALSE),IFERROR(VLOOKUP(P100&amp;"|ALL|ALL|ALL",V8_COHORT_TABLE,7,FALSE),VLOOKUP("GLOBAL",V8_COHORT_TABLE,7,FALSE)))))</f>
        <v/>
      </c>
      <c r="AD100" s="15">
        <f>IFERROR(VLOOKUP(T100,V8_COHORT_TABLE,8,FALSE),IFERROR(VLOOKUP(P100&amp;"|"&amp;Q100&amp;"|ALL|"&amp;S100,V8_COHORT_TABLE,8,FALSE),IFERROR(VLOOKUP(P100&amp;"|ALL|ALL|"&amp;S100,V8_COHORT_TABLE,8,FALSE),IFERROR(VLOOKUP(P100&amp;"|ALL|ALL|ALL",V8_COHORT_TABLE,8,FALSE),VLOOKUP("GLOBAL",V8_COHORT_TABLE,8,FALSE)))))</f>
        <v/>
      </c>
      <c r="AE100" s="15">
        <f>IFERROR(VLOOKUP(T100,V8_COHORT_TABLE,9,FALSE),IFERROR(VLOOKUP(P100&amp;"|"&amp;Q100&amp;"|ALL|"&amp;S100,V8_COHORT_TABLE,9,FALSE),IFERROR(VLOOKUP(P100&amp;"|ALL|ALL|"&amp;S100,V8_COHORT_TABLE,9,FALSE),IFERROR(VLOOKUP(P100&amp;"|ALL|ALL|ALL",V8_COHORT_TABLE,9,FALSE),VLOOKUP("GLOBAL",V8_COHORT_TABLE,9,FALSE)))))</f>
        <v/>
      </c>
      <c r="AF100" s="8">
        <f>IF(K100&lt;=0,AB100,IF(K100&gt;=240,AE100,IF(K100&lt;=24,AB100+(K100-0)/24*(AC100-AB100),IF(K100&lt;=96,AC100+(K100-24)/72*(AD100-AC100),AD100+(K100-96)/144*(AE100-AD100)))))</f>
        <v/>
      </c>
      <c r="AG100" s="8">
        <f>IF(IF(OR(L100="",NOT(ISNUMBER(L100))),360,MAX(0,MIN(480,(INT(L100/100)-INT(VALUE(F100)/100))*12+MOD(L100,100)-MOD(VALUE(F100),100))))&gt;0,1+V8_MTY_AMP*MAX(0,(V8_MTY_CUTOFF-(IF(OR(L100="",NOT(ISNUMBER(L100))),360,MAX(0,MIN(480,(INT(L100/100)-INT(VALUE(F100)/100))*12+MOD(L100,100)-MOD(VALUE(F100),100))))))/V8_MTY_CUTOFF),1)</f>
        <v/>
      </c>
      <c r="AH100" s="8">
        <f>IF(AND(IF(OR(M100="",NOT(ISNUMBER(M100))),0,MAX(0,MIN(24,(INT(VALUE(F100)/100)-INT(M100/100))*12+MOD(VALUE(F100),100)-MOD(M100,100))))&gt;0,IF(OR(M100="",NOT(ISNUMBER(M100))),0,MAX(0,MIN(24,(INT(VALUE(F100)/100)-INT(M100/100))*12+MOD(VALUE(F100),100)-MOD(M100,100))))&lt;=12),1+V8_LOCKOUT_AMP*EXP(-(IF(OR(M100="",NOT(ISNUMBER(M100))),0,MAX(0,MIN(24,(INT(VALUE(F100)/100)-INT(M100/100))*12+MOD(VALUE(F100),100)-MOD(M100,100)))))/V8_LOCKOUT_TAU),1)</f>
        <v/>
      </c>
      <c r="AI100" s="8">
        <f>MAX(V8_BURN_FLOOR,1-V8_BURN_SLOPE*MIN(1,MAX(0,O100)))</f>
        <v/>
      </c>
      <c r="AJ100" s="15">
        <f>MIN(AA100*AF100*AG100*AH100*AI100,0.2)</f>
        <v/>
      </c>
      <c r="AK100" s="16">
        <f>1-(1-AJ100)^12</f>
        <v/>
      </c>
    </row>
    <row r="101">
      <c r="A101" s="2" t="inlineStr">
        <is>
          <t>000010111250</t>
        </is>
      </c>
      <c r="B101" t="inlineStr">
        <is>
          <t>223a7</t>
        </is>
      </c>
      <c r="C101" t="inlineStr">
        <is>
          <t>RP</t>
        </is>
      </c>
      <c r="D101" t="inlineStr">
        <is>
          <t>GREYSTONE FUNDING COMPANY LLC</t>
        </is>
      </c>
      <c r="E101" t="n">
        <v>2016</v>
      </c>
      <c r="F101" t="inlineStr">
        <is>
          <t>202602</t>
        </is>
      </c>
      <c r="G101" s="9" t="n">
        <v>9943905.23</v>
      </c>
      <c r="H101" s="13" t="n">
        <v>3.39</v>
      </c>
      <c r="I101" s="14" t="n">
        <v>447</v>
      </c>
      <c r="J101" s="14" t="n">
        <v>1</v>
      </c>
      <c r="K101" t="n">
        <v>111</v>
      </c>
      <c r="L101" t="n">
        <v>205112</v>
      </c>
      <c r="M101" t="inlineStr"/>
      <c r="N101" t="n">
        <v>26</v>
      </c>
      <c r="O101" s="8" t="n">
        <v>0.2342342342342342</v>
      </c>
      <c r="P101">
        <f>IF(ISNUMBER(SEARCH("232",B101)),"232",IF(ISNUMBER(SEARCH("538",B101)),"538",IF(ISNUMBER(SEARCH("223a7",B101)),"223a7",IF(ISNUMBER(SEARCH("223f",B101)),"223f","OTHER"))))</f>
        <v/>
      </c>
      <c r="Q101">
        <f>IF(UPPER(C101)="NC","NC","RP")</f>
        <v/>
      </c>
      <c r="R101">
        <f>IF(G101&lt;5000000,"small",IF(G101&lt;25000000,"medium","large"))</f>
        <v/>
      </c>
      <c r="S101">
        <f>IF(K101&lt;36,"young",IF(K101&lt;120,"seasoned","aged"))</f>
        <v/>
      </c>
      <c r="T101">
        <f>P101&amp;"|"&amp;Q101&amp;"|"&amp;R101&amp;"|"&amp;S101</f>
        <v/>
      </c>
      <c r="U101" s="14">
        <f>H101*100-I101</f>
        <v/>
      </c>
      <c r="V101" s="14">
        <f>U101-12.5*(J101+1)</f>
        <v/>
      </c>
      <c r="W101" s="15">
        <f>IFERROR(VLOOKUP(T101,V8_COHORT_TABLE,2,FALSE),IFERROR(VLOOKUP(P101&amp;"|"&amp;Q101&amp;"|ALL|"&amp;S101,V8_COHORT_TABLE,2,FALSE),IFERROR(VLOOKUP(P101&amp;"|ALL|ALL|"&amp;S101,V8_COHORT_TABLE,2,FALSE),IFERROR(VLOOKUP(P101&amp;"|ALL|ALL|ALL",V8_COHORT_TABLE,2,FALSE),VLOOKUP("GLOBAL",V8_COHORT_TABLE,2,FALSE)))))</f>
        <v/>
      </c>
      <c r="X101" s="15">
        <f>IFERROR(VLOOKUP(T101,V8_COHORT_TABLE,3,FALSE),IFERROR(VLOOKUP(P101&amp;"|"&amp;Q101&amp;"|ALL|"&amp;S101,V8_COHORT_TABLE,3,FALSE),IFERROR(VLOOKUP(P101&amp;"|ALL|ALL|"&amp;S101,V8_COHORT_TABLE,3,FALSE),IFERROR(VLOOKUP(P101&amp;"|ALL|ALL|ALL",V8_COHORT_TABLE,3,FALSE),VLOOKUP("GLOBAL",V8_COHORT_TABLE,3,FALSE)))))</f>
        <v/>
      </c>
      <c r="Y101" s="15">
        <f>IFERROR(VLOOKUP(T101,V8_COHORT_TABLE,4,FALSE),IFERROR(VLOOKUP(P101&amp;"|"&amp;Q101&amp;"|ALL|"&amp;S101,V8_COHORT_TABLE,4,FALSE),IFERROR(VLOOKUP(P101&amp;"|ALL|ALL|"&amp;S101,V8_COHORT_TABLE,4,FALSE),IFERROR(VLOOKUP(P101&amp;"|ALL|ALL|ALL",V8_COHORT_TABLE,4,FALSE),VLOOKUP("GLOBAL",V8_COHORT_TABLE,4,FALSE)))))</f>
        <v/>
      </c>
      <c r="Z101" s="15">
        <f>IFERROR(VLOOKUP(T101,V8_COHORT_TABLE,5,FALSE),IFERROR(VLOOKUP(P101&amp;"|"&amp;Q101&amp;"|ALL|"&amp;S101,V8_COHORT_TABLE,5,FALSE),IFERROR(VLOOKUP(P101&amp;"|ALL|ALL|"&amp;S101,V8_COHORT_TABLE,5,FALSE),IFERROR(VLOOKUP(P101&amp;"|ALL|ALL|ALL",V8_COHORT_TABLE,5,FALSE),VLOOKUP("GLOBAL",V8_COHORT_TABLE,5,FALSE)))))</f>
        <v/>
      </c>
      <c r="AA101" s="15">
        <f>W101+X101/(1+EXP(-(V101-Y101)/Z101))</f>
        <v/>
      </c>
      <c r="AB101" s="15">
        <f>IFERROR(VLOOKUP(T101,V8_COHORT_TABLE,6,FALSE),IFERROR(VLOOKUP(P101&amp;"|"&amp;Q101&amp;"|ALL|"&amp;S101,V8_COHORT_TABLE,6,FALSE),IFERROR(VLOOKUP(P101&amp;"|ALL|ALL|"&amp;S101,V8_COHORT_TABLE,6,FALSE),IFERROR(VLOOKUP(P101&amp;"|ALL|ALL|ALL",V8_COHORT_TABLE,6,FALSE),VLOOKUP("GLOBAL",V8_COHORT_TABLE,6,FALSE)))))</f>
        <v/>
      </c>
      <c r="AC101" s="15">
        <f>IFERROR(VLOOKUP(T101,V8_COHORT_TABLE,7,FALSE),IFERROR(VLOOKUP(P101&amp;"|"&amp;Q101&amp;"|ALL|"&amp;S101,V8_COHORT_TABLE,7,FALSE),IFERROR(VLOOKUP(P101&amp;"|ALL|ALL|"&amp;S101,V8_COHORT_TABLE,7,FALSE),IFERROR(VLOOKUP(P101&amp;"|ALL|ALL|ALL",V8_COHORT_TABLE,7,FALSE),VLOOKUP("GLOBAL",V8_COHORT_TABLE,7,FALSE)))))</f>
        <v/>
      </c>
      <c r="AD101" s="15">
        <f>IFERROR(VLOOKUP(T101,V8_COHORT_TABLE,8,FALSE),IFERROR(VLOOKUP(P101&amp;"|"&amp;Q101&amp;"|ALL|"&amp;S101,V8_COHORT_TABLE,8,FALSE),IFERROR(VLOOKUP(P101&amp;"|ALL|ALL|"&amp;S101,V8_COHORT_TABLE,8,FALSE),IFERROR(VLOOKUP(P101&amp;"|ALL|ALL|ALL",V8_COHORT_TABLE,8,FALSE),VLOOKUP("GLOBAL",V8_COHORT_TABLE,8,FALSE)))))</f>
        <v/>
      </c>
      <c r="AE101" s="15">
        <f>IFERROR(VLOOKUP(T101,V8_COHORT_TABLE,9,FALSE),IFERROR(VLOOKUP(P101&amp;"|"&amp;Q101&amp;"|ALL|"&amp;S101,V8_COHORT_TABLE,9,FALSE),IFERROR(VLOOKUP(P101&amp;"|ALL|ALL|"&amp;S101,V8_COHORT_TABLE,9,FALSE),IFERROR(VLOOKUP(P101&amp;"|ALL|ALL|ALL",V8_COHORT_TABLE,9,FALSE),VLOOKUP("GLOBAL",V8_COHORT_TABLE,9,FALSE)))))</f>
        <v/>
      </c>
      <c r="AF101" s="8">
        <f>IF(K101&lt;=0,AB101,IF(K101&gt;=240,AE101,IF(K101&lt;=24,AB101+(K101-0)/24*(AC101-AB101),IF(K101&lt;=96,AC101+(K101-24)/72*(AD101-AC101),AD101+(K101-96)/144*(AE101-AD101)))))</f>
        <v/>
      </c>
      <c r="AG101" s="8">
        <f>IF(IF(OR(L101="",NOT(ISNUMBER(L101))),360,MAX(0,MIN(480,(INT(L101/100)-INT(VALUE(F101)/100))*12+MOD(L101,100)-MOD(VALUE(F101),100))))&gt;0,1+V8_MTY_AMP*MAX(0,(V8_MTY_CUTOFF-(IF(OR(L101="",NOT(ISNUMBER(L101))),360,MAX(0,MIN(480,(INT(L101/100)-INT(VALUE(F101)/100))*12+MOD(L101,100)-MOD(VALUE(F101),100))))))/V8_MTY_CUTOFF),1)</f>
        <v/>
      </c>
      <c r="AH101" s="8">
        <f>IF(AND(IF(OR(M101="",NOT(ISNUMBER(M101))),0,MAX(0,MIN(24,(INT(VALUE(F101)/100)-INT(M101/100))*12+MOD(VALUE(F101),100)-MOD(M101,100))))&gt;0,IF(OR(M101="",NOT(ISNUMBER(M101))),0,MAX(0,MIN(24,(INT(VALUE(F101)/100)-INT(M101/100))*12+MOD(VALUE(F101),100)-MOD(M101,100))))&lt;=12),1+V8_LOCKOUT_AMP*EXP(-(IF(OR(M101="",NOT(ISNUMBER(M101))),0,MAX(0,MIN(24,(INT(VALUE(F101)/100)-INT(M101/100))*12+MOD(VALUE(F101),100)-MOD(M101,100)))))/V8_LOCKOUT_TAU),1)</f>
        <v/>
      </c>
      <c r="AI101" s="8">
        <f>MAX(V8_BURN_FLOOR,1-V8_BURN_SLOPE*MIN(1,MAX(0,O101)))</f>
        <v/>
      </c>
      <c r="AJ101" s="15">
        <f>MIN(AA101*AF101*AG101*AH101*AI101,0.2)</f>
        <v/>
      </c>
      <c r="AK101" s="16">
        <f>1-(1-AJ101)^12</f>
        <v/>
      </c>
    </row>
    <row r="102">
      <c r="A102" s="2" t="inlineStr">
        <is>
          <t>000008522106</t>
        </is>
      </c>
      <c r="B102" t="inlineStr">
        <is>
          <t>232</t>
        </is>
      </c>
      <c r="C102" t="inlineStr">
        <is>
          <t>RP</t>
        </is>
      </c>
      <c r="D102" t="inlineStr">
        <is>
          <t>GREYSTONE FUNDING COMPANY LLC</t>
        </is>
      </c>
      <c r="E102" t="n">
        <v>2022</v>
      </c>
      <c r="F102" t="inlineStr">
        <is>
          <t>202602</t>
        </is>
      </c>
      <c r="G102" s="9" t="n">
        <v>11574005.09</v>
      </c>
      <c r="H102" s="13" t="n">
        <v>3.3</v>
      </c>
      <c r="I102" s="14" t="n">
        <v>447</v>
      </c>
      <c r="J102" s="14" t="n">
        <v>7</v>
      </c>
      <c r="K102" t="n">
        <v>45</v>
      </c>
      <c r="L102" t="n">
        <v>205706</v>
      </c>
      <c r="M102" t="inlineStr"/>
      <c r="N102" t="n">
        <v>0</v>
      </c>
      <c r="O102" s="8" t="n">
        <v>0</v>
      </c>
      <c r="P102">
        <f>IF(ISNUMBER(SEARCH("232",B102)),"232",IF(ISNUMBER(SEARCH("538",B102)),"538",IF(ISNUMBER(SEARCH("223a7",B102)),"223a7",IF(ISNUMBER(SEARCH("223f",B102)),"223f","OTHER"))))</f>
        <v/>
      </c>
      <c r="Q102">
        <f>IF(UPPER(C102)="NC","NC","RP")</f>
        <v/>
      </c>
      <c r="R102">
        <f>IF(G102&lt;5000000,"small",IF(G102&lt;25000000,"medium","large"))</f>
        <v/>
      </c>
      <c r="S102">
        <f>IF(K102&lt;36,"young",IF(K102&lt;120,"seasoned","aged"))</f>
        <v/>
      </c>
      <c r="T102">
        <f>P102&amp;"|"&amp;Q102&amp;"|"&amp;R102&amp;"|"&amp;S102</f>
        <v/>
      </c>
      <c r="U102" s="14">
        <f>H102*100-I102</f>
        <v/>
      </c>
      <c r="V102" s="14">
        <f>U102-12.5*(J102+1)</f>
        <v/>
      </c>
      <c r="W102" s="15">
        <f>IFERROR(VLOOKUP(T102,V8_COHORT_TABLE,2,FALSE),IFERROR(VLOOKUP(P102&amp;"|"&amp;Q102&amp;"|ALL|"&amp;S102,V8_COHORT_TABLE,2,FALSE),IFERROR(VLOOKUP(P102&amp;"|ALL|ALL|"&amp;S102,V8_COHORT_TABLE,2,FALSE),IFERROR(VLOOKUP(P102&amp;"|ALL|ALL|ALL",V8_COHORT_TABLE,2,FALSE),VLOOKUP("GLOBAL",V8_COHORT_TABLE,2,FALSE)))))</f>
        <v/>
      </c>
      <c r="X102" s="15">
        <f>IFERROR(VLOOKUP(T102,V8_COHORT_TABLE,3,FALSE),IFERROR(VLOOKUP(P102&amp;"|"&amp;Q102&amp;"|ALL|"&amp;S102,V8_COHORT_TABLE,3,FALSE),IFERROR(VLOOKUP(P102&amp;"|ALL|ALL|"&amp;S102,V8_COHORT_TABLE,3,FALSE),IFERROR(VLOOKUP(P102&amp;"|ALL|ALL|ALL",V8_COHORT_TABLE,3,FALSE),VLOOKUP("GLOBAL",V8_COHORT_TABLE,3,FALSE)))))</f>
        <v/>
      </c>
      <c r="Y102" s="15">
        <f>IFERROR(VLOOKUP(T102,V8_COHORT_TABLE,4,FALSE),IFERROR(VLOOKUP(P102&amp;"|"&amp;Q102&amp;"|ALL|"&amp;S102,V8_COHORT_TABLE,4,FALSE),IFERROR(VLOOKUP(P102&amp;"|ALL|ALL|"&amp;S102,V8_COHORT_TABLE,4,FALSE),IFERROR(VLOOKUP(P102&amp;"|ALL|ALL|ALL",V8_COHORT_TABLE,4,FALSE),VLOOKUP("GLOBAL",V8_COHORT_TABLE,4,FALSE)))))</f>
        <v/>
      </c>
      <c r="Z102" s="15">
        <f>IFERROR(VLOOKUP(T102,V8_COHORT_TABLE,5,FALSE),IFERROR(VLOOKUP(P102&amp;"|"&amp;Q102&amp;"|ALL|"&amp;S102,V8_COHORT_TABLE,5,FALSE),IFERROR(VLOOKUP(P102&amp;"|ALL|ALL|"&amp;S102,V8_COHORT_TABLE,5,FALSE),IFERROR(VLOOKUP(P102&amp;"|ALL|ALL|ALL",V8_COHORT_TABLE,5,FALSE),VLOOKUP("GLOBAL",V8_COHORT_TABLE,5,FALSE)))))</f>
        <v/>
      </c>
      <c r="AA102" s="15">
        <f>W102+X102/(1+EXP(-(V102-Y102)/Z102))</f>
        <v/>
      </c>
      <c r="AB102" s="15">
        <f>IFERROR(VLOOKUP(T102,V8_COHORT_TABLE,6,FALSE),IFERROR(VLOOKUP(P102&amp;"|"&amp;Q102&amp;"|ALL|"&amp;S102,V8_COHORT_TABLE,6,FALSE),IFERROR(VLOOKUP(P102&amp;"|ALL|ALL|"&amp;S102,V8_COHORT_TABLE,6,FALSE),IFERROR(VLOOKUP(P102&amp;"|ALL|ALL|ALL",V8_COHORT_TABLE,6,FALSE),VLOOKUP("GLOBAL",V8_COHORT_TABLE,6,FALSE)))))</f>
        <v/>
      </c>
      <c r="AC102" s="15">
        <f>IFERROR(VLOOKUP(T102,V8_COHORT_TABLE,7,FALSE),IFERROR(VLOOKUP(P102&amp;"|"&amp;Q102&amp;"|ALL|"&amp;S102,V8_COHORT_TABLE,7,FALSE),IFERROR(VLOOKUP(P102&amp;"|ALL|ALL|"&amp;S102,V8_COHORT_TABLE,7,FALSE),IFERROR(VLOOKUP(P102&amp;"|ALL|ALL|ALL",V8_COHORT_TABLE,7,FALSE),VLOOKUP("GLOBAL",V8_COHORT_TABLE,7,FALSE)))))</f>
        <v/>
      </c>
      <c r="AD102" s="15">
        <f>IFERROR(VLOOKUP(T102,V8_COHORT_TABLE,8,FALSE),IFERROR(VLOOKUP(P102&amp;"|"&amp;Q102&amp;"|ALL|"&amp;S102,V8_COHORT_TABLE,8,FALSE),IFERROR(VLOOKUP(P102&amp;"|ALL|ALL|"&amp;S102,V8_COHORT_TABLE,8,FALSE),IFERROR(VLOOKUP(P102&amp;"|ALL|ALL|ALL",V8_COHORT_TABLE,8,FALSE),VLOOKUP("GLOBAL",V8_COHORT_TABLE,8,FALSE)))))</f>
        <v/>
      </c>
      <c r="AE102" s="15">
        <f>IFERROR(VLOOKUP(T102,V8_COHORT_TABLE,9,FALSE),IFERROR(VLOOKUP(P102&amp;"|"&amp;Q102&amp;"|ALL|"&amp;S102,V8_COHORT_TABLE,9,FALSE),IFERROR(VLOOKUP(P102&amp;"|ALL|ALL|"&amp;S102,V8_COHORT_TABLE,9,FALSE),IFERROR(VLOOKUP(P102&amp;"|ALL|ALL|ALL",V8_COHORT_TABLE,9,FALSE),VLOOKUP("GLOBAL",V8_COHORT_TABLE,9,FALSE)))))</f>
        <v/>
      </c>
      <c r="AF102" s="8">
        <f>IF(K102&lt;=0,AB102,IF(K102&gt;=240,AE102,IF(K102&lt;=24,AB102+(K102-0)/24*(AC102-AB102),IF(K102&lt;=96,AC102+(K102-24)/72*(AD102-AC102),AD102+(K102-96)/144*(AE102-AD102)))))</f>
        <v/>
      </c>
      <c r="AG102" s="8">
        <f>IF(IF(OR(L102="",NOT(ISNUMBER(L102))),360,MAX(0,MIN(480,(INT(L102/100)-INT(VALUE(F102)/100))*12+MOD(L102,100)-MOD(VALUE(F102),100))))&gt;0,1+V8_MTY_AMP*MAX(0,(V8_MTY_CUTOFF-(IF(OR(L102="",NOT(ISNUMBER(L102))),360,MAX(0,MIN(480,(INT(L102/100)-INT(VALUE(F102)/100))*12+MOD(L102,100)-MOD(VALUE(F102),100))))))/V8_MTY_CUTOFF),1)</f>
        <v/>
      </c>
      <c r="AH102" s="8">
        <f>IF(AND(IF(OR(M102="",NOT(ISNUMBER(M102))),0,MAX(0,MIN(24,(INT(VALUE(F102)/100)-INT(M102/100))*12+MOD(VALUE(F102),100)-MOD(M102,100))))&gt;0,IF(OR(M102="",NOT(ISNUMBER(M102))),0,MAX(0,MIN(24,(INT(VALUE(F102)/100)-INT(M102/100))*12+MOD(VALUE(F102),100)-MOD(M102,100))))&lt;=12),1+V8_LOCKOUT_AMP*EXP(-(IF(OR(M102="",NOT(ISNUMBER(M102))),0,MAX(0,MIN(24,(INT(VALUE(F102)/100)-INT(M102/100))*12+MOD(VALUE(F102),100)-MOD(M102,100)))))/V8_LOCKOUT_TAU),1)</f>
        <v/>
      </c>
      <c r="AI102" s="8">
        <f>MAX(V8_BURN_FLOOR,1-V8_BURN_SLOPE*MIN(1,MAX(0,O102)))</f>
        <v/>
      </c>
      <c r="AJ102" s="15">
        <f>MIN(AA102*AF102*AG102*AH102*AI102,0.2)</f>
        <v/>
      </c>
      <c r="AK102" s="16">
        <f>1-(1-AJ102)^12</f>
        <v/>
      </c>
    </row>
    <row r="103">
      <c r="A103" s="2" t="inlineStr">
        <is>
          <t>000011411535</t>
        </is>
      </c>
      <c r="B103" t="inlineStr">
        <is>
          <t>223f</t>
        </is>
      </c>
      <c r="C103" t="inlineStr">
        <is>
          <t>RP</t>
        </is>
      </c>
      <c r="D103" t="inlineStr">
        <is>
          <t>GREYSTONE FUNDING COMPANY LLC</t>
        </is>
      </c>
      <c r="E103" t="n">
        <v>2022</v>
      </c>
      <c r="F103" t="inlineStr">
        <is>
          <t>202602</t>
        </is>
      </c>
      <c r="G103" s="9" t="n">
        <v>11232891.01</v>
      </c>
      <c r="H103" s="13" t="n">
        <v>2.38</v>
      </c>
      <c r="I103" s="14" t="n">
        <v>447</v>
      </c>
      <c r="J103" s="14" t="n">
        <v>7</v>
      </c>
      <c r="K103" t="n">
        <v>49</v>
      </c>
      <c r="L103" t="n">
        <v>205702</v>
      </c>
      <c r="M103" t="inlineStr"/>
      <c r="N103" t="n">
        <v>0</v>
      </c>
      <c r="O103" s="8" t="n">
        <v>0</v>
      </c>
      <c r="P103">
        <f>IF(ISNUMBER(SEARCH("232",B103)),"232",IF(ISNUMBER(SEARCH("538",B103)),"538",IF(ISNUMBER(SEARCH("223a7",B103)),"223a7",IF(ISNUMBER(SEARCH("223f",B103)),"223f","OTHER"))))</f>
        <v/>
      </c>
      <c r="Q103">
        <f>IF(UPPER(C103)="NC","NC","RP")</f>
        <v/>
      </c>
      <c r="R103">
        <f>IF(G103&lt;5000000,"small",IF(G103&lt;25000000,"medium","large"))</f>
        <v/>
      </c>
      <c r="S103">
        <f>IF(K103&lt;36,"young",IF(K103&lt;120,"seasoned","aged"))</f>
        <v/>
      </c>
      <c r="T103">
        <f>P103&amp;"|"&amp;Q103&amp;"|"&amp;R103&amp;"|"&amp;S103</f>
        <v/>
      </c>
      <c r="U103" s="14">
        <f>H103*100-I103</f>
        <v/>
      </c>
      <c r="V103" s="14">
        <f>U103-12.5*(J103+1)</f>
        <v/>
      </c>
      <c r="W103" s="15">
        <f>IFERROR(VLOOKUP(T103,V8_COHORT_TABLE,2,FALSE),IFERROR(VLOOKUP(P103&amp;"|"&amp;Q103&amp;"|ALL|"&amp;S103,V8_COHORT_TABLE,2,FALSE),IFERROR(VLOOKUP(P103&amp;"|ALL|ALL|"&amp;S103,V8_COHORT_TABLE,2,FALSE),IFERROR(VLOOKUP(P103&amp;"|ALL|ALL|ALL",V8_COHORT_TABLE,2,FALSE),VLOOKUP("GLOBAL",V8_COHORT_TABLE,2,FALSE)))))</f>
        <v/>
      </c>
      <c r="X103" s="15">
        <f>IFERROR(VLOOKUP(T103,V8_COHORT_TABLE,3,FALSE),IFERROR(VLOOKUP(P103&amp;"|"&amp;Q103&amp;"|ALL|"&amp;S103,V8_COHORT_TABLE,3,FALSE),IFERROR(VLOOKUP(P103&amp;"|ALL|ALL|"&amp;S103,V8_COHORT_TABLE,3,FALSE),IFERROR(VLOOKUP(P103&amp;"|ALL|ALL|ALL",V8_COHORT_TABLE,3,FALSE),VLOOKUP("GLOBAL",V8_COHORT_TABLE,3,FALSE)))))</f>
        <v/>
      </c>
      <c r="Y103" s="15">
        <f>IFERROR(VLOOKUP(T103,V8_COHORT_TABLE,4,FALSE),IFERROR(VLOOKUP(P103&amp;"|"&amp;Q103&amp;"|ALL|"&amp;S103,V8_COHORT_TABLE,4,FALSE),IFERROR(VLOOKUP(P103&amp;"|ALL|ALL|"&amp;S103,V8_COHORT_TABLE,4,FALSE),IFERROR(VLOOKUP(P103&amp;"|ALL|ALL|ALL",V8_COHORT_TABLE,4,FALSE),VLOOKUP("GLOBAL",V8_COHORT_TABLE,4,FALSE)))))</f>
        <v/>
      </c>
      <c r="Z103" s="15">
        <f>IFERROR(VLOOKUP(T103,V8_COHORT_TABLE,5,FALSE),IFERROR(VLOOKUP(P103&amp;"|"&amp;Q103&amp;"|ALL|"&amp;S103,V8_COHORT_TABLE,5,FALSE),IFERROR(VLOOKUP(P103&amp;"|ALL|ALL|"&amp;S103,V8_COHORT_TABLE,5,FALSE),IFERROR(VLOOKUP(P103&amp;"|ALL|ALL|ALL",V8_COHORT_TABLE,5,FALSE),VLOOKUP("GLOBAL",V8_COHORT_TABLE,5,FALSE)))))</f>
        <v/>
      </c>
      <c r="AA103" s="15">
        <f>W103+X103/(1+EXP(-(V103-Y103)/Z103))</f>
        <v/>
      </c>
      <c r="AB103" s="15">
        <f>IFERROR(VLOOKUP(T103,V8_COHORT_TABLE,6,FALSE),IFERROR(VLOOKUP(P103&amp;"|"&amp;Q103&amp;"|ALL|"&amp;S103,V8_COHORT_TABLE,6,FALSE),IFERROR(VLOOKUP(P103&amp;"|ALL|ALL|"&amp;S103,V8_COHORT_TABLE,6,FALSE),IFERROR(VLOOKUP(P103&amp;"|ALL|ALL|ALL",V8_COHORT_TABLE,6,FALSE),VLOOKUP("GLOBAL",V8_COHORT_TABLE,6,FALSE)))))</f>
        <v/>
      </c>
      <c r="AC103" s="15">
        <f>IFERROR(VLOOKUP(T103,V8_COHORT_TABLE,7,FALSE),IFERROR(VLOOKUP(P103&amp;"|"&amp;Q103&amp;"|ALL|"&amp;S103,V8_COHORT_TABLE,7,FALSE),IFERROR(VLOOKUP(P103&amp;"|ALL|ALL|"&amp;S103,V8_COHORT_TABLE,7,FALSE),IFERROR(VLOOKUP(P103&amp;"|ALL|ALL|ALL",V8_COHORT_TABLE,7,FALSE),VLOOKUP("GLOBAL",V8_COHORT_TABLE,7,FALSE)))))</f>
        <v/>
      </c>
      <c r="AD103" s="15">
        <f>IFERROR(VLOOKUP(T103,V8_COHORT_TABLE,8,FALSE),IFERROR(VLOOKUP(P103&amp;"|"&amp;Q103&amp;"|ALL|"&amp;S103,V8_COHORT_TABLE,8,FALSE),IFERROR(VLOOKUP(P103&amp;"|ALL|ALL|"&amp;S103,V8_COHORT_TABLE,8,FALSE),IFERROR(VLOOKUP(P103&amp;"|ALL|ALL|ALL",V8_COHORT_TABLE,8,FALSE),VLOOKUP("GLOBAL",V8_COHORT_TABLE,8,FALSE)))))</f>
        <v/>
      </c>
      <c r="AE103" s="15">
        <f>IFERROR(VLOOKUP(T103,V8_COHORT_TABLE,9,FALSE),IFERROR(VLOOKUP(P103&amp;"|"&amp;Q103&amp;"|ALL|"&amp;S103,V8_COHORT_TABLE,9,FALSE),IFERROR(VLOOKUP(P103&amp;"|ALL|ALL|"&amp;S103,V8_COHORT_TABLE,9,FALSE),IFERROR(VLOOKUP(P103&amp;"|ALL|ALL|ALL",V8_COHORT_TABLE,9,FALSE),VLOOKUP("GLOBAL",V8_COHORT_TABLE,9,FALSE)))))</f>
        <v/>
      </c>
      <c r="AF103" s="8">
        <f>IF(K103&lt;=0,AB103,IF(K103&gt;=240,AE103,IF(K103&lt;=24,AB103+(K103-0)/24*(AC103-AB103),IF(K103&lt;=96,AC103+(K103-24)/72*(AD103-AC103),AD103+(K103-96)/144*(AE103-AD103)))))</f>
        <v/>
      </c>
      <c r="AG103" s="8">
        <f>IF(IF(OR(L103="",NOT(ISNUMBER(L103))),360,MAX(0,MIN(480,(INT(L103/100)-INT(VALUE(F103)/100))*12+MOD(L103,100)-MOD(VALUE(F103),100))))&gt;0,1+V8_MTY_AMP*MAX(0,(V8_MTY_CUTOFF-(IF(OR(L103="",NOT(ISNUMBER(L103))),360,MAX(0,MIN(480,(INT(L103/100)-INT(VALUE(F103)/100))*12+MOD(L103,100)-MOD(VALUE(F103),100))))))/V8_MTY_CUTOFF),1)</f>
        <v/>
      </c>
      <c r="AH103" s="8">
        <f>IF(AND(IF(OR(M103="",NOT(ISNUMBER(M103))),0,MAX(0,MIN(24,(INT(VALUE(F103)/100)-INT(M103/100))*12+MOD(VALUE(F103),100)-MOD(M103,100))))&gt;0,IF(OR(M103="",NOT(ISNUMBER(M103))),0,MAX(0,MIN(24,(INT(VALUE(F103)/100)-INT(M103/100))*12+MOD(VALUE(F103),100)-MOD(M103,100))))&lt;=12),1+V8_LOCKOUT_AMP*EXP(-(IF(OR(M103="",NOT(ISNUMBER(M103))),0,MAX(0,MIN(24,(INT(VALUE(F103)/100)-INT(M103/100))*12+MOD(VALUE(F103),100)-MOD(M103,100)))))/V8_LOCKOUT_TAU),1)</f>
        <v/>
      </c>
      <c r="AI103" s="8">
        <f>MAX(V8_BURN_FLOOR,1-V8_BURN_SLOPE*MIN(1,MAX(0,O103)))</f>
        <v/>
      </c>
      <c r="AJ103" s="15">
        <f>MIN(AA103*AF103*AG103*AH103*AI103,0.2)</f>
        <v/>
      </c>
      <c r="AK103" s="16">
        <f>1-(1-AJ103)^12</f>
        <v/>
      </c>
    </row>
    <row r="104">
      <c r="A104" s="2" t="inlineStr">
        <is>
          <t>000001711241</t>
        </is>
      </c>
      <c r="B104" t="inlineStr">
        <is>
          <t>223f</t>
        </is>
      </c>
      <c r="C104" t="inlineStr">
        <is>
          <t>RP</t>
        </is>
      </c>
      <c r="D104" t="inlineStr">
        <is>
          <t>GREYSTONE FUNDING COMPANY LLC</t>
        </is>
      </c>
      <c r="E104" t="n">
        <v>2022</v>
      </c>
      <c r="F104" t="inlineStr">
        <is>
          <t>202602</t>
        </is>
      </c>
      <c r="G104" s="9" t="n">
        <v>30292588.75</v>
      </c>
      <c r="H104" s="13" t="n">
        <v>3.9</v>
      </c>
      <c r="I104" s="14" t="n">
        <v>447</v>
      </c>
      <c r="J104" s="14" t="n">
        <v>7</v>
      </c>
      <c r="K104" t="n">
        <v>44</v>
      </c>
      <c r="L104" t="n">
        <v>205707</v>
      </c>
      <c r="M104" t="inlineStr"/>
      <c r="N104" t="n">
        <v>0</v>
      </c>
      <c r="O104" s="8" t="n">
        <v>0</v>
      </c>
      <c r="P104">
        <f>IF(ISNUMBER(SEARCH("232",B104)),"232",IF(ISNUMBER(SEARCH("538",B104)),"538",IF(ISNUMBER(SEARCH("223a7",B104)),"223a7",IF(ISNUMBER(SEARCH("223f",B104)),"223f","OTHER"))))</f>
        <v/>
      </c>
      <c r="Q104">
        <f>IF(UPPER(C104)="NC","NC","RP")</f>
        <v/>
      </c>
      <c r="R104">
        <f>IF(G104&lt;5000000,"small",IF(G104&lt;25000000,"medium","large"))</f>
        <v/>
      </c>
      <c r="S104">
        <f>IF(K104&lt;36,"young",IF(K104&lt;120,"seasoned","aged"))</f>
        <v/>
      </c>
      <c r="T104">
        <f>P104&amp;"|"&amp;Q104&amp;"|"&amp;R104&amp;"|"&amp;S104</f>
        <v/>
      </c>
      <c r="U104" s="14">
        <f>H104*100-I104</f>
        <v/>
      </c>
      <c r="V104" s="14">
        <f>U104-12.5*(J104+1)</f>
        <v/>
      </c>
      <c r="W104" s="15">
        <f>IFERROR(VLOOKUP(T104,V8_COHORT_TABLE,2,FALSE),IFERROR(VLOOKUP(P104&amp;"|"&amp;Q104&amp;"|ALL|"&amp;S104,V8_COHORT_TABLE,2,FALSE),IFERROR(VLOOKUP(P104&amp;"|ALL|ALL|"&amp;S104,V8_COHORT_TABLE,2,FALSE),IFERROR(VLOOKUP(P104&amp;"|ALL|ALL|ALL",V8_COHORT_TABLE,2,FALSE),VLOOKUP("GLOBAL",V8_COHORT_TABLE,2,FALSE)))))</f>
        <v/>
      </c>
      <c r="X104" s="15">
        <f>IFERROR(VLOOKUP(T104,V8_COHORT_TABLE,3,FALSE),IFERROR(VLOOKUP(P104&amp;"|"&amp;Q104&amp;"|ALL|"&amp;S104,V8_COHORT_TABLE,3,FALSE),IFERROR(VLOOKUP(P104&amp;"|ALL|ALL|"&amp;S104,V8_COHORT_TABLE,3,FALSE),IFERROR(VLOOKUP(P104&amp;"|ALL|ALL|ALL",V8_COHORT_TABLE,3,FALSE),VLOOKUP("GLOBAL",V8_COHORT_TABLE,3,FALSE)))))</f>
        <v/>
      </c>
      <c r="Y104" s="15">
        <f>IFERROR(VLOOKUP(T104,V8_COHORT_TABLE,4,FALSE),IFERROR(VLOOKUP(P104&amp;"|"&amp;Q104&amp;"|ALL|"&amp;S104,V8_COHORT_TABLE,4,FALSE),IFERROR(VLOOKUP(P104&amp;"|ALL|ALL|"&amp;S104,V8_COHORT_TABLE,4,FALSE),IFERROR(VLOOKUP(P104&amp;"|ALL|ALL|ALL",V8_COHORT_TABLE,4,FALSE),VLOOKUP("GLOBAL",V8_COHORT_TABLE,4,FALSE)))))</f>
        <v/>
      </c>
      <c r="Z104" s="15">
        <f>IFERROR(VLOOKUP(T104,V8_COHORT_TABLE,5,FALSE),IFERROR(VLOOKUP(P104&amp;"|"&amp;Q104&amp;"|ALL|"&amp;S104,V8_COHORT_TABLE,5,FALSE),IFERROR(VLOOKUP(P104&amp;"|ALL|ALL|"&amp;S104,V8_COHORT_TABLE,5,FALSE),IFERROR(VLOOKUP(P104&amp;"|ALL|ALL|ALL",V8_COHORT_TABLE,5,FALSE),VLOOKUP("GLOBAL",V8_COHORT_TABLE,5,FALSE)))))</f>
        <v/>
      </c>
      <c r="AA104" s="15">
        <f>W104+X104/(1+EXP(-(V104-Y104)/Z104))</f>
        <v/>
      </c>
      <c r="AB104" s="15">
        <f>IFERROR(VLOOKUP(T104,V8_COHORT_TABLE,6,FALSE),IFERROR(VLOOKUP(P104&amp;"|"&amp;Q104&amp;"|ALL|"&amp;S104,V8_COHORT_TABLE,6,FALSE),IFERROR(VLOOKUP(P104&amp;"|ALL|ALL|"&amp;S104,V8_COHORT_TABLE,6,FALSE),IFERROR(VLOOKUP(P104&amp;"|ALL|ALL|ALL",V8_COHORT_TABLE,6,FALSE),VLOOKUP("GLOBAL",V8_COHORT_TABLE,6,FALSE)))))</f>
        <v/>
      </c>
      <c r="AC104" s="15">
        <f>IFERROR(VLOOKUP(T104,V8_COHORT_TABLE,7,FALSE),IFERROR(VLOOKUP(P104&amp;"|"&amp;Q104&amp;"|ALL|"&amp;S104,V8_COHORT_TABLE,7,FALSE),IFERROR(VLOOKUP(P104&amp;"|ALL|ALL|"&amp;S104,V8_COHORT_TABLE,7,FALSE),IFERROR(VLOOKUP(P104&amp;"|ALL|ALL|ALL",V8_COHORT_TABLE,7,FALSE),VLOOKUP("GLOBAL",V8_COHORT_TABLE,7,FALSE)))))</f>
        <v/>
      </c>
      <c r="AD104" s="15">
        <f>IFERROR(VLOOKUP(T104,V8_COHORT_TABLE,8,FALSE),IFERROR(VLOOKUP(P104&amp;"|"&amp;Q104&amp;"|ALL|"&amp;S104,V8_COHORT_TABLE,8,FALSE),IFERROR(VLOOKUP(P104&amp;"|ALL|ALL|"&amp;S104,V8_COHORT_TABLE,8,FALSE),IFERROR(VLOOKUP(P104&amp;"|ALL|ALL|ALL",V8_COHORT_TABLE,8,FALSE),VLOOKUP("GLOBAL",V8_COHORT_TABLE,8,FALSE)))))</f>
        <v/>
      </c>
      <c r="AE104" s="15">
        <f>IFERROR(VLOOKUP(T104,V8_COHORT_TABLE,9,FALSE),IFERROR(VLOOKUP(P104&amp;"|"&amp;Q104&amp;"|ALL|"&amp;S104,V8_COHORT_TABLE,9,FALSE),IFERROR(VLOOKUP(P104&amp;"|ALL|ALL|"&amp;S104,V8_COHORT_TABLE,9,FALSE),IFERROR(VLOOKUP(P104&amp;"|ALL|ALL|ALL",V8_COHORT_TABLE,9,FALSE),VLOOKUP("GLOBAL",V8_COHORT_TABLE,9,FALSE)))))</f>
        <v/>
      </c>
      <c r="AF104" s="8">
        <f>IF(K104&lt;=0,AB104,IF(K104&gt;=240,AE104,IF(K104&lt;=24,AB104+(K104-0)/24*(AC104-AB104),IF(K104&lt;=96,AC104+(K104-24)/72*(AD104-AC104),AD104+(K104-96)/144*(AE104-AD104)))))</f>
        <v/>
      </c>
      <c r="AG104" s="8">
        <f>IF(IF(OR(L104="",NOT(ISNUMBER(L104))),360,MAX(0,MIN(480,(INT(L104/100)-INT(VALUE(F104)/100))*12+MOD(L104,100)-MOD(VALUE(F104),100))))&gt;0,1+V8_MTY_AMP*MAX(0,(V8_MTY_CUTOFF-(IF(OR(L104="",NOT(ISNUMBER(L104))),360,MAX(0,MIN(480,(INT(L104/100)-INT(VALUE(F104)/100))*12+MOD(L104,100)-MOD(VALUE(F104),100))))))/V8_MTY_CUTOFF),1)</f>
        <v/>
      </c>
      <c r="AH104" s="8">
        <f>IF(AND(IF(OR(M104="",NOT(ISNUMBER(M104))),0,MAX(0,MIN(24,(INT(VALUE(F104)/100)-INT(M104/100))*12+MOD(VALUE(F104),100)-MOD(M104,100))))&gt;0,IF(OR(M104="",NOT(ISNUMBER(M104))),0,MAX(0,MIN(24,(INT(VALUE(F104)/100)-INT(M104/100))*12+MOD(VALUE(F104),100)-MOD(M104,100))))&lt;=12),1+V8_LOCKOUT_AMP*EXP(-(IF(OR(M104="",NOT(ISNUMBER(M104))),0,MAX(0,MIN(24,(INT(VALUE(F104)/100)-INT(M104/100))*12+MOD(VALUE(F104),100)-MOD(M104,100)))))/V8_LOCKOUT_TAU),1)</f>
        <v/>
      </c>
      <c r="AI104" s="8">
        <f>MAX(V8_BURN_FLOOR,1-V8_BURN_SLOPE*MIN(1,MAX(0,O104)))</f>
        <v/>
      </c>
      <c r="AJ104" s="15">
        <f>MIN(AA104*AF104*AG104*AH104*AI104,0.2)</f>
        <v/>
      </c>
      <c r="AK104" s="16">
        <f>1-(1-AJ104)^12</f>
        <v/>
      </c>
    </row>
    <row r="105">
      <c r="A105" s="2" t="inlineStr">
        <is>
          <t>000004222338</t>
        </is>
      </c>
      <c r="B105" t="inlineStr">
        <is>
          <t>232</t>
        </is>
      </c>
      <c r="C105" t="inlineStr">
        <is>
          <t>RP</t>
        </is>
      </c>
      <c r="D105" t="inlineStr">
        <is>
          <t>GREYSTONE FUNDING COMPANY LLC</t>
        </is>
      </c>
      <c r="E105" t="n">
        <v>2021</v>
      </c>
      <c r="F105" t="inlineStr">
        <is>
          <t>202602</t>
        </is>
      </c>
      <c r="G105" s="9" t="n">
        <v>5731386.6</v>
      </c>
      <c r="H105" s="13" t="n">
        <v>2.94</v>
      </c>
      <c r="I105" s="14" t="n">
        <v>447</v>
      </c>
      <c r="J105" s="14" t="n">
        <v>6</v>
      </c>
      <c r="K105" t="n">
        <v>58</v>
      </c>
      <c r="L105" t="n">
        <v>205405</v>
      </c>
      <c r="M105" t="inlineStr"/>
      <c r="N105" t="n">
        <v>1</v>
      </c>
      <c r="O105" s="8" t="n">
        <v>0.01724137931034483</v>
      </c>
      <c r="P105">
        <f>IF(ISNUMBER(SEARCH("232",B105)),"232",IF(ISNUMBER(SEARCH("538",B105)),"538",IF(ISNUMBER(SEARCH("223a7",B105)),"223a7",IF(ISNUMBER(SEARCH("223f",B105)),"223f","OTHER"))))</f>
        <v/>
      </c>
      <c r="Q105">
        <f>IF(UPPER(C105)="NC","NC","RP")</f>
        <v/>
      </c>
      <c r="R105">
        <f>IF(G105&lt;5000000,"small",IF(G105&lt;25000000,"medium","large"))</f>
        <v/>
      </c>
      <c r="S105">
        <f>IF(K105&lt;36,"young",IF(K105&lt;120,"seasoned","aged"))</f>
        <v/>
      </c>
      <c r="T105">
        <f>P105&amp;"|"&amp;Q105&amp;"|"&amp;R105&amp;"|"&amp;S105</f>
        <v/>
      </c>
      <c r="U105" s="14">
        <f>H105*100-I105</f>
        <v/>
      </c>
      <c r="V105" s="14">
        <f>U105-12.5*(J105+1)</f>
        <v/>
      </c>
      <c r="W105" s="15">
        <f>IFERROR(VLOOKUP(T105,V8_COHORT_TABLE,2,FALSE),IFERROR(VLOOKUP(P105&amp;"|"&amp;Q105&amp;"|ALL|"&amp;S105,V8_COHORT_TABLE,2,FALSE),IFERROR(VLOOKUP(P105&amp;"|ALL|ALL|"&amp;S105,V8_COHORT_TABLE,2,FALSE),IFERROR(VLOOKUP(P105&amp;"|ALL|ALL|ALL",V8_COHORT_TABLE,2,FALSE),VLOOKUP("GLOBAL",V8_COHORT_TABLE,2,FALSE)))))</f>
        <v/>
      </c>
      <c r="X105" s="15">
        <f>IFERROR(VLOOKUP(T105,V8_COHORT_TABLE,3,FALSE),IFERROR(VLOOKUP(P105&amp;"|"&amp;Q105&amp;"|ALL|"&amp;S105,V8_COHORT_TABLE,3,FALSE),IFERROR(VLOOKUP(P105&amp;"|ALL|ALL|"&amp;S105,V8_COHORT_TABLE,3,FALSE),IFERROR(VLOOKUP(P105&amp;"|ALL|ALL|ALL",V8_COHORT_TABLE,3,FALSE),VLOOKUP("GLOBAL",V8_COHORT_TABLE,3,FALSE)))))</f>
        <v/>
      </c>
      <c r="Y105" s="15">
        <f>IFERROR(VLOOKUP(T105,V8_COHORT_TABLE,4,FALSE),IFERROR(VLOOKUP(P105&amp;"|"&amp;Q105&amp;"|ALL|"&amp;S105,V8_COHORT_TABLE,4,FALSE),IFERROR(VLOOKUP(P105&amp;"|ALL|ALL|"&amp;S105,V8_COHORT_TABLE,4,FALSE),IFERROR(VLOOKUP(P105&amp;"|ALL|ALL|ALL",V8_COHORT_TABLE,4,FALSE),VLOOKUP("GLOBAL",V8_COHORT_TABLE,4,FALSE)))))</f>
        <v/>
      </c>
      <c r="Z105" s="15">
        <f>IFERROR(VLOOKUP(T105,V8_COHORT_TABLE,5,FALSE),IFERROR(VLOOKUP(P105&amp;"|"&amp;Q105&amp;"|ALL|"&amp;S105,V8_COHORT_TABLE,5,FALSE),IFERROR(VLOOKUP(P105&amp;"|ALL|ALL|"&amp;S105,V8_COHORT_TABLE,5,FALSE),IFERROR(VLOOKUP(P105&amp;"|ALL|ALL|ALL",V8_COHORT_TABLE,5,FALSE),VLOOKUP("GLOBAL",V8_COHORT_TABLE,5,FALSE)))))</f>
        <v/>
      </c>
      <c r="AA105" s="15">
        <f>W105+X105/(1+EXP(-(V105-Y105)/Z105))</f>
        <v/>
      </c>
      <c r="AB105" s="15">
        <f>IFERROR(VLOOKUP(T105,V8_COHORT_TABLE,6,FALSE),IFERROR(VLOOKUP(P105&amp;"|"&amp;Q105&amp;"|ALL|"&amp;S105,V8_COHORT_TABLE,6,FALSE),IFERROR(VLOOKUP(P105&amp;"|ALL|ALL|"&amp;S105,V8_COHORT_TABLE,6,FALSE),IFERROR(VLOOKUP(P105&amp;"|ALL|ALL|ALL",V8_COHORT_TABLE,6,FALSE),VLOOKUP("GLOBAL",V8_COHORT_TABLE,6,FALSE)))))</f>
        <v/>
      </c>
      <c r="AC105" s="15">
        <f>IFERROR(VLOOKUP(T105,V8_COHORT_TABLE,7,FALSE),IFERROR(VLOOKUP(P105&amp;"|"&amp;Q105&amp;"|ALL|"&amp;S105,V8_COHORT_TABLE,7,FALSE),IFERROR(VLOOKUP(P105&amp;"|ALL|ALL|"&amp;S105,V8_COHORT_TABLE,7,FALSE),IFERROR(VLOOKUP(P105&amp;"|ALL|ALL|ALL",V8_COHORT_TABLE,7,FALSE),VLOOKUP("GLOBAL",V8_COHORT_TABLE,7,FALSE)))))</f>
        <v/>
      </c>
      <c r="AD105" s="15">
        <f>IFERROR(VLOOKUP(T105,V8_COHORT_TABLE,8,FALSE),IFERROR(VLOOKUP(P105&amp;"|"&amp;Q105&amp;"|ALL|"&amp;S105,V8_COHORT_TABLE,8,FALSE),IFERROR(VLOOKUP(P105&amp;"|ALL|ALL|"&amp;S105,V8_COHORT_TABLE,8,FALSE),IFERROR(VLOOKUP(P105&amp;"|ALL|ALL|ALL",V8_COHORT_TABLE,8,FALSE),VLOOKUP("GLOBAL",V8_COHORT_TABLE,8,FALSE)))))</f>
        <v/>
      </c>
      <c r="AE105" s="15">
        <f>IFERROR(VLOOKUP(T105,V8_COHORT_TABLE,9,FALSE),IFERROR(VLOOKUP(P105&amp;"|"&amp;Q105&amp;"|ALL|"&amp;S105,V8_COHORT_TABLE,9,FALSE),IFERROR(VLOOKUP(P105&amp;"|ALL|ALL|"&amp;S105,V8_COHORT_TABLE,9,FALSE),IFERROR(VLOOKUP(P105&amp;"|ALL|ALL|ALL",V8_COHORT_TABLE,9,FALSE),VLOOKUP("GLOBAL",V8_COHORT_TABLE,9,FALSE)))))</f>
        <v/>
      </c>
      <c r="AF105" s="8">
        <f>IF(K105&lt;=0,AB105,IF(K105&gt;=240,AE105,IF(K105&lt;=24,AB105+(K105-0)/24*(AC105-AB105),IF(K105&lt;=96,AC105+(K105-24)/72*(AD105-AC105),AD105+(K105-96)/144*(AE105-AD105)))))</f>
        <v/>
      </c>
      <c r="AG105" s="8">
        <f>IF(IF(OR(L105="",NOT(ISNUMBER(L105))),360,MAX(0,MIN(480,(INT(L105/100)-INT(VALUE(F105)/100))*12+MOD(L105,100)-MOD(VALUE(F105),100))))&gt;0,1+V8_MTY_AMP*MAX(0,(V8_MTY_CUTOFF-(IF(OR(L105="",NOT(ISNUMBER(L105))),360,MAX(0,MIN(480,(INT(L105/100)-INT(VALUE(F105)/100))*12+MOD(L105,100)-MOD(VALUE(F105),100))))))/V8_MTY_CUTOFF),1)</f>
        <v/>
      </c>
      <c r="AH105" s="8">
        <f>IF(AND(IF(OR(M105="",NOT(ISNUMBER(M105))),0,MAX(0,MIN(24,(INT(VALUE(F105)/100)-INT(M105/100))*12+MOD(VALUE(F105),100)-MOD(M105,100))))&gt;0,IF(OR(M105="",NOT(ISNUMBER(M105))),0,MAX(0,MIN(24,(INT(VALUE(F105)/100)-INT(M105/100))*12+MOD(VALUE(F105),100)-MOD(M105,100))))&lt;=12),1+V8_LOCKOUT_AMP*EXP(-(IF(OR(M105="",NOT(ISNUMBER(M105))),0,MAX(0,MIN(24,(INT(VALUE(F105)/100)-INT(M105/100))*12+MOD(VALUE(F105),100)-MOD(M105,100)))))/V8_LOCKOUT_TAU),1)</f>
        <v/>
      </c>
      <c r="AI105" s="8">
        <f>MAX(V8_BURN_FLOOR,1-V8_BURN_SLOPE*MIN(1,MAX(0,O105)))</f>
        <v/>
      </c>
      <c r="AJ105" s="15">
        <f>MIN(AA105*AF105*AG105*AH105*AI105,0.2)</f>
        <v/>
      </c>
      <c r="AK105" s="16">
        <f>1-(1-AJ105)^12</f>
        <v/>
      </c>
    </row>
    <row r="106">
      <c r="A106" s="2" t="inlineStr">
        <is>
          <t>000003122150</t>
        </is>
      </c>
      <c r="B106" t="inlineStr">
        <is>
          <t>232</t>
        </is>
      </c>
      <c r="C106" t="inlineStr">
        <is>
          <t>RP</t>
        </is>
      </c>
      <c r="D106" t="inlineStr">
        <is>
          <t>GREYSTONE FUNDING COMPANY LLC</t>
        </is>
      </c>
      <c r="E106" t="n">
        <v>2022</v>
      </c>
      <c r="F106" t="inlineStr">
        <is>
          <t>202602</t>
        </is>
      </c>
      <c r="G106" s="9" t="n">
        <v>5481862.74</v>
      </c>
      <c r="H106" s="13" t="n">
        <v>2.59</v>
      </c>
      <c r="I106" s="14" t="n">
        <v>447</v>
      </c>
      <c r="J106" s="14" t="n">
        <v>7</v>
      </c>
      <c r="K106" t="n">
        <v>49</v>
      </c>
      <c r="L106" t="n">
        <v>205702</v>
      </c>
      <c r="M106" t="inlineStr"/>
      <c r="N106" t="n">
        <v>0</v>
      </c>
      <c r="O106" s="8" t="n">
        <v>0</v>
      </c>
      <c r="P106">
        <f>IF(ISNUMBER(SEARCH("232",B106)),"232",IF(ISNUMBER(SEARCH("538",B106)),"538",IF(ISNUMBER(SEARCH("223a7",B106)),"223a7",IF(ISNUMBER(SEARCH("223f",B106)),"223f","OTHER"))))</f>
        <v/>
      </c>
      <c r="Q106">
        <f>IF(UPPER(C106)="NC","NC","RP")</f>
        <v/>
      </c>
      <c r="R106">
        <f>IF(G106&lt;5000000,"small",IF(G106&lt;25000000,"medium","large"))</f>
        <v/>
      </c>
      <c r="S106">
        <f>IF(K106&lt;36,"young",IF(K106&lt;120,"seasoned","aged"))</f>
        <v/>
      </c>
      <c r="T106">
        <f>P106&amp;"|"&amp;Q106&amp;"|"&amp;R106&amp;"|"&amp;S106</f>
        <v/>
      </c>
      <c r="U106" s="14">
        <f>H106*100-I106</f>
        <v/>
      </c>
      <c r="V106" s="14">
        <f>U106-12.5*(J106+1)</f>
        <v/>
      </c>
      <c r="W106" s="15">
        <f>IFERROR(VLOOKUP(T106,V8_COHORT_TABLE,2,FALSE),IFERROR(VLOOKUP(P106&amp;"|"&amp;Q106&amp;"|ALL|"&amp;S106,V8_COHORT_TABLE,2,FALSE),IFERROR(VLOOKUP(P106&amp;"|ALL|ALL|"&amp;S106,V8_COHORT_TABLE,2,FALSE),IFERROR(VLOOKUP(P106&amp;"|ALL|ALL|ALL",V8_COHORT_TABLE,2,FALSE),VLOOKUP("GLOBAL",V8_COHORT_TABLE,2,FALSE)))))</f>
        <v/>
      </c>
      <c r="X106" s="15">
        <f>IFERROR(VLOOKUP(T106,V8_COHORT_TABLE,3,FALSE),IFERROR(VLOOKUP(P106&amp;"|"&amp;Q106&amp;"|ALL|"&amp;S106,V8_COHORT_TABLE,3,FALSE),IFERROR(VLOOKUP(P106&amp;"|ALL|ALL|"&amp;S106,V8_COHORT_TABLE,3,FALSE),IFERROR(VLOOKUP(P106&amp;"|ALL|ALL|ALL",V8_COHORT_TABLE,3,FALSE),VLOOKUP("GLOBAL",V8_COHORT_TABLE,3,FALSE)))))</f>
        <v/>
      </c>
      <c r="Y106" s="15">
        <f>IFERROR(VLOOKUP(T106,V8_COHORT_TABLE,4,FALSE),IFERROR(VLOOKUP(P106&amp;"|"&amp;Q106&amp;"|ALL|"&amp;S106,V8_COHORT_TABLE,4,FALSE),IFERROR(VLOOKUP(P106&amp;"|ALL|ALL|"&amp;S106,V8_COHORT_TABLE,4,FALSE),IFERROR(VLOOKUP(P106&amp;"|ALL|ALL|ALL",V8_COHORT_TABLE,4,FALSE),VLOOKUP("GLOBAL",V8_COHORT_TABLE,4,FALSE)))))</f>
        <v/>
      </c>
      <c r="Z106" s="15">
        <f>IFERROR(VLOOKUP(T106,V8_COHORT_TABLE,5,FALSE),IFERROR(VLOOKUP(P106&amp;"|"&amp;Q106&amp;"|ALL|"&amp;S106,V8_COHORT_TABLE,5,FALSE),IFERROR(VLOOKUP(P106&amp;"|ALL|ALL|"&amp;S106,V8_COHORT_TABLE,5,FALSE),IFERROR(VLOOKUP(P106&amp;"|ALL|ALL|ALL",V8_COHORT_TABLE,5,FALSE),VLOOKUP("GLOBAL",V8_COHORT_TABLE,5,FALSE)))))</f>
        <v/>
      </c>
      <c r="AA106" s="15">
        <f>W106+X106/(1+EXP(-(V106-Y106)/Z106))</f>
        <v/>
      </c>
      <c r="AB106" s="15">
        <f>IFERROR(VLOOKUP(T106,V8_COHORT_TABLE,6,FALSE),IFERROR(VLOOKUP(P106&amp;"|"&amp;Q106&amp;"|ALL|"&amp;S106,V8_COHORT_TABLE,6,FALSE),IFERROR(VLOOKUP(P106&amp;"|ALL|ALL|"&amp;S106,V8_COHORT_TABLE,6,FALSE),IFERROR(VLOOKUP(P106&amp;"|ALL|ALL|ALL",V8_COHORT_TABLE,6,FALSE),VLOOKUP("GLOBAL",V8_COHORT_TABLE,6,FALSE)))))</f>
        <v/>
      </c>
      <c r="AC106" s="15">
        <f>IFERROR(VLOOKUP(T106,V8_COHORT_TABLE,7,FALSE),IFERROR(VLOOKUP(P106&amp;"|"&amp;Q106&amp;"|ALL|"&amp;S106,V8_COHORT_TABLE,7,FALSE),IFERROR(VLOOKUP(P106&amp;"|ALL|ALL|"&amp;S106,V8_COHORT_TABLE,7,FALSE),IFERROR(VLOOKUP(P106&amp;"|ALL|ALL|ALL",V8_COHORT_TABLE,7,FALSE),VLOOKUP("GLOBAL",V8_COHORT_TABLE,7,FALSE)))))</f>
        <v/>
      </c>
      <c r="AD106" s="15">
        <f>IFERROR(VLOOKUP(T106,V8_COHORT_TABLE,8,FALSE),IFERROR(VLOOKUP(P106&amp;"|"&amp;Q106&amp;"|ALL|"&amp;S106,V8_COHORT_TABLE,8,FALSE),IFERROR(VLOOKUP(P106&amp;"|ALL|ALL|"&amp;S106,V8_COHORT_TABLE,8,FALSE),IFERROR(VLOOKUP(P106&amp;"|ALL|ALL|ALL",V8_COHORT_TABLE,8,FALSE),VLOOKUP("GLOBAL",V8_COHORT_TABLE,8,FALSE)))))</f>
        <v/>
      </c>
      <c r="AE106" s="15">
        <f>IFERROR(VLOOKUP(T106,V8_COHORT_TABLE,9,FALSE),IFERROR(VLOOKUP(P106&amp;"|"&amp;Q106&amp;"|ALL|"&amp;S106,V8_COHORT_TABLE,9,FALSE),IFERROR(VLOOKUP(P106&amp;"|ALL|ALL|"&amp;S106,V8_COHORT_TABLE,9,FALSE),IFERROR(VLOOKUP(P106&amp;"|ALL|ALL|ALL",V8_COHORT_TABLE,9,FALSE),VLOOKUP("GLOBAL",V8_COHORT_TABLE,9,FALSE)))))</f>
        <v/>
      </c>
      <c r="AF106" s="8">
        <f>IF(K106&lt;=0,AB106,IF(K106&gt;=240,AE106,IF(K106&lt;=24,AB106+(K106-0)/24*(AC106-AB106),IF(K106&lt;=96,AC106+(K106-24)/72*(AD106-AC106),AD106+(K106-96)/144*(AE106-AD106)))))</f>
        <v/>
      </c>
      <c r="AG106" s="8">
        <f>IF(IF(OR(L106="",NOT(ISNUMBER(L106))),360,MAX(0,MIN(480,(INT(L106/100)-INT(VALUE(F106)/100))*12+MOD(L106,100)-MOD(VALUE(F106),100))))&gt;0,1+V8_MTY_AMP*MAX(0,(V8_MTY_CUTOFF-(IF(OR(L106="",NOT(ISNUMBER(L106))),360,MAX(0,MIN(480,(INT(L106/100)-INT(VALUE(F106)/100))*12+MOD(L106,100)-MOD(VALUE(F106),100))))))/V8_MTY_CUTOFF),1)</f>
        <v/>
      </c>
      <c r="AH106" s="8">
        <f>IF(AND(IF(OR(M106="",NOT(ISNUMBER(M106))),0,MAX(0,MIN(24,(INT(VALUE(F106)/100)-INT(M106/100))*12+MOD(VALUE(F106),100)-MOD(M106,100))))&gt;0,IF(OR(M106="",NOT(ISNUMBER(M106))),0,MAX(0,MIN(24,(INT(VALUE(F106)/100)-INT(M106/100))*12+MOD(VALUE(F106),100)-MOD(M106,100))))&lt;=12),1+V8_LOCKOUT_AMP*EXP(-(IF(OR(M106="",NOT(ISNUMBER(M106))),0,MAX(0,MIN(24,(INT(VALUE(F106)/100)-INT(M106/100))*12+MOD(VALUE(F106),100)-MOD(M106,100)))))/V8_LOCKOUT_TAU),1)</f>
        <v/>
      </c>
      <c r="AI106" s="8">
        <f>MAX(V8_BURN_FLOOR,1-V8_BURN_SLOPE*MIN(1,MAX(0,O106)))</f>
        <v/>
      </c>
      <c r="AJ106" s="15">
        <f>MIN(AA106*AF106*AG106*AH106*AI106,0.2)</f>
        <v/>
      </c>
      <c r="AK106" s="16">
        <f>1-(1-AJ106)^12</f>
        <v/>
      </c>
    </row>
    <row r="107">
      <c r="A107" s="2" t="inlineStr">
        <is>
          <t>000001243322</t>
        </is>
      </c>
      <c r="B107" t="inlineStr">
        <is>
          <t>232</t>
        </is>
      </c>
      <c r="C107" t="inlineStr">
        <is>
          <t>NC</t>
        </is>
      </c>
      <c r="D107" t="inlineStr">
        <is>
          <t>GREYSTONE FUNDING COMPANY LLC</t>
        </is>
      </c>
      <c r="E107" t="n">
        <v>2023</v>
      </c>
      <c r="F107" t="inlineStr">
        <is>
          <t>202602</t>
        </is>
      </c>
      <c r="G107" s="9" t="n">
        <v>25884385.79</v>
      </c>
      <c r="H107" s="13" t="n">
        <v>5.69</v>
      </c>
      <c r="I107" s="14" t="n">
        <v>447</v>
      </c>
      <c r="J107" s="14" t="n">
        <v>9</v>
      </c>
      <c r="K107" t="n">
        <v>32</v>
      </c>
      <c r="L107" t="n">
        <v>206501</v>
      </c>
      <c r="M107" t="inlineStr"/>
      <c r="N107" t="n">
        <v>0</v>
      </c>
      <c r="O107" s="8" t="n">
        <v>0</v>
      </c>
      <c r="P107">
        <f>IF(ISNUMBER(SEARCH("232",B107)),"232",IF(ISNUMBER(SEARCH("538",B107)),"538",IF(ISNUMBER(SEARCH("223a7",B107)),"223a7",IF(ISNUMBER(SEARCH("223f",B107)),"223f","OTHER"))))</f>
        <v/>
      </c>
      <c r="Q107">
        <f>IF(UPPER(C107)="NC","NC","RP")</f>
        <v/>
      </c>
      <c r="R107">
        <f>IF(G107&lt;5000000,"small",IF(G107&lt;25000000,"medium","large"))</f>
        <v/>
      </c>
      <c r="S107">
        <f>IF(K107&lt;36,"young",IF(K107&lt;120,"seasoned","aged"))</f>
        <v/>
      </c>
      <c r="T107">
        <f>P107&amp;"|"&amp;Q107&amp;"|"&amp;R107&amp;"|"&amp;S107</f>
        <v/>
      </c>
      <c r="U107" s="14">
        <f>H107*100-I107</f>
        <v/>
      </c>
      <c r="V107" s="14">
        <f>U107-12.5*(J107+1)</f>
        <v/>
      </c>
      <c r="W107" s="15">
        <f>IFERROR(VLOOKUP(T107,V8_COHORT_TABLE,2,FALSE),IFERROR(VLOOKUP(P107&amp;"|"&amp;Q107&amp;"|ALL|"&amp;S107,V8_COHORT_TABLE,2,FALSE),IFERROR(VLOOKUP(P107&amp;"|ALL|ALL|"&amp;S107,V8_COHORT_TABLE,2,FALSE),IFERROR(VLOOKUP(P107&amp;"|ALL|ALL|ALL",V8_COHORT_TABLE,2,FALSE),VLOOKUP("GLOBAL",V8_COHORT_TABLE,2,FALSE)))))</f>
        <v/>
      </c>
      <c r="X107" s="15">
        <f>IFERROR(VLOOKUP(T107,V8_COHORT_TABLE,3,FALSE),IFERROR(VLOOKUP(P107&amp;"|"&amp;Q107&amp;"|ALL|"&amp;S107,V8_COHORT_TABLE,3,FALSE),IFERROR(VLOOKUP(P107&amp;"|ALL|ALL|"&amp;S107,V8_COHORT_TABLE,3,FALSE),IFERROR(VLOOKUP(P107&amp;"|ALL|ALL|ALL",V8_COHORT_TABLE,3,FALSE),VLOOKUP("GLOBAL",V8_COHORT_TABLE,3,FALSE)))))</f>
        <v/>
      </c>
      <c r="Y107" s="15">
        <f>IFERROR(VLOOKUP(T107,V8_COHORT_TABLE,4,FALSE),IFERROR(VLOOKUP(P107&amp;"|"&amp;Q107&amp;"|ALL|"&amp;S107,V8_COHORT_TABLE,4,FALSE),IFERROR(VLOOKUP(P107&amp;"|ALL|ALL|"&amp;S107,V8_COHORT_TABLE,4,FALSE),IFERROR(VLOOKUP(P107&amp;"|ALL|ALL|ALL",V8_COHORT_TABLE,4,FALSE),VLOOKUP("GLOBAL",V8_COHORT_TABLE,4,FALSE)))))</f>
        <v/>
      </c>
      <c r="Z107" s="15">
        <f>IFERROR(VLOOKUP(T107,V8_COHORT_TABLE,5,FALSE),IFERROR(VLOOKUP(P107&amp;"|"&amp;Q107&amp;"|ALL|"&amp;S107,V8_COHORT_TABLE,5,FALSE),IFERROR(VLOOKUP(P107&amp;"|ALL|ALL|"&amp;S107,V8_COHORT_TABLE,5,FALSE),IFERROR(VLOOKUP(P107&amp;"|ALL|ALL|ALL",V8_COHORT_TABLE,5,FALSE),VLOOKUP("GLOBAL",V8_COHORT_TABLE,5,FALSE)))))</f>
        <v/>
      </c>
      <c r="AA107" s="15">
        <f>W107+X107/(1+EXP(-(V107-Y107)/Z107))</f>
        <v/>
      </c>
      <c r="AB107" s="15">
        <f>IFERROR(VLOOKUP(T107,V8_COHORT_TABLE,6,FALSE),IFERROR(VLOOKUP(P107&amp;"|"&amp;Q107&amp;"|ALL|"&amp;S107,V8_COHORT_TABLE,6,FALSE),IFERROR(VLOOKUP(P107&amp;"|ALL|ALL|"&amp;S107,V8_COHORT_TABLE,6,FALSE),IFERROR(VLOOKUP(P107&amp;"|ALL|ALL|ALL",V8_COHORT_TABLE,6,FALSE),VLOOKUP("GLOBAL",V8_COHORT_TABLE,6,FALSE)))))</f>
        <v/>
      </c>
      <c r="AC107" s="15">
        <f>IFERROR(VLOOKUP(T107,V8_COHORT_TABLE,7,FALSE),IFERROR(VLOOKUP(P107&amp;"|"&amp;Q107&amp;"|ALL|"&amp;S107,V8_COHORT_TABLE,7,FALSE),IFERROR(VLOOKUP(P107&amp;"|ALL|ALL|"&amp;S107,V8_COHORT_TABLE,7,FALSE),IFERROR(VLOOKUP(P107&amp;"|ALL|ALL|ALL",V8_COHORT_TABLE,7,FALSE),VLOOKUP("GLOBAL",V8_COHORT_TABLE,7,FALSE)))))</f>
        <v/>
      </c>
      <c r="AD107" s="15">
        <f>IFERROR(VLOOKUP(T107,V8_COHORT_TABLE,8,FALSE),IFERROR(VLOOKUP(P107&amp;"|"&amp;Q107&amp;"|ALL|"&amp;S107,V8_COHORT_TABLE,8,FALSE),IFERROR(VLOOKUP(P107&amp;"|ALL|ALL|"&amp;S107,V8_COHORT_TABLE,8,FALSE),IFERROR(VLOOKUP(P107&amp;"|ALL|ALL|ALL",V8_COHORT_TABLE,8,FALSE),VLOOKUP("GLOBAL",V8_COHORT_TABLE,8,FALSE)))))</f>
        <v/>
      </c>
      <c r="AE107" s="15">
        <f>IFERROR(VLOOKUP(T107,V8_COHORT_TABLE,9,FALSE),IFERROR(VLOOKUP(P107&amp;"|"&amp;Q107&amp;"|ALL|"&amp;S107,V8_COHORT_TABLE,9,FALSE),IFERROR(VLOOKUP(P107&amp;"|ALL|ALL|"&amp;S107,V8_COHORT_TABLE,9,FALSE),IFERROR(VLOOKUP(P107&amp;"|ALL|ALL|ALL",V8_COHORT_TABLE,9,FALSE),VLOOKUP("GLOBAL",V8_COHORT_TABLE,9,FALSE)))))</f>
        <v/>
      </c>
      <c r="AF107" s="8">
        <f>IF(K107&lt;=0,AB107,IF(K107&gt;=240,AE107,IF(K107&lt;=24,AB107+(K107-0)/24*(AC107-AB107),IF(K107&lt;=96,AC107+(K107-24)/72*(AD107-AC107),AD107+(K107-96)/144*(AE107-AD107)))))</f>
        <v/>
      </c>
      <c r="AG107" s="8">
        <f>IF(IF(OR(L107="",NOT(ISNUMBER(L107))),360,MAX(0,MIN(480,(INT(L107/100)-INT(VALUE(F107)/100))*12+MOD(L107,100)-MOD(VALUE(F107),100))))&gt;0,1+V8_MTY_AMP*MAX(0,(V8_MTY_CUTOFF-(IF(OR(L107="",NOT(ISNUMBER(L107))),360,MAX(0,MIN(480,(INT(L107/100)-INT(VALUE(F107)/100))*12+MOD(L107,100)-MOD(VALUE(F107),100))))))/V8_MTY_CUTOFF),1)</f>
        <v/>
      </c>
      <c r="AH107" s="8">
        <f>IF(AND(IF(OR(M107="",NOT(ISNUMBER(M107))),0,MAX(0,MIN(24,(INT(VALUE(F107)/100)-INT(M107/100))*12+MOD(VALUE(F107),100)-MOD(M107,100))))&gt;0,IF(OR(M107="",NOT(ISNUMBER(M107))),0,MAX(0,MIN(24,(INT(VALUE(F107)/100)-INT(M107/100))*12+MOD(VALUE(F107),100)-MOD(M107,100))))&lt;=12),1+V8_LOCKOUT_AMP*EXP(-(IF(OR(M107="",NOT(ISNUMBER(M107))),0,MAX(0,MIN(24,(INT(VALUE(F107)/100)-INT(M107/100))*12+MOD(VALUE(F107),100)-MOD(M107,100)))))/V8_LOCKOUT_TAU),1)</f>
        <v/>
      </c>
      <c r="AI107" s="8">
        <f>MAX(V8_BURN_FLOOR,1-V8_BURN_SLOPE*MIN(1,MAX(0,O107)))</f>
        <v/>
      </c>
      <c r="AJ107" s="15">
        <f>MIN(AA107*AF107*AG107*AH107*AI107,0.2)</f>
        <v/>
      </c>
      <c r="AK107" s="16">
        <f>1-(1-AJ107)^12</f>
        <v/>
      </c>
    </row>
    <row r="108">
      <c r="A108" s="2" t="inlineStr">
        <is>
          <t>000011511423</t>
        </is>
      </c>
      <c r="B108" t="inlineStr">
        <is>
          <t>223f</t>
        </is>
      </c>
      <c r="C108" t="inlineStr">
        <is>
          <t>RP</t>
        </is>
      </c>
      <c r="D108" t="inlineStr">
        <is>
          <t>GREYSTONE FUNDING COMPANY LLC</t>
        </is>
      </c>
      <c r="E108" t="n">
        <v>2023</v>
      </c>
      <c r="F108" t="inlineStr">
        <is>
          <t>202602</t>
        </is>
      </c>
      <c r="G108" s="9" t="n">
        <v>3566840.6</v>
      </c>
      <c r="H108" s="13" t="n">
        <v>5.9</v>
      </c>
      <c r="I108" s="14" t="n">
        <v>447</v>
      </c>
      <c r="J108" s="14" t="n">
        <v>8</v>
      </c>
      <c r="K108" t="n">
        <v>30</v>
      </c>
      <c r="L108" t="n">
        <v>205809</v>
      </c>
      <c r="M108" t="inlineStr"/>
      <c r="N108" t="n">
        <v>2</v>
      </c>
      <c r="O108" s="8" t="n">
        <v>0.06666666666666667</v>
      </c>
      <c r="P108">
        <f>IF(ISNUMBER(SEARCH("232",B108)),"232",IF(ISNUMBER(SEARCH("538",B108)),"538",IF(ISNUMBER(SEARCH("223a7",B108)),"223a7",IF(ISNUMBER(SEARCH("223f",B108)),"223f","OTHER"))))</f>
        <v/>
      </c>
      <c r="Q108">
        <f>IF(UPPER(C108)="NC","NC","RP")</f>
        <v/>
      </c>
      <c r="R108">
        <f>IF(G108&lt;5000000,"small",IF(G108&lt;25000000,"medium","large"))</f>
        <v/>
      </c>
      <c r="S108">
        <f>IF(K108&lt;36,"young",IF(K108&lt;120,"seasoned","aged"))</f>
        <v/>
      </c>
      <c r="T108">
        <f>P108&amp;"|"&amp;Q108&amp;"|"&amp;R108&amp;"|"&amp;S108</f>
        <v/>
      </c>
      <c r="U108" s="14">
        <f>H108*100-I108</f>
        <v/>
      </c>
      <c r="V108" s="14">
        <f>U108-12.5*(J108+1)</f>
        <v/>
      </c>
      <c r="W108" s="15">
        <f>IFERROR(VLOOKUP(T108,V8_COHORT_TABLE,2,FALSE),IFERROR(VLOOKUP(P108&amp;"|"&amp;Q108&amp;"|ALL|"&amp;S108,V8_COHORT_TABLE,2,FALSE),IFERROR(VLOOKUP(P108&amp;"|ALL|ALL|"&amp;S108,V8_COHORT_TABLE,2,FALSE),IFERROR(VLOOKUP(P108&amp;"|ALL|ALL|ALL",V8_COHORT_TABLE,2,FALSE),VLOOKUP("GLOBAL",V8_COHORT_TABLE,2,FALSE)))))</f>
        <v/>
      </c>
      <c r="X108" s="15">
        <f>IFERROR(VLOOKUP(T108,V8_COHORT_TABLE,3,FALSE),IFERROR(VLOOKUP(P108&amp;"|"&amp;Q108&amp;"|ALL|"&amp;S108,V8_COHORT_TABLE,3,FALSE),IFERROR(VLOOKUP(P108&amp;"|ALL|ALL|"&amp;S108,V8_COHORT_TABLE,3,FALSE),IFERROR(VLOOKUP(P108&amp;"|ALL|ALL|ALL",V8_COHORT_TABLE,3,FALSE),VLOOKUP("GLOBAL",V8_COHORT_TABLE,3,FALSE)))))</f>
        <v/>
      </c>
      <c r="Y108" s="15">
        <f>IFERROR(VLOOKUP(T108,V8_COHORT_TABLE,4,FALSE),IFERROR(VLOOKUP(P108&amp;"|"&amp;Q108&amp;"|ALL|"&amp;S108,V8_COHORT_TABLE,4,FALSE),IFERROR(VLOOKUP(P108&amp;"|ALL|ALL|"&amp;S108,V8_COHORT_TABLE,4,FALSE),IFERROR(VLOOKUP(P108&amp;"|ALL|ALL|ALL",V8_COHORT_TABLE,4,FALSE),VLOOKUP("GLOBAL",V8_COHORT_TABLE,4,FALSE)))))</f>
        <v/>
      </c>
      <c r="Z108" s="15">
        <f>IFERROR(VLOOKUP(T108,V8_COHORT_TABLE,5,FALSE),IFERROR(VLOOKUP(P108&amp;"|"&amp;Q108&amp;"|ALL|"&amp;S108,V8_COHORT_TABLE,5,FALSE),IFERROR(VLOOKUP(P108&amp;"|ALL|ALL|"&amp;S108,V8_COHORT_TABLE,5,FALSE),IFERROR(VLOOKUP(P108&amp;"|ALL|ALL|ALL",V8_COHORT_TABLE,5,FALSE),VLOOKUP("GLOBAL",V8_COHORT_TABLE,5,FALSE)))))</f>
        <v/>
      </c>
      <c r="AA108" s="15">
        <f>W108+X108/(1+EXP(-(V108-Y108)/Z108))</f>
        <v/>
      </c>
      <c r="AB108" s="15">
        <f>IFERROR(VLOOKUP(T108,V8_COHORT_TABLE,6,FALSE),IFERROR(VLOOKUP(P108&amp;"|"&amp;Q108&amp;"|ALL|"&amp;S108,V8_COHORT_TABLE,6,FALSE),IFERROR(VLOOKUP(P108&amp;"|ALL|ALL|"&amp;S108,V8_COHORT_TABLE,6,FALSE),IFERROR(VLOOKUP(P108&amp;"|ALL|ALL|ALL",V8_COHORT_TABLE,6,FALSE),VLOOKUP("GLOBAL",V8_COHORT_TABLE,6,FALSE)))))</f>
        <v/>
      </c>
      <c r="AC108" s="15">
        <f>IFERROR(VLOOKUP(T108,V8_COHORT_TABLE,7,FALSE),IFERROR(VLOOKUP(P108&amp;"|"&amp;Q108&amp;"|ALL|"&amp;S108,V8_COHORT_TABLE,7,FALSE),IFERROR(VLOOKUP(P108&amp;"|ALL|ALL|"&amp;S108,V8_COHORT_TABLE,7,FALSE),IFERROR(VLOOKUP(P108&amp;"|ALL|ALL|ALL",V8_COHORT_TABLE,7,FALSE),VLOOKUP("GLOBAL",V8_COHORT_TABLE,7,FALSE)))))</f>
        <v/>
      </c>
      <c r="AD108" s="15">
        <f>IFERROR(VLOOKUP(T108,V8_COHORT_TABLE,8,FALSE),IFERROR(VLOOKUP(P108&amp;"|"&amp;Q108&amp;"|ALL|"&amp;S108,V8_COHORT_TABLE,8,FALSE),IFERROR(VLOOKUP(P108&amp;"|ALL|ALL|"&amp;S108,V8_COHORT_TABLE,8,FALSE),IFERROR(VLOOKUP(P108&amp;"|ALL|ALL|ALL",V8_COHORT_TABLE,8,FALSE),VLOOKUP("GLOBAL",V8_COHORT_TABLE,8,FALSE)))))</f>
        <v/>
      </c>
      <c r="AE108" s="15">
        <f>IFERROR(VLOOKUP(T108,V8_COHORT_TABLE,9,FALSE),IFERROR(VLOOKUP(P108&amp;"|"&amp;Q108&amp;"|ALL|"&amp;S108,V8_COHORT_TABLE,9,FALSE),IFERROR(VLOOKUP(P108&amp;"|ALL|ALL|"&amp;S108,V8_COHORT_TABLE,9,FALSE),IFERROR(VLOOKUP(P108&amp;"|ALL|ALL|ALL",V8_COHORT_TABLE,9,FALSE),VLOOKUP("GLOBAL",V8_COHORT_TABLE,9,FALSE)))))</f>
        <v/>
      </c>
      <c r="AF108" s="8">
        <f>IF(K108&lt;=0,AB108,IF(K108&gt;=240,AE108,IF(K108&lt;=24,AB108+(K108-0)/24*(AC108-AB108),IF(K108&lt;=96,AC108+(K108-24)/72*(AD108-AC108),AD108+(K108-96)/144*(AE108-AD108)))))</f>
        <v/>
      </c>
      <c r="AG108" s="8">
        <f>IF(IF(OR(L108="",NOT(ISNUMBER(L108))),360,MAX(0,MIN(480,(INT(L108/100)-INT(VALUE(F108)/100))*12+MOD(L108,100)-MOD(VALUE(F108),100))))&gt;0,1+V8_MTY_AMP*MAX(0,(V8_MTY_CUTOFF-(IF(OR(L108="",NOT(ISNUMBER(L108))),360,MAX(0,MIN(480,(INT(L108/100)-INT(VALUE(F108)/100))*12+MOD(L108,100)-MOD(VALUE(F108),100))))))/V8_MTY_CUTOFF),1)</f>
        <v/>
      </c>
      <c r="AH108" s="8">
        <f>IF(AND(IF(OR(M108="",NOT(ISNUMBER(M108))),0,MAX(0,MIN(24,(INT(VALUE(F108)/100)-INT(M108/100))*12+MOD(VALUE(F108),100)-MOD(M108,100))))&gt;0,IF(OR(M108="",NOT(ISNUMBER(M108))),0,MAX(0,MIN(24,(INT(VALUE(F108)/100)-INT(M108/100))*12+MOD(VALUE(F108),100)-MOD(M108,100))))&lt;=12),1+V8_LOCKOUT_AMP*EXP(-(IF(OR(M108="",NOT(ISNUMBER(M108))),0,MAX(0,MIN(24,(INT(VALUE(F108)/100)-INT(M108/100))*12+MOD(VALUE(F108),100)-MOD(M108,100)))))/V8_LOCKOUT_TAU),1)</f>
        <v/>
      </c>
      <c r="AI108" s="8">
        <f>MAX(V8_BURN_FLOOR,1-V8_BURN_SLOPE*MIN(1,MAX(0,O108)))</f>
        <v/>
      </c>
      <c r="AJ108" s="15">
        <f>MIN(AA108*AF108*AG108*AH108*AI108,0.2)</f>
        <v/>
      </c>
      <c r="AK108" s="16">
        <f>1-(1-AJ108)^12</f>
        <v/>
      </c>
    </row>
    <row r="109">
      <c r="A109" s="2" t="inlineStr">
        <is>
          <t>000006311131</t>
        </is>
      </c>
      <c r="B109" t="inlineStr">
        <is>
          <t>223f</t>
        </is>
      </c>
      <c r="C109" t="inlineStr">
        <is>
          <t>RP</t>
        </is>
      </c>
      <c r="D109" t="inlineStr">
        <is>
          <t>GREYSTONE FUNDING COMPANY LLC</t>
        </is>
      </c>
      <c r="E109" t="n">
        <v>2018</v>
      </c>
      <c r="F109" t="inlineStr">
        <is>
          <t>202602</t>
        </is>
      </c>
      <c r="G109" s="9" t="n">
        <v>22168905.15</v>
      </c>
      <c r="H109" s="13" t="n">
        <v>2.7</v>
      </c>
      <c r="I109" s="14" t="n">
        <v>447</v>
      </c>
      <c r="J109" s="14" t="n">
        <v>6</v>
      </c>
      <c r="K109" t="n">
        <v>96</v>
      </c>
      <c r="L109" t="n">
        <v>205303</v>
      </c>
      <c r="M109" t="inlineStr"/>
      <c r="N109" t="n">
        <v>0</v>
      </c>
      <c r="O109" s="8" t="n">
        <v>0</v>
      </c>
      <c r="P109">
        <f>IF(ISNUMBER(SEARCH("232",B109)),"232",IF(ISNUMBER(SEARCH("538",B109)),"538",IF(ISNUMBER(SEARCH("223a7",B109)),"223a7",IF(ISNUMBER(SEARCH("223f",B109)),"223f","OTHER"))))</f>
        <v/>
      </c>
      <c r="Q109">
        <f>IF(UPPER(C109)="NC","NC","RP")</f>
        <v/>
      </c>
      <c r="R109">
        <f>IF(G109&lt;5000000,"small",IF(G109&lt;25000000,"medium","large"))</f>
        <v/>
      </c>
      <c r="S109">
        <f>IF(K109&lt;36,"young",IF(K109&lt;120,"seasoned","aged"))</f>
        <v/>
      </c>
      <c r="T109">
        <f>P109&amp;"|"&amp;Q109&amp;"|"&amp;R109&amp;"|"&amp;S109</f>
        <v/>
      </c>
      <c r="U109" s="14">
        <f>H109*100-I109</f>
        <v/>
      </c>
      <c r="V109" s="14">
        <f>U109-12.5*(J109+1)</f>
        <v/>
      </c>
      <c r="W109" s="15">
        <f>IFERROR(VLOOKUP(T109,V8_COHORT_TABLE,2,FALSE),IFERROR(VLOOKUP(P109&amp;"|"&amp;Q109&amp;"|ALL|"&amp;S109,V8_COHORT_TABLE,2,FALSE),IFERROR(VLOOKUP(P109&amp;"|ALL|ALL|"&amp;S109,V8_COHORT_TABLE,2,FALSE),IFERROR(VLOOKUP(P109&amp;"|ALL|ALL|ALL",V8_COHORT_TABLE,2,FALSE),VLOOKUP("GLOBAL",V8_COHORT_TABLE,2,FALSE)))))</f>
        <v/>
      </c>
      <c r="X109" s="15">
        <f>IFERROR(VLOOKUP(T109,V8_COHORT_TABLE,3,FALSE),IFERROR(VLOOKUP(P109&amp;"|"&amp;Q109&amp;"|ALL|"&amp;S109,V8_COHORT_TABLE,3,FALSE),IFERROR(VLOOKUP(P109&amp;"|ALL|ALL|"&amp;S109,V8_COHORT_TABLE,3,FALSE),IFERROR(VLOOKUP(P109&amp;"|ALL|ALL|ALL",V8_COHORT_TABLE,3,FALSE),VLOOKUP("GLOBAL",V8_COHORT_TABLE,3,FALSE)))))</f>
        <v/>
      </c>
      <c r="Y109" s="15">
        <f>IFERROR(VLOOKUP(T109,V8_COHORT_TABLE,4,FALSE),IFERROR(VLOOKUP(P109&amp;"|"&amp;Q109&amp;"|ALL|"&amp;S109,V8_COHORT_TABLE,4,FALSE),IFERROR(VLOOKUP(P109&amp;"|ALL|ALL|"&amp;S109,V8_COHORT_TABLE,4,FALSE),IFERROR(VLOOKUP(P109&amp;"|ALL|ALL|ALL",V8_COHORT_TABLE,4,FALSE),VLOOKUP("GLOBAL",V8_COHORT_TABLE,4,FALSE)))))</f>
        <v/>
      </c>
      <c r="Z109" s="15">
        <f>IFERROR(VLOOKUP(T109,V8_COHORT_TABLE,5,FALSE),IFERROR(VLOOKUP(P109&amp;"|"&amp;Q109&amp;"|ALL|"&amp;S109,V8_COHORT_TABLE,5,FALSE),IFERROR(VLOOKUP(P109&amp;"|ALL|ALL|"&amp;S109,V8_COHORT_TABLE,5,FALSE),IFERROR(VLOOKUP(P109&amp;"|ALL|ALL|ALL",V8_COHORT_TABLE,5,FALSE),VLOOKUP("GLOBAL",V8_COHORT_TABLE,5,FALSE)))))</f>
        <v/>
      </c>
      <c r="AA109" s="15">
        <f>W109+X109/(1+EXP(-(V109-Y109)/Z109))</f>
        <v/>
      </c>
      <c r="AB109" s="15">
        <f>IFERROR(VLOOKUP(T109,V8_COHORT_TABLE,6,FALSE),IFERROR(VLOOKUP(P109&amp;"|"&amp;Q109&amp;"|ALL|"&amp;S109,V8_COHORT_TABLE,6,FALSE),IFERROR(VLOOKUP(P109&amp;"|ALL|ALL|"&amp;S109,V8_COHORT_TABLE,6,FALSE),IFERROR(VLOOKUP(P109&amp;"|ALL|ALL|ALL",V8_COHORT_TABLE,6,FALSE),VLOOKUP("GLOBAL",V8_COHORT_TABLE,6,FALSE)))))</f>
        <v/>
      </c>
      <c r="AC109" s="15">
        <f>IFERROR(VLOOKUP(T109,V8_COHORT_TABLE,7,FALSE),IFERROR(VLOOKUP(P109&amp;"|"&amp;Q109&amp;"|ALL|"&amp;S109,V8_COHORT_TABLE,7,FALSE),IFERROR(VLOOKUP(P109&amp;"|ALL|ALL|"&amp;S109,V8_COHORT_TABLE,7,FALSE),IFERROR(VLOOKUP(P109&amp;"|ALL|ALL|ALL",V8_COHORT_TABLE,7,FALSE),VLOOKUP("GLOBAL",V8_COHORT_TABLE,7,FALSE)))))</f>
        <v/>
      </c>
      <c r="AD109" s="15">
        <f>IFERROR(VLOOKUP(T109,V8_COHORT_TABLE,8,FALSE),IFERROR(VLOOKUP(P109&amp;"|"&amp;Q109&amp;"|ALL|"&amp;S109,V8_COHORT_TABLE,8,FALSE),IFERROR(VLOOKUP(P109&amp;"|ALL|ALL|"&amp;S109,V8_COHORT_TABLE,8,FALSE),IFERROR(VLOOKUP(P109&amp;"|ALL|ALL|ALL",V8_COHORT_TABLE,8,FALSE),VLOOKUP("GLOBAL",V8_COHORT_TABLE,8,FALSE)))))</f>
        <v/>
      </c>
      <c r="AE109" s="15">
        <f>IFERROR(VLOOKUP(T109,V8_COHORT_TABLE,9,FALSE),IFERROR(VLOOKUP(P109&amp;"|"&amp;Q109&amp;"|ALL|"&amp;S109,V8_COHORT_TABLE,9,FALSE),IFERROR(VLOOKUP(P109&amp;"|ALL|ALL|"&amp;S109,V8_COHORT_TABLE,9,FALSE),IFERROR(VLOOKUP(P109&amp;"|ALL|ALL|ALL",V8_COHORT_TABLE,9,FALSE),VLOOKUP("GLOBAL",V8_COHORT_TABLE,9,FALSE)))))</f>
        <v/>
      </c>
      <c r="AF109" s="8">
        <f>IF(K109&lt;=0,AB109,IF(K109&gt;=240,AE109,IF(K109&lt;=24,AB109+(K109-0)/24*(AC109-AB109),IF(K109&lt;=96,AC109+(K109-24)/72*(AD109-AC109),AD109+(K109-96)/144*(AE109-AD109)))))</f>
        <v/>
      </c>
      <c r="AG109" s="8">
        <f>IF(IF(OR(L109="",NOT(ISNUMBER(L109))),360,MAX(0,MIN(480,(INT(L109/100)-INT(VALUE(F109)/100))*12+MOD(L109,100)-MOD(VALUE(F109),100))))&gt;0,1+V8_MTY_AMP*MAX(0,(V8_MTY_CUTOFF-(IF(OR(L109="",NOT(ISNUMBER(L109))),360,MAX(0,MIN(480,(INT(L109/100)-INT(VALUE(F109)/100))*12+MOD(L109,100)-MOD(VALUE(F109),100))))))/V8_MTY_CUTOFF),1)</f>
        <v/>
      </c>
      <c r="AH109" s="8">
        <f>IF(AND(IF(OR(M109="",NOT(ISNUMBER(M109))),0,MAX(0,MIN(24,(INT(VALUE(F109)/100)-INT(M109/100))*12+MOD(VALUE(F109),100)-MOD(M109,100))))&gt;0,IF(OR(M109="",NOT(ISNUMBER(M109))),0,MAX(0,MIN(24,(INT(VALUE(F109)/100)-INT(M109/100))*12+MOD(VALUE(F109),100)-MOD(M109,100))))&lt;=12),1+V8_LOCKOUT_AMP*EXP(-(IF(OR(M109="",NOT(ISNUMBER(M109))),0,MAX(0,MIN(24,(INT(VALUE(F109)/100)-INT(M109/100))*12+MOD(VALUE(F109),100)-MOD(M109,100)))))/V8_LOCKOUT_TAU),1)</f>
        <v/>
      </c>
      <c r="AI109" s="8">
        <f>MAX(V8_BURN_FLOOR,1-V8_BURN_SLOPE*MIN(1,MAX(0,O109)))</f>
        <v/>
      </c>
      <c r="AJ109" s="15">
        <f>MIN(AA109*AF109*AG109*AH109*AI109,0.2)</f>
        <v/>
      </c>
      <c r="AK109" s="16">
        <f>1-(1-AJ109)^12</f>
        <v/>
      </c>
    </row>
    <row r="110">
      <c r="A110" s="2" t="inlineStr">
        <is>
          <t>000004222419</t>
        </is>
      </c>
      <c r="B110" t="inlineStr">
        <is>
          <t>232</t>
        </is>
      </c>
      <c r="C110" t="inlineStr">
        <is>
          <t>RP</t>
        </is>
      </c>
      <c r="D110" t="inlineStr">
        <is>
          <t>GREYSTONE FUNDING COMPANY LLC</t>
        </is>
      </c>
      <c r="E110" t="n">
        <v>2024</v>
      </c>
      <c r="F110" t="inlineStr">
        <is>
          <t>202602</t>
        </is>
      </c>
      <c r="G110" s="9" t="n">
        <v>8449315.109999999</v>
      </c>
      <c r="H110" s="13" t="n">
        <v>5.82</v>
      </c>
      <c r="I110" s="14" t="n">
        <v>447</v>
      </c>
      <c r="J110" s="14" t="n">
        <v>10</v>
      </c>
      <c r="K110" t="n">
        <v>18</v>
      </c>
      <c r="L110" t="n">
        <v>205909</v>
      </c>
      <c r="M110" t="inlineStr"/>
      <c r="N110" t="n">
        <v>0</v>
      </c>
      <c r="O110" s="8" t="n">
        <v>0</v>
      </c>
      <c r="P110">
        <f>IF(ISNUMBER(SEARCH("232",B110)),"232",IF(ISNUMBER(SEARCH("538",B110)),"538",IF(ISNUMBER(SEARCH("223a7",B110)),"223a7",IF(ISNUMBER(SEARCH("223f",B110)),"223f","OTHER"))))</f>
        <v/>
      </c>
      <c r="Q110">
        <f>IF(UPPER(C110)="NC","NC","RP")</f>
        <v/>
      </c>
      <c r="R110">
        <f>IF(G110&lt;5000000,"small",IF(G110&lt;25000000,"medium","large"))</f>
        <v/>
      </c>
      <c r="S110">
        <f>IF(K110&lt;36,"young",IF(K110&lt;120,"seasoned","aged"))</f>
        <v/>
      </c>
      <c r="T110">
        <f>P110&amp;"|"&amp;Q110&amp;"|"&amp;R110&amp;"|"&amp;S110</f>
        <v/>
      </c>
      <c r="U110" s="14">
        <f>H110*100-I110</f>
        <v/>
      </c>
      <c r="V110" s="14">
        <f>U110-12.5*(J110+1)</f>
        <v/>
      </c>
      <c r="W110" s="15">
        <f>IFERROR(VLOOKUP(T110,V8_COHORT_TABLE,2,FALSE),IFERROR(VLOOKUP(P110&amp;"|"&amp;Q110&amp;"|ALL|"&amp;S110,V8_COHORT_TABLE,2,FALSE),IFERROR(VLOOKUP(P110&amp;"|ALL|ALL|"&amp;S110,V8_COHORT_TABLE,2,FALSE),IFERROR(VLOOKUP(P110&amp;"|ALL|ALL|ALL",V8_COHORT_TABLE,2,FALSE),VLOOKUP("GLOBAL",V8_COHORT_TABLE,2,FALSE)))))</f>
        <v/>
      </c>
      <c r="X110" s="15">
        <f>IFERROR(VLOOKUP(T110,V8_COHORT_TABLE,3,FALSE),IFERROR(VLOOKUP(P110&amp;"|"&amp;Q110&amp;"|ALL|"&amp;S110,V8_COHORT_TABLE,3,FALSE),IFERROR(VLOOKUP(P110&amp;"|ALL|ALL|"&amp;S110,V8_COHORT_TABLE,3,FALSE),IFERROR(VLOOKUP(P110&amp;"|ALL|ALL|ALL",V8_COHORT_TABLE,3,FALSE),VLOOKUP("GLOBAL",V8_COHORT_TABLE,3,FALSE)))))</f>
        <v/>
      </c>
      <c r="Y110" s="15">
        <f>IFERROR(VLOOKUP(T110,V8_COHORT_TABLE,4,FALSE),IFERROR(VLOOKUP(P110&amp;"|"&amp;Q110&amp;"|ALL|"&amp;S110,V8_COHORT_TABLE,4,FALSE),IFERROR(VLOOKUP(P110&amp;"|ALL|ALL|"&amp;S110,V8_COHORT_TABLE,4,FALSE),IFERROR(VLOOKUP(P110&amp;"|ALL|ALL|ALL",V8_COHORT_TABLE,4,FALSE),VLOOKUP("GLOBAL",V8_COHORT_TABLE,4,FALSE)))))</f>
        <v/>
      </c>
      <c r="Z110" s="15">
        <f>IFERROR(VLOOKUP(T110,V8_COHORT_TABLE,5,FALSE),IFERROR(VLOOKUP(P110&amp;"|"&amp;Q110&amp;"|ALL|"&amp;S110,V8_COHORT_TABLE,5,FALSE),IFERROR(VLOOKUP(P110&amp;"|ALL|ALL|"&amp;S110,V8_COHORT_TABLE,5,FALSE),IFERROR(VLOOKUP(P110&amp;"|ALL|ALL|ALL",V8_COHORT_TABLE,5,FALSE),VLOOKUP("GLOBAL",V8_COHORT_TABLE,5,FALSE)))))</f>
        <v/>
      </c>
      <c r="AA110" s="15">
        <f>W110+X110/(1+EXP(-(V110-Y110)/Z110))</f>
        <v/>
      </c>
      <c r="AB110" s="15">
        <f>IFERROR(VLOOKUP(T110,V8_COHORT_TABLE,6,FALSE),IFERROR(VLOOKUP(P110&amp;"|"&amp;Q110&amp;"|ALL|"&amp;S110,V8_COHORT_TABLE,6,FALSE),IFERROR(VLOOKUP(P110&amp;"|ALL|ALL|"&amp;S110,V8_COHORT_TABLE,6,FALSE),IFERROR(VLOOKUP(P110&amp;"|ALL|ALL|ALL",V8_COHORT_TABLE,6,FALSE),VLOOKUP("GLOBAL",V8_COHORT_TABLE,6,FALSE)))))</f>
        <v/>
      </c>
      <c r="AC110" s="15">
        <f>IFERROR(VLOOKUP(T110,V8_COHORT_TABLE,7,FALSE),IFERROR(VLOOKUP(P110&amp;"|"&amp;Q110&amp;"|ALL|"&amp;S110,V8_COHORT_TABLE,7,FALSE),IFERROR(VLOOKUP(P110&amp;"|ALL|ALL|"&amp;S110,V8_COHORT_TABLE,7,FALSE),IFERROR(VLOOKUP(P110&amp;"|ALL|ALL|ALL",V8_COHORT_TABLE,7,FALSE),VLOOKUP("GLOBAL",V8_COHORT_TABLE,7,FALSE)))))</f>
        <v/>
      </c>
      <c r="AD110" s="15">
        <f>IFERROR(VLOOKUP(T110,V8_COHORT_TABLE,8,FALSE),IFERROR(VLOOKUP(P110&amp;"|"&amp;Q110&amp;"|ALL|"&amp;S110,V8_COHORT_TABLE,8,FALSE),IFERROR(VLOOKUP(P110&amp;"|ALL|ALL|"&amp;S110,V8_COHORT_TABLE,8,FALSE),IFERROR(VLOOKUP(P110&amp;"|ALL|ALL|ALL",V8_COHORT_TABLE,8,FALSE),VLOOKUP("GLOBAL",V8_COHORT_TABLE,8,FALSE)))))</f>
        <v/>
      </c>
      <c r="AE110" s="15">
        <f>IFERROR(VLOOKUP(T110,V8_COHORT_TABLE,9,FALSE),IFERROR(VLOOKUP(P110&amp;"|"&amp;Q110&amp;"|ALL|"&amp;S110,V8_COHORT_TABLE,9,FALSE),IFERROR(VLOOKUP(P110&amp;"|ALL|ALL|"&amp;S110,V8_COHORT_TABLE,9,FALSE),IFERROR(VLOOKUP(P110&amp;"|ALL|ALL|ALL",V8_COHORT_TABLE,9,FALSE),VLOOKUP("GLOBAL",V8_COHORT_TABLE,9,FALSE)))))</f>
        <v/>
      </c>
      <c r="AF110" s="8">
        <f>IF(K110&lt;=0,AB110,IF(K110&gt;=240,AE110,IF(K110&lt;=24,AB110+(K110-0)/24*(AC110-AB110),IF(K110&lt;=96,AC110+(K110-24)/72*(AD110-AC110),AD110+(K110-96)/144*(AE110-AD110)))))</f>
        <v/>
      </c>
      <c r="AG110" s="8">
        <f>IF(IF(OR(L110="",NOT(ISNUMBER(L110))),360,MAX(0,MIN(480,(INT(L110/100)-INT(VALUE(F110)/100))*12+MOD(L110,100)-MOD(VALUE(F110),100))))&gt;0,1+V8_MTY_AMP*MAX(0,(V8_MTY_CUTOFF-(IF(OR(L110="",NOT(ISNUMBER(L110))),360,MAX(0,MIN(480,(INT(L110/100)-INT(VALUE(F110)/100))*12+MOD(L110,100)-MOD(VALUE(F110),100))))))/V8_MTY_CUTOFF),1)</f>
        <v/>
      </c>
      <c r="AH110" s="8">
        <f>IF(AND(IF(OR(M110="",NOT(ISNUMBER(M110))),0,MAX(0,MIN(24,(INT(VALUE(F110)/100)-INT(M110/100))*12+MOD(VALUE(F110),100)-MOD(M110,100))))&gt;0,IF(OR(M110="",NOT(ISNUMBER(M110))),0,MAX(0,MIN(24,(INT(VALUE(F110)/100)-INT(M110/100))*12+MOD(VALUE(F110),100)-MOD(M110,100))))&lt;=12),1+V8_LOCKOUT_AMP*EXP(-(IF(OR(M110="",NOT(ISNUMBER(M110))),0,MAX(0,MIN(24,(INT(VALUE(F110)/100)-INT(M110/100))*12+MOD(VALUE(F110),100)-MOD(M110,100)))))/V8_LOCKOUT_TAU),1)</f>
        <v/>
      </c>
      <c r="AI110" s="8">
        <f>MAX(V8_BURN_FLOOR,1-V8_BURN_SLOPE*MIN(1,MAX(0,O110)))</f>
        <v/>
      </c>
      <c r="AJ110" s="15">
        <f>MIN(AA110*AF110*AG110*AH110*AI110,0.2)</f>
        <v/>
      </c>
      <c r="AK110" s="16">
        <f>1-(1-AJ110)^12</f>
        <v/>
      </c>
    </row>
    <row r="111">
      <c r="A111" s="2" t="inlineStr">
        <is>
          <t>000006322135</t>
        </is>
      </c>
      <c r="B111" t="inlineStr">
        <is>
          <t>232</t>
        </is>
      </c>
      <c r="C111" t="inlineStr">
        <is>
          <t>RP</t>
        </is>
      </c>
      <c r="D111" t="inlineStr">
        <is>
          <t>GREYSTONE FUNDING COMPANY LLC</t>
        </is>
      </c>
      <c r="E111" t="n">
        <v>2025</v>
      </c>
      <c r="F111" t="inlineStr">
        <is>
          <t>202602</t>
        </is>
      </c>
      <c r="G111" s="9" t="n">
        <v>27332938.98</v>
      </c>
      <c r="H111" s="13" t="n">
        <v>6.24</v>
      </c>
      <c r="I111" s="14" t="n">
        <v>447</v>
      </c>
      <c r="J111" s="14" t="n">
        <v>10</v>
      </c>
      <c r="K111" t="n">
        <v>11</v>
      </c>
      <c r="L111" t="n">
        <v>206004</v>
      </c>
      <c r="M111" t="inlineStr"/>
      <c r="N111" t="n">
        <v>4</v>
      </c>
      <c r="O111" s="8" t="n">
        <v>0.3636363636363636</v>
      </c>
      <c r="P111">
        <f>IF(ISNUMBER(SEARCH("232",B111)),"232",IF(ISNUMBER(SEARCH("538",B111)),"538",IF(ISNUMBER(SEARCH("223a7",B111)),"223a7",IF(ISNUMBER(SEARCH("223f",B111)),"223f","OTHER"))))</f>
        <v/>
      </c>
      <c r="Q111">
        <f>IF(UPPER(C111)="NC","NC","RP")</f>
        <v/>
      </c>
      <c r="R111">
        <f>IF(G111&lt;5000000,"small",IF(G111&lt;25000000,"medium","large"))</f>
        <v/>
      </c>
      <c r="S111">
        <f>IF(K111&lt;36,"young",IF(K111&lt;120,"seasoned","aged"))</f>
        <v/>
      </c>
      <c r="T111">
        <f>P111&amp;"|"&amp;Q111&amp;"|"&amp;R111&amp;"|"&amp;S111</f>
        <v/>
      </c>
      <c r="U111" s="14">
        <f>H111*100-I111</f>
        <v/>
      </c>
      <c r="V111" s="14">
        <f>U111-12.5*(J111+1)</f>
        <v/>
      </c>
      <c r="W111" s="15">
        <f>IFERROR(VLOOKUP(T111,V8_COHORT_TABLE,2,FALSE),IFERROR(VLOOKUP(P111&amp;"|"&amp;Q111&amp;"|ALL|"&amp;S111,V8_COHORT_TABLE,2,FALSE),IFERROR(VLOOKUP(P111&amp;"|ALL|ALL|"&amp;S111,V8_COHORT_TABLE,2,FALSE),IFERROR(VLOOKUP(P111&amp;"|ALL|ALL|ALL",V8_COHORT_TABLE,2,FALSE),VLOOKUP("GLOBAL",V8_COHORT_TABLE,2,FALSE)))))</f>
        <v/>
      </c>
      <c r="X111" s="15">
        <f>IFERROR(VLOOKUP(T111,V8_COHORT_TABLE,3,FALSE),IFERROR(VLOOKUP(P111&amp;"|"&amp;Q111&amp;"|ALL|"&amp;S111,V8_COHORT_TABLE,3,FALSE),IFERROR(VLOOKUP(P111&amp;"|ALL|ALL|"&amp;S111,V8_COHORT_TABLE,3,FALSE),IFERROR(VLOOKUP(P111&amp;"|ALL|ALL|ALL",V8_COHORT_TABLE,3,FALSE),VLOOKUP("GLOBAL",V8_COHORT_TABLE,3,FALSE)))))</f>
        <v/>
      </c>
      <c r="Y111" s="15">
        <f>IFERROR(VLOOKUP(T111,V8_COHORT_TABLE,4,FALSE),IFERROR(VLOOKUP(P111&amp;"|"&amp;Q111&amp;"|ALL|"&amp;S111,V8_COHORT_TABLE,4,FALSE),IFERROR(VLOOKUP(P111&amp;"|ALL|ALL|"&amp;S111,V8_COHORT_TABLE,4,FALSE),IFERROR(VLOOKUP(P111&amp;"|ALL|ALL|ALL",V8_COHORT_TABLE,4,FALSE),VLOOKUP("GLOBAL",V8_COHORT_TABLE,4,FALSE)))))</f>
        <v/>
      </c>
      <c r="Z111" s="15">
        <f>IFERROR(VLOOKUP(T111,V8_COHORT_TABLE,5,FALSE),IFERROR(VLOOKUP(P111&amp;"|"&amp;Q111&amp;"|ALL|"&amp;S111,V8_COHORT_TABLE,5,FALSE),IFERROR(VLOOKUP(P111&amp;"|ALL|ALL|"&amp;S111,V8_COHORT_TABLE,5,FALSE),IFERROR(VLOOKUP(P111&amp;"|ALL|ALL|ALL",V8_COHORT_TABLE,5,FALSE),VLOOKUP("GLOBAL",V8_COHORT_TABLE,5,FALSE)))))</f>
        <v/>
      </c>
      <c r="AA111" s="15">
        <f>W111+X111/(1+EXP(-(V111-Y111)/Z111))</f>
        <v/>
      </c>
      <c r="AB111" s="15">
        <f>IFERROR(VLOOKUP(T111,V8_COHORT_TABLE,6,FALSE),IFERROR(VLOOKUP(P111&amp;"|"&amp;Q111&amp;"|ALL|"&amp;S111,V8_COHORT_TABLE,6,FALSE),IFERROR(VLOOKUP(P111&amp;"|ALL|ALL|"&amp;S111,V8_COHORT_TABLE,6,FALSE),IFERROR(VLOOKUP(P111&amp;"|ALL|ALL|ALL",V8_COHORT_TABLE,6,FALSE),VLOOKUP("GLOBAL",V8_COHORT_TABLE,6,FALSE)))))</f>
        <v/>
      </c>
      <c r="AC111" s="15">
        <f>IFERROR(VLOOKUP(T111,V8_COHORT_TABLE,7,FALSE),IFERROR(VLOOKUP(P111&amp;"|"&amp;Q111&amp;"|ALL|"&amp;S111,V8_COHORT_TABLE,7,FALSE),IFERROR(VLOOKUP(P111&amp;"|ALL|ALL|"&amp;S111,V8_COHORT_TABLE,7,FALSE),IFERROR(VLOOKUP(P111&amp;"|ALL|ALL|ALL",V8_COHORT_TABLE,7,FALSE),VLOOKUP("GLOBAL",V8_COHORT_TABLE,7,FALSE)))))</f>
        <v/>
      </c>
      <c r="AD111" s="15">
        <f>IFERROR(VLOOKUP(T111,V8_COHORT_TABLE,8,FALSE),IFERROR(VLOOKUP(P111&amp;"|"&amp;Q111&amp;"|ALL|"&amp;S111,V8_COHORT_TABLE,8,FALSE),IFERROR(VLOOKUP(P111&amp;"|ALL|ALL|"&amp;S111,V8_COHORT_TABLE,8,FALSE),IFERROR(VLOOKUP(P111&amp;"|ALL|ALL|ALL",V8_COHORT_TABLE,8,FALSE),VLOOKUP("GLOBAL",V8_COHORT_TABLE,8,FALSE)))))</f>
        <v/>
      </c>
      <c r="AE111" s="15">
        <f>IFERROR(VLOOKUP(T111,V8_COHORT_TABLE,9,FALSE),IFERROR(VLOOKUP(P111&amp;"|"&amp;Q111&amp;"|ALL|"&amp;S111,V8_COHORT_TABLE,9,FALSE),IFERROR(VLOOKUP(P111&amp;"|ALL|ALL|"&amp;S111,V8_COHORT_TABLE,9,FALSE),IFERROR(VLOOKUP(P111&amp;"|ALL|ALL|ALL",V8_COHORT_TABLE,9,FALSE),VLOOKUP("GLOBAL",V8_COHORT_TABLE,9,FALSE)))))</f>
        <v/>
      </c>
      <c r="AF111" s="8">
        <f>IF(K111&lt;=0,AB111,IF(K111&gt;=240,AE111,IF(K111&lt;=24,AB111+(K111-0)/24*(AC111-AB111),IF(K111&lt;=96,AC111+(K111-24)/72*(AD111-AC111),AD111+(K111-96)/144*(AE111-AD111)))))</f>
        <v/>
      </c>
      <c r="AG111" s="8">
        <f>IF(IF(OR(L111="",NOT(ISNUMBER(L111))),360,MAX(0,MIN(480,(INT(L111/100)-INT(VALUE(F111)/100))*12+MOD(L111,100)-MOD(VALUE(F111),100))))&gt;0,1+V8_MTY_AMP*MAX(0,(V8_MTY_CUTOFF-(IF(OR(L111="",NOT(ISNUMBER(L111))),360,MAX(0,MIN(480,(INT(L111/100)-INT(VALUE(F111)/100))*12+MOD(L111,100)-MOD(VALUE(F111),100))))))/V8_MTY_CUTOFF),1)</f>
        <v/>
      </c>
      <c r="AH111" s="8">
        <f>IF(AND(IF(OR(M111="",NOT(ISNUMBER(M111))),0,MAX(0,MIN(24,(INT(VALUE(F111)/100)-INT(M111/100))*12+MOD(VALUE(F111),100)-MOD(M111,100))))&gt;0,IF(OR(M111="",NOT(ISNUMBER(M111))),0,MAX(0,MIN(24,(INT(VALUE(F111)/100)-INT(M111/100))*12+MOD(VALUE(F111),100)-MOD(M111,100))))&lt;=12),1+V8_LOCKOUT_AMP*EXP(-(IF(OR(M111="",NOT(ISNUMBER(M111))),0,MAX(0,MIN(24,(INT(VALUE(F111)/100)-INT(M111/100))*12+MOD(VALUE(F111),100)-MOD(M111,100)))))/V8_LOCKOUT_TAU),1)</f>
        <v/>
      </c>
      <c r="AI111" s="8">
        <f>MAX(V8_BURN_FLOOR,1-V8_BURN_SLOPE*MIN(1,MAX(0,O111)))</f>
        <v/>
      </c>
      <c r="AJ111" s="15">
        <f>MIN(AA111*AF111*AG111*AH111*AI111,0.2)</f>
        <v/>
      </c>
      <c r="AK111" s="16">
        <f>1-(1-AJ111)^12</f>
        <v/>
      </c>
    </row>
    <row r="112">
      <c r="A112" s="2" t="inlineStr">
        <is>
          <t>000004711254</t>
        </is>
      </c>
      <c r="B112" t="inlineStr">
        <is>
          <t>223f</t>
        </is>
      </c>
      <c r="C112" t="inlineStr">
        <is>
          <t>RP</t>
        </is>
      </c>
      <c r="D112" t="inlineStr">
        <is>
          <t>GREYSTONE FUNDING COMPANY LLC</t>
        </is>
      </c>
      <c r="E112" t="n">
        <v>2020</v>
      </c>
      <c r="F112" t="inlineStr">
        <is>
          <t>202602</t>
        </is>
      </c>
      <c r="G112" s="9" t="n">
        <v>7797494.64</v>
      </c>
      <c r="H112" s="13" t="n">
        <v>2.09</v>
      </c>
      <c r="I112" s="14" t="n">
        <v>447</v>
      </c>
      <c r="J112" s="14" t="n">
        <v>5</v>
      </c>
      <c r="K112" t="n">
        <v>63</v>
      </c>
      <c r="L112" t="n">
        <v>205512</v>
      </c>
      <c r="M112" t="inlineStr"/>
      <c r="N112" t="n">
        <v>0</v>
      </c>
      <c r="O112" s="8" t="n">
        <v>0</v>
      </c>
      <c r="P112">
        <f>IF(ISNUMBER(SEARCH("232",B112)),"232",IF(ISNUMBER(SEARCH("538",B112)),"538",IF(ISNUMBER(SEARCH("223a7",B112)),"223a7",IF(ISNUMBER(SEARCH("223f",B112)),"223f","OTHER"))))</f>
        <v/>
      </c>
      <c r="Q112">
        <f>IF(UPPER(C112)="NC","NC","RP")</f>
        <v/>
      </c>
      <c r="R112">
        <f>IF(G112&lt;5000000,"small",IF(G112&lt;25000000,"medium","large"))</f>
        <v/>
      </c>
      <c r="S112">
        <f>IF(K112&lt;36,"young",IF(K112&lt;120,"seasoned","aged"))</f>
        <v/>
      </c>
      <c r="T112">
        <f>P112&amp;"|"&amp;Q112&amp;"|"&amp;R112&amp;"|"&amp;S112</f>
        <v/>
      </c>
      <c r="U112" s="14">
        <f>H112*100-I112</f>
        <v/>
      </c>
      <c r="V112" s="14">
        <f>U112-12.5*(J112+1)</f>
        <v/>
      </c>
      <c r="W112" s="15">
        <f>IFERROR(VLOOKUP(T112,V8_COHORT_TABLE,2,FALSE),IFERROR(VLOOKUP(P112&amp;"|"&amp;Q112&amp;"|ALL|"&amp;S112,V8_COHORT_TABLE,2,FALSE),IFERROR(VLOOKUP(P112&amp;"|ALL|ALL|"&amp;S112,V8_COHORT_TABLE,2,FALSE),IFERROR(VLOOKUP(P112&amp;"|ALL|ALL|ALL",V8_COHORT_TABLE,2,FALSE),VLOOKUP("GLOBAL",V8_COHORT_TABLE,2,FALSE)))))</f>
        <v/>
      </c>
      <c r="X112" s="15">
        <f>IFERROR(VLOOKUP(T112,V8_COHORT_TABLE,3,FALSE),IFERROR(VLOOKUP(P112&amp;"|"&amp;Q112&amp;"|ALL|"&amp;S112,V8_COHORT_TABLE,3,FALSE),IFERROR(VLOOKUP(P112&amp;"|ALL|ALL|"&amp;S112,V8_COHORT_TABLE,3,FALSE),IFERROR(VLOOKUP(P112&amp;"|ALL|ALL|ALL",V8_COHORT_TABLE,3,FALSE),VLOOKUP("GLOBAL",V8_COHORT_TABLE,3,FALSE)))))</f>
        <v/>
      </c>
      <c r="Y112" s="15">
        <f>IFERROR(VLOOKUP(T112,V8_COHORT_TABLE,4,FALSE),IFERROR(VLOOKUP(P112&amp;"|"&amp;Q112&amp;"|ALL|"&amp;S112,V8_COHORT_TABLE,4,FALSE),IFERROR(VLOOKUP(P112&amp;"|ALL|ALL|"&amp;S112,V8_COHORT_TABLE,4,FALSE),IFERROR(VLOOKUP(P112&amp;"|ALL|ALL|ALL",V8_COHORT_TABLE,4,FALSE),VLOOKUP("GLOBAL",V8_COHORT_TABLE,4,FALSE)))))</f>
        <v/>
      </c>
      <c r="Z112" s="15">
        <f>IFERROR(VLOOKUP(T112,V8_COHORT_TABLE,5,FALSE),IFERROR(VLOOKUP(P112&amp;"|"&amp;Q112&amp;"|ALL|"&amp;S112,V8_COHORT_TABLE,5,FALSE),IFERROR(VLOOKUP(P112&amp;"|ALL|ALL|"&amp;S112,V8_COHORT_TABLE,5,FALSE),IFERROR(VLOOKUP(P112&amp;"|ALL|ALL|ALL",V8_COHORT_TABLE,5,FALSE),VLOOKUP("GLOBAL",V8_COHORT_TABLE,5,FALSE)))))</f>
        <v/>
      </c>
      <c r="AA112" s="15">
        <f>W112+X112/(1+EXP(-(V112-Y112)/Z112))</f>
        <v/>
      </c>
      <c r="AB112" s="15">
        <f>IFERROR(VLOOKUP(T112,V8_COHORT_TABLE,6,FALSE),IFERROR(VLOOKUP(P112&amp;"|"&amp;Q112&amp;"|ALL|"&amp;S112,V8_COHORT_TABLE,6,FALSE),IFERROR(VLOOKUP(P112&amp;"|ALL|ALL|"&amp;S112,V8_COHORT_TABLE,6,FALSE),IFERROR(VLOOKUP(P112&amp;"|ALL|ALL|ALL",V8_COHORT_TABLE,6,FALSE),VLOOKUP("GLOBAL",V8_COHORT_TABLE,6,FALSE)))))</f>
        <v/>
      </c>
      <c r="AC112" s="15">
        <f>IFERROR(VLOOKUP(T112,V8_COHORT_TABLE,7,FALSE),IFERROR(VLOOKUP(P112&amp;"|"&amp;Q112&amp;"|ALL|"&amp;S112,V8_COHORT_TABLE,7,FALSE),IFERROR(VLOOKUP(P112&amp;"|ALL|ALL|"&amp;S112,V8_COHORT_TABLE,7,FALSE),IFERROR(VLOOKUP(P112&amp;"|ALL|ALL|ALL",V8_COHORT_TABLE,7,FALSE),VLOOKUP("GLOBAL",V8_COHORT_TABLE,7,FALSE)))))</f>
        <v/>
      </c>
      <c r="AD112" s="15">
        <f>IFERROR(VLOOKUP(T112,V8_COHORT_TABLE,8,FALSE),IFERROR(VLOOKUP(P112&amp;"|"&amp;Q112&amp;"|ALL|"&amp;S112,V8_COHORT_TABLE,8,FALSE),IFERROR(VLOOKUP(P112&amp;"|ALL|ALL|"&amp;S112,V8_COHORT_TABLE,8,FALSE),IFERROR(VLOOKUP(P112&amp;"|ALL|ALL|ALL",V8_COHORT_TABLE,8,FALSE),VLOOKUP("GLOBAL",V8_COHORT_TABLE,8,FALSE)))))</f>
        <v/>
      </c>
      <c r="AE112" s="15">
        <f>IFERROR(VLOOKUP(T112,V8_COHORT_TABLE,9,FALSE),IFERROR(VLOOKUP(P112&amp;"|"&amp;Q112&amp;"|ALL|"&amp;S112,V8_COHORT_TABLE,9,FALSE),IFERROR(VLOOKUP(P112&amp;"|ALL|ALL|"&amp;S112,V8_COHORT_TABLE,9,FALSE),IFERROR(VLOOKUP(P112&amp;"|ALL|ALL|ALL",V8_COHORT_TABLE,9,FALSE),VLOOKUP("GLOBAL",V8_COHORT_TABLE,9,FALSE)))))</f>
        <v/>
      </c>
      <c r="AF112" s="8">
        <f>IF(K112&lt;=0,AB112,IF(K112&gt;=240,AE112,IF(K112&lt;=24,AB112+(K112-0)/24*(AC112-AB112),IF(K112&lt;=96,AC112+(K112-24)/72*(AD112-AC112),AD112+(K112-96)/144*(AE112-AD112)))))</f>
        <v/>
      </c>
      <c r="AG112" s="8">
        <f>IF(IF(OR(L112="",NOT(ISNUMBER(L112))),360,MAX(0,MIN(480,(INT(L112/100)-INT(VALUE(F112)/100))*12+MOD(L112,100)-MOD(VALUE(F112),100))))&gt;0,1+V8_MTY_AMP*MAX(0,(V8_MTY_CUTOFF-(IF(OR(L112="",NOT(ISNUMBER(L112))),360,MAX(0,MIN(480,(INT(L112/100)-INT(VALUE(F112)/100))*12+MOD(L112,100)-MOD(VALUE(F112),100))))))/V8_MTY_CUTOFF),1)</f>
        <v/>
      </c>
      <c r="AH112" s="8">
        <f>IF(AND(IF(OR(M112="",NOT(ISNUMBER(M112))),0,MAX(0,MIN(24,(INT(VALUE(F112)/100)-INT(M112/100))*12+MOD(VALUE(F112),100)-MOD(M112,100))))&gt;0,IF(OR(M112="",NOT(ISNUMBER(M112))),0,MAX(0,MIN(24,(INT(VALUE(F112)/100)-INT(M112/100))*12+MOD(VALUE(F112),100)-MOD(M112,100))))&lt;=12),1+V8_LOCKOUT_AMP*EXP(-(IF(OR(M112="",NOT(ISNUMBER(M112))),0,MAX(0,MIN(24,(INT(VALUE(F112)/100)-INT(M112/100))*12+MOD(VALUE(F112),100)-MOD(M112,100)))))/V8_LOCKOUT_TAU),1)</f>
        <v/>
      </c>
      <c r="AI112" s="8">
        <f>MAX(V8_BURN_FLOOR,1-V8_BURN_SLOPE*MIN(1,MAX(0,O112)))</f>
        <v/>
      </c>
      <c r="AJ112" s="15">
        <f>MIN(AA112*AF112*AG112*AH112*AI112,0.2)</f>
        <v/>
      </c>
      <c r="AK112" s="16">
        <f>1-(1-AJ112)^12</f>
        <v/>
      </c>
    </row>
    <row r="113">
      <c r="A113" s="2" t="inlineStr">
        <is>
          <t>000003422183</t>
        </is>
      </c>
      <c r="B113" t="inlineStr">
        <is>
          <t>232</t>
        </is>
      </c>
      <c r="C113" t="inlineStr">
        <is>
          <t>RP</t>
        </is>
      </c>
      <c r="D113" t="inlineStr">
        <is>
          <t>GREYSTONE FUNDING COMPANY LLC</t>
        </is>
      </c>
      <c r="E113" t="n">
        <v>2022</v>
      </c>
      <c r="F113" t="inlineStr">
        <is>
          <t>202602</t>
        </is>
      </c>
      <c r="G113" s="9" t="n">
        <v>69082495.2</v>
      </c>
      <c r="H113" s="13" t="n">
        <v>4.58</v>
      </c>
      <c r="I113" s="14" t="n">
        <v>447</v>
      </c>
      <c r="J113" s="14" t="n">
        <v>7</v>
      </c>
      <c r="K113" t="n">
        <v>40</v>
      </c>
      <c r="L113" t="n">
        <v>205711</v>
      </c>
      <c r="M113" t="inlineStr"/>
      <c r="N113" t="n">
        <v>0</v>
      </c>
      <c r="O113" s="8" t="n">
        <v>0</v>
      </c>
      <c r="P113">
        <f>IF(ISNUMBER(SEARCH("232",B113)),"232",IF(ISNUMBER(SEARCH("538",B113)),"538",IF(ISNUMBER(SEARCH("223a7",B113)),"223a7",IF(ISNUMBER(SEARCH("223f",B113)),"223f","OTHER"))))</f>
        <v/>
      </c>
      <c r="Q113">
        <f>IF(UPPER(C113)="NC","NC","RP")</f>
        <v/>
      </c>
      <c r="R113">
        <f>IF(G113&lt;5000000,"small",IF(G113&lt;25000000,"medium","large"))</f>
        <v/>
      </c>
      <c r="S113">
        <f>IF(K113&lt;36,"young",IF(K113&lt;120,"seasoned","aged"))</f>
        <v/>
      </c>
      <c r="T113">
        <f>P113&amp;"|"&amp;Q113&amp;"|"&amp;R113&amp;"|"&amp;S113</f>
        <v/>
      </c>
      <c r="U113" s="14">
        <f>H113*100-I113</f>
        <v/>
      </c>
      <c r="V113" s="14">
        <f>U113-12.5*(J113+1)</f>
        <v/>
      </c>
      <c r="W113" s="15">
        <f>IFERROR(VLOOKUP(T113,V8_COHORT_TABLE,2,FALSE),IFERROR(VLOOKUP(P113&amp;"|"&amp;Q113&amp;"|ALL|"&amp;S113,V8_COHORT_TABLE,2,FALSE),IFERROR(VLOOKUP(P113&amp;"|ALL|ALL|"&amp;S113,V8_COHORT_TABLE,2,FALSE),IFERROR(VLOOKUP(P113&amp;"|ALL|ALL|ALL",V8_COHORT_TABLE,2,FALSE),VLOOKUP("GLOBAL",V8_COHORT_TABLE,2,FALSE)))))</f>
        <v/>
      </c>
      <c r="X113" s="15">
        <f>IFERROR(VLOOKUP(T113,V8_COHORT_TABLE,3,FALSE),IFERROR(VLOOKUP(P113&amp;"|"&amp;Q113&amp;"|ALL|"&amp;S113,V8_COHORT_TABLE,3,FALSE),IFERROR(VLOOKUP(P113&amp;"|ALL|ALL|"&amp;S113,V8_COHORT_TABLE,3,FALSE),IFERROR(VLOOKUP(P113&amp;"|ALL|ALL|ALL",V8_COHORT_TABLE,3,FALSE),VLOOKUP("GLOBAL",V8_COHORT_TABLE,3,FALSE)))))</f>
        <v/>
      </c>
      <c r="Y113" s="15">
        <f>IFERROR(VLOOKUP(T113,V8_COHORT_TABLE,4,FALSE),IFERROR(VLOOKUP(P113&amp;"|"&amp;Q113&amp;"|ALL|"&amp;S113,V8_COHORT_TABLE,4,FALSE),IFERROR(VLOOKUP(P113&amp;"|ALL|ALL|"&amp;S113,V8_COHORT_TABLE,4,FALSE),IFERROR(VLOOKUP(P113&amp;"|ALL|ALL|ALL",V8_COHORT_TABLE,4,FALSE),VLOOKUP("GLOBAL",V8_COHORT_TABLE,4,FALSE)))))</f>
        <v/>
      </c>
      <c r="Z113" s="15">
        <f>IFERROR(VLOOKUP(T113,V8_COHORT_TABLE,5,FALSE),IFERROR(VLOOKUP(P113&amp;"|"&amp;Q113&amp;"|ALL|"&amp;S113,V8_COHORT_TABLE,5,FALSE),IFERROR(VLOOKUP(P113&amp;"|ALL|ALL|"&amp;S113,V8_COHORT_TABLE,5,FALSE),IFERROR(VLOOKUP(P113&amp;"|ALL|ALL|ALL",V8_COHORT_TABLE,5,FALSE),VLOOKUP("GLOBAL",V8_COHORT_TABLE,5,FALSE)))))</f>
        <v/>
      </c>
      <c r="AA113" s="15">
        <f>W113+X113/(1+EXP(-(V113-Y113)/Z113))</f>
        <v/>
      </c>
      <c r="AB113" s="15">
        <f>IFERROR(VLOOKUP(T113,V8_COHORT_TABLE,6,FALSE),IFERROR(VLOOKUP(P113&amp;"|"&amp;Q113&amp;"|ALL|"&amp;S113,V8_COHORT_TABLE,6,FALSE),IFERROR(VLOOKUP(P113&amp;"|ALL|ALL|"&amp;S113,V8_COHORT_TABLE,6,FALSE),IFERROR(VLOOKUP(P113&amp;"|ALL|ALL|ALL",V8_COHORT_TABLE,6,FALSE),VLOOKUP("GLOBAL",V8_COHORT_TABLE,6,FALSE)))))</f>
        <v/>
      </c>
      <c r="AC113" s="15">
        <f>IFERROR(VLOOKUP(T113,V8_COHORT_TABLE,7,FALSE),IFERROR(VLOOKUP(P113&amp;"|"&amp;Q113&amp;"|ALL|"&amp;S113,V8_COHORT_TABLE,7,FALSE),IFERROR(VLOOKUP(P113&amp;"|ALL|ALL|"&amp;S113,V8_COHORT_TABLE,7,FALSE),IFERROR(VLOOKUP(P113&amp;"|ALL|ALL|ALL",V8_COHORT_TABLE,7,FALSE),VLOOKUP("GLOBAL",V8_COHORT_TABLE,7,FALSE)))))</f>
        <v/>
      </c>
      <c r="AD113" s="15">
        <f>IFERROR(VLOOKUP(T113,V8_COHORT_TABLE,8,FALSE),IFERROR(VLOOKUP(P113&amp;"|"&amp;Q113&amp;"|ALL|"&amp;S113,V8_COHORT_TABLE,8,FALSE),IFERROR(VLOOKUP(P113&amp;"|ALL|ALL|"&amp;S113,V8_COHORT_TABLE,8,FALSE),IFERROR(VLOOKUP(P113&amp;"|ALL|ALL|ALL",V8_COHORT_TABLE,8,FALSE),VLOOKUP("GLOBAL",V8_COHORT_TABLE,8,FALSE)))))</f>
        <v/>
      </c>
      <c r="AE113" s="15">
        <f>IFERROR(VLOOKUP(T113,V8_COHORT_TABLE,9,FALSE),IFERROR(VLOOKUP(P113&amp;"|"&amp;Q113&amp;"|ALL|"&amp;S113,V8_COHORT_TABLE,9,FALSE),IFERROR(VLOOKUP(P113&amp;"|ALL|ALL|"&amp;S113,V8_COHORT_TABLE,9,FALSE),IFERROR(VLOOKUP(P113&amp;"|ALL|ALL|ALL",V8_COHORT_TABLE,9,FALSE),VLOOKUP("GLOBAL",V8_COHORT_TABLE,9,FALSE)))))</f>
        <v/>
      </c>
      <c r="AF113" s="8">
        <f>IF(K113&lt;=0,AB113,IF(K113&gt;=240,AE113,IF(K113&lt;=24,AB113+(K113-0)/24*(AC113-AB113),IF(K113&lt;=96,AC113+(K113-24)/72*(AD113-AC113),AD113+(K113-96)/144*(AE113-AD113)))))</f>
        <v/>
      </c>
      <c r="AG113" s="8">
        <f>IF(IF(OR(L113="",NOT(ISNUMBER(L113))),360,MAX(0,MIN(480,(INT(L113/100)-INT(VALUE(F113)/100))*12+MOD(L113,100)-MOD(VALUE(F113),100))))&gt;0,1+V8_MTY_AMP*MAX(0,(V8_MTY_CUTOFF-(IF(OR(L113="",NOT(ISNUMBER(L113))),360,MAX(0,MIN(480,(INT(L113/100)-INT(VALUE(F113)/100))*12+MOD(L113,100)-MOD(VALUE(F113),100))))))/V8_MTY_CUTOFF),1)</f>
        <v/>
      </c>
      <c r="AH113" s="8">
        <f>IF(AND(IF(OR(M113="",NOT(ISNUMBER(M113))),0,MAX(0,MIN(24,(INT(VALUE(F113)/100)-INT(M113/100))*12+MOD(VALUE(F113),100)-MOD(M113,100))))&gt;0,IF(OR(M113="",NOT(ISNUMBER(M113))),0,MAX(0,MIN(24,(INT(VALUE(F113)/100)-INT(M113/100))*12+MOD(VALUE(F113),100)-MOD(M113,100))))&lt;=12),1+V8_LOCKOUT_AMP*EXP(-(IF(OR(M113="",NOT(ISNUMBER(M113))),0,MAX(0,MIN(24,(INT(VALUE(F113)/100)-INT(M113/100))*12+MOD(VALUE(F113),100)-MOD(M113,100)))))/V8_LOCKOUT_TAU),1)</f>
        <v/>
      </c>
      <c r="AI113" s="8">
        <f>MAX(V8_BURN_FLOOR,1-V8_BURN_SLOPE*MIN(1,MAX(0,O113)))</f>
        <v/>
      </c>
      <c r="AJ113" s="15">
        <f>MIN(AA113*AF113*AG113*AH113*AI113,0.2)</f>
        <v/>
      </c>
      <c r="AK113" s="16">
        <f>1-(1-AJ113)^12</f>
        <v/>
      </c>
    </row>
    <row r="114">
      <c r="A114" s="2" t="inlineStr">
        <is>
          <t>008946585285</t>
        </is>
      </c>
      <c r="B114" t="inlineStr">
        <is>
          <t>538</t>
        </is>
      </c>
      <c r="C114" t="inlineStr">
        <is>
          <t>538</t>
        </is>
      </c>
      <c r="D114" t="inlineStr">
        <is>
          <t>GREYSTONE SERVICING COMPANY LLC</t>
        </is>
      </c>
      <c r="E114" t="n">
        <v>2020</v>
      </c>
      <c r="F114" t="inlineStr">
        <is>
          <t>202602</t>
        </is>
      </c>
      <c r="G114" s="9" t="n">
        <v>1751473.04</v>
      </c>
      <c r="H114" s="13" t="n">
        <v>4.15</v>
      </c>
      <c r="I114" s="14" t="n">
        <v>447</v>
      </c>
      <c r="J114" s="14" t="n">
        <v>7</v>
      </c>
      <c r="K114" t="n">
        <v>68</v>
      </c>
      <c r="L114" t="n">
        <v>206007</v>
      </c>
      <c r="M114" t="n">
        <v>202205</v>
      </c>
      <c r="N114" t="n">
        <v>0</v>
      </c>
      <c r="O114" s="8" t="n">
        <v>0</v>
      </c>
      <c r="P114">
        <f>IF(ISNUMBER(SEARCH("232",B114)),"232",IF(ISNUMBER(SEARCH("538",B114)),"538",IF(ISNUMBER(SEARCH("223a7",B114)),"223a7",IF(ISNUMBER(SEARCH("223f",B114)),"223f","OTHER"))))</f>
        <v/>
      </c>
      <c r="Q114">
        <f>IF(UPPER(C114)="NC","NC","RP")</f>
        <v/>
      </c>
      <c r="R114">
        <f>IF(G114&lt;5000000,"small",IF(G114&lt;25000000,"medium","large"))</f>
        <v/>
      </c>
      <c r="S114">
        <f>IF(K114&lt;36,"young",IF(K114&lt;120,"seasoned","aged"))</f>
        <v/>
      </c>
      <c r="T114">
        <f>P114&amp;"|"&amp;Q114&amp;"|"&amp;R114&amp;"|"&amp;S114</f>
        <v/>
      </c>
      <c r="U114" s="14">
        <f>H114*100-I114</f>
        <v/>
      </c>
      <c r="V114" s="14">
        <f>U114-12.5*(J114+1)</f>
        <v/>
      </c>
      <c r="W114" s="15">
        <f>IFERROR(VLOOKUP(T114,V8_COHORT_TABLE,2,FALSE),IFERROR(VLOOKUP(P114&amp;"|"&amp;Q114&amp;"|ALL|"&amp;S114,V8_COHORT_TABLE,2,FALSE),IFERROR(VLOOKUP(P114&amp;"|ALL|ALL|"&amp;S114,V8_COHORT_TABLE,2,FALSE),IFERROR(VLOOKUP(P114&amp;"|ALL|ALL|ALL",V8_COHORT_TABLE,2,FALSE),VLOOKUP("GLOBAL",V8_COHORT_TABLE,2,FALSE)))))</f>
        <v/>
      </c>
      <c r="X114" s="15">
        <f>IFERROR(VLOOKUP(T114,V8_COHORT_TABLE,3,FALSE),IFERROR(VLOOKUP(P114&amp;"|"&amp;Q114&amp;"|ALL|"&amp;S114,V8_COHORT_TABLE,3,FALSE),IFERROR(VLOOKUP(P114&amp;"|ALL|ALL|"&amp;S114,V8_COHORT_TABLE,3,FALSE),IFERROR(VLOOKUP(P114&amp;"|ALL|ALL|ALL",V8_COHORT_TABLE,3,FALSE),VLOOKUP("GLOBAL",V8_COHORT_TABLE,3,FALSE)))))</f>
        <v/>
      </c>
      <c r="Y114" s="15">
        <f>IFERROR(VLOOKUP(T114,V8_COHORT_TABLE,4,FALSE),IFERROR(VLOOKUP(P114&amp;"|"&amp;Q114&amp;"|ALL|"&amp;S114,V8_COHORT_TABLE,4,FALSE),IFERROR(VLOOKUP(P114&amp;"|ALL|ALL|"&amp;S114,V8_COHORT_TABLE,4,FALSE),IFERROR(VLOOKUP(P114&amp;"|ALL|ALL|ALL",V8_COHORT_TABLE,4,FALSE),VLOOKUP("GLOBAL",V8_COHORT_TABLE,4,FALSE)))))</f>
        <v/>
      </c>
      <c r="Z114" s="15">
        <f>IFERROR(VLOOKUP(T114,V8_COHORT_TABLE,5,FALSE),IFERROR(VLOOKUP(P114&amp;"|"&amp;Q114&amp;"|ALL|"&amp;S114,V8_COHORT_TABLE,5,FALSE),IFERROR(VLOOKUP(P114&amp;"|ALL|ALL|"&amp;S114,V8_COHORT_TABLE,5,FALSE),IFERROR(VLOOKUP(P114&amp;"|ALL|ALL|ALL",V8_COHORT_TABLE,5,FALSE),VLOOKUP("GLOBAL",V8_COHORT_TABLE,5,FALSE)))))</f>
        <v/>
      </c>
      <c r="AA114" s="15">
        <f>W114+X114/(1+EXP(-(V114-Y114)/Z114))</f>
        <v/>
      </c>
      <c r="AB114" s="15">
        <f>IFERROR(VLOOKUP(T114,V8_COHORT_TABLE,6,FALSE),IFERROR(VLOOKUP(P114&amp;"|"&amp;Q114&amp;"|ALL|"&amp;S114,V8_COHORT_TABLE,6,FALSE),IFERROR(VLOOKUP(P114&amp;"|ALL|ALL|"&amp;S114,V8_COHORT_TABLE,6,FALSE),IFERROR(VLOOKUP(P114&amp;"|ALL|ALL|ALL",V8_COHORT_TABLE,6,FALSE),VLOOKUP("GLOBAL",V8_COHORT_TABLE,6,FALSE)))))</f>
        <v/>
      </c>
      <c r="AC114" s="15">
        <f>IFERROR(VLOOKUP(T114,V8_COHORT_TABLE,7,FALSE),IFERROR(VLOOKUP(P114&amp;"|"&amp;Q114&amp;"|ALL|"&amp;S114,V8_COHORT_TABLE,7,FALSE),IFERROR(VLOOKUP(P114&amp;"|ALL|ALL|"&amp;S114,V8_COHORT_TABLE,7,FALSE),IFERROR(VLOOKUP(P114&amp;"|ALL|ALL|ALL",V8_COHORT_TABLE,7,FALSE),VLOOKUP("GLOBAL",V8_COHORT_TABLE,7,FALSE)))))</f>
        <v/>
      </c>
      <c r="AD114" s="15">
        <f>IFERROR(VLOOKUP(T114,V8_COHORT_TABLE,8,FALSE),IFERROR(VLOOKUP(P114&amp;"|"&amp;Q114&amp;"|ALL|"&amp;S114,V8_COHORT_TABLE,8,FALSE),IFERROR(VLOOKUP(P114&amp;"|ALL|ALL|"&amp;S114,V8_COHORT_TABLE,8,FALSE),IFERROR(VLOOKUP(P114&amp;"|ALL|ALL|ALL",V8_COHORT_TABLE,8,FALSE),VLOOKUP("GLOBAL",V8_COHORT_TABLE,8,FALSE)))))</f>
        <v/>
      </c>
      <c r="AE114" s="15">
        <f>IFERROR(VLOOKUP(T114,V8_COHORT_TABLE,9,FALSE),IFERROR(VLOOKUP(P114&amp;"|"&amp;Q114&amp;"|ALL|"&amp;S114,V8_COHORT_TABLE,9,FALSE),IFERROR(VLOOKUP(P114&amp;"|ALL|ALL|"&amp;S114,V8_COHORT_TABLE,9,FALSE),IFERROR(VLOOKUP(P114&amp;"|ALL|ALL|ALL",V8_COHORT_TABLE,9,FALSE),VLOOKUP("GLOBAL",V8_COHORT_TABLE,9,FALSE)))))</f>
        <v/>
      </c>
      <c r="AF114" s="8">
        <f>IF(K114&lt;=0,AB114,IF(K114&gt;=240,AE114,IF(K114&lt;=24,AB114+(K114-0)/24*(AC114-AB114),IF(K114&lt;=96,AC114+(K114-24)/72*(AD114-AC114),AD114+(K114-96)/144*(AE114-AD114)))))</f>
        <v/>
      </c>
      <c r="AG114" s="8">
        <f>IF(IF(OR(L114="",NOT(ISNUMBER(L114))),360,MAX(0,MIN(480,(INT(L114/100)-INT(VALUE(F114)/100))*12+MOD(L114,100)-MOD(VALUE(F114),100))))&gt;0,1+V8_MTY_AMP*MAX(0,(V8_MTY_CUTOFF-(IF(OR(L114="",NOT(ISNUMBER(L114))),360,MAX(0,MIN(480,(INT(L114/100)-INT(VALUE(F114)/100))*12+MOD(L114,100)-MOD(VALUE(F114),100))))))/V8_MTY_CUTOFF),1)</f>
        <v/>
      </c>
      <c r="AH114" s="8">
        <f>IF(AND(IF(OR(M114="",NOT(ISNUMBER(M114))),0,MAX(0,MIN(24,(INT(VALUE(F114)/100)-INT(M114/100))*12+MOD(VALUE(F114),100)-MOD(M114,100))))&gt;0,IF(OR(M114="",NOT(ISNUMBER(M114))),0,MAX(0,MIN(24,(INT(VALUE(F114)/100)-INT(M114/100))*12+MOD(VALUE(F114),100)-MOD(M114,100))))&lt;=12),1+V8_LOCKOUT_AMP*EXP(-(IF(OR(M114="",NOT(ISNUMBER(M114))),0,MAX(0,MIN(24,(INT(VALUE(F114)/100)-INT(M114/100))*12+MOD(VALUE(F114),100)-MOD(M114,100)))))/V8_LOCKOUT_TAU),1)</f>
        <v/>
      </c>
      <c r="AI114" s="8">
        <f>MAX(V8_BURN_FLOOR,1-V8_BURN_SLOPE*MIN(1,MAX(0,O114)))</f>
        <v/>
      </c>
      <c r="AJ114" s="15">
        <f>MIN(AA114*AF114*AG114*AH114*AI114,0.2)</f>
        <v/>
      </c>
      <c r="AK114" s="16">
        <f>1-(1-AJ114)^12</f>
        <v/>
      </c>
    </row>
    <row r="115">
      <c r="A115" s="2" t="inlineStr">
        <is>
          <t>000006411265</t>
        </is>
      </c>
      <c r="B115" t="inlineStr">
        <is>
          <t>223f</t>
        </is>
      </c>
      <c r="C115" t="inlineStr">
        <is>
          <t>RP</t>
        </is>
      </c>
      <c r="D115" t="inlineStr">
        <is>
          <t>GREYSTONE FUNDING COMPANY LLC</t>
        </is>
      </c>
      <c r="E115" t="n">
        <v>2025</v>
      </c>
      <c r="F115" t="inlineStr">
        <is>
          <t>202602</t>
        </is>
      </c>
      <c r="G115" s="9" t="n">
        <v>5322544.26</v>
      </c>
      <c r="H115" s="13" t="n">
        <v>5.85</v>
      </c>
      <c r="I115" s="14" t="n">
        <v>447</v>
      </c>
      <c r="J115" s="14" t="n">
        <v>10</v>
      </c>
      <c r="K115" t="n">
        <v>9</v>
      </c>
      <c r="L115" t="n">
        <v>206006</v>
      </c>
      <c r="M115" t="inlineStr"/>
      <c r="N115" t="n">
        <v>1</v>
      </c>
      <c r="O115" s="8" t="n">
        <v>0.1111111111111111</v>
      </c>
      <c r="P115">
        <f>IF(ISNUMBER(SEARCH("232",B115)),"232",IF(ISNUMBER(SEARCH("538",B115)),"538",IF(ISNUMBER(SEARCH("223a7",B115)),"223a7",IF(ISNUMBER(SEARCH("223f",B115)),"223f","OTHER"))))</f>
        <v/>
      </c>
      <c r="Q115">
        <f>IF(UPPER(C115)="NC","NC","RP")</f>
        <v/>
      </c>
      <c r="R115">
        <f>IF(G115&lt;5000000,"small",IF(G115&lt;25000000,"medium","large"))</f>
        <v/>
      </c>
      <c r="S115">
        <f>IF(K115&lt;36,"young",IF(K115&lt;120,"seasoned","aged"))</f>
        <v/>
      </c>
      <c r="T115">
        <f>P115&amp;"|"&amp;Q115&amp;"|"&amp;R115&amp;"|"&amp;S115</f>
        <v/>
      </c>
      <c r="U115" s="14">
        <f>H115*100-I115</f>
        <v/>
      </c>
      <c r="V115" s="14">
        <f>U115-12.5*(J115+1)</f>
        <v/>
      </c>
      <c r="W115" s="15">
        <f>IFERROR(VLOOKUP(T115,V8_COHORT_TABLE,2,FALSE),IFERROR(VLOOKUP(P115&amp;"|"&amp;Q115&amp;"|ALL|"&amp;S115,V8_COHORT_TABLE,2,FALSE),IFERROR(VLOOKUP(P115&amp;"|ALL|ALL|"&amp;S115,V8_COHORT_TABLE,2,FALSE),IFERROR(VLOOKUP(P115&amp;"|ALL|ALL|ALL",V8_COHORT_TABLE,2,FALSE),VLOOKUP("GLOBAL",V8_COHORT_TABLE,2,FALSE)))))</f>
        <v/>
      </c>
      <c r="X115" s="15">
        <f>IFERROR(VLOOKUP(T115,V8_COHORT_TABLE,3,FALSE),IFERROR(VLOOKUP(P115&amp;"|"&amp;Q115&amp;"|ALL|"&amp;S115,V8_COHORT_TABLE,3,FALSE),IFERROR(VLOOKUP(P115&amp;"|ALL|ALL|"&amp;S115,V8_COHORT_TABLE,3,FALSE),IFERROR(VLOOKUP(P115&amp;"|ALL|ALL|ALL",V8_COHORT_TABLE,3,FALSE),VLOOKUP("GLOBAL",V8_COHORT_TABLE,3,FALSE)))))</f>
        <v/>
      </c>
      <c r="Y115" s="15">
        <f>IFERROR(VLOOKUP(T115,V8_COHORT_TABLE,4,FALSE),IFERROR(VLOOKUP(P115&amp;"|"&amp;Q115&amp;"|ALL|"&amp;S115,V8_COHORT_TABLE,4,FALSE),IFERROR(VLOOKUP(P115&amp;"|ALL|ALL|"&amp;S115,V8_COHORT_TABLE,4,FALSE),IFERROR(VLOOKUP(P115&amp;"|ALL|ALL|ALL",V8_COHORT_TABLE,4,FALSE),VLOOKUP("GLOBAL",V8_COHORT_TABLE,4,FALSE)))))</f>
        <v/>
      </c>
      <c r="Z115" s="15">
        <f>IFERROR(VLOOKUP(T115,V8_COHORT_TABLE,5,FALSE),IFERROR(VLOOKUP(P115&amp;"|"&amp;Q115&amp;"|ALL|"&amp;S115,V8_COHORT_TABLE,5,FALSE),IFERROR(VLOOKUP(P115&amp;"|ALL|ALL|"&amp;S115,V8_COHORT_TABLE,5,FALSE),IFERROR(VLOOKUP(P115&amp;"|ALL|ALL|ALL",V8_COHORT_TABLE,5,FALSE),VLOOKUP("GLOBAL",V8_COHORT_TABLE,5,FALSE)))))</f>
        <v/>
      </c>
      <c r="AA115" s="15">
        <f>W115+X115/(1+EXP(-(V115-Y115)/Z115))</f>
        <v/>
      </c>
      <c r="AB115" s="15">
        <f>IFERROR(VLOOKUP(T115,V8_COHORT_TABLE,6,FALSE),IFERROR(VLOOKUP(P115&amp;"|"&amp;Q115&amp;"|ALL|"&amp;S115,V8_COHORT_TABLE,6,FALSE),IFERROR(VLOOKUP(P115&amp;"|ALL|ALL|"&amp;S115,V8_COHORT_TABLE,6,FALSE),IFERROR(VLOOKUP(P115&amp;"|ALL|ALL|ALL",V8_COHORT_TABLE,6,FALSE),VLOOKUP("GLOBAL",V8_COHORT_TABLE,6,FALSE)))))</f>
        <v/>
      </c>
      <c r="AC115" s="15">
        <f>IFERROR(VLOOKUP(T115,V8_COHORT_TABLE,7,FALSE),IFERROR(VLOOKUP(P115&amp;"|"&amp;Q115&amp;"|ALL|"&amp;S115,V8_COHORT_TABLE,7,FALSE),IFERROR(VLOOKUP(P115&amp;"|ALL|ALL|"&amp;S115,V8_COHORT_TABLE,7,FALSE),IFERROR(VLOOKUP(P115&amp;"|ALL|ALL|ALL",V8_COHORT_TABLE,7,FALSE),VLOOKUP("GLOBAL",V8_COHORT_TABLE,7,FALSE)))))</f>
        <v/>
      </c>
      <c r="AD115" s="15">
        <f>IFERROR(VLOOKUP(T115,V8_COHORT_TABLE,8,FALSE),IFERROR(VLOOKUP(P115&amp;"|"&amp;Q115&amp;"|ALL|"&amp;S115,V8_COHORT_TABLE,8,FALSE),IFERROR(VLOOKUP(P115&amp;"|ALL|ALL|"&amp;S115,V8_COHORT_TABLE,8,FALSE),IFERROR(VLOOKUP(P115&amp;"|ALL|ALL|ALL",V8_COHORT_TABLE,8,FALSE),VLOOKUP("GLOBAL",V8_COHORT_TABLE,8,FALSE)))))</f>
        <v/>
      </c>
      <c r="AE115" s="15">
        <f>IFERROR(VLOOKUP(T115,V8_COHORT_TABLE,9,FALSE),IFERROR(VLOOKUP(P115&amp;"|"&amp;Q115&amp;"|ALL|"&amp;S115,V8_COHORT_TABLE,9,FALSE),IFERROR(VLOOKUP(P115&amp;"|ALL|ALL|"&amp;S115,V8_COHORT_TABLE,9,FALSE),IFERROR(VLOOKUP(P115&amp;"|ALL|ALL|ALL",V8_COHORT_TABLE,9,FALSE),VLOOKUP("GLOBAL",V8_COHORT_TABLE,9,FALSE)))))</f>
        <v/>
      </c>
      <c r="AF115" s="8">
        <f>IF(K115&lt;=0,AB115,IF(K115&gt;=240,AE115,IF(K115&lt;=24,AB115+(K115-0)/24*(AC115-AB115),IF(K115&lt;=96,AC115+(K115-24)/72*(AD115-AC115),AD115+(K115-96)/144*(AE115-AD115)))))</f>
        <v/>
      </c>
      <c r="AG115" s="8">
        <f>IF(IF(OR(L115="",NOT(ISNUMBER(L115))),360,MAX(0,MIN(480,(INT(L115/100)-INT(VALUE(F115)/100))*12+MOD(L115,100)-MOD(VALUE(F115),100))))&gt;0,1+V8_MTY_AMP*MAX(0,(V8_MTY_CUTOFF-(IF(OR(L115="",NOT(ISNUMBER(L115))),360,MAX(0,MIN(480,(INT(L115/100)-INT(VALUE(F115)/100))*12+MOD(L115,100)-MOD(VALUE(F115),100))))))/V8_MTY_CUTOFF),1)</f>
        <v/>
      </c>
      <c r="AH115" s="8">
        <f>IF(AND(IF(OR(M115="",NOT(ISNUMBER(M115))),0,MAX(0,MIN(24,(INT(VALUE(F115)/100)-INT(M115/100))*12+MOD(VALUE(F115),100)-MOD(M115,100))))&gt;0,IF(OR(M115="",NOT(ISNUMBER(M115))),0,MAX(0,MIN(24,(INT(VALUE(F115)/100)-INT(M115/100))*12+MOD(VALUE(F115),100)-MOD(M115,100))))&lt;=12),1+V8_LOCKOUT_AMP*EXP(-(IF(OR(M115="",NOT(ISNUMBER(M115))),0,MAX(0,MIN(24,(INT(VALUE(F115)/100)-INT(M115/100))*12+MOD(VALUE(F115),100)-MOD(M115,100)))))/V8_LOCKOUT_TAU),1)</f>
        <v/>
      </c>
      <c r="AI115" s="8">
        <f>MAX(V8_BURN_FLOOR,1-V8_BURN_SLOPE*MIN(1,MAX(0,O115)))</f>
        <v/>
      </c>
      <c r="AJ115" s="15">
        <f>MIN(AA115*AF115*AG115*AH115*AI115,0.2)</f>
        <v/>
      </c>
      <c r="AK115" s="16">
        <f>1-(1-AJ115)^12</f>
        <v/>
      </c>
    </row>
    <row r="116">
      <c r="A116" s="2" t="inlineStr">
        <is>
          <t>001803759912</t>
        </is>
      </c>
      <c r="B116" t="inlineStr">
        <is>
          <t>538</t>
        </is>
      </c>
      <c r="C116" t="inlineStr">
        <is>
          <t>538</t>
        </is>
      </c>
      <c r="D116" t="inlineStr">
        <is>
          <t>GREYSTONE SERVICING COMPANY LLC</t>
        </is>
      </c>
      <c r="E116" t="n">
        <v>2018</v>
      </c>
      <c r="F116" t="inlineStr">
        <is>
          <t>202602</t>
        </is>
      </c>
      <c r="G116" s="9" t="n">
        <v>859779.96</v>
      </c>
      <c r="H116" s="13" t="n">
        <v>4.5</v>
      </c>
      <c r="I116" s="14" t="n">
        <v>447</v>
      </c>
      <c r="J116" s="14" t="n">
        <v>3</v>
      </c>
      <c r="K116" t="n">
        <v>95</v>
      </c>
      <c r="L116" t="n">
        <v>205804</v>
      </c>
      <c r="M116" t="inlineStr"/>
      <c r="N116" t="n">
        <v>38</v>
      </c>
      <c r="O116" s="8" t="n">
        <v>0.4</v>
      </c>
      <c r="P116">
        <f>IF(ISNUMBER(SEARCH("232",B116)),"232",IF(ISNUMBER(SEARCH("538",B116)),"538",IF(ISNUMBER(SEARCH("223a7",B116)),"223a7",IF(ISNUMBER(SEARCH("223f",B116)),"223f","OTHER"))))</f>
        <v/>
      </c>
      <c r="Q116">
        <f>IF(UPPER(C116)="NC","NC","RP")</f>
        <v/>
      </c>
      <c r="R116">
        <f>IF(G116&lt;5000000,"small",IF(G116&lt;25000000,"medium","large"))</f>
        <v/>
      </c>
      <c r="S116">
        <f>IF(K116&lt;36,"young",IF(K116&lt;120,"seasoned","aged"))</f>
        <v/>
      </c>
      <c r="T116">
        <f>P116&amp;"|"&amp;Q116&amp;"|"&amp;R116&amp;"|"&amp;S116</f>
        <v/>
      </c>
      <c r="U116" s="14">
        <f>H116*100-I116</f>
        <v/>
      </c>
      <c r="V116" s="14">
        <f>U116-12.5*(J116+1)</f>
        <v/>
      </c>
      <c r="W116" s="15">
        <f>IFERROR(VLOOKUP(T116,V8_COHORT_TABLE,2,FALSE),IFERROR(VLOOKUP(P116&amp;"|"&amp;Q116&amp;"|ALL|"&amp;S116,V8_COHORT_TABLE,2,FALSE),IFERROR(VLOOKUP(P116&amp;"|ALL|ALL|"&amp;S116,V8_COHORT_TABLE,2,FALSE),IFERROR(VLOOKUP(P116&amp;"|ALL|ALL|ALL",V8_COHORT_TABLE,2,FALSE),VLOOKUP("GLOBAL",V8_COHORT_TABLE,2,FALSE)))))</f>
        <v/>
      </c>
      <c r="X116" s="15">
        <f>IFERROR(VLOOKUP(T116,V8_COHORT_TABLE,3,FALSE),IFERROR(VLOOKUP(P116&amp;"|"&amp;Q116&amp;"|ALL|"&amp;S116,V8_COHORT_TABLE,3,FALSE),IFERROR(VLOOKUP(P116&amp;"|ALL|ALL|"&amp;S116,V8_COHORT_TABLE,3,FALSE),IFERROR(VLOOKUP(P116&amp;"|ALL|ALL|ALL",V8_COHORT_TABLE,3,FALSE),VLOOKUP("GLOBAL",V8_COHORT_TABLE,3,FALSE)))))</f>
        <v/>
      </c>
      <c r="Y116" s="15">
        <f>IFERROR(VLOOKUP(T116,V8_COHORT_TABLE,4,FALSE),IFERROR(VLOOKUP(P116&amp;"|"&amp;Q116&amp;"|ALL|"&amp;S116,V8_COHORT_TABLE,4,FALSE),IFERROR(VLOOKUP(P116&amp;"|ALL|ALL|"&amp;S116,V8_COHORT_TABLE,4,FALSE),IFERROR(VLOOKUP(P116&amp;"|ALL|ALL|ALL",V8_COHORT_TABLE,4,FALSE),VLOOKUP("GLOBAL",V8_COHORT_TABLE,4,FALSE)))))</f>
        <v/>
      </c>
      <c r="Z116" s="15">
        <f>IFERROR(VLOOKUP(T116,V8_COHORT_TABLE,5,FALSE),IFERROR(VLOOKUP(P116&amp;"|"&amp;Q116&amp;"|ALL|"&amp;S116,V8_COHORT_TABLE,5,FALSE),IFERROR(VLOOKUP(P116&amp;"|ALL|ALL|"&amp;S116,V8_COHORT_TABLE,5,FALSE),IFERROR(VLOOKUP(P116&amp;"|ALL|ALL|ALL",V8_COHORT_TABLE,5,FALSE),VLOOKUP("GLOBAL",V8_COHORT_TABLE,5,FALSE)))))</f>
        <v/>
      </c>
      <c r="AA116" s="15">
        <f>W116+X116/(1+EXP(-(V116-Y116)/Z116))</f>
        <v/>
      </c>
      <c r="AB116" s="15">
        <f>IFERROR(VLOOKUP(T116,V8_COHORT_TABLE,6,FALSE),IFERROR(VLOOKUP(P116&amp;"|"&amp;Q116&amp;"|ALL|"&amp;S116,V8_COHORT_TABLE,6,FALSE),IFERROR(VLOOKUP(P116&amp;"|ALL|ALL|"&amp;S116,V8_COHORT_TABLE,6,FALSE),IFERROR(VLOOKUP(P116&amp;"|ALL|ALL|ALL",V8_COHORT_TABLE,6,FALSE),VLOOKUP("GLOBAL",V8_COHORT_TABLE,6,FALSE)))))</f>
        <v/>
      </c>
      <c r="AC116" s="15">
        <f>IFERROR(VLOOKUP(T116,V8_COHORT_TABLE,7,FALSE),IFERROR(VLOOKUP(P116&amp;"|"&amp;Q116&amp;"|ALL|"&amp;S116,V8_COHORT_TABLE,7,FALSE),IFERROR(VLOOKUP(P116&amp;"|ALL|ALL|"&amp;S116,V8_COHORT_TABLE,7,FALSE),IFERROR(VLOOKUP(P116&amp;"|ALL|ALL|ALL",V8_COHORT_TABLE,7,FALSE),VLOOKUP("GLOBAL",V8_COHORT_TABLE,7,FALSE)))))</f>
        <v/>
      </c>
      <c r="AD116" s="15">
        <f>IFERROR(VLOOKUP(T116,V8_COHORT_TABLE,8,FALSE),IFERROR(VLOOKUP(P116&amp;"|"&amp;Q116&amp;"|ALL|"&amp;S116,V8_COHORT_TABLE,8,FALSE),IFERROR(VLOOKUP(P116&amp;"|ALL|ALL|"&amp;S116,V8_COHORT_TABLE,8,FALSE),IFERROR(VLOOKUP(P116&amp;"|ALL|ALL|ALL",V8_COHORT_TABLE,8,FALSE),VLOOKUP("GLOBAL",V8_COHORT_TABLE,8,FALSE)))))</f>
        <v/>
      </c>
      <c r="AE116" s="15">
        <f>IFERROR(VLOOKUP(T116,V8_COHORT_TABLE,9,FALSE),IFERROR(VLOOKUP(P116&amp;"|"&amp;Q116&amp;"|ALL|"&amp;S116,V8_COHORT_TABLE,9,FALSE),IFERROR(VLOOKUP(P116&amp;"|ALL|ALL|"&amp;S116,V8_COHORT_TABLE,9,FALSE),IFERROR(VLOOKUP(P116&amp;"|ALL|ALL|ALL",V8_COHORT_TABLE,9,FALSE),VLOOKUP("GLOBAL",V8_COHORT_TABLE,9,FALSE)))))</f>
        <v/>
      </c>
      <c r="AF116" s="8">
        <f>IF(K116&lt;=0,AB116,IF(K116&gt;=240,AE116,IF(K116&lt;=24,AB116+(K116-0)/24*(AC116-AB116),IF(K116&lt;=96,AC116+(K116-24)/72*(AD116-AC116),AD116+(K116-96)/144*(AE116-AD116)))))</f>
        <v/>
      </c>
      <c r="AG116" s="8">
        <f>IF(IF(OR(L116="",NOT(ISNUMBER(L116))),360,MAX(0,MIN(480,(INT(L116/100)-INT(VALUE(F116)/100))*12+MOD(L116,100)-MOD(VALUE(F116),100))))&gt;0,1+V8_MTY_AMP*MAX(0,(V8_MTY_CUTOFF-(IF(OR(L116="",NOT(ISNUMBER(L116))),360,MAX(0,MIN(480,(INT(L116/100)-INT(VALUE(F116)/100))*12+MOD(L116,100)-MOD(VALUE(F116),100))))))/V8_MTY_CUTOFF),1)</f>
        <v/>
      </c>
      <c r="AH116" s="8">
        <f>IF(AND(IF(OR(M116="",NOT(ISNUMBER(M116))),0,MAX(0,MIN(24,(INT(VALUE(F116)/100)-INT(M116/100))*12+MOD(VALUE(F116),100)-MOD(M116,100))))&gt;0,IF(OR(M116="",NOT(ISNUMBER(M116))),0,MAX(0,MIN(24,(INT(VALUE(F116)/100)-INT(M116/100))*12+MOD(VALUE(F116),100)-MOD(M116,100))))&lt;=12),1+V8_LOCKOUT_AMP*EXP(-(IF(OR(M116="",NOT(ISNUMBER(M116))),0,MAX(0,MIN(24,(INT(VALUE(F116)/100)-INT(M116/100))*12+MOD(VALUE(F116),100)-MOD(M116,100)))))/V8_LOCKOUT_TAU),1)</f>
        <v/>
      </c>
      <c r="AI116" s="8">
        <f>MAX(V8_BURN_FLOOR,1-V8_BURN_SLOPE*MIN(1,MAX(0,O116)))</f>
        <v/>
      </c>
      <c r="AJ116" s="15">
        <f>MIN(AA116*AF116*AG116*AH116*AI116,0.2)</f>
        <v/>
      </c>
      <c r="AK116" s="16">
        <f>1-(1-AJ116)^12</f>
        <v/>
      </c>
    </row>
    <row r="117">
      <c r="A117" s="2" t="inlineStr">
        <is>
          <t>020895936416</t>
        </is>
      </c>
      <c r="B117" t="inlineStr">
        <is>
          <t>538</t>
        </is>
      </c>
      <c r="C117" t="inlineStr">
        <is>
          <t>538</t>
        </is>
      </c>
      <c r="D117" t="inlineStr">
        <is>
          <t>GREYSTONE SERVICING COMPANY LLC</t>
        </is>
      </c>
      <c r="E117" t="n">
        <v>2018</v>
      </c>
      <c r="F117" t="inlineStr">
        <is>
          <t>202602</t>
        </is>
      </c>
      <c r="G117" s="9" t="n">
        <v>1338183.97</v>
      </c>
      <c r="H117" s="13" t="n">
        <v>4.5</v>
      </c>
      <c r="I117" s="14" t="n">
        <v>447</v>
      </c>
      <c r="J117" s="14" t="n">
        <v>4</v>
      </c>
      <c r="K117" t="n">
        <v>95</v>
      </c>
      <c r="L117" t="n">
        <v>205804</v>
      </c>
      <c r="M117" t="inlineStr"/>
      <c r="N117" t="n">
        <v>34</v>
      </c>
      <c r="O117" s="8" t="n">
        <v>0.3578947368421053</v>
      </c>
      <c r="P117">
        <f>IF(ISNUMBER(SEARCH("232",B117)),"232",IF(ISNUMBER(SEARCH("538",B117)),"538",IF(ISNUMBER(SEARCH("223a7",B117)),"223a7",IF(ISNUMBER(SEARCH("223f",B117)),"223f","OTHER"))))</f>
        <v/>
      </c>
      <c r="Q117">
        <f>IF(UPPER(C117)="NC","NC","RP")</f>
        <v/>
      </c>
      <c r="R117">
        <f>IF(G117&lt;5000000,"small",IF(G117&lt;25000000,"medium","large"))</f>
        <v/>
      </c>
      <c r="S117">
        <f>IF(K117&lt;36,"young",IF(K117&lt;120,"seasoned","aged"))</f>
        <v/>
      </c>
      <c r="T117">
        <f>P117&amp;"|"&amp;Q117&amp;"|"&amp;R117&amp;"|"&amp;S117</f>
        <v/>
      </c>
      <c r="U117" s="14">
        <f>H117*100-I117</f>
        <v/>
      </c>
      <c r="V117" s="14">
        <f>U117-12.5*(J117+1)</f>
        <v/>
      </c>
      <c r="W117" s="15">
        <f>IFERROR(VLOOKUP(T117,V8_COHORT_TABLE,2,FALSE),IFERROR(VLOOKUP(P117&amp;"|"&amp;Q117&amp;"|ALL|"&amp;S117,V8_COHORT_TABLE,2,FALSE),IFERROR(VLOOKUP(P117&amp;"|ALL|ALL|"&amp;S117,V8_COHORT_TABLE,2,FALSE),IFERROR(VLOOKUP(P117&amp;"|ALL|ALL|ALL",V8_COHORT_TABLE,2,FALSE),VLOOKUP("GLOBAL",V8_COHORT_TABLE,2,FALSE)))))</f>
        <v/>
      </c>
      <c r="X117" s="15">
        <f>IFERROR(VLOOKUP(T117,V8_COHORT_TABLE,3,FALSE),IFERROR(VLOOKUP(P117&amp;"|"&amp;Q117&amp;"|ALL|"&amp;S117,V8_COHORT_TABLE,3,FALSE),IFERROR(VLOOKUP(P117&amp;"|ALL|ALL|"&amp;S117,V8_COHORT_TABLE,3,FALSE),IFERROR(VLOOKUP(P117&amp;"|ALL|ALL|ALL",V8_COHORT_TABLE,3,FALSE),VLOOKUP("GLOBAL",V8_COHORT_TABLE,3,FALSE)))))</f>
        <v/>
      </c>
      <c r="Y117" s="15">
        <f>IFERROR(VLOOKUP(T117,V8_COHORT_TABLE,4,FALSE),IFERROR(VLOOKUP(P117&amp;"|"&amp;Q117&amp;"|ALL|"&amp;S117,V8_COHORT_TABLE,4,FALSE),IFERROR(VLOOKUP(P117&amp;"|ALL|ALL|"&amp;S117,V8_COHORT_TABLE,4,FALSE),IFERROR(VLOOKUP(P117&amp;"|ALL|ALL|ALL",V8_COHORT_TABLE,4,FALSE),VLOOKUP("GLOBAL",V8_COHORT_TABLE,4,FALSE)))))</f>
        <v/>
      </c>
      <c r="Z117" s="15">
        <f>IFERROR(VLOOKUP(T117,V8_COHORT_TABLE,5,FALSE),IFERROR(VLOOKUP(P117&amp;"|"&amp;Q117&amp;"|ALL|"&amp;S117,V8_COHORT_TABLE,5,FALSE),IFERROR(VLOOKUP(P117&amp;"|ALL|ALL|"&amp;S117,V8_COHORT_TABLE,5,FALSE),IFERROR(VLOOKUP(P117&amp;"|ALL|ALL|ALL",V8_COHORT_TABLE,5,FALSE),VLOOKUP("GLOBAL",V8_COHORT_TABLE,5,FALSE)))))</f>
        <v/>
      </c>
      <c r="AA117" s="15">
        <f>W117+X117/(1+EXP(-(V117-Y117)/Z117))</f>
        <v/>
      </c>
      <c r="AB117" s="15">
        <f>IFERROR(VLOOKUP(T117,V8_COHORT_TABLE,6,FALSE),IFERROR(VLOOKUP(P117&amp;"|"&amp;Q117&amp;"|ALL|"&amp;S117,V8_COHORT_TABLE,6,FALSE),IFERROR(VLOOKUP(P117&amp;"|ALL|ALL|"&amp;S117,V8_COHORT_TABLE,6,FALSE),IFERROR(VLOOKUP(P117&amp;"|ALL|ALL|ALL",V8_COHORT_TABLE,6,FALSE),VLOOKUP("GLOBAL",V8_COHORT_TABLE,6,FALSE)))))</f>
        <v/>
      </c>
      <c r="AC117" s="15">
        <f>IFERROR(VLOOKUP(T117,V8_COHORT_TABLE,7,FALSE),IFERROR(VLOOKUP(P117&amp;"|"&amp;Q117&amp;"|ALL|"&amp;S117,V8_COHORT_TABLE,7,FALSE),IFERROR(VLOOKUP(P117&amp;"|ALL|ALL|"&amp;S117,V8_COHORT_TABLE,7,FALSE),IFERROR(VLOOKUP(P117&amp;"|ALL|ALL|ALL",V8_COHORT_TABLE,7,FALSE),VLOOKUP("GLOBAL",V8_COHORT_TABLE,7,FALSE)))))</f>
        <v/>
      </c>
      <c r="AD117" s="15">
        <f>IFERROR(VLOOKUP(T117,V8_COHORT_TABLE,8,FALSE),IFERROR(VLOOKUP(P117&amp;"|"&amp;Q117&amp;"|ALL|"&amp;S117,V8_COHORT_TABLE,8,FALSE),IFERROR(VLOOKUP(P117&amp;"|ALL|ALL|"&amp;S117,V8_COHORT_TABLE,8,FALSE),IFERROR(VLOOKUP(P117&amp;"|ALL|ALL|ALL",V8_COHORT_TABLE,8,FALSE),VLOOKUP("GLOBAL",V8_COHORT_TABLE,8,FALSE)))))</f>
        <v/>
      </c>
      <c r="AE117" s="15">
        <f>IFERROR(VLOOKUP(T117,V8_COHORT_TABLE,9,FALSE),IFERROR(VLOOKUP(P117&amp;"|"&amp;Q117&amp;"|ALL|"&amp;S117,V8_COHORT_TABLE,9,FALSE),IFERROR(VLOOKUP(P117&amp;"|ALL|ALL|"&amp;S117,V8_COHORT_TABLE,9,FALSE),IFERROR(VLOOKUP(P117&amp;"|ALL|ALL|ALL",V8_COHORT_TABLE,9,FALSE),VLOOKUP("GLOBAL",V8_COHORT_TABLE,9,FALSE)))))</f>
        <v/>
      </c>
      <c r="AF117" s="8">
        <f>IF(K117&lt;=0,AB117,IF(K117&gt;=240,AE117,IF(K117&lt;=24,AB117+(K117-0)/24*(AC117-AB117),IF(K117&lt;=96,AC117+(K117-24)/72*(AD117-AC117),AD117+(K117-96)/144*(AE117-AD117)))))</f>
        <v/>
      </c>
      <c r="AG117" s="8">
        <f>IF(IF(OR(L117="",NOT(ISNUMBER(L117))),360,MAX(0,MIN(480,(INT(L117/100)-INT(VALUE(F117)/100))*12+MOD(L117,100)-MOD(VALUE(F117),100))))&gt;0,1+V8_MTY_AMP*MAX(0,(V8_MTY_CUTOFF-(IF(OR(L117="",NOT(ISNUMBER(L117))),360,MAX(0,MIN(480,(INT(L117/100)-INT(VALUE(F117)/100))*12+MOD(L117,100)-MOD(VALUE(F117),100))))))/V8_MTY_CUTOFF),1)</f>
        <v/>
      </c>
      <c r="AH117" s="8">
        <f>IF(AND(IF(OR(M117="",NOT(ISNUMBER(M117))),0,MAX(0,MIN(24,(INT(VALUE(F117)/100)-INT(M117/100))*12+MOD(VALUE(F117),100)-MOD(M117,100))))&gt;0,IF(OR(M117="",NOT(ISNUMBER(M117))),0,MAX(0,MIN(24,(INT(VALUE(F117)/100)-INT(M117/100))*12+MOD(VALUE(F117),100)-MOD(M117,100))))&lt;=12),1+V8_LOCKOUT_AMP*EXP(-(IF(OR(M117="",NOT(ISNUMBER(M117))),0,MAX(0,MIN(24,(INT(VALUE(F117)/100)-INT(M117/100))*12+MOD(VALUE(F117),100)-MOD(M117,100)))))/V8_LOCKOUT_TAU),1)</f>
        <v/>
      </c>
      <c r="AI117" s="8">
        <f>MAX(V8_BURN_FLOOR,1-V8_BURN_SLOPE*MIN(1,MAX(0,O117)))</f>
        <v/>
      </c>
      <c r="AJ117" s="15">
        <f>MIN(AA117*AF117*AG117*AH117*AI117,0.2)</f>
        <v/>
      </c>
      <c r="AK117" s="16">
        <f>1-(1-AJ117)^12</f>
        <v/>
      </c>
    </row>
    <row r="118">
      <c r="A118" s="2" t="inlineStr">
        <is>
          <t>000002311576</t>
        </is>
      </c>
      <c r="B118" t="inlineStr">
        <is>
          <t>223f</t>
        </is>
      </c>
      <c r="C118" t="inlineStr">
        <is>
          <t>RP</t>
        </is>
      </c>
      <c r="D118" t="inlineStr">
        <is>
          <t>MERCHANTS CAPITAL CORP.</t>
        </is>
      </c>
      <c r="E118" t="n">
        <v>2020</v>
      </c>
      <c r="F118" t="inlineStr">
        <is>
          <t>202602</t>
        </is>
      </c>
      <c r="G118" s="9" t="n">
        <v>10194656.76</v>
      </c>
      <c r="H118" s="13" t="n">
        <v>2.2</v>
      </c>
      <c r="I118" s="14" t="n">
        <v>447</v>
      </c>
      <c r="J118" s="14" t="n">
        <v>5</v>
      </c>
      <c r="K118" t="n">
        <v>62</v>
      </c>
      <c r="L118" t="n">
        <v>205601</v>
      </c>
      <c r="M118" t="inlineStr"/>
      <c r="N118" t="n">
        <v>0</v>
      </c>
      <c r="O118" s="8" t="n">
        <v>0</v>
      </c>
      <c r="P118">
        <f>IF(ISNUMBER(SEARCH("232",B118)),"232",IF(ISNUMBER(SEARCH("538",B118)),"538",IF(ISNUMBER(SEARCH("223a7",B118)),"223a7",IF(ISNUMBER(SEARCH("223f",B118)),"223f","OTHER"))))</f>
        <v/>
      </c>
      <c r="Q118">
        <f>IF(UPPER(C118)="NC","NC","RP")</f>
        <v/>
      </c>
      <c r="R118">
        <f>IF(G118&lt;5000000,"small",IF(G118&lt;25000000,"medium","large"))</f>
        <v/>
      </c>
      <c r="S118">
        <f>IF(K118&lt;36,"young",IF(K118&lt;120,"seasoned","aged"))</f>
        <v/>
      </c>
      <c r="T118">
        <f>P118&amp;"|"&amp;Q118&amp;"|"&amp;R118&amp;"|"&amp;S118</f>
        <v/>
      </c>
      <c r="U118" s="14">
        <f>H118*100-I118</f>
        <v/>
      </c>
      <c r="V118" s="14">
        <f>U118-12.5*(J118+1)</f>
        <v/>
      </c>
      <c r="W118" s="15">
        <f>IFERROR(VLOOKUP(T118,V8_COHORT_TABLE,2,FALSE),IFERROR(VLOOKUP(P118&amp;"|"&amp;Q118&amp;"|ALL|"&amp;S118,V8_COHORT_TABLE,2,FALSE),IFERROR(VLOOKUP(P118&amp;"|ALL|ALL|"&amp;S118,V8_COHORT_TABLE,2,FALSE),IFERROR(VLOOKUP(P118&amp;"|ALL|ALL|ALL",V8_COHORT_TABLE,2,FALSE),VLOOKUP("GLOBAL",V8_COHORT_TABLE,2,FALSE)))))</f>
        <v/>
      </c>
      <c r="X118" s="15">
        <f>IFERROR(VLOOKUP(T118,V8_COHORT_TABLE,3,FALSE),IFERROR(VLOOKUP(P118&amp;"|"&amp;Q118&amp;"|ALL|"&amp;S118,V8_COHORT_TABLE,3,FALSE),IFERROR(VLOOKUP(P118&amp;"|ALL|ALL|"&amp;S118,V8_COHORT_TABLE,3,FALSE),IFERROR(VLOOKUP(P118&amp;"|ALL|ALL|ALL",V8_COHORT_TABLE,3,FALSE),VLOOKUP("GLOBAL",V8_COHORT_TABLE,3,FALSE)))))</f>
        <v/>
      </c>
      <c r="Y118" s="15">
        <f>IFERROR(VLOOKUP(T118,V8_COHORT_TABLE,4,FALSE),IFERROR(VLOOKUP(P118&amp;"|"&amp;Q118&amp;"|ALL|"&amp;S118,V8_COHORT_TABLE,4,FALSE),IFERROR(VLOOKUP(P118&amp;"|ALL|ALL|"&amp;S118,V8_COHORT_TABLE,4,FALSE),IFERROR(VLOOKUP(P118&amp;"|ALL|ALL|ALL",V8_COHORT_TABLE,4,FALSE),VLOOKUP("GLOBAL",V8_COHORT_TABLE,4,FALSE)))))</f>
        <v/>
      </c>
      <c r="Z118" s="15">
        <f>IFERROR(VLOOKUP(T118,V8_COHORT_TABLE,5,FALSE),IFERROR(VLOOKUP(P118&amp;"|"&amp;Q118&amp;"|ALL|"&amp;S118,V8_COHORT_TABLE,5,FALSE),IFERROR(VLOOKUP(P118&amp;"|ALL|ALL|"&amp;S118,V8_COHORT_TABLE,5,FALSE),IFERROR(VLOOKUP(P118&amp;"|ALL|ALL|ALL",V8_COHORT_TABLE,5,FALSE),VLOOKUP("GLOBAL",V8_COHORT_TABLE,5,FALSE)))))</f>
        <v/>
      </c>
      <c r="AA118" s="15">
        <f>W118+X118/(1+EXP(-(V118-Y118)/Z118))</f>
        <v/>
      </c>
      <c r="AB118" s="15">
        <f>IFERROR(VLOOKUP(T118,V8_COHORT_TABLE,6,FALSE),IFERROR(VLOOKUP(P118&amp;"|"&amp;Q118&amp;"|ALL|"&amp;S118,V8_COHORT_TABLE,6,FALSE),IFERROR(VLOOKUP(P118&amp;"|ALL|ALL|"&amp;S118,V8_COHORT_TABLE,6,FALSE),IFERROR(VLOOKUP(P118&amp;"|ALL|ALL|ALL",V8_COHORT_TABLE,6,FALSE),VLOOKUP("GLOBAL",V8_COHORT_TABLE,6,FALSE)))))</f>
        <v/>
      </c>
      <c r="AC118" s="15">
        <f>IFERROR(VLOOKUP(T118,V8_COHORT_TABLE,7,FALSE),IFERROR(VLOOKUP(P118&amp;"|"&amp;Q118&amp;"|ALL|"&amp;S118,V8_COHORT_TABLE,7,FALSE),IFERROR(VLOOKUP(P118&amp;"|ALL|ALL|"&amp;S118,V8_COHORT_TABLE,7,FALSE),IFERROR(VLOOKUP(P118&amp;"|ALL|ALL|ALL",V8_COHORT_TABLE,7,FALSE),VLOOKUP("GLOBAL",V8_COHORT_TABLE,7,FALSE)))))</f>
        <v/>
      </c>
      <c r="AD118" s="15">
        <f>IFERROR(VLOOKUP(T118,V8_COHORT_TABLE,8,FALSE),IFERROR(VLOOKUP(P118&amp;"|"&amp;Q118&amp;"|ALL|"&amp;S118,V8_COHORT_TABLE,8,FALSE),IFERROR(VLOOKUP(P118&amp;"|ALL|ALL|"&amp;S118,V8_COHORT_TABLE,8,FALSE),IFERROR(VLOOKUP(P118&amp;"|ALL|ALL|ALL",V8_COHORT_TABLE,8,FALSE),VLOOKUP("GLOBAL",V8_COHORT_TABLE,8,FALSE)))))</f>
        <v/>
      </c>
      <c r="AE118" s="15">
        <f>IFERROR(VLOOKUP(T118,V8_COHORT_TABLE,9,FALSE),IFERROR(VLOOKUP(P118&amp;"|"&amp;Q118&amp;"|ALL|"&amp;S118,V8_COHORT_TABLE,9,FALSE),IFERROR(VLOOKUP(P118&amp;"|ALL|ALL|"&amp;S118,V8_COHORT_TABLE,9,FALSE),IFERROR(VLOOKUP(P118&amp;"|ALL|ALL|ALL",V8_COHORT_TABLE,9,FALSE),VLOOKUP("GLOBAL",V8_COHORT_TABLE,9,FALSE)))))</f>
        <v/>
      </c>
      <c r="AF118" s="8">
        <f>IF(K118&lt;=0,AB118,IF(K118&gt;=240,AE118,IF(K118&lt;=24,AB118+(K118-0)/24*(AC118-AB118),IF(K118&lt;=96,AC118+(K118-24)/72*(AD118-AC118),AD118+(K118-96)/144*(AE118-AD118)))))</f>
        <v/>
      </c>
      <c r="AG118" s="8">
        <f>IF(IF(OR(L118="",NOT(ISNUMBER(L118))),360,MAX(0,MIN(480,(INT(L118/100)-INT(VALUE(F118)/100))*12+MOD(L118,100)-MOD(VALUE(F118),100))))&gt;0,1+V8_MTY_AMP*MAX(0,(V8_MTY_CUTOFF-(IF(OR(L118="",NOT(ISNUMBER(L118))),360,MAX(0,MIN(480,(INT(L118/100)-INT(VALUE(F118)/100))*12+MOD(L118,100)-MOD(VALUE(F118),100))))))/V8_MTY_CUTOFF),1)</f>
        <v/>
      </c>
      <c r="AH118" s="8">
        <f>IF(AND(IF(OR(M118="",NOT(ISNUMBER(M118))),0,MAX(0,MIN(24,(INT(VALUE(F118)/100)-INT(M118/100))*12+MOD(VALUE(F118),100)-MOD(M118,100))))&gt;0,IF(OR(M118="",NOT(ISNUMBER(M118))),0,MAX(0,MIN(24,(INT(VALUE(F118)/100)-INT(M118/100))*12+MOD(VALUE(F118),100)-MOD(M118,100))))&lt;=12),1+V8_LOCKOUT_AMP*EXP(-(IF(OR(M118="",NOT(ISNUMBER(M118))),0,MAX(0,MIN(24,(INT(VALUE(F118)/100)-INT(M118/100))*12+MOD(VALUE(F118),100)-MOD(M118,100)))))/V8_LOCKOUT_TAU),1)</f>
        <v/>
      </c>
      <c r="AI118" s="8">
        <f>MAX(V8_BURN_FLOOR,1-V8_BURN_SLOPE*MIN(1,MAX(0,O118)))</f>
        <v/>
      </c>
      <c r="AJ118" s="15">
        <f>MIN(AA118*AF118*AG118*AH118*AI118,0.2)</f>
        <v/>
      </c>
      <c r="AK118" s="16">
        <f>1-(1-AJ118)^12</f>
        <v/>
      </c>
    </row>
    <row r="119">
      <c r="A119" s="2" t="inlineStr">
        <is>
          <t>000007522246</t>
        </is>
      </c>
      <c r="B119" t="inlineStr">
        <is>
          <t>232</t>
        </is>
      </c>
      <c r="C119" t="inlineStr">
        <is>
          <t>RP</t>
        </is>
      </c>
      <c r="D119" t="inlineStr">
        <is>
          <t>MERCHANTS CAPITAL CORP.</t>
        </is>
      </c>
      <c r="E119" t="n">
        <v>2022</v>
      </c>
      <c r="F119" t="inlineStr">
        <is>
          <t>202602</t>
        </is>
      </c>
      <c r="G119" s="9" t="n">
        <v>3906768.91</v>
      </c>
      <c r="H119" s="13" t="n">
        <v>4</v>
      </c>
      <c r="I119" s="14" t="n">
        <v>447</v>
      </c>
      <c r="J119" s="14" t="n">
        <v>7</v>
      </c>
      <c r="K119" t="n">
        <v>40</v>
      </c>
      <c r="L119" t="n">
        <v>205711</v>
      </c>
      <c r="M119" t="inlineStr"/>
      <c r="N119" t="n">
        <v>0</v>
      </c>
      <c r="O119" s="8" t="n">
        <v>0</v>
      </c>
      <c r="P119">
        <f>IF(ISNUMBER(SEARCH("232",B119)),"232",IF(ISNUMBER(SEARCH("538",B119)),"538",IF(ISNUMBER(SEARCH("223a7",B119)),"223a7",IF(ISNUMBER(SEARCH("223f",B119)),"223f","OTHER"))))</f>
        <v/>
      </c>
      <c r="Q119">
        <f>IF(UPPER(C119)="NC","NC","RP")</f>
        <v/>
      </c>
      <c r="R119">
        <f>IF(G119&lt;5000000,"small",IF(G119&lt;25000000,"medium","large"))</f>
        <v/>
      </c>
      <c r="S119">
        <f>IF(K119&lt;36,"young",IF(K119&lt;120,"seasoned","aged"))</f>
        <v/>
      </c>
      <c r="T119">
        <f>P119&amp;"|"&amp;Q119&amp;"|"&amp;R119&amp;"|"&amp;S119</f>
        <v/>
      </c>
      <c r="U119" s="14">
        <f>H119*100-I119</f>
        <v/>
      </c>
      <c r="V119" s="14">
        <f>U119-12.5*(J119+1)</f>
        <v/>
      </c>
      <c r="W119" s="15">
        <f>IFERROR(VLOOKUP(T119,V8_COHORT_TABLE,2,FALSE),IFERROR(VLOOKUP(P119&amp;"|"&amp;Q119&amp;"|ALL|"&amp;S119,V8_COHORT_TABLE,2,FALSE),IFERROR(VLOOKUP(P119&amp;"|ALL|ALL|"&amp;S119,V8_COHORT_TABLE,2,FALSE),IFERROR(VLOOKUP(P119&amp;"|ALL|ALL|ALL",V8_COHORT_TABLE,2,FALSE),VLOOKUP("GLOBAL",V8_COHORT_TABLE,2,FALSE)))))</f>
        <v/>
      </c>
      <c r="X119" s="15">
        <f>IFERROR(VLOOKUP(T119,V8_COHORT_TABLE,3,FALSE),IFERROR(VLOOKUP(P119&amp;"|"&amp;Q119&amp;"|ALL|"&amp;S119,V8_COHORT_TABLE,3,FALSE),IFERROR(VLOOKUP(P119&amp;"|ALL|ALL|"&amp;S119,V8_COHORT_TABLE,3,FALSE),IFERROR(VLOOKUP(P119&amp;"|ALL|ALL|ALL",V8_COHORT_TABLE,3,FALSE),VLOOKUP("GLOBAL",V8_COHORT_TABLE,3,FALSE)))))</f>
        <v/>
      </c>
      <c r="Y119" s="15">
        <f>IFERROR(VLOOKUP(T119,V8_COHORT_TABLE,4,FALSE),IFERROR(VLOOKUP(P119&amp;"|"&amp;Q119&amp;"|ALL|"&amp;S119,V8_COHORT_TABLE,4,FALSE),IFERROR(VLOOKUP(P119&amp;"|ALL|ALL|"&amp;S119,V8_COHORT_TABLE,4,FALSE),IFERROR(VLOOKUP(P119&amp;"|ALL|ALL|ALL",V8_COHORT_TABLE,4,FALSE),VLOOKUP("GLOBAL",V8_COHORT_TABLE,4,FALSE)))))</f>
        <v/>
      </c>
      <c r="Z119" s="15">
        <f>IFERROR(VLOOKUP(T119,V8_COHORT_TABLE,5,FALSE),IFERROR(VLOOKUP(P119&amp;"|"&amp;Q119&amp;"|ALL|"&amp;S119,V8_COHORT_TABLE,5,FALSE),IFERROR(VLOOKUP(P119&amp;"|ALL|ALL|"&amp;S119,V8_COHORT_TABLE,5,FALSE),IFERROR(VLOOKUP(P119&amp;"|ALL|ALL|ALL",V8_COHORT_TABLE,5,FALSE),VLOOKUP("GLOBAL",V8_COHORT_TABLE,5,FALSE)))))</f>
        <v/>
      </c>
      <c r="AA119" s="15">
        <f>W119+X119/(1+EXP(-(V119-Y119)/Z119))</f>
        <v/>
      </c>
      <c r="AB119" s="15">
        <f>IFERROR(VLOOKUP(T119,V8_COHORT_TABLE,6,FALSE),IFERROR(VLOOKUP(P119&amp;"|"&amp;Q119&amp;"|ALL|"&amp;S119,V8_COHORT_TABLE,6,FALSE),IFERROR(VLOOKUP(P119&amp;"|ALL|ALL|"&amp;S119,V8_COHORT_TABLE,6,FALSE),IFERROR(VLOOKUP(P119&amp;"|ALL|ALL|ALL",V8_COHORT_TABLE,6,FALSE),VLOOKUP("GLOBAL",V8_COHORT_TABLE,6,FALSE)))))</f>
        <v/>
      </c>
      <c r="AC119" s="15">
        <f>IFERROR(VLOOKUP(T119,V8_COHORT_TABLE,7,FALSE),IFERROR(VLOOKUP(P119&amp;"|"&amp;Q119&amp;"|ALL|"&amp;S119,V8_COHORT_TABLE,7,FALSE),IFERROR(VLOOKUP(P119&amp;"|ALL|ALL|"&amp;S119,V8_COHORT_TABLE,7,FALSE),IFERROR(VLOOKUP(P119&amp;"|ALL|ALL|ALL",V8_COHORT_TABLE,7,FALSE),VLOOKUP("GLOBAL",V8_COHORT_TABLE,7,FALSE)))))</f>
        <v/>
      </c>
      <c r="AD119" s="15">
        <f>IFERROR(VLOOKUP(T119,V8_COHORT_TABLE,8,FALSE),IFERROR(VLOOKUP(P119&amp;"|"&amp;Q119&amp;"|ALL|"&amp;S119,V8_COHORT_TABLE,8,FALSE),IFERROR(VLOOKUP(P119&amp;"|ALL|ALL|"&amp;S119,V8_COHORT_TABLE,8,FALSE),IFERROR(VLOOKUP(P119&amp;"|ALL|ALL|ALL",V8_COHORT_TABLE,8,FALSE),VLOOKUP("GLOBAL",V8_COHORT_TABLE,8,FALSE)))))</f>
        <v/>
      </c>
      <c r="AE119" s="15">
        <f>IFERROR(VLOOKUP(T119,V8_COHORT_TABLE,9,FALSE),IFERROR(VLOOKUP(P119&amp;"|"&amp;Q119&amp;"|ALL|"&amp;S119,V8_COHORT_TABLE,9,FALSE),IFERROR(VLOOKUP(P119&amp;"|ALL|ALL|"&amp;S119,V8_COHORT_TABLE,9,FALSE),IFERROR(VLOOKUP(P119&amp;"|ALL|ALL|ALL",V8_COHORT_TABLE,9,FALSE),VLOOKUP("GLOBAL",V8_COHORT_TABLE,9,FALSE)))))</f>
        <v/>
      </c>
      <c r="AF119" s="8">
        <f>IF(K119&lt;=0,AB119,IF(K119&gt;=240,AE119,IF(K119&lt;=24,AB119+(K119-0)/24*(AC119-AB119),IF(K119&lt;=96,AC119+(K119-24)/72*(AD119-AC119),AD119+(K119-96)/144*(AE119-AD119)))))</f>
        <v/>
      </c>
      <c r="AG119" s="8">
        <f>IF(IF(OR(L119="",NOT(ISNUMBER(L119))),360,MAX(0,MIN(480,(INT(L119/100)-INT(VALUE(F119)/100))*12+MOD(L119,100)-MOD(VALUE(F119),100))))&gt;0,1+V8_MTY_AMP*MAX(0,(V8_MTY_CUTOFF-(IF(OR(L119="",NOT(ISNUMBER(L119))),360,MAX(0,MIN(480,(INT(L119/100)-INT(VALUE(F119)/100))*12+MOD(L119,100)-MOD(VALUE(F119),100))))))/V8_MTY_CUTOFF),1)</f>
        <v/>
      </c>
      <c r="AH119" s="8">
        <f>IF(AND(IF(OR(M119="",NOT(ISNUMBER(M119))),0,MAX(0,MIN(24,(INT(VALUE(F119)/100)-INT(M119/100))*12+MOD(VALUE(F119),100)-MOD(M119,100))))&gt;0,IF(OR(M119="",NOT(ISNUMBER(M119))),0,MAX(0,MIN(24,(INT(VALUE(F119)/100)-INT(M119/100))*12+MOD(VALUE(F119),100)-MOD(M119,100))))&lt;=12),1+V8_LOCKOUT_AMP*EXP(-(IF(OR(M119="",NOT(ISNUMBER(M119))),0,MAX(0,MIN(24,(INT(VALUE(F119)/100)-INT(M119/100))*12+MOD(VALUE(F119),100)-MOD(M119,100)))))/V8_LOCKOUT_TAU),1)</f>
        <v/>
      </c>
      <c r="AI119" s="8">
        <f>MAX(V8_BURN_FLOOR,1-V8_BURN_SLOPE*MIN(1,MAX(0,O119)))</f>
        <v/>
      </c>
      <c r="AJ119" s="15">
        <f>MIN(AA119*AF119*AG119*AH119*AI119,0.2)</f>
        <v/>
      </c>
      <c r="AK119" s="16">
        <f>1-(1-AJ119)^12</f>
        <v/>
      </c>
    </row>
    <row r="120">
      <c r="A120" s="2" t="inlineStr">
        <is>
          <t>000007311284</t>
        </is>
      </c>
      <c r="B120" t="inlineStr">
        <is>
          <t>223f</t>
        </is>
      </c>
      <c r="C120" t="inlineStr">
        <is>
          <t>RP</t>
        </is>
      </c>
      <c r="D120" t="inlineStr">
        <is>
          <t>MERCHANTS CAPITAL CORP.</t>
        </is>
      </c>
      <c r="E120" t="n">
        <v>2004</v>
      </c>
      <c r="F120" t="inlineStr">
        <is>
          <t>202602</t>
        </is>
      </c>
      <c r="G120" s="9" t="n">
        <v>25063.28</v>
      </c>
      <c r="H120" s="13" t="n">
        <v>3.45</v>
      </c>
      <c r="I120" s="14" t="n">
        <v>447</v>
      </c>
      <c r="J120" s="14" t="n">
        <v>0</v>
      </c>
      <c r="K120" t="n">
        <v>258</v>
      </c>
      <c r="L120" t="n">
        <v>202609</v>
      </c>
      <c r="M120" t="inlineStr"/>
      <c r="N120" t="n">
        <v>30</v>
      </c>
      <c r="O120" s="8" t="n">
        <v>0.1162790697674419</v>
      </c>
      <c r="P120">
        <f>IF(ISNUMBER(SEARCH("232",B120)),"232",IF(ISNUMBER(SEARCH("538",B120)),"538",IF(ISNUMBER(SEARCH("223a7",B120)),"223a7",IF(ISNUMBER(SEARCH("223f",B120)),"223f","OTHER"))))</f>
        <v/>
      </c>
      <c r="Q120">
        <f>IF(UPPER(C120)="NC","NC","RP")</f>
        <v/>
      </c>
      <c r="R120">
        <f>IF(G120&lt;5000000,"small",IF(G120&lt;25000000,"medium","large"))</f>
        <v/>
      </c>
      <c r="S120">
        <f>IF(K120&lt;36,"young",IF(K120&lt;120,"seasoned","aged"))</f>
        <v/>
      </c>
      <c r="T120">
        <f>P120&amp;"|"&amp;Q120&amp;"|"&amp;R120&amp;"|"&amp;S120</f>
        <v/>
      </c>
      <c r="U120" s="14">
        <f>H120*100-I120</f>
        <v/>
      </c>
      <c r="V120" s="14">
        <f>U120-12.5*(J120+1)</f>
        <v/>
      </c>
      <c r="W120" s="15">
        <f>IFERROR(VLOOKUP(T120,V8_COHORT_TABLE,2,FALSE),IFERROR(VLOOKUP(P120&amp;"|"&amp;Q120&amp;"|ALL|"&amp;S120,V8_COHORT_TABLE,2,FALSE),IFERROR(VLOOKUP(P120&amp;"|ALL|ALL|"&amp;S120,V8_COHORT_TABLE,2,FALSE),IFERROR(VLOOKUP(P120&amp;"|ALL|ALL|ALL",V8_COHORT_TABLE,2,FALSE),VLOOKUP("GLOBAL",V8_COHORT_TABLE,2,FALSE)))))</f>
        <v/>
      </c>
      <c r="X120" s="15">
        <f>IFERROR(VLOOKUP(T120,V8_COHORT_TABLE,3,FALSE),IFERROR(VLOOKUP(P120&amp;"|"&amp;Q120&amp;"|ALL|"&amp;S120,V8_COHORT_TABLE,3,FALSE),IFERROR(VLOOKUP(P120&amp;"|ALL|ALL|"&amp;S120,V8_COHORT_TABLE,3,FALSE),IFERROR(VLOOKUP(P120&amp;"|ALL|ALL|ALL",V8_COHORT_TABLE,3,FALSE),VLOOKUP("GLOBAL",V8_COHORT_TABLE,3,FALSE)))))</f>
        <v/>
      </c>
      <c r="Y120" s="15">
        <f>IFERROR(VLOOKUP(T120,V8_COHORT_TABLE,4,FALSE),IFERROR(VLOOKUP(P120&amp;"|"&amp;Q120&amp;"|ALL|"&amp;S120,V8_COHORT_TABLE,4,FALSE),IFERROR(VLOOKUP(P120&amp;"|ALL|ALL|"&amp;S120,V8_COHORT_TABLE,4,FALSE),IFERROR(VLOOKUP(P120&amp;"|ALL|ALL|ALL",V8_COHORT_TABLE,4,FALSE),VLOOKUP("GLOBAL",V8_COHORT_TABLE,4,FALSE)))))</f>
        <v/>
      </c>
      <c r="Z120" s="15">
        <f>IFERROR(VLOOKUP(T120,V8_COHORT_TABLE,5,FALSE),IFERROR(VLOOKUP(P120&amp;"|"&amp;Q120&amp;"|ALL|"&amp;S120,V8_COHORT_TABLE,5,FALSE),IFERROR(VLOOKUP(P120&amp;"|ALL|ALL|"&amp;S120,V8_COHORT_TABLE,5,FALSE),IFERROR(VLOOKUP(P120&amp;"|ALL|ALL|ALL",V8_COHORT_TABLE,5,FALSE),VLOOKUP("GLOBAL",V8_COHORT_TABLE,5,FALSE)))))</f>
        <v/>
      </c>
      <c r="AA120" s="15">
        <f>W120+X120/(1+EXP(-(V120-Y120)/Z120))</f>
        <v/>
      </c>
      <c r="AB120" s="15">
        <f>IFERROR(VLOOKUP(T120,V8_COHORT_TABLE,6,FALSE),IFERROR(VLOOKUP(P120&amp;"|"&amp;Q120&amp;"|ALL|"&amp;S120,V8_COHORT_TABLE,6,FALSE),IFERROR(VLOOKUP(P120&amp;"|ALL|ALL|"&amp;S120,V8_COHORT_TABLE,6,FALSE),IFERROR(VLOOKUP(P120&amp;"|ALL|ALL|ALL",V8_COHORT_TABLE,6,FALSE),VLOOKUP("GLOBAL",V8_COHORT_TABLE,6,FALSE)))))</f>
        <v/>
      </c>
      <c r="AC120" s="15">
        <f>IFERROR(VLOOKUP(T120,V8_COHORT_TABLE,7,FALSE),IFERROR(VLOOKUP(P120&amp;"|"&amp;Q120&amp;"|ALL|"&amp;S120,V8_COHORT_TABLE,7,FALSE),IFERROR(VLOOKUP(P120&amp;"|ALL|ALL|"&amp;S120,V8_COHORT_TABLE,7,FALSE),IFERROR(VLOOKUP(P120&amp;"|ALL|ALL|ALL",V8_COHORT_TABLE,7,FALSE),VLOOKUP("GLOBAL",V8_COHORT_TABLE,7,FALSE)))))</f>
        <v/>
      </c>
      <c r="AD120" s="15">
        <f>IFERROR(VLOOKUP(T120,V8_COHORT_TABLE,8,FALSE),IFERROR(VLOOKUP(P120&amp;"|"&amp;Q120&amp;"|ALL|"&amp;S120,V8_COHORT_TABLE,8,FALSE),IFERROR(VLOOKUP(P120&amp;"|ALL|ALL|"&amp;S120,V8_COHORT_TABLE,8,FALSE),IFERROR(VLOOKUP(P120&amp;"|ALL|ALL|ALL",V8_COHORT_TABLE,8,FALSE),VLOOKUP("GLOBAL",V8_COHORT_TABLE,8,FALSE)))))</f>
        <v/>
      </c>
      <c r="AE120" s="15">
        <f>IFERROR(VLOOKUP(T120,V8_COHORT_TABLE,9,FALSE),IFERROR(VLOOKUP(P120&amp;"|"&amp;Q120&amp;"|ALL|"&amp;S120,V8_COHORT_TABLE,9,FALSE),IFERROR(VLOOKUP(P120&amp;"|ALL|ALL|"&amp;S120,V8_COHORT_TABLE,9,FALSE),IFERROR(VLOOKUP(P120&amp;"|ALL|ALL|ALL",V8_COHORT_TABLE,9,FALSE),VLOOKUP("GLOBAL",V8_COHORT_TABLE,9,FALSE)))))</f>
        <v/>
      </c>
      <c r="AF120" s="8">
        <f>IF(K120&lt;=0,AB120,IF(K120&gt;=240,AE120,IF(K120&lt;=24,AB120+(K120-0)/24*(AC120-AB120),IF(K120&lt;=96,AC120+(K120-24)/72*(AD120-AC120),AD120+(K120-96)/144*(AE120-AD120)))))</f>
        <v/>
      </c>
      <c r="AG120" s="8">
        <f>IF(IF(OR(L120="",NOT(ISNUMBER(L120))),360,MAX(0,MIN(480,(INT(L120/100)-INT(VALUE(F120)/100))*12+MOD(L120,100)-MOD(VALUE(F120),100))))&gt;0,1+V8_MTY_AMP*MAX(0,(V8_MTY_CUTOFF-(IF(OR(L120="",NOT(ISNUMBER(L120))),360,MAX(0,MIN(480,(INT(L120/100)-INT(VALUE(F120)/100))*12+MOD(L120,100)-MOD(VALUE(F120),100))))))/V8_MTY_CUTOFF),1)</f>
        <v/>
      </c>
      <c r="AH120" s="8">
        <f>IF(AND(IF(OR(M120="",NOT(ISNUMBER(M120))),0,MAX(0,MIN(24,(INT(VALUE(F120)/100)-INT(M120/100))*12+MOD(VALUE(F120),100)-MOD(M120,100))))&gt;0,IF(OR(M120="",NOT(ISNUMBER(M120))),0,MAX(0,MIN(24,(INT(VALUE(F120)/100)-INT(M120/100))*12+MOD(VALUE(F120),100)-MOD(M120,100))))&lt;=12),1+V8_LOCKOUT_AMP*EXP(-(IF(OR(M120="",NOT(ISNUMBER(M120))),0,MAX(0,MIN(24,(INT(VALUE(F120)/100)-INT(M120/100))*12+MOD(VALUE(F120),100)-MOD(M120,100)))))/V8_LOCKOUT_TAU),1)</f>
        <v/>
      </c>
      <c r="AI120" s="8">
        <f>MAX(V8_BURN_FLOOR,1-V8_BURN_SLOPE*MIN(1,MAX(0,O120)))</f>
        <v/>
      </c>
      <c r="AJ120" s="15">
        <f>MIN(AA120*AF120*AG120*AH120*AI120,0.2)</f>
        <v/>
      </c>
      <c r="AK120" s="16">
        <f>1-(1-AJ120)^12</f>
        <v/>
      </c>
    </row>
    <row r="121">
      <c r="A121" s="2" t="inlineStr">
        <is>
          <t>015247586480</t>
        </is>
      </c>
      <c r="B121" t="inlineStr">
        <is>
          <t>538</t>
        </is>
      </c>
      <c r="C121" t="inlineStr">
        <is>
          <t>538</t>
        </is>
      </c>
      <c r="D121" t="inlineStr">
        <is>
          <t>MERCHANTS CAPITAL CORP.</t>
        </is>
      </c>
      <c r="E121" t="n">
        <v>2023</v>
      </c>
      <c r="F121" t="inlineStr">
        <is>
          <t>202602</t>
        </is>
      </c>
      <c r="G121" s="9" t="n">
        <v>3935901.15</v>
      </c>
      <c r="H121" s="13" t="n">
        <v>5.45</v>
      </c>
      <c r="I121" s="14" t="n">
        <v>447</v>
      </c>
      <c r="J121" s="14" t="n">
        <v>10</v>
      </c>
      <c r="K121" t="n">
        <v>27</v>
      </c>
      <c r="L121" t="n">
        <v>206312</v>
      </c>
      <c r="M121" t="inlineStr"/>
      <c r="N121" t="n">
        <v>0</v>
      </c>
      <c r="O121" s="8" t="n">
        <v>0</v>
      </c>
      <c r="P121">
        <f>IF(ISNUMBER(SEARCH("232",B121)),"232",IF(ISNUMBER(SEARCH("538",B121)),"538",IF(ISNUMBER(SEARCH("223a7",B121)),"223a7",IF(ISNUMBER(SEARCH("223f",B121)),"223f","OTHER"))))</f>
        <v/>
      </c>
      <c r="Q121">
        <f>IF(UPPER(C121)="NC","NC","RP")</f>
        <v/>
      </c>
      <c r="R121">
        <f>IF(G121&lt;5000000,"small",IF(G121&lt;25000000,"medium","large"))</f>
        <v/>
      </c>
      <c r="S121">
        <f>IF(K121&lt;36,"young",IF(K121&lt;120,"seasoned","aged"))</f>
        <v/>
      </c>
      <c r="T121">
        <f>P121&amp;"|"&amp;Q121&amp;"|"&amp;R121&amp;"|"&amp;S121</f>
        <v/>
      </c>
      <c r="U121" s="14">
        <f>H121*100-I121</f>
        <v/>
      </c>
      <c r="V121" s="14">
        <f>U121-12.5*(J121+1)</f>
        <v/>
      </c>
      <c r="W121" s="15">
        <f>IFERROR(VLOOKUP(T121,V8_COHORT_TABLE,2,FALSE),IFERROR(VLOOKUP(P121&amp;"|"&amp;Q121&amp;"|ALL|"&amp;S121,V8_COHORT_TABLE,2,FALSE),IFERROR(VLOOKUP(P121&amp;"|ALL|ALL|"&amp;S121,V8_COHORT_TABLE,2,FALSE),IFERROR(VLOOKUP(P121&amp;"|ALL|ALL|ALL",V8_COHORT_TABLE,2,FALSE),VLOOKUP("GLOBAL",V8_COHORT_TABLE,2,FALSE)))))</f>
        <v/>
      </c>
      <c r="X121" s="15">
        <f>IFERROR(VLOOKUP(T121,V8_COHORT_TABLE,3,FALSE),IFERROR(VLOOKUP(P121&amp;"|"&amp;Q121&amp;"|ALL|"&amp;S121,V8_COHORT_TABLE,3,FALSE),IFERROR(VLOOKUP(P121&amp;"|ALL|ALL|"&amp;S121,V8_COHORT_TABLE,3,FALSE),IFERROR(VLOOKUP(P121&amp;"|ALL|ALL|ALL",V8_COHORT_TABLE,3,FALSE),VLOOKUP("GLOBAL",V8_COHORT_TABLE,3,FALSE)))))</f>
        <v/>
      </c>
      <c r="Y121" s="15">
        <f>IFERROR(VLOOKUP(T121,V8_COHORT_TABLE,4,FALSE),IFERROR(VLOOKUP(P121&amp;"|"&amp;Q121&amp;"|ALL|"&amp;S121,V8_COHORT_TABLE,4,FALSE),IFERROR(VLOOKUP(P121&amp;"|ALL|ALL|"&amp;S121,V8_COHORT_TABLE,4,FALSE),IFERROR(VLOOKUP(P121&amp;"|ALL|ALL|ALL",V8_COHORT_TABLE,4,FALSE),VLOOKUP("GLOBAL",V8_COHORT_TABLE,4,FALSE)))))</f>
        <v/>
      </c>
      <c r="Z121" s="15">
        <f>IFERROR(VLOOKUP(T121,V8_COHORT_TABLE,5,FALSE),IFERROR(VLOOKUP(P121&amp;"|"&amp;Q121&amp;"|ALL|"&amp;S121,V8_COHORT_TABLE,5,FALSE),IFERROR(VLOOKUP(P121&amp;"|ALL|ALL|"&amp;S121,V8_COHORT_TABLE,5,FALSE),IFERROR(VLOOKUP(P121&amp;"|ALL|ALL|ALL",V8_COHORT_TABLE,5,FALSE),VLOOKUP("GLOBAL",V8_COHORT_TABLE,5,FALSE)))))</f>
        <v/>
      </c>
      <c r="AA121" s="15">
        <f>W121+X121/(1+EXP(-(V121-Y121)/Z121))</f>
        <v/>
      </c>
      <c r="AB121" s="15">
        <f>IFERROR(VLOOKUP(T121,V8_COHORT_TABLE,6,FALSE),IFERROR(VLOOKUP(P121&amp;"|"&amp;Q121&amp;"|ALL|"&amp;S121,V8_COHORT_TABLE,6,FALSE),IFERROR(VLOOKUP(P121&amp;"|ALL|ALL|"&amp;S121,V8_COHORT_TABLE,6,FALSE),IFERROR(VLOOKUP(P121&amp;"|ALL|ALL|ALL",V8_COHORT_TABLE,6,FALSE),VLOOKUP("GLOBAL",V8_COHORT_TABLE,6,FALSE)))))</f>
        <v/>
      </c>
      <c r="AC121" s="15">
        <f>IFERROR(VLOOKUP(T121,V8_COHORT_TABLE,7,FALSE),IFERROR(VLOOKUP(P121&amp;"|"&amp;Q121&amp;"|ALL|"&amp;S121,V8_COHORT_TABLE,7,FALSE),IFERROR(VLOOKUP(P121&amp;"|ALL|ALL|"&amp;S121,V8_COHORT_TABLE,7,FALSE),IFERROR(VLOOKUP(P121&amp;"|ALL|ALL|ALL",V8_COHORT_TABLE,7,FALSE),VLOOKUP("GLOBAL",V8_COHORT_TABLE,7,FALSE)))))</f>
        <v/>
      </c>
      <c r="AD121" s="15">
        <f>IFERROR(VLOOKUP(T121,V8_COHORT_TABLE,8,FALSE),IFERROR(VLOOKUP(P121&amp;"|"&amp;Q121&amp;"|ALL|"&amp;S121,V8_COHORT_TABLE,8,FALSE),IFERROR(VLOOKUP(P121&amp;"|ALL|ALL|"&amp;S121,V8_COHORT_TABLE,8,FALSE),IFERROR(VLOOKUP(P121&amp;"|ALL|ALL|ALL",V8_COHORT_TABLE,8,FALSE),VLOOKUP("GLOBAL",V8_COHORT_TABLE,8,FALSE)))))</f>
        <v/>
      </c>
      <c r="AE121" s="15">
        <f>IFERROR(VLOOKUP(T121,V8_COHORT_TABLE,9,FALSE),IFERROR(VLOOKUP(P121&amp;"|"&amp;Q121&amp;"|ALL|"&amp;S121,V8_COHORT_TABLE,9,FALSE),IFERROR(VLOOKUP(P121&amp;"|ALL|ALL|"&amp;S121,V8_COHORT_TABLE,9,FALSE),IFERROR(VLOOKUP(P121&amp;"|ALL|ALL|ALL",V8_COHORT_TABLE,9,FALSE),VLOOKUP("GLOBAL",V8_COHORT_TABLE,9,FALSE)))))</f>
        <v/>
      </c>
      <c r="AF121" s="8">
        <f>IF(K121&lt;=0,AB121,IF(K121&gt;=240,AE121,IF(K121&lt;=24,AB121+(K121-0)/24*(AC121-AB121),IF(K121&lt;=96,AC121+(K121-24)/72*(AD121-AC121),AD121+(K121-96)/144*(AE121-AD121)))))</f>
        <v/>
      </c>
      <c r="AG121" s="8">
        <f>IF(IF(OR(L121="",NOT(ISNUMBER(L121))),360,MAX(0,MIN(480,(INT(L121/100)-INT(VALUE(F121)/100))*12+MOD(L121,100)-MOD(VALUE(F121),100))))&gt;0,1+V8_MTY_AMP*MAX(0,(V8_MTY_CUTOFF-(IF(OR(L121="",NOT(ISNUMBER(L121))),360,MAX(0,MIN(480,(INT(L121/100)-INT(VALUE(F121)/100))*12+MOD(L121,100)-MOD(VALUE(F121),100))))))/V8_MTY_CUTOFF),1)</f>
        <v/>
      </c>
      <c r="AH121" s="8">
        <f>IF(AND(IF(OR(M121="",NOT(ISNUMBER(M121))),0,MAX(0,MIN(24,(INT(VALUE(F121)/100)-INT(M121/100))*12+MOD(VALUE(F121),100)-MOD(M121,100))))&gt;0,IF(OR(M121="",NOT(ISNUMBER(M121))),0,MAX(0,MIN(24,(INT(VALUE(F121)/100)-INT(M121/100))*12+MOD(VALUE(F121),100)-MOD(M121,100))))&lt;=12),1+V8_LOCKOUT_AMP*EXP(-(IF(OR(M121="",NOT(ISNUMBER(M121))),0,MAX(0,MIN(24,(INT(VALUE(F121)/100)-INT(M121/100))*12+MOD(VALUE(F121),100)-MOD(M121,100)))))/V8_LOCKOUT_TAU),1)</f>
        <v/>
      </c>
      <c r="AI121" s="8">
        <f>MAX(V8_BURN_FLOOR,1-V8_BURN_SLOPE*MIN(1,MAX(0,O121)))</f>
        <v/>
      </c>
      <c r="AJ121" s="15">
        <f>MIN(AA121*AF121*AG121*AH121*AI121,0.2)</f>
        <v/>
      </c>
      <c r="AK121" s="16">
        <f>1-(1-AJ121)^12</f>
        <v/>
      </c>
    </row>
    <row r="122">
      <c r="A122" s="2" t="inlineStr">
        <is>
          <t>000007135941</t>
        </is>
      </c>
      <c r="B122" t="inlineStr">
        <is>
          <t>221d4</t>
        </is>
      </c>
      <c r="C122" t="inlineStr">
        <is>
          <t>NC</t>
        </is>
      </c>
      <c r="D122" t="inlineStr">
        <is>
          <t>MERCHANTS CAPITAL CORP.</t>
        </is>
      </c>
      <c r="E122" t="n">
        <v>2022</v>
      </c>
      <c r="F122" t="inlineStr">
        <is>
          <t>202602</t>
        </is>
      </c>
      <c r="G122" s="9" t="n">
        <v>5535314.39</v>
      </c>
      <c r="H122" s="13" t="n">
        <v>4</v>
      </c>
      <c r="I122" s="14" t="n">
        <v>447</v>
      </c>
      <c r="J122" s="14" t="n">
        <v>8</v>
      </c>
      <c r="K122" t="n">
        <v>41</v>
      </c>
      <c r="L122" t="n">
        <v>206401</v>
      </c>
      <c r="M122" t="n">
        <v>202402</v>
      </c>
      <c r="N122" t="n">
        <v>0</v>
      </c>
      <c r="O122" s="8" t="n">
        <v>0</v>
      </c>
      <c r="P122">
        <f>IF(ISNUMBER(SEARCH("232",B122)),"232",IF(ISNUMBER(SEARCH("538",B122)),"538",IF(ISNUMBER(SEARCH("223a7",B122)),"223a7",IF(ISNUMBER(SEARCH("223f",B122)),"223f","OTHER"))))</f>
        <v/>
      </c>
      <c r="Q122">
        <f>IF(UPPER(C122)="NC","NC","RP")</f>
        <v/>
      </c>
      <c r="R122">
        <f>IF(G122&lt;5000000,"small",IF(G122&lt;25000000,"medium","large"))</f>
        <v/>
      </c>
      <c r="S122">
        <f>IF(K122&lt;36,"young",IF(K122&lt;120,"seasoned","aged"))</f>
        <v/>
      </c>
      <c r="T122">
        <f>P122&amp;"|"&amp;Q122&amp;"|"&amp;R122&amp;"|"&amp;S122</f>
        <v/>
      </c>
      <c r="U122" s="14">
        <f>H122*100-I122</f>
        <v/>
      </c>
      <c r="V122" s="14">
        <f>U122-12.5*(J122+1)</f>
        <v/>
      </c>
      <c r="W122" s="15">
        <f>IFERROR(VLOOKUP(T122,V8_COHORT_TABLE,2,FALSE),IFERROR(VLOOKUP(P122&amp;"|"&amp;Q122&amp;"|ALL|"&amp;S122,V8_COHORT_TABLE,2,FALSE),IFERROR(VLOOKUP(P122&amp;"|ALL|ALL|"&amp;S122,V8_COHORT_TABLE,2,FALSE),IFERROR(VLOOKUP(P122&amp;"|ALL|ALL|ALL",V8_COHORT_TABLE,2,FALSE),VLOOKUP("GLOBAL",V8_COHORT_TABLE,2,FALSE)))))</f>
        <v/>
      </c>
      <c r="X122" s="15">
        <f>IFERROR(VLOOKUP(T122,V8_COHORT_TABLE,3,FALSE),IFERROR(VLOOKUP(P122&amp;"|"&amp;Q122&amp;"|ALL|"&amp;S122,V8_COHORT_TABLE,3,FALSE),IFERROR(VLOOKUP(P122&amp;"|ALL|ALL|"&amp;S122,V8_COHORT_TABLE,3,FALSE),IFERROR(VLOOKUP(P122&amp;"|ALL|ALL|ALL",V8_COHORT_TABLE,3,FALSE),VLOOKUP("GLOBAL",V8_COHORT_TABLE,3,FALSE)))))</f>
        <v/>
      </c>
      <c r="Y122" s="15">
        <f>IFERROR(VLOOKUP(T122,V8_COHORT_TABLE,4,FALSE),IFERROR(VLOOKUP(P122&amp;"|"&amp;Q122&amp;"|ALL|"&amp;S122,V8_COHORT_TABLE,4,FALSE),IFERROR(VLOOKUP(P122&amp;"|ALL|ALL|"&amp;S122,V8_COHORT_TABLE,4,FALSE),IFERROR(VLOOKUP(P122&amp;"|ALL|ALL|ALL",V8_COHORT_TABLE,4,FALSE),VLOOKUP("GLOBAL",V8_COHORT_TABLE,4,FALSE)))))</f>
        <v/>
      </c>
      <c r="Z122" s="15">
        <f>IFERROR(VLOOKUP(T122,V8_COHORT_TABLE,5,FALSE),IFERROR(VLOOKUP(P122&amp;"|"&amp;Q122&amp;"|ALL|"&amp;S122,V8_COHORT_TABLE,5,FALSE),IFERROR(VLOOKUP(P122&amp;"|ALL|ALL|"&amp;S122,V8_COHORT_TABLE,5,FALSE),IFERROR(VLOOKUP(P122&amp;"|ALL|ALL|ALL",V8_COHORT_TABLE,5,FALSE),VLOOKUP("GLOBAL",V8_COHORT_TABLE,5,FALSE)))))</f>
        <v/>
      </c>
      <c r="AA122" s="15">
        <f>W122+X122/(1+EXP(-(V122-Y122)/Z122))</f>
        <v/>
      </c>
      <c r="AB122" s="15">
        <f>IFERROR(VLOOKUP(T122,V8_COHORT_TABLE,6,FALSE),IFERROR(VLOOKUP(P122&amp;"|"&amp;Q122&amp;"|ALL|"&amp;S122,V8_COHORT_TABLE,6,FALSE),IFERROR(VLOOKUP(P122&amp;"|ALL|ALL|"&amp;S122,V8_COHORT_TABLE,6,FALSE),IFERROR(VLOOKUP(P122&amp;"|ALL|ALL|ALL",V8_COHORT_TABLE,6,FALSE),VLOOKUP("GLOBAL",V8_COHORT_TABLE,6,FALSE)))))</f>
        <v/>
      </c>
      <c r="AC122" s="15">
        <f>IFERROR(VLOOKUP(T122,V8_COHORT_TABLE,7,FALSE),IFERROR(VLOOKUP(P122&amp;"|"&amp;Q122&amp;"|ALL|"&amp;S122,V8_COHORT_TABLE,7,FALSE),IFERROR(VLOOKUP(P122&amp;"|ALL|ALL|"&amp;S122,V8_COHORT_TABLE,7,FALSE),IFERROR(VLOOKUP(P122&amp;"|ALL|ALL|ALL",V8_COHORT_TABLE,7,FALSE),VLOOKUP("GLOBAL",V8_COHORT_TABLE,7,FALSE)))))</f>
        <v/>
      </c>
      <c r="AD122" s="15">
        <f>IFERROR(VLOOKUP(T122,V8_COHORT_TABLE,8,FALSE),IFERROR(VLOOKUP(P122&amp;"|"&amp;Q122&amp;"|ALL|"&amp;S122,V8_COHORT_TABLE,8,FALSE),IFERROR(VLOOKUP(P122&amp;"|ALL|ALL|"&amp;S122,V8_COHORT_TABLE,8,FALSE),IFERROR(VLOOKUP(P122&amp;"|ALL|ALL|ALL",V8_COHORT_TABLE,8,FALSE),VLOOKUP("GLOBAL",V8_COHORT_TABLE,8,FALSE)))))</f>
        <v/>
      </c>
      <c r="AE122" s="15">
        <f>IFERROR(VLOOKUP(T122,V8_COHORT_TABLE,9,FALSE),IFERROR(VLOOKUP(P122&amp;"|"&amp;Q122&amp;"|ALL|"&amp;S122,V8_COHORT_TABLE,9,FALSE),IFERROR(VLOOKUP(P122&amp;"|ALL|ALL|"&amp;S122,V8_COHORT_TABLE,9,FALSE),IFERROR(VLOOKUP(P122&amp;"|ALL|ALL|ALL",V8_COHORT_TABLE,9,FALSE),VLOOKUP("GLOBAL",V8_COHORT_TABLE,9,FALSE)))))</f>
        <v/>
      </c>
      <c r="AF122" s="8">
        <f>IF(K122&lt;=0,AB122,IF(K122&gt;=240,AE122,IF(K122&lt;=24,AB122+(K122-0)/24*(AC122-AB122),IF(K122&lt;=96,AC122+(K122-24)/72*(AD122-AC122),AD122+(K122-96)/144*(AE122-AD122)))))</f>
        <v/>
      </c>
      <c r="AG122" s="8">
        <f>IF(IF(OR(L122="",NOT(ISNUMBER(L122))),360,MAX(0,MIN(480,(INT(L122/100)-INT(VALUE(F122)/100))*12+MOD(L122,100)-MOD(VALUE(F122),100))))&gt;0,1+V8_MTY_AMP*MAX(0,(V8_MTY_CUTOFF-(IF(OR(L122="",NOT(ISNUMBER(L122))),360,MAX(0,MIN(480,(INT(L122/100)-INT(VALUE(F122)/100))*12+MOD(L122,100)-MOD(VALUE(F122),100))))))/V8_MTY_CUTOFF),1)</f>
        <v/>
      </c>
      <c r="AH122" s="8">
        <f>IF(AND(IF(OR(M122="",NOT(ISNUMBER(M122))),0,MAX(0,MIN(24,(INT(VALUE(F122)/100)-INT(M122/100))*12+MOD(VALUE(F122),100)-MOD(M122,100))))&gt;0,IF(OR(M122="",NOT(ISNUMBER(M122))),0,MAX(0,MIN(24,(INT(VALUE(F122)/100)-INT(M122/100))*12+MOD(VALUE(F122),100)-MOD(M122,100))))&lt;=12),1+V8_LOCKOUT_AMP*EXP(-(IF(OR(M122="",NOT(ISNUMBER(M122))),0,MAX(0,MIN(24,(INT(VALUE(F122)/100)-INT(M122/100))*12+MOD(VALUE(F122),100)-MOD(M122,100)))))/V8_LOCKOUT_TAU),1)</f>
        <v/>
      </c>
      <c r="AI122" s="8">
        <f>MAX(V8_BURN_FLOOR,1-V8_BURN_SLOPE*MIN(1,MAX(0,O122)))</f>
        <v/>
      </c>
      <c r="AJ122" s="15">
        <f>MIN(AA122*AF122*AG122*AH122*AI122,0.2)</f>
        <v/>
      </c>
      <c r="AK122" s="16">
        <f>1-(1-AJ122)^12</f>
        <v/>
      </c>
    </row>
    <row r="123">
      <c r="A123" s="2" t="inlineStr">
        <is>
          <t>000012222294</t>
        </is>
      </c>
      <c r="B123" t="inlineStr">
        <is>
          <t>232</t>
        </is>
      </c>
      <c r="C123" t="inlineStr">
        <is>
          <t>RP</t>
        </is>
      </c>
      <c r="D123" t="inlineStr">
        <is>
          <t>MERCHANTS CAPITAL CORP.</t>
        </is>
      </c>
      <c r="E123" t="n">
        <v>2024</v>
      </c>
      <c r="F123" t="inlineStr">
        <is>
          <t>202602</t>
        </is>
      </c>
      <c r="G123" s="9" t="n">
        <v>36786426.13</v>
      </c>
      <c r="H123" s="13" t="n">
        <v>5.75</v>
      </c>
      <c r="I123" s="14" t="n">
        <v>447</v>
      </c>
      <c r="J123" s="14" t="n">
        <v>9</v>
      </c>
      <c r="K123" t="n">
        <v>21</v>
      </c>
      <c r="L123" t="n">
        <v>205906</v>
      </c>
      <c r="M123" t="inlineStr"/>
      <c r="N123" t="n">
        <v>1</v>
      </c>
      <c r="O123" s="8" t="n">
        <v>0.04761904761904762</v>
      </c>
      <c r="P123">
        <f>IF(ISNUMBER(SEARCH("232",B123)),"232",IF(ISNUMBER(SEARCH("538",B123)),"538",IF(ISNUMBER(SEARCH("223a7",B123)),"223a7",IF(ISNUMBER(SEARCH("223f",B123)),"223f","OTHER"))))</f>
        <v/>
      </c>
      <c r="Q123">
        <f>IF(UPPER(C123)="NC","NC","RP")</f>
        <v/>
      </c>
      <c r="R123">
        <f>IF(G123&lt;5000000,"small",IF(G123&lt;25000000,"medium","large"))</f>
        <v/>
      </c>
      <c r="S123">
        <f>IF(K123&lt;36,"young",IF(K123&lt;120,"seasoned","aged"))</f>
        <v/>
      </c>
      <c r="T123">
        <f>P123&amp;"|"&amp;Q123&amp;"|"&amp;R123&amp;"|"&amp;S123</f>
        <v/>
      </c>
      <c r="U123" s="14">
        <f>H123*100-I123</f>
        <v/>
      </c>
      <c r="V123" s="14">
        <f>U123-12.5*(J123+1)</f>
        <v/>
      </c>
      <c r="W123" s="15">
        <f>IFERROR(VLOOKUP(T123,V8_COHORT_TABLE,2,FALSE),IFERROR(VLOOKUP(P123&amp;"|"&amp;Q123&amp;"|ALL|"&amp;S123,V8_COHORT_TABLE,2,FALSE),IFERROR(VLOOKUP(P123&amp;"|ALL|ALL|"&amp;S123,V8_COHORT_TABLE,2,FALSE),IFERROR(VLOOKUP(P123&amp;"|ALL|ALL|ALL",V8_COHORT_TABLE,2,FALSE),VLOOKUP("GLOBAL",V8_COHORT_TABLE,2,FALSE)))))</f>
        <v/>
      </c>
      <c r="X123" s="15">
        <f>IFERROR(VLOOKUP(T123,V8_COHORT_TABLE,3,FALSE),IFERROR(VLOOKUP(P123&amp;"|"&amp;Q123&amp;"|ALL|"&amp;S123,V8_COHORT_TABLE,3,FALSE),IFERROR(VLOOKUP(P123&amp;"|ALL|ALL|"&amp;S123,V8_COHORT_TABLE,3,FALSE),IFERROR(VLOOKUP(P123&amp;"|ALL|ALL|ALL",V8_COHORT_TABLE,3,FALSE),VLOOKUP("GLOBAL",V8_COHORT_TABLE,3,FALSE)))))</f>
        <v/>
      </c>
      <c r="Y123" s="15">
        <f>IFERROR(VLOOKUP(T123,V8_COHORT_TABLE,4,FALSE),IFERROR(VLOOKUP(P123&amp;"|"&amp;Q123&amp;"|ALL|"&amp;S123,V8_COHORT_TABLE,4,FALSE),IFERROR(VLOOKUP(P123&amp;"|ALL|ALL|"&amp;S123,V8_COHORT_TABLE,4,FALSE),IFERROR(VLOOKUP(P123&amp;"|ALL|ALL|ALL",V8_COHORT_TABLE,4,FALSE),VLOOKUP("GLOBAL",V8_COHORT_TABLE,4,FALSE)))))</f>
        <v/>
      </c>
      <c r="Z123" s="15">
        <f>IFERROR(VLOOKUP(T123,V8_COHORT_TABLE,5,FALSE),IFERROR(VLOOKUP(P123&amp;"|"&amp;Q123&amp;"|ALL|"&amp;S123,V8_COHORT_TABLE,5,FALSE),IFERROR(VLOOKUP(P123&amp;"|ALL|ALL|"&amp;S123,V8_COHORT_TABLE,5,FALSE),IFERROR(VLOOKUP(P123&amp;"|ALL|ALL|ALL",V8_COHORT_TABLE,5,FALSE),VLOOKUP("GLOBAL",V8_COHORT_TABLE,5,FALSE)))))</f>
        <v/>
      </c>
      <c r="AA123" s="15">
        <f>W123+X123/(1+EXP(-(V123-Y123)/Z123))</f>
        <v/>
      </c>
      <c r="AB123" s="15">
        <f>IFERROR(VLOOKUP(T123,V8_COHORT_TABLE,6,FALSE),IFERROR(VLOOKUP(P123&amp;"|"&amp;Q123&amp;"|ALL|"&amp;S123,V8_COHORT_TABLE,6,FALSE),IFERROR(VLOOKUP(P123&amp;"|ALL|ALL|"&amp;S123,V8_COHORT_TABLE,6,FALSE),IFERROR(VLOOKUP(P123&amp;"|ALL|ALL|ALL",V8_COHORT_TABLE,6,FALSE),VLOOKUP("GLOBAL",V8_COHORT_TABLE,6,FALSE)))))</f>
        <v/>
      </c>
      <c r="AC123" s="15">
        <f>IFERROR(VLOOKUP(T123,V8_COHORT_TABLE,7,FALSE),IFERROR(VLOOKUP(P123&amp;"|"&amp;Q123&amp;"|ALL|"&amp;S123,V8_COHORT_TABLE,7,FALSE),IFERROR(VLOOKUP(P123&amp;"|ALL|ALL|"&amp;S123,V8_COHORT_TABLE,7,FALSE),IFERROR(VLOOKUP(P123&amp;"|ALL|ALL|ALL",V8_COHORT_TABLE,7,FALSE),VLOOKUP("GLOBAL",V8_COHORT_TABLE,7,FALSE)))))</f>
        <v/>
      </c>
      <c r="AD123" s="15">
        <f>IFERROR(VLOOKUP(T123,V8_COHORT_TABLE,8,FALSE),IFERROR(VLOOKUP(P123&amp;"|"&amp;Q123&amp;"|ALL|"&amp;S123,V8_COHORT_TABLE,8,FALSE),IFERROR(VLOOKUP(P123&amp;"|ALL|ALL|"&amp;S123,V8_COHORT_TABLE,8,FALSE),IFERROR(VLOOKUP(P123&amp;"|ALL|ALL|ALL",V8_COHORT_TABLE,8,FALSE),VLOOKUP("GLOBAL",V8_COHORT_TABLE,8,FALSE)))))</f>
        <v/>
      </c>
      <c r="AE123" s="15">
        <f>IFERROR(VLOOKUP(T123,V8_COHORT_TABLE,9,FALSE),IFERROR(VLOOKUP(P123&amp;"|"&amp;Q123&amp;"|ALL|"&amp;S123,V8_COHORT_TABLE,9,FALSE),IFERROR(VLOOKUP(P123&amp;"|ALL|ALL|"&amp;S123,V8_COHORT_TABLE,9,FALSE),IFERROR(VLOOKUP(P123&amp;"|ALL|ALL|ALL",V8_COHORT_TABLE,9,FALSE),VLOOKUP("GLOBAL",V8_COHORT_TABLE,9,FALSE)))))</f>
        <v/>
      </c>
      <c r="AF123" s="8">
        <f>IF(K123&lt;=0,AB123,IF(K123&gt;=240,AE123,IF(K123&lt;=24,AB123+(K123-0)/24*(AC123-AB123),IF(K123&lt;=96,AC123+(K123-24)/72*(AD123-AC123),AD123+(K123-96)/144*(AE123-AD123)))))</f>
        <v/>
      </c>
      <c r="AG123" s="8">
        <f>IF(IF(OR(L123="",NOT(ISNUMBER(L123))),360,MAX(0,MIN(480,(INT(L123/100)-INT(VALUE(F123)/100))*12+MOD(L123,100)-MOD(VALUE(F123),100))))&gt;0,1+V8_MTY_AMP*MAX(0,(V8_MTY_CUTOFF-(IF(OR(L123="",NOT(ISNUMBER(L123))),360,MAX(0,MIN(480,(INT(L123/100)-INT(VALUE(F123)/100))*12+MOD(L123,100)-MOD(VALUE(F123),100))))))/V8_MTY_CUTOFF),1)</f>
        <v/>
      </c>
      <c r="AH123" s="8">
        <f>IF(AND(IF(OR(M123="",NOT(ISNUMBER(M123))),0,MAX(0,MIN(24,(INT(VALUE(F123)/100)-INT(M123/100))*12+MOD(VALUE(F123),100)-MOD(M123,100))))&gt;0,IF(OR(M123="",NOT(ISNUMBER(M123))),0,MAX(0,MIN(24,(INT(VALUE(F123)/100)-INT(M123/100))*12+MOD(VALUE(F123),100)-MOD(M123,100))))&lt;=12),1+V8_LOCKOUT_AMP*EXP(-(IF(OR(M123="",NOT(ISNUMBER(M123))),0,MAX(0,MIN(24,(INT(VALUE(F123)/100)-INT(M123/100))*12+MOD(VALUE(F123),100)-MOD(M123,100)))))/V8_LOCKOUT_TAU),1)</f>
        <v/>
      </c>
      <c r="AI123" s="8">
        <f>MAX(V8_BURN_FLOOR,1-V8_BURN_SLOPE*MIN(1,MAX(0,O123)))</f>
        <v/>
      </c>
      <c r="AJ123" s="15">
        <f>MIN(AA123*AF123*AG123*AH123*AI123,0.2)</f>
        <v/>
      </c>
      <c r="AK123" s="16">
        <f>1-(1-AJ123)^12</f>
        <v/>
      </c>
    </row>
    <row r="124">
      <c r="A124" s="2" t="inlineStr">
        <is>
          <t>000007335768</t>
        </is>
      </c>
      <c r="B124" t="inlineStr">
        <is>
          <t>221d4</t>
        </is>
      </c>
      <c r="C124" t="inlineStr">
        <is>
          <t>NC</t>
        </is>
      </c>
      <c r="D124" t="inlineStr">
        <is>
          <t>MERCHANTS CAPITAL CORP.</t>
        </is>
      </c>
      <c r="E124" t="n">
        <v>2012</v>
      </c>
      <c r="F124" t="inlineStr">
        <is>
          <t>202602</t>
        </is>
      </c>
      <c r="G124" s="9" t="n">
        <v>18301336.04</v>
      </c>
      <c r="H124" s="13" t="n">
        <v>2.37</v>
      </c>
      <c r="I124" s="14" t="n">
        <v>447</v>
      </c>
      <c r="J124" s="14" t="n">
        <v>6</v>
      </c>
      <c r="K124" t="n">
        <v>158</v>
      </c>
      <c r="L124" t="n">
        <v>205401</v>
      </c>
      <c r="M124" t="inlineStr"/>
      <c r="N124" t="n">
        <v>0</v>
      </c>
      <c r="O124" s="8" t="n">
        <v>0</v>
      </c>
      <c r="P124">
        <f>IF(ISNUMBER(SEARCH("232",B124)),"232",IF(ISNUMBER(SEARCH("538",B124)),"538",IF(ISNUMBER(SEARCH("223a7",B124)),"223a7",IF(ISNUMBER(SEARCH("223f",B124)),"223f","OTHER"))))</f>
        <v/>
      </c>
      <c r="Q124">
        <f>IF(UPPER(C124)="NC","NC","RP")</f>
        <v/>
      </c>
      <c r="R124">
        <f>IF(G124&lt;5000000,"small",IF(G124&lt;25000000,"medium","large"))</f>
        <v/>
      </c>
      <c r="S124">
        <f>IF(K124&lt;36,"young",IF(K124&lt;120,"seasoned","aged"))</f>
        <v/>
      </c>
      <c r="T124">
        <f>P124&amp;"|"&amp;Q124&amp;"|"&amp;R124&amp;"|"&amp;S124</f>
        <v/>
      </c>
      <c r="U124" s="14">
        <f>H124*100-I124</f>
        <v/>
      </c>
      <c r="V124" s="14">
        <f>U124-12.5*(J124+1)</f>
        <v/>
      </c>
      <c r="W124" s="15">
        <f>IFERROR(VLOOKUP(T124,V8_COHORT_TABLE,2,FALSE),IFERROR(VLOOKUP(P124&amp;"|"&amp;Q124&amp;"|ALL|"&amp;S124,V8_COHORT_TABLE,2,FALSE),IFERROR(VLOOKUP(P124&amp;"|ALL|ALL|"&amp;S124,V8_COHORT_TABLE,2,FALSE),IFERROR(VLOOKUP(P124&amp;"|ALL|ALL|ALL",V8_COHORT_TABLE,2,FALSE),VLOOKUP("GLOBAL",V8_COHORT_TABLE,2,FALSE)))))</f>
        <v/>
      </c>
      <c r="X124" s="15">
        <f>IFERROR(VLOOKUP(T124,V8_COHORT_TABLE,3,FALSE),IFERROR(VLOOKUP(P124&amp;"|"&amp;Q124&amp;"|ALL|"&amp;S124,V8_COHORT_TABLE,3,FALSE),IFERROR(VLOOKUP(P124&amp;"|ALL|ALL|"&amp;S124,V8_COHORT_TABLE,3,FALSE),IFERROR(VLOOKUP(P124&amp;"|ALL|ALL|ALL",V8_COHORT_TABLE,3,FALSE),VLOOKUP("GLOBAL",V8_COHORT_TABLE,3,FALSE)))))</f>
        <v/>
      </c>
      <c r="Y124" s="15">
        <f>IFERROR(VLOOKUP(T124,V8_COHORT_TABLE,4,FALSE),IFERROR(VLOOKUP(P124&amp;"|"&amp;Q124&amp;"|ALL|"&amp;S124,V8_COHORT_TABLE,4,FALSE),IFERROR(VLOOKUP(P124&amp;"|ALL|ALL|"&amp;S124,V8_COHORT_TABLE,4,FALSE),IFERROR(VLOOKUP(P124&amp;"|ALL|ALL|ALL",V8_COHORT_TABLE,4,FALSE),VLOOKUP("GLOBAL",V8_COHORT_TABLE,4,FALSE)))))</f>
        <v/>
      </c>
      <c r="Z124" s="15">
        <f>IFERROR(VLOOKUP(T124,V8_COHORT_TABLE,5,FALSE),IFERROR(VLOOKUP(P124&amp;"|"&amp;Q124&amp;"|ALL|"&amp;S124,V8_COHORT_TABLE,5,FALSE),IFERROR(VLOOKUP(P124&amp;"|ALL|ALL|"&amp;S124,V8_COHORT_TABLE,5,FALSE),IFERROR(VLOOKUP(P124&amp;"|ALL|ALL|ALL",V8_COHORT_TABLE,5,FALSE),VLOOKUP("GLOBAL",V8_COHORT_TABLE,5,FALSE)))))</f>
        <v/>
      </c>
      <c r="AA124" s="15">
        <f>W124+X124/(1+EXP(-(V124-Y124)/Z124))</f>
        <v/>
      </c>
      <c r="AB124" s="15">
        <f>IFERROR(VLOOKUP(T124,V8_COHORT_TABLE,6,FALSE),IFERROR(VLOOKUP(P124&amp;"|"&amp;Q124&amp;"|ALL|"&amp;S124,V8_COHORT_TABLE,6,FALSE),IFERROR(VLOOKUP(P124&amp;"|ALL|ALL|"&amp;S124,V8_COHORT_TABLE,6,FALSE),IFERROR(VLOOKUP(P124&amp;"|ALL|ALL|ALL",V8_COHORT_TABLE,6,FALSE),VLOOKUP("GLOBAL",V8_COHORT_TABLE,6,FALSE)))))</f>
        <v/>
      </c>
      <c r="AC124" s="15">
        <f>IFERROR(VLOOKUP(T124,V8_COHORT_TABLE,7,FALSE),IFERROR(VLOOKUP(P124&amp;"|"&amp;Q124&amp;"|ALL|"&amp;S124,V8_COHORT_TABLE,7,FALSE),IFERROR(VLOOKUP(P124&amp;"|ALL|ALL|"&amp;S124,V8_COHORT_TABLE,7,FALSE),IFERROR(VLOOKUP(P124&amp;"|ALL|ALL|ALL",V8_COHORT_TABLE,7,FALSE),VLOOKUP("GLOBAL",V8_COHORT_TABLE,7,FALSE)))))</f>
        <v/>
      </c>
      <c r="AD124" s="15">
        <f>IFERROR(VLOOKUP(T124,V8_COHORT_TABLE,8,FALSE),IFERROR(VLOOKUP(P124&amp;"|"&amp;Q124&amp;"|ALL|"&amp;S124,V8_COHORT_TABLE,8,FALSE),IFERROR(VLOOKUP(P124&amp;"|ALL|ALL|"&amp;S124,V8_COHORT_TABLE,8,FALSE),IFERROR(VLOOKUP(P124&amp;"|ALL|ALL|ALL",V8_COHORT_TABLE,8,FALSE),VLOOKUP("GLOBAL",V8_COHORT_TABLE,8,FALSE)))))</f>
        <v/>
      </c>
      <c r="AE124" s="15">
        <f>IFERROR(VLOOKUP(T124,V8_COHORT_TABLE,9,FALSE),IFERROR(VLOOKUP(P124&amp;"|"&amp;Q124&amp;"|ALL|"&amp;S124,V8_COHORT_TABLE,9,FALSE),IFERROR(VLOOKUP(P124&amp;"|ALL|ALL|"&amp;S124,V8_COHORT_TABLE,9,FALSE),IFERROR(VLOOKUP(P124&amp;"|ALL|ALL|ALL",V8_COHORT_TABLE,9,FALSE),VLOOKUP("GLOBAL",V8_COHORT_TABLE,9,FALSE)))))</f>
        <v/>
      </c>
      <c r="AF124" s="8">
        <f>IF(K124&lt;=0,AB124,IF(K124&gt;=240,AE124,IF(K124&lt;=24,AB124+(K124-0)/24*(AC124-AB124),IF(K124&lt;=96,AC124+(K124-24)/72*(AD124-AC124),AD124+(K124-96)/144*(AE124-AD124)))))</f>
        <v/>
      </c>
      <c r="AG124" s="8">
        <f>IF(IF(OR(L124="",NOT(ISNUMBER(L124))),360,MAX(0,MIN(480,(INT(L124/100)-INT(VALUE(F124)/100))*12+MOD(L124,100)-MOD(VALUE(F124),100))))&gt;0,1+V8_MTY_AMP*MAX(0,(V8_MTY_CUTOFF-(IF(OR(L124="",NOT(ISNUMBER(L124))),360,MAX(0,MIN(480,(INT(L124/100)-INT(VALUE(F124)/100))*12+MOD(L124,100)-MOD(VALUE(F124),100))))))/V8_MTY_CUTOFF),1)</f>
        <v/>
      </c>
      <c r="AH124" s="8">
        <f>IF(AND(IF(OR(M124="",NOT(ISNUMBER(M124))),0,MAX(0,MIN(24,(INT(VALUE(F124)/100)-INT(M124/100))*12+MOD(VALUE(F124),100)-MOD(M124,100))))&gt;0,IF(OR(M124="",NOT(ISNUMBER(M124))),0,MAX(0,MIN(24,(INT(VALUE(F124)/100)-INT(M124/100))*12+MOD(VALUE(F124),100)-MOD(M124,100))))&lt;=12),1+V8_LOCKOUT_AMP*EXP(-(IF(OR(M124="",NOT(ISNUMBER(M124))),0,MAX(0,MIN(24,(INT(VALUE(F124)/100)-INT(M124/100))*12+MOD(VALUE(F124),100)-MOD(M124,100)))))/V8_LOCKOUT_TAU),1)</f>
        <v/>
      </c>
      <c r="AI124" s="8">
        <f>MAX(V8_BURN_FLOOR,1-V8_BURN_SLOPE*MIN(1,MAX(0,O124)))</f>
        <v/>
      </c>
      <c r="AJ124" s="15">
        <f>MIN(AA124*AF124*AG124*AH124*AI124,0.2)</f>
        <v/>
      </c>
      <c r="AK124" s="16">
        <f>1-(1-AJ124)^12</f>
        <v/>
      </c>
    </row>
    <row r="125">
      <c r="A125" s="2" t="inlineStr">
        <is>
          <t>012645395099</t>
        </is>
      </c>
      <c r="B125" t="inlineStr">
        <is>
          <t>538</t>
        </is>
      </c>
      <c r="C125" t="inlineStr">
        <is>
          <t>538</t>
        </is>
      </c>
      <c r="D125" t="inlineStr">
        <is>
          <t>MERCHANTS CAPITAL CORP.</t>
        </is>
      </c>
      <c r="E125" t="n">
        <v>2019</v>
      </c>
      <c r="F125" t="inlineStr">
        <is>
          <t>202602</t>
        </is>
      </c>
      <c r="G125" s="9" t="n">
        <v>1122425.57</v>
      </c>
      <c r="H125" s="13" t="n">
        <v>4.55</v>
      </c>
      <c r="I125" s="14" t="n">
        <v>447</v>
      </c>
      <c r="J125" s="14" t="n">
        <v>6</v>
      </c>
      <c r="K125" t="n">
        <v>82</v>
      </c>
      <c r="L125" t="n">
        <v>205904</v>
      </c>
      <c r="M125" t="inlineStr"/>
      <c r="N125" t="n">
        <v>13</v>
      </c>
      <c r="O125" s="8" t="n">
        <v>0.1585365853658537</v>
      </c>
      <c r="P125">
        <f>IF(ISNUMBER(SEARCH("232",B125)),"232",IF(ISNUMBER(SEARCH("538",B125)),"538",IF(ISNUMBER(SEARCH("223a7",B125)),"223a7",IF(ISNUMBER(SEARCH("223f",B125)),"223f","OTHER"))))</f>
        <v/>
      </c>
      <c r="Q125">
        <f>IF(UPPER(C125)="NC","NC","RP")</f>
        <v/>
      </c>
      <c r="R125">
        <f>IF(G125&lt;5000000,"small",IF(G125&lt;25000000,"medium","large"))</f>
        <v/>
      </c>
      <c r="S125">
        <f>IF(K125&lt;36,"young",IF(K125&lt;120,"seasoned","aged"))</f>
        <v/>
      </c>
      <c r="T125">
        <f>P125&amp;"|"&amp;Q125&amp;"|"&amp;R125&amp;"|"&amp;S125</f>
        <v/>
      </c>
      <c r="U125" s="14">
        <f>H125*100-I125</f>
        <v/>
      </c>
      <c r="V125" s="14">
        <f>U125-12.5*(J125+1)</f>
        <v/>
      </c>
      <c r="W125" s="15">
        <f>IFERROR(VLOOKUP(T125,V8_COHORT_TABLE,2,FALSE),IFERROR(VLOOKUP(P125&amp;"|"&amp;Q125&amp;"|ALL|"&amp;S125,V8_COHORT_TABLE,2,FALSE),IFERROR(VLOOKUP(P125&amp;"|ALL|ALL|"&amp;S125,V8_COHORT_TABLE,2,FALSE),IFERROR(VLOOKUP(P125&amp;"|ALL|ALL|ALL",V8_COHORT_TABLE,2,FALSE),VLOOKUP("GLOBAL",V8_COHORT_TABLE,2,FALSE)))))</f>
        <v/>
      </c>
      <c r="X125" s="15">
        <f>IFERROR(VLOOKUP(T125,V8_COHORT_TABLE,3,FALSE),IFERROR(VLOOKUP(P125&amp;"|"&amp;Q125&amp;"|ALL|"&amp;S125,V8_COHORT_TABLE,3,FALSE),IFERROR(VLOOKUP(P125&amp;"|ALL|ALL|"&amp;S125,V8_COHORT_TABLE,3,FALSE),IFERROR(VLOOKUP(P125&amp;"|ALL|ALL|ALL",V8_COHORT_TABLE,3,FALSE),VLOOKUP("GLOBAL",V8_COHORT_TABLE,3,FALSE)))))</f>
        <v/>
      </c>
      <c r="Y125" s="15">
        <f>IFERROR(VLOOKUP(T125,V8_COHORT_TABLE,4,FALSE),IFERROR(VLOOKUP(P125&amp;"|"&amp;Q125&amp;"|ALL|"&amp;S125,V8_COHORT_TABLE,4,FALSE),IFERROR(VLOOKUP(P125&amp;"|ALL|ALL|"&amp;S125,V8_COHORT_TABLE,4,FALSE),IFERROR(VLOOKUP(P125&amp;"|ALL|ALL|ALL",V8_COHORT_TABLE,4,FALSE),VLOOKUP("GLOBAL",V8_COHORT_TABLE,4,FALSE)))))</f>
        <v/>
      </c>
      <c r="Z125" s="15">
        <f>IFERROR(VLOOKUP(T125,V8_COHORT_TABLE,5,FALSE),IFERROR(VLOOKUP(P125&amp;"|"&amp;Q125&amp;"|ALL|"&amp;S125,V8_COHORT_TABLE,5,FALSE),IFERROR(VLOOKUP(P125&amp;"|ALL|ALL|"&amp;S125,V8_COHORT_TABLE,5,FALSE),IFERROR(VLOOKUP(P125&amp;"|ALL|ALL|ALL",V8_COHORT_TABLE,5,FALSE),VLOOKUP("GLOBAL",V8_COHORT_TABLE,5,FALSE)))))</f>
        <v/>
      </c>
      <c r="AA125" s="15">
        <f>W125+X125/(1+EXP(-(V125-Y125)/Z125))</f>
        <v/>
      </c>
      <c r="AB125" s="15">
        <f>IFERROR(VLOOKUP(T125,V8_COHORT_TABLE,6,FALSE),IFERROR(VLOOKUP(P125&amp;"|"&amp;Q125&amp;"|ALL|"&amp;S125,V8_COHORT_TABLE,6,FALSE),IFERROR(VLOOKUP(P125&amp;"|ALL|ALL|"&amp;S125,V8_COHORT_TABLE,6,FALSE),IFERROR(VLOOKUP(P125&amp;"|ALL|ALL|ALL",V8_COHORT_TABLE,6,FALSE),VLOOKUP("GLOBAL",V8_COHORT_TABLE,6,FALSE)))))</f>
        <v/>
      </c>
      <c r="AC125" s="15">
        <f>IFERROR(VLOOKUP(T125,V8_COHORT_TABLE,7,FALSE),IFERROR(VLOOKUP(P125&amp;"|"&amp;Q125&amp;"|ALL|"&amp;S125,V8_COHORT_TABLE,7,FALSE),IFERROR(VLOOKUP(P125&amp;"|ALL|ALL|"&amp;S125,V8_COHORT_TABLE,7,FALSE),IFERROR(VLOOKUP(P125&amp;"|ALL|ALL|ALL",V8_COHORT_TABLE,7,FALSE),VLOOKUP("GLOBAL",V8_COHORT_TABLE,7,FALSE)))))</f>
        <v/>
      </c>
      <c r="AD125" s="15">
        <f>IFERROR(VLOOKUP(T125,V8_COHORT_TABLE,8,FALSE),IFERROR(VLOOKUP(P125&amp;"|"&amp;Q125&amp;"|ALL|"&amp;S125,V8_COHORT_TABLE,8,FALSE),IFERROR(VLOOKUP(P125&amp;"|ALL|ALL|"&amp;S125,V8_COHORT_TABLE,8,FALSE),IFERROR(VLOOKUP(P125&amp;"|ALL|ALL|ALL",V8_COHORT_TABLE,8,FALSE),VLOOKUP("GLOBAL",V8_COHORT_TABLE,8,FALSE)))))</f>
        <v/>
      </c>
      <c r="AE125" s="15">
        <f>IFERROR(VLOOKUP(T125,V8_COHORT_TABLE,9,FALSE),IFERROR(VLOOKUP(P125&amp;"|"&amp;Q125&amp;"|ALL|"&amp;S125,V8_COHORT_TABLE,9,FALSE),IFERROR(VLOOKUP(P125&amp;"|ALL|ALL|"&amp;S125,V8_COHORT_TABLE,9,FALSE),IFERROR(VLOOKUP(P125&amp;"|ALL|ALL|ALL",V8_COHORT_TABLE,9,FALSE),VLOOKUP("GLOBAL",V8_COHORT_TABLE,9,FALSE)))))</f>
        <v/>
      </c>
      <c r="AF125" s="8">
        <f>IF(K125&lt;=0,AB125,IF(K125&gt;=240,AE125,IF(K125&lt;=24,AB125+(K125-0)/24*(AC125-AB125),IF(K125&lt;=96,AC125+(K125-24)/72*(AD125-AC125),AD125+(K125-96)/144*(AE125-AD125)))))</f>
        <v/>
      </c>
      <c r="AG125" s="8">
        <f>IF(IF(OR(L125="",NOT(ISNUMBER(L125))),360,MAX(0,MIN(480,(INT(L125/100)-INT(VALUE(F125)/100))*12+MOD(L125,100)-MOD(VALUE(F125),100))))&gt;0,1+V8_MTY_AMP*MAX(0,(V8_MTY_CUTOFF-(IF(OR(L125="",NOT(ISNUMBER(L125))),360,MAX(0,MIN(480,(INT(L125/100)-INT(VALUE(F125)/100))*12+MOD(L125,100)-MOD(VALUE(F125),100))))))/V8_MTY_CUTOFF),1)</f>
        <v/>
      </c>
      <c r="AH125" s="8">
        <f>IF(AND(IF(OR(M125="",NOT(ISNUMBER(M125))),0,MAX(0,MIN(24,(INT(VALUE(F125)/100)-INT(M125/100))*12+MOD(VALUE(F125),100)-MOD(M125,100))))&gt;0,IF(OR(M125="",NOT(ISNUMBER(M125))),0,MAX(0,MIN(24,(INT(VALUE(F125)/100)-INT(M125/100))*12+MOD(VALUE(F125),100)-MOD(M125,100))))&lt;=12),1+V8_LOCKOUT_AMP*EXP(-(IF(OR(M125="",NOT(ISNUMBER(M125))),0,MAX(0,MIN(24,(INT(VALUE(F125)/100)-INT(M125/100))*12+MOD(VALUE(F125),100)-MOD(M125,100)))))/V8_LOCKOUT_TAU),1)</f>
        <v/>
      </c>
      <c r="AI125" s="8">
        <f>MAX(V8_BURN_FLOOR,1-V8_BURN_SLOPE*MIN(1,MAX(0,O125)))</f>
        <v/>
      </c>
      <c r="AJ125" s="15">
        <f>MIN(AA125*AF125*AG125*AH125*AI125,0.2)</f>
        <v/>
      </c>
      <c r="AK125" s="16">
        <f>1-(1-AJ125)^12</f>
        <v/>
      </c>
    </row>
    <row r="126">
      <c r="A126" s="2" t="inlineStr">
        <is>
          <t>000007311982</t>
        </is>
      </c>
      <c r="B126" t="inlineStr">
        <is>
          <t>223f</t>
        </is>
      </c>
      <c r="C126" t="inlineStr">
        <is>
          <t>RP</t>
        </is>
      </c>
      <c r="D126" t="inlineStr">
        <is>
          <t>MERCHANTS CAPITAL SERVICING LLC</t>
        </is>
      </c>
      <c r="E126" t="n">
        <v>2020</v>
      </c>
      <c r="F126" t="inlineStr">
        <is>
          <t>202602</t>
        </is>
      </c>
      <c r="G126" s="9" t="n">
        <v>14899055.27</v>
      </c>
      <c r="H126" s="13" t="n">
        <v>3</v>
      </c>
      <c r="I126" s="14" t="n">
        <v>447</v>
      </c>
      <c r="J126" s="14" t="n">
        <v>5</v>
      </c>
      <c r="K126" t="n">
        <v>72</v>
      </c>
      <c r="L126" t="n">
        <v>205503</v>
      </c>
      <c r="M126" t="inlineStr"/>
      <c r="N126" t="n">
        <v>9</v>
      </c>
      <c r="O126" s="8" t="n">
        <v>0.125</v>
      </c>
      <c r="P126">
        <f>IF(ISNUMBER(SEARCH("232",B126)),"232",IF(ISNUMBER(SEARCH("538",B126)),"538",IF(ISNUMBER(SEARCH("223a7",B126)),"223a7",IF(ISNUMBER(SEARCH("223f",B126)),"223f","OTHER"))))</f>
        <v/>
      </c>
      <c r="Q126">
        <f>IF(UPPER(C126)="NC","NC","RP")</f>
        <v/>
      </c>
      <c r="R126">
        <f>IF(G126&lt;5000000,"small",IF(G126&lt;25000000,"medium","large"))</f>
        <v/>
      </c>
      <c r="S126">
        <f>IF(K126&lt;36,"young",IF(K126&lt;120,"seasoned","aged"))</f>
        <v/>
      </c>
      <c r="T126">
        <f>P126&amp;"|"&amp;Q126&amp;"|"&amp;R126&amp;"|"&amp;S126</f>
        <v/>
      </c>
      <c r="U126" s="14">
        <f>H126*100-I126</f>
        <v/>
      </c>
      <c r="V126" s="14">
        <f>U126-12.5*(J126+1)</f>
        <v/>
      </c>
      <c r="W126" s="15">
        <f>IFERROR(VLOOKUP(T126,V8_COHORT_TABLE,2,FALSE),IFERROR(VLOOKUP(P126&amp;"|"&amp;Q126&amp;"|ALL|"&amp;S126,V8_COHORT_TABLE,2,FALSE),IFERROR(VLOOKUP(P126&amp;"|ALL|ALL|"&amp;S126,V8_COHORT_TABLE,2,FALSE),IFERROR(VLOOKUP(P126&amp;"|ALL|ALL|ALL",V8_COHORT_TABLE,2,FALSE),VLOOKUP("GLOBAL",V8_COHORT_TABLE,2,FALSE)))))</f>
        <v/>
      </c>
      <c r="X126" s="15">
        <f>IFERROR(VLOOKUP(T126,V8_COHORT_TABLE,3,FALSE),IFERROR(VLOOKUP(P126&amp;"|"&amp;Q126&amp;"|ALL|"&amp;S126,V8_COHORT_TABLE,3,FALSE),IFERROR(VLOOKUP(P126&amp;"|ALL|ALL|"&amp;S126,V8_COHORT_TABLE,3,FALSE),IFERROR(VLOOKUP(P126&amp;"|ALL|ALL|ALL",V8_COHORT_TABLE,3,FALSE),VLOOKUP("GLOBAL",V8_COHORT_TABLE,3,FALSE)))))</f>
        <v/>
      </c>
      <c r="Y126" s="15">
        <f>IFERROR(VLOOKUP(T126,V8_COHORT_TABLE,4,FALSE),IFERROR(VLOOKUP(P126&amp;"|"&amp;Q126&amp;"|ALL|"&amp;S126,V8_COHORT_TABLE,4,FALSE),IFERROR(VLOOKUP(P126&amp;"|ALL|ALL|"&amp;S126,V8_COHORT_TABLE,4,FALSE),IFERROR(VLOOKUP(P126&amp;"|ALL|ALL|ALL",V8_COHORT_TABLE,4,FALSE),VLOOKUP("GLOBAL",V8_COHORT_TABLE,4,FALSE)))))</f>
        <v/>
      </c>
      <c r="Z126" s="15">
        <f>IFERROR(VLOOKUP(T126,V8_COHORT_TABLE,5,FALSE),IFERROR(VLOOKUP(P126&amp;"|"&amp;Q126&amp;"|ALL|"&amp;S126,V8_COHORT_TABLE,5,FALSE),IFERROR(VLOOKUP(P126&amp;"|ALL|ALL|"&amp;S126,V8_COHORT_TABLE,5,FALSE),IFERROR(VLOOKUP(P126&amp;"|ALL|ALL|ALL",V8_COHORT_TABLE,5,FALSE),VLOOKUP("GLOBAL",V8_COHORT_TABLE,5,FALSE)))))</f>
        <v/>
      </c>
      <c r="AA126" s="15">
        <f>W126+X126/(1+EXP(-(V126-Y126)/Z126))</f>
        <v/>
      </c>
      <c r="AB126" s="15">
        <f>IFERROR(VLOOKUP(T126,V8_COHORT_TABLE,6,FALSE),IFERROR(VLOOKUP(P126&amp;"|"&amp;Q126&amp;"|ALL|"&amp;S126,V8_COHORT_TABLE,6,FALSE),IFERROR(VLOOKUP(P126&amp;"|ALL|ALL|"&amp;S126,V8_COHORT_TABLE,6,FALSE),IFERROR(VLOOKUP(P126&amp;"|ALL|ALL|ALL",V8_COHORT_TABLE,6,FALSE),VLOOKUP("GLOBAL",V8_COHORT_TABLE,6,FALSE)))))</f>
        <v/>
      </c>
      <c r="AC126" s="15">
        <f>IFERROR(VLOOKUP(T126,V8_COHORT_TABLE,7,FALSE),IFERROR(VLOOKUP(P126&amp;"|"&amp;Q126&amp;"|ALL|"&amp;S126,V8_COHORT_TABLE,7,FALSE),IFERROR(VLOOKUP(P126&amp;"|ALL|ALL|"&amp;S126,V8_COHORT_TABLE,7,FALSE),IFERROR(VLOOKUP(P126&amp;"|ALL|ALL|ALL",V8_COHORT_TABLE,7,FALSE),VLOOKUP("GLOBAL",V8_COHORT_TABLE,7,FALSE)))))</f>
        <v/>
      </c>
      <c r="AD126" s="15">
        <f>IFERROR(VLOOKUP(T126,V8_COHORT_TABLE,8,FALSE),IFERROR(VLOOKUP(P126&amp;"|"&amp;Q126&amp;"|ALL|"&amp;S126,V8_COHORT_TABLE,8,FALSE),IFERROR(VLOOKUP(P126&amp;"|ALL|ALL|"&amp;S126,V8_COHORT_TABLE,8,FALSE),IFERROR(VLOOKUP(P126&amp;"|ALL|ALL|ALL",V8_COHORT_TABLE,8,FALSE),VLOOKUP("GLOBAL",V8_COHORT_TABLE,8,FALSE)))))</f>
        <v/>
      </c>
      <c r="AE126" s="15">
        <f>IFERROR(VLOOKUP(T126,V8_COHORT_TABLE,9,FALSE),IFERROR(VLOOKUP(P126&amp;"|"&amp;Q126&amp;"|ALL|"&amp;S126,V8_COHORT_TABLE,9,FALSE),IFERROR(VLOOKUP(P126&amp;"|ALL|ALL|"&amp;S126,V8_COHORT_TABLE,9,FALSE),IFERROR(VLOOKUP(P126&amp;"|ALL|ALL|ALL",V8_COHORT_TABLE,9,FALSE),VLOOKUP("GLOBAL",V8_COHORT_TABLE,9,FALSE)))))</f>
        <v/>
      </c>
      <c r="AF126" s="8">
        <f>IF(K126&lt;=0,AB126,IF(K126&gt;=240,AE126,IF(K126&lt;=24,AB126+(K126-0)/24*(AC126-AB126),IF(K126&lt;=96,AC126+(K126-24)/72*(AD126-AC126),AD126+(K126-96)/144*(AE126-AD126)))))</f>
        <v/>
      </c>
      <c r="AG126" s="8">
        <f>IF(IF(OR(L126="",NOT(ISNUMBER(L126))),360,MAX(0,MIN(480,(INT(L126/100)-INT(VALUE(F126)/100))*12+MOD(L126,100)-MOD(VALUE(F126),100))))&gt;0,1+V8_MTY_AMP*MAX(0,(V8_MTY_CUTOFF-(IF(OR(L126="",NOT(ISNUMBER(L126))),360,MAX(0,MIN(480,(INT(L126/100)-INT(VALUE(F126)/100))*12+MOD(L126,100)-MOD(VALUE(F126),100))))))/V8_MTY_CUTOFF),1)</f>
        <v/>
      </c>
      <c r="AH126" s="8">
        <f>IF(AND(IF(OR(M126="",NOT(ISNUMBER(M126))),0,MAX(0,MIN(24,(INT(VALUE(F126)/100)-INT(M126/100))*12+MOD(VALUE(F126),100)-MOD(M126,100))))&gt;0,IF(OR(M126="",NOT(ISNUMBER(M126))),0,MAX(0,MIN(24,(INT(VALUE(F126)/100)-INT(M126/100))*12+MOD(VALUE(F126),100)-MOD(M126,100))))&lt;=12),1+V8_LOCKOUT_AMP*EXP(-(IF(OR(M126="",NOT(ISNUMBER(M126))),0,MAX(0,MIN(24,(INT(VALUE(F126)/100)-INT(M126/100))*12+MOD(VALUE(F126),100)-MOD(M126,100)))))/V8_LOCKOUT_TAU),1)</f>
        <v/>
      </c>
      <c r="AI126" s="8">
        <f>MAX(V8_BURN_FLOOR,1-V8_BURN_SLOPE*MIN(1,MAX(0,O126)))</f>
        <v/>
      </c>
      <c r="AJ126" s="15">
        <f>MIN(AA126*AF126*AG126*AH126*AI126,0.2)</f>
        <v/>
      </c>
      <c r="AK126" s="16">
        <f>1-(1-AJ126)^12</f>
        <v/>
      </c>
    </row>
    <row r="127">
      <c r="A127" s="2" t="inlineStr">
        <is>
          <t>000004211222</t>
        </is>
      </c>
      <c r="B127" t="inlineStr">
        <is>
          <t>223f</t>
        </is>
      </c>
      <c r="C127" t="inlineStr">
        <is>
          <t>RP</t>
        </is>
      </c>
      <c r="D127" t="inlineStr">
        <is>
          <t>MERCHANTS CAPITAL SERVICING LLC</t>
        </is>
      </c>
      <c r="E127" t="n">
        <v>2013</v>
      </c>
      <c r="F127" t="inlineStr">
        <is>
          <t>202602</t>
        </is>
      </c>
      <c r="G127" s="9" t="n">
        <v>1650551.67</v>
      </c>
      <c r="H127" s="13" t="n">
        <v>3.75</v>
      </c>
      <c r="I127" s="14" t="n">
        <v>447</v>
      </c>
      <c r="J127" s="14" t="n">
        <v>0</v>
      </c>
      <c r="K127" t="n">
        <v>155</v>
      </c>
      <c r="L127" t="n">
        <v>204804</v>
      </c>
      <c r="M127" t="inlineStr"/>
      <c r="N127" t="n">
        <v>37</v>
      </c>
      <c r="O127" s="8" t="n">
        <v>0.2387096774193548</v>
      </c>
      <c r="P127">
        <f>IF(ISNUMBER(SEARCH("232",B127)),"232",IF(ISNUMBER(SEARCH("538",B127)),"538",IF(ISNUMBER(SEARCH("223a7",B127)),"223a7",IF(ISNUMBER(SEARCH("223f",B127)),"223f","OTHER"))))</f>
        <v/>
      </c>
      <c r="Q127">
        <f>IF(UPPER(C127)="NC","NC","RP")</f>
        <v/>
      </c>
      <c r="R127">
        <f>IF(G127&lt;5000000,"small",IF(G127&lt;25000000,"medium","large"))</f>
        <v/>
      </c>
      <c r="S127">
        <f>IF(K127&lt;36,"young",IF(K127&lt;120,"seasoned","aged"))</f>
        <v/>
      </c>
      <c r="T127">
        <f>P127&amp;"|"&amp;Q127&amp;"|"&amp;R127&amp;"|"&amp;S127</f>
        <v/>
      </c>
      <c r="U127" s="14">
        <f>H127*100-I127</f>
        <v/>
      </c>
      <c r="V127" s="14">
        <f>U127-12.5*(J127+1)</f>
        <v/>
      </c>
      <c r="W127" s="15">
        <f>IFERROR(VLOOKUP(T127,V8_COHORT_TABLE,2,FALSE),IFERROR(VLOOKUP(P127&amp;"|"&amp;Q127&amp;"|ALL|"&amp;S127,V8_COHORT_TABLE,2,FALSE),IFERROR(VLOOKUP(P127&amp;"|ALL|ALL|"&amp;S127,V8_COHORT_TABLE,2,FALSE),IFERROR(VLOOKUP(P127&amp;"|ALL|ALL|ALL",V8_COHORT_TABLE,2,FALSE),VLOOKUP("GLOBAL",V8_COHORT_TABLE,2,FALSE)))))</f>
        <v/>
      </c>
      <c r="X127" s="15">
        <f>IFERROR(VLOOKUP(T127,V8_COHORT_TABLE,3,FALSE),IFERROR(VLOOKUP(P127&amp;"|"&amp;Q127&amp;"|ALL|"&amp;S127,V8_COHORT_TABLE,3,FALSE),IFERROR(VLOOKUP(P127&amp;"|ALL|ALL|"&amp;S127,V8_COHORT_TABLE,3,FALSE),IFERROR(VLOOKUP(P127&amp;"|ALL|ALL|ALL",V8_COHORT_TABLE,3,FALSE),VLOOKUP("GLOBAL",V8_COHORT_TABLE,3,FALSE)))))</f>
        <v/>
      </c>
      <c r="Y127" s="15">
        <f>IFERROR(VLOOKUP(T127,V8_COHORT_TABLE,4,FALSE),IFERROR(VLOOKUP(P127&amp;"|"&amp;Q127&amp;"|ALL|"&amp;S127,V8_COHORT_TABLE,4,FALSE),IFERROR(VLOOKUP(P127&amp;"|ALL|ALL|"&amp;S127,V8_COHORT_TABLE,4,FALSE),IFERROR(VLOOKUP(P127&amp;"|ALL|ALL|ALL",V8_COHORT_TABLE,4,FALSE),VLOOKUP("GLOBAL",V8_COHORT_TABLE,4,FALSE)))))</f>
        <v/>
      </c>
      <c r="Z127" s="15">
        <f>IFERROR(VLOOKUP(T127,V8_COHORT_TABLE,5,FALSE),IFERROR(VLOOKUP(P127&amp;"|"&amp;Q127&amp;"|ALL|"&amp;S127,V8_COHORT_TABLE,5,FALSE),IFERROR(VLOOKUP(P127&amp;"|ALL|ALL|"&amp;S127,V8_COHORT_TABLE,5,FALSE),IFERROR(VLOOKUP(P127&amp;"|ALL|ALL|ALL",V8_COHORT_TABLE,5,FALSE),VLOOKUP("GLOBAL",V8_COHORT_TABLE,5,FALSE)))))</f>
        <v/>
      </c>
      <c r="AA127" s="15">
        <f>W127+X127/(1+EXP(-(V127-Y127)/Z127))</f>
        <v/>
      </c>
      <c r="AB127" s="15">
        <f>IFERROR(VLOOKUP(T127,V8_COHORT_TABLE,6,FALSE),IFERROR(VLOOKUP(P127&amp;"|"&amp;Q127&amp;"|ALL|"&amp;S127,V8_COHORT_TABLE,6,FALSE),IFERROR(VLOOKUP(P127&amp;"|ALL|ALL|"&amp;S127,V8_COHORT_TABLE,6,FALSE),IFERROR(VLOOKUP(P127&amp;"|ALL|ALL|ALL",V8_COHORT_TABLE,6,FALSE),VLOOKUP("GLOBAL",V8_COHORT_TABLE,6,FALSE)))))</f>
        <v/>
      </c>
      <c r="AC127" s="15">
        <f>IFERROR(VLOOKUP(T127,V8_COHORT_TABLE,7,FALSE),IFERROR(VLOOKUP(P127&amp;"|"&amp;Q127&amp;"|ALL|"&amp;S127,V8_COHORT_TABLE,7,FALSE),IFERROR(VLOOKUP(P127&amp;"|ALL|ALL|"&amp;S127,V8_COHORT_TABLE,7,FALSE),IFERROR(VLOOKUP(P127&amp;"|ALL|ALL|ALL",V8_COHORT_TABLE,7,FALSE),VLOOKUP("GLOBAL",V8_COHORT_TABLE,7,FALSE)))))</f>
        <v/>
      </c>
      <c r="AD127" s="15">
        <f>IFERROR(VLOOKUP(T127,V8_COHORT_TABLE,8,FALSE),IFERROR(VLOOKUP(P127&amp;"|"&amp;Q127&amp;"|ALL|"&amp;S127,V8_COHORT_TABLE,8,FALSE),IFERROR(VLOOKUP(P127&amp;"|ALL|ALL|"&amp;S127,V8_COHORT_TABLE,8,FALSE),IFERROR(VLOOKUP(P127&amp;"|ALL|ALL|ALL",V8_COHORT_TABLE,8,FALSE),VLOOKUP("GLOBAL",V8_COHORT_TABLE,8,FALSE)))))</f>
        <v/>
      </c>
      <c r="AE127" s="15">
        <f>IFERROR(VLOOKUP(T127,V8_COHORT_TABLE,9,FALSE),IFERROR(VLOOKUP(P127&amp;"|"&amp;Q127&amp;"|ALL|"&amp;S127,V8_COHORT_TABLE,9,FALSE),IFERROR(VLOOKUP(P127&amp;"|ALL|ALL|"&amp;S127,V8_COHORT_TABLE,9,FALSE),IFERROR(VLOOKUP(P127&amp;"|ALL|ALL|ALL",V8_COHORT_TABLE,9,FALSE),VLOOKUP("GLOBAL",V8_COHORT_TABLE,9,FALSE)))))</f>
        <v/>
      </c>
      <c r="AF127" s="8">
        <f>IF(K127&lt;=0,AB127,IF(K127&gt;=240,AE127,IF(K127&lt;=24,AB127+(K127-0)/24*(AC127-AB127),IF(K127&lt;=96,AC127+(K127-24)/72*(AD127-AC127),AD127+(K127-96)/144*(AE127-AD127)))))</f>
        <v/>
      </c>
      <c r="AG127" s="8">
        <f>IF(IF(OR(L127="",NOT(ISNUMBER(L127))),360,MAX(0,MIN(480,(INT(L127/100)-INT(VALUE(F127)/100))*12+MOD(L127,100)-MOD(VALUE(F127),100))))&gt;0,1+V8_MTY_AMP*MAX(0,(V8_MTY_CUTOFF-(IF(OR(L127="",NOT(ISNUMBER(L127))),360,MAX(0,MIN(480,(INT(L127/100)-INT(VALUE(F127)/100))*12+MOD(L127,100)-MOD(VALUE(F127),100))))))/V8_MTY_CUTOFF),1)</f>
        <v/>
      </c>
      <c r="AH127" s="8">
        <f>IF(AND(IF(OR(M127="",NOT(ISNUMBER(M127))),0,MAX(0,MIN(24,(INT(VALUE(F127)/100)-INT(M127/100))*12+MOD(VALUE(F127),100)-MOD(M127,100))))&gt;0,IF(OR(M127="",NOT(ISNUMBER(M127))),0,MAX(0,MIN(24,(INT(VALUE(F127)/100)-INT(M127/100))*12+MOD(VALUE(F127),100)-MOD(M127,100))))&lt;=12),1+V8_LOCKOUT_AMP*EXP(-(IF(OR(M127="",NOT(ISNUMBER(M127))),0,MAX(0,MIN(24,(INT(VALUE(F127)/100)-INT(M127/100))*12+MOD(VALUE(F127),100)-MOD(M127,100)))))/V8_LOCKOUT_TAU),1)</f>
        <v/>
      </c>
      <c r="AI127" s="8">
        <f>MAX(V8_BURN_FLOOR,1-V8_BURN_SLOPE*MIN(1,MAX(0,O127)))</f>
        <v/>
      </c>
      <c r="AJ127" s="15">
        <f>MIN(AA127*AF127*AG127*AH127*AI127,0.2)</f>
        <v/>
      </c>
      <c r="AK127" s="16">
        <f>1-(1-AJ127)^12</f>
        <v/>
      </c>
    </row>
    <row r="128">
      <c r="A128" s="2" t="inlineStr">
        <is>
          <t>000008335751</t>
        </is>
      </c>
      <c r="B128" t="inlineStr">
        <is>
          <t>221d4</t>
        </is>
      </c>
      <c r="C128" t="inlineStr">
        <is>
          <t>NC</t>
        </is>
      </c>
      <c r="D128" t="inlineStr">
        <is>
          <t>MERCHANTS CAPITAL CORP.</t>
        </is>
      </c>
      <c r="E128" t="n">
        <v>2018</v>
      </c>
      <c r="F128" t="inlineStr">
        <is>
          <t>202602</t>
        </is>
      </c>
      <c r="G128" s="9" t="n">
        <v>33199053.07</v>
      </c>
      <c r="H128" s="13" t="n">
        <v>3.64</v>
      </c>
      <c r="I128" s="14" t="n">
        <v>447</v>
      </c>
      <c r="J128" s="14" t="n">
        <v>7</v>
      </c>
      <c r="K128" t="n">
        <v>95</v>
      </c>
      <c r="L128" t="n">
        <v>206004</v>
      </c>
      <c r="M128" t="n">
        <v>202206</v>
      </c>
      <c r="N128" t="n">
        <v>8</v>
      </c>
      <c r="O128" s="8" t="n">
        <v>0.08421052631578947</v>
      </c>
      <c r="P128">
        <f>IF(ISNUMBER(SEARCH("232",B128)),"232",IF(ISNUMBER(SEARCH("538",B128)),"538",IF(ISNUMBER(SEARCH("223a7",B128)),"223a7",IF(ISNUMBER(SEARCH("223f",B128)),"223f","OTHER"))))</f>
        <v/>
      </c>
      <c r="Q128">
        <f>IF(UPPER(C128)="NC","NC","RP")</f>
        <v/>
      </c>
      <c r="R128">
        <f>IF(G128&lt;5000000,"small",IF(G128&lt;25000000,"medium","large"))</f>
        <v/>
      </c>
      <c r="S128">
        <f>IF(K128&lt;36,"young",IF(K128&lt;120,"seasoned","aged"))</f>
        <v/>
      </c>
      <c r="T128">
        <f>P128&amp;"|"&amp;Q128&amp;"|"&amp;R128&amp;"|"&amp;S128</f>
        <v/>
      </c>
      <c r="U128" s="14">
        <f>H128*100-I128</f>
        <v/>
      </c>
      <c r="V128" s="14">
        <f>U128-12.5*(J128+1)</f>
        <v/>
      </c>
      <c r="W128" s="15">
        <f>IFERROR(VLOOKUP(T128,V8_COHORT_TABLE,2,FALSE),IFERROR(VLOOKUP(P128&amp;"|"&amp;Q128&amp;"|ALL|"&amp;S128,V8_COHORT_TABLE,2,FALSE),IFERROR(VLOOKUP(P128&amp;"|ALL|ALL|"&amp;S128,V8_COHORT_TABLE,2,FALSE),IFERROR(VLOOKUP(P128&amp;"|ALL|ALL|ALL",V8_COHORT_TABLE,2,FALSE),VLOOKUP("GLOBAL",V8_COHORT_TABLE,2,FALSE)))))</f>
        <v/>
      </c>
      <c r="X128" s="15">
        <f>IFERROR(VLOOKUP(T128,V8_COHORT_TABLE,3,FALSE),IFERROR(VLOOKUP(P128&amp;"|"&amp;Q128&amp;"|ALL|"&amp;S128,V8_COHORT_TABLE,3,FALSE),IFERROR(VLOOKUP(P128&amp;"|ALL|ALL|"&amp;S128,V8_COHORT_TABLE,3,FALSE),IFERROR(VLOOKUP(P128&amp;"|ALL|ALL|ALL",V8_COHORT_TABLE,3,FALSE),VLOOKUP("GLOBAL",V8_COHORT_TABLE,3,FALSE)))))</f>
        <v/>
      </c>
      <c r="Y128" s="15">
        <f>IFERROR(VLOOKUP(T128,V8_COHORT_TABLE,4,FALSE),IFERROR(VLOOKUP(P128&amp;"|"&amp;Q128&amp;"|ALL|"&amp;S128,V8_COHORT_TABLE,4,FALSE),IFERROR(VLOOKUP(P128&amp;"|ALL|ALL|"&amp;S128,V8_COHORT_TABLE,4,FALSE),IFERROR(VLOOKUP(P128&amp;"|ALL|ALL|ALL",V8_COHORT_TABLE,4,FALSE),VLOOKUP("GLOBAL",V8_COHORT_TABLE,4,FALSE)))))</f>
        <v/>
      </c>
      <c r="Z128" s="15">
        <f>IFERROR(VLOOKUP(T128,V8_COHORT_TABLE,5,FALSE),IFERROR(VLOOKUP(P128&amp;"|"&amp;Q128&amp;"|ALL|"&amp;S128,V8_COHORT_TABLE,5,FALSE),IFERROR(VLOOKUP(P128&amp;"|ALL|ALL|"&amp;S128,V8_COHORT_TABLE,5,FALSE),IFERROR(VLOOKUP(P128&amp;"|ALL|ALL|ALL",V8_COHORT_TABLE,5,FALSE),VLOOKUP("GLOBAL",V8_COHORT_TABLE,5,FALSE)))))</f>
        <v/>
      </c>
      <c r="AA128" s="15">
        <f>W128+X128/(1+EXP(-(V128-Y128)/Z128))</f>
        <v/>
      </c>
      <c r="AB128" s="15">
        <f>IFERROR(VLOOKUP(T128,V8_COHORT_TABLE,6,FALSE),IFERROR(VLOOKUP(P128&amp;"|"&amp;Q128&amp;"|ALL|"&amp;S128,V8_COHORT_TABLE,6,FALSE),IFERROR(VLOOKUP(P128&amp;"|ALL|ALL|"&amp;S128,V8_COHORT_TABLE,6,FALSE),IFERROR(VLOOKUP(P128&amp;"|ALL|ALL|ALL",V8_COHORT_TABLE,6,FALSE),VLOOKUP("GLOBAL",V8_COHORT_TABLE,6,FALSE)))))</f>
        <v/>
      </c>
      <c r="AC128" s="15">
        <f>IFERROR(VLOOKUP(T128,V8_COHORT_TABLE,7,FALSE),IFERROR(VLOOKUP(P128&amp;"|"&amp;Q128&amp;"|ALL|"&amp;S128,V8_COHORT_TABLE,7,FALSE),IFERROR(VLOOKUP(P128&amp;"|ALL|ALL|"&amp;S128,V8_COHORT_TABLE,7,FALSE),IFERROR(VLOOKUP(P128&amp;"|ALL|ALL|ALL",V8_COHORT_TABLE,7,FALSE),VLOOKUP("GLOBAL",V8_COHORT_TABLE,7,FALSE)))))</f>
        <v/>
      </c>
      <c r="AD128" s="15">
        <f>IFERROR(VLOOKUP(T128,V8_COHORT_TABLE,8,FALSE),IFERROR(VLOOKUP(P128&amp;"|"&amp;Q128&amp;"|ALL|"&amp;S128,V8_COHORT_TABLE,8,FALSE),IFERROR(VLOOKUP(P128&amp;"|ALL|ALL|"&amp;S128,V8_COHORT_TABLE,8,FALSE),IFERROR(VLOOKUP(P128&amp;"|ALL|ALL|ALL",V8_COHORT_TABLE,8,FALSE),VLOOKUP("GLOBAL",V8_COHORT_TABLE,8,FALSE)))))</f>
        <v/>
      </c>
      <c r="AE128" s="15">
        <f>IFERROR(VLOOKUP(T128,V8_COHORT_TABLE,9,FALSE),IFERROR(VLOOKUP(P128&amp;"|"&amp;Q128&amp;"|ALL|"&amp;S128,V8_COHORT_TABLE,9,FALSE),IFERROR(VLOOKUP(P128&amp;"|ALL|ALL|"&amp;S128,V8_COHORT_TABLE,9,FALSE),IFERROR(VLOOKUP(P128&amp;"|ALL|ALL|ALL",V8_COHORT_TABLE,9,FALSE),VLOOKUP("GLOBAL",V8_COHORT_TABLE,9,FALSE)))))</f>
        <v/>
      </c>
      <c r="AF128" s="8">
        <f>IF(K128&lt;=0,AB128,IF(K128&gt;=240,AE128,IF(K128&lt;=24,AB128+(K128-0)/24*(AC128-AB128),IF(K128&lt;=96,AC128+(K128-24)/72*(AD128-AC128),AD128+(K128-96)/144*(AE128-AD128)))))</f>
        <v/>
      </c>
      <c r="AG128" s="8">
        <f>IF(IF(OR(L128="",NOT(ISNUMBER(L128))),360,MAX(0,MIN(480,(INT(L128/100)-INT(VALUE(F128)/100))*12+MOD(L128,100)-MOD(VALUE(F128),100))))&gt;0,1+V8_MTY_AMP*MAX(0,(V8_MTY_CUTOFF-(IF(OR(L128="",NOT(ISNUMBER(L128))),360,MAX(0,MIN(480,(INT(L128/100)-INT(VALUE(F128)/100))*12+MOD(L128,100)-MOD(VALUE(F128),100))))))/V8_MTY_CUTOFF),1)</f>
        <v/>
      </c>
      <c r="AH128" s="8">
        <f>IF(AND(IF(OR(M128="",NOT(ISNUMBER(M128))),0,MAX(0,MIN(24,(INT(VALUE(F128)/100)-INT(M128/100))*12+MOD(VALUE(F128),100)-MOD(M128,100))))&gt;0,IF(OR(M128="",NOT(ISNUMBER(M128))),0,MAX(0,MIN(24,(INT(VALUE(F128)/100)-INT(M128/100))*12+MOD(VALUE(F128),100)-MOD(M128,100))))&lt;=12),1+V8_LOCKOUT_AMP*EXP(-(IF(OR(M128="",NOT(ISNUMBER(M128))),0,MAX(0,MIN(24,(INT(VALUE(F128)/100)-INT(M128/100))*12+MOD(VALUE(F128),100)-MOD(M128,100)))))/V8_LOCKOUT_TAU),1)</f>
        <v/>
      </c>
      <c r="AI128" s="8">
        <f>MAX(V8_BURN_FLOOR,1-V8_BURN_SLOPE*MIN(1,MAX(0,O128)))</f>
        <v/>
      </c>
      <c r="AJ128" s="15">
        <f>MIN(AA128*AF128*AG128*AH128*AI128,0.2)</f>
        <v/>
      </c>
      <c r="AK128" s="16">
        <f>1-(1-AJ128)^12</f>
        <v/>
      </c>
    </row>
    <row r="129">
      <c r="A129" s="2" t="inlineStr">
        <is>
          <t>000006135951</t>
        </is>
      </c>
      <c r="B129" t="inlineStr">
        <is>
          <t>221d4</t>
        </is>
      </c>
      <c r="C129" t="inlineStr">
        <is>
          <t>NC</t>
        </is>
      </c>
      <c r="D129" t="inlineStr">
        <is>
          <t>MERCHANTS CAPITAL CORP.</t>
        </is>
      </c>
      <c r="E129" t="n">
        <v>2022</v>
      </c>
      <c r="F129" t="inlineStr">
        <is>
          <t>202602</t>
        </is>
      </c>
      <c r="G129" s="9" t="n">
        <v>14907417.95</v>
      </c>
      <c r="H129" s="13" t="n">
        <v>2.85</v>
      </c>
      <c r="I129" s="14" t="n">
        <v>447</v>
      </c>
      <c r="J129" s="14" t="n">
        <v>9</v>
      </c>
      <c r="K129" t="n">
        <v>49</v>
      </c>
      <c r="L129" t="n">
        <v>206405</v>
      </c>
      <c r="M129" t="inlineStr"/>
      <c r="N129" t="n">
        <v>0</v>
      </c>
      <c r="O129" s="8" t="n">
        <v>0</v>
      </c>
      <c r="P129">
        <f>IF(ISNUMBER(SEARCH("232",B129)),"232",IF(ISNUMBER(SEARCH("538",B129)),"538",IF(ISNUMBER(SEARCH("223a7",B129)),"223a7",IF(ISNUMBER(SEARCH("223f",B129)),"223f","OTHER"))))</f>
        <v/>
      </c>
      <c r="Q129">
        <f>IF(UPPER(C129)="NC","NC","RP")</f>
        <v/>
      </c>
      <c r="R129">
        <f>IF(G129&lt;5000000,"small",IF(G129&lt;25000000,"medium","large"))</f>
        <v/>
      </c>
      <c r="S129">
        <f>IF(K129&lt;36,"young",IF(K129&lt;120,"seasoned","aged"))</f>
        <v/>
      </c>
      <c r="T129">
        <f>P129&amp;"|"&amp;Q129&amp;"|"&amp;R129&amp;"|"&amp;S129</f>
        <v/>
      </c>
      <c r="U129" s="14">
        <f>H129*100-I129</f>
        <v/>
      </c>
      <c r="V129" s="14">
        <f>U129-12.5*(J129+1)</f>
        <v/>
      </c>
      <c r="W129" s="15">
        <f>IFERROR(VLOOKUP(T129,V8_COHORT_TABLE,2,FALSE),IFERROR(VLOOKUP(P129&amp;"|"&amp;Q129&amp;"|ALL|"&amp;S129,V8_COHORT_TABLE,2,FALSE),IFERROR(VLOOKUP(P129&amp;"|ALL|ALL|"&amp;S129,V8_COHORT_TABLE,2,FALSE),IFERROR(VLOOKUP(P129&amp;"|ALL|ALL|ALL",V8_COHORT_TABLE,2,FALSE),VLOOKUP("GLOBAL",V8_COHORT_TABLE,2,FALSE)))))</f>
        <v/>
      </c>
      <c r="X129" s="15">
        <f>IFERROR(VLOOKUP(T129,V8_COHORT_TABLE,3,FALSE),IFERROR(VLOOKUP(P129&amp;"|"&amp;Q129&amp;"|ALL|"&amp;S129,V8_COHORT_TABLE,3,FALSE),IFERROR(VLOOKUP(P129&amp;"|ALL|ALL|"&amp;S129,V8_COHORT_TABLE,3,FALSE),IFERROR(VLOOKUP(P129&amp;"|ALL|ALL|ALL",V8_COHORT_TABLE,3,FALSE),VLOOKUP("GLOBAL",V8_COHORT_TABLE,3,FALSE)))))</f>
        <v/>
      </c>
      <c r="Y129" s="15">
        <f>IFERROR(VLOOKUP(T129,V8_COHORT_TABLE,4,FALSE),IFERROR(VLOOKUP(P129&amp;"|"&amp;Q129&amp;"|ALL|"&amp;S129,V8_COHORT_TABLE,4,FALSE),IFERROR(VLOOKUP(P129&amp;"|ALL|ALL|"&amp;S129,V8_COHORT_TABLE,4,FALSE),IFERROR(VLOOKUP(P129&amp;"|ALL|ALL|ALL",V8_COHORT_TABLE,4,FALSE),VLOOKUP("GLOBAL",V8_COHORT_TABLE,4,FALSE)))))</f>
        <v/>
      </c>
      <c r="Z129" s="15">
        <f>IFERROR(VLOOKUP(T129,V8_COHORT_TABLE,5,FALSE),IFERROR(VLOOKUP(P129&amp;"|"&amp;Q129&amp;"|ALL|"&amp;S129,V8_COHORT_TABLE,5,FALSE),IFERROR(VLOOKUP(P129&amp;"|ALL|ALL|"&amp;S129,V8_COHORT_TABLE,5,FALSE),IFERROR(VLOOKUP(P129&amp;"|ALL|ALL|ALL",V8_COHORT_TABLE,5,FALSE),VLOOKUP("GLOBAL",V8_COHORT_TABLE,5,FALSE)))))</f>
        <v/>
      </c>
      <c r="AA129" s="15">
        <f>W129+X129/(1+EXP(-(V129-Y129)/Z129))</f>
        <v/>
      </c>
      <c r="AB129" s="15">
        <f>IFERROR(VLOOKUP(T129,V8_COHORT_TABLE,6,FALSE),IFERROR(VLOOKUP(P129&amp;"|"&amp;Q129&amp;"|ALL|"&amp;S129,V8_COHORT_TABLE,6,FALSE),IFERROR(VLOOKUP(P129&amp;"|ALL|ALL|"&amp;S129,V8_COHORT_TABLE,6,FALSE),IFERROR(VLOOKUP(P129&amp;"|ALL|ALL|ALL",V8_COHORT_TABLE,6,FALSE),VLOOKUP("GLOBAL",V8_COHORT_TABLE,6,FALSE)))))</f>
        <v/>
      </c>
      <c r="AC129" s="15">
        <f>IFERROR(VLOOKUP(T129,V8_COHORT_TABLE,7,FALSE),IFERROR(VLOOKUP(P129&amp;"|"&amp;Q129&amp;"|ALL|"&amp;S129,V8_COHORT_TABLE,7,FALSE),IFERROR(VLOOKUP(P129&amp;"|ALL|ALL|"&amp;S129,V8_COHORT_TABLE,7,FALSE),IFERROR(VLOOKUP(P129&amp;"|ALL|ALL|ALL",V8_COHORT_TABLE,7,FALSE),VLOOKUP("GLOBAL",V8_COHORT_TABLE,7,FALSE)))))</f>
        <v/>
      </c>
      <c r="AD129" s="15">
        <f>IFERROR(VLOOKUP(T129,V8_COHORT_TABLE,8,FALSE),IFERROR(VLOOKUP(P129&amp;"|"&amp;Q129&amp;"|ALL|"&amp;S129,V8_COHORT_TABLE,8,FALSE),IFERROR(VLOOKUP(P129&amp;"|ALL|ALL|"&amp;S129,V8_COHORT_TABLE,8,FALSE),IFERROR(VLOOKUP(P129&amp;"|ALL|ALL|ALL",V8_COHORT_TABLE,8,FALSE),VLOOKUP("GLOBAL",V8_COHORT_TABLE,8,FALSE)))))</f>
        <v/>
      </c>
      <c r="AE129" s="15">
        <f>IFERROR(VLOOKUP(T129,V8_COHORT_TABLE,9,FALSE),IFERROR(VLOOKUP(P129&amp;"|"&amp;Q129&amp;"|ALL|"&amp;S129,V8_COHORT_TABLE,9,FALSE),IFERROR(VLOOKUP(P129&amp;"|ALL|ALL|"&amp;S129,V8_COHORT_TABLE,9,FALSE),IFERROR(VLOOKUP(P129&amp;"|ALL|ALL|ALL",V8_COHORT_TABLE,9,FALSE),VLOOKUP("GLOBAL",V8_COHORT_TABLE,9,FALSE)))))</f>
        <v/>
      </c>
      <c r="AF129" s="8">
        <f>IF(K129&lt;=0,AB129,IF(K129&gt;=240,AE129,IF(K129&lt;=24,AB129+(K129-0)/24*(AC129-AB129),IF(K129&lt;=96,AC129+(K129-24)/72*(AD129-AC129),AD129+(K129-96)/144*(AE129-AD129)))))</f>
        <v/>
      </c>
      <c r="AG129" s="8">
        <f>IF(IF(OR(L129="",NOT(ISNUMBER(L129))),360,MAX(0,MIN(480,(INT(L129/100)-INT(VALUE(F129)/100))*12+MOD(L129,100)-MOD(VALUE(F129),100))))&gt;0,1+V8_MTY_AMP*MAX(0,(V8_MTY_CUTOFF-(IF(OR(L129="",NOT(ISNUMBER(L129))),360,MAX(0,MIN(480,(INT(L129/100)-INT(VALUE(F129)/100))*12+MOD(L129,100)-MOD(VALUE(F129),100))))))/V8_MTY_CUTOFF),1)</f>
        <v/>
      </c>
      <c r="AH129" s="8">
        <f>IF(AND(IF(OR(M129="",NOT(ISNUMBER(M129))),0,MAX(0,MIN(24,(INT(VALUE(F129)/100)-INT(M129/100))*12+MOD(VALUE(F129),100)-MOD(M129,100))))&gt;0,IF(OR(M129="",NOT(ISNUMBER(M129))),0,MAX(0,MIN(24,(INT(VALUE(F129)/100)-INT(M129/100))*12+MOD(VALUE(F129),100)-MOD(M129,100))))&lt;=12),1+V8_LOCKOUT_AMP*EXP(-(IF(OR(M129="",NOT(ISNUMBER(M129))),0,MAX(0,MIN(24,(INT(VALUE(F129)/100)-INT(M129/100))*12+MOD(VALUE(F129),100)-MOD(M129,100)))))/V8_LOCKOUT_TAU),1)</f>
        <v/>
      </c>
      <c r="AI129" s="8">
        <f>MAX(V8_BURN_FLOOR,1-V8_BURN_SLOPE*MIN(1,MAX(0,O129)))</f>
        <v/>
      </c>
      <c r="AJ129" s="15">
        <f>MIN(AA129*AF129*AG129*AH129*AI129,0.2)</f>
        <v/>
      </c>
      <c r="AK129" s="16">
        <f>1-(1-AJ129)^12</f>
        <v/>
      </c>
    </row>
    <row r="130">
      <c r="A130" s="2" t="inlineStr">
        <is>
          <t>036388457355</t>
        </is>
      </c>
      <c r="B130" t="inlineStr">
        <is>
          <t>OTHER</t>
        </is>
      </c>
      <c r="C130" t="inlineStr">
        <is>
          <t>OTHER</t>
        </is>
      </c>
      <c r="D130" t="inlineStr">
        <is>
          <t>MERCHANTS CAPITAL CORP.</t>
        </is>
      </c>
      <c r="E130" t="n">
        <v>2007</v>
      </c>
      <c r="F130" t="inlineStr">
        <is>
          <t>202602</t>
        </is>
      </c>
      <c r="G130" s="9" t="n">
        <v>359130.32</v>
      </c>
      <c r="H130" s="13" t="n">
        <v>7.28</v>
      </c>
      <c r="I130" s="14" t="n">
        <v>447</v>
      </c>
      <c r="J130" s="14" t="n">
        <v>0</v>
      </c>
      <c r="K130" t="n">
        <v>219</v>
      </c>
      <c r="L130" t="n">
        <v>204711</v>
      </c>
      <c r="M130" t="n">
        <v>200811</v>
      </c>
      <c r="N130" t="n">
        <v>37</v>
      </c>
      <c r="O130" s="8" t="n">
        <v>0.1689497716894977</v>
      </c>
      <c r="P130">
        <f>IF(ISNUMBER(SEARCH("232",B130)),"232",IF(ISNUMBER(SEARCH("538",B130)),"538",IF(ISNUMBER(SEARCH("223a7",B130)),"223a7",IF(ISNUMBER(SEARCH("223f",B130)),"223f","OTHER"))))</f>
        <v/>
      </c>
      <c r="Q130">
        <f>IF(UPPER(C130)="NC","NC","RP")</f>
        <v/>
      </c>
      <c r="R130">
        <f>IF(G130&lt;5000000,"small",IF(G130&lt;25000000,"medium","large"))</f>
        <v/>
      </c>
      <c r="S130">
        <f>IF(K130&lt;36,"young",IF(K130&lt;120,"seasoned","aged"))</f>
        <v/>
      </c>
      <c r="T130">
        <f>P130&amp;"|"&amp;Q130&amp;"|"&amp;R130&amp;"|"&amp;S130</f>
        <v/>
      </c>
      <c r="U130" s="14">
        <f>H130*100-I130</f>
        <v/>
      </c>
      <c r="V130" s="14">
        <f>U130-12.5*(J130+1)</f>
        <v/>
      </c>
      <c r="W130" s="15">
        <f>IFERROR(VLOOKUP(T130,V8_COHORT_TABLE,2,FALSE),IFERROR(VLOOKUP(P130&amp;"|"&amp;Q130&amp;"|ALL|"&amp;S130,V8_COHORT_TABLE,2,FALSE),IFERROR(VLOOKUP(P130&amp;"|ALL|ALL|"&amp;S130,V8_COHORT_TABLE,2,FALSE),IFERROR(VLOOKUP(P130&amp;"|ALL|ALL|ALL",V8_COHORT_TABLE,2,FALSE),VLOOKUP("GLOBAL",V8_COHORT_TABLE,2,FALSE)))))</f>
        <v/>
      </c>
      <c r="X130" s="15">
        <f>IFERROR(VLOOKUP(T130,V8_COHORT_TABLE,3,FALSE),IFERROR(VLOOKUP(P130&amp;"|"&amp;Q130&amp;"|ALL|"&amp;S130,V8_COHORT_TABLE,3,FALSE),IFERROR(VLOOKUP(P130&amp;"|ALL|ALL|"&amp;S130,V8_COHORT_TABLE,3,FALSE),IFERROR(VLOOKUP(P130&amp;"|ALL|ALL|ALL",V8_COHORT_TABLE,3,FALSE),VLOOKUP("GLOBAL",V8_COHORT_TABLE,3,FALSE)))))</f>
        <v/>
      </c>
      <c r="Y130" s="15">
        <f>IFERROR(VLOOKUP(T130,V8_COHORT_TABLE,4,FALSE),IFERROR(VLOOKUP(P130&amp;"|"&amp;Q130&amp;"|ALL|"&amp;S130,V8_COHORT_TABLE,4,FALSE),IFERROR(VLOOKUP(P130&amp;"|ALL|ALL|"&amp;S130,V8_COHORT_TABLE,4,FALSE),IFERROR(VLOOKUP(P130&amp;"|ALL|ALL|ALL",V8_COHORT_TABLE,4,FALSE),VLOOKUP("GLOBAL",V8_COHORT_TABLE,4,FALSE)))))</f>
        <v/>
      </c>
      <c r="Z130" s="15">
        <f>IFERROR(VLOOKUP(T130,V8_COHORT_TABLE,5,FALSE),IFERROR(VLOOKUP(P130&amp;"|"&amp;Q130&amp;"|ALL|"&amp;S130,V8_COHORT_TABLE,5,FALSE),IFERROR(VLOOKUP(P130&amp;"|ALL|ALL|"&amp;S130,V8_COHORT_TABLE,5,FALSE),IFERROR(VLOOKUP(P130&amp;"|ALL|ALL|ALL",V8_COHORT_TABLE,5,FALSE),VLOOKUP("GLOBAL",V8_COHORT_TABLE,5,FALSE)))))</f>
        <v/>
      </c>
      <c r="AA130" s="15">
        <f>W130+X130/(1+EXP(-(V130-Y130)/Z130))</f>
        <v/>
      </c>
      <c r="AB130" s="15">
        <f>IFERROR(VLOOKUP(T130,V8_COHORT_TABLE,6,FALSE),IFERROR(VLOOKUP(P130&amp;"|"&amp;Q130&amp;"|ALL|"&amp;S130,V8_COHORT_TABLE,6,FALSE),IFERROR(VLOOKUP(P130&amp;"|ALL|ALL|"&amp;S130,V8_COHORT_TABLE,6,FALSE),IFERROR(VLOOKUP(P130&amp;"|ALL|ALL|ALL",V8_COHORT_TABLE,6,FALSE),VLOOKUP("GLOBAL",V8_COHORT_TABLE,6,FALSE)))))</f>
        <v/>
      </c>
      <c r="AC130" s="15">
        <f>IFERROR(VLOOKUP(T130,V8_COHORT_TABLE,7,FALSE),IFERROR(VLOOKUP(P130&amp;"|"&amp;Q130&amp;"|ALL|"&amp;S130,V8_COHORT_TABLE,7,FALSE),IFERROR(VLOOKUP(P130&amp;"|ALL|ALL|"&amp;S130,V8_COHORT_TABLE,7,FALSE),IFERROR(VLOOKUP(P130&amp;"|ALL|ALL|ALL",V8_COHORT_TABLE,7,FALSE),VLOOKUP("GLOBAL",V8_COHORT_TABLE,7,FALSE)))))</f>
        <v/>
      </c>
      <c r="AD130" s="15">
        <f>IFERROR(VLOOKUP(T130,V8_COHORT_TABLE,8,FALSE),IFERROR(VLOOKUP(P130&amp;"|"&amp;Q130&amp;"|ALL|"&amp;S130,V8_COHORT_TABLE,8,FALSE),IFERROR(VLOOKUP(P130&amp;"|ALL|ALL|"&amp;S130,V8_COHORT_TABLE,8,FALSE),IFERROR(VLOOKUP(P130&amp;"|ALL|ALL|ALL",V8_COHORT_TABLE,8,FALSE),VLOOKUP("GLOBAL",V8_COHORT_TABLE,8,FALSE)))))</f>
        <v/>
      </c>
      <c r="AE130" s="15">
        <f>IFERROR(VLOOKUP(T130,V8_COHORT_TABLE,9,FALSE),IFERROR(VLOOKUP(P130&amp;"|"&amp;Q130&amp;"|ALL|"&amp;S130,V8_COHORT_TABLE,9,FALSE),IFERROR(VLOOKUP(P130&amp;"|ALL|ALL|"&amp;S130,V8_COHORT_TABLE,9,FALSE),IFERROR(VLOOKUP(P130&amp;"|ALL|ALL|ALL",V8_COHORT_TABLE,9,FALSE),VLOOKUP("GLOBAL",V8_COHORT_TABLE,9,FALSE)))))</f>
        <v/>
      </c>
      <c r="AF130" s="8">
        <f>IF(K130&lt;=0,AB130,IF(K130&gt;=240,AE130,IF(K130&lt;=24,AB130+(K130-0)/24*(AC130-AB130),IF(K130&lt;=96,AC130+(K130-24)/72*(AD130-AC130),AD130+(K130-96)/144*(AE130-AD130)))))</f>
        <v/>
      </c>
      <c r="AG130" s="8">
        <f>IF(IF(OR(L130="",NOT(ISNUMBER(L130))),360,MAX(0,MIN(480,(INT(L130/100)-INT(VALUE(F130)/100))*12+MOD(L130,100)-MOD(VALUE(F130),100))))&gt;0,1+V8_MTY_AMP*MAX(0,(V8_MTY_CUTOFF-(IF(OR(L130="",NOT(ISNUMBER(L130))),360,MAX(0,MIN(480,(INT(L130/100)-INT(VALUE(F130)/100))*12+MOD(L130,100)-MOD(VALUE(F130),100))))))/V8_MTY_CUTOFF),1)</f>
        <v/>
      </c>
      <c r="AH130" s="8">
        <f>IF(AND(IF(OR(M130="",NOT(ISNUMBER(M130))),0,MAX(0,MIN(24,(INT(VALUE(F130)/100)-INT(M130/100))*12+MOD(VALUE(F130),100)-MOD(M130,100))))&gt;0,IF(OR(M130="",NOT(ISNUMBER(M130))),0,MAX(0,MIN(24,(INT(VALUE(F130)/100)-INT(M130/100))*12+MOD(VALUE(F130),100)-MOD(M130,100))))&lt;=12),1+V8_LOCKOUT_AMP*EXP(-(IF(OR(M130="",NOT(ISNUMBER(M130))),0,MAX(0,MIN(24,(INT(VALUE(F130)/100)-INT(M130/100))*12+MOD(VALUE(F130),100)-MOD(M130,100)))))/V8_LOCKOUT_TAU),1)</f>
        <v/>
      </c>
      <c r="AI130" s="8">
        <f>MAX(V8_BURN_FLOOR,1-V8_BURN_SLOPE*MIN(1,MAX(0,O130)))</f>
        <v/>
      </c>
      <c r="AJ130" s="15">
        <f>MIN(AA130*AF130*AG130*AH130*AI130,0.2)</f>
        <v/>
      </c>
      <c r="AK130" s="16">
        <f>1-(1-AJ130)^12</f>
        <v/>
      </c>
    </row>
    <row r="131">
      <c r="A131" s="2" t="inlineStr">
        <is>
          <t>000007211147</t>
        </is>
      </c>
      <c r="B131" t="inlineStr">
        <is>
          <t>223f</t>
        </is>
      </c>
      <c r="C131" t="inlineStr">
        <is>
          <t>RP</t>
        </is>
      </c>
      <c r="D131" t="inlineStr">
        <is>
          <t>MERCHANTS CAPITAL CORP.</t>
        </is>
      </c>
      <c r="E131" t="n">
        <v>2014</v>
      </c>
      <c r="F131" t="inlineStr">
        <is>
          <t>202602</t>
        </is>
      </c>
      <c r="G131" s="9" t="n">
        <v>4604677.56</v>
      </c>
      <c r="H131" s="13" t="n">
        <v>2.92</v>
      </c>
      <c r="I131" s="14" t="n">
        <v>447</v>
      </c>
      <c r="J131" s="14" t="n">
        <v>4</v>
      </c>
      <c r="K131" t="n">
        <v>135</v>
      </c>
      <c r="L131" t="n">
        <v>204912</v>
      </c>
      <c r="M131" t="inlineStr"/>
      <c r="N131" t="n">
        <v>10</v>
      </c>
      <c r="O131" s="8" t="n">
        <v>0.07407407407407407</v>
      </c>
      <c r="P131">
        <f>IF(ISNUMBER(SEARCH("232",B131)),"232",IF(ISNUMBER(SEARCH("538",B131)),"538",IF(ISNUMBER(SEARCH("223a7",B131)),"223a7",IF(ISNUMBER(SEARCH("223f",B131)),"223f","OTHER"))))</f>
        <v/>
      </c>
      <c r="Q131">
        <f>IF(UPPER(C131)="NC","NC","RP")</f>
        <v/>
      </c>
      <c r="R131">
        <f>IF(G131&lt;5000000,"small",IF(G131&lt;25000000,"medium","large"))</f>
        <v/>
      </c>
      <c r="S131">
        <f>IF(K131&lt;36,"young",IF(K131&lt;120,"seasoned","aged"))</f>
        <v/>
      </c>
      <c r="T131">
        <f>P131&amp;"|"&amp;Q131&amp;"|"&amp;R131&amp;"|"&amp;S131</f>
        <v/>
      </c>
      <c r="U131" s="14">
        <f>H131*100-I131</f>
        <v/>
      </c>
      <c r="V131" s="14">
        <f>U131-12.5*(J131+1)</f>
        <v/>
      </c>
      <c r="W131" s="15">
        <f>IFERROR(VLOOKUP(T131,V8_COHORT_TABLE,2,FALSE),IFERROR(VLOOKUP(P131&amp;"|"&amp;Q131&amp;"|ALL|"&amp;S131,V8_COHORT_TABLE,2,FALSE),IFERROR(VLOOKUP(P131&amp;"|ALL|ALL|"&amp;S131,V8_COHORT_TABLE,2,FALSE),IFERROR(VLOOKUP(P131&amp;"|ALL|ALL|ALL",V8_COHORT_TABLE,2,FALSE),VLOOKUP("GLOBAL",V8_COHORT_TABLE,2,FALSE)))))</f>
        <v/>
      </c>
      <c r="X131" s="15">
        <f>IFERROR(VLOOKUP(T131,V8_COHORT_TABLE,3,FALSE),IFERROR(VLOOKUP(P131&amp;"|"&amp;Q131&amp;"|ALL|"&amp;S131,V8_COHORT_TABLE,3,FALSE),IFERROR(VLOOKUP(P131&amp;"|ALL|ALL|"&amp;S131,V8_COHORT_TABLE,3,FALSE),IFERROR(VLOOKUP(P131&amp;"|ALL|ALL|ALL",V8_COHORT_TABLE,3,FALSE),VLOOKUP("GLOBAL",V8_COHORT_TABLE,3,FALSE)))))</f>
        <v/>
      </c>
      <c r="Y131" s="15">
        <f>IFERROR(VLOOKUP(T131,V8_COHORT_TABLE,4,FALSE),IFERROR(VLOOKUP(P131&amp;"|"&amp;Q131&amp;"|ALL|"&amp;S131,V8_COHORT_TABLE,4,FALSE),IFERROR(VLOOKUP(P131&amp;"|ALL|ALL|"&amp;S131,V8_COHORT_TABLE,4,FALSE),IFERROR(VLOOKUP(P131&amp;"|ALL|ALL|ALL",V8_COHORT_TABLE,4,FALSE),VLOOKUP("GLOBAL",V8_COHORT_TABLE,4,FALSE)))))</f>
        <v/>
      </c>
      <c r="Z131" s="15">
        <f>IFERROR(VLOOKUP(T131,V8_COHORT_TABLE,5,FALSE),IFERROR(VLOOKUP(P131&amp;"|"&amp;Q131&amp;"|ALL|"&amp;S131,V8_COHORT_TABLE,5,FALSE),IFERROR(VLOOKUP(P131&amp;"|ALL|ALL|"&amp;S131,V8_COHORT_TABLE,5,FALSE),IFERROR(VLOOKUP(P131&amp;"|ALL|ALL|ALL",V8_COHORT_TABLE,5,FALSE),VLOOKUP("GLOBAL",V8_COHORT_TABLE,5,FALSE)))))</f>
        <v/>
      </c>
      <c r="AA131" s="15">
        <f>W131+X131/(1+EXP(-(V131-Y131)/Z131))</f>
        <v/>
      </c>
      <c r="AB131" s="15">
        <f>IFERROR(VLOOKUP(T131,V8_COHORT_TABLE,6,FALSE),IFERROR(VLOOKUP(P131&amp;"|"&amp;Q131&amp;"|ALL|"&amp;S131,V8_COHORT_TABLE,6,FALSE),IFERROR(VLOOKUP(P131&amp;"|ALL|ALL|"&amp;S131,V8_COHORT_TABLE,6,FALSE),IFERROR(VLOOKUP(P131&amp;"|ALL|ALL|ALL",V8_COHORT_TABLE,6,FALSE),VLOOKUP("GLOBAL",V8_COHORT_TABLE,6,FALSE)))))</f>
        <v/>
      </c>
      <c r="AC131" s="15">
        <f>IFERROR(VLOOKUP(T131,V8_COHORT_TABLE,7,FALSE),IFERROR(VLOOKUP(P131&amp;"|"&amp;Q131&amp;"|ALL|"&amp;S131,V8_COHORT_TABLE,7,FALSE),IFERROR(VLOOKUP(P131&amp;"|ALL|ALL|"&amp;S131,V8_COHORT_TABLE,7,FALSE),IFERROR(VLOOKUP(P131&amp;"|ALL|ALL|ALL",V8_COHORT_TABLE,7,FALSE),VLOOKUP("GLOBAL",V8_COHORT_TABLE,7,FALSE)))))</f>
        <v/>
      </c>
      <c r="AD131" s="15">
        <f>IFERROR(VLOOKUP(T131,V8_COHORT_TABLE,8,FALSE),IFERROR(VLOOKUP(P131&amp;"|"&amp;Q131&amp;"|ALL|"&amp;S131,V8_COHORT_TABLE,8,FALSE),IFERROR(VLOOKUP(P131&amp;"|ALL|ALL|"&amp;S131,V8_COHORT_TABLE,8,FALSE),IFERROR(VLOOKUP(P131&amp;"|ALL|ALL|ALL",V8_COHORT_TABLE,8,FALSE),VLOOKUP("GLOBAL",V8_COHORT_TABLE,8,FALSE)))))</f>
        <v/>
      </c>
      <c r="AE131" s="15">
        <f>IFERROR(VLOOKUP(T131,V8_COHORT_TABLE,9,FALSE),IFERROR(VLOOKUP(P131&amp;"|"&amp;Q131&amp;"|ALL|"&amp;S131,V8_COHORT_TABLE,9,FALSE),IFERROR(VLOOKUP(P131&amp;"|ALL|ALL|"&amp;S131,V8_COHORT_TABLE,9,FALSE),IFERROR(VLOOKUP(P131&amp;"|ALL|ALL|ALL",V8_COHORT_TABLE,9,FALSE),VLOOKUP("GLOBAL",V8_COHORT_TABLE,9,FALSE)))))</f>
        <v/>
      </c>
      <c r="AF131" s="8">
        <f>IF(K131&lt;=0,AB131,IF(K131&gt;=240,AE131,IF(K131&lt;=24,AB131+(K131-0)/24*(AC131-AB131),IF(K131&lt;=96,AC131+(K131-24)/72*(AD131-AC131),AD131+(K131-96)/144*(AE131-AD131)))))</f>
        <v/>
      </c>
      <c r="AG131" s="8">
        <f>IF(IF(OR(L131="",NOT(ISNUMBER(L131))),360,MAX(0,MIN(480,(INT(L131/100)-INT(VALUE(F131)/100))*12+MOD(L131,100)-MOD(VALUE(F131),100))))&gt;0,1+V8_MTY_AMP*MAX(0,(V8_MTY_CUTOFF-(IF(OR(L131="",NOT(ISNUMBER(L131))),360,MAX(0,MIN(480,(INT(L131/100)-INT(VALUE(F131)/100))*12+MOD(L131,100)-MOD(VALUE(F131),100))))))/V8_MTY_CUTOFF),1)</f>
        <v/>
      </c>
      <c r="AH131" s="8">
        <f>IF(AND(IF(OR(M131="",NOT(ISNUMBER(M131))),0,MAX(0,MIN(24,(INT(VALUE(F131)/100)-INT(M131/100))*12+MOD(VALUE(F131),100)-MOD(M131,100))))&gt;0,IF(OR(M131="",NOT(ISNUMBER(M131))),0,MAX(0,MIN(24,(INT(VALUE(F131)/100)-INT(M131/100))*12+MOD(VALUE(F131),100)-MOD(M131,100))))&lt;=12),1+V8_LOCKOUT_AMP*EXP(-(IF(OR(M131="",NOT(ISNUMBER(M131))),0,MAX(0,MIN(24,(INT(VALUE(F131)/100)-INT(M131/100))*12+MOD(VALUE(F131),100)-MOD(M131,100)))))/V8_LOCKOUT_TAU),1)</f>
        <v/>
      </c>
      <c r="AI131" s="8">
        <f>MAX(V8_BURN_FLOOR,1-V8_BURN_SLOPE*MIN(1,MAX(0,O131)))</f>
        <v/>
      </c>
      <c r="AJ131" s="15">
        <f>MIN(AA131*AF131*AG131*AH131*AI131,0.2)</f>
        <v/>
      </c>
      <c r="AK131" s="16">
        <f>1-(1-AJ131)^12</f>
        <v/>
      </c>
    </row>
    <row r="132">
      <c r="A132" s="2" t="inlineStr">
        <is>
          <t>000007522247</t>
        </is>
      </c>
      <c r="B132" t="inlineStr">
        <is>
          <t>232</t>
        </is>
      </c>
      <c r="C132" t="inlineStr">
        <is>
          <t>RP</t>
        </is>
      </c>
      <c r="D132" t="inlineStr">
        <is>
          <t>MERCHANTS CAPITAL CORP.</t>
        </is>
      </c>
      <c r="E132" t="n">
        <v>2022</v>
      </c>
      <c r="F132" t="inlineStr">
        <is>
          <t>202602</t>
        </is>
      </c>
      <c r="G132" s="9" t="n">
        <v>4811062.66</v>
      </c>
      <c r="H132" s="13" t="n">
        <v>4.18</v>
      </c>
      <c r="I132" s="14" t="n">
        <v>447</v>
      </c>
      <c r="J132" s="14" t="n">
        <v>7</v>
      </c>
      <c r="K132" t="n">
        <v>40</v>
      </c>
      <c r="L132" t="n">
        <v>205711</v>
      </c>
      <c r="M132" t="inlineStr"/>
      <c r="N132" t="n">
        <v>0</v>
      </c>
      <c r="O132" s="8" t="n">
        <v>0</v>
      </c>
      <c r="P132">
        <f>IF(ISNUMBER(SEARCH("232",B132)),"232",IF(ISNUMBER(SEARCH("538",B132)),"538",IF(ISNUMBER(SEARCH("223a7",B132)),"223a7",IF(ISNUMBER(SEARCH("223f",B132)),"223f","OTHER"))))</f>
        <v/>
      </c>
      <c r="Q132">
        <f>IF(UPPER(C132)="NC","NC","RP")</f>
        <v/>
      </c>
      <c r="R132">
        <f>IF(G132&lt;5000000,"small",IF(G132&lt;25000000,"medium","large"))</f>
        <v/>
      </c>
      <c r="S132">
        <f>IF(K132&lt;36,"young",IF(K132&lt;120,"seasoned","aged"))</f>
        <v/>
      </c>
      <c r="T132">
        <f>P132&amp;"|"&amp;Q132&amp;"|"&amp;R132&amp;"|"&amp;S132</f>
        <v/>
      </c>
      <c r="U132" s="14">
        <f>H132*100-I132</f>
        <v/>
      </c>
      <c r="V132" s="14">
        <f>U132-12.5*(J132+1)</f>
        <v/>
      </c>
      <c r="W132" s="15">
        <f>IFERROR(VLOOKUP(T132,V8_COHORT_TABLE,2,FALSE),IFERROR(VLOOKUP(P132&amp;"|"&amp;Q132&amp;"|ALL|"&amp;S132,V8_COHORT_TABLE,2,FALSE),IFERROR(VLOOKUP(P132&amp;"|ALL|ALL|"&amp;S132,V8_COHORT_TABLE,2,FALSE),IFERROR(VLOOKUP(P132&amp;"|ALL|ALL|ALL",V8_COHORT_TABLE,2,FALSE),VLOOKUP("GLOBAL",V8_COHORT_TABLE,2,FALSE)))))</f>
        <v/>
      </c>
      <c r="X132" s="15">
        <f>IFERROR(VLOOKUP(T132,V8_COHORT_TABLE,3,FALSE),IFERROR(VLOOKUP(P132&amp;"|"&amp;Q132&amp;"|ALL|"&amp;S132,V8_COHORT_TABLE,3,FALSE),IFERROR(VLOOKUP(P132&amp;"|ALL|ALL|"&amp;S132,V8_COHORT_TABLE,3,FALSE),IFERROR(VLOOKUP(P132&amp;"|ALL|ALL|ALL",V8_COHORT_TABLE,3,FALSE),VLOOKUP("GLOBAL",V8_COHORT_TABLE,3,FALSE)))))</f>
        <v/>
      </c>
      <c r="Y132" s="15">
        <f>IFERROR(VLOOKUP(T132,V8_COHORT_TABLE,4,FALSE),IFERROR(VLOOKUP(P132&amp;"|"&amp;Q132&amp;"|ALL|"&amp;S132,V8_COHORT_TABLE,4,FALSE),IFERROR(VLOOKUP(P132&amp;"|ALL|ALL|"&amp;S132,V8_COHORT_TABLE,4,FALSE),IFERROR(VLOOKUP(P132&amp;"|ALL|ALL|ALL",V8_COHORT_TABLE,4,FALSE),VLOOKUP("GLOBAL",V8_COHORT_TABLE,4,FALSE)))))</f>
        <v/>
      </c>
      <c r="Z132" s="15">
        <f>IFERROR(VLOOKUP(T132,V8_COHORT_TABLE,5,FALSE),IFERROR(VLOOKUP(P132&amp;"|"&amp;Q132&amp;"|ALL|"&amp;S132,V8_COHORT_TABLE,5,FALSE),IFERROR(VLOOKUP(P132&amp;"|ALL|ALL|"&amp;S132,V8_COHORT_TABLE,5,FALSE),IFERROR(VLOOKUP(P132&amp;"|ALL|ALL|ALL",V8_COHORT_TABLE,5,FALSE),VLOOKUP("GLOBAL",V8_COHORT_TABLE,5,FALSE)))))</f>
        <v/>
      </c>
      <c r="AA132" s="15">
        <f>W132+X132/(1+EXP(-(V132-Y132)/Z132))</f>
        <v/>
      </c>
      <c r="AB132" s="15">
        <f>IFERROR(VLOOKUP(T132,V8_COHORT_TABLE,6,FALSE),IFERROR(VLOOKUP(P132&amp;"|"&amp;Q132&amp;"|ALL|"&amp;S132,V8_COHORT_TABLE,6,FALSE),IFERROR(VLOOKUP(P132&amp;"|ALL|ALL|"&amp;S132,V8_COHORT_TABLE,6,FALSE),IFERROR(VLOOKUP(P132&amp;"|ALL|ALL|ALL",V8_COHORT_TABLE,6,FALSE),VLOOKUP("GLOBAL",V8_COHORT_TABLE,6,FALSE)))))</f>
        <v/>
      </c>
      <c r="AC132" s="15">
        <f>IFERROR(VLOOKUP(T132,V8_COHORT_TABLE,7,FALSE),IFERROR(VLOOKUP(P132&amp;"|"&amp;Q132&amp;"|ALL|"&amp;S132,V8_COHORT_TABLE,7,FALSE),IFERROR(VLOOKUP(P132&amp;"|ALL|ALL|"&amp;S132,V8_COHORT_TABLE,7,FALSE),IFERROR(VLOOKUP(P132&amp;"|ALL|ALL|ALL",V8_COHORT_TABLE,7,FALSE),VLOOKUP("GLOBAL",V8_COHORT_TABLE,7,FALSE)))))</f>
        <v/>
      </c>
      <c r="AD132" s="15">
        <f>IFERROR(VLOOKUP(T132,V8_COHORT_TABLE,8,FALSE),IFERROR(VLOOKUP(P132&amp;"|"&amp;Q132&amp;"|ALL|"&amp;S132,V8_COHORT_TABLE,8,FALSE),IFERROR(VLOOKUP(P132&amp;"|ALL|ALL|"&amp;S132,V8_COHORT_TABLE,8,FALSE),IFERROR(VLOOKUP(P132&amp;"|ALL|ALL|ALL",V8_COHORT_TABLE,8,FALSE),VLOOKUP("GLOBAL",V8_COHORT_TABLE,8,FALSE)))))</f>
        <v/>
      </c>
      <c r="AE132" s="15">
        <f>IFERROR(VLOOKUP(T132,V8_COHORT_TABLE,9,FALSE),IFERROR(VLOOKUP(P132&amp;"|"&amp;Q132&amp;"|ALL|"&amp;S132,V8_COHORT_TABLE,9,FALSE),IFERROR(VLOOKUP(P132&amp;"|ALL|ALL|"&amp;S132,V8_COHORT_TABLE,9,FALSE),IFERROR(VLOOKUP(P132&amp;"|ALL|ALL|ALL",V8_COHORT_TABLE,9,FALSE),VLOOKUP("GLOBAL",V8_COHORT_TABLE,9,FALSE)))))</f>
        <v/>
      </c>
      <c r="AF132" s="8">
        <f>IF(K132&lt;=0,AB132,IF(K132&gt;=240,AE132,IF(K132&lt;=24,AB132+(K132-0)/24*(AC132-AB132),IF(K132&lt;=96,AC132+(K132-24)/72*(AD132-AC132),AD132+(K132-96)/144*(AE132-AD132)))))</f>
        <v/>
      </c>
      <c r="AG132" s="8">
        <f>IF(IF(OR(L132="",NOT(ISNUMBER(L132))),360,MAX(0,MIN(480,(INT(L132/100)-INT(VALUE(F132)/100))*12+MOD(L132,100)-MOD(VALUE(F132),100))))&gt;0,1+V8_MTY_AMP*MAX(0,(V8_MTY_CUTOFF-(IF(OR(L132="",NOT(ISNUMBER(L132))),360,MAX(0,MIN(480,(INT(L132/100)-INT(VALUE(F132)/100))*12+MOD(L132,100)-MOD(VALUE(F132),100))))))/V8_MTY_CUTOFF),1)</f>
        <v/>
      </c>
      <c r="AH132" s="8">
        <f>IF(AND(IF(OR(M132="",NOT(ISNUMBER(M132))),0,MAX(0,MIN(24,(INT(VALUE(F132)/100)-INT(M132/100))*12+MOD(VALUE(F132),100)-MOD(M132,100))))&gt;0,IF(OR(M132="",NOT(ISNUMBER(M132))),0,MAX(0,MIN(24,(INT(VALUE(F132)/100)-INT(M132/100))*12+MOD(VALUE(F132),100)-MOD(M132,100))))&lt;=12),1+V8_LOCKOUT_AMP*EXP(-(IF(OR(M132="",NOT(ISNUMBER(M132))),0,MAX(0,MIN(24,(INT(VALUE(F132)/100)-INT(M132/100))*12+MOD(VALUE(F132),100)-MOD(M132,100)))))/V8_LOCKOUT_TAU),1)</f>
        <v/>
      </c>
      <c r="AI132" s="8">
        <f>MAX(V8_BURN_FLOOR,1-V8_BURN_SLOPE*MIN(1,MAX(0,O132)))</f>
        <v/>
      </c>
      <c r="AJ132" s="15">
        <f>MIN(AA132*AF132*AG132*AH132*AI132,0.2)</f>
        <v/>
      </c>
      <c r="AK132" s="16">
        <f>1-(1-AJ132)^12</f>
        <v/>
      </c>
    </row>
    <row r="133">
      <c r="A133" s="2" t="inlineStr">
        <is>
          <t>000004322058</t>
        </is>
      </c>
      <c r="B133" t="inlineStr">
        <is>
          <t>223f</t>
        </is>
      </c>
      <c r="C133" t="inlineStr">
        <is>
          <t>RP</t>
        </is>
      </c>
      <c r="D133" t="inlineStr">
        <is>
          <t>MERCHANTS CAPITAL CORP.</t>
        </is>
      </c>
      <c r="E133" t="n">
        <v>2012</v>
      </c>
      <c r="F133" t="inlineStr">
        <is>
          <t>202602</t>
        </is>
      </c>
      <c r="G133" s="9" t="n">
        <v>1907136.33</v>
      </c>
      <c r="H133" s="13" t="n">
        <v>3.5</v>
      </c>
      <c r="I133" s="14" t="n">
        <v>447</v>
      </c>
      <c r="J133" s="14" t="n">
        <v>0</v>
      </c>
      <c r="K133" t="n">
        <v>167</v>
      </c>
      <c r="L133" t="n">
        <v>204204</v>
      </c>
      <c r="M133" t="n">
        <v>201404</v>
      </c>
      <c r="N133" t="n">
        <v>35</v>
      </c>
      <c r="O133" s="8" t="n">
        <v>0.2095808383233533</v>
      </c>
      <c r="P133">
        <f>IF(ISNUMBER(SEARCH("232",B133)),"232",IF(ISNUMBER(SEARCH("538",B133)),"538",IF(ISNUMBER(SEARCH("223a7",B133)),"223a7",IF(ISNUMBER(SEARCH("223f",B133)),"223f","OTHER"))))</f>
        <v/>
      </c>
      <c r="Q133">
        <f>IF(UPPER(C133)="NC","NC","RP")</f>
        <v/>
      </c>
      <c r="R133">
        <f>IF(G133&lt;5000000,"small",IF(G133&lt;25000000,"medium","large"))</f>
        <v/>
      </c>
      <c r="S133">
        <f>IF(K133&lt;36,"young",IF(K133&lt;120,"seasoned","aged"))</f>
        <v/>
      </c>
      <c r="T133">
        <f>P133&amp;"|"&amp;Q133&amp;"|"&amp;R133&amp;"|"&amp;S133</f>
        <v/>
      </c>
      <c r="U133" s="14">
        <f>H133*100-I133</f>
        <v/>
      </c>
      <c r="V133" s="14">
        <f>U133-12.5*(J133+1)</f>
        <v/>
      </c>
      <c r="W133" s="15">
        <f>IFERROR(VLOOKUP(T133,V8_COHORT_TABLE,2,FALSE),IFERROR(VLOOKUP(P133&amp;"|"&amp;Q133&amp;"|ALL|"&amp;S133,V8_COHORT_TABLE,2,FALSE),IFERROR(VLOOKUP(P133&amp;"|ALL|ALL|"&amp;S133,V8_COHORT_TABLE,2,FALSE),IFERROR(VLOOKUP(P133&amp;"|ALL|ALL|ALL",V8_COHORT_TABLE,2,FALSE),VLOOKUP("GLOBAL",V8_COHORT_TABLE,2,FALSE)))))</f>
        <v/>
      </c>
      <c r="X133" s="15">
        <f>IFERROR(VLOOKUP(T133,V8_COHORT_TABLE,3,FALSE),IFERROR(VLOOKUP(P133&amp;"|"&amp;Q133&amp;"|ALL|"&amp;S133,V8_COHORT_TABLE,3,FALSE),IFERROR(VLOOKUP(P133&amp;"|ALL|ALL|"&amp;S133,V8_COHORT_TABLE,3,FALSE),IFERROR(VLOOKUP(P133&amp;"|ALL|ALL|ALL",V8_COHORT_TABLE,3,FALSE),VLOOKUP("GLOBAL",V8_COHORT_TABLE,3,FALSE)))))</f>
        <v/>
      </c>
      <c r="Y133" s="15">
        <f>IFERROR(VLOOKUP(T133,V8_COHORT_TABLE,4,FALSE),IFERROR(VLOOKUP(P133&amp;"|"&amp;Q133&amp;"|ALL|"&amp;S133,V8_COHORT_TABLE,4,FALSE),IFERROR(VLOOKUP(P133&amp;"|ALL|ALL|"&amp;S133,V8_COHORT_TABLE,4,FALSE),IFERROR(VLOOKUP(P133&amp;"|ALL|ALL|ALL",V8_COHORT_TABLE,4,FALSE),VLOOKUP("GLOBAL",V8_COHORT_TABLE,4,FALSE)))))</f>
        <v/>
      </c>
      <c r="Z133" s="15">
        <f>IFERROR(VLOOKUP(T133,V8_COHORT_TABLE,5,FALSE),IFERROR(VLOOKUP(P133&amp;"|"&amp;Q133&amp;"|ALL|"&amp;S133,V8_COHORT_TABLE,5,FALSE),IFERROR(VLOOKUP(P133&amp;"|ALL|ALL|"&amp;S133,V8_COHORT_TABLE,5,FALSE),IFERROR(VLOOKUP(P133&amp;"|ALL|ALL|ALL",V8_COHORT_TABLE,5,FALSE),VLOOKUP("GLOBAL",V8_COHORT_TABLE,5,FALSE)))))</f>
        <v/>
      </c>
      <c r="AA133" s="15">
        <f>W133+X133/(1+EXP(-(V133-Y133)/Z133))</f>
        <v/>
      </c>
      <c r="AB133" s="15">
        <f>IFERROR(VLOOKUP(T133,V8_COHORT_TABLE,6,FALSE),IFERROR(VLOOKUP(P133&amp;"|"&amp;Q133&amp;"|ALL|"&amp;S133,V8_COHORT_TABLE,6,FALSE),IFERROR(VLOOKUP(P133&amp;"|ALL|ALL|"&amp;S133,V8_COHORT_TABLE,6,FALSE),IFERROR(VLOOKUP(P133&amp;"|ALL|ALL|ALL",V8_COHORT_TABLE,6,FALSE),VLOOKUP("GLOBAL",V8_COHORT_TABLE,6,FALSE)))))</f>
        <v/>
      </c>
      <c r="AC133" s="15">
        <f>IFERROR(VLOOKUP(T133,V8_COHORT_TABLE,7,FALSE),IFERROR(VLOOKUP(P133&amp;"|"&amp;Q133&amp;"|ALL|"&amp;S133,V8_COHORT_TABLE,7,FALSE),IFERROR(VLOOKUP(P133&amp;"|ALL|ALL|"&amp;S133,V8_COHORT_TABLE,7,FALSE),IFERROR(VLOOKUP(P133&amp;"|ALL|ALL|ALL",V8_COHORT_TABLE,7,FALSE),VLOOKUP("GLOBAL",V8_COHORT_TABLE,7,FALSE)))))</f>
        <v/>
      </c>
      <c r="AD133" s="15">
        <f>IFERROR(VLOOKUP(T133,V8_COHORT_TABLE,8,FALSE),IFERROR(VLOOKUP(P133&amp;"|"&amp;Q133&amp;"|ALL|"&amp;S133,V8_COHORT_TABLE,8,FALSE),IFERROR(VLOOKUP(P133&amp;"|ALL|ALL|"&amp;S133,V8_COHORT_TABLE,8,FALSE),IFERROR(VLOOKUP(P133&amp;"|ALL|ALL|ALL",V8_COHORT_TABLE,8,FALSE),VLOOKUP("GLOBAL",V8_COHORT_TABLE,8,FALSE)))))</f>
        <v/>
      </c>
      <c r="AE133" s="15">
        <f>IFERROR(VLOOKUP(T133,V8_COHORT_TABLE,9,FALSE),IFERROR(VLOOKUP(P133&amp;"|"&amp;Q133&amp;"|ALL|"&amp;S133,V8_COHORT_TABLE,9,FALSE),IFERROR(VLOOKUP(P133&amp;"|ALL|ALL|"&amp;S133,V8_COHORT_TABLE,9,FALSE),IFERROR(VLOOKUP(P133&amp;"|ALL|ALL|ALL",V8_COHORT_TABLE,9,FALSE),VLOOKUP("GLOBAL",V8_COHORT_TABLE,9,FALSE)))))</f>
        <v/>
      </c>
      <c r="AF133" s="8">
        <f>IF(K133&lt;=0,AB133,IF(K133&gt;=240,AE133,IF(K133&lt;=24,AB133+(K133-0)/24*(AC133-AB133),IF(K133&lt;=96,AC133+(K133-24)/72*(AD133-AC133),AD133+(K133-96)/144*(AE133-AD133)))))</f>
        <v/>
      </c>
      <c r="AG133" s="8">
        <f>IF(IF(OR(L133="",NOT(ISNUMBER(L133))),360,MAX(0,MIN(480,(INT(L133/100)-INT(VALUE(F133)/100))*12+MOD(L133,100)-MOD(VALUE(F133),100))))&gt;0,1+V8_MTY_AMP*MAX(0,(V8_MTY_CUTOFF-(IF(OR(L133="",NOT(ISNUMBER(L133))),360,MAX(0,MIN(480,(INT(L133/100)-INT(VALUE(F133)/100))*12+MOD(L133,100)-MOD(VALUE(F133),100))))))/V8_MTY_CUTOFF),1)</f>
        <v/>
      </c>
      <c r="AH133" s="8">
        <f>IF(AND(IF(OR(M133="",NOT(ISNUMBER(M133))),0,MAX(0,MIN(24,(INT(VALUE(F133)/100)-INT(M133/100))*12+MOD(VALUE(F133),100)-MOD(M133,100))))&gt;0,IF(OR(M133="",NOT(ISNUMBER(M133))),0,MAX(0,MIN(24,(INT(VALUE(F133)/100)-INT(M133/100))*12+MOD(VALUE(F133),100)-MOD(M133,100))))&lt;=12),1+V8_LOCKOUT_AMP*EXP(-(IF(OR(M133="",NOT(ISNUMBER(M133))),0,MAX(0,MIN(24,(INT(VALUE(F133)/100)-INT(M133/100))*12+MOD(VALUE(F133),100)-MOD(M133,100)))))/V8_LOCKOUT_TAU),1)</f>
        <v/>
      </c>
      <c r="AI133" s="8">
        <f>MAX(V8_BURN_FLOOR,1-V8_BURN_SLOPE*MIN(1,MAX(0,O133)))</f>
        <v/>
      </c>
      <c r="AJ133" s="15">
        <f>MIN(AA133*AF133*AG133*AH133*AI133,0.2)</f>
        <v/>
      </c>
      <c r="AK133" s="16">
        <f>1-(1-AJ133)^12</f>
        <v/>
      </c>
    </row>
    <row r="134">
      <c r="A134" s="2" t="inlineStr">
        <is>
          <t>000007311990</t>
        </is>
      </c>
      <c r="B134" t="inlineStr">
        <is>
          <t>223f</t>
        </is>
      </c>
      <c r="C134" t="inlineStr">
        <is>
          <t>RP</t>
        </is>
      </c>
      <c r="D134" t="inlineStr">
        <is>
          <t>MERCHANTS CAPITAL SERVICING LLC</t>
        </is>
      </c>
      <c r="E134" t="n">
        <v>2020</v>
      </c>
      <c r="F134" t="inlineStr">
        <is>
          <t>202602</t>
        </is>
      </c>
      <c r="G134" s="9" t="n">
        <v>35631447.08</v>
      </c>
      <c r="H134" s="13" t="n">
        <v>2.1</v>
      </c>
      <c r="I134" s="14" t="n">
        <v>447</v>
      </c>
      <c r="J134" s="14" t="n">
        <v>5</v>
      </c>
      <c r="K134" t="n">
        <v>65</v>
      </c>
      <c r="L134" t="n">
        <v>205510</v>
      </c>
      <c r="M134" t="inlineStr"/>
      <c r="N134" t="n">
        <v>0</v>
      </c>
      <c r="O134" s="8" t="n">
        <v>0</v>
      </c>
      <c r="P134">
        <f>IF(ISNUMBER(SEARCH("232",B134)),"232",IF(ISNUMBER(SEARCH("538",B134)),"538",IF(ISNUMBER(SEARCH("223a7",B134)),"223a7",IF(ISNUMBER(SEARCH("223f",B134)),"223f","OTHER"))))</f>
        <v/>
      </c>
      <c r="Q134">
        <f>IF(UPPER(C134)="NC","NC","RP")</f>
        <v/>
      </c>
      <c r="R134">
        <f>IF(G134&lt;5000000,"small",IF(G134&lt;25000000,"medium","large"))</f>
        <v/>
      </c>
      <c r="S134">
        <f>IF(K134&lt;36,"young",IF(K134&lt;120,"seasoned","aged"))</f>
        <v/>
      </c>
      <c r="T134">
        <f>P134&amp;"|"&amp;Q134&amp;"|"&amp;R134&amp;"|"&amp;S134</f>
        <v/>
      </c>
      <c r="U134" s="14">
        <f>H134*100-I134</f>
        <v/>
      </c>
      <c r="V134" s="14">
        <f>U134-12.5*(J134+1)</f>
        <v/>
      </c>
      <c r="W134" s="15">
        <f>IFERROR(VLOOKUP(T134,V8_COHORT_TABLE,2,FALSE),IFERROR(VLOOKUP(P134&amp;"|"&amp;Q134&amp;"|ALL|"&amp;S134,V8_COHORT_TABLE,2,FALSE),IFERROR(VLOOKUP(P134&amp;"|ALL|ALL|"&amp;S134,V8_COHORT_TABLE,2,FALSE),IFERROR(VLOOKUP(P134&amp;"|ALL|ALL|ALL",V8_COHORT_TABLE,2,FALSE),VLOOKUP("GLOBAL",V8_COHORT_TABLE,2,FALSE)))))</f>
        <v/>
      </c>
      <c r="X134" s="15">
        <f>IFERROR(VLOOKUP(T134,V8_COHORT_TABLE,3,FALSE),IFERROR(VLOOKUP(P134&amp;"|"&amp;Q134&amp;"|ALL|"&amp;S134,V8_COHORT_TABLE,3,FALSE),IFERROR(VLOOKUP(P134&amp;"|ALL|ALL|"&amp;S134,V8_COHORT_TABLE,3,FALSE),IFERROR(VLOOKUP(P134&amp;"|ALL|ALL|ALL",V8_COHORT_TABLE,3,FALSE),VLOOKUP("GLOBAL",V8_COHORT_TABLE,3,FALSE)))))</f>
        <v/>
      </c>
      <c r="Y134" s="15">
        <f>IFERROR(VLOOKUP(T134,V8_COHORT_TABLE,4,FALSE),IFERROR(VLOOKUP(P134&amp;"|"&amp;Q134&amp;"|ALL|"&amp;S134,V8_COHORT_TABLE,4,FALSE),IFERROR(VLOOKUP(P134&amp;"|ALL|ALL|"&amp;S134,V8_COHORT_TABLE,4,FALSE),IFERROR(VLOOKUP(P134&amp;"|ALL|ALL|ALL",V8_COHORT_TABLE,4,FALSE),VLOOKUP("GLOBAL",V8_COHORT_TABLE,4,FALSE)))))</f>
        <v/>
      </c>
      <c r="Z134" s="15">
        <f>IFERROR(VLOOKUP(T134,V8_COHORT_TABLE,5,FALSE),IFERROR(VLOOKUP(P134&amp;"|"&amp;Q134&amp;"|ALL|"&amp;S134,V8_COHORT_TABLE,5,FALSE),IFERROR(VLOOKUP(P134&amp;"|ALL|ALL|"&amp;S134,V8_COHORT_TABLE,5,FALSE),IFERROR(VLOOKUP(P134&amp;"|ALL|ALL|ALL",V8_COHORT_TABLE,5,FALSE),VLOOKUP("GLOBAL",V8_COHORT_TABLE,5,FALSE)))))</f>
        <v/>
      </c>
      <c r="AA134" s="15">
        <f>W134+X134/(1+EXP(-(V134-Y134)/Z134))</f>
        <v/>
      </c>
      <c r="AB134" s="15">
        <f>IFERROR(VLOOKUP(T134,V8_COHORT_TABLE,6,FALSE),IFERROR(VLOOKUP(P134&amp;"|"&amp;Q134&amp;"|ALL|"&amp;S134,V8_COHORT_TABLE,6,FALSE),IFERROR(VLOOKUP(P134&amp;"|ALL|ALL|"&amp;S134,V8_COHORT_TABLE,6,FALSE),IFERROR(VLOOKUP(P134&amp;"|ALL|ALL|ALL",V8_COHORT_TABLE,6,FALSE),VLOOKUP("GLOBAL",V8_COHORT_TABLE,6,FALSE)))))</f>
        <v/>
      </c>
      <c r="AC134" s="15">
        <f>IFERROR(VLOOKUP(T134,V8_COHORT_TABLE,7,FALSE),IFERROR(VLOOKUP(P134&amp;"|"&amp;Q134&amp;"|ALL|"&amp;S134,V8_COHORT_TABLE,7,FALSE),IFERROR(VLOOKUP(P134&amp;"|ALL|ALL|"&amp;S134,V8_COHORT_TABLE,7,FALSE),IFERROR(VLOOKUP(P134&amp;"|ALL|ALL|ALL",V8_COHORT_TABLE,7,FALSE),VLOOKUP("GLOBAL",V8_COHORT_TABLE,7,FALSE)))))</f>
        <v/>
      </c>
      <c r="AD134" s="15">
        <f>IFERROR(VLOOKUP(T134,V8_COHORT_TABLE,8,FALSE),IFERROR(VLOOKUP(P134&amp;"|"&amp;Q134&amp;"|ALL|"&amp;S134,V8_COHORT_TABLE,8,FALSE),IFERROR(VLOOKUP(P134&amp;"|ALL|ALL|"&amp;S134,V8_COHORT_TABLE,8,FALSE),IFERROR(VLOOKUP(P134&amp;"|ALL|ALL|ALL",V8_COHORT_TABLE,8,FALSE),VLOOKUP("GLOBAL",V8_COHORT_TABLE,8,FALSE)))))</f>
        <v/>
      </c>
      <c r="AE134" s="15">
        <f>IFERROR(VLOOKUP(T134,V8_COHORT_TABLE,9,FALSE),IFERROR(VLOOKUP(P134&amp;"|"&amp;Q134&amp;"|ALL|"&amp;S134,V8_COHORT_TABLE,9,FALSE),IFERROR(VLOOKUP(P134&amp;"|ALL|ALL|"&amp;S134,V8_COHORT_TABLE,9,FALSE),IFERROR(VLOOKUP(P134&amp;"|ALL|ALL|ALL",V8_COHORT_TABLE,9,FALSE),VLOOKUP("GLOBAL",V8_COHORT_TABLE,9,FALSE)))))</f>
        <v/>
      </c>
      <c r="AF134" s="8">
        <f>IF(K134&lt;=0,AB134,IF(K134&gt;=240,AE134,IF(K134&lt;=24,AB134+(K134-0)/24*(AC134-AB134),IF(K134&lt;=96,AC134+(K134-24)/72*(AD134-AC134),AD134+(K134-96)/144*(AE134-AD134)))))</f>
        <v/>
      </c>
      <c r="AG134" s="8">
        <f>IF(IF(OR(L134="",NOT(ISNUMBER(L134))),360,MAX(0,MIN(480,(INT(L134/100)-INT(VALUE(F134)/100))*12+MOD(L134,100)-MOD(VALUE(F134),100))))&gt;0,1+V8_MTY_AMP*MAX(0,(V8_MTY_CUTOFF-(IF(OR(L134="",NOT(ISNUMBER(L134))),360,MAX(0,MIN(480,(INT(L134/100)-INT(VALUE(F134)/100))*12+MOD(L134,100)-MOD(VALUE(F134),100))))))/V8_MTY_CUTOFF),1)</f>
        <v/>
      </c>
      <c r="AH134" s="8">
        <f>IF(AND(IF(OR(M134="",NOT(ISNUMBER(M134))),0,MAX(0,MIN(24,(INT(VALUE(F134)/100)-INT(M134/100))*12+MOD(VALUE(F134),100)-MOD(M134,100))))&gt;0,IF(OR(M134="",NOT(ISNUMBER(M134))),0,MAX(0,MIN(24,(INT(VALUE(F134)/100)-INT(M134/100))*12+MOD(VALUE(F134),100)-MOD(M134,100))))&lt;=12),1+V8_LOCKOUT_AMP*EXP(-(IF(OR(M134="",NOT(ISNUMBER(M134))),0,MAX(0,MIN(24,(INT(VALUE(F134)/100)-INT(M134/100))*12+MOD(VALUE(F134),100)-MOD(M134,100)))))/V8_LOCKOUT_TAU),1)</f>
        <v/>
      </c>
      <c r="AI134" s="8">
        <f>MAX(V8_BURN_FLOOR,1-V8_BURN_SLOPE*MIN(1,MAX(0,O134)))</f>
        <v/>
      </c>
      <c r="AJ134" s="15">
        <f>MIN(AA134*AF134*AG134*AH134*AI134,0.2)</f>
        <v/>
      </c>
      <c r="AK134" s="16">
        <f>1-(1-AJ134)^12</f>
        <v/>
      </c>
    </row>
    <row r="135">
      <c r="A135" s="2" t="inlineStr">
        <is>
          <t>000004322165</t>
        </is>
      </c>
      <c r="B135" t="inlineStr">
        <is>
          <t>232</t>
        </is>
      </c>
      <c r="C135" t="inlineStr">
        <is>
          <t>RP</t>
        </is>
      </c>
      <c r="D135" t="inlineStr">
        <is>
          <t>MERCHANTS CAPITAL CORP.</t>
        </is>
      </c>
      <c r="E135" t="n">
        <v>2022</v>
      </c>
      <c r="F135" t="inlineStr">
        <is>
          <t>202602</t>
        </is>
      </c>
      <c r="G135" s="9" t="n">
        <v>5891589.56</v>
      </c>
      <c r="H135" s="13" t="n">
        <v>2.95</v>
      </c>
      <c r="I135" s="14" t="n">
        <v>447</v>
      </c>
      <c r="J135" s="14" t="n">
        <v>7</v>
      </c>
      <c r="K135" t="n">
        <v>48</v>
      </c>
      <c r="L135" t="n">
        <v>205703</v>
      </c>
      <c r="M135" t="inlineStr"/>
      <c r="N135" t="n">
        <v>0</v>
      </c>
      <c r="O135" s="8" t="n">
        <v>0</v>
      </c>
      <c r="P135">
        <f>IF(ISNUMBER(SEARCH("232",B135)),"232",IF(ISNUMBER(SEARCH("538",B135)),"538",IF(ISNUMBER(SEARCH("223a7",B135)),"223a7",IF(ISNUMBER(SEARCH("223f",B135)),"223f","OTHER"))))</f>
        <v/>
      </c>
      <c r="Q135">
        <f>IF(UPPER(C135)="NC","NC","RP")</f>
        <v/>
      </c>
      <c r="R135">
        <f>IF(G135&lt;5000000,"small",IF(G135&lt;25000000,"medium","large"))</f>
        <v/>
      </c>
      <c r="S135">
        <f>IF(K135&lt;36,"young",IF(K135&lt;120,"seasoned","aged"))</f>
        <v/>
      </c>
      <c r="T135">
        <f>P135&amp;"|"&amp;Q135&amp;"|"&amp;R135&amp;"|"&amp;S135</f>
        <v/>
      </c>
      <c r="U135" s="14">
        <f>H135*100-I135</f>
        <v/>
      </c>
      <c r="V135" s="14">
        <f>U135-12.5*(J135+1)</f>
        <v/>
      </c>
      <c r="W135" s="15">
        <f>IFERROR(VLOOKUP(T135,V8_COHORT_TABLE,2,FALSE),IFERROR(VLOOKUP(P135&amp;"|"&amp;Q135&amp;"|ALL|"&amp;S135,V8_COHORT_TABLE,2,FALSE),IFERROR(VLOOKUP(P135&amp;"|ALL|ALL|"&amp;S135,V8_COHORT_TABLE,2,FALSE),IFERROR(VLOOKUP(P135&amp;"|ALL|ALL|ALL",V8_COHORT_TABLE,2,FALSE),VLOOKUP("GLOBAL",V8_COHORT_TABLE,2,FALSE)))))</f>
        <v/>
      </c>
      <c r="X135" s="15">
        <f>IFERROR(VLOOKUP(T135,V8_COHORT_TABLE,3,FALSE),IFERROR(VLOOKUP(P135&amp;"|"&amp;Q135&amp;"|ALL|"&amp;S135,V8_COHORT_TABLE,3,FALSE),IFERROR(VLOOKUP(P135&amp;"|ALL|ALL|"&amp;S135,V8_COHORT_TABLE,3,FALSE),IFERROR(VLOOKUP(P135&amp;"|ALL|ALL|ALL",V8_COHORT_TABLE,3,FALSE),VLOOKUP("GLOBAL",V8_COHORT_TABLE,3,FALSE)))))</f>
        <v/>
      </c>
      <c r="Y135" s="15">
        <f>IFERROR(VLOOKUP(T135,V8_COHORT_TABLE,4,FALSE),IFERROR(VLOOKUP(P135&amp;"|"&amp;Q135&amp;"|ALL|"&amp;S135,V8_COHORT_TABLE,4,FALSE),IFERROR(VLOOKUP(P135&amp;"|ALL|ALL|"&amp;S135,V8_COHORT_TABLE,4,FALSE),IFERROR(VLOOKUP(P135&amp;"|ALL|ALL|ALL",V8_COHORT_TABLE,4,FALSE),VLOOKUP("GLOBAL",V8_COHORT_TABLE,4,FALSE)))))</f>
        <v/>
      </c>
      <c r="Z135" s="15">
        <f>IFERROR(VLOOKUP(T135,V8_COHORT_TABLE,5,FALSE),IFERROR(VLOOKUP(P135&amp;"|"&amp;Q135&amp;"|ALL|"&amp;S135,V8_COHORT_TABLE,5,FALSE),IFERROR(VLOOKUP(P135&amp;"|ALL|ALL|"&amp;S135,V8_COHORT_TABLE,5,FALSE),IFERROR(VLOOKUP(P135&amp;"|ALL|ALL|ALL",V8_COHORT_TABLE,5,FALSE),VLOOKUP("GLOBAL",V8_COHORT_TABLE,5,FALSE)))))</f>
        <v/>
      </c>
      <c r="AA135" s="15">
        <f>W135+X135/(1+EXP(-(V135-Y135)/Z135))</f>
        <v/>
      </c>
      <c r="AB135" s="15">
        <f>IFERROR(VLOOKUP(T135,V8_COHORT_TABLE,6,FALSE),IFERROR(VLOOKUP(P135&amp;"|"&amp;Q135&amp;"|ALL|"&amp;S135,V8_COHORT_TABLE,6,FALSE),IFERROR(VLOOKUP(P135&amp;"|ALL|ALL|"&amp;S135,V8_COHORT_TABLE,6,FALSE),IFERROR(VLOOKUP(P135&amp;"|ALL|ALL|ALL",V8_COHORT_TABLE,6,FALSE),VLOOKUP("GLOBAL",V8_COHORT_TABLE,6,FALSE)))))</f>
        <v/>
      </c>
      <c r="AC135" s="15">
        <f>IFERROR(VLOOKUP(T135,V8_COHORT_TABLE,7,FALSE),IFERROR(VLOOKUP(P135&amp;"|"&amp;Q135&amp;"|ALL|"&amp;S135,V8_COHORT_TABLE,7,FALSE),IFERROR(VLOOKUP(P135&amp;"|ALL|ALL|"&amp;S135,V8_COHORT_TABLE,7,FALSE),IFERROR(VLOOKUP(P135&amp;"|ALL|ALL|ALL",V8_COHORT_TABLE,7,FALSE),VLOOKUP("GLOBAL",V8_COHORT_TABLE,7,FALSE)))))</f>
        <v/>
      </c>
      <c r="AD135" s="15">
        <f>IFERROR(VLOOKUP(T135,V8_COHORT_TABLE,8,FALSE),IFERROR(VLOOKUP(P135&amp;"|"&amp;Q135&amp;"|ALL|"&amp;S135,V8_COHORT_TABLE,8,FALSE),IFERROR(VLOOKUP(P135&amp;"|ALL|ALL|"&amp;S135,V8_COHORT_TABLE,8,FALSE),IFERROR(VLOOKUP(P135&amp;"|ALL|ALL|ALL",V8_COHORT_TABLE,8,FALSE),VLOOKUP("GLOBAL",V8_COHORT_TABLE,8,FALSE)))))</f>
        <v/>
      </c>
      <c r="AE135" s="15">
        <f>IFERROR(VLOOKUP(T135,V8_COHORT_TABLE,9,FALSE),IFERROR(VLOOKUP(P135&amp;"|"&amp;Q135&amp;"|ALL|"&amp;S135,V8_COHORT_TABLE,9,FALSE),IFERROR(VLOOKUP(P135&amp;"|ALL|ALL|"&amp;S135,V8_COHORT_TABLE,9,FALSE),IFERROR(VLOOKUP(P135&amp;"|ALL|ALL|ALL",V8_COHORT_TABLE,9,FALSE),VLOOKUP("GLOBAL",V8_COHORT_TABLE,9,FALSE)))))</f>
        <v/>
      </c>
      <c r="AF135" s="8">
        <f>IF(K135&lt;=0,AB135,IF(K135&gt;=240,AE135,IF(K135&lt;=24,AB135+(K135-0)/24*(AC135-AB135),IF(K135&lt;=96,AC135+(K135-24)/72*(AD135-AC135),AD135+(K135-96)/144*(AE135-AD135)))))</f>
        <v/>
      </c>
      <c r="AG135" s="8">
        <f>IF(IF(OR(L135="",NOT(ISNUMBER(L135))),360,MAX(0,MIN(480,(INT(L135/100)-INT(VALUE(F135)/100))*12+MOD(L135,100)-MOD(VALUE(F135),100))))&gt;0,1+V8_MTY_AMP*MAX(0,(V8_MTY_CUTOFF-(IF(OR(L135="",NOT(ISNUMBER(L135))),360,MAX(0,MIN(480,(INT(L135/100)-INT(VALUE(F135)/100))*12+MOD(L135,100)-MOD(VALUE(F135),100))))))/V8_MTY_CUTOFF),1)</f>
        <v/>
      </c>
      <c r="AH135" s="8">
        <f>IF(AND(IF(OR(M135="",NOT(ISNUMBER(M135))),0,MAX(0,MIN(24,(INT(VALUE(F135)/100)-INT(M135/100))*12+MOD(VALUE(F135),100)-MOD(M135,100))))&gt;0,IF(OR(M135="",NOT(ISNUMBER(M135))),0,MAX(0,MIN(24,(INT(VALUE(F135)/100)-INT(M135/100))*12+MOD(VALUE(F135),100)-MOD(M135,100))))&lt;=12),1+V8_LOCKOUT_AMP*EXP(-(IF(OR(M135="",NOT(ISNUMBER(M135))),0,MAX(0,MIN(24,(INT(VALUE(F135)/100)-INT(M135/100))*12+MOD(VALUE(F135),100)-MOD(M135,100)))))/V8_LOCKOUT_TAU),1)</f>
        <v/>
      </c>
      <c r="AI135" s="8">
        <f>MAX(V8_BURN_FLOOR,1-V8_BURN_SLOPE*MIN(1,MAX(0,O135)))</f>
        <v/>
      </c>
      <c r="AJ135" s="15">
        <f>MIN(AA135*AF135*AG135*AH135*AI135,0.2)</f>
        <v/>
      </c>
      <c r="AK135" s="16">
        <f>1-(1-AJ135)^12</f>
        <v/>
      </c>
    </row>
    <row r="136">
      <c r="A136" s="2" t="inlineStr">
        <is>
          <t>000004535249</t>
        </is>
      </c>
      <c r="B136" t="inlineStr">
        <is>
          <t>223a7</t>
        </is>
      </c>
      <c r="C136" t="inlineStr">
        <is>
          <t>RP</t>
        </is>
      </c>
      <c r="D136" t="inlineStr">
        <is>
          <t>MERCHANTS CAPITAL CORP.</t>
        </is>
      </c>
      <c r="E136" t="n">
        <v>2013</v>
      </c>
      <c r="F136" t="inlineStr">
        <is>
          <t>202602</t>
        </is>
      </c>
      <c r="G136" s="9" t="n">
        <v>707351.03</v>
      </c>
      <c r="H136" s="13" t="n">
        <v>3.5</v>
      </c>
      <c r="I136" s="14" t="n">
        <v>447</v>
      </c>
      <c r="J136" s="14" t="n">
        <v>0</v>
      </c>
      <c r="K136" t="n">
        <v>151</v>
      </c>
      <c r="L136" t="n">
        <v>204308</v>
      </c>
      <c r="M136" t="inlineStr"/>
      <c r="N136" t="n">
        <v>33</v>
      </c>
      <c r="O136" s="8" t="n">
        <v>0.2185430463576159</v>
      </c>
      <c r="P136">
        <f>IF(ISNUMBER(SEARCH("232",B136)),"232",IF(ISNUMBER(SEARCH("538",B136)),"538",IF(ISNUMBER(SEARCH("223a7",B136)),"223a7",IF(ISNUMBER(SEARCH("223f",B136)),"223f","OTHER"))))</f>
        <v/>
      </c>
      <c r="Q136">
        <f>IF(UPPER(C136)="NC","NC","RP")</f>
        <v/>
      </c>
      <c r="R136">
        <f>IF(G136&lt;5000000,"small",IF(G136&lt;25000000,"medium","large"))</f>
        <v/>
      </c>
      <c r="S136">
        <f>IF(K136&lt;36,"young",IF(K136&lt;120,"seasoned","aged"))</f>
        <v/>
      </c>
      <c r="T136">
        <f>P136&amp;"|"&amp;Q136&amp;"|"&amp;R136&amp;"|"&amp;S136</f>
        <v/>
      </c>
      <c r="U136" s="14">
        <f>H136*100-I136</f>
        <v/>
      </c>
      <c r="V136" s="14">
        <f>U136-12.5*(J136+1)</f>
        <v/>
      </c>
      <c r="W136" s="15">
        <f>IFERROR(VLOOKUP(T136,V8_COHORT_TABLE,2,FALSE),IFERROR(VLOOKUP(P136&amp;"|"&amp;Q136&amp;"|ALL|"&amp;S136,V8_COHORT_TABLE,2,FALSE),IFERROR(VLOOKUP(P136&amp;"|ALL|ALL|"&amp;S136,V8_COHORT_TABLE,2,FALSE),IFERROR(VLOOKUP(P136&amp;"|ALL|ALL|ALL",V8_COHORT_TABLE,2,FALSE),VLOOKUP("GLOBAL",V8_COHORT_TABLE,2,FALSE)))))</f>
        <v/>
      </c>
      <c r="X136" s="15">
        <f>IFERROR(VLOOKUP(T136,V8_COHORT_TABLE,3,FALSE),IFERROR(VLOOKUP(P136&amp;"|"&amp;Q136&amp;"|ALL|"&amp;S136,V8_COHORT_TABLE,3,FALSE),IFERROR(VLOOKUP(P136&amp;"|ALL|ALL|"&amp;S136,V8_COHORT_TABLE,3,FALSE),IFERROR(VLOOKUP(P136&amp;"|ALL|ALL|ALL",V8_COHORT_TABLE,3,FALSE),VLOOKUP("GLOBAL",V8_COHORT_TABLE,3,FALSE)))))</f>
        <v/>
      </c>
      <c r="Y136" s="15">
        <f>IFERROR(VLOOKUP(T136,V8_COHORT_TABLE,4,FALSE),IFERROR(VLOOKUP(P136&amp;"|"&amp;Q136&amp;"|ALL|"&amp;S136,V8_COHORT_TABLE,4,FALSE),IFERROR(VLOOKUP(P136&amp;"|ALL|ALL|"&amp;S136,V8_COHORT_TABLE,4,FALSE),IFERROR(VLOOKUP(P136&amp;"|ALL|ALL|ALL",V8_COHORT_TABLE,4,FALSE),VLOOKUP("GLOBAL",V8_COHORT_TABLE,4,FALSE)))))</f>
        <v/>
      </c>
      <c r="Z136" s="15">
        <f>IFERROR(VLOOKUP(T136,V8_COHORT_TABLE,5,FALSE),IFERROR(VLOOKUP(P136&amp;"|"&amp;Q136&amp;"|ALL|"&amp;S136,V8_COHORT_TABLE,5,FALSE),IFERROR(VLOOKUP(P136&amp;"|ALL|ALL|"&amp;S136,V8_COHORT_TABLE,5,FALSE),IFERROR(VLOOKUP(P136&amp;"|ALL|ALL|ALL",V8_COHORT_TABLE,5,FALSE),VLOOKUP("GLOBAL",V8_COHORT_TABLE,5,FALSE)))))</f>
        <v/>
      </c>
      <c r="AA136" s="15">
        <f>W136+X136/(1+EXP(-(V136-Y136)/Z136))</f>
        <v/>
      </c>
      <c r="AB136" s="15">
        <f>IFERROR(VLOOKUP(T136,V8_COHORT_TABLE,6,FALSE),IFERROR(VLOOKUP(P136&amp;"|"&amp;Q136&amp;"|ALL|"&amp;S136,V8_COHORT_TABLE,6,FALSE),IFERROR(VLOOKUP(P136&amp;"|ALL|ALL|"&amp;S136,V8_COHORT_TABLE,6,FALSE),IFERROR(VLOOKUP(P136&amp;"|ALL|ALL|ALL",V8_COHORT_TABLE,6,FALSE),VLOOKUP("GLOBAL",V8_COHORT_TABLE,6,FALSE)))))</f>
        <v/>
      </c>
      <c r="AC136" s="15">
        <f>IFERROR(VLOOKUP(T136,V8_COHORT_TABLE,7,FALSE),IFERROR(VLOOKUP(P136&amp;"|"&amp;Q136&amp;"|ALL|"&amp;S136,V8_COHORT_TABLE,7,FALSE),IFERROR(VLOOKUP(P136&amp;"|ALL|ALL|"&amp;S136,V8_COHORT_TABLE,7,FALSE),IFERROR(VLOOKUP(P136&amp;"|ALL|ALL|ALL",V8_COHORT_TABLE,7,FALSE),VLOOKUP("GLOBAL",V8_COHORT_TABLE,7,FALSE)))))</f>
        <v/>
      </c>
      <c r="AD136" s="15">
        <f>IFERROR(VLOOKUP(T136,V8_COHORT_TABLE,8,FALSE),IFERROR(VLOOKUP(P136&amp;"|"&amp;Q136&amp;"|ALL|"&amp;S136,V8_COHORT_TABLE,8,FALSE),IFERROR(VLOOKUP(P136&amp;"|ALL|ALL|"&amp;S136,V8_COHORT_TABLE,8,FALSE),IFERROR(VLOOKUP(P136&amp;"|ALL|ALL|ALL",V8_COHORT_TABLE,8,FALSE),VLOOKUP("GLOBAL",V8_COHORT_TABLE,8,FALSE)))))</f>
        <v/>
      </c>
      <c r="AE136" s="15">
        <f>IFERROR(VLOOKUP(T136,V8_COHORT_TABLE,9,FALSE),IFERROR(VLOOKUP(P136&amp;"|"&amp;Q136&amp;"|ALL|"&amp;S136,V8_COHORT_TABLE,9,FALSE),IFERROR(VLOOKUP(P136&amp;"|ALL|ALL|"&amp;S136,V8_COHORT_TABLE,9,FALSE),IFERROR(VLOOKUP(P136&amp;"|ALL|ALL|ALL",V8_COHORT_TABLE,9,FALSE),VLOOKUP("GLOBAL",V8_COHORT_TABLE,9,FALSE)))))</f>
        <v/>
      </c>
      <c r="AF136" s="8">
        <f>IF(K136&lt;=0,AB136,IF(K136&gt;=240,AE136,IF(K136&lt;=24,AB136+(K136-0)/24*(AC136-AB136),IF(K136&lt;=96,AC136+(K136-24)/72*(AD136-AC136),AD136+(K136-96)/144*(AE136-AD136)))))</f>
        <v/>
      </c>
      <c r="AG136" s="8">
        <f>IF(IF(OR(L136="",NOT(ISNUMBER(L136))),360,MAX(0,MIN(480,(INT(L136/100)-INT(VALUE(F136)/100))*12+MOD(L136,100)-MOD(VALUE(F136),100))))&gt;0,1+V8_MTY_AMP*MAX(0,(V8_MTY_CUTOFF-(IF(OR(L136="",NOT(ISNUMBER(L136))),360,MAX(0,MIN(480,(INT(L136/100)-INT(VALUE(F136)/100))*12+MOD(L136,100)-MOD(VALUE(F136),100))))))/V8_MTY_CUTOFF),1)</f>
        <v/>
      </c>
      <c r="AH136" s="8">
        <f>IF(AND(IF(OR(M136="",NOT(ISNUMBER(M136))),0,MAX(0,MIN(24,(INT(VALUE(F136)/100)-INT(M136/100))*12+MOD(VALUE(F136),100)-MOD(M136,100))))&gt;0,IF(OR(M136="",NOT(ISNUMBER(M136))),0,MAX(0,MIN(24,(INT(VALUE(F136)/100)-INT(M136/100))*12+MOD(VALUE(F136),100)-MOD(M136,100))))&lt;=12),1+V8_LOCKOUT_AMP*EXP(-(IF(OR(M136="",NOT(ISNUMBER(M136))),0,MAX(0,MIN(24,(INT(VALUE(F136)/100)-INT(M136/100))*12+MOD(VALUE(F136),100)-MOD(M136,100)))))/V8_LOCKOUT_TAU),1)</f>
        <v/>
      </c>
      <c r="AI136" s="8">
        <f>MAX(V8_BURN_FLOOR,1-V8_BURN_SLOPE*MIN(1,MAX(0,O136)))</f>
        <v/>
      </c>
      <c r="AJ136" s="15">
        <f>MIN(AA136*AF136*AG136*AH136*AI136,0.2)</f>
        <v/>
      </c>
      <c r="AK136" s="16">
        <f>1-(1-AJ136)^12</f>
        <v/>
      </c>
    </row>
    <row r="137">
      <c r="A137" s="2" t="inlineStr">
        <is>
          <t>000007211158</t>
        </is>
      </c>
      <c r="B137" t="inlineStr">
        <is>
          <t>223f</t>
        </is>
      </c>
      <c r="C137" t="inlineStr">
        <is>
          <t>RP</t>
        </is>
      </c>
      <c r="D137" t="inlineStr">
        <is>
          <t>MERCHANTS CAPITAL CORP.</t>
        </is>
      </c>
      <c r="E137" t="n">
        <v>2016</v>
      </c>
      <c r="F137" t="inlineStr">
        <is>
          <t>202602</t>
        </is>
      </c>
      <c r="G137" s="9" t="n">
        <v>1838375.43</v>
      </c>
      <c r="H137" s="13" t="n">
        <v>3.35</v>
      </c>
      <c r="I137" s="14" t="n">
        <v>447</v>
      </c>
      <c r="J137" s="14" t="n">
        <v>1</v>
      </c>
      <c r="K137" t="n">
        <v>115</v>
      </c>
      <c r="L137" t="n">
        <v>205108</v>
      </c>
      <c r="M137" t="inlineStr"/>
      <c r="N137" t="n">
        <v>26</v>
      </c>
      <c r="O137" s="8" t="n">
        <v>0.2260869565217391</v>
      </c>
      <c r="P137">
        <f>IF(ISNUMBER(SEARCH("232",B137)),"232",IF(ISNUMBER(SEARCH("538",B137)),"538",IF(ISNUMBER(SEARCH("223a7",B137)),"223a7",IF(ISNUMBER(SEARCH("223f",B137)),"223f","OTHER"))))</f>
        <v/>
      </c>
      <c r="Q137">
        <f>IF(UPPER(C137)="NC","NC","RP")</f>
        <v/>
      </c>
      <c r="R137">
        <f>IF(G137&lt;5000000,"small",IF(G137&lt;25000000,"medium","large"))</f>
        <v/>
      </c>
      <c r="S137">
        <f>IF(K137&lt;36,"young",IF(K137&lt;120,"seasoned","aged"))</f>
        <v/>
      </c>
      <c r="T137">
        <f>P137&amp;"|"&amp;Q137&amp;"|"&amp;R137&amp;"|"&amp;S137</f>
        <v/>
      </c>
      <c r="U137" s="14">
        <f>H137*100-I137</f>
        <v/>
      </c>
      <c r="V137" s="14">
        <f>U137-12.5*(J137+1)</f>
        <v/>
      </c>
      <c r="W137" s="15">
        <f>IFERROR(VLOOKUP(T137,V8_COHORT_TABLE,2,FALSE),IFERROR(VLOOKUP(P137&amp;"|"&amp;Q137&amp;"|ALL|"&amp;S137,V8_COHORT_TABLE,2,FALSE),IFERROR(VLOOKUP(P137&amp;"|ALL|ALL|"&amp;S137,V8_COHORT_TABLE,2,FALSE),IFERROR(VLOOKUP(P137&amp;"|ALL|ALL|ALL",V8_COHORT_TABLE,2,FALSE),VLOOKUP("GLOBAL",V8_COHORT_TABLE,2,FALSE)))))</f>
        <v/>
      </c>
      <c r="X137" s="15">
        <f>IFERROR(VLOOKUP(T137,V8_COHORT_TABLE,3,FALSE),IFERROR(VLOOKUP(P137&amp;"|"&amp;Q137&amp;"|ALL|"&amp;S137,V8_COHORT_TABLE,3,FALSE),IFERROR(VLOOKUP(P137&amp;"|ALL|ALL|"&amp;S137,V8_COHORT_TABLE,3,FALSE),IFERROR(VLOOKUP(P137&amp;"|ALL|ALL|ALL",V8_COHORT_TABLE,3,FALSE),VLOOKUP("GLOBAL",V8_COHORT_TABLE,3,FALSE)))))</f>
        <v/>
      </c>
      <c r="Y137" s="15">
        <f>IFERROR(VLOOKUP(T137,V8_COHORT_TABLE,4,FALSE),IFERROR(VLOOKUP(P137&amp;"|"&amp;Q137&amp;"|ALL|"&amp;S137,V8_COHORT_TABLE,4,FALSE),IFERROR(VLOOKUP(P137&amp;"|ALL|ALL|"&amp;S137,V8_COHORT_TABLE,4,FALSE),IFERROR(VLOOKUP(P137&amp;"|ALL|ALL|ALL",V8_COHORT_TABLE,4,FALSE),VLOOKUP("GLOBAL",V8_COHORT_TABLE,4,FALSE)))))</f>
        <v/>
      </c>
      <c r="Z137" s="15">
        <f>IFERROR(VLOOKUP(T137,V8_COHORT_TABLE,5,FALSE),IFERROR(VLOOKUP(P137&amp;"|"&amp;Q137&amp;"|ALL|"&amp;S137,V8_COHORT_TABLE,5,FALSE),IFERROR(VLOOKUP(P137&amp;"|ALL|ALL|"&amp;S137,V8_COHORT_TABLE,5,FALSE),IFERROR(VLOOKUP(P137&amp;"|ALL|ALL|ALL",V8_COHORT_TABLE,5,FALSE),VLOOKUP("GLOBAL",V8_COHORT_TABLE,5,FALSE)))))</f>
        <v/>
      </c>
      <c r="AA137" s="15">
        <f>W137+X137/(1+EXP(-(V137-Y137)/Z137))</f>
        <v/>
      </c>
      <c r="AB137" s="15">
        <f>IFERROR(VLOOKUP(T137,V8_COHORT_TABLE,6,FALSE),IFERROR(VLOOKUP(P137&amp;"|"&amp;Q137&amp;"|ALL|"&amp;S137,V8_COHORT_TABLE,6,FALSE),IFERROR(VLOOKUP(P137&amp;"|ALL|ALL|"&amp;S137,V8_COHORT_TABLE,6,FALSE),IFERROR(VLOOKUP(P137&amp;"|ALL|ALL|ALL",V8_COHORT_TABLE,6,FALSE),VLOOKUP("GLOBAL",V8_COHORT_TABLE,6,FALSE)))))</f>
        <v/>
      </c>
      <c r="AC137" s="15">
        <f>IFERROR(VLOOKUP(T137,V8_COHORT_TABLE,7,FALSE),IFERROR(VLOOKUP(P137&amp;"|"&amp;Q137&amp;"|ALL|"&amp;S137,V8_COHORT_TABLE,7,FALSE),IFERROR(VLOOKUP(P137&amp;"|ALL|ALL|"&amp;S137,V8_COHORT_TABLE,7,FALSE),IFERROR(VLOOKUP(P137&amp;"|ALL|ALL|ALL",V8_COHORT_TABLE,7,FALSE),VLOOKUP("GLOBAL",V8_COHORT_TABLE,7,FALSE)))))</f>
        <v/>
      </c>
      <c r="AD137" s="15">
        <f>IFERROR(VLOOKUP(T137,V8_COHORT_TABLE,8,FALSE),IFERROR(VLOOKUP(P137&amp;"|"&amp;Q137&amp;"|ALL|"&amp;S137,V8_COHORT_TABLE,8,FALSE),IFERROR(VLOOKUP(P137&amp;"|ALL|ALL|"&amp;S137,V8_COHORT_TABLE,8,FALSE),IFERROR(VLOOKUP(P137&amp;"|ALL|ALL|ALL",V8_COHORT_TABLE,8,FALSE),VLOOKUP("GLOBAL",V8_COHORT_TABLE,8,FALSE)))))</f>
        <v/>
      </c>
      <c r="AE137" s="15">
        <f>IFERROR(VLOOKUP(T137,V8_COHORT_TABLE,9,FALSE),IFERROR(VLOOKUP(P137&amp;"|"&amp;Q137&amp;"|ALL|"&amp;S137,V8_COHORT_TABLE,9,FALSE),IFERROR(VLOOKUP(P137&amp;"|ALL|ALL|"&amp;S137,V8_COHORT_TABLE,9,FALSE),IFERROR(VLOOKUP(P137&amp;"|ALL|ALL|ALL",V8_COHORT_TABLE,9,FALSE),VLOOKUP("GLOBAL",V8_COHORT_TABLE,9,FALSE)))))</f>
        <v/>
      </c>
      <c r="AF137" s="8">
        <f>IF(K137&lt;=0,AB137,IF(K137&gt;=240,AE137,IF(K137&lt;=24,AB137+(K137-0)/24*(AC137-AB137),IF(K137&lt;=96,AC137+(K137-24)/72*(AD137-AC137),AD137+(K137-96)/144*(AE137-AD137)))))</f>
        <v/>
      </c>
      <c r="AG137" s="8">
        <f>IF(IF(OR(L137="",NOT(ISNUMBER(L137))),360,MAX(0,MIN(480,(INT(L137/100)-INT(VALUE(F137)/100))*12+MOD(L137,100)-MOD(VALUE(F137),100))))&gt;0,1+V8_MTY_AMP*MAX(0,(V8_MTY_CUTOFF-(IF(OR(L137="",NOT(ISNUMBER(L137))),360,MAX(0,MIN(480,(INT(L137/100)-INT(VALUE(F137)/100))*12+MOD(L137,100)-MOD(VALUE(F137),100))))))/V8_MTY_CUTOFF),1)</f>
        <v/>
      </c>
      <c r="AH137" s="8">
        <f>IF(AND(IF(OR(M137="",NOT(ISNUMBER(M137))),0,MAX(0,MIN(24,(INT(VALUE(F137)/100)-INT(M137/100))*12+MOD(VALUE(F137),100)-MOD(M137,100))))&gt;0,IF(OR(M137="",NOT(ISNUMBER(M137))),0,MAX(0,MIN(24,(INT(VALUE(F137)/100)-INT(M137/100))*12+MOD(VALUE(F137),100)-MOD(M137,100))))&lt;=12),1+V8_LOCKOUT_AMP*EXP(-(IF(OR(M137="",NOT(ISNUMBER(M137))),0,MAX(0,MIN(24,(INT(VALUE(F137)/100)-INT(M137/100))*12+MOD(VALUE(F137),100)-MOD(M137,100)))))/V8_LOCKOUT_TAU),1)</f>
        <v/>
      </c>
      <c r="AI137" s="8">
        <f>MAX(V8_BURN_FLOOR,1-V8_BURN_SLOPE*MIN(1,MAX(0,O137)))</f>
        <v/>
      </c>
      <c r="AJ137" s="15">
        <f>MIN(AA137*AF137*AG137*AH137*AI137,0.2)</f>
        <v/>
      </c>
      <c r="AK137" s="16">
        <f>1-(1-AJ137)^12</f>
        <v/>
      </c>
    </row>
    <row r="138">
      <c r="A138" s="2" t="inlineStr">
        <is>
          <t>000011535893</t>
        </is>
      </c>
      <c r="B138" t="inlineStr">
        <is>
          <t>221d4</t>
        </is>
      </c>
      <c r="C138" t="inlineStr">
        <is>
          <t>NC</t>
        </is>
      </c>
      <c r="D138" t="inlineStr">
        <is>
          <t>PNC BANK, NA</t>
        </is>
      </c>
      <c r="E138" t="n">
        <v>2020</v>
      </c>
      <c r="F138" t="inlineStr">
        <is>
          <t>202602</t>
        </is>
      </c>
      <c r="G138" s="9" t="n">
        <v>15491709.69</v>
      </c>
      <c r="H138" s="13" t="n">
        <v>2.99</v>
      </c>
      <c r="I138" s="14" t="n">
        <v>447</v>
      </c>
      <c r="J138" s="14" t="n">
        <v>7</v>
      </c>
      <c r="K138" t="n">
        <v>68</v>
      </c>
      <c r="L138" t="n">
        <v>206209</v>
      </c>
      <c r="M138" t="inlineStr"/>
      <c r="N138" t="n">
        <v>0</v>
      </c>
      <c r="O138" s="8" t="n">
        <v>0</v>
      </c>
      <c r="P138">
        <f>IF(ISNUMBER(SEARCH("232",B138)),"232",IF(ISNUMBER(SEARCH("538",B138)),"538",IF(ISNUMBER(SEARCH("223a7",B138)),"223a7",IF(ISNUMBER(SEARCH("223f",B138)),"223f","OTHER"))))</f>
        <v/>
      </c>
      <c r="Q138">
        <f>IF(UPPER(C138)="NC","NC","RP")</f>
        <v/>
      </c>
      <c r="R138">
        <f>IF(G138&lt;5000000,"small",IF(G138&lt;25000000,"medium","large"))</f>
        <v/>
      </c>
      <c r="S138">
        <f>IF(K138&lt;36,"young",IF(K138&lt;120,"seasoned","aged"))</f>
        <v/>
      </c>
      <c r="T138">
        <f>P138&amp;"|"&amp;Q138&amp;"|"&amp;R138&amp;"|"&amp;S138</f>
        <v/>
      </c>
      <c r="U138" s="14">
        <f>H138*100-I138</f>
        <v/>
      </c>
      <c r="V138" s="14">
        <f>U138-12.5*(J138+1)</f>
        <v/>
      </c>
      <c r="W138" s="15">
        <f>IFERROR(VLOOKUP(T138,V8_COHORT_TABLE,2,FALSE),IFERROR(VLOOKUP(P138&amp;"|"&amp;Q138&amp;"|ALL|"&amp;S138,V8_COHORT_TABLE,2,FALSE),IFERROR(VLOOKUP(P138&amp;"|ALL|ALL|"&amp;S138,V8_COHORT_TABLE,2,FALSE),IFERROR(VLOOKUP(P138&amp;"|ALL|ALL|ALL",V8_COHORT_TABLE,2,FALSE),VLOOKUP("GLOBAL",V8_COHORT_TABLE,2,FALSE)))))</f>
        <v/>
      </c>
      <c r="X138" s="15">
        <f>IFERROR(VLOOKUP(T138,V8_COHORT_TABLE,3,FALSE),IFERROR(VLOOKUP(P138&amp;"|"&amp;Q138&amp;"|ALL|"&amp;S138,V8_COHORT_TABLE,3,FALSE),IFERROR(VLOOKUP(P138&amp;"|ALL|ALL|"&amp;S138,V8_COHORT_TABLE,3,FALSE),IFERROR(VLOOKUP(P138&amp;"|ALL|ALL|ALL",V8_COHORT_TABLE,3,FALSE),VLOOKUP("GLOBAL",V8_COHORT_TABLE,3,FALSE)))))</f>
        <v/>
      </c>
      <c r="Y138" s="15">
        <f>IFERROR(VLOOKUP(T138,V8_COHORT_TABLE,4,FALSE),IFERROR(VLOOKUP(P138&amp;"|"&amp;Q138&amp;"|ALL|"&amp;S138,V8_COHORT_TABLE,4,FALSE),IFERROR(VLOOKUP(P138&amp;"|ALL|ALL|"&amp;S138,V8_COHORT_TABLE,4,FALSE),IFERROR(VLOOKUP(P138&amp;"|ALL|ALL|ALL",V8_COHORT_TABLE,4,FALSE),VLOOKUP("GLOBAL",V8_COHORT_TABLE,4,FALSE)))))</f>
        <v/>
      </c>
      <c r="Z138" s="15">
        <f>IFERROR(VLOOKUP(T138,V8_COHORT_TABLE,5,FALSE),IFERROR(VLOOKUP(P138&amp;"|"&amp;Q138&amp;"|ALL|"&amp;S138,V8_COHORT_TABLE,5,FALSE),IFERROR(VLOOKUP(P138&amp;"|ALL|ALL|"&amp;S138,V8_COHORT_TABLE,5,FALSE),IFERROR(VLOOKUP(P138&amp;"|ALL|ALL|ALL",V8_COHORT_TABLE,5,FALSE),VLOOKUP("GLOBAL",V8_COHORT_TABLE,5,FALSE)))))</f>
        <v/>
      </c>
      <c r="AA138" s="15">
        <f>W138+X138/(1+EXP(-(V138-Y138)/Z138))</f>
        <v/>
      </c>
      <c r="AB138" s="15">
        <f>IFERROR(VLOOKUP(T138,V8_COHORT_TABLE,6,FALSE),IFERROR(VLOOKUP(P138&amp;"|"&amp;Q138&amp;"|ALL|"&amp;S138,V8_COHORT_TABLE,6,FALSE),IFERROR(VLOOKUP(P138&amp;"|ALL|ALL|"&amp;S138,V8_COHORT_TABLE,6,FALSE),IFERROR(VLOOKUP(P138&amp;"|ALL|ALL|ALL",V8_COHORT_TABLE,6,FALSE),VLOOKUP("GLOBAL",V8_COHORT_TABLE,6,FALSE)))))</f>
        <v/>
      </c>
      <c r="AC138" s="15">
        <f>IFERROR(VLOOKUP(T138,V8_COHORT_TABLE,7,FALSE),IFERROR(VLOOKUP(P138&amp;"|"&amp;Q138&amp;"|ALL|"&amp;S138,V8_COHORT_TABLE,7,FALSE),IFERROR(VLOOKUP(P138&amp;"|ALL|ALL|"&amp;S138,V8_COHORT_TABLE,7,FALSE),IFERROR(VLOOKUP(P138&amp;"|ALL|ALL|ALL",V8_COHORT_TABLE,7,FALSE),VLOOKUP("GLOBAL",V8_COHORT_TABLE,7,FALSE)))))</f>
        <v/>
      </c>
      <c r="AD138" s="15">
        <f>IFERROR(VLOOKUP(T138,V8_COHORT_TABLE,8,FALSE),IFERROR(VLOOKUP(P138&amp;"|"&amp;Q138&amp;"|ALL|"&amp;S138,V8_COHORT_TABLE,8,FALSE),IFERROR(VLOOKUP(P138&amp;"|ALL|ALL|"&amp;S138,V8_COHORT_TABLE,8,FALSE),IFERROR(VLOOKUP(P138&amp;"|ALL|ALL|ALL",V8_COHORT_TABLE,8,FALSE),VLOOKUP("GLOBAL",V8_COHORT_TABLE,8,FALSE)))))</f>
        <v/>
      </c>
      <c r="AE138" s="15">
        <f>IFERROR(VLOOKUP(T138,V8_COHORT_TABLE,9,FALSE),IFERROR(VLOOKUP(P138&amp;"|"&amp;Q138&amp;"|ALL|"&amp;S138,V8_COHORT_TABLE,9,FALSE),IFERROR(VLOOKUP(P138&amp;"|ALL|ALL|"&amp;S138,V8_COHORT_TABLE,9,FALSE),IFERROR(VLOOKUP(P138&amp;"|ALL|ALL|ALL",V8_COHORT_TABLE,9,FALSE),VLOOKUP("GLOBAL",V8_COHORT_TABLE,9,FALSE)))))</f>
        <v/>
      </c>
      <c r="AF138" s="8">
        <f>IF(K138&lt;=0,AB138,IF(K138&gt;=240,AE138,IF(K138&lt;=24,AB138+(K138-0)/24*(AC138-AB138),IF(K138&lt;=96,AC138+(K138-24)/72*(AD138-AC138),AD138+(K138-96)/144*(AE138-AD138)))))</f>
        <v/>
      </c>
      <c r="AG138" s="8">
        <f>IF(IF(OR(L138="",NOT(ISNUMBER(L138))),360,MAX(0,MIN(480,(INT(L138/100)-INT(VALUE(F138)/100))*12+MOD(L138,100)-MOD(VALUE(F138),100))))&gt;0,1+V8_MTY_AMP*MAX(0,(V8_MTY_CUTOFF-(IF(OR(L138="",NOT(ISNUMBER(L138))),360,MAX(0,MIN(480,(INT(L138/100)-INT(VALUE(F138)/100))*12+MOD(L138,100)-MOD(VALUE(F138),100))))))/V8_MTY_CUTOFF),1)</f>
        <v/>
      </c>
      <c r="AH138" s="8">
        <f>IF(AND(IF(OR(M138="",NOT(ISNUMBER(M138))),0,MAX(0,MIN(24,(INT(VALUE(F138)/100)-INT(M138/100))*12+MOD(VALUE(F138),100)-MOD(M138,100))))&gt;0,IF(OR(M138="",NOT(ISNUMBER(M138))),0,MAX(0,MIN(24,(INT(VALUE(F138)/100)-INT(M138/100))*12+MOD(VALUE(F138),100)-MOD(M138,100))))&lt;=12),1+V8_LOCKOUT_AMP*EXP(-(IF(OR(M138="",NOT(ISNUMBER(M138))),0,MAX(0,MIN(24,(INT(VALUE(F138)/100)-INT(M138/100))*12+MOD(VALUE(F138),100)-MOD(M138,100)))))/V8_LOCKOUT_TAU),1)</f>
        <v/>
      </c>
      <c r="AI138" s="8">
        <f>MAX(V8_BURN_FLOOR,1-V8_BURN_SLOPE*MIN(1,MAX(0,O138)))</f>
        <v/>
      </c>
      <c r="AJ138" s="15">
        <f>MIN(AA138*AF138*AG138*AH138*AI138,0.2)</f>
        <v/>
      </c>
      <c r="AK138" s="16">
        <f>1-(1-AJ138)^12</f>
        <v/>
      </c>
    </row>
    <row r="139">
      <c r="A139" s="2" t="inlineStr">
        <is>
          <t>000007535415</t>
        </is>
      </c>
      <c r="B139" t="inlineStr">
        <is>
          <t>221d4</t>
        </is>
      </c>
      <c r="C139" t="inlineStr">
        <is>
          <t>NC</t>
        </is>
      </c>
      <c r="D139" t="inlineStr">
        <is>
          <t>PNC BANK, NA</t>
        </is>
      </c>
      <c r="E139" t="n">
        <v>2015</v>
      </c>
      <c r="F139" t="inlineStr">
        <is>
          <t>202602</t>
        </is>
      </c>
      <c r="G139" s="9" t="n">
        <v>4231318.11</v>
      </c>
      <c r="H139" s="13" t="n">
        <v>3.35</v>
      </c>
      <c r="I139" s="14" t="n">
        <v>447</v>
      </c>
      <c r="J139" s="14" t="n">
        <v>0</v>
      </c>
      <c r="K139" t="n">
        <v>127</v>
      </c>
      <c r="L139" t="n">
        <v>204504</v>
      </c>
      <c r="M139" t="inlineStr"/>
      <c r="N139" t="n">
        <v>29</v>
      </c>
      <c r="O139" s="8" t="n">
        <v>0.2283464566929134</v>
      </c>
      <c r="P139">
        <f>IF(ISNUMBER(SEARCH("232",B139)),"232",IF(ISNUMBER(SEARCH("538",B139)),"538",IF(ISNUMBER(SEARCH("223a7",B139)),"223a7",IF(ISNUMBER(SEARCH("223f",B139)),"223f","OTHER"))))</f>
        <v/>
      </c>
      <c r="Q139">
        <f>IF(UPPER(C139)="NC","NC","RP")</f>
        <v/>
      </c>
      <c r="R139">
        <f>IF(G139&lt;5000000,"small",IF(G139&lt;25000000,"medium","large"))</f>
        <v/>
      </c>
      <c r="S139">
        <f>IF(K139&lt;36,"young",IF(K139&lt;120,"seasoned","aged"))</f>
        <v/>
      </c>
      <c r="T139">
        <f>P139&amp;"|"&amp;Q139&amp;"|"&amp;R139&amp;"|"&amp;S139</f>
        <v/>
      </c>
      <c r="U139" s="14">
        <f>H139*100-I139</f>
        <v/>
      </c>
      <c r="V139" s="14">
        <f>U139-12.5*(J139+1)</f>
        <v/>
      </c>
      <c r="W139" s="15">
        <f>IFERROR(VLOOKUP(T139,V8_COHORT_TABLE,2,FALSE),IFERROR(VLOOKUP(P139&amp;"|"&amp;Q139&amp;"|ALL|"&amp;S139,V8_COHORT_TABLE,2,FALSE),IFERROR(VLOOKUP(P139&amp;"|ALL|ALL|"&amp;S139,V8_COHORT_TABLE,2,FALSE),IFERROR(VLOOKUP(P139&amp;"|ALL|ALL|ALL",V8_COHORT_TABLE,2,FALSE),VLOOKUP("GLOBAL",V8_COHORT_TABLE,2,FALSE)))))</f>
        <v/>
      </c>
      <c r="X139" s="15">
        <f>IFERROR(VLOOKUP(T139,V8_COHORT_TABLE,3,FALSE),IFERROR(VLOOKUP(P139&amp;"|"&amp;Q139&amp;"|ALL|"&amp;S139,V8_COHORT_TABLE,3,FALSE),IFERROR(VLOOKUP(P139&amp;"|ALL|ALL|"&amp;S139,V8_COHORT_TABLE,3,FALSE),IFERROR(VLOOKUP(P139&amp;"|ALL|ALL|ALL",V8_COHORT_TABLE,3,FALSE),VLOOKUP("GLOBAL",V8_COHORT_TABLE,3,FALSE)))))</f>
        <v/>
      </c>
      <c r="Y139" s="15">
        <f>IFERROR(VLOOKUP(T139,V8_COHORT_TABLE,4,FALSE),IFERROR(VLOOKUP(P139&amp;"|"&amp;Q139&amp;"|ALL|"&amp;S139,V8_COHORT_TABLE,4,FALSE),IFERROR(VLOOKUP(P139&amp;"|ALL|ALL|"&amp;S139,V8_COHORT_TABLE,4,FALSE),IFERROR(VLOOKUP(P139&amp;"|ALL|ALL|ALL",V8_COHORT_TABLE,4,FALSE),VLOOKUP("GLOBAL",V8_COHORT_TABLE,4,FALSE)))))</f>
        <v/>
      </c>
      <c r="Z139" s="15">
        <f>IFERROR(VLOOKUP(T139,V8_COHORT_TABLE,5,FALSE),IFERROR(VLOOKUP(P139&amp;"|"&amp;Q139&amp;"|ALL|"&amp;S139,V8_COHORT_TABLE,5,FALSE),IFERROR(VLOOKUP(P139&amp;"|ALL|ALL|"&amp;S139,V8_COHORT_TABLE,5,FALSE),IFERROR(VLOOKUP(P139&amp;"|ALL|ALL|ALL",V8_COHORT_TABLE,5,FALSE),VLOOKUP("GLOBAL",V8_COHORT_TABLE,5,FALSE)))))</f>
        <v/>
      </c>
      <c r="AA139" s="15">
        <f>W139+X139/(1+EXP(-(V139-Y139)/Z139))</f>
        <v/>
      </c>
      <c r="AB139" s="15">
        <f>IFERROR(VLOOKUP(T139,V8_COHORT_TABLE,6,FALSE),IFERROR(VLOOKUP(P139&amp;"|"&amp;Q139&amp;"|ALL|"&amp;S139,V8_COHORT_TABLE,6,FALSE),IFERROR(VLOOKUP(P139&amp;"|ALL|ALL|"&amp;S139,V8_COHORT_TABLE,6,FALSE),IFERROR(VLOOKUP(P139&amp;"|ALL|ALL|ALL",V8_COHORT_TABLE,6,FALSE),VLOOKUP("GLOBAL",V8_COHORT_TABLE,6,FALSE)))))</f>
        <v/>
      </c>
      <c r="AC139" s="15">
        <f>IFERROR(VLOOKUP(T139,V8_COHORT_TABLE,7,FALSE),IFERROR(VLOOKUP(P139&amp;"|"&amp;Q139&amp;"|ALL|"&amp;S139,V8_COHORT_TABLE,7,FALSE),IFERROR(VLOOKUP(P139&amp;"|ALL|ALL|"&amp;S139,V8_COHORT_TABLE,7,FALSE),IFERROR(VLOOKUP(P139&amp;"|ALL|ALL|ALL",V8_COHORT_TABLE,7,FALSE),VLOOKUP("GLOBAL",V8_COHORT_TABLE,7,FALSE)))))</f>
        <v/>
      </c>
      <c r="AD139" s="15">
        <f>IFERROR(VLOOKUP(T139,V8_COHORT_TABLE,8,FALSE),IFERROR(VLOOKUP(P139&amp;"|"&amp;Q139&amp;"|ALL|"&amp;S139,V8_COHORT_TABLE,8,FALSE),IFERROR(VLOOKUP(P139&amp;"|ALL|ALL|"&amp;S139,V8_COHORT_TABLE,8,FALSE),IFERROR(VLOOKUP(P139&amp;"|ALL|ALL|ALL",V8_COHORT_TABLE,8,FALSE),VLOOKUP("GLOBAL",V8_COHORT_TABLE,8,FALSE)))))</f>
        <v/>
      </c>
      <c r="AE139" s="15">
        <f>IFERROR(VLOOKUP(T139,V8_COHORT_TABLE,9,FALSE),IFERROR(VLOOKUP(P139&amp;"|"&amp;Q139&amp;"|ALL|"&amp;S139,V8_COHORT_TABLE,9,FALSE),IFERROR(VLOOKUP(P139&amp;"|ALL|ALL|"&amp;S139,V8_COHORT_TABLE,9,FALSE),IFERROR(VLOOKUP(P139&amp;"|ALL|ALL|ALL",V8_COHORT_TABLE,9,FALSE),VLOOKUP("GLOBAL",V8_COHORT_TABLE,9,FALSE)))))</f>
        <v/>
      </c>
      <c r="AF139" s="8">
        <f>IF(K139&lt;=0,AB139,IF(K139&gt;=240,AE139,IF(K139&lt;=24,AB139+(K139-0)/24*(AC139-AB139),IF(K139&lt;=96,AC139+(K139-24)/72*(AD139-AC139),AD139+(K139-96)/144*(AE139-AD139)))))</f>
        <v/>
      </c>
      <c r="AG139" s="8">
        <f>IF(IF(OR(L139="",NOT(ISNUMBER(L139))),360,MAX(0,MIN(480,(INT(L139/100)-INT(VALUE(F139)/100))*12+MOD(L139,100)-MOD(VALUE(F139),100))))&gt;0,1+V8_MTY_AMP*MAX(0,(V8_MTY_CUTOFF-(IF(OR(L139="",NOT(ISNUMBER(L139))),360,MAX(0,MIN(480,(INT(L139/100)-INT(VALUE(F139)/100))*12+MOD(L139,100)-MOD(VALUE(F139),100))))))/V8_MTY_CUTOFF),1)</f>
        <v/>
      </c>
      <c r="AH139" s="8">
        <f>IF(AND(IF(OR(M139="",NOT(ISNUMBER(M139))),0,MAX(0,MIN(24,(INT(VALUE(F139)/100)-INT(M139/100))*12+MOD(VALUE(F139),100)-MOD(M139,100))))&gt;0,IF(OR(M139="",NOT(ISNUMBER(M139))),0,MAX(0,MIN(24,(INT(VALUE(F139)/100)-INT(M139/100))*12+MOD(VALUE(F139),100)-MOD(M139,100))))&lt;=12),1+V8_LOCKOUT_AMP*EXP(-(IF(OR(M139="",NOT(ISNUMBER(M139))),0,MAX(0,MIN(24,(INT(VALUE(F139)/100)-INT(M139/100))*12+MOD(VALUE(F139),100)-MOD(M139,100)))))/V8_LOCKOUT_TAU),1)</f>
        <v/>
      </c>
      <c r="AI139" s="8">
        <f>MAX(V8_BURN_FLOOR,1-V8_BURN_SLOPE*MIN(1,MAX(0,O139)))</f>
        <v/>
      </c>
      <c r="AJ139" s="15">
        <f>MIN(AA139*AF139*AG139*AH139*AI139,0.2)</f>
        <v/>
      </c>
      <c r="AK139" s="16">
        <f>1-(1-AJ139)^12</f>
        <v/>
      </c>
    </row>
    <row r="140">
      <c r="A140" s="2" t="inlineStr">
        <is>
          <t>000004711044</t>
        </is>
      </c>
      <c r="B140" t="inlineStr">
        <is>
          <t>223f</t>
        </is>
      </c>
      <c r="C140" t="inlineStr">
        <is>
          <t>RP</t>
        </is>
      </c>
      <c r="D140" t="inlineStr">
        <is>
          <t>PNC BANK, NA</t>
        </is>
      </c>
      <c r="E140" t="n">
        <v>2007</v>
      </c>
      <c r="F140" t="inlineStr">
        <is>
          <t>202602</t>
        </is>
      </c>
      <c r="G140" s="9" t="n">
        <v>656933.48</v>
      </c>
      <c r="H140" s="13" t="n">
        <v>5.8</v>
      </c>
      <c r="I140" s="14" t="n">
        <v>447</v>
      </c>
      <c r="J140" s="14" t="n">
        <v>0</v>
      </c>
      <c r="K140" t="n">
        <v>223</v>
      </c>
      <c r="L140" t="n">
        <v>204208</v>
      </c>
      <c r="M140" t="n">
        <v>200909</v>
      </c>
      <c r="N140" t="n">
        <v>85</v>
      </c>
      <c r="O140" s="8" t="n">
        <v>0.3811659192825112</v>
      </c>
      <c r="P140">
        <f>IF(ISNUMBER(SEARCH("232",B140)),"232",IF(ISNUMBER(SEARCH("538",B140)),"538",IF(ISNUMBER(SEARCH("223a7",B140)),"223a7",IF(ISNUMBER(SEARCH("223f",B140)),"223f","OTHER"))))</f>
        <v/>
      </c>
      <c r="Q140">
        <f>IF(UPPER(C140)="NC","NC","RP")</f>
        <v/>
      </c>
      <c r="R140">
        <f>IF(G140&lt;5000000,"small",IF(G140&lt;25000000,"medium","large"))</f>
        <v/>
      </c>
      <c r="S140">
        <f>IF(K140&lt;36,"young",IF(K140&lt;120,"seasoned","aged"))</f>
        <v/>
      </c>
      <c r="T140">
        <f>P140&amp;"|"&amp;Q140&amp;"|"&amp;R140&amp;"|"&amp;S140</f>
        <v/>
      </c>
      <c r="U140" s="14">
        <f>H140*100-I140</f>
        <v/>
      </c>
      <c r="V140" s="14">
        <f>U140-12.5*(J140+1)</f>
        <v/>
      </c>
      <c r="W140" s="15">
        <f>IFERROR(VLOOKUP(T140,V8_COHORT_TABLE,2,FALSE),IFERROR(VLOOKUP(P140&amp;"|"&amp;Q140&amp;"|ALL|"&amp;S140,V8_COHORT_TABLE,2,FALSE),IFERROR(VLOOKUP(P140&amp;"|ALL|ALL|"&amp;S140,V8_COHORT_TABLE,2,FALSE),IFERROR(VLOOKUP(P140&amp;"|ALL|ALL|ALL",V8_COHORT_TABLE,2,FALSE),VLOOKUP("GLOBAL",V8_COHORT_TABLE,2,FALSE)))))</f>
        <v/>
      </c>
      <c r="X140" s="15">
        <f>IFERROR(VLOOKUP(T140,V8_COHORT_TABLE,3,FALSE),IFERROR(VLOOKUP(P140&amp;"|"&amp;Q140&amp;"|ALL|"&amp;S140,V8_COHORT_TABLE,3,FALSE),IFERROR(VLOOKUP(P140&amp;"|ALL|ALL|"&amp;S140,V8_COHORT_TABLE,3,FALSE),IFERROR(VLOOKUP(P140&amp;"|ALL|ALL|ALL",V8_COHORT_TABLE,3,FALSE),VLOOKUP("GLOBAL",V8_COHORT_TABLE,3,FALSE)))))</f>
        <v/>
      </c>
      <c r="Y140" s="15">
        <f>IFERROR(VLOOKUP(T140,V8_COHORT_TABLE,4,FALSE),IFERROR(VLOOKUP(P140&amp;"|"&amp;Q140&amp;"|ALL|"&amp;S140,V8_COHORT_TABLE,4,FALSE),IFERROR(VLOOKUP(P140&amp;"|ALL|ALL|"&amp;S140,V8_COHORT_TABLE,4,FALSE),IFERROR(VLOOKUP(P140&amp;"|ALL|ALL|ALL",V8_COHORT_TABLE,4,FALSE),VLOOKUP("GLOBAL",V8_COHORT_TABLE,4,FALSE)))))</f>
        <v/>
      </c>
      <c r="Z140" s="15">
        <f>IFERROR(VLOOKUP(T140,V8_COHORT_TABLE,5,FALSE),IFERROR(VLOOKUP(P140&amp;"|"&amp;Q140&amp;"|ALL|"&amp;S140,V8_COHORT_TABLE,5,FALSE),IFERROR(VLOOKUP(P140&amp;"|ALL|ALL|"&amp;S140,V8_COHORT_TABLE,5,FALSE),IFERROR(VLOOKUP(P140&amp;"|ALL|ALL|ALL",V8_COHORT_TABLE,5,FALSE),VLOOKUP("GLOBAL",V8_COHORT_TABLE,5,FALSE)))))</f>
        <v/>
      </c>
      <c r="AA140" s="15">
        <f>W140+X140/(1+EXP(-(V140-Y140)/Z140))</f>
        <v/>
      </c>
      <c r="AB140" s="15">
        <f>IFERROR(VLOOKUP(T140,V8_COHORT_TABLE,6,FALSE),IFERROR(VLOOKUP(P140&amp;"|"&amp;Q140&amp;"|ALL|"&amp;S140,V8_COHORT_TABLE,6,FALSE),IFERROR(VLOOKUP(P140&amp;"|ALL|ALL|"&amp;S140,V8_COHORT_TABLE,6,FALSE),IFERROR(VLOOKUP(P140&amp;"|ALL|ALL|ALL",V8_COHORT_TABLE,6,FALSE),VLOOKUP("GLOBAL",V8_COHORT_TABLE,6,FALSE)))))</f>
        <v/>
      </c>
      <c r="AC140" s="15">
        <f>IFERROR(VLOOKUP(T140,V8_COHORT_TABLE,7,FALSE),IFERROR(VLOOKUP(P140&amp;"|"&amp;Q140&amp;"|ALL|"&amp;S140,V8_COHORT_TABLE,7,FALSE),IFERROR(VLOOKUP(P140&amp;"|ALL|ALL|"&amp;S140,V8_COHORT_TABLE,7,FALSE),IFERROR(VLOOKUP(P140&amp;"|ALL|ALL|ALL",V8_COHORT_TABLE,7,FALSE),VLOOKUP("GLOBAL",V8_COHORT_TABLE,7,FALSE)))))</f>
        <v/>
      </c>
      <c r="AD140" s="15">
        <f>IFERROR(VLOOKUP(T140,V8_COHORT_TABLE,8,FALSE),IFERROR(VLOOKUP(P140&amp;"|"&amp;Q140&amp;"|ALL|"&amp;S140,V8_COHORT_TABLE,8,FALSE),IFERROR(VLOOKUP(P140&amp;"|ALL|ALL|"&amp;S140,V8_COHORT_TABLE,8,FALSE),IFERROR(VLOOKUP(P140&amp;"|ALL|ALL|ALL",V8_COHORT_TABLE,8,FALSE),VLOOKUP("GLOBAL",V8_COHORT_TABLE,8,FALSE)))))</f>
        <v/>
      </c>
      <c r="AE140" s="15">
        <f>IFERROR(VLOOKUP(T140,V8_COHORT_TABLE,9,FALSE),IFERROR(VLOOKUP(P140&amp;"|"&amp;Q140&amp;"|ALL|"&amp;S140,V8_COHORT_TABLE,9,FALSE),IFERROR(VLOOKUP(P140&amp;"|ALL|ALL|"&amp;S140,V8_COHORT_TABLE,9,FALSE),IFERROR(VLOOKUP(P140&amp;"|ALL|ALL|ALL",V8_COHORT_TABLE,9,FALSE),VLOOKUP("GLOBAL",V8_COHORT_TABLE,9,FALSE)))))</f>
        <v/>
      </c>
      <c r="AF140" s="8">
        <f>IF(K140&lt;=0,AB140,IF(K140&gt;=240,AE140,IF(K140&lt;=24,AB140+(K140-0)/24*(AC140-AB140),IF(K140&lt;=96,AC140+(K140-24)/72*(AD140-AC140),AD140+(K140-96)/144*(AE140-AD140)))))</f>
        <v/>
      </c>
      <c r="AG140" s="8">
        <f>IF(IF(OR(L140="",NOT(ISNUMBER(L140))),360,MAX(0,MIN(480,(INT(L140/100)-INT(VALUE(F140)/100))*12+MOD(L140,100)-MOD(VALUE(F140),100))))&gt;0,1+V8_MTY_AMP*MAX(0,(V8_MTY_CUTOFF-(IF(OR(L140="",NOT(ISNUMBER(L140))),360,MAX(0,MIN(480,(INT(L140/100)-INT(VALUE(F140)/100))*12+MOD(L140,100)-MOD(VALUE(F140),100))))))/V8_MTY_CUTOFF),1)</f>
        <v/>
      </c>
      <c r="AH140" s="8">
        <f>IF(AND(IF(OR(M140="",NOT(ISNUMBER(M140))),0,MAX(0,MIN(24,(INT(VALUE(F140)/100)-INT(M140/100))*12+MOD(VALUE(F140),100)-MOD(M140,100))))&gt;0,IF(OR(M140="",NOT(ISNUMBER(M140))),0,MAX(0,MIN(24,(INT(VALUE(F140)/100)-INT(M140/100))*12+MOD(VALUE(F140),100)-MOD(M140,100))))&lt;=12),1+V8_LOCKOUT_AMP*EXP(-(IF(OR(M140="",NOT(ISNUMBER(M140))),0,MAX(0,MIN(24,(INT(VALUE(F140)/100)-INT(M140/100))*12+MOD(VALUE(F140),100)-MOD(M140,100)))))/V8_LOCKOUT_TAU),1)</f>
        <v/>
      </c>
      <c r="AI140" s="8">
        <f>MAX(V8_BURN_FLOOR,1-V8_BURN_SLOPE*MIN(1,MAX(0,O140)))</f>
        <v/>
      </c>
      <c r="AJ140" s="15">
        <f>MIN(AA140*AF140*AG140*AH140*AI140,0.2)</f>
        <v/>
      </c>
      <c r="AK140" s="16">
        <f>1-(1-AJ140)^12</f>
        <v/>
      </c>
    </row>
    <row r="141">
      <c r="A141" s="2" t="inlineStr">
        <is>
          <t>000001711215</t>
        </is>
      </c>
      <c r="B141" t="inlineStr">
        <is>
          <t>223f</t>
        </is>
      </c>
      <c r="C141" t="inlineStr">
        <is>
          <t>RP</t>
        </is>
      </c>
      <c r="D141" t="inlineStr">
        <is>
          <t>PNC BANK, NA</t>
        </is>
      </c>
      <c r="E141" t="n">
        <v>2020</v>
      </c>
      <c r="F141" t="inlineStr">
        <is>
          <t>202602</t>
        </is>
      </c>
      <c r="G141" s="9" t="n">
        <v>12716615.97</v>
      </c>
      <c r="H141" s="13" t="n">
        <v>2.38</v>
      </c>
      <c r="I141" s="14" t="n">
        <v>447</v>
      </c>
      <c r="J141" s="14" t="n">
        <v>5</v>
      </c>
      <c r="K141" t="n">
        <v>67</v>
      </c>
      <c r="L141" t="n">
        <v>205508</v>
      </c>
      <c r="M141" t="inlineStr"/>
      <c r="N141" t="n">
        <v>0</v>
      </c>
      <c r="O141" s="8" t="n">
        <v>0</v>
      </c>
      <c r="P141">
        <f>IF(ISNUMBER(SEARCH("232",B141)),"232",IF(ISNUMBER(SEARCH("538",B141)),"538",IF(ISNUMBER(SEARCH("223a7",B141)),"223a7",IF(ISNUMBER(SEARCH("223f",B141)),"223f","OTHER"))))</f>
        <v/>
      </c>
      <c r="Q141">
        <f>IF(UPPER(C141)="NC","NC","RP")</f>
        <v/>
      </c>
      <c r="R141">
        <f>IF(G141&lt;5000000,"small",IF(G141&lt;25000000,"medium","large"))</f>
        <v/>
      </c>
      <c r="S141">
        <f>IF(K141&lt;36,"young",IF(K141&lt;120,"seasoned","aged"))</f>
        <v/>
      </c>
      <c r="T141">
        <f>P141&amp;"|"&amp;Q141&amp;"|"&amp;R141&amp;"|"&amp;S141</f>
        <v/>
      </c>
      <c r="U141" s="14">
        <f>H141*100-I141</f>
        <v/>
      </c>
      <c r="V141" s="14">
        <f>U141-12.5*(J141+1)</f>
        <v/>
      </c>
      <c r="W141" s="15">
        <f>IFERROR(VLOOKUP(T141,V8_COHORT_TABLE,2,FALSE),IFERROR(VLOOKUP(P141&amp;"|"&amp;Q141&amp;"|ALL|"&amp;S141,V8_COHORT_TABLE,2,FALSE),IFERROR(VLOOKUP(P141&amp;"|ALL|ALL|"&amp;S141,V8_COHORT_TABLE,2,FALSE),IFERROR(VLOOKUP(P141&amp;"|ALL|ALL|ALL",V8_COHORT_TABLE,2,FALSE),VLOOKUP("GLOBAL",V8_COHORT_TABLE,2,FALSE)))))</f>
        <v/>
      </c>
      <c r="X141" s="15">
        <f>IFERROR(VLOOKUP(T141,V8_COHORT_TABLE,3,FALSE),IFERROR(VLOOKUP(P141&amp;"|"&amp;Q141&amp;"|ALL|"&amp;S141,V8_COHORT_TABLE,3,FALSE),IFERROR(VLOOKUP(P141&amp;"|ALL|ALL|"&amp;S141,V8_COHORT_TABLE,3,FALSE),IFERROR(VLOOKUP(P141&amp;"|ALL|ALL|ALL",V8_COHORT_TABLE,3,FALSE),VLOOKUP("GLOBAL",V8_COHORT_TABLE,3,FALSE)))))</f>
        <v/>
      </c>
      <c r="Y141" s="15">
        <f>IFERROR(VLOOKUP(T141,V8_COHORT_TABLE,4,FALSE),IFERROR(VLOOKUP(P141&amp;"|"&amp;Q141&amp;"|ALL|"&amp;S141,V8_COHORT_TABLE,4,FALSE),IFERROR(VLOOKUP(P141&amp;"|ALL|ALL|"&amp;S141,V8_COHORT_TABLE,4,FALSE),IFERROR(VLOOKUP(P141&amp;"|ALL|ALL|ALL",V8_COHORT_TABLE,4,FALSE),VLOOKUP("GLOBAL",V8_COHORT_TABLE,4,FALSE)))))</f>
        <v/>
      </c>
      <c r="Z141" s="15">
        <f>IFERROR(VLOOKUP(T141,V8_COHORT_TABLE,5,FALSE),IFERROR(VLOOKUP(P141&amp;"|"&amp;Q141&amp;"|ALL|"&amp;S141,V8_COHORT_TABLE,5,FALSE),IFERROR(VLOOKUP(P141&amp;"|ALL|ALL|"&amp;S141,V8_COHORT_TABLE,5,FALSE),IFERROR(VLOOKUP(P141&amp;"|ALL|ALL|ALL",V8_COHORT_TABLE,5,FALSE),VLOOKUP("GLOBAL",V8_COHORT_TABLE,5,FALSE)))))</f>
        <v/>
      </c>
      <c r="AA141" s="15">
        <f>W141+X141/(1+EXP(-(V141-Y141)/Z141))</f>
        <v/>
      </c>
      <c r="AB141" s="15">
        <f>IFERROR(VLOOKUP(T141,V8_COHORT_TABLE,6,FALSE),IFERROR(VLOOKUP(P141&amp;"|"&amp;Q141&amp;"|ALL|"&amp;S141,V8_COHORT_TABLE,6,FALSE),IFERROR(VLOOKUP(P141&amp;"|ALL|ALL|"&amp;S141,V8_COHORT_TABLE,6,FALSE),IFERROR(VLOOKUP(P141&amp;"|ALL|ALL|ALL",V8_COHORT_TABLE,6,FALSE),VLOOKUP("GLOBAL",V8_COHORT_TABLE,6,FALSE)))))</f>
        <v/>
      </c>
      <c r="AC141" s="15">
        <f>IFERROR(VLOOKUP(T141,V8_COHORT_TABLE,7,FALSE),IFERROR(VLOOKUP(P141&amp;"|"&amp;Q141&amp;"|ALL|"&amp;S141,V8_COHORT_TABLE,7,FALSE),IFERROR(VLOOKUP(P141&amp;"|ALL|ALL|"&amp;S141,V8_COHORT_TABLE,7,FALSE),IFERROR(VLOOKUP(P141&amp;"|ALL|ALL|ALL",V8_COHORT_TABLE,7,FALSE),VLOOKUP("GLOBAL",V8_COHORT_TABLE,7,FALSE)))))</f>
        <v/>
      </c>
      <c r="AD141" s="15">
        <f>IFERROR(VLOOKUP(T141,V8_COHORT_TABLE,8,FALSE),IFERROR(VLOOKUP(P141&amp;"|"&amp;Q141&amp;"|ALL|"&amp;S141,V8_COHORT_TABLE,8,FALSE),IFERROR(VLOOKUP(P141&amp;"|ALL|ALL|"&amp;S141,V8_COHORT_TABLE,8,FALSE),IFERROR(VLOOKUP(P141&amp;"|ALL|ALL|ALL",V8_COHORT_TABLE,8,FALSE),VLOOKUP("GLOBAL",V8_COHORT_TABLE,8,FALSE)))))</f>
        <v/>
      </c>
      <c r="AE141" s="15">
        <f>IFERROR(VLOOKUP(T141,V8_COHORT_TABLE,9,FALSE),IFERROR(VLOOKUP(P141&amp;"|"&amp;Q141&amp;"|ALL|"&amp;S141,V8_COHORT_TABLE,9,FALSE),IFERROR(VLOOKUP(P141&amp;"|ALL|ALL|"&amp;S141,V8_COHORT_TABLE,9,FALSE),IFERROR(VLOOKUP(P141&amp;"|ALL|ALL|ALL",V8_COHORT_TABLE,9,FALSE),VLOOKUP("GLOBAL",V8_COHORT_TABLE,9,FALSE)))))</f>
        <v/>
      </c>
      <c r="AF141" s="8">
        <f>IF(K141&lt;=0,AB141,IF(K141&gt;=240,AE141,IF(K141&lt;=24,AB141+(K141-0)/24*(AC141-AB141),IF(K141&lt;=96,AC141+(K141-24)/72*(AD141-AC141),AD141+(K141-96)/144*(AE141-AD141)))))</f>
        <v/>
      </c>
      <c r="AG141" s="8">
        <f>IF(IF(OR(L141="",NOT(ISNUMBER(L141))),360,MAX(0,MIN(480,(INT(L141/100)-INT(VALUE(F141)/100))*12+MOD(L141,100)-MOD(VALUE(F141),100))))&gt;0,1+V8_MTY_AMP*MAX(0,(V8_MTY_CUTOFF-(IF(OR(L141="",NOT(ISNUMBER(L141))),360,MAX(0,MIN(480,(INT(L141/100)-INT(VALUE(F141)/100))*12+MOD(L141,100)-MOD(VALUE(F141),100))))))/V8_MTY_CUTOFF),1)</f>
        <v/>
      </c>
      <c r="AH141" s="8">
        <f>IF(AND(IF(OR(M141="",NOT(ISNUMBER(M141))),0,MAX(0,MIN(24,(INT(VALUE(F141)/100)-INT(M141/100))*12+MOD(VALUE(F141),100)-MOD(M141,100))))&gt;0,IF(OR(M141="",NOT(ISNUMBER(M141))),0,MAX(0,MIN(24,(INT(VALUE(F141)/100)-INT(M141/100))*12+MOD(VALUE(F141),100)-MOD(M141,100))))&lt;=12),1+V8_LOCKOUT_AMP*EXP(-(IF(OR(M141="",NOT(ISNUMBER(M141))),0,MAX(0,MIN(24,(INT(VALUE(F141)/100)-INT(M141/100))*12+MOD(VALUE(F141),100)-MOD(M141,100)))))/V8_LOCKOUT_TAU),1)</f>
        <v/>
      </c>
      <c r="AI141" s="8">
        <f>MAX(V8_BURN_FLOOR,1-V8_BURN_SLOPE*MIN(1,MAX(0,O141)))</f>
        <v/>
      </c>
      <c r="AJ141" s="15">
        <f>MIN(AA141*AF141*AG141*AH141*AI141,0.2)</f>
        <v/>
      </c>
      <c r="AK141" s="16">
        <f>1-(1-AJ141)^12</f>
        <v/>
      </c>
    </row>
    <row r="142">
      <c r="A142" s="2" t="inlineStr">
        <is>
          <t>000005335916</t>
        </is>
      </c>
      <c r="B142" t="inlineStr">
        <is>
          <t>223a7</t>
        </is>
      </c>
      <c r="C142" t="inlineStr">
        <is>
          <t>RP</t>
        </is>
      </c>
      <c r="D142" t="inlineStr">
        <is>
          <t>PNC BANK, NA</t>
        </is>
      </c>
      <c r="E142" t="n">
        <v>2006</v>
      </c>
      <c r="F142" t="inlineStr">
        <is>
          <t>202602</t>
        </is>
      </c>
      <c r="G142" s="9" t="n">
        <v>182364.07</v>
      </c>
      <c r="H142" s="13" t="n">
        <v>6.75</v>
      </c>
      <c r="I142" s="14" t="n">
        <v>447</v>
      </c>
      <c r="J142" s="14" t="n">
        <v>0</v>
      </c>
      <c r="K142" t="n">
        <v>232</v>
      </c>
      <c r="L142" t="n">
        <v>203611</v>
      </c>
      <c r="M142" t="n">
        <v>200712</v>
      </c>
      <c r="N142" t="n">
        <v>87</v>
      </c>
      <c r="O142" s="8" t="n">
        <v>0.375</v>
      </c>
      <c r="P142">
        <f>IF(ISNUMBER(SEARCH("232",B142)),"232",IF(ISNUMBER(SEARCH("538",B142)),"538",IF(ISNUMBER(SEARCH("223a7",B142)),"223a7",IF(ISNUMBER(SEARCH("223f",B142)),"223f","OTHER"))))</f>
        <v/>
      </c>
      <c r="Q142">
        <f>IF(UPPER(C142)="NC","NC","RP")</f>
        <v/>
      </c>
      <c r="R142">
        <f>IF(G142&lt;5000000,"small",IF(G142&lt;25000000,"medium","large"))</f>
        <v/>
      </c>
      <c r="S142">
        <f>IF(K142&lt;36,"young",IF(K142&lt;120,"seasoned","aged"))</f>
        <v/>
      </c>
      <c r="T142">
        <f>P142&amp;"|"&amp;Q142&amp;"|"&amp;R142&amp;"|"&amp;S142</f>
        <v/>
      </c>
      <c r="U142" s="14">
        <f>H142*100-I142</f>
        <v/>
      </c>
      <c r="V142" s="14">
        <f>U142-12.5*(J142+1)</f>
        <v/>
      </c>
      <c r="W142" s="15">
        <f>IFERROR(VLOOKUP(T142,V8_COHORT_TABLE,2,FALSE),IFERROR(VLOOKUP(P142&amp;"|"&amp;Q142&amp;"|ALL|"&amp;S142,V8_COHORT_TABLE,2,FALSE),IFERROR(VLOOKUP(P142&amp;"|ALL|ALL|"&amp;S142,V8_COHORT_TABLE,2,FALSE),IFERROR(VLOOKUP(P142&amp;"|ALL|ALL|ALL",V8_COHORT_TABLE,2,FALSE),VLOOKUP("GLOBAL",V8_COHORT_TABLE,2,FALSE)))))</f>
        <v/>
      </c>
      <c r="X142" s="15">
        <f>IFERROR(VLOOKUP(T142,V8_COHORT_TABLE,3,FALSE),IFERROR(VLOOKUP(P142&amp;"|"&amp;Q142&amp;"|ALL|"&amp;S142,V8_COHORT_TABLE,3,FALSE),IFERROR(VLOOKUP(P142&amp;"|ALL|ALL|"&amp;S142,V8_COHORT_TABLE,3,FALSE),IFERROR(VLOOKUP(P142&amp;"|ALL|ALL|ALL",V8_COHORT_TABLE,3,FALSE),VLOOKUP("GLOBAL",V8_COHORT_TABLE,3,FALSE)))))</f>
        <v/>
      </c>
      <c r="Y142" s="15">
        <f>IFERROR(VLOOKUP(T142,V8_COHORT_TABLE,4,FALSE),IFERROR(VLOOKUP(P142&amp;"|"&amp;Q142&amp;"|ALL|"&amp;S142,V8_COHORT_TABLE,4,FALSE),IFERROR(VLOOKUP(P142&amp;"|ALL|ALL|"&amp;S142,V8_COHORT_TABLE,4,FALSE),IFERROR(VLOOKUP(P142&amp;"|ALL|ALL|ALL",V8_COHORT_TABLE,4,FALSE),VLOOKUP("GLOBAL",V8_COHORT_TABLE,4,FALSE)))))</f>
        <v/>
      </c>
      <c r="Z142" s="15">
        <f>IFERROR(VLOOKUP(T142,V8_COHORT_TABLE,5,FALSE),IFERROR(VLOOKUP(P142&amp;"|"&amp;Q142&amp;"|ALL|"&amp;S142,V8_COHORT_TABLE,5,FALSE),IFERROR(VLOOKUP(P142&amp;"|ALL|ALL|"&amp;S142,V8_COHORT_TABLE,5,FALSE),IFERROR(VLOOKUP(P142&amp;"|ALL|ALL|ALL",V8_COHORT_TABLE,5,FALSE),VLOOKUP("GLOBAL",V8_COHORT_TABLE,5,FALSE)))))</f>
        <v/>
      </c>
      <c r="AA142" s="15">
        <f>W142+X142/(1+EXP(-(V142-Y142)/Z142))</f>
        <v/>
      </c>
      <c r="AB142" s="15">
        <f>IFERROR(VLOOKUP(T142,V8_COHORT_TABLE,6,FALSE),IFERROR(VLOOKUP(P142&amp;"|"&amp;Q142&amp;"|ALL|"&amp;S142,V8_COHORT_TABLE,6,FALSE),IFERROR(VLOOKUP(P142&amp;"|ALL|ALL|"&amp;S142,V8_COHORT_TABLE,6,FALSE),IFERROR(VLOOKUP(P142&amp;"|ALL|ALL|ALL",V8_COHORT_TABLE,6,FALSE),VLOOKUP("GLOBAL",V8_COHORT_TABLE,6,FALSE)))))</f>
        <v/>
      </c>
      <c r="AC142" s="15">
        <f>IFERROR(VLOOKUP(T142,V8_COHORT_TABLE,7,FALSE),IFERROR(VLOOKUP(P142&amp;"|"&amp;Q142&amp;"|ALL|"&amp;S142,V8_COHORT_TABLE,7,FALSE),IFERROR(VLOOKUP(P142&amp;"|ALL|ALL|"&amp;S142,V8_COHORT_TABLE,7,FALSE),IFERROR(VLOOKUP(P142&amp;"|ALL|ALL|ALL",V8_COHORT_TABLE,7,FALSE),VLOOKUP("GLOBAL",V8_COHORT_TABLE,7,FALSE)))))</f>
        <v/>
      </c>
      <c r="AD142" s="15">
        <f>IFERROR(VLOOKUP(T142,V8_COHORT_TABLE,8,FALSE),IFERROR(VLOOKUP(P142&amp;"|"&amp;Q142&amp;"|ALL|"&amp;S142,V8_COHORT_TABLE,8,FALSE),IFERROR(VLOOKUP(P142&amp;"|ALL|ALL|"&amp;S142,V8_COHORT_TABLE,8,FALSE),IFERROR(VLOOKUP(P142&amp;"|ALL|ALL|ALL",V8_COHORT_TABLE,8,FALSE),VLOOKUP("GLOBAL",V8_COHORT_TABLE,8,FALSE)))))</f>
        <v/>
      </c>
      <c r="AE142" s="15">
        <f>IFERROR(VLOOKUP(T142,V8_COHORT_TABLE,9,FALSE),IFERROR(VLOOKUP(P142&amp;"|"&amp;Q142&amp;"|ALL|"&amp;S142,V8_COHORT_TABLE,9,FALSE),IFERROR(VLOOKUP(P142&amp;"|ALL|ALL|"&amp;S142,V8_COHORT_TABLE,9,FALSE),IFERROR(VLOOKUP(P142&amp;"|ALL|ALL|ALL",V8_COHORT_TABLE,9,FALSE),VLOOKUP("GLOBAL",V8_COHORT_TABLE,9,FALSE)))))</f>
        <v/>
      </c>
      <c r="AF142" s="8">
        <f>IF(K142&lt;=0,AB142,IF(K142&gt;=240,AE142,IF(K142&lt;=24,AB142+(K142-0)/24*(AC142-AB142),IF(K142&lt;=96,AC142+(K142-24)/72*(AD142-AC142),AD142+(K142-96)/144*(AE142-AD142)))))</f>
        <v/>
      </c>
      <c r="AG142" s="8">
        <f>IF(IF(OR(L142="",NOT(ISNUMBER(L142))),360,MAX(0,MIN(480,(INT(L142/100)-INT(VALUE(F142)/100))*12+MOD(L142,100)-MOD(VALUE(F142),100))))&gt;0,1+V8_MTY_AMP*MAX(0,(V8_MTY_CUTOFF-(IF(OR(L142="",NOT(ISNUMBER(L142))),360,MAX(0,MIN(480,(INT(L142/100)-INT(VALUE(F142)/100))*12+MOD(L142,100)-MOD(VALUE(F142),100))))))/V8_MTY_CUTOFF),1)</f>
        <v/>
      </c>
      <c r="AH142" s="8">
        <f>IF(AND(IF(OR(M142="",NOT(ISNUMBER(M142))),0,MAX(0,MIN(24,(INT(VALUE(F142)/100)-INT(M142/100))*12+MOD(VALUE(F142),100)-MOD(M142,100))))&gt;0,IF(OR(M142="",NOT(ISNUMBER(M142))),0,MAX(0,MIN(24,(INT(VALUE(F142)/100)-INT(M142/100))*12+MOD(VALUE(F142),100)-MOD(M142,100))))&lt;=12),1+V8_LOCKOUT_AMP*EXP(-(IF(OR(M142="",NOT(ISNUMBER(M142))),0,MAX(0,MIN(24,(INT(VALUE(F142)/100)-INT(M142/100))*12+MOD(VALUE(F142),100)-MOD(M142,100)))))/V8_LOCKOUT_TAU),1)</f>
        <v/>
      </c>
      <c r="AI142" s="8">
        <f>MAX(V8_BURN_FLOOR,1-V8_BURN_SLOPE*MIN(1,MAX(0,O142)))</f>
        <v/>
      </c>
      <c r="AJ142" s="15">
        <f>MIN(AA142*AF142*AG142*AH142*AI142,0.2)</f>
        <v/>
      </c>
      <c r="AK142" s="16">
        <f>1-(1-AJ142)^12</f>
        <v/>
      </c>
    </row>
    <row r="143">
      <c r="A143" s="2" t="inlineStr">
        <is>
          <t>170032150983</t>
        </is>
      </c>
      <c r="B143" t="inlineStr">
        <is>
          <t>OTHER</t>
        </is>
      </c>
      <c r="C143" t="inlineStr">
        <is>
          <t>OTHER</t>
        </is>
      </c>
      <c r="D143" t="inlineStr">
        <is>
          <t>PNC BANK, NA</t>
        </is>
      </c>
      <c r="E143" t="n">
        <v>2008</v>
      </c>
      <c r="F143" t="inlineStr">
        <is>
          <t>202602</t>
        </is>
      </c>
      <c r="G143" s="9" t="n">
        <v>1053037.65</v>
      </c>
      <c r="H143" s="13" t="n">
        <v>6.69</v>
      </c>
      <c r="I143" s="14" t="n">
        <v>447</v>
      </c>
      <c r="J143" s="14" t="n">
        <v>0</v>
      </c>
      <c r="K143" t="n">
        <v>215</v>
      </c>
      <c r="L143" t="n">
        <v>204803</v>
      </c>
      <c r="M143" t="n">
        <v>201503</v>
      </c>
      <c r="N143" t="n">
        <v>87</v>
      </c>
      <c r="O143" s="8" t="n">
        <v>0.4046511627906977</v>
      </c>
      <c r="P143">
        <f>IF(ISNUMBER(SEARCH("232",B143)),"232",IF(ISNUMBER(SEARCH("538",B143)),"538",IF(ISNUMBER(SEARCH("223a7",B143)),"223a7",IF(ISNUMBER(SEARCH("223f",B143)),"223f","OTHER"))))</f>
        <v/>
      </c>
      <c r="Q143">
        <f>IF(UPPER(C143)="NC","NC","RP")</f>
        <v/>
      </c>
      <c r="R143">
        <f>IF(G143&lt;5000000,"small",IF(G143&lt;25000000,"medium","large"))</f>
        <v/>
      </c>
      <c r="S143">
        <f>IF(K143&lt;36,"young",IF(K143&lt;120,"seasoned","aged"))</f>
        <v/>
      </c>
      <c r="T143">
        <f>P143&amp;"|"&amp;Q143&amp;"|"&amp;R143&amp;"|"&amp;S143</f>
        <v/>
      </c>
      <c r="U143" s="14">
        <f>H143*100-I143</f>
        <v/>
      </c>
      <c r="V143" s="14">
        <f>U143-12.5*(J143+1)</f>
        <v/>
      </c>
      <c r="W143" s="15">
        <f>IFERROR(VLOOKUP(T143,V8_COHORT_TABLE,2,FALSE),IFERROR(VLOOKUP(P143&amp;"|"&amp;Q143&amp;"|ALL|"&amp;S143,V8_COHORT_TABLE,2,FALSE),IFERROR(VLOOKUP(P143&amp;"|ALL|ALL|"&amp;S143,V8_COHORT_TABLE,2,FALSE),IFERROR(VLOOKUP(P143&amp;"|ALL|ALL|ALL",V8_COHORT_TABLE,2,FALSE),VLOOKUP("GLOBAL",V8_COHORT_TABLE,2,FALSE)))))</f>
        <v/>
      </c>
      <c r="X143" s="15">
        <f>IFERROR(VLOOKUP(T143,V8_COHORT_TABLE,3,FALSE),IFERROR(VLOOKUP(P143&amp;"|"&amp;Q143&amp;"|ALL|"&amp;S143,V8_COHORT_TABLE,3,FALSE),IFERROR(VLOOKUP(P143&amp;"|ALL|ALL|"&amp;S143,V8_COHORT_TABLE,3,FALSE),IFERROR(VLOOKUP(P143&amp;"|ALL|ALL|ALL",V8_COHORT_TABLE,3,FALSE),VLOOKUP("GLOBAL",V8_COHORT_TABLE,3,FALSE)))))</f>
        <v/>
      </c>
      <c r="Y143" s="15">
        <f>IFERROR(VLOOKUP(T143,V8_COHORT_TABLE,4,FALSE),IFERROR(VLOOKUP(P143&amp;"|"&amp;Q143&amp;"|ALL|"&amp;S143,V8_COHORT_TABLE,4,FALSE),IFERROR(VLOOKUP(P143&amp;"|ALL|ALL|"&amp;S143,V8_COHORT_TABLE,4,FALSE),IFERROR(VLOOKUP(P143&amp;"|ALL|ALL|ALL",V8_COHORT_TABLE,4,FALSE),VLOOKUP("GLOBAL",V8_COHORT_TABLE,4,FALSE)))))</f>
        <v/>
      </c>
      <c r="Z143" s="15">
        <f>IFERROR(VLOOKUP(T143,V8_COHORT_TABLE,5,FALSE),IFERROR(VLOOKUP(P143&amp;"|"&amp;Q143&amp;"|ALL|"&amp;S143,V8_COHORT_TABLE,5,FALSE),IFERROR(VLOOKUP(P143&amp;"|ALL|ALL|"&amp;S143,V8_COHORT_TABLE,5,FALSE),IFERROR(VLOOKUP(P143&amp;"|ALL|ALL|ALL",V8_COHORT_TABLE,5,FALSE),VLOOKUP("GLOBAL",V8_COHORT_TABLE,5,FALSE)))))</f>
        <v/>
      </c>
      <c r="AA143" s="15">
        <f>W143+X143/(1+EXP(-(V143-Y143)/Z143))</f>
        <v/>
      </c>
      <c r="AB143" s="15">
        <f>IFERROR(VLOOKUP(T143,V8_COHORT_TABLE,6,FALSE),IFERROR(VLOOKUP(P143&amp;"|"&amp;Q143&amp;"|ALL|"&amp;S143,V8_COHORT_TABLE,6,FALSE),IFERROR(VLOOKUP(P143&amp;"|ALL|ALL|"&amp;S143,V8_COHORT_TABLE,6,FALSE),IFERROR(VLOOKUP(P143&amp;"|ALL|ALL|ALL",V8_COHORT_TABLE,6,FALSE),VLOOKUP("GLOBAL",V8_COHORT_TABLE,6,FALSE)))))</f>
        <v/>
      </c>
      <c r="AC143" s="15">
        <f>IFERROR(VLOOKUP(T143,V8_COHORT_TABLE,7,FALSE),IFERROR(VLOOKUP(P143&amp;"|"&amp;Q143&amp;"|ALL|"&amp;S143,V8_COHORT_TABLE,7,FALSE),IFERROR(VLOOKUP(P143&amp;"|ALL|ALL|"&amp;S143,V8_COHORT_TABLE,7,FALSE),IFERROR(VLOOKUP(P143&amp;"|ALL|ALL|ALL",V8_COHORT_TABLE,7,FALSE),VLOOKUP("GLOBAL",V8_COHORT_TABLE,7,FALSE)))))</f>
        <v/>
      </c>
      <c r="AD143" s="15">
        <f>IFERROR(VLOOKUP(T143,V8_COHORT_TABLE,8,FALSE),IFERROR(VLOOKUP(P143&amp;"|"&amp;Q143&amp;"|ALL|"&amp;S143,V8_COHORT_TABLE,8,FALSE),IFERROR(VLOOKUP(P143&amp;"|ALL|ALL|"&amp;S143,V8_COHORT_TABLE,8,FALSE),IFERROR(VLOOKUP(P143&amp;"|ALL|ALL|ALL",V8_COHORT_TABLE,8,FALSE),VLOOKUP("GLOBAL",V8_COHORT_TABLE,8,FALSE)))))</f>
        <v/>
      </c>
      <c r="AE143" s="15">
        <f>IFERROR(VLOOKUP(T143,V8_COHORT_TABLE,9,FALSE),IFERROR(VLOOKUP(P143&amp;"|"&amp;Q143&amp;"|ALL|"&amp;S143,V8_COHORT_TABLE,9,FALSE),IFERROR(VLOOKUP(P143&amp;"|ALL|ALL|"&amp;S143,V8_COHORT_TABLE,9,FALSE),IFERROR(VLOOKUP(P143&amp;"|ALL|ALL|ALL",V8_COHORT_TABLE,9,FALSE),VLOOKUP("GLOBAL",V8_COHORT_TABLE,9,FALSE)))))</f>
        <v/>
      </c>
      <c r="AF143" s="8">
        <f>IF(K143&lt;=0,AB143,IF(K143&gt;=240,AE143,IF(K143&lt;=24,AB143+(K143-0)/24*(AC143-AB143),IF(K143&lt;=96,AC143+(K143-24)/72*(AD143-AC143),AD143+(K143-96)/144*(AE143-AD143)))))</f>
        <v/>
      </c>
      <c r="AG143" s="8">
        <f>IF(IF(OR(L143="",NOT(ISNUMBER(L143))),360,MAX(0,MIN(480,(INT(L143/100)-INT(VALUE(F143)/100))*12+MOD(L143,100)-MOD(VALUE(F143),100))))&gt;0,1+V8_MTY_AMP*MAX(0,(V8_MTY_CUTOFF-(IF(OR(L143="",NOT(ISNUMBER(L143))),360,MAX(0,MIN(480,(INT(L143/100)-INT(VALUE(F143)/100))*12+MOD(L143,100)-MOD(VALUE(F143),100))))))/V8_MTY_CUTOFF),1)</f>
        <v/>
      </c>
      <c r="AH143" s="8">
        <f>IF(AND(IF(OR(M143="",NOT(ISNUMBER(M143))),0,MAX(0,MIN(24,(INT(VALUE(F143)/100)-INT(M143/100))*12+MOD(VALUE(F143),100)-MOD(M143,100))))&gt;0,IF(OR(M143="",NOT(ISNUMBER(M143))),0,MAX(0,MIN(24,(INT(VALUE(F143)/100)-INT(M143/100))*12+MOD(VALUE(F143),100)-MOD(M143,100))))&lt;=12),1+V8_LOCKOUT_AMP*EXP(-(IF(OR(M143="",NOT(ISNUMBER(M143))),0,MAX(0,MIN(24,(INT(VALUE(F143)/100)-INT(M143/100))*12+MOD(VALUE(F143),100)-MOD(M143,100)))))/V8_LOCKOUT_TAU),1)</f>
        <v/>
      </c>
      <c r="AI143" s="8">
        <f>MAX(V8_BURN_FLOOR,1-V8_BURN_SLOPE*MIN(1,MAX(0,O143)))</f>
        <v/>
      </c>
      <c r="AJ143" s="15">
        <f>MIN(AA143*AF143*AG143*AH143*AI143,0.2)</f>
        <v/>
      </c>
      <c r="AK143" s="16">
        <f>1-(1-AJ143)^12</f>
        <v/>
      </c>
    </row>
    <row r="144">
      <c r="A144" s="2" t="inlineStr">
        <is>
          <t>000003335287</t>
        </is>
      </c>
      <c r="B144" t="inlineStr">
        <is>
          <t>221d4</t>
        </is>
      </c>
      <c r="C144" t="inlineStr">
        <is>
          <t>NC</t>
        </is>
      </c>
      <c r="D144" t="inlineStr">
        <is>
          <t>PNC BANK, NA</t>
        </is>
      </c>
      <c r="E144" t="n">
        <v>2014</v>
      </c>
      <c r="F144" t="inlineStr">
        <is>
          <t>202602</t>
        </is>
      </c>
      <c r="G144" s="9" t="n">
        <v>1436097.5</v>
      </c>
      <c r="H144" s="13" t="n">
        <v>3.95</v>
      </c>
      <c r="I144" s="14" t="n">
        <v>447</v>
      </c>
      <c r="J144" s="14" t="n">
        <v>0</v>
      </c>
      <c r="K144" t="n">
        <v>138</v>
      </c>
      <c r="L144" t="n">
        <v>205511</v>
      </c>
      <c r="M144" t="n">
        <v>201612</v>
      </c>
      <c r="N144" t="n">
        <v>35</v>
      </c>
      <c r="O144" s="8" t="n">
        <v>0.2536231884057971</v>
      </c>
      <c r="P144">
        <f>IF(ISNUMBER(SEARCH("232",B144)),"232",IF(ISNUMBER(SEARCH("538",B144)),"538",IF(ISNUMBER(SEARCH("223a7",B144)),"223a7",IF(ISNUMBER(SEARCH("223f",B144)),"223f","OTHER"))))</f>
        <v/>
      </c>
      <c r="Q144">
        <f>IF(UPPER(C144)="NC","NC","RP")</f>
        <v/>
      </c>
      <c r="R144">
        <f>IF(G144&lt;5000000,"small",IF(G144&lt;25000000,"medium","large"))</f>
        <v/>
      </c>
      <c r="S144">
        <f>IF(K144&lt;36,"young",IF(K144&lt;120,"seasoned","aged"))</f>
        <v/>
      </c>
      <c r="T144">
        <f>P144&amp;"|"&amp;Q144&amp;"|"&amp;R144&amp;"|"&amp;S144</f>
        <v/>
      </c>
      <c r="U144" s="14">
        <f>H144*100-I144</f>
        <v/>
      </c>
      <c r="V144" s="14">
        <f>U144-12.5*(J144+1)</f>
        <v/>
      </c>
      <c r="W144" s="15">
        <f>IFERROR(VLOOKUP(T144,V8_COHORT_TABLE,2,FALSE),IFERROR(VLOOKUP(P144&amp;"|"&amp;Q144&amp;"|ALL|"&amp;S144,V8_COHORT_TABLE,2,FALSE),IFERROR(VLOOKUP(P144&amp;"|ALL|ALL|"&amp;S144,V8_COHORT_TABLE,2,FALSE),IFERROR(VLOOKUP(P144&amp;"|ALL|ALL|ALL",V8_COHORT_TABLE,2,FALSE),VLOOKUP("GLOBAL",V8_COHORT_TABLE,2,FALSE)))))</f>
        <v/>
      </c>
      <c r="X144" s="15">
        <f>IFERROR(VLOOKUP(T144,V8_COHORT_TABLE,3,FALSE),IFERROR(VLOOKUP(P144&amp;"|"&amp;Q144&amp;"|ALL|"&amp;S144,V8_COHORT_TABLE,3,FALSE),IFERROR(VLOOKUP(P144&amp;"|ALL|ALL|"&amp;S144,V8_COHORT_TABLE,3,FALSE),IFERROR(VLOOKUP(P144&amp;"|ALL|ALL|ALL",V8_COHORT_TABLE,3,FALSE),VLOOKUP("GLOBAL",V8_COHORT_TABLE,3,FALSE)))))</f>
        <v/>
      </c>
      <c r="Y144" s="15">
        <f>IFERROR(VLOOKUP(T144,V8_COHORT_TABLE,4,FALSE),IFERROR(VLOOKUP(P144&amp;"|"&amp;Q144&amp;"|ALL|"&amp;S144,V8_COHORT_TABLE,4,FALSE),IFERROR(VLOOKUP(P144&amp;"|ALL|ALL|"&amp;S144,V8_COHORT_TABLE,4,FALSE),IFERROR(VLOOKUP(P144&amp;"|ALL|ALL|ALL",V8_COHORT_TABLE,4,FALSE),VLOOKUP("GLOBAL",V8_COHORT_TABLE,4,FALSE)))))</f>
        <v/>
      </c>
      <c r="Z144" s="15">
        <f>IFERROR(VLOOKUP(T144,V8_COHORT_TABLE,5,FALSE),IFERROR(VLOOKUP(P144&amp;"|"&amp;Q144&amp;"|ALL|"&amp;S144,V8_COHORT_TABLE,5,FALSE),IFERROR(VLOOKUP(P144&amp;"|ALL|ALL|"&amp;S144,V8_COHORT_TABLE,5,FALSE),IFERROR(VLOOKUP(P144&amp;"|ALL|ALL|ALL",V8_COHORT_TABLE,5,FALSE),VLOOKUP("GLOBAL",V8_COHORT_TABLE,5,FALSE)))))</f>
        <v/>
      </c>
      <c r="AA144" s="15">
        <f>W144+X144/(1+EXP(-(V144-Y144)/Z144))</f>
        <v/>
      </c>
      <c r="AB144" s="15">
        <f>IFERROR(VLOOKUP(T144,V8_COHORT_TABLE,6,FALSE),IFERROR(VLOOKUP(P144&amp;"|"&amp;Q144&amp;"|ALL|"&amp;S144,V8_COHORT_TABLE,6,FALSE),IFERROR(VLOOKUP(P144&amp;"|ALL|ALL|"&amp;S144,V8_COHORT_TABLE,6,FALSE),IFERROR(VLOOKUP(P144&amp;"|ALL|ALL|ALL",V8_COHORT_TABLE,6,FALSE),VLOOKUP("GLOBAL",V8_COHORT_TABLE,6,FALSE)))))</f>
        <v/>
      </c>
      <c r="AC144" s="15">
        <f>IFERROR(VLOOKUP(T144,V8_COHORT_TABLE,7,FALSE),IFERROR(VLOOKUP(P144&amp;"|"&amp;Q144&amp;"|ALL|"&amp;S144,V8_COHORT_TABLE,7,FALSE),IFERROR(VLOOKUP(P144&amp;"|ALL|ALL|"&amp;S144,V8_COHORT_TABLE,7,FALSE),IFERROR(VLOOKUP(P144&amp;"|ALL|ALL|ALL",V8_COHORT_TABLE,7,FALSE),VLOOKUP("GLOBAL",V8_COHORT_TABLE,7,FALSE)))))</f>
        <v/>
      </c>
      <c r="AD144" s="15">
        <f>IFERROR(VLOOKUP(T144,V8_COHORT_TABLE,8,FALSE),IFERROR(VLOOKUP(P144&amp;"|"&amp;Q144&amp;"|ALL|"&amp;S144,V8_COHORT_TABLE,8,FALSE),IFERROR(VLOOKUP(P144&amp;"|ALL|ALL|"&amp;S144,V8_COHORT_TABLE,8,FALSE),IFERROR(VLOOKUP(P144&amp;"|ALL|ALL|ALL",V8_COHORT_TABLE,8,FALSE),VLOOKUP("GLOBAL",V8_COHORT_TABLE,8,FALSE)))))</f>
        <v/>
      </c>
      <c r="AE144" s="15">
        <f>IFERROR(VLOOKUP(T144,V8_COHORT_TABLE,9,FALSE),IFERROR(VLOOKUP(P144&amp;"|"&amp;Q144&amp;"|ALL|"&amp;S144,V8_COHORT_TABLE,9,FALSE),IFERROR(VLOOKUP(P144&amp;"|ALL|ALL|"&amp;S144,V8_COHORT_TABLE,9,FALSE),IFERROR(VLOOKUP(P144&amp;"|ALL|ALL|ALL",V8_COHORT_TABLE,9,FALSE),VLOOKUP("GLOBAL",V8_COHORT_TABLE,9,FALSE)))))</f>
        <v/>
      </c>
      <c r="AF144" s="8">
        <f>IF(K144&lt;=0,AB144,IF(K144&gt;=240,AE144,IF(K144&lt;=24,AB144+(K144-0)/24*(AC144-AB144),IF(K144&lt;=96,AC144+(K144-24)/72*(AD144-AC144),AD144+(K144-96)/144*(AE144-AD144)))))</f>
        <v/>
      </c>
      <c r="AG144" s="8">
        <f>IF(IF(OR(L144="",NOT(ISNUMBER(L144))),360,MAX(0,MIN(480,(INT(L144/100)-INT(VALUE(F144)/100))*12+MOD(L144,100)-MOD(VALUE(F144),100))))&gt;0,1+V8_MTY_AMP*MAX(0,(V8_MTY_CUTOFF-(IF(OR(L144="",NOT(ISNUMBER(L144))),360,MAX(0,MIN(480,(INT(L144/100)-INT(VALUE(F144)/100))*12+MOD(L144,100)-MOD(VALUE(F144),100))))))/V8_MTY_CUTOFF),1)</f>
        <v/>
      </c>
      <c r="AH144" s="8">
        <f>IF(AND(IF(OR(M144="",NOT(ISNUMBER(M144))),0,MAX(0,MIN(24,(INT(VALUE(F144)/100)-INT(M144/100))*12+MOD(VALUE(F144),100)-MOD(M144,100))))&gt;0,IF(OR(M144="",NOT(ISNUMBER(M144))),0,MAX(0,MIN(24,(INT(VALUE(F144)/100)-INT(M144/100))*12+MOD(VALUE(F144),100)-MOD(M144,100))))&lt;=12),1+V8_LOCKOUT_AMP*EXP(-(IF(OR(M144="",NOT(ISNUMBER(M144))),0,MAX(0,MIN(24,(INT(VALUE(F144)/100)-INT(M144/100))*12+MOD(VALUE(F144),100)-MOD(M144,100)))))/V8_LOCKOUT_TAU),1)</f>
        <v/>
      </c>
      <c r="AI144" s="8">
        <f>MAX(V8_BURN_FLOOR,1-V8_BURN_SLOPE*MIN(1,MAX(0,O144)))</f>
        <v/>
      </c>
      <c r="AJ144" s="15">
        <f>MIN(AA144*AF144*AG144*AH144*AI144,0.2)</f>
        <v/>
      </c>
      <c r="AK144" s="16">
        <f>1-(1-AJ144)^12</f>
        <v/>
      </c>
    </row>
    <row r="145">
      <c r="A145" s="2" t="inlineStr">
        <is>
          <t>000012211432</t>
        </is>
      </c>
      <c r="B145" t="inlineStr">
        <is>
          <t>223f</t>
        </is>
      </c>
      <c r="C145" t="inlineStr">
        <is>
          <t>RP</t>
        </is>
      </c>
      <c r="D145" t="inlineStr">
        <is>
          <t>PNC BANK, NA</t>
        </is>
      </c>
      <c r="E145" t="n">
        <v>2019</v>
      </c>
      <c r="F145" t="inlineStr">
        <is>
          <t>202602</t>
        </is>
      </c>
      <c r="G145" s="9" t="n">
        <v>26299051.2</v>
      </c>
      <c r="H145" s="13" t="n">
        <v>3.22</v>
      </c>
      <c r="I145" s="14" t="n">
        <v>447</v>
      </c>
      <c r="J145" s="14" t="n">
        <v>4</v>
      </c>
      <c r="K145" t="n">
        <v>77</v>
      </c>
      <c r="L145" t="n">
        <v>205410</v>
      </c>
      <c r="M145" t="inlineStr"/>
      <c r="N145" t="n">
        <v>20</v>
      </c>
      <c r="O145" s="8" t="n">
        <v>0.2597402597402597</v>
      </c>
      <c r="P145">
        <f>IF(ISNUMBER(SEARCH("232",B145)),"232",IF(ISNUMBER(SEARCH("538",B145)),"538",IF(ISNUMBER(SEARCH("223a7",B145)),"223a7",IF(ISNUMBER(SEARCH("223f",B145)),"223f","OTHER"))))</f>
        <v/>
      </c>
      <c r="Q145">
        <f>IF(UPPER(C145)="NC","NC","RP")</f>
        <v/>
      </c>
      <c r="R145">
        <f>IF(G145&lt;5000000,"small",IF(G145&lt;25000000,"medium","large"))</f>
        <v/>
      </c>
      <c r="S145">
        <f>IF(K145&lt;36,"young",IF(K145&lt;120,"seasoned","aged"))</f>
        <v/>
      </c>
      <c r="T145">
        <f>P145&amp;"|"&amp;Q145&amp;"|"&amp;R145&amp;"|"&amp;S145</f>
        <v/>
      </c>
      <c r="U145" s="14">
        <f>H145*100-I145</f>
        <v/>
      </c>
      <c r="V145" s="14">
        <f>U145-12.5*(J145+1)</f>
        <v/>
      </c>
      <c r="W145" s="15">
        <f>IFERROR(VLOOKUP(T145,V8_COHORT_TABLE,2,FALSE),IFERROR(VLOOKUP(P145&amp;"|"&amp;Q145&amp;"|ALL|"&amp;S145,V8_COHORT_TABLE,2,FALSE),IFERROR(VLOOKUP(P145&amp;"|ALL|ALL|"&amp;S145,V8_COHORT_TABLE,2,FALSE),IFERROR(VLOOKUP(P145&amp;"|ALL|ALL|ALL",V8_COHORT_TABLE,2,FALSE),VLOOKUP("GLOBAL",V8_COHORT_TABLE,2,FALSE)))))</f>
        <v/>
      </c>
      <c r="X145" s="15">
        <f>IFERROR(VLOOKUP(T145,V8_COHORT_TABLE,3,FALSE),IFERROR(VLOOKUP(P145&amp;"|"&amp;Q145&amp;"|ALL|"&amp;S145,V8_COHORT_TABLE,3,FALSE),IFERROR(VLOOKUP(P145&amp;"|ALL|ALL|"&amp;S145,V8_COHORT_TABLE,3,FALSE),IFERROR(VLOOKUP(P145&amp;"|ALL|ALL|ALL",V8_COHORT_TABLE,3,FALSE),VLOOKUP("GLOBAL",V8_COHORT_TABLE,3,FALSE)))))</f>
        <v/>
      </c>
      <c r="Y145" s="15">
        <f>IFERROR(VLOOKUP(T145,V8_COHORT_TABLE,4,FALSE),IFERROR(VLOOKUP(P145&amp;"|"&amp;Q145&amp;"|ALL|"&amp;S145,V8_COHORT_TABLE,4,FALSE),IFERROR(VLOOKUP(P145&amp;"|ALL|ALL|"&amp;S145,V8_COHORT_TABLE,4,FALSE),IFERROR(VLOOKUP(P145&amp;"|ALL|ALL|ALL",V8_COHORT_TABLE,4,FALSE),VLOOKUP("GLOBAL",V8_COHORT_TABLE,4,FALSE)))))</f>
        <v/>
      </c>
      <c r="Z145" s="15">
        <f>IFERROR(VLOOKUP(T145,V8_COHORT_TABLE,5,FALSE),IFERROR(VLOOKUP(P145&amp;"|"&amp;Q145&amp;"|ALL|"&amp;S145,V8_COHORT_TABLE,5,FALSE),IFERROR(VLOOKUP(P145&amp;"|ALL|ALL|"&amp;S145,V8_COHORT_TABLE,5,FALSE),IFERROR(VLOOKUP(P145&amp;"|ALL|ALL|ALL",V8_COHORT_TABLE,5,FALSE),VLOOKUP("GLOBAL",V8_COHORT_TABLE,5,FALSE)))))</f>
        <v/>
      </c>
      <c r="AA145" s="15">
        <f>W145+X145/(1+EXP(-(V145-Y145)/Z145))</f>
        <v/>
      </c>
      <c r="AB145" s="15">
        <f>IFERROR(VLOOKUP(T145,V8_COHORT_TABLE,6,FALSE),IFERROR(VLOOKUP(P145&amp;"|"&amp;Q145&amp;"|ALL|"&amp;S145,V8_COHORT_TABLE,6,FALSE),IFERROR(VLOOKUP(P145&amp;"|ALL|ALL|"&amp;S145,V8_COHORT_TABLE,6,FALSE),IFERROR(VLOOKUP(P145&amp;"|ALL|ALL|ALL",V8_COHORT_TABLE,6,FALSE),VLOOKUP("GLOBAL",V8_COHORT_TABLE,6,FALSE)))))</f>
        <v/>
      </c>
      <c r="AC145" s="15">
        <f>IFERROR(VLOOKUP(T145,V8_COHORT_TABLE,7,FALSE),IFERROR(VLOOKUP(P145&amp;"|"&amp;Q145&amp;"|ALL|"&amp;S145,V8_COHORT_TABLE,7,FALSE),IFERROR(VLOOKUP(P145&amp;"|ALL|ALL|"&amp;S145,V8_COHORT_TABLE,7,FALSE),IFERROR(VLOOKUP(P145&amp;"|ALL|ALL|ALL",V8_COHORT_TABLE,7,FALSE),VLOOKUP("GLOBAL",V8_COHORT_TABLE,7,FALSE)))))</f>
        <v/>
      </c>
      <c r="AD145" s="15">
        <f>IFERROR(VLOOKUP(T145,V8_COHORT_TABLE,8,FALSE),IFERROR(VLOOKUP(P145&amp;"|"&amp;Q145&amp;"|ALL|"&amp;S145,V8_COHORT_TABLE,8,FALSE),IFERROR(VLOOKUP(P145&amp;"|ALL|ALL|"&amp;S145,V8_COHORT_TABLE,8,FALSE),IFERROR(VLOOKUP(P145&amp;"|ALL|ALL|ALL",V8_COHORT_TABLE,8,FALSE),VLOOKUP("GLOBAL",V8_COHORT_TABLE,8,FALSE)))))</f>
        <v/>
      </c>
      <c r="AE145" s="15">
        <f>IFERROR(VLOOKUP(T145,V8_COHORT_TABLE,9,FALSE),IFERROR(VLOOKUP(P145&amp;"|"&amp;Q145&amp;"|ALL|"&amp;S145,V8_COHORT_TABLE,9,FALSE),IFERROR(VLOOKUP(P145&amp;"|ALL|ALL|"&amp;S145,V8_COHORT_TABLE,9,FALSE),IFERROR(VLOOKUP(P145&amp;"|ALL|ALL|ALL",V8_COHORT_TABLE,9,FALSE),VLOOKUP("GLOBAL",V8_COHORT_TABLE,9,FALSE)))))</f>
        <v/>
      </c>
      <c r="AF145" s="8">
        <f>IF(K145&lt;=0,AB145,IF(K145&gt;=240,AE145,IF(K145&lt;=24,AB145+(K145-0)/24*(AC145-AB145),IF(K145&lt;=96,AC145+(K145-24)/72*(AD145-AC145),AD145+(K145-96)/144*(AE145-AD145)))))</f>
        <v/>
      </c>
      <c r="AG145" s="8">
        <f>IF(IF(OR(L145="",NOT(ISNUMBER(L145))),360,MAX(0,MIN(480,(INT(L145/100)-INT(VALUE(F145)/100))*12+MOD(L145,100)-MOD(VALUE(F145),100))))&gt;0,1+V8_MTY_AMP*MAX(0,(V8_MTY_CUTOFF-(IF(OR(L145="",NOT(ISNUMBER(L145))),360,MAX(0,MIN(480,(INT(L145/100)-INT(VALUE(F145)/100))*12+MOD(L145,100)-MOD(VALUE(F145),100))))))/V8_MTY_CUTOFF),1)</f>
        <v/>
      </c>
      <c r="AH145" s="8">
        <f>IF(AND(IF(OR(M145="",NOT(ISNUMBER(M145))),0,MAX(0,MIN(24,(INT(VALUE(F145)/100)-INT(M145/100))*12+MOD(VALUE(F145),100)-MOD(M145,100))))&gt;0,IF(OR(M145="",NOT(ISNUMBER(M145))),0,MAX(0,MIN(24,(INT(VALUE(F145)/100)-INT(M145/100))*12+MOD(VALUE(F145),100)-MOD(M145,100))))&lt;=12),1+V8_LOCKOUT_AMP*EXP(-(IF(OR(M145="",NOT(ISNUMBER(M145))),0,MAX(0,MIN(24,(INT(VALUE(F145)/100)-INT(M145/100))*12+MOD(VALUE(F145),100)-MOD(M145,100)))))/V8_LOCKOUT_TAU),1)</f>
        <v/>
      </c>
      <c r="AI145" s="8">
        <f>MAX(V8_BURN_FLOOR,1-V8_BURN_SLOPE*MIN(1,MAX(0,O145)))</f>
        <v/>
      </c>
      <c r="AJ145" s="15">
        <f>MIN(AA145*AF145*AG145*AH145*AI145,0.2)</f>
        <v/>
      </c>
      <c r="AK145" s="16">
        <f>1-(1-AJ145)^12</f>
        <v/>
      </c>
    </row>
    <row r="146">
      <c r="A146" s="2" t="inlineStr">
        <is>
          <t>000010335188</t>
        </is>
      </c>
      <c r="B146" t="inlineStr">
        <is>
          <t>221d4</t>
        </is>
      </c>
      <c r="C146" t="inlineStr">
        <is>
          <t>RP</t>
        </is>
      </c>
      <c r="D146" t="inlineStr">
        <is>
          <t>PNC BANK, NA</t>
        </is>
      </c>
      <c r="E146" t="n">
        <v>2020</v>
      </c>
      <c r="F146" t="inlineStr">
        <is>
          <t>202602</t>
        </is>
      </c>
      <c r="G146" s="9" t="n">
        <v>22595607.96</v>
      </c>
      <c r="H146" s="13" t="n">
        <v>2.65</v>
      </c>
      <c r="I146" s="14" t="n">
        <v>447</v>
      </c>
      <c r="J146" s="14" t="n">
        <v>5</v>
      </c>
      <c r="K146" t="n">
        <v>69</v>
      </c>
      <c r="L146" t="n">
        <v>206006</v>
      </c>
      <c r="M146" t="inlineStr"/>
      <c r="N146" t="n">
        <v>0</v>
      </c>
      <c r="O146" s="8" t="n">
        <v>0</v>
      </c>
      <c r="P146">
        <f>IF(ISNUMBER(SEARCH("232",B146)),"232",IF(ISNUMBER(SEARCH("538",B146)),"538",IF(ISNUMBER(SEARCH("223a7",B146)),"223a7",IF(ISNUMBER(SEARCH("223f",B146)),"223f","OTHER"))))</f>
        <v/>
      </c>
      <c r="Q146">
        <f>IF(UPPER(C146)="NC","NC","RP")</f>
        <v/>
      </c>
      <c r="R146">
        <f>IF(G146&lt;5000000,"small",IF(G146&lt;25000000,"medium","large"))</f>
        <v/>
      </c>
      <c r="S146">
        <f>IF(K146&lt;36,"young",IF(K146&lt;120,"seasoned","aged"))</f>
        <v/>
      </c>
      <c r="T146">
        <f>P146&amp;"|"&amp;Q146&amp;"|"&amp;R146&amp;"|"&amp;S146</f>
        <v/>
      </c>
      <c r="U146" s="14">
        <f>H146*100-I146</f>
        <v/>
      </c>
      <c r="V146" s="14">
        <f>U146-12.5*(J146+1)</f>
        <v/>
      </c>
      <c r="W146" s="15">
        <f>IFERROR(VLOOKUP(T146,V8_COHORT_TABLE,2,FALSE),IFERROR(VLOOKUP(P146&amp;"|"&amp;Q146&amp;"|ALL|"&amp;S146,V8_COHORT_TABLE,2,FALSE),IFERROR(VLOOKUP(P146&amp;"|ALL|ALL|"&amp;S146,V8_COHORT_TABLE,2,FALSE),IFERROR(VLOOKUP(P146&amp;"|ALL|ALL|ALL",V8_COHORT_TABLE,2,FALSE),VLOOKUP("GLOBAL",V8_COHORT_TABLE,2,FALSE)))))</f>
        <v/>
      </c>
      <c r="X146" s="15">
        <f>IFERROR(VLOOKUP(T146,V8_COHORT_TABLE,3,FALSE),IFERROR(VLOOKUP(P146&amp;"|"&amp;Q146&amp;"|ALL|"&amp;S146,V8_COHORT_TABLE,3,FALSE),IFERROR(VLOOKUP(P146&amp;"|ALL|ALL|"&amp;S146,V8_COHORT_TABLE,3,FALSE),IFERROR(VLOOKUP(P146&amp;"|ALL|ALL|ALL",V8_COHORT_TABLE,3,FALSE),VLOOKUP("GLOBAL",V8_COHORT_TABLE,3,FALSE)))))</f>
        <v/>
      </c>
      <c r="Y146" s="15">
        <f>IFERROR(VLOOKUP(T146,V8_COHORT_TABLE,4,FALSE),IFERROR(VLOOKUP(P146&amp;"|"&amp;Q146&amp;"|ALL|"&amp;S146,V8_COHORT_TABLE,4,FALSE),IFERROR(VLOOKUP(P146&amp;"|ALL|ALL|"&amp;S146,V8_COHORT_TABLE,4,FALSE),IFERROR(VLOOKUP(P146&amp;"|ALL|ALL|ALL",V8_COHORT_TABLE,4,FALSE),VLOOKUP("GLOBAL",V8_COHORT_TABLE,4,FALSE)))))</f>
        <v/>
      </c>
      <c r="Z146" s="15">
        <f>IFERROR(VLOOKUP(T146,V8_COHORT_TABLE,5,FALSE),IFERROR(VLOOKUP(P146&amp;"|"&amp;Q146&amp;"|ALL|"&amp;S146,V8_COHORT_TABLE,5,FALSE),IFERROR(VLOOKUP(P146&amp;"|ALL|ALL|"&amp;S146,V8_COHORT_TABLE,5,FALSE),IFERROR(VLOOKUP(P146&amp;"|ALL|ALL|ALL",V8_COHORT_TABLE,5,FALSE),VLOOKUP("GLOBAL",V8_COHORT_TABLE,5,FALSE)))))</f>
        <v/>
      </c>
      <c r="AA146" s="15">
        <f>W146+X146/(1+EXP(-(V146-Y146)/Z146))</f>
        <v/>
      </c>
      <c r="AB146" s="15">
        <f>IFERROR(VLOOKUP(T146,V8_COHORT_TABLE,6,FALSE),IFERROR(VLOOKUP(P146&amp;"|"&amp;Q146&amp;"|ALL|"&amp;S146,V8_COHORT_TABLE,6,FALSE),IFERROR(VLOOKUP(P146&amp;"|ALL|ALL|"&amp;S146,V8_COHORT_TABLE,6,FALSE),IFERROR(VLOOKUP(P146&amp;"|ALL|ALL|ALL",V8_COHORT_TABLE,6,FALSE),VLOOKUP("GLOBAL",V8_COHORT_TABLE,6,FALSE)))))</f>
        <v/>
      </c>
      <c r="AC146" s="15">
        <f>IFERROR(VLOOKUP(T146,V8_COHORT_TABLE,7,FALSE),IFERROR(VLOOKUP(P146&amp;"|"&amp;Q146&amp;"|ALL|"&amp;S146,V8_COHORT_TABLE,7,FALSE),IFERROR(VLOOKUP(P146&amp;"|ALL|ALL|"&amp;S146,V8_COHORT_TABLE,7,FALSE),IFERROR(VLOOKUP(P146&amp;"|ALL|ALL|ALL",V8_COHORT_TABLE,7,FALSE),VLOOKUP("GLOBAL",V8_COHORT_TABLE,7,FALSE)))))</f>
        <v/>
      </c>
      <c r="AD146" s="15">
        <f>IFERROR(VLOOKUP(T146,V8_COHORT_TABLE,8,FALSE),IFERROR(VLOOKUP(P146&amp;"|"&amp;Q146&amp;"|ALL|"&amp;S146,V8_COHORT_TABLE,8,FALSE),IFERROR(VLOOKUP(P146&amp;"|ALL|ALL|"&amp;S146,V8_COHORT_TABLE,8,FALSE),IFERROR(VLOOKUP(P146&amp;"|ALL|ALL|ALL",V8_COHORT_TABLE,8,FALSE),VLOOKUP("GLOBAL",V8_COHORT_TABLE,8,FALSE)))))</f>
        <v/>
      </c>
      <c r="AE146" s="15">
        <f>IFERROR(VLOOKUP(T146,V8_COHORT_TABLE,9,FALSE),IFERROR(VLOOKUP(P146&amp;"|"&amp;Q146&amp;"|ALL|"&amp;S146,V8_COHORT_TABLE,9,FALSE),IFERROR(VLOOKUP(P146&amp;"|ALL|ALL|"&amp;S146,V8_COHORT_TABLE,9,FALSE),IFERROR(VLOOKUP(P146&amp;"|ALL|ALL|ALL",V8_COHORT_TABLE,9,FALSE),VLOOKUP("GLOBAL",V8_COHORT_TABLE,9,FALSE)))))</f>
        <v/>
      </c>
      <c r="AF146" s="8">
        <f>IF(K146&lt;=0,AB146,IF(K146&gt;=240,AE146,IF(K146&lt;=24,AB146+(K146-0)/24*(AC146-AB146),IF(K146&lt;=96,AC146+(K146-24)/72*(AD146-AC146),AD146+(K146-96)/144*(AE146-AD146)))))</f>
        <v/>
      </c>
      <c r="AG146" s="8">
        <f>IF(IF(OR(L146="",NOT(ISNUMBER(L146))),360,MAX(0,MIN(480,(INT(L146/100)-INT(VALUE(F146)/100))*12+MOD(L146,100)-MOD(VALUE(F146),100))))&gt;0,1+V8_MTY_AMP*MAX(0,(V8_MTY_CUTOFF-(IF(OR(L146="",NOT(ISNUMBER(L146))),360,MAX(0,MIN(480,(INT(L146/100)-INT(VALUE(F146)/100))*12+MOD(L146,100)-MOD(VALUE(F146),100))))))/V8_MTY_CUTOFF),1)</f>
        <v/>
      </c>
      <c r="AH146" s="8">
        <f>IF(AND(IF(OR(M146="",NOT(ISNUMBER(M146))),0,MAX(0,MIN(24,(INT(VALUE(F146)/100)-INT(M146/100))*12+MOD(VALUE(F146),100)-MOD(M146,100))))&gt;0,IF(OR(M146="",NOT(ISNUMBER(M146))),0,MAX(0,MIN(24,(INT(VALUE(F146)/100)-INT(M146/100))*12+MOD(VALUE(F146),100)-MOD(M146,100))))&lt;=12),1+V8_LOCKOUT_AMP*EXP(-(IF(OR(M146="",NOT(ISNUMBER(M146))),0,MAX(0,MIN(24,(INT(VALUE(F146)/100)-INT(M146/100))*12+MOD(VALUE(F146),100)-MOD(M146,100)))))/V8_LOCKOUT_TAU),1)</f>
        <v/>
      </c>
      <c r="AI146" s="8">
        <f>MAX(V8_BURN_FLOOR,1-V8_BURN_SLOPE*MIN(1,MAX(0,O146)))</f>
        <v/>
      </c>
      <c r="AJ146" s="15">
        <f>MIN(AA146*AF146*AG146*AH146*AI146,0.2)</f>
        <v/>
      </c>
      <c r="AK146" s="16">
        <f>1-(1-AJ146)^12</f>
        <v/>
      </c>
    </row>
    <row r="147">
      <c r="A147" s="2" t="inlineStr">
        <is>
          <t>000011311100</t>
        </is>
      </c>
      <c r="B147" t="inlineStr">
        <is>
          <t>223f</t>
        </is>
      </c>
      <c r="C147" t="inlineStr">
        <is>
          <t>RP</t>
        </is>
      </c>
      <c r="D147" t="inlineStr">
        <is>
          <t>PNC BANK, NA</t>
        </is>
      </c>
      <c r="E147" t="n">
        <v>2017</v>
      </c>
      <c r="F147" t="inlineStr">
        <is>
          <t>202602</t>
        </is>
      </c>
      <c r="G147" s="9" t="n">
        <v>760254.09</v>
      </c>
      <c r="H147" s="13" t="n">
        <v>3.75</v>
      </c>
      <c r="I147" s="14" t="n">
        <v>447</v>
      </c>
      <c r="J147" s="14" t="n">
        <v>2</v>
      </c>
      <c r="K147" t="n">
        <v>109</v>
      </c>
      <c r="L147" t="n">
        <v>203604</v>
      </c>
      <c r="M147" t="inlineStr"/>
      <c r="N147" t="n">
        <v>31</v>
      </c>
      <c r="O147" s="8" t="n">
        <v>0.2844036697247707</v>
      </c>
      <c r="P147">
        <f>IF(ISNUMBER(SEARCH("232",B147)),"232",IF(ISNUMBER(SEARCH("538",B147)),"538",IF(ISNUMBER(SEARCH("223a7",B147)),"223a7",IF(ISNUMBER(SEARCH("223f",B147)),"223f","OTHER"))))</f>
        <v/>
      </c>
      <c r="Q147">
        <f>IF(UPPER(C147)="NC","NC","RP")</f>
        <v/>
      </c>
      <c r="R147">
        <f>IF(G147&lt;5000000,"small",IF(G147&lt;25000000,"medium","large"))</f>
        <v/>
      </c>
      <c r="S147">
        <f>IF(K147&lt;36,"young",IF(K147&lt;120,"seasoned","aged"))</f>
        <v/>
      </c>
      <c r="T147">
        <f>P147&amp;"|"&amp;Q147&amp;"|"&amp;R147&amp;"|"&amp;S147</f>
        <v/>
      </c>
      <c r="U147" s="14">
        <f>H147*100-I147</f>
        <v/>
      </c>
      <c r="V147" s="14">
        <f>U147-12.5*(J147+1)</f>
        <v/>
      </c>
      <c r="W147" s="15">
        <f>IFERROR(VLOOKUP(T147,V8_COHORT_TABLE,2,FALSE),IFERROR(VLOOKUP(P147&amp;"|"&amp;Q147&amp;"|ALL|"&amp;S147,V8_COHORT_TABLE,2,FALSE),IFERROR(VLOOKUP(P147&amp;"|ALL|ALL|"&amp;S147,V8_COHORT_TABLE,2,FALSE),IFERROR(VLOOKUP(P147&amp;"|ALL|ALL|ALL",V8_COHORT_TABLE,2,FALSE),VLOOKUP("GLOBAL",V8_COHORT_TABLE,2,FALSE)))))</f>
        <v/>
      </c>
      <c r="X147" s="15">
        <f>IFERROR(VLOOKUP(T147,V8_COHORT_TABLE,3,FALSE),IFERROR(VLOOKUP(P147&amp;"|"&amp;Q147&amp;"|ALL|"&amp;S147,V8_COHORT_TABLE,3,FALSE),IFERROR(VLOOKUP(P147&amp;"|ALL|ALL|"&amp;S147,V8_COHORT_TABLE,3,FALSE),IFERROR(VLOOKUP(P147&amp;"|ALL|ALL|ALL",V8_COHORT_TABLE,3,FALSE),VLOOKUP("GLOBAL",V8_COHORT_TABLE,3,FALSE)))))</f>
        <v/>
      </c>
      <c r="Y147" s="15">
        <f>IFERROR(VLOOKUP(T147,V8_COHORT_TABLE,4,FALSE),IFERROR(VLOOKUP(P147&amp;"|"&amp;Q147&amp;"|ALL|"&amp;S147,V8_COHORT_TABLE,4,FALSE),IFERROR(VLOOKUP(P147&amp;"|ALL|ALL|"&amp;S147,V8_COHORT_TABLE,4,FALSE),IFERROR(VLOOKUP(P147&amp;"|ALL|ALL|ALL",V8_COHORT_TABLE,4,FALSE),VLOOKUP("GLOBAL",V8_COHORT_TABLE,4,FALSE)))))</f>
        <v/>
      </c>
      <c r="Z147" s="15">
        <f>IFERROR(VLOOKUP(T147,V8_COHORT_TABLE,5,FALSE),IFERROR(VLOOKUP(P147&amp;"|"&amp;Q147&amp;"|ALL|"&amp;S147,V8_COHORT_TABLE,5,FALSE),IFERROR(VLOOKUP(P147&amp;"|ALL|ALL|"&amp;S147,V8_COHORT_TABLE,5,FALSE),IFERROR(VLOOKUP(P147&amp;"|ALL|ALL|ALL",V8_COHORT_TABLE,5,FALSE),VLOOKUP("GLOBAL",V8_COHORT_TABLE,5,FALSE)))))</f>
        <v/>
      </c>
      <c r="AA147" s="15">
        <f>W147+X147/(1+EXP(-(V147-Y147)/Z147))</f>
        <v/>
      </c>
      <c r="AB147" s="15">
        <f>IFERROR(VLOOKUP(T147,V8_COHORT_TABLE,6,FALSE),IFERROR(VLOOKUP(P147&amp;"|"&amp;Q147&amp;"|ALL|"&amp;S147,V8_COHORT_TABLE,6,FALSE),IFERROR(VLOOKUP(P147&amp;"|ALL|ALL|"&amp;S147,V8_COHORT_TABLE,6,FALSE),IFERROR(VLOOKUP(P147&amp;"|ALL|ALL|ALL",V8_COHORT_TABLE,6,FALSE),VLOOKUP("GLOBAL",V8_COHORT_TABLE,6,FALSE)))))</f>
        <v/>
      </c>
      <c r="AC147" s="15">
        <f>IFERROR(VLOOKUP(T147,V8_COHORT_TABLE,7,FALSE),IFERROR(VLOOKUP(P147&amp;"|"&amp;Q147&amp;"|ALL|"&amp;S147,V8_COHORT_TABLE,7,FALSE),IFERROR(VLOOKUP(P147&amp;"|ALL|ALL|"&amp;S147,V8_COHORT_TABLE,7,FALSE),IFERROR(VLOOKUP(P147&amp;"|ALL|ALL|ALL",V8_COHORT_TABLE,7,FALSE),VLOOKUP("GLOBAL",V8_COHORT_TABLE,7,FALSE)))))</f>
        <v/>
      </c>
      <c r="AD147" s="15">
        <f>IFERROR(VLOOKUP(T147,V8_COHORT_TABLE,8,FALSE),IFERROR(VLOOKUP(P147&amp;"|"&amp;Q147&amp;"|ALL|"&amp;S147,V8_COHORT_TABLE,8,FALSE),IFERROR(VLOOKUP(P147&amp;"|ALL|ALL|"&amp;S147,V8_COHORT_TABLE,8,FALSE),IFERROR(VLOOKUP(P147&amp;"|ALL|ALL|ALL",V8_COHORT_TABLE,8,FALSE),VLOOKUP("GLOBAL",V8_COHORT_TABLE,8,FALSE)))))</f>
        <v/>
      </c>
      <c r="AE147" s="15">
        <f>IFERROR(VLOOKUP(T147,V8_COHORT_TABLE,9,FALSE),IFERROR(VLOOKUP(P147&amp;"|"&amp;Q147&amp;"|ALL|"&amp;S147,V8_COHORT_TABLE,9,FALSE),IFERROR(VLOOKUP(P147&amp;"|ALL|ALL|"&amp;S147,V8_COHORT_TABLE,9,FALSE),IFERROR(VLOOKUP(P147&amp;"|ALL|ALL|ALL",V8_COHORT_TABLE,9,FALSE),VLOOKUP("GLOBAL",V8_COHORT_TABLE,9,FALSE)))))</f>
        <v/>
      </c>
      <c r="AF147" s="8">
        <f>IF(K147&lt;=0,AB147,IF(K147&gt;=240,AE147,IF(K147&lt;=24,AB147+(K147-0)/24*(AC147-AB147),IF(K147&lt;=96,AC147+(K147-24)/72*(AD147-AC147),AD147+(K147-96)/144*(AE147-AD147)))))</f>
        <v/>
      </c>
      <c r="AG147" s="8">
        <f>IF(IF(OR(L147="",NOT(ISNUMBER(L147))),360,MAX(0,MIN(480,(INT(L147/100)-INT(VALUE(F147)/100))*12+MOD(L147,100)-MOD(VALUE(F147),100))))&gt;0,1+V8_MTY_AMP*MAX(0,(V8_MTY_CUTOFF-(IF(OR(L147="",NOT(ISNUMBER(L147))),360,MAX(0,MIN(480,(INT(L147/100)-INT(VALUE(F147)/100))*12+MOD(L147,100)-MOD(VALUE(F147),100))))))/V8_MTY_CUTOFF),1)</f>
        <v/>
      </c>
      <c r="AH147" s="8">
        <f>IF(AND(IF(OR(M147="",NOT(ISNUMBER(M147))),0,MAX(0,MIN(24,(INT(VALUE(F147)/100)-INT(M147/100))*12+MOD(VALUE(F147),100)-MOD(M147,100))))&gt;0,IF(OR(M147="",NOT(ISNUMBER(M147))),0,MAX(0,MIN(24,(INT(VALUE(F147)/100)-INT(M147/100))*12+MOD(VALUE(F147),100)-MOD(M147,100))))&lt;=12),1+V8_LOCKOUT_AMP*EXP(-(IF(OR(M147="",NOT(ISNUMBER(M147))),0,MAX(0,MIN(24,(INT(VALUE(F147)/100)-INT(M147/100))*12+MOD(VALUE(F147),100)-MOD(M147,100)))))/V8_LOCKOUT_TAU),1)</f>
        <v/>
      </c>
      <c r="AI147" s="8">
        <f>MAX(V8_BURN_FLOOR,1-V8_BURN_SLOPE*MIN(1,MAX(0,O147)))</f>
        <v/>
      </c>
      <c r="AJ147" s="15">
        <f>MIN(AA147*AF147*AG147*AH147*AI147,0.2)</f>
        <v/>
      </c>
      <c r="AK147" s="16">
        <f>1-(1-AJ147)^12</f>
        <v/>
      </c>
    </row>
    <row r="148">
      <c r="A148" s="2" t="inlineStr">
        <is>
          <t>000012211229</t>
        </is>
      </c>
      <c r="B148" t="inlineStr">
        <is>
          <t>223a7</t>
        </is>
      </c>
      <c r="C148" t="inlineStr">
        <is>
          <t>RP</t>
        </is>
      </c>
      <c r="D148" t="inlineStr">
        <is>
          <t>PNC BANK, NA</t>
        </is>
      </c>
      <c r="E148" t="n">
        <v>2011</v>
      </c>
      <c r="F148" t="inlineStr">
        <is>
          <t>202602</t>
        </is>
      </c>
      <c r="G148" s="9" t="n">
        <v>3177123.41</v>
      </c>
      <c r="H148" s="13" t="n">
        <v>3.3</v>
      </c>
      <c r="I148" s="14" t="n">
        <v>447</v>
      </c>
      <c r="J148" s="14" t="n">
        <v>0</v>
      </c>
      <c r="K148" t="n">
        <v>172</v>
      </c>
      <c r="L148" t="n">
        <v>204611</v>
      </c>
      <c r="M148" t="n">
        <v>201312</v>
      </c>
      <c r="N148" t="n">
        <v>35</v>
      </c>
      <c r="O148" s="8" t="n">
        <v>0.2034883720930233</v>
      </c>
      <c r="P148">
        <f>IF(ISNUMBER(SEARCH("232",B148)),"232",IF(ISNUMBER(SEARCH("538",B148)),"538",IF(ISNUMBER(SEARCH("223a7",B148)),"223a7",IF(ISNUMBER(SEARCH("223f",B148)),"223f","OTHER"))))</f>
        <v/>
      </c>
      <c r="Q148">
        <f>IF(UPPER(C148)="NC","NC","RP")</f>
        <v/>
      </c>
      <c r="R148">
        <f>IF(G148&lt;5000000,"small",IF(G148&lt;25000000,"medium","large"))</f>
        <v/>
      </c>
      <c r="S148">
        <f>IF(K148&lt;36,"young",IF(K148&lt;120,"seasoned","aged"))</f>
        <v/>
      </c>
      <c r="T148">
        <f>P148&amp;"|"&amp;Q148&amp;"|"&amp;R148&amp;"|"&amp;S148</f>
        <v/>
      </c>
      <c r="U148" s="14">
        <f>H148*100-I148</f>
        <v/>
      </c>
      <c r="V148" s="14">
        <f>U148-12.5*(J148+1)</f>
        <v/>
      </c>
      <c r="W148" s="15">
        <f>IFERROR(VLOOKUP(T148,V8_COHORT_TABLE,2,FALSE),IFERROR(VLOOKUP(P148&amp;"|"&amp;Q148&amp;"|ALL|"&amp;S148,V8_COHORT_TABLE,2,FALSE),IFERROR(VLOOKUP(P148&amp;"|ALL|ALL|"&amp;S148,V8_COHORT_TABLE,2,FALSE),IFERROR(VLOOKUP(P148&amp;"|ALL|ALL|ALL",V8_COHORT_TABLE,2,FALSE),VLOOKUP("GLOBAL",V8_COHORT_TABLE,2,FALSE)))))</f>
        <v/>
      </c>
      <c r="X148" s="15">
        <f>IFERROR(VLOOKUP(T148,V8_COHORT_TABLE,3,FALSE),IFERROR(VLOOKUP(P148&amp;"|"&amp;Q148&amp;"|ALL|"&amp;S148,V8_COHORT_TABLE,3,FALSE),IFERROR(VLOOKUP(P148&amp;"|ALL|ALL|"&amp;S148,V8_COHORT_TABLE,3,FALSE),IFERROR(VLOOKUP(P148&amp;"|ALL|ALL|ALL",V8_COHORT_TABLE,3,FALSE),VLOOKUP("GLOBAL",V8_COHORT_TABLE,3,FALSE)))))</f>
        <v/>
      </c>
      <c r="Y148" s="15">
        <f>IFERROR(VLOOKUP(T148,V8_COHORT_TABLE,4,FALSE),IFERROR(VLOOKUP(P148&amp;"|"&amp;Q148&amp;"|ALL|"&amp;S148,V8_COHORT_TABLE,4,FALSE),IFERROR(VLOOKUP(P148&amp;"|ALL|ALL|"&amp;S148,V8_COHORT_TABLE,4,FALSE),IFERROR(VLOOKUP(P148&amp;"|ALL|ALL|ALL",V8_COHORT_TABLE,4,FALSE),VLOOKUP("GLOBAL",V8_COHORT_TABLE,4,FALSE)))))</f>
        <v/>
      </c>
      <c r="Z148" s="15">
        <f>IFERROR(VLOOKUP(T148,V8_COHORT_TABLE,5,FALSE),IFERROR(VLOOKUP(P148&amp;"|"&amp;Q148&amp;"|ALL|"&amp;S148,V8_COHORT_TABLE,5,FALSE),IFERROR(VLOOKUP(P148&amp;"|ALL|ALL|"&amp;S148,V8_COHORT_TABLE,5,FALSE),IFERROR(VLOOKUP(P148&amp;"|ALL|ALL|ALL",V8_COHORT_TABLE,5,FALSE),VLOOKUP("GLOBAL",V8_COHORT_TABLE,5,FALSE)))))</f>
        <v/>
      </c>
      <c r="AA148" s="15">
        <f>W148+X148/(1+EXP(-(V148-Y148)/Z148))</f>
        <v/>
      </c>
      <c r="AB148" s="15">
        <f>IFERROR(VLOOKUP(T148,V8_COHORT_TABLE,6,FALSE),IFERROR(VLOOKUP(P148&amp;"|"&amp;Q148&amp;"|ALL|"&amp;S148,V8_COHORT_TABLE,6,FALSE),IFERROR(VLOOKUP(P148&amp;"|ALL|ALL|"&amp;S148,V8_COHORT_TABLE,6,FALSE),IFERROR(VLOOKUP(P148&amp;"|ALL|ALL|ALL",V8_COHORT_TABLE,6,FALSE),VLOOKUP("GLOBAL",V8_COHORT_TABLE,6,FALSE)))))</f>
        <v/>
      </c>
      <c r="AC148" s="15">
        <f>IFERROR(VLOOKUP(T148,V8_COHORT_TABLE,7,FALSE),IFERROR(VLOOKUP(P148&amp;"|"&amp;Q148&amp;"|ALL|"&amp;S148,V8_COHORT_TABLE,7,FALSE),IFERROR(VLOOKUP(P148&amp;"|ALL|ALL|"&amp;S148,V8_COHORT_TABLE,7,FALSE),IFERROR(VLOOKUP(P148&amp;"|ALL|ALL|ALL",V8_COHORT_TABLE,7,FALSE),VLOOKUP("GLOBAL",V8_COHORT_TABLE,7,FALSE)))))</f>
        <v/>
      </c>
      <c r="AD148" s="15">
        <f>IFERROR(VLOOKUP(T148,V8_COHORT_TABLE,8,FALSE),IFERROR(VLOOKUP(P148&amp;"|"&amp;Q148&amp;"|ALL|"&amp;S148,V8_COHORT_TABLE,8,FALSE),IFERROR(VLOOKUP(P148&amp;"|ALL|ALL|"&amp;S148,V8_COHORT_TABLE,8,FALSE),IFERROR(VLOOKUP(P148&amp;"|ALL|ALL|ALL",V8_COHORT_TABLE,8,FALSE),VLOOKUP("GLOBAL",V8_COHORT_TABLE,8,FALSE)))))</f>
        <v/>
      </c>
      <c r="AE148" s="15">
        <f>IFERROR(VLOOKUP(T148,V8_COHORT_TABLE,9,FALSE),IFERROR(VLOOKUP(P148&amp;"|"&amp;Q148&amp;"|ALL|"&amp;S148,V8_COHORT_TABLE,9,FALSE),IFERROR(VLOOKUP(P148&amp;"|ALL|ALL|"&amp;S148,V8_COHORT_TABLE,9,FALSE),IFERROR(VLOOKUP(P148&amp;"|ALL|ALL|ALL",V8_COHORT_TABLE,9,FALSE),VLOOKUP("GLOBAL",V8_COHORT_TABLE,9,FALSE)))))</f>
        <v/>
      </c>
      <c r="AF148" s="8">
        <f>IF(K148&lt;=0,AB148,IF(K148&gt;=240,AE148,IF(K148&lt;=24,AB148+(K148-0)/24*(AC148-AB148),IF(K148&lt;=96,AC148+(K148-24)/72*(AD148-AC148),AD148+(K148-96)/144*(AE148-AD148)))))</f>
        <v/>
      </c>
      <c r="AG148" s="8">
        <f>IF(IF(OR(L148="",NOT(ISNUMBER(L148))),360,MAX(0,MIN(480,(INT(L148/100)-INT(VALUE(F148)/100))*12+MOD(L148,100)-MOD(VALUE(F148),100))))&gt;0,1+V8_MTY_AMP*MAX(0,(V8_MTY_CUTOFF-(IF(OR(L148="",NOT(ISNUMBER(L148))),360,MAX(0,MIN(480,(INT(L148/100)-INT(VALUE(F148)/100))*12+MOD(L148,100)-MOD(VALUE(F148),100))))))/V8_MTY_CUTOFF),1)</f>
        <v/>
      </c>
      <c r="AH148" s="8">
        <f>IF(AND(IF(OR(M148="",NOT(ISNUMBER(M148))),0,MAX(0,MIN(24,(INT(VALUE(F148)/100)-INT(M148/100))*12+MOD(VALUE(F148),100)-MOD(M148,100))))&gt;0,IF(OR(M148="",NOT(ISNUMBER(M148))),0,MAX(0,MIN(24,(INT(VALUE(F148)/100)-INT(M148/100))*12+MOD(VALUE(F148),100)-MOD(M148,100))))&lt;=12),1+V8_LOCKOUT_AMP*EXP(-(IF(OR(M148="",NOT(ISNUMBER(M148))),0,MAX(0,MIN(24,(INT(VALUE(F148)/100)-INT(M148/100))*12+MOD(VALUE(F148),100)-MOD(M148,100)))))/V8_LOCKOUT_TAU),1)</f>
        <v/>
      </c>
      <c r="AI148" s="8">
        <f>MAX(V8_BURN_FLOOR,1-V8_BURN_SLOPE*MIN(1,MAX(0,O148)))</f>
        <v/>
      </c>
      <c r="AJ148" s="15">
        <f>MIN(AA148*AF148*AG148*AH148*AI148,0.2)</f>
        <v/>
      </c>
      <c r="AK148" s="16">
        <f>1-(1-AJ148)^12</f>
        <v/>
      </c>
    </row>
    <row r="149">
      <c r="A149" s="2" t="inlineStr">
        <is>
          <t>000012135982</t>
        </is>
      </c>
      <c r="B149" t="inlineStr">
        <is>
          <t>221d4</t>
        </is>
      </c>
      <c r="C149" t="inlineStr">
        <is>
          <t>NC</t>
        </is>
      </c>
      <c r="D149" t="inlineStr">
        <is>
          <t>PNC BANK, NA</t>
        </is>
      </c>
      <c r="E149" t="n">
        <v>2019</v>
      </c>
      <c r="F149" t="inlineStr">
        <is>
          <t>202602</t>
        </is>
      </c>
      <c r="G149" s="9" t="n">
        <v>8882184.109999999</v>
      </c>
      <c r="H149" s="13" t="n">
        <v>3.07</v>
      </c>
      <c r="I149" s="14" t="n">
        <v>447</v>
      </c>
      <c r="J149" s="14" t="n">
        <v>5</v>
      </c>
      <c r="K149" t="n">
        <v>76</v>
      </c>
      <c r="L149" t="n">
        <v>205101</v>
      </c>
      <c r="M149" t="inlineStr"/>
      <c r="N149" t="n">
        <v>0</v>
      </c>
      <c r="O149" s="8" t="n">
        <v>0</v>
      </c>
      <c r="P149">
        <f>IF(ISNUMBER(SEARCH("232",B149)),"232",IF(ISNUMBER(SEARCH("538",B149)),"538",IF(ISNUMBER(SEARCH("223a7",B149)),"223a7",IF(ISNUMBER(SEARCH("223f",B149)),"223f","OTHER"))))</f>
        <v/>
      </c>
      <c r="Q149">
        <f>IF(UPPER(C149)="NC","NC","RP")</f>
        <v/>
      </c>
      <c r="R149">
        <f>IF(G149&lt;5000000,"small",IF(G149&lt;25000000,"medium","large"))</f>
        <v/>
      </c>
      <c r="S149">
        <f>IF(K149&lt;36,"young",IF(K149&lt;120,"seasoned","aged"))</f>
        <v/>
      </c>
      <c r="T149">
        <f>P149&amp;"|"&amp;Q149&amp;"|"&amp;R149&amp;"|"&amp;S149</f>
        <v/>
      </c>
      <c r="U149" s="14">
        <f>H149*100-I149</f>
        <v/>
      </c>
      <c r="V149" s="14">
        <f>U149-12.5*(J149+1)</f>
        <v/>
      </c>
      <c r="W149" s="15">
        <f>IFERROR(VLOOKUP(T149,V8_COHORT_TABLE,2,FALSE),IFERROR(VLOOKUP(P149&amp;"|"&amp;Q149&amp;"|ALL|"&amp;S149,V8_COHORT_TABLE,2,FALSE),IFERROR(VLOOKUP(P149&amp;"|ALL|ALL|"&amp;S149,V8_COHORT_TABLE,2,FALSE),IFERROR(VLOOKUP(P149&amp;"|ALL|ALL|ALL",V8_COHORT_TABLE,2,FALSE),VLOOKUP("GLOBAL",V8_COHORT_TABLE,2,FALSE)))))</f>
        <v/>
      </c>
      <c r="X149" s="15">
        <f>IFERROR(VLOOKUP(T149,V8_COHORT_TABLE,3,FALSE),IFERROR(VLOOKUP(P149&amp;"|"&amp;Q149&amp;"|ALL|"&amp;S149,V8_COHORT_TABLE,3,FALSE),IFERROR(VLOOKUP(P149&amp;"|ALL|ALL|"&amp;S149,V8_COHORT_TABLE,3,FALSE),IFERROR(VLOOKUP(P149&amp;"|ALL|ALL|ALL",V8_COHORT_TABLE,3,FALSE),VLOOKUP("GLOBAL",V8_COHORT_TABLE,3,FALSE)))))</f>
        <v/>
      </c>
      <c r="Y149" s="15">
        <f>IFERROR(VLOOKUP(T149,V8_COHORT_TABLE,4,FALSE),IFERROR(VLOOKUP(P149&amp;"|"&amp;Q149&amp;"|ALL|"&amp;S149,V8_COHORT_TABLE,4,FALSE),IFERROR(VLOOKUP(P149&amp;"|ALL|ALL|"&amp;S149,V8_COHORT_TABLE,4,FALSE),IFERROR(VLOOKUP(P149&amp;"|ALL|ALL|ALL",V8_COHORT_TABLE,4,FALSE),VLOOKUP("GLOBAL",V8_COHORT_TABLE,4,FALSE)))))</f>
        <v/>
      </c>
      <c r="Z149" s="15">
        <f>IFERROR(VLOOKUP(T149,V8_COHORT_TABLE,5,FALSE),IFERROR(VLOOKUP(P149&amp;"|"&amp;Q149&amp;"|ALL|"&amp;S149,V8_COHORT_TABLE,5,FALSE),IFERROR(VLOOKUP(P149&amp;"|ALL|ALL|"&amp;S149,V8_COHORT_TABLE,5,FALSE),IFERROR(VLOOKUP(P149&amp;"|ALL|ALL|ALL",V8_COHORT_TABLE,5,FALSE),VLOOKUP("GLOBAL",V8_COHORT_TABLE,5,FALSE)))))</f>
        <v/>
      </c>
      <c r="AA149" s="15">
        <f>W149+X149/(1+EXP(-(V149-Y149)/Z149))</f>
        <v/>
      </c>
      <c r="AB149" s="15">
        <f>IFERROR(VLOOKUP(T149,V8_COHORT_TABLE,6,FALSE),IFERROR(VLOOKUP(P149&amp;"|"&amp;Q149&amp;"|ALL|"&amp;S149,V8_COHORT_TABLE,6,FALSE),IFERROR(VLOOKUP(P149&amp;"|ALL|ALL|"&amp;S149,V8_COHORT_TABLE,6,FALSE),IFERROR(VLOOKUP(P149&amp;"|ALL|ALL|ALL",V8_COHORT_TABLE,6,FALSE),VLOOKUP("GLOBAL",V8_COHORT_TABLE,6,FALSE)))))</f>
        <v/>
      </c>
      <c r="AC149" s="15">
        <f>IFERROR(VLOOKUP(T149,V8_COHORT_TABLE,7,FALSE),IFERROR(VLOOKUP(P149&amp;"|"&amp;Q149&amp;"|ALL|"&amp;S149,V8_COHORT_TABLE,7,FALSE),IFERROR(VLOOKUP(P149&amp;"|ALL|ALL|"&amp;S149,V8_COHORT_TABLE,7,FALSE),IFERROR(VLOOKUP(P149&amp;"|ALL|ALL|ALL",V8_COHORT_TABLE,7,FALSE),VLOOKUP("GLOBAL",V8_COHORT_TABLE,7,FALSE)))))</f>
        <v/>
      </c>
      <c r="AD149" s="15">
        <f>IFERROR(VLOOKUP(T149,V8_COHORT_TABLE,8,FALSE),IFERROR(VLOOKUP(P149&amp;"|"&amp;Q149&amp;"|ALL|"&amp;S149,V8_COHORT_TABLE,8,FALSE),IFERROR(VLOOKUP(P149&amp;"|ALL|ALL|"&amp;S149,V8_COHORT_TABLE,8,FALSE),IFERROR(VLOOKUP(P149&amp;"|ALL|ALL|ALL",V8_COHORT_TABLE,8,FALSE),VLOOKUP("GLOBAL",V8_COHORT_TABLE,8,FALSE)))))</f>
        <v/>
      </c>
      <c r="AE149" s="15">
        <f>IFERROR(VLOOKUP(T149,V8_COHORT_TABLE,9,FALSE),IFERROR(VLOOKUP(P149&amp;"|"&amp;Q149&amp;"|ALL|"&amp;S149,V8_COHORT_TABLE,9,FALSE),IFERROR(VLOOKUP(P149&amp;"|ALL|ALL|"&amp;S149,V8_COHORT_TABLE,9,FALSE),IFERROR(VLOOKUP(P149&amp;"|ALL|ALL|ALL",V8_COHORT_TABLE,9,FALSE),VLOOKUP("GLOBAL",V8_COHORT_TABLE,9,FALSE)))))</f>
        <v/>
      </c>
      <c r="AF149" s="8">
        <f>IF(K149&lt;=0,AB149,IF(K149&gt;=240,AE149,IF(K149&lt;=24,AB149+(K149-0)/24*(AC149-AB149),IF(K149&lt;=96,AC149+(K149-24)/72*(AD149-AC149),AD149+(K149-96)/144*(AE149-AD149)))))</f>
        <v/>
      </c>
      <c r="AG149" s="8">
        <f>IF(IF(OR(L149="",NOT(ISNUMBER(L149))),360,MAX(0,MIN(480,(INT(L149/100)-INT(VALUE(F149)/100))*12+MOD(L149,100)-MOD(VALUE(F149),100))))&gt;0,1+V8_MTY_AMP*MAX(0,(V8_MTY_CUTOFF-(IF(OR(L149="",NOT(ISNUMBER(L149))),360,MAX(0,MIN(480,(INT(L149/100)-INT(VALUE(F149)/100))*12+MOD(L149,100)-MOD(VALUE(F149),100))))))/V8_MTY_CUTOFF),1)</f>
        <v/>
      </c>
      <c r="AH149" s="8">
        <f>IF(AND(IF(OR(M149="",NOT(ISNUMBER(M149))),0,MAX(0,MIN(24,(INT(VALUE(F149)/100)-INT(M149/100))*12+MOD(VALUE(F149),100)-MOD(M149,100))))&gt;0,IF(OR(M149="",NOT(ISNUMBER(M149))),0,MAX(0,MIN(24,(INT(VALUE(F149)/100)-INT(M149/100))*12+MOD(VALUE(F149),100)-MOD(M149,100))))&lt;=12),1+V8_LOCKOUT_AMP*EXP(-(IF(OR(M149="",NOT(ISNUMBER(M149))),0,MAX(0,MIN(24,(INT(VALUE(F149)/100)-INT(M149/100))*12+MOD(VALUE(F149),100)-MOD(M149,100)))))/V8_LOCKOUT_TAU),1)</f>
        <v/>
      </c>
      <c r="AI149" s="8">
        <f>MAX(V8_BURN_FLOOR,1-V8_BURN_SLOPE*MIN(1,MAX(0,O149)))</f>
        <v/>
      </c>
      <c r="AJ149" s="15">
        <f>MIN(AA149*AF149*AG149*AH149*AI149,0.2)</f>
        <v/>
      </c>
      <c r="AK149" s="16">
        <f>1-(1-AJ149)^12</f>
        <v/>
      </c>
    </row>
    <row r="150">
      <c r="A150" s="2" t="inlineStr">
        <is>
          <t>003202439995</t>
        </is>
      </c>
      <c r="B150" t="inlineStr">
        <is>
          <t>538</t>
        </is>
      </c>
      <c r="C150" t="inlineStr">
        <is>
          <t>538</t>
        </is>
      </c>
      <c r="D150" t="inlineStr">
        <is>
          <t>PNC BANK, NA</t>
        </is>
      </c>
      <c r="E150" t="n">
        <v>2006</v>
      </c>
      <c r="F150" t="inlineStr">
        <is>
          <t>202602</t>
        </is>
      </c>
      <c r="G150" s="9" t="n">
        <v>746262.11</v>
      </c>
      <c r="H150" s="13" t="n">
        <v>7.29</v>
      </c>
      <c r="I150" s="14" t="n">
        <v>447</v>
      </c>
      <c r="J150" s="14" t="n">
        <v>0</v>
      </c>
      <c r="K150" t="n">
        <v>230</v>
      </c>
      <c r="L150" t="n">
        <v>204612</v>
      </c>
      <c r="M150" t="n">
        <v>202312</v>
      </c>
      <c r="N150" t="n">
        <v>87</v>
      </c>
      <c r="O150" s="8" t="n">
        <v>0.3782608695652174</v>
      </c>
      <c r="P150">
        <f>IF(ISNUMBER(SEARCH("232",B150)),"232",IF(ISNUMBER(SEARCH("538",B150)),"538",IF(ISNUMBER(SEARCH("223a7",B150)),"223a7",IF(ISNUMBER(SEARCH("223f",B150)),"223f","OTHER"))))</f>
        <v/>
      </c>
      <c r="Q150">
        <f>IF(UPPER(C150)="NC","NC","RP")</f>
        <v/>
      </c>
      <c r="R150">
        <f>IF(G150&lt;5000000,"small",IF(G150&lt;25000000,"medium","large"))</f>
        <v/>
      </c>
      <c r="S150">
        <f>IF(K150&lt;36,"young",IF(K150&lt;120,"seasoned","aged"))</f>
        <v/>
      </c>
      <c r="T150">
        <f>P150&amp;"|"&amp;Q150&amp;"|"&amp;R150&amp;"|"&amp;S150</f>
        <v/>
      </c>
      <c r="U150" s="14">
        <f>H150*100-I150</f>
        <v/>
      </c>
      <c r="V150" s="14">
        <f>U150-12.5*(J150+1)</f>
        <v/>
      </c>
      <c r="W150" s="15">
        <f>IFERROR(VLOOKUP(T150,V8_COHORT_TABLE,2,FALSE),IFERROR(VLOOKUP(P150&amp;"|"&amp;Q150&amp;"|ALL|"&amp;S150,V8_COHORT_TABLE,2,FALSE),IFERROR(VLOOKUP(P150&amp;"|ALL|ALL|"&amp;S150,V8_COHORT_TABLE,2,FALSE),IFERROR(VLOOKUP(P150&amp;"|ALL|ALL|ALL",V8_COHORT_TABLE,2,FALSE),VLOOKUP("GLOBAL",V8_COHORT_TABLE,2,FALSE)))))</f>
        <v/>
      </c>
      <c r="X150" s="15">
        <f>IFERROR(VLOOKUP(T150,V8_COHORT_TABLE,3,FALSE),IFERROR(VLOOKUP(P150&amp;"|"&amp;Q150&amp;"|ALL|"&amp;S150,V8_COHORT_TABLE,3,FALSE),IFERROR(VLOOKUP(P150&amp;"|ALL|ALL|"&amp;S150,V8_COHORT_TABLE,3,FALSE),IFERROR(VLOOKUP(P150&amp;"|ALL|ALL|ALL",V8_COHORT_TABLE,3,FALSE),VLOOKUP("GLOBAL",V8_COHORT_TABLE,3,FALSE)))))</f>
        <v/>
      </c>
      <c r="Y150" s="15">
        <f>IFERROR(VLOOKUP(T150,V8_COHORT_TABLE,4,FALSE),IFERROR(VLOOKUP(P150&amp;"|"&amp;Q150&amp;"|ALL|"&amp;S150,V8_COHORT_TABLE,4,FALSE),IFERROR(VLOOKUP(P150&amp;"|ALL|ALL|"&amp;S150,V8_COHORT_TABLE,4,FALSE),IFERROR(VLOOKUP(P150&amp;"|ALL|ALL|ALL",V8_COHORT_TABLE,4,FALSE),VLOOKUP("GLOBAL",V8_COHORT_TABLE,4,FALSE)))))</f>
        <v/>
      </c>
      <c r="Z150" s="15">
        <f>IFERROR(VLOOKUP(T150,V8_COHORT_TABLE,5,FALSE),IFERROR(VLOOKUP(P150&amp;"|"&amp;Q150&amp;"|ALL|"&amp;S150,V8_COHORT_TABLE,5,FALSE),IFERROR(VLOOKUP(P150&amp;"|ALL|ALL|"&amp;S150,V8_COHORT_TABLE,5,FALSE),IFERROR(VLOOKUP(P150&amp;"|ALL|ALL|ALL",V8_COHORT_TABLE,5,FALSE),VLOOKUP("GLOBAL",V8_COHORT_TABLE,5,FALSE)))))</f>
        <v/>
      </c>
      <c r="AA150" s="15">
        <f>W150+X150/(1+EXP(-(V150-Y150)/Z150))</f>
        <v/>
      </c>
      <c r="AB150" s="15">
        <f>IFERROR(VLOOKUP(T150,V8_COHORT_TABLE,6,FALSE),IFERROR(VLOOKUP(P150&amp;"|"&amp;Q150&amp;"|ALL|"&amp;S150,V8_COHORT_TABLE,6,FALSE),IFERROR(VLOOKUP(P150&amp;"|ALL|ALL|"&amp;S150,V8_COHORT_TABLE,6,FALSE),IFERROR(VLOOKUP(P150&amp;"|ALL|ALL|ALL",V8_COHORT_TABLE,6,FALSE),VLOOKUP("GLOBAL",V8_COHORT_TABLE,6,FALSE)))))</f>
        <v/>
      </c>
      <c r="AC150" s="15">
        <f>IFERROR(VLOOKUP(T150,V8_COHORT_TABLE,7,FALSE),IFERROR(VLOOKUP(P150&amp;"|"&amp;Q150&amp;"|ALL|"&amp;S150,V8_COHORT_TABLE,7,FALSE),IFERROR(VLOOKUP(P150&amp;"|ALL|ALL|"&amp;S150,V8_COHORT_TABLE,7,FALSE),IFERROR(VLOOKUP(P150&amp;"|ALL|ALL|ALL",V8_COHORT_TABLE,7,FALSE),VLOOKUP("GLOBAL",V8_COHORT_TABLE,7,FALSE)))))</f>
        <v/>
      </c>
      <c r="AD150" s="15">
        <f>IFERROR(VLOOKUP(T150,V8_COHORT_TABLE,8,FALSE),IFERROR(VLOOKUP(P150&amp;"|"&amp;Q150&amp;"|ALL|"&amp;S150,V8_COHORT_TABLE,8,FALSE),IFERROR(VLOOKUP(P150&amp;"|ALL|ALL|"&amp;S150,V8_COHORT_TABLE,8,FALSE),IFERROR(VLOOKUP(P150&amp;"|ALL|ALL|ALL",V8_COHORT_TABLE,8,FALSE),VLOOKUP("GLOBAL",V8_COHORT_TABLE,8,FALSE)))))</f>
        <v/>
      </c>
      <c r="AE150" s="15">
        <f>IFERROR(VLOOKUP(T150,V8_COHORT_TABLE,9,FALSE),IFERROR(VLOOKUP(P150&amp;"|"&amp;Q150&amp;"|ALL|"&amp;S150,V8_COHORT_TABLE,9,FALSE),IFERROR(VLOOKUP(P150&amp;"|ALL|ALL|"&amp;S150,V8_COHORT_TABLE,9,FALSE),IFERROR(VLOOKUP(P150&amp;"|ALL|ALL|ALL",V8_COHORT_TABLE,9,FALSE),VLOOKUP("GLOBAL",V8_COHORT_TABLE,9,FALSE)))))</f>
        <v/>
      </c>
      <c r="AF150" s="8">
        <f>IF(K150&lt;=0,AB150,IF(K150&gt;=240,AE150,IF(K150&lt;=24,AB150+(K150-0)/24*(AC150-AB150),IF(K150&lt;=96,AC150+(K150-24)/72*(AD150-AC150),AD150+(K150-96)/144*(AE150-AD150)))))</f>
        <v/>
      </c>
      <c r="AG150" s="8">
        <f>IF(IF(OR(L150="",NOT(ISNUMBER(L150))),360,MAX(0,MIN(480,(INT(L150/100)-INT(VALUE(F150)/100))*12+MOD(L150,100)-MOD(VALUE(F150),100))))&gt;0,1+V8_MTY_AMP*MAX(0,(V8_MTY_CUTOFF-(IF(OR(L150="",NOT(ISNUMBER(L150))),360,MAX(0,MIN(480,(INT(L150/100)-INT(VALUE(F150)/100))*12+MOD(L150,100)-MOD(VALUE(F150),100))))))/V8_MTY_CUTOFF),1)</f>
        <v/>
      </c>
      <c r="AH150" s="8">
        <f>IF(AND(IF(OR(M150="",NOT(ISNUMBER(M150))),0,MAX(0,MIN(24,(INT(VALUE(F150)/100)-INT(M150/100))*12+MOD(VALUE(F150),100)-MOD(M150,100))))&gt;0,IF(OR(M150="",NOT(ISNUMBER(M150))),0,MAX(0,MIN(24,(INT(VALUE(F150)/100)-INT(M150/100))*12+MOD(VALUE(F150),100)-MOD(M150,100))))&lt;=12),1+V8_LOCKOUT_AMP*EXP(-(IF(OR(M150="",NOT(ISNUMBER(M150))),0,MAX(0,MIN(24,(INT(VALUE(F150)/100)-INT(M150/100))*12+MOD(VALUE(F150),100)-MOD(M150,100)))))/V8_LOCKOUT_TAU),1)</f>
        <v/>
      </c>
      <c r="AI150" s="8">
        <f>MAX(V8_BURN_FLOOR,1-V8_BURN_SLOPE*MIN(1,MAX(0,O150)))</f>
        <v/>
      </c>
      <c r="AJ150" s="15">
        <f>MIN(AA150*AF150*AG150*AH150*AI150,0.2)</f>
        <v/>
      </c>
      <c r="AK150" s="16">
        <f>1-(1-AJ150)^12</f>
        <v/>
      </c>
    </row>
    <row r="151">
      <c r="A151" s="2" t="inlineStr">
        <is>
          <t>000003335263</t>
        </is>
      </c>
      <c r="B151" t="inlineStr">
        <is>
          <t>223a7</t>
        </is>
      </c>
      <c r="C151" t="inlineStr">
        <is>
          <t>RP</t>
        </is>
      </c>
      <c r="D151" t="inlineStr">
        <is>
          <t>PNC BANK, NA</t>
        </is>
      </c>
      <c r="E151" t="n">
        <v>2005</v>
      </c>
      <c r="F151" t="inlineStr">
        <is>
          <t>202602</t>
        </is>
      </c>
      <c r="G151" s="9" t="n">
        <v>318126.52</v>
      </c>
      <c r="H151" s="13" t="n">
        <v>6.45</v>
      </c>
      <c r="I151" s="14" t="n">
        <v>447</v>
      </c>
      <c r="J151" s="14" t="n">
        <v>0</v>
      </c>
      <c r="K151" t="n">
        <v>250</v>
      </c>
      <c r="L151" t="n">
        <v>203505</v>
      </c>
      <c r="M151" t="inlineStr"/>
      <c r="N151" t="n">
        <v>87</v>
      </c>
      <c r="O151" s="8" t="n">
        <v>0.348</v>
      </c>
      <c r="P151">
        <f>IF(ISNUMBER(SEARCH("232",B151)),"232",IF(ISNUMBER(SEARCH("538",B151)),"538",IF(ISNUMBER(SEARCH("223a7",B151)),"223a7",IF(ISNUMBER(SEARCH("223f",B151)),"223f","OTHER"))))</f>
        <v/>
      </c>
      <c r="Q151">
        <f>IF(UPPER(C151)="NC","NC","RP")</f>
        <v/>
      </c>
      <c r="R151">
        <f>IF(G151&lt;5000000,"small",IF(G151&lt;25000000,"medium","large"))</f>
        <v/>
      </c>
      <c r="S151">
        <f>IF(K151&lt;36,"young",IF(K151&lt;120,"seasoned","aged"))</f>
        <v/>
      </c>
      <c r="T151">
        <f>P151&amp;"|"&amp;Q151&amp;"|"&amp;R151&amp;"|"&amp;S151</f>
        <v/>
      </c>
      <c r="U151" s="14">
        <f>H151*100-I151</f>
        <v/>
      </c>
      <c r="V151" s="14">
        <f>U151-12.5*(J151+1)</f>
        <v/>
      </c>
      <c r="W151" s="15">
        <f>IFERROR(VLOOKUP(T151,V8_COHORT_TABLE,2,FALSE),IFERROR(VLOOKUP(P151&amp;"|"&amp;Q151&amp;"|ALL|"&amp;S151,V8_COHORT_TABLE,2,FALSE),IFERROR(VLOOKUP(P151&amp;"|ALL|ALL|"&amp;S151,V8_COHORT_TABLE,2,FALSE),IFERROR(VLOOKUP(P151&amp;"|ALL|ALL|ALL",V8_COHORT_TABLE,2,FALSE),VLOOKUP("GLOBAL",V8_COHORT_TABLE,2,FALSE)))))</f>
        <v/>
      </c>
      <c r="X151" s="15">
        <f>IFERROR(VLOOKUP(T151,V8_COHORT_TABLE,3,FALSE),IFERROR(VLOOKUP(P151&amp;"|"&amp;Q151&amp;"|ALL|"&amp;S151,V8_COHORT_TABLE,3,FALSE),IFERROR(VLOOKUP(P151&amp;"|ALL|ALL|"&amp;S151,V8_COHORT_TABLE,3,FALSE),IFERROR(VLOOKUP(P151&amp;"|ALL|ALL|ALL",V8_COHORT_TABLE,3,FALSE),VLOOKUP("GLOBAL",V8_COHORT_TABLE,3,FALSE)))))</f>
        <v/>
      </c>
      <c r="Y151" s="15">
        <f>IFERROR(VLOOKUP(T151,V8_COHORT_TABLE,4,FALSE),IFERROR(VLOOKUP(P151&amp;"|"&amp;Q151&amp;"|ALL|"&amp;S151,V8_COHORT_TABLE,4,FALSE),IFERROR(VLOOKUP(P151&amp;"|ALL|ALL|"&amp;S151,V8_COHORT_TABLE,4,FALSE),IFERROR(VLOOKUP(P151&amp;"|ALL|ALL|ALL",V8_COHORT_TABLE,4,FALSE),VLOOKUP("GLOBAL",V8_COHORT_TABLE,4,FALSE)))))</f>
        <v/>
      </c>
      <c r="Z151" s="15">
        <f>IFERROR(VLOOKUP(T151,V8_COHORT_TABLE,5,FALSE),IFERROR(VLOOKUP(P151&amp;"|"&amp;Q151&amp;"|ALL|"&amp;S151,V8_COHORT_TABLE,5,FALSE),IFERROR(VLOOKUP(P151&amp;"|ALL|ALL|"&amp;S151,V8_COHORT_TABLE,5,FALSE),IFERROR(VLOOKUP(P151&amp;"|ALL|ALL|ALL",V8_COHORT_TABLE,5,FALSE),VLOOKUP("GLOBAL",V8_COHORT_TABLE,5,FALSE)))))</f>
        <v/>
      </c>
      <c r="AA151" s="15">
        <f>W151+X151/(1+EXP(-(V151-Y151)/Z151))</f>
        <v/>
      </c>
      <c r="AB151" s="15">
        <f>IFERROR(VLOOKUP(T151,V8_COHORT_TABLE,6,FALSE),IFERROR(VLOOKUP(P151&amp;"|"&amp;Q151&amp;"|ALL|"&amp;S151,V8_COHORT_TABLE,6,FALSE),IFERROR(VLOOKUP(P151&amp;"|ALL|ALL|"&amp;S151,V8_COHORT_TABLE,6,FALSE),IFERROR(VLOOKUP(P151&amp;"|ALL|ALL|ALL",V8_COHORT_TABLE,6,FALSE),VLOOKUP("GLOBAL",V8_COHORT_TABLE,6,FALSE)))))</f>
        <v/>
      </c>
      <c r="AC151" s="15">
        <f>IFERROR(VLOOKUP(T151,V8_COHORT_TABLE,7,FALSE),IFERROR(VLOOKUP(P151&amp;"|"&amp;Q151&amp;"|ALL|"&amp;S151,V8_COHORT_TABLE,7,FALSE),IFERROR(VLOOKUP(P151&amp;"|ALL|ALL|"&amp;S151,V8_COHORT_TABLE,7,FALSE),IFERROR(VLOOKUP(P151&amp;"|ALL|ALL|ALL",V8_COHORT_TABLE,7,FALSE),VLOOKUP("GLOBAL",V8_COHORT_TABLE,7,FALSE)))))</f>
        <v/>
      </c>
      <c r="AD151" s="15">
        <f>IFERROR(VLOOKUP(T151,V8_COHORT_TABLE,8,FALSE),IFERROR(VLOOKUP(P151&amp;"|"&amp;Q151&amp;"|ALL|"&amp;S151,V8_COHORT_TABLE,8,FALSE),IFERROR(VLOOKUP(P151&amp;"|ALL|ALL|"&amp;S151,V8_COHORT_TABLE,8,FALSE),IFERROR(VLOOKUP(P151&amp;"|ALL|ALL|ALL",V8_COHORT_TABLE,8,FALSE),VLOOKUP("GLOBAL",V8_COHORT_TABLE,8,FALSE)))))</f>
        <v/>
      </c>
      <c r="AE151" s="15">
        <f>IFERROR(VLOOKUP(T151,V8_COHORT_TABLE,9,FALSE),IFERROR(VLOOKUP(P151&amp;"|"&amp;Q151&amp;"|ALL|"&amp;S151,V8_COHORT_TABLE,9,FALSE),IFERROR(VLOOKUP(P151&amp;"|ALL|ALL|"&amp;S151,V8_COHORT_TABLE,9,FALSE),IFERROR(VLOOKUP(P151&amp;"|ALL|ALL|ALL",V8_COHORT_TABLE,9,FALSE),VLOOKUP("GLOBAL",V8_COHORT_TABLE,9,FALSE)))))</f>
        <v/>
      </c>
      <c r="AF151" s="8">
        <f>IF(K151&lt;=0,AB151,IF(K151&gt;=240,AE151,IF(K151&lt;=24,AB151+(K151-0)/24*(AC151-AB151),IF(K151&lt;=96,AC151+(K151-24)/72*(AD151-AC151),AD151+(K151-96)/144*(AE151-AD151)))))</f>
        <v/>
      </c>
      <c r="AG151" s="8">
        <f>IF(IF(OR(L151="",NOT(ISNUMBER(L151))),360,MAX(0,MIN(480,(INT(L151/100)-INT(VALUE(F151)/100))*12+MOD(L151,100)-MOD(VALUE(F151),100))))&gt;0,1+V8_MTY_AMP*MAX(0,(V8_MTY_CUTOFF-(IF(OR(L151="",NOT(ISNUMBER(L151))),360,MAX(0,MIN(480,(INT(L151/100)-INT(VALUE(F151)/100))*12+MOD(L151,100)-MOD(VALUE(F151),100))))))/V8_MTY_CUTOFF),1)</f>
        <v/>
      </c>
      <c r="AH151" s="8">
        <f>IF(AND(IF(OR(M151="",NOT(ISNUMBER(M151))),0,MAX(0,MIN(24,(INT(VALUE(F151)/100)-INT(M151/100))*12+MOD(VALUE(F151),100)-MOD(M151,100))))&gt;0,IF(OR(M151="",NOT(ISNUMBER(M151))),0,MAX(0,MIN(24,(INT(VALUE(F151)/100)-INT(M151/100))*12+MOD(VALUE(F151),100)-MOD(M151,100))))&lt;=12),1+V8_LOCKOUT_AMP*EXP(-(IF(OR(M151="",NOT(ISNUMBER(M151))),0,MAX(0,MIN(24,(INT(VALUE(F151)/100)-INT(M151/100))*12+MOD(VALUE(F151),100)-MOD(M151,100)))))/V8_LOCKOUT_TAU),1)</f>
        <v/>
      </c>
      <c r="AI151" s="8">
        <f>MAX(V8_BURN_FLOOR,1-V8_BURN_SLOPE*MIN(1,MAX(0,O151)))</f>
        <v/>
      </c>
      <c r="AJ151" s="15">
        <f>MIN(AA151*AF151*AG151*AH151*AI151,0.2)</f>
        <v/>
      </c>
      <c r="AK151" s="16">
        <f>1-(1-AJ151)^12</f>
        <v/>
      </c>
    </row>
    <row r="152">
      <c r="A152" s="2" t="inlineStr">
        <is>
          <t>000005235634</t>
        </is>
      </c>
      <c r="B152" t="inlineStr">
        <is>
          <t>221d4</t>
        </is>
      </c>
      <c r="C152" t="inlineStr">
        <is>
          <t>NC</t>
        </is>
      </c>
      <c r="D152" t="inlineStr">
        <is>
          <t>PNC BANK, NA</t>
        </is>
      </c>
      <c r="E152" t="n">
        <v>2006</v>
      </c>
      <c r="F152" t="inlineStr">
        <is>
          <t>202602</t>
        </is>
      </c>
      <c r="G152" s="9" t="n">
        <v>3504869.26</v>
      </c>
      <c r="H152" s="13" t="n">
        <v>5.55</v>
      </c>
      <c r="I152" s="14" t="n">
        <v>447</v>
      </c>
      <c r="J152" s="14" t="n">
        <v>0</v>
      </c>
      <c r="K152" t="n">
        <v>233</v>
      </c>
      <c r="L152" t="n">
        <v>204803</v>
      </c>
      <c r="M152" t="n">
        <v>201804</v>
      </c>
      <c r="N152" t="n">
        <v>83</v>
      </c>
      <c r="O152" s="8" t="n">
        <v>0.3562231759656652</v>
      </c>
      <c r="P152">
        <f>IF(ISNUMBER(SEARCH("232",B152)),"232",IF(ISNUMBER(SEARCH("538",B152)),"538",IF(ISNUMBER(SEARCH("223a7",B152)),"223a7",IF(ISNUMBER(SEARCH("223f",B152)),"223f","OTHER"))))</f>
        <v/>
      </c>
      <c r="Q152">
        <f>IF(UPPER(C152)="NC","NC","RP")</f>
        <v/>
      </c>
      <c r="R152">
        <f>IF(G152&lt;5000000,"small",IF(G152&lt;25000000,"medium","large"))</f>
        <v/>
      </c>
      <c r="S152">
        <f>IF(K152&lt;36,"young",IF(K152&lt;120,"seasoned","aged"))</f>
        <v/>
      </c>
      <c r="T152">
        <f>P152&amp;"|"&amp;Q152&amp;"|"&amp;R152&amp;"|"&amp;S152</f>
        <v/>
      </c>
      <c r="U152" s="14">
        <f>H152*100-I152</f>
        <v/>
      </c>
      <c r="V152" s="14">
        <f>U152-12.5*(J152+1)</f>
        <v/>
      </c>
      <c r="W152" s="15">
        <f>IFERROR(VLOOKUP(T152,V8_COHORT_TABLE,2,FALSE),IFERROR(VLOOKUP(P152&amp;"|"&amp;Q152&amp;"|ALL|"&amp;S152,V8_COHORT_TABLE,2,FALSE),IFERROR(VLOOKUP(P152&amp;"|ALL|ALL|"&amp;S152,V8_COHORT_TABLE,2,FALSE),IFERROR(VLOOKUP(P152&amp;"|ALL|ALL|ALL",V8_COHORT_TABLE,2,FALSE),VLOOKUP("GLOBAL",V8_COHORT_TABLE,2,FALSE)))))</f>
        <v/>
      </c>
      <c r="X152" s="15">
        <f>IFERROR(VLOOKUP(T152,V8_COHORT_TABLE,3,FALSE),IFERROR(VLOOKUP(P152&amp;"|"&amp;Q152&amp;"|ALL|"&amp;S152,V8_COHORT_TABLE,3,FALSE),IFERROR(VLOOKUP(P152&amp;"|ALL|ALL|"&amp;S152,V8_COHORT_TABLE,3,FALSE),IFERROR(VLOOKUP(P152&amp;"|ALL|ALL|ALL",V8_COHORT_TABLE,3,FALSE),VLOOKUP("GLOBAL",V8_COHORT_TABLE,3,FALSE)))))</f>
        <v/>
      </c>
      <c r="Y152" s="15">
        <f>IFERROR(VLOOKUP(T152,V8_COHORT_TABLE,4,FALSE),IFERROR(VLOOKUP(P152&amp;"|"&amp;Q152&amp;"|ALL|"&amp;S152,V8_COHORT_TABLE,4,FALSE),IFERROR(VLOOKUP(P152&amp;"|ALL|ALL|"&amp;S152,V8_COHORT_TABLE,4,FALSE),IFERROR(VLOOKUP(P152&amp;"|ALL|ALL|ALL",V8_COHORT_TABLE,4,FALSE),VLOOKUP("GLOBAL",V8_COHORT_TABLE,4,FALSE)))))</f>
        <v/>
      </c>
      <c r="Z152" s="15">
        <f>IFERROR(VLOOKUP(T152,V8_COHORT_TABLE,5,FALSE),IFERROR(VLOOKUP(P152&amp;"|"&amp;Q152&amp;"|ALL|"&amp;S152,V8_COHORT_TABLE,5,FALSE),IFERROR(VLOOKUP(P152&amp;"|ALL|ALL|"&amp;S152,V8_COHORT_TABLE,5,FALSE),IFERROR(VLOOKUP(P152&amp;"|ALL|ALL|ALL",V8_COHORT_TABLE,5,FALSE),VLOOKUP("GLOBAL",V8_COHORT_TABLE,5,FALSE)))))</f>
        <v/>
      </c>
      <c r="AA152" s="15">
        <f>W152+X152/(1+EXP(-(V152-Y152)/Z152))</f>
        <v/>
      </c>
      <c r="AB152" s="15">
        <f>IFERROR(VLOOKUP(T152,V8_COHORT_TABLE,6,FALSE),IFERROR(VLOOKUP(P152&amp;"|"&amp;Q152&amp;"|ALL|"&amp;S152,V8_COHORT_TABLE,6,FALSE),IFERROR(VLOOKUP(P152&amp;"|ALL|ALL|"&amp;S152,V8_COHORT_TABLE,6,FALSE),IFERROR(VLOOKUP(P152&amp;"|ALL|ALL|ALL",V8_COHORT_TABLE,6,FALSE),VLOOKUP("GLOBAL",V8_COHORT_TABLE,6,FALSE)))))</f>
        <v/>
      </c>
      <c r="AC152" s="15">
        <f>IFERROR(VLOOKUP(T152,V8_COHORT_TABLE,7,FALSE),IFERROR(VLOOKUP(P152&amp;"|"&amp;Q152&amp;"|ALL|"&amp;S152,V8_COHORT_TABLE,7,FALSE),IFERROR(VLOOKUP(P152&amp;"|ALL|ALL|"&amp;S152,V8_COHORT_TABLE,7,FALSE),IFERROR(VLOOKUP(P152&amp;"|ALL|ALL|ALL",V8_COHORT_TABLE,7,FALSE),VLOOKUP("GLOBAL",V8_COHORT_TABLE,7,FALSE)))))</f>
        <v/>
      </c>
      <c r="AD152" s="15">
        <f>IFERROR(VLOOKUP(T152,V8_COHORT_TABLE,8,FALSE),IFERROR(VLOOKUP(P152&amp;"|"&amp;Q152&amp;"|ALL|"&amp;S152,V8_COHORT_TABLE,8,FALSE),IFERROR(VLOOKUP(P152&amp;"|ALL|ALL|"&amp;S152,V8_COHORT_TABLE,8,FALSE),IFERROR(VLOOKUP(P152&amp;"|ALL|ALL|ALL",V8_COHORT_TABLE,8,FALSE),VLOOKUP("GLOBAL",V8_COHORT_TABLE,8,FALSE)))))</f>
        <v/>
      </c>
      <c r="AE152" s="15">
        <f>IFERROR(VLOOKUP(T152,V8_COHORT_TABLE,9,FALSE),IFERROR(VLOOKUP(P152&amp;"|"&amp;Q152&amp;"|ALL|"&amp;S152,V8_COHORT_TABLE,9,FALSE),IFERROR(VLOOKUP(P152&amp;"|ALL|ALL|"&amp;S152,V8_COHORT_TABLE,9,FALSE),IFERROR(VLOOKUP(P152&amp;"|ALL|ALL|ALL",V8_COHORT_TABLE,9,FALSE),VLOOKUP("GLOBAL",V8_COHORT_TABLE,9,FALSE)))))</f>
        <v/>
      </c>
      <c r="AF152" s="8">
        <f>IF(K152&lt;=0,AB152,IF(K152&gt;=240,AE152,IF(K152&lt;=24,AB152+(K152-0)/24*(AC152-AB152),IF(K152&lt;=96,AC152+(K152-24)/72*(AD152-AC152),AD152+(K152-96)/144*(AE152-AD152)))))</f>
        <v/>
      </c>
      <c r="AG152" s="8">
        <f>IF(IF(OR(L152="",NOT(ISNUMBER(L152))),360,MAX(0,MIN(480,(INT(L152/100)-INT(VALUE(F152)/100))*12+MOD(L152,100)-MOD(VALUE(F152),100))))&gt;0,1+V8_MTY_AMP*MAX(0,(V8_MTY_CUTOFF-(IF(OR(L152="",NOT(ISNUMBER(L152))),360,MAX(0,MIN(480,(INT(L152/100)-INT(VALUE(F152)/100))*12+MOD(L152,100)-MOD(VALUE(F152),100))))))/V8_MTY_CUTOFF),1)</f>
        <v/>
      </c>
      <c r="AH152" s="8">
        <f>IF(AND(IF(OR(M152="",NOT(ISNUMBER(M152))),0,MAX(0,MIN(24,(INT(VALUE(F152)/100)-INT(M152/100))*12+MOD(VALUE(F152),100)-MOD(M152,100))))&gt;0,IF(OR(M152="",NOT(ISNUMBER(M152))),0,MAX(0,MIN(24,(INT(VALUE(F152)/100)-INT(M152/100))*12+MOD(VALUE(F152),100)-MOD(M152,100))))&lt;=12),1+V8_LOCKOUT_AMP*EXP(-(IF(OR(M152="",NOT(ISNUMBER(M152))),0,MAX(0,MIN(24,(INT(VALUE(F152)/100)-INT(M152/100))*12+MOD(VALUE(F152),100)-MOD(M152,100)))))/V8_LOCKOUT_TAU),1)</f>
        <v/>
      </c>
      <c r="AI152" s="8">
        <f>MAX(V8_BURN_FLOOR,1-V8_BURN_SLOPE*MIN(1,MAX(0,O152)))</f>
        <v/>
      </c>
      <c r="AJ152" s="15">
        <f>MIN(AA152*AF152*AG152*AH152*AI152,0.2)</f>
        <v/>
      </c>
      <c r="AK152" s="16">
        <f>1-(1-AJ152)^12</f>
        <v/>
      </c>
    </row>
    <row r="153">
      <c r="A153" s="2" t="inlineStr">
        <is>
          <t>033030406928</t>
        </is>
      </c>
      <c r="B153" t="inlineStr">
        <is>
          <t>538</t>
        </is>
      </c>
      <c r="C153" t="inlineStr">
        <is>
          <t>538</t>
        </is>
      </c>
      <c r="D153" t="inlineStr">
        <is>
          <t>PNC BANK, NA</t>
        </is>
      </c>
      <c r="E153" t="n">
        <v>2006</v>
      </c>
      <c r="F153" t="inlineStr">
        <is>
          <t>202602</t>
        </is>
      </c>
      <c r="G153" s="9" t="n">
        <v>1569603.44</v>
      </c>
      <c r="H153" s="13" t="n">
        <v>7.09</v>
      </c>
      <c r="I153" s="14" t="n">
        <v>447</v>
      </c>
      <c r="J153" s="14" t="n">
        <v>5.08</v>
      </c>
      <c r="K153" t="n">
        <v>239</v>
      </c>
      <c r="L153" t="n">
        <v>204104</v>
      </c>
      <c r="M153" t="n">
        <v>202104</v>
      </c>
      <c r="N153" t="n">
        <v>86</v>
      </c>
      <c r="O153" s="8" t="n">
        <v>0.3598326359832636</v>
      </c>
      <c r="P153">
        <f>IF(ISNUMBER(SEARCH("232",B153)),"232",IF(ISNUMBER(SEARCH("538",B153)),"538",IF(ISNUMBER(SEARCH("223a7",B153)),"223a7",IF(ISNUMBER(SEARCH("223f",B153)),"223f","OTHER"))))</f>
        <v/>
      </c>
      <c r="Q153">
        <f>IF(UPPER(C153)="NC","NC","RP")</f>
        <v/>
      </c>
      <c r="R153">
        <f>IF(G153&lt;5000000,"small",IF(G153&lt;25000000,"medium","large"))</f>
        <v/>
      </c>
      <c r="S153">
        <f>IF(K153&lt;36,"young",IF(K153&lt;120,"seasoned","aged"))</f>
        <v/>
      </c>
      <c r="T153">
        <f>P153&amp;"|"&amp;Q153&amp;"|"&amp;R153&amp;"|"&amp;S153</f>
        <v/>
      </c>
      <c r="U153" s="14">
        <f>H153*100-I153</f>
        <v/>
      </c>
      <c r="V153" s="14">
        <f>U153-12.5*(J153+1)</f>
        <v/>
      </c>
      <c r="W153" s="15">
        <f>IFERROR(VLOOKUP(T153,V8_COHORT_TABLE,2,FALSE),IFERROR(VLOOKUP(P153&amp;"|"&amp;Q153&amp;"|ALL|"&amp;S153,V8_COHORT_TABLE,2,FALSE),IFERROR(VLOOKUP(P153&amp;"|ALL|ALL|"&amp;S153,V8_COHORT_TABLE,2,FALSE),IFERROR(VLOOKUP(P153&amp;"|ALL|ALL|ALL",V8_COHORT_TABLE,2,FALSE),VLOOKUP("GLOBAL",V8_COHORT_TABLE,2,FALSE)))))</f>
        <v/>
      </c>
      <c r="X153" s="15">
        <f>IFERROR(VLOOKUP(T153,V8_COHORT_TABLE,3,FALSE),IFERROR(VLOOKUP(P153&amp;"|"&amp;Q153&amp;"|ALL|"&amp;S153,V8_COHORT_TABLE,3,FALSE),IFERROR(VLOOKUP(P153&amp;"|ALL|ALL|"&amp;S153,V8_COHORT_TABLE,3,FALSE),IFERROR(VLOOKUP(P153&amp;"|ALL|ALL|ALL",V8_COHORT_TABLE,3,FALSE),VLOOKUP("GLOBAL",V8_COHORT_TABLE,3,FALSE)))))</f>
        <v/>
      </c>
      <c r="Y153" s="15">
        <f>IFERROR(VLOOKUP(T153,V8_COHORT_TABLE,4,FALSE),IFERROR(VLOOKUP(P153&amp;"|"&amp;Q153&amp;"|ALL|"&amp;S153,V8_COHORT_TABLE,4,FALSE),IFERROR(VLOOKUP(P153&amp;"|ALL|ALL|"&amp;S153,V8_COHORT_TABLE,4,FALSE),IFERROR(VLOOKUP(P153&amp;"|ALL|ALL|ALL",V8_COHORT_TABLE,4,FALSE),VLOOKUP("GLOBAL",V8_COHORT_TABLE,4,FALSE)))))</f>
        <v/>
      </c>
      <c r="Z153" s="15">
        <f>IFERROR(VLOOKUP(T153,V8_COHORT_TABLE,5,FALSE),IFERROR(VLOOKUP(P153&amp;"|"&amp;Q153&amp;"|ALL|"&amp;S153,V8_COHORT_TABLE,5,FALSE),IFERROR(VLOOKUP(P153&amp;"|ALL|ALL|"&amp;S153,V8_COHORT_TABLE,5,FALSE),IFERROR(VLOOKUP(P153&amp;"|ALL|ALL|ALL",V8_COHORT_TABLE,5,FALSE),VLOOKUP("GLOBAL",V8_COHORT_TABLE,5,FALSE)))))</f>
        <v/>
      </c>
      <c r="AA153" s="15">
        <f>W153+X153/(1+EXP(-(V153-Y153)/Z153))</f>
        <v/>
      </c>
      <c r="AB153" s="15">
        <f>IFERROR(VLOOKUP(T153,V8_COHORT_TABLE,6,FALSE),IFERROR(VLOOKUP(P153&amp;"|"&amp;Q153&amp;"|ALL|"&amp;S153,V8_COHORT_TABLE,6,FALSE),IFERROR(VLOOKUP(P153&amp;"|ALL|ALL|"&amp;S153,V8_COHORT_TABLE,6,FALSE),IFERROR(VLOOKUP(P153&amp;"|ALL|ALL|ALL",V8_COHORT_TABLE,6,FALSE),VLOOKUP("GLOBAL",V8_COHORT_TABLE,6,FALSE)))))</f>
        <v/>
      </c>
      <c r="AC153" s="15">
        <f>IFERROR(VLOOKUP(T153,V8_COHORT_TABLE,7,FALSE),IFERROR(VLOOKUP(P153&amp;"|"&amp;Q153&amp;"|ALL|"&amp;S153,V8_COHORT_TABLE,7,FALSE),IFERROR(VLOOKUP(P153&amp;"|ALL|ALL|"&amp;S153,V8_COHORT_TABLE,7,FALSE),IFERROR(VLOOKUP(P153&amp;"|ALL|ALL|ALL",V8_COHORT_TABLE,7,FALSE),VLOOKUP("GLOBAL",V8_COHORT_TABLE,7,FALSE)))))</f>
        <v/>
      </c>
      <c r="AD153" s="15">
        <f>IFERROR(VLOOKUP(T153,V8_COHORT_TABLE,8,FALSE),IFERROR(VLOOKUP(P153&amp;"|"&amp;Q153&amp;"|ALL|"&amp;S153,V8_COHORT_TABLE,8,FALSE),IFERROR(VLOOKUP(P153&amp;"|ALL|ALL|"&amp;S153,V8_COHORT_TABLE,8,FALSE),IFERROR(VLOOKUP(P153&amp;"|ALL|ALL|ALL",V8_COHORT_TABLE,8,FALSE),VLOOKUP("GLOBAL",V8_COHORT_TABLE,8,FALSE)))))</f>
        <v/>
      </c>
      <c r="AE153" s="15">
        <f>IFERROR(VLOOKUP(T153,V8_COHORT_TABLE,9,FALSE),IFERROR(VLOOKUP(P153&amp;"|"&amp;Q153&amp;"|ALL|"&amp;S153,V8_COHORT_TABLE,9,FALSE),IFERROR(VLOOKUP(P153&amp;"|ALL|ALL|"&amp;S153,V8_COHORT_TABLE,9,FALSE),IFERROR(VLOOKUP(P153&amp;"|ALL|ALL|ALL",V8_COHORT_TABLE,9,FALSE),VLOOKUP("GLOBAL",V8_COHORT_TABLE,9,FALSE)))))</f>
        <v/>
      </c>
      <c r="AF153" s="8">
        <f>IF(K153&lt;=0,AB153,IF(K153&gt;=240,AE153,IF(K153&lt;=24,AB153+(K153-0)/24*(AC153-AB153),IF(K153&lt;=96,AC153+(K153-24)/72*(AD153-AC153),AD153+(K153-96)/144*(AE153-AD153)))))</f>
        <v/>
      </c>
      <c r="AG153" s="8">
        <f>IF(IF(OR(L153="",NOT(ISNUMBER(L153))),360,MAX(0,MIN(480,(INT(L153/100)-INT(VALUE(F153)/100))*12+MOD(L153,100)-MOD(VALUE(F153),100))))&gt;0,1+V8_MTY_AMP*MAX(0,(V8_MTY_CUTOFF-(IF(OR(L153="",NOT(ISNUMBER(L153))),360,MAX(0,MIN(480,(INT(L153/100)-INT(VALUE(F153)/100))*12+MOD(L153,100)-MOD(VALUE(F153),100))))))/V8_MTY_CUTOFF),1)</f>
        <v/>
      </c>
      <c r="AH153" s="8">
        <f>IF(AND(IF(OR(M153="",NOT(ISNUMBER(M153))),0,MAX(0,MIN(24,(INT(VALUE(F153)/100)-INT(M153/100))*12+MOD(VALUE(F153),100)-MOD(M153,100))))&gt;0,IF(OR(M153="",NOT(ISNUMBER(M153))),0,MAX(0,MIN(24,(INT(VALUE(F153)/100)-INT(M153/100))*12+MOD(VALUE(F153),100)-MOD(M153,100))))&lt;=12),1+V8_LOCKOUT_AMP*EXP(-(IF(OR(M153="",NOT(ISNUMBER(M153))),0,MAX(0,MIN(24,(INT(VALUE(F153)/100)-INT(M153/100))*12+MOD(VALUE(F153),100)-MOD(M153,100)))))/V8_LOCKOUT_TAU),1)</f>
        <v/>
      </c>
      <c r="AI153" s="8">
        <f>MAX(V8_BURN_FLOOR,1-V8_BURN_SLOPE*MIN(1,MAX(0,O153)))</f>
        <v/>
      </c>
      <c r="AJ153" s="15">
        <f>MIN(AA153*AF153*AG153*AH153*AI153,0.2)</f>
        <v/>
      </c>
      <c r="AK153" s="16">
        <f>1-(1-AJ153)^12</f>
        <v/>
      </c>
    </row>
    <row r="154">
      <c r="A154" s="2" t="inlineStr">
        <is>
          <t>000009211215</t>
        </is>
      </c>
      <c r="B154" t="inlineStr">
        <is>
          <t>223f</t>
        </is>
      </c>
      <c r="C154" t="inlineStr">
        <is>
          <t>RP</t>
        </is>
      </c>
      <c r="D154" t="inlineStr">
        <is>
          <t>PNC BANK, NA</t>
        </is>
      </c>
      <c r="E154" t="n">
        <v>2017</v>
      </c>
      <c r="F154" t="inlineStr">
        <is>
          <t>202602</t>
        </is>
      </c>
      <c r="G154" s="9" t="n">
        <v>893861.5699999999</v>
      </c>
      <c r="H154" s="13" t="n">
        <v>3.9</v>
      </c>
      <c r="I154" s="14" t="n">
        <v>447</v>
      </c>
      <c r="J154" s="14" t="n">
        <v>2</v>
      </c>
      <c r="K154" t="n">
        <v>98</v>
      </c>
      <c r="L154" t="n">
        <v>204109</v>
      </c>
      <c r="M154" t="inlineStr"/>
      <c r="N154" t="n">
        <v>30</v>
      </c>
      <c r="O154" s="8" t="n">
        <v>0.3061224489795918</v>
      </c>
      <c r="P154">
        <f>IF(ISNUMBER(SEARCH("232",B154)),"232",IF(ISNUMBER(SEARCH("538",B154)),"538",IF(ISNUMBER(SEARCH("223a7",B154)),"223a7",IF(ISNUMBER(SEARCH("223f",B154)),"223f","OTHER"))))</f>
        <v/>
      </c>
      <c r="Q154">
        <f>IF(UPPER(C154)="NC","NC","RP")</f>
        <v/>
      </c>
      <c r="R154">
        <f>IF(G154&lt;5000000,"small",IF(G154&lt;25000000,"medium","large"))</f>
        <v/>
      </c>
      <c r="S154">
        <f>IF(K154&lt;36,"young",IF(K154&lt;120,"seasoned","aged"))</f>
        <v/>
      </c>
      <c r="T154">
        <f>P154&amp;"|"&amp;Q154&amp;"|"&amp;R154&amp;"|"&amp;S154</f>
        <v/>
      </c>
      <c r="U154" s="14">
        <f>H154*100-I154</f>
        <v/>
      </c>
      <c r="V154" s="14">
        <f>U154-12.5*(J154+1)</f>
        <v/>
      </c>
      <c r="W154" s="15">
        <f>IFERROR(VLOOKUP(T154,V8_COHORT_TABLE,2,FALSE),IFERROR(VLOOKUP(P154&amp;"|"&amp;Q154&amp;"|ALL|"&amp;S154,V8_COHORT_TABLE,2,FALSE),IFERROR(VLOOKUP(P154&amp;"|ALL|ALL|"&amp;S154,V8_COHORT_TABLE,2,FALSE),IFERROR(VLOOKUP(P154&amp;"|ALL|ALL|ALL",V8_COHORT_TABLE,2,FALSE),VLOOKUP("GLOBAL",V8_COHORT_TABLE,2,FALSE)))))</f>
        <v/>
      </c>
      <c r="X154" s="15">
        <f>IFERROR(VLOOKUP(T154,V8_COHORT_TABLE,3,FALSE),IFERROR(VLOOKUP(P154&amp;"|"&amp;Q154&amp;"|ALL|"&amp;S154,V8_COHORT_TABLE,3,FALSE),IFERROR(VLOOKUP(P154&amp;"|ALL|ALL|"&amp;S154,V8_COHORT_TABLE,3,FALSE),IFERROR(VLOOKUP(P154&amp;"|ALL|ALL|ALL",V8_COHORT_TABLE,3,FALSE),VLOOKUP("GLOBAL",V8_COHORT_TABLE,3,FALSE)))))</f>
        <v/>
      </c>
      <c r="Y154" s="15">
        <f>IFERROR(VLOOKUP(T154,V8_COHORT_TABLE,4,FALSE),IFERROR(VLOOKUP(P154&amp;"|"&amp;Q154&amp;"|ALL|"&amp;S154,V8_COHORT_TABLE,4,FALSE),IFERROR(VLOOKUP(P154&amp;"|ALL|ALL|"&amp;S154,V8_COHORT_TABLE,4,FALSE),IFERROR(VLOOKUP(P154&amp;"|ALL|ALL|ALL",V8_COHORT_TABLE,4,FALSE),VLOOKUP("GLOBAL",V8_COHORT_TABLE,4,FALSE)))))</f>
        <v/>
      </c>
      <c r="Z154" s="15">
        <f>IFERROR(VLOOKUP(T154,V8_COHORT_TABLE,5,FALSE),IFERROR(VLOOKUP(P154&amp;"|"&amp;Q154&amp;"|ALL|"&amp;S154,V8_COHORT_TABLE,5,FALSE),IFERROR(VLOOKUP(P154&amp;"|ALL|ALL|"&amp;S154,V8_COHORT_TABLE,5,FALSE),IFERROR(VLOOKUP(P154&amp;"|ALL|ALL|ALL",V8_COHORT_TABLE,5,FALSE),VLOOKUP("GLOBAL",V8_COHORT_TABLE,5,FALSE)))))</f>
        <v/>
      </c>
      <c r="AA154" s="15">
        <f>W154+X154/(1+EXP(-(V154-Y154)/Z154))</f>
        <v/>
      </c>
      <c r="AB154" s="15">
        <f>IFERROR(VLOOKUP(T154,V8_COHORT_TABLE,6,FALSE),IFERROR(VLOOKUP(P154&amp;"|"&amp;Q154&amp;"|ALL|"&amp;S154,V8_COHORT_TABLE,6,FALSE),IFERROR(VLOOKUP(P154&amp;"|ALL|ALL|"&amp;S154,V8_COHORT_TABLE,6,FALSE),IFERROR(VLOOKUP(P154&amp;"|ALL|ALL|ALL",V8_COHORT_TABLE,6,FALSE),VLOOKUP("GLOBAL",V8_COHORT_TABLE,6,FALSE)))))</f>
        <v/>
      </c>
      <c r="AC154" s="15">
        <f>IFERROR(VLOOKUP(T154,V8_COHORT_TABLE,7,FALSE),IFERROR(VLOOKUP(P154&amp;"|"&amp;Q154&amp;"|ALL|"&amp;S154,V8_COHORT_TABLE,7,FALSE),IFERROR(VLOOKUP(P154&amp;"|ALL|ALL|"&amp;S154,V8_COHORT_TABLE,7,FALSE),IFERROR(VLOOKUP(P154&amp;"|ALL|ALL|ALL",V8_COHORT_TABLE,7,FALSE),VLOOKUP("GLOBAL",V8_COHORT_TABLE,7,FALSE)))))</f>
        <v/>
      </c>
      <c r="AD154" s="15">
        <f>IFERROR(VLOOKUP(T154,V8_COHORT_TABLE,8,FALSE),IFERROR(VLOOKUP(P154&amp;"|"&amp;Q154&amp;"|ALL|"&amp;S154,V8_COHORT_TABLE,8,FALSE),IFERROR(VLOOKUP(P154&amp;"|ALL|ALL|"&amp;S154,V8_COHORT_TABLE,8,FALSE),IFERROR(VLOOKUP(P154&amp;"|ALL|ALL|ALL",V8_COHORT_TABLE,8,FALSE),VLOOKUP("GLOBAL",V8_COHORT_TABLE,8,FALSE)))))</f>
        <v/>
      </c>
      <c r="AE154" s="15">
        <f>IFERROR(VLOOKUP(T154,V8_COHORT_TABLE,9,FALSE),IFERROR(VLOOKUP(P154&amp;"|"&amp;Q154&amp;"|ALL|"&amp;S154,V8_COHORT_TABLE,9,FALSE),IFERROR(VLOOKUP(P154&amp;"|ALL|ALL|"&amp;S154,V8_COHORT_TABLE,9,FALSE),IFERROR(VLOOKUP(P154&amp;"|ALL|ALL|ALL",V8_COHORT_TABLE,9,FALSE),VLOOKUP("GLOBAL",V8_COHORT_TABLE,9,FALSE)))))</f>
        <v/>
      </c>
      <c r="AF154" s="8">
        <f>IF(K154&lt;=0,AB154,IF(K154&gt;=240,AE154,IF(K154&lt;=24,AB154+(K154-0)/24*(AC154-AB154),IF(K154&lt;=96,AC154+(K154-24)/72*(AD154-AC154),AD154+(K154-96)/144*(AE154-AD154)))))</f>
        <v/>
      </c>
      <c r="AG154" s="8">
        <f>IF(IF(OR(L154="",NOT(ISNUMBER(L154))),360,MAX(0,MIN(480,(INT(L154/100)-INT(VALUE(F154)/100))*12+MOD(L154,100)-MOD(VALUE(F154),100))))&gt;0,1+V8_MTY_AMP*MAX(0,(V8_MTY_CUTOFF-(IF(OR(L154="",NOT(ISNUMBER(L154))),360,MAX(0,MIN(480,(INT(L154/100)-INT(VALUE(F154)/100))*12+MOD(L154,100)-MOD(VALUE(F154),100))))))/V8_MTY_CUTOFF),1)</f>
        <v/>
      </c>
      <c r="AH154" s="8">
        <f>IF(AND(IF(OR(M154="",NOT(ISNUMBER(M154))),0,MAX(0,MIN(24,(INT(VALUE(F154)/100)-INT(M154/100))*12+MOD(VALUE(F154),100)-MOD(M154,100))))&gt;0,IF(OR(M154="",NOT(ISNUMBER(M154))),0,MAX(0,MIN(24,(INT(VALUE(F154)/100)-INT(M154/100))*12+MOD(VALUE(F154),100)-MOD(M154,100))))&lt;=12),1+V8_LOCKOUT_AMP*EXP(-(IF(OR(M154="",NOT(ISNUMBER(M154))),0,MAX(0,MIN(24,(INT(VALUE(F154)/100)-INT(M154/100))*12+MOD(VALUE(F154),100)-MOD(M154,100)))))/V8_LOCKOUT_TAU),1)</f>
        <v/>
      </c>
      <c r="AI154" s="8">
        <f>MAX(V8_BURN_FLOOR,1-V8_BURN_SLOPE*MIN(1,MAX(0,O154)))</f>
        <v/>
      </c>
      <c r="AJ154" s="15">
        <f>MIN(AA154*AF154*AG154*AH154*AI154,0.2)</f>
        <v/>
      </c>
      <c r="AK154" s="16">
        <f>1-(1-AJ154)^12</f>
        <v/>
      </c>
    </row>
    <row r="155">
      <c r="A155" s="2" t="inlineStr">
        <is>
          <t>000006611270</t>
        </is>
      </c>
      <c r="B155" t="inlineStr">
        <is>
          <t>223f</t>
        </is>
      </c>
      <c r="C155" t="inlineStr">
        <is>
          <t>RP</t>
        </is>
      </c>
      <c r="D155" t="inlineStr">
        <is>
          <t>PNC BANK, NA</t>
        </is>
      </c>
      <c r="E155" t="n">
        <v>2022</v>
      </c>
      <c r="F155" t="inlineStr">
        <is>
          <t>202602</t>
        </is>
      </c>
      <c r="G155" s="9" t="n">
        <v>4429820.32</v>
      </c>
      <c r="H155" s="13" t="n">
        <v>2.98</v>
      </c>
      <c r="I155" s="14" t="n">
        <v>447</v>
      </c>
      <c r="J155" s="14" t="n">
        <v>7</v>
      </c>
      <c r="K155" t="n">
        <v>45</v>
      </c>
      <c r="L155" t="n">
        <v>204706</v>
      </c>
      <c r="M155" t="inlineStr"/>
      <c r="N155" t="n">
        <v>0</v>
      </c>
      <c r="O155" s="8" t="n">
        <v>0</v>
      </c>
      <c r="P155">
        <f>IF(ISNUMBER(SEARCH("232",B155)),"232",IF(ISNUMBER(SEARCH("538",B155)),"538",IF(ISNUMBER(SEARCH("223a7",B155)),"223a7",IF(ISNUMBER(SEARCH("223f",B155)),"223f","OTHER"))))</f>
        <v/>
      </c>
      <c r="Q155">
        <f>IF(UPPER(C155)="NC","NC","RP")</f>
        <v/>
      </c>
      <c r="R155">
        <f>IF(G155&lt;5000000,"small",IF(G155&lt;25000000,"medium","large"))</f>
        <v/>
      </c>
      <c r="S155">
        <f>IF(K155&lt;36,"young",IF(K155&lt;120,"seasoned","aged"))</f>
        <v/>
      </c>
      <c r="T155">
        <f>P155&amp;"|"&amp;Q155&amp;"|"&amp;R155&amp;"|"&amp;S155</f>
        <v/>
      </c>
      <c r="U155" s="14">
        <f>H155*100-I155</f>
        <v/>
      </c>
      <c r="V155" s="14">
        <f>U155-12.5*(J155+1)</f>
        <v/>
      </c>
      <c r="W155" s="15">
        <f>IFERROR(VLOOKUP(T155,V8_COHORT_TABLE,2,FALSE),IFERROR(VLOOKUP(P155&amp;"|"&amp;Q155&amp;"|ALL|"&amp;S155,V8_COHORT_TABLE,2,FALSE),IFERROR(VLOOKUP(P155&amp;"|ALL|ALL|"&amp;S155,V8_COHORT_TABLE,2,FALSE),IFERROR(VLOOKUP(P155&amp;"|ALL|ALL|ALL",V8_COHORT_TABLE,2,FALSE),VLOOKUP("GLOBAL",V8_COHORT_TABLE,2,FALSE)))))</f>
        <v/>
      </c>
      <c r="X155" s="15">
        <f>IFERROR(VLOOKUP(T155,V8_COHORT_TABLE,3,FALSE),IFERROR(VLOOKUP(P155&amp;"|"&amp;Q155&amp;"|ALL|"&amp;S155,V8_COHORT_TABLE,3,FALSE),IFERROR(VLOOKUP(P155&amp;"|ALL|ALL|"&amp;S155,V8_COHORT_TABLE,3,FALSE),IFERROR(VLOOKUP(P155&amp;"|ALL|ALL|ALL",V8_COHORT_TABLE,3,FALSE),VLOOKUP("GLOBAL",V8_COHORT_TABLE,3,FALSE)))))</f>
        <v/>
      </c>
      <c r="Y155" s="15">
        <f>IFERROR(VLOOKUP(T155,V8_COHORT_TABLE,4,FALSE),IFERROR(VLOOKUP(P155&amp;"|"&amp;Q155&amp;"|ALL|"&amp;S155,V8_COHORT_TABLE,4,FALSE),IFERROR(VLOOKUP(P155&amp;"|ALL|ALL|"&amp;S155,V8_COHORT_TABLE,4,FALSE),IFERROR(VLOOKUP(P155&amp;"|ALL|ALL|ALL",V8_COHORT_TABLE,4,FALSE),VLOOKUP("GLOBAL",V8_COHORT_TABLE,4,FALSE)))))</f>
        <v/>
      </c>
      <c r="Z155" s="15">
        <f>IFERROR(VLOOKUP(T155,V8_COHORT_TABLE,5,FALSE),IFERROR(VLOOKUP(P155&amp;"|"&amp;Q155&amp;"|ALL|"&amp;S155,V8_COHORT_TABLE,5,FALSE),IFERROR(VLOOKUP(P155&amp;"|ALL|ALL|"&amp;S155,V8_COHORT_TABLE,5,FALSE),IFERROR(VLOOKUP(P155&amp;"|ALL|ALL|ALL",V8_COHORT_TABLE,5,FALSE),VLOOKUP("GLOBAL",V8_COHORT_TABLE,5,FALSE)))))</f>
        <v/>
      </c>
      <c r="AA155" s="15">
        <f>W155+X155/(1+EXP(-(V155-Y155)/Z155))</f>
        <v/>
      </c>
      <c r="AB155" s="15">
        <f>IFERROR(VLOOKUP(T155,V8_COHORT_TABLE,6,FALSE),IFERROR(VLOOKUP(P155&amp;"|"&amp;Q155&amp;"|ALL|"&amp;S155,V8_COHORT_TABLE,6,FALSE),IFERROR(VLOOKUP(P155&amp;"|ALL|ALL|"&amp;S155,V8_COHORT_TABLE,6,FALSE),IFERROR(VLOOKUP(P155&amp;"|ALL|ALL|ALL",V8_COHORT_TABLE,6,FALSE),VLOOKUP("GLOBAL",V8_COHORT_TABLE,6,FALSE)))))</f>
        <v/>
      </c>
      <c r="AC155" s="15">
        <f>IFERROR(VLOOKUP(T155,V8_COHORT_TABLE,7,FALSE),IFERROR(VLOOKUP(P155&amp;"|"&amp;Q155&amp;"|ALL|"&amp;S155,V8_COHORT_TABLE,7,FALSE),IFERROR(VLOOKUP(P155&amp;"|ALL|ALL|"&amp;S155,V8_COHORT_TABLE,7,FALSE),IFERROR(VLOOKUP(P155&amp;"|ALL|ALL|ALL",V8_COHORT_TABLE,7,FALSE),VLOOKUP("GLOBAL",V8_COHORT_TABLE,7,FALSE)))))</f>
        <v/>
      </c>
      <c r="AD155" s="15">
        <f>IFERROR(VLOOKUP(T155,V8_COHORT_TABLE,8,FALSE),IFERROR(VLOOKUP(P155&amp;"|"&amp;Q155&amp;"|ALL|"&amp;S155,V8_COHORT_TABLE,8,FALSE),IFERROR(VLOOKUP(P155&amp;"|ALL|ALL|"&amp;S155,V8_COHORT_TABLE,8,FALSE),IFERROR(VLOOKUP(P155&amp;"|ALL|ALL|ALL",V8_COHORT_TABLE,8,FALSE),VLOOKUP("GLOBAL",V8_COHORT_TABLE,8,FALSE)))))</f>
        <v/>
      </c>
      <c r="AE155" s="15">
        <f>IFERROR(VLOOKUP(T155,V8_COHORT_TABLE,9,FALSE),IFERROR(VLOOKUP(P155&amp;"|"&amp;Q155&amp;"|ALL|"&amp;S155,V8_COHORT_TABLE,9,FALSE),IFERROR(VLOOKUP(P155&amp;"|ALL|ALL|"&amp;S155,V8_COHORT_TABLE,9,FALSE),IFERROR(VLOOKUP(P155&amp;"|ALL|ALL|ALL",V8_COHORT_TABLE,9,FALSE),VLOOKUP("GLOBAL",V8_COHORT_TABLE,9,FALSE)))))</f>
        <v/>
      </c>
      <c r="AF155" s="8">
        <f>IF(K155&lt;=0,AB155,IF(K155&gt;=240,AE155,IF(K155&lt;=24,AB155+(K155-0)/24*(AC155-AB155),IF(K155&lt;=96,AC155+(K155-24)/72*(AD155-AC155),AD155+(K155-96)/144*(AE155-AD155)))))</f>
        <v/>
      </c>
      <c r="AG155" s="8">
        <f>IF(IF(OR(L155="",NOT(ISNUMBER(L155))),360,MAX(0,MIN(480,(INT(L155/100)-INT(VALUE(F155)/100))*12+MOD(L155,100)-MOD(VALUE(F155),100))))&gt;0,1+V8_MTY_AMP*MAX(0,(V8_MTY_CUTOFF-(IF(OR(L155="",NOT(ISNUMBER(L155))),360,MAX(0,MIN(480,(INT(L155/100)-INT(VALUE(F155)/100))*12+MOD(L155,100)-MOD(VALUE(F155),100))))))/V8_MTY_CUTOFF),1)</f>
        <v/>
      </c>
      <c r="AH155" s="8">
        <f>IF(AND(IF(OR(M155="",NOT(ISNUMBER(M155))),0,MAX(0,MIN(24,(INT(VALUE(F155)/100)-INT(M155/100))*12+MOD(VALUE(F155),100)-MOD(M155,100))))&gt;0,IF(OR(M155="",NOT(ISNUMBER(M155))),0,MAX(0,MIN(24,(INT(VALUE(F155)/100)-INT(M155/100))*12+MOD(VALUE(F155),100)-MOD(M155,100))))&lt;=12),1+V8_LOCKOUT_AMP*EXP(-(IF(OR(M155="",NOT(ISNUMBER(M155))),0,MAX(0,MIN(24,(INT(VALUE(F155)/100)-INT(M155/100))*12+MOD(VALUE(F155),100)-MOD(M155,100)))))/V8_LOCKOUT_TAU),1)</f>
        <v/>
      </c>
      <c r="AI155" s="8">
        <f>MAX(V8_BURN_FLOOR,1-V8_BURN_SLOPE*MIN(1,MAX(0,O155)))</f>
        <v/>
      </c>
      <c r="AJ155" s="15">
        <f>MIN(AA155*AF155*AG155*AH155*AI155,0.2)</f>
        <v/>
      </c>
      <c r="AK155" s="16">
        <f>1-(1-AJ155)^12</f>
        <v/>
      </c>
    </row>
    <row r="156">
      <c r="A156" s="2" t="inlineStr">
        <is>
          <t>000001438006</t>
        </is>
      </c>
      <c r="B156" t="inlineStr">
        <is>
          <t>223a7</t>
        </is>
      </c>
      <c r="C156" t="inlineStr">
        <is>
          <t>RP</t>
        </is>
      </c>
      <c r="D156" t="inlineStr">
        <is>
          <t>PNC BANK, NA</t>
        </is>
      </c>
      <c r="E156" t="n">
        <v>2008</v>
      </c>
      <c r="F156" t="inlineStr">
        <is>
          <t>202602</t>
        </is>
      </c>
      <c r="G156" s="9" t="n">
        <v>773318.4</v>
      </c>
      <c r="H156" s="13" t="n">
        <v>6.22</v>
      </c>
      <c r="I156" s="14" t="n">
        <v>447</v>
      </c>
      <c r="J156" s="14" t="n">
        <v>0</v>
      </c>
      <c r="K156" t="n">
        <v>213</v>
      </c>
      <c r="L156" t="n">
        <v>203111</v>
      </c>
      <c r="M156" t="n">
        <v>201307</v>
      </c>
      <c r="N156" t="n">
        <v>86</v>
      </c>
      <c r="O156" s="8" t="n">
        <v>0.4037558685446009</v>
      </c>
      <c r="P156">
        <f>IF(ISNUMBER(SEARCH("232",B156)),"232",IF(ISNUMBER(SEARCH("538",B156)),"538",IF(ISNUMBER(SEARCH("223a7",B156)),"223a7",IF(ISNUMBER(SEARCH("223f",B156)),"223f","OTHER"))))</f>
        <v/>
      </c>
      <c r="Q156">
        <f>IF(UPPER(C156)="NC","NC","RP")</f>
        <v/>
      </c>
      <c r="R156">
        <f>IF(G156&lt;5000000,"small",IF(G156&lt;25000000,"medium","large"))</f>
        <v/>
      </c>
      <c r="S156">
        <f>IF(K156&lt;36,"young",IF(K156&lt;120,"seasoned","aged"))</f>
        <v/>
      </c>
      <c r="T156">
        <f>P156&amp;"|"&amp;Q156&amp;"|"&amp;R156&amp;"|"&amp;S156</f>
        <v/>
      </c>
      <c r="U156" s="14">
        <f>H156*100-I156</f>
        <v/>
      </c>
      <c r="V156" s="14">
        <f>U156-12.5*(J156+1)</f>
        <v/>
      </c>
      <c r="W156" s="15">
        <f>IFERROR(VLOOKUP(T156,V8_COHORT_TABLE,2,FALSE),IFERROR(VLOOKUP(P156&amp;"|"&amp;Q156&amp;"|ALL|"&amp;S156,V8_COHORT_TABLE,2,FALSE),IFERROR(VLOOKUP(P156&amp;"|ALL|ALL|"&amp;S156,V8_COHORT_TABLE,2,FALSE),IFERROR(VLOOKUP(P156&amp;"|ALL|ALL|ALL",V8_COHORT_TABLE,2,FALSE),VLOOKUP("GLOBAL",V8_COHORT_TABLE,2,FALSE)))))</f>
        <v/>
      </c>
      <c r="X156" s="15">
        <f>IFERROR(VLOOKUP(T156,V8_COHORT_TABLE,3,FALSE),IFERROR(VLOOKUP(P156&amp;"|"&amp;Q156&amp;"|ALL|"&amp;S156,V8_COHORT_TABLE,3,FALSE),IFERROR(VLOOKUP(P156&amp;"|ALL|ALL|"&amp;S156,V8_COHORT_TABLE,3,FALSE),IFERROR(VLOOKUP(P156&amp;"|ALL|ALL|ALL",V8_COHORT_TABLE,3,FALSE),VLOOKUP("GLOBAL",V8_COHORT_TABLE,3,FALSE)))))</f>
        <v/>
      </c>
      <c r="Y156" s="15">
        <f>IFERROR(VLOOKUP(T156,V8_COHORT_TABLE,4,FALSE),IFERROR(VLOOKUP(P156&amp;"|"&amp;Q156&amp;"|ALL|"&amp;S156,V8_COHORT_TABLE,4,FALSE),IFERROR(VLOOKUP(P156&amp;"|ALL|ALL|"&amp;S156,V8_COHORT_TABLE,4,FALSE),IFERROR(VLOOKUP(P156&amp;"|ALL|ALL|ALL",V8_COHORT_TABLE,4,FALSE),VLOOKUP("GLOBAL",V8_COHORT_TABLE,4,FALSE)))))</f>
        <v/>
      </c>
      <c r="Z156" s="15">
        <f>IFERROR(VLOOKUP(T156,V8_COHORT_TABLE,5,FALSE),IFERROR(VLOOKUP(P156&amp;"|"&amp;Q156&amp;"|ALL|"&amp;S156,V8_COHORT_TABLE,5,FALSE),IFERROR(VLOOKUP(P156&amp;"|ALL|ALL|"&amp;S156,V8_COHORT_TABLE,5,FALSE),IFERROR(VLOOKUP(P156&amp;"|ALL|ALL|ALL",V8_COHORT_TABLE,5,FALSE),VLOOKUP("GLOBAL",V8_COHORT_TABLE,5,FALSE)))))</f>
        <v/>
      </c>
      <c r="AA156" s="15">
        <f>W156+X156/(1+EXP(-(V156-Y156)/Z156))</f>
        <v/>
      </c>
      <c r="AB156" s="15">
        <f>IFERROR(VLOOKUP(T156,V8_COHORT_TABLE,6,FALSE),IFERROR(VLOOKUP(P156&amp;"|"&amp;Q156&amp;"|ALL|"&amp;S156,V8_COHORT_TABLE,6,FALSE),IFERROR(VLOOKUP(P156&amp;"|ALL|ALL|"&amp;S156,V8_COHORT_TABLE,6,FALSE),IFERROR(VLOOKUP(P156&amp;"|ALL|ALL|ALL",V8_COHORT_TABLE,6,FALSE),VLOOKUP("GLOBAL",V8_COHORT_TABLE,6,FALSE)))))</f>
        <v/>
      </c>
      <c r="AC156" s="15">
        <f>IFERROR(VLOOKUP(T156,V8_COHORT_TABLE,7,FALSE),IFERROR(VLOOKUP(P156&amp;"|"&amp;Q156&amp;"|ALL|"&amp;S156,V8_COHORT_TABLE,7,FALSE),IFERROR(VLOOKUP(P156&amp;"|ALL|ALL|"&amp;S156,V8_COHORT_TABLE,7,FALSE),IFERROR(VLOOKUP(P156&amp;"|ALL|ALL|ALL",V8_COHORT_TABLE,7,FALSE),VLOOKUP("GLOBAL",V8_COHORT_TABLE,7,FALSE)))))</f>
        <v/>
      </c>
      <c r="AD156" s="15">
        <f>IFERROR(VLOOKUP(T156,V8_COHORT_TABLE,8,FALSE),IFERROR(VLOOKUP(P156&amp;"|"&amp;Q156&amp;"|ALL|"&amp;S156,V8_COHORT_TABLE,8,FALSE),IFERROR(VLOOKUP(P156&amp;"|ALL|ALL|"&amp;S156,V8_COHORT_TABLE,8,FALSE),IFERROR(VLOOKUP(P156&amp;"|ALL|ALL|ALL",V8_COHORT_TABLE,8,FALSE),VLOOKUP("GLOBAL",V8_COHORT_TABLE,8,FALSE)))))</f>
        <v/>
      </c>
      <c r="AE156" s="15">
        <f>IFERROR(VLOOKUP(T156,V8_COHORT_TABLE,9,FALSE),IFERROR(VLOOKUP(P156&amp;"|"&amp;Q156&amp;"|ALL|"&amp;S156,V8_COHORT_TABLE,9,FALSE),IFERROR(VLOOKUP(P156&amp;"|ALL|ALL|"&amp;S156,V8_COHORT_TABLE,9,FALSE),IFERROR(VLOOKUP(P156&amp;"|ALL|ALL|ALL",V8_COHORT_TABLE,9,FALSE),VLOOKUP("GLOBAL",V8_COHORT_TABLE,9,FALSE)))))</f>
        <v/>
      </c>
      <c r="AF156" s="8">
        <f>IF(K156&lt;=0,AB156,IF(K156&gt;=240,AE156,IF(K156&lt;=24,AB156+(K156-0)/24*(AC156-AB156),IF(K156&lt;=96,AC156+(K156-24)/72*(AD156-AC156),AD156+(K156-96)/144*(AE156-AD156)))))</f>
        <v/>
      </c>
      <c r="AG156" s="8">
        <f>IF(IF(OR(L156="",NOT(ISNUMBER(L156))),360,MAX(0,MIN(480,(INT(L156/100)-INT(VALUE(F156)/100))*12+MOD(L156,100)-MOD(VALUE(F156),100))))&gt;0,1+V8_MTY_AMP*MAX(0,(V8_MTY_CUTOFF-(IF(OR(L156="",NOT(ISNUMBER(L156))),360,MAX(0,MIN(480,(INT(L156/100)-INT(VALUE(F156)/100))*12+MOD(L156,100)-MOD(VALUE(F156),100))))))/V8_MTY_CUTOFF),1)</f>
        <v/>
      </c>
      <c r="AH156" s="8">
        <f>IF(AND(IF(OR(M156="",NOT(ISNUMBER(M156))),0,MAX(0,MIN(24,(INT(VALUE(F156)/100)-INT(M156/100))*12+MOD(VALUE(F156),100)-MOD(M156,100))))&gt;0,IF(OR(M156="",NOT(ISNUMBER(M156))),0,MAX(0,MIN(24,(INT(VALUE(F156)/100)-INT(M156/100))*12+MOD(VALUE(F156),100)-MOD(M156,100))))&lt;=12),1+V8_LOCKOUT_AMP*EXP(-(IF(OR(M156="",NOT(ISNUMBER(M156))),0,MAX(0,MIN(24,(INT(VALUE(F156)/100)-INT(M156/100))*12+MOD(VALUE(F156),100)-MOD(M156,100)))))/V8_LOCKOUT_TAU),1)</f>
        <v/>
      </c>
      <c r="AI156" s="8">
        <f>MAX(V8_BURN_FLOOR,1-V8_BURN_SLOPE*MIN(1,MAX(0,O156)))</f>
        <v/>
      </c>
      <c r="AJ156" s="15">
        <f>MIN(AA156*AF156*AG156*AH156*AI156,0.2)</f>
        <v/>
      </c>
      <c r="AK156" s="16">
        <f>1-(1-AJ156)^12</f>
        <v/>
      </c>
    </row>
    <row r="157">
      <c r="A157" s="2" t="inlineStr">
        <is>
          <t>000005411219</t>
        </is>
      </c>
      <c r="B157" t="inlineStr">
        <is>
          <t>223f</t>
        </is>
      </c>
      <c r="C157" t="inlineStr">
        <is>
          <t>RP</t>
        </is>
      </c>
      <c r="D157" t="inlineStr">
        <is>
          <t>WELLS FARGO BANK, N.A.</t>
        </is>
      </c>
      <c r="E157" t="n">
        <v>2022</v>
      </c>
      <c r="F157" t="inlineStr">
        <is>
          <t>202602</t>
        </is>
      </c>
      <c r="G157" s="9" t="n">
        <v>19256440.04</v>
      </c>
      <c r="H157" s="13" t="n">
        <v>2.19</v>
      </c>
      <c r="I157" s="14" t="n">
        <v>447</v>
      </c>
      <c r="J157" s="14" t="n">
        <v>7</v>
      </c>
      <c r="K157" t="n">
        <v>48</v>
      </c>
      <c r="L157" t="n">
        <v>205703</v>
      </c>
      <c r="M157" t="inlineStr"/>
      <c r="N157" t="n">
        <v>0</v>
      </c>
      <c r="O157" s="8" t="n">
        <v>0</v>
      </c>
      <c r="P157">
        <f>IF(ISNUMBER(SEARCH("232",B157)),"232",IF(ISNUMBER(SEARCH("538",B157)),"538",IF(ISNUMBER(SEARCH("223a7",B157)),"223a7",IF(ISNUMBER(SEARCH("223f",B157)),"223f","OTHER"))))</f>
        <v/>
      </c>
      <c r="Q157">
        <f>IF(UPPER(C157)="NC","NC","RP")</f>
        <v/>
      </c>
      <c r="R157">
        <f>IF(G157&lt;5000000,"small",IF(G157&lt;25000000,"medium","large"))</f>
        <v/>
      </c>
      <c r="S157">
        <f>IF(K157&lt;36,"young",IF(K157&lt;120,"seasoned","aged"))</f>
        <v/>
      </c>
      <c r="T157">
        <f>P157&amp;"|"&amp;Q157&amp;"|"&amp;R157&amp;"|"&amp;S157</f>
        <v/>
      </c>
      <c r="U157" s="14">
        <f>H157*100-I157</f>
        <v/>
      </c>
      <c r="V157" s="14">
        <f>U157-12.5*(J157+1)</f>
        <v/>
      </c>
      <c r="W157" s="15">
        <f>IFERROR(VLOOKUP(T157,V8_COHORT_TABLE,2,FALSE),IFERROR(VLOOKUP(P157&amp;"|"&amp;Q157&amp;"|ALL|"&amp;S157,V8_COHORT_TABLE,2,FALSE),IFERROR(VLOOKUP(P157&amp;"|ALL|ALL|"&amp;S157,V8_COHORT_TABLE,2,FALSE),IFERROR(VLOOKUP(P157&amp;"|ALL|ALL|ALL",V8_COHORT_TABLE,2,FALSE),VLOOKUP("GLOBAL",V8_COHORT_TABLE,2,FALSE)))))</f>
        <v/>
      </c>
      <c r="X157" s="15">
        <f>IFERROR(VLOOKUP(T157,V8_COHORT_TABLE,3,FALSE),IFERROR(VLOOKUP(P157&amp;"|"&amp;Q157&amp;"|ALL|"&amp;S157,V8_COHORT_TABLE,3,FALSE),IFERROR(VLOOKUP(P157&amp;"|ALL|ALL|"&amp;S157,V8_COHORT_TABLE,3,FALSE),IFERROR(VLOOKUP(P157&amp;"|ALL|ALL|ALL",V8_COHORT_TABLE,3,FALSE),VLOOKUP("GLOBAL",V8_COHORT_TABLE,3,FALSE)))))</f>
        <v/>
      </c>
      <c r="Y157" s="15">
        <f>IFERROR(VLOOKUP(T157,V8_COHORT_TABLE,4,FALSE),IFERROR(VLOOKUP(P157&amp;"|"&amp;Q157&amp;"|ALL|"&amp;S157,V8_COHORT_TABLE,4,FALSE),IFERROR(VLOOKUP(P157&amp;"|ALL|ALL|"&amp;S157,V8_COHORT_TABLE,4,FALSE),IFERROR(VLOOKUP(P157&amp;"|ALL|ALL|ALL",V8_COHORT_TABLE,4,FALSE),VLOOKUP("GLOBAL",V8_COHORT_TABLE,4,FALSE)))))</f>
        <v/>
      </c>
      <c r="Z157" s="15">
        <f>IFERROR(VLOOKUP(T157,V8_COHORT_TABLE,5,FALSE),IFERROR(VLOOKUP(P157&amp;"|"&amp;Q157&amp;"|ALL|"&amp;S157,V8_COHORT_TABLE,5,FALSE),IFERROR(VLOOKUP(P157&amp;"|ALL|ALL|"&amp;S157,V8_COHORT_TABLE,5,FALSE),IFERROR(VLOOKUP(P157&amp;"|ALL|ALL|ALL",V8_COHORT_TABLE,5,FALSE),VLOOKUP("GLOBAL",V8_COHORT_TABLE,5,FALSE)))))</f>
        <v/>
      </c>
      <c r="AA157" s="15">
        <f>W157+X157/(1+EXP(-(V157-Y157)/Z157))</f>
        <v/>
      </c>
      <c r="AB157" s="15">
        <f>IFERROR(VLOOKUP(T157,V8_COHORT_TABLE,6,FALSE),IFERROR(VLOOKUP(P157&amp;"|"&amp;Q157&amp;"|ALL|"&amp;S157,V8_COHORT_TABLE,6,FALSE),IFERROR(VLOOKUP(P157&amp;"|ALL|ALL|"&amp;S157,V8_COHORT_TABLE,6,FALSE),IFERROR(VLOOKUP(P157&amp;"|ALL|ALL|ALL",V8_COHORT_TABLE,6,FALSE),VLOOKUP("GLOBAL",V8_COHORT_TABLE,6,FALSE)))))</f>
        <v/>
      </c>
      <c r="AC157" s="15">
        <f>IFERROR(VLOOKUP(T157,V8_COHORT_TABLE,7,FALSE),IFERROR(VLOOKUP(P157&amp;"|"&amp;Q157&amp;"|ALL|"&amp;S157,V8_COHORT_TABLE,7,FALSE),IFERROR(VLOOKUP(P157&amp;"|ALL|ALL|"&amp;S157,V8_COHORT_TABLE,7,FALSE),IFERROR(VLOOKUP(P157&amp;"|ALL|ALL|ALL",V8_COHORT_TABLE,7,FALSE),VLOOKUP("GLOBAL",V8_COHORT_TABLE,7,FALSE)))))</f>
        <v/>
      </c>
      <c r="AD157" s="15">
        <f>IFERROR(VLOOKUP(T157,V8_COHORT_TABLE,8,FALSE),IFERROR(VLOOKUP(P157&amp;"|"&amp;Q157&amp;"|ALL|"&amp;S157,V8_COHORT_TABLE,8,FALSE),IFERROR(VLOOKUP(P157&amp;"|ALL|ALL|"&amp;S157,V8_COHORT_TABLE,8,FALSE),IFERROR(VLOOKUP(P157&amp;"|ALL|ALL|ALL",V8_COHORT_TABLE,8,FALSE),VLOOKUP("GLOBAL",V8_COHORT_TABLE,8,FALSE)))))</f>
        <v/>
      </c>
      <c r="AE157" s="15">
        <f>IFERROR(VLOOKUP(T157,V8_COHORT_TABLE,9,FALSE),IFERROR(VLOOKUP(P157&amp;"|"&amp;Q157&amp;"|ALL|"&amp;S157,V8_COHORT_TABLE,9,FALSE),IFERROR(VLOOKUP(P157&amp;"|ALL|ALL|"&amp;S157,V8_COHORT_TABLE,9,FALSE),IFERROR(VLOOKUP(P157&amp;"|ALL|ALL|ALL",V8_COHORT_TABLE,9,FALSE),VLOOKUP("GLOBAL",V8_COHORT_TABLE,9,FALSE)))))</f>
        <v/>
      </c>
      <c r="AF157" s="8">
        <f>IF(K157&lt;=0,AB157,IF(K157&gt;=240,AE157,IF(K157&lt;=24,AB157+(K157-0)/24*(AC157-AB157),IF(K157&lt;=96,AC157+(K157-24)/72*(AD157-AC157),AD157+(K157-96)/144*(AE157-AD157)))))</f>
        <v/>
      </c>
      <c r="AG157" s="8">
        <f>IF(IF(OR(L157="",NOT(ISNUMBER(L157))),360,MAX(0,MIN(480,(INT(L157/100)-INT(VALUE(F157)/100))*12+MOD(L157,100)-MOD(VALUE(F157),100))))&gt;0,1+V8_MTY_AMP*MAX(0,(V8_MTY_CUTOFF-(IF(OR(L157="",NOT(ISNUMBER(L157))),360,MAX(0,MIN(480,(INT(L157/100)-INT(VALUE(F157)/100))*12+MOD(L157,100)-MOD(VALUE(F157),100))))))/V8_MTY_CUTOFF),1)</f>
        <v/>
      </c>
      <c r="AH157" s="8">
        <f>IF(AND(IF(OR(M157="",NOT(ISNUMBER(M157))),0,MAX(0,MIN(24,(INT(VALUE(F157)/100)-INT(M157/100))*12+MOD(VALUE(F157),100)-MOD(M157,100))))&gt;0,IF(OR(M157="",NOT(ISNUMBER(M157))),0,MAX(0,MIN(24,(INT(VALUE(F157)/100)-INT(M157/100))*12+MOD(VALUE(F157),100)-MOD(M157,100))))&lt;=12),1+V8_LOCKOUT_AMP*EXP(-(IF(OR(M157="",NOT(ISNUMBER(M157))),0,MAX(0,MIN(24,(INT(VALUE(F157)/100)-INT(M157/100))*12+MOD(VALUE(F157),100)-MOD(M157,100)))))/V8_LOCKOUT_TAU),1)</f>
        <v/>
      </c>
      <c r="AI157" s="8">
        <f>MAX(V8_BURN_FLOOR,1-V8_BURN_SLOPE*MIN(1,MAX(0,O157)))</f>
        <v/>
      </c>
      <c r="AJ157" s="15">
        <f>MIN(AA157*AF157*AG157*AH157*AI157,0.2)</f>
        <v/>
      </c>
      <c r="AK157" s="16">
        <f>1-(1-AJ157)^12</f>
        <v/>
      </c>
    </row>
    <row r="158">
      <c r="A158" s="2" t="inlineStr">
        <is>
          <t>000009211228</t>
        </is>
      </c>
      <c r="B158" t="inlineStr">
        <is>
          <t>223f</t>
        </is>
      </c>
      <c r="C158" t="inlineStr">
        <is>
          <t>RP</t>
        </is>
      </c>
      <c r="D158" t="inlineStr">
        <is>
          <t>WELLS FARGO BANK, N.A.</t>
        </is>
      </c>
      <c r="E158" t="n">
        <v>2006</v>
      </c>
      <c r="F158" t="inlineStr">
        <is>
          <t>202602</t>
        </is>
      </c>
      <c r="G158" s="9" t="n">
        <v>1059530.98</v>
      </c>
      <c r="H158" s="13" t="n">
        <v>5.96</v>
      </c>
      <c r="I158" s="14" t="n">
        <v>447</v>
      </c>
      <c r="J158" s="14" t="n">
        <v>0</v>
      </c>
      <c r="K158" t="n">
        <v>230</v>
      </c>
      <c r="L158" t="n">
        <v>204201</v>
      </c>
      <c r="M158" t="n">
        <v>200802</v>
      </c>
      <c r="N158" t="n">
        <v>86</v>
      </c>
      <c r="O158" s="8" t="n">
        <v>0.3739130434782609</v>
      </c>
      <c r="P158">
        <f>IF(ISNUMBER(SEARCH("232",B158)),"232",IF(ISNUMBER(SEARCH("538",B158)),"538",IF(ISNUMBER(SEARCH("223a7",B158)),"223a7",IF(ISNUMBER(SEARCH("223f",B158)),"223f","OTHER"))))</f>
        <v/>
      </c>
      <c r="Q158">
        <f>IF(UPPER(C158)="NC","NC","RP")</f>
        <v/>
      </c>
      <c r="R158">
        <f>IF(G158&lt;5000000,"small",IF(G158&lt;25000000,"medium","large"))</f>
        <v/>
      </c>
      <c r="S158">
        <f>IF(K158&lt;36,"young",IF(K158&lt;120,"seasoned","aged"))</f>
        <v/>
      </c>
      <c r="T158">
        <f>P158&amp;"|"&amp;Q158&amp;"|"&amp;R158&amp;"|"&amp;S158</f>
        <v/>
      </c>
      <c r="U158" s="14">
        <f>H158*100-I158</f>
        <v/>
      </c>
      <c r="V158" s="14">
        <f>U158-12.5*(J158+1)</f>
        <v/>
      </c>
      <c r="W158" s="15">
        <f>IFERROR(VLOOKUP(T158,V8_COHORT_TABLE,2,FALSE),IFERROR(VLOOKUP(P158&amp;"|"&amp;Q158&amp;"|ALL|"&amp;S158,V8_COHORT_TABLE,2,FALSE),IFERROR(VLOOKUP(P158&amp;"|ALL|ALL|"&amp;S158,V8_COHORT_TABLE,2,FALSE),IFERROR(VLOOKUP(P158&amp;"|ALL|ALL|ALL",V8_COHORT_TABLE,2,FALSE),VLOOKUP("GLOBAL",V8_COHORT_TABLE,2,FALSE)))))</f>
        <v/>
      </c>
      <c r="X158" s="15">
        <f>IFERROR(VLOOKUP(T158,V8_COHORT_TABLE,3,FALSE),IFERROR(VLOOKUP(P158&amp;"|"&amp;Q158&amp;"|ALL|"&amp;S158,V8_COHORT_TABLE,3,FALSE),IFERROR(VLOOKUP(P158&amp;"|ALL|ALL|"&amp;S158,V8_COHORT_TABLE,3,FALSE),IFERROR(VLOOKUP(P158&amp;"|ALL|ALL|ALL",V8_COHORT_TABLE,3,FALSE),VLOOKUP("GLOBAL",V8_COHORT_TABLE,3,FALSE)))))</f>
        <v/>
      </c>
      <c r="Y158" s="15">
        <f>IFERROR(VLOOKUP(T158,V8_COHORT_TABLE,4,FALSE),IFERROR(VLOOKUP(P158&amp;"|"&amp;Q158&amp;"|ALL|"&amp;S158,V8_COHORT_TABLE,4,FALSE),IFERROR(VLOOKUP(P158&amp;"|ALL|ALL|"&amp;S158,V8_COHORT_TABLE,4,FALSE),IFERROR(VLOOKUP(P158&amp;"|ALL|ALL|ALL",V8_COHORT_TABLE,4,FALSE),VLOOKUP("GLOBAL",V8_COHORT_TABLE,4,FALSE)))))</f>
        <v/>
      </c>
      <c r="Z158" s="15">
        <f>IFERROR(VLOOKUP(T158,V8_COHORT_TABLE,5,FALSE),IFERROR(VLOOKUP(P158&amp;"|"&amp;Q158&amp;"|ALL|"&amp;S158,V8_COHORT_TABLE,5,FALSE),IFERROR(VLOOKUP(P158&amp;"|ALL|ALL|"&amp;S158,V8_COHORT_TABLE,5,FALSE),IFERROR(VLOOKUP(P158&amp;"|ALL|ALL|ALL",V8_COHORT_TABLE,5,FALSE),VLOOKUP("GLOBAL",V8_COHORT_TABLE,5,FALSE)))))</f>
        <v/>
      </c>
      <c r="AA158" s="15">
        <f>W158+X158/(1+EXP(-(V158-Y158)/Z158))</f>
        <v/>
      </c>
      <c r="AB158" s="15">
        <f>IFERROR(VLOOKUP(T158,V8_COHORT_TABLE,6,FALSE),IFERROR(VLOOKUP(P158&amp;"|"&amp;Q158&amp;"|ALL|"&amp;S158,V8_COHORT_TABLE,6,FALSE),IFERROR(VLOOKUP(P158&amp;"|ALL|ALL|"&amp;S158,V8_COHORT_TABLE,6,FALSE),IFERROR(VLOOKUP(P158&amp;"|ALL|ALL|ALL",V8_COHORT_TABLE,6,FALSE),VLOOKUP("GLOBAL",V8_COHORT_TABLE,6,FALSE)))))</f>
        <v/>
      </c>
      <c r="AC158" s="15">
        <f>IFERROR(VLOOKUP(T158,V8_COHORT_TABLE,7,FALSE),IFERROR(VLOOKUP(P158&amp;"|"&amp;Q158&amp;"|ALL|"&amp;S158,V8_COHORT_TABLE,7,FALSE),IFERROR(VLOOKUP(P158&amp;"|ALL|ALL|"&amp;S158,V8_COHORT_TABLE,7,FALSE),IFERROR(VLOOKUP(P158&amp;"|ALL|ALL|ALL",V8_COHORT_TABLE,7,FALSE),VLOOKUP("GLOBAL",V8_COHORT_TABLE,7,FALSE)))))</f>
        <v/>
      </c>
      <c r="AD158" s="15">
        <f>IFERROR(VLOOKUP(T158,V8_COHORT_TABLE,8,FALSE),IFERROR(VLOOKUP(P158&amp;"|"&amp;Q158&amp;"|ALL|"&amp;S158,V8_COHORT_TABLE,8,FALSE),IFERROR(VLOOKUP(P158&amp;"|ALL|ALL|"&amp;S158,V8_COHORT_TABLE,8,FALSE),IFERROR(VLOOKUP(P158&amp;"|ALL|ALL|ALL",V8_COHORT_TABLE,8,FALSE),VLOOKUP("GLOBAL",V8_COHORT_TABLE,8,FALSE)))))</f>
        <v/>
      </c>
      <c r="AE158" s="15">
        <f>IFERROR(VLOOKUP(T158,V8_COHORT_TABLE,9,FALSE),IFERROR(VLOOKUP(P158&amp;"|"&amp;Q158&amp;"|ALL|"&amp;S158,V8_COHORT_TABLE,9,FALSE),IFERROR(VLOOKUP(P158&amp;"|ALL|ALL|"&amp;S158,V8_COHORT_TABLE,9,FALSE),IFERROR(VLOOKUP(P158&amp;"|ALL|ALL|ALL",V8_COHORT_TABLE,9,FALSE),VLOOKUP("GLOBAL",V8_COHORT_TABLE,9,FALSE)))))</f>
        <v/>
      </c>
      <c r="AF158" s="8">
        <f>IF(K158&lt;=0,AB158,IF(K158&gt;=240,AE158,IF(K158&lt;=24,AB158+(K158-0)/24*(AC158-AB158),IF(K158&lt;=96,AC158+(K158-24)/72*(AD158-AC158),AD158+(K158-96)/144*(AE158-AD158)))))</f>
        <v/>
      </c>
      <c r="AG158" s="8">
        <f>IF(IF(OR(L158="",NOT(ISNUMBER(L158))),360,MAX(0,MIN(480,(INT(L158/100)-INT(VALUE(F158)/100))*12+MOD(L158,100)-MOD(VALUE(F158),100))))&gt;0,1+V8_MTY_AMP*MAX(0,(V8_MTY_CUTOFF-(IF(OR(L158="",NOT(ISNUMBER(L158))),360,MAX(0,MIN(480,(INT(L158/100)-INT(VALUE(F158)/100))*12+MOD(L158,100)-MOD(VALUE(F158),100))))))/V8_MTY_CUTOFF),1)</f>
        <v/>
      </c>
      <c r="AH158" s="8">
        <f>IF(AND(IF(OR(M158="",NOT(ISNUMBER(M158))),0,MAX(0,MIN(24,(INT(VALUE(F158)/100)-INT(M158/100))*12+MOD(VALUE(F158),100)-MOD(M158,100))))&gt;0,IF(OR(M158="",NOT(ISNUMBER(M158))),0,MAX(0,MIN(24,(INT(VALUE(F158)/100)-INT(M158/100))*12+MOD(VALUE(F158),100)-MOD(M158,100))))&lt;=12),1+V8_LOCKOUT_AMP*EXP(-(IF(OR(M158="",NOT(ISNUMBER(M158))),0,MAX(0,MIN(24,(INT(VALUE(F158)/100)-INT(M158/100))*12+MOD(VALUE(F158),100)-MOD(M158,100)))))/V8_LOCKOUT_TAU),1)</f>
        <v/>
      </c>
      <c r="AI158" s="8">
        <f>MAX(V8_BURN_FLOOR,1-V8_BURN_SLOPE*MIN(1,MAX(0,O158)))</f>
        <v/>
      </c>
      <c r="AJ158" s="15">
        <f>MIN(AA158*AF158*AG158*AH158*AI158,0.2)</f>
        <v/>
      </c>
      <c r="AK158" s="16">
        <f>1-(1-AJ158)^12</f>
        <v/>
      </c>
    </row>
    <row r="159">
      <c r="A159" s="2" t="inlineStr">
        <is>
          <t>000011394011</t>
        </is>
      </c>
      <c r="B159" t="inlineStr">
        <is>
          <t>223a7</t>
        </is>
      </c>
      <c r="C159" t="inlineStr">
        <is>
          <t>RP</t>
        </is>
      </c>
      <c r="D159" t="inlineStr">
        <is>
          <t>WELLS FARGO BANK, N.A.</t>
        </is>
      </c>
      <c r="E159" t="n">
        <v>2002</v>
      </c>
      <c r="F159" t="inlineStr">
        <is>
          <t>202602</t>
        </is>
      </c>
      <c r="G159" s="9" t="n">
        <v>1859197.29</v>
      </c>
      <c r="H159" s="13" t="n">
        <v>5.96</v>
      </c>
      <c r="I159" s="14" t="n">
        <v>447</v>
      </c>
      <c r="J159" s="14" t="n">
        <v>0</v>
      </c>
      <c r="K159" t="n">
        <v>279</v>
      </c>
      <c r="L159" t="n">
        <v>203212</v>
      </c>
      <c r="M159" t="n">
        <v>200712</v>
      </c>
      <c r="N159" t="n">
        <v>86</v>
      </c>
      <c r="O159" s="8" t="n">
        <v>0.3082437275985663</v>
      </c>
      <c r="P159">
        <f>IF(ISNUMBER(SEARCH("232",B159)),"232",IF(ISNUMBER(SEARCH("538",B159)),"538",IF(ISNUMBER(SEARCH("223a7",B159)),"223a7",IF(ISNUMBER(SEARCH("223f",B159)),"223f","OTHER"))))</f>
        <v/>
      </c>
      <c r="Q159">
        <f>IF(UPPER(C159)="NC","NC","RP")</f>
        <v/>
      </c>
      <c r="R159">
        <f>IF(G159&lt;5000000,"small",IF(G159&lt;25000000,"medium","large"))</f>
        <v/>
      </c>
      <c r="S159">
        <f>IF(K159&lt;36,"young",IF(K159&lt;120,"seasoned","aged"))</f>
        <v/>
      </c>
      <c r="T159">
        <f>P159&amp;"|"&amp;Q159&amp;"|"&amp;R159&amp;"|"&amp;S159</f>
        <v/>
      </c>
      <c r="U159" s="14">
        <f>H159*100-I159</f>
        <v/>
      </c>
      <c r="V159" s="14">
        <f>U159-12.5*(J159+1)</f>
        <v/>
      </c>
      <c r="W159" s="15">
        <f>IFERROR(VLOOKUP(T159,V8_COHORT_TABLE,2,FALSE),IFERROR(VLOOKUP(P159&amp;"|"&amp;Q159&amp;"|ALL|"&amp;S159,V8_COHORT_TABLE,2,FALSE),IFERROR(VLOOKUP(P159&amp;"|ALL|ALL|"&amp;S159,V8_COHORT_TABLE,2,FALSE),IFERROR(VLOOKUP(P159&amp;"|ALL|ALL|ALL",V8_COHORT_TABLE,2,FALSE),VLOOKUP("GLOBAL",V8_COHORT_TABLE,2,FALSE)))))</f>
        <v/>
      </c>
      <c r="X159" s="15">
        <f>IFERROR(VLOOKUP(T159,V8_COHORT_TABLE,3,FALSE),IFERROR(VLOOKUP(P159&amp;"|"&amp;Q159&amp;"|ALL|"&amp;S159,V8_COHORT_TABLE,3,FALSE),IFERROR(VLOOKUP(P159&amp;"|ALL|ALL|"&amp;S159,V8_COHORT_TABLE,3,FALSE),IFERROR(VLOOKUP(P159&amp;"|ALL|ALL|ALL",V8_COHORT_TABLE,3,FALSE),VLOOKUP("GLOBAL",V8_COHORT_TABLE,3,FALSE)))))</f>
        <v/>
      </c>
      <c r="Y159" s="15">
        <f>IFERROR(VLOOKUP(T159,V8_COHORT_TABLE,4,FALSE),IFERROR(VLOOKUP(P159&amp;"|"&amp;Q159&amp;"|ALL|"&amp;S159,V8_COHORT_TABLE,4,FALSE),IFERROR(VLOOKUP(P159&amp;"|ALL|ALL|"&amp;S159,V8_COHORT_TABLE,4,FALSE),IFERROR(VLOOKUP(P159&amp;"|ALL|ALL|ALL",V8_COHORT_TABLE,4,FALSE),VLOOKUP("GLOBAL",V8_COHORT_TABLE,4,FALSE)))))</f>
        <v/>
      </c>
      <c r="Z159" s="15">
        <f>IFERROR(VLOOKUP(T159,V8_COHORT_TABLE,5,FALSE),IFERROR(VLOOKUP(P159&amp;"|"&amp;Q159&amp;"|ALL|"&amp;S159,V8_COHORT_TABLE,5,FALSE),IFERROR(VLOOKUP(P159&amp;"|ALL|ALL|"&amp;S159,V8_COHORT_TABLE,5,FALSE),IFERROR(VLOOKUP(P159&amp;"|ALL|ALL|ALL",V8_COHORT_TABLE,5,FALSE),VLOOKUP("GLOBAL",V8_COHORT_TABLE,5,FALSE)))))</f>
        <v/>
      </c>
      <c r="AA159" s="15">
        <f>W159+X159/(1+EXP(-(V159-Y159)/Z159))</f>
        <v/>
      </c>
      <c r="AB159" s="15">
        <f>IFERROR(VLOOKUP(T159,V8_COHORT_TABLE,6,FALSE),IFERROR(VLOOKUP(P159&amp;"|"&amp;Q159&amp;"|ALL|"&amp;S159,V8_COHORT_TABLE,6,FALSE),IFERROR(VLOOKUP(P159&amp;"|ALL|ALL|"&amp;S159,V8_COHORT_TABLE,6,FALSE),IFERROR(VLOOKUP(P159&amp;"|ALL|ALL|ALL",V8_COHORT_TABLE,6,FALSE),VLOOKUP("GLOBAL",V8_COHORT_TABLE,6,FALSE)))))</f>
        <v/>
      </c>
      <c r="AC159" s="15">
        <f>IFERROR(VLOOKUP(T159,V8_COHORT_TABLE,7,FALSE),IFERROR(VLOOKUP(P159&amp;"|"&amp;Q159&amp;"|ALL|"&amp;S159,V8_COHORT_TABLE,7,FALSE),IFERROR(VLOOKUP(P159&amp;"|ALL|ALL|"&amp;S159,V8_COHORT_TABLE,7,FALSE),IFERROR(VLOOKUP(P159&amp;"|ALL|ALL|ALL",V8_COHORT_TABLE,7,FALSE),VLOOKUP("GLOBAL",V8_COHORT_TABLE,7,FALSE)))))</f>
        <v/>
      </c>
      <c r="AD159" s="15">
        <f>IFERROR(VLOOKUP(T159,V8_COHORT_TABLE,8,FALSE),IFERROR(VLOOKUP(P159&amp;"|"&amp;Q159&amp;"|ALL|"&amp;S159,V8_COHORT_TABLE,8,FALSE),IFERROR(VLOOKUP(P159&amp;"|ALL|ALL|"&amp;S159,V8_COHORT_TABLE,8,FALSE),IFERROR(VLOOKUP(P159&amp;"|ALL|ALL|ALL",V8_COHORT_TABLE,8,FALSE),VLOOKUP("GLOBAL",V8_COHORT_TABLE,8,FALSE)))))</f>
        <v/>
      </c>
      <c r="AE159" s="15">
        <f>IFERROR(VLOOKUP(T159,V8_COHORT_TABLE,9,FALSE),IFERROR(VLOOKUP(P159&amp;"|"&amp;Q159&amp;"|ALL|"&amp;S159,V8_COHORT_TABLE,9,FALSE),IFERROR(VLOOKUP(P159&amp;"|ALL|ALL|"&amp;S159,V8_COHORT_TABLE,9,FALSE),IFERROR(VLOOKUP(P159&amp;"|ALL|ALL|ALL",V8_COHORT_TABLE,9,FALSE),VLOOKUP("GLOBAL",V8_COHORT_TABLE,9,FALSE)))))</f>
        <v/>
      </c>
      <c r="AF159" s="8">
        <f>IF(K159&lt;=0,AB159,IF(K159&gt;=240,AE159,IF(K159&lt;=24,AB159+(K159-0)/24*(AC159-AB159),IF(K159&lt;=96,AC159+(K159-24)/72*(AD159-AC159),AD159+(K159-96)/144*(AE159-AD159)))))</f>
        <v/>
      </c>
      <c r="AG159" s="8">
        <f>IF(IF(OR(L159="",NOT(ISNUMBER(L159))),360,MAX(0,MIN(480,(INT(L159/100)-INT(VALUE(F159)/100))*12+MOD(L159,100)-MOD(VALUE(F159),100))))&gt;0,1+V8_MTY_AMP*MAX(0,(V8_MTY_CUTOFF-(IF(OR(L159="",NOT(ISNUMBER(L159))),360,MAX(0,MIN(480,(INT(L159/100)-INT(VALUE(F159)/100))*12+MOD(L159,100)-MOD(VALUE(F159),100))))))/V8_MTY_CUTOFF),1)</f>
        <v/>
      </c>
      <c r="AH159" s="8">
        <f>IF(AND(IF(OR(M159="",NOT(ISNUMBER(M159))),0,MAX(0,MIN(24,(INT(VALUE(F159)/100)-INT(M159/100))*12+MOD(VALUE(F159),100)-MOD(M159,100))))&gt;0,IF(OR(M159="",NOT(ISNUMBER(M159))),0,MAX(0,MIN(24,(INT(VALUE(F159)/100)-INT(M159/100))*12+MOD(VALUE(F159),100)-MOD(M159,100))))&lt;=12),1+V8_LOCKOUT_AMP*EXP(-(IF(OR(M159="",NOT(ISNUMBER(M159))),0,MAX(0,MIN(24,(INT(VALUE(F159)/100)-INT(M159/100))*12+MOD(VALUE(F159),100)-MOD(M159,100)))))/V8_LOCKOUT_TAU),1)</f>
        <v/>
      </c>
      <c r="AI159" s="8">
        <f>MAX(V8_BURN_FLOOR,1-V8_BURN_SLOPE*MIN(1,MAX(0,O159)))</f>
        <v/>
      </c>
      <c r="AJ159" s="15">
        <f>MIN(AA159*AF159*AG159*AH159*AI159,0.2)</f>
        <v/>
      </c>
      <c r="AK159" s="16">
        <f>1-(1-AJ159)^12</f>
        <v/>
      </c>
    </row>
    <row r="160">
      <c r="A160" s="2" t="inlineStr">
        <is>
          <t>000005235792</t>
        </is>
      </c>
      <c r="B160" t="inlineStr">
        <is>
          <t>221d4</t>
        </is>
      </c>
      <c r="C160" t="inlineStr">
        <is>
          <t>NC</t>
        </is>
      </c>
      <c r="D160" t="inlineStr">
        <is>
          <t>WELLS FARGO BANK, N.A.</t>
        </is>
      </c>
      <c r="E160" t="n">
        <v>2018</v>
      </c>
      <c r="F160" t="inlineStr">
        <is>
          <t>202602</t>
        </is>
      </c>
      <c r="G160" s="9" t="n">
        <v>6299265.16</v>
      </c>
      <c r="H160" s="13" t="n">
        <v>3.89</v>
      </c>
      <c r="I160" s="14" t="n">
        <v>447</v>
      </c>
      <c r="J160" s="14" t="n">
        <v>4</v>
      </c>
      <c r="K160" t="n">
        <v>95</v>
      </c>
      <c r="L160" t="n">
        <v>205908</v>
      </c>
      <c r="M160" t="inlineStr"/>
      <c r="N160" t="n">
        <v>24</v>
      </c>
      <c r="O160" s="8" t="n">
        <v>0.2526315789473684</v>
      </c>
      <c r="P160">
        <f>IF(ISNUMBER(SEARCH("232",B160)),"232",IF(ISNUMBER(SEARCH("538",B160)),"538",IF(ISNUMBER(SEARCH("223a7",B160)),"223a7",IF(ISNUMBER(SEARCH("223f",B160)),"223f","OTHER"))))</f>
        <v/>
      </c>
      <c r="Q160">
        <f>IF(UPPER(C160)="NC","NC","RP")</f>
        <v/>
      </c>
      <c r="R160">
        <f>IF(G160&lt;5000000,"small",IF(G160&lt;25000000,"medium","large"))</f>
        <v/>
      </c>
      <c r="S160">
        <f>IF(K160&lt;36,"young",IF(K160&lt;120,"seasoned","aged"))</f>
        <v/>
      </c>
      <c r="T160">
        <f>P160&amp;"|"&amp;Q160&amp;"|"&amp;R160&amp;"|"&amp;S160</f>
        <v/>
      </c>
      <c r="U160" s="14">
        <f>H160*100-I160</f>
        <v/>
      </c>
      <c r="V160" s="14">
        <f>U160-12.5*(J160+1)</f>
        <v/>
      </c>
      <c r="W160" s="15">
        <f>IFERROR(VLOOKUP(T160,V8_COHORT_TABLE,2,FALSE),IFERROR(VLOOKUP(P160&amp;"|"&amp;Q160&amp;"|ALL|"&amp;S160,V8_COHORT_TABLE,2,FALSE),IFERROR(VLOOKUP(P160&amp;"|ALL|ALL|"&amp;S160,V8_COHORT_TABLE,2,FALSE),IFERROR(VLOOKUP(P160&amp;"|ALL|ALL|ALL",V8_COHORT_TABLE,2,FALSE),VLOOKUP("GLOBAL",V8_COHORT_TABLE,2,FALSE)))))</f>
        <v/>
      </c>
      <c r="X160" s="15">
        <f>IFERROR(VLOOKUP(T160,V8_COHORT_TABLE,3,FALSE),IFERROR(VLOOKUP(P160&amp;"|"&amp;Q160&amp;"|ALL|"&amp;S160,V8_COHORT_TABLE,3,FALSE),IFERROR(VLOOKUP(P160&amp;"|ALL|ALL|"&amp;S160,V8_COHORT_TABLE,3,FALSE),IFERROR(VLOOKUP(P160&amp;"|ALL|ALL|ALL",V8_COHORT_TABLE,3,FALSE),VLOOKUP("GLOBAL",V8_COHORT_TABLE,3,FALSE)))))</f>
        <v/>
      </c>
      <c r="Y160" s="15">
        <f>IFERROR(VLOOKUP(T160,V8_COHORT_TABLE,4,FALSE),IFERROR(VLOOKUP(P160&amp;"|"&amp;Q160&amp;"|ALL|"&amp;S160,V8_COHORT_TABLE,4,FALSE),IFERROR(VLOOKUP(P160&amp;"|ALL|ALL|"&amp;S160,V8_COHORT_TABLE,4,FALSE),IFERROR(VLOOKUP(P160&amp;"|ALL|ALL|ALL",V8_COHORT_TABLE,4,FALSE),VLOOKUP("GLOBAL",V8_COHORT_TABLE,4,FALSE)))))</f>
        <v/>
      </c>
      <c r="Z160" s="15">
        <f>IFERROR(VLOOKUP(T160,V8_COHORT_TABLE,5,FALSE),IFERROR(VLOOKUP(P160&amp;"|"&amp;Q160&amp;"|ALL|"&amp;S160,V8_COHORT_TABLE,5,FALSE),IFERROR(VLOOKUP(P160&amp;"|ALL|ALL|"&amp;S160,V8_COHORT_TABLE,5,FALSE),IFERROR(VLOOKUP(P160&amp;"|ALL|ALL|ALL",V8_COHORT_TABLE,5,FALSE),VLOOKUP("GLOBAL",V8_COHORT_TABLE,5,FALSE)))))</f>
        <v/>
      </c>
      <c r="AA160" s="15">
        <f>W160+X160/(1+EXP(-(V160-Y160)/Z160))</f>
        <v/>
      </c>
      <c r="AB160" s="15">
        <f>IFERROR(VLOOKUP(T160,V8_COHORT_TABLE,6,FALSE),IFERROR(VLOOKUP(P160&amp;"|"&amp;Q160&amp;"|ALL|"&amp;S160,V8_COHORT_TABLE,6,FALSE),IFERROR(VLOOKUP(P160&amp;"|ALL|ALL|"&amp;S160,V8_COHORT_TABLE,6,FALSE),IFERROR(VLOOKUP(P160&amp;"|ALL|ALL|ALL",V8_COHORT_TABLE,6,FALSE),VLOOKUP("GLOBAL",V8_COHORT_TABLE,6,FALSE)))))</f>
        <v/>
      </c>
      <c r="AC160" s="15">
        <f>IFERROR(VLOOKUP(T160,V8_COHORT_TABLE,7,FALSE),IFERROR(VLOOKUP(P160&amp;"|"&amp;Q160&amp;"|ALL|"&amp;S160,V8_COHORT_TABLE,7,FALSE),IFERROR(VLOOKUP(P160&amp;"|ALL|ALL|"&amp;S160,V8_COHORT_TABLE,7,FALSE),IFERROR(VLOOKUP(P160&amp;"|ALL|ALL|ALL",V8_COHORT_TABLE,7,FALSE),VLOOKUP("GLOBAL",V8_COHORT_TABLE,7,FALSE)))))</f>
        <v/>
      </c>
      <c r="AD160" s="15">
        <f>IFERROR(VLOOKUP(T160,V8_COHORT_TABLE,8,FALSE),IFERROR(VLOOKUP(P160&amp;"|"&amp;Q160&amp;"|ALL|"&amp;S160,V8_COHORT_TABLE,8,FALSE),IFERROR(VLOOKUP(P160&amp;"|ALL|ALL|"&amp;S160,V8_COHORT_TABLE,8,FALSE),IFERROR(VLOOKUP(P160&amp;"|ALL|ALL|ALL",V8_COHORT_TABLE,8,FALSE),VLOOKUP("GLOBAL",V8_COHORT_TABLE,8,FALSE)))))</f>
        <v/>
      </c>
      <c r="AE160" s="15">
        <f>IFERROR(VLOOKUP(T160,V8_COHORT_TABLE,9,FALSE),IFERROR(VLOOKUP(P160&amp;"|"&amp;Q160&amp;"|ALL|"&amp;S160,V8_COHORT_TABLE,9,FALSE),IFERROR(VLOOKUP(P160&amp;"|ALL|ALL|"&amp;S160,V8_COHORT_TABLE,9,FALSE),IFERROR(VLOOKUP(P160&amp;"|ALL|ALL|ALL",V8_COHORT_TABLE,9,FALSE),VLOOKUP("GLOBAL",V8_COHORT_TABLE,9,FALSE)))))</f>
        <v/>
      </c>
      <c r="AF160" s="8">
        <f>IF(K160&lt;=0,AB160,IF(K160&gt;=240,AE160,IF(K160&lt;=24,AB160+(K160-0)/24*(AC160-AB160),IF(K160&lt;=96,AC160+(K160-24)/72*(AD160-AC160),AD160+(K160-96)/144*(AE160-AD160)))))</f>
        <v/>
      </c>
      <c r="AG160" s="8">
        <f>IF(IF(OR(L160="",NOT(ISNUMBER(L160))),360,MAX(0,MIN(480,(INT(L160/100)-INT(VALUE(F160)/100))*12+MOD(L160,100)-MOD(VALUE(F160),100))))&gt;0,1+V8_MTY_AMP*MAX(0,(V8_MTY_CUTOFF-(IF(OR(L160="",NOT(ISNUMBER(L160))),360,MAX(0,MIN(480,(INT(L160/100)-INT(VALUE(F160)/100))*12+MOD(L160,100)-MOD(VALUE(F160),100))))))/V8_MTY_CUTOFF),1)</f>
        <v/>
      </c>
      <c r="AH160" s="8">
        <f>IF(AND(IF(OR(M160="",NOT(ISNUMBER(M160))),0,MAX(0,MIN(24,(INT(VALUE(F160)/100)-INT(M160/100))*12+MOD(VALUE(F160),100)-MOD(M160,100))))&gt;0,IF(OR(M160="",NOT(ISNUMBER(M160))),0,MAX(0,MIN(24,(INT(VALUE(F160)/100)-INT(M160/100))*12+MOD(VALUE(F160),100)-MOD(M160,100))))&lt;=12),1+V8_LOCKOUT_AMP*EXP(-(IF(OR(M160="",NOT(ISNUMBER(M160))),0,MAX(0,MIN(24,(INT(VALUE(F160)/100)-INT(M160/100))*12+MOD(VALUE(F160),100)-MOD(M160,100)))))/V8_LOCKOUT_TAU),1)</f>
        <v/>
      </c>
      <c r="AI160" s="8">
        <f>MAX(V8_BURN_FLOOR,1-V8_BURN_SLOPE*MIN(1,MAX(0,O160)))</f>
        <v/>
      </c>
      <c r="AJ160" s="15">
        <f>MIN(AA160*AF160*AG160*AH160*AI160,0.2)</f>
        <v/>
      </c>
      <c r="AK160" s="16">
        <f>1-(1-AJ160)^12</f>
        <v/>
      </c>
    </row>
    <row r="161">
      <c r="A161" s="2" t="inlineStr">
        <is>
          <t>000001257419</t>
        </is>
      </c>
      <c r="B161" t="inlineStr">
        <is>
          <t>223a7</t>
        </is>
      </c>
      <c r="C161" t="inlineStr">
        <is>
          <t>RP</t>
        </is>
      </c>
      <c r="D161" t="inlineStr">
        <is>
          <t>WELLS FARGO BANK, N.A.</t>
        </is>
      </c>
      <c r="E161" t="n">
        <v>2006</v>
      </c>
      <c r="F161" t="inlineStr">
        <is>
          <t>202602</t>
        </is>
      </c>
      <c r="G161" s="9" t="n">
        <v>237341.87</v>
      </c>
      <c r="H161" s="13" t="n">
        <v>6.75</v>
      </c>
      <c r="I161" s="14" t="n">
        <v>447</v>
      </c>
      <c r="J161" s="14" t="n">
        <v>0</v>
      </c>
      <c r="K161" t="n">
        <v>238</v>
      </c>
      <c r="L161" t="n">
        <v>203605</v>
      </c>
      <c r="M161" t="n">
        <v>200806</v>
      </c>
      <c r="N161" t="n">
        <v>87</v>
      </c>
      <c r="O161" s="8" t="n">
        <v>0.3655462184873949</v>
      </c>
      <c r="P161">
        <f>IF(ISNUMBER(SEARCH("232",B161)),"232",IF(ISNUMBER(SEARCH("538",B161)),"538",IF(ISNUMBER(SEARCH("223a7",B161)),"223a7",IF(ISNUMBER(SEARCH("223f",B161)),"223f","OTHER"))))</f>
        <v/>
      </c>
      <c r="Q161">
        <f>IF(UPPER(C161)="NC","NC","RP")</f>
        <v/>
      </c>
      <c r="R161">
        <f>IF(G161&lt;5000000,"small",IF(G161&lt;25000000,"medium","large"))</f>
        <v/>
      </c>
      <c r="S161">
        <f>IF(K161&lt;36,"young",IF(K161&lt;120,"seasoned","aged"))</f>
        <v/>
      </c>
      <c r="T161">
        <f>P161&amp;"|"&amp;Q161&amp;"|"&amp;R161&amp;"|"&amp;S161</f>
        <v/>
      </c>
      <c r="U161" s="14">
        <f>H161*100-I161</f>
        <v/>
      </c>
      <c r="V161" s="14">
        <f>U161-12.5*(J161+1)</f>
        <v/>
      </c>
      <c r="W161" s="15">
        <f>IFERROR(VLOOKUP(T161,V8_COHORT_TABLE,2,FALSE),IFERROR(VLOOKUP(P161&amp;"|"&amp;Q161&amp;"|ALL|"&amp;S161,V8_COHORT_TABLE,2,FALSE),IFERROR(VLOOKUP(P161&amp;"|ALL|ALL|"&amp;S161,V8_COHORT_TABLE,2,FALSE),IFERROR(VLOOKUP(P161&amp;"|ALL|ALL|ALL",V8_COHORT_TABLE,2,FALSE),VLOOKUP("GLOBAL",V8_COHORT_TABLE,2,FALSE)))))</f>
        <v/>
      </c>
      <c r="X161" s="15">
        <f>IFERROR(VLOOKUP(T161,V8_COHORT_TABLE,3,FALSE),IFERROR(VLOOKUP(P161&amp;"|"&amp;Q161&amp;"|ALL|"&amp;S161,V8_COHORT_TABLE,3,FALSE),IFERROR(VLOOKUP(P161&amp;"|ALL|ALL|"&amp;S161,V8_COHORT_TABLE,3,FALSE),IFERROR(VLOOKUP(P161&amp;"|ALL|ALL|ALL",V8_COHORT_TABLE,3,FALSE),VLOOKUP("GLOBAL",V8_COHORT_TABLE,3,FALSE)))))</f>
        <v/>
      </c>
      <c r="Y161" s="15">
        <f>IFERROR(VLOOKUP(T161,V8_COHORT_TABLE,4,FALSE),IFERROR(VLOOKUP(P161&amp;"|"&amp;Q161&amp;"|ALL|"&amp;S161,V8_COHORT_TABLE,4,FALSE),IFERROR(VLOOKUP(P161&amp;"|ALL|ALL|"&amp;S161,V8_COHORT_TABLE,4,FALSE),IFERROR(VLOOKUP(P161&amp;"|ALL|ALL|ALL",V8_COHORT_TABLE,4,FALSE),VLOOKUP("GLOBAL",V8_COHORT_TABLE,4,FALSE)))))</f>
        <v/>
      </c>
      <c r="Z161" s="15">
        <f>IFERROR(VLOOKUP(T161,V8_COHORT_TABLE,5,FALSE),IFERROR(VLOOKUP(P161&amp;"|"&amp;Q161&amp;"|ALL|"&amp;S161,V8_COHORT_TABLE,5,FALSE),IFERROR(VLOOKUP(P161&amp;"|ALL|ALL|"&amp;S161,V8_COHORT_TABLE,5,FALSE),IFERROR(VLOOKUP(P161&amp;"|ALL|ALL|ALL",V8_COHORT_TABLE,5,FALSE),VLOOKUP("GLOBAL",V8_COHORT_TABLE,5,FALSE)))))</f>
        <v/>
      </c>
      <c r="AA161" s="15">
        <f>W161+X161/(1+EXP(-(V161-Y161)/Z161))</f>
        <v/>
      </c>
      <c r="AB161" s="15">
        <f>IFERROR(VLOOKUP(T161,V8_COHORT_TABLE,6,FALSE),IFERROR(VLOOKUP(P161&amp;"|"&amp;Q161&amp;"|ALL|"&amp;S161,V8_COHORT_TABLE,6,FALSE),IFERROR(VLOOKUP(P161&amp;"|ALL|ALL|"&amp;S161,V8_COHORT_TABLE,6,FALSE),IFERROR(VLOOKUP(P161&amp;"|ALL|ALL|ALL",V8_COHORT_TABLE,6,FALSE),VLOOKUP("GLOBAL",V8_COHORT_TABLE,6,FALSE)))))</f>
        <v/>
      </c>
      <c r="AC161" s="15">
        <f>IFERROR(VLOOKUP(T161,V8_COHORT_TABLE,7,FALSE),IFERROR(VLOOKUP(P161&amp;"|"&amp;Q161&amp;"|ALL|"&amp;S161,V8_COHORT_TABLE,7,FALSE),IFERROR(VLOOKUP(P161&amp;"|ALL|ALL|"&amp;S161,V8_COHORT_TABLE,7,FALSE),IFERROR(VLOOKUP(P161&amp;"|ALL|ALL|ALL",V8_COHORT_TABLE,7,FALSE),VLOOKUP("GLOBAL",V8_COHORT_TABLE,7,FALSE)))))</f>
        <v/>
      </c>
      <c r="AD161" s="15">
        <f>IFERROR(VLOOKUP(T161,V8_COHORT_TABLE,8,FALSE),IFERROR(VLOOKUP(P161&amp;"|"&amp;Q161&amp;"|ALL|"&amp;S161,V8_COHORT_TABLE,8,FALSE),IFERROR(VLOOKUP(P161&amp;"|ALL|ALL|"&amp;S161,V8_COHORT_TABLE,8,FALSE),IFERROR(VLOOKUP(P161&amp;"|ALL|ALL|ALL",V8_COHORT_TABLE,8,FALSE),VLOOKUP("GLOBAL",V8_COHORT_TABLE,8,FALSE)))))</f>
        <v/>
      </c>
      <c r="AE161" s="15">
        <f>IFERROR(VLOOKUP(T161,V8_COHORT_TABLE,9,FALSE),IFERROR(VLOOKUP(P161&amp;"|"&amp;Q161&amp;"|ALL|"&amp;S161,V8_COHORT_TABLE,9,FALSE),IFERROR(VLOOKUP(P161&amp;"|ALL|ALL|"&amp;S161,V8_COHORT_TABLE,9,FALSE),IFERROR(VLOOKUP(P161&amp;"|ALL|ALL|ALL",V8_COHORT_TABLE,9,FALSE),VLOOKUP("GLOBAL",V8_COHORT_TABLE,9,FALSE)))))</f>
        <v/>
      </c>
      <c r="AF161" s="8">
        <f>IF(K161&lt;=0,AB161,IF(K161&gt;=240,AE161,IF(K161&lt;=24,AB161+(K161-0)/24*(AC161-AB161),IF(K161&lt;=96,AC161+(K161-24)/72*(AD161-AC161),AD161+(K161-96)/144*(AE161-AD161)))))</f>
        <v/>
      </c>
      <c r="AG161" s="8">
        <f>IF(IF(OR(L161="",NOT(ISNUMBER(L161))),360,MAX(0,MIN(480,(INT(L161/100)-INT(VALUE(F161)/100))*12+MOD(L161,100)-MOD(VALUE(F161),100))))&gt;0,1+V8_MTY_AMP*MAX(0,(V8_MTY_CUTOFF-(IF(OR(L161="",NOT(ISNUMBER(L161))),360,MAX(0,MIN(480,(INT(L161/100)-INT(VALUE(F161)/100))*12+MOD(L161,100)-MOD(VALUE(F161),100))))))/V8_MTY_CUTOFF),1)</f>
        <v/>
      </c>
      <c r="AH161" s="8">
        <f>IF(AND(IF(OR(M161="",NOT(ISNUMBER(M161))),0,MAX(0,MIN(24,(INT(VALUE(F161)/100)-INT(M161/100))*12+MOD(VALUE(F161),100)-MOD(M161,100))))&gt;0,IF(OR(M161="",NOT(ISNUMBER(M161))),0,MAX(0,MIN(24,(INT(VALUE(F161)/100)-INT(M161/100))*12+MOD(VALUE(F161),100)-MOD(M161,100))))&lt;=12),1+V8_LOCKOUT_AMP*EXP(-(IF(OR(M161="",NOT(ISNUMBER(M161))),0,MAX(0,MIN(24,(INT(VALUE(F161)/100)-INT(M161/100))*12+MOD(VALUE(F161),100)-MOD(M161,100)))))/V8_LOCKOUT_TAU),1)</f>
        <v/>
      </c>
      <c r="AI161" s="8">
        <f>MAX(V8_BURN_FLOOR,1-V8_BURN_SLOPE*MIN(1,MAX(0,O161)))</f>
        <v/>
      </c>
      <c r="AJ161" s="15">
        <f>MIN(AA161*AF161*AG161*AH161*AI161,0.2)</f>
        <v/>
      </c>
      <c r="AK161" s="16">
        <f>1-(1-AJ161)^12</f>
        <v/>
      </c>
    </row>
    <row r="162">
      <c r="A162" s="2" t="inlineStr">
        <is>
          <t>000010511085</t>
        </is>
      </c>
      <c r="B162" t="inlineStr">
        <is>
          <t>223f</t>
        </is>
      </c>
      <c r="C162" t="inlineStr">
        <is>
          <t>RP</t>
        </is>
      </c>
      <c r="D162" t="inlineStr">
        <is>
          <t>WELLS FARGO BANK, N.A.</t>
        </is>
      </c>
      <c r="E162" t="n">
        <v>2017</v>
      </c>
      <c r="F162" t="inlineStr">
        <is>
          <t>202602</t>
        </is>
      </c>
      <c r="G162" s="9" t="n">
        <v>6227483.14</v>
      </c>
      <c r="H162" s="13" t="n">
        <v>3.22</v>
      </c>
      <c r="I162" s="14" t="n">
        <v>447</v>
      </c>
      <c r="J162" s="14" t="n">
        <v>2</v>
      </c>
      <c r="K162" t="n">
        <v>102</v>
      </c>
      <c r="L162" t="n">
        <v>205209</v>
      </c>
      <c r="M162" t="inlineStr"/>
      <c r="N162" t="n">
        <v>25</v>
      </c>
      <c r="O162" s="8" t="n">
        <v>0.2450980392156863</v>
      </c>
      <c r="P162">
        <f>IF(ISNUMBER(SEARCH("232",B162)),"232",IF(ISNUMBER(SEARCH("538",B162)),"538",IF(ISNUMBER(SEARCH("223a7",B162)),"223a7",IF(ISNUMBER(SEARCH("223f",B162)),"223f","OTHER"))))</f>
        <v/>
      </c>
      <c r="Q162">
        <f>IF(UPPER(C162)="NC","NC","RP")</f>
        <v/>
      </c>
      <c r="R162">
        <f>IF(G162&lt;5000000,"small",IF(G162&lt;25000000,"medium","large"))</f>
        <v/>
      </c>
      <c r="S162">
        <f>IF(K162&lt;36,"young",IF(K162&lt;120,"seasoned","aged"))</f>
        <v/>
      </c>
      <c r="T162">
        <f>P162&amp;"|"&amp;Q162&amp;"|"&amp;R162&amp;"|"&amp;S162</f>
        <v/>
      </c>
      <c r="U162" s="14">
        <f>H162*100-I162</f>
        <v/>
      </c>
      <c r="V162" s="14">
        <f>U162-12.5*(J162+1)</f>
        <v/>
      </c>
      <c r="W162" s="15">
        <f>IFERROR(VLOOKUP(T162,V8_COHORT_TABLE,2,FALSE),IFERROR(VLOOKUP(P162&amp;"|"&amp;Q162&amp;"|ALL|"&amp;S162,V8_COHORT_TABLE,2,FALSE),IFERROR(VLOOKUP(P162&amp;"|ALL|ALL|"&amp;S162,V8_COHORT_TABLE,2,FALSE),IFERROR(VLOOKUP(P162&amp;"|ALL|ALL|ALL",V8_COHORT_TABLE,2,FALSE),VLOOKUP("GLOBAL",V8_COHORT_TABLE,2,FALSE)))))</f>
        <v/>
      </c>
      <c r="X162" s="15">
        <f>IFERROR(VLOOKUP(T162,V8_COHORT_TABLE,3,FALSE),IFERROR(VLOOKUP(P162&amp;"|"&amp;Q162&amp;"|ALL|"&amp;S162,V8_COHORT_TABLE,3,FALSE),IFERROR(VLOOKUP(P162&amp;"|ALL|ALL|"&amp;S162,V8_COHORT_TABLE,3,FALSE),IFERROR(VLOOKUP(P162&amp;"|ALL|ALL|ALL",V8_COHORT_TABLE,3,FALSE),VLOOKUP("GLOBAL",V8_COHORT_TABLE,3,FALSE)))))</f>
        <v/>
      </c>
      <c r="Y162" s="15">
        <f>IFERROR(VLOOKUP(T162,V8_COHORT_TABLE,4,FALSE),IFERROR(VLOOKUP(P162&amp;"|"&amp;Q162&amp;"|ALL|"&amp;S162,V8_COHORT_TABLE,4,FALSE),IFERROR(VLOOKUP(P162&amp;"|ALL|ALL|"&amp;S162,V8_COHORT_TABLE,4,FALSE),IFERROR(VLOOKUP(P162&amp;"|ALL|ALL|ALL",V8_COHORT_TABLE,4,FALSE),VLOOKUP("GLOBAL",V8_COHORT_TABLE,4,FALSE)))))</f>
        <v/>
      </c>
      <c r="Z162" s="15">
        <f>IFERROR(VLOOKUP(T162,V8_COHORT_TABLE,5,FALSE),IFERROR(VLOOKUP(P162&amp;"|"&amp;Q162&amp;"|ALL|"&amp;S162,V8_COHORT_TABLE,5,FALSE),IFERROR(VLOOKUP(P162&amp;"|ALL|ALL|"&amp;S162,V8_COHORT_TABLE,5,FALSE),IFERROR(VLOOKUP(P162&amp;"|ALL|ALL|ALL",V8_COHORT_TABLE,5,FALSE),VLOOKUP("GLOBAL",V8_COHORT_TABLE,5,FALSE)))))</f>
        <v/>
      </c>
      <c r="AA162" s="15">
        <f>W162+X162/(1+EXP(-(V162-Y162)/Z162))</f>
        <v/>
      </c>
      <c r="AB162" s="15">
        <f>IFERROR(VLOOKUP(T162,V8_COHORT_TABLE,6,FALSE),IFERROR(VLOOKUP(P162&amp;"|"&amp;Q162&amp;"|ALL|"&amp;S162,V8_COHORT_TABLE,6,FALSE),IFERROR(VLOOKUP(P162&amp;"|ALL|ALL|"&amp;S162,V8_COHORT_TABLE,6,FALSE),IFERROR(VLOOKUP(P162&amp;"|ALL|ALL|ALL",V8_COHORT_TABLE,6,FALSE),VLOOKUP("GLOBAL",V8_COHORT_TABLE,6,FALSE)))))</f>
        <v/>
      </c>
      <c r="AC162" s="15">
        <f>IFERROR(VLOOKUP(T162,V8_COHORT_TABLE,7,FALSE),IFERROR(VLOOKUP(P162&amp;"|"&amp;Q162&amp;"|ALL|"&amp;S162,V8_COHORT_TABLE,7,FALSE),IFERROR(VLOOKUP(P162&amp;"|ALL|ALL|"&amp;S162,V8_COHORT_TABLE,7,FALSE),IFERROR(VLOOKUP(P162&amp;"|ALL|ALL|ALL",V8_COHORT_TABLE,7,FALSE),VLOOKUP("GLOBAL",V8_COHORT_TABLE,7,FALSE)))))</f>
        <v/>
      </c>
      <c r="AD162" s="15">
        <f>IFERROR(VLOOKUP(T162,V8_COHORT_TABLE,8,FALSE),IFERROR(VLOOKUP(P162&amp;"|"&amp;Q162&amp;"|ALL|"&amp;S162,V8_COHORT_TABLE,8,FALSE),IFERROR(VLOOKUP(P162&amp;"|ALL|ALL|"&amp;S162,V8_COHORT_TABLE,8,FALSE),IFERROR(VLOOKUP(P162&amp;"|ALL|ALL|ALL",V8_COHORT_TABLE,8,FALSE),VLOOKUP("GLOBAL",V8_COHORT_TABLE,8,FALSE)))))</f>
        <v/>
      </c>
      <c r="AE162" s="15">
        <f>IFERROR(VLOOKUP(T162,V8_COHORT_TABLE,9,FALSE),IFERROR(VLOOKUP(P162&amp;"|"&amp;Q162&amp;"|ALL|"&amp;S162,V8_COHORT_TABLE,9,FALSE),IFERROR(VLOOKUP(P162&amp;"|ALL|ALL|"&amp;S162,V8_COHORT_TABLE,9,FALSE),IFERROR(VLOOKUP(P162&amp;"|ALL|ALL|ALL",V8_COHORT_TABLE,9,FALSE),VLOOKUP("GLOBAL",V8_COHORT_TABLE,9,FALSE)))))</f>
        <v/>
      </c>
      <c r="AF162" s="8">
        <f>IF(K162&lt;=0,AB162,IF(K162&gt;=240,AE162,IF(K162&lt;=24,AB162+(K162-0)/24*(AC162-AB162),IF(K162&lt;=96,AC162+(K162-24)/72*(AD162-AC162),AD162+(K162-96)/144*(AE162-AD162)))))</f>
        <v/>
      </c>
      <c r="AG162" s="8">
        <f>IF(IF(OR(L162="",NOT(ISNUMBER(L162))),360,MAX(0,MIN(480,(INT(L162/100)-INT(VALUE(F162)/100))*12+MOD(L162,100)-MOD(VALUE(F162),100))))&gt;0,1+V8_MTY_AMP*MAX(0,(V8_MTY_CUTOFF-(IF(OR(L162="",NOT(ISNUMBER(L162))),360,MAX(0,MIN(480,(INT(L162/100)-INT(VALUE(F162)/100))*12+MOD(L162,100)-MOD(VALUE(F162),100))))))/V8_MTY_CUTOFF),1)</f>
        <v/>
      </c>
      <c r="AH162" s="8">
        <f>IF(AND(IF(OR(M162="",NOT(ISNUMBER(M162))),0,MAX(0,MIN(24,(INT(VALUE(F162)/100)-INT(M162/100))*12+MOD(VALUE(F162),100)-MOD(M162,100))))&gt;0,IF(OR(M162="",NOT(ISNUMBER(M162))),0,MAX(0,MIN(24,(INT(VALUE(F162)/100)-INT(M162/100))*12+MOD(VALUE(F162),100)-MOD(M162,100))))&lt;=12),1+V8_LOCKOUT_AMP*EXP(-(IF(OR(M162="",NOT(ISNUMBER(M162))),0,MAX(0,MIN(24,(INT(VALUE(F162)/100)-INT(M162/100))*12+MOD(VALUE(F162),100)-MOD(M162,100)))))/V8_LOCKOUT_TAU),1)</f>
        <v/>
      </c>
      <c r="AI162" s="8">
        <f>MAX(V8_BURN_FLOOR,1-V8_BURN_SLOPE*MIN(1,MAX(0,O162)))</f>
        <v/>
      </c>
      <c r="AJ162" s="15">
        <f>MIN(AA162*AF162*AG162*AH162*AI162,0.2)</f>
        <v/>
      </c>
      <c r="AK162" s="16">
        <f>1-(1-AJ162)^12</f>
        <v/>
      </c>
    </row>
    <row r="163">
      <c r="A163" s="2" t="inlineStr">
        <is>
          <t>000005311417</t>
        </is>
      </c>
      <c r="B163" t="inlineStr">
        <is>
          <t>223f</t>
        </is>
      </c>
      <c r="C163" t="inlineStr">
        <is>
          <t>RP</t>
        </is>
      </c>
      <c r="D163" t="inlineStr">
        <is>
          <t>WELLS FARGO BANK, N.A.</t>
        </is>
      </c>
      <c r="E163" t="n">
        <v>2018</v>
      </c>
      <c r="F163" t="inlineStr">
        <is>
          <t>202602</t>
        </is>
      </c>
      <c r="G163" s="9" t="n">
        <v>18408131.46</v>
      </c>
      <c r="H163" s="13" t="n">
        <v>3.01</v>
      </c>
      <c r="I163" s="14" t="n">
        <v>447</v>
      </c>
      <c r="J163" s="14" t="n">
        <v>6</v>
      </c>
      <c r="K163" t="n">
        <v>94</v>
      </c>
      <c r="L163" t="n">
        <v>205305</v>
      </c>
      <c r="M163" t="n">
        <v>202202</v>
      </c>
      <c r="N163" t="n">
        <v>1</v>
      </c>
      <c r="O163" s="8" t="n">
        <v>0.01063829787234043</v>
      </c>
      <c r="P163">
        <f>IF(ISNUMBER(SEARCH("232",B163)),"232",IF(ISNUMBER(SEARCH("538",B163)),"538",IF(ISNUMBER(SEARCH("223a7",B163)),"223a7",IF(ISNUMBER(SEARCH("223f",B163)),"223f","OTHER"))))</f>
        <v/>
      </c>
      <c r="Q163">
        <f>IF(UPPER(C163)="NC","NC","RP")</f>
        <v/>
      </c>
      <c r="R163">
        <f>IF(G163&lt;5000000,"small",IF(G163&lt;25000000,"medium","large"))</f>
        <v/>
      </c>
      <c r="S163">
        <f>IF(K163&lt;36,"young",IF(K163&lt;120,"seasoned","aged"))</f>
        <v/>
      </c>
      <c r="T163">
        <f>P163&amp;"|"&amp;Q163&amp;"|"&amp;R163&amp;"|"&amp;S163</f>
        <v/>
      </c>
      <c r="U163" s="14">
        <f>H163*100-I163</f>
        <v/>
      </c>
      <c r="V163" s="14">
        <f>U163-12.5*(J163+1)</f>
        <v/>
      </c>
      <c r="W163" s="15">
        <f>IFERROR(VLOOKUP(T163,V8_COHORT_TABLE,2,FALSE),IFERROR(VLOOKUP(P163&amp;"|"&amp;Q163&amp;"|ALL|"&amp;S163,V8_COHORT_TABLE,2,FALSE),IFERROR(VLOOKUP(P163&amp;"|ALL|ALL|"&amp;S163,V8_COHORT_TABLE,2,FALSE),IFERROR(VLOOKUP(P163&amp;"|ALL|ALL|ALL",V8_COHORT_TABLE,2,FALSE),VLOOKUP("GLOBAL",V8_COHORT_TABLE,2,FALSE)))))</f>
        <v/>
      </c>
      <c r="X163" s="15">
        <f>IFERROR(VLOOKUP(T163,V8_COHORT_TABLE,3,FALSE),IFERROR(VLOOKUP(P163&amp;"|"&amp;Q163&amp;"|ALL|"&amp;S163,V8_COHORT_TABLE,3,FALSE),IFERROR(VLOOKUP(P163&amp;"|ALL|ALL|"&amp;S163,V8_COHORT_TABLE,3,FALSE),IFERROR(VLOOKUP(P163&amp;"|ALL|ALL|ALL",V8_COHORT_TABLE,3,FALSE),VLOOKUP("GLOBAL",V8_COHORT_TABLE,3,FALSE)))))</f>
        <v/>
      </c>
      <c r="Y163" s="15">
        <f>IFERROR(VLOOKUP(T163,V8_COHORT_TABLE,4,FALSE),IFERROR(VLOOKUP(P163&amp;"|"&amp;Q163&amp;"|ALL|"&amp;S163,V8_COHORT_TABLE,4,FALSE),IFERROR(VLOOKUP(P163&amp;"|ALL|ALL|"&amp;S163,V8_COHORT_TABLE,4,FALSE),IFERROR(VLOOKUP(P163&amp;"|ALL|ALL|ALL",V8_COHORT_TABLE,4,FALSE),VLOOKUP("GLOBAL",V8_COHORT_TABLE,4,FALSE)))))</f>
        <v/>
      </c>
      <c r="Z163" s="15">
        <f>IFERROR(VLOOKUP(T163,V8_COHORT_TABLE,5,FALSE),IFERROR(VLOOKUP(P163&amp;"|"&amp;Q163&amp;"|ALL|"&amp;S163,V8_COHORT_TABLE,5,FALSE),IFERROR(VLOOKUP(P163&amp;"|ALL|ALL|"&amp;S163,V8_COHORT_TABLE,5,FALSE),IFERROR(VLOOKUP(P163&amp;"|ALL|ALL|ALL",V8_COHORT_TABLE,5,FALSE),VLOOKUP("GLOBAL",V8_COHORT_TABLE,5,FALSE)))))</f>
        <v/>
      </c>
      <c r="AA163" s="15">
        <f>W163+X163/(1+EXP(-(V163-Y163)/Z163))</f>
        <v/>
      </c>
      <c r="AB163" s="15">
        <f>IFERROR(VLOOKUP(T163,V8_COHORT_TABLE,6,FALSE),IFERROR(VLOOKUP(P163&amp;"|"&amp;Q163&amp;"|ALL|"&amp;S163,V8_COHORT_TABLE,6,FALSE),IFERROR(VLOOKUP(P163&amp;"|ALL|ALL|"&amp;S163,V8_COHORT_TABLE,6,FALSE),IFERROR(VLOOKUP(P163&amp;"|ALL|ALL|ALL",V8_COHORT_TABLE,6,FALSE),VLOOKUP("GLOBAL",V8_COHORT_TABLE,6,FALSE)))))</f>
        <v/>
      </c>
      <c r="AC163" s="15">
        <f>IFERROR(VLOOKUP(T163,V8_COHORT_TABLE,7,FALSE),IFERROR(VLOOKUP(P163&amp;"|"&amp;Q163&amp;"|ALL|"&amp;S163,V8_COHORT_TABLE,7,FALSE),IFERROR(VLOOKUP(P163&amp;"|ALL|ALL|"&amp;S163,V8_COHORT_TABLE,7,FALSE),IFERROR(VLOOKUP(P163&amp;"|ALL|ALL|ALL",V8_COHORT_TABLE,7,FALSE),VLOOKUP("GLOBAL",V8_COHORT_TABLE,7,FALSE)))))</f>
        <v/>
      </c>
      <c r="AD163" s="15">
        <f>IFERROR(VLOOKUP(T163,V8_COHORT_TABLE,8,FALSE),IFERROR(VLOOKUP(P163&amp;"|"&amp;Q163&amp;"|ALL|"&amp;S163,V8_COHORT_TABLE,8,FALSE),IFERROR(VLOOKUP(P163&amp;"|ALL|ALL|"&amp;S163,V8_COHORT_TABLE,8,FALSE),IFERROR(VLOOKUP(P163&amp;"|ALL|ALL|ALL",V8_COHORT_TABLE,8,FALSE),VLOOKUP("GLOBAL",V8_COHORT_TABLE,8,FALSE)))))</f>
        <v/>
      </c>
      <c r="AE163" s="15">
        <f>IFERROR(VLOOKUP(T163,V8_COHORT_TABLE,9,FALSE),IFERROR(VLOOKUP(P163&amp;"|"&amp;Q163&amp;"|ALL|"&amp;S163,V8_COHORT_TABLE,9,FALSE),IFERROR(VLOOKUP(P163&amp;"|ALL|ALL|"&amp;S163,V8_COHORT_TABLE,9,FALSE),IFERROR(VLOOKUP(P163&amp;"|ALL|ALL|ALL",V8_COHORT_TABLE,9,FALSE),VLOOKUP("GLOBAL",V8_COHORT_TABLE,9,FALSE)))))</f>
        <v/>
      </c>
      <c r="AF163" s="8">
        <f>IF(K163&lt;=0,AB163,IF(K163&gt;=240,AE163,IF(K163&lt;=24,AB163+(K163-0)/24*(AC163-AB163),IF(K163&lt;=96,AC163+(K163-24)/72*(AD163-AC163),AD163+(K163-96)/144*(AE163-AD163)))))</f>
        <v/>
      </c>
      <c r="AG163" s="8">
        <f>IF(IF(OR(L163="",NOT(ISNUMBER(L163))),360,MAX(0,MIN(480,(INT(L163/100)-INT(VALUE(F163)/100))*12+MOD(L163,100)-MOD(VALUE(F163),100))))&gt;0,1+V8_MTY_AMP*MAX(0,(V8_MTY_CUTOFF-(IF(OR(L163="",NOT(ISNUMBER(L163))),360,MAX(0,MIN(480,(INT(L163/100)-INT(VALUE(F163)/100))*12+MOD(L163,100)-MOD(VALUE(F163),100))))))/V8_MTY_CUTOFF),1)</f>
        <v/>
      </c>
      <c r="AH163" s="8">
        <f>IF(AND(IF(OR(M163="",NOT(ISNUMBER(M163))),0,MAX(0,MIN(24,(INT(VALUE(F163)/100)-INT(M163/100))*12+MOD(VALUE(F163),100)-MOD(M163,100))))&gt;0,IF(OR(M163="",NOT(ISNUMBER(M163))),0,MAX(0,MIN(24,(INT(VALUE(F163)/100)-INT(M163/100))*12+MOD(VALUE(F163),100)-MOD(M163,100))))&lt;=12),1+V8_LOCKOUT_AMP*EXP(-(IF(OR(M163="",NOT(ISNUMBER(M163))),0,MAX(0,MIN(24,(INT(VALUE(F163)/100)-INT(M163/100))*12+MOD(VALUE(F163),100)-MOD(M163,100)))))/V8_LOCKOUT_TAU),1)</f>
        <v/>
      </c>
      <c r="AI163" s="8">
        <f>MAX(V8_BURN_FLOOR,1-V8_BURN_SLOPE*MIN(1,MAX(0,O163)))</f>
        <v/>
      </c>
      <c r="AJ163" s="15">
        <f>MIN(AA163*AF163*AG163*AH163*AI163,0.2)</f>
        <v/>
      </c>
      <c r="AK163" s="16">
        <f>1-(1-AJ163)^12</f>
        <v/>
      </c>
    </row>
    <row r="164">
      <c r="A164" s="2" t="inlineStr">
        <is>
          <t>000008211077</t>
        </is>
      </c>
      <c r="B164" t="inlineStr">
        <is>
          <t>223f</t>
        </is>
      </c>
      <c r="C164" t="inlineStr">
        <is>
          <t>RP</t>
        </is>
      </c>
      <c r="D164" t="inlineStr">
        <is>
          <t>WELLS FARGO BANK, N.A.</t>
        </is>
      </c>
      <c r="E164" t="n">
        <v>2009</v>
      </c>
      <c r="F164" t="inlineStr">
        <is>
          <t>202602</t>
        </is>
      </c>
      <c r="G164" s="9" t="n">
        <v>980803.6</v>
      </c>
      <c r="H164" s="13" t="n">
        <v>4.6</v>
      </c>
      <c r="I164" s="14" t="n">
        <v>447</v>
      </c>
      <c r="J164" s="14" t="n">
        <v>0</v>
      </c>
      <c r="K164" t="n">
        <v>194</v>
      </c>
      <c r="L164" t="n">
        <v>204501</v>
      </c>
      <c r="M164" t="n">
        <v>201202</v>
      </c>
      <c r="N164" t="n">
        <v>47</v>
      </c>
      <c r="O164" s="8" t="n">
        <v>0.2422680412371134</v>
      </c>
      <c r="P164">
        <f>IF(ISNUMBER(SEARCH("232",B164)),"232",IF(ISNUMBER(SEARCH("538",B164)),"538",IF(ISNUMBER(SEARCH("223a7",B164)),"223a7",IF(ISNUMBER(SEARCH("223f",B164)),"223f","OTHER"))))</f>
        <v/>
      </c>
      <c r="Q164">
        <f>IF(UPPER(C164)="NC","NC","RP")</f>
        <v/>
      </c>
      <c r="R164">
        <f>IF(G164&lt;5000000,"small",IF(G164&lt;25000000,"medium","large"))</f>
        <v/>
      </c>
      <c r="S164">
        <f>IF(K164&lt;36,"young",IF(K164&lt;120,"seasoned","aged"))</f>
        <v/>
      </c>
      <c r="T164">
        <f>P164&amp;"|"&amp;Q164&amp;"|"&amp;R164&amp;"|"&amp;S164</f>
        <v/>
      </c>
      <c r="U164" s="14">
        <f>H164*100-I164</f>
        <v/>
      </c>
      <c r="V164" s="14">
        <f>U164-12.5*(J164+1)</f>
        <v/>
      </c>
      <c r="W164" s="15">
        <f>IFERROR(VLOOKUP(T164,V8_COHORT_TABLE,2,FALSE),IFERROR(VLOOKUP(P164&amp;"|"&amp;Q164&amp;"|ALL|"&amp;S164,V8_COHORT_TABLE,2,FALSE),IFERROR(VLOOKUP(P164&amp;"|ALL|ALL|"&amp;S164,V8_COHORT_TABLE,2,FALSE),IFERROR(VLOOKUP(P164&amp;"|ALL|ALL|ALL",V8_COHORT_TABLE,2,FALSE),VLOOKUP("GLOBAL",V8_COHORT_TABLE,2,FALSE)))))</f>
        <v/>
      </c>
      <c r="X164" s="15">
        <f>IFERROR(VLOOKUP(T164,V8_COHORT_TABLE,3,FALSE),IFERROR(VLOOKUP(P164&amp;"|"&amp;Q164&amp;"|ALL|"&amp;S164,V8_COHORT_TABLE,3,FALSE),IFERROR(VLOOKUP(P164&amp;"|ALL|ALL|"&amp;S164,V8_COHORT_TABLE,3,FALSE),IFERROR(VLOOKUP(P164&amp;"|ALL|ALL|ALL",V8_COHORT_TABLE,3,FALSE),VLOOKUP("GLOBAL",V8_COHORT_TABLE,3,FALSE)))))</f>
        <v/>
      </c>
      <c r="Y164" s="15">
        <f>IFERROR(VLOOKUP(T164,V8_COHORT_TABLE,4,FALSE),IFERROR(VLOOKUP(P164&amp;"|"&amp;Q164&amp;"|ALL|"&amp;S164,V8_COHORT_TABLE,4,FALSE),IFERROR(VLOOKUP(P164&amp;"|ALL|ALL|"&amp;S164,V8_COHORT_TABLE,4,FALSE),IFERROR(VLOOKUP(P164&amp;"|ALL|ALL|ALL",V8_COHORT_TABLE,4,FALSE),VLOOKUP("GLOBAL",V8_COHORT_TABLE,4,FALSE)))))</f>
        <v/>
      </c>
      <c r="Z164" s="15">
        <f>IFERROR(VLOOKUP(T164,V8_COHORT_TABLE,5,FALSE),IFERROR(VLOOKUP(P164&amp;"|"&amp;Q164&amp;"|ALL|"&amp;S164,V8_COHORT_TABLE,5,FALSE),IFERROR(VLOOKUP(P164&amp;"|ALL|ALL|"&amp;S164,V8_COHORT_TABLE,5,FALSE),IFERROR(VLOOKUP(P164&amp;"|ALL|ALL|ALL",V8_COHORT_TABLE,5,FALSE),VLOOKUP("GLOBAL",V8_COHORT_TABLE,5,FALSE)))))</f>
        <v/>
      </c>
      <c r="AA164" s="15">
        <f>W164+X164/(1+EXP(-(V164-Y164)/Z164))</f>
        <v/>
      </c>
      <c r="AB164" s="15">
        <f>IFERROR(VLOOKUP(T164,V8_COHORT_TABLE,6,FALSE),IFERROR(VLOOKUP(P164&amp;"|"&amp;Q164&amp;"|ALL|"&amp;S164,V8_COHORT_TABLE,6,FALSE),IFERROR(VLOOKUP(P164&amp;"|ALL|ALL|"&amp;S164,V8_COHORT_TABLE,6,FALSE),IFERROR(VLOOKUP(P164&amp;"|ALL|ALL|ALL",V8_COHORT_TABLE,6,FALSE),VLOOKUP("GLOBAL",V8_COHORT_TABLE,6,FALSE)))))</f>
        <v/>
      </c>
      <c r="AC164" s="15">
        <f>IFERROR(VLOOKUP(T164,V8_COHORT_TABLE,7,FALSE),IFERROR(VLOOKUP(P164&amp;"|"&amp;Q164&amp;"|ALL|"&amp;S164,V8_COHORT_TABLE,7,FALSE),IFERROR(VLOOKUP(P164&amp;"|ALL|ALL|"&amp;S164,V8_COHORT_TABLE,7,FALSE),IFERROR(VLOOKUP(P164&amp;"|ALL|ALL|ALL",V8_COHORT_TABLE,7,FALSE),VLOOKUP("GLOBAL",V8_COHORT_TABLE,7,FALSE)))))</f>
        <v/>
      </c>
      <c r="AD164" s="15">
        <f>IFERROR(VLOOKUP(T164,V8_COHORT_TABLE,8,FALSE),IFERROR(VLOOKUP(P164&amp;"|"&amp;Q164&amp;"|ALL|"&amp;S164,V8_COHORT_TABLE,8,FALSE),IFERROR(VLOOKUP(P164&amp;"|ALL|ALL|"&amp;S164,V8_COHORT_TABLE,8,FALSE),IFERROR(VLOOKUP(P164&amp;"|ALL|ALL|ALL",V8_COHORT_TABLE,8,FALSE),VLOOKUP("GLOBAL",V8_COHORT_TABLE,8,FALSE)))))</f>
        <v/>
      </c>
      <c r="AE164" s="15">
        <f>IFERROR(VLOOKUP(T164,V8_COHORT_TABLE,9,FALSE),IFERROR(VLOOKUP(P164&amp;"|"&amp;Q164&amp;"|ALL|"&amp;S164,V8_COHORT_TABLE,9,FALSE),IFERROR(VLOOKUP(P164&amp;"|ALL|ALL|"&amp;S164,V8_COHORT_TABLE,9,FALSE),IFERROR(VLOOKUP(P164&amp;"|ALL|ALL|ALL",V8_COHORT_TABLE,9,FALSE),VLOOKUP("GLOBAL",V8_COHORT_TABLE,9,FALSE)))))</f>
        <v/>
      </c>
      <c r="AF164" s="8">
        <f>IF(K164&lt;=0,AB164,IF(K164&gt;=240,AE164,IF(K164&lt;=24,AB164+(K164-0)/24*(AC164-AB164),IF(K164&lt;=96,AC164+(K164-24)/72*(AD164-AC164),AD164+(K164-96)/144*(AE164-AD164)))))</f>
        <v/>
      </c>
      <c r="AG164" s="8">
        <f>IF(IF(OR(L164="",NOT(ISNUMBER(L164))),360,MAX(0,MIN(480,(INT(L164/100)-INT(VALUE(F164)/100))*12+MOD(L164,100)-MOD(VALUE(F164),100))))&gt;0,1+V8_MTY_AMP*MAX(0,(V8_MTY_CUTOFF-(IF(OR(L164="",NOT(ISNUMBER(L164))),360,MAX(0,MIN(480,(INT(L164/100)-INT(VALUE(F164)/100))*12+MOD(L164,100)-MOD(VALUE(F164),100))))))/V8_MTY_CUTOFF),1)</f>
        <v/>
      </c>
      <c r="AH164" s="8">
        <f>IF(AND(IF(OR(M164="",NOT(ISNUMBER(M164))),0,MAX(0,MIN(24,(INT(VALUE(F164)/100)-INT(M164/100))*12+MOD(VALUE(F164),100)-MOD(M164,100))))&gt;0,IF(OR(M164="",NOT(ISNUMBER(M164))),0,MAX(0,MIN(24,(INT(VALUE(F164)/100)-INT(M164/100))*12+MOD(VALUE(F164),100)-MOD(M164,100))))&lt;=12),1+V8_LOCKOUT_AMP*EXP(-(IF(OR(M164="",NOT(ISNUMBER(M164))),0,MAX(0,MIN(24,(INT(VALUE(F164)/100)-INT(M164/100))*12+MOD(VALUE(F164),100)-MOD(M164,100)))))/V8_LOCKOUT_TAU),1)</f>
        <v/>
      </c>
      <c r="AI164" s="8">
        <f>MAX(V8_BURN_FLOOR,1-V8_BURN_SLOPE*MIN(1,MAX(0,O164)))</f>
        <v/>
      </c>
      <c r="AJ164" s="15">
        <f>MIN(AA164*AF164*AG164*AH164*AI164,0.2)</f>
        <v/>
      </c>
      <c r="AK164" s="16">
        <f>1-(1-AJ164)^12</f>
        <v/>
      </c>
    </row>
    <row r="165">
      <c r="A165" s="2" t="inlineStr">
        <is>
          <t>000005235725</t>
        </is>
      </c>
      <c r="B165" t="inlineStr">
        <is>
          <t>221d4</t>
        </is>
      </c>
      <c r="C165" t="inlineStr">
        <is>
          <t>NC</t>
        </is>
      </c>
      <c r="D165" t="inlineStr">
        <is>
          <t>WELLS FARGO BANK, N.A.</t>
        </is>
      </c>
      <c r="E165" t="n">
        <v>2014</v>
      </c>
      <c r="F165" t="inlineStr">
        <is>
          <t>202602</t>
        </is>
      </c>
      <c r="G165" s="9" t="n">
        <v>4248949.93</v>
      </c>
      <c r="H165" s="13" t="n">
        <v>5</v>
      </c>
      <c r="I165" s="14" t="n">
        <v>447</v>
      </c>
      <c r="J165" s="14" t="n">
        <v>0</v>
      </c>
      <c r="K165" t="n">
        <v>144</v>
      </c>
      <c r="L165" t="n">
        <v>205503</v>
      </c>
      <c r="M165" t="n">
        <v>201704</v>
      </c>
      <c r="N165" t="n">
        <v>52</v>
      </c>
      <c r="O165" s="8" t="n">
        <v>0.3611111111111111</v>
      </c>
      <c r="P165">
        <f>IF(ISNUMBER(SEARCH("232",B165)),"232",IF(ISNUMBER(SEARCH("538",B165)),"538",IF(ISNUMBER(SEARCH("223a7",B165)),"223a7",IF(ISNUMBER(SEARCH("223f",B165)),"223f","OTHER"))))</f>
        <v/>
      </c>
      <c r="Q165">
        <f>IF(UPPER(C165)="NC","NC","RP")</f>
        <v/>
      </c>
      <c r="R165">
        <f>IF(G165&lt;5000000,"small",IF(G165&lt;25000000,"medium","large"))</f>
        <v/>
      </c>
      <c r="S165">
        <f>IF(K165&lt;36,"young",IF(K165&lt;120,"seasoned","aged"))</f>
        <v/>
      </c>
      <c r="T165">
        <f>P165&amp;"|"&amp;Q165&amp;"|"&amp;R165&amp;"|"&amp;S165</f>
        <v/>
      </c>
      <c r="U165" s="14">
        <f>H165*100-I165</f>
        <v/>
      </c>
      <c r="V165" s="14">
        <f>U165-12.5*(J165+1)</f>
        <v/>
      </c>
      <c r="W165" s="15">
        <f>IFERROR(VLOOKUP(T165,V8_COHORT_TABLE,2,FALSE),IFERROR(VLOOKUP(P165&amp;"|"&amp;Q165&amp;"|ALL|"&amp;S165,V8_COHORT_TABLE,2,FALSE),IFERROR(VLOOKUP(P165&amp;"|ALL|ALL|"&amp;S165,V8_COHORT_TABLE,2,FALSE),IFERROR(VLOOKUP(P165&amp;"|ALL|ALL|ALL",V8_COHORT_TABLE,2,FALSE),VLOOKUP("GLOBAL",V8_COHORT_TABLE,2,FALSE)))))</f>
        <v/>
      </c>
      <c r="X165" s="15">
        <f>IFERROR(VLOOKUP(T165,V8_COHORT_TABLE,3,FALSE),IFERROR(VLOOKUP(P165&amp;"|"&amp;Q165&amp;"|ALL|"&amp;S165,V8_COHORT_TABLE,3,FALSE),IFERROR(VLOOKUP(P165&amp;"|ALL|ALL|"&amp;S165,V8_COHORT_TABLE,3,FALSE),IFERROR(VLOOKUP(P165&amp;"|ALL|ALL|ALL",V8_COHORT_TABLE,3,FALSE),VLOOKUP("GLOBAL",V8_COHORT_TABLE,3,FALSE)))))</f>
        <v/>
      </c>
      <c r="Y165" s="15">
        <f>IFERROR(VLOOKUP(T165,V8_COHORT_TABLE,4,FALSE),IFERROR(VLOOKUP(P165&amp;"|"&amp;Q165&amp;"|ALL|"&amp;S165,V8_COHORT_TABLE,4,FALSE),IFERROR(VLOOKUP(P165&amp;"|ALL|ALL|"&amp;S165,V8_COHORT_TABLE,4,FALSE),IFERROR(VLOOKUP(P165&amp;"|ALL|ALL|ALL",V8_COHORT_TABLE,4,FALSE),VLOOKUP("GLOBAL",V8_COHORT_TABLE,4,FALSE)))))</f>
        <v/>
      </c>
      <c r="Z165" s="15">
        <f>IFERROR(VLOOKUP(T165,V8_COHORT_TABLE,5,FALSE),IFERROR(VLOOKUP(P165&amp;"|"&amp;Q165&amp;"|ALL|"&amp;S165,V8_COHORT_TABLE,5,FALSE),IFERROR(VLOOKUP(P165&amp;"|ALL|ALL|"&amp;S165,V8_COHORT_TABLE,5,FALSE),IFERROR(VLOOKUP(P165&amp;"|ALL|ALL|ALL",V8_COHORT_TABLE,5,FALSE),VLOOKUP("GLOBAL",V8_COHORT_TABLE,5,FALSE)))))</f>
        <v/>
      </c>
      <c r="AA165" s="15">
        <f>W165+X165/(1+EXP(-(V165-Y165)/Z165))</f>
        <v/>
      </c>
      <c r="AB165" s="15">
        <f>IFERROR(VLOOKUP(T165,V8_COHORT_TABLE,6,FALSE),IFERROR(VLOOKUP(P165&amp;"|"&amp;Q165&amp;"|ALL|"&amp;S165,V8_COHORT_TABLE,6,FALSE),IFERROR(VLOOKUP(P165&amp;"|ALL|ALL|"&amp;S165,V8_COHORT_TABLE,6,FALSE),IFERROR(VLOOKUP(P165&amp;"|ALL|ALL|ALL",V8_COHORT_TABLE,6,FALSE),VLOOKUP("GLOBAL",V8_COHORT_TABLE,6,FALSE)))))</f>
        <v/>
      </c>
      <c r="AC165" s="15">
        <f>IFERROR(VLOOKUP(T165,V8_COHORT_TABLE,7,FALSE),IFERROR(VLOOKUP(P165&amp;"|"&amp;Q165&amp;"|ALL|"&amp;S165,V8_COHORT_TABLE,7,FALSE),IFERROR(VLOOKUP(P165&amp;"|ALL|ALL|"&amp;S165,V8_COHORT_TABLE,7,FALSE),IFERROR(VLOOKUP(P165&amp;"|ALL|ALL|ALL",V8_COHORT_TABLE,7,FALSE),VLOOKUP("GLOBAL",V8_COHORT_TABLE,7,FALSE)))))</f>
        <v/>
      </c>
      <c r="AD165" s="15">
        <f>IFERROR(VLOOKUP(T165,V8_COHORT_TABLE,8,FALSE),IFERROR(VLOOKUP(P165&amp;"|"&amp;Q165&amp;"|ALL|"&amp;S165,V8_COHORT_TABLE,8,FALSE),IFERROR(VLOOKUP(P165&amp;"|ALL|ALL|"&amp;S165,V8_COHORT_TABLE,8,FALSE),IFERROR(VLOOKUP(P165&amp;"|ALL|ALL|ALL",V8_COHORT_TABLE,8,FALSE),VLOOKUP("GLOBAL",V8_COHORT_TABLE,8,FALSE)))))</f>
        <v/>
      </c>
      <c r="AE165" s="15">
        <f>IFERROR(VLOOKUP(T165,V8_COHORT_TABLE,9,FALSE),IFERROR(VLOOKUP(P165&amp;"|"&amp;Q165&amp;"|ALL|"&amp;S165,V8_COHORT_TABLE,9,FALSE),IFERROR(VLOOKUP(P165&amp;"|ALL|ALL|"&amp;S165,V8_COHORT_TABLE,9,FALSE),IFERROR(VLOOKUP(P165&amp;"|ALL|ALL|ALL",V8_COHORT_TABLE,9,FALSE),VLOOKUP("GLOBAL",V8_COHORT_TABLE,9,FALSE)))))</f>
        <v/>
      </c>
      <c r="AF165" s="8">
        <f>IF(K165&lt;=0,AB165,IF(K165&gt;=240,AE165,IF(K165&lt;=24,AB165+(K165-0)/24*(AC165-AB165),IF(K165&lt;=96,AC165+(K165-24)/72*(AD165-AC165),AD165+(K165-96)/144*(AE165-AD165)))))</f>
        <v/>
      </c>
      <c r="AG165" s="8">
        <f>IF(IF(OR(L165="",NOT(ISNUMBER(L165))),360,MAX(0,MIN(480,(INT(L165/100)-INT(VALUE(F165)/100))*12+MOD(L165,100)-MOD(VALUE(F165),100))))&gt;0,1+V8_MTY_AMP*MAX(0,(V8_MTY_CUTOFF-(IF(OR(L165="",NOT(ISNUMBER(L165))),360,MAX(0,MIN(480,(INT(L165/100)-INT(VALUE(F165)/100))*12+MOD(L165,100)-MOD(VALUE(F165),100))))))/V8_MTY_CUTOFF),1)</f>
        <v/>
      </c>
      <c r="AH165" s="8">
        <f>IF(AND(IF(OR(M165="",NOT(ISNUMBER(M165))),0,MAX(0,MIN(24,(INT(VALUE(F165)/100)-INT(M165/100))*12+MOD(VALUE(F165),100)-MOD(M165,100))))&gt;0,IF(OR(M165="",NOT(ISNUMBER(M165))),0,MAX(0,MIN(24,(INT(VALUE(F165)/100)-INT(M165/100))*12+MOD(VALUE(F165),100)-MOD(M165,100))))&lt;=12),1+V8_LOCKOUT_AMP*EXP(-(IF(OR(M165="",NOT(ISNUMBER(M165))),0,MAX(0,MIN(24,(INT(VALUE(F165)/100)-INT(M165/100))*12+MOD(VALUE(F165),100)-MOD(M165,100)))))/V8_LOCKOUT_TAU),1)</f>
        <v/>
      </c>
      <c r="AI165" s="8">
        <f>MAX(V8_BURN_FLOOR,1-V8_BURN_SLOPE*MIN(1,MAX(0,O165)))</f>
        <v/>
      </c>
      <c r="AJ165" s="15">
        <f>MIN(AA165*AF165*AG165*AH165*AI165,0.2)</f>
        <v/>
      </c>
      <c r="AK165" s="16">
        <f>1-(1-AJ165)^12</f>
        <v/>
      </c>
    </row>
    <row r="166">
      <c r="A166" s="2" t="inlineStr">
        <is>
          <t>000005311510</t>
        </is>
      </c>
      <c r="B166" t="inlineStr">
        <is>
          <t>223a7</t>
        </is>
      </c>
      <c r="C166" t="inlineStr">
        <is>
          <t>RP</t>
        </is>
      </c>
      <c r="D166" t="inlineStr">
        <is>
          <t>WELLS FARGO BANK, N.A.</t>
        </is>
      </c>
      <c r="E166" t="n">
        <v>2021</v>
      </c>
      <c r="F166" t="inlineStr">
        <is>
          <t>202602</t>
        </is>
      </c>
      <c r="G166" s="9" t="n">
        <v>25079366.37</v>
      </c>
      <c r="H166" s="13" t="n">
        <v>2.6</v>
      </c>
      <c r="I166" s="14" t="n">
        <v>447</v>
      </c>
      <c r="J166" s="14" t="n">
        <v>6</v>
      </c>
      <c r="K166" t="n">
        <v>56</v>
      </c>
      <c r="L166" t="n">
        <v>205607</v>
      </c>
      <c r="M166" t="inlineStr"/>
      <c r="N166" t="n">
        <v>0</v>
      </c>
      <c r="O166" s="8" t="n">
        <v>0</v>
      </c>
      <c r="P166">
        <f>IF(ISNUMBER(SEARCH("232",B166)),"232",IF(ISNUMBER(SEARCH("538",B166)),"538",IF(ISNUMBER(SEARCH("223a7",B166)),"223a7",IF(ISNUMBER(SEARCH("223f",B166)),"223f","OTHER"))))</f>
        <v/>
      </c>
      <c r="Q166">
        <f>IF(UPPER(C166)="NC","NC","RP")</f>
        <v/>
      </c>
      <c r="R166">
        <f>IF(G166&lt;5000000,"small",IF(G166&lt;25000000,"medium","large"))</f>
        <v/>
      </c>
      <c r="S166">
        <f>IF(K166&lt;36,"young",IF(K166&lt;120,"seasoned","aged"))</f>
        <v/>
      </c>
      <c r="T166">
        <f>P166&amp;"|"&amp;Q166&amp;"|"&amp;R166&amp;"|"&amp;S166</f>
        <v/>
      </c>
      <c r="U166" s="14">
        <f>H166*100-I166</f>
        <v/>
      </c>
      <c r="V166" s="14">
        <f>U166-12.5*(J166+1)</f>
        <v/>
      </c>
      <c r="W166" s="15">
        <f>IFERROR(VLOOKUP(T166,V8_COHORT_TABLE,2,FALSE),IFERROR(VLOOKUP(P166&amp;"|"&amp;Q166&amp;"|ALL|"&amp;S166,V8_COHORT_TABLE,2,FALSE),IFERROR(VLOOKUP(P166&amp;"|ALL|ALL|"&amp;S166,V8_COHORT_TABLE,2,FALSE),IFERROR(VLOOKUP(P166&amp;"|ALL|ALL|ALL",V8_COHORT_TABLE,2,FALSE),VLOOKUP("GLOBAL",V8_COHORT_TABLE,2,FALSE)))))</f>
        <v/>
      </c>
      <c r="X166" s="15">
        <f>IFERROR(VLOOKUP(T166,V8_COHORT_TABLE,3,FALSE),IFERROR(VLOOKUP(P166&amp;"|"&amp;Q166&amp;"|ALL|"&amp;S166,V8_COHORT_TABLE,3,FALSE),IFERROR(VLOOKUP(P166&amp;"|ALL|ALL|"&amp;S166,V8_COHORT_TABLE,3,FALSE),IFERROR(VLOOKUP(P166&amp;"|ALL|ALL|ALL",V8_COHORT_TABLE,3,FALSE),VLOOKUP("GLOBAL",V8_COHORT_TABLE,3,FALSE)))))</f>
        <v/>
      </c>
      <c r="Y166" s="15">
        <f>IFERROR(VLOOKUP(T166,V8_COHORT_TABLE,4,FALSE),IFERROR(VLOOKUP(P166&amp;"|"&amp;Q166&amp;"|ALL|"&amp;S166,V8_COHORT_TABLE,4,FALSE),IFERROR(VLOOKUP(P166&amp;"|ALL|ALL|"&amp;S166,V8_COHORT_TABLE,4,FALSE),IFERROR(VLOOKUP(P166&amp;"|ALL|ALL|ALL",V8_COHORT_TABLE,4,FALSE),VLOOKUP("GLOBAL",V8_COHORT_TABLE,4,FALSE)))))</f>
        <v/>
      </c>
      <c r="Z166" s="15">
        <f>IFERROR(VLOOKUP(T166,V8_COHORT_TABLE,5,FALSE),IFERROR(VLOOKUP(P166&amp;"|"&amp;Q166&amp;"|ALL|"&amp;S166,V8_COHORT_TABLE,5,FALSE),IFERROR(VLOOKUP(P166&amp;"|ALL|ALL|"&amp;S166,V8_COHORT_TABLE,5,FALSE),IFERROR(VLOOKUP(P166&amp;"|ALL|ALL|ALL",V8_COHORT_TABLE,5,FALSE),VLOOKUP("GLOBAL",V8_COHORT_TABLE,5,FALSE)))))</f>
        <v/>
      </c>
      <c r="AA166" s="15">
        <f>W166+X166/(1+EXP(-(V166-Y166)/Z166))</f>
        <v/>
      </c>
      <c r="AB166" s="15">
        <f>IFERROR(VLOOKUP(T166,V8_COHORT_TABLE,6,FALSE),IFERROR(VLOOKUP(P166&amp;"|"&amp;Q166&amp;"|ALL|"&amp;S166,V8_COHORT_TABLE,6,FALSE),IFERROR(VLOOKUP(P166&amp;"|ALL|ALL|"&amp;S166,V8_COHORT_TABLE,6,FALSE),IFERROR(VLOOKUP(P166&amp;"|ALL|ALL|ALL",V8_COHORT_TABLE,6,FALSE),VLOOKUP("GLOBAL",V8_COHORT_TABLE,6,FALSE)))))</f>
        <v/>
      </c>
      <c r="AC166" s="15">
        <f>IFERROR(VLOOKUP(T166,V8_COHORT_TABLE,7,FALSE),IFERROR(VLOOKUP(P166&amp;"|"&amp;Q166&amp;"|ALL|"&amp;S166,V8_COHORT_TABLE,7,FALSE),IFERROR(VLOOKUP(P166&amp;"|ALL|ALL|"&amp;S166,V8_COHORT_TABLE,7,FALSE),IFERROR(VLOOKUP(P166&amp;"|ALL|ALL|ALL",V8_COHORT_TABLE,7,FALSE),VLOOKUP("GLOBAL",V8_COHORT_TABLE,7,FALSE)))))</f>
        <v/>
      </c>
      <c r="AD166" s="15">
        <f>IFERROR(VLOOKUP(T166,V8_COHORT_TABLE,8,FALSE),IFERROR(VLOOKUP(P166&amp;"|"&amp;Q166&amp;"|ALL|"&amp;S166,V8_COHORT_TABLE,8,FALSE),IFERROR(VLOOKUP(P166&amp;"|ALL|ALL|"&amp;S166,V8_COHORT_TABLE,8,FALSE),IFERROR(VLOOKUP(P166&amp;"|ALL|ALL|ALL",V8_COHORT_TABLE,8,FALSE),VLOOKUP("GLOBAL",V8_COHORT_TABLE,8,FALSE)))))</f>
        <v/>
      </c>
      <c r="AE166" s="15">
        <f>IFERROR(VLOOKUP(T166,V8_COHORT_TABLE,9,FALSE),IFERROR(VLOOKUP(P166&amp;"|"&amp;Q166&amp;"|ALL|"&amp;S166,V8_COHORT_TABLE,9,FALSE),IFERROR(VLOOKUP(P166&amp;"|ALL|ALL|"&amp;S166,V8_COHORT_TABLE,9,FALSE),IFERROR(VLOOKUP(P166&amp;"|ALL|ALL|ALL",V8_COHORT_TABLE,9,FALSE),VLOOKUP("GLOBAL",V8_COHORT_TABLE,9,FALSE)))))</f>
        <v/>
      </c>
      <c r="AF166" s="8">
        <f>IF(K166&lt;=0,AB166,IF(K166&gt;=240,AE166,IF(K166&lt;=24,AB166+(K166-0)/24*(AC166-AB166),IF(K166&lt;=96,AC166+(K166-24)/72*(AD166-AC166),AD166+(K166-96)/144*(AE166-AD166)))))</f>
        <v/>
      </c>
      <c r="AG166" s="8">
        <f>IF(IF(OR(L166="",NOT(ISNUMBER(L166))),360,MAX(0,MIN(480,(INT(L166/100)-INT(VALUE(F166)/100))*12+MOD(L166,100)-MOD(VALUE(F166),100))))&gt;0,1+V8_MTY_AMP*MAX(0,(V8_MTY_CUTOFF-(IF(OR(L166="",NOT(ISNUMBER(L166))),360,MAX(0,MIN(480,(INT(L166/100)-INT(VALUE(F166)/100))*12+MOD(L166,100)-MOD(VALUE(F166),100))))))/V8_MTY_CUTOFF),1)</f>
        <v/>
      </c>
      <c r="AH166" s="8">
        <f>IF(AND(IF(OR(M166="",NOT(ISNUMBER(M166))),0,MAX(0,MIN(24,(INT(VALUE(F166)/100)-INT(M166/100))*12+MOD(VALUE(F166),100)-MOD(M166,100))))&gt;0,IF(OR(M166="",NOT(ISNUMBER(M166))),0,MAX(0,MIN(24,(INT(VALUE(F166)/100)-INT(M166/100))*12+MOD(VALUE(F166),100)-MOD(M166,100))))&lt;=12),1+V8_LOCKOUT_AMP*EXP(-(IF(OR(M166="",NOT(ISNUMBER(M166))),0,MAX(0,MIN(24,(INT(VALUE(F166)/100)-INT(M166/100))*12+MOD(VALUE(F166),100)-MOD(M166,100)))))/V8_LOCKOUT_TAU),1)</f>
        <v/>
      </c>
      <c r="AI166" s="8">
        <f>MAX(V8_BURN_FLOOR,1-V8_BURN_SLOPE*MIN(1,MAX(0,O166)))</f>
        <v/>
      </c>
      <c r="AJ166" s="15">
        <f>MIN(AA166*AF166*AG166*AH166*AI166,0.2)</f>
        <v/>
      </c>
      <c r="AK166" s="16">
        <f>1-(1-AJ166)^12</f>
        <v/>
      </c>
    </row>
    <row r="167">
      <c r="A167" s="2" t="inlineStr">
        <is>
          <t>000006535650</t>
        </is>
      </c>
      <c r="B167" t="inlineStr">
        <is>
          <t>221d4</t>
        </is>
      </c>
      <c r="C167" t="inlineStr">
        <is>
          <t>RP</t>
        </is>
      </c>
      <c r="D167" t="inlineStr">
        <is>
          <t>WELLS FARGO BANK, N.A.</t>
        </is>
      </c>
      <c r="E167" t="n">
        <v>2007</v>
      </c>
      <c r="F167" t="inlineStr">
        <is>
          <t>202602</t>
        </is>
      </c>
      <c r="G167" s="9" t="n">
        <v>822660.01</v>
      </c>
      <c r="H167" s="13" t="n">
        <v>6.5</v>
      </c>
      <c r="I167" s="14" t="n">
        <v>447</v>
      </c>
      <c r="J167" s="14" t="n">
        <v>0</v>
      </c>
      <c r="K167" t="n">
        <v>221</v>
      </c>
      <c r="L167" t="n">
        <v>203710</v>
      </c>
      <c r="M167" t="n">
        <v>200811</v>
      </c>
      <c r="N167" t="n">
        <v>87</v>
      </c>
      <c r="O167" s="8" t="n">
        <v>0.3936651583710407</v>
      </c>
      <c r="P167">
        <f>IF(ISNUMBER(SEARCH("232",B167)),"232",IF(ISNUMBER(SEARCH("538",B167)),"538",IF(ISNUMBER(SEARCH("223a7",B167)),"223a7",IF(ISNUMBER(SEARCH("223f",B167)),"223f","OTHER"))))</f>
        <v/>
      </c>
      <c r="Q167">
        <f>IF(UPPER(C167)="NC","NC","RP")</f>
        <v/>
      </c>
      <c r="R167">
        <f>IF(G167&lt;5000000,"small",IF(G167&lt;25000000,"medium","large"))</f>
        <v/>
      </c>
      <c r="S167">
        <f>IF(K167&lt;36,"young",IF(K167&lt;120,"seasoned","aged"))</f>
        <v/>
      </c>
      <c r="T167">
        <f>P167&amp;"|"&amp;Q167&amp;"|"&amp;R167&amp;"|"&amp;S167</f>
        <v/>
      </c>
      <c r="U167" s="14">
        <f>H167*100-I167</f>
        <v/>
      </c>
      <c r="V167" s="14">
        <f>U167-12.5*(J167+1)</f>
        <v/>
      </c>
      <c r="W167" s="15">
        <f>IFERROR(VLOOKUP(T167,V8_COHORT_TABLE,2,FALSE),IFERROR(VLOOKUP(P167&amp;"|"&amp;Q167&amp;"|ALL|"&amp;S167,V8_COHORT_TABLE,2,FALSE),IFERROR(VLOOKUP(P167&amp;"|ALL|ALL|"&amp;S167,V8_COHORT_TABLE,2,FALSE),IFERROR(VLOOKUP(P167&amp;"|ALL|ALL|ALL",V8_COHORT_TABLE,2,FALSE),VLOOKUP("GLOBAL",V8_COHORT_TABLE,2,FALSE)))))</f>
        <v/>
      </c>
      <c r="X167" s="15">
        <f>IFERROR(VLOOKUP(T167,V8_COHORT_TABLE,3,FALSE),IFERROR(VLOOKUP(P167&amp;"|"&amp;Q167&amp;"|ALL|"&amp;S167,V8_COHORT_TABLE,3,FALSE),IFERROR(VLOOKUP(P167&amp;"|ALL|ALL|"&amp;S167,V8_COHORT_TABLE,3,FALSE),IFERROR(VLOOKUP(P167&amp;"|ALL|ALL|ALL",V8_COHORT_TABLE,3,FALSE),VLOOKUP("GLOBAL",V8_COHORT_TABLE,3,FALSE)))))</f>
        <v/>
      </c>
      <c r="Y167" s="15">
        <f>IFERROR(VLOOKUP(T167,V8_COHORT_TABLE,4,FALSE),IFERROR(VLOOKUP(P167&amp;"|"&amp;Q167&amp;"|ALL|"&amp;S167,V8_COHORT_TABLE,4,FALSE),IFERROR(VLOOKUP(P167&amp;"|ALL|ALL|"&amp;S167,V8_COHORT_TABLE,4,FALSE),IFERROR(VLOOKUP(P167&amp;"|ALL|ALL|ALL",V8_COHORT_TABLE,4,FALSE),VLOOKUP("GLOBAL",V8_COHORT_TABLE,4,FALSE)))))</f>
        <v/>
      </c>
      <c r="Z167" s="15">
        <f>IFERROR(VLOOKUP(T167,V8_COHORT_TABLE,5,FALSE),IFERROR(VLOOKUP(P167&amp;"|"&amp;Q167&amp;"|ALL|"&amp;S167,V8_COHORT_TABLE,5,FALSE),IFERROR(VLOOKUP(P167&amp;"|ALL|ALL|"&amp;S167,V8_COHORT_TABLE,5,FALSE),IFERROR(VLOOKUP(P167&amp;"|ALL|ALL|ALL",V8_COHORT_TABLE,5,FALSE),VLOOKUP("GLOBAL",V8_COHORT_TABLE,5,FALSE)))))</f>
        <v/>
      </c>
      <c r="AA167" s="15">
        <f>W167+X167/(1+EXP(-(V167-Y167)/Z167))</f>
        <v/>
      </c>
      <c r="AB167" s="15">
        <f>IFERROR(VLOOKUP(T167,V8_COHORT_TABLE,6,FALSE),IFERROR(VLOOKUP(P167&amp;"|"&amp;Q167&amp;"|ALL|"&amp;S167,V8_COHORT_TABLE,6,FALSE),IFERROR(VLOOKUP(P167&amp;"|ALL|ALL|"&amp;S167,V8_COHORT_TABLE,6,FALSE),IFERROR(VLOOKUP(P167&amp;"|ALL|ALL|ALL",V8_COHORT_TABLE,6,FALSE),VLOOKUP("GLOBAL",V8_COHORT_TABLE,6,FALSE)))))</f>
        <v/>
      </c>
      <c r="AC167" s="15">
        <f>IFERROR(VLOOKUP(T167,V8_COHORT_TABLE,7,FALSE),IFERROR(VLOOKUP(P167&amp;"|"&amp;Q167&amp;"|ALL|"&amp;S167,V8_COHORT_TABLE,7,FALSE),IFERROR(VLOOKUP(P167&amp;"|ALL|ALL|"&amp;S167,V8_COHORT_TABLE,7,FALSE),IFERROR(VLOOKUP(P167&amp;"|ALL|ALL|ALL",V8_COHORT_TABLE,7,FALSE),VLOOKUP("GLOBAL",V8_COHORT_TABLE,7,FALSE)))))</f>
        <v/>
      </c>
      <c r="AD167" s="15">
        <f>IFERROR(VLOOKUP(T167,V8_COHORT_TABLE,8,FALSE),IFERROR(VLOOKUP(P167&amp;"|"&amp;Q167&amp;"|ALL|"&amp;S167,V8_COHORT_TABLE,8,FALSE),IFERROR(VLOOKUP(P167&amp;"|ALL|ALL|"&amp;S167,V8_COHORT_TABLE,8,FALSE),IFERROR(VLOOKUP(P167&amp;"|ALL|ALL|ALL",V8_COHORT_TABLE,8,FALSE),VLOOKUP("GLOBAL",V8_COHORT_TABLE,8,FALSE)))))</f>
        <v/>
      </c>
      <c r="AE167" s="15">
        <f>IFERROR(VLOOKUP(T167,V8_COHORT_TABLE,9,FALSE),IFERROR(VLOOKUP(P167&amp;"|"&amp;Q167&amp;"|ALL|"&amp;S167,V8_COHORT_TABLE,9,FALSE),IFERROR(VLOOKUP(P167&amp;"|ALL|ALL|"&amp;S167,V8_COHORT_TABLE,9,FALSE),IFERROR(VLOOKUP(P167&amp;"|ALL|ALL|ALL",V8_COHORT_TABLE,9,FALSE),VLOOKUP("GLOBAL",V8_COHORT_TABLE,9,FALSE)))))</f>
        <v/>
      </c>
      <c r="AF167" s="8">
        <f>IF(K167&lt;=0,AB167,IF(K167&gt;=240,AE167,IF(K167&lt;=24,AB167+(K167-0)/24*(AC167-AB167),IF(K167&lt;=96,AC167+(K167-24)/72*(AD167-AC167),AD167+(K167-96)/144*(AE167-AD167)))))</f>
        <v/>
      </c>
      <c r="AG167" s="8">
        <f>IF(IF(OR(L167="",NOT(ISNUMBER(L167))),360,MAX(0,MIN(480,(INT(L167/100)-INT(VALUE(F167)/100))*12+MOD(L167,100)-MOD(VALUE(F167),100))))&gt;0,1+V8_MTY_AMP*MAX(0,(V8_MTY_CUTOFF-(IF(OR(L167="",NOT(ISNUMBER(L167))),360,MAX(0,MIN(480,(INT(L167/100)-INT(VALUE(F167)/100))*12+MOD(L167,100)-MOD(VALUE(F167),100))))))/V8_MTY_CUTOFF),1)</f>
        <v/>
      </c>
      <c r="AH167" s="8">
        <f>IF(AND(IF(OR(M167="",NOT(ISNUMBER(M167))),0,MAX(0,MIN(24,(INT(VALUE(F167)/100)-INT(M167/100))*12+MOD(VALUE(F167),100)-MOD(M167,100))))&gt;0,IF(OR(M167="",NOT(ISNUMBER(M167))),0,MAX(0,MIN(24,(INT(VALUE(F167)/100)-INT(M167/100))*12+MOD(VALUE(F167),100)-MOD(M167,100))))&lt;=12),1+V8_LOCKOUT_AMP*EXP(-(IF(OR(M167="",NOT(ISNUMBER(M167))),0,MAX(0,MIN(24,(INT(VALUE(F167)/100)-INT(M167/100))*12+MOD(VALUE(F167),100)-MOD(M167,100)))))/V8_LOCKOUT_TAU),1)</f>
        <v/>
      </c>
      <c r="AI167" s="8">
        <f>MAX(V8_BURN_FLOOR,1-V8_BURN_SLOPE*MIN(1,MAX(0,O167)))</f>
        <v/>
      </c>
      <c r="AJ167" s="15">
        <f>MIN(AA167*AF167*AG167*AH167*AI167,0.2)</f>
        <v/>
      </c>
      <c r="AK167" s="16">
        <f>1-(1-AJ167)^12</f>
        <v/>
      </c>
    </row>
    <row r="168">
      <c r="A168" s="2" t="inlineStr">
        <is>
          <t>000010135738</t>
        </is>
      </c>
      <c r="B168" t="inlineStr">
        <is>
          <t>221d4</t>
        </is>
      </c>
      <c r="C168" t="inlineStr">
        <is>
          <t>NC</t>
        </is>
      </c>
      <c r="D168" t="inlineStr">
        <is>
          <t>WELLS FARGO BANK, N.A.</t>
        </is>
      </c>
      <c r="E168" t="n">
        <v>2014</v>
      </c>
      <c r="F168" t="inlineStr">
        <is>
          <t>202602</t>
        </is>
      </c>
      <c r="G168" s="9" t="n">
        <v>8511182.23</v>
      </c>
      <c r="H168" s="13" t="n">
        <v>3.72</v>
      </c>
      <c r="I168" s="14" t="n">
        <v>447</v>
      </c>
      <c r="J168" s="14" t="n">
        <v>0</v>
      </c>
      <c r="K168" t="n">
        <v>138</v>
      </c>
      <c r="L168" t="n">
        <v>205601</v>
      </c>
      <c r="M168" t="n">
        <v>201702</v>
      </c>
      <c r="N168" t="n">
        <v>32</v>
      </c>
      <c r="O168" s="8" t="n">
        <v>0.2318840579710145</v>
      </c>
      <c r="P168">
        <f>IF(ISNUMBER(SEARCH("232",B168)),"232",IF(ISNUMBER(SEARCH("538",B168)),"538",IF(ISNUMBER(SEARCH("223a7",B168)),"223a7",IF(ISNUMBER(SEARCH("223f",B168)),"223f","OTHER"))))</f>
        <v/>
      </c>
      <c r="Q168">
        <f>IF(UPPER(C168)="NC","NC","RP")</f>
        <v/>
      </c>
      <c r="R168">
        <f>IF(G168&lt;5000000,"small",IF(G168&lt;25000000,"medium","large"))</f>
        <v/>
      </c>
      <c r="S168">
        <f>IF(K168&lt;36,"young",IF(K168&lt;120,"seasoned","aged"))</f>
        <v/>
      </c>
      <c r="T168">
        <f>P168&amp;"|"&amp;Q168&amp;"|"&amp;R168&amp;"|"&amp;S168</f>
        <v/>
      </c>
      <c r="U168" s="14">
        <f>H168*100-I168</f>
        <v/>
      </c>
      <c r="V168" s="14">
        <f>U168-12.5*(J168+1)</f>
        <v/>
      </c>
      <c r="W168" s="15">
        <f>IFERROR(VLOOKUP(T168,V8_COHORT_TABLE,2,FALSE),IFERROR(VLOOKUP(P168&amp;"|"&amp;Q168&amp;"|ALL|"&amp;S168,V8_COHORT_TABLE,2,FALSE),IFERROR(VLOOKUP(P168&amp;"|ALL|ALL|"&amp;S168,V8_COHORT_TABLE,2,FALSE),IFERROR(VLOOKUP(P168&amp;"|ALL|ALL|ALL",V8_COHORT_TABLE,2,FALSE),VLOOKUP("GLOBAL",V8_COHORT_TABLE,2,FALSE)))))</f>
        <v/>
      </c>
      <c r="X168" s="15">
        <f>IFERROR(VLOOKUP(T168,V8_COHORT_TABLE,3,FALSE),IFERROR(VLOOKUP(P168&amp;"|"&amp;Q168&amp;"|ALL|"&amp;S168,V8_COHORT_TABLE,3,FALSE),IFERROR(VLOOKUP(P168&amp;"|ALL|ALL|"&amp;S168,V8_COHORT_TABLE,3,FALSE),IFERROR(VLOOKUP(P168&amp;"|ALL|ALL|ALL",V8_COHORT_TABLE,3,FALSE),VLOOKUP("GLOBAL",V8_COHORT_TABLE,3,FALSE)))))</f>
        <v/>
      </c>
      <c r="Y168" s="15">
        <f>IFERROR(VLOOKUP(T168,V8_COHORT_TABLE,4,FALSE),IFERROR(VLOOKUP(P168&amp;"|"&amp;Q168&amp;"|ALL|"&amp;S168,V8_COHORT_TABLE,4,FALSE),IFERROR(VLOOKUP(P168&amp;"|ALL|ALL|"&amp;S168,V8_COHORT_TABLE,4,FALSE),IFERROR(VLOOKUP(P168&amp;"|ALL|ALL|ALL",V8_COHORT_TABLE,4,FALSE),VLOOKUP("GLOBAL",V8_COHORT_TABLE,4,FALSE)))))</f>
        <v/>
      </c>
      <c r="Z168" s="15">
        <f>IFERROR(VLOOKUP(T168,V8_COHORT_TABLE,5,FALSE),IFERROR(VLOOKUP(P168&amp;"|"&amp;Q168&amp;"|ALL|"&amp;S168,V8_COHORT_TABLE,5,FALSE),IFERROR(VLOOKUP(P168&amp;"|ALL|ALL|"&amp;S168,V8_COHORT_TABLE,5,FALSE),IFERROR(VLOOKUP(P168&amp;"|ALL|ALL|ALL",V8_COHORT_TABLE,5,FALSE),VLOOKUP("GLOBAL",V8_COHORT_TABLE,5,FALSE)))))</f>
        <v/>
      </c>
      <c r="AA168" s="15">
        <f>W168+X168/(1+EXP(-(V168-Y168)/Z168))</f>
        <v/>
      </c>
      <c r="AB168" s="15">
        <f>IFERROR(VLOOKUP(T168,V8_COHORT_TABLE,6,FALSE),IFERROR(VLOOKUP(P168&amp;"|"&amp;Q168&amp;"|ALL|"&amp;S168,V8_COHORT_TABLE,6,FALSE),IFERROR(VLOOKUP(P168&amp;"|ALL|ALL|"&amp;S168,V8_COHORT_TABLE,6,FALSE),IFERROR(VLOOKUP(P168&amp;"|ALL|ALL|ALL",V8_COHORT_TABLE,6,FALSE),VLOOKUP("GLOBAL",V8_COHORT_TABLE,6,FALSE)))))</f>
        <v/>
      </c>
      <c r="AC168" s="15">
        <f>IFERROR(VLOOKUP(T168,V8_COHORT_TABLE,7,FALSE),IFERROR(VLOOKUP(P168&amp;"|"&amp;Q168&amp;"|ALL|"&amp;S168,V8_COHORT_TABLE,7,FALSE),IFERROR(VLOOKUP(P168&amp;"|ALL|ALL|"&amp;S168,V8_COHORT_TABLE,7,FALSE),IFERROR(VLOOKUP(P168&amp;"|ALL|ALL|ALL",V8_COHORT_TABLE,7,FALSE),VLOOKUP("GLOBAL",V8_COHORT_TABLE,7,FALSE)))))</f>
        <v/>
      </c>
      <c r="AD168" s="15">
        <f>IFERROR(VLOOKUP(T168,V8_COHORT_TABLE,8,FALSE),IFERROR(VLOOKUP(P168&amp;"|"&amp;Q168&amp;"|ALL|"&amp;S168,V8_COHORT_TABLE,8,FALSE),IFERROR(VLOOKUP(P168&amp;"|ALL|ALL|"&amp;S168,V8_COHORT_TABLE,8,FALSE),IFERROR(VLOOKUP(P168&amp;"|ALL|ALL|ALL",V8_COHORT_TABLE,8,FALSE),VLOOKUP("GLOBAL",V8_COHORT_TABLE,8,FALSE)))))</f>
        <v/>
      </c>
      <c r="AE168" s="15">
        <f>IFERROR(VLOOKUP(T168,V8_COHORT_TABLE,9,FALSE),IFERROR(VLOOKUP(P168&amp;"|"&amp;Q168&amp;"|ALL|"&amp;S168,V8_COHORT_TABLE,9,FALSE),IFERROR(VLOOKUP(P168&amp;"|ALL|ALL|"&amp;S168,V8_COHORT_TABLE,9,FALSE),IFERROR(VLOOKUP(P168&amp;"|ALL|ALL|ALL",V8_COHORT_TABLE,9,FALSE),VLOOKUP("GLOBAL",V8_COHORT_TABLE,9,FALSE)))))</f>
        <v/>
      </c>
      <c r="AF168" s="8">
        <f>IF(K168&lt;=0,AB168,IF(K168&gt;=240,AE168,IF(K168&lt;=24,AB168+(K168-0)/24*(AC168-AB168),IF(K168&lt;=96,AC168+(K168-24)/72*(AD168-AC168),AD168+(K168-96)/144*(AE168-AD168)))))</f>
        <v/>
      </c>
      <c r="AG168" s="8">
        <f>IF(IF(OR(L168="",NOT(ISNUMBER(L168))),360,MAX(0,MIN(480,(INT(L168/100)-INT(VALUE(F168)/100))*12+MOD(L168,100)-MOD(VALUE(F168),100))))&gt;0,1+V8_MTY_AMP*MAX(0,(V8_MTY_CUTOFF-(IF(OR(L168="",NOT(ISNUMBER(L168))),360,MAX(0,MIN(480,(INT(L168/100)-INT(VALUE(F168)/100))*12+MOD(L168,100)-MOD(VALUE(F168),100))))))/V8_MTY_CUTOFF),1)</f>
        <v/>
      </c>
      <c r="AH168" s="8">
        <f>IF(AND(IF(OR(M168="",NOT(ISNUMBER(M168))),0,MAX(0,MIN(24,(INT(VALUE(F168)/100)-INT(M168/100))*12+MOD(VALUE(F168),100)-MOD(M168,100))))&gt;0,IF(OR(M168="",NOT(ISNUMBER(M168))),0,MAX(0,MIN(24,(INT(VALUE(F168)/100)-INT(M168/100))*12+MOD(VALUE(F168),100)-MOD(M168,100))))&lt;=12),1+V8_LOCKOUT_AMP*EXP(-(IF(OR(M168="",NOT(ISNUMBER(M168))),0,MAX(0,MIN(24,(INT(VALUE(F168)/100)-INT(M168/100))*12+MOD(VALUE(F168),100)-MOD(M168,100)))))/V8_LOCKOUT_TAU),1)</f>
        <v/>
      </c>
      <c r="AI168" s="8">
        <f>MAX(V8_BURN_FLOOR,1-V8_BURN_SLOPE*MIN(1,MAX(0,O168)))</f>
        <v/>
      </c>
      <c r="AJ168" s="15">
        <f>MIN(AA168*AF168*AG168*AH168*AI168,0.2)</f>
        <v/>
      </c>
      <c r="AK168" s="16">
        <f>1-(1-AJ168)^12</f>
        <v/>
      </c>
    </row>
    <row r="169">
      <c r="A169" s="2" t="inlineStr">
        <is>
          <t>000010110019</t>
        </is>
      </c>
      <c r="B169" t="inlineStr">
        <is>
          <t>241</t>
        </is>
      </c>
      <c r="C169" t="inlineStr">
        <is>
          <t>NC</t>
        </is>
      </c>
      <c r="D169" t="inlineStr">
        <is>
          <t>WELLS FARGO BANK, N.A.</t>
        </is>
      </c>
      <c r="E169" t="n">
        <v>2021</v>
      </c>
      <c r="F169" t="inlineStr">
        <is>
          <t>202602</t>
        </is>
      </c>
      <c r="G169" s="9" t="n">
        <v>39414589.03</v>
      </c>
      <c r="H169" s="13" t="n">
        <v>2.78</v>
      </c>
      <c r="I169" s="14" t="n">
        <v>447</v>
      </c>
      <c r="J169" s="14" t="n">
        <v>8</v>
      </c>
      <c r="K169" t="n">
        <v>52</v>
      </c>
      <c r="L169" t="n">
        <v>206006</v>
      </c>
      <c r="M169" t="n">
        <v>202306</v>
      </c>
      <c r="N169" t="n">
        <v>0</v>
      </c>
      <c r="O169" s="8" t="n">
        <v>0</v>
      </c>
      <c r="P169">
        <f>IF(ISNUMBER(SEARCH("232",B169)),"232",IF(ISNUMBER(SEARCH("538",B169)),"538",IF(ISNUMBER(SEARCH("223a7",B169)),"223a7",IF(ISNUMBER(SEARCH("223f",B169)),"223f","OTHER"))))</f>
        <v/>
      </c>
      <c r="Q169">
        <f>IF(UPPER(C169)="NC","NC","RP")</f>
        <v/>
      </c>
      <c r="R169">
        <f>IF(G169&lt;5000000,"small",IF(G169&lt;25000000,"medium","large"))</f>
        <v/>
      </c>
      <c r="S169">
        <f>IF(K169&lt;36,"young",IF(K169&lt;120,"seasoned","aged"))</f>
        <v/>
      </c>
      <c r="T169">
        <f>P169&amp;"|"&amp;Q169&amp;"|"&amp;R169&amp;"|"&amp;S169</f>
        <v/>
      </c>
      <c r="U169" s="14">
        <f>H169*100-I169</f>
        <v/>
      </c>
      <c r="V169" s="14">
        <f>U169-12.5*(J169+1)</f>
        <v/>
      </c>
      <c r="W169" s="15">
        <f>IFERROR(VLOOKUP(T169,V8_COHORT_TABLE,2,FALSE),IFERROR(VLOOKUP(P169&amp;"|"&amp;Q169&amp;"|ALL|"&amp;S169,V8_COHORT_TABLE,2,FALSE),IFERROR(VLOOKUP(P169&amp;"|ALL|ALL|"&amp;S169,V8_COHORT_TABLE,2,FALSE),IFERROR(VLOOKUP(P169&amp;"|ALL|ALL|ALL",V8_COHORT_TABLE,2,FALSE),VLOOKUP("GLOBAL",V8_COHORT_TABLE,2,FALSE)))))</f>
        <v/>
      </c>
      <c r="X169" s="15">
        <f>IFERROR(VLOOKUP(T169,V8_COHORT_TABLE,3,FALSE),IFERROR(VLOOKUP(P169&amp;"|"&amp;Q169&amp;"|ALL|"&amp;S169,V8_COHORT_TABLE,3,FALSE),IFERROR(VLOOKUP(P169&amp;"|ALL|ALL|"&amp;S169,V8_COHORT_TABLE,3,FALSE),IFERROR(VLOOKUP(P169&amp;"|ALL|ALL|ALL",V8_COHORT_TABLE,3,FALSE),VLOOKUP("GLOBAL",V8_COHORT_TABLE,3,FALSE)))))</f>
        <v/>
      </c>
      <c r="Y169" s="15">
        <f>IFERROR(VLOOKUP(T169,V8_COHORT_TABLE,4,FALSE),IFERROR(VLOOKUP(P169&amp;"|"&amp;Q169&amp;"|ALL|"&amp;S169,V8_COHORT_TABLE,4,FALSE),IFERROR(VLOOKUP(P169&amp;"|ALL|ALL|"&amp;S169,V8_COHORT_TABLE,4,FALSE),IFERROR(VLOOKUP(P169&amp;"|ALL|ALL|ALL",V8_COHORT_TABLE,4,FALSE),VLOOKUP("GLOBAL",V8_COHORT_TABLE,4,FALSE)))))</f>
        <v/>
      </c>
      <c r="Z169" s="15">
        <f>IFERROR(VLOOKUP(T169,V8_COHORT_TABLE,5,FALSE),IFERROR(VLOOKUP(P169&amp;"|"&amp;Q169&amp;"|ALL|"&amp;S169,V8_COHORT_TABLE,5,FALSE),IFERROR(VLOOKUP(P169&amp;"|ALL|ALL|"&amp;S169,V8_COHORT_TABLE,5,FALSE),IFERROR(VLOOKUP(P169&amp;"|ALL|ALL|ALL",V8_COHORT_TABLE,5,FALSE),VLOOKUP("GLOBAL",V8_COHORT_TABLE,5,FALSE)))))</f>
        <v/>
      </c>
      <c r="AA169" s="15">
        <f>W169+X169/(1+EXP(-(V169-Y169)/Z169))</f>
        <v/>
      </c>
      <c r="AB169" s="15">
        <f>IFERROR(VLOOKUP(T169,V8_COHORT_TABLE,6,FALSE),IFERROR(VLOOKUP(P169&amp;"|"&amp;Q169&amp;"|ALL|"&amp;S169,V8_COHORT_TABLE,6,FALSE),IFERROR(VLOOKUP(P169&amp;"|ALL|ALL|"&amp;S169,V8_COHORT_TABLE,6,FALSE),IFERROR(VLOOKUP(P169&amp;"|ALL|ALL|ALL",V8_COHORT_TABLE,6,FALSE),VLOOKUP("GLOBAL",V8_COHORT_TABLE,6,FALSE)))))</f>
        <v/>
      </c>
      <c r="AC169" s="15">
        <f>IFERROR(VLOOKUP(T169,V8_COHORT_TABLE,7,FALSE),IFERROR(VLOOKUP(P169&amp;"|"&amp;Q169&amp;"|ALL|"&amp;S169,V8_COHORT_TABLE,7,FALSE),IFERROR(VLOOKUP(P169&amp;"|ALL|ALL|"&amp;S169,V8_COHORT_TABLE,7,FALSE),IFERROR(VLOOKUP(P169&amp;"|ALL|ALL|ALL",V8_COHORT_TABLE,7,FALSE),VLOOKUP("GLOBAL",V8_COHORT_TABLE,7,FALSE)))))</f>
        <v/>
      </c>
      <c r="AD169" s="15">
        <f>IFERROR(VLOOKUP(T169,V8_COHORT_TABLE,8,FALSE),IFERROR(VLOOKUP(P169&amp;"|"&amp;Q169&amp;"|ALL|"&amp;S169,V8_COHORT_TABLE,8,FALSE),IFERROR(VLOOKUP(P169&amp;"|ALL|ALL|"&amp;S169,V8_COHORT_TABLE,8,FALSE),IFERROR(VLOOKUP(P169&amp;"|ALL|ALL|ALL",V8_COHORT_TABLE,8,FALSE),VLOOKUP("GLOBAL",V8_COHORT_TABLE,8,FALSE)))))</f>
        <v/>
      </c>
      <c r="AE169" s="15">
        <f>IFERROR(VLOOKUP(T169,V8_COHORT_TABLE,9,FALSE),IFERROR(VLOOKUP(P169&amp;"|"&amp;Q169&amp;"|ALL|"&amp;S169,V8_COHORT_TABLE,9,FALSE),IFERROR(VLOOKUP(P169&amp;"|ALL|ALL|"&amp;S169,V8_COHORT_TABLE,9,FALSE),IFERROR(VLOOKUP(P169&amp;"|ALL|ALL|ALL",V8_COHORT_TABLE,9,FALSE),VLOOKUP("GLOBAL",V8_COHORT_TABLE,9,FALSE)))))</f>
        <v/>
      </c>
      <c r="AF169" s="8">
        <f>IF(K169&lt;=0,AB169,IF(K169&gt;=240,AE169,IF(K169&lt;=24,AB169+(K169-0)/24*(AC169-AB169),IF(K169&lt;=96,AC169+(K169-24)/72*(AD169-AC169),AD169+(K169-96)/144*(AE169-AD169)))))</f>
        <v/>
      </c>
      <c r="AG169" s="8">
        <f>IF(IF(OR(L169="",NOT(ISNUMBER(L169))),360,MAX(0,MIN(480,(INT(L169/100)-INT(VALUE(F169)/100))*12+MOD(L169,100)-MOD(VALUE(F169),100))))&gt;0,1+V8_MTY_AMP*MAX(0,(V8_MTY_CUTOFF-(IF(OR(L169="",NOT(ISNUMBER(L169))),360,MAX(0,MIN(480,(INT(L169/100)-INT(VALUE(F169)/100))*12+MOD(L169,100)-MOD(VALUE(F169),100))))))/V8_MTY_CUTOFF),1)</f>
        <v/>
      </c>
      <c r="AH169" s="8">
        <f>IF(AND(IF(OR(M169="",NOT(ISNUMBER(M169))),0,MAX(0,MIN(24,(INT(VALUE(F169)/100)-INT(M169/100))*12+MOD(VALUE(F169),100)-MOD(M169,100))))&gt;0,IF(OR(M169="",NOT(ISNUMBER(M169))),0,MAX(0,MIN(24,(INT(VALUE(F169)/100)-INT(M169/100))*12+MOD(VALUE(F169),100)-MOD(M169,100))))&lt;=12),1+V8_LOCKOUT_AMP*EXP(-(IF(OR(M169="",NOT(ISNUMBER(M169))),0,MAX(0,MIN(24,(INT(VALUE(F169)/100)-INT(M169/100))*12+MOD(VALUE(F169),100)-MOD(M169,100)))))/V8_LOCKOUT_TAU),1)</f>
        <v/>
      </c>
      <c r="AI169" s="8">
        <f>MAX(V8_BURN_FLOOR,1-V8_BURN_SLOPE*MIN(1,MAX(0,O169)))</f>
        <v/>
      </c>
      <c r="AJ169" s="15">
        <f>MIN(AA169*AF169*AG169*AH169*AI169,0.2)</f>
        <v/>
      </c>
      <c r="AK169" s="16">
        <f>1-(1-AJ169)^12</f>
        <v/>
      </c>
    </row>
    <row r="170">
      <c r="A170" s="2" t="inlineStr">
        <is>
          <t>000005143243</t>
        </is>
      </c>
      <c r="B170" t="inlineStr">
        <is>
          <t>232</t>
        </is>
      </c>
      <c r="C170" t="inlineStr">
        <is>
          <t>RP</t>
        </is>
      </c>
      <c r="D170" t="inlineStr">
        <is>
          <t>WELLS FARGO BANK, N.A.</t>
        </is>
      </c>
      <c r="E170" t="n">
        <v>2013</v>
      </c>
      <c r="F170" t="inlineStr">
        <is>
          <t>202602</t>
        </is>
      </c>
      <c r="G170" s="9" t="n">
        <v>9293553.970000001</v>
      </c>
      <c r="H170" s="13" t="n">
        <v>3.15</v>
      </c>
      <c r="I170" s="14" t="n">
        <v>447</v>
      </c>
      <c r="J170" s="14" t="n">
        <v>0</v>
      </c>
      <c r="K170" t="n">
        <v>153</v>
      </c>
      <c r="L170" t="n">
        <v>205111</v>
      </c>
      <c r="M170" t="inlineStr"/>
      <c r="N170" t="n">
        <v>29</v>
      </c>
      <c r="O170" s="8" t="n">
        <v>0.1895424836601307</v>
      </c>
      <c r="P170">
        <f>IF(ISNUMBER(SEARCH("232",B170)),"232",IF(ISNUMBER(SEARCH("538",B170)),"538",IF(ISNUMBER(SEARCH("223a7",B170)),"223a7",IF(ISNUMBER(SEARCH("223f",B170)),"223f","OTHER"))))</f>
        <v/>
      </c>
      <c r="Q170">
        <f>IF(UPPER(C170)="NC","NC","RP")</f>
        <v/>
      </c>
      <c r="R170">
        <f>IF(G170&lt;5000000,"small",IF(G170&lt;25000000,"medium","large"))</f>
        <v/>
      </c>
      <c r="S170">
        <f>IF(K170&lt;36,"young",IF(K170&lt;120,"seasoned","aged"))</f>
        <v/>
      </c>
      <c r="T170">
        <f>P170&amp;"|"&amp;Q170&amp;"|"&amp;R170&amp;"|"&amp;S170</f>
        <v/>
      </c>
      <c r="U170" s="14">
        <f>H170*100-I170</f>
        <v/>
      </c>
      <c r="V170" s="14">
        <f>U170-12.5*(J170+1)</f>
        <v/>
      </c>
      <c r="W170" s="15">
        <f>IFERROR(VLOOKUP(T170,V8_COHORT_TABLE,2,FALSE),IFERROR(VLOOKUP(P170&amp;"|"&amp;Q170&amp;"|ALL|"&amp;S170,V8_COHORT_TABLE,2,FALSE),IFERROR(VLOOKUP(P170&amp;"|ALL|ALL|"&amp;S170,V8_COHORT_TABLE,2,FALSE),IFERROR(VLOOKUP(P170&amp;"|ALL|ALL|ALL",V8_COHORT_TABLE,2,FALSE),VLOOKUP("GLOBAL",V8_COHORT_TABLE,2,FALSE)))))</f>
        <v/>
      </c>
      <c r="X170" s="15">
        <f>IFERROR(VLOOKUP(T170,V8_COHORT_TABLE,3,FALSE),IFERROR(VLOOKUP(P170&amp;"|"&amp;Q170&amp;"|ALL|"&amp;S170,V8_COHORT_TABLE,3,FALSE),IFERROR(VLOOKUP(P170&amp;"|ALL|ALL|"&amp;S170,V8_COHORT_TABLE,3,FALSE),IFERROR(VLOOKUP(P170&amp;"|ALL|ALL|ALL",V8_COHORT_TABLE,3,FALSE),VLOOKUP("GLOBAL",V8_COHORT_TABLE,3,FALSE)))))</f>
        <v/>
      </c>
      <c r="Y170" s="15">
        <f>IFERROR(VLOOKUP(T170,V8_COHORT_TABLE,4,FALSE),IFERROR(VLOOKUP(P170&amp;"|"&amp;Q170&amp;"|ALL|"&amp;S170,V8_COHORT_TABLE,4,FALSE),IFERROR(VLOOKUP(P170&amp;"|ALL|ALL|"&amp;S170,V8_COHORT_TABLE,4,FALSE),IFERROR(VLOOKUP(P170&amp;"|ALL|ALL|ALL",V8_COHORT_TABLE,4,FALSE),VLOOKUP("GLOBAL",V8_COHORT_TABLE,4,FALSE)))))</f>
        <v/>
      </c>
      <c r="Z170" s="15">
        <f>IFERROR(VLOOKUP(T170,V8_COHORT_TABLE,5,FALSE),IFERROR(VLOOKUP(P170&amp;"|"&amp;Q170&amp;"|ALL|"&amp;S170,V8_COHORT_TABLE,5,FALSE),IFERROR(VLOOKUP(P170&amp;"|ALL|ALL|"&amp;S170,V8_COHORT_TABLE,5,FALSE),IFERROR(VLOOKUP(P170&amp;"|ALL|ALL|ALL",V8_COHORT_TABLE,5,FALSE),VLOOKUP("GLOBAL",V8_COHORT_TABLE,5,FALSE)))))</f>
        <v/>
      </c>
      <c r="AA170" s="15">
        <f>W170+X170/(1+EXP(-(V170-Y170)/Z170))</f>
        <v/>
      </c>
      <c r="AB170" s="15">
        <f>IFERROR(VLOOKUP(T170,V8_COHORT_TABLE,6,FALSE),IFERROR(VLOOKUP(P170&amp;"|"&amp;Q170&amp;"|ALL|"&amp;S170,V8_COHORT_TABLE,6,FALSE),IFERROR(VLOOKUP(P170&amp;"|ALL|ALL|"&amp;S170,V8_COHORT_TABLE,6,FALSE),IFERROR(VLOOKUP(P170&amp;"|ALL|ALL|ALL",V8_COHORT_TABLE,6,FALSE),VLOOKUP("GLOBAL",V8_COHORT_TABLE,6,FALSE)))))</f>
        <v/>
      </c>
      <c r="AC170" s="15">
        <f>IFERROR(VLOOKUP(T170,V8_COHORT_TABLE,7,FALSE),IFERROR(VLOOKUP(P170&amp;"|"&amp;Q170&amp;"|ALL|"&amp;S170,V8_COHORT_TABLE,7,FALSE),IFERROR(VLOOKUP(P170&amp;"|ALL|ALL|"&amp;S170,V8_COHORT_TABLE,7,FALSE),IFERROR(VLOOKUP(P170&amp;"|ALL|ALL|ALL",V8_COHORT_TABLE,7,FALSE),VLOOKUP("GLOBAL",V8_COHORT_TABLE,7,FALSE)))))</f>
        <v/>
      </c>
      <c r="AD170" s="15">
        <f>IFERROR(VLOOKUP(T170,V8_COHORT_TABLE,8,FALSE),IFERROR(VLOOKUP(P170&amp;"|"&amp;Q170&amp;"|ALL|"&amp;S170,V8_COHORT_TABLE,8,FALSE),IFERROR(VLOOKUP(P170&amp;"|ALL|ALL|"&amp;S170,V8_COHORT_TABLE,8,FALSE),IFERROR(VLOOKUP(P170&amp;"|ALL|ALL|ALL",V8_COHORT_TABLE,8,FALSE),VLOOKUP("GLOBAL",V8_COHORT_TABLE,8,FALSE)))))</f>
        <v/>
      </c>
      <c r="AE170" s="15">
        <f>IFERROR(VLOOKUP(T170,V8_COHORT_TABLE,9,FALSE),IFERROR(VLOOKUP(P170&amp;"|"&amp;Q170&amp;"|ALL|"&amp;S170,V8_COHORT_TABLE,9,FALSE),IFERROR(VLOOKUP(P170&amp;"|ALL|ALL|"&amp;S170,V8_COHORT_TABLE,9,FALSE),IFERROR(VLOOKUP(P170&amp;"|ALL|ALL|ALL",V8_COHORT_TABLE,9,FALSE),VLOOKUP("GLOBAL",V8_COHORT_TABLE,9,FALSE)))))</f>
        <v/>
      </c>
      <c r="AF170" s="8">
        <f>IF(K170&lt;=0,AB170,IF(K170&gt;=240,AE170,IF(K170&lt;=24,AB170+(K170-0)/24*(AC170-AB170),IF(K170&lt;=96,AC170+(K170-24)/72*(AD170-AC170),AD170+(K170-96)/144*(AE170-AD170)))))</f>
        <v/>
      </c>
      <c r="AG170" s="8">
        <f>IF(IF(OR(L170="",NOT(ISNUMBER(L170))),360,MAX(0,MIN(480,(INT(L170/100)-INT(VALUE(F170)/100))*12+MOD(L170,100)-MOD(VALUE(F170),100))))&gt;0,1+V8_MTY_AMP*MAX(0,(V8_MTY_CUTOFF-(IF(OR(L170="",NOT(ISNUMBER(L170))),360,MAX(0,MIN(480,(INT(L170/100)-INT(VALUE(F170)/100))*12+MOD(L170,100)-MOD(VALUE(F170),100))))))/V8_MTY_CUTOFF),1)</f>
        <v/>
      </c>
      <c r="AH170" s="8">
        <f>IF(AND(IF(OR(M170="",NOT(ISNUMBER(M170))),0,MAX(0,MIN(24,(INT(VALUE(F170)/100)-INT(M170/100))*12+MOD(VALUE(F170),100)-MOD(M170,100))))&gt;0,IF(OR(M170="",NOT(ISNUMBER(M170))),0,MAX(0,MIN(24,(INT(VALUE(F170)/100)-INT(M170/100))*12+MOD(VALUE(F170),100)-MOD(M170,100))))&lt;=12),1+V8_LOCKOUT_AMP*EXP(-(IF(OR(M170="",NOT(ISNUMBER(M170))),0,MAX(0,MIN(24,(INT(VALUE(F170)/100)-INT(M170/100))*12+MOD(VALUE(F170),100)-MOD(M170,100)))))/V8_LOCKOUT_TAU),1)</f>
        <v/>
      </c>
      <c r="AI170" s="8">
        <f>MAX(V8_BURN_FLOOR,1-V8_BURN_SLOPE*MIN(1,MAX(0,O170)))</f>
        <v/>
      </c>
      <c r="AJ170" s="15">
        <f>MIN(AA170*AF170*AG170*AH170*AI170,0.2)</f>
        <v/>
      </c>
      <c r="AK170" s="16">
        <f>1-(1-AJ170)^12</f>
        <v/>
      </c>
    </row>
    <row r="171">
      <c r="A171" s="2" t="inlineStr">
        <is>
          <t>000007111253</t>
        </is>
      </c>
      <c r="B171" t="inlineStr">
        <is>
          <t>223f</t>
        </is>
      </c>
      <c r="C171" t="inlineStr">
        <is>
          <t>RP</t>
        </is>
      </c>
      <c r="D171" t="inlineStr">
        <is>
          <t>WELLS FARGO BANK, N.A.</t>
        </is>
      </c>
      <c r="E171" t="n">
        <v>2011</v>
      </c>
      <c r="F171" t="inlineStr">
        <is>
          <t>202602</t>
        </is>
      </c>
      <c r="G171" s="9" t="n">
        <v>1811141.27</v>
      </c>
      <c r="H171" s="13" t="n">
        <v>3.79</v>
      </c>
      <c r="I171" s="14" t="n">
        <v>447</v>
      </c>
      <c r="J171" s="14" t="n">
        <v>0</v>
      </c>
      <c r="K171" t="n">
        <v>172</v>
      </c>
      <c r="L171" t="n">
        <v>204611</v>
      </c>
      <c r="M171" t="n">
        <v>201212</v>
      </c>
      <c r="N171" t="n">
        <v>40</v>
      </c>
      <c r="O171" s="8" t="n">
        <v>0.2325581395348837</v>
      </c>
      <c r="P171">
        <f>IF(ISNUMBER(SEARCH("232",B171)),"232",IF(ISNUMBER(SEARCH("538",B171)),"538",IF(ISNUMBER(SEARCH("223a7",B171)),"223a7",IF(ISNUMBER(SEARCH("223f",B171)),"223f","OTHER"))))</f>
        <v/>
      </c>
      <c r="Q171">
        <f>IF(UPPER(C171)="NC","NC","RP")</f>
        <v/>
      </c>
      <c r="R171">
        <f>IF(G171&lt;5000000,"small",IF(G171&lt;25000000,"medium","large"))</f>
        <v/>
      </c>
      <c r="S171">
        <f>IF(K171&lt;36,"young",IF(K171&lt;120,"seasoned","aged"))</f>
        <v/>
      </c>
      <c r="T171">
        <f>P171&amp;"|"&amp;Q171&amp;"|"&amp;R171&amp;"|"&amp;S171</f>
        <v/>
      </c>
      <c r="U171" s="14">
        <f>H171*100-I171</f>
        <v/>
      </c>
      <c r="V171" s="14">
        <f>U171-12.5*(J171+1)</f>
        <v/>
      </c>
      <c r="W171" s="15">
        <f>IFERROR(VLOOKUP(T171,V8_COHORT_TABLE,2,FALSE),IFERROR(VLOOKUP(P171&amp;"|"&amp;Q171&amp;"|ALL|"&amp;S171,V8_COHORT_TABLE,2,FALSE),IFERROR(VLOOKUP(P171&amp;"|ALL|ALL|"&amp;S171,V8_COHORT_TABLE,2,FALSE),IFERROR(VLOOKUP(P171&amp;"|ALL|ALL|ALL",V8_COHORT_TABLE,2,FALSE),VLOOKUP("GLOBAL",V8_COHORT_TABLE,2,FALSE)))))</f>
        <v/>
      </c>
      <c r="X171" s="15">
        <f>IFERROR(VLOOKUP(T171,V8_COHORT_TABLE,3,FALSE),IFERROR(VLOOKUP(P171&amp;"|"&amp;Q171&amp;"|ALL|"&amp;S171,V8_COHORT_TABLE,3,FALSE),IFERROR(VLOOKUP(P171&amp;"|ALL|ALL|"&amp;S171,V8_COHORT_TABLE,3,FALSE),IFERROR(VLOOKUP(P171&amp;"|ALL|ALL|ALL",V8_COHORT_TABLE,3,FALSE),VLOOKUP("GLOBAL",V8_COHORT_TABLE,3,FALSE)))))</f>
        <v/>
      </c>
      <c r="Y171" s="15">
        <f>IFERROR(VLOOKUP(T171,V8_COHORT_TABLE,4,FALSE),IFERROR(VLOOKUP(P171&amp;"|"&amp;Q171&amp;"|ALL|"&amp;S171,V8_COHORT_TABLE,4,FALSE),IFERROR(VLOOKUP(P171&amp;"|ALL|ALL|"&amp;S171,V8_COHORT_TABLE,4,FALSE),IFERROR(VLOOKUP(P171&amp;"|ALL|ALL|ALL",V8_COHORT_TABLE,4,FALSE),VLOOKUP("GLOBAL",V8_COHORT_TABLE,4,FALSE)))))</f>
        <v/>
      </c>
      <c r="Z171" s="15">
        <f>IFERROR(VLOOKUP(T171,V8_COHORT_TABLE,5,FALSE),IFERROR(VLOOKUP(P171&amp;"|"&amp;Q171&amp;"|ALL|"&amp;S171,V8_COHORT_TABLE,5,FALSE),IFERROR(VLOOKUP(P171&amp;"|ALL|ALL|"&amp;S171,V8_COHORT_TABLE,5,FALSE),IFERROR(VLOOKUP(P171&amp;"|ALL|ALL|ALL",V8_COHORT_TABLE,5,FALSE),VLOOKUP("GLOBAL",V8_COHORT_TABLE,5,FALSE)))))</f>
        <v/>
      </c>
      <c r="AA171" s="15">
        <f>W171+X171/(1+EXP(-(V171-Y171)/Z171))</f>
        <v/>
      </c>
      <c r="AB171" s="15">
        <f>IFERROR(VLOOKUP(T171,V8_COHORT_TABLE,6,FALSE),IFERROR(VLOOKUP(P171&amp;"|"&amp;Q171&amp;"|ALL|"&amp;S171,V8_COHORT_TABLE,6,FALSE),IFERROR(VLOOKUP(P171&amp;"|ALL|ALL|"&amp;S171,V8_COHORT_TABLE,6,FALSE),IFERROR(VLOOKUP(P171&amp;"|ALL|ALL|ALL",V8_COHORT_TABLE,6,FALSE),VLOOKUP("GLOBAL",V8_COHORT_TABLE,6,FALSE)))))</f>
        <v/>
      </c>
      <c r="AC171" s="15">
        <f>IFERROR(VLOOKUP(T171,V8_COHORT_TABLE,7,FALSE),IFERROR(VLOOKUP(P171&amp;"|"&amp;Q171&amp;"|ALL|"&amp;S171,V8_COHORT_TABLE,7,FALSE),IFERROR(VLOOKUP(P171&amp;"|ALL|ALL|"&amp;S171,V8_COHORT_TABLE,7,FALSE),IFERROR(VLOOKUP(P171&amp;"|ALL|ALL|ALL",V8_COHORT_TABLE,7,FALSE),VLOOKUP("GLOBAL",V8_COHORT_TABLE,7,FALSE)))))</f>
        <v/>
      </c>
      <c r="AD171" s="15">
        <f>IFERROR(VLOOKUP(T171,V8_COHORT_TABLE,8,FALSE),IFERROR(VLOOKUP(P171&amp;"|"&amp;Q171&amp;"|ALL|"&amp;S171,V8_COHORT_TABLE,8,FALSE),IFERROR(VLOOKUP(P171&amp;"|ALL|ALL|"&amp;S171,V8_COHORT_TABLE,8,FALSE),IFERROR(VLOOKUP(P171&amp;"|ALL|ALL|ALL",V8_COHORT_TABLE,8,FALSE),VLOOKUP("GLOBAL",V8_COHORT_TABLE,8,FALSE)))))</f>
        <v/>
      </c>
      <c r="AE171" s="15">
        <f>IFERROR(VLOOKUP(T171,V8_COHORT_TABLE,9,FALSE),IFERROR(VLOOKUP(P171&amp;"|"&amp;Q171&amp;"|ALL|"&amp;S171,V8_COHORT_TABLE,9,FALSE),IFERROR(VLOOKUP(P171&amp;"|ALL|ALL|"&amp;S171,V8_COHORT_TABLE,9,FALSE),IFERROR(VLOOKUP(P171&amp;"|ALL|ALL|ALL",V8_COHORT_TABLE,9,FALSE),VLOOKUP("GLOBAL",V8_COHORT_TABLE,9,FALSE)))))</f>
        <v/>
      </c>
      <c r="AF171" s="8">
        <f>IF(K171&lt;=0,AB171,IF(K171&gt;=240,AE171,IF(K171&lt;=24,AB171+(K171-0)/24*(AC171-AB171),IF(K171&lt;=96,AC171+(K171-24)/72*(AD171-AC171),AD171+(K171-96)/144*(AE171-AD171)))))</f>
        <v/>
      </c>
      <c r="AG171" s="8">
        <f>IF(IF(OR(L171="",NOT(ISNUMBER(L171))),360,MAX(0,MIN(480,(INT(L171/100)-INT(VALUE(F171)/100))*12+MOD(L171,100)-MOD(VALUE(F171),100))))&gt;0,1+V8_MTY_AMP*MAX(0,(V8_MTY_CUTOFF-(IF(OR(L171="",NOT(ISNUMBER(L171))),360,MAX(0,MIN(480,(INT(L171/100)-INT(VALUE(F171)/100))*12+MOD(L171,100)-MOD(VALUE(F171),100))))))/V8_MTY_CUTOFF),1)</f>
        <v/>
      </c>
      <c r="AH171" s="8">
        <f>IF(AND(IF(OR(M171="",NOT(ISNUMBER(M171))),0,MAX(0,MIN(24,(INT(VALUE(F171)/100)-INT(M171/100))*12+MOD(VALUE(F171),100)-MOD(M171,100))))&gt;0,IF(OR(M171="",NOT(ISNUMBER(M171))),0,MAX(0,MIN(24,(INT(VALUE(F171)/100)-INT(M171/100))*12+MOD(VALUE(F171),100)-MOD(M171,100))))&lt;=12),1+V8_LOCKOUT_AMP*EXP(-(IF(OR(M171="",NOT(ISNUMBER(M171))),0,MAX(0,MIN(24,(INT(VALUE(F171)/100)-INT(M171/100))*12+MOD(VALUE(F171),100)-MOD(M171,100)))))/V8_LOCKOUT_TAU),1)</f>
        <v/>
      </c>
      <c r="AI171" s="8">
        <f>MAX(V8_BURN_FLOOR,1-V8_BURN_SLOPE*MIN(1,MAX(0,O171)))</f>
        <v/>
      </c>
      <c r="AJ171" s="15">
        <f>MIN(AA171*AF171*AG171*AH171*AI171,0.2)</f>
        <v/>
      </c>
      <c r="AK171" s="16">
        <f>1-(1-AJ171)^12</f>
        <v/>
      </c>
    </row>
    <row r="172">
      <c r="A172" s="2" t="inlineStr">
        <is>
          <t>000012722118</t>
        </is>
      </c>
      <c r="B172" t="inlineStr">
        <is>
          <t>232</t>
        </is>
      </c>
      <c r="C172" t="inlineStr">
        <is>
          <t>RP</t>
        </is>
      </c>
      <c r="D172" t="inlineStr">
        <is>
          <t>WELLS FARGO BANK, N.A.</t>
        </is>
      </c>
      <c r="E172" t="n">
        <v>2013</v>
      </c>
      <c r="F172" t="inlineStr">
        <is>
          <t>202602</t>
        </is>
      </c>
      <c r="G172" s="9" t="n">
        <v>2447684.27</v>
      </c>
      <c r="H172" s="13" t="n">
        <v>4.5</v>
      </c>
      <c r="I172" s="14" t="n">
        <v>447</v>
      </c>
      <c r="J172" s="14" t="n">
        <v>0</v>
      </c>
      <c r="K172" t="n">
        <v>146</v>
      </c>
      <c r="L172" t="n">
        <v>204901</v>
      </c>
      <c r="M172" t="n">
        <v>201602</v>
      </c>
      <c r="N172" t="n">
        <v>45</v>
      </c>
      <c r="O172" s="8" t="n">
        <v>0.3082191780821918</v>
      </c>
      <c r="P172">
        <f>IF(ISNUMBER(SEARCH("232",B172)),"232",IF(ISNUMBER(SEARCH("538",B172)),"538",IF(ISNUMBER(SEARCH("223a7",B172)),"223a7",IF(ISNUMBER(SEARCH("223f",B172)),"223f","OTHER"))))</f>
        <v/>
      </c>
      <c r="Q172">
        <f>IF(UPPER(C172)="NC","NC","RP")</f>
        <v/>
      </c>
      <c r="R172">
        <f>IF(G172&lt;5000000,"small",IF(G172&lt;25000000,"medium","large"))</f>
        <v/>
      </c>
      <c r="S172">
        <f>IF(K172&lt;36,"young",IF(K172&lt;120,"seasoned","aged"))</f>
        <v/>
      </c>
      <c r="T172">
        <f>P172&amp;"|"&amp;Q172&amp;"|"&amp;R172&amp;"|"&amp;S172</f>
        <v/>
      </c>
      <c r="U172" s="14">
        <f>H172*100-I172</f>
        <v/>
      </c>
      <c r="V172" s="14">
        <f>U172-12.5*(J172+1)</f>
        <v/>
      </c>
      <c r="W172" s="15">
        <f>IFERROR(VLOOKUP(T172,V8_COHORT_TABLE,2,FALSE),IFERROR(VLOOKUP(P172&amp;"|"&amp;Q172&amp;"|ALL|"&amp;S172,V8_COHORT_TABLE,2,FALSE),IFERROR(VLOOKUP(P172&amp;"|ALL|ALL|"&amp;S172,V8_COHORT_TABLE,2,FALSE),IFERROR(VLOOKUP(P172&amp;"|ALL|ALL|ALL",V8_COHORT_TABLE,2,FALSE),VLOOKUP("GLOBAL",V8_COHORT_TABLE,2,FALSE)))))</f>
        <v/>
      </c>
      <c r="X172" s="15">
        <f>IFERROR(VLOOKUP(T172,V8_COHORT_TABLE,3,FALSE),IFERROR(VLOOKUP(P172&amp;"|"&amp;Q172&amp;"|ALL|"&amp;S172,V8_COHORT_TABLE,3,FALSE),IFERROR(VLOOKUP(P172&amp;"|ALL|ALL|"&amp;S172,V8_COHORT_TABLE,3,FALSE),IFERROR(VLOOKUP(P172&amp;"|ALL|ALL|ALL",V8_COHORT_TABLE,3,FALSE),VLOOKUP("GLOBAL",V8_COHORT_TABLE,3,FALSE)))))</f>
        <v/>
      </c>
      <c r="Y172" s="15">
        <f>IFERROR(VLOOKUP(T172,V8_COHORT_TABLE,4,FALSE),IFERROR(VLOOKUP(P172&amp;"|"&amp;Q172&amp;"|ALL|"&amp;S172,V8_COHORT_TABLE,4,FALSE),IFERROR(VLOOKUP(P172&amp;"|ALL|ALL|"&amp;S172,V8_COHORT_TABLE,4,FALSE),IFERROR(VLOOKUP(P172&amp;"|ALL|ALL|ALL",V8_COHORT_TABLE,4,FALSE),VLOOKUP("GLOBAL",V8_COHORT_TABLE,4,FALSE)))))</f>
        <v/>
      </c>
      <c r="Z172" s="15">
        <f>IFERROR(VLOOKUP(T172,V8_COHORT_TABLE,5,FALSE),IFERROR(VLOOKUP(P172&amp;"|"&amp;Q172&amp;"|ALL|"&amp;S172,V8_COHORT_TABLE,5,FALSE),IFERROR(VLOOKUP(P172&amp;"|ALL|ALL|"&amp;S172,V8_COHORT_TABLE,5,FALSE),IFERROR(VLOOKUP(P172&amp;"|ALL|ALL|ALL",V8_COHORT_TABLE,5,FALSE),VLOOKUP("GLOBAL",V8_COHORT_TABLE,5,FALSE)))))</f>
        <v/>
      </c>
      <c r="AA172" s="15">
        <f>W172+X172/(1+EXP(-(V172-Y172)/Z172))</f>
        <v/>
      </c>
      <c r="AB172" s="15">
        <f>IFERROR(VLOOKUP(T172,V8_COHORT_TABLE,6,FALSE),IFERROR(VLOOKUP(P172&amp;"|"&amp;Q172&amp;"|ALL|"&amp;S172,V8_COHORT_TABLE,6,FALSE),IFERROR(VLOOKUP(P172&amp;"|ALL|ALL|"&amp;S172,V8_COHORT_TABLE,6,FALSE),IFERROR(VLOOKUP(P172&amp;"|ALL|ALL|ALL",V8_COHORT_TABLE,6,FALSE),VLOOKUP("GLOBAL",V8_COHORT_TABLE,6,FALSE)))))</f>
        <v/>
      </c>
      <c r="AC172" s="15">
        <f>IFERROR(VLOOKUP(T172,V8_COHORT_TABLE,7,FALSE),IFERROR(VLOOKUP(P172&amp;"|"&amp;Q172&amp;"|ALL|"&amp;S172,V8_COHORT_TABLE,7,FALSE),IFERROR(VLOOKUP(P172&amp;"|ALL|ALL|"&amp;S172,V8_COHORT_TABLE,7,FALSE),IFERROR(VLOOKUP(P172&amp;"|ALL|ALL|ALL",V8_COHORT_TABLE,7,FALSE),VLOOKUP("GLOBAL",V8_COHORT_TABLE,7,FALSE)))))</f>
        <v/>
      </c>
      <c r="AD172" s="15">
        <f>IFERROR(VLOOKUP(T172,V8_COHORT_TABLE,8,FALSE),IFERROR(VLOOKUP(P172&amp;"|"&amp;Q172&amp;"|ALL|"&amp;S172,V8_COHORT_TABLE,8,FALSE),IFERROR(VLOOKUP(P172&amp;"|ALL|ALL|"&amp;S172,V8_COHORT_TABLE,8,FALSE),IFERROR(VLOOKUP(P172&amp;"|ALL|ALL|ALL",V8_COHORT_TABLE,8,FALSE),VLOOKUP("GLOBAL",V8_COHORT_TABLE,8,FALSE)))))</f>
        <v/>
      </c>
      <c r="AE172" s="15">
        <f>IFERROR(VLOOKUP(T172,V8_COHORT_TABLE,9,FALSE),IFERROR(VLOOKUP(P172&amp;"|"&amp;Q172&amp;"|ALL|"&amp;S172,V8_COHORT_TABLE,9,FALSE),IFERROR(VLOOKUP(P172&amp;"|ALL|ALL|"&amp;S172,V8_COHORT_TABLE,9,FALSE),IFERROR(VLOOKUP(P172&amp;"|ALL|ALL|ALL",V8_COHORT_TABLE,9,FALSE),VLOOKUP("GLOBAL",V8_COHORT_TABLE,9,FALSE)))))</f>
        <v/>
      </c>
      <c r="AF172" s="8">
        <f>IF(K172&lt;=0,AB172,IF(K172&gt;=240,AE172,IF(K172&lt;=24,AB172+(K172-0)/24*(AC172-AB172),IF(K172&lt;=96,AC172+(K172-24)/72*(AD172-AC172),AD172+(K172-96)/144*(AE172-AD172)))))</f>
        <v/>
      </c>
      <c r="AG172" s="8">
        <f>IF(IF(OR(L172="",NOT(ISNUMBER(L172))),360,MAX(0,MIN(480,(INT(L172/100)-INT(VALUE(F172)/100))*12+MOD(L172,100)-MOD(VALUE(F172),100))))&gt;0,1+V8_MTY_AMP*MAX(0,(V8_MTY_CUTOFF-(IF(OR(L172="",NOT(ISNUMBER(L172))),360,MAX(0,MIN(480,(INT(L172/100)-INT(VALUE(F172)/100))*12+MOD(L172,100)-MOD(VALUE(F172),100))))))/V8_MTY_CUTOFF),1)</f>
        <v/>
      </c>
      <c r="AH172" s="8">
        <f>IF(AND(IF(OR(M172="",NOT(ISNUMBER(M172))),0,MAX(0,MIN(24,(INT(VALUE(F172)/100)-INT(M172/100))*12+MOD(VALUE(F172),100)-MOD(M172,100))))&gt;0,IF(OR(M172="",NOT(ISNUMBER(M172))),0,MAX(0,MIN(24,(INT(VALUE(F172)/100)-INT(M172/100))*12+MOD(VALUE(F172),100)-MOD(M172,100))))&lt;=12),1+V8_LOCKOUT_AMP*EXP(-(IF(OR(M172="",NOT(ISNUMBER(M172))),0,MAX(0,MIN(24,(INT(VALUE(F172)/100)-INT(M172/100))*12+MOD(VALUE(F172),100)-MOD(M172,100)))))/V8_LOCKOUT_TAU),1)</f>
        <v/>
      </c>
      <c r="AI172" s="8">
        <f>MAX(V8_BURN_FLOOR,1-V8_BURN_SLOPE*MIN(1,MAX(0,O172)))</f>
        <v/>
      </c>
      <c r="AJ172" s="15">
        <f>MIN(AA172*AF172*AG172*AH172*AI172,0.2)</f>
        <v/>
      </c>
      <c r="AK172" s="16">
        <f>1-(1-AJ172)^12</f>
        <v/>
      </c>
    </row>
    <row r="173">
      <c r="A173" s="2" t="inlineStr">
        <is>
          <t>000008235439</t>
        </is>
      </c>
      <c r="B173" t="inlineStr">
        <is>
          <t>221d4</t>
        </is>
      </c>
      <c r="C173" t="inlineStr">
        <is>
          <t>RP</t>
        </is>
      </c>
      <c r="D173" t="inlineStr">
        <is>
          <t>WELLS FARGO BANK, N.A.</t>
        </is>
      </c>
      <c r="E173" t="n">
        <v>2013</v>
      </c>
      <c r="F173" t="inlineStr">
        <is>
          <t>202602</t>
        </is>
      </c>
      <c r="G173" s="9" t="n">
        <v>827917.08</v>
      </c>
      <c r="H173" s="13" t="n">
        <v>3.17</v>
      </c>
      <c r="I173" s="14" t="n">
        <v>447</v>
      </c>
      <c r="J173" s="14" t="n">
        <v>0</v>
      </c>
      <c r="K173" t="n">
        <v>154</v>
      </c>
      <c r="L173" t="n">
        <v>203505</v>
      </c>
      <c r="M173" t="inlineStr"/>
      <c r="N173" t="n">
        <v>30</v>
      </c>
      <c r="O173" s="8" t="n">
        <v>0.1948051948051948</v>
      </c>
      <c r="P173">
        <f>IF(ISNUMBER(SEARCH("232",B173)),"232",IF(ISNUMBER(SEARCH("538",B173)),"538",IF(ISNUMBER(SEARCH("223a7",B173)),"223a7",IF(ISNUMBER(SEARCH("223f",B173)),"223f","OTHER"))))</f>
        <v/>
      </c>
      <c r="Q173">
        <f>IF(UPPER(C173)="NC","NC","RP")</f>
        <v/>
      </c>
      <c r="R173">
        <f>IF(G173&lt;5000000,"small",IF(G173&lt;25000000,"medium","large"))</f>
        <v/>
      </c>
      <c r="S173">
        <f>IF(K173&lt;36,"young",IF(K173&lt;120,"seasoned","aged"))</f>
        <v/>
      </c>
      <c r="T173">
        <f>P173&amp;"|"&amp;Q173&amp;"|"&amp;R173&amp;"|"&amp;S173</f>
        <v/>
      </c>
      <c r="U173" s="14">
        <f>H173*100-I173</f>
        <v/>
      </c>
      <c r="V173" s="14">
        <f>U173-12.5*(J173+1)</f>
        <v/>
      </c>
      <c r="W173" s="15">
        <f>IFERROR(VLOOKUP(T173,V8_COHORT_TABLE,2,FALSE),IFERROR(VLOOKUP(P173&amp;"|"&amp;Q173&amp;"|ALL|"&amp;S173,V8_COHORT_TABLE,2,FALSE),IFERROR(VLOOKUP(P173&amp;"|ALL|ALL|"&amp;S173,V8_COHORT_TABLE,2,FALSE),IFERROR(VLOOKUP(P173&amp;"|ALL|ALL|ALL",V8_COHORT_TABLE,2,FALSE),VLOOKUP("GLOBAL",V8_COHORT_TABLE,2,FALSE)))))</f>
        <v/>
      </c>
      <c r="X173" s="15">
        <f>IFERROR(VLOOKUP(T173,V8_COHORT_TABLE,3,FALSE),IFERROR(VLOOKUP(P173&amp;"|"&amp;Q173&amp;"|ALL|"&amp;S173,V8_COHORT_TABLE,3,FALSE),IFERROR(VLOOKUP(P173&amp;"|ALL|ALL|"&amp;S173,V8_COHORT_TABLE,3,FALSE),IFERROR(VLOOKUP(P173&amp;"|ALL|ALL|ALL",V8_COHORT_TABLE,3,FALSE),VLOOKUP("GLOBAL",V8_COHORT_TABLE,3,FALSE)))))</f>
        <v/>
      </c>
      <c r="Y173" s="15">
        <f>IFERROR(VLOOKUP(T173,V8_COHORT_TABLE,4,FALSE),IFERROR(VLOOKUP(P173&amp;"|"&amp;Q173&amp;"|ALL|"&amp;S173,V8_COHORT_TABLE,4,FALSE),IFERROR(VLOOKUP(P173&amp;"|ALL|ALL|"&amp;S173,V8_COHORT_TABLE,4,FALSE),IFERROR(VLOOKUP(P173&amp;"|ALL|ALL|ALL",V8_COHORT_TABLE,4,FALSE),VLOOKUP("GLOBAL",V8_COHORT_TABLE,4,FALSE)))))</f>
        <v/>
      </c>
      <c r="Z173" s="15">
        <f>IFERROR(VLOOKUP(T173,V8_COHORT_TABLE,5,FALSE),IFERROR(VLOOKUP(P173&amp;"|"&amp;Q173&amp;"|ALL|"&amp;S173,V8_COHORT_TABLE,5,FALSE),IFERROR(VLOOKUP(P173&amp;"|ALL|ALL|"&amp;S173,V8_COHORT_TABLE,5,FALSE),IFERROR(VLOOKUP(P173&amp;"|ALL|ALL|ALL",V8_COHORT_TABLE,5,FALSE),VLOOKUP("GLOBAL",V8_COHORT_TABLE,5,FALSE)))))</f>
        <v/>
      </c>
      <c r="AA173" s="15">
        <f>W173+X173/(1+EXP(-(V173-Y173)/Z173))</f>
        <v/>
      </c>
      <c r="AB173" s="15">
        <f>IFERROR(VLOOKUP(T173,V8_COHORT_TABLE,6,FALSE),IFERROR(VLOOKUP(P173&amp;"|"&amp;Q173&amp;"|ALL|"&amp;S173,V8_COHORT_TABLE,6,FALSE),IFERROR(VLOOKUP(P173&amp;"|ALL|ALL|"&amp;S173,V8_COHORT_TABLE,6,FALSE),IFERROR(VLOOKUP(P173&amp;"|ALL|ALL|ALL",V8_COHORT_TABLE,6,FALSE),VLOOKUP("GLOBAL",V8_COHORT_TABLE,6,FALSE)))))</f>
        <v/>
      </c>
      <c r="AC173" s="15">
        <f>IFERROR(VLOOKUP(T173,V8_COHORT_TABLE,7,FALSE),IFERROR(VLOOKUP(P173&amp;"|"&amp;Q173&amp;"|ALL|"&amp;S173,V8_COHORT_TABLE,7,FALSE),IFERROR(VLOOKUP(P173&amp;"|ALL|ALL|"&amp;S173,V8_COHORT_TABLE,7,FALSE),IFERROR(VLOOKUP(P173&amp;"|ALL|ALL|ALL",V8_COHORT_TABLE,7,FALSE),VLOOKUP("GLOBAL",V8_COHORT_TABLE,7,FALSE)))))</f>
        <v/>
      </c>
      <c r="AD173" s="15">
        <f>IFERROR(VLOOKUP(T173,V8_COHORT_TABLE,8,FALSE),IFERROR(VLOOKUP(P173&amp;"|"&amp;Q173&amp;"|ALL|"&amp;S173,V8_COHORT_TABLE,8,FALSE),IFERROR(VLOOKUP(P173&amp;"|ALL|ALL|"&amp;S173,V8_COHORT_TABLE,8,FALSE),IFERROR(VLOOKUP(P173&amp;"|ALL|ALL|ALL",V8_COHORT_TABLE,8,FALSE),VLOOKUP("GLOBAL",V8_COHORT_TABLE,8,FALSE)))))</f>
        <v/>
      </c>
      <c r="AE173" s="15">
        <f>IFERROR(VLOOKUP(T173,V8_COHORT_TABLE,9,FALSE),IFERROR(VLOOKUP(P173&amp;"|"&amp;Q173&amp;"|ALL|"&amp;S173,V8_COHORT_TABLE,9,FALSE),IFERROR(VLOOKUP(P173&amp;"|ALL|ALL|"&amp;S173,V8_COHORT_TABLE,9,FALSE),IFERROR(VLOOKUP(P173&amp;"|ALL|ALL|ALL",V8_COHORT_TABLE,9,FALSE),VLOOKUP("GLOBAL",V8_COHORT_TABLE,9,FALSE)))))</f>
        <v/>
      </c>
      <c r="AF173" s="8">
        <f>IF(K173&lt;=0,AB173,IF(K173&gt;=240,AE173,IF(K173&lt;=24,AB173+(K173-0)/24*(AC173-AB173),IF(K173&lt;=96,AC173+(K173-24)/72*(AD173-AC173),AD173+(K173-96)/144*(AE173-AD173)))))</f>
        <v/>
      </c>
      <c r="AG173" s="8">
        <f>IF(IF(OR(L173="",NOT(ISNUMBER(L173))),360,MAX(0,MIN(480,(INT(L173/100)-INT(VALUE(F173)/100))*12+MOD(L173,100)-MOD(VALUE(F173),100))))&gt;0,1+V8_MTY_AMP*MAX(0,(V8_MTY_CUTOFF-(IF(OR(L173="",NOT(ISNUMBER(L173))),360,MAX(0,MIN(480,(INT(L173/100)-INT(VALUE(F173)/100))*12+MOD(L173,100)-MOD(VALUE(F173),100))))))/V8_MTY_CUTOFF),1)</f>
        <v/>
      </c>
      <c r="AH173" s="8">
        <f>IF(AND(IF(OR(M173="",NOT(ISNUMBER(M173))),0,MAX(0,MIN(24,(INT(VALUE(F173)/100)-INT(M173/100))*12+MOD(VALUE(F173),100)-MOD(M173,100))))&gt;0,IF(OR(M173="",NOT(ISNUMBER(M173))),0,MAX(0,MIN(24,(INT(VALUE(F173)/100)-INT(M173/100))*12+MOD(VALUE(F173),100)-MOD(M173,100))))&lt;=12),1+V8_LOCKOUT_AMP*EXP(-(IF(OR(M173="",NOT(ISNUMBER(M173))),0,MAX(0,MIN(24,(INT(VALUE(F173)/100)-INT(M173/100))*12+MOD(VALUE(F173),100)-MOD(M173,100)))))/V8_LOCKOUT_TAU),1)</f>
        <v/>
      </c>
      <c r="AI173" s="8">
        <f>MAX(V8_BURN_FLOOR,1-V8_BURN_SLOPE*MIN(1,MAX(0,O173)))</f>
        <v/>
      </c>
      <c r="AJ173" s="15">
        <f>MIN(AA173*AF173*AG173*AH173*AI173,0.2)</f>
        <v/>
      </c>
      <c r="AK173" s="16">
        <f>1-(1-AJ173)^12</f>
        <v/>
      </c>
    </row>
    <row r="174">
      <c r="A174" s="2" t="inlineStr">
        <is>
          <t>000005211167</t>
        </is>
      </c>
      <c r="B174" t="inlineStr">
        <is>
          <t>223f</t>
        </is>
      </c>
      <c r="C174" t="inlineStr">
        <is>
          <t>RP</t>
        </is>
      </c>
      <c r="D174" t="inlineStr">
        <is>
          <t>WELLS FARGO BANK, N.A.</t>
        </is>
      </c>
      <c r="E174" t="n">
        <v>2012</v>
      </c>
      <c r="F174" t="inlineStr">
        <is>
          <t>202602</t>
        </is>
      </c>
      <c r="G174" s="9" t="n">
        <v>3497280.04</v>
      </c>
      <c r="H174" s="13" t="n">
        <v>2.71</v>
      </c>
      <c r="I174" s="14" t="n">
        <v>447</v>
      </c>
      <c r="J174" s="14" t="n">
        <v>0</v>
      </c>
      <c r="K174" t="n">
        <v>164</v>
      </c>
      <c r="L174" t="n">
        <v>204707</v>
      </c>
      <c r="M174" t="n">
        <v>201308</v>
      </c>
      <c r="N174" t="n">
        <v>25</v>
      </c>
      <c r="O174" s="8" t="n">
        <v>0.1524390243902439</v>
      </c>
      <c r="P174">
        <f>IF(ISNUMBER(SEARCH("232",B174)),"232",IF(ISNUMBER(SEARCH("538",B174)),"538",IF(ISNUMBER(SEARCH("223a7",B174)),"223a7",IF(ISNUMBER(SEARCH("223f",B174)),"223f","OTHER"))))</f>
        <v/>
      </c>
      <c r="Q174">
        <f>IF(UPPER(C174)="NC","NC","RP")</f>
        <v/>
      </c>
      <c r="R174">
        <f>IF(G174&lt;5000000,"small",IF(G174&lt;25000000,"medium","large"))</f>
        <v/>
      </c>
      <c r="S174">
        <f>IF(K174&lt;36,"young",IF(K174&lt;120,"seasoned","aged"))</f>
        <v/>
      </c>
      <c r="T174">
        <f>P174&amp;"|"&amp;Q174&amp;"|"&amp;R174&amp;"|"&amp;S174</f>
        <v/>
      </c>
      <c r="U174" s="14">
        <f>H174*100-I174</f>
        <v/>
      </c>
      <c r="V174" s="14">
        <f>U174-12.5*(J174+1)</f>
        <v/>
      </c>
      <c r="W174" s="15">
        <f>IFERROR(VLOOKUP(T174,V8_COHORT_TABLE,2,FALSE),IFERROR(VLOOKUP(P174&amp;"|"&amp;Q174&amp;"|ALL|"&amp;S174,V8_COHORT_TABLE,2,FALSE),IFERROR(VLOOKUP(P174&amp;"|ALL|ALL|"&amp;S174,V8_COHORT_TABLE,2,FALSE),IFERROR(VLOOKUP(P174&amp;"|ALL|ALL|ALL",V8_COHORT_TABLE,2,FALSE),VLOOKUP("GLOBAL",V8_COHORT_TABLE,2,FALSE)))))</f>
        <v/>
      </c>
      <c r="X174" s="15">
        <f>IFERROR(VLOOKUP(T174,V8_COHORT_TABLE,3,FALSE),IFERROR(VLOOKUP(P174&amp;"|"&amp;Q174&amp;"|ALL|"&amp;S174,V8_COHORT_TABLE,3,FALSE),IFERROR(VLOOKUP(P174&amp;"|ALL|ALL|"&amp;S174,V8_COHORT_TABLE,3,FALSE),IFERROR(VLOOKUP(P174&amp;"|ALL|ALL|ALL",V8_COHORT_TABLE,3,FALSE),VLOOKUP("GLOBAL",V8_COHORT_TABLE,3,FALSE)))))</f>
        <v/>
      </c>
      <c r="Y174" s="15">
        <f>IFERROR(VLOOKUP(T174,V8_COHORT_TABLE,4,FALSE),IFERROR(VLOOKUP(P174&amp;"|"&amp;Q174&amp;"|ALL|"&amp;S174,V8_COHORT_TABLE,4,FALSE),IFERROR(VLOOKUP(P174&amp;"|ALL|ALL|"&amp;S174,V8_COHORT_TABLE,4,FALSE),IFERROR(VLOOKUP(P174&amp;"|ALL|ALL|ALL",V8_COHORT_TABLE,4,FALSE),VLOOKUP("GLOBAL",V8_COHORT_TABLE,4,FALSE)))))</f>
        <v/>
      </c>
      <c r="Z174" s="15">
        <f>IFERROR(VLOOKUP(T174,V8_COHORT_TABLE,5,FALSE),IFERROR(VLOOKUP(P174&amp;"|"&amp;Q174&amp;"|ALL|"&amp;S174,V8_COHORT_TABLE,5,FALSE),IFERROR(VLOOKUP(P174&amp;"|ALL|ALL|"&amp;S174,V8_COHORT_TABLE,5,FALSE),IFERROR(VLOOKUP(P174&amp;"|ALL|ALL|ALL",V8_COHORT_TABLE,5,FALSE),VLOOKUP("GLOBAL",V8_COHORT_TABLE,5,FALSE)))))</f>
        <v/>
      </c>
      <c r="AA174" s="15">
        <f>W174+X174/(1+EXP(-(V174-Y174)/Z174))</f>
        <v/>
      </c>
      <c r="AB174" s="15">
        <f>IFERROR(VLOOKUP(T174,V8_COHORT_TABLE,6,FALSE),IFERROR(VLOOKUP(P174&amp;"|"&amp;Q174&amp;"|ALL|"&amp;S174,V8_COHORT_TABLE,6,FALSE),IFERROR(VLOOKUP(P174&amp;"|ALL|ALL|"&amp;S174,V8_COHORT_TABLE,6,FALSE),IFERROR(VLOOKUP(P174&amp;"|ALL|ALL|ALL",V8_COHORT_TABLE,6,FALSE),VLOOKUP("GLOBAL",V8_COHORT_TABLE,6,FALSE)))))</f>
        <v/>
      </c>
      <c r="AC174" s="15">
        <f>IFERROR(VLOOKUP(T174,V8_COHORT_TABLE,7,FALSE),IFERROR(VLOOKUP(P174&amp;"|"&amp;Q174&amp;"|ALL|"&amp;S174,V8_COHORT_TABLE,7,FALSE),IFERROR(VLOOKUP(P174&amp;"|ALL|ALL|"&amp;S174,V8_COHORT_TABLE,7,FALSE),IFERROR(VLOOKUP(P174&amp;"|ALL|ALL|ALL",V8_COHORT_TABLE,7,FALSE),VLOOKUP("GLOBAL",V8_COHORT_TABLE,7,FALSE)))))</f>
        <v/>
      </c>
      <c r="AD174" s="15">
        <f>IFERROR(VLOOKUP(T174,V8_COHORT_TABLE,8,FALSE),IFERROR(VLOOKUP(P174&amp;"|"&amp;Q174&amp;"|ALL|"&amp;S174,V8_COHORT_TABLE,8,FALSE),IFERROR(VLOOKUP(P174&amp;"|ALL|ALL|"&amp;S174,V8_COHORT_TABLE,8,FALSE),IFERROR(VLOOKUP(P174&amp;"|ALL|ALL|ALL",V8_COHORT_TABLE,8,FALSE),VLOOKUP("GLOBAL",V8_COHORT_TABLE,8,FALSE)))))</f>
        <v/>
      </c>
      <c r="AE174" s="15">
        <f>IFERROR(VLOOKUP(T174,V8_COHORT_TABLE,9,FALSE),IFERROR(VLOOKUP(P174&amp;"|"&amp;Q174&amp;"|ALL|"&amp;S174,V8_COHORT_TABLE,9,FALSE),IFERROR(VLOOKUP(P174&amp;"|ALL|ALL|"&amp;S174,V8_COHORT_TABLE,9,FALSE),IFERROR(VLOOKUP(P174&amp;"|ALL|ALL|ALL",V8_COHORT_TABLE,9,FALSE),VLOOKUP("GLOBAL",V8_COHORT_TABLE,9,FALSE)))))</f>
        <v/>
      </c>
      <c r="AF174" s="8">
        <f>IF(K174&lt;=0,AB174,IF(K174&gt;=240,AE174,IF(K174&lt;=24,AB174+(K174-0)/24*(AC174-AB174),IF(K174&lt;=96,AC174+(K174-24)/72*(AD174-AC174),AD174+(K174-96)/144*(AE174-AD174)))))</f>
        <v/>
      </c>
      <c r="AG174" s="8">
        <f>IF(IF(OR(L174="",NOT(ISNUMBER(L174))),360,MAX(0,MIN(480,(INT(L174/100)-INT(VALUE(F174)/100))*12+MOD(L174,100)-MOD(VALUE(F174),100))))&gt;0,1+V8_MTY_AMP*MAX(0,(V8_MTY_CUTOFF-(IF(OR(L174="",NOT(ISNUMBER(L174))),360,MAX(0,MIN(480,(INT(L174/100)-INT(VALUE(F174)/100))*12+MOD(L174,100)-MOD(VALUE(F174),100))))))/V8_MTY_CUTOFF),1)</f>
        <v/>
      </c>
      <c r="AH174" s="8">
        <f>IF(AND(IF(OR(M174="",NOT(ISNUMBER(M174))),0,MAX(0,MIN(24,(INT(VALUE(F174)/100)-INT(M174/100))*12+MOD(VALUE(F174),100)-MOD(M174,100))))&gt;0,IF(OR(M174="",NOT(ISNUMBER(M174))),0,MAX(0,MIN(24,(INT(VALUE(F174)/100)-INT(M174/100))*12+MOD(VALUE(F174),100)-MOD(M174,100))))&lt;=12),1+V8_LOCKOUT_AMP*EXP(-(IF(OR(M174="",NOT(ISNUMBER(M174))),0,MAX(0,MIN(24,(INT(VALUE(F174)/100)-INT(M174/100))*12+MOD(VALUE(F174),100)-MOD(M174,100)))))/V8_LOCKOUT_TAU),1)</f>
        <v/>
      </c>
      <c r="AI174" s="8">
        <f>MAX(V8_BURN_FLOOR,1-V8_BURN_SLOPE*MIN(1,MAX(0,O174)))</f>
        <v/>
      </c>
      <c r="AJ174" s="15">
        <f>MIN(AA174*AF174*AG174*AH174*AI174,0.2)</f>
        <v/>
      </c>
      <c r="AK174" s="16">
        <f>1-(1-AJ174)^12</f>
        <v/>
      </c>
    </row>
    <row r="175">
      <c r="A175" s="2" t="inlineStr">
        <is>
          <t>000014335134</t>
        </is>
      </c>
      <c r="B175" t="inlineStr">
        <is>
          <t>221d4</t>
        </is>
      </c>
      <c r="C175" t="inlineStr">
        <is>
          <t>NC</t>
        </is>
      </c>
      <c r="D175" t="inlineStr">
        <is>
          <t>WELLS FARGO BANK, N.A.</t>
        </is>
      </c>
      <c r="E175" t="n">
        <v>2020</v>
      </c>
      <c r="F175" t="inlineStr">
        <is>
          <t>202602</t>
        </is>
      </c>
      <c r="G175" s="9" t="n">
        <v>44900623.16</v>
      </c>
      <c r="H175" s="13" t="n">
        <v>2.88</v>
      </c>
      <c r="I175" s="14" t="n">
        <v>447</v>
      </c>
      <c r="J175" s="14" t="n">
        <v>7</v>
      </c>
      <c r="K175" t="n">
        <v>70</v>
      </c>
      <c r="L175" t="n">
        <v>206205</v>
      </c>
      <c r="M175" t="inlineStr"/>
      <c r="N175" t="n">
        <v>0</v>
      </c>
      <c r="O175" s="8" t="n">
        <v>0</v>
      </c>
      <c r="P175">
        <f>IF(ISNUMBER(SEARCH("232",B175)),"232",IF(ISNUMBER(SEARCH("538",B175)),"538",IF(ISNUMBER(SEARCH("223a7",B175)),"223a7",IF(ISNUMBER(SEARCH("223f",B175)),"223f","OTHER"))))</f>
        <v/>
      </c>
      <c r="Q175">
        <f>IF(UPPER(C175)="NC","NC","RP")</f>
        <v/>
      </c>
      <c r="R175">
        <f>IF(G175&lt;5000000,"small",IF(G175&lt;25000000,"medium","large"))</f>
        <v/>
      </c>
      <c r="S175">
        <f>IF(K175&lt;36,"young",IF(K175&lt;120,"seasoned","aged"))</f>
        <v/>
      </c>
      <c r="T175">
        <f>P175&amp;"|"&amp;Q175&amp;"|"&amp;R175&amp;"|"&amp;S175</f>
        <v/>
      </c>
      <c r="U175" s="14">
        <f>H175*100-I175</f>
        <v/>
      </c>
      <c r="V175" s="14">
        <f>U175-12.5*(J175+1)</f>
        <v/>
      </c>
      <c r="W175" s="15">
        <f>IFERROR(VLOOKUP(T175,V8_COHORT_TABLE,2,FALSE),IFERROR(VLOOKUP(P175&amp;"|"&amp;Q175&amp;"|ALL|"&amp;S175,V8_COHORT_TABLE,2,FALSE),IFERROR(VLOOKUP(P175&amp;"|ALL|ALL|"&amp;S175,V8_COHORT_TABLE,2,FALSE),IFERROR(VLOOKUP(P175&amp;"|ALL|ALL|ALL",V8_COHORT_TABLE,2,FALSE),VLOOKUP("GLOBAL",V8_COHORT_TABLE,2,FALSE)))))</f>
        <v/>
      </c>
      <c r="X175" s="15">
        <f>IFERROR(VLOOKUP(T175,V8_COHORT_TABLE,3,FALSE),IFERROR(VLOOKUP(P175&amp;"|"&amp;Q175&amp;"|ALL|"&amp;S175,V8_COHORT_TABLE,3,FALSE),IFERROR(VLOOKUP(P175&amp;"|ALL|ALL|"&amp;S175,V8_COHORT_TABLE,3,FALSE),IFERROR(VLOOKUP(P175&amp;"|ALL|ALL|ALL",V8_COHORT_TABLE,3,FALSE),VLOOKUP("GLOBAL",V8_COHORT_TABLE,3,FALSE)))))</f>
        <v/>
      </c>
      <c r="Y175" s="15">
        <f>IFERROR(VLOOKUP(T175,V8_COHORT_TABLE,4,FALSE),IFERROR(VLOOKUP(P175&amp;"|"&amp;Q175&amp;"|ALL|"&amp;S175,V8_COHORT_TABLE,4,FALSE),IFERROR(VLOOKUP(P175&amp;"|ALL|ALL|"&amp;S175,V8_COHORT_TABLE,4,FALSE),IFERROR(VLOOKUP(P175&amp;"|ALL|ALL|ALL",V8_COHORT_TABLE,4,FALSE),VLOOKUP("GLOBAL",V8_COHORT_TABLE,4,FALSE)))))</f>
        <v/>
      </c>
      <c r="Z175" s="15">
        <f>IFERROR(VLOOKUP(T175,V8_COHORT_TABLE,5,FALSE),IFERROR(VLOOKUP(P175&amp;"|"&amp;Q175&amp;"|ALL|"&amp;S175,V8_COHORT_TABLE,5,FALSE),IFERROR(VLOOKUP(P175&amp;"|ALL|ALL|"&amp;S175,V8_COHORT_TABLE,5,FALSE),IFERROR(VLOOKUP(P175&amp;"|ALL|ALL|ALL",V8_COHORT_TABLE,5,FALSE),VLOOKUP("GLOBAL",V8_COHORT_TABLE,5,FALSE)))))</f>
        <v/>
      </c>
      <c r="AA175" s="15">
        <f>W175+X175/(1+EXP(-(V175-Y175)/Z175))</f>
        <v/>
      </c>
      <c r="AB175" s="15">
        <f>IFERROR(VLOOKUP(T175,V8_COHORT_TABLE,6,FALSE),IFERROR(VLOOKUP(P175&amp;"|"&amp;Q175&amp;"|ALL|"&amp;S175,V8_COHORT_TABLE,6,FALSE),IFERROR(VLOOKUP(P175&amp;"|ALL|ALL|"&amp;S175,V8_COHORT_TABLE,6,FALSE),IFERROR(VLOOKUP(P175&amp;"|ALL|ALL|ALL",V8_COHORT_TABLE,6,FALSE),VLOOKUP("GLOBAL",V8_COHORT_TABLE,6,FALSE)))))</f>
        <v/>
      </c>
      <c r="AC175" s="15">
        <f>IFERROR(VLOOKUP(T175,V8_COHORT_TABLE,7,FALSE),IFERROR(VLOOKUP(P175&amp;"|"&amp;Q175&amp;"|ALL|"&amp;S175,V8_COHORT_TABLE,7,FALSE),IFERROR(VLOOKUP(P175&amp;"|ALL|ALL|"&amp;S175,V8_COHORT_TABLE,7,FALSE),IFERROR(VLOOKUP(P175&amp;"|ALL|ALL|ALL",V8_COHORT_TABLE,7,FALSE),VLOOKUP("GLOBAL",V8_COHORT_TABLE,7,FALSE)))))</f>
        <v/>
      </c>
      <c r="AD175" s="15">
        <f>IFERROR(VLOOKUP(T175,V8_COHORT_TABLE,8,FALSE),IFERROR(VLOOKUP(P175&amp;"|"&amp;Q175&amp;"|ALL|"&amp;S175,V8_COHORT_TABLE,8,FALSE),IFERROR(VLOOKUP(P175&amp;"|ALL|ALL|"&amp;S175,V8_COHORT_TABLE,8,FALSE),IFERROR(VLOOKUP(P175&amp;"|ALL|ALL|ALL",V8_COHORT_TABLE,8,FALSE),VLOOKUP("GLOBAL",V8_COHORT_TABLE,8,FALSE)))))</f>
        <v/>
      </c>
      <c r="AE175" s="15">
        <f>IFERROR(VLOOKUP(T175,V8_COHORT_TABLE,9,FALSE),IFERROR(VLOOKUP(P175&amp;"|"&amp;Q175&amp;"|ALL|"&amp;S175,V8_COHORT_TABLE,9,FALSE),IFERROR(VLOOKUP(P175&amp;"|ALL|ALL|"&amp;S175,V8_COHORT_TABLE,9,FALSE),IFERROR(VLOOKUP(P175&amp;"|ALL|ALL|ALL",V8_COHORT_TABLE,9,FALSE),VLOOKUP("GLOBAL",V8_COHORT_TABLE,9,FALSE)))))</f>
        <v/>
      </c>
      <c r="AF175" s="8">
        <f>IF(K175&lt;=0,AB175,IF(K175&gt;=240,AE175,IF(K175&lt;=24,AB175+(K175-0)/24*(AC175-AB175),IF(K175&lt;=96,AC175+(K175-24)/72*(AD175-AC175),AD175+(K175-96)/144*(AE175-AD175)))))</f>
        <v/>
      </c>
      <c r="AG175" s="8">
        <f>IF(IF(OR(L175="",NOT(ISNUMBER(L175))),360,MAX(0,MIN(480,(INT(L175/100)-INT(VALUE(F175)/100))*12+MOD(L175,100)-MOD(VALUE(F175),100))))&gt;0,1+V8_MTY_AMP*MAX(0,(V8_MTY_CUTOFF-(IF(OR(L175="",NOT(ISNUMBER(L175))),360,MAX(0,MIN(480,(INT(L175/100)-INT(VALUE(F175)/100))*12+MOD(L175,100)-MOD(VALUE(F175),100))))))/V8_MTY_CUTOFF),1)</f>
        <v/>
      </c>
      <c r="AH175" s="8">
        <f>IF(AND(IF(OR(M175="",NOT(ISNUMBER(M175))),0,MAX(0,MIN(24,(INT(VALUE(F175)/100)-INT(M175/100))*12+MOD(VALUE(F175),100)-MOD(M175,100))))&gt;0,IF(OR(M175="",NOT(ISNUMBER(M175))),0,MAX(0,MIN(24,(INT(VALUE(F175)/100)-INT(M175/100))*12+MOD(VALUE(F175),100)-MOD(M175,100))))&lt;=12),1+V8_LOCKOUT_AMP*EXP(-(IF(OR(M175="",NOT(ISNUMBER(M175))),0,MAX(0,MIN(24,(INT(VALUE(F175)/100)-INT(M175/100))*12+MOD(VALUE(F175),100)-MOD(M175,100)))))/V8_LOCKOUT_TAU),1)</f>
        <v/>
      </c>
      <c r="AI175" s="8">
        <f>MAX(V8_BURN_FLOOR,1-V8_BURN_SLOPE*MIN(1,MAX(0,O175)))</f>
        <v/>
      </c>
      <c r="AJ175" s="15">
        <f>MIN(AA175*AF175*AG175*AH175*AI175,0.2)</f>
        <v/>
      </c>
      <c r="AK175" s="16">
        <f>1-(1-AJ175)^12</f>
        <v/>
      </c>
    </row>
    <row r="176">
      <c r="A176" s="2" t="inlineStr">
        <is>
          <t>000005235605</t>
        </is>
      </c>
      <c r="B176" t="inlineStr">
        <is>
          <t>221d4</t>
        </is>
      </c>
      <c r="C176" t="inlineStr">
        <is>
          <t>RP</t>
        </is>
      </c>
      <c r="D176" t="inlineStr">
        <is>
          <t>WELLS FARGO BANK, N.A.</t>
        </is>
      </c>
      <c r="E176" t="n">
        <v>2003</v>
      </c>
      <c r="F176" t="inlineStr">
        <is>
          <t>202602</t>
        </is>
      </c>
      <c r="G176" s="9" t="n">
        <v>436898.39</v>
      </c>
      <c r="H176" s="13" t="n">
        <v>2.3</v>
      </c>
      <c r="I176" s="14" t="n">
        <v>447</v>
      </c>
      <c r="J176" s="14" t="n">
        <v>5</v>
      </c>
      <c r="K176" t="n">
        <v>269</v>
      </c>
      <c r="L176" t="n">
        <v>203310</v>
      </c>
      <c r="M176" t="inlineStr"/>
      <c r="N176" t="n">
        <v>0</v>
      </c>
      <c r="O176" s="8" t="n">
        <v>0</v>
      </c>
      <c r="P176">
        <f>IF(ISNUMBER(SEARCH("232",B176)),"232",IF(ISNUMBER(SEARCH("538",B176)),"538",IF(ISNUMBER(SEARCH("223a7",B176)),"223a7",IF(ISNUMBER(SEARCH("223f",B176)),"223f","OTHER"))))</f>
        <v/>
      </c>
      <c r="Q176">
        <f>IF(UPPER(C176)="NC","NC","RP")</f>
        <v/>
      </c>
      <c r="R176">
        <f>IF(G176&lt;5000000,"small",IF(G176&lt;25000000,"medium","large"))</f>
        <v/>
      </c>
      <c r="S176">
        <f>IF(K176&lt;36,"young",IF(K176&lt;120,"seasoned","aged"))</f>
        <v/>
      </c>
      <c r="T176">
        <f>P176&amp;"|"&amp;Q176&amp;"|"&amp;R176&amp;"|"&amp;S176</f>
        <v/>
      </c>
      <c r="U176" s="14">
        <f>H176*100-I176</f>
        <v/>
      </c>
      <c r="V176" s="14">
        <f>U176-12.5*(J176+1)</f>
        <v/>
      </c>
      <c r="W176" s="15">
        <f>IFERROR(VLOOKUP(T176,V8_COHORT_TABLE,2,FALSE),IFERROR(VLOOKUP(P176&amp;"|"&amp;Q176&amp;"|ALL|"&amp;S176,V8_COHORT_TABLE,2,FALSE),IFERROR(VLOOKUP(P176&amp;"|ALL|ALL|"&amp;S176,V8_COHORT_TABLE,2,FALSE),IFERROR(VLOOKUP(P176&amp;"|ALL|ALL|ALL",V8_COHORT_TABLE,2,FALSE),VLOOKUP("GLOBAL",V8_COHORT_TABLE,2,FALSE)))))</f>
        <v/>
      </c>
      <c r="X176" s="15">
        <f>IFERROR(VLOOKUP(T176,V8_COHORT_TABLE,3,FALSE),IFERROR(VLOOKUP(P176&amp;"|"&amp;Q176&amp;"|ALL|"&amp;S176,V8_COHORT_TABLE,3,FALSE),IFERROR(VLOOKUP(P176&amp;"|ALL|ALL|"&amp;S176,V8_COHORT_TABLE,3,FALSE),IFERROR(VLOOKUP(P176&amp;"|ALL|ALL|ALL",V8_COHORT_TABLE,3,FALSE),VLOOKUP("GLOBAL",V8_COHORT_TABLE,3,FALSE)))))</f>
        <v/>
      </c>
      <c r="Y176" s="15">
        <f>IFERROR(VLOOKUP(T176,V8_COHORT_TABLE,4,FALSE),IFERROR(VLOOKUP(P176&amp;"|"&amp;Q176&amp;"|ALL|"&amp;S176,V8_COHORT_TABLE,4,FALSE),IFERROR(VLOOKUP(P176&amp;"|ALL|ALL|"&amp;S176,V8_COHORT_TABLE,4,FALSE),IFERROR(VLOOKUP(P176&amp;"|ALL|ALL|ALL",V8_COHORT_TABLE,4,FALSE),VLOOKUP("GLOBAL",V8_COHORT_TABLE,4,FALSE)))))</f>
        <v/>
      </c>
      <c r="Z176" s="15">
        <f>IFERROR(VLOOKUP(T176,V8_COHORT_TABLE,5,FALSE),IFERROR(VLOOKUP(P176&amp;"|"&amp;Q176&amp;"|ALL|"&amp;S176,V8_COHORT_TABLE,5,FALSE),IFERROR(VLOOKUP(P176&amp;"|ALL|ALL|"&amp;S176,V8_COHORT_TABLE,5,FALSE),IFERROR(VLOOKUP(P176&amp;"|ALL|ALL|ALL",V8_COHORT_TABLE,5,FALSE),VLOOKUP("GLOBAL",V8_COHORT_TABLE,5,FALSE)))))</f>
        <v/>
      </c>
      <c r="AA176" s="15">
        <f>W176+X176/(1+EXP(-(V176-Y176)/Z176))</f>
        <v/>
      </c>
      <c r="AB176" s="15">
        <f>IFERROR(VLOOKUP(T176,V8_COHORT_TABLE,6,FALSE),IFERROR(VLOOKUP(P176&amp;"|"&amp;Q176&amp;"|ALL|"&amp;S176,V8_COHORT_TABLE,6,FALSE),IFERROR(VLOOKUP(P176&amp;"|ALL|ALL|"&amp;S176,V8_COHORT_TABLE,6,FALSE),IFERROR(VLOOKUP(P176&amp;"|ALL|ALL|ALL",V8_COHORT_TABLE,6,FALSE),VLOOKUP("GLOBAL",V8_COHORT_TABLE,6,FALSE)))))</f>
        <v/>
      </c>
      <c r="AC176" s="15">
        <f>IFERROR(VLOOKUP(T176,V8_COHORT_TABLE,7,FALSE),IFERROR(VLOOKUP(P176&amp;"|"&amp;Q176&amp;"|ALL|"&amp;S176,V8_COHORT_TABLE,7,FALSE),IFERROR(VLOOKUP(P176&amp;"|ALL|ALL|"&amp;S176,V8_COHORT_TABLE,7,FALSE),IFERROR(VLOOKUP(P176&amp;"|ALL|ALL|ALL",V8_COHORT_TABLE,7,FALSE),VLOOKUP("GLOBAL",V8_COHORT_TABLE,7,FALSE)))))</f>
        <v/>
      </c>
      <c r="AD176" s="15">
        <f>IFERROR(VLOOKUP(T176,V8_COHORT_TABLE,8,FALSE),IFERROR(VLOOKUP(P176&amp;"|"&amp;Q176&amp;"|ALL|"&amp;S176,V8_COHORT_TABLE,8,FALSE),IFERROR(VLOOKUP(P176&amp;"|ALL|ALL|"&amp;S176,V8_COHORT_TABLE,8,FALSE),IFERROR(VLOOKUP(P176&amp;"|ALL|ALL|ALL",V8_COHORT_TABLE,8,FALSE),VLOOKUP("GLOBAL",V8_COHORT_TABLE,8,FALSE)))))</f>
        <v/>
      </c>
      <c r="AE176" s="15">
        <f>IFERROR(VLOOKUP(T176,V8_COHORT_TABLE,9,FALSE),IFERROR(VLOOKUP(P176&amp;"|"&amp;Q176&amp;"|ALL|"&amp;S176,V8_COHORT_TABLE,9,FALSE),IFERROR(VLOOKUP(P176&amp;"|ALL|ALL|"&amp;S176,V8_COHORT_TABLE,9,FALSE),IFERROR(VLOOKUP(P176&amp;"|ALL|ALL|ALL",V8_COHORT_TABLE,9,FALSE),VLOOKUP("GLOBAL",V8_COHORT_TABLE,9,FALSE)))))</f>
        <v/>
      </c>
      <c r="AF176" s="8">
        <f>IF(K176&lt;=0,AB176,IF(K176&gt;=240,AE176,IF(K176&lt;=24,AB176+(K176-0)/24*(AC176-AB176),IF(K176&lt;=96,AC176+(K176-24)/72*(AD176-AC176),AD176+(K176-96)/144*(AE176-AD176)))))</f>
        <v/>
      </c>
      <c r="AG176" s="8">
        <f>IF(IF(OR(L176="",NOT(ISNUMBER(L176))),360,MAX(0,MIN(480,(INT(L176/100)-INT(VALUE(F176)/100))*12+MOD(L176,100)-MOD(VALUE(F176),100))))&gt;0,1+V8_MTY_AMP*MAX(0,(V8_MTY_CUTOFF-(IF(OR(L176="",NOT(ISNUMBER(L176))),360,MAX(0,MIN(480,(INT(L176/100)-INT(VALUE(F176)/100))*12+MOD(L176,100)-MOD(VALUE(F176),100))))))/V8_MTY_CUTOFF),1)</f>
        <v/>
      </c>
      <c r="AH176" s="8">
        <f>IF(AND(IF(OR(M176="",NOT(ISNUMBER(M176))),0,MAX(0,MIN(24,(INT(VALUE(F176)/100)-INT(M176/100))*12+MOD(VALUE(F176),100)-MOD(M176,100))))&gt;0,IF(OR(M176="",NOT(ISNUMBER(M176))),0,MAX(0,MIN(24,(INT(VALUE(F176)/100)-INT(M176/100))*12+MOD(VALUE(F176),100)-MOD(M176,100))))&lt;=12),1+V8_LOCKOUT_AMP*EXP(-(IF(OR(M176="",NOT(ISNUMBER(M176))),0,MAX(0,MIN(24,(INT(VALUE(F176)/100)-INT(M176/100))*12+MOD(VALUE(F176),100)-MOD(M176,100)))))/V8_LOCKOUT_TAU),1)</f>
        <v/>
      </c>
      <c r="AI176" s="8">
        <f>MAX(V8_BURN_FLOOR,1-V8_BURN_SLOPE*MIN(1,MAX(0,O176)))</f>
        <v/>
      </c>
      <c r="AJ176" s="15">
        <f>MIN(AA176*AF176*AG176*AH176*AI176,0.2)</f>
        <v/>
      </c>
      <c r="AK176" s="16">
        <f>1-(1-AJ176)^12</f>
        <v/>
      </c>
    </row>
    <row r="177">
      <c r="A177" s="2" t="inlineStr">
        <is>
          <t>000011522381</t>
        </is>
      </c>
      <c r="B177" t="inlineStr">
        <is>
          <t>232</t>
        </is>
      </c>
      <c r="C177" t="inlineStr">
        <is>
          <t>RP</t>
        </is>
      </c>
      <c r="D177" t="inlineStr">
        <is>
          <t>CAPITAL FUNDING,LLC.</t>
        </is>
      </c>
      <c r="E177" t="n">
        <v>2025</v>
      </c>
      <c r="F177" t="inlineStr">
        <is>
          <t>202602</t>
        </is>
      </c>
      <c r="G177" s="9" t="n">
        <v>7329877.03</v>
      </c>
      <c r="H177" s="13" t="n">
        <v>5.53</v>
      </c>
      <c r="I177" s="14" t="n">
        <v>447</v>
      </c>
      <c r="J177" s="14" t="n">
        <v>10</v>
      </c>
      <c r="K177" t="n">
        <v>4</v>
      </c>
      <c r="L177" t="n">
        <v>205511</v>
      </c>
      <c r="M177" t="inlineStr"/>
      <c r="N177" t="n">
        <v>0</v>
      </c>
      <c r="O177" s="8" t="n">
        <v>0</v>
      </c>
      <c r="P177">
        <f>IF(ISNUMBER(SEARCH("232",B177)),"232",IF(ISNUMBER(SEARCH("538",B177)),"538",IF(ISNUMBER(SEARCH("223a7",B177)),"223a7",IF(ISNUMBER(SEARCH("223f",B177)),"223f","OTHER"))))</f>
        <v/>
      </c>
      <c r="Q177">
        <f>IF(UPPER(C177)="NC","NC","RP")</f>
        <v/>
      </c>
      <c r="R177">
        <f>IF(G177&lt;5000000,"small",IF(G177&lt;25000000,"medium","large"))</f>
        <v/>
      </c>
      <c r="S177">
        <f>IF(K177&lt;36,"young",IF(K177&lt;120,"seasoned","aged"))</f>
        <v/>
      </c>
      <c r="T177">
        <f>P177&amp;"|"&amp;Q177&amp;"|"&amp;R177&amp;"|"&amp;S177</f>
        <v/>
      </c>
      <c r="U177" s="14">
        <f>H177*100-I177</f>
        <v/>
      </c>
      <c r="V177" s="14">
        <f>U177-12.5*(J177+1)</f>
        <v/>
      </c>
      <c r="W177" s="15">
        <f>IFERROR(VLOOKUP(T177,V8_COHORT_TABLE,2,FALSE),IFERROR(VLOOKUP(P177&amp;"|"&amp;Q177&amp;"|ALL|"&amp;S177,V8_COHORT_TABLE,2,FALSE),IFERROR(VLOOKUP(P177&amp;"|ALL|ALL|"&amp;S177,V8_COHORT_TABLE,2,FALSE),IFERROR(VLOOKUP(P177&amp;"|ALL|ALL|ALL",V8_COHORT_TABLE,2,FALSE),VLOOKUP("GLOBAL",V8_COHORT_TABLE,2,FALSE)))))</f>
        <v/>
      </c>
      <c r="X177" s="15">
        <f>IFERROR(VLOOKUP(T177,V8_COHORT_TABLE,3,FALSE),IFERROR(VLOOKUP(P177&amp;"|"&amp;Q177&amp;"|ALL|"&amp;S177,V8_COHORT_TABLE,3,FALSE),IFERROR(VLOOKUP(P177&amp;"|ALL|ALL|"&amp;S177,V8_COHORT_TABLE,3,FALSE),IFERROR(VLOOKUP(P177&amp;"|ALL|ALL|ALL",V8_COHORT_TABLE,3,FALSE),VLOOKUP("GLOBAL",V8_COHORT_TABLE,3,FALSE)))))</f>
        <v/>
      </c>
      <c r="Y177" s="15">
        <f>IFERROR(VLOOKUP(T177,V8_COHORT_TABLE,4,FALSE),IFERROR(VLOOKUP(P177&amp;"|"&amp;Q177&amp;"|ALL|"&amp;S177,V8_COHORT_TABLE,4,FALSE),IFERROR(VLOOKUP(P177&amp;"|ALL|ALL|"&amp;S177,V8_COHORT_TABLE,4,FALSE),IFERROR(VLOOKUP(P177&amp;"|ALL|ALL|ALL",V8_COHORT_TABLE,4,FALSE),VLOOKUP("GLOBAL",V8_COHORT_TABLE,4,FALSE)))))</f>
        <v/>
      </c>
      <c r="Z177" s="15">
        <f>IFERROR(VLOOKUP(T177,V8_COHORT_TABLE,5,FALSE),IFERROR(VLOOKUP(P177&amp;"|"&amp;Q177&amp;"|ALL|"&amp;S177,V8_COHORT_TABLE,5,FALSE),IFERROR(VLOOKUP(P177&amp;"|ALL|ALL|"&amp;S177,V8_COHORT_TABLE,5,FALSE),IFERROR(VLOOKUP(P177&amp;"|ALL|ALL|ALL",V8_COHORT_TABLE,5,FALSE),VLOOKUP("GLOBAL",V8_COHORT_TABLE,5,FALSE)))))</f>
        <v/>
      </c>
      <c r="AA177" s="15">
        <f>W177+X177/(1+EXP(-(V177-Y177)/Z177))</f>
        <v/>
      </c>
      <c r="AB177" s="15">
        <f>IFERROR(VLOOKUP(T177,V8_COHORT_TABLE,6,FALSE),IFERROR(VLOOKUP(P177&amp;"|"&amp;Q177&amp;"|ALL|"&amp;S177,V8_COHORT_TABLE,6,FALSE),IFERROR(VLOOKUP(P177&amp;"|ALL|ALL|"&amp;S177,V8_COHORT_TABLE,6,FALSE),IFERROR(VLOOKUP(P177&amp;"|ALL|ALL|ALL",V8_COHORT_TABLE,6,FALSE),VLOOKUP("GLOBAL",V8_COHORT_TABLE,6,FALSE)))))</f>
        <v/>
      </c>
      <c r="AC177" s="15">
        <f>IFERROR(VLOOKUP(T177,V8_COHORT_TABLE,7,FALSE),IFERROR(VLOOKUP(P177&amp;"|"&amp;Q177&amp;"|ALL|"&amp;S177,V8_COHORT_TABLE,7,FALSE),IFERROR(VLOOKUP(P177&amp;"|ALL|ALL|"&amp;S177,V8_COHORT_TABLE,7,FALSE),IFERROR(VLOOKUP(P177&amp;"|ALL|ALL|ALL",V8_COHORT_TABLE,7,FALSE),VLOOKUP("GLOBAL",V8_COHORT_TABLE,7,FALSE)))))</f>
        <v/>
      </c>
      <c r="AD177" s="15">
        <f>IFERROR(VLOOKUP(T177,V8_COHORT_TABLE,8,FALSE),IFERROR(VLOOKUP(P177&amp;"|"&amp;Q177&amp;"|ALL|"&amp;S177,V8_COHORT_TABLE,8,FALSE),IFERROR(VLOOKUP(P177&amp;"|ALL|ALL|"&amp;S177,V8_COHORT_TABLE,8,FALSE),IFERROR(VLOOKUP(P177&amp;"|ALL|ALL|ALL",V8_COHORT_TABLE,8,FALSE),VLOOKUP("GLOBAL",V8_COHORT_TABLE,8,FALSE)))))</f>
        <v/>
      </c>
      <c r="AE177" s="15">
        <f>IFERROR(VLOOKUP(T177,V8_COHORT_TABLE,9,FALSE),IFERROR(VLOOKUP(P177&amp;"|"&amp;Q177&amp;"|ALL|"&amp;S177,V8_COHORT_TABLE,9,FALSE),IFERROR(VLOOKUP(P177&amp;"|ALL|ALL|"&amp;S177,V8_COHORT_TABLE,9,FALSE),IFERROR(VLOOKUP(P177&amp;"|ALL|ALL|ALL",V8_COHORT_TABLE,9,FALSE),VLOOKUP("GLOBAL",V8_COHORT_TABLE,9,FALSE)))))</f>
        <v/>
      </c>
      <c r="AF177" s="8">
        <f>IF(K177&lt;=0,AB177,IF(K177&gt;=240,AE177,IF(K177&lt;=24,AB177+(K177-0)/24*(AC177-AB177),IF(K177&lt;=96,AC177+(K177-24)/72*(AD177-AC177),AD177+(K177-96)/144*(AE177-AD177)))))</f>
        <v/>
      </c>
      <c r="AG177" s="8">
        <f>IF(IF(OR(L177="",NOT(ISNUMBER(L177))),360,MAX(0,MIN(480,(INT(L177/100)-INT(VALUE(F177)/100))*12+MOD(L177,100)-MOD(VALUE(F177),100))))&gt;0,1+V8_MTY_AMP*MAX(0,(V8_MTY_CUTOFF-(IF(OR(L177="",NOT(ISNUMBER(L177))),360,MAX(0,MIN(480,(INT(L177/100)-INT(VALUE(F177)/100))*12+MOD(L177,100)-MOD(VALUE(F177),100))))))/V8_MTY_CUTOFF),1)</f>
        <v/>
      </c>
      <c r="AH177" s="8">
        <f>IF(AND(IF(OR(M177="",NOT(ISNUMBER(M177))),0,MAX(0,MIN(24,(INT(VALUE(F177)/100)-INT(M177/100))*12+MOD(VALUE(F177),100)-MOD(M177,100))))&gt;0,IF(OR(M177="",NOT(ISNUMBER(M177))),0,MAX(0,MIN(24,(INT(VALUE(F177)/100)-INT(M177/100))*12+MOD(VALUE(F177),100)-MOD(M177,100))))&lt;=12),1+V8_LOCKOUT_AMP*EXP(-(IF(OR(M177="",NOT(ISNUMBER(M177))),0,MAX(0,MIN(24,(INT(VALUE(F177)/100)-INT(M177/100))*12+MOD(VALUE(F177),100)-MOD(M177,100)))))/V8_LOCKOUT_TAU),1)</f>
        <v/>
      </c>
      <c r="AI177" s="8">
        <f>MAX(V8_BURN_FLOOR,1-V8_BURN_SLOPE*MIN(1,MAX(0,O177)))</f>
        <v/>
      </c>
      <c r="AJ177" s="15">
        <f>MIN(AA177*AF177*AG177*AH177*AI177,0.2)</f>
        <v/>
      </c>
      <c r="AK177" s="16">
        <f>1-(1-AJ177)^12</f>
        <v/>
      </c>
    </row>
    <row r="178">
      <c r="A178" s="2" t="inlineStr">
        <is>
          <t>000001722122</t>
        </is>
      </c>
      <c r="B178" t="inlineStr">
        <is>
          <t>232</t>
        </is>
      </c>
      <c r="C178" t="inlineStr">
        <is>
          <t>RP</t>
        </is>
      </c>
      <c r="D178" t="inlineStr">
        <is>
          <t>CAPITAL FUNDING,LLC.</t>
        </is>
      </c>
      <c r="E178" t="n">
        <v>2018</v>
      </c>
      <c r="F178" t="inlineStr">
        <is>
          <t>202602</t>
        </is>
      </c>
      <c r="G178" s="9" t="n">
        <v>18578966.2</v>
      </c>
      <c r="H178" s="13" t="n">
        <v>3.75</v>
      </c>
      <c r="I178" s="14" t="n">
        <v>447</v>
      </c>
      <c r="J178" s="14" t="n">
        <v>3</v>
      </c>
      <c r="K178" t="n">
        <v>94</v>
      </c>
      <c r="L178" t="n">
        <v>205105</v>
      </c>
      <c r="M178" t="inlineStr"/>
      <c r="N178" t="n">
        <v>29</v>
      </c>
      <c r="O178" s="8" t="n">
        <v>0.3085106382978723</v>
      </c>
      <c r="P178">
        <f>IF(ISNUMBER(SEARCH("232",B178)),"232",IF(ISNUMBER(SEARCH("538",B178)),"538",IF(ISNUMBER(SEARCH("223a7",B178)),"223a7",IF(ISNUMBER(SEARCH("223f",B178)),"223f","OTHER"))))</f>
        <v/>
      </c>
      <c r="Q178">
        <f>IF(UPPER(C178)="NC","NC","RP")</f>
        <v/>
      </c>
      <c r="R178">
        <f>IF(G178&lt;5000000,"small",IF(G178&lt;25000000,"medium","large"))</f>
        <v/>
      </c>
      <c r="S178">
        <f>IF(K178&lt;36,"young",IF(K178&lt;120,"seasoned","aged"))</f>
        <v/>
      </c>
      <c r="T178">
        <f>P178&amp;"|"&amp;Q178&amp;"|"&amp;R178&amp;"|"&amp;S178</f>
        <v/>
      </c>
      <c r="U178" s="14">
        <f>H178*100-I178</f>
        <v/>
      </c>
      <c r="V178" s="14">
        <f>U178-12.5*(J178+1)</f>
        <v/>
      </c>
      <c r="W178" s="15">
        <f>IFERROR(VLOOKUP(T178,V8_COHORT_TABLE,2,FALSE),IFERROR(VLOOKUP(P178&amp;"|"&amp;Q178&amp;"|ALL|"&amp;S178,V8_COHORT_TABLE,2,FALSE),IFERROR(VLOOKUP(P178&amp;"|ALL|ALL|"&amp;S178,V8_COHORT_TABLE,2,FALSE),IFERROR(VLOOKUP(P178&amp;"|ALL|ALL|ALL",V8_COHORT_TABLE,2,FALSE),VLOOKUP("GLOBAL",V8_COHORT_TABLE,2,FALSE)))))</f>
        <v/>
      </c>
      <c r="X178" s="15">
        <f>IFERROR(VLOOKUP(T178,V8_COHORT_TABLE,3,FALSE),IFERROR(VLOOKUP(P178&amp;"|"&amp;Q178&amp;"|ALL|"&amp;S178,V8_COHORT_TABLE,3,FALSE),IFERROR(VLOOKUP(P178&amp;"|ALL|ALL|"&amp;S178,V8_COHORT_TABLE,3,FALSE),IFERROR(VLOOKUP(P178&amp;"|ALL|ALL|ALL",V8_COHORT_TABLE,3,FALSE),VLOOKUP("GLOBAL",V8_COHORT_TABLE,3,FALSE)))))</f>
        <v/>
      </c>
      <c r="Y178" s="15">
        <f>IFERROR(VLOOKUP(T178,V8_COHORT_TABLE,4,FALSE),IFERROR(VLOOKUP(P178&amp;"|"&amp;Q178&amp;"|ALL|"&amp;S178,V8_COHORT_TABLE,4,FALSE),IFERROR(VLOOKUP(P178&amp;"|ALL|ALL|"&amp;S178,V8_COHORT_TABLE,4,FALSE),IFERROR(VLOOKUP(P178&amp;"|ALL|ALL|ALL",V8_COHORT_TABLE,4,FALSE),VLOOKUP("GLOBAL",V8_COHORT_TABLE,4,FALSE)))))</f>
        <v/>
      </c>
      <c r="Z178" s="15">
        <f>IFERROR(VLOOKUP(T178,V8_COHORT_TABLE,5,FALSE),IFERROR(VLOOKUP(P178&amp;"|"&amp;Q178&amp;"|ALL|"&amp;S178,V8_COHORT_TABLE,5,FALSE),IFERROR(VLOOKUP(P178&amp;"|ALL|ALL|"&amp;S178,V8_COHORT_TABLE,5,FALSE),IFERROR(VLOOKUP(P178&amp;"|ALL|ALL|ALL",V8_COHORT_TABLE,5,FALSE),VLOOKUP("GLOBAL",V8_COHORT_TABLE,5,FALSE)))))</f>
        <v/>
      </c>
      <c r="AA178" s="15">
        <f>W178+X178/(1+EXP(-(V178-Y178)/Z178))</f>
        <v/>
      </c>
      <c r="AB178" s="15">
        <f>IFERROR(VLOOKUP(T178,V8_COHORT_TABLE,6,FALSE),IFERROR(VLOOKUP(P178&amp;"|"&amp;Q178&amp;"|ALL|"&amp;S178,V8_COHORT_TABLE,6,FALSE),IFERROR(VLOOKUP(P178&amp;"|ALL|ALL|"&amp;S178,V8_COHORT_TABLE,6,FALSE),IFERROR(VLOOKUP(P178&amp;"|ALL|ALL|ALL",V8_COHORT_TABLE,6,FALSE),VLOOKUP("GLOBAL",V8_COHORT_TABLE,6,FALSE)))))</f>
        <v/>
      </c>
      <c r="AC178" s="15">
        <f>IFERROR(VLOOKUP(T178,V8_COHORT_TABLE,7,FALSE),IFERROR(VLOOKUP(P178&amp;"|"&amp;Q178&amp;"|ALL|"&amp;S178,V8_COHORT_TABLE,7,FALSE),IFERROR(VLOOKUP(P178&amp;"|ALL|ALL|"&amp;S178,V8_COHORT_TABLE,7,FALSE),IFERROR(VLOOKUP(P178&amp;"|ALL|ALL|ALL",V8_COHORT_TABLE,7,FALSE),VLOOKUP("GLOBAL",V8_COHORT_TABLE,7,FALSE)))))</f>
        <v/>
      </c>
      <c r="AD178" s="15">
        <f>IFERROR(VLOOKUP(T178,V8_COHORT_TABLE,8,FALSE),IFERROR(VLOOKUP(P178&amp;"|"&amp;Q178&amp;"|ALL|"&amp;S178,V8_COHORT_TABLE,8,FALSE),IFERROR(VLOOKUP(P178&amp;"|ALL|ALL|"&amp;S178,V8_COHORT_TABLE,8,FALSE),IFERROR(VLOOKUP(P178&amp;"|ALL|ALL|ALL",V8_COHORT_TABLE,8,FALSE),VLOOKUP("GLOBAL",V8_COHORT_TABLE,8,FALSE)))))</f>
        <v/>
      </c>
      <c r="AE178" s="15">
        <f>IFERROR(VLOOKUP(T178,V8_COHORT_TABLE,9,FALSE),IFERROR(VLOOKUP(P178&amp;"|"&amp;Q178&amp;"|ALL|"&amp;S178,V8_COHORT_TABLE,9,FALSE),IFERROR(VLOOKUP(P178&amp;"|ALL|ALL|"&amp;S178,V8_COHORT_TABLE,9,FALSE),IFERROR(VLOOKUP(P178&amp;"|ALL|ALL|ALL",V8_COHORT_TABLE,9,FALSE),VLOOKUP("GLOBAL",V8_COHORT_TABLE,9,FALSE)))))</f>
        <v/>
      </c>
      <c r="AF178" s="8">
        <f>IF(K178&lt;=0,AB178,IF(K178&gt;=240,AE178,IF(K178&lt;=24,AB178+(K178-0)/24*(AC178-AB178),IF(K178&lt;=96,AC178+(K178-24)/72*(AD178-AC178),AD178+(K178-96)/144*(AE178-AD178)))))</f>
        <v/>
      </c>
      <c r="AG178" s="8">
        <f>IF(IF(OR(L178="",NOT(ISNUMBER(L178))),360,MAX(0,MIN(480,(INT(L178/100)-INT(VALUE(F178)/100))*12+MOD(L178,100)-MOD(VALUE(F178),100))))&gt;0,1+V8_MTY_AMP*MAX(0,(V8_MTY_CUTOFF-(IF(OR(L178="",NOT(ISNUMBER(L178))),360,MAX(0,MIN(480,(INT(L178/100)-INT(VALUE(F178)/100))*12+MOD(L178,100)-MOD(VALUE(F178),100))))))/V8_MTY_CUTOFF),1)</f>
        <v/>
      </c>
      <c r="AH178" s="8">
        <f>IF(AND(IF(OR(M178="",NOT(ISNUMBER(M178))),0,MAX(0,MIN(24,(INT(VALUE(F178)/100)-INT(M178/100))*12+MOD(VALUE(F178),100)-MOD(M178,100))))&gt;0,IF(OR(M178="",NOT(ISNUMBER(M178))),0,MAX(0,MIN(24,(INT(VALUE(F178)/100)-INT(M178/100))*12+MOD(VALUE(F178),100)-MOD(M178,100))))&lt;=12),1+V8_LOCKOUT_AMP*EXP(-(IF(OR(M178="",NOT(ISNUMBER(M178))),0,MAX(0,MIN(24,(INT(VALUE(F178)/100)-INT(M178/100))*12+MOD(VALUE(F178),100)-MOD(M178,100)))))/V8_LOCKOUT_TAU),1)</f>
        <v/>
      </c>
      <c r="AI178" s="8">
        <f>MAX(V8_BURN_FLOOR,1-V8_BURN_SLOPE*MIN(1,MAX(0,O178)))</f>
        <v/>
      </c>
      <c r="AJ178" s="15">
        <f>MIN(AA178*AF178*AG178*AH178*AI178,0.2)</f>
        <v/>
      </c>
      <c r="AK178" s="16">
        <f>1-(1-AJ178)^12</f>
        <v/>
      </c>
    </row>
    <row r="179">
      <c r="A179" s="2" t="inlineStr">
        <is>
          <t>000010122136</t>
        </is>
      </c>
      <c r="B179" t="inlineStr">
        <is>
          <t>232</t>
        </is>
      </c>
      <c r="C179" t="inlineStr">
        <is>
          <t>RP</t>
        </is>
      </c>
      <c r="D179" t="inlineStr">
        <is>
          <t>CAPITAL FUNDING,LLC.</t>
        </is>
      </c>
      <c r="E179" t="n">
        <v>2018</v>
      </c>
      <c r="F179" t="inlineStr">
        <is>
          <t>202602</t>
        </is>
      </c>
      <c r="G179" s="9" t="n">
        <v>11738844.66</v>
      </c>
      <c r="H179" s="13" t="n">
        <v>3.05</v>
      </c>
      <c r="I179" s="14" t="n">
        <v>447</v>
      </c>
      <c r="J179" s="14" t="n">
        <v>6</v>
      </c>
      <c r="K179" t="n">
        <v>90</v>
      </c>
      <c r="L179" t="n">
        <v>205309</v>
      </c>
      <c r="M179" t="inlineStr"/>
      <c r="N179" t="n">
        <v>2</v>
      </c>
      <c r="O179" s="8" t="n">
        <v>0.02222222222222222</v>
      </c>
      <c r="P179">
        <f>IF(ISNUMBER(SEARCH("232",B179)),"232",IF(ISNUMBER(SEARCH("538",B179)),"538",IF(ISNUMBER(SEARCH("223a7",B179)),"223a7",IF(ISNUMBER(SEARCH("223f",B179)),"223f","OTHER"))))</f>
        <v/>
      </c>
      <c r="Q179">
        <f>IF(UPPER(C179)="NC","NC","RP")</f>
        <v/>
      </c>
      <c r="R179">
        <f>IF(G179&lt;5000000,"small",IF(G179&lt;25000000,"medium","large"))</f>
        <v/>
      </c>
      <c r="S179">
        <f>IF(K179&lt;36,"young",IF(K179&lt;120,"seasoned","aged"))</f>
        <v/>
      </c>
      <c r="T179">
        <f>P179&amp;"|"&amp;Q179&amp;"|"&amp;R179&amp;"|"&amp;S179</f>
        <v/>
      </c>
      <c r="U179" s="14">
        <f>H179*100-I179</f>
        <v/>
      </c>
      <c r="V179" s="14">
        <f>U179-12.5*(J179+1)</f>
        <v/>
      </c>
      <c r="W179" s="15">
        <f>IFERROR(VLOOKUP(T179,V8_COHORT_TABLE,2,FALSE),IFERROR(VLOOKUP(P179&amp;"|"&amp;Q179&amp;"|ALL|"&amp;S179,V8_COHORT_TABLE,2,FALSE),IFERROR(VLOOKUP(P179&amp;"|ALL|ALL|"&amp;S179,V8_COHORT_TABLE,2,FALSE),IFERROR(VLOOKUP(P179&amp;"|ALL|ALL|ALL",V8_COHORT_TABLE,2,FALSE),VLOOKUP("GLOBAL",V8_COHORT_TABLE,2,FALSE)))))</f>
        <v/>
      </c>
      <c r="X179" s="15">
        <f>IFERROR(VLOOKUP(T179,V8_COHORT_TABLE,3,FALSE),IFERROR(VLOOKUP(P179&amp;"|"&amp;Q179&amp;"|ALL|"&amp;S179,V8_COHORT_TABLE,3,FALSE),IFERROR(VLOOKUP(P179&amp;"|ALL|ALL|"&amp;S179,V8_COHORT_TABLE,3,FALSE),IFERROR(VLOOKUP(P179&amp;"|ALL|ALL|ALL",V8_COHORT_TABLE,3,FALSE),VLOOKUP("GLOBAL",V8_COHORT_TABLE,3,FALSE)))))</f>
        <v/>
      </c>
      <c r="Y179" s="15">
        <f>IFERROR(VLOOKUP(T179,V8_COHORT_TABLE,4,FALSE),IFERROR(VLOOKUP(P179&amp;"|"&amp;Q179&amp;"|ALL|"&amp;S179,V8_COHORT_TABLE,4,FALSE),IFERROR(VLOOKUP(P179&amp;"|ALL|ALL|"&amp;S179,V8_COHORT_TABLE,4,FALSE),IFERROR(VLOOKUP(P179&amp;"|ALL|ALL|ALL",V8_COHORT_TABLE,4,FALSE),VLOOKUP("GLOBAL",V8_COHORT_TABLE,4,FALSE)))))</f>
        <v/>
      </c>
      <c r="Z179" s="15">
        <f>IFERROR(VLOOKUP(T179,V8_COHORT_TABLE,5,FALSE),IFERROR(VLOOKUP(P179&amp;"|"&amp;Q179&amp;"|ALL|"&amp;S179,V8_COHORT_TABLE,5,FALSE),IFERROR(VLOOKUP(P179&amp;"|ALL|ALL|"&amp;S179,V8_COHORT_TABLE,5,FALSE),IFERROR(VLOOKUP(P179&amp;"|ALL|ALL|ALL",V8_COHORT_TABLE,5,FALSE),VLOOKUP("GLOBAL",V8_COHORT_TABLE,5,FALSE)))))</f>
        <v/>
      </c>
      <c r="AA179" s="15">
        <f>W179+X179/(1+EXP(-(V179-Y179)/Z179))</f>
        <v/>
      </c>
      <c r="AB179" s="15">
        <f>IFERROR(VLOOKUP(T179,V8_COHORT_TABLE,6,FALSE),IFERROR(VLOOKUP(P179&amp;"|"&amp;Q179&amp;"|ALL|"&amp;S179,V8_COHORT_TABLE,6,FALSE),IFERROR(VLOOKUP(P179&amp;"|ALL|ALL|"&amp;S179,V8_COHORT_TABLE,6,FALSE),IFERROR(VLOOKUP(P179&amp;"|ALL|ALL|ALL",V8_COHORT_TABLE,6,FALSE),VLOOKUP("GLOBAL",V8_COHORT_TABLE,6,FALSE)))))</f>
        <v/>
      </c>
      <c r="AC179" s="15">
        <f>IFERROR(VLOOKUP(T179,V8_COHORT_TABLE,7,FALSE),IFERROR(VLOOKUP(P179&amp;"|"&amp;Q179&amp;"|ALL|"&amp;S179,V8_COHORT_TABLE,7,FALSE),IFERROR(VLOOKUP(P179&amp;"|ALL|ALL|"&amp;S179,V8_COHORT_TABLE,7,FALSE),IFERROR(VLOOKUP(P179&amp;"|ALL|ALL|ALL",V8_COHORT_TABLE,7,FALSE),VLOOKUP("GLOBAL",V8_COHORT_TABLE,7,FALSE)))))</f>
        <v/>
      </c>
      <c r="AD179" s="15">
        <f>IFERROR(VLOOKUP(T179,V8_COHORT_TABLE,8,FALSE),IFERROR(VLOOKUP(P179&amp;"|"&amp;Q179&amp;"|ALL|"&amp;S179,V8_COHORT_TABLE,8,FALSE),IFERROR(VLOOKUP(P179&amp;"|ALL|ALL|"&amp;S179,V8_COHORT_TABLE,8,FALSE),IFERROR(VLOOKUP(P179&amp;"|ALL|ALL|ALL",V8_COHORT_TABLE,8,FALSE),VLOOKUP("GLOBAL",V8_COHORT_TABLE,8,FALSE)))))</f>
        <v/>
      </c>
      <c r="AE179" s="15">
        <f>IFERROR(VLOOKUP(T179,V8_COHORT_TABLE,9,FALSE),IFERROR(VLOOKUP(P179&amp;"|"&amp;Q179&amp;"|ALL|"&amp;S179,V8_COHORT_TABLE,9,FALSE),IFERROR(VLOOKUP(P179&amp;"|ALL|ALL|"&amp;S179,V8_COHORT_TABLE,9,FALSE),IFERROR(VLOOKUP(P179&amp;"|ALL|ALL|ALL",V8_COHORT_TABLE,9,FALSE),VLOOKUP("GLOBAL",V8_COHORT_TABLE,9,FALSE)))))</f>
        <v/>
      </c>
      <c r="AF179" s="8">
        <f>IF(K179&lt;=0,AB179,IF(K179&gt;=240,AE179,IF(K179&lt;=24,AB179+(K179-0)/24*(AC179-AB179),IF(K179&lt;=96,AC179+(K179-24)/72*(AD179-AC179),AD179+(K179-96)/144*(AE179-AD179)))))</f>
        <v/>
      </c>
      <c r="AG179" s="8">
        <f>IF(IF(OR(L179="",NOT(ISNUMBER(L179))),360,MAX(0,MIN(480,(INT(L179/100)-INT(VALUE(F179)/100))*12+MOD(L179,100)-MOD(VALUE(F179),100))))&gt;0,1+V8_MTY_AMP*MAX(0,(V8_MTY_CUTOFF-(IF(OR(L179="",NOT(ISNUMBER(L179))),360,MAX(0,MIN(480,(INT(L179/100)-INT(VALUE(F179)/100))*12+MOD(L179,100)-MOD(VALUE(F179),100))))))/V8_MTY_CUTOFF),1)</f>
        <v/>
      </c>
      <c r="AH179" s="8">
        <f>IF(AND(IF(OR(M179="",NOT(ISNUMBER(M179))),0,MAX(0,MIN(24,(INT(VALUE(F179)/100)-INT(M179/100))*12+MOD(VALUE(F179),100)-MOD(M179,100))))&gt;0,IF(OR(M179="",NOT(ISNUMBER(M179))),0,MAX(0,MIN(24,(INT(VALUE(F179)/100)-INT(M179/100))*12+MOD(VALUE(F179),100)-MOD(M179,100))))&lt;=12),1+V8_LOCKOUT_AMP*EXP(-(IF(OR(M179="",NOT(ISNUMBER(M179))),0,MAX(0,MIN(24,(INT(VALUE(F179)/100)-INT(M179/100))*12+MOD(VALUE(F179),100)-MOD(M179,100)))))/V8_LOCKOUT_TAU),1)</f>
        <v/>
      </c>
      <c r="AI179" s="8">
        <f>MAX(V8_BURN_FLOOR,1-V8_BURN_SLOPE*MIN(1,MAX(0,O179)))</f>
        <v/>
      </c>
      <c r="AJ179" s="15">
        <f>MIN(AA179*AF179*AG179*AH179*AI179,0.2)</f>
        <v/>
      </c>
      <c r="AK179" s="16">
        <f>1-(1-AJ179)^12</f>
        <v/>
      </c>
    </row>
    <row r="180">
      <c r="A180" s="2" t="inlineStr">
        <is>
          <t>000007222116</t>
        </is>
      </c>
      <c r="B180" t="inlineStr">
        <is>
          <t>232</t>
        </is>
      </c>
      <c r="C180" t="inlineStr">
        <is>
          <t>RP</t>
        </is>
      </c>
      <c r="D180" t="inlineStr">
        <is>
          <t>CAPITAL FUNDING,LLC.</t>
        </is>
      </c>
      <c r="E180" t="n">
        <v>2014</v>
      </c>
      <c r="F180" t="inlineStr">
        <is>
          <t>202602</t>
        </is>
      </c>
      <c r="G180" s="9" t="n">
        <v>4376116.94</v>
      </c>
      <c r="H180" s="13" t="n">
        <v>3.1</v>
      </c>
      <c r="I180" s="14" t="n">
        <v>447</v>
      </c>
      <c r="J180" s="14" t="n">
        <v>5</v>
      </c>
      <c r="K180" t="n">
        <v>135</v>
      </c>
      <c r="L180" t="n">
        <v>204704</v>
      </c>
      <c r="M180" t="inlineStr"/>
      <c r="N180" t="n">
        <v>12</v>
      </c>
      <c r="O180" s="8" t="n">
        <v>0.08888888888888889</v>
      </c>
      <c r="P180">
        <f>IF(ISNUMBER(SEARCH("232",B180)),"232",IF(ISNUMBER(SEARCH("538",B180)),"538",IF(ISNUMBER(SEARCH("223a7",B180)),"223a7",IF(ISNUMBER(SEARCH("223f",B180)),"223f","OTHER"))))</f>
        <v/>
      </c>
      <c r="Q180">
        <f>IF(UPPER(C180)="NC","NC","RP")</f>
        <v/>
      </c>
      <c r="R180">
        <f>IF(G180&lt;5000000,"small",IF(G180&lt;25000000,"medium","large"))</f>
        <v/>
      </c>
      <c r="S180">
        <f>IF(K180&lt;36,"young",IF(K180&lt;120,"seasoned","aged"))</f>
        <v/>
      </c>
      <c r="T180">
        <f>P180&amp;"|"&amp;Q180&amp;"|"&amp;R180&amp;"|"&amp;S180</f>
        <v/>
      </c>
      <c r="U180" s="14">
        <f>H180*100-I180</f>
        <v/>
      </c>
      <c r="V180" s="14">
        <f>U180-12.5*(J180+1)</f>
        <v/>
      </c>
      <c r="W180" s="15">
        <f>IFERROR(VLOOKUP(T180,V8_COHORT_TABLE,2,FALSE),IFERROR(VLOOKUP(P180&amp;"|"&amp;Q180&amp;"|ALL|"&amp;S180,V8_COHORT_TABLE,2,FALSE),IFERROR(VLOOKUP(P180&amp;"|ALL|ALL|"&amp;S180,V8_COHORT_TABLE,2,FALSE),IFERROR(VLOOKUP(P180&amp;"|ALL|ALL|ALL",V8_COHORT_TABLE,2,FALSE),VLOOKUP("GLOBAL",V8_COHORT_TABLE,2,FALSE)))))</f>
        <v/>
      </c>
      <c r="X180" s="15">
        <f>IFERROR(VLOOKUP(T180,V8_COHORT_TABLE,3,FALSE),IFERROR(VLOOKUP(P180&amp;"|"&amp;Q180&amp;"|ALL|"&amp;S180,V8_COHORT_TABLE,3,FALSE),IFERROR(VLOOKUP(P180&amp;"|ALL|ALL|"&amp;S180,V8_COHORT_TABLE,3,FALSE),IFERROR(VLOOKUP(P180&amp;"|ALL|ALL|ALL",V8_COHORT_TABLE,3,FALSE),VLOOKUP("GLOBAL",V8_COHORT_TABLE,3,FALSE)))))</f>
        <v/>
      </c>
      <c r="Y180" s="15">
        <f>IFERROR(VLOOKUP(T180,V8_COHORT_TABLE,4,FALSE),IFERROR(VLOOKUP(P180&amp;"|"&amp;Q180&amp;"|ALL|"&amp;S180,V8_COHORT_TABLE,4,FALSE),IFERROR(VLOOKUP(P180&amp;"|ALL|ALL|"&amp;S180,V8_COHORT_TABLE,4,FALSE),IFERROR(VLOOKUP(P180&amp;"|ALL|ALL|ALL",V8_COHORT_TABLE,4,FALSE),VLOOKUP("GLOBAL",V8_COHORT_TABLE,4,FALSE)))))</f>
        <v/>
      </c>
      <c r="Z180" s="15">
        <f>IFERROR(VLOOKUP(T180,V8_COHORT_TABLE,5,FALSE),IFERROR(VLOOKUP(P180&amp;"|"&amp;Q180&amp;"|ALL|"&amp;S180,V8_COHORT_TABLE,5,FALSE),IFERROR(VLOOKUP(P180&amp;"|ALL|ALL|"&amp;S180,V8_COHORT_TABLE,5,FALSE),IFERROR(VLOOKUP(P180&amp;"|ALL|ALL|ALL",V8_COHORT_TABLE,5,FALSE),VLOOKUP("GLOBAL",V8_COHORT_TABLE,5,FALSE)))))</f>
        <v/>
      </c>
      <c r="AA180" s="15">
        <f>W180+X180/(1+EXP(-(V180-Y180)/Z180))</f>
        <v/>
      </c>
      <c r="AB180" s="15">
        <f>IFERROR(VLOOKUP(T180,V8_COHORT_TABLE,6,FALSE),IFERROR(VLOOKUP(P180&amp;"|"&amp;Q180&amp;"|ALL|"&amp;S180,V8_COHORT_TABLE,6,FALSE),IFERROR(VLOOKUP(P180&amp;"|ALL|ALL|"&amp;S180,V8_COHORT_TABLE,6,FALSE),IFERROR(VLOOKUP(P180&amp;"|ALL|ALL|ALL",V8_COHORT_TABLE,6,FALSE),VLOOKUP("GLOBAL",V8_COHORT_TABLE,6,FALSE)))))</f>
        <v/>
      </c>
      <c r="AC180" s="15">
        <f>IFERROR(VLOOKUP(T180,V8_COHORT_TABLE,7,FALSE),IFERROR(VLOOKUP(P180&amp;"|"&amp;Q180&amp;"|ALL|"&amp;S180,V8_COHORT_TABLE,7,FALSE),IFERROR(VLOOKUP(P180&amp;"|ALL|ALL|"&amp;S180,V8_COHORT_TABLE,7,FALSE),IFERROR(VLOOKUP(P180&amp;"|ALL|ALL|ALL",V8_COHORT_TABLE,7,FALSE),VLOOKUP("GLOBAL",V8_COHORT_TABLE,7,FALSE)))))</f>
        <v/>
      </c>
      <c r="AD180" s="15">
        <f>IFERROR(VLOOKUP(T180,V8_COHORT_TABLE,8,FALSE),IFERROR(VLOOKUP(P180&amp;"|"&amp;Q180&amp;"|ALL|"&amp;S180,V8_COHORT_TABLE,8,FALSE),IFERROR(VLOOKUP(P180&amp;"|ALL|ALL|"&amp;S180,V8_COHORT_TABLE,8,FALSE),IFERROR(VLOOKUP(P180&amp;"|ALL|ALL|ALL",V8_COHORT_TABLE,8,FALSE),VLOOKUP("GLOBAL",V8_COHORT_TABLE,8,FALSE)))))</f>
        <v/>
      </c>
      <c r="AE180" s="15">
        <f>IFERROR(VLOOKUP(T180,V8_COHORT_TABLE,9,FALSE),IFERROR(VLOOKUP(P180&amp;"|"&amp;Q180&amp;"|ALL|"&amp;S180,V8_COHORT_TABLE,9,FALSE),IFERROR(VLOOKUP(P180&amp;"|ALL|ALL|"&amp;S180,V8_COHORT_TABLE,9,FALSE),IFERROR(VLOOKUP(P180&amp;"|ALL|ALL|ALL",V8_COHORT_TABLE,9,FALSE),VLOOKUP("GLOBAL",V8_COHORT_TABLE,9,FALSE)))))</f>
        <v/>
      </c>
      <c r="AF180" s="8">
        <f>IF(K180&lt;=0,AB180,IF(K180&gt;=240,AE180,IF(K180&lt;=24,AB180+(K180-0)/24*(AC180-AB180),IF(K180&lt;=96,AC180+(K180-24)/72*(AD180-AC180),AD180+(K180-96)/144*(AE180-AD180)))))</f>
        <v/>
      </c>
      <c r="AG180" s="8">
        <f>IF(IF(OR(L180="",NOT(ISNUMBER(L180))),360,MAX(0,MIN(480,(INT(L180/100)-INT(VALUE(F180)/100))*12+MOD(L180,100)-MOD(VALUE(F180),100))))&gt;0,1+V8_MTY_AMP*MAX(0,(V8_MTY_CUTOFF-(IF(OR(L180="",NOT(ISNUMBER(L180))),360,MAX(0,MIN(480,(INT(L180/100)-INT(VALUE(F180)/100))*12+MOD(L180,100)-MOD(VALUE(F180),100))))))/V8_MTY_CUTOFF),1)</f>
        <v/>
      </c>
      <c r="AH180" s="8">
        <f>IF(AND(IF(OR(M180="",NOT(ISNUMBER(M180))),0,MAX(0,MIN(24,(INT(VALUE(F180)/100)-INT(M180/100))*12+MOD(VALUE(F180),100)-MOD(M180,100))))&gt;0,IF(OR(M180="",NOT(ISNUMBER(M180))),0,MAX(0,MIN(24,(INT(VALUE(F180)/100)-INT(M180/100))*12+MOD(VALUE(F180),100)-MOD(M180,100))))&lt;=12),1+V8_LOCKOUT_AMP*EXP(-(IF(OR(M180="",NOT(ISNUMBER(M180))),0,MAX(0,MIN(24,(INT(VALUE(F180)/100)-INT(M180/100))*12+MOD(VALUE(F180),100)-MOD(M180,100)))))/V8_LOCKOUT_TAU),1)</f>
        <v/>
      </c>
      <c r="AI180" s="8">
        <f>MAX(V8_BURN_FLOOR,1-V8_BURN_SLOPE*MIN(1,MAX(0,O180)))</f>
        <v/>
      </c>
      <c r="AJ180" s="15">
        <f>MIN(AA180*AF180*AG180*AH180*AI180,0.2)</f>
        <v/>
      </c>
      <c r="AK180" s="16">
        <f>1-(1-AJ180)^12</f>
        <v/>
      </c>
    </row>
    <row r="181">
      <c r="A181" s="2" t="inlineStr">
        <is>
          <t>000012122227</t>
        </is>
      </c>
      <c r="B181" t="inlineStr">
        <is>
          <t>232</t>
        </is>
      </c>
      <c r="C181" t="inlineStr">
        <is>
          <t>RP</t>
        </is>
      </c>
      <c r="D181" t="inlineStr">
        <is>
          <t>CAPITAL FUNDING,LLC.</t>
        </is>
      </c>
      <c r="E181" t="n">
        <v>2021</v>
      </c>
      <c r="F181" t="inlineStr">
        <is>
          <t>202602</t>
        </is>
      </c>
      <c r="G181" s="9" t="n">
        <v>11745120.48</v>
      </c>
      <c r="H181" s="13" t="n">
        <v>2.44</v>
      </c>
      <c r="I181" s="14" t="n">
        <v>447</v>
      </c>
      <c r="J181" s="14" t="n">
        <v>6</v>
      </c>
      <c r="K181" t="n">
        <v>56</v>
      </c>
      <c r="L181" t="n">
        <v>205107</v>
      </c>
      <c r="M181" t="inlineStr"/>
      <c r="N181" t="n">
        <v>0</v>
      </c>
      <c r="O181" s="8" t="n">
        <v>0</v>
      </c>
      <c r="P181">
        <f>IF(ISNUMBER(SEARCH("232",B181)),"232",IF(ISNUMBER(SEARCH("538",B181)),"538",IF(ISNUMBER(SEARCH("223a7",B181)),"223a7",IF(ISNUMBER(SEARCH("223f",B181)),"223f","OTHER"))))</f>
        <v/>
      </c>
      <c r="Q181">
        <f>IF(UPPER(C181)="NC","NC","RP")</f>
        <v/>
      </c>
      <c r="R181">
        <f>IF(G181&lt;5000000,"small",IF(G181&lt;25000000,"medium","large"))</f>
        <v/>
      </c>
      <c r="S181">
        <f>IF(K181&lt;36,"young",IF(K181&lt;120,"seasoned","aged"))</f>
        <v/>
      </c>
      <c r="T181">
        <f>P181&amp;"|"&amp;Q181&amp;"|"&amp;R181&amp;"|"&amp;S181</f>
        <v/>
      </c>
      <c r="U181" s="14">
        <f>H181*100-I181</f>
        <v/>
      </c>
      <c r="V181" s="14">
        <f>U181-12.5*(J181+1)</f>
        <v/>
      </c>
      <c r="W181" s="15">
        <f>IFERROR(VLOOKUP(T181,V8_COHORT_TABLE,2,FALSE),IFERROR(VLOOKUP(P181&amp;"|"&amp;Q181&amp;"|ALL|"&amp;S181,V8_COHORT_TABLE,2,FALSE),IFERROR(VLOOKUP(P181&amp;"|ALL|ALL|"&amp;S181,V8_COHORT_TABLE,2,FALSE),IFERROR(VLOOKUP(P181&amp;"|ALL|ALL|ALL",V8_COHORT_TABLE,2,FALSE),VLOOKUP("GLOBAL",V8_COHORT_TABLE,2,FALSE)))))</f>
        <v/>
      </c>
      <c r="X181" s="15">
        <f>IFERROR(VLOOKUP(T181,V8_COHORT_TABLE,3,FALSE),IFERROR(VLOOKUP(P181&amp;"|"&amp;Q181&amp;"|ALL|"&amp;S181,V8_COHORT_TABLE,3,FALSE),IFERROR(VLOOKUP(P181&amp;"|ALL|ALL|"&amp;S181,V8_COHORT_TABLE,3,FALSE),IFERROR(VLOOKUP(P181&amp;"|ALL|ALL|ALL",V8_COHORT_TABLE,3,FALSE),VLOOKUP("GLOBAL",V8_COHORT_TABLE,3,FALSE)))))</f>
        <v/>
      </c>
      <c r="Y181" s="15">
        <f>IFERROR(VLOOKUP(T181,V8_COHORT_TABLE,4,FALSE),IFERROR(VLOOKUP(P181&amp;"|"&amp;Q181&amp;"|ALL|"&amp;S181,V8_COHORT_TABLE,4,FALSE),IFERROR(VLOOKUP(P181&amp;"|ALL|ALL|"&amp;S181,V8_COHORT_TABLE,4,FALSE),IFERROR(VLOOKUP(P181&amp;"|ALL|ALL|ALL",V8_COHORT_TABLE,4,FALSE),VLOOKUP("GLOBAL",V8_COHORT_TABLE,4,FALSE)))))</f>
        <v/>
      </c>
      <c r="Z181" s="15">
        <f>IFERROR(VLOOKUP(T181,V8_COHORT_TABLE,5,FALSE),IFERROR(VLOOKUP(P181&amp;"|"&amp;Q181&amp;"|ALL|"&amp;S181,V8_COHORT_TABLE,5,FALSE),IFERROR(VLOOKUP(P181&amp;"|ALL|ALL|"&amp;S181,V8_COHORT_TABLE,5,FALSE),IFERROR(VLOOKUP(P181&amp;"|ALL|ALL|ALL",V8_COHORT_TABLE,5,FALSE),VLOOKUP("GLOBAL",V8_COHORT_TABLE,5,FALSE)))))</f>
        <v/>
      </c>
      <c r="AA181" s="15">
        <f>W181+X181/(1+EXP(-(V181-Y181)/Z181))</f>
        <v/>
      </c>
      <c r="AB181" s="15">
        <f>IFERROR(VLOOKUP(T181,V8_COHORT_TABLE,6,FALSE),IFERROR(VLOOKUP(P181&amp;"|"&amp;Q181&amp;"|ALL|"&amp;S181,V8_COHORT_TABLE,6,FALSE),IFERROR(VLOOKUP(P181&amp;"|ALL|ALL|"&amp;S181,V8_COHORT_TABLE,6,FALSE),IFERROR(VLOOKUP(P181&amp;"|ALL|ALL|ALL",V8_COHORT_TABLE,6,FALSE),VLOOKUP("GLOBAL",V8_COHORT_TABLE,6,FALSE)))))</f>
        <v/>
      </c>
      <c r="AC181" s="15">
        <f>IFERROR(VLOOKUP(T181,V8_COHORT_TABLE,7,FALSE),IFERROR(VLOOKUP(P181&amp;"|"&amp;Q181&amp;"|ALL|"&amp;S181,V8_COHORT_TABLE,7,FALSE),IFERROR(VLOOKUP(P181&amp;"|ALL|ALL|"&amp;S181,V8_COHORT_TABLE,7,FALSE),IFERROR(VLOOKUP(P181&amp;"|ALL|ALL|ALL",V8_COHORT_TABLE,7,FALSE),VLOOKUP("GLOBAL",V8_COHORT_TABLE,7,FALSE)))))</f>
        <v/>
      </c>
      <c r="AD181" s="15">
        <f>IFERROR(VLOOKUP(T181,V8_COHORT_TABLE,8,FALSE),IFERROR(VLOOKUP(P181&amp;"|"&amp;Q181&amp;"|ALL|"&amp;S181,V8_COHORT_TABLE,8,FALSE),IFERROR(VLOOKUP(P181&amp;"|ALL|ALL|"&amp;S181,V8_COHORT_TABLE,8,FALSE),IFERROR(VLOOKUP(P181&amp;"|ALL|ALL|ALL",V8_COHORT_TABLE,8,FALSE),VLOOKUP("GLOBAL",V8_COHORT_TABLE,8,FALSE)))))</f>
        <v/>
      </c>
      <c r="AE181" s="15">
        <f>IFERROR(VLOOKUP(T181,V8_COHORT_TABLE,9,FALSE),IFERROR(VLOOKUP(P181&amp;"|"&amp;Q181&amp;"|ALL|"&amp;S181,V8_COHORT_TABLE,9,FALSE),IFERROR(VLOOKUP(P181&amp;"|ALL|ALL|"&amp;S181,V8_COHORT_TABLE,9,FALSE),IFERROR(VLOOKUP(P181&amp;"|ALL|ALL|ALL",V8_COHORT_TABLE,9,FALSE),VLOOKUP("GLOBAL",V8_COHORT_TABLE,9,FALSE)))))</f>
        <v/>
      </c>
      <c r="AF181" s="8">
        <f>IF(K181&lt;=0,AB181,IF(K181&gt;=240,AE181,IF(K181&lt;=24,AB181+(K181-0)/24*(AC181-AB181),IF(K181&lt;=96,AC181+(K181-24)/72*(AD181-AC181),AD181+(K181-96)/144*(AE181-AD181)))))</f>
        <v/>
      </c>
      <c r="AG181" s="8">
        <f>IF(IF(OR(L181="",NOT(ISNUMBER(L181))),360,MAX(0,MIN(480,(INT(L181/100)-INT(VALUE(F181)/100))*12+MOD(L181,100)-MOD(VALUE(F181),100))))&gt;0,1+V8_MTY_AMP*MAX(0,(V8_MTY_CUTOFF-(IF(OR(L181="",NOT(ISNUMBER(L181))),360,MAX(0,MIN(480,(INT(L181/100)-INT(VALUE(F181)/100))*12+MOD(L181,100)-MOD(VALUE(F181),100))))))/V8_MTY_CUTOFF),1)</f>
        <v/>
      </c>
      <c r="AH181" s="8">
        <f>IF(AND(IF(OR(M181="",NOT(ISNUMBER(M181))),0,MAX(0,MIN(24,(INT(VALUE(F181)/100)-INT(M181/100))*12+MOD(VALUE(F181),100)-MOD(M181,100))))&gt;0,IF(OR(M181="",NOT(ISNUMBER(M181))),0,MAX(0,MIN(24,(INT(VALUE(F181)/100)-INT(M181/100))*12+MOD(VALUE(F181),100)-MOD(M181,100))))&lt;=12),1+V8_LOCKOUT_AMP*EXP(-(IF(OR(M181="",NOT(ISNUMBER(M181))),0,MAX(0,MIN(24,(INT(VALUE(F181)/100)-INT(M181/100))*12+MOD(VALUE(F181),100)-MOD(M181,100)))))/V8_LOCKOUT_TAU),1)</f>
        <v/>
      </c>
      <c r="AI181" s="8">
        <f>MAX(V8_BURN_FLOOR,1-V8_BURN_SLOPE*MIN(1,MAX(0,O181)))</f>
        <v/>
      </c>
      <c r="AJ181" s="15">
        <f>MIN(AA181*AF181*AG181*AH181*AI181,0.2)</f>
        <v/>
      </c>
      <c r="AK181" s="16">
        <f>1-(1-AJ181)^12</f>
        <v/>
      </c>
    </row>
    <row r="182">
      <c r="A182" s="2" t="inlineStr">
        <is>
          <t>000003422195</t>
        </is>
      </c>
      <c r="B182" t="inlineStr">
        <is>
          <t>232</t>
        </is>
      </c>
      <c r="C182" t="inlineStr">
        <is>
          <t>RP</t>
        </is>
      </c>
      <c r="D182" t="inlineStr">
        <is>
          <t>CAPITAL FUNDING,LLC.</t>
        </is>
      </c>
      <c r="E182" t="n">
        <v>2023</v>
      </c>
      <c r="F182" t="inlineStr">
        <is>
          <t>202602</t>
        </is>
      </c>
      <c r="G182" s="9" t="n">
        <v>9257415.58</v>
      </c>
      <c r="H182" s="13" t="n">
        <v>6</v>
      </c>
      <c r="I182" s="14" t="n">
        <v>447</v>
      </c>
      <c r="J182" s="14" t="n">
        <v>8</v>
      </c>
      <c r="K182" t="n">
        <v>26</v>
      </c>
      <c r="L182" t="n">
        <v>205701</v>
      </c>
      <c r="M182" t="inlineStr"/>
      <c r="N182" t="n">
        <v>3</v>
      </c>
      <c r="O182" s="8" t="n">
        <v>0.1153846153846154</v>
      </c>
      <c r="P182">
        <f>IF(ISNUMBER(SEARCH("232",B182)),"232",IF(ISNUMBER(SEARCH("538",B182)),"538",IF(ISNUMBER(SEARCH("223a7",B182)),"223a7",IF(ISNUMBER(SEARCH("223f",B182)),"223f","OTHER"))))</f>
        <v/>
      </c>
      <c r="Q182">
        <f>IF(UPPER(C182)="NC","NC","RP")</f>
        <v/>
      </c>
      <c r="R182">
        <f>IF(G182&lt;5000000,"small",IF(G182&lt;25000000,"medium","large"))</f>
        <v/>
      </c>
      <c r="S182">
        <f>IF(K182&lt;36,"young",IF(K182&lt;120,"seasoned","aged"))</f>
        <v/>
      </c>
      <c r="T182">
        <f>P182&amp;"|"&amp;Q182&amp;"|"&amp;R182&amp;"|"&amp;S182</f>
        <v/>
      </c>
      <c r="U182" s="14">
        <f>H182*100-I182</f>
        <v/>
      </c>
      <c r="V182" s="14">
        <f>U182-12.5*(J182+1)</f>
        <v/>
      </c>
      <c r="W182" s="15">
        <f>IFERROR(VLOOKUP(T182,V8_COHORT_TABLE,2,FALSE),IFERROR(VLOOKUP(P182&amp;"|"&amp;Q182&amp;"|ALL|"&amp;S182,V8_COHORT_TABLE,2,FALSE),IFERROR(VLOOKUP(P182&amp;"|ALL|ALL|"&amp;S182,V8_COHORT_TABLE,2,FALSE),IFERROR(VLOOKUP(P182&amp;"|ALL|ALL|ALL",V8_COHORT_TABLE,2,FALSE),VLOOKUP("GLOBAL",V8_COHORT_TABLE,2,FALSE)))))</f>
        <v/>
      </c>
      <c r="X182" s="15">
        <f>IFERROR(VLOOKUP(T182,V8_COHORT_TABLE,3,FALSE),IFERROR(VLOOKUP(P182&amp;"|"&amp;Q182&amp;"|ALL|"&amp;S182,V8_COHORT_TABLE,3,FALSE),IFERROR(VLOOKUP(P182&amp;"|ALL|ALL|"&amp;S182,V8_COHORT_TABLE,3,FALSE),IFERROR(VLOOKUP(P182&amp;"|ALL|ALL|ALL",V8_COHORT_TABLE,3,FALSE),VLOOKUP("GLOBAL",V8_COHORT_TABLE,3,FALSE)))))</f>
        <v/>
      </c>
      <c r="Y182" s="15">
        <f>IFERROR(VLOOKUP(T182,V8_COHORT_TABLE,4,FALSE),IFERROR(VLOOKUP(P182&amp;"|"&amp;Q182&amp;"|ALL|"&amp;S182,V8_COHORT_TABLE,4,FALSE),IFERROR(VLOOKUP(P182&amp;"|ALL|ALL|"&amp;S182,V8_COHORT_TABLE,4,FALSE),IFERROR(VLOOKUP(P182&amp;"|ALL|ALL|ALL",V8_COHORT_TABLE,4,FALSE),VLOOKUP("GLOBAL",V8_COHORT_TABLE,4,FALSE)))))</f>
        <v/>
      </c>
      <c r="Z182" s="15">
        <f>IFERROR(VLOOKUP(T182,V8_COHORT_TABLE,5,FALSE),IFERROR(VLOOKUP(P182&amp;"|"&amp;Q182&amp;"|ALL|"&amp;S182,V8_COHORT_TABLE,5,FALSE),IFERROR(VLOOKUP(P182&amp;"|ALL|ALL|"&amp;S182,V8_COHORT_TABLE,5,FALSE),IFERROR(VLOOKUP(P182&amp;"|ALL|ALL|ALL",V8_COHORT_TABLE,5,FALSE),VLOOKUP("GLOBAL",V8_COHORT_TABLE,5,FALSE)))))</f>
        <v/>
      </c>
      <c r="AA182" s="15">
        <f>W182+X182/(1+EXP(-(V182-Y182)/Z182))</f>
        <v/>
      </c>
      <c r="AB182" s="15">
        <f>IFERROR(VLOOKUP(T182,V8_COHORT_TABLE,6,FALSE),IFERROR(VLOOKUP(P182&amp;"|"&amp;Q182&amp;"|ALL|"&amp;S182,V8_COHORT_TABLE,6,FALSE),IFERROR(VLOOKUP(P182&amp;"|ALL|ALL|"&amp;S182,V8_COHORT_TABLE,6,FALSE),IFERROR(VLOOKUP(P182&amp;"|ALL|ALL|ALL",V8_COHORT_TABLE,6,FALSE),VLOOKUP("GLOBAL",V8_COHORT_TABLE,6,FALSE)))))</f>
        <v/>
      </c>
      <c r="AC182" s="15">
        <f>IFERROR(VLOOKUP(T182,V8_COHORT_TABLE,7,FALSE),IFERROR(VLOOKUP(P182&amp;"|"&amp;Q182&amp;"|ALL|"&amp;S182,V8_COHORT_TABLE,7,FALSE),IFERROR(VLOOKUP(P182&amp;"|ALL|ALL|"&amp;S182,V8_COHORT_TABLE,7,FALSE),IFERROR(VLOOKUP(P182&amp;"|ALL|ALL|ALL",V8_COHORT_TABLE,7,FALSE),VLOOKUP("GLOBAL",V8_COHORT_TABLE,7,FALSE)))))</f>
        <v/>
      </c>
      <c r="AD182" s="15">
        <f>IFERROR(VLOOKUP(T182,V8_COHORT_TABLE,8,FALSE),IFERROR(VLOOKUP(P182&amp;"|"&amp;Q182&amp;"|ALL|"&amp;S182,V8_COHORT_TABLE,8,FALSE),IFERROR(VLOOKUP(P182&amp;"|ALL|ALL|"&amp;S182,V8_COHORT_TABLE,8,FALSE),IFERROR(VLOOKUP(P182&amp;"|ALL|ALL|ALL",V8_COHORT_TABLE,8,FALSE),VLOOKUP("GLOBAL",V8_COHORT_TABLE,8,FALSE)))))</f>
        <v/>
      </c>
      <c r="AE182" s="15">
        <f>IFERROR(VLOOKUP(T182,V8_COHORT_TABLE,9,FALSE),IFERROR(VLOOKUP(P182&amp;"|"&amp;Q182&amp;"|ALL|"&amp;S182,V8_COHORT_TABLE,9,FALSE),IFERROR(VLOOKUP(P182&amp;"|ALL|ALL|"&amp;S182,V8_COHORT_TABLE,9,FALSE),IFERROR(VLOOKUP(P182&amp;"|ALL|ALL|ALL",V8_COHORT_TABLE,9,FALSE),VLOOKUP("GLOBAL",V8_COHORT_TABLE,9,FALSE)))))</f>
        <v/>
      </c>
      <c r="AF182" s="8">
        <f>IF(K182&lt;=0,AB182,IF(K182&gt;=240,AE182,IF(K182&lt;=24,AB182+(K182-0)/24*(AC182-AB182),IF(K182&lt;=96,AC182+(K182-24)/72*(AD182-AC182),AD182+(K182-96)/144*(AE182-AD182)))))</f>
        <v/>
      </c>
      <c r="AG182" s="8">
        <f>IF(IF(OR(L182="",NOT(ISNUMBER(L182))),360,MAX(0,MIN(480,(INT(L182/100)-INT(VALUE(F182)/100))*12+MOD(L182,100)-MOD(VALUE(F182),100))))&gt;0,1+V8_MTY_AMP*MAX(0,(V8_MTY_CUTOFF-(IF(OR(L182="",NOT(ISNUMBER(L182))),360,MAX(0,MIN(480,(INT(L182/100)-INT(VALUE(F182)/100))*12+MOD(L182,100)-MOD(VALUE(F182),100))))))/V8_MTY_CUTOFF),1)</f>
        <v/>
      </c>
      <c r="AH182" s="8">
        <f>IF(AND(IF(OR(M182="",NOT(ISNUMBER(M182))),0,MAX(0,MIN(24,(INT(VALUE(F182)/100)-INT(M182/100))*12+MOD(VALUE(F182),100)-MOD(M182,100))))&gt;0,IF(OR(M182="",NOT(ISNUMBER(M182))),0,MAX(0,MIN(24,(INT(VALUE(F182)/100)-INT(M182/100))*12+MOD(VALUE(F182),100)-MOD(M182,100))))&lt;=12),1+V8_LOCKOUT_AMP*EXP(-(IF(OR(M182="",NOT(ISNUMBER(M182))),0,MAX(0,MIN(24,(INT(VALUE(F182)/100)-INT(M182/100))*12+MOD(VALUE(F182),100)-MOD(M182,100)))))/V8_LOCKOUT_TAU),1)</f>
        <v/>
      </c>
      <c r="AI182" s="8">
        <f>MAX(V8_BURN_FLOOR,1-V8_BURN_SLOPE*MIN(1,MAX(0,O182)))</f>
        <v/>
      </c>
      <c r="AJ182" s="15">
        <f>MIN(AA182*AF182*AG182*AH182*AI182,0.2)</f>
        <v/>
      </c>
      <c r="AK182" s="16">
        <f>1-(1-AJ182)^12</f>
        <v/>
      </c>
    </row>
    <row r="183">
      <c r="A183" s="2" t="inlineStr">
        <is>
          <t>000004822022</t>
        </is>
      </c>
      <c r="B183" t="inlineStr">
        <is>
          <t>232</t>
        </is>
      </c>
      <c r="C183" t="inlineStr">
        <is>
          <t>RP</t>
        </is>
      </c>
      <c r="D183" t="inlineStr">
        <is>
          <t>CAPITAL FUNDING,LLC.</t>
        </is>
      </c>
      <c r="E183" t="n">
        <v>2010</v>
      </c>
      <c r="F183" t="inlineStr">
        <is>
          <t>202602</t>
        </is>
      </c>
      <c r="G183" s="9" t="n">
        <v>2463434.45</v>
      </c>
      <c r="H183" s="13" t="n">
        <v>2.95</v>
      </c>
      <c r="I183" s="14" t="n">
        <v>447</v>
      </c>
      <c r="J183" s="14" t="n">
        <v>5</v>
      </c>
      <c r="K183" t="n">
        <v>182</v>
      </c>
      <c r="L183" t="n">
        <v>203605</v>
      </c>
      <c r="M183" t="inlineStr"/>
      <c r="N183" t="n">
        <v>5</v>
      </c>
      <c r="O183" s="8" t="n">
        <v>0.02747252747252747</v>
      </c>
      <c r="P183">
        <f>IF(ISNUMBER(SEARCH("232",B183)),"232",IF(ISNUMBER(SEARCH("538",B183)),"538",IF(ISNUMBER(SEARCH("223a7",B183)),"223a7",IF(ISNUMBER(SEARCH("223f",B183)),"223f","OTHER"))))</f>
        <v/>
      </c>
      <c r="Q183">
        <f>IF(UPPER(C183)="NC","NC","RP")</f>
        <v/>
      </c>
      <c r="R183">
        <f>IF(G183&lt;5000000,"small",IF(G183&lt;25000000,"medium","large"))</f>
        <v/>
      </c>
      <c r="S183">
        <f>IF(K183&lt;36,"young",IF(K183&lt;120,"seasoned","aged"))</f>
        <v/>
      </c>
      <c r="T183">
        <f>P183&amp;"|"&amp;Q183&amp;"|"&amp;R183&amp;"|"&amp;S183</f>
        <v/>
      </c>
      <c r="U183" s="14">
        <f>H183*100-I183</f>
        <v/>
      </c>
      <c r="V183" s="14">
        <f>U183-12.5*(J183+1)</f>
        <v/>
      </c>
      <c r="W183" s="15">
        <f>IFERROR(VLOOKUP(T183,V8_COHORT_TABLE,2,FALSE),IFERROR(VLOOKUP(P183&amp;"|"&amp;Q183&amp;"|ALL|"&amp;S183,V8_COHORT_TABLE,2,FALSE),IFERROR(VLOOKUP(P183&amp;"|ALL|ALL|"&amp;S183,V8_COHORT_TABLE,2,FALSE),IFERROR(VLOOKUP(P183&amp;"|ALL|ALL|ALL",V8_COHORT_TABLE,2,FALSE),VLOOKUP("GLOBAL",V8_COHORT_TABLE,2,FALSE)))))</f>
        <v/>
      </c>
      <c r="X183" s="15">
        <f>IFERROR(VLOOKUP(T183,V8_COHORT_TABLE,3,FALSE),IFERROR(VLOOKUP(P183&amp;"|"&amp;Q183&amp;"|ALL|"&amp;S183,V8_COHORT_TABLE,3,FALSE),IFERROR(VLOOKUP(P183&amp;"|ALL|ALL|"&amp;S183,V8_COHORT_TABLE,3,FALSE),IFERROR(VLOOKUP(P183&amp;"|ALL|ALL|ALL",V8_COHORT_TABLE,3,FALSE),VLOOKUP("GLOBAL",V8_COHORT_TABLE,3,FALSE)))))</f>
        <v/>
      </c>
      <c r="Y183" s="15">
        <f>IFERROR(VLOOKUP(T183,V8_COHORT_TABLE,4,FALSE),IFERROR(VLOOKUP(P183&amp;"|"&amp;Q183&amp;"|ALL|"&amp;S183,V8_COHORT_TABLE,4,FALSE),IFERROR(VLOOKUP(P183&amp;"|ALL|ALL|"&amp;S183,V8_COHORT_TABLE,4,FALSE),IFERROR(VLOOKUP(P183&amp;"|ALL|ALL|ALL",V8_COHORT_TABLE,4,FALSE),VLOOKUP("GLOBAL",V8_COHORT_TABLE,4,FALSE)))))</f>
        <v/>
      </c>
      <c r="Z183" s="15">
        <f>IFERROR(VLOOKUP(T183,V8_COHORT_TABLE,5,FALSE),IFERROR(VLOOKUP(P183&amp;"|"&amp;Q183&amp;"|ALL|"&amp;S183,V8_COHORT_TABLE,5,FALSE),IFERROR(VLOOKUP(P183&amp;"|ALL|ALL|"&amp;S183,V8_COHORT_TABLE,5,FALSE),IFERROR(VLOOKUP(P183&amp;"|ALL|ALL|ALL",V8_COHORT_TABLE,5,FALSE),VLOOKUP("GLOBAL",V8_COHORT_TABLE,5,FALSE)))))</f>
        <v/>
      </c>
      <c r="AA183" s="15">
        <f>W183+X183/(1+EXP(-(V183-Y183)/Z183))</f>
        <v/>
      </c>
      <c r="AB183" s="15">
        <f>IFERROR(VLOOKUP(T183,V8_COHORT_TABLE,6,FALSE),IFERROR(VLOOKUP(P183&amp;"|"&amp;Q183&amp;"|ALL|"&amp;S183,V8_COHORT_TABLE,6,FALSE),IFERROR(VLOOKUP(P183&amp;"|ALL|ALL|"&amp;S183,V8_COHORT_TABLE,6,FALSE),IFERROR(VLOOKUP(P183&amp;"|ALL|ALL|ALL",V8_COHORT_TABLE,6,FALSE),VLOOKUP("GLOBAL",V8_COHORT_TABLE,6,FALSE)))))</f>
        <v/>
      </c>
      <c r="AC183" s="15">
        <f>IFERROR(VLOOKUP(T183,V8_COHORT_TABLE,7,FALSE),IFERROR(VLOOKUP(P183&amp;"|"&amp;Q183&amp;"|ALL|"&amp;S183,V8_COHORT_TABLE,7,FALSE),IFERROR(VLOOKUP(P183&amp;"|ALL|ALL|"&amp;S183,V8_COHORT_TABLE,7,FALSE),IFERROR(VLOOKUP(P183&amp;"|ALL|ALL|ALL",V8_COHORT_TABLE,7,FALSE),VLOOKUP("GLOBAL",V8_COHORT_TABLE,7,FALSE)))))</f>
        <v/>
      </c>
      <c r="AD183" s="15">
        <f>IFERROR(VLOOKUP(T183,V8_COHORT_TABLE,8,FALSE),IFERROR(VLOOKUP(P183&amp;"|"&amp;Q183&amp;"|ALL|"&amp;S183,V8_COHORT_TABLE,8,FALSE),IFERROR(VLOOKUP(P183&amp;"|ALL|ALL|"&amp;S183,V8_COHORT_TABLE,8,FALSE),IFERROR(VLOOKUP(P183&amp;"|ALL|ALL|ALL",V8_COHORT_TABLE,8,FALSE),VLOOKUP("GLOBAL",V8_COHORT_TABLE,8,FALSE)))))</f>
        <v/>
      </c>
      <c r="AE183" s="15">
        <f>IFERROR(VLOOKUP(T183,V8_COHORT_TABLE,9,FALSE),IFERROR(VLOOKUP(P183&amp;"|"&amp;Q183&amp;"|ALL|"&amp;S183,V8_COHORT_TABLE,9,FALSE),IFERROR(VLOOKUP(P183&amp;"|ALL|ALL|"&amp;S183,V8_COHORT_TABLE,9,FALSE),IFERROR(VLOOKUP(P183&amp;"|ALL|ALL|ALL",V8_COHORT_TABLE,9,FALSE),VLOOKUP("GLOBAL",V8_COHORT_TABLE,9,FALSE)))))</f>
        <v/>
      </c>
      <c r="AF183" s="8">
        <f>IF(K183&lt;=0,AB183,IF(K183&gt;=240,AE183,IF(K183&lt;=24,AB183+(K183-0)/24*(AC183-AB183),IF(K183&lt;=96,AC183+(K183-24)/72*(AD183-AC183),AD183+(K183-96)/144*(AE183-AD183)))))</f>
        <v/>
      </c>
      <c r="AG183" s="8">
        <f>IF(IF(OR(L183="",NOT(ISNUMBER(L183))),360,MAX(0,MIN(480,(INT(L183/100)-INT(VALUE(F183)/100))*12+MOD(L183,100)-MOD(VALUE(F183),100))))&gt;0,1+V8_MTY_AMP*MAX(0,(V8_MTY_CUTOFF-(IF(OR(L183="",NOT(ISNUMBER(L183))),360,MAX(0,MIN(480,(INT(L183/100)-INT(VALUE(F183)/100))*12+MOD(L183,100)-MOD(VALUE(F183),100))))))/V8_MTY_CUTOFF),1)</f>
        <v/>
      </c>
      <c r="AH183" s="8">
        <f>IF(AND(IF(OR(M183="",NOT(ISNUMBER(M183))),0,MAX(0,MIN(24,(INT(VALUE(F183)/100)-INT(M183/100))*12+MOD(VALUE(F183),100)-MOD(M183,100))))&gt;0,IF(OR(M183="",NOT(ISNUMBER(M183))),0,MAX(0,MIN(24,(INT(VALUE(F183)/100)-INT(M183/100))*12+MOD(VALUE(F183),100)-MOD(M183,100))))&lt;=12),1+V8_LOCKOUT_AMP*EXP(-(IF(OR(M183="",NOT(ISNUMBER(M183))),0,MAX(0,MIN(24,(INT(VALUE(F183)/100)-INT(M183/100))*12+MOD(VALUE(F183),100)-MOD(M183,100)))))/V8_LOCKOUT_TAU),1)</f>
        <v/>
      </c>
      <c r="AI183" s="8">
        <f>MAX(V8_BURN_FLOOR,1-V8_BURN_SLOPE*MIN(1,MAX(0,O183)))</f>
        <v/>
      </c>
      <c r="AJ183" s="15">
        <f>MIN(AA183*AF183*AG183*AH183*AI183,0.2)</f>
        <v/>
      </c>
      <c r="AK183" s="16">
        <f>1-(1-AJ183)^12</f>
        <v/>
      </c>
    </row>
    <row r="184">
      <c r="A184" s="2" t="inlineStr">
        <is>
          <t>000010122125</t>
        </is>
      </c>
      <c r="B184" t="inlineStr">
        <is>
          <t>232</t>
        </is>
      </c>
      <c r="C184" t="inlineStr">
        <is>
          <t>RP</t>
        </is>
      </c>
      <c r="D184" t="inlineStr">
        <is>
          <t>CAPITAL FUNDING,LLC.</t>
        </is>
      </c>
      <c r="E184" t="n">
        <v>2017</v>
      </c>
      <c r="F184" t="inlineStr">
        <is>
          <t>202602</t>
        </is>
      </c>
      <c r="G184" s="9" t="n">
        <v>10506744.22</v>
      </c>
      <c r="H184" s="13" t="n">
        <v>4.15</v>
      </c>
      <c r="I184" s="14" t="n">
        <v>447</v>
      </c>
      <c r="J184" s="14" t="n">
        <v>0</v>
      </c>
      <c r="K184" t="n">
        <v>105</v>
      </c>
      <c r="L184" t="n">
        <v>204706</v>
      </c>
      <c r="M184" t="inlineStr"/>
      <c r="N184" t="n">
        <v>43</v>
      </c>
      <c r="O184" s="8" t="n">
        <v>0.4095238095238095</v>
      </c>
      <c r="P184">
        <f>IF(ISNUMBER(SEARCH("232",B184)),"232",IF(ISNUMBER(SEARCH("538",B184)),"538",IF(ISNUMBER(SEARCH("223a7",B184)),"223a7",IF(ISNUMBER(SEARCH("223f",B184)),"223f","OTHER"))))</f>
        <v/>
      </c>
      <c r="Q184">
        <f>IF(UPPER(C184)="NC","NC","RP")</f>
        <v/>
      </c>
      <c r="R184">
        <f>IF(G184&lt;5000000,"small",IF(G184&lt;25000000,"medium","large"))</f>
        <v/>
      </c>
      <c r="S184">
        <f>IF(K184&lt;36,"young",IF(K184&lt;120,"seasoned","aged"))</f>
        <v/>
      </c>
      <c r="T184">
        <f>P184&amp;"|"&amp;Q184&amp;"|"&amp;R184&amp;"|"&amp;S184</f>
        <v/>
      </c>
      <c r="U184" s="14">
        <f>H184*100-I184</f>
        <v/>
      </c>
      <c r="V184" s="14">
        <f>U184-12.5*(J184+1)</f>
        <v/>
      </c>
      <c r="W184" s="15">
        <f>IFERROR(VLOOKUP(T184,V8_COHORT_TABLE,2,FALSE),IFERROR(VLOOKUP(P184&amp;"|"&amp;Q184&amp;"|ALL|"&amp;S184,V8_COHORT_TABLE,2,FALSE),IFERROR(VLOOKUP(P184&amp;"|ALL|ALL|"&amp;S184,V8_COHORT_TABLE,2,FALSE),IFERROR(VLOOKUP(P184&amp;"|ALL|ALL|ALL",V8_COHORT_TABLE,2,FALSE),VLOOKUP("GLOBAL",V8_COHORT_TABLE,2,FALSE)))))</f>
        <v/>
      </c>
      <c r="X184" s="15">
        <f>IFERROR(VLOOKUP(T184,V8_COHORT_TABLE,3,FALSE),IFERROR(VLOOKUP(P184&amp;"|"&amp;Q184&amp;"|ALL|"&amp;S184,V8_COHORT_TABLE,3,FALSE),IFERROR(VLOOKUP(P184&amp;"|ALL|ALL|"&amp;S184,V8_COHORT_TABLE,3,FALSE),IFERROR(VLOOKUP(P184&amp;"|ALL|ALL|ALL",V8_COHORT_TABLE,3,FALSE),VLOOKUP("GLOBAL",V8_COHORT_TABLE,3,FALSE)))))</f>
        <v/>
      </c>
      <c r="Y184" s="15">
        <f>IFERROR(VLOOKUP(T184,V8_COHORT_TABLE,4,FALSE),IFERROR(VLOOKUP(P184&amp;"|"&amp;Q184&amp;"|ALL|"&amp;S184,V8_COHORT_TABLE,4,FALSE),IFERROR(VLOOKUP(P184&amp;"|ALL|ALL|"&amp;S184,V8_COHORT_TABLE,4,FALSE),IFERROR(VLOOKUP(P184&amp;"|ALL|ALL|ALL",V8_COHORT_TABLE,4,FALSE),VLOOKUP("GLOBAL",V8_COHORT_TABLE,4,FALSE)))))</f>
        <v/>
      </c>
      <c r="Z184" s="15">
        <f>IFERROR(VLOOKUP(T184,V8_COHORT_TABLE,5,FALSE),IFERROR(VLOOKUP(P184&amp;"|"&amp;Q184&amp;"|ALL|"&amp;S184,V8_COHORT_TABLE,5,FALSE),IFERROR(VLOOKUP(P184&amp;"|ALL|ALL|"&amp;S184,V8_COHORT_TABLE,5,FALSE),IFERROR(VLOOKUP(P184&amp;"|ALL|ALL|ALL",V8_COHORT_TABLE,5,FALSE),VLOOKUP("GLOBAL",V8_COHORT_TABLE,5,FALSE)))))</f>
        <v/>
      </c>
      <c r="AA184" s="15">
        <f>W184+X184/(1+EXP(-(V184-Y184)/Z184))</f>
        <v/>
      </c>
      <c r="AB184" s="15">
        <f>IFERROR(VLOOKUP(T184,V8_COHORT_TABLE,6,FALSE),IFERROR(VLOOKUP(P184&amp;"|"&amp;Q184&amp;"|ALL|"&amp;S184,V8_COHORT_TABLE,6,FALSE),IFERROR(VLOOKUP(P184&amp;"|ALL|ALL|"&amp;S184,V8_COHORT_TABLE,6,FALSE),IFERROR(VLOOKUP(P184&amp;"|ALL|ALL|ALL",V8_COHORT_TABLE,6,FALSE),VLOOKUP("GLOBAL",V8_COHORT_TABLE,6,FALSE)))))</f>
        <v/>
      </c>
      <c r="AC184" s="15">
        <f>IFERROR(VLOOKUP(T184,V8_COHORT_TABLE,7,FALSE),IFERROR(VLOOKUP(P184&amp;"|"&amp;Q184&amp;"|ALL|"&amp;S184,V8_COHORT_TABLE,7,FALSE),IFERROR(VLOOKUP(P184&amp;"|ALL|ALL|"&amp;S184,V8_COHORT_TABLE,7,FALSE),IFERROR(VLOOKUP(P184&amp;"|ALL|ALL|ALL",V8_COHORT_TABLE,7,FALSE),VLOOKUP("GLOBAL",V8_COHORT_TABLE,7,FALSE)))))</f>
        <v/>
      </c>
      <c r="AD184" s="15">
        <f>IFERROR(VLOOKUP(T184,V8_COHORT_TABLE,8,FALSE),IFERROR(VLOOKUP(P184&amp;"|"&amp;Q184&amp;"|ALL|"&amp;S184,V8_COHORT_TABLE,8,FALSE),IFERROR(VLOOKUP(P184&amp;"|ALL|ALL|"&amp;S184,V8_COHORT_TABLE,8,FALSE),IFERROR(VLOOKUP(P184&amp;"|ALL|ALL|ALL",V8_COHORT_TABLE,8,FALSE),VLOOKUP("GLOBAL",V8_COHORT_TABLE,8,FALSE)))))</f>
        <v/>
      </c>
      <c r="AE184" s="15">
        <f>IFERROR(VLOOKUP(T184,V8_COHORT_TABLE,9,FALSE),IFERROR(VLOOKUP(P184&amp;"|"&amp;Q184&amp;"|ALL|"&amp;S184,V8_COHORT_TABLE,9,FALSE),IFERROR(VLOOKUP(P184&amp;"|ALL|ALL|"&amp;S184,V8_COHORT_TABLE,9,FALSE),IFERROR(VLOOKUP(P184&amp;"|ALL|ALL|ALL",V8_COHORT_TABLE,9,FALSE),VLOOKUP("GLOBAL",V8_COHORT_TABLE,9,FALSE)))))</f>
        <v/>
      </c>
      <c r="AF184" s="8">
        <f>IF(K184&lt;=0,AB184,IF(K184&gt;=240,AE184,IF(K184&lt;=24,AB184+(K184-0)/24*(AC184-AB184),IF(K184&lt;=96,AC184+(K184-24)/72*(AD184-AC184),AD184+(K184-96)/144*(AE184-AD184)))))</f>
        <v/>
      </c>
      <c r="AG184" s="8">
        <f>IF(IF(OR(L184="",NOT(ISNUMBER(L184))),360,MAX(0,MIN(480,(INT(L184/100)-INT(VALUE(F184)/100))*12+MOD(L184,100)-MOD(VALUE(F184),100))))&gt;0,1+V8_MTY_AMP*MAX(0,(V8_MTY_CUTOFF-(IF(OR(L184="",NOT(ISNUMBER(L184))),360,MAX(0,MIN(480,(INT(L184/100)-INT(VALUE(F184)/100))*12+MOD(L184,100)-MOD(VALUE(F184),100))))))/V8_MTY_CUTOFF),1)</f>
        <v/>
      </c>
      <c r="AH184" s="8">
        <f>IF(AND(IF(OR(M184="",NOT(ISNUMBER(M184))),0,MAX(0,MIN(24,(INT(VALUE(F184)/100)-INT(M184/100))*12+MOD(VALUE(F184),100)-MOD(M184,100))))&gt;0,IF(OR(M184="",NOT(ISNUMBER(M184))),0,MAX(0,MIN(24,(INT(VALUE(F184)/100)-INT(M184/100))*12+MOD(VALUE(F184),100)-MOD(M184,100))))&lt;=12),1+V8_LOCKOUT_AMP*EXP(-(IF(OR(M184="",NOT(ISNUMBER(M184))),0,MAX(0,MIN(24,(INT(VALUE(F184)/100)-INT(M184/100))*12+MOD(VALUE(F184),100)-MOD(M184,100)))))/V8_LOCKOUT_TAU),1)</f>
        <v/>
      </c>
      <c r="AI184" s="8">
        <f>MAX(V8_BURN_FLOOR,1-V8_BURN_SLOPE*MIN(1,MAX(0,O184)))</f>
        <v/>
      </c>
      <c r="AJ184" s="15">
        <f>MIN(AA184*AF184*AG184*AH184*AI184,0.2)</f>
        <v/>
      </c>
      <c r="AK184" s="16">
        <f>1-(1-AJ184)^12</f>
        <v/>
      </c>
    </row>
    <row r="185">
      <c r="A185" s="2" t="inlineStr">
        <is>
          <t>000012122146</t>
        </is>
      </c>
      <c r="B185" t="inlineStr">
        <is>
          <t>232</t>
        </is>
      </c>
      <c r="C185" t="inlineStr">
        <is>
          <t>RP</t>
        </is>
      </c>
      <c r="D185" t="inlineStr">
        <is>
          <t>CAPITAL FUNDING,LLC.</t>
        </is>
      </c>
      <c r="E185" t="n">
        <v>2013</v>
      </c>
      <c r="F185" t="inlineStr">
        <is>
          <t>202602</t>
        </is>
      </c>
      <c r="G185" s="9" t="n">
        <v>2672369.06</v>
      </c>
      <c r="H185" s="13" t="n">
        <v>3.91</v>
      </c>
      <c r="I185" s="14" t="n">
        <v>447</v>
      </c>
      <c r="J185" s="14" t="n">
        <v>0</v>
      </c>
      <c r="K185" t="n">
        <v>153</v>
      </c>
      <c r="L185" t="n">
        <v>203412</v>
      </c>
      <c r="M185" t="inlineStr"/>
      <c r="N185" t="n">
        <v>38</v>
      </c>
      <c r="O185" s="8" t="n">
        <v>0.2483660130718954</v>
      </c>
      <c r="P185">
        <f>IF(ISNUMBER(SEARCH("232",B185)),"232",IF(ISNUMBER(SEARCH("538",B185)),"538",IF(ISNUMBER(SEARCH("223a7",B185)),"223a7",IF(ISNUMBER(SEARCH("223f",B185)),"223f","OTHER"))))</f>
        <v/>
      </c>
      <c r="Q185">
        <f>IF(UPPER(C185)="NC","NC","RP")</f>
        <v/>
      </c>
      <c r="R185">
        <f>IF(G185&lt;5000000,"small",IF(G185&lt;25000000,"medium","large"))</f>
        <v/>
      </c>
      <c r="S185">
        <f>IF(K185&lt;36,"young",IF(K185&lt;120,"seasoned","aged"))</f>
        <v/>
      </c>
      <c r="T185">
        <f>P185&amp;"|"&amp;Q185&amp;"|"&amp;R185&amp;"|"&amp;S185</f>
        <v/>
      </c>
      <c r="U185" s="14">
        <f>H185*100-I185</f>
        <v/>
      </c>
      <c r="V185" s="14">
        <f>U185-12.5*(J185+1)</f>
        <v/>
      </c>
      <c r="W185" s="15">
        <f>IFERROR(VLOOKUP(T185,V8_COHORT_TABLE,2,FALSE),IFERROR(VLOOKUP(P185&amp;"|"&amp;Q185&amp;"|ALL|"&amp;S185,V8_COHORT_TABLE,2,FALSE),IFERROR(VLOOKUP(P185&amp;"|ALL|ALL|"&amp;S185,V8_COHORT_TABLE,2,FALSE),IFERROR(VLOOKUP(P185&amp;"|ALL|ALL|ALL",V8_COHORT_TABLE,2,FALSE),VLOOKUP("GLOBAL",V8_COHORT_TABLE,2,FALSE)))))</f>
        <v/>
      </c>
      <c r="X185" s="15">
        <f>IFERROR(VLOOKUP(T185,V8_COHORT_TABLE,3,FALSE),IFERROR(VLOOKUP(P185&amp;"|"&amp;Q185&amp;"|ALL|"&amp;S185,V8_COHORT_TABLE,3,FALSE),IFERROR(VLOOKUP(P185&amp;"|ALL|ALL|"&amp;S185,V8_COHORT_TABLE,3,FALSE),IFERROR(VLOOKUP(P185&amp;"|ALL|ALL|ALL",V8_COHORT_TABLE,3,FALSE),VLOOKUP("GLOBAL",V8_COHORT_TABLE,3,FALSE)))))</f>
        <v/>
      </c>
      <c r="Y185" s="15">
        <f>IFERROR(VLOOKUP(T185,V8_COHORT_TABLE,4,FALSE),IFERROR(VLOOKUP(P185&amp;"|"&amp;Q185&amp;"|ALL|"&amp;S185,V8_COHORT_TABLE,4,FALSE),IFERROR(VLOOKUP(P185&amp;"|ALL|ALL|"&amp;S185,V8_COHORT_TABLE,4,FALSE),IFERROR(VLOOKUP(P185&amp;"|ALL|ALL|ALL",V8_COHORT_TABLE,4,FALSE),VLOOKUP("GLOBAL",V8_COHORT_TABLE,4,FALSE)))))</f>
        <v/>
      </c>
      <c r="Z185" s="15">
        <f>IFERROR(VLOOKUP(T185,V8_COHORT_TABLE,5,FALSE),IFERROR(VLOOKUP(P185&amp;"|"&amp;Q185&amp;"|ALL|"&amp;S185,V8_COHORT_TABLE,5,FALSE),IFERROR(VLOOKUP(P185&amp;"|ALL|ALL|"&amp;S185,V8_COHORT_TABLE,5,FALSE),IFERROR(VLOOKUP(P185&amp;"|ALL|ALL|ALL",V8_COHORT_TABLE,5,FALSE),VLOOKUP("GLOBAL",V8_COHORT_TABLE,5,FALSE)))))</f>
        <v/>
      </c>
      <c r="AA185" s="15">
        <f>W185+X185/(1+EXP(-(V185-Y185)/Z185))</f>
        <v/>
      </c>
      <c r="AB185" s="15">
        <f>IFERROR(VLOOKUP(T185,V8_COHORT_TABLE,6,FALSE),IFERROR(VLOOKUP(P185&amp;"|"&amp;Q185&amp;"|ALL|"&amp;S185,V8_COHORT_TABLE,6,FALSE),IFERROR(VLOOKUP(P185&amp;"|ALL|ALL|"&amp;S185,V8_COHORT_TABLE,6,FALSE),IFERROR(VLOOKUP(P185&amp;"|ALL|ALL|ALL",V8_COHORT_TABLE,6,FALSE),VLOOKUP("GLOBAL",V8_COHORT_TABLE,6,FALSE)))))</f>
        <v/>
      </c>
      <c r="AC185" s="15">
        <f>IFERROR(VLOOKUP(T185,V8_COHORT_TABLE,7,FALSE),IFERROR(VLOOKUP(P185&amp;"|"&amp;Q185&amp;"|ALL|"&amp;S185,V8_COHORT_TABLE,7,FALSE),IFERROR(VLOOKUP(P185&amp;"|ALL|ALL|"&amp;S185,V8_COHORT_TABLE,7,FALSE),IFERROR(VLOOKUP(P185&amp;"|ALL|ALL|ALL",V8_COHORT_TABLE,7,FALSE),VLOOKUP("GLOBAL",V8_COHORT_TABLE,7,FALSE)))))</f>
        <v/>
      </c>
      <c r="AD185" s="15">
        <f>IFERROR(VLOOKUP(T185,V8_COHORT_TABLE,8,FALSE),IFERROR(VLOOKUP(P185&amp;"|"&amp;Q185&amp;"|ALL|"&amp;S185,V8_COHORT_TABLE,8,FALSE),IFERROR(VLOOKUP(P185&amp;"|ALL|ALL|"&amp;S185,V8_COHORT_TABLE,8,FALSE),IFERROR(VLOOKUP(P185&amp;"|ALL|ALL|ALL",V8_COHORT_TABLE,8,FALSE),VLOOKUP("GLOBAL",V8_COHORT_TABLE,8,FALSE)))))</f>
        <v/>
      </c>
      <c r="AE185" s="15">
        <f>IFERROR(VLOOKUP(T185,V8_COHORT_TABLE,9,FALSE),IFERROR(VLOOKUP(P185&amp;"|"&amp;Q185&amp;"|ALL|"&amp;S185,V8_COHORT_TABLE,9,FALSE),IFERROR(VLOOKUP(P185&amp;"|ALL|ALL|"&amp;S185,V8_COHORT_TABLE,9,FALSE),IFERROR(VLOOKUP(P185&amp;"|ALL|ALL|ALL",V8_COHORT_TABLE,9,FALSE),VLOOKUP("GLOBAL",V8_COHORT_TABLE,9,FALSE)))))</f>
        <v/>
      </c>
      <c r="AF185" s="8">
        <f>IF(K185&lt;=0,AB185,IF(K185&gt;=240,AE185,IF(K185&lt;=24,AB185+(K185-0)/24*(AC185-AB185),IF(K185&lt;=96,AC185+(K185-24)/72*(AD185-AC185),AD185+(K185-96)/144*(AE185-AD185)))))</f>
        <v/>
      </c>
      <c r="AG185" s="8">
        <f>IF(IF(OR(L185="",NOT(ISNUMBER(L185))),360,MAX(0,MIN(480,(INT(L185/100)-INT(VALUE(F185)/100))*12+MOD(L185,100)-MOD(VALUE(F185),100))))&gt;0,1+V8_MTY_AMP*MAX(0,(V8_MTY_CUTOFF-(IF(OR(L185="",NOT(ISNUMBER(L185))),360,MAX(0,MIN(480,(INT(L185/100)-INT(VALUE(F185)/100))*12+MOD(L185,100)-MOD(VALUE(F185),100))))))/V8_MTY_CUTOFF),1)</f>
        <v/>
      </c>
      <c r="AH185" s="8">
        <f>IF(AND(IF(OR(M185="",NOT(ISNUMBER(M185))),0,MAX(0,MIN(24,(INT(VALUE(F185)/100)-INT(M185/100))*12+MOD(VALUE(F185),100)-MOD(M185,100))))&gt;0,IF(OR(M185="",NOT(ISNUMBER(M185))),0,MAX(0,MIN(24,(INT(VALUE(F185)/100)-INT(M185/100))*12+MOD(VALUE(F185),100)-MOD(M185,100))))&lt;=12),1+V8_LOCKOUT_AMP*EXP(-(IF(OR(M185="",NOT(ISNUMBER(M185))),0,MAX(0,MIN(24,(INT(VALUE(F185)/100)-INT(M185/100))*12+MOD(VALUE(F185),100)-MOD(M185,100)))))/V8_LOCKOUT_TAU),1)</f>
        <v/>
      </c>
      <c r="AI185" s="8">
        <f>MAX(V8_BURN_FLOOR,1-V8_BURN_SLOPE*MIN(1,MAX(0,O185)))</f>
        <v/>
      </c>
      <c r="AJ185" s="15">
        <f>MIN(AA185*AF185*AG185*AH185*AI185,0.2)</f>
        <v/>
      </c>
      <c r="AK185" s="16">
        <f>1-(1-AJ185)^12</f>
        <v/>
      </c>
    </row>
    <row r="186">
      <c r="A186" s="2" t="inlineStr">
        <is>
          <t>000007422022</t>
        </is>
      </c>
      <c r="B186" t="inlineStr">
        <is>
          <t>232</t>
        </is>
      </c>
      <c r="C186" t="inlineStr">
        <is>
          <t>RP</t>
        </is>
      </c>
      <c r="D186" t="inlineStr">
        <is>
          <t>CAPITAL FUNDING,LLC.</t>
        </is>
      </c>
      <c r="E186" t="n">
        <v>2012</v>
      </c>
      <c r="F186" t="inlineStr">
        <is>
          <t>202602</t>
        </is>
      </c>
      <c r="G186" s="9" t="n">
        <v>1483057.17</v>
      </c>
      <c r="H186" s="13" t="n">
        <v>3.79</v>
      </c>
      <c r="I186" s="14" t="n">
        <v>447</v>
      </c>
      <c r="J186" s="14" t="n">
        <v>0</v>
      </c>
      <c r="K186" t="n">
        <v>169</v>
      </c>
      <c r="L186" t="n">
        <v>204702</v>
      </c>
      <c r="M186" t="n">
        <v>201403</v>
      </c>
      <c r="N186" t="n">
        <v>40</v>
      </c>
      <c r="O186" s="8" t="n">
        <v>0.2366863905325444</v>
      </c>
      <c r="P186">
        <f>IF(ISNUMBER(SEARCH("232",B186)),"232",IF(ISNUMBER(SEARCH("538",B186)),"538",IF(ISNUMBER(SEARCH("223a7",B186)),"223a7",IF(ISNUMBER(SEARCH("223f",B186)),"223f","OTHER"))))</f>
        <v/>
      </c>
      <c r="Q186">
        <f>IF(UPPER(C186)="NC","NC","RP")</f>
        <v/>
      </c>
      <c r="R186">
        <f>IF(G186&lt;5000000,"small",IF(G186&lt;25000000,"medium","large"))</f>
        <v/>
      </c>
      <c r="S186">
        <f>IF(K186&lt;36,"young",IF(K186&lt;120,"seasoned","aged"))</f>
        <v/>
      </c>
      <c r="T186">
        <f>P186&amp;"|"&amp;Q186&amp;"|"&amp;R186&amp;"|"&amp;S186</f>
        <v/>
      </c>
      <c r="U186" s="14">
        <f>H186*100-I186</f>
        <v/>
      </c>
      <c r="V186" s="14">
        <f>U186-12.5*(J186+1)</f>
        <v/>
      </c>
      <c r="W186" s="15">
        <f>IFERROR(VLOOKUP(T186,V8_COHORT_TABLE,2,FALSE),IFERROR(VLOOKUP(P186&amp;"|"&amp;Q186&amp;"|ALL|"&amp;S186,V8_COHORT_TABLE,2,FALSE),IFERROR(VLOOKUP(P186&amp;"|ALL|ALL|"&amp;S186,V8_COHORT_TABLE,2,FALSE),IFERROR(VLOOKUP(P186&amp;"|ALL|ALL|ALL",V8_COHORT_TABLE,2,FALSE),VLOOKUP("GLOBAL",V8_COHORT_TABLE,2,FALSE)))))</f>
        <v/>
      </c>
      <c r="X186" s="15">
        <f>IFERROR(VLOOKUP(T186,V8_COHORT_TABLE,3,FALSE),IFERROR(VLOOKUP(P186&amp;"|"&amp;Q186&amp;"|ALL|"&amp;S186,V8_COHORT_TABLE,3,FALSE),IFERROR(VLOOKUP(P186&amp;"|ALL|ALL|"&amp;S186,V8_COHORT_TABLE,3,FALSE),IFERROR(VLOOKUP(P186&amp;"|ALL|ALL|ALL",V8_COHORT_TABLE,3,FALSE),VLOOKUP("GLOBAL",V8_COHORT_TABLE,3,FALSE)))))</f>
        <v/>
      </c>
      <c r="Y186" s="15">
        <f>IFERROR(VLOOKUP(T186,V8_COHORT_TABLE,4,FALSE),IFERROR(VLOOKUP(P186&amp;"|"&amp;Q186&amp;"|ALL|"&amp;S186,V8_COHORT_TABLE,4,FALSE),IFERROR(VLOOKUP(P186&amp;"|ALL|ALL|"&amp;S186,V8_COHORT_TABLE,4,FALSE),IFERROR(VLOOKUP(P186&amp;"|ALL|ALL|ALL",V8_COHORT_TABLE,4,FALSE),VLOOKUP("GLOBAL",V8_COHORT_TABLE,4,FALSE)))))</f>
        <v/>
      </c>
      <c r="Z186" s="15">
        <f>IFERROR(VLOOKUP(T186,V8_COHORT_TABLE,5,FALSE),IFERROR(VLOOKUP(P186&amp;"|"&amp;Q186&amp;"|ALL|"&amp;S186,V8_COHORT_TABLE,5,FALSE),IFERROR(VLOOKUP(P186&amp;"|ALL|ALL|"&amp;S186,V8_COHORT_TABLE,5,FALSE),IFERROR(VLOOKUP(P186&amp;"|ALL|ALL|ALL",V8_COHORT_TABLE,5,FALSE),VLOOKUP("GLOBAL",V8_COHORT_TABLE,5,FALSE)))))</f>
        <v/>
      </c>
      <c r="AA186" s="15">
        <f>W186+X186/(1+EXP(-(V186-Y186)/Z186))</f>
        <v/>
      </c>
      <c r="AB186" s="15">
        <f>IFERROR(VLOOKUP(T186,V8_COHORT_TABLE,6,FALSE),IFERROR(VLOOKUP(P186&amp;"|"&amp;Q186&amp;"|ALL|"&amp;S186,V8_COHORT_TABLE,6,FALSE),IFERROR(VLOOKUP(P186&amp;"|ALL|ALL|"&amp;S186,V8_COHORT_TABLE,6,FALSE),IFERROR(VLOOKUP(P186&amp;"|ALL|ALL|ALL",V8_COHORT_TABLE,6,FALSE),VLOOKUP("GLOBAL",V8_COHORT_TABLE,6,FALSE)))))</f>
        <v/>
      </c>
      <c r="AC186" s="15">
        <f>IFERROR(VLOOKUP(T186,V8_COHORT_TABLE,7,FALSE),IFERROR(VLOOKUP(P186&amp;"|"&amp;Q186&amp;"|ALL|"&amp;S186,V8_COHORT_TABLE,7,FALSE),IFERROR(VLOOKUP(P186&amp;"|ALL|ALL|"&amp;S186,V8_COHORT_TABLE,7,FALSE),IFERROR(VLOOKUP(P186&amp;"|ALL|ALL|ALL",V8_COHORT_TABLE,7,FALSE),VLOOKUP("GLOBAL",V8_COHORT_TABLE,7,FALSE)))))</f>
        <v/>
      </c>
      <c r="AD186" s="15">
        <f>IFERROR(VLOOKUP(T186,V8_COHORT_TABLE,8,FALSE),IFERROR(VLOOKUP(P186&amp;"|"&amp;Q186&amp;"|ALL|"&amp;S186,V8_COHORT_TABLE,8,FALSE),IFERROR(VLOOKUP(P186&amp;"|ALL|ALL|"&amp;S186,V8_COHORT_TABLE,8,FALSE),IFERROR(VLOOKUP(P186&amp;"|ALL|ALL|ALL",V8_COHORT_TABLE,8,FALSE),VLOOKUP("GLOBAL",V8_COHORT_TABLE,8,FALSE)))))</f>
        <v/>
      </c>
      <c r="AE186" s="15">
        <f>IFERROR(VLOOKUP(T186,V8_COHORT_TABLE,9,FALSE),IFERROR(VLOOKUP(P186&amp;"|"&amp;Q186&amp;"|ALL|"&amp;S186,V8_COHORT_TABLE,9,FALSE),IFERROR(VLOOKUP(P186&amp;"|ALL|ALL|"&amp;S186,V8_COHORT_TABLE,9,FALSE),IFERROR(VLOOKUP(P186&amp;"|ALL|ALL|ALL",V8_COHORT_TABLE,9,FALSE),VLOOKUP("GLOBAL",V8_COHORT_TABLE,9,FALSE)))))</f>
        <v/>
      </c>
      <c r="AF186" s="8">
        <f>IF(K186&lt;=0,AB186,IF(K186&gt;=240,AE186,IF(K186&lt;=24,AB186+(K186-0)/24*(AC186-AB186),IF(K186&lt;=96,AC186+(K186-24)/72*(AD186-AC186),AD186+(K186-96)/144*(AE186-AD186)))))</f>
        <v/>
      </c>
      <c r="AG186" s="8">
        <f>IF(IF(OR(L186="",NOT(ISNUMBER(L186))),360,MAX(0,MIN(480,(INT(L186/100)-INT(VALUE(F186)/100))*12+MOD(L186,100)-MOD(VALUE(F186),100))))&gt;0,1+V8_MTY_AMP*MAX(0,(V8_MTY_CUTOFF-(IF(OR(L186="",NOT(ISNUMBER(L186))),360,MAX(0,MIN(480,(INT(L186/100)-INT(VALUE(F186)/100))*12+MOD(L186,100)-MOD(VALUE(F186),100))))))/V8_MTY_CUTOFF),1)</f>
        <v/>
      </c>
      <c r="AH186" s="8">
        <f>IF(AND(IF(OR(M186="",NOT(ISNUMBER(M186))),0,MAX(0,MIN(24,(INT(VALUE(F186)/100)-INT(M186/100))*12+MOD(VALUE(F186),100)-MOD(M186,100))))&gt;0,IF(OR(M186="",NOT(ISNUMBER(M186))),0,MAX(0,MIN(24,(INT(VALUE(F186)/100)-INT(M186/100))*12+MOD(VALUE(F186),100)-MOD(M186,100))))&lt;=12),1+V8_LOCKOUT_AMP*EXP(-(IF(OR(M186="",NOT(ISNUMBER(M186))),0,MAX(0,MIN(24,(INT(VALUE(F186)/100)-INT(M186/100))*12+MOD(VALUE(F186),100)-MOD(M186,100)))))/V8_LOCKOUT_TAU),1)</f>
        <v/>
      </c>
      <c r="AI186" s="8">
        <f>MAX(V8_BURN_FLOOR,1-V8_BURN_SLOPE*MIN(1,MAX(0,O186)))</f>
        <v/>
      </c>
      <c r="AJ186" s="15">
        <f>MIN(AA186*AF186*AG186*AH186*AI186,0.2)</f>
        <v/>
      </c>
      <c r="AK186" s="16">
        <f>1-(1-AJ186)^12</f>
        <v/>
      </c>
    </row>
    <row r="187">
      <c r="A187" s="2" t="inlineStr">
        <is>
          <t>000001722134</t>
        </is>
      </c>
      <c r="B187" t="inlineStr">
        <is>
          <t>232</t>
        </is>
      </c>
      <c r="C187" t="inlineStr">
        <is>
          <t>RP</t>
        </is>
      </c>
      <c r="D187" t="inlineStr">
        <is>
          <t>CAPITAL FUNDING,LLC.</t>
        </is>
      </c>
      <c r="E187" t="n">
        <v>2019</v>
      </c>
      <c r="F187" t="inlineStr">
        <is>
          <t>202602</t>
        </is>
      </c>
      <c r="G187" s="9" t="n">
        <v>18483731.62</v>
      </c>
      <c r="H187" s="13" t="n">
        <v>3.92</v>
      </c>
      <c r="I187" s="14" t="n">
        <v>447</v>
      </c>
      <c r="J187" s="14" t="n">
        <v>4</v>
      </c>
      <c r="K187" t="n">
        <v>82</v>
      </c>
      <c r="L187" t="n">
        <v>204905</v>
      </c>
      <c r="M187" t="inlineStr"/>
      <c r="N187" t="n">
        <v>30</v>
      </c>
      <c r="O187" s="8" t="n">
        <v>0.3658536585365854</v>
      </c>
      <c r="P187">
        <f>IF(ISNUMBER(SEARCH("232",B187)),"232",IF(ISNUMBER(SEARCH("538",B187)),"538",IF(ISNUMBER(SEARCH("223a7",B187)),"223a7",IF(ISNUMBER(SEARCH("223f",B187)),"223f","OTHER"))))</f>
        <v/>
      </c>
      <c r="Q187">
        <f>IF(UPPER(C187)="NC","NC","RP")</f>
        <v/>
      </c>
      <c r="R187">
        <f>IF(G187&lt;5000000,"small",IF(G187&lt;25000000,"medium","large"))</f>
        <v/>
      </c>
      <c r="S187">
        <f>IF(K187&lt;36,"young",IF(K187&lt;120,"seasoned","aged"))</f>
        <v/>
      </c>
      <c r="T187">
        <f>P187&amp;"|"&amp;Q187&amp;"|"&amp;R187&amp;"|"&amp;S187</f>
        <v/>
      </c>
      <c r="U187" s="14">
        <f>H187*100-I187</f>
        <v/>
      </c>
      <c r="V187" s="14">
        <f>U187-12.5*(J187+1)</f>
        <v/>
      </c>
      <c r="W187" s="15">
        <f>IFERROR(VLOOKUP(T187,V8_COHORT_TABLE,2,FALSE),IFERROR(VLOOKUP(P187&amp;"|"&amp;Q187&amp;"|ALL|"&amp;S187,V8_COHORT_TABLE,2,FALSE),IFERROR(VLOOKUP(P187&amp;"|ALL|ALL|"&amp;S187,V8_COHORT_TABLE,2,FALSE),IFERROR(VLOOKUP(P187&amp;"|ALL|ALL|ALL",V8_COHORT_TABLE,2,FALSE),VLOOKUP("GLOBAL",V8_COHORT_TABLE,2,FALSE)))))</f>
        <v/>
      </c>
      <c r="X187" s="15">
        <f>IFERROR(VLOOKUP(T187,V8_COHORT_TABLE,3,FALSE),IFERROR(VLOOKUP(P187&amp;"|"&amp;Q187&amp;"|ALL|"&amp;S187,V8_COHORT_TABLE,3,FALSE),IFERROR(VLOOKUP(P187&amp;"|ALL|ALL|"&amp;S187,V8_COHORT_TABLE,3,FALSE),IFERROR(VLOOKUP(P187&amp;"|ALL|ALL|ALL",V8_COHORT_TABLE,3,FALSE),VLOOKUP("GLOBAL",V8_COHORT_TABLE,3,FALSE)))))</f>
        <v/>
      </c>
      <c r="Y187" s="15">
        <f>IFERROR(VLOOKUP(T187,V8_COHORT_TABLE,4,FALSE),IFERROR(VLOOKUP(P187&amp;"|"&amp;Q187&amp;"|ALL|"&amp;S187,V8_COHORT_TABLE,4,FALSE),IFERROR(VLOOKUP(P187&amp;"|ALL|ALL|"&amp;S187,V8_COHORT_TABLE,4,FALSE),IFERROR(VLOOKUP(P187&amp;"|ALL|ALL|ALL",V8_COHORT_TABLE,4,FALSE),VLOOKUP("GLOBAL",V8_COHORT_TABLE,4,FALSE)))))</f>
        <v/>
      </c>
      <c r="Z187" s="15">
        <f>IFERROR(VLOOKUP(T187,V8_COHORT_TABLE,5,FALSE),IFERROR(VLOOKUP(P187&amp;"|"&amp;Q187&amp;"|ALL|"&amp;S187,V8_COHORT_TABLE,5,FALSE),IFERROR(VLOOKUP(P187&amp;"|ALL|ALL|"&amp;S187,V8_COHORT_TABLE,5,FALSE),IFERROR(VLOOKUP(P187&amp;"|ALL|ALL|ALL",V8_COHORT_TABLE,5,FALSE),VLOOKUP("GLOBAL",V8_COHORT_TABLE,5,FALSE)))))</f>
        <v/>
      </c>
      <c r="AA187" s="15">
        <f>W187+X187/(1+EXP(-(V187-Y187)/Z187))</f>
        <v/>
      </c>
      <c r="AB187" s="15">
        <f>IFERROR(VLOOKUP(T187,V8_COHORT_TABLE,6,FALSE),IFERROR(VLOOKUP(P187&amp;"|"&amp;Q187&amp;"|ALL|"&amp;S187,V8_COHORT_TABLE,6,FALSE),IFERROR(VLOOKUP(P187&amp;"|ALL|ALL|"&amp;S187,V8_COHORT_TABLE,6,FALSE),IFERROR(VLOOKUP(P187&amp;"|ALL|ALL|ALL",V8_COHORT_TABLE,6,FALSE),VLOOKUP("GLOBAL",V8_COHORT_TABLE,6,FALSE)))))</f>
        <v/>
      </c>
      <c r="AC187" s="15">
        <f>IFERROR(VLOOKUP(T187,V8_COHORT_TABLE,7,FALSE),IFERROR(VLOOKUP(P187&amp;"|"&amp;Q187&amp;"|ALL|"&amp;S187,V8_COHORT_TABLE,7,FALSE),IFERROR(VLOOKUP(P187&amp;"|ALL|ALL|"&amp;S187,V8_COHORT_TABLE,7,FALSE),IFERROR(VLOOKUP(P187&amp;"|ALL|ALL|ALL",V8_COHORT_TABLE,7,FALSE),VLOOKUP("GLOBAL",V8_COHORT_TABLE,7,FALSE)))))</f>
        <v/>
      </c>
      <c r="AD187" s="15">
        <f>IFERROR(VLOOKUP(T187,V8_COHORT_TABLE,8,FALSE),IFERROR(VLOOKUP(P187&amp;"|"&amp;Q187&amp;"|ALL|"&amp;S187,V8_COHORT_TABLE,8,FALSE),IFERROR(VLOOKUP(P187&amp;"|ALL|ALL|"&amp;S187,V8_COHORT_TABLE,8,FALSE),IFERROR(VLOOKUP(P187&amp;"|ALL|ALL|ALL",V8_COHORT_TABLE,8,FALSE),VLOOKUP("GLOBAL",V8_COHORT_TABLE,8,FALSE)))))</f>
        <v/>
      </c>
      <c r="AE187" s="15">
        <f>IFERROR(VLOOKUP(T187,V8_COHORT_TABLE,9,FALSE),IFERROR(VLOOKUP(P187&amp;"|"&amp;Q187&amp;"|ALL|"&amp;S187,V8_COHORT_TABLE,9,FALSE),IFERROR(VLOOKUP(P187&amp;"|ALL|ALL|"&amp;S187,V8_COHORT_TABLE,9,FALSE),IFERROR(VLOOKUP(P187&amp;"|ALL|ALL|ALL",V8_COHORT_TABLE,9,FALSE),VLOOKUP("GLOBAL",V8_COHORT_TABLE,9,FALSE)))))</f>
        <v/>
      </c>
      <c r="AF187" s="8">
        <f>IF(K187&lt;=0,AB187,IF(K187&gt;=240,AE187,IF(K187&lt;=24,AB187+(K187-0)/24*(AC187-AB187),IF(K187&lt;=96,AC187+(K187-24)/72*(AD187-AC187),AD187+(K187-96)/144*(AE187-AD187)))))</f>
        <v/>
      </c>
      <c r="AG187" s="8">
        <f>IF(IF(OR(L187="",NOT(ISNUMBER(L187))),360,MAX(0,MIN(480,(INT(L187/100)-INT(VALUE(F187)/100))*12+MOD(L187,100)-MOD(VALUE(F187),100))))&gt;0,1+V8_MTY_AMP*MAX(0,(V8_MTY_CUTOFF-(IF(OR(L187="",NOT(ISNUMBER(L187))),360,MAX(0,MIN(480,(INT(L187/100)-INT(VALUE(F187)/100))*12+MOD(L187,100)-MOD(VALUE(F187),100))))))/V8_MTY_CUTOFF),1)</f>
        <v/>
      </c>
      <c r="AH187" s="8">
        <f>IF(AND(IF(OR(M187="",NOT(ISNUMBER(M187))),0,MAX(0,MIN(24,(INT(VALUE(F187)/100)-INT(M187/100))*12+MOD(VALUE(F187),100)-MOD(M187,100))))&gt;0,IF(OR(M187="",NOT(ISNUMBER(M187))),0,MAX(0,MIN(24,(INT(VALUE(F187)/100)-INT(M187/100))*12+MOD(VALUE(F187),100)-MOD(M187,100))))&lt;=12),1+V8_LOCKOUT_AMP*EXP(-(IF(OR(M187="",NOT(ISNUMBER(M187))),0,MAX(0,MIN(24,(INT(VALUE(F187)/100)-INT(M187/100))*12+MOD(VALUE(F187),100)-MOD(M187,100)))))/V8_LOCKOUT_TAU),1)</f>
        <v/>
      </c>
      <c r="AI187" s="8">
        <f>MAX(V8_BURN_FLOOR,1-V8_BURN_SLOPE*MIN(1,MAX(0,O187)))</f>
        <v/>
      </c>
      <c r="AJ187" s="15">
        <f>MIN(AA187*AF187*AG187*AH187*AI187,0.2)</f>
        <v/>
      </c>
      <c r="AK187" s="16">
        <f>1-(1-AJ187)^12</f>
        <v/>
      </c>
    </row>
    <row r="188">
      <c r="A188" s="2" t="inlineStr">
        <is>
          <t>000005422029</t>
        </is>
      </c>
      <c r="B188" t="inlineStr">
        <is>
          <t>232</t>
        </is>
      </c>
      <c r="C188" t="inlineStr">
        <is>
          <t>RP</t>
        </is>
      </c>
      <c r="D188" t="inlineStr">
        <is>
          <t>CAPITAL FUNDING,LLC.</t>
        </is>
      </c>
      <c r="E188" t="n">
        <v>2015</v>
      </c>
      <c r="F188" t="inlineStr">
        <is>
          <t>202602</t>
        </is>
      </c>
      <c r="G188" s="9" t="n">
        <v>2942810.86</v>
      </c>
      <c r="H188" s="13" t="n">
        <v>3.99</v>
      </c>
      <c r="I188" s="14" t="n">
        <v>447</v>
      </c>
      <c r="J188" s="14" t="n">
        <v>0</v>
      </c>
      <c r="K188" t="n">
        <v>130</v>
      </c>
      <c r="L188" t="n">
        <v>204308</v>
      </c>
      <c r="M188" t="inlineStr"/>
      <c r="N188" t="n">
        <v>36</v>
      </c>
      <c r="O188" s="8" t="n">
        <v>0.2769230769230769</v>
      </c>
      <c r="P188">
        <f>IF(ISNUMBER(SEARCH("232",B188)),"232",IF(ISNUMBER(SEARCH("538",B188)),"538",IF(ISNUMBER(SEARCH("223a7",B188)),"223a7",IF(ISNUMBER(SEARCH("223f",B188)),"223f","OTHER"))))</f>
        <v/>
      </c>
      <c r="Q188">
        <f>IF(UPPER(C188)="NC","NC","RP")</f>
        <v/>
      </c>
      <c r="R188">
        <f>IF(G188&lt;5000000,"small",IF(G188&lt;25000000,"medium","large"))</f>
        <v/>
      </c>
      <c r="S188">
        <f>IF(K188&lt;36,"young",IF(K188&lt;120,"seasoned","aged"))</f>
        <v/>
      </c>
      <c r="T188">
        <f>P188&amp;"|"&amp;Q188&amp;"|"&amp;R188&amp;"|"&amp;S188</f>
        <v/>
      </c>
      <c r="U188" s="14">
        <f>H188*100-I188</f>
        <v/>
      </c>
      <c r="V188" s="14">
        <f>U188-12.5*(J188+1)</f>
        <v/>
      </c>
      <c r="W188" s="15">
        <f>IFERROR(VLOOKUP(T188,V8_COHORT_TABLE,2,FALSE),IFERROR(VLOOKUP(P188&amp;"|"&amp;Q188&amp;"|ALL|"&amp;S188,V8_COHORT_TABLE,2,FALSE),IFERROR(VLOOKUP(P188&amp;"|ALL|ALL|"&amp;S188,V8_COHORT_TABLE,2,FALSE),IFERROR(VLOOKUP(P188&amp;"|ALL|ALL|ALL",V8_COHORT_TABLE,2,FALSE),VLOOKUP("GLOBAL",V8_COHORT_TABLE,2,FALSE)))))</f>
        <v/>
      </c>
      <c r="X188" s="15">
        <f>IFERROR(VLOOKUP(T188,V8_COHORT_TABLE,3,FALSE),IFERROR(VLOOKUP(P188&amp;"|"&amp;Q188&amp;"|ALL|"&amp;S188,V8_COHORT_TABLE,3,FALSE),IFERROR(VLOOKUP(P188&amp;"|ALL|ALL|"&amp;S188,V8_COHORT_TABLE,3,FALSE),IFERROR(VLOOKUP(P188&amp;"|ALL|ALL|ALL",V8_COHORT_TABLE,3,FALSE),VLOOKUP("GLOBAL",V8_COHORT_TABLE,3,FALSE)))))</f>
        <v/>
      </c>
      <c r="Y188" s="15">
        <f>IFERROR(VLOOKUP(T188,V8_COHORT_TABLE,4,FALSE),IFERROR(VLOOKUP(P188&amp;"|"&amp;Q188&amp;"|ALL|"&amp;S188,V8_COHORT_TABLE,4,FALSE),IFERROR(VLOOKUP(P188&amp;"|ALL|ALL|"&amp;S188,V8_COHORT_TABLE,4,FALSE),IFERROR(VLOOKUP(P188&amp;"|ALL|ALL|ALL",V8_COHORT_TABLE,4,FALSE),VLOOKUP("GLOBAL",V8_COHORT_TABLE,4,FALSE)))))</f>
        <v/>
      </c>
      <c r="Z188" s="15">
        <f>IFERROR(VLOOKUP(T188,V8_COHORT_TABLE,5,FALSE),IFERROR(VLOOKUP(P188&amp;"|"&amp;Q188&amp;"|ALL|"&amp;S188,V8_COHORT_TABLE,5,FALSE),IFERROR(VLOOKUP(P188&amp;"|ALL|ALL|"&amp;S188,V8_COHORT_TABLE,5,FALSE),IFERROR(VLOOKUP(P188&amp;"|ALL|ALL|ALL",V8_COHORT_TABLE,5,FALSE),VLOOKUP("GLOBAL",V8_COHORT_TABLE,5,FALSE)))))</f>
        <v/>
      </c>
      <c r="AA188" s="15">
        <f>W188+X188/(1+EXP(-(V188-Y188)/Z188))</f>
        <v/>
      </c>
      <c r="AB188" s="15">
        <f>IFERROR(VLOOKUP(T188,V8_COHORT_TABLE,6,FALSE),IFERROR(VLOOKUP(P188&amp;"|"&amp;Q188&amp;"|ALL|"&amp;S188,V8_COHORT_TABLE,6,FALSE),IFERROR(VLOOKUP(P188&amp;"|ALL|ALL|"&amp;S188,V8_COHORT_TABLE,6,FALSE),IFERROR(VLOOKUP(P188&amp;"|ALL|ALL|ALL",V8_COHORT_TABLE,6,FALSE),VLOOKUP("GLOBAL",V8_COHORT_TABLE,6,FALSE)))))</f>
        <v/>
      </c>
      <c r="AC188" s="15">
        <f>IFERROR(VLOOKUP(T188,V8_COHORT_TABLE,7,FALSE),IFERROR(VLOOKUP(P188&amp;"|"&amp;Q188&amp;"|ALL|"&amp;S188,V8_COHORT_TABLE,7,FALSE),IFERROR(VLOOKUP(P188&amp;"|ALL|ALL|"&amp;S188,V8_COHORT_TABLE,7,FALSE),IFERROR(VLOOKUP(P188&amp;"|ALL|ALL|ALL",V8_COHORT_TABLE,7,FALSE),VLOOKUP("GLOBAL",V8_COHORT_TABLE,7,FALSE)))))</f>
        <v/>
      </c>
      <c r="AD188" s="15">
        <f>IFERROR(VLOOKUP(T188,V8_COHORT_TABLE,8,FALSE),IFERROR(VLOOKUP(P188&amp;"|"&amp;Q188&amp;"|ALL|"&amp;S188,V8_COHORT_TABLE,8,FALSE),IFERROR(VLOOKUP(P188&amp;"|ALL|ALL|"&amp;S188,V8_COHORT_TABLE,8,FALSE),IFERROR(VLOOKUP(P188&amp;"|ALL|ALL|ALL",V8_COHORT_TABLE,8,FALSE),VLOOKUP("GLOBAL",V8_COHORT_TABLE,8,FALSE)))))</f>
        <v/>
      </c>
      <c r="AE188" s="15">
        <f>IFERROR(VLOOKUP(T188,V8_COHORT_TABLE,9,FALSE),IFERROR(VLOOKUP(P188&amp;"|"&amp;Q188&amp;"|ALL|"&amp;S188,V8_COHORT_TABLE,9,FALSE),IFERROR(VLOOKUP(P188&amp;"|ALL|ALL|"&amp;S188,V8_COHORT_TABLE,9,FALSE),IFERROR(VLOOKUP(P188&amp;"|ALL|ALL|ALL",V8_COHORT_TABLE,9,FALSE),VLOOKUP("GLOBAL",V8_COHORT_TABLE,9,FALSE)))))</f>
        <v/>
      </c>
      <c r="AF188" s="8">
        <f>IF(K188&lt;=0,AB188,IF(K188&gt;=240,AE188,IF(K188&lt;=24,AB188+(K188-0)/24*(AC188-AB188),IF(K188&lt;=96,AC188+(K188-24)/72*(AD188-AC188),AD188+(K188-96)/144*(AE188-AD188)))))</f>
        <v/>
      </c>
      <c r="AG188" s="8">
        <f>IF(IF(OR(L188="",NOT(ISNUMBER(L188))),360,MAX(0,MIN(480,(INT(L188/100)-INT(VALUE(F188)/100))*12+MOD(L188,100)-MOD(VALUE(F188),100))))&gt;0,1+V8_MTY_AMP*MAX(0,(V8_MTY_CUTOFF-(IF(OR(L188="",NOT(ISNUMBER(L188))),360,MAX(0,MIN(480,(INT(L188/100)-INT(VALUE(F188)/100))*12+MOD(L188,100)-MOD(VALUE(F188),100))))))/V8_MTY_CUTOFF),1)</f>
        <v/>
      </c>
      <c r="AH188" s="8">
        <f>IF(AND(IF(OR(M188="",NOT(ISNUMBER(M188))),0,MAX(0,MIN(24,(INT(VALUE(F188)/100)-INT(M188/100))*12+MOD(VALUE(F188),100)-MOD(M188,100))))&gt;0,IF(OR(M188="",NOT(ISNUMBER(M188))),0,MAX(0,MIN(24,(INT(VALUE(F188)/100)-INT(M188/100))*12+MOD(VALUE(F188),100)-MOD(M188,100))))&lt;=12),1+V8_LOCKOUT_AMP*EXP(-(IF(OR(M188="",NOT(ISNUMBER(M188))),0,MAX(0,MIN(24,(INT(VALUE(F188)/100)-INT(M188/100))*12+MOD(VALUE(F188),100)-MOD(M188,100)))))/V8_LOCKOUT_TAU),1)</f>
        <v/>
      </c>
      <c r="AI188" s="8">
        <f>MAX(V8_BURN_FLOOR,1-V8_BURN_SLOPE*MIN(1,MAX(0,O188)))</f>
        <v/>
      </c>
      <c r="AJ188" s="15">
        <f>MIN(AA188*AF188*AG188*AH188*AI188,0.2)</f>
        <v/>
      </c>
      <c r="AK188" s="16">
        <f>1-(1-AJ188)^12</f>
        <v/>
      </c>
    </row>
    <row r="189">
      <c r="A189" s="2" t="inlineStr">
        <is>
          <t>000001422129</t>
        </is>
      </c>
      <c r="B189" t="inlineStr">
        <is>
          <t>232</t>
        </is>
      </c>
      <c r="C189" t="inlineStr">
        <is>
          <t>RP</t>
        </is>
      </c>
      <c r="D189" t="inlineStr">
        <is>
          <t>CAPITAL FUNDING,LLC.</t>
        </is>
      </c>
      <c r="E189" t="n">
        <v>2016</v>
      </c>
      <c r="F189" t="inlineStr">
        <is>
          <t>202602</t>
        </is>
      </c>
      <c r="G189" s="9" t="n">
        <v>2741628</v>
      </c>
      <c r="H189" s="13" t="n">
        <v>3.45</v>
      </c>
      <c r="I189" s="14" t="n">
        <v>447</v>
      </c>
      <c r="J189" s="14" t="n">
        <v>1</v>
      </c>
      <c r="K189" t="n">
        <v>119</v>
      </c>
      <c r="L189" t="n">
        <v>204204</v>
      </c>
      <c r="M189" t="inlineStr"/>
      <c r="N189" t="n">
        <v>28</v>
      </c>
      <c r="O189" s="8" t="n">
        <v>0.2352941176470588</v>
      </c>
      <c r="P189">
        <f>IF(ISNUMBER(SEARCH("232",B189)),"232",IF(ISNUMBER(SEARCH("538",B189)),"538",IF(ISNUMBER(SEARCH("223a7",B189)),"223a7",IF(ISNUMBER(SEARCH("223f",B189)),"223f","OTHER"))))</f>
        <v/>
      </c>
      <c r="Q189">
        <f>IF(UPPER(C189)="NC","NC","RP")</f>
        <v/>
      </c>
      <c r="R189">
        <f>IF(G189&lt;5000000,"small",IF(G189&lt;25000000,"medium","large"))</f>
        <v/>
      </c>
      <c r="S189">
        <f>IF(K189&lt;36,"young",IF(K189&lt;120,"seasoned","aged"))</f>
        <v/>
      </c>
      <c r="T189">
        <f>P189&amp;"|"&amp;Q189&amp;"|"&amp;R189&amp;"|"&amp;S189</f>
        <v/>
      </c>
      <c r="U189" s="14">
        <f>H189*100-I189</f>
        <v/>
      </c>
      <c r="V189" s="14">
        <f>U189-12.5*(J189+1)</f>
        <v/>
      </c>
      <c r="W189" s="15">
        <f>IFERROR(VLOOKUP(T189,V8_COHORT_TABLE,2,FALSE),IFERROR(VLOOKUP(P189&amp;"|"&amp;Q189&amp;"|ALL|"&amp;S189,V8_COHORT_TABLE,2,FALSE),IFERROR(VLOOKUP(P189&amp;"|ALL|ALL|"&amp;S189,V8_COHORT_TABLE,2,FALSE),IFERROR(VLOOKUP(P189&amp;"|ALL|ALL|ALL",V8_COHORT_TABLE,2,FALSE),VLOOKUP("GLOBAL",V8_COHORT_TABLE,2,FALSE)))))</f>
        <v/>
      </c>
      <c r="X189" s="15">
        <f>IFERROR(VLOOKUP(T189,V8_COHORT_TABLE,3,FALSE),IFERROR(VLOOKUP(P189&amp;"|"&amp;Q189&amp;"|ALL|"&amp;S189,V8_COHORT_TABLE,3,FALSE),IFERROR(VLOOKUP(P189&amp;"|ALL|ALL|"&amp;S189,V8_COHORT_TABLE,3,FALSE),IFERROR(VLOOKUP(P189&amp;"|ALL|ALL|ALL",V8_COHORT_TABLE,3,FALSE),VLOOKUP("GLOBAL",V8_COHORT_TABLE,3,FALSE)))))</f>
        <v/>
      </c>
      <c r="Y189" s="15">
        <f>IFERROR(VLOOKUP(T189,V8_COHORT_TABLE,4,FALSE),IFERROR(VLOOKUP(P189&amp;"|"&amp;Q189&amp;"|ALL|"&amp;S189,V8_COHORT_TABLE,4,FALSE),IFERROR(VLOOKUP(P189&amp;"|ALL|ALL|"&amp;S189,V8_COHORT_TABLE,4,FALSE),IFERROR(VLOOKUP(P189&amp;"|ALL|ALL|ALL",V8_COHORT_TABLE,4,FALSE),VLOOKUP("GLOBAL",V8_COHORT_TABLE,4,FALSE)))))</f>
        <v/>
      </c>
      <c r="Z189" s="15">
        <f>IFERROR(VLOOKUP(T189,V8_COHORT_TABLE,5,FALSE),IFERROR(VLOOKUP(P189&amp;"|"&amp;Q189&amp;"|ALL|"&amp;S189,V8_COHORT_TABLE,5,FALSE),IFERROR(VLOOKUP(P189&amp;"|ALL|ALL|"&amp;S189,V8_COHORT_TABLE,5,FALSE),IFERROR(VLOOKUP(P189&amp;"|ALL|ALL|ALL",V8_COHORT_TABLE,5,FALSE),VLOOKUP("GLOBAL",V8_COHORT_TABLE,5,FALSE)))))</f>
        <v/>
      </c>
      <c r="AA189" s="15">
        <f>W189+X189/(1+EXP(-(V189-Y189)/Z189))</f>
        <v/>
      </c>
      <c r="AB189" s="15">
        <f>IFERROR(VLOOKUP(T189,V8_COHORT_TABLE,6,FALSE),IFERROR(VLOOKUP(P189&amp;"|"&amp;Q189&amp;"|ALL|"&amp;S189,V8_COHORT_TABLE,6,FALSE),IFERROR(VLOOKUP(P189&amp;"|ALL|ALL|"&amp;S189,V8_COHORT_TABLE,6,FALSE),IFERROR(VLOOKUP(P189&amp;"|ALL|ALL|ALL",V8_COHORT_TABLE,6,FALSE),VLOOKUP("GLOBAL",V8_COHORT_TABLE,6,FALSE)))))</f>
        <v/>
      </c>
      <c r="AC189" s="15">
        <f>IFERROR(VLOOKUP(T189,V8_COHORT_TABLE,7,FALSE),IFERROR(VLOOKUP(P189&amp;"|"&amp;Q189&amp;"|ALL|"&amp;S189,V8_COHORT_TABLE,7,FALSE),IFERROR(VLOOKUP(P189&amp;"|ALL|ALL|"&amp;S189,V8_COHORT_TABLE,7,FALSE),IFERROR(VLOOKUP(P189&amp;"|ALL|ALL|ALL",V8_COHORT_TABLE,7,FALSE),VLOOKUP("GLOBAL",V8_COHORT_TABLE,7,FALSE)))))</f>
        <v/>
      </c>
      <c r="AD189" s="15">
        <f>IFERROR(VLOOKUP(T189,V8_COHORT_TABLE,8,FALSE),IFERROR(VLOOKUP(P189&amp;"|"&amp;Q189&amp;"|ALL|"&amp;S189,V8_COHORT_TABLE,8,FALSE),IFERROR(VLOOKUP(P189&amp;"|ALL|ALL|"&amp;S189,V8_COHORT_TABLE,8,FALSE),IFERROR(VLOOKUP(P189&amp;"|ALL|ALL|ALL",V8_COHORT_TABLE,8,FALSE),VLOOKUP("GLOBAL",V8_COHORT_TABLE,8,FALSE)))))</f>
        <v/>
      </c>
      <c r="AE189" s="15">
        <f>IFERROR(VLOOKUP(T189,V8_COHORT_TABLE,9,FALSE),IFERROR(VLOOKUP(P189&amp;"|"&amp;Q189&amp;"|ALL|"&amp;S189,V8_COHORT_TABLE,9,FALSE),IFERROR(VLOOKUP(P189&amp;"|ALL|ALL|"&amp;S189,V8_COHORT_TABLE,9,FALSE),IFERROR(VLOOKUP(P189&amp;"|ALL|ALL|ALL",V8_COHORT_TABLE,9,FALSE),VLOOKUP("GLOBAL",V8_COHORT_TABLE,9,FALSE)))))</f>
        <v/>
      </c>
      <c r="AF189" s="8">
        <f>IF(K189&lt;=0,AB189,IF(K189&gt;=240,AE189,IF(K189&lt;=24,AB189+(K189-0)/24*(AC189-AB189),IF(K189&lt;=96,AC189+(K189-24)/72*(AD189-AC189),AD189+(K189-96)/144*(AE189-AD189)))))</f>
        <v/>
      </c>
      <c r="AG189" s="8">
        <f>IF(IF(OR(L189="",NOT(ISNUMBER(L189))),360,MAX(0,MIN(480,(INT(L189/100)-INT(VALUE(F189)/100))*12+MOD(L189,100)-MOD(VALUE(F189),100))))&gt;0,1+V8_MTY_AMP*MAX(0,(V8_MTY_CUTOFF-(IF(OR(L189="",NOT(ISNUMBER(L189))),360,MAX(0,MIN(480,(INT(L189/100)-INT(VALUE(F189)/100))*12+MOD(L189,100)-MOD(VALUE(F189),100))))))/V8_MTY_CUTOFF),1)</f>
        <v/>
      </c>
      <c r="AH189" s="8">
        <f>IF(AND(IF(OR(M189="",NOT(ISNUMBER(M189))),0,MAX(0,MIN(24,(INT(VALUE(F189)/100)-INT(M189/100))*12+MOD(VALUE(F189),100)-MOD(M189,100))))&gt;0,IF(OR(M189="",NOT(ISNUMBER(M189))),0,MAX(0,MIN(24,(INT(VALUE(F189)/100)-INT(M189/100))*12+MOD(VALUE(F189),100)-MOD(M189,100))))&lt;=12),1+V8_LOCKOUT_AMP*EXP(-(IF(OR(M189="",NOT(ISNUMBER(M189))),0,MAX(0,MIN(24,(INT(VALUE(F189)/100)-INT(M189/100))*12+MOD(VALUE(F189),100)-MOD(M189,100)))))/V8_LOCKOUT_TAU),1)</f>
        <v/>
      </c>
      <c r="AI189" s="8">
        <f>MAX(V8_BURN_FLOOR,1-V8_BURN_SLOPE*MIN(1,MAX(0,O189)))</f>
        <v/>
      </c>
      <c r="AJ189" s="15">
        <f>MIN(AA189*AF189*AG189*AH189*AI189,0.2)</f>
        <v/>
      </c>
      <c r="AK189" s="16">
        <f>1-(1-AJ189)^12</f>
        <v/>
      </c>
    </row>
    <row r="190">
      <c r="A190" s="2" t="inlineStr">
        <is>
          <t>000006622055</t>
        </is>
      </c>
      <c r="B190" t="inlineStr">
        <is>
          <t>232</t>
        </is>
      </c>
      <c r="C190" t="inlineStr">
        <is>
          <t>RP</t>
        </is>
      </c>
      <c r="D190" t="inlineStr">
        <is>
          <t>CAPITAL FUNDING,LLC.</t>
        </is>
      </c>
      <c r="E190" t="n">
        <v>2011</v>
      </c>
      <c r="F190" t="inlineStr">
        <is>
          <t>202602</t>
        </is>
      </c>
      <c r="G190" s="9" t="n">
        <v>6953967.51</v>
      </c>
      <c r="H190" s="13" t="n">
        <v>2.73</v>
      </c>
      <c r="I190" s="14" t="n">
        <v>447</v>
      </c>
      <c r="J190" s="14" t="n">
        <v>2</v>
      </c>
      <c r="K190" t="n">
        <v>170</v>
      </c>
      <c r="L190" t="n">
        <v>204701</v>
      </c>
      <c r="M190" t="inlineStr"/>
      <c r="N190" t="n">
        <v>4</v>
      </c>
      <c r="O190" s="8" t="n">
        <v>0.02352941176470588</v>
      </c>
      <c r="P190">
        <f>IF(ISNUMBER(SEARCH("232",B190)),"232",IF(ISNUMBER(SEARCH("538",B190)),"538",IF(ISNUMBER(SEARCH("223a7",B190)),"223a7",IF(ISNUMBER(SEARCH("223f",B190)),"223f","OTHER"))))</f>
        <v/>
      </c>
      <c r="Q190">
        <f>IF(UPPER(C190)="NC","NC","RP")</f>
        <v/>
      </c>
      <c r="R190">
        <f>IF(G190&lt;5000000,"small",IF(G190&lt;25000000,"medium","large"))</f>
        <v/>
      </c>
      <c r="S190">
        <f>IF(K190&lt;36,"young",IF(K190&lt;120,"seasoned","aged"))</f>
        <v/>
      </c>
      <c r="T190">
        <f>P190&amp;"|"&amp;Q190&amp;"|"&amp;R190&amp;"|"&amp;S190</f>
        <v/>
      </c>
      <c r="U190" s="14">
        <f>H190*100-I190</f>
        <v/>
      </c>
      <c r="V190" s="14">
        <f>U190-12.5*(J190+1)</f>
        <v/>
      </c>
      <c r="W190" s="15">
        <f>IFERROR(VLOOKUP(T190,V8_COHORT_TABLE,2,FALSE),IFERROR(VLOOKUP(P190&amp;"|"&amp;Q190&amp;"|ALL|"&amp;S190,V8_COHORT_TABLE,2,FALSE),IFERROR(VLOOKUP(P190&amp;"|ALL|ALL|"&amp;S190,V8_COHORT_TABLE,2,FALSE),IFERROR(VLOOKUP(P190&amp;"|ALL|ALL|ALL",V8_COHORT_TABLE,2,FALSE),VLOOKUP("GLOBAL",V8_COHORT_TABLE,2,FALSE)))))</f>
        <v/>
      </c>
      <c r="X190" s="15">
        <f>IFERROR(VLOOKUP(T190,V8_COHORT_TABLE,3,FALSE),IFERROR(VLOOKUP(P190&amp;"|"&amp;Q190&amp;"|ALL|"&amp;S190,V8_COHORT_TABLE,3,FALSE),IFERROR(VLOOKUP(P190&amp;"|ALL|ALL|"&amp;S190,V8_COHORT_TABLE,3,FALSE),IFERROR(VLOOKUP(P190&amp;"|ALL|ALL|ALL",V8_COHORT_TABLE,3,FALSE),VLOOKUP("GLOBAL",V8_COHORT_TABLE,3,FALSE)))))</f>
        <v/>
      </c>
      <c r="Y190" s="15">
        <f>IFERROR(VLOOKUP(T190,V8_COHORT_TABLE,4,FALSE),IFERROR(VLOOKUP(P190&amp;"|"&amp;Q190&amp;"|ALL|"&amp;S190,V8_COHORT_TABLE,4,FALSE),IFERROR(VLOOKUP(P190&amp;"|ALL|ALL|"&amp;S190,V8_COHORT_TABLE,4,FALSE),IFERROR(VLOOKUP(P190&amp;"|ALL|ALL|ALL",V8_COHORT_TABLE,4,FALSE),VLOOKUP("GLOBAL",V8_COHORT_TABLE,4,FALSE)))))</f>
        <v/>
      </c>
      <c r="Z190" s="15">
        <f>IFERROR(VLOOKUP(T190,V8_COHORT_TABLE,5,FALSE),IFERROR(VLOOKUP(P190&amp;"|"&amp;Q190&amp;"|ALL|"&amp;S190,V8_COHORT_TABLE,5,FALSE),IFERROR(VLOOKUP(P190&amp;"|ALL|ALL|"&amp;S190,V8_COHORT_TABLE,5,FALSE),IFERROR(VLOOKUP(P190&amp;"|ALL|ALL|ALL",V8_COHORT_TABLE,5,FALSE),VLOOKUP("GLOBAL",V8_COHORT_TABLE,5,FALSE)))))</f>
        <v/>
      </c>
      <c r="AA190" s="15">
        <f>W190+X190/(1+EXP(-(V190-Y190)/Z190))</f>
        <v/>
      </c>
      <c r="AB190" s="15">
        <f>IFERROR(VLOOKUP(T190,V8_COHORT_TABLE,6,FALSE),IFERROR(VLOOKUP(P190&amp;"|"&amp;Q190&amp;"|ALL|"&amp;S190,V8_COHORT_TABLE,6,FALSE),IFERROR(VLOOKUP(P190&amp;"|ALL|ALL|"&amp;S190,V8_COHORT_TABLE,6,FALSE),IFERROR(VLOOKUP(P190&amp;"|ALL|ALL|ALL",V8_COHORT_TABLE,6,FALSE),VLOOKUP("GLOBAL",V8_COHORT_TABLE,6,FALSE)))))</f>
        <v/>
      </c>
      <c r="AC190" s="15">
        <f>IFERROR(VLOOKUP(T190,V8_COHORT_TABLE,7,FALSE),IFERROR(VLOOKUP(P190&amp;"|"&amp;Q190&amp;"|ALL|"&amp;S190,V8_COHORT_TABLE,7,FALSE),IFERROR(VLOOKUP(P190&amp;"|ALL|ALL|"&amp;S190,V8_COHORT_TABLE,7,FALSE),IFERROR(VLOOKUP(P190&amp;"|ALL|ALL|ALL",V8_COHORT_TABLE,7,FALSE),VLOOKUP("GLOBAL",V8_COHORT_TABLE,7,FALSE)))))</f>
        <v/>
      </c>
      <c r="AD190" s="15">
        <f>IFERROR(VLOOKUP(T190,V8_COHORT_TABLE,8,FALSE),IFERROR(VLOOKUP(P190&amp;"|"&amp;Q190&amp;"|ALL|"&amp;S190,V8_COHORT_TABLE,8,FALSE),IFERROR(VLOOKUP(P190&amp;"|ALL|ALL|"&amp;S190,V8_COHORT_TABLE,8,FALSE),IFERROR(VLOOKUP(P190&amp;"|ALL|ALL|ALL",V8_COHORT_TABLE,8,FALSE),VLOOKUP("GLOBAL",V8_COHORT_TABLE,8,FALSE)))))</f>
        <v/>
      </c>
      <c r="AE190" s="15">
        <f>IFERROR(VLOOKUP(T190,V8_COHORT_TABLE,9,FALSE),IFERROR(VLOOKUP(P190&amp;"|"&amp;Q190&amp;"|ALL|"&amp;S190,V8_COHORT_TABLE,9,FALSE),IFERROR(VLOOKUP(P190&amp;"|ALL|ALL|"&amp;S190,V8_COHORT_TABLE,9,FALSE),IFERROR(VLOOKUP(P190&amp;"|ALL|ALL|ALL",V8_COHORT_TABLE,9,FALSE),VLOOKUP("GLOBAL",V8_COHORT_TABLE,9,FALSE)))))</f>
        <v/>
      </c>
      <c r="AF190" s="8">
        <f>IF(K190&lt;=0,AB190,IF(K190&gt;=240,AE190,IF(K190&lt;=24,AB190+(K190-0)/24*(AC190-AB190),IF(K190&lt;=96,AC190+(K190-24)/72*(AD190-AC190),AD190+(K190-96)/144*(AE190-AD190)))))</f>
        <v/>
      </c>
      <c r="AG190" s="8">
        <f>IF(IF(OR(L190="",NOT(ISNUMBER(L190))),360,MAX(0,MIN(480,(INT(L190/100)-INT(VALUE(F190)/100))*12+MOD(L190,100)-MOD(VALUE(F190),100))))&gt;0,1+V8_MTY_AMP*MAX(0,(V8_MTY_CUTOFF-(IF(OR(L190="",NOT(ISNUMBER(L190))),360,MAX(0,MIN(480,(INT(L190/100)-INT(VALUE(F190)/100))*12+MOD(L190,100)-MOD(VALUE(F190),100))))))/V8_MTY_CUTOFF),1)</f>
        <v/>
      </c>
      <c r="AH190" s="8">
        <f>IF(AND(IF(OR(M190="",NOT(ISNUMBER(M190))),0,MAX(0,MIN(24,(INT(VALUE(F190)/100)-INT(M190/100))*12+MOD(VALUE(F190),100)-MOD(M190,100))))&gt;0,IF(OR(M190="",NOT(ISNUMBER(M190))),0,MAX(0,MIN(24,(INT(VALUE(F190)/100)-INT(M190/100))*12+MOD(VALUE(F190),100)-MOD(M190,100))))&lt;=12),1+V8_LOCKOUT_AMP*EXP(-(IF(OR(M190="",NOT(ISNUMBER(M190))),0,MAX(0,MIN(24,(INT(VALUE(F190)/100)-INT(M190/100))*12+MOD(VALUE(F190),100)-MOD(M190,100)))))/V8_LOCKOUT_TAU),1)</f>
        <v/>
      </c>
      <c r="AI190" s="8">
        <f>MAX(V8_BURN_FLOOR,1-V8_BURN_SLOPE*MIN(1,MAX(0,O190)))</f>
        <v/>
      </c>
      <c r="AJ190" s="15">
        <f>MIN(AA190*AF190*AG190*AH190*AI190,0.2)</f>
        <v/>
      </c>
      <c r="AK190" s="16">
        <f>1-(1-AJ190)^12</f>
        <v/>
      </c>
    </row>
    <row r="191">
      <c r="A191" s="2" t="inlineStr">
        <is>
          <t>000006722221</t>
        </is>
      </c>
      <c r="B191" t="inlineStr">
        <is>
          <t>232</t>
        </is>
      </c>
      <c r="C191" t="inlineStr">
        <is>
          <t>RP</t>
        </is>
      </c>
      <c r="D191" t="inlineStr">
        <is>
          <t>CAPITAL FUNDING,LLC.</t>
        </is>
      </c>
      <c r="E191" t="n">
        <v>2019</v>
      </c>
      <c r="F191" t="inlineStr">
        <is>
          <t>202602</t>
        </is>
      </c>
      <c r="G191" s="9" t="n">
        <v>15417164.1</v>
      </c>
      <c r="H191" s="13" t="n">
        <v>4.15</v>
      </c>
      <c r="I191" s="14" t="n">
        <v>447</v>
      </c>
      <c r="J191" s="14" t="n">
        <v>4</v>
      </c>
      <c r="K191" t="n">
        <v>82</v>
      </c>
      <c r="L191" t="n">
        <v>205405</v>
      </c>
      <c r="M191" t="inlineStr"/>
      <c r="N191" t="n">
        <v>34</v>
      </c>
      <c r="O191" s="8" t="n">
        <v>0.4146341463414634</v>
      </c>
      <c r="P191">
        <f>IF(ISNUMBER(SEARCH("232",B191)),"232",IF(ISNUMBER(SEARCH("538",B191)),"538",IF(ISNUMBER(SEARCH("223a7",B191)),"223a7",IF(ISNUMBER(SEARCH("223f",B191)),"223f","OTHER"))))</f>
        <v/>
      </c>
      <c r="Q191">
        <f>IF(UPPER(C191)="NC","NC","RP")</f>
        <v/>
      </c>
      <c r="R191">
        <f>IF(G191&lt;5000000,"small",IF(G191&lt;25000000,"medium","large"))</f>
        <v/>
      </c>
      <c r="S191">
        <f>IF(K191&lt;36,"young",IF(K191&lt;120,"seasoned","aged"))</f>
        <v/>
      </c>
      <c r="T191">
        <f>P191&amp;"|"&amp;Q191&amp;"|"&amp;R191&amp;"|"&amp;S191</f>
        <v/>
      </c>
      <c r="U191" s="14">
        <f>H191*100-I191</f>
        <v/>
      </c>
      <c r="V191" s="14">
        <f>U191-12.5*(J191+1)</f>
        <v/>
      </c>
      <c r="W191" s="15">
        <f>IFERROR(VLOOKUP(T191,V8_COHORT_TABLE,2,FALSE),IFERROR(VLOOKUP(P191&amp;"|"&amp;Q191&amp;"|ALL|"&amp;S191,V8_COHORT_TABLE,2,FALSE),IFERROR(VLOOKUP(P191&amp;"|ALL|ALL|"&amp;S191,V8_COHORT_TABLE,2,FALSE),IFERROR(VLOOKUP(P191&amp;"|ALL|ALL|ALL",V8_COHORT_TABLE,2,FALSE),VLOOKUP("GLOBAL",V8_COHORT_TABLE,2,FALSE)))))</f>
        <v/>
      </c>
      <c r="X191" s="15">
        <f>IFERROR(VLOOKUP(T191,V8_COHORT_TABLE,3,FALSE),IFERROR(VLOOKUP(P191&amp;"|"&amp;Q191&amp;"|ALL|"&amp;S191,V8_COHORT_TABLE,3,FALSE),IFERROR(VLOOKUP(P191&amp;"|ALL|ALL|"&amp;S191,V8_COHORT_TABLE,3,FALSE),IFERROR(VLOOKUP(P191&amp;"|ALL|ALL|ALL",V8_COHORT_TABLE,3,FALSE),VLOOKUP("GLOBAL",V8_COHORT_TABLE,3,FALSE)))))</f>
        <v/>
      </c>
      <c r="Y191" s="15">
        <f>IFERROR(VLOOKUP(T191,V8_COHORT_TABLE,4,FALSE),IFERROR(VLOOKUP(P191&amp;"|"&amp;Q191&amp;"|ALL|"&amp;S191,V8_COHORT_TABLE,4,FALSE),IFERROR(VLOOKUP(P191&amp;"|ALL|ALL|"&amp;S191,V8_COHORT_TABLE,4,FALSE),IFERROR(VLOOKUP(P191&amp;"|ALL|ALL|ALL",V8_COHORT_TABLE,4,FALSE),VLOOKUP("GLOBAL",V8_COHORT_TABLE,4,FALSE)))))</f>
        <v/>
      </c>
      <c r="Z191" s="15">
        <f>IFERROR(VLOOKUP(T191,V8_COHORT_TABLE,5,FALSE),IFERROR(VLOOKUP(P191&amp;"|"&amp;Q191&amp;"|ALL|"&amp;S191,V8_COHORT_TABLE,5,FALSE),IFERROR(VLOOKUP(P191&amp;"|ALL|ALL|"&amp;S191,V8_COHORT_TABLE,5,FALSE),IFERROR(VLOOKUP(P191&amp;"|ALL|ALL|ALL",V8_COHORT_TABLE,5,FALSE),VLOOKUP("GLOBAL",V8_COHORT_TABLE,5,FALSE)))))</f>
        <v/>
      </c>
      <c r="AA191" s="15">
        <f>W191+X191/(1+EXP(-(V191-Y191)/Z191))</f>
        <v/>
      </c>
      <c r="AB191" s="15">
        <f>IFERROR(VLOOKUP(T191,V8_COHORT_TABLE,6,FALSE),IFERROR(VLOOKUP(P191&amp;"|"&amp;Q191&amp;"|ALL|"&amp;S191,V8_COHORT_TABLE,6,FALSE),IFERROR(VLOOKUP(P191&amp;"|ALL|ALL|"&amp;S191,V8_COHORT_TABLE,6,FALSE),IFERROR(VLOOKUP(P191&amp;"|ALL|ALL|ALL",V8_COHORT_TABLE,6,FALSE),VLOOKUP("GLOBAL",V8_COHORT_TABLE,6,FALSE)))))</f>
        <v/>
      </c>
      <c r="AC191" s="15">
        <f>IFERROR(VLOOKUP(T191,V8_COHORT_TABLE,7,FALSE),IFERROR(VLOOKUP(P191&amp;"|"&amp;Q191&amp;"|ALL|"&amp;S191,V8_COHORT_TABLE,7,FALSE),IFERROR(VLOOKUP(P191&amp;"|ALL|ALL|"&amp;S191,V8_COHORT_TABLE,7,FALSE),IFERROR(VLOOKUP(P191&amp;"|ALL|ALL|ALL",V8_COHORT_TABLE,7,FALSE),VLOOKUP("GLOBAL",V8_COHORT_TABLE,7,FALSE)))))</f>
        <v/>
      </c>
      <c r="AD191" s="15">
        <f>IFERROR(VLOOKUP(T191,V8_COHORT_TABLE,8,FALSE),IFERROR(VLOOKUP(P191&amp;"|"&amp;Q191&amp;"|ALL|"&amp;S191,V8_COHORT_TABLE,8,FALSE),IFERROR(VLOOKUP(P191&amp;"|ALL|ALL|"&amp;S191,V8_COHORT_TABLE,8,FALSE),IFERROR(VLOOKUP(P191&amp;"|ALL|ALL|ALL",V8_COHORT_TABLE,8,FALSE),VLOOKUP("GLOBAL",V8_COHORT_TABLE,8,FALSE)))))</f>
        <v/>
      </c>
      <c r="AE191" s="15">
        <f>IFERROR(VLOOKUP(T191,V8_COHORT_TABLE,9,FALSE),IFERROR(VLOOKUP(P191&amp;"|"&amp;Q191&amp;"|ALL|"&amp;S191,V8_COHORT_TABLE,9,FALSE),IFERROR(VLOOKUP(P191&amp;"|ALL|ALL|"&amp;S191,V8_COHORT_TABLE,9,FALSE),IFERROR(VLOOKUP(P191&amp;"|ALL|ALL|ALL",V8_COHORT_TABLE,9,FALSE),VLOOKUP("GLOBAL",V8_COHORT_TABLE,9,FALSE)))))</f>
        <v/>
      </c>
      <c r="AF191" s="8">
        <f>IF(K191&lt;=0,AB191,IF(K191&gt;=240,AE191,IF(K191&lt;=24,AB191+(K191-0)/24*(AC191-AB191),IF(K191&lt;=96,AC191+(K191-24)/72*(AD191-AC191),AD191+(K191-96)/144*(AE191-AD191)))))</f>
        <v/>
      </c>
      <c r="AG191" s="8">
        <f>IF(IF(OR(L191="",NOT(ISNUMBER(L191))),360,MAX(0,MIN(480,(INT(L191/100)-INT(VALUE(F191)/100))*12+MOD(L191,100)-MOD(VALUE(F191),100))))&gt;0,1+V8_MTY_AMP*MAX(0,(V8_MTY_CUTOFF-(IF(OR(L191="",NOT(ISNUMBER(L191))),360,MAX(0,MIN(480,(INT(L191/100)-INT(VALUE(F191)/100))*12+MOD(L191,100)-MOD(VALUE(F191),100))))))/V8_MTY_CUTOFF),1)</f>
        <v/>
      </c>
      <c r="AH191" s="8">
        <f>IF(AND(IF(OR(M191="",NOT(ISNUMBER(M191))),0,MAX(0,MIN(24,(INT(VALUE(F191)/100)-INT(M191/100))*12+MOD(VALUE(F191),100)-MOD(M191,100))))&gt;0,IF(OR(M191="",NOT(ISNUMBER(M191))),0,MAX(0,MIN(24,(INT(VALUE(F191)/100)-INT(M191/100))*12+MOD(VALUE(F191),100)-MOD(M191,100))))&lt;=12),1+V8_LOCKOUT_AMP*EXP(-(IF(OR(M191="",NOT(ISNUMBER(M191))),0,MAX(0,MIN(24,(INT(VALUE(F191)/100)-INT(M191/100))*12+MOD(VALUE(F191),100)-MOD(M191,100)))))/V8_LOCKOUT_TAU),1)</f>
        <v/>
      </c>
      <c r="AI191" s="8">
        <f>MAX(V8_BURN_FLOOR,1-V8_BURN_SLOPE*MIN(1,MAX(0,O191)))</f>
        <v/>
      </c>
      <c r="AJ191" s="15">
        <f>MIN(AA191*AF191*AG191*AH191*AI191,0.2)</f>
        <v/>
      </c>
      <c r="AK191" s="16">
        <f>1-(1-AJ191)^12</f>
        <v/>
      </c>
    </row>
    <row r="192">
      <c r="A192" s="2" t="inlineStr">
        <is>
          <t>000004522073</t>
        </is>
      </c>
      <c r="B192" t="inlineStr">
        <is>
          <t>232</t>
        </is>
      </c>
      <c r="C192" t="inlineStr">
        <is>
          <t>RP</t>
        </is>
      </c>
      <c r="D192" t="inlineStr">
        <is>
          <t>CAPITAL FUNDING,LLC.</t>
        </is>
      </c>
      <c r="E192" t="n">
        <v>2021</v>
      </c>
      <c r="F192" t="inlineStr">
        <is>
          <t>202602</t>
        </is>
      </c>
      <c r="G192" s="9" t="n">
        <v>9321181.66</v>
      </c>
      <c r="H192" s="13" t="n">
        <v>2.54</v>
      </c>
      <c r="I192" s="14" t="n">
        <v>447</v>
      </c>
      <c r="J192" s="14" t="n">
        <v>6</v>
      </c>
      <c r="K192" t="n">
        <v>51</v>
      </c>
      <c r="L192" t="n">
        <v>205112</v>
      </c>
      <c r="M192" t="inlineStr"/>
      <c r="N192" t="n">
        <v>0</v>
      </c>
      <c r="O192" s="8" t="n">
        <v>0</v>
      </c>
      <c r="P192">
        <f>IF(ISNUMBER(SEARCH("232",B192)),"232",IF(ISNUMBER(SEARCH("538",B192)),"538",IF(ISNUMBER(SEARCH("223a7",B192)),"223a7",IF(ISNUMBER(SEARCH("223f",B192)),"223f","OTHER"))))</f>
        <v/>
      </c>
      <c r="Q192">
        <f>IF(UPPER(C192)="NC","NC","RP")</f>
        <v/>
      </c>
      <c r="R192">
        <f>IF(G192&lt;5000000,"small",IF(G192&lt;25000000,"medium","large"))</f>
        <v/>
      </c>
      <c r="S192">
        <f>IF(K192&lt;36,"young",IF(K192&lt;120,"seasoned","aged"))</f>
        <v/>
      </c>
      <c r="T192">
        <f>P192&amp;"|"&amp;Q192&amp;"|"&amp;R192&amp;"|"&amp;S192</f>
        <v/>
      </c>
      <c r="U192" s="14">
        <f>H192*100-I192</f>
        <v/>
      </c>
      <c r="V192" s="14">
        <f>U192-12.5*(J192+1)</f>
        <v/>
      </c>
      <c r="W192" s="15">
        <f>IFERROR(VLOOKUP(T192,V8_COHORT_TABLE,2,FALSE),IFERROR(VLOOKUP(P192&amp;"|"&amp;Q192&amp;"|ALL|"&amp;S192,V8_COHORT_TABLE,2,FALSE),IFERROR(VLOOKUP(P192&amp;"|ALL|ALL|"&amp;S192,V8_COHORT_TABLE,2,FALSE),IFERROR(VLOOKUP(P192&amp;"|ALL|ALL|ALL",V8_COHORT_TABLE,2,FALSE),VLOOKUP("GLOBAL",V8_COHORT_TABLE,2,FALSE)))))</f>
        <v/>
      </c>
      <c r="X192" s="15">
        <f>IFERROR(VLOOKUP(T192,V8_COHORT_TABLE,3,FALSE),IFERROR(VLOOKUP(P192&amp;"|"&amp;Q192&amp;"|ALL|"&amp;S192,V8_COHORT_TABLE,3,FALSE),IFERROR(VLOOKUP(P192&amp;"|ALL|ALL|"&amp;S192,V8_COHORT_TABLE,3,FALSE),IFERROR(VLOOKUP(P192&amp;"|ALL|ALL|ALL",V8_COHORT_TABLE,3,FALSE),VLOOKUP("GLOBAL",V8_COHORT_TABLE,3,FALSE)))))</f>
        <v/>
      </c>
      <c r="Y192" s="15">
        <f>IFERROR(VLOOKUP(T192,V8_COHORT_TABLE,4,FALSE),IFERROR(VLOOKUP(P192&amp;"|"&amp;Q192&amp;"|ALL|"&amp;S192,V8_COHORT_TABLE,4,FALSE),IFERROR(VLOOKUP(P192&amp;"|ALL|ALL|"&amp;S192,V8_COHORT_TABLE,4,FALSE),IFERROR(VLOOKUP(P192&amp;"|ALL|ALL|ALL",V8_COHORT_TABLE,4,FALSE),VLOOKUP("GLOBAL",V8_COHORT_TABLE,4,FALSE)))))</f>
        <v/>
      </c>
      <c r="Z192" s="15">
        <f>IFERROR(VLOOKUP(T192,V8_COHORT_TABLE,5,FALSE),IFERROR(VLOOKUP(P192&amp;"|"&amp;Q192&amp;"|ALL|"&amp;S192,V8_COHORT_TABLE,5,FALSE),IFERROR(VLOOKUP(P192&amp;"|ALL|ALL|"&amp;S192,V8_COHORT_TABLE,5,FALSE),IFERROR(VLOOKUP(P192&amp;"|ALL|ALL|ALL",V8_COHORT_TABLE,5,FALSE),VLOOKUP("GLOBAL",V8_COHORT_TABLE,5,FALSE)))))</f>
        <v/>
      </c>
      <c r="AA192" s="15">
        <f>W192+X192/(1+EXP(-(V192-Y192)/Z192))</f>
        <v/>
      </c>
      <c r="AB192" s="15">
        <f>IFERROR(VLOOKUP(T192,V8_COHORT_TABLE,6,FALSE),IFERROR(VLOOKUP(P192&amp;"|"&amp;Q192&amp;"|ALL|"&amp;S192,V8_COHORT_TABLE,6,FALSE),IFERROR(VLOOKUP(P192&amp;"|ALL|ALL|"&amp;S192,V8_COHORT_TABLE,6,FALSE),IFERROR(VLOOKUP(P192&amp;"|ALL|ALL|ALL",V8_COHORT_TABLE,6,FALSE),VLOOKUP("GLOBAL",V8_COHORT_TABLE,6,FALSE)))))</f>
        <v/>
      </c>
      <c r="AC192" s="15">
        <f>IFERROR(VLOOKUP(T192,V8_COHORT_TABLE,7,FALSE),IFERROR(VLOOKUP(P192&amp;"|"&amp;Q192&amp;"|ALL|"&amp;S192,V8_COHORT_TABLE,7,FALSE),IFERROR(VLOOKUP(P192&amp;"|ALL|ALL|"&amp;S192,V8_COHORT_TABLE,7,FALSE),IFERROR(VLOOKUP(P192&amp;"|ALL|ALL|ALL",V8_COHORT_TABLE,7,FALSE),VLOOKUP("GLOBAL",V8_COHORT_TABLE,7,FALSE)))))</f>
        <v/>
      </c>
      <c r="AD192" s="15">
        <f>IFERROR(VLOOKUP(T192,V8_COHORT_TABLE,8,FALSE),IFERROR(VLOOKUP(P192&amp;"|"&amp;Q192&amp;"|ALL|"&amp;S192,V8_COHORT_TABLE,8,FALSE),IFERROR(VLOOKUP(P192&amp;"|ALL|ALL|"&amp;S192,V8_COHORT_TABLE,8,FALSE),IFERROR(VLOOKUP(P192&amp;"|ALL|ALL|ALL",V8_COHORT_TABLE,8,FALSE),VLOOKUP("GLOBAL",V8_COHORT_TABLE,8,FALSE)))))</f>
        <v/>
      </c>
      <c r="AE192" s="15">
        <f>IFERROR(VLOOKUP(T192,V8_COHORT_TABLE,9,FALSE),IFERROR(VLOOKUP(P192&amp;"|"&amp;Q192&amp;"|ALL|"&amp;S192,V8_COHORT_TABLE,9,FALSE),IFERROR(VLOOKUP(P192&amp;"|ALL|ALL|"&amp;S192,V8_COHORT_TABLE,9,FALSE),IFERROR(VLOOKUP(P192&amp;"|ALL|ALL|ALL",V8_COHORT_TABLE,9,FALSE),VLOOKUP("GLOBAL",V8_COHORT_TABLE,9,FALSE)))))</f>
        <v/>
      </c>
      <c r="AF192" s="8">
        <f>IF(K192&lt;=0,AB192,IF(K192&gt;=240,AE192,IF(K192&lt;=24,AB192+(K192-0)/24*(AC192-AB192),IF(K192&lt;=96,AC192+(K192-24)/72*(AD192-AC192),AD192+(K192-96)/144*(AE192-AD192)))))</f>
        <v/>
      </c>
      <c r="AG192" s="8">
        <f>IF(IF(OR(L192="",NOT(ISNUMBER(L192))),360,MAX(0,MIN(480,(INT(L192/100)-INT(VALUE(F192)/100))*12+MOD(L192,100)-MOD(VALUE(F192),100))))&gt;0,1+V8_MTY_AMP*MAX(0,(V8_MTY_CUTOFF-(IF(OR(L192="",NOT(ISNUMBER(L192))),360,MAX(0,MIN(480,(INT(L192/100)-INT(VALUE(F192)/100))*12+MOD(L192,100)-MOD(VALUE(F192),100))))))/V8_MTY_CUTOFF),1)</f>
        <v/>
      </c>
      <c r="AH192" s="8">
        <f>IF(AND(IF(OR(M192="",NOT(ISNUMBER(M192))),0,MAX(0,MIN(24,(INT(VALUE(F192)/100)-INT(M192/100))*12+MOD(VALUE(F192),100)-MOD(M192,100))))&gt;0,IF(OR(M192="",NOT(ISNUMBER(M192))),0,MAX(0,MIN(24,(INT(VALUE(F192)/100)-INT(M192/100))*12+MOD(VALUE(F192),100)-MOD(M192,100))))&lt;=12),1+V8_LOCKOUT_AMP*EXP(-(IF(OR(M192="",NOT(ISNUMBER(M192))),0,MAX(0,MIN(24,(INT(VALUE(F192)/100)-INT(M192/100))*12+MOD(VALUE(F192),100)-MOD(M192,100)))))/V8_LOCKOUT_TAU),1)</f>
        <v/>
      </c>
      <c r="AI192" s="8">
        <f>MAX(V8_BURN_FLOOR,1-V8_BURN_SLOPE*MIN(1,MAX(0,O192)))</f>
        <v/>
      </c>
      <c r="AJ192" s="15">
        <f>MIN(AA192*AF192*AG192*AH192*AI192,0.2)</f>
        <v/>
      </c>
      <c r="AK192" s="16">
        <f>1-(1-AJ192)^12</f>
        <v/>
      </c>
    </row>
    <row r="193">
      <c r="A193" s="2" t="inlineStr">
        <is>
          <t>000008722062</t>
        </is>
      </c>
      <c r="B193" t="inlineStr">
        <is>
          <t>232</t>
        </is>
      </c>
      <c r="C193" t="inlineStr">
        <is>
          <t>RP</t>
        </is>
      </c>
      <c r="D193" t="inlineStr">
        <is>
          <t>CAPITAL FUNDING,LLC.</t>
        </is>
      </c>
      <c r="E193" t="n">
        <v>2025</v>
      </c>
      <c r="F193" t="inlineStr">
        <is>
          <t>202602</t>
        </is>
      </c>
      <c r="G193" s="9" t="n">
        <v>10905106.68</v>
      </c>
      <c r="H193" s="13" t="n">
        <v>6.02</v>
      </c>
      <c r="I193" s="14" t="n">
        <v>447</v>
      </c>
      <c r="J193" s="14" t="n">
        <v>10</v>
      </c>
      <c r="K193" t="n">
        <v>6</v>
      </c>
      <c r="L193" t="n">
        <v>205509</v>
      </c>
      <c r="M193" t="inlineStr"/>
      <c r="N193" t="n">
        <v>1</v>
      </c>
      <c r="O193" s="8" t="n">
        <v>0.1666666666666667</v>
      </c>
      <c r="P193">
        <f>IF(ISNUMBER(SEARCH("232",B193)),"232",IF(ISNUMBER(SEARCH("538",B193)),"538",IF(ISNUMBER(SEARCH("223a7",B193)),"223a7",IF(ISNUMBER(SEARCH("223f",B193)),"223f","OTHER"))))</f>
        <v/>
      </c>
      <c r="Q193">
        <f>IF(UPPER(C193)="NC","NC","RP")</f>
        <v/>
      </c>
      <c r="R193">
        <f>IF(G193&lt;5000000,"small",IF(G193&lt;25000000,"medium","large"))</f>
        <v/>
      </c>
      <c r="S193">
        <f>IF(K193&lt;36,"young",IF(K193&lt;120,"seasoned","aged"))</f>
        <v/>
      </c>
      <c r="T193">
        <f>P193&amp;"|"&amp;Q193&amp;"|"&amp;R193&amp;"|"&amp;S193</f>
        <v/>
      </c>
      <c r="U193" s="14">
        <f>H193*100-I193</f>
        <v/>
      </c>
      <c r="V193" s="14">
        <f>U193-12.5*(J193+1)</f>
        <v/>
      </c>
      <c r="W193" s="15">
        <f>IFERROR(VLOOKUP(T193,V8_COHORT_TABLE,2,FALSE),IFERROR(VLOOKUP(P193&amp;"|"&amp;Q193&amp;"|ALL|"&amp;S193,V8_COHORT_TABLE,2,FALSE),IFERROR(VLOOKUP(P193&amp;"|ALL|ALL|"&amp;S193,V8_COHORT_TABLE,2,FALSE),IFERROR(VLOOKUP(P193&amp;"|ALL|ALL|ALL",V8_COHORT_TABLE,2,FALSE),VLOOKUP("GLOBAL",V8_COHORT_TABLE,2,FALSE)))))</f>
        <v/>
      </c>
      <c r="X193" s="15">
        <f>IFERROR(VLOOKUP(T193,V8_COHORT_TABLE,3,FALSE),IFERROR(VLOOKUP(P193&amp;"|"&amp;Q193&amp;"|ALL|"&amp;S193,V8_COHORT_TABLE,3,FALSE),IFERROR(VLOOKUP(P193&amp;"|ALL|ALL|"&amp;S193,V8_COHORT_TABLE,3,FALSE),IFERROR(VLOOKUP(P193&amp;"|ALL|ALL|ALL",V8_COHORT_TABLE,3,FALSE),VLOOKUP("GLOBAL",V8_COHORT_TABLE,3,FALSE)))))</f>
        <v/>
      </c>
      <c r="Y193" s="15">
        <f>IFERROR(VLOOKUP(T193,V8_COHORT_TABLE,4,FALSE),IFERROR(VLOOKUP(P193&amp;"|"&amp;Q193&amp;"|ALL|"&amp;S193,V8_COHORT_TABLE,4,FALSE),IFERROR(VLOOKUP(P193&amp;"|ALL|ALL|"&amp;S193,V8_COHORT_TABLE,4,FALSE),IFERROR(VLOOKUP(P193&amp;"|ALL|ALL|ALL",V8_COHORT_TABLE,4,FALSE),VLOOKUP("GLOBAL",V8_COHORT_TABLE,4,FALSE)))))</f>
        <v/>
      </c>
      <c r="Z193" s="15">
        <f>IFERROR(VLOOKUP(T193,V8_COHORT_TABLE,5,FALSE),IFERROR(VLOOKUP(P193&amp;"|"&amp;Q193&amp;"|ALL|"&amp;S193,V8_COHORT_TABLE,5,FALSE),IFERROR(VLOOKUP(P193&amp;"|ALL|ALL|"&amp;S193,V8_COHORT_TABLE,5,FALSE),IFERROR(VLOOKUP(P193&amp;"|ALL|ALL|ALL",V8_COHORT_TABLE,5,FALSE),VLOOKUP("GLOBAL",V8_COHORT_TABLE,5,FALSE)))))</f>
        <v/>
      </c>
      <c r="AA193" s="15">
        <f>W193+X193/(1+EXP(-(V193-Y193)/Z193))</f>
        <v/>
      </c>
      <c r="AB193" s="15">
        <f>IFERROR(VLOOKUP(T193,V8_COHORT_TABLE,6,FALSE),IFERROR(VLOOKUP(P193&amp;"|"&amp;Q193&amp;"|ALL|"&amp;S193,V8_COHORT_TABLE,6,FALSE),IFERROR(VLOOKUP(P193&amp;"|ALL|ALL|"&amp;S193,V8_COHORT_TABLE,6,FALSE),IFERROR(VLOOKUP(P193&amp;"|ALL|ALL|ALL",V8_COHORT_TABLE,6,FALSE),VLOOKUP("GLOBAL",V8_COHORT_TABLE,6,FALSE)))))</f>
        <v/>
      </c>
      <c r="AC193" s="15">
        <f>IFERROR(VLOOKUP(T193,V8_COHORT_TABLE,7,FALSE),IFERROR(VLOOKUP(P193&amp;"|"&amp;Q193&amp;"|ALL|"&amp;S193,V8_COHORT_TABLE,7,FALSE),IFERROR(VLOOKUP(P193&amp;"|ALL|ALL|"&amp;S193,V8_COHORT_TABLE,7,FALSE),IFERROR(VLOOKUP(P193&amp;"|ALL|ALL|ALL",V8_COHORT_TABLE,7,FALSE),VLOOKUP("GLOBAL",V8_COHORT_TABLE,7,FALSE)))))</f>
        <v/>
      </c>
      <c r="AD193" s="15">
        <f>IFERROR(VLOOKUP(T193,V8_COHORT_TABLE,8,FALSE),IFERROR(VLOOKUP(P193&amp;"|"&amp;Q193&amp;"|ALL|"&amp;S193,V8_COHORT_TABLE,8,FALSE),IFERROR(VLOOKUP(P193&amp;"|ALL|ALL|"&amp;S193,V8_COHORT_TABLE,8,FALSE),IFERROR(VLOOKUP(P193&amp;"|ALL|ALL|ALL",V8_COHORT_TABLE,8,FALSE),VLOOKUP("GLOBAL",V8_COHORT_TABLE,8,FALSE)))))</f>
        <v/>
      </c>
      <c r="AE193" s="15">
        <f>IFERROR(VLOOKUP(T193,V8_COHORT_TABLE,9,FALSE),IFERROR(VLOOKUP(P193&amp;"|"&amp;Q193&amp;"|ALL|"&amp;S193,V8_COHORT_TABLE,9,FALSE),IFERROR(VLOOKUP(P193&amp;"|ALL|ALL|"&amp;S193,V8_COHORT_TABLE,9,FALSE),IFERROR(VLOOKUP(P193&amp;"|ALL|ALL|ALL",V8_COHORT_TABLE,9,FALSE),VLOOKUP("GLOBAL",V8_COHORT_TABLE,9,FALSE)))))</f>
        <v/>
      </c>
      <c r="AF193" s="8">
        <f>IF(K193&lt;=0,AB193,IF(K193&gt;=240,AE193,IF(K193&lt;=24,AB193+(K193-0)/24*(AC193-AB193),IF(K193&lt;=96,AC193+(K193-24)/72*(AD193-AC193),AD193+(K193-96)/144*(AE193-AD193)))))</f>
        <v/>
      </c>
      <c r="AG193" s="8">
        <f>IF(IF(OR(L193="",NOT(ISNUMBER(L193))),360,MAX(0,MIN(480,(INT(L193/100)-INT(VALUE(F193)/100))*12+MOD(L193,100)-MOD(VALUE(F193),100))))&gt;0,1+V8_MTY_AMP*MAX(0,(V8_MTY_CUTOFF-(IF(OR(L193="",NOT(ISNUMBER(L193))),360,MAX(0,MIN(480,(INT(L193/100)-INT(VALUE(F193)/100))*12+MOD(L193,100)-MOD(VALUE(F193),100))))))/V8_MTY_CUTOFF),1)</f>
        <v/>
      </c>
      <c r="AH193" s="8">
        <f>IF(AND(IF(OR(M193="",NOT(ISNUMBER(M193))),0,MAX(0,MIN(24,(INT(VALUE(F193)/100)-INT(M193/100))*12+MOD(VALUE(F193),100)-MOD(M193,100))))&gt;0,IF(OR(M193="",NOT(ISNUMBER(M193))),0,MAX(0,MIN(24,(INT(VALUE(F193)/100)-INT(M193/100))*12+MOD(VALUE(F193),100)-MOD(M193,100))))&lt;=12),1+V8_LOCKOUT_AMP*EXP(-(IF(OR(M193="",NOT(ISNUMBER(M193))),0,MAX(0,MIN(24,(INT(VALUE(F193)/100)-INT(M193/100))*12+MOD(VALUE(F193),100)-MOD(M193,100)))))/V8_LOCKOUT_TAU),1)</f>
        <v/>
      </c>
      <c r="AI193" s="8">
        <f>MAX(V8_BURN_FLOOR,1-V8_BURN_SLOPE*MIN(1,MAX(0,O193)))</f>
        <v/>
      </c>
      <c r="AJ193" s="15">
        <f>MIN(AA193*AF193*AG193*AH193*AI193,0.2)</f>
        <v/>
      </c>
      <c r="AK193" s="16">
        <f>1-(1-AJ193)^12</f>
        <v/>
      </c>
    </row>
    <row r="194">
      <c r="A194" s="2" t="inlineStr">
        <is>
          <t>000007422031</t>
        </is>
      </c>
      <c r="B194" t="inlineStr">
        <is>
          <t>232</t>
        </is>
      </c>
      <c r="C194" t="inlineStr">
        <is>
          <t>RP</t>
        </is>
      </c>
      <c r="D194" t="inlineStr">
        <is>
          <t>CAPITAL FUNDING,LLC.</t>
        </is>
      </c>
      <c r="E194" t="n">
        <v>2013</v>
      </c>
      <c r="F194" t="inlineStr">
        <is>
          <t>202602</t>
        </is>
      </c>
      <c r="G194" s="9" t="n">
        <v>1352228.66</v>
      </c>
      <c r="H194" s="13" t="n">
        <v>2.97</v>
      </c>
      <c r="I194" s="14" t="n">
        <v>447</v>
      </c>
      <c r="J194" s="14" t="n">
        <v>0</v>
      </c>
      <c r="K194" t="n">
        <v>157</v>
      </c>
      <c r="L194" t="n">
        <v>203801</v>
      </c>
      <c r="M194" t="n">
        <v>201403</v>
      </c>
      <c r="N194" t="n">
        <v>27</v>
      </c>
      <c r="O194" s="8" t="n">
        <v>0.1719745222929936</v>
      </c>
      <c r="P194">
        <f>IF(ISNUMBER(SEARCH("232",B194)),"232",IF(ISNUMBER(SEARCH("538",B194)),"538",IF(ISNUMBER(SEARCH("223a7",B194)),"223a7",IF(ISNUMBER(SEARCH("223f",B194)),"223f","OTHER"))))</f>
        <v/>
      </c>
      <c r="Q194">
        <f>IF(UPPER(C194)="NC","NC","RP")</f>
        <v/>
      </c>
      <c r="R194">
        <f>IF(G194&lt;5000000,"small",IF(G194&lt;25000000,"medium","large"))</f>
        <v/>
      </c>
      <c r="S194">
        <f>IF(K194&lt;36,"young",IF(K194&lt;120,"seasoned","aged"))</f>
        <v/>
      </c>
      <c r="T194">
        <f>P194&amp;"|"&amp;Q194&amp;"|"&amp;R194&amp;"|"&amp;S194</f>
        <v/>
      </c>
      <c r="U194" s="14">
        <f>H194*100-I194</f>
        <v/>
      </c>
      <c r="V194" s="14">
        <f>U194-12.5*(J194+1)</f>
        <v/>
      </c>
      <c r="W194" s="15">
        <f>IFERROR(VLOOKUP(T194,V8_COHORT_TABLE,2,FALSE),IFERROR(VLOOKUP(P194&amp;"|"&amp;Q194&amp;"|ALL|"&amp;S194,V8_COHORT_TABLE,2,FALSE),IFERROR(VLOOKUP(P194&amp;"|ALL|ALL|"&amp;S194,V8_COHORT_TABLE,2,FALSE),IFERROR(VLOOKUP(P194&amp;"|ALL|ALL|ALL",V8_COHORT_TABLE,2,FALSE),VLOOKUP("GLOBAL",V8_COHORT_TABLE,2,FALSE)))))</f>
        <v/>
      </c>
      <c r="X194" s="15">
        <f>IFERROR(VLOOKUP(T194,V8_COHORT_TABLE,3,FALSE),IFERROR(VLOOKUP(P194&amp;"|"&amp;Q194&amp;"|ALL|"&amp;S194,V8_COHORT_TABLE,3,FALSE),IFERROR(VLOOKUP(P194&amp;"|ALL|ALL|"&amp;S194,V8_COHORT_TABLE,3,FALSE),IFERROR(VLOOKUP(P194&amp;"|ALL|ALL|ALL",V8_COHORT_TABLE,3,FALSE),VLOOKUP("GLOBAL",V8_COHORT_TABLE,3,FALSE)))))</f>
        <v/>
      </c>
      <c r="Y194" s="15">
        <f>IFERROR(VLOOKUP(T194,V8_COHORT_TABLE,4,FALSE),IFERROR(VLOOKUP(P194&amp;"|"&amp;Q194&amp;"|ALL|"&amp;S194,V8_COHORT_TABLE,4,FALSE),IFERROR(VLOOKUP(P194&amp;"|ALL|ALL|"&amp;S194,V8_COHORT_TABLE,4,FALSE),IFERROR(VLOOKUP(P194&amp;"|ALL|ALL|ALL",V8_COHORT_TABLE,4,FALSE),VLOOKUP("GLOBAL",V8_COHORT_TABLE,4,FALSE)))))</f>
        <v/>
      </c>
      <c r="Z194" s="15">
        <f>IFERROR(VLOOKUP(T194,V8_COHORT_TABLE,5,FALSE),IFERROR(VLOOKUP(P194&amp;"|"&amp;Q194&amp;"|ALL|"&amp;S194,V8_COHORT_TABLE,5,FALSE),IFERROR(VLOOKUP(P194&amp;"|ALL|ALL|"&amp;S194,V8_COHORT_TABLE,5,FALSE),IFERROR(VLOOKUP(P194&amp;"|ALL|ALL|ALL",V8_COHORT_TABLE,5,FALSE),VLOOKUP("GLOBAL",V8_COHORT_TABLE,5,FALSE)))))</f>
        <v/>
      </c>
      <c r="AA194" s="15">
        <f>W194+X194/(1+EXP(-(V194-Y194)/Z194))</f>
        <v/>
      </c>
      <c r="AB194" s="15">
        <f>IFERROR(VLOOKUP(T194,V8_COHORT_TABLE,6,FALSE),IFERROR(VLOOKUP(P194&amp;"|"&amp;Q194&amp;"|ALL|"&amp;S194,V8_COHORT_TABLE,6,FALSE),IFERROR(VLOOKUP(P194&amp;"|ALL|ALL|"&amp;S194,V8_COHORT_TABLE,6,FALSE),IFERROR(VLOOKUP(P194&amp;"|ALL|ALL|ALL",V8_COHORT_TABLE,6,FALSE),VLOOKUP("GLOBAL",V8_COHORT_TABLE,6,FALSE)))))</f>
        <v/>
      </c>
      <c r="AC194" s="15">
        <f>IFERROR(VLOOKUP(T194,V8_COHORT_TABLE,7,FALSE),IFERROR(VLOOKUP(P194&amp;"|"&amp;Q194&amp;"|ALL|"&amp;S194,V8_COHORT_TABLE,7,FALSE),IFERROR(VLOOKUP(P194&amp;"|ALL|ALL|"&amp;S194,V8_COHORT_TABLE,7,FALSE),IFERROR(VLOOKUP(P194&amp;"|ALL|ALL|ALL",V8_COHORT_TABLE,7,FALSE),VLOOKUP("GLOBAL",V8_COHORT_TABLE,7,FALSE)))))</f>
        <v/>
      </c>
      <c r="AD194" s="15">
        <f>IFERROR(VLOOKUP(T194,V8_COHORT_TABLE,8,FALSE),IFERROR(VLOOKUP(P194&amp;"|"&amp;Q194&amp;"|ALL|"&amp;S194,V8_COHORT_TABLE,8,FALSE),IFERROR(VLOOKUP(P194&amp;"|ALL|ALL|"&amp;S194,V8_COHORT_TABLE,8,FALSE),IFERROR(VLOOKUP(P194&amp;"|ALL|ALL|ALL",V8_COHORT_TABLE,8,FALSE),VLOOKUP("GLOBAL",V8_COHORT_TABLE,8,FALSE)))))</f>
        <v/>
      </c>
      <c r="AE194" s="15">
        <f>IFERROR(VLOOKUP(T194,V8_COHORT_TABLE,9,FALSE),IFERROR(VLOOKUP(P194&amp;"|"&amp;Q194&amp;"|ALL|"&amp;S194,V8_COHORT_TABLE,9,FALSE),IFERROR(VLOOKUP(P194&amp;"|ALL|ALL|"&amp;S194,V8_COHORT_TABLE,9,FALSE),IFERROR(VLOOKUP(P194&amp;"|ALL|ALL|ALL",V8_COHORT_TABLE,9,FALSE),VLOOKUP("GLOBAL",V8_COHORT_TABLE,9,FALSE)))))</f>
        <v/>
      </c>
      <c r="AF194" s="8">
        <f>IF(K194&lt;=0,AB194,IF(K194&gt;=240,AE194,IF(K194&lt;=24,AB194+(K194-0)/24*(AC194-AB194),IF(K194&lt;=96,AC194+(K194-24)/72*(AD194-AC194),AD194+(K194-96)/144*(AE194-AD194)))))</f>
        <v/>
      </c>
      <c r="AG194" s="8">
        <f>IF(IF(OR(L194="",NOT(ISNUMBER(L194))),360,MAX(0,MIN(480,(INT(L194/100)-INT(VALUE(F194)/100))*12+MOD(L194,100)-MOD(VALUE(F194),100))))&gt;0,1+V8_MTY_AMP*MAX(0,(V8_MTY_CUTOFF-(IF(OR(L194="",NOT(ISNUMBER(L194))),360,MAX(0,MIN(480,(INT(L194/100)-INT(VALUE(F194)/100))*12+MOD(L194,100)-MOD(VALUE(F194),100))))))/V8_MTY_CUTOFF),1)</f>
        <v/>
      </c>
      <c r="AH194" s="8">
        <f>IF(AND(IF(OR(M194="",NOT(ISNUMBER(M194))),0,MAX(0,MIN(24,(INT(VALUE(F194)/100)-INT(M194/100))*12+MOD(VALUE(F194),100)-MOD(M194,100))))&gt;0,IF(OR(M194="",NOT(ISNUMBER(M194))),0,MAX(0,MIN(24,(INT(VALUE(F194)/100)-INT(M194/100))*12+MOD(VALUE(F194),100)-MOD(M194,100))))&lt;=12),1+V8_LOCKOUT_AMP*EXP(-(IF(OR(M194="",NOT(ISNUMBER(M194))),0,MAX(0,MIN(24,(INT(VALUE(F194)/100)-INT(M194/100))*12+MOD(VALUE(F194),100)-MOD(M194,100)))))/V8_LOCKOUT_TAU),1)</f>
        <v/>
      </c>
      <c r="AI194" s="8">
        <f>MAX(V8_BURN_FLOOR,1-V8_BURN_SLOPE*MIN(1,MAX(0,O194)))</f>
        <v/>
      </c>
      <c r="AJ194" s="15">
        <f>MIN(AA194*AF194*AG194*AH194*AI194,0.2)</f>
        <v/>
      </c>
      <c r="AK194" s="16">
        <f>1-(1-AJ194)^12</f>
        <v/>
      </c>
    </row>
    <row r="195">
      <c r="A195" s="2" t="inlineStr">
        <is>
          <t>000001422159</t>
        </is>
      </c>
      <c r="B195" t="inlineStr">
        <is>
          <t>232</t>
        </is>
      </c>
      <c r="C195" t="inlineStr">
        <is>
          <t>RP</t>
        </is>
      </c>
      <c r="D195" t="inlineStr">
        <is>
          <t>CAPITAL FUNDING,LLC.</t>
        </is>
      </c>
      <c r="E195" t="n">
        <v>2019</v>
      </c>
      <c r="F195" t="inlineStr">
        <is>
          <t>202602</t>
        </is>
      </c>
      <c r="G195" s="9" t="n">
        <v>16343371.04</v>
      </c>
      <c r="H195" s="13" t="n">
        <v>3.24</v>
      </c>
      <c r="I195" s="14" t="n">
        <v>447</v>
      </c>
      <c r="J195" s="14" t="n">
        <v>4</v>
      </c>
      <c r="K195" t="n">
        <v>74</v>
      </c>
      <c r="L195" t="n">
        <v>204501</v>
      </c>
      <c r="M195" t="inlineStr"/>
      <c r="N195" t="n">
        <v>19</v>
      </c>
      <c r="O195" s="8" t="n">
        <v>0.2567567567567567</v>
      </c>
      <c r="P195">
        <f>IF(ISNUMBER(SEARCH("232",B195)),"232",IF(ISNUMBER(SEARCH("538",B195)),"538",IF(ISNUMBER(SEARCH("223a7",B195)),"223a7",IF(ISNUMBER(SEARCH("223f",B195)),"223f","OTHER"))))</f>
        <v/>
      </c>
      <c r="Q195">
        <f>IF(UPPER(C195)="NC","NC","RP")</f>
        <v/>
      </c>
      <c r="R195">
        <f>IF(G195&lt;5000000,"small",IF(G195&lt;25000000,"medium","large"))</f>
        <v/>
      </c>
      <c r="S195">
        <f>IF(K195&lt;36,"young",IF(K195&lt;120,"seasoned","aged"))</f>
        <v/>
      </c>
      <c r="T195">
        <f>P195&amp;"|"&amp;Q195&amp;"|"&amp;R195&amp;"|"&amp;S195</f>
        <v/>
      </c>
      <c r="U195" s="14">
        <f>H195*100-I195</f>
        <v/>
      </c>
      <c r="V195" s="14">
        <f>U195-12.5*(J195+1)</f>
        <v/>
      </c>
      <c r="W195" s="15">
        <f>IFERROR(VLOOKUP(T195,V8_COHORT_TABLE,2,FALSE),IFERROR(VLOOKUP(P195&amp;"|"&amp;Q195&amp;"|ALL|"&amp;S195,V8_COHORT_TABLE,2,FALSE),IFERROR(VLOOKUP(P195&amp;"|ALL|ALL|"&amp;S195,V8_COHORT_TABLE,2,FALSE),IFERROR(VLOOKUP(P195&amp;"|ALL|ALL|ALL",V8_COHORT_TABLE,2,FALSE),VLOOKUP("GLOBAL",V8_COHORT_TABLE,2,FALSE)))))</f>
        <v/>
      </c>
      <c r="X195" s="15">
        <f>IFERROR(VLOOKUP(T195,V8_COHORT_TABLE,3,FALSE),IFERROR(VLOOKUP(P195&amp;"|"&amp;Q195&amp;"|ALL|"&amp;S195,V8_COHORT_TABLE,3,FALSE),IFERROR(VLOOKUP(P195&amp;"|ALL|ALL|"&amp;S195,V8_COHORT_TABLE,3,FALSE),IFERROR(VLOOKUP(P195&amp;"|ALL|ALL|ALL",V8_COHORT_TABLE,3,FALSE),VLOOKUP("GLOBAL",V8_COHORT_TABLE,3,FALSE)))))</f>
        <v/>
      </c>
      <c r="Y195" s="15">
        <f>IFERROR(VLOOKUP(T195,V8_COHORT_TABLE,4,FALSE),IFERROR(VLOOKUP(P195&amp;"|"&amp;Q195&amp;"|ALL|"&amp;S195,V8_COHORT_TABLE,4,FALSE),IFERROR(VLOOKUP(P195&amp;"|ALL|ALL|"&amp;S195,V8_COHORT_TABLE,4,FALSE),IFERROR(VLOOKUP(P195&amp;"|ALL|ALL|ALL",V8_COHORT_TABLE,4,FALSE),VLOOKUP("GLOBAL",V8_COHORT_TABLE,4,FALSE)))))</f>
        <v/>
      </c>
      <c r="Z195" s="15">
        <f>IFERROR(VLOOKUP(T195,V8_COHORT_TABLE,5,FALSE),IFERROR(VLOOKUP(P195&amp;"|"&amp;Q195&amp;"|ALL|"&amp;S195,V8_COHORT_TABLE,5,FALSE),IFERROR(VLOOKUP(P195&amp;"|ALL|ALL|"&amp;S195,V8_COHORT_TABLE,5,FALSE),IFERROR(VLOOKUP(P195&amp;"|ALL|ALL|ALL",V8_COHORT_TABLE,5,FALSE),VLOOKUP("GLOBAL",V8_COHORT_TABLE,5,FALSE)))))</f>
        <v/>
      </c>
      <c r="AA195" s="15">
        <f>W195+X195/(1+EXP(-(V195-Y195)/Z195))</f>
        <v/>
      </c>
      <c r="AB195" s="15">
        <f>IFERROR(VLOOKUP(T195,V8_COHORT_TABLE,6,FALSE),IFERROR(VLOOKUP(P195&amp;"|"&amp;Q195&amp;"|ALL|"&amp;S195,V8_COHORT_TABLE,6,FALSE),IFERROR(VLOOKUP(P195&amp;"|ALL|ALL|"&amp;S195,V8_COHORT_TABLE,6,FALSE),IFERROR(VLOOKUP(P195&amp;"|ALL|ALL|ALL",V8_COHORT_TABLE,6,FALSE),VLOOKUP("GLOBAL",V8_COHORT_TABLE,6,FALSE)))))</f>
        <v/>
      </c>
      <c r="AC195" s="15">
        <f>IFERROR(VLOOKUP(T195,V8_COHORT_TABLE,7,FALSE),IFERROR(VLOOKUP(P195&amp;"|"&amp;Q195&amp;"|ALL|"&amp;S195,V8_COHORT_TABLE,7,FALSE),IFERROR(VLOOKUP(P195&amp;"|ALL|ALL|"&amp;S195,V8_COHORT_TABLE,7,FALSE),IFERROR(VLOOKUP(P195&amp;"|ALL|ALL|ALL",V8_COHORT_TABLE,7,FALSE),VLOOKUP("GLOBAL",V8_COHORT_TABLE,7,FALSE)))))</f>
        <v/>
      </c>
      <c r="AD195" s="15">
        <f>IFERROR(VLOOKUP(T195,V8_COHORT_TABLE,8,FALSE),IFERROR(VLOOKUP(P195&amp;"|"&amp;Q195&amp;"|ALL|"&amp;S195,V8_COHORT_TABLE,8,FALSE),IFERROR(VLOOKUP(P195&amp;"|ALL|ALL|"&amp;S195,V8_COHORT_TABLE,8,FALSE),IFERROR(VLOOKUP(P195&amp;"|ALL|ALL|ALL",V8_COHORT_TABLE,8,FALSE),VLOOKUP("GLOBAL",V8_COHORT_TABLE,8,FALSE)))))</f>
        <v/>
      </c>
      <c r="AE195" s="15">
        <f>IFERROR(VLOOKUP(T195,V8_COHORT_TABLE,9,FALSE),IFERROR(VLOOKUP(P195&amp;"|"&amp;Q195&amp;"|ALL|"&amp;S195,V8_COHORT_TABLE,9,FALSE),IFERROR(VLOOKUP(P195&amp;"|ALL|ALL|"&amp;S195,V8_COHORT_TABLE,9,FALSE),IFERROR(VLOOKUP(P195&amp;"|ALL|ALL|ALL",V8_COHORT_TABLE,9,FALSE),VLOOKUP("GLOBAL",V8_COHORT_TABLE,9,FALSE)))))</f>
        <v/>
      </c>
      <c r="AF195" s="8">
        <f>IF(K195&lt;=0,AB195,IF(K195&gt;=240,AE195,IF(K195&lt;=24,AB195+(K195-0)/24*(AC195-AB195),IF(K195&lt;=96,AC195+(K195-24)/72*(AD195-AC195),AD195+(K195-96)/144*(AE195-AD195)))))</f>
        <v/>
      </c>
      <c r="AG195" s="8">
        <f>IF(IF(OR(L195="",NOT(ISNUMBER(L195))),360,MAX(0,MIN(480,(INT(L195/100)-INT(VALUE(F195)/100))*12+MOD(L195,100)-MOD(VALUE(F195),100))))&gt;0,1+V8_MTY_AMP*MAX(0,(V8_MTY_CUTOFF-(IF(OR(L195="",NOT(ISNUMBER(L195))),360,MAX(0,MIN(480,(INT(L195/100)-INT(VALUE(F195)/100))*12+MOD(L195,100)-MOD(VALUE(F195),100))))))/V8_MTY_CUTOFF),1)</f>
        <v/>
      </c>
      <c r="AH195" s="8">
        <f>IF(AND(IF(OR(M195="",NOT(ISNUMBER(M195))),0,MAX(0,MIN(24,(INT(VALUE(F195)/100)-INT(M195/100))*12+MOD(VALUE(F195),100)-MOD(M195,100))))&gt;0,IF(OR(M195="",NOT(ISNUMBER(M195))),0,MAX(0,MIN(24,(INT(VALUE(F195)/100)-INT(M195/100))*12+MOD(VALUE(F195),100)-MOD(M195,100))))&lt;=12),1+V8_LOCKOUT_AMP*EXP(-(IF(OR(M195="",NOT(ISNUMBER(M195))),0,MAX(0,MIN(24,(INT(VALUE(F195)/100)-INT(M195/100))*12+MOD(VALUE(F195),100)-MOD(M195,100)))))/V8_LOCKOUT_TAU),1)</f>
        <v/>
      </c>
      <c r="AI195" s="8">
        <f>MAX(V8_BURN_FLOOR,1-V8_BURN_SLOPE*MIN(1,MAX(0,O195)))</f>
        <v/>
      </c>
      <c r="AJ195" s="15">
        <f>MIN(AA195*AF195*AG195*AH195*AI195,0.2)</f>
        <v/>
      </c>
      <c r="AK195" s="16">
        <f>1-(1-AJ195)^12</f>
        <v/>
      </c>
    </row>
    <row r="196">
      <c r="A196" s="2" t="inlineStr">
        <is>
          <t>000002322133</t>
        </is>
      </c>
      <c r="B196" t="inlineStr">
        <is>
          <t>232</t>
        </is>
      </c>
      <c r="C196" t="inlineStr">
        <is>
          <t>RP</t>
        </is>
      </c>
      <c r="D196" t="inlineStr">
        <is>
          <t>CAPITAL FUNDING,LLC.</t>
        </is>
      </c>
      <c r="E196" t="n">
        <v>2013</v>
      </c>
      <c r="F196" t="inlineStr">
        <is>
          <t>202602</t>
        </is>
      </c>
      <c r="G196" s="9" t="n">
        <v>4844357.94</v>
      </c>
      <c r="H196" s="13" t="n">
        <v>2.94</v>
      </c>
      <c r="I196" s="14" t="n">
        <v>447</v>
      </c>
      <c r="J196" s="14" t="n">
        <v>0</v>
      </c>
      <c r="K196" t="n">
        <v>157</v>
      </c>
      <c r="L196" t="n">
        <v>204802</v>
      </c>
      <c r="M196" t="n">
        <v>201403</v>
      </c>
      <c r="N196" t="n">
        <v>26</v>
      </c>
      <c r="O196" s="8" t="n">
        <v>0.1656050955414013</v>
      </c>
      <c r="P196">
        <f>IF(ISNUMBER(SEARCH("232",B196)),"232",IF(ISNUMBER(SEARCH("538",B196)),"538",IF(ISNUMBER(SEARCH("223a7",B196)),"223a7",IF(ISNUMBER(SEARCH("223f",B196)),"223f","OTHER"))))</f>
        <v/>
      </c>
      <c r="Q196">
        <f>IF(UPPER(C196)="NC","NC","RP")</f>
        <v/>
      </c>
      <c r="R196">
        <f>IF(G196&lt;5000000,"small",IF(G196&lt;25000000,"medium","large"))</f>
        <v/>
      </c>
      <c r="S196">
        <f>IF(K196&lt;36,"young",IF(K196&lt;120,"seasoned","aged"))</f>
        <v/>
      </c>
      <c r="T196">
        <f>P196&amp;"|"&amp;Q196&amp;"|"&amp;R196&amp;"|"&amp;S196</f>
        <v/>
      </c>
      <c r="U196" s="14">
        <f>H196*100-I196</f>
        <v/>
      </c>
      <c r="V196" s="14">
        <f>U196-12.5*(J196+1)</f>
        <v/>
      </c>
      <c r="W196" s="15">
        <f>IFERROR(VLOOKUP(T196,V8_COHORT_TABLE,2,FALSE),IFERROR(VLOOKUP(P196&amp;"|"&amp;Q196&amp;"|ALL|"&amp;S196,V8_COHORT_TABLE,2,FALSE),IFERROR(VLOOKUP(P196&amp;"|ALL|ALL|"&amp;S196,V8_COHORT_TABLE,2,FALSE),IFERROR(VLOOKUP(P196&amp;"|ALL|ALL|ALL",V8_COHORT_TABLE,2,FALSE),VLOOKUP("GLOBAL",V8_COHORT_TABLE,2,FALSE)))))</f>
        <v/>
      </c>
      <c r="X196" s="15">
        <f>IFERROR(VLOOKUP(T196,V8_COHORT_TABLE,3,FALSE),IFERROR(VLOOKUP(P196&amp;"|"&amp;Q196&amp;"|ALL|"&amp;S196,V8_COHORT_TABLE,3,FALSE),IFERROR(VLOOKUP(P196&amp;"|ALL|ALL|"&amp;S196,V8_COHORT_TABLE,3,FALSE),IFERROR(VLOOKUP(P196&amp;"|ALL|ALL|ALL",V8_COHORT_TABLE,3,FALSE),VLOOKUP("GLOBAL",V8_COHORT_TABLE,3,FALSE)))))</f>
        <v/>
      </c>
      <c r="Y196" s="15">
        <f>IFERROR(VLOOKUP(T196,V8_COHORT_TABLE,4,FALSE),IFERROR(VLOOKUP(P196&amp;"|"&amp;Q196&amp;"|ALL|"&amp;S196,V8_COHORT_TABLE,4,FALSE),IFERROR(VLOOKUP(P196&amp;"|ALL|ALL|"&amp;S196,V8_COHORT_TABLE,4,FALSE),IFERROR(VLOOKUP(P196&amp;"|ALL|ALL|ALL",V8_COHORT_TABLE,4,FALSE),VLOOKUP("GLOBAL",V8_COHORT_TABLE,4,FALSE)))))</f>
        <v/>
      </c>
      <c r="Z196" s="15">
        <f>IFERROR(VLOOKUP(T196,V8_COHORT_TABLE,5,FALSE),IFERROR(VLOOKUP(P196&amp;"|"&amp;Q196&amp;"|ALL|"&amp;S196,V8_COHORT_TABLE,5,FALSE),IFERROR(VLOOKUP(P196&amp;"|ALL|ALL|"&amp;S196,V8_COHORT_TABLE,5,FALSE),IFERROR(VLOOKUP(P196&amp;"|ALL|ALL|ALL",V8_COHORT_TABLE,5,FALSE),VLOOKUP("GLOBAL",V8_COHORT_TABLE,5,FALSE)))))</f>
        <v/>
      </c>
      <c r="AA196" s="15">
        <f>W196+X196/(1+EXP(-(V196-Y196)/Z196))</f>
        <v/>
      </c>
      <c r="AB196" s="15">
        <f>IFERROR(VLOOKUP(T196,V8_COHORT_TABLE,6,FALSE),IFERROR(VLOOKUP(P196&amp;"|"&amp;Q196&amp;"|ALL|"&amp;S196,V8_COHORT_TABLE,6,FALSE),IFERROR(VLOOKUP(P196&amp;"|ALL|ALL|"&amp;S196,V8_COHORT_TABLE,6,FALSE),IFERROR(VLOOKUP(P196&amp;"|ALL|ALL|ALL",V8_COHORT_TABLE,6,FALSE),VLOOKUP("GLOBAL",V8_COHORT_TABLE,6,FALSE)))))</f>
        <v/>
      </c>
      <c r="AC196" s="15">
        <f>IFERROR(VLOOKUP(T196,V8_COHORT_TABLE,7,FALSE),IFERROR(VLOOKUP(P196&amp;"|"&amp;Q196&amp;"|ALL|"&amp;S196,V8_COHORT_TABLE,7,FALSE),IFERROR(VLOOKUP(P196&amp;"|ALL|ALL|"&amp;S196,V8_COHORT_TABLE,7,FALSE),IFERROR(VLOOKUP(P196&amp;"|ALL|ALL|ALL",V8_COHORT_TABLE,7,FALSE),VLOOKUP("GLOBAL",V8_COHORT_TABLE,7,FALSE)))))</f>
        <v/>
      </c>
      <c r="AD196" s="15">
        <f>IFERROR(VLOOKUP(T196,V8_COHORT_TABLE,8,FALSE),IFERROR(VLOOKUP(P196&amp;"|"&amp;Q196&amp;"|ALL|"&amp;S196,V8_COHORT_TABLE,8,FALSE),IFERROR(VLOOKUP(P196&amp;"|ALL|ALL|"&amp;S196,V8_COHORT_TABLE,8,FALSE),IFERROR(VLOOKUP(P196&amp;"|ALL|ALL|ALL",V8_COHORT_TABLE,8,FALSE),VLOOKUP("GLOBAL",V8_COHORT_TABLE,8,FALSE)))))</f>
        <v/>
      </c>
      <c r="AE196" s="15">
        <f>IFERROR(VLOOKUP(T196,V8_COHORT_TABLE,9,FALSE),IFERROR(VLOOKUP(P196&amp;"|"&amp;Q196&amp;"|ALL|"&amp;S196,V8_COHORT_TABLE,9,FALSE),IFERROR(VLOOKUP(P196&amp;"|ALL|ALL|"&amp;S196,V8_COHORT_TABLE,9,FALSE),IFERROR(VLOOKUP(P196&amp;"|ALL|ALL|ALL",V8_COHORT_TABLE,9,FALSE),VLOOKUP("GLOBAL",V8_COHORT_TABLE,9,FALSE)))))</f>
        <v/>
      </c>
      <c r="AF196" s="8">
        <f>IF(K196&lt;=0,AB196,IF(K196&gt;=240,AE196,IF(K196&lt;=24,AB196+(K196-0)/24*(AC196-AB196),IF(K196&lt;=96,AC196+(K196-24)/72*(AD196-AC196),AD196+(K196-96)/144*(AE196-AD196)))))</f>
        <v/>
      </c>
      <c r="AG196" s="8">
        <f>IF(IF(OR(L196="",NOT(ISNUMBER(L196))),360,MAX(0,MIN(480,(INT(L196/100)-INT(VALUE(F196)/100))*12+MOD(L196,100)-MOD(VALUE(F196),100))))&gt;0,1+V8_MTY_AMP*MAX(0,(V8_MTY_CUTOFF-(IF(OR(L196="",NOT(ISNUMBER(L196))),360,MAX(0,MIN(480,(INT(L196/100)-INT(VALUE(F196)/100))*12+MOD(L196,100)-MOD(VALUE(F196),100))))))/V8_MTY_CUTOFF),1)</f>
        <v/>
      </c>
      <c r="AH196" s="8">
        <f>IF(AND(IF(OR(M196="",NOT(ISNUMBER(M196))),0,MAX(0,MIN(24,(INT(VALUE(F196)/100)-INT(M196/100))*12+MOD(VALUE(F196),100)-MOD(M196,100))))&gt;0,IF(OR(M196="",NOT(ISNUMBER(M196))),0,MAX(0,MIN(24,(INT(VALUE(F196)/100)-INT(M196/100))*12+MOD(VALUE(F196),100)-MOD(M196,100))))&lt;=12),1+V8_LOCKOUT_AMP*EXP(-(IF(OR(M196="",NOT(ISNUMBER(M196))),0,MAX(0,MIN(24,(INT(VALUE(F196)/100)-INT(M196/100))*12+MOD(VALUE(F196),100)-MOD(M196,100)))))/V8_LOCKOUT_TAU),1)</f>
        <v/>
      </c>
      <c r="AI196" s="8">
        <f>MAX(V8_BURN_FLOOR,1-V8_BURN_SLOPE*MIN(1,MAX(0,O196)))</f>
        <v/>
      </c>
      <c r="AJ196" s="15">
        <f>MIN(AA196*AF196*AG196*AH196*AI196,0.2)</f>
        <v/>
      </c>
      <c r="AK196" s="16">
        <f>1-(1-AJ196)^12</f>
        <v/>
      </c>
    </row>
    <row r="197">
      <c r="A197" s="2" t="inlineStr">
        <is>
          <t>000003411253</t>
        </is>
      </c>
      <c r="B197" t="inlineStr">
        <is>
          <t>223f</t>
        </is>
      </c>
      <c r="C197" t="inlineStr">
        <is>
          <t>RP</t>
        </is>
      </c>
      <c r="D197" t="inlineStr">
        <is>
          <t>DWIGHT CAPITAL LLC</t>
        </is>
      </c>
      <c r="E197" t="n">
        <v>2020</v>
      </c>
      <c r="F197" t="inlineStr">
        <is>
          <t>202602</t>
        </is>
      </c>
      <c r="G197" s="9" t="n">
        <v>9700016.130000001</v>
      </c>
      <c r="H197" s="13" t="n">
        <v>3.44</v>
      </c>
      <c r="I197" s="14" t="n">
        <v>447</v>
      </c>
      <c r="J197" s="14" t="n">
        <v>10</v>
      </c>
      <c r="K197" t="n">
        <v>65</v>
      </c>
      <c r="L197" t="n">
        <v>205510</v>
      </c>
      <c r="M197" t="n">
        <v>202203</v>
      </c>
      <c r="N197" t="n">
        <v>2</v>
      </c>
      <c r="O197" s="8" t="n">
        <v>0.03076923076923077</v>
      </c>
      <c r="P197">
        <f>IF(ISNUMBER(SEARCH("232",B197)),"232",IF(ISNUMBER(SEARCH("538",B197)),"538",IF(ISNUMBER(SEARCH("223a7",B197)),"223a7",IF(ISNUMBER(SEARCH("223f",B197)),"223f","OTHER"))))</f>
        <v/>
      </c>
      <c r="Q197">
        <f>IF(UPPER(C197)="NC","NC","RP")</f>
        <v/>
      </c>
      <c r="R197">
        <f>IF(G197&lt;5000000,"small",IF(G197&lt;25000000,"medium","large"))</f>
        <v/>
      </c>
      <c r="S197">
        <f>IF(K197&lt;36,"young",IF(K197&lt;120,"seasoned","aged"))</f>
        <v/>
      </c>
      <c r="T197">
        <f>P197&amp;"|"&amp;Q197&amp;"|"&amp;R197&amp;"|"&amp;S197</f>
        <v/>
      </c>
      <c r="U197" s="14">
        <f>H197*100-I197</f>
        <v/>
      </c>
      <c r="V197" s="14">
        <f>U197-12.5*(J197+1)</f>
        <v/>
      </c>
      <c r="W197" s="15">
        <f>IFERROR(VLOOKUP(T197,V8_COHORT_TABLE,2,FALSE),IFERROR(VLOOKUP(P197&amp;"|"&amp;Q197&amp;"|ALL|"&amp;S197,V8_COHORT_TABLE,2,FALSE),IFERROR(VLOOKUP(P197&amp;"|ALL|ALL|"&amp;S197,V8_COHORT_TABLE,2,FALSE),IFERROR(VLOOKUP(P197&amp;"|ALL|ALL|ALL",V8_COHORT_TABLE,2,FALSE),VLOOKUP("GLOBAL",V8_COHORT_TABLE,2,FALSE)))))</f>
        <v/>
      </c>
      <c r="X197" s="15">
        <f>IFERROR(VLOOKUP(T197,V8_COHORT_TABLE,3,FALSE),IFERROR(VLOOKUP(P197&amp;"|"&amp;Q197&amp;"|ALL|"&amp;S197,V8_COHORT_TABLE,3,FALSE),IFERROR(VLOOKUP(P197&amp;"|ALL|ALL|"&amp;S197,V8_COHORT_TABLE,3,FALSE),IFERROR(VLOOKUP(P197&amp;"|ALL|ALL|ALL",V8_COHORT_TABLE,3,FALSE),VLOOKUP("GLOBAL",V8_COHORT_TABLE,3,FALSE)))))</f>
        <v/>
      </c>
      <c r="Y197" s="15">
        <f>IFERROR(VLOOKUP(T197,V8_COHORT_TABLE,4,FALSE),IFERROR(VLOOKUP(P197&amp;"|"&amp;Q197&amp;"|ALL|"&amp;S197,V8_COHORT_TABLE,4,FALSE),IFERROR(VLOOKUP(P197&amp;"|ALL|ALL|"&amp;S197,V8_COHORT_TABLE,4,FALSE),IFERROR(VLOOKUP(P197&amp;"|ALL|ALL|ALL",V8_COHORT_TABLE,4,FALSE),VLOOKUP("GLOBAL",V8_COHORT_TABLE,4,FALSE)))))</f>
        <v/>
      </c>
      <c r="Z197" s="15">
        <f>IFERROR(VLOOKUP(T197,V8_COHORT_TABLE,5,FALSE),IFERROR(VLOOKUP(P197&amp;"|"&amp;Q197&amp;"|ALL|"&amp;S197,V8_COHORT_TABLE,5,FALSE),IFERROR(VLOOKUP(P197&amp;"|ALL|ALL|"&amp;S197,V8_COHORT_TABLE,5,FALSE),IFERROR(VLOOKUP(P197&amp;"|ALL|ALL|ALL",V8_COHORT_TABLE,5,FALSE),VLOOKUP("GLOBAL",V8_COHORT_TABLE,5,FALSE)))))</f>
        <v/>
      </c>
      <c r="AA197" s="15">
        <f>W197+X197/(1+EXP(-(V197-Y197)/Z197))</f>
        <v/>
      </c>
      <c r="AB197" s="15">
        <f>IFERROR(VLOOKUP(T197,V8_COHORT_TABLE,6,FALSE),IFERROR(VLOOKUP(P197&amp;"|"&amp;Q197&amp;"|ALL|"&amp;S197,V8_COHORT_TABLE,6,FALSE),IFERROR(VLOOKUP(P197&amp;"|ALL|ALL|"&amp;S197,V8_COHORT_TABLE,6,FALSE),IFERROR(VLOOKUP(P197&amp;"|ALL|ALL|ALL",V8_COHORT_TABLE,6,FALSE),VLOOKUP("GLOBAL",V8_COHORT_TABLE,6,FALSE)))))</f>
        <v/>
      </c>
      <c r="AC197" s="15">
        <f>IFERROR(VLOOKUP(T197,V8_COHORT_TABLE,7,FALSE),IFERROR(VLOOKUP(P197&amp;"|"&amp;Q197&amp;"|ALL|"&amp;S197,V8_COHORT_TABLE,7,FALSE),IFERROR(VLOOKUP(P197&amp;"|ALL|ALL|"&amp;S197,V8_COHORT_TABLE,7,FALSE),IFERROR(VLOOKUP(P197&amp;"|ALL|ALL|ALL",V8_COHORT_TABLE,7,FALSE),VLOOKUP("GLOBAL",V8_COHORT_TABLE,7,FALSE)))))</f>
        <v/>
      </c>
      <c r="AD197" s="15">
        <f>IFERROR(VLOOKUP(T197,V8_COHORT_TABLE,8,FALSE),IFERROR(VLOOKUP(P197&amp;"|"&amp;Q197&amp;"|ALL|"&amp;S197,V8_COHORT_TABLE,8,FALSE),IFERROR(VLOOKUP(P197&amp;"|ALL|ALL|"&amp;S197,V8_COHORT_TABLE,8,FALSE),IFERROR(VLOOKUP(P197&amp;"|ALL|ALL|ALL",V8_COHORT_TABLE,8,FALSE),VLOOKUP("GLOBAL",V8_COHORT_TABLE,8,FALSE)))))</f>
        <v/>
      </c>
      <c r="AE197" s="15">
        <f>IFERROR(VLOOKUP(T197,V8_COHORT_TABLE,9,FALSE),IFERROR(VLOOKUP(P197&amp;"|"&amp;Q197&amp;"|ALL|"&amp;S197,V8_COHORT_TABLE,9,FALSE),IFERROR(VLOOKUP(P197&amp;"|ALL|ALL|"&amp;S197,V8_COHORT_TABLE,9,FALSE),IFERROR(VLOOKUP(P197&amp;"|ALL|ALL|ALL",V8_COHORT_TABLE,9,FALSE),VLOOKUP("GLOBAL",V8_COHORT_TABLE,9,FALSE)))))</f>
        <v/>
      </c>
      <c r="AF197" s="8">
        <f>IF(K197&lt;=0,AB197,IF(K197&gt;=240,AE197,IF(K197&lt;=24,AB197+(K197-0)/24*(AC197-AB197),IF(K197&lt;=96,AC197+(K197-24)/72*(AD197-AC197),AD197+(K197-96)/144*(AE197-AD197)))))</f>
        <v/>
      </c>
      <c r="AG197" s="8">
        <f>IF(IF(OR(L197="",NOT(ISNUMBER(L197))),360,MAX(0,MIN(480,(INT(L197/100)-INT(VALUE(F197)/100))*12+MOD(L197,100)-MOD(VALUE(F197),100))))&gt;0,1+V8_MTY_AMP*MAX(0,(V8_MTY_CUTOFF-(IF(OR(L197="",NOT(ISNUMBER(L197))),360,MAX(0,MIN(480,(INT(L197/100)-INT(VALUE(F197)/100))*12+MOD(L197,100)-MOD(VALUE(F197),100))))))/V8_MTY_CUTOFF),1)</f>
        <v/>
      </c>
      <c r="AH197" s="8">
        <f>IF(AND(IF(OR(M197="",NOT(ISNUMBER(M197))),0,MAX(0,MIN(24,(INT(VALUE(F197)/100)-INT(M197/100))*12+MOD(VALUE(F197),100)-MOD(M197,100))))&gt;0,IF(OR(M197="",NOT(ISNUMBER(M197))),0,MAX(0,MIN(24,(INT(VALUE(F197)/100)-INT(M197/100))*12+MOD(VALUE(F197),100)-MOD(M197,100))))&lt;=12),1+V8_LOCKOUT_AMP*EXP(-(IF(OR(M197="",NOT(ISNUMBER(M197))),0,MAX(0,MIN(24,(INT(VALUE(F197)/100)-INT(M197/100))*12+MOD(VALUE(F197),100)-MOD(M197,100)))))/V8_LOCKOUT_TAU),1)</f>
        <v/>
      </c>
      <c r="AI197" s="8">
        <f>MAX(V8_BURN_FLOOR,1-V8_BURN_SLOPE*MIN(1,MAX(0,O197)))</f>
        <v/>
      </c>
      <c r="AJ197" s="15">
        <f>MIN(AA197*AF197*AG197*AH197*AI197,0.2)</f>
        <v/>
      </c>
      <c r="AK197" s="16">
        <f>1-(1-AJ197)^12</f>
        <v/>
      </c>
    </row>
    <row r="198">
      <c r="A198" s="2" t="inlineStr">
        <is>
          <t>000003111184</t>
        </is>
      </c>
      <c r="B198" t="inlineStr">
        <is>
          <t>223f</t>
        </is>
      </c>
      <c r="C198" t="inlineStr">
        <is>
          <t>RP</t>
        </is>
      </c>
      <c r="D198" t="inlineStr">
        <is>
          <t>DWIGHT CAPITAL LLC</t>
        </is>
      </c>
      <c r="E198" t="n">
        <v>2023</v>
      </c>
      <c r="F198" t="inlineStr">
        <is>
          <t>202602</t>
        </is>
      </c>
      <c r="G198" s="9" t="n">
        <v>8650633.77</v>
      </c>
      <c r="H198" s="13" t="n">
        <v>5.73</v>
      </c>
      <c r="I198" s="14" t="n">
        <v>447</v>
      </c>
      <c r="J198" s="14" t="n">
        <v>9</v>
      </c>
      <c r="K198" t="n">
        <v>30</v>
      </c>
      <c r="L198" t="n">
        <v>205809</v>
      </c>
      <c r="M198" t="inlineStr"/>
      <c r="N198" t="n">
        <v>13</v>
      </c>
      <c r="O198" s="8" t="n">
        <v>0.4333333333333333</v>
      </c>
      <c r="P198">
        <f>IF(ISNUMBER(SEARCH("232",B198)),"232",IF(ISNUMBER(SEARCH("538",B198)),"538",IF(ISNUMBER(SEARCH("223a7",B198)),"223a7",IF(ISNUMBER(SEARCH("223f",B198)),"223f","OTHER"))))</f>
        <v/>
      </c>
      <c r="Q198">
        <f>IF(UPPER(C198)="NC","NC","RP")</f>
        <v/>
      </c>
      <c r="R198">
        <f>IF(G198&lt;5000000,"small",IF(G198&lt;25000000,"medium","large"))</f>
        <v/>
      </c>
      <c r="S198">
        <f>IF(K198&lt;36,"young",IF(K198&lt;120,"seasoned","aged"))</f>
        <v/>
      </c>
      <c r="T198">
        <f>P198&amp;"|"&amp;Q198&amp;"|"&amp;R198&amp;"|"&amp;S198</f>
        <v/>
      </c>
      <c r="U198" s="14">
        <f>H198*100-I198</f>
        <v/>
      </c>
      <c r="V198" s="14">
        <f>U198-12.5*(J198+1)</f>
        <v/>
      </c>
      <c r="W198" s="15">
        <f>IFERROR(VLOOKUP(T198,V8_COHORT_TABLE,2,FALSE),IFERROR(VLOOKUP(P198&amp;"|"&amp;Q198&amp;"|ALL|"&amp;S198,V8_COHORT_TABLE,2,FALSE),IFERROR(VLOOKUP(P198&amp;"|ALL|ALL|"&amp;S198,V8_COHORT_TABLE,2,FALSE),IFERROR(VLOOKUP(P198&amp;"|ALL|ALL|ALL",V8_COHORT_TABLE,2,FALSE),VLOOKUP("GLOBAL",V8_COHORT_TABLE,2,FALSE)))))</f>
        <v/>
      </c>
      <c r="X198" s="15">
        <f>IFERROR(VLOOKUP(T198,V8_COHORT_TABLE,3,FALSE),IFERROR(VLOOKUP(P198&amp;"|"&amp;Q198&amp;"|ALL|"&amp;S198,V8_COHORT_TABLE,3,FALSE),IFERROR(VLOOKUP(P198&amp;"|ALL|ALL|"&amp;S198,V8_COHORT_TABLE,3,FALSE),IFERROR(VLOOKUP(P198&amp;"|ALL|ALL|ALL",V8_COHORT_TABLE,3,FALSE),VLOOKUP("GLOBAL",V8_COHORT_TABLE,3,FALSE)))))</f>
        <v/>
      </c>
      <c r="Y198" s="15">
        <f>IFERROR(VLOOKUP(T198,V8_COHORT_TABLE,4,FALSE),IFERROR(VLOOKUP(P198&amp;"|"&amp;Q198&amp;"|ALL|"&amp;S198,V8_COHORT_TABLE,4,FALSE),IFERROR(VLOOKUP(P198&amp;"|ALL|ALL|"&amp;S198,V8_COHORT_TABLE,4,FALSE),IFERROR(VLOOKUP(P198&amp;"|ALL|ALL|ALL",V8_COHORT_TABLE,4,FALSE),VLOOKUP("GLOBAL",V8_COHORT_TABLE,4,FALSE)))))</f>
        <v/>
      </c>
      <c r="Z198" s="15">
        <f>IFERROR(VLOOKUP(T198,V8_COHORT_TABLE,5,FALSE),IFERROR(VLOOKUP(P198&amp;"|"&amp;Q198&amp;"|ALL|"&amp;S198,V8_COHORT_TABLE,5,FALSE),IFERROR(VLOOKUP(P198&amp;"|ALL|ALL|"&amp;S198,V8_COHORT_TABLE,5,FALSE),IFERROR(VLOOKUP(P198&amp;"|ALL|ALL|ALL",V8_COHORT_TABLE,5,FALSE),VLOOKUP("GLOBAL",V8_COHORT_TABLE,5,FALSE)))))</f>
        <v/>
      </c>
      <c r="AA198" s="15">
        <f>W198+X198/(1+EXP(-(V198-Y198)/Z198))</f>
        <v/>
      </c>
      <c r="AB198" s="15">
        <f>IFERROR(VLOOKUP(T198,V8_COHORT_TABLE,6,FALSE),IFERROR(VLOOKUP(P198&amp;"|"&amp;Q198&amp;"|ALL|"&amp;S198,V8_COHORT_TABLE,6,FALSE),IFERROR(VLOOKUP(P198&amp;"|ALL|ALL|"&amp;S198,V8_COHORT_TABLE,6,FALSE),IFERROR(VLOOKUP(P198&amp;"|ALL|ALL|ALL",V8_COHORT_TABLE,6,FALSE),VLOOKUP("GLOBAL",V8_COHORT_TABLE,6,FALSE)))))</f>
        <v/>
      </c>
      <c r="AC198" s="15">
        <f>IFERROR(VLOOKUP(T198,V8_COHORT_TABLE,7,FALSE),IFERROR(VLOOKUP(P198&amp;"|"&amp;Q198&amp;"|ALL|"&amp;S198,V8_COHORT_TABLE,7,FALSE),IFERROR(VLOOKUP(P198&amp;"|ALL|ALL|"&amp;S198,V8_COHORT_TABLE,7,FALSE),IFERROR(VLOOKUP(P198&amp;"|ALL|ALL|ALL",V8_COHORT_TABLE,7,FALSE),VLOOKUP("GLOBAL",V8_COHORT_TABLE,7,FALSE)))))</f>
        <v/>
      </c>
      <c r="AD198" s="15">
        <f>IFERROR(VLOOKUP(T198,V8_COHORT_TABLE,8,FALSE),IFERROR(VLOOKUP(P198&amp;"|"&amp;Q198&amp;"|ALL|"&amp;S198,V8_COHORT_TABLE,8,FALSE),IFERROR(VLOOKUP(P198&amp;"|ALL|ALL|"&amp;S198,V8_COHORT_TABLE,8,FALSE),IFERROR(VLOOKUP(P198&amp;"|ALL|ALL|ALL",V8_COHORT_TABLE,8,FALSE),VLOOKUP("GLOBAL",V8_COHORT_TABLE,8,FALSE)))))</f>
        <v/>
      </c>
      <c r="AE198" s="15">
        <f>IFERROR(VLOOKUP(T198,V8_COHORT_TABLE,9,FALSE),IFERROR(VLOOKUP(P198&amp;"|"&amp;Q198&amp;"|ALL|"&amp;S198,V8_COHORT_TABLE,9,FALSE),IFERROR(VLOOKUP(P198&amp;"|ALL|ALL|"&amp;S198,V8_COHORT_TABLE,9,FALSE),IFERROR(VLOOKUP(P198&amp;"|ALL|ALL|ALL",V8_COHORT_TABLE,9,FALSE),VLOOKUP("GLOBAL",V8_COHORT_TABLE,9,FALSE)))))</f>
        <v/>
      </c>
      <c r="AF198" s="8">
        <f>IF(K198&lt;=0,AB198,IF(K198&gt;=240,AE198,IF(K198&lt;=24,AB198+(K198-0)/24*(AC198-AB198),IF(K198&lt;=96,AC198+(K198-24)/72*(AD198-AC198),AD198+(K198-96)/144*(AE198-AD198)))))</f>
        <v/>
      </c>
      <c r="AG198" s="8">
        <f>IF(IF(OR(L198="",NOT(ISNUMBER(L198))),360,MAX(0,MIN(480,(INT(L198/100)-INT(VALUE(F198)/100))*12+MOD(L198,100)-MOD(VALUE(F198),100))))&gt;0,1+V8_MTY_AMP*MAX(0,(V8_MTY_CUTOFF-(IF(OR(L198="",NOT(ISNUMBER(L198))),360,MAX(0,MIN(480,(INT(L198/100)-INT(VALUE(F198)/100))*12+MOD(L198,100)-MOD(VALUE(F198),100))))))/V8_MTY_CUTOFF),1)</f>
        <v/>
      </c>
      <c r="AH198" s="8">
        <f>IF(AND(IF(OR(M198="",NOT(ISNUMBER(M198))),0,MAX(0,MIN(24,(INT(VALUE(F198)/100)-INT(M198/100))*12+MOD(VALUE(F198),100)-MOD(M198,100))))&gt;0,IF(OR(M198="",NOT(ISNUMBER(M198))),0,MAX(0,MIN(24,(INT(VALUE(F198)/100)-INT(M198/100))*12+MOD(VALUE(F198),100)-MOD(M198,100))))&lt;=12),1+V8_LOCKOUT_AMP*EXP(-(IF(OR(M198="",NOT(ISNUMBER(M198))),0,MAX(0,MIN(24,(INT(VALUE(F198)/100)-INT(M198/100))*12+MOD(VALUE(F198),100)-MOD(M198,100)))))/V8_LOCKOUT_TAU),1)</f>
        <v/>
      </c>
      <c r="AI198" s="8">
        <f>MAX(V8_BURN_FLOOR,1-V8_BURN_SLOPE*MIN(1,MAX(0,O198)))</f>
        <v/>
      </c>
      <c r="AJ198" s="15">
        <f>MIN(AA198*AF198*AG198*AH198*AI198,0.2)</f>
        <v/>
      </c>
      <c r="AK198" s="16">
        <f>1-(1-AJ198)^12</f>
        <v/>
      </c>
    </row>
    <row r="199">
      <c r="A199" s="2" t="inlineStr">
        <is>
          <t>000008235469</t>
        </is>
      </c>
      <c r="B199" t="inlineStr">
        <is>
          <t>221d4</t>
        </is>
      </c>
      <c r="C199" t="inlineStr">
        <is>
          <t>RP</t>
        </is>
      </c>
      <c r="D199" t="inlineStr">
        <is>
          <t>DWIGHT CAPITAL LLC</t>
        </is>
      </c>
      <c r="E199" t="n">
        <v>2016</v>
      </c>
      <c r="F199" t="inlineStr">
        <is>
          <t>202602</t>
        </is>
      </c>
      <c r="G199" s="9" t="n">
        <v>5477997.66</v>
      </c>
      <c r="H199" s="13" t="n">
        <v>2.95</v>
      </c>
      <c r="I199" s="14" t="n">
        <v>447</v>
      </c>
      <c r="J199" s="14" t="n">
        <v>5</v>
      </c>
      <c r="K199" t="n">
        <v>116</v>
      </c>
      <c r="L199" t="n">
        <v>205607</v>
      </c>
      <c r="M199" t="inlineStr"/>
      <c r="N199" t="n">
        <v>1</v>
      </c>
      <c r="O199" s="8" t="n">
        <v>0.008620689655172414</v>
      </c>
      <c r="P199">
        <f>IF(ISNUMBER(SEARCH("232",B199)),"232",IF(ISNUMBER(SEARCH("538",B199)),"538",IF(ISNUMBER(SEARCH("223a7",B199)),"223a7",IF(ISNUMBER(SEARCH("223f",B199)),"223f","OTHER"))))</f>
        <v/>
      </c>
      <c r="Q199">
        <f>IF(UPPER(C199)="NC","NC","RP")</f>
        <v/>
      </c>
      <c r="R199">
        <f>IF(G199&lt;5000000,"small",IF(G199&lt;25000000,"medium","large"))</f>
        <v/>
      </c>
      <c r="S199">
        <f>IF(K199&lt;36,"young",IF(K199&lt;120,"seasoned","aged"))</f>
        <v/>
      </c>
      <c r="T199">
        <f>P199&amp;"|"&amp;Q199&amp;"|"&amp;R199&amp;"|"&amp;S199</f>
        <v/>
      </c>
      <c r="U199" s="14">
        <f>H199*100-I199</f>
        <v/>
      </c>
      <c r="V199" s="14">
        <f>U199-12.5*(J199+1)</f>
        <v/>
      </c>
      <c r="W199" s="15">
        <f>IFERROR(VLOOKUP(T199,V8_COHORT_TABLE,2,FALSE),IFERROR(VLOOKUP(P199&amp;"|"&amp;Q199&amp;"|ALL|"&amp;S199,V8_COHORT_TABLE,2,FALSE),IFERROR(VLOOKUP(P199&amp;"|ALL|ALL|"&amp;S199,V8_COHORT_TABLE,2,FALSE),IFERROR(VLOOKUP(P199&amp;"|ALL|ALL|ALL",V8_COHORT_TABLE,2,FALSE),VLOOKUP("GLOBAL",V8_COHORT_TABLE,2,FALSE)))))</f>
        <v/>
      </c>
      <c r="X199" s="15">
        <f>IFERROR(VLOOKUP(T199,V8_COHORT_TABLE,3,FALSE),IFERROR(VLOOKUP(P199&amp;"|"&amp;Q199&amp;"|ALL|"&amp;S199,V8_COHORT_TABLE,3,FALSE),IFERROR(VLOOKUP(P199&amp;"|ALL|ALL|"&amp;S199,V8_COHORT_TABLE,3,FALSE),IFERROR(VLOOKUP(P199&amp;"|ALL|ALL|ALL",V8_COHORT_TABLE,3,FALSE),VLOOKUP("GLOBAL",V8_COHORT_TABLE,3,FALSE)))))</f>
        <v/>
      </c>
      <c r="Y199" s="15">
        <f>IFERROR(VLOOKUP(T199,V8_COHORT_TABLE,4,FALSE),IFERROR(VLOOKUP(P199&amp;"|"&amp;Q199&amp;"|ALL|"&amp;S199,V8_COHORT_TABLE,4,FALSE),IFERROR(VLOOKUP(P199&amp;"|ALL|ALL|"&amp;S199,V8_COHORT_TABLE,4,FALSE),IFERROR(VLOOKUP(P199&amp;"|ALL|ALL|ALL",V8_COHORT_TABLE,4,FALSE),VLOOKUP("GLOBAL",V8_COHORT_TABLE,4,FALSE)))))</f>
        <v/>
      </c>
      <c r="Z199" s="15">
        <f>IFERROR(VLOOKUP(T199,V8_COHORT_TABLE,5,FALSE),IFERROR(VLOOKUP(P199&amp;"|"&amp;Q199&amp;"|ALL|"&amp;S199,V8_COHORT_TABLE,5,FALSE),IFERROR(VLOOKUP(P199&amp;"|ALL|ALL|"&amp;S199,V8_COHORT_TABLE,5,FALSE),IFERROR(VLOOKUP(P199&amp;"|ALL|ALL|ALL",V8_COHORT_TABLE,5,FALSE),VLOOKUP("GLOBAL",V8_COHORT_TABLE,5,FALSE)))))</f>
        <v/>
      </c>
      <c r="AA199" s="15">
        <f>W199+X199/(1+EXP(-(V199-Y199)/Z199))</f>
        <v/>
      </c>
      <c r="AB199" s="15">
        <f>IFERROR(VLOOKUP(T199,V8_COHORT_TABLE,6,FALSE),IFERROR(VLOOKUP(P199&amp;"|"&amp;Q199&amp;"|ALL|"&amp;S199,V8_COHORT_TABLE,6,FALSE),IFERROR(VLOOKUP(P199&amp;"|ALL|ALL|"&amp;S199,V8_COHORT_TABLE,6,FALSE),IFERROR(VLOOKUP(P199&amp;"|ALL|ALL|ALL",V8_COHORT_TABLE,6,FALSE),VLOOKUP("GLOBAL",V8_COHORT_TABLE,6,FALSE)))))</f>
        <v/>
      </c>
      <c r="AC199" s="15">
        <f>IFERROR(VLOOKUP(T199,V8_COHORT_TABLE,7,FALSE),IFERROR(VLOOKUP(P199&amp;"|"&amp;Q199&amp;"|ALL|"&amp;S199,V8_COHORT_TABLE,7,FALSE),IFERROR(VLOOKUP(P199&amp;"|ALL|ALL|"&amp;S199,V8_COHORT_TABLE,7,FALSE),IFERROR(VLOOKUP(P199&amp;"|ALL|ALL|ALL",V8_COHORT_TABLE,7,FALSE),VLOOKUP("GLOBAL",V8_COHORT_TABLE,7,FALSE)))))</f>
        <v/>
      </c>
      <c r="AD199" s="15">
        <f>IFERROR(VLOOKUP(T199,V8_COHORT_TABLE,8,FALSE),IFERROR(VLOOKUP(P199&amp;"|"&amp;Q199&amp;"|ALL|"&amp;S199,V8_COHORT_TABLE,8,FALSE),IFERROR(VLOOKUP(P199&amp;"|ALL|ALL|"&amp;S199,V8_COHORT_TABLE,8,FALSE),IFERROR(VLOOKUP(P199&amp;"|ALL|ALL|ALL",V8_COHORT_TABLE,8,FALSE),VLOOKUP("GLOBAL",V8_COHORT_TABLE,8,FALSE)))))</f>
        <v/>
      </c>
      <c r="AE199" s="15">
        <f>IFERROR(VLOOKUP(T199,V8_COHORT_TABLE,9,FALSE),IFERROR(VLOOKUP(P199&amp;"|"&amp;Q199&amp;"|ALL|"&amp;S199,V8_COHORT_TABLE,9,FALSE),IFERROR(VLOOKUP(P199&amp;"|ALL|ALL|"&amp;S199,V8_COHORT_TABLE,9,FALSE),IFERROR(VLOOKUP(P199&amp;"|ALL|ALL|ALL",V8_COHORT_TABLE,9,FALSE),VLOOKUP("GLOBAL",V8_COHORT_TABLE,9,FALSE)))))</f>
        <v/>
      </c>
      <c r="AF199" s="8">
        <f>IF(K199&lt;=0,AB199,IF(K199&gt;=240,AE199,IF(K199&lt;=24,AB199+(K199-0)/24*(AC199-AB199),IF(K199&lt;=96,AC199+(K199-24)/72*(AD199-AC199),AD199+(K199-96)/144*(AE199-AD199)))))</f>
        <v/>
      </c>
      <c r="AG199" s="8">
        <f>IF(IF(OR(L199="",NOT(ISNUMBER(L199))),360,MAX(0,MIN(480,(INT(L199/100)-INT(VALUE(F199)/100))*12+MOD(L199,100)-MOD(VALUE(F199),100))))&gt;0,1+V8_MTY_AMP*MAX(0,(V8_MTY_CUTOFF-(IF(OR(L199="",NOT(ISNUMBER(L199))),360,MAX(0,MIN(480,(INT(L199/100)-INT(VALUE(F199)/100))*12+MOD(L199,100)-MOD(VALUE(F199),100))))))/V8_MTY_CUTOFF),1)</f>
        <v/>
      </c>
      <c r="AH199" s="8">
        <f>IF(AND(IF(OR(M199="",NOT(ISNUMBER(M199))),0,MAX(0,MIN(24,(INT(VALUE(F199)/100)-INT(M199/100))*12+MOD(VALUE(F199),100)-MOD(M199,100))))&gt;0,IF(OR(M199="",NOT(ISNUMBER(M199))),0,MAX(0,MIN(24,(INT(VALUE(F199)/100)-INT(M199/100))*12+MOD(VALUE(F199),100)-MOD(M199,100))))&lt;=12),1+V8_LOCKOUT_AMP*EXP(-(IF(OR(M199="",NOT(ISNUMBER(M199))),0,MAX(0,MIN(24,(INT(VALUE(F199)/100)-INT(M199/100))*12+MOD(VALUE(F199),100)-MOD(M199,100)))))/V8_LOCKOUT_TAU),1)</f>
        <v/>
      </c>
      <c r="AI199" s="8">
        <f>MAX(V8_BURN_FLOOR,1-V8_BURN_SLOPE*MIN(1,MAX(0,O199)))</f>
        <v/>
      </c>
      <c r="AJ199" s="15">
        <f>MIN(AA199*AF199*AG199*AH199*AI199,0.2)</f>
        <v/>
      </c>
      <c r="AK199" s="16">
        <f>1-(1-AJ199)^12</f>
        <v/>
      </c>
    </row>
    <row r="200">
      <c r="A200" s="2" t="inlineStr">
        <is>
          <t>000008311211</t>
        </is>
      </c>
      <c r="B200" t="inlineStr">
        <is>
          <t>223f</t>
        </is>
      </c>
      <c r="C200" t="inlineStr">
        <is>
          <t>RP</t>
        </is>
      </c>
      <c r="D200" t="inlineStr">
        <is>
          <t>DWIGHT CAPITAL LLC</t>
        </is>
      </c>
      <c r="E200" t="n">
        <v>2020</v>
      </c>
      <c r="F200" t="inlineStr">
        <is>
          <t>202602</t>
        </is>
      </c>
      <c r="G200" s="9" t="n">
        <v>968359.23</v>
      </c>
      <c r="H200" s="13" t="n">
        <v>2.39</v>
      </c>
      <c r="I200" s="14" t="n">
        <v>447</v>
      </c>
      <c r="J200" s="14" t="n">
        <v>5</v>
      </c>
      <c r="K200" t="n">
        <v>62</v>
      </c>
      <c r="L200" t="n">
        <v>205601</v>
      </c>
      <c r="M200" t="inlineStr"/>
      <c r="N200" t="n">
        <v>0</v>
      </c>
      <c r="O200" s="8" t="n">
        <v>0</v>
      </c>
      <c r="P200">
        <f>IF(ISNUMBER(SEARCH("232",B200)),"232",IF(ISNUMBER(SEARCH("538",B200)),"538",IF(ISNUMBER(SEARCH("223a7",B200)),"223a7",IF(ISNUMBER(SEARCH("223f",B200)),"223f","OTHER"))))</f>
        <v/>
      </c>
      <c r="Q200">
        <f>IF(UPPER(C200)="NC","NC","RP")</f>
        <v/>
      </c>
      <c r="R200">
        <f>IF(G200&lt;5000000,"small",IF(G200&lt;25000000,"medium","large"))</f>
        <v/>
      </c>
      <c r="S200">
        <f>IF(K200&lt;36,"young",IF(K200&lt;120,"seasoned","aged"))</f>
        <v/>
      </c>
      <c r="T200">
        <f>P200&amp;"|"&amp;Q200&amp;"|"&amp;R200&amp;"|"&amp;S200</f>
        <v/>
      </c>
      <c r="U200" s="14">
        <f>H200*100-I200</f>
        <v/>
      </c>
      <c r="V200" s="14">
        <f>U200-12.5*(J200+1)</f>
        <v/>
      </c>
      <c r="W200" s="15">
        <f>IFERROR(VLOOKUP(T200,V8_COHORT_TABLE,2,FALSE),IFERROR(VLOOKUP(P200&amp;"|"&amp;Q200&amp;"|ALL|"&amp;S200,V8_COHORT_TABLE,2,FALSE),IFERROR(VLOOKUP(P200&amp;"|ALL|ALL|"&amp;S200,V8_COHORT_TABLE,2,FALSE),IFERROR(VLOOKUP(P200&amp;"|ALL|ALL|ALL",V8_COHORT_TABLE,2,FALSE),VLOOKUP("GLOBAL",V8_COHORT_TABLE,2,FALSE)))))</f>
        <v/>
      </c>
      <c r="X200" s="15">
        <f>IFERROR(VLOOKUP(T200,V8_COHORT_TABLE,3,FALSE),IFERROR(VLOOKUP(P200&amp;"|"&amp;Q200&amp;"|ALL|"&amp;S200,V8_COHORT_TABLE,3,FALSE),IFERROR(VLOOKUP(P200&amp;"|ALL|ALL|"&amp;S200,V8_COHORT_TABLE,3,FALSE),IFERROR(VLOOKUP(P200&amp;"|ALL|ALL|ALL",V8_COHORT_TABLE,3,FALSE),VLOOKUP("GLOBAL",V8_COHORT_TABLE,3,FALSE)))))</f>
        <v/>
      </c>
      <c r="Y200" s="15">
        <f>IFERROR(VLOOKUP(T200,V8_COHORT_TABLE,4,FALSE),IFERROR(VLOOKUP(P200&amp;"|"&amp;Q200&amp;"|ALL|"&amp;S200,V8_COHORT_TABLE,4,FALSE),IFERROR(VLOOKUP(P200&amp;"|ALL|ALL|"&amp;S200,V8_COHORT_TABLE,4,FALSE),IFERROR(VLOOKUP(P200&amp;"|ALL|ALL|ALL",V8_COHORT_TABLE,4,FALSE),VLOOKUP("GLOBAL",V8_COHORT_TABLE,4,FALSE)))))</f>
        <v/>
      </c>
      <c r="Z200" s="15">
        <f>IFERROR(VLOOKUP(T200,V8_COHORT_TABLE,5,FALSE),IFERROR(VLOOKUP(P200&amp;"|"&amp;Q200&amp;"|ALL|"&amp;S200,V8_COHORT_TABLE,5,FALSE),IFERROR(VLOOKUP(P200&amp;"|ALL|ALL|"&amp;S200,V8_COHORT_TABLE,5,FALSE),IFERROR(VLOOKUP(P200&amp;"|ALL|ALL|ALL",V8_COHORT_TABLE,5,FALSE),VLOOKUP("GLOBAL",V8_COHORT_TABLE,5,FALSE)))))</f>
        <v/>
      </c>
      <c r="AA200" s="15">
        <f>W200+X200/(1+EXP(-(V200-Y200)/Z200))</f>
        <v/>
      </c>
      <c r="AB200" s="15">
        <f>IFERROR(VLOOKUP(T200,V8_COHORT_TABLE,6,FALSE),IFERROR(VLOOKUP(P200&amp;"|"&amp;Q200&amp;"|ALL|"&amp;S200,V8_COHORT_TABLE,6,FALSE),IFERROR(VLOOKUP(P200&amp;"|ALL|ALL|"&amp;S200,V8_COHORT_TABLE,6,FALSE),IFERROR(VLOOKUP(P200&amp;"|ALL|ALL|ALL",V8_COHORT_TABLE,6,FALSE),VLOOKUP("GLOBAL",V8_COHORT_TABLE,6,FALSE)))))</f>
        <v/>
      </c>
      <c r="AC200" s="15">
        <f>IFERROR(VLOOKUP(T200,V8_COHORT_TABLE,7,FALSE),IFERROR(VLOOKUP(P200&amp;"|"&amp;Q200&amp;"|ALL|"&amp;S200,V8_COHORT_TABLE,7,FALSE),IFERROR(VLOOKUP(P200&amp;"|ALL|ALL|"&amp;S200,V8_COHORT_TABLE,7,FALSE),IFERROR(VLOOKUP(P200&amp;"|ALL|ALL|ALL",V8_COHORT_TABLE,7,FALSE),VLOOKUP("GLOBAL",V8_COHORT_TABLE,7,FALSE)))))</f>
        <v/>
      </c>
      <c r="AD200" s="15">
        <f>IFERROR(VLOOKUP(T200,V8_COHORT_TABLE,8,FALSE),IFERROR(VLOOKUP(P200&amp;"|"&amp;Q200&amp;"|ALL|"&amp;S200,V8_COHORT_TABLE,8,FALSE),IFERROR(VLOOKUP(P200&amp;"|ALL|ALL|"&amp;S200,V8_COHORT_TABLE,8,FALSE),IFERROR(VLOOKUP(P200&amp;"|ALL|ALL|ALL",V8_COHORT_TABLE,8,FALSE),VLOOKUP("GLOBAL",V8_COHORT_TABLE,8,FALSE)))))</f>
        <v/>
      </c>
      <c r="AE200" s="15">
        <f>IFERROR(VLOOKUP(T200,V8_COHORT_TABLE,9,FALSE),IFERROR(VLOOKUP(P200&amp;"|"&amp;Q200&amp;"|ALL|"&amp;S200,V8_COHORT_TABLE,9,FALSE),IFERROR(VLOOKUP(P200&amp;"|ALL|ALL|"&amp;S200,V8_COHORT_TABLE,9,FALSE),IFERROR(VLOOKUP(P200&amp;"|ALL|ALL|ALL",V8_COHORT_TABLE,9,FALSE),VLOOKUP("GLOBAL",V8_COHORT_TABLE,9,FALSE)))))</f>
        <v/>
      </c>
      <c r="AF200" s="8">
        <f>IF(K200&lt;=0,AB200,IF(K200&gt;=240,AE200,IF(K200&lt;=24,AB200+(K200-0)/24*(AC200-AB200),IF(K200&lt;=96,AC200+(K200-24)/72*(AD200-AC200),AD200+(K200-96)/144*(AE200-AD200)))))</f>
        <v/>
      </c>
      <c r="AG200" s="8">
        <f>IF(IF(OR(L200="",NOT(ISNUMBER(L200))),360,MAX(0,MIN(480,(INT(L200/100)-INT(VALUE(F200)/100))*12+MOD(L200,100)-MOD(VALUE(F200),100))))&gt;0,1+V8_MTY_AMP*MAX(0,(V8_MTY_CUTOFF-(IF(OR(L200="",NOT(ISNUMBER(L200))),360,MAX(0,MIN(480,(INT(L200/100)-INT(VALUE(F200)/100))*12+MOD(L200,100)-MOD(VALUE(F200),100))))))/V8_MTY_CUTOFF),1)</f>
        <v/>
      </c>
      <c r="AH200" s="8">
        <f>IF(AND(IF(OR(M200="",NOT(ISNUMBER(M200))),0,MAX(0,MIN(24,(INT(VALUE(F200)/100)-INT(M200/100))*12+MOD(VALUE(F200),100)-MOD(M200,100))))&gt;0,IF(OR(M200="",NOT(ISNUMBER(M200))),0,MAX(0,MIN(24,(INT(VALUE(F200)/100)-INT(M200/100))*12+MOD(VALUE(F200),100)-MOD(M200,100))))&lt;=12),1+V8_LOCKOUT_AMP*EXP(-(IF(OR(M200="",NOT(ISNUMBER(M200))),0,MAX(0,MIN(24,(INT(VALUE(F200)/100)-INT(M200/100))*12+MOD(VALUE(F200),100)-MOD(M200,100)))))/V8_LOCKOUT_TAU),1)</f>
        <v/>
      </c>
      <c r="AI200" s="8">
        <f>MAX(V8_BURN_FLOOR,1-V8_BURN_SLOPE*MIN(1,MAX(0,O200)))</f>
        <v/>
      </c>
      <c r="AJ200" s="15">
        <f>MIN(AA200*AF200*AG200*AH200*AI200,0.2)</f>
        <v/>
      </c>
      <c r="AK200" s="16">
        <f>1-(1-AJ200)^12</f>
        <v/>
      </c>
    </row>
    <row r="201">
      <c r="A201" s="2" t="inlineStr">
        <is>
          <t>000007522256</t>
        </is>
      </c>
      <c r="B201" t="inlineStr">
        <is>
          <t>232</t>
        </is>
      </c>
      <c r="C201" t="inlineStr">
        <is>
          <t>RP</t>
        </is>
      </c>
      <c r="D201" t="inlineStr">
        <is>
          <t>DWIGHT CAPITAL LLC</t>
        </is>
      </c>
      <c r="E201" t="n">
        <v>2023</v>
      </c>
      <c r="F201" t="inlineStr">
        <is>
          <t>202602</t>
        </is>
      </c>
      <c r="G201" s="9" t="n">
        <v>9048849.869999999</v>
      </c>
      <c r="H201" s="13" t="n">
        <v>5.81</v>
      </c>
      <c r="I201" s="14" t="n">
        <v>447</v>
      </c>
      <c r="J201" s="14" t="n">
        <v>9</v>
      </c>
      <c r="K201" t="n">
        <v>31</v>
      </c>
      <c r="L201" t="n">
        <v>205308</v>
      </c>
      <c r="M201" t="inlineStr"/>
      <c r="N201" t="n">
        <v>12</v>
      </c>
      <c r="O201" s="8" t="n">
        <v>0.3870967741935484</v>
      </c>
      <c r="P201">
        <f>IF(ISNUMBER(SEARCH("232",B201)),"232",IF(ISNUMBER(SEARCH("538",B201)),"538",IF(ISNUMBER(SEARCH("223a7",B201)),"223a7",IF(ISNUMBER(SEARCH("223f",B201)),"223f","OTHER"))))</f>
        <v/>
      </c>
      <c r="Q201">
        <f>IF(UPPER(C201)="NC","NC","RP")</f>
        <v/>
      </c>
      <c r="R201">
        <f>IF(G201&lt;5000000,"small",IF(G201&lt;25000000,"medium","large"))</f>
        <v/>
      </c>
      <c r="S201">
        <f>IF(K201&lt;36,"young",IF(K201&lt;120,"seasoned","aged"))</f>
        <v/>
      </c>
      <c r="T201">
        <f>P201&amp;"|"&amp;Q201&amp;"|"&amp;R201&amp;"|"&amp;S201</f>
        <v/>
      </c>
      <c r="U201" s="14">
        <f>H201*100-I201</f>
        <v/>
      </c>
      <c r="V201" s="14">
        <f>U201-12.5*(J201+1)</f>
        <v/>
      </c>
      <c r="W201" s="15">
        <f>IFERROR(VLOOKUP(T201,V8_COHORT_TABLE,2,FALSE),IFERROR(VLOOKUP(P201&amp;"|"&amp;Q201&amp;"|ALL|"&amp;S201,V8_COHORT_TABLE,2,FALSE),IFERROR(VLOOKUP(P201&amp;"|ALL|ALL|"&amp;S201,V8_COHORT_TABLE,2,FALSE),IFERROR(VLOOKUP(P201&amp;"|ALL|ALL|ALL",V8_COHORT_TABLE,2,FALSE),VLOOKUP("GLOBAL",V8_COHORT_TABLE,2,FALSE)))))</f>
        <v/>
      </c>
      <c r="X201" s="15">
        <f>IFERROR(VLOOKUP(T201,V8_COHORT_TABLE,3,FALSE),IFERROR(VLOOKUP(P201&amp;"|"&amp;Q201&amp;"|ALL|"&amp;S201,V8_COHORT_TABLE,3,FALSE),IFERROR(VLOOKUP(P201&amp;"|ALL|ALL|"&amp;S201,V8_COHORT_TABLE,3,FALSE),IFERROR(VLOOKUP(P201&amp;"|ALL|ALL|ALL",V8_COHORT_TABLE,3,FALSE),VLOOKUP("GLOBAL",V8_COHORT_TABLE,3,FALSE)))))</f>
        <v/>
      </c>
      <c r="Y201" s="15">
        <f>IFERROR(VLOOKUP(T201,V8_COHORT_TABLE,4,FALSE),IFERROR(VLOOKUP(P201&amp;"|"&amp;Q201&amp;"|ALL|"&amp;S201,V8_COHORT_TABLE,4,FALSE),IFERROR(VLOOKUP(P201&amp;"|ALL|ALL|"&amp;S201,V8_COHORT_TABLE,4,FALSE),IFERROR(VLOOKUP(P201&amp;"|ALL|ALL|ALL",V8_COHORT_TABLE,4,FALSE),VLOOKUP("GLOBAL",V8_COHORT_TABLE,4,FALSE)))))</f>
        <v/>
      </c>
      <c r="Z201" s="15">
        <f>IFERROR(VLOOKUP(T201,V8_COHORT_TABLE,5,FALSE),IFERROR(VLOOKUP(P201&amp;"|"&amp;Q201&amp;"|ALL|"&amp;S201,V8_COHORT_TABLE,5,FALSE),IFERROR(VLOOKUP(P201&amp;"|ALL|ALL|"&amp;S201,V8_COHORT_TABLE,5,FALSE),IFERROR(VLOOKUP(P201&amp;"|ALL|ALL|ALL",V8_COHORT_TABLE,5,FALSE),VLOOKUP("GLOBAL",V8_COHORT_TABLE,5,FALSE)))))</f>
        <v/>
      </c>
      <c r="AA201" s="15">
        <f>W201+X201/(1+EXP(-(V201-Y201)/Z201))</f>
        <v/>
      </c>
      <c r="AB201" s="15">
        <f>IFERROR(VLOOKUP(T201,V8_COHORT_TABLE,6,FALSE),IFERROR(VLOOKUP(P201&amp;"|"&amp;Q201&amp;"|ALL|"&amp;S201,V8_COHORT_TABLE,6,FALSE),IFERROR(VLOOKUP(P201&amp;"|ALL|ALL|"&amp;S201,V8_COHORT_TABLE,6,FALSE),IFERROR(VLOOKUP(P201&amp;"|ALL|ALL|ALL",V8_COHORT_TABLE,6,FALSE),VLOOKUP("GLOBAL",V8_COHORT_TABLE,6,FALSE)))))</f>
        <v/>
      </c>
      <c r="AC201" s="15">
        <f>IFERROR(VLOOKUP(T201,V8_COHORT_TABLE,7,FALSE),IFERROR(VLOOKUP(P201&amp;"|"&amp;Q201&amp;"|ALL|"&amp;S201,V8_COHORT_TABLE,7,FALSE),IFERROR(VLOOKUP(P201&amp;"|ALL|ALL|"&amp;S201,V8_COHORT_TABLE,7,FALSE),IFERROR(VLOOKUP(P201&amp;"|ALL|ALL|ALL",V8_COHORT_TABLE,7,FALSE),VLOOKUP("GLOBAL",V8_COHORT_TABLE,7,FALSE)))))</f>
        <v/>
      </c>
      <c r="AD201" s="15">
        <f>IFERROR(VLOOKUP(T201,V8_COHORT_TABLE,8,FALSE),IFERROR(VLOOKUP(P201&amp;"|"&amp;Q201&amp;"|ALL|"&amp;S201,V8_COHORT_TABLE,8,FALSE),IFERROR(VLOOKUP(P201&amp;"|ALL|ALL|"&amp;S201,V8_COHORT_TABLE,8,FALSE),IFERROR(VLOOKUP(P201&amp;"|ALL|ALL|ALL",V8_COHORT_TABLE,8,FALSE),VLOOKUP("GLOBAL",V8_COHORT_TABLE,8,FALSE)))))</f>
        <v/>
      </c>
      <c r="AE201" s="15">
        <f>IFERROR(VLOOKUP(T201,V8_COHORT_TABLE,9,FALSE),IFERROR(VLOOKUP(P201&amp;"|"&amp;Q201&amp;"|ALL|"&amp;S201,V8_COHORT_TABLE,9,FALSE),IFERROR(VLOOKUP(P201&amp;"|ALL|ALL|"&amp;S201,V8_COHORT_TABLE,9,FALSE),IFERROR(VLOOKUP(P201&amp;"|ALL|ALL|ALL",V8_COHORT_TABLE,9,FALSE),VLOOKUP("GLOBAL",V8_COHORT_TABLE,9,FALSE)))))</f>
        <v/>
      </c>
      <c r="AF201" s="8">
        <f>IF(K201&lt;=0,AB201,IF(K201&gt;=240,AE201,IF(K201&lt;=24,AB201+(K201-0)/24*(AC201-AB201),IF(K201&lt;=96,AC201+(K201-24)/72*(AD201-AC201),AD201+(K201-96)/144*(AE201-AD201)))))</f>
        <v/>
      </c>
      <c r="AG201" s="8">
        <f>IF(IF(OR(L201="",NOT(ISNUMBER(L201))),360,MAX(0,MIN(480,(INT(L201/100)-INT(VALUE(F201)/100))*12+MOD(L201,100)-MOD(VALUE(F201),100))))&gt;0,1+V8_MTY_AMP*MAX(0,(V8_MTY_CUTOFF-(IF(OR(L201="",NOT(ISNUMBER(L201))),360,MAX(0,MIN(480,(INT(L201/100)-INT(VALUE(F201)/100))*12+MOD(L201,100)-MOD(VALUE(F201),100))))))/V8_MTY_CUTOFF),1)</f>
        <v/>
      </c>
      <c r="AH201" s="8">
        <f>IF(AND(IF(OR(M201="",NOT(ISNUMBER(M201))),0,MAX(0,MIN(24,(INT(VALUE(F201)/100)-INT(M201/100))*12+MOD(VALUE(F201),100)-MOD(M201,100))))&gt;0,IF(OR(M201="",NOT(ISNUMBER(M201))),0,MAX(0,MIN(24,(INT(VALUE(F201)/100)-INT(M201/100))*12+MOD(VALUE(F201),100)-MOD(M201,100))))&lt;=12),1+V8_LOCKOUT_AMP*EXP(-(IF(OR(M201="",NOT(ISNUMBER(M201))),0,MAX(0,MIN(24,(INT(VALUE(F201)/100)-INT(M201/100))*12+MOD(VALUE(F201),100)-MOD(M201,100)))))/V8_LOCKOUT_TAU),1)</f>
        <v/>
      </c>
      <c r="AI201" s="8">
        <f>MAX(V8_BURN_FLOOR,1-V8_BURN_SLOPE*MIN(1,MAX(0,O201)))</f>
        <v/>
      </c>
      <c r="AJ201" s="15">
        <f>MIN(AA201*AF201*AG201*AH201*AI201,0.2)</f>
        <v/>
      </c>
      <c r="AK201" s="16">
        <f>1-(1-AJ201)^12</f>
        <v/>
      </c>
    </row>
    <row r="202">
      <c r="A202" s="2" t="inlineStr">
        <is>
          <t>000007522267</t>
        </is>
      </c>
      <c r="B202" t="inlineStr">
        <is>
          <t>232</t>
        </is>
      </c>
      <c r="C202" t="inlineStr">
        <is>
          <t>RP</t>
        </is>
      </c>
      <c r="D202" t="inlineStr">
        <is>
          <t>DWIGHT CAPITAL LLC</t>
        </is>
      </c>
      <c r="E202" t="n">
        <v>2024</v>
      </c>
      <c r="F202" t="inlineStr">
        <is>
          <t>202602</t>
        </is>
      </c>
      <c r="G202" s="9" t="n">
        <v>6134382.85</v>
      </c>
      <c r="H202" s="13" t="n">
        <v>6.24</v>
      </c>
      <c r="I202" s="14" t="n">
        <v>447</v>
      </c>
      <c r="J202" s="14" t="n">
        <v>10</v>
      </c>
      <c r="K202" t="n">
        <v>18</v>
      </c>
      <c r="L202" t="n">
        <v>205909</v>
      </c>
      <c r="M202" t="inlineStr"/>
      <c r="N202" t="n">
        <v>18</v>
      </c>
      <c r="O202" s="8" t="n">
        <v>1</v>
      </c>
      <c r="P202">
        <f>IF(ISNUMBER(SEARCH("232",B202)),"232",IF(ISNUMBER(SEARCH("538",B202)),"538",IF(ISNUMBER(SEARCH("223a7",B202)),"223a7",IF(ISNUMBER(SEARCH("223f",B202)),"223f","OTHER"))))</f>
        <v/>
      </c>
      <c r="Q202">
        <f>IF(UPPER(C202)="NC","NC","RP")</f>
        <v/>
      </c>
      <c r="R202">
        <f>IF(G202&lt;5000000,"small",IF(G202&lt;25000000,"medium","large"))</f>
        <v/>
      </c>
      <c r="S202">
        <f>IF(K202&lt;36,"young",IF(K202&lt;120,"seasoned","aged"))</f>
        <v/>
      </c>
      <c r="T202">
        <f>P202&amp;"|"&amp;Q202&amp;"|"&amp;R202&amp;"|"&amp;S202</f>
        <v/>
      </c>
      <c r="U202" s="14">
        <f>H202*100-I202</f>
        <v/>
      </c>
      <c r="V202" s="14">
        <f>U202-12.5*(J202+1)</f>
        <v/>
      </c>
      <c r="W202" s="15">
        <f>IFERROR(VLOOKUP(T202,V8_COHORT_TABLE,2,FALSE),IFERROR(VLOOKUP(P202&amp;"|"&amp;Q202&amp;"|ALL|"&amp;S202,V8_COHORT_TABLE,2,FALSE),IFERROR(VLOOKUP(P202&amp;"|ALL|ALL|"&amp;S202,V8_COHORT_TABLE,2,FALSE),IFERROR(VLOOKUP(P202&amp;"|ALL|ALL|ALL",V8_COHORT_TABLE,2,FALSE),VLOOKUP("GLOBAL",V8_COHORT_TABLE,2,FALSE)))))</f>
        <v/>
      </c>
      <c r="X202" s="15">
        <f>IFERROR(VLOOKUP(T202,V8_COHORT_TABLE,3,FALSE),IFERROR(VLOOKUP(P202&amp;"|"&amp;Q202&amp;"|ALL|"&amp;S202,V8_COHORT_TABLE,3,FALSE),IFERROR(VLOOKUP(P202&amp;"|ALL|ALL|"&amp;S202,V8_COHORT_TABLE,3,FALSE),IFERROR(VLOOKUP(P202&amp;"|ALL|ALL|ALL",V8_COHORT_TABLE,3,FALSE),VLOOKUP("GLOBAL",V8_COHORT_TABLE,3,FALSE)))))</f>
        <v/>
      </c>
      <c r="Y202" s="15">
        <f>IFERROR(VLOOKUP(T202,V8_COHORT_TABLE,4,FALSE),IFERROR(VLOOKUP(P202&amp;"|"&amp;Q202&amp;"|ALL|"&amp;S202,V8_COHORT_TABLE,4,FALSE),IFERROR(VLOOKUP(P202&amp;"|ALL|ALL|"&amp;S202,V8_COHORT_TABLE,4,FALSE),IFERROR(VLOOKUP(P202&amp;"|ALL|ALL|ALL",V8_COHORT_TABLE,4,FALSE),VLOOKUP("GLOBAL",V8_COHORT_TABLE,4,FALSE)))))</f>
        <v/>
      </c>
      <c r="Z202" s="15">
        <f>IFERROR(VLOOKUP(T202,V8_COHORT_TABLE,5,FALSE),IFERROR(VLOOKUP(P202&amp;"|"&amp;Q202&amp;"|ALL|"&amp;S202,V8_COHORT_TABLE,5,FALSE),IFERROR(VLOOKUP(P202&amp;"|ALL|ALL|"&amp;S202,V8_COHORT_TABLE,5,FALSE),IFERROR(VLOOKUP(P202&amp;"|ALL|ALL|ALL",V8_COHORT_TABLE,5,FALSE),VLOOKUP("GLOBAL",V8_COHORT_TABLE,5,FALSE)))))</f>
        <v/>
      </c>
      <c r="AA202" s="15">
        <f>W202+X202/(1+EXP(-(V202-Y202)/Z202))</f>
        <v/>
      </c>
      <c r="AB202" s="15">
        <f>IFERROR(VLOOKUP(T202,V8_COHORT_TABLE,6,FALSE),IFERROR(VLOOKUP(P202&amp;"|"&amp;Q202&amp;"|ALL|"&amp;S202,V8_COHORT_TABLE,6,FALSE),IFERROR(VLOOKUP(P202&amp;"|ALL|ALL|"&amp;S202,V8_COHORT_TABLE,6,FALSE),IFERROR(VLOOKUP(P202&amp;"|ALL|ALL|ALL",V8_COHORT_TABLE,6,FALSE),VLOOKUP("GLOBAL",V8_COHORT_TABLE,6,FALSE)))))</f>
        <v/>
      </c>
      <c r="AC202" s="15">
        <f>IFERROR(VLOOKUP(T202,V8_COHORT_TABLE,7,FALSE),IFERROR(VLOOKUP(P202&amp;"|"&amp;Q202&amp;"|ALL|"&amp;S202,V8_COHORT_TABLE,7,FALSE),IFERROR(VLOOKUP(P202&amp;"|ALL|ALL|"&amp;S202,V8_COHORT_TABLE,7,FALSE),IFERROR(VLOOKUP(P202&amp;"|ALL|ALL|ALL",V8_COHORT_TABLE,7,FALSE),VLOOKUP("GLOBAL",V8_COHORT_TABLE,7,FALSE)))))</f>
        <v/>
      </c>
      <c r="AD202" s="15">
        <f>IFERROR(VLOOKUP(T202,V8_COHORT_TABLE,8,FALSE),IFERROR(VLOOKUP(P202&amp;"|"&amp;Q202&amp;"|ALL|"&amp;S202,V8_COHORT_TABLE,8,FALSE),IFERROR(VLOOKUP(P202&amp;"|ALL|ALL|"&amp;S202,V8_COHORT_TABLE,8,FALSE),IFERROR(VLOOKUP(P202&amp;"|ALL|ALL|ALL",V8_COHORT_TABLE,8,FALSE),VLOOKUP("GLOBAL",V8_COHORT_TABLE,8,FALSE)))))</f>
        <v/>
      </c>
      <c r="AE202" s="15">
        <f>IFERROR(VLOOKUP(T202,V8_COHORT_TABLE,9,FALSE),IFERROR(VLOOKUP(P202&amp;"|"&amp;Q202&amp;"|ALL|"&amp;S202,V8_COHORT_TABLE,9,FALSE),IFERROR(VLOOKUP(P202&amp;"|ALL|ALL|"&amp;S202,V8_COHORT_TABLE,9,FALSE),IFERROR(VLOOKUP(P202&amp;"|ALL|ALL|ALL",V8_COHORT_TABLE,9,FALSE),VLOOKUP("GLOBAL",V8_COHORT_TABLE,9,FALSE)))))</f>
        <v/>
      </c>
      <c r="AF202" s="8">
        <f>IF(K202&lt;=0,AB202,IF(K202&gt;=240,AE202,IF(K202&lt;=24,AB202+(K202-0)/24*(AC202-AB202),IF(K202&lt;=96,AC202+(K202-24)/72*(AD202-AC202),AD202+(K202-96)/144*(AE202-AD202)))))</f>
        <v/>
      </c>
      <c r="AG202" s="8">
        <f>IF(IF(OR(L202="",NOT(ISNUMBER(L202))),360,MAX(0,MIN(480,(INT(L202/100)-INT(VALUE(F202)/100))*12+MOD(L202,100)-MOD(VALUE(F202),100))))&gt;0,1+V8_MTY_AMP*MAX(0,(V8_MTY_CUTOFF-(IF(OR(L202="",NOT(ISNUMBER(L202))),360,MAX(0,MIN(480,(INT(L202/100)-INT(VALUE(F202)/100))*12+MOD(L202,100)-MOD(VALUE(F202),100))))))/V8_MTY_CUTOFF),1)</f>
        <v/>
      </c>
      <c r="AH202" s="8">
        <f>IF(AND(IF(OR(M202="",NOT(ISNUMBER(M202))),0,MAX(0,MIN(24,(INT(VALUE(F202)/100)-INT(M202/100))*12+MOD(VALUE(F202),100)-MOD(M202,100))))&gt;0,IF(OR(M202="",NOT(ISNUMBER(M202))),0,MAX(0,MIN(24,(INT(VALUE(F202)/100)-INT(M202/100))*12+MOD(VALUE(F202),100)-MOD(M202,100))))&lt;=12),1+V8_LOCKOUT_AMP*EXP(-(IF(OR(M202="",NOT(ISNUMBER(M202))),0,MAX(0,MIN(24,(INT(VALUE(F202)/100)-INT(M202/100))*12+MOD(VALUE(F202),100)-MOD(M202,100)))))/V8_LOCKOUT_TAU),1)</f>
        <v/>
      </c>
      <c r="AI202" s="8">
        <f>MAX(V8_BURN_FLOOR,1-V8_BURN_SLOPE*MIN(1,MAX(0,O202)))</f>
        <v/>
      </c>
      <c r="AJ202" s="15">
        <f>MIN(AA202*AF202*AG202*AH202*AI202,0.2)</f>
        <v/>
      </c>
      <c r="AK202" s="16">
        <f>1-(1-AJ202)^12</f>
        <v/>
      </c>
    </row>
    <row r="203">
      <c r="A203" s="2" t="inlineStr">
        <is>
          <t>000013611110</t>
        </is>
      </c>
      <c r="B203" t="inlineStr">
        <is>
          <t>223a7</t>
        </is>
      </c>
      <c r="C203" t="inlineStr">
        <is>
          <t>RP</t>
        </is>
      </c>
      <c r="D203" t="inlineStr">
        <is>
          <t>DWIGHT CAPITAL LLC</t>
        </is>
      </c>
      <c r="E203" t="n">
        <v>2020</v>
      </c>
      <c r="F203" t="inlineStr">
        <is>
          <t>202602</t>
        </is>
      </c>
      <c r="G203" s="9" t="n">
        <v>17026960.32</v>
      </c>
      <c r="H203" s="13" t="n">
        <v>3.37</v>
      </c>
      <c r="I203" s="14" t="n">
        <v>447</v>
      </c>
      <c r="J203" s="14" t="n">
        <v>6</v>
      </c>
      <c r="K203" t="n">
        <v>64</v>
      </c>
      <c r="L203" t="n">
        <v>205511</v>
      </c>
      <c r="M203" t="n">
        <v>202112</v>
      </c>
      <c r="N203" t="n">
        <v>14</v>
      </c>
      <c r="O203" s="8" t="n">
        <v>0.21875</v>
      </c>
      <c r="P203">
        <f>IF(ISNUMBER(SEARCH("232",B203)),"232",IF(ISNUMBER(SEARCH("538",B203)),"538",IF(ISNUMBER(SEARCH("223a7",B203)),"223a7",IF(ISNUMBER(SEARCH("223f",B203)),"223f","OTHER"))))</f>
        <v/>
      </c>
      <c r="Q203">
        <f>IF(UPPER(C203)="NC","NC","RP")</f>
        <v/>
      </c>
      <c r="R203">
        <f>IF(G203&lt;5000000,"small",IF(G203&lt;25000000,"medium","large"))</f>
        <v/>
      </c>
      <c r="S203">
        <f>IF(K203&lt;36,"young",IF(K203&lt;120,"seasoned","aged"))</f>
        <v/>
      </c>
      <c r="T203">
        <f>P203&amp;"|"&amp;Q203&amp;"|"&amp;R203&amp;"|"&amp;S203</f>
        <v/>
      </c>
      <c r="U203" s="14">
        <f>H203*100-I203</f>
        <v/>
      </c>
      <c r="V203" s="14">
        <f>U203-12.5*(J203+1)</f>
        <v/>
      </c>
      <c r="W203" s="15">
        <f>IFERROR(VLOOKUP(T203,V8_COHORT_TABLE,2,FALSE),IFERROR(VLOOKUP(P203&amp;"|"&amp;Q203&amp;"|ALL|"&amp;S203,V8_COHORT_TABLE,2,FALSE),IFERROR(VLOOKUP(P203&amp;"|ALL|ALL|"&amp;S203,V8_COHORT_TABLE,2,FALSE),IFERROR(VLOOKUP(P203&amp;"|ALL|ALL|ALL",V8_COHORT_TABLE,2,FALSE),VLOOKUP("GLOBAL",V8_COHORT_TABLE,2,FALSE)))))</f>
        <v/>
      </c>
      <c r="X203" s="15">
        <f>IFERROR(VLOOKUP(T203,V8_COHORT_TABLE,3,FALSE),IFERROR(VLOOKUP(P203&amp;"|"&amp;Q203&amp;"|ALL|"&amp;S203,V8_COHORT_TABLE,3,FALSE),IFERROR(VLOOKUP(P203&amp;"|ALL|ALL|"&amp;S203,V8_COHORT_TABLE,3,FALSE),IFERROR(VLOOKUP(P203&amp;"|ALL|ALL|ALL",V8_COHORT_TABLE,3,FALSE),VLOOKUP("GLOBAL",V8_COHORT_TABLE,3,FALSE)))))</f>
        <v/>
      </c>
      <c r="Y203" s="15">
        <f>IFERROR(VLOOKUP(T203,V8_COHORT_TABLE,4,FALSE),IFERROR(VLOOKUP(P203&amp;"|"&amp;Q203&amp;"|ALL|"&amp;S203,V8_COHORT_TABLE,4,FALSE),IFERROR(VLOOKUP(P203&amp;"|ALL|ALL|"&amp;S203,V8_COHORT_TABLE,4,FALSE),IFERROR(VLOOKUP(P203&amp;"|ALL|ALL|ALL",V8_COHORT_TABLE,4,FALSE),VLOOKUP("GLOBAL",V8_COHORT_TABLE,4,FALSE)))))</f>
        <v/>
      </c>
      <c r="Z203" s="15">
        <f>IFERROR(VLOOKUP(T203,V8_COHORT_TABLE,5,FALSE),IFERROR(VLOOKUP(P203&amp;"|"&amp;Q203&amp;"|ALL|"&amp;S203,V8_COHORT_TABLE,5,FALSE),IFERROR(VLOOKUP(P203&amp;"|ALL|ALL|"&amp;S203,V8_COHORT_TABLE,5,FALSE),IFERROR(VLOOKUP(P203&amp;"|ALL|ALL|ALL",V8_COHORT_TABLE,5,FALSE),VLOOKUP("GLOBAL",V8_COHORT_TABLE,5,FALSE)))))</f>
        <v/>
      </c>
      <c r="AA203" s="15">
        <f>W203+X203/(1+EXP(-(V203-Y203)/Z203))</f>
        <v/>
      </c>
      <c r="AB203" s="15">
        <f>IFERROR(VLOOKUP(T203,V8_COHORT_TABLE,6,FALSE),IFERROR(VLOOKUP(P203&amp;"|"&amp;Q203&amp;"|ALL|"&amp;S203,V8_COHORT_TABLE,6,FALSE),IFERROR(VLOOKUP(P203&amp;"|ALL|ALL|"&amp;S203,V8_COHORT_TABLE,6,FALSE),IFERROR(VLOOKUP(P203&amp;"|ALL|ALL|ALL",V8_COHORT_TABLE,6,FALSE),VLOOKUP("GLOBAL",V8_COHORT_TABLE,6,FALSE)))))</f>
        <v/>
      </c>
      <c r="AC203" s="15">
        <f>IFERROR(VLOOKUP(T203,V8_COHORT_TABLE,7,FALSE),IFERROR(VLOOKUP(P203&amp;"|"&amp;Q203&amp;"|ALL|"&amp;S203,V8_COHORT_TABLE,7,FALSE),IFERROR(VLOOKUP(P203&amp;"|ALL|ALL|"&amp;S203,V8_COHORT_TABLE,7,FALSE),IFERROR(VLOOKUP(P203&amp;"|ALL|ALL|ALL",V8_COHORT_TABLE,7,FALSE),VLOOKUP("GLOBAL",V8_COHORT_TABLE,7,FALSE)))))</f>
        <v/>
      </c>
      <c r="AD203" s="15">
        <f>IFERROR(VLOOKUP(T203,V8_COHORT_TABLE,8,FALSE),IFERROR(VLOOKUP(P203&amp;"|"&amp;Q203&amp;"|ALL|"&amp;S203,V8_COHORT_TABLE,8,FALSE),IFERROR(VLOOKUP(P203&amp;"|ALL|ALL|"&amp;S203,V8_COHORT_TABLE,8,FALSE),IFERROR(VLOOKUP(P203&amp;"|ALL|ALL|ALL",V8_COHORT_TABLE,8,FALSE),VLOOKUP("GLOBAL",V8_COHORT_TABLE,8,FALSE)))))</f>
        <v/>
      </c>
      <c r="AE203" s="15">
        <f>IFERROR(VLOOKUP(T203,V8_COHORT_TABLE,9,FALSE),IFERROR(VLOOKUP(P203&amp;"|"&amp;Q203&amp;"|ALL|"&amp;S203,V8_COHORT_TABLE,9,FALSE),IFERROR(VLOOKUP(P203&amp;"|ALL|ALL|"&amp;S203,V8_COHORT_TABLE,9,FALSE),IFERROR(VLOOKUP(P203&amp;"|ALL|ALL|ALL",V8_COHORT_TABLE,9,FALSE),VLOOKUP("GLOBAL",V8_COHORT_TABLE,9,FALSE)))))</f>
        <v/>
      </c>
      <c r="AF203" s="8">
        <f>IF(K203&lt;=0,AB203,IF(K203&gt;=240,AE203,IF(K203&lt;=24,AB203+(K203-0)/24*(AC203-AB203),IF(K203&lt;=96,AC203+(K203-24)/72*(AD203-AC203),AD203+(K203-96)/144*(AE203-AD203)))))</f>
        <v/>
      </c>
      <c r="AG203" s="8">
        <f>IF(IF(OR(L203="",NOT(ISNUMBER(L203))),360,MAX(0,MIN(480,(INT(L203/100)-INT(VALUE(F203)/100))*12+MOD(L203,100)-MOD(VALUE(F203),100))))&gt;0,1+V8_MTY_AMP*MAX(0,(V8_MTY_CUTOFF-(IF(OR(L203="",NOT(ISNUMBER(L203))),360,MAX(0,MIN(480,(INT(L203/100)-INT(VALUE(F203)/100))*12+MOD(L203,100)-MOD(VALUE(F203),100))))))/V8_MTY_CUTOFF),1)</f>
        <v/>
      </c>
      <c r="AH203" s="8">
        <f>IF(AND(IF(OR(M203="",NOT(ISNUMBER(M203))),0,MAX(0,MIN(24,(INT(VALUE(F203)/100)-INT(M203/100))*12+MOD(VALUE(F203),100)-MOD(M203,100))))&gt;0,IF(OR(M203="",NOT(ISNUMBER(M203))),0,MAX(0,MIN(24,(INT(VALUE(F203)/100)-INT(M203/100))*12+MOD(VALUE(F203),100)-MOD(M203,100))))&lt;=12),1+V8_LOCKOUT_AMP*EXP(-(IF(OR(M203="",NOT(ISNUMBER(M203))),0,MAX(0,MIN(24,(INT(VALUE(F203)/100)-INT(M203/100))*12+MOD(VALUE(F203),100)-MOD(M203,100)))))/V8_LOCKOUT_TAU),1)</f>
        <v/>
      </c>
      <c r="AI203" s="8">
        <f>MAX(V8_BURN_FLOOR,1-V8_BURN_SLOPE*MIN(1,MAX(0,O203)))</f>
        <v/>
      </c>
      <c r="AJ203" s="15">
        <f>MIN(AA203*AF203*AG203*AH203*AI203,0.2)</f>
        <v/>
      </c>
      <c r="AK203" s="16">
        <f>1-(1-AJ203)^12</f>
        <v/>
      </c>
    </row>
    <row r="204">
      <c r="A204" s="2" t="inlineStr">
        <is>
          <t>000003522081</t>
        </is>
      </c>
      <c r="B204" t="inlineStr">
        <is>
          <t>232</t>
        </is>
      </c>
      <c r="C204" t="inlineStr">
        <is>
          <t>RP</t>
        </is>
      </c>
      <c r="D204" t="inlineStr">
        <is>
          <t>DWIGHT CAPITAL LLC</t>
        </is>
      </c>
      <c r="E204" t="n">
        <v>2019</v>
      </c>
      <c r="F204" t="inlineStr">
        <is>
          <t>202602</t>
        </is>
      </c>
      <c r="G204" s="9" t="n">
        <v>45394966.63</v>
      </c>
      <c r="H204" s="13" t="n">
        <v>3.1</v>
      </c>
      <c r="I204" s="14" t="n">
        <v>447</v>
      </c>
      <c r="J204" s="14" t="n">
        <v>4</v>
      </c>
      <c r="K204" t="n">
        <v>75</v>
      </c>
      <c r="L204" t="n">
        <v>205412</v>
      </c>
      <c r="M204" t="inlineStr"/>
      <c r="N204" t="n">
        <v>13</v>
      </c>
      <c r="O204" s="8" t="n">
        <v>0.1733333333333333</v>
      </c>
      <c r="P204">
        <f>IF(ISNUMBER(SEARCH("232",B204)),"232",IF(ISNUMBER(SEARCH("538",B204)),"538",IF(ISNUMBER(SEARCH("223a7",B204)),"223a7",IF(ISNUMBER(SEARCH("223f",B204)),"223f","OTHER"))))</f>
        <v/>
      </c>
      <c r="Q204">
        <f>IF(UPPER(C204)="NC","NC","RP")</f>
        <v/>
      </c>
      <c r="R204">
        <f>IF(G204&lt;5000000,"small",IF(G204&lt;25000000,"medium","large"))</f>
        <v/>
      </c>
      <c r="S204">
        <f>IF(K204&lt;36,"young",IF(K204&lt;120,"seasoned","aged"))</f>
        <v/>
      </c>
      <c r="T204">
        <f>P204&amp;"|"&amp;Q204&amp;"|"&amp;R204&amp;"|"&amp;S204</f>
        <v/>
      </c>
      <c r="U204" s="14">
        <f>H204*100-I204</f>
        <v/>
      </c>
      <c r="V204" s="14">
        <f>U204-12.5*(J204+1)</f>
        <v/>
      </c>
      <c r="W204" s="15">
        <f>IFERROR(VLOOKUP(T204,V8_COHORT_TABLE,2,FALSE),IFERROR(VLOOKUP(P204&amp;"|"&amp;Q204&amp;"|ALL|"&amp;S204,V8_COHORT_TABLE,2,FALSE),IFERROR(VLOOKUP(P204&amp;"|ALL|ALL|"&amp;S204,V8_COHORT_TABLE,2,FALSE),IFERROR(VLOOKUP(P204&amp;"|ALL|ALL|ALL",V8_COHORT_TABLE,2,FALSE),VLOOKUP("GLOBAL",V8_COHORT_TABLE,2,FALSE)))))</f>
        <v/>
      </c>
      <c r="X204" s="15">
        <f>IFERROR(VLOOKUP(T204,V8_COHORT_TABLE,3,FALSE),IFERROR(VLOOKUP(P204&amp;"|"&amp;Q204&amp;"|ALL|"&amp;S204,V8_COHORT_TABLE,3,FALSE),IFERROR(VLOOKUP(P204&amp;"|ALL|ALL|"&amp;S204,V8_COHORT_TABLE,3,FALSE),IFERROR(VLOOKUP(P204&amp;"|ALL|ALL|ALL",V8_COHORT_TABLE,3,FALSE),VLOOKUP("GLOBAL",V8_COHORT_TABLE,3,FALSE)))))</f>
        <v/>
      </c>
      <c r="Y204" s="15">
        <f>IFERROR(VLOOKUP(T204,V8_COHORT_TABLE,4,FALSE),IFERROR(VLOOKUP(P204&amp;"|"&amp;Q204&amp;"|ALL|"&amp;S204,V8_COHORT_TABLE,4,FALSE),IFERROR(VLOOKUP(P204&amp;"|ALL|ALL|"&amp;S204,V8_COHORT_TABLE,4,FALSE),IFERROR(VLOOKUP(P204&amp;"|ALL|ALL|ALL",V8_COHORT_TABLE,4,FALSE),VLOOKUP("GLOBAL",V8_COHORT_TABLE,4,FALSE)))))</f>
        <v/>
      </c>
      <c r="Z204" s="15">
        <f>IFERROR(VLOOKUP(T204,V8_COHORT_TABLE,5,FALSE),IFERROR(VLOOKUP(P204&amp;"|"&amp;Q204&amp;"|ALL|"&amp;S204,V8_COHORT_TABLE,5,FALSE),IFERROR(VLOOKUP(P204&amp;"|ALL|ALL|"&amp;S204,V8_COHORT_TABLE,5,FALSE),IFERROR(VLOOKUP(P204&amp;"|ALL|ALL|ALL",V8_COHORT_TABLE,5,FALSE),VLOOKUP("GLOBAL",V8_COHORT_TABLE,5,FALSE)))))</f>
        <v/>
      </c>
      <c r="AA204" s="15">
        <f>W204+X204/(1+EXP(-(V204-Y204)/Z204))</f>
        <v/>
      </c>
      <c r="AB204" s="15">
        <f>IFERROR(VLOOKUP(T204,V8_COHORT_TABLE,6,FALSE),IFERROR(VLOOKUP(P204&amp;"|"&amp;Q204&amp;"|ALL|"&amp;S204,V8_COHORT_TABLE,6,FALSE),IFERROR(VLOOKUP(P204&amp;"|ALL|ALL|"&amp;S204,V8_COHORT_TABLE,6,FALSE),IFERROR(VLOOKUP(P204&amp;"|ALL|ALL|ALL",V8_COHORT_TABLE,6,FALSE),VLOOKUP("GLOBAL",V8_COHORT_TABLE,6,FALSE)))))</f>
        <v/>
      </c>
      <c r="AC204" s="15">
        <f>IFERROR(VLOOKUP(T204,V8_COHORT_TABLE,7,FALSE),IFERROR(VLOOKUP(P204&amp;"|"&amp;Q204&amp;"|ALL|"&amp;S204,V8_COHORT_TABLE,7,FALSE),IFERROR(VLOOKUP(P204&amp;"|ALL|ALL|"&amp;S204,V8_COHORT_TABLE,7,FALSE),IFERROR(VLOOKUP(P204&amp;"|ALL|ALL|ALL",V8_COHORT_TABLE,7,FALSE),VLOOKUP("GLOBAL",V8_COHORT_TABLE,7,FALSE)))))</f>
        <v/>
      </c>
      <c r="AD204" s="15">
        <f>IFERROR(VLOOKUP(T204,V8_COHORT_TABLE,8,FALSE),IFERROR(VLOOKUP(P204&amp;"|"&amp;Q204&amp;"|ALL|"&amp;S204,V8_COHORT_TABLE,8,FALSE),IFERROR(VLOOKUP(P204&amp;"|ALL|ALL|"&amp;S204,V8_COHORT_TABLE,8,FALSE),IFERROR(VLOOKUP(P204&amp;"|ALL|ALL|ALL",V8_COHORT_TABLE,8,FALSE),VLOOKUP("GLOBAL",V8_COHORT_TABLE,8,FALSE)))))</f>
        <v/>
      </c>
      <c r="AE204" s="15">
        <f>IFERROR(VLOOKUP(T204,V8_COHORT_TABLE,9,FALSE),IFERROR(VLOOKUP(P204&amp;"|"&amp;Q204&amp;"|ALL|"&amp;S204,V8_COHORT_TABLE,9,FALSE),IFERROR(VLOOKUP(P204&amp;"|ALL|ALL|"&amp;S204,V8_COHORT_TABLE,9,FALSE),IFERROR(VLOOKUP(P204&amp;"|ALL|ALL|ALL",V8_COHORT_TABLE,9,FALSE),VLOOKUP("GLOBAL",V8_COHORT_TABLE,9,FALSE)))))</f>
        <v/>
      </c>
      <c r="AF204" s="8">
        <f>IF(K204&lt;=0,AB204,IF(K204&gt;=240,AE204,IF(K204&lt;=24,AB204+(K204-0)/24*(AC204-AB204),IF(K204&lt;=96,AC204+(K204-24)/72*(AD204-AC204),AD204+(K204-96)/144*(AE204-AD204)))))</f>
        <v/>
      </c>
      <c r="AG204" s="8">
        <f>IF(IF(OR(L204="",NOT(ISNUMBER(L204))),360,MAX(0,MIN(480,(INT(L204/100)-INT(VALUE(F204)/100))*12+MOD(L204,100)-MOD(VALUE(F204),100))))&gt;0,1+V8_MTY_AMP*MAX(0,(V8_MTY_CUTOFF-(IF(OR(L204="",NOT(ISNUMBER(L204))),360,MAX(0,MIN(480,(INT(L204/100)-INT(VALUE(F204)/100))*12+MOD(L204,100)-MOD(VALUE(F204),100))))))/V8_MTY_CUTOFF),1)</f>
        <v/>
      </c>
      <c r="AH204" s="8">
        <f>IF(AND(IF(OR(M204="",NOT(ISNUMBER(M204))),0,MAX(0,MIN(24,(INT(VALUE(F204)/100)-INT(M204/100))*12+MOD(VALUE(F204),100)-MOD(M204,100))))&gt;0,IF(OR(M204="",NOT(ISNUMBER(M204))),0,MAX(0,MIN(24,(INT(VALUE(F204)/100)-INT(M204/100))*12+MOD(VALUE(F204),100)-MOD(M204,100))))&lt;=12),1+V8_LOCKOUT_AMP*EXP(-(IF(OR(M204="",NOT(ISNUMBER(M204))),0,MAX(0,MIN(24,(INT(VALUE(F204)/100)-INT(M204/100))*12+MOD(VALUE(F204),100)-MOD(M204,100)))))/V8_LOCKOUT_TAU),1)</f>
        <v/>
      </c>
      <c r="AI204" s="8">
        <f>MAX(V8_BURN_FLOOR,1-V8_BURN_SLOPE*MIN(1,MAX(0,O204)))</f>
        <v/>
      </c>
      <c r="AJ204" s="15">
        <f>MIN(AA204*AF204*AG204*AH204*AI204,0.2)</f>
        <v/>
      </c>
      <c r="AK204" s="16">
        <f>1-(1-AJ204)^12</f>
        <v/>
      </c>
    </row>
    <row r="205">
      <c r="A205" s="2" t="inlineStr">
        <is>
          <t>000009222200</t>
        </is>
      </c>
      <c r="B205" t="inlineStr">
        <is>
          <t>232</t>
        </is>
      </c>
      <c r="C205" t="inlineStr">
        <is>
          <t>RP</t>
        </is>
      </c>
      <c r="D205" t="inlineStr">
        <is>
          <t>DWIGHT CAPITAL LLC</t>
        </is>
      </c>
      <c r="E205" t="n">
        <v>2024</v>
      </c>
      <c r="F205" t="inlineStr">
        <is>
          <t>202602</t>
        </is>
      </c>
      <c r="G205" s="9" t="n">
        <v>5214845.9</v>
      </c>
      <c r="H205" s="13" t="n">
        <v>5.78</v>
      </c>
      <c r="I205" s="14" t="n">
        <v>447</v>
      </c>
      <c r="J205" s="14" t="n">
        <v>10</v>
      </c>
      <c r="K205" t="n">
        <v>17</v>
      </c>
      <c r="L205" t="n">
        <v>205410</v>
      </c>
      <c r="M205" t="inlineStr"/>
      <c r="N205" t="n">
        <v>13</v>
      </c>
      <c r="O205" s="8" t="n">
        <v>0.7647058823529411</v>
      </c>
      <c r="P205">
        <f>IF(ISNUMBER(SEARCH("232",B205)),"232",IF(ISNUMBER(SEARCH("538",B205)),"538",IF(ISNUMBER(SEARCH("223a7",B205)),"223a7",IF(ISNUMBER(SEARCH("223f",B205)),"223f","OTHER"))))</f>
        <v/>
      </c>
      <c r="Q205">
        <f>IF(UPPER(C205)="NC","NC","RP")</f>
        <v/>
      </c>
      <c r="R205">
        <f>IF(G205&lt;5000000,"small",IF(G205&lt;25000000,"medium","large"))</f>
        <v/>
      </c>
      <c r="S205">
        <f>IF(K205&lt;36,"young",IF(K205&lt;120,"seasoned","aged"))</f>
        <v/>
      </c>
      <c r="T205">
        <f>P205&amp;"|"&amp;Q205&amp;"|"&amp;R205&amp;"|"&amp;S205</f>
        <v/>
      </c>
      <c r="U205" s="14">
        <f>H205*100-I205</f>
        <v/>
      </c>
      <c r="V205" s="14">
        <f>U205-12.5*(J205+1)</f>
        <v/>
      </c>
      <c r="W205" s="15">
        <f>IFERROR(VLOOKUP(T205,V8_COHORT_TABLE,2,FALSE),IFERROR(VLOOKUP(P205&amp;"|"&amp;Q205&amp;"|ALL|"&amp;S205,V8_COHORT_TABLE,2,FALSE),IFERROR(VLOOKUP(P205&amp;"|ALL|ALL|"&amp;S205,V8_COHORT_TABLE,2,FALSE),IFERROR(VLOOKUP(P205&amp;"|ALL|ALL|ALL",V8_COHORT_TABLE,2,FALSE),VLOOKUP("GLOBAL",V8_COHORT_TABLE,2,FALSE)))))</f>
        <v/>
      </c>
      <c r="X205" s="15">
        <f>IFERROR(VLOOKUP(T205,V8_COHORT_TABLE,3,FALSE),IFERROR(VLOOKUP(P205&amp;"|"&amp;Q205&amp;"|ALL|"&amp;S205,V8_COHORT_TABLE,3,FALSE),IFERROR(VLOOKUP(P205&amp;"|ALL|ALL|"&amp;S205,V8_COHORT_TABLE,3,FALSE),IFERROR(VLOOKUP(P205&amp;"|ALL|ALL|ALL",V8_COHORT_TABLE,3,FALSE),VLOOKUP("GLOBAL",V8_COHORT_TABLE,3,FALSE)))))</f>
        <v/>
      </c>
      <c r="Y205" s="15">
        <f>IFERROR(VLOOKUP(T205,V8_COHORT_TABLE,4,FALSE),IFERROR(VLOOKUP(P205&amp;"|"&amp;Q205&amp;"|ALL|"&amp;S205,V8_COHORT_TABLE,4,FALSE),IFERROR(VLOOKUP(P205&amp;"|ALL|ALL|"&amp;S205,V8_COHORT_TABLE,4,FALSE),IFERROR(VLOOKUP(P205&amp;"|ALL|ALL|ALL",V8_COHORT_TABLE,4,FALSE),VLOOKUP("GLOBAL",V8_COHORT_TABLE,4,FALSE)))))</f>
        <v/>
      </c>
      <c r="Z205" s="15">
        <f>IFERROR(VLOOKUP(T205,V8_COHORT_TABLE,5,FALSE),IFERROR(VLOOKUP(P205&amp;"|"&amp;Q205&amp;"|ALL|"&amp;S205,V8_COHORT_TABLE,5,FALSE),IFERROR(VLOOKUP(P205&amp;"|ALL|ALL|"&amp;S205,V8_COHORT_TABLE,5,FALSE),IFERROR(VLOOKUP(P205&amp;"|ALL|ALL|ALL",V8_COHORT_TABLE,5,FALSE),VLOOKUP("GLOBAL",V8_COHORT_TABLE,5,FALSE)))))</f>
        <v/>
      </c>
      <c r="AA205" s="15">
        <f>W205+X205/(1+EXP(-(V205-Y205)/Z205))</f>
        <v/>
      </c>
      <c r="AB205" s="15">
        <f>IFERROR(VLOOKUP(T205,V8_COHORT_TABLE,6,FALSE),IFERROR(VLOOKUP(P205&amp;"|"&amp;Q205&amp;"|ALL|"&amp;S205,V8_COHORT_TABLE,6,FALSE),IFERROR(VLOOKUP(P205&amp;"|ALL|ALL|"&amp;S205,V8_COHORT_TABLE,6,FALSE),IFERROR(VLOOKUP(P205&amp;"|ALL|ALL|ALL",V8_COHORT_TABLE,6,FALSE),VLOOKUP("GLOBAL",V8_COHORT_TABLE,6,FALSE)))))</f>
        <v/>
      </c>
      <c r="AC205" s="15">
        <f>IFERROR(VLOOKUP(T205,V8_COHORT_TABLE,7,FALSE),IFERROR(VLOOKUP(P205&amp;"|"&amp;Q205&amp;"|ALL|"&amp;S205,V8_COHORT_TABLE,7,FALSE),IFERROR(VLOOKUP(P205&amp;"|ALL|ALL|"&amp;S205,V8_COHORT_TABLE,7,FALSE),IFERROR(VLOOKUP(P205&amp;"|ALL|ALL|ALL",V8_COHORT_TABLE,7,FALSE),VLOOKUP("GLOBAL",V8_COHORT_TABLE,7,FALSE)))))</f>
        <v/>
      </c>
      <c r="AD205" s="15">
        <f>IFERROR(VLOOKUP(T205,V8_COHORT_TABLE,8,FALSE),IFERROR(VLOOKUP(P205&amp;"|"&amp;Q205&amp;"|ALL|"&amp;S205,V8_COHORT_TABLE,8,FALSE),IFERROR(VLOOKUP(P205&amp;"|ALL|ALL|"&amp;S205,V8_COHORT_TABLE,8,FALSE),IFERROR(VLOOKUP(P205&amp;"|ALL|ALL|ALL",V8_COHORT_TABLE,8,FALSE),VLOOKUP("GLOBAL",V8_COHORT_TABLE,8,FALSE)))))</f>
        <v/>
      </c>
      <c r="AE205" s="15">
        <f>IFERROR(VLOOKUP(T205,V8_COHORT_TABLE,9,FALSE),IFERROR(VLOOKUP(P205&amp;"|"&amp;Q205&amp;"|ALL|"&amp;S205,V8_COHORT_TABLE,9,FALSE),IFERROR(VLOOKUP(P205&amp;"|ALL|ALL|"&amp;S205,V8_COHORT_TABLE,9,FALSE),IFERROR(VLOOKUP(P205&amp;"|ALL|ALL|ALL",V8_COHORT_TABLE,9,FALSE),VLOOKUP("GLOBAL",V8_COHORT_TABLE,9,FALSE)))))</f>
        <v/>
      </c>
      <c r="AF205" s="8">
        <f>IF(K205&lt;=0,AB205,IF(K205&gt;=240,AE205,IF(K205&lt;=24,AB205+(K205-0)/24*(AC205-AB205),IF(K205&lt;=96,AC205+(K205-24)/72*(AD205-AC205),AD205+(K205-96)/144*(AE205-AD205)))))</f>
        <v/>
      </c>
      <c r="AG205" s="8">
        <f>IF(IF(OR(L205="",NOT(ISNUMBER(L205))),360,MAX(0,MIN(480,(INT(L205/100)-INT(VALUE(F205)/100))*12+MOD(L205,100)-MOD(VALUE(F205),100))))&gt;0,1+V8_MTY_AMP*MAX(0,(V8_MTY_CUTOFF-(IF(OR(L205="",NOT(ISNUMBER(L205))),360,MAX(0,MIN(480,(INT(L205/100)-INT(VALUE(F205)/100))*12+MOD(L205,100)-MOD(VALUE(F205),100))))))/V8_MTY_CUTOFF),1)</f>
        <v/>
      </c>
      <c r="AH205" s="8">
        <f>IF(AND(IF(OR(M205="",NOT(ISNUMBER(M205))),0,MAX(0,MIN(24,(INT(VALUE(F205)/100)-INT(M205/100))*12+MOD(VALUE(F205),100)-MOD(M205,100))))&gt;0,IF(OR(M205="",NOT(ISNUMBER(M205))),0,MAX(0,MIN(24,(INT(VALUE(F205)/100)-INT(M205/100))*12+MOD(VALUE(F205),100)-MOD(M205,100))))&lt;=12),1+V8_LOCKOUT_AMP*EXP(-(IF(OR(M205="",NOT(ISNUMBER(M205))),0,MAX(0,MIN(24,(INT(VALUE(F205)/100)-INT(M205/100))*12+MOD(VALUE(F205),100)-MOD(M205,100)))))/V8_LOCKOUT_TAU),1)</f>
        <v/>
      </c>
      <c r="AI205" s="8">
        <f>MAX(V8_BURN_FLOOR,1-V8_BURN_SLOPE*MIN(1,MAX(0,O205)))</f>
        <v/>
      </c>
      <c r="AJ205" s="15">
        <f>MIN(AA205*AF205*AG205*AH205*AI205,0.2)</f>
        <v/>
      </c>
      <c r="AK205" s="16">
        <f>1-(1-AJ205)^12</f>
        <v/>
      </c>
    </row>
    <row r="206">
      <c r="A206" s="2" t="inlineStr">
        <is>
          <t>000012611187</t>
        </is>
      </c>
      <c r="B206" t="inlineStr">
        <is>
          <t>223f</t>
        </is>
      </c>
      <c r="C206" t="inlineStr">
        <is>
          <t>RP</t>
        </is>
      </c>
      <c r="D206" t="inlineStr">
        <is>
          <t>DWIGHT CAPITAL LLC</t>
        </is>
      </c>
      <c r="E206" t="n">
        <v>2020</v>
      </c>
      <c r="F206" t="inlineStr">
        <is>
          <t>202602</t>
        </is>
      </c>
      <c r="G206" s="9" t="n">
        <v>2431852.91</v>
      </c>
      <c r="H206" s="13" t="n">
        <v>2.75</v>
      </c>
      <c r="I206" s="14" t="n">
        <v>447</v>
      </c>
      <c r="J206" s="14" t="n">
        <v>5</v>
      </c>
      <c r="K206" t="n">
        <v>66</v>
      </c>
      <c r="L206" t="n">
        <v>205509</v>
      </c>
      <c r="M206" t="inlineStr"/>
      <c r="N206" t="n">
        <v>0</v>
      </c>
      <c r="O206" s="8" t="n">
        <v>0</v>
      </c>
      <c r="P206">
        <f>IF(ISNUMBER(SEARCH("232",B206)),"232",IF(ISNUMBER(SEARCH("538",B206)),"538",IF(ISNUMBER(SEARCH("223a7",B206)),"223a7",IF(ISNUMBER(SEARCH("223f",B206)),"223f","OTHER"))))</f>
        <v/>
      </c>
      <c r="Q206">
        <f>IF(UPPER(C206)="NC","NC","RP")</f>
        <v/>
      </c>
      <c r="R206">
        <f>IF(G206&lt;5000000,"small",IF(G206&lt;25000000,"medium","large"))</f>
        <v/>
      </c>
      <c r="S206">
        <f>IF(K206&lt;36,"young",IF(K206&lt;120,"seasoned","aged"))</f>
        <v/>
      </c>
      <c r="T206">
        <f>P206&amp;"|"&amp;Q206&amp;"|"&amp;R206&amp;"|"&amp;S206</f>
        <v/>
      </c>
      <c r="U206" s="14">
        <f>H206*100-I206</f>
        <v/>
      </c>
      <c r="V206" s="14">
        <f>U206-12.5*(J206+1)</f>
        <v/>
      </c>
      <c r="W206" s="15">
        <f>IFERROR(VLOOKUP(T206,V8_COHORT_TABLE,2,FALSE),IFERROR(VLOOKUP(P206&amp;"|"&amp;Q206&amp;"|ALL|"&amp;S206,V8_COHORT_TABLE,2,FALSE),IFERROR(VLOOKUP(P206&amp;"|ALL|ALL|"&amp;S206,V8_COHORT_TABLE,2,FALSE),IFERROR(VLOOKUP(P206&amp;"|ALL|ALL|ALL",V8_COHORT_TABLE,2,FALSE),VLOOKUP("GLOBAL",V8_COHORT_TABLE,2,FALSE)))))</f>
        <v/>
      </c>
      <c r="X206" s="15">
        <f>IFERROR(VLOOKUP(T206,V8_COHORT_TABLE,3,FALSE),IFERROR(VLOOKUP(P206&amp;"|"&amp;Q206&amp;"|ALL|"&amp;S206,V8_COHORT_TABLE,3,FALSE),IFERROR(VLOOKUP(P206&amp;"|ALL|ALL|"&amp;S206,V8_COHORT_TABLE,3,FALSE),IFERROR(VLOOKUP(P206&amp;"|ALL|ALL|ALL",V8_COHORT_TABLE,3,FALSE),VLOOKUP("GLOBAL",V8_COHORT_TABLE,3,FALSE)))))</f>
        <v/>
      </c>
      <c r="Y206" s="15">
        <f>IFERROR(VLOOKUP(T206,V8_COHORT_TABLE,4,FALSE),IFERROR(VLOOKUP(P206&amp;"|"&amp;Q206&amp;"|ALL|"&amp;S206,V8_COHORT_TABLE,4,FALSE),IFERROR(VLOOKUP(P206&amp;"|ALL|ALL|"&amp;S206,V8_COHORT_TABLE,4,FALSE),IFERROR(VLOOKUP(P206&amp;"|ALL|ALL|ALL",V8_COHORT_TABLE,4,FALSE),VLOOKUP("GLOBAL",V8_COHORT_TABLE,4,FALSE)))))</f>
        <v/>
      </c>
      <c r="Z206" s="15">
        <f>IFERROR(VLOOKUP(T206,V8_COHORT_TABLE,5,FALSE),IFERROR(VLOOKUP(P206&amp;"|"&amp;Q206&amp;"|ALL|"&amp;S206,V8_COHORT_TABLE,5,FALSE),IFERROR(VLOOKUP(P206&amp;"|ALL|ALL|"&amp;S206,V8_COHORT_TABLE,5,FALSE),IFERROR(VLOOKUP(P206&amp;"|ALL|ALL|ALL",V8_COHORT_TABLE,5,FALSE),VLOOKUP("GLOBAL",V8_COHORT_TABLE,5,FALSE)))))</f>
        <v/>
      </c>
      <c r="AA206" s="15">
        <f>W206+X206/(1+EXP(-(V206-Y206)/Z206))</f>
        <v/>
      </c>
      <c r="AB206" s="15">
        <f>IFERROR(VLOOKUP(T206,V8_COHORT_TABLE,6,FALSE),IFERROR(VLOOKUP(P206&amp;"|"&amp;Q206&amp;"|ALL|"&amp;S206,V8_COHORT_TABLE,6,FALSE),IFERROR(VLOOKUP(P206&amp;"|ALL|ALL|"&amp;S206,V8_COHORT_TABLE,6,FALSE),IFERROR(VLOOKUP(P206&amp;"|ALL|ALL|ALL",V8_COHORT_TABLE,6,FALSE),VLOOKUP("GLOBAL",V8_COHORT_TABLE,6,FALSE)))))</f>
        <v/>
      </c>
      <c r="AC206" s="15">
        <f>IFERROR(VLOOKUP(T206,V8_COHORT_TABLE,7,FALSE),IFERROR(VLOOKUP(P206&amp;"|"&amp;Q206&amp;"|ALL|"&amp;S206,V8_COHORT_TABLE,7,FALSE),IFERROR(VLOOKUP(P206&amp;"|ALL|ALL|"&amp;S206,V8_COHORT_TABLE,7,FALSE),IFERROR(VLOOKUP(P206&amp;"|ALL|ALL|ALL",V8_COHORT_TABLE,7,FALSE),VLOOKUP("GLOBAL",V8_COHORT_TABLE,7,FALSE)))))</f>
        <v/>
      </c>
      <c r="AD206" s="15">
        <f>IFERROR(VLOOKUP(T206,V8_COHORT_TABLE,8,FALSE),IFERROR(VLOOKUP(P206&amp;"|"&amp;Q206&amp;"|ALL|"&amp;S206,V8_COHORT_TABLE,8,FALSE),IFERROR(VLOOKUP(P206&amp;"|ALL|ALL|"&amp;S206,V8_COHORT_TABLE,8,FALSE),IFERROR(VLOOKUP(P206&amp;"|ALL|ALL|ALL",V8_COHORT_TABLE,8,FALSE),VLOOKUP("GLOBAL",V8_COHORT_TABLE,8,FALSE)))))</f>
        <v/>
      </c>
      <c r="AE206" s="15">
        <f>IFERROR(VLOOKUP(T206,V8_COHORT_TABLE,9,FALSE),IFERROR(VLOOKUP(P206&amp;"|"&amp;Q206&amp;"|ALL|"&amp;S206,V8_COHORT_TABLE,9,FALSE),IFERROR(VLOOKUP(P206&amp;"|ALL|ALL|"&amp;S206,V8_COHORT_TABLE,9,FALSE),IFERROR(VLOOKUP(P206&amp;"|ALL|ALL|ALL",V8_COHORT_TABLE,9,FALSE),VLOOKUP("GLOBAL",V8_COHORT_TABLE,9,FALSE)))))</f>
        <v/>
      </c>
      <c r="AF206" s="8">
        <f>IF(K206&lt;=0,AB206,IF(K206&gt;=240,AE206,IF(K206&lt;=24,AB206+(K206-0)/24*(AC206-AB206),IF(K206&lt;=96,AC206+(K206-24)/72*(AD206-AC206),AD206+(K206-96)/144*(AE206-AD206)))))</f>
        <v/>
      </c>
      <c r="AG206" s="8">
        <f>IF(IF(OR(L206="",NOT(ISNUMBER(L206))),360,MAX(0,MIN(480,(INT(L206/100)-INT(VALUE(F206)/100))*12+MOD(L206,100)-MOD(VALUE(F206),100))))&gt;0,1+V8_MTY_AMP*MAX(0,(V8_MTY_CUTOFF-(IF(OR(L206="",NOT(ISNUMBER(L206))),360,MAX(0,MIN(480,(INT(L206/100)-INT(VALUE(F206)/100))*12+MOD(L206,100)-MOD(VALUE(F206),100))))))/V8_MTY_CUTOFF),1)</f>
        <v/>
      </c>
      <c r="AH206" s="8">
        <f>IF(AND(IF(OR(M206="",NOT(ISNUMBER(M206))),0,MAX(0,MIN(24,(INT(VALUE(F206)/100)-INT(M206/100))*12+MOD(VALUE(F206),100)-MOD(M206,100))))&gt;0,IF(OR(M206="",NOT(ISNUMBER(M206))),0,MAX(0,MIN(24,(INT(VALUE(F206)/100)-INT(M206/100))*12+MOD(VALUE(F206),100)-MOD(M206,100))))&lt;=12),1+V8_LOCKOUT_AMP*EXP(-(IF(OR(M206="",NOT(ISNUMBER(M206))),0,MAX(0,MIN(24,(INT(VALUE(F206)/100)-INT(M206/100))*12+MOD(VALUE(F206),100)-MOD(M206,100)))))/V8_LOCKOUT_TAU),1)</f>
        <v/>
      </c>
      <c r="AI206" s="8">
        <f>MAX(V8_BURN_FLOOR,1-V8_BURN_SLOPE*MIN(1,MAX(0,O206)))</f>
        <v/>
      </c>
      <c r="AJ206" s="15">
        <f>MIN(AA206*AF206*AG206*AH206*AI206,0.2)</f>
        <v/>
      </c>
      <c r="AK206" s="16">
        <f>1-(1-AJ206)^12</f>
        <v/>
      </c>
    </row>
    <row r="207">
      <c r="A207" s="2" t="inlineStr">
        <is>
          <t>000001411293</t>
        </is>
      </c>
      <c r="B207" t="inlineStr">
        <is>
          <t>223f</t>
        </is>
      </c>
      <c r="C207" t="inlineStr">
        <is>
          <t>RP</t>
        </is>
      </c>
      <c r="D207" t="inlineStr">
        <is>
          <t>DWIGHT CAPITAL LLC</t>
        </is>
      </c>
      <c r="E207" t="n">
        <v>2021</v>
      </c>
      <c r="F207" t="inlineStr">
        <is>
          <t>202602</t>
        </is>
      </c>
      <c r="G207" s="9" t="n">
        <v>14648405.46</v>
      </c>
      <c r="H207" s="13" t="n">
        <v>2.5</v>
      </c>
      <c r="I207" s="14" t="n">
        <v>447</v>
      </c>
      <c r="J207" s="14" t="n">
        <v>1</v>
      </c>
      <c r="K207" t="n">
        <v>60</v>
      </c>
      <c r="L207" t="n">
        <v>205603</v>
      </c>
      <c r="M207" t="inlineStr"/>
      <c r="N207" t="n">
        <v>0</v>
      </c>
      <c r="O207" s="8" t="n">
        <v>0</v>
      </c>
      <c r="P207">
        <f>IF(ISNUMBER(SEARCH("232",B207)),"232",IF(ISNUMBER(SEARCH("538",B207)),"538",IF(ISNUMBER(SEARCH("223a7",B207)),"223a7",IF(ISNUMBER(SEARCH("223f",B207)),"223f","OTHER"))))</f>
        <v/>
      </c>
      <c r="Q207">
        <f>IF(UPPER(C207)="NC","NC","RP")</f>
        <v/>
      </c>
      <c r="R207">
        <f>IF(G207&lt;5000000,"small",IF(G207&lt;25000000,"medium","large"))</f>
        <v/>
      </c>
      <c r="S207">
        <f>IF(K207&lt;36,"young",IF(K207&lt;120,"seasoned","aged"))</f>
        <v/>
      </c>
      <c r="T207">
        <f>P207&amp;"|"&amp;Q207&amp;"|"&amp;R207&amp;"|"&amp;S207</f>
        <v/>
      </c>
      <c r="U207" s="14">
        <f>H207*100-I207</f>
        <v/>
      </c>
      <c r="V207" s="14">
        <f>U207-12.5*(J207+1)</f>
        <v/>
      </c>
      <c r="W207" s="15">
        <f>IFERROR(VLOOKUP(T207,V8_COHORT_TABLE,2,FALSE),IFERROR(VLOOKUP(P207&amp;"|"&amp;Q207&amp;"|ALL|"&amp;S207,V8_COHORT_TABLE,2,FALSE),IFERROR(VLOOKUP(P207&amp;"|ALL|ALL|"&amp;S207,V8_COHORT_TABLE,2,FALSE),IFERROR(VLOOKUP(P207&amp;"|ALL|ALL|ALL",V8_COHORT_TABLE,2,FALSE),VLOOKUP("GLOBAL",V8_COHORT_TABLE,2,FALSE)))))</f>
        <v/>
      </c>
      <c r="X207" s="15">
        <f>IFERROR(VLOOKUP(T207,V8_COHORT_TABLE,3,FALSE),IFERROR(VLOOKUP(P207&amp;"|"&amp;Q207&amp;"|ALL|"&amp;S207,V8_COHORT_TABLE,3,FALSE),IFERROR(VLOOKUP(P207&amp;"|ALL|ALL|"&amp;S207,V8_COHORT_TABLE,3,FALSE),IFERROR(VLOOKUP(P207&amp;"|ALL|ALL|ALL",V8_COHORT_TABLE,3,FALSE),VLOOKUP("GLOBAL",V8_COHORT_TABLE,3,FALSE)))))</f>
        <v/>
      </c>
      <c r="Y207" s="15">
        <f>IFERROR(VLOOKUP(T207,V8_COHORT_TABLE,4,FALSE),IFERROR(VLOOKUP(P207&amp;"|"&amp;Q207&amp;"|ALL|"&amp;S207,V8_COHORT_TABLE,4,FALSE),IFERROR(VLOOKUP(P207&amp;"|ALL|ALL|"&amp;S207,V8_COHORT_TABLE,4,FALSE),IFERROR(VLOOKUP(P207&amp;"|ALL|ALL|ALL",V8_COHORT_TABLE,4,FALSE),VLOOKUP("GLOBAL",V8_COHORT_TABLE,4,FALSE)))))</f>
        <v/>
      </c>
      <c r="Z207" s="15">
        <f>IFERROR(VLOOKUP(T207,V8_COHORT_TABLE,5,FALSE),IFERROR(VLOOKUP(P207&amp;"|"&amp;Q207&amp;"|ALL|"&amp;S207,V8_COHORT_TABLE,5,FALSE),IFERROR(VLOOKUP(P207&amp;"|ALL|ALL|"&amp;S207,V8_COHORT_TABLE,5,FALSE),IFERROR(VLOOKUP(P207&amp;"|ALL|ALL|ALL",V8_COHORT_TABLE,5,FALSE),VLOOKUP("GLOBAL",V8_COHORT_TABLE,5,FALSE)))))</f>
        <v/>
      </c>
      <c r="AA207" s="15">
        <f>W207+X207/(1+EXP(-(V207-Y207)/Z207))</f>
        <v/>
      </c>
      <c r="AB207" s="15">
        <f>IFERROR(VLOOKUP(T207,V8_COHORT_TABLE,6,FALSE),IFERROR(VLOOKUP(P207&amp;"|"&amp;Q207&amp;"|ALL|"&amp;S207,V8_COHORT_TABLE,6,FALSE),IFERROR(VLOOKUP(P207&amp;"|ALL|ALL|"&amp;S207,V8_COHORT_TABLE,6,FALSE),IFERROR(VLOOKUP(P207&amp;"|ALL|ALL|ALL",V8_COHORT_TABLE,6,FALSE),VLOOKUP("GLOBAL",V8_COHORT_TABLE,6,FALSE)))))</f>
        <v/>
      </c>
      <c r="AC207" s="15">
        <f>IFERROR(VLOOKUP(T207,V8_COHORT_TABLE,7,FALSE),IFERROR(VLOOKUP(P207&amp;"|"&amp;Q207&amp;"|ALL|"&amp;S207,V8_COHORT_TABLE,7,FALSE),IFERROR(VLOOKUP(P207&amp;"|ALL|ALL|"&amp;S207,V8_COHORT_TABLE,7,FALSE),IFERROR(VLOOKUP(P207&amp;"|ALL|ALL|ALL",V8_COHORT_TABLE,7,FALSE),VLOOKUP("GLOBAL",V8_COHORT_TABLE,7,FALSE)))))</f>
        <v/>
      </c>
      <c r="AD207" s="15">
        <f>IFERROR(VLOOKUP(T207,V8_COHORT_TABLE,8,FALSE),IFERROR(VLOOKUP(P207&amp;"|"&amp;Q207&amp;"|ALL|"&amp;S207,V8_COHORT_TABLE,8,FALSE),IFERROR(VLOOKUP(P207&amp;"|ALL|ALL|"&amp;S207,V8_COHORT_TABLE,8,FALSE),IFERROR(VLOOKUP(P207&amp;"|ALL|ALL|ALL",V8_COHORT_TABLE,8,FALSE),VLOOKUP("GLOBAL",V8_COHORT_TABLE,8,FALSE)))))</f>
        <v/>
      </c>
      <c r="AE207" s="15">
        <f>IFERROR(VLOOKUP(T207,V8_COHORT_TABLE,9,FALSE),IFERROR(VLOOKUP(P207&amp;"|"&amp;Q207&amp;"|ALL|"&amp;S207,V8_COHORT_TABLE,9,FALSE),IFERROR(VLOOKUP(P207&amp;"|ALL|ALL|"&amp;S207,V8_COHORT_TABLE,9,FALSE),IFERROR(VLOOKUP(P207&amp;"|ALL|ALL|ALL",V8_COHORT_TABLE,9,FALSE),VLOOKUP("GLOBAL",V8_COHORT_TABLE,9,FALSE)))))</f>
        <v/>
      </c>
      <c r="AF207" s="8">
        <f>IF(K207&lt;=0,AB207,IF(K207&gt;=240,AE207,IF(K207&lt;=24,AB207+(K207-0)/24*(AC207-AB207),IF(K207&lt;=96,AC207+(K207-24)/72*(AD207-AC207),AD207+(K207-96)/144*(AE207-AD207)))))</f>
        <v/>
      </c>
      <c r="AG207" s="8">
        <f>IF(IF(OR(L207="",NOT(ISNUMBER(L207))),360,MAX(0,MIN(480,(INT(L207/100)-INT(VALUE(F207)/100))*12+MOD(L207,100)-MOD(VALUE(F207),100))))&gt;0,1+V8_MTY_AMP*MAX(0,(V8_MTY_CUTOFF-(IF(OR(L207="",NOT(ISNUMBER(L207))),360,MAX(0,MIN(480,(INT(L207/100)-INT(VALUE(F207)/100))*12+MOD(L207,100)-MOD(VALUE(F207),100))))))/V8_MTY_CUTOFF),1)</f>
        <v/>
      </c>
      <c r="AH207" s="8">
        <f>IF(AND(IF(OR(M207="",NOT(ISNUMBER(M207))),0,MAX(0,MIN(24,(INT(VALUE(F207)/100)-INT(M207/100))*12+MOD(VALUE(F207),100)-MOD(M207,100))))&gt;0,IF(OR(M207="",NOT(ISNUMBER(M207))),0,MAX(0,MIN(24,(INT(VALUE(F207)/100)-INT(M207/100))*12+MOD(VALUE(F207),100)-MOD(M207,100))))&lt;=12),1+V8_LOCKOUT_AMP*EXP(-(IF(OR(M207="",NOT(ISNUMBER(M207))),0,MAX(0,MIN(24,(INT(VALUE(F207)/100)-INT(M207/100))*12+MOD(VALUE(F207),100)-MOD(M207,100)))))/V8_LOCKOUT_TAU),1)</f>
        <v/>
      </c>
      <c r="AI207" s="8">
        <f>MAX(V8_BURN_FLOOR,1-V8_BURN_SLOPE*MIN(1,MAX(0,O207)))</f>
        <v/>
      </c>
      <c r="AJ207" s="15">
        <f>MIN(AA207*AF207*AG207*AH207*AI207,0.2)</f>
        <v/>
      </c>
      <c r="AK207" s="16">
        <f>1-(1-AJ207)^12</f>
        <v/>
      </c>
    </row>
    <row r="208">
      <c r="A208" s="2" t="inlineStr">
        <is>
          <t>000011311524</t>
        </is>
      </c>
      <c r="B208" t="inlineStr">
        <is>
          <t>223f</t>
        </is>
      </c>
      <c r="C208" t="inlineStr">
        <is>
          <t>RP</t>
        </is>
      </c>
      <c r="D208" t="inlineStr">
        <is>
          <t>DWIGHT CAPITAL LLC</t>
        </is>
      </c>
      <c r="E208" t="n">
        <v>2022</v>
      </c>
      <c r="F208" t="inlineStr">
        <is>
          <t>202602</t>
        </is>
      </c>
      <c r="G208" s="9" t="n">
        <v>59356883.6</v>
      </c>
      <c r="H208" s="13" t="n">
        <v>4.3</v>
      </c>
      <c r="I208" s="14" t="n">
        <v>447</v>
      </c>
      <c r="J208" s="14" t="n">
        <v>8</v>
      </c>
      <c r="K208" t="n">
        <v>38</v>
      </c>
      <c r="L208" t="n">
        <v>205801</v>
      </c>
      <c r="M208" t="inlineStr"/>
      <c r="N208" t="n">
        <v>0</v>
      </c>
      <c r="O208" s="8" t="n">
        <v>0</v>
      </c>
      <c r="P208">
        <f>IF(ISNUMBER(SEARCH("232",B208)),"232",IF(ISNUMBER(SEARCH("538",B208)),"538",IF(ISNUMBER(SEARCH("223a7",B208)),"223a7",IF(ISNUMBER(SEARCH("223f",B208)),"223f","OTHER"))))</f>
        <v/>
      </c>
      <c r="Q208">
        <f>IF(UPPER(C208)="NC","NC","RP")</f>
        <v/>
      </c>
      <c r="R208">
        <f>IF(G208&lt;5000000,"small",IF(G208&lt;25000000,"medium","large"))</f>
        <v/>
      </c>
      <c r="S208">
        <f>IF(K208&lt;36,"young",IF(K208&lt;120,"seasoned","aged"))</f>
        <v/>
      </c>
      <c r="T208">
        <f>P208&amp;"|"&amp;Q208&amp;"|"&amp;R208&amp;"|"&amp;S208</f>
        <v/>
      </c>
      <c r="U208" s="14">
        <f>H208*100-I208</f>
        <v/>
      </c>
      <c r="V208" s="14">
        <f>U208-12.5*(J208+1)</f>
        <v/>
      </c>
      <c r="W208" s="15">
        <f>IFERROR(VLOOKUP(T208,V8_COHORT_TABLE,2,FALSE),IFERROR(VLOOKUP(P208&amp;"|"&amp;Q208&amp;"|ALL|"&amp;S208,V8_COHORT_TABLE,2,FALSE),IFERROR(VLOOKUP(P208&amp;"|ALL|ALL|"&amp;S208,V8_COHORT_TABLE,2,FALSE),IFERROR(VLOOKUP(P208&amp;"|ALL|ALL|ALL",V8_COHORT_TABLE,2,FALSE),VLOOKUP("GLOBAL",V8_COHORT_TABLE,2,FALSE)))))</f>
        <v/>
      </c>
      <c r="X208" s="15">
        <f>IFERROR(VLOOKUP(T208,V8_COHORT_TABLE,3,FALSE),IFERROR(VLOOKUP(P208&amp;"|"&amp;Q208&amp;"|ALL|"&amp;S208,V8_COHORT_TABLE,3,FALSE),IFERROR(VLOOKUP(P208&amp;"|ALL|ALL|"&amp;S208,V8_COHORT_TABLE,3,FALSE),IFERROR(VLOOKUP(P208&amp;"|ALL|ALL|ALL",V8_COHORT_TABLE,3,FALSE),VLOOKUP("GLOBAL",V8_COHORT_TABLE,3,FALSE)))))</f>
        <v/>
      </c>
      <c r="Y208" s="15">
        <f>IFERROR(VLOOKUP(T208,V8_COHORT_TABLE,4,FALSE),IFERROR(VLOOKUP(P208&amp;"|"&amp;Q208&amp;"|ALL|"&amp;S208,V8_COHORT_TABLE,4,FALSE),IFERROR(VLOOKUP(P208&amp;"|ALL|ALL|"&amp;S208,V8_COHORT_TABLE,4,FALSE),IFERROR(VLOOKUP(P208&amp;"|ALL|ALL|ALL",V8_COHORT_TABLE,4,FALSE),VLOOKUP("GLOBAL",V8_COHORT_TABLE,4,FALSE)))))</f>
        <v/>
      </c>
      <c r="Z208" s="15">
        <f>IFERROR(VLOOKUP(T208,V8_COHORT_TABLE,5,FALSE),IFERROR(VLOOKUP(P208&amp;"|"&amp;Q208&amp;"|ALL|"&amp;S208,V8_COHORT_TABLE,5,FALSE),IFERROR(VLOOKUP(P208&amp;"|ALL|ALL|"&amp;S208,V8_COHORT_TABLE,5,FALSE),IFERROR(VLOOKUP(P208&amp;"|ALL|ALL|ALL",V8_COHORT_TABLE,5,FALSE),VLOOKUP("GLOBAL",V8_COHORT_TABLE,5,FALSE)))))</f>
        <v/>
      </c>
      <c r="AA208" s="15">
        <f>W208+X208/(1+EXP(-(V208-Y208)/Z208))</f>
        <v/>
      </c>
      <c r="AB208" s="15">
        <f>IFERROR(VLOOKUP(T208,V8_COHORT_TABLE,6,FALSE),IFERROR(VLOOKUP(P208&amp;"|"&amp;Q208&amp;"|ALL|"&amp;S208,V8_COHORT_TABLE,6,FALSE),IFERROR(VLOOKUP(P208&amp;"|ALL|ALL|"&amp;S208,V8_COHORT_TABLE,6,FALSE),IFERROR(VLOOKUP(P208&amp;"|ALL|ALL|ALL",V8_COHORT_TABLE,6,FALSE),VLOOKUP("GLOBAL",V8_COHORT_TABLE,6,FALSE)))))</f>
        <v/>
      </c>
      <c r="AC208" s="15">
        <f>IFERROR(VLOOKUP(T208,V8_COHORT_TABLE,7,FALSE),IFERROR(VLOOKUP(P208&amp;"|"&amp;Q208&amp;"|ALL|"&amp;S208,V8_COHORT_TABLE,7,FALSE),IFERROR(VLOOKUP(P208&amp;"|ALL|ALL|"&amp;S208,V8_COHORT_TABLE,7,FALSE),IFERROR(VLOOKUP(P208&amp;"|ALL|ALL|ALL",V8_COHORT_TABLE,7,FALSE),VLOOKUP("GLOBAL",V8_COHORT_TABLE,7,FALSE)))))</f>
        <v/>
      </c>
      <c r="AD208" s="15">
        <f>IFERROR(VLOOKUP(T208,V8_COHORT_TABLE,8,FALSE),IFERROR(VLOOKUP(P208&amp;"|"&amp;Q208&amp;"|ALL|"&amp;S208,V8_COHORT_TABLE,8,FALSE),IFERROR(VLOOKUP(P208&amp;"|ALL|ALL|"&amp;S208,V8_COHORT_TABLE,8,FALSE),IFERROR(VLOOKUP(P208&amp;"|ALL|ALL|ALL",V8_COHORT_TABLE,8,FALSE),VLOOKUP("GLOBAL",V8_COHORT_TABLE,8,FALSE)))))</f>
        <v/>
      </c>
      <c r="AE208" s="15">
        <f>IFERROR(VLOOKUP(T208,V8_COHORT_TABLE,9,FALSE),IFERROR(VLOOKUP(P208&amp;"|"&amp;Q208&amp;"|ALL|"&amp;S208,V8_COHORT_TABLE,9,FALSE),IFERROR(VLOOKUP(P208&amp;"|ALL|ALL|"&amp;S208,V8_COHORT_TABLE,9,FALSE),IFERROR(VLOOKUP(P208&amp;"|ALL|ALL|ALL",V8_COHORT_TABLE,9,FALSE),VLOOKUP("GLOBAL",V8_COHORT_TABLE,9,FALSE)))))</f>
        <v/>
      </c>
      <c r="AF208" s="8">
        <f>IF(K208&lt;=0,AB208,IF(K208&gt;=240,AE208,IF(K208&lt;=24,AB208+(K208-0)/24*(AC208-AB208),IF(K208&lt;=96,AC208+(K208-24)/72*(AD208-AC208),AD208+(K208-96)/144*(AE208-AD208)))))</f>
        <v/>
      </c>
      <c r="AG208" s="8">
        <f>IF(IF(OR(L208="",NOT(ISNUMBER(L208))),360,MAX(0,MIN(480,(INT(L208/100)-INT(VALUE(F208)/100))*12+MOD(L208,100)-MOD(VALUE(F208),100))))&gt;0,1+V8_MTY_AMP*MAX(0,(V8_MTY_CUTOFF-(IF(OR(L208="",NOT(ISNUMBER(L208))),360,MAX(0,MIN(480,(INT(L208/100)-INT(VALUE(F208)/100))*12+MOD(L208,100)-MOD(VALUE(F208),100))))))/V8_MTY_CUTOFF),1)</f>
        <v/>
      </c>
      <c r="AH208" s="8">
        <f>IF(AND(IF(OR(M208="",NOT(ISNUMBER(M208))),0,MAX(0,MIN(24,(INT(VALUE(F208)/100)-INT(M208/100))*12+MOD(VALUE(F208),100)-MOD(M208,100))))&gt;0,IF(OR(M208="",NOT(ISNUMBER(M208))),0,MAX(0,MIN(24,(INT(VALUE(F208)/100)-INT(M208/100))*12+MOD(VALUE(F208),100)-MOD(M208,100))))&lt;=12),1+V8_LOCKOUT_AMP*EXP(-(IF(OR(M208="",NOT(ISNUMBER(M208))),0,MAX(0,MIN(24,(INT(VALUE(F208)/100)-INT(M208/100))*12+MOD(VALUE(F208),100)-MOD(M208,100)))))/V8_LOCKOUT_TAU),1)</f>
        <v/>
      </c>
      <c r="AI208" s="8">
        <f>MAX(V8_BURN_FLOOR,1-V8_BURN_SLOPE*MIN(1,MAX(0,O208)))</f>
        <v/>
      </c>
      <c r="AJ208" s="15">
        <f>MIN(AA208*AF208*AG208*AH208*AI208,0.2)</f>
        <v/>
      </c>
      <c r="AK208" s="16">
        <f>1-(1-AJ208)^12</f>
        <v/>
      </c>
    </row>
    <row r="209">
      <c r="A209" s="2" t="inlineStr">
        <is>
          <t>000001222451</t>
        </is>
      </c>
      <c r="B209" t="inlineStr">
        <is>
          <t>232</t>
        </is>
      </c>
      <c r="C209" t="inlineStr">
        <is>
          <t>RP</t>
        </is>
      </c>
      <c r="D209" t="inlineStr">
        <is>
          <t>DWIGHT CAPITAL LLC</t>
        </is>
      </c>
      <c r="E209" t="n">
        <v>2023</v>
      </c>
      <c r="F209" t="inlineStr">
        <is>
          <t>202602</t>
        </is>
      </c>
      <c r="G209" s="9" t="n">
        <v>37604700.83</v>
      </c>
      <c r="H209" s="13" t="n">
        <v>5.58</v>
      </c>
      <c r="I209" s="14" t="n">
        <v>447</v>
      </c>
      <c r="J209" s="14" t="n">
        <v>9</v>
      </c>
      <c r="K209" t="n">
        <v>37</v>
      </c>
      <c r="L209" t="n">
        <v>205802</v>
      </c>
      <c r="M209" t="inlineStr"/>
      <c r="N209" t="n">
        <v>11</v>
      </c>
      <c r="O209" s="8" t="n">
        <v>0.2972972972972973</v>
      </c>
      <c r="P209">
        <f>IF(ISNUMBER(SEARCH("232",B209)),"232",IF(ISNUMBER(SEARCH("538",B209)),"538",IF(ISNUMBER(SEARCH("223a7",B209)),"223a7",IF(ISNUMBER(SEARCH("223f",B209)),"223f","OTHER"))))</f>
        <v/>
      </c>
      <c r="Q209">
        <f>IF(UPPER(C209)="NC","NC","RP")</f>
        <v/>
      </c>
      <c r="R209">
        <f>IF(G209&lt;5000000,"small",IF(G209&lt;25000000,"medium","large"))</f>
        <v/>
      </c>
      <c r="S209">
        <f>IF(K209&lt;36,"young",IF(K209&lt;120,"seasoned","aged"))</f>
        <v/>
      </c>
      <c r="T209">
        <f>P209&amp;"|"&amp;Q209&amp;"|"&amp;R209&amp;"|"&amp;S209</f>
        <v/>
      </c>
      <c r="U209" s="14">
        <f>H209*100-I209</f>
        <v/>
      </c>
      <c r="V209" s="14">
        <f>U209-12.5*(J209+1)</f>
        <v/>
      </c>
      <c r="W209" s="15">
        <f>IFERROR(VLOOKUP(T209,V8_COHORT_TABLE,2,FALSE),IFERROR(VLOOKUP(P209&amp;"|"&amp;Q209&amp;"|ALL|"&amp;S209,V8_COHORT_TABLE,2,FALSE),IFERROR(VLOOKUP(P209&amp;"|ALL|ALL|"&amp;S209,V8_COHORT_TABLE,2,FALSE),IFERROR(VLOOKUP(P209&amp;"|ALL|ALL|ALL",V8_COHORT_TABLE,2,FALSE),VLOOKUP("GLOBAL",V8_COHORT_TABLE,2,FALSE)))))</f>
        <v/>
      </c>
      <c r="X209" s="15">
        <f>IFERROR(VLOOKUP(T209,V8_COHORT_TABLE,3,FALSE),IFERROR(VLOOKUP(P209&amp;"|"&amp;Q209&amp;"|ALL|"&amp;S209,V8_COHORT_TABLE,3,FALSE),IFERROR(VLOOKUP(P209&amp;"|ALL|ALL|"&amp;S209,V8_COHORT_TABLE,3,FALSE),IFERROR(VLOOKUP(P209&amp;"|ALL|ALL|ALL",V8_COHORT_TABLE,3,FALSE),VLOOKUP("GLOBAL",V8_COHORT_TABLE,3,FALSE)))))</f>
        <v/>
      </c>
      <c r="Y209" s="15">
        <f>IFERROR(VLOOKUP(T209,V8_COHORT_TABLE,4,FALSE),IFERROR(VLOOKUP(P209&amp;"|"&amp;Q209&amp;"|ALL|"&amp;S209,V8_COHORT_TABLE,4,FALSE),IFERROR(VLOOKUP(P209&amp;"|ALL|ALL|"&amp;S209,V8_COHORT_TABLE,4,FALSE),IFERROR(VLOOKUP(P209&amp;"|ALL|ALL|ALL",V8_COHORT_TABLE,4,FALSE),VLOOKUP("GLOBAL",V8_COHORT_TABLE,4,FALSE)))))</f>
        <v/>
      </c>
      <c r="Z209" s="15">
        <f>IFERROR(VLOOKUP(T209,V8_COHORT_TABLE,5,FALSE),IFERROR(VLOOKUP(P209&amp;"|"&amp;Q209&amp;"|ALL|"&amp;S209,V8_COHORT_TABLE,5,FALSE),IFERROR(VLOOKUP(P209&amp;"|ALL|ALL|"&amp;S209,V8_COHORT_TABLE,5,FALSE),IFERROR(VLOOKUP(P209&amp;"|ALL|ALL|ALL",V8_COHORT_TABLE,5,FALSE),VLOOKUP("GLOBAL",V8_COHORT_TABLE,5,FALSE)))))</f>
        <v/>
      </c>
      <c r="AA209" s="15">
        <f>W209+X209/(1+EXP(-(V209-Y209)/Z209))</f>
        <v/>
      </c>
      <c r="AB209" s="15">
        <f>IFERROR(VLOOKUP(T209,V8_COHORT_TABLE,6,FALSE),IFERROR(VLOOKUP(P209&amp;"|"&amp;Q209&amp;"|ALL|"&amp;S209,V8_COHORT_TABLE,6,FALSE),IFERROR(VLOOKUP(P209&amp;"|ALL|ALL|"&amp;S209,V8_COHORT_TABLE,6,FALSE),IFERROR(VLOOKUP(P209&amp;"|ALL|ALL|ALL",V8_COHORT_TABLE,6,FALSE),VLOOKUP("GLOBAL",V8_COHORT_TABLE,6,FALSE)))))</f>
        <v/>
      </c>
      <c r="AC209" s="15">
        <f>IFERROR(VLOOKUP(T209,V8_COHORT_TABLE,7,FALSE),IFERROR(VLOOKUP(P209&amp;"|"&amp;Q209&amp;"|ALL|"&amp;S209,V8_COHORT_TABLE,7,FALSE),IFERROR(VLOOKUP(P209&amp;"|ALL|ALL|"&amp;S209,V8_COHORT_TABLE,7,FALSE),IFERROR(VLOOKUP(P209&amp;"|ALL|ALL|ALL",V8_COHORT_TABLE,7,FALSE),VLOOKUP("GLOBAL",V8_COHORT_TABLE,7,FALSE)))))</f>
        <v/>
      </c>
      <c r="AD209" s="15">
        <f>IFERROR(VLOOKUP(T209,V8_COHORT_TABLE,8,FALSE),IFERROR(VLOOKUP(P209&amp;"|"&amp;Q209&amp;"|ALL|"&amp;S209,V8_COHORT_TABLE,8,FALSE),IFERROR(VLOOKUP(P209&amp;"|ALL|ALL|"&amp;S209,V8_COHORT_TABLE,8,FALSE),IFERROR(VLOOKUP(P209&amp;"|ALL|ALL|ALL",V8_COHORT_TABLE,8,FALSE),VLOOKUP("GLOBAL",V8_COHORT_TABLE,8,FALSE)))))</f>
        <v/>
      </c>
      <c r="AE209" s="15">
        <f>IFERROR(VLOOKUP(T209,V8_COHORT_TABLE,9,FALSE),IFERROR(VLOOKUP(P209&amp;"|"&amp;Q209&amp;"|ALL|"&amp;S209,V8_COHORT_TABLE,9,FALSE),IFERROR(VLOOKUP(P209&amp;"|ALL|ALL|"&amp;S209,V8_COHORT_TABLE,9,FALSE),IFERROR(VLOOKUP(P209&amp;"|ALL|ALL|ALL",V8_COHORT_TABLE,9,FALSE),VLOOKUP("GLOBAL",V8_COHORT_TABLE,9,FALSE)))))</f>
        <v/>
      </c>
      <c r="AF209" s="8">
        <f>IF(K209&lt;=0,AB209,IF(K209&gt;=240,AE209,IF(K209&lt;=24,AB209+(K209-0)/24*(AC209-AB209),IF(K209&lt;=96,AC209+(K209-24)/72*(AD209-AC209),AD209+(K209-96)/144*(AE209-AD209)))))</f>
        <v/>
      </c>
      <c r="AG209" s="8">
        <f>IF(IF(OR(L209="",NOT(ISNUMBER(L209))),360,MAX(0,MIN(480,(INT(L209/100)-INT(VALUE(F209)/100))*12+MOD(L209,100)-MOD(VALUE(F209),100))))&gt;0,1+V8_MTY_AMP*MAX(0,(V8_MTY_CUTOFF-(IF(OR(L209="",NOT(ISNUMBER(L209))),360,MAX(0,MIN(480,(INT(L209/100)-INT(VALUE(F209)/100))*12+MOD(L209,100)-MOD(VALUE(F209),100))))))/V8_MTY_CUTOFF),1)</f>
        <v/>
      </c>
      <c r="AH209" s="8">
        <f>IF(AND(IF(OR(M209="",NOT(ISNUMBER(M209))),0,MAX(0,MIN(24,(INT(VALUE(F209)/100)-INT(M209/100))*12+MOD(VALUE(F209),100)-MOD(M209,100))))&gt;0,IF(OR(M209="",NOT(ISNUMBER(M209))),0,MAX(0,MIN(24,(INT(VALUE(F209)/100)-INT(M209/100))*12+MOD(VALUE(F209),100)-MOD(M209,100))))&lt;=12),1+V8_LOCKOUT_AMP*EXP(-(IF(OR(M209="",NOT(ISNUMBER(M209))),0,MAX(0,MIN(24,(INT(VALUE(F209)/100)-INT(M209/100))*12+MOD(VALUE(F209),100)-MOD(M209,100)))))/V8_LOCKOUT_TAU),1)</f>
        <v/>
      </c>
      <c r="AI209" s="8">
        <f>MAX(V8_BURN_FLOOR,1-V8_BURN_SLOPE*MIN(1,MAX(0,O209)))</f>
        <v/>
      </c>
      <c r="AJ209" s="15">
        <f>MIN(AA209*AF209*AG209*AH209*AI209,0.2)</f>
        <v/>
      </c>
      <c r="AK209" s="16">
        <f>1-(1-AJ209)^12</f>
        <v/>
      </c>
    </row>
    <row r="210">
      <c r="A210" s="2" t="inlineStr">
        <is>
          <t>000006111419</t>
        </is>
      </c>
      <c r="B210" t="inlineStr">
        <is>
          <t>223f</t>
        </is>
      </c>
      <c r="C210" t="inlineStr">
        <is>
          <t>RP</t>
        </is>
      </c>
      <c r="D210" t="inlineStr">
        <is>
          <t>DWIGHT CAPITAL LLC</t>
        </is>
      </c>
      <c r="E210" t="n">
        <v>2020</v>
      </c>
      <c r="F210" t="inlineStr">
        <is>
          <t>202602</t>
        </is>
      </c>
      <c r="G210" s="9" t="n">
        <v>6014766.92</v>
      </c>
      <c r="H210" s="13" t="n">
        <v>3.25</v>
      </c>
      <c r="I210" s="14" t="n">
        <v>447</v>
      </c>
      <c r="J210" s="14" t="n">
        <v>5</v>
      </c>
      <c r="K210" t="n">
        <v>72</v>
      </c>
      <c r="L210" t="n">
        <v>205503</v>
      </c>
      <c r="M210" t="inlineStr"/>
      <c r="N210" t="n">
        <v>19</v>
      </c>
      <c r="O210" s="8" t="n">
        <v>0.2638888888888889</v>
      </c>
      <c r="P210">
        <f>IF(ISNUMBER(SEARCH("232",B210)),"232",IF(ISNUMBER(SEARCH("538",B210)),"538",IF(ISNUMBER(SEARCH("223a7",B210)),"223a7",IF(ISNUMBER(SEARCH("223f",B210)),"223f","OTHER"))))</f>
        <v/>
      </c>
      <c r="Q210">
        <f>IF(UPPER(C210)="NC","NC","RP")</f>
        <v/>
      </c>
      <c r="R210">
        <f>IF(G210&lt;5000000,"small",IF(G210&lt;25000000,"medium","large"))</f>
        <v/>
      </c>
      <c r="S210">
        <f>IF(K210&lt;36,"young",IF(K210&lt;120,"seasoned","aged"))</f>
        <v/>
      </c>
      <c r="T210">
        <f>P210&amp;"|"&amp;Q210&amp;"|"&amp;R210&amp;"|"&amp;S210</f>
        <v/>
      </c>
      <c r="U210" s="14">
        <f>H210*100-I210</f>
        <v/>
      </c>
      <c r="V210" s="14">
        <f>U210-12.5*(J210+1)</f>
        <v/>
      </c>
      <c r="W210" s="15">
        <f>IFERROR(VLOOKUP(T210,V8_COHORT_TABLE,2,FALSE),IFERROR(VLOOKUP(P210&amp;"|"&amp;Q210&amp;"|ALL|"&amp;S210,V8_COHORT_TABLE,2,FALSE),IFERROR(VLOOKUP(P210&amp;"|ALL|ALL|"&amp;S210,V8_COHORT_TABLE,2,FALSE),IFERROR(VLOOKUP(P210&amp;"|ALL|ALL|ALL",V8_COHORT_TABLE,2,FALSE),VLOOKUP("GLOBAL",V8_COHORT_TABLE,2,FALSE)))))</f>
        <v/>
      </c>
      <c r="X210" s="15">
        <f>IFERROR(VLOOKUP(T210,V8_COHORT_TABLE,3,FALSE),IFERROR(VLOOKUP(P210&amp;"|"&amp;Q210&amp;"|ALL|"&amp;S210,V8_COHORT_TABLE,3,FALSE),IFERROR(VLOOKUP(P210&amp;"|ALL|ALL|"&amp;S210,V8_COHORT_TABLE,3,FALSE),IFERROR(VLOOKUP(P210&amp;"|ALL|ALL|ALL",V8_COHORT_TABLE,3,FALSE),VLOOKUP("GLOBAL",V8_COHORT_TABLE,3,FALSE)))))</f>
        <v/>
      </c>
      <c r="Y210" s="15">
        <f>IFERROR(VLOOKUP(T210,V8_COHORT_TABLE,4,FALSE),IFERROR(VLOOKUP(P210&amp;"|"&amp;Q210&amp;"|ALL|"&amp;S210,V8_COHORT_TABLE,4,FALSE),IFERROR(VLOOKUP(P210&amp;"|ALL|ALL|"&amp;S210,V8_COHORT_TABLE,4,FALSE),IFERROR(VLOOKUP(P210&amp;"|ALL|ALL|ALL",V8_COHORT_TABLE,4,FALSE),VLOOKUP("GLOBAL",V8_COHORT_TABLE,4,FALSE)))))</f>
        <v/>
      </c>
      <c r="Z210" s="15">
        <f>IFERROR(VLOOKUP(T210,V8_COHORT_TABLE,5,FALSE),IFERROR(VLOOKUP(P210&amp;"|"&amp;Q210&amp;"|ALL|"&amp;S210,V8_COHORT_TABLE,5,FALSE),IFERROR(VLOOKUP(P210&amp;"|ALL|ALL|"&amp;S210,V8_COHORT_TABLE,5,FALSE),IFERROR(VLOOKUP(P210&amp;"|ALL|ALL|ALL",V8_COHORT_TABLE,5,FALSE),VLOOKUP("GLOBAL",V8_COHORT_TABLE,5,FALSE)))))</f>
        <v/>
      </c>
      <c r="AA210" s="15">
        <f>W210+X210/(1+EXP(-(V210-Y210)/Z210))</f>
        <v/>
      </c>
      <c r="AB210" s="15">
        <f>IFERROR(VLOOKUP(T210,V8_COHORT_TABLE,6,FALSE),IFERROR(VLOOKUP(P210&amp;"|"&amp;Q210&amp;"|ALL|"&amp;S210,V8_COHORT_TABLE,6,FALSE),IFERROR(VLOOKUP(P210&amp;"|ALL|ALL|"&amp;S210,V8_COHORT_TABLE,6,FALSE),IFERROR(VLOOKUP(P210&amp;"|ALL|ALL|ALL",V8_COHORT_TABLE,6,FALSE),VLOOKUP("GLOBAL",V8_COHORT_TABLE,6,FALSE)))))</f>
        <v/>
      </c>
      <c r="AC210" s="15">
        <f>IFERROR(VLOOKUP(T210,V8_COHORT_TABLE,7,FALSE),IFERROR(VLOOKUP(P210&amp;"|"&amp;Q210&amp;"|ALL|"&amp;S210,V8_COHORT_TABLE,7,FALSE),IFERROR(VLOOKUP(P210&amp;"|ALL|ALL|"&amp;S210,V8_COHORT_TABLE,7,FALSE),IFERROR(VLOOKUP(P210&amp;"|ALL|ALL|ALL",V8_COHORT_TABLE,7,FALSE),VLOOKUP("GLOBAL",V8_COHORT_TABLE,7,FALSE)))))</f>
        <v/>
      </c>
      <c r="AD210" s="15">
        <f>IFERROR(VLOOKUP(T210,V8_COHORT_TABLE,8,FALSE),IFERROR(VLOOKUP(P210&amp;"|"&amp;Q210&amp;"|ALL|"&amp;S210,V8_COHORT_TABLE,8,FALSE),IFERROR(VLOOKUP(P210&amp;"|ALL|ALL|"&amp;S210,V8_COHORT_TABLE,8,FALSE),IFERROR(VLOOKUP(P210&amp;"|ALL|ALL|ALL",V8_COHORT_TABLE,8,FALSE),VLOOKUP("GLOBAL",V8_COHORT_TABLE,8,FALSE)))))</f>
        <v/>
      </c>
      <c r="AE210" s="15">
        <f>IFERROR(VLOOKUP(T210,V8_COHORT_TABLE,9,FALSE),IFERROR(VLOOKUP(P210&amp;"|"&amp;Q210&amp;"|ALL|"&amp;S210,V8_COHORT_TABLE,9,FALSE),IFERROR(VLOOKUP(P210&amp;"|ALL|ALL|"&amp;S210,V8_COHORT_TABLE,9,FALSE),IFERROR(VLOOKUP(P210&amp;"|ALL|ALL|ALL",V8_COHORT_TABLE,9,FALSE),VLOOKUP("GLOBAL",V8_COHORT_TABLE,9,FALSE)))))</f>
        <v/>
      </c>
      <c r="AF210" s="8">
        <f>IF(K210&lt;=0,AB210,IF(K210&gt;=240,AE210,IF(K210&lt;=24,AB210+(K210-0)/24*(AC210-AB210),IF(K210&lt;=96,AC210+(K210-24)/72*(AD210-AC210),AD210+(K210-96)/144*(AE210-AD210)))))</f>
        <v/>
      </c>
      <c r="AG210" s="8">
        <f>IF(IF(OR(L210="",NOT(ISNUMBER(L210))),360,MAX(0,MIN(480,(INT(L210/100)-INT(VALUE(F210)/100))*12+MOD(L210,100)-MOD(VALUE(F210),100))))&gt;0,1+V8_MTY_AMP*MAX(0,(V8_MTY_CUTOFF-(IF(OR(L210="",NOT(ISNUMBER(L210))),360,MAX(0,MIN(480,(INT(L210/100)-INT(VALUE(F210)/100))*12+MOD(L210,100)-MOD(VALUE(F210),100))))))/V8_MTY_CUTOFF),1)</f>
        <v/>
      </c>
      <c r="AH210" s="8">
        <f>IF(AND(IF(OR(M210="",NOT(ISNUMBER(M210))),0,MAX(0,MIN(24,(INT(VALUE(F210)/100)-INT(M210/100))*12+MOD(VALUE(F210),100)-MOD(M210,100))))&gt;0,IF(OR(M210="",NOT(ISNUMBER(M210))),0,MAX(0,MIN(24,(INT(VALUE(F210)/100)-INT(M210/100))*12+MOD(VALUE(F210),100)-MOD(M210,100))))&lt;=12),1+V8_LOCKOUT_AMP*EXP(-(IF(OR(M210="",NOT(ISNUMBER(M210))),0,MAX(0,MIN(24,(INT(VALUE(F210)/100)-INT(M210/100))*12+MOD(VALUE(F210),100)-MOD(M210,100)))))/V8_LOCKOUT_TAU),1)</f>
        <v/>
      </c>
      <c r="AI210" s="8">
        <f>MAX(V8_BURN_FLOOR,1-V8_BURN_SLOPE*MIN(1,MAX(0,O210)))</f>
        <v/>
      </c>
      <c r="AJ210" s="15">
        <f>MIN(AA210*AF210*AG210*AH210*AI210,0.2)</f>
        <v/>
      </c>
      <c r="AK210" s="16">
        <f>1-(1-AJ210)^12</f>
        <v/>
      </c>
    </row>
    <row r="211">
      <c r="A211" s="2" t="inlineStr">
        <is>
          <t>000008322130</t>
        </is>
      </c>
      <c r="B211" t="inlineStr">
        <is>
          <t>232</t>
        </is>
      </c>
      <c r="C211" t="inlineStr">
        <is>
          <t>RP</t>
        </is>
      </c>
      <c r="D211" t="inlineStr">
        <is>
          <t>DWIGHT CAPITAL LLC</t>
        </is>
      </c>
      <c r="E211" t="n">
        <v>2025</v>
      </c>
      <c r="F211" t="inlineStr">
        <is>
          <t>202602</t>
        </is>
      </c>
      <c r="G211" s="9" t="n">
        <v>13049676.66</v>
      </c>
      <c r="H211" s="13" t="n">
        <v>6.28</v>
      </c>
      <c r="I211" s="14" t="n">
        <v>447</v>
      </c>
      <c r="J211" s="14" t="n">
        <v>0</v>
      </c>
      <c r="K211" t="n">
        <v>9</v>
      </c>
      <c r="L211" t="n">
        <v>206006</v>
      </c>
      <c r="M211" t="inlineStr"/>
      <c r="N211" t="n">
        <v>9</v>
      </c>
      <c r="O211" s="8" t="n">
        <v>1</v>
      </c>
      <c r="P211">
        <f>IF(ISNUMBER(SEARCH("232",B211)),"232",IF(ISNUMBER(SEARCH("538",B211)),"538",IF(ISNUMBER(SEARCH("223a7",B211)),"223a7",IF(ISNUMBER(SEARCH("223f",B211)),"223f","OTHER"))))</f>
        <v/>
      </c>
      <c r="Q211">
        <f>IF(UPPER(C211)="NC","NC","RP")</f>
        <v/>
      </c>
      <c r="R211">
        <f>IF(G211&lt;5000000,"small",IF(G211&lt;25000000,"medium","large"))</f>
        <v/>
      </c>
      <c r="S211">
        <f>IF(K211&lt;36,"young",IF(K211&lt;120,"seasoned","aged"))</f>
        <v/>
      </c>
      <c r="T211">
        <f>P211&amp;"|"&amp;Q211&amp;"|"&amp;R211&amp;"|"&amp;S211</f>
        <v/>
      </c>
      <c r="U211" s="14">
        <f>H211*100-I211</f>
        <v/>
      </c>
      <c r="V211" s="14">
        <f>U211-12.5*(J211+1)</f>
        <v/>
      </c>
      <c r="W211" s="15">
        <f>IFERROR(VLOOKUP(T211,V8_COHORT_TABLE,2,FALSE),IFERROR(VLOOKUP(P211&amp;"|"&amp;Q211&amp;"|ALL|"&amp;S211,V8_COHORT_TABLE,2,FALSE),IFERROR(VLOOKUP(P211&amp;"|ALL|ALL|"&amp;S211,V8_COHORT_TABLE,2,FALSE),IFERROR(VLOOKUP(P211&amp;"|ALL|ALL|ALL",V8_COHORT_TABLE,2,FALSE),VLOOKUP("GLOBAL",V8_COHORT_TABLE,2,FALSE)))))</f>
        <v/>
      </c>
      <c r="X211" s="15">
        <f>IFERROR(VLOOKUP(T211,V8_COHORT_TABLE,3,FALSE),IFERROR(VLOOKUP(P211&amp;"|"&amp;Q211&amp;"|ALL|"&amp;S211,V8_COHORT_TABLE,3,FALSE),IFERROR(VLOOKUP(P211&amp;"|ALL|ALL|"&amp;S211,V8_COHORT_TABLE,3,FALSE),IFERROR(VLOOKUP(P211&amp;"|ALL|ALL|ALL",V8_COHORT_TABLE,3,FALSE),VLOOKUP("GLOBAL",V8_COHORT_TABLE,3,FALSE)))))</f>
        <v/>
      </c>
      <c r="Y211" s="15">
        <f>IFERROR(VLOOKUP(T211,V8_COHORT_TABLE,4,FALSE),IFERROR(VLOOKUP(P211&amp;"|"&amp;Q211&amp;"|ALL|"&amp;S211,V8_COHORT_TABLE,4,FALSE),IFERROR(VLOOKUP(P211&amp;"|ALL|ALL|"&amp;S211,V8_COHORT_TABLE,4,FALSE),IFERROR(VLOOKUP(P211&amp;"|ALL|ALL|ALL",V8_COHORT_TABLE,4,FALSE),VLOOKUP("GLOBAL",V8_COHORT_TABLE,4,FALSE)))))</f>
        <v/>
      </c>
      <c r="Z211" s="15">
        <f>IFERROR(VLOOKUP(T211,V8_COHORT_TABLE,5,FALSE),IFERROR(VLOOKUP(P211&amp;"|"&amp;Q211&amp;"|ALL|"&amp;S211,V8_COHORT_TABLE,5,FALSE),IFERROR(VLOOKUP(P211&amp;"|ALL|ALL|"&amp;S211,V8_COHORT_TABLE,5,FALSE),IFERROR(VLOOKUP(P211&amp;"|ALL|ALL|ALL",V8_COHORT_TABLE,5,FALSE),VLOOKUP("GLOBAL",V8_COHORT_TABLE,5,FALSE)))))</f>
        <v/>
      </c>
      <c r="AA211" s="15">
        <f>W211+X211/(1+EXP(-(V211-Y211)/Z211))</f>
        <v/>
      </c>
      <c r="AB211" s="15">
        <f>IFERROR(VLOOKUP(T211,V8_COHORT_TABLE,6,FALSE),IFERROR(VLOOKUP(P211&amp;"|"&amp;Q211&amp;"|ALL|"&amp;S211,V8_COHORT_TABLE,6,FALSE),IFERROR(VLOOKUP(P211&amp;"|ALL|ALL|"&amp;S211,V8_COHORT_TABLE,6,FALSE),IFERROR(VLOOKUP(P211&amp;"|ALL|ALL|ALL",V8_COHORT_TABLE,6,FALSE),VLOOKUP("GLOBAL",V8_COHORT_TABLE,6,FALSE)))))</f>
        <v/>
      </c>
      <c r="AC211" s="15">
        <f>IFERROR(VLOOKUP(T211,V8_COHORT_TABLE,7,FALSE),IFERROR(VLOOKUP(P211&amp;"|"&amp;Q211&amp;"|ALL|"&amp;S211,V8_COHORT_TABLE,7,FALSE),IFERROR(VLOOKUP(P211&amp;"|ALL|ALL|"&amp;S211,V8_COHORT_TABLE,7,FALSE),IFERROR(VLOOKUP(P211&amp;"|ALL|ALL|ALL",V8_COHORT_TABLE,7,FALSE),VLOOKUP("GLOBAL",V8_COHORT_TABLE,7,FALSE)))))</f>
        <v/>
      </c>
      <c r="AD211" s="15">
        <f>IFERROR(VLOOKUP(T211,V8_COHORT_TABLE,8,FALSE),IFERROR(VLOOKUP(P211&amp;"|"&amp;Q211&amp;"|ALL|"&amp;S211,V8_COHORT_TABLE,8,FALSE),IFERROR(VLOOKUP(P211&amp;"|ALL|ALL|"&amp;S211,V8_COHORT_TABLE,8,FALSE),IFERROR(VLOOKUP(P211&amp;"|ALL|ALL|ALL",V8_COHORT_TABLE,8,FALSE),VLOOKUP("GLOBAL",V8_COHORT_TABLE,8,FALSE)))))</f>
        <v/>
      </c>
      <c r="AE211" s="15">
        <f>IFERROR(VLOOKUP(T211,V8_COHORT_TABLE,9,FALSE),IFERROR(VLOOKUP(P211&amp;"|"&amp;Q211&amp;"|ALL|"&amp;S211,V8_COHORT_TABLE,9,FALSE),IFERROR(VLOOKUP(P211&amp;"|ALL|ALL|"&amp;S211,V8_COHORT_TABLE,9,FALSE),IFERROR(VLOOKUP(P211&amp;"|ALL|ALL|ALL",V8_COHORT_TABLE,9,FALSE),VLOOKUP("GLOBAL",V8_COHORT_TABLE,9,FALSE)))))</f>
        <v/>
      </c>
      <c r="AF211" s="8">
        <f>IF(K211&lt;=0,AB211,IF(K211&gt;=240,AE211,IF(K211&lt;=24,AB211+(K211-0)/24*(AC211-AB211),IF(K211&lt;=96,AC211+(K211-24)/72*(AD211-AC211),AD211+(K211-96)/144*(AE211-AD211)))))</f>
        <v/>
      </c>
      <c r="AG211" s="8">
        <f>IF(IF(OR(L211="",NOT(ISNUMBER(L211))),360,MAX(0,MIN(480,(INT(L211/100)-INT(VALUE(F211)/100))*12+MOD(L211,100)-MOD(VALUE(F211),100))))&gt;0,1+V8_MTY_AMP*MAX(0,(V8_MTY_CUTOFF-(IF(OR(L211="",NOT(ISNUMBER(L211))),360,MAX(0,MIN(480,(INT(L211/100)-INT(VALUE(F211)/100))*12+MOD(L211,100)-MOD(VALUE(F211),100))))))/V8_MTY_CUTOFF),1)</f>
        <v/>
      </c>
      <c r="AH211" s="8">
        <f>IF(AND(IF(OR(M211="",NOT(ISNUMBER(M211))),0,MAX(0,MIN(24,(INT(VALUE(F211)/100)-INT(M211/100))*12+MOD(VALUE(F211),100)-MOD(M211,100))))&gt;0,IF(OR(M211="",NOT(ISNUMBER(M211))),0,MAX(0,MIN(24,(INT(VALUE(F211)/100)-INT(M211/100))*12+MOD(VALUE(F211),100)-MOD(M211,100))))&lt;=12),1+V8_LOCKOUT_AMP*EXP(-(IF(OR(M211="",NOT(ISNUMBER(M211))),0,MAX(0,MIN(24,(INT(VALUE(F211)/100)-INT(M211/100))*12+MOD(VALUE(F211),100)-MOD(M211,100)))))/V8_LOCKOUT_TAU),1)</f>
        <v/>
      </c>
      <c r="AI211" s="8">
        <f>MAX(V8_BURN_FLOOR,1-V8_BURN_SLOPE*MIN(1,MAX(0,O211)))</f>
        <v/>
      </c>
      <c r="AJ211" s="15">
        <f>MIN(AA211*AF211*AG211*AH211*AI211,0.2)</f>
        <v/>
      </c>
      <c r="AK211" s="16">
        <f>1-(1-AJ211)^12</f>
        <v/>
      </c>
    </row>
    <row r="212">
      <c r="A212" s="2" t="inlineStr">
        <is>
          <t>000017122040</t>
        </is>
      </c>
      <c r="B212" t="inlineStr">
        <is>
          <t>232</t>
        </is>
      </c>
      <c r="C212" t="inlineStr">
        <is>
          <t>RP</t>
        </is>
      </c>
      <c r="D212" t="inlineStr">
        <is>
          <t>KEYBANK NATIONAL ASSOCIATION</t>
        </is>
      </c>
      <c r="E212" t="n">
        <v>2014</v>
      </c>
      <c r="F212" t="inlineStr">
        <is>
          <t>202602</t>
        </is>
      </c>
      <c r="G212" s="9" t="n">
        <v>9448229.029999999</v>
      </c>
      <c r="H212" s="13" t="n">
        <v>3.73</v>
      </c>
      <c r="I212" s="14" t="n">
        <v>447</v>
      </c>
      <c r="J212" s="14" t="n">
        <v>0</v>
      </c>
      <c r="K212" t="n">
        <v>134</v>
      </c>
      <c r="L212" t="n">
        <v>205001</v>
      </c>
      <c r="M212" t="inlineStr"/>
      <c r="N212" t="n">
        <v>35</v>
      </c>
      <c r="O212" s="8" t="n">
        <v>0.2611940298507462</v>
      </c>
      <c r="P212">
        <f>IF(ISNUMBER(SEARCH("232",B212)),"232",IF(ISNUMBER(SEARCH("538",B212)),"538",IF(ISNUMBER(SEARCH("223a7",B212)),"223a7",IF(ISNUMBER(SEARCH("223f",B212)),"223f","OTHER"))))</f>
        <v/>
      </c>
      <c r="Q212">
        <f>IF(UPPER(C212)="NC","NC","RP")</f>
        <v/>
      </c>
      <c r="R212">
        <f>IF(G212&lt;5000000,"small",IF(G212&lt;25000000,"medium","large"))</f>
        <v/>
      </c>
      <c r="S212">
        <f>IF(K212&lt;36,"young",IF(K212&lt;120,"seasoned","aged"))</f>
        <v/>
      </c>
      <c r="T212">
        <f>P212&amp;"|"&amp;Q212&amp;"|"&amp;R212&amp;"|"&amp;S212</f>
        <v/>
      </c>
      <c r="U212" s="14">
        <f>H212*100-I212</f>
        <v/>
      </c>
      <c r="V212" s="14">
        <f>U212-12.5*(J212+1)</f>
        <v/>
      </c>
      <c r="W212" s="15">
        <f>IFERROR(VLOOKUP(T212,V8_COHORT_TABLE,2,FALSE),IFERROR(VLOOKUP(P212&amp;"|"&amp;Q212&amp;"|ALL|"&amp;S212,V8_COHORT_TABLE,2,FALSE),IFERROR(VLOOKUP(P212&amp;"|ALL|ALL|"&amp;S212,V8_COHORT_TABLE,2,FALSE),IFERROR(VLOOKUP(P212&amp;"|ALL|ALL|ALL",V8_COHORT_TABLE,2,FALSE),VLOOKUP("GLOBAL",V8_COHORT_TABLE,2,FALSE)))))</f>
        <v/>
      </c>
      <c r="X212" s="15">
        <f>IFERROR(VLOOKUP(T212,V8_COHORT_TABLE,3,FALSE),IFERROR(VLOOKUP(P212&amp;"|"&amp;Q212&amp;"|ALL|"&amp;S212,V8_COHORT_TABLE,3,FALSE),IFERROR(VLOOKUP(P212&amp;"|ALL|ALL|"&amp;S212,V8_COHORT_TABLE,3,FALSE),IFERROR(VLOOKUP(P212&amp;"|ALL|ALL|ALL",V8_COHORT_TABLE,3,FALSE),VLOOKUP("GLOBAL",V8_COHORT_TABLE,3,FALSE)))))</f>
        <v/>
      </c>
      <c r="Y212" s="15">
        <f>IFERROR(VLOOKUP(T212,V8_COHORT_TABLE,4,FALSE),IFERROR(VLOOKUP(P212&amp;"|"&amp;Q212&amp;"|ALL|"&amp;S212,V8_COHORT_TABLE,4,FALSE),IFERROR(VLOOKUP(P212&amp;"|ALL|ALL|"&amp;S212,V8_COHORT_TABLE,4,FALSE),IFERROR(VLOOKUP(P212&amp;"|ALL|ALL|ALL",V8_COHORT_TABLE,4,FALSE),VLOOKUP("GLOBAL",V8_COHORT_TABLE,4,FALSE)))))</f>
        <v/>
      </c>
      <c r="Z212" s="15">
        <f>IFERROR(VLOOKUP(T212,V8_COHORT_TABLE,5,FALSE),IFERROR(VLOOKUP(P212&amp;"|"&amp;Q212&amp;"|ALL|"&amp;S212,V8_COHORT_TABLE,5,FALSE),IFERROR(VLOOKUP(P212&amp;"|ALL|ALL|"&amp;S212,V8_COHORT_TABLE,5,FALSE),IFERROR(VLOOKUP(P212&amp;"|ALL|ALL|ALL",V8_COHORT_TABLE,5,FALSE),VLOOKUP("GLOBAL",V8_COHORT_TABLE,5,FALSE)))))</f>
        <v/>
      </c>
      <c r="AA212" s="15">
        <f>W212+X212/(1+EXP(-(V212-Y212)/Z212))</f>
        <v/>
      </c>
      <c r="AB212" s="15">
        <f>IFERROR(VLOOKUP(T212,V8_COHORT_TABLE,6,FALSE),IFERROR(VLOOKUP(P212&amp;"|"&amp;Q212&amp;"|ALL|"&amp;S212,V8_COHORT_TABLE,6,FALSE),IFERROR(VLOOKUP(P212&amp;"|ALL|ALL|"&amp;S212,V8_COHORT_TABLE,6,FALSE),IFERROR(VLOOKUP(P212&amp;"|ALL|ALL|ALL",V8_COHORT_TABLE,6,FALSE),VLOOKUP("GLOBAL",V8_COHORT_TABLE,6,FALSE)))))</f>
        <v/>
      </c>
      <c r="AC212" s="15">
        <f>IFERROR(VLOOKUP(T212,V8_COHORT_TABLE,7,FALSE),IFERROR(VLOOKUP(P212&amp;"|"&amp;Q212&amp;"|ALL|"&amp;S212,V8_COHORT_TABLE,7,FALSE),IFERROR(VLOOKUP(P212&amp;"|ALL|ALL|"&amp;S212,V8_COHORT_TABLE,7,FALSE),IFERROR(VLOOKUP(P212&amp;"|ALL|ALL|ALL",V8_COHORT_TABLE,7,FALSE),VLOOKUP("GLOBAL",V8_COHORT_TABLE,7,FALSE)))))</f>
        <v/>
      </c>
      <c r="AD212" s="15">
        <f>IFERROR(VLOOKUP(T212,V8_COHORT_TABLE,8,FALSE),IFERROR(VLOOKUP(P212&amp;"|"&amp;Q212&amp;"|ALL|"&amp;S212,V8_COHORT_TABLE,8,FALSE),IFERROR(VLOOKUP(P212&amp;"|ALL|ALL|"&amp;S212,V8_COHORT_TABLE,8,FALSE),IFERROR(VLOOKUP(P212&amp;"|ALL|ALL|ALL",V8_COHORT_TABLE,8,FALSE),VLOOKUP("GLOBAL",V8_COHORT_TABLE,8,FALSE)))))</f>
        <v/>
      </c>
      <c r="AE212" s="15">
        <f>IFERROR(VLOOKUP(T212,V8_COHORT_TABLE,9,FALSE),IFERROR(VLOOKUP(P212&amp;"|"&amp;Q212&amp;"|ALL|"&amp;S212,V8_COHORT_TABLE,9,FALSE),IFERROR(VLOOKUP(P212&amp;"|ALL|ALL|"&amp;S212,V8_COHORT_TABLE,9,FALSE),IFERROR(VLOOKUP(P212&amp;"|ALL|ALL|ALL",V8_COHORT_TABLE,9,FALSE),VLOOKUP("GLOBAL",V8_COHORT_TABLE,9,FALSE)))))</f>
        <v/>
      </c>
      <c r="AF212" s="8">
        <f>IF(K212&lt;=0,AB212,IF(K212&gt;=240,AE212,IF(K212&lt;=24,AB212+(K212-0)/24*(AC212-AB212),IF(K212&lt;=96,AC212+(K212-24)/72*(AD212-AC212),AD212+(K212-96)/144*(AE212-AD212)))))</f>
        <v/>
      </c>
      <c r="AG212" s="8">
        <f>IF(IF(OR(L212="",NOT(ISNUMBER(L212))),360,MAX(0,MIN(480,(INT(L212/100)-INT(VALUE(F212)/100))*12+MOD(L212,100)-MOD(VALUE(F212),100))))&gt;0,1+V8_MTY_AMP*MAX(0,(V8_MTY_CUTOFF-(IF(OR(L212="",NOT(ISNUMBER(L212))),360,MAX(0,MIN(480,(INT(L212/100)-INT(VALUE(F212)/100))*12+MOD(L212,100)-MOD(VALUE(F212),100))))))/V8_MTY_CUTOFF),1)</f>
        <v/>
      </c>
      <c r="AH212" s="8">
        <f>IF(AND(IF(OR(M212="",NOT(ISNUMBER(M212))),0,MAX(0,MIN(24,(INT(VALUE(F212)/100)-INT(M212/100))*12+MOD(VALUE(F212),100)-MOD(M212,100))))&gt;0,IF(OR(M212="",NOT(ISNUMBER(M212))),0,MAX(0,MIN(24,(INT(VALUE(F212)/100)-INT(M212/100))*12+MOD(VALUE(F212),100)-MOD(M212,100))))&lt;=12),1+V8_LOCKOUT_AMP*EXP(-(IF(OR(M212="",NOT(ISNUMBER(M212))),0,MAX(0,MIN(24,(INT(VALUE(F212)/100)-INT(M212/100))*12+MOD(VALUE(F212),100)-MOD(M212,100)))))/V8_LOCKOUT_TAU),1)</f>
        <v/>
      </c>
      <c r="AI212" s="8">
        <f>MAX(V8_BURN_FLOOR,1-V8_BURN_SLOPE*MIN(1,MAX(0,O212)))</f>
        <v/>
      </c>
      <c r="AJ212" s="15">
        <f>MIN(AA212*AF212*AG212*AH212*AI212,0.2)</f>
        <v/>
      </c>
      <c r="AK212" s="16">
        <f>1-(1-AJ212)^12</f>
        <v/>
      </c>
    </row>
    <row r="213">
      <c r="A213" s="2" t="inlineStr">
        <is>
          <t>000007422080</t>
        </is>
      </c>
      <c r="B213" t="inlineStr">
        <is>
          <t>232</t>
        </is>
      </c>
      <c r="C213" t="inlineStr">
        <is>
          <t>RP</t>
        </is>
      </c>
      <c r="D213" t="inlineStr">
        <is>
          <t>KEYBANK NATIONAL ASSOCIATION</t>
        </is>
      </c>
      <c r="E213" t="n">
        <v>2021</v>
      </c>
      <c r="F213" t="inlineStr">
        <is>
          <t>202602</t>
        </is>
      </c>
      <c r="G213" s="9" t="n">
        <v>3841951.56</v>
      </c>
      <c r="H213" s="13" t="n">
        <v>2.53</v>
      </c>
      <c r="I213" s="14" t="n">
        <v>447</v>
      </c>
      <c r="J213" s="14" t="n">
        <v>6</v>
      </c>
      <c r="K213" t="n">
        <v>50</v>
      </c>
      <c r="L213" t="n">
        <v>205701</v>
      </c>
      <c r="M213" t="inlineStr"/>
      <c r="N213" t="n">
        <v>0</v>
      </c>
      <c r="O213" s="8" t="n">
        <v>0</v>
      </c>
      <c r="P213">
        <f>IF(ISNUMBER(SEARCH("232",B213)),"232",IF(ISNUMBER(SEARCH("538",B213)),"538",IF(ISNUMBER(SEARCH("223a7",B213)),"223a7",IF(ISNUMBER(SEARCH("223f",B213)),"223f","OTHER"))))</f>
        <v/>
      </c>
      <c r="Q213">
        <f>IF(UPPER(C213)="NC","NC","RP")</f>
        <v/>
      </c>
      <c r="R213">
        <f>IF(G213&lt;5000000,"small",IF(G213&lt;25000000,"medium","large"))</f>
        <v/>
      </c>
      <c r="S213">
        <f>IF(K213&lt;36,"young",IF(K213&lt;120,"seasoned","aged"))</f>
        <v/>
      </c>
      <c r="T213">
        <f>P213&amp;"|"&amp;Q213&amp;"|"&amp;R213&amp;"|"&amp;S213</f>
        <v/>
      </c>
      <c r="U213" s="14">
        <f>H213*100-I213</f>
        <v/>
      </c>
      <c r="V213" s="14">
        <f>U213-12.5*(J213+1)</f>
        <v/>
      </c>
      <c r="W213" s="15">
        <f>IFERROR(VLOOKUP(T213,V8_COHORT_TABLE,2,FALSE),IFERROR(VLOOKUP(P213&amp;"|"&amp;Q213&amp;"|ALL|"&amp;S213,V8_COHORT_TABLE,2,FALSE),IFERROR(VLOOKUP(P213&amp;"|ALL|ALL|"&amp;S213,V8_COHORT_TABLE,2,FALSE),IFERROR(VLOOKUP(P213&amp;"|ALL|ALL|ALL",V8_COHORT_TABLE,2,FALSE),VLOOKUP("GLOBAL",V8_COHORT_TABLE,2,FALSE)))))</f>
        <v/>
      </c>
      <c r="X213" s="15">
        <f>IFERROR(VLOOKUP(T213,V8_COHORT_TABLE,3,FALSE),IFERROR(VLOOKUP(P213&amp;"|"&amp;Q213&amp;"|ALL|"&amp;S213,V8_COHORT_TABLE,3,FALSE),IFERROR(VLOOKUP(P213&amp;"|ALL|ALL|"&amp;S213,V8_COHORT_TABLE,3,FALSE),IFERROR(VLOOKUP(P213&amp;"|ALL|ALL|ALL",V8_COHORT_TABLE,3,FALSE),VLOOKUP("GLOBAL",V8_COHORT_TABLE,3,FALSE)))))</f>
        <v/>
      </c>
      <c r="Y213" s="15">
        <f>IFERROR(VLOOKUP(T213,V8_COHORT_TABLE,4,FALSE),IFERROR(VLOOKUP(P213&amp;"|"&amp;Q213&amp;"|ALL|"&amp;S213,V8_COHORT_TABLE,4,FALSE),IFERROR(VLOOKUP(P213&amp;"|ALL|ALL|"&amp;S213,V8_COHORT_TABLE,4,FALSE),IFERROR(VLOOKUP(P213&amp;"|ALL|ALL|ALL",V8_COHORT_TABLE,4,FALSE),VLOOKUP("GLOBAL",V8_COHORT_TABLE,4,FALSE)))))</f>
        <v/>
      </c>
      <c r="Z213" s="15">
        <f>IFERROR(VLOOKUP(T213,V8_COHORT_TABLE,5,FALSE),IFERROR(VLOOKUP(P213&amp;"|"&amp;Q213&amp;"|ALL|"&amp;S213,V8_COHORT_TABLE,5,FALSE),IFERROR(VLOOKUP(P213&amp;"|ALL|ALL|"&amp;S213,V8_COHORT_TABLE,5,FALSE),IFERROR(VLOOKUP(P213&amp;"|ALL|ALL|ALL",V8_COHORT_TABLE,5,FALSE),VLOOKUP("GLOBAL",V8_COHORT_TABLE,5,FALSE)))))</f>
        <v/>
      </c>
      <c r="AA213" s="15">
        <f>W213+X213/(1+EXP(-(V213-Y213)/Z213))</f>
        <v/>
      </c>
      <c r="AB213" s="15">
        <f>IFERROR(VLOOKUP(T213,V8_COHORT_TABLE,6,FALSE),IFERROR(VLOOKUP(P213&amp;"|"&amp;Q213&amp;"|ALL|"&amp;S213,V8_COHORT_TABLE,6,FALSE),IFERROR(VLOOKUP(P213&amp;"|ALL|ALL|"&amp;S213,V8_COHORT_TABLE,6,FALSE),IFERROR(VLOOKUP(P213&amp;"|ALL|ALL|ALL",V8_COHORT_TABLE,6,FALSE),VLOOKUP("GLOBAL",V8_COHORT_TABLE,6,FALSE)))))</f>
        <v/>
      </c>
      <c r="AC213" s="15">
        <f>IFERROR(VLOOKUP(T213,V8_COHORT_TABLE,7,FALSE),IFERROR(VLOOKUP(P213&amp;"|"&amp;Q213&amp;"|ALL|"&amp;S213,V8_COHORT_TABLE,7,FALSE),IFERROR(VLOOKUP(P213&amp;"|ALL|ALL|"&amp;S213,V8_COHORT_TABLE,7,FALSE),IFERROR(VLOOKUP(P213&amp;"|ALL|ALL|ALL",V8_COHORT_TABLE,7,FALSE),VLOOKUP("GLOBAL",V8_COHORT_TABLE,7,FALSE)))))</f>
        <v/>
      </c>
      <c r="AD213" s="15">
        <f>IFERROR(VLOOKUP(T213,V8_COHORT_TABLE,8,FALSE),IFERROR(VLOOKUP(P213&amp;"|"&amp;Q213&amp;"|ALL|"&amp;S213,V8_COHORT_TABLE,8,FALSE),IFERROR(VLOOKUP(P213&amp;"|ALL|ALL|"&amp;S213,V8_COHORT_TABLE,8,FALSE),IFERROR(VLOOKUP(P213&amp;"|ALL|ALL|ALL",V8_COHORT_TABLE,8,FALSE),VLOOKUP("GLOBAL",V8_COHORT_TABLE,8,FALSE)))))</f>
        <v/>
      </c>
      <c r="AE213" s="15">
        <f>IFERROR(VLOOKUP(T213,V8_COHORT_TABLE,9,FALSE),IFERROR(VLOOKUP(P213&amp;"|"&amp;Q213&amp;"|ALL|"&amp;S213,V8_COHORT_TABLE,9,FALSE),IFERROR(VLOOKUP(P213&amp;"|ALL|ALL|"&amp;S213,V8_COHORT_TABLE,9,FALSE),IFERROR(VLOOKUP(P213&amp;"|ALL|ALL|ALL",V8_COHORT_TABLE,9,FALSE),VLOOKUP("GLOBAL",V8_COHORT_TABLE,9,FALSE)))))</f>
        <v/>
      </c>
      <c r="AF213" s="8">
        <f>IF(K213&lt;=0,AB213,IF(K213&gt;=240,AE213,IF(K213&lt;=24,AB213+(K213-0)/24*(AC213-AB213),IF(K213&lt;=96,AC213+(K213-24)/72*(AD213-AC213),AD213+(K213-96)/144*(AE213-AD213)))))</f>
        <v/>
      </c>
      <c r="AG213" s="8">
        <f>IF(IF(OR(L213="",NOT(ISNUMBER(L213))),360,MAX(0,MIN(480,(INT(L213/100)-INT(VALUE(F213)/100))*12+MOD(L213,100)-MOD(VALUE(F213),100))))&gt;0,1+V8_MTY_AMP*MAX(0,(V8_MTY_CUTOFF-(IF(OR(L213="",NOT(ISNUMBER(L213))),360,MAX(0,MIN(480,(INT(L213/100)-INT(VALUE(F213)/100))*12+MOD(L213,100)-MOD(VALUE(F213),100))))))/V8_MTY_CUTOFF),1)</f>
        <v/>
      </c>
      <c r="AH213" s="8">
        <f>IF(AND(IF(OR(M213="",NOT(ISNUMBER(M213))),0,MAX(0,MIN(24,(INT(VALUE(F213)/100)-INT(M213/100))*12+MOD(VALUE(F213),100)-MOD(M213,100))))&gt;0,IF(OR(M213="",NOT(ISNUMBER(M213))),0,MAX(0,MIN(24,(INT(VALUE(F213)/100)-INT(M213/100))*12+MOD(VALUE(F213),100)-MOD(M213,100))))&lt;=12),1+V8_LOCKOUT_AMP*EXP(-(IF(OR(M213="",NOT(ISNUMBER(M213))),0,MAX(0,MIN(24,(INT(VALUE(F213)/100)-INT(M213/100))*12+MOD(VALUE(F213),100)-MOD(M213,100)))))/V8_LOCKOUT_TAU),1)</f>
        <v/>
      </c>
      <c r="AI213" s="8">
        <f>MAX(V8_BURN_FLOOR,1-V8_BURN_SLOPE*MIN(1,MAX(0,O213)))</f>
        <v/>
      </c>
      <c r="AJ213" s="15">
        <f>MIN(AA213*AF213*AG213*AH213*AI213,0.2)</f>
        <v/>
      </c>
      <c r="AK213" s="16">
        <f>1-(1-AJ213)^12</f>
        <v/>
      </c>
    </row>
    <row r="214">
      <c r="A214" s="2" t="inlineStr">
        <is>
          <t>000011522344</t>
        </is>
      </c>
      <c r="B214" t="inlineStr">
        <is>
          <t>232</t>
        </is>
      </c>
      <c r="C214" t="inlineStr">
        <is>
          <t>RP</t>
        </is>
      </c>
      <c r="D214" t="inlineStr">
        <is>
          <t>KEYBANK NATIONAL ASSOCIATION</t>
        </is>
      </c>
      <c r="E214" t="n">
        <v>2016</v>
      </c>
      <c r="F214" t="inlineStr">
        <is>
          <t>202602</t>
        </is>
      </c>
      <c r="G214" s="9" t="n">
        <v>10459622.28</v>
      </c>
      <c r="H214" s="13" t="n">
        <v>3.43</v>
      </c>
      <c r="I214" s="14" t="n">
        <v>447</v>
      </c>
      <c r="J214" s="14" t="n">
        <v>0</v>
      </c>
      <c r="K214" t="n">
        <v>110</v>
      </c>
      <c r="L214" t="n">
        <v>205201</v>
      </c>
      <c r="M214" t="inlineStr"/>
      <c r="N214" t="n">
        <v>35</v>
      </c>
      <c r="O214" s="8" t="n">
        <v>0.3181818181818182</v>
      </c>
      <c r="P214">
        <f>IF(ISNUMBER(SEARCH("232",B214)),"232",IF(ISNUMBER(SEARCH("538",B214)),"538",IF(ISNUMBER(SEARCH("223a7",B214)),"223a7",IF(ISNUMBER(SEARCH("223f",B214)),"223f","OTHER"))))</f>
        <v/>
      </c>
      <c r="Q214">
        <f>IF(UPPER(C214)="NC","NC","RP")</f>
        <v/>
      </c>
      <c r="R214">
        <f>IF(G214&lt;5000000,"small",IF(G214&lt;25000000,"medium","large"))</f>
        <v/>
      </c>
      <c r="S214">
        <f>IF(K214&lt;36,"young",IF(K214&lt;120,"seasoned","aged"))</f>
        <v/>
      </c>
      <c r="T214">
        <f>P214&amp;"|"&amp;Q214&amp;"|"&amp;R214&amp;"|"&amp;S214</f>
        <v/>
      </c>
      <c r="U214" s="14">
        <f>H214*100-I214</f>
        <v/>
      </c>
      <c r="V214" s="14">
        <f>U214-12.5*(J214+1)</f>
        <v/>
      </c>
      <c r="W214" s="15">
        <f>IFERROR(VLOOKUP(T214,V8_COHORT_TABLE,2,FALSE),IFERROR(VLOOKUP(P214&amp;"|"&amp;Q214&amp;"|ALL|"&amp;S214,V8_COHORT_TABLE,2,FALSE),IFERROR(VLOOKUP(P214&amp;"|ALL|ALL|"&amp;S214,V8_COHORT_TABLE,2,FALSE),IFERROR(VLOOKUP(P214&amp;"|ALL|ALL|ALL",V8_COHORT_TABLE,2,FALSE),VLOOKUP("GLOBAL",V8_COHORT_TABLE,2,FALSE)))))</f>
        <v/>
      </c>
      <c r="X214" s="15">
        <f>IFERROR(VLOOKUP(T214,V8_COHORT_TABLE,3,FALSE),IFERROR(VLOOKUP(P214&amp;"|"&amp;Q214&amp;"|ALL|"&amp;S214,V8_COHORT_TABLE,3,FALSE),IFERROR(VLOOKUP(P214&amp;"|ALL|ALL|"&amp;S214,V8_COHORT_TABLE,3,FALSE),IFERROR(VLOOKUP(P214&amp;"|ALL|ALL|ALL",V8_COHORT_TABLE,3,FALSE),VLOOKUP("GLOBAL",V8_COHORT_TABLE,3,FALSE)))))</f>
        <v/>
      </c>
      <c r="Y214" s="15">
        <f>IFERROR(VLOOKUP(T214,V8_COHORT_TABLE,4,FALSE),IFERROR(VLOOKUP(P214&amp;"|"&amp;Q214&amp;"|ALL|"&amp;S214,V8_COHORT_TABLE,4,FALSE),IFERROR(VLOOKUP(P214&amp;"|ALL|ALL|"&amp;S214,V8_COHORT_TABLE,4,FALSE),IFERROR(VLOOKUP(P214&amp;"|ALL|ALL|ALL",V8_COHORT_TABLE,4,FALSE),VLOOKUP("GLOBAL",V8_COHORT_TABLE,4,FALSE)))))</f>
        <v/>
      </c>
      <c r="Z214" s="15">
        <f>IFERROR(VLOOKUP(T214,V8_COHORT_TABLE,5,FALSE),IFERROR(VLOOKUP(P214&amp;"|"&amp;Q214&amp;"|ALL|"&amp;S214,V8_COHORT_TABLE,5,FALSE),IFERROR(VLOOKUP(P214&amp;"|ALL|ALL|"&amp;S214,V8_COHORT_TABLE,5,FALSE),IFERROR(VLOOKUP(P214&amp;"|ALL|ALL|ALL",V8_COHORT_TABLE,5,FALSE),VLOOKUP("GLOBAL",V8_COHORT_TABLE,5,FALSE)))))</f>
        <v/>
      </c>
      <c r="AA214" s="15">
        <f>W214+X214/(1+EXP(-(V214-Y214)/Z214))</f>
        <v/>
      </c>
      <c r="AB214" s="15">
        <f>IFERROR(VLOOKUP(T214,V8_COHORT_TABLE,6,FALSE),IFERROR(VLOOKUP(P214&amp;"|"&amp;Q214&amp;"|ALL|"&amp;S214,V8_COHORT_TABLE,6,FALSE),IFERROR(VLOOKUP(P214&amp;"|ALL|ALL|"&amp;S214,V8_COHORT_TABLE,6,FALSE),IFERROR(VLOOKUP(P214&amp;"|ALL|ALL|ALL",V8_COHORT_TABLE,6,FALSE),VLOOKUP("GLOBAL",V8_COHORT_TABLE,6,FALSE)))))</f>
        <v/>
      </c>
      <c r="AC214" s="15">
        <f>IFERROR(VLOOKUP(T214,V8_COHORT_TABLE,7,FALSE),IFERROR(VLOOKUP(P214&amp;"|"&amp;Q214&amp;"|ALL|"&amp;S214,V8_COHORT_TABLE,7,FALSE),IFERROR(VLOOKUP(P214&amp;"|ALL|ALL|"&amp;S214,V8_COHORT_TABLE,7,FALSE),IFERROR(VLOOKUP(P214&amp;"|ALL|ALL|ALL",V8_COHORT_TABLE,7,FALSE),VLOOKUP("GLOBAL",V8_COHORT_TABLE,7,FALSE)))))</f>
        <v/>
      </c>
      <c r="AD214" s="15">
        <f>IFERROR(VLOOKUP(T214,V8_COHORT_TABLE,8,FALSE),IFERROR(VLOOKUP(P214&amp;"|"&amp;Q214&amp;"|ALL|"&amp;S214,V8_COHORT_TABLE,8,FALSE),IFERROR(VLOOKUP(P214&amp;"|ALL|ALL|"&amp;S214,V8_COHORT_TABLE,8,FALSE),IFERROR(VLOOKUP(P214&amp;"|ALL|ALL|ALL",V8_COHORT_TABLE,8,FALSE),VLOOKUP("GLOBAL",V8_COHORT_TABLE,8,FALSE)))))</f>
        <v/>
      </c>
      <c r="AE214" s="15">
        <f>IFERROR(VLOOKUP(T214,V8_COHORT_TABLE,9,FALSE),IFERROR(VLOOKUP(P214&amp;"|"&amp;Q214&amp;"|ALL|"&amp;S214,V8_COHORT_TABLE,9,FALSE),IFERROR(VLOOKUP(P214&amp;"|ALL|ALL|"&amp;S214,V8_COHORT_TABLE,9,FALSE),IFERROR(VLOOKUP(P214&amp;"|ALL|ALL|ALL",V8_COHORT_TABLE,9,FALSE),VLOOKUP("GLOBAL",V8_COHORT_TABLE,9,FALSE)))))</f>
        <v/>
      </c>
      <c r="AF214" s="8">
        <f>IF(K214&lt;=0,AB214,IF(K214&gt;=240,AE214,IF(K214&lt;=24,AB214+(K214-0)/24*(AC214-AB214),IF(K214&lt;=96,AC214+(K214-24)/72*(AD214-AC214),AD214+(K214-96)/144*(AE214-AD214)))))</f>
        <v/>
      </c>
      <c r="AG214" s="8">
        <f>IF(IF(OR(L214="",NOT(ISNUMBER(L214))),360,MAX(0,MIN(480,(INT(L214/100)-INT(VALUE(F214)/100))*12+MOD(L214,100)-MOD(VALUE(F214),100))))&gt;0,1+V8_MTY_AMP*MAX(0,(V8_MTY_CUTOFF-(IF(OR(L214="",NOT(ISNUMBER(L214))),360,MAX(0,MIN(480,(INT(L214/100)-INT(VALUE(F214)/100))*12+MOD(L214,100)-MOD(VALUE(F214),100))))))/V8_MTY_CUTOFF),1)</f>
        <v/>
      </c>
      <c r="AH214" s="8">
        <f>IF(AND(IF(OR(M214="",NOT(ISNUMBER(M214))),0,MAX(0,MIN(24,(INT(VALUE(F214)/100)-INT(M214/100))*12+MOD(VALUE(F214),100)-MOD(M214,100))))&gt;0,IF(OR(M214="",NOT(ISNUMBER(M214))),0,MAX(0,MIN(24,(INT(VALUE(F214)/100)-INT(M214/100))*12+MOD(VALUE(F214),100)-MOD(M214,100))))&lt;=12),1+V8_LOCKOUT_AMP*EXP(-(IF(OR(M214="",NOT(ISNUMBER(M214))),0,MAX(0,MIN(24,(INT(VALUE(F214)/100)-INT(M214/100))*12+MOD(VALUE(F214),100)-MOD(M214,100)))))/V8_LOCKOUT_TAU),1)</f>
        <v/>
      </c>
      <c r="AI214" s="8">
        <f>MAX(V8_BURN_FLOOR,1-V8_BURN_SLOPE*MIN(1,MAX(0,O214)))</f>
        <v/>
      </c>
      <c r="AJ214" s="15">
        <f>MIN(AA214*AF214*AG214*AH214*AI214,0.2)</f>
        <v/>
      </c>
      <c r="AK214" s="16">
        <f>1-(1-AJ214)^12</f>
        <v/>
      </c>
    </row>
    <row r="215">
      <c r="A215" s="2" t="inlineStr">
        <is>
          <t>000005322286</t>
        </is>
      </c>
      <c r="B215" t="inlineStr">
        <is>
          <t>232</t>
        </is>
      </c>
      <c r="C215" t="inlineStr">
        <is>
          <t>RP</t>
        </is>
      </c>
      <c r="D215" t="inlineStr">
        <is>
          <t>KEYBANK NATIONAL ASSOCIATION</t>
        </is>
      </c>
      <c r="E215" t="n">
        <v>2025</v>
      </c>
      <c r="F215" t="inlineStr">
        <is>
          <t>202602</t>
        </is>
      </c>
      <c r="G215" s="9" t="n">
        <v>35723840.9</v>
      </c>
      <c r="H215" s="13" t="n">
        <v>5.4</v>
      </c>
      <c r="I215" s="14" t="n">
        <v>447</v>
      </c>
      <c r="J215" s="14" t="n">
        <v>10</v>
      </c>
      <c r="K215" t="n">
        <v>5</v>
      </c>
      <c r="L215" t="n">
        <v>206010</v>
      </c>
      <c r="M215" t="inlineStr"/>
      <c r="N215" t="n">
        <v>0</v>
      </c>
      <c r="O215" s="8" t="n">
        <v>0</v>
      </c>
      <c r="P215">
        <f>IF(ISNUMBER(SEARCH("232",B215)),"232",IF(ISNUMBER(SEARCH("538",B215)),"538",IF(ISNUMBER(SEARCH("223a7",B215)),"223a7",IF(ISNUMBER(SEARCH("223f",B215)),"223f","OTHER"))))</f>
        <v/>
      </c>
      <c r="Q215">
        <f>IF(UPPER(C215)="NC","NC","RP")</f>
        <v/>
      </c>
      <c r="R215">
        <f>IF(G215&lt;5000000,"small",IF(G215&lt;25000000,"medium","large"))</f>
        <v/>
      </c>
      <c r="S215">
        <f>IF(K215&lt;36,"young",IF(K215&lt;120,"seasoned","aged"))</f>
        <v/>
      </c>
      <c r="T215">
        <f>P215&amp;"|"&amp;Q215&amp;"|"&amp;R215&amp;"|"&amp;S215</f>
        <v/>
      </c>
      <c r="U215" s="14">
        <f>H215*100-I215</f>
        <v/>
      </c>
      <c r="V215" s="14">
        <f>U215-12.5*(J215+1)</f>
        <v/>
      </c>
      <c r="W215" s="15">
        <f>IFERROR(VLOOKUP(T215,V8_COHORT_TABLE,2,FALSE),IFERROR(VLOOKUP(P215&amp;"|"&amp;Q215&amp;"|ALL|"&amp;S215,V8_COHORT_TABLE,2,FALSE),IFERROR(VLOOKUP(P215&amp;"|ALL|ALL|"&amp;S215,V8_COHORT_TABLE,2,FALSE),IFERROR(VLOOKUP(P215&amp;"|ALL|ALL|ALL",V8_COHORT_TABLE,2,FALSE),VLOOKUP("GLOBAL",V8_COHORT_TABLE,2,FALSE)))))</f>
        <v/>
      </c>
      <c r="X215" s="15">
        <f>IFERROR(VLOOKUP(T215,V8_COHORT_TABLE,3,FALSE),IFERROR(VLOOKUP(P215&amp;"|"&amp;Q215&amp;"|ALL|"&amp;S215,V8_COHORT_TABLE,3,FALSE),IFERROR(VLOOKUP(P215&amp;"|ALL|ALL|"&amp;S215,V8_COHORT_TABLE,3,FALSE),IFERROR(VLOOKUP(P215&amp;"|ALL|ALL|ALL",V8_COHORT_TABLE,3,FALSE),VLOOKUP("GLOBAL",V8_COHORT_TABLE,3,FALSE)))))</f>
        <v/>
      </c>
      <c r="Y215" s="15">
        <f>IFERROR(VLOOKUP(T215,V8_COHORT_TABLE,4,FALSE),IFERROR(VLOOKUP(P215&amp;"|"&amp;Q215&amp;"|ALL|"&amp;S215,V8_COHORT_TABLE,4,FALSE),IFERROR(VLOOKUP(P215&amp;"|ALL|ALL|"&amp;S215,V8_COHORT_TABLE,4,FALSE),IFERROR(VLOOKUP(P215&amp;"|ALL|ALL|ALL",V8_COHORT_TABLE,4,FALSE),VLOOKUP("GLOBAL",V8_COHORT_TABLE,4,FALSE)))))</f>
        <v/>
      </c>
      <c r="Z215" s="15">
        <f>IFERROR(VLOOKUP(T215,V8_COHORT_TABLE,5,FALSE),IFERROR(VLOOKUP(P215&amp;"|"&amp;Q215&amp;"|ALL|"&amp;S215,V8_COHORT_TABLE,5,FALSE),IFERROR(VLOOKUP(P215&amp;"|ALL|ALL|"&amp;S215,V8_COHORT_TABLE,5,FALSE),IFERROR(VLOOKUP(P215&amp;"|ALL|ALL|ALL",V8_COHORT_TABLE,5,FALSE),VLOOKUP("GLOBAL",V8_COHORT_TABLE,5,FALSE)))))</f>
        <v/>
      </c>
      <c r="AA215" s="15">
        <f>W215+X215/(1+EXP(-(V215-Y215)/Z215))</f>
        <v/>
      </c>
      <c r="AB215" s="15">
        <f>IFERROR(VLOOKUP(T215,V8_COHORT_TABLE,6,FALSE),IFERROR(VLOOKUP(P215&amp;"|"&amp;Q215&amp;"|ALL|"&amp;S215,V8_COHORT_TABLE,6,FALSE),IFERROR(VLOOKUP(P215&amp;"|ALL|ALL|"&amp;S215,V8_COHORT_TABLE,6,FALSE),IFERROR(VLOOKUP(P215&amp;"|ALL|ALL|ALL",V8_COHORT_TABLE,6,FALSE),VLOOKUP("GLOBAL",V8_COHORT_TABLE,6,FALSE)))))</f>
        <v/>
      </c>
      <c r="AC215" s="15">
        <f>IFERROR(VLOOKUP(T215,V8_COHORT_TABLE,7,FALSE),IFERROR(VLOOKUP(P215&amp;"|"&amp;Q215&amp;"|ALL|"&amp;S215,V8_COHORT_TABLE,7,FALSE),IFERROR(VLOOKUP(P215&amp;"|ALL|ALL|"&amp;S215,V8_COHORT_TABLE,7,FALSE),IFERROR(VLOOKUP(P215&amp;"|ALL|ALL|ALL",V8_COHORT_TABLE,7,FALSE),VLOOKUP("GLOBAL",V8_COHORT_TABLE,7,FALSE)))))</f>
        <v/>
      </c>
      <c r="AD215" s="15">
        <f>IFERROR(VLOOKUP(T215,V8_COHORT_TABLE,8,FALSE),IFERROR(VLOOKUP(P215&amp;"|"&amp;Q215&amp;"|ALL|"&amp;S215,V8_COHORT_TABLE,8,FALSE),IFERROR(VLOOKUP(P215&amp;"|ALL|ALL|"&amp;S215,V8_COHORT_TABLE,8,FALSE),IFERROR(VLOOKUP(P215&amp;"|ALL|ALL|ALL",V8_COHORT_TABLE,8,FALSE),VLOOKUP("GLOBAL",V8_COHORT_TABLE,8,FALSE)))))</f>
        <v/>
      </c>
      <c r="AE215" s="15">
        <f>IFERROR(VLOOKUP(T215,V8_COHORT_TABLE,9,FALSE),IFERROR(VLOOKUP(P215&amp;"|"&amp;Q215&amp;"|ALL|"&amp;S215,V8_COHORT_TABLE,9,FALSE),IFERROR(VLOOKUP(P215&amp;"|ALL|ALL|"&amp;S215,V8_COHORT_TABLE,9,FALSE),IFERROR(VLOOKUP(P215&amp;"|ALL|ALL|ALL",V8_COHORT_TABLE,9,FALSE),VLOOKUP("GLOBAL",V8_COHORT_TABLE,9,FALSE)))))</f>
        <v/>
      </c>
      <c r="AF215" s="8">
        <f>IF(K215&lt;=0,AB215,IF(K215&gt;=240,AE215,IF(K215&lt;=24,AB215+(K215-0)/24*(AC215-AB215),IF(K215&lt;=96,AC215+(K215-24)/72*(AD215-AC215),AD215+(K215-96)/144*(AE215-AD215)))))</f>
        <v/>
      </c>
      <c r="AG215" s="8">
        <f>IF(IF(OR(L215="",NOT(ISNUMBER(L215))),360,MAX(0,MIN(480,(INT(L215/100)-INT(VALUE(F215)/100))*12+MOD(L215,100)-MOD(VALUE(F215),100))))&gt;0,1+V8_MTY_AMP*MAX(0,(V8_MTY_CUTOFF-(IF(OR(L215="",NOT(ISNUMBER(L215))),360,MAX(0,MIN(480,(INT(L215/100)-INT(VALUE(F215)/100))*12+MOD(L215,100)-MOD(VALUE(F215),100))))))/V8_MTY_CUTOFF),1)</f>
        <v/>
      </c>
      <c r="AH215" s="8">
        <f>IF(AND(IF(OR(M215="",NOT(ISNUMBER(M215))),0,MAX(0,MIN(24,(INT(VALUE(F215)/100)-INT(M215/100))*12+MOD(VALUE(F215),100)-MOD(M215,100))))&gt;0,IF(OR(M215="",NOT(ISNUMBER(M215))),0,MAX(0,MIN(24,(INT(VALUE(F215)/100)-INT(M215/100))*12+MOD(VALUE(F215),100)-MOD(M215,100))))&lt;=12),1+V8_LOCKOUT_AMP*EXP(-(IF(OR(M215="",NOT(ISNUMBER(M215))),0,MAX(0,MIN(24,(INT(VALUE(F215)/100)-INT(M215/100))*12+MOD(VALUE(F215),100)-MOD(M215,100)))))/V8_LOCKOUT_TAU),1)</f>
        <v/>
      </c>
      <c r="AI215" s="8">
        <f>MAX(V8_BURN_FLOOR,1-V8_BURN_SLOPE*MIN(1,MAX(0,O215)))</f>
        <v/>
      </c>
      <c r="AJ215" s="15">
        <f>MIN(AA215*AF215*AG215*AH215*AI215,0.2)</f>
        <v/>
      </c>
      <c r="AK215" s="16">
        <f>1-(1-AJ215)^12</f>
        <v/>
      </c>
    </row>
    <row r="216">
      <c r="A216" s="2" t="inlineStr">
        <is>
          <t>000005122144</t>
        </is>
      </c>
      <c r="B216" t="inlineStr">
        <is>
          <t>232</t>
        </is>
      </c>
      <c r="C216" t="inlineStr">
        <is>
          <t>RP</t>
        </is>
      </c>
      <c r="D216" t="inlineStr">
        <is>
          <t>KEYBANK NATIONAL ASSOCIATION</t>
        </is>
      </c>
      <c r="E216" t="n">
        <v>2017</v>
      </c>
      <c r="F216" t="inlineStr">
        <is>
          <t>202602</t>
        </is>
      </c>
      <c r="G216" s="9" t="n">
        <v>7327880.72</v>
      </c>
      <c r="H216" s="13" t="n">
        <v>3.3</v>
      </c>
      <c r="I216" s="14" t="n">
        <v>447</v>
      </c>
      <c r="J216" s="14" t="n">
        <v>2</v>
      </c>
      <c r="K216" t="n">
        <v>98</v>
      </c>
      <c r="L216" t="n">
        <v>205301</v>
      </c>
      <c r="M216" t="inlineStr"/>
      <c r="N216" t="n">
        <v>25</v>
      </c>
      <c r="O216" s="8" t="n">
        <v>0.2551020408163265</v>
      </c>
      <c r="P216">
        <f>IF(ISNUMBER(SEARCH("232",B216)),"232",IF(ISNUMBER(SEARCH("538",B216)),"538",IF(ISNUMBER(SEARCH("223a7",B216)),"223a7",IF(ISNUMBER(SEARCH("223f",B216)),"223f","OTHER"))))</f>
        <v/>
      </c>
      <c r="Q216">
        <f>IF(UPPER(C216)="NC","NC","RP")</f>
        <v/>
      </c>
      <c r="R216">
        <f>IF(G216&lt;5000000,"small",IF(G216&lt;25000000,"medium","large"))</f>
        <v/>
      </c>
      <c r="S216">
        <f>IF(K216&lt;36,"young",IF(K216&lt;120,"seasoned","aged"))</f>
        <v/>
      </c>
      <c r="T216">
        <f>P216&amp;"|"&amp;Q216&amp;"|"&amp;R216&amp;"|"&amp;S216</f>
        <v/>
      </c>
      <c r="U216" s="14">
        <f>H216*100-I216</f>
        <v/>
      </c>
      <c r="V216" s="14">
        <f>U216-12.5*(J216+1)</f>
        <v/>
      </c>
      <c r="W216" s="15">
        <f>IFERROR(VLOOKUP(T216,V8_COHORT_TABLE,2,FALSE),IFERROR(VLOOKUP(P216&amp;"|"&amp;Q216&amp;"|ALL|"&amp;S216,V8_COHORT_TABLE,2,FALSE),IFERROR(VLOOKUP(P216&amp;"|ALL|ALL|"&amp;S216,V8_COHORT_TABLE,2,FALSE),IFERROR(VLOOKUP(P216&amp;"|ALL|ALL|ALL",V8_COHORT_TABLE,2,FALSE),VLOOKUP("GLOBAL",V8_COHORT_TABLE,2,FALSE)))))</f>
        <v/>
      </c>
      <c r="X216" s="15">
        <f>IFERROR(VLOOKUP(T216,V8_COHORT_TABLE,3,FALSE),IFERROR(VLOOKUP(P216&amp;"|"&amp;Q216&amp;"|ALL|"&amp;S216,V8_COHORT_TABLE,3,FALSE),IFERROR(VLOOKUP(P216&amp;"|ALL|ALL|"&amp;S216,V8_COHORT_TABLE,3,FALSE),IFERROR(VLOOKUP(P216&amp;"|ALL|ALL|ALL",V8_COHORT_TABLE,3,FALSE),VLOOKUP("GLOBAL",V8_COHORT_TABLE,3,FALSE)))))</f>
        <v/>
      </c>
      <c r="Y216" s="15">
        <f>IFERROR(VLOOKUP(T216,V8_COHORT_TABLE,4,FALSE),IFERROR(VLOOKUP(P216&amp;"|"&amp;Q216&amp;"|ALL|"&amp;S216,V8_COHORT_TABLE,4,FALSE),IFERROR(VLOOKUP(P216&amp;"|ALL|ALL|"&amp;S216,V8_COHORT_TABLE,4,FALSE),IFERROR(VLOOKUP(P216&amp;"|ALL|ALL|ALL",V8_COHORT_TABLE,4,FALSE),VLOOKUP("GLOBAL",V8_COHORT_TABLE,4,FALSE)))))</f>
        <v/>
      </c>
      <c r="Z216" s="15">
        <f>IFERROR(VLOOKUP(T216,V8_COHORT_TABLE,5,FALSE),IFERROR(VLOOKUP(P216&amp;"|"&amp;Q216&amp;"|ALL|"&amp;S216,V8_COHORT_TABLE,5,FALSE),IFERROR(VLOOKUP(P216&amp;"|ALL|ALL|"&amp;S216,V8_COHORT_TABLE,5,FALSE),IFERROR(VLOOKUP(P216&amp;"|ALL|ALL|ALL",V8_COHORT_TABLE,5,FALSE),VLOOKUP("GLOBAL",V8_COHORT_TABLE,5,FALSE)))))</f>
        <v/>
      </c>
      <c r="AA216" s="15">
        <f>W216+X216/(1+EXP(-(V216-Y216)/Z216))</f>
        <v/>
      </c>
      <c r="AB216" s="15">
        <f>IFERROR(VLOOKUP(T216,V8_COHORT_TABLE,6,FALSE),IFERROR(VLOOKUP(P216&amp;"|"&amp;Q216&amp;"|ALL|"&amp;S216,V8_COHORT_TABLE,6,FALSE),IFERROR(VLOOKUP(P216&amp;"|ALL|ALL|"&amp;S216,V8_COHORT_TABLE,6,FALSE),IFERROR(VLOOKUP(P216&amp;"|ALL|ALL|ALL",V8_COHORT_TABLE,6,FALSE),VLOOKUP("GLOBAL",V8_COHORT_TABLE,6,FALSE)))))</f>
        <v/>
      </c>
      <c r="AC216" s="15">
        <f>IFERROR(VLOOKUP(T216,V8_COHORT_TABLE,7,FALSE),IFERROR(VLOOKUP(P216&amp;"|"&amp;Q216&amp;"|ALL|"&amp;S216,V8_COHORT_TABLE,7,FALSE),IFERROR(VLOOKUP(P216&amp;"|ALL|ALL|"&amp;S216,V8_COHORT_TABLE,7,FALSE),IFERROR(VLOOKUP(P216&amp;"|ALL|ALL|ALL",V8_COHORT_TABLE,7,FALSE),VLOOKUP("GLOBAL",V8_COHORT_TABLE,7,FALSE)))))</f>
        <v/>
      </c>
      <c r="AD216" s="15">
        <f>IFERROR(VLOOKUP(T216,V8_COHORT_TABLE,8,FALSE),IFERROR(VLOOKUP(P216&amp;"|"&amp;Q216&amp;"|ALL|"&amp;S216,V8_COHORT_TABLE,8,FALSE),IFERROR(VLOOKUP(P216&amp;"|ALL|ALL|"&amp;S216,V8_COHORT_TABLE,8,FALSE),IFERROR(VLOOKUP(P216&amp;"|ALL|ALL|ALL",V8_COHORT_TABLE,8,FALSE),VLOOKUP("GLOBAL",V8_COHORT_TABLE,8,FALSE)))))</f>
        <v/>
      </c>
      <c r="AE216" s="15">
        <f>IFERROR(VLOOKUP(T216,V8_COHORT_TABLE,9,FALSE),IFERROR(VLOOKUP(P216&amp;"|"&amp;Q216&amp;"|ALL|"&amp;S216,V8_COHORT_TABLE,9,FALSE),IFERROR(VLOOKUP(P216&amp;"|ALL|ALL|"&amp;S216,V8_COHORT_TABLE,9,FALSE),IFERROR(VLOOKUP(P216&amp;"|ALL|ALL|ALL",V8_COHORT_TABLE,9,FALSE),VLOOKUP("GLOBAL",V8_COHORT_TABLE,9,FALSE)))))</f>
        <v/>
      </c>
      <c r="AF216" s="8">
        <f>IF(K216&lt;=0,AB216,IF(K216&gt;=240,AE216,IF(K216&lt;=24,AB216+(K216-0)/24*(AC216-AB216),IF(K216&lt;=96,AC216+(K216-24)/72*(AD216-AC216),AD216+(K216-96)/144*(AE216-AD216)))))</f>
        <v/>
      </c>
      <c r="AG216" s="8">
        <f>IF(IF(OR(L216="",NOT(ISNUMBER(L216))),360,MAX(0,MIN(480,(INT(L216/100)-INT(VALUE(F216)/100))*12+MOD(L216,100)-MOD(VALUE(F216),100))))&gt;0,1+V8_MTY_AMP*MAX(0,(V8_MTY_CUTOFF-(IF(OR(L216="",NOT(ISNUMBER(L216))),360,MAX(0,MIN(480,(INT(L216/100)-INT(VALUE(F216)/100))*12+MOD(L216,100)-MOD(VALUE(F216),100))))))/V8_MTY_CUTOFF),1)</f>
        <v/>
      </c>
      <c r="AH216" s="8">
        <f>IF(AND(IF(OR(M216="",NOT(ISNUMBER(M216))),0,MAX(0,MIN(24,(INT(VALUE(F216)/100)-INT(M216/100))*12+MOD(VALUE(F216),100)-MOD(M216,100))))&gt;0,IF(OR(M216="",NOT(ISNUMBER(M216))),0,MAX(0,MIN(24,(INT(VALUE(F216)/100)-INT(M216/100))*12+MOD(VALUE(F216),100)-MOD(M216,100))))&lt;=12),1+V8_LOCKOUT_AMP*EXP(-(IF(OR(M216="",NOT(ISNUMBER(M216))),0,MAX(0,MIN(24,(INT(VALUE(F216)/100)-INT(M216/100))*12+MOD(VALUE(F216),100)-MOD(M216,100)))))/V8_LOCKOUT_TAU),1)</f>
        <v/>
      </c>
      <c r="AI216" s="8">
        <f>MAX(V8_BURN_FLOOR,1-V8_BURN_SLOPE*MIN(1,MAX(0,O216)))</f>
        <v/>
      </c>
      <c r="AJ216" s="15">
        <f>MIN(AA216*AF216*AG216*AH216*AI216,0.2)</f>
        <v/>
      </c>
      <c r="AK216" s="16">
        <f>1-(1-AJ216)^12</f>
        <v/>
      </c>
    </row>
    <row r="217">
      <c r="A217" s="2" t="inlineStr">
        <is>
          <t>000011322062</t>
        </is>
      </c>
      <c r="B217" t="inlineStr">
        <is>
          <t>232</t>
        </is>
      </c>
      <c r="C217" t="inlineStr">
        <is>
          <t>RP</t>
        </is>
      </c>
      <c r="D217" t="inlineStr">
        <is>
          <t>KEYBANK NATIONAL ASSOCIATION</t>
        </is>
      </c>
      <c r="E217" t="n">
        <v>2011</v>
      </c>
      <c r="F217" t="inlineStr">
        <is>
          <t>202602</t>
        </is>
      </c>
      <c r="G217" s="9" t="n">
        <v>3922431.75</v>
      </c>
      <c r="H217" s="13" t="n">
        <v>4.28</v>
      </c>
      <c r="I217" s="14" t="n">
        <v>447</v>
      </c>
      <c r="J217" s="14" t="n">
        <v>0</v>
      </c>
      <c r="K217" t="n">
        <v>179</v>
      </c>
      <c r="L217" t="n">
        <v>203604</v>
      </c>
      <c r="M217" t="inlineStr"/>
      <c r="N217" t="n">
        <v>45</v>
      </c>
      <c r="O217" s="8" t="n">
        <v>0.2513966480446927</v>
      </c>
      <c r="P217">
        <f>IF(ISNUMBER(SEARCH("232",B217)),"232",IF(ISNUMBER(SEARCH("538",B217)),"538",IF(ISNUMBER(SEARCH("223a7",B217)),"223a7",IF(ISNUMBER(SEARCH("223f",B217)),"223f","OTHER"))))</f>
        <v/>
      </c>
      <c r="Q217">
        <f>IF(UPPER(C217)="NC","NC","RP")</f>
        <v/>
      </c>
      <c r="R217">
        <f>IF(G217&lt;5000000,"small",IF(G217&lt;25000000,"medium","large"))</f>
        <v/>
      </c>
      <c r="S217">
        <f>IF(K217&lt;36,"young",IF(K217&lt;120,"seasoned","aged"))</f>
        <v/>
      </c>
      <c r="T217">
        <f>P217&amp;"|"&amp;Q217&amp;"|"&amp;R217&amp;"|"&amp;S217</f>
        <v/>
      </c>
      <c r="U217" s="14">
        <f>H217*100-I217</f>
        <v/>
      </c>
      <c r="V217" s="14">
        <f>U217-12.5*(J217+1)</f>
        <v/>
      </c>
      <c r="W217" s="15">
        <f>IFERROR(VLOOKUP(T217,V8_COHORT_TABLE,2,FALSE),IFERROR(VLOOKUP(P217&amp;"|"&amp;Q217&amp;"|ALL|"&amp;S217,V8_COHORT_TABLE,2,FALSE),IFERROR(VLOOKUP(P217&amp;"|ALL|ALL|"&amp;S217,V8_COHORT_TABLE,2,FALSE),IFERROR(VLOOKUP(P217&amp;"|ALL|ALL|ALL",V8_COHORT_TABLE,2,FALSE),VLOOKUP("GLOBAL",V8_COHORT_TABLE,2,FALSE)))))</f>
        <v/>
      </c>
      <c r="X217" s="15">
        <f>IFERROR(VLOOKUP(T217,V8_COHORT_TABLE,3,FALSE),IFERROR(VLOOKUP(P217&amp;"|"&amp;Q217&amp;"|ALL|"&amp;S217,V8_COHORT_TABLE,3,FALSE),IFERROR(VLOOKUP(P217&amp;"|ALL|ALL|"&amp;S217,V8_COHORT_TABLE,3,FALSE),IFERROR(VLOOKUP(P217&amp;"|ALL|ALL|ALL",V8_COHORT_TABLE,3,FALSE),VLOOKUP("GLOBAL",V8_COHORT_TABLE,3,FALSE)))))</f>
        <v/>
      </c>
      <c r="Y217" s="15">
        <f>IFERROR(VLOOKUP(T217,V8_COHORT_TABLE,4,FALSE),IFERROR(VLOOKUP(P217&amp;"|"&amp;Q217&amp;"|ALL|"&amp;S217,V8_COHORT_TABLE,4,FALSE),IFERROR(VLOOKUP(P217&amp;"|ALL|ALL|"&amp;S217,V8_COHORT_TABLE,4,FALSE),IFERROR(VLOOKUP(P217&amp;"|ALL|ALL|ALL",V8_COHORT_TABLE,4,FALSE),VLOOKUP("GLOBAL",V8_COHORT_TABLE,4,FALSE)))))</f>
        <v/>
      </c>
      <c r="Z217" s="15">
        <f>IFERROR(VLOOKUP(T217,V8_COHORT_TABLE,5,FALSE),IFERROR(VLOOKUP(P217&amp;"|"&amp;Q217&amp;"|ALL|"&amp;S217,V8_COHORT_TABLE,5,FALSE),IFERROR(VLOOKUP(P217&amp;"|ALL|ALL|"&amp;S217,V8_COHORT_TABLE,5,FALSE),IFERROR(VLOOKUP(P217&amp;"|ALL|ALL|ALL",V8_COHORT_TABLE,5,FALSE),VLOOKUP("GLOBAL",V8_COHORT_TABLE,5,FALSE)))))</f>
        <v/>
      </c>
      <c r="AA217" s="15">
        <f>W217+X217/(1+EXP(-(V217-Y217)/Z217))</f>
        <v/>
      </c>
      <c r="AB217" s="15">
        <f>IFERROR(VLOOKUP(T217,V8_COHORT_TABLE,6,FALSE),IFERROR(VLOOKUP(P217&amp;"|"&amp;Q217&amp;"|ALL|"&amp;S217,V8_COHORT_TABLE,6,FALSE),IFERROR(VLOOKUP(P217&amp;"|ALL|ALL|"&amp;S217,V8_COHORT_TABLE,6,FALSE),IFERROR(VLOOKUP(P217&amp;"|ALL|ALL|ALL",V8_COHORT_TABLE,6,FALSE),VLOOKUP("GLOBAL",V8_COHORT_TABLE,6,FALSE)))))</f>
        <v/>
      </c>
      <c r="AC217" s="15">
        <f>IFERROR(VLOOKUP(T217,V8_COHORT_TABLE,7,FALSE),IFERROR(VLOOKUP(P217&amp;"|"&amp;Q217&amp;"|ALL|"&amp;S217,V8_COHORT_TABLE,7,FALSE),IFERROR(VLOOKUP(P217&amp;"|ALL|ALL|"&amp;S217,V8_COHORT_TABLE,7,FALSE),IFERROR(VLOOKUP(P217&amp;"|ALL|ALL|ALL",V8_COHORT_TABLE,7,FALSE),VLOOKUP("GLOBAL",V8_COHORT_TABLE,7,FALSE)))))</f>
        <v/>
      </c>
      <c r="AD217" s="15">
        <f>IFERROR(VLOOKUP(T217,V8_COHORT_TABLE,8,FALSE),IFERROR(VLOOKUP(P217&amp;"|"&amp;Q217&amp;"|ALL|"&amp;S217,V8_COHORT_TABLE,8,FALSE),IFERROR(VLOOKUP(P217&amp;"|ALL|ALL|"&amp;S217,V8_COHORT_TABLE,8,FALSE),IFERROR(VLOOKUP(P217&amp;"|ALL|ALL|ALL",V8_COHORT_TABLE,8,FALSE),VLOOKUP("GLOBAL",V8_COHORT_TABLE,8,FALSE)))))</f>
        <v/>
      </c>
      <c r="AE217" s="15">
        <f>IFERROR(VLOOKUP(T217,V8_COHORT_TABLE,9,FALSE),IFERROR(VLOOKUP(P217&amp;"|"&amp;Q217&amp;"|ALL|"&amp;S217,V8_COHORT_TABLE,9,FALSE),IFERROR(VLOOKUP(P217&amp;"|ALL|ALL|"&amp;S217,V8_COHORT_TABLE,9,FALSE),IFERROR(VLOOKUP(P217&amp;"|ALL|ALL|ALL",V8_COHORT_TABLE,9,FALSE),VLOOKUP("GLOBAL",V8_COHORT_TABLE,9,FALSE)))))</f>
        <v/>
      </c>
      <c r="AF217" s="8">
        <f>IF(K217&lt;=0,AB217,IF(K217&gt;=240,AE217,IF(K217&lt;=24,AB217+(K217-0)/24*(AC217-AB217),IF(K217&lt;=96,AC217+(K217-24)/72*(AD217-AC217),AD217+(K217-96)/144*(AE217-AD217)))))</f>
        <v/>
      </c>
      <c r="AG217" s="8">
        <f>IF(IF(OR(L217="",NOT(ISNUMBER(L217))),360,MAX(0,MIN(480,(INT(L217/100)-INT(VALUE(F217)/100))*12+MOD(L217,100)-MOD(VALUE(F217),100))))&gt;0,1+V8_MTY_AMP*MAX(0,(V8_MTY_CUTOFF-(IF(OR(L217="",NOT(ISNUMBER(L217))),360,MAX(0,MIN(480,(INT(L217/100)-INT(VALUE(F217)/100))*12+MOD(L217,100)-MOD(VALUE(F217),100))))))/V8_MTY_CUTOFF),1)</f>
        <v/>
      </c>
      <c r="AH217" s="8">
        <f>IF(AND(IF(OR(M217="",NOT(ISNUMBER(M217))),0,MAX(0,MIN(24,(INT(VALUE(F217)/100)-INT(M217/100))*12+MOD(VALUE(F217),100)-MOD(M217,100))))&gt;0,IF(OR(M217="",NOT(ISNUMBER(M217))),0,MAX(0,MIN(24,(INT(VALUE(F217)/100)-INT(M217/100))*12+MOD(VALUE(F217),100)-MOD(M217,100))))&lt;=12),1+V8_LOCKOUT_AMP*EXP(-(IF(OR(M217="",NOT(ISNUMBER(M217))),0,MAX(0,MIN(24,(INT(VALUE(F217)/100)-INT(M217/100))*12+MOD(VALUE(F217),100)-MOD(M217,100)))))/V8_LOCKOUT_TAU),1)</f>
        <v/>
      </c>
      <c r="AI217" s="8">
        <f>MAX(V8_BURN_FLOOR,1-V8_BURN_SLOPE*MIN(1,MAX(0,O217)))</f>
        <v/>
      </c>
      <c r="AJ217" s="15">
        <f>MIN(AA217*AF217*AG217*AH217*AI217,0.2)</f>
        <v/>
      </c>
      <c r="AK217" s="16">
        <f>1-(1-AJ217)^12</f>
        <v/>
      </c>
    </row>
    <row r="218">
      <c r="A218" s="2" t="inlineStr">
        <is>
          <t>000002422108</t>
        </is>
      </c>
      <c r="B218" t="inlineStr">
        <is>
          <t>232</t>
        </is>
      </c>
      <c r="C218" t="inlineStr">
        <is>
          <t>RP</t>
        </is>
      </c>
      <c r="D218" t="inlineStr">
        <is>
          <t>KEYBANK NATIONAL ASSOCIATION</t>
        </is>
      </c>
      <c r="E218" t="n">
        <v>2017</v>
      </c>
      <c r="F218" t="inlineStr">
        <is>
          <t>202602</t>
        </is>
      </c>
      <c r="G218" s="9" t="n">
        <v>11973413.59</v>
      </c>
      <c r="H218" s="13" t="n">
        <v>3.24</v>
      </c>
      <c r="I218" s="14" t="n">
        <v>447</v>
      </c>
      <c r="J218" s="14" t="n">
        <v>2</v>
      </c>
      <c r="K218" t="n">
        <v>100</v>
      </c>
      <c r="L218" t="n">
        <v>204711</v>
      </c>
      <c r="M218" t="inlineStr"/>
      <c r="N218" t="n">
        <v>25</v>
      </c>
      <c r="O218" s="8" t="n">
        <v>0.25</v>
      </c>
      <c r="P218">
        <f>IF(ISNUMBER(SEARCH("232",B218)),"232",IF(ISNUMBER(SEARCH("538",B218)),"538",IF(ISNUMBER(SEARCH("223a7",B218)),"223a7",IF(ISNUMBER(SEARCH("223f",B218)),"223f","OTHER"))))</f>
        <v/>
      </c>
      <c r="Q218">
        <f>IF(UPPER(C218)="NC","NC","RP")</f>
        <v/>
      </c>
      <c r="R218">
        <f>IF(G218&lt;5000000,"small",IF(G218&lt;25000000,"medium","large"))</f>
        <v/>
      </c>
      <c r="S218">
        <f>IF(K218&lt;36,"young",IF(K218&lt;120,"seasoned","aged"))</f>
        <v/>
      </c>
      <c r="T218">
        <f>P218&amp;"|"&amp;Q218&amp;"|"&amp;R218&amp;"|"&amp;S218</f>
        <v/>
      </c>
      <c r="U218" s="14">
        <f>H218*100-I218</f>
        <v/>
      </c>
      <c r="V218" s="14">
        <f>U218-12.5*(J218+1)</f>
        <v/>
      </c>
      <c r="W218" s="15">
        <f>IFERROR(VLOOKUP(T218,V8_COHORT_TABLE,2,FALSE),IFERROR(VLOOKUP(P218&amp;"|"&amp;Q218&amp;"|ALL|"&amp;S218,V8_COHORT_TABLE,2,FALSE),IFERROR(VLOOKUP(P218&amp;"|ALL|ALL|"&amp;S218,V8_COHORT_TABLE,2,FALSE),IFERROR(VLOOKUP(P218&amp;"|ALL|ALL|ALL",V8_COHORT_TABLE,2,FALSE),VLOOKUP("GLOBAL",V8_COHORT_TABLE,2,FALSE)))))</f>
        <v/>
      </c>
      <c r="X218" s="15">
        <f>IFERROR(VLOOKUP(T218,V8_COHORT_TABLE,3,FALSE),IFERROR(VLOOKUP(P218&amp;"|"&amp;Q218&amp;"|ALL|"&amp;S218,V8_COHORT_TABLE,3,FALSE),IFERROR(VLOOKUP(P218&amp;"|ALL|ALL|"&amp;S218,V8_COHORT_TABLE,3,FALSE),IFERROR(VLOOKUP(P218&amp;"|ALL|ALL|ALL",V8_COHORT_TABLE,3,FALSE),VLOOKUP("GLOBAL",V8_COHORT_TABLE,3,FALSE)))))</f>
        <v/>
      </c>
      <c r="Y218" s="15">
        <f>IFERROR(VLOOKUP(T218,V8_COHORT_TABLE,4,FALSE),IFERROR(VLOOKUP(P218&amp;"|"&amp;Q218&amp;"|ALL|"&amp;S218,V8_COHORT_TABLE,4,FALSE),IFERROR(VLOOKUP(P218&amp;"|ALL|ALL|"&amp;S218,V8_COHORT_TABLE,4,FALSE),IFERROR(VLOOKUP(P218&amp;"|ALL|ALL|ALL",V8_COHORT_TABLE,4,FALSE),VLOOKUP("GLOBAL",V8_COHORT_TABLE,4,FALSE)))))</f>
        <v/>
      </c>
      <c r="Z218" s="15">
        <f>IFERROR(VLOOKUP(T218,V8_COHORT_TABLE,5,FALSE),IFERROR(VLOOKUP(P218&amp;"|"&amp;Q218&amp;"|ALL|"&amp;S218,V8_COHORT_TABLE,5,FALSE),IFERROR(VLOOKUP(P218&amp;"|ALL|ALL|"&amp;S218,V8_COHORT_TABLE,5,FALSE),IFERROR(VLOOKUP(P218&amp;"|ALL|ALL|ALL",V8_COHORT_TABLE,5,FALSE),VLOOKUP("GLOBAL",V8_COHORT_TABLE,5,FALSE)))))</f>
        <v/>
      </c>
      <c r="AA218" s="15">
        <f>W218+X218/(1+EXP(-(V218-Y218)/Z218))</f>
        <v/>
      </c>
      <c r="AB218" s="15">
        <f>IFERROR(VLOOKUP(T218,V8_COHORT_TABLE,6,FALSE),IFERROR(VLOOKUP(P218&amp;"|"&amp;Q218&amp;"|ALL|"&amp;S218,V8_COHORT_TABLE,6,FALSE),IFERROR(VLOOKUP(P218&amp;"|ALL|ALL|"&amp;S218,V8_COHORT_TABLE,6,FALSE),IFERROR(VLOOKUP(P218&amp;"|ALL|ALL|ALL",V8_COHORT_TABLE,6,FALSE),VLOOKUP("GLOBAL",V8_COHORT_TABLE,6,FALSE)))))</f>
        <v/>
      </c>
      <c r="AC218" s="15">
        <f>IFERROR(VLOOKUP(T218,V8_COHORT_TABLE,7,FALSE),IFERROR(VLOOKUP(P218&amp;"|"&amp;Q218&amp;"|ALL|"&amp;S218,V8_COHORT_TABLE,7,FALSE),IFERROR(VLOOKUP(P218&amp;"|ALL|ALL|"&amp;S218,V8_COHORT_TABLE,7,FALSE),IFERROR(VLOOKUP(P218&amp;"|ALL|ALL|ALL",V8_COHORT_TABLE,7,FALSE),VLOOKUP("GLOBAL",V8_COHORT_TABLE,7,FALSE)))))</f>
        <v/>
      </c>
      <c r="AD218" s="15">
        <f>IFERROR(VLOOKUP(T218,V8_COHORT_TABLE,8,FALSE),IFERROR(VLOOKUP(P218&amp;"|"&amp;Q218&amp;"|ALL|"&amp;S218,V8_COHORT_TABLE,8,FALSE),IFERROR(VLOOKUP(P218&amp;"|ALL|ALL|"&amp;S218,V8_COHORT_TABLE,8,FALSE),IFERROR(VLOOKUP(P218&amp;"|ALL|ALL|ALL",V8_COHORT_TABLE,8,FALSE),VLOOKUP("GLOBAL",V8_COHORT_TABLE,8,FALSE)))))</f>
        <v/>
      </c>
      <c r="AE218" s="15">
        <f>IFERROR(VLOOKUP(T218,V8_COHORT_TABLE,9,FALSE),IFERROR(VLOOKUP(P218&amp;"|"&amp;Q218&amp;"|ALL|"&amp;S218,V8_COHORT_TABLE,9,FALSE),IFERROR(VLOOKUP(P218&amp;"|ALL|ALL|"&amp;S218,V8_COHORT_TABLE,9,FALSE),IFERROR(VLOOKUP(P218&amp;"|ALL|ALL|ALL",V8_COHORT_TABLE,9,FALSE),VLOOKUP("GLOBAL",V8_COHORT_TABLE,9,FALSE)))))</f>
        <v/>
      </c>
      <c r="AF218" s="8">
        <f>IF(K218&lt;=0,AB218,IF(K218&gt;=240,AE218,IF(K218&lt;=24,AB218+(K218-0)/24*(AC218-AB218),IF(K218&lt;=96,AC218+(K218-24)/72*(AD218-AC218),AD218+(K218-96)/144*(AE218-AD218)))))</f>
        <v/>
      </c>
      <c r="AG218" s="8">
        <f>IF(IF(OR(L218="",NOT(ISNUMBER(L218))),360,MAX(0,MIN(480,(INT(L218/100)-INT(VALUE(F218)/100))*12+MOD(L218,100)-MOD(VALUE(F218),100))))&gt;0,1+V8_MTY_AMP*MAX(0,(V8_MTY_CUTOFF-(IF(OR(L218="",NOT(ISNUMBER(L218))),360,MAX(0,MIN(480,(INT(L218/100)-INT(VALUE(F218)/100))*12+MOD(L218,100)-MOD(VALUE(F218),100))))))/V8_MTY_CUTOFF),1)</f>
        <v/>
      </c>
      <c r="AH218" s="8">
        <f>IF(AND(IF(OR(M218="",NOT(ISNUMBER(M218))),0,MAX(0,MIN(24,(INT(VALUE(F218)/100)-INT(M218/100))*12+MOD(VALUE(F218),100)-MOD(M218,100))))&gt;0,IF(OR(M218="",NOT(ISNUMBER(M218))),0,MAX(0,MIN(24,(INT(VALUE(F218)/100)-INT(M218/100))*12+MOD(VALUE(F218),100)-MOD(M218,100))))&lt;=12),1+V8_LOCKOUT_AMP*EXP(-(IF(OR(M218="",NOT(ISNUMBER(M218))),0,MAX(0,MIN(24,(INT(VALUE(F218)/100)-INT(M218/100))*12+MOD(VALUE(F218),100)-MOD(M218,100)))))/V8_LOCKOUT_TAU),1)</f>
        <v/>
      </c>
      <c r="AI218" s="8">
        <f>MAX(V8_BURN_FLOOR,1-V8_BURN_SLOPE*MIN(1,MAX(0,O218)))</f>
        <v/>
      </c>
      <c r="AJ218" s="15">
        <f>MIN(AA218*AF218*AG218*AH218*AI218,0.2)</f>
        <v/>
      </c>
      <c r="AK218" s="16">
        <f>1-(1-AJ218)^12</f>
        <v/>
      </c>
    </row>
    <row r="219">
      <c r="A219" s="2" t="inlineStr">
        <is>
          <t>000001711211</t>
        </is>
      </c>
      <c r="B219" t="inlineStr">
        <is>
          <t>223f</t>
        </is>
      </c>
      <c r="C219" t="inlineStr">
        <is>
          <t>RP</t>
        </is>
      </c>
      <c r="D219" t="inlineStr">
        <is>
          <t>KEYBANK NATIONAL ASSOCIATION</t>
        </is>
      </c>
      <c r="E219" t="n">
        <v>2018</v>
      </c>
      <c r="F219" t="inlineStr">
        <is>
          <t>202602</t>
        </is>
      </c>
      <c r="G219" s="9" t="n">
        <v>2100799.83</v>
      </c>
      <c r="H219" s="13" t="n">
        <v>4.75</v>
      </c>
      <c r="I219" s="14" t="n">
        <v>447</v>
      </c>
      <c r="J219" s="14" t="n">
        <v>3</v>
      </c>
      <c r="K219" t="n">
        <v>86</v>
      </c>
      <c r="L219" t="n">
        <v>205401</v>
      </c>
      <c r="M219" t="inlineStr"/>
      <c r="N219" t="n">
        <v>41</v>
      </c>
      <c r="O219" s="8" t="n">
        <v>0.4767441860465116</v>
      </c>
      <c r="P219">
        <f>IF(ISNUMBER(SEARCH("232",B219)),"232",IF(ISNUMBER(SEARCH("538",B219)),"538",IF(ISNUMBER(SEARCH("223a7",B219)),"223a7",IF(ISNUMBER(SEARCH("223f",B219)),"223f","OTHER"))))</f>
        <v/>
      </c>
      <c r="Q219">
        <f>IF(UPPER(C219)="NC","NC","RP")</f>
        <v/>
      </c>
      <c r="R219">
        <f>IF(G219&lt;5000000,"small",IF(G219&lt;25000000,"medium","large"))</f>
        <v/>
      </c>
      <c r="S219">
        <f>IF(K219&lt;36,"young",IF(K219&lt;120,"seasoned","aged"))</f>
        <v/>
      </c>
      <c r="T219">
        <f>P219&amp;"|"&amp;Q219&amp;"|"&amp;R219&amp;"|"&amp;S219</f>
        <v/>
      </c>
      <c r="U219" s="14">
        <f>H219*100-I219</f>
        <v/>
      </c>
      <c r="V219" s="14">
        <f>U219-12.5*(J219+1)</f>
        <v/>
      </c>
      <c r="W219" s="15">
        <f>IFERROR(VLOOKUP(T219,V8_COHORT_TABLE,2,FALSE),IFERROR(VLOOKUP(P219&amp;"|"&amp;Q219&amp;"|ALL|"&amp;S219,V8_COHORT_TABLE,2,FALSE),IFERROR(VLOOKUP(P219&amp;"|ALL|ALL|"&amp;S219,V8_COHORT_TABLE,2,FALSE),IFERROR(VLOOKUP(P219&amp;"|ALL|ALL|ALL",V8_COHORT_TABLE,2,FALSE),VLOOKUP("GLOBAL",V8_COHORT_TABLE,2,FALSE)))))</f>
        <v/>
      </c>
      <c r="X219" s="15">
        <f>IFERROR(VLOOKUP(T219,V8_COHORT_TABLE,3,FALSE),IFERROR(VLOOKUP(P219&amp;"|"&amp;Q219&amp;"|ALL|"&amp;S219,V8_COHORT_TABLE,3,FALSE),IFERROR(VLOOKUP(P219&amp;"|ALL|ALL|"&amp;S219,V8_COHORT_TABLE,3,FALSE),IFERROR(VLOOKUP(P219&amp;"|ALL|ALL|ALL",V8_COHORT_TABLE,3,FALSE),VLOOKUP("GLOBAL",V8_COHORT_TABLE,3,FALSE)))))</f>
        <v/>
      </c>
      <c r="Y219" s="15">
        <f>IFERROR(VLOOKUP(T219,V8_COHORT_TABLE,4,FALSE),IFERROR(VLOOKUP(P219&amp;"|"&amp;Q219&amp;"|ALL|"&amp;S219,V8_COHORT_TABLE,4,FALSE),IFERROR(VLOOKUP(P219&amp;"|ALL|ALL|"&amp;S219,V8_COHORT_TABLE,4,FALSE),IFERROR(VLOOKUP(P219&amp;"|ALL|ALL|ALL",V8_COHORT_TABLE,4,FALSE),VLOOKUP("GLOBAL",V8_COHORT_TABLE,4,FALSE)))))</f>
        <v/>
      </c>
      <c r="Z219" s="15">
        <f>IFERROR(VLOOKUP(T219,V8_COHORT_TABLE,5,FALSE),IFERROR(VLOOKUP(P219&amp;"|"&amp;Q219&amp;"|ALL|"&amp;S219,V8_COHORT_TABLE,5,FALSE),IFERROR(VLOOKUP(P219&amp;"|ALL|ALL|"&amp;S219,V8_COHORT_TABLE,5,FALSE),IFERROR(VLOOKUP(P219&amp;"|ALL|ALL|ALL",V8_COHORT_TABLE,5,FALSE),VLOOKUP("GLOBAL",V8_COHORT_TABLE,5,FALSE)))))</f>
        <v/>
      </c>
      <c r="AA219" s="15">
        <f>W219+X219/(1+EXP(-(V219-Y219)/Z219))</f>
        <v/>
      </c>
      <c r="AB219" s="15">
        <f>IFERROR(VLOOKUP(T219,V8_COHORT_TABLE,6,FALSE),IFERROR(VLOOKUP(P219&amp;"|"&amp;Q219&amp;"|ALL|"&amp;S219,V8_COHORT_TABLE,6,FALSE),IFERROR(VLOOKUP(P219&amp;"|ALL|ALL|"&amp;S219,V8_COHORT_TABLE,6,FALSE),IFERROR(VLOOKUP(P219&amp;"|ALL|ALL|ALL",V8_COHORT_TABLE,6,FALSE),VLOOKUP("GLOBAL",V8_COHORT_TABLE,6,FALSE)))))</f>
        <v/>
      </c>
      <c r="AC219" s="15">
        <f>IFERROR(VLOOKUP(T219,V8_COHORT_TABLE,7,FALSE),IFERROR(VLOOKUP(P219&amp;"|"&amp;Q219&amp;"|ALL|"&amp;S219,V8_COHORT_TABLE,7,FALSE),IFERROR(VLOOKUP(P219&amp;"|ALL|ALL|"&amp;S219,V8_COHORT_TABLE,7,FALSE),IFERROR(VLOOKUP(P219&amp;"|ALL|ALL|ALL",V8_COHORT_TABLE,7,FALSE),VLOOKUP("GLOBAL",V8_COHORT_TABLE,7,FALSE)))))</f>
        <v/>
      </c>
      <c r="AD219" s="15">
        <f>IFERROR(VLOOKUP(T219,V8_COHORT_TABLE,8,FALSE),IFERROR(VLOOKUP(P219&amp;"|"&amp;Q219&amp;"|ALL|"&amp;S219,V8_COHORT_TABLE,8,FALSE),IFERROR(VLOOKUP(P219&amp;"|ALL|ALL|"&amp;S219,V8_COHORT_TABLE,8,FALSE),IFERROR(VLOOKUP(P219&amp;"|ALL|ALL|ALL",V8_COHORT_TABLE,8,FALSE),VLOOKUP("GLOBAL",V8_COHORT_TABLE,8,FALSE)))))</f>
        <v/>
      </c>
      <c r="AE219" s="15">
        <f>IFERROR(VLOOKUP(T219,V8_COHORT_TABLE,9,FALSE),IFERROR(VLOOKUP(P219&amp;"|"&amp;Q219&amp;"|ALL|"&amp;S219,V8_COHORT_TABLE,9,FALSE),IFERROR(VLOOKUP(P219&amp;"|ALL|ALL|"&amp;S219,V8_COHORT_TABLE,9,FALSE),IFERROR(VLOOKUP(P219&amp;"|ALL|ALL|ALL",V8_COHORT_TABLE,9,FALSE),VLOOKUP("GLOBAL",V8_COHORT_TABLE,9,FALSE)))))</f>
        <v/>
      </c>
      <c r="AF219" s="8">
        <f>IF(K219&lt;=0,AB219,IF(K219&gt;=240,AE219,IF(K219&lt;=24,AB219+(K219-0)/24*(AC219-AB219),IF(K219&lt;=96,AC219+(K219-24)/72*(AD219-AC219),AD219+(K219-96)/144*(AE219-AD219)))))</f>
        <v/>
      </c>
      <c r="AG219" s="8">
        <f>IF(IF(OR(L219="",NOT(ISNUMBER(L219))),360,MAX(0,MIN(480,(INT(L219/100)-INT(VALUE(F219)/100))*12+MOD(L219,100)-MOD(VALUE(F219),100))))&gt;0,1+V8_MTY_AMP*MAX(0,(V8_MTY_CUTOFF-(IF(OR(L219="",NOT(ISNUMBER(L219))),360,MAX(0,MIN(480,(INT(L219/100)-INT(VALUE(F219)/100))*12+MOD(L219,100)-MOD(VALUE(F219),100))))))/V8_MTY_CUTOFF),1)</f>
        <v/>
      </c>
      <c r="AH219" s="8">
        <f>IF(AND(IF(OR(M219="",NOT(ISNUMBER(M219))),0,MAX(0,MIN(24,(INT(VALUE(F219)/100)-INT(M219/100))*12+MOD(VALUE(F219),100)-MOD(M219,100))))&gt;0,IF(OR(M219="",NOT(ISNUMBER(M219))),0,MAX(0,MIN(24,(INT(VALUE(F219)/100)-INT(M219/100))*12+MOD(VALUE(F219),100)-MOD(M219,100))))&lt;=12),1+V8_LOCKOUT_AMP*EXP(-(IF(OR(M219="",NOT(ISNUMBER(M219))),0,MAX(0,MIN(24,(INT(VALUE(F219)/100)-INT(M219/100))*12+MOD(VALUE(F219),100)-MOD(M219,100)))))/V8_LOCKOUT_TAU),1)</f>
        <v/>
      </c>
      <c r="AI219" s="8">
        <f>MAX(V8_BURN_FLOOR,1-V8_BURN_SLOPE*MIN(1,MAX(0,O219)))</f>
        <v/>
      </c>
      <c r="AJ219" s="15">
        <f>MIN(AA219*AF219*AG219*AH219*AI219,0.2)</f>
        <v/>
      </c>
      <c r="AK219" s="16">
        <f>1-(1-AJ219)^12</f>
        <v/>
      </c>
    </row>
    <row r="220">
      <c r="A220" s="2" t="inlineStr">
        <is>
          <t>000011322064</t>
        </is>
      </c>
      <c r="B220" t="inlineStr">
        <is>
          <t>232</t>
        </is>
      </c>
      <c r="C220" t="inlineStr">
        <is>
          <t>RP</t>
        </is>
      </c>
      <c r="D220" t="inlineStr">
        <is>
          <t>KEYBANK NATIONAL ASSOCIATION</t>
        </is>
      </c>
      <c r="E220" t="n">
        <v>2011</v>
      </c>
      <c r="F220" t="inlineStr">
        <is>
          <t>202602</t>
        </is>
      </c>
      <c r="G220" s="9" t="n">
        <v>4594985.17</v>
      </c>
      <c r="H220" s="13" t="n">
        <v>4.28</v>
      </c>
      <c r="I220" s="14" t="n">
        <v>447</v>
      </c>
      <c r="J220" s="14" t="n">
        <v>0</v>
      </c>
      <c r="K220" t="n">
        <v>179</v>
      </c>
      <c r="L220" t="n">
        <v>203604</v>
      </c>
      <c r="M220" t="inlineStr"/>
      <c r="N220" t="n">
        <v>45</v>
      </c>
      <c r="O220" s="8" t="n">
        <v>0.2513966480446927</v>
      </c>
      <c r="P220">
        <f>IF(ISNUMBER(SEARCH("232",B220)),"232",IF(ISNUMBER(SEARCH("538",B220)),"538",IF(ISNUMBER(SEARCH("223a7",B220)),"223a7",IF(ISNUMBER(SEARCH("223f",B220)),"223f","OTHER"))))</f>
        <v/>
      </c>
      <c r="Q220">
        <f>IF(UPPER(C220)="NC","NC","RP")</f>
        <v/>
      </c>
      <c r="R220">
        <f>IF(G220&lt;5000000,"small",IF(G220&lt;25000000,"medium","large"))</f>
        <v/>
      </c>
      <c r="S220">
        <f>IF(K220&lt;36,"young",IF(K220&lt;120,"seasoned","aged"))</f>
        <v/>
      </c>
      <c r="T220">
        <f>P220&amp;"|"&amp;Q220&amp;"|"&amp;R220&amp;"|"&amp;S220</f>
        <v/>
      </c>
      <c r="U220" s="14">
        <f>H220*100-I220</f>
        <v/>
      </c>
      <c r="V220" s="14">
        <f>U220-12.5*(J220+1)</f>
        <v/>
      </c>
      <c r="W220" s="15">
        <f>IFERROR(VLOOKUP(T220,V8_COHORT_TABLE,2,FALSE),IFERROR(VLOOKUP(P220&amp;"|"&amp;Q220&amp;"|ALL|"&amp;S220,V8_COHORT_TABLE,2,FALSE),IFERROR(VLOOKUP(P220&amp;"|ALL|ALL|"&amp;S220,V8_COHORT_TABLE,2,FALSE),IFERROR(VLOOKUP(P220&amp;"|ALL|ALL|ALL",V8_COHORT_TABLE,2,FALSE),VLOOKUP("GLOBAL",V8_COHORT_TABLE,2,FALSE)))))</f>
        <v/>
      </c>
      <c r="X220" s="15">
        <f>IFERROR(VLOOKUP(T220,V8_COHORT_TABLE,3,FALSE),IFERROR(VLOOKUP(P220&amp;"|"&amp;Q220&amp;"|ALL|"&amp;S220,V8_COHORT_TABLE,3,FALSE),IFERROR(VLOOKUP(P220&amp;"|ALL|ALL|"&amp;S220,V8_COHORT_TABLE,3,FALSE),IFERROR(VLOOKUP(P220&amp;"|ALL|ALL|ALL",V8_COHORT_TABLE,3,FALSE),VLOOKUP("GLOBAL",V8_COHORT_TABLE,3,FALSE)))))</f>
        <v/>
      </c>
      <c r="Y220" s="15">
        <f>IFERROR(VLOOKUP(T220,V8_COHORT_TABLE,4,FALSE),IFERROR(VLOOKUP(P220&amp;"|"&amp;Q220&amp;"|ALL|"&amp;S220,V8_COHORT_TABLE,4,FALSE),IFERROR(VLOOKUP(P220&amp;"|ALL|ALL|"&amp;S220,V8_COHORT_TABLE,4,FALSE),IFERROR(VLOOKUP(P220&amp;"|ALL|ALL|ALL",V8_COHORT_TABLE,4,FALSE),VLOOKUP("GLOBAL",V8_COHORT_TABLE,4,FALSE)))))</f>
        <v/>
      </c>
      <c r="Z220" s="15">
        <f>IFERROR(VLOOKUP(T220,V8_COHORT_TABLE,5,FALSE),IFERROR(VLOOKUP(P220&amp;"|"&amp;Q220&amp;"|ALL|"&amp;S220,V8_COHORT_TABLE,5,FALSE),IFERROR(VLOOKUP(P220&amp;"|ALL|ALL|"&amp;S220,V8_COHORT_TABLE,5,FALSE),IFERROR(VLOOKUP(P220&amp;"|ALL|ALL|ALL",V8_COHORT_TABLE,5,FALSE),VLOOKUP("GLOBAL",V8_COHORT_TABLE,5,FALSE)))))</f>
        <v/>
      </c>
      <c r="AA220" s="15">
        <f>W220+X220/(1+EXP(-(V220-Y220)/Z220))</f>
        <v/>
      </c>
      <c r="AB220" s="15">
        <f>IFERROR(VLOOKUP(T220,V8_COHORT_TABLE,6,FALSE),IFERROR(VLOOKUP(P220&amp;"|"&amp;Q220&amp;"|ALL|"&amp;S220,V8_COHORT_TABLE,6,FALSE),IFERROR(VLOOKUP(P220&amp;"|ALL|ALL|"&amp;S220,V8_COHORT_TABLE,6,FALSE),IFERROR(VLOOKUP(P220&amp;"|ALL|ALL|ALL",V8_COHORT_TABLE,6,FALSE),VLOOKUP("GLOBAL",V8_COHORT_TABLE,6,FALSE)))))</f>
        <v/>
      </c>
      <c r="AC220" s="15">
        <f>IFERROR(VLOOKUP(T220,V8_COHORT_TABLE,7,FALSE),IFERROR(VLOOKUP(P220&amp;"|"&amp;Q220&amp;"|ALL|"&amp;S220,V8_COHORT_TABLE,7,FALSE),IFERROR(VLOOKUP(P220&amp;"|ALL|ALL|"&amp;S220,V8_COHORT_TABLE,7,FALSE),IFERROR(VLOOKUP(P220&amp;"|ALL|ALL|ALL",V8_COHORT_TABLE,7,FALSE),VLOOKUP("GLOBAL",V8_COHORT_TABLE,7,FALSE)))))</f>
        <v/>
      </c>
      <c r="AD220" s="15">
        <f>IFERROR(VLOOKUP(T220,V8_COHORT_TABLE,8,FALSE),IFERROR(VLOOKUP(P220&amp;"|"&amp;Q220&amp;"|ALL|"&amp;S220,V8_COHORT_TABLE,8,FALSE),IFERROR(VLOOKUP(P220&amp;"|ALL|ALL|"&amp;S220,V8_COHORT_TABLE,8,FALSE),IFERROR(VLOOKUP(P220&amp;"|ALL|ALL|ALL",V8_COHORT_TABLE,8,FALSE),VLOOKUP("GLOBAL",V8_COHORT_TABLE,8,FALSE)))))</f>
        <v/>
      </c>
      <c r="AE220" s="15">
        <f>IFERROR(VLOOKUP(T220,V8_COHORT_TABLE,9,FALSE),IFERROR(VLOOKUP(P220&amp;"|"&amp;Q220&amp;"|ALL|"&amp;S220,V8_COHORT_TABLE,9,FALSE),IFERROR(VLOOKUP(P220&amp;"|ALL|ALL|"&amp;S220,V8_COHORT_TABLE,9,FALSE),IFERROR(VLOOKUP(P220&amp;"|ALL|ALL|ALL",V8_COHORT_TABLE,9,FALSE),VLOOKUP("GLOBAL",V8_COHORT_TABLE,9,FALSE)))))</f>
        <v/>
      </c>
      <c r="AF220" s="8">
        <f>IF(K220&lt;=0,AB220,IF(K220&gt;=240,AE220,IF(K220&lt;=24,AB220+(K220-0)/24*(AC220-AB220),IF(K220&lt;=96,AC220+(K220-24)/72*(AD220-AC220),AD220+(K220-96)/144*(AE220-AD220)))))</f>
        <v/>
      </c>
      <c r="AG220" s="8">
        <f>IF(IF(OR(L220="",NOT(ISNUMBER(L220))),360,MAX(0,MIN(480,(INT(L220/100)-INT(VALUE(F220)/100))*12+MOD(L220,100)-MOD(VALUE(F220),100))))&gt;0,1+V8_MTY_AMP*MAX(0,(V8_MTY_CUTOFF-(IF(OR(L220="",NOT(ISNUMBER(L220))),360,MAX(0,MIN(480,(INT(L220/100)-INT(VALUE(F220)/100))*12+MOD(L220,100)-MOD(VALUE(F220),100))))))/V8_MTY_CUTOFF),1)</f>
        <v/>
      </c>
      <c r="AH220" s="8">
        <f>IF(AND(IF(OR(M220="",NOT(ISNUMBER(M220))),0,MAX(0,MIN(24,(INT(VALUE(F220)/100)-INT(M220/100))*12+MOD(VALUE(F220),100)-MOD(M220,100))))&gt;0,IF(OR(M220="",NOT(ISNUMBER(M220))),0,MAX(0,MIN(24,(INT(VALUE(F220)/100)-INT(M220/100))*12+MOD(VALUE(F220),100)-MOD(M220,100))))&lt;=12),1+V8_LOCKOUT_AMP*EXP(-(IF(OR(M220="",NOT(ISNUMBER(M220))),0,MAX(0,MIN(24,(INT(VALUE(F220)/100)-INT(M220/100))*12+MOD(VALUE(F220),100)-MOD(M220,100)))))/V8_LOCKOUT_TAU),1)</f>
        <v/>
      </c>
      <c r="AI220" s="8">
        <f>MAX(V8_BURN_FLOOR,1-V8_BURN_SLOPE*MIN(1,MAX(0,O220)))</f>
        <v/>
      </c>
      <c r="AJ220" s="15">
        <f>MIN(AA220*AF220*AG220*AH220*AI220,0.2)</f>
        <v/>
      </c>
      <c r="AK220" s="16">
        <f>1-(1-AJ220)^12</f>
        <v/>
      </c>
    </row>
    <row r="221">
      <c r="A221" s="2" t="inlineStr">
        <is>
          <t>000008322086</t>
        </is>
      </c>
      <c r="B221" t="inlineStr">
        <is>
          <t>232</t>
        </is>
      </c>
      <c r="C221" t="inlineStr">
        <is>
          <t>RP</t>
        </is>
      </c>
      <c r="D221" t="inlineStr">
        <is>
          <t>KEYBANK NATIONAL ASSOCIATION</t>
        </is>
      </c>
      <c r="E221" t="n">
        <v>2019</v>
      </c>
      <c r="F221" t="inlineStr">
        <is>
          <t>202602</t>
        </is>
      </c>
      <c r="G221" s="9" t="n">
        <v>18452989.41</v>
      </c>
      <c r="H221" s="13" t="n">
        <v>3.04</v>
      </c>
      <c r="I221" s="14" t="n">
        <v>447</v>
      </c>
      <c r="J221" s="14" t="n">
        <v>6</v>
      </c>
      <c r="K221" t="n">
        <v>77</v>
      </c>
      <c r="L221" t="n">
        <v>205410</v>
      </c>
      <c r="M221" t="inlineStr"/>
      <c r="N221" t="n">
        <v>0</v>
      </c>
      <c r="O221" s="8" t="n">
        <v>0</v>
      </c>
      <c r="P221">
        <f>IF(ISNUMBER(SEARCH("232",B221)),"232",IF(ISNUMBER(SEARCH("538",B221)),"538",IF(ISNUMBER(SEARCH("223a7",B221)),"223a7",IF(ISNUMBER(SEARCH("223f",B221)),"223f","OTHER"))))</f>
        <v/>
      </c>
      <c r="Q221">
        <f>IF(UPPER(C221)="NC","NC","RP")</f>
        <v/>
      </c>
      <c r="R221">
        <f>IF(G221&lt;5000000,"small",IF(G221&lt;25000000,"medium","large"))</f>
        <v/>
      </c>
      <c r="S221">
        <f>IF(K221&lt;36,"young",IF(K221&lt;120,"seasoned","aged"))</f>
        <v/>
      </c>
      <c r="T221">
        <f>P221&amp;"|"&amp;Q221&amp;"|"&amp;R221&amp;"|"&amp;S221</f>
        <v/>
      </c>
      <c r="U221" s="14">
        <f>H221*100-I221</f>
        <v/>
      </c>
      <c r="V221" s="14">
        <f>U221-12.5*(J221+1)</f>
        <v/>
      </c>
      <c r="W221" s="15">
        <f>IFERROR(VLOOKUP(T221,V8_COHORT_TABLE,2,FALSE),IFERROR(VLOOKUP(P221&amp;"|"&amp;Q221&amp;"|ALL|"&amp;S221,V8_COHORT_TABLE,2,FALSE),IFERROR(VLOOKUP(P221&amp;"|ALL|ALL|"&amp;S221,V8_COHORT_TABLE,2,FALSE),IFERROR(VLOOKUP(P221&amp;"|ALL|ALL|ALL",V8_COHORT_TABLE,2,FALSE),VLOOKUP("GLOBAL",V8_COHORT_TABLE,2,FALSE)))))</f>
        <v/>
      </c>
      <c r="X221" s="15">
        <f>IFERROR(VLOOKUP(T221,V8_COHORT_TABLE,3,FALSE),IFERROR(VLOOKUP(P221&amp;"|"&amp;Q221&amp;"|ALL|"&amp;S221,V8_COHORT_TABLE,3,FALSE),IFERROR(VLOOKUP(P221&amp;"|ALL|ALL|"&amp;S221,V8_COHORT_TABLE,3,FALSE),IFERROR(VLOOKUP(P221&amp;"|ALL|ALL|ALL",V8_COHORT_TABLE,3,FALSE),VLOOKUP("GLOBAL",V8_COHORT_TABLE,3,FALSE)))))</f>
        <v/>
      </c>
      <c r="Y221" s="15">
        <f>IFERROR(VLOOKUP(T221,V8_COHORT_TABLE,4,FALSE),IFERROR(VLOOKUP(P221&amp;"|"&amp;Q221&amp;"|ALL|"&amp;S221,V8_COHORT_TABLE,4,FALSE),IFERROR(VLOOKUP(P221&amp;"|ALL|ALL|"&amp;S221,V8_COHORT_TABLE,4,FALSE),IFERROR(VLOOKUP(P221&amp;"|ALL|ALL|ALL",V8_COHORT_TABLE,4,FALSE),VLOOKUP("GLOBAL",V8_COHORT_TABLE,4,FALSE)))))</f>
        <v/>
      </c>
      <c r="Z221" s="15">
        <f>IFERROR(VLOOKUP(T221,V8_COHORT_TABLE,5,FALSE),IFERROR(VLOOKUP(P221&amp;"|"&amp;Q221&amp;"|ALL|"&amp;S221,V8_COHORT_TABLE,5,FALSE),IFERROR(VLOOKUP(P221&amp;"|ALL|ALL|"&amp;S221,V8_COHORT_TABLE,5,FALSE),IFERROR(VLOOKUP(P221&amp;"|ALL|ALL|ALL",V8_COHORT_TABLE,5,FALSE),VLOOKUP("GLOBAL",V8_COHORT_TABLE,5,FALSE)))))</f>
        <v/>
      </c>
      <c r="AA221" s="15">
        <f>W221+X221/(1+EXP(-(V221-Y221)/Z221))</f>
        <v/>
      </c>
      <c r="AB221" s="15">
        <f>IFERROR(VLOOKUP(T221,V8_COHORT_TABLE,6,FALSE),IFERROR(VLOOKUP(P221&amp;"|"&amp;Q221&amp;"|ALL|"&amp;S221,V8_COHORT_TABLE,6,FALSE),IFERROR(VLOOKUP(P221&amp;"|ALL|ALL|"&amp;S221,V8_COHORT_TABLE,6,FALSE),IFERROR(VLOOKUP(P221&amp;"|ALL|ALL|ALL",V8_COHORT_TABLE,6,FALSE),VLOOKUP("GLOBAL",V8_COHORT_TABLE,6,FALSE)))))</f>
        <v/>
      </c>
      <c r="AC221" s="15">
        <f>IFERROR(VLOOKUP(T221,V8_COHORT_TABLE,7,FALSE),IFERROR(VLOOKUP(P221&amp;"|"&amp;Q221&amp;"|ALL|"&amp;S221,V8_COHORT_TABLE,7,FALSE),IFERROR(VLOOKUP(P221&amp;"|ALL|ALL|"&amp;S221,V8_COHORT_TABLE,7,FALSE),IFERROR(VLOOKUP(P221&amp;"|ALL|ALL|ALL",V8_COHORT_TABLE,7,FALSE),VLOOKUP("GLOBAL",V8_COHORT_TABLE,7,FALSE)))))</f>
        <v/>
      </c>
      <c r="AD221" s="15">
        <f>IFERROR(VLOOKUP(T221,V8_COHORT_TABLE,8,FALSE),IFERROR(VLOOKUP(P221&amp;"|"&amp;Q221&amp;"|ALL|"&amp;S221,V8_COHORT_TABLE,8,FALSE),IFERROR(VLOOKUP(P221&amp;"|ALL|ALL|"&amp;S221,V8_COHORT_TABLE,8,FALSE),IFERROR(VLOOKUP(P221&amp;"|ALL|ALL|ALL",V8_COHORT_TABLE,8,FALSE),VLOOKUP("GLOBAL",V8_COHORT_TABLE,8,FALSE)))))</f>
        <v/>
      </c>
      <c r="AE221" s="15">
        <f>IFERROR(VLOOKUP(T221,V8_COHORT_TABLE,9,FALSE),IFERROR(VLOOKUP(P221&amp;"|"&amp;Q221&amp;"|ALL|"&amp;S221,V8_COHORT_TABLE,9,FALSE),IFERROR(VLOOKUP(P221&amp;"|ALL|ALL|"&amp;S221,V8_COHORT_TABLE,9,FALSE),IFERROR(VLOOKUP(P221&amp;"|ALL|ALL|ALL",V8_COHORT_TABLE,9,FALSE),VLOOKUP("GLOBAL",V8_COHORT_TABLE,9,FALSE)))))</f>
        <v/>
      </c>
      <c r="AF221" s="8">
        <f>IF(K221&lt;=0,AB221,IF(K221&gt;=240,AE221,IF(K221&lt;=24,AB221+(K221-0)/24*(AC221-AB221),IF(K221&lt;=96,AC221+(K221-24)/72*(AD221-AC221),AD221+(K221-96)/144*(AE221-AD221)))))</f>
        <v/>
      </c>
      <c r="AG221" s="8">
        <f>IF(IF(OR(L221="",NOT(ISNUMBER(L221))),360,MAX(0,MIN(480,(INT(L221/100)-INT(VALUE(F221)/100))*12+MOD(L221,100)-MOD(VALUE(F221),100))))&gt;0,1+V8_MTY_AMP*MAX(0,(V8_MTY_CUTOFF-(IF(OR(L221="",NOT(ISNUMBER(L221))),360,MAX(0,MIN(480,(INT(L221/100)-INT(VALUE(F221)/100))*12+MOD(L221,100)-MOD(VALUE(F221),100))))))/V8_MTY_CUTOFF),1)</f>
        <v/>
      </c>
      <c r="AH221" s="8">
        <f>IF(AND(IF(OR(M221="",NOT(ISNUMBER(M221))),0,MAX(0,MIN(24,(INT(VALUE(F221)/100)-INT(M221/100))*12+MOD(VALUE(F221),100)-MOD(M221,100))))&gt;0,IF(OR(M221="",NOT(ISNUMBER(M221))),0,MAX(0,MIN(24,(INT(VALUE(F221)/100)-INT(M221/100))*12+MOD(VALUE(F221),100)-MOD(M221,100))))&lt;=12),1+V8_LOCKOUT_AMP*EXP(-(IF(OR(M221="",NOT(ISNUMBER(M221))),0,MAX(0,MIN(24,(INT(VALUE(F221)/100)-INT(M221/100))*12+MOD(VALUE(F221),100)-MOD(M221,100)))))/V8_LOCKOUT_TAU),1)</f>
        <v/>
      </c>
      <c r="AI221" s="8">
        <f>MAX(V8_BURN_FLOOR,1-V8_BURN_SLOPE*MIN(1,MAX(0,O221)))</f>
        <v/>
      </c>
      <c r="AJ221" s="15">
        <f>MIN(AA221*AF221*AG221*AH221*AI221,0.2)</f>
        <v/>
      </c>
      <c r="AK221" s="16">
        <f>1-(1-AJ221)^12</f>
        <v/>
      </c>
    </row>
    <row r="222">
      <c r="A222" s="2" t="inlineStr">
        <is>
          <t>000008211161</t>
        </is>
      </c>
      <c r="B222" t="inlineStr">
        <is>
          <t>223f</t>
        </is>
      </c>
      <c r="C222" t="inlineStr">
        <is>
          <t>RP</t>
        </is>
      </c>
      <c r="D222" t="inlineStr">
        <is>
          <t>KEYBANK NATIONAL ASSOCIATION</t>
        </is>
      </c>
      <c r="E222" t="n">
        <v>2021</v>
      </c>
      <c r="F222" t="inlineStr">
        <is>
          <t>202602</t>
        </is>
      </c>
      <c r="G222" s="9" t="n">
        <v>25769713.74</v>
      </c>
      <c r="H222" s="13" t="n">
        <v>2.3</v>
      </c>
      <c r="I222" s="14" t="n">
        <v>447</v>
      </c>
      <c r="J222" s="14" t="n">
        <v>6</v>
      </c>
      <c r="K222" t="n">
        <v>50</v>
      </c>
      <c r="L222" t="n">
        <v>205701</v>
      </c>
      <c r="M222" t="inlineStr"/>
      <c r="N222" t="n">
        <v>0</v>
      </c>
      <c r="O222" s="8" t="n">
        <v>0</v>
      </c>
      <c r="P222">
        <f>IF(ISNUMBER(SEARCH("232",B222)),"232",IF(ISNUMBER(SEARCH("538",B222)),"538",IF(ISNUMBER(SEARCH("223a7",B222)),"223a7",IF(ISNUMBER(SEARCH("223f",B222)),"223f","OTHER"))))</f>
        <v/>
      </c>
      <c r="Q222">
        <f>IF(UPPER(C222)="NC","NC","RP")</f>
        <v/>
      </c>
      <c r="R222">
        <f>IF(G222&lt;5000000,"small",IF(G222&lt;25000000,"medium","large"))</f>
        <v/>
      </c>
      <c r="S222">
        <f>IF(K222&lt;36,"young",IF(K222&lt;120,"seasoned","aged"))</f>
        <v/>
      </c>
      <c r="T222">
        <f>P222&amp;"|"&amp;Q222&amp;"|"&amp;R222&amp;"|"&amp;S222</f>
        <v/>
      </c>
      <c r="U222" s="14">
        <f>H222*100-I222</f>
        <v/>
      </c>
      <c r="V222" s="14">
        <f>U222-12.5*(J222+1)</f>
        <v/>
      </c>
      <c r="W222" s="15">
        <f>IFERROR(VLOOKUP(T222,V8_COHORT_TABLE,2,FALSE),IFERROR(VLOOKUP(P222&amp;"|"&amp;Q222&amp;"|ALL|"&amp;S222,V8_COHORT_TABLE,2,FALSE),IFERROR(VLOOKUP(P222&amp;"|ALL|ALL|"&amp;S222,V8_COHORT_TABLE,2,FALSE),IFERROR(VLOOKUP(P222&amp;"|ALL|ALL|ALL",V8_COHORT_TABLE,2,FALSE),VLOOKUP("GLOBAL",V8_COHORT_TABLE,2,FALSE)))))</f>
        <v/>
      </c>
      <c r="X222" s="15">
        <f>IFERROR(VLOOKUP(T222,V8_COHORT_TABLE,3,FALSE),IFERROR(VLOOKUP(P222&amp;"|"&amp;Q222&amp;"|ALL|"&amp;S222,V8_COHORT_TABLE,3,FALSE),IFERROR(VLOOKUP(P222&amp;"|ALL|ALL|"&amp;S222,V8_COHORT_TABLE,3,FALSE),IFERROR(VLOOKUP(P222&amp;"|ALL|ALL|ALL",V8_COHORT_TABLE,3,FALSE),VLOOKUP("GLOBAL",V8_COHORT_TABLE,3,FALSE)))))</f>
        <v/>
      </c>
      <c r="Y222" s="15">
        <f>IFERROR(VLOOKUP(T222,V8_COHORT_TABLE,4,FALSE),IFERROR(VLOOKUP(P222&amp;"|"&amp;Q222&amp;"|ALL|"&amp;S222,V8_COHORT_TABLE,4,FALSE),IFERROR(VLOOKUP(P222&amp;"|ALL|ALL|"&amp;S222,V8_COHORT_TABLE,4,FALSE),IFERROR(VLOOKUP(P222&amp;"|ALL|ALL|ALL",V8_COHORT_TABLE,4,FALSE),VLOOKUP("GLOBAL",V8_COHORT_TABLE,4,FALSE)))))</f>
        <v/>
      </c>
      <c r="Z222" s="15">
        <f>IFERROR(VLOOKUP(T222,V8_COHORT_TABLE,5,FALSE),IFERROR(VLOOKUP(P222&amp;"|"&amp;Q222&amp;"|ALL|"&amp;S222,V8_COHORT_TABLE,5,FALSE),IFERROR(VLOOKUP(P222&amp;"|ALL|ALL|"&amp;S222,V8_COHORT_TABLE,5,FALSE),IFERROR(VLOOKUP(P222&amp;"|ALL|ALL|ALL",V8_COHORT_TABLE,5,FALSE),VLOOKUP("GLOBAL",V8_COHORT_TABLE,5,FALSE)))))</f>
        <v/>
      </c>
      <c r="AA222" s="15">
        <f>W222+X222/(1+EXP(-(V222-Y222)/Z222))</f>
        <v/>
      </c>
      <c r="AB222" s="15">
        <f>IFERROR(VLOOKUP(T222,V8_COHORT_TABLE,6,FALSE),IFERROR(VLOOKUP(P222&amp;"|"&amp;Q222&amp;"|ALL|"&amp;S222,V8_COHORT_TABLE,6,FALSE),IFERROR(VLOOKUP(P222&amp;"|ALL|ALL|"&amp;S222,V8_COHORT_TABLE,6,FALSE),IFERROR(VLOOKUP(P222&amp;"|ALL|ALL|ALL",V8_COHORT_TABLE,6,FALSE),VLOOKUP("GLOBAL",V8_COHORT_TABLE,6,FALSE)))))</f>
        <v/>
      </c>
      <c r="AC222" s="15">
        <f>IFERROR(VLOOKUP(T222,V8_COHORT_TABLE,7,FALSE),IFERROR(VLOOKUP(P222&amp;"|"&amp;Q222&amp;"|ALL|"&amp;S222,V8_COHORT_TABLE,7,FALSE),IFERROR(VLOOKUP(P222&amp;"|ALL|ALL|"&amp;S222,V8_COHORT_TABLE,7,FALSE),IFERROR(VLOOKUP(P222&amp;"|ALL|ALL|ALL",V8_COHORT_TABLE,7,FALSE),VLOOKUP("GLOBAL",V8_COHORT_TABLE,7,FALSE)))))</f>
        <v/>
      </c>
      <c r="AD222" s="15">
        <f>IFERROR(VLOOKUP(T222,V8_COHORT_TABLE,8,FALSE),IFERROR(VLOOKUP(P222&amp;"|"&amp;Q222&amp;"|ALL|"&amp;S222,V8_COHORT_TABLE,8,FALSE),IFERROR(VLOOKUP(P222&amp;"|ALL|ALL|"&amp;S222,V8_COHORT_TABLE,8,FALSE),IFERROR(VLOOKUP(P222&amp;"|ALL|ALL|ALL",V8_COHORT_TABLE,8,FALSE),VLOOKUP("GLOBAL",V8_COHORT_TABLE,8,FALSE)))))</f>
        <v/>
      </c>
      <c r="AE222" s="15">
        <f>IFERROR(VLOOKUP(T222,V8_COHORT_TABLE,9,FALSE),IFERROR(VLOOKUP(P222&amp;"|"&amp;Q222&amp;"|ALL|"&amp;S222,V8_COHORT_TABLE,9,FALSE),IFERROR(VLOOKUP(P222&amp;"|ALL|ALL|"&amp;S222,V8_COHORT_TABLE,9,FALSE),IFERROR(VLOOKUP(P222&amp;"|ALL|ALL|ALL",V8_COHORT_TABLE,9,FALSE),VLOOKUP("GLOBAL",V8_COHORT_TABLE,9,FALSE)))))</f>
        <v/>
      </c>
      <c r="AF222" s="8">
        <f>IF(K222&lt;=0,AB222,IF(K222&gt;=240,AE222,IF(K222&lt;=24,AB222+(K222-0)/24*(AC222-AB222),IF(K222&lt;=96,AC222+(K222-24)/72*(AD222-AC222),AD222+(K222-96)/144*(AE222-AD222)))))</f>
        <v/>
      </c>
      <c r="AG222" s="8">
        <f>IF(IF(OR(L222="",NOT(ISNUMBER(L222))),360,MAX(0,MIN(480,(INT(L222/100)-INT(VALUE(F222)/100))*12+MOD(L222,100)-MOD(VALUE(F222),100))))&gt;0,1+V8_MTY_AMP*MAX(0,(V8_MTY_CUTOFF-(IF(OR(L222="",NOT(ISNUMBER(L222))),360,MAX(0,MIN(480,(INT(L222/100)-INT(VALUE(F222)/100))*12+MOD(L222,100)-MOD(VALUE(F222),100))))))/V8_MTY_CUTOFF),1)</f>
        <v/>
      </c>
      <c r="AH222" s="8">
        <f>IF(AND(IF(OR(M222="",NOT(ISNUMBER(M222))),0,MAX(0,MIN(24,(INT(VALUE(F222)/100)-INT(M222/100))*12+MOD(VALUE(F222),100)-MOD(M222,100))))&gt;0,IF(OR(M222="",NOT(ISNUMBER(M222))),0,MAX(0,MIN(24,(INT(VALUE(F222)/100)-INT(M222/100))*12+MOD(VALUE(F222),100)-MOD(M222,100))))&lt;=12),1+V8_LOCKOUT_AMP*EXP(-(IF(OR(M222="",NOT(ISNUMBER(M222))),0,MAX(0,MIN(24,(INT(VALUE(F222)/100)-INT(M222/100))*12+MOD(VALUE(F222),100)-MOD(M222,100)))))/V8_LOCKOUT_TAU),1)</f>
        <v/>
      </c>
      <c r="AI222" s="8">
        <f>MAX(V8_BURN_FLOOR,1-V8_BURN_SLOPE*MIN(1,MAX(0,O222)))</f>
        <v/>
      </c>
      <c r="AJ222" s="15">
        <f>MIN(AA222*AF222*AG222*AH222*AI222,0.2)</f>
        <v/>
      </c>
      <c r="AK222" s="16">
        <f>1-(1-AJ222)^12</f>
        <v/>
      </c>
    </row>
    <row r="223">
      <c r="A223" s="2" t="inlineStr">
        <is>
          <t>000010535280</t>
        </is>
      </c>
      <c r="B223" t="inlineStr">
        <is>
          <t>221d4</t>
        </is>
      </c>
      <c r="C223" t="inlineStr">
        <is>
          <t>NC</t>
        </is>
      </c>
      <c r="D223" t="inlineStr">
        <is>
          <t>KEYBANK NATIONAL ASSOCIATION</t>
        </is>
      </c>
      <c r="E223" t="n">
        <v>2019</v>
      </c>
      <c r="F223" t="inlineStr">
        <is>
          <t>202602</t>
        </is>
      </c>
      <c r="G223" s="9" t="n">
        <v>47013276.32</v>
      </c>
      <c r="H223" s="13" t="n">
        <v>4.53</v>
      </c>
      <c r="I223" s="14" t="n">
        <v>447</v>
      </c>
      <c r="J223" s="14" t="n">
        <v>6</v>
      </c>
      <c r="K223" t="n">
        <v>81</v>
      </c>
      <c r="L223" t="n">
        <v>206106</v>
      </c>
      <c r="M223" t="inlineStr"/>
      <c r="N223" t="n">
        <v>3</v>
      </c>
      <c r="O223" s="8" t="n">
        <v>0.03703703703703703</v>
      </c>
      <c r="P223">
        <f>IF(ISNUMBER(SEARCH("232",B223)),"232",IF(ISNUMBER(SEARCH("538",B223)),"538",IF(ISNUMBER(SEARCH("223a7",B223)),"223a7",IF(ISNUMBER(SEARCH("223f",B223)),"223f","OTHER"))))</f>
        <v/>
      </c>
      <c r="Q223">
        <f>IF(UPPER(C223)="NC","NC","RP")</f>
        <v/>
      </c>
      <c r="R223">
        <f>IF(G223&lt;5000000,"small",IF(G223&lt;25000000,"medium","large"))</f>
        <v/>
      </c>
      <c r="S223">
        <f>IF(K223&lt;36,"young",IF(K223&lt;120,"seasoned","aged"))</f>
        <v/>
      </c>
      <c r="T223">
        <f>P223&amp;"|"&amp;Q223&amp;"|"&amp;R223&amp;"|"&amp;S223</f>
        <v/>
      </c>
      <c r="U223" s="14">
        <f>H223*100-I223</f>
        <v/>
      </c>
      <c r="V223" s="14">
        <f>U223-12.5*(J223+1)</f>
        <v/>
      </c>
      <c r="W223" s="15">
        <f>IFERROR(VLOOKUP(T223,V8_COHORT_TABLE,2,FALSE),IFERROR(VLOOKUP(P223&amp;"|"&amp;Q223&amp;"|ALL|"&amp;S223,V8_COHORT_TABLE,2,FALSE),IFERROR(VLOOKUP(P223&amp;"|ALL|ALL|"&amp;S223,V8_COHORT_TABLE,2,FALSE),IFERROR(VLOOKUP(P223&amp;"|ALL|ALL|ALL",V8_COHORT_TABLE,2,FALSE),VLOOKUP("GLOBAL",V8_COHORT_TABLE,2,FALSE)))))</f>
        <v/>
      </c>
      <c r="X223" s="15">
        <f>IFERROR(VLOOKUP(T223,V8_COHORT_TABLE,3,FALSE),IFERROR(VLOOKUP(P223&amp;"|"&amp;Q223&amp;"|ALL|"&amp;S223,V8_COHORT_TABLE,3,FALSE),IFERROR(VLOOKUP(P223&amp;"|ALL|ALL|"&amp;S223,V8_COHORT_TABLE,3,FALSE),IFERROR(VLOOKUP(P223&amp;"|ALL|ALL|ALL",V8_COHORT_TABLE,3,FALSE),VLOOKUP("GLOBAL",V8_COHORT_TABLE,3,FALSE)))))</f>
        <v/>
      </c>
      <c r="Y223" s="15">
        <f>IFERROR(VLOOKUP(T223,V8_COHORT_TABLE,4,FALSE),IFERROR(VLOOKUP(P223&amp;"|"&amp;Q223&amp;"|ALL|"&amp;S223,V8_COHORT_TABLE,4,FALSE),IFERROR(VLOOKUP(P223&amp;"|ALL|ALL|"&amp;S223,V8_COHORT_TABLE,4,FALSE),IFERROR(VLOOKUP(P223&amp;"|ALL|ALL|ALL",V8_COHORT_TABLE,4,FALSE),VLOOKUP("GLOBAL",V8_COHORT_TABLE,4,FALSE)))))</f>
        <v/>
      </c>
      <c r="Z223" s="15">
        <f>IFERROR(VLOOKUP(T223,V8_COHORT_TABLE,5,FALSE),IFERROR(VLOOKUP(P223&amp;"|"&amp;Q223&amp;"|ALL|"&amp;S223,V8_COHORT_TABLE,5,FALSE),IFERROR(VLOOKUP(P223&amp;"|ALL|ALL|"&amp;S223,V8_COHORT_TABLE,5,FALSE),IFERROR(VLOOKUP(P223&amp;"|ALL|ALL|ALL",V8_COHORT_TABLE,5,FALSE),VLOOKUP("GLOBAL",V8_COHORT_TABLE,5,FALSE)))))</f>
        <v/>
      </c>
      <c r="AA223" s="15">
        <f>W223+X223/(1+EXP(-(V223-Y223)/Z223))</f>
        <v/>
      </c>
      <c r="AB223" s="15">
        <f>IFERROR(VLOOKUP(T223,V8_COHORT_TABLE,6,FALSE),IFERROR(VLOOKUP(P223&amp;"|"&amp;Q223&amp;"|ALL|"&amp;S223,V8_COHORT_TABLE,6,FALSE),IFERROR(VLOOKUP(P223&amp;"|ALL|ALL|"&amp;S223,V8_COHORT_TABLE,6,FALSE),IFERROR(VLOOKUP(P223&amp;"|ALL|ALL|ALL",V8_COHORT_TABLE,6,FALSE),VLOOKUP("GLOBAL",V8_COHORT_TABLE,6,FALSE)))))</f>
        <v/>
      </c>
      <c r="AC223" s="15">
        <f>IFERROR(VLOOKUP(T223,V8_COHORT_TABLE,7,FALSE),IFERROR(VLOOKUP(P223&amp;"|"&amp;Q223&amp;"|ALL|"&amp;S223,V8_COHORT_TABLE,7,FALSE),IFERROR(VLOOKUP(P223&amp;"|ALL|ALL|"&amp;S223,V8_COHORT_TABLE,7,FALSE),IFERROR(VLOOKUP(P223&amp;"|ALL|ALL|ALL",V8_COHORT_TABLE,7,FALSE),VLOOKUP("GLOBAL",V8_COHORT_TABLE,7,FALSE)))))</f>
        <v/>
      </c>
      <c r="AD223" s="15">
        <f>IFERROR(VLOOKUP(T223,V8_COHORT_TABLE,8,FALSE),IFERROR(VLOOKUP(P223&amp;"|"&amp;Q223&amp;"|ALL|"&amp;S223,V8_COHORT_TABLE,8,FALSE),IFERROR(VLOOKUP(P223&amp;"|ALL|ALL|"&amp;S223,V8_COHORT_TABLE,8,FALSE),IFERROR(VLOOKUP(P223&amp;"|ALL|ALL|ALL",V8_COHORT_TABLE,8,FALSE),VLOOKUP("GLOBAL",V8_COHORT_TABLE,8,FALSE)))))</f>
        <v/>
      </c>
      <c r="AE223" s="15">
        <f>IFERROR(VLOOKUP(T223,V8_COHORT_TABLE,9,FALSE),IFERROR(VLOOKUP(P223&amp;"|"&amp;Q223&amp;"|ALL|"&amp;S223,V8_COHORT_TABLE,9,FALSE),IFERROR(VLOOKUP(P223&amp;"|ALL|ALL|"&amp;S223,V8_COHORT_TABLE,9,FALSE),IFERROR(VLOOKUP(P223&amp;"|ALL|ALL|ALL",V8_COHORT_TABLE,9,FALSE),VLOOKUP("GLOBAL",V8_COHORT_TABLE,9,FALSE)))))</f>
        <v/>
      </c>
      <c r="AF223" s="8">
        <f>IF(K223&lt;=0,AB223,IF(K223&gt;=240,AE223,IF(K223&lt;=24,AB223+(K223-0)/24*(AC223-AB223),IF(K223&lt;=96,AC223+(K223-24)/72*(AD223-AC223),AD223+(K223-96)/144*(AE223-AD223)))))</f>
        <v/>
      </c>
      <c r="AG223" s="8">
        <f>IF(IF(OR(L223="",NOT(ISNUMBER(L223))),360,MAX(0,MIN(480,(INT(L223/100)-INT(VALUE(F223)/100))*12+MOD(L223,100)-MOD(VALUE(F223),100))))&gt;0,1+V8_MTY_AMP*MAX(0,(V8_MTY_CUTOFF-(IF(OR(L223="",NOT(ISNUMBER(L223))),360,MAX(0,MIN(480,(INT(L223/100)-INT(VALUE(F223)/100))*12+MOD(L223,100)-MOD(VALUE(F223),100))))))/V8_MTY_CUTOFF),1)</f>
        <v/>
      </c>
      <c r="AH223" s="8">
        <f>IF(AND(IF(OR(M223="",NOT(ISNUMBER(M223))),0,MAX(0,MIN(24,(INT(VALUE(F223)/100)-INT(M223/100))*12+MOD(VALUE(F223),100)-MOD(M223,100))))&gt;0,IF(OR(M223="",NOT(ISNUMBER(M223))),0,MAX(0,MIN(24,(INT(VALUE(F223)/100)-INT(M223/100))*12+MOD(VALUE(F223),100)-MOD(M223,100))))&lt;=12),1+V8_LOCKOUT_AMP*EXP(-(IF(OR(M223="",NOT(ISNUMBER(M223))),0,MAX(0,MIN(24,(INT(VALUE(F223)/100)-INT(M223/100))*12+MOD(VALUE(F223),100)-MOD(M223,100)))))/V8_LOCKOUT_TAU),1)</f>
        <v/>
      </c>
      <c r="AI223" s="8">
        <f>MAX(V8_BURN_FLOOR,1-V8_BURN_SLOPE*MIN(1,MAX(0,O223)))</f>
        <v/>
      </c>
      <c r="AJ223" s="15">
        <f>MIN(AA223*AF223*AG223*AH223*AI223,0.2)</f>
        <v/>
      </c>
      <c r="AK223" s="16">
        <f>1-(1-AJ223)^12</f>
        <v/>
      </c>
    </row>
    <row r="224">
      <c r="A224" s="2" t="inlineStr">
        <is>
          <t>000006122173</t>
        </is>
      </c>
      <c r="B224" t="inlineStr">
        <is>
          <t>232</t>
        </is>
      </c>
      <c r="C224" t="inlineStr">
        <is>
          <t>RP</t>
        </is>
      </c>
      <c r="D224" t="inlineStr">
        <is>
          <t>KEYBANK NATIONAL ASSOCIATION</t>
        </is>
      </c>
      <c r="E224" t="n">
        <v>2020</v>
      </c>
      <c r="F224" t="inlineStr">
        <is>
          <t>202602</t>
        </is>
      </c>
      <c r="G224" s="9" t="n">
        <v>5946077.12</v>
      </c>
      <c r="H224" s="13" t="n">
        <v>2.33</v>
      </c>
      <c r="I224" s="14" t="n">
        <v>447</v>
      </c>
      <c r="J224" s="14" t="n">
        <v>5</v>
      </c>
      <c r="K224" t="n">
        <v>64</v>
      </c>
      <c r="L224" t="n">
        <v>205011</v>
      </c>
      <c r="M224" t="inlineStr"/>
      <c r="N224" t="n">
        <v>0</v>
      </c>
      <c r="O224" s="8" t="n">
        <v>0</v>
      </c>
      <c r="P224">
        <f>IF(ISNUMBER(SEARCH("232",B224)),"232",IF(ISNUMBER(SEARCH("538",B224)),"538",IF(ISNUMBER(SEARCH("223a7",B224)),"223a7",IF(ISNUMBER(SEARCH("223f",B224)),"223f","OTHER"))))</f>
        <v/>
      </c>
      <c r="Q224">
        <f>IF(UPPER(C224)="NC","NC","RP")</f>
        <v/>
      </c>
      <c r="R224">
        <f>IF(G224&lt;5000000,"small",IF(G224&lt;25000000,"medium","large"))</f>
        <v/>
      </c>
      <c r="S224">
        <f>IF(K224&lt;36,"young",IF(K224&lt;120,"seasoned","aged"))</f>
        <v/>
      </c>
      <c r="T224">
        <f>P224&amp;"|"&amp;Q224&amp;"|"&amp;R224&amp;"|"&amp;S224</f>
        <v/>
      </c>
      <c r="U224" s="14">
        <f>H224*100-I224</f>
        <v/>
      </c>
      <c r="V224" s="14">
        <f>U224-12.5*(J224+1)</f>
        <v/>
      </c>
      <c r="W224" s="15">
        <f>IFERROR(VLOOKUP(T224,V8_COHORT_TABLE,2,FALSE),IFERROR(VLOOKUP(P224&amp;"|"&amp;Q224&amp;"|ALL|"&amp;S224,V8_COHORT_TABLE,2,FALSE),IFERROR(VLOOKUP(P224&amp;"|ALL|ALL|"&amp;S224,V8_COHORT_TABLE,2,FALSE),IFERROR(VLOOKUP(P224&amp;"|ALL|ALL|ALL",V8_COHORT_TABLE,2,FALSE),VLOOKUP("GLOBAL",V8_COHORT_TABLE,2,FALSE)))))</f>
        <v/>
      </c>
      <c r="X224" s="15">
        <f>IFERROR(VLOOKUP(T224,V8_COHORT_TABLE,3,FALSE),IFERROR(VLOOKUP(P224&amp;"|"&amp;Q224&amp;"|ALL|"&amp;S224,V8_COHORT_TABLE,3,FALSE),IFERROR(VLOOKUP(P224&amp;"|ALL|ALL|"&amp;S224,V8_COHORT_TABLE,3,FALSE),IFERROR(VLOOKUP(P224&amp;"|ALL|ALL|ALL",V8_COHORT_TABLE,3,FALSE),VLOOKUP("GLOBAL",V8_COHORT_TABLE,3,FALSE)))))</f>
        <v/>
      </c>
      <c r="Y224" s="15">
        <f>IFERROR(VLOOKUP(T224,V8_COHORT_TABLE,4,FALSE),IFERROR(VLOOKUP(P224&amp;"|"&amp;Q224&amp;"|ALL|"&amp;S224,V8_COHORT_TABLE,4,FALSE),IFERROR(VLOOKUP(P224&amp;"|ALL|ALL|"&amp;S224,V8_COHORT_TABLE,4,FALSE),IFERROR(VLOOKUP(P224&amp;"|ALL|ALL|ALL",V8_COHORT_TABLE,4,FALSE),VLOOKUP("GLOBAL",V8_COHORT_TABLE,4,FALSE)))))</f>
        <v/>
      </c>
      <c r="Z224" s="15">
        <f>IFERROR(VLOOKUP(T224,V8_COHORT_TABLE,5,FALSE),IFERROR(VLOOKUP(P224&amp;"|"&amp;Q224&amp;"|ALL|"&amp;S224,V8_COHORT_TABLE,5,FALSE),IFERROR(VLOOKUP(P224&amp;"|ALL|ALL|"&amp;S224,V8_COHORT_TABLE,5,FALSE),IFERROR(VLOOKUP(P224&amp;"|ALL|ALL|ALL",V8_COHORT_TABLE,5,FALSE),VLOOKUP("GLOBAL",V8_COHORT_TABLE,5,FALSE)))))</f>
        <v/>
      </c>
      <c r="AA224" s="15">
        <f>W224+X224/(1+EXP(-(V224-Y224)/Z224))</f>
        <v/>
      </c>
      <c r="AB224" s="15">
        <f>IFERROR(VLOOKUP(T224,V8_COHORT_TABLE,6,FALSE),IFERROR(VLOOKUP(P224&amp;"|"&amp;Q224&amp;"|ALL|"&amp;S224,V8_COHORT_TABLE,6,FALSE),IFERROR(VLOOKUP(P224&amp;"|ALL|ALL|"&amp;S224,V8_COHORT_TABLE,6,FALSE),IFERROR(VLOOKUP(P224&amp;"|ALL|ALL|ALL",V8_COHORT_TABLE,6,FALSE),VLOOKUP("GLOBAL",V8_COHORT_TABLE,6,FALSE)))))</f>
        <v/>
      </c>
      <c r="AC224" s="15">
        <f>IFERROR(VLOOKUP(T224,V8_COHORT_TABLE,7,FALSE),IFERROR(VLOOKUP(P224&amp;"|"&amp;Q224&amp;"|ALL|"&amp;S224,V8_COHORT_TABLE,7,FALSE),IFERROR(VLOOKUP(P224&amp;"|ALL|ALL|"&amp;S224,V8_COHORT_TABLE,7,FALSE),IFERROR(VLOOKUP(P224&amp;"|ALL|ALL|ALL",V8_COHORT_TABLE,7,FALSE),VLOOKUP("GLOBAL",V8_COHORT_TABLE,7,FALSE)))))</f>
        <v/>
      </c>
      <c r="AD224" s="15">
        <f>IFERROR(VLOOKUP(T224,V8_COHORT_TABLE,8,FALSE),IFERROR(VLOOKUP(P224&amp;"|"&amp;Q224&amp;"|ALL|"&amp;S224,V8_COHORT_TABLE,8,FALSE),IFERROR(VLOOKUP(P224&amp;"|ALL|ALL|"&amp;S224,V8_COHORT_TABLE,8,FALSE),IFERROR(VLOOKUP(P224&amp;"|ALL|ALL|ALL",V8_COHORT_TABLE,8,FALSE),VLOOKUP("GLOBAL",V8_COHORT_TABLE,8,FALSE)))))</f>
        <v/>
      </c>
      <c r="AE224" s="15">
        <f>IFERROR(VLOOKUP(T224,V8_COHORT_TABLE,9,FALSE),IFERROR(VLOOKUP(P224&amp;"|"&amp;Q224&amp;"|ALL|"&amp;S224,V8_COHORT_TABLE,9,FALSE),IFERROR(VLOOKUP(P224&amp;"|ALL|ALL|"&amp;S224,V8_COHORT_TABLE,9,FALSE),IFERROR(VLOOKUP(P224&amp;"|ALL|ALL|ALL",V8_COHORT_TABLE,9,FALSE),VLOOKUP("GLOBAL",V8_COHORT_TABLE,9,FALSE)))))</f>
        <v/>
      </c>
      <c r="AF224" s="8">
        <f>IF(K224&lt;=0,AB224,IF(K224&gt;=240,AE224,IF(K224&lt;=24,AB224+(K224-0)/24*(AC224-AB224),IF(K224&lt;=96,AC224+(K224-24)/72*(AD224-AC224),AD224+(K224-96)/144*(AE224-AD224)))))</f>
        <v/>
      </c>
      <c r="AG224" s="8">
        <f>IF(IF(OR(L224="",NOT(ISNUMBER(L224))),360,MAX(0,MIN(480,(INT(L224/100)-INT(VALUE(F224)/100))*12+MOD(L224,100)-MOD(VALUE(F224),100))))&gt;0,1+V8_MTY_AMP*MAX(0,(V8_MTY_CUTOFF-(IF(OR(L224="",NOT(ISNUMBER(L224))),360,MAX(0,MIN(480,(INT(L224/100)-INT(VALUE(F224)/100))*12+MOD(L224,100)-MOD(VALUE(F224),100))))))/V8_MTY_CUTOFF),1)</f>
        <v/>
      </c>
      <c r="AH224" s="8">
        <f>IF(AND(IF(OR(M224="",NOT(ISNUMBER(M224))),0,MAX(0,MIN(24,(INT(VALUE(F224)/100)-INT(M224/100))*12+MOD(VALUE(F224),100)-MOD(M224,100))))&gt;0,IF(OR(M224="",NOT(ISNUMBER(M224))),0,MAX(0,MIN(24,(INT(VALUE(F224)/100)-INT(M224/100))*12+MOD(VALUE(F224),100)-MOD(M224,100))))&lt;=12),1+V8_LOCKOUT_AMP*EXP(-(IF(OR(M224="",NOT(ISNUMBER(M224))),0,MAX(0,MIN(24,(INT(VALUE(F224)/100)-INT(M224/100))*12+MOD(VALUE(F224),100)-MOD(M224,100)))))/V8_LOCKOUT_TAU),1)</f>
        <v/>
      </c>
      <c r="AI224" s="8">
        <f>MAX(V8_BURN_FLOOR,1-V8_BURN_SLOPE*MIN(1,MAX(0,O224)))</f>
        <v/>
      </c>
      <c r="AJ224" s="15">
        <f>MIN(AA224*AF224*AG224*AH224*AI224,0.2)</f>
        <v/>
      </c>
      <c r="AK224" s="16">
        <f>1-(1-AJ224)^12</f>
        <v/>
      </c>
    </row>
    <row r="225">
      <c r="A225" s="2" t="inlineStr">
        <is>
          <t>000007322294</t>
        </is>
      </c>
      <c r="B225" t="inlineStr">
        <is>
          <t>232</t>
        </is>
      </c>
      <c r="C225" t="inlineStr">
        <is>
          <t>RP</t>
        </is>
      </c>
      <c r="D225" t="inlineStr">
        <is>
          <t>KEYBANK NATIONAL ASSOCIATION</t>
        </is>
      </c>
      <c r="E225" t="n">
        <v>2017</v>
      </c>
      <c r="F225" t="inlineStr">
        <is>
          <t>202602</t>
        </is>
      </c>
      <c r="G225" s="9" t="n">
        <v>8092221.61</v>
      </c>
      <c r="H225" s="13" t="n">
        <v>2.89</v>
      </c>
      <c r="I225" s="14" t="n">
        <v>447</v>
      </c>
      <c r="J225" s="14" t="n">
        <v>6</v>
      </c>
      <c r="K225" t="n">
        <v>106</v>
      </c>
      <c r="L225" t="n">
        <v>205205</v>
      </c>
      <c r="M225" t="inlineStr"/>
      <c r="N225" t="n">
        <v>0</v>
      </c>
      <c r="O225" s="8" t="n">
        <v>0</v>
      </c>
      <c r="P225">
        <f>IF(ISNUMBER(SEARCH("232",B225)),"232",IF(ISNUMBER(SEARCH("538",B225)),"538",IF(ISNUMBER(SEARCH("223a7",B225)),"223a7",IF(ISNUMBER(SEARCH("223f",B225)),"223f","OTHER"))))</f>
        <v/>
      </c>
      <c r="Q225">
        <f>IF(UPPER(C225)="NC","NC","RP")</f>
        <v/>
      </c>
      <c r="R225">
        <f>IF(G225&lt;5000000,"small",IF(G225&lt;25000000,"medium","large"))</f>
        <v/>
      </c>
      <c r="S225">
        <f>IF(K225&lt;36,"young",IF(K225&lt;120,"seasoned","aged"))</f>
        <v/>
      </c>
      <c r="T225">
        <f>P225&amp;"|"&amp;Q225&amp;"|"&amp;R225&amp;"|"&amp;S225</f>
        <v/>
      </c>
      <c r="U225" s="14">
        <f>H225*100-I225</f>
        <v/>
      </c>
      <c r="V225" s="14">
        <f>U225-12.5*(J225+1)</f>
        <v/>
      </c>
      <c r="W225" s="15">
        <f>IFERROR(VLOOKUP(T225,V8_COHORT_TABLE,2,FALSE),IFERROR(VLOOKUP(P225&amp;"|"&amp;Q225&amp;"|ALL|"&amp;S225,V8_COHORT_TABLE,2,FALSE),IFERROR(VLOOKUP(P225&amp;"|ALL|ALL|"&amp;S225,V8_COHORT_TABLE,2,FALSE),IFERROR(VLOOKUP(P225&amp;"|ALL|ALL|ALL",V8_COHORT_TABLE,2,FALSE),VLOOKUP("GLOBAL",V8_COHORT_TABLE,2,FALSE)))))</f>
        <v/>
      </c>
      <c r="X225" s="15">
        <f>IFERROR(VLOOKUP(T225,V8_COHORT_TABLE,3,FALSE),IFERROR(VLOOKUP(P225&amp;"|"&amp;Q225&amp;"|ALL|"&amp;S225,V8_COHORT_TABLE,3,FALSE),IFERROR(VLOOKUP(P225&amp;"|ALL|ALL|"&amp;S225,V8_COHORT_TABLE,3,FALSE),IFERROR(VLOOKUP(P225&amp;"|ALL|ALL|ALL",V8_COHORT_TABLE,3,FALSE),VLOOKUP("GLOBAL",V8_COHORT_TABLE,3,FALSE)))))</f>
        <v/>
      </c>
      <c r="Y225" s="15">
        <f>IFERROR(VLOOKUP(T225,V8_COHORT_TABLE,4,FALSE),IFERROR(VLOOKUP(P225&amp;"|"&amp;Q225&amp;"|ALL|"&amp;S225,V8_COHORT_TABLE,4,FALSE),IFERROR(VLOOKUP(P225&amp;"|ALL|ALL|"&amp;S225,V8_COHORT_TABLE,4,FALSE),IFERROR(VLOOKUP(P225&amp;"|ALL|ALL|ALL",V8_COHORT_TABLE,4,FALSE),VLOOKUP("GLOBAL",V8_COHORT_TABLE,4,FALSE)))))</f>
        <v/>
      </c>
      <c r="Z225" s="15">
        <f>IFERROR(VLOOKUP(T225,V8_COHORT_TABLE,5,FALSE),IFERROR(VLOOKUP(P225&amp;"|"&amp;Q225&amp;"|ALL|"&amp;S225,V8_COHORT_TABLE,5,FALSE),IFERROR(VLOOKUP(P225&amp;"|ALL|ALL|"&amp;S225,V8_COHORT_TABLE,5,FALSE),IFERROR(VLOOKUP(P225&amp;"|ALL|ALL|ALL",V8_COHORT_TABLE,5,FALSE),VLOOKUP("GLOBAL",V8_COHORT_TABLE,5,FALSE)))))</f>
        <v/>
      </c>
      <c r="AA225" s="15">
        <f>W225+X225/(1+EXP(-(V225-Y225)/Z225))</f>
        <v/>
      </c>
      <c r="AB225" s="15">
        <f>IFERROR(VLOOKUP(T225,V8_COHORT_TABLE,6,FALSE),IFERROR(VLOOKUP(P225&amp;"|"&amp;Q225&amp;"|ALL|"&amp;S225,V8_COHORT_TABLE,6,FALSE),IFERROR(VLOOKUP(P225&amp;"|ALL|ALL|"&amp;S225,V8_COHORT_TABLE,6,FALSE),IFERROR(VLOOKUP(P225&amp;"|ALL|ALL|ALL",V8_COHORT_TABLE,6,FALSE),VLOOKUP("GLOBAL",V8_COHORT_TABLE,6,FALSE)))))</f>
        <v/>
      </c>
      <c r="AC225" s="15">
        <f>IFERROR(VLOOKUP(T225,V8_COHORT_TABLE,7,FALSE),IFERROR(VLOOKUP(P225&amp;"|"&amp;Q225&amp;"|ALL|"&amp;S225,V8_COHORT_TABLE,7,FALSE),IFERROR(VLOOKUP(P225&amp;"|ALL|ALL|"&amp;S225,V8_COHORT_TABLE,7,FALSE),IFERROR(VLOOKUP(P225&amp;"|ALL|ALL|ALL",V8_COHORT_TABLE,7,FALSE),VLOOKUP("GLOBAL",V8_COHORT_TABLE,7,FALSE)))))</f>
        <v/>
      </c>
      <c r="AD225" s="15">
        <f>IFERROR(VLOOKUP(T225,V8_COHORT_TABLE,8,FALSE),IFERROR(VLOOKUP(P225&amp;"|"&amp;Q225&amp;"|ALL|"&amp;S225,V8_COHORT_TABLE,8,FALSE),IFERROR(VLOOKUP(P225&amp;"|ALL|ALL|"&amp;S225,V8_COHORT_TABLE,8,FALSE),IFERROR(VLOOKUP(P225&amp;"|ALL|ALL|ALL",V8_COHORT_TABLE,8,FALSE),VLOOKUP("GLOBAL",V8_COHORT_TABLE,8,FALSE)))))</f>
        <v/>
      </c>
      <c r="AE225" s="15">
        <f>IFERROR(VLOOKUP(T225,V8_COHORT_TABLE,9,FALSE),IFERROR(VLOOKUP(P225&amp;"|"&amp;Q225&amp;"|ALL|"&amp;S225,V8_COHORT_TABLE,9,FALSE),IFERROR(VLOOKUP(P225&amp;"|ALL|ALL|"&amp;S225,V8_COHORT_TABLE,9,FALSE),IFERROR(VLOOKUP(P225&amp;"|ALL|ALL|ALL",V8_COHORT_TABLE,9,FALSE),VLOOKUP("GLOBAL",V8_COHORT_TABLE,9,FALSE)))))</f>
        <v/>
      </c>
      <c r="AF225" s="8">
        <f>IF(K225&lt;=0,AB225,IF(K225&gt;=240,AE225,IF(K225&lt;=24,AB225+(K225-0)/24*(AC225-AB225),IF(K225&lt;=96,AC225+(K225-24)/72*(AD225-AC225),AD225+(K225-96)/144*(AE225-AD225)))))</f>
        <v/>
      </c>
      <c r="AG225" s="8">
        <f>IF(IF(OR(L225="",NOT(ISNUMBER(L225))),360,MAX(0,MIN(480,(INT(L225/100)-INT(VALUE(F225)/100))*12+MOD(L225,100)-MOD(VALUE(F225),100))))&gt;0,1+V8_MTY_AMP*MAX(0,(V8_MTY_CUTOFF-(IF(OR(L225="",NOT(ISNUMBER(L225))),360,MAX(0,MIN(480,(INT(L225/100)-INT(VALUE(F225)/100))*12+MOD(L225,100)-MOD(VALUE(F225),100))))))/V8_MTY_CUTOFF),1)</f>
        <v/>
      </c>
      <c r="AH225" s="8">
        <f>IF(AND(IF(OR(M225="",NOT(ISNUMBER(M225))),0,MAX(0,MIN(24,(INT(VALUE(F225)/100)-INT(M225/100))*12+MOD(VALUE(F225),100)-MOD(M225,100))))&gt;0,IF(OR(M225="",NOT(ISNUMBER(M225))),0,MAX(0,MIN(24,(INT(VALUE(F225)/100)-INT(M225/100))*12+MOD(VALUE(F225),100)-MOD(M225,100))))&lt;=12),1+V8_LOCKOUT_AMP*EXP(-(IF(OR(M225="",NOT(ISNUMBER(M225))),0,MAX(0,MIN(24,(INT(VALUE(F225)/100)-INT(M225/100))*12+MOD(VALUE(F225),100)-MOD(M225,100)))))/V8_LOCKOUT_TAU),1)</f>
        <v/>
      </c>
      <c r="AI225" s="8">
        <f>MAX(V8_BURN_FLOOR,1-V8_BURN_SLOPE*MIN(1,MAX(0,O225)))</f>
        <v/>
      </c>
      <c r="AJ225" s="15">
        <f>MIN(AA225*AF225*AG225*AH225*AI225,0.2)</f>
        <v/>
      </c>
      <c r="AK225" s="16">
        <f>1-(1-AJ225)^12</f>
        <v/>
      </c>
    </row>
    <row r="226">
      <c r="A226" s="2" t="inlineStr">
        <is>
          <t>000008322073</t>
        </is>
      </c>
      <c r="B226" t="inlineStr">
        <is>
          <t>232</t>
        </is>
      </c>
      <c r="C226" t="inlineStr">
        <is>
          <t>RP</t>
        </is>
      </c>
      <c r="D226" t="inlineStr">
        <is>
          <t>KEYBANK NATIONAL ASSOCIATION</t>
        </is>
      </c>
      <c r="E226" t="n">
        <v>2019</v>
      </c>
      <c r="F226" t="inlineStr">
        <is>
          <t>202602</t>
        </is>
      </c>
      <c r="G226" s="9" t="n">
        <v>4571894.11</v>
      </c>
      <c r="H226" s="13" t="n">
        <v>3.98</v>
      </c>
      <c r="I226" s="14" t="n">
        <v>447</v>
      </c>
      <c r="J226" s="14" t="n">
        <v>4</v>
      </c>
      <c r="K226" t="n">
        <v>82</v>
      </c>
      <c r="L226" t="n">
        <v>204905</v>
      </c>
      <c r="M226" t="inlineStr"/>
      <c r="N226" t="n">
        <v>30</v>
      </c>
      <c r="O226" s="8" t="n">
        <v>0.3658536585365854</v>
      </c>
      <c r="P226">
        <f>IF(ISNUMBER(SEARCH("232",B226)),"232",IF(ISNUMBER(SEARCH("538",B226)),"538",IF(ISNUMBER(SEARCH("223a7",B226)),"223a7",IF(ISNUMBER(SEARCH("223f",B226)),"223f","OTHER"))))</f>
        <v/>
      </c>
      <c r="Q226">
        <f>IF(UPPER(C226)="NC","NC","RP")</f>
        <v/>
      </c>
      <c r="R226">
        <f>IF(G226&lt;5000000,"small",IF(G226&lt;25000000,"medium","large"))</f>
        <v/>
      </c>
      <c r="S226">
        <f>IF(K226&lt;36,"young",IF(K226&lt;120,"seasoned","aged"))</f>
        <v/>
      </c>
      <c r="T226">
        <f>P226&amp;"|"&amp;Q226&amp;"|"&amp;R226&amp;"|"&amp;S226</f>
        <v/>
      </c>
      <c r="U226" s="14">
        <f>H226*100-I226</f>
        <v/>
      </c>
      <c r="V226" s="14">
        <f>U226-12.5*(J226+1)</f>
        <v/>
      </c>
      <c r="W226" s="15">
        <f>IFERROR(VLOOKUP(T226,V8_COHORT_TABLE,2,FALSE),IFERROR(VLOOKUP(P226&amp;"|"&amp;Q226&amp;"|ALL|"&amp;S226,V8_COHORT_TABLE,2,FALSE),IFERROR(VLOOKUP(P226&amp;"|ALL|ALL|"&amp;S226,V8_COHORT_TABLE,2,FALSE),IFERROR(VLOOKUP(P226&amp;"|ALL|ALL|ALL",V8_COHORT_TABLE,2,FALSE),VLOOKUP("GLOBAL",V8_COHORT_TABLE,2,FALSE)))))</f>
        <v/>
      </c>
      <c r="X226" s="15">
        <f>IFERROR(VLOOKUP(T226,V8_COHORT_TABLE,3,FALSE),IFERROR(VLOOKUP(P226&amp;"|"&amp;Q226&amp;"|ALL|"&amp;S226,V8_COHORT_TABLE,3,FALSE),IFERROR(VLOOKUP(P226&amp;"|ALL|ALL|"&amp;S226,V8_COHORT_TABLE,3,FALSE),IFERROR(VLOOKUP(P226&amp;"|ALL|ALL|ALL",V8_COHORT_TABLE,3,FALSE),VLOOKUP("GLOBAL",V8_COHORT_TABLE,3,FALSE)))))</f>
        <v/>
      </c>
      <c r="Y226" s="15">
        <f>IFERROR(VLOOKUP(T226,V8_COHORT_TABLE,4,FALSE),IFERROR(VLOOKUP(P226&amp;"|"&amp;Q226&amp;"|ALL|"&amp;S226,V8_COHORT_TABLE,4,FALSE),IFERROR(VLOOKUP(P226&amp;"|ALL|ALL|"&amp;S226,V8_COHORT_TABLE,4,FALSE),IFERROR(VLOOKUP(P226&amp;"|ALL|ALL|ALL",V8_COHORT_TABLE,4,FALSE),VLOOKUP("GLOBAL",V8_COHORT_TABLE,4,FALSE)))))</f>
        <v/>
      </c>
      <c r="Z226" s="15">
        <f>IFERROR(VLOOKUP(T226,V8_COHORT_TABLE,5,FALSE),IFERROR(VLOOKUP(P226&amp;"|"&amp;Q226&amp;"|ALL|"&amp;S226,V8_COHORT_TABLE,5,FALSE),IFERROR(VLOOKUP(P226&amp;"|ALL|ALL|"&amp;S226,V8_COHORT_TABLE,5,FALSE),IFERROR(VLOOKUP(P226&amp;"|ALL|ALL|ALL",V8_COHORT_TABLE,5,FALSE),VLOOKUP("GLOBAL",V8_COHORT_TABLE,5,FALSE)))))</f>
        <v/>
      </c>
      <c r="AA226" s="15">
        <f>W226+X226/(1+EXP(-(V226-Y226)/Z226))</f>
        <v/>
      </c>
      <c r="AB226" s="15">
        <f>IFERROR(VLOOKUP(T226,V8_COHORT_TABLE,6,FALSE),IFERROR(VLOOKUP(P226&amp;"|"&amp;Q226&amp;"|ALL|"&amp;S226,V8_COHORT_TABLE,6,FALSE),IFERROR(VLOOKUP(P226&amp;"|ALL|ALL|"&amp;S226,V8_COHORT_TABLE,6,FALSE),IFERROR(VLOOKUP(P226&amp;"|ALL|ALL|ALL",V8_COHORT_TABLE,6,FALSE),VLOOKUP("GLOBAL",V8_COHORT_TABLE,6,FALSE)))))</f>
        <v/>
      </c>
      <c r="AC226" s="15">
        <f>IFERROR(VLOOKUP(T226,V8_COHORT_TABLE,7,FALSE),IFERROR(VLOOKUP(P226&amp;"|"&amp;Q226&amp;"|ALL|"&amp;S226,V8_COHORT_TABLE,7,FALSE),IFERROR(VLOOKUP(P226&amp;"|ALL|ALL|"&amp;S226,V8_COHORT_TABLE,7,FALSE),IFERROR(VLOOKUP(P226&amp;"|ALL|ALL|ALL",V8_COHORT_TABLE,7,FALSE),VLOOKUP("GLOBAL",V8_COHORT_TABLE,7,FALSE)))))</f>
        <v/>
      </c>
      <c r="AD226" s="15">
        <f>IFERROR(VLOOKUP(T226,V8_COHORT_TABLE,8,FALSE),IFERROR(VLOOKUP(P226&amp;"|"&amp;Q226&amp;"|ALL|"&amp;S226,V8_COHORT_TABLE,8,FALSE),IFERROR(VLOOKUP(P226&amp;"|ALL|ALL|"&amp;S226,V8_COHORT_TABLE,8,FALSE),IFERROR(VLOOKUP(P226&amp;"|ALL|ALL|ALL",V8_COHORT_TABLE,8,FALSE),VLOOKUP("GLOBAL",V8_COHORT_TABLE,8,FALSE)))))</f>
        <v/>
      </c>
      <c r="AE226" s="15">
        <f>IFERROR(VLOOKUP(T226,V8_COHORT_TABLE,9,FALSE),IFERROR(VLOOKUP(P226&amp;"|"&amp;Q226&amp;"|ALL|"&amp;S226,V8_COHORT_TABLE,9,FALSE),IFERROR(VLOOKUP(P226&amp;"|ALL|ALL|"&amp;S226,V8_COHORT_TABLE,9,FALSE),IFERROR(VLOOKUP(P226&amp;"|ALL|ALL|ALL",V8_COHORT_TABLE,9,FALSE),VLOOKUP("GLOBAL",V8_COHORT_TABLE,9,FALSE)))))</f>
        <v/>
      </c>
      <c r="AF226" s="8">
        <f>IF(K226&lt;=0,AB226,IF(K226&gt;=240,AE226,IF(K226&lt;=24,AB226+(K226-0)/24*(AC226-AB226),IF(K226&lt;=96,AC226+(K226-24)/72*(AD226-AC226),AD226+(K226-96)/144*(AE226-AD226)))))</f>
        <v/>
      </c>
      <c r="AG226" s="8">
        <f>IF(IF(OR(L226="",NOT(ISNUMBER(L226))),360,MAX(0,MIN(480,(INT(L226/100)-INT(VALUE(F226)/100))*12+MOD(L226,100)-MOD(VALUE(F226),100))))&gt;0,1+V8_MTY_AMP*MAX(0,(V8_MTY_CUTOFF-(IF(OR(L226="",NOT(ISNUMBER(L226))),360,MAX(0,MIN(480,(INT(L226/100)-INT(VALUE(F226)/100))*12+MOD(L226,100)-MOD(VALUE(F226),100))))))/V8_MTY_CUTOFF),1)</f>
        <v/>
      </c>
      <c r="AH226" s="8">
        <f>IF(AND(IF(OR(M226="",NOT(ISNUMBER(M226))),0,MAX(0,MIN(24,(INT(VALUE(F226)/100)-INT(M226/100))*12+MOD(VALUE(F226),100)-MOD(M226,100))))&gt;0,IF(OR(M226="",NOT(ISNUMBER(M226))),0,MAX(0,MIN(24,(INT(VALUE(F226)/100)-INT(M226/100))*12+MOD(VALUE(F226),100)-MOD(M226,100))))&lt;=12),1+V8_LOCKOUT_AMP*EXP(-(IF(OR(M226="",NOT(ISNUMBER(M226))),0,MAX(0,MIN(24,(INT(VALUE(F226)/100)-INT(M226/100))*12+MOD(VALUE(F226),100)-MOD(M226,100)))))/V8_LOCKOUT_TAU),1)</f>
        <v/>
      </c>
      <c r="AI226" s="8">
        <f>MAX(V8_BURN_FLOOR,1-V8_BURN_SLOPE*MIN(1,MAX(0,O226)))</f>
        <v/>
      </c>
      <c r="AJ226" s="15">
        <f>MIN(AA226*AF226*AG226*AH226*AI226,0.2)</f>
        <v/>
      </c>
      <c r="AK226" s="16">
        <f>1-(1-AJ226)^12</f>
        <v/>
      </c>
    </row>
    <row r="227">
      <c r="A227" s="2" t="inlineStr">
        <is>
          <t>000009235736</t>
        </is>
      </c>
      <c r="B227" t="inlineStr">
        <is>
          <t>223a7</t>
        </is>
      </c>
      <c r="C227" t="inlineStr">
        <is>
          <t>RP</t>
        </is>
      </c>
      <c r="D227" t="inlineStr">
        <is>
          <t>JLL REAL ESTATE CAPITAL, LLC</t>
        </is>
      </c>
      <c r="E227" t="n">
        <v>2012</v>
      </c>
      <c r="F227" t="inlineStr">
        <is>
          <t>202602</t>
        </is>
      </c>
      <c r="G227" s="9" t="n">
        <v>592659.27</v>
      </c>
      <c r="H227" s="13" t="n">
        <v>3.2</v>
      </c>
      <c r="I227" s="14" t="n">
        <v>447</v>
      </c>
      <c r="J227" s="14" t="n">
        <v>0</v>
      </c>
      <c r="K227" t="n">
        <v>167</v>
      </c>
      <c r="L227" t="n">
        <v>205204</v>
      </c>
      <c r="M227" t="n">
        <v>201405</v>
      </c>
      <c r="N227" t="n">
        <v>32</v>
      </c>
      <c r="O227" s="8" t="n">
        <v>0.1916167664670659</v>
      </c>
      <c r="P227">
        <f>IF(ISNUMBER(SEARCH("232",B227)),"232",IF(ISNUMBER(SEARCH("538",B227)),"538",IF(ISNUMBER(SEARCH("223a7",B227)),"223a7",IF(ISNUMBER(SEARCH("223f",B227)),"223f","OTHER"))))</f>
        <v/>
      </c>
      <c r="Q227">
        <f>IF(UPPER(C227)="NC","NC","RP")</f>
        <v/>
      </c>
      <c r="R227">
        <f>IF(G227&lt;5000000,"small",IF(G227&lt;25000000,"medium","large"))</f>
        <v/>
      </c>
      <c r="S227">
        <f>IF(K227&lt;36,"young",IF(K227&lt;120,"seasoned","aged"))</f>
        <v/>
      </c>
      <c r="T227">
        <f>P227&amp;"|"&amp;Q227&amp;"|"&amp;R227&amp;"|"&amp;S227</f>
        <v/>
      </c>
      <c r="U227" s="14">
        <f>H227*100-I227</f>
        <v/>
      </c>
      <c r="V227" s="14">
        <f>U227-12.5*(J227+1)</f>
        <v/>
      </c>
      <c r="W227" s="15">
        <f>IFERROR(VLOOKUP(T227,V8_COHORT_TABLE,2,FALSE),IFERROR(VLOOKUP(P227&amp;"|"&amp;Q227&amp;"|ALL|"&amp;S227,V8_COHORT_TABLE,2,FALSE),IFERROR(VLOOKUP(P227&amp;"|ALL|ALL|"&amp;S227,V8_COHORT_TABLE,2,FALSE),IFERROR(VLOOKUP(P227&amp;"|ALL|ALL|ALL",V8_COHORT_TABLE,2,FALSE),VLOOKUP("GLOBAL",V8_COHORT_TABLE,2,FALSE)))))</f>
        <v/>
      </c>
      <c r="X227" s="15">
        <f>IFERROR(VLOOKUP(T227,V8_COHORT_TABLE,3,FALSE),IFERROR(VLOOKUP(P227&amp;"|"&amp;Q227&amp;"|ALL|"&amp;S227,V8_COHORT_TABLE,3,FALSE),IFERROR(VLOOKUP(P227&amp;"|ALL|ALL|"&amp;S227,V8_COHORT_TABLE,3,FALSE),IFERROR(VLOOKUP(P227&amp;"|ALL|ALL|ALL",V8_COHORT_TABLE,3,FALSE),VLOOKUP("GLOBAL",V8_COHORT_TABLE,3,FALSE)))))</f>
        <v/>
      </c>
      <c r="Y227" s="15">
        <f>IFERROR(VLOOKUP(T227,V8_COHORT_TABLE,4,FALSE),IFERROR(VLOOKUP(P227&amp;"|"&amp;Q227&amp;"|ALL|"&amp;S227,V8_COHORT_TABLE,4,FALSE),IFERROR(VLOOKUP(P227&amp;"|ALL|ALL|"&amp;S227,V8_COHORT_TABLE,4,FALSE),IFERROR(VLOOKUP(P227&amp;"|ALL|ALL|ALL",V8_COHORT_TABLE,4,FALSE),VLOOKUP("GLOBAL",V8_COHORT_TABLE,4,FALSE)))))</f>
        <v/>
      </c>
      <c r="Z227" s="15">
        <f>IFERROR(VLOOKUP(T227,V8_COHORT_TABLE,5,FALSE),IFERROR(VLOOKUP(P227&amp;"|"&amp;Q227&amp;"|ALL|"&amp;S227,V8_COHORT_TABLE,5,FALSE),IFERROR(VLOOKUP(P227&amp;"|ALL|ALL|"&amp;S227,V8_COHORT_TABLE,5,FALSE),IFERROR(VLOOKUP(P227&amp;"|ALL|ALL|ALL",V8_COHORT_TABLE,5,FALSE),VLOOKUP("GLOBAL",V8_COHORT_TABLE,5,FALSE)))))</f>
        <v/>
      </c>
      <c r="AA227" s="15">
        <f>W227+X227/(1+EXP(-(V227-Y227)/Z227))</f>
        <v/>
      </c>
      <c r="AB227" s="15">
        <f>IFERROR(VLOOKUP(T227,V8_COHORT_TABLE,6,FALSE),IFERROR(VLOOKUP(P227&amp;"|"&amp;Q227&amp;"|ALL|"&amp;S227,V8_COHORT_TABLE,6,FALSE),IFERROR(VLOOKUP(P227&amp;"|ALL|ALL|"&amp;S227,V8_COHORT_TABLE,6,FALSE),IFERROR(VLOOKUP(P227&amp;"|ALL|ALL|ALL",V8_COHORT_TABLE,6,FALSE),VLOOKUP("GLOBAL",V8_COHORT_TABLE,6,FALSE)))))</f>
        <v/>
      </c>
      <c r="AC227" s="15">
        <f>IFERROR(VLOOKUP(T227,V8_COHORT_TABLE,7,FALSE),IFERROR(VLOOKUP(P227&amp;"|"&amp;Q227&amp;"|ALL|"&amp;S227,V8_COHORT_TABLE,7,FALSE),IFERROR(VLOOKUP(P227&amp;"|ALL|ALL|"&amp;S227,V8_COHORT_TABLE,7,FALSE),IFERROR(VLOOKUP(P227&amp;"|ALL|ALL|ALL",V8_COHORT_TABLE,7,FALSE),VLOOKUP("GLOBAL",V8_COHORT_TABLE,7,FALSE)))))</f>
        <v/>
      </c>
      <c r="AD227" s="15">
        <f>IFERROR(VLOOKUP(T227,V8_COHORT_TABLE,8,FALSE),IFERROR(VLOOKUP(P227&amp;"|"&amp;Q227&amp;"|ALL|"&amp;S227,V8_COHORT_TABLE,8,FALSE),IFERROR(VLOOKUP(P227&amp;"|ALL|ALL|"&amp;S227,V8_COHORT_TABLE,8,FALSE),IFERROR(VLOOKUP(P227&amp;"|ALL|ALL|ALL",V8_COHORT_TABLE,8,FALSE),VLOOKUP("GLOBAL",V8_COHORT_TABLE,8,FALSE)))))</f>
        <v/>
      </c>
      <c r="AE227" s="15">
        <f>IFERROR(VLOOKUP(T227,V8_COHORT_TABLE,9,FALSE),IFERROR(VLOOKUP(P227&amp;"|"&amp;Q227&amp;"|ALL|"&amp;S227,V8_COHORT_TABLE,9,FALSE),IFERROR(VLOOKUP(P227&amp;"|ALL|ALL|"&amp;S227,V8_COHORT_TABLE,9,FALSE),IFERROR(VLOOKUP(P227&amp;"|ALL|ALL|ALL",V8_COHORT_TABLE,9,FALSE),VLOOKUP("GLOBAL",V8_COHORT_TABLE,9,FALSE)))))</f>
        <v/>
      </c>
      <c r="AF227" s="8">
        <f>IF(K227&lt;=0,AB227,IF(K227&gt;=240,AE227,IF(K227&lt;=24,AB227+(K227-0)/24*(AC227-AB227),IF(K227&lt;=96,AC227+(K227-24)/72*(AD227-AC227),AD227+(K227-96)/144*(AE227-AD227)))))</f>
        <v/>
      </c>
      <c r="AG227" s="8">
        <f>IF(IF(OR(L227="",NOT(ISNUMBER(L227))),360,MAX(0,MIN(480,(INT(L227/100)-INT(VALUE(F227)/100))*12+MOD(L227,100)-MOD(VALUE(F227),100))))&gt;0,1+V8_MTY_AMP*MAX(0,(V8_MTY_CUTOFF-(IF(OR(L227="",NOT(ISNUMBER(L227))),360,MAX(0,MIN(480,(INT(L227/100)-INT(VALUE(F227)/100))*12+MOD(L227,100)-MOD(VALUE(F227),100))))))/V8_MTY_CUTOFF),1)</f>
        <v/>
      </c>
      <c r="AH227" s="8">
        <f>IF(AND(IF(OR(M227="",NOT(ISNUMBER(M227))),0,MAX(0,MIN(24,(INT(VALUE(F227)/100)-INT(M227/100))*12+MOD(VALUE(F227),100)-MOD(M227,100))))&gt;0,IF(OR(M227="",NOT(ISNUMBER(M227))),0,MAX(0,MIN(24,(INT(VALUE(F227)/100)-INT(M227/100))*12+MOD(VALUE(F227),100)-MOD(M227,100))))&lt;=12),1+V8_LOCKOUT_AMP*EXP(-(IF(OR(M227="",NOT(ISNUMBER(M227))),0,MAX(0,MIN(24,(INT(VALUE(F227)/100)-INT(M227/100))*12+MOD(VALUE(F227),100)-MOD(M227,100)))))/V8_LOCKOUT_TAU),1)</f>
        <v/>
      </c>
      <c r="AI227" s="8">
        <f>MAX(V8_BURN_FLOOR,1-V8_BURN_SLOPE*MIN(1,MAX(0,O227)))</f>
        <v/>
      </c>
      <c r="AJ227" s="15">
        <f>MIN(AA227*AF227*AG227*AH227*AI227,0.2)</f>
        <v/>
      </c>
      <c r="AK227" s="16">
        <f>1-(1-AJ227)^12</f>
        <v/>
      </c>
    </row>
    <row r="228">
      <c r="A228" s="2" t="inlineStr">
        <is>
          <t>000009235804</t>
        </is>
      </c>
      <c r="B228" t="inlineStr">
        <is>
          <t>221d4</t>
        </is>
      </c>
      <c r="C228" t="inlineStr">
        <is>
          <t>NC</t>
        </is>
      </c>
      <c r="D228" t="inlineStr">
        <is>
          <t>JLL REAL ESTATE CAPITAL, LLC</t>
        </is>
      </c>
      <c r="E228" t="n">
        <v>2016</v>
      </c>
      <c r="F228" t="inlineStr">
        <is>
          <t>202602</t>
        </is>
      </c>
      <c r="G228" s="9" t="n">
        <v>9916135.029999999</v>
      </c>
      <c r="H228" s="13" t="n">
        <v>3.23</v>
      </c>
      <c r="I228" s="14" t="n">
        <v>447</v>
      </c>
      <c r="J228" s="14" t="n">
        <v>10</v>
      </c>
      <c r="K228" t="n">
        <v>116</v>
      </c>
      <c r="L228" t="n">
        <v>205706</v>
      </c>
      <c r="M228" t="n">
        <v>201707</v>
      </c>
      <c r="N228" t="n">
        <v>18</v>
      </c>
      <c r="O228" s="8" t="n">
        <v>0.1551724137931035</v>
      </c>
      <c r="P228">
        <f>IF(ISNUMBER(SEARCH("232",B228)),"232",IF(ISNUMBER(SEARCH("538",B228)),"538",IF(ISNUMBER(SEARCH("223a7",B228)),"223a7",IF(ISNUMBER(SEARCH("223f",B228)),"223f","OTHER"))))</f>
        <v/>
      </c>
      <c r="Q228">
        <f>IF(UPPER(C228)="NC","NC","RP")</f>
        <v/>
      </c>
      <c r="R228">
        <f>IF(G228&lt;5000000,"small",IF(G228&lt;25000000,"medium","large"))</f>
        <v/>
      </c>
      <c r="S228">
        <f>IF(K228&lt;36,"young",IF(K228&lt;120,"seasoned","aged"))</f>
        <v/>
      </c>
      <c r="T228">
        <f>P228&amp;"|"&amp;Q228&amp;"|"&amp;R228&amp;"|"&amp;S228</f>
        <v/>
      </c>
      <c r="U228" s="14">
        <f>H228*100-I228</f>
        <v/>
      </c>
      <c r="V228" s="14">
        <f>U228-12.5*(J228+1)</f>
        <v/>
      </c>
      <c r="W228" s="15">
        <f>IFERROR(VLOOKUP(T228,V8_COHORT_TABLE,2,FALSE),IFERROR(VLOOKUP(P228&amp;"|"&amp;Q228&amp;"|ALL|"&amp;S228,V8_COHORT_TABLE,2,FALSE),IFERROR(VLOOKUP(P228&amp;"|ALL|ALL|"&amp;S228,V8_COHORT_TABLE,2,FALSE),IFERROR(VLOOKUP(P228&amp;"|ALL|ALL|ALL",V8_COHORT_TABLE,2,FALSE),VLOOKUP("GLOBAL",V8_COHORT_TABLE,2,FALSE)))))</f>
        <v/>
      </c>
      <c r="X228" s="15">
        <f>IFERROR(VLOOKUP(T228,V8_COHORT_TABLE,3,FALSE),IFERROR(VLOOKUP(P228&amp;"|"&amp;Q228&amp;"|ALL|"&amp;S228,V8_COHORT_TABLE,3,FALSE),IFERROR(VLOOKUP(P228&amp;"|ALL|ALL|"&amp;S228,V8_COHORT_TABLE,3,FALSE),IFERROR(VLOOKUP(P228&amp;"|ALL|ALL|ALL",V8_COHORT_TABLE,3,FALSE),VLOOKUP("GLOBAL",V8_COHORT_TABLE,3,FALSE)))))</f>
        <v/>
      </c>
      <c r="Y228" s="15">
        <f>IFERROR(VLOOKUP(T228,V8_COHORT_TABLE,4,FALSE),IFERROR(VLOOKUP(P228&amp;"|"&amp;Q228&amp;"|ALL|"&amp;S228,V8_COHORT_TABLE,4,FALSE),IFERROR(VLOOKUP(P228&amp;"|ALL|ALL|"&amp;S228,V8_COHORT_TABLE,4,FALSE),IFERROR(VLOOKUP(P228&amp;"|ALL|ALL|ALL",V8_COHORT_TABLE,4,FALSE),VLOOKUP("GLOBAL",V8_COHORT_TABLE,4,FALSE)))))</f>
        <v/>
      </c>
      <c r="Z228" s="15">
        <f>IFERROR(VLOOKUP(T228,V8_COHORT_TABLE,5,FALSE),IFERROR(VLOOKUP(P228&amp;"|"&amp;Q228&amp;"|ALL|"&amp;S228,V8_COHORT_TABLE,5,FALSE),IFERROR(VLOOKUP(P228&amp;"|ALL|ALL|"&amp;S228,V8_COHORT_TABLE,5,FALSE),IFERROR(VLOOKUP(P228&amp;"|ALL|ALL|ALL",V8_COHORT_TABLE,5,FALSE),VLOOKUP("GLOBAL",V8_COHORT_TABLE,5,FALSE)))))</f>
        <v/>
      </c>
      <c r="AA228" s="15">
        <f>W228+X228/(1+EXP(-(V228-Y228)/Z228))</f>
        <v/>
      </c>
      <c r="AB228" s="15">
        <f>IFERROR(VLOOKUP(T228,V8_COHORT_TABLE,6,FALSE),IFERROR(VLOOKUP(P228&amp;"|"&amp;Q228&amp;"|ALL|"&amp;S228,V8_COHORT_TABLE,6,FALSE),IFERROR(VLOOKUP(P228&amp;"|ALL|ALL|"&amp;S228,V8_COHORT_TABLE,6,FALSE),IFERROR(VLOOKUP(P228&amp;"|ALL|ALL|ALL",V8_COHORT_TABLE,6,FALSE),VLOOKUP("GLOBAL",V8_COHORT_TABLE,6,FALSE)))))</f>
        <v/>
      </c>
      <c r="AC228" s="15">
        <f>IFERROR(VLOOKUP(T228,V8_COHORT_TABLE,7,FALSE),IFERROR(VLOOKUP(P228&amp;"|"&amp;Q228&amp;"|ALL|"&amp;S228,V8_COHORT_TABLE,7,FALSE),IFERROR(VLOOKUP(P228&amp;"|ALL|ALL|"&amp;S228,V8_COHORT_TABLE,7,FALSE),IFERROR(VLOOKUP(P228&amp;"|ALL|ALL|ALL",V8_COHORT_TABLE,7,FALSE),VLOOKUP("GLOBAL",V8_COHORT_TABLE,7,FALSE)))))</f>
        <v/>
      </c>
      <c r="AD228" s="15">
        <f>IFERROR(VLOOKUP(T228,V8_COHORT_TABLE,8,FALSE),IFERROR(VLOOKUP(P228&amp;"|"&amp;Q228&amp;"|ALL|"&amp;S228,V8_COHORT_TABLE,8,FALSE),IFERROR(VLOOKUP(P228&amp;"|ALL|ALL|"&amp;S228,V8_COHORT_TABLE,8,FALSE),IFERROR(VLOOKUP(P228&amp;"|ALL|ALL|ALL",V8_COHORT_TABLE,8,FALSE),VLOOKUP("GLOBAL",V8_COHORT_TABLE,8,FALSE)))))</f>
        <v/>
      </c>
      <c r="AE228" s="15">
        <f>IFERROR(VLOOKUP(T228,V8_COHORT_TABLE,9,FALSE),IFERROR(VLOOKUP(P228&amp;"|"&amp;Q228&amp;"|ALL|"&amp;S228,V8_COHORT_TABLE,9,FALSE),IFERROR(VLOOKUP(P228&amp;"|ALL|ALL|"&amp;S228,V8_COHORT_TABLE,9,FALSE),IFERROR(VLOOKUP(P228&amp;"|ALL|ALL|ALL",V8_COHORT_TABLE,9,FALSE),VLOOKUP("GLOBAL",V8_COHORT_TABLE,9,FALSE)))))</f>
        <v/>
      </c>
      <c r="AF228" s="8">
        <f>IF(K228&lt;=0,AB228,IF(K228&gt;=240,AE228,IF(K228&lt;=24,AB228+(K228-0)/24*(AC228-AB228),IF(K228&lt;=96,AC228+(K228-24)/72*(AD228-AC228),AD228+(K228-96)/144*(AE228-AD228)))))</f>
        <v/>
      </c>
      <c r="AG228" s="8">
        <f>IF(IF(OR(L228="",NOT(ISNUMBER(L228))),360,MAX(0,MIN(480,(INT(L228/100)-INT(VALUE(F228)/100))*12+MOD(L228,100)-MOD(VALUE(F228),100))))&gt;0,1+V8_MTY_AMP*MAX(0,(V8_MTY_CUTOFF-(IF(OR(L228="",NOT(ISNUMBER(L228))),360,MAX(0,MIN(480,(INT(L228/100)-INT(VALUE(F228)/100))*12+MOD(L228,100)-MOD(VALUE(F228),100))))))/V8_MTY_CUTOFF),1)</f>
        <v/>
      </c>
      <c r="AH228" s="8">
        <f>IF(AND(IF(OR(M228="",NOT(ISNUMBER(M228))),0,MAX(0,MIN(24,(INT(VALUE(F228)/100)-INT(M228/100))*12+MOD(VALUE(F228),100)-MOD(M228,100))))&gt;0,IF(OR(M228="",NOT(ISNUMBER(M228))),0,MAX(0,MIN(24,(INT(VALUE(F228)/100)-INT(M228/100))*12+MOD(VALUE(F228),100)-MOD(M228,100))))&lt;=12),1+V8_LOCKOUT_AMP*EXP(-(IF(OR(M228="",NOT(ISNUMBER(M228))),0,MAX(0,MIN(24,(INT(VALUE(F228)/100)-INT(M228/100))*12+MOD(VALUE(F228),100)-MOD(M228,100)))))/V8_LOCKOUT_TAU),1)</f>
        <v/>
      </c>
      <c r="AI228" s="8">
        <f>MAX(V8_BURN_FLOOR,1-V8_BURN_SLOPE*MIN(1,MAX(0,O228)))</f>
        <v/>
      </c>
      <c r="AJ228" s="15">
        <f>MIN(AA228*AF228*AG228*AH228*AI228,0.2)</f>
        <v/>
      </c>
      <c r="AK228" s="16">
        <f>1-(1-AJ228)^12</f>
        <v/>
      </c>
    </row>
    <row r="229">
      <c r="A229" s="2" t="inlineStr">
        <is>
          <t>000007435287</t>
        </is>
      </c>
      <c r="B229" t="inlineStr">
        <is>
          <t>221d4</t>
        </is>
      </c>
      <c r="C229" t="inlineStr">
        <is>
          <t>NC</t>
        </is>
      </c>
      <c r="D229" t="inlineStr">
        <is>
          <t>JLL REAL ESTATE CAPITAL, LLC</t>
        </is>
      </c>
      <c r="E229" t="n">
        <v>2021</v>
      </c>
      <c r="F229" t="inlineStr">
        <is>
          <t>202602</t>
        </is>
      </c>
      <c r="G229" s="9" t="n">
        <v>18685263.1</v>
      </c>
      <c r="H229" s="13" t="n">
        <v>2.94</v>
      </c>
      <c r="I229" s="14" t="n">
        <v>447</v>
      </c>
      <c r="J229" s="14" t="n">
        <v>3</v>
      </c>
      <c r="K229" t="n">
        <v>58</v>
      </c>
      <c r="L229" t="n">
        <v>205803</v>
      </c>
      <c r="M229" t="inlineStr"/>
      <c r="N229" t="n">
        <v>1</v>
      </c>
      <c r="O229" s="8" t="n">
        <v>0.01724137931034483</v>
      </c>
      <c r="P229">
        <f>IF(ISNUMBER(SEARCH("232",B229)),"232",IF(ISNUMBER(SEARCH("538",B229)),"538",IF(ISNUMBER(SEARCH("223a7",B229)),"223a7",IF(ISNUMBER(SEARCH("223f",B229)),"223f","OTHER"))))</f>
        <v/>
      </c>
      <c r="Q229">
        <f>IF(UPPER(C229)="NC","NC","RP")</f>
        <v/>
      </c>
      <c r="R229">
        <f>IF(G229&lt;5000000,"small",IF(G229&lt;25000000,"medium","large"))</f>
        <v/>
      </c>
      <c r="S229">
        <f>IF(K229&lt;36,"young",IF(K229&lt;120,"seasoned","aged"))</f>
        <v/>
      </c>
      <c r="T229">
        <f>P229&amp;"|"&amp;Q229&amp;"|"&amp;R229&amp;"|"&amp;S229</f>
        <v/>
      </c>
      <c r="U229" s="14">
        <f>H229*100-I229</f>
        <v/>
      </c>
      <c r="V229" s="14">
        <f>U229-12.5*(J229+1)</f>
        <v/>
      </c>
      <c r="W229" s="15">
        <f>IFERROR(VLOOKUP(T229,V8_COHORT_TABLE,2,FALSE),IFERROR(VLOOKUP(P229&amp;"|"&amp;Q229&amp;"|ALL|"&amp;S229,V8_COHORT_TABLE,2,FALSE),IFERROR(VLOOKUP(P229&amp;"|ALL|ALL|"&amp;S229,V8_COHORT_TABLE,2,FALSE),IFERROR(VLOOKUP(P229&amp;"|ALL|ALL|ALL",V8_COHORT_TABLE,2,FALSE),VLOOKUP("GLOBAL",V8_COHORT_TABLE,2,FALSE)))))</f>
        <v/>
      </c>
      <c r="X229" s="15">
        <f>IFERROR(VLOOKUP(T229,V8_COHORT_TABLE,3,FALSE),IFERROR(VLOOKUP(P229&amp;"|"&amp;Q229&amp;"|ALL|"&amp;S229,V8_COHORT_TABLE,3,FALSE),IFERROR(VLOOKUP(P229&amp;"|ALL|ALL|"&amp;S229,V8_COHORT_TABLE,3,FALSE),IFERROR(VLOOKUP(P229&amp;"|ALL|ALL|ALL",V8_COHORT_TABLE,3,FALSE),VLOOKUP("GLOBAL",V8_COHORT_TABLE,3,FALSE)))))</f>
        <v/>
      </c>
      <c r="Y229" s="15">
        <f>IFERROR(VLOOKUP(T229,V8_COHORT_TABLE,4,FALSE),IFERROR(VLOOKUP(P229&amp;"|"&amp;Q229&amp;"|ALL|"&amp;S229,V8_COHORT_TABLE,4,FALSE),IFERROR(VLOOKUP(P229&amp;"|ALL|ALL|"&amp;S229,V8_COHORT_TABLE,4,FALSE),IFERROR(VLOOKUP(P229&amp;"|ALL|ALL|ALL",V8_COHORT_TABLE,4,FALSE),VLOOKUP("GLOBAL",V8_COHORT_TABLE,4,FALSE)))))</f>
        <v/>
      </c>
      <c r="Z229" s="15">
        <f>IFERROR(VLOOKUP(T229,V8_COHORT_TABLE,5,FALSE),IFERROR(VLOOKUP(P229&amp;"|"&amp;Q229&amp;"|ALL|"&amp;S229,V8_COHORT_TABLE,5,FALSE),IFERROR(VLOOKUP(P229&amp;"|ALL|ALL|"&amp;S229,V8_COHORT_TABLE,5,FALSE),IFERROR(VLOOKUP(P229&amp;"|ALL|ALL|ALL",V8_COHORT_TABLE,5,FALSE),VLOOKUP("GLOBAL",V8_COHORT_TABLE,5,FALSE)))))</f>
        <v/>
      </c>
      <c r="AA229" s="15">
        <f>W229+X229/(1+EXP(-(V229-Y229)/Z229))</f>
        <v/>
      </c>
      <c r="AB229" s="15">
        <f>IFERROR(VLOOKUP(T229,V8_COHORT_TABLE,6,FALSE),IFERROR(VLOOKUP(P229&amp;"|"&amp;Q229&amp;"|ALL|"&amp;S229,V8_COHORT_TABLE,6,FALSE),IFERROR(VLOOKUP(P229&amp;"|ALL|ALL|"&amp;S229,V8_COHORT_TABLE,6,FALSE),IFERROR(VLOOKUP(P229&amp;"|ALL|ALL|ALL",V8_COHORT_TABLE,6,FALSE),VLOOKUP("GLOBAL",V8_COHORT_TABLE,6,FALSE)))))</f>
        <v/>
      </c>
      <c r="AC229" s="15">
        <f>IFERROR(VLOOKUP(T229,V8_COHORT_TABLE,7,FALSE),IFERROR(VLOOKUP(P229&amp;"|"&amp;Q229&amp;"|ALL|"&amp;S229,V8_COHORT_TABLE,7,FALSE),IFERROR(VLOOKUP(P229&amp;"|ALL|ALL|"&amp;S229,V8_COHORT_TABLE,7,FALSE),IFERROR(VLOOKUP(P229&amp;"|ALL|ALL|ALL",V8_COHORT_TABLE,7,FALSE),VLOOKUP("GLOBAL",V8_COHORT_TABLE,7,FALSE)))))</f>
        <v/>
      </c>
      <c r="AD229" s="15">
        <f>IFERROR(VLOOKUP(T229,V8_COHORT_TABLE,8,FALSE),IFERROR(VLOOKUP(P229&amp;"|"&amp;Q229&amp;"|ALL|"&amp;S229,V8_COHORT_TABLE,8,FALSE),IFERROR(VLOOKUP(P229&amp;"|ALL|ALL|"&amp;S229,V8_COHORT_TABLE,8,FALSE),IFERROR(VLOOKUP(P229&amp;"|ALL|ALL|ALL",V8_COHORT_TABLE,8,FALSE),VLOOKUP("GLOBAL",V8_COHORT_TABLE,8,FALSE)))))</f>
        <v/>
      </c>
      <c r="AE229" s="15">
        <f>IFERROR(VLOOKUP(T229,V8_COHORT_TABLE,9,FALSE),IFERROR(VLOOKUP(P229&amp;"|"&amp;Q229&amp;"|ALL|"&amp;S229,V8_COHORT_TABLE,9,FALSE),IFERROR(VLOOKUP(P229&amp;"|ALL|ALL|"&amp;S229,V8_COHORT_TABLE,9,FALSE),IFERROR(VLOOKUP(P229&amp;"|ALL|ALL|ALL",V8_COHORT_TABLE,9,FALSE),VLOOKUP("GLOBAL",V8_COHORT_TABLE,9,FALSE)))))</f>
        <v/>
      </c>
      <c r="AF229" s="8">
        <f>IF(K229&lt;=0,AB229,IF(K229&gt;=240,AE229,IF(K229&lt;=24,AB229+(K229-0)/24*(AC229-AB229),IF(K229&lt;=96,AC229+(K229-24)/72*(AD229-AC229),AD229+(K229-96)/144*(AE229-AD229)))))</f>
        <v/>
      </c>
      <c r="AG229" s="8">
        <f>IF(IF(OR(L229="",NOT(ISNUMBER(L229))),360,MAX(0,MIN(480,(INT(L229/100)-INT(VALUE(F229)/100))*12+MOD(L229,100)-MOD(VALUE(F229),100))))&gt;0,1+V8_MTY_AMP*MAX(0,(V8_MTY_CUTOFF-(IF(OR(L229="",NOT(ISNUMBER(L229))),360,MAX(0,MIN(480,(INT(L229/100)-INT(VALUE(F229)/100))*12+MOD(L229,100)-MOD(VALUE(F229),100))))))/V8_MTY_CUTOFF),1)</f>
        <v/>
      </c>
      <c r="AH229" s="8">
        <f>IF(AND(IF(OR(M229="",NOT(ISNUMBER(M229))),0,MAX(0,MIN(24,(INT(VALUE(F229)/100)-INT(M229/100))*12+MOD(VALUE(F229),100)-MOD(M229,100))))&gt;0,IF(OR(M229="",NOT(ISNUMBER(M229))),0,MAX(0,MIN(24,(INT(VALUE(F229)/100)-INT(M229/100))*12+MOD(VALUE(F229),100)-MOD(M229,100))))&lt;=12),1+V8_LOCKOUT_AMP*EXP(-(IF(OR(M229="",NOT(ISNUMBER(M229))),0,MAX(0,MIN(24,(INT(VALUE(F229)/100)-INT(M229/100))*12+MOD(VALUE(F229),100)-MOD(M229,100)))))/V8_LOCKOUT_TAU),1)</f>
        <v/>
      </c>
      <c r="AI229" s="8">
        <f>MAX(V8_BURN_FLOOR,1-V8_BURN_SLOPE*MIN(1,MAX(0,O229)))</f>
        <v/>
      </c>
      <c r="AJ229" s="15">
        <f>MIN(AA229*AF229*AG229*AH229*AI229,0.2)</f>
        <v/>
      </c>
      <c r="AK229" s="16">
        <f>1-(1-AJ229)^12</f>
        <v/>
      </c>
    </row>
    <row r="230">
      <c r="A230" s="2" t="inlineStr">
        <is>
          <t>000009222198</t>
        </is>
      </c>
      <c r="B230" t="inlineStr">
        <is>
          <t>232</t>
        </is>
      </c>
      <c r="C230" t="inlineStr">
        <is>
          <t>RP</t>
        </is>
      </c>
      <c r="D230" t="inlineStr">
        <is>
          <t>JLL REAL ESTATE CAPITAL, LLC</t>
        </is>
      </c>
      <c r="E230" t="n">
        <v>2024</v>
      </c>
      <c r="F230" t="inlineStr">
        <is>
          <t>202602</t>
        </is>
      </c>
      <c r="G230" s="9" t="n">
        <v>3738663.02</v>
      </c>
      <c r="H230" s="13" t="n">
        <v>6.28</v>
      </c>
      <c r="I230" s="14" t="n">
        <v>447</v>
      </c>
      <c r="J230" s="14" t="n">
        <v>9</v>
      </c>
      <c r="K230" t="n">
        <v>21</v>
      </c>
      <c r="L230" t="n">
        <v>205906</v>
      </c>
      <c r="M230" t="inlineStr"/>
      <c r="N230" t="n">
        <v>10</v>
      </c>
      <c r="O230" s="8" t="n">
        <v>0.4761904761904762</v>
      </c>
      <c r="P230">
        <f>IF(ISNUMBER(SEARCH("232",B230)),"232",IF(ISNUMBER(SEARCH("538",B230)),"538",IF(ISNUMBER(SEARCH("223a7",B230)),"223a7",IF(ISNUMBER(SEARCH("223f",B230)),"223f","OTHER"))))</f>
        <v/>
      </c>
      <c r="Q230">
        <f>IF(UPPER(C230)="NC","NC","RP")</f>
        <v/>
      </c>
      <c r="R230">
        <f>IF(G230&lt;5000000,"small",IF(G230&lt;25000000,"medium","large"))</f>
        <v/>
      </c>
      <c r="S230">
        <f>IF(K230&lt;36,"young",IF(K230&lt;120,"seasoned","aged"))</f>
        <v/>
      </c>
      <c r="T230">
        <f>P230&amp;"|"&amp;Q230&amp;"|"&amp;R230&amp;"|"&amp;S230</f>
        <v/>
      </c>
      <c r="U230" s="14">
        <f>H230*100-I230</f>
        <v/>
      </c>
      <c r="V230" s="14">
        <f>U230-12.5*(J230+1)</f>
        <v/>
      </c>
      <c r="W230" s="15">
        <f>IFERROR(VLOOKUP(T230,V8_COHORT_TABLE,2,FALSE),IFERROR(VLOOKUP(P230&amp;"|"&amp;Q230&amp;"|ALL|"&amp;S230,V8_COHORT_TABLE,2,FALSE),IFERROR(VLOOKUP(P230&amp;"|ALL|ALL|"&amp;S230,V8_COHORT_TABLE,2,FALSE),IFERROR(VLOOKUP(P230&amp;"|ALL|ALL|ALL",V8_COHORT_TABLE,2,FALSE),VLOOKUP("GLOBAL",V8_COHORT_TABLE,2,FALSE)))))</f>
        <v/>
      </c>
      <c r="X230" s="15">
        <f>IFERROR(VLOOKUP(T230,V8_COHORT_TABLE,3,FALSE),IFERROR(VLOOKUP(P230&amp;"|"&amp;Q230&amp;"|ALL|"&amp;S230,V8_COHORT_TABLE,3,FALSE),IFERROR(VLOOKUP(P230&amp;"|ALL|ALL|"&amp;S230,V8_COHORT_TABLE,3,FALSE),IFERROR(VLOOKUP(P230&amp;"|ALL|ALL|ALL",V8_COHORT_TABLE,3,FALSE),VLOOKUP("GLOBAL",V8_COHORT_TABLE,3,FALSE)))))</f>
        <v/>
      </c>
      <c r="Y230" s="15">
        <f>IFERROR(VLOOKUP(T230,V8_COHORT_TABLE,4,FALSE),IFERROR(VLOOKUP(P230&amp;"|"&amp;Q230&amp;"|ALL|"&amp;S230,V8_COHORT_TABLE,4,FALSE),IFERROR(VLOOKUP(P230&amp;"|ALL|ALL|"&amp;S230,V8_COHORT_TABLE,4,FALSE),IFERROR(VLOOKUP(P230&amp;"|ALL|ALL|ALL",V8_COHORT_TABLE,4,FALSE),VLOOKUP("GLOBAL",V8_COHORT_TABLE,4,FALSE)))))</f>
        <v/>
      </c>
      <c r="Z230" s="15">
        <f>IFERROR(VLOOKUP(T230,V8_COHORT_TABLE,5,FALSE),IFERROR(VLOOKUP(P230&amp;"|"&amp;Q230&amp;"|ALL|"&amp;S230,V8_COHORT_TABLE,5,FALSE),IFERROR(VLOOKUP(P230&amp;"|ALL|ALL|"&amp;S230,V8_COHORT_TABLE,5,FALSE),IFERROR(VLOOKUP(P230&amp;"|ALL|ALL|ALL",V8_COHORT_TABLE,5,FALSE),VLOOKUP("GLOBAL",V8_COHORT_TABLE,5,FALSE)))))</f>
        <v/>
      </c>
      <c r="AA230" s="15">
        <f>W230+X230/(1+EXP(-(V230-Y230)/Z230))</f>
        <v/>
      </c>
      <c r="AB230" s="15">
        <f>IFERROR(VLOOKUP(T230,V8_COHORT_TABLE,6,FALSE),IFERROR(VLOOKUP(P230&amp;"|"&amp;Q230&amp;"|ALL|"&amp;S230,V8_COHORT_TABLE,6,FALSE),IFERROR(VLOOKUP(P230&amp;"|ALL|ALL|"&amp;S230,V8_COHORT_TABLE,6,FALSE),IFERROR(VLOOKUP(P230&amp;"|ALL|ALL|ALL",V8_COHORT_TABLE,6,FALSE),VLOOKUP("GLOBAL",V8_COHORT_TABLE,6,FALSE)))))</f>
        <v/>
      </c>
      <c r="AC230" s="15">
        <f>IFERROR(VLOOKUP(T230,V8_COHORT_TABLE,7,FALSE),IFERROR(VLOOKUP(P230&amp;"|"&amp;Q230&amp;"|ALL|"&amp;S230,V8_COHORT_TABLE,7,FALSE),IFERROR(VLOOKUP(P230&amp;"|ALL|ALL|"&amp;S230,V8_COHORT_TABLE,7,FALSE),IFERROR(VLOOKUP(P230&amp;"|ALL|ALL|ALL",V8_COHORT_TABLE,7,FALSE),VLOOKUP("GLOBAL",V8_COHORT_TABLE,7,FALSE)))))</f>
        <v/>
      </c>
      <c r="AD230" s="15">
        <f>IFERROR(VLOOKUP(T230,V8_COHORT_TABLE,8,FALSE),IFERROR(VLOOKUP(P230&amp;"|"&amp;Q230&amp;"|ALL|"&amp;S230,V8_COHORT_TABLE,8,FALSE),IFERROR(VLOOKUP(P230&amp;"|ALL|ALL|"&amp;S230,V8_COHORT_TABLE,8,FALSE),IFERROR(VLOOKUP(P230&amp;"|ALL|ALL|ALL",V8_COHORT_TABLE,8,FALSE),VLOOKUP("GLOBAL",V8_COHORT_TABLE,8,FALSE)))))</f>
        <v/>
      </c>
      <c r="AE230" s="15">
        <f>IFERROR(VLOOKUP(T230,V8_COHORT_TABLE,9,FALSE),IFERROR(VLOOKUP(P230&amp;"|"&amp;Q230&amp;"|ALL|"&amp;S230,V8_COHORT_TABLE,9,FALSE),IFERROR(VLOOKUP(P230&amp;"|ALL|ALL|"&amp;S230,V8_COHORT_TABLE,9,FALSE),IFERROR(VLOOKUP(P230&amp;"|ALL|ALL|ALL",V8_COHORT_TABLE,9,FALSE),VLOOKUP("GLOBAL",V8_COHORT_TABLE,9,FALSE)))))</f>
        <v/>
      </c>
      <c r="AF230" s="8">
        <f>IF(K230&lt;=0,AB230,IF(K230&gt;=240,AE230,IF(K230&lt;=24,AB230+(K230-0)/24*(AC230-AB230),IF(K230&lt;=96,AC230+(K230-24)/72*(AD230-AC230),AD230+(K230-96)/144*(AE230-AD230)))))</f>
        <v/>
      </c>
      <c r="AG230" s="8">
        <f>IF(IF(OR(L230="",NOT(ISNUMBER(L230))),360,MAX(0,MIN(480,(INT(L230/100)-INT(VALUE(F230)/100))*12+MOD(L230,100)-MOD(VALUE(F230),100))))&gt;0,1+V8_MTY_AMP*MAX(0,(V8_MTY_CUTOFF-(IF(OR(L230="",NOT(ISNUMBER(L230))),360,MAX(0,MIN(480,(INT(L230/100)-INT(VALUE(F230)/100))*12+MOD(L230,100)-MOD(VALUE(F230),100))))))/V8_MTY_CUTOFF),1)</f>
        <v/>
      </c>
      <c r="AH230" s="8">
        <f>IF(AND(IF(OR(M230="",NOT(ISNUMBER(M230))),0,MAX(0,MIN(24,(INT(VALUE(F230)/100)-INT(M230/100))*12+MOD(VALUE(F230),100)-MOD(M230,100))))&gt;0,IF(OR(M230="",NOT(ISNUMBER(M230))),0,MAX(0,MIN(24,(INT(VALUE(F230)/100)-INT(M230/100))*12+MOD(VALUE(F230),100)-MOD(M230,100))))&lt;=12),1+V8_LOCKOUT_AMP*EXP(-(IF(OR(M230="",NOT(ISNUMBER(M230))),0,MAX(0,MIN(24,(INT(VALUE(F230)/100)-INT(M230/100))*12+MOD(VALUE(F230),100)-MOD(M230,100)))))/V8_LOCKOUT_TAU),1)</f>
        <v/>
      </c>
      <c r="AI230" s="8">
        <f>MAX(V8_BURN_FLOOR,1-V8_BURN_SLOPE*MIN(1,MAX(0,O230)))</f>
        <v/>
      </c>
      <c r="AJ230" s="15">
        <f>MIN(AA230*AF230*AG230*AH230*AI230,0.2)</f>
        <v/>
      </c>
      <c r="AK230" s="16">
        <f>1-(1-AJ230)^12</f>
        <v/>
      </c>
    </row>
    <row r="231">
      <c r="A231" s="2" t="inlineStr">
        <is>
          <t>000009211383</t>
        </is>
      </c>
      <c r="B231" t="inlineStr">
        <is>
          <t>223f</t>
        </is>
      </c>
      <c r="C231" t="inlineStr">
        <is>
          <t>RP</t>
        </is>
      </c>
      <c r="D231" t="inlineStr">
        <is>
          <t>JLL REAL ESTATE CAPITAL, LLC</t>
        </is>
      </c>
      <c r="E231" t="n">
        <v>2014</v>
      </c>
      <c r="F231" t="inlineStr">
        <is>
          <t>202602</t>
        </is>
      </c>
      <c r="G231" s="9" t="n">
        <v>1648930.28</v>
      </c>
      <c r="H231" s="13" t="n">
        <v>3.89</v>
      </c>
      <c r="I231" s="14" t="n">
        <v>447</v>
      </c>
      <c r="J231" s="14" t="n">
        <v>0</v>
      </c>
      <c r="K231" t="n">
        <v>142</v>
      </c>
      <c r="L231" t="n">
        <v>204705</v>
      </c>
      <c r="M231" t="inlineStr"/>
      <c r="N231" t="n">
        <v>44</v>
      </c>
      <c r="O231" s="8" t="n">
        <v>0.3098591549295774</v>
      </c>
      <c r="P231">
        <f>IF(ISNUMBER(SEARCH("232",B231)),"232",IF(ISNUMBER(SEARCH("538",B231)),"538",IF(ISNUMBER(SEARCH("223a7",B231)),"223a7",IF(ISNUMBER(SEARCH("223f",B231)),"223f","OTHER"))))</f>
        <v/>
      </c>
      <c r="Q231">
        <f>IF(UPPER(C231)="NC","NC","RP")</f>
        <v/>
      </c>
      <c r="R231">
        <f>IF(G231&lt;5000000,"small",IF(G231&lt;25000000,"medium","large"))</f>
        <v/>
      </c>
      <c r="S231">
        <f>IF(K231&lt;36,"young",IF(K231&lt;120,"seasoned","aged"))</f>
        <v/>
      </c>
      <c r="T231">
        <f>P231&amp;"|"&amp;Q231&amp;"|"&amp;R231&amp;"|"&amp;S231</f>
        <v/>
      </c>
      <c r="U231" s="14">
        <f>H231*100-I231</f>
        <v/>
      </c>
      <c r="V231" s="14">
        <f>U231-12.5*(J231+1)</f>
        <v/>
      </c>
      <c r="W231" s="15">
        <f>IFERROR(VLOOKUP(T231,V8_COHORT_TABLE,2,FALSE),IFERROR(VLOOKUP(P231&amp;"|"&amp;Q231&amp;"|ALL|"&amp;S231,V8_COHORT_TABLE,2,FALSE),IFERROR(VLOOKUP(P231&amp;"|ALL|ALL|"&amp;S231,V8_COHORT_TABLE,2,FALSE),IFERROR(VLOOKUP(P231&amp;"|ALL|ALL|ALL",V8_COHORT_TABLE,2,FALSE),VLOOKUP("GLOBAL",V8_COHORT_TABLE,2,FALSE)))))</f>
        <v/>
      </c>
      <c r="X231" s="15">
        <f>IFERROR(VLOOKUP(T231,V8_COHORT_TABLE,3,FALSE),IFERROR(VLOOKUP(P231&amp;"|"&amp;Q231&amp;"|ALL|"&amp;S231,V8_COHORT_TABLE,3,FALSE),IFERROR(VLOOKUP(P231&amp;"|ALL|ALL|"&amp;S231,V8_COHORT_TABLE,3,FALSE),IFERROR(VLOOKUP(P231&amp;"|ALL|ALL|ALL",V8_COHORT_TABLE,3,FALSE),VLOOKUP("GLOBAL",V8_COHORT_TABLE,3,FALSE)))))</f>
        <v/>
      </c>
      <c r="Y231" s="15">
        <f>IFERROR(VLOOKUP(T231,V8_COHORT_TABLE,4,FALSE),IFERROR(VLOOKUP(P231&amp;"|"&amp;Q231&amp;"|ALL|"&amp;S231,V8_COHORT_TABLE,4,FALSE),IFERROR(VLOOKUP(P231&amp;"|ALL|ALL|"&amp;S231,V8_COHORT_TABLE,4,FALSE),IFERROR(VLOOKUP(P231&amp;"|ALL|ALL|ALL",V8_COHORT_TABLE,4,FALSE),VLOOKUP("GLOBAL",V8_COHORT_TABLE,4,FALSE)))))</f>
        <v/>
      </c>
      <c r="Z231" s="15">
        <f>IFERROR(VLOOKUP(T231,V8_COHORT_TABLE,5,FALSE),IFERROR(VLOOKUP(P231&amp;"|"&amp;Q231&amp;"|ALL|"&amp;S231,V8_COHORT_TABLE,5,FALSE),IFERROR(VLOOKUP(P231&amp;"|ALL|ALL|"&amp;S231,V8_COHORT_TABLE,5,FALSE),IFERROR(VLOOKUP(P231&amp;"|ALL|ALL|ALL",V8_COHORT_TABLE,5,FALSE),VLOOKUP("GLOBAL",V8_COHORT_TABLE,5,FALSE)))))</f>
        <v/>
      </c>
      <c r="AA231" s="15">
        <f>W231+X231/(1+EXP(-(V231-Y231)/Z231))</f>
        <v/>
      </c>
      <c r="AB231" s="15">
        <f>IFERROR(VLOOKUP(T231,V8_COHORT_TABLE,6,FALSE),IFERROR(VLOOKUP(P231&amp;"|"&amp;Q231&amp;"|ALL|"&amp;S231,V8_COHORT_TABLE,6,FALSE),IFERROR(VLOOKUP(P231&amp;"|ALL|ALL|"&amp;S231,V8_COHORT_TABLE,6,FALSE),IFERROR(VLOOKUP(P231&amp;"|ALL|ALL|ALL",V8_COHORT_TABLE,6,FALSE),VLOOKUP("GLOBAL",V8_COHORT_TABLE,6,FALSE)))))</f>
        <v/>
      </c>
      <c r="AC231" s="15">
        <f>IFERROR(VLOOKUP(T231,V8_COHORT_TABLE,7,FALSE),IFERROR(VLOOKUP(P231&amp;"|"&amp;Q231&amp;"|ALL|"&amp;S231,V8_COHORT_TABLE,7,FALSE),IFERROR(VLOOKUP(P231&amp;"|ALL|ALL|"&amp;S231,V8_COHORT_TABLE,7,FALSE),IFERROR(VLOOKUP(P231&amp;"|ALL|ALL|ALL",V8_COHORT_TABLE,7,FALSE),VLOOKUP("GLOBAL",V8_COHORT_TABLE,7,FALSE)))))</f>
        <v/>
      </c>
      <c r="AD231" s="15">
        <f>IFERROR(VLOOKUP(T231,V8_COHORT_TABLE,8,FALSE),IFERROR(VLOOKUP(P231&amp;"|"&amp;Q231&amp;"|ALL|"&amp;S231,V8_COHORT_TABLE,8,FALSE),IFERROR(VLOOKUP(P231&amp;"|ALL|ALL|"&amp;S231,V8_COHORT_TABLE,8,FALSE),IFERROR(VLOOKUP(P231&amp;"|ALL|ALL|ALL",V8_COHORT_TABLE,8,FALSE),VLOOKUP("GLOBAL",V8_COHORT_TABLE,8,FALSE)))))</f>
        <v/>
      </c>
      <c r="AE231" s="15">
        <f>IFERROR(VLOOKUP(T231,V8_COHORT_TABLE,9,FALSE),IFERROR(VLOOKUP(P231&amp;"|"&amp;Q231&amp;"|ALL|"&amp;S231,V8_COHORT_TABLE,9,FALSE),IFERROR(VLOOKUP(P231&amp;"|ALL|ALL|"&amp;S231,V8_COHORT_TABLE,9,FALSE),IFERROR(VLOOKUP(P231&amp;"|ALL|ALL|ALL",V8_COHORT_TABLE,9,FALSE),VLOOKUP("GLOBAL",V8_COHORT_TABLE,9,FALSE)))))</f>
        <v/>
      </c>
      <c r="AF231" s="8">
        <f>IF(K231&lt;=0,AB231,IF(K231&gt;=240,AE231,IF(K231&lt;=24,AB231+(K231-0)/24*(AC231-AB231),IF(K231&lt;=96,AC231+(K231-24)/72*(AD231-AC231),AD231+(K231-96)/144*(AE231-AD231)))))</f>
        <v/>
      </c>
      <c r="AG231" s="8">
        <f>IF(IF(OR(L231="",NOT(ISNUMBER(L231))),360,MAX(0,MIN(480,(INT(L231/100)-INT(VALUE(F231)/100))*12+MOD(L231,100)-MOD(VALUE(F231),100))))&gt;0,1+V8_MTY_AMP*MAX(0,(V8_MTY_CUTOFF-(IF(OR(L231="",NOT(ISNUMBER(L231))),360,MAX(0,MIN(480,(INT(L231/100)-INT(VALUE(F231)/100))*12+MOD(L231,100)-MOD(VALUE(F231),100))))))/V8_MTY_CUTOFF),1)</f>
        <v/>
      </c>
      <c r="AH231" s="8">
        <f>IF(AND(IF(OR(M231="",NOT(ISNUMBER(M231))),0,MAX(0,MIN(24,(INT(VALUE(F231)/100)-INT(M231/100))*12+MOD(VALUE(F231),100)-MOD(M231,100))))&gt;0,IF(OR(M231="",NOT(ISNUMBER(M231))),0,MAX(0,MIN(24,(INT(VALUE(F231)/100)-INT(M231/100))*12+MOD(VALUE(F231),100)-MOD(M231,100))))&lt;=12),1+V8_LOCKOUT_AMP*EXP(-(IF(OR(M231="",NOT(ISNUMBER(M231))),0,MAX(0,MIN(24,(INT(VALUE(F231)/100)-INT(M231/100))*12+MOD(VALUE(F231),100)-MOD(M231,100)))))/V8_LOCKOUT_TAU),1)</f>
        <v/>
      </c>
      <c r="AI231" s="8">
        <f>MAX(V8_BURN_FLOOR,1-V8_BURN_SLOPE*MIN(1,MAX(0,O231)))</f>
        <v/>
      </c>
      <c r="AJ231" s="15">
        <f>MIN(AA231*AF231*AG231*AH231*AI231,0.2)</f>
        <v/>
      </c>
      <c r="AK231" s="16">
        <f>1-(1-AJ231)^12</f>
        <v/>
      </c>
    </row>
    <row r="232">
      <c r="A232" s="2" t="inlineStr">
        <is>
          <t>000011311457</t>
        </is>
      </c>
      <c r="B232" t="inlineStr">
        <is>
          <t>223f</t>
        </is>
      </c>
      <c r="C232" t="inlineStr">
        <is>
          <t>RP</t>
        </is>
      </c>
      <c r="D232" t="inlineStr">
        <is>
          <t>JLL REAL ESTATE CAPITAL, LLC</t>
        </is>
      </c>
      <c r="E232" t="n">
        <v>2021</v>
      </c>
      <c r="F232" t="inlineStr">
        <is>
          <t>202602</t>
        </is>
      </c>
      <c r="G232" s="9" t="n">
        <v>5024963.75</v>
      </c>
      <c r="H232" s="13" t="n">
        <v>2.42</v>
      </c>
      <c r="I232" s="14" t="n">
        <v>447</v>
      </c>
      <c r="J232" s="14" t="n">
        <v>1</v>
      </c>
      <c r="K232" t="n">
        <v>55</v>
      </c>
      <c r="L232" t="n">
        <v>205608</v>
      </c>
      <c r="M232" t="inlineStr"/>
      <c r="N232" t="n">
        <v>0</v>
      </c>
      <c r="O232" s="8" t="n">
        <v>0</v>
      </c>
      <c r="P232">
        <f>IF(ISNUMBER(SEARCH("232",B232)),"232",IF(ISNUMBER(SEARCH("538",B232)),"538",IF(ISNUMBER(SEARCH("223a7",B232)),"223a7",IF(ISNUMBER(SEARCH("223f",B232)),"223f","OTHER"))))</f>
        <v/>
      </c>
      <c r="Q232">
        <f>IF(UPPER(C232)="NC","NC","RP")</f>
        <v/>
      </c>
      <c r="R232">
        <f>IF(G232&lt;5000000,"small",IF(G232&lt;25000000,"medium","large"))</f>
        <v/>
      </c>
      <c r="S232">
        <f>IF(K232&lt;36,"young",IF(K232&lt;120,"seasoned","aged"))</f>
        <v/>
      </c>
      <c r="T232">
        <f>P232&amp;"|"&amp;Q232&amp;"|"&amp;R232&amp;"|"&amp;S232</f>
        <v/>
      </c>
      <c r="U232" s="14">
        <f>H232*100-I232</f>
        <v/>
      </c>
      <c r="V232" s="14">
        <f>U232-12.5*(J232+1)</f>
        <v/>
      </c>
      <c r="W232" s="15">
        <f>IFERROR(VLOOKUP(T232,V8_COHORT_TABLE,2,FALSE),IFERROR(VLOOKUP(P232&amp;"|"&amp;Q232&amp;"|ALL|"&amp;S232,V8_COHORT_TABLE,2,FALSE),IFERROR(VLOOKUP(P232&amp;"|ALL|ALL|"&amp;S232,V8_COHORT_TABLE,2,FALSE),IFERROR(VLOOKUP(P232&amp;"|ALL|ALL|ALL",V8_COHORT_TABLE,2,FALSE),VLOOKUP("GLOBAL",V8_COHORT_TABLE,2,FALSE)))))</f>
        <v/>
      </c>
      <c r="X232" s="15">
        <f>IFERROR(VLOOKUP(T232,V8_COHORT_TABLE,3,FALSE),IFERROR(VLOOKUP(P232&amp;"|"&amp;Q232&amp;"|ALL|"&amp;S232,V8_COHORT_TABLE,3,FALSE),IFERROR(VLOOKUP(P232&amp;"|ALL|ALL|"&amp;S232,V8_COHORT_TABLE,3,FALSE),IFERROR(VLOOKUP(P232&amp;"|ALL|ALL|ALL",V8_COHORT_TABLE,3,FALSE),VLOOKUP("GLOBAL",V8_COHORT_TABLE,3,FALSE)))))</f>
        <v/>
      </c>
      <c r="Y232" s="15">
        <f>IFERROR(VLOOKUP(T232,V8_COHORT_TABLE,4,FALSE),IFERROR(VLOOKUP(P232&amp;"|"&amp;Q232&amp;"|ALL|"&amp;S232,V8_COHORT_TABLE,4,FALSE),IFERROR(VLOOKUP(P232&amp;"|ALL|ALL|"&amp;S232,V8_COHORT_TABLE,4,FALSE),IFERROR(VLOOKUP(P232&amp;"|ALL|ALL|ALL",V8_COHORT_TABLE,4,FALSE),VLOOKUP("GLOBAL",V8_COHORT_TABLE,4,FALSE)))))</f>
        <v/>
      </c>
      <c r="Z232" s="15">
        <f>IFERROR(VLOOKUP(T232,V8_COHORT_TABLE,5,FALSE),IFERROR(VLOOKUP(P232&amp;"|"&amp;Q232&amp;"|ALL|"&amp;S232,V8_COHORT_TABLE,5,FALSE),IFERROR(VLOOKUP(P232&amp;"|ALL|ALL|"&amp;S232,V8_COHORT_TABLE,5,FALSE),IFERROR(VLOOKUP(P232&amp;"|ALL|ALL|ALL",V8_COHORT_TABLE,5,FALSE),VLOOKUP("GLOBAL",V8_COHORT_TABLE,5,FALSE)))))</f>
        <v/>
      </c>
      <c r="AA232" s="15">
        <f>W232+X232/(1+EXP(-(V232-Y232)/Z232))</f>
        <v/>
      </c>
      <c r="AB232" s="15">
        <f>IFERROR(VLOOKUP(T232,V8_COHORT_TABLE,6,FALSE),IFERROR(VLOOKUP(P232&amp;"|"&amp;Q232&amp;"|ALL|"&amp;S232,V8_COHORT_TABLE,6,FALSE),IFERROR(VLOOKUP(P232&amp;"|ALL|ALL|"&amp;S232,V8_COHORT_TABLE,6,FALSE),IFERROR(VLOOKUP(P232&amp;"|ALL|ALL|ALL",V8_COHORT_TABLE,6,FALSE),VLOOKUP("GLOBAL",V8_COHORT_TABLE,6,FALSE)))))</f>
        <v/>
      </c>
      <c r="AC232" s="15">
        <f>IFERROR(VLOOKUP(T232,V8_COHORT_TABLE,7,FALSE),IFERROR(VLOOKUP(P232&amp;"|"&amp;Q232&amp;"|ALL|"&amp;S232,V8_COHORT_TABLE,7,FALSE),IFERROR(VLOOKUP(P232&amp;"|ALL|ALL|"&amp;S232,V8_COHORT_TABLE,7,FALSE),IFERROR(VLOOKUP(P232&amp;"|ALL|ALL|ALL",V8_COHORT_TABLE,7,FALSE),VLOOKUP("GLOBAL",V8_COHORT_TABLE,7,FALSE)))))</f>
        <v/>
      </c>
      <c r="AD232" s="15">
        <f>IFERROR(VLOOKUP(T232,V8_COHORT_TABLE,8,FALSE),IFERROR(VLOOKUP(P232&amp;"|"&amp;Q232&amp;"|ALL|"&amp;S232,V8_COHORT_TABLE,8,FALSE),IFERROR(VLOOKUP(P232&amp;"|ALL|ALL|"&amp;S232,V8_COHORT_TABLE,8,FALSE),IFERROR(VLOOKUP(P232&amp;"|ALL|ALL|ALL",V8_COHORT_TABLE,8,FALSE),VLOOKUP("GLOBAL",V8_COHORT_TABLE,8,FALSE)))))</f>
        <v/>
      </c>
      <c r="AE232" s="15">
        <f>IFERROR(VLOOKUP(T232,V8_COHORT_TABLE,9,FALSE),IFERROR(VLOOKUP(P232&amp;"|"&amp;Q232&amp;"|ALL|"&amp;S232,V8_COHORT_TABLE,9,FALSE),IFERROR(VLOOKUP(P232&amp;"|ALL|ALL|"&amp;S232,V8_COHORT_TABLE,9,FALSE),IFERROR(VLOOKUP(P232&amp;"|ALL|ALL|ALL",V8_COHORT_TABLE,9,FALSE),VLOOKUP("GLOBAL",V8_COHORT_TABLE,9,FALSE)))))</f>
        <v/>
      </c>
      <c r="AF232" s="8">
        <f>IF(K232&lt;=0,AB232,IF(K232&gt;=240,AE232,IF(K232&lt;=24,AB232+(K232-0)/24*(AC232-AB232),IF(K232&lt;=96,AC232+(K232-24)/72*(AD232-AC232),AD232+(K232-96)/144*(AE232-AD232)))))</f>
        <v/>
      </c>
      <c r="AG232" s="8">
        <f>IF(IF(OR(L232="",NOT(ISNUMBER(L232))),360,MAX(0,MIN(480,(INT(L232/100)-INT(VALUE(F232)/100))*12+MOD(L232,100)-MOD(VALUE(F232),100))))&gt;0,1+V8_MTY_AMP*MAX(0,(V8_MTY_CUTOFF-(IF(OR(L232="",NOT(ISNUMBER(L232))),360,MAX(0,MIN(480,(INT(L232/100)-INT(VALUE(F232)/100))*12+MOD(L232,100)-MOD(VALUE(F232),100))))))/V8_MTY_CUTOFF),1)</f>
        <v/>
      </c>
      <c r="AH232" s="8">
        <f>IF(AND(IF(OR(M232="",NOT(ISNUMBER(M232))),0,MAX(0,MIN(24,(INT(VALUE(F232)/100)-INT(M232/100))*12+MOD(VALUE(F232),100)-MOD(M232,100))))&gt;0,IF(OR(M232="",NOT(ISNUMBER(M232))),0,MAX(0,MIN(24,(INT(VALUE(F232)/100)-INT(M232/100))*12+MOD(VALUE(F232),100)-MOD(M232,100))))&lt;=12),1+V8_LOCKOUT_AMP*EXP(-(IF(OR(M232="",NOT(ISNUMBER(M232))),0,MAX(0,MIN(24,(INT(VALUE(F232)/100)-INT(M232/100))*12+MOD(VALUE(F232),100)-MOD(M232,100)))))/V8_LOCKOUT_TAU),1)</f>
        <v/>
      </c>
      <c r="AI232" s="8">
        <f>MAX(V8_BURN_FLOOR,1-V8_BURN_SLOPE*MIN(1,MAX(0,O232)))</f>
        <v/>
      </c>
      <c r="AJ232" s="15">
        <f>MIN(AA232*AF232*AG232*AH232*AI232,0.2)</f>
        <v/>
      </c>
      <c r="AK232" s="16">
        <f>1-(1-AJ232)^12</f>
        <v/>
      </c>
    </row>
    <row r="233">
      <c r="A233" s="2" t="inlineStr">
        <is>
          <t>000007143246</t>
        </is>
      </c>
      <c r="B233" t="inlineStr">
        <is>
          <t>232</t>
        </is>
      </c>
      <c r="C233" t="inlineStr">
        <is>
          <t>RP</t>
        </is>
      </c>
      <c r="D233" t="inlineStr">
        <is>
          <t>JLL REAL ESTATE CAPITAL, LLC</t>
        </is>
      </c>
      <c r="E233" t="n">
        <v>2011</v>
      </c>
      <c r="F233" t="inlineStr">
        <is>
          <t>202602</t>
        </is>
      </c>
      <c r="G233" s="9" t="n">
        <v>6745844.71</v>
      </c>
      <c r="H233" s="13" t="n">
        <v>3.88</v>
      </c>
      <c r="I233" s="14" t="n">
        <v>447</v>
      </c>
      <c r="J233" s="14" t="n">
        <v>0</v>
      </c>
      <c r="K233" t="n">
        <v>174</v>
      </c>
      <c r="L233" t="n">
        <v>204502</v>
      </c>
      <c r="M233" t="n">
        <v>201310</v>
      </c>
      <c r="N233" t="n">
        <v>41</v>
      </c>
      <c r="O233" s="8" t="n">
        <v>0.235632183908046</v>
      </c>
      <c r="P233">
        <f>IF(ISNUMBER(SEARCH("232",B233)),"232",IF(ISNUMBER(SEARCH("538",B233)),"538",IF(ISNUMBER(SEARCH("223a7",B233)),"223a7",IF(ISNUMBER(SEARCH("223f",B233)),"223f","OTHER"))))</f>
        <v/>
      </c>
      <c r="Q233">
        <f>IF(UPPER(C233)="NC","NC","RP")</f>
        <v/>
      </c>
      <c r="R233">
        <f>IF(G233&lt;5000000,"small",IF(G233&lt;25000000,"medium","large"))</f>
        <v/>
      </c>
      <c r="S233">
        <f>IF(K233&lt;36,"young",IF(K233&lt;120,"seasoned","aged"))</f>
        <v/>
      </c>
      <c r="T233">
        <f>P233&amp;"|"&amp;Q233&amp;"|"&amp;R233&amp;"|"&amp;S233</f>
        <v/>
      </c>
      <c r="U233" s="14">
        <f>H233*100-I233</f>
        <v/>
      </c>
      <c r="V233" s="14">
        <f>U233-12.5*(J233+1)</f>
        <v/>
      </c>
      <c r="W233" s="15">
        <f>IFERROR(VLOOKUP(T233,V8_COHORT_TABLE,2,FALSE),IFERROR(VLOOKUP(P233&amp;"|"&amp;Q233&amp;"|ALL|"&amp;S233,V8_COHORT_TABLE,2,FALSE),IFERROR(VLOOKUP(P233&amp;"|ALL|ALL|"&amp;S233,V8_COHORT_TABLE,2,FALSE),IFERROR(VLOOKUP(P233&amp;"|ALL|ALL|ALL",V8_COHORT_TABLE,2,FALSE),VLOOKUP("GLOBAL",V8_COHORT_TABLE,2,FALSE)))))</f>
        <v/>
      </c>
      <c r="X233" s="15">
        <f>IFERROR(VLOOKUP(T233,V8_COHORT_TABLE,3,FALSE),IFERROR(VLOOKUP(P233&amp;"|"&amp;Q233&amp;"|ALL|"&amp;S233,V8_COHORT_TABLE,3,FALSE),IFERROR(VLOOKUP(P233&amp;"|ALL|ALL|"&amp;S233,V8_COHORT_TABLE,3,FALSE),IFERROR(VLOOKUP(P233&amp;"|ALL|ALL|ALL",V8_COHORT_TABLE,3,FALSE),VLOOKUP("GLOBAL",V8_COHORT_TABLE,3,FALSE)))))</f>
        <v/>
      </c>
      <c r="Y233" s="15">
        <f>IFERROR(VLOOKUP(T233,V8_COHORT_TABLE,4,FALSE),IFERROR(VLOOKUP(P233&amp;"|"&amp;Q233&amp;"|ALL|"&amp;S233,V8_COHORT_TABLE,4,FALSE),IFERROR(VLOOKUP(P233&amp;"|ALL|ALL|"&amp;S233,V8_COHORT_TABLE,4,FALSE),IFERROR(VLOOKUP(P233&amp;"|ALL|ALL|ALL",V8_COHORT_TABLE,4,FALSE),VLOOKUP("GLOBAL",V8_COHORT_TABLE,4,FALSE)))))</f>
        <v/>
      </c>
      <c r="Z233" s="15">
        <f>IFERROR(VLOOKUP(T233,V8_COHORT_TABLE,5,FALSE),IFERROR(VLOOKUP(P233&amp;"|"&amp;Q233&amp;"|ALL|"&amp;S233,V8_COHORT_TABLE,5,FALSE),IFERROR(VLOOKUP(P233&amp;"|ALL|ALL|"&amp;S233,V8_COHORT_TABLE,5,FALSE),IFERROR(VLOOKUP(P233&amp;"|ALL|ALL|ALL",V8_COHORT_TABLE,5,FALSE),VLOOKUP("GLOBAL",V8_COHORT_TABLE,5,FALSE)))))</f>
        <v/>
      </c>
      <c r="AA233" s="15">
        <f>W233+X233/(1+EXP(-(V233-Y233)/Z233))</f>
        <v/>
      </c>
      <c r="AB233" s="15">
        <f>IFERROR(VLOOKUP(T233,V8_COHORT_TABLE,6,FALSE),IFERROR(VLOOKUP(P233&amp;"|"&amp;Q233&amp;"|ALL|"&amp;S233,V8_COHORT_TABLE,6,FALSE),IFERROR(VLOOKUP(P233&amp;"|ALL|ALL|"&amp;S233,V8_COHORT_TABLE,6,FALSE),IFERROR(VLOOKUP(P233&amp;"|ALL|ALL|ALL",V8_COHORT_TABLE,6,FALSE),VLOOKUP("GLOBAL",V8_COHORT_TABLE,6,FALSE)))))</f>
        <v/>
      </c>
      <c r="AC233" s="15">
        <f>IFERROR(VLOOKUP(T233,V8_COHORT_TABLE,7,FALSE),IFERROR(VLOOKUP(P233&amp;"|"&amp;Q233&amp;"|ALL|"&amp;S233,V8_COHORT_TABLE,7,FALSE),IFERROR(VLOOKUP(P233&amp;"|ALL|ALL|"&amp;S233,V8_COHORT_TABLE,7,FALSE),IFERROR(VLOOKUP(P233&amp;"|ALL|ALL|ALL",V8_COHORT_TABLE,7,FALSE),VLOOKUP("GLOBAL",V8_COHORT_TABLE,7,FALSE)))))</f>
        <v/>
      </c>
      <c r="AD233" s="15">
        <f>IFERROR(VLOOKUP(T233,V8_COHORT_TABLE,8,FALSE),IFERROR(VLOOKUP(P233&amp;"|"&amp;Q233&amp;"|ALL|"&amp;S233,V8_COHORT_TABLE,8,FALSE),IFERROR(VLOOKUP(P233&amp;"|ALL|ALL|"&amp;S233,V8_COHORT_TABLE,8,FALSE),IFERROR(VLOOKUP(P233&amp;"|ALL|ALL|ALL",V8_COHORT_TABLE,8,FALSE),VLOOKUP("GLOBAL",V8_COHORT_TABLE,8,FALSE)))))</f>
        <v/>
      </c>
      <c r="AE233" s="15">
        <f>IFERROR(VLOOKUP(T233,V8_COHORT_TABLE,9,FALSE),IFERROR(VLOOKUP(P233&amp;"|"&amp;Q233&amp;"|ALL|"&amp;S233,V8_COHORT_TABLE,9,FALSE),IFERROR(VLOOKUP(P233&amp;"|ALL|ALL|"&amp;S233,V8_COHORT_TABLE,9,FALSE),IFERROR(VLOOKUP(P233&amp;"|ALL|ALL|ALL",V8_COHORT_TABLE,9,FALSE),VLOOKUP("GLOBAL",V8_COHORT_TABLE,9,FALSE)))))</f>
        <v/>
      </c>
      <c r="AF233" s="8">
        <f>IF(K233&lt;=0,AB233,IF(K233&gt;=240,AE233,IF(K233&lt;=24,AB233+(K233-0)/24*(AC233-AB233),IF(K233&lt;=96,AC233+(K233-24)/72*(AD233-AC233),AD233+(K233-96)/144*(AE233-AD233)))))</f>
        <v/>
      </c>
      <c r="AG233" s="8">
        <f>IF(IF(OR(L233="",NOT(ISNUMBER(L233))),360,MAX(0,MIN(480,(INT(L233/100)-INT(VALUE(F233)/100))*12+MOD(L233,100)-MOD(VALUE(F233),100))))&gt;0,1+V8_MTY_AMP*MAX(0,(V8_MTY_CUTOFF-(IF(OR(L233="",NOT(ISNUMBER(L233))),360,MAX(0,MIN(480,(INT(L233/100)-INT(VALUE(F233)/100))*12+MOD(L233,100)-MOD(VALUE(F233),100))))))/V8_MTY_CUTOFF),1)</f>
        <v/>
      </c>
      <c r="AH233" s="8">
        <f>IF(AND(IF(OR(M233="",NOT(ISNUMBER(M233))),0,MAX(0,MIN(24,(INT(VALUE(F233)/100)-INT(M233/100))*12+MOD(VALUE(F233),100)-MOD(M233,100))))&gt;0,IF(OR(M233="",NOT(ISNUMBER(M233))),0,MAX(0,MIN(24,(INT(VALUE(F233)/100)-INT(M233/100))*12+MOD(VALUE(F233),100)-MOD(M233,100))))&lt;=12),1+V8_LOCKOUT_AMP*EXP(-(IF(OR(M233="",NOT(ISNUMBER(M233))),0,MAX(0,MIN(24,(INT(VALUE(F233)/100)-INT(M233/100))*12+MOD(VALUE(F233),100)-MOD(M233,100)))))/V8_LOCKOUT_TAU),1)</f>
        <v/>
      </c>
      <c r="AI233" s="8">
        <f>MAX(V8_BURN_FLOOR,1-V8_BURN_SLOPE*MIN(1,MAX(0,O233)))</f>
        <v/>
      </c>
      <c r="AJ233" s="15">
        <f>MIN(AA233*AF233*AG233*AH233*AI233,0.2)</f>
        <v/>
      </c>
      <c r="AK233" s="16">
        <f>1-(1-AJ233)^12</f>
        <v/>
      </c>
    </row>
    <row r="234">
      <c r="A234" s="2" t="inlineStr">
        <is>
          <t>000008235482</t>
        </is>
      </c>
      <c r="B234" t="inlineStr">
        <is>
          <t>221d4</t>
        </is>
      </c>
      <c r="C234" t="inlineStr">
        <is>
          <t>NC</t>
        </is>
      </c>
      <c r="D234" t="inlineStr">
        <is>
          <t>JLL REAL ESTATE CAPITAL, LLC</t>
        </is>
      </c>
      <c r="E234" t="n">
        <v>2019</v>
      </c>
      <c r="F234" t="inlineStr">
        <is>
          <t>202602</t>
        </is>
      </c>
      <c r="G234" s="9" t="n">
        <v>12926537.01</v>
      </c>
      <c r="H234" s="13" t="n">
        <v>4.05</v>
      </c>
      <c r="I234" s="14" t="n">
        <v>447</v>
      </c>
      <c r="J234" s="14" t="n">
        <v>7</v>
      </c>
      <c r="K234" t="n">
        <v>76</v>
      </c>
      <c r="L234" t="n">
        <v>206203</v>
      </c>
      <c r="M234" t="inlineStr"/>
      <c r="N234" t="n">
        <v>0</v>
      </c>
      <c r="O234" s="8" t="n">
        <v>0</v>
      </c>
      <c r="P234">
        <f>IF(ISNUMBER(SEARCH("232",B234)),"232",IF(ISNUMBER(SEARCH("538",B234)),"538",IF(ISNUMBER(SEARCH("223a7",B234)),"223a7",IF(ISNUMBER(SEARCH("223f",B234)),"223f","OTHER"))))</f>
        <v/>
      </c>
      <c r="Q234">
        <f>IF(UPPER(C234)="NC","NC","RP")</f>
        <v/>
      </c>
      <c r="R234">
        <f>IF(G234&lt;5000000,"small",IF(G234&lt;25000000,"medium","large"))</f>
        <v/>
      </c>
      <c r="S234">
        <f>IF(K234&lt;36,"young",IF(K234&lt;120,"seasoned","aged"))</f>
        <v/>
      </c>
      <c r="T234">
        <f>P234&amp;"|"&amp;Q234&amp;"|"&amp;R234&amp;"|"&amp;S234</f>
        <v/>
      </c>
      <c r="U234" s="14">
        <f>H234*100-I234</f>
        <v/>
      </c>
      <c r="V234" s="14">
        <f>U234-12.5*(J234+1)</f>
        <v/>
      </c>
      <c r="W234" s="15">
        <f>IFERROR(VLOOKUP(T234,V8_COHORT_TABLE,2,FALSE),IFERROR(VLOOKUP(P234&amp;"|"&amp;Q234&amp;"|ALL|"&amp;S234,V8_COHORT_TABLE,2,FALSE),IFERROR(VLOOKUP(P234&amp;"|ALL|ALL|"&amp;S234,V8_COHORT_TABLE,2,FALSE),IFERROR(VLOOKUP(P234&amp;"|ALL|ALL|ALL",V8_COHORT_TABLE,2,FALSE),VLOOKUP("GLOBAL",V8_COHORT_TABLE,2,FALSE)))))</f>
        <v/>
      </c>
      <c r="X234" s="15">
        <f>IFERROR(VLOOKUP(T234,V8_COHORT_TABLE,3,FALSE),IFERROR(VLOOKUP(P234&amp;"|"&amp;Q234&amp;"|ALL|"&amp;S234,V8_COHORT_TABLE,3,FALSE),IFERROR(VLOOKUP(P234&amp;"|ALL|ALL|"&amp;S234,V8_COHORT_TABLE,3,FALSE),IFERROR(VLOOKUP(P234&amp;"|ALL|ALL|ALL",V8_COHORT_TABLE,3,FALSE),VLOOKUP("GLOBAL",V8_COHORT_TABLE,3,FALSE)))))</f>
        <v/>
      </c>
      <c r="Y234" s="15">
        <f>IFERROR(VLOOKUP(T234,V8_COHORT_TABLE,4,FALSE),IFERROR(VLOOKUP(P234&amp;"|"&amp;Q234&amp;"|ALL|"&amp;S234,V8_COHORT_TABLE,4,FALSE),IFERROR(VLOOKUP(P234&amp;"|ALL|ALL|"&amp;S234,V8_COHORT_TABLE,4,FALSE),IFERROR(VLOOKUP(P234&amp;"|ALL|ALL|ALL",V8_COHORT_TABLE,4,FALSE),VLOOKUP("GLOBAL",V8_COHORT_TABLE,4,FALSE)))))</f>
        <v/>
      </c>
      <c r="Z234" s="15">
        <f>IFERROR(VLOOKUP(T234,V8_COHORT_TABLE,5,FALSE),IFERROR(VLOOKUP(P234&amp;"|"&amp;Q234&amp;"|ALL|"&amp;S234,V8_COHORT_TABLE,5,FALSE),IFERROR(VLOOKUP(P234&amp;"|ALL|ALL|"&amp;S234,V8_COHORT_TABLE,5,FALSE),IFERROR(VLOOKUP(P234&amp;"|ALL|ALL|ALL",V8_COHORT_TABLE,5,FALSE),VLOOKUP("GLOBAL",V8_COHORT_TABLE,5,FALSE)))))</f>
        <v/>
      </c>
      <c r="AA234" s="15">
        <f>W234+X234/(1+EXP(-(V234-Y234)/Z234))</f>
        <v/>
      </c>
      <c r="AB234" s="15">
        <f>IFERROR(VLOOKUP(T234,V8_COHORT_TABLE,6,FALSE),IFERROR(VLOOKUP(P234&amp;"|"&amp;Q234&amp;"|ALL|"&amp;S234,V8_COHORT_TABLE,6,FALSE),IFERROR(VLOOKUP(P234&amp;"|ALL|ALL|"&amp;S234,V8_COHORT_TABLE,6,FALSE),IFERROR(VLOOKUP(P234&amp;"|ALL|ALL|ALL",V8_COHORT_TABLE,6,FALSE),VLOOKUP("GLOBAL",V8_COHORT_TABLE,6,FALSE)))))</f>
        <v/>
      </c>
      <c r="AC234" s="15">
        <f>IFERROR(VLOOKUP(T234,V8_COHORT_TABLE,7,FALSE),IFERROR(VLOOKUP(P234&amp;"|"&amp;Q234&amp;"|ALL|"&amp;S234,V8_COHORT_TABLE,7,FALSE),IFERROR(VLOOKUP(P234&amp;"|ALL|ALL|"&amp;S234,V8_COHORT_TABLE,7,FALSE),IFERROR(VLOOKUP(P234&amp;"|ALL|ALL|ALL",V8_COHORT_TABLE,7,FALSE),VLOOKUP("GLOBAL",V8_COHORT_TABLE,7,FALSE)))))</f>
        <v/>
      </c>
      <c r="AD234" s="15">
        <f>IFERROR(VLOOKUP(T234,V8_COHORT_TABLE,8,FALSE),IFERROR(VLOOKUP(P234&amp;"|"&amp;Q234&amp;"|ALL|"&amp;S234,V8_COHORT_TABLE,8,FALSE),IFERROR(VLOOKUP(P234&amp;"|ALL|ALL|"&amp;S234,V8_COHORT_TABLE,8,FALSE),IFERROR(VLOOKUP(P234&amp;"|ALL|ALL|ALL",V8_COHORT_TABLE,8,FALSE),VLOOKUP("GLOBAL",V8_COHORT_TABLE,8,FALSE)))))</f>
        <v/>
      </c>
      <c r="AE234" s="15">
        <f>IFERROR(VLOOKUP(T234,V8_COHORT_TABLE,9,FALSE),IFERROR(VLOOKUP(P234&amp;"|"&amp;Q234&amp;"|ALL|"&amp;S234,V8_COHORT_TABLE,9,FALSE),IFERROR(VLOOKUP(P234&amp;"|ALL|ALL|"&amp;S234,V8_COHORT_TABLE,9,FALSE),IFERROR(VLOOKUP(P234&amp;"|ALL|ALL|ALL",V8_COHORT_TABLE,9,FALSE),VLOOKUP("GLOBAL",V8_COHORT_TABLE,9,FALSE)))))</f>
        <v/>
      </c>
      <c r="AF234" s="8">
        <f>IF(K234&lt;=0,AB234,IF(K234&gt;=240,AE234,IF(K234&lt;=24,AB234+(K234-0)/24*(AC234-AB234),IF(K234&lt;=96,AC234+(K234-24)/72*(AD234-AC234),AD234+(K234-96)/144*(AE234-AD234)))))</f>
        <v/>
      </c>
      <c r="AG234" s="8">
        <f>IF(IF(OR(L234="",NOT(ISNUMBER(L234))),360,MAX(0,MIN(480,(INT(L234/100)-INT(VALUE(F234)/100))*12+MOD(L234,100)-MOD(VALUE(F234),100))))&gt;0,1+V8_MTY_AMP*MAX(0,(V8_MTY_CUTOFF-(IF(OR(L234="",NOT(ISNUMBER(L234))),360,MAX(0,MIN(480,(INT(L234/100)-INT(VALUE(F234)/100))*12+MOD(L234,100)-MOD(VALUE(F234),100))))))/V8_MTY_CUTOFF),1)</f>
        <v/>
      </c>
      <c r="AH234" s="8">
        <f>IF(AND(IF(OR(M234="",NOT(ISNUMBER(M234))),0,MAX(0,MIN(24,(INT(VALUE(F234)/100)-INT(M234/100))*12+MOD(VALUE(F234),100)-MOD(M234,100))))&gt;0,IF(OR(M234="",NOT(ISNUMBER(M234))),0,MAX(0,MIN(24,(INT(VALUE(F234)/100)-INT(M234/100))*12+MOD(VALUE(F234),100)-MOD(M234,100))))&lt;=12),1+V8_LOCKOUT_AMP*EXP(-(IF(OR(M234="",NOT(ISNUMBER(M234))),0,MAX(0,MIN(24,(INT(VALUE(F234)/100)-INT(M234/100))*12+MOD(VALUE(F234),100)-MOD(M234,100)))))/V8_LOCKOUT_TAU),1)</f>
        <v/>
      </c>
      <c r="AI234" s="8">
        <f>MAX(V8_BURN_FLOOR,1-V8_BURN_SLOPE*MIN(1,MAX(0,O234)))</f>
        <v/>
      </c>
      <c r="AJ234" s="15">
        <f>MIN(AA234*AF234*AG234*AH234*AI234,0.2)</f>
        <v/>
      </c>
      <c r="AK234" s="16">
        <f>1-(1-AJ234)^12</f>
        <v/>
      </c>
    </row>
    <row r="235">
      <c r="A235" s="2" t="inlineStr">
        <is>
          <t>000006611276</t>
        </is>
      </c>
      <c r="B235" t="inlineStr">
        <is>
          <t>223f</t>
        </is>
      </c>
      <c r="C235" t="inlineStr">
        <is>
          <t>RP</t>
        </is>
      </c>
      <c r="D235" t="inlineStr">
        <is>
          <t>JLL REAL ESTATE CAPITAL, LLC</t>
        </is>
      </c>
      <c r="E235" t="n">
        <v>2022</v>
      </c>
      <c r="F235" t="inlineStr">
        <is>
          <t>202602</t>
        </is>
      </c>
      <c r="G235" s="9" t="n">
        <v>17732412.69</v>
      </c>
      <c r="H235" s="13" t="n">
        <v>4.145</v>
      </c>
      <c r="I235" s="14" t="n">
        <v>447</v>
      </c>
      <c r="J235" s="14" t="n">
        <v>1</v>
      </c>
      <c r="K235" t="n">
        <v>42</v>
      </c>
      <c r="L235" t="n">
        <v>205709</v>
      </c>
      <c r="M235" t="inlineStr"/>
      <c r="N235" t="n">
        <v>0</v>
      </c>
      <c r="O235" s="8" t="n">
        <v>0</v>
      </c>
      <c r="P235">
        <f>IF(ISNUMBER(SEARCH("232",B235)),"232",IF(ISNUMBER(SEARCH("538",B235)),"538",IF(ISNUMBER(SEARCH("223a7",B235)),"223a7",IF(ISNUMBER(SEARCH("223f",B235)),"223f","OTHER"))))</f>
        <v/>
      </c>
      <c r="Q235">
        <f>IF(UPPER(C235)="NC","NC","RP")</f>
        <v/>
      </c>
      <c r="R235">
        <f>IF(G235&lt;5000000,"small",IF(G235&lt;25000000,"medium","large"))</f>
        <v/>
      </c>
      <c r="S235">
        <f>IF(K235&lt;36,"young",IF(K235&lt;120,"seasoned","aged"))</f>
        <v/>
      </c>
      <c r="T235">
        <f>P235&amp;"|"&amp;Q235&amp;"|"&amp;R235&amp;"|"&amp;S235</f>
        <v/>
      </c>
      <c r="U235" s="14">
        <f>H235*100-I235</f>
        <v/>
      </c>
      <c r="V235" s="14">
        <f>U235-12.5*(J235+1)</f>
        <v/>
      </c>
      <c r="W235" s="15">
        <f>IFERROR(VLOOKUP(T235,V8_COHORT_TABLE,2,FALSE),IFERROR(VLOOKUP(P235&amp;"|"&amp;Q235&amp;"|ALL|"&amp;S235,V8_COHORT_TABLE,2,FALSE),IFERROR(VLOOKUP(P235&amp;"|ALL|ALL|"&amp;S235,V8_COHORT_TABLE,2,FALSE),IFERROR(VLOOKUP(P235&amp;"|ALL|ALL|ALL",V8_COHORT_TABLE,2,FALSE),VLOOKUP("GLOBAL",V8_COHORT_TABLE,2,FALSE)))))</f>
        <v/>
      </c>
      <c r="X235" s="15">
        <f>IFERROR(VLOOKUP(T235,V8_COHORT_TABLE,3,FALSE),IFERROR(VLOOKUP(P235&amp;"|"&amp;Q235&amp;"|ALL|"&amp;S235,V8_COHORT_TABLE,3,FALSE),IFERROR(VLOOKUP(P235&amp;"|ALL|ALL|"&amp;S235,V8_COHORT_TABLE,3,FALSE),IFERROR(VLOOKUP(P235&amp;"|ALL|ALL|ALL",V8_COHORT_TABLE,3,FALSE),VLOOKUP("GLOBAL",V8_COHORT_TABLE,3,FALSE)))))</f>
        <v/>
      </c>
      <c r="Y235" s="15">
        <f>IFERROR(VLOOKUP(T235,V8_COHORT_TABLE,4,FALSE),IFERROR(VLOOKUP(P235&amp;"|"&amp;Q235&amp;"|ALL|"&amp;S235,V8_COHORT_TABLE,4,FALSE),IFERROR(VLOOKUP(P235&amp;"|ALL|ALL|"&amp;S235,V8_COHORT_TABLE,4,FALSE),IFERROR(VLOOKUP(P235&amp;"|ALL|ALL|ALL",V8_COHORT_TABLE,4,FALSE),VLOOKUP("GLOBAL",V8_COHORT_TABLE,4,FALSE)))))</f>
        <v/>
      </c>
      <c r="Z235" s="15">
        <f>IFERROR(VLOOKUP(T235,V8_COHORT_TABLE,5,FALSE),IFERROR(VLOOKUP(P235&amp;"|"&amp;Q235&amp;"|ALL|"&amp;S235,V8_COHORT_TABLE,5,FALSE),IFERROR(VLOOKUP(P235&amp;"|ALL|ALL|"&amp;S235,V8_COHORT_TABLE,5,FALSE),IFERROR(VLOOKUP(P235&amp;"|ALL|ALL|ALL",V8_COHORT_TABLE,5,FALSE),VLOOKUP("GLOBAL",V8_COHORT_TABLE,5,FALSE)))))</f>
        <v/>
      </c>
      <c r="AA235" s="15">
        <f>W235+X235/(1+EXP(-(V235-Y235)/Z235))</f>
        <v/>
      </c>
      <c r="AB235" s="15">
        <f>IFERROR(VLOOKUP(T235,V8_COHORT_TABLE,6,FALSE),IFERROR(VLOOKUP(P235&amp;"|"&amp;Q235&amp;"|ALL|"&amp;S235,V8_COHORT_TABLE,6,FALSE),IFERROR(VLOOKUP(P235&amp;"|ALL|ALL|"&amp;S235,V8_COHORT_TABLE,6,FALSE),IFERROR(VLOOKUP(P235&amp;"|ALL|ALL|ALL",V8_COHORT_TABLE,6,FALSE),VLOOKUP("GLOBAL",V8_COHORT_TABLE,6,FALSE)))))</f>
        <v/>
      </c>
      <c r="AC235" s="15">
        <f>IFERROR(VLOOKUP(T235,V8_COHORT_TABLE,7,FALSE),IFERROR(VLOOKUP(P235&amp;"|"&amp;Q235&amp;"|ALL|"&amp;S235,V8_COHORT_TABLE,7,FALSE),IFERROR(VLOOKUP(P235&amp;"|ALL|ALL|"&amp;S235,V8_COHORT_TABLE,7,FALSE),IFERROR(VLOOKUP(P235&amp;"|ALL|ALL|ALL",V8_COHORT_TABLE,7,FALSE),VLOOKUP("GLOBAL",V8_COHORT_TABLE,7,FALSE)))))</f>
        <v/>
      </c>
      <c r="AD235" s="15">
        <f>IFERROR(VLOOKUP(T235,V8_COHORT_TABLE,8,FALSE),IFERROR(VLOOKUP(P235&amp;"|"&amp;Q235&amp;"|ALL|"&amp;S235,V8_COHORT_TABLE,8,FALSE),IFERROR(VLOOKUP(P235&amp;"|ALL|ALL|"&amp;S235,V8_COHORT_TABLE,8,FALSE),IFERROR(VLOOKUP(P235&amp;"|ALL|ALL|ALL",V8_COHORT_TABLE,8,FALSE),VLOOKUP("GLOBAL",V8_COHORT_TABLE,8,FALSE)))))</f>
        <v/>
      </c>
      <c r="AE235" s="15">
        <f>IFERROR(VLOOKUP(T235,V8_COHORT_TABLE,9,FALSE),IFERROR(VLOOKUP(P235&amp;"|"&amp;Q235&amp;"|ALL|"&amp;S235,V8_COHORT_TABLE,9,FALSE),IFERROR(VLOOKUP(P235&amp;"|ALL|ALL|"&amp;S235,V8_COHORT_TABLE,9,FALSE),IFERROR(VLOOKUP(P235&amp;"|ALL|ALL|ALL",V8_COHORT_TABLE,9,FALSE),VLOOKUP("GLOBAL",V8_COHORT_TABLE,9,FALSE)))))</f>
        <v/>
      </c>
      <c r="AF235" s="8">
        <f>IF(K235&lt;=0,AB235,IF(K235&gt;=240,AE235,IF(K235&lt;=24,AB235+(K235-0)/24*(AC235-AB235),IF(K235&lt;=96,AC235+(K235-24)/72*(AD235-AC235),AD235+(K235-96)/144*(AE235-AD235)))))</f>
        <v/>
      </c>
      <c r="AG235" s="8">
        <f>IF(IF(OR(L235="",NOT(ISNUMBER(L235))),360,MAX(0,MIN(480,(INT(L235/100)-INT(VALUE(F235)/100))*12+MOD(L235,100)-MOD(VALUE(F235),100))))&gt;0,1+V8_MTY_AMP*MAX(0,(V8_MTY_CUTOFF-(IF(OR(L235="",NOT(ISNUMBER(L235))),360,MAX(0,MIN(480,(INT(L235/100)-INT(VALUE(F235)/100))*12+MOD(L235,100)-MOD(VALUE(F235),100))))))/V8_MTY_CUTOFF),1)</f>
        <v/>
      </c>
      <c r="AH235" s="8">
        <f>IF(AND(IF(OR(M235="",NOT(ISNUMBER(M235))),0,MAX(0,MIN(24,(INT(VALUE(F235)/100)-INT(M235/100))*12+MOD(VALUE(F235),100)-MOD(M235,100))))&gt;0,IF(OR(M235="",NOT(ISNUMBER(M235))),0,MAX(0,MIN(24,(INT(VALUE(F235)/100)-INT(M235/100))*12+MOD(VALUE(F235),100)-MOD(M235,100))))&lt;=12),1+V8_LOCKOUT_AMP*EXP(-(IF(OR(M235="",NOT(ISNUMBER(M235))),0,MAX(0,MIN(24,(INT(VALUE(F235)/100)-INT(M235/100))*12+MOD(VALUE(F235),100)-MOD(M235,100)))))/V8_LOCKOUT_TAU),1)</f>
        <v/>
      </c>
      <c r="AI235" s="8">
        <f>MAX(V8_BURN_FLOOR,1-V8_BURN_SLOPE*MIN(1,MAX(0,O235)))</f>
        <v/>
      </c>
      <c r="AJ235" s="15">
        <f>MIN(AA235*AF235*AG235*AH235*AI235,0.2)</f>
        <v/>
      </c>
      <c r="AK235" s="16">
        <f>1-(1-AJ235)^12</f>
        <v/>
      </c>
    </row>
    <row r="236">
      <c r="A236" s="2" t="inlineStr">
        <is>
          <t>000009211334</t>
        </is>
      </c>
      <c r="B236" t="inlineStr">
        <is>
          <t>223a7</t>
        </is>
      </c>
      <c r="C236" t="inlineStr">
        <is>
          <t>RP</t>
        </is>
      </c>
      <c r="D236" t="inlineStr">
        <is>
          <t>JLL REAL ESTATE CAPITAL, LLC</t>
        </is>
      </c>
      <c r="E236" t="n">
        <v>2013</v>
      </c>
      <c r="F236" t="inlineStr">
        <is>
          <t>202602</t>
        </is>
      </c>
      <c r="G236" s="9" t="n">
        <v>1229667.79</v>
      </c>
      <c r="H236" s="13" t="n">
        <v>2.7</v>
      </c>
      <c r="I236" s="14" t="n">
        <v>447</v>
      </c>
      <c r="J236" s="14" t="n">
        <v>0</v>
      </c>
      <c r="K236" t="n">
        <v>156</v>
      </c>
      <c r="L236" t="n">
        <v>203909</v>
      </c>
      <c r="M236" t="n">
        <v>201404</v>
      </c>
      <c r="N236" t="n">
        <v>0</v>
      </c>
      <c r="O236" s="8" t="n">
        <v>0</v>
      </c>
      <c r="P236">
        <f>IF(ISNUMBER(SEARCH("232",B236)),"232",IF(ISNUMBER(SEARCH("538",B236)),"538",IF(ISNUMBER(SEARCH("223a7",B236)),"223a7",IF(ISNUMBER(SEARCH("223f",B236)),"223f","OTHER"))))</f>
        <v/>
      </c>
      <c r="Q236">
        <f>IF(UPPER(C236)="NC","NC","RP")</f>
        <v/>
      </c>
      <c r="R236">
        <f>IF(G236&lt;5000000,"small",IF(G236&lt;25000000,"medium","large"))</f>
        <v/>
      </c>
      <c r="S236">
        <f>IF(K236&lt;36,"young",IF(K236&lt;120,"seasoned","aged"))</f>
        <v/>
      </c>
      <c r="T236">
        <f>P236&amp;"|"&amp;Q236&amp;"|"&amp;R236&amp;"|"&amp;S236</f>
        <v/>
      </c>
      <c r="U236" s="14">
        <f>H236*100-I236</f>
        <v/>
      </c>
      <c r="V236" s="14">
        <f>U236-12.5*(J236+1)</f>
        <v/>
      </c>
      <c r="W236" s="15">
        <f>IFERROR(VLOOKUP(T236,V8_COHORT_TABLE,2,FALSE),IFERROR(VLOOKUP(P236&amp;"|"&amp;Q236&amp;"|ALL|"&amp;S236,V8_COHORT_TABLE,2,FALSE),IFERROR(VLOOKUP(P236&amp;"|ALL|ALL|"&amp;S236,V8_COHORT_TABLE,2,FALSE),IFERROR(VLOOKUP(P236&amp;"|ALL|ALL|ALL",V8_COHORT_TABLE,2,FALSE),VLOOKUP("GLOBAL",V8_COHORT_TABLE,2,FALSE)))))</f>
        <v/>
      </c>
      <c r="X236" s="15">
        <f>IFERROR(VLOOKUP(T236,V8_COHORT_TABLE,3,FALSE),IFERROR(VLOOKUP(P236&amp;"|"&amp;Q236&amp;"|ALL|"&amp;S236,V8_COHORT_TABLE,3,FALSE),IFERROR(VLOOKUP(P236&amp;"|ALL|ALL|"&amp;S236,V8_COHORT_TABLE,3,FALSE),IFERROR(VLOOKUP(P236&amp;"|ALL|ALL|ALL",V8_COHORT_TABLE,3,FALSE),VLOOKUP("GLOBAL",V8_COHORT_TABLE,3,FALSE)))))</f>
        <v/>
      </c>
      <c r="Y236" s="15">
        <f>IFERROR(VLOOKUP(T236,V8_COHORT_TABLE,4,FALSE),IFERROR(VLOOKUP(P236&amp;"|"&amp;Q236&amp;"|ALL|"&amp;S236,V8_COHORT_TABLE,4,FALSE),IFERROR(VLOOKUP(P236&amp;"|ALL|ALL|"&amp;S236,V8_COHORT_TABLE,4,FALSE),IFERROR(VLOOKUP(P236&amp;"|ALL|ALL|ALL",V8_COHORT_TABLE,4,FALSE),VLOOKUP("GLOBAL",V8_COHORT_TABLE,4,FALSE)))))</f>
        <v/>
      </c>
      <c r="Z236" s="15">
        <f>IFERROR(VLOOKUP(T236,V8_COHORT_TABLE,5,FALSE),IFERROR(VLOOKUP(P236&amp;"|"&amp;Q236&amp;"|ALL|"&amp;S236,V8_COHORT_TABLE,5,FALSE),IFERROR(VLOOKUP(P236&amp;"|ALL|ALL|"&amp;S236,V8_COHORT_TABLE,5,FALSE),IFERROR(VLOOKUP(P236&amp;"|ALL|ALL|ALL",V8_COHORT_TABLE,5,FALSE),VLOOKUP("GLOBAL",V8_COHORT_TABLE,5,FALSE)))))</f>
        <v/>
      </c>
      <c r="AA236" s="15">
        <f>W236+X236/(1+EXP(-(V236-Y236)/Z236))</f>
        <v/>
      </c>
      <c r="AB236" s="15">
        <f>IFERROR(VLOOKUP(T236,V8_COHORT_TABLE,6,FALSE),IFERROR(VLOOKUP(P236&amp;"|"&amp;Q236&amp;"|ALL|"&amp;S236,V8_COHORT_TABLE,6,FALSE),IFERROR(VLOOKUP(P236&amp;"|ALL|ALL|"&amp;S236,V8_COHORT_TABLE,6,FALSE),IFERROR(VLOOKUP(P236&amp;"|ALL|ALL|ALL",V8_COHORT_TABLE,6,FALSE),VLOOKUP("GLOBAL",V8_COHORT_TABLE,6,FALSE)))))</f>
        <v/>
      </c>
      <c r="AC236" s="15">
        <f>IFERROR(VLOOKUP(T236,V8_COHORT_TABLE,7,FALSE),IFERROR(VLOOKUP(P236&amp;"|"&amp;Q236&amp;"|ALL|"&amp;S236,V8_COHORT_TABLE,7,FALSE),IFERROR(VLOOKUP(P236&amp;"|ALL|ALL|"&amp;S236,V8_COHORT_TABLE,7,FALSE),IFERROR(VLOOKUP(P236&amp;"|ALL|ALL|ALL",V8_COHORT_TABLE,7,FALSE),VLOOKUP("GLOBAL",V8_COHORT_TABLE,7,FALSE)))))</f>
        <v/>
      </c>
      <c r="AD236" s="15">
        <f>IFERROR(VLOOKUP(T236,V8_COHORT_TABLE,8,FALSE),IFERROR(VLOOKUP(P236&amp;"|"&amp;Q236&amp;"|ALL|"&amp;S236,V8_COHORT_TABLE,8,FALSE),IFERROR(VLOOKUP(P236&amp;"|ALL|ALL|"&amp;S236,V8_COHORT_TABLE,8,FALSE),IFERROR(VLOOKUP(P236&amp;"|ALL|ALL|ALL",V8_COHORT_TABLE,8,FALSE),VLOOKUP("GLOBAL",V8_COHORT_TABLE,8,FALSE)))))</f>
        <v/>
      </c>
      <c r="AE236" s="15">
        <f>IFERROR(VLOOKUP(T236,V8_COHORT_TABLE,9,FALSE),IFERROR(VLOOKUP(P236&amp;"|"&amp;Q236&amp;"|ALL|"&amp;S236,V8_COHORT_TABLE,9,FALSE),IFERROR(VLOOKUP(P236&amp;"|ALL|ALL|"&amp;S236,V8_COHORT_TABLE,9,FALSE),IFERROR(VLOOKUP(P236&amp;"|ALL|ALL|ALL",V8_COHORT_TABLE,9,FALSE),VLOOKUP("GLOBAL",V8_COHORT_TABLE,9,FALSE)))))</f>
        <v/>
      </c>
      <c r="AF236" s="8">
        <f>IF(K236&lt;=0,AB236,IF(K236&gt;=240,AE236,IF(K236&lt;=24,AB236+(K236-0)/24*(AC236-AB236),IF(K236&lt;=96,AC236+(K236-24)/72*(AD236-AC236),AD236+(K236-96)/144*(AE236-AD236)))))</f>
        <v/>
      </c>
      <c r="AG236" s="8">
        <f>IF(IF(OR(L236="",NOT(ISNUMBER(L236))),360,MAX(0,MIN(480,(INT(L236/100)-INT(VALUE(F236)/100))*12+MOD(L236,100)-MOD(VALUE(F236),100))))&gt;0,1+V8_MTY_AMP*MAX(0,(V8_MTY_CUTOFF-(IF(OR(L236="",NOT(ISNUMBER(L236))),360,MAX(0,MIN(480,(INT(L236/100)-INT(VALUE(F236)/100))*12+MOD(L236,100)-MOD(VALUE(F236),100))))))/V8_MTY_CUTOFF),1)</f>
        <v/>
      </c>
      <c r="AH236" s="8">
        <f>IF(AND(IF(OR(M236="",NOT(ISNUMBER(M236))),0,MAX(0,MIN(24,(INT(VALUE(F236)/100)-INT(M236/100))*12+MOD(VALUE(F236),100)-MOD(M236,100))))&gt;0,IF(OR(M236="",NOT(ISNUMBER(M236))),0,MAX(0,MIN(24,(INT(VALUE(F236)/100)-INT(M236/100))*12+MOD(VALUE(F236),100)-MOD(M236,100))))&lt;=12),1+V8_LOCKOUT_AMP*EXP(-(IF(OR(M236="",NOT(ISNUMBER(M236))),0,MAX(0,MIN(24,(INT(VALUE(F236)/100)-INT(M236/100))*12+MOD(VALUE(F236),100)-MOD(M236,100)))))/V8_LOCKOUT_TAU),1)</f>
        <v/>
      </c>
      <c r="AI236" s="8">
        <f>MAX(V8_BURN_FLOOR,1-V8_BURN_SLOPE*MIN(1,MAX(0,O236)))</f>
        <v/>
      </c>
      <c r="AJ236" s="15">
        <f>MIN(AA236*AF236*AG236*AH236*AI236,0.2)</f>
        <v/>
      </c>
      <c r="AK236" s="16">
        <f>1-(1-AJ236)^12</f>
        <v/>
      </c>
    </row>
    <row r="237">
      <c r="A237" s="2" t="inlineStr">
        <is>
          <t>028996371108</t>
        </is>
      </c>
      <c r="B237" t="inlineStr">
        <is>
          <t>538</t>
        </is>
      </c>
      <c r="C237" t="inlineStr">
        <is>
          <t>538</t>
        </is>
      </c>
      <c r="D237" t="inlineStr">
        <is>
          <t>BELLWETHER ENTERPRISE REAL ESTATE CAPITA</t>
        </is>
      </c>
      <c r="E237" t="n">
        <v>2024</v>
      </c>
      <c r="F237" t="inlineStr">
        <is>
          <t>202602</t>
        </is>
      </c>
      <c r="G237" s="9" t="n">
        <v>4392205.88</v>
      </c>
      <c r="H237" s="13" t="n">
        <v>3.84</v>
      </c>
      <c r="I237" s="14" t="n">
        <v>447</v>
      </c>
      <c r="J237" s="14" t="n">
        <v>10</v>
      </c>
      <c r="K237" t="n">
        <v>23</v>
      </c>
      <c r="L237" t="n">
        <v>206404</v>
      </c>
      <c r="M237" t="inlineStr"/>
      <c r="N237" t="n">
        <v>0</v>
      </c>
      <c r="O237" s="8" t="n">
        <v>0</v>
      </c>
      <c r="P237">
        <f>IF(ISNUMBER(SEARCH("232",B237)),"232",IF(ISNUMBER(SEARCH("538",B237)),"538",IF(ISNUMBER(SEARCH("223a7",B237)),"223a7",IF(ISNUMBER(SEARCH("223f",B237)),"223f","OTHER"))))</f>
        <v/>
      </c>
      <c r="Q237">
        <f>IF(UPPER(C237)="NC","NC","RP")</f>
        <v/>
      </c>
      <c r="R237">
        <f>IF(G237&lt;5000000,"small",IF(G237&lt;25000000,"medium","large"))</f>
        <v/>
      </c>
      <c r="S237">
        <f>IF(K237&lt;36,"young",IF(K237&lt;120,"seasoned","aged"))</f>
        <v/>
      </c>
      <c r="T237">
        <f>P237&amp;"|"&amp;Q237&amp;"|"&amp;R237&amp;"|"&amp;S237</f>
        <v/>
      </c>
      <c r="U237" s="14">
        <f>H237*100-I237</f>
        <v/>
      </c>
      <c r="V237" s="14">
        <f>U237-12.5*(J237+1)</f>
        <v/>
      </c>
      <c r="W237" s="15">
        <f>IFERROR(VLOOKUP(T237,V8_COHORT_TABLE,2,FALSE),IFERROR(VLOOKUP(P237&amp;"|"&amp;Q237&amp;"|ALL|"&amp;S237,V8_COHORT_TABLE,2,FALSE),IFERROR(VLOOKUP(P237&amp;"|ALL|ALL|"&amp;S237,V8_COHORT_TABLE,2,FALSE),IFERROR(VLOOKUP(P237&amp;"|ALL|ALL|ALL",V8_COHORT_TABLE,2,FALSE),VLOOKUP("GLOBAL",V8_COHORT_TABLE,2,FALSE)))))</f>
        <v/>
      </c>
      <c r="X237" s="15">
        <f>IFERROR(VLOOKUP(T237,V8_COHORT_TABLE,3,FALSE),IFERROR(VLOOKUP(P237&amp;"|"&amp;Q237&amp;"|ALL|"&amp;S237,V8_COHORT_TABLE,3,FALSE),IFERROR(VLOOKUP(P237&amp;"|ALL|ALL|"&amp;S237,V8_COHORT_TABLE,3,FALSE),IFERROR(VLOOKUP(P237&amp;"|ALL|ALL|ALL",V8_COHORT_TABLE,3,FALSE),VLOOKUP("GLOBAL",V8_COHORT_TABLE,3,FALSE)))))</f>
        <v/>
      </c>
      <c r="Y237" s="15">
        <f>IFERROR(VLOOKUP(T237,V8_COHORT_TABLE,4,FALSE),IFERROR(VLOOKUP(P237&amp;"|"&amp;Q237&amp;"|ALL|"&amp;S237,V8_COHORT_TABLE,4,FALSE),IFERROR(VLOOKUP(P237&amp;"|ALL|ALL|"&amp;S237,V8_COHORT_TABLE,4,FALSE),IFERROR(VLOOKUP(P237&amp;"|ALL|ALL|ALL",V8_COHORT_TABLE,4,FALSE),VLOOKUP("GLOBAL",V8_COHORT_TABLE,4,FALSE)))))</f>
        <v/>
      </c>
      <c r="Z237" s="15">
        <f>IFERROR(VLOOKUP(T237,V8_COHORT_TABLE,5,FALSE),IFERROR(VLOOKUP(P237&amp;"|"&amp;Q237&amp;"|ALL|"&amp;S237,V8_COHORT_TABLE,5,FALSE),IFERROR(VLOOKUP(P237&amp;"|ALL|ALL|"&amp;S237,V8_COHORT_TABLE,5,FALSE),IFERROR(VLOOKUP(P237&amp;"|ALL|ALL|ALL",V8_COHORT_TABLE,5,FALSE),VLOOKUP("GLOBAL",V8_COHORT_TABLE,5,FALSE)))))</f>
        <v/>
      </c>
      <c r="AA237" s="15">
        <f>W237+X237/(1+EXP(-(V237-Y237)/Z237))</f>
        <v/>
      </c>
      <c r="AB237" s="15">
        <f>IFERROR(VLOOKUP(T237,V8_COHORT_TABLE,6,FALSE),IFERROR(VLOOKUP(P237&amp;"|"&amp;Q237&amp;"|ALL|"&amp;S237,V8_COHORT_TABLE,6,FALSE),IFERROR(VLOOKUP(P237&amp;"|ALL|ALL|"&amp;S237,V8_COHORT_TABLE,6,FALSE),IFERROR(VLOOKUP(P237&amp;"|ALL|ALL|ALL",V8_COHORT_TABLE,6,FALSE),VLOOKUP("GLOBAL",V8_COHORT_TABLE,6,FALSE)))))</f>
        <v/>
      </c>
      <c r="AC237" s="15">
        <f>IFERROR(VLOOKUP(T237,V8_COHORT_TABLE,7,FALSE),IFERROR(VLOOKUP(P237&amp;"|"&amp;Q237&amp;"|ALL|"&amp;S237,V8_COHORT_TABLE,7,FALSE),IFERROR(VLOOKUP(P237&amp;"|ALL|ALL|"&amp;S237,V8_COHORT_TABLE,7,FALSE),IFERROR(VLOOKUP(P237&amp;"|ALL|ALL|ALL",V8_COHORT_TABLE,7,FALSE),VLOOKUP("GLOBAL",V8_COHORT_TABLE,7,FALSE)))))</f>
        <v/>
      </c>
      <c r="AD237" s="15">
        <f>IFERROR(VLOOKUP(T237,V8_COHORT_TABLE,8,FALSE),IFERROR(VLOOKUP(P237&amp;"|"&amp;Q237&amp;"|ALL|"&amp;S237,V8_COHORT_TABLE,8,FALSE),IFERROR(VLOOKUP(P237&amp;"|ALL|ALL|"&amp;S237,V8_COHORT_TABLE,8,FALSE),IFERROR(VLOOKUP(P237&amp;"|ALL|ALL|ALL",V8_COHORT_TABLE,8,FALSE),VLOOKUP("GLOBAL",V8_COHORT_TABLE,8,FALSE)))))</f>
        <v/>
      </c>
      <c r="AE237" s="15">
        <f>IFERROR(VLOOKUP(T237,V8_COHORT_TABLE,9,FALSE),IFERROR(VLOOKUP(P237&amp;"|"&amp;Q237&amp;"|ALL|"&amp;S237,V8_COHORT_TABLE,9,FALSE),IFERROR(VLOOKUP(P237&amp;"|ALL|ALL|"&amp;S237,V8_COHORT_TABLE,9,FALSE),IFERROR(VLOOKUP(P237&amp;"|ALL|ALL|ALL",V8_COHORT_TABLE,9,FALSE),VLOOKUP("GLOBAL",V8_COHORT_TABLE,9,FALSE)))))</f>
        <v/>
      </c>
      <c r="AF237" s="8">
        <f>IF(K237&lt;=0,AB237,IF(K237&gt;=240,AE237,IF(K237&lt;=24,AB237+(K237-0)/24*(AC237-AB237),IF(K237&lt;=96,AC237+(K237-24)/72*(AD237-AC237),AD237+(K237-96)/144*(AE237-AD237)))))</f>
        <v/>
      </c>
      <c r="AG237" s="8">
        <f>IF(IF(OR(L237="",NOT(ISNUMBER(L237))),360,MAX(0,MIN(480,(INT(L237/100)-INT(VALUE(F237)/100))*12+MOD(L237,100)-MOD(VALUE(F237),100))))&gt;0,1+V8_MTY_AMP*MAX(0,(V8_MTY_CUTOFF-(IF(OR(L237="",NOT(ISNUMBER(L237))),360,MAX(0,MIN(480,(INT(L237/100)-INT(VALUE(F237)/100))*12+MOD(L237,100)-MOD(VALUE(F237),100))))))/V8_MTY_CUTOFF),1)</f>
        <v/>
      </c>
      <c r="AH237" s="8">
        <f>IF(AND(IF(OR(M237="",NOT(ISNUMBER(M237))),0,MAX(0,MIN(24,(INT(VALUE(F237)/100)-INT(M237/100))*12+MOD(VALUE(F237),100)-MOD(M237,100))))&gt;0,IF(OR(M237="",NOT(ISNUMBER(M237))),0,MAX(0,MIN(24,(INT(VALUE(F237)/100)-INT(M237/100))*12+MOD(VALUE(F237),100)-MOD(M237,100))))&lt;=12),1+V8_LOCKOUT_AMP*EXP(-(IF(OR(M237="",NOT(ISNUMBER(M237))),0,MAX(0,MIN(24,(INT(VALUE(F237)/100)-INT(M237/100))*12+MOD(VALUE(F237),100)-MOD(M237,100)))))/V8_LOCKOUT_TAU),1)</f>
        <v/>
      </c>
      <c r="AI237" s="8">
        <f>MAX(V8_BURN_FLOOR,1-V8_BURN_SLOPE*MIN(1,MAX(0,O237)))</f>
        <v/>
      </c>
      <c r="AJ237" s="15">
        <f>MIN(AA237*AF237*AG237*AH237*AI237,0.2)</f>
        <v/>
      </c>
      <c r="AK237" s="16">
        <f>1-(1-AJ237)^12</f>
        <v/>
      </c>
    </row>
    <row r="238">
      <c r="A238" s="2" t="inlineStr">
        <is>
          <t>003374578408</t>
        </is>
      </c>
      <c r="B238" t="inlineStr">
        <is>
          <t>538</t>
        </is>
      </c>
      <c r="C238" t="inlineStr">
        <is>
          <t>538</t>
        </is>
      </c>
      <c r="D238" t="inlineStr">
        <is>
          <t>BELLWETHER ENTERPRISE REAL ESTATE CAPITA</t>
        </is>
      </c>
      <c r="E238" t="n">
        <v>2010</v>
      </c>
      <c r="F238" t="inlineStr">
        <is>
          <t>202602</t>
        </is>
      </c>
      <c r="G238" s="9" t="n">
        <v>862013.46</v>
      </c>
      <c r="H238" s="13" t="n">
        <v>5.29</v>
      </c>
      <c r="I238" s="14" t="n">
        <v>447</v>
      </c>
      <c r="J238" s="14" t="n">
        <v>0</v>
      </c>
      <c r="K238" t="n">
        <v>184</v>
      </c>
      <c r="L238" t="n">
        <v>205011</v>
      </c>
      <c r="M238" t="n">
        <v>201212</v>
      </c>
      <c r="N238" t="n">
        <v>75</v>
      </c>
      <c r="O238" s="8" t="n">
        <v>0.4076086956521739</v>
      </c>
      <c r="P238">
        <f>IF(ISNUMBER(SEARCH("232",B238)),"232",IF(ISNUMBER(SEARCH("538",B238)),"538",IF(ISNUMBER(SEARCH("223a7",B238)),"223a7",IF(ISNUMBER(SEARCH("223f",B238)),"223f","OTHER"))))</f>
        <v/>
      </c>
      <c r="Q238">
        <f>IF(UPPER(C238)="NC","NC","RP")</f>
        <v/>
      </c>
      <c r="R238">
        <f>IF(G238&lt;5000000,"small",IF(G238&lt;25000000,"medium","large"))</f>
        <v/>
      </c>
      <c r="S238">
        <f>IF(K238&lt;36,"young",IF(K238&lt;120,"seasoned","aged"))</f>
        <v/>
      </c>
      <c r="T238">
        <f>P238&amp;"|"&amp;Q238&amp;"|"&amp;R238&amp;"|"&amp;S238</f>
        <v/>
      </c>
      <c r="U238" s="14">
        <f>H238*100-I238</f>
        <v/>
      </c>
      <c r="V238" s="14">
        <f>U238-12.5*(J238+1)</f>
        <v/>
      </c>
      <c r="W238" s="15">
        <f>IFERROR(VLOOKUP(T238,V8_COHORT_TABLE,2,FALSE),IFERROR(VLOOKUP(P238&amp;"|"&amp;Q238&amp;"|ALL|"&amp;S238,V8_COHORT_TABLE,2,FALSE),IFERROR(VLOOKUP(P238&amp;"|ALL|ALL|"&amp;S238,V8_COHORT_TABLE,2,FALSE),IFERROR(VLOOKUP(P238&amp;"|ALL|ALL|ALL",V8_COHORT_TABLE,2,FALSE),VLOOKUP("GLOBAL",V8_COHORT_TABLE,2,FALSE)))))</f>
        <v/>
      </c>
      <c r="X238" s="15">
        <f>IFERROR(VLOOKUP(T238,V8_COHORT_TABLE,3,FALSE),IFERROR(VLOOKUP(P238&amp;"|"&amp;Q238&amp;"|ALL|"&amp;S238,V8_COHORT_TABLE,3,FALSE),IFERROR(VLOOKUP(P238&amp;"|ALL|ALL|"&amp;S238,V8_COHORT_TABLE,3,FALSE),IFERROR(VLOOKUP(P238&amp;"|ALL|ALL|ALL",V8_COHORT_TABLE,3,FALSE),VLOOKUP("GLOBAL",V8_COHORT_TABLE,3,FALSE)))))</f>
        <v/>
      </c>
      <c r="Y238" s="15">
        <f>IFERROR(VLOOKUP(T238,V8_COHORT_TABLE,4,FALSE),IFERROR(VLOOKUP(P238&amp;"|"&amp;Q238&amp;"|ALL|"&amp;S238,V8_COHORT_TABLE,4,FALSE),IFERROR(VLOOKUP(P238&amp;"|ALL|ALL|"&amp;S238,V8_COHORT_TABLE,4,FALSE),IFERROR(VLOOKUP(P238&amp;"|ALL|ALL|ALL",V8_COHORT_TABLE,4,FALSE),VLOOKUP("GLOBAL",V8_COHORT_TABLE,4,FALSE)))))</f>
        <v/>
      </c>
      <c r="Z238" s="15">
        <f>IFERROR(VLOOKUP(T238,V8_COHORT_TABLE,5,FALSE),IFERROR(VLOOKUP(P238&amp;"|"&amp;Q238&amp;"|ALL|"&amp;S238,V8_COHORT_TABLE,5,FALSE),IFERROR(VLOOKUP(P238&amp;"|ALL|ALL|"&amp;S238,V8_COHORT_TABLE,5,FALSE),IFERROR(VLOOKUP(P238&amp;"|ALL|ALL|ALL",V8_COHORT_TABLE,5,FALSE),VLOOKUP("GLOBAL",V8_COHORT_TABLE,5,FALSE)))))</f>
        <v/>
      </c>
      <c r="AA238" s="15">
        <f>W238+X238/(1+EXP(-(V238-Y238)/Z238))</f>
        <v/>
      </c>
      <c r="AB238" s="15">
        <f>IFERROR(VLOOKUP(T238,V8_COHORT_TABLE,6,FALSE),IFERROR(VLOOKUP(P238&amp;"|"&amp;Q238&amp;"|ALL|"&amp;S238,V8_COHORT_TABLE,6,FALSE),IFERROR(VLOOKUP(P238&amp;"|ALL|ALL|"&amp;S238,V8_COHORT_TABLE,6,FALSE),IFERROR(VLOOKUP(P238&amp;"|ALL|ALL|ALL",V8_COHORT_TABLE,6,FALSE),VLOOKUP("GLOBAL",V8_COHORT_TABLE,6,FALSE)))))</f>
        <v/>
      </c>
      <c r="AC238" s="15">
        <f>IFERROR(VLOOKUP(T238,V8_COHORT_TABLE,7,FALSE),IFERROR(VLOOKUP(P238&amp;"|"&amp;Q238&amp;"|ALL|"&amp;S238,V8_COHORT_TABLE,7,FALSE),IFERROR(VLOOKUP(P238&amp;"|ALL|ALL|"&amp;S238,V8_COHORT_TABLE,7,FALSE),IFERROR(VLOOKUP(P238&amp;"|ALL|ALL|ALL",V8_COHORT_TABLE,7,FALSE),VLOOKUP("GLOBAL",V8_COHORT_TABLE,7,FALSE)))))</f>
        <v/>
      </c>
      <c r="AD238" s="15">
        <f>IFERROR(VLOOKUP(T238,V8_COHORT_TABLE,8,FALSE),IFERROR(VLOOKUP(P238&amp;"|"&amp;Q238&amp;"|ALL|"&amp;S238,V8_COHORT_TABLE,8,FALSE),IFERROR(VLOOKUP(P238&amp;"|ALL|ALL|"&amp;S238,V8_COHORT_TABLE,8,FALSE),IFERROR(VLOOKUP(P238&amp;"|ALL|ALL|ALL",V8_COHORT_TABLE,8,FALSE),VLOOKUP("GLOBAL",V8_COHORT_TABLE,8,FALSE)))))</f>
        <v/>
      </c>
      <c r="AE238" s="15">
        <f>IFERROR(VLOOKUP(T238,V8_COHORT_TABLE,9,FALSE),IFERROR(VLOOKUP(P238&amp;"|"&amp;Q238&amp;"|ALL|"&amp;S238,V8_COHORT_TABLE,9,FALSE),IFERROR(VLOOKUP(P238&amp;"|ALL|ALL|"&amp;S238,V8_COHORT_TABLE,9,FALSE),IFERROR(VLOOKUP(P238&amp;"|ALL|ALL|ALL",V8_COHORT_TABLE,9,FALSE),VLOOKUP("GLOBAL",V8_COHORT_TABLE,9,FALSE)))))</f>
        <v/>
      </c>
      <c r="AF238" s="8">
        <f>IF(K238&lt;=0,AB238,IF(K238&gt;=240,AE238,IF(K238&lt;=24,AB238+(K238-0)/24*(AC238-AB238),IF(K238&lt;=96,AC238+(K238-24)/72*(AD238-AC238),AD238+(K238-96)/144*(AE238-AD238)))))</f>
        <v/>
      </c>
      <c r="AG238" s="8">
        <f>IF(IF(OR(L238="",NOT(ISNUMBER(L238))),360,MAX(0,MIN(480,(INT(L238/100)-INT(VALUE(F238)/100))*12+MOD(L238,100)-MOD(VALUE(F238),100))))&gt;0,1+V8_MTY_AMP*MAX(0,(V8_MTY_CUTOFF-(IF(OR(L238="",NOT(ISNUMBER(L238))),360,MAX(0,MIN(480,(INT(L238/100)-INT(VALUE(F238)/100))*12+MOD(L238,100)-MOD(VALUE(F238),100))))))/V8_MTY_CUTOFF),1)</f>
        <v/>
      </c>
      <c r="AH238" s="8">
        <f>IF(AND(IF(OR(M238="",NOT(ISNUMBER(M238))),0,MAX(0,MIN(24,(INT(VALUE(F238)/100)-INT(M238/100))*12+MOD(VALUE(F238),100)-MOD(M238,100))))&gt;0,IF(OR(M238="",NOT(ISNUMBER(M238))),0,MAX(0,MIN(24,(INT(VALUE(F238)/100)-INT(M238/100))*12+MOD(VALUE(F238),100)-MOD(M238,100))))&lt;=12),1+V8_LOCKOUT_AMP*EXP(-(IF(OR(M238="",NOT(ISNUMBER(M238))),0,MAX(0,MIN(24,(INT(VALUE(F238)/100)-INT(M238/100))*12+MOD(VALUE(F238),100)-MOD(M238,100)))))/V8_LOCKOUT_TAU),1)</f>
        <v/>
      </c>
      <c r="AI238" s="8">
        <f>MAX(V8_BURN_FLOOR,1-V8_BURN_SLOPE*MIN(1,MAX(0,O238)))</f>
        <v/>
      </c>
      <c r="AJ238" s="15">
        <f>MIN(AA238*AF238*AG238*AH238*AI238,0.2)</f>
        <v/>
      </c>
      <c r="AK238" s="16">
        <f>1-(1-AJ238)^12</f>
        <v/>
      </c>
    </row>
    <row r="239">
      <c r="A239" s="2" t="inlineStr">
        <is>
          <t>015882752559</t>
        </is>
      </c>
      <c r="B239" t="inlineStr">
        <is>
          <t>538</t>
        </is>
      </c>
      <c r="C239" t="inlineStr">
        <is>
          <t>538</t>
        </is>
      </c>
      <c r="D239" t="inlineStr">
        <is>
          <t>BELLWETHER ENTERPRISE REAL ESTATE CAPITA</t>
        </is>
      </c>
      <c r="E239" t="n">
        <v>2015</v>
      </c>
      <c r="F239" t="inlineStr">
        <is>
          <t>202602</t>
        </is>
      </c>
      <c r="G239" s="9" t="n">
        <v>449622.75</v>
      </c>
      <c r="H239" s="13" t="n">
        <v>5.25</v>
      </c>
      <c r="I239" s="14" t="n">
        <v>447</v>
      </c>
      <c r="J239" s="14" t="n">
        <v>0</v>
      </c>
      <c r="K239" t="n">
        <v>125</v>
      </c>
      <c r="L239" t="n">
        <v>205510</v>
      </c>
      <c r="M239" t="inlineStr"/>
      <c r="N239" t="n">
        <v>62</v>
      </c>
      <c r="O239" s="8" t="n">
        <v>0.496</v>
      </c>
      <c r="P239">
        <f>IF(ISNUMBER(SEARCH("232",B239)),"232",IF(ISNUMBER(SEARCH("538",B239)),"538",IF(ISNUMBER(SEARCH("223a7",B239)),"223a7",IF(ISNUMBER(SEARCH("223f",B239)),"223f","OTHER"))))</f>
        <v/>
      </c>
      <c r="Q239">
        <f>IF(UPPER(C239)="NC","NC","RP")</f>
        <v/>
      </c>
      <c r="R239">
        <f>IF(G239&lt;5000000,"small",IF(G239&lt;25000000,"medium","large"))</f>
        <v/>
      </c>
      <c r="S239">
        <f>IF(K239&lt;36,"young",IF(K239&lt;120,"seasoned","aged"))</f>
        <v/>
      </c>
      <c r="T239">
        <f>P239&amp;"|"&amp;Q239&amp;"|"&amp;R239&amp;"|"&amp;S239</f>
        <v/>
      </c>
      <c r="U239" s="14">
        <f>H239*100-I239</f>
        <v/>
      </c>
      <c r="V239" s="14">
        <f>U239-12.5*(J239+1)</f>
        <v/>
      </c>
      <c r="W239" s="15">
        <f>IFERROR(VLOOKUP(T239,V8_COHORT_TABLE,2,FALSE),IFERROR(VLOOKUP(P239&amp;"|"&amp;Q239&amp;"|ALL|"&amp;S239,V8_COHORT_TABLE,2,FALSE),IFERROR(VLOOKUP(P239&amp;"|ALL|ALL|"&amp;S239,V8_COHORT_TABLE,2,FALSE),IFERROR(VLOOKUP(P239&amp;"|ALL|ALL|ALL",V8_COHORT_TABLE,2,FALSE),VLOOKUP("GLOBAL",V8_COHORT_TABLE,2,FALSE)))))</f>
        <v/>
      </c>
      <c r="X239" s="15">
        <f>IFERROR(VLOOKUP(T239,V8_COHORT_TABLE,3,FALSE),IFERROR(VLOOKUP(P239&amp;"|"&amp;Q239&amp;"|ALL|"&amp;S239,V8_COHORT_TABLE,3,FALSE),IFERROR(VLOOKUP(P239&amp;"|ALL|ALL|"&amp;S239,V8_COHORT_TABLE,3,FALSE),IFERROR(VLOOKUP(P239&amp;"|ALL|ALL|ALL",V8_COHORT_TABLE,3,FALSE),VLOOKUP("GLOBAL",V8_COHORT_TABLE,3,FALSE)))))</f>
        <v/>
      </c>
      <c r="Y239" s="15">
        <f>IFERROR(VLOOKUP(T239,V8_COHORT_TABLE,4,FALSE),IFERROR(VLOOKUP(P239&amp;"|"&amp;Q239&amp;"|ALL|"&amp;S239,V8_COHORT_TABLE,4,FALSE),IFERROR(VLOOKUP(P239&amp;"|ALL|ALL|"&amp;S239,V8_COHORT_TABLE,4,FALSE),IFERROR(VLOOKUP(P239&amp;"|ALL|ALL|ALL",V8_COHORT_TABLE,4,FALSE),VLOOKUP("GLOBAL",V8_COHORT_TABLE,4,FALSE)))))</f>
        <v/>
      </c>
      <c r="Z239" s="15">
        <f>IFERROR(VLOOKUP(T239,V8_COHORT_TABLE,5,FALSE),IFERROR(VLOOKUP(P239&amp;"|"&amp;Q239&amp;"|ALL|"&amp;S239,V8_COHORT_TABLE,5,FALSE),IFERROR(VLOOKUP(P239&amp;"|ALL|ALL|"&amp;S239,V8_COHORT_TABLE,5,FALSE),IFERROR(VLOOKUP(P239&amp;"|ALL|ALL|ALL",V8_COHORT_TABLE,5,FALSE),VLOOKUP("GLOBAL",V8_COHORT_TABLE,5,FALSE)))))</f>
        <v/>
      </c>
      <c r="AA239" s="15">
        <f>W239+X239/(1+EXP(-(V239-Y239)/Z239))</f>
        <v/>
      </c>
      <c r="AB239" s="15">
        <f>IFERROR(VLOOKUP(T239,V8_COHORT_TABLE,6,FALSE),IFERROR(VLOOKUP(P239&amp;"|"&amp;Q239&amp;"|ALL|"&amp;S239,V8_COHORT_TABLE,6,FALSE),IFERROR(VLOOKUP(P239&amp;"|ALL|ALL|"&amp;S239,V8_COHORT_TABLE,6,FALSE),IFERROR(VLOOKUP(P239&amp;"|ALL|ALL|ALL",V8_COHORT_TABLE,6,FALSE),VLOOKUP("GLOBAL",V8_COHORT_TABLE,6,FALSE)))))</f>
        <v/>
      </c>
      <c r="AC239" s="15">
        <f>IFERROR(VLOOKUP(T239,V8_COHORT_TABLE,7,FALSE),IFERROR(VLOOKUP(P239&amp;"|"&amp;Q239&amp;"|ALL|"&amp;S239,V8_COHORT_TABLE,7,FALSE),IFERROR(VLOOKUP(P239&amp;"|ALL|ALL|"&amp;S239,V8_COHORT_TABLE,7,FALSE),IFERROR(VLOOKUP(P239&amp;"|ALL|ALL|ALL",V8_COHORT_TABLE,7,FALSE),VLOOKUP("GLOBAL",V8_COHORT_TABLE,7,FALSE)))))</f>
        <v/>
      </c>
      <c r="AD239" s="15">
        <f>IFERROR(VLOOKUP(T239,V8_COHORT_TABLE,8,FALSE),IFERROR(VLOOKUP(P239&amp;"|"&amp;Q239&amp;"|ALL|"&amp;S239,V8_COHORT_TABLE,8,FALSE),IFERROR(VLOOKUP(P239&amp;"|ALL|ALL|"&amp;S239,V8_COHORT_TABLE,8,FALSE),IFERROR(VLOOKUP(P239&amp;"|ALL|ALL|ALL",V8_COHORT_TABLE,8,FALSE),VLOOKUP("GLOBAL",V8_COHORT_TABLE,8,FALSE)))))</f>
        <v/>
      </c>
      <c r="AE239" s="15">
        <f>IFERROR(VLOOKUP(T239,V8_COHORT_TABLE,9,FALSE),IFERROR(VLOOKUP(P239&amp;"|"&amp;Q239&amp;"|ALL|"&amp;S239,V8_COHORT_TABLE,9,FALSE),IFERROR(VLOOKUP(P239&amp;"|ALL|ALL|"&amp;S239,V8_COHORT_TABLE,9,FALSE),IFERROR(VLOOKUP(P239&amp;"|ALL|ALL|ALL",V8_COHORT_TABLE,9,FALSE),VLOOKUP("GLOBAL",V8_COHORT_TABLE,9,FALSE)))))</f>
        <v/>
      </c>
      <c r="AF239" s="8">
        <f>IF(K239&lt;=0,AB239,IF(K239&gt;=240,AE239,IF(K239&lt;=24,AB239+(K239-0)/24*(AC239-AB239),IF(K239&lt;=96,AC239+(K239-24)/72*(AD239-AC239),AD239+(K239-96)/144*(AE239-AD239)))))</f>
        <v/>
      </c>
      <c r="AG239" s="8">
        <f>IF(IF(OR(L239="",NOT(ISNUMBER(L239))),360,MAX(0,MIN(480,(INT(L239/100)-INT(VALUE(F239)/100))*12+MOD(L239,100)-MOD(VALUE(F239),100))))&gt;0,1+V8_MTY_AMP*MAX(0,(V8_MTY_CUTOFF-(IF(OR(L239="",NOT(ISNUMBER(L239))),360,MAX(0,MIN(480,(INT(L239/100)-INT(VALUE(F239)/100))*12+MOD(L239,100)-MOD(VALUE(F239),100))))))/V8_MTY_CUTOFF),1)</f>
        <v/>
      </c>
      <c r="AH239" s="8">
        <f>IF(AND(IF(OR(M239="",NOT(ISNUMBER(M239))),0,MAX(0,MIN(24,(INT(VALUE(F239)/100)-INT(M239/100))*12+MOD(VALUE(F239),100)-MOD(M239,100))))&gt;0,IF(OR(M239="",NOT(ISNUMBER(M239))),0,MAX(0,MIN(24,(INT(VALUE(F239)/100)-INT(M239/100))*12+MOD(VALUE(F239),100)-MOD(M239,100))))&lt;=12),1+V8_LOCKOUT_AMP*EXP(-(IF(OR(M239="",NOT(ISNUMBER(M239))),0,MAX(0,MIN(24,(INT(VALUE(F239)/100)-INT(M239/100))*12+MOD(VALUE(F239),100)-MOD(M239,100)))))/V8_LOCKOUT_TAU),1)</f>
        <v/>
      </c>
      <c r="AI239" s="8">
        <f>MAX(V8_BURN_FLOOR,1-V8_BURN_SLOPE*MIN(1,MAX(0,O239)))</f>
        <v/>
      </c>
      <c r="AJ239" s="15">
        <f>MIN(AA239*AF239*AG239*AH239*AI239,0.2)</f>
        <v/>
      </c>
      <c r="AK239" s="16">
        <f>1-(1-AJ239)^12</f>
        <v/>
      </c>
    </row>
    <row r="240">
      <c r="A240" s="2" t="inlineStr">
        <is>
          <t>000006135939</t>
        </is>
      </c>
      <c r="B240" t="inlineStr">
        <is>
          <t>221d4</t>
        </is>
      </c>
      <c r="C240" t="inlineStr">
        <is>
          <t>NC</t>
        </is>
      </c>
      <c r="D240" t="inlineStr">
        <is>
          <t>BELLWETHER ENTERPRISE REAL ESTATE CAPITA</t>
        </is>
      </c>
      <c r="E240" t="n">
        <v>2020</v>
      </c>
      <c r="F240" t="inlineStr">
        <is>
          <t>202602</t>
        </is>
      </c>
      <c r="G240" s="9" t="n">
        <v>8918835.859999999</v>
      </c>
      <c r="H240" s="13" t="n">
        <v>2.73</v>
      </c>
      <c r="I240" s="14" t="n">
        <v>447</v>
      </c>
      <c r="J240" s="14" t="n">
        <v>8</v>
      </c>
      <c r="K240" t="n">
        <v>62</v>
      </c>
      <c r="L240" t="n">
        <v>206206</v>
      </c>
      <c r="M240" t="inlineStr"/>
      <c r="N240" t="n">
        <v>0</v>
      </c>
      <c r="O240" s="8" t="n">
        <v>0</v>
      </c>
      <c r="P240">
        <f>IF(ISNUMBER(SEARCH("232",B240)),"232",IF(ISNUMBER(SEARCH("538",B240)),"538",IF(ISNUMBER(SEARCH("223a7",B240)),"223a7",IF(ISNUMBER(SEARCH("223f",B240)),"223f","OTHER"))))</f>
        <v/>
      </c>
      <c r="Q240">
        <f>IF(UPPER(C240)="NC","NC","RP")</f>
        <v/>
      </c>
      <c r="R240">
        <f>IF(G240&lt;5000000,"small",IF(G240&lt;25000000,"medium","large"))</f>
        <v/>
      </c>
      <c r="S240">
        <f>IF(K240&lt;36,"young",IF(K240&lt;120,"seasoned","aged"))</f>
        <v/>
      </c>
      <c r="T240">
        <f>P240&amp;"|"&amp;Q240&amp;"|"&amp;R240&amp;"|"&amp;S240</f>
        <v/>
      </c>
      <c r="U240" s="14">
        <f>H240*100-I240</f>
        <v/>
      </c>
      <c r="V240" s="14">
        <f>U240-12.5*(J240+1)</f>
        <v/>
      </c>
      <c r="W240" s="15">
        <f>IFERROR(VLOOKUP(T240,V8_COHORT_TABLE,2,FALSE),IFERROR(VLOOKUP(P240&amp;"|"&amp;Q240&amp;"|ALL|"&amp;S240,V8_COHORT_TABLE,2,FALSE),IFERROR(VLOOKUP(P240&amp;"|ALL|ALL|"&amp;S240,V8_COHORT_TABLE,2,FALSE),IFERROR(VLOOKUP(P240&amp;"|ALL|ALL|ALL",V8_COHORT_TABLE,2,FALSE),VLOOKUP("GLOBAL",V8_COHORT_TABLE,2,FALSE)))))</f>
        <v/>
      </c>
      <c r="X240" s="15">
        <f>IFERROR(VLOOKUP(T240,V8_COHORT_TABLE,3,FALSE),IFERROR(VLOOKUP(P240&amp;"|"&amp;Q240&amp;"|ALL|"&amp;S240,V8_COHORT_TABLE,3,FALSE),IFERROR(VLOOKUP(P240&amp;"|ALL|ALL|"&amp;S240,V8_COHORT_TABLE,3,FALSE),IFERROR(VLOOKUP(P240&amp;"|ALL|ALL|ALL",V8_COHORT_TABLE,3,FALSE),VLOOKUP("GLOBAL",V8_COHORT_TABLE,3,FALSE)))))</f>
        <v/>
      </c>
      <c r="Y240" s="15">
        <f>IFERROR(VLOOKUP(T240,V8_COHORT_TABLE,4,FALSE),IFERROR(VLOOKUP(P240&amp;"|"&amp;Q240&amp;"|ALL|"&amp;S240,V8_COHORT_TABLE,4,FALSE),IFERROR(VLOOKUP(P240&amp;"|ALL|ALL|"&amp;S240,V8_COHORT_TABLE,4,FALSE),IFERROR(VLOOKUP(P240&amp;"|ALL|ALL|ALL",V8_COHORT_TABLE,4,FALSE),VLOOKUP("GLOBAL",V8_COHORT_TABLE,4,FALSE)))))</f>
        <v/>
      </c>
      <c r="Z240" s="15">
        <f>IFERROR(VLOOKUP(T240,V8_COHORT_TABLE,5,FALSE),IFERROR(VLOOKUP(P240&amp;"|"&amp;Q240&amp;"|ALL|"&amp;S240,V8_COHORT_TABLE,5,FALSE),IFERROR(VLOOKUP(P240&amp;"|ALL|ALL|"&amp;S240,V8_COHORT_TABLE,5,FALSE),IFERROR(VLOOKUP(P240&amp;"|ALL|ALL|ALL",V8_COHORT_TABLE,5,FALSE),VLOOKUP("GLOBAL",V8_COHORT_TABLE,5,FALSE)))))</f>
        <v/>
      </c>
      <c r="AA240" s="15">
        <f>W240+X240/(1+EXP(-(V240-Y240)/Z240))</f>
        <v/>
      </c>
      <c r="AB240" s="15">
        <f>IFERROR(VLOOKUP(T240,V8_COHORT_TABLE,6,FALSE),IFERROR(VLOOKUP(P240&amp;"|"&amp;Q240&amp;"|ALL|"&amp;S240,V8_COHORT_TABLE,6,FALSE),IFERROR(VLOOKUP(P240&amp;"|ALL|ALL|"&amp;S240,V8_COHORT_TABLE,6,FALSE),IFERROR(VLOOKUP(P240&amp;"|ALL|ALL|ALL",V8_COHORT_TABLE,6,FALSE),VLOOKUP("GLOBAL",V8_COHORT_TABLE,6,FALSE)))))</f>
        <v/>
      </c>
      <c r="AC240" s="15">
        <f>IFERROR(VLOOKUP(T240,V8_COHORT_TABLE,7,FALSE),IFERROR(VLOOKUP(P240&amp;"|"&amp;Q240&amp;"|ALL|"&amp;S240,V8_COHORT_TABLE,7,FALSE),IFERROR(VLOOKUP(P240&amp;"|ALL|ALL|"&amp;S240,V8_COHORT_TABLE,7,FALSE),IFERROR(VLOOKUP(P240&amp;"|ALL|ALL|ALL",V8_COHORT_TABLE,7,FALSE),VLOOKUP("GLOBAL",V8_COHORT_TABLE,7,FALSE)))))</f>
        <v/>
      </c>
      <c r="AD240" s="15">
        <f>IFERROR(VLOOKUP(T240,V8_COHORT_TABLE,8,FALSE),IFERROR(VLOOKUP(P240&amp;"|"&amp;Q240&amp;"|ALL|"&amp;S240,V8_COHORT_TABLE,8,FALSE),IFERROR(VLOOKUP(P240&amp;"|ALL|ALL|"&amp;S240,V8_COHORT_TABLE,8,FALSE),IFERROR(VLOOKUP(P240&amp;"|ALL|ALL|ALL",V8_COHORT_TABLE,8,FALSE),VLOOKUP("GLOBAL",V8_COHORT_TABLE,8,FALSE)))))</f>
        <v/>
      </c>
      <c r="AE240" s="15">
        <f>IFERROR(VLOOKUP(T240,V8_COHORT_TABLE,9,FALSE),IFERROR(VLOOKUP(P240&amp;"|"&amp;Q240&amp;"|ALL|"&amp;S240,V8_COHORT_TABLE,9,FALSE),IFERROR(VLOOKUP(P240&amp;"|ALL|ALL|"&amp;S240,V8_COHORT_TABLE,9,FALSE),IFERROR(VLOOKUP(P240&amp;"|ALL|ALL|ALL",V8_COHORT_TABLE,9,FALSE),VLOOKUP("GLOBAL",V8_COHORT_TABLE,9,FALSE)))))</f>
        <v/>
      </c>
      <c r="AF240" s="8">
        <f>IF(K240&lt;=0,AB240,IF(K240&gt;=240,AE240,IF(K240&lt;=24,AB240+(K240-0)/24*(AC240-AB240),IF(K240&lt;=96,AC240+(K240-24)/72*(AD240-AC240),AD240+(K240-96)/144*(AE240-AD240)))))</f>
        <v/>
      </c>
      <c r="AG240" s="8">
        <f>IF(IF(OR(L240="",NOT(ISNUMBER(L240))),360,MAX(0,MIN(480,(INT(L240/100)-INT(VALUE(F240)/100))*12+MOD(L240,100)-MOD(VALUE(F240),100))))&gt;0,1+V8_MTY_AMP*MAX(0,(V8_MTY_CUTOFF-(IF(OR(L240="",NOT(ISNUMBER(L240))),360,MAX(0,MIN(480,(INT(L240/100)-INT(VALUE(F240)/100))*12+MOD(L240,100)-MOD(VALUE(F240),100))))))/V8_MTY_CUTOFF),1)</f>
        <v/>
      </c>
      <c r="AH240" s="8">
        <f>IF(AND(IF(OR(M240="",NOT(ISNUMBER(M240))),0,MAX(0,MIN(24,(INT(VALUE(F240)/100)-INT(M240/100))*12+MOD(VALUE(F240),100)-MOD(M240,100))))&gt;0,IF(OR(M240="",NOT(ISNUMBER(M240))),0,MAX(0,MIN(24,(INT(VALUE(F240)/100)-INT(M240/100))*12+MOD(VALUE(F240),100)-MOD(M240,100))))&lt;=12),1+V8_LOCKOUT_AMP*EXP(-(IF(OR(M240="",NOT(ISNUMBER(M240))),0,MAX(0,MIN(24,(INT(VALUE(F240)/100)-INT(M240/100))*12+MOD(VALUE(F240),100)-MOD(M240,100)))))/V8_LOCKOUT_TAU),1)</f>
        <v/>
      </c>
      <c r="AI240" s="8">
        <f>MAX(V8_BURN_FLOOR,1-V8_BURN_SLOPE*MIN(1,MAX(0,O240)))</f>
        <v/>
      </c>
      <c r="AJ240" s="15">
        <f>MIN(AA240*AF240*AG240*AH240*AI240,0.2)</f>
        <v/>
      </c>
      <c r="AK240" s="16">
        <f>1-(1-AJ240)^12</f>
        <v/>
      </c>
    </row>
    <row r="241">
      <c r="A241" s="2" t="inlineStr">
        <is>
          <t>000008611114</t>
        </is>
      </c>
      <c r="B241" t="inlineStr">
        <is>
          <t>223f</t>
        </is>
      </c>
      <c r="C241" t="inlineStr">
        <is>
          <t>RP</t>
        </is>
      </c>
      <c r="D241" t="inlineStr">
        <is>
          <t>BELLWETHER ENTERPRISE REAL ESTATE CAPITA</t>
        </is>
      </c>
      <c r="E241" t="n">
        <v>2020</v>
      </c>
      <c r="F241" t="inlineStr">
        <is>
          <t>202602</t>
        </is>
      </c>
      <c r="G241" s="9" t="n">
        <v>11462433.94</v>
      </c>
      <c r="H241" s="13" t="n">
        <v>3.32</v>
      </c>
      <c r="I241" s="14" t="n">
        <v>447</v>
      </c>
      <c r="J241" s="14" t="n">
        <v>6</v>
      </c>
      <c r="K241" t="n">
        <v>63</v>
      </c>
      <c r="L241" t="n">
        <v>205312</v>
      </c>
      <c r="M241" t="inlineStr"/>
      <c r="N241" t="n">
        <v>14</v>
      </c>
      <c r="O241" s="8" t="n">
        <v>0.2222222222222222</v>
      </c>
      <c r="P241">
        <f>IF(ISNUMBER(SEARCH("232",B241)),"232",IF(ISNUMBER(SEARCH("538",B241)),"538",IF(ISNUMBER(SEARCH("223a7",B241)),"223a7",IF(ISNUMBER(SEARCH("223f",B241)),"223f","OTHER"))))</f>
        <v/>
      </c>
      <c r="Q241">
        <f>IF(UPPER(C241)="NC","NC","RP")</f>
        <v/>
      </c>
      <c r="R241">
        <f>IF(G241&lt;5000000,"small",IF(G241&lt;25000000,"medium","large"))</f>
        <v/>
      </c>
      <c r="S241">
        <f>IF(K241&lt;36,"young",IF(K241&lt;120,"seasoned","aged"))</f>
        <v/>
      </c>
      <c r="T241">
        <f>P241&amp;"|"&amp;Q241&amp;"|"&amp;R241&amp;"|"&amp;S241</f>
        <v/>
      </c>
      <c r="U241" s="14">
        <f>H241*100-I241</f>
        <v/>
      </c>
      <c r="V241" s="14">
        <f>U241-12.5*(J241+1)</f>
        <v/>
      </c>
      <c r="W241" s="15">
        <f>IFERROR(VLOOKUP(T241,V8_COHORT_TABLE,2,FALSE),IFERROR(VLOOKUP(P241&amp;"|"&amp;Q241&amp;"|ALL|"&amp;S241,V8_COHORT_TABLE,2,FALSE),IFERROR(VLOOKUP(P241&amp;"|ALL|ALL|"&amp;S241,V8_COHORT_TABLE,2,FALSE),IFERROR(VLOOKUP(P241&amp;"|ALL|ALL|ALL",V8_COHORT_TABLE,2,FALSE),VLOOKUP("GLOBAL",V8_COHORT_TABLE,2,FALSE)))))</f>
        <v/>
      </c>
      <c r="X241" s="15">
        <f>IFERROR(VLOOKUP(T241,V8_COHORT_TABLE,3,FALSE),IFERROR(VLOOKUP(P241&amp;"|"&amp;Q241&amp;"|ALL|"&amp;S241,V8_COHORT_TABLE,3,FALSE),IFERROR(VLOOKUP(P241&amp;"|ALL|ALL|"&amp;S241,V8_COHORT_TABLE,3,FALSE),IFERROR(VLOOKUP(P241&amp;"|ALL|ALL|ALL",V8_COHORT_TABLE,3,FALSE),VLOOKUP("GLOBAL",V8_COHORT_TABLE,3,FALSE)))))</f>
        <v/>
      </c>
      <c r="Y241" s="15">
        <f>IFERROR(VLOOKUP(T241,V8_COHORT_TABLE,4,FALSE),IFERROR(VLOOKUP(P241&amp;"|"&amp;Q241&amp;"|ALL|"&amp;S241,V8_COHORT_TABLE,4,FALSE),IFERROR(VLOOKUP(P241&amp;"|ALL|ALL|"&amp;S241,V8_COHORT_TABLE,4,FALSE),IFERROR(VLOOKUP(P241&amp;"|ALL|ALL|ALL",V8_COHORT_TABLE,4,FALSE),VLOOKUP("GLOBAL",V8_COHORT_TABLE,4,FALSE)))))</f>
        <v/>
      </c>
      <c r="Z241" s="15">
        <f>IFERROR(VLOOKUP(T241,V8_COHORT_TABLE,5,FALSE),IFERROR(VLOOKUP(P241&amp;"|"&amp;Q241&amp;"|ALL|"&amp;S241,V8_COHORT_TABLE,5,FALSE),IFERROR(VLOOKUP(P241&amp;"|ALL|ALL|"&amp;S241,V8_COHORT_TABLE,5,FALSE),IFERROR(VLOOKUP(P241&amp;"|ALL|ALL|ALL",V8_COHORT_TABLE,5,FALSE),VLOOKUP("GLOBAL",V8_COHORT_TABLE,5,FALSE)))))</f>
        <v/>
      </c>
      <c r="AA241" s="15">
        <f>W241+X241/(1+EXP(-(V241-Y241)/Z241))</f>
        <v/>
      </c>
      <c r="AB241" s="15">
        <f>IFERROR(VLOOKUP(T241,V8_COHORT_TABLE,6,FALSE),IFERROR(VLOOKUP(P241&amp;"|"&amp;Q241&amp;"|ALL|"&amp;S241,V8_COHORT_TABLE,6,FALSE),IFERROR(VLOOKUP(P241&amp;"|ALL|ALL|"&amp;S241,V8_COHORT_TABLE,6,FALSE),IFERROR(VLOOKUP(P241&amp;"|ALL|ALL|ALL",V8_COHORT_TABLE,6,FALSE),VLOOKUP("GLOBAL",V8_COHORT_TABLE,6,FALSE)))))</f>
        <v/>
      </c>
      <c r="AC241" s="15">
        <f>IFERROR(VLOOKUP(T241,V8_COHORT_TABLE,7,FALSE),IFERROR(VLOOKUP(P241&amp;"|"&amp;Q241&amp;"|ALL|"&amp;S241,V8_COHORT_TABLE,7,FALSE),IFERROR(VLOOKUP(P241&amp;"|ALL|ALL|"&amp;S241,V8_COHORT_TABLE,7,FALSE),IFERROR(VLOOKUP(P241&amp;"|ALL|ALL|ALL",V8_COHORT_TABLE,7,FALSE),VLOOKUP("GLOBAL",V8_COHORT_TABLE,7,FALSE)))))</f>
        <v/>
      </c>
      <c r="AD241" s="15">
        <f>IFERROR(VLOOKUP(T241,V8_COHORT_TABLE,8,FALSE),IFERROR(VLOOKUP(P241&amp;"|"&amp;Q241&amp;"|ALL|"&amp;S241,V8_COHORT_TABLE,8,FALSE),IFERROR(VLOOKUP(P241&amp;"|ALL|ALL|"&amp;S241,V8_COHORT_TABLE,8,FALSE),IFERROR(VLOOKUP(P241&amp;"|ALL|ALL|ALL",V8_COHORT_TABLE,8,FALSE),VLOOKUP("GLOBAL",V8_COHORT_TABLE,8,FALSE)))))</f>
        <v/>
      </c>
      <c r="AE241" s="15">
        <f>IFERROR(VLOOKUP(T241,V8_COHORT_TABLE,9,FALSE),IFERROR(VLOOKUP(P241&amp;"|"&amp;Q241&amp;"|ALL|"&amp;S241,V8_COHORT_TABLE,9,FALSE),IFERROR(VLOOKUP(P241&amp;"|ALL|ALL|"&amp;S241,V8_COHORT_TABLE,9,FALSE),IFERROR(VLOOKUP(P241&amp;"|ALL|ALL|ALL",V8_COHORT_TABLE,9,FALSE),VLOOKUP("GLOBAL",V8_COHORT_TABLE,9,FALSE)))))</f>
        <v/>
      </c>
      <c r="AF241" s="8">
        <f>IF(K241&lt;=0,AB241,IF(K241&gt;=240,AE241,IF(K241&lt;=24,AB241+(K241-0)/24*(AC241-AB241),IF(K241&lt;=96,AC241+(K241-24)/72*(AD241-AC241),AD241+(K241-96)/144*(AE241-AD241)))))</f>
        <v/>
      </c>
      <c r="AG241" s="8">
        <f>IF(IF(OR(L241="",NOT(ISNUMBER(L241))),360,MAX(0,MIN(480,(INT(L241/100)-INT(VALUE(F241)/100))*12+MOD(L241,100)-MOD(VALUE(F241),100))))&gt;0,1+V8_MTY_AMP*MAX(0,(V8_MTY_CUTOFF-(IF(OR(L241="",NOT(ISNUMBER(L241))),360,MAX(0,MIN(480,(INT(L241/100)-INT(VALUE(F241)/100))*12+MOD(L241,100)-MOD(VALUE(F241),100))))))/V8_MTY_CUTOFF),1)</f>
        <v/>
      </c>
      <c r="AH241" s="8">
        <f>IF(AND(IF(OR(M241="",NOT(ISNUMBER(M241))),0,MAX(0,MIN(24,(INT(VALUE(F241)/100)-INT(M241/100))*12+MOD(VALUE(F241),100)-MOD(M241,100))))&gt;0,IF(OR(M241="",NOT(ISNUMBER(M241))),0,MAX(0,MIN(24,(INT(VALUE(F241)/100)-INT(M241/100))*12+MOD(VALUE(F241),100)-MOD(M241,100))))&lt;=12),1+V8_LOCKOUT_AMP*EXP(-(IF(OR(M241="",NOT(ISNUMBER(M241))),0,MAX(0,MIN(24,(INT(VALUE(F241)/100)-INT(M241/100))*12+MOD(VALUE(F241),100)-MOD(M241,100)))))/V8_LOCKOUT_TAU),1)</f>
        <v/>
      </c>
      <c r="AI241" s="8">
        <f>MAX(V8_BURN_FLOOR,1-V8_BURN_SLOPE*MIN(1,MAX(0,O241)))</f>
        <v/>
      </c>
      <c r="AJ241" s="15">
        <f>MIN(AA241*AF241*AG241*AH241*AI241,0.2)</f>
        <v/>
      </c>
      <c r="AK241" s="16">
        <f>1-(1-AJ241)^12</f>
        <v/>
      </c>
    </row>
    <row r="242">
      <c r="A242" s="2" t="inlineStr">
        <is>
          <t>059807196924</t>
        </is>
      </c>
      <c r="B242" t="inlineStr">
        <is>
          <t>538</t>
        </is>
      </c>
      <c r="C242" t="inlineStr">
        <is>
          <t>538</t>
        </is>
      </c>
      <c r="D242" t="inlineStr">
        <is>
          <t>BELLWETHER ENTERPRISE REAL ESTATE CAPITA</t>
        </is>
      </c>
      <c r="E242" t="n">
        <v>2018</v>
      </c>
      <c r="F242" t="inlineStr">
        <is>
          <t>202602</t>
        </is>
      </c>
      <c r="G242" s="9" t="n">
        <v>4774266.46</v>
      </c>
      <c r="H242" s="13" t="n">
        <v>5.18</v>
      </c>
      <c r="I242" s="14" t="n">
        <v>447</v>
      </c>
      <c r="J242" s="14" t="n">
        <v>5</v>
      </c>
      <c r="K242" t="n">
        <v>87</v>
      </c>
      <c r="L242" t="n">
        <v>205811</v>
      </c>
      <c r="M242" t="inlineStr"/>
      <c r="N242" t="n">
        <v>13</v>
      </c>
      <c r="O242" s="8" t="n">
        <v>0.1494252873563219</v>
      </c>
      <c r="P242">
        <f>IF(ISNUMBER(SEARCH("232",B242)),"232",IF(ISNUMBER(SEARCH("538",B242)),"538",IF(ISNUMBER(SEARCH("223a7",B242)),"223a7",IF(ISNUMBER(SEARCH("223f",B242)),"223f","OTHER"))))</f>
        <v/>
      </c>
      <c r="Q242">
        <f>IF(UPPER(C242)="NC","NC","RP")</f>
        <v/>
      </c>
      <c r="R242">
        <f>IF(G242&lt;5000000,"small",IF(G242&lt;25000000,"medium","large"))</f>
        <v/>
      </c>
      <c r="S242">
        <f>IF(K242&lt;36,"young",IF(K242&lt;120,"seasoned","aged"))</f>
        <v/>
      </c>
      <c r="T242">
        <f>P242&amp;"|"&amp;Q242&amp;"|"&amp;R242&amp;"|"&amp;S242</f>
        <v/>
      </c>
      <c r="U242" s="14">
        <f>H242*100-I242</f>
        <v/>
      </c>
      <c r="V242" s="14">
        <f>U242-12.5*(J242+1)</f>
        <v/>
      </c>
      <c r="W242" s="15">
        <f>IFERROR(VLOOKUP(T242,V8_COHORT_TABLE,2,FALSE),IFERROR(VLOOKUP(P242&amp;"|"&amp;Q242&amp;"|ALL|"&amp;S242,V8_COHORT_TABLE,2,FALSE),IFERROR(VLOOKUP(P242&amp;"|ALL|ALL|"&amp;S242,V8_COHORT_TABLE,2,FALSE),IFERROR(VLOOKUP(P242&amp;"|ALL|ALL|ALL",V8_COHORT_TABLE,2,FALSE),VLOOKUP("GLOBAL",V8_COHORT_TABLE,2,FALSE)))))</f>
        <v/>
      </c>
      <c r="X242" s="15">
        <f>IFERROR(VLOOKUP(T242,V8_COHORT_TABLE,3,FALSE),IFERROR(VLOOKUP(P242&amp;"|"&amp;Q242&amp;"|ALL|"&amp;S242,V8_COHORT_TABLE,3,FALSE),IFERROR(VLOOKUP(P242&amp;"|ALL|ALL|"&amp;S242,V8_COHORT_TABLE,3,FALSE),IFERROR(VLOOKUP(P242&amp;"|ALL|ALL|ALL",V8_COHORT_TABLE,3,FALSE),VLOOKUP("GLOBAL",V8_COHORT_TABLE,3,FALSE)))))</f>
        <v/>
      </c>
      <c r="Y242" s="15">
        <f>IFERROR(VLOOKUP(T242,V8_COHORT_TABLE,4,FALSE),IFERROR(VLOOKUP(P242&amp;"|"&amp;Q242&amp;"|ALL|"&amp;S242,V8_COHORT_TABLE,4,FALSE),IFERROR(VLOOKUP(P242&amp;"|ALL|ALL|"&amp;S242,V8_COHORT_TABLE,4,FALSE),IFERROR(VLOOKUP(P242&amp;"|ALL|ALL|ALL",V8_COHORT_TABLE,4,FALSE),VLOOKUP("GLOBAL",V8_COHORT_TABLE,4,FALSE)))))</f>
        <v/>
      </c>
      <c r="Z242" s="15">
        <f>IFERROR(VLOOKUP(T242,V8_COHORT_TABLE,5,FALSE),IFERROR(VLOOKUP(P242&amp;"|"&amp;Q242&amp;"|ALL|"&amp;S242,V8_COHORT_TABLE,5,FALSE),IFERROR(VLOOKUP(P242&amp;"|ALL|ALL|"&amp;S242,V8_COHORT_TABLE,5,FALSE),IFERROR(VLOOKUP(P242&amp;"|ALL|ALL|ALL",V8_COHORT_TABLE,5,FALSE),VLOOKUP("GLOBAL",V8_COHORT_TABLE,5,FALSE)))))</f>
        <v/>
      </c>
      <c r="AA242" s="15">
        <f>W242+X242/(1+EXP(-(V242-Y242)/Z242))</f>
        <v/>
      </c>
      <c r="AB242" s="15">
        <f>IFERROR(VLOOKUP(T242,V8_COHORT_TABLE,6,FALSE),IFERROR(VLOOKUP(P242&amp;"|"&amp;Q242&amp;"|ALL|"&amp;S242,V8_COHORT_TABLE,6,FALSE),IFERROR(VLOOKUP(P242&amp;"|ALL|ALL|"&amp;S242,V8_COHORT_TABLE,6,FALSE),IFERROR(VLOOKUP(P242&amp;"|ALL|ALL|ALL",V8_COHORT_TABLE,6,FALSE),VLOOKUP("GLOBAL",V8_COHORT_TABLE,6,FALSE)))))</f>
        <v/>
      </c>
      <c r="AC242" s="15">
        <f>IFERROR(VLOOKUP(T242,V8_COHORT_TABLE,7,FALSE),IFERROR(VLOOKUP(P242&amp;"|"&amp;Q242&amp;"|ALL|"&amp;S242,V8_COHORT_TABLE,7,FALSE),IFERROR(VLOOKUP(P242&amp;"|ALL|ALL|"&amp;S242,V8_COHORT_TABLE,7,FALSE),IFERROR(VLOOKUP(P242&amp;"|ALL|ALL|ALL",V8_COHORT_TABLE,7,FALSE),VLOOKUP("GLOBAL",V8_COHORT_TABLE,7,FALSE)))))</f>
        <v/>
      </c>
      <c r="AD242" s="15">
        <f>IFERROR(VLOOKUP(T242,V8_COHORT_TABLE,8,FALSE),IFERROR(VLOOKUP(P242&amp;"|"&amp;Q242&amp;"|ALL|"&amp;S242,V8_COHORT_TABLE,8,FALSE),IFERROR(VLOOKUP(P242&amp;"|ALL|ALL|"&amp;S242,V8_COHORT_TABLE,8,FALSE),IFERROR(VLOOKUP(P242&amp;"|ALL|ALL|ALL",V8_COHORT_TABLE,8,FALSE),VLOOKUP("GLOBAL",V8_COHORT_TABLE,8,FALSE)))))</f>
        <v/>
      </c>
      <c r="AE242" s="15">
        <f>IFERROR(VLOOKUP(T242,V8_COHORT_TABLE,9,FALSE),IFERROR(VLOOKUP(P242&amp;"|"&amp;Q242&amp;"|ALL|"&amp;S242,V8_COHORT_TABLE,9,FALSE),IFERROR(VLOOKUP(P242&amp;"|ALL|ALL|"&amp;S242,V8_COHORT_TABLE,9,FALSE),IFERROR(VLOOKUP(P242&amp;"|ALL|ALL|ALL",V8_COHORT_TABLE,9,FALSE),VLOOKUP("GLOBAL",V8_COHORT_TABLE,9,FALSE)))))</f>
        <v/>
      </c>
      <c r="AF242" s="8">
        <f>IF(K242&lt;=0,AB242,IF(K242&gt;=240,AE242,IF(K242&lt;=24,AB242+(K242-0)/24*(AC242-AB242),IF(K242&lt;=96,AC242+(K242-24)/72*(AD242-AC242),AD242+(K242-96)/144*(AE242-AD242)))))</f>
        <v/>
      </c>
      <c r="AG242" s="8">
        <f>IF(IF(OR(L242="",NOT(ISNUMBER(L242))),360,MAX(0,MIN(480,(INT(L242/100)-INT(VALUE(F242)/100))*12+MOD(L242,100)-MOD(VALUE(F242),100))))&gt;0,1+V8_MTY_AMP*MAX(0,(V8_MTY_CUTOFF-(IF(OR(L242="",NOT(ISNUMBER(L242))),360,MAX(0,MIN(480,(INT(L242/100)-INT(VALUE(F242)/100))*12+MOD(L242,100)-MOD(VALUE(F242),100))))))/V8_MTY_CUTOFF),1)</f>
        <v/>
      </c>
      <c r="AH242" s="8">
        <f>IF(AND(IF(OR(M242="",NOT(ISNUMBER(M242))),0,MAX(0,MIN(24,(INT(VALUE(F242)/100)-INT(M242/100))*12+MOD(VALUE(F242),100)-MOD(M242,100))))&gt;0,IF(OR(M242="",NOT(ISNUMBER(M242))),0,MAX(0,MIN(24,(INT(VALUE(F242)/100)-INT(M242/100))*12+MOD(VALUE(F242),100)-MOD(M242,100))))&lt;=12),1+V8_LOCKOUT_AMP*EXP(-(IF(OR(M242="",NOT(ISNUMBER(M242))),0,MAX(0,MIN(24,(INT(VALUE(F242)/100)-INT(M242/100))*12+MOD(VALUE(F242),100)-MOD(M242,100)))))/V8_LOCKOUT_TAU),1)</f>
        <v/>
      </c>
      <c r="AI242" s="8">
        <f>MAX(V8_BURN_FLOOR,1-V8_BURN_SLOPE*MIN(1,MAX(0,O242)))</f>
        <v/>
      </c>
      <c r="AJ242" s="15">
        <f>MIN(AA242*AF242*AG242*AH242*AI242,0.2)</f>
        <v/>
      </c>
      <c r="AK242" s="16">
        <f>1-(1-AJ242)^12</f>
        <v/>
      </c>
    </row>
    <row r="243">
      <c r="A243" s="2" t="inlineStr">
        <is>
          <t>780170490734</t>
        </is>
      </c>
      <c r="B243" t="inlineStr">
        <is>
          <t>538</t>
        </is>
      </c>
      <c r="C243" t="inlineStr">
        <is>
          <t>538</t>
        </is>
      </c>
      <c r="D243" t="inlineStr">
        <is>
          <t>BELLWETHER ENTERPRISE REAL ESTATE CAPITA</t>
        </is>
      </c>
      <c r="E243" t="n">
        <v>2020</v>
      </c>
      <c r="F243" t="inlineStr">
        <is>
          <t>202602</t>
        </is>
      </c>
      <c r="G243" s="9" t="n">
        <v>2710215.67</v>
      </c>
      <c r="H243" s="13" t="n">
        <v>3.78</v>
      </c>
      <c r="I243" s="14" t="n">
        <v>447</v>
      </c>
      <c r="J243" s="14" t="n">
        <v>6</v>
      </c>
      <c r="K243" t="n">
        <v>67</v>
      </c>
      <c r="L243" t="n">
        <v>206008</v>
      </c>
      <c r="M243" t="n">
        <v>202108</v>
      </c>
      <c r="N243" t="n">
        <v>24</v>
      </c>
      <c r="O243" s="8" t="n">
        <v>0.3582089552238806</v>
      </c>
      <c r="P243">
        <f>IF(ISNUMBER(SEARCH("232",B243)),"232",IF(ISNUMBER(SEARCH("538",B243)),"538",IF(ISNUMBER(SEARCH("223a7",B243)),"223a7",IF(ISNUMBER(SEARCH("223f",B243)),"223f","OTHER"))))</f>
        <v/>
      </c>
      <c r="Q243">
        <f>IF(UPPER(C243)="NC","NC","RP")</f>
        <v/>
      </c>
      <c r="R243">
        <f>IF(G243&lt;5000000,"small",IF(G243&lt;25000000,"medium","large"))</f>
        <v/>
      </c>
      <c r="S243">
        <f>IF(K243&lt;36,"young",IF(K243&lt;120,"seasoned","aged"))</f>
        <v/>
      </c>
      <c r="T243">
        <f>P243&amp;"|"&amp;Q243&amp;"|"&amp;R243&amp;"|"&amp;S243</f>
        <v/>
      </c>
      <c r="U243" s="14">
        <f>H243*100-I243</f>
        <v/>
      </c>
      <c r="V243" s="14">
        <f>U243-12.5*(J243+1)</f>
        <v/>
      </c>
      <c r="W243" s="15">
        <f>IFERROR(VLOOKUP(T243,V8_COHORT_TABLE,2,FALSE),IFERROR(VLOOKUP(P243&amp;"|"&amp;Q243&amp;"|ALL|"&amp;S243,V8_COHORT_TABLE,2,FALSE),IFERROR(VLOOKUP(P243&amp;"|ALL|ALL|"&amp;S243,V8_COHORT_TABLE,2,FALSE),IFERROR(VLOOKUP(P243&amp;"|ALL|ALL|ALL",V8_COHORT_TABLE,2,FALSE),VLOOKUP("GLOBAL",V8_COHORT_TABLE,2,FALSE)))))</f>
        <v/>
      </c>
      <c r="X243" s="15">
        <f>IFERROR(VLOOKUP(T243,V8_COHORT_TABLE,3,FALSE),IFERROR(VLOOKUP(P243&amp;"|"&amp;Q243&amp;"|ALL|"&amp;S243,V8_COHORT_TABLE,3,FALSE),IFERROR(VLOOKUP(P243&amp;"|ALL|ALL|"&amp;S243,V8_COHORT_TABLE,3,FALSE),IFERROR(VLOOKUP(P243&amp;"|ALL|ALL|ALL",V8_COHORT_TABLE,3,FALSE),VLOOKUP("GLOBAL",V8_COHORT_TABLE,3,FALSE)))))</f>
        <v/>
      </c>
      <c r="Y243" s="15">
        <f>IFERROR(VLOOKUP(T243,V8_COHORT_TABLE,4,FALSE),IFERROR(VLOOKUP(P243&amp;"|"&amp;Q243&amp;"|ALL|"&amp;S243,V8_COHORT_TABLE,4,FALSE),IFERROR(VLOOKUP(P243&amp;"|ALL|ALL|"&amp;S243,V8_COHORT_TABLE,4,FALSE),IFERROR(VLOOKUP(P243&amp;"|ALL|ALL|ALL",V8_COHORT_TABLE,4,FALSE),VLOOKUP("GLOBAL",V8_COHORT_TABLE,4,FALSE)))))</f>
        <v/>
      </c>
      <c r="Z243" s="15">
        <f>IFERROR(VLOOKUP(T243,V8_COHORT_TABLE,5,FALSE),IFERROR(VLOOKUP(P243&amp;"|"&amp;Q243&amp;"|ALL|"&amp;S243,V8_COHORT_TABLE,5,FALSE),IFERROR(VLOOKUP(P243&amp;"|ALL|ALL|"&amp;S243,V8_COHORT_TABLE,5,FALSE),IFERROR(VLOOKUP(P243&amp;"|ALL|ALL|ALL",V8_COHORT_TABLE,5,FALSE),VLOOKUP("GLOBAL",V8_COHORT_TABLE,5,FALSE)))))</f>
        <v/>
      </c>
      <c r="AA243" s="15">
        <f>W243+X243/(1+EXP(-(V243-Y243)/Z243))</f>
        <v/>
      </c>
      <c r="AB243" s="15">
        <f>IFERROR(VLOOKUP(T243,V8_COHORT_TABLE,6,FALSE),IFERROR(VLOOKUP(P243&amp;"|"&amp;Q243&amp;"|ALL|"&amp;S243,V8_COHORT_TABLE,6,FALSE),IFERROR(VLOOKUP(P243&amp;"|ALL|ALL|"&amp;S243,V8_COHORT_TABLE,6,FALSE),IFERROR(VLOOKUP(P243&amp;"|ALL|ALL|ALL",V8_COHORT_TABLE,6,FALSE),VLOOKUP("GLOBAL",V8_COHORT_TABLE,6,FALSE)))))</f>
        <v/>
      </c>
      <c r="AC243" s="15">
        <f>IFERROR(VLOOKUP(T243,V8_COHORT_TABLE,7,FALSE),IFERROR(VLOOKUP(P243&amp;"|"&amp;Q243&amp;"|ALL|"&amp;S243,V8_COHORT_TABLE,7,FALSE),IFERROR(VLOOKUP(P243&amp;"|ALL|ALL|"&amp;S243,V8_COHORT_TABLE,7,FALSE),IFERROR(VLOOKUP(P243&amp;"|ALL|ALL|ALL",V8_COHORT_TABLE,7,FALSE),VLOOKUP("GLOBAL",V8_COHORT_TABLE,7,FALSE)))))</f>
        <v/>
      </c>
      <c r="AD243" s="15">
        <f>IFERROR(VLOOKUP(T243,V8_COHORT_TABLE,8,FALSE),IFERROR(VLOOKUP(P243&amp;"|"&amp;Q243&amp;"|ALL|"&amp;S243,V8_COHORT_TABLE,8,FALSE),IFERROR(VLOOKUP(P243&amp;"|ALL|ALL|"&amp;S243,V8_COHORT_TABLE,8,FALSE),IFERROR(VLOOKUP(P243&amp;"|ALL|ALL|ALL",V8_COHORT_TABLE,8,FALSE),VLOOKUP("GLOBAL",V8_COHORT_TABLE,8,FALSE)))))</f>
        <v/>
      </c>
      <c r="AE243" s="15">
        <f>IFERROR(VLOOKUP(T243,V8_COHORT_TABLE,9,FALSE),IFERROR(VLOOKUP(P243&amp;"|"&amp;Q243&amp;"|ALL|"&amp;S243,V8_COHORT_TABLE,9,FALSE),IFERROR(VLOOKUP(P243&amp;"|ALL|ALL|"&amp;S243,V8_COHORT_TABLE,9,FALSE),IFERROR(VLOOKUP(P243&amp;"|ALL|ALL|ALL",V8_COHORT_TABLE,9,FALSE),VLOOKUP("GLOBAL",V8_COHORT_TABLE,9,FALSE)))))</f>
        <v/>
      </c>
      <c r="AF243" s="8">
        <f>IF(K243&lt;=0,AB243,IF(K243&gt;=240,AE243,IF(K243&lt;=24,AB243+(K243-0)/24*(AC243-AB243),IF(K243&lt;=96,AC243+(K243-24)/72*(AD243-AC243),AD243+(K243-96)/144*(AE243-AD243)))))</f>
        <v/>
      </c>
      <c r="AG243" s="8">
        <f>IF(IF(OR(L243="",NOT(ISNUMBER(L243))),360,MAX(0,MIN(480,(INT(L243/100)-INT(VALUE(F243)/100))*12+MOD(L243,100)-MOD(VALUE(F243),100))))&gt;0,1+V8_MTY_AMP*MAX(0,(V8_MTY_CUTOFF-(IF(OR(L243="",NOT(ISNUMBER(L243))),360,MAX(0,MIN(480,(INT(L243/100)-INT(VALUE(F243)/100))*12+MOD(L243,100)-MOD(VALUE(F243),100))))))/V8_MTY_CUTOFF),1)</f>
        <v/>
      </c>
      <c r="AH243" s="8">
        <f>IF(AND(IF(OR(M243="",NOT(ISNUMBER(M243))),0,MAX(0,MIN(24,(INT(VALUE(F243)/100)-INT(M243/100))*12+MOD(VALUE(F243),100)-MOD(M243,100))))&gt;0,IF(OR(M243="",NOT(ISNUMBER(M243))),0,MAX(0,MIN(24,(INT(VALUE(F243)/100)-INT(M243/100))*12+MOD(VALUE(F243),100)-MOD(M243,100))))&lt;=12),1+V8_LOCKOUT_AMP*EXP(-(IF(OR(M243="",NOT(ISNUMBER(M243))),0,MAX(0,MIN(24,(INT(VALUE(F243)/100)-INT(M243/100))*12+MOD(VALUE(F243),100)-MOD(M243,100)))))/V8_LOCKOUT_TAU),1)</f>
        <v/>
      </c>
      <c r="AI243" s="8">
        <f>MAX(V8_BURN_FLOOR,1-V8_BURN_SLOPE*MIN(1,MAX(0,O243)))</f>
        <v/>
      </c>
      <c r="AJ243" s="15">
        <f>MIN(AA243*AF243*AG243*AH243*AI243,0.2)</f>
        <v/>
      </c>
      <c r="AK243" s="16">
        <f>1-(1-AJ243)^12</f>
        <v/>
      </c>
    </row>
    <row r="244">
      <c r="A244" s="2" t="inlineStr">
        <is>
          <t>400851006696</t>
        </is>
      </c>
      <c r="B244" t="inlineStr">
        <is>
          <t>538</t>
        </is>
      </c>
      <c r="C244" t="inlineStr">
        <is>
          <t>538</t>
        </is>
      </c>
      <c r="D244" t="inlineStr">
        <is>
          <t>BELLWETHER ENTERPRISE REAL ESTATE CAPITA</t>
        </is>
      </c>
      <c r="E244" t="n">
        <v>2022</v>
      </c>
      <c r="F244" t="inlineStr">
        <is>
          <t>202602</t>
        </is>
      </c>
      <c r="G244" s="9" t="n">
        <v>1236900.2</v>
      </c>
      <c r="H244" s="13" t="n">
        <v>3.89</v>
      </c>
      <c r="I244" s="14" t="n">
        <v>447</v>
      </c>
      <c r="J244" s="14" t="n">
        <v>8</v>
      </c>
      <c r="K244" t="n">
        <v>38</v>
      </c>
      <c r="L244" t="n">
        <v>205301</v>
      </c>
      <c r="M244" t="inlineStr"/>
      <c r="N244" t="n">
        <v>0</v>
      </c>
      <c r="O244" s="8" t="n">
        <v>0</v>
      </c>
      <c r="P244">
        <f>IF(ISNUMBER(SEARCH("232",B244)),"232",IF(ISNUMBER(SEARCH("538",B244)),"538",IF(ISNUMBER(SEARCH("223a7",B244)),"223a7",IF(ISNUMBER(SEARCH("223f",B244)),"223f","OTHER"))))</f>
        <v/>
      </c>
      <c r="Q244">
        <f>IF(UPPER(C244)="NC","NC","RP")</f>
        <v/>
      </c>
      <c r="R244">
        <f>IF(G244&lt;5000000,"small",IF(G244&lt;25000000,"medium","large"))</f>
        <v/>
      </c>
      <c r="S244">
        <f>IF(K244&lt;36,"young",IF(K244&lt;120,"seasoned","aged"))</f>
        <v/>
      </c>
      <c r="T244">
        <f>P244&amp;"|"&amp;Q244&amp;"|"&amp;R244&amp;"|"&amp;S244</f>
        <v/>
      </c>
      <c r="U244" s="14">
        <f>H244*100-I244</f>
        <v/>
      </c>
      <c r="V244" s="14">
        <f>U244-12.5*(J244+1)</f>
        <v/>
      </c>
      <c r="W244" s="15">
        <f>IFERROR(VLOOKUP(T244,V8_COHORT_TABLE,2,FALSE),IFERROR(VLOOKUP(P244&amp;"|"&amp;Q244&amp;"|ALL|"&amp;S244,V8_COHORT_TABLE,2,FALSE),IFERROR(VLOOKUP(P244&amp;"|ALL|ALL|"&amp;S244,V8_COHORT_TABLE,2,FALSE),IFERROR(VLOOKUP(P244&amp;"|ALL|ALL|ALL",V8_COHORT_TABLE,2,FALSE),VLOOKUP("GLOBAL",V8_COHORT_TABLE,2,FALSE)))))</f>
        <v/>
      </c>
      <c r="X244" s="15">
        <f>IFERROR(VLOOKUP(T244,V8_COHORT_TABLE,3,FALSE),IFERROR(VLOOKUP(P244&amp;"|"&amp;Q244&amp;"|ALL|"&amp;S244,V8_COHORT_TABLE,3,FALSE),IFERROR(VLOOKUP(P244&amp;"|ALL|ALL|"&amp;S244,V8_COHORT_TABLE,3,FALSE),IFERROR(VLOOKUP(P244&amp;"|ALL|ALL|ALL",V8_COHORT_TABLE,3,FALSE),VLOOKUP("GLOBAL",V8_COHORT_TABLE,3,FALSE)))))</f>
        <v/>
      </c>
      <c r="Y244" s="15">
        <f>IFERROR(VLOOKUP(T244,V8_COHORT_TABLE,4,FALSE),IFERROR(VLOOKUP(P244&amp;"|"&amp;Q244&amp;"|ALL|"&amp;S244,V8_COHORT_TABLE,4,FALSE),IFERROR(VLOOKUP(P244&amp;"|ALL|ALL|"&amp;S244,V8_COHORT_TABLE,4,FALSE),IFERROR(VLOOKUP(P244&amp;"|ALL|ALL|ALL",V8_COHORT_TABLE,4,FALSE),VLOOKUP("GLOBAL",V8_COHORT_TABLE,4,FALSE)))))</f>
        <v/>
      </c>
      <c r="Z244" s="15">
        <f>IFERROR(VLOOKUP(T244,V8_COHORT_TABLE,5,FALSE),IFERROR(VLOOKUP(P244&amp;"|"&amp;Q244&amp;"|ALL|"&amp;S244,V8_COHORT_TABLE,5,FALSE),IFERROR(VLOOKUP(P244&amp;"|ALL|ALL|"&amp;S244,V8_COHORT_TABLE,5,FALSE),IFERROR(VLOOKUP(P244&amp;"|ALL|ALL|ALL",V8_COHORT_TABLE,5,FALSE),VLOOKUP("GLOBAL",V8_COHORT_TABLE,5,FALSE)))))</f>
        <v/>
      </c>
      <c r="AA244" s="15">
        <f>W244+X244/(1+EXP(-(V244-Y244)/Z244))</f>
        <v/>
      </c>
      <c r="AB244" s="15">
        <f>IFERROR(VLOOKUP(T244,V8_COHORT_TABLE,6,FALSE),IFERROR(VLOOKUP(P244&amp;"|"&amp;Q244&amp;"|ALL|"&amp;S244,V8_COHORT_TABLE,6,FALSE),IFERROR(VLOOKUP(P244&amp;"|ALL|ALL|"&amp;S244,V8_COHORT_TABLE,6,FALSE),IFERROR(VLOOKUP(P244&amp;"|ALL|ALL|ALL",V8_COHORT_TABLE,6,FALSE),VLOOKUP("GLOBAL",V8_COHORT_TABLE,6,FALSE)))))</f>
        <v/>
      </c>
      <c r="AC244" s="15">
        <f>IFERROR(VLOOKUP(T244,V8_COHORT_TABLE,7,FALSE),IFERROR(VLOOKUP(P244&amp;"|"&amp;Q244&amp;"|ALL|"&amp;S244,V8_COHORT_TABLE,7,FALSE),IFERROR(VLOOKUP(P244&amp;"|ALL|ALL|"&amp;S244,V8_COHORT_TABLE,7,FALSE),IFERROR(VLOOKUP(P244&amp;"|ALL|ALL|ALL",V8_COHORT_TABLE,7,FALSE),VLOOKUP("GLOBAL",V8_COHORT_TABLE,7,FALSE)))))</f>
        <v/>
      </c>
      <c r="AD244" s="15">
        <f>IFERROR(VLOOKUP(T244,V8_COHORT_TABLE,8,FALSE),IFERROR(VLOOKUP(P244&amp;"|"&amp;Q244&amp;"|ALL|"&amp;S244,V8_COHORT_TABLE,8,FALSE),IFERROR(VLOOKUP(P244&amp;"|ALL|ALL|"&amp;S244,V8_COHORT_TABLE,8,FALSE),IFERROR(VLOOKUP(P244&amp;"|ALL|ALL|ALL",V8_COHORT_TABLE,8,FALSE),VLOOKUP("GLOBAL",V8_COHORT_TABLE,8,FALSE)))))</f>
        <v/>
      </c>
      <c r="AE244" s="15">
        <f>IFERROR(VLOOKUP(T244,V8_COHORT_TABLE,9,FALSE),IFERROR(VLOOKUP(P244&amp;"|"&amp;Q244&amp;"|ALL|"&amp;S244,V8_COHORT_TABLE,9,FALSE),IFERROR(VLOOKUP(P244&amp;"|ALL|ALL|"&amp;S244,V8_COHORT_TABLE,9,FALSE),IFERROR(VLOOKUP(P244&amp;"|ALL|ALL|ALL",V8_COHORT_TABLE,9,FALSE),VLOOKUP("GLOBAL",V8_COHORT_TABLE,9,FALSE)))))</f>
        <v/>
      </c>
      <c r="AF244" s="8">
        <f>IF(K244&lt;=0,AB244,IF(K244&gt;=240,AE244,IF(K244&lt;=24,AB244+(K244-0)/24*(AC244-AB244),IF(K244&lt;=96,AC244+(K244-24)/72*(AD244-AC244),AD244+(K244-96)/144*(AE244-AD244)))))</f>
        <v/>
      </c>
      <c r="AG244" s="8">
        <f>IF(IF(OR(L244="",NOT(ISNUMBER(L244))),360,MAX(0,MIN(480,(INT(L244/100)-INT(VALUE(F244)/100))*12+MOD(L244,100)-MOD(VALUE(F244),100))))&gt;0,1+V8_MTY_AMP*MAX(0,(V8_MTY_CUTOFF-(IF(OR(L244="",NOT(ISNUMBER(L244))),360,MAX(0,MIN(480,(INT(L244/100)-INT(VALUE(F244)/100))*12+MOD(L244,100)-MOD(VALUE(F244),100))))))/V8_MTY_CUTOFF),1)</f>
        <v/>
      </c>
      <c r="AH244" s="8">
        <f>IF(AND(IF(OR(M244="",NOT(ISNUMBER(M244))),0,MAX(0,MIN(24,(INT(VALUE(F244)/100)-INT(M244/100))*12+MOD(VALUE(F244),100)-MOD(M244,100))))&gt;0,IF(OR(M244="",NOT(ISNUMBER(M244))),0,MAX(0,MIN(24,(INT(VALUE(F244)/100)-INT(M244/100))*12+MOD(VALUE(F244),100)-MOD(M244,100))))&lt;=12),1+V8_LOCKOUT_AMP*EXP(-(IF(OR(M244="",NOT(ISNUMBER(M244))),0,MAX(0,MIN(24,(INT(VALUE(F244)/100)-INT(M244/100))*12+MOD(VALUE(F244),100)-MOD(M244,100)))))/V8_LOCKOUT_TAU),1)</f>
        <v/>
      </c>
      <c r="AI244" s="8">
        <f>MAX(V8_BURN_FLOOR,1-V8_BURN_SLOPE*MIN(1,MAX(0,O244)))</f>
        <v/>
      </c>
      <c r="AJ244" s="15">
        <f>MIN(AA244*AF244*AG244*AH244*AI244,0.2)</f>
        <v/>
      </c>
      <c r="AK244" s="16">
        <f>1-(1-AJ244)^12</f>
        <v/>
      </c>
    </row>
    <row r="245">
      <c r="A245" s="2" t="inlineStr">
        <is>
          <t>000006411084</t>
        </is>
      </c>
      <c r="B245" t="inlineStr">
        <is>
          <t>223f</t>
        </is>
      </c>
      <c r="C245" t="inlineStr">
        <is>
          <t>RP</t>
        </is>
      </c>
      <c r="D245" t="inlineStr">
        <is>
          <t>PGIM REAL ESTATE AGENCY FINANCING, LLC.</t>
        </is>
      </c>
      <c r="E245" t="n">
        <v>2009</v>
      </c>
      <c r="F245" t="inlineStr">
        <is>
          <t>202602</t>
        </is>
      </c>
      <c r="G245" s="9" t="n">
        <v>2217499.69</v>
      </c>
      <c r="H245" s="13" t="n">
        <v>3.77</v>
      </c>
      <c r="I245" s="14" t="n">
        <v>447</v>
      </c>
      <c r="J245" s="14" t="n">
        <v>0</v>
      </c>
      <c r="K245" t="n">
        <v>205</v>
      </c>
      <c r="L245" t="n">
        <v>204402</v>
      </c>
      <c r="M245" t="inlineStr"/>
      <c r="N245" t="n">
        <v>33</v>
      </c>
      <c r="O245" s="8" t="n">
        <v>0.1609756097560976</v>
      </c>
      <c r="P245">
        <f>IF(ISNUMBER(SEARCH("232",B245)),"232",IF(ISNUMBER(SEARCH("538",B245)),"538",IF(ISNUMBER(SEARCH("223a7",B245)),"223a7",IF(ISNUMBER(SEARCH("223f",B245)),"223f","OTHER"))))</f>
        <v/>
      </c>
      <c r="Q245">
        <f>IF(UPPER(C245)="NC","NC","RP")</f>
        <v/>
      </c>
      <c r="R245">
        <f>IF(G245&lt;5000000,"small",IF(G245&lt;25000000,"medium","large"))</f>
        <v/>
      </c>
      <c r="S245">
        <f>IF(K245&lt;36,"young",IF(K245&lt;120,"seasoned","aged"))</f>
        <v/>
      </c>
      <c r="T245">
        <f>P245&amp;"|"&amp;Q245&amp;"|"&amp;R245&amp;"|"&amp;S245</f>
        <v/>
      </c>
      <c r="U245" s="14">
        <f>H245*100-I245</f>
        <v/>
      </c>
      <c r="V245" s="14">
        <f>U245-12.5*(J245+1)</f>
        <v/>
      </c>
      <c r="W245" s="15">
        <f>IFERROR(VLOOKUP(T245,V8_COHORT_TABLE,2,FALSE),IFERROR(VLOOKUP(P245&amp;"|"&amp;Q245&amp;"|ALL|"&amp;S245,V8_COHORT_TABLE,2,FALSE),IFERROR(VLOOKUP(P245&amp;"|ALL|ALL|"&amp;S245,V8_COHORT_TABLE,2,FALSE),IFERROR(VLOOKUP(P245&amp;"|ALL|ALL|ALL",V8_COHORT_TABLE,2,FALSE),VLOOKUP("GLOBAL",V8_COHORT_TABLE,2,FALSE)))))</f>
        <v/>
      </c>
      <c r="X245" s="15">
        <f>IFERROR(VLOOKUP(T245,V8_COHORT_TABLE,3,FALSE),IFERROR(VLOOKUP(P245&amp;"|"&amp;Q245&amp;"|ALL|"&amp;S245,V8_COHORT_TABLE,3,FALSE),IFERROR(VLOOKUP(P245&amp;"|ALL|ALL|"&amp;S245,V8_COHORT_TABLE,3,FALSE),IFERROR(VLOOKUP(P245&amp;"|ALL|ALL|ALL",V8_COHORT_TABLE,3,FALSE),VLOOKUP("GLOBAL",V8_COHORT_TABLE,3,FALSE)))))</f>
        <v/>
      </c>
      <c r="Y245" s="15">
        <f>IFERROR(VLOOKUP(T245,V8_COHORT_TABLE,4,FALSE),IFERROR(VLOOKUP(P245&amp;"|"&amp;Q245&amp;"|ALL|"&amp;S245,V8_COHORT_TABLE,4,FALSE),IFERROR(VLOOKUP(P245&amp;"|ALL|ALL|"&amp;S245,V8_COHORT_TABLE,4,FALSE),IFERROR(VLOOKUP(P245&amp;"|ALL|ALL|ALL",V8_COHORT_TABLE,4,FALSE),VLOOKUP("GLOBAL",V8_COHORT_TABLE,4,FALSE)))))</f>
        <v/>
      </c>
      <c r="Z245" s="15">
        <f>IFERROR(VLOOKUP(T245,V8_COHORT_TABLE,5,FALSE),IFERROR(VLOOKUP(P245&amp;"|"&amp;Q245&amp;"|ALL|"&amp;S245,V8_COHORT_TABLE,5,FALSE),IFERROR(VLOOKUP(P245&amp;"|ALL|ALL|"&amp;S245,V8_COHORT_TABLE,5,FALSE),IFERROR(VLOOKUP(P245&amp;"|ALL|ALL|ALL",V8_COHORT_TABLE,5,FALSE),VLOOKUP("GLOBAL",V8_COHORT_TABLE,5,FALSE)))))</f>
        <v/>
      </c>
      <c r="AA245" s="15">
        <f>W245+X245/(1+EXP(-(V245-Y245)/Z245))</f>
        <v/>
      </c>
      <c r="AB245" s="15">
        <f>IFERROR(VLOOKUP(T245,V8_COHORT_TABLE,6,FALSE),IFERROR(VLOOKUP(P245&amp;"|"&amp;Q245&amp;"|ALL|"&amp;S245,V8_COHORT_TABLE,6,FALSE),IFERROR(VLOOKUP(P245&amp;"|ALL|ALL|"&amp;S245,V8_COHORT_TABLE,6,FALSE),IFERROR(VLOOKUP(P245&amp;"|ALL|ALL|ALL",V8_COHORT_TABLE,6,FALSE),VLOOKUP("GLOBAL",V8_COHORT_TABLE,6,FALSE)))))</f>
        <v/>
      </c>
      <c r="AC245" s="15">
        <f>IFERROR(VLOOKUP(T245,V8_COHORT_TABLE,7,FALSE),IFERROR(VLOOKUP(P245&amp;"|"&amp;Q245&amp;"|ALL|"&amp;S245,V8_COHORT_TABLE,7,FALSE),IFERROR(VLOOKUP(P245&amp;"|ALL|ALL|"&amp;S245,V8_COHORT_TABLE,7,FALSE),IFERROR(VLOOKUP(P245&amp;"|ALL|ALL|ALL",V8_COHORT_TABLE,7,FALSE),VLOOKUP("GLOBAL",V8_COHORT_TABLE,7,FALSE)))))</f>
        <v/>
      </c>
      <c r="AD245" s="15">
        <f>IFERROR(VLOOKUP(T245,V8_COHORT_TABLE,8,FALSE),IFERROR(VLOOKUP(P245&amp;"|"&amp;Q245&amp;"|ALL|"&amp;S245,V8_COHORT_TABLE,8,FALSE),IFERROR(VLOOKUP(P245&amp;"|ALL|ALL|"&amp;S245,V8_COHORT_TABLE,8,FALSE),IFERROR(VLOOKUP(P245&amp;"|ALL|ALL|ALL",V8_COHORT_TABLE,8,FALSE),VLOOKUP("GLOBAL",V8_COHORT_TABLE,8,FALSE)))))</f>
        <v/>
      </c>
      <c r="AE245" s="15">
        <f>IFERROR(VLOOKUP(T245,V8_COHORT_TABLE,9,FALSE),IFERROR(VLOOKUP(P245&amp;"|"&amp;Q245&amp;"|ALL|"&amp;S245,V8_COHORT_TABLE,9,FALSE),IFERROR(VLOOKUP(P245&amp;"|ALL|ALL|"&amp;S245,V8_COHORT_TABLE,9,FALSE),IFERROR(VLOOKUP(P245&amp;"|ALL|ALL|ALL",V8_COHORT_TABLE,9,FALSE),VLOOKUP("GLOBAL",V8_COHORT_TABLE,9,FALSE)))))</f>
        <v/>
      </c>
      <c r="AF245" s="8">
        <f>IF(K245&lt;=0,AB245,IF(K245&gt;=240,AE245,IF(K245&lt;=24,AB245+(K245-0)/24*(AC245-AB245),IF(K245&lt;=96,AC245+(K245-24)/72*(AD245-AC245),AD245+(K245-96)/144*(AE245-AD245)))))</f>
        <v/>
      </c>
      <c r="AG245" s="8">
        <f>IF(IF(OR(L245="",NOT(ISNUMBER(L245))),360,MAX(0,MIN(480,(INT(L245/100)-INT(VALUE(F245)/100))*12+MOD(L245,100)-MOD(VALUE(F245),100))))&gt;0,1+V8_MTY_AMP*MAX(0,(V8_MTY_CUTOFF-(IF(OR(L245="",NOT(ISNUMBER(L245))),360,MAX(0,MIN(480,(INT(L245/100)-INT(VALUE(F245)/100))*12+MOD(L245,100)-MOD(VALUE(F245),100))))))/V8_MTY_CUTOFF),1)</f>
        <v/>
      </c>
      <c r="AH245" s="8">
        <f>IF(AND(IF(OR(M245="",NOT(ISNUMBER(M245))),0,MAX(0,MIN(24,(INT(VALUE(F245)/100)-INT(M245/100))*12+MOD(VALUE(F245),100)-MOD(M245,100))))&gt;0,IF(OR(M245="",NOT(ISNUMBER(M245))),0,MAX(0,MIN(24,(INT(VALUE(F245)/100)-INT(M245/100))*12+MOD(VALUE(F245),100)-MOD(M245,100))))&lt;=12),1+V8_LOCKOUT_AMP*EXP(-(IF(OR(M245="",NOT(ISNUMBER(M245))),0,MAX(0,MIN(24,(INT(VALUE(F245)/100)-INT(M245/100))*12+MOD(VALUE(F245),100)-MOD(M245,100)))))/V8_LOCKOUT_TAU),1)</f>
        <v/>
      </c>
      <c r="AI245" s="8">
        <f>MAX(V8_BURN_FLOOR,1-V8_BURN_SLOPE*MIN(1,MAX(0,O245)))</f>
        <v/>
      </c>
      <c r="AJ245" s="15">
        <f>MIN(AA245*AF245*AG245*AH245*AI245,0.2)</f>
        <v/>
      </c>
      <c r="AK245" s="16">
        <f>1-(1-AJ245)^12</f>
        <v/>
      </c>
    </row>
    <row r="246">
      <c r="A246" s="2" t="inlineStr">
        <is>
          <t>000003435314</t>
        </is>
      </c>
      <c r="B246" t="inlineStr">
        <is>
          <t>221d4</t>
        </is>
      </c>
      <c r="C246" t="inlineStr">
        <is>
          <t>NC</t>
        </is>
      </c>
      <c r="D246" t="inlineStr">
        <is>
          <t>PGIM REAL ESTATE AGENCY FINANCING, LLC.</t>
        </is>
      </c>
      <c r="E246" t="n">
        <v>2012</v>
      </c>
      <c r="F246" t="inlineStr">
        <is>
          <t>202602</t>
        </is>
      </c>
      <c r="G246" s="9" t="n">
        <v>12296442.63</v>
      </c>
      <c r="H246" s="13" t="n">
        <v>2.54</v>
      </c>
      <c r="I246" s="14" t="n">
        <v>447</v>
      </c>
      <c r="J246" s="14" t="n">
        <v>6</v>
      </c>
      <c r="K246" t="n">
        <v>158</v>
      </c>
      <c r="L246" t="n">
        <v>205107</v>
      </c>
      <c r="M246" t="inlineStr"/>
      <c r="N246" t="n">
        <v>11</v>
      </c>
      <c r="O246" s="8" t="n">
        <v>0.06962025316455696</v>
      </c>
      <c r="P246">
        <f>IF(ISNUMBER(SEARCH("232",B246)),"232",IF(ISNUMBER(SEARCH("538",B246)),"538",IF(ISNUMBER(SEARCH("223a7",B246)),"223a7",IF(ISNUMBER(SEARCH("223f",B246)),"223f","OTHER"))))</f>
        <v/>
      </c>
      <c r="Q246">
        <f>IF(UPPER(C246)="NC","NC","RP")</f>
        <v/>
      </c>
      <c r="R246">
        <f>IF(G246&lt;5000000,"small",IF(G246&lt;25000000,"medium","large"))</f>
        <v/>
      </c>
      <c r="S246">
        <f>IF(K246&lt;36,"young",IF(K246&lt;120,"seasoned","aged"))</f>
        <v/>
      </c>
      <c r="T246">
        <f>P246&amp;"|"&amp;Q246&amp;"|"&amp;R246&amp;"|"&amp;S246</f>
        <v/>
      </c>
      <c r="U246" s="14">
        <f>H246*100-I246</f>
        <v/>
      </c>
      <c r="V246" s="14">
        <f>U246-12.5*(J246+1)</f>
        <v/>
      </c>
      <c r="W246" s="15">
        <f>IFERROR(VLOOKUP(T246,V8_COHORT_TABLE,2,FALSE),IFERROR(VLOOKUP(P246&amp;"|"&amp;Q246&amp;"|ALL|"&amp;S246,V8_COHORT_TABLE,2,FALSE),IFERROR(VLOOKUP(P246&amp;"|ALL|ALL|"&amp;S246,V8_COHORT_TABLE,2,FALSE),IFERROR(VLOOKUP(P246&amp;"|ALL|ALL|ALL",V8_COHORT_TABLE,2,FALSE),VLOOKUP("GLOBAL",V8_COHORT_TABLE,2,FALSE)))))</f>
        <v/>
      </c>
      <c r="X246" s="15">
        <f>IFERROR(VLOOKUP(T246,V8_COHORT_TABLE,3,FALSE),IFERROR(VLOOKUP(P246&amp;"|"&amp;Q246&amp;"|ALL|"&amp;S246,V8_COHORT_TABLE,3,FALSE),IFERROR(VLOOKUP(P246&amp;"|ALL|ALL|"&amp;S246,V8_COHORT_TABLE,3,FALSE),IFERROR(VLOOKUP(P246&amp;"|ALL|ALL|ALL",V8_COHORT_TABLE,3,FALSE),VLOOKUP("GLOBAL",V8_COHORT_TABLE,3,FALSE)))))</f>
        <v/>
      </c>
      <c r="Y246" s="15">
        <f>IFERROR(VLOOKUP(T246,V8_COHORT_TABLE,4,FALSE),IFERROR(VLOOKUP(P246&amp;"|"&amp;Q246&amp;"|ALL|"&amp;S246,V8_COHORT_TABLE,4,FALSE),IFERROR(VLOOKUP(P246&amp;"|ALL|ALL|"&amp;S246,V8_COHORT_TABLE,4,FALSE),IFERROR(VLOOKUP(P246&amp;"|ALL|ALL|ALL",V8_COHORT_TABLE,4,FALSE),VLOOKUP("GLOBAL",V8_COHORT_TABLE,4,FALSE)))))</f>
        <v/>
      </c>
      <c r="Z246" s="15">
        <f>IFERROR(VLOOKUP(T246,V8_COHORT_TABLE,5,FALSE),IFERROR(VLOOKUP(P246&amp;"|"&amp;Q246&amp;"|ALL|"&amp;S246,V8_COHORT_TABLE,5,FALSE),IFERROR(VLOOKUP(P246&amp;"|ALL|ALL|"&amp;S246,V8_COHORT_TABLE,5,FALSE),IFERROR(VLOOKUP(P246&amp;"|ALL|ALL|ALL",V8_COHORT_TABLE,5,FALSE),VLOOKUP("GLOBAL",V8_COHORT_TABLE,5,FALSE)))))</f>
        <v/>
      </c>
      <c r="AA246" s="15">
        <f>W246+X246/(1+EXP(-(V246-Y246)/Z246))</f>
        <v/>
      </c>
      <c r="AB246" s="15">
        <f>IFERROR(VLOOKUP(T246,V8_COHORT_TABLE,6,FALSE),IFERROR(VLOOKUP(P246&amp;"|"&amp;Q246&amp;"|ALL|"&amp;S246,V8_COHORT_TABLE,6,FALSE),IFERROR(VLOOKUP(P246&amp;"|ALL|ALL|"&amp;S246,V8_COHORT_TABLE,6,FALSE),IFERROR(VLOOKUP(P246&amp;"|ALL|ALL|ALL",V8_COHORT_TABLE,6,FALSE),VLOOKUP("GLOBAL",V8_COHORT_TABLE,6,FALSE)))))</f>
        <v/>
      </c>
      <c r="AC246" s="15">
        <f>IFERROR(VLOOKUP(T246,V8_COHORT_TABLE,7,FALSE),IFERROR(VLOOKUP(P246&amp;"|"&amp;Q246&amp;"|ALL|"&amp;S246,V8_COHORT_TABLE,7,FALSE),IFERROR(VLOOKUP(P246&amp;"|ALL|ALL|"&amp;S246,V8_COHORT_TABLE,7,FALSE),IFERROR(VLOOKUP(P246&amp;"|ALL|ALL|ALL",V8_COHORT_TABLE,7,FALSE),VLOOKUP("GLOBAL",V8_COHORT_TABLE,7,FALSE)))))</f>
        <v/>
      </c>
      <c r="AD246" s="15">
        <f>IFERROR(VLOOKUP(T246,V8_COHORT_TABLE,8,FALSE),IFERROR(VLOOKUP(P246&amp;"|"&amp;Q246&amp;"|ALL|"&amp;S246,V8_COHORT_TABLE,8,FALSE),IFERROR(VLOOKUP(P246&amp;"|ALL|ALL|"&amp;S246,V8_COHORT_TABLE,8,FALSE),IFERROR(VLOOKUP(P246&amp;"|ALL|ALL|ALL",V8_COHORT_TABLE,8,FALSE),VLOOKUP("GLOBAL",V8_COHORT_TABLE,8,FALSE)))))</f>
        <v/>
      </c>
      <c r="AE246" s="15">
        <f>IFERROR(VLOOKUP(T246,V8_COHORT_TABLE,9,FALSE),IFERROR(VLOOKUP(P246&amp;"|"&amp;Q246&amp;"|ALL|"&amp;S246,V8_COHORT_TABLE,9,FALSE),IFERROR(VLOOKUP(P246&amp;"|ALL|ALL|"&amp;S246,V8_COHORT_TABLE,9,FALSE),IFERROR(VLOOKUP(P246&amp;"|ALL|ALL|ALL",V8_COHORT_TABLE,9,FALSE),VLOOKUP("GLOBAL",V8_COHORT_TABLE,9,FALSE)))))</f>
        <v/>
      </c>
      <c r="AF246" s="8">
        <f>IF(K246&lt;=0,AB246,IF(K246&gt;=240,AE246,IF(K246&lt;=24,AB246+(K246-0)/24*(AC246-AB246),IF(K246&lt;=96,AC246+(K246-24)/72*(AD246-AC246),AD246+(K246-96)/144*(AE246-AD246)))))</f>
        <v/>
      </c>
      <c r="AG246" s="8">
        <f>IF(IF(OR(L246="",NOT(ISNUMBER(L246))),360,MAX(0,MIN(480,(INT(L246/100)-INT(VALUE(F246)/100))*12+MOD(L246,100)-MOD(VALUE(F246),100))))&gt;0,1+V8_MTY_AMP*MAX(0,(V8_MTY_CUTOFF-(IF(OR(L246="",NOT(ISNUMBER(L246))),360,MAX(0,MIN(480,(INT(L246/100)-INT(VALUE(F246)/100))*12+MOD(L246,100)-MOD(VALUE(F246),100))))))/V8_MTY_CUTOFF),1)</f>
        <v/>
      </c>
      <c r="AH246" s="8">
        <f>IF(AND(IF(OR(M246="",NOT(ISNUMBER(M246))),0,MAX(0,MIN(24,(INT(VALUE(F246)/100)-INT(M246/100))*12+MOD(VALUE(F246),100)-MOD(M246,100))))&gt;0,IF(OR(M246="",NOT(ISNUMBER(M246))),0,MAX(0,MIN(24,(INT(VALUE(F246)/100)-INT(M246/100))*12+MOD(VALUE(F246),100)-MOD(M246,100))))&lt;=12),1+V8_LOCKOUT_AMP*EXP(-(IF(OR(M246="",NOT(ISNUMBER(M246))),0,MAX(0,MIN(24,(INT(VALUE(F246)/100)-INT(M246/100))*12+MOD(VALUE(F246),100)-MOD(M246,100)))))/V8_LOCKOUT_TAU),1)</f>
        <v/>
      </c>
      <c r="AI246" s="8">
        <f>MAX(V8_BURN_FLOOR,1-V8_BURN_SLOPE*MIN(1,MAX(0,O246)))</f>
        <v/>
      </c>
      <c r="AJ246" s="15">
        <f>MIN(AA246*AF246*AG246*AH246*AI246,0.2)</f>
        <v/>
      </c>
      <c r="AK246" s="16">
        <f>1-(1-AJ246)^12</f>
        <v/>
      </c>
    </row>
    <row r="247">
      <c r="A247" s="2" t="inlineStr">
        <is>
          <t>000006435549</t>
        </is>
      </c>
      <c r="B247" t="inlineStr">
        <is>
          <t>221d4</t>
        </is>
      </c>
      <c r="C247" t="inlineStr">
        <is>
          <t>RP</t>
        </is>
      </c>
      <c r="D247" t="inlineStr">
        <is>
          <t>PGIM REAL ESTATE AGENCY FINANCING, LLC.</t>
        </is>
      </c>
      <c r="E247" t="n">
        <v>2012</v>
      </c>
      <c r="F247" t="inlineStr">
        <is>
          <t>202602</t>
        </is>
      </c>
      <c r="G247" s="9" t="n">
        <v>7605491.42</v>
      </c>
      <c r="H247" s="13" t="n">
        <v>3.04</v>
      </c>
      <c r="I247" s="14" t="n">
        <v>447</v>
      </c>
      <c r="J247" s="14" t="n">
        <v>5</v>
      </c>
      <c r="K247" t="n">
        <v>166</v>
      </c>
      <c r="L247" t="n">
        <v>205111</v>
      </c>
      <c r="M247" t="inlineStr"/>
      <c r="N247" t="n">
        <v>13</v>
      </c>
      <c r="O247" s="8" t="n">
        <v>0.0783132530120482</v>
      </c>
      <c r="P247">
        <f>IF(ISNUMBER(SEARCH("232",B247)),"232",IF(ISNUMBER(SEARCH("538",B247)),"538",IF(ISNUMBER(SEARCH("223a7",B247)),"223a7",IF(ISNUMBER(SEARCH("223f",B247)),"223f","OTHER"))))</f>
        <v/>
      </c>
      <c r="Q247">
        <f>IF(UPPER(C247)="NC","NC","RP")</f>
        <v/>
      </c>
      <c r="R247">
        <f>IF(G247&lt;5000000,"small",IF(G247&lt;25000000,"medium","large"))</f>
        <v/>
      </c>
      <c r="S247">
        <f>IF(K247&lt;36,"young",IF(K247&lt;120,"seasoned","aged"))</f>
        <v/>
      </c>
      <c r="T247">
        <f>P247&amp;"|"&amp;Q247&amp;"|"&amp;R247&amp;"|"&amp;S247</f>
        <v/>
      </c>
      <c r="U247" s="14">
        <f>H247*100-I247</f>
        <v/>
      </c>
      <c r="V247" s="14">
        <f>U247-12.5*(J247+1)</f>
        <v/>
      </c>
      <c r="W247" s="15">
        <f>IFERROR(VLOOKUP(T247,V8_COHORT_TABLE,2,FALSE),IFERROR(VLOOKUP(P247&amp;"|"&amp;Q247&amp;"|ALL|"&amp;S247,V8_COHORT_TABLE,2,FALSE),IFERROR(VLOOKUP(P247&amp;"|ALL|ALL|"&amp;S247,V8_COHORT_TABLE,2,FALSE),IFERROR(VLOOKUP(P247&amp;"|ALL|ALL|ALL",V8_COHORT_TABLE,2,FALSE),VLOOKUP("GLOBAL",V8_COHORT_TABLE,2,FALSE)))))</f>
        <v/>
      </c>
      <c r="X247" s="15">
        <f>IFERROR(VLOOKUP(T247,V8_COHORT_TABLE,3,FALSE),IFERROR(VLOOKUP(P247&amp;"|"&amp;Q247&amp;"|ALL|"&amp;S247,V8_COHORT_TABLE,3,FALSE),IFERROR(VLOOKUP(P247&amp;"|ALL|ALL|"&amp;S247,V8_COHORT_TABLE,3,FALSE),IFERROR(VLOOKUP(P247&amp;"|ALL|ALL|ALL",V8_COHORT_TABLE,3,FALSE),VLOOKUP("GLOBAL",V8_COHORT_TABLE,3,FALSE)))))</f>
        <v/>
      </c>
      <c r="Y247" s="15">
        <f>IFERROR(VLOOKUP(T247,V8_COHORT_TABLE,4,FALSE),IFERROR(VLOOKUP(P247&amp;"|"&amp;Q247&amp;"|ALL|"&amp;S247,V8_COHORT_TABLE,4,FALSE),IFERROR(VLOOKUP(P247&amp;"|ALL|ALL|"&amp;S247,V8_COHORT_TABLE,4,FALSE),IFERROR(VLOOKUP(P247&amp;"|ALL|ALL|ALL",V8_COHORT_TABLE,4,FALSE),VLOOKUP("GLOBAL",V8_COHORT_TABLE,4,FALSE)))))</f>
        <v/>
      </c>
      <c r="Z247" s="15">
        <f>IFERROR(VLOOKUP(T247,V8_COHORT_TABLE,5,FALSE),IFERROR(VLOOKUP(P247&amp;"|"&amp;Q247&amp;"|ALL|"&amp;S247,V8_COHORT_TABLE,5,FALSE),IFERROR(VLOOKUP(P247&amp;"|ALL|ALL|"&amp;S247,V8_COHORT_TABLE,5,FALSE),IFERROR(VLOOKUP(P247&amp;"|ALL|ALL|ALL",V8_COHORT_TABLE,5,FALSE),VLOOKUP("GLOBAL",V8_COHORT_TABLE,5,FALSE)))))</f>
        <v/>
      </c>
      <c r="AA247" s="15">
        <f>W247+X247/(1+EXP(-(V247-Y247)/Z247))</f>
        <v/>
      </c>
      <c r="AB247" s="15">
        <f>IFERROR(VLOOKUP(T247,V8_COHORT_TABLE,6,FALSE),IFERROR(VLOOKUP(P247&amp;"|"&amp;Q247&amp;"|ALL|"&amp;S247,V8_COHORT_TABLE,6,FALSE),IFERROR(VLOOKUP(P247&amp;"|ALL|ALL|"&amp;S247,V8_COHORT_TABLE,6,FALSE),IFERROR(VLOOKUP(P247&amp;"|ALL|ALL|ALL",V8_COHORT_TABLE,6,FALSE),VLOOKUP("GLOBAL",V8_COHORT_TABLE,6,FALSE)))))</f>
        <v/>
      </c>
      <c r="AC247" s="15">
        <f>IFERROR(VLOOKUP(T247,V8_COHORT_TABLE,7,FALSE),IFERROR(VLOOKUP(P247&amp;"|"&amp;Q247&amp;"|ALL|"&amp;S247,V8_COHORT_TABLE,7,FALSE),IFERROR(VLOOKUP(P247&amp;"|ALL|ALL|"&amp;S247,V8_COHORT_TABLE,7,FALSE),IFERROR(VLOOKUP(P247&amp;"|ALL|ALL|ALL",V8_COHORT_TABLE,7,FALSE),VLOOKUP("GLOBAL",V8_COHORT_TABLE,7,FALSE)))))</f>
        <v/>
      </c>
      <c r="AD247" s="15">
        <f>IFERROR(VLOOKUP(T247,V8_COHORT_TABLE,8,FALSE),IFERROR(VLOOKUP(P247&amp;"|"&amp;Q247&amp;"|ALL|"&amp;S247,V8_COHORT_TABLE,8,FALSE),IFERROR(VLOOKUP(P247&amp;"|ALL|ALL|"&amp;S247,V8_COHORT_TABLE,8,FALSE),IFERROR(VLOOKUP(P247&amp;"|ALL|ALL|ALL",V8_COHORT_TABLE,8,FALSE),VLOOKUP("GLOBAL",V8_COHORT_TABLE,8,FALSE)))))</f>
        <v/>
      </c>
      <c r="AE247" s="15">
        <f>IFERROR(VLOOKUP(T247,V8_COHORT_TABLE,9,FALSE),IFERROR(VLOOKUP(P247&amp;"|"&amp;Q247&amp;"|ALL|"&amp;S247,V8_COHORT_TABLE,9,FALSE),IFERROR(VLOOKUP(P247&amp;"|ALL|ALL|"&amp;S247,V8_COHORT_TABLE,9,FALSE),IFERROR(VLOOKUP(P247&amp;"|ALL|ALL|ALL",V8_COHORT_TABLE,9,FALSE),VLOOKUP("GLOBAL",V8_COHORT_TABLE,9,FALSE)))))</f>
        <v/>
      </c>
      <c r="AF247" s="8">
        <f>IF(K247&lt;=0,AB247,IF(K247&gt;=240,AE247,IF(K247&lt;=24,AB247+(K247-0)/24*(AC247-AB247),IF(K247&lt;=96,AC247+(K247-24)/72*(AD247-AC247),AD247+(K247-96)/144*(AE247-AD247)))))</f>
        <v/>
      </c>
      <c r="AG247" s="8">
        <f>IF(IF(OR(L247="",NOT(ISNUMBER(L247))),360,MAX(0,MIN(480,(INT(L247/100)-INT(VALUE(F247)/100))*12+MOD(L247,100)-MOD(VALUE(F247),100))))&gt;0,1+V8_MTY_AMP*MAX(0,(V8_MTY_CUTOFF-(IF(OR(L247="",NOT(ISNUMBER(L247))),360,MAX(0,MIN(480,(INT(L247/100)-INT(VALUE(F247)/100))*12+MOD(L247,100)-MOD(VALUE(F247),100))))))/V8_MTY_CUTOFF),1)</f>
        <v/>
      </c>
      <c r="AH247" s="8">
        <f>IF(AND(IF(OR(M247="",NOT(ISNUMBER(M247))),0,MAX(0,MIN(24,(INT(VALUE(F247)/100)-INT(M247/100))*12+MOD(VALUE(F247),100)-MOD(M247,100))))&gt;0,IF(OR(M247="",NOT(ISNUMBER(M247))),0,MAX(0,MIN(24,(INT(VALUE(F247)/100)-INT(M247/100))*12+MOD(VALUE(F247),100)-MOD(M247,100))))&lt;=12),1+V8_LOCKOUT_AMP*EXP(-(IF(OR(M247="",NOT(ISNUMBER(M247))),0,MAX(0,MIN(24,(INT(VALUE(F247)/100)-INT(M247/100))*12+MOD(VALUE(F247),100)-MOD(M247,100)))))/V8_LOCKOUT_TAU),1)</f>
        <v/>
      </c>
      <c r="AI247" s="8">
        <f>MAX(V8_BURN_FLOOR,1-V8_BURN_SLOPE*MIN(1,MAX(0,O247)))</f>
        <v/>
      </c>
      <c r="AJ247" s="15">
        <f>MIN(AA247*AF247*AG247*AH247*AI247,0.2)</f>
        <v/>
      </c>
      <c r="AK247" s="16">
        <f>1-(1-AJ247)^12</f>
        <v/>
      </c>
    </row>
    <row r="248">
      <c r="A248" s="2" t="inlineStr">
        <is>
          <t>000005322191</t>
        </is>
      </c>
      <c r="B248" t="inlineStr">
        <is>
          <t>232</t>
        </is>
      </c>
      <c r="C248" t="inlineStr">
        <is>
          <t>RP</t>
        </is>
      </c>
      <c r="D248" t="inlineStr">
        <is>
          <t>PGIM REAL ESTATE AGENCY FINANCING, LLC.</t>
        </is>
      </c>
      <c r="E248" t="n">
        <v>2016</v>
      </c>
      <c r="F248" t="inlineStr">
        <is>
          <t>202602</t>
        </is>
      </c>
      <c r="G248" s="9" t="n">
        <v>4747767.98</v>
      </c>
      <c r="H248" s="13" t="n">
        <v>3.85</v>
      </c>
      <c r="I248" s="14" t="n">
        <v>447</v>
      </c>
      <c r="J248" s="14" t="n">
        <v>2</v>
      </c>
      <c r="K248" t="n">
        <v>119</v>
      </c>
      <c r="L248" t="n">
        <v>205104</v>
      </c>
      <c r="M248" t="inlineStr"/>
      <c r="N248" t="n">
        <v>32</v>
      </c>
      <c r="O248" s="8" t="n">
        <v>0.2689075630252101</v>
      </c>
      <c r="P248">
        <f>IF(ISNUMBER(SEARCH("232",B248)),"232",IF(ISNUMBER(SEARCH("538",B248)),"538",IF(ISNUMBER(SEARCH("223a7",B248)),"223a7",IF(ISNUMBER(SEARCH("223f",B248)),"223f","OTHER"))))</f>
        <v/>
      </c>
      <c r="Q248">
        <f>IF(UPPER(C248)="NC","NC","RP")</f>
        <v/>
      </c>
      <c r="R248">
        <f>IF(G248&lt;5000000,"small",IF(G248&lt;25000000,"medium","large"))</f>
        <v/>
      </c>
      <c r="S248">
        <f>IF(K248&lt;36,"young",IF(K248&lt;120,"seasoned","aged"))</f>
        <v/>
      </c>
      <c r="T248">
        <f>P248&amp;"|"&amp;Q248&amp;"|"&amp;R248&amp;"|"&amp;S248</f>
        <v/>
      </c>
      <c r="U248" s="14">
        <f>H248*100-I248</f>
        <v/>
      </c>
      <c r="V248" s="14">
        <f>U248-12.5*(J248+1)</f>
        <v/>
      </c>
      <c r="W248" s="15">
        <f>IFERROR(VLOOKUP(T248,V8_COHORT_TABLE,2,FALSE),IFERROR(VLOOKUP(P248&amp;"|"&amp;Q248&amp;"|ALL|"&amp;S248,V8_COHORT_TABLE,2,FALSE),IFERROR(VLOOKUP(P248&amp;"|ALL|ALL|"&amp;S248,V8_COHORT_TABLE,2,FALSE),IFERROR(VLOOKUP(P248&amp;"|ALL|ALL|ALL",V8_COHORT_TABLE,2,FALSE),VLOOKUP("GLOBAL",V8_COHORT_TABLE,2,FALSE)))))</f>
        <v/>
      </c>
      <c r="X248" s="15">
        <f>IFERROR(VLOOKUP(T248,V8_COHORT_TABLE,3,FALSE),IFERROR(VLOOKUP(P248&amp;"|"&amp;Q248&amp;"|ALL|"&amp;S248,V8_COHORT_TABLE,3,FALSE),IFERROR(VLOOKUP(P248&amp;"|ALL|ALL|"&amp;S248,V8_COHORT_TABLE,3,FALSE),IFERROR(VLOOKUP(P248&amp;"|ALL|ALL|ALL",V8_COHORT_TABLE,3,FALSE),VLOOKUP("GLOBAL",V8_COHORT_TABLE,3,FALSE)))))</f>
        <v/>
      </c>
      <c r="Y248" s="15">
        <f>IFERROR(VLOOKUP(T248,V8_COHORT_TABLE,4,FALSE),IFERROR(VLOOKUP(P248&amp;"|"&amp;Q248&amp;"|ALL|"&amp;S248,V8_COHORT_TABLE,4,FALSE),IFERROR(VLOOKUP(P248&amp;"|ALL|ALL|"&amp;S248,V8_COHORT_TABLE,4,FALSE),IFERROR(VLOOKUP(P248&amp;"|ALL|ALL|ALL",V8_COHORT_TABLE,4,FALSE),VLOOKUP("GLOBAL",V8_COHORT_TABLE,4,FALSE)))))</f>
        <v/>
      </c>
      <c r="Z248" s="15">
        <f>IFERROR(VLOOKUP(T248,V8_COHORT_TABLE,5,FALSE),IFERROR(VLOOKUP(P248&amp;"|"&amp;Q248&amp;"|ALL|"&amp;S248,V8_COHORT_TABLE,5,FALSE),IFERROR(VLOOKUP(P248&amp;"|ALL|ALL|"&amp;S248,V8_COHORT_TABLE,5,FALSE),IFERROR(VLOOKUP(P248&amp;"|ALL|ALL|ALL",V8_COHORT_TABLE,5,FALSE),VLOOKUP("GLOBAL",V8_COHORT_TABLE,5,FALSE)))))</f>
        <v/>
      </c>
      <c r="AA248" s="15">
        <f>W248+X248/(1+EXP(-(V248-Y248)/Z248))</f>
        <v/>
      </c>
      <c r="AB248" s="15">
        <f>IFERROR(VLOOKUP(T248,V8_COHORT_TABLE,6,FALSE),IFERROR(VLOOKUP(P248&amp;"|"&amp;Q248&amp;"|ALL|"&amp;S248,V8_COHORT_TABLE,6,FALSE),IFERROR(VLOOKUP(P248&amp;"|ALL|ALL|"&amp;S248,V8_COHORT_TABLE,6,FALSE),IFERROR(VLOOKUP(P248&amp;"|ALL|ALL|ALL",V8_COHORT_TABLE,6,FALSE),VLOOKUP("GLOBAL",V8_COHORT_TABLE,6,FALSE)))))</f>
        <v/>
      </c>
      <c r="AC248" s="15">
        <f>IFERROR(VLOOKUP(T248,V8_COHORT_TABLE,7,FALSE),IFERROR(VLOOKUP(P248&amp;"|"&amp;Q248&amp;"|ALL|"&amp;S248,V8_COHORT_TABLE,7,FALSE),IFERROR(VLOOKUP(P248&amp;"|ALL|ALL|"&amp;S248,V8_COHORT_TABLE,7,FALSE),IFERROR(VLOOKUP(P248&amp;"|ALL|ALL|ALL",V8_COHORT_TABLE,7,FALSE),VLOOKUP("GLOBAL",V8_COHORT_TABLE,7,FALSE)))))</f>
        <v/>
      </c>
      <c r="AD248" s="15">
        <f>IFERROR(VLOOKUP(T248,V8_COHORT_TABLE,8,FALSE),IFERROR(VLOOKUP(P248&amp;"|"&amp;Q248&amp;"|ALL|"&amp;S248,V8_COHORT_TABLE,8,FALSE),IFERROR(VLOOKUP(P248&amp;"|ALL|ALL|"&amp;S248,V8_COHORT_TABLE,8,FALSE),IFERROR(VLOOKUP(P248&amp;"|ALL|ALL|ALL",V8_COHORT_TABLE,8,FALSE),VLOOKUP("GLOBAL",V8_COHORT_TABLE,8,FALSE)))))</f>
        <v/>
      </c>
      <c r="AE248" s="15">
        <f>IFERROR(VLOOKUP(T248,V8_COHORT_TABLE,9,FALSE),IFERROR(VLOOKUP(P248&amp;"|"&amp;Q248&amp;"|ALL|"&amp;S248,V8_COHORT_TABLE,9,FALSE),IFERROR(VLOOKUP(P248&amp;"|ALL|ALL|"&amp;S248,V8_COHORT_TABLE,9,FALSE),IFERROR(VLOOKUP(P248&amp;"|ALL|ALL|ALL",V8_COHORT_TABLE,9,FALSE),VLOOKUP("GLOBAL",V8_COHORT_TABLE,9,FALSE)))))</f>
        <v/>
      </c>
      <c r="AF248" s="8">
        <f>IF(K248&lt;=0,AB248,IF(K248&gt;=240,AE248,IF(K248&lt;=24,AB248+(K248-0)/24*(AC248-AB248),IF(K248&lt;=96,AC248+(K248-24)/72*(AD248-AC248),AD248+(K248-96)/144*(AE248-AD248)))))</f>
        <v/>
      </c>
      <c r="AG248" s="8">
        <f>IF(IF(OR(L248="",NOT(ISNUMBER(L248))),360,MAX(0,MIN(480,(INT(L248/100)-INT(VALUE(F248)/100))*12+MOD(L248,100)-MOD(VALUE(F248),100))))&gt;0,1+V8_MTY_AMP*MAX(0,(V8_MTY_CUTOFF-(IF(OR(L248="",NOT(ISNUMBER(L248))),360,MAX(0,MIN(480,(INT(L248/100)-INT(VALUE(F248)/100))*12+MOD(L248,100)-MOD(VALUE(F248),100))))))/V8_MTY_CUTOFF),1)</f>
        <v/>
      </c>
      <c r="AH248" s="8">
        <f>IF(AND(IF(OR(M248="",NOT(ISNUMBER(M248))),0,MAX(0,MIN(24,(INT(VALUE(F248)/100)-INT(M248/100))*12+MOD(VALUE(F248),100)-MOD(M248,100))))&gt;0,IF(OR(M248="",NOT(ISNUMBER(M248))),0,MAX(0,MIN(24,(INT(VALUE(F248)/100)-INT(M248/100))*12+MOD(VALUE(F248),100)-MOD(M248,100))))&lt;=12),1+V8_LOCKOUT_AMP*EXP(-(IF(OR(M248="",NOT(ISNUMBER(M248))),0,MAX(0,MIN(24,(INT(VALUE(F248)/100)-INT(M248/100))*12+MOD(VALUE(F248),100)-MOD(M248,100)))))/V8_LOCKOUT_TAU),1)</f>
        <v/>
      </c>
      <c r="AI248" s="8">
        <f>MAX(V8_BURN_FLOOR,1-V8_BURN_SLOPE*MIN(1,MAX(0,O248)))</f>
        <v/>
      </c>
      <c r="AJ248" s="15">
        <f>MIN(AA248*AF248*AG248*AH248*AI248,0.2)</f>
        <v/>
      </c>
      <c r="AK248" s="16">
        <f>1-(1-AJ248)^12</f>
        <v/>
      </c>
    </row>
    <row r="249">
      <c r="A249" s="2" t="inlineStr">
        <is>
          <t>000005411182</t>
        </is>
      </c>
      <c r="B249" t="inlineStr">
        <is>
          <t>223f</t>
        </is>
      </c>
      <c r="C249" t="inlineStr">
        <is>
          <t>RP</t>
        </is>
      </c>
      <c r="D249" t="inlineStr">
        <is>
          <t>PGIM REAL ESTATE AGENCY FINANCING, LLC.</t>
        </is>
      </c>
      <c r="E249" t="n">
        <v>2020</v>
      </c>
      <c r="F249" t="inlineStr">
        <is>
          <t>202602</t>
        </is>
      </c>
      <c r="G249" s="9" t="n">
        <v>4220732.16</v>
      </c>
      <c r="H249" s="13" t="n">
        <v>3.15</v>
      </c>
      <c r="I249" s="14" t="n">
        <v>447</v>
      </c>
      <c r="J249" s="14" t="n">
        <v>6</v>
      </c>
      <c r="K249" t="n">
        <v>71</v>
      </c>
      <c r="L249" t="n">
        <v>205504</v>
      </c>
      <c r="M249" t="inlineStr"/>
      <c r="N249" t="n">
        <v>19</v>
      </c>
      <c r="O249" s="8" t="n">
        <v>0.2676056338028169</v>
      </c>
      <c r="P249">
        <f>IF(ISNUMBER(SEARCH("232",B249)),"232",IF(ISNUMBER(SEARCH("538",B249)),"538",IF(ISNUMBER(SEARCH("223a7",B249)),"223a7",IF(ISNUMBER(SEARCH("223f",B249)),"223f","OTHER"))))</f>
        <v/>
      </c>
      <c r="Q249">
        <f>IF(UPPER(C249)="NC","NC","RP")</f>
        <v/>
      </c>
      <c r="R249">
        <f>IF(G249&lt;5000000,"small",IF(G249&lt;25000000,"medium","large"))</f>
        <v/>
      </c>
      <c r="S249">
        <f>IF(K249&lt;36,"young",IF(K249&lt;120,"seasoned","aged"))</f>
        <v/>
      </c>
      <c r="T249">
        <f>P249&amp;"|"&amp;Q249&amp;"|"&amp;R249&amp;"|"&amp;S249</f>
        <v/>
      </c>
      <c r="U249" s="14">
        <f>H249*100-I249</f>
        <v/>
      </c>
      <c r="V249" s="14">
        <f>U249-12.5*(J249+1)</f>
        <v/>
      </c>
      <c r="W249" s="15">
        <f>IFERROR(VLOOKUP(T249,V8_COHORT_TABLE,2,FALSE),IFERROR(VLOOKUP(P249&amp;"|"&amp;Q249&amp;"|ALL|"&amp;S249,V8_COHORT_TABLE,2,FALSE),IFERROR(VLOOKUP(P249&amp;"|ALL|ALL|"&amp;S249,V8_COHORT_TABLE,2,FALSE),IFERROR(VLOOKUP(P249&amp;"|ALL|ALL|ALL",V8_COHORT_TABLE,2,FALSE),VLOOKUP("GLOBAL",V8_COHORT_TABLE,2,FALSE)))))</f>
        <v/>
      </c>
      <c r="X249" s="15">
        <f>IFERROR(VLOOKUP(T249,V8_COHORT_TABLE,3,FALSE),IFERROR(VLOOKUP(P249&amp;"|"&amp;Q249&amp;"|ALL|"&amp;S249,V8_COHORT_TABLE,3,FALSE),IFERROR(VLOOKUP(P249&amp;"|ALL|ALL|"&amp;S249,V8_COHORT_TABLE,3,FALSE),IFERROR(VLOOKUP(P249&amp;"|ALL|ALL|ALL",V8_COHORT_TABLE,3,FALSE),VLOOKUP("GLOBAL",V8_COHORT_TABLE,3,FALSE)))))</f>
        <v/>
      </c>
      <c r="Y249" s="15">
        <f>IFERROR(VLOOKUP(T249,V8_COHORT_TABLE,4,FALSE),IFERROR(VLOOKUP(P249&amp;"|"&amp;Q249&amp;"|ALL|"&amp;S249,V8_COHORT_TABLE,4,FALSE),IFERROR(VLOOKUP(P249&amp;"|ALL|ALL|"&amp;S249,V8_COHORT_TABLE,4,FALSE),IFERROR(VLOOKUP(P249&amp;"|ALL|ALL|ALL",V8_COHORT_TABLE,4,FALSE),VLOOKUP("GLOBAL",V8_COHORT_TABLE,4,FALSE)))))</f>
        <v/>
      </c>
      <c r="Z249" s="15">
        <f>IFERROR(VLOOKUP(T249,V8_COHORT_TABLE,5,FALSE),IFERROR(VLOOKUP(P249&amp;"|"&amp;Q249&amp;"|ALL|"&amp;S249,V8_COHORT_TABLE,5,FALSE),IFERROR(VLOOKUP(P249&amp;"|ALL|ALL|"&amp;S249,V8_COHORT_TABLE,5,FALSE),IFERROR(VLOOKUP(P249&amp;"|ALL|ALL|ALL",V8_COHORT_TABLE,5,FALSE),VLOOKUP("GLOBAL",V8_COHORT_TABLE,5,FALSE)))))</f>
        <v/>
      </c>
      <c r="AA249" s="15">
        <f>W249+X249/(1+EXP(-(V249-Y249)/Z249))</f>
        <v/>
      </c>
      <c r="AB249" s="15">
        <f>IFERROR(VLOOKUP(T249,V8_COHORT_TABLE,6,FALSE),IFERROR(VLOOKUP(P249&amp;"|"&amp;Q249&amp;"|ALL|"&amp;S249,V8_COHORT_TABLE,6,FALSE),IFERROR(VLOOKUP(P249&amp;"|ALL|ALL|"&amp;S249,V8_COHORT_TABLE,6,FALSE),IFERROR(VLOOKUP(P249&amp;"|ALL|ALL|ALL",V8_COHORT_TABLE,6,FALSE),VLOOKUP("GLOBAL",V8_COHORT_TABLE,6,FALSE)))))</f>
        <v/>
      </c>
      <c r="AC249" s="15">
        <f>IFERROR(VLOOKUP(T249,V8_COHORT_TABLE,7,FALSE),IFERROR(VLOOKUP(P249&amp;"|"&amp;Q249&amp;"|ALL|"&amp;S249,V8_COHORT_TABLE,7,FALSE),IFERROR(VLOOKUP(P249&amp;"|ALL|ALL|"&amp;S249,V8_COHORT_TABLE,7,FALSE),IFERROR(VLOOKUP(P249&amp;"|ALL|ALL|ALL",V8_COHORT_TABLE,7,FALSE),VLOOKUP("GLOBAL",V8_COHORT_TABLE,7,FALSE)))))</f>
        <v/>
      </c>
      <c r="AD249" s="15">
        <f>IFERROR(VLOOKUP(T249,V8_COHORT_TABLE,8,FALSE),IFERROR(VLOOKUP(P249&amp;"|"&amp;Q249&amp;"|ALL|"&amp;S249,V8_COHORT_TABLE,8,FALSE),IFERROR(VLOOKUP(P249&amp;"|ALL|ALL|"&amp;S249,V8_COHORT_TABLE,8,FALSE),IFERROR(VLOOKUP(P249&amp;"|ALL|ALL|ALL",V8_COHORT_TABLE,8,FALSE),VLOOKUP("GLOBAL",V8_COHORT_TABLE,8,FALSE)))))</f>
        <v/>
      </c>
      <c r="AE249" s="15">
        <f>IFERROR(VLOOKUP(T249,V8_COHORT_TABLE,9,FALSE),IFERROR(VLOOKUP(P249&amp;"|"&amp;Q249&amp;"|ALL|"&amp;S249,V8_COHORT_TABLE,9,FALSE),IFERROR(VLOOKUP(P249&amp;"|ALL|ALL|"&amp;S249,V8_COHORT_TABLE,9,FALSE),IFERROR(VLOOKUP(P249&amp;"|ALL|ALL|ALL",V8_COHORT_TABLE,9,FALSE),VLOOKUP("GLOBAL",V8_COHORT_TABLE,9,FALSE)))))</f>
        <v/>
      </c>
      <c r="AF249" s="8">
        <f>IF(K249&lt;=0,AB249,IF(K249&gt;=240,AE249,IF(K249&lt;=24,AB249+(K249-0)/24*(AC249-AB249),IF(K249&lt;=96,AC249+(K249-24)/72*(AD249-AC249),AD249+(K249-96)/144*(AE249-AD249)))))</f>
        <v/>
      </c>
      <c r="AG249" s="8">
        <f>IF(IF(OR(L249="",NOT(ISNUMBER(L249))),360,MAX(0,MIN(480,(INT(L249/100)-INT(VALUE(F249)/100))*12+MOD(L249,100)-MOD(VALUE(F249),100))))&gt;0,1+V8_MTY_AMP*MAX(0,(V8_MTY_CUTOFF-(IF(OR(L249="",NOT(ISNUMBER(L249))),360,MAX(0,MIN(480,(INT(L249/100)-INT(VALUE(F249)/100))*12+MOD(L249,100)-MOD(VALUE(F249),100))))))/V8_MTY_CUTOFF),1)</f>
        <v/>
      </c>
      <c r="AH249" s="8">
        <f>IF(AND(IF(OR(M249="",NOT(ISNUMBER(M249))),0,MAX(0,MIN(24,(INT(VALUE(F249)/100)-INT(M249/100))*12+MOD(VALUE(F249),100)-MOD(M249,100))))&gt;0,IF(OR(M249="",NOT(ISNUMBER(M249))),0,MAX(0,MIN(24,(INT(VALUE(F249)/100)-INT(M249/100))*12+MOD(VALUE(F249),100)-MOD(M249,100))))&lt;=12),1+V8_LOCKOUT_AMP*EXP(-(IF(OR(M249="",NOT(ISNUMBER(M249))),0,MAX(0,MIN(24,(INT(VALUE(F249)/100)-INT(M249/100))*12+MOD(VALUE(F249),100)-MOD(M249,100)))))/V8_LOCKOUT_TAU),1)</f>
        <v/>
      </c>
      <c r="AI249" s="8">
        <f>MAX(V8_BURN_FLOOR,1-V8_BURN_SLOPE*MIN(1,MAX(0,O249)))</f>
        <v/>
      </c>
      <c r="AJ249" s="15">
        <f>MIN(AA249*AF249*AG249*AH249*AI249,0.2)</f>
        <v/>
      </c>
      <c r="AK249" s="16">
        <f>1-(1-AJ249)^12</f>
        <v/>
      </c>
    </row>
    <row r="250">
      <c r="A250" s="2" t="inlineStr">
        <is>
          <t>000007111471</t>
        </is>
      </c>
      <c r="B250" t="inlineStr">
        <is>
          <t>223f</t>
        </is>
      </c>
      <c r="C250" t="inlineStr">
        <is>
          <t>RP</t>
        </is>
      </c>
      <c r="D250" t="inlineStr">
        <is>
          <t>NORTHMARQ FINANCE, LLC</t>
        </is>
      </c>
      <c r="E250" t="n">
        <v>2019</v>
      </c>
      <c r="F250" t="inlineStr">
        <is>
          <t>202602</t>
        </is>
      </c>
      <c r="G250" s="9" t="n">
        <v>5215061.73</v>
      </c>
      <c r="H250" s="13" t="n">
        <v>2.95</v>
      </c>
      <c r="I250" s="14" t="n">
        <v>447</v>
      </c>
      <c r="J250" s="14" t="n">
        <v>5</v>
      </c>
      <c r="K250" t="n">
        <v>78</v>
      </c>
      <c r="L250" t="n">
        <v>205505</v>
      </c>
      <c r="M250" t="inlineStr"/>
      <c r="N250" t="n">
        <v>6</v>
      </c>
      <c r="O250" s="8" t="n">
        <v>0.07692307692307693</v>
      </c>
      <c r="P250">
        <f>IF(ISNUMBER(SEARCH("232",B250)),"232",IF(ISNUMBER(SEARCH("538",B250)),"538",IF(ISNUMBER(SEARCH("223a7",B250)),"223a7",IF(ISNUMBER(SEARCH("223f",B250)),"223f","OTHER"))))</f>
        <v/>
      </c>
      <c r="Q250">
        <f>IF(UPPER(C250)="NC","NC","RP")</f>
        <v/>
      </c>
      <c r="R250">
        <f>IF(G250&lt;5000000,"small",IF(G250&lt;25000000,"medium","large"))</f>
        <v/>
      </c>
      <c r="S250">
        <f>IF(K250&lt;36,"young",IF(K250&lt;120,"seasoned","aged"))</f>
        <v/>
      </c>
      <c r="T250">
        <f>P250&amp;"|"&amp;Q250&amp;"|"&amp;R250&amp;"|"&amp;S250</f>
        <v/>
      </c>
      <c r="U250" s="14">
        <f>H250*100-I250</f>
        <v/>
      </c>
      <c r="V250" s="14">
        <f>U250-12.5*(J250+1)</f>
        <v/>
      </c>
      <c r="W250" s="15">
        <f>IFERROR(VLOOKUP(T250,V8_COHORT_TABLE,2,FALSE),IFERROR(VLOOKUP(P250&amp;"|"&amp;Q250&amp;"|ALL|"&amp;S250,V8_COHORT_TABLE,2,FALSE),IFERROR(VLOOKUP(P250&amp;"|ALL|ALL|"&amp;S250,V8_COHORT_TABLE,2,FALSE),IFERROR(VLOOKUP(P250&amp;"|ALL|ALL|ALL",V8_COHORT_TABLE,2,FALSE),VLOOKUP("GLOBAL",V8_COHORT_TABLE,2,FALSE)))))</f>
        <v/>
      </c>
      <c r="X250" s="15">
        <f>IFERROR(VLOOKUP(T250,V8_COHORT_TABLE,3,FALSE),IFERROR(VLOOKUP(P250&amp;"|"&amp;Q250&amp;"|ALL|"&amp;S250,V8_COHORT_TABLE,3,FALSE),IFERROR(VLOOKUP(P250&amp;"|ALL|ALL|"&amp;S250,V8_COHORT_TABLE,3,FALSE),IFERROR(VLOOKUP(P250&amp;"|ALL|ALL|ALL",V8_COHORT_TABLE,3,FALSE),VLOOKUP("GLOBAL",V8_COHORT_TABLE,3,FALSE)))))</f>
        <v/>
      </c>
      <c r="Y250" s="15">
        <f>IFERROR(VLOOKUP(T250,V8_COHORT_TABLE,4,FALSE),IFERROR(VLOOKUP(P250&amp;"|"&amp;Q250&amp;"|ALL|"&amp;S250,V8_COHORT_TABLE,4,FALSE),IFERROR(VLOOKUP(P250&amp;"|ALL|ALL|"&amp;S250,V8_COHORT_TABLE,4,FALSE),IFERROR(VLOOKUP(P250&amp;"|ALL|ALL|ALL",V8_COHORT_TABLE,4,FALSE),VLOOKUP("GLOBAL",V8_COHORT_TABLE,4,FALSE)))))</f>
        <v/>
      </c>
      <c r="Z250" s="15">
        <f>IFERROR(VLOOKUP(T250,V8_COHORT_TABLE,5,FALSE),IFERROR(VLOOKUP(P250&amp;"|"&amp;Q250&amp;"|ALL|"&amp;S250,V8_COHORT_TABLE,5,FALSE),IFERROR(VLOOKUP(P250&amp;"|ALL|ALL|"&amp;S250,V8_COHORT_TABLE,5,FALSE),IFERROR(VLOOKUP(P250&amp;"|ALL|ALL|ALL",V8_COHORT_TABLE,5,FALSE),VLOOKUP("GLOBAL",V8_COHORT_TABLE,5,FALSE)))))</f>
        <v/>
      </c>
      <c r="AA250" s="15">
        <f>W250+X250/(1+EXP(-(V250-Y250)/Z250))</f>
        <v/>
      </c>
      <c r="AB250" s="15">
        <f>IFERROR(VLOOKUP(T250,V8_COHORT_TABLE,6,FALSE),IFERROR(VLOOKUP(P250&amp;"|"&amp;Q250&amp;"|ALL|"&amp;S250,V8_COHORT_TABLE,6,FALSE),IFERROR(VLOOKUP(P250&amp;"|ALL|ALL|"&amp;S250,V8_COHORT_TABLE,6,FALSE),IFERROR(VLOOKUP(P250&amp;"|ALL|ALL|ALL",V8_COHORT_TABLE,6,FALSE),VLOOKUP("GLOBAL",V8_COHORT_TABLE,6,FALSE)))))</f>
        <v/>
      </c>
      <c r="AC250" s="15">
        <f>IFERROR(VLOOKUP(T250,V8_COHORT_TABLE,7,FALSE),IFERROR(VLOOKUP(P250&amp;"|"&amp;Q250&amp;"|ALL|"&amp;S250,V8_COHORT_TABLE,7,FALSE),IFERROR(VLOOKUP(P250&amp;"|ALL|ALL|"&amp;S250,V8_COHORT_TABLE,7,FALSE),IFERROR(VLOOKUP(P250&amp;"|ALL|ALL|ALL",V8_COHORT_TABLE,7,FALSE),VLOOKUP("GLOBAL",V8_COHORT_TABLE,7,FALSE)))))</f>
        <v/>
      </c>
      <c r="AD250" s="15">
        <f>IFERROR(VLOOKUP(T250,V8_COHORT_TABLE,8,FALSE),IFERROR(VLOOKUP(P250&amp;"|"&amp;Q250&amp;"|ALL|"&amp;S250,V8_COHORT_TABLE,8,FALSE),IFERROR(VLOOKUP(P250&amp;"|ALL|ALL|"&amp;S250,V8_COHORT_TABLE,8,FALSE),IFERROR(VLOOKUP(P250&amp;"|ALL|ALL|ALL",V8_COHORT_TABLE,8,FALSE),VLOOKUP("GLOBAL",V8_COHORT_TABLE,8,FALSE)))))</f>
        <v/>
      </c>
      <c r="AE250" s="15">
        <f>IFERROR(VLOOKUP(T250,V8_COHORT_TABLE,9,FALSE),IFERROR(VLOOKUP(P250&amp;"|"&amp;Q250&amp;"|ALL|"&amp;S250,V8_COHORT_TABLE,9,FALSE),IFERROR(VLOOKUP(P250&amp;"|ALL|ALL|"&amp;S250,V8_COHORT_TABLE,9,FALSE),IFERROR(VLOOKUP(P250&amp;"|ALL|ALL|ALL",V8_COHORT_TABLE,9,FALSE),VLOOKUP("GLOBAL",V8_COHORT_TABLE,9,FALSE)))))</f>
        <v/>
      </c>
      <c r="AF250" s="8">
        <f>IF(K250&lt;=0,AB250,IF(K250&gt;=240,AE250,IF(K250&lt;=24,AB250+(K250-0)/24*(AC250-AB250),IF(K250&lt;=96,AC250+(K250-24)/72*(AD250-AC250),AD250+(K250-96)/144*(AE250-AD250)))))</f>
        <v/>
      </c>
      <c r="AG250" s="8">
        <f>IF(IF(OR(L250="",NOT(ISNUMBER(L250))),360,MAX(0,MIN(480,(INT(L250/100)-INT(VALUE(F250)/100))*12+MOD(L250,100)-MOD(VALUE(F250),100))))&gt;0,1+V8_MTY_AMP*MAX(0,(V8_MTY_CUTOFF-(IF(OR(L250="",NOT(ISNUMBER(L250))),360,MAX(0,MIN(480,(INT(L250/100)-INT(VALUE(F250)/100))*12+MOD(L250,100)-MOD(VALUE(F250),100))))))/V8_MTY_CUTOFF),1)</f>
        <v/>
      </c>
      <c r="AH250" s="8">
        <f>IF(AND(IF(OR(M250="",NOT(ISNUMBER(M250))),0,MAX(0,MIN(24,(INT(VALUE(F250)/100)-INT(M250/100))*12+MOD(VALUE(F250),100)-MOD(M250,100))))&gt;0,IF(OR(M250="",NOT(ISNUMBER(M250))),0,MAX(0,MIN(24,(INT(VALUE(F250)/100)-INT(M250/100))*12+MOD(VALUE(F250),100)-MOD(M250,100))))&lt;=12),1+V8_LOCKOUT_AMP*EXP(-(IF(OR(M250="",NOT(ISNUMBER(M250))),0,MAX(0,MIN(24,(INT(VALUE(F250)/100)-INT(M250/100))*12+MOD(VALUE(F250),100)-MOD(M250,100)))))/V8_LOCKOUT_TAU),1)</f>
        <v/>
      </c>
      <c r="AI250" s="8">
        <f>MAX(V8_BURN_FLOOR,1-V8_BURN_SLOPE*MIN(1,MAX(0,O250)))</f>
        <v/>
      </c>
      <c r="AJ250" s="15">
        <f>MIN(AA250*AF250*AG250*AH250*AI250,0.2)</f>
        <v/>
      </c>
      <c r="AK250" s="16">
        <f>1-(1-AJ250)^12</f>
        <v/>
      </c>
    </row>
    <row r="251">
      <c r="A251" s="2" t="inlineStr">
        <is>
          <t>000006611272</t>
        </is>
      </c>
      <c r="B251" t="inlineStr">
        <is>
          <t>223f</t>
        </is>
      </c>
      <c r="C251" t="inlineStr">
        <is>
          <t>RP</t>
        </is>
      </c>
      <c r="D251" t="inlineStr">
        <is>
          <t>NORTHMARQ FINANCE, LLC</t>
        </is>
      </c>
      <c r="E251" t="n">
        <v>2022</v>
      </c>
      <c r="F251" t="inlineStr">
        <is>
          <t>202602</t>
        </is>
      </c>
      <c r="G251" s="9" t="n">
        <v>30546412.94</v>
      </c>
      <c r="H251" s="13" t="n">
        <v>2.55</v>
      </c>
      <c r="I251" s="14" t="n">
        <v>447</v>
      </c>
      <c r="J251" s="14" t="n">
        <v>7</v>
      </c>
      <c r="K251" t="n">
        <v>46</v>
      </c>
      <c r="L251" t="n">
        <v>205705</v>
      </c>
      <c r="M251" t="inlineStr"/>
      <c r="N251" t="n">
        <v>0</v>
      </c>
      <c r="O251" s="8" t="n">
        <v>0</v>
      </c>
      <c r="P251">
        <f>IF(ISNUMBER(SEARCH("232",B251)),"232",IF(ISNUMBER(SEARCH("538",B251)),"538",IF(ISNUMBER(SEARCH("223a7",B251)),"223a7",IF(ISNUMBER(SEARCH("223f",B251)),"223f","OTHER"))))</f>
        <v/>
      </c>
      <c r="Q251">
        <f>IF(UPPER(C251)="NC","NC","RP")</f>
        <v/>
      </c>
      <c r="R251">
        <f>IF(G251&lt;5000000,"small",IF(G251&lt;25000000,"medium","large"))</f>
        <v/>
      </c>
      <c r="S251">
        <f>IF(K251&lt;36,"young",IF(K251&lt;120,"seasoned","aged"))</f>
        <v/>
      </c>
      <c r="T251">
        <f>P251&amp;"|"&amp;Q251&amp;"|"&amp;R251&amp;"|"&amp;S251</f>
        <v/>
      </c>
      <c r="U251" s="14">
        <f>H251*100-I251</f>
        <v/>
      </c>
      <c r="V251" s="14">
        <f>U251-12.5*(J251+1)</f>
        <v/>
      </c>
      <c r="W251" s="15">
        <f>IFERROR(VLOOKUP(T251,V8_COHORT_TABLE,2,FALSE),IFERROR(VLOOKUP(P251&amp;"|"&amp;Q251&amp;"|ALL|"&amp;S251,V8_COHORT_TABLE,2,FALSE),IFERROR(VLOOKUP(P251&amp;"|ALL|ALL|"&amp;S251,V8_COHORT_TABLE,2,FALSE),IFERROR(VLOOKUP(P251&amp;"|ALL|ALL|ALL",V8_COHORT_TABLE,2,FALSE),VLOOKUP("GLOBAL",V8_COHORT_TABLE,2,FALSE)))))</f>
        <v/>
      </c>
      <c r="X251" s="15">
        <f>IFERROR(VLOOKUP(T251,V8_COHORT_TABLE,3,FALSE),IFERROR(VLOOKUP(P251&amp;"|"&amp;Q251&amp;"|ALL|"&amp;S251,V8_COHORT_TABLE,3,FALSE),IFERROR(VLOOKUP(P251&amp;"|ALL|ALL|"&amp;S251,V8_COHORT_TABLE,3,FALSE),IFERROR(VLOOKUP(P251&amp;"|ALL|ALL|ALL",V8_COHORT_TABLE,3,FALSE),VLOOKUP("GLOBAL",V8_COHORT_TABLE,3,FALSE)))))</f>
        <v/>
      </c>
      <c r="Y251" s="15">
        <f>IFERROR(VLOOKUP(T251,V8_COHORT_TABLE,4,FALSE),IFERROR(VLOOKUP(P251&amp;"|"&amp;Q251&amp;"|ALL|"&amp;S251,V8_COHORT_TABLE,4,FALSE),IFERROR(VLOOKUP(P251&amp;"|ALL|ALL|"&amp;S251,V8_COHORT_TABLE,4,FALSE),IFERROR(VLOOKUP(P251&amp;"|ALL|ALL|ALL",V8_COHORT_TABLE,4,FALSE),VLOOKUP("GLOBAL",V8_COHORT_TABLE,4,FALSE)))))</f>
        <v/>
      </c>
      <c r="Z251" s="15">
        <f>IFERROR(VLOOKUP(T251,V8_COHORT_TABLE,5,FALSE),IFERROR(VLOOKUP(P251&amp;"|"&amp;Q251&amp;"|ALL|"&amp;S251,V8_COHORT_TABLE,5,FALSE),IFERROR(VLOOKUP(P251&amp;"|ALL|ALL|"&amp;S251,V8_COHORT_TABLE,5,FALSE),IFERROR(VLOOKUP(P251&amp;"|ALL|ALL|ALL",V8_COHORT_TABLE,5,FALSE),VLOOKUP("GLOBAL",V8_COHORT_TABLE,5,FALSE)))))</f>
        <v/>
      </c>
      <c r="AA251" s="15">
        <f>W251+X251/(1+EXP(-(V251-Y251)/Z251))</f>
        <v/>
      </c>
      <c r="AB251" s="15">
        <f>IFERROR(VLOOKUP(T251,V8_COHORT_TABLE,6,FALSE),IFERROR(VLOOKUP(P251&amp;"|"&amp;Q251&amp;"|ALL|"&amp;S251,V8_COHORT_TABLE,6,FALSE),IFERROR(VLOOKUP(P251&amp;"|ALL|ALL|"&amp;S251,V8_COHORT_TABLE,6,FALSE),IFERROR(VLOOKUP(P251&amp;"|ALL|ALL|ALL",V8_COHORT_TABLE,6,FALSE),VLOOKUP("GLOBAL",V8_COHORT_TABLE,6,FALSE)))))</f>
        <v/>
      </c>
      <c r="AC251" s="15">
        <f>IFERROR(VLOOKUP(T251,V8_COHORT_TABLE,7,FALSE),IFERROR(VLOOKUP(P251&amp;"|"&amp;Q251&amp;"|ALL|"&amp;S251,V8_COHORT_TABLE,7,FALSE),IFERROR(VLOOKUP(P251&amp;"|ALL|ALL|"&amp;S251,V8_COHORT_TABLE,7,FALSE),IFERROR(VLOOKUP(P251&amp;"|ALL|ALL|ALL",V8_COHORT_TABLE,7,FALSE),VLOOKUP("GLOBAL",V8_COHORT_TABLE,7,FALSE)))))</f>
        <v/>
      </c>
      <c r="AD251" s="15">
        <f>IFERROR(VLOOKUP(T251,V8_COHORT_TABLE,8,FALSE),IFERROR(VLOOKUP(P251&amp;"|"&amp;Q251&amp;"|ALL|"&amp;S251,V8_COHORT_TABLE,8,FALSE),IFERROR(VLOOKUP(P251&amp;"|ALL|ALL|"&amp;S251,V8_COHORT_TABLE,8,FALSE),IFERROR(VLOOKUP(P251&amp;"|ALL|ALL|ALL",V8_COHORT_TABLE,8,FALSE),VLOOKUP("GLOBAL",V8_COHORT_TABLE,8,FALSE)))))</f>
        <v/>
      </c>
      <c r="AE251" s="15">
        <f>IFERROR(VLOOKUP(T251,V8_COHORT_TABLE,9,FALSE),IFERROR(VLOOKUP(P251&amp;"|"&amp;Q251&amp;"|ALL|"&amp;S251,V8_COHORT_TABLE,9,FALSE),IFERROR(VLOOKUP(P251&amp;"|ALL|ALL|"&amp;S251,V8_COHORT_TABLE,9,FALSE),IFERROR(VLOOKUP(P251&amp;"|ALL|ALL|ALL",V8_COHORT_TABLE,9,FALSE),VLOOKUP("GLOBAL",V8_COHORT_TABLE,9,FALSE)))))</f>
        <v/>
      </c>
      <c r="AF251" s="8">
        <f>IF(K251&lt;=0,AB251,IF(K251&gt;=240,AE251,IF(K251&lt;=24,AB251+(K251-0)/24*(AC251-AB251),IF(K251&lt;=96,AC251+(K251-24)/72*(AD251-AC251),AD251+(K251-96)/144*(AE251-AD251)))))</f>
        <v/>
      </c>
      <c r="AG251" s="8">
        <f>IF(IF(OR(L251="",NOT(ISNUMBER(L251))),360,MAX(0,MIN(480,(INT(L251/100)-INT(VALUE(F251)/100))*12+MOD(L251,100)-MOD(VALUE(F251),100))))&gt;0,1+V8_MTY_AMP*MAX(0,(V8_MTY_CUTOFF-(IF(OR(L251="",NOT(ISNUMBER(L251))),360,MAX(0,MIN(480,(INT(L251/100)-INT(VALUE(F251)/100))*12+MOD(L251,100)-MOD(VALUE(F251),100))))))/V8_MTY_CUTOFF),1)</f>
        <v/>
      </c>
      <c r="AH251" s="8">
        <f>IF(AND(IF(OR(M251="",NOT(ISNUMBER(M251))),0,MAX(0,MIN(24,(INT(VALUE(F251)/100)-INT(M251/100))*12+MOD(VALUE(F251),100)-MOD(M251,100))))&gt;0,IF(OR(M251="",NOT(ISNUMBER(M251))),0,MAX(0,MIN(24,(INT(VALUE(F251)/100)-INT(M251/100))*12+MOD(VALUE(F251),100)-MOD(M251,100))))&lt;=12),1+V8_LOCKOUT_AMP*EXP(-(IF(OR(M251="",NOT(ISNUMBER(M251))),0,MAX(0,MIN(24,(INT(VALUE(F251)/100)-INT(M251/100))*12+MOD(VALUE(F251),100)-MOD(M251,100)))))/V8_LOCKOUT_TAU),1)</f>
        <v/>
      </c>
      <c r="AI251" s="8">
        <f>MAX(V8_BURN_FLOOR,1-V8_BURN_SLOPE*MIN(1,MAX(0,O251)))</f>
        <v/>
      </c>
      <c r="AJ251" s="15">
        <f>MIN(AA251*AF251*AG251*AH251*AI251,0.2)</f>
        <v/>
      </c>
      <c r="AK251" s="16">
        <f>1-(1-AJ251)^12</f>
        <v/>
      </c>
    </row>
    <row r="252">
      <c r="A252" s="2" t="inlineStr">
        <is>
          <t>000005111491</t>
        </is>
      </c>
      <c r="B252" t="inlineStr">
        <is>
          <t>223f</t>
        </is>
      </c>
      <c r="C252" t="inlineStr">
        <is>
          <t>RP</t>
        </is>
      </c>
      <c r="D252" t="inlineStr">
        <is>
          <t>NORTHMARQ FINANCE, LLC</t>
        </is>
      </c>
      <c r="E252" t="n">
        <v>2021</v>
      </c>
      <c r="F252" t="inlineStr">
        <is>
          <t>202602</t>
        </is>
      </c>
      <c r="G252" s="9" t="n">
        <v>33362529.06</v>
      </c>
      <c r="H252" s="13" t="n">
        <v>2.59</v>
      </c>
      <c r="I252" s="14" t="n">
        <v>447</v>
      </c>
      <c r="J252" s="14" t="n">
        <v>6</v>
      </c>
      <c r="K252" t="n">
        <v>56</v>
      </c>
      <c r="L252" t="n">
        <v>205607</v>
      </c>
      <c r="M252" t="inlineStr"/>
      <c r="N252" t="n">
        <v>0</v>
      </c>
      <c r="O252" s="8" t="n">
        <v>0</v>
      </c>
      <c r="P252">
        <f>IF(ISNUMBER(SEARCH("232",B252)),"232",IF(ISNUMBER(SEARCH("538",B252)),"538",IF(ISNUMBER(SEARCH("223a7",B252)),"223a7",IF(ISNUMBER(SEARCH("223f",B252)),"223f","OTHER"))))</f>
        <v/>
      </c>
      <c r="Q252">
        <f>IF(UPPER(C252)="NC","NC","RP")</f>
        <v/>
      </c>
      <c r="R252">
        <f>IF(G252&lt;5000000,"small",IF(G252&lt;25000000,"medium","large"))</f>
        <v/>
      </c>
      <c r="S252">
        <f>IF(K252&lt;36,"young",IF(K252&lt;120,"seasoned","aged"))</f>
        <v/>
      </c>
      <c r="T252">
        <f>P252&amp;"|"&amp;Q252&amp;"|"&amp;R252&amp;"|"&amp;S252</f>
        <v/>
      </c>
      <c r="U252" s="14">
        <f>H252*100-I252</f>
        <v/>
      </c>
      <c r="V252" s="14">
        <f>U252-12.5*(J252+1)</f>
        <v/>
      </c>
      <c r="W252" s="15">
        <f>IFERROR(VLOOKUP(T252,V8_COHORT_TABLE,2,FALSE),IFERROR(VLOOKUP(P252&amp;"|"&amp;Q252&amp;"|ALL|"&amp;S252,V8_COHORT_TABLE,2,FALSE),IFERROR(VLOOKUP(P252&amp;"|ALL|ALL|"&amp;S252,V8_COHORT_TABLE,2,FALSE),IFERROR(VLOOKUP(P252&amp;"|ALL|ALL|ALL",V8_COHORT_TABLE,2,FALSE),VLOOKUP("GLOBAL",V8_COHORT_TABLE,2,FALSE)))))</f>
        <v/>
      </c>
      <c r="X252" s="15">
        <f>IFERROR(VLOOKUP(T252,V8_COHORT_TABLE,3,FALSE),IFERROR(VLOOKUP(P252&amp;"|"&amp;Q252&amp;"|ALL|"&amp;S252,V8_COHORT_TABLE,3,FALSE),IFERROR(VLOOKUP(P252&amp;"|ALL|ALL|"&amp;S252,V8_COHORT_TABLE,3,FALSE),IFERROR(VLOOKUP(P252&amp;"|ALL|ALL|ALL",V8_COHORT_TABLE,3,FALSE),VLOOKUP("GLOBAL",V8_COHORT_TABLE,3,FALSE)))))</f>
        <v/>
      </c>
      <c r="Y252" s="15">
        <f>IFERROR(VLOOKUP(T252,V8_COHORT_TABLE,4,FALSE),IFERROR(VLOOKUP(P252&amp;"|"&amp;Q252&amp;"|ALL|"&amp;S252,V8_COHORT_TABLE,4,FALSE),IFERROR(VLOOKUP(P252&amp;"|ALL|ALL|"&amp;S252,V8_COHORT_TABLE,4,FALSE),IFERROR(VLOOKUP(P252&amp;"|ALL|ALL|ALL",V8_COHORT_TABLE,4,FALSE),VLOOKUP("GLOBAL",V8_COHORT_TABLE,4,FALSE)))))</f>
        <v/>
      </c>
      <c r="Z252" s="15">
        <f>IFERROR(VLOOKUP(T252,V8_COHORT_TABLE,5,FALSE),IFERROR(VLOOKUP(P252&amp;"|"&amp;Q252&amp;"|ALL|"&amp;S252,V8_COHORT_TABLE,5,FALSE),IFERROR(VLOOKUP(P252&amp;"|ALL|ALL|"&amp;S252,V8_COHORT_TABLE,5,FALSE),IFERROR(VLOOKUP(P252&amp;"|ALL|ALL|ALL",V8_COHORT_TABLE,5,FALSE),VLOOKUP("GLOBAL",V8_COHORT_TABLE,5,FALSE)))))</f>
        <v/>
      </c>
      <c r="AA252" s="15">
        <f>W252+X252/(1+EXP(-(V252-Y252)/Z252))</f>
        <v/>
      </c>
      <c r="AB252" s="15">
        <f>IFERROR(VLOOKUP(T252,V8_COHORT_TABLE,6,FALSE),IFERROR(VLOOKUP(P252&amp;"|"&amp;Q252&amp;"|ALL|"&amp;S252,V8_COHORT_TABLE,6,FALSE),IFERROR(VLOOKUP(P252&amp;"|ALL|ALL|"&amp;S252,V8_COHORT_TABLE,6,FALSE),IFERROR(VLOOKUP(P252&amp;"|ALL|ALL|ALL",V8_COHORT_TABLE,6,FALSE),VLOOKUP("GLOBAL",V8_COHORT_TABLE,6,FALSE)))))</f>
        <v/>
      </c>
      <c r="AC252" s="15">
        <f>IFERROR(VLOOKUP(T252,V8_COHORT_TABLE,7,FALSE),IFERROR(VLOOKUP(P252&amp;"|"&amp;Q252&amp;"|ALL|"&amp;S252,V8_COHORT_TABLE,7,FALSE),IFERROR(VLOOKUP(P252&amp;"|ALL|ALL|"&amp;S252,V8_COHORT_TABLE,7,FALSE),IFERROR(VLOOKUP(P252&amp;"|ALL|ALL|ALL",V8_COHORT_TABLE,7,FALSE),VLOOKUP("GLOBAL",V8_COHORT_TABLE,7,FALSE)))))</f>
        <v/>
      </c>
      <c r="AD252" s="15">
        <f>IFERROR(VLOOKUP(T252,V8_COHORT_TABLE,8,FALSE),IFERROR(VLOOKUP(P252&amp;"|"&amp;Q252&amp;"|ALL|"&amp;S252,V8_COHORT_TABLE,8,FALSE),IFERROR(VLOOKUP(P252&amp;"|ALL|ALL|"&amp;S252,V8_COHORT_TABLE,8,FALSE),IFERROR(VLOOKUP(P252&amp;"|ALL|ALL|ALL",V8_COHORT_TABLE,8,FALSE),VLOOKUP("GLOBAL",V8_COHORT_TABLE,8,FALSE)))))</f>
        <v/>
      </c>
      <c r="AE252" s="15">
        <f>IFERROR(VLOOKUP(T252,V8_COHORT_TABLE,9,FALSE),IFERROR(VLOOKUP(P252&amp;"|"&amp;Q252&amp;"|ALL|"&amp;S252,V8_COHORT_TABLE,9,FALSE),IFERROR(VLOOKUP(P252&amp;"|ALL|ALL|"&amp;S252,V8_COHORT_TABLE,9,FALSE),IFERROR(VLOOKUP(P252&amp;"|ALL|ALL|ALL",V8_COHORT_TABLE,9,FALSE),VLOOKUP("GLOBAL",V8_COHORT_TABLE,9,FALSE)))))</f>
        <v/>
      </c>
      <c r="AF252" s="8">
        <f>IF(K252&lt;=0,AB252,IF(K252&gt;=240,AE252,IF(K252&lt;=24,AB252+(K252-0)/24*(AC252-AB252),IF(K252&lt;=96,AC252+(K252-24)/72*(AD252-AC252),AD252+(K252-96)/144*(AE252-AD252)))))</f>
        <v/>
      </c>
      <c r="AG252" s="8">
        <f>IF(IF(OR(L252="",NOT(ISNUMBER(L252))),360,MAX(0,MIN(480,(INT(L252/100)-INT(VALUE(F252)/100))*12+MOD(L252,100)-MOD(VALUE(F252),100))))&gt;0,1+V8_MTY_AMP*MAX(0,(V8_MTY_CUTOFF-(IF(OR(L252="",NOT(ISNUMBER(L252))),360,MAX(0,MIN(480,(INT(L252/100)-INT(VALUE(F252)/100))*12+MOD(L252,100)-MOD(VALUE(F252),100))))))/V8_MTY_CUTOFF),1)</f>
        <v/>
      </c>
      <c r="AH252" s="8">
        <f>IF(AND(IF(OR(M252="",NOT(ISNUMBER(M252))),0,MAX(0,MIN(24,(INT(VALUE(F252)/100)-INT(M252/100))*12+MOD(VALUE(F252),100)-MOD(M252,100))))&gt;0,IF(OR(M252="",NOT(ISNUMBER(M252))),0,MAX(0,MIN(24,(INT(VALUE(F252)/100)-INT(M252/100))*12+MOD(VALUE(F252),100)-MOD(M252,100))))&lt;=12),1+V8_LOCKOUT_AMP*EXP(-(IF(OR(M252="",NOT(ISNUMBER(M252))),0,MAX(0,MIN(24,(INT(VALUE(F252)/100)-INT(M252/100))*12+MOD(VALUE(F252),100)-MOD(M252,100)))))/V8_LOCKOUT_TAU),1)</f>
        <v/>
      </c>
      <c r="AI252" s="8">
        <f>MAX(V8_BURN_FLOOR,1-V8_BURN_SLOPE*MIN(1,MAX(0,O252)))</f>
        <v/>
      </c>
      <c r="AJ252" s="15">
        <f>MIN(AA252*AF252*AG252*AH252*AI252,0.2)</f>
        <v/>
      </c>
      <c r="AK252" s="16">
        <f>1-(1-AJ252)^12</f>
        <v/>
      </c>
    </row>
    <row r="253">
      <c r="A253" s="2" t="inlineStr">
        <is>
          <t>000014311217</t>
        </is>
      </c>
      <c r="B253" t="inlineStr">
        <is>
          <t>223f</t>
        </is>
      </c>
      <c r="C253" t="inlineStr">
        <is>
          <t>RP</t>
        </is>
      </c>
      <c r="D253" t="inlineStr">
        <is>
          <t>NORTHMARQ FINANCE, LLC</t>
        </is>
      </c>
      <c r="E253" t="n">
        <v>2020</v>
      </c>
      <c r="F253" t="inlineStr">
        <is>
          <t>202602</t>
        </is>
      </c>
      <c r="G253" s="9" t="n">
        <v>25166647.59</v>
      </c>
      <c r="H253" s="13" t="n">
        <v>2.25</v>
      </c>
      <c r="I253" s="14" t="n">
        <v>447</v>
      </c>
      <c r="J253" s="14" t="n">
        <v>5</v>
      </c>
      <c r="K253" t="n">
        <v>62</v>
      </c>
      <c r="L253" t="n">
        <v>205601</v>
      </c>
      <c r="M253" t="inlineStr"/>
      <c r="N253" t="n">
        <v>0</v>
      </c>
      <c r="O253" s="8" t="n">
        <v>0</v>
      </c>
      <c r="P253">
        <f>IF(ISNUMBER(SEARCH("232",B253)),"232",IF(ISNUMBER(SEARCH("538",B253)),"538",IF(ISNUMBER(SEARCH("223a7",B253)),"223a7",IF(ISNUMBER(SEARCH("223f",B253)),"223f","OTHER"))))</f>
        <v/>
      </c>
      <c r="Q253">
        <f>IF(UPPER(C253)="NC","NC","RP")</f>
        <v/>
      </c>
      <c r="R253">
        <f>IF(G253&lt;5000000,"small",IF(G253&lt;25000000,"medium","large"))</f>
        <v/>
      </c>
      <c r="S253">
        <f>IF(K253&lt;36,"young",IF(K253&lt;120,"seasoned","aged"))</f>
        <v/>
      </c>
      <c r="T253">
        <f>P253&amp;"|"&amp;Q253&amp;"|"&amp;R253&amp;"|"&amp;S253</f>
        <v/>
      </c>
      <c r="U253" s="14">
        <f>H253*100-I253</f>
        <v/>
      </c>
      <c r="V253" s="14">
        <f>U253-12.5*(J253+1)</f>
        <v/>
      </c>
      <c r="W253" s="15">
        <f>IFERROR(VLOOKUP(T253,V8_COHORT_TABLE,2,FALSE),IFERROR(VLOOKUP(P253&amp;"|"&amp;Q253&amp;"|ALL|"&amp;S253,V8_COHORT_TABLE,2,FALSE),IFERROR(VLOOKUP(P253&amp;"|ALL|ALL|"&amp;S253,V8_COHORT_TABLE,2,FALSE),IFERROR(VLOOKUP(P253&amp;"|ALL|ALL|ALL",V8_COHORT_TABLE,2,FALSE),VLOOKUP("GLOBAL",V8_COHORT_TABLE,2,FALSE)))))</f>
        <v/>
      </c>
      <c r="X253" s="15">
        <f>IFERROR(VLOOKUP(T253,V8_COHORT_TABLE,3,FALSE),IFERROR(VLOOKUP(P253&amp;"|"&amp;Q253&amp;"|ALL|"&amp;S253,V8_COHORT_TABLE,3,FALSE),IFERROR(VLOOKUP(P253&amp;"|ALL|ALL|"&amp;S253,V8_COHORT_TABLE,3,FALSE),IFERROR(VLOOKUP(P253&amp;"|ALL|ALL|ALL",V8_COHORT_TABLE,3,FALSE),VLOOKUP("GLOBAL",V8_COHORT_TABLE,3,FALSE)))))</f>
        <v/>
      </c>
      <c r="Y253" s="15">
        <f>IFERROR(VLOOKUP(T253,V8_COHORT_TABLE,4,FALSE),IFERROR(VLOOKUP(P253&amp;"|"&amp;Q253&amp;"|ALL|"&amp;S253,V8_COHORT_TABLE,4,FALSE),IFERROR(VLOOKUP(P253&amp;"|ALL|ALL|"&amp;S253,V8_COHORT_TABLE,4,FALSE),IFERROR(VLOOKUP(P253&amp;"|ALL|ALL|ALL",V8_COHORT_TABLE,4,FALSE),VLOOKUP("GLOBAL",V8_COHORT_TABLE,4,FALSE)))))</f>
        <v/>
      </c>
      <c r="Z253" s="15">
        <f>IFERROR(VLOOKUP(T253,V8_COHORT_TABLE,5,FALSE),IFERROR(VLOOKUP(P253&amp;"|"&amp;Q253&amp;"|ALL|"&amp;S253,V8_COHORT_TABLE,5,FALSE),IFERROR(VLOOKUP(P253&amp;"|ALL|ALL|"&amp;S253,V8_COHORT_TABLE,5,FALSE),IFERROR(VLOOKUP(P253&amp;"|ALL|ALL|ALL",V8_COHORT_TABLE,5,FALSE),VLOOKUP("GLOBAL",V8_COHORT_TABLE,5,FALSE)))))</f>
        <v/>
      </c>
      <c r="AA253" s="15">
        <f>W253+X253/(1+EXP(-(V253-Y253)/Z253))</f>
        <v/>
      </c>
      <c r="AB253" s="15">
        <f>IFERROR(VLOOKUP(T253,V8_COHORT_TABLE,6,FALSE),IFERROR(VLOOKUP(P253&amp;"|"&amp;Q253&amp;"|ALL|"&amp;S253,V8_COHORT_TABLE,6,FALSE),IFERROR(VLOOKUP(P253&amp;"|ALL|ALL|"&amp;S253,V8_COHORT_TABLE,6,FALSE),IFERROR(VLOOKUP(P253&amp;"|ALL|ALL|ALL",V8_COHORT_TABLE,6,FALSE),VLOOKUP("GLOBAL",V8_COHORT_TABLE,6,FALSE)))))</f>
        <v/>
      </c>
      <c r="AC253" s="15">
        <f>IFERROR(VLOOKUP(T253,V8_COHORT_TABLE,7,FALSE),IFERROR(VLOOKUP(P253&amp;"|"&amp;Q253&amp;"|ALL|"&amp;S253,V8_COHORT_TABLE,7,FALSE),IFERROR(VLOOKUP(P253&amp;"|ALL|ALL|"&amp;S253,V8_COHORT_TABLE,7,FALSE),IFERROR(VLOOKUP(P253&amp;"|ALL|ALL|ALL",V8_COHORT_TABLE,7,FALSE),VLOOKUP("GLOBAL",V8_COHORT_TABLE,7,FALSE)))))</f>
        <v/>
      </c>
      <c r="AD253" s="15">
        <f>IFERROR(VLOOKUP(T253,V8_COHORT_TABLE,8,FALSE),IFERROR(VLOOKUP(P253&amp;"|"&amp;Q253&amp;"|ALL|"&amp;S253,V8_COHORT_TABLE,8,FALSE),IFERROR(VLOOKUP(P253&amp;"|ALL|ALL|"&amp;S253,V8_COHORT_TABLE,8,FALSE),IFERROR(VLOOKUP(P253&amp;"|ALL|ALL|ALL",V8_COHORT_TABLE,8,FALSE),VLOOKUP("GLOBAL",V8_COHORT_TABLE,8,FALSE)))))</f>
        <v/>
      </c>
      <c r="AE253" s="15">
        <f>IFERROR(VLOOKUP(T253,V8_COHORT_TABLE,9,FALSE),IFERROR(VLOOKUP(P253&amp;"|"&amp;Q253&amp;"|ALL|"&amp;S253,V8_COHORT_TABLE,9,FALSE),IFERROR(VLOOKUP(P253&amp;"|ALL|ALL|"&amp;S253,V8_COHORT_TABLE,9,FALSE),IFERROR(VLOOKUP(P253&amp;"|ALL|ALL|ALL",V8_COHORT_TABLE,9,FALSE),VLOOKUP("GLOBAL",V8_COHORT_TABLE,9,FALSE)))))</f>
        <v/>
      </c>
      <c r="AF253" s="8">
        <f>IF(K253&lt;=0,AB253,IF(K253&gt;=240,AE253,IF(K253&lt;=24,AB253+(K253-0)/24*(AC253-AB253),IF(K253&lt;=96,AC253+(K253-24)/72*(AD253-AC253),AD253+(K253-96)/144*(AE253-AD253)))))</f>
        <v/>
      </c>
      <c r="AG253" s="8">
        <f>IF(IF(OR(L253="",NOT(ISNUMBER(L253))),360,MAX(0,MIN(480,(INT(L253/100)-INT(VALUE(F253)/100))*12+MOD(L253,100)-MOD(VALUE(F253),100))))&gt;0,1+V8_MTY_AMP*MAX(0,(V8_MTY_CUTOFF-(IF(OR(L253="",NOT(ISNUMBER(L253))),360,MAX(0,MIN(480,(INT(L253/100)-INT(VALUE(F253)/100))*12+MOD(L253,100)-MOD(VALUE(F253),100))))))/V8_MTY_CUTOFF),1)</f>
        <v/>
      </c>
      <c r="AH253" s="8">
        <f>IF(AND(IF(OR(M253="",NOT(ISNUMBER(M253))),0,MAX(0,MIN(24,(INT(VALUE(F253)/100)-INT(M253/100))*12+MOD(VALUE(F253),100)-MOD(M253,100))))&gt;0,IF(OR(M253="",NOT(ISNUMBER(M253))),0,MAX(0,MIN(24,(INT(VALUE(F253)/100)-INT(M253/100))*12+MOD(VALUE(F253),100)-MOD(M253,100))))&lt;=12),1+V8_LOCKOUT_AMP*EXP(-(IF(OR(M253="",NOT(ISNUMBER(M253))),0,MAX(0,MIN(24,(INT(VALUE(F253)/100)-INT(M253/100))*12+MOD(VALUE(F253),100)-MOD(M253,100)))))/V8_LOCKOUT_TAU),1)</f>
        <v/>
      </c>
      <c r="AI253" s="8">
        <f>MAX(V8_BURN_FLOOR,1-V8_BURN_SLOPE*MIN(1,MAX(0,O253)))</f>
        <v/>
      </c>
      <c r="AJ253" s="15">
        <f>MIN(AA253*AF253*AG253*AH253*AI253,0.2)</f>
        <v/>
      </c>
      <c r="AK253" s="16">
        <f>1-(1-AJ253)^12</f>
        <v/>
      </c>
    </row>
    <row r="254">
      <c r="A254" s="2" t="inlineStr">
        <is>
          <t>000008311216</t>
        </is>
      </c>
      <c r="B254" t="inlineStr">
        <is>
          <t>223f</t>
        </is>
      </c>
      <c r="C254" t="inlineStr">
        <is>
          <t>RP</t>
        </is>
      </c>
      <c r="D254" t="inlineStr">
        <is>
          <t>NORTHMARQ FINANCE, LLC</t>
        </is>
      </c>
      <c r="E254" t="n">
        <v>2021</v>
      </c>
      <c r="F254" t="inlineStr">
        <is>
          <t>202602</t>
        </is>
      </c>
      <c r="G254" s="9" t="n">
        <v>9833583.34</v>
      </c>
      <c r="H254" s="13" t="n">
        <v>2.7</v>
      </c>
      <c r="I254" s="14" t="n">
        <v>447</v>
      </c>
      <c r="J254" s="14" t="n">
        <v>6</v>
      </c>
      <c r="K254" t="n">
        <v>58</v>
      </c>
      <c r="L254" t="n">
        <v>205605</v>
      </c>
      <c r="M254" t="inlineStr"/>
      <c r="N254" t="n">
        <v>0</v>
      </c>
      <c r="O254" s="8" t="n">
        <v>0</v>
      </c>
      <c r="P254">
        <f>IF(ISNUMBER(SEARCH("232",B254)),"232",IF(ISNUMBER(SEARCH("538",B254)),"538",IF(ISNUMBER(SEARCH("223a7",B254)),"223a7",IF(ISNUMBER(SEARCH("223f",B254)),"223f","OTHER"))))</f>
        <v/>
      </c>
      <c r="Q254">
        <f>IF(UPPER(C254)="NC","NC","RP")</f>
        <v/>
      </c>
      <c r="R254">
        <f>IF(G254&lt;5000000,"small",IF(G254&lt;25000000,"medium","large"))</f>
        <v/>
      </c>
      <c r="S254">
        <f>IF(K254&lt;36,"young",IF(K254&lt;120,"seasoned","aged"))</f>
        <v/>
      </c>
      <c r="T254">
        <f>P254&amp;"|"&amp;Q254&amp;"|"&amp;R254&amp;"|"&amp;S254</f>
        <v/>
      </c>
      <c r="U254" s="14">
        <f>H254*100-I254</f>
        <v/>
      </c>
      <c r="V254" s="14">
        <f>U254-12.5*(J254+1)</f>
        <v/>
      </c>
      <c r="W254" s="15">
        <f>IFERROR(VLOOKUP(T254,V8_COHORT_TABLE,2,FALSE),IFERROR(VLOOKUP(P254&amp;"|"&amp;Q254&amp;"|ALL|"&amp;S254,V8_COHORT_TABLE,2,FALSE),IFERROR(VLOOKUP(P254&amp;"|ALL|ALL|"&amp;S254,V8_COHORT_TABLE,2,FALSE),IFERROR(VLOOKUP(P254&amp;"|ALL|ALL|ALL",V8_COHORT_TABLE,2,FALSE),VLOOKUP("GLOBAL",V8_COHORT_TABLE,2,FALSE)))))</f>
        <v/>
      </c>
      <c r="X254" s="15">
        <f>IFERROR(VLOOKUP(T254,V8_COHORT_TABLE,3,FALSE),IFERROR(VLOOKUP(P254&amp;"|"&amp;Q254&amp;"|ALL|"&amp;S254,V8_COHORT_TABLE,3,FALSE),IFERROR(VLOOKUP(P254&amp;"|ALL|ALL|"&amp;S254,V8_COHORT_TABLE,3,FALSE),IFERROR(VLOOKUP(P254&amp;"|ALL|ALL|ALL",V8_COHORT_TABLE,3,FALSE),VLOOKUP("GLOBAL",V8_COHORT_TABLE,3,FALSE)))))</f>
        <v/>
      </c>
      <c r="Y254" s="15">
        <f>IFERROR(VLOOKUP(T254,V8_COHORT_TABLE,4,FALSE),IFERROR(VLOOKUP(P254&amp;"|"&amp;Q254&amp;"|ALL|"&amp;S254,V8_COHORT_TABLE,4,FALSE),IFERROR(VLOOKUP(P254&amp;"|ALL|ALL|"&amp;S254,V8_COHORT_TABLE,4,FALSE),IFERROR(VLOOKUP(P254&amp;"|ALL|ALL|ALL",V8_COHORT_TABLE,4,FALSE),VLOOKUP("GLOBAL",V8_COHORT_TABLE,4,FALSE)))))</f>
        <v/>
      </c>
      <c r="Z254" s="15">
        <f>IFERROR(VLOOKUP(T254,V8_COHORT_TABLE,5,FALSE),IFERROR(VLOOKUP(P254&amp;"|"&amp;Q254&amp;"|ALL|"&amp;S254,V8_COHORT_TABLE,5,FALSE),IFERROR(VLOOKUP(P254&amp;"|ALL|ALL|"&amp;S254,V8_COHORT_TABLE,5,FALSE),IFERROR(VLOOKUP(P254&amp;"|ALL|ALL|ALL",V8_COHORT_TABLE,5,FALSE),VLOOKUP("GLOBAL",V8_COHORT_TABLE,5,FALSE)))))</f>
        <v/>
      </c>
      <c r="AA254" s="15">
        <f>W254+X254/(1+EXP(-(V254-Y254)/Z254))</f>
        <v/>
      </c>
      <c r="AB254" s="15">
        <f>IFERROR(VLOOKUP(T254,V8_COHORT_TABLE,6,FALSE),IFERROR(VLOOKUP(P254&amp;"|"&amp;Q254&amp;"|ALL|"&amp;S254,V8_COHORT_TABLE,6,FALSE),IFERROR(VLOOKUP(P254&amp;"|ALL|ALL|"&amp;S254,V8_COHORT_TABLE,6,FALSE),IFERROR(VLOOKUP(P254&amp;"|ALL|ALL|ALL",V8_COHORT_TABLE,6,FALSE),VLOOKUP("GLOBAL",V8_COHORT_TABLE,6,FALSE)))))</f>
        <v/>
      </c>
      <c r="AC254" s="15">
        <f>IFERROR(VLOOKUP(T254,V8_COHORT_TABLE,7,FALSE),IFERROR(VLOOKUP(P254&amp;"|"&amp;Q254&amp;"|ALL|"&amp;S254,V8_COHORT_TABLE,7,FALSE),IFERROR(VLOOKUP(P254&amp;"|ALL|ALL|"&amp;S254,V8_COHORT_TABLE,7,FALSE),IFERROR(VLOOKUP(P254&amp;"|ALL|ALL|ALL",V8_COHORT_TABLE,7,FALSE),VLOOKUP("GLOBAL",V8_COHORT_TABLE,7,FALSE)))))</f>
        <v/>
      </c>
      <c r="AD254" s="15">
        <f>IFERROR(VLOOKUP(T254,V8_COHORT_TABLE,8,FALSE),IFERROR(VLOOKUP(P254&amp;"|"&amp;Q254&amp;"|ALL|"&amp;S254,V8_COHORT_TABLE,8,FALSE),IFERROR(VLOOKUP(P254&amp;"|ALL|ALL|"&amp;S254,V8_COHORT_TABLE,8,FALSE),IFERROR(VLOOKUP(P254&amp;"|ALL|ALL|ALL",V8_COHORT_TABLE,8,FALSE),VLOOKUP("GLOBAL",V8_COHORT_TABLE,8,FALSE)))))</f>
        <v/>
      </c>
      <c r="AE254" s="15">
        <f>IFERROR(VLOOKUP(T254,V8_COHORT_TABLE,9,FALSE),IFERROR(VLOOKUP(P254&amp;"|"&amp;Q254&amp;"|ALL|"&amp;S254,V8_COHORT_TABLE,9,FALSE),IFERROR(VLOOKUP(P254&amp;"|ALL|ALL|"&amp;S254,V8_COHORT_TABLE,9,FALSE),IFERROR(VLOOKUP(P254&amp;"|ALL|ALL|ALL",V8_COHORT_TABLE,9,FALSE),VLOOKUP("GLOBAL",V8_COHORT_TABLE,9,FALSE)))))</f>
        <v/>
      </c>
      <c r="AF254" s="8">
        <f>IF(K254&lt;=0,AB254,IF(K254&gt;=240,AE254,IF(K254&lt;=24,AB254+(K254-0)/24*(AC254-AB254),IF(K254&lt;=96,AC254+(K254-24)/72*(AD254-AC254),AD254+(K254-96)/144*(AE254-AD254)))))</f>
        <v/>
      </c>
      <c r="AG254" s="8">
        <f>IF(IF(OR(L254="",NOT(ISNUMBER(L254))),360,MAX(0,MIN(480,(INT(L254/100)-INT(VALUE(F254)/100))*12+MOD(L254,100)-MOD(VALUE(F254),100))))&gt;0,1+V8_MTY_AMP*MAX(0,(V8_MTY_CUTOFF-(IF(OR(L254="",NOT(ISNUMBER(L254))),360,MAX(0,MIN(480,(INT(L254/100)-INT(VALUE(F254)/100))*12+MOD(L254,100)-MOD(VALUE(F254),100))))))/V8_MTY_CUTOFF),1)</f>
        <v/>
      </c>
      <c r="AH254" s="8">
        <f>IF(AND(IF(OR(M254="",NOT(ISNUMBER(M254))),0,MAX(0,MIN(24,(INT(VALUE(F254)/100)-INT(M254/100))*12+MOD(VALUE(F254),100)-MOD(M254,100))))&gt;0,IF(OR(M254="",NOT(ISNUMBER(M254))),0,MAX(0,MIN(24,(INT(VALUE(F254)/100)-INT(M254/100))*12+MOD(VALUE(F254),100)-MOD(M254,100))))&lt;=12),1+V8_LOCKOUT_AMP*EXP(-(IF(OR(M254="",NOT(ISNUMBER(M254))),0,MAX(0,MIN(24,(INT(VALUE(F254)/100)-INT(M254/100))*12+MOD(VALUE(F254),100)-MOD(M254,100)))))/V8_LOCKOUT_TAU),1)</f>
        <v/>
      </c>
      <c r="AI254" s="8">
        <f>MAX(V8_BURN_FLOOR,1-V8_BURN_SLOPE*MIN(1,MAX(0,O254)))</f>
        <v/>
      </c>
      <c r="AJ254" s="15">
        <f>MIN(AA254*AF254*AG254*AH254*AI254,0.2)</f>
        <v/>
      </c>
      <c r="AK254" s="16">
        <f>1-(1-AJ254)^12</f>
        <v/>
      </c>
    </row>
  </sheetData>
  <mergeCells count="7">
    <mergeCell ref="AG1:AI1"/>
    <mergeCell ref="G1:O1"/>
    <mergeCell ref="AB1:AF1"/>
    <mergeCell ref="A1:F1"/>
    <mergeCell ref="AJ1:AK1"/>
    <mergeCell ref="W1:AA1"/>
    <mergeCell ref="P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SanCap per-cohort benchmarks vs V8</t>
        </is>
      </c>
    </row>
    <row r="2">
      <c r="A2" s="4" t="inlineStr">
        <is>
          <t>Each scenario maps to a V8 cohort_id; V8 prediction comes from that cohort's fitted sigmoid + V7 structural multipliers.</t>
        </is>
      </c>
    </row>
    <row r="3">
      <c r="A3" s="4" t="inlineStr">
        <is>
          <t>Persistent gaps reflect the 2018-2026 vs 2014-2018 era mismatch (panel slower than SanCap reference). Informational, not pass/fail.</t>
        </is>
      </c>
    </row>
    <row r="4">
      <c r="A4" s="5" t="inlineStr">
        <is>
          <t>Scenario</t>
        </is>
      </c>
      <c r="B4" s="5" t="inlineStr">
        <is>
          <t>Cohort</t>
        </is>
      </c>
      <c r="C4" s="5" t="inlineStr">
        <is>
          <t>SanCap CPR</t>
        </is>
      </c>
      <c r="D4" s="5" t="inlineStr">
        <is>
          <t>V8 pred CPR</t>
        </is>
      </c>
      <c r="E4" s="5" t="inlineStr">
        <is>
          <t>Δ (pp)</t>
        </is>
      </c>
      <c r="F4" s="5" t="inlineStr">
        <is>
          <t>Flag</t>
        </is>
      </c>
    </row>
    <row r="5">
      <c r="A5" t="inlineStr">
        <is>
          <t>ATM, avg-pen, 5M / 223f / RP</t>
        </is>
      </c>
      <c r="B5" s="2" t="inlineStr">
        <is>
          <t>223f|RP|medium|seasoned</t>
        </is>
      </c>
      <c r="C5" s="14" t="n">
        <v>20</v>
      </c>
      <c r="D5" s="7" t="n">
        <v>10.69</v>
      </c>
      <c r="E5" s="7" t="n">
        <v>9.31</v>
      </c>
      <c r="F5" s="17" t="inlineStr">
        <is>
          <t>ok</t>
        </is>
      </c>
    </row>
    <row r="6">
      <c r="A6" t="inlineStr">
        <is>
          <t>+50bp, 5M / 223f / RP</t>
        </is>
      </c>
      <c r="B6" s="2" t="inlineStr">
        <is>
          <t>223f|RP|medium|seasoned</t>
        </is>
      </c>
      <c r="C6" s="14" t="n">
        <v>35</v>
      </c>
      <c r="D6" s="7" t="n">
        <v>18.02</v>
      </c>
      <c r="E6" s="7" t="n">
        <v>16.98</v>
      </c>
      <c r="F6" s="18" t="inlineStr">
        <is>
          <t>REVIEW</t>
        </is>
      </c>
    </row>
    <row r="7">
      <c r="A7" t="inlineStr">
        <is>
          <t>+100bp, 5M / 223f / RP</t>
        </is>
      </c>
      <c r="B7" s="2" t="inlineStr">
        <is>
          <t>223f|RP|medium|seasoned</t>
        </is>
      </c>
      <c r="C7" s="14" t="n">
        <v>45</v>
      </c>
      <c r="D7" s="7" t="n">
        <v>29.73</v>
      </c>
      <c r="E7" s="7" t="n">
        <v>15.27</v>
      </c>
      <c r="F7" s="18" t="inlineStr">
        <is>
          <t>REVIEW</t>
        </is>
      </c>
    </row>
    <row r="8">
      <c r="A8" t="inlineStr">
        <is>
          <t>+100bp 7%pen, 5M / 223f / RP</t>
        </is>
      </c>
      <c r="B8" s="2" t="inlineStr">
        <is>
          <t>223f|RP|medium|seasoned</t>
        </is>
      </c>
      <c r="C8" s="14" t="n">
        <v>30</v>
      </c>
      <c r="D8" s="7" t="n">
        <v>23.41</v>
      </c>
      <c r="E8" s="7" t="n">
        <v>6.59</v>
      </c>
      <c r="F8" s="17" t="inlineStr">
        <is>
          <t>ok</t>
        </is>
      </c>
    </row>
    <row r="9">
      <c r="A9" t="inlineStr">
        <is>
          <t>+100bp 9%pen, 5M / 223f / RP</t>
        </is>
      </c>
      <c r="B9" s="2" t="inlineStr">
        <is>
          <t>223f|RP|medium|seasoned</t>
        </is>
      </c>
      <c r="C9" s="14" t="n">
        <v>18</v>
      </c>
      <c r="D9" s="7" t="n">
        <v>18.02</v>
      </c>
      <c r="E9" s="7" t="n">
        <v>0.02</v>
      </c>
      <c r="F9" s="17" t="inlineStr">
        <is>
          <t>ok</t>
        </is>
      </c>
    </row>
    <row r="10">
      <c r="A10" t="inlineStr">
        <is>
          <t>$15M @ +50bp / 223f / RP</t>
        </is>
      </c>
      <c r="B10" s="2" t="inlineStr">
        <is>
          <t>223f|RP|medium|seasoned</t>
        </is>
      </c>
      <c r="C10" s="14" t="n">
        <v>40</v>
      </c>
      <c r="D10" s="7" t="n">
        <v>18.02</v>
      </c>
      <c r="E10" s="7" t="n">
        <v>21.98</v>
      </c>
      <c r="F10" s="18" t="inlineStr">
        <is>
          <t>REVIEW</t>
        </is>
      </c>
    </row>
    <row r="11">
      <c r="A11" t="inlineStr">
        <is>
          <t>NC @ +100bp age 30m / 232 / NC</t>
        </is>
      </c>
      <c r="B11" s="2" t="inlineStr">
        <is>
          <t>232|NC|medium|young</t>
        </is>
      </c>
      <c r="C11" s="14" t="n">
        <v>70</v>
      </c>
      <c r="D11" s="7" t="n">
        <v>7.9</v>
      </c>
      <c r="E11" s="7" t="n">
        <v>62.1</v>
      </c>
      <c r="F11" s="18" t="inlineStr">
        <is>
          <t>REVIEW</t>
        </is>
      </c>
    </row>
    <row r="12">
      <c r="A12" t="inlineStr">
        <is>
          <t>Rural-538 @ +100bp / RP</t>
        </is>
      </c>
      <c r="B12" s="2" t="inlineStr">
        <is>
          <t>538|RP|medium|seasoned</t>
        </is>
      </c>
      <c r="C12" s="14" t="n">
        <v>10</v>
      </c>
      <c r="D12" s="7" t="n">
        <v>1.47</v>
      </c>
      <c r="E12" s="7" t="n">
        <v>8.529999999999999</v>
      </c>
      <c r="F12" s="17" t="inlineStr">
        <is>
          <t>ok</t>
        </is>
      </c>
    </row>
    <row r="13">
      <c r="A13" t="inlineStr">
        <is>
          <t>HC-232 @ +100bp / RP</t>
        </is>
      </c>
      <c r="B13" s="2" t="inlineStr">
        <is>
          <t>232|RP|medium|seasoned</t>
        </is>
      </c>
      <c r="C13" s="14" t="n">
        <v>30</v>
      </c>
      <c r="D13" s="7" t="n">
        <v>14.22</v>
      </c>
      <c r="E13" s="7" t="n">
        <v>15.78</v>
      </c>
      <c r="F13" s="18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2026-05-05T14:15:38Z</dcterms:created>
  <dcterms:modified xsi:type="dcterms:W3CDTF">2026-05-05T14:15:38Z</dcterms:modified>
</cp:coreProperties>
</file>