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efficients" sheetId="2" state="visible" r:id="rId2"/>
    <sheet name="Loan_Snapshot" sheetId="3" state="visible" r:id="rId3"/>
    <sheet name="Deal_Aggregator" sheetId="4" state="visible" r:id="rId4"/>
  </sheets>
  <definedNames>
    <definedName name="INTERCEPT_SCALED">Coefficients!$B$26</definedName>
    <definedName name="BASELINE_SMM">Coefficients!$B$27</definedName>
    <definedName name="BASELINE_CPR">Coefficients!$B$28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00"/>
    <numFmt numFmtId="165" formatCode="0.00000000"/>
    <numFmt numFmtId="166" formatCode="0.0000%"/>
    <numFmt numFmtId="167" formatCode="0.000"/>
    <numFmt numFmtId="168" formatCode="0.0"/>
    <numFmt numFmtId="169" formatCode="0.0000"/>
    <numFmt numFmtId="170" formatCode="0.000000%"/>
  </numFmts>
  <fonts count="7">
    <font>
      <name val="Calibri"/>
      <family val="2"/>
      <color theme="1"/>
      <sz val="11"/>
      <scheme val="minor"/>
    </font>
    <font>
      <b val="1"/>
    </font>
    <font>
      <name val="Consolas"/>
    </font>
    <font>
      <b val="1"/>
      <sz val="14"/>
    </font>
    <font>
      <i val="1"/>
      <color rgb="006B7280"/>
    </font>
    <font>
      <b val="1"/>
      <color rgb="00FFFFFF"/>
    </font>
    <font>
      <i val="1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374151"/>
      </patternFill>
    </fill>
    <fill>
      <patternFill patternType="solid">
        <fgColor rgb="00064E3B"/>
      </patternFill>
    </fill>
    <fill>
      <patternFill patternType="solid">
        <fgColor rgb="00312E81"/>
      </patternFill>
    </fill>
    <fill>
      <patternFill patternType="solid">
        <fgColor rgb="0092400E"/>
      </patternFill>
    </fill>
    <fill>
      <patternFill patternType="solid">
        <fgColor rgb="009D174D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6" fillId="0" borderId="0" pivotButton="0" quotePrefix="0" xfId="0"/>
    <xf numFmtId="0" fontId="2" fillId="3" borderId="0" pivotButton="0" quotePrefix="0" xfId="0"/>
    <xf numFmtId="165" fontId="2" fillId="4" borderId="0" pivotButton="0" quotePrefix="0" xfId="0"/>
    <xf numFmtId="166" fontId="2" fillId="4" borderId="0" pivotButton="0" quotePrefix="0" xfId="0"/>
    <xf numFmtId="166" fontId="0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164" fontId="2" fillId="3" borderId="0" pivotButton="0" quotePrefix="0" xfId="0"/>
    <xf numFmtId="165" fontId="2" fillId="3" borderId="0" pivotButton="0" quotePrefix="0" xfId="0"/>
    <xf numFmtId="3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4" fontId="0" fillId="0" borderId="0" pivotButton="0" quotePrefix="0" xfId="0"/>
    <xf numFmtId="169" fontId="0" fillId="0" borderId="0" pivotButton="0" quotePrefix="0" xfId="0"/>
    <xf numFmtId="165" fontId="0" fillId="0" borderId="0" pivotButton="0" quotePrefix="0" xfId="0"/>
    <xf numFmtId="170" fontId="0" fillId="0" borderId="0" pivotButton="0" quotePrefix="0" xfId="0"/>
    <xf numFmtId="0" fontId="1" fillId="4" borderId="0" pivotButton="0" quotePrefix="0" xfId="0"/>
    <xf numFmtId="0" fontId="0" fillId="4" borderId="0" pivotButton="0" quotePrefix="0" xfId="0"/>
    <xf numFmtId="3" fontId="0" fillId="4" borderId="0" pivotButton="0" quotePrefix="0" xfId="0"/>
    <xf numFmtId="166" fontId="0" fillId="4" borderId="0" pivotButton="0" quotePrefix="0" xfId="0"/>
    <xf numFmtId="17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V6E Voluntary Prepayment Calculator</t>
        </is>
      </c>
    </row>
    <row r="2">
      <c r="A2" t="inlineStr"/>
    </row>
    <row r="3">
      <c r="A3" t="inlineStr">
        <is>
          <t>Model: V6E (18-feature logistic regression, test AUC 0.7614)</t>
        </is>
      </c>
    </row>
    <row r="4">
      <c r="A4" t="inlineStr">
        <is>
          <t>Training period: 201812 to 202602</t>
        </is>
      </c>
    </row>
    <row r="5">
      <c r="A5" t="inlineStr">
        <is>
          <t>Training events: 9,630 voluntary prepays in 1,225,921 eligible loan-months</t>
        </is>
      </c>
    </row>
    <row r="6">
      <c r="A6" t="inlineStr"/>
    </row>
    <row r="7">
      <c r="A7" s="1" t="inlineStr">
        <is>
          <t>Tabs</t>
        </is>
      </c>
    </row>
    <row r="8">
      <c r="A8" t="inlineStr">
        <is>
          <t xml:space="preserve">  Coefficients     - 18 feature parameters + intercept + diagnostics. Edit at your own risk.</t>
        </is>
      </c>
    </row>
    <row r="9">
      <c r="A9" t="inlineStr">
        <is>
          <t xml:space="preserve">  Loan_Snapshot    - one row per loan, current-period CPR + per-feature attribution.</t>
        </is>
      </c>
    </row>
    <row r="10">
      <c r="A10" t="inlineStr">
        <is>
          <t xml:space="preserve">                     Paste new loans into rows below the existing data; formulas autopopulate.</t>
        </is>
      </c>
    </row>
    <row r="11">
      <c r="A11" t="inlineStr">
        <is>
          <t xml:space="preserve">  Deal_Aggregator  - UPB-weighted deal-level rollup. Edit Deal_ID column in Loan_Snapshot to control grouping.</t>
        </is>
      </c>
    </row>
    <row r="12">
      <c r="A12" t="inlineStr"/>
    </row>
    <row r="13">
      <c r="A13" s="1" t="inlineStr">
        <is>
          <t>Math (centered native form)</t>
        </is>
      </c>
    </row>
    <row r="14">
      <c r="A14" s="2" t="inlineStr">
        <is>
          <t xml:space="preserve">  contribution_j = beta_native_j * (x_j - mean_j)</t>
        </is>
      </c>
    </row>
    <row r="15">
      <c r="A15" s="2" t="inlineStr">
        <is>
          <t xml:space="preserve">  logit_z        = intercept_scaled + SUM(contributions)</t>
        </is>
      </c>
    </row>
    <row r="16">
      <c r="A16" s="2" t="inlineStr">
        <is>
          <t xml:space="preserve">  SMM            = 1 / (1 + EXP(-logit_z))</t>
        </is>
      </c>
    </row>
    <row r="17">
      <c r="A17" s="2" t="inlineStr">
        <is>
          <t xml:space="preserve">  pred_CPR       = 1 - (1 - SMM)^12</t>
        </is>
      </c>
    </row>
    <row r="18">
      <c r="A18" s="2" t="inlineStr">
        <is>
          <t xml:space="preserve">  baseline_CPR   = CPR of a hypothetical loan with all features at their training-mean values</t>
        </is>
      </c>
    </row>
    <row r="19">
      <c r="A19" s="2" t="inlineStr">
        <is>
          <t xml:space="preserve">  attribution_j  = (contribution_j / SUM(contributions)) * (pred_CPR - baseline_CPR)</t>
        </is>
      </c>
    </row>
    <row r="20">
      <c r="A20" t="inlineStr"/>
    </row>
    <row r="21">
      <c r="A21" s="1" t="inlineStr">
        <is>
          <t>Sanity check (column 'Sanity' in Loan_Snapshot)</t>
        </is>
      </c>
    </row>
    <row r="22">
      <c r="A22" s="2" t="inlineStr">
        <is>
          <t xml:space="preserve">  baseline_CPR + SUM(attribution) - pred_CPR  should equal 0 (within rounding).</t>
        </is>
      </c>
    </row>
    <row r="23">
      <c r="A23" t="inlineStr"/>
    </row>
    <row r="24">
      <c r="A24" s="1" t="inlineStr">
        <is>
          <t>Scope and caveats</t>
        </is>
      </c>
    </row>
    <row r="25">
      <c r="A25" t="inlineStr">
        <is>
          <t xml:space="preserve">  - Snapshot CPR only. Forward projection (rate-shock vectors, monthly amortization) is NOT in this</t>
        </is>
      </c>
    </row>
    <row r="26">
      <c r="A26" t="inlineStr">
        <is>
          <t xml:space="preserve">    workbook; it lives in the dashboard's Loan Projector tab.</t>
        </is>
      </c>
    </row>
    <row r="27">
      <c r="A27" t="inlineStr">
        <is>
          <t xml:space="preserve">  - Refi incentive is RECOMPUTED in Excel from loan_rate, plc_rate, and prepay_penalty_points so</t>
        </is>
      </c>
    </row>
    <row r="28">
      <c r="A28" t="inlineStr">
        <is>
          <t xml:space="preserve">    you can run what-ifs by editing those inputs.</t>
        </is>
      </c>
    </row>
    <row r="29">
      <c r="A29" t="inlineStr">
        <is>
          <t xml:space="preserve">  - cum_itm is a STATE variable carried in from the panel. To do forward what-ifs, you must roll it</t>
        </is>
      </c>
    </row>
    <row r="30">
      <c r="A30" t="inlineStr">
        <is>
          <t xml:space="preserve">    forward yourself (add 1 each month the projected refi_incentive &gt; 0).</t>
        </is>
      </c>
    </row>
    <row r="31">
      <c r="A31" t="inlineStr">
        <is>
          <t xml:space="preserve">  - is_post_covid is currently a vintage&gt;=2021 flag. It captures real cohort behavior today but is</t>
        </is>
      </c>
    </row>
    <row r="32">
      <c r="A32" t="inlineStr">
        <is>
          <t xml:space="preserve">    fragile in low-rate forward scenarios.</t>
        </is>
      </c>
    </row>
    <row r="33">
      <c r="A33" t="inlineStr">
        <is>
          <t xml:space="preserve">  - Issuer dummies cover 7 names; all other issuers (incl. Lument, Greystone) sit in 'other' baseline.</t>
        </is>
      </c>
    </row>
    <row r="34">
      <c r="A34" t="inlineStr"/>
    </row>
    <row r="35">
      <c r="A35" s="1" t="inlineStr">
        <is>
          <t>File built from</t>
        </is>
      </c>
    </row>
    <row r="36">
      <c r="A36" s="2" t="inlineStr">
        <is>
          <t xml:space="preserve">  Panel: gnma_mf_raw_data_20260504_135955.parquet (1,314,304 rows, 88 cols)</t>
        </is>
      </c>
    </row>
    <row r="37">
      <c r="A37" s="2" t="inlineStr">
        <is>
          <t xml:space="preserve">  Model: model_data_v6e.json (snapshot 202602)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14" customWidth="1" min="4" max="4"/>
    <col width="16" customWidth="1" min="5" max="5"/>
    <col width="14" customWidth="1" min="6" max="6"/>
    <col width="14" customWidth="1" min="7" max="7"/>
    <col width="36" customWidth="1" min="8" max="8"/>
  </cols>
  <sheetData>
    <row r="1">
      <c r="A1" s="3" t="inlineStr">
        <is>
          <t>V6E Voluntary Prepayment Model - Coefficients</t>
        </is>
      </c>
    </row>
    <row r="2">
      <c r="A2" s="4" t="inlineStr">
        <is>
          <t>Edit at your own risk. Loan_Snapshot pulls mean/std/beta_native from this tab.</t>
        </is>
      </c>
    </row>
    <row r="4">
      <c r="A4" s="5" t="inlineStr">
        <is>
          <t>#</t>
        </is>
      </c>
      <c r="B4" s="5" t="inlineStr">
        <is>
          <t>feature</t>
        </is>
      </c>
      <c r="C4" s="5" t="inlineStr">
        <is>
          <t>group</t>
        </is>
      </c>
      <c r="D4" s="5" t="inlineStr">
        <is>
          <t>beta_scaled</t>
        </is>
      </c>
      <c r="E4" s="5" t="inlineStr">
        <is>
          <t>beta_native</t>
        </is>
      </c>
      <c r="F4" s="5" t="inlineStr">
        <is>
          <t>mean</t>
        </is>
      </c>
      <c r="G4" s="5" t="inlineStr">
        <is>
          <t>std</t>
        </is>
      </c>
      <c r="H4" s="5" t="inlineStr">
        <is>
          <t>label</t>
        </is>
      </c>
    </row>
    <row r="5">
      <c r="A5" s="6" t="n">
        <v>1</v>
      </c>
      <c r="B5" s="7" t="inlineStr">
        <is>
          <t>refi_incentive_bps</t>
        </is>
      </c>
      <c r="C5" s="6" t="inlineStr">
        <is>
          <t>Rate &amp; Restrictions</t>
        </is>
      </c>
      <c r="D5" s="8" t="n">
        <v>1.033619</v>
      </c>
      <c r="E5" s="8" t="n">
        <v>0.00529219</v>
      </c>
      <c r="F5" s="8" t="n">
        <v>-49.12976</v>
      </c>
      <c r="G5" s="8" t="n">
        <v>195.3102</v>
      </c>
      <c r="H5" s="6" t="inlineStr">
        <is>
          <t>Net refi incentive (bp)</t>
        </is>
      </c>
    </row>
    <row r="6">
      <c r="A6" s="6" t="n">
        <v>2</v>
      </c>
      <c r="B6" s="7" t="inlineStr">
        <is>
          <t>in_prepay_penalty</t>
        </is>
      </c>
      <c r="C6" s="6" t="inlineStr">
        <is>
          <t>Rate &amp; Restrictions</t>
        </is>
      </c>
      <c r="D6" s="8" t="n">
        <v>0.118978</v>
      </c>
      <c r="E6" s="8" t="n">
        <v>0.3195021</v>
      </c>
      <c r="F6" s="8" t="n">
        <v>0.833659</v>
      </c>
      <c r="G6" s="8" t="n">
        <v>0.372386</v>
      </c>
      <c r="H6" s="6" t="inlineStr">
        <is>
          <t>In prepay penalty (1/0)</t>
        </is>
      </c>
    </row>
    <row r="7">
      <c r="A7" s="6" t="n">
        <v>3</v>
      </c>
      <c r="B7" s="7" t="inlineStr">
        <is>
          <t>loan_age_months</t>
        </is>
      </c>
      <c r="C7" s="6" t="inlineStr">
        <is>
          <t>Loan Structure &amp; Seasoning</t>
        </is>
      </c>
      <c r="D7" s="8" t="n">
        <v>-0.20296</v>
      </c>
      <c r="E7" s="8" t="n">
        <v>-0.00349527</v>
      </c>
      <c r="F7" s="8" t="n">
        <v>86.34898</v>
      </c>
      <c r="G7" s="8" t="n">
        <v>58.06699</v>
      </c>
      <c r="H7" s="6" t="inlineStr">
        <is>
          <t>Loan age (months)</t>
        </is>
      </c>
    </row>
    <row r="8">
      <c r="A8" s="6" t="n">
        <v>4</v>
      </c>
      <c r="B8" s="7" t="inlineStr">
        <is>
          <t>log_upb</t>
        </is>
      </c>
      <c r="C8" s="6" t="inlineStr">
        <is>
          <t>Loan Structure &amp; Seasoning</t>
        </is>
      </c>
      <c r="D8" s="8" t="n">
        <v>0.486231</v>
      </c>
      <c r="E8" s="8" t="n">
        <v>0.3897878</v>
      </c>
      <c r="F8" s="8" t="n">
        <v>15.38251</v>
      </c>
      <c r="G8" s="8" t="n">
        <v>1.247426</v>
      </c>
      <c r="H8" s="6" t="inlineStr">
        <is>
          <t>Log UPB</t>
        </is>
      </c>
    </row>
    <row r="9">
      <c r="A9" s="6" t="n">
        <v>5</v>
      </c>
      <c r="B9" s="7" t="inlineStr">
        <is>
          <t>is_post_covid</t>
        </is>
      </c>
      <c r="C9" s="6" t="inlineStr">
        <is>
          <t>Loan Structure &amp; Seasoning</t>
        </is>
      </c>
      <c r="D9" s="8" t="n">
        <v>-0.306068</v>
      </c>
      <c r="E9" s="8" t="n">
        <v>-0.9345385</v>
      </c>
      <c r="F9" s="8" t="n">
        <v>0.122192</v>
      </c>
      <c r="G9" s="8" t="n">
        <v>0.327507</v>
      </c>
      <c r="H9" s="6" t="inlineStr">
        <is>
          <t>Post-COVID vintage (1 if ≥2021)</t>
        </is>
      </c>
    </row>
    <row r="10">
      <c r="A10" s="6" t="n">
        <v>6</v>
      </c>
      <c r="B10" s="7" t="inlineStr">
        <is>
          <t>cum_itm</t>
        </is>
      </c>
      <c r="C10" s="6" t="inlineStr">
        <is>
          <t>Burnout</t>
        </is>
      </c>
      <c r="D10" s="8" t="n">
        <v>0.446976</v>
      </c>
      <c r="E10" s="8" t="n">
        <v>0.02798139</v>
      </c>
      <c r="F10" s="8" t="n">
        <v>21.76565</v>
      </c>
      <c r="G10" s="8" t="n">
        <v>15.97405</v>
      </c>
      <c r="H10" s="6" t="inlineStr">
        <is>
          <t>Cumulative ITM months</t>
        </is>
      </c>
    </row>
    <row r="11">
      <c r="A11" s="6" t="n">
        <v>7</v>
      </c>
      <c r="B11" s="7" t="inlineStr">
        <is>
          <t>burn_ratio</t>
        </is>
      </c>
      <c r="C11" s="6" t="inlineStr">
        <is>
          <t>Burnout</t>
        </is>
      </c>
      <c r="D11" s="8" t="n">
        <v>-0.082251</v>
      </c>
      <c r="E11" s="8" t="n">
        <v>-0.3124404</v>
      </c>
      <c r="F11" s="8" t="n">
        <v>0.325979</v>
      </c>
      <c r="G11" s="8" t="n">
        <v>0.263254</v>
      </c>
      <c r="H11" s="6" t="inlineStr">
        <is>
          <t>Burnout ratio</t>
        </is>
      </c>
    </row>
    <row r="12">
      <c r="A12" s="6" t="n">
        <v>8</v>
      </c>
      <c r="B12" s="7" t="inlineStr">
        <is>
          <t>is_hc_232</t>
        </is>
      </c>
      <c r="C12" s="6" t="inlineStr">
        <is>
          <t>FHA Program &amp; Purpose</t>
        </is>
      </c>
      <c r="D12" s="8" t="n">
        <v>-0.012292</v>
      </c>
      <c r="E12" s="8" t="n">
        <v>-0.02829519</v>
      </c>
      <c r="F12" s="8" t="n">
        <v>0.252466</v>
      </c>
      <c r="G12" s="8" t="n">
        <v>0.434427</v>
      </c>
      <c r="H12" s="6" t="inlineStr">
        <is>
          <t>232 Healthcare flag</t>
        </is>
      </c>
    </row>
    <row r="13">
      <c r="A13" s="6" t="n">
        <v>9</v>
      </c>
      <c r="B13" s="7" t="inlineStr">
        <is>
          <t>is_223a7</t>
        </is>
      </c>
      <c r="C13" s="6" t="inlineStr">
        <is>
          <t>FHA Program &amp; Purpose</t>
        </is>
      </c>
      <c r="D13" s="8" t="n">
        <v>0.037602</v>
      </c>
      <c r="E13" s="8" t="n">
        <v>0.08666994</v>
      </c>
      <c r="F13" s="8" t="n">
        <v>0.251467</v>
      </c>
      <c r="G13" s="8" t="n">
        <v>0.433856</v>
      </c>
      <c r="H13" s="6" t="inlineStr">
        <is>
          <t>223(a)(7) Streamlined refi</t>
        </is>
      </c>
    </row>
    <row r="14">
      <c r="A14" s="6" t="n">
        <v>10</v>
      </c>
      <c r="B14" s="7" t="inlineStr">
        <is>
          <t>is_538</t>
        </is>
      </c>
      <c r="C14" s="6" t="inlineStr">
        <is>
          <t>FHA Program &amp; Purpose</t>
        </is>
      </c>
      <c r="D14" s="8" t="n">
        <v>-0.148832</v>
      </c>
      <c r="E14" s="8" t="n">
        <v>-0.6168215</v>
      </c>
      <c r="F14" s="8" t="n">
        <v>0.062074</v>
      </c>
      <c r="G14" s="8" t="n">
        <v>0.241289</v>
      </c>
      <c r="H14" s="6" t="inlineStr">
        <is>
          <t>538 USDA Rural</t>
        </is>
      </c>
    </row>
    <row r="15">
      <c r="A15" s="6" t="n">
        <v>11</v>
      </c>
      <c r="B15" s="7" t="inlineStr">
        <is>
          <t>lp_NC</t>
        </is>
      </c>
      <c r="C15" s="6" t="inlineStr">
        <is>
          <t>FHA Program &amp; Purpose</t>
        </is>
      </c>
      <c r="D15" s="8" t="n">
        <v>-0.009651</v>
      </c>
      <c r="E15" s="8" t="n">
        <v>-0.0292121</v>
      </c>
      <c r="F15" s="8" t="n">
        <v>0.12469</v>
      </c>
      <c r="G15" s="8" t="n">
        <v>0.330367</v>
      </c>
      <c r="H15" s="6" t="inlineStr">
        <is>
          <t>Loan purpose: New Construction</t>
        </is>
      </c>
    </row>
    <row r="16">
      <c r="A16" s="6" t="n">
        <v>12</v>
      </c>
      <c r="B16" s="7" t="inlineStr">
        <is>
          <t>iss_capital_funding</t>
        </is>
      </c>
      <c r="C16" s="6" t="inlineStr">
        <is>
          <t>Issuer (Servicer)</t>
        </is>
      </c>
      <c r="D16" s="8" t="n">
        <v>-0.07843899999999999</v>
      </c>
      <c r="E16" s="8" t="n">
        <v>-0.4520848</v>
      </c>
      <c r="F16" s="8" t="n">
        <v>0.031069</v>
      </c>
      <c r="G16" s="8" t="n">
        <v>0.173505</v>
      </c>
      <c r="H16" s="6" t="inlineStr">
        <is>
          <t>Issuer: Capital Funding</t>
        </is>
      </c>
    </row>
    <row r="17">
      <c r="A17" s="6" t="n">
        <v>13</v>
      </c>
      <c r="B17" s="7" t="inlineStr">
        <is>
          <t>iss_merchants</t>
        </is>
      </c>
      <c r="C17" s="6" t="inlineStr">
        <is>
          <t>Issuer (Servicer)</t>
        </is>
      </c>
      <c r="D17" s="8" t="n">
        <v>-0.020074</v>
      </c>
      <c r="E17" s="8" t="n">
        <v>-0.08630051</v>
      </c>
      <c r="F17" s="8" t="n">
        <v>0.057402</v>
      </c>
      <c r="G17" s="8" t="n">
        <v>0.23261</v>
      </c>
      <c r="H17" s="6" t="inlineStr">
        <is>
          <t>Issuer: Merchants Capital</t>
        </is>
      </c>
    </row>
    <row r="18">
      <c r="A18" s="6" t="n">
        <v>14</v>
      </c>
      <c r="B18" s="7" t="inlineStr">
        <is>
          <t>iss_wells_fargo</t>
        </is>
      </c>
      <c r="C18" s="6" t="inlineStr">
        <is>
          <t>Issuer (Servicer)</t>
        </is>
      </c>
      <c r="D18" s="8" t="n">
        <v>-0.034065</v>
      </c>
      <c r="E18" s="8" t="n">
        <v>-0.1645564</v>
      </c>
      <c r="F18" s="8" t="n">
        <v>0.044866</v>
      </c>
      <c r="G18" s="8" t="n">
        <v>0.20701</v>
      </c>
      <c r="H18" s="6" t="inlineStr">
        <is>
          <t>Issuer: Wells Fargo</t>
        </is>
      </c>
    </row>
    <row r="19">
      <c r="A19" s="6" t="n">
        <v>15</v>
      </c>
      <c r="B19" s="7" t="inlineStr">
        <is>
          <t>iss_walker_dunlop</t>
        </is>
      </c>
      <c r="C19" s="6" t="inlineStr">
        <is>
          <t>Issuer (Servicer)</t>
        </is>
      </c>
      <c r="D19" s="8" t="n">
        <v>0.001318</v>
      </c>
      <c r="E19" s="8" t="n">
        <v>0.00499263</v>
      </c>
      <c r="F19" s="8" t="n">
        <v>0.07541399999999999</v>
      </c>
      <c r="G19" s="8" t="n">
        <v>0.264058</v>
      </c>
      <c r="H19" s="6" t="inlineStr">
        <is>
          <t>Issuer: Walker &amp; Dunlop</t>
        </is>
      </c>
    </row>
    <row r="20">
      <c r="A20" s="6" t="n">
        <v>16</v>
      </c>
      <c r="B20" s="7" t="inlineStr">
        <is>
          <t>iss_pnc</t>
        </is>
      </c>
      <c r="C20" s="6" t="inlineStr">
        <is>
          <t>Issuer (Servicer)</t>
        </is>
      </c>
      <c r="D20" s="8" t="n">
        <v>-0.062291</v>
      </c>
      <c r="E20" s="8" t="n">
        <v>-0.34275</v>
      </c>
      <c r="F20" s="8" t="n">
        <v>0.034198</v>
      </c>
      <c r="G20" s="8" t="n">
        <v>0.181738</v>
      </c>
      <c r="H20" s="6" t="inlineStr">
        <is>
          <t>Issuer: PNC Bank</t>
        </is>
      </c>
    </row>
    <row r="21">
      <c r="A21" s="6" t="n">
        <v>17</v>
      </c>
      <c r="B21" s="7" t="inlineStr">
        <is>
          <t>iss_berkadia</t>
        </is>
      </c>
      <c r="C21" s="6" t="inlineStr">
        <is>
          <t>Issuer (Servicer)</t>
        </is>
      </c>
      <c r="D21" s="8" t="n">
        <v>0.007415</v>
      </c>
      <c r="E21" s="8" t="n">
        <v>0.02622439</v>
      </c>
      <c r="F21" s="8" t="n">
        <v>0.08762399999999999</v>
      </c>
      <c r="G21" s="8" t="n">
        <v>0.282748</v>
      </c>
      <c r="H21" s="6" t="inlineStr">
        <is>
          <t>Issuer: Berkadia</t>
        </is>
      </c>
    </row>
    <row r="22">
      <c r="A22" s="6" t="n">
        <v>18</v>
      </c>
      <c r="B22" s="7" t="inlineStr">
        <is>
          <t>iss_dwight</t>
        </is>
      </c>
      <c r="C22" s="6" t="inlineStr">
        <is>
          <t>Issuer (Servicer)</t>
        </is>
      </c>
      <c r="D22" s="8" t="n">
        <v>0.028424</v>
      </c>
      <c r="E22" s="8" t="n">
        <v>0.1639878</v>
      </c>
      <c r="F22" s="8" t="n">
        <v>0.031004</v>
      </c>
      <c r="G22" s="8" t="n">
        <v>0.173329</v>
      </c>
      <c r="H22" s="6" t="inlineStr">
        <is>
          <t>Issuer: Dwight Capital</t>
        </is>
      </c>
    </row>
    <row r="25">
      <c r="A25" s="1" t="inlineStr">
        <is>
          <t>Model constants</t>
        </is>
      </c>
    </row>
    <row r="26">
      <c r="A26" s="9" t="inlineStr">
        <is>
          <t>intercept_scaled</t>
        </is>
      </c>
      <c r="B26" s="10" t="n">
        <v>-5.232982</v>
      </c>
    </row>
    <row r="27">
      <c r="A27" s="9" t="inlineStr">
        <is>
          <t>baseline_SMM (sigmoid of intercept_scaled)</t>
        </is>
      </c>
      <c r="B27" s="11">
        <f>1/(1+EXP(-B26))</f>
        <v/>
      </c>
    </row>
    <row r="28">
      <c r="A28" s="9" t="inlineStr">
        <is>
          <t>baseline_CPR (annualized from baseline_SMM)</t>
        </is>
      </c>
      <c r="B28" s="12">
        <f>1-(1-B27)^12</f>
        <v/>
      </c>
    </row>
    <row r="30">
      <c r="A30" s="1" t="inlineStr">
        <is>
          <t>Diagnostics</t>
        </is>
      </c>
    </row>
    <row r="31">
      <c r="A31" s="9" t="inlineStr">
        <is>
          <t>test_AUC</t>
        </is>
      </c>
      <c r="B31" t="n">
        <v>0.7614</v>
      </c>
    </row>
    <row r="32">
      <c r="A32" s="9" t="inlineStr">
        <is>
          <t>panel_mean_CPR</t>
        </is>
      </c>
      <c r="B32" s="13" t="n">
        <v>0.090296</v>
      </c>
    </row>
    <row r="33">
      <c r="A33" s="9" t="inlineStr">
        <is>
          <t>training_pop_n</t>
        </is>
      </c>
      <c r="B33" t="n">
        <v>1225921</v>
      </c>
    </row>
    <row r="34">
      <c r="A34" s="9" t="inlineStr">
        <is>
          <t>training_events</t>
        </is>
      </c>
      <c r="B34" t="n">
        <v>9630</v>
      </c>
    </row>
    <row r="35">
      <c r="A35" s="9" t="inlineStr">
        <is>
          <t>panel_period_range</t>
        </is>
      </c>
      <c r="B35" t="inlineStr">
        <is>
          <t>201812 - 202602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256"/>
  <sheetViews>
    <sheetView workbookViewId="0">
      <pane xSplit="19" ySplit="4" topLeftCell="T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2" customWidth="1" min="56" max="56"/>
    <col width="12" customWidth="1" min="57" max="57"/>
    <col width="12" customWidth="1" min="58" max="58"/>
    <col width="12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</cols>
  <sheetData>
    <row r="1">
      <c r="A1" s="14" t="inlineStr">
        <is>
          <t>Loan Identifiers</t>
        </is>
      </c>
      <c r="I1" s="15" t="inlineStr">
        <is>
          <t>Raw Inputs (editable)</t>
        </is>
      </c>
      <c r="T1" s="14" t="inlineStr">
        <is>
          <t>V6E Feature Values (formulas - do not edit)</t>
        </is>
      </c>
      <c r="AL1" s="16" t="inlineStr">
        <is>
          <t>Logit Contributions (β_native × (x − mean))</t>
        </is>
      </c>
      <c r="BD1" s="17" t="inlineStr">
        <is>
          <t>CPR Summary</t>
        </is>
      </c>
      <c r="BH1" s="18" t="inlineStr">
        <is>
          <t>CPR Attribution (proportional method)</t>
        </is>
      </c>
      <c r="BZ1" s="19" t="inlineStr">
        <is>
          <t>Check</t>
        </is>
      </c>
    </row>
    <row r="2">
      <c r="A2" s="5" t="inlineStr">
        <is>
          <t>loan_id</t>
        </is>
      </c>
      <c r="B2" s="5" t="inlineStr">
        <is>
          <t>deal_id</t>
        </is>
      </c>
      <c r="C2" s="5" t="inlineStr">
        <is>
          <t>pool_cusip</t>
        </is>
      </c>
      <c r="D2" s="5" t="inlineStr">
        <is>
          <t>issuer_name</t>
        </is>
      </c>
      <c r="E2" s="5" t="inlineStr">
        <is>
          <t>fha_category</t>
        </is>
      </c>
      <c r="F2" s="5" t="inlineStr">
        <is>
          <t>loan_purpose</t>
        </is>
      </c>
      <c r="G2" s="5" t="inlineStr">
        <is>
          <t>vintage_year</t>
        </is>
      </c>
      <c r="H2" s="5" t="inlineStr">
        <is>
          <t>period</t>
        </is>
      </c>
      <c r="I2" s="5" t="inlineStr">
        <is>
          <t>upb</t>
        </is>
      </c>
      <c r="J2" s="5" t="inlineStr">
        <is>
          <t>loan_rate_pct</t>
        </is>
      </c>
      <c r="K2" s="5" t="inlineStr">
        <is>
          <t>plc_rate_bps</t>
        </is>
      </c>
      <c r="L2" s="5" t="inlineStr">
        <is>
          <t>prepay_penalty_points</t>
        </is>
      </c>
      <c r="M2" s="5" t="inlineStr">
        <is>
          <t>loan_age_months_in</t>
        </is>
      </c>
      <c r="N2" s="5" t="inlineStr">
        <is>
          <t>cum_itm_in</t>
        </is>
      </c>
      <c r="O2" s="5" t="inlineStr">
        <is>
          <t>in_prepay_penalty_in</t>
        </is>
      </c>
      <c r="P2" s="5" t="inlineStr">
        <is>
          <t>is_hc_232_raw</t>
        </is>
      </c>
      <c r="Q2" s="5" t="inlineStr">
        <is>
          <t>is_223a7_raw</t>
        </is>
      </c>
      <c r="R2" s="5" t="inlineStr">
        <is>
          <t>is_538_raw</t>
        </is>
      </c>
      <c r="S2" s="5" t="inlineStr">
        <is>
          <t>is_new_construction_raw</t>
        </is>
      </c>
      <c r="T2" s="5" t="inlineStr">
        <is>
          <t>refi_incentive_bps</t>
        </is>
      </c>
      <c r="U2" s="5" t="inlineStr">
        <is>
          <t>in_prepay_penalty</t>
        </is>
      </c>
      <c r="V2" s="5" t="inlineStr">
        <is>
          <t>loan_age_months</t>
        </is>
      </c>
      <c r="W2" s="5" t="inlineStr">
        <is>
          <t>log_upb</t>
        </is>
      </c>
      <c r="X2" s="5" t="inlineStr">
        <is>
          <t>is_post_covid</t>
        </is>
      </c>
      <c r="Y2" s="5" t="inlineStr">
        <is>
          <t>cum_itm</t>
        </is>
      </c>
      <c r="Z2" s="5" t="inlineStr">
        <is>
          <t>burn_ratio</t>
        </is>
      </c>
      <c r="AA2" s="5" t="inlineStr">
        <is>
          <t>is_hc_232</t>
        </is>
      </c>
      <c r="AB2" s="5" t="inlineStr">
        <is>
          <t>is_223a7</t>
        </is>
      </c>
      <c r="AC2" s="5" t="inlineStr">
        <is>
          <t>is_538</t>
        </is>
      </c>
      <c r="AD2" s="5" t="inlineStr">
        <is>
          <t>lp_NC</t>
        </is>
      </c>
      <c r="AE2" s="5" t="inlineStr">
        <is>
          <t>iss_capital_funding</t>
        </is>
      </c>
      <c r="AF2" s="5" t="inlineStr">
        <is>
          <t>iss_merchants</t>
        </is>
      </c>
      <c r="AG2" s="5" t="inlineStr">
        <is>
          <t>iss_wells_fargo</t>
        </is>
      </c>
      <c r="AH2" s="5" t="inlineStr">
        <is>
          <t>iss_walker_dunlop</t>
        </is>
      </c>
      <c r="AI2" s="5" t="inlineStr">
        <is>
          <t>iss_pnc</t>
        </is>
      </c>
      <c r="AJ2" s="5" t="inlineStr">
        <is>
          <t>iss_berkadia</t>
        </is>
      </c>
      <c r="AK2" s="5" t="inlineStr">
        <is>
          <t>iss_dwight</t>
        </is>
      </c>
      <c r="AL2" s="5" t="inlineStr">
        <is>
          <t>contrib_refi_incentive_bps</t>
        </is>
      </c>
      <c r="AM2" s="5" t="inlineStr">
        <is>
          <t>contrib_in_prepay_penalty</t>
        </is>
      </c>
      <c r="AN2" s="5" t="inlineStr">
        <is>
          <t>contrib_loan_age_months</t>
        </is>
      </c>
      <c r="AO2" s="5" t="inlineStr">
        <is>
          <t>contrib_log_upb</t>
        </is>
      </c>
      <c r="AP2" s="5" t="inlineStr">
        <is>
          <t>contrib_is_post_covid</t>
        </is>
      </c>
      <c r="AQ2" s="5" t="inlineStr">
        <is>
          <t>contrib_cum_itm</t>
        </is>
      </c>
      <c r="AR2" s="5" t="inlineStr">
        <is>
          <t>contrib_burn_ratio</t>
        </is>
      </c>
      <c r="AS2" s="5" t="inlineStr">
        <is>
          <t>contrib_is_hc_232</t>
        </is>
      </c>
      <c r="AT2" s="5" t="inlineStr">
        <is>
          <t>contrib_is_223a7</t>
        </is>
      </c>
      <c r="AU2" s="5" t="inlineStr">
        <is>
          <t>contrib_is_538</t>
        </is>
      </c>
      <c r="AV2" s="5" t="inlineStr">
        <is>
          <t>contrib_lp_NC</t>
        </is>
      </c>
      <c r="AW2" s="5" t="inlineStr">
        <is>
          <t>contrib_iss_capital_funding</t>
        </is>
      </c>
      <c r="AX2" s="5" t="inlineStr">
        <is>
          <t>contrib_iss_merchants</t>
        </is>
      </c>
      <c r="AY2" s="5" t="inlineStr">
        <is>
          <t>contrib_iss_wells_fargo</t>
        </is>
      </c>
      <c r="AZ2" s="5" t="inlineStr">
        <is>
          <t>contrib_iss_walker_dunlop</t>
        </is>
      </c>
      <c r="BA2" s="5" t="inlineStr">
        <is>
          <t>contrib_iss_pnc</t>
        </is>
      </c>
      <c r="BB2" s="5" t="inlineStr">
        <is>
          <t>contrib_iss_berkadia</t>
        </is>
      </c>
      <c r="BC2" s="5" t="inlineStr">
        <is>
          <t>contrib_iss_dwight</t>
        </is>
      </c>
      <c r="BD2" s="5" t="inlineStr">
        <is>
          <t>total_logit_dev</t>
        </is>
      </c>
      <c r="BE2" s="5" t="inlineStr">
        <is>
          <t>logit_z</t>
        </is>
      </c>
      <c r="BF2" s="5" t="inlineStr">
        <is>
          <t>SMM</t>
        </is>
      </c>
      <c r="BG2" s="5" t="inlineStr">
        <is>
          <t>pred_CPR</t>
        </is>
      </c>
      <c r="BH2" s="5" t="inlineStr">
        <is>
          <t>attr_refi_incentive_bps</t>
        </is>
      </c>
      <c r="BI2" s="5" t="inlineStr">
        <is>
          <t>attr_in_prepay_penalty</t>
        </is>
      </c>
      <c r="BJ2" s="5" t="inlineStr">
        <is>
          <t>attr_loan_age_months</t>
        </is>
      </c>
      <c r="BK2" s="5" t="inlineStr">
        <is>
          <t>attr_log_upb</t>
        </is>
      </c>
      <c r="BL2" s="5" t="inlineStr">
        <is>
          <t>attr_is_post_covid</t>
        </is>
      </c>
      <c r="BM2" s="5" t="inlineStr">
        <is>
          <t>attr_cum_itm</t>
        </is>
      </c>
      <c r="BN2" s="5" t="inlineStr">
        <is>
          <t>attr_burn_ratio</t>
        </is>
      </c>
      <c r="BO2" s="5" t="inlineStr">
        <is>
          <t>attr_is_hc_232</t>
        </is>
      </c>
      <c r="BP2" s="5" t="inlineStr">
        <is>
          <t>attr_is_223a7</t>
        </is>
      </c>
      <c r="BQ2" s="5" t="inlineStr">
        <is>
          <t>attr_is_538</t>
        </is>
      </c>
      <c r="BR2" s="5" t="inlineStr">
        <is>
          <t>attr_lp_NC</t>
        </is>
      </c>
      <c r="BS2" s="5" t="inlineStr">
        <is>
          <t>attr_iss_capital_funding</t>
        </is>
      </c>
      <c r="BT2" s="5" t="inlineStr">
        <is>
          <t>attr_iss_merchants</t>
        </is>
      </c>
      <c r="BU2" s="5" t="inlineStr">
        <is>
          <t>attr_iss_wells_fargo</t>
        </is>
      </c>
      <c r="BV2" s="5" t="inlineStr">
        <is>
          <t>attr_iss_walker_dunlop</t>
        </is>
      </c>
      <c r="BW2" s="5" t="inlineStr">
        <is>
          <t>attr_iss_pnc</t>
        </is>
      </c>
      <c r="BX2" s="5" t="inlineStr">
        <is>
          <t>attr_iss_berkadia</t>
        </is>
      </c>
      <c r="BY2" s="5" t="inlineStr">
        <is>
          <t>attr_iss_dwight</t>
        </is>
      </c>
      <c r="BZ2" s="5" t="inlineStr">
        <is>
          <t>Sanity</t>
        </is>
      </c>
    </row>
    <row r="3">
      <c r="A3" s="1" t="inlineStr">
        <is>
          <t>mean</t>
        </is>
      </c>
      <c r="T3" s="20">
        <f>Coefficients!$F$5</f>
        <v/>
      </c>
      <c r="U3" s="20">
        <f>Coefficients!$F$6</f>
        <v/>
      </c>
      <c r="V3" s="20">
        <f>Coefficients!$F$7</f>
        <v/>
      </c>
      <c r="W3" s="20">
        <f>Coefficients!$F$8</f>
        <v/>
      </c>
      <c r="X3" s="20">
        <f>Coefficients!$F$9</f>
        <v/>
      </c>
      <c r="Y3" s="20">
        <f>Coefficients!$F$10</f>
        <v/>
      </c>
      <c r="Z3" s="20">
        <f>Coefficients!$F$11</f>
        <v/>
      </c>
      <c r="AA3" s="20">
        <f>Coefficients!$F$12</f>
        <v/>
      </c>
      <c r="AB3" s="20">
        <f>Coefficients!$F$13</f>
        <v/>
      </c>
      <c r="AC3" s="20">
        <f>Coefficients!$F$14</f>
        <v/>
      </c>
      <c r="AD3" s="20">
        <f>Coefficients!$F$15</f>
        <v/>
      </c>
      <c r="AE3" s="20">
        <f>Coefficients!$F$16</f>
        <v/>
      </c>
      <c r="AF3" s="20">
        <f>Coefficients!$F$17</f>
        <v/>
      </c>
      <c r="AG3" s="20">
        <f>Coefficients!$F$18</f>
        <v/>
      </c>
      <c r="AH3" s="20">
        <f>Coefficients!$F$19</f>
        <v/>
      </c>
      <c r="AI3" s="20">
        <f>Coefficients!$F$20</f>
        <v/>
      </c>
      <c r="AJ3" s="20">
        <f>Coefficients!$F$21</f>
        <v/>
      </c>
      <c r="AK3" s="20">
        <f>Coefficients!$F$22</f>
        <v/>
      </c>
    </row>
    <row r="4">
      <c r="A4" s="1" t="inlineStr">
        <is>
          <t>β_native</t>
        </is>
      </c>
      <c r="T4" s="21">
        <f>Coefficients!$E$5</f>
        <v/>
      </c>
      <c r="U4" s="21">
        <f>Coefficients!$E$6</f>
        <v/>
      </c>
      <c r="V4" s="21">
        <f>Coefficients!$E$7</f>
        <v/>
      </c>
      <c r="W4" s="21">
        <f>Coefficients!$E$8</f>
        <v/>
      </c>
      <c r="X4" s="21">
        <f>Coefficients!$E$9</f>
        <v/>
      </c>
      <c r="Y4" s="21">
        <f>Coefficients!$E$10</f>
        <v/>
      </c>
      <c r="Z4" s="21">
        <f>Coefficients!$E$11</f>
        <v/>
      </c>
      <c r="AA4" s="21">
        <f>Coefficients!$E$12</f>
        <v/>
      </c>
      <c r="AB4" s="21">
        <f>Coefficients!$E$13</f>
        <v/>
      </c>
      <c r="AC4" s="21">
        <f>Coefficients!$E$14</f>
        <v/>
      </c>
      <c r="AD4" s="21">
        <f>Coefficients!$E$15</f>
        <v/>
      </c>
      <c r="AE4" s="21">
        <f>Coefficients!$E$16</f>
        <v/>
      </c>
      <c r="AF4" s="21">
        <f>Coefficients!$E$17</f>
        <v/>
      </c>
      <c r="AG4" s="21">
        <f>Coefficients!$E$18</f>
        <v/>
      </c>
      <c r="AH4" s="21">
        <f>Coefficients!$E$19</f>
        <v/>
      </c>
      <c r="AI4" s="21">
        <f>Coefficients!$E$20</f>
        <v/>
      </c>
      <c r="AJ4" s="21">
        <f>Coefficients!$E$21</f>
        <v/>
      </c>
      <c r="AK4" s="21">
        <f>Coefficients!$E$22</f>
        <v/>
      </c>
    </row>
    <row r="5">
      <c r="A5" s="2" t="inlineStr">
        <is>
          <t>3617UAX72_000000012211373</t>
        </is>
      </c>
      <c r="B5" t="inlineStr">
        <is>
          <t>LUMENT_PRE21</t>
        </is>
      </c>
      <c r="C5" s="2" t="inlineStr">
        <is>
          <t>3617UAX72</t>
        </is>
      </c>
      <c r="D5" t="inlineStr">
        <is>
          <t>LUMENT REAL ESTATE CAPITAL,LLC</t>
        </is>
      </c>
      <c r="E5" t="inlineStr">
        <is>
          <t>223f</t>
        </is>
      </c>
      <c r="F5" t="inlineStr">
        <is>
          <t>RP</t>
        </is>
      </c>
      <c r="G5" t="n">
        <v>2015</v>
      </c>
      <c r="H5" t="inlineStr">
        <is>
          <t>202602</t>
        </is>
      </c>
      <c r="I5" s="22" t="n">
        <v>4746336.84</v>
      </c>
      <c r="J5" s="23" t="n">
        <v>2.96</v>
      </c>
      <c r="K5" s="24" t="n">
        <v>447</v>
      </c>
      <c r="L5" s="24" t="n">
        <v>5</v>
      </c>
      <c r="M5" t="n">
        <v>122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s="24">
        <f>J5*100-(K5+(1+L5)*12.5)</f>
        <v/>
      </c>
      <c r="U5">
        <f>O5</f>
        <v/>
      </c>
      <c r="V5">
        <f>M5</f>
        <v/>
      </c>
      <c r="W5" s="23">
        <f>LN(1+I5)</f>
        <v/>
      </c>
      <c r="X5">
        <f>IF(G5&gt;=2021,1,0)</f>
        <v/>
      </c>
      <c r="Y5">
        <f>N5</f>
        <v/>
      </c>
      <c r="Z5" s="23">
        <f>IF(ISNUMBER(M5),N5/MAX(M5,1),0)</f>
        <v/>
      </c>
      <c r="AA5">
        <f>P5</f>
        <v/>
      </c>
      <c r="AB5">
        <f>Q5</f>
        <v/>
      </c>
      <c r="AC5">
        <f>R5</f>
        <v/>
      </c>
      <c r="AD5">
        <f>S5</f>
        <v/>
      </c>
      <c r="AE5">
        <f>IF(ISNUMBER(SEARCH("CAPITAL FUNDING",D5)),1,0)</f>
        <v/>
      </c>
      <c r="AF5">
        <f>IF(ISNUMBER(SEARCH("MERCHANTS",D5)),1,0)</f>
        <v/>
      </c>
      <c r="AG5">
        <f>IF(ISNUMBER(SEARCH("WELLS FARGO",D5)),1,0)</f>
        <v/>
      </c>
      <c r="AH5">
        <f>IF(ISNUMBER(SEARCH("WALKER",D5)),1,0)</f>
        <v/>
      </c>
      <c r="AI5">
        <f>IF(ISNUMBER(SEARCH("PNC",D5)),1,0)</f>
        <v/>
      </c>
      <c r="AJ5">
        <f>IF(ISNUMBER(SEARCH("BERKADIA",D5)),1,0)</f>
        <v/>
      </c>
      <c r="AK5">
        <f>IF(ISNUMBER(SEARCH("DWIGHT",D5)),1,0)</f>
        <v/>
      </c>
      <c r="AL5" s="25">
        <f>T$4*(T5-T$3)</f>
        <v/>
      </c>
      <c r="AM5" s="25">
        <f>U$4*(U5-U$3)</f>
        <v/>
      </c>
      <c r="AN5" s="25">
        <f>V$4*(V5-V$3)</f>
        <v/>
      </c>
      <c r="AO5" s="25">
        <f>W$4*(W5-W$3)</f>
        <v/>
      </c>
      <c r="AP5" s="25">
        <f>X$4*(X5-X$3)</f>
        <v/>
      </c>
      <c r="AQ5" s="25">
        <f>Y$4*(Y5-Y$3)</f>
        <v/>
      </c>
      <c r="AR5" s="25">
        <f>Z$4*(Z5-Z$3)</f>
        <v/>
      </c>
      <c r="AS5" s="25">
        <f>AA$4*(AA5-AA$3)</f>
        <v/>
      </c>
      <c r="AT5" s="25">
        <f>AB$4*(AB5-AB$3)</f>
        <v/>
      </c>
      <c r="AU5" s="25">
        <f>AC$4*(AC5-AC$3)</f>
        <v/>
      </c>
      <c r="AV5" s="25">
        <f>AD$4*(AD5-AD$3)</f>
        <v/>
      </c>
      <c r="AW5" s="25">
        <f>AE$4*(AE5-AE$3)</f>
        <v/>
      </c>
      <c r="AX5" s="25">
        <f>AF$4*(AF5-AF$3)</f>
        <v/>
      </c>
      <c r="AY5" s="25">
        <f>AG$4*(AG5-AG$3)</f>
        <v/>
      </c>
      <c r="AZ5" s="25">
        <f>AH$4*(AH5-AH$3)</f>
        <v/>
      </c>
      <c r="BA5" s="25">
        <f>AI$4*(AI5-AI$3)</f>
        <v/>
      </c>
      <c r="BB5" s="25">
        <f>AJ$4*(AJ5-AJ$3)</f>
        <v/>
      </c>
      <c r="BC5" s="25">
        <f>AK$4*(AK5-AK$3)</f>
        <v/>
      </c>
      <c r="BD5" s="26">
        <f>SUM(AL5:BC5)</f>
        <v/>
      </c>
      <c r="BE5" s="26">
        <f>INTERCEPT_SCALED+BD5</f>
        <v/>
      </c>
      <c r="BF5" s="27">
        <f>1/(1+EXP(-BE5))</f>
        <v/>
      </c>
      <c r="BG5" s="13">
        <f>1-(1-BF5)^12</f>
        <v/>
      </c>
      <c r="BH5" s="13">
        <f>IFERROR(AL5/BD5*(BG5-BASELINE_CPR),0)</f>
        <v/>
      </c>
      <c r="BI5" s="13">
        <f>IFERROR(AM5/BD5*(BG5-BASELINE_CPR),0)</f>
        <v/>
      </c>
      <c r="BJ5" s="13">
        <f>IFERROR(AN5/BD5*(BG5-BASELINE_CPR),0)</f>
        <v/>
      </c>
      <c r="BK5" s="13">
        <f>IFERROR(AO5/BD5*(BG5-BASELINE_CPR),0)</f>
        <v/>
      </c>
      <c r="BL5" s="13">
        <f>IFERROR(AP5/BD5*(BG5-BASELINE_CPR),0)</f>
        <v/>
      </c>
      <c r="BM5" s="13">
        <f>IFERROR(AQ5/BD5*(BG5-BASELINE_CPR),0)</f>
        <v/>
      </c>
      <c r="BN5" s="13">
        <f>IFERROR(AR5/BD5*(BG5-BASELINE_CPR),0)</f>
        <v/>
      </c>
      <c r="BO5" s="13">
        <f>IFERROR(AS5/BD5*(BG5-BASELINE_CPR),0)</f>
        <v/>
      </c>
      <c r="BP5" s="13">
        <f>IFERROR(AT5/BD5*(BG5-BASELINE_CPR),0)</f>
        <v/>
      </c>
      <c r="BQ5" s="13">
        <f>IFERROR(AU5/BD5*(BG5-BASELINE_CPR),0)</f>
        <v/>
      </c>
      <c r="BR5" s="13">
        <f>IFERROR(AV5/BD5*(BG5-BASELINE_CPR),0)</f>
        <v/>
      </c>
      <c r="BS5" s="13">
        <f>IFERROR(AW5/BD5*(BG5-BASELINE_CPR),0)</f>
        <v/>
      </c>
      <c r="BT5" s="13">
        <f>IFERROR(AX5/BD5*(BG5-BASELINE_CPR),0)</f>
        <v/>
      </c>
      <c r="BU5" s="13">
        <f>IFERROR(AY5/BD5*(BG5-BASELINE_CPR),0)</f>
        <v/>
      </c>
      <c r="BV5" s="13">
        <f>IFERROR(AZ5/BD5*(BG5-BASELINE_CPR),0)</f>
        <v/>
      </c>
      <c r="BW5" s="13">
        <f>IFERROR(BA5/BD5*(BG5-BASELINE_CPR),0)</f>
        <v/>
      </c>
      <c r="BX5" s="13">
        <f>IFERROR(BB5/BD5*(BG5-BASELINE_CPR),0)</f>
        <v/>
      </c>
      <c r="BY5" s="13">
        <f>IFERROR(BC5/BD5*(BG5-BASELINE_CPR),0)</f>
        <v/>
      </c>
      <c r="BZ5" s="28">
        <f>BASELINE_CPR+SUM(BH5:BY5)-BG5</f>
        <v/>
      </c>
    </row>
    <row r="6">
      <c r="A6" s="2" t="inlineStr">
        <is>
          <t>3617H4UL3_000000012322093</t>
        </is>
      </c>
      <c r="B6" t="inlineStr">
        <is>
          <t>LUMENT_PRE21</t>
        </is>
      </c>
      <c r="C6" s="2" t="inlineStr">
        <is>
          <t>3617H4UL3</t>
        </is>
      </c>
      <c r="D6" t="inlineStr">
        <is>
          <t>LUMENT REAL ESTATE CAPITAL,LLC</t>
        </is>
      </c>
      <c r="E6" t="inlineStr">
        <is>
          <t>232</t>
        </is>
      </c>
      <c r="F6" t="inlineStr">
        <is>
          <t>RP</t>
        </is>
      </c>
      <c r="G6" t="n">
        <v>2018</v>
      </c>
      <c r="H6" t="inlineStr">
        <is>
          <t>202602</t>
        </is>
      </c>
      <c r="I6" s="22" t="n">
        <v>11482585.08</v>
      </c>
      <c r="J6" s="23" t="n">
        <v>4.35</v>
      </c>
      <c r="K6" s="24" t="n">
        <v>447</v>
      </c>
      <c r="L6" s="24" t="n">
        <v>0</v>
      </c>
      <c r="M6" t="n">
        <v>91</v>
      </c>
      <c r="N6" t="n">
        <v>35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s="24">
        <f>J6*100-(K6+(1+L6)*12.5)</f>
        <v/>
      </c>
      <c r="U6">
        <f>O6</f>
        <v/>
      </c>
      <c r="V6">
        <f>M6</f>
        <v/>
      </c>
      <c r="W6" s="23">
        <f>LN(1+I6)</f>
        <v/>
      </c>
      <c r="X6">
        <f>IF(G6&gt;=2021,1,0)</f>
        <v/>
      </c>
      <c r="Y6">
        <f>N6</f>
        <v/>
      </c>
      <c r="Z6" s="23">
        <f>IF(ISNUMBER(M6),N6/MAX(M6,1),0)</f>
        <v/>
      </c>
      <c r="AA6">
        <f>P6</f>
        <v/>
      </c>
      <c r="AB6">
        <f>Q6</f>
        <v/>
      </c>
      <c r="AC6">
        <f>R6</f>
        <v/>
      </c>
      <c r="AD6">
        <f>S6</f>
        <v/>
      </c>
      <c r="AE6">
        <f>IF(ISNUMBER(SEARCH("CAPITAL FUNDING",D6)),1,0)</f>
        <v/>
      </c>
      <c r="AF6">
        <f>IF(ISNUMBER(SEARCH("MERCHANTS",D6)),1,0)</f>
        <v/>
      </c>
      <c r="AG6">
        <f>IF(ISNUMBER(SEARCH("WELLS FARGO",D6)),1,0)</f>
        <v/>
      </c>
      <c r="AH6">
        <f>IF(ISNUMBER(SEARCH("WALKER",D6)),1,0)</f>
        <v/>
      </c>
      <c r="AI6">
        <f>IF(ISNUMBER(SEARCH("PNC",D6)),1,0)</f>
        <v/>
      </c>
      <c r="AJ6">
        <f>IF(ISNUMBER(SEARCH("BERKADIA",D6)),1,0)</f>
        <v/>
      </c>
      <c r="AK6">
        <f>IF(ISNUMBER(SEARCH("DWIGHT",D6)),1,0)</f>
        <v/>
      </c>
      <c r="AL6" s="25">
        <f>T$4*(T6-T$3)</f>
        <v/>
      </c>
      <c r="AM6" s="25">
        <f>U$4*(U6-U$3)</f>
        <v/>
      </c>
      <c r="AN6" s="25">
        <f>V$4*(V6-V$3)</f>
        <v/>
      </c>
      <c r="AO6" s="25">
        <f>W$4*(W6-W$3)</f>
        <v/>
      </c>
      <c r="AP6" s="25">
        <f>X$4*(X6-X$3)</f>
        <v/>
      </c>
      <c r="AQ6" s="25">
        <f>Y$4*(Y6-Y$3)</f>
        <v/>
      </c>
      <c r="AR6" s="25">
        <f>Z$4*(Z6-Z$3)</f>
        <v/>
      </c>
      <c r="AS6" s="25">
        <f>AA$4*(AA6-AA$3)</f>
        <v/>
      </c>
      <c r="AT6" s="25">
        <f>AB$4*(AB6-AB$3)</f>
        <v/>
      </c>
      <c r="AU6" s="25">
        <f>AC$4*(AC6-AC$3)</f>
        <v/>
      </c>
      <c r="AV6" s="25">
        <f>AD$4*(AD6-AD$3)</f>
        <v/>
      </c>
      <c r="AW6" s="25">
        <f>AE$4*(AE6-AE$3)</f>
        <v/>
      </c>
      <c r="AX6" s="25">
        <f>AF$4*(AF6-AF$3)</f>
        <v/>
      </c>
      <c r="AY6" s="25">
        <f>AG$4*(AG6-AG$3)</f>
        <v/>
      </c>
      <c r="AZ6" s="25">
        <f>AH$4*(AH6-AH$3)</f>
        <v/>
      </c>
      <c r="BA6" s="25">
        <f>AI$4*(AI6-AI$3)</f>
        <v/>
      </c>
      <c r="BB6" s="25">
        <f>AJ$4*(AJ6-AJ$3)</f>
        <v/>
      </c>
      <c r="BC6" s="25">
        <f>AK$4*(AK6-AK$3)</f>
        <v/>
      </c>
      <c r="BD6" s="26">
        <f>SUM(AL6:BC6)</f>
        <v/>
      </c>
      <c r="BE6" s="26">
        <f>INTERCEPT_SCALED+BD6</f>
        <v/>
      </c>
      <c r="BF6" s="27">
        <f>1/(1+EXP(-BE6))</f>
        <v/>
      </c>
      <c r="BG6" s="13">
        <f>1-(1-BF6)^12</f>
        <v/>
      </c>
      <c r="BH6" s="13">
        <f>IFERROR(AL6/BD6*(BG6-BASELINE_CPR),0)</f>
        <v/>
      </c>
      <c r="BI6" s="13">
        <f>IFERROR(AM6/BD6*(BG6-BASELINE_CPR),0)</f>
        <v/>
      </c>
      <c r="BJ6" s="13">
        <f>IFERROR(AN6/BD6*(BG6-BASELINE_CPR),0)</f>
        <v/>
      </c>
      <c r="BK6" s="13">
        <f>IFERROR(AO6/BD6*(BG6-BASELINE_CPR),0)</f>
        <v/>
      </c>
      <c r="BL6" s="13">
        <f>IFERROR(AP6/BD6*(BG6-BASELINE_CPR),0)</f>
        <v/>
      </c>
      <c r="BM6" s="13">
        <f>IFERROR(AQ6/BD6*(BG6-BASELINE_CPR),0)</f>
        <v/>
      </c>
      <c r="BN6" s="13">
        <f>IFERROR(AR6/BD6*(BG6-BASELINE_CPR),0)</f>
        <v/>
      </c>
      <c r="BO6" s="13">
        <f>IFERROR(AS6/BD6*(BG6-BASELINE_CPR),0)</f>
        <v/>
      </c>
      <c r="BP6" s="13">
        <f>IFERROR(AT6/BD6*(BG6-BASELINE_CPR),0)</f>
        <v/>
      </c>
      <c r="BQ6" s="13">
        <f>IFERROR(AU6/BD6*(BG6-BASELINE_CPR),0)</f>
        <v/>
      </c>
      <c r="BR6" s="13">
        <f>IFERROR(AV6/BD6*(BG6-BASELINE_CPR),0)</f>
        <v/>
      </c>
      <c r="BS6" s="13">
        <f>IFERROR(AW6/BD6*(BG6-BASELINE_CPR),0)</f>
        <v/>
      </c>
      <c r="BT6" s="13">
        <f>IFERROR(AX6/BD6*(BG6-BASELINE_CPR),0)</f>
        <v/>
      </c>
      <c r="BU6" s="13">
        <f>IFERROR(AY6/BD6*(BG6-BASELINE_CPR),0)</f>
        <v/>
      </c>
      <c r="BV6" s="13">
        <f>IFERROR(AZ6/BD6*(BG6-BASELINE_CPR),0)</f>
        <v/>
      </c>
      <c r="BW6" s="13">
        <f>IFERROR(BA6/BD6*(BG6-BASELINE_CPR),0)</f>
        <v/>
      </c>
      <c r="BX6" s="13">
        <f>IFERROR(BB6/BD6*(BG6-BASELINE_CPR),0)</f>
        <v/>
      </c>
      <c r="BY6" s="13">
        <f>IFERROR(BC6/BD6*(BG6-BASELINE_CPR),0)</f>
        <v/>
      </c>
      <c r="BZ6" s="28">
        <f>BASELINE_CPR+SUM(BH6:BY6)-BG6</f>
        <v/>
      </c>
    </row>
    <row r="7">
      <c r="A7" s="2" t="inlineStr">
        <is>
          <t>3617QRGV6_000000002311435</t>
        </is>
      </c>
      <c r="B7" t="inlineStr">
        <is>
          <t>LUMENT_PRE21</t>
        </is>
      </c>
      <c r="C7" s="2" t="inlineStr">
        <is>
          <t>3617QRGV6</t>
        </is>
      </c>
      <c r="D7" t="inlineStr">
        <is>
          <t>LUMENT REAL ESTATE CAPITAL,LLC</t>
        </is>
      </c>
      <c r="E7" t="inlineStr">
        <is>
          <t>223f</t>
        </is>
      </c>
      <c r="F7" t="inlineStr">
        <is>
          <t>RP</t>
        </is>
      </c>
      <c r="G7" t="n">
        <v>2017</v>
      </c>
      <c r="H7" t="inlineStr">
        <is>
          <t>202602</t>
        </is>
      </c>
      <c r="I7" s="22" t="n">
        <v>13751711.14</v>
      </c>
      <c r="J7" s="23" t="n">
        <v>3.15</v>
      </c>
      <c r="K7" s="24" t="n">
        <v>447</v>
      </c>
      <c r="L7" s="24" t="n">
        <v>5</v>
      </c>
      <c r="M7" t="n">
        <v>106</v>
      </c>
      <c r="N7" t="n">
        <v>9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s="24">
        <f>J7*100-(K7+(1+L7)*12.5)</f>
        <v/>
      </c>
      <c r="U7">
        <f>O7</f>
        <v/>
      </c>
      <c r="V7">
        <f>M7</f>
        <v/>
      </c>
      <c r="W7" s="23">
        <f>LN(1+I7)</f>
        <v/>
      </c>
      <c r="X7">
        <f>IF(G7&gt;=2021,1,0)</f>
        <v/>
      </c>
      <c r="Y7">
        <f>N7</f>
        <v/>
      </c>
      <c r="Z7" s="23">
        <f>IF(ISNUMBER(M7),N7/MAX(M7,1),0)</f>
        <v/>
      </c>
      <c r="AA7">
        <f>P7</f>
        <v/>
      </c>
      <c r="AB7">
        <f>Q7</f>
        <v/>
      </c>
      <c r="AC7">
        <f>R7</f>
        <v/>
      </c>
      <c r="AD7">
        <f>S7</f>
        <v/>
      </c>
      <c r="AE7">
        <f>IF(ISNUMBER(SEARCH("CAPITAL FUNDING",D7)),1,0)</f>
        <v/>
      </c>
      <c r="AF7">
        <f>IF(ISNUMBER(SEARCH("MERCHANTS",D7)),1,0)</f>
        <v/>
      </c>
      <c r="AG7">
        <f>IF(ISNUMBER(SEARCH("WELLS FARGO",D7)),1,0)</f>
        <v/>
      </c>
      <c r="AH7">
        <f>IF(ISNUMBER(SEARCH("WALKER",D7)),1,0)</f>
        <v/>
      </c>
      <c r="AI7">
        <f>IF(ISNUMBER(SEARCH("PNC",D7)),1,0)</f>
        <v/>
      </c>
      <c r="AJ7">
        <f>IF(ISNUMBER(SEARCH("BERKADIA",D7)),1,0)</f>
        <v/>
      </c>
      <c r="AK7">
        <f>IF(ISNUMBER(SEARCH("DWIGHT",D7)),1,0)</f>
        <v/>
      </c>
      <c r="AL7" s="25">
        <f>T$4*(T7-T$3)</f>
        <v/>
      </c>
      <c r="AM7" s="25">
        <f>U$4*(U7-U$3)</f>
        <v/>
      </c>
      <c r="AN7" s="25">
        <f>V$4*(V7-V$3)</f>
        <v/>
      </c>
      <c r="AO7" s="25">
        <f>W$4*(W7-W$3)</f>
        <v/>
      </c>
      <c r="AP7" s="25">
        <f>X$4*(X7-X$3)</f>
        <v/>
      </c>
      <c r="AQ7" s="25">
        <f>Y$4*(Y7-Y$3)</f>
        <v/>
      </c>
      <c r="AR7" s="25">
        <f>Z$4*(Z7-Z$3)</f>
        <v/>
      </c>
      <c r="AS7" s="25">
        <f>AA$4*(AA7-AA$3)</f>
        <v/>
      </c>
      <c r="AT7" s="25">
        <f>AB$4*(AB7-AB$3)</f>
        <v/>
      </c>
      <c r="AU7" s="25">
        <f>AC$4*(AC7-AC$3)</f>
        <v/>
      </c>
      <c r="AV7" s="25">
        <f>AD$4*(AD7-AD$3)</f>
        <v/>
      </c>
      <c r="AW7" s="25">
        <f>AE$4*(AE7-AE$3)</f>
        <v/>
      </c>
      <c r="AX7" s="25">
        <f>AF$4*(AF7-AF$3)</f>
        <v/>
      </c>
      <c r="AY7" s="25">
        <f>AG$4*(AG7-AG$3)</f>
        <v/>
      </c>
      <c r="AZ7" s="25">
        <f>AH$4*(AH7-AH$3)</f>
        <v/>
      </c>
      <c r="BA7" s="25">
        <f>AI$4*(AI7-AI$3)</f>
        <v/>
      </c>
      <c r="BB7" s="25">
        <f>AJ$4*(AJ7-AJ$3)</f>
        <v/>
      </c>
      <c r="BC7" s="25">
        <f>AK$4*(AK7-AK$3)</f>
        <v/>
      </c>
      <c r="BD7" s="26">
        <f>SUM(AL7:BC7)</f>
        <v/>
      </c>
      <c r="BE7" s="26">
        <f>INTERCEPT_SCALED+BD7</f>
        <v/>
      </c>
      <c r="BF7" s="27">
        <f>1/(1+EXP(-BE7))</f>
        <v/>
      </c>
      <c r="BG7" s="13">
        <f>1-(1-BF7)^12</f>
        <v/>
      </c>
      <c r="BH7" s="13">
        <f>IFERROR(AL7/BD7*(BG7-BASELINE_CPR),0)</f>
        <v/>
      </c>
      <c r="BI7" s="13">
        <f>IFERROR(AM7/BD7*(BG7-BASELINE_CPR),0)</f>
        <v/>
      </c>
      <c r="BJ7" s="13">
        <f>IFERROR(AN7/BD7*(BG7-BASELINE_CPR),0)</f>
        <v/>
      </c>
      <c r="BK7" s="13">
        <f>IFERROR(AO7/BD7*(BG7-BASELINE_CPR),0)</f>
        <v/>
      </c>
      <c r="BL7" s="13">
        <f>IFERROR(AP7/BD7*(BG7-BASELINE_CPR),0)</f>
        <v/>
      </c>
      <c r="BM7" s="13">
        <f>IFERROR(AQ7/BD7*(BG7-BASELINE_CPR),0)</f>
        <v/>
      </c>
      <c r="BN7" s="13">
        <f>IFERROR(AR7/BD7*(BG7-BASELINE_CPR),0)</f>
        <v/>
      </c>
      <c r="BO7" s="13">
        <f>IFERROR(AS7/BD7*(BG7-BASELINE_CPR),0)</f>
        <v/>
      </c>
      <c r="BP7" s="13">
        <f>IFERROR(AT7/BD7*(BG7-BASELINE_CPR),0)</f>
        <v/>
      </c>
      <c r="BQ7" s="13">
        <f>IFERROR(AU7/BD7*(BG7-BASELINE_CPR),0)</f>
        <v/>
      </c>
      <c r="BR7" s="13">
        <f>IFERROR(AV7/BD7*(BG7-BASELINE_CPR),0)</f>
        <v/>
      </c>
      <c r="BS7" s="13">
        <f>IFERROR(AW7/BD7*(BG7-BASELINE_CPR),0)</f>
        <v/>
      </c>
      <c r="BT7" s="13">
        <f>IFERROR(AX7/BD7*(BG7-BASELINE_CPR),0)</f>
        <v/>
      </c>
      <c r="BU7" s="13">
        <f>IFERROR(AY7/BD7*(BG7-BASELINE_CPR),0)</f>
        <v/>
      </c>
      <c r="BV7" s="13">
        <f>IFERROR(AZ7/BD7*(BG7-BASELINE_CPR),0)</f>
        <v/>
      </c>
      <c r="BW7" s="13">
        <f>IFERROR(BA7/BD7*(BG7-BASELINE_CPR),0)</f>
        <v/>
      </c>
      <c r="BX7" s="13">
        <f>IFERROR(BB7/BD7*(BG7-BASELINE_CPR),0)</f>
        <v/>
      </c>
      <c r="BY7" s="13">
        <f>IFERROR(BC7/BD7*(BG7-BASELINE_CPR),0)</f>
        <v/>
      </c>
      <c r="BZ7" s="28">
        <f>BASELINE_CPR+SUM(BH7:BY7)-BG7</f>
        <v/>
      </c>
    </row>
    <row r="8">
      <c r="A8" s="2" t="inlineStr">
        <is>
          <t>3617GAE46_000000007122391</t>
        </is>
      </c>
      <c r="B8" t="inlineStr">
        <is>
          <t>LUMENT_PRE21</t>
        </is>
      </c>
      <c r="C8" s="2" t="inlineStr">
        <is>
          <t>3617GAE46</t>
        </is>
      </c>
      <c r="D8" t="inlineStr">
        <is>
          <t>LUMENT REAL ESTATE CAPITAL,LLC</t>
        </is>
      </c>
      <c r="E8" t="inlineStr">
        <is>
          <t>232</t>
        </is>
      </c>
      <c r="F8" t="inlineStr">
        <is>
          <t>RP</t>
        </is>
      </c>
      <c r="G8" t="n">
        <v>2018</v>
      </c>
      <c r="H8" t="inlineStr">
        <is>
          <t>202602</t>
        </is>
      </c>
      <c r="I8" s="22" t="n">
        <v>9767084.699999999</v>
      </c>
      <c r="J8" s="23" t="n">
        <v>3.58</v>
      </c>
      <c r="K8" s="24" t="n">
        <v>447</v>
      </c>
      <c r="L8" s="24" t="n">
        <v>4</v>
      </c>
      <c r="M8" t="n">
        <v>95</v>
      </c>
      <c r="N8" t="n">
        <v>27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s="24">
        <f>J8*100-(K8+(1+L8)*12.5)</f>
        <v/>
      </c>
      <c r="U8">
        <f>O8</f>
        <v/>
      </c>
      <c r="V8">
        <f>M8</f>
        <v/>
      </c>
      <c r="W8" s="23">
        <f>LN(1+I8)</f>
        <v/>
      </c>
      <c r="X8">
        <f>IF(G8&gt;=2021,1,0)</f>
        <v/>
      </c>
      <c r="Y8">
        <f>N8</f>
        <v/>
      </c>
      <c r="Z8" s="23">
        <f>IF(ISNUMBER(M8),N8/MAX(M8,1),0)</f>
        <v/>
      </c>
      <c r="AA8">
        <f>P8</f>
        <v/>
      </c>
      <c r="AB8">
        <f>Q8</f>
        <v/>
      </c>
      <c r="AC8">
        <f>R8</f>
        <v/>
      </c>
      <c r="AD8">
        <f>S8</f>
        <v/>
      </c>
      <c r="AE8">
        <f>IF(ISNUMBER(SEARCH("CAPITAL FUNDING",D8)),1,0)</f>
        <v/>
      </c>
      <c r="AF8">
        <f>IF(ISNUMBER(SEARCH("MERCHANTS",D8)),1,0)</f>
        <v/>
      </c>
      <c r="AG8">
        <f>IF(ISNUMBER(SEARCH("WELLS FARGO",D8)),1,0)</f>
        <v/>
      </c>
      <c r="AH8">
        <f>IF(ISNUMBER(SEARCH("WALKER",D8)),1,0)</f>
        <v/>
      </c>
      <c r="AI8">
        <f>IF(ISNUMBER(SEARCH("PNC",D8)),1,0)</f>
        <v/>
      </c>
      <c r="AJ8">
        <f>IF(ISNUMBER(SEARCH("BERKADIA",D8)),1,0)</f>
        <v/>
      </c>
      <c r="AK8">
        <f>IF(ISNUMBER(SEARCH("DWIGHT",D8)),1,0)</f>
        <v/>
      </c>
      <c r="AL8" s="25">
        <f>T$4*(T8-T$3)</f>
        <v/>
      </c>
      <c r="AM8" s="25">
        <f>U$4*(U8-U$3)</f>
        <v/>
      </c>
      <c r="AN8" s="25">
        <f>V$4*(V8-V$3)</f>
        <v/>
      </c>
      <c r="AO8" s="25">
        <f>W$4*(W8-W$3)</f>
        <v/>
      </c>
      <c r="AP8" s="25">
        <f>X$4*(X8-X$3)</f>
        <v/>
      </c>
      <c r="AQ8" s="25">
        <f>Y$4*(Y8-Y$3)</f>
        <v/>
      </c>
      <c r="AR8" s="25">
        <f>Z$4*(Z8-Z$3)</f>
        <v/>
      </c>
      <c r="AS8" s="25">
        <f>AA$4*(AA8-AA$3)</f>
        <v/>
      </c>
      <c r="AT8" s="25">
        <f>AB$4*(AB8-AB$3)</f>
        <v/>
      </c>
      <c r="AU8" s="25">
        <f>AC$4*(AC8-AC$3)</f>
        <v/>
      </c>
      <c r="AV8" s="25">
        <f>AD$4*(AD8-AD$3)</f>
        <v/>
      </c>
      <c r="AW8" s="25">
        <f>AE$4*(AE8-AE$3)</f>
        <v/>
      </c>
      <c r="AX8" s="25">
        <f>AF$4*(AF8-AF$3)</f>
        <v/>
      </c>
      <c r="AY8" s="25">
        <f>AG$4*(AG8-AG$3)</f>
        <v/>
      </c>
      <c r="AZ8" s="25">
        <f>AH$4*(AH8-AH$3)</f>
        <v/>
      </c>
      <c r="BA8" s="25">
        <f>AI$4*(AI8-AI$3)</f>
        <v/>
      </c>
      <c r="BB8" s="25">
        <f>AJ$4*(AJ8-AJ$3)</f>
        <v/>
      </c>
      <c r="BC8" s="25">
        <f>AK$4*(AK8-AK$3)</f>
        <v/>
      </c>
      <c r="BD8" s="26">
        <f>SUM(AL8:BC8)</f>
        <v/>
      </c>
      <c r="BE8" s="26">
        <f>INTERCEPT_SCALED+BD8</f>
        <v/>
      </c>
      <c r="BF8" s="27">
        <f>1/(1+EXP(-BE8))</f>
        <v/>
      </c>
      <c r="BG8" s="13">
        <f>1-(1-BF8)^12</f>
        <v/>
      </c>
      <c r="BH8" s="13">
        <f>IFERROR(AL8/BD8*(BG8-BASELINE_CPR),0)</f>
        <v/>
      </c>
      <c r="BI8" s="13">
        <f>IFERROR(AM8/BD8*(BG8-BASELINE_CPR),0)</f>
        <v/>
      </c>
      <c r="BJ8" s="13">
        <f>IFERROR(AN8/BD8*(BG8-BASELINE_CPR),0)</f>
        <v/>
      </c>
      <c r="BK8" s="13">
        <f>IFERROR(AO8/BD8*(BG8-BASELINE_CPR),0)</f>
        <v/>
      </c>
      <c r="BL8" s="13">
        <f>IFERROR(AP8/BD8*(BG8-BASELINE_CPR),0)</f>
        <v/>
      </c>
      <c r="BM8" s="13">
        <f>IFERROR(AQ8/BD8*(BG8-BASELINE_CPR),0)</f>
        <v/>
      </c>
      <c r="BN8" s="13">
        <f>IFERROR(AR8/BD8*(BG8-BASELINE_CPR),0)</f>
        <v/>
      </c>
      <c r="BO8" s="13">
        <f>IFERROR(AS8/BD8*(BG8-BASELINE_CPR),0)</f>
        <v/>
      </c>
      <c r="BP8" s="13">
        <f>IFERROR(AT8/BD8*(BG8-BASELINE_CPR),0)</f>
        <v/>
      </c>
      <c r="BQ8" s="13">
        <f>IFERROR(AU8/BD8*(BG8-BASELINE_CPR),0)</f>
        <v/>
      </c>
      <c r="BR8" s="13">
        <f>IFERROR(AV8/BD8*(BG8-BASELINE_CPR),0)</f>
        <v/>
      </c>
      <c r="BS8" s="13">
        <f>IFERROR(AW8/BD8*(BG8-BASELINE_CPR),0)</f>
        <v/>
      </c>
      <c r="BT8" s="13">
        <f>IFERROR(AX8/BD8*(BG8-BASELINE_CPR),0)</f>
        <v/>
      </c>
      <c r="BU8" s="13">
        <f>IFERROR(AY8/BD8*(BG8-BASELINE_CPR),0)</f>
        <v/>
      </c>
      <c r="BV8" s="13">
        <f>IFERROR(AZ8/BD8*(BG8-BASELINE_CPR),0)</f>
        <v/>
      </c>
      <c r="BW8" s="13">
        <f>IFERROR(BA8/BD8*(BG8-BASELINE_CPR),0)</f>
        <v/>
      </c>
      <c r="BX8" s="13">
        <f>IFERROR(BB8/BD8*(BG8-BASELINE_CPR),0)</f>
        <v/>
      </c>
      <c r="BY8" s="13">
        <f>IFERROR(BC8/BD8*(BG8-BASELINE_CPR),0)</f>
        <v/>
      </c>
      <c r="BZ8" s="28">
        <f>BASELINE_CPR+SUM(BH8:BY8)-BG8</f>
        <v/>
      </c>
    </row>
    <row r="9">
      <c r="A9" s="2" t="inlineStr">
        <is>
          <t>3617X72J4_000000003422052</t>
        </is>
      </c>
      <c r="B9" t="inlineStr">
        <is>
          <t>LUMENT_PRE21</t>
        </is>
      </c>
      <c r="C9" s="2" t="inlineStr">
        <is>
          <t>3617X72J4</t>
        </is>
      </c>
      <c r="D9" t="inlineStr">
        <is>
          <t>LUMENT REAL ESTATE CAPITAL,LLC</t>
        </is>
      </c>
      <c r="E9" t="inlineStr">
        <is>
          <t>232</t>
        </is>
      </c>
      <c r="F9" t="inlineStr">
        <is>
          <t>RP</t>
        </is>
      </c>
      <c r="G9" t="n">
        <v>2011</v>
      </c>
      <c r="H9" t="inlineStr">
        <is>
          <t>202602</t>
        </is>
      </c>
      <c r="I9" s="22" t="n">
        <v>5069016.55</v>
      </c>
      <c r="J9" s="23" t="n">
        <v>3.05</v>
      </c>
      <c r="K9" s="24" t="n">
        <v>447</v>
      </c>
      <c r="L9" s="24" t="n">
        <v>6</v>
      </c>
      <c r="M9" t="n">
        <v>176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s="24">
        <f>J9*100-(K9+(1+L9)*12.5)</f>
        <v/>
      </c>
      <c r="U9">
        <f>O9</f>
        <v/>
      </c>
      <c r="V9">
        <f>M9</f>
        <v/>
      </c>
      <c r="W9" s="23">
        <f>LN(1+I9)</f>
        <v/>
      </c>
      <c r="X9">
        <f>IF(G9&gt;=2021,1,0)</f>
        <v/>
      </c>
      <c r="Y9">
        <f>N9</f>
        <v/>
      </c>
      <c r="Z9" s="23">
        <f>IF(ISNUMBER(M9),N9/MAX(M9,1),0)</f>
        <v/>
      </c>
      <c r="AA9">
        <f>P9</f>
        <v/>
      </c>
      <c r="AB9">
        <f>Q9</f>
        <v/>
      </c>
      <c r="AC9">
        <f>R9</f>
        <v/>
      </c>
      <c r="AD9">
        <f>S9</f>
        <v/>
      </c>
      <c r="AE9">
        <f>IF(ISNUMBER(SEARCH("CAPITAL FUNDING",D9)),1,0)</f>
        <v/>
      </c>
      <c r="AF9">
        <f>IF(ISNUMBER(SEARCH("MERCHANTS",D9)),1,0)</f>
        <v/>
      </c>
      <c r="AG9">
        <f>IF(ISNUMBER(SEARCH("WELLS FARGO",D9)),1,0)</f>
        <v/>
      </c>
      <c r="AH9">
        <f>IF(ISNUMBER(SEARCH("WALKER",D9)),1,0)</f>
        <v/>
      </c>
      <c r="AI9">
        <f>IF(ISNUMBER(SEARCH("PNC",D9)),1,0)</f>
        <v/>
      </c>
      <c r="AJ9">
        <f>IF(ISNUMBER(SEARCH("BERKADIA",D9)),1,0)</f>
        <v/>
      </c>
      <c r="AK9">
        <f>IF(ISNUMBER(SEARCH("DWIGHT",D9)),1,0)</f>
        <v/>
      </c>
      <c r="AL9" s="25">
        <f>T$4*(T9-T$3)</f>
        <v/>
      </c>
      <c r="AM9" s="25">
        <f>U$4*(U9-U$3)</f>
        <v/>
      </c>
      <c r="AN9" s="25">
        <f>V$4*(V9-V$3)</f>
        <v/>
      </c>
      <c r="AO9" s="25">
        <f>W$4*(W9-W$3)</f>
        <v/>
      </c>
      <c r="AP9" s="25">
        <f>X$4*(X9-X$3)</f>
        <v/>
      </c>
      <c r="AQ9" s="25">
        <f>Y$4*(Y9-Y$3)</f>
        <v/>
      </c>
      <c r="AR9" s="25">
        <f>Z$4*(Z9-Z$3)</f>
        <v/>
      </c>
      <c r="AS9" s="25">
        <f>AA$4*(AA9-AA$3)</f>
        <v/>
      </c>
      <c r="AT9" s="25">
        <f>AB$4*(AB9-AB$3)</f>
        <v/>
      </c>
      <c r="AU9" s="25">
        <f>AC$4*(AC9-AC$3)</f>
        <v/>
      </c>
      <c r="AV9" s="25">
        <f>AD$4*(AD9-AD$3)</f>
        <v/>
      </c>
      <c r="AW9" s="25">
        <f>AE$4*(AE9-AE$3)</f>
        <v/>
      </c>
      <c r="AX9" s="25">
        <f>AF$4*(AF9-AF$3)</f>
        <v/>
      </c>
      <c r="AY9" s="25">
        <f>AG$4*(AG9-AG$3)</f>
        <v/>
      </c>
      <c r="AZ9" s="25">
        <f>AH$4*(AH9-AH$3)</f>
        <v/>
      </c>
      <c r="BA9" s="25">
        <f>AI$4*(AI9-AI$3)</f>
        <v/>
      </c>
      <c r="BB9" s="25">
        <f>AJ$4*(AJ9-AJ$3)</f>
        <v/>
      </c>
      <c r="BC9" s="25">
        <f>AK$4*(AK9-AK$3)</f>
        <v/>
      </c>
      <c r="BD9" s="26">
        <f>SUM(AL9:BC9)</f>
        <v/>
      </c>
      <c r="BE9" s="26">
        <f>INTERCEPT_SCALED+BD9</f>
        <v/>
      </c>
      <c r="BF9" s="27">
        <f>1/(1+EXP(-BE9))</f>
        <v/>
      </c>
      <c r="BG9" s="13">
        <f>1-(1-BF9)^12</f>
        <v/>
      </c>
      <c r="BH9" s="13">
        <f>IFERROR(AL9/BD9*(BG9-BASELINE_CPR),0)</f>
        <v/>
      </c>
      <c r="BI9" s="13">
        <f>IFERROR(AM9/BD9*(BG9-BASELINE_CPR),0)</f>
        <v/>
      </c>
      <c r="BJ9" s="13">
        <f>IFERROR(AN9/BD9*(BG9-BASELINE_CPR),0)</f>
        <v/>
      </c>
      <c r="BK9" s="13">
        <f>IFERROR(AO9/BD9*(BG9-BASELINE_CPR),0)</f>
        <v/>
      </c>
      <c r="BL9" s="13">
        <f>IFERROR(AP9/BD9*(BG9-BASELINE_CPR),0)</f>
        <v/>
      </c>
      <c r="BM9" s="13">
        <f>IFERROR(AQ9/BD9*(BG9-BASELINE_CPR),0)</f>
        <v/>
      </c>
      <c r="BN9" s="13">
        <f>IFERROR(AR9/BD9*(BG9-BASELINE_CPR),0)</f>
        <v/>
      </c>
      <c r="BO9" s="13">
        <f>IFERROR(AS9/BD9*(BG9-BASELINE_CPR),0)</f>
        <v/>
      </c>
      <c r="BP9" s="13">
        <f>IFERROR(AT9/BD9*(BG9-BASELINE_CPR),0)</f>
        <v/>
      </c>
      <c r="BQ9" s="13">
        <f>IFERROR(AU9/BD9*(BG9-BASELINE_CPR),0)</f>
        <v/>
      </c>
      <c r="BR9" s="13">
        <f>IFERROR(AV9/BD9*(BG9-BASELINE_CPR),0)</f>
        <v/>
      </c>
      <c r="BS9" s="13">
        <f>IFERROR(AW9/BD9*(BG9-BASELINE_CPR),0)</f>
        <v/>
      </c>
      <c r="BT9" s="13">
        <f>IFERROR(AX9/BD9*(BG9-BASELINE_CPR),0)</f>
        <v/>
      </c>
      <c r="BU9" s="13">
        <f>IFERROR(AY9/BD9*(BG9-BASELINE_CPR),0)</f>
        <v/>
      </c>
      <c r="BV9" s="13">
        <f>IFERROR(AZ9/BD9*(BG9-BASELINE_CPR),0)</f>
        <v/>
      </c>
      <c r="BW9" s="13">
        <f>IFERROR(BA9/BD9*(BG9-BASELINE_CPR),0)</f>
        <v/>
      </c>
      <c r="BX9" s="13">
        <f>IFERROR(BB9/BD9*(BG9-BASELINE_CPR),0)</f>
        <v/>
      </c>
      <c r="BY9" s="13">
        <f>IFERROR(BC9/BD9*(BG9-BASELINE_CPR),0)</f>
        <v/>
      </c>
      <c r="BZ9" s="28">
        <f>BASELINE_CPR+SUM(BH9:BY9)-BG9</f>
        <v/>
      </c>
    </row>
    <row r="10">
      <c r="A10" s="2" t="inlineStr">
        <is>
          <t>3617X74P8_000000007343145</t>
        </is>
      </c>
      <c r="B10" t="inlineStr">
        <is>
          <t>LUMENT_PRE21</t>
        </is>
      </c>
      <c r="C10" s="2" t="inlineStr">
        <is>
          <t>3617X74P8</t>
        </is>
      </c>
      <c r="D10" t="inlineStr">
        <is>
          <t>LUMENT REAL ESTATE CAPITAL,LLC</t>
        </is>
      </c>
      <c r="E10" t="inlineStr">
        <is>
          <t>232</t>
        </is>
      </c>
      <c r="F10" t="inlineStr">
        <is>
          <t>RP</t>
        </is>
      </c>
      <c r="G10" t="n">
        <v>2013</v>
      </c>
      <c r="H10" t="inlineStr">
        <is>
          <t>202602</t>
        </is>
      </c>
      <c r="I10" s="22" t="n">
        <v>11587614.33</v>
      </c>
      <c r="J10" s="23" t="n">
        <v>3.42</v>
      </c>
      <c r="K10" s="24" t="n">
        <v>447</v>
      </c>
      <c r="L10" s="24" t="n">
        <v>6</v>
      </c>
      <c r="M10" t="n">
        <v>148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s="24">
        <f>J10*100-(K10+(1+L10)*12.5)</f>
        <v/>
      </c>
      <c r="U10">
        <f>O10</f>
        <v/>
      </c>
      <c r="V10">
        <f>M10</f>
        <v/>
      </c>
      <c r="W10" s="23">
        <f>LN(1+I10)</f>
        <v/>
      </c>
      <c r="X10">
        <f>IF(G10&gt;=2021,1,0)</f>
        <v/>
      </c>
      <c r="Y10">
        <f>N10</f>
        <v/>
      </c>
      <c r="Z10" s="23">
        <f>IF(ISNUMBER(M10),N10/MAX(M10,1),0)</f>
        <v/>
      </c>
      <c r="AA10">
        <f>P10</f>
        <v/>
      </c>
      <c r="AB10">
        <f>Q10</f>
        <v/>
      </c>
      <c r="AC10">
        <f>R10</f>
        <v/>
      </c>
      <c r="AD10">
        <f>S10</f>
        <v/>
      </c>
      <c r="AE10">
        <f>IF(ISNUMBER(SEARCH("CAPITAL FUNDING",D10)),1,0)</f>
        <v/>
      </c>
      <c r="AF10">
        <f>IF(ISNUMBER(SEARCH("MERCHANTS",D10)),1,0)</f>
        <v/>
      </c>
      <c r="AG10">
        <f>IF(ISNUMBER(SEARCH("WELLS FARGO",D10)),1,0)</f>
        <v/>
      </c>
      <c r="AH10">
        <f>IF(ISNUMBER(SEARCH("WALKER",D10)),1,0)</f>
        <v/>
      </c>
      <c r="AI10">
        <f>IF(ISNUMBER(SEARCH("PNC",D10)),1,0)</f>
        <v/>
      </c>
      <c r="AJ10">
        <f>IF(ISNUMBER(SEARCH("BERKADIA",D10)),1,0)</f>
        <v/>
      </c>
      <c r="AK10">
        <f>IF(ISNUMBER(SEARCH("DWIGHT",D10)),1,0)</f>
        <v/>
      </c>
      <c r="AL10" s="25">
        <f>T$4*(T10-T$3)</f>
        <v/>
      </c>
      <c r="AM10" s="25">
        <f>U$4*(U10-U$3)</f>
        <v/>
      </c>
      <c r="AN10" s="25">
        <f>V$4*(V10-V$3)</f>
        <v/>
      </c>
      <c r="AO10" s="25">
        <f>W$4*(W10-W$3)</f>
        <v/>
      </c>
      <c r="AP10" s="25">
        <f>X$4*(X10-X$3)</f>
        <v/>
      </c>
      <c r="AQ10" s="25">
        <f>Y$4*(Y10-Y$3)</f>
        <v/>
      </c>
      <c r="AR10" s="25">
        <f>Z$4*(Z10-Z$3)</f>
        <v/>
      </c>
      <c r="AS10" s="25">
        <f>AA$4*(AA10-AA$3)</f>
        <v/>
      </c>
      <c r="AT10" s="25">
        <f>AB$4*(AB10-AB$3)</f>
        <v/>
      </c>
      <c r="AU10" s="25">
        <f>AC$4*(AC10-AC$3)</f>
        <v/>
      </c>
      <c r="AV10" s="25">
        <f>AD$4*(AD10-AD$3)</f>
        <v/>
      </c>
      <c r="AW10" s="25">
        <f>AE$4*(AE10-AE$3)</f>
        <v/>
      </c>
      <c r="AX10" s="25">
        <f>AF$4*(AF10-AF$3)</f>
        <v/>
      </c>
      <c r="AY10" s="25">
        <f>AG$4*(AG10-AG$3)</f>
        <v/>
      </c>
      <c r="AZ10" s="25">
        <f>AH$4*(AH10-AH$3)</f>
        <v/>
      </c>
      <c r="BA10" s="25">
        <f>AI$4*(AI10-AI$3)</f>
        <v/>
      </c>
      <c r="BB10" s="25">
        <f>AJ$4*(AJ10-AJ$3)</f>
        <v/>
      </c>
      <c r="BC10" s="25">
        <f>AK$4*(AK10-AK$3)</f>
        <v/>
      </c>
      <c r="BD10" s="26">
        <f>SUM(AL10:BC10)</f>
        <v/>
      </c>
      <c r="BE10" s="26">
        <f>INTERCEPT_SCALED+BD10</f>
        <v/>
      </c>
      <c r="BF10" s="27">
        <f>1/(1+EXP(-BE10))</f>
        <v/>
      </c>
      <c r="BG10" s="13">
        <f>1-(1-BF10)^12</f>
        <v/>
      </c>
      <c r="BH10" s="13">
        <f>IFERROR(AL10/BD10*(BG10-BASELINE_CPR),0)</f>
        <v/>
      </c>
      <c r="BI10" s="13">
        <f>IFERROR(AM10/BD10*(BG10-BASELINE_CPR),0)</f>
        <v/>
      </c>
      <c r="BJ10" s="13">
        <f>IFERROR(AN10/BD10*(BG10-BASELINE_CPR),0)</f>
        <v/>
      </c>
      <c r="BK10" s="13">
        <f>IFERROR(AO10/BD10*(BG10-BASELINE_CPR),0)</f>
        <v/>
      </c>
      <c r="BL10" s="13">
        <f>IFERROR(AP10/BD10*(BG10-BASELINE_CPR),0)</f>
        <v/>
      </c>
      <c r="BM10" s="13">
        <f>IFERROR(AQ10/BD10*(BG10-BASELINE_CPR),0)</f>
        <v/>
      </c>
      <c r="BN10" s="13">
        <f>IFERROR(AR10/BD10*(BG10-BASELINE_CPR),0)</f>
        <v/>
      </c>
      <c r="BO10" s="13">
        <f>IFERROR(AS10/BD10*(BG10-BASELINE_CPR),0)</f>
        <v/>
      </c>
      <c r="BP10" s="13">
        <f>IFERROR(AT10/BD10*(BG10-BASELINE_CPR),0)</f>
        <v/>
      </c>
      <c r="BQ10" s="13">
        <f>IFERROR(AU10/BD10*(BG10-BASELINE_CPR),0)</f>
        <v/>
      </c>
      <c r="BR10" s="13">
        <f>IFERROR(AV10/BD10*(BG10-BASELINE_CPR),0)</f>
        <v/>
      </c>
      <c r="BS10" s="13">
        <f>IFERROR(AW10/BD10*(BG10-BASELINE_CPR),0)</f>
        <v/>
      </c>
      <c r="BT10" s="13">
        <f>IFERROR(AX10/BD10*(BG10-BASELINE_CPR),0)</f>
        <v/>
      </c>
      <c r="BU10" s="13">
        <f>IFERROR(AY10/BD10*(BG10-BASELINE_CPR),0)</f>
        <v/>
      </c>
      <c r="BV10" s="13">
        <f>IFERROR(AZ10/BD10*(BG10-BASELINE_CPR),0)</f>
        <v/>
      </c>
      <c r="BW10" s="13">
        <f>IFERROR(BA10/BD10*(BG10-BASELINE_CPR),0)</f>
        <v/>
      </c>
      <c r="BX10" s="13">
        <f>IFERROR(BB10/BD10*(BG10-BASELINE_CPR),0)</f>
        <v/>
      </c>
      <c r="BY10" s="13">
        <f>IFERROR(BC10/BD10*(BG10-BASELINE_CPR),0)</f>
        <v/>
      </c>
      <c r="BZ10" s="28">
        <f>BASELINE_CPR+SUM(BH10:BY10)-BG10</f>
        <v/>
      </c>
    </row>
    <row r="11">
      <c r="A11" s="2" t="inlineStr">
        <is>
          <t>3620AEYZ7_000000010535179</t>
        </is>
      </c>
      <c r="B11" t="inlineStr">
        <is>
          <t>LUMENT_PRE21</t>
        </is>
      </c>
      <c r="C11" s="2" t="inlineStr">
        <is>
          <t>3620AEYZ7</t>
        </is>
      </c>
      <c r="D11" t="inlineStr">
        <is>
          <t>LUMENT REAL ESTATE CAPITAL,LLC</t>
        </is>
      </c>
      <c r="E11" t="inlineStr">
        <is>
          <t>OTHER</t>
        </is>
      </c>
      <c r="F11" t="inlineStr">
        <is>
          <t>OTHER</t>
        </is>
      </c>
      <c r="G11" t="n">
        <v>2010</v>
      </c>
      <c r="H11" t="inlineStr">
        <is>
          <t>202602</t>
        </is>
      </c>
      <c r="I11" s="22" t="n">
        <v>7782165.94</v>
      </c>
      <c r="J11" s="23" t="n">
        <v>3.38</v>
      </c>
      <c r="K11" s="24" t="n">
        <v>447</v>
      </c>
      <c r="L11" s="24" t="n">
        <v>0</v>
      </c>
      <c r="M11" t="n">
        <v>182</v>
      </c>
      <c r="N11" t="n">
        <v>36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s="24">
        <f>J11*100-(K11+(1+L11)*12.5)</f>
        <v/>
      </c>
      <c r="U11">
        <f>O11</f>
        <v/>
      </c>
      <c r="V11">
        <f>M11</f>
        <v/>
      </c>
      <c r="W11" s="23">
        <f>LN(1+I11)</f>
        <v/>
      </c>
      <c r="X11">
        <f>IF(G11&gt;=2021,1,0)</f>
        <v/>
      </c>
      <c r="Y11">
        <f>N11</f>
        <v/>
      </c>
      <c r="Z11" s="23">
        <f>IF(ISNUMBER(M11),N11/MAX(M11,1),0)</f>
        <v/>
      </c>
      <c r="AA11">
        <f>P11</f>
        <v/>
      </c>
      <c r="AB11">
        <f>Q11</f>
        <v/>
      </c>
      <c r="AC11">
        <f>R11</f>
        <v/>
      </c>
      <c r="AD11">
        <f>S11</f>
        <v/>
      </c>
      <c r="AE11">
        <f>IF(ISNUMBER(SEARCH("CAPITAL FUNDING",D11)),1,0)</f>
        <v/>
      </c>
      <c r="AF11">
        <f>IF(ISNUMBER(SEARCH("MERCHANTS",D11)),1,0)</f>
        <v/>
      </c>
      <c r="AG11">
        <f>IF(ISNUMBER(SEARCH("WELLS FARGO",D11)),1,0)</f>
        <v/>
      </c>
      <c r="AH11">
        <f>IF(ISNUMBER(SEARCH("WALKER",D11)),1,0)</f>
        <v/>
      </c>
      <c r="AI11">
        <f>IF(ISNUMBER(SEARCH("PNC",D11)),1,0)</f>
        <v/>
      </c>
      <c r="AJ11">
        <f>IF(ISNUMBER(SEARCH("BERKADIA",D11)),1,0)</f>
        <v/>
      </c>
      <c r="AK11">
        <f>IF(ISNUMBER(SEARCH("DWIGHT",D11)),1,0)</f>
        <v/>
      </c>
      <c r="AL11" s="25">
        <f>T$4*(T11-T$3)</f>
        <v/>
      </c>
      <c r="AM11" s="25">
        <f>U$4*(U11-U$3)</f>
        <v/>
      </c>
      <c r="AN11" s="25">
        <f>V$4*(V11-V$3)</f>
        <v/>
      </c>
      <c r="AO11" s="25">
        <f>W$4*(W11-W$3)</f>
        <v/>
      </c>
      <c r="AP11" s="25">
        <f>X$4*(X11-X$3)</f>
        <v/>
      </c>
      <c r="AQ11" s="25">
        <f>Y$4*(Y11-Y$3)</f>
        <v/>
      </c>
      <c r="AR11" s="25">
        <f>Z$4*(Z11-Z$3)</f>
        <v/>
      </c>
      <c r="AS11" s="25">
        <f>AA$4*(AA11-AA$3)</f>
        <v/>
      </c>
      <c r="AT11" s="25">
        <f>AB$4*(AB11-AB$3)</f>
        <v/>
      </c>
      <c r="AU11" s="25">
        <f>AC$4*(AC11-AC$3)</f>
        <v/>
      </c>
      <c r="AV11" s="25">
        <f>AD$4*(AD11-AD$3)</f>
        <v/>
      </c>
      <c r="AW11" s="25">
        <f>AE$4*(AE11-AE$3)</f>
        <v/>
      </c>
      <c r="AX11" s="25">
        <f>AF$4*(AF11-AF$3)</f>
        <v/>
      </c>
      <c r="AY11" s="25">
        <f>AG$4*(AG11-AG$3)</f>
        <v/>
      </c>
      <c r="AZ11" s="25">
        <f>AH$4*(AH11-AH$3)</f>
        <v/>
      </c>
      <c r="BA11" s="25">
        <f>AI$4*(AI11-AI$3)</f>
        <v/>
      </c>
      <c r="BB11" s="25">
        <f>AJ$4*(AJ11-AJ$3)</f>
        <v/>
      </c>
      <c r="BC11" s="25">
        <f>AK$4*(AK11-AK$3)</f>
        <v/>
      </c>
      <c r="BD11" s="26">
        <f>SUM(AL11:BC11)</f>
        <v/>
      </c>
      <c r="BE11" s="26">
        <f>INTERCEPT_SCALED+BD11</f>
        <v/>
      </c>
      <c r="BF11" s="27">
        <f>1/(1+EXP(-BE11))</f>
        <v/>
      </c>
      <c r="BG11" s="13">
        <f>1-(1-BF11)^12</f>
        <v/>
      </c>
      <c r="BH11" s="13">
        <f>IFERROR(AL11/BD11*(BG11-BASELINE_CPR),0)</f>
        <v/>
      </c>
      <c r="BI11" s="13">
        <f>IFERROR(AM11/BD11*(BG11-BASELINE_CPR),0)</f>
        <v/>
      </c>
      <c r="BJ11" s="13">
        <f>IFERROR(AN11/BD11*(BG11-BASELINE_CPR),0)</f>
        <v/>
      </c>
      <c r="BK11" s="13">
        <f>IFERROR(AO11/BD11*(BG11-BASELINE_CPR),0)</f>
        <v/>
      </c>
      <c r="BL11" s="13">
        <f>IFERROR(AP11/BD11*(BG11-BASELINE_CPR),0)</f>
        <v/>
      </c>
      <c r="BM11" s="13">
        <f>IFERROR(AQ11/BD11*(BG11-BASELINE_CPR),0)</f>
        <v/>
      </c>
      <c r="BN11" s="13">
        <f>IFERROR(AR11/BD11*(BG11-BASELINE_CPR),0)</f>
        <v/>
      </c>
      <c r="BO11" s="13">
        <f>IFERROR(AS11/BD11*(BG11-BASELINE_CPR),0)</f>
        <v/>
      </c>
      <c r="BP11" s="13">
        <f>IFERROR(AT11/BD11*(BG11-BASELINE_CPR),0)</f>
        <v/>
      </c>
      <c r="BQ11" s="13">
        <f>IFERROR(AU11/BD11*(BG11-BASELINE_CPR),0)</f>
        <v/>
      </c>
      <c r="BR11" s="13">
        <f>IFERROR(AV11/BD11*(BG11-BASELINE_CPR),0)</f>
        <v/>
      </c>
      <c r="BS11" s="13">
        <f>IFERROR(AW11/BD11*(BG11-BASELINE_CPR),0)</f>
        <v/>
      </c>
      <c r="BT11" s="13">
        <f>IFERROR(AX11/BD11*(BG11-BASELINE_CPR),0)</f>
        <v/>
      </c>
      <c r="BU11" s="13">
        <f>IFERROR(AY11/BD11*(BG11-BASELINE_CPR),0)</f>
        <v/>
      </c>
      <c r="BV11" s="13">
        <f>IFERROR(AZ11/BD11*(BG11-BASELINE_CPR),0)</f>
        <v/>
      </c>
      <c r="BW11" s="13">
        <f>IFERROR(BA11/BD11*(BG11-BASELINE_CPR),0)</f>
        <v/>
      </c>
      <c r="BX11" s="13">
        <f>IFERROR(BB11/BD11*(BG11-BASELINE_CPR),0)</f>
        <v/>
      </c>
      <c r="BY11" s="13">
        <f>IFERROR(BC11/BD11*(BG11-BASELINE_CPR),0)</f>
        <v/>
      </c>
      <c r="BZ11" s="28">
        <f>BASELINE_CPR+SUM(BH11:BY11)-BG11</f>
        <v/>
      </c>
    </row>
    <row r="12">
      <c r="A12" s="2" t="inlineStr">
        <is>
          <t>3618BNC43_000000001211581</t>
        </is>
      </c>
      <c r="B12" t="inlineStr">
        <is>
          <t>LUMENT_POST21</t>
        </is>
      </c>
      <c r="C12" s="2" t="inlineStr">
        <is>
          <t>3618BNC43</t>
        </is>
      </c>
      <c r="D12" t="inlineStr">
        <is>
          <t>LUMENT REAL ESTATE CAPITAL,LLC</t>
        </is>
      </c>
      <c r="E12" t="inlineStr">
        <is>
          <t>223f</t>
        </is>
      </c>
      <c r="F12" t="inlineStr">
        <is>
          <t>RP</t>
        </is>
      </c>
      <c r="G12" t="n">
        <v>2023</v>
      </c>
      <c r="H12" t="inlineStr">
        <is>
          <t>202602</t>
        </is>
      </c>
      <c r="I12" s="22" t="n">
        <v>30791262.42</v>
      </c>
      <c r="J12" s="23" t="n">
        <v>5.36</v>
      </c>
      <c r="K12" s="24" t="n">
        <v>447</v>
      </c>
      <c r="L12" s="24" t="n">
        <v>8</v>
      </c>
      <c r="M12" t="n">
        <v>32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s="24">
        <f>J12*100-(K12+(1+L12)*12.5)</f>
        <v/>
      </c>
      <c r="U12">
        <f>O12</f>
        <v/>
      </c>
      <c r="V12">
        <f>M12</f>
        <v/>
      </c>
      <c r="W12" s="23">
        <f>LN(1+I12)</f>
        <v/>
      </c>
      <c r="X12">
        <f>IF(G12&gt;=2021,1,0)</f>
        <v/>
      </c>
      <c r="Y12">
        <f>N12</f>
        <v/>
      </c>
      <c r="Z12" s="23">
        <f>IF(ISNUMBER(M12),N12/MAX(M12,1),0)</f>
        <v/>
      </c>
      <c r="AA12">
        <f>P12</f>
        <v/>
      </c>
      <c r="AB12">
        <f>Q12</f>
        <v/>
      </c>
      <c r="AC12">
        <f>R12</f>
        <v/>
      </c>
      <c r="AD12">
        <f>S12</f>
        <v/>
      </c>
      <c r="AE12">
        <f>IF(ISNUMBER(SEARCH("CAPITAL FUNDING",D12)),1,0)</f>
        <v/>
      </c>
      <c r="AF12">
        <f>IF(ISNUMBER(SEARCH("MERCHANTS",D12)),1,0)</f>
        <v/>
      </c>
      <c r="AG12">
        <f>IF(ISNUMBER(SEARCH("WELLS FARGO",D12)),1,0)</f>
        <v/>
      </c>
      <c r="AH12">
        <f>IF(ISNUMBER(SEARCH("WALKER",D12)),1,0)</f>
        <v/>
      </c>
      <c r="AI12">
        <f>IF(ISNUMBER(SEARCH("PNC",D12)),1,0)</f>
        <v/>
      </c>
      <c r="AJ12">
        <f>IF(ISNUMBER(SEARCH("BERKADIA",D12)),1,0)</f>
        <v/>
      </c>
      <c r="AK12">
        <f>IF(ISNUMBER(SEARCH("DWIGHT",D12)),1,0)</f>
        <v/>
      </c>
      <c r="AL12" s="25">
        <f>T$4*(T12-T$3)</f>
        <v/>
      </c>
      <c r="AM12" s="25">
        <f>U$4*(U12-U$3)</f>
        <v/>
      </c>
      <c r="AN12" s="25">
        <f>V$4*(V12-V$3)</f>
        <v/>
      </c>
      <c r="AO12" s="25">
        <f>W$4*(W12-W$3)</f>
        <v/>
      </c>
      <c r="AP12" s="25">
        <f>X$4*(X12-X$3)</f>
        <v/>
      </c>
      <c r="AQ12" s="25">
        <f>Y$4*(Y12-Y$3)</f>
        <v/>
      </c>
      <c r="AR12" s="25">
        <f>Z$4*(Z12-Z$3)</f>
        <v/>
      </c>
      <c r="AS12" s="25">
        <f>AA$4*(AA12-AA$3)</f>
        <v/>
      </c>
      <c r="AT12" s="25">
        <f>AB$4*(AB12-AB$3)</f>
        <v/>
      </c>
      <c r="AU12" s="25">
        <f>AC$4*(AC12-AC$3)</f>
        <v/>
      </c>
      <c r="AV12" s="25">
        <f>AD$4*(AD12-AD$3)</f>
        <v/>
      </c>
      <c r="AW12" s="25">
        <f>AE$4*(AE12-AE$3)</f>
        <v/>
      </c>
      <c r="AX12" s="25">
        <f>AF$4*(AF12-AF$3)</f>
        <v/>
      </c>
      <c r="AY12" s="25">
        <f>AG$4*(AG12-AG$3)</f>
        <v/>
      </c>
      <c r="AZ12" s="25">
        <f>AH$4*(AH12-AH$3)</f>
        <v/>
      </c>
      <c r="BA12" s="25">
        <f>AI$4*(AI12-AI$3)</f>
        <v/>
      </c>
      <c r="BB12" s="25">
        <f>AJ$4*(AJ12-AJ$3)</f>
        <v/>
      </c>
      <c r="BC12" s="25">
        <f>AK$4*(AK12-AK$3)</f>
        <v/>
      </c>
      <c r="BD12" s="26">
        <f>SUM(AL12:BC12)</f>
        <v/>
      </c>
      <c r="BE12" s="26">
        <f>INTERCEPT_SCALED+BD12</f>
        <v/>
      </c>
      <c r="BF12" s="27">
        <f>1/(1+EXP(-BE12))</f>
        <v/>
      </c>
      <c r="BG12" s="13">
        <f>1-(1-BF12)^12</f>
        <v/>
      </c>
      <c r="BH12" s="13">
        <f>IFERROR(AL12/BD12*(BG12-BASELINE_CPR),0)</f>
        <v/>
      </c>
      <c r="BI12" s="13">
        <f>IFERROR(AM12/BD12*(BG12-BASELINE_CPR),0)</f>
        <v/>
      </c>
      <c r="BJ12" s="13">
        <f>IFERROR(AN12/BD12*(BG12-BASELINE_CPR),0)</f>
        <v/>
      </c>
      <c r="BK12" s="13">
        <f>IFERROR(AO12/BD12*(BG12-BASELINE_CPR),0)</f>
        <v/>
      </c>
      <c r="BL12" s="13">
        <f>IFERROR(AP12/BD12*(BG12-BASELINE_CPR),0)</f>
        <v/>
      </c>
      <c r="BM12" s="13">
        <f>IFERROR(AQ12/BD12*(BG12-BASELINE_CPR),0)</f>
        <v/>
      </c>
      <c r="BN12" s="13">
        <f>IFERROR(AR12/BD12*(BG12-BASELINE_CPR),0)</f>
        <v/>
      </c>
      <c r="BO12" s="13">
        <f>IFERROR(AS12/BD12*(BG12-BASELINE_CPR),0)</f>
        <v/>
      </c>
      <c r="BP12" s="13">
        <f>IFERROR(AT12/BD12*(BG12-BASELINE_CPR),0)</f>
        <v/>
      </c>
      <c r="BQ12" s="13">
        <f>IFERROR(AU12/BD12*(BG12-BASELINE_CPR),0)</f>
        <v/>
      </c>
      <c r="BR12" s="13">
        <f>IFERROR(AV12/BD12*(BG12-BASELINE_CPR),0)</f>
        <v/>
      </c>
      <c r="BS12" s="13">
        <f>IFERROR(AW12/BD12*(BG12-BASELINE_CPR),0)</f>
        <v/>
      </c>
      <c r="BT12" s="13">
        <f>IFERROR(AX12/BD12*(BG12-BASELINE_CPR),0)</f>
        <v/>
      </c>
      <c r="BU12" s="13">
        <f>IFERROR(AY12/BD12*(BG12-BASELINE_CPR),0)</f>
        <v/>
      </c>
      <c r="BV12" s="13">
        <f>IFERROR(AZ12/BD12*(BG12-BASELINE_CPR),0)</f>
        <v/>
      </c>
      <c r="BW12" s="13">
        <f>IFERROR(BA12/BD12*(BG12-BASELINE_CPR),0)</f>
        <v/>
      </c>
      <c r="BX12" s="13">
        <f>IFERROR(BB12/BD12*(BG12-BASELINE_CPR),0)</f>
        <v/>
      </c>
      <c r="BY12" s="13">
        <f>IFERROR(BC12/BD12*(BG12-BASELINE_CPR),0)</f>
        <v/>
      </c>
      <c r="BZ12" s="28">
        <f>BASELINE_CPR+SUM(BH12:BY12)-BG12</f>
        <v/>
      </c>
    </row>
    <row r="13">
      <c r="A13" s="2" t="inlineStr">
        <is>
          <t>3618KLMG9_000000001211630</t>
        </is>
      </c>
      <c r="B13" t="inlineStr">
        <is>
          <t>LUMENT_POST21</t>
        </is>
      </c>
      <c r="C13" s="2" t="inlineStr">
        <is>
          <t>3618KLMG9</t>
        </is>
      </c>
      <c r="D13" t="inlineStr">
        <is>
          <t>LUMENT REAL ESTATE CAPITAL,LLC</t>
        </is>
      </c>
      <c r="E13" t="inlineStr">
        <is>
          <t>223f</t>
        </is>
      </c>
      <c r="F13" t="inlineStr">
        <is>
          <t>RP</t>
        </is>
      </c>
      <c r="G13" t="n">
        <v>2025</v>
      </c>
      <c r="H13" t="inlineStr">
        <is>
          <t>202602</t>
        </is>
      </c>
      <c r="I13" s="22" t="n">
        <v>59508579.86</v>
      </c>
      <c r="J13" s="23" t="n">
        <v>5.65</v>
      </c>
      <c r="K13" s="24" t="n">
        <v>447</v>
      </c>
      <c r="L13" s="24" t="n">
        <v>10</v>
      </c>
      <c r="M13" t="n">
        <v>4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s="24">
        <f>J13*100-(K13+(1+L13)*12.5)</f>
        <v/>
      </c>
      <c r="U13">
        <f>O13</f>
        <v/>
      </c>
      <c r="V13">
        <f>M13</f>
        <v/>
      </c>
      <c r="W13" s="23">
        <f>LN(1+I13)</f>
        <v/>
      </c>
      <c r="X13">
        <f>IF(G13&gt;=2021,1,0)</f>
        <v/>
      </c>
      <c r="Y13">
        <f>N13</f>
        <v/>
      </c>
      <c r="Z13" s="23">
        <f>IF(ISNUMBER(M13),N13/MAX(M13,1),0)</f>
        <v/>
      </c>
      <c r="AA13">
        <f>P13</f>
        <v/>
      </c>
      <c r="AB13">
        <f>Q13</f>
        <v/>
      </c>
      <c r="AC13">
        <f>R13</f>
        <v/>
      </c>
      <c r="AD13">
        <f>S13</f>
        <v/>
      </c>
      <c r="AE13">
        <f>IF(ISNUMBER(SEARCH("CAPITAL FUNDING",D13)),1,0)</f>
        <v/>
      </c>
      <c r="AF13">
        <f>IF(ISNUMBER(SEARCH("MERCHANTS",D13)),1,0)</f>
        <v/>
      </c>
      <c r="AG13">
        <f>IF(ISNUMBER(SEARCH("WELLS FARGO",D13)),1,0)</f>
        <v/>
      </c>
      <c r="AH13">
        <f>IF(ISNUMBER(SEARCH("WALKER",D13)),1,0)</f>
        <v/>
      </c>
      <c r="AI13">
        <f>IF(ISNUMBER(SEARCH("PNC",D13)),1,0)</f>
        <v/>
      </c>
      <c r="AJ13">
        <f>IF(ISNUMBER(SEARCH("BERKADIA",D13)),1,0)</f>
        <v/>
      </c>
      <c r="AK13">
        <f>IF(ISNUMBER(SEARCH("DWIGHT",D13)),1,0)</f>
        <v/>
      </c>
      <c r="AL13" s="25">
        <f>T$4*(T13-T$3)</f>
        <v/>
      </c>
      <c r="AM13" s="25">
        <f>U$4*(U13-U$3)</f>
        <v/>
      </c>
      <c r="AN13" s="25">
        <f>V$4*(V13-V$3)</f>
        <v/>
      </c>
      <c r="AO13" s="25">
        <f>W$4*(W13-W$3)</f>
        <v/>
      </c>
      <c r="AP13" s="25">
        <f>X$4*(X13-X$3)</f>
        <v/>
      </c>
      <c r="AQ13" s="25">
        <f>Y$4*(Y13-Y$3)</f>
        <v/>
      </c>
      <c r="AR13" s="25">
        <f>Z$4*(Z13-Z$3)</f>
        <v/>
      </c>
      <c r="AS13" s="25">
        <f>AA$4*(AA13-AA$3)</f>
        <v/>
      </c>
      <c r="AT13" s="25">
        <f>AB$4*(AB13-AB$3)</f>
        <v/>
      </c>
      <c r="AU13" s="25">
        <f>AC$4*(AC13-AC$3)</f>
        <v/>
      </c>
      <c r="AV13" s="25">
        <f>AD$4*(AD13-AD$3)</f>
        <v/>
      </c>
      <c r="AW13" s="25">
        <f>AE$4*(AE13-AE$3)</f>
        <v/>
      </c>
      <c r="AX13" s="25">
        <f>AF$4*(AF13-AF$3)</f>
        <v/>
      </c>
      <c r="AY13" s="25">
        <f>AG$4*(AG13-AG$3)</f>
        <v/>
      </c>
      <c r="AZ13" s="25">
        <f>AH$4*(AH13-AH$3)</f>
        <v/>
      </c>
      <c r="BA13" s="25">
        <f>AI$4*(AI13-AI$3)</f>
        <v/>
      </c>
      <c r="BB13" s="25">
        <f>AJ$4*(AJ13-AJ$3)</f>
        <v/>
      </c>
      <c r="BC13" s="25">
        <f>AK$4*(AK13-AK$3)</f>
        <v/>
      </c>
      <c r="BD13" s="26">
        <f>SUM(AL13:BC13)</f>
        <v/>
      </c>
      <c r="BE13" s="26">
        <f>INTERCEPT_SCALED+BD13</f>
        <v/>
      </c>
      <c r="BF13" s="27">
        <f>1/(1+EXP(-BE13))</f>
        <v/>
      </c>
      <c r="BG13" s="13">
        <f>1-(1-BF13)^12</f>
        <v/>
      </c>
      <c r="BH13" s="13">
        <f>IFERROR(AL13/BD13*(BG13-BASELINE_CPR),0)</f>
        <v/>
      </c>
      <c r="BI13" s="13">
        <f>IFERROR(AM13/BD13*(BG13-BASELINE_CPR),0)</f>
        <v/>
      </c>
      <c r="BJ13" s="13">
        <f>IFERROR(AN13/BD13*(BG13-BASELINE_CPR),0)</f>
        <v/>
      </c>
      <c r="BK13" s="13">
        <f>IFERROR(AO13/BD13*(BG13-BASELINE_CPR),0)</f>
        <v/>
      </c>
      <c r="BL13" s="13">
        <f>IFERROR(AP13/BD13*(BG13-BASELINE_CPR),0)</f>
        <v/>
      </c>
      <c r="BM13" s="13">
        <f>IFERROR(AQ13/BD13*(BG13-BASELINE_CPR),0)</f>
        <v/>
      </c>
      <c r="BN13" s="13">
        <f>IFERROR(AR13/BD13*(BG13-BASELINE_CPR),0)</f>
        <v/>
      </c>
      <c r="BO13" s="13">
        <f>IFERROR(AS13/BD13*(BG13-BASELINE_CPR),0)</f>
        <v/>
      </c>
      <c r="BP13" s="13">
        <f>IFERROR(AT13/BD13*(BG13-BASELINE_CPR),0)</f>
        <v/>
      </c>
      <c r="BQ13" s="13">
        <f>IFERROR(AU13/BD13*(BG13-BASELINE_CPR),0)</f>
        <v/>
      </c>
      <c r="BR13" s="13">
        <f>IFERROR(AV13/BD13*(BG13-BASELINE_CPR),0)</f>
        <v/>
      </c>
      <c r="BS13" s="13">
        <f>IFERROR(AW13/BD13*(BG13-BASELINE_CPR),0)</f>
        <v/>
      </c>
      <c r="BT13" s="13">
        <f>IFERROR(AX13/BD13*(BG13-BASELINE_CPR),0)</f>
        <v/>
      </c>
      <c r="BU13" s="13">
        <f>IFERROR(AY13/BD13*(BG13-BASELINE_CPR),0)</f>
        <v/>
      </c>
      <c r="BV13" s="13">
        <f>IFERROR(AZ13/BD13*(BG13-BASELINE_CPR),0)</f>
        <v/>
      </c>
      <c r="BW13" s="13">
        <f>IFERROR(BA13/BD13*(BG13-BASELINE_CPR),0)</f>
        <v/>
      </c>
      <c r="BX13" s="13">
        <f>IFERROR(BB13/BD13*(BG13-BASELINE_CPR),0)</f>
        <v/>
      </c>
      <c r="BY13" s="13">
        <f>IFERROR(BC13/BD13*(BG13-BASELINE_CPR),0)</f>
        <v/>
      </c>
      <c r="BZ13" s="28">
        <f>BASELINE_CPR+SUM(BH13:BY13)-BG13</f>
        <v/>
      </c>
    </row>
    <row r="14">
      <c r="A14" s="2" t="inlineStr">
        <is>
          <t>36297HB49_000000010222024</t>
        </is>
      </c>
      <c r="B14" t="inlineStr">
        <is>
          <t>LUMENT_PRE21</t>
        </is>
      </c>
      <c r="C14" s="2" t="inlineStr">
        <is>
          <t>36297HB49</t>
        </is>
      </c>
      <c r="D14" t="inlineStr">
        <is>
          <t>LUMENT REAL ESTATE CAPITAL,LLC</t>
        </is>
      </c>
      <c r="E14" t="inlineStr">
        <is>
          <t>232</t>
        </is>
      </c>
      <c r="F14" t="inlineStr">
        <is>
          <t>RP</t>
        </is>
      </c>
      <c r="G14" t="n">
        <v>2009</v>
      </c>
      <c r="H14" t="inlineStr">
        <is>
          <t>202602</t>
        </is>
      </c>
      <c r="I14" s="22" t="n">
        <v>2318598.5</v>
      </c>
      <c r="J14" s="23" t="n">
        <v>5.65</v>
      </c>
      <c r="K14" s="24" t="n">
        <v>447</v>
      </c>
      <c r="L14" s="24" t="n">
        <v>0</v>
      </c>
      <c r="M14" t="n">
        <v>200</v>
      </c>
      <c r="N14" t="n">
        <v>84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s="24">
        <f>J14*100-(K14+(1+L14)*12.5)</f>
        <v/>
      </c>
      <c r="U14">
        <f>O14</f>
        <v/>
      </c>
      <c r="V14">
        <f>M14</f>
        <v/>
      </c>
      <c r="W14" s="23">
        <f>LN(1+I14)</f>
        <v/>
      </c>
      <c r="X14">
        <f>IF(G14&gt;=2021,1,0)</f>
        <v/>
      </c>
      <c r="Y14">
        <f>N14</f>
        <v/>
      </c>
      <c r="Z14" s="23">
        <f>IF(ISNUMBER(M14),N14/MAX(M14,1),0)</f>
        <v/>
      </c>
      <c r="AA14">
        <f>P14</f>
        <v/>
      </c>
      <c r="AB14">
        <f>Q14</f>
        <v/>
      </c>
      <c r="AC14">
        <f>R14</f>
        <v/>
      </c>
      <c r="AD14">
        <f>S14</f>
        <v/>
      </c>
      <c r="AE14">
        <f>IF(ISNUMBER(SEARCH("CAPITAL FUNDING",D14)),1,0)</f>
        <v/>
      </c>
      <c r="AF14">
        <f>IF(ISNUMBER(SEARCH("MERCHANTS",D14)),1,0)</f>
        <v/>
      </c>
      <c r="AG14">
        <f>IF(ISNUMBER(SEARCH("WELLS FARGO",D14)),1,0)</f>
        <v/>
      </c>
      <c r="AH14">
        <f>IF(ISNUMBER(SEARCH("WALKER",D14)),1,0)</f>
        <v/>
      </c>
      <c r="AI14">
        <f>IF(ISNUMBER(SEARCH("PNC",D14)),1,0)</f>
        <v/>
      </c>
      <c r="AJ14">
        <f>IF(ISNUMBER(SEARCH("BERKADIA",D14)),1,0)</f>
        <v/>
      </c>
      <c r="AK14">
        <f>IF(ISNUMBER(SEARCH("DWIGHT",D14)),1,0)</f>
        <v/>
      </c>
      <c r="AL14" s="25">
        <f>T$4*(T14-T$3)</f>
        <v/>
      </c>
      <c r="AM14" s="25">
        <f>U$4*(U14-U$3)</f>
        <v/>
      </c>
      <c r="AN14" s="25">
        <f>V$4*(V14-V$3)</f>
        <v/>
      </c>
      <c r="AO14" s="25">
        <f>W$4*(W14-W$3)</f>
        <v/>
      </c>
      <c r="AP14" s="25">
        <f>X$4*(X14-X$3)</f>
        <v/>
      </c>
      <c r="AQ14" s="25">
        <f>Y$4*(Y14-Y$3)</f>
        <v/>
      </c>
      <c r="AR14" s="25">
        <f>Z$4*(Z14-Z$3)</f>
        <v/>
      </c>
      <c r="AS14" s="25">
        <f>AA$4*(AA14-AA$3)</f>
        <v/>
      </c>
      <c r="AT14" s="25">
        <f>AB$4*(AB14-AB$3)</f>
        <v/>
      </c>
      <c r="AU14" s="25">
        <f>AC$4*(AC14-AC$3)</f>
        <v/>
      </c>
      <c r="AV14" s="25">
        <f>AD$4*(AD14-AD$3)</f>
        <v/>
      </c>
      <c r="AW14" s="25">
        <f>AE$4*(AE14-AE$3)</f>
        <v/>
      </c>
      <c r="AX14" s="25">
        <f>AF$4*(AF14-AF$3)</f>
        <v/>
      </c>
      <c r="AY14" s="25">
        <f>AG$4*(AG14-AG$3)</f>
        <v/>
      </c>
      <c r="AZ14" s="25">
        <f>AH$4*(AH14-AH$3)</f>
        <v/>
      </c>
      <c r="BA14" s="25">
        <f>AI$4*(AI14-AI$3)</f>
        <v/>
      </c>
      <c r="BB14" s="25">
        <f>AJ$4*(AJ14-AJ$3)</f>
        <v/>
      </c>
      <c r="BC14" s="25">
        <f>AK$4*(AK14-AK$3)</f>
        <v/>
      </c>
      <c r="BD14" s="26">
        <f>SUM(AL14:BC14)</f>
        <v/>
      </c>
      <c r="BE14" s="26">
        <f>INTERCEPT_SCALED+BD14</f>
        <v/>
      </c>
      <c r="BF14" s="27">
        <f>1/(1+EXP(-BE14))</f>
        <v/>
      </c>
      <c r="BG14" s="13">
        <f>1-(1-BF14)^12</f>
        <v/>
      </c>
      <c r="BH14" s="13">
        <f>IFERROR(AL14/BD14*(BG14-BASELINE_CPR),0)</f>
        <v/>
      </c>
      <c r="BI14" s="13">
        <f>IFERROR(AM14/BD14*(BG14-BASELINE_CPR),0)</f>
        <v/>
      </c>
      <c r="BJ14" s="13">
        <f>IFERROR(AN14/BD14*(BG14-BASELINE_CPR),0)</f>
        <v/>
      </c>
      <c r="BK14" s="13">
        <f>IFERROR(AO14/BD14*(BG14-BASELINE_CPR),0)</f>
        <v/>
      </c>
      <c r="BL14" s="13">
        <f>IFERROR(AP14/BD14*(BG14-BASELINE_CPR),0)</f>
        <v/>
      </c>
      <c r="BM14" s="13">
        <f>IFERROR(AQ14/BD14*(BG14-BASELINE_CPR),0)</f>
        <v/>
      </c>
      <c r="BN14" s="13">
        <f>IFERROR(AR14/BD14*(BG14-BASELINE_CPR),0)</f>
        <v/>
      </c>
      <c r="BO14" s="13">
        <f>IFERROR(AS14/BD14*(BG14-BASELINE_CPR),0)</f>
        <v/>
      </c>
      <c r="BP14" s="13">
        <f>IFERROR(AT14/BD14*(BG14-BASELINE_CPR),0)</f>
        <v/>
      </c>
      <c r="BQ14" s="13">
        <f>IFERROR(AU14/BD14*(BG14-BASELINE_CPR),0)</f>
        <v/>
      </c>
      <c r="BR14" s="13">
        <f>IFERROR(AV14/BD14*(BG14-BASELINE_CPR),0)</f>
        <v/>
      </c>
      <c r="BS14" s="13">
        <f>IFERROR(AW14/BD14*(BG14-BASELINE_CPR),0)</f>
        <v/>
      </c>
      <c r="BT14" s="13">
        <f>IFERROR(AX14/BD14*(BG14-BASELINE_CPR),0)</f>
        <v/>
      </c>
      <c r="BU14" s="13">
        <f>IFERROR(AY14/BD14*(BG14-BASELINE_CPR),0)</f>
        <v/>
      </c>
      <c r="BV14" s="13">
        <f>IFERROR(AZ14/BD14*(BG14-BASELINE_CPR),0)</f>
        <v/>
      </c>
      <c r="BW14" s="13">
        <f>IFERROR(BA14/BD14*(BG14-BASELINE_CPR),0)</f>
        <v/>
      </c>
      <c r="BX14" s="13">
        <f>IFERROR(BB14/BD14*(BG14-BASELINE_CPR),0)</f>
        <v/>
      </c>
      <c r="BY14" s="13">
        <f>IFERROR(BC14/BD14*(BG14-BASELINE_CPR),0)</f>
        <v/>
      </c>
      <c r="BZ14" s="28">
        <f>BASELINE_CPR+SUM(BH14:BY14)-BG14</f>
        <v/>
      </c>
    </row>
    <row r="15">
      <c r="A15" s="2" t="inlineStr">
        <is>
          <t>3618HNAN7_000000006122229</t>
        </is>
      </c>
      <c r="B15" t="inlineStr">
        <is>
          <t>LUMENT_POST21</t>
        </is>
      </c>
      <c r="C15" s="2" t="inlineStr">
        <is>
          <t>3618HNAN7</t>
        </is>
      </c>
      <c r="D15" t="inlineStr">
        <is>
          <t>LUMENT REAL ESTATE CAPITAL,LLC</t>
        </is>
      </c>
      <c r="E15" t="inlineStr">
        <is>
          <t>232</t>
        </is>
      </c>
      <c r="F15" t="inlineStr">
        <is>
          <t>RP</t>
        </is>
      </c>
      <c r="G15" t="n">
        <v>2024</v>
      </c>
      <c r="H15" t="inlineStr">
        <is>
          <t>202602</t>
        </is>
      </c>
      <c r="I15" s="22" t="n">
        <v>10649282.81</v>
      </c>
      <c r="J15" s="23" t="n">
        <v>5.35</v>
      </c>
      <c r="K15" s="24" t="n">
        <v>447</v>
      </c>
      <c r="L15" s="24" t="n">
        <v>9</v>
      </c>
      <c r="M15" t="n">
        <v>14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s="24">
        <f>J15*100-(K15+(1+L15)*12.5)</f>
        <v/>
      </c>
      <c r="U15">
        <f>O15</f>
        <v/>
      </c>
      <c r="V15">
        <f>M15</f>
        <v/>
      </c>
      <c r="W15" s="23">
        <f>LN(1+I15)</f>
        <v/>
      </c>
      <c r="X15">
        <f>IF(G15&gt;=2021,1,0)</f>
        <v/>
      </c>
      <c r="Y15">
        <f>N15</f>
        <v/>
      </c>
      <c r="Z15" s="23">
        <f>IF(ISNUMBER(M15),N15/MAX(M15,1),0)</f>
        <v/>
      </c>
      <c r="AA15">
        <f>P15</f>
        <v/>
      </c>
      <c r="AB15">
        <f>Q15</f>
        <v/>
      </c>
      <c r="AC15">
        <f>R15</f>
        <v/>
      </c>
      <c r="AD15">
        <f>S15</f>
        <v/>
      </c>
      <c r="AE15">
        <f>IF(ISNUMBER(SEARCH("CAPITAL FUNDING",D15)),1,0)</f>
        <v/>
      </c>
      <c r="AF15">
        <f>IF(ISNUMBER(SEARCH("MERCHANTS",D15)),1,0)</f>
        <v/>
      </c>
      <c r="AG15">
        <f>IF(ISNUMBER(SEARCH("WELLS FARGO",D15)),1,0)</f>
        <v/>
      </c>
      <c r="AH15">
        <f>IF(ISNUMBER(SEARCH("WALKER",D15)),1,0)</f>
        <v/>
      </c>
      <c r="AI15">
        <f>IF(ISNUMBER(SEARCH("PNC",D15)),1,0)</f>
        <v/>
      </c>
      <c r="AJ15">
        <f>IF(ISNUMBER(SEARCH("BERKADIA",D15)),1,0)</f>
        <v/>
      </c>
      <c r="AK15">
        <f>IF(ISNUMBER(SEARCH("DWIGHT",D15)),1,0)</f>
        <v/>
      </c>
      <c r="AL15" s="25">
        <f>T$4*(T15-T$3)</f>
        <v/>
      </c>
      <c r="AM15" s="25">
        <f>U$4*(U15-U$3)</f>
        <v/>
      </c>
      <c r="AN15" s="25">
        <f>V$4*(V15-V$3)</f>
        <v/>
      </c>
      <c r="AO15" s="25">
        <f>W$4*(W15-W$3)</f>
        <v/>
      </c>
      <c r="AP15" s="25">
        <f>X$4*(X15-X$3)</f>
        <v/>
      </c>
      <c r="AQ15" s="25">
        <f>Y$4*(Y15-Y$3)</f>
        <v/>
      </c>
      <c r="AR15" s="25">
        <f>Z$4*(Z15-Z$3)</f>
        <v/>
      </c>
      <c r="AS15" s="25">
        <f>AA$4*(AA15-AA$3)</f>
        <v/>
      </c>
      <c r="AT15" s="25">
        <f>AB$4*(AB15-AB$3)</f>
        <v/>
      </c>
      <c r="AU15" s="25">
        <f>AC$4*(AC15-AC$3)</f>
        <v/>
      </c>
      <c r="AV15" s="25">
        <f>AD$4*(AD15-AD$3)</f>
        <v/>
      </c>
      <c r="AW15" s="25">
        <f>AE$4*(AE15-AE$3)</f>
        <v/>
      </c>
      <c r="AX15" s="25">
        <f>AF$4*(AF15-AF$3)</f>
        <v/>
      </c>
      <c r="AY15" s="25">
        <f>AG$4*(AG15-AG$3)</f>
        <v/>
      </c>
      <c r="AZ15" s="25">
        <f>AH$4*(AH15-AH$3)</f>
        <v/>
      </c>
      <c r="BA15" s="25">
        <f>AI$4*(AI15-AI$3)</f>
        <v/>
      </c>
      <c r="BB15" s="25">
        <f>AJ$4*(AJ15-AJ$3)</f>
        <v/>
      </c>
      <c r="BC15" s="25">
        <f>AK$4*(AK15-AK$3)</f>
        <v/>
      </c>
      <c r="BD15" s="26">
        <f>SUM(AL15:BC15)</f>
        <v/>
      </c>
      <c r="BE15" s="26">
        <f>INTERCEPT_SCALED+BD15</f>
        <v/>
      </c>
      <c r="BF15" s="27">
        <f>1/(1+EXP(-BE15))</f>
        <v/>
      </c>
      <c r="BG15" s="13">
        <f>1-(1-BF15)^12</f>
        <v/>
      </c>
      <c r="BH15" s="13">
        <f>IFERROR(AL15/BD15*(BG15-BASELINE_CPR),0)</f>
        <v/>
      </c>
      <c r="BI15" s="13">
        <f>IFERROR(AM15/BD15*(BG15-BASELINE_CPR),0)</f>
        <v/>
      </c>
      <c r="BJ15" s="13">
        <f>IFERROR(AN15/BD15*(BG15-BASELINE_CPR),0)</f>
        <v/>
      </c>
      <c r="BK15" s="13">
        <f>IFERROR(AO15/BD15*(BG15-BASELINE_CPR),0)</f>
        <v/>
      </c>
      <c r="BL15" s="13">
        <f>IFERROR(AP15/BD15*(BG15-BASELINE_CPR),0)</f>
        <v/>
      </c>
      <c r="BM15" s="13">
        <f>IFERROR(AQ15/BD15*(BG15-BASELINE_CPR),0)</f>
        <v/>
      </c>
      <c r="BN15" s="13">
        <f>IFERROR(AR15/BD15*(BG15-BASELINE_CPR),0)</f>
        <v/>
      </c>
      <c r="BO15" s="13">
        <f>IFERROR(AS15/BD15*(BG15-BASELINE_CPR),0)</f>
        <v/>
      </c>
      <c r="BP15" s="13">
        <f>IFERROR(AT15/BD15*(BG15-BASELINE_CPR),0)</f>
        <v/>
      </c>
      <c r="BQ15" s="13">
        <f>IFERROR(AU15/BD15*(BG15-BASELINE_CPR),0)</f>
        <v/>
      </c>
      <c r="BR15" s="13">
        <f>IFERROR(AV15/BD15*(BG15-BASELINE_CPR),0)</f>
        <v/>
      </c>
      <c r="BS15" s="13">
        <f>IFERROR(AW15/BD15*(BG15-BASELINE_CPR),0)</f>
        <v/>
      </c>
      <c r="BT15" s="13">
        <f>IFERROR(AX15/BD15*(BG15-BASELINE_CPR),0)</f>
        <v/>
      </c>
      <c r="BU15" s="13">
        <f>IFERROR(AY15/BD15*(BG15-BASELINE_CPR),0)</f>
        <v/>
      </c>
      <c r="BV15" s="13">
        <f>IFERROR(AZ15/BD15*(BG15-BASELINE_CPR),0)</f>
        <v/>
      </c>
      <c r="BW15" s="13">
        <f>IFERROR(BA15/BD15*(BG15-BASELINE_CPR),0)</f>
        <v/>
      </c>
      <c r="BX15" s="13">
        <f>IFERROR(BB15/BD15*(BG15-BASELINE_CPR),0)</f>
        <v/>
      </c>
      <c r="BY15" s="13">
        <f>IFERROR(BC15/BD15*(BG15-BASELINE_CPR),0)</f>
        <v/>
      </c>
      <c r="BZ15" s="28">
        <f>BASELINE_CPR+SUM(BH15:BY15)-BG15</f>
        <v/>
      </c>
    </row>
    <row r="16">
      <c r="A16" s="2" t="inlineStr">
        <is>
          <t>3617LC5T1_000000004611186</t>
        </is>
      </c>
      <c r="B16" t="inlineStr">
        <is>
          <t>LUMENT_PRE21</t>
        </is>
      </c>
      <c r="C16" s="2" t="inlineStr">
        <is>
          <t>3617LC5T1</t>
        </is>
      </c>
      <c r="D16" t="inlineStr">
        <is>
          <t>LUMENT REAL ESTATE CAPITAL,LLC</t>
        </is>
      </c>
      <c r="E16" t="inlineStr">
        <is>
          <t>223f</t>
        </is>
      </c>
      <c r="F16" t="inlineStr">
        <is>
          <t>RP</t>
        </is>
      </c>
      <c r="G16" t="n">
        <v>2019</v>
      </c>
      <c r="H16" t="inlineStr">
        <is>
          <t>202602</t>
        </is>
      </c>
      <c r="I16" s="22" t="n">
        <v>14083195.64</v>
      </c>
      <c r="J16" s="23" t="n">
        <v>2.95</v>
      </c>
      <c r="K16" s="24" t="n">
        <v>447</v>
      </c>
      <c r="L16" s="24" t="n">
        <v>4</v>
      </c>
      <c r="M16" t="n">
        <v>75</v>
      </c>
      <c r="N16" t="n">
        <v>7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s="24">
        <f>J16*100-(K16+(1+L16)*12.5)</f>
        <v/>
      </c>
      <c r="U16">
        <f>O16</f>
        <v/>
      </c>
      <c r="V16">
        <f>M16</f>
        <v/>
      </c>
      <c r="W16" s="23">
        <f>LN(1+I16)</f>
        <v/>
      </c>
      <c r="X16">
        <f>IF(G16&gt;=2021,1,0)</f>
        <v/>
      </c>
      <c r="Y16">
        <f>N16</f>
        <v/>
      </c>
      <c r="Z16" s="23">
        <f>IF(ISNUMBER(M16),N16/MAX(M16,1),0)</f>
        <v/>
      </c>
      <c r="AA16">
        <f>P16</f>
        <v/>
      </c>
      <c r="AB16">
        <f>Q16</f>
        <v/>
      </c>
      <c r="AC16">
        <f>R16</f>
        <v/>
      </c>
      <c r="AD16">
        <f>S16</f>
        <v/>
      </c>
      <c r="AE16">
        <f>IF(ISNUMBER(SEARCH("CAPITAL FUNDING",D16)),1,0)</f>
        <v/>
      </c>
      <c r="AF16">
        <f>IF(ISNUMBER(SEARCH("MERCHANTS",D16)),1,0)</f>
        <v/>
      </c>
      <c r="AG16">
        <f>IF(ISNUMBER(SEARCH("WELLS FARGO",D16)),1,0)</f>
        <v/>
      </c>
      <c r="AH16">
        <f>IF(ISNUMBER(SEARCH("WALKER",D16)),1,0)</f>
        <v/>
      </c>
      <c r="AI16">
        <f>IF(ISNUMBER(SEARCH("PNC",D16)),1,0)</f>
        <v/>
      </c>
      <c r="AJ16">
        <f>IF(ISNUMBER(SEARCH("BERKADIA",D16)),1,0)</f>
        <v/>
      </c>
      <c r="AK16">
        <f>IF(ISNUMBER(SEARCH("DWIGHT",D16)),1,0)</f>
        <v/>
      </c>
      <c r="AL16" s="25">
        <f>T$4*(T16-T$3)</f>
        <v/>
      </c>
      <c r="AM16" s="25">
        <f>U$4*(U16-U$3)</f>
        <v/>
      </c>
      <c r="AN16" s="25">
        <f>V$4*(V16-V$3)</f>
        <v/>
      </c>
      <c r="AO16" s="25">
        <f>W$4*(W16-W$3)</f>
        <v/>
      </c>
      <c r="AP16" s="25">
        <f>X$4*(X16-X$3)</f>
        <v/>
      </c>
      <c r="AQ16" s="25">
        <f>Y$4*(Y16-Y$3)</f>
        <v/>
      </c>
      <c r="AR16" s="25">
        <f>Z$4*(Z16-Z$3)</f>
        <v/>
      </c>
      <c r="AS16" s="25">
        <f>AA$4*(AA16-AA$3)</f>
        <v/>
      </c>
      <c r="AT16" s="25">
        <f>AB$4*(AB16-AB$3)</f>
        <v/>
      </c>
      <c r="AU16" s="25">
        <f>AC$4*(AC16-AC$3)</f>
        <v/>
      </c>
      <c r="AV16" s="25">
        <f>AD$4*(AD16-AD$3)</f>
        <v/>
      </c>
      <c r="AW16" s="25">
        <f>AE$4*(AE16-AE$3)</f>
        <v/>
      </c>
      <c r="AX16" s="25">
        <f>AF$4*(AF16-AF$3)</f>
        <v/>
      </c>
      <c r="AY16" s="25">
        <f>AG$4*(AG16-AG$3)</f>
        <v/>
      </c>
      <c r="AZ16" s="25">
        <f>AH$4*(AH16-AH$3)</f>
        <v/>
      </c>
      <c r="BA16" s="25">
        <f>AI$4*(AI16-AI$3)</f>
        <v/>
      </c>
      <c r="BB16" s="25">
        <f>AJ$4*(AJ16-AJ$3)</f>
        <v/>
      </c>
      <c r="BC16" s="25">
        <f>AK$4*(AK16-AK$3)</f>
        <v/>
      </c>
      <c r="BD16" s="26">
        <f>SUM(AL16:BC16)</f>
        <v/>
      </c>
      <c r="BE16" s="26">
        <f>INTERCEPT_SCALED+BD16</f>
        <v/>
      </c>
      <c r="BF16" s="27">
        <f>1/(1+EXP(-BE16))</f>
        <v/>
      </c>
      <c r="BG16" s="13">
        <f>1-(1-BF16)^12</f>
        <v/>
      </c>
      <c r="BH16" s="13">
        <f>IFERROR(AL16/BD16*(BG16-BASELINE_CPR),0)</f>
        <v/>
      </c>
      <c r="BI16" s="13">
        <f>IFERROR(AM16/BD16*(BG16-BASELINE_CPR),0)</f>
        <v/>
      </c>
      <c r="BJ16" s="13">
        <f>IFERROR(AN16/BD16*(BG16-BASELINE_CPR),0)</f>
        <v/>
      </c>
      <c r="BK16" s="13">
        <f>IFERROR(AO16/BD16*(BG16-BASELINE_CPR),0)</f>
        <v/>
      </c>
      <c r="BL16" s="13">
        <f>IFERROR(AP16/BD16*(BG16-BASELINE_CPR),0)</f>
        <v/>
      </c>
      <c r="BM16" s="13">
        <f>IFERROR(AQ16/BD16*(BG16-BASELINE_CPR),0)</f>
        <v/>
      </c>
      <c r="BN16" s="13">
        <f>IFERROR(AR16/BD16*(BG16-BASELINE_CPR),0)</f>
        <v/>
      </c>
      <c r="BO16" s="13">
        <f>IFERROR(AS16/BD16*(BG16-BASELINE_CPR),0)</f>
        <v/>
      </c>
      <c r="BP16" s="13">
        <f>IFERROR(AT16/BD16*(BG16-BASELINE_CPR),0)</f>
        <v/>
      </c>
      <c r="BQ16" s="13">
        <f>IFERROR(AU16/BD16*(BG16-BASELINE_CPR),0)</f>
        <v/>
      </c>
      <c r="BR16" s="13">
        <f>IFERROR(AV16/BD16*(BG16-BASELINE_CPR),0)</f>
        <v/>
      </c>
      <c r="BS16" s="13">
        <f>IFERROR(AW16/BD16*(BG16-BASELINE_CPR),0)</f>
        <v/>
      </c>
      <c r="BT16" s="13">
        <f>IFERROR(AX16/BD16*(BG16-BASELINE_CPR),0)</f>
        <v/>
      </c>
      <c r="BU16" s="13">
        <f>IFERROR(AY16/BD16*(BG16-BASELINE_CPR),0)</f>
        <v/>
      </c>
      <c r="BV16" s="13">
        <f>IFERROR(AZ16/BD16*(BG16-BASELINE_CPR),0)</f>
        <v/>
      </c>
      <c r="BW16" s="13">
        <f>IFERROR(BA16/BD16*(BG16-BASELINE_CPR),0)</f>
        <v/>
      </c>
      <c r="BX16" s="13">
        <f>IFERROR(BB16/BD16*(BG16-BASELINE_CPR),0)</f>
        <v/>
      </c>
      <c r="BY16" s="13">
        <f>IFERROR(BC16/BD16*(BG16-BASELINE_CPR),0)</f>
        <v/>
      </c>
      <c r="BZ16" s="28">
        <f>BASELINE_CPR+SUM(BH16:BY16)-BG16</f>
        <v/>
      </c>
    </row>
    <row r="17">
      <c r="A17" s="2" t="inlineStr">
        <is>
          <t>3617J9LY2_000000001411271</t>
        </is>
      </c>
      <c r="B17" t="inlineStr">
        <is>
          <t>LUMENT_PRE21</t>
        </is>
      </c>
      <c r="C17" s="2" t="inlineStr">
        <is>
          <t>3617J9LY2</t>
        </is>
      </c>
      <c r="D17" t="inlineStr">
        <is>
          <t>LUMENT REAL ESTATE CAPITAL,LLC</t>
        </is>
      </c>
      <c r="E17" t="inlineStr">
        <is>
          <t>223f</t>
        </is>
      </c>
      <c r="F17" t="inlineStr">
        <is>
          <t>RP</t>
        </is>
      </c>
      <c r="G17" t="n">
        <v>2019</v>
      </c>
      <c r="H17" t="inlineStr">
        <is>
          <t>202602</t>
        </is>
      </c>
      <c r="I17" s="22" t="n">
        <v>6145581.88</v>
      </c>
      <c r="J17" s="23" t="n">
        <v>4.3</v>
      </c>
      <c r="K17" s="24" t="n">
        <v>447</v>
      </c>
      <c r="L17" s="24" t="n">
        <v>4</v>
      </c>
      <c r="M17" t="n">
        <v>82</v>
      </c>
      <c r="N17" t="n">
        <v>35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s="24">
        <f>J17*100-(K17+(1+L17)*12.5)</f>
        <v/>
      </c>
      <c r="U17">
        <f>O17</f>
        <v/>
      </c>
      <c r="V17">
        <f>M17</f>
        <v/>
      </c>
      <c r="W17" s="23">
        <f>LN(1+I17)</f>
        <v/>
      </c>
      <c r="X17">
        <f>IF(G17&gt;=2021,1,0)</f>
        <v/>
      </c>
      <c r="Y17">
        <f>N17</f>
        <v/>
      </c>
      <c r="Z17" s="23">
        <f>IF(ISNUMBER(M17),N17/MAX(M17,1),0)</f>
        <v/>
      </c>
      <c r="AA17">
        <f>P17</f>
        <v/>
      </c>
      <c r="AB17">
        <f>Q17</f>
        <v/>
      </c>
      <c r="AC17">
        <f>R17</f>
        <v/>
      </c>
      <c r="AD17">
        <f>S17</f>
        <v/>
      </c>
      <c r="AE17">
        <f>IF(ISNUMBER(SEARCH("CAPITAL FUNDING",D17)),1,0)</f>
        <v/>
      </c>
      <c r="AF17">
        <f>IF(ISNUMBER(SEARCH("MERCHANTS",D17)),1,0)</f>
        <v/>
      </c>
      <c r="AG17">
        <f>IF(ISNUMBER(SEARCH("WELLS FARGO",D17)),1,0)</f>
        <v/>
      </c>
      <c r="AH17">
        <f>IF(ISNUMBER(SEARCH("WALKER",D17)),1,0)</f>
        <v/>
      </c>
      <c r="AI17">
        <f>IF(ISNUMBER(SEARCH("PNC",D17)),1,0)</f>
        <v/>
      </c>
      <c r="AJ17">
        <f>IF(ISNUMBER(SEARCH("BERKADIA",D17)),1,0)</f>
        <v/>
      </c>
      <c r="AK17">
        <f>IF(ISNUMBER(SEARCH("DWIGHT",D17)),1,0)</f>
        <v/>
      </c>
      <c r="AL17" s="25">
        <f>T$4*(T17-T$3)</f>
        <v/>
      </c>
      <c r="AM17" s="25">
        <f>U$4*(U17-U$3)</f>
        <v/>
      </c>
      <c r="AN17" s="25">
        <f>V$4*(V17-V$3)</f>
        <v/>
      </c>
      <c r="AO17" s="25">
        <f>W$4*(W17-W$3)</f>
        <v/>
      </c>
      <c r="AP17" s="25">
        <f>X$4*(X17-X$3)</f>
        <v/>
      </c>
      <c r="AQ17" s="25">
        <f>Y$4*(Y17-Y$3)</f>
        <v/>
      </c>
      <c r="AR17" s="25">
        <f>Z$4*(Z17-Z$3)</f>
        <v/>
      </c>
      <c r="AS17" s="25">
        <f>AA$4*(AA17-AA$3)</f>
        <v/>
      </c>
      <c r="AT17" s="25">
        <f>AB$4*(AB17-AB$3)</f>
        <v/>
      </c>
      <c r="AU17" s="25">
        <f>AC$4*(AC17-AC$3)</f>
        <v/>
      </c>
      <c r="AV17" s="25">
        <f>AD$4*(AD17-AD$3)</f>
        <v/>
      </c>
      <c r="AW17" s="25">
        <f>AE$4*(AE17-AE$3)</f>
        <v/>
      </c>
      <c r="AX17" s="25">
        <f>AF$4*(AF17-AF$3)</f>
        <v/>
      </c>
      <c r="AY17" s="25">
        <f>AG$4*(AG17-AG$3)</f>
        <v/>
      </c>
      <c r="AZ17" s="25">
        <f>AH$4*(AH17-AH$3)</f>
        <v/>
      </c>
      <c r="BA17" s="25">
        <f>AI$4*(AI17-AI$3)</f>
        <v/>
      </c>
      <c r="BB17" s="25">
        <f>AJ$4*(AJ17-AJ$3)</f>
        <v/>
      </c>
      <c r="BC17" s="25">
        <f>AK$4*(AK17-AK$3)</f>
        <v/>
      </c>
      <c r="BD17" s="26">
        <f>SUM(AL17:BC17)</f>
        <v/>
      </c>
      <c r="BE17" s="26">
        <f>INTERCEPT_SCALED+BD17</f>
        <v/>
      </c>
      <c r="BF17" s="27">
        <f>1/(1+EXP(-BE17))</f>
        <v/>
      </c>
      <c r="BG17" s="13">
        <f>1-(1-BF17)^12</f>
        <v/>
      </c>
      <c r="BH17" s="13">
        <f>IFERROR(AL17/BD17*(BG17-BASELINE_CPR),0)</f>
        <v/>
      </c>
      <c r="BI17" s="13">
        <f>IFERROR(AM17/BD17*(BG17-BASELINE_CPR),0)</f>
        <v/>
      </c>
      <c r="BJ17" s="13">
        <f>IFERROR(AN17/BD17*(BG17-BASELINE_CPR),0)</f>
        <v/>
      </c>
      <c r="BK17" s="13">
        <f>IFERROR(AO17/BD17*(BG17-BASELINE_CPR),0)</f>
        <v/>
      </c>
      <c r="BL17" s="13">
        <f>IFERROR(AP17/BD17*(BG17-BASELINE_CPR),0)</f>
        <v/>
      </c>
      <c r="BM17" s="13">
        <f>IFERROR(AQ17/BD17*(BG17-BASELINE_CPR),0)</f>
        <v/>
      </c>
      <c r="BN17" s="13">
        <f>IFERROR(AR17/BD17*(BG17-BASELINE_CPR),0)</f>
        <v/>
      </c>
      <c r="BO17" s="13">
        <f>IFERROR(AS17/BD17*(BG17-BASELINE_CPR),0)</f>
        <v/>
      </c>
      <c r="BP17" s="13">
        <f>IFERROR(AT17/BD17*(BG17-BASELINE_CPR),0)</f>
        <v/>
      </c>
      <c r="BQ17" s="13">
        <f>IFERROR(AU17/BD17*(BG17-BASELINE_CPR),0)</f>
        <v/>
      </c>
      <c r="BR17" s="13">
        <f>IFERROR(AV17/BD17*(BG17-BASELINE_CPR),0)</f>
        <v/>
      </c>
      <c r="BS17" s="13">
        <f>IFERROR(AW17/BD17*(BG17-BASELINE_CPR),0)</f>
        <v/>
      </c>
      <c r="BT17" s="13">
        <f>IFERROR(AX17/BD17*(BG17-BASELINE_CPR),0)</f>
        <v/>
      </c>
      <c r="BU17" s="13">
        <f>IFERROR(AY17/BD17*(BG17-BASELINE_CPR),0)</f>
        <v/>
      </c>
      <c r="BV17" s="13">
        <f>IFERROR(AZ17/BD17*(BG17-BASELINE_CPR),0)</f>
        <v/>
      </c>
      <c r="BW17" s="13">
        <f>IFERROR(BA17/BD17*(BG17-BASELINE_CPR),0)</f>
        <v/>
      </c>
      <c r="BX17" s="13">
        <f>IFERROR(BB17/BD17*(BG17-BASELINE_CPR),0)</f>
        <v/>
      </c>
      <c r="BY17" s="13">
        <f>IFERROR(BC17/BD17*(BG17-BASELINE_CPR),0)</f>
        <v/>
      </c>
      <c r="BZ17" s="28">
        <f>BASELINE_CPR+SUM(BH17:BY17)-BG17</f>
        <v/>
      </c>
    </row>
    <row r="18">
      <c r="A18" s="2" t="inlineStr">
        <is>
          <t>3617FTDM7_000000008311235</t>
        </is>
      </c>
      <c r="B18" t="inlineStr">
        <is>
          <t>LUMENT_POST21</t>
        </is>
      </c>
      <c r="C18" s="2" t="inlineStr">
        <is>
          <t>3617FTDM7</t>
        </is>
      </c>
      <c r="D18" t="inlineStr">
        <is>
          <t>LUMENT REAL ESTATE CAPITAL,LLC</t>
        </is>
      </c>
      <c r="E18" t="inlineStr">
        <is>
          <t>223f</t>
        </is>
      </c>
      <c r="F18" t="inlineStr">
        <is>
          <t>RP</t>
        </is>
      </c>
      <c r="G18" t="n">
        <v>2023</v>
      </c>
      <c r="H18" t="inlineStr">
        <is>
          <t>202602</t>
        </is>
      </c>
      <c r="I18" s="22" t="n">
        <v>15752462.19</v>
      </c>
      <c r="J18" s="23" t="n">
        <v>5.1</v>
      </c>
      <c r="K18" s="24" t="n">
        <v>447</v>
      </c>
      <c r="L18" s="24" t="n">
        <v>8</v>
      </c>
      <c r="M18" t="n">
        <v>34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s="24">
        <f>J18*100-(K18+(1+L18)*12.5)</f>
        <v/>
      </c>
      <c r="U18">
        <f>O18</f>
        <v/>
      </c>
      <c r="V18">
        <f>M18</f>
        <v/>
      </c>
      <c r="W18" s="23">
        <f>LN(1+I18)</f>
        <v/>
      </c>
      <c r="X18">
        <f>IF(G18&gt;=2021,1,0)</f>
        <v/>
      </c>
      <c r="Y18">
        <f>N18</f>
        <v/>
      </c>
      <c r="Z18" s="23">
        <f>IF(ISNUMBER(M18),N18/MAX(M18,1),0)</f>
        <v/>
      </c>
      <c r="AA18">
        <f>P18</f>
        <v/>
      </c>
      <c r="AB18">
        <f>Q18</f>
        <v/>
      </c>
      <c r="AC18">
        <f>R18</f>
        <v/>
      </c>
      <c r="AD18">
        <f>S18</f>
        <v/>
      </c>
      <c r="AE18">
        <f>IF(ISNUMBER(SEARCH("CAPITAL FUNDING",D18)),1,0)</f>
        <v/>
      </c>
      <c r="AF18">
        <f>IF(ISNUMBER(SEARCH("MERCHANTS",D18)),1,0)</f>
        <v/>
      </c>
      <c r="AG18">
        <f>IF(ISNUMBER(SEARCH("WELLS FARGO",D18)),1,0)</f>
        <v/>
      </c>
      <c r="AH18">
        <f>IF(ISNUMBER(SEARCH("WALKER",D18)),1,0)</f>
        <v/>
      </c>
      <c r="AI18">
        <f>IF(ISNUMBER(SEARCH("PNC",D18)),1,0)</f>
        <v/>
      </c>
      <c r="AJ18">
        <f>IF(ISNUMBER(SEARCH("BERKADIA",D18)),1,0)</f>
        <v/>
      </c>
      <c r="AK18">
        <f>IF(ISNUMBER(SEARCH("DWIGHT",D18)),1,0)</f>
        <v/>
      </c>
      <c r="AL18" s="25">
        <f>T$4*(T18-T$3)</f>
        <v/>
      </c>
      <c r="AM18" s="25">
        <f>U$4*(U18-U$3)</f>
        <v/>
      </c>
      <c r="AN18" s="25">
        <f>V$4*(V18-V$3)</f>
        <v/>
      </c>
      <c r="AO18" s="25">
        <f>W$4*(W18-W$3)</f>
        <v/>
      </c>
      <c r="AP18" s="25">
        <f>X$4*(X18-X$3)</f>
        <v/>
      </c>
      <c r="AQ18" s="25">
        <f>Y$4*(Y18-Y$3)</f>
        <v/>
      </c>
      <c r="AR18" s="25">
        <f>Z$4*(Z18-Z$3)</f>
        <v/>
      </c>
      <c r="AS18" s="25">
        <f>AA$4*(AA18-AA$3)</f>
        <v/>
      </c>
      <c r="AT18" s="25">
        <f>AB$4*(AB18-AB$3)</f>
        <v/>
      </c>
      <c r="AU18" s="25">
        <f>AC$4*(AC18-AC$3)</f>
        <v/>
      </c>
      <c r="AV18" s="25">
        <f>AD$4*(AD18-AD$3)</f>
        <v/>
      </c>
      <c r="AW18" s="25">
        <f>AE$4*(AE18-AE$3)</f>
        <v/>
      </c>
      <c r="AX18" s="25">
        <f>AF$4*(AF18-AF$3)</f>
        <v/>
      </c>
      <c r="AY18" s="25">
        <f>AG$4*(AG18-AG$3)</f>
        <v/>
      </c>
      <c r="AZ18" s="25">
        <f>AH$4*(AH18-AH$3)</f>
        <v/>
      </c>
      <c r="BA18" s="25">
        <f>AI$4*(AI18-AI$3)</f>
        <v/>
      </c>
      <c r="BB18" s="25">
        <f>AJ$4*(AJ18-AJ$3)</f>
        <v/>
      </c>
      <c r="BC18" s="25">
        <f>AK$4*(AK18-AK$3)</f>
        <v/>
      </c>
      <c r="BD18" s="26">
        <f>SUM(AL18:BC18)</f>
        <v/>
      </c>
      <c r="BE18" s="26">
        <f>INTERCEPT_SCALED+BD18</f>
        <v/>
      </c>
      <c r="BF18" s="27">
        <f>1/(1+EXP(-BE18))</f>
        <v/>
      </c>
      <c r="BG18" s="13">
        <f>1-(1-BF18)^12</f>
        <v/>
      </c>
      <c r="BH18" s="13">
        <f>IFERROR(AL18/BD18*(BG18-BASELINE_CPR),0)</f>
        <v/>
      </c>
      <c r="BI18" s="13">
        <f>IFERROR(AM18/BD18*(BG18-BASELINE_CPR),0)</f>
        <v/>
      </c>
      <c r="BJ18" s="13">
        <f>IFERROR(AN18/BD18*(BG18-BASELINE_CPR),0)</f>
        <v/>
      </c>
      <c r="BK18" s="13">
        <f>IFERROR(AO18/BD18*(BG18-BASELINE_CPR),0)</f>
        <v/>
      </c>
      <c r="BL18" s="13">
        <f>IFERROR(AP18/BD18*(BG18-BASELINE_CPR),0)</f>
        <v/>
      </c>
      <c r="BM18" s="13">
        <f>IFERROR(AQ18/BD18*(BG18-BASELINE_CPR),0)</f>
        <v/>
      </c>
      <c r="BN18" s="13">
        <f>IFERROR(AR18/BD18*(BG18-BASELINE_CPR),0)</f>
        <v/>
      </c>
      <c r="BO18" s="13">
        <f>IFERROR(AS18/BD18*(BG18-BASELINE_CPR),0)</f>
        <v/>
      </c>
      <c r="BP18" s="13">
        <f>IFERROR(AT18/BD18*(BG18-BASELINE_CPR),0)</f>
        <v/>
      </c>
      <c r="BQ18" s="13">
        <f>IFERROR(AU18/BD18*(BG18-BASELINE_CPR),0)</f>
        <v/>
      </c>
      <c r="BR18" s="13">
        <f>IFERROR(AV18/BD18*(BG18-BASELINE_CPR),0)</f>
        <v/>
      </c>
      <c r="BS18" s="13">
        <f>IFERROR(AW18/BD18*(BG18-BASELINE_CPR),0)</f>
        <v/>
      </c>
      <c r="BT18" s="13">
        <f>IFERROR(AX18/BD18*(BG18-BASELINE_CPR),0)</f>
        <v/>
      </c>
      <c r="BU18" s="13">
        <f>IFERROR(AY18/BD18*(BG18-BASELINE_CPR),0)</f>
        <v/>
      </c>
      <c r="BV18" s="13">
        <f>IFERROR(AZ18/BD18*(BG18-BASELINE_CPR),0)</f>
        <v/>
      </c>
      <c r="BW18" s="13">
        <f>IFERROR(BA18/BD18*(BG18-BASELINE_CPR),0)</f>
        <v/>
      </c>
      <c r="BX18" s="13">
        <f>IFERROR(BB18/BD18*(BG18-BASELINE_CPR),0)</f>
        <v/>
      </c>
      <c r="BY18" s="13">
        <f>IFERROR(BC18/BD18*(BG18-BASELINE_CPR),0)</f>
        <v/>
      </c>
      <c r="BZ18" s="28">
        <f>BASELINE_CPR+SUM(BH18:BY18)-BG18</f>
        <v/>
      </c>
    </row>
    <row r="19">
      <c r="A19" s="2" t="inlineStr">
        <is>
          <t>36187SCA3_000000001411159</t>
        </is>
      </c>
      <c r="B19" t="inlineStr">
        <is>
          <t>LUMENT_PRE21</t>
        </is>
      </c>
      <c r="C19" s="2" t="inlineStr">
        <is>
          <t>36187SCA3</t>
        </is>
      </c>
      <c r="D19" t="inlineStr">
        <is>
          <t>LUMENT REAL ESTATE CAPITAL,LLC</t>
        </is>
      </c>
      <c r="E19" t="inlineStr">
        <is>
          <t>223f</t>
        </is>
      </c>
      <c r="F19" t="inlineStr">
        <is>
          <t>RP</t>
        </is>
      </c>
      <c r="G19" t="n">
        <v>2009</v>
      </c>
      <c r="H19" t="inlineStr">
        <is>
          <t>202602</t>
        </is>
      </c>
      <c r="I19" s="22" t="n">
        <v>1334344.32</v>
      </c>
      <c r="J19" s="23" t="n">
        <v>4.29</v>
      </c>
      <c r="K19" s="24" t="n">
        <v>447</v>
      </c>
      <c r="L19" s="24" t="n">
        <v>0</v>
      </c>
      <c r="M19" t="n">
        <v>205</v>
      </c>
      <c r="N19" t="n">
        <v>38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s="24">
        <f>J19*100-(K19+(1+L19)*12.5)</f>
        <v/>
      </c>
      <c r="U19">
        <f>O19</f>
        <v/>
      </c>
      <c r="V19">
        <f>M19</f>
        <v/>
      </c>
      <c r="W19" s="23">
        <f>LN(1+I19)</f>
        <v/>
      </c>
      <c r="X19">
        <f>IF(G19&gt;=2021,1,0)</f>
        <v/>
      </c>
      <c r="Y19">
        <f>N19</f>
        <v/>
      </c>
      <c r="Z19" s="23">
        <f>IF(ISNUMBER(M19),N19/MAX(M19,1),0)</f>
        <v/>
      </c>
      <c r="AA19">
        <f>P19</f>
        <v/>
      </c>
      <c r="AB19">
        <f>Q19</f>
        <v/>
      </c>
      <c r="AC19">
        <f>R19</f>
        <v/>
      </c>
      <c r="AD19">
        <f>S19</f>
        <v/>
      </c>
      <c r="AE19">
        <f>IF(ISNUMBER(SEARCH("CAPITAL FUNDING",D19)),1,0)</f>
        <v/>
      </c>
      <c r="AF19">
        <f>IF(ISNUMBER(SEARCH("MERCHANTS",D19)),1,0)</f>
        <v/>
      </c>
      <c r="AG19">
        <f>IF(ISNUMBER(SEARCH("WELLS FARGO",D19)),1,0)</f>
        <v/>
      </c>
      <c r="AH19">
        <f>IF(ISNUMBER(SEARCH("WALKER",D19)),1,0)</f>
        <v/>
      </c>
      <c r="AI19">
        <f>IF(ISNUMBER(SEARCH("PNC",D19)),1,0)</f>
        <v/>
      </c>
      <c r="AJ19">
        <f>IF(ISNUMBER(SEARCH("BERKADIA",D19)),1,0)</f>
        <v/>
      </c>
      <c r="AK19">
        <f>IF(ISNUMBER(SEARCH("DWIGHT",D19)),1,0)</f>
        <v/>
      </c>
      <c r="AL19" s="25">
        <f>T$4*(T19-T$3)</f>
        <v/>
      </c>
      <c r="AM19" s="25">
        <f>U$4*(U19-U$3)</f>
        <v/>
      </c>
      <c r="AN19" s="25">
        <f>V$4*(V19-V$3)</f>
        <v/>
      </c>
      <c r="AO19" s="25">
        <f>W$4*(W19-W$3)</f>
        <v/>
      </c>
      <c r="AP19" s="25">
        <f>X$4*(X19-X$3)</f>
        <v/>
      </c>
      <c r="AQ19" s="25">
        <f>Y$4*(Y19-Y$3)</f>
        <v/>
      </c>
      <c r="AR19" s="25">
        <f>Z$4*(Z19-Z$3)</f>
        <v/>
      </c>
      <c r="AS19" s="25">
        <f>AA$4*(AA19-AA$3)</f>
        <v/>
      </c>
      <c r="AT19" s="25">
        <f>AB$4*(AB19-AB$3)</f>
        <v/>
      </c>
      <c r="AU19" s="25">
        <f>AC$4*(AC19-AC$3)</f>
        <v/>
      </c>
      <c r="AV19" s="25">
        <f>AD$4*(AD19-AD$3)</f>
        <v/>
      </c>
      <c r="AW19" s="25">
        <f>AE$4*(AE19-AE$3)</f>
        <v/>
      </c>
      <c r="AX19" s="25">
        <f>AF$4*(AF19-AF$3)</f>
        <v/>
      </c>
      <c r="AY19" s="25">
        <f>AG$4*(AG19-AG$3)</f>
        <v/>
      </c>
      <c r="AZ19" s="25">
        <f>AH$4*(AH19-AH$3)</f>
        <v/>
      </c>
      <c r="BA19" s="25">
        <f>AI$4*(AI19-AI$3)</f>
        <v/>
      </c>
      <c r="BB19" s="25">
        <f>AJ$4*(AJ19-AJ$3)</f>
        <v/>
      </c>
      <c r="BC19" s="25">
        <f>AK$4*(AK19-AK$3)</f>
        <v/>
      </c>
      <c r="BD19" s="26">
        <f>SUM(AL19:BC19)</f>
        <v/>
      </c>
      <c r="BE19" s="26">
        <f>INTERCEPT_SCALED+BD19</f>
        <v/>
      </c>
      <c r="BF19" s="27">
        <f>1/(1+EXP(-BE19))</f>
        <v/>
      </c>
      <c r="BG19" s="13">
        <f>1-(1-BF19)^12</f>
        <v/>
      </c>
      <c r="BH19" s="13">
        <f>IFERROR(AL19/BD19*(BG19-BASELINE_CPR),0)</f>
        <v/>
      </c>
      <c r="BI19" s="13">
        <f>IFERROR(AM19/BD19*(BG19-BASELINE_CPR),0)</f>
        <v/>
      </c>
      <c r="BJ19" s="13">
        <f>IFERROR(AN19/BD19*(BG19-BASELINE_CPR),0)</f>
        <v/>
      </c>
      <c r="BK19" s="13">
        <f>IFERROR(AO19/BD19*(BG19-BASELINE_CPR),0)</f>
        <v/>
      </c>
      <c r="BL19" s="13">
        <f>IFERROR(AP19/BD19*(BG19-BASELINE_CPR),0)</f>
        <v/>
      </c>
      <c r="BM19" s="13">
        <f>IFERROR(AQ19/BD19*(BG19-BASELINE_CPR),0)</f>
        <v/>
      </c>
      <c r="BN19" s="13">
        <f>IFERROR(AR19/BD19*(BG19-BASELINE_CPR),0)</f>
        <v/>
      </c>
      <c r="BO19" s="13">
        <f>IFERROR(AS19/BD19*(BG19-BASELINE_CPR),0)</f>
        <v/>
      </c>
      <c r="BP19" s="13">
        <f>IFERROR(AT19/BD19*(BG19-BASELINE_CPR),0)</f>
        <v/>
      </c>
      <c r="BQ19" s="13">
        <f>IFERROR(AU19/BD19*(BG19-BASELINE_CPR),0)</f>
        <v/>
      </c>
      <c r="BR19" s="13">
        <f>IFERROR(AV19/BD19*(BG19-BASELINE_CPR),0)</f>
        <v/>
      </c>
      <c r="BS19" s="13">
        <f>IFERROR(AW19/BD19*(BG19-BASELINE_CPR),0)</f>
        <v/>
      </c>
      <c r="BT19" s="13">
        <f>IFERROR(AX19/BD19*(BG19-BASELINE_CPR),0)</f>
        <v/>
      </c>
      <c r="BU19" s="13">
        <f>IFERROR(AY19/BD19*(BG19-BASELINE_CPR),0)</f>
        <v/>
      </c>
      <c r="BV19" s="13">
        <f>IFERROR(AZ19/BD19*(BG19-BASELINE_CPR),0)</f>
        <v/>
      </c>
      <c r="BW19" s="13">
        <f>IFERROR(BA19/BD19*(BG19-BASELINE_CPR),0)</f>
        <v/>
      </c>
      <c r="BX19" s="13">
        <f>IFERROR(BB19/BD19*(BG19-BASELINE_CPR),0)</f>
        <v/>
      </c>
      <c r="BY19" s="13">
        <f>IFERROR(BC19/BD19*(BG19-BASELINE_CPR),0)</f>
        <v/>
      </c>
      <c r="BZ19" s="28">
        <f>BASELINE_CPR+SUM(BH19:BY19)-BG19</f>
        <v/>
      </c>
    </row>
    <row r="20">
      <c r="A20" s="2" t="inlineStr">
        <is>
          <t>3617AVUR7_049031028004210</t>
        </is>
      </c>
      <c r="B20" t="inlineStr">
        <is>
          <t>LUMENT_PRE21</t>
        </is>
      </c>
      <c r="C20" s="2" t="inlineStr">
        <is>
          <t>3617AVUR7</t>
        </is>
      </c>
      <c r="D20" t="inlineStr">
        <is>
          <t>LUMENT REAL ESTATE CAPITAL,LLC</t>
        </is>
      </c>
      <c r="E20" t="inlineStr">
        <is>
          <t>538</t>
        </is>
      </c>
      <c r="F20" t="inlineStr">
        <is>
          <t>538</t>
        </is>
      </c>
      <c r="G20" t="n">
        <v>2017</v>
      </c>
      <c r="H20" t="inlineStr">
        <is>
          <t>202602</t>
        </is>
      </c>
      <c r="I20" s="22" t="n">
        <v>1419192.88</v>
      </c>
      <c r="J20" s="23" t="n">
        <v>3.89</v>
      </c>
      <c r="K20" s="24" t="n">
        <v>447</v>
      </c>
      <c r="L20" s="24" t="n">
        <v>3</v>
      </c>
      <c r="M20" t="n">
        <v>103</v>
      </c>
      <c r="N20" t="n">
        <v>31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s="24">
        <f>J20*100-(K20+(1+L20)*12.5)</f>
        <v/>
      </c>
      <c r="U20">
        <f>O20</f>
        <v/>
      </c>
      <c r="V20">
        <f>M20</f>
        <v/>
      </c>
      <c r="W20" s="23">
        <f>LN(1+I20)</f>
        <v/>
      </c>
      <c r="X20">
        <f>IF(G20&gt;=2021,1,0)</f>
        <v/>
      </c>
      <c r="Y20">
        <f>N20</f>
        <v/>
      </c>
      <c r="Z20" s="23">
        <f>IF(ISNUMBER(M20),N20/MAX(M20,1),0)</f>
        <v/>
      </c>
      <c r="AA20">
        <f>P20</f>
        <v/>
      </c>
      <c r="AB20">
        <f>Q20</f>
        <v/>
      </c>
      <c r="AC20">
        <f>R20</f>
        <v/>
      </c>
      <c r="AD20">
        <f>S20</f>
        <v/>
      </c>
      <c r="AE20">
        <f>IF(ISNUMBER(SEARCH("CAPITAL FUNDING",D20)),1,0)</f>
        <v/>
      </c>
      <c r="AF20">
        <f>IF(ISNUMBER(SEARCH("MERCHANTS",D20)),1,0)</f>
        <v/>
      </c>
      <c r="AG20">
        <f>IF(ISNUMBER(SEARCH("WELLS FARGO",D20)),1,0)</f>
        <v/>
      </c>
      <c r="AH20">
        <f>IF(ISNUMBER(SEARCH("WALKER",D20)),1,0)</f>
        <v/>
      </c>
      <c r="AI20">
        <f>IF(ISNUMBER(SEARCH("PNC",D20)),1,0)</f>
        <v/>
      </c>
      <c r="AJ20">
        <f>IF(ISNUMBER(SEARCH("BERKADIA",D20)),1,0)</f>
        <v/>
      </c>
      <c r="AK20">
        <f>IF(ISNUMBER(SEARCH("DWIGHT",D20)),1,0)</f>
        <v/>
      </c>
      <c r="AL20" s="25">
        <f>T$4*(T20-T$3)</f>
        <v/>
      </c>
      <c r="AM20" s="25">
        <f>U$4*(U20-U$3)</f>
        <v/>
      </c>
      <c r="AN20" s="25">
        <f>V$4*(V20-V$3)</f>
        <v/>
      </c>
      <c r="AO20" s="25">
        <f>W$4*(W20-W$3)</f>
        <v/>
      </c>
      <c r="AP20" s="25">
        <f>X$4*(X20-X$3)</f>
        <v/>
      </c>
      <c r="AQ20" s="25">
        <f>Y$4*(Y20-Y$3)</f>
        <v/>
      </c>
      <c r="AR20" s="25">
        <f>Z$4*(Z20-Z$3)</f>
        <v/>
      </c>
      <c r="AS20" s="25">
        <f>AA$4*(AA20-AA$3)</f>
        <v/>
      </c>
      <c r="AT20" s="25">
        <f>AB$4*(AB20-AB$3)</f>
        <v/>
      </c>
      <c r="AU20" s="25">
        <f>AC$4*(AC20-AC$3)</f>
        <v/>
      </c>
      <c r="AV20" s="25">
        <f>AD$4*(AD20-AD$3)</f>
        <v/>
      </c>
      <c r="AW20" s="25">
        <f>AE$4*(AE20-AE$3)</f>
        <v/>
      </c>
      <c r="AX20" s="25">
        <f>AF$4*(AF20-AF$3)</f>
        <v/>
      </c>
      <c r="AY20" s="25">
        <f>AG$4*(AG20-AG$3)</f>
        <v/>
      </c>
      <c r="AZ20" s="25">
        <f>AH$4*(AH20-AH$3)</f>
        <v/>
      </c>
      <c r="BA20" s="25">
        <f>AI$4*(AI20-AI$3)</f>
        <v/>
      </c>
      <c r="BB20" s="25">
        <f>AJ$4*(AJ20-AJ$3)</f>
        <v/>
      </c>
      <c r="BC20" s="25">
        <f>AK$4*(AK20-AK$3)</f>
        <v/>
      </c>
      <c r="BD20" s="26">
        <f>SUM(AL20:BC20)</f>
        <v/>
      </c>
      <c r="BE20" s="26">
        <f>INTERCEPT_SCALED+BD20</f>
        <v/>
      </c>
      <c r="BF20" s="27">
        <f>1/(1+EXP(-BE20))</f>
        <v/>
      </c>
      <c r="BG20" s="13">
        <f>1-(1-BF20)^12</f>
        <v/>
      </c>
      <c r="BH20" s="13">
        <f>IFERROR(AL20/BD20*(BG20-BASELINE_CPR),0)</f>
        <v/>
      </c>
      <c r="BI20" s="13">
        <f>IFERROR(AM20/BD20*(BG20-BASELINE_CPR),0)</f>
        <v/>
      </c>
      <c r="BJ20" s="13">
        <f>IFERROR(AN20/BD20*(BG20-BASELINE_CPR),0)</f>
        <v/>
      </c>
      <c r="BK20" s="13">
        <f>IFERROR(AO20/BD20*(BG20-BASELINE_CPR),0)</f>
        <v/>
      </c>
      <c r="BL20" s="13">
        <f>IFERROR(AP20/BD20*(BG20-BASELINE_CPR),0)</f>
        <v/>
      </c>
      <c r="BM20" s="13">
        <f>IFERROR(AQ20/BD20*(BG20-BASELINE_CPR),0)</f>
        <v/>
      </c>
      <c r="BN20" s="13">
        <f>IFERROR(AR20/BD20*(BG20-BASELINE_CPR),0)</f>
        <v/>
      </c>
      <c r="BO20" s="13">
        <f>IFERROR(AS20/BD20*(BG20-BASELINE_CPR),0)</f>
        <v/>
      </c>
      <c r="BP20" s="13">
        <f>IFERROR(AT20/BD20*(BG20-BASELINE_CPR),0)</f>
        <v/>
      </c>
      <c r="BQ20" s="13">
        <f>IFERROR(AU20/BD20*(BG20-BASELINE_CPR),0)</f>
        <v/>
      </c>
      <c r="BR20" s="13">
        <f>IFERROR(AV20/BD20*(BG20-BASELINE_CPR),0)</f>
        <v/>
      </c>
      <c r="BS20" s="13">
        <f>IFERROR(AW20/BD20*(BG20-BASELINE_CPR),0)</f>
        <v/>
      </c>
      <c r="BT20" s="13">
        <f>IFERROR(AX20/BD20*(BG20-BASELINE_CPR),0)</f>
        <v/>
      </c>
      <c r="BU20" s="13">
        <f>IFERROR(AY20/BD20*(BG20-BASELINE_CPR),0)</f>
        <v/>
      </c>
      <c r="BV20" s="13">
        <f>IFERROR(AZ20/BD20*(BG20-BASELINE_CPR),0)</f>
        <v/>
      </c>
      <c r="BW20" s="13">
        <f>IFERROR(BA20/BD20*(BG20-BASELINE_CPR),0)</f>
        <v/>
      </c>
      <c r="BX20" s="13">
        <f>IFERROR(BB20/BD20*(BG20-BASELINE_CPR),0)</f>
        <v/>
      </c>
      <c r="BY20" s="13">
        <f>IFERROR(BC20/BD20*(BG20-BASELINE_CPR),0)</f>
        <v/>
      </c>
      <c r="BZ20" s="28">
        <f>BASELINE_CPR+SUM(BH20:BY20)-BG20</f>
        <v/>
      </c>
    </row>
    <row r="21">
      <c r="A21" s="2" t="inlineStr">
        <is>
          <t>3617GKP67_000000002411077</t>
        </is>
      </c>
      <c r="B21" t="inlineStr">
        <is>
          <t>LUMENT_PRE21</t>
        </is>
      </c>
      <c r="C21" s="2" t="inlineStr">
        <is>
          <t>3617GKP67</t>
        </is>
      </c>
      <c r="D21" t="inlineStr">
        <is>
          <t>LUMENT REAL ESTATE CAPITAL,LLC</t>
        </is>
      </c>
      <c r="E21" t="inlineStr">
        <is>
          <t>223f</t>
        </is>
      </c>
      <c r="F21" t="inlineStr">
        <is>
          <t>RP</t>
        </is>
      </c>
      <c r="G21" t="n">
        <v>2018</v>
      </c>
      <c r="H21" t="inlineStr">
        <is>
          <t>202602</t>
        </is>
      </c>
      <c r="I21" s="22" t="n">
        <v>5685256.38</v>
      </c>
      <c r="J21" s="23" t="n">
        <v>4.02</v>
      </c>
      <c r="K21" s="24" t="n">
        <v>447</v>
      </c>
      <c r="L21" s="24" t="n">
        <v>3</v>
      </c>
      <c r="M21" t="n">
        <v>93</v>
      </c>
      <c r="N21" t="n">
        <v>32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s="24">
        <f>J21*100-(K21+(1+L21)*12.5)</f>
        <v/>
      </c>
      <c r="U21">
        <f>O21</f>
        <v/>
      </c>
      <c r="V21">
        <f>M21</f>
        <v/>
      </c>
      <c r="W21" s="23">
        <f>LN(1+I21)</f>
        <v/>
      </c>
      <c r="X21">
        <f>IF(G21&gt;=2021,1,0)</f>
        <v/>
      </c>
      <c r="Y21">
        <f>N21</f>
        <v/>
      </c>
      <c r="Z21" s="23">
        <f>IF(ISNUMBER(M21),N21/MAX(M21,1),0)</f>
        <v/>
      </c>
      <c r="AA21">
        <f>P21</f>
        <v/>
      </c>
      <c r="AB21">
        <f>Q21</f>
        <v/>
      </c>
      <c r="AC21">
        <f>R21</f>
        <v/>
      </c>
      <c r="AD21">
        <f>S21</f>
        <v/>
      </c>
      <c r="AE21">
        <f>IF(ISNUMBER(SEARCH("CAPITAL FUNDING",D21)),1,0)</f>
        <v/>
      </c>
      <c r="AF21">
        <f>IF(ISNUMBER(SEARCH("MERCHANTS",D21)),1,0)</f>
        <v/>
      </c>
      <c r="AG21">
        <f>IF(ISNUMBER(SEARCH("WELLS FARGO",D21)),1,0)</f>
        <v/>
      </c>
      <c r="AH21">
        <f>IF(ISNUMBER(SEARCH("WALKER",D21)),1,0)</f>
        <v/>
      </c>
      <c r="AI21">
        <f>IF(ISNUMBER(SEARCH("PNC",D21)),1,0)</f>
        <v/>
      </c>
      <c r="AJ21">
        <f>IF(ISNUMBER(SEARCH("BERKADIA",D21)),1,0)</f>
        <v/>
      </c>
      <c r="AK21">
        <f>IF(ISNUMBER(SEARCH("DWIGHT",D21)),1,0)</f>
        <v/>
      </c>
      <c r="AL21" s="25">
        <f>T$4*(T21-T$3)</f>
        <v/>
      </c>
      <c r="AM21" s="25">
        <f>U$4*(U21-U$3)</f>
        <v/>
      </c>
      <c r="AN21" s="25">
        <f>V$4*(V21-V$3)</f>
        <v/>
      </c>
      <c r="AO21" s="25">
        <f>W$4*(W21-W$3)</f>
        <v/>
      </c>
      <c r="AP21" s="25">
        <f>X$4*(X21-X$3)</f>
        <v/>
      </c>
      <c r="AQ21" s="25">
        <f>Y$4*(Y21-Y$3)</f>
        <v/>
      </c>
      <c r="AR21" s="25">
        <f>Z$4*(Z21-Z$3)</f>
        <v/>
      </c>
      <c r="AS21" s="25">
        <f>AA$4*(AA21-AA$3)</f>
        <v/>
      </c>
      <c r="AT21" s="25">
        <f>AB$4*(AB21-AB$3)</f>
        <v/>
      </c>
      <c r="AU21" s="25">
        <f>AC$4*(AC21-AC$3)</f>
        <v/>
      </c>
      <c r="AV21" s="25">
        <f>AD$4*(AD21-AD$3)</f>
        <v/>
      </c>
      <c r="AW21" s="25">
        <f>AE$4*(AE21-AE$3)</f>
        <v/>
      </c>
      <c r="AX21" s="25">
        <f>AF$4*(AF21-AF$3)</f>
        <v/>
      </c>
      <c r="AY21" s="25">
        <f>AG$4*(AG21-AG$3)</f>
        <v/>
      </c>
      <c r="AZ21" s="25">
        <f>AH$4*(AH21-AH$3)</f>
        <v/>
      </c>
      <c r="BA21" s="25">
        <f>AI$4*(AI21-AI$3)</f>
        <v/>
      </c>
      <c r="BB21" s="25">
        <f>AJ$4*(AJ21-AJ$3)</f>
        <v/>
      </c>
      <c r="BC21" s="25">
        <f>AK$4*(AK21-AK$3)</f>
        <v/>
      </c>
      <c r="BD21" s="26">
        <f>SUM(AL21:BC21)</f>
        <v/>
      </c>
      <c r="BE21" s="26">
        <f>INTERCEPT_SCALED+BD21</f>
        <v/>
      </c>
      <c r="BF21" s="27">
        <f>1/(1+EXP(-BE21))</f>
        <v/>
      </c>
      <c r="BG21" s="13">
        <f>1-(1-BF21)^12</f>
        <v/>
      </c>
      <c r="BH21" s="13">
        <f>IFERROR(AL21/BD21*(BG21-BASELINE_CPR),0)</f>
        <v/>
      </c>
      <c r="BI21" s="13">
        <f>IFERROR(AM21/BD21*(BG21-BASELINE_CPR),0)</f>
        <v/>
      </c>
      <c r="BJ21" s="13">
        <f>IFERROR(AN21/BD21*(BG21-BASELINE_CPR),0)</f>
        <v/>
      </c>
      <c r="BK21" s="13">
        <f>IFERROR(AO21/BD21*(BG21-BASELINE_CPR),0)</f>
        <v/>
      </c>
      <c r="BL21" s="13">
        <f>IFERROR(AP21/BD21*(BG21-BASELINE_CPR),0)</f>
        <v/>
      </c>
      <c r="BM21" s="13">
        <f>IFERROR(AQ21/BD21*(BG21-BASELINE_CPR),0)</f>
        <v/>
      </c>
      <c r="BN21" s="13">
        <f>IFERROR(AR21/BD21*(BG21-BASELINE_CPR),0)</f>
        <v/>
      </c>
      <c r="BO21" s="13">
        <f>IFERROR(AS21/BD21*(BG21-BASELINE_CPR),0)</f>
        <v/>
      </c>
      <c r="BP21" s="13">
        <f>IFERROR(AT21/BD21*(BG21-BASELINE_CPR),0)</f>
        <v/>
      </c>
      <c r="BQ21" s="13">
        <f>IFERROR(AU21/BD21*(BG21-BASELINE_CPR),0)</f>
        <v/>
      </c>
      <c r="BR21" s="13">
        <f>IFERROR(AV21/BD21*(BG21-BASELINE_CPR),0)</f>
        <v/>
      </c>
      <c r="BS21" s="13">
        <f>IFERROR(AW21/BD21*(BG21-BASELINE_CPR),0)</f>
        <v/>
      </c>
      <c r="BT21" s="13">
        <f>IFERROR(AX21/BD21*(BG21-BASELINE_CPR),0)</f>
        <v/>
      </c>
      <c r="BU21" s="13">
        <f>IFERROR(AY21/BD21*(BG21-BASELINE_CPR),0)</f>
        <v/>
      </c>
      <c r="BV21" s="13">
        <f>IFERROR(AZ21/BD21*(BG21-BASELINE_CPR),0)</f>
        <v/>
      </c>
      <c r="BW21" s="13">
        <f>IFERROR(BA21/BD21*(BG21-BASELINE_CPR),0)</f>
        <v/>
      </c>
      <c r="BX21" s="13">
        <f>IFERROR(BB21/BD21*(BG21-BASELINE_CPR),0)</f>
        <v/>
      </c>
      <c r="BY21" s="13">
        <f>IFERROR(BC21/BD21*(BG21-BASELINE_CPR),0)</f>
        <v/>
      </c>
      <c r="BZ21" s="28">
        <f>BASELINE_CPR+SUM(BH21:BY21)-BG21</f>
        <v/>
      </c>
    </row>
    <row r="22">
      <c r="A22" s="2" t="inlineStr">
        <is>
          <t>36180QCV8_000000010535250</t>
        </is>
      </c>
      <c r="B22" t="inlineStr">
        <is>
          <t>LUMENT_PRE21</t>
        </is>
      </c>
      <c r="C22" s="2" t="inlineStr">
        <is>
          <t>36180QCV8</t>
        </is>
      </c>
      <c r="D22" t="inlineStr">
        <is>
          <t>LUMENT REAL ESTATE CAPITAL,LLC</t>
        </is>
      </c>
      <c r="E22" t="inlineStr">
        <is>
          <t>221d4</t>
        </is>
      </c>
      <c r="F22" t="inlineStr">
        <is>
          <t>NC</t>
        </is>
      </c>
      <c r="G22" t="n">
        <v>2015</v>
      </c>
      <c r="H22" t="inlineStr">
        <is>
          <t>202602</t>
        </is>
      </c>
      <c r="I22" s="22" t="n">
        <v>2808410.87</v>
      </c>
      <c r="J22" s="23" t="n">
        <v>3.35</v>
      </c>
      <c r="K22" s="24" t="n">
        <v>447</v>
      </c>
      <c r="L22" s="24" t="n">
        <v>1</v>
      </c>
      <c r="M22" t="n">
        <v>128</v>
      </c>
      <c r="N22" t="n">
        <v>27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s="24">
        <f>J22*100-(K22+(1+L22)*12.5)</f>
        <v/>
      </c>
      <c r="U22">
        <f>O22</f>
        <v/>
      </c>
      <c r="V22">
        <f>M22</f>
        <v/>
      </c>
      <c r="W22" s="23">
        <f>LN(1+I22)</f>
        <v/>
      </c>
      <c r="X22">
        <f>IF(G22&gt;=2021,1,0)</f>
        <v/>
      </c>
      <c r="Y22">
        <f>N22</f>
        <v/>
      </c>
      <c r="Z22" s="23">
        <f>IF(ISNUMBER(M22),N22/MAX(M22,1),0)</f>
        <v/>
      </c>
      <c r="AA22">
        <f>P22</f>
        <v/>
      </c>
      <c r="AB22">
        <f>Q22</f>
        <v/>
      </c>
      <c r="AC22">
        <f>R22</f>
        <v/>
      </c>
      <c r="AD22">
        <f>S22</f>
        <v/>
      </c>
      <c r="AE22">
        <f>IF(ISNUMBER(SEARCH("CAPITAL FUNDING",D22)),1,0)</f>
        <v/>
      </c>
      <c r="AF22">
        <f>IF(ISNUMBER(SEARCH("MERCHANTS",D22)),1,0)</f>
        <v/>
      </c>
      <c r="AG22">
        <f>IF(ISNUMBER(SEARCH("WELLS FARGO",D22)),1,0)</f>
        <v/>
      </c>
      <c r="AH22">
        <f>IF(ISNUMBER(SEARCH("WALKER",D22)),1,0)</f>
        <v/>
      </c>
      <c r="AI22">
        <f>IF(ISNUMBER(SEARCH("PNC",D22)),1,0)</f>
        <v/>
      </c>
      <c r="AJ22">
        <f>IF(ISNUMBER(SEARCH("BERKADIA",D22)),1,0)</f>
        <v/>
      </c>
      <c r="AK22">
        <f>IF(ISNUMBER(SEARCH("DWIGHT",D22)),1,0)</f>
        <v/>
      </c>
      <c r="AL22" s="25">
        <f>T$4*(T22-T$3)</f>
        <v/>
      </c>
      <c r="AM22" s="25">
        <f>U$4*(U22-U$3)</f>
        <v/>
      </c>
      <c r="AN22" s="25">
        <f>V$4*(V22-V$3)</f>
        <v/>
      </c>
      <c r="AO22" s="25">
        <f>W$4*(W22-W$3)</f>
        <v/>
      </c>
      <c r="AP22" s="25">
        <f>X$4*(X22-X$3)</f>
        <v/>
      </c>
      <c r="AQ22" s="25">
        <f>Y$4*(Y22-Y$3)</f>
        <v/>
      </c>
      <c r="AR22" s="25">
        <f>Z$4*(Z22-Z$3)</f>
        <v/>
      </c>
      <c r="AS22" s="25">
        <f>AA$4*(AA22-AA$3)</f>
        <v/>
      </c>
      <c r="AT22" s="25">
        <f>AB$4*(AB22-AB$3)</f>
        <v/>
      </c>
      <c r="AU22" s="25">
        <f>AC$4*(AC22-AC$3)</f>
        <v/>
      </c>
      <c r="AV22" s="25">
        <f>AD$4*(AD22-AD$3)</f>
        <v/>
      </c>
      <c r="AW22" s="25">
        <f>AE$4*(AE22-AE$3)</f>
        <v/>
      </c>
      <c r="AX22" s="25">
        <f>AF$4*(AF22-AF$3)</f>
        <v/>
      </c>
      <c r="AY22" s="25">
        <f>AG$4*(AG22-AG$3)</f>
        <v/>
      </c>
      <c r="AZ22" s="25">
        <f>AH$4*(AH22-AH$3)</f>
        <v/>
      </c>
      <c r="BA22" s="25">
        <f>AI$4*(AI22-AI$3)</f>
        <v/>
      </c>
      <c r="BB22" s="25">
        <f>AJ$4*(AJ22-AJ$3)</f>
        <v/>
      </c>
      <c r="BC22" s="25">
        <f>AK$4*(AK22-AK$3)</f>
        <v/>
      </c>
      <c r="BD22" s="26">
        <f>SUM(AL22:BC22)</f>
        <v/>
      </c>
      <c r="BE22" s="26">
        <f>INTERCEPT_SCALED+BD22</f>
        <v/>
      </c>
      <c r="BF22" s="27">
        <f>1/(1+EXP(-BE22))</f>
        <v/>
      </c>
      <c r="BG22" s="13">
        <f>1-(1-BF22)^12</f>
        <v/>
      </c>
      <c r="BH22" s="13">
        <f>IFERROR(AL22/BD22*(BG22-BASELINE_CPR),0)</f>
        <v/>
      </c>
      <c r="BI22" s="13">
        <f>IFERROR(AM22/BD22*(BG22-BASELINE_CPR),0)</f>
        <v/>
      </c>
      <c r="BJ22" s="13">
        <f>IFERROR(AN22/BD22*(BG22-BASELINE_CPR),0)</f>
        <v/>
      </c>
      <c r="BK22" s="13">
        <f>IFERROR(AO22/BD22*(BG22-BASELINE_CPR),0)</f>
        <v/>
      </c>
      <c r="BL22" s="13">
        <f>IFERROR(AP22/BD22*(BG22-BASELINE_CPR),0)</f>
        <v/>
      </c>
      <c r="BM22" s="13">
        <f>IFERROR(AQ22/BD22*(BG22-BASELINE_CPR),0)</f>
        <v/>
      </c>
      <c r="BN22" s="13">
        <f>IFERROR(AR22/BD22*(BG22-BASELINE_CPR),0)</f>
        <v/>
      </c>
      <c r="BO22" s="13">
        <f>IFERROR(AS22/BD22*(BG22-BASELINE_CPR),0)</f>
        <v/>
      </c>
      <c r="BP22" s="13">
        <f>IFERROR(AT22/BD22*(BG22-BASELINE_CPR),0)</f>
        <v/>
      </c>
      <c r="BQ22" s="13">
        <f>IFERROR(AU22/BD22*(BG22-BASELINE_CPR),0)</f>
        <v/>
      </c>
      <c r="BR22" s="13">
        <f>IFERROR(AV22/BD22*(BG22-BASELINE_CPR),0)</f>
        <v/>
      </c>
      <c r="BS22" s="13">
        <f>IFERROR(AW22/BD22*(BG22-BASELINE_CPR),0)</f>
        <v/>
      </c>
      <c r="BT22" s="13">
        <f>IFERROR(AX22/BD22*(BG22-BASELINE_CPR),0)</f>
        <v/>
      </c>
      <c r="BU22" s="13">
        <f>IFERROR(AY22/BD22*(BG22-BASELINE_CPR),0)</f>
        <v/>
      </c>
      <c r="BV22" s="13">
        <f>IFERROR(AZ22/BD22*(BG22-BASELINE_CPR),0)</f>
        <v/>
      </c>
      <c r="BW22" s="13">
        <f>IFERROR(BA22/BD22*(BG22-BASELINE_CPR),0)</f>
        <v/>
      </c>
      <c r="BX22" s="13">
        <f>IFERROR(BB22/BD22*(BG22-BASELINE_CPR),0)</f>
        <v/>
      </c>
      <c r="BY22" s="13">
        <f>IFERROR(BC22/BD22*(BG22-BASELINE_CPR),0)</f>
        <v/>
      </c>
      <c r="BZ22" s="28">
        <f>BASELINE_CPR+SUM(BH22:BY22)-BG22</f>
        <v/>
      </c>
    </row>
    <row r="23">
      <c r="A23" s="2" t="inlineStr">
        <is>
          <t>3617X76V3_000000012211483</t>
        </is>
      </c>
      <c r="B23" t="inlineStr">
        <is>
          <t>LUMENT_POST21</t>
        </is>
      </c>
      <c r="C23" s="2" t="inlineStr">
        <is>
          <t>3617X76V3</t>
        </is>
      </c>
      <c r="D23" t="inlineStr">
        <is>
          <t>LUMENT REAL ESTATE CAPITAL,LLC</t>
        </is>
      </c>
      <c r="E23" t="inlineStr">
        <is>
          <t>223f</t>
        </is>
      </c>
      <c r="F23" t="inlineStr">
        <is>
          <t>RP</t>
        </is>
      </c>
      <c r="G23" t="n">
        <v>2022</v>
      </c>
      <c r="H23" t="inlineStr">
        <is>
          <t>202602</t>
        </is>
      </c>
      <c r="I23" s="22" t="n">
        <v>11152290.91</v>
      </c>
      <c r="J23" s="23" t="n">
        <v>2.6</v>
      </c>
      <c r="K23" s="24" t="n">
        <v>447</v>
      </c>
      <c r="L23" s="24" t="n">
        <v>7</v>
      </c>
      <c r="M23" t="n">
        <v>47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s="24">
        <f>J23*100-(K23+(1+L23)*12.5)</f>
        <v/>
      </c>
      <c r="U23">
        <f>O23</f>
        <v/>
      </c>
      <c r="V23">
        <f>M23</f>
        <v/>
      </c>
      <c r="W23" s="23">
        <f>LN(1+I23)</f>
        <v/>
      </c>
      <c r="X23">
        <f>IF(G23&gt;=2021,1,0)</f>
        <v/>
      </c>
      <c r="Y23">
        <f>N23</f>
        <v/>
      </c>
      <c r="Z23" s="23">
        <f>IF(ISNUMBER(M23),N23/MAX(M23,1),0)</f>
        <v/>
      </c>
      <c r="AA23">
        <f>P23</f>
        <v/>
      </c>
      <c r="AB23">
        <f>Q23</f>
        <v/>
      </c>
      <c r="AC23">
        <f>R23</f>
        <v/>
      </c>
      <c r="AD23">
        <f>S23</f>
        <v/>
      </c>
      <c r="AE23">
        <f>IF(ISNUMBER(SEARCH("CAPITAL FUNDING",D23)),1,0)</f>
        <v/>
      </c>
      <c r="AF23">
        <f>IF(ISNUMBER(SEARCH("MERCHANTS",D23)),1,0)</f>
        <v/>
      </c>
      <c r="AG23">
        <f>IF(ISNUMBER(SEARCH("WELLS FARGO",D23)),1,0)</f>
        <v/>
      </c>
      <c r="AH23">
        <f>IF(ISNUMBER(SEARCH("WALKER",D23)),1,0)</f>
        <v/>
      </c>
      <c r="AI23">
        <f>IF(ISNUMBER(SEARCH("PNC",D23)),1,0)</f>
        <v/>
      </c>
      <c r="AJ23">
        <f>IF(ISNUMBER(SEARCH("BERKADIA",D23)),1,0)</f>
        <v/>
      </c>
      <c r="AK23">
        <f>IF(ISNUMBER(SEARCH("DWIGHT",D23)),1,0)</f>
        <v/>
      </c>
      <c r="AL23" s="25">
        <f>T$4*(T23-T$3)</f>
        <v/>
      </c>
      <c r="AM23" s="25">
        <f>U$4*(U23-U$3)</f>
        <v/>
      </c>
      <c r="AN23" s="25">
        <f>V$4*(V23-V$3)</f>
        <v/>
      </c>
      <c r="AO23" s="25">
        <f>W$4*(W23-W$3)</f>
        <v/>
      </c>
      <c r="AP23" s="25">
        <f>X$4*(X23-X$3)</f>
        <v/>
      </c>
      <c r="AQ23" s="25">
        <f>Y$4*(Y23-Y$3)</f>
        <v/>
      </c>
      <c r="AR23" s="25">
        <f>Z$4*(Z23-Z$3)</f>
        <v/>
      </c>
      <c r="AS23" s="25">
        <f>AA$4*(AA23-AA$3)</f>
        <v/>
      </c>
      <c r="AT23" s="25">
        <f>AB$4*(AB23-AB$3)</f>
        <v/>
      </c>
      <c r="AU23" s="25">
        <f>AC$4*(AC23-AC$3)</f>
        <v/>
      </c>
      <c r="AV23" s="25">
        <f>AD$4*(AD23-AD$3)</f>
        <v/>
      </c>
      <c r="AW23" s="25">
        <f>AE$4*(AE23-AE$3)</f>
        <v/>
      </c>
      <c r="AX23" s="25">
        <f>AF$4*(AF23-AF$3)</f>
        <v/>
      </c>
      <c r="AY23" s="25">
        <f>AG$4*(AG23-AG$3)</f>
        <v/>
      </c>
      <c r="AZ23" s="25">
        <f>AH$4*(AH23-AH$3)</f>
        <v/>
      </c>
      <c r="BA23" s="25">
        <f>AI$4*(AI23-AI$3)</f>
        <v/>
      </c>
      <c r="BB23" s="25">
        <f>AJ$4*(AJ23-AJ$3)</f>
        <v/>
      </c>
      <c r="BC23" s="25">
        <f>AK$4*(AK23-AK$3)</f>
        <v/>
      </c>
      <c r="BD23" s="26">
        <f>SUM(AL23:BC23)</f>
        <v/>
      </c>
      <c r="BE23" s="26">
        <f>INTERCEPT_SCALED+BD23</f>
        <v/>
      </c>
      <c r="BF23" s="27">
        <f>1/(1+EXP(-BE23))</f>
        <v/>
      </c>
      <c r="BG23" s="13">
        <f>1-(1-BF23)^12</f>
        <v/>
      </c>
      <c r="BH23" s="13">
        <f>IFERROR(AL23/BD23*(BG23-BASELINE_CPR),0)</f>
        <v/>
      </c>
      <c r="BI23" s="13">
        <f>IFERROR(AM23/BD23*(BG23-BASELINE_CPR),0)</f>
        <v/>
      </c>
      <c r="BJ23" s="13">
        <f>IFERROR(AN23/BD23*(BG23-BASELINE_CPR),0)</f>
        <v/>
      </c>
      <c r="BK23" s="13">
        <f>IFERROR(AO23/BD23*(BG23-BASELINE_CPR),0)</f>
        <v/>
      </c>
      <c r="BL23" s="13">
        <f>IFERROR(AP23/BD23*(BG23-BASELINE_CPR),0)</f>
        <v/>
      </c>
      <c r="BM23" s="13">
        <f>IFERROR(AQ23/BD23*(BG23-BASELINE_CPR),0)</f>
        <v/>
      </c>
      <c r="BN23" s="13">
        <f>IFERROR(AR23/BD23*(BG23-BASELINE_CPR),0)</f>
        <v/>
      </c>
      <c r="BO23" s="13">
        <f>IFERROR(AS23/BD23*(BG23-BASELINE_CPR),0)</f>
        <v/>
      </c>
      <c r="BP23" s="13">
        <f>IFERROR(AT23/BD23*(BG23-BASELINE_CPR),0)</f>
        <v/>
      </c>
      <c r="BQ23" s="13">
        <f>IFERROR(AU23/BD23*(BG23-BASELINE_CPR),0)</f>
        <v/>
      </c>
      <c r="BR23" s="13">
        <f>IFERROR(AV23/BD23*(BG23-BASELINE_CPR),0)</f>
        <v/>
      </c>
      <c r="BS23" s="13">
        <f>IFERROR(AW23/BD23*(BG23-BASELINE_CPR),0)</f>
        <v/>
      </c>
      <c r="BT23" s="13">
        <f>IFERROR(AX23/BD23*(BG23-BASELINE_CPR),0)</f>
        <v/>
      </c>
      <c r="BU23" s="13">
        <f>IFERROR(AY23/BD23*(BG23-BASELINE_CPR),0)</f>
        <v/>
      </c>
      <c r="BV23" s="13">
        <f>IFERROR(AZ23/BD23*(BG23-BASELINE_CPR),0)</f>
        <v/>
      </c>
      <c r="BW23" s="13">
        <f>IFERROR(BA23/BD23*(BG23-BASELINE_CPR),0)</f>
        <v/>
      </c>
      <c r="BX23" s="13">
        <f>IFERROR(BB23/BD23*(BG23-BASELINE_CPR),0)</f>
        <v/>
      </c>
      <c r="BY23" s="13">
        <f>IFERROR(BC23/BD23*(BG23-BASELINE_CPR),0)</f>
        <v/>
      </c>
      <c r="BZ23" s="28">
        <f>BASELINE_CPR+SUM(BH23:BY23)-BG23</f>
        <v/>
      </c>
    </row>
    <row r="24">
      <c r="A24" s="2" t="inlineStr">
        <is>
          <t>3617W8NP6_000000011335648</t>
        </is>
      </c>
      <c r="B24" t="inlineStr">
        <is>
          <t>LUMENT_PRE21</t>
        </is>
      </c>
      <c r="C24" s="2" t="inlineStr">
        <is>
          <t>3617W8NP6</t>
        </is>
      </c>
      <c r="D24" t="inlineStr">
        <is>
          <t>LUMENT REAL ESTATE CAPITAL,LLC</t>
        </is>
      </c>
      <c r="E24" t="inlineStr">
        <is>
          <t>221d4</t>
        </is>
      </c>
      <c r="F24" t="inlineStr">
        <is>
          <t>NC</t>
        </is>
      </c>
      <c r="G24" t="n">
        <v>2016</v>
      </c>
      <c r="H24" t="inlineStr">
        <is>
          <t>202602</t>
        </is>
      </c>
      <c r="I24" s="22" t="n">
        <v>17567640.14</v>
      </c>
      <c r="J24" s="23" t="n">
        <v>2.65</v>
      </c>
      <c r="K24" s="24" t="n">
        <v>447</v>
      </c>
      <c r="L24" s="24" t="n">
        <v>6</v>
      </c>
      <c r="M24" t="n">
        <v>114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s="24">
        <f>J24*100-(K24+(1+L24)*12.5)</f>
        <v/>
      </c>
      <c r="U24">
        <f>O24</f>
        <v/>
      </c>
      <c r="V24">
        <f>M24</f>
        <v/>
      </c>
      <c r="W24" s="23">
        <f>LN(1+I24)</f>
        <v/>
      </c>
      <c r="X24">
        <f>IF(G24&gt;=2021,1,0)</f>
        <v/>
      </c>
      <c r="Y24">
        <f>N24</f>
        <v/>
      </c>
      <c r="Z24" s="23">
        <f>IF(ISNUMBER(M24),N24/MAX(M24,1),0)</f>
        <v/>
      </c>
      <c r="AA24">
        <f>P24</f>
        <v/>
      </c>
      <c r="AB24">
        <f>Q24</f>
        <v/>
      </c>
      <c r="AC24">
        <f>R24</f>
        <v/>
      </c>
      <c r="AD24">
        <f>S24</f>
        <v/>
      </c>
      <c r="AE24">
        <f>IF(ISNUMBER(SEARCH("CAPITAL FUNDING",D24)),1,0)</f>
        <v/>
      </c>
      <c r="AF24">
        <f>IF(ISNUMBER(SEARCH("MERCHANTS",D24)),1,0)</f>
        <v/>
      </c>
      <c r="AG24">
        <f>IF(ISNUMBER(SEARCH("WELLS FARGO",D24)),1,0)</f>
        <v/>
      </c>
      <c r="AH24">
        <f>IF(ISNUMBER(SEARCH("WALKER",D24)),1,0)</f>
        <v/>
      </c>
      <c r="AI24">
        <f>IF(ISNUMBER(SEARCH("PNC",D24)),1,0)</f>
        <v/>
      </c>
      <c r="AJ24">
        <f>IF(ISNUMBER(SEARCH("BERKADIA",D24)),1,0)</f>
        <v/>
      </c>
      <c r="AK24">
        <f>IF(ISNUMBER(SEARCH("DWIGHT",D24)),1,0)</f>
        <v/>
      </c>
      <c r="AL24" s="25">
        <f>T$4*(T24-T$3)</f>
        <v/>
      </c>
      <c r="AM24" s="25">
        <f>U$4*(U24-U$3)</f>
        <v/>
      </c>
      <c r="AN24" s="25">
        <f>V$4*(V24-V$3)</f>
        <v/>
      </c>
      <c r="AO24" s="25">
        <f>W$4*(W24-W$3)</f>
        <v/>
      </c>
      <c r="AP24" s="25">
        <f>X$4*(X24-X$3)</f>
        <v/>
      </c>
      <c r="AQ24" s="25">
        <f>Y$4*(Y24-Y$3)</f>
        <v/>
      </c>
      <c r="AR24" s="25">
        <f>Z$4*(Z24-Z$3)</f>
        <v/>
      </c>
      <c r="AS24" s="25">
        <f>AA$4*(AA24-AA$3)</f>
        <v/>
      </c>
      <c r="AT24" s="25">
        <f>AB$4*(AB24-AB$3)</f>
        <v/>
      </c>
      <c r="AU24" s="25">
        <f>AC$4*(AC24-AC$3)</f>
        <v/>
      </c>
      <c r="AV24" s="25">
        <f>AD$4*(AD24-AD$3)</f>
        <v/>
      </c>
      <c r="AW24" s="25">
        <f>AE$4*(AE24-AE$3)</f>
        <v/>
      </c>
      <c r="AX24" s="25">
        <f>AF$4*(AF24-AF$3)</f>
        <v/>
      </c>
      <c r="AY24" s="25">
        <f>AG$4*(AG24-AG$3)</f>
        <v/>
      </c>
      <c r="AZ24" s="25">
        <f>AH$4*(AH24-AH$3)</f>
        <v/>
      </c>
      <c r="BA24" s="25">
        <f>AI$4*(AI24-AI$3)</f>
        <v/>
      </c>
      <c r="BB24" s="25">
        <f>AJ$4*(AJ24-AJ$3)</f>
        <v/>
      </c>
      <c r="BC24" s="25">
        <f>AK$4*(AK24-AK$3)</f>
        <v/>
      </c>
      <c r="BD24" s="26">
        <f>SUM(AL24:BC24)</f>
        <v/>
      </c>
      <c r="BE24" s="26">
        <f>INTERCEPT_SCALED+BD24</f>
        <v/>
      </c>
      <c r="BF24" s="27">
        <f>1/(1+EXP(-BE24))</f>
        <v/>
      </c>
      <c r="BG24" s="13">
        <f>1-(1-BF24)^12</f>
        <v/>
      </c>
      <c r="BH24" s="13">
        <f>IFERROR(AL24/BD24*(BG24-BASELINE_CPR),0)</f>
        <v/>
      </c>
      <c r="BI24" s="13">
        <f>IFERROR(AM24/BD24*(BG24-BASELINE_CPR),0)</f>
        <v/>
      </c>
      <c r="BJ24" s="13">
        <f>IFERROR(AN24/BD24*(BG24-BASELINE_CPR),0)</f>
        <v/>
      </c>
      <c r="BK24" s="13">
        <f>IFERROR(AO24/BD24*(BG24-BASELINE_CPR),0)</f>
        <v/>
      </c>
      <c r="BL24" s="13">
        <f>IFERROR(AP24/BD24*(BG24-BASELINE_CPR),0)</f>
        <v/>
      </c>
      <c r="BM24" s="13">
        <f>IFERROR(AQ24/BD24*(BG24-BASELINE_CPR),0)</f>
        <v/>
      </c>
      <c r="BN24" s="13">
        <f>IFERROR(AR24/BD24*(BG24-BASELINE_CPR),0)</f>
        <v/>
      </c>
      <c r="BO24" s="13">
        <f>IFERROR(AS24/BD24*(BG24-BASELINE_CPR),0)</f>
        <v/>
      </c>
      <c r="BP24" s="13">
        <f>IFERROR(AT24/BD24*(BG24-BASELINE_CPR),0)</f>
        <v/>
      </c>
      <c r="BQ24" s="13">
        <f>IFERROR(AU24/BD24*(BG24-BASELINE_CPR),0)</f>
        <v/>
      </c>
      <c r="BR24" s="13">
        <f>IFERROR(AV24/BD24*(BG24-BASELINE_CPR),0)</f>
        <v/>
      </c>
      <c r="BS24" s="13">
        <f>IFERROR(AW24/BD24*(BG24-BASELINE_CPR),0)</f>
        <v/>
      </c>
      <c r="BT24" s="13">
        <f>IFERROR(AX24/BD24*(BG24-BASELINE_CPR),0)</f>
        <v/>
      </c>
      <c r="BU24" s="13">
        <f>IFERROR(AY24/BD24*(BG24-BASELINE_CPR),0)</f>
        <v/>
      </c>
      <c r="BV24" s="13">
        <f>IFERROR(AZ24/BD24*(BG24-BASELINE_CPR),0)</f>
        <v/>
      </c>
      <c r="BW24" s="13">
        <f>IFERROR(BA24/BD24*(BG24-BASELINE_CPR),0)</f>
        <v/>
      </c>
      <c r="BX24" s="13">
        <f>IFERROR(BB24/BD24*(BG24-BASELINE_CPR),0)</f>
        <v/>
      </c>
      <c r="BY24" s="13">
        <f>IFERROR(BC24/BD24*(BG24-BASELINE_CPR),0)</f>
        <v/>
      </c>
      <c r="BZ24" s="28">
        <f>BASELINE_CPR+SUM(BH24:BY24)-BG24</f>
        <v/>
      </c>
    </row>
    <row r="25">
      <c r="A25" s="2" t="inlineStr">
        <is>
          <t>3617AVU89_000000003222025</t>
        </is>
      </c>
      <c r="B25" t="inlineStr">
        <is>
          <t>LUMENT_PRE21</t>
        </is>
      </c>
      <c r="C25" s="2" t="inlineStr">
        <is>
          <t>3617AVU89</t>
        </is>
      </c>
      <c r="D25" t="inlineStr">
        <is>
          <t>LUMENT REAL ESTATE CAPITAL,LLC</t>
        </is>
      </c>
      <c r="E25" t="inlineStr">
        <is>
          <t>232</t>
        </is>
      </c>
      <c r="F25" t="inlineStr">
        <is>
          <t>RP</t>
        </is>
      </c>
      <c r="G25" t="n">
        <v>2017</v>
      </c>
      <c r="H25" t="inlineStr">
        <is>
          <t>202602</t>
        </is>
      </c>
      <c r="I25" s="22" t="n">
        <v>18702496.16</v>
      </c>
      <c r="J25" s="23" t="n">
        <v>3.48</v>
      </c>
      <c r="K25" s="24" t="n">
        <v>447</v>
      </c>
      <c r="L25" s="24" t="n">
        <v>3</v>
      </c>
      <c r="M25" t="n">
        <v>101</v>
      </c>
      <c r="N25" t="n">
        <v>25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s="24">
        <f>J25*100-(K25+(1+L25)*12.5)</f>
        <v/>
      </c>
      <c r="U25">
        <f>O25</f>
        <v/>
      </c>
      <c r="V25">
        <f>M25</f>
        <v/>
      </c>
      <c r="W25" s="23">
        <f>LN(1+I25)</f>
        <v/>
      </c>
      <c r="X25">
        <f>IF(G25&gt;=2021,1,0)</f>
        <v/>
      </c>
      <c r="Y25">
        <f>N25</f>
        <v/>
      </c>
      <c r="Z25" s="23">
        <f>IF(ISNUMBER(M25),N25/MAX(M25,1),0)</f>
        <v/>
      </c>
      <c r="AA25">
        <f>P25</f>
        <v/>
      </c>
      <c r="AB25">
        <f>Q25</f>
        <v/>
      </c>
      <c r="AC25">
        <f>R25</f>
        <v/>
      </c>
      <c r="AD25">
        <f>S25</f>
        <v/>
      </c>
      <c r="AE25">
        <f>IF(ISNUMBER(SEARCH("CAPITAL FUNDING",D25)),1,0)</f>
        <v/>
      </c>
      <c r="AF25">
        <f>IF(ISNUMBER(SEARCH("MERCHANTS",D25)),1,0)</f>
        <v/>
      </c>
      <c r="AG25">
        <f>IF(ISNUMBER(SEARCH("WELLS FARGO",D25)),1,0)</f>
        <v/>
      </c>
      <c r="AH25">
        <f>IF(ISNUMBER(SEARCH("WALKER",D25)),1,0)</f>
        <v/>
      </c>
      <c r="AI25">
        <f>IF(ISNUMBER(SEARCH("PNC",D25)),1,0)</f>
        <v/>
      </c>
      <c r="AJ25">
        <f>IF(ISNUMBER(SEARCH("BERKADIA",D25)),1,0)</f>
        <v/>
      </c>
      <c r="AK25">
        <f>IF(ISNUMBER(SEARCH("DWIGHT",D25)),1,0)</f>
        <v/>
      </c>
      <c r="AL25" s="25">
        <f>T$4*(T25-T$3)</f>
        <v/>
      </c>
      <c r="AM25" s="25">
        <f>U$4*(U25-U$3)</f>
        <v/>
      </c>
      <c r="AN25" s="25">
        <f>V$4*(V25-V$3)</f>
        <v/>
      </c>
      <c r="AO25" s="25">
        <f>W$4*(W25-W$3)</f>
        <v/>
      </c>
      <c r="AP25" s="25">
        <f>X$4*(X25-X$3)</f>
        <v/>
      </c>
      <c r="AQ25" s="25">
        <f>Y$4*(Y25-Y$3)</f>
        <v/>
      </c>
      <c r="AR25" s="25">
        <f>Z$4*(Z25-Z$3)</f>
        <v/>
      </c>
      <c r="AS25" s="25">
        <f>AA$4*(AA25-AA$3)</f>
        <v/>
      </c>
      <c r="AT25" s="25">
        <f>AB$4*(AB25-AB$3)</f>
        <v/>
      </c>
      <c r="AU25" s="25">
        <f>AC$4*(AC25-AC$3)</f>
        <v/>
      </c>
      <c r="AV25" s="25">
        <f>AD$4*(AD25-AD$3)</f>
        <v/>
      </c>
      <c r="AW25" s="25">
        <f>AE$4*(AE25-AE$3)</f>
        <v/>
      </c>
      <c r="AX25" s="25">
        <f>AF$4*(AF25-AF$3)</f>
        <v/>
      </c>
      <c r="AY25" s="25">
        <f>AG$4*(AG25-AG$3)</f>
        <v/>
      </c>
      <c r="AZ25" s="25">
        <f>AH$4*(AH25-AH$3)</f>
        <v/>
      </c>
      <c r="BA25" s="25">
        <f>AI$4*(AI25-AI$3)</f>
        <v/>
      </c>
      <c r="BB25" s="25">
        <f>AJ$4*(AJ25-AJ$3)</f>
        <v/>
      </c>
      <c r="BC25" s="25">
        <f>AK$4*(AK25-AK$3)</f>
        <v/>
      </c>
      <c r="BD25" s="26">
        <f>SUM(AL25:BC25)</f>
        <v/>
      </c>
      <c r="BE25" s="26">
        <f>INTERCEPT_SCALED+BD25</f>
        <v/>
      </c>
      <c r="BF25" s="27">
        <f>1/(1+EXP(-BE25))</f>
        <v/>
      </c>
      <c r="BG25" s="13">
        <f>1-(1-BF25)^12</f>
        <v/>
      </c>
      <c r="BH25" s="13">
        <f>IFERROR(AL25/BD25*(BG25-BASELINE_CPR),0)</f>
        <v/>
      </c>
      <c r="BI25" s="13">
        <f>IFERROR(AM25/BD25*(BG25-BASELINE_CPR),0)</f>
        <v/>
      </c>
      <c r="BJ25" s="13">
        <f>IFERROR(AN25/BD25*(BG25-BASELINE_CPR),0)</f>
        <v/>
      </c>
      <c r="BK25" s="13">
        <f>IFERROR(AO25/BD25*(BG25-BASELINE_CPR),0)</f>
        <v/>
      </c>
      <c r="BL25" s="13">
        <f>IFERROR(AP25/BD25*(BG25-BASELINE_CPR),0)</f>
        <v/>
      </c>
      <c r="BM25" s="13">
        <f>IFERROR(AQ25/BD25*(BG25-BASELINE_CPR),0)</f>
        <v/>
      </c>
      <c r="BN25" s="13">
        <f>IFERROR(AR25/BD25*(BG25-BASELINE_CPR),0)</f>
        <v/>
      </c>
      <c r="BO25" s="13">
        <f>IFERROR(AS25/BD25*(BG25-BASELINE_CPR),0)</f>
        <v/>
      </c>
      <c r="BP25" s="13">
        <f>IFERROR(AT25/BD25*(BG25-BASELINE_CPR),0)</f>
        <v/>
      </c>
      <c r="BQ25" s="13">
        <f>IFERROR(AU25/BD25*(BG25-BASELINE_CPR),0)</f>
        <v/>
      </c>
      <c r="BR25" s="13">
        <f>IFERROR(AV25/BD25*(BG25-BASELINE_CPR),0)</f>
        <v/>
      </c>
      <c r="BS25" s="13">
        <f>IFERROR(AW25/BD25*(BG25-BASELINE_CPR),0)</f>
        <v/>
      </c>
      <c r="BT25" s="13">
        <f>IFERROR(AX25/BD25*(BG25-BASELINE_CPR),0)</f>
        <v/>
      </c>
      <c r="BU25" s="13">
        <f>IFERROR(AY25/BD25*(BG25-BASELINE_CPR),0)</f>
        <v/>
      </c>
      <c r="BV25" s="13">
        <f>IFERROR(AZ25/BD25*(BG25-BASELINE_CPR),0)</f>
        <v/>
      </c>
      <c r="BW25" s="13">
        <f>IFERROR(BA25/BD25*(BG25-BASELINE_CPR),0)</f>
        <v/>
      </c>
      <c r="BX25" s="13">
        <f>IFERROR(BB25/BD25*(BG25-BASELINE_CPR),0)</f>
        <v/>
      </c>
      <c r="BY25" s="13">
        <f>IFERROR(BC25/BD25*(BG25-BASELINE_CPR),0)</f>
        <v/>
      </c>
      <c r="BZ25" s="28">
        <f>BASELINE_CPR+SUM(BH25:BY25)-BG25</f>
        <v/>
      </c>
    </row>
    <row r="26">
      <c r="A26" s="2" t="inlineStr">
        <is>
          <t>3617UAXY3_000000010522063</t>
        </is>
      </c>
      <c r="B26" t="inlineStr">
        <is>
          <t>LUMENT_PRE21</t>
        </is>
      </c>
      <c r="C26" s="2" t="inlineStr">
        <is>
          <t>3617UAXY3</t>
        </is>
      </c>
      <c r="D26" t="inlineStr">
        <is>
          <t>LUMENT REAL ESTATE CAPITAL,LLC</t>
        </is>
      </c>
      <c r="E26" t="inlineStr">
        <is>
          <t>232</t>
        </is>
      </c>
      <c r="F26" t="inlineStr">
        <is>
          <t>RP</t>
        </is>
      </c>
      <c r="G26" t="n">
        <v>2015</v>
      </c>
      <c r="H26" t="inlineStr">
        <is>
          <t>202602</t>
        </is>
      </c>
      <c r="I26" s="22" t="n">
        <v>8582540.029999999</v>
      </c>
      <c r="J26" s="23" t="n">
        <v>2.8</v>
      </c>
      <c r="K26" s="24" t="n">
        <v>447</v>
      </c>
      <c r="L26" s="24" t="n">
        <v>10</v>
      </c>
      <c r="M26" t="n">
        <v>124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s="24">
        <f>J26*100-(K26+(1+L26)*12.5)</f>
        <v/>
      </c>
      <c r="U26">
        <f>O26</f>
        <v/>
      </c>
      <c r="V26">
        <f>M26</f>
        <v/>
      </c>
      <c r="W26" s="23">
        <f>LN(1+I26)</f>
        <v/>
      </c>
      <c r="X26">
        <f>IF(G26&gt;=2021,1,0)</f>
        <v/>
      </c>
      <c r="Y26">
        <f>N26</f>
        <v/>
      </c>
      <c r="Z26" s="23">
        <f>IF(ISNUMBER(M26),N26/MAX(M26,1),0)</f>
        <v/>
      </c>
      <c r="AA26">
        <f>P26</f>
        <v/>
      </c>
      <c r="AB26">
        <f>Q26</f>
        <v/>
      </c>
      <c r="AC26">
        <f>R26</f>
        <v/>
      </c>
      <c r="AD26">
        <f>S26</f>
        <v/>
      </c>
      <c r="AE26">
        <f>IF(ISNUMBER(SEARCH("CAPITAL FUNDING",D26)),1,0)</f>
        <v/>
      </c>
      <c r="AF26">
        <f>IF(ISNUMBER(SEARCH("MERCHANTS",D26)),1,0)</f>
        <v/>
      </c>
      <c r="AG26">
        <f>IF(ISNUMBER(SEARCH("WELLS FARGO",D26)),1,0)</f>
        <v/>
      </c>
      <c r="AH26">
        <f>IF(ISNUMBER(SEARCH("WALKER",D26)),1,0)</f>
        <v/>
      </c>
      <c r="AI26">
        <f>IF(ISNUMBER(SEARCH("PNC",D26)),1,0)</f>
        <v/>
      </c>
      <c r="AJ26">
        <f>IF(ISNUMBER(SEARCH("BERKADIA",D26)),1,0)</f>
        <v/>
      </c>
      <c r="AK26">
        <f>IF(ISNUMBER(SEARCH("DWIGHT",D26)),1,0)</f>
        <v/>
      </c>
      <c r="AL26" s="25">
        <f>T$4*(T26-T$3)</f>
        <v/>
      </c>
      <c r="AM26" s="25">
        <f>U$4*(U26-U$3)</f>
        <v/>
      </c>
      <c r="AN26" s="25">
        <f>V$4*(V26-V$3)</f>
        <v/>
      </c>
      <c r="AO26" s="25">
        <f>W$4*(W26-W$3)</f>
        <v/>
      </c>
      <c r="AP26" s="25">
        <f>X$4*(X26-X$3)</f>
        <v/>
      </c>
      <c r="AQ26" s="25">
        <f>Y$4*(Y26-Y$3)</f>
        <v/>
      </c>
      <c r="AR26" s="25">
        <f>Z$4*(Z26-Z$3)</f>
        <v/>
      </c>
      <c r="AS26" s="25">
        <f>AA$4*(AA26-AA$3)</f>
        <v/>
      </c>
      <c r="AT26" s="25">
        <f>AB$4*(AB26-AB$3)</f>
        <v/>
      </c>
      <c r="AU26" s="25">
        <f>AC$4*(AC26-AC$3)</f>
        <v/>
      </c>
      <c r="AV26" s="25">
        <f>AD$4*(AD26-AD$3)</f>
        <v/>
      </c>
      <c r="AW26" s="25">
        <f>AE$4*(AE26-AE$3)</f>
        <v/>
      </c>
      <c r="AX26" s="25">
        <f>AF$4*(AF26-AF$3)</f>
        <v/>
      </c>
      <c r="AY26" s="25">
        <f>AG$4*(AG26-AG$3)</f>
        <v/>
      </c>
      <c r="AZ26" s="25">
        <f>AH$4*(AH26-AH$3)</f>
        <v/>
      </c>
      <c r="BA26" s="25">
        <f>AI$4*(AI26-AI$3)</f>
        <v/>
      </c>
      <c r="BB26" s="25">
        <f>AJ$4*(AJ26-AJ$3)</f>
        <v/>
      </c>
      <c r="BC26" s="25">
        <f>AK$4*(AK26-AK$3)</f>
        <v/>
      </c>
      <c r="BD26" s="26">
        <f>SUM(AL26:BC26)</f>
        <v/>
      </c>
      <c r="BE26" s="26">
        <f>INTERCEPT_SCALED+BD26</f>
        <v/>
      </c>
      <c r="BF26" s="27">
        <f>1/(1+EXP(-BE26))</f>
        <v/>
      </c>
      <c r="BG26" s="13">
        <f>1-(1-BF26)^12</f>
        <v/>
      </c>
      <c r="BH26" s="13">
        <f>IFERROR(AL26/BD26*(BG26-BASELINE_CPR),0)</f>
        <v/>
      </c>
      <c r="BI26" s="13">
        <f>IFERROR(AM26/BD26*(BG26-BASELINE_CPR),0)</f>
        <v/>
      </c>
      <c r="BJ26" s="13">
        <f>IFERROR(AN26/BD26*(BG26-BASELINE_CPR),0)</f>
        <v/>
      </c>
      <c r="BK26" s="13">
        <f>IFERROR(AO26/BD26*(BG26-BASELINE_CPR),0)</f>
        <v/>
      </c>
      <c r="BL26" s="13">
        <f>IFERROR(AP26/BD26*(BG26-BASELINE_CPR),0)</f>
        <v/>
      </c>
      <c r="BM26" s="13">
        <f>IFERROR(AQ26/BD26*(BG26-BASELINE_CPR),0)</f>
        <v/>
      </c>
      <c r="BN26" s="13">
        <f>IFERROR(AR26/BD26*(BG26-BASELINE_CPR),0)</f>
        <v/>
      </c>
      <c r="BO26" s="13">
        <f>IFERROR(AS26/BD26*(BG26-BASELINE_CPR),0)</f>
        <v/>
      </c>
      <c r="BP26" s="13">
        <f>IFERROR(AT26/BD26*(BG26-BASELINE_CPR),0)</f>
        <v/>
      </c>
      <c r="BQ26" s="13">
        <f>IFERROR(AU26/BD26*(BG26-BASELINE_CPR),0)</f>
        <v/>
      </c>
      <c r="BR26" s="13">
        <f>IFERROR(AV26/BD26*(BG26-BASELINE_CPR),0)</f>
        <v/>
      </c>
      <c r="BS26" s="13">
        <f>IFERROR(AW26/BD26*(BG26-BASELINE_CPR),0)</f>
        <v/>
      </c>
      <c r="BT26" s="13">
        <f>IFERROR(AX26/BD26*(BG26-BASELINE_CPR),0)</f>
        <v/>
      </c>
      <c r="BU26" s="13">
        <f>IFERROR(AY26/BD26*(BG26-BASELINE_CPR),0)</f>
        <v/>
      </c>
      <c r="BV26" s="13">
        <f>IFERROR(AZ26/BD26*(BG26-BASELINE_CPR),0)</f>
        <v/>
      </c>
      <c r="BW26" s="13">
        <f>IFERROR(BA26/BD26*(BG26-BASELINE_CPR),0)</f>
        <v/>
      </c>
      <c r="BX26" s="13">
        <f>IFERROR(BB26/BD26*(BG26-BASELINE_CPR),0)</f>
        <v/>
      </c>
      <c r="BY26" s="13">
        <f>IFERROR(BC26/BD26*(BG26-BASELINE_CPR),0)</f>
        <v/>
      </c>
      <c r="BZ26" s="28">
        <f>BASELINE_CPR+SUM(BH26:BY26)-BG26</f>
        <v/>
      </c>
    </row>
    <row r="27">
      <c r="A27" s="2" t="inlineStr">
        <is>
          <t>36183RVJ9_000000012311228</t>
        </is>
      </c>
      <c r="B27" t="inlineStr">
        <is>
          <t>LUMENT_PRE21</t>
        </is>
      </c>
      <c r="C27" s="2" t="inlineStr">
        <is>
          <t>36183RVJ9</t>
        </is>
      </c>
      <c r="D27" t="inlineStr">
        <is>
          <t>LUMENT REAL ESTATE CAPITAL,LLC</t>
        </is>
      </c>
      <c r="E27" t="inlineStr">
        <is>
          <t>223f</t>
        </is>
      </c>
      <c r="F27" t="inlineStr">
        <is>
          <t>RP</t>
        </is>
      </c>
      <c r="G27" t="n">
        <v>2014</v>
      </c>
      <c r="H27" t="inlineStr">
        <is>
          <t>202602</t>
        </is>
      </c>
      <c r="I27" s="22" t="n">
        <v>3346424.31</v>
      </c>
      <c r="J27" s="23" t="n">
        <v>3.69</v>
      </c>
      <c r="K27" s="24" t="n">
        <v>447</v>
      </c>
      <c r="L27" s="24" t="n">
        <v>0</v>
      </c>
      <c r="M27" t="n">
        <v>136</v>
      </c>
      <c r="N27" t="n">
        <v>32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s="24">
        <f>J27*100-(K27+(1+L27)*12.5)</f>
        <v/>
      </c>
      <c r="U27">
        <f>O27</f>
        <v/>
      </c>
      <c r="V27">
        <f>M27</f>
        <v/>
      </c>
      <c r="W27" s="23">
        <f>LN(1+I27)</f>
        <v/>
      </c>
      <c r="X27">
        <f>IF(G27&gt;=2021,1,0)</f>
        <v/>
      </c>
      <c r="Y27">
        <f>N27</f>
        <v/>
      </c>
      <c r="Z27" s="23">
        <f>IF(ISNUMBER(M27),N27/MAX(M27,1),0)</f>
        <v/>
      </c>
      <c r="AA27">
        <f>P27</f>
        <v/>
      </c>
      <c r="AB27">
        <f>Q27</f>
        <v/>
      </c>
      <c r="AC27">
        <f>R27</f>
        <v/>
      </c>
      <c r="AD27">
        <f>S27</f>
        <v/>
      </c>
      <c r="AE27">
        <f>IF(ISNUMBER(SEARCH("CAPITAL FUNDING",D27)),1,0)</f>
        <v/>
      </c>
      <c r="AF27">
        <f>IF(ISNUMBER(SEARCH("MERCHANTS",D27)),1,0)</f>
        <v/>
      </c>
      <c r="AG27">
        <f>IF(ISNUMBER(SEARCH("WELLS FARGO",D27)),1,0)</f>
        <v/>
      </c>
      <c r="AH27">
        <f>IF(ISNUMBER(SEARCH("WALKER",D27)),1,0)</f>
        <v/>
      </c>
      <c r="AI27">
        <f>IF(ISNUMBER(SEARCH("PNC",D27)),1,0)</f>
        <v/>
      </c>
      <c r="AJ27">
        <f>IF(ISNUMBER(SEARCH("BERKADIA",D27)),1,0)</f>
        <v/>
      </c>
      <c r="AK27">
        <f>IF(ISNUMBER(SEARCH("DWIGHT",D27)),1,0)</f>
        <v/>
      </c>
      <c r="AL27" s="25">
        <f>T$4*(T27-T$3)</f>
        <v/>
      </c>
      <c r="AM27" s="25">
        <f>U$4*(U27-U$3)</f>
        <v/>
      </c>
      <c r="AN27" s="25">
        <f>V$4*(V27-V$3)</f>
        <v/>
      </c>
      <c r="AO27" s="25">
        <f>W$4*(W27-W$3)</f>
        <v/>
      </c>
      <c r="AP27" s="25">
        <f>X$4*(X27-X$3)</f>
        <v/>
      </c>
      <c r="AQ27" s="25">
        <f>Y$4*(Y27-Y$3)</f>
        <v/>
      </c>
      <c r="AR27" s="25">
        <f>Z$4*(Z27-Z$3)</f>
        <v/>
      </c>
      <c r="AS27" s="25">
        <f>AA$4*(AA27-AA$3)</f>
        <v/>
      </c>
      <c r="AT27" s="25">
        <f>AB$4*(AB27-AB$3)</f>
        <v/>
      </c>
      <c r="AU27" s="25">
        <f>AC$4*(AC27-AC$3)</f>
        <v/>
      </c>
      <c r="AV27" s="25">
        <f>AD$4*(AD27-AD$3)</f>
        <v/>
      </c>
      <c r="AW27" s="25">
        <f>AE$4*(AE27-AE$3)</f>
        <v/>
      </c>
      <c r="AX27" s="25">
        <f>AF$4*(AF27-AF$3)</f>
        <v/>
      </c>
      <c r="AY27" s="25">
        <f>AG$4*(AG27-AG$3)</f>
        <v/>
      </c>
      <c r="AZ27" s="25">
        <f>AH$4*(AH27-AH$3)</f>
        <v/>
      </c>
      <c r="BA27" s="25">
        <f>AI$4*(AI27-AI$3)</f>
        <v/>
      </c>
      <c r="BB27" s="25">
        <f>AJ$4*(AJ27-AJ$3)</f>
        <v/>
      </c>
      <c r="BC27" s="25">
        <f>AK$4*(AK27-AK$3)</f>
        <v/>
      </c>
      <c r="BD27" s="26">
        <f>SUM(AL27:BC27)</f>
        <v/>
      </c>
      <c r="BE27" s="26">
        <f>INTERCEPT_SCALED+BD27</f>
        <v/>
      </c>
      <c r="BF27" s="27">
        <f>1/(1+EXP(-BE27))</f>
        <v/>
      </c>
      <c r="BG27" s="13">
        <f>1-(1-BF27)^12</f>
        <v/>
      </c>
      <c r="BH27" s="13">
        <f>IFERROR(AL27/BD27*(BG27-BASELINE_CPR),0)</f>
        <v/>
      </c>
      <c r="BI27" s="13">
        <f>IFERROR(AM27/BD27*(BG27-BASELINE_CPR),0)</f>
        <v/>
      </c>
      <c r="BJ27" s="13">
        <f>IFERROR(AN27/BD27*(BG27-BASELINE_CPR),0)</f>
        <v/>
      </c>
      <c r="BK27" s="13">
        <f>IFERROR(AO27/BD27*(BG27-BASELINE_CPR),0)</f>
        <v/>
      </c>
      <c r="BL27" s="13">
        <f>IFERROR(AP27/BD27*(BG27-BASELINE_CPR),0)</f>
        <v/>
      </c>
      <c r="BM27" s="13">
        <f>IFERROR(AQ27/BD27*(BG27-BASELINE_CPR),0)</f>
        <v/>
      </c>
      <c r="BN27" s="13">
        <f>IFERROR(AR27/BD27*(BG27-BASELINE_CPR),0)</f>
        <v/>
      </c>
      <c r="BO27" s="13">
        <f>IFERROR(AS27/BD27*(BG27-BASELINE_CPR),0)</f>
        <v/>
      </c>
      <c r="BP27" s="13">
        <f>IFERROR(AT27/BD27*(BG27-BASELINE_CPR),0)</f>
        <v/>
      </c>
      <c r="BQ27" s="13">
        <f>IFERROR(AU27/BD27*(BG27-BASELINE_CPR),0)</f>
        <v/>
      </c>
      <c r="BR27" s="13">
        <f>IFERROR(AV27/BD27*(BG27-BASELINE_CPR),0)</f>
        <v/>
      </c>
      <c r="BS27" s="13">
        <f>IFERROR(AW27/BD27*(BG27-BASELINE_CPR),0)</f>
        <v/>
      </c>
      <c r="BT27" s="13">
        <f>IFERROR(AX27/BD27*(BG27-BASELINE_CPR),0)</f>
        <v/>
      </c>
      <c r="BU27" s="13">
        <f>IFERROR(AY27/BD27*(BG27-BASELINE_CPR),0)</f>
        <v/>
      </c>
      <c r="BV27" s="13">
        <f>IFERROR(AZ27/BD27*(BG27-BASELINE_CPR),0)</f>
        <v/>
      </c>
      <c r="BW27" s="13">
        <f>IFERROR(BA27/BD27*(BG27-BASELINE_CPR),0)</f>
        <v/>
      </c>
      <c r="BX27" s="13">
        <f>IFERROR(BB27/BD27*(BG27-BASELINE_CPR),0)</f>
        <v/>
      </c>
      <c r="BY27" s="13">
        <f>IFERROR(BC27/BD27*(BG27-BASELINE_CPR),0)</f>
        <v/>
      </c>
      <c r="BZ27" s="28">
        <f>BASELINE_CPR+SUM(BH27:BY27)-BG27</f>
        <v/>
      </c>
    </row>
    <row r="28">
      <c r="A28" s="2" t="inlineStr">
        <is>
          <t>3617Y97A3_000000004335611</t>
        </is>
      </c>
      <c r="B28" t="inlineStr">
        <is>
          <t>LUMENT_POST21</t>
        </is>
      </c>
      <c r="C28" s="2" t="inlineStr">
        <is>
          <t>3617Y97A3</t>
        </is>
      </c>
      <c r="D28" t="inlineStr">
        <is>
          <t>LUMENT REAL ESTATE CAPITAL,LLC</t>
        </is>
      </c>
      <c r="E28" t="inlineStr">
        <is>
          <t>221d4</t>
        </is>
      </c>
      <c r="F28" t="inlineStr">
        <is>
          <t>NC</t>
        </is>
      </c>
      <c r="G28" t="n">
        <v>2022</v>
      </c>
      <c r="H28" t="inlineStr">
        <is>
          <t>202602</t>
        </is>
      </c>
      <c r="I28" s="22" t="n">
        <v>12731864.12</v>
      </c>
      <c r="J28" s="23" t="n">
        <v>2.47</v>
      </c>
      <c r="K28" s="24" t="n">
        <v>447</v>
      </c>
      <c r="L28" s="24" t="n">
        <v>8</v>
      </c>
      <c r="M28" t="n">
        <v>47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s="24">
        <f>J28*100-(K28+(1+L28)*12.5)</f>
        <v/>
      </c>
      <c r="U28">
        <f>O28</f>
        <v/>
      </c>
      <c r="V28">
        <f>M28</f>
        <v/>
      </c>
      <c r="W28" s="23">
        <f>LN(1+I28)</f>
        <v/>
      </c>
      <c r="X28">
        <f>IF(G28&gt;=2021,1,0)</f>
        <v/>
      </c>
      <c r="Y28">
        <f>N28</f>
        <v/>
      </c>
      <c r="Z28" s="23">
        <f>IF(ISNUMBER(M28),N28/MAX(M28,1),0)</f>
        <v/>
      </c>
      <c r="AA28">
        <f>P28</f>
        <v/>
      </c>
      <c r="AB28">
        <f>Q28</f>
        <v/>
      </c>
      <c r="AC28">
        <f>R28</f>
        <v/>
      </c>
      <c r="AD28">
        <f>S28</f>
        <v/>
      </c>
      <c r="AE28">
        <f>IF(ISNUMBER(SEARCH("CAPITAL FUNDING",D28)),1,0)</f>
        <v/>
      </c>
      <c r="AF28">
        <f>IF(ISNUMBER(SEARCH("MERCHANTS",D28)),1,0)</f>
        <v/>
      </c>
      <c r="AG28">
        <f>IF(ISNUMBER(SEARCH("WELLS FARGO",D28)),1,0)</f>
        <v/>
      </c>
      <c r="AH28">
        <f>IF(ISNUMBER(SEARCH("WALKER",D28)),1,0)</f>
        <v/>
      </c>
      <c r="AI28">
        <f>IF(ISNUMBER(SEARCH("PNC",D28)),1,0)</f>
        <v/>
      </c>
      <c r="AJ28">
        <f>IF(ISNUMBER(SEARCH("BERKADIA",D28)),1,0)</f>
        <v/>
      </c>
      <c r="AK28">
        <f>IF(ISNUMBER(SEARCH("DWIGHT",D28)),1,0)</f>
        <v/>
      </c>
      <c r="AL28" s="25">
        <f>T$4*(T28-T$3)</f>
        <v/>
      </c>
      <c r="AM28" s="25">
        <f>U$4*(U28-U$3)</f>
        <v/>
      </c>
      <c r="AN28" s="25">
        <f>V$4*(V28-V$3)</f>
        <v/>
      </c>
      <c r="AO28" s="25">
        <f>W$4*(W28-W$3)</f>
        <v/>
      </c>
      <c r="AP28" s="25">
        <f>X$4*(X28-X$3)</f>
        <v/>
      </c>
      <c r="AQ28" s="25">
        <f>Y$4*(Y28-Y$3)</f>
        <v/>
      </c>
      <c r="AR28" s="25">
        <f>Z$4*(Z28-Z$3)</f>
        <v/>
      </c>
      <c r="AS28" s="25">
        <f>AA$4*(AA28-AA$3)</f>
        <v/>
      </c>
      <c r="AT28" s="25">
        <f>AB$4*(AB28-AB$3)</f>
        <v/>
      </c>
      <c r="AU28" s="25">
        <f>AC$4*(AC28-AC$3)</f>
        <v/>
      </c>
      <c r="AV28" s="25">
        <f>AD$4*(AD28-AD$3)</f>
        <v/>
      </c>
      <c r="AW28" s="25">
        <f>AE$4*(AE28-AE$3)</f>
        <v/>
      </c>
      <c r="AX28" s="25">
        <f>AF$4*(AF28-AF$3)</f>
        <v/>
      </c>
      <c r="AY28" s="25">
        <f>AG$4*(AG28-AG$3)</f>
        <v/>
      </c>
      <c r="AZ28" s="25">
        <f>AH$4*(AH28-AH$3)</f>
        <v/>
      </c>
      <c r="BA28" s="25">
        <f>AI$4*(AI28-AI$3)</f>
        <v/>
      </c>
      <c r="BB28" s="25">
        <f>AJ$4*(AJ28-AJ$3)</f>
        <v/>
      </c>
      <c r="BC28" s="25">
        <f>AK$4*(AK28-AK$3)</f>
        <v/>
      </c>
      <c r="BD28" s="26">
        <f>SUM(AL28:BC28)</f>
        <v/>
      </c>
      <c r="BE28" s="26">
        <f>INTERCEPT_SCALED+BD28</f>
        <v/>
      </c>
      <c r="BF28" s="27">
        <f>1/(1+EXP(-BE28))</f>
        <v/>
      </c>
      <c r="BG28" s="13">
        <f>1-(1-BF28)^12</f>
        <v/>
      </c>
      <c r="BH28" s="13">
        <f>IFERROR(AL28/BD28*(BG28-BASELINE_CPR),0)</f>
        <v/>
      </c>
      <c r="BI28" s="13">
        <f>IFERROR(AM28/BD28*(BG28-BASELINE_CPR),0)</f>
        <v/>
      </c>
      <c r="BJ28" s="13">
        <f>IFERROR(AN28/BD28*(BG28-BASELINE_CPR),0)</f>
        <v/>
      </c>
      <c r="BK28" s="13">
        <f>IFERROR(AO28/BD28*(BG28-BASELINE_CPR),0)</f>
        <v/>
      </c>
      <c r="BL28" s="13">
        <f>IFERROR(AP28/BD28*(BG28-BASELINE_CPR),0)</f>
        <v/>
      </c>
      <c r="BM28" s="13">
        <f>IFERROR(AQ28/BD28*(BG28-BASELINE_CPR),0)</f>
        <v/>
      </c>
      <c r="BN28" s="13">
        <f>IFERROR(AR28/BD28*(BG28-BASELINE_CPR),0)</f>
        <v/>
      </c>
      <c r="BO28" s="13">
        <f>IFERROR(AS28/BD28*(BG28-BASELINE_CPR),0)</f>
        <v/>
      </c>
      <c r="BP28" s="13">
        <f>IFERROR(AT28/BD28*(BG28-BASELINE_CPR),0)</f>
        <v/>
      </c>
      <c r="BQ28" s="13">
        <f>IFERROR(AU28/BD28*(BG28-BASELINE_CPR),0)</f>
        <v/>
      </c>
      <c r="BR28" s="13">
        <f>IFERROR(AV28/BD28*(BG28-BASELINE_CPR),0)</f>
        <v/>
      </c>
      <c r="BS28" s="13">
        <f>IFERROR(AW28/BD28*(BG28-BASELINE_CPR),0)</f>
        <v/>
      </c>
      <c r="BT28" s="13">
        <f>IFERROR(AX28/BD28*(BG28-BASELINE_CPR),0)</f>
        <v/>
      </c>
      <c r="BU28" s="13">
        <f>IFERROR(AY28/BD28*(BG28-BASELINE_CPR),0)</f>
        <v/>
      </c>
      <c r="BV28" s="13">
        <f>IFERROR(AZ28/BD28*(BG28-BASELINE_CPR),0)</f>
        <v/>
      </c>
      <c r="BW28" s="13">
        <f>IFERROR(BA28/BD28*(BG28-BASELINE_CPR),0)</f>
        <v/>
      </c>
      <c r="BX28" s="13">
        <f>IFERROR(BB28/BD28*(BG28-BASELINE_CPR),0)</f>
        <v/>
      </c>
      <c r="BY28" s="13">
        <f>IFERROR(BC28/BD28*(BG28-BASELINE_CPR),0)</f>
        <v/>
      </c>
      <c r="BZ28" s="28">
        <f>BASELINE_CPR+SUM(BH28:BY28)-BG28</f>
        <v/>
      </c>
    </row>
    <row r="29">
      <c r="A29" s="2" t="inlineStr">
        <is>
          <t>3617FTCS5_000000004635780</t>
        </is>
      </c>
      <c r="B29" t="inlineStr">
        <is>
          <t>LUMENT_POST21</t>
        </is>
      </c>
      <c r="C29" s="2" t="inlineStr">
        <is>
          <t>3617FTCS5</t>
        </is>
      </c>
      <c r="D29" t="inlineStr">
        <is>
          <t>LUMENT REAL ESTATE CAPITAL,LLC</t>
        </is>
      </c>
      <c r="E29" t="inlineStr">
        <is>
          <t>221d4</t>
        </is>
      </c>
      <c r="F29" t="inlineStr">
        <is>
          <t>NC</t>
        </is>
      </c>
      <c r="G29" t="n">
        <v>2022</v>
      </c>
      <c r="H29" t="inlineStr">
        <is>
          <t>202602</t>
        </is>
      </c>
      <c r="I29" s="22" t="n">
        <v>9678159.77</v>
      </c>
      <c r="J29" s="23" t="n">
        <v>5.75</v>
      </c>
      <c r="K29" s="24" t="n">
        <v>447</v>
      </c>
      <c r="L29" s="24" t="n">
        <v>9</v>
      </c>
      <c r="M29" t="n">
        <v>38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s="24">
        <f>J29*100-(K29+(1+L29)*12.5)</f>
        <v/>
      </c>
      <c r="U29">
        <f>O29</f>
        <v/>
      </c>
      <c r="V29">
        <f>M29</f>
        <v/>
      </c>
      <c r="W29" s="23">
        <f>LN(1+I29)</f>
        <v/>
      </c>
      <c r="X29">
        <f>IF(G29&gt;=2021,1,0)</f>
        <v/>
      </c>
      <c r="Y29">
        <f>N29</f>
        <v/>
      </c>
      <c r="Z29" s="23">
        <f>IF(ISNUMBER(M29),N29/MAX(M29,1),0)</f>
        <v/>
      </c>
      <c r="AA29">
        <f>P29</f>
        <v/>
      </c>
      <c r="AB29">
        <f>Q29</f>
        <v/>
      </c>
      <c r="AC29">
        <f>R29</f>
        <v/>
      </c>
      <c r="AD29">
        <f>S29</f>
        <v/>
      </c>
      <c r="AE29">
        <f>IF(ISNUMBER(SEARCH("CAPITAL FUNDING",D29)),1,0)</f>
        <v/>
      </c>
      <c r="AF29">
        <f>IF(ISNUMBER(SEARCH("MERCHANTS",D29)),1,0)</f>
        <v/>
      </c>
      <c r="AG29">
        <f>IF(ISNUMBER(SEARCH("WELLS FARGO",D29)),1,0)</f>
        <v/>
      </c>
      <c r="AH29">
        <f>IF(ISNUMBER(SEARCH("WALKER",D29)),1,0)</f>
        <v/>
      </c>
      <c r="AI29">
        <f>IF(ISNUMBER(SEARCH("PNC",D29)),1,0)</f>
        <v/>
      </c>
      <c r="AJ29">
        <f>IF(ISNUMBER(SEARCH("BERKADIA",D29)),1,0)</f>
        <v/>
      </c>
      <c r="AK29">
        <f>IF(ISNUMBER(SEARCH("DWIGHT",D29)),1,0)</f>
        <v/>
      </c>
      <c r="AL29" s="25">
        <f>T$4*(T29-T$3)</f>
        <v/>
      </c>
      <c r="AM29" s="25">
        <f>U$4*(U29-U$3)</f>
        <v/>
      </c>
      <c r="AN29" s="25">
        <f>V$4*(V29-V$3)</f>
        <v/>
      </c>
      <c r="AO29" s="25">
        <f>W$4*(W29-W$3)</f>
        <v/>
      </c>
      <c r="AP29" s="25">
        <f>X$4*(X29-X$3)</f>
        <v/>
      </c>
      <c r="AQ29" s="25">
        <f>Y$4*(Y29-Y$3)</f>
        <v/>
      </c>
      <c r="AR29" s="25">
        <f>Z$4*(Z29-Z$3)</f>
        <v/>
      </c>
      <c r="AS29" s="25">
        <f>AA$4*(AA29-AA$3)</f>
        <v/>
      </c>
      <c r="AT29" s="25">
        <f>AB$4*(AB29-AB$3)</f>
        <v/>
      </c>
      <c r="AU29" s="25">
        <f>AC$4*(AC29-AC$3)</f>
        <v/>
      </c>
      <c r="AV29" s="25">
        <f>AD$4*(AD29-AD$3)</f>
        <v/>
      </c>
      <c r="AW29" s="25">
        <f>AE$4*(AE29-AE$3)</f>
        <v/>
      </c>
      <c r="AX29" s="25">
        <f>AF$4*(AF29-AF$3)</f>
        <v/>
      </c>
      <c r="AY29" s="25">
        <f>AG$4*(AG29-AG$3)</f>
        <v/>
      </c>
      <c r="AZ29" s="25">
        <f>AH$4*(AH29-AH$3)</f>
        <v/>
      </c>
      <c r="BA29" s="25">
        <f>AI$4*(AI29-AI$3)</f>
        <v/>
      </c>
      <c r="BB29" s="25">
        <f>AJ$4*(AJ29-AJ$3)</f>
        <v/>
      </c>
      <c r="BC29" s="25">
        <f>AK$4*(AK29-AK$3)</f>
        <v/>
      </c>
      <c r="BD29" s="26">
        <f>SUM(AL29:BC29)</f>
        <v/>
      </c>
      <c r="BE29" s="26">
        <f>INTERCEPT_SCALED+BD29</f>
        <v/>
      </c>
      <c r="BF29" s="27">
        <f>1/(1+EXP(-BE29))</f>
        <v/>
      </c>
      <c r="BG29" s="13">
        <f>1-(1-BF29)^12</f>
        <v/>
      </c>
      <c r="BH29" s="13">
        <f>IFERROR(AL29/BD29*(BG29-BASELINE_CPR),0)</f>
        <v/>
      </c>
      <c r="BI29" s="13">
        <f>IFERROR(AM29/BD29*(BG29-BASELINE_CPR),0)</f>
        <v/>
      </c>
      <c r="BJ29" s="13">
        <f>IFERROR(AN29/BD29*(BG29-BASELINE_CPR),0)</f>
        <v/>
      </c>
      <c r="BK29" s="13">
        <f>IFERROR(AO29/BD29*(BG29-BASELINE_CPR),0)</f>
        <v/>
      </c>
      <c r="BL29" s="13">
        <f>IFERROR(AP29/BD29*(BG29-BASELINE_CPR),0)</f>
        <v/>
      </c>
      <c r="BM29" s="13">
        <f>IFERROR(AQ29/BD29*(BG29-BASELINE_CPR),0)</f>
        <v/>
      </c>
      <c r="BN29" s="13">
        <f>IFERROR(AR29/BD29*(BG29-BASELINE_CPR),0)</f>
        <v/>
      </c>
      <c r="BO29" s="13">
        <f>IFERROR(AS29/BD29*(BG29-BASELINE_CPR),0)</f>
        <v/>
      </c>
      <c r="BP29" s="13">
        <f>IFERROR(AT29/BD29*(BG29-BASELINE_CPR),0)</f>
        <v/>
      </c>
      <c r="BQ29" s="13">
        <f>IFERROR(AU29/BD29*(BG29-BASELINE_CPR),0)</f>
        <v/>
      </c>
      <c r="BR29" s="13">
        <f>IFERROR(AV29/BD29*(BG29-BASELINE_CPR),0)</f>
        <v/>
      </c>
      <c r="BS29" s="13">
        <f>IFERROR(AW29/BD29*(BG29-BASELINE_CPR),0)</f>
        <v/>
      </c>
      <c r="BT29" s="13">
        <f>IFERROR(AX29/BD29*(BG29-BASELINE_CPR),0)</f>
        <v/>
      </c>
      <c r="BU29" s="13">
        <f>IFERROR(AY29/BD29*(BG29-BASELINE_CPR),0)</f>
        <v/>
      </c>
      <c r="BV29" s="13">
        <f>IFERROR(AZ29/BD29*(BG29-BASELINE_CPR),0)</f>
        <v/>
      </c>
      <c r="BW29" s="13">
        <f>IFERROR(BA29/BD29*(BG29-BASELINE_CPR),0)</f>
        <v/>
      </c>
      <c r="BX29" s="13">
        <f>IFERROR(BB29/BD29*(BG29-BASELINE_CPR),0)</f>
        <v/>
      </c>
      <c r="BY29" s="13">
        <f>IFERROR(BC29/BD29*(BG29-BASELINE_CPR),0)</f>
        <v/>
      </c>
      <c r="BZ29" s="28">
        <f>BASELINE_CPR+SUM(BH29:BY29)-BG29</f>
        <v/>
      </c>
    </row>
    <row r="30">
      <c r="A30" s="2" t="inlineStr">
        <is>
          <t>3618HNA98_000000005122220</t>
        </is>
      </c>
      <c r="B30" t="inlineStr">
        <is>
          <t>LUMENT_POST21</t>
        </is>
      </c>
      <c r="C30" s="2" t="inlineStr">
        <is>
          <t>3618HNA98</t>
        </is>
      </c>
      <c r="D30" t="inlineStr">
        <is>
          <t>LUMENT REAL ESTATE CAPITAL,LLC</t>
        </is>
      </c>
      <c r="E30" t="inlineStr">
        <is>
          <t>232</t>
        </is>
      </c>
      <c r="F30" t="inlineStr">
        <is>
          <t>RP</t>
        </is>
      </c>
      <c r="G30" t="n">
        <v>2025</v>
      </c>
      <c r="H30" t="inlineStr">
        <is>
          <t>202602</t>
        </is>
      </c>
      <c r="I30" s="22" t="n">
        <v>15537179.74</v>
      </c>
      <c r="J30" s="23" t="n">
        <v>6.07</v>
      </c>
      <c r="K30" s="24" t="n">
        <v>447</v>
      </c>
      <c r="L30" s="24" t="n">
        <v>10</v>
      </c>
      <c r="M30" t="n">
        <v>12</v>
      </c>
      <c r="N30" t="n">
        <v>2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s="24">
        <f>J30*100-(K30+(1+L30)*12.5)</f>
        <v/>
      </c>
      <c r="U30">
        <f>O30</f>
        <v/>
      </c>
      <c r="V30">
        <f>M30</f>
        <v/>
      </c>
      <c r="W30" s="23">
        <f>LN(1+I30)</f>
        <v/>
      </c>
      <c r="X30">
        <f>IF(G30&gt;=2021,1,0)</f>
        <v/>
      </c>
      <c r="Y30">
        <f>N30</f>
        <v/>
      </c>
      <c r="Z30" s="23">
        <f>IF(ISNUMBER(M30),N30/MAX(M30,1),0)</f>
        <v/>
      </c>
      <c r="AA30">
        <f>P30</f>
        <v/>
      </c>
      <c r="AB30">
        <f>Q30</f>
        <v/>
      </c>
      <c r="AC30">
        <f>R30</f>
        <v/>
      </c>
      <c r="AD30">
        <f>S30</f>
        <v/>
      </c>
      <c r="AE30">
        <f>IF(ISNUMBER(SEARCH("CAPITAL FUNDING",D30)),1,0)</f>
        <v/>
      </c>
      <c r="AF30">
        <f>IF(ISNUMBER(SEARCH("MERCHANTS",D30)),1,0)</f>
        <v/>
      </c>
      <c r="AG30">
        <f>IF(ISNUMBER(SEARCH("WELLS FARGO",D30)),1,0)</f>
        <v/>
      </c>
      <c r="AH30">
        <f>IF(ISNUMBER(SEARCH("WALKER",D30)),1,0)</f>
        <v/>
      </c>
      <c r="AI30">
        <f>IF(ISNUMBER(SEARCH("PNC",D30)),1,0)</f>
        <v/>
      </c>
      <c r="AJ30">
        <f>IF(ISNUMBER(SEARCH("BERKADIA",D30)),1,0)</f>
        <v/>
      </c>
      <c r="AK30">
        <f>IF(ISNUMBER(SEARCH("DWIGHT",D30)),1,0)</f>
        <v/>
      </c>
      <c r="AL30" s="25">
        <f>T$4*(T30-T$3)</f>
        <v/>
      </c>
      <c r="AM30" s="25">
        <f>U$4*(U30-U$3)</f>
        <v/>
      </c>
      <c r="AN30" s="25">
        <f>V$4*(V30-V$3)</f>
        <v/>
      </c>
      <c r="AO30" s="25">
        <f>W$4*(W30-W$3)</f>
        <v/>
      </c>
      <c r="AP30" s="25">
        <f>X$4*(X30-X$3)</f>
        <v/>
      </c>
      <c r="AQ30" s="25">
        <f>Y$4*(Y30-Y$3)</f>
        <v/>
      </c>
      <c r="AR30" s="25">
        <f>Z$4*(Z30-Z$3)</f>
        <v/>
      </c>
      <c r="AS30" s="25">
        <f>AA$4*(AA30-AA$3)</f>
        <v/>
      </c>
      <c r="AT30" s="25">
        <f>AB$4*(AB30-AB$3)</f>
        <v/>
      </c>
      <c r="AU30" s="25">
        <f>AC$4*(AC30-AC$3)</f>
        <v/>
      </c>
      <c r="AV30" s="25">
        <f>AD$4*(AD30-AD$3)</f>
        <v/>
      </c>
      <c r="AW30" s="25">
        <f>AE$4*(AE30-AE$3)</f>
        <v/>
      </c>
      <c r="AX30" s="25">
        <f>AF$4*(AF30-AF$3)</f>
        <v/>
      </c>
      <c r="AY30" s="25">
        <f>AG$4*(AG30-AG$3)</f>
        <v/>
      </c>
      <c r="AZ30" s="25">
        <f>AH$4*(AH30-AH$3)</f>
        <v/>
      </c>
      <c r="BA30" s="25">
        <f>AI$4*(AI30-AI$3)</f>
        <v/>
      </c>
      <c r="BB30" s="25">
        <f>AJ$4*(AJ30-AJ$3)</f>
        <v/>
      </c>
      <c r="BC30" s="25">
        <f>AK$4*(AK30-AK$3)</f>
        <v/>
      </c>
      <c r="BD30" s="26">
        <f>SUM(AL30:BC30)</f>
        <v/>
      </c>
      <c r="BE30" s="26">
        <f>INTERCEPT_SCALED+BD30</f>
        <v/>
      </c>
      <c r="BF30" s="27">
        <f>1/(1+EXP(-BE30))</f>
        <v/>
      </c>
      <c r="BG30" s="13">
        <f>1-(1-BF30)^12</f>
        <v/>
      </c>
      <c r="BH30" s="13">
        <f>IFERROR(AL30/BD30*(BG30-BASELINE_CPR),0)</f>
        <v/>
      </c>
      <c r="BI30" s="13">
        <f>IFERROR(AM30/BD30*(BG30-BASELINE_CPR),0)</f>
        <v/>
      </c>
      <c r="BJ30" s="13">
        <f>IFERROR(AN30/BD30*(BG30-BASELINE_CPR),0)</f>
        <v/>
      </c>
      <c r="BK30" s="13">
        <f>IFERROR(AO30/BD30*(BG30-BASELINE_CPR),0)</f>
        <v/>
      </c>
      <c r="BL30" s="13">
        <f>IFERROR(AP30/BD30*(BG30-BASELINE_CPR),0)</f>
        <v/>
      </c>
      <c r="BM30" s="13">
        <f>IFERROR(AQ30/BD30*(BG30-BASELINE_CPR),0)</f>
        <v/>
      </c>
      <c r="BN30" s="13">
        <f>IFERROR(AR30/BD30*(BG30-BASELINE_CPR),0)</f>
        <v/>
      </c>
      <c r="BO30" s="13">
        <f>IFERROR(AS30/BD30*(BG30-BASELINE_CPR),0)</f>
        <v/>
      </c>
      <c r="BP30" s="13">
        <f>IFERROR(AT30/BD30*(BG30-BASELINE_CPR),0)</f>
        <v/>
      </c>
      <c r="BQ30" s="13">
        <f>IFERROR(AU30/BD30*(BG30-BASELINE_CPR),0)</f>
        <v/>
      </c>
      <c r="BR30" s="13">
        <f>IFERROR(AV30/BD30*(BG30-BASELINE_CPR),0)</f>
        <v/>
      </c>
      <c r="BS30" s="13">
        <f>IFERROR(AW30/BD30*(BG30-BASELINE_CPR),0)</f>
        <v/>
      </c>
      <c r="BT30" s="13">
        <f>IFERROR(AX30/BD30*(BG30-BASELINE_CPR),0)</f>
        <v/>
      </c>
      <c r="BU30" s="13">
        <f>IFERROR(AY30/BD30*(BG30-BASELINE_CPR),0)</f>
        <v/>
      </c>
      <c r="BV30" s="13">
        <f>IFERROR(AZ30/BD30*(BG30-BASELINE_CPR),0)</f>
        <v/>
      </c>
      <c r="BW30" s="13">
        <f>IFERROR(BA30/BD30*(BG30-BASELINE_CPR),0)</f>
        <v/>
      </c>
      <c r="BX30" s="13">
        <f>IFERROR(BB30/BD30*(BG30-BASELINE_CPR),0)</f>
        <v/>
      </c>
      <c r="BY30" s="13">
        <f>IFERROR(BC30/BD30*(BG30-BASELINE_CPR),0)</f>
        <v/>
      </c>
      <c r="BZ30" s="28">
        <f>BASELINE_CPR+SUM(BH30:BY30)-BG30</f>
        <v/>
      </c>
    </row>
    <row r="31">
      <c r="A31" s="2" t="inlineStr">
        <is>
          <t>36181F4E8_000000006322064</t>
        </is>
      </c>
      <c r="B31" t="inlineStr">
        <is>
          <t>LUMENT_PRE21</t>
        </is>
      </c>
      <c r="C31" s="2" t="inlineStr">
        <is>
          <t>36181F4E8</t>
        </is>
      </c>
      <c r="D31" t="inlineStr">
        <is>
          <t>LUMENT REAL ESTATE CAPITAL,LLC</t>
        </is>
      </c>
      <c r="E31" t="inlineStr">
        <is>
          <t>232</t>
        </is>
      </c>
      <c r="F31" t="inlineStr">
        <is>
          <t>RP</t>
        </is>
      </c>
      <c r="G31" t="n">
        <v>2013</v>
      </c>
      <c r="H31" t="inlineStr">
        <is>
          <t>202602</t>
        </is>
      </c>
      <c r="I31" s="22" t="n">
        <v>8085044.96</v>
      </c>
      <c r="J31" s="23" t="n">
        <v>2.9</v>
      </c>
      <c r="K31" s="24" t="n">
        <v>447</v>
      </c>
      <c r="L31" s="24" t="n">
        <v>0</v>
      </c>
      <c r="M31" t="n">
        <v>152</v>
      </c>
      <c r="N31" t="n">
        <v>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s="24">
        <f>J31*100-(K31+(1+L31)*12.5)</f>
        <v/>
      </c>
      <c r="U31">
        <f>O31</f>
        <v/>
      </c>
      <c r="V31">
        <f>M31</f>
        <v/>
      </c>
      <c r="W31" s="23">
        <f>LN(1+I31)</f>
        <v/>
      </c>
      <c r="X31">
        <f>IF(G31&gt;=2021,1,0)</f>
        <v/>
      </c>
      <c r="Y31">
        <f>N31</f>
        <v/>
      </c>
      <c r="Z31" s="23">
        <f>IF(ISNUMBER(M31),N31/MAX(M31,1),0)</f>
        <v/>
      </c>
      <c r="AA31">
        <f>P31</f>
        <v/>
      </c>
      <c r="AB31">
        <f>Q31</f>
        <v/>
      </c>
      <c r="AC31">
        <f>R31</f>
        <v/>
      </c>
      <c r="AD31">
        <f>S31</f>
        <v/>
      </c>
      <c r="AE31">
        <f>IF(ISNUMBER(SEARCH("CAPITAL FUNDING",D31)),1,0)</f>
        <v/>
      </c>
      <c r="AF31">
        <f>IF(ISNUMBER(SEARCH("MERCHANTS",D31)),1,0)</f>
        <v/>
      </c>
      <c r="AG31">
        <f>IF(ISNUMBER(SEARCH("WELLS FARGO",D31)),1,0)</f>
        <v/>
      </c>
      <c r="AH31">
        <f>IF(ISNUMBER(SEARCH("WALKER",D31)),1,0)</f>
        <v/>
      </c>
      <c r="AI31">
        <f>IF(ISNUMBER(SEARCH("PNC",D31)),1,0)</f>
        <v/>
      </c>
      <c r="AJ31">
        <f>IF(ISNUMBER(SEARCH("BERKADIA",D31)),1,0)</f>
        <v/>
      </c>
      <c r="AK31">
        <f>IF(ISNUMBER(SEARCH("DWIGHT",D31)),1,0)</f>
        <v/>
      </c>
      <c r="AL31" s="25">
        <f>T$4*(T31-T$3)</f>
        <v/>
      </c>
      <c r="AM31" s="25">
        <f>U$4*(U31-U$3)</f>
        <v/>
      </c>
      <c r="AN31" s="25">
        <f>V$4*(V31-V$3)</f>
        <v/>
      </c>
      <c r="AO31" s="25">
        <f>W$4*(W31-W$3)</f>
        <v/>
      </c>
      <c r="AP31" s="25">
        <f>X$4*(X31-X$3)</f>
        <v/>
      </c>
      <c r="AQ31" s="25">
        <f>Y$4*(Y31-Y$3)</f>
        <v/>
      </c>
      <c r="AR31" s="25">
        <f>Z$4*(Z31-Z$3)</f>
        <v/>
      </c>
      <c r="AS31" s="25">
        <f>AA$4*(AA31-AA$3)</f>
        <v/>
      </c>
      <c r="AT31" s="25">
        <f>AB$4*(AB31-AB$3)</f>
        <v/>
      </c>
      <c r="AU31" s="25">
        <f>AC$4*(AC31-AC$3)</f>
        <v/>
      </c>
      <c r="AV31" s="25">
        <f>AD$4*(AD31-AD$3)</f>
        <v/>
      </c>
      <c r="AW31" s="25">
        <f>AE$4*(AE31-AE$3)</f>
        <v/>
      </c>
      <c r="AX31" s="25">
        <f>AF$4*(AF31-AF$3)</f>
        <v/>
      </c>
      <c r="AY31" s="25">
        <f>AG$4*(AG31-AG$3)</f>
        <v/>
      </c>
      <c r="AZ31" s="25">
        <f>AH$4*(AH31-AH$3)</f>
        <v/>
      </c>
      <c r="BA31" s="25">
        <f>AI$4*(AI31-AI$3)</f>
        <v/>
      </c>
      <c r="BB31" s="25">
        <f>AJ$4*(AJ31-AJ$3)</f>
        <v/>
      </c>
      <c r="BC31" s="25">
        <f>AK$4*(AK31-AK$3)</f>
        <v/>
      </c>
      <c r="BD31" s="26">
        <f>SUM(AL31:BC31)</f>
        <v/>
      </c>
      <c r="BE31" s="26">
        <f>INTERCEPT_SCALED+BD31</f>
        <v/>
      </c>
      <c r="BF31" s="27">
        <f>1/(1+EXP(-BE31))</f>
        <v/>
      </c>
      <c r="BG31" s="13">
        <f>1-(1-BF31)^12</f>
        <v/>
      </c>
      <c r="BH31" s="13">
        <f>IFERROR(AL31/BD31*(BG31-BASELINE_CPR),0)</f>
        <v/>
      </c>
      <c r="BI31" s="13">
        <f>IFERROR(AM31/BD31*(BG31-BASELINE_CPR),0)</f>
        <v/>
      </c>
      <c r="BJ31" s="13">
        <f>IFERROR(AN31/BD31*(BG31-BASELINE_CPR),0)</f>
        <v/>
      </c>
      <c r="BK31" s="13">
        <f>IFERROR(AO31/BD31*(BG31-BASELINE_CPR),0)</f>
        <v/>
      </c>
      <c r="BL31" s="13">
        <f>IFERROR(AP31/BD31*(BG31-BASELINE_CPR),0)</f>
        <v/>
      </c>
      <c r="BM31" s="13">
        <f>IFERROR(AQ31/BD31*(BG31-BASELINE_CPR),0)</f>
        <v/>
      </c>
      <c r="BN31" s="13">
        <f>IFERROR(AR31/BD31*(BG31-BASELINE_CPR),0)</f>
        <v/>
      </c>
      <c r="BO31" s="13">
        <f>IFERROR(AS31/BD31*(BG31-BASELINE_CPR),0)</f>
        <v/>
      </c>
      <c r="BP31" s="13">
        <f>IFERROR(AT31/BD31*(BG31-BASELINE_CPR),0)</f>
        <v/>
      </c>
      <c r="BQ31" s="13">
        <f>IFERROR(AU31/BD31*(BG31-BASELINE_CPR),0)</f>
        <v/>
      </c>
      <c r="BR31" s="13">
        <f>IFERROR(AV31/BD31*(BG31-BASELINE_CPR),0)</f>
        <v/>
      </c>
      <c r="BS31" s="13">
        <f>IFERROR(AW31/BD31*(BG31-BASELINE_CPR),0)</f>
        <v/>
      </c>
      <c r="BT31" s="13">
        <f>IFERROR(AX31/BD31*(BG31-BASELINE_CPR),0)</f>
        <v/>
      </c>
      <c r="BU31" s="13">
        <f>IFERROR(AY31/BD31*(BG31-BASELINE_CPR),0)</f>
        <v/>
      </c>
      <c r="BV31" s="13">
        <f>IFERROR(AZ31/BD31*(BG31-BASELINE_CPR),0)</f>
        <v/>
      </c>
      <c r="BW31" s="13">
        <f>IFERROR(BA31/BD31*(BG31-BASELINE_CPR),0)</f>
        <v/>
      </c>
      <c r="BX31" s="13">
        <f>IFERROR(BB31/BD31*(BG31-BASELINE_CPR),0)</f>
        <v/>
      </c>
      <c r="BY31" s="13">
        <f>IFERROR(BC31/BD31*(BG31-BASELINE_CPR),0)</f>
        <v/>
      </c>
      <c r="BZ31" s="28">
        <f>BASELINE_CPR+SUM(BH31:BY31)-BG31</f>
        <v/>
      </c>
    </row>
    <row r="32">
      <c r="A32" s="2" t="inlineStr">
        <is>
          <t>36193UPJ7_000000007311376</t>
        </is>
      </c>
      <c r="B32" t="inlineStr">
        <is>
          <t>LUMENT_PRE21</t>
        </is>
      </c>
      <c r="C32" s="2" t="inlineStr">
        <is>
          <t>36193UPJ7</t>
        </is>
      </c>
      <c r="D32" t="inlineStr">
        <is>
          <t>LUMENT REAL ESTATE CAPITAL,LLC</t>
        </is>
      </c>
      <c r="E32" t="inlineStr">
        <is>
          <t>223f</t>
        </is>
      </c>
      <c r="F32" t="inlineStr">
        <is>
          <t>RP</t>
        </is>
      </c>
      <c r="G32" t="n">
        <v>2008</v>
      </c>
      <c r="H32" t="inlineStr">
        <is>
          <t>202602</t>
        </is>
      </c>
      <c r="I32" s="22" t="n">
        <v>1740203.09</v>
      </c>
      <c r="J32" s="23" t="n">
        <v>3.65</v>
      </c>
      <c r="K32" s="24" t="n">
        <v>447</v>
      </c>
      <c r="L32" s="24" t="n">
        <v>1</v>
      </c>
      <c r="M32" t="n">
        <v>206</v>
      </c>
      <c r="N32" t="n">
        <v>32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s="24">
        <f>J32*100-(K32+(1+L32)*12.5)</f>
        <v/>
      </c>
      <c r="U32">
        <f>O32</f>
        <v/>
      </c>
      <c r="V32">
        <f>M32</f>
        <v/>
      </c>
      <c r="W32" s="23">
        <f>LN(1+I32)</f>
        <v/>
      </c>
      <c r="X32">
        <f>IF(G32&gt;=2021,1,0)</f>
        <v/>
      </c>
      <c r="Y32">
        <f>N32</f>
        <v/>
      </c>
      <c r="Z32" s="23">
        <f>IF(ISNUMBER(M32),N32/MAX(M32,1),0)</f>
        <v/>
      </c>
      <c r="AA32">
        <f>P32</f>
        <v/>
      </c>
      <c r="AB32">
        <f>Q32</f>
        <v/>
      </c>
      <c r="AC32">
        <f>R32</f>
        <v/>
      </c>
      <c r="AD32">
        <f>S32</f>
        <v/>
      </c>
      <c r="AE32">
        <f>IF(ISNUMBER(SEARCH("CAPITAL FUNDING",D32)),1,0)</f>
        <v/>
      </c>
      <c r="AF32">
        <f>IF(ISNUMBER(SEARCH("MERCHANTS",D32)),1,0)</f>
        <v/>
      </c>
      <c r="AG32">
        <f>IF(ISNUMBER(SEARCH("WELLS FARGO",D32)),1,0)</f>
        <v/>
      </c>
      <c r="AH32">
        <f>IF(ISNUMBER(SEARCH("WALKER",D32)),1,0)</f>
        <v/>
      </c>
      <c r="AI32">
        <f>IF(ISNUMBER(SEARCH("PNC",D32)),1,0)</f>
        <v/>
      </c>
      <c r="AJ32">
        <f>IF(ISNUMBER(SEARCH("BERKADIA",D32)),1,0)</f>
        <v/>
      </c>
      <c r="AK32">
        <f>IF(ISNUMBER(SEARCH("DWIGHT",D32)),1,0)</f>
        <v/>
      </c>
      <c r="AL32" s="25">
        <f>T$4*(T32-T$3)</f>
        <v/>
      </c>
      <c r="AM32" s="25">
        <f>U$4*(U32-U$3)</f>
        <v/>
      </c>
      <c r="AN32" s="25">
        <f>V$4*(V32-V$3)</f>
        <v/>
      </c>
      <c r="AO32" s="25">
        <f>W$4*(W32-W$3)</f>
        <v/>
      </c>
      <c r="AP32" s="25">
        <f>X$4*(X32-X$3)</f>
        <v/>
      </c>
      <c r="AQ32" s="25">
        <f>Y$4*(Y32-Y$3)</f>
        <v/>
      </c>
      <c r="AR32" s="25">
        <f>Z$4*(Z32-Z$3)</f>
        <v/>
      </c>
      <c r="AS32" s="25">
        <f>AA$4*(AA32-AA$3)</f>
        <v/>
      </c>
      <c r="AT32" s="25">
        <f>AB$4*(AB32-AB$3)</f>
        <v/>
      </c>
      <c r="AU32" s="25">
        <f>AC$4*(AC32-AC$3)</f>
        <v/>
      </c>
      <c r="AV32" s="25">
        <f>AD$4*(AD32-AD$3)</f>
        <v/>
      </c>
      <c r="AW32" s="25">
        <f>AE$4*(AE32-AE$3)</f>
        <v/>
      </c>
      <c r="AX32" s="25">
        <f>AF$4*(AF32-AF$3)</f>
        <v/>
      </c>
      <c r="AY32" s="25">
        <f>AG$4*(AG32-AG$3)</f>
        <v/>
      </c>
      <c r="AZ32" s="25">
        <f>AH$4*(AH32-AH$3)</f>
        <v/>
      </c>
      <c r="BA32" s="25">
        <f>AI$4*(AI32-AI$3)</f>
        <v/>
      </c>
      <c r="BB32" s="25">
        <f>AJ$4*(AJ32-AJ$3)</f>
        <v/>
      </c>
      <c r="BC32" s="25">
        <f>AK$4*(AK32-AK$3)</f>
        <v/>
      </c>
      <c r="BD32" s="26">
        <f>SUM(AL32:BC32)</f>
        <v/>
      </c>
      <c r="BE32" s="26">
        <f>INTERCEPT_SCALED+BD32</f>
        <v/>
      </c>
      <c r="BF32" s="27">
        <f>1/(1+EXP(-BE32))</f>
        <v/>
      </c>
      <c r="BG32" s="13">
        <f>1-(1-BF32)^12</f>
        <v/>
      </c>
      <c r="BH32" s="13">
        <f>IFERROR(AL32/BD32*(BG32-BASELINE_CPR),0)</f>
        <v/>
      </c>
      <c r="BI32" s="13">
        <f>IFERROR(AM32/BD32*(BG32-BASELINE_CPR),0)</f>
        <v/>
      </c>
      <c r="BJ32" s="13">
        <f>IFERROR(AN32/BD32*(BG32-BASELINE_CPR),0)</f>
        <v/>
      </c>
      <c r="BK32" s="13">
        <f>IFERROR(AO32/BD32*(BG32-BASELINE_CPR),0)</f>
        <v/>
      </c>
      <c r="BL32" s="13">
        <f>IFERROR(AP32/BD32*(BG32-BASELINE_CPR),0)</f>
        <v/>
      </c>
      <c r="BM32" s="13">
        <f>IFERROR(AQ32/BD32*(BG32-BASELINE_CPR),0)</f>
        <v/>
      </c>
      <c r="BN32" s="13">
        <f>IFERROR(AR32/BD32*(BG32-BASELINE_CPR),0)</f>
        <v/>
      </c>
      <c r="BO32" s="13">
        <f>IFERROR(AS32/BD32*(BG32-BASELINE_CPR),0)</f>
        <v/>
      </c>
      <c r="BP32" s="13">
        <f>IFERROR(AT32/BD32*(BG32-BASELINE_CPR),0)</f>
        <v/>
      </c>
      <c r="BQ32" s="13">
        <f>IFERROR(AU32/BD32*(BG32-BASELINE_CPR),0)</f>
        <v/>
      </c>
      <c r="BR32" s="13">
        <f>IFERROR(AV32/BD32*(BG32-BASELINE_CPR),0)</f>
        <v/>
      </c>
      <c r="BS32" s="13">
        <f>IFERROR(AW32/BD32*(BG32-BASELINE_CPR),0)</f>
        <v/>
      </c>
      <c r="BT32" s="13">
        <f>IFERROR(AX32/BD32*(BG32-BASELINE_CPR),0)</f>
        <v/>
      </c>
      <c r="BU32" s="13">
        <f>IFERROR(AY32/BD32*(BG32-BASELINE_CPR),0)</f>
        <v/>
      </c>
      <c r="BV32" s="13">
        <f>IFERROR(AZ32/BD32*(BG32-BASELINE_CPR),0)</f>
        <v/>
      </c>
      <c r="BW32" s="13">
        <f>IFERROR(BA32/BD32*(BG32-BASELINE_CPR),0)</f>
        <v/>
      </c>
      <c r="BX32" s="13">
        <f>IFERROR(BB32/BD32*(BG32-BASELINE_CPR),0)</f>
        <v/>
      </c>
      <c r="BY32" s="13">
        <f>IFERROR(BC32/BD32*(BG32-BASELINE_CPR),0)</f>
        <v/>
      </c>
      <c r="BZ32" s="28">
        <f>BASELINE_CPR+SUM(BH32:BY32)-BG32</f>
        <v/>
      </c>
    </row>
    <row r="33">
      <c r="A33" s="2" t="inlineStr">
        <is>
          <t>3617QRFY1_000000007222191</t>
        </is>
      </c>
      <c r="B33" t="inlineStr">
        <is>
          <t>LUMENT_PRE21</t>
        </is>
      </c>
      <c r="C33" s="2" t="inlineStr">
        <is>
          <t>3617QRFY1</t>
        </is>
      </c>
      <c r="D33" t="inlineStr">
        <is>
          <t>LUMENT REAL ESTATE CAPITAL,LLC</t>
        </is>
      </c>
      <c r="E33" t="inlineStr">
        <is>
          <t>232</t>
        </is>
      </c>
      <c r="F33" t="inlineStr">
        <is>
          <t>RP</t>
        </is>
      </c>
      <c r="G33" t="n">
        <v>2020</v>
      </c>
      <c r="H33" t="inlineStr">
        <is>
          <t>202602</t>
        </is>
      </c>
      <c r="I33" s="22" t="n">
        <v>8618776.17</v>
      </c>
      <c r="J33" s="23" t="n">
        <v>2.4</v>
      </c>
      <c r="K33" s="24" t="n">
        <v>447</v>
      </c>
      <c r="L33" s="24" t="n">
        <v>5</v>
      </c>
      <c r="M33" t="n">
        <v>64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s="24">
        <f>J33*100-(K33+(1+L33)*12.5)</f>
        <v/>
      </c>
      <c r="U33">
        <f>O33</f>
        <v/>
      </c>
      <c r="V33">
        <f>M33</f>
        <v/>
      </c>
      <c r="W33" s="23">
        <f>LN(1+I33)</f>
        <v/>
      </c>
      <c r="X33">
        <f>IF(G33&gt;=2021,1,0)</f>
        <v/>
      </c>
      <c r="Y33">
        <f>N33</f>
        <v/>
      </c>
      <c r="Z33" s="23">
        <f>IF(ISNUMBER(M33),N33/MAX(M33,1),0)</f>
        <v/>
      </c>
      <c r="AA33">
        <f>P33</f>
        <v/>
      </c>
      <c r="AB33">
        <f>Q33</f>
        <v/>
      </c>
      <c r="AC33">
        <f>R33</f>
        <v/>
      </c>
      <c r="AD33">
        <f>S33</f>
        <v/>
      </c>
      <c r="AE33">
        <f>IF(ISNUMBER(SEARCH("CAPITAL FUNDING",D33)),1,0)</f>
        <v/>
      </c>
      <c r="AF33">
        <f>IF(ISNUMBER(SEARCH("MERCHANTS",D33)),1,0)</f>
        <v/>
      </c>
      <c r="AG33">
        <f>IF(ISNUMBER(SEARCH("WELLS FARGO",D33)),1,0)</f>
        <v/>
      </c>
      <c r="AH33">
        <f>IF(ISNUMBER(SEARCH("WALKER",D33)),1,0)</f>
        <v/>
      </c>
      <c r="AI33">
        <f>IF(ISNUMBER(SEARCH("PNC",D33)),1,0)</f>
        <v/>
      </c>
      <c r="AJ33">
        <f>IF(ISNUMBER(SEARCH("BERKADIA",D33)),1,0)</f>
        <v/>
      </c>
      <c r="AK33">
        <f>IF(ISNUMBER(SEARCH("DWIGHT",D33)),1,0)</f>
        <v/>
      </c>
      <c r="AL33" s="25">
        <f>T$4*(T33-T$3)</f>
        <v/>
      </c>
      <c r="AM33" s="25">
        <f>U$4*(U33-U$3)</f>
        <v/>
      </c>
      <c r="AN33" s="25">
        <f>V$4*(V33-V$3)</f>
        <v/>
      </c>
      <c r="AO33" s="25">
        <f>W$4*(W33-W$3)</f>
        <v/>
      </c>
      <c r="AP33" s="25">
        <f>X$4*(X33-X$3)</f>
        <v/>
      </c>
      <c r="AQ33" s="25">
        <f>Y$4*(Y33-Y$3)</f>
        <v/>
      </c>
      <c r="AR33" s="25">
        <f>Z$4*(Z33-Z$3)</f>
        <v/>
      </c>
      <c r="AS33" s="25">
        <f>AA$4*(AA33-AA$3)</f>
        <v/>
      </c>
      <c r="AT33" s="25">
        <f>AB$4*(AB33-AB$3)</f>
        <v/>
      </c>
      <c r="AU33" s="25">
        <f>AC$4*(AC33-AC$3)</f>
        <v/>
      </c>
      <c r="AV33" s="25">
        <f>AD$4*(AD33-AD$3)</f>
        <v/>
      </c>
      <c r="AW33" s="25">
        <f>AE$4*(AE33-AE$3)</f>
        <v/>
      </c>
      <c r="AX33" s="25">
        <f>AF$4*(AF33-AF$3)</f>
        <v/>
      </c>
      <c r="AY33" s="25">
        <f>AG$4*(AG33-AG$3)</f>
        <v/>
      </c>
      <c r="AZ33" s="25">
        <f>AH$4*(AH33-AH$3)</f>
        <v/>
      </c>
      <c r="BA33" s="25">
        <f>AI$4*(AI33-AI$3)</f>
        <v/>
      </c>
      <c r="BB33" s="25">
        <f>AJ$4*(AJ33-AJ$3)</f>
        <v/>
      </c>
      <c r="BC33" s="25">
        <f>AK$4*(AK33-AK$3)</f>
        <v/>
      </c>
      <c r="BD33" s="26">
        <f>SUM(AL33:BC33)</f>
        <v/>
      </c>
      <c r="BE33" s="26">
        <f>INTERCEPT_SCALED+BD33</f>
        <v/>
      </c>
      <c r="BF33" s="27">
        <f>1/(1+EXP(-BE33))</f>
        <v/>
      </c>
      <c r="BG33" s="13">
        <f>1-(1-BF33)^12</f>
        <v/>
      </c>
      <c r="BH33" s="13">
        <f>IFERROR(AL33/BD33*(BG33-BASELINE_CPR),0)</f>
        <v/>
      </c>
      <c r="BI33" s="13">
        <f>IFERROR(AM33/BD33*(BG33-BASELINE_CPR),0)</f>
        <v/>
      </c>
      <c r="BJ33" s="13">
        <f>IFERROR(AN33/BD33*(BG33-BASELINE_CPR),0)</f>
        <v/>
      </c>
      <c r="BK33" s="13">
        <f>IFERROR(AO33/BD33*(BG33-BASELINE_CPR),0)</f>
        <v/>
      </c>
      <c r="BL33" s="13">
        <f>IFERROR(AP33/BD33*(BG33-BASELINE_CPR),0)</f>
        <v/>
      </c>
      <c r="BM33" s="13">
        <f>IFERROR(AQ33/BD33*(BG33-BASELINE_CPR),0)</f>
        <v/>
      </c>
      <c r="BN33" s="13">
        <f>IFERROR(AR33/BD33*(BG33-BASELINE_CPR),0)</f>
        <v/>
      </c>
      <c r="BO33" s="13">
        <f>IFERROR(AS33/BD33*(BG33-BASELINE_CPR),0)</f>
        <v/>
      </c>
      <c r="BP33" s="13">
        <f>IFERROR(AT33/BD33*(BG33-BASELINE_CPR),0)</f>
        <v/>
      </c>
      <c r="BQ33" s="13">
        <f>IFERROR(AU33/BD33*(BG33-BASELINE_CPR),0)</f>
        <v/>
      </c>
      <c r="BR33" s="13">
        <f>IFERROR(AV33/BD33*(BG33-BASELINE_CPR),0)</f>
        <v/>
      </c>
      <c r="BS33" s="13">
        <f>IFERROR(AW33/BD33*(BG33-BASELINE_CPR),0)</f>
        <v/>
      </c>
      <c r="BT33" s="13">
        <f>IFERROR(AX33/BD33*(BG33-BASELINE_CPR),0)</f>
        <v/>
      </c>
      <c r="BU33" s="13">
        <f>IFERROR(AY33/BD33*(BG33-BASELINE_CPR),0)</f>
        <v/>
      </c>
      <c r="BV33" s="13">
        <f>IFERROR(AZ33/BD33*(BG33-BASELINE_CPR),0)</f>
        <v/>
      </c>
      <c r="BW33" s="13">
        <f>IFERROR(BA33/BD33*(BG33-BASELINE_CPR),0)</f>
        <v/>
      </c>
      <c r="BX33" s="13">
        <f>IFERROR(BB33/BD33*(BG33-BASELINE_CPR),0)</f>
        <v/>
      </c>
      <c r="BY33" s="13">
        <f>IFERROR(BC33/BD33*(BG33-BASELINE_CPR),0)</f>
        <v/>
      </c>
      <c r="BZ33" s="28">
        <f>BASELINE_CPR+SUM(BH33:BY33)-BG33</f>
        <v/>
      </c>
    </row>
    <row r="34">
      <c r="A34" s="2" t="inlineStr">
        <is>
          <t>3617VA6U0_000000004311278</t>
        </is>
      </c>
      <c r="B34" t="inlineStr">
        <is>
          <t>LUMENT_POST21</t>
        </is>
      </c>
      <c r="C34" s="2" t="inlineStr">
        <is>
          <t>3617VA6U0</t>
        </is>
      </c>
      <c r="D34" t="inlineStr">
        <is>
          <t>LUMENT REAL ESTATE CAPITAL,LLC</t>
        </is>
      </c>
      <c r="E34" t="inlineStr">
        <is>
          <t>223f</t>
        </is>
      </c>
      <c r="F34" t="inlineStr">
        <is>
          <t>RP</t>
        </is>
      </c>
      <c r="G34" t="n">
        <v>2021</v>
      </c>
      <c r="H34" t="inlineStr">
        <is>
          <t>202602</t>
        </is>
      </c>
      <c r="I34" s="22" t="n">
        <v>7838412.72</v>
      </c>
      <c r="J34" s="23" t="n">
        <v>2.23</v>
      </c>
      <c r="K34" s="24" t="n">
        <v>447</v>
      </c>
      <c r="L34" s="24" t="n">
        <v>6</v>
      </c>
      <c r="M34" t="n">
        <v>57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s="24">
        <f>J34*100-(K34+(1+L34)*12.5)</f>
        <v/>
      </c>
      <c r="U34">
        <f>O34</f>
        <v/>
      </c>
      <c r="V34">
        <f>M34</f>
        <v/>
      </c>
      <c r="W34" s="23">
        <f>LN(1+I34)</f>
        <v/>
      </c>
      <c r="X34">
        <f>IF(G34&gt;=2021,1,0)</f>
        <v/>
      </c>
      <c r="Y34">
        <f>N34</f>
        <v/>
      </c>
      <c r="Z34" s="23">
        <f>IF(ISNUMBER(M34),N34/MAX(M34,1),0)</f>
        <v/>
      </c>
      <c r="AA34">
        <f>P34</f>
        <v/>
      </c>
      <c r="AB34">
        <f>Q34</f>
        <v/>
      </c>
      <c r="AC34">
        <f>R34</f>
        <v/>
      </c>
      <c r="AD34">
        <f>S34</f>
        <v/>
      </c>
      <c r="AE34">
        <f>IF(ISNUMBER(SEARCH("CAPITAL FUNDING",D34)),1,0)</f>
        <v/>
      </c>
      <c r="AF34">
        <f>IF(ISNUMBER(SEARCH("MERCHANTS",D34)),1,0)</f>
        <v/>
      </c>
      <c r="AG34">
        <f>IF(ISNUMBER(SEARCH("WELLS FARGO",D34)),1,0)</f>
        <v/>
      </c>
      <c r="AH34">
        <f>IF(ISNUMBER(SEARCH("WALKER",D34)),1,0)</f>
        <v/>
      </c>
      <c r="AI34">
        <f>IF(ISNUMBER(SEARCH("PNC",D34)),1,0)</f>
        <v/>
      </c>
      <c r="AJ34">
        <f>IF(ISNUMBER(SEARCH("BERKADIA",D34)),1,0)</f>
        <v/>
      </c>
      <c r="AK34">
        <f>IF(ISNUMBER(SEARCH("DWIGHT",D34)),1,0)</f>
        <v/>
      </c>
      <c r="AL34" s="25">
        <f>T$4*(T34-T$3)</f>
        <v/>
      </c>
      <c r="AM34" s="25">
        <f>U$4*(U34-U$3)</f>
        <v/>
      </c>
      <c r="AN34" s="25">
        <f>V$4*(V34-V$3)</f>
        <v/>
      </c>
      <c r="AO34" s="25">
        <f>W$4*(W34-W$3)</f>
        <v/>
      </c>
      <c r="AP34" s="25">
        <f>X$4*(X34-X$3)</f>
        <v/>
      </c>
      <c r="AQ34" s="25">
        <f>Y$4*(Y34-Y$3)</f>
        <v/>
      </c>
      <c r="AR34" s="25">
        <f>Z$4*(Z34-Z$3)</f>
        <v/>
      </c>
      <c r="AS34" s="25">
        <f>AA$4*(AA34-AA$3)</f>
        <v/>
      </c>
      <c r="AT34" s="25">
        <f>AB$4*(AB34-AB$3)</f>
        <v/>
      </c>
      <c r="AU34" s="25">
        <f>AC$4*(AC34-AC$3)</f>
        <v/>
      </c>
      <c r="AV34" s="25">
        <f>AD$4*(AD34-AD$3)</f>
        <v/>
      </c>
      <c r="AW34" s="25">
        <f>AE$4*(AE34-AE$3)</f>
        <v/>
      </c>
      <c r="AX34" s="25">
        <f>AF$4*(AF34-AF$3)</f>
        <v/>
      </c>
      <c r="AY34" s="25">
        <f>AG$4*(AG34-AG$3)</f>
        <v/>
      </c>
      <c r="AZ34" s="25">
        <f>AH$4*(AH34-AH$3)</f>
        <v/>
      </c>
      <c r="BA34" s="25">
        <f>AI$4*(AI34-AI$3)</f>
        <v/>
      </c>
      <c r="BB34" s="25">
        <f>AJ$4*(AJ34-AJ$3)</f>
        <v/>
      </c>
      <c r="BC34" s="25">
        <f>AK$4*(AK34-AK$3)</f>
        <v/>
      </c>
      <c r="BD34" s="26">
        <f>SUM(AL34:BC34)</f>
        <v/>
      </c>
      <c r="BE34" s="26">
        <f>INTERCEPT_SCALED+BD34</f>
        <v/>
      </c>
      <c r="BF34" s="27">
        <f>1/(1+EXP(-BE34))</f>
        <v/>
      </c>
      <c r="BG34" s="13">
        <f>1-(1-BF34)^12</f>
        <v/>
      </c>
      <c r="BH34" s="13">
        <f>IFERROR(AL34/BD34*(BG34-BASELINE_CPR),0)</f>
        <v/>
      </c>
      <c r="BI34" s="13">
        <f>IFERROR(AM34/BD34*(BG34-BASELINE_CPR),0)</f>
        <v/>
      </c>
      <c r="BJ34" s="13">
        <f>IFERROR(AN34/BD34*(BG34-BASELINE_CPR),0)</f>
        <v/>
      </c>
      <c r="BK34" s="13">
        <f>IFERROR(AO34/BD34*(BG34-BASELINE_CPR),0)</f>
        <v/>
      </c>
      <c r="BL34" s="13">
        <f>IFERROR(AP34/BD34*(BG34-BASELINE_CPR),0)</f>
        <v/>
      </c>
      <c r="BM34" s="13">
        <f>IFERROR(AQ34/BD34*(BG34-BASELINE_CPR),0)</f>
        <v/>
      </c>
      <c r="BN34" s="13">
        <f>IFERROR(AR34/BD34*(BG34-BASELINE_CPR),0)</f>
        <v/>
      </c>
      <c r="BO34" s="13">
        <f>IFERROR(AS34/BD34*(BG34-BASELINE_CPR),0)</f>
        <v/>
      </c>
      <c r="BP34" s="13">
        <f>IFERROR(AT34/BD34*(BG34-BASELINE_CPR),0)</f>
        <v/>
      </c>
      <c r="BQ34" s="13">
        <f>IFERROR(AU34/BD34*(BG34-BASELINE_CPR),0)</f>
        <v/>
      </c>
      <c r="BR34" s="13">
        <f>IFERROR(AV34/BD34*(BG34-BASELINE_CPR),0)</f>
        <v/>
      </c>
      <c r="BS34" s="13">
        <f>IFERROR(AW34/BD34*(BG34-BASELINE_CPR),0)</f>
        <v/>
      </c>
      <c r="BT34" s="13">
        <f>IFERROR(AX34/BD34*(BG34-BASELINE_CPR),0)</f>
        <v/>
      </c>
      <c r="BU34" s="13">
        <f>IFERROR(AY34/BD34*(BG34-BASELINE_CPR),0)</f>
        <v/>
      </c>
      <c r="BV34" s="13">
        <f>IFERROR(AZ34/BD34*(BG34-BASELINE_CPR),0)</f>
        <v/>
      </c>
      <c r="BW34" s="13">
        <f>IFERROR(BA34/BD34*(BG34-BASELINE_CPR),0)</f>
        <v/>
      </c>
      <c r="BX34" s="13">
        <f>IFERROR(BB34/BD34*(BG34-BASELINE_CPR),0)</f>
        <v/>
      </c>
      <c r="BY34" s="13">
        <f>IFERROR(BC34/BD34*(BG34-BASELINE_CPR),0)</f>
        <v/>
      </c>
      <c r="BZ34" s="28">
        <f>BASELINE_CPR+SUM(BH34:BY34)-BG34</f>
        <v/>
      </c>
    </row>
    <row r="35">
      <c r="A35" s="2" t="inlineStr">
        <is>
          <t>3617X74U7_000000007322280</t>
        </is>
      </c>
      <c r="B35" t="inlineStr">
        <is>
          <t>LUMENT_PRE21</t>
        </is>
      </c>
      <c r="C35" s="2" t="inlineStr">
        <is>
          <t>3617X74U7</t>
        </is>
      </c>
      <c r="D35" t="inlineStr">
        <is>
          <t>LUMENT REAL ESTATE CAPITAL,LLC</t>
        </is>
      </c>
      <c r="E35" t="inlineStr">
        <is>
          <t>232</t>
        </is>
      </c>
      <c r="F35" t="inlineStr">
        <is>
          <t>RP</t>
        </is>
      </c>
      <c r="G35" t="n">
        <v>2017</v>
      </c>
      <c r="H35" t="inlineStr">
        <is>
          <t>202602</t>
        </is>
      </c>
      <c r="I35" s="22" t="n">
        <v>16054037.47</v>
      </c>
      <c r="J35" s="23" t="n">
        <v>3.03</v>
      </c>
      <c r="K35" s="24" t="n">
        <v>447</v>
      </c>
      <c r="L35" s="24" t="n">
        <v>6</v>
      </c>
      <c r="M35" t="n">
        <v>106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s="24">
        <f>J35*100-(K35+(1+L35)*12.5)</f>
        <v/>
      </c>
      <c r="U35">
        <f>O35</f>
        <v/>
      </c>
      <c r="V35">
        <f>M35</f>
        <v/>
      </c>
      <c r="W35" s="23">
        <f>LN(1+I35)</f>
        <v/>
      </c>
      <c r="X35">
        <f>IF(G35&gt;=2021,1,0)</f>
        <v/>
      </c>
      <c r="Y35">
        <f>N35</f>
        <v/>
      </c>
      <c r="Z35" s="23">
        <f>IF(ISNUMBER(M35),N35/MAX(M35,1),0)</f>
        <v/>
      </c>
      <c r="AA35">
        <f>P35</f>
        <v/>
      </c>
      <c r="AB35">
        <f>Q35</f>
        <v/>
      </c>
      <c r="AC35">
        <f>R35</f>
        <v/>
      </c>
      <c r="AD35">
        <f>S35</f>
        <v/>
      </c>
      <c r="AE35">
        <f>IF(ISNUMBER(SEARCH("CAPITAL FUNDING",D35)),1,0)</f>
        <v/>
      </c>
      <c r="AF35">
        <f>IF(ISNUMBER(SEARCH("MERCHANTS",D35)),1,0)</f>
        <v/>
      </c>
      <c r="AG35">
        <f>IF(ISNUMBER(SEARCH("WELLS FARGO",D35)),1,0)</f>
        <v/>
      </c>
      <c r="AH35">
        <f>IF(ISNUMBER(SEARCH("WALKER",D35)),1,0)</f>
        <v/>
      </c>
      <c r="AI35">
        <f>IF(ISNUMBER(SEARCH("PNC",D35)),1,0)</f>
        <v/>
      </c>
      <c r="AJ35">
        <f>IF(ISNUMBER(SEARCH("BERKADIA",D35)),1,0)</f>
        <v/>
      </c>
      <c r="AK35">
        <f>IF(ISNUMBER(SEARCH("DWIGHT",D35)),1,0)</f>
        <v/>
      </c>
      <c r="AL35" s="25">
        <f>T$4*(T35-T$3)</f>
        <v/>
      </c>
      <c r="AM35" s="25">
        <f>U$4*(U35-U$3)</f>
        <v/>
      </c>
      <c r="AN35" s="25">
        <f>V$4*(V35-V$3)</f>
        <v/>
      </c>
      <c r="AO35" s="25">
        <f>W$4*(W35-W$3)</f>
        <v/>
      </c>
      <c r="AP35" s="25">
        <f>X$4*(X35-X$3)</f>
        <v/>
      </c>
      <c r="AQ35" s="25">
        <f>Y$4*(Y35-Y$3)</f>
        <v/>
      </c>
      <c r="AR35" s="25">
        <f>Z$4*(Z35-Z$3)</f>
        <v/>
      </c>
      <c r="AS35" s="25">
        <f>AA$4*(AA35-AA$3)</f>
        <v/>
      </c>
      <c r="AT35" s="25">
        <f>AB$4*(AB35-AB$3)</f>
        <v/>
      </c>
      <c r="AU35" s="25">
        <f>AC$4*(AC35-AC$3)</f>
        <v/>
      </c>
      <c r="AV35" s="25">
        <f>AD$4*(AD35-AD$3)</f>
        <v/>
      </c>
      <c r="AW35" s="25">
        <f>AE$4*(AE35-AE$3)</f>
        <v/>
      </c>
      <c r="AX35" s="25">
        <f>AF$4*(AF35-AF$3)</f>
        <v/>
      </c>
      <c r="AY35" s="25">
        <f>AG$4*(AG35-AG$3)</f>
        <v/>
      </c>
      <c r="AZ35" s="25">
        <f>AH$4*(AH35-AH$3)</f>
        <v/>
      </c>
      <c r="BA35" s="25">
        <f>AI$4*(AI35-AI$3)</f>
        <v/>
      </c>
      <c r="BB35" s="25">
        <f>AJ$4*(AJ35-AJ$3)</f>
        <v/>
      </c>
      <c r="BC35" s="25">
        <f>AK$4*(AK35-AK$3)</f>
        <v/>
      </c>
      <c r="BD35" s="26">
        <f>SUM(AL35:BC35)</f>
        <v/>
      </c>
      <c r="BE35" s="26">
        <f>INTERCEPT_SCALED+BD35</f>
        <v/>
      </c>
      <c r="BF35" s="27">
        <f>1/(1+EXP(-BE35))</f>
        <v/>
      </c>
      <c r="BG35" s="13">
        <f>1-(1-BF35)^12</f>
        <v/>
      </c>
      <c r="BH35" s="13">
        <f>IFERROR(AL35/BD35*(BG35-BASELINE_CPR),0)</f>
        <v/>
      </c>
      <c r="BI35" s="13">
        <f>IFERROR(AM35/BD35*(BG35-BASELINE_CPR),0)</f>
        <v/>
      </c>
      <c r="BJ35" s="13">
        <f>IFERROR(AN35/BD35*(BG35-BASELINE_CPR),0)</f>
        <v/>
      </c>
      <c r="BK35" s="13">
        <f>IFERROR(AO35/BD35*(BG35-BASELINE_CPR),0)</f>
        <v/>
      </c>
      <c r="BL35" s="13">
        <f>IFERROR(AP35/BD35*(BG35-BASELINE_CPR),0)</f>
        <v/>
      </c>
      <c r="BM35" s="13">
        <f>IFERROR(AQ35/BD35*(BG35-BASELINE_CPR),0)</f>
        <v/>
      </c>
      <c r="BN35" s="13">
        <f>IFERROR(AR35/BD35*(BG35-BASELINE_CPR),0)</f>
        <v/>
      </c>
      <c r="BO35" s="13">
        <f>IFERROR(AS35/BD35*(BG35-BASELINE_CPR),0)</f>
        <v/>
      </c>
      <c r="BP35" s="13">
        <f>IFERROR(AT35/BD35*(BG35-BASELINE_CPR),0)</f>
        <v/>
      </c>
      <c r="BQ35" s="13">
        <f>IFERROR(AU35/BD35*(BG35-BASELINE_CPR),0)</f>
        <v/>
      </c>
      <c r="BR35" s="13">
        <f>IFERROR(AV35/BD35*(BG35-BASELINE_CPR),0)</f>
        <v/>
      </c>
      <c r="BS35" s="13">
        <f>IFERROR(AW35/BD35*(BG35-BASELINE_CPR),0)</f>
        <v/>
      </c>
      <c r="BT35" s="13">
        <f>IFERROR(AX35/BD35*(BG35-BASELINE_CPR),0)</f>
        <v/>
      </c>
      <c r="BU35" s="13">
        <f>IFERROR(AY35/BD35*(BG35-BASELINE_CPR),0)</f>
        <v/>
      </c>
      <c r="BV35" s="13">
        <f>IFERROR(AZ35/BD35*(BG35-BASELINE_CPR),0)</f>
        <v/>
      </c>
      <c r="BW35" s="13">
        <f>IFERROR(BA35/BD35*(BG35-BASELINE_CPR),0)</f>
        <v/>
      </c>
      <c r="BX35" s="13">
        <f>IFERROR(BB35/BD35*(BG35-BASELINE_CPR),0)</f>
        <v/>
      </c>
      <c r="BY35" s="13">
        <f>IFERROR(BC35/BD35*(BG35-BASELINE_CPR),0)</f>
        <v/>
      </c>
      <c r="BZ35" s="28">
        <f>BASELINE_CPR+SUM(BH35:BY35)-BG35</f>
        <v/>
      </c>
    </row>
    <row r="36">
      <c r="A36" s="2" t="inlineStr">
        <is>
          <t>36180KY54_000000004635742</t>
        </is>
      </c>
      <c r="B36" t="inlineStr">
        <is>
          <t>LUMENT_PRE21</t>
        </is>
      </c>
      <c r="C36" s="2" t="inlineStr">
        <is>
          <t>36180KY54</t>
        </is>
      </c>
      <c r="D36" t="inlineStr">
        <is>
          <t>LUMENT REAL ESTATE CAPITAL,LLC</t>
        </is>
      </c>
      <c r="E36" t="inlineStr">
        <is>
          <t>221d4</t>
        </is>
      </c>
      <c r="F36" t="inlineStr">
        <is>
          <t>RP</t>
        </is>
      </c>
      <c r="G36" t="n">
        <v>2013</v>
      </c>
      <c r="H36" t="inlineStr">
        <is>
          <t>202602</t>
        </is>
      </c>
      <c r="I36" s="22" t="n">
        <v>1221401.95</v>
      </c>
      <c r="J36" s="23" t="n">
        <v>3.45</v>
      </c>
      <c r="K36" s="24" t="n">
        <v>447</v>
      </c>
      <c r="L36" s="24" t="n">
        <v>0</v>
      </c>
      <c r="M36" t="n">
        <v>152</v>
      </c>
      <c r="N36" t="n">
        <v>33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s="24">
        <f>J36*100-(K36+(1+L36)*12.5)</f>
        <v/>
      </c>
      <c r="U36">
        <f>O36</f>
        <v/>
      </c>
      <c r="V36">
        <f>M36</f>
        <v/>
      </c>
      <c r="W36" s="23">
        <f>LN(1+I36)</f>
        <v/>
      </c>
      <c r="X36">
        <f>IF(G36&gt;=2021,1,0)</f>
        <v/>
      </c>
      <c r="Y36">
        <f>N36</f>
        <v/>
      </c>
      <c r="Z36" s="23">
        <f>IF(ISNUMBER(M36),N36/MAX(M36,1),0)</f>
        <v/>
      </c>
      <c r="AA36">
        <f>P36</f>
        <v/>
      </c>
      <c r="AB36">
        <f>Q36</f>
        <v/>
      </c>
      <c r="AC36">
        <f>R36</f>
        <v/>
      </c>
      <c r="AD36">
        <f>S36</f>
        <v/>
      </c>
      <c r="AE36">
        <f>IF(ISNUMBER(SEARCH("CAPITAL FUNDING",D36)),1,0)</f>
        <v/>
      </c>
      <c r="AF36">
        <f>IF(ISNUMBER(SEARCH("MERCHANTS",D36)),1,0)</f>
        <v/>
      </c>
      <c r="AG36">
        <f>IF(ISNUMBER(SEARCH("WELLS FARGO",D36)),1,0)</f>
        <v/>
      </c>
      <c r="AH36">
        <f>IF(ISNUMBER(SEARCH("WALKER",D36)),1,0)</f>
        <v/>
      </c>
      <c r="AI36">
        <f>IF(ISNUMBER(SEARCH("PNC",D36)),1,0)</f>
        <v/>
      </c>
      <c r="AJ36">
        <f>IF(ISNUMBER(SEARCH("BERKADIA",D36)),1,0)</f>
        <v/>
      </c>
      <c r="AK36">
        <f>IF(ISNUMBER(SEARCH("DWIGHT",D36)),1,0)</f>
        <v/>
      </c>
      <c r="AL36" s="25">
        <f>T$4*(T36-T$3)</f>
        <v/>
      </c>
      <c r="AM36" s="25">
        <f>U$4*(U36-U$3)</f>
        <v/>
      </c>
      <c r="AN36" s="25">
        <f>V$4*(V36-V$3)</f>
        <v/>
      </c>
      <c r="AO36" s="25">
        <f>W$4*(W36-W$3)</f>
        <v/>
      </c>
      <c r="AP36" s="25">
        <f>X$4*(X36-X$3)</f>
        <v/>
      </c>
      <c r="AQ36" s="25">
        <f>Y$4*(Y36-Y$3)</f>
        <v/>
      </c>
      <c r="AR36" s="25">
        <f>Z$4*(Z36-Z$3)</f>
        <v/>
      </c>
      <c r="AS36" s="25">
        <f>AA$4*(AA36-AA$3)</f>
        <v/>
      </c>
      <c r="AT36" s="25">
        <f>AB$4*(AB36-AB$3)</f>
        <v/>
      </c>
      <c r="AU36" s="25">
        <f>AC$4*(AC36-AC$3)</f>
        <v/>
      </c>
      <c r="AV36" s="25">
        <f>AD$4*(AD36-AD$3)</f>
        <v/>
      </c>
      <c r="AW36" s="25">
        <f>AE$4*(AE36-AE$3)</f>
        <v/>
      </c>
      <c r="AX36" s="25">
        <f>AF$4*(AF36-AF$3)</f>
        <v/>
      </c>
      <c r="AY36" s="25">
        <f>AG$4*(AG36-AG$3)</f>
        <v/>
      </c>
      <c r="AZ36" s="25">
        <f>AH$4*(AH36-AH$3)</f>
        <v/>
      </c>
      <c r="BA36" s="25">
        <f>AI$4*(AI36-AI$3)</f>
        <v/>
      </c>
      <c r="BB36" s="25">
        <f>AJ$4*(AJ36-AJ$3)</f>
        <v/>
      </c>
      <c r="BC36" s="25">
        <f>AK$4*(AK36-AK$3)</f>
        <v/>
      </c>
      <c r="BD36" s="26">
        <f>SUM(AL36:BC36)</f>
        <v/>
      </c>
      <c r="BE36" s="26">
        <f>INTERCEPT_SCALED+BD36</f>
        <v/>
      </c>
      <c r="BF36" s="27">
        <f>1/(1+EXP(-BE36))</f>
        <v/>
      </c>
      <c r="BG36" s="13">
        <f>1-(1-BF36)^12</f>
        <v/>
      </c>
      <c r="BH36" s="13">
        <f>IFERROR(AL36/BD36*(BG36-BASELINE_CPR),0)</f>
        <v/>
      </c>
      <c r="BI36" s="13">
        <f>IFERROR(AM36/BD36*(BG36-BASELINE_CPR),0)</f>
        <v/>
      </c>
      <c r="BJ36" s="13">
        <f>IFERROR(AN36/BD36*(BG36-BASELINE_CPR),0)</f>
        <v/>
      </c>
      <c r="BK36" s="13">
        <f>IFERROR(AO36/BD36*(BG36-BASELINE_CPR),0)</f>
        <v/>
      </c>
      <c r="BL36" s="13">
        <f>IFERROR(AP36/BD36*(BG36-BASELINE_CPR),0)</f>
        <v/>
      </c>
      <c r="BM36" s="13">
        <f>IFERROR(AQ36/BD36*(BG36-BASELINE_CPR),0)</f>
        <v/>
      </c>
      <c r="BN36" s="13">
        <f>IFERROR(AR36/BD36*(BG36-BASELINE_CPR),0)</f>
        <v/>
      </c>
      <c r="BO36" s="13">
        <f>IFERROR(AS36/BD36*(BG36-BASELINE_CPR),0)</f>
        <v/>
      </c>
      <c r="BP36" s="13">
        <f>IFERROR(AT36/BD36*(BG36-BASELINE_CPR),0)</f>
        <v/>
      </c>
      <c r="BQ36" s="13">
        <f>IFERROR(AU36/BD36*(BG36-BASELINE_CPR),0)</f>
        <v/>
      </c>
      <c r="BR36" s="13">
        <f>IFERROR(AV36/BD36*(BG36-BASELINE_CPR),0)</f>
        <v/>
      </c>
      <c r="BS36" s="13">
        <f>IFERROR(AW36/BD36*(BG36-BASELINE_CPR),0)</f>
        <v/>
      </c>
      <c r="BT36" s="13">
        <f>IFERROR(AX36/BD36*(BG36-BASELINE_CPR),0)</f>
        <v/>
      </c>
      <c r="BU36" s="13">
        <f>IFERROR(AY36/BD36*(BG36-BASELINE_CPR),0)</f>
        <v/>
      </c>
      <c r="BV36" s="13">
        <f>IFERROR(AZ36/BD36*(BG36-BASELINE_CPR),0)</f>
        <v/>
      </c>
      <c r="BW36" s="13">
        <f>IFERROR(BA36/BD36*(BG36-BASELINE_CPR),0)</f>
        <v/>
      </c>
      <c r="BX36" s="13">
        <f>IFERROR(BB36/BD36*(BG36-BASELINE_CPR),0)</f>
        <v/>
      </c>
      <c r="BY36" s="13">
        <f>IFERROR(BC36/BD36*(BG36-BASELINE_CPR),0)</f>
        <v/>
      </c>
      <c r="BZ36" s="28">
        <f>BASELINE_CPR+SUM(BH36:BY36)-BG36</f>
        <v/>
      </c>
    </row>
    <row r="37">
      <c r="A37" s="2" t="inlineStr">
        <is>
          <t>3617Q5XK9_000000011335892</t>
        </is>
      </c>
      <c r="B37" t="inlineStr">
        <is>
          <t>LUMENT_PRE21</t>
        </is>
      </c>
      <c r="C37" s="2" t="inlineStr">
        <is>
          <t>3617Q5XK9</t>
        </is>
      </c>
      <c r="D37" t="inlineStr">
        <is>
          <t>LUMENT REAL ESTATE CAPITAL,LLC</t>
        </is>
      </c>
      <c r="E37" t="inlineStr">
        <is>
          <t>221d4</t>
        </is>
      </c>
      <c r="F37" t="inlineStr">
        <is>
          <t>RP</t>
        </is>
      </c>
      <c r="G37" t="n">
        <v>2020</v>
      </c>
      <c r="H37" t="inlineStr">
        <is>
          <t>202602</t>
        </is>
      </c>
      <c r="I37" s="22" t="n">
        <v>17268555.72</v>
      </c>
      <c r="J37" s="23" t="n">
        <v>2.6</v>
      </c>
      <c r="K37" s="24" t="n">
        <v>447</v>
      </c>
      <c r="L37" s="24" t="n">
        <v>5</v>
      </c>
      <c r="M37" t="n">
        <v>64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s="24">
        <f>J37*100-(K37+(1+L37)*12.5)</f>
        <v/>
      </c>
      <c r="U37">
        <f>O37</f>
        <v/>
      </c>
      <c r="V37">
        <f>M37</f>
        <v/>
      </c>
      <c r="W37" s="23">
        <f>LN(1+I37)</f>
        <v/>
      </c>
      <c r="X37">
        <f>IF(G37&gt;=2021,1,0)</f>
        <v/>
      </c>
      <c r="Y37">
        <f>N37</f>
        <v/>
      </c>
      <c r="Z37" s="23">
        <f>IF(ISNUMBER(M37),N37/MAX(M37,1),0)</f>
        <v/>
      </c>
      <c r="AA37">
        <f>P37</f>
        <v/>
      </c>
      <c r="AB37">
        <f>Q37</f>
        <v/>
      </c>
      <c r="AC37">
        <f>R37</f>
        <v/>
      </c>
      <c r="AD37">
        <f>S37</f>
        <v/>
      </c>
      <c r="AE37">
        <f>IF(ISNUMBER(SEARCH("CAPITAL FUNDING",D37)),1,0)</f>
        <v/>
      </c>
      <c r="AF37">
        <f>IF(ISNUMBER(SEARCH("MERCHANTS",D37)),1,0)</f>
        <v/>
      </c>
      <c r="AG37">
        <f>IF(ISNUMBER(SEARCH("WELLS FARGO",D37)),1,0)</f>
        <v/>
      </c>
      <c r="AH37">
        <f>IF(ISNUMBER(SEARCH("WALKER",D37)),1,0)</f>
        <v/>
      </c>
      <c r="AI37">
        <f>IF(ISNUMBER(SEARCH("PNC",D37)),1,0)</f>
        <v/>
      </c>
      <c r="AJ37">
        <f>IF(ISNUMBER(SEARCH("BERKADIA",D37)),1,0)</f>
        <v/>
      </c>
      <c r="AK37">
        <f>IF(ISNUMBER(SEARCH("DWIGHT",D37)),1,0)</f>
        <v/>
      </c>
      <c r="AL37" s="25">
        <f>T$4*(T37-T$3)</f>
        <v/>
      </c>
      <c r="AM37" s="25">
        <f>U$4*(U37-U$3)</f>
        <v/>
      </c>
      <c r="AN37" s="25">
        <f>V$4*(V37-V$3)</f>
        <v/>
      </c>
      <c r="AO37" s="25">
        <f>W$4*(W37-W$3)</f>
        <v/>
      </c>
      <c r="AP37" s="25">
        <f>X$4*(X37-X$3)</f>
        <v/>
      </c>
      <c r="AQ37" s="25">
        <f>Y$4*(Y37-Y$3)</f>
        <v/>
      </c>
      <c r="AR37" s="25">
        <f>Z$4*(Z37-Z$3)</f>
        <v/>
      </c>
      <c r="AS37" s="25">
        <f>AA$4*(AA37-AA$3)</f>
        <v/>
      </c>
      <c r="AT37" s="25">
        <f>AB$4*(AB37-AB$3)</f>
        <v/>
      </c>
      <c r="AU37" s="25">
        <f>AC$4*(AC37-AC$3)</f>
        <v/>
      </c>
      <c r="AV37" s="25">
        <f>AD$4*(AD37-AD$3)</f>
        <v/>
      </c>
      <c r="AW37" s="25">
        <f>AE$4*(AE37-AE$3)</f>
        <v/>
      </c>
      <c r="AX37" s="25">
        <f>AF$4*(AF37-AF$3)</f>
        <v/>
      </c>
      <c r="AY37" s="25">
        <f>AG$4*(AG37-AG$3)</f>
        <v/>
      </c>
      <c r="AZ37" s="25">
        <f>AH$4*(AH37-AH$3)</f>
        <v/>
      </c>
      <c r="BA37" s="25">
        <f>AI$4*(AI37-AI$3)</f>
        <v/>
      </c>
      <c r="BB37" s="25">
        <f>AJ$4*(AJ37-AJ$3)</f>
        <v/>
      </c>
      <c r="BC37" s="25">
        <f>AK$4*(AK37-AK$3)</f>
        <v/>
      </c>
      <c r="BD37" s="26">
        <f>SUM(AL37:BC37)</f>
        <v/>
      </c>
      <c r="BE37" s="26">
        <f>INTERCEPT_SCALED+BD37</f>
        <v/>
      </c>
      <c r="BF37" s="27">
        <f>1/(1+EXP(-BE37))</f>
        <v/>
      </c>
      <c r="BG37" s="13">
        <f>1-(1-BF37)^12</f>
        <v/>
      </c>
      <c r="BH37" s="13">
        <f>IFERROR(AL37/BD37*(BG37-BASELINE_CPR),0)</f>
        <v/>
      </c>
      <c r="BI37" s="13">
        <f>IFERROR(AM37/BD37*(BG37-BASELINE_CPR),0)</f>
        <v/>
      </c>
      <c r="BJ37" s="13">
        <f>IFERROR(AN37/BD37*(BG37-BASELINE_CPR),0)</f>
        <v/>
      </c>
      <c r="BK37" s="13">
        <f>IFERROR(AO37/BD37*(BG37-BASELINE_CPR),0)</f>
        <v/>
      </c>
      <c r="BL37" s="13">
        <f>IFERROR(AP37/BD37*(BG37-BASELINE_CPR),0)</f>
        <v/>
      </c>
      <c r="BM37" s="13">
        <f>IFERROR(AQ37/BD37*(BG37-BASELINE_CPR),0)</f>
        <v/>
      </c>
      <c r="BN37" s="13">
        <f>IFERROR(AR37/BD37*(BG37-BASELINE_CPR),0)</f>
        <v/>
      </c>
      <c r="BO37" s="13">
        <f>IFERROR(AS37/BD37*(BG37-BASELINE_CPR),0)</f>
        <v/>
      </c>
      <c r="BP37" s="13">
        <f>IFERROR(AT37/BD37*(BG37-BASELINE_CPR),0)</f>
        <v/>
      </c>
      <c r="BQ37" s="13">
        <f>IFERROR(AU37/BD37*(BG37-BASELINE_CPR),0)</f>
        <v/>
      </c>
      <c r="BR37" s="13">
        <f>IFERROR(AV37/BD37*(BG37-BASELINE_CPR),0)</f>
        <v/>
      </c>
      <c r="BS37" s="13">
        <f>IFERROR(AW37/BD37*(BG37-BASELINE_CPR),0)</f>
        <v/>
      </c>
      <c r="BT37" s="13">
        <f>IFERROR(AX37/BD37*(BG37-BASELINE_CPR),0)</f>
        <v/>
      </c>
      <c r="BU37" s="13">
        <f>IFERROR(AY37/BD37*(BG37-BASELINE_CPR),0)</f>
        <v/>
      </c>
      <c r="BV37" s="13">
        <f>IFERROR(AZ37/BD37*(BG37-BASELINE_CPR),0)</f>
        <v/>
      </c>
      <c r="BW37" s="13">
        <f>IFERROR(BA37/BD37*(BG37-BASELINE_CPR),0)</f>
        <v/>
      </c>
      <c r="BX37" s="13">
        <f>IFERROR(BB37/BD37*(BG37-BASELINE_CPR),0)</f>
        <v/>
      </c>
      <c r="BY37" s="13">
        <f>IFERROR(BC37/BD37*(BG37-BASELINE_CPR),0)</f>
        <v/>
      </c>
      <c r="BZ37" s="28">
        <f>BASELINE_CPR+SUM(BH37:BY37)-BG37</f>
        <v/>
      </c>
    </row>
    <row r="38">
      <c r="A38" s="2" t="inlineStr">
        <is>
          <t>36196VRU5_000000004622096</t>
        </is>
      </c>
      <c r="B38" t="inlineStr">
        <is>
          <t>LUMENT_PRE21</t>
        </is>
      </c>
      <c r="C38" s="2" t="inlineStr">
        <is>
          <t>36196VRU5</t>
        </is>
      </c>
      <c r="D38" t="inlineStr">
        <is>
          <t>LUMENT REAL ESTATE CAPITAL,LLC</t>
        </is>
      </c>
      <c r="E38" t="inlineStr">
        <is>
          <t>232</t>
        </is>
      </c>
      <c r="F38" t="inlineStr">
        <is>
          <t>RP</t>
        </is>
      </c>
      <c r="G38" t="n">
        <v>2017</v>
      </c>
      <c r="H38" t="inlineStr">
        <is>
          <t>202602</t>
        </is>
      </c>
      <c r="I38" s="22" t="n">
        <v>13590843.4</v>
      </c>
      <c r="J38" s="23" t="n">
        <v>3.51</v>
      </c>
      <c r="K38" s="24" t="n">
        <v>447</v>
      </c>
      <c r="L38" s="24" t="n">
        <v>3</v>
      </c>
      <c r="M38" t="n">
        <v>107</v>
      </c>
      <c r="N38" t="n">
        <v>25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s="24">
        <f>J38*100-(K38+(1+L38)*12.5)</f>
        <v/>
      </c>
      <c r="U38">
        <f>O38</f>
        <v/>
      </c>
      <c r="V38">
        <f>M38</f>
        <v/>
      </c>
      <c r="W38" s="23">
        <f>LN(1+I38)</f>
        <v/>
      </c>
      <c r="X38">
        <f>IF(G38&gt;=2021,1,0)</f>
        <v/>
      </c>
      <c r="Y38">
        <f>N38</f>
        <v/>
      </c>
      <c r="Z38" s="23">
        <f>IF(ISNUMBER(M38),N38/MAX(M38,1),0)</f>
        <v/>
      </c>
      <c r="AA38">
        <f>P38</f>
        <v/>
      </c>
      <c r="AB38">
        <f>Q38</f>
        <v/>
      </c>
      <c r="AC38">
        <f>R38</f>
        <v/>
      </c>
      <c r="AD38">
        <f>S38</f>
        <v/>
      </c>
      <c r="AE38">
        <f>IF(ISNUMBER(SEARCH("CAPITAL FUNDING",D38)),1,0)</f>
        <v/>
      </c>
      <c r="AF38">
        <f>IF(ISNUMBER(SEARCH("MERCHANTS",D38)),1,0)</f>
        <v/>
      </c>
      <c r="AG38">
        <f>IF(ISNUMBER(SEARCH("WELLS FARGO",D38)),1,0)</f>
        <v/>
      </c>
      <c r="AH38">
        <f>IF(ISNUMBER(SEARCH("WALKER",D38)),1,0)</f>
        <v/>
      </c>
      <c r="AI38">
        <f>IF(ISNUMBER(SEARCH("PNC",D38)),1,0)</f>
        <v/>
      </c>
      <c r="AJ38">
        <f>IF(ISNUMBER(SEARCH("BERKADIA",D38)),1,0)</f>
        <v/>
      </c>
      <c r="AK38">
        <f>IF(ISNUMBER(SEARCH("DWIGHT",D38)),1,0)</f>
        <v/>
      </c>
      <c r="AL38" s="25">
        <f>T$4*(T38-T$3)</f>
        <v/>
      </c>
      <c r="AM38" s="25">
        <f>U$4*(U38-U$3)</f>
        <v/>
      </c>
      <c r="AN38" s="25">
        <f>V$4*(V38-V$3)</f>
        <v/>
      </c>
      <c r="AO38" s="25">
        <f>W$4*(W38-W$3)</f>
        <v/>
      </c>
      <c r="AP38" s="25">
        <f>X$4*(X38-X$3)</f>
        <v/>
      </c>
      <c r="AQ38" s="25">
        <f>Y$4*(Y38-Y$3)</f>
        <v/>
      </c>
      <c r="AR38" s="25">
        <f>Z$4*(Z38-Z$3)</f>
        <v/>
      </c>
      <c r="AS38" s="25">
        <f>AA$4*(AA38-AA$3)</f>
        <v/>
      </c>
      <c r="AT38" s="25">
        <f>AB$4*(AB38-AB$3)</f>
        <v/>
      </c>
      <c r="AU38" s="25">
        <f>AC$4*(AC38-AC$3)</f>
        <v/>
      </c>
      <c r="AV38" s="25">
        <f>AD$4*(AD38-AD$3)</f>
        <v/>
      </c>
      <c r="AW38" s="25">
        <f>AE$4*(AE38-AE$3)</f>
        <v/>
      </c>
      <c r="AX38" s="25">
        <f>AF$4*(AF38-AF$3)</f>
        <v/>
      </c>
      <c r="AY38" s="25">
        <f>AG$4*(AG38-AG$3)</f>
        <v/>
      </c>
      <c r="AZ38" s="25">
        <f>AH$4*(AH38-AH$3)</f>
        <v/>
      </c>
      <c r="BA38" s="25">
        <f>AI$4*(AI38-AI$3)</f>
        <v/>
      </c>
      <c r="BB38" s="25">
        <f>AJ$4*(AJ38-AJ$3)</f>
        <v/>
      </c>
      <c r="BC38" s="25">
        <f>AK$4*(AK38-AK$3)</f>
        <v/>
      </c>
      <c r="BD38" s="26">
        <f>SUM(AL38:BC38)</f>
        <v/>
      </c>
      <c r="BE38" s="26">
        <f>INTERCEPT_SCALED+BD38</f>
        <v/>
      </c>
      <c r="BF38" s="27">
        <f>1/(1+EXP(-BE38))</f>
        <v/>
      </c>
      <c r="BG38" s="13">
        <f>1-(1-BF38)^12</f>
        <v/>
      </c>
      <c r="BH38" s="13">
        <f>IFERROR(AL38/BD38*(BG38-BASELINE_CPR),0)</f>
        <v/>
      </c>
      <c r="BI38" s="13">
        <f>IFERROR(AM38/BD38*(BG38-BASELINE_CPR),0)</f>
        <v/>
      </c>
      <c r="BJ38" s="13">
        <f>IFERROR(AN38/BD38*(BG38-BASELINE_CPR),0)</f>
        <v/>
      </c>
      <c r="BK38" s="13">
        <f>IFERROR(AO38/BD38*(BG38-BASELINE_CPR),0)</f>
        <v/>
      </c>
      <c r="BL38" s="13">
        <f>IFERROR(AP38/BD38*(BG38-BASELINE_CPR),0)</f>
        <v/>
      </c>
      <c r="BM38" s="13">
        <f>IFERROR(AQ38/BD38*(BG38-BASELINE_CPR),0)</f>
        <v/>
      </c>
      <c r="BN38" s="13">
        <f>IFERROR(AR38/BD38*(BG38-BASELINE_CPR),0)</f>
        <v/>
      </c>
      <c r="BO38" s="13">
        <f>IFERROR(AS38/BD38*(BG38-BASELINE_CPR),0)</f>
        <v/>
      </c>
      <c r="BP38" s="13">
        <f>IFERROR(AT38/BD38*(BG38-BASELINE_CPR),0)</f>
        <v/>
      </c>
      <c r="BQ38" s="13">
        <f>IFERROR(AU38/BD38*(BG38-BASELINE_CPR),0)</f>
        <v/>
      </c>
      <c r="BR38" s="13">
        <f>IFERROR(AV38/BD38*(BG38-BASELINE_CPR),0)</f>
        <v/>
      </c>
      <c r="BS38" s="13">
        <f>IFERROR(AW38/BD38*(BG38-BASELINE_CPR),0)</f>
        <v/>
      </c>
      <c r="BT38" s="13">
        <f>IFERROR(AX38/BD38*(BG38-BASELINE_CPR),0)</f>
        <v/>
      </c>
      <c r="BU38" s="13">
        <f>IFERROR(AY38/BD38*(BG38-BASELINE_CPR),0)</f>
        <v/>
      </c>
      <c r="BV38" s="13">
        <f>IFERROR(AZ38/BD38*(BG38-BASELINE_CPR),0)</f>
        <v/>
      </c>
      <c r="BW38" s="13">
        <f>IFERROR(BA38/BD38*(BG38-BASELINE_CPR),0)</f>
        <v/>
      </c>
      <c r="BX38" s="13">
        <f>IFERROR(BB38/BD38*(BG38-BASELINE_CPR),0)</f>
        <v/>
      </c>
      <c r="BY38" s="13">
        <f>IFERROR(BC38/BD38*(BG38-BASELINE_CPR),0)</f>
        <v/>
      </c>
      <c r="BZ38" s="28">
        <f>BASELINE_CPR+SUM(BH38:BY38)-BG38</f>
        <v/>
      </c>
    </row>
    <row r="39">
      <c r="A39" s="2" t="inlineStr">
        <is>
          <t>3617Q5WR5_000000008335768</t>
        </is>
      </c>
      <c r="B39" t="inlineStr">
        <is>
          <t>LUMENT_PRE21</t>
        </is>
      </c>
      <c r="C39" s="2" t="inlineStr">
        <is>
          <t>3617Q5WR5</t>
        </is>
      </c>
      <c r="D39" t="inlineStr">
        <is>
          <t>LUMENT REAL ESTATE CAPITAL,LLC</t>
        </is>
      </c>
      <c r="E39" t="inlineStr">
        <is>
          <t>221d4</t>
        </is>
      </c>
      <c r="F39" t="inlineStr">
        <is>
          <t>NC</t>
        </is>
      </c>
      <c r="G39" t="n">
        <v>2020</v>
      </c>
      <c r="H39" t="inlineStr">
        <is>
          <t>202602</t>
        </is>
      </c>
      <c r="I39" s="22" t="n">
        <v>8926065.5</v>
      </c>
      <c r="J39" s="23" t="n">
        <v>3.05</v>
      </c>
      <c r="K39" s="24" t="n">
        <v>447</v>
      </c>
      <c r="L39" s="24" t="n">
        <v>7</v>
      </c>
      <c r="M39" t="n">
        <v>66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s="24">
        <f>J39*100-(K39+(1+L39)*12.5)</f>
        <v/>
      </c>
      <c r="U39">
        <f>O39</f>
        <v/>
      </c>
      <c r="V39">
        <f>M39</f>
        <v/>
      </c>
      <c r="W39" s="23">
        <f>LN(1+I39)</f>
        <v/>
      </c>
      <c r="X39">
        <f>IF(G39&gt;=2021,1,0)</f>
        <v/>
      </c>
      <c r="Y39">
        <f>N39</f>
        <v/>
      </c>
      <c r="Z39" s="23">
        <f>IF(ISNUMBER(M39),N39/MAX(M39,1),0)</f>
        <v/>
      </c>
      <c r="AA39">
        <f>P39</f>
        <v/>
      </c>
      <c r="AB39">
        <f>Q39</f>
        <v/>
      </c>
      <c r="AC39">
        <f>R39</f>
        <v/>
      </c>
      <c r="AD39">
        <f>S39</f>
        <v/>
      </c>
      <c r="AE39">
        <f>IF(ISNUMBER(SEARCH("CAPITAL FUNDING",D39)),1,0)</f>
        <v/>
      </c>
      <c r="AF39">
        <f>IF(ISNUMBER(SEARCH("MERCHANTS",D39)),1,0)</f>
        <v/>
      </c>
      <c r="AG39">
        <f>IF(ISNUMBER(SEARCH("WELLS FARGO",D39)),1,0)</f>
        <v/>
      </c>
      <c r="AH39">
        <f>IF(ISNUMBER(SEARCH("WALKER",D39)),1,0)</f>
        <v/>
      </c>
      <c r="AI39">
        <f>IF(ISNUMBER(SEARCH("PNC",D39)),1,0)</f>
        <v/>
      </c>
      <c r="AJ39">
        <f>IF(ISNUMBER(SEARCH("BERKADIA",D39)),1,0)</f>
        <v/>
      </c>
      <c r="AK39">
        <f>IF(ISNUMBER(SEARCH("DWIGHT",D39)),1,0)</f>
        <v/>
      </c>
      <c r="AL39" s="25">
        <f>T$4*(T39-T$3)</f>
        <v/>
      </c>
      <c r="AM39" s="25">
        <f>U$4*(U39-U$3)</f>
        <v/>
      </c>
      <c r="AN39" s="25">
        <f>V$4*(V39-V$3)</f>
        <v/>
      </c>
      <c r="AO39" s="25">
        <f>W$4*(W39-W$3)</f>
        <v/>
      </c>
      <c r="AP39" s="25">
        <f>X$4*(X39-X$3)</f>
        <v/>
      </c>
      <c r="AQ39" s="25">
        <f>Y$4*(Y39-Y$3)</f>
        <v/>
      </c>
      <c r="AR39" s="25">
        <f>Z$4*(Z39-Z$3)</f>
        <v/>
      </c>
      <c r="AS39" s="25">
        <f>AA$4*(AA39-AA$3)</f>
        <v/>
      </c>
      <c r="AT39" s="25">
        <f>AB$4*(AB39-AB$3)</f>
        <v/>
      </c>
      <c r="AU39" s="25">
        <f>AC$4*(AC39-AC$3)</f>
        <v/>
      </c>
      <c r="AV39" s="25">
        <f>AD$4*(AD39-AD$3)</f>
        <v/>
      </c>
      <c r="AW39" s="25">
        <f>AE$4*(AE39-AE$3)</f>
        <v/>
      </c>
      <c r="AX39" s="25">
        <f>AF$4*(AF39-AF$3)</f>
        <v/>
      </c>
      <c r="AY39" s="25">
        <f>AG$4*(AG39-AG$3)</f>
        <v/>
      </c>
      <c r="AZ39" s="25">
        <f>AH$4*(AH39-AH$3)</f>
        <v/>
      </c>
      <c r="BA39" s="25">
        <f>AI$4*(AI39-AI$3)</f>
        <v/>
      </c>
      <c r="BB39" s="25">
        <f>AJ$4*(AJ39-AJ$3)</f>
        <v/>
      </c>
      <c r="BC39" s="25">
        <f>AK$4*(AK39-AK$3)</f>
        <v/>
      </c>
      <c r="BD39" s="26">
        <f>SUM(AL39:BC39)</f>
        <v/>
      </c>
      <c r="BE39" s="26">
        <f>INTERCEPT_SCALED+BD39</f>
        <v/>
      </c>
      <c r="BF39" s="27">
        <f>1/(1+EXP(-BE39))</f>
        <v/>
      </c>
      <c r="BG39" s="13">
        <f>1-(1-BF39)^12</f>
        <v/>
      </c>
      <c r="BH39" s="13">
        <f>IFERROR(AL39/BD39*(BG39-BASELINE_CPR),0)</f>
        <v/>
      </c>
      <c r="BI39" s="13">
        <f>IFERROR(AM39/BD39*(BG39-BASELINE_CPR),0)</f>
        <v/>
      </c>
      <c r="BJ39" s="13">
        <f>IFERROR(AN39/BD39*(BG39-BASELINE_CPR),0)</f>
        <v/>
      </c>
      <c r="BK39" s="13">
        <f>IFERROR(AO39/BD39*(BG39-BASELINE_CPR),0)</f>
        <v/>
      </c>
      <c r="BL39" s="13">
        <f>IFERROR(AP39/BD39*(BG39-BASELINE_CPR),0)</f>
        <v/>
      </c>
      <c r="BM39" s="13">
        <f>IFERROR(AQ39/BD39*(BG39-BASELINE_CPR),0)</f>
        <v/>
      </c>
      <c r="BN39" s="13">
        <f>IFERROR(AR39/BD39*(BG39-BASELINE_CPR),0)</f>
        <v/>
      </c>
      <c r="BO39" s="13">
        <f>IFERROR(AS39/BD39*(BG39-BASELINE_CPR),0)</f>
        <v/>
      </c>
      <c r="BP39" s="13">
        <f>IFERROR(AT39/BD39*(BG39-BASELINE_CPR),0)</f>
        <v/>
      </c>
      <c r="BQ39" s="13">
        <f>IFERROR(AU39/BD39*(BG39-BASELINE_CPR),0)</f>
        <v/>
      </c>
      <c r="BR39" s="13">
        <f>IFERROR(AV39/BD39*(BG39-BASELINE_CPR),0)</f>
        <v/>
      </c>
      <c r="BS39" s="13">
        <f>IFERROR(AW39/BD39*(BG39-BASELINE_CPR),0)</f>
        <v/>
      </c>
      <c r="BT39" s="13">
        <f>IFERROR(AX39/BD39*(BG39-BASELINE_CPR),0)</f>
        <v/>
      </c>
      <c r="BU39" s="13">
        <f>IFERROR(AY39/BD39*(BG39-BASELINE_CPR),0)</f>
        <v/>
      </c>
      <c r="BV39" s="13">
        <f>IFERROR(AZ39/BD39*(BG39-BASELINE_CPR),0)</f>
        <v/>
      </c>
      <c r="BW39" s="13">
        <f>IFERROR(BA39/BD39*(BG39-BASELINE_CPR),0)</f>
        <v/>
      </c>
      <c r="BX39" s="13">
        <f>IFERROR(BB39/BD39*(BG39-BASELINE_CPR),0)</f>
        <v/>
      </c>
      <c r="BY39" s="13">
        <f>IFERROR(BC39/BD39*(BG39-BASELINE_CPR),0)</f>
        <v/>
      </c>
      <c r="BZ39" s="28">
        <f>BASELINE_CPR+SUM(BH39:BY39)-BG39</f>
        <v/>
      </c>
    </row>
    <row r="40">
      <c r="A40" s="2" t="inlineStr">
        <is>
          <t>3617U85F0_000000006535598</t>
        </is>
      </c>
      <c r="B40" t="inlineStr">
        <is>
          <t>BERKADIA_PRE21</t>
        </is>
      </c>
      <c r="C40" s="2" t="inlineStr">
        <is>
          <t>3617U85F0</t>
        </is>
      </c>
      <c r="D40" t="inlineStr">
        <is>
          <t>BERKADIA COMMERCIAL MORTGAGE, LLC</t>
        </is>
      </c>
      <c r="E40" t="inlineStr">
        <is>
          <t>221d4</t>
        </is>
      </c>
      <c r="F40" t="inlineStr">
        <is>
          <t>RP</t>
        </is>
      </c>
      <c r="G40" t="n">
        <v>2003</v>
      </c>
      <c r="H40" t="inlineStr">
        <is>
          <t>202602</t>
        </is>
      </c>
      <c r="I40" s="22" t="n">
        <v>500721.89</v>
      </c>
      <c r="J40" s="23" t="n">
        <v>2.45</v>
      </c>
      <c r="K40" s="24" t="n">
        <v>447</v>
      </c>
      <c r="L40" s="24" t="n">
        <v>6</v>
      </c>
      <c r="M40" t="n">
        <v>268</v>
      </c>
      <c r="N40" t="n">
        <v>13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s="24">
        <f>J40*100-(K40+(1+L40)*12.5)</f>
        <v/>
      </c>
      <c r="U40">
        <f>O40</f>
        <v/>
      </c>
      <c r="V40">
        <f>M40</f>
        <v/>
      </c>
      <c r="W40" s="23">
        <f>LN(1+I40)</f>
        <v/>
      </c>
      <c r="X40">
        <f>IF(G40&gt;=2021,1,0)</f>
        <v/>
      </c>
      <c r="Y40">
        <f>N40</f>
        <v/>
      </c>
      <c r="Z40" s="23">
        <f>IF(ISNUMBER(M40),N40/MAX(M40,1),0)</f>
        <v/>
      </c>
      <c r="AA40">
        <f>P40</f>
        <v/>
      </c>
      <c r="AB40">
        <f>Q40</f>
        <v/>
      </c>
      <c r="AC40">
        <f>R40</f>
        <v/>
      </c>
      <c r="AD40">
        <f>S40</f>
        <v/>
      </c>
      <c r="AE40">
        <f>IF(ISNUMBER(SEARCH("CAPITAL FUNDING",D40)),1,0)</f>
        <v/>
      </c>
      <c r="AF40">
        <f>IF(ISNUMBER(SEARCH("MERCHANTS",D40)),1,0)</f>
        <v/>
      </c>
      <c r="AG40">
        <f>IF(ISNUMBER(SEARCH("WELLS FARGO",D40)),1,0)</f>
        <v/>
      </c>
      <c r="AH40">
        <f>IF(ISNUMBER(SEARCH("WALKER",D40)),1,0)</f>
        <v/>
      </c>
      <c r="AI40">
        <f>IF(ISNUMBER(SEARCH("PNC",D40)),1,0)</f>
        <v/>
      </c>
      <c r="AJ40">
        <f>IF(ISNUMBER(SEARCH("BERKADIA",D40)),1,0)</f>
        <v/>
      </c>
      <c r="AK40">
        <f>IF(ISNUMBER(SEARCH("DWIGHT",D40)),1,0)</f>
        <v/>
      </c>
      <c r="AL40" s="25">
        <f>T$4*(T40-T$3)</f>
        <v/>
      </c>
      <c r="AM40" s="25">
        <f>U$4*(U40-U$3)</f>
        <v/>
      </c>
      <c r="AN40" s="25">
        <f>V$4*(V40-V$3)</f>
        <v/>
      </c>
      <c r="AO40" s="25">
        <f>W$4*(W40-W$3)</f>
        <v/>
      </c>
      <c r="AP40" s="25">
        <f>X$4*(X40-X$3)</f>
        <v/>
      </c>
      <c r="AQ40" s="25">
        <f>Y$4*(Y40-Y$3)</f>
        <v/>
      </c>
      <c r="AR40" s="25">
        <f>Z$4*(Z40-Z$3)</f>
        <v/>
      </c>
      <c r="AS40" s="25">
        <f>AA$4*(AA40-AA$3)</f>
        <v/>
      </c>
      <c r="AT40" s="25">
        <f>AB$4*(AB40-AB$3)</f>
        <v/>
      </c>
      <c r="AU40" s="25">
        <f>AC$4*(AC40-AC$3)</f>
        <v/>
      </c>
      <c r="AV40" s="25">
        <f>AD$4*(AD40-AD$3)</f>
        <v/>
      </c>
      <c r="AW40" s="25">
        <f>AE$4*(AE40-AE$3)</f>
        <v/>
      </c>
      <c r="AX40" s="25">
        <f>AF$4*(AF40-AF$3)</f>
        <v/>
      </c>
      <c r="AY40" s="25">
        <f>AG$4*(AG40-AG$3)</f>
        <v/>
      </c>
      <c r="AZ40" s="25">
        <f>AH$4*(AH40-AH$3)</f>
        <v/>
      </c>
      <c r="BA40" s="25">
        <f>AI$4*(AI40-AI$3)</f>
        <v/>
      </c>
      <c r="BB40" s="25">
        <f>AJ$4*(AJ40-AJ$3)</f>
        <v/>
      </c>
      <c r="BC40" s="25">
        <f>AK$4*(AK40-AK$3)</f>
        <v/>
      </c>
      <c r="BD40" s="26">
        <f>SUM(AL40:BC40)</f>
        <v/>
      </c>
      <c r="BE40" s="26">
        <f>INTERCEPT_SCALED+BD40</f>
        <v/>
      </c>
      <c r="BF40" s="27">
        <f>1/(1+EXP(-BE40))</f>
        <v/>
      </c>
      <c r="BG40" s="13">
        <f>1-(1-BF40)^12</f>
        <v/>
      </c>
      <c r="BH40" s="13">
        <f>IFERROR(AL40/BD40*(BG40-BASELINE_CPR),0)</f>
        <v/>
      </c>
      <c r="BI40" s="13">
        <f>IFERROR(AM40/BD40*(BG40-BASELINE_CPR),0)</f>
        <v/>
      </c>
      <c r="BJ40" s="13">
        <f>IFERROR(AN40/BD40*(BG40-BASELINE_CPR),0)</f>
        <v/>
      </c>
      <c r="BK40" s="13">
        <f>IFERROR(AO40/BD40*(BG40-BASELINE_CPR),0)</f>
        <v/>
      </c>
      <c r="BL40" s="13">
        <f>IFERROR(AP40/BD40*(BG40-BASELINE_CPR),0)</f>
        <v/>
      </c>
      <c r="BM40" s="13">
        <f>IFERROR(AQ40/BD40*(BG40-BASELINE_CPR),0)</f>
        <v/>
      </c>
      <c r="BN40" s="13">
        <f>IFERROR(AR40/BD40*(BG40-BASELINE_CPR),0)</f>
        <v/>
      </c>
      <c r="BO40" s="13">
        <f>IFERROR(AS40/BD40*(BG40-BASELINE_CPR),0)</f>
        <v/>
      </c>
      <c r="BP40" s="13">
        <f>IFERROR(AT40/BD40*(BG40-BASELINE_CPR),0)</f>
        <v/>
      </c>
      <c r="BQ40" s="13">
        <f>IFERROR(AU40/BD40*(BG40-BASELINE_CPR),0)</f>
        <v/>
      </c>
      <c r="BR40" s="13">
        <f>IFERROR(AV40/BD40*(BG40-BASELINE_CPR),0)</f>
        <v/>
      </c>
      <c r="BS40" s="13">
        <f>IFERROR(AW40/BD40*(BG40-BASELINE_CPR),0)</f>
        <v/>
      </c>
      <c r="BT40" s="13">
        <f>IFERROR(AX40/BD40*(BG40-BASELINE_CPR),0)</f>
        <v/>
      </c>
      <c r="BU40" s="13">
        <f>IFERROR(AY40/BD40*(BG40-BASELINE_CPR),0)</f>
        <v/>
      </c>
      <c r="BV40" s="13">
        <f>IFERROR(AZ40/BD40*(BG40-BASELINE_CPR),0)</f>
        <v/>
      </c>
      <c r="BW40" s="13">
        <f>IFERROR(BA40/BD40*(BG40-BASELINE_CPR),0)</f>
        <v/>
      </c>
      <c r="BX40" s="13">
        <f>IFERROR(BB40/BD40*(BG40-BASELINE_CPR),0)</f>
        <v/>
      </c>
      <c r="BY40" s="13">
        <f>IFERROR(BC40/BD40*(BG40-BASELINE_CPR),0)</f>
        <v/>
      </c>
      <c r="BZ40" s="28">
        <f>BASELINE_CPR+SUM(BH40:BY40)-BG40</f>
        <v/>
      </c>
    </row>
    <row r="41">
      <c r="A41" s="2" t="inlineStr">
        <is>
          <t>36189MGT9_000000007111384</t>
        </is>
      </c>
      <c r="B41" t="inlineStr">
        <is>
          <t>BERKADIA_PRE21</t>
        </is>
      </c>
      <c r="C41" s="2" t="inlineStr">
        <is>
          <t>36189MGT9</t>
        </is>
      </c>
      <c r="D41" t="inlineStr">
        <is>
          <t>BERKADIA COMMERCIAL MORTGAGE, LLC</t>
        </is>
      </c>
      <c r="E41" t="inlineStr">
        <is>
          <t>223f</t>
        </is>
      </c>
      <c r="F41" t="inlineStr">
        <is>
          <t>RP</t>
        </is>
      </c>
      <c r="G41" t="n">
        <v>2015</v>
      </c>
      <c r="H41" t="inlineStr">
        <is>
          <t>202602</t>
        </is>
      </c>
      <c r="I41" s="22" t="n">
        <v>3434607.45</v>
      </c>
      <c r="J41" s="23" t="n">
        <v>3.25</v>
      </c>
      <c r="K41" s="24" t="n">
        <v>447</v>
      </c>
      <c r="L41" s="24" t="n">
        <v>0</v>
      </c>
      <c r="M41" t="n">
        <v>125</v>
      </c>
      <c r="N41" t="n">
        <v>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s="24">
        <f>J41*100-(K41+(1+L41)*12.5)</f>
        <v/>
      </c>
      <c r="U41">
        <f>O41</f>
        <v/>
      </c>
      <c r="V41">
        <f>M41</f>
        <v/>
      </c>
      <c r="W41" s="23">
        <f>LN(1+I41)</f>
        <v/>
      </c>
      <c r="X41">
        <f>IF(G41&gt;=2021,1,0)</f>
        <v/>
      </c>
      <c r="Y41">
        <f>N41</f>
        <v/>
      </c>
      <c r="Z41" s="23">
        <f>IF(ISNUMBER(M41),N41/MAX(M41,1),0)</f>
        <v/>
      </c>
      <c r="AA41">
        <f>P41</f>
        <v/>
      </c>
      <c r="AB41">
        <f>Q41</f>
        <v/>
      </c>
      <c r="AC41">
        <f>R41</f>
        <v/>
      </c>
      <c r="AD41">
        <f>S41</f>
        <v/>
      </c>
      <c r="AE41">
        <f>IF(ISNUMBER(SEARCH("CAPITAL FUNDING",D41)),1,0)</f>
        <v/>
      </c>
      <c r="AF41">
        <f>IF(ISNUMBER(SEARCH("MERCHANTS",D41)),1,0)</f>
        <v/>
      </c>
      <c r="AG41">
        <f>IF(ISNUMBER(SEARCH("WELLS FARGO",D41)),1,0)</f>
        <v/>
      </c>
      <c r="AH41">
        <f>IF(ISNUMBER(SEARCH("WALKER",D41)),1,0)</f>
        <v/>
      </c>
      <c r="AI41">
        <f>IF(ISNUMBER(SEARCH("PNC",D41)),1,0)</f>
        <v/>
      </c>
      <c r="AJ41">
        <f>IF(ISNUMBER(SEARCH("BERKADIA",D41)),1,0)</f>
        <v/>
      </c>
      <c r="AK41">
        <f>IF(ISNUMBER(SEARCH("DWIGHT",D41)),1,0)</f>
        <v/>
      </c>
      <c r="AL41" s="25">
        <f>T$4*(T41-T$3)</f>
        <v/>
      </c>
      <c r="AM41" s="25">
        <f>U$4*(U41-U$3)</f>
        <v/>
      </c>
      <c r="AN41" s="25">
        <f>V$4*(V41-V$3)</f>
        <v/>
      </c>
      <c r="AO41" s="25">
        <f>W$4*(W41-W$3)</f>
        <v/>
      </c>
      <c r="AP41" s="25">
        <f>X$4*(X41-X$3)</f>
        <v/>
      </c>
      <c r="AQ41" s="25">
        <f>Y$4*(Y41-Y$3)</f>
        <v/>
      </c>
      <c r="AR41" s="25">
        <f>Z$4*(Z41-Z$3)</f>
        <v/>
      </c>
      <c r="AS41" s="25">
        <f>AA$4*(AA41-AA$3)</f>
        <v/>
      </c>
      <c r="AT41" s="25">
        <f>AB$4*(AB41-AB$3)</f>
        <v/>
      </c>
      <c r="AU41" s="25">
        <f>AC$4*(AC41-AC$3)</f>
        <v/>
      </c>
      <c r="AV41" s="25">
        <f>AD$4*(AD41-AD$3)</f>
        <v/>
      </c>
      <c r="AW41" s="25">
        <f>AE$4*(AE41-AE$3)</f>
        <v/>
      </c>
      <c r="AX41" s="25">
        <f>AF$4*(AF41-AF$3)</f>
        <v/>
      </c>
      <c r="AY41" s="25">
        <f>AG$4*(AG41-AG$3)</f>
        <v/>
      </c>
      <c r="AZ41" s="25">
        <f>AH$4*(AH41-AH$3)</f>
        <v/>
      </c>
      <c r="BA41" s="25">
        <f>AI$4*(AI41-AI$3)</f>
        <v/>
      </c>
      <c r="BB41" s="25">
        <f>AJ$4*(AJ41-AJ$3)</f>
        <v/>
      </c>
      <c r="BC41" s="25">
        <f>AK$4*(AK41-AK$3)</f>
        <v/>
      </c>
      <c r="BD41" s="26">
        <f>SUM(AL41:BC41)</f>
        <v/>
      </c>
      <c r="BE41" s="26">
        <f>INTERCEPT_SCALED+BD41</f>
        <v/>
      </c>
      <c r="BF41" s="27">
        <f>1/(1+EXP(-BE41))</f>
        <v/>
      </c>
      <c r="BG41" s="13">
        <f>1-(1-BF41)^12</f>
        <v/>
      </c>
      <c r="BH41" s="13">
        <f>IFERROR(AL41/BD41*(BG41-BASELINE_CPR),0)</f>
        <v/>
      </c>
      <c r="BI41" s="13">
        <f>IFERROR(AM41/BD41*(BG41-BASELINE_CPR),0)</f>
        <v/>
      </c>
      <c r="BJ41" s="13">
        <f>IFERROR(AN41/BD41*(BG41-BASELINE_CPR),0)</f>
        <v/>
      </c>
      <c r="BK41" s="13">
        <f>IFERROR(AO41/BD41*(BG41-BASELINE_CPR),0)</f>
        <v/>
      </c>
      <c r="BL41" s="13">
        <f>IFERROR(AP41/BD41*(BG41-BASELINE_CPR),0)</f>
        <v/>
      </c>
      <c r="BM41" s="13">
        <f>IFERROR(AQ41/BD41*(BG41-BASELINE_CPR),0)</f>
        <v/>
      </c>
      <c r="BN41" s="13">
        <f>IFERROR(AR41/BD41*(BG41-BASELINE_CPR),0)</f>
        <v/>
      </c>
      <c r="BO41" s="13">
        <f>IFERROR(AS41/BD41*(BG41-BASELINE_CPR),0)</f>
        <v/>
      </c>
      <c r="BP41" s="13">
        <f>IFERROR(AT41/BD41*(BG41-BASELINE_CPR),0)</f>
        <v/>
      </c>
      <c r="BQ41" s="13">
        <f>IFERROR(AU41/BD41*(BG41-BASELINE_CPR),0)</f>
        <v/>
      </c>
      <c r="BR41" s="13">
        <f>IFERROR(AV41/BD41*(BG41-BASELINE_CPR),0)</f>
        <v/>
      </c>
      <c r="BS41" s="13">
        <f>IFERROR(AW41/BD41*(BG41-BASELINE_CPR),0)</f>
        <v/>
      </c>
      <c r="BT41" s="13">
        <f>IFERROR(AX41/BD41*(BG41-BASELINE_CPR),0)</f>
        <v/>
      </c>
      <c r="BU41" s="13">
        <f>IFERROR(AY41/BD41*(BG41-BASELINE_CPR),0)</f>
        <v/>
      </c>
      <c r="BV41" s="13">
        <f>IFERROR(AZ41/BD41*(BG41-BASELINE_CPR),0)</f>
        <v/>
      </c>
      <c r="BW41" s="13">
        <f>IFERROR(BA41/BD41*(BG41-BASELINE_CPR),0)</f>
        <v/>
      </c>
      <c r="BX41" s="13">
        <f>IFERROR(BB41/BD41*(BG41-BASELINE_CPR),0)</f>
        <v/>
      </c>
      <c r="BY41" s="13">
        <f>IFERROR(BC41/BD41*(BG41-BASELINE_CPR),0)</f>
        <v/>
      </c>
      <c r="BZ41" s="28">
        <f>BASELINE_CPR+SUM(BH41:BY41)-BG41</f>
        <v/>
      </c>
    </row>
    <row r="42">
      <c r="A42" s="2" t="inlineStr">
        <is>
          <t>36177YET9_000000006311078</t>
        </is>
      </c>
      <c r="B42" t="inlineStr">
        <is>
          <t>BERKADIA_PRE21</t>
        </is>
      </c>
      <c r="C42" s="2" t="inlineStr">
        <is>
          <t>36177YET9</t>
        </is>
      </c>
      <c r="D42" t="inlineStr">
        <is>
          <t>BERKADIA COMMERCIAL MORTGAGE, LLC</t>
        </is>
      </c>
      <c r="E42" t="inlineStr">
        <is>
          <t>223f</t>
        </is>
      </c>
      <c r="F42" t="inlineStr">
        <is>
          <t>RP</t>
        </is>
      </c>
      <c r="G42" t="n">
        <v>2012</v>
      </c>
      <c r="H42" t="inlineStr">
        <is>
          <t>202602</t>
        </is>
      </c>
      <c r="I42" s="22" t="n">
        <v>8184805.03</v>
      </c>
      <c r="J42" s="23" t="n">
        <v>3.2</v>
      </c>
      <c r="K42" s="24" t="n">
        <v>447</v>
      </c>
      <c r="L42" s="24" t="n">
        <v>0</v>
      </c>
      <c r="M42" t="n">
        <v>167</v>
      </c>
      <c r="N42" t="n">
        <v>30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s="24">
        <f>J42*100-(K42+(1+L42)*12.5)</f>
        <v/>
      </c>
      <c r="U42">
        <f>O42</f>
        <v/>
      </c>
      <c r="V42">
        <f>M42</f>
        <v/>
      </c>
      <c r="W42" s="23">
        <f>LN(1+I42)</f>
        <v/>
      </c>
      <c r="X42">
        <f>IF(G42&gt;=2021,1,0)</f>
        <v/>
      </c>
      <c r="Y42">
        <f>N42</f>
        <v/>
      </c>
      <c r="Z42" s="23">
        <f>IF(ISNUMBER(M42),N42/MAX(M42,1),0)</f>
        <v/>
      </c>
      <c r="AA42">
        <f>P42</f>
        <v/>
      </c>
      <c r="AB42">
        <f>Q42</f>
        <v/>
      </c>
      <c r="AC42">
        <f>R42</f>
        <v/>
      </c>
      <c r="AD42">
        <f>S42</f>
        <v/>
      </c>
      <c r="AE42">
        <f>IF(ISNUMBER(SEARCH("CAPITAL FUNDING",D42)),1,0)</f>
        <v/>
      </c>
      <c r="AF42">
        <f>IF(ISNUMBER(SEARCH("MERCHANTS",D42)),1,0)</f>
        <v/>
      </c>
      <c r="AG42">
        <f>IF(ISNUMBER(SEARCH("WELLS FARGO",D42)),1,0)</f>
        <v/>
      </c>
      <c r="AH42">
        <f>IF(ISNUMBER(SEARCH("WALKER",D42)),1,0)</f>
        <v/>
      </c>
      <c r="AI42">
        <f>IF(ISNUMBER(SEARCH("PNC",D42)),1,0)</f>
        <v/>
      </c>
      <c r="AJ42">
        <f>IF(ISNUMBER(SEARCH("BERKADIA",D42)),1,0)</f>
        <v/>
      </c>
      <c r="AK42">
        <f>IF(ISNUMBER(SEARCH("DWIGHT",D42)),1,0)</f>
        <v/>
      </c>
      <c r="AL42" s="25">
        <f>T$4*(T42-T$3)</f>
        <v/>
      </c>
      <c r="AM42" s="25">
        <f>U$4*(U42-U$3)</f>
        <v/>
      </c>
      <c r="AN42" s="25">
        <f>V$4*(V42-V$3)</f>
        <v/>
      </c>
      <c r="AO42" s="25">
        <f>W$4*(W42-W$3)</f>
        <v/>
      </c>
      <c r="AP42" s="25">
        <f>X$4*(X42-X$3)</f>
        <v/>
      </c>
      <c r="AQ42" s="25">
        <f>Y$4*(Y42-Y$3)</f>
        <v/>
      </c>
      <c r="AR42" s="25">
        <f>Z$4*(Z42-Z$3)</f>
        <v/>
      </c>
      <c r="AS42" s="25">
        <f>AA$4*(AA42-AA$3)</f>
        <v/>
      </c>
      <c r="AT42" s="25">
        <f>AB$4*(AB42-AB$3)</f>
        <v/>
      </c>
      <c r="AU42" s="25">
        <f>AC$4*(AC42-AC$3)</f>
        <v/>
      </c>
      <c r="AV42" s="25">
        <f>AD$4*(AD42-AD$3)</f>
        <v/>
      </c>
      <c r="AW42" s="25">
        <f>AE$4*(AE42-AE$3)</f>
        <v/>
      </c>
      <c r="AX42" s="25">
        <f>AF$4*(AF42-AF$3)</f>
        <v/>
      </c>
      <c r="AY42" s="25">
        <f>AG$4*(AG42-AG$3)</f>
        <v/>
      </c>
      <c r="AZ42" s="25">
        <f>AH$4*(AH42-AH$3)</f>
        <v/>
      </c>
      <c r="BA42" s="25">
        <f>AI$4*(AI42-AI$3)</f>
        <v/>
      </c>
      <c r="BB42" s="25">
        <f>AJ$4*(AJ42-AJ$3)</f>
        <v/>
      </c>
      <c r="BC42" s="25">
        <f>AK$4*(AK42-AK$3)</f>
        <v/>
      </c>
      <c r="BD42" s="26">
        <f>SUM(AL42:BC42)</f>
        <v/>
      </c>
      <c r="BE42" s="26">
        <f>INTERCEPT_SCALED+BD42</f>
        <v/>
      </c>
      <c r="BF42" s="27">
        <f>1/(1+EXP(-BE42))</f>
        <v/>
      </c>
      <c r="BG42" s="13">
        <f>1-(1-BF42)^12</f>
        <v/>
      </c>
      <c r="BH42" s="13">
        <f>IFERROR(AL42/BD42*(BG42-BASELINE_CPR),0)</f>
        <v/>
      </c>
      <c r="BI42" s="13">
        <f>IFERROR(AM42/BD42*(BG42-BASELINE_CPR),0)</f>
        <v/>
      </c>
      <c r="BJ42" s="13">
        <f>IFERROR(AN42/BD42*(BG42-BASELINE_CPR),0)</f>
        <v/>
      </c>
      <c r="BK42" s="13">
        <f>IFERROR(AO42/BD42*(BG42-BASELINE_CPR),0)</f>
        <v/>
      </c>
      <c r="BL42" s="13">
        <f>IFERROR(AP42/BD42*(BG42-BASELINE_CPR),0)</f>
        <v/>
      </c>
      <c r="BM42" s="13">
        <f>IFERROR(AQ42/BD42*(BG42-BASELINE_CPR),0)</f>
        <v/>
      </c>
      <c r="BN42" s="13">
        <f>IFERROR(AR42/BD42*(BG42-BASELINE_CPR),0)</f>
        <v/>
      </c>
      <c r="BO42" s="13">
        <f>IFERROR(AS42/BD42*(BG42-BASELINE_CPR),0)</f>
        <v/>
      </c>
      <c r="BP42" s="13">
        <f>IFERROR(AT42/BD42*(BG42-BASELINE_CPR),0)</f>
        <v/>
      </c>
      <c r="BQ42" s="13">
        <f>IFERROR(AU42/BD42*(BG42-BASELINE_CPR),0)</f>
        <v/>
      </c>
      <c r="BR42" s="13">
        <f>IFERROR(AV42/BD42*(BG42-BASELINE_CPR),0)</f>
        <v/>
      </c>
      <c r="BS42" s="13">
        <f>IFERROR(AW42/BD42*(BG42-BASELINE_CPR),0)</f>
        <v/>
      </c>
      <c r="BT42" s="13">
        <f>IFERROR(AX42/BD42*(BG42-BASELINE_CPR),0)</f>
        <v/>
      </c>
      <c r="BU42" s="13">
        <f>IFERROR(AY42/BD42*(BG42-BASELINE_CPR),0)</f>
        <v/>
      </c>
      <c r="BV42" s="13">
        <f>IFERROR(AZ42/BD42*(BG42-BASELINE_CPR),0)</f>
        <v/>
      </c>
      <c r="BW42" s="13">
        <f>IFERROR(BA42/BD42*(BG42-BASELINE_CPR),0)</f>
        <v/>
      </c>
      <c r="BX42" s="13">
        <f>IFERROR(BB42/BD42*(BG42-BASELINE_CPR),0)</f>
        <v/>
      </c>
      <c r="BY42" s="13">
        <f>IFERROR(BC42/BD42*(BG42-BASELINE_CPR),0)</f>
        <v/>
      </c>
      <c r="BZ42" s="28">
        <f>BASELINE_CPR+SUM(BH42:BY42)-BG42</f>
        <v/>
      </c>
    </row>
    <row r="43">
      <c r="A43" s="2" t="inlineStr">
        <is>
          <t>3617F6YS1_000000005111525</t>
        </is>
      </c>
      <c r="B43" t="inlineStr">
        <is>
          <t>BERKADIA_POST21</t>
        </is>
      </c>
      <c r="C43" s="2" t="inlineStr">
        <is>
          <t>3617F6YS1</t>
        </is>
      </c>
      <c r="D43" t="inlineStr">
        <is>
          <t>BERKADIA COMMERCIAL MORTGAGE, LLC</t>
        </is>
      </c>
      <c r="E43" t="inlineStr">
        <is>
          <t>223f</t>
        </is>
      </c>
      <c r="F43" t="inlineStr">
        <is>
          <t>RP</t>
        </is>
      </c>
      <c r="G43" t="n">
        <v>2022</v>
      </c>
      <c r="H43" t="inlineStr">
        <is>
          <t>202602</t>
        </is>
      </c>
      <c r="I43" s="22" t="n">
        <v>19717396.4</v>
      </c>
      <c r="J43" s="23" t="n">
        <v>4.45</v>
      </c>
      <c r="K43" s="24" t="n">
        <v>447</v>
      </c>
      <c r="L43" s="24" t="n">
        <v>8</v>
      </c>
      <c r="M43" t="n">
        <v>43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s="24">
        <f>J43*100-(K43+(1+L43)*12.5)</f>
        <v/>
      </c>
      <c r="U43">
        <f>O43</f>
        <v/>
      </c>
      <c r="V43">
        <f>M43</f>
        <v/>
      </c>
      <c r="W43" s="23">
        <f>LN(1+I43)</f>
        <v/>
      </c>
      <c r="X43">
        <f>IF(G43&gt;=2021,1,0)</f>
        <v/>
      </c>
      <c r="Y43">
        <f>N43</f>
        <v/>
      </c>
      <c r="Z43" s="23">
        <f>IF(ISNUMBER(M43),N43/MAX(M43,1),0)</f>
        <v/>
      </c>
      <c r="AA43">
        <f>P43</f>
        <v/>
      </c>
      <c r="AB43">
        <f>Q43</f>
        <v/>
      </c>
      <c r="AC43">
        <f>R43</f>
        <v/>
      </c>
      <c r="AD43">
        <f>S43</f>
        <v/>
      </c>
      <c r="AE43">
        <f>IF(ISNUMBER(SEARCH("CAPITAL FUNDING",D43)),1,0)</f>
        <v/>
      </c>
      <c r="AF43">
        <f>IF(ISNUMBER(SEARCH("MERCHANTS",D43)),1,0)</f>
        <v/>
      </c>
      <c r="AG43">
        <f>IF(ISNUMBER(SEARCH("WELLS FARGO",D43)),1,0)</f>
        <v/>
      </c>
      <c r="AH43">
        <f>IF(ISNUMBER(SEARCH("WALKER",D43)),1,0)</f>
        <v/>
      </c>
      <c r="AI43">
        <f>IF(ISNUMBER(SEARCH("PNC",D43)),1,0)</f>
        <v/>
      </c>
      <c r="AJ43">
        <f>IF(ISNUMBER(SEARCH("BERKADIA",D43)),1,0)</f>
        <v/>
      </c>
      <c r="AK43">
        <f>IF(ISNUMBER(SEARCH("DWIGHT",D43)),1,0)</f>
        <v/>
      </c>
      <c r="AL43" s="25">
        <f>T$4*(T43-T$3)</f>
        <v/>
      </c>
      <c r="AM43" s="25">
        <f>U$4*(U43-U$3)</f>
        <v/>
      </c>
      <c r="AN43" s="25">
        <f>V$4*(V43-V$3)</f>
        <v/>
      </c>
      <c r="AO43" s="25">
        <f>W$4*(W43-W$3)</f>
        <v/>
      </c>
      <c r="AP43" s="25">
        <f>X$4*(X43-X$3)</f>
        <v/>
      </c>
      <c r="AQ43" s="25">
        <f>Y$4*(Y43-Y$3)</f>
        <v/>
      </c>
      <c r="AR43" s="25">
        <f>Z$4*(Z43-Z$3)</f>
        <v/>
      </c>
      <c r="AS43" s="25">
        <f>AA$4*(AA43-AA$3)</f>
        <v/>
      </c>
      <c r="AT43" s="25">
        <f>AB$4*(AB43-AB$3)</f>
        <v/>
      </c>
      <c r="AU43" s="25">
        <f>AC$4*(AC43-AC$3)</f>
        <v/>
      </c>
      <c r="AV43" s="25">
        <f>AD$4*(AD43-AD$3)</f>
        <v/>
      </c>
      <c r="AW43" s="25">
        <f>AE$4*(AE43-AE$3)</f>
        <v/>
      </c>
      <c r="AX43" s="25">
        <f>AF$4*(AF43-AF$3)</f>
        <v/>
      </c>
      <c r="AY43" s="25">
        <f>AG$4*(AG43-AG$3)</f>
        <v/>
      </c>
      <c r="AZ43" s="25">
        <f>AH$4*(AH43-AH$3)</f>
        <v/>
      </c>
      <c r="BA43" s="25">
        <f>AI$4*(AI43-AI$3)</f>
        <v/>
      </c>
      <c r="BB43" s="25">
        <f>AJ$4*(AJ43-AJ$3)</f>
        <v/>
      </c>
      <c r="BC43" s="25">
        <f>AK$4*(AK43-AK$3)</f>
        <v/>
      </c>
      <c r="BD43" s="26">
        <f>SUM(AL43:BC43)</f>
        <v/>
      </c>
      <c r="BE43" s="26">
        <f>INTERCEPT_SCALED+BD43</f>
        <v/>
      </c>
      <c r="BF43" s="27">
        <f>1/(1+EXP(-BE43))</f>
        <v/>
      </c>
      <c r="BG43" s="13">
        <f>1-(1-BF43)^12</f>
        <v/>
      </c>
      <c r="BH43" s="13">
        <f>IFERROR(AL43/BD43*(BG43-BASELINE_CPR),0)</f>
        <v/>
      </c>
      <c r="BI43" s="13">
        <f>IFERROR(AM43/BD43*(BG43-BASELINE_CPR),0)</f>
        <v/>
      </c>
      <c r="BJ43" s="13">
        <f>IFERROR(AN43/BD43*(BG43-BASELINE_CPR),0)</f>
        <v/>
      </c>
      <c r="BK43" s="13">
        <f>IFERROR(AO43/BD43*(BG43-BASELINE_CPR),0)</f>
        <v/>
      </c>
      <c r="BL43" s="13">
        <f>IFERROR(AP43/BD43*(BG43-BASELINE_CPR),0)</f>
        <v/>
      </c>
      <c r="BM43" s="13">
        <f>IFERROR(AQ43/BD43*(BG43-BASELINE_CPR),0)</f>
        <v/>
      </c>
      <c r="BN43" s="13">
        <f>IFERROR(AR43/BD43*(BG43-BASELINE_CPR),0)</f>
        <v/>
      </c>
      <c r="BO43" s="13">
        <f>IFERROR(AS43/BD43*(BG43-BASELINE_CPR),0)</f>
        <v/>
      </c>
      <c r="BP43" s="13">
        <f>IFERROR(AT43/BD43*(BG43-BASELINE_CPR),0)</f>
        <v/>
      </c>
      <c r="BQ43" s="13">
        <f>IFERROR(AU43/BD43*(BG43-BASELINE_CPR),0)</f>
        <v/>
      </c>
      <c r="BR43" s="13">
        <f>IFERROR(AV43/BD43*(BG43-BASELINE_CPR),0)</f>
        <v/>
      </c>
      <c r="BS43" s="13">
        <f>IFERROR(AW43/BD43*(BG43-BASELINE_CPR),0)</f>
        <v/>
      </c>
      <c r="BT43" s="13">
        <f>IFERROR(AX43/BD43*(BG43-BASELINE_CPR),0)</f>
        <v/>
      </c>
      <c r="BU43" s="13">
        <f>IFERROR(AY43/BD43*(BG43-BASELINE_CPR),0)</f>
        <v/>
      </c>
      <c r="BV43" s="13">
        <f>IFERROR(AZ43/BD43*(BG43-BASELINE_CPR),0)</f>
        <v/>
      </c>
      <c r="BW43" s="13">
        <f>IFERROR(BA43/BD43*(BG43-BASELINE_CPR),0)</f>
        <v/>
      </c>
      <c r="BX43" s="13">
        <f>IFERROR(BB43/BD43*(BG43-BASELINE_CPR),0)</f>
        <v/>
      </c>
      <c r="BY43" s="13">
        <f>IFERROR(BC43/BD43*(BG43-BASELINE_CPR),0)</f>
        <v/>
      </c>
      <c r="BZ43" s="28">
        <f>BASELINE_CPR+SUM(BH43:BY43)-BG43</f>
        <v/>
      </c>
    </row>
    <row r="44">
      <c r="A44" s="2" t="inlineStr">
        <is>
          <t>3617VFMT4_000000004711152</t>
        </is>
      </c>
      <c r="B44" t="inlineStr">
        <is>
          <t>BERKADIA_PRE21</t>
        </is>
      </c>
      <c r="C44" s="2" t="inlineStr">
        <is>
          <t>3617VFMT4</t>
        </is>
      </c>
      <c r="D44" t="inlineStr">
        <is>
          <t>BERKADIA COMMERCIAL MORTGAGE, LLC</t>
        </is>
      </c>
      <c r="E44" t="inlineStr">
        <is>
          <t>223f</t>
        </is>
      </c>
      <c r="F44" t="inlineStr">
        <is>
          <t>RP</t>
        </is>
      </c>
      <c r="G44" t="n">
        <v>2013</v>
      </c>
      <c r="H44" t="inlineStr">
        <is>
          <t>202602</t>
        </is>
      </c>
      <c r="I44" s="22" t="n">
        <v>345445.31</v>
      </c>
      <c r="J44" s="23" t="n">
        <v>2.9</v>
      </c>
      <c r="K44" s="24" t="n">
        <v>447</v>
      </c>
      <c r="L44" s="24" t="n">
        <v>7</v>
      </c>
      <c r="M44" t="n">
        <v>149</v>
      </c>
      <c r="N44" t="n">
        <v>9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s="24">
        <f>J44*100-(K44+(1+L44)*12.5)</f>
        <v/>
      </c>
      <c r="U44">
        <f>O44</f>
        <v/>
      </c>
      <c r="V44">
        <f>M44</f>
        <v/>
      </c>
      <c r="W44" s="23">
        <f>LN(1+I44)</f>
        <v/>
      </c>
      <c r="X44">
        <f>IF(G44&gt;=2021,1,0)</f>
        <v/>
      </c>
      <c r="Y44">
        <f>N44</f>
        <v/>
      </c>
      <c r="Z44" s="23">
        <f>IF(ISNUMBER(M44),N44/MAX(M44,1),0)</f>
        <v/>
      </c>
      <c r="AA44">
        <f>P44</f>
        <v/>
      </c>
      <c r="AB44">
        <f>Q44</f>
        <v/>
      </c>
      <c r="AC44">
        <f>R44</f>
        <v/>
      </c>
      <c r="AD44">
        <f>S44</f>
        <v/>
      </c>
      <c r="AE44">
        <f>IF(ISNUMBER(SEARCH("CAPITAL FUNDING",D44)),1,0)</f>
        <v/>
      </c>
      <c r="AF44">
        <f>IF(ISNUMBER(SEARCH("MERCHANTS",D44)),1,0)</f>
        <v/>
      </c>
      <c r="AG44">
        <f>IF(ISNUMBER(SEARCH("WELLS FARGO",D44)),1,0)</f>
        <v/>
      </c>
      <c r="AH44">
        <f>IF(ISNUMBER(SEARCH("WALKER",D44)),1,0)</f>
        <v/>
      </c>
      <c r="AI44">
        <f>IF(ISNUMBER(SEARCH("PNC",D44)),1,0)</f>
        <v/>
      </c>
      <c r="AJ44">
        <f>IF(ISNUMBER(SEARCH("BERKADIA",D44)),1,0)</f>
        <v/>
      </c>
      <c r="AK44">
        <f>IF(ISNUMBER(SEARCH("DWIGHT",D44)),1,0)</f>
        <v/>
      </c>
      <c r="AL44" s="25">
        <f>T$4*(T44-T$3)</f>
        <v/>
      </c>
      <c r="AM44" s="25">
        <f>U$4*(U44-U$3)</f>
        <v/>
      </c>
      <c r="AN44" s="25">
        <f>V$4*(V44-V$3)</f>
        <v/>
      </c>
      <c r="AO44" s="25">
        <f>W$4*(W44-W$3)</f>
        <v/>
      </c>
      <c r="AP44" s="25">
        <f>X$4*(X44-X$3)</f>
        <v/>
      </c>
      <c r="AQ44" s="25">
        <f>Y$4*(Y44-Y$3)</f>
        <v/>
      </c>
      <c r="AR44" s="25">
        <f>Z$4*(Z44-Z$3)</f>
        <v/>
      </c>
      <c r="AS44" s="25">
        <f>AA$4*(AA44-AA$3)</f>
        <v/>
      </c>
      <c r="AT44" s="25">
        <f>AB$4*(AB44-AB$3)</f>
        <v/>
      </c>
      <c r="AU44" s="25">
        <f>AC$4*(AC44-AC$3)</f>
        <v/>
      </c>
      <c r="AV44" s="25">
        <f>AD$4*(AD44-AD$3)</f>
        <v/>
      </c>
      <c r="AW44" s="25">
        <f>AE$4*(AE44-AE$3)</f>
        <v/>
      </c>
      <c r="AX44" s="25">
        <f>AF$4*(AF44-AF$3)</f>
        <v/>
      </c>
      <c r="AY44" s="25">
        <f>AG$4*(AG44-AG$3)</f>
        <v/>
      </c>
      <c r="AZ44" s="25">
        <f>AH$4*(AH44-AH$3)</f>
        <v/>
      </c>
      <c r="BA44" s="25">
        <f>AI$4*(AI44-AI$3)</f>
        <v/>
      </c>
      <c r="BB44" s="25">
        <f>AJ$4*(AJ44-AJ$3)</f>
        <v/>
      </c>
      <c r="BC44" s="25">
        <f>AK$4*(AK44-AK$3)</f>
        <v/>
      </c>
      <c r="BD44" s="26">
        <f>SUM(AL44:BC44)</f>
        <v/>
      </c>
      <c r="BE44" s="26">
        <f>INTERCEPT_SCALED+BD44</f>
        <v/>
      </c>
      <c r="BF44" s="27">
        <f>1/(1+EXP(-BE44))</f>
        <v/>
      </c>
      <c r="BG44" s="13">
        <f>1-(1-BF44)^12</f>
        <v/>
      </c>
      <c r="BH44" s="13">
        <f>IFERROR(AL44/BD44*(BG44-BASELINE_CPR),0)</f>
        <v/>
      </c>
      <c r="BI44" s="13">
        <f>IFERROR(AM44/BD44*(BG44-BASELINE_CPR),0)</f>
        <v/>
      </c>
      <c r="BJ44" s="13">
        <f>IFERROR(AN44/BD44*(BG44-BASELINE_CPR),0)</f>
        <v/>
      </c>
      <c r="BK44" s="13">
        <f>IFERROR(AO44/BD44*(BG44-BASELINE_CPR),0)</f>
        <v/>
      </c>
      <c r="BL44" s="13">
        <f>IFERROR(AP44/BD44*(BG44-BASELINE_CPR),0)</f>
        <v/>
      </c>
      <c r="BM44" s="13">
        <f>IFERROR(AQ44/BD44*(BG44-BASELINE_CPR),0)</f>
        <v/>
      </c>
      <c r="BN44" s="13">
        <f>IFERROR(AR44/BD44*(BG44-BASELINE_CPR),0)</f>
        <v/>
      </c>
      <c r="BO44" s="13">
        <f>IFERROR(AS44/BD44*(BG44-BASELINE_CPR),0)</f>
        <v/>
      </c>
      <c r="BP44" s="13">
        <f>IFERROR(AT44/BD44*(BG44-BASELINE_CPR),0)</f>
        <v/>
      </c>
      <c r="BQ44" s="13">
        <f>IFERROR(AU44/BD44*(BG44-BASELINE_CPR),0)</f>
        <v/>
      </c>
      <c r="BR44" s="13">
        <f>IFERROR(AV44/BD44*(BG44-BASELINE_CPR),0)</f>
        <v/>
      </c>
      <c r="BS44" s="13">
        <f>IFERROR(AW44/BD44*(BG44-BASELINE_CPR),0)</f>
        <v/>
      </c>
      <c r="BT44" s="13">
        <f>IFERROR(AX44/BD44*(BG44-BASELINE_CPR),0)</f>
        <v/>
      </c>
      <c r="BU44" s="13">
        <f>IFERROR(AY44/BD44*(BG44-BASELINE_CPR),0)</f>
        <v/>
      </c>
      <c r="BV44" s="13">
        <f>IFERROR(AZ44/BD44*(BG44-BASELINE_CPR),0)</f>
        <v/>
      </c>
      <c r="BW44" s="13">
        <f>IFERROR(BA44/BD44*(BG44-BASELINE_CPR),0)</f>
        <v/>
      </c>
      <c r="BX44" s="13">
        <f>IFERROR(BB44/BD44*(BG44-BASELINE_CPR),0)</f>
        <v/>
      </c>
      <c r="BY44" s="13">
        <f>IFERROR(BC44/BD44*(BG44-BASELINE_CPR),0)</f>
        <v/>
      </c>
      <c r="BZ44" s="28">
        <f>BASELINE_CPR+SUM(BH44:BY44)-BG44</f>
        <v/>
      </c>
    </row>
    <row r="45">
      <c r="A45" s="2" t="inlineStr">
        <is>
          <t>3617XJ2A7_000000004811084</t>
        </is>
      </c>
      <c r="B45" t="inlineStr">
        <is>
          <t>BERKADIA_POST21</t>
        </is>
      </c>
      <c r="C45" s="2" t="inlineStr">
        <is>
          <t>3617XJ2A7</t>
        </is>
      </c>
      <c r="D45" t="inlineStr">
        <is>
          <t>BERKADIA COMMERCIAL MORTGAGE, LLC</t>
        </is>
      </c>
      <c r="E45" t="inlineStr">
        <is>
          <t>223f</t>
        </is>
      </c>
      <c r="F45" t="inlineStr">
        <is>
          <t>RP</t>
        </is>
      </c>
      <c r="G45" t="n">
        <v>2021</v>
      </c>
      <c r="H45" t="inlineStr">
        <is>
          <t>202602</t>
        </is>
      </c>
      <c r="I45" s="22" t="n">
        <v>6267503.13</v>
      </c>
      <c r="J45" s="23" t="n">
        <v>2.15</v>
      </c>
      <c r="K45" s="24" t="n">
        <v>447</v>
      </c>
      <c r="L45" s="24" t="n">
        <v>8</v>
      </c>
      <c r="M45" t="n">
        <v>51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s="24">
        <f>J45*100-(K45+(1+L45)*12.5)</f>
        <v/>
      </c>
      <c r="U45">
        <f>O45</f>
        <v/>
      </c>
      <c r="V45">
        <f>M45</f>
        <v/>
      </c>
      <c r="W45" s="23">
        <f>LN(1+I45)</f>
        <v/>
      </c>
      <c r="X45">
        <f>IF(G45&gt;=2021,1,0)</f>
        <v/>
      </c>
      <c r="Y45">
        <f>N45</f>
        <v/>
      </c>
      <c r="Z45" s="23">
        <f>IF(ISNUMBER(M45),N45/MAX(M45,1),0)</f>
        <v/>
      </c>
      <c r="AA45">
        <f>P45</f>
        <v/>
      </c>
      <c r="AB45">
        <f>Q45</f>
        <v/>
      </c>
      <c r="AC45">
        <f>R45</f>
        <v/>
      </c>
      <c r="AD45">
        <f>S45</f>
        <v/>
      </c>
      <c r="AE45">
        <f>IF(ISNUMBER(SEARCH("CAPITAL FUNDING",D45)),1,0)</f>
        <v/>
      </c>
      <c r="AF45">
        <f>IF(ISNUMBER(SEARCH("MERCHANTS",D45)),1,0)</f>
        <v/>
      </c>
      <c r="AG45">
        <f>IF(ISNUMBER(SEARCH("WELLS FARGO",D45)),1,0)</f>
        <v/>
      </c>
      <c r="AH45">
        <f>IF(ISNUMBER(SEARCH("WALKER",D45)),1,0)</f>
        <v/>
      </c>
      <c r="AI45">
        <f>IF(ISNUMBER(SEARCH("PNC",D45)),1,0)</f>
        <v/>
      </c>
      <c r="AJ45">
        <f>IF(ISNUMBER(SEARCH("BERKADIA",D45)),1,0)</f>
        <v/>
      </c>
      <c r="AK45">
        <f>IF(ISNUMBER(SEARCH("DWIGHT",D45)),1,0)</f>
        <v/>
      </c>
      <c r="AL45" s="25">
        <f>T$4*(T45-T$3)</f>
        <v/>
      </c>
      <c r="AM45" s="25">
        <f>U$4*(U45-U$3)</f>
        <v/>
      </c>
      <c r="AN45" s="25">
        <f>V$4*(V45-V$3)</f>
        <v/>
      </c>
      <c r="AO45" s="25">
        <f>W$4*(W45-W$3)</f>
        <v/>
      </c>
      <c r="AP45" s="25">
        <f>X$4*(X45-X$3)</f>
        <v/>
      </c>
      <c r="AQ45" s="25">
        <f>Y$4*(Y45-Y$3)</f>
        <v/>
      </c>
      <c r="AR45" s="25">
        <f>Z$4*(Z45-Z$3)</f>
        <v/>
      </c>
      <c r="AS45" s="25">
        <f>AA$4*(AA45-AA$3)</f>
        <v/>
      </c>
      <c r="AT45" s="25">
        <f>AB$4*(AB45-AB$3)</f>
        <v/>
      </c>
      <c r="AU45" s="25">
        <f>AC$4*(AC45-AC$3)</f>
        <v/>
      </c>
      <c r="AV45" s="25">
        <f>AD$4*(AD45-AD$3)</f>
        <v/>
      </c>
      <c r="AW45" s="25">
        <f>AE$4*(AE45-AE$3)</f>
        <v/>
      </c>
      <c r="AX45" s="25">
        <f>AF$4*(AF45-AF$3)</f>
        <v/>
      </c>
      <c r="AY45" s="25">
        <f>AG$4*(AG45-AG$3)</f>
        <v/>
      </c>
      <c r="AZ45" s="25">
        <f>AH$4*(AH45-AH$3)</f>
        <v/>
      </c>
      <c r="BA45" s="25">
        <f>AI$4*(AI45-AI$3)</f>
        <v/>
      </c>
      <c r="BB45" s="25">
        <f>AJ$4*(AJ45-AJ$3)</f>
        <v/>
      </c>
      <c r="BC45" s="25">
        <f>AK$4*(AK45-AK$3)</f>
        <v/>
      </c>
      <c r="BD45" s="26">
        <f>SUM(AL45:BC45)</f>
        <v/>
      </c>
      <c r="BE45" s="26">
        <f>INTERCEPT_SCALED+BD45</f>
        <v/>
      </c>
      <c r="BF45" s="27">
        <f>1/(1+EXP(-BE45))</f>
        <v/>
      </c>
      <c r="BG45" s="13">
        <f>1-(1-BF45)^12</f>
        <v/>
      </c>
      <c r="BH45" s="13">
        <f>IFERROR(AL45/BD45*(BG45-BASELINE_CPR),0)</f>
        <v/>
      </c>
      <c r="BI45" s="13">
        <f>IFERROR(AM45/BD45*(BG45-BASELINE_CPR),0)</f>
        <v/>
      </c>
      <c r="BJ45" s="13">
        <f>IFERROR(AN45/BD45*(BG45-BASELINE_CPR),0)</f>
        <v/>
      </c>
      <c r="BK45" s="13">
        <f>IFERROR(AO45/BD45*(BG45-BASELINE_CPR),0)</f>
        <v/>
      </c>
      <c r="BL45" s="13">
        <f>IFERROR(AP45/BD45*(BG45-BASELINE_CPR),0)</f>
        <v/>
      </c>
      <c r="BM45" s="13">
        <f>IFERROR(AQ45/BD45*(BG45-BASELINE_CPR),0)</f>
        <v/>
      </c>
      <c r="BN45" s="13">
        <f>IFERROR(AR45/BD45*(BG45-BASELINE_CPR),0)</f>
        <v/>
      </c>
      <c r="BO45" s="13">
        <f>IFERROR(AS45/BD45*(BG45-BASELINE_CPR),0)</f>
        <v/>
      </c>
      <c r="BP45" s="13">
        <f>IFERROR(AT45/BD45*(BG45-BASELINE_CPR),0)</f>
        <v/>
      </c>
      <c r="BQ45" s="13">
        <f>IFERROR(AU45/BD45*(BG45-BASELINE_CPR),0)</f>
        <v/>
      </c>
      <c r="BR45" s="13">
        <f>IFERROR(AV45/BD45*(BG45-BASELINE_CPR),0)</f>
        <v/>
      </c>
      <c r="BS45" s="13">
        <f>IFERROR(AW45/BD45*(BG45-BASELINE_CPR),0)</f>
        <v/>
      </c>
      <c r="BT45" s="13">
        <f>IFERROR(AX45/BD45*(BG45-BASELINE_CPR),0)</f>
        <v/>
      </c>
      <c r="BU45" s="13">
        <f>IFERROR(AY45/BD45*(BG45-BASELINE_CPR),0)</f>
        <v/>
      </c>
      <c r="BV45" s="13">
        <f>IFERROR(AZ45/BD45*(BG45-BASELINE_CPR),0)</f>
        <v/>
      </c>
      <c r="BW45" s="13">
        <f>IFERROR(BA45/BD45*(BG45-BASELINE_CPR),0)</f>
        <v/>
      </c>
      <c r="BX45" s="13">
        <f>IFERROR(BB45/BD45*(BG45-BASELINE_CPR),0)</f>
        <v/>
      </c>
      <c r="BY45" s="13">
        <f>IFERROR(BC45/BD45*(BG45-BASELINE_CPR),0)</f>
        <v/>
      </c>
      <c r="BZ45" s="28">
        <f>BASELINE_CPR+SUM(BH45:BY45)-BG45</f>
        <v/>
      </c>
    </row>
    <row r="46">
      <c r="A46" s="2" t="inlineStr">
        <is>
          <t>3617NEBN1_000000006722139</t>
        </is>
      </c>
      <c r="B46" t="inlineStr">
        <is>
          <t>BERKADIA_PRE21</t>
        </is>
      </c>
      <c r="C46" s="2" t="inlineStr">
        <is>
          <t>3617NEBN1</t>
        </is>
      </c>
      <c r="D46" t="inlineStr">
        <is>
          <t>BERKADIA COMMERCIAL MORTGAGE, LLC</t>
        </is>
      </c>
      <c r="E46" t="inlineStr">
        <is>
          <t>232</t>
        </is>
      </c>
      <c r="F46" t="inlineStr">
        <is>
          <t>RP</t>
        </is>
      </c>
      <c r="G46" t="n">
        <v>2013</v>
      </c>
      <c r="H46" t="inlineStr">
        <is>
          <t>202602</t>
        </is>
      </c>
      <c r="I46" s="22" t="n">
        <v>8404084.77</v>
      </c>
      <c r="J46" s="23" t="n">
        <v>2.95</v>
      </c>
      <c r="K46" s="24" t="n">
        <v>447</v>
      </c>
      <c r="L46" s="24" t="n">
        <v>6</v>
      </c>
      <c r="M46" t="n">
        <v>148</v>
      </c>
      <c r="N46" t="n">
        <v>14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s="24">
        <f>J46*100-(K46+(1+L46)*12.5)</f>
        <v/>
      </c>
      <c r="U46">
        <f>O46</f>
        <v/>
      </c>
      <c r="V46">
        <f>M46</f>
        <v/>
      </c>
      <c r="W46" s="23">
        <f>LN(1+I46)</f>
        <v/>
      </c>
      <c r="X46">
        <f>IF(G46&gt;=2021,1,0)</f>
        <v/>
      </c>
      <c r="Y46">
        <f>N46</f>
        <v/>
      </c>
      <c r="Z46" s="23">
        <f>IF(ISNUMBER(M46),N46/MAX(M46,1),0)</f>
        <v/>
      </c>
      <c r="AA46">
        <f>P46</f>
        <v/>
      </c>
      <c r="AB46">
        <f>Q46</f>
        <v/>
      </c>
      <c r="AC46">
        <f>R46</f>
        <v/>
      </c>
      <c r="AD46">
        <f>S46</f>
        <v/>
      </c>
      <c r="AE46">
        <f>IF(ISNUMBER(SEARCH("CAPITAL FUNDING",D46)),1,0)</f>
        <v/>
      </c>
      <c r="AF46">
        <f>IF(ISNUMBER(SEARCH("MERCHANTS",D46)),1,0)</f>
        <v/>
      </c>
      <c r="AG46">
        <f>IF(ISNUMBER(SEARCH("WELLS FARGO",D46)),1,0)</f>
        <v/>
      </c>
      <c r="AH46">
        <f>IF(ISNUMBER(SEARCH("WALKER",D46)),1,0)</f>
        <v/>
      </c>
      <c r="AI46">
        <f>IF(ISNUMBER(SEARCH("PNC",D46)),1,0)</f>
        <v/>
      </c>
      <c r="AJ46">
        <f>IF(ISNUMBER(SEARCH("BERKADIA",D46)),1,0)</f>
        <v/>
      </c>
      <c r="AK46">
        <f>IF(ISNUMBER(SEARCH("DWIGHT",D46)),1,0)</f>
        <v/>
      </c>
      <c r="AL46" s="25">
        <f>T$4*(T46-T$3)</f>
        <v/>
      </c>
      <c r="AM46" s="25">
        <f>U$4*(U46-U$3)</f>
        <v/>
      </c>
      <c r="AN46" s="25">
        <f>V$4*(V46-V$3)</f>
        <v/>
      </c>
      <c r="AO46" s="25">
        <f>W$4*(W46-W$3)</f>
        <v/>
      </c>
      <c r="AP46" s="25">
        <f>X$4*(X46-X$3)</f>
        <v/>
      </c>
      <c r="AQ46" s="25">
        <f>Y$4*(Y46-Y$3)</f>
        <v/>
      </c>
      <c r="AR46" s="25">
        <f>Z$4*(Z46-Z$3)</f>
        <v/>
      </c>
      <c r="AS46" s="25">
        <f>AA$4*(AA46-AA$3)</f>
        <v/>
      </c>
      <c r="AT46" s="25">
        <f>AB$4*(AB46-AB$3)</f>
        <v/>
      </c>
      <c r="AU46" s="25">
        <f>AC$4*(AC46-AC$3)</f>
        <v/>
      </c>
      <c r="AV46" s="25">
        <f>AD$4*(AD46-AD$3)</f>
        <v/>
      </c>
      <c r="AW46" s="25">
        <f>AE$4*(AE46-AE$3)</f>
        <v/>
      </c>
      <c r="AX46" s="25">
        <f>AF$4*(AF46-AF$3)</f>
        <v/>
      </c>
      <c r="AY46" s="25">
        <f>AG$4*(AG46-AG$3)</f>
        <v/>
      </c>
      <c r="AZ46" s="25">
        <f>AH$4*(AH46-AH$3)</f>
        <v/>
      </c>
      <c r="BA46" s="25">
        <f>AI$4*(AI46-AI$3)</f>
        <v/>
      </c>
      <c r="BB46" s="25">
        <f>AJ$4*(AJ46-AJ$3)</f>
        <v/>
      </c>
      <c r="BC46" s="25">
        <f>AK$4*(AK46-AK$3)</f>
        <v/>
      </c>
      <c r="BD46" s="26">
        <f>SUM(AL46:BC46)</f>
        <v/>
      </c>
      <c r="BE46" s="26">
        <f>INTERCEPT_SCALED+BD46</f>
        <v/>
      </c>
      <c r="BF46" s="27">
        <f>1/(1+EXP(-BE46))</f>
        <v/>
      </c>
      <c r="BG46" s="13">
        <f>1-(1-BF46)^12</f>
        <v/>
      </c>
      <c r="BH46" s="13">
        <f>IFERROR(AL46/BD46*(BG46-BASELINE_CPR),0)</f>
        <v/>
      </c>
      <c r="BI46" s="13">
        <f>IFERROR(AM46/BD46*(BG46-BASELINE_CPR),0)</f>
        <v/>
      </c>
      <c r="BJ46" s="13">
        <f>IFERROR(AN46/BD46*(BG46-BASELINE_CPR),0)</f>
        <v/>
      </c>
      <c r="BK46" s="13">
        <f>IFERROR(AO46/BD46*(BG46-BASELINE_CPR),0)</f>
        <v/>
      </c>
      <c r="BL46" s="13">
        <f>IFERROR(AP46/BD46*(BG46-BASELINE_CPR),0)</f>
        <v/>
      </c>
      <c r="BM46" s="13">
        <f>IFERROR(AQ46/BD46*(BG46-BASELINE_CPR),0)</f>
        <v/>
      </c>
      <c r="BN46" s="13">
        <f>IFERROR(AR46/BD46*(BG46-BASELINE_CPR),0)</f>
        <v/>
      </c>
      <c r="BO46" s="13">
        <f>IFERROR(AS46/BD46*(BG46-BASELINE_CPR),0)</f>
        <v/>
      </c>
      <c r="BP46" s="13">
        <f>IFERROR(AT46/BD46*(BG46-BASELINE_CPR),0)</f>
        <v/>
      </c>
      <c r="BQ46" s="13">
        <f>IFERROR(AU46/BD46*(BG46-BASELINE_CPR),0)</f>
        <v/>
      </c>
      <c r="BR46" s="13">
        <f>IFERROR(AV46/BD46*(BG46-BASELINE_CPR),0)</f>
        <v/>
      </c>
      <c r="BS46" s="13">
        <f>IFERROR(AW46/BD46*(BG46-BASELINE_CPR),0)</f>
        <v/>
      </c>
      <c r="BT46" s="13">
        <f>IFERROR(AX46/BD46*(BG46-BASELINE_CPR),0)</f>
        <v/>
      </c>
      <c r="BU46" s="13">
        <f>IFERROR(AY46/BD46*(BG46-BASELINE_CPR),0)</f>
        <v/>
      </c>
      <c r="BV46" s="13">
        <f>IFERROR(AZ46/BD46*(BG46-BASELINE_CPR),0)</f>
        <v/>
      </c>
      <c r="BW46" s="13">
        <f>IFERROR(BA46/BD46*(BG46-BASELINE_CPR),0)</f>
        <v/>
      </c>
      <c r="BX46" s="13">
        <f>IFERROR(BB46/BD46*(BG46-BASELINE_CPR),0)</f>
        <v/>
      </c>
      <c r="BY46" s="13">
        <f>IFERROR(BC46/BD46*(BG46-BASELINE_CPR),0)</f>
        <v/>
      </c>
      <c r="BZ46" s="28">
        <f>BASELINE_CPR+SUM(BH46:BY46)-BG46</f>
        <v/>
      </c>
    </row>
    <row r="47">
      <c r="A47" s="2" t="inlineStr">
        <is>
          <t>3617XJY61_000000012122239</t>
        </is>
      </c>
      <c r="B47" t="inlineStr">
        <is>
          <t>BERKADIA_POST21</t>
        </is>
      </c>
      <c r="C47" s="2" t="inlineStr">
        <is>
          <t>3617XJY61</t>
        </is>
      </c>
      <c r="D47" t="inlineStr">
        <is>
          <t>BERKADIA COMMERCIAL MORTGAGE, LLC</t>
        </is>
      </c>
      <c r="E47" t="inlineStr">
        <is>
          <t>232</t>
        </is>
      </c>
      <c r="F47" t="inlineStr">
        <is>
          <t>RP</t>
        </is>
      </c>
      <c r="G47" t="n">
        <v>2021</v>
      </c>
      <c r="H47" t="inlineStr">
        <is>
          <t>202602</t>
        </is>
      </c>
      <c r="I47" s="22" t="n">
        <v>4130019.17</v>
      </c>
      <c r="J47" s="23" t="n">
        <v>2.58</v>
      </c>
      <c r="K47" s="24" t="n">
        <v>447</v>
      </c>
      <c r="L47" s="24" t="n">
        <v>8</v>
      </c>
      <c r="M47" t="n">
        <v>53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s="24">
        <f>J47*100-(K47+(1+L47)*12.5)</f>
        <v/>
      </c>
      <c r="U47">
        <f>O47</f>
        <v/>
      </c>
      <c r="V47">
        <f>M47</f>
        <v/>
      </c>
      <c r="W47" s="23">
        <f>LN(1+I47)</f>
        <v/>
      </c>
      <c r="X47">
        <f>IF(G47&gt;=2021,1,0)</f>
        <v/>
      </c>
      <c r="Y47">
        <f>N47</f>
        <v/>
      </c>
      <c r="Z47" s="23">
        <f>IF(ISNUMBER(M47),N47/MAX(M47,1),0)</f>
        <v/>
      </c>
      <c r="AA47">
        <f>P47</f>
        <v/>
      </c>
      <c r="AB47">
        <f>Q47</f>
        <v/>
      </c>
      <c r="AC47">
        <f>R47</f>
        <v/>
      </c>
      <c r="AD47">
        <f>S47</f>
        <v/>
      </c>
      <c r="AE47">
        <f>IF(ISNUMBER(SEARCH("CAPITAL FUNDING",D47)),1,0)</f>
        <v/>
      </c>
      <c r="AF47">
        <f>IF(ISNUMBER(SEARCH("MERCHANTS",D47)),1,0)</f>
        <v/>
      </c>
      <c r="AG47">
        <f>IF(ISNUMBER(SEARCH("WELLS FARGO",D47)),1,0)</f>
        <v/>
      </c>
      <c r="AH47">
        <f>IF(ISNUMBER(SEARCH("WALKER",D47)),1,0)</f>
        <v/>
      </c>
      <c r="AI47">
        <f>IF(ISNUMBER(SEARCH("PNC",D47)),1,0)</f>
        <v/>
      </c>
      <c r="AJ47">
        <f>IF(ISNUMBER(SEARCH("BERKADIA",D47)),1,0)</f>
        <v/>
      </c>
      <c r="AK47">
        <f>IF(ISNUMBER(SEARCH("DWIGHT",D47)),1,0)</f>
        <v/>
      </c>
      <c r="AL47" s="25">
        <f>T$4*(T47-T$3)</f>
        <v/>
      </c>
      <c r="AM47" s="25">
        <f>U$4*(U47-U$3)</f>
        <v/>
      </c>
      <c r="AN47" s="25">
        <f>V$4*(V47-V$3)</f>
        <v/>
      </c>
      <c r="AO47" s="25">
        <f>W$4*(W47-W$3)</f>
        <v/>
      </c>
      <c r="AP47" s="25">
        <f>X$4*(X47-X$3)</f>
        <v/>
      </c>
      <c r="AQ47" s="25">
        <f>Y$4*(Y47-Y$3)</f>
        <v/>
      </c>
      <c r="AR47" s="25">
        <f>Z$4*(Z47-Z$3)</f>
        <v/>
      </c>
      <c r="AS47" s="25">
        <f>AA$4*(AA47-AA$3)</f>
        <v/>
      </c>
      <c r="AT47" s="25">
        <f>AB$4*(AB47-AB$3)</f>
        <v/>
      </c>
      <c r="AU47" s="25">
        <f>AC$4*(AC47-AC$3)</f>
        <v/>
      </c>
      <c r="AV47" s="25">
        <f>AD$4*(AD47-AD$3)</f>
        <v/>
      </c>
      <c r="AW47" s="25">
        <f>AE$4*(AE47-AE$3)</f>
        <v/>
      </c>
      <c r="AX47" s="25">
        <f>AF$4*(AF47-AF$3)</f>
        <v/>
      </c>
      <c r="AY47" s="25">
        <f>AG$4*(AG47-AG$3)</f>
        <v/>
      </c>
      <c r="AZ47" s="25">
        <f>AH$4*(AH47-AH$3)</f>
        <v/>
      </c>
      <c r="BA47" s="25">
        <f>AI$4*(AI47-AI$3)</f>
        <v/>
      </c>
      <c r="BB47" s="25">
        <f>AJ$4*(AJ47-AJ$3)</f>
        <v/>
      </c>
      <c r="BC47" s="25">
        <f>AK$4*(AK47-AK$3)</f>
        <v/>
      </c>
      <c r="BD47" s="26">
        <f>SUM(AL47:BC47)</f>
        <v/>
      </c>
      <c r="BE47" s="26">
        <f>INTERCEPT_SCALED+BD47</f>
        <v/>
      </c>
      <c r="BF47" s="27">
        <f>1/(1+EXP(-BE47))</f>
        <v/>
      </c>
      <c r="BG47" s="13">
        <f>1-(1-BF47)^12</f>
        <v/>
      </c>
      <c r="BH47" s="13">
        <f>IFERROR(AL47/BD47*(BG47-BASELINE_CPR),0)</f>
        <v/>
      </c>
      <c r="BI47" s="13">
        <f>IFERROR(AM47/BD47*(BG47-BASELINE_CPR),0)</f>
        <v/>
      </c>
      <c r="BJ47" s="13">
        <f>IFERROR(AN47/BD47*(BG47-BASELINE_CPR),0)</f>
        <v/>
      </c>
      <c r="BK47" s="13">
        <f>IFERROR(AO47/BD47*(BG47-BASELINE_CPR),0)</f>
        <v/>
      </c>
      <c r="BL47" s="13">
        <f>IFERROR(AP47/BD47*(BG47-BASELINE_CPR),0)</f>
        <v/>
      </c>
      <c r="BM47" s="13">
        <f>IFERROR(AQ47/BD47*(BG47-BASELINE_CPR),0)</f>
        <v/>
      </c>
      <c r="BN47" s="13">
        <f>IFERROR(AR47/BD47*(BG47-BASELINE_CPR),0)</f>
        <v/>
      </c>
      <c r="BO47" s="13">
        <f>IFERROR(AS47/BD47*(BG47-BASELINE_CPR),0)</f>
        <v/>
      </c>
      <c r="BP47" s="13">
        <f>IFERROR(AT47/BD47*(BG47-BASELINE_CPR),0)</f>
        <v/>
      </c>
      <c r="BQ47" s="13">
        <f>IFERROR(AU47/BD47*(BG47-BASELINE_CPR),0)</f>
        <v/>
      </c>
      <c r="BR47" s="13">
        <f>IFERROR(AV47/BD47*(BG47-BASELINE_CPR),0)</f>
        <v/>
      </c>
      <c r="BS47" s="13">
        <f>IFERROR(AW47/BD47*(BG47-BASELINE_CPR),0)</f>
        <v/>
      </c>
      <c r="BT47" s="13">
        <f>IFERROR(AX47/BD47*(BG47-BASELINE_CPR),0)</f>
        <v/>
      </c>
      <c r="BU47" s="13">
        <f>IFERROR(AY47/BD47*(BG47-BASELINE_CPR),0)</f>
        <v/>
      </c>
      <c r="BV47" s="13">
        <f>IFERROR(AZ47/BD47*(BG47-BASELINE_CPR),0)</f>
        <v/>
      </c>
      <c r="BW47" s="13">
        <f>IFERROR(BA47/BD47*(BG47-BASELINE_CPR),0)</f>
        <v/>
      </c>
      <c r="BX47" s="13">
        <f>IFERROR(BB47/BD47*(BG47-BASELINE_CPR),0)</f>
        <v/>
      </c>
      <c r="BY47" s="13">
        <f>IFERROR(BC47/BD47*(BG47-BASELINE_CPR),0)</f>
        <v/>
      </c>
      <c r="BZ47" s="28">
        <f>BASELINE_CPR+SUM(BH47:BY47)-BG47</f>
        <v/>
      </c>
    </row>
    <row r="48">
      <c r="A48" s="2" t="inlineStr">
        <is>
          <t>3617BRKN5_000000005111395</t>
        </is>
      </c>
      <c r="B48" t="inlineStr">
        <is>
          <t>BERKADIA_PRE21</t>
        </is>
      </c>
      <c r="C48" s="2" t="inlineStr">
        <is>
          <t>3617BRKN5</t>
        </is>
      </c>
      <c r="D48" t="inlineStr">
        <is>
          <t>BERKADIA COMMERCIAL MORTGAGE, LLC</t>
        </is>
      </c>
      <c r="E48" t="inlineStr">
        <is>
          <t>223f</t>
        </is>
      </c>
      <c r="F48" t="inlineStr">
        <is>
          <t>RP</t>
        </is>
      </c>
      <c r="G48" t="n">
        <v>2017</v>
      </c>
      <c r="H48" t="inlineStr">
        <is>
          <t>202602</t>
        </is>
      </c>
      <c r="I48" s="22" t="n">
        <v>6113588.54</v>
      </c>
      <c r="J48" s="23" t="n">
        <v>3.13</v>
      </c>
      <c r="K48" s="24" t="n">
        <v>447</v>
      </c>
      <c r="L48" s="24" t="n">
        <v>4</v>
      </c>
      <c r="M48" t="n">
        <v>98</v>
      </c>
      <c r="N48" t="n">
        <v>19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s="24">
        <f>J48*100-(K48+(1+L48)*12.5)</f>
        <v/>
      </c>
      <c r="U48">
        <f>O48</f>
        <v/>
      </c>
      <c r="V48">
        <f>M48</f>
        <v/>
      </c>
      <c r="W48" s="23">
        <f>LN(1+I48)</f>
        <v/>
      </c>
      <c r="X48">
        <f>IF(G48&gt;=2021,1,0)</f>
        <v/>
      </c>
      <c r="Y48">
        <f>N48</f>
        <v/>
      </c>
      <c r="Z48" s="23">
        <f>IF(ISNUMBER(M48),N48/MAX(M48,1),0)</f>
        <v/>
      </c>
      <c r="AA48">
        <f>P48</f>
        <v/>
      </c>
      <c r="AB48">
        <f>Q48</f>
        <v/>
      </c>
      <c r="AC48">
        <f>R48</f>
        <v/>
      </c>
      <c r="AD48">
        <f>S48</f>
        <v/>
      </c>
      <c r="AE48">
        <f>IF(ISNUMBER(SEARCH("CAPITAL FUNDING",D48)),1,0)</f>
        <v/>
      </c>
      <c r="AF48">
        <f>IF(ISNUMBER(SEARCH("MERCHANTS",D48)),1,0)</f>
        <v/>
      </c>
      <c r="AG48">
        <f>IF(ISNUMBER(SEARCH("WELLS FARGO",D48)),1,0)</f>
        <v/>
      </c>
      <c r="AH48">
        <f>IF(ISNUMBER(SEARCH("WALKER",D48)),1,0)</f>
        <v/>
      </c>
      <c r="AI48">
        <f>IF(ISNUMBER(SEARCH("PNC",D48)),1,0)</f>
        <v/>
      </c>
      <c r="AJ48">
        <f>IF(ISNUMBER(SEARCH("BERKADIA",D48)),1,0)</f>
        <v/>
      </c>
      <c r="AK48">
        <f>IF(ISNUMBER(SEARCH("DWIGHT",D48)),1,0)</f>
        <v/>
      </c>
      <c r="AL48" s="25">
        <f>T$4*(T48-T$3)</f>
        <v/>
      </c>
      <c r="AM48" s="25">
        <f>U$4*(U48-U$3)</f>
        <v/>
      </c>
      <c r="AN48" s="25">
        <f>V$4*(V48-V$3)</f>
        <v/>
      </c>
      <c r="AO48" s="25">
        <f>W$4*(W48-W$3)</f>
        <v/>
      </c>
      <c r="AP48" s="25">
        <f>X$4*(X48-X$3)</f>
        <v/>
      </c>
      <c r="AQ48" s="25">
        <f>Y$4*(Y48-Y$3)</f>
        <v/>
      </c>
      <c r="AR48" s="25">
        <f>Z$4*(Z48-Z$3)</f>
        <v/>
      </c>
      <c r="AS48" s="25">
        <f>AA$4*(AA48-AA$3)</f>
        <v/>
      </c>
      <c r="AT48" s="25">
        <f>AB$4*(AB48-AB$3)</f>
        <v/>
      </c>
      <c r="AU48" s="25">
        <f>AC$4*(AC48-AC$3)</f>
        <v/>
      </c>
      <c r="AV48" s="25">
        <f>AD$4*(AD48-AD$3)</f>
        <v/>
      </c>
      <c r="AW48" s="25">
        <f>AE$4*(AE48-AE$3)</f>
        <v/>
      </c>
      <c r="AX48" s="25">
        <f>AF$4*(AF48-AF$3)</f>
        <v/>
      </c>
      <c r="AY48" s="25">
        <f>AG$4*(AG48-AG$3)</f>
        <v/>
      </c>
      <c r="AZ48" s="25">
        <f>AH$4*(AH48-AH$3)</f>
        <v/>
      </c>
      <c r="BA48" s="25">
        <f>AI$4*(AI48-AI$3)</f>
        <v/>
      </c>
      <c r="BB48" s="25">
        <f>AJ$4*(AJ48-AJ$3)</f>
        <v/>
      </c>
      <c r="BC48" s="25">
        <f>AK$4*(AK48-AK$3)</f>
        <v/>
      </c>
      <c r="BD48" s="26">
        <f>SUM(AL48:BC48)</f>
        <v/>
      </c>
      <c r="BE48" s="26">
        <f>INTERCEPT_SCALED+BD48</f>
        <v/>
      </c>
      <c r="BF48" s="27">
        <f>1/(1+EXP(-BE48))</f>
        <v/>
      </c>
      <c r="BG48" s="13">
        <f>1-(1-BF48)^12</f>
        <v/>
      </c>
      <c r="BH48" s="13">
        <f>IFERROR(AL48/BD48*(BG48-BASELINE_CPR),0)</f>
        <v/>
      </c>
      <c r="BI48" s="13">
        <f>IFERROR(AM48/BD48*(BG48-BASELINE_CPR),0)</f>
        <v/>
      </c>
      <c r="BJ48" s="13">
        <f>IFERROR(AN48/BD48*(BG48-BASELINE_CPR),0)</f>
        <v/>
      </c>
      <c r="BK48" s="13">
        <f>IFERROR(AO48/BD48*(BG48-BASELINE_CPR),0)</f>
        <v/>
      </c>
      <c r="BL48" s="13">
        <f>IFERROR(AP48/BD48*(BG48-BASELINE_CPR),0)</f>
        <v/>
      </c>
      <c r="BM48" s="13">
        <f>IFERROR(AQ48/BD48*(BG48-BASELINE_CPR),0)</f>
        <v/>
      </c>
      <c r="BN48" s="13">
        <f>IFERROR(AR48/BD48*(BG48-BASELINE_CPR),0)</f>
        <v/>
      </c>
      <c r="BO48" s="13">
        <f>IFERROR(AS48/BD48*(BG48-BASELINE_CPR),0)</f>
        <v/>
      </c>
      <c r="BP48" s="13">
        <f>IFERROR(AT48/BD48*(BG48-BASELINE_CPR),0)</f>
        <v/>
      </c>
      <c r="BQ48" s="13">
        <f>IFERROR(AU48/BD48*(BG48-BASELINE_CPR),0)</f>
        <v/>
      </c>
      <c r="BR48" s="13">
        <f>IFERROR(AV48/BD48*(BG48-BASELINE_CPR),0)</f>
        <v/>
      </c>
      <c r="BS48" s="13">
        <f>IFERROR(AW48/BD48*(BG48-BASELINE_CPR),0)</f>
        <v/>
      </c>
      <c r="BT48" s="13">
        <f>IFERROR(AX48/BD48*(BG48-BASELINE_CPR),0)</f>
        <v/>
      </c>
      <c r="BU48" s="13">
        <f>IFERROR(AY48/BD48*(BG48-BASELINE_CPR),0)</f>
        <v/>
      </c>
      <c r="BV48" s="13">
        <f>IFERROR(AZ48/BD48*(BG48-BASELINE_CPR),0)</f>
        <v/>
      </c>
      <c r="BW48" s="13">
        <f>IFERROR(BA48/BD48*(BG48-BASELINE_CPR),0)</f>
        <v/>
      </c>
      <c r="BX48" s="13">
        <f>IFERROR(BB48/BD48*(BG48-BASELINE_CPR),0)</f>
        <v/>
      </c>
      <c r="BY48" s="13">
        <f>IFERROR(BC48/BD48*(BG48-BASELINE_CPR),0)</f>
        <v/>
      </c>
      <c r="BZ48" s="28">
        <f>BASELINE_CPR+SUM(BH48:BY48)-BG48</f>
        <v/>
      </c>
    </row>
    <row r="49">
      <c r="A49" s="2" t="inlineStr">
        <is>
          <t>3617AGRX1_000000007311922</t>
        </is>
      </c>
      <c r="B49" t="inlineStr">
        <is>
          <t>BERKADIA_PRE21</t>
        </is>
      </c>
      <c r="C49" s="2" t="inlineStr">
        <is>
          <t>3617AGRX1</t>
        </is>
      </c>
      <c r="D49" t="inlineStr">
        <is>
          <t>BERKADIA COMMERCIAL MORTGAGE, LLC</t>
        </is>
      </c>
      <c r="E49" t="inlineStr">
        <is>
          <t>221d4</t>
        </is>
      </c>
      <c r="F49" t="inlineStr">
        <is>
          <t>RP</t>
        </is>
      </c>
      <c r="G49" t="n">
        <v>2017</v>
      </c>
      <c r="H49" t="inlineStr">
        <is>
          <t>202602</t>
        </is>
      </c>
      <c r="I49" s="22" t="n">
        <v>137331.58</v>
      </c>
      <c r="J49" s="23" t="n">
        <v>4.25</v>
      </c>
      <c r="K49" s="24" t="n">
        <v>447</v>
      </c>
      <c r="L49" s="24" t="n">
        <v>3</v>
      </c>
      <c r="M49" t="n">
        <v>102</v>
      </c>
      <c r="N49" t="n">
        <v>36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s="24">
        <f>J49*100-(K49+(1+L49)*12.5)</f>
        <v/>
      </c>
      <c r="U49">
        <f>O49</f>
        <v/>
      </c>
      <c r="V49">
        <f>M49</f>
        <v/>
      </c>
      <c r="W49" s="23">
        <f>LN(1+I49)</f>
        <v/>
      </c>
      <c r="X49">
        <f>IF(G49&gt;=2021,1,0)</f>
        <v/>
      </c>
      <c r="Y49">
        <f>N49</f>
        <v/>
      </c>
      <c r="Z49" s="23">
        <f>IF(ISNUMBER(M49),N49/MAX(M49,1),0)</f>
        <v/>
      </c>
      <c r="AA49">
        <f>P49</f>
        <v/>
      </c>
      <c r="AB49">
        <f>Q49</f>
        <v/>
      </c>
      <c r="AC49">
        <f>R49</f>
        <v/>
      </c>
      <c r="AD49">
        <f>S49</f>
        <v/>
      </c>
      <c r="AE49">
        <f>IF(ISNUMBER(SEARCH("CAPITAL FUNDING",D49)),1,0)</f>
        <v/>
      </c>
      <c r="AF49">
        <f>IF(ISNUMBER(SEARCH("MERCHANTS",D49)),1,0)</f>
        <v/>
      </c>
      <c r="AG49">
        <f>IF(ISNUMBER(SEARCH("WELLS FARGO",D49)),1,0)</f>
        <v/>
      </c>
      <c r="AH49">
        <f>IF(ISNUMBER(SEARCH("WALKER",D49)),1,0)</f>
        <v/>
      </c>
      <c r="AI49">
        <f>IF(ISNUMBER(SEARCH("PNC",D49)),1,0)</f>
        <v/>
      </c>
      <c r="AJ49">
        <f>IF(ISNUMBER(SEARCH("BERKADIA",D49)),1,0)</f>
        <v/>
      </c>
      <c r="AK49">
        <f>IF(ISNUMBER(SEARCH("DWIGHT",D49)),1,0)</f>
        <v/>
      </c>
      <c r="AL49" s="25">
        <f>T$4*(T49-T$3)</f>
        <v/>
      </c>
      <c r="AM49" s="25">
        <f>U$4*(U49-U$3)</f>
        <v/>
      </c>
      <c r="AN49" s="25">
        <f>V$4*(V49-V$3)</f>
        <v/>
      </c>
      <c r="AO49" s="25">
        <f>W$4*(W49-W$3)</f>
        <v/>
      </c>
      <c r="AP49" s="25">
        <f>X$4*(X49-X$3)</f>
        <v/>
      </c>
      <c r="AQ49" s="25">
        <f>Y$4*(Y49-Y$3)</f>
        <v/>
      </c>
      <c r="AR49" s="25">
        <f>Z$4*(Z49-Z$3)</f>
        <v/>
      </c>
      <c r="AS49" s="25">
        <f>AA$4*(AA49-AA$3)</f>
        <v/>
      </c>
      <c r="AT49" s="25">
        <f>AB$4*(AB49-AB$3)</f>
        <v/>
      </c>
      <c r="AU49" s="25">
        <f>AC$4*(AC49-AC$3)</f>
        <v/>
      </c>
      <c r="AV49" s="25">
        <f>AD$4*(AD49-AD$3)</f>
        <v/>
      </c>
      <c r="AW49" s="25">
        <f>AE$4*(AE49-AE$3)</f>
        <v/>
      </c>
      <c r="AX49" s="25">
        <f>AF$4*(AF49-AF$3)</f>
        <v/>
      </c>
      <c r="AY49" s="25">
        <f>AG$4*(AG49-AG$3)</f>
        <v/>
      </c>
      <c r="AZ49" s="25">
        <f>AH$4*(AH49-AH$3)</f>
        <v/>
      </c>
      <c r="BA49" s="25">
        <f>AI$4*(AI49-AI$3)</f>
        <v/>
      </c>
      <c r="BB49" s="25">
        <f>AJ$4*(AJ49-AJ$3)</f>
        <v/>
      </c>
      <c r="BC49" s="25">
        <f>AK$4*(AK49-AK$3)</f>
        <v/>
      </c>
      <c r="BD49" s="26">
        <f>SUM(AL49:BC49)</f>
        <v/>
      </c>
      <c r="BE49" s="26">
        <f>INTERCEPT_SCALED+BD49</f>
        <v/>
      </c>
      <c r="BF49" s="27">
        <f>1/(1+EXP(-BE49))</f>
        <v/>
      </c>
      <c r="BG49" s="13">
        <f>1-(1-BF49)^12</f>
        <v/>
      </c>
      <c r="BH49" s="13">
        <f>IFERROR(AL49/BD49*(BG49-BASELINE_CPR),0)</f>
        <v/>
      </c>
      <c r="BI49" s="13">
        <f>IFERROR(AM49/BD49*(BG49-BASELINE_CPR),0)</f>
        <v/>
      </c>
      <c r="BJ49" s="13">
        <f>IFERROR(AN49/BD49*(BG49-BASELINE_CPR),0)</f>
        <v/>
      </c>
      <c r="BK49" s="13">
        <f>IFERROR(AO49/BD49*(BG49-BASELINE_CPR),0)</f>
        <v/>
      </c>
      <c r="BL49" s="13">
        <f>IFERROR(AP49/BD49*(BG49-BASELINE_CPR),0)</f>
        <v/>
      </c>
      <c r="BM49" s="13">
        <f>IFERROR(AQ49/BD49*(BG49-BASELINE_CPR),0)</f>
        <v/>
      </c>
      <c r="BN49" s="13">
        <f>IFERROR(AR49/BD49*(BG49-BASELINE_CPR),0)</f>
        <v/>
      </c>
      <c r="BO49" s="13">
        <f>IFERROR(AS49/BD49*(BG49-BASELINE_CPR),0)</f>
        <v/>
      </c>
      <c r="BP49" s="13">
        <f>IFERROR(AT49/BD49*(BG49-BASELINE_CPR),0)</f>
        <v/>
      </c>
      <c r="BQ49" s="13">
        <f>IFERROR(AU49/BD49*(BG49-BASELINE_CPR),0)</f>
        <v/>
      </c>
      <c r="BR49" s="13">
        <f>IFERROR(AV49/BD49*(BG49-BASELINE_CPR),0)</f>
        <v/>
      </c>
      <c r="BS49" s="13">
        <f>IFERROR(AW49/BD49*(BG49-BASELINE_CPR),0)</f>
        <v/>
      </c>
      <c r="BT49" s="13">
        <f>IFERROR(AX49/BD49*(BG49-BASELINE_CPR),0)</f>
        <v/>
      </c>
      <c r="BU49" s="13">
        <f>IFERROR(AY49/BD49*(BG49-BASELINE_CPR),0)</f>
        <v/>
      </c>
      <c r="BV49" s="13">
        <f>IFERROR(AZ49/BD49*(BG49-BASELINE_CPR),0)</f>
        <v/>
      </c>
      <c r="BW49" s="13">
        <f>IFERROR(BA49/BD49*(BG49-BASELINE_CPR),0)</f>
        <v/>
      </c>
      <c r="BX49" s="13">
        <f>IFERROR(BB49/BD49*(BG49-BASELINE_CPR),0)</f>
        <v/>
      </c>
      <c r="BY49" s="13">
        <f>IFERROR(BC49/BD49*(BG49-BASELINE_CPR),0)</f>
        <v/>
      </c>
      <c r="BZ49" s="28">
        <f>BASELINE_CPR+SUM(BH49:BY49)-BG49</f>
        <v/>
      </c>
    </row>
    <row r="50">
      <c r="A50" s="2" t="inlineStr">
        <is>
          <t>3617XJZZ6_000000011535902</t>
        </is>
      </c>
      <c r="B50" t="inlineStr">
        <is>
          <t>BERKADIA_POST21</t>
        </is>
      </c>
      <c r="C50" s="2" t="inlineStr">
        <is>
          <t>3617XJZZ6</t>
        </is>
      </c>
      <c r="D50" t="inlineStr">
        <is>
          <t>BERKADIA COMMERCIAL MORTGAGE, LLC</t>
        </is>
      </c>
      <c r="E50" t="inlineStr">
        <is>
          <t>221d4</t>
        </is>
      </c>
      <c r="F50" t="inlineStr">
        <is>
          <t>NC</t>
        </is>
      </c>
      <c r="G50" t="n">
        <v>2021</v>
      </c>
      <c r="H50" t="inlineStr">
        <is>
          <t>202602</t>
        </is>
      </c>
      <c r="I50" s="22" t="n">
        <v>45179299.6</v>
      </c>
      <c r="J50" s="23" t="n">
        <v>2.96</v>
      </c>
      <c r="K50" s="24" t="n">
        <v>447</v>
      </c>
      <c r="L50" s="24" t="n">
        <v>10</v>
      </c>
      <c r="M50" t="n">
        <v>50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s="24">
        <f>J50*100-(K50+(1+L50)*12.5)</f>
        <v/>
      </c>
      <c r="U50">
        <f>O50</f>
        <v/>
      </c>
      <c r="V50">
        <f>M50</f>
        <v/>
      </c>
      <c r="W50" s="23">
        <f>LN(1+I50)</f>
        <v/>
      </c>
      <c r="X50">
        <f>IF(G50&gt;=2021,1,0)</f>
        <v/>
      </c>
      <c r="Y50">
        <f>N50</f>
        <v/>
      </c>
      <c r="Z50" s="23">
        <f>IF(ISNUMBER(M50),N50/MAX(M50,1),0)</f>
        <v/>
      </c>
      <c r="AA50">
        <f>P50</f>
        <v/>
      </c>
      <c r="AB50">
        <f>Q50</f>
        <v/>
      </c>
      <c r="AC50">
        <f>R50</f>
        <v/>
      </c>
      <c r="AD50">
        <f>S50</f>
        <v/>
      </c>
      <c r="AE50">
        <f>IF(ISNUMBER(SEARCH("CAPITAL FUNDING",D50)),1,0)</f>
        <v/>
      </c>
      <c r="AF50">
        <f>IF(ISNUMBER(SEARCH("MERCHANTS",D50)),1,0)</f>
        <v/>
      </c>
      <c r="AG50">
        <f>IF(ISNUMBER(SEARCH("WELLS FARGO",D50)),1,0)</f>
        <v/>
      </c>
      <c r="AH50">
        <f>IF(ISNUMBER(SEARCH("WALKER",D50)),1,0)</f>
        <v/>
      </c>
      <c r="AI50">
        <f>IF(ISNUMBER(SEARCH("PNC",D50)),1,0)</f>
        <v/>
      </c>
      <c r="AJ50">
        <f>IF(ISNUMBER(SEARCH("BERKADIA",D50)),1,0)</f>
        <v/>
      </c>
      <c r="AK50">
        <f>IF(ISNUMBER(SEARCH("DWIGHT",D50)),1,0)</f>
        <v/>
      </c>
      <c r="AL50" s="25">
        <f>T$4*(T50-T$3)</f>
        <v/>
      </c>
      <c r="AM50" s="25">
        <f>U$4*(U50-U$3)</f>
        <v/>
      </c>
      <c r="AN50" s="25">
        <f>V$4*(V50-V$3)</f>
        <v/>
      </c>
      <c r="AO50" s="25">
        <f>W$4*(W50-W$3)</f>
        <v/>
      </c>
      <c r="AP50" s="25">
        <f>X$4*(X50-X$3)</f>
        <v/>
      </c>
      <c r="AQ50" s="25">
        <f>Y$4*(Y50-Y$3)</f>
        <v/>
      </c>
      <c r="AR50" s="25">
        <f>Z$4*(Z50-Z$3)</f>
        <v/>
      </c>
      <c r="AS50" s="25">
        <f>AA$4*(AA50-AA$3)</f>
        <v/>
      </c>
      <c r="AT50" s="25">
        <f>AB$4*(AB50-AB$3)</f>
        <v/>
      </c>
      <c r="AU50" s="25">
        <f>AC$4*(AC50-AC$3)</f>
        <v/>
      </c>
      <c r="AV50" s="25">
        <f>AD$4*(AD50-AD$3)</f>
        <v/>
      </c>
      <c r="AW50" s="25">
        <f>AE$4*(AE50-AE$3)</f>
        <v/>
      </c>
      <c r="AX50" s="25">
        <f>AF$4*(AF50-AF$3)</f>
        <v/>
      </c>
      <c r="AY50" s="25">
        <f>AG$4*(AG50-AG$3)</f>
        <v/>
      </c>
      <c r="AZ50" s="25">
        <f>AH$4*(AH50-AH$3)</f>
        <v/>
      </c>
      <c r="BA50" s="25">
        <f>AI$4*(AI50-AI$3)</f>
        <v/>
      </c>
      <c r="BB50" s="25">
        <f>AJ$4*(AJ50-AJ$3)</f>
        <v/>
      </c>
      <c r="BC50" s="25">
        <f>AK$4*(AK50-AK$3)</f>
        <v/>
      </c>
      <c r="BD50" s="26">
        <f>SUM(AL50:BC50)</f>
        <v/>
      </c>
      <c r="BE50" s="26">
        <f>INTERCEPT_SCALED+BD50</f>
        <v/>
      </c>
      <c r="BF50" s="27">
        <f>1/(1+EXP(-BE50))</f>
        <v/>
      </c>
      <c r="BG50" s="13">
        <f>1-(1-BF50)^12</f>
        <v/>
      </c>
      <c r="BH50" s="13">
        <f>IFERROR(AL50/BD50*(BG50-BASELINE_CPR),0)</f>
        <v/>
      </c>
      <c r="BI50" s="13">
        <f>IFERROR(AM50/BD50*(BG50-BASELINE_CPR),0)</f>
        <v/>
      </c>
      <c r="BJ50" s="13">
        <f>IFERROR(AN50/BD50*(BG50-BASELINE_CPR),0)</f>
        <v/>
      </c>
      <c r="BK50" s="13">
        <f>IFERROR(AO50/BD50*(BG50-BASELINE_CPR),0)</f>
        <v/>
      </c>
      <c r="BL50" s="13">
        <f>IFERROR(AP50/BD50*(BG50-BASELINE_CPR),0)</f>
        <v/>
      </c>
      <c r="BM50" s="13">
        <f>IFERROR(AQ50/BD50*(BG50-BASELINE_CPR),0)</f>
        <v/>
      </c>
      <c r="BN50" s="13">
        <f>IFERROR(AR50/BD50*(BG50-BASELINE_CPR),0)</f>
        <v/>
      </c>
      <c r="BO50" s="13">
        <f>IFERROR(AS50/BD50*(BG50-BASELINE_CPR),0)</f>
        <v/>
      </c>
      <c r="BP50" s="13">
        <f>IFERROR(AT50/BD50*(BG50-BASELINE_CPR),0)</f>
        <v/>
      </c>
      <c r="BQ50" s="13">
        <f>IFERROR(AU50/BD50*(BG50-BASELINE_CPR),0)</f>
        <v/>
      </c>
      <c r="BR50" s="13">
        <f>IFERROR(AV50/BD50*(BG50-BASELINE_CPR),0)</f>
        <v/>
      </c>
      <c r="BS50" s="13">
        <f>IFERROR(AW50/BD50*(BG50-BASELINE_CPR),0)</f>
        <v/>
      </c>
      <c r="BT50" s="13">
        <f>IFERROR(AX50/BD50*(BG50-BASELINE_CPR),0)</f>
        <v/>
      </c>
      <c r="BU50" s="13">
        <f>IFERROR(AY50/BD50*(BG50-BASELINE_CPR),0)</f>
        <v/>
      </c>
      <c r="BV50" s="13">
        <f>IFERROR(AZ50/BD50*(BG50-BASELINE_CPR),0)</f>
        <v/>
      </c>
      <c r="BW50" s="13">
        <f>IFERROR(BA50/BD50*(BG50-BASELINE_CPR),0)</f>
        <v/>
      </c>
      <c r="BX50" s="13">
        <f>IFERROR(BB50/BD50*(BG50-BASELINE_CPR),0)</f>
        <v/>
      </c>
      <c r="BY50" s="13">
        <f>IFERROR(BC50/BD50*(BG50-BASELINE_CPR),0)</f>
        <v/>
      </c>
      <c r="BZ50" s="28">
        <f>BASELINE_CPR+SUM(BH50:BY50)-BG50</f>
        <v/>
      </c>
    </row>
    <row r="51">
      <c r="A51" s="2" t="inlineStr">
        <is>
          <t>3617BRLC8_000000005411156</t>
        </is>
      </c>
      <c r="B51" t="inlineStr">
        <is>
          <t>BERKADIA_PRE21</t>
        </is>
      </c>
      <c r="C51" s="2" t="inlineStr">
        <is>
          <t>3617BRLC8</t>
        </is>
      </c>
      <c r="D51" t="inlineStr">
        <is>
          <t>BERKADIA COMMERCIAL MORTGAGE, LLC</t>
        </is>
      </c>
      <c r="E51" t="inlineStr">
        <is>
          <t>223f</t>
        </is>
      </c>
      <c r="F51" t="inlineStr">
        <is>
          <t>RP</t>
        </is>
      </c>
      <c r="G51" t="n">
        <v>2017</v>
      </c>
      <c r="H51" t="inlineStr">
        <is>
          <t>202602</t>
        </is>
      </c>
      <c r="I51" s="22" t="n">
        <v>3384137.38</v>
      </c>
      <c r="J51" s="23" t="n">
        <v>3.99</v>
      </c>
      <c r="K51" s="24" t="n">
        <v>447</v>
      </c>
      <c r="L51" s="24" t="n">
        <v>0</v>
      </c>
      <c r="M51" t="n">
        <v>99</v>
      </c>
      <c r="N51" t="n">
        <v>41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s="24">
        <f>J51*100-(K51+(1+L51)*12.5)</f>
        <v/>
      </c>
      <c r="U51">
        <f>O51</f>
        <v/>
      </c>
      <c r="V51">
        <f>M51</f>
        <v/>
      </c>
      <c r="W51" s="23">
        <f>LN(1+I51)</f>
        <v/>
      </c>
      <c r="X51">
        <f>IF(G51&gt;=2021,1,0)</f>
        <v/>
      </c>
      <c r="Y51">
        <f>N51</f>
        <v/>
      </c>
      <c r="Z51" s="23">
        <f>IF(ISNUMBER(M51),N51/MAX(M51,1),0)</f>
        <v/>
      </c>
      <c r="AA51">
        <f>P51</f>
        <v/>
      </c>
      <c r="AB51">
        <f>Q51</f>
        <v/>
      </c>
      <c r="AC51">
        <f>R51</f>
        <v/>
      </c>
      <c r="AD51">
        <f>S51</f>
        <v/>
      </c>
      <c r="AE51">
        <f>IF(ISNUMBER(SEARCH("CAPITAL FUNDING",D51)),1,0)</f>
        <v/>
      </c>
      <c r="AF51">
        <f>IF(ISNUMBER(SEARCH("MERCHANTS",D51)),1,0)</f>
        <v/>
      </c>
      <c r="AG51">
        <f>IF(ISNUMBER(SEARCH("WELLS FARGO",D51)),1,0)</f>
        <v/>
      </c>
      <c r="AH51">
        <f>IF(ISNUMBER(SEARCH("WALKER",D51)),1,0)</f>
        <v/>
      </c>
      <c r="AI51">
        <f>IF(ISNUMBER(SEARCH("PNC",D51)),1,0)</f>
        <v/>
      </c>
      <c r="AJ51">
        <f>IF(ISNUMBER(SEARCH("BERKADIA",D51)),1,0)</f>
        <v/>
      </c>
      <c r="AK51">
        <f>IF(ISNUMBER(SEARCH("DWIGHT",D51)),1,0)</f>
        <v/>
      </c>
      <c r="AL51" s="25">
        <f>T$4*(T51-T$3)</f>
        <v/>
      </c>
      <c r="AM51" s="25">
        <f>U$4*(U51-U$3)</f>
        <v/>
      </c>
      <c r="AN51" s="25">
        <f>V$4*(V51-V$3)</f>
        <v/>
      </c>
      <c r="AO51" s="25">
        <f>W$4*(W51-W$3)</f>
        <v/>
      </c>
      <c r="AP51" s="25">
        <f>X$4*(X51-X$3)</f>
        <v/>
      </c>
      <c r="AQ51" s="25">
        <f>Y$4*(Y51-Y$3)</f>
        <v/>
      </c>
      <c r="AR51" s="25">
        <f>Z$4*(Z51-Z$3)</f>
        <v/>
      </c>
      <c r="AS51" s="25">
        <f>AA$4*(AA51-AA$3)</f>
        <v/>
      </c>
      <c r="AT51" s="25">
        <f>AB$4*(AB51-AB$3)</f>
        <v/>
      </c>
      <c r="AU51" s="25">
        <f>AC$4*(AC51-AC$3)</f>
        <v/>
      </c>
      <c r="AV51" s="25">
        <f>AD$4*(AD51-AD$3)</f>
        <v/>
      </c>
      <c r="AW51" s="25">
        <f>AE$4*(AE51-AE$3)</f>
        <v/>
      </c>
      <c r="AX51" s="25">
        <f>AF$4*(AF51-AF$3)</f>
        <v/>
      </c>
      <c r="AY51" s="25">
        <f>AG$4*(AG51-AG$3)</f>
        <v/>
      </c>
      <c r="AZ51" s="25">
        <f>AH$4*(AH51-AH$3)</f>
        <v/>
      </c>
      <c r="BA51" s="25">
        <f>AI$4*(AI51-AI$3)</f>
        <v/>
      </c>
      <c r="BB51" s="25">
        <f>AJ$4*(AJ51-AJ$3)</f>
        <v/>
      </c>
      <c r="BC51" s="25">
        <f>AK$4*(AK51-AK$3)</f>
        <v/>
      </c>
      <c r="BD51" s="26">
        <f>SUM(AL51:BC51)</f>
        <v/>
      </c>
      <c r="BE51" s="26">
        <f>INTERCEPT_SCALED+BD51</f>
        <v/>
      </c>
      <c r="BF51" s="27">
        <f>1/(1+EXP(-BE51))</f>
        <v/>
      </c>
      <c r="BG51" s="13">
        <f>1-(1-BF51)^12</f>
        <v/>
      </c>
      <c r="BH51" s="13">
        <f>IFERROR(AL51/BD51*(BG51-BASELINE_CPR),0)</f>
        <v/>
      </c>
      <c r="BI51" s="13">
        <f>IFERROR(AM51/BD51*(BG51-BASELINE_CPR),0)</f>
        <v/>
      </c>
      <c r="BJ51" s="13">
        <f>IFERROR(AN51/BD51*(BG51-BASELINE_CPR),0)</f>
        <v/>
      </c>
      <c r="BK51" s="13">
        <f>IFERROR(AO51/BD51*(BG51-BASELINE_CPR),0)</f>
        <v/>
      </c>
      <c r="BL51" s="13">
        <f>IFERROR(AP51/BD51*(BG51-BASELINE_CPR),0)</f>
        <v/>
      </c>
      <c r="BM51" s="13">
        <f>IFERROR(AQ51/BD51*(BG51-BASELINE_CPR),0)</f>
        <v/>
      </c>
      <c r="BN51" s="13">
        <f>IFERROR(AR51/BD51*(BG51-BASELINE_CPR),0)</f>
        <v/>
      </c>
      <c r="BO51" s="13">
        <f>IFERROR(AS51/BD51*(BG51-BASELINE_CPR),0)</f>
        <v/>
      </c>
      <c r="BP51" s="13">
        <f>IFERROR(AT51/BD51*(BG51-BASELINE_CPR),0)</f>
        <v/>
      </c>
      <c r="BQ51" s="13">
        <f>IFERROR(AU51/BD51*(BG51-BASELINE_CPR),0)</f>
        <v/>
      </c>
      <c r="BR51" s="13">
        <f>IFERROR(AV51/BD51*(BG51-BASELINE_CPR),0)</f>
        <v/>
      </c>
      <c r="BS51" s="13">
        <f>IFERROR(AW51/BD51*(BG51-BASELINE_CPR),0)</f>
        <v/>
      </c>
      <c r="BT51" s="13">
        <f>IFERROR(AX51/BD51*(BG51-BASELINE_CPR),0)</f>
        <v/>
      </c>
      <c r="BU51" s="13">
        <f>IFERROR(AY51/BD51*(BG51-BASELINE_CPR),0)</f>
        <v/>
      </c>
      <c r="BV51" s="13">
        <f>IFERROR(AZ51/BD51*(BG51-BASELINE_CPR),0)</f>
        <v/>
      </c>
      <c r="BW51" s="13">
        <f>IFERROR(BA51/BD51*(BG51-BASELINE_CPR),0)</f>
        <v/>
      </c>
      <c r="BX51" s="13">
        <f>IFERROR(BB51/BD51*(BG51-BASELINE_CPR),0)</f>
        <v/>
      </c>
      <c r="BY51" s="13">
        <f>IFERROR(BC51/BD51*(BG51-BASELINE_CPR),0)</f>
        <v/>
      </c>
      <c r="BZ51" s="28">
        <f>BASELINE_CPR+SUM(BH51:BY51)-BG51</f>
        <v/>
      </c>
    </row>
    <row r="52">
      <c r="A52" s="2" t="inlineStr">
        <is>
          <t>3617XJ2D1_000000004711281</t>
        </is>
      </c>
      <c r="B52" t="inlineStr">
        <is>
          <t>BERKADIA_POST21</t>
        </is>
      </c>
      <c r="C52" s="2" t="inlineStr">
        <is>
          <t>3617XJ2D1</t>
        </is>
      </c>
      <c r="D52" t="inlineStr">
        <is>
          <t>BERKADIA COMMERCIAL MORTGAGE, LLC</t>
        </is>
      </c>
      <c r="E52" t="inlineStr">
        <is>
          <t>223f</t>
        </is>
      </c>
      <c r="F52" t="inlineStr">
        <is>
          <t>RP</t>
        </is>
      </c>
      <c r="G52" t="n">
        <v>2021</v>
      </c>
      <c r="H52" t="inlineStr">
        <is>
          <t>202602</t>
        </is>
      </c>
      <c r="I52" s="22" t="n">
        <v>5205375.79</v>
      </c>
      <c r="J52" s="23" t="n">
        <v>2.49</v>
      </c>
      <c r="K52" s="24" t="n">
        <v>447</v>
      </c>
      <c r="L52" s="24" t="n">
        <v>8</v>
      </c>
      <c r="M52" t="n">
        <v>54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s="24">
        <f>J52*100-(K52+(1+L52)*12.5)</f>
        <v/>
      </c>
      <c r="U52">
        <f>O52</f>
        <v/>
      </c>
      <c r="V52">
        <f>M52</f>
        <v/>
      </c>
      <c r="W52" s="23">
        <f>LN(1+I52)</f>
        <v/>
      </c>
      <c r="X52">
        <f>IF(G52&gt;=2021,1,0)</f>
        <v/>
      </c>
      <c r="Y52">
        <f>N52</f>
        <v/>
      </c>
      <c r="Z52" s="23">
        <f>IF(ISNUMBER(M52),N52/MAX(M52,1),0)</f>
        <v/>
      </c>
      <c r="AA52">
        <f>P52</f>
        <v/>
      </c>
      <c r="AB52">
        <f>Q52</f>
        <v/>
      </c>
      <c r="AC52">
        <f>R52</f>
        <v/>
      </c>
      <c r="AD52">
        <f>S52</f>
        <v/>
      </c>
      <c r="AE52">
        <f>IF(ISNUMBER(SEARCH("CAPITAL FUNDING",D52)),1,0)</f>
        <v/>
      </c>
      <c r="AF52">
        <f>IF(ISNUMBER(SEARCH("MERCHANTS",D52)),1,0)</f>
        <v/>
      </c>
      <c r="AG52">
        <f>IF(ISNUMBER(SEARCH("WELLS FARGO",D52)),1,0)</f>
        <v/>
      </c>
      <c r="AH52">
        <f>IF(ISNUMBER(SEARCH("WALKER",D52)),1,0)</f>
        <v/>
      </c>
      <c r="AI52">
        <f>IF(ISNUMBER(SEARCH("PNC",D52)),1,0)</f>
        <v/>
      </c>
      <c r="AJ52">
        <f>IF(ISNUMBER(SEARCH("BERKADIA",D52)),1,0)</f>
        <v/>
      </c>
      <c r="AK52">
        <f>IF(ISNUMBER(SEARCH("DWIGHT",D52)),1,0)</f>
        <v/>
      </c>
      <c r="AL52" s="25">
        <f>T$4*(T52-T$3)</f>
        <v/>
      </c>
      <c r="AM52" s="25">
        <f>U$4*(U52-U$3)</f>
        <v/>
      </c>
      <c r="AN52" s="25">
        <f>V$4*(V52-V$3)</f>
        <v/>
      </c>
      <c r="AO52" s="25">
        <f>W$4*(W52-W$3)</f>
        <v/>
      </c>
      <c r="AP52" s="25">
        <f>X$4*(X52-X$3)</f>
        <v/>
      </c>
      <c r="AQ52" s="25">
        <f>Y$4*(Y52-Y$3)</f>
        <v/>
      </c>
      <c r="AR52" s="25">
        <f>Z$4*(Z52-Z$3)</f>
        <v/>
      </c>
      <c r="AS52" s="25">
        <f>AA$4*(AA52-AA$3)</f>
        <v/>
      </c>
      <c r="AT52" s="25">
        <f>AB$4*(AB52-AB$3)</f>
        <v/>
      </c>
      <c r="AU52" s="25">
        <f>AC$4*(AC52-AC$3)</f>
        <v/>
      </c>
      <c r="AV52" s="25">
        <f>AD$4*(AD52-AD$3)</f>
        <v/>
      </c>
      <c r="AW52" s="25">
        <f>AE$4*(AE52-AE$3)</f>
        <v/>
      </c>
      <c r="AX52" s="25">
        <f>AF$4*(AF52-AF$3)</f>
        <v/>
      </c>
      <c r="AY52" s="25">
        <f>AG$4*(AG52-AG$3)</f>
        <v/>
      </c>
      <c r="AZ52" s="25">
        <f>AH$4*(AH52-AH$3)</f>
        <v/>
      </c>
      <c r="BA52" s="25">
        <f>AI$4*(AI52-AI$3)</f>
        <v/>
      </c>
      <c r="BB52" s="25">
        <f>AJ$4*(AJ52-AJ$3)</f>
        <v/>
      </c>
      <c r="BC52" s="25">
        <f>AK$4*(AK52-AK$3)</f>
        <v/>
      </c>
      <c r="BD52" s="26">
        <f>SUM(AL52:BC52)</f>
        <v/>
      </c>
      <c r="BE52" s="26">
        <f>INTERCEPT_SCALED+BD52</f>
        <v/>
      </c>
      <c r="BF52" s="27">
        <f>1/(1+EXP(-BE52))</f>
        <v/>
      </c>
      <c r="BG52" s="13">
        <f>1-(1-BF52)^12</f>
        <v/>
      </c>
      <c r="BH52" s="13">
        <f>IFERROR(AL52/BD52*(BG52-BASELINE_CPR),0)</f>
        <v/>
      </c>
      <c r="BI52" s="13">
        <f>IFERROR(AM52/BD52*(BG52-BASELINE_CPR),0)</f>
        <v/>
      </c>
      <c r="BJ52" s="13">
        <f>IFERROR(AN52/BD52*(BG52-BASELINE_CPR),0)</f>
        <v/>
      </c>
      <c r="BK52" s="13">
        <f>IFERROR(AO52/BD52*(BG52-BASELINE_CPR),0)</f>
        <v/>
      </c>
      <c r="BL52" s="13">
        <f>IFERROR(AP52/BD52*(BG52-BASELINE_CPR),0)</f>
        <v/>
      </c>
      <c r="BM52" s="13">
        <f>IFERROR(AQ52/BD52*(BG52-BASELINE_CPR),0)</f>
        <v/>
      </c>
      <c r="BN52" s="13">
        <f>IFERROR(AR52/BD52*(BG52-BASELINE_CPR),0)</f>
        <v/>
      </c>
      <c r="BO52" s="13">
        <f>IFERROR(AS52/BD52*(BG52-BASELINE_CPR),0)</f>
        <v/>
      </c>
      <c r="BP52" s="13">
        <f>IFERROR(AT52/BD52*(BG52-BASELINE_CPR),0)</f>
        <v/>
      </c>
      <c r="BQ52" s="13">
        <f>IFERROR(AU52/BD52*(BG52-BASELINE_CPR),0)</f>
        <v/>
      </c>
      <c r="BR52" s="13">
        <f>IFERROR(AV52/BD52*(BG52-BASELINE_CPR),0)</f>
        <v/>
      </c>
      <c r="BS52" s="13">
        <f>IFERROR(AW52/BD52*(BG52-BASELINE_CPR),0)</f>
        <v/>
      </c>
      <c r="BT52" s="13">
        <f>IFERROR(AX52/BD52*(BG52-BASELINE_CPR),0)</f>
        <v/>
      </c>
      <c r="BU52" s="13">
        <f>IFERROR(AY52/BD52*(BG52-BASELINE_CPR),0)</f>
        <v/>
      </c>
      <c r="BV52" s="13">
        <f>IFERROR(AZ52/BD52*(BG52-BASELINE_CPR),0)</f>
        <v/>
      </c>
      <c r="BW52" s="13">
        <f>IFERROR(BA52/BD52*(BG52-BASELINE_CPR),0)</f>
        <v/>
      </c>
      <c r="BX52" s="13">
        <f>IFERROR(BB52/BD52*(BG52-BASELINE_CPR),0)</f>
        <v/>
      </c>
      <c r="BY52" s="13">
        <f>IFERROR(BC52/BD52*(BG52-BASELINE_CPR),0)</f>
        <v/>
      </c>
      <c r="BZ52" s="28">
        <f>BASELINE_CPR+SUM(BH52:BY52)-BG52</f>
        <v/>
      </c>
    </row>
    <row r="53">
      <c r="A53" s="2" t="inlineStr">
        <is>
          <t>3617UNW83_000000005135817</t>
        </is>
      </c>
      <c r="B53" t="inlineStr">
        <is>
          <t>BERKADIA_PRE21</t>
        </is>
      </c>
      <c r="C53" s="2" t="inlineStr">
        <is>
          <t>3617UNW83</t>
        </is>
      </c>
      <c r="D53" t="inlineStr">
        <is>
          <t>BERKADIA COMMERCIAL MORTGAGE, LLC</t>
        </is>
      </c>
      <c r="E53" t="inlineStr">
        <is>
          <t>221d4</t>
        </is>
      </c>
      <c r="F53" t="inlineStr">
        <is>
          <t>RP</t>
        </is>
      </c>
      <c r="G53" t="n">
        <v>2020</v>
      </c>
      <c r="H53" t="inlineStr">
        <is>
          <t>202602</t>
        </is>
      </c>
      <c r="I53" s="22" t="n">
        <v>36370658.07</v>
      </c>
      <c r="J53" s="23" t="n">
        <v>2.3</v>
      </c>
      <c r="K53" s="24" t="n">
        <v>447</v>
      </c>
      <c r="L53" s="24" t="n">
        <v>7</v>
      </c>
      <c r="M53" t="n">
        <v>64</v>
      </c>
      <c r="N53" t="n">
        <v>12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s="24">
        <f>J53*100-(K53+(1+L53)*12.5)</f>
        <v/>
      </c>
      <c r="U53">
        <f>O53</f>
        <v/>
      </c>
      <c r="V53">
        <f>M53</f>
        <v/>
      </c>
      <c r="W53" s="23">
        <f>LN(1+I53)</f>
        <v/>
      </c>
      <c r="X53">
        <f>IF(G53&gt;=2021,1,0)</f>
        <v/>
      </c>
      <c r="Y53">
        <f>N53</f>
        <v/>
      </c>
      <c r="Z53" s="23">
        <f>IF(ISNUMBER(M53),N53/MAX(M53,1),0)</f>
        <v/>
      </c>
      <c r="AA53">
        <f>P53</f>
        <v/>
      </c>
      <c r="AB53">
        <f>Q53</f>
        <v/>
      </c>
      <c r="AC53">
        <f>R53</f>
        <v/>
      </c>
      <c r="AD53">
        <f>S53</f>
        <v/>
      </c>
      <c r="AE53">
        <f>IF(ISNUMBER(SEARCH("CAPITAL FUNDING",D53)),1,0)</f>
        <v/>
      </c>
      <c r="AF53">
        <f>IF(ISNUMBER(SEARCH("MERCHANTS",D53)),1,0)</f>
        <v/>
      </c>
      <c r="AG53">
        <f>IF(ISNUMBER(SEARCH("WELLS FARGO",D53)),1,0)</f>
        <v/>
      </c>
      <c r="AH53">
        <f>IF(ISNUMBER(SEARCH("WALKER",D53)),1,0)</f>
        <v/>
      </c>
      <c r="AI53">
        <f>IF(ISNUMBER(SEARCH("PNC",D53)),1,0)</f>
        <v/>
      </c>
      <c r="AJ53">
        <f>IF(ISNUMBER(SEARCH("BERKADIA",D53)),1,0)</f>
        <v/>
      </c>
      <c r="AK53">
        <f>IF(ISNUMBER(SEARCH("DWIGHT",D53)),1,0)</f>
        <v/>
      </c>
      <c r="AL53" s="25">
        <f>T$4*(T53-T$3)</f>
        <v/>
      </c>
      <c r="AM53" s="25">
        <f>U$4*(U53-U$3)</f>
        <v/>
      </c>
      <c r="AN53" s="25">
        <f>V$4*(V53-V$3)</f>
        <v/>
      </c>
      <c r="AO53" s="25">
        <f>W$4*(W53-W$3)</f>
        <v/>
      </c>
      <c r="AP53" s="25">
        <f>X$4*(X53-X$3)</f>
        <v/>
      </c>
      <c r="AQ53" s="25">
        <f>Y$4*(Y53-Y$3)</f>
        <v/>
      </c>
      <c r="AR53" s="25">
        <f>Z$4*(Z53-Z$3)</f>
        <v/>
      </c>
      <c r="AS53" s="25">
        <f>AA$4*(AA53-AA$3)</f>
        <v/>
      </c>
      <c r="AT53" s="25">
        <f>AB$4*(AB53-AB$3)</f>
        <v/>
      </c>
      <c r="AU53" s="25">
        <f>AC$4*(AC53-AC$3)</f>
        <v/>
      </c>
      <c r="AV53" s="25">
        <f>AD$4*(AD53-AD$3)</f>
        <v/>
      </c>
      <c r="AW53" s="25">
        <f>AE$4*(AE53-AE$3)</f>
        <v/>
      </c>
      <c r="AX53" s="25">
        <f>AF$4*(AF53-AF$3)</f>
        <v/>
      </c>
      <c r="AY53" s="25">
        <f>AG$4*(AG53-AG$3)</f>
        <v/>
      </c>
      <c r="AZ53" s="25">
        <f>AH$4*(AH53-AH$3)</f>
        <v/>
      </c>
      <c r="BA53" s="25">
        <f>AI$4*(AI53-AI$3)</f>
        <v/>
      </c>
      <c r="BB53" s="25">
        <f>AJ$4*(AJ53-AJ$3)</f>
        <v/>
      </c>
      <c r="BC53" s="25">
        <f>AK$4*(AK53-AK$3)</f>
        <v/>
      </c>
      <c r="BD53" s="26">
        <f>SUM(AL53:BC53)</f>
        <v/>
      </c>
      <c r="BE53" s="26">
        <f>INTERCEPT_SCALED+BD53</f>
        <v/>
      </c>
      <c r="BF53" s="27">
        <f>1/(1+EXP(-BE53))</f>
        <v/>
      </c>
      <c r="BG53" s="13">
        <f>1-(1-BF53)^12</f>
        <v/>
      </c>
      <c r="BH53" s="13">
        <f>IFERROR(AL53/BD53*(BG53-BASELINE_CPR),0)</f>
        <v/>
      </c>
      <c r="BI53" s="13">
        <f>IFERROR(AM53/BD53*(BG53-BASELINE_CPR),0)</f>
        <v/>
      </c>
      <c r="BJ53" s="13">
        <f>IFERROR(AN53/BD53*(BG53-BASELINE_CPR),0)</f>
        <v/>
      </c>
      <c r="BK53" s="13">
        <f>IFERROR(AO53/BD53*(BG53-BASELINE_CPR),0)</f>
        <v/>
      </c>
      <c r="BL53" s="13">
        <f>IFERROR(AP53/BD53*(BG53-BASELINE_CPR),0)</f>
        <v/>
      </c>
      <c r="BM53" s="13">
        <f>IFERROR(AQ53/BD53*(BG53-BASELINE_CPR),0)</f>
        <v/>
      </c>
      <c r="BN53" s="13">
        <f>IFERROR(AR53/BD53*(BG53-BASELINE_CPR),0)</f>
        <v/>
      </c>
      <c r="BO53" s="13">
        <f>IFERROR(AS53/BD53*(BG53-BASELINE_CPR),0)</f>
        <v/>
      </c>
      <c r="BP53" s="13">
        <f>IFERROR(AT53/BD53*(BG53-BASELINE_CPR),0)</f>
        <v/>
      </c>
      <c r="BQ53" s="13">
        <f>IFERROR(AU53/BD53*(BG53-BASELINE_CPR),0)</f>
        <v/>
      </c>
      <c r="BR53" s="13">
        <f>IFERROR(AV53/BD53*(BG53-BASELINE_CPR),0)</f>
        <v/>
      </c>
      <c r="BS53" s="13">
        <f>IFERROR(AW53/BD53*(BG53-BASELINE_CPR),0)</f>
        <v/>
      </c>
      <c r="BT53" s="13">
        <f>IFERROR(AX53/BD53*(BG53-BASELINE_CPR),0)</f>
        <v/>
      </c>
      <c r="BU53" s="13">
        <f>IFERROR(AY53/BD53*(BG53-BASELINE_CPR),0)</f>
        <v/>
      </c>
      <c r="BV53" s="13">
        <f>IFERROR(AZ53/BD53*(BG53-BASELINE_CPR),0)</f>
        <v/>
      </c>
      <c r="BW53" s="13">
        <f>IFERROR(BA53/BD53*(BG53-BASELINE_CPR),0)</f>
        <v/>
      </c>
      <c r="BX53" s="13">
        <f>IFERROR(BB53/BD53*(BG53-BASELINE_CPR),0)</f>
        <v/>
      </c>
      <c r="BY53" s="13">
        <f>IFERROR(BC53/BD53*(BG53-BASELINE_CPR),0)</f>
        <v/>
      </c>
      <c r="BZ53" s="28">
        <f>BASELINE_CPR+SUM(BH53:BY53)-BG53</f>
        <v/>
      </c>
    </row>
    <row r="54">
      <c r="A54" s="2" t="inlineStr">
        <is>
          <t>3617F6YH5_000000010511134</t>
        </is>
      </c>
      <c r="B54" t="inlineStr">
        <is>
          <t>BERKADIA_POST21</t>
        </is>
      </c>
      <c r="C54" s="2" t="inlineStr">
        <is>
          <t>3617F6YH5</t>
        </is>
      </c>
      <c r="D54" t="inlineStr">
        <is>
          <t>BERKADIA COMMERCIAL MORTGAGE, LLC</t>
        </is>
      </c>
      <c r="E54" t="inlineStr">
        <is>
          <t>223f</t>
        </is>
      </c>
      <c r="F54" t="inlineStr">
        <is>
          <t>RP</t>
        </is>
      </c>
      <c r="G54" t="n">
        <v>2022</v>
      </c>
      <c r="H54" t="inlineStr">
        <is>
          <t>202602</t>
        </is>
      </c>
      <c r="I54" s="22" t="n">
        <v>40172297.82</v>
      </c>
      <c r="J54" s="23" t="n">
        <v>3.68</v>
      </c>
      <c r="K54" s="24" t="n">
        <v>447</v>
      </c>
      <c r="L54" s="24" t="n">
        <v>8</v>
      </c>
      <c r="M54" t="n">
        <v>46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s="24">
        <f>J54*100-(K54+(1+L54)*12.5)</f>
        <v/>
      </c>
      <c r="U54">
        <f>O54</f>
        <v/>
      </c>
      <c r="V54">
        <f>M54</f>
        <v/>
      </c>
      <c r="W54" s="23">
        <f>LN(1+I54)</f>
        <v/>
      </c>
      <c r="X54">
        <f>IF(G54&gt;=2021,1,0)</f>
        <v/>
      </c>
      <c r="Y54">
        <f>N54</f>
        <v/>
      </c>
      <c r="Z54" s="23">
        <f>IF(ISNUMBER(M54),N54/MAX(M54,1),0)</f>
        <v/>
      </c>
      <c r="AA54">
        <f>P54</f>
        <v/>
      </c>
      <c r="AB54">
        <f>Q54</f>
        <v/>
      </c>
      <c r="AC54">
        <f>R54</f>
        <v/>
      </c>
      <c r="AD54">
        <f>S54</f>
        <v/>
      </c>
      <c r="AE54">
        <f>IF(ISNUMBER(SEARCH("CAPITAL FUNDING",D54)),1,0)</f>
        <v/>
      </c>
      <c r="AF54">
        <f>IF(ISNUMBER(SEARCH("MERCHANTS",D54)),1,0)</f>
        <v/>
      </c>
      <c r="AG54">
        <f>IF(ISNUMBER(SEARCH("WELLS FARGO",D54)),1,0)</f>
        <v/>
      </c>
      <c r="AH54">
        <f>IF(ISNUMBER(SEARCH("WALKER",D54)),1,0)</f>
        <v/>
      </c>
      <c r="AI54">
        <f>IF(ISNUMBER(SEARCH("PNC",D54)),1,0)</f>
        <v/>
      </c>
      <c r="AJ54">
        <f>IF(ISNUMBER(SEARCH("BERKADIA",D54)),1,0)</f>
        <v/>
      </c>
      <c r="AK54">
        <f>IF(ISNUMBER(SEARCH("DWIGHT",D54)),1,0)</f>
        <v/>
      </c>
      <c r="AL54" s="25">
        <f>T$4*(T54-T$3)</f>
        <v/>
      </c>
      <c r="AM54" s="25">
        <f>U$4*(U54-U$3)</f>
        <v/>
      </c>
      <c r="AN54" s="25">
        <f>V$4*(V54-V$3)</f>
        <v/>
      </c>
      <c r="AO54" s="25">
        <f>W$4*(W54-W$3)</f>
        <v/>
      </c>
      <c r="AP54" s="25">
        <f>X$4*(X54-X$3)</f>
        <v/>
      </c>
      <c r="AQ54" s="25">
        <f>Y$4*(Y54-Y$3)</f>
        <v/>
      </c>
      <c r="AR54" s="25">
        <f>Z$4*(Z54-Z$3)</f>
        <v/>
      </c>
      <c r="AS54" s="25">
        <f>AA$4*(AA54-AA$3)</f>
        <v/>
      </c>
      <c r="AT54" s="25">
        <f>AB$4*(AB54-AB$3)</f>
        <v/>
      </c>
      <c r="AU54" s="25">
        <f>AC$4*(AC54-AC$3)</f>
        <v/>
      </c>
      <c r="AV54" s="25">
        <f>AD$4*(AD54-AD$3)</f>
        <v/>
      </c>
      <c r="AW54" s="25">
        <f>AE$4*(AE54-AE$3)</f>
        <v/>
      </c>
      <c r="AX54" s="25">
        <f>AF$4*(AF54-AF$3)</f>
        <v/>
      </c>
      <c r="AY54" s="25">
        <f>AG$4*(AG54-AG$3)</f>
        <v/>
      </c>
      <c r="AZ54" s="25">
        <f>AH$4*(AH54-AH$3)</f>
        <v/>
      </c>
      <c r="BA54" s="25">
        <f>AI$4*(AI54-AI$3)</f>
        <v/>
      </c>
      <c r="BB54" s="25">
        <f>AJ$4*(AJ54-AJ$3)</f>
        <v/>
      </c>
      <c r="BC54" s="25">
        <f>AK$4*(AK54-AK$3)</f>
        <v/>
      </c>
      <c r="BD54" s="26">
        <f>SUM(AL54:BC54)</f>
        <v/>
      </c>
      <c r="BE54" s="26">
        <f>INTERCEPT_SCALED+BD54</f>
        <v/>
      </c>
      <c r="BF54" s="27">
        <f>1/(1+EXP(-BE54))</f>
        <v/>
      </c>
      <c r="BG54" s="13">
        <f>1-(1-BF54)^12</f>
        <v/>
      </c>
      <c r="BH54" s="13">
        <f>IFERROR(AL54/BD54*(BG54-BASELINE_CPR),0)</f>
        <v/>
      </c>
      <c r="BI54" s="13">
        <f>IFERROR(AM54/BD54*(BG54-BASELINE_CPR),0)</f>
        <v/>
      </c>
      <c r="BJ54" s="13">
        <f>IFERROR(AN54/BD54*(BG54-BASELINE_CPR),0)</f>
        <v/>
      </c>
      <c r="BK54" s="13">
        <f>IFERROR(AO54/BD54*(BG54-BASELINE_CPR),0)</f>
        <v/>
      </c>
      <c r="BL54" s="13">
        <f>IFERROR(AP54/BD54*(BG54-BASELINE_CPR),0)</f>
        <v/>
      </c>
      <c r="BM54" s="13">
        <f>IFERROR(AQ54/BD54*(BG54-BASELINE_CPR),0)</f>
        <v/>
      </c>
      <c r="BN54" s="13">
        <f>IFERROR(AR54/BD54*(BG54-BASELINE_CPR),0)</f>
        <v/>
      </c>
      <c r="BO54" s="13">
        <f>IFERROR(AS54/BD54*(BG54-BASELINE_CPR),0)</f>
        <v/>
      </c>
      <c r="BP54" s="13">
        <f>IFERROR(AT54/BD54*(BG54-BASELINE_CPR),0)</f>
        <v/>
      </c>
      <c r="BQ54" s="13">
        <f>IFERROR(AU54/BD54*(BG54-BASELINE_CPR),0)</f>
        <v/>
      </c>
      <c r="BR54" s="13">
        <f>IFERROR(AV54/BD54*(BG54-BASELINE_CPR),0)</f>
        <v/>
      </c>
      <c r="BS54" s="13">
        <f>IFERROR(AW54/BD54*(BG54-BASELINE_CPR),0)</f>
        <v/>
      </c>
      <c r="BT54" s="13">
        <f>IFERROR(AX54/BD54*(BG54-BASELINE_CPR),0)</f>
        <v/>
      </c>
      <c r="BU54" s="13">
        <f>IFERROR(AY54/BD54*(BG54-BASELINE_CPR),0)</f>
        <v/>
      </c>
      <c r="BV54" s="13">
        <f>IFERROR(AZ54/BD54*(BG54-BASELINE_CPR),0)</f>
        <v/>
      </c>
      <c r="BW54" s="13">
        <f>IFERROR(BA54/BD54*(BG54-BASELINE_CPR),0)</f>
        <v/>
      </c>
      <c r="BX54" s="13">
        <f>IFERROR(BB54/BD54*(BG54-BASELINE_CPR),0)</f>
        <v/>
      </c>
      <c r="BY54" s="13">
        <f>IFERROR(BC54/BD54*(BG54-BASELINE_CPR),0)</f>
        <v/>
      </c>
      <c r="BZ54" s="28">
        <f>BASELINE_CPR+SUM(BH54:BY54)-BG54</f>
        <v/>
      </c>
    </row>
    <row r="55">
      <c r="A55" s="2" t="inlineStr">
        <is>
          <t>36196KXU2_000000005135731</t>
        </is>
      </c>
      <c r="B55" t="inlineStr">
        <is>
          <t>BERKADIA_PRE21</t>
        </is>
      </c>
      <c r="C55" s="2" t="inlineStr">
        <is>
          <t>36196KXU2</t>
        </is>
      </c>
      <c r="D55" t="inlineStr">
        <is>
          <t>BERKADIA COMMERCIAL MORTGAGE, LLC</t>
        </is>
      </c>
      <c r="E55" t="inlineStr">
        <is>
          <t>221d4</t>
        </is>
      </c>
      <c r="F55" t="inlineStr">
        <is>
          <t>RP</t>
        </is>
      </c>
      <c r="G55" t="n">
        <v>2016</v>
      </c>
      <c r="H55" t="inlineStr">
        <is>
          <t>202602</t>
        </is>
      </c>
      <c r="I55" s="22" t="n">
        <v>14661111.14</v>
      </c>
      <c r="J55" s="23" t="n">
        <v>3.43</v>
      </c>
      <c r="K55" s="24" t="n">
        <v>447</v>
      </c>
      <c r="L55" s="24" t="n">
        <v>2</v>
      </c>
      <c r="M55" t="n">
        <v>112</v>
      </c>
      <c r="N55" t="n">
        <v>25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s="24">
        <f>J55*100-(K55+(1+L55)*12.5)</f>
        <v/>
      </c>
      <c r="U55">
        <f>O55</f>
        <v/>
      </c>
      <c r="V55">
        <f>M55</f>
        <v/>
      </c>
      <c r="W55" s="23">
        <f>LN(1+I55)</f>
        <v/>
      </c>
      <c r="X55">
        <f>IF(G55&gt;=2021,1,0)</f>
        <v/>
      </c>
      <c r="Y55">
        <f>N55</f>
        <v/>
      </c>
      <c r="Z55" s="23">
        <f>IF(ISNUMBER(M55),N55/MAX(M55,1),0)</f>
        <v/>
      </c>
      <c r="AA55">
        <f>P55</f>
        <v/>
      </c>
      <c r="AB55">
        <f>Q55</f>
        <v/>
      </c>
      <c r="AC55">
        <f>R55</f>
        <v/>
      </c>
      <c r="AD55">
        <f>S55</f>
        <v/>
      </c>
      <c r="AE55">
        <f>IF(ISNUMBER(SEARCH("CAPITAL FUNDING",D55)),1,0)</f>
        <v/>
      </c>
      <c r="AF55">
        <f>IF(ISNUMBER(SEARCH("MERCHANTS",D55)),1,0)</f>
        <v/>
      </c>
      <c r="AG55">
        <f>IF(ISNUMBER(SEARCH("WELLS FARGO",D55)),1,0)</f>
        <v/>
      </c>
      <c r="AH55">
        <f>IF(ISNUMBER(SEARCH("WALKER",D55)),1,0)</f>
        <v/>
      </c>
      <c r="AI55">
        <f>IF(ISNUMBER(SEARCH("PNC",D55)),1,0)</f>
        <v/>
      </c>
      <c r="AJ55">
        <f>IF(ISNUMBER(SEARCH("BERKADIA",D55)),1,0)</f>
        <v/>
      </c>
      <c r="AK55">
        <f>IF(ISNUMBER(SEARCH("DWIGHT",D55)),1,0)</f>
        <v/>
      </c>
      <c r="AL55" s="25">
        <f>T$4*(T55-T$3)</f>
        <v/>
      </c>
      <c r="AM55" s="25">
        <f>U$4*(U55-U$3)</f>
        <v/>
      </c>
      <c r="AN55" s="25">
        <f>V$4*(V55-V$3)</f>
        <v/>
      </c>
      <c r="AO55" s="25">
        <f>W$4*(W55-W$3)</f>
        <v/>
      </c>
      <c r="AP55" s="25">
        <f>X$4*(X55-X$3)</f>
        <v/>
      </c>
      <c r="AQ55" s="25">
        <f>Y$4*(Y55-Y$3)</f>
        <v/>
      </c>
      <c r="AR55" s="25">
        <f>Z$4*(Z55-Z$3)</f>
        <v/>
      </c>
      <c r="AS55" s="25">
        <f>AA$4*(AA55-AA$3)</f>
        <v/>
      </c>
      <c r="AT55" s="25">
        <f>AB$4*(AB55-AB$3)</f>
        <v/>
      </c>
      <c r="AU55" s="25">
        <f>AC$4*(AC55-AC$3)</f>
        <v/>
      </c>
      <c r="AV55" s="25">
        <f>AD$4*(AD55-AD$3)</f>
        <v/>
      </c>
      <c r="AW55" s="25">
        <f>AE$4*(AE55-AE$3)</f>
        <v/>
      </c>
      <c r="AX55" s="25">
        <f>AF$4*(AF55-AF$3)</f>
        <v/>
      </c>
      <c r="AY55" s="25">
        <f>AG$4*(AG55-AG$3)</f>
        <v/>
      </c>
      <c r="AZ55" s="25">
        <f>AH$4*(AH55-AH$3)</f>
        <v/>
      </c>
      <c r="BA55" s="25">
        <f>AI$4*(AI55-AI$3)</f>
        <v/>
      </c>
      <c r="BB55" s="25">
        <f>AJ$4*(AJ55-AJ$3)</f>
        <v/>
      </c>
      <c r="BC55" s="25">
        <f>AK$4*(AK55-AK$3)</f>
        <v/>
      </c>
      <c r="BD55" s="26">
        <f>SUM(AL55:BC55)</f>
        <v/>
      </c>
      <c r="BE55" s="26">
        <f>INTERCEPT_SCALED+BD55</f>
        <v/>
      </c>
      <c r="BF55" s="27">
        <f>1/(1+EXP(-BE55))</f>
        <v/>
      </c>
      <c r="BG55" s="13">
        <f>1-(1-BF55)^12</f>
        <v/>
      </c>
      <c r="BH55" s="13">
        <f>IFERROR(AL55/BD55*(BG55-BASELINE_CPR),0)</f>
        <v/>
      </c>
      <c r="BI55" s="13">
        <f>IFERROR(AM55/BD55*(BG55-BASELINE_CPR),0)</f>
        <v/>
      </c>
      <c r="BJ55" s="13">
        <f>IFERROR(AN55/BD55*(BG55-BASELINE_CPR),0)</f>
        <v/>
      </c>
      <c r="BK55" s="13">
        <f>IFERROR(AO55/BD55*(BG55-BASELINE_CPR),0)</f>
        <v/>
      </c>
      <c r="BL55" s="13">
        <f>IFERROR(AP55/BD55*(BG55-BASELINE_CPR),0)</f>
        <v/>
      </c>
      <c r="BM55" s="13">
        <f>IFERROR(AQ55/BD55*(BG55-BASELINE_CPR),0)</f>
        <v/>
      </c>
      <c r="BN55" s="13">
        <f>IFERROR(AR55/BD55*(BG55-BASELINE_CPR),0)</f>
        <v/>
      </c>
      <c r="BO55" s="13">
        <f>IFERROR(AS55/BD55*(BG55-BASELINE_CPR),0)</f>
        <v/>
      </c>
      <c r="BP55" s="13">
        <f>IFERROR(AT55/BD55*(BG55-BASELINE_CPR),0)</f>
        <v/>
      </c>
      <c r="BQ55" s="13">
        <f>IFERROR(AU55/BD55*(BG55-BASELINE_CPR),0)</f>
        <v/>
      </c>
      <c r="BR55" s="13">
        <f>IFERROR(AV55/BD55*(BG55-BASELINE_CPR),0)</f>
        <v/>
      </c>
      <c r="BS55" s="13">
        <f>IFERROR(AW55/BD55*(BG55-BASELINE_CPR),0)</f>
        <v/>
      </c>
      <c r="BT55" s="13">
        <f>IFERROR(AX55/BD55*(BG55-BASELINE_CPR),0)</f>
        <v/>
      </c>
      <c r="BU55" s="13">
        <f>IFERROR(AY55/BD55*(BG55-BASELINE_CPR),0)</f>
        <v/>
      </c>
      <c r="BV55" s="13">
        <f>IFERROR(AZ55/BD55*(BG55-BASELINE_CPR),0)</f>
        <v/>
      </c>
      <c r="BW55" s="13">
        <f>IFERROR(BA55/BD55*(BG55-BASELINE_CPR),0)</f>
        <v/>
      </c>
      <c r="BX55" s="13">
        <f>IFERROR(BB55/BD55*(BG55-BASELINE_CPR),0)</f>
        <v/>
      </c>
      <c r="BY55" s="13">
        <f>IFERROR(BC55/BD55*(BG55-BASELINE_CPR),0)</f>
        <v/>
      </c>
      <c r="BZ55" s="28">
        <f>BASELINE_CPR+SUM(BH55:BY55)-BG55</f>
        <v/>
      </c>
    </row>
    <row r="56">
      <c r="A56" s="2" t="inlineStr">
        <is>
          <t>36186QD66_000000012711148</t>
        </is>
      </c>
      <c r="B56" t="inlineStr">
        <is>
          <t>BERKADIA_PRE21</t>
        </is>
      </c>
      <c r="C56" s="2" t="inlineStr">
        <is>
          <t>36186QD66</t>
        </is>
      </c>
      <c r="D56" t="inlineStr">
        <is>
          <t>BERKADIA COMMERCIAL MORTGAGE, LLC</t>
        </is>
      </c>
      <c r="E56" t="inlineStr">
        <is>
          <t>223f</t>
        </is>
      </c>
      <c r="F56" t="inlineStr">
        <is>
          <t>RP</t>
        </is>
      </c>
      <c r="G56" t="n">
        <v>2010</v>
      </c>
      <c r="H56" t="inlineStr">
        <is>
          <t>202602</t>
        </is>
      </c>
      <c r="I56" s="22" t="n">
        <v>1950356.32</v>
      </c>
      <c r="J56" s="23" t="n">
        <v>4.34</v>
      </c>
      <c r="K56" s="24" t="n">
        <v>447</v>
      </c>
      <c r="L56" s="24" t="n">
        <v>0</v>
      </c>
      <c r="M56" t="n">
        <v>191</v>
      </c>
      <c r="N56" t="n">
        <v>39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s="24">
        <f>J56*100-(K56+(1+L56)*12.5)</f>
        <v/>
      </c>
      <c r="U56">
        <f>O56</f>
        <v/>
      </c>
      <c r="V56">
        <f>M56</f>
        <v/>
      </c>
      <c r="W56" s="23">
        <f>LN(1+I56)</f>
        <v/>
      </c>
      <c r="X56">
        <f>IF(G56&gt;=2021,1,0)</f>
        <v/>
      </c>
      <c r="Y56">
        <f>N56</f>
        <v/>
      </c>
      <c r="Z56" s="23">
        <f>IF(ISNUMBER(M56),N56/MAX(M56,1),0)</f>
        <v/>
      </c>
      <c r="AA56">
        <f>P56</f>
        <v/>
      </c>
      <c r="AB56">
        <f>Q56</f>
        <v/>
      </c>
      <c r="AC56">
        <f>R56</f>
        <v/>
      </c>
      <c r="AD56">
        <f>S56</f>
        <v/>
      </c>
      <c r="AE56">
        <f>IF(ISNUMBER(SEARCH("CAPITAL FUNDING",D56)),1,0)</f>
        <v/>
      </c>
      <c r="AF56">
        <f>IF(ISNUMBER(SEARCH("MERCHANTS",D56)),1,0)</f>
        <v/>
      </c>
      <c r="AG56">
        <f>IF(ISNUMBER(SEARCH("WELLS FARGO",D56)),1,0)</f>
        <v/>
      </c>
      <c r="AH56">
        <f>IF(ISNUMBER(SEARCH("WALKER",D56)),1,0)</f>
        <v/>
      </c>
      <c r="AI56">
        <f>IF(ISNUMBER(SEARCH("PNC",D56)),1,0)</f>
        <v/>
      </c>
      <c r="AJ56">
        <f>IF(ISNUMBER(SEARCH("BERKADIA",D56)),1,0)</f>
        <v/>
      </c>
      <c r="AK56">
        <f>IF(ISNUMBER(SEARCH("DWIGHT",D56)),1,0)</f>
        <v/>
      </c>
      <c r="AL56" s="25">
        <f>T$4*(T56-T$3)</f>
        <v/>
      </c>
      <c r="AM56" s="25">
        <f>U$4*(U56-U$3)</f>
        <v/>
      </c>
      <c r="AN56" s="25">
        <f>V$4*(V56-V$3)</f>
        <v/>
      </c>
      <c r="AO56" s="25">
        <f>W$4*(W56-W$3)</f>
        <v/>
      </c>
      <c r="AP56" s="25">
        <f>X$4*(X56-X$3)</f>
        <v/>
      </c>
      <c r="AQ56" s="25">
        <f>Y$4*(Y56-Y$3)</f>
        <v/>
      </c>
      <c r="AR56" s="25">
        <f>Z$4*(Z56-Z$3)</f>
        <v/>
      </c>
      <c r="AS56" s="25">
        <f>AA$4*(AA56-AA$3)</f>
        <v/>
      </c>
      <c r="AT56" s="25">
        <f>AB$4*(AB56-AB$3)</f>
        <v/>
      </c>
      <c r="AU56" s="25">
        <f>AC$4*(AC56-AC$3)</f>
        <v/>
      </c>
      <c r="AV56" s="25">
        <f>AD$4*(AD56-AD$3)</f>
        <v/>
      </c>
      <c r="AW56" s="25">
        <f>AE$4*(AE56-AE$3)</f>
        <v/>
      </c>
      <c r="AX56" s="25">
        <f>AF$4*(AF56-AF$3)</f>
        <v/>
      </c>
      <c r="AY56" s="25">
        <f>AG$4*(AG56-AG$3)</f>
        <v/>
      </c>
      <c r="AZ56" s="25">
        <f>AH$4*(AH56-AH$3)</f>
        <v/>
      </c>
      <c r="BA56" s="25">
        <f>AI$4*(AI56-AI$3)</f>
        <v/>
      </c>
      <c r="BB56" s="25">
        <f>AJ$4*(AJ56-AJ$3)</f>
        <v/>
      </c>
      <c r="BC56" s="25">
        <f>AK$4*(AK56-AK$3)</f>
        <v/>
      </c>
      <c r="BD56" s="26">
        <f>SUM(AL56:BC56)</f>
        <v/>
      </c>
      <c r="BE56" s="26">
        <f>INTERCEPT_SCALED+BD56</f>
        <v/>
      </c>
      <c r="BF56" s="27">
        <f>1/(1+EXP(-BE56))</f>
        <v/>
      </c>
      <c r="BG56" s="13">
        <f>1-(1-BF56)^12</f>
        <v/>
      </c>
      <c r="BH56" s="13">
        <f>IFERROR(AL56/BD56*(BG56-BASELINE_CPR),0)</f>
        <v/>
      </c>
      <c r="BI56" s="13">
        <f>IFERROR(AM56/BD56*(BG56-BASELINE_CPR),0)</f>
        <v/>
      </c>
      <c r="BJ56" s="13">
        <f>IFERROR(AN56/BD56*(BG56-BASELINE_CPR),0)</f>
        <v/>
      </c>
      <c r="BK56" s="13">
        <f>IFERROR(AO56/BD56*(BG56-BASELINE_CPR),0)</f>
        <v/>
      </c>
      <c r="BL56" s="13">
        <f>IFERROR(AP56/BD56*(BG56-BASELINE_CPR),0)</f>
        <v/>
      </c>
      <c r="BM56" s="13">
        <f>IFERROR(AQ56/BD56*(BG56-BASELINE_CPR),0)</f>
        <v/>
      </c>
      <c r="BN56" s="13">
        <f>IFERROR(AR56/BD56*(BG56-BASELINE_CPR),0)</f>
        <v/>
      </c>
      <c r="BO56" s="13">
        <f>IFERROR(AS56/BD56*(BG56-BASELINE_CPR),0)</f>
        <v/>
      </c>
      <c r="BP56" s="13">
        <f>IFERROR(AT56/BD56*(BG56-BASELINE_CPR),0)</f>
        <v/>
      </c>
      <c r="BQ56" s="13">
        <f>IFERROR(AU56/BD56*(BG56-BASELINE_CPR),0)</f>
        <v/>
      </c>
      <c r="BR56" s="13">
        <f>IFERROR(AV56/BD56*(BG56-BASELINE_CPR),0)</f>
        <v/>
      </c>
      <c r="BS56" s="13">
        <f>IFERROR(AW56/BD56*(BG56-BASELINE_CPR),0)</f>
        <v/>
      </c>
      <c r="BT56" s="13">
        <f>IFERROR(AX56/BD56*(BG56-BASELINE_CPR),0)</f>
        <v/>
      </c>
      <c r="BU56" s="13">
        <f>IFERROR(AY56/BD56*(BG56-BASELINE_CPR),0)</f>
        <v/>
      </c>
      <c r="BV56" s="13">
        <f>IFERROR(AZ56/BD56*(BG56-BASELINE_CPR),0)</f>
        <v/>
      </c>
      <c r="BW56" s="13">
        <f>IFERROR(BA56/BD56*(BG56-BASELINE_CPR),0)</f>
        <v/>
      </c>
      <c r="BX56" s="13">
        <f>IFERROR(BB56/BD56*(BG56-BASELINE_CPR),0)</f>
        <v/>
      </c>
      <c r="BY56" s="13">
        <f>IFERROR(BC56/BD56*(BG56-BASELINE_CPR),0)</f>
        <v/>
      </c>
      <c r="BZ56" s="28">
        <f>BASELINE_CPR+SUM(BH56:BY56)-BG56</f>
        <v/>
      </c>
    </row>
    <row r="57">
      <c r="A57" s="2" t="inlineStr">
        <is>
          <t>3617K2C25_000000007111460</t>
        </is>
      </c>
      <c r="B57" t="inlineStr">
        <is>
          <t>BERKADIA_PRE21</t>
        </is>
      </c>
      <c r="C57" s="2" t="inlineStr">
        <is>
          <t>3617K2C25</t>
        </is>
      </c>
      <c r="D57" t="inlineStr">
        <is>
          <t>BERKADIA COMMERCIAL MORTGAGE, LLC</t>
        </is>
      </c>
      <c r="E57" t="inlineStr">
        <is>
          <t>223f</t>
        </is>
      </c>
      <c r="F57" t="inlineStr">
        <is>
          <t>RP</t>
        </is>
      </c>
      <c r="G57" t="n">
        <v>2019</v>
      </c>
      <c r="H57" t="inlineStr">
        <is>
          <t>202602</t>
        </is>
      </c>
      <c r="I57" s="22" t="n">
        <v>7426656.74</v>
      </c>
      <c r="J57" s="23" t="n">
        <v>3.4</v>
      </c>
      <c r="K57" s="24" t="n">
        <v>447</v>
      </c>
      <c r="L57" s="24" t="n">
        <v>5</v>
      </c>
      <c r="M57" t="n">
        <v>80</v>
      </c>
      <c r="N57" t="n">
        <v>29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s="24">
        <f>J57*100-(K57+(1+L57)*12.5)</f>
        <v/>
      </c>
      <c r="U57">
        <f>O57</f>
        <v/>
      </c>
      <c r="V57">
        <f>M57</f>
        <v/>
      </c>
      <c r="W57" s="23">
        <f>LN(1+I57)</f>
        <v/>
      </c>
      <c r="X57">
        <f>IF(G57&gt;=2021,1,0)</f>
        <v/>
      </c>
      <c r="Y57">
        <f>N57</f>
        <v/>
      </c>
      <c r="Z57" s="23">
        <f>IF(ISNUMBER(M57),N57/MAX(M57,1),0)</f>
        <v/>
      </c>
      <c r="AA57">
        <f>P57</f>
        <v/>
      </c>
      <c r="AB57">
        <f>Q57</f>
        <v/>
      </c>
      <c r="AC57">
        <f>R57</f>
        <v/>
      </c>
      <c r="AD57">
        <f>S57</f>
        <v/>
      </c>
      <c r="AE57">
        <f>IF(ISNUMBER(SEARCH("CAPITAL FUNDING",D57)),1,0)</f>
        <v/>
      </c>
      <c r="AF57">
        <f>IF(ISNUMBER(SEARCH("MERCHANTS",D57)),1,0)</f>
        <v/>
      </c>
      <c r="AG57">
        <f>IF(ISNUMBER(SEARCH("WELLS FARGO",D57)),1,0)</f>
        <v/>
      </c>
      <c r="AH57">
        <f>IF(ISNUMBER(SEARCH("WALKER",D57)),1,0)</f>
        <v/>
      </c>
      <c r="AI57">
        <f>IF(ISNUMBER(SEARCH("PNC",D57)),1,0)</f>
        <v/>
      </c>
      <c r="AJ57">
        <f>IF(ISNUMBER(SEARCH("BERKADIA",D57)),1,0)</f>
        <v/>
      </c>
      <c r="AK57">
        <f>IF(ISNUMBER(SEARCH("DWIGHT",D57)),1,0)</f>
        <v/>
      </c>
      <c r="AL57" s="25">
        <f>T$4*(T57-T$3)</f>
        <v/>
      </c>
      <c r="AM57" s="25">
        <f>U$4*(U57-U$3)</f>
        <v/>
      </c>
      <c r="AN57" s="25">
        <f>V$4*(V57-V$3)</f>
        <v/>
      </c>
      <c r="AO57" s="25">
        <f>W$4*(W57-W$3)</f>
        <v/>
      </c>
      <c r="AP57" s="25">
        <f>X$4*(X57-X$3)</f>
        <v/>
      </c>
      <c r="AQ57" s="25">
        <f>Y$4*(Y57-Y$3)</f>
        <v/>
      </c>
      <c r="AR57" s="25">
        <f>Z$4*(Z57-Z$3)</f>
        <v/>
      </c>
      <c r="AS57" s="25">
        <f>AA$4*(AA57-AA$3)</f>
        <v/>
      </c>
      <c r="AT57" s="25">
        <f>AB$4*(AB57-AB$3)</f>
        <v/>
      </c>
      <c r="AU57" s="25">
        <f>AC$4*(AC57-AC$3)</f>
        <v/>
      </c>
      <c r="AV57" s="25">
        <f>AD$4*(AD57-AD$3)</f>
        <v/>
      </c>
      <c r="AW57" s="25">
        <f>AE$4*(AE57-AE$3)</f>
        <v/>
      </c>
      <c r="AX57" s="25">
        <f>AF$4*(AF57-AF$3)</f>
        <v/>
      </c>
      <c r="AY57" s="25">
        <f>AG$4*(AG57-AG$3)</f>
        <v/>
      </c>
      <c r="AZ57" s="25">
        <f>AH$4*(AH57-AH$3)</f>
        <v/>
      </c>
      <c r="BA57" s="25">
        <f>AI$4*(AI57-AI$3)</f>
        <v/>
      </c>
      <c r="BB57" s="25">
        <f>AJ$4*(AJ57-AJ$3)</f>
        <v/>
      </c>
      <c r="BC57" s="25">
        <f>AK$4*(AK57-AK$3)</f>
        <v/>
      </c>
      <c r="BD57" s="26">
        <f>SUM(AL57:BC57)</f>
        <v/>
      </c>
      <c r="BE57" s="26">
        <f>INTERCEPT_SCALED+BD57</f>
        <v/>
      </c>
      <c r="BF57" s="27">
        <f>1/(1+EXP(-BE57))</f>
        <v/>
      </c>
      <c r="BG57" s="13">
        <f>1-(1-BF57)^12</f>
        <v/>
      </c>
      <c r="BH57" s="13">
        <f>IFERROR(AL57/BD57*(BG57-BASELINE_CPR),0)</f>
        <v/>
      </c>
      <c r="BI57" s="13">
        <f>IFERROR(AM57/BD57*(BG57-BASELINE_CPR),0)</f>
        <v/>
      </c>
      <c r="BJ57" s="13">
        <f>IFERROR(AN57/BD57*(BG57-BASELINE_CPR),0)</f>
        <v/>
      </c>
      <c r="BK57" s="13">
        <f>IFERROR(AO57/BD57*(BG57-BASELINE_CPR),0)</f>
        <v/>
      </c>
      <c r="BL57" s="13">
        <f>IFERROR(AP57/BD57*(BG57-BASELINE_CPR),0)</f>
        <v/>
      </c>
      <c r="BM57" s="13">
        <f>IFERROR(AQ57/BD57*(BG57-BASELINE_CPR),0)</f>
        <v/>
      </c>
      <c r="BN57" s="13">
        <f>IFERROR(AR57/BD57*(BG57-BASELINE_CPR),0)</f>
        <v/>
      </c>
      <c r="BO57" s="13">
        <f>IFERROR(AS57/BD57*(BG57-BASELINE_CPR),0)</f>
        <v/>
      </c>
      <c r="BP57" s="13">
        <f>IFERROR(AT57/BD57*(BG57-BASELINE_CPR),0)</f>
        <v/>
      </c>
      <c r="BQ57" s="13">
        <f>IFERROR(AU57/BD57*(BG57-BASELINE_CPR),0)</f>
        <v/>
      </c>
      <c r="BR57" s="13">
        <f>IFERROR(AV57/BD57*(BG57-BASELINE_CPR),0)</f>
        <v/>
      </c>
      <c r="BS57" s="13">
        <f>IFERROR(AW57/BD57*(BG57-BASELINE_CPR),0)</f>
        <v/>
      </c>
      <c r="BT57" s="13">
        <f>IFERROR(AX57/BD57*(BG57-BASELINE_CPR),0)</f>
        <v/>
      </c>
      <c r="BU57" s="13">
        <f>IFERROR(AY57/BD57*(BG57-BASELINE_CPR),0)</f>
        <v/>
      </c>
      <c r="BV57" s="13">
        <f>IFERROR(AZ57/BD57*(BG57-BASELINE_CPR),0)</f>
        <v/>
      </c>
      <c r="BW57" s="13">
        <f>IFERROR(BA57/BD57*(BG57-BASELINE_CPR),0)</f>
        <v/>
      </c>
      <c r="BX57" s="13">
        <f>IFERROR(BB57/BD57*(BG57-BASELINE_CPR),0)</f>
        <v/>
      </c>
      <c r="BY57" s="13">
        <f>IFERROR(BC57/BD57*(BG57-BASELINE_CPR),0)</f>
        <v/>
      </c>
      <c r="BZ57" s="28">
        <f>BASELINE_CPR+SUM(BH57:BY57)-BG57</f>
        <v/>
      </c>
    </row>
    <row r="58">
      <c r="A58" s="2" t="inlineStr">
        <is>
          <t>3617QM5L1_000000001411229</t>
        </is>
      </c>
      <c r="B58" t="inlineStr">
        <is>
          <t>BERKADIA_PRE21</t>
        </is>
      </c>
      <c r="C58" s="2" t="inlineStr">
        <is>
          <t>3617QM5L1</t>
        </is>
      </c>
      <c r="D58" t="inlineStr">
        <is>
          <t>BERKADIA COMMERCIAL MORTGAGE, LLC</t>
        </is>
      </c>
      <c r="E58" t="inlineStr">
        <is>
          <t>223f</t>
        </is>
      </c>
      <c r="F58" t="inlineStr">
        <is>
          <t>RP</t>
        </is>
      </c>
      <c r="G58" t="n">
        <v>2014</v>
      </c>
      <c r="H58" t="inlineStr">
        <is>
          <t>202602</t>
        </is>
      </c>
      <c r="I58" s="22" t="n">
        <v>894262.78</v>
      </c>
      <c r="J58" s="23" t="n">
        <v>3.1</v>
      </c>
      <c r="K58" s="24" t="n">
        <v>447</v>
      </c>
      <c r="L58" s="24" t="n">
        <v>6</v>
      </c>
      <c r="M58" t="n">
        <v>142</v>
      </c>
      <c r="N58" t="n">
        <v>13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s="24">
        <f>J58*100-(K58+(1+L58)*12.5)</f>
        <v/>
      </c>
      <c r="U58">
        <f>O58</f>
        <v/>
      </c>
      <c r="V58">
        <f>M58</f>
        <v/>
      </c>
      <c r="W58" s="23">
        <f>LN(1+I58)</f>
        <v/>
      </c>
      <c r="X58">
        <f>IF(G58&gt;=2021,1,0)</f>
        <v/>
      </c>
      <c r="Y58">
        <f>N58</f>
        <v/>
      </c>
      <c r="Z58" s="23">
        <f>IF(ISNUMBER(M58),N58/MAX(M58,1),0)</f>
        <v/>
      </c>
      <c r="AA58">
        <f>P58</f>
        <v/>
      </c>
      <c r="AB58">
        <f>Q58</f>
        <v/>
      </c>
      <c r="AC58">
        <f>R58</f>
        <v/>
      </c>
      <c r="AD58">
        <f>S58</f>
        <v/>
      </c>
      <c r="AE58">
        <f>IF(ISNUMBER(SEARCH("CAPITAL FUNDING",D58)),1,0)</f>
        <v/>
      </c>
      <c r="AF58">
        <f>IF(ISNUMBER(SEARCH("MERCHANTS",D58)),1,0)</f>
        <v/>
      </c>
      <c r="AG58">
        <f>IF(ISNUMBER(SEARCH("WELLS FARGO",D58)),1,0)</f>
        <v/>
      </c>
      <c r="AH58">
        <f>IF(ISNUMBER(SEARCH("WALKER",D58)),1,0)</f>
        <v/>
      </c>
      <c r="AI58">
        <f>IF(ISNUMBER(SEARCH("PNC",D58)),1,0)</f>
        <v/>
      </c>
      <c r="AJ58">
        <f>IF(ISNUMBER(SEARCH("BERKADIA",D58)),1,0)</f>
        <v/>
      </c>
      <c r="AK58">
        <f>IF(ISNUMBER(SEARCH("DWIGHT",D58)),1,0)</f>
        <v/>
      </c>
      <c r="AL58" s="25">
        <f>T$4*(T58-T$3)</f>
        <v/>
      </c>
      <c r="AM58" s="25">
        <f>U$4*(U58-U$3)</f>
        <v/>
      </c>
      <c r="AN58" s="25">
        <f>V$4*(V58-V$3)</f>
        <v/>
      </c>
      <c r="AO58" s="25">
        <f>W$4*(W58-W$3)</f>
        <v/>
      </c>
      <c r="AP58" s="25">
        <f>X$4*(X58-X$3)</f>
        <v/>
      </c>
      <c r="AQ58" s="25">
        <f>Y$4*(Y58-Y$3)</f>
        <v/>
      </c>
      <c r="AR58" s="25">
        <f>Z$4*(Z58-Z$3)</f>
        <v/>
      </c>
      <c r="AS58" s="25">
        <f>AA$4*(AA58-AA$3)</f>
        <v/>
      </c>
      <c r="AT58" s="25">
        <f>AB$4*(AB58-AB$3)</f>
        <v/>
      </c>
      <c r="AU58" s="25">
        <f>AC$4*(AC58-AC$3)</f>
        <v/>
      </c>
      <c r="AV58" s="25">
        <f>AD$4*(AD58-AD$3)</f>
        <v/>
      </c>
      <c r="AW58" s="25">
        <f>AE$4*(AE58-AE$3)</f>
        <v/>
      </c>
      <c r="AX58" s="25">
        <f>AF$4*(AF58-AF$3)</f>
        <v/>
      </c>
      <c r="AY58" s="25">
        <f>AG$4*(AG58-AG$3)</f>
        <v/>
      </c>
      <c r="AZ58" s="25">
        <f>AH$4*(AH58-AH$3)</f>
        <v/>
      </c>
      <c r="BA58" s="25">
        <f>AI$4*(AI58-AI$3)</f>
        <v/>
      </c>
      <c r="BB58" s="25">
        <f>AJ$4*(AJ58-AJ$3)</f>
        <v/>
      </c>
      <c r="BC58" s="25">
        <f>AK$4*(AK58-AK$3)</f>
        <v/>
      </c>
      <c r="BD58" s="26">
        <f>SUM(AL58:BC58)</f>
        <v/>
      </c>
      <c r="BE58" s="26">
        <f>INTERCEPT_SCALED+BD58</f>
        <v/>
      </c>
      <c r="BF58" s="27">
        <f>1/(1+EXP(-BE58))</f>
        <v/>
      </c>
      <c r="BG58" s="13">
        <f>1-(1-BF58)^12</f>
        <v/>
      </c>
      <c r="BH58" s="13">
        <f>IFERROR(AL58/BD58*(BG58-BASELINE_CPR),0)</f>
        <v/>
      </c>
      <c r="BI58" s="13">
        <f>IFERROR(AM58/BD58*(BG58-BASELINE_CPR),0)</f>
        <v/>
      </c>
      <c r="BJ58" s="13">
        <f>IFERROR(AN58/BD58*(BG58-BASELINE_CPR),0)</f>
        <v/>
      </c>
      <c r="BK58" s="13">
        <f>IFERROR(AO58/BD58*(BG58-BASELINE_CPR),0)</f>
        <v/>
      </c>
      <c r="BL58" s="13">
        <f>IFERROR(AP58/BD58*(BG58-BASELINE_CPR),0)</f>
        <v/>
      </c>
      <c r="BM58" s="13">
        <f>IFERROR(AQ58/BD58*(BG58-BASELINE_CPR),0)</f>
        <v/>
      </c>
      <c r="BN58" s="13">
        <f>IFERROR(AR58/BD58*(BG58-BASELINE_CPR),0)</f>
        <v/>
      </c>
      <c r="BO58" s="13">
        <f>IFERROR(AS58/BD58*(BG58-BASELINE_CPR),0)</f>
        <v/>
      </c>
      <c r="BP58" s="13">
        <f>IFERROR(AT58/BD58*(BG58-BASELINE_CPR),0)</f>
        <v/>
      </c>
      <c r="BQ58" s="13">
        <f>IFERROR(AU58/BD58*(BG58-BASELINE_CPR),0)</f>
        <v/>
      </c>
      <c r="BR58" s="13">
        <f>IFERROR(AV58/BD58*(BG58-BASELINE_CPR),0)</f>
        <v/>
      </c>
      <c r="BS58" s="13">
        <f>IFERROR(AW58/BD58*(BG58-BASELINE_CPR),0)</f>
        <v/>
      </c>
      <c r="BT58" s="13">
        <f>IFERROR(AX58/BD58*(BG58-BASELINE_CPR),0)</f>
        <v/>
      </c>
      <c r="BU58" s="13">
        <f>IFERROR(AY58/BD58*(BG58-BASELINE_CPR),0)</f>
        <v/>
      </c>
      <c r="BV58" s="13">
        <f>IFERROR(AZ58/BD58*(BG58-BASELINE_CPR),0)</f>
        <v/>
      </c>
      <c r="BW58" s="13">
        <f>IFERROR(BA58/BD58*(BG58-BASELINE_CPR),0)</f>
        <v/>
      </c>
      <c r="BX58" s="13">
        <f>IFERROR(BB58/BD58*(BG58-BASELINE_CPR),0)</f>
        <v/>
      </c>
      <c r="BY58" s="13">
        <f>IFERROR(BC58/BD58*(BG58-BASELINE_CPR),0)</f>
        <v/>
      </c>
      <c r="BZ58" s="28">
        <f>BASELINE_CPR+SUM(BH58:BY58)-BG58</f>
        <v/>
      </c>
    </row>
    <row r="59">
      <c r="A59" s="2" t="inlineStr">
        <is>
          <t>3617M15Y3_000000012622168</t>
        </is>
      </c>
      <c r="B59" t="inlineStr">
        <is>
          <t>BERKADIA_PRE21</t>
        </is>
      </c>
      <c r="C59" s="2" t="inlineStr">
        <is>
          <t>3617M15Y3</t>
        </is>
      </c>
      <c r="D59" t="inlineStr">
        <is>
          <t>BERKADIA COMMERCIAL MORTGAGE, LLC</t>
        </is>
      </c>
      <c r="E59" t="inlineStr">
        <is>
          <t>232</t>
        </is>
      </c>
      <c r="F59" t="inlineStr">
        <is>
          <t>RP</t>
        </is>
      </c>
      <c r="G59" t="n">
        <v>2018</v>
      </c>
      <c r="H59" t="inlineStr">
        <is>
          <t>202602</t>
        </is>
      </c>
      <c r="I59" s="22" t="n">
        <v>8760424.359999999</v>
      </c>
      <c r="J59" s="23" t="n">
        <v>4.1</v>
      </c>
      <c r="K59" s="24" t="n">
        <v>447</v>
      </c>
      <c r="L59" s="24" t="n">
        <v>6</v>
      </c>
      <c r="M59" t="n">
        <v>87</v>
      </c>
      <c r="N59" t="n">
        <v>22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s="24">
        <f>J59*100-(K59+(1+L59)*12.5)</f>
        <v/>
      </c>
      <c r="U59">
        <f>O59</f>
        <v/>
      </c>
      <c r="V59">
        <f>M59</f>
        <v/>
      </c>
      <c r="W59" s="23">
        <f>LN(1+I59)</f>
        <v/>
      </c>
      <c r="X59">
        <f>IF(G59&gt;=2021,1,0)</f>
        <v/>
      </c>
      <c r="Y59">
        <f>N59</f>
        <v/>
      </c>
      <c r="Z59" s="23">
        <f>IF(ISNUMBER(M59),N59/MAX(M59,1),0)</f>
        <v/>
      </c>
      <c r="AA59">
        <f>P59</f>
        <v/>
      </c>
      <c r="AB59">
        <f>Q59</f>
        <v/>
      </c>
      <c r="AC59">
        <f>R59</f>
        <v/>
      </c>
      <c r="AD59">
        <f>S59</f>
        <v/>
      </c>
      <c r="AE59">
        <f>IF(ISNUMBER(SEARCH("CAPITAL FUNDING",D59)),1,0)</f>
        <v/>
      </c>
      <c r="AF59">
        <f>IF(ISNUMBER(SEARCH("MERCHANTS",D59)),1,0)</f>
        <v/>
      </c>
      <c r="AG59">
        <f>IF(ISNUMBER(SEARCH("WELLS FARGO",D59)),1,0)</f>
        <v/>
      </c>
      <c r="AH59">
        <f>IF(ISNUMBER(SEARCH("WALKER",D59)),1,0)</f>
        <v/>
      </c>
      <c r="AI59">
        <f>IF(ISNUMBER(SEARCH("PNC",D59)),1,0)</f>
        <v/>
      </c>
      <c r="AJ59">
        <f>IF(ISNUMBER(SEARCH("BERKADIA",D59)),1,0)</f>
        <v/>
      </c>
      <c r="AK59">
        <f>IF(ISNUMBER(SEARCH("DWIGHT",D59)),1,0)</f>
        <v/>
      </c>
      <c r="AL59" s="25">
        <f>T$4*(T59-T$3)</f>
        <v/>
      </c>
      <c r="AM59" s="25">
        <f>U$4*(U59-U$3)</f>
        <v/>
      </c>
      <c r="AN59" s="25">
        <f>V$4*(V59-V$3)</f>
        <v/>
      </c>
      <c r="AO59" s="25">
        <f>W$4*(W59-W$3)</f>
        <v/>
      </c>
      <c r="AP59" s="25">
        <f>X$4*(X59-X$3)</f>
        <v/>
      </c>
      <c r="AQ59" s="25">
        <f>Y$4*(Y59-Y$3)</f>
        <v/>
      </c>
      <c r="AR59" s="25">
        <f>Z$4*(Z59-Z$3)</f>
        <v/>
      </c>
      <c r="AS59" s="25">
        <f>AA$4*(AA59-AA$3)</f>
        <v/>
      </c>
      <c r="AT59" s="25">
        <f>AB$4*(AB59-AB$3)</f>
        <v/>
      </c>
      <c r="AU59" s="25">
        <f>AC$4*(AC59-AC$3)</f>
        <v/>
      </c>
      <c r="AV59" s="25">
        <f>AD$4*(AD59-AD$3)</f>
        <v/>
      </c>
      <c r="AW59" s="25">
        <f>AE$4*(AE59-AE$3)</f>
        <v/>
      </c>
      <c r="AX59" s="25">
        <f>AF$4*(AF59-AF$3)</f>
        <v/>
      </c>
      <c r="AY59" s="25">
        <f>AG$4*(AG59-AG$3)</f>
        <v/>
      </c>
      <c r="AZ59" s="25">
        <f>AH$4*(AH59-AH$3)</f>
        <v/>
      </c>
      <c r="BA59" s="25">
        <f>AI$4*(AI59-AI$3)</f>
        <v/>
      </c>
      <c r="BB59" s="25">
        <f>AJ$4*(AJ59-AJ$3)</f>
        <v/>
      </c>
      <c r="BC59" s="25">
        <f>AK$4*(AK59-AK$3)</f>
        <v/>
      </c>
      <c r="BD59" s="26">
        <f>SUM(AL59:BC59)</f>
        <v/>
      </c>
      <c r="BE59" s="26">
        <f>INTERCEPT_SCALED+BD59</f>
        <v/>
      </c>
      <c r="BF59" s="27">
        <f>1/(1+EXP(-BE59))</f>
        <v/>
      </c>
      <c r="BG59" s="13">
        <f>1-(1-BF59)^12</f>
        <v/>
      </c>
      <c r="BH59" s="13">
        <f>IFERROR(AL59/BD59*(BG59-BASELINE_CPR),0)</f>
        <v/>
      </c>
      <c r="BI59" s="13">
        <f>IFERROR(AM59/BD59*(BG59-BASELINE_CPR),0)</f>
        <v/>
      </c>
      <c r="BJ59" s="13">
        <f>IFERROR(AN59/BD59*(BG59-BASELINE_CPR),0)</f>
        <v/>
      </c>
      <c r="BK59" s="13">
        <f>IFERROR(AO59/BD59*(BG59-BASELINE_CPR),0)</f>
        <v/>
      </c>
      <c r="BL59" s="13">
        <f>IFERROR(AP59/BD59*(BG59-BASELINE_CPR),0)</f>
        <v/>
      </c>
      <c r="BM59" s="13">
        <f>IFERROR(AQ59/BD59*(BG59-BASELINE_CPR),0)</f>
        <v/>
      </c>
      <c r="BN59" s="13">
        <f>IFERROR(AR59/BD59*(BG59-BASELINE_CPR),0)</f>
        <v/>
      </c>
      <c r="BO59" s="13">
        <f>IFERROR(AS59/BD59*(BG59-BASELINE_CPR),0)</f>
        <v/>
      </c>
      <c r="BP59" s="13">
        <f>IFERROR(AT59/BD59*(BG59-BASELINE_CPR),0)</f>
        <v/>
      </c>
      <c r="BQ59" s="13">
        <f>IFERROR(AU59/BD59*(BG59-BASELINE_CPR),0)</f>
        <v/>
      </c>
      <c r="BR59" s="13">
        <f>IFERROR(AV59/BD59*(BG59-BASELINE_CPR),0)</f>
        <v/>
      </c>
      <c r="BS59" s="13">
        <f>IFERROR(AW59/BD59*(BG59-BASELINE_CPR),0)</f>
        <v/>
      </c>
      <c r="BT59" s="13">
        <f>IFERROR(AX59/BD59*(BG59-BASELINE_CPR),0)</f>
        <v/>
      </c>
      <c r="BU59" s="13">
        <f>IFERROR(AY59/BD59*(BG59-BASELINE_CPR),0)</f>
        <v/>
      </c>
      <c r="BV59" s="13">
        <f>IFERROR(AZ59/BD59*(BG59-BASELINE_CPR),0)</f>
        <v/>
      </c>
      <c r="BW59" s="13">
        <f>IFERROR(BA59/BD59*(BG59-BASELINE_CPR),0)</f>
        <v/>
      </c>
      <c r="BX59" s="13">
        <f>IFERROR(BB59/BD59*(BG59-BASELINE_CPR),0)</f>
        <v/>
      </c>
      <c r="BY59" s="13">
        <f>IFERROR(BC59/BD59*(BG59-BASELINE_CPR),0)</f>
        <v/>
      </c>
      <c r="BZ59" s="28">
        <f>BASELINE_CPR+SUM(BH59:BY59)-BG59</f>
        <v/>
      </c>
    </row>
    <row r="60">
      <c r="A60" s="2" t="inlineStr">
        <is>
          <t>3617U85A1_000000010511032</t>
        </is>
      </c>
      <c r="B60" t="inlineStr">
        <is>
          <t>BERKADIA_PRE21</t>
        </is>
      </c>
      <c r="C60" s="2" t="inlineStr">
        <is>
          <t>3617U85A1</t>
        </is>
      </c>
      <c r="D60" t="inlineStr">
        <is>
          <t>BERKADIA COMMERCIAL MORTGAGE, LLC</t>
        </is>
      </c>
      <c r="E60" t="inlineStr">
        <is>
          <t>223f</t>
        </is>
      </c>
      <c r="F60" t="inlineStr">
        <is>
          <t>RP</t>
        </is>
      </c>
      <c r="G60" t="n">
        <v>2007</v>
      </c>
      <c r="H60" t="inlineStr">
        <is>
          <t>202602</t>
        </is>
      </c>
      <c r="I60" s="22" t="n">
        <v>2605551.37</v>
      </c>
      <c r="J60" s="23" t="n">
        <v>2.83</v>
      </c>
      <c r="K60" s="24" t="n">
        <v>447</v>
      </c>
      <c r="L60" s="24" t="n">
        <v>6</v>
      </c>
      <c r="M60" t="n">
        <v>229</v>
      </c>
      <c r="N60" t="n">
        <v>13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s="24">
        <f>J60*100-(K60+(1+L60)*12.5)</f>
        <v/>
      </c>
      <c r="U60">
        <f>O60</f>
        <v/>
      </c>
      <c r="V60">
        <f>M60</f>
        <v/>
      </c>
      <c r="W60" s="23">
        <f>LN(1+I60)</f>
        <v/>
      </c>
      <c r="X60">
        <f>IF(G60&gt;=2021,1,0)</f>
        <v/>
      </c>
      <c r="Y60">
        <f>N60</f>
        <v/>
      </c>
      <c r="Z60" s="23">
        <f>IF(ISNUMBER(M60),N60/MAX(M60,1),0)</f>
        <v/>
      </c>
      <c r="AA60">
        <f>P60</f>
        <v/>
      </c>
      <c r="AB60">
        <f>Q60</f>
        <v/>
      </c>
      <c r="AC60">
        <f>R60</f>
        <v/>
      </c>
      <c r="AD60">
        <f>S60</f>
        <v/>
      </c>
      <c r="AE60">
        <f>IF(ISNUMBER(SEARCH("CAPITAL FUNDING",D60)),1,0)</f>
        <v/>
      </c>
      <c r="AF60">
        <f>IF(ISNUMBER(SEARCH("MERCHANTS",D60)),1,0)</f>
        <v/>
      </c>
      <c r="AG60">
        <f>IF(ISNUMBER(SEARCH("WELLS FARGO",D60)),1,0)</f>
        <v/>
      </c>
      <c r="AH60">
        <f>IF(ISNUMBER(SEARCH("WALKER",D60)),1,0)</f>
        <v/>
      </c>
      <c r="AI60">
        <f>IF(ISNUMBER(SEARCH("PNC",D60)),1,0)</f>
        <v/>
      </c>
      <c r="AJ60">
        <f>IF(ISNUMBER(SEARCH("BERKADIA",D60)),1,0)</f>
        <v/>
      </c>
      <c r="AK60">
        <f>IF(ISNUMBER(SEARCH("DWIGHT",D60)),1,0)</f>
        <v/>
      </c>
      <c r="AL60" s="25">
        <f>T$4*(T60-T$3)</f>
        <v/>
      </c>
      <c r="AM60" s="25">
        <f>U$4*(U60-U$3)</f>
        <v/>
      </c>
      <c r="AN60" s="25">
        <f>V$4*(V60-V$3)</f>
        <v/>
      </c>
      <c r="AO60" s="25">
        <f>W$4*(W60-W$3)</f>
        <v/>
      </c>
      <c r="AP60" s="25">
        <f>X$4*(X60-X$3)</f>
        <v/>
      </c>
      <c r="AQ60" s="25">
        <f>Y$4*(Y60-Y$3)</f>
        <v/>
      </c>
      <c r="AR60" s="25">
        <f>Z$4*(Z60-Z$3)</f>
        <v/>
      </c>
      <c r="AS60" s="25">
        <f>AA$4*(AA60-AA$3)</f>
        <v/>
      </c>
      <c r="AT60" s="25">
        <f>AB$4*(AB60-AB$3)</f>
        <v/>
      </c>
      <c r="AU60" s="25">
        <f>AC$4*(AC60-AC$3)</f>
        <v/>
      </c>
      <c r="AV60" s="25">
        <f>AD$4*(AD60-AD$3)</f>
        <v/>
      </c>
      <c r="AW60" s="25">
        <f>AE$4*(AE60-AE$3)</f>
        <v/>
      </c>
      <c r="AX60" s="25">
        <f>AF$4*(AF60-AF$3)</f>
        <v/>
      </c>
      <c r="AY60" s="25">
        <f>AG$4*(AG60-AG$3)</f>
        <v/>
      </c>
      <c r="AZ60" s="25">
        <f>AH$4*(AH60-AH$3)</f>
        <v/>
      </c>
      <c r="BA60" s="25">
        <f>AI$4*(AI60-AI$3)</f>
        <v/>
      </c>
      <c r="BB60" s="25">
        <f>AJ$4*(AJ60-AJ$3)</f>
        <v/>
      </c>
      <c r="BC60" s="25">
        <f>AK$4*(AK60-AK$3)</f>
        <v/>
      </c>
      <c r="BD60" s="26">
        <f>SUM(AL60:BC60)</f>
        <v/>
      </c>
      <c r="BE60" s="26">
        <f>INTERCEPT_SCALED+BD60</f>
        <v/>
      </c>
      <c r="BF60" s="27">
        <f>1/(1+EXP(-BE60))</f>
        <v/>
      </c>
      <c r="BG60" s="13">
        <f>1-(1-BF60)^12</f>
        <v/>
      </c>
      <c r="BH60" s="13">
        <f>IFERROR(AL60/BD60*(BG60-BASELINE_CPR),0)</f>
        <v/>
      </c>
      <c r="BI60" s="13">
        <f>IFERROR(AM60/BD60*(BG60-BASELINE_CPR),0)</f>
        <v/>
      </c>
      <c r="BJ60" s="13">
        <f>IFERROR(AN60/BD60*(BG60-BASELINE_CPR),0)</f>
        <v/>
      </c>
      <c r="BK60" s="13">
        <f>IFERROR(AO60/BD60*(BG60-BASELINE_CPR),0)</f>
        <v/>
      </c>
      <c r="BL60" s="13">
        <f>IFERROR(AP60/BD60*(BG60-BASELINE_CPR),0)</f>
        <v/>
      </c>
      <c r="BM60" s="13">
        <f>IFERROR(AQ60/BD60*(BG60-BASELINE_CPR),0)</f>
        <v/>
      </c>
      <c r="BN60" s="13">
        <f>IFERROR(AR60/BD60*(BG60-BASELINE_CPR),0)</f>
        <v/>
      </c>
      <c r="BO60" s="13">
        <f>IFERROR(AS60/BD60*(BG60-BASELINE_CPR),0)</f>
        <v/>
      </c>
      <c r="BP60" s="13">
        <f>IFERROR(AT60/BD60*(BG60-BASELINE_CPR),0)</f>
        <v/>
      </c>
      <c r="BQ60" s="13">
        <f>IFERROR(AU60/BD60*(BG60-BASELINE_CPR),0)</f>
        <v/>
      </c>
      <c r="BR60" s="13">
        <f>IFERROR(AV60/BD60*(BG60-BASELINE_CPR),0)</f>
        <v/>
      </c>
      <c r="BS60" s="13">
        <f>IFERROR(AW60/BD60*(BG60-BASELINE_CPR),0)</f>
        <v/>
      </c>
      <c r="BT60" s="13">
        <f>IFERROR(AX60/BD60*(BG60-BASELINE_CPR),0)</f>
        <v/>
      </c>
      <c r="BU60" s="13">
        <f>IFERROR(AY60/BD60*(BG60-BASELINE_CPR),0)</f>
        <v/>
      </c>
      <c r="BV60" s="13">
        <f>IFERROR(AZ60/BD60*(BG60-BASELINE_CPR),0)</f>
        <v/>
      </c>
      <c r="BW60" s="13">
        <f>IFERROR(BA60/BD60*(BG60-BASELINE_CPR),0)</f>
        <v/>
      </c>
      <c r="BX60" s="13">
        <f>IFERROR(BB60/BD60*(BG60-BASELINE_CPR),0)</f>
        <v/>
      </c>
      <c r="BY60" s="13">
        <f>IFERROR(BC60/BD60*(BG60-BASELINE_CPR),0)</f>
        <v/>
      </c>
      <c r="BZ60" s="28">
        <f>BASELINE_CPR+SUM(BH60:BY60)-BG60</f>
        <v/>
      </c>
    </row>
    <row r="61">
      <c r="A61" s="2" t="inlineStr">
        <is>
          <t>3617XJY46_000000012222261</t>
        </is>
      </c>
      <c r="B61" t="inlineStr">
        <is>
          <t>BERKADIA_POST21</t>
        </is>
      </c>
      <c r="C61" s="2" t="inlineStr">
        <is>
          <t>3617XJY46</t>
        </is>
      </c>
      <c r="D61" t="inlineStr">
        <is>
          <t>BERKADIA COMMERCIAL MORTGAGE, LLC</t>
        </is>
      </c>
      <c r="E61" t="inlineStr">
        <is>
          <t>232</t>
        </is>
      </c>
      <c r="F61" t="inlineStr">
        <is>
          <t>RP</t>
        </is>
      </c>
      <c r="G61" t="n">
        <v>2021</v>
      </c>
      <c r="H61" t="inlineStr">
        <is>
          <t>202602</t>
        </is>
      </c>
      <c r="I61" s="22" t="n">
        <v>1287013.14</v>
      </c>
      <c r="J61" s="23" t="n">
        <v>2.58</v>
      </c>
      <c r="K61" s="24" t="n">
        <v>447</v>
      </c>
      <c r="L61" s="24" t="n">
        <v>8</v>
      </c>
      <c r="M61" t="n">
        <v>52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s="24">
        <f>J61*100-(K61+(1+L61)*12.5)</f>
        <v/>
      </c>
      <c r="U61">
        <f>O61</f>
        <v/>
      </c>
      <c r="V61">
        <f>M61</f>
        <v/>
      </c>
      <c r="W61" s="23">
        <f>LN(1+I61)</f>
        <v/>
      </c>
      <c r="X61">
        <f>IF(G61&gt;=2021,1,0)</f>
        <v/>
      </c>
      <c r="Y61">
        <f>N61</f>
        <v/>
      </c>
      <c r="Z61" s="23">
        <f>IF(ISNUMBER(M61),N61/MAX(M61,1),0)</f>
        <v/>
      </c>
      <c r="AA61">
        <f>P61</f>
        <v/>
      </c>
      <c r="AB61">
        <f>Q61</f>
        <v/>
      </c>
      <c r="AC61">
        <f>R61</f>
        <v/>
      </c>
      <c r="AD61">
        <f>S61</f>
        <v/>
      </c>
      <c r="AE61">
        <f>IF(ISNUMBER(SEARCH("CAPITAL FUNDING",D61)),1,0)</f>
        <v/>
      </c>
      <c r="AF61">
        <f>IF(ISNUMBER(SEARCH("MERCHANTS",D61)),1,0)</f>
        <v/>
      </c>
      <c r="AG61">
        <f>IF(ISNUMBER(SEARCH("WELLS FARGO",D61)),1,0)</f>
        <v/>
      </c>
      <c r="AH61">
        <f>IF(ISNUMBER(SEARCH("WALKER",D61)),1,0)</f>
        <v/>
      </c>
      <c r="AI61">
        <f>IF(ISNUMBER(SEARCH("PNC",D61)),1,0)</f>
        <v/>
      </c>
      <c r="AJ61">
        <f>IF(ISNUMBER(SEARCH("BERKADIA",D61)),1,0)</f>
        <v/>
      </c>
      <c r="AK61">
        <f>IF(ISNUMBER(SEARCH("DWIGHT",D61)),1,0)</f>
        <v/>
      </c>
      <c r="AL61" s="25">
        <f>T$4*(T61-T$3)</f>
        <v/>
      </c>
      <c r="AM61" s="25">
        <f>U$4*(U61-U$3)</f>
        <v/>
      </c>
      <c r="AN61" s="25">
        <f>V$4*(V61-V$3)</f>
        <v/>
      </c>
      <c r="AO61" s="25">
        <f>W$4*(W61-W$3)</f>
        <v/>
      </c>
      <c r="AP61" s="25">
        <f>X$4*(X61-X$3)</f>
        <v/>
      </c>
      <c r="AQ61" s="25">
        <f>Y$4*(Y61-Y$3)</f>
        <v/>
      </c>
      <c r="AR61" s="25">
        <f>Z$4*(Z61-Z$3)</f>
        <v/>
      </c>
      <c r="AS61" s="25">
        <f>AA$4*(AA61-AA$3)</f>
        <v/>
      </c>
      <c r="AT61" s="25">
        <f>AB$4*(AB61-AB$3)</f>
        <v/>
      </c>
      <c r="AU61" s="25">
        <f>AC$4*(AC61-AC$3)</f>
        <v/>
      </c>
      <c r="AV61" s="25">
        <f>AD$4*(AD61-AD$3)</f>
        <v/>
      </c>
      <c r="AW61" s="25">
        <f>AE$4*(AE61-AE$3)</f>
        <v/>
      </c>
      <c r="AX61" s="25">
        <f>AF$4*(AF61-AF$3)</f>
        <v/>
      </c>
      <c r="AY61" s="25">
        <f>AG$4*(AG61-AG$3)</f>
        <v/>
      </c>
      <c r="AZ61" s="25">
        <f>AH$4*(AH61-AH$3)</f>
        <v/>
      </c>
      <c r="BA61" s="25">
        <f>AI$4*(AI61-AI$3)</f>
        <v/>
      </c>
      <c r="BB61" s="25">
        <f>AJ$4*(AJ61-AJ$3)</f>
        <v/>
      </c>
      <c r="BC61" s="25">
        <f>AK$4*(AK61-AK$3)</f>
        <v/>
      </c>
      <c r="BD61" s="26">
        <f>SUM(AL61:BC61)</f>
        <v/>
      </c>
      <c r="BE61" s="26">
        <f>INTERCEPT_SCALED+BD61</f>
        <v/>
      </c>
      <c r="BF61" s="27">
        <f>1/(1+EXP(-BE61))</f>
        <v/>
      </c>
      <c r="BG61" s="13">
        <f>1-(1-BF61)^12</f>
        <v/>
      </c>
      <c r="BH61" s="13">
        <f>IFERROR(AL61/BD61*(BG61-BASELINE_CPR),0)</f>
        <v/>
      </c>
      <c r="BI61" s="13">
        <f>IFERROR(AM61/BD61*(BG61-BASELINE_CPR),0)</f>
        <v/>
      </c>
      <c r="BJ61" s="13">
        <f>IFERROR(AN61/BD61*(BG61-BASELINE_CPR),0)</f>
        <v/>
      </c>
      <c r="BK61" s="13">
        <f>IFERROR(AO61/BD61*(BG61-BASELINE_CPR),0)</f>
        <v/>
      </c>
      <c r="BL61" s="13">
        <f>IFERROR(AP61/BD61*(BG61-BASELINE_CPR),0)</f>
        <v/>
      </c>
      <c r="BM61" s="13">
        <f>IFERROR(AQ61/BD61*(BG61-BASELINE_CPR),0)</f>
        <v/>
      </c>
      <c r="BN61" s="13">
        <f>IFERROR(AR61/BD61*(BG61-BASELINE_CPR),0)</f>
        <v/>
      </c>
      <c r="BO61" s="13">
        <f>IFERROR(AS61/BD61*(BG61-BASELINE_CPR),0)</f>
        <v/>
      </c>
      <c r="BP61" s="13">
        <f>IFERROR(AT61/BD61*(BG61-BASELINE_CPR),0)</f>
        <v/>
      </c>
      <c r="BQ61" s="13">
        <f>IFERROR(AU61/BD61*(BG61-BASELINE_CPR),0)</f>
        <v/>
      </c>
      <c r="BR61" s="13">
        <f>IFERROR(AV61/BD61*(BG61-BASELINE_CPR),0)</f>
        <v/>
      </c>
      <c r="BS61" s="13">
        <f>IFERROR(AW61/BD61*(BG61-BASELINE_CPR),0)</f>
        <v/>
      </c>
      <c r="BT61" s="13">
        <f>IFERROR(AX61/BD61*(BG61-BASELINE_CPR),0)</f>
        <v/>
      </c>
      <c r="BU61" s="13">
        <f>IFERROR(AY61/BD61*(BG61-BASELINE_CPR),0)</f>
        <v/>
      </c>
      <c r="BV61" s="13">
        <f>IFERROR(AZ61/BD61*(BG61-BASELINE_CPR),0)</f>
        <v/>
      </c>
      <c r="BW61" s="13">
        <f>IFERROR(BA61/BD61*(BG61-BASELINE_CPR),0)</f>
        <v/>
      </c>
      <c r="BX61" s="13">
        <f>IFERROR(BB61/BD61*(BG61-BASELINE_CPR),0)</f>
        <v/>
      </c>
      <c r="BY61" s="13">
        <f>IFERROR(BC61/BD61*(BG61-BASELINE_CPR),0)</f>
        <v/>
      </c>
      <c r="BZ61" s="28">
        <f>BASELINE_CPR+SUM(BH61:BY61)-BG61</f>
        <v/>
      </c>
    </row>
    <row r="62">
      <c r="A62" s="2" t="inlineStr">
        <is>
          <t>3617NWA44_000000012711198</t>
        </is>
      </c>
      <c r="B62" t="inlineStr">
        <is>
          <t>BERKADIA_PRE21</t>
        </is>
      </c>
      <c r="C62" s="2" t="inlineStr">
        <is>
          <t>3617NWA44</t>
        </is>
      </c>
      <c r="D62" t="inlineStr">
        <is>
          <t>BERKADIA COMMERCIAL MORTGAGE, LLC</t>
        </is>
      </c>
      <c r="E62" t="inlineStr">
        <is>
          <t>223f</t>
        </is>
      </c>
      <c r="F62" t="inlineStr">
        <is>
          <t>RP</t>
        </is>
      </c>
      <c r="G62" t="n">
        <v>2013</v>
      </c>
      <c r="H62" t="inlineStr">
        <is>
          <t>202602</t>
        </is>
      </c>
      <c r="I62" s="22" t="n">
        <v>13509058.06</v>
      </c>
      <c r="J62" s="23" t="n">
        <v>2.65</v>
      </c>
      <c r="K62" s="24" t="n">
        <v>447</v>
      </c>
      <c r="L62" s="24" t="n">
        <v>6</v>
      </c>
      <c r="M62" t="n">
        <v>155</v>
      </c>
      <c r="N62" t="n">
        <v>13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s="24">
        <f>J62*100-(K62+(1+L62)*12.5)</f>
        <v/>
      </c>
      <c r="U62">
        <f>O62</f>
        <v/>
      </c>
      <c r="V62">
        <f>M62</f>
        <v/>
      </c>
      <c r="W62" s="23">
        <f>LN(1+I62)</f>
        <v/>
      </c>
      <c r="X62">
        <f>IF(G62&gt;=2021,1,0)</f>
        <v/>
      </c>
      <c r="Y62">
        <f>N62</f>
        <v/>
      </c>
      <c r="Z62" s="23">
        <f>IF(ISNUMBER(M62),N62/MAX(M62,1),0)</f>
        <v/>
      </c>
      <c r="AA62">
        <f>P62</f>
        <v/>
      </c>
      <c r="AB62">
        <f>Q62</f>
        <v/>
      </c>
      <c r="AC62">
        <f>R62</f>
        <v/>
      </c>
      <c r="AD62">
        <f>S62</f>
        <v/>
      </c>
      <c r="AE62">
        <f>IF(ISNUMBER(SEARCH("CAPITAL FUNDING",D62)),1,0)</f>
        <v/>
      </c>
      <c r="AF62">
        <f>IF(ISNUMBER(SEARCH("MERCHANTS",D62)),1,0)</f>
        <v/>
      </c>
      <c r="AG62">
        <f>IF(ISNUMBER(SEARCH("WELLS FARGO",D62)),1,0)</f>
        <v/>
      </c>
      <c r="AH62">
        <f>IF(ISNUMBER(SEARCH("WALKER",D62)),1,0)</f>
        <v/>
      </c>
      <c r="AI62">
        <f>IF(ISNUMBER(SEARCH("PNC",D62)),1,0)</f>
        <v/>
      </c>
      <c r="AJ62">
        <f>IF(ISNUMBER(SEARCH("BERKADIA",D62)),1,0)</f>
        <v/>
      </c>
      <c r="AK62">
        <f>IF(ISNUMBER(SEARCH("DWIGHT",D62)),1,0)</f>
        <v/>
      </c>
      <c r="AL62" s="25">
        <f>T$4*(T62-T$3)</f>
        <v/>
      </c>
      <c r="AM62" s="25">
        <f>U$4*(U62-U$3)</f>
        <v/>
      </c>
      <c r="AN62" s="25">
        <f>V$4*(V62-V$3)</f>
        <v/>
      </c>
      <c r="AO62" s="25">
        <f>W$4*(W62-W$3)</f>
        <v/>
      </c>
      <c r="AP62" s="25">
        <f>X$4*(X62-X$3)</f>
        <v/>
      </c>
      <c r="AQ62" s="25">
        <f>Y$4*(Y62-Y$3)</f>
        <v/>
      </c>
      <c r="AR62" s="25">
        <f>Z$4*(Z62-Z$3)</f>
        <v/>
      </c>
      <c r="AS62" s="25">
        <f>AA$4*(AA62-AA$3)</f>
        <v/>
      </c>
      <c r="AT62" s="25">
        <f>AB$4*(AB62-AB$3)</f>
        <v/>
      </c>
      <c r="AU62" s="25">
        <f>AC$4*(AC62-AC$3)</f>
        <v/>
      </c>
      <c r="AV62" s="25">
        <f>AD$4*(AD62-AD$3)</f>
        <v/>
      </c>
      <c r="AW62" s="25">
        <f>AE$4*(AE62-AE$3)</f>
        <v/>
      </c>
      <c r="AX62" s="25">
        <f>AF$4*(AF62-AF$3)</f>
        <v/>
      </c>
      <c r="AY62" s="25">
        <f>AG$4*(AG62-AG$3)</f>
        <v/>
      </c>
      <c r="AZ62" s="25">
        <f>AH$4*(AH62-AH$3)</f>
        <v/>
      </c>
      <c r="BA62" s="25">
        <f>AI$4*(AI62-AI$3)</f>
        <v/>
      </c>
      <c r="BB62" s="25">
        <f>AJ$4*(AJ62-AJ$3)</f>
        <v/>
      </c>
      <c r="BC62" s="25">
        <f>AK$4*(AK62-AK$3)</f>
        <v/>
      </c>
      <c r="BD62" s="26">
        <f>SUM(AL62:BC62)</f>
        <v/>
      </c>
      <c r="BE62" s="26">
        <f>INTERCEPT_SCALED+BD62</f>
        <v/>
      </c>
      <c r="BF62" s="27">
        <f>1/(1+EXP(-BE62))</f>
        <v/>
      </c>
      <c r="BG62" s="13">
        <f>1-(1-BF62)^12</f>
        <v/>
      </c>
      <c r="BH62" s="13">
        <f>IFERROR(AL62/BD62*(BG62-BASELINE_CPR),0)</f>
        <v/>
      </c>
      <c r="BI62" s="13">
        <f>IFERROR(AM62/BD62*(BG62-BASELINE_CPR),0)</f>
        <v/>
      </c>
      <c r="BJ62" s="13">
        <f>IFERROR(AN62/BD62*(BG62-BASELINE_CPR),0)</f>
        <v/>
      </c>
      <c r="BK62" s="13">
        <f>IFERROR(AO62/BD62*(BG62-BASELINE_CPR),0)</f>
        <v/>
      </c>
      <c r="BL62" s="13">
        <f>IFERROR(AP62/BD62*(BG62-BASELINE_CPR),0)</f>
        <v/>
      </c>
      <c r="BM62" s="13">
        <f>IFERROR(AQ62/BD62*(BG62-BASELINE_CPR),0)</f>
        <v/>
      </c>
      <c r="BN62" s="13">
        <f>IFERROR(AR62/BD62*(BG62-BASELINE_CPR),0)</f>
        <v/>
      </c>
      <c r="BO62" s="13">
        <f>IFERROR(AS62/BD62*(BG62-BASELINE_CPR),0)</f>
        <v/>
      </c>
      <c r="BP62" s="13">
        <f>IFERROR(AT62/BD62*(BG62-BASELINE_CPR),0)</f>
        <v/>
      </c>
      <c r="BQ62" s="13">
        <f>IFERROR(AU62/BD62*(BG62-BASELINE_CPR),0)</f>
        <v/>
      </c>
      <c r="BR62" s="13">
        <f>IFERROR(AV62/BD62*(BG62-BASELINE_CPR),0)</f>
        <v/>
      </c>
      <c r="BS62" s="13">
        <f>IFERROR(AW62/BD62*(BG62-BASELINE_CPR),0)</f>
        <v/>
      </c>
      <c r="BT62" s="13">
        <f>IFERROR(AX62/BD62*(BG62-BASELINE_CPR),0)</f>
        <v/>
      </c>
      <c r="BU62" s="13">
        <f>IFERROR(AY62/BD62*(BG62-BASELINE_CPR),0)</f>
        <v/>
      </c>
      <c r="BV62" s="13">
        <f>IFERROR(AZ62/BD62*(BG62-BASELINE_CPR),0)</f>
        <v/>
      </c>
      <c r="BW62" s="13">
        <f>IFERROR(BA62/BD62*(BG62-BASELINE_CPR),0)</f>
        <v/>
      </c>
      <c r="BX62" s="13">
        <f>IFERROR(BB62/BD62*(BG62-BASELINE_CPR),0)</f>
        <v/>
      </c>
      <c r="BY62" s="13">
        <f>IFERROR(BC62/BD62*(BG62-BASELINE_CPR),0)</f>
        <v/>
      </c>
      <c r="BZ62" s="28">
        <f>BASELINE_CPR+SUM(BH62:BY62)-BG62</f>
        <v/>
      </c>
    </row>
    <row r="63">
      <c r="A63" s="2" t="inlineStr">
        <is>
          <t>36189MGG7_000000005311191</t>
        </is>
      </c>
      <c r="B63" t="inlineStr">
        <is>
          <t>BERKADIA_PRE21</t>
        </is>
      </c>
      <c r="C63" s="2" t="inlineStr">
        <is>
          <t>36189MGG7</t>
        </is>
      </c>
      <c r="D63" t="inlineStr">
        <is>
          <t>BERKADIA COMMERCIAL MORTGAGE, LLC</t>
        </is>
      </c>
      <c r="E63" t="inlineStr">
        <is>
          <t>223f</t>
        </is>
      </c>
      <c r="F63" t="inlineStr">
        <is>
          <t>RP</t>
        </is>
      </c>
      <c r="G63" t="n">
        <v>2006</v>
      </c>
      <c r="H63" t="inlineStr">
        <is>
          <t>202602</t>
        </is>
      </c>
      <c r="I63" s="22" t="n">
        <v>1200023.12</v>
      </c>
      <c r="J63" s="23" t="n">
        <v>3.85</v>
      </c>
      <c r="K63" s="24" t="n">
        <v>447</v>
      </c>
      <c r="L63" s="24" t="n">
        <v>0</v>
      </c>
      <c r="M63" t="n">
        <v>239</v>
      </c>
      <c r="N63" t="n">
        <v>33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s="24">
        <f>J63*100-(K63+(1+L63)*12.5)</f>
        <v/>
      </c>
      <c r="U63">
        <f>O63</f>
        <v/>
      </c>
      <c r="V63">
        <f>M63</f>
        <v/>
      </c>
      <c r="W63" s="23">
        <f>LN(1+I63)</f>
        <v/>
      </c>
      <c r="X63">
        <f>IF(G63&gt;=2021,1,0)</f>
        <v/>
      </c>
      <c r="Y63">
        <f>N63</f>
        <v/>
      </c>
      <c r="Z63" s="23">
        <f>IF(ISNUMBER(M63),N63/MAX(M63,1),0)</f>
        <v/>
      </c>
      <c r="AA63">
        <f>P63</f>
        <v/>
      </c>
      <c r="AB63">
        <f>Q63</f>
        <v/>
      </c>
      <c r="AC63">
        <f>R63</f>
        <v/>
      </c>
      <c r="AD63">
        <f>S63</f>
        <v/>
      </c>
      <c r="AE63">
        <f>IF(ISNUMBER(SEARCH("CAPITAL FUNDING",D63)),1,0)</f>
        <v/>
      </c>
      <c r="AF63">
        <f>IF(ISNUMBER(SEARCH("MERCHANTS",D63)),1,0)</f>
        <v/>
      </c>
      <c r="AG63">
        <f>IF(ISNUMBER(SEARCH("WELLS FARGO",D63)),1,0)</f>
        <v/>
      </c>
      <c r="AH63">
        <f>IF(ISNUMBER(SEARCH("WALKER",D63)),1,0)</f>
        <v/>
      </c>
      <c r="AI63">
        <f>IF(ISNUMBER(SEARCH("PNC",D63)),1,0)</f>
        <v/>
      </c>
      <c r="AJ63">
        <f>IF(ISNUMBER(SEARCH("BERKADIA",D63)),1,0)</f>
        <v/>
      </c>
      <c r="AK63">
        <f>IF(ISNUMBER(SEARCH("DWIGHT",D63)),1,0)</f>
        <v/>
      </c>
      <c r="AL63" s="25">
        <f>T$4*(T63-T$3)</f>
        <v/>
      </c>
      <c r="AM63" s="25">
        <f>U$4*(U63-U$3)</f>
        <v/>
      </c>
      <c r="AN63" s="25">
        <f>V$4*(V63-V$3)</f>
        <v/>
      </c>
      <c r="AO63" s="25">
        <f>W$4*(W63-W$3)</f>
        <v/>
      </c>
      <c r="AP63" s="25">
        <f>X$4*(X63-X$3)</f>
        <v/>
      </c>
      <c r="AQ63" s="25">
        <f>Y$4*(Y63-Y$3)</f>
        <v/>
      </c>
      <c r="AR63" s="25">
        <f>Z$4*(Z63-Z$3)</f>
        <v/>
      </c>
      <c r="AS63" s="25">
        <f>AA$4*(AA63-AA$3)</f>
        <v/>
      </c>
      <c r="AT63" s="25">
        <f>AB$4*(AB63-AB$3)</f>
        <v/>
      </c>
      <c r="AU63" s="25">
        <f>AC$4*(AC63-AC$3)</f>
        <v/>
      </c>
      <c r="AV63" s="25">
        <f>AD$4*(AD63-AD$3)</f>
        <v/>
      </c>
      <c r="AW63" s="25">
        <f>AE$4*(AE63-AE$3)</f>
        <v/>
      </c>
      <c r="AX63" s="25">
        <f>AF$4*(AF63-AF$3)</f>
        <v/>
      </c>
      <c r="AY63" s="25">
        <f>AG$4*(AG63-AG$3)</f>
        <v/>
      </c>
      <c r="AZ63" s="25">
        <f>AH$4*(AH63-AH$3)</f>
        <v/>
      </c>
      <c r="BA63" s="25">
        <f>AI$4*(AI63-AI$3)</f>
        <v/>
      </c>
      <c r="BB63" s="25">
        <f>AJ$4*(AJ63-AJ$3)</f>
        <v/>
      </c>
      <c r="BC63" s="25">
        <f>AK$4*(AK63-AK$3)</f>
        <v/>
      </c>
      <c r="BD63" s="26">
        <f>SUM(AL63:BC63)</f>
        <v/>
      </c>
      <c r="BE63" s="26">
        <f>INTERCEPT_SCALED+BD63</f>
        <v/>
      </c>
      <c r="BF63" s="27">
        <f>1/(1+EXP(-BE63))</f>
        <v/>
      </c>
      <c r="BG63" s="13">
        <f>1-(1-BF63)^12</f>
        <v/>
      </c>
      <c r="BH63" s="13">
        <f>IFERROR(AL63/BD63*(BG63-BASELINE_CPR),0)</f>
        <v/>
      </c>
      <c r="BI63" s="13">
        <f>IFERROR(AM63/BD63*(BG63-BASELINE_CPR),0)</f>
        <v/>
      </c>
      <c r="BJ63" s="13">
        <f>IFERROR(AN63/BD63*(BG63-BASELINE_CPR),0)</f>
        <v/>
      </c>
      <c r="BK63" s="13">
        <f>IFERROR(AO63/BD63*(BG63-BASELINE_CPR),0)</f>
        <v/>
      </c>
      <c r="BL63" s="13">
        <f>IFERROR(AP63/BD63*(BG63-BASELINE_CPR),0)</f>
        <v/>
      </c>
      <c r="BM63" s="13">
        <f>IFERROR(AQ63/BD63*(BG63-BASELINE_CPR),0)</f>
        <v/>
      </c>
      <c r="BN63" s="13">
        <f>IFERROR(AR63/BD63*(BG63-BASELINE_CPR),0)</f>
        <v/>
      </c>
      <c r="BO63" s="13">
        <f>IFERROR(AS63/BD63*(BG63-BASELINE_CPR),0)</f>
        <v/>
      </c>
      <c r="BP63" s="13">
        <f>IFERROR(AT63/BD63*(BG63-BASELINE_CPR),0)</f>
        <v/>
      </c>
      <c r="BQ63" s="13">
        <f>IFERROR(AU63/BD63*(BG63-BASELINE_CPR),0)</f>
        <v/>
      </c>
      <c r="BR63" s="13">
        <f>IFERROR(AV63/BD63*(BG63-BASELINE_CPR),0)</f>
        <v/>
      </c>
      <c r="BS63" s="13">
        <f>IFERROR(AW63/BD63*(BG63-BASELINE_CPR),0)</f>
        <v/>
      </c>
      <c r="BT63" s="13">
        <f>IFERROR(AX63/BD63*(BG63-BASELINE_CPR),0)</f>
        <v/>
      </c>
      <c r="BU63" s="13">
        <f>IFERROR(AY63/BD63*(BG63-BASELINE_CPR),0)</f>
        <v/>
      </c>
      <c r="BV63" s="13">
        <f>IFERROR(AZ63/BD63*(BG63-BASELINE_CPR),0)</f>
        <v/>
      </c>
      <c r="BW63" s="13">
        <f>IFERROR(BA63/BD63*(BG63-BASELINE_CPR),0)</f>
        <v/>
      </c>
      <c r="BX63" s="13">
        <f>IFERROR(BB63/BD63*(BG63-BASELINE_CPR),0)</f>
        <v/>
      </c>
      <c r="BY63" s="13">
        <f>IFERROR(BC63/BD63*(BG63-BASELINE_CPR),0)</f>
        <v/>
      </c>
      <c r="BZ63" s="28">
        <f>BASELINE_CPR+SUM(BH63:BY63)-BG63</f>
        <v/>
      </c>
    </row>
    <row r="64">
      <c r="A64" s="2" t="inlineStr">
        <is>
          <t>3617NWA77_000000007535464</t>
        </is>
      </c>
      <c r="B64" t="inlineStr">
        <is>
          <t>BERKADIA_PRE21</t>
        </is>
      </c>
      <c r="C64" s="2" t="inlineStr">
        <is>
          <t>3617NWA77</t>
        </is>
      </c>
      <c r="D64" t="inlineStr">
        <is>
          <t>BERKADIA COMMERCIAL MORTGAGE, LLC</t>
        </is>
      </c>
      <c r="E64" t="inlineStr">
        <is>
          <t>221d4</t>
        </is>
      </c>
      <c r="F64" t="inlineStr">
        <is>
          <t>NC</t>
        </is>
      </c>
      <c r="G64" t="n">
        <v>2016</v>
      </c>
      <c r="H64" t="inlineStr">
        <is>
          <t>202602</t>
        </is>
      </c>
      <c r="I64" s="22" t="n">
        <v>17297981.93</v>
      </c>
      <c r="J64" s="23" t="n">
        <v>3.25</v>
      </c>
      <c r="K64" s="24" t="n">
        <v>447</v>
      </c>
      <c r="L64" s="24" t="n">
        <v>6</v>
      </c>
      <c r="M64" t="n">
        <v>113</v>
      </c>
      <c r="N64" t="n">
        <v>16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s="24">
        <f>J64*100-(K64+(1+L64)*12.5)</f>
        <v/>
      </c>
      <c r="U64">
        <f>O64</f>
        <v/>
      </c>
      <c r="V64">
        <f>M64</f>
        <v/>
      </c>
      <c r="W64" s="23">
        <f>LN(1+I64)</f>
        <v/>
      </c>
      <c r="X64">
        <f>IF(G64&gt;=2021,1,0)</f>
        <v/>
      </c>
      <c r="Y64">
        <f>N64</f>
        <v/>
      </c>
      <c r="Z64" s="23">
        <f>IF(ISNUMBER(M64),N64/MAX(M64,1),0)</f>
        <v/>
      </c>
      <c r="AA64">
        <f>P64</f>
        <v/>
      </c>
      <c r="AB64">
        <f>Q64</f>
        <v/>
      </c>
      <c r="AC64">
        <f>R64</f>
        <v/>
      </c>
      <c r="AD64">
        <f>S64</f>
        <v/>
      </c>
      <c r="AE64">
        <f>IF(ISNUMBER(SEARCH("CAPITAL FUNDING",D64)),1,0)</f>
        <v/>
      </c>
      <c r="AF64">
        <f>IF(ISNUMBER(SEARCH("MERCHANTS",D64)),1,0)</f>
        <v/>
      </c>
      <c r="AG64">
        <f>IF(ISNUMBER(SEARCH("WELLS FARGO",D64)),1,0)</f>
        <v/>
      </c>
      <c r="AH64">
        <f>IF(ISNUMBER(SEARCH("WALKER",D64)),1,0)</f>
        <v/>
      </c>
      <c r="AI64">
        <f>IF(ISNUMBER(SEARCH("PNC",D64)),1,0)</f>
        <v/>
      </c>
      <c r="AJ64">
        <f>IF(ISNUMBER(SEARCH("BERKADIA",D64)),1,0)</f>
        <v/>
      </c>
      <c r="AK64">
        <f>IF(ISNUMBER(SEARCH("DWIGHT",D64)),1,0)</f>
        <v/>
      </c>
      <c r="AL64" s="25">
        <f>T$4*(T64-T$3)</f>
        <v/>
      </c>
      <c r="AM64" s="25">
        <f>U$4*(U64-U$3)</f>
        <v/>
      </c>
      <c r="AN64" s="25">
        <f>V$4*(V64-V$3)</f>
        <v/>
      </c>
      <c r="AO64" s="25">
        <f>W$4*(W64-W$3)</f>
        <v/>
      </c>
      <c r="AP64" s="25">
        <f>X$4*(X64-X$3)</f>
        <v/>
      </c>
      <c r="AQ64" s="25">
        <f>Y$4*(Y64-Y$3)</f>
        <v/>
      </c>
      <c r="AR64" s="25">
        <f>Z$4*(Z64-Z$3)</f>
        <v/>
      </c>
      <c r="AS64" s="25">
        <f>AA$4*(AA64-AA$3)</f>
        <v/>
      </c>
      <c r="AT64" s="25">
        <f>AB$4*(AB64-AB$3)</f>
        <v/>
      </c>
      <c r="AU64" s="25">
        <f>AC$4*(AC64-AC$3)</f>
        <v/>
      </c>
      <c r="AV64" s="25">
        <f>AD$4*(AD64-AD$3)</f>
        <v/>
      </c>
      <c r="AW64" s="25">
        <f>AE$4*(AE64-AE$3)</f>
        <v/>
      </c>
      <c r="AX64" s="25">
        <f>AF$4*(AF64-AF$3)</f>
        <v/>
      </c>
      <c r="AY64" s="25">
        <f>AG$4*(AG64-AG$3)</f>
        <v/>
      </c>
      <c r="AZ64" s="25">
        <f>AH$4*(AH64-AH$3)</f>
        <v/>
      </c>
      <c r="BA64" s="25">
        <f>AI$4*(AI64-AI$3)</f>
        <v/>
      </c>
      <c r="BB64" s="25">
        <f>AJ$4*(AJ64-AJ$3)</f>
        <v/>
      </c>
      <c r="BC64" s="25">
        <f>AK$4*(AK64-AK$3)</f>
        <v/>
      </c>
      <c r="BD64" s="26">
        <f>SUM(AL64:BC64)</f>
        <v/>
      </c>
      <c r="BE64" s="26">
        <f>INTERCEPT_SCALED+BD64</f>
        <v/>
      </c>
      <c r="BF64" s="27">
        <f>1/(1+EXP(-BE64))</f>
        <v/>
      </c>
      <c r="BG64" s="13">
        <f>1-(1-BF64)^12</f>
        <v/>
      </c>
      <c r="BH64" s="13">
        <f>IFERROR(AL64/BD64*(BG64-BASELINE_CPR),0)</f>
        <v/>
      </c>
      <c r="BI64" s="13">
        <f>IFERROR(AM64/BD64*(BG64-BASELINE_CPR),0)</f>
        <v/>
      </c>
      <c r="BJ64" s="13">
        <f>IFERROR(AN64/BD64*(BG64-BASELINE_CPR),0)</f>
        <v/>
      </c>
      <c r="BK64" s="13">
        <f>IFERROR(AO64/BD64*(BG64-BASELINE_CPR),0)</f>
        <v/>
      </c>
      <c r="BL64" s="13">
        <f>IFERROR(AP64/BD64*(BG64-BASELINE_CPR),0)</f>
        <v/>
      </c>
      <c r="BM64" s="13">
        <f>IFERROR(AQ64/BD64*(BG64-BASELINE_CPR),0)</f>
        <v/>
      </c>
      <c r="BN64" s="13">
        <f>IFERROR(AR64/BD64*(BG64-BASELINE_CPR),0)</f>
        <v/>
      </c>
      <c r="BO64" s="13">
        <f>IFERROR(AS64/BD64*(BG64-BASELINE_CPR),0)</f>
        <v/>
      </c>
      <c r="BP64" s="13">
        <f>IFERROR(AT64/BD64*(BG64-BASELINE_CPR),0)</f>
        <v/>
      </c>
      <c r="BQ64" s="13">
        <f>IFERROR(AU64/BD64*(BG64-BASELINE_CPR),0)</f>
        <v/>
      </c>
      <c r="BR64" s="13">
        <f>IFERROR(AV64/BD64*(BG64-BASELINE_CPR),0)</f>
        <v/>
      </c>
      <c r="BS64" s="13">
        <f>IFERROR(AW64/BD64*(BG64-BASELINE_CPR),0)</f>
        <v/>
      </c>
      <c r="BT64" s="13">
        <f>IFERROR(AX64/BD64*(BG64-BASELINE_CPR),0)</f>
        <v/>
      </c>
      <c r="BU64" s="13">
        <f>IFERROR(AY64/BD64*(BG64-BASELINE_CPR),0)</f>
        <v/>
      </c>
      <c r="BV64" s="13">
        <f>IFERROR(AZ64/BD64*(BG64-BASELINE_CPR),0)</f>
        <v/>
      </c>
      <c r="BW64" s="13">
        <f>IFERROR(BA64/BD64*(BG64-BASELINE_CPR),0)</f>
        <v/>
      </c>
      <c r="BX64" s="13">
        <f>IFERROR(BB64/BD64*(BG64-BASELINE_CPR),0)</f>
        <v/>
      </c>
      <c r="BY64" s="13">
        <f>IFERROR(BC64/BD64*(BG64-BASELINE_CPR),0)</f>
        <v/>
      </c>
      <c r="BZ64" s="28">
        <f>BASELINE_CPR+SUM(BH64:BY64)-BG64</f>
        <v/>
      </c>
    </row>
    <row r="65">
      <c r="A65" s="2" t="inlineStr">
        <is>
          <t>3617W0B92_000000003111141</t>
        </is>
      </c>
      <c r="B65" t="inlineStr">
        <is>
          <t>BERKADIA_POST21</t>
        </is>
      </c>
      <c r="C65" s="2" t="inlineStr">
        <is>
          <t>3617W0B92</t>
        </is>
      </c>
      <c r="D65" t="inlineStr">
        <is>
          <t>BERKADIA COMMERCIAL MORTGAGE, LLC</t>
        </is>
      </c>
      <c r="E65" t="inlineStr">
        <is>
          <t>223f</t>
        </is>
      </c>
      <c r="F65" t="inlineStr">
        <is>
          <t>RP</t>
        </is>
      </c>
      <c r="G65" t="n">
        <v>2021</v>
      </c>
      <c r="H65" t="inlineStr">
        <is>
          <t>202602</t>
        </is>
      </c>
      <c r="I65" s="22" t="n">
        <v>23902483.14</v>
      </c>
      <c r="J65" s="23" t="n">
        <v>2.58</v>
      </c>
      <c r="K65" s="24" t="n">
        <v>447</v>
      </c>
      <c r="L65" s="24" t="n">
        <v>7</v>
      </c>
      <c r="M65" t="n">
        <v>58</v>
      </c>
      <c r="N65" t="n">
        <v>6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s="24">
        <f>J65*100-(K65+(1+L65)*12.5)</f>
        <v/>
      </c>
      <c r="U65">
        <f>O65</f>
        <v/>
      </c>
      <c r="V65">
        <f>M65</f>
        <v/>
      </c>
      <c r="W65" s="23">
        <f>LN(1+I65)</f>
        <v/>
      </c>
      <c r="X65">
        <f>IF(G65&gt;=2021,1,0)</f>
        <v/>
      </c>
      <c r="Y65">
        <f>N65</f>
        <v/>
      </c>
      <c r="Z65" s="23">
        <f>IF(ISNUMBER(M65),N65/MAX(M65,1),0)</f>
        <v/>
      </c>
      <c r="AA65">
        <f>P65</f>
        <v/>
      </c>
      <c r="AB65">
        <f>Q65</f>
        <v/>
      </c>
      <c r="AC65">
        <f>R65</f>
        <v/>
      </c>
      <c r="AD65">
        <f>S65</f>
        <v/>
      </c>
      <c r="AE65">
        <f>IF(ISNUMBER(SEARCH("CAPITAL FUNDING",D65)),1,0)</f>
        <v/>
      </c>
      <c r="AF65">
        <f>IF(ISNUMBER(SEARCH("MERCHANTS",D65)),1,0)</f>
        <v/>
      </c>
      <c r="AG65">
        <f>IF(ISNUMBER(SEARCH("WELLS FARGO",D65)),1,0)</f>
        <v/>
      </c>
      <c r="AH65">
        <f>IF(ISNUMBER(SEARCH("WALKER",D65)),1,0)</f>
        <v/>
      </c>
      <c r="AI65">
        <f>IF(ISNUMBER(SEARCH("PNC",D65)),1,0)</f>
        <v/>
      </c>
      <c r="AJ65">
        <f>IF(ISNUMBER(SEARCH("BERKADIA",D65)),1,0)</f>
        <v/>
      </c>
      <c r="AK65">
        <f>IF(ISNUMBER(SEARCH("DWIGHT",D65)),1,0)</f>
        <v/>
      </c>
      <c r="AL65" s="25">
        <f>T$4*(T65-T$3)</f>
        <v/>
      </c>
      <c r="AM65" s="25">
        <f>U$4*(U65-U$3)</f>
        <v/>
      </c>
      <c r="AN65" s="25">
        <f>V$4*(V65-V$3)</f>
        <v/>
      </c>
      <c r="AO65" s="25">
        <f>W$4*(W65-W$3)</f>
        <v/>
      </c>
      <c r="AP65" s="25">
        <f>X$4*(X65-X$3)</f>
        <v/>
      </c>
      <c r="AQ65" s="25">
        <f>Y$4*(Y65-Y$3)</f>
        <v/>
      </c>
      <c r="AR65" s="25">
        <f>Z$4*(Z65-Z$3)</f>
        <v/>
      </c>
      <c r="AS65" s="25">
        <f>AA$4*(AA65-AA$3)</f>
        <v/>
      </c>
      <c r="AT65" s="25">
        <f>AB$4*(AB65-AB$3)</f>
        <v/>
      </c>
      <c r="AU65" s="25">
        <f>AC$4*(AC65-AC$3)</f>
        <v/>
      </c>
      <c r="AV65" s="25">
        <f>AD$4*(AD65-AD$3)</f>
        <v/>
      </c>
      <c r="AW65" s="25">
        <f>AE$4*(AE65-AE$3)</f>
        <v/>
      </c>
      <c r="AX65" s="25">
        <f>AF$4*(AF65-AF$3)</f>
        <v/>
      </c>
      <c r="AY65" s="25">
        <f>AG$4*(AG65-AG$3)</f>
        <v/>
      </c>
      <c r="AZ65" s="25">
        <f>AH$4*(AH65-AH$3)</f>
        <v/>
      </c>
      <c r="BA65" s="25">
        <f>AI$4*(AI65-AI$3)</f>
        <v/>
      </c>
      <c r="BB65" s="25">
        <f>AJ$4*(AJ65-AJ$3)</f>
        <v/>
      </c>
      <c r="BC65" s="25">
        <f>AK$4*(AK65-AK$3)</f>
        <v/>
      </c>
      <c r="BD65" s="26">
        <f>SUM(AL65:BC65)</f>
        <v/>
      </c>
      <c r="BE65" s="26">
        <f>INTERCEPT_SCALED+BD65</f>
        <v/>
      </c>
      <c r="BF65" s="27">
        <f>1/(1+EXP(-BE65))</f>
        <v/>
      </c>
      <c r="BG65" s="13">
        <f>1-(1-BF65)^12</f>
        <v/>
      </c>
      <c r="BH65" s="13">
        <f>IFERROR(AL65/BD65*(BG65-BASELINE_CPR),0)</f>
        <v/>
      </c>
      <c r="BI65" s="13">
        <f>IFERROR(AM65/BD65*(BG65-BASELINE_CPR),0)</f>
        <v/>
      </c>
      <c r="BJ65" s="13">
        <f>IFERROR(AN65/BD65*(BG65-BASELINE_CPR),0)</f>
        <v/>
      </c>
      <c r="BK65" s="13">
        <f>IFERROR(AO65/BD65*(BG65-BASELINE_CPR),0)</f>
        <v/>
      </c>
      <c r="BL65" s="13">
        <f>IFERROR(AP65/BD65*(BG65-BASELINE_CPR),0)</f>
        <v/>
      </c>
      <c r="BM65" s="13">
        <f>IFERROR(AQ65/BD65*(BG65-BASELINE_CPR),0)</f>
        <v/>
      </c>
      <c r="BN65" s="13">
        <f>IFERROR(AR65/BD65*(BG65-BASELINE_CPR),0)</f>
        <v/>
      </c>
      <c r="BO65" s="13">
        <f>IFERROR(AS65/BD65*(BG65-BASELINE_CPR),0)</f>
        <v/>
      </c>
      <c r="BP65" s="13">
        <f>IFERROR(AT65/BD65*(BG65-BASELINE_CPR),0)</f>
        <v/>
      </c>
      <c r="BQ65" s="13">
        <f>IFERROR(AU65/BD65*(BG65-BASELINE_CPR),0)</f>
        <v/>
      </c>
      <c r="BR65" s="13">
        <f>IFERROR(AV65/BD65*(BG65-BASELINE_CPR),0)</f>
        <v/>
      </c>
      <c r="BS65" s="13">
        <f>IFERROR(AW65/BD65*(BG65-BASELINE_CPR),0)</f>
        <v/>
      </c>
      <c r="BT65" s="13">
        <f>IFERROR(AX65/BD65*(BG65-BASELINE_CPR),0)</f>
        <v/>
      </c>
      <c r="BU65" s="13">
        <f>IFERROR(AY65/BD65*(BG65-BASELINE_CPR),0)</f>
        <v/>
      </c>
      <c r="BV65" s="13">
        <f>IFERROR(AZ65/BD65*(BG65-BASELINE_CPR),0)</f>
        <v/>
      </c>
      <c r="BW65" s="13">
        <f>IFERROR(BA65/BD65*(BG65-BASELINE_CPR),0)</f>
        <v/>
      </c>
      <c r="BX65" s="13">
        <f>IFERROR(BB65/BD65*(BG65-BASELINE_CPR),0)</f>
        <v/>
      </c>
      <c r="BY65" s="13">
        <f>IFERROR(BC65/BD65*(BG65-BASELINE_CPR),0)</f>
        <v/>
      </c>
      <c r="BZ65" s="28">
        <f>BASELINE_CPR+SUM(BH65:BY65)-BG65</f>
        <v/>
      </c>
    </row>
    <row r="66">
      <c r="A66" s="2" t="inlineStr">
        <is>
          <t>36296MNL8_000000001410045</t>
        </is>
      </c>
      <c r="B66" t="inlineStr">
        <is>
          <t>BERKADIA_PRE21</t>
        </is>
      </c>
      <c r="C66" s="2" t="inlineStr">
        <is>
          <t>36296MNL8</t>
        </is>
      </c>
      <c r="D66" t="inlineStr">
        <is>
          <t>BERKADIA COMMERCIAL MORTGAGE, LLC</t>
        </is>
      </c>
      <c r="E66" t="inlineStr">
        <is>
          <t>241</t>
        </is>
      </c>
      <c r="F66" t="inlineStr">
        <is>
          <t>NC</t>
        </is>
      </c>
      <c r="G66" t="n">
        <v>2009</v>
      </c>
      <c r="H66" t="inlineStr">
        <is>
          <t>202602</t>
        </is>
      </c>
      <c r="I66" s="22" t="n">
        <v>662700.64</v>
      </c>
      <c r="J66" s="23" t="n">
        <v>6.2</v>
      </c>
      <c r="K66" s="24" t="n">
        <v>447</v>
      </c>
      <c r="L66" s="24" t="n">
        <v>0</v>
      </c>
      <c r="M66" t="n">
        <v>197</v>
      </c>
      <c r="N66" t="n">
        <v>86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s="24">
        <f>J66*100-(K66+(1+L66)*12.5)</f>
        <v/>
      </c>
      <c r="U66">
        <f>O66</f>
        <v/>
      </c>
      <c r="V66">
        <f>M66</f>
        <v/>
      </c>
      <c r="W66" s="23">
        <f>LN(1+I66)</f>
        <v/>
      </c>
      <c r="X66">
        <f>IF(G66&gt;=2021,1,0)</f>
        <v/>
      </c>
      <c r="Y66">
        <f>N66</f>
        <v/>
      </c>
      <c r="Z66" s="23">
        <f>IF(ISNUMBER(M66),N66/MAX(M66,1),0)</f>
        <v/>
      </c>
      <c r="AA66">
        <f>P66</f>
        <v/>
      </c>
      <c r="AB66">
        <f>Q66</f>
        <v/>
      </c>
      <c r="AC66">
        <f>R66</f>
        <v/>
      </c>
      <c r="AD66">
        <f>S66</f>
        <v/>
      </c>
      <c r="AE66">
        <f>IF(ISNUMBER(SEARCH("CAPITAL FUNDING",D66)),1,0)</f>
        <v/>
      </c>
      <c r="AF66">
        <f>IF(ISNUMBER(SEARCH("MERCHANTS",D66)),1,0)</f>
        <v/>
      </c>
      <c r="AG66">
        <f>IF(ISNUMBER(SEARCH("WELLS FARGO",D66)),1,0)</f>
        <v/>
      </c>
      <c r="AH66">
        <f>IF(ISNUMBER(SEARCH("WALKER",D66)),1,0)</f>
        <v/>
      </c>
      <c r="AI66">
        <f>IF(ISNUMBER(SEARCH("PNC",D66)),1,0)</f>
        <v/>
      </c>
      <c r="AJ66">
        <f>IF(ISNUMBER(SEARCH("BERKADIA",D66)),1,0)</f>
        <v/>
      </c>
      <c r="AK66">
        <f>IF(ISNUMBER(SEARCH("DWIGHT",D66)),1,0)</f>
        <v/>
      </c>
      <c r="AL66" s="25">
        <f>T$4*(T66-T$3)</f>
        <v/>
      </c>
      <c r="AM66" s="25">
        <f>U$4*(U66-U$3)</f>
        <v/>
      </c>
      <c r="AN66" s="25">
        <f>V$4*(V66-V$3)</f>
        <v/>
      </c>
      <c r="AO66" s="25">
        <f>W$4*(W66-W$3)</f>
        <v/>
      </c>
      <c r="AP66" s="25">
        <f>X$4*(X66-X$3)</f>
        <v/>
      </c>
      <c r="AQ66" s="25">
        <f>Y$4*(Y66-Y$3)</f>
        <v/>
      </c>
      <c r="AR66" s="25">
        <f>Z$4*(Z66-Z$3)</f>
        <v/>
      </c>
      <c r="AS66" s="25">
        <f>AA$4*(AA66-AA$3)</f>
        <v/>
      </c>
      <c r="AT66" s="25">
        <f>AB$4*(AB66-AB$3)</f>
        <v/>
      </c>
      <c r="AU66" s="25">
        <f>AC$4*(AC66-AC$3)</f>
        <v/>
      </c>
      <c r="AV66" s="25">
        <f>AD$4*(AD66-AD$3)</f>
        <v/>
      </c>
      <c r="AW66" s="25">
        <f>AE$4*(AE66-AE$3)</f>
        <v/>
      </c>
      <c r="AX66" s="25">
        <f>AF$4*(AF66-AF$3)</f>
        <v/>
      </c>
      <c r="AY66" s="25">
        <f>AG$4*(AG66-AG$3)</f>
        <v/>
      </c>
      <c r="AZ66" s="25">
        <f>AH$4*(AH66-AH$3)</f>
        <v/>
      </c>
      <c r="BA66" s="25">
        <f>AI$4*(AI66-AI$3)</f>
        <v/>
      </c>
      <c r="BB66" s="25">
        <f>AJ$4*(AJ66-AJ$3)</f>
        <v/>
      </c>
      <c r="BC66" s="25">
        <f>AK$4*(AK66-AK$3)</f>
        <v/>
      </c>
      <c r="BD66" s="26">
        <f>SUM(AL66:BC66)</f>
        <v/>
      </c>
      <c r="BE66" s="26">
        <f>INTERCEPT_SCALED+BD66</f>
        <v/>
      </c>
      <c r="BF66" s="27">
        <f>1/(1+EXP(-BE66))</f>
        <v/>
      </c>
      <c r="BG66" s="13">
        <f>1-(1-BF66)^12</f>
        <v/>
      </c>
      <c r="BH66" s="13">
        <f>IFERROR(AL66/BD66*(BG66-BASELINE_CPR),0)</f>
        <v/>
      </c>
      <c r="BI66" s="13">
        <f>IFERROR(AM66/BD66*(BG66-BASELINE_CPR),0)</f>
        <v/>
      </c>
      <c r="BJ66" s="13">
        <f>IFERROR(AN66/BD66*(BG66-BASELINE_CPR),0)</f>
        <v/>
      </c>
      <c r="BK66" s="13">
        <f>IFERROR(AO66/BD66*(BG66-BASELINE_CPR),0)</f>
        <v/>
      </c>
      <c r="BL66" s="13">
        <f>IFERROR(AP66/BD66*(BG66-BASELINE_CPR),0)</f>
        <v/>
      </c>
      <c r="BM66" s="13">
        <f>IFERROR(AQ66/BD66*(BG66-BASELINE_CPR),0)</f>
        <v/>
      </c>
      <c r="BN66" s="13">
        <f>IFERROR(AR66/BD66*(BG66-BASELINE_CPR),0)</f>
        <v/>
      </c>
      <c r="BO66" s="13">
        <f>IFERROR(AS66/BD66*(BG66-BASELINE_CPR),0)</f>
        <v/>
      </c>
      <c r="BP66" s="13">
        <f>IFERROR(AT66/BD66*(BG66-BASELINE_CPR),0)</f>
        <v/>
      </c>
      <c r="BQ66" s="13">
        <f>IFERROR(AU66/BD66*(BG66-BASELINE_CPR),0)</f>
        <v/>
      </c>
      <c r="BR66" s="13">
        <f>IFERROR(AV66/BD66*(BG66-BASELINE_CPR),0)</f>
        <v/>
      </c>
      <c r="BS66" s="13">
        <f>IFERROR(AW66/BD66*(BG66-BASELINE_CPR),0)</f>
        <v/>
      </c>
      <c r="BT66" s="13">
        <f>IFERROR(AX66/BD66*(BG66-BASELINE_CPR),0)</f>
        <v/>
      </c>
      <c r="BU66" s="13">
        <f>IFERROR(AY66/BD66*(BG66-BASELINE_CPR),0)</f>
        <v/>
      </c>
      <c r="BV66" s="13">
        <f>IFERROR(AZ66/BD66*(BG66-BASELINE_CPR),0)</f>
        <v/>
      </c>
      <c r="BW66" s="13">
        <f>IFERROR(BA66/BD66*(BG66-BASELINE_CPR),0)</f>
        <v/>
      </c>
      <c r="BX66" s="13">
        <f>IFERROR(BB66/BD66*(BG66-BASELINE_CPR),0)</f>
        <v/>
      </c>
      <c r="BY66" s="13">
        <f>IFERROR(BC66/BD66*(BG66-BASELINE_CPR),0)</f>
        <v/>
      </c>
      <c r="BZ66" s="28">
        <f>BASELINE_CPR+SUM(BH66:BY66)-BG66</f>
        <v/>
      </c>
    </row>
    <row r="67">
      <c r="A67" s="2" t="inlineStr">
        <is>
          <t>3618A9ZB4_000000009335146</t>
        </is>
      </c>
      <c r="B67" t="inlineStr">
        <is>
          <t>BERKADIA_POST21</t>
        </is>
      </c>
      <c r="C67" s="2" t="inlineStr">
        <is>
          <t>3618A9ZB4</t>
        </is>
      </c>
      <c r="D67" t="inlineStr">
        <is>
          <t>BERKADIA COMMERCIAL MORTGAGE, LLC</t>
        </is>
      </c>
      <c r="E67" t="inlineStr">
        <is>
          <t>221d4</t>
        </is>
      </c>
      <c r="F67" t="inlineStr">
        <is>
          <t>NC</t>
        </is>
      </c>
      <c r="G67" t="n">
        <v>2022</v>
      </c>
      <c r="H67" t="inlineStr">
        <is>
          <t>202602</t>
        </is>
      </c>
      <c r="I67" s="22" t="n">
        <v>9907257.279999999</v>
      </c>
      <c r="J67" s="23" t="n">
        <v>4.6</v>
      </c>
      <c r="K67" s="24" t="n">
        <v>447</v>
      </c>
      <c r="L67" s="24" t="n">
        <v>10</v>
      </c>
      <c r="M67" t="n">
        <v>41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s="24">
        <f>J67*100-(K67+(1+L67)*12.5)</f>
        <v/>
      </c>
      <c r="U67">
        <f>O67</f>
        <v/>
      </c>
      <c r="V67">
        <f>M67</f>
        <v/>
      </c>
      <c r="W67" s="23">
        <f>LN(1+I67)</f>
        <v/>
      </c>
      <c r="X67">
        <f>IF(G67&gt;=2021,1,0)</f>
        <v/>
      </c>
      <c r="Y67">
        <f>N67</f>
        <v/>
      </c>
      <c r="Z67" s="23">
        <f>IF(ISNUMBER(M67),N67/MAX(M67,1),0)</f>
        <v/>
      </c>
      <c r="AA67">
        <f>P67</f>
        <v/>
      </c>
      <c r="AB67">
        <f>Q67</f>
        <v/>
      </c>
      <c r="AC67">
        <f>R67</f>
        <v/>
      </c>
      <c r="AD67">
        <f>S67</f>
        <v/>
      </c>
      <c r="AE67">
        <f>IF(ISNUMBER(SEARCH("CAPITAL FUNDING",D67)),1,0)</f>
        <v/>
      </c>
      <c r="AF67">
        <f>IF(ISNUMBER(SEARCH("MERCHANTS",D67)),1,0)</f>
        <v/>
      </c>
      <c r="AG67">
        <f>IF(ISNUMBER(SEARCH("WELLS FARGO",D67)),1,0)</f>
        <v/>
      </c>
      <c r="AH67">
        <f>IF(ISNUMBER(SEARCH("WALKER",D67)),1,0)</f>
        <v/>
      </c>
      <c r="AI67">
        <f>IF(ISNUMBER(SEARCH("PNC",D67)),1,0)</f>
        <v/>
      </c>
      <c r="AJ67">
        <f>IF(ISNUMBER(SEARCH("BERKADIA",D67)),1,0)</f>
        <v/>
      </c>
      <c r="AK67">
        <f>IF(ISNUMBER(SEARCH("DWIGHT",D67)),1,0)</f>
        <v/>
      </c>
      <c r="AL67" s="25">
        <f>T$4*(T67-T$3)</f>
        <v/>
      </c>
      <c r="AM67" s="25">
        <f>U$4*(U67-U$3)</f>
        <v/>
      </c>
      <c r="AN67" s="25">
        <f>V$4*(V67-V$3)</f>
        <v/>
      </c>
      <c r="AO67" s="25">
        <f>W$4*(W67-W$3)</f>
        <v/>
      </c>
      <c r="AP67" s="25">
        <f>X$4*(X67-X$3)</f>
        <v/>
      </c>
      <c r="AQ67" s="25">
        <f>Y$4*(Y67-Y$3)</f>
        <v/>
      </c>
      <c r="AR67" s="25">
        <f>Z$4*(Z67-Z$3)</f>
        <v/>
      </c>
      <c r="AS67" s="25">
        <f>AA$4*(AA67-AA$3)</f>
        <v/>
      </c>
      <c r="AT67" s="25">
        <f>AB$4*(AB67-AB$3)</f>
        <v/>
      </c>
      <c r="AU67" s="25">
        <f>AC$4*(AC67-AC$3)</f>
        <v/>
      </c>
      <c r="AV67" s="25">
        <f>AD$4*(AD67-AD$3)</f>
        <v/>
      </c>
      <c r="AW67" s="25">
        <f>AE$4*(AE67-AE$3)</f>
        <v/>
      </c>
      <c r="AX67" s="25">
        <f>AF$4*(AF67-AF$3)</f>
        <v/>
      </c>
      <c r="AY67" s="25">
        <f>AG$4*(AG67-AG$3)</f>
        <v/>
      </c>
      <c r="AZ67" s="25">
        <f>AH$4*(AH67-AH$3)</f>
        <v/>
      </c>
      <c r="BA67" s="25">
        <f>AI$4*(AI67-AI$3)</f>
        <v/>
      </c>
      <c r="BB67" s="25">
        <f>AJ$4*(AJ67-AJ$3)</f>
        <v/>
      </c>
      <c r="BC67" s="25">
        <f>AK$4*(AK67-AK$3)</f>
        <v/>
      </c>
      <c r="BD67" s="26">
        <f>SUM(AL67:BC67)</f>
        <v/>
      </c>
      <c r="BE67" s="26">
        <f>INTERCEPT_SCALED+BD67</f>
        <v/>
      </c>
      <c r="BF67" s="27">
        <f>1/(1+EXP(-BE67))</f>
        <v/>
      </c>
      <c r="BG67" s="13">
        <f>1-(1-BF67)^12</f>
        <v/>
      </c>
      <c r="BH67" s="13">
        <f>IFERROR(AL67/BD67*(BG67-BASELINE_CPR),0)</f>
        <v/>
      </c>
      <c r="BI67" s="13">
        <f>IFERROR(AM67/BD67*(BG67-BASELINE_CPR),0)</f>
        <v/>
      </c>
      <c r="BJ67" s="13">
        <f>IFERROR(AN67/BD67*(BG67-BASELINE_CPR),0)</f>
        <v/>
      </c>
      <c r="BK67" s="13">
        <f>IFERROR(AO67/BD67*(BG67-BASELINE_CPR),0)</f>
        <v/>
      </c>
      <c r="BL67" s="13">
        <f>IFERROR(AP67/BD67*(BG67-BASELINE_CPR),0)</f>
        <v/>
      </c>
      <c r="BM67" s="13">
        <f>IFERROR(AQ67/BD67*(BG67-BASELINE_CPR),0)</f>
        <v/>
      </c>
      <c r="BN67" s="13">
        <f>IFERROR(AR67/BD67*(BG67-BASELINE_CPR),0)</f>
        <v/>
      </c>
      <c r="BO67" s="13">
        <f>IFERROR(AS67/BD67*(BG67-BASELINE_CPR),0)</f>
        <v/>
      </c>
      <c r="BP67" s="13">
        <f>IFERROR(AT67/BD67*(BG67-BASELINE_CPR),0)</f>
        <v/>
      </c>
      <c r="BQ67" s="13">
        <f>IFERROR(AU67/BD67*(BG67-BASELINE_CPR),0)</f>
        <v/>
      </c>
      <c r="BR67" s="13">
        <f>IFERROR(AV67/BD67*(BG67-BASELINE_CPR),0)</f>
        <v/>
      </c>
      <c r="BS67" s="13">
        <f>IFERROR(AW67/BD67*(BG67-BASELINE_CPR),0)</f>
        <v/>
      </c>
      <c r="BT67" s="13">
        <f>IFERROR(AX67/BD67*(BG67-BASELINE_CPR),0)</f>
        <v/>
      </c>
      <c r="BU67" s="13">
        <f>IFERROR(AY67/BD67*(BG67-BASELINE_CPR),0)</f>
        <v/>
      </c>
      <c r="BV67" s="13">
        <f>IFERROR(AZ67/BD67*(BG67-BASELINE_CPR),0)</f>
        <v/>
      </c>
      <c r="BW67" s="13">
        <f>IFERROR(BA67/BD67*(BG67-BASELINE_CPR),0)</f>
        <v/>
      </c>
      <c r="BX67" s="13">
        <f>IFERROR(BB67/BD67*(BG67-BASELINE_CPR),0)</f>
        <v/>
      </c>
      <c r="BY67" s="13">
        <f>IFERROR(BC67/BD67*(BG67-BASELINE_CPR),0)</f>
        <v/>
      </c>
      <c r="BZ67" s="28">
        <f>BASELINE_CPR+SUM(BH67:BY67)-BG67</f>
        <v/>
      </c>
    </row>
    <row r="68">
      <c r="A68" s="2" t="inlineStr">
        <is>
          <t>36178VAE1_000000005111250</t>
        </is>
      </c>
      <c r="B68" t="inlineStr">
        <is>
          <t>BERKADIA_PRE21</t>
        </is>
      </c>
      <c r="C68" s="2" t="inlineStr">
        <is>
          <t>36178VAE1</t>
        </is>
      </c>
      <c r="D68" t="inlineStr">
        <is>
          <t>BERKADIA COMMERCIAL MORTGAGE, LLC</t>
        </is>
      </c>
      <c r="E68" t="inlineStr">
        <is>
          <t>223a7</t>
        </is>
      </c>
      <c r="F68" t="inlineStr">
        <is>
          <t>RP</t>
        </is>
      </c>
      <c r="G68" t="n">
        <v>2012</v>
      </c>
      <c r="H68" t="inlineStr">
        <is>
          <t>202602</t>
        </is>
      </c>
      <c r="I68" s="22" t="n">
        <v>17841211.06</v>
      </c>
      <c r="J68" s="23" t="n">
        <v>3.05</v>
      </c>
      <c r="K68" s="24" t="n">
        <v>447</v>
      </c>
      <c r="L68" s="24" t="n">
        <v>0</v>
      </c>
      <c r="M68" t="n">
        <v>160</v>
      </c>
      <c r="N68" t="n">
        <v>26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s="24">
        <f>J68*100-(K68+(1+L68)*12.5)</f>
        <v/>
      </c>
      <c r="U68">
        <f>O68</f>
        <v/>
      </c>
      <c r="V68">
        <f>M68</f>
        <v/>
      </c>
      <c r="W68" s="23">
        <f>LN(1+I68)</f>
        <v/>
      </c>
      <c r="X68">
        <f>IF(G68&gt;=2021,1,0)</f>
        <v/>
      </c>
      <c r="Y68">
        <f>N68</f>
        <v/>
      </c>
      <c r="Z68" s="23">
        <f>IF(ISNUMBER(M68),N68/MAX(M68,1),0)</f>
        <v/>
      </c>
      <c r="AA68">
        <f>P68</f>
        <v/>
      </c>
      <c r="AB68">
        <f>Q68</f>
        <v/>
      </c>
      <c r="AC68">
        <f>R68</f>
        <v/>
      </c>
      <c r="AD68">
        <f>S68</f>
        <v/>
      </c>
      <c r="AE68">
        <f>IF(ISNUMBER(SEARCH("CAPITAL FUNDING",D68)),1,0)</f>
        <v/>
      </c>
      <c r="AF68">
        <f>IF(ISNUMBER(SEARCH("MERCHANTS",D68)),1,0)</f>
        <v/>
      </c>
      <c r="AG68">
        <f>IF(ISNUMBER(SEARCH("WELLS FARGO",D68)),1,0)</f>
        <v/>
      </c>
      <c r="AH68">
        <f>IF(ISNUMBER(SEARCH("WALKER",D68)),1,0)</f>
        <v/>
      </c>
      <c r="AI68">
        <f>IF(ISNUMBER(SEARCH("PNC",D68)),1,0)</f>
        <v/>
      </c>
      <c r="AJ68">
        <f>IF(ISNUMBER(SEARCH("BERKADIA",D68)),1,0)</f>
        <v/>
      </c>
      <c r="AK68">
        <f>IF(ISNUMBER(SEARCH("DWIGHT",D68)),1,0)</f>
        <v/>
      </c>
      <c r="AL68" s="25">
        <f>T$4*(T68-T$3)</f>
        <v/>
      </c>
      <c r="AM68" s="25">
        <f>U$4*(U68-U$3)</f>
        <v/>
      </c>
      <c r="AN68" s="25">
        <f>V$4*(V68-V$3)</f>
        <v/>
      </c>
      <c r="AO68" s="25">
        <f>W$4*(W68-W$3)</f>
        <v/>
      </c>
      <c r="AP68" s="25">
        <f>X$4*(X68-X$3)</f>
        <v/>
      </c>
      <c r="AQ68" s="25">
        <f>Y$4*(Y68-Y$3)</f>
        <v/>
      </c>
      <c r="AR68" s="25">
        <f>Z$4*(Z68-Z$3)</f>
        <v/>
      </c>
      <c r="AS68" s="25">
        <f>AA$4*(AA68-AA$3)</f>
        <v/>
      </c>
      <c r="AT68" s="25">
        <f>AB$4*(AB68-AB$3)</f>
        <v/>
      </c>
      <c r="AU68" s="25">
        <f>AC$4*(AC68-AC$3)</f>
        <v/>
      </c>
      <c r="AV68" s="25">
        <f>AD$4*(AD68-AD$3)</f>
        <v/>
      </c>
      <c r="AW68" s="25">
        <f>AE$4*(AE68-AE$3)</f>
        <v/>
      </c>
      <c r="AX68" s="25">
        <f>AF$4*(AF68-AF$3)</f>
        <v/>
      </c>
      <c r="AY68" s="25">
        <f>AG$4*(AG68-AG$3)</f>
        <v/>
      </c>
      <c r="AZ68" s="25">
        <f>AH$4*(AH68-AH$3)</f>
        <v/>
      </c>
      <c r="BA68" s="25">
        <f>AI$4*(AI68-AI$3)</f>
        <v/>
      </c>
      <c r="BB68" s="25">
        <f>AJ$4*(AJ68-AJ$3)</f>
        <v/>
      </c>
      <c r="BC68" s="25">
        <f>AK$4*(AK68-AK$3)</f>
        <v/>
      </c>
      <c r="BD68" s="26">
        <f>SUM(AL68:BC68)</f>
        <v/>
      </c>
      <c r="BE68" s="26">
        <f>INTERCEPT_SCALED+BD68</f>
        <v/>
      </c>
      <c r="BF68" s="27">
        <f>1/(1+EXP(-BE68))</f>
        <v/>
      </c>
      <c r="BG68" s="13">
        <f>1-(1-BF68)^12</f>
        <v/>
      </c>
      <c r="BH68" s="13">
        <f>IFERROR(AL68/BD68*(BG68-BASELINE_CPR),0)</f>
        <v/>
      </c>
      <c r="BI68" s="13">
        <f>IFERROR(AM68/BD68*(BG68-BASELINE_CPR),0)</f>
        <v/>
      </c>
      <c r="BJ68" s="13">
        <f>IFERROR(AN68/BD68*(BG68-BASELINE_CPR),0)</f>
        <v/>
      </c>
      <c r="BK68" s="13">
        <f>IFERROR(AO68/BD68*(BG68-BASELINE_CPR),0)</f>
        <v/>
      </c>
      <c r="BL68" s="13">
        <f>IFERROR(AP68/BD68*(BG68-BASELINE_CPR),0)</f>
        <v/>
      </c>
      <c r="BM68" s="13">
        <f>IFERROR(AQ68/BD68*(BG68-BASELINE_CPR),0)</f>
        <v/>
      </c>
      <c r="BN68" s="13">
        <f>IFERROR(AR68/BD68*(BG68-BASELINE_CPR),0)</f>
        <v/>
      </c>
      <c r="BO68" s="13">
        <f>IFERROR(AS68/BD68*(BG68-BASELINE_CPR),0)</f>
        <v/>
      </c>
      <c r="BP68" s="13">
        <f>IFERROR(AT68/BD68*(BG68-BASELINE_CPR),0)</f>
        <v/>
      </c>
      <c r="BQ68" s="13">
        <f>IFERROR(AU68/BD68*(BG68-BASELINE_CPR),0)</f>
        <v/>
      </c>
      <c r="BR68" s="13">
        <f>IFERROR(AV68/BD68*(BG68-BASELINE_CPR),0)</f>
        <v/>
      </c>
      <c r="BS68" s="13">
        <f>IFERROR(AW68/BD68*(BG68-BASELINE_CPR),0)</f>
        <v/>
      </c>
      <c r="BT68" s="13">
        <f>IFERROR(AX68/BD68*(BG68-BASELINE_CPR),0)</f>
        <v/>
      </c>
      <c r="BU68" s="13">
        <f>IFERROR(AY68/BD68*(BG68-BASELINE_CPR),0)</f>
        <v/>
      </c>
      <c r="BV68" s="13">
        <f>IFERROR(AZ68/BD68*(BG68-BASELINE_CPR),0)</f>
        <v/>
      </c>
      <c r="BW68" s="13">
        <f>IFERROR(BA68/BD68*(BG68-BASELINE_CPR),0)</f>
        <v/>
      </c>
      <c r="BX68" s="13">
        <f>IFERROR(BB68/BD68*(BG68-BASELINE_CPR),0)</f>
        <v/>
      </c>
      <c r="BY68" s="13">
        <f>IFERROR(BC68/BD68*(BG68-BASELINE_CPR),0)</f>
        <v/>
      </c>
      <c r="BZ68" s="28">
        <f>BASELINE_CPR+SUM(BH68:BY68)-BG68</f>
        <v/>
      </c>
    </row>
    <row r="69">
      <c r="A69" s="2" t="inlineStr">
        <is>
          <t>3617M16P1_000000011422098</t>
        </is>
      </c>
      <c r="B69" t="inlineStr">
        <is>
          <t>BERKADIA_PRE21</t>
        </is>
      </c>
      <c r="C69" s="2" t="inlineStr">
        <is>
          <t>3617M16P1</t>
        </is>
      </c>
      <c r="D69" t="inlineStr">
        <is>
          <t>BERKADIA COMMERCIAL MORTGAGE, LLC</t>
        </is>
      </c>
      <c r="E69" t="inlineStr">
        <is>
          <t>232</t>
        </is>
      </c>
      <c r="F69" t="inlineStr">
        <is>
          <t>RP</t>
        </is>
      </c>
      <c r="G69" t="n">
        <v>2020</v>
      </c>
      <c r="H69" t="inlineStr">
        <is>
          <t>202602</t>
        </is>
      </c>
      <c r="I69" s="22" t="n">
        <v>6103063.28</v>
      </c>
      <c r="J69" s="23" t="n">
        <v>2.63</v>
      </c>
      <c r="K69" s="24" t="n">
        <v>447</v>
      </c>
      <c r="L69" s="24" t="n">
        <v>6</v>
      </c>
      <c r="M69" t="n">
        <v>71</v>
      </c>
      <c r="N69" t="n">
        <v>13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s="24">
        <f>J69*100-(K69+(1+L69)*12.5)</f>
        <v/>
      </c>
      <c r="U69">
        <f>O69</f>
        <v/>
      </c>
      <c r="V69">
        <f>M69</f>
        <v/>
      </c>
      <c r="W69" s="23">
        <f>LN(1+I69)</f>
        <v/>
      </c>
      <c r="X69">
        <f>IF(G69&gt;=2021,1,0)</f>
        <v/>
      </c>
      <c r="Y69">
        <f>N69</f>
        <v/>
      </c>
      <c r="Z69" s="23">
        <f>IF(ISNUMBER(M69),N69/MAX(M69,1),0)</f>
        <v/>
      </c>
      <c r="AA69">
        <f>P69</f>
        <v/>
      </c>
      <c r="AB69">
        <f>Q69</f>
        <v/>
      </c>
      <c r="AC69">
        <f>R69</f>
        <v/>
      </c>
      <c r="AD69">
        <f>S69</f>
        <v/>
      </c>
      <c r="AE69">
        <f>IF(ISNUMBER(SEARCH("CAPITAL FUNDING",D69)),1,0)</f>
        <v/>
      </c>
      <c r="AF69">
        <f>IF(ISNUMBER(SEARCH("MERCHANTS",D69)),1,0)</f>
        <v/>
      </c>
      <c r="AG69">
        <f>IF(ISNUMBER(SEARCH("WELLS FARGO",D69)),1,0)</f>
        <v/>
      </c>
      <c r="AH69">
        <f>IF(ISNUMBER(SEARCH("WALKER",D69)),1,0)</f>
        <v/>
      </c>
      <c r="AI69">
        <f>IF(ISNUMBER(SEARCH("PNC",D69)),1,0)</f>
        <v/>
      </c>
      <c r="AJ69">
        <f>IF(ISNUMBER(SEARCH("BERKADIA",D69)),1,0)</f>
        <v/>
      </c>
      <c r="AK69">
        <f>IF(ISNUMBER(SEARCH("DWIGHT",D69)),1,0)</f>
        <v/>
      </c>
      <c r="AL69" s="25">
        <f>T$4*(T69-T$3)</f>
        <v/>
      </c>
      <c r="AM69" s="25">
        <f>U$4*(U69-U$3)</f>
        <v/>
      </c>
      <c r="AN69" s="25">
        <f>V$4*(V69-V$3)</f>
        <v/>
      </c>
      <c r="AO69" s="25">
        <f>W$4*(W69-W$3)</f>
        <v/>
      </c>
      <c r="AP69" s="25">
        <f>X$4*(X69-X$3)</f>
        <v/>
      </c>
      <c r="AQ69" s="25">
        <f>Y$4*(Y69-Y$3)</f>
        <v/>
      </c>
      <c r="AR69" s="25">
        <f>Z$4*(Z69-Z$3)</f>
        <v/>
      </c>
      <c r="AS69" s="25">
        <f>AA$4*(AA69-AA$3)</f>
        <v/>
      </c>
      <c r="AT69" s="25">
        <f>AB$4*(AB69-AB$3)</f>
        <v/>
      </c>
      <c r="AU69" s="25">
        <f>AC$4*(AC69-AC$3)</f>
        <v/>
      </c>
      <c r="AV69" s="25">
        <f>AD$4*(AD69-AD$3)</f>
        <v/>
      </c>
      <c r="AW69" s="25">
        <f>AE$4*(AE69-AE$3)</f>
        <v/>
      </c>
      <c r="AX69" s="25">
        <f>AF$4*(AF69-AF$3)</f>
        <v/>
      </c>
      <c r="AY69" s="25">
        <f>AG$4*(AG69-AG$3)</f>
        <v/>
      </c>
      <c r="AZ69" s="25">
        <f>AH$4*(AH69-AH$3)</f>
        <v/>
      </c>
      <c r="BA69" s="25">
        <f>AI$4*(AI69-AI$3)</f>
        <v/>
      </c>
      <c r="BB69" s="25">
        <f>AJ$4*(AJ69-AJ$3)</f>
        <v/>
      </c>
      <c r="BC69" s="25">
        <f>AK$4*(AK69-AK$3)</f>
        <v/>
      </c>
      <c r="BD69" s="26">
        <f>SUM(AL69:BC69)</f>
        <v/>
      </c>
      <c r="BE69" s="26">
        <f>INTERCEPT_SCALED+BD69</f>
        <v/>
      </c>
      <c r="BF69" s="27">
        <f>1/(1+EXP(-BE69))</f>
        <v/>
      </c>
      <c r="BG69" s="13">
        <f>1-(1-BF69)^12</f>
        <v/>
      </c>
      <c r="BH69" s="13">
        <f>IFERROR(AL69/BD69*(BG69-BASELINE_CPR),0)</f>
        <v/>
      </c>
      <c r="BI69" s="13">
        <f>IFERROR(AM69/BD69*(BG69-BASELINE_CPR),0)</f>
        <v/>
      </c>
      <c r="BJ69" s="13">
        <f>IFERROR(AN69/BD69*(BG69-BASELINE_CPR),0)</f>
        <v/>
      </c>
      <c r="BK69" s="13">
        <f>IFERROR(AO69/BD69*(BG69-BASELINE_CPR),0)</f>
        <v/>
      </c>
      <c r="BL69" s="13">
        <f>IFERROR(AP69/BD69*(BG69-BASELINE_CPR),0)</f>
        <v/>
      </c>
      <c r="BM69" s="13">
        <f>IFERROR(AQ69/BD69*(BG69-BASELINE_CPR),0)</f>
        <v/>
      </c>
      <c r="BN69" s="13">
        <f>IFERROR(AR69/BD69*(BG69-BASELINE_CPR),0)</f>
        <v/>
      </c>
      <c r="BO69" s="13">
        <f>IFERROR(AS69/BD69*(BG69-BASELINE_CPR),0)</f>
        <v/>
      </c>
      <c r="BP69" s="13">
        <f>IFERROR(AT69/BD69*(BG69-BASELINE_CPR),0)</f>
        <v/>
      </c>
      <c r="BQ69" s="13">
        <f>IFERROR(AU69/BD69*(BG69-BASELINE_CPR),0)</f>
        <v/>
      </c>
      <c r="BR69" s="13">
        <f>IFERROR(AV69/BD69*(BG69-BASELINE_CPR),0)</f>
        <v/>
      </c>
      <c r="BS69" s="13">
        <f>IFERROR(AW69/BD69*(BG69-BASELINE_CPR),0)</f>
        <v/>
      </c>
      <c r="BT69" s="13">
        <f>IFERROR(AX69/BD69*(BG69-BASELINE_CPR),0)</f>
        <v/>
      </c>
      <c r="BU69" s="13">
        <f>IFERROR(AY69/BD69*(BG69-BASELINE_CPR),0)</f>
        <v/>
      </c>
      <c r="BV69" s="13">
        <f>IFERROR(AZ69/BD69*(BG69-BASELINE_CPR),0)</f>
        <v/>
      </c>
      <c r="BW69" s="13">
        <f>IFERROR(BA69/BD69*(BG69-BASELINE_CPR),0)</f>
        <v/>
      </c>
      <c r="BX69" s="13">
        <f>IFERROR(BB69/BD69*(BG69-BASELINE_CPR),0)</f>
        <v/>
      </c>
      <c r="BY69" s="13">
        <f>IFERROR(BC69/BD69*(BG69-BASELINE_CPR),0)</f>
        <v/>
      </c>
      <c r="BZ69" s="28">
        <f>BASELINE_CPR+SUM(BH69:BY69)-BG69</f>
        <v/>
      </c>
    </row>
    <row r="70">
      <c r="A70" s="2" t="inlineStr">
        <is>
          <t>36194RP61_000000007111200</t>
        </is>
      </c>
      <c r="B70" t="inlineStr">
        <is>
          <t>WALKER_PRE21</t>
        </is>
      </c>
      <c r="C70" s="2" t="inlineStr">
        <is>
          <t>36194RP61</t>
        </is>
      </c>
      <c r="D70" t="inlineStr">
        <is>
          <t>WALKER &amp; DUNLOP, LLC</t>
        </is>
      </c>
      <c r="E70" t="inlineStr">
        <is>
          <t>223f</t>
        </is>
      </c>
      <c r="F70" t="inlineStr">
        <is>
          <t>RP</t>
        </is>
      </c>
      <c r="G70" t="n">
        <v>2010</v>
      </c>
      <c r="H70" t="inlineStr">
        <is>
          <t>202602</t>
        </is>
      </c>
      <c r="I70" s="22" t="n">
        <v>3987517.41</v>
      </c>
      <c r="J70" s="23" t="n">
        <v>3.65</v>
      </c>
      <c r="K70" s="24" t="n">
        <v>447</v>
      </c>
      <c r="L70" s="24" t="n">
        <v>1</v>
      </c>
      <c r="M70" t="n">
        <v>188</v>
      </c>
      <c r="N70" t="n">
        <v>29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s="24">
        <f>J70*100-(K70+(1+L70)*12.5)</f>
        <v/>
      </c>
      <c r="U70">
        <f>O70</f>
        <v/>
      </c>
      <c r="V70">
        <f>M70</f>
        <v/>
      </c>
      <c r="W70" s="23">
        <f>LN(1+I70)</f>
        <v/>
      </c>
      <c r="X70">
        <f>IF(G70&gt;=2021,1,0)</f>
        <v/>
      </c>
      <c r="Y70">
        <f>N70</f>
        <v/>
      </c>
      <c r="Z70" s="23">
        <f>IF(ISNUMBER(M70),N70/MAX(M70,1),0)</f>
        <v/>
      </c>
      <c r="AA70">
        <f>P70</f>
        <v/>
      </c>
      <c r="AB70">
        <f>Q70</f>
        <v/>
      </c>
      <c r="AC70">
        <f>R70</f>
        <v/>
      </c>
      <c r="AD70">
        <f>S70</f>
        <v/>
      </c>
      <c r="AE70">
        <f>IF(ISNUMBER(SEARCH("CAPITAL FUNDING",D70)),1,0)</f>
        <v/>
      </c>
      <c r="AF70">
        <f>IF(ISNUMBER(SEARCH("MERCHANTS",D70)),1,0)</f>
        <v/>
      </c>
      <c r="AG70">
        <f>IF(ISNUMBER(SEARCH("WELLS FARGO",D70)),1,0)</f>
        <v/>
      </c>
      <c r="AH70">
        <f>IF(ISNUMBER(SEARCH("WALKER",D70)),1,0)</f>
        <v/>
      </c>
      <c r="AI70">
        <f>IF(ISNUMBER(SEARCH("PNC",D70)),1,0)</f>
        <v/>
      </c>
      <c r="AJ70">
        <f>IF(ISNUMBER(SEARCH("BERKADIA",D70)),1,0)</f>
        <v/>
      </c>
      <c r="AK70">
        <f>IF(ISNUMBER(SEARCH("DWIGHT",D70)),1,0)</f>
        <v/>
      </c>
      <c r="AL70" s="25">
        <f>T$4*(T70-T$3)</f>
        <v/>
      </c>
      <c r="AM70" s="25">
        <f>U$4*(U70-U$3)</f>
        <v/>
      </c>
      <c r="AN70" s="25">
        <f>V$4*(V70-V$3)</f>
        <v/>
      </c>
      <c r="AO70" s="25">
        <f>W$4*(W70-W$3)</f>
        <v/>
      </c>
      <c r="AP70" s="25">
        <f>X$4*(X70-X$3)</f>
        <v/>
      </c>
      <c r="AQ70" s="25">
        <f>Y$4*(Y70-Y$3)</f>
        <v/>
      </c>
      <c r="AR70" s="25">
        <f>Z$4*(Z70-Z$3)</f>
        <v/>
      </c>
      <c r="AS70" s="25">
        <f>AA$4*(AA70-AA$3)</f>
        <v/>
      </c>
      <c r="AT70" s="25">
        <f>AB$4*(AB70-AB$3)</f>
        <v/>
      </c>
      <c r="AU70" s="25">
        <f>AC$4*(AC70-AC$3)</f>
        <v/>
      </c>
      <c r="AV70" s="25">
        <f>AD$4*(AD70-AD$3)</f>
        <v/>
      </c>
      <c r="AW70" s="25">
        <f>AE$4*(AE70-AE$3)</f>
        <v/>
      </c>
      <c r="AX70" s="25">
        <f>AF$4*(AF70-AF$3)</f>
        <v/>
      </c>
      <c r="AY70" s="25">
        <f>AG$4*(AG70-AG$3)</f>
        <v/>
      </c>
      <c r="AZ70" s="25">
        <f>AH$4*(AH70-AH$3)</f>
        <v/>
      </c>
      <c r="BA70" s="25">
        <f>AI$4*(AI70-AI$3)</f>
        <v/>
      </c>
      <c r="BB70" s="25">
        <f>AJ$4*(AJ70-AJ$3)</f>
        <v/>
      </c>
      <c r="BC70" s="25">
        <f>AK$4*(AK70-AK$3)</f>
        <v/>
      </c>
      <c r="BD70" s="26">
        <f>SUM(AL70:BC70)</f>
        <v/>
      </c>
      <c r="BE70" s="26">
        <f>INTERCEPT_SCALED+BD70</f>
        <v/>
      </c>
      <c r="BF70" s="27">
        <f>1/(1+EXP(-BE70))</f>
        <v/>
      </c>
      <c r="BG70" s="13">
        <f>1-(1-BF70)^12</f>
        <v/>
      </c>
      <c r="BH70" s="13">
        <f>IFERROR(AL70/BD70*(BG70-BASELINE_CPR),0)</f>
        <v/>
      </c>
      <c r="BI70" s="13">
        <f>IFERROR(AM70/BD70*(BG70-BASELINE_CPR),0)</f>
        <v/>
      </c>
      <c r="BJ70" s="13">
        <f>IFERROR(AN70/BD70*(BG70-BASELINE_CPR),0)</f>
        <v/>
      </c>
      <c r="BK70" s="13">
        <f>IFERROR(AO70/BD70*(BG70-BASELINE_CPR),0)</f>
        <v/>
      </c>
      <c r="BL70" s="13">
        <f>IFERROR(AP70/BD70*(BG70-BASELINE_CPR),0)</f>
        <v/>
      </c>
      <c r="BM70" s="13">
        <f>IFERROR(AQ70/BD70*(BG70-BASELINE_CPR),0)</f>
        <v/>
      </c>
      <c r="BN70" s="13">
        <f>IFERROR(AR70/BD70*(BG70-BASELINE_CPR),0)</f>
        <v/>
      </c>
      <c r="BO70" s="13">
        <f>IFERROR(AS70/BD70*(BG70-BASELINE_CPR),0)</f>
        <v/>
      </c>
      <c r="BP70" s="13">
        <f>IFERROR(AT70/BD70*(BG70-BASELINE_CPR),0)</f>
        <v/>
      </c>
      <c r="BQ70" s="13">
        <f>IFERROR(AU70/BD70*(BG70-BASELINE_CPR),0)</f>
        <v/>
      </c>
      <c r="BR70" s="13">
        <f>IFERROR(AV70/BD70*(BG70-BASELINE_CPR),0)</f>
        <v/>
      </c>
      <c r="BS70" s="13">
        <f>IFERROR(AW70/BD70*(BG70-BASELINE_CPR),0)</f>
        <v/>
      </c>
      <c r="BT70" s="13">
        <f>IFERROR(AX70/BD70*(BG70-BASELINE_CPR),0)</f>
        <v/>
      </c>
      <c r="BU70" s="13">
        <f>IFERROR(AY70/BD70*(BG70-BASELINE_CPR),0)</f>
        <v/>
      </c>
      <c r="BV70" s="13">
        <f>IFERROR(AZ70/BD70*(BG70-BASELINE_CPR),0)</f>
        <v/>
      </c>
      <c r="BW70" s="13">
        <f>IFERROR(BA70/BD70*(BG70-BASELINE_CPR),0)</f>
        <v/>
      </c>
      <c r="BX70" s="13">
        <f>IFERROR(BB70/BD70*(BG70-BASELINE_CPR),0)</f>
        <v/>
      </c>
      <c r="BY70" s="13">
        <f>IFERROR(BC70/BD70*(BG70-BASELINE_CPR),0)</f>
        <v/>
      </c>
      <c r="BZ70" s="28">
        <f>BASELINE_CPR+SUM(BH70:BY70)-BG70</f>
        <v/>
      </c>
    </row>
    <row r="71">
      <c r="A71" s="2" t="inlineStr">
        <is>
          <t>3617X5EB2_000000011311435</t>
        </is>
      </c>
      <c r="B71" t="inlineStr">
        <is>
          <t>WALKER_POST21</t>
        </is>
      </c>
      <c r="C71" s="2" t="inlineStr">
        <is>
          <t>3617X5EB2</t>
        </is>
      </c>
      <c r="D71" t="inlineStr">
        <is>
          <t>WALKER &amp; DUNLOP, LLC</t>
        </is>
      </c>
      <c r="E71" t="inlineStr">
        <is>
          <t>223f</t>
        </is>
      </c>
      <c r="F71" t="inlineStr">
        <is>
          <t>RP</t>
        </is>
      </c>
      <c r="G71" t="n">
        <v>2021</v>
      </c>
      <c r="H71" t="inlineStr">
        <is>
          <t>202602</t>
        </is>
      </c>
      <c r="I71" s="22" t="n">
        <v>17646196.84</v>
      </c>
      <c r="J71" s="23" t="n">
        <v>2.33</v>
      </c>
      <c r="K71" s="24" t="n">
        <v>447</v>
      </c>
      <c r="L71" s="24" t="n">
        <v>6</v>
      </c>
      <c r="M71" t="n">
        <v>51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s="24">
        <f>J71*100-(K71+(1+L71)*12.5)</f>
        <v/>
      </c>
      <c r="U71">
        <f>O71</f>
        <v/>
      </c>
      <c r="V71">
        <f>M71</f>
        <v/>
      </c>
      <c r="W71" s="23">
        <f>LN(1+I71)</f>
        <v/>
      </c>
      <c r="X71">
        <f>IF(G71&gt;=2021,1,0)</f>
        <v/>
      </c>
      <c r="Y71">
        <f>N71</f>
        <v/>
      </c>
      <c r="Z71" s="23">
        <f>IF(ISNUMBER(M71),N71/MAX(M71,1),0)</f>
        <v/>
      </c>
      <c r="AA71">
        <f>P71</f>
        <v/>
      </c>
      <c r="AB71">
        <f>Q71</f>
        <v/>
      </c>
      <c r="AC71">
        <f>R71</f>
        <v/>
      </c>
      <c r="AD71">
        <f>S71</f>
        <v/>
      </c>
      <c r="AE71">
        <f>IF(ISNUMBER(SEARCH("CAPITAL FUNDING",D71)),1,0)</f>
        <v/>
      </c>
      <c r="AF71">
        <f>IF(ISNUMBER(SEARCH("MERCHANTS",D71)),1,0)</f>
        <v/>
      </c>
      <c r="AG71">
        <f>IF(ISNUMBER(SEARCH("WELLS FARGO",D71)),1,0)</f>
        <v/>
      </c>
      <c r="AH71">
        <f>IF(ISNUMBER(SEARCH("WALKER",D71)),1,0)</f>
        <v/>
      </c>
      <c r="AI71">
        <f>IF(ISNUMBER(SEARCH("PNC",D71)),1,0)</f>
        <v/>
      </c>
      <c r="AJ71">
        <f>IF(ISNUMBER(SEARCH("BERKADIA",D71)),1,0)</f>
        <v/>
      </c>
      <c r="AK71">
        <f>IF(ISNUMBER(SEARCH("DWIGHT",D71)),1,0)</f>
        <v/>
      </c>
      <c r="AL71" s="25">
        <f>T$4*(T71-T$3)</f>
        <v/>
      </c>
      <c r="AM71" s="25">
        <f>U$4*(U71-U$3)</f>
        <v/>
      </c>
      <c r="AN71" s="25">
        <f>V$4*(V71-V$3)</f>
        <v/>
      </c>
      <c r="AO71" s="25">
        <f>W$4*(W71-W$3)</f>
        <v/>
      </c>
      <c r="AP71" s="25">
        <f>X$4*(X71-X$3)</f>
        <v/>
      </c>
      <c r="AQ71" s="25">
        <f>Y$4*(Y71-Y$3)</f>
        <v/>
      </c>
      <c r="AR71" s="25">
        <f>Z$4*(Z71-Z$3)</f>
        <v/>
      </c>
      <c r="AS71" s="25">
        <f>AA$4*(AA71-AA$3)</f>
        <v/>
      </c>
      <c r="AT71" s="25">
        <f>AB$4*(AB71-AB$3)</f>
        <v/>
      </c>
      <c r="AU71" s="25">
        <f>AC$4*(AC71-AC$3)</f>
        <v/>
      </c>
      <c r="AV71" s="25">
        <f>AD$4*(AD71-AD$3)</f>
        <v/>
      </c>
      <c r="AW71" s="25">
        <f>AE$4*(AE71-AE$3)</f>
        <v/>
      </c>
      <c r="AX71" s="25">
        <f>AF$4*(AF71-AF$3)</f>
        <v/>
      </c>
      <c r="AY71" s="25">
        <f>AG$4*(AG71-AG$3)</f>
        <v/>
      </c>
      <c r="AZ71" s="25">
        <f>AH$4*(AH71-AH$3)</f>
        <v/>
      </c>
      <c r="BA71" s="25">
        <f>AI$4*(AI71-AI$3)</f>
        <v/>
      </c>
      <c r="BB71" s="25">
        <f>AJ$4*(AJ71-AJ$3)</f>
        <v/>
      </c>
      <c r="BC71" s="25">
        <f>AK$4*(AK71-AK$3)</f>
        <v/>
      </c>
      <c r="BD71" s="26">
        <f>SUM(AL71:BC71)</f>
        <v/>
      </c>
      <c r="BE71" s="26">
        <f>INTERCEPT_SCALED+BD71</f>
        <v/>
      </c>
      <c r="BF71" s="27">
        <f>1/(1+EXP(-BE71))</f>
        <v/>
      </c>
      <c r="BG71" s="13">
        <f>1-(1-BF71)^12</f>
        <v/>
      </c>
      <c r="BH71" s="13">
        <f>IFERROR(AL71/BD71*(BG71-BASELINE_CPR),0)</f>
        <v/>
      </c>
      <c r="BI71" s="13">
        <f>IFERROR(AM71/BD71*(BG71-BASELINE_CPR),0)</f>
        <v/>
      </c>
      <c r="BJ71" s="13">
        <f>IFERROR(AN71/BD71*(BG71-BASELINE_CPR),0)</f>
        <v/>
      </c>
      <c r="BK71" s="13">
        <f>IFERROR(AO71/BD71*(BG71-BASELINE_CPR),0)</f>
        <v/>
      </c>
      <c r="BL71" s="13">
        <f>IFERROR(AP71/BD71*(BG71-BASELINE_CPR),0)</f>
        <v/>
      </c>
      <c r="BM71" s="13">
        <f>IFERROR(AQ71/BD71*(BG71-BASELINE_CPR),0)</f>
        <v/>
      </c>
      <c r="BN71" s="13">
        <f>IFERROR(AR71/BD71*(BG71-BASELINE_CPR),0)</f>
        <v/>
      </c>
      <c r="BO71" s="13">
        <f>IFERROR(AS71/BD71*(BG71-BASELINE_CPR),0)</f>
        <v/>
      </c>
      <c r="BP71" s="13">
        <f>IFERROR(AT71/BD71*(BG71-BASELINE_CPR),0)</f>
        <v/>
      </c>
      <c r="BQ71" s="13">
        <f>IFERROR(AU71/BD71*(BG71-BASELINE_CPR),0)</f>
        <v/>
      </c>
      <c r="BR71" s="13">
        <f>IFERROR(AV71/BD71*(BG71-BASELINE_CPR),0)</f>
        <v/>
      </c>
      <c r="BS71" s="13">
        <f>IFERROR(AW71/BD71*(BG71-BASELINE_CPR),0)</f>
        <v/>
      </c>
      <c r="BT71" s="13">
        <f>IFERROR(AX71/BD71*(BG71-BASELINE_CPR),0)</f>
        <v/>
      </c>
      <c r="BU71" s="13">
        <f>IFERROR(AY71/BD71*(BG71-BASELINE_CPR),0)</f>
        <v/>
      </c>
      <c r="BV71" s="13">
        <f>IFERROR(AZ71/BD71*(BG71-BASELINE_CPR),0)</f>
        <v/>
      </c>
      <c r="BW71" s="13">
        <f>IFERROR(BA71/BD71*(BG71-BASELINE_CPR),0)</f>
        <v/>
      </c>
      <c r="BX71" s="13">
        <f>IFERROR(BB71/BD71*(BG71-BASELINE_CPR),0)</f>
        <v/>
      </c>
      <c r="BY71" s="13">
        <f>IFERROR(BC71/BD71*(BG71-BASELINE_CPR),0)</f>
        <v/>
      </c>
      <c r="BZ71" s="28">
        <f>BASELINE_CPR+SUM(BH71:BY71)-BG71</f>
        <v/>
      </c>
    </row>
    <row r="72">
      <c r="A72" s="2" t="inlineStr">
        <is>
          <t>3617UQNP8_000000005111489</t>
        </is>
      </c>
      <c r="B72" t="inlineStr">
        <is>
          <t>WALKER_POST21</t>
        </is>
      </c>
      <c r="C72" s="2" t="inlineStr">
        <is>
          <t>3617UQNP8</t>
        </is>
      </c>
      <c r="D72" t="inlineStr">
        <is>
          <t>WALKER &amp; DUNLOP, LLC</t>
        </is>
      </c>
      <c r="E72" t="inlineStr">
        <is>
          <t>223a7</t>
        </is>
      </c>
      <c r="F72" t="inlineStr">
        <is>
          <t>RP</t>
        </is>
      </c>
      <c r="G72" t="n">
        <v>2021</v>
      </c>
      <c r="H72" t="inlineStr">
        <is>
          <t>202602</t>
        </is>
      </c>
      <c r="I72" s="22" t="n">
        <v>5985368.08</v>
      </c>
      <c r="J72" s="23" t="n">
        <v>2.29</v>
      </c>
      <c r="K72" s="24" t="n">
        <v>447</v>
      </c>
      <c r="L72" s="24" t="n">
        <v>6</v>
      </c>
      <c r="M72" t="n">
        <v>60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s="24">
        <f>J72*100-(K72+(1+L72)*12.5)</f>
        <v/>
      </c>
      <c r="U72">
        <f>O72</f>
        <v/>
      </c>
      <c r="V72">
        <f>M72</f>
        <v/>
      </c>
      <c r="W72" s="23">
        <f>LN(1+I72)</f>
        <v/>
      </c>
      <c r="X72">
        <f>IF(G72&gt;=2021,1,0)</f>
        <v/>
      </c>
      <c r="Y72">
        <f>N72</f>
        <v/>
      </c>
      <c r="Z72" s="23">
        <f>IF(ISNUMBER(M72),N72/MAX(M72,1),0)</f>
        <v/>
      </c>
      <c r="AA72">
        <f>P72</f>
        <v/>
      </c>
      <c r="AB72">
        <f>Q72</f>
        <v/>
      </c>
      <c r="AC72">
        <f>R72</f>
        <v/>
      </c>
      <c r="AD72">
        <f>S72</f>
        <v/>
      </c>
      <c r="AE72">
        <f>IF(ISNUMBER(SEARCH("CAPITAL FUNDING",D72)),1,0)</f>
        <v/>
      </c>
      <c r="AF72">
        <f>IF(ISNUMBER(SEARCH("MERCHANTS",D72)),1,0)</f>
        <v/>
      </c>
      <c r="AG72">
        <f>IF(ISNUMBER(SEARCH("WELLS FARGO",D72)),1,0)</f>
        <v/>
      </c>
      <c r="AH72">
        <f>IF(ISNUMBER(SEARCH("WALKER",D72)),1,0)</f>
        <v/>
      </c>
      <c r="AI72">
        <f>IF(ISNUMBER(SEARCH("PNC",D72)),1,0)</f>
        <v/>
      </c>
      <c r="AJ72">
        <f>IF(ISNUMBER(SEARCH("BERKADIA",D72)),1,0)</f>
        <v/>
      </c>
      <c r="AK72">
        <f>IF(ISNUMBER(SEARCH("DWIGHT",D72)),1,0)</f>
        <v/>
      </c>
      <c r="AL72" s="25">
        <f>T$4*(T72-T$3)</f>
        <v/>
      </c>
      <c r="AM72" s="25">
        <f>U$4*(U72-U$3)</f>
        <v/>
      </c>
      <c r="AN72" s="25">
        <f>V$4*(V72-V$3)</f>
        <v/>
      </c>
      <c r="AO72" s="25">
        <f>W$4*(W72-W$3)</f>
        <v/>
      </c>
      <c r="AP72" s="25">
        <f>X$4*(X72-X$3)</f>
        <v/>
      </c>
      <c r="AQ72" s="25">
        <f>Y$4*(Y72-Y$3)</f>
        <v/>
      </c>
      <c r="AR72" s="25">
        <f>Z$4*(Z72-Z$3)</f>
        <v/>
      </c>
      <c r="AS72" s="25">
        <f>AA$4*(AA72-AA$3)</f>
        <v/>
      </c>
      <c r="AT72" s="25">
        <f>AB$4*(AB72-AB$3)</f>
        <v/>
      </c>
      <c r="AU72" s="25">
        <f>AC$4*(AC72-AC$3)</f>
        <v/>
      </c>
      <c r="AV72" s="25">
        <f>AD$4*(AD72-AD$3)</f>
        <v/>
      </c>
      <c r="AW72" s="25">
        <f>AE$4*(AE72-AE$3)</f>
        <v/>
      </c>
      <c r="AX72" s="25">
        <f>AF$4*(AF72-AF$3)</f>
        <v/>
      </c>
      <c r="AY72" s="25">
        <f>AG$4*(AG72-AG$3)</f>
        <v/>
      </c>
      <c r="AZ72" s="25">
        <f>AH$4*(AH72-AH$3)</f>
        <v/>
      </c>
      <c r="BA72" s="25">
        <f>AI$4*(AI72-AI$3)</f>
        <v/>
      </c>
      <c r="BB72" s="25">
        <f>AJ$4*(AJ72-AJ$3)</f>
        <v/>
      </c>
      <c r="BC72" s="25">
        <f>AK$4*(AK72-AK$3)</f>
        <v/>
      </c>
      <c r="BD72" s="26">
        <f>SUM(AL72:BC72)</f>
        <v/>
      </c>
      <c r="BE72" s="26">
        <f>INTERCEPT_SCALED+BD72</f>
        <v/>
      </c>
      <c r="BF72" s="27">
        <f>1/(1+EXP(-BE72))</f>
        <v/>
      </c>
      <c r="BG72" s="13">
        <f>1-(1-BF72)^12</f>
        <v/>
      </c>
      <c r="BH72" s="13">
        <f>IFERROR(AL72/BD72*(BG72-BASELINE_CPR),0)</f>
        <v/>
      </c>
      <c r="BI72" s="13">
        <f>IFERROR(AM72/BD72*(BG72-BASELINE_CPR),0)</f>
        <v/>
      </c>
      <c r="BJ72" s="13">
        <f>IFERROR(AN72/BD72*(BG72-BASELINE_CPR),0)</f>
        <v/>
      </c>
      <c r="BK72" s="13">
        <f>IFERROR(AO72/BD72*(BG72-BASELINE_CPR),0)</f>
        <v/>
      </c>
      <c r="BL72" s="13">
        <f>IFERROR(AP72/BD72*(BG72-BASELINE_CPR),0)</f>
        <v/>
      </c>
      <c r="BM72" s="13">
        <f>IFERROR(AQ72/BD72*(BG72-BASELINE_CPR),0)</f>
        <v/>
      </c>
      <c r="BN72" s="13">
        <f>IFERROR(AR72/BD72*(BG72-BASELINE_CPR),0)</f>
        <v/>
      </c>
      <c r="BO72" s="13">
        <f>IFERROR(AS72/BD72*(BG72-BASELINE_CPR),0)</f>
        <v/>
      </c>
      <c r="BP72" s="13">
        <f>IFERROR(AT72/BD72*(BG72-BASELINE_CPR),0)</f>
        <v/>
      </c>
      <c r="BQ72" s="13">
        <f>IFERROR(AU72/BD72*(BG72-BASELINE_CPR),0)</f>
        <v/>
      </c>
      <c r="BR72" s="13">
        <f>IFERROR(AV72/BD72*(BG72-BASELINE_CPR),0)</f>
        <v/>
      </c>
      <c r="BS72" s="13">
        <f>IFERROR(AW72/BD72*(BG72-BASELINE_CPR),0)</f>
        <v/>
      </c>
      <c r="BT72" s="13">
        <f>IFERROR(AX72/BD72*(BG72-BASELINE_CPR),0)</f>
        <v/>
      </c>
      <c r="BU72" s="13">
        <f>IFERROR(AY72/BD72*(BG72-BASELINE_CPR),0)</f>
        <v/>
      </c>
      <c r="BV72" s="13">
        <f>IFERROR(AZ72/BD72*(BG72-BASELINE_CPR),0)</f>
        <v/>
      </c>
      <c r="BW72" s="13">
        <f>IFERROR(BA72/BD72*(BG72-BASELINE_CPR),0)</f>
        <v/>
      </c>
      <c r="BX72" s="13">
        <f>IFERROR(BB72/BD72*(BG72-BASELINE_CPR),0)</f>
        <v/>
      </c>
      <c r="BY72" s="13">
        <f>IFERROR(BC72/BD72*(BG72-BASELINE_CPR),0)</f>
        <v/>
      </c>
      <c r="BZ72" s="28">
        <f>BASELINE_CPR+SUM(BH72:BY72)-BG72</f>
        <v/>
      </c>
    </row>
    <row r="73">
      <c r="A73" s="2" t="inlineStr">
        <is>
          <t>3620ANPX2_000000004322064</t>
        </is>
      </c>
      <c r="B73" t="inlineStr">
        <is>
          <t>WALKER_PRE21</t>
        </is>
      </c>
      <c r="C73" s="2" t="inlineStr">
        <is>
          <t>3620ANPX2</t>
        </is>
      </c>
      <c r="D73" t="inlineStr">
        <is>
          <t>WALKER &amp; DUNLOP, LLC</t>
        </is>
      </c>
      <c r="E73" t="inlineStr">
        <is>
          <t>232</t>
        </is>
      </c>
      <c r="F73" t="inlineStr">
        <is>
          <t>RP</t>
        </is>
      </c>
      <c r="G73" t="n">
        <v>2011</v>
      </c>
      <c r="H73" t="inlineStr">
        <is>
          <t>202602</t>
        </is>
      </c>
      <c r="I73" s="22" t="n">
        <v>4469240.88</v>
      </c>
      <c r="J73" s="23" t="n">
        <v>3.73</v>
      </c>
      <c r="K73" s="24" t="n">
        <v>447</v>
      </c>
      <c r="L73" s="24" t="n">
        <v>0</v>
      </c>
      <c r="M73" t="n">
        <v>172</v>
      </c>
      <c r="N73" t="n">
        <v>38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s="24">
        <f>J73*100-(K73+(1+L73)*12.5)</f>
        <v/>
      </c>
      <c r="U73">
        <f>O73</f>
        <v/>
      </c>
      <c r="V73">
        <f>M73</f>
        <v/>
      </c>
      <c r="W73" s="23">
        <f>LN(1+I73)</f>
        <v/>
      </c>
      <c r="X73">
        <f>IF(G73&gt;=2021,1,0)</f>
        <v/>
      </c>
      <c r="Y73">
        <f>N73</f>
        <v/>
      </c>
      <c r="Z73" s="23">
        <f>IF(ISNUMBER(M73),N73/MAX(M73,1),0)</f>
        <v/>
      </c>
      <c r="AA73">
        <f>P73</f>
        <v/>
      </c>
      <c r="AB73">
        <f>Q73</f>
        <v/>
      </c>
      <c r="AC73">
        <f>R73</f>
        <v/>
      </c>
      <c r="AD73">
        <f>S73</f>
        <v/>
      </c>
      <c r="AE73">
        <f>IF(ISNUMBER(SEARCH("CAPITAL FUNDING",D73)),1,0)</f>
        <v/>
      </c>
      <c r="AF73">
        <f>IF(ISNUMBER(SEARCH("MERCHANTS",D73)),1,0)</f>
        <v/>
      </c>
      <c r="AG73">
        <f>IF(ISNUMBER(SEARCH("WELLS FARGO",D73)),1,0)</f>
        <v/>
      </c>
      <c r="AH73">
        <f>IF(ISNUMBER(SEARCH("WALKER",D73)),1,0)</f>
        <v/>
      </c>
      <c r="AI73">
        <f>IF(ISNUMBER(SEARCH("PNC",D73)),1,0)</f>
        <v/>
      </c>
      <c r="AJ73">
        <f>IF(ISNUMBER(SEARCH("BERKADIA",D73)),1,0)</f>
        <v/>
      </c>
      <c r="AK73">
        <f>IF(ISNUMBER(SEARCH("DWIGHT",D73)),1,0)</f>
        <v/>
      </c>
      <c r="AL73" s="25">
        <f>T$4*(T73-T$3)</f>
        <v/>
      </c>
      <c r="AM73" s="25">
        <f>U$4*(U73-U$3)</f>
        <v/>
      </c>
      <c r="AN73" s="25">
        <f>V$4*(V73-V$3)</f>
        <v/>
      </c>
      <c r="AO73" s="25">
        <f>W$4*(W73-W$3)</f>
        <v/>
      </c>
      <c r="AP73" s="25">
        <f>X$4*(X73-X$3)</f>
        <v/>
      </c>
      <c r="AQ73" s="25">
        <f>Y$4*(Y73-Y$3)</f>
        <v/>
      </c>
      <c r="AR73" s="25">
        <f>Z$4*(Z73-Z$3)</f>
        <v/>
      </c>
      <c r="AS73" s="25">
        <f>AA$4*(AA73-AA$3)</f>
        <v/>
      </c>
      <c r="AT73" s="25">
        <f>AB$4*(AB73-AB$3)</f>
        <v/>
      </c>
      <c r="AU73" s="25">
        <f>AC$4*(AC73-AC$3)</f>
        <v/>
      </c>
      <c r="AV73" s="25">
        <f>AD$4*(AD73-AD$3)</f>
        <v/>
      </c>
      <c r="AW73" s="25">
        <f>AE$4*(AE73-AE$3)</f>
        <v/>
      </c>
      <c r="AX73" s="25">
        <f>AF$4*(AF73-AF$3)</f>
        <v/>
      </c>
      <c r="AY73" s="25">
        <f>AG$4*(AG73-AG$3)</f>
        <v/>
      </c>
      <c r="AZ73" s="25">
        <f>AH$4*(AH73-AH$3)</f>
        <v/>
      </c>
      <c r="BA73" s="25">
        <f>AI$4*(AI73-AI$3)</f>
        <v/>
      </c>
      <c r="BB73" s="25">
        <f>AJ$4*(AJ73-AJ$3)</f>
        <v/>
      </c>
      <c r="BC73" s="25">
        <f>AK$4*(AK73-AK$3)</f>
        <v/>
      </c>
      <c r="BD73" s="26">
        <f>SUM(AL73:BC73)</f>
        <v/>
      </c>
      <c r="BE73" s="26">
        <f>INTERCEPT_SCALED+BD73</f>
        <v/>
      </c>
      <c r="BF73" s="27">
        <f>1/(1+EXP(-BE73))</f>
        <v/>
      </c>
      <c r="BG73" s="13">
        <f>1-(1-BF73)^12</f>
        <v/>
      </c>
      <c r="BH73" s="13">
        <f>IFERROR(AL73/BD73*(BG73-BASELINE_CPR),0)</f>
        <v/>
      </c>
      <c r="BI73" s="13">
        <f>IFERROR(AM73/BD73*(BG73-BASELINE_CPR),0)</f>
        <v/>
      </c>
      <c r="BJ73" s="13">
        <f>IFERROR(AN73/BD73*(BG73-BASELINE_CPR),0)</f>
        <v/>
      </c>
      <c r="BK73" s="13">
        <f>IFERROR(AO73/BD73*(BG73-BASELINE_CPR),0)</f>
        <v/>
      </c>
      <c r="BL73" s="13">
        <f>IFERROR(AP73/BD73*(BG73-BASELINE_CPR),0)</f>
        <v/>
      </c>
      <c r="BM73" s="13">
        <f>IFERROR(AQ73/BD73*(BG73-BASELINE_CPR),0)</f>
        <v/>
      </c>
      <c r="BN73" s="13">
        <f>IFERROR(AR73/BD73*(BG73-BASELINE_CPR),0)</f>
        <v/>
      </c>
      <c r="BO73" s="13">
        <f>IFERROR(AS73/BD73*(BG73-BASELINE_CPR),0)</f>
        <v/>
      </c>
      <c r="BP73" s="13">
        <f>IFERROR(AT73/BD73*(BG73-BASELINE_CPR),0)</f>
        <v/>
      </c>
      <c r="BQ73" s="13">
        <f>IFERROR(AU73/BD73*(BG73-BASELINE_CPR),0)</f>
        <v/>
      </c>
      <c r="BR73" s="13">
        <f>IFERROR(AV73/BD73*(BG73-BASELINE_CPR),0)</f>
        <v/>
      </c>
      <c r="BS73" s="13">
        <f>IFERROR(AW73/BD73*(BG73-BASELINE_CPR),0)</f>
        <v/>
      </c>
      <c r="BT73" s="13">
        <f>IFERROR(AX73/BD73*(BG73-BASELINE_CPR),0)</f>
        <v/>
      </c>
      <c r="BU73" s="13">
        <f>IFERROR(AY73/BD73*(BG73-BASELINE_CPR),0)</f>
        <v/>
      </c>
      <c r="BV73" s="13">
        <f>IFERROR(AZ73/BD73*(BG73-BASELINE_CPR),0)</f>
        <v/>
      </c>
      <c r="BW73" s="13">
        <f>IFERROR(BA73/BD73*(BG73-BASELINE_CPR),0)</f>
        <v/>
      </c>
      <c r="BX73" s="13">
        <f>IFERROR(BB73/BD73*(BG73-BASELINE_CPR),0)</f>
        <v/>
      </c>
      <c r="BY73" s="13">
        <f>IFERROR(BC73/BD73*(BG73-BASELINE_CPR),0)</f>
        <v/>
      </c>
      <c r="BZ73" s="28">
        <f>BASELINE_CPR+SUM(BH73:BY73)-BG73</f>
        <v/>
      </c>
    </row>
    <row r="74">
      <c r="A74" s="2" t="inlineStr">
        <is>
          <t>36195LZX3_000000004722066</t>
        </is>
      </c>
      <c r="B74" t="inlineStr">
        <is>
          <t>WALKER_PRE21</t>
        </is>
      </c>
      <c r="C74" s="2" t="inlineStr">
        <is>
          <t>36195LZX3</t>
        </is>
      </c>
      <c r="D74" t="inlineStr">
        <is>
          <t>WALKER &amp; DUNLOP, LLC</t>
        </is>
      </c>
      <c r="E74" t="inlineStr">
        <is>
          <t>232</t>
        </is>
      </c>
      <c r="F74" t="inlineStr">
        <is>
          <t>RP</t>
        </is>
      </c>
      <c r="G74" t="n">
        <v>2011</v>
      </c>
      <c r="H74" t="inlineStr">
        <is>
          <t>202602</t>
        </is>
      </c>
      <c r="I74" s="22" t="n">
        <v>1687095.6</v>
      </c>
      <c r="J74" s="23" t="n">
        <v>3.58</v>
      </c>
      <c r="K74" s="24" t="n">
        <v>447</v>
      </c>
      <c r="L74" s="24" t="n">
        <v>1</v>
      </c>
      <c r="M74" t="n">
        <v>176</v>
      </c>
      <c r="N74" t="n">
        <v>27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s="24">
        <f>J74*100-(K74+(1+L74)*12.5)</f>
        <v/>
      </c>
      <c r="U74">
        <f>O74</f>
        <v/>
      </c>
      <c r="V74">
        <f>M74</f>
        <v/>
      </c>
      <c r="W74" s="23">
        <f>LN(1+I74)</f>
        <v/>
      </c>
      <c r="X74">
        <f>IF(G74&gt;=2021,1,0)</f>
        <v/>
      </c>
      <c r="Y74">
        <f>N74</f>
        <v/>
      </c>
      <c r="Z74" s="23">
        <f>IF(ISNUMBER(M74),N74/MAX(M74,1),0)</f>
        <v/>
      </c>
      <c r="AA74">
        <f>P74</f>
        <v/>
      </c>
      <c r="AB74">
        <f>Q74</f>
        <v/>
      </c>
      <c r="AC74">
        <f>R74</f>
        <v/>
      </c>
      <c r="AD74">
        <f>S74</f>
        <v/>
      </c>
      <c r="AE74">
        <f>IF(ISNUMBER(SEARCH("CAPITAL FUNDING",D74)),1,0)</f>
        <v/>
      </c>
      <c r="AF74">
        <f>IF(ISNUMBER(SEARCH("MERCHANTS",D74)),1,0)</f>
        <v/>
      </c>
      <c r="AG74">
        <f>IF(ISNUMBER(SEARCH("WELLS FARGO",D74)),1,0)</f>
        <v/>
      </c>
      <c r="AH74">
        <f>IF(ISNUMBER(SEARCH("WALKER",D74)),1,0)</f>
        <v/>
      </c>
      <c r="AI74">
        <f>IF(ISNUMBER(SEARCH("PNC",D74)),1,0)</f>
        <v/>
      </c>
      <c r="AJ74">
        <f>IF(ISNUMBER(SEARCH("BERKADIA",D74)),1,0)</f>
        <v/>
      </c>
      <c r="AK74">
        <f>IF(ISNUMBER(SEARCH("DWIGHT",D74)),1,0)</f>
        <v/>
      </c>
      <c r="AL74" s="25">
        <f>T$4*(T74-T$3)</f>
        <v/>
      </c>
      <c r="AM74" s="25">
        <f>U$4*(U74-U$3)</f>
        <v/>
      </c>
      <c r="AN74" s="25">
        <f>V$4*(V74-V$3)</f>
        <v/>
      </c>
      <c r="AO74" s="25">
        <f>W$4*(W74-W$3)</f>
        <v/>
      </c>
      <c r="AP74" s="25">
        <f>X$4*(X74-X$3)</f>
        <v/>
      </c>
      <c r="AQ74" s="25">
        <f>Y$4*(Y74-Y$3)</f>
        <v/>
      </c>
      <c r="AR74" s="25">
        <f>Z$4*(Z74-Z$3)</f>
        <v/>
      </c>
      <c r="AS74" s="25">
        <f>AA$4*(AA74-AA$3)</f>
        <v/>
      </c>
      <c r="AT74" s="25">
        <f>AB$4*(AB74-AB$3)</f>
        <v/>
      </c>
      <c r="AU74" s="25">
        <f>AC$4*(AC74-AC$3)</f>
        <v/>
      </c>
      <c r="AV74" s="25">
        <f>AD$4*(AD74-AD$3)</f>
        <v/>
      </c>
      <c r="AW74" s="25">
        <f>AE$4*(AE74-AE$3)</f>
        <v/>
      </c>
      <c r="AX74" s="25">
        <f>AF$4*(AF74-AF$3)</f>
        <v/>
      </c>
      <c r="AY74" s="25">
        <f>AG$4*(AG74-AG$3)</f>
        <v/>
      </c>
      <c r="AZ74" s="25">
        <f>AH$4*(AH74-AH$3)</f>
        <v/>
      </c>
      <c r="BA74" s="25">
        <f>AI$4*(AI74-AI$3)</f>
        <v/>
      </c>
      <c r="BB74" s="25">
        <f>AJ$4*(AJ74-AJ$3)</f>
        <v/>
      </c>
      <c r="BC74" s="25">
        <f>AK$4*(AK74-AK$3)</f>
        <v/>
      </c>
      <c r="BD74" s="26">
        <f>SUM(AL74:BC74)</f>
        <v/>
      </c>
      <c r="BE74" s="26">
        <f>INTERCEPT_SCALED+BD74</f>
        <v/>
      </c>
      <c r="BF74" s="27">
        <f>1/(1+EXP(-BE74))</f>
        <v/>
      </c>
      <c r="BG74" s="13">
        <f>1-(1-BF74)^12</f>
        <v/>
      </c>
      <c r="BH74" s="13">
        <f>IFERROR(AL74/BD74*(BG74-BASELINE_CPR),0)</f>
        <v/>
      </c>
      <c r="BI74" s="13">
        <f>IFERROR(AM74/BD74*(BG74-BASELINE_CPR),0)</f>
        <v/>
      </c>
      <c r="BJ74" s="13">
        <f>IFERROR(AN74/BD74*(BG74-BASELINE_CPR),0)</f>
        <v/>
      </c>
      <c r="BK74" s="13">
        <f>IFERROR(AO74/BD74*(BG74-BASELINE_CPR),0)</f>
        <v/>
      </c>
      <c r="BL74" s="13">
        <f>IFERROR(AP74/BD74*(BG74-BASELINE_CPR),0)</f>
        <v/>
      </c>
      <c r="BM74" s="13">
        <f>IFERROR(AQ74/BD74*(BG74-BASELINE_CPR),0)</f>
        <v/>
      </c>
      <c r="BN74" s="13">
        <f>IFERROR(AR74/BD74*(BG74-BASELINE_CPR),0)</f>
        <v/>
      </c>
      <c r="BO74" s="13">
        <f>IFERROR(AS74/BD74*(BG74-BASELINE_CPR),0)</f>
        <v/>
      </c>
      <c r="BP74" s="13">
        <f>IFERROR(AT74/BD74*(BG74-BASELINE_CPR),0)</f>
        <v/>
      </c>
      <c r="BQ74" s="13">
        <f>IFERROR(AU74/BD74*(BG74-BASELINE_CPR),0)</f>
        <v/>
      </c>
      <c r="BR74" s="13">
        <f>IFERROR(AV74/BD74*(BG74-BASELINE_CPR),0)</f>
        <v/>
      </c>
      <c r="BS74" s="13">
        <f>IFERROR(AW74/BD74*(BG74-BASELINE_CPR),0)</f>
        <v/>
      </c>
      <c r="BT74" s="13">
        <f>IFERROR(AX74/BD74*(BG74-BASELINE_CPR),0)</f>
        <v/>
      </c>
      <c r="BU74" s="13">
        <f>IFERROR(AY74/BD74*(BG74-BASELINE_CPR),0)</f>
        <v/>
      </c>
      <c r="BV74" s="13">
        <f>IFERROR(AZ74/BD74*(BG74-BASELINE_CPR),0)</f>
        <v/>
      </c>
      <c r="BW74" s="13">
        <f>IFERROR(BA74/BD74*(BG74-BASELINE_CPR),0)</f>
        <v/>
      </c>
      <c r="BX74" s="13">
        <f>IFERROR(BB74/BD74*(BG74-BASELINE_CPR),0)</f>
        <v/>
      </c>
      <c r="BY74" s="13">
        <f>IFERROR(BC74/BD74*(BG74-BASELINE_CPR),0)</f>
        <v/>
      </c>
      <c r="BZ74" s="28">
        <f>BASELINE_CPR+SUM(BH74:BY74)-BG74</f>
        <v/>
      </c>
    </row>
    <row r="75">
      <c r="A75" s="2" t="inlineStr">
        <is>
          <t>3617NYVC9_000000002311566</t>
        </is>
      </c>
      <c r="B75" t="inlineStr">
        <is>
          <t>WALKER_PRE21</t>
        </is>
      </c>
      <c r="C75" s="2" t="inlineStr">
        <is>
          <t>3617NYVC9</t>
        </is>
      </c>
      <c r="D75" t="inlineStr">
        <is>
          <t>WALKER &amp; DUNLOP, LLC</t>
        </is>
      </c>
      <c r="E75" t="inlineStr">
        <is>
          <t>223f</t>
        </is>
      </c>
      <c r="F75" t="inlineStr">
        <is>
          <t>RP</t>
        </is>
      </c>
      <c r="G75" t="n">
        <v>2020</v>
      </c>
      <c r="H75" t="inlineStr">
        <is>
          <t>202602</t>
        </is>
      </c>
      <c r="I75" s="22" t="n">
        <v>13589483.51</v>
      </c>
      <c r="J75" s="23" t="n">
        <v>2.25</v>
      </c>
      <c r="K75" s="24" t="n">
        <v>447</v>
      </c>
      <c r="L75" s="24" t="n">
        <v>5</v>
      </c>
      <c r="M75" t="n">
        <v>65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s="24">
        <f>J75*100-(K75+(1+L75)*12.5)</f>
        <v/>
      </c>
      <c r="U75">
        <f>O75</f>
        <v/>
      </c>
      <c r="V75">
        <f>M75</f>
        <v/>
      </c>
      <c r="W75" s="23">
        <f>LN(1+I75)</f>
        <v/>
      </c>
      <c r="X75">
        <f>IF(G75&gt;=2021,1,0)</f>
        <v/>
      </c>
      <c r="Y75">
        <f>N75</f>
        <v/>
      </c>
      <c r="Z75" s="23">
        <f>IF(ISNUMBER(M75),N75/MAX(M75,1),0)</f>
        <v/>
      </c>
      <c r="AA75">
        <f>P75</f>
        <v/>
      </c>
      <c r="AB75">
        <f>Q75</f>
        <v/>
      </c>
      <c r="AC75">
        <f>R75</f>
        <v/>
      </c>
      <c r="AD75">
        <f>S75</f>
        <v/>
      </c>
      <c r="AE75">
        <f>IF(ISNUMBER(SEARCH("CAPITAL FUNDING",D75)),1,0)</f>
        <v/>
      </c>
      <c r="AF75">
        <f>IF(ISNUMBER(SEARCH("MERCHANTS",D75)),1,0)</f>
        <v/>
      </c>
      <c r="AG75">
        <f>IF(ISNUMBER(SEARCH("WELLS FARGO",D75)),1,0)</f>
        <v/>
      </c>
      <c r="AH75">
        <f>IF(ISNUMBER(SEARCH("WALKER",D75)),1,0)</f>
        <v/>
      </c>
      <c r="AI75">
        <f>IF(ISNUMBER(SEARCH("PNC",D75)),1,0)</f>
        <v/>
      </c>
      <c r="AJ75">
        <f>IF(ISNUMBER(SEARCH("BERKADIA",D75)),1,0)</f>
        <v/>
      </c>
      <c r="AK75">
        <f>IF(ISNUMBER(SEARCH("DWIGHT",D75)),1,0)</f>
        <v/>
      </c>
      <c r="AL75" s="25">
        <f>T$4*(T75-T$3)</f>
        <v/>
      </c>
      <c r="AM75" s="25">
        <f>U$4*(U75-U$3)</f>
        <v/>
      </c>
      <c r="AN75" s="25">
        <f>V$4*(V75-V$3)</f>
        <v/>
      </c>
      <c r="AO75" s="25">
        <f>W$4*(W75-W$3)</f>
        <v/>
      </c>
      <c r="AP75" s="25">
        <f>X$4*(X75-X$3)</f>
        <v/>
      </c>
      <c r="AQ75" s="25">
        <f>Y$4*(Y75-Y$3)</f>
        <v/>
      </c>
      <c r="AR75" s="25">
        <f>Z$4*(Z75-Z$3)</f>
        <v/>
      </c>
      <c r="AS75" s="25">
        <f>AA$4*(AA75-AA$3)</f>
        <v/>
      </c>
      <c r="AT75" s="25">
        <f>AB$4*(AB75-AB$3)</f>
        <v/>
      </c>
      <c r="AU75" s="25">
        <f>AC$4*(AC75-AC$3)</f>
        <v/>
      </c>
      <c r="AV75" s="25">
        <f>AD$4*(AD75-AD$3)</f>
        <v/>
      </c>
      <c r="AW75" s="25">
        <f>AE$4*(AE75-AE$3)</f>
        <v/>
      </c>
      <c r="AX75" s="25">
        <f>AF$4*(AF75-AF$3)</f>
        <v/>
      </c>
      <c r="AY75" s="25">
        <f>AG$4*(AG75-AG$3)</f>
        <v/>
      </c>
      <c r="AZ75" s="25">
        <f>AH$4*(AH75-AH$3)</f>
        <v/>
      </c>
      <c r="BA75" s="25">
        <f>AI$4*(AI75-AI$3)</f>
        <v/>
      </c>
      <c r="BB75" s="25">
        <f>AJ$4*(AJ75-AJ$3)</f>
        <v/>
      </c>
      <c r="BC75" s="25">
        <f>AK$4*(AK75-AK$3)</f>
        <v/>
      </c>
      <c r="BD75" s="26">
        <f>SUM(AL75:BC75)</f>
        <v/>
      </c>
      <c r="BE75" s="26">
        <f>INTERCEPT_SCALED+BD75</f>
        <v/>
      </c>
      <c r="BF75" s="27">
        <f>1/(1+EXP(-BE75))</f>
        <v/>
      </c>
      <c r="BG75" s="13">
        <f>1-(1-BF75)^12</f>
        <v/>
      </c>
      <c r="BH75" s="13">
        <f>IFERROR(AL75/BD75*(BG75-BASELINE_CPR),0)</f>
        <v/>
      </c>
      <c r="BI75" s="13">
        <f>IFERROR(AM75/BD75*(BG75-BASELINE_CPR),0)</f>
        <v/>
      </c>
      <c r="BJ75" s="13">
        <f>IFERROR(AN75/BD75*(BG75-BASELINE_CPR),0)</f>
        <v/>
      </c>
      <c r="BK75" s="13">
        <f>IFERROR(AO75/BD75*(BG75-BASELINE_CPR),0)</f>
        <v/>
      </c>
      <c r="BL75" s="13">
        <f>IFERROR(AP75/BD75*(BG75-BASELINE_CPR),0)</f>
        <v/>
      </c>
      <c r="BM75" s="13">
        <f>IFERROR(AQ75/BD75*(BG75-BASELINE_CPR),0)</f>
        <v/>
      </c>
      <c r="BN75" s="13">
        <f>IFERROR(AR75/BD75*(BG75-BASELINE_CPR),0)</f>
        <v/>
      </c>
      <c r="BO75" s="13">
        <f>IFERROR(AS75/BD75*(BG75-BASELINE_CPR),0)</f>
        <v/>
      </c>
      <c r="BP75" s="13">
        <f>IFERROR(AT75/BD75*(BG75-BASELINE_CPR),0)</f>
        <v/>
      </c>
      <c r="BQ75" s="13">
        <f>IFERROR(AU75/BD75*(BG75-BASELINE_CPR),0)</f>
        <v/>
      </c>
      <c r="BR75" s="13">
        <f>IFERROR(AV75/BD75*(BG75-BASELINE_CPR),0)</f>
        <v/>
      </c>
      <c r="BS75" s="13">
        <f>IFERROR(AW75/BD75*(BG75-BASELINE_CPR),0)</f>
        <v/>
      </c>
      <c r="BT75" s="13">
        <f>IFERROR(AX75/BD75*(BG75-BASELINE_CPR),0)</f>
        <v/>
      </c>
      <c r="BU75" s="13">
        <f>IFERROR(AY75/BD75*(BG75-BASELINE_CPR),0)</f>
        <v/>
      </c>
      <c r="BV75" s="13">
        <f>IFERROR(AZ75/BD75*(BG75-BASELINE_CPR),0)</f>
        <v/>
      </c>
      <c r="BW75" s="13">
        <f>IFERROR(BA75/BD75*(BG75-BASELINE_CPR),0)</f>
        <v/>
      </c>
      <c r="BX75" s="13">
        <f>IFERROR(BB75/BD75*(BG75-BASELINE_CPR),0)</f>
        <v/>
      </c>
      <c r="BY75" s="13">
        <f>IFERROR(BC75/BD75*(BG75-BASELINE_CPR),0)</f>
        <v/>
      </c>
      <c r="BZ75" s="28">
        <f>BASELINE_CPR+SUM(BH75:BY75)-BG75</f>
        <v/>
      </c>
    </row>
    <row r="76">
      <c r="A76" s="2" t="inlineStr">
        <is>
          <t>3617N1EE6_000000004211125</t>
        </is>
      </c>
      <c r="B76" t="inlineStr">
        <is>
          <t>WALKER_PRE21</t>
        </is>
      </c>
      <c r="C76" s="2" t="inlineStr">
        <is>
          <t>3617N1EE6</t>
        </is>
      </c>
      <c r="D76" t="inlineStr">
        <is>
          <t>WALKER &amp; DUNLOP, LLC</t>
        </is>
      </c>
      <c r="E76" t="inlineStr">
        <is>
          <t>223f</t>
        </is>
      </c>
      <c r="F76" t="inlineStr">
        <is>
          <t>RP</t>
        </is>
      </c>
      <c r="G76" t="n">
        <v>2009</v>
      </c>
      <c r="H76" t="inlineStr">
        <is>
          <t>202602</t>
        </is>
      </c>
      <c r="I76" s="22" t="n">
        <v>2401815.05</v>
      </c>
      <c r="J76" s="23" t="n">
        <v>3.65</v>
      </c>
      <c r="K76" s="24" t="n">
        <v>447</v>
      </c>
      <c r="L76" s="24" t="n">
        <v>5</v>
      </c>
      <c r="M76" t="n">
        <v>203</v>
      </c>
      <c r="N76" t="n">
        <v>21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s="24">
        <f>J76*100-(K76+(1+L76)*12.5)</f>
        <v/>
      </c>
      <c r="U76">
        <f>O76</f>
        <v/>
      </c>
      <c r="V76">
        <f>M76</f>
        <v/>
      </c>
      <c r="W76" s="23">
        <f>LN(1+I76)</f>
        <v/>
      </c>
      <c r="X76">
        <f>IF(G76&gt;=2021,1,0)</f>
        <v/>
      </c>
      <c r="Y76">
        <f>N76</f>
        <v/>
      </c>
      <c r="Z76" s="23">
        <f>IF(ISNUMBER(M76),N76/MAX(M76,1),0)</f>
        <v/>
      </c>
      <c r="AA76">
        <f>P76</f>
        <v/>
      </c>
      <c r="AB76">
        <f>Q76</f>
        <v/>
      </c>
      <c r="AC76">
        <f>R76</f>
        <v/>
      </c>
      <c r="AD76">
        <f>S76</f>
        <v/>
      </c>
      <c r="AE76">
        <f>IF(ISNUMBER(SEARCH("CAPITAL FUNDING",D76)),1,0)</f>
        <v/>
      </c>
      <c r="AF76">
        <f>IF(ISNUMBER(SEARCH("MERCHANTS",D76)),1,0)</f>
        <v/>
      </c>
      <c r="AG76">
        <f>IF(ISNUMBER(SEARCH("WELLS FARGO",D76)),1,0)</f>
        <v/>
      </c>
      <c r="AH76">
        <f>IF(ISNUMBER(SEARCH("WALKER",D76)),1,0)</f>
        <v/>
      </c>
      <c r="AI76">
        <f>IF(ISNUMBER(SEARCH("PNC",D76)),1,0)</f>
        <v/>
      </c>
      <c r="AJ76">
        <f>IF(ISNUMBER(SEARCH("BERKADIA",D76)),1,0)</f>
        <v/>
      </c>
      <c r="AK76">
        <f>IF(ISNUMBER(SEARCH("DWIGHT",D76)),1,0)</f>
        <v/>
      </c>
      <c r="AL76" s="25">
        <f>T$4*(T76-T$3)</f>
        <v/>
      </c>
      <c r="AM76" s="25">
        <f>U$4*(U76-U$3)</f>
        <v/>
      </c>
      <c r="AN76" s="25">
        <f>V$4*(V76-V$3)</f>
        <v/>
      </c>
      <c r="AO76" s="25">
        <f>W$4*(W76-W$3)</f>
        <v/>
      </c>
      <c r="AP76" s="25">
        <f>X$4*(X76-X$3)</f>
        <v/>
      </c>
      <c r="AQ76" s="25">
        <f>Y$4*(Y76-Y$3)</f>
        <v/>
      </c>
      <c r="AR76" s="25">
        <f>Z$4*(Z76-Z$3)</f>
        <v/>
      </c>
      <c r="AS76" s="25">
        <f>AA$4*(AA76-AA$3)</f>
        <v/>
      </c>
      <c r="AT76" s="25">
        <f>AB$4*(AB76-AB$3)</f>
        <v/>
      </c>
      <c r="AU76" s="25">
        <f>AC$4*(AC76-AC$3)</f>
        <v/>
      </c>
      <c r="AV76" s="25">
        <f>AD$4*(AD76-AD$3)</f>
        <v/>
      </c>
      <c r="AW76" s="25">
        <f>AE$4*(AE76-AE$3)</f>
        <v/>
      </c>
      <c r="AX76" s="25">
        <f>AF$4*(AF76-AF$3)</f>
        <v/>
      </c>
      <c r="AY76" s="25">
        <f>AG$4*(AG76-AG$3)</f>
        <v/>
      </c>
      <c r="AZ76" s="25">
        <f>AH$4*(AH76-AH$3)</f>
        <v/>
      </c>
      <c r="BA76" s="25">
        <f>AI$4*(AI76-AI$3)</f>
        <v/>
      </c>
      <c r="BB76" s="25">
        <f>AJ$4*(AJ76-AJ$3)</f>
        <v/>
      </c>
      <c r="BC76" s="25">
        <f>AK$4*(AK76-AK$3)</f>
        <v/>
      </c>
      <c r="BD76" s="26">
        <f>SUM(AL76:BC76)</f>
        <v/>
      </c>
      <c r="BE76" s="26">
        <f>INTERCEPT_SCALED+BD76</f>
        <v/>
      </c>
      <c r="BF76" s="27">
        <f>1/(1+EXP(-BE76))</f>
        <v/>
      </c>
      <c r="BG76" s="13">
        <f>1-(1-BF76)^12</f>
        <v/>
      </c>
      <c r="BH76" s="13">
        <f>IFERROR(AL76/BD76*(BG76-BASELINE_CPR),0)</f>
        <v/>
      </c>
      <c r="BI76" s="13">
        <f>IFERROR(AM76/BD76*(BG76-BASELINE_CPR),0)</f>
        <v/>
      </c>
      <c r="BJ76" s="13">
        <f>IFERROR(AN76/BD76*(BG76-BASELINE_CPR),0)</f>
        <v/>
      </c>
      <c r="BK76" s="13">
        <f>IFERROR(AO76/BD76*(BG76-BASELINE_CPR),0)</f>
        <v/>
      </c>
      <c r="BL76" s="13">
        <f>IFERROR(AP76/BD76*(BG76-BASELINE_CPR),0)</f>
        <v/>
      </c>
      <c r="BM76" s="13">
        <f>IFERROR(AQ76/BD76*(BG76-BASELINE_CPR),0)</f>
        <v/>
      </c>
      <c r="BN76" s="13">
        <f>IFERROR(AR76/BD76*(BG76-BASELINE_CPR),0)</f>
        <v/>
      </c>
      <c r="BO76" s="13">
        <f>IFERROR(AS76/BD76*(BG76-BASELINE_CPR),0)</f>
        <v/>
      </c>
      <c r="BP76" s="13">
        <f>IFERROR(AT76/BD76*(BG76-BASELINE_CPR),0)</f>
        <v/>
      </c>
      <c r="BQ76" s="13">
        <f>IFERROR(AU76/BD76*(BG76-BASELINE_CPR),0)</f>
        <v/>
      </c>
      <c r="BR76" s="13">
        <f>IFERROR(AV76/BD76*(BG76-BASELINE_CPR),0)</f>
        <v/>
      </c>
      <c r="BS76" s="13">
        <f>IFERROR(AW76/BD76*(BG76-BASELINE_CPR),0)</f>
        <v/>
      </c>
      <c r="BT76" s="13">
        <f>IFERROR(AX76/BD76*(BG76-BASELINE_CPR),0)</f>
        <v/>
      </c>
      <c r="BU76" s="13">
        <f>IFERROR(AY76/BD76*(BG76-BASELINE_CPR),0)</f>
        <v/>
      </c>
      <c r="BV76" s="13">
        <f>IFERROR(AZ76/BD76*(BG76-BASELINE_CPR),0)</f>
        <v/>
      </c>
      <c r="BW76" s="13">
        <f>IFERROR(BA76/BD76*(BG76-BASELINE_CPR),0)</f>
        <v/>
      </c>
      <c r="BX76" s="13">
        <f>IFERROR(BB76/BD76*(BG76-BASELINE_CPR),0)</f>
        <v/>
      </c>
      <c r="BY76" s="13">
        <f>IFERROR(BC76/BD76*(BG76-BASELINE_CPR),0)</f>
        <v/>
      </c>
      <c r="BZ76" s="28">
        <f>BASELINE_CPR+SUM(BH76:BY76)-BG76</f>
        <v/>
      </c>
    </row>
    <row r="77">
      <c r="A77" s="2" t="inlineStr">
        <is>
          <t>3617UDKP0_000000007111196</t>
        </is>
      </c>
      <c r="B77" t="inlineStr">
        <is>
          <t>WALKER_PRE21</t>
        </is>
      </c>
      <c r="C77" s="2" t="inlineStr">
        <is>
          <t>3617UDKP0</t>
        </is>
      </c>
      <c r="D77" t="inlineStr">
        <is>
          <t>WALKER &amp; DUNLOP, LLC</t>
        </is>
      </c>
      <c r="E77" t="inlineStr">
        <is>
          <t>223f</t>
        </is>
      </c>
      <c r="F77" t="inlineStr">
        <is>
          <t>RP</t>
        </is>
      </c>
      <c r="G77" t="n">
        <v>2010</v>
      </c>
      <c r="H77" t="inlineStr">
        <is>
          <t>202602</t>
        </is>
      </c>
      <c r="I77" s="22" t="n">
        <v>3458376.57</v>
      </c>
      <c r="J77" s="23" t="n">
        <v>3.49</v>
      </c>
      <c r="K77" s="24" t="n">
        <v>447</v>
      </c>
      <c r="L77" s="24" t="n">
        <v>6</v>
      </c>
      <c r="M77" t="n">
        <v>190</v>
      </c>
      <c r="N77" t="n">
        <v>12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s="24">
        <f>J77*100-(K77+(1+L77)*12.5)</f>
        <v/>
      </c>
      <c r="U77">
        <f>O77</f>
        <v/>
      </c>
      <c r="V77">
        <f>M77</f>
        <v/>
      </c>
      <c r="W77" s="23">
        <f>LN(1+I77)</f>
        <v/>
      </c>
      <c r="X77">
        <f>IF(G77&gt;=2021,1,0)</f>
        <v/>
      </c>
      <c r="Y77">
        <f>N77</f>
        <v/>
      </c>
      <c r="Z77" s="23">
        <f>IF(ISNUMBER(M77),N77/MAX(M77,1),0)</f>
        <v/>
      </c>
      <c r="AA77">
        <f>P77</f>
        <v/>
      </c>
      <c r="AB77">
        <f>Q77</f>
        <v/>
      </c>
      <c r="AC77">
        <f>R77</f>
        <v/>
      </c>
      <c r="AD77">
        <f>S77</f>
        <v/>
      </c>
      <c r="AE77">
        <f>IF(ISNUMBER(SEARCH("CAPITAL FUNDING",D77)),1,0)</f>
        <v/>
      </c>
      <c r="AF77">
        <f>IF(ISNUMBER(SEARCH("MERCHANTS",D77)),1,0)</f>
        <v/>
      </c>
      <c r="AG77">
        <f>IF(ISNUMBER(SEARCH("WELLS FARGO",D77)),1,0)</f>
        <v/>
      </c>
      <c r="AH77">
        <f>IF(ISNUMBER(SEARCH("WALKER",D77)),1,0)</f>
        <v/>
      </c>
      <c r="AI77">
        <f>IF(ISNUMBER(SEARCH("PNC",D77)),1,0)</f>
        <v/>
      </c>
      <c r="AJ77">
        <f>IF(ISNUMBER(SEARCH("BERKADIA",D77)),1,0)</f>
        <v/>
      </c>
      <c r="AK77">
        <f>IF(ISNUMBER(SEARCH("DWIGHT",D77)),1,0)</f>
        <v/>
      </c>
      <c r="AL77" s="25">
        <f>T$4*(T77-T$3)</f>
        <v/>
      </c>
      <c r="AM77" s="25">
        <f>U$4*(U77-U$3)</f>
        <v/>
      </c>
      <c r="AN77" s="25">
        <f>V$4*(V77-V$3)</f>
        <v/>
      </c>
      <c r="AO77" s="25">
        <f>W$4*(W77-W$3)</f>
        <v/>
      </c>
      <c r="AP77" s="25">
        <f>X$4*(X77-X$3)</f>
        <v/>
      </c>
      <c r="AQ77" s="25">
        <f>Y$4*(Y77-Y$3)</f>
        <v/>
      </c>
      <c r="AR77" s="25">
        <f>Z$4*(Z77-Z$3)</f>
        <v/>
      </c>
      <c r="AS77" s="25">
        <f>AA$4*(AA77-AA$3)</f>
        <v/>
      </c>
      <c r="AT77" s="25">
        <f>AB$4*(AB77-AB$3)</f>
        <v/>
      </c>
      <c r="AU77" s="25">
        <f>AC$4*(AC77-AC$3)</f>
        <v/>
      </c>
      <c r="AV77" s="25">
        <f>AD$4*(AD77-AD$3)</f>
        <v/>
      </c>
      <c r="AW77" s="25">
        <f>AE$4*(AE77-AE$3)</f>
        <v/>
      </c>
      <c r="AX77" s="25">
        <f>AF$4*(AF77-AF$3)</f>
        <v/>
      </c>
      <c r="AY77" s="25">
        <f>AG$4*(AG77-AG$3)</f>
        <v/>
      </c>
      <c r="AZ77" s="25">
        <f>AH$4*(AH77-AH$3)</f>
        <v/>
      </c>
      <c r="BA77" s="25">
        <f>AI$4*(AI77-AI$3)</f>
        <v/>
      </c>
      <c r="BB77" s="25">
        <f>AJ$4*(AJ77-AJ$3)</f>
        <v/>
      </c>
      <c r="BC77" s="25">
        <f>AK$4*(AK77-AK$3)</f>
        <v/>
      </c>
      <c r="BD77" s="26">
        <f>SUM(AL77:BC77)</f>
        <v/>
      </c>
      <c r="BE77" s="26">
        <f>INTERCEPT_SCALED+BD77</f>
        <v/>
      </c>
      <c r="BF77" s="27">
        <f>1/(1+EXP(-BE77))</f>
        <v/>
      </c>
      <c r="BG77" s="13">
        <f>1-(1-BF77)^12</f>
        <v/>
      </c>
      <c r="BH77" s="13">
        <f>IFERROR(AL77/BD77*(BG77-BASELINE_CPR),0)</f>
        <v/>
      </c>
      <c r="BI77" s="13">
        <f>IFERROR(AM77/BD77*(BG77-BASELINE_CPR),0)</f>
        <v/>
      </c>
      <c r="BJ77" s="13">
        <f>IFERROR(AN77/BD77*(BG77-BASELINE_CPR),0)</f>
        <v/>
      </c>
      <c r="BK77" s="13">
        <f>IFERROR(AO77/BD77*(BG77-BASELINE_CPR),0)</f>
        <v/>
      </c>
      <c r="BL77" s="13">
        <f>IFERROR(AP77/BD77*(BG77-BASELINE_CPR),0)</f>
        <v/>
      </c>
      <c r="BM77" s="13">
        <f>IFERROR(AQ77/BD77*(BG77-BASELINE_CPR),0)</f>
        <v/>
      </c>
      <c r="BN77" s="13">
        <f>IFERROR(AR77/BD77*(BG77-BASELINE_CPR),0)</f>
        <v/>
      </c>
      <c r="BO77" s="13">
        <f>IFERROR(AS77/BD77*(BG77-BASELINE_CPR),0)</f>
        <v/>
      </c>
      <c r="BP77" s="13">
        <f>IFERROR(AT77/BD77*(BG77-BASELINE_CPR),0)</f>
        <v/>
      </c>
      <c r="BQ77" s="13">
        <f>IFERROR(AU77/BD77*(BG77-BASELINE_CPR),0)</f>
        <v/>
      </c>
      <c r="BR77" s="13">
        <f>IFERROR(AV77/BD77*(BG77-BASELINE_CPR),0)</f>
        <v/>
      </c>
      <c r="BS77" s="13">
        <f>IFERROR(AW77/BD77*(BG77-BASELINE_CPR),0)</f>
        <v/>
      </c>
      <c r="BT77" s="13">
        <f>IFERROR(AX77/BD77*(BG77-BASELINE_CPR),0)</f>
        <v/>
      </c>
      <c r="BU77" s="13">
        <f>IFERROR(AY77/BD77*(BG77-BASELINE_CPR),0)</f>
        <v/>
      </c>
      <c r="BV77" s="13">
        <f>IFERROR(AZ77/BD77*(BG77-BASELINE_CPR),0)</f>
        <v/>
      </c>
      <c r="BW77" s="13">
        <f>IFERROR(BA77/BD77*(BG77-BASELINE_CPR),0)</f>
        <v/>
      </c>
      <c r="BX77" s="13">
        <f>IFERROR(BB77/BD77*(BG77-BASELINE_CPR),0)</f>
        <v/>
      </c>
      <c r="BY77" s="13">
        <f>IFERROR(BC77/BD77*(BG77-BASELINE_CPR),0)</f>
        <v/>
      </c>
      <c r="BZ77" s="28">
        <f>BASELINE_CPR+SUM(BH77:BY77)-BG77</f>
        <v/>
      </c>
    </row>
    <row r="78">
      <c r="A78" s="2" t="inlineStr">
        <is>
          <t>36179ARA6_000000010222049</t>
        </is>
      </c>
      <c r="B78" t="inlineStr">
        <is>
          <t>WALKER_PRE21</t>
        </is>
      </c>
      <c r="C78" s="2" t="inlineStr">
        <is>
          <t>36179ARA6</t>
        </is>
      </c>
      <c r="D78" t="inlineStr">
        <is>
          <t>WALKER &amp; DUNLOP, LLC</t>
        </is>
      </c>
      <c r="E78" t="inlineStr">
        <is>
          <t>232</t>
        </is>
      </c>
      <c r="F78" t="inlineStr">
        <is>
          <t>RP</t>
        </is>
      </c>
      <c r="G78" t="n">
        <v>2012</v>
      </c>
      <c r="H78" t="inlineStr">
        <is>
          <t>202602</t>
        </is>
      </c>
      <c r="I78" s="22" t="n">
        <v>9942041.35</v>
      </c>
      <c r="J78" s="23" t="n">
        <v>3.35</v>
      </c>
      <c r="K78" s="24" t="n">
        <v>447</v>
      </c>
      <c r="L78" s="24" t="n">
        <v>0</v>
      </c>
      <c r="M78" t="n">
        <v>158</v>
      </c>
      <c r="N78" t="n">
        <v>32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s="24">
        <f>J78*100-(K78+(1+L78)*12.5)</f>
        <v/>
      </c>
      <c r="U78">
        <f>O78</f>
        <v/>
      </c>
      <c r="V78">
        <f>M78</f>
        <v/>
      </c>
      <c r="W78" s="23">
        <f>LN(1+I78)</f>
        <v/>
      </c>
      <c r="X78">
        <f>IF(G78&gt;=2021,1,0)</f>
        <v/>
      </c>
      <c r="Y78">
        <f>N78</f>
        <v/>
      </c>
      <c r="Z78" s="23">
        <f>IF(ISNUMBER(M78),N78/MAX(M78,1),0)</f>
        <v/>
      </c>
      <c r="AA78">
        <f>P78</f>
        <v/>
      </c>
      <c r="AB78">
        <f>Q78</f>
        <v/>
      </c>
      <c r="AC78">
        <f>R78</f>
        <v/>
      </c>
      <c r="AD78">
        <f>S78</f>
        <v/>
      </c>
      <c r="AE78">
        <f>IF(ISNUMBER(SEARCH("CAPITAL FUNDING",D78)),1,0)</f>
        <v/>
      </c>
      <c r="AF78">
        <f>IF(ISNUMBER(SEARCH("MERCHANTS",D78)),1,0)</f>
        <v/>
      </c>
      <c r="AG78">
        <f>IF(ISNUMBER(SEARCH("WELLS FARGO",D78)),1,0)</f>
        <v/>
      </c>
      <c r="AH78">
        <f>IF(ISNUMBER(SEARCH("WALKER",D78)),1,0)</f>
        <v/>
      </c>
      <c r="AI78">
        <f>IF(ISNUMBER(SEARCH("PNC",D78)),1,0)</f>
        <v/>
      </c>
      <c r="AJ78">
        <f>IF(ISNUMBER(SEARCH("BERKADIA",D78)),1,0)</f>
        <v/>
      </c>
      <c r="AK78">
        <f>IF(ISNUMBER(SEARCH("DWIGHT",D78)),1,0)</f>
        <v/>
      </c>
      <c r="AL78" s="25">
        <f>T$4*(T78-T$3)</f>
        <v/>
      </c>
      <c r="AM78" s="25">
        <f>U$4*(U78-U$3)</f>
        <v/>
      </c>
      <c r="AN78" s="25">
        <f>V$4*(V78-V$3)</f>
        <v/>
      </c>
      <c r="AO78" s="25">
        <f>W$4*(W78-W$3)</f>
        <v/>
      </c>
      <c r="AP78" s="25">
        <f>X$4*(X78-X$3)</f>
        <v/>
      </c>
      <c r="AQ78" s="25">
        <f>Y$4*(Y78-Y$3)</f>
        <v/>
      </c>
      <c r="AR78" s="25">
        <f>Z$4*(Z78-Z$3)</f>
        <v/>
      </c>
      <c r="AS78" s="25">
        <f>AA$4*(AA78-AA$3)</f>
        <v/>
      </c>
      <c r="AT78" s="25">
        <f>AB$4*(AB78-AB$3)</f>
        <v/>
      </c>
      <c r="AU78" s="25">
        <f>AC$4*(AC78-AC$3)</f>
        <v/>
      </c>
      <c r="AV78" s="25">
        <f>AD$4*(AD78-AD$3)</f>
        <v/>
      </c>
      <c r="AW78" s="25">
        <f>AE$4*(AE78-AE$3)</f>
        <v/>
      </c>
      <c r="AX78" s="25">
        <f>AF$4*(AF78-AF$3)</f>
        <v/>
      </c>
      <c r="AY78" s="25">
        <f>AG$4*(AG78-AG$3)</f>
        <v/>
      </c>
      <c r="AZ78" s="25">
        <f>AH$4*(AH78-AH$3)</f>
        <v/>
      </c>
      <c r="BA78" s="25">
        <f>AI$4*(AI78-AI$3)</f>
        <v/>
      </c>
      <c r="BB78" s="25">
        <f>AJ$4*(AJ78-AJ$3)</f>
        <v/>
      </c>
      <c r="BC78" s="25">
        <f>AK$4*(AK78-AK$3)</f>
        <v/>
      </c>
      <c r="BD78" s="26">
        <f>SUM(AL78:BC78)</f>
        <v/>
      </c>
      <c r="BE78" s="26">
        <f>INTERCEPT_SCALED+BD78</f>
        <v/>
      </c>
      <c r="BF78" s="27">
        <f>1/(1+EXP(-BE78))</f>
        <v/>
      </c>
      <c r="BG78" s="13">
        <f>1-(1-BF78)^12</f>
        <v/>
      </c>
      <c r="BH78" s="13">
        <f>IFERROR(AL78/BD78*(BG78-BASELINE_CPR),0)</f>
        <v/>
      </c>
      <c r="BI78" s="13">
        <f>IFERROR(AM78/BD78*(BG78-BASELINE_CPR),0)</f>
        <v/>
      </c>
      <c r="BJ78" s="13">
        <f>IFERROR(AN78/BD78*(BG78-BASELINE_CPR),0)</f>
        <v/>
      </c>
      <c r="BK78" s="13">
        <f>IFERROR(AO78/BD78*(BG78-BASELINE_CPR),0)</f>
        <v/>
      </c>
      <c r="BL78" s="13">
        <f>IFERROR(AP78/BD78*(BG78-BASELINE_CPR),0)</f>
        <v/>
      </c>
      <c r="BM78" s="13">
        <f>IFERROR(AQ78/BD78*(BG78-BASELINE_CPR),0)</f>
        <v/>
      </c>
      <c r="BN78" s="13">
        <f>IFERROR(AR78/BD78*(BG78-BASELINE_CPR),0)</f>
        <v/>
      </c>
      <c r="BO78" s="13">
        <f>IFERROR(AS78/BD78*(BG78-BASELINE_CPR),0)</f>
        <v/>
      </c>
      <c r="BP78" s="13">
        <f>IFERROR(AT78/BD78*(BG78-BASELINE_CPR),0)</f>
        <v/>
      </c>
      <c r="BQ78" s="13">
        <f>IFERROR(AU78/BD78*(BG78-BASELINE_CPR),0)</f>
        <v/>
      </c>
      <c r="BR78" s="13">
        <f>IFERROR(AV78/BD78*(BG78-BASELINE_CPR),0)</f>
        <v/>
      </c>
      <c r="BS78" s="13">
        <f>IFERROR(AW78/BD78*(BG78-BASELINE_CPR),0)</f>
        <v/>
      </c>
      <c r="BT78" s="13">
        <f>IFERROR(AX78/BD78*(BG78-BASELINE_CPR),0)</f>
        <v/>
      </c>
      <c r="BU78" s="13">
        <f>IFERROR(AY78/BD78*(BG78-BASELINE_CPR),0)</f>
        <v/>
      </c>
      <c r="BV78" s="13">
        <f>IFERROR(AZ78/BD78*(BG78-BASELINE_CPR),0)</f>
        <v/>
      </c>
      <c r="BW78" s="13">
        <f>IFERROR(BA78/BD78*(BG78-BASELINE_CPR),0)</f>
        <v/>
      </c>
      <c r="BX78" s="13">
        <f>IFERROR(BB78/BD78*(BG78-BASELINE_CPR),0)</f>
        <v/>
      </c>
      <c r="BY78" s="13">
        <f>IFERROR(BC78/BD78*(BG78-BASELINE_CPR),0)</f>
        <v/>
      </c>
      <c r="BZ78" s="28">
        <f>BASELINE_CPR+SUM(BH78:BY78)-BG78</f>
        <v/>
      </c>
    </row>
    <row r="79">
      <c r="A79" s="2" t="inlineStr">
        <is>
          <t>36200EL25_000000001711151</t>
        </is>
      </c>
      <c r="B79" t="inlineStr">
        <is>
          <t>WALKER_PRE21</t>
        </is>
      </c>
      <c r="C79" s="2" t="inlineStr">
        <is>
          <t>36200EL25</t>
        </is>
      </c>
      <c r="D79" t="inlineStr">
        <is>
          <t>WALKER &amp; DUNLOP, LLC</t>
        </is>
      </c>
      <c r="E79" t="inlineStr">
        <is>
          <t>223f</t>
        </is>
      </c>
      <c r="F79" t="inlineStr">
        <is>
          <t>RP</t>
        </is>
      </c>
      <c r="G79" t="n">
        <v>2012</v>
      </c>
      <c r="H79" t="inlineStr">
        <is>
          <t>202602</t>
        </is>
      </c>
      <c r="I79" s="22" t="n">
        <v>1567346.24</v>
      </c>
      <c r="J79" s="23" t="n">
        <v>3.33</v>
      </c>
      <c r="K79" s="24" t="n">
        <v>447</v>
      </c>
      <c r="L79" s="24" t="n">
        <v>0</v>
      </c>
      <c r="M79" t="n">
        <v>167</v>
      </c>
      <c r="N79" t="n">
        <v>35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s="24">
        <f>J79*100-(K79+(1+L79)*12.5)</f>
        <v/>
      </c>
      <c r="U79">
        <f>O79</f>
        <v/>
      </c>
      <c r="V79">
        <f>M79</f>
        <v/>
      </c>
      <c r="W79" s="23">
        <f>LN(1+I79)</f>
        <v/>
      </c>
      <c r="X79">
        <f>IF(G79&gt;=2021,1,0)</f>
        <v/>
      </c>
      <c r="Y79">
        <f>N79</f>
        <v/>
      </c>
      <c r="Z79" s="23">
        <f>IF(ISNUMBER(M79),N79/MAX(M79,1),0)</f>
        <v/>
      </c>
      <c r="AA79">
        <f>P79</f>
        <v/>
      </c>
      <c r="AB79">
        <f>Q79</f>
        <v/>
      </c>
      <c r="AC79">
        <f>R79</f>
        <v/>
      </c>
      <c r="AD79">
        <f>S79</f>
        <v/>
      </c>
      <c r="AE79">
        <f>IF(ISNUMBER(SEARCH("CAPITAL FUNDING",D79)),1,0)</f>
        <v/>
      </c>
      <c r="AF79">
        <f>IF(ISNUMBER(SEARCH("MERCHANTS",D79)),1,0)</f>
        <v/>
      </c>
      <c r="AG79">
        <f>IF(ISNUMBER(SEARCH("WELLS FARGO",D79)),1,0)</f>
        <v/>
      </c>
      <c r="AH79">
        <f>IF(ISNUMBER(SEARCH("WALKER",D79)),1,0)</f>
        <v/>
      </c>
      <c r="AI79">
        <f>IF(ISNUMBER(SEARCH("PNC",D79)),1,0)</f>
        <v/>
      </c>
      <c r="AJ79">
        <f>IF(ISNUMBER(SEARCH("BERKADIA",D79)),1,0)</f>
        <v/>
      </c>
      <c r="AK79">
        <f>IF(ISNUMBER(SEARCH("DWIGHT",D79)),1,0)</f>
        <v/>
      </c>
      <c r="AL79" s="25">
        <f>T$4*(T79-T$3)</f>
        <v/>
      </c>
      <c r="AM79" s="25">
        <f>U$4*(U79-U$3)</f>
        <v/>
      </c>
      <c r="AN79" s="25">
        <f>V$4*(V79-V$3)</f>
        <v/>
      </c>
      <c r="AO79" s="25">
        <f>W$4*(W79-W$3)</f>
        <v/>
      </c>
      <c r="AP79" s="25">
        <f>X$4*(X79-X$3)</f>
        <v/>
      </c>
      <c r="AQ79" s="25">
        <f>Y$4*(Y79-Y$3)</f>
        <v/>
      </c>
      <c r="AR79" s="25">
        <f>Z$4*(Z79-Z$3)</f>
        <v/>
      </c>
      <c r="AS79" s="25">
        <f>AA$4*(AA79-AA$3)</f>
        <v/>
      </c>
      <c r="AT79" s="25">
        <f>AB$4*(AB79-AB$3)</f>
        <v/>
      </c>
      <c r="AU79" s="25">
        <f>AC$4*(AC79-AC$3)</f>
        <v/>
      </c>
      <c r="AV79" s="25">
        <f>AD$4*(AD79-AD$3)</f>
        <v/>
      </c>
      <c r="AW79" s="25">
        <f>AE$4*(AE79-AE$3)</f>
        <v/>
      </c>
      <c r="AX79" s="25">
        <f>AF$4*(AF79-AF$3)</f>
        <v/>
      </c>
      <c r="AY79" s="25">
        <f>AG$4*(AG79-AG$3)</f>
        <v/>
      </c>
      <c r="AZ79" s="25">
        <f>AH$4*(AH79-AH$3)</f>
        <v/>
      </c>
      <c r="BA79" s="25">
        <f>AI$4*(AI79-AI$3)</f>
        <v/>
      </c>
      <c r="BB79" s="25">
        <f>AJ$4*(AJ79-AJ$3)</f>
        <v/>
      </c>
      <c r="BC79" s="25">
        <f>AK$4*(AK79-AK$3)</f>
        <v/>
      </c>
      <c r="BD79" s="26">
        <f>SUM(AL79:BC79)</f>
        <v/>
      </c>
      <c r="BE79" s="26">
        <f>INTERCEPT_SCALED+BD79</f>
        <v/>
      </c>
      <c r="BF79" s="27">
        <f>1/(1+EXP(-BE79))</f>
        <v/>
      </c>
      <c r="BG79" s="13">
        <f>1-(1-BF79)^12</f>
        <v/>
      </c>
      <c r="BH79" s="13">
        <f>IFERROR(AL79/BD79*(BG79-BASELINE_CPR),0)</f>
        <v/>
      </c>
      <c r="BI79" s="13">
        <f>IFERROR(AM79/BD79*(BG79-BASELINE_CPR),0)</f>
        <v/>
      </c>
      <c r="BJ79" s="13">
        <f>IFERROR(AN79/BD79*(BG79-BASELINE_CPR),0)</f>
        <v/>
      </c>
      <c r="BK79" s="13">
        <f>IFERROR(AO79/BD79*(BG79-BASELINE_CPR),0)</f>
        <v/>
      </c>
      <c r="BL79" s="13">
        <f>IFERROR(AP79/BD79*(BG79-BASELINE_CPR),0)</f>
        <v/>
      </c>
      <c r="BM79" s="13">
        <f>IFERROR(AQ79/BD79*(BG79-BASELINE_CPR),0)</f>
        <v/>
      </c>
      <c r="BN79" s="13">
        <f>IFERROR(AR79/BD79*(BG79-BASELINE_CPR),0)</f>
        <v/>
      </c>
      <c r="BO79" s="13">
        <f>IFERROR(AS79/BD79*(BG79-BASELINE_CPR),0)</f>
        <v/>
      </c>
      <c r="BP79" s="13">
        <f>IFERROR(AT79/BD79*(BG79-BASELINE_CPR),0)</f>
        <v/>
      </c>
      <c r="BQ79" s="13">
        <f>IFERROR(AU79/BD79*(BG79-BASELINE_CPR),0)</f>
        <v/>
      </c>
      <c r="BR79" s="13">
        <f>IFERROR(AV79/BD79*(BG79-BASELINE_CPR),0)</f>
        <v/>
      </c>
      <c r="BS79" s="13">
        <f>IFERROR(AW79/BD79*(BG79-BASELINE_CPR),0)</f>
        <v/>
      </c>
      <c r="BT79" s="13">
        <f>IFERROR(AX79/BD79*(BG79-BASELINE_CPR),0)</f>
        <v/>
      </c>
      <c r="BU79" s="13">
        <f>IFERROR(AY79/BD79*(BG79-BASELINE_CPR),0)</f>
        <v/>
      </c>
      <c r="BV79" s="13">
        <f>IFERROR(AZ79/BD79*(BG79-BASELINE_CPR),0)</f>
        <v/>
      </c>
      <c r="BW79" s="13">
        <f>IFERROR(BA79/BD79*(BG79-BASELINE_CPR),0)</f>
        <v/>
      </c>
      <c r="BX79" s="13">
        <f>IFERROR(BB79/BD79*(BG79-BASELINE_CPR),0)</f>
        <v/>
      </c>
      <c r="BY79" s="13">
        <f>IFERROR(BC79/BD79*(BG79-BASELINE_CPR),0)</f>
        <v/>
      </c>
      <c r="BZ79" s="28">
        <f>BASELINE_CPR+SUM(BH79:BY79)-BG79</f>
        <v/>
      </c>
    </row>
    <row r="80">
      <c r="A80" s="2" t="inlineStr">
        <is>
          <t>36180GT83_000000012111176</t>
        </is>
      </c>
      <c r="B80" t="inlineStr">
        <is>
          <t>WALKER_PRE21</t>
        </is>
      </c>
      <c r="C80" s="2" t="inlineStr">
        <is>
          <t>36180GT83</t>
        </is>
      </c>
      <c r="D80" t="inlineStr">
        <is>
          <t>WALKER &amp; DUNLOP, LLC</t>
        </is>
      </c>
      <c r="E80" t="inlineStr">
        <is>
          <t>223f</t>
        </is>
      </c>
      <c r="F80" t="inlineStr">
        <is>
          <t>RP</t>
        </is>
      </c>
      <c r="G80" t="n">
        <v>2013</v>
      </c>
      <c r="H80" t="inlineStr">
        <is>
          <t>202602</t>
        </is>
      </c>
      <c r="I80" s="22" t="n">
        <v>4626699.62</v>
      </c>
      <c r="J80" s="23" t="n">
        <v>4.35</v>
      </c>
      <c r="K80" s="24" t="n">
        <v>447</v>
      </c>
      <c r="L80" s="24" t="n">
        <v>0</v>
      </c>
      <c r="M80" t="n">
        <v>146</v>
      </c>
      <c r="N80" t="n">
        <v>41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s="24">
        <f>J80*100-(K80+(1+L80)*12.5)</f>
        <v/>
      </c>
      <c r="U80">
        <f>O80</f>
        <v/>
      </c>
      <c r="V80">
        <f>M80</f>
        <v/>
      </c>
      <c r="W80" s="23">
        <f>LN(1+I80)</f>
        <v/>
      </c>
      <c r="X80">
        <f>IF(G80&gt;=2021,1,0)</f>
        <v/>
      </c>
      <c r="Y80">
        <f>N80</f>
        <v/>
      </c>
      <c r="Z80" s="23">
        <f>IF(ISNUMBER(M80),N80/MAX(M80,1),0)</f>
        <v/>
      </c>
      <c r="AA80">
        <f>P80</f>
        <v/>
      </c>
      <c r="AB80">
        <f>Q80</f>
        <v/>
      </c>
      <c r="AC80">
        <f>R80</f>
        <v/>
      </c>
      <c r="AD80">
        <f>S80</f>
        <v/>
      </c>
      <c r="AE80">
        <f>IF(ISNUMBER(SEARCH("CAPITAL FUNDING",D80)),1,0)</f>
        <v/>
      </c>
      <c r="AF80">
        <f>IF(ISNUMBER(SEARCH("MERCHANTS",D80)),1,0)</f>
        <v/>
      </c>
      <c r="AG80">
        <f>IF(ISNUMBER(SEARCH("WELLS FARGO",D80)),1,0)</f>
        <v/>
      </c>
      <c r="AH80">
        <f>IF(ISNUMBER(SEARCH("WALKER",D80)),1,0)</f>
        <v/>
      </c>
      <c r="AI80">
        <f>IF(ISNUMBER(SEARCH("PNC",D80)),1,0)</f>
        <v/>
      </c>
      <c r="AJ80">
        <f>IF(ISNUMBER(SEARCH("BERKADIA",D80)),1,0)</f>
        <v/>
      </c>
      <c r="AK80">
        <f>IF(ISNUMBER(SEARCH("DWIGHT",D80)),1,0)</f>
        <v/>
      </c>
      <c r="AL80" s="25">
        <f>T$4*(T80-T$3)</f>
        <v/>
      </c>
      <c r="AM80" s="25">
        <f>U$4*(U80-U$3)</f>
        <v/>
      </c>
      <c r="AN80" s="25">
        <f>V$4*(V80-V$3)</f>
        <v/>
      </c>
      <c r="AO80" s="25">
        <f>W$4*(W80-W$3)</f>
        <v/>
      </c>
      <c r="AP80" s="25">
        <f>X$4*(X80-X$3)</f>
        <v/>
      </c>
      <c r="AQ80" s="25">
        <f>Y$4*(Y80-Y$3)</f>
        <v/>
      </c>
      <c r="AR80" s="25">
        <f>Z$4*(Z80-Z$3)</f>
        <v/>
      </c>
      <c r="AS80" s="25">
        <f>AA$4*(AA80-AA$3)</f>
        <v/>
      </c>
      <c r="AT80" s="25">
        <f>AB$4*(AB80-AB$3)</f>
        <v/>
      </c>
      <c r="AU80" s="25">
        <f>AC$4*(AC80-AC$3)</f>
        <v/>
      </c>
      <c r="AV80" s="25">
        <f>AD$4*(AD80-AD$3)</f>
        <v/>
      </c>
      <c r="AW80" s="25">
        <f>AE$4*(AE80-AE$3)</f>
        <v/>
      </c>
      <c r="AX80" s="25">
        <f>AF$4*(AF80-AF$3)</f>
        <v/>
      </c>
      <c r="AY80" s="25">
        <f>AG$4*(AG80-AG$3)</f>
        <v/>
      </c>
      <c r="AZ80" s="25">
        <f>AH$4*(AH80-AH$3)</f>
        <v/>
      </c>
      <c r="BA80" s="25">
        <f>AI$4*(AI80-AI$3)</f>
        <v/>
      </c>
      <c r="BB80" s="25">
        <f>AJ$4*(AJ80-AJ$3)</f>
        <v/>
      </c>
      <c r="BC80" s="25">
        <f>AK$4*(AK80-AK$3)</f>
        <v/>
      </c>
      <c r="BD80" s="26">
        <f>SUM(AL80:BC80)</f>
        <v/>
      </c>
      <c r="BE80" s="26">
        <f>INTERCEPT_SCALED+BD80</f>
        <v/>
      </c>
      <c r="BF80" s="27">
        <f>1/(1+EXP(-BE80))</f>
        <v/>
      </c>
      <c r="BG80" s="13">
        <f>1-(1-BF80)^12</f>
        <v/>
      </c>
      <c r="BH80" s="13">
        <f>IFERROR(AL80/BD80*(BG80-BASELINE_CPR),0)</f>
        <v/>
      </c>
      <c r="BI80" s="13">
        <f>IFERROR(AM80/BD80*(BG80-BASELINE_CPR),0)</f>
        <v/>
      </c>
      <c r="BJ80" s="13">
        <f>IFERROR(AN80/BD80*(BG80-BASELINE_CPR),0)</f>
        <v/>
      </c>
      <c r="BK80" s="13">
        <f>IFERROR(AO80/BD80*(BG80-BASELINE_CPR),0)</f>
        <v/>
      </c>
      <c r="BL80" s="13">
        <f>IFERROR(AP80/BD80*(BG80-BASELINE_CPR),0)</f>
        <v/>
      </c>
      <c r="BM80" s="13">
        <f>IFERROR(AQ80/BD80*(BG80-BASELINE_CPR),0)</f>
        <v/>
      </c>
      <c r="BN80" s="13">
        <f>IFERROR(AR80/BD80*(BG80-BASELINE_CPR),0)</f>
        <v/>
      </c>
      <c r="BO80" s="13">
        <f>IFERROR(AS80/BD80*(BG80-BASELINE_CPR),0)</f>
        <v/>
      </c>
      <c r="BP80" s="13">
        <f>IFERROR(AT80/BD80*(BG80-BASELINE_CPR),0)</f>
        <v/>
      </c>
      <c r="BQ80" s="13">
        <f>IFERROR(AU80/BD80*(BG80-BASELINE_CPR),0)</f>
        <v/>
      </c>
      <c r="BR80" s="13">
        <f>IFERROR(AV80/BD80*(BG80-BASELINE_CPR),0)</f>
        <v/>
      </c>
      <c r="BS80" s="13">
        <f>IFERROR(AW80/BD80*(BG80-BASELINE_CPR),0)</f>
        <v/>
      </c>
      <c r="BT80" s="13">
        <f>IFERROR(AX80/BD80*(BG80-BASELINE_CPR),0)</f>
        <v/>
      </c>
      <c r="BU80" s="13">
        <f>IFERROR(AY80/BD80*(BG80-BASELINE_CPR),0)</f>
        <v/>
      </c>
      <c r="BV80" s="13">
        <f>IFERROR(AZ80/BD80*(BG80-BASELINE_CPR),0)</f>
        <v/>
      </c>
      <c r="BW80" s="13">
        <f>IFERROR(BA80/BD80*(BG80-BASELINE_CPR),0)</f>
        <v/>
      </c>
      <c r="BX80" s="13">
        <f>IFERROR(BB80/BD80*(BG80-BASELINE_CPR),0)</f>
        <v/>
      </c>
      <c r="BY80" s="13">
        <f>IFERROR(BC80/BD80*(BG80-BASELINE_CPR),0)</f>
        <v/>
      </c>
      <c r="BZ80" s="28">
        <f>BASELINE_CPR+SUM(BH80:BY80)-BG80</f>
        <v/>
      </c>
    </row>
    <row r="81">
      <c r="A81" s="2" t="inlineStr">
        <is>
          <t>36178FVA1_000000012722086</t>
        </is>
      </c>
      <c r="B81" t="inlineStr">
        <is>
          <t>WALKER_PRE21</t>
        </is>
      </c>
      <c r="C81" s="2" t="inlineStr">
        <is>
          <t>36178FVA1</t>
        </is>
      </c>
      <c r="D81" t="inlineStr">
        <is>
          <t>WALKER &amp; DUNLOP, LLC</t>
        </is>
      </c>
      <c r="E81" t="inlineStr">
        <is>
          <t>232</t>
        </is>
      </c>
      <c r="F81" t="inlineStr">
        <is>
          <t>RP</t>
        </is>
      </c>
      <c r="G81" t="n">
        <v>2012</v>
      </c>
      <c r="H81" t="inlineStr">
        <is>
          <t>202602</t>
        </is>
      </c>
      <c r="I81" s="22" t="n">
        <v>2391566.61</v>
      </c>
      <c r="J81" s="23" t="n">
        <v>2.8</v>
      </c>
      <c r="K81" s="24" t="n">
        <v>447</v>
      </c>
      <c r="L81" s="24" t="n">
        <v>0</v>
      </c>
      <c r="M81" t="n">
        <v>164</v>
      </c>
      <c r="N81" t="n">
        <v>26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s="24">
        <f>J81*100-(K81+(1+L81)*12.5)</f>
        <v/>
      </c>
      <c r="U81">
        <f>O81</f>
        <v/>
      </c>
      <c r="V81">
        <f>M81</f>
        <v/>
      </c>
      <c r="W81" s="23">
        <f>LN(1+I81)</f>
        <v/>
      </c>
      <c r="X81">
        <f>IF(G81&gt;=2021,1,0)</f>
        <v/>
      </c>
      <c r="Y81">
        <f>N81</f>
        <v/>
      </c>
      <c r="Z81" s="23">
        <f>IF(ISNUMBER(M81),N81/MAX(M81,1),0)</f>
        <v/>
      </c>
      <c r="AA81">
        <f>P81</f>
        <v/>
      </c>
      <c r="AB81">
        <f>Q81</f>
        <v/>
      </c>
      <c r="AC81">
        <f>R81</f>
        <v/>
      </c>
      <c r="AD81">
        <f>S81</f>
        <v/>
      </c>
      <c r="AE81">
        <f>IF(ISNUMBER(SEARCH("CAPITAL FUNDING",D81)),1,0)</f>
        <v/>
      </c>
      <c r="AF81">
        <f>IF(ISNUMBER(SEARCH("MERCHANTS",D81)),1,0)</f>
        <v/>
      </c>
      <c r="AG81">
        <f>IF(ISNUMBER(SEARCH("WELLS FARGO",D81)),1,0)</f>
        <v/>
      </c>
      <c r="AH81">
        <f>IF(ISNUMBER(SEARCH("WALKER",D81)),1,0)</f>
        <v/>
      </c>
      <c r="AI81">
        <f>IF(ISNUMBER(SEARCH("PNC",D81)),1,0)</f>
        <v/>
      </c>
      <c r="AJ81">
        <f>IF(ISNUMBER(SEARCH("BERKADIA",D81)),1,0)</f>
        <v/>
      </c>
      <c r="AK81">
        <f>IF(ISNUMBER(SEARCH("DWIGHT",D81)),1,0)</f>
        <v/>
      </c>
      <c r="AL81" s="25">
        <f>T$4*(T81-T$3)</f>
        <v/>
      </c>
      <c r="AM81" s="25">
        <f>U$4*(U81-U$3)</f>
        <v/>
      </c>
      <c r="AN81" s="25">
        <f>V$4*(V81-V$3)</f>
        <v/>
      </c>
      <c r="AO81" s="25">
        <f>W$4*(W81-W$3)</f>
        <v/>
      </c>
      <c r="AP81" s="25">
        <f>X$4*(X81-X$3)</f>
        <v/>
      </c>
      <c r="AQ81" s="25">
        <f>Y$4*(Y81-Y$3)</f>
        <v/>
      </c>
      <c r="AR81" s="25">
        <f>Z$4*(Z81-Z$3)</f>
        <v/>
      </c>
      <c r="AS81" s="25">
        <f>AA$4*(AA81-AA$3)</f>
        <v/>
      </c>
      <c r="AT81" s="25">
        <f>AB$4*(AB81-AB$3)</f>
        <v/>
      </c>
      <c r="AU81" s="25">
        <f>AC$4*(AC81-AC$3)</f>
        <v/>
      </c>
      <c r="AV81" s="25">
        <f>AD$4*(AD81-AD$3)</f>
        <v/>
      </c>
      <c r="AW81" s="25">
        <f>AE$4*(AE81-AE$3)</f>
        <v/>
      </c>
      <c r="AX81" s="25">
        <f>AF$4*(AF81-AF$3)</f>
        <v/>
      </c>
      <c r="AY81" s="25">
        <f>AG$4*(AG81-AG$3)</f>
        <v/>
      </c>
      <c r="AZ81" s="25">
        <f>AH$4*(AH81-AH$3)</f>
        <v/>
      </c>
      <c r="BA81" s="25">
        <f>AI$4*(AI81-AI$3)</f>
        <v/>
      </c>
      <c r="BB81" s="25">
        <f>AJ$4*(AJ81-AJ$3)</f>
        <v/>
      </c>
      <c r="BC81" s="25">
        <f>AK$4*(AK81-AK$3)</f>
        <v/>
      </c>
      <c r="BD81" s="26">
        <f>SUM(AL81:BC81)</f>
        <v/>
      </c>
      <c r="BE81" s="26">
        <f>INTERCEPT_SCALED+BD81</f>
        <v/>
      </c>
      <c r="BF81" s="27">
        <f>1/(1+EXP(-BE81))</f>
        <v/>
      </c>
      <c r="BG81" s="13">
        <f>1-(1-BF81)^12</f>
        <v/>
      </c>
      <c r="BH81" s="13">
        <f>IFERROR(AL81/BD81*(BG81-BASELINE_CPR),0)</f>
        <v/>
      </c>
      <c r="BI81" s="13">
        <f>IFERROR(AM81/BD81*(BG81-BASELINE_CPR),0)</f>
        <v/>
      </c>
      <c r="BJ81" s="13">
        <f>IFERROR(AN81/BD81*(BG81-BASELINE_CPR),0)</f>
        <v/>
      </c>
      <c r="BK81" s="13">
        <f>IFERROR(AO81/BD81*(BG81-BASELINE_CPR),0)</f>
        <v/>
      </c>
      <c r="BL81" s="13">
        <f>IFERROR(AP81/BD81*(BG81-BASELINE_CPR),0)</f>
        <v/>
      </c>
      <c r="BM81" s="13">
        <f>IFERROR(AQ81/BD81*(BG81-BASELINE_CPR),0)</f>
        <v/>
      </c>
      <c r="BN81" s="13">
        <f>IFERROR(AR81/BD81*(BG81-BASELINE_CPR),0)</f>
        <v/>
      </c>
      <c r="BO81" s="13">
        <f>IFERROR(AS81/BD81*(BG81-BASELINE_CPR),0)</f>
        <v/>
      </c>
      <c r="BP81" s="13">
        <f>IFERROR(AT81/BD81*(BG81-BASELINE_CPR),0)</f>
        <v/>
      </c>
      <c r="BQ81" s="13">
        <f>IFERROR(AU81/BD81*(BG81-BASELINE_CPR),0)</f>
        <v/>
      </c>
      <c r="BR81" s="13">
        <f>IFERROR(AV81/BD81*(BG81-BASELINE_CPR),0)</f>
        <v/>
      </c>
      <c r="BS81" s="13">
        <f>IFERROR(AW81/BD81*(BG81-BASELINE_CPR),0)</f>
        <v/>
      </c>
      <c r="BT81" s="13">
        <f>IFERROR(AX81/BD81*(BG81-BASELINE_CPR),0)</f>
        <v/>
      </c>
      <c r="BU81" s="13">
        <f>IFERROR(AY81/BD81*(BG81-BASELINE_CPR),0)</f>
        <v/>
      </c>
      <c r="BV81" s="13">
        <f>IFERROR(AZ81/BD81*(BG81-BASELINE_CPR),0)</f>
        <v/>
      </c>
      <c r="BW81" s="13">
        <f>IFERROR(BA81/BD81*(BG81-BASELINE_CPR),0)</f>
        <v/>
      </c>
      <c r="BX81" s="13">
        <f>IFERROR(BB81/BD81*(BG81-BASELINE_CPR),0)</f>
        <v/>
      </c>
      <c r="BY81" s="13">
        <f>IFERROR(BC81/BD81*(BG81-BASELINE_CPR),0)</f>
        <v/>
      </c>
      <c r="BZ81" s="28">
        <f>BASELINE_CPR+SUM(BH81:BY81)-BG81</f>
        <v/>
      </c>
    </row>
    <row r="82">
      <c r="A82" s="2" t="inlineStr">
        <is>
          <t>3617N1EH9_000000002311546</t>
        </is>
      </c>
      <c r="B82" t="inlineStr">
        <is>
          <t>WALKER_PRE21</t>
        </is>
      </c>
      <c r="C82" s="2" t="inlineStr">
        <is>
          <t>3617N1EH9</t>
        </is>
      </c>
      <c r="D82" t="inlineStr">
        <is>
          <t>WALKER &amp; DUNLOP, LLC</t>
        </is>
      </c>
      <c r="E82" t="inlineStr">
        <is>
          <t>223f</t>
        </is>
      </c>
      <c r="F82" t="inlineStr">
        <is>
          <t>RP</t>
        </is>
      </c>
      <c r="G82" t="n">
        <v>2020</v>
      </c>
      <c r="H82" t="inlineStr">
        <is>
          <t>202602</t>
        </is>
      </c>
      <c r="I82" s="22" t="n">
        <v>5130860.07</v>
      </c>
      <c r="J82" s="23" t="n">
        <v>2.55</v>
      </c>
      <c r="K82" s="24" t="n">
        <v>447</v>
      </c>
      <c r="L82" s="24" t="n">
        <v>5</v>
      </c>
      <c r="M82" t="n">
        <v>68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s="24">
        <f>J82*100-(K82+(1+L82)*12.5)</f>
        <v/>
      </c>
      <c r="U82">
        <f>O82</f>
        <v/>
      </c>
      <c r="V82">
        <f>M82</f>
        <v/>
      </c>
      <c r="W82" s="23">
        <f>LN(1+I82)</f>
        <v/>
      </c>
      <c r="X82">
        <f>IF(G82&gt;=2021,1,0)</f>
        <v/>
      </c>
      <c r="Y82">
        <f>N82</f>
        <v/>
      </c>
      <c r="Z82" s="23">
        <f>IF(ISNUMBER(M82),N82/MAX(M82,1),0)</f>
        <v/>
      </c>
      <c r="AA82">
        <f>P82</f>
        <v/>
      </c>
      <c r="AB82">
        <f>Q82</f>
        <v/>
      </c>
      <c r="AC82">
        <f>R82</f>
        <v/>
      </c>
      <c r="AD82">
        <f>S82</f>
        <v/>
      </c>
      <c r="AE82">
        <f>IF(ISNUMBER(SEARCH("CAPITAL FUNDING",D82)),1,0)</f>
        <v/>
      </c>
      <c r="AF82">
        <f>IF(ISNUMBER(SEARCH("MERCHANTS",D82)),1,0)</f>
        <v/>
      </c>
      <c r="AG82">
        <f>IF(ISNUMBER(SEARCH("WELLS FARGO",D82)),1,0)</f>
        <v/>
      </c>
      <c r="AH82">
        <f>IF(ISNUMBER(SEARCH("WALKER",D82)),1,0)</f>
        <v/>
      </c>
      <c r="AI82">
        <f>IF(ISNUMBER(SEARCH("PNC",D82)),1,0)</f>
        <v/>
      </c>
      <c r="AJ82">
        <f>IF(ISNUMBER(SEARCH("BERKADIA",D82)),1,0)</f>
        <v/>
      </c>
      <c r="AK82">
        <f>IF(ISNUMBER(SEARCH("DWIGHT",D82)),1,0)</f>
        <v/>
      </c>
      <c r="AL82" s="25">
        <f>T$4*(T82-T$3)</f>
        <v/>
      </c>
      <c r="AM82" s="25">
        <f>U$4*(U82-U$3)</f>
        <v/>
      </c>
      <c r="AN82" s="25">
        <f>V$4*(V82-V$3)</f>
        <v/>
      </c>
      <c r="AO82" s="25">
        <f>W$4*(W82-W$3)</f>
        <v/>
      </c>
      <c r="AP82" s="25">
        <f>X$4*(X82-X$3)</f>
        <v/>
      </c>
      <c r="AQ82" s="25">
        <f>Y$4*(Y82-Y$3)</f>
        <v/>
      </c>
      <c r="AR82" s="25">
        <f>Z$4*(Z82-Z$3)</f>
        <v/>
      </c>
      <c r="AS82" s="25">
        <f>AA$4*(AA82-AA$3)</f>
        <v/>
      </c>
      <c r="AT82" s="25">
        <f>AB$4*(AB82-AB$3)</f>
        <v/>
      </c>
      <c r="AU82" s="25">
        <f>AC$4*(AC82-AC$3)</f>
        <v/>
      </c>
      <c r="AV82" s="25">
        <f>AD$4*(AD82-AD$3)</f>
        <v/>
      </c>
      <c r="AW82" s="25">
        <f>AE$4*(AE82-AE$3)</f>
        <v/>
      </c>
      <c r="AX82" s="25">
        <f>AF$4*(AF82-AF$3)</f>
        <v/>
      </c>
      <c r="AY82" s="25">
        <f>AG$4*(AG82-AG$3)</f>
        <v/>
      </c>
      <c r="AZ82" s="25">
        <f>AH$4*(AH82-AH$3)</f>
        <v/>
      </c>
      <c r="BA82" s="25">
        <f>AI$4*(AI82-AI$3)</f>
        <v/>
      </c>
      <c r="BB82" s="25">
        <f>AJ$4*(AJ82-AJ$3)</f>
        <v/>
      </c>
      <c r="BC82" s="25">
        <f>AK$4*(AK82-AK$3)</f>
        <v/>
      </c>
      <c r="BD82" s="26">
        <f>SUM(AL82:BC82)</f>
        <v/>
      </c>
      <c r="BE82" s="26">
        <f>INTERCEPT_SCALED+BD82</f>
        <v/>
      </c>
      <c r="BF82" s="27">
        <f>1/(1+EXP(-BE82))</f>
        <v/>
      </c>
      <c r="BG82" s="13">
        <f>1-(1-BF82)^12</f>
        <v/>
      </c>
      <c r="BH82" s="13">
        <f>IFERROR(AL82/BD82*(BG82-BASELINE_CPR),0)</f>
        <v/>
      </c>
      <c r="BI82" s="13">
        <f>IFERROR(AM82/BD82*(BG82-BASELINE_CPR),0)</f>
        <v/>
      </c>
      <c r="BJ82" s="13">
        <f>IFERROR(AN82/BD82*(BG82-BASELINE_CPR),0)</f>
        <v/>
      </c>
      <c r="BK82" s="13">
        <f>IFERROR(AO82/BD82*(BG82-BASELINE_CPR),0)</f>
        <v/>
      </c>
      <c r="BL82" s="13">
        <f>IFERROR(AP82/BD82*(BG82-BASELINE_CPR),0)</f>
        <v/>
      </c>
      <c r="BM82" s="13">
        <f>IFERROR(AQ82/BD82*(BG82-BASELINE_CPR),0)</f>
        <v/>
      </c>
      <c r="BN82" s="13">
        <f>IFERROR(AR82/BD82*(BG82-BASELINE_CPR),0)</f>
        <v/>
      </c>
      <c r="BO82" s="13">
        <f>IFERROR(AS82/BD82*(BG82-BASELINE_CPR),0)</f>
        <v/>
      </c>
      <c r="BP82" s="13">
        <f>IFERROR(AT82/BD82*(BG82-BASELINE_CPR),0)</f>
        <v/>
      </c>
      <c r="BQ82" s="13">
        <f>IFERROR(AU82/BD82*(BG82-BASELINE_CPR),0)</f>
        <v/>
      </c>
      <c r="BR82" s="13">
        <f>IFERROR(AV82/BD82*(BG82-BASELINE_CPR),0)</f>
        <v/>
      </c>
      <c r="BS82" s="13">
        <f>IFERROR(AW82/BD82*(BG82-BASELINE_CPR),0)</f>
        <v/>
      </c>
      <c r="BT82" s="13">
        <f>IFERROR(AX82/BD82*(BG82-BASELINE_CPR),0)</f>
        <v/>
      </c>
      <c r="BU82" s="13">
        <f>IFERROR(AY82/BD82*(BG82-BASELINE_CPR),0)</f>
        <v/>
      </c>
      <c r="BV82" s="13">
        <f>IFERROR(AZ82/BD82*(BG82-BASELINE_CPR),0)</f>
        <v/>
      </c>
      <c r="BW82" s="13">
        <f>IFERROR(BA82/BD82*(BG82-BASELINE_CPR),0)</f>
        <v/>
      </c>
      <c r="BX82" s="13">
        <f>IFERROR(BB82/BD82*(BG82-BASELINE_CPR),0)</f>
        <v/>
      </c>
      <c r="BY82" s="13">
        <f>IFERROR(BC82/BD82*(BG82-BASELINE_CPR),0)</f>
        <v/>
      </c>
      <c r="BZ82" s="28">
        <f>BASELINE_CPR+SUM(BH82:BY82)-BG82</f>
        <v/>
      </c>
    </row>
    <row r="83">
      <c r="A83" s="2" t="inlineStr">
        <is>
          <t>36295SBS4_000000001711123</t>
        </is>
      </c>
      <c r="B83" t="inlineStr">
        <is>
          <t>WALKER_PRE21</t>
        </is>
      </c>
      <c r="C83" s="2" t="inlineStr">
        <is>
          <t>36295SBS4</t>
        </is>
      </c>
      <c r="D83" t="inlineStr">
        <is>
          <t>WALKER &amp; DUNLOP, LLC</t>
        </is>
      </c>
      <c r="E83" t="inlineStr">
        <is>
          <t>223f</t>
        </is>
      </c>
      <c r="F83" t="inlineStr">
        <is>
          <t>RP</t>
        </is>
      </c>
      <c r="G83" t="n">
        <v>2010</v>
      </c>
      <c r="H83" t="inlineStr">
        <is>
          <t>202602</t>
        </is>
      </c>
      <c r="I83" s="22" t="n">
        <v>1165207.31</v>
      </c>
      <c r="J83" s="23" t="n">
        <v>4.6</v>
      </c>
      <c r="K83" s="24" t="n">
        <v>447</v>
      </c>
      <c r="L83" s="24" t="n">
        <v>0</v>
      </c>
      <c r="M83" t="n">
        <v>189</v>
      </c>
      <c r="N83" t="n">
        <v>47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s="24">
        <f>J83*100-(K83+(1+L83)*12.5)</f>
        <v/>
      </c>
      <c r="U83">
        <f>O83</f>
        <v/>
      </c>
      <c r="V83">
        <f>M83</f>
        <v/>
      </c>
      <c r="W83" s="23">
        <f>LN(1+I83)</f>
        <v/>
      </c>
      <c r="X83">
        <f>IF(G83&gt;=2021,1,0)</f>
        <v/>
      </c>
      <c r="Y83">
        <f>N83</f>
        <v/>
      </c>
      <c r="Z83" s="23">
        <f>IF(ISNUMBER(M83),N83/MAX(M83,1),0)</f>
        <v/>
      </c>
      <c r="AA83">
        <f>P83</f>
        <v/>
      </c>
      <c r="AB83">
        <f>Q83</f>
        <v/>
      </c>
      <c r="AC83">
        <f>R83</f>
        <v/>
      </c>
      <c r="AD83">
        <f>S83</f>
        <v/>
      </c>
      <c r="AE83">
        <f>IF(ISNUMBER(SEARCH("CAPITAL FUNDING",D83)),1,0)</f>
        <v/>
      </c>
      <c r="AF83">
        <f>IF(ISNUMBER(SEARCH("MERCHANTS",D83)),1,0)</f>
        <v/>
      </c>
      <c r="AG83">
        <f>IF(ISNUMBER(SEARCH("WELLS FARGO",D83)),1,0)</f>
        <v/>
      </c>
      <c r="AH83">
        <f>IF(ISNUMBER(SEARCH("WALKER",D83)),1,0)</f>
        <v/>
      </c>
      <c r="AI83">
        <f>IF(ISNUMBER(SEARCH("PNC",D83)),1,0)</f>
        <v/>
      </c>
      <c r="AJ83">
        <f>IF(ISNUMBER(SEARCH("BERKADIA",D83)),1,0)</f>
        <v/>
      </c>
      <c r="AK83">
        <f>IF(ISNUMBER(SEARCH("DWIGHT",D83)),1,0)</f>
        <v/>
      </c>
      <c r="AL83" s="25">
        <f>T$4*(T83-T$3)</f>
        <v/>
      </c>
      <c r="AM83" s="25">
        <f>U$4*(U83-U$3)</f>
        <v/>
      </c>
      <c r="AN83" s="25">
        <f>V$4*(V83-V$3)</f>
        <v/>
      </c>
      <c r="AO83" s="25">
        <f>W$4*(W83-W$3)</f>
        <v/>
      </c>
      <c r="AP83" s="25">
        <f>X$4*(X83-X$3)</f>
        <v/>
      </c>
      <c r="AQ83" s="25">
        <f>Y$4*(Y83-Y$3)</f>
        <v/>
      </c>
      <c r="AR83" s="25">
        <f>Z$4*(Z83-Z$3)</f>
        <v/>
      </c>
      <c r="AS83" s="25">
        <f>AA$4*(AA83-AA$3)</f>
        <v/>
      </c>
      <c r="AT83" s="25">
        <f>AB$4*(AB83-AB$3)</f>
        <v/>
      </c>
      <c r="AU83" s="25">
        <f>AC$4*(AC83-AC$3)</f>
        <v/>
      </c>
      <c r="AV83" s="25">
        <f>AD$4*(AD83-AD$3)</f>
        <v/>
      </c>
      <c r="AW83" s="25">
        <f>AE$4*(AE83-AE$3)</f>
        <v/>
      </c>
      <c r="AX83" s="25">
        <f>AF$4*(AF83-AF$3)</f>
        <v/>
      </c>
      <c r="AY83" s="25">
        <f>AG$4*(AG83-AG$3)</f>
        <v/>
      </c>
      <c r="AZ83" s="25">
        <f>AH$4*(AH83-AH$3)</f>
        <v/>
      </c>
      <c r="BA83" s="25">
        <f>AI$4*(AI83-AI$3)</f>
        <v/>
      </c>
      <c r="BB83" s="25">
        <f>AJ$4*(AJ83-AJ$3)</f>
        <v/>
      </c>
      <c r="BC83" s="25">
        <f>AK$4*(AK83-AK$3)</f>
        <v/>
      </c>
      <c r="BD83" s="26">
        <f>SUM(AL83:BC83)</f>
        <v/>
      </c>
      <c r="BE83" s="26">
        <f>INTERCEPT_SCALED+BD83</f>
        <v/>
      </c>
      <c r="BF83" s="27">
        <f>1/(1+EXP(-BE83))</f>
        <v/>
      </c>
      <c r="BG83" s="13">
        <f>1-(1-BF83)^12</f>
        <v/>
      </c>
      <c r="BH83" s="13">
        <f>IFERROR(AL83/BD83*(BG83-BASELINE_CPR),0)</f>
        <v/>
      </c>
      <c r="BI83" s="13">
        <f>IFERROR(AM83/BD83*(BG83-BASELINE_CPR),0)</f>
        <v/>
      </c>
      <c r="BJ83" s="13">
        <f>IFERROR(AN83/BD83*(BG83-BASELINE_CPR),0)</f>
        <v/>
      </c>
      <c r="BK83" s="13">
        <f>IFERROR(AO83/BD83*(BG83-BASELINE_CPR),0)</f>
        <v/>
      </c>
      <c r="BL83" s="13">
        <f>IFERROR(AP83/BD83*(BG83-BASELINE_CPR),0)</f>
        <v/>
      </c>
      <c r="BM83" s="13">
        <f>IFERROR(AQ83/BD83*(BG83-BASELINE_CPR),0)</f>
        <v/>
      </c>
      <c r="BN83" s="13">
        <f>IFERROR(AR83/BD83*(BG83-BASELINE_CPR),0)</f>
        <v/>
      </c>
      <c r="BO83" s="13">
        <f>IFERROR(AS83/BD83*(BG83-BASELINE_CPR),0)</f>
        <v/>
      </c>
      <c r="BP83" s="13">
        <f>IFERROR(AT83/BD83*(BG83-BASELINE_CPR),0)</f>
        <v/>
      </c>
      <c r="BQ83" s="13">
        <f>IFERROR(AU83/BD83*(BG83-BASELINE_CPR),0)</f>
        <v/>
      </c>
      <c r="BR83" s="13">
        <f>IFERROR(AV83/BD83*(BG83-BASELINE_CPR),0)</f>
        <v/>
      </c>
      <c r="BS83" s="13">
        <f>IFERROR(AW83/BD83*(BG83-BASELINE_CPR),0)</f>
        <v/>
      </c>
      <c r="BT83" s="13">
        <f>IFERROR(AX83/BD83*(BG83-BASELINE_CPR),0)</f>
        <v/>
      </c>
      <c r="BU83" s="13">
        <f>IFERROR(AY83/BD83*(BG83-BASELINE_CPR),0)</f>
        <v/>
      </c>
      <c r="BV83" s="13">
        <f>IFERROR(AZ83/BD83*(BG83-BASELINE_CPR),0)</f>
        <v/>
      </c>
      <c r="BW83" s="13">
        <f>IFERROR(BA83/BD83*(BG83-BASELINE_CPR),0)</f>
        <v/>
      </c>
      <c r="BX83" s="13">
        <f>IFERROR(BB83/BD83*(BG83-BASELINE_CPR),0)</f>
        <v/>
      </c>
      <c r="BY83" s="13">
        <f>IFERROR(BC83/BD83*(BG83-BASELINE_CPR),0)</f>
        <v/>
      </c>
      <c r="BZ83" s="28">
        <f>BASELINE_CPR+SUM(BH83:BY83)-BG83</f>
        <v/>
      </c>
    </row>
    <row r="84">
      <c r="A84" s="2" t="inlineStr">
        <is>
          <t>36180M4N4_000000008111083</t>
        </is>
      </c>
      <c r="B84" t="inlineStr">
        <is>
          <t>WALKER_PRE21</t>
        </is>
      </c>
      <c r="C84" s="2" t="inlineStr">
        <is>
          <t>36180M4N4</t>
        </is>
      </c>
      <c r="D84" t="inlineStr">
        <is>
          <t>WALKER &amp; DUNLOP, LLC</t>
        </is>
      </c>
      <c r="E84" t="inlineStr">
        <is>
          <t>223f</t>
        </is>
      </c>
      <c r="F84" t="inlineStr">
        <is>
          <t>RP</t>
        </is>
      </c>
      <c r="G84" t="n">
        <v>2013</v>
      </c>
      <c r="H84" t="inlineStr">
        <is>
          <t>202602</t>
        </is>
      </c>
      <c r="I84" s="22" t="n">
        <v>696510.77</v>
      </c>
      <c r="J84" s="23" t="n">
        <v>2.97</v>
      </c>
      <c r="K84" s="24" t="n">
        <v>447</v>
      </c>
      <c r="L84" s="24" t="n">
        <v>0</v>
      </c>
      <c r="M84" t="n">
        <v>152</v>
      </c>
      <c r="N84" t="n">
        <v>27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s="24">
        <f>J84*100-(K84+(1+L84)*12.5)</f>
        <v/>
      </c>
      <c r="U84">
        <f>O84</f>
        <v/>
      </c>
      <c r="V84">
        <f>M84</f>
        <v/>
      </c>
      <c r="W84" s="23">
        <f>LN(1+I84)</f>
        <v/>
      </c>
      <c r="X84">
        <f>IF(G84&gt;=2021,1,0)</f>
        <v/>
      </c>
      <c r="Y84">
        <f>N84</f>
        <v/>
      </c>
      <c r="Z84" s="23">
        <f>IF(ISNUMBER(M84),N84/MAX(M84,1),0)</f>
        <v/>
      </c>
      <c r="AA84">
        <f>P84</f>
        <v/>
      </c>
      <c r="AB84">
        <f>Q84</f>
        <v/>
      </c>
      <c r="AC84">
        <f>R84</f>
        <v/>
      </c>
      <c r="AD84">
        <f>S84</f>
        <v/>
      </c>
      <c r="AE84">
        <f>IF(ISNUMBER(SEARCH("CAPITAL FUNDING",D84)),1,0)</f>
        <v/>
      </c>
      <c r="AF84">
        <f>IF(ISNUMBER(SEARCH("MERCHANTS",D84)),1,0)</f>
        <v/>
      </c>
      <c r="AG84">
        <f>IF(ISNUMBER(SEARCH("WELLS FARGO",D84)),1,0)</f>
        <v/>
      </c>
      <c r="AH84">
        <f>IF(ISNUMBER(SEARCH("WALKER",D84)),1,0)</f>
        <v/>
      </c>
      <c r="AI84">
        <f>IF(ISNUMBER(SEARCH("PNC",D84)),1,0)</f>
        <v/>
      </c>
      <c r="AJ84">
        <f>IF(ISNUMBER(SEARCH("BERKADIA",D84)),1,0)</f>
        <v/>
      </c>
      <c r="AK84">
        <f>IF(ISNUMBER(SEARCH("DWIGHT",D84)),1,0)</f>
        <v/>
      </c>
      <c r="AL84" s="25">
        <f>T$4*(T84-T$3)</f>
        <v/>
      </c>
      <c r="AM84" s="25">
        <f>U$4*(U84-U$3)</f>
        <v/>
      </c>
      <c r="AN84" s="25">
        <f>V$4*(V84-V$3)</f>
        <v/>
      </c>
      <c r="AO84" s="25">
        <f>W$4*(W84-W$3)</f>
        <v/>
      </c>
      <c r="AP84" s="25">
        <f>X$4*(X84-X$3)</f>
        <v/>
      </c>
      <c r="AQ84" s="25">
        <f>Y$4*(Y84-Y$3)</f>
        <v/>
      </c>
      <c r="AR84" s="25">
        <f>Z$4*(Z84-Z$3)</f>
        <v/>
      </c>
      <c r="AS84" s="25">
        <f>AA$4*(AA84-AA$3)</f>
        <v/>
      </c>
      <c r="AT84" s="25">
        <f>AB$4*(AB84-AB$3)</f>
        <v/>
      </c>
      <c r="AU84" s="25">
        <f>AC$4*(AC84-AC$3)</f>
        <v/>
      </c>
      <c r="AV84" s="25">
        <f>AD$4*(AD84-AD$3)</f>
        <v/>
      </c>
      <c r="AW84" s="25">
        <f>AE$4*(AE84-AE$3)</f>
        <v/>
      </c>
      <c r="AX84" s="25">
        <f>AF$4*(AF84-AF$3)</f>
        <v/>
      </c>
      <c r="AY84" s="25">
        <f>AG$4*(AG84-AG$3)</f>
        <v/>
      </c>
      <c r="AZ84" s="25">
        <f>AH$4*(AH84-AH$3)</f>
        <v/>
      </c>
      <c r="BA84" s="25">
        <f>AI$4*(AI84-AI$3)</f>
        <v/>
      </c>
      <c r="BB84" s="25">
        <f>AJ$4*(AJ84-AJ$3)</f>
        <v/>
      </c>
      <c r="BC84" s="25">
        <f>AK$4*(AK84-AK$3)</f>
        <v/>
      </c>
      <c r="BD84" s="26">
        <f>SUM(AL84:BC84)</f>
        <v/>
      </c>
      <c r="BE84" s="26">
        <f>INTERCEPT_SCALED+BD84</f>
        <v/>
      </c>
      <c r="BF84" s="27">
        <f>1/(1+EXP(-BE84))</f>
        <v/>
      </c>
      <c r="BG84" s="13">
        <f>1-(1-BF84)^12</f>
        <v/>
      </c>
      <c r="BH84" s="13">
        <f>IFERROR(AL84/BD84*(BG84-BASELINE_CPR),0)</f>
        <v/>
      </c>
      <c r="BI84" s="13">
        <f>IFERROR(AM84/BD84*(BG84-BASELINE_CPR),0)</f>
        <v/>
      </c>
      <c r="BJ84" s="13">
        <f>IFERROR(AN84/BD84*(BG84-BASELINE_CPR),0)</f>
        <v/>
      </c>
      <c r="BK84" s="13">
        <f>IFERROR(AO84/BD84*(BG84-BASELINE_CPR),0)</f>
        <v/>
      </c>
      <c r="BL84" s="13">
        <f>IFERROR(AP84/BD84*(BG84-BASELINE_CPR),0)</f>
        <v/>
      </c>
      <c r="BM84" s="13">
        <f>IFERROR(AQ84/BD84*(BG84-BASELINE_CPR),0)</f>
        <v/>
      </c>
      <c r="BN84" s="13">
        <f>IFERROR(AR84/BD84*(BG84-BASELINE_CPR),0)</f>
        <v/>
      </c>
      <c r="BO84" s="13">
        <f>IFERROR(AS84/BD84*(BG84-BASELINE_CPR),0)</f>
        <v/>
      </c>
      <c r="BP84" s="13">
        <f>IFERROR(AT84/BD84*(BG84-BASELINE_CPR),0)</f>
        <v/>
      </c>
      <c r="BQ84" s="13">
        <f>IFERROR(AU84/BD84*(BG84-BASELINE_CPR),0)</f>
        <v/>
      </c>
      <c r="BR84" s="13">
        <f>IFERROR(AV84/BD84*(BG84-BASELINE_CPR),0)</f>
        <v/>
      </c>
      <c r="BS84" s="13">
        <f>IFERROR(AW84/BD84*(BG84-BASELINE_CPR),0)</f>
        <v/>
      </c>
      <c r="BT84" s="13">
        <f>IFERROR(AX84/BD84*(BG84-BASELINE_CPR),0)</f>
        <v/>
      </c>
      <c r="BU84" s="13">
        <f>IFERROR(AY84/BD84*(BG84-BASELINE_CPR),0)</f>
        <v/>
      </c>
      <c r="BV84" s="13">
        <f>IFERROR(AZ84/BD84*(BG84-BASELINE_CPR),0)</f>
        <v/>
      </c>
      <c r="BW84" s="13">
        <f>IFERROR(BA84/BD84*(BG84-BASELINE_CPR),0)</f>
        <v/>
      </c>
      <c r="BX84" s="13">
        <f>IFERROR(BB84/BD84*(BG84-BASELINE_CPR),0)</f>
        <v/>
      </c>
      <c r="BY84" s="13">
        <f>IFERROR(BC84/BD84*(BG84-BASELINE_CPR),0)</f>
        <v/>
      </c>
      <c r="BZ84" s="28">
        <f>BASELINE_CPR+SUM(BH84:BY84)-BG84</f>
        <v/>
      </c>
    </row>
    <row r="85">
      <c r="A85" s="2" t="inlineStr">
        <is>
          <t>3617YC4K7_000000005138032</t>
        </is>
      </c>
      <c r="B85" t="inlineStr">
        <is>
          <t>WALKER_POST21</t>
        </is>
      </c>
      <c r="C85" s="2" t="inlineStr">
        <is>
          <t>3617YC4K7</t>
        </is>
      </c>
      <c r="D85" t="inlineStr">
        <is>
          <t>WALKER &amp; DUNLOP, LLC</t>
        </is>
      </c>
      <c r="E85" t="inlineStr">
        <is>
          <t>OTHER</t>
        </is>
      </c>
      <c r="F85" t="inlineStr">
        <is>
          <t>OTHER</t>
        </is>
      </c>
      <c r="G85" t="n">
        <v>2022</v>
      </c>
      <c r="H85" t="inlineStr">
        <is>
          <t>202602</t>
        </is>
      </c>
      <c r="I85" s="22" t="n">
        <v>31181676.4</v>
      </c>
      <c r="J85" s="23" t="n">
        <v>3.15</v>
      </c>
      <c r="K85" s="24" t="n">
        <v>447</v>
      </c>
      <c r="L85" s="24" t="n">
        <v>9</v>
      </c>
      <c r="M85" t="n">
        <v>45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s="24">
        <f>J85*100-(K85+(1+L85)*12.5)</f>
        <v/>
      </c>
      <c r="U85">
        <f>O85</f>
        <v/>
      </c>
      <c r="V85">
        <f>M85</f>
        <v/>
      </c>
      <c r="W85" s="23">
        <f>LN(1+I85)</f>
        <v/>
      </c>
      <c r="X85">
        <f>IF(G85&gt;=2021,1,0)</f>
        <v/>
      </c>
      <c r="Y85">
        <f>N85</f>
        <v/>
      </c>
      <c r="Z85" s="23">
        <f>IF(ISNUMBER(M85),N85/MAX(M85,1),0)</f>
        <v/>
      </c>
      <c r="AA85">
        <f>P85</f>
        <v/>
      </c>
      <c r="AB85">
        <f>Q85</f>
        <v/>
      </c>
      <c r="AC85">
        <f>R85</f>
        <v/>
      </c>
      <c r="AD85">
        <f>S85</f>
        <v/>
      </c>
      <c r="AE85">
        <f>IF(ISNUMBER(SEARCH("CAPITAL FUNDING",D85)),1,0)</f>
        <v/>
      </c>
      <c r="AF85">
        <f>IF(ISNUMBER(SEARCH("MERCHANTS",D85)),1,0)</f>
        <v/>
      </c>
      <c r="AG85">
        <f>IF(ISNUMBER(SEARCH("WELLS FARGO",D85)),1,0)</f>
        <v/>
      </c>
      <c r="AH85">
        <f>IF(ISNUMBER(SEARCH("WALKER",D85)),1,0)</f>
        <v/>
      </c>
      <c r="AI85">
        <f>IF(ISNUMBER(SEARCH("PNC",D85)),1,0)</f>
        <v/>
      </c>
      <c r="AJ85">
        <f>IF(ISNUMBER(SEARCH("BERKADIA",D85)),1,0)</f>
        <v/>
      </c>
      <c r="AK85">
        <f>IF(ISNUMBER(SEARCH("DWIGHT",D85)),1,0)</f>
        <v/>
      </c>
      <c r="AL85" s="25">
        <f>T$4*(T85-T$3)</f>
        <v/>
      </c>
      <c r="AM85" s="25">
        <f>U$4*(U85-U$3)</f>
        <v/>
      </c>
      <c r="AN85" s="25">
        <f>V$4*(V85-V$3)</f>
        <v/>
      </c>
      <c r="AO85" s="25">
        <f>W$4*(W85-W$3)</f>
        <v/>
      </c>
      <c r="AP85" s="25">
        <f>X$4*(X85-X$3)</f>
        <v/>
      </c>
      <c r="AQ85" s="25">
        <f>Y$4*(Y85-Y$3)</f>
        <v/>
      </c>
      <c r="AR85" s="25">
        <f>Z$4*(Z85-Z$3)</f>
        <v/>
      </c>
      <c r="AS85" s="25">
        <f>AA$4*(AA85-AA$3)</f>
        <v/>
      </c>
      <c r="AT85" s="25">
        <f>AB$4*(AB85-AB$3)</f>
        <v/>
      </c>
      <c r="AU85" s="25">
        <f>AC$4*(AC85-AC$3)</f>
        <v/>
      </c>
      <c r="AV85" s="25">
        <f>AD$4*(AD85-AD$3)</f>
        <v/>
      </c>
      <c r="AW85" s="25">
        <f>AE$4*(AE85-AE$3)</f>
        <v/>
      </c>
      <c r="AX85" s="25">
        <f>AF$4*(AF85-AF$3)</f>
        <v/>
      </c>
      <c r="AY85" s="25">
        <f>AG$4*(AG85-AG$3)</f>
        <v/>
      </c>
      <c r="AZ85" s="25">
        <f>AH$4*(AH85-AH$3)</f>
        <v/>
      </c>
      <c r="BA85" s="25">
        <f>AI$4*(AI85-AI$3)</f>
        <v/>
      </c>
      <c r="BB85" s="25">
        <f>AJ$4*(AJ85-AJ$3)</f>
        <v/>
      </c>
      <c r="BC85" s="25">
        <f>AK$4*(AK85-AK$3)</f>
        <v/>
      </c>
      <c r="BD85" s="26">
        <f>SUM(AL85:BC85)</f>
        <v/>
      </c>
      <c r="BE85" s="26">
        <f>INTERCEPT_SCALED+BD85</f>
        <v/>
      </c>
      <c r="BF85" s="27">
        <f>1/(1+EXP(-BE85))</f>
        <v/>
      </c>
      <c r="BG85" s="13">
        <f>1-(1-BF85)^12</f>
        <v/>
      </c>
      <c r="BH85" s="13">
        <f>IFERROR(AL85/BD85*(BG85-BASELINE_CPR),0)</f>
        <v/>
      </c>
      <c r="BI85" s="13">
        <f>IFERROR(AM85/BD85*(BG85-BASELINE_CPR),0)</f>
        <v/>
      </c>
      <c r="BJ85" s="13">
        <f>IFERROR(AN85/BD85*(BG85-BASELINE_CPR),0)</f>
        <v/>
      </c>
      <c r="BK85" s="13">
        <f>IFERROR(AO85/BD85*(BG85-BASELINE_CPR),0)</f>
        <v/>
      </c>
      <c r="BL85" s="13">
        <f>IFERROR(AP85/BD85*(BG85-BASELINE_CPR),0)</f>
        <v/>
      </c>
      <c r="BM85" s="13">
        <f>IFERROR(AQ85/BD85*(BG85-BASELINE_CPR),0)</f>
        <v/>
      </c>
      <c r="BN85" s="13">
        <f>IFERROR(AR85/BD85*(BG85-BASELINE_CPR),0)</f>
        <v/>
      </c>
      <c r="BO85" s="13">
        <f>IFERROR(AS85/BD85*(BG85-BASELINE_CPR),0)</f>
        <v/>
      </c>
      <c r="BP85" s="13">
        <f>IFERROR(AT85/BD85*(BG85-BASELINE_CPR),0)</f>
        <v/>
      </c>
      <c r="BQ85" s="13">
        <f>IFERROR(AU85/BD85*(BG85-BASELINE_CPR),0)</f>
        <v/>
      </c>
      <c r="BR85" s="13">
        <f>IFERROR(AV85/BD85*(BG85-BASELINE_CPR),0)</f>
        <v/>
      </c>
      <c r="BS85" s="13">
        <f>IFERROR(AW85/BD85*(BG85-BASELINE_CPR),0)</f>
        <v/>
      </c>
      <c r="BT85" s="13">
        <f>IFERROR(AX85/BD85*(BG85-BASELINE_CPR),0)</f>
        <v/>
      </c>
      <c r="BU85" s="13">
        <f>IFERROR(AY85/BD85*(BG85-BASELINE_CPR),0)</f>
        <v/>
      </c>
      <c r="BV85" s="13">
        <f>IFERROR(AZ85/BD85*(BG85-BASELINE_CPR),0)</f>
        <v/>
      </c>
      <c r="BW85" s="13">
        <f>IFERROR(BA85/BD85*(BG85-BASELINE_CPR),0)</f>
        <v/>
      </c>
      <c r="BX85" s="13">
        <f>IFERROR(BB85/BD85*(BG85-BASELINE_CPR),0)</f>
        <v/>
      </c>
      <c r="BY85" s="13">
        <f>IFERROR(BC85/BD85*(BG85-BASELINE_CPR),0)</f>
        <v/>
      </c>
      <c r="BZ85" s="28">
        <f>BASELINE_CPR+SUM(BH85:BY85)-BG85</f>
        <v/>
      </c>
    </row>
    <row r="86">
      <c r="A86" s="2" t="inlineStr">
        <is>
          <t>36177KSB3_000000012711174</t>
        </is>
      </c>
      <c r="B86" t="inlineStr">
        <is>
          <t>WALKER_PRE21</t>
        </is>
      </c>
      <c r="C86" s="2" t="inlineStr">
        <is>
          <t>36177KSB3</t>
        </is>
      </c>
      <c r="D86" t="inlineStr">
        <is>
          <t>WALKER &amp; DUNLOP, LLC</t>
        </is>
      </c>
      <c r="E86" t="inlineStr">
        <is>
          <t>223f</t>
        </is>
      </c>
      <c r="F86" t="inlineStr">
        <is>
          <t>RP</t>
        </is>
      </c>
      <c r="G86" t="n">
        <v>2012</v>
      </c>
      <c r="H86" t="inlineStr">
        <is>
          <t>202602</t>
        </is>
      </c>
      <c r="I86" s="22" t="n">
        <v>1897260.93</v>
      </c>
      <c r="J86" s="23" t="n">
        <v>3.35</v>
      </c>
      <c r="K86" s="24" t="n">
        <v>447</v>
      </c>
      <c r="L86" s="24" t="n">
        <v>0</v>
      </c>
      <c r="M86" t="n">
        <v>163</v>
      </c>
      <c r="N86" t="n">
        <v>33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s="24">
        <f>J86*100-(K86+(1+L86)*12.5)</f>
        <v/>
      </c>
      <c r="U86">
        <f>O86</f>
        <v/>
      </c>
      <c r="V86">
        <f>M86</f>
        <v/>
      </c>
      <c r="W86" s="23">
        <f>LN(1+I86)</f>
        <v/>
      </c>
      <c r="X86">
        <f>IF(G86&gt;=2021,1,0)</f>
        <v/>
      </c>
      <c r="Y86">
        <f>N86</f>
        <v/>
      </c>
      <c r="Z86" s="23">
        <f>IF(ISNUMBER(M86),N86/MAX(M86,1),0)</f>
        <v/>
      </c>
      <c r="AA86">
        <f>P86</f>
        <v/>
      </c>
      <c r="AB86">
        <f>Q86</f>
        <v/>
      </c>
      <c r="AC86">
        <f>R86</f>
        <v/>
      </c>
      <c r="AD86">
        <f>S86</f>
        <v/>
      </c>
      <c r="AE86">
        <f>IF(ISNUMBER(SEARCH("CAPITAL FUNDING",D86)),1,0)</f>
        <v/>
      </c>
      <c r="AF86">
        <f>IF(ISNUMBER(SEARCH("MERCHANTS",D86)),1,0)</f>
        <v/>
      </c>
      <c r="AG86">
        <f>IF(ISNUMBER(SEARCH("WELLS FARGO",D86)),1,0)</f>
        <v/>
      </c>
      <c r="AH86">
        <f>IF(ISNUMBER(SEARCH("WALKER",D86)),1,0)</f>
        <v/>
      </c>
      <c r="AI86">
        <f>IF(ISNUMBER(SEARCH("PNC",D86)),1,0)</f>
        <v/>
      </c>
      <c r="AJ86">
        <f>IF(ISNUMBER(SEARCH("BERKADIA",D86)),1,0)</f>
        <v/>
      </c>
      <c r="AK86">
        <f>IF(ISNUMBER(SEARCH("DWIGHT",D86)),1,0)</f>
        <v/>
      </c>
      <c r="AL86" s="25">
        <f>T$4*(T86-T$3)</f>
        <v/>
      </c>
      <c r="AM86" s="25">
        <f>U$4*(U86-U$3)</f>
        <v/>
      </c>
      <c r="AN86" s="25">
        <f>V$4*(V86-V$3)</f>
        <v/>
      </c>
      <c r="AO86" s="25">
        <f>W$4*(W86-W$3)</f>
        <v/>
      </c>
      <c r="AP86" s="25">
        <f>X$4*(X86-X$3)</f>
        <v/>
      </c>
      <c r="AQ86" s="25">
        <f>Y$4*(Y86-Y$3)</f>
        <v/>
      </c>
      <c r="AR86" s="25">
        <f>Z$4*(Z86-Z$3)</f>
        <v/>
      </c>
      <c r="AS86" s="25">
        <f>AA$4*(AA86-AA$3)</f>
        <v/>
      </c>
      <c r="AT86" s="25">
        <f>AB$4*(AB86-AB$3)</f>
        <v/>
      </c>
      <c r="AU86" s="25">
        <f>AC$4*(AC86-AC$3)</f>
        <v/>
      </c>
      <c r="AV86" s="25">
        <f>AD$4*(AD86-AD$3)</f>
        <v/>
      </c>
      <c r="AW86" s="25">
        <f>AE$4*(AE86-AE$3)</f>
        <v/>
      </c>
      <c r="AX86" s="25">
        <f>AF$4*(AF86-AF$3)</f>
        <v/>
      </c>
      <c r="AY86" s="25">
        <f>AG$4*(AG86-AG$3)</f>
        <v/>
      </c>
      <c r="AZ86" s="25">
        <f>AH$4*(AH86-AH$3)</f>
        <v/>
      </c>
      <c r="BA86" s="25">
        <f>AI$4*(AI86-AI$3)</f>
        <v/>
      </c>
      <c r="BB86" s="25">
        <f>AJ$4*(AJ86-AJ$3)</f>
        <v/>
      </c>
      <c r="BC86" s="25">
        <f>AK$4*(AK86-AK$3)</f>
        <v/>
      </c>
      <c r="BD86" s="26">
        <f>SUM(AL86:BC86)</f>
        <v/>
      </c>
      <c r="BE86" s="26">
        <f>INTERCEPT_SCALED+BD86</f>
        <v/>
      </c>
      <c r="BF86" s="27">
        <f>1/(1+EXP(-BE86))</f>
        <v/>
      </c>
      <c r="BG86" s="13">
        <f>1-(1-BF86)^12</f>
        <v/>
      </c>
      <c r="BH86" s="13">
        <f>IFERROR(AL86/BD86*(BG86-BASELINE_CPR),0)</f>
        <v/>
      </c>
      <c r="BI86" s="13">
        <f>IFERROR(AM86/BD86*(BG86-BASELINE_CPR),0)</f>
        <v/>
      </c>
      <c r="BJ86" s="13">
        <f>IFERROR(AN86/BD86*(BG86-BASELINE_CPR),0)</f>
        <v/>
      </c>
      <c r="BK86" s="13">
        <f>IFERROR(AO86/BD86*(BG86-BASELINE_CPR),0)</f>
        <v/>
      </c>
      <c r="BL86" s="13">
        <f>IFERROR(AP86/BD86*(BG86-BASELINE_CPR),0)</f>
        <v/>
      </c>
      <c r="BM86" s="13">
        <f>IFERROR(AQ86/BD86*(BG86-BASELINE_CPR),0)</f>
        <v/>
      </c>
      <c r="BN86" s="13">
        <f>IFERROR(AR86/BD86*(BG86-BASELINE_CPR),0)</f>
        <v/>
      </c>
      <c r="BO86" s="13">
        <f>IFERROR(AS86/BD86*(BG86-BASELINE_CPR),0)</f>
        <v/>
      </c>
      <c r="BP86" s="13">
        <f>IFERROR(AT86/BD86*(BG86-BASELINE_CPR),0)</f>
        <v/>
      </c>
      <c r="BQ86" s="13">
        <f>IFERROR(AU86/BD86*(BG86-BASELINE_CPR),0)</f>
        <v/>
      </c>
      <c r="BR86" s="13">
        <f>IFERROR(AV86/BD86*(BG86-BASELINE_CPR),0)</f>
        <v/>
      </c>
      <c r="BS86" s="13">
        <f>IFERROR(AW86/BD86*(BG86-BASELINE_CPR),0)</f>
        <v/>
      </c>
      <c r="BT86" s="13">
        <f>IFERROR(AX86/BD86*(BG86-BASELINE_CPR),0)</f>
        <v/>
      </c>
      <c r="BU86" s="13">
        <f>IFERROR(AY86/BD86*(BG86-BASELINE_CPR),0)</f>
        <v/>
      </c>
      <c r="BV86" s="13">
        <f>IFERROR(AZ86/BD86*(BG86-BASELINE_CPR),0)</f>
        <v/>
      </c>
      <c r="BW86" s="13">
        <f>IFERROR(BA86/BD86*(BG86-BASELINE_CPR),0)</f>
        <v/>
      </c>
      <c r="BX86" s="13">
        <f>IFERROR(BB86/BD86*(BG86-BASELINE_CPR),0)</f>
        <v/>
      </c>
      <c r="BY86" s="13">
        <f>IFERROR(BC86/BD86*(BG86-BASELINE_CPR),0)</f>
        <v/>
      </c>
      <c r="BZ86" s="28">
        <f>BASELINE_CPR+SUM(BH86:BY86)-BG86</f>
        <v/>
      </c>
    </row>
    <row r="87">
      <c r="A87" s="2" t="inlineStr">
        <is>
          <t>3617WNQG0_000000005143257</t>
        </is>
      </c>
      <c r="B87" t="inlineStr">
        <is>
          <t>WALKER_POST21</t>
        </is>
      </c>
      <c r="C87" s="2" t="inlineStr">
        <is>
          <t>3617WNQG0</t>
        </is>
      </c>
      <c r="D87" t="inlineStr">
        <is>
          <t>WALKER &amp; DUNLOP, LLC</t>
        </is>
      </c>
      <c r="E87" t="inlineStr">
        <is>
          <t>232</t>
        </is>
      </c>
      <c r="F87" t="inlineStr">
        <is>
          <t>NC</t>
        </is>
      </c>
      <c r="G87" t="n">
        <v>2021</v>
      </c>
      <c r="H87" t="inlineStr">
        <is>
          <t>202602</t>
        </is>
      </c>
      <c r="I87" s="22" t="n">
        <v>20697799.73</v>
      </c>
      <c r="J87" s="23" t="n">
        <v>2.69</v>
      </c>
      <c r="K87" s="24" t="n">
        <v>447</v>
      </c>
      <c r="L87" s="24" t="n">
        <v>8</v>
      </c>
      <c r="M87" t="n">
        <v>50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s="24">
        <f>J87*100-(K87+(1+L87)*12.5)</f>
        <v/>
      </c>
      <c r="U87">
        <f>O87</f>
        <v/>
      </c>
      <c r="V87">
        <f>M87</f>
        <v/>
      </c>
      <c r="W87" s="23">
        <f>LN(1+I87)</f>
        <v/>
      </c>
      <c r="X87">
        <f>IF(G87&gt;=2021,1,0)</f>
        <v/>
      </c>
      <c r="Y87">
        <f>N87</f>
        <v/>
      </c>
      <c r="Z87" s="23">
        <f>IF(ISNUMBER(M87),N87/MAX(M87,1),0)</f>
        <v/>
      </c>
      <c r="AA87">
        <f>P87</f>
        <v/>
      </c>
      <c r="AB87">
        <f>Q87</f>
        <v/>
      </c>
      <c r="AC87">
        <f>R87</f>
        <v/>
      </c>
      <c r="AD87">
        <f>S87</f>
        <v/>
      </c>
      <c r="AE87">
        <f>IF(ISNUMBER(SEARCH("CAPITAL FUNDING",D87)),1,0)</f>
        <v/>
      </c>
      <c r="AF87">
        <f>IF(ISNUMBER(SEARCH("MERCHANTS",D87)),1,0)</f>
        <v/>
      </c>
      <c r="AG87">
        <f>IF(ISNUMBER(SEARCH("WELLS FARGO",D87)),1,0)</f>
        <v/>
      </c>
      <c r="AH87">
        <f>IF(ISNUMBER(SEARCH("WALKER",D87)),1,0)</f>
        <v/>
      </c>
      <c r="AI87">
        <f>IF(ISNUMBER(SEARCH("PNC",D87)),1,0)</f>
        <v/>
      </c>
      <c r="AJ87">
        <f>IF(ISNUMBER(SEARCH("BERKADIA",D87)),1,0)</f>
        <v/>
      </c>
      <c r="AK87">
        <f>IF(ISNUMBER(SEARCH("DWIGHT",D87)),1,0)</f>
        <v/>
      </c>
      <c r="AL87" s="25">
        <f>T$4*(T87-T$3)</f>
        <v/>
      </c>
      <c r="AM87" s="25">
        <f>U$4*(U87-U$3)</f>
        <v/>
      </c>
      <c r="AN87" s="25">
        <f>V$4*(V87-V$3)</f>
        <v/>
      </c>
      <c r="AO87" s="25">
        <f>W$4*(W87-W$3)</f>
        <v/>
      </c>
      <c r="AP87" s="25">
        <f>X$4*(X87-X$3)</f>
        <v/>
      </c>
      <c r="AQ87" s="25">
        <f>Y$4*(Y87-Y$3)</f>
        <v/>
      </c>
      <c r="AR87" s="25">
        <f>Z$4*(Z87-Z$3)</f>
        <v/>
      </c>
      <c r="AS87" s="25">
        <f>AA$4*(AA87-AA$3)</f>
        <v/>
      </c>
      <c r="AT87" s="25">
        <f>AB$4*(AB87-AB$3)</f>
        <v/>
      </c>
      <c r="AU87" s="25">
        <f>AC$4*(AC87-AC$3)</f>
        <v/>
      </c>
      <c r="AV87" s="25">
        <f>AD$4*(AD87-AD$3)</f>
        <v/>
      </c>
      <c r="AW87" s="25">
        <f>AE$4*(AE87-AE$3)</f>
        <v/>
      </c>
      <c r="AX87" s="25">
        <f>AF$4*(AF87-AF$3)</f>
        <v/>
      </c>
      <c r="AY87" s="25">
        <f>AG$4*(AG87-AG$3)</f>
        <v/>
      </c>
      <c r="AZ87" s="25">
        <f>AH$4*(AH87-AH$3)</f>
        <v/>
      </c>
      <c r="BA87" s="25">
        <f>AI$4*(AI87-AI$3)</f>
        <v/>
      </c>
      <c r="BB87" s="25">
        <f>AJ$4*(AJ87-AJ$3)</f>
        <v/>
      </c>
      <c r="BC87" s="25">
        <f>AK$4*(AK87-AK$3)</f>
        <v/>
      </c>
      <c r="BD87" s="26">
        <f>SUM(AL87:BC87)</f>
        <v/>
      </c>
      <c r="BE87" s="26">
        <f>INTERCEPT_SCALED+BD87</f>
        <v/>
      </c>
      <c r="BF87" s="27">
        <f>1/(1+EXP(-BE87))</f>
        <v/>
      </c>
      <c r="BG87" s="13">
        <f>1-(1-BF87)^12</f>
        <v/>
      </c>
      <c r="BH87" s="13">
        <f>IFERROR(AL87/BD87*(BG87-BASELINE_CPR),0)</f>
        <v/>
      </c>
      <c r="BI87" s="13">
        <f>IFERROR(AM87/BD87*(BG87-BASELINE_CPR),0)</f>
        <v/>
      </c>
      <c r="BJ87" s="13">
        <f>IFERROR(AN87/BD87*(BG87-BASELINE_CPR),0)</f>
        <v/>
      </c>
      <c r="BK87" s="13">
        <f>IFERROR(AO87/BD87*(BG87-BASELINE_CPR),0)</f>
        <v/>
      </c>
      <c r="BL87" s="13">
        <f>IFERROR(AP87/BD87*(BG87-BASELINE_CPR),0)</f>
        <v/>
      </c>
      <c r="BM87" s="13">
        <f>IFERROR(AQ87/BD87*(BG87-BASELINE_CPR),0)</f>
        <v/>
      </c>
      <c r="BN87" s="13">
        <f>IFERROR(AR87/BD87*(BG87-BASELINE_CPR),0)</f>
        <v/>
      </c>
      <c r="BO87" s="13">
        <f>IFERROR(AS87/BD87*(BG87-BASELINE_CPR),0)</f>
        <v/>
      </c>
      <c r="BP87" s="13">
        <f>IFERROR(AT87/BD87*(BG87-BASELINE_CPR),0)</f>
        <v/>
      </c>
      <c r="BQ87" s="13">
        <f>IFERROR(AU87/BD87*(BG87-BASELINE_CPR),0)</f>
        <v/>
      </c>
      <c r="BR87" s="13">
        <f>IFERROR(AV87/BD87*(BG87-BASELINE_CPR),0)</f>
        <v/>
      </c>
      <c r="BS87" s="13">
        <f>IFERROR(AW87/BD87*(BG87-BASELINE_CPR),0)</f>
        <v/>
      </c>
      <c r="BT87" s="13">
        <f>IFERROR(AX87/BD87*(BG87-BASELINE_CPR),0)</f>
        <v/>
      </c>
      <c r="BU87" s="13">
        <f>IFERROR(AY87/BD87*(BG87-BASELINE_CPR),0)</f>
        <v/>
      </c>
      <c r="BV87" s="13">
        <f>IFERROR(AZ87/BD87*(BG87-BASELINE_CPR),0)</f>
        <v/>
      </c>
      <c r="BW87" s="13">
        <f>IFERROR(BA87/BD87*(BG87-BASELINE_CPR),0)</f>
        <v/>
      </c>
      <c r="BX87" s="13">
        <f>IFERROR(BB87/BD87*(BG87-BASELINE_CPR),0)</f>
        <v/>
      </c>
      <c r="BY87" s="13">
        <f>IFERROR(BC87/BD87*(BG87-BASELINE_CPR),0)</f>
        <v/>
      </c>
      <c r="BZ87" s="28">
        <f>BASELINE_CPR+SUM(BH87:BY87)-BG87</f>
        <v/>
      </c>
    </row>
    <row r="88">
      <c r="A88" s="2" t="inlineStr">
        <is>
          <t>3618KST93_000000012911145</t>
        </is>
      </c>
      <c r="B88" t="inlineStr">
        <is>
          <t>WALKER_POST21</t>
        </is>
      </c>
      <c r="C88" s="2" t="inlineStr">
        <is>
          <t>3618KST93</t>
        </is>
      </c>
      <c r="D88" t="inlineStr">
        <is>
          <t>WALKER &amp; DUNLOP, LLC</t>
        </is>
      </c>
      <c r="E88" t="inlineStr">
        <is>
          <t>223f</t>
        </is>
      </c>
      <c r="F88" t="inlineStr">
        <is>
          <t>RP</t>
        </is>
      </c>
      <c r="G88" t="n">
        <v>2025</v>
      </c>
      <c r="H88" t="inlineStr">
        <is>
          <t>202602</t>
        </is>
      </c>
      <c r="I88" s="22" t="n">
        <v>69885954.31999999</v>
      </c>
      <c r="J88" s="23" t="n">
        <v>5.95</v>
      </c>
      <c r="K88" s="24" t="n">
        <v>447</v>
      </c>
      <c r="L88" s="24" t="n">
        <v>10</v>
      </c>
      <c r="M88" t="n">
        <v>7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s="24">
        <f>J88*100-(K88+(1+L88)*12.5)</f>
        <v/>
      </c>
      <c r="U88">
        <f>O88</f>
        <v/>
      </c>
      <c r="V88">
        <f>M88</f>
        <v/>
      </c>
      <c r="W88" s="23">
        <f>LN(1+I88)</f>
        <v/>
      </c>
      <c r="X88">
        <f>IF(G88&gt;=2021,1,0)</f>
        <v/>
      </c>
      <c r="Y88">
        <f>N88</f>
        <v/>
      </c>
      <c r="Z88" s="23">
        <f>IF(ISNUMBER(M88),N88/MAX(M88,1),0)</f>
        <v/>
      </c>
      <c r="AA88">
        <f>P88</f>
        <v/>
      </c>
      <c r="AB88">
        <f>Q88</f>
        <v/>
      </c>
      <c r="AC88">
        <f>R88</f>
        <v/>
      </c>
      <c r="AD88">
        <f>S88</f>
        <v/>
      </c>
      <c r="AE88">
        <f>IF(ISNUMBER(SEARCH("CAPITAL FUNDING",D88)),1,0)</f>
        <v/>
      </c>
      <c r="AF88">
        <f>IF(ISNUMBER(SEARCH("MERCHANTS",D88)),1,0)</f>
        <v/>
      </c>
      <c r="AG88">
        <f>IF(ISNUMBER(SEARCH("WELLS FARGO",D88)),1,0)</f>
        <v/>
      </c>
      <c r="AH88">
        <f>IF(ISNUMBER(SEARCH("WALKER",D88)),1,0)</f>
        <v/>
      </c>
      <c r="AI88">
        <f>IF(ISNUMBER(SEARCH("PNC",D88)),1,0)</f>
        <v/>
      </c>
      <c r="AJ88">
        <f>IF(ISNUMBER(SEARCH("BERKADIA",D88)),1,0)</f>
        <v/>
      </c>
      <c r="AK88">
        <f>IF(ISNUMBER(SEARCH("DWIGHT",D88)),1,0)</f>
        <v/>
      </c>
      <c r="AL88" s="25">
        <f>T$4*(T88-T$3)</f>
        <v/>
      </c>
      <c r="AM88" s="25">
        <f>U$4*(U88-U$3)</f>
        <v/>
      </c>
      <c r="AN88" s="25">
        <f>V$4*(V88-V$3)</f>
        <v/>
      </c>
      <c r="AO88" s="25">
        <f>W$4*(W88-W$3)</f>
        <v/>
      </c>
      <c r="AP88" s="25">
        <f>X$4*(X88-X$3)</f>
        <v/>
      </c>
      <c r="AQ88" s="25">
        <f>Y$4*(Y88-Y$3)</f>
        <v/>
      </c>
      <c r="AR88" s="25">
        <f>Z$4*(Z88-Z$3)</f>
        <v/>
      </c>
      <c r="AS88" s="25">
        <f>AA$4*(AA88-AA$3)</f>
        <v/>
      </c>
      <c r="AT88" s="25">
        <f>AB$4*(AB88-AB$3)</f>
        <v/>
      </c>
      <c r="AU88" s="25">
        <f>AC$4*(AC88-AC$3)</f>
        <v/>
      </c>
      <c r="AV88" s="25">
        <f>AD$4*(AD88-AD$3)</f>
        <v/>
      </c>
      <c r="AW88" s="25">
        <f>AE$4*(AE88-AE$3)</f>
        <v/>
      </c>
      <c r="AX88" s="25">
        <f>AF$4*(AF88-AF$3)</f>
        <v/>
      </c>
      <c r="AY88" s="25">
        <f>AG$4*(AG88-AG$3)</f>
        <v/>
      </c>
      <c r="AZ88" s="25">
        <f>AH$4*(AH88-AH$3)</f>
        <v/>
      </c>
      <c r="BA88" s="25">
        <f>AI$4*(AI88-AI$3)</f>
        <v/>
      </c>
      <c r="BB88" s="25">
        <f>AJ$4*(AJ88-AJ$3)</f>
        <v/>
      </c>
      <c r="BC88" s="25">
        <f>AK$4*(AK88-AK$3)</f>
        <v/>
      </c>
      <c r="BD88" s="26">
        <f>SUM(AL88:BC88)</f>
        <v/>
      </c>
      <c r="BE88" s="26">
        <f>INTERCEPT_SCALED+BD88</f>
        <v/>
      </c>
      <c r="BF88" s="27">
        <f>1/(1+EXP(-BE88))</f>
        <v/>
      </c>
      <c r="BG88" s="13">
        <f>1-(1-BF88)^12</f>
        <v/>
      </c>
      <c r="BH88" s="13">
        <f>IFERROR(AL88/BD88*(BG88-BASELINE_CPR),0)</f>
        <v/>
      </c>
      <c r="BI88" s="13">
        <f>IFERROR(AM88/BD88*(BG88-BASELINE_CPR),0)</f>
        <v/>
      </c>
      <c r="BJ88" s="13">
        <f>IFERROR(AN88/BD88*(BG88-BASELINE_CPR),0)</f>
        <v/>
      </c>
      <c r="BK88" s="13">
        <f>IFERROR(AO88/BD88*(BG88-BASELINE_CPR),0)</f>
        <v/>
      </c>
      <c r="BL88" s="13">
        <f>IFERROR(AP88/BD88*(BG88-BASELINE_CPR),0)</f>
        <v/>
      </c>
      <c r="BM88" s="13">
        <f>IFERROR(AQ88/BD88*(BG88-BASELINE_CPR),0)</f>
        <v/>
      </c>
      <c r="BN88" s="13">
        <f>IFERROR(AR88/BD88*(BG88-BASELINE_CPR),0)</f>
        <v/>
      </c>
      <c r="BO88" s="13">
        <f>IFERROR(AS88/BD88*(BG88-BASELINE_CPR),0)</f>
        <v/>
      </c>
      <c r="BP88" s="13">
        <f>IFERROR(AT88/BD88*(BG88-BASELINE_CPR),0)</f>
        <v/>
      </c>
      <c r="BQ88" s="13">
        <f>IFERROR(AU88/BD88*(BG88-BASELINE_CPR),0)</f>
        <v/>
      </c>
      <c r="BR88" s="13">
        <f>IFERROR(AV88/BD88*(BG88-BASELINE_CPR),0)</f>
        <v/>
      </c>
      <c r="BS88" s="13">
        <f>IFERROR(AW88/BD88*(BG88-BASELINE_CPR),0)</f>
        <v/>
      </c>
      <c r="BT88" s="13">
        <f>IFERROR(AX88/BD88*(BG88-BASELINE_CPR),0)</f>
        <v/>
      </c>
      <c r="BU88" s="13">
        <f>IFERROR(AY88/BD88*(BG88-BASELINE_CPR),0)</f>
        <v/>
      </c>
      <c r="BV88" s="13">
        <f>IFERROR(AZ88/BD88*(BG88-BASELINE_CPR),0)</f>
        <v/>
      </c>
      <c r="BW88" s="13">
        <f>IFERROR(BA88/BD88*(BG88-BASELINE_CPR),0)</f>
        <v/>
      </c>
      <c r="BX88" s="13">
        <f>IFERROR(BB88/BD88*(BG88-BASELINE_CPR),0)</f>
        <v/>
      </c>
      <c r="BY88" s="13">
        <f>IFERROR(BC88/BD88*(BG88-BASELINE_CPR),0)</f>
        <v/>
      </c>
      <c r="BZ88" s="28">
        <f>BASELINE_CPR+SUM(BH88:BY88)-BG88</f>
        <v/>
      </c>
    </row>
    <row r="89">
      <c r="A89" s="2" t="inlineStr">
        <is>
          <t>3620C25U4_000000007235671</t>
        </is>
      </c>
      <c r="B89" t="inlineStr">
        <is>
          <t>WALKER_PRE21</t>
        </is>
      </c>
      <c r="C89" s="2" t="inlineStr">
        <is>
          <t>3620C25U4</t>
        </is>
      </c>
      <c r="D89" t="inlineStr">
        <is>
          <t>WALKER &amp; DUNLOP, LLC</t>
        </is>
      </c>
      <c r="E89" t="inlineStr">
        <is>
          <t>221d4</t>
        </is>
      </c>
      <c r="F89" t="inlineStr">
        <is>
          <t>RP</t>
        </is>
      </c>
      <c r="G89" t="n">
        <v>2010</v>
      </c>
      <c r="H89" t="inlineStr">
        <is>
          <t>202602</t>
        </is>
      </c>
      <c r="I89" s="22" t="n">
        <v>383060.16</v>
      </c>
      <c r="J89" s="23" t="n">
        <v>4.65</v>
      </c>
      <c r="K89" s="24" t="n">
        <v>447</v>
      </c>
      <c r="L89" s="24" t="n">
        <v>0</v>
      </c>
      <c r="M89" t="n">
        <v>187</v>
      </c>
      <c r="N89" t="n">
        <v>49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s="24">
        <f>J89*100-(K89+(1+L89)*12.5)</f>
        <v/>
      </c>
      <c r="U89">
        <f>O89</f>
        <v/>
      </c>
      <c r="V89">
        <f>M89</f>
        <v/>
      </c>
      <c r="W89" s="23">
        <f>LN(1+I89)</f>
        <v/>
      </c>
      <c r="X89">
        <f>IF(G89&gt;=2021,1,0)</f>
        <v/>
      </c>
      <c r="Y89">
        <f>N89</f>
        <v/>
      </c>
      <c r="Z89" s="23">
        <f>IF(ISNUMBER(M89),N89/MAX(M89,1),0)</f>
        <v/>
      </c>
      <c r="AA89">
        <f>P89</f>
        <v/>
      </c>
      <c r="AB89">
        <f>Q89</f>
        <v/>
      </c>
      <c r="AC89">
        <f>R89</f>
        <v/>
      </c>
      <c r="AD89">
        <f>S89</f>
        <v/>
      </c>
      <c r="AE89">
        <f>IF(ISNUMBER(SEARCH("CAPITAL FUNDING",D89)),1,0)</f>
        <v/>
      </c>
      <c r="AF89">
        <f>IF(ISNUMBER(SEARCH("MERCHANTS",D89)),1,0)</f>
        <v/>
      </c>
      <c r="AG89">
        <f>IF(ISNUMBER(SEARCH("WELLS FARGO",D89)),1,0)</f>
        <v/>
      </c>
      <c r="AH89">
        <f>IF(ISNUMBER(SEARCH("WALKER",D89)),1,0)</f>
        <v/>
      </c>
      <c r="AI89">
        <f>IF(ISNUMBER(SEARCH("PNC",D89)),1,0)</f>
        <v/>
      </c>
      <c r="AJ89">
        <f>IF(ISNUMBER(SEARCH("BERKADIA",D89)),1,0)</f>
        <v/>
      </c>
      <c r="AK89">
        <f>IF(ISNUMBER(SEARCH("DWIGHT",D89)),1,0)</f>
        <v/>
      </c>
      <c r="AL89" s="25">
        <f>T$4*(T89-T$3)</f>
        <v/>
      </c>
      <c r="AM89" s="25">
        <f>U$4*(U89-U$3)</f>
        <v/>
      </c>
      <c r="AN89" s="25">
        <f>V$4*(V89-V$3)</f>
        <v/>
      </c>
      <c r="AO89" s="25">
        <f>W$4*(W89-W$3)</f>
        <v/>
      </c>
      <c r="AP89" s="25">
        <f>X$4*(X89-X$3)</f>
        <v/>
      </c>
      <c r="AQ89" s="25">
        <f>Y$4*(Y89-Y$3)</f>
        <v/>
      </c>
      <c r="AR89" s="25">
        <f>Z$4*(Z89-Z$3)</f>
        <v/>
      </c>
      <c r="AS89" s="25">
        <f>AA$4*(AA89-AA$3)</f>
        <v/>
      </c>
      <c r="AT89" s="25">
        <f>AB$4*(AB89-AB$3)</f>
        <v/>
      </c>
      <c r="AU89" s="25">
        <f>AC$4*(AC89-AC$3)</f>
        <v/>
      </c>
      <c r="AV89" s="25">
        <f>AD$4*(AD89-AD$3)</f>
        <v/>
      </c>
      <c r="AW89" s="25">
        <f>AE$4*(AE89-AE$3)</f>
        <v/>
      </c>
      <c r="AX89" s="25">
        <f>AF$4*(AF89-AF$3)</f>
        <v/>
      </c>
      <c r="AY89" s="25">
        <f>AG$4*(AG89-AG$3)</f>
        <v/>
      </c>
      <c r="AZ89" s="25">
        <f>AH$4*(AH89-AH$3)</f>
        <v/>
      </c>
      <c r="BA89" s="25">
        <f>AI$4*(AI89-AI$3)</f>
        <v/>
      </c>
      <c r="BB89" s="25">
        <f>AJ$4*(AJ89-AJ$3)</f>
        <v/>
      </c>
      <c r="BC89" s="25">
        <f>AK$4*(AK89-AK$3)</f>
        <v/>
      </c>
      <c r="BD89" s="26">
        <f>SUM(AL89:BC89)</f>
        <v/>
      </c>
      <c r="BE89" s="26">
        <f>INTERCEPT_SCALED+BD89</f>
        <v/>
      </c>
      <c r="BF89" s="27">
        <f>1/(1+EXP(-BE89))</f>
        <v/>
      </c>
      <c r="BG89" s="13">
        <f>1-(1-BF89)^12</f>
        <v/>
      </c>
      <c r="BH89" s="13">
        <f>IFERROR(AL89/BD89*(BG89-BASELINE_CPR),0)</f>
        <v/>
      </c>
      <c r="BI89" s="13">
        <f>IFERROR(AM89/BD89*(BG89-BASELINE_CPR),0)</f>
        <v/>
      </c>
      <c r="BJ89" s="13">
        <f>IFERROR(AN89/BD89*(BG89-BASELINE_CPR),0)</f>
        <v/>
      </c>
      <c r="BK89" s="13">
        <f>IFERROR(AO89/BD89*(BG89-BASELINE_CPR),0)</f>
        <v/>
      </c>
      <c r="BL89" s="13">
        <f>IFERROR(AP89/BD89*(BG89-BASELINE_CPR),0)</f>
        <v/>
      </c>
      <c r="BM89" s="13">
        <f>IFERROR(AQ89/BD89*(BG89-BASELINE_CPR),0)</f>
        <v/>
      </c>
      <c r="BN89" s="13">
        <f>IFERROR(AR89/BD89*(BG89-BASELINE_CPR),0)</f>
        <v/>
      </c>
      <c r="BO89" s="13">
        <f>IFERROR(AS89/BD89*(BG89-BASELINE_CPR),0)</f>
        <v/>
      </c>
      <c r="BP89" s="13">
        <f>IFERROR(AT89/BD89*(BG89-BASELINE_CPR),0)</f>
        <v/>
      </c>
      <c r="BQ89" s="13">
        <f>IFERROR(AU89/BD89*(BG89-BASELINE_CPR),0)</f>
        <v/>
      </c>
      <c r="BR89" s="13">
        <f>IFERROR(AV89/BD89*(BG89-BASELINE_CPR),0)</f>
        <v/>
      </c>
      <c r="BS89" s="13">
        <f>IFERROR(AW89/BD89*(BG89-BASELINE_CPR),0)</f>
        <v/>
      </c>
      <c r="BT89" s="13">
        <f>IFERROR(AX89/BD89*(BG89-BASELINE_CPR),0)</f>
        <v/>
      </c>
      <c r="BU89" s="13">
        <f>IFERROR(AY89/BD89*(BG89-BASELINE_CPR),0)</f>
        <v/>
      </c>
      <c r="BV89" s="13">
        <f>IFERROR(AZ89/BD89*(BG89-BASELINE_CPR),0)</f>
        <v/>
      </c>
      <c r="BW89" s="13">
        <f>IFERROR(BA89/BD89*(BG89-BASELINE_CPR),0)</f>
        <v/>
      </c>
      <c r="BX89" s="13">
        <f>IFERROR(BB89/BD89*(BG89-BASELINE_CPR),0)</f>
        <v/>
      </c>
      <c r="BY89" s="13">
        <f>IFERROR(BC89/BD89*(BG89-BASELINE_CPR),0)</f>
        <v/>
      </c>
      <c r="BZ89" s="28">
        <f>BASELINE_CPR+SUM(BH89:BY89)-BG89</f>
        <v/>
      </c>
    </row>
    <row r="90">
      <c r="A90" s="2" t="inlineStr">
        <is>
          <t>3620C5WG8_000000012635300</t>
        </is>
      </c>
      <c r="B90" t="inlineStr">
        <is>
          <t>WALKER_PRE21</t>
        </is>
      </c>
      <c r="C90" s="2" t="inlineStr">
        <is>
          <t>3620C5WG8</t>
        </is>
      </c>
      <c r="D90" t="inlineStr">
        <is>
          <t>WALKER &amp; DUNLOP, LLC</t>
        </is>
      </c>
      <c r="E90" t="inlineStr">
        <is>
          <t>OTHER</t>
        </is>
      </c>
      <c r="F90" t="inlineStr">
        <is>
          <t>OTHER</t>
        </is>
      </c>
      <c r="G90" t="n">
        <v>2011</v>
      </c>
      <c r="H90" t="inlineStr">
        <is>
          <t>202602</t>
        </is>
      </c>
      <c r="I90" s="22" t="n">
        <v>1739264.07</v>
      </c>
      <c r="J90" s="23" t="n">
        <v>6.25</v>
      </c>
      <c r="K90" s="24" t="n">
        <v>447</v>
      </c>
      <c r="L90" s="24" t="n">
        <v>0</v>
      </c>
      <c r="M90" t="n">
        <v>174</v>
      </c>
      <c r="N90" t="n">
        <v>86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s="24">
        <f>J90*100-(K90+(1+L90)*12.5)</f>
        <v/>
      </c>
      <c r="U90">
        <f>O90</f>
        <v/>
      </c>
      <c r="V90">
        <f>M90</f>
        <v/>
      </c>
      <c r="W90" s="23">
        <f>LN(1+I90)</f>
        <v/>
      </c>
      <c r="X90">
        <f>IF(G90&gt;=2021,1,0)</f>
        <v/>
      </c>
      <c r="Y90">
        <f>N90</f>
        <v/>
      </c>
      <c r="Z90" s="23">
        <f>IF(ISNUMBER(M90),N90/MAX(M90,1),0)</f>
        <v/>
      </c>
      <c r="AA90">
        <f>P90</f>
        <v/>
      </c>
      <c r="AB90">
        <f>Q90</f>
        <v/>
      </c>
      <c r="AC90">
        <f>R90</f>
        <v/>
      </c>
      <c r="AD90">
        <f>S90</f>
        <v/>
      </c>
      <c r="AE90">
        <f>IF(ISNUMBER(SEARCH("CAPITAL FUNDING",D90)),1,0)</f>
        <v/>
      </c>
      <c r="AF90">
        <f>IF(ISNUMBER(SEARCH("MERCHANTS",D90)),1,0)</f>
        <v/>
      </c>
      <c r="AG90">
        <f>IF(ISNUMBER(SEARCH("WELLS FARGO",D90)),1,0)</f>
        <v/>
      </c>
      <c r="AH90">
        <f>IF(ISNUMBER(SEARCH("WALKER",D90)),1,0)</f>
        <v/>
      </c>
      <c r="AI90">
        <f>IF(ISNUMBER(SEARCH("PNC",D90)),1,0)</f>
        <v/>
      </c>
      <c r="AJ90">
        <f>IF(ISNUMBER(SEARCH("BERKADIA",D90)),1,0)</f>
        <v/>
      </c>
      <c r="AK90">
        <f>IF(ISNUMBER(SEARCH("DWIGHT",D90)),1,0)</f>
        <v/>
      </c>
      <c r="AL90" s="25">
        <f>T$4*(T90-T$3)</f>
        <v/>
      </c>
      <c r="AM90" s="25">
        <f>U$4*(U90-U$3)</f>
        <v/>
      </c>
      <c r="AN90" s="25">
        <f>V$4*(V90-V$3)</f>
        <v/>
      </c>
      <c r="AO90" s="25">
        <f>W$4*(W90-W$3)</f>
        <v/>
      </c>
      <c r="AP90" s="25">
        <f>X$4*(X90-X$3)</f>
        <v/>
      </c>
      <c r="AQ90" s="25">
        <f>Y$4*(Y90-Y$3)</f>
        <v/>
      </c>
      <c r="AR90" s="25">
        <f>Z$4*(Z90-Z$3)</f>
        <v/>
      </c>
      <c r="AS90" s="25">
        <f>AA$4*(AA90-AA$3)</f>
        <v/>
      </c>
      <c r="AT90" s="25">
        <f>AB$4*(AB90-AB$3)</f>
        <v/>
      </c>
      <c r="AU90" s="25">
        <f>AC$4*(AC90-AC$3)</f>
        <v/>
      </c>
      <c r="AV90" s="25">
        <f>AD$4*(AD90-AD$3)</f>
        <v/>
      </c>
      <c r="AW90" s="25">
        <f>AE$4*(AE90-AE$3)</f>
        <v/>
      </c>
      <c r="AX90" s="25">
        <f>AF$4*(AF90-AF$3)</f>
        <v/>
      </c>
      <c r="AY90" s="25">
        <f>AG$4*(AG90-AG$3)</f>
        <v/>
      </c>
      <c r="AZ90" s="25">
        <f>AH$4*(AH90-AH$3)</f>
        <v/>
      </c>
      <c r="BA90" s="25">
        <f>AI$4*(AI90-AI$3)</f>
        <v/>
      </c>
      <c r="BB90" s="25">
        <f>AJ$4*(AJ90-AJ$3)</f>
        <v/>
      </c>
      <c r="BC90" s="25">
        <f>AK$4*(AK90-AK$3)</f>
        <v/>
      </c>
      <c r="BD90" s="26">
        <f>SUM(AL90:BC90)</f>
        <v/>
      </c>
      <c r="BE90" s="26">
        <f>INTERCEPT_SCALED+BD90</f>
        <v/>
      </c>
      <c r="BF90" s="27">
        <f>1/(1+EXP(-BE90))</f>
        <v/>
      </c>
      <c r="BG90" s="13">
        <f>1-(1-BF90)^12</f>
        <v/>
      </c>
      <c r="BH90" s="13">
        <f>IFERROR(AL90/BD90*(BG90-BASELINE_CPR),0)</f>
        <v/>
      </c>
      <c r="BI90" s="13">
        <f>IFERROR(AM90/BD90*(BG90-BASELINE_CPR),0)</f>
        <v/>
      </c>
      <c r="BJ90" s="13">
        <f>IFERROR(AN90/BD90*(BG90-BASELINE_CPR),0)</f>
        <v/>
      </c>
      <c r="BK90" s="13">
        <f>IFERROR(AO90/BD90*(BG90-BASELINE_CPR),0)</f>
        <v/>
      </c>
      <c r="BL90" s="13">
        <f>IFERROR(AP90/BD90*(BG90-BASELINE_CPR),0)</f>
        <v/>
      </c>
      <c r="BM90" s="13">
        <f>IFERROR(AQ90/BD90*(BG90-BASELINE_CPR),0)</f>
        <v/>
      </c>
      <c r="BN90" s="13">
        <f>IFERROR(AR90/BD90*(BG90-BASELINE_CPR),0)</f>
        <v/>
      </c>
      <c r="BO90" s="13">
        <f>IFERROR(AS90/BD90*(BG90-BASELINE_CPR),0)</f>
        <v/>
      </c>
      <c r="BP90" s="13">
        <f>IFERROR(AT90/BD90*(BG90-BASELINE_CPR),0)</f>
        <v/>
      </c>
      <c r="BQ90" s="13">
        <f>IFERROR(AU90/BD90*(BG90-BASELINE_CPR),0)</f>
        <v/>
      </c>
      <c r="BR90" s="13">
        <f>IFERROR(AV90/BD90*(BG90-BASELINE_CPR),0)</f>
        <v/>
      </c>
      <c r="BS90" s="13">
        <f>IFERROR(AW90/BD90*(BG90-BASELINE_CPR),0)</f>
        <v/>
      </c>
      <c r="BT90" s="13">
        <f>IFERROR(AX90/BD90*(BG90-BASELINE_CPR),0)</f>
        <v/>
      </c>
      <c r="BU90" s="13">
        <f>IFERROR(AY90/BD90*(BG90-BASELINE_CPR),0)</f>
        <v/>
      </c>
      <c r="BV90" s="13">
        <f>IFERROR(AZ90/BD90*(BG90-BASELINE_CPR),0)</f>
        <v/>
      </c>
      <c r="BW90" s="13">
        <f>IFERROR(BA90/BD90*(BG90-BASELINE_CPR),0)</f>
        <v/>
      </c>
      <c r="BX90" s="13">
        <f>IFERROR(BB90/BD90*(BG90-BASELINE_CPR),0)</f>
        <v/>
      </c>
      <c r="BY90" s="13">
        <f>IFERROR(BC90/BD90*(BG90-BASELINE_CPR),0)</f>
        <v/>
      </c>
      <c r="BZ90" s="28">
        <f>BASELINE_CPR+SUM(BH90:BY90)-BG90</f>
        <v/>
      </c>
    </row>
    <row r="91">
      <c r="A91" s="2" t="inlineStr">
        <is>
          <t>3617F7NC6_000000012311329</t>
        </is>
      </c>
      <c r="B91" t="inlineStr">
        <is>
          <t>WALKER_POST21</t>
        </is>
      </c>
      <c r="C91" s="2" t="inlineStr">
        <is>
          <t>3617F7NC6</t>
        </is>
      </c>
      <c r="D91" t="inlineStr">
        <is>
          <t>WALKER &amp; DUNLOP, LLC</t>
        </is>
      </c>
      <c r="E91" t="inlineStr">
        <is>
          <t>223f</t>
        </is>
      </c>
      <c r="F91" t="inlineStr">
        <is>
          <t>RP</t>
        </is>
      </c>
      <c r="G91" t="n">
        <v>2022</v>
      </c>
      <c r="H91" t="inlineStr">
        <is>
          <t>202602</t>
        </is>
      </c>
      <c r="I91" s="22" t="n">
        <v>64446669.9</v>
      </c>
      <c r="J91" s="23" t="n">
        <v>4.25</v>
      </c>
      <c r="K91" s="24" t="n">
        <v>447</v>
      </c>
      <c r="L91" s="24" t="n">
        <v>7</v>
      </c>
      <c r="M91" t="n">
        <v>42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s="24">
        <f>J91*100-(K91+(1+L91)*12.5)</f>
        <v/>
      </c>
      <c r="U91">
        <f>O91</f>
        <v/>
      </c>
      <c r="V91">
        <f>M91</f>
        <v/>
      </c>
      <c r="W91" s="23">
        <f>LN(1+I91)</f>
        <v/>
      </c>
      <c r="X91">
        <f>IF(G91&gt;=2021,1,0)</f>
        <v/>
      </c>
      <c r="Y91">
        <f>N91</f>
        <v/>
      </c>
      <c r="Z91" s="23">
        <f>IF(ISNUMBER(M91),N91/MAX(M91,1),0)</f>
        <v/>
      </c>
      <c r="AA91">
        <f>P91</f>
        <v/>
      </c>
      <c r="AB91">
        <f>Q91</f>
        <v/>
      </c>
      <c r="AC91">
        <f>R91</f>
        <v/>
      </c>
      <c r="AD91">
        <f>S91</f>
        <v/>
      </c>
      <c r="AE91">
        <f>IF(ISNUMBER(SEARCH("CAPITAL FUNDING",D91)),1,0)</f>
        <v/>
      </c>
      <c r="AF91">
        <f>IF(ISNUMBER(SEARCH("MERCHANTS",D91)),1,0)</f>
        <v/>
      </c>
      <c r="AG91">
        <f>IF(ISNUMBER(SEARCH("WELLS FARGO",D91)),1,0)</f>
        <v/>
      </c>
      <c r="AH91">
        <f>IF(ISNUMBER(SEARCH("WALKER",D91)),1,0)</f>
        <v/>
      </c>
      <c r="AI91">
        <f>IF(ISNUMBER(SEARCH("PNC",D91)),1,0)</f>
        <v/>
      </c>
      <c r="AJ91">
        <f>IF(ISNUMBER(SEARCH("BERKADIA",D91)),1,0)</f>
        <v/>
      </c>
      <c r="AK91">
        <f>IF(ISNUMBER(SEARCH("DWIGHT",D91)),1,0)</f>
        <v/>
      </c>
      <c r="AL91" s="25">
        <f>T$4*(T91-T$3)</f>
        <v/>
      </c>
      <c r="AM91" s="25">
        <f>U$4*(U91-U$3)</f>
        <v/>
      </c>
      <c r="AN91" s="25">
        <f>V$4*(V91-V$3)</f>
        <v/>
      </c>
      <c r="AO91" s="25">
        <f>W$4*(W91-W$3)</f>
        <v/>
      </c>
      <c r="AP91" s="25">
        <f>X$4*(X91-X$3)</f>
        <v/>
      </c>
      <c r="AQ91" s="25">
        <f>Y$4*(Y91-Y$3)</f>
        <v/>
      </c>
      <c r="AR91" s="25">
        <f>Z$4*(Z91-Z$3)</f>
        <v/>
      </c>
      <c r="AS91" s="25">
        <f>AA$4*(AA91-AA$3)</f>
        <v/>
      </c>
      <c r="AT91" s="25">
        <f>AB$4*(AB91-AB$3)</f>
        <v/>
      </c>
      <c r="AU91" s="25">
        <f>AC$4*(AC91-AC$3)</f>
        <v/>
      </c>
      <c r="AV91" s="25">
        <f>AD$4*(AD91-AD$3)</f>
        <v/>
      </c>
      <c r="AW91" s="25">
        <f>AE$4*(AE91-AE$3)</f>
        <v/>
      </c>
      <c r="AX91" s="25">
        <f>AF$4*(AF91-AF$3)</f>
        <v/>
      </c>
      <c r="AY91" s="25">
        <f>AG$4*(AG91-AG$3)</f>
        <v/>
      </c>
      <c r="AZ91" s="25">
        <f>AH$4*(AH91-AH$3)</f>
        <v/>
      </c>
      <c r="BA91" s="25">
        <f>AI$4*(AI91-AI$3)</f>
        <v/>
      </c>
      <c r="BB91" s="25">
        <f>AJ$4*(AJ91-AJ$3)</f>
        <v/>
      </c>
      <c r="BC91" s="25">
        <f>AK$4*(AK91-AK$3)</f>
        <v/>
      </c>
      <c r="BD91" s="26">
        <f>SUM(AL91:BC91)</f>
        <v/>
      </c>
      <c r="BE91" s="26">
        <f>INTERCEPT_SCALED+BD91</f>
        <v/>
      </c>
      <c r="BF91" s="27">
        <f>1/(1+EXP(-BE91))</f>
        <v/>
      </c>
      <c r="BG91" s="13">
        <f>1-(1-BF91)^12</f>
        <v/>
      </c>
      <c r="BH91" s="13">
        <f>IFERROR(AL91/BD91*(BG91-BASELINE_CPR),0)</f>
        <v/>
      </c>
      <c r="BI91" s="13">
        <f>IFERROR(AM91/BD91*(BG91-BASELINE_CPR),0)</f>
        <v/>
      </c>
      <c r="BJ91" s="13">
        <f>IFERROR(AN91/BD91*(BG91-BASELINE_CPR),0)</f>
        <v/>
      </c>
      <c r="BK91" s="13">
        <f>IFERROR(AO91/BD91*(BG91-BASELINE_CPR),0)</f>
        <v/>
      </c>
      <c r="BL91" s="13">
        <f>IFERROR(AP91/BD91*(BG91-BASELINE_CPR),0)</f>
        <v/>
      </c>
      <c r="BM91" s="13">
        <f>IFERROR(AQ91/BD91*(BG91-BASELINE_CPR),0)</f>
        <v/>
      </c>
      <c r="BN91" s="13">
        <f>IFERROR(AR91/BD91*(BG91-BASELINE_CPR),0)</f>
        <v/>
      </c>
      <c r="BO91" s="13">
        <f>IFERROR(AS91/BD91*(BG91-BASELINE_CPR),0)</f>
        <v/>
      </c>
      <c r="BP91" s="13">
        <f>IFERROR(AT91/BD91*(BG91-BASELINE_CPR),0)</f>
        <v/>
      </c>
      <c r="BQ91" s="13">
        <f>IFERROR(AU91/BD91*(BG91-BASELINE_CPR),0)</f>
        <v/>
      </c>
      <c r="BR91" s="13">
        <f>IFERROR(AV91/BD91*(BG91-BASELINE_CPR),0)</f>
        <v/>
      </c>
      <c r="BS91" s="13">
        <f>IFERROR(AW91/BD91*(BG91-BASELINE_CPR),0)</f>
        <v/>
      </c>
      <c r="BT91" s="13">
        <f>IFERROR(AX91/BD91*(BG91-BASELINE_CPR),0)</f>
        <v/>
      </c>
      <c r="BU91" s="13">
        <f>IFERROR(AY91/BD91*(BG91-BASELINE_CPR),0)</f>
        <v/>
      </c>
      <c r="BV91" s="13">
        <f>IFERROR(AZ91/BD91*(BG91-BASELINE_CPR),0)</f>
        <v/>
      </c>
      <c r="BW91" s="13">
        <f>IFERROR(BA91/BD91*(BG91-BASELINE_CPR),0)</f>
        <v/>
      </c>
      <c r="BX91" s="13">
        <f>IFERROR(BB91/BD91*(BG91-BASELINE_CPR),0)</f>
        <v/>
      </c>
      <c r="BY91" s="13">
        <f>IFERROR(BC91/BD91*(BG91-BASELINE_CPR),0)</f>
        <v/>
      </c>
      <c r="BZ91" s="28">
        <f>BASELINE_CPR+SUM(BH91:BY91)-BG91</f>
        <v/>
      </c>
    </row>
    <row r="92">
      <c r="A92" s="2" t="inlineStr">
        <is>
          <t>3618AWG40_000000008711151</t>
        </is>
      </c>
      <c r="B92" t="inlineStr">
        <is>
          <t>WALKER_POST21</t>
        </is>
      </c>
      <c r="C92" s="2" t="inlineStr">
        <is>
          <t>3618AWG40</t>
        </is>
      </c>
      <c r="D92" t="inlineStr">
        <is>
          <t>WALKER &amp; DUNLOP, LLC</t>
        </is>
      </c>
      <c r="E92" t="inlineStr">
        <is>
          <t>223f</t>
        </is>
      </c>
      <c r="F92" t="inlineStr">
        <is>
          <t>RP</t>
        </is>
      </c>
      <c r="G92" t="n">
        <v>2023</v>
      </c>
      <c r="H92" t="inlineStr">
        <is>
          <t>202602</t>
        </is>
      </c>
      <c r="I92" s="22" t="n">
        <v>6005643.3</v>
      </c>
      <c r="J92" s="23" t="n">
        <v>6.19</v>
      </c>
      <c r="K92" s="24" t="n">
        <v>447</v>
      </c>
      <c r="L92" s="24" t="n">
        <v>8</v>
      </c>
      <c r="M92" t="n">
        <v>28</v>
      </c>
      <c r="N92" t="n">
        <v>7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s="24">
        <f>J92*100-(K92+(1+L92)*12.5)</f>
        <v/>
      </c>
      <c r="U92">
        <f>O92</f>
        <v/>
      </c>
      <c r="V92">
        <f>M92</f>
        <v/>
      </c>
      <c r="W92" s="23">
        <f>LN(1+I92)</f>
        <v/>
      </c>
      <c r="X92">
        <f>IF(G92&gt;=2021,1,0)</f>
        <v/>
      </c>
      <c r="Y92">
        <f>N92</f>
        <v/>
      </c>
      <c r="Z92" s="23">
        <f>IF(ISNUMBER(M92),N92/MAX(M92,1),0)</f>
        <v/>
      </c>
      <c r="AA92">
        <f>P92</f>
        <v/>
      </c>
      <c r="AB92">
        <f>Q92</f>
        <v/>
      </c>
      <c r="AC92">
        <f>R92</f>
        <v/>
      </c>
      <c r="AD92">
        <f>S92</f>
        <v/>
      </c>
      <c r="AE92">
        <f>IF(ISNUMBER(SEARCH("CAPITAL FUNDING",D92)),1,0)</f>
        <v/>
      </c>
      <c r="AF92">
        <f>IF(ISNUMBER(SEARCH("MERCHANTS",D92)),1,0)</f>
        <v/>
      </c>
      <c r="AG92">
        <f>IF(ISNUMBER(SEARCH("WELLS FARGO",D92)),1,0)</f>
        <v/>
      </c>
      <c r="AH92">
        <f>IF(ISNUMBER(SEARCH("WALKER",D92)),1,0)</f>
        <v/>
      </c>
      <c r="AI92">
        <f>IF(ISNUMBER(SEARCH("PNC",D92)),1,0)</f>
        <v/>
      </c>
      <c r="AJ92">
        <f>IF(ISNUMBER(SEARCH("BERKADIA",D92)),1,0)</f>
        <v/>
      </c>
      <c r="AK92">
        <f>IF(ISNUMBER(SEARCH("DWIGHT",D92)),1,0)</f>
        <v/>
      </c>
      <c r="AL92" s="25">
        <f>T$4*(T92-T$3)</f>
        <v/>
      </c>
      <c r="AM92" s="25">
        <f>U$4*(U92-U$3)</f>
        <v/>
      </c>
      <c r="AN92" s="25">
        <f>V$4*(V92-V$3)</f>
        <v/>
      </c>
      <c r="AO92" s="25">
        <f>W$4*(W92-W$3)</f>
        <v/>
      </c>
      <c r="AP92" s="25">
        <f>X$4*(X92-X$3)</f>
        <v/>
      </c>
      <c r="AQ92" s="25">
        <f>Y$4*(Y92-Y$3)</f>
        <v/>
      </c>
      <c r="AR92" s="25">
        <f>Z$4*(Z92-Z$3)</f>
        <v/>
      </c>
      <c r="AS92" s="25">
        <f>AA$4*(AA92-AA$3)</f>
        <v/>
      </c>
      <c r="AT92" s="25">
        <f>AB$4*(AB92-AB$3)</f>
        <v/>
      </c>
      <c r="AU92" s="25">
        <f>AC$4*(AC92-AC$3)</f>
        <v/>
      </c>
      <c r="AV92" s="25">
        <f>AD$4*(AD92-AD$3)</f>
        <v/>
      </c>
      <c r="AW92" s="25">
        <f>AE$4*(AE92-AE$3)</f>
        <v/>
      </c>
      <c r="AX92" s="25">
        <f>AF$4*(AF92-AF$3)</f>
        <v/>
      </c>
      <c r="AY92" s="25">
        <f>AG$4*(AG92-AG$3)</f>
        <v/>
      </c>
      <c r="AZ92" s="25">
        <f>AH$4*(AH92-AH$3)</f>
        <v/>
      </c>
      <c r="BA92" s="25">
        <f>AI$4*(AI92-AI$3)</f>
        <v/>
      </c>
      <c r="BB92" s="25">
        <f>AJ$4*(AJ92-AJ$3)</f>
        <v/>
      </c>
      <c r="BC92" s="25">
        <f>AK$4*(AK92-AK$3)</f>
        <v/>
      </c>
      <c r="BD92" s="26">
        <f>SUM(AL92:BC92)</f>
        <v/>
      </c>
      <c r="BE92" s="26">
        <f>INTERCEPT_SCALED+BD92</f>
        <v/>
      </c>
      <c r="BF92" s="27">
        <f>1/(1+EXP(-BE92))</f>
        <v/>
      </c>
      <c r="BG92" s="13">
        <f>1-(1-BF92)^12</f>
        <v/>
      </c>
      <c r="BH92" s="13">
        <f>IFERROR(AL92/BD92*(BG92-BASELINE_CPR),0)</f>
        <v/>
      </c>
      <c r="BI92" s="13">
        <f>IFERROR(AM92/BD92*(BG92-BASELINE_CPR),0)</f>
        <v/>
      </c>
      <c r="BJ92" s="13">
        <f>IFERROR(AN92/BD92*(BG92-BASELINE_CPR),0)</f>
        <v/>
      </c>
      <c r="BK92" s="13">
        <f>IFERROR(AO92/BD92*(BG92-BASELINE_CPR),0)</f>
        <v/>
      </c>
      <c r="BL92" s="13">
        <f>IFERROR(AP92/BD92*(BG92-BASELINE_CPR),0)</f>
        <v/>
      </c>
      <c r="BM92" s="13">
        <f>IFERROR(AQ92/BD92*(BG92-BASELINE_CPR),0)</f>
        <v/>
      </c>
      <c r="BN92" s="13">
        <f>IFERROR(AR92/BD92*(BG92-BASELINE_CPR),0)</f>
        <v/>
      </c>
      <c r="BO92" s="13">
        <f>IFERROR(AS92/BD92*(BG92-BASELINE_CPR),0)</f>
        <v/>
      </c>
      <c r="BP92" s="13">
        <f>IFERROR(AT92/BD92*(BG92-BASELINE_CPR),0)</f>
        <v/>
      </c>
      <c r="BQ92" s="13">
        <f>IFERROR(AU92/BD92*(BG92-BASELINE_CPR),0)</f>
        <v/>
      </c>
      <c r="BR92" s="13">
        <f>IFERROR(AV92/BD92*(BG92-BASELINE_CPR),0)</f>
        <v/>
      </c>
      <c r="BS92" s="13">
        <f>IFERROR(AW92/BD92*(BG92-BASELINE_CPR),0)</f>
        <v/>
      </c>
      <c r="BT92" s="13">
        <f>IFERROR(AX92/BD92*(BG92-BASELINE_CPR),0)</f>
        <v/>
      </c>
      <c r="BU92" s="13">
        <f>IFERROR(AY92/BD92*(BG92-BASELINE_CPR),0)</f>
        <v/>
      </c>
      <c r="BV92" s="13">
        <f>IFERROR(AZ92/BD92*(BG92-BASELINE_CPR),0)</f>
        <v/>
      </c>
      <c r="BW92" s="13">
        <f>IFERROR(BA92/BD92*(BG92-BASELINE_CPR),0)</f>
        <v/>
      </c>
      <c r="BX92" s="13">
        <f>IFERROR(BB92/BD92*(BG92-BASELINE_CPR),0)</f>
        <v/>
      </c>
      <c r="BY92" s="13">
        <f>IFERROR(BC92/BD92*(BG92-BASELINE_CPR),0)</f>
        <v/>
      </c>
      <c r="BZ92" s="28">
        <f>BASELINE_CPR+SUM(BH92:BY92)-BG92</f>
        <v/>
      </c>
    </row>
    <row r="93">
      <c r="A93" s="2" t="inlineStr">
        <is>
          <t>3617UQN29_000000014311196</t>
        </is>
      </c>
      <c r="B93" t="inlineStr">
        <is>
          <t>WALKER_PRE21</t>
        </is>
      </c>
      <c r="C93" s="2" t="inlineStr">
        <is>
          <t>3617UQN29</t>
        </is>
      </c>
      <c r="D93" t="inlineStr">
        <is>
          <t>WALKER &amp; DUNLOP, LLC</t>
        </is>
      </c>
      <c r="E93" t="inlineStr">
        <is>
          <t>223f</t>
        </is>
      </c>
      <c r="F93" t="inlineStr">
        <is>
          <t>RP</t>
        </is>
      </c>
      <c r="G93" t="n">
        <v>2018</v>
      </c>
      <c r="H93" t="inlineStr">
        <is>
          <t>202602</t>
        </is>
      </c>
      <c r="I93" s="22" t="n">
        <v>39007699.47</v>
      </c>
      <c r="J93" s="23" t="n">
        <v>3.38</v>
      </c>
      <c r="K93" s="24" t="n">
        <v>447</v>
      </c>
      <c r="L93" s="24" t="n">
        <v>7</v>
      </c>
      <c r="M93" t="n">
        <v>88</v>
      </c>
      <c r="N93" t="n">
        <v>9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s="24">
        <f>J93*100-(K93+(1+L93)*12.5)</f>
        <v/>
      </c>
      <c r="U93">
        <f>O93</f>
        <v/>
      </c>
      <c r="V93">
        <f>M93</f>
        <v/>
      </c>
      <c r="W93" s="23">
        <f>LN(1+I93)</f>
        <v/>
      </c>
      <c r="X93">
        <f>IF(G93&gt;=2021,1,0)</f>
        <v/>
      </c>
      <c r="Y93">
        <f>N93</f>
        <v/>
      </c>
      <c r="Z93" s="23">
        <f>IF(ISNUMBER(M93),N93/MAX(M93,1),0)</f>
        <v/>
      </c>
      <c r="AA93">
        <f>P93</f>
        <v/>
      </c>
      <c r="AB93">
        <f>Q93</f>
        <v/>
      </c>
      <c r="AC93">
        <f>R93</f>
        <v/>
      </c>
      <c r="AD93">
        <f>S93</f>
        <v/>
      </c>
      <c r="AE93">
        <f>IF(ISNUMBER(SEARCH("CAPITAL FUNDING",D93)),1,0)</f>
        <v/>
      </c>
      <c r="AF93">
        <f>IF(ISNUMBER(SEARCH("MERCHANTS",D93)),1,0)</f>
        <v/>
      </c>
      <c r="AG93">
        <f>IF(ISNUMBER(SEARCH("WELLS FARGO",D93)),1,0)</f>
        <v/>
      </c>
      <c r="AH93">
        <f>IF(ISNUMBER(SEARCH("WALKER",D93)),1,0)</f>
        <v/>
      </c>
      <c r="AI93">
        <f>IF(ISNUMBER(SEARCH("PNC",D93)),1,0)</f>
        <v/>
      </c>
      <c r="AJ93">
        <f>IF(ISNUMBER(SEARCH("BERKADIA",D93)),1,0)</f>
        <v/>
      </c>
      <c r="AK93">
        <f>IF(ISNUMBER(SEARCH("DWIGHT",D93)),1,0)</f>
        <v/>
      </c>
      <c r="AL93" s="25">
        <f>T$4*(T93-T$3)</f>
        <v/>
      </c>
      <c r="AM93" s="25">
        <f>U$4*(U93-U$3)</f>
        <v/>
      </c>
      <c r="AN93" s="25">
        <f>V$4*(V93-V$3)</f>
        <v/>
      </c>
      <c r="AO93" s="25">
        <f>W$4*(W93-W$3)</f>
        <v/>
      </c>
      <c r="AP93" s="25">
        <f>X$4*(X93-X$3)</f>
        <v/>
      </c>
      <c r="AQ93" s="25">
        <f>Y$4*(Y93-Y$3)</f>
        <v/>
      </c>
      <c r="AR93" s="25">
        <f>Z$4*(Z93-Z$3)</f>
        <v/>
      </c>
      <c r="AS93" s="25">
        <f>AA$4*(AA93-AA$3)</f>
        <v/>
      </c>
      <c r="AT93" s="25">
        <f>AB$4*(AB93-AB$3)</f>
        <v/>
      </c>
      <c r="AU93" s="25">
        <f>AC$4*(AC93-AC$3)</f>
        <v/>
      </c>
      <c r="AV93" s="25">
        <f>AD$4*(AD93-AD$3)</f>
        <v/>
      </c>
      <c r="AW93" s="25">
        <f>AE$4*(AE93-AE$3)</f>
        <v/>
      </c>
      <c r="AX93" s="25">
        <f>AF$4*(AF93-AF$3)</f>
        <v/>
      </c>
      <c r="AY93" s="25">
        <f>AG$4*(AG93-AG$3)</f>
        <v/>
      </c>
      <c r="AZ93" s="25">
        <f>AH$4*(AH93-AH$3)</f>
        <v/>
      </c>
      <c r="BA93" s="25">
        <f>AI$4*(AI93-AI$3)</f>
        <v/>
      </c>
      <c r="BB93" s="25">
        <f>AJ$4*(AJ93-AJ$3)</f>
        <v/>
      </c>
      <c r="BC93" s="25">
        <f>AK$4*(AK93-AK$3)</f>
        <v/>
      </c>
      <c r="BD93" s="26">
        <f>SUM(AL93:BC93)</f>
        <v/>
      </c>
      <c r="BE93" s="26">
        <f>INTERCEPT_SCALED+BD93</f>
        <v/>
      </c>
      <c r="BF93" s="27">
        <f>1/(1+EXP(-BE93))</f>
        <v/>
      </c>
      <c r="BG93" s="13">
        <f>1-(1-BF93)^12</f>
        <v/>
      </c>
      <c r="BH93" s="13">
        <f>IFERROR(AL93/BD93*(BG93-BASELINE_CPR),0)</f>
        <v/>
      </c>
      <c r="BI93" s="13">
        <f>IFERROR(AM93/BD93*(BG93-BASELINE_CPR),0)</f>
        <v/>
      </c>
      <c r="BJ93" s="13">
        <f>IFERROR(AN93/BD93*(BG93-BASELINE_CPR),0)</f>
        <v/>
      </c>
      <c r="BK93" s="13">
        <f>IFERROR(AO93/BD93*(BG93-BASELINE_CPR),0)</f>
        <v/>
      </c>
      <c r="BL93" s="13">
        <f>IFERROR(AP93/BD93*(BG93-BASELINE_CPR),0)</f>
        <v/>
      </c>
      <c r="BM93" s="13">
        <f>IFERROR(AQ93/BD93*(BG93-BASELINE_CPR),0)</f>
        <v/>
      </c>
      <c r="BN93" s="13">
        <f>IFERROR(AR93/BD93*(BG93-BASELINE_CPR),0)</f>
        <v/>
      </c>
      <c r="BO93" s="13">
        <f>IFERROR(AS93/BD93*(BG93-BASELINE_CPR),0)</f>
        <v/>
      </c>
      <c r="BP93" s="13">
        <f>IFERROR(AT93/BD93*(BG93-BASELINE_CPR),0)</f>
        <v/>
      </c>
      <c r="BQ93" s="13">
        <f>IFERROR(AU93/BD93*(BG93-BASELINE_CPR),0)</f>
        <v/>
      </c>
      <c r="BR93" s="13">
        <f>IFERROR(AV93/BD93*(BG93-BASELINE_CPR),0)</f>
        <v/>
      </c>
      <c r="BS93" s="13">
        <f>IFERROR(AW93/BD93*(BG93-BASELINE_CPR),0)</f>
        <v/>
      </c>
      <c r="BT93" s="13">
        <f>IFERROR(AX93/BD93*(BG93-BASELINE_CPR),0)</f>
        <v/>
      </c>
      <c r="BU93" s="13">
        <f>IFERROR(AY93/BD93*(BG93-BASELINE_CPR),0)</f>
        <v/>
      </c>
      <c r="BV93" s="13">
        <f>IFERROR(AZ93/BD93*(BG93-BASELINE_CPR),0)</f>
        <v/>
      </c>
      <c r="BW93" s="13">
        <f>IFERROR(BA93/BD93*(BG93-BASELINE_CPR),0)</f>
        <v/>
      </c>
      <c r="BX93" s="13">
        <f>IFERROR(BB93/BD93*(BG93-BASELINE_CPR),0)</f>
        <v/>
      </c>
      <c r="BY93" s="13">
        <f>IFERROR(BC93/BD93*(BG93-BASELINE_CPR),0)</f>
        <v/>
      </c>
      <c r="BZ93" s="28">
        <f>BASELINE_CPR+SUM(BH93:BY93)-BG93</f>
        <v/>
      </c>
    </row>
    <row r="94">
      <c r="A94" s="2" t="inlineStr">
        <is>
          <t>3618A7L72_000000010322077</t>
        </is>
      </c>
      <c r="B94" t="inlineStr">
        <is>
          <t>WALKER_POST21</t>
        </is>
      </c>
      <c r="C94" s="2" t="inlineStr">
        <is>
          <t>3618A7L72</t>
        </is>
      </c>
      <c r="D94" t="inlineStr">
        <is>
          <t>WALKER &amp; DUNLOP, LLC</t>
        </is>
      </c>
      <c r="E94" t="inlineStr">
        <is>
          <t>232</t>
        </is>
      </c>
      <c r="F94" t="inlineStr">
        <is>
          <t>RP</t>
        </is>
      </c>
      <c r="G94" t="n">
        <v>2022</v>
      </c>
      <c r="H94" t="inlineStr">
        <is>
          <t>202602</t>
        </is>
      </c>
      <c r="I94" s="22" t="n">
        <v>7367099.98</v>
      </c>
      <c r="J94" s="23" t="n">
        <v>5.7</v>
      </c>
      <c r="K94" s="24" t="n">
        <v>447</v>
      </c>
      <c r="L94" s="24" t="n">
        <v>7</v>
      </c>
      <c r="M94" t="n">
        <v>39</v>
      </c>
      <c r="N94" t="n">
        <v>3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s="24">
        <f>J94*100-(K94+(1+L94)*12.5)</f>
        <v/>
      </c>
      <c r="U94">
        <f>O94</f>
        <v/>
      </c>
      <c r="V94">
        <f>M94</f>
        <v/>
      </c>
      <c r="W94" s="23">
        <f>LN(1+I94)</f>
        <v/>
      </c>
      <c r="X94">
        <f>IF(G94&gt;=2021,1,0)</f>
        <v/>
      </c>
      <c r="Y94">
        <f>N94</f>
        <v/>
      </c>
      <c r="Z94" s="23">
        <f>IF(ISNUMBER(M94),N94/MAX(M94,1),0)</f>
        <v/>
      </c>
      <c r="AA94">
        <f>P94</f>
        <v/>
      </c>
      <c r="AB94">
        <f>Q94</f>
        <v/>
      </c>
      <c r="AC94">
        <f>R94</f>
        <v/>
      </c>
      <c r="AD94">
        <f>S94</f>
        <v/>
      </c>
      <c r="AE94">
        <f>IF(ISNUMBER(SEARCH("CAPITAL FUNDING",D94)),1,0)</f>
        <v/>
      </c>
      <c r="AF94">
        <f>IF(ISNUMBER(SEARCH("MERCHANTS",D94)),1,0)</f>
        <v/>
      </c>
      <c r="AG94">
        <f>IF(ISNUMBER(SEARCH("WELLS FARGO",D94)),1,0)</f>
        <v/>
      </c>
      <c r="AH94">
        <f>IF(ISNUMBER(SEARCH("WALKER",D94)),1,0)</f>
        <v/>
      </c>
      <c r="AI94">
        <f>IF(ISNUMBER(SEARCH("PNC",D94)),1,0)</f>
        <v/>
      </c>
      <c r="AJ94">
        <f>IF(ISNUMBER(SEARCH("BERKADIA",D94)),1,0)</f>
        <v/>
      </c>
      <c r="AK94">
        <f>IF(ISNUMBER(SEARCH("DWIGHT",D94)),1,0)</f>
        <v/>
      </c>
      <c r="AL94" s="25">
        <f>T$4*(T94-T$3)</f>
        <v/>
      </c>
      <c r="AM94" s="25">
        <f>U$4*(U94-U$3)</f>
        <v/>
      </c>
      <c r="AN94" s="25">
        <f>V$4*(V94-V$3)</f>
        <v/>
      </c>
      <c r="AO94" s="25">
        <f>W$4*(W94-W$3)</f>
        <v/>
      </c>
      <c r="AP94" s="25">
        <f>X$4*(X94-X$3)</f>
        <v/>
      </c>
      <c r="AQ94" s="25">
        <f>Y$4*(Y94-Y$3)</f>
        <v/>
      </c>
      <c r="AR94" s="25">
        <f>Z$4*(Z94-Z$3)</f>
        <v/>
      </c>
      <c r="AS94" s="25">
        <f>AA$4*(AA94-AA$3)</f>
        <v/>
      </c>
      <c r="AT94" s="25">
        <f>AB$4*(AB94-AB$3)</f>
        <v/>
      </c>
      <c r="AU94" s="25">
        <f>AC$4*(AC94-AC$3)</f>
        <v/>
      </c>
      <c r="AV94" s="25">
        <f>AD$4*(AD94-AD$3)</f>
        <v/>
      </c>
      <c r="AW94" s="25">
        <f>AE$4*(AE94-AE$3)</f>
        <v/>
      </c>
      <c r="AX94" s="25">
        <f>AF$4*(AF94-AF$3)</f>
        <v/>
      </c>
      <c r="AY94" s="25">
        <f>AG$4*(AG94-AG$3)</f>
        <v/>
      </c>
      <c r="AZ94" s="25">
        <f>AH$4*(AH94-AH$3)</f>
        <v/>
      </c>
      <c r="BA94" s="25">
        <f>AI$4*(AI94-AI$3)</f>
        <v/>
      </c>
      <c r="BB94" s="25">
        <f>AJ$4*(AJ94-AJ$3)</f>
        <v/>
      </c>
      <c r="BC94" s="25">
        <f>AK$4*(AK94-AK$3)</f>
        <v/>
      </c>
      <c r="BD94" s="26">
        <f>SUM(AL94:BC94)</f>
        <v/>
      </c>
      <c r="BE94" s="26">
        <f>INTERCEPT_SCALED+BD94</f>
        <v/>
      </c>
      <c r="BF94" s="27">
        <f>1/(1+EXP(-BE94))</f>
        <v/>
      </c>
      <c r="BG94" s="13">
        <f>1-(1-BF94)^12</f>
        <v/>
      </c>
      <c r="BH94" s="13">
        <f>IFERROR(AL94/BD94*(BG94-BASELINE_CPR),0)</f>
        <v/>
      </c>
      <c r="BI94" s="13">
        <f>IFERROR(AM94/BD94*(BG94-BASELINE_CPR),0)</f>
        <v/>
      </c>
      <c r="BJ94" s="13">
        <f>IFERROR(AN94/BD94*(BG94-BASELINE_CPR),0)</f>
        <v/>
      </c>
      <c r="BK94" s="13">
        <f>IFERROR(AO94/BD94*(BG94-BASELINE_CPR),0)</f>
        <v/>
      </c>
      <c r="BL94" s="13">
        <f>IFERROR(AP94/BD94*(BG94-BASELINE_CPR),0)</f>
        <v/>
      </c>
      <c r="BM94" s="13">
        <f>IFERROR(AQ94/BD94*(BG94-BASELINE_CPR),0)</f>
        <v/>
      </c>
      <c r="BN94" s="13">
        <f>IFERROR(AR94/BD94*(BG94-BASELINE_CPR),0)</f>
        <v/>
      </c>
      <c r="BO94" s="13">
        <f>IFERROR(AS94/BD94*(BG94-BASELINE_CPR),0)</f>
        <v/>
      </c>
      <c r="BP94" s="13">
        <f>IFERROR(AT94/BD94*(BG94-BASELINE_CPR),0)</f>
        <v/>
      </c>
      <c r="BQ94" s="13">
        <f>IFERROR(AU94/BD94*(BG94-BASELINE_CPR),0)</f>
        <v/>
      </c>
      <c r="BR94" s="13">
        <f>IFERROR(AV94/BD94*(BG94-BASELINE_CPR),0)</f>
        <v/>
      </c>
      <c r="BS94" s="13">
        <f>IFERROR(AW94/BD94*(BG94-BASELINE_CPR),0)</f>
        <v/>
      </c>
      <c r="BT94" s="13">
        <f>IFERROR(AX94/BD94*(BG94-BASELINE_CPR),0)</f>
        <v/>
      </c>
      <c r="BU94" s="13">
        <f>IFERROR(AY94/BD94*(BG94-BASELINE_CPR),0)</f>
        <v/>
      </c>
      <c r="BV94" s="13">
        <f>IFERROR(AZ94/BD94*(BG94-BASELINE_CPR),0)</f>
        <v/>
      </c>
      <c r="BW94" s="13">
        <f>IFERROR(BA94/BD94*(BG94-BASELINE_CPR),0)</f>
        <v/>
      </c>
      <c r="BX94" s="13">
        <f>IFERROR(BB94/BD94*(BG94-BASELINE_CPR),0)</f>
        <v/>
      </c>
      <c r="BY94" s="13">
        <f>IFERROR(BC94/BD94*(BG94-BASELINE_CPR),0)</f>
        <v/>
      </c>
      <c r="BZ94" s="28">
        <f>BASELINE_CPR+SUM(BH94:BY94)-BG94</f>
        <v/>
      </c>
    </row>
    <row r="95">
      <c r="A95" s="2" t="inlineStr">
        <is>
          <t>3617YBQV1_000000004611202</t>
        </is>
      </c>
      <c r="B95" t="inlineStr">
        <is>
          <t>GREYSTONE_POST21</t>
        </is>
      </c>
      <c r="C95" s="2" t="inlineStr">
        <is>
          <t>3617YBQV1</t>
        </is>
      </c>
      <c r="D95" t="inlineStr">
        <is>
          <t>GREYSTONE FUNDING COMPANY LLC</t>
        </is>
      </c>
      <c r="E95" t="inlineStr">
        <is>
          <t>223f</t>
        </is>
      </c>
      <c r="F95" t="inlineStr">
        <is>
          <t>RP</t>
        </is>
      </c>
      <c r="G95" t="n">
        <v>2022</v>
      </c>
      <c r="H95" t="inlineStr">
        <is>
          <t>202602</t>
        </is>
      </c>
      <c r="I95" s="22" t="n">
        <v>6334987</v>
      </c>
      <c r="J95" s="23" t="n">
        <v>2.9</v>
      </c>
      <c r="K95" s="24" t="n">
        <v>447</v>
      </c>
      <c r="L95" s="24" t="n">
        <v>0</v>
      </c>
      <c r="M95" t="n">
        <v>47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s="24">
        <f>J95*100-(K95+(1+L95)*12.5)</f>
        <v/>
      </c>
      <c r="U95">
        <f>O95</f>
        <v/>
      </c>
      <c r="V95">
        <f>M95</f>
        <v/>
      </c>
      <c r="W95" s="23">
        <f>LN(1+I95)</f>
        <v/>
      </c>
      <c r="X95">
        <f>IF(G95&gt;=2021,1,0)</f>
        <v/>
      </c>
      <c r="Y95">
        <f>N95</f>
        <v/>
      </c>
      <c r="Z95" s="23">
        <f>IF(ISNUMBER(M95),N95/MAX(M95,1),0)</f>
        <v/>
      </c>
      <c r="AA95">
        <f>P95</f>
        <v/>
      </c>
      <c r="AB95">
        <f>Q95</f>
        <v/>
      </c>
      <c r="AC95">
        <f>R95</f>
        <v/>
      </c>
      <c r="AD95">
        <f>S95</f>
        <v/>
      </c>
      <c r="AE95">
        <f>IF(ISNUMBER(SEARCH("CAPITAL FUNDING",D95)),1,0)</f>
        <v/>
      </c>
      <c r="AF95">
        <f>IF(ISNUMBER(SEARCH("MERCHANTS",D95)),1,0)</f>
        <v/>
      </c>
      <c r="AG95">
        <f>IF(ISNUMBER(SEARCH("WELLS FARGO",D95)),1,0)</f>
        <v/>
      </c>
      <c r="AH95">
        <f>IF(ISNUMBER(SEARCH("WALKER",D95)),1,0)</f>
        <v/>
      </c>
      <c r="AI95">
        <f>IF(ISNUMBER(SEARCH("PNC",D95)),1,0)</f>
        <v/>
      </c>
      <c r="AJ95">
        <f>IF(ISNUMBER(SEARCH("BERKADIA",D95)),1,0)</f>
        <v/>
      </c>
      <c r="AK95">
        <f>IF(ISNUMBER(SEARCH("DWIGHT",D95)),1,0)</f>
        <v/>
      </c>
      <c r="AL95" s="25">
        <f>T$4*(T95-T$3)</f>
        <v/>
      </c>
      <c r="AM95" s="25">
        <f>U$4*(U95-U$3)</f>
        <v/>
      </c>
      <c r="AN95" s="25">
        <f>V$4*(V95-V$3)</f>
        <v/>
      </c>
      <c r="AO95" s="25">
        <f>W$4*(W95-W$3)</f>
        <v/>
      </c>
      <c r="AP95" s="25">
        <f>X$4*(X95-X$3)</f>
        <v/>
      </c>
      <c r="AQ95" s="25">
        <f>Y$4*(Y95-Y$3)</f>
        <v/>
      </c>
      <c r="AR95" s="25">
        <f>Z$4*(Z95-Z$3)</f>
        <v/>
      </c>
      <c r="AS95" s="25">
        <f>AA$4*(AA95-AA$3)</f>
        <v/>
      </c>
      <c r="AT95" s="25">
        <f>AB$4*(AB95-AB$3)</f>
        <v/>
      </c>
      <c r="AU95" s="25">
        <f>AC$4*(AC95-AC$3)</f>
        <v/>
      </c>
      <c r="AV95" s="25">
        <f>AD$4*(AD95-AD$3)</f>
        <v/>
      </c>
      <c r="AW95" s="25">
        <f>AE$4*(AE95-AE$3)</f>
        <v/>
      </c>
      <c r="AX95" s="25">
        <f>AF$4*(AF95-AF$3)</f>
        <v/>
      </c>
      <c r="AY95" s="25">
        <f>AG$4*(AG95-AG$3)</f>
        <v/>
      </c>
      <c r="AZ95" s="25">
        <f>AH$4*(AH95-AH$3)</f>
        <v/>
      </c>
      <c r="BA95" s="25">
        <f>AI$4*(AI95-AI$3)</f>
        <v/>
      </c>
      <c r="BB95" s="25">
        <f>AJ$4*(AJ95-AJ$3)</f>
        <v/>
      </c>
      <c r="BC95" s="25">
        <f>AK$4*(AK95-AK$3)</f>
        <v/>
      </c>
      <c r="BD95" s="26">
        <f>SUM(AL95:BC95)</f>
        <v/>
      </c>
      <c r="BE95" s="26">
        <f>INTERCEPT_SCALED+BD95</f>
        <v/>
      </c>
      <c r="BF95" s="27">
        <f>1/(1+EXP(-BE95))</f>
        <v/>
      </c>
      <c r="BG95" s="13">
        <f>1-(1-BF95)^12</f>
        <v/>
      </c>
      <c r="BH95" s="13">
        <f>IFERROR(AL95/BD95*(BG95-BASELINE_CPR),0)</f>
        <v/>
      </c>
      <c r="BI95" s="13">
        <f>IFERROR(AM95/BD95*(BG95-BASELINE_CPR),0)</f>
        <v/>
      </c>
      <c r="BJ95" s="13">
        <f>IFERROR(AN95/BD95*(BG95-BASELINE_CPR),0)</f>
        <v/>
      </c>
      <c r="BK95" s="13">
        <f>IFERROR(AO95/BD95*(BG95-BASELINE_CPR),0)</f>
        <v/>
      </c>
      <c r="BL95" s="13">
        <f>IFERROR(AP95/BD95*(BG95-BASELINE_CPR),0)</f>
        <v/>
      </c>
      <c r="BM95" s="13">
        <f>IFERROR(AQ95/BD95*(BG95-BASELINE_CPR),0)</f>
        <v/>
      </c>
      <c r="BN95" s="13">
        <f>IFERROR(AR95/BD95*(BG95-BASELINE_CPR),0)</f>
        <v/>
      </c>
      <c r="BO95" s="13">
        <f>IFERROR(AS95/BD95*(BG95-BASELINE_CPR),0)</f>
        <v/>
      </c>
      <c r="BP95" s="13">
        <f>IFERROR(AT95/BD95*(BG95-BASELINE_CPR),0)</f>
        <v/>
      </c>
      <c r="BQ95" s="13">
        <f>IFERROR(AU95/BD95*(BG95-BASELINE_CPR),0)</f>
        <v/>
      </c>
      <c r="BR95" s="13">
        <f>IFERROR(AV95/BD95*(BG95-BASELINE_CPR),0)</f>
        <v/>
      </c>
      <c r="BS95" s="13">
        <f>IFERROR(AW95/BD95*(BG95-BASELINE_CPR),0)</f>
        <v/>
      </c>
      <c r="BT95" s="13">
        <f>IFERROR(AX95/BD95*(BG95-BASELINE_CPR),0)</f>
        <v/>
      </c>
      <c r="BU95" s="13">
        <f>IFERROR(AY95/BD95*(BG95-BASELINE_CPR),0)</f>
        <v/>
      </c>
      <c r="BV95" s="13">
        <f>IFERROR(AZ95/BD95*(BG95-BASELINE_CPR),0)</f>
        <v/>
      </c>
      <c r="BW95" s="13">
        <f>IFERROR(BA95/BD95*(BG95-BASELINE_CPR),0)</f>
        <v/>
      </c>
      <c r="BX95" s="13">
        <f>IFERROR(BB95/BD95*(BG95-BASELINE_CPR),0)</f>
        <v/>
      </c>
      <c r="BY95" s="13">
        <f>IFERROR(BC95/BD95*(BG95-BASELINE_CPR),0)</f>
        <v/>
      </c>
      <c r="BZ95" s="28">
        <f>BASELINE_CPR+SUM(BH95:BY95)-BG95</f>
        <v/>
      </c>
    </row>
    <row r="96">
      <c r="A96" s="2" t="inlineStr">
        <is>
          <t>3618BKU31_000000004222412</t>
        </is>
      </c>
      <c r="B96" t="inlineStr">
        <is>
          <t>GREYSTONE_POST21</t>
        </is>
      </c>
      <c r="C96" s="2" t="inlineStr">
        <is>
          <t>3618BKU31</t>
        </is>
      </c>
      <c r="D96" t="inlineStr">
        <is>
          <t>GREYSTONE FUNDING COMPANY LLC</t>
        </is>
      </c>
      <c r="E96" t="inlineStr">
        <is>
          <t>232</t>
        </is>
      </c>
      <c r="F96" t="inlineStr">
        <is>
          <t>RP</t>
        </is>
      </c>
      <c r="G96" t="n">
        <v>2023</v>
      </c>
      <c r="H96" t="inlineStr">
        <is>
          <t>202602</t>
        </is>
      </c>
      <c r="I96" s="22" t="n">
        <v>8313205.86</v>
      </c>
      <c r="J96" s="23" t="n">
        <v>6.09</v>
      </c>
      <c r="K96" s="24" t="n">
        <v>447</v>
      </c>
      <c r="L96" s="24" t="n">
        <v>8</v>
      </c>
      <c r="M96" t="n">
        <v>29</v>
      </c>
      <c r="N96" t="n">
        <v>5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s="24">
        <f>J96*100-(K96+(1+L96)*12.5)</f>
        <v/>
      </c>
      <c r="U96">
        <f>O96</f>
        <v/>
      </c>
      <c r="V96">
        <f>M96</f>
        <v/>
      </c>
      <c r="W96" s="23">
        <f>LN(1+I96)</f>
        <v/>
      </c>
      <c r="X96">
        <f>IF(G96&gt;=2021,1,0)</f>
        <v/>
      </c>
      <c r="Y96">
        <f>N96</f>
        <v/>
      </c>
      <c r="Z96" s="23">
        <f>IF(ISNUMBER(M96),N96/MAX(M96,1),0)</f>
        <v/>
      </c>
      <c r="AA96">
        <f>P96</f>
        <v/>
      </c>
      <c r="AB96">
        <f>Q96</f>
        <v/>
      </c>
      <c r="AC96">
        <f>R96</f>
        <v/>
      </c>
      <c r="AD96">
        <f>S96</f>
        <v/>
      </c>
      <c r="AE96">
        <f>IF(ISNUMBER(SEARCH("CAPITAL FUNDING",D96)),1,0)</f>
        <v/>
      </c>
      <c r="AF96">
        <f>IF(ISNUMBER(SEARCH("MERCHANTS",D96)),1,0)</f>
        <v/>
      </c>
      <c r="AG96">
        <f>IF(ISNUMBER(SEARCH("WELLS FARGO",D96)),1,0)</f>
        <v/>
      </c>
      <c r="AH96">
        <f>IF(ISNUMBER(SEARCH("WALKER",D96)),1,0)</f>
        <v/>
      </c>
      <c r="AI96">
        <f>IF(ISNUMBER(SEARCH("PNC",D96)),1,0)</f>
        <v/>
      </c>
      <c r="AJ96">
        <f>IF(ISNUMBER(SEARCH("BERKADIA",D96)),1,0)</f>
        <v/>
      </c>
      <c r="AK96">
        <f>IF(ISNUMBER(SEARCH("DWIGHT",D96)),1,0)</f>
        <v/>
      </c>
      <c r="AL96" s="25">
        <f>T$4*(T96-T$3)</f>
        <v/>
      </c>
      <c r="AM96" s="25">
        <f>U$4*(U96-U$3)</f>
        <v/>
      </c>
      <c r="AN96" s="25">
        <f>V$4*(V96-V$3)</f>
        <v/>
      </c>
      <c r="AO96" s="25">
        <f>W$4*(W96-W$3)</f>
        <v/>
      </c>
      <c r="AP96" s="25">
        <f>X$4*(X96-X$3)</f>
        <v/>
      </c>
      <c r="AQ96" s="25">
        <f>Y$4*(Y96-Y$3)</f>
        <v/>
      </c>
      <c r="AR96" s="25">
        <f>Z$4*(Z96-Z$3)</f>
        <v/>
      </c>
      <c r="AS96" s="25">
        <f>AA$4*(AA96-AA$3)</f>
        <v/>
      </c>
      <c r="AT96" s="25">
        <f>AB$4*(AB96-AB$3)</f>
        <v/>
      </c>
      <c r="AU96" s="25">
        <f>AC$4*(AC96-AC$3)</f>
        <v/>
      </c>
      <c r="AV96" s="25">
        <f>AD$4*(AD96-AD$3)</f>
        <v/>
      </c>
      <c r="AW96" s="25">
        <f>AE$4*(AE96-AE$3)</f>
        <v/>
      </c>
      <c r="AX96" s="25">
        <f>AF$4*(AF96-AF$3)</f>
        <v/>
      </c>
      <c r="AY96" s="25">
        <f>AG$4*(AG96-AG$3)</f>
        <v/>
      </c>
      <c r="AZ96" s="25">
        <f>AH$4*(AH96-AH$3)</f>
        <v/>
      </c>
      <c r="BA96" s="25">
        <f>AI$4*(AI96-AI$3)</f>
        <v/>
      </c>
      <c r="BB96" s="25">
        <f>AJ$4*(AJ96-AJ$3)</f>
        <v/>
      </c>
      <c r="BC96" s="25">
        <f>AK$4*(AK96-AK$3)</f>
        <v/>
      </c>
      <c r="BD96" s="26">
        <f>SUM(AL96:BC96)</f>
        <v/>
      </c>
      <c r="BE96" s="26">
        <f>INTERCEPT_SCALED+BD96</f>
        <v/>
      </c>
      <c r="BF96" s="27">
        <f>1/(1+EXP(-BE96))</f>
        <v/>
      </c>
      <c r="BG96" s="13">
        <f>1-(1-BF96)^12</f>
        <v/>
      </c>
      <c r="BH96" s="13">
        <f>IFERROR(AL96/BD96*(BG96-BASELINE_CPR),0)</f>
        <v/>
      </c>
      <c r="BI96" s="13">
        <f>IFERROR(AM96/BD96*(BG96-BASELINE_CPR),0)</f>
        <v/>
      </c>
      <c r="BJ96" s="13">
        <f>IFERROR(AN96/BD96*(BG96-BASELINE_CPR),0)</f>
        <v/>
      </c>
      <c r="BK96" s="13">
        <f>IFERROR(AO96/BD96*(BG96-BASELINE_CPR),0)</f>
        <v/>
      </c>
      <c r="BL96" s="13">
        <f>IFERROR(AP96/BD96*(BG96-BASELINE_CPR),0)</f>
        <v/>
      </c>
      <c r="BM96" s="13">
        <f>IFERROR(AQ96/BD96*(BG96-BASELINE_CPR),0)</f>
        <v/>
      </c>
      <c r="BN96" s="13">
        <f>IFERROR(AR96/BD96*(BG96-BASELINE_CPR),0)</f>
        <v/>
      </c>
      <c r="BO96" s="13">
        <f>IFERROR(AS96/BD96*(BG96-BASELINE_CPR),0)</f>
        <v/>
      </c>
      <c r="BP96" s="13">
        <f>IFERROR(AT96/BD96*(BG96-BASELINE_CPR),0)</f>
        <v/>
      </c>
      <c r="BQ96" s="13">
        <f>IFERROR(AU96/BD96*(BG96-BASELINE_CPR),0)</f>
        <v/>
      </c>
      <c r="BR96" s="13">
        <f>IFERROR(AV96/BD96*(BG96-BASELINE_CPR),0)</f>
        <v/>
      </c>
      <c r="BS96" s="13">
        <f>IFERROR(AW96/BD96*(BG96-BASELINE_CPR),0)</f>
        <v/>
      </c>
      <c r="BT96" s="13">
        <f>IFERROR(AX96/BD96*(BG96-BASELINE_CPR),0)</f>
        <v/>
      </c>
      <c r="BU96" s="13">
        <f>IFERROR(AY96/BD96*(BG96-BASELINE_CPR),0)</f>
        <v/>
      </c>
      <c r="BV96" s="13">
        <f>IFERROR(AZ96/BD96*(BG96-BASELINE_CPR),0)</f>
        <v/>
      </c>
      <c r="BW96" s="13">
        <f>IFERROR(BA96/BD96*(BG96-BASELINE_CPR),0)</f>
        <v/>
      </c>
      <c r="BX96" s="13">
        <f>IFERROR(BB96/BD96*(BG96-BASELINE_CPR),0)</f>
        <v/>
      </c>
      <c r="BY96" s="13">
        <f>IFERROR(BC96/BD96*(BG96-BASELINE_CPR),0)</f>
        <v/>
      </c>
      <c r="BZ96" s="28">
        <f>BASELINE_CPR+SUM(BH96:BY96)-BG96</f>
        <v/>
      </c>
    </row>
    <row r="97">
      <c r="A97" s="2" t="inlineStr">
        <is>
          <t>3617QKDG7_000000012335554</t>
        </is>
      </c>
      <c r="B97" t="inlineStr">
        <is>
          <t>GREYSTONE_PRE21</t>
        </is>
      </c>
      <c r="C97" s="2" t="inlineStr">
        <is>
          <t>3617QKDG7</t>
        </is>
      </c>
      <c r="D97" t="inlineStr">
        <is>
          <t>GREYSTONE FUNDING COMPANY LLC</t>
        </is>
      </c>
      <c r="E97" t="inlineStr">
        <is>
          <t>221d4</t>
        </is>
      </c>
      <c r="F97" t="inlineStr">
        <is>
          <t>NC</t>
        </is>
      </c>
      <c r="G97" t="n">
        <v>2020</v>
      </c>
      <c r="H97" t="inlineStr">
        <is>
          <t>202602</t>
        </is>
      </c>
      <c r="I97" s="22" t="n">
        <v>28046987.97</v>
      </c>
      <c r="J97" s="23" t="n">
        <v>3.25</v>
      </c>
      <c r="K97" s="24" t="n">
        <v>447</v>
      </c>
      <c r="L97" s="24" t="n">
        <v>7</v>
      </c>
      <c r="M97" t="n">
        <v>65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s="24">
        <f>J97*100-(K97+(1+L97)*12.5)</f>
        <v/>
      </c>
      <c r="U97">
        <f>O97</f>
        <v/>
      </c>
      <c r="V97">
        <f>M97</f>
        <v/>
      </c>
      <c r="W97" s="23">
        <f>LN(1+I97)</f>
        <v/>
      </c>
      <c r="X97">
        <f>IF(G97&gt;=2021,1,0)</f>
        <v/>
      </c>
      <c r="Y97">
        <f>N97</f>
        <v/>
      </c>
      <c r="Z97" s="23">
        <f>IF(ISNUMBER(M97),N97/MAX(M97,1),0)</f>
        <v/>
      </c>
      <c r="AA97">
        <f>P97</f>
        <v/>
      </c>
      <c r="AB97">
        <f>Q97</f>
        <v/>
      </c>
      <c r="AC97">
        <f>R97</f>
        <v/>
      </c>
      <c r="AD97">
        <f>S97</f>
        <v/>
      </c>
      <c r="AE97">
        <f>IF(ISNUMBER(SEARCH("CAPITAL FUNDING",D97)),1,0)</f>
        <v/>
      </c>
      <c r="AF97">
        <f>IF(ISNUMBER(SEARCH("MERCHANTS",D97)),1,0)</f>
        <v/>
      </c>
      <c r="AG97">
        <f>IF(ISNUMBER(SEARCH("WELLS FARGO",D97)),1,0)</f>
        <v/>
      </c>
      <c r="AH97">
        <f>IF(ISNUMBER(SEARCH("WALKER",D97)),1,0)</f>
        <v/>
      </c>
      <c r="AI97">
        <f>IF(ISNUMBER(SEARCH("PNC",D97)),1,0)</f>
        <v/>
      </c>
      <c r="AJ97">
        <f>IF(ISNUMBER(SEARCH("BERKADIA",D97)),1,0)</f>
        <v/>
      </c>
      <c r="AK97">
        <f>IF(ISNUMBER(SEARCH("DWIGHT",D97)),1,0)</f>
        <v/>
      </c>
      <c r="AL97" s="25">
        <f>T$4*(T97-T$3)</f>
        <v/>
      </c>
      <c r="AM97" s="25">
        <f>U$4*(U97-U$3)</f>
        <v/>
      </c>
      <c r="AN97" s="25">
        <f>V$4*(V97-V$3)</f>
        <v/>
      </c>
      <c r="AO97" s="25">
        <f>W$4*(W97-W$3)</f>
        <v/>
      </c>
      <c r="AP97" s="25">
        <f>X$4*(X97-X$3)</f>
        <v/>
      </c>
      <c r="AQ97" s="25">
        <f>Y$4*(Y97-Y$3)</f>
        <v/>
      </c>
      <c r="AR97" s="25">
        <f>Z$4*(Z97-Z$3)</f>
        <v/>
      </c>
      <c r="AS97" s="25">
        <f>AA$4*(AA97-AA$3)</f>
        <v/>
      </c>
      <c r="AT97" s="25">
        <f>AB$4*(AB97-AB$3)</f>
        <v/>
      </c>
      <c r="AU97" s="25">
        <f>AC$4*(AC97-AC$3)</f>
        <v/>
      </c>
      <c r="AV97" s="25">
        <f>AD$4*(AD97-AD$3)</f>
        <v/>
      </c>
      <c r="AW97" s="25">
        <f>AE$4*(AE97-AE$3)</f>
        <v/>
      </c>
      <c r="AX97" s="25">
        <f>AF$4*(AF97-AF$3)</f>
        <v/>
      </c>
      <c r="AY97" s="25">
        <f>AG$4*(AG97-AG$3)</f>
        <v/>
      </c>
      <c r="AZ97" s="25">
        <f>AH$4*(AH97-AH$3)</f>
        <v/>
      </c>
      <c r="BA97" s="25">
        <f>AI$4*(AI97-AI$3)</f>
        <v/>
      </c>
      <c r="BB97" s="25">
        <f>AJ$4*(AJ97-AJ$3)</f>
        <v/>
      </c>
      <c r="BC97" s="25">
        <f>AK$4*(AK97-AK$3)</f>
        <v/>
      </c>
      <c r="BD97" s="26">
        <f>SUM(AL97:BC97)</f>
        <v/>
      </c>
      <c r="BE97" s="26">
        <f>INTERCEPT_SCALED+BD97</f>
        <v/>
      </c>
      <c r="BF97" s="27">
        <f>1/(1+EXP(-BE97))</f>
        <v/>
      </c>
      <c r="BG97" s="13">
        <f>1-(1-BF97)^12</f>
        <v/>
      </c>
      <c r="BH97" s="13">
        <f>IFERROR(AL97/BD97*(BG97-BASELINE_CPR),0)</f>
        <v/>
      </c>
      <c r="BI97" s="13">
        <f>IFERROR(AM97/BD97*(BG97-BASELINE_CPR),0)</f>
        <v/>
      </c>
      <c r="BJ97" s="13">
        <f>IFERROR(AN97/BD97*(BG97-BASELINE_CPR),0)</f>
        <v/>
      </c>
      <c r="BK97" s="13">
        <f>IFERROR(AO97/BD97*(BG97-BASELINE_CPR),0)</f>
        <v/>
      </c>
      <c r="BL97" s="13">
        <f>IFERROR(AP97/BD97*(BG97-BASELINE_CPR),0)</f>
        <v/>
      </c>
      <c r="BM97" s="13">
        <f>IFERROR(AQ97/BD97*(BG97-BASELINE_CPR),0)</f>
        <v/>
      </c>
      <c r="BN97" s="13">
        <f>IFERROR(AR97/BD97*(BG97-BASELINE_CPR),0)</f>
        <v/>
      </c>
      <c r="BO97" s="13">
        <f>IFERROR(AS97/BD97*(BG97-BASELINE_CPR),0)</f>
        <v/>
      </c>
      <c r="BP97" s="13">
        <f>IFERROR(AT97/BD97*(BG97-BASELINE_CPR),0)</f>
        <v/>
      </c>
      <c r="BQ97" s="13">
        <f>IFERROR(AU97/BD97*(BG97-BASELINE_CPR),0)</f>
        <v/>
      </c>
      <c r="BR97" s="13">
        <f>IFERROR(AV97/BD97*(BG97-BASELINE_CPR),0)</f>
        <v/>
      </c>
      <c r="BS97" s="13">
        <f>IFERROR(AW97/BD97*(BG97-BASELINE_CPR),0)</f>
        <v/>
      </c>
      <c r="BT97" s="13">
        <f>IFERROR(AX97/BD97*(BG97-BASELINE_CPR),0)</f>
        <v/>
      </c>
      <c r="BU97" s="13">
        <f>IFERROR(AY97/BD97*(BG97-BASELINE_CPR),0)</f>
        <v/>
      </c>
      <c r="BV97" s="13">
        <f>IFERROR(AZ97/BD97*(BG97-BASELINE_CPR),0)</f>
        <v/>
      </c>
      <c r="BW97" s="13">
        <f>IFERROR(BA97/BD97*(BG97-BASELINE_CPR),0)</f>
        <v/>
      </c>
      <c r="BX97" s="13">
        <f>IFERROR(BB97/BD97*(BG97-BASELINE_CPR),0)</f>
        <v/>
      </c>
      <c r="BY97" s="13">
        <f>IFERROR(BC97/BD97*(BG97-BASELINE_CPR),0)</f>
        <v/>
      </c>
      <c r="BZ97" s="28">
        <f>BASELINE_CPR+SUM(BH97:BY97)-BG97</f>
        <v/>
      </c>
    </row>
    <row r="98">
      <c r="A98" s="2" t="inlineStr">
        <is>
          <t>3617UAWB4_000000009211486</t>
        </is>
      </c>
      <c r="B98" t="inlineStr">
        <is>
          <t>GREYSTONE_PRE21</t>
        </is>
      </c>
      <c r="C98" s="2" t="inlineStr">
        <is>
          <t>3617UAWB4</t>
        </is>
      </c>
      <c r="D98" t="inlineStr">
        <is>
          <t>GREYSTONE FUNDING COMPANY LLC</t>
        </is>
      </c>
      <c r="E98" t="inlineStr">
        <is>
          <t>223f</t>
        </is>
      </c>
      <c r="F98" t="inlineStr">
        <is>
          <t>RP</t>
        </is>
      </c>
      <c r="G98" t="n">
        <v>2020</v>
      </c>
      <c r="H98" t="inlineStr">
        <is>
          <t>202602</t>
        </is>
      </c>
      <c r="I98" s="22" t="n">
        <v>4214790.92</v>
      </c>
      <c r="J98" s="23" t="n">
        <v>2.41</v>
      </c>
      <c r="K98" s="24" t="n">
        <v>447</v>
      </c>
      <c r="L98" s="24" t="n">
        <v>5</v>
      </c>
      <c r="M98" t="n">
        <v>62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s="24">
        <f>J98*100-(K98+(1+L98)*12.5)</f>
        <v/>
      </c>
      <c r="U98">
        <f>O98</f>
        <v/>
      </c>
      <c r="V98">
        <f>M98</f>
        <v/>
      </c>
      <c r="W98" s="23">
        <f>LN(1+I98)</f>
        <v/>
      </c>
      <c r="X98">
        <f>IF(G98&gt;=2021,1,0)</f>
        <v/>
      </c>
      <c r="Y98">
        <f>N98</f>
        <v/>
      </c>
      <c r="Z98" s="23">
        <f>IF(ISNUMBER(M98),N98/MAX(M98,1),0)</f>
        <v/>
      </c>
      <c r="AA98">
        <f>P98</f>
        <v/>
      </c>
      <c r="AB98">
        <f>Q98</f>
        <v/>
      </c>
      <c r="AC98">
        <f>R98</f>
        <v/>
      </c>
      <c r="AD98">
        <f>S98</f>
        <v/>
      </c>
      <c r="AE98">
        <f>IF(ISNUMBER(SEARCH("CAPITAL FUNDING",D98)),1,0)</f>
        <v/>
      </c>
      <c r="AF98">
        <f>IF(ISNUMBER(SEARCH("MERCHANTS",D98)),1,0)</f>
        <v/>
      </c>
      <c r="AG98">
        <f>IF(ISNUMBER(SEARCH("WELLS FARGO",D98)),1,0)</f>
        <v/>
      </c>
      <c r="AH98">
        <f>IF(ISNUMBER(SEARCH("WALKER",D98)),1,0)</f>
        <v/>
      </c>
      <c r="AI98">
        <f>IF(ISNUMBER(SEARCH("PNC",D98)),1,0)</f>
        <v/>
      </c>
      <c r="AJ98">
        <f>IF(ISNUMBER(SEARCH("BERKADIA",D98)),1,0)</f>
        <v/>
      </c>
      <c r="AK98">
        <f>IF(ISNUMBER(SEARCH("DWIGHT",D98)),1,0)</f>
        <v/>
      </c>
      <c r="AL98" s="25">
        <f>T$4*(T98-T$3)</f>
        <v/>
      </c>
      <c r="AM98" s="25">
        <f>U$4*(U98-U$3)</f>
        <v/>
      </c>
      <c r="AN98" s="25">
        <f>V$4*(V98-V$3)</f>
        <v/>
      </c>
      <c r="AO98" s="25">
        <f>W$4*(W98-W$3)</f>
        <v/>
      </c>
      <c r="AP98" s="25">
        <f>X$4*(X98-X$3)</f>
        <v/>
      </c>
      <c r="AQ98" s="25">
        <f>Y$4*(Y98-Y$3)</f>
        <v/>
      </c>
      <c r="AR98" s="25">
        <f>Z$4*(Z98-Z$3)</f>
        <v/>
      </c>
      <c r="AS98" s="25">
        <f>AA$4*(AA98-AA$3)</f>
        <v/>
      </c>
      <c r="AT98" s="25">
        <f>AB$4*(AB98-AB$3)</f>
        <v/>
      </c>
      <c r="AU98" s="25">
        <f>AC$4*(AC98-AC$3)</f>
        <v/>
      </c>
      <c r="AV98" s="25">
        <f>AD$4*(AD98-AD$3)</f>
        <v/>
      </c>
      <c r="AW98" s="25">
        <f>AE$4*(AE98-AE$3)</f>
        <v/>
      </c>
      <c r="AX98" s="25">
        <f>AF$4*(AF98-AF$3)</f>
        <v/>
      </c>
      <c r="AY98" s="25">
        <f>AG$4*(AG98-AG$3)</f>
        <v/>
      </c>
      <c r="AZ98" s="25">
        <f>AH$4*(AH98-AH$3)</f>
        <v/>
      </c>
      <c r="BA98" s="25">
        <f>AI$4*(AI98-AI$3)</f>
        <v/>
      </c>
      <c r="BB98" s="25">
        <f>AJ$4*(AJ98-AJ$3)</f>
        <v/>
      </c>
      <c r="BC98" s="25">
        <f>AK$4*(AK98-AK$3)</f>
        <v/>
      </c>
      <c r="BD98" s="26">
        <f>SUM(AL98:BC98)</f>
        <v/>
      </c>
      <c r="BE98" s="26">
        <f>INTERCEPT_SCALED+BD98</f>
        <v/>
      </c>
      <c r="BF98" s="27">
        <f>1/(1+EXP(-BE98))</f>
        <v/>
      </c>
      <c r="BG98" s="13">
        <f>1-(1-BF98)^12</f>
        <v/>
      </c>
      <c r="BH98" s="13">
        <f>IFERROR(AL98/BD98*(BG98-BASELINE_CPR),0)</f>
        <v/>
      </c>
      <c r="BI98" s="13">
        <f>IFERROR(AM98/BD98*(BG98-BASELINE_CPR),0)</f>
        <v/>
      </c>
      <c r="BJ98" s="13">
        <f>IFERROR(AN98/BD98*(BG98-BASELINE_CPR),0)</f>
        <v/>
      </c>
      <c r="BK98" s="13">
        <f>IFERROR(AO98/BD98*(BG98-BASELINE_CPR),0)</f>
        <v/>
      </c>
      <c r="BL98" s="13">
        <f>IFERROR(AP98/BD98*(BG98-BASELINE_CPR),0)</f>
        <v/>
      </c>
      <c r="BM98" s="13">
        <f>IFERROR(AQ98/BD98*(BG98-BASELINE_CPR),0)</f>
        <v/>
      </c>
      <c r="BN98" s="13">
        <f>IFERROR(AR98/BD98*(BG98-BASELINE_CPR),0)</f>
        <v/>
      </c>
      <c r="BO98" s="13">
        <f>IFERROR(AS98/BD98*(BG98-BASELINE_CPR),0)</f>
        <v/>
      </c>
      <c r="BP98" s="13">
        <f>IFERROR(AT98/BD98*(BG98-BASELINE_CPR),0)</f>
        <v/>
      </c>
      <c r="BQ98" s="13">
        <f>IFERROR(AU98/BD98*(BG98-BASELINE_CPR),0)</f>
        <v/>
      </c>
      <c r="BR98" s="13">
        <f>IFERROR(AV98/BD98*(BG98-BASELINE_CPR),0)</f>
        <v/>
      </c>
      <c r="BS98" s="13">
        <f>IFERROR(AW98/BD98*(BG98-BASELINE_CPR),0)</f>
        <v/>
      </c>
      <c r="BT98" s="13">
        <f>IFERROR(AX98/BD98*(BG98-BASELINE_CPR),0)</f>
        <v/>
      </c>
      <c r="BU98" s="13">
        <f>IFERROR(AY98/BD98*(BG98-BASELINE_CPR),0)</f>
        <v/>
      </c>
      <c r="BV98" s="13">
        <f>IFERROR(AZ98/BD98*(BG98-BASELINE_CPR),0)</f>
        <v/>
      </c>
      <c r="BW98" s="13">
        <f>IFERROR(BA98/BD98*(BG98-BASELINE_CPR),0)</f>
        <v/>
      </c>
      <c r="BX98" s="13">
        <f>IFERROR(BB98/BD98*(BG98-BASELINE_CPR),0)</f>
        <v/>
      </c>
      <c r="BY98" s="13">
        <f>IFERROR(BC98/BD98*(BG98-BASELINE_CPR),0)</f>
        <v/>
      </c>
      <c r="BZ98" s="28">
        <f>BASELINE_CPR+SUM(BH98:BY98)-BG98</f>
        <v/>
      </c>
    </row>
    <row r="99">
      <c r="A99" s="2" t="inlineStr">
        <is>
          <t>3617XRA51_000000011722043</t>
        </is>
      </c>
      <c r="B99" t="inlineStr">
        <is>
          <t>GREYSTONE_POST21</t>
        </is>
      </c>
      <c r="C99" s="2" t="inlineStr">
        <is>
          <t>3617XRA51</t>
        </is>
      </c>
      <c r="D99" t="inlineStr">
        <is>
          <t>GREYSTONE FUNDING COMPANY LLC</t>
        </is>
      </c>
      <c r="E99" t="inlineStr">
        <is>
          <t>232</t>
        </is>
      </c>
      <c r="F99" t="inlineStr">
        <is>
          <t>RP</t>
        </is>
      </c>
      <c r="G99" t="n">
        <v>2021</v>
      </c>
      <c r="H99" t="inlineStr">
        <is>
          <t>202602</t>
        </is>
      </c>
      <c r="I99" s="22" t="n">
        <v>3120938.09</v>
      </c>
      <c r="J99" s="23" t="n">
        <v>2.75</v>
      </c>
      <c r="K99" s="24" t="n">
        <v>447</v>
      </c>
      <c r="L99" s="24" t="n">
        <v>6</v>
      </c>
      <c r="M99" t="n">
        <v>50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s="24">
        <f>J99*100-(K99+(1+L99)*12.5)</f>
        <v/>
      </c>
      <c r="U99">
        <f>O99</f>
        <v/>
      </c>
      <c r="V99">
        <f>M99</f>
        <v/>
      </c>
      <c r="W99" s="23">
        <f>LN(1+I99)</f>
        <v/>
      </c>
      <c r="X99">
        <f>IF(G99&gt;=2021,1,0)</f>
        <v/>
      </c>
      <c r="Y99">
        <f>N99</f>
        <v/>
      </c>
      <c r="Z99" s="23">
        <f>IF(ISNUMBER(M99),N99/MAX(M99,1),0)</f>
        <v/>
      </c>
      <c r="AA99">
        <f>P99</f>
        <v/>
      </c>
      <c r="AB99">
        <f>Q99</f>
        <v/>
      </c>
      <c r="AC99">
        <f>R99</f>
        <v/>
      </c>
      <c r="AD99">
        <f>S99</f>
        <v/>
      </c>
      <c r="AE99">
        <f>IF(ISNUMBER(SEARCH("CAPITAL FUNDING",D99)),1,0)</f>
        <v/>
      </c>
      <c r="AF99">
        <f>IF(ISNUMBER(SEARCH("MERCHANTS",D99)),1,0)</f>
        <v/>
      </c>
      <c r="AG99">
        <f>IF(ISNUMBER(SEARCH("WELLS FARGO",D99)),1,0)</f>
        <v/>
      </c>
      <c r="AH99">
        <f>IF(ISNUMBER(SEARCH("WALKER",D99)),1,0)</f>
        <v/>
      </c>
      <c r="AI99">
        <f>IF(ISNUMBER(SEARCH("PNC",D99)),1,0)</f>
        <v/>
      </c>
      <c r="AJ99">
        <f>IF(ISNUMBER(SEARCH("BERKADIA",D99)),1,0)</f>
        <v/>
      </c>
      <c r="AK99">
        <f>IF(ISNUMBER(SEARCH("DWIGHT",D99)),1,0)</f>
        <v/>
      </c>
      <c r="AL99" s="25">
        <f>T$4*(T99-T$3)</f>
        <v/>
      </c>
      <c r="AM99" s="25">
        <f>U$4*(U99-U$3)</f>
        <v/>
      </c>
      <c r="AN99" s="25">
        <f>V$4*(V99-V$3)</f>
        <v/>
      </c>
      <c r="AO99" s="25">
        <f>W$4*(W99-W$3)</f>
        <v/>
      </c>
      <c r="AP99" s="25">
        <f>X$4*(X99-X$3)</f>
        <v/>
      </c>
      <c r="AQ99" s="25">
        <f>Y$4*(Y99-Y$3)</f>
        <v/>
      </c>
      <c r="AR99" s="25">
        <f>Z$4*(Z99-Z$3)</f>
        <v/>
      </c>
      <c r="AS99" s="25">
        <f>AA$4*(AA99-AA$3)</f>
        <v/>
      </c>
      <c r="AT99" s="25">
        <f>AB$4*(AB99-AB$3)</f>
        <v/>
      </c>
      <c r="AU99" s="25">
        <f>AC$4*(AC99-AC$3)</f>
        <v/>
      </c>
      <c r="AV99" s="25">
        <f>AD$4*(AD99-AD$3)</f>
        <v/>
      </c>
      <c r="AW99" s="25">
        <f>AE$4*(AE99-AE$3)</f>
        <v/>
      </c>
      <c r="AX99" s="25">
        <f>AF$4*(AF99-AF$3)</f>
        <v/>
      </c>
      <c r="AY99" s="25">
        <f>AG$4*(AG99-AG$3)</f>
        <v/>
      </c>
      <c r="AZ99" s="25">
        <f>AH$4*(AH99-AH$3)</f>
        <v/>
      </c>
      <c r="BA99" s="25">
        <f>AI$4*(AI99-AI$3)</f>
        <v/>
      </c>
      <c r="BB99" s="25">
        <f>AJ$4*(AJ99-AJ$3)</f>
        <v/>
      </c>
      <c r="BC99" s="25">
        <f>AK$4*(AK99-AK$3)</f>
        <v/>
      </c>
      <c r="BD99" s="26">
        <f>SUM(AL99:BC99)</f>
        <v/>
      </c>
      <c r="BE99" s="26">
        <f>INTERCEPT_SCALED+BD99</f>
        <v/>
      </c>
      <c r="BF99" s="27">
        <f>1/(1+EXP(-BE99))</f>
        <v/>
      </c>
      <c r="BG99" s="13">
        <f>1-(1-BF99)^12</f>
        <v/>
      </c>
      <c r="BH99" s="13">
        <f>IFERROR(AL99/BD99*(BG99-BASELINE_CPR),0)</f>
        <v/>
      </c>
      <c r="BI99" s="13">
        <f>IFERROR(AM99/BD99*(BG99-BASELINE_CPR),0)</f>
        <v/>
      </c>
      <c r="BJ99" s="13">
        <f>IFERROR(AN99/BD99*(BG99-BASELINE_CPR),0)</f>
        <v/>
      </c>
      <c r="BK99" s="13">
        <f>IFERROR(AO99/BD99*(BG99-BASELINE_CPR),0)</f>
        <v/>
      </c>
      <c r="BL99" s="13">
        <f>IFERROR(AP99/BD99*(BG99-BASELINE_CPR),0)</f>
        <v/>
      </c>
      <c r="BM99" s="13">
        <f>IFERROR(AQ99/BD99*(BG99-BASELINE_CPR),0)</f>
        <v/>
      </c>
      <c r="BN99" s="13">
        <f>IFERROR(AR99/BD99*(BG99-BASELINE_CPR),0)</f>
        <v/>
      </c>
      <c r="BO99" s="13">
        <f>IFERROR(AS99/BD99*(BG99-BASELINE_CPR),0)</f>
        <v/>
      </c>
      <c r="BP99" s="13">
        <f>IFERROR(AT99/BD99*(BG99-BASELINE_CPR),0)</f>
        <v/>
      </c>
      <c r="BQ99" s="13">
        <f>IFERROR(AU99/BD99*(BG99-BASELINE_CPR),0)</f>
        <v/>
      </c>
      <c r="BR99" s="13">
        <f>IFERROR(AV99/BD99*(BG99-BASELINE_CPR),0)</f>
        <v/>
      </c>
      <c r="BS99" s="13">
        <f>IFERROR(AW99/BD99*(BG99-BASELINE_CPR),0)</f>
        <v/>
      </c>
      <c r="BT99" s="13">
        <f>IFERROR(AX99/BD99*(BG99-BASELINE_CPR),0)</f>
        <v/>
      </c>
      <c r="BU99" s="13">
        <f>IFERROR(AY99/BD99*(BG99-BASELINE_CPR),0)</f>
        <v/>
      </c>
      <c r="BV99" s="13">
        <f>IFERROR(AZ99/BD99*(BG99-BASELINE_CPR),0)</f>
        <v/>
      </c>
      <c r="BW99" s="13">
        <f>IFERROR(BA99/BD99*(BG99-BASELINE_CPR),0)</f>
        <v/>
      </c>
      <c r="BX99" s="13">
        <f>IFERROR(BB99/BD99*(BG99-BASELINE_CPR),0)</f>
        <v/>
      </c>
      <c r="BY99" s="13">
        <f>IFERROR(BC99/BD99*(BG99-BASELINE_CPR),0)</f>
        <v/>
      </c>
      <c r="BZ99" s="28">
        <f>BASELINE_CPR+SUM(BH99:BY99)-BG99</f>
        <v/>
      </c>
    </row>
    <row r="100">
      <c r="A100" s="2" t="inlineStr">
        <is>
          <t>3617FXAM1_000000011311514</t>
        </is>
      </c>
      <c r="B100" t="inlineStr">
        <is>
          <t>GREYSTONE_POST21</t>
        </is>
      </c>
      <c r="C100" s="2" t="inlineStr">
        <is>
          <t>3617FXAM1</t>
        </is>
      </c>
      <c r="D100" t="inlineStr">
        <is>
          <t>GREYSTONE FUNDING COMPANY LLC</t>
        </is>
      </c>
      <c r="E100" t="inlineStr">
        <is>
          <t>223f</t>
        </is>
      </c>
      <c r="F100" t="inlineStr">
        <is>
          <t>RP</t>
        </is>
      </c>
      <c r="G100" t="n">
        <v>2022</v>
      </c>
      <c r="H100" t="inlineStr">
        <is>
          <t>202602</t>
        </is>
      </c>
      <c r="I100" s="22" t="n">
        <v>40409683.54</v>
      </c>
      <c r="J100" s="23" t="n">
        <v>4.08</v>
      </c>
      <c r="K100" s="24" t="n">
        <v>447</v>
      </c>
      <c r="L100" s="24" t="n">
        <v>7</v>
      </c>
      <c r="M100" t="n">
        <v>41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s="24">
        <f>J100*100-(K100+(1+L100)*12.5)</f>
        <v/>
      </c>
      <c r="U100">
        <f>O100</f>
        <v/>
      </c>
      <c r="V100">
        <f>M100</f>
        <v/>
      </c>
      <c r="W100" s="23">
        <f>LN(1+I100)</f>
        <v/>
      </c>
      <c r="X100">
        <f>IF(G100&gt;=2021,1,0)</f>
        <v/>
      </c>
      <c r="Y100">
        <f>N100</f>
        <v/>
      </c>
      <c r="Z100" s="23">
        <f>IF(ISNUMBER(M100),N100/MAX(M100,1),0)</f>
        <v/>
      </c>
      <c r="AA100">
        <f>P100</f>
        <v/>
      </c>
      <c r="AB100">
        <f>Q100</f>
        <v/>
      </c>
      <c r="AC100">
        <f>R100</f>
        <v/>
      </c>
      <c r="AD100">
        <f>S100</f>
        <v/>
      </c>
      <c r="AE100">
        <f>IF(ISNUMBER(SEARCH("CAPITAL FUNDING",D100)),1,0)</f>
        <v/>
      </c>
      <c r="AF100">
        <f>IF(ISNUMBER(SEARCH("MERCHANTS",D100)),1,0)</f>
        <v/>
      </c>
      <c r="AG100">
        <f>IF(ISNUMBER(SEARCH("WELLS FARGO",D100)),1,0)</f>
        <v/>
      </c>
      <c r="AH100">
        <f>IF(ISNUMBER(SEARCH("WALKER",D100)),1,0)</f>
        <v/>
      </c>
      <c r="AI100">
        <f>IF(ISNUMBER(SEARCH("PNC",D100)),1,0)</f>
        <v/>
      </c>
      <c r="AJ100">
        <f>IF(ISNUMBER(SEARCH("BERKADIA",D100)),1,0)</f>
        <v/>
      </c>
      <c r="AK100">
        <f>IF(ISNUMBER(SEARCH("DWIGHT",D100)),1,0)</f>
        <v/>
      </c>
      <c r="AL100" s="25">
        <f>T$4*(T100-T$3)</f>
        <v/>
      </c>
      <c r="AM100" s="25">
        <f>U$4*(U100-U$3)</f>
        <v/>
      </c>
      <c r="AN100" s="25">
        <f>V$4*(V100-V$3)</f>
        <v/>
      </c>
      <c r="AO100" s="25">
        <f>W$4*(W100-W$3)</f>
        <v/>
      </c>
      <c r="AP100" s="25">
        <f>X$4*(X100-X$3)</f>
        <v/>
      </c>
      <c r="AQ100" s="25">
        <f>Y$4*(Y100-Y$3)</f>
        <v/>
      </c>
      <c r="AR100" s="25">
        <f>Z$4*(Z100-Z$3)</f>
        <v/>
      </c>
      <c r="AS100" s="25">
        <f>AA$4*(AA100-AA$3)</f>
        <v/>
      </c>
      <c r="AT100" s="25">
        <f>AB$4*(AB100-AB$3)</f>
        <v/>
      </c>
      <c r="AU100" s="25">
        <f>AC$4*(AC100-AC$3)</f>
        <v/>
      </c>
      <c r="AV100" s="25">
        <f>AD$4*(AD100-AD$3)</f>
        <v/>
      </c>
      <c r="AW100" s="25">
        <f>AE$4*(AE100-AE$3)</f>
        <v/>
      </c>
      <c r="AX100" s="25">
        <f>AF$4*(AF100-AF$3)</f>
        <v/>
      </c>
      <c r="AY100" s="25">
        <f>AG$4*(AG100-AG$3)</f>
        <v/>
      </c>
      <c r="AZ100" s="25">
        <f>AH$4*(AH100-AH$3)</f>
        <v/>
      </c>
      <c r="BA100" s="25">
        <f>AI$4*(AI100-AI$3)</f>
        <v/>
      </c>
      <c r="BB100" s="25">
        <f>AJ$4*(AJ100-AJ$3)</f>
        <v/>
      </c>
      <c r="BC100" s="25">
        <f>AK$4*(AK100-AK$3)</f>
        <v/>
      </c>
      <c r="BD100" s="26">
        <f>SUM(AL100:BC100)</f>
        <v/>
      </c>
      <c r="BE100" s="26">
        <f>INTERCEPT_SCALED+BD100</f>
        <v/>
      </c>
      <c r="BF100" s="27">
        <f>1/(1+EXP(-BE100))</f>
        <v/>
      </c>
      <c r="BG100" s="13">
        <f>1-(1-BF100)^12</f>
        <v/>
      </c>
      <c r="BH100" s="13">
        <f>IFERROR(AL100/BD100*(BG100-BASELINE_CPR),0)</f>
        <v/>
      </c>
      <c r="BI100" s="13">
        <f>IFERROR(AM100/BD100*(BG100-BASELINE_CPR),0)</f>
        <v/>
      </c>
      <c r="BJ100" s="13">
        <f>IFERROR(AN100/BD100*(BG100-BASELINE_CPR),0)</f>
        <v/>
      </c>
      <c r="BK100" s="13">
        <f>IFERROR(AO100/BD100*(BG100-BASELINE_CPR),0)</f>
        <v/>
      </c>
      <c r="BL100" s="13">
        <f>IFERROR(AP100/BD100*(BG100-BASELINE_CPR),0)</f>
        <v/>
      </c>
      <c r="BM100" s="13">
        <f>IFERROR(AQ100/BD100*(BG100-BASELINE_CPR),0)</f>
        <v/>
      </c>
      <c r="BN100" s="13">
        <f>IFERROR(AR100/BD100*(BG100-BASELINE_CPR),0)</f>
        <v/>
      </c>
      <c r="BO100" s="13">
        <f>IFERROR(AS100/BD100*(BG100-BASELINE_CPR),0)</f>
        <v/>
      </c>
      <c r="BP100" s="13">
        <f>IFERROR(AT100/BD100*(BG100-BASELINE_CPR),0)</f>
        <v/>
      </c>
      <c r="BQ100" s="13">
        <f>IFERROR(AU100/BD100*(BG100-BASELINE_CPR),0)</f>
        <v/>
      </c>
      <c r="BR100" s="13">
        <f>IFERROR(AV100/BD100*(BG100-BASELINE_CPR),0)</f>
        <v/>
      </c>
      <c r="BS100" s="13">
        <f>IFERROR(AW100/BD100*(BG100-BASELINE_CPR),0)</f>
        <v/>
      </c>
      <c r="BT100" s="13">
        <f>IFERROR(AX100/BD100*(BG100-BASELINE_CPR),0)</f>
        <v/>
      </c>
      <c r="BU100" s="13">
        <f>IFERROR(AY100/BD100*(BG100-BASELINE_CPR),0)</f>
        <v/>
      </c>
      <c r="BV100" s="13">
        <f>IFERROR(AZ100/BD100*(BG100-BASELINE_CPR),0)</f>
        <v/>
      </c>
      <c r="BW100" s="13">
        <f>IFERROR(BA100/BD100*(BG100-BASELINE_CPR),0)</f>
        <v/>
      </c>
      <c r="BX100" s="13">
        <f>IFERROR(BB100/BD100*(BG100-BASELINE_CPR),0)</f>
        <v/>
      </c>
      <c r="BY100" s="13">
        <f>IFERROR(BC100/BD100*(BG100-BASELINE_CPR),0)</f>
        <v/>
      </c>
      <c r="BZ100" s="28">
        <f>BASELINE_CPR+SUM(BH100:BY100)-BG100</f>
        <v/>
      </c>
    </row>
    <row r="101">
      <c r="A101" s="2" t="inlineStr">
        <is>
          <t>3617USKM4_000000003122133</t>
        </is>
      </c>
      <c r="B101" t="inlineStr">
        <is>
          <t>GREYSTONE_POST21</t>
        </is>
      </c>
      <c r="C101" s="2" t="inlineStr">
        <is>
          <t>3617USKM4</t>
        </is>
      </c>
      <c r="D101" t="inlineStr">
        <is>
          <t>GREYSTONE FUNDING COMPANY LLC</t>
        </is>
      </c>
      <c r="E101" t="inlineStr">
        <is>
          <t>232</t>
        </is>
      </c>
      <c r="F101" t="inlineStr">
        <is>
          <t>RP</t>
        </is>
      </c>
      <c r="G101" t="n">
        <v>2021</v>
      </c>
      <c r="H101" t="inlineStr">
        <is>
          <t>202602</t>
        </is>
      </c>
      <c r="I101" s="22" t="n">
        <v>33132361.37</v>
      </c>
      <c r="J101" s="23" t="n">
        <v>2.29</v>
      </c>
      <c r="K101" s="24" t="n">
        <v>447</v>
      </c>
      <c r="L101" s="24" t="n">
        <v>6</v>
      </c>
      <c r="M101" t="n">
        <v>60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s="24">
        <f>J101*100-(K101+(1+L101)*12.5)</f>
        <v/>
      </c>
      <c r="U101">
        <f>O101</f>
        <v/>
      </c>
      <c r="V101">
        <f>M101</f>
        <v/>
      </c>
      <c r="W101" s="23">
        <f>LN(1+I101)</f>
        <v/>
      </c>
      <c r="X101">
        <f>IF(G101&gt;=2021,1,0)</f>
        <v/>
      </c>
      <c r="Y101">
        <f>N101</f>
        <v/>
      </c>
      <c r="Z101" s="23">
        <f>IF(ISNUMBER(M101),N101/MAX(M101,1),0)</f>
        <v/>
      </c>
      <c r="AA101">
        <f>P101</f>
        <v/>
      </c>
      <c r="AB101">
        <f>Q101</f>
        <v/>
      </c>
      <c r="AC101">
        <f>R101</f>
        <v/>
      </c>
      <c r="AD101">
        <f>S101</f>
        <v/>
      </c>
      <c r="AE101">
        <f>IF(ISNUMBER(SEARCH("CAPITAL FUNDING",D101)),1,0)</f>
        <v/>
      </c>
      <c r="AF101">
        <f>IF(ISNUMBER(SEARCH("MERCHANTS",D101)),1,0)</f>
        <v/>
      </c>
      <c r="AG101">
        <f>IF(ISNUMBER(SEARCH("WELLS FARGO",D101)),1,0)</f>
        <v/>
      </c>
      <c r="AH101">
        <f>IF(ISNUMBER(SEARCH("WALKER",D101)),1,0)</f>
        <v/>
      </c>
      <c r="AI101">
        <f>IF(ISNUMBER(SEARCH("PNC",D101)),1,0)</f>
        <v/>
      </c>
      <c r="AJ101">
        <f>IF(ISNUMBER(SEARCH("BERKADIA",D101)),1,0)</f>
        <v/>
      </c>
      <c r="AK101">
        <f>IF(ISNUMBER(SEARCH("DWIGHT",D101)),1,0)</f>
        <v/>
      </c>
      <c r="AL101" s="25">
        <f>T$4*(T101-T$3)</f>
        <v/>
      </c>
      <c r="AM101" s="25">
        <f>U$4*(U101-U$3)</f>
        <v/>
      </c>
      <c r="AN101" s="25">
        <f>V$4*(V101-V$3)</f>
        <v/>
      </c>
      <c r="AO101" s="25">
        <f>W$4*(W101-W$3)</f>
        <v/>
      </c>
      <c r="AP101" s="25">
        <f>X$4*(X101-X$3)</f>
        <v/>
      </c>
      <c r="AQ101" s="25">
        <f>Y$4*(Y101-Y$3)</f>
        <v/>
      </c>
      <c r="AR101" s="25">
        <f>Z$4*(Z101-Z$3)</f>
        <v/>
      </c>
      <c r="AS101" s="25">
        <f>AA$4*(AA101-AA$3)</f>
        <v/>
      </c>
      <c r="AT101" s="25">
        <f>AB$4*(AB101-AB$3)</f>
        <v/>
      </c>
      <c r="AU101" s="25">
        <f>AC$4*(AC101-AC$3)</f>
        <v/>
      </c>
      <c r="AV101" s="25">
        <f>AD$4*(AD101-AD$3)</f>
        <v/>
      </c>
      <c r="AW101" s="25">
        <f>AE$4*(AE101-AE$3)</f>
        <v/>
      </c>
      <c r="AX101" s="25">
        <f>AF$4*(AF101-AF$3)</f>
        <v/>
      </c>
      <c r="AY101" s="25">
        <f>AG$4*(AG101-AG$3)</f>
        <v/>
      </c>
      <c r="AZ101" s="25">
        <f>AH$4*(AH101-AH$3)</f>
        <v/>
      </c>
      <c r="BA101" s="25">
        <f>AI$4*(AI101-AI$3)</f>
        <v/>
      </c>
      <c r="BB101" s="25">
        <f>AJ$4*(AJ101-AJ$3)</f>
        <v/>
      </c>
      <c r="BC101" s="25">
        <f>AK$4*(AK101-AK$3)</f>
        <v/>
      </c>
      <c r="BD101" s="26">
        <f>SUM(AL101:BC101)</f>
        <v/>
      </c>
      <c r="BE101" s="26">
        <f>INTERCEPT_SCALED+BD101</f>
        <v/>
      </c>
      <c r="BF101" s="27">
        <f>1/(1+EXP(-BE101))</f>
        <v/>
      </c>
      <c r="BG101" s="13">
        <f>1-(1-BF101)^12</f>
        <v/>
      </c>
      <c r="BH101" s="13">
        <f>IFERROR(AL101/BD101*(BG101-BASELINE_CPR),0)</f>
        <v/>
      </c>
      <c r="BI101" s="13">
        <f>IFERROR(AM101/BD101*(BG101-BASELINE_CPR),0)</f>
        <v/>
      </c>
      <c r="BJ101" s="13">
        <f>IFERROR(AN101/BD101*(BG101-BASELINE_CPR),0)</f>
        <v/>
      </c>
      <c r="BK101" s="13">
        <f>IFERROR(AO101/BD101*(BG101-BASELINE_CPR),0)</f>
        <v/>
      </c>
      <c r="BL101" s="13">
        <f>IFERROR(AP101/BD101*(BG101-BASELINE_CPR),0)</f>
        <v/>
      </c>
      <c r="BM101" s="13">
        <f>IFERROR(AQ101/BD101*(BG101-BASELINE_CPR),0)</f>
        <v/>
      </c>
      <c r="BN101" s="13">
        <f>IFERROR(AR101/BD101*(BG101-BASELINE_CPR),0)</f>
        <v/>
      </c>
      <c r="BO101" s="13">
        <f>IFERROR(AS101/BD101*(BG101-BASELINE_CPR),0)</f>
        <v/>
      </c>
      <c r="BP101" s="13">
        <f>IFERROR(AT101/BD101*(BG101-BASELINE_CPR),0)</f>
        <v/>
      </c>
      <c r="BQ101" s="13">
        <f>IFERROR(AU101/BD101*(BG101-BASELINE_CPR),0)</f>
        <v/>
      </c>
      <c r="BR101" s="13">
        <f>IFERROR(AV101/BD101*(BG101-BASELINE_CPR),0)</f>
        <v/>
      </c>
      <c r="BS101" s="13">
        <f>IFERROR(AW101/BD101*(BG101-BASELINE_CPR),0)</f>
        <v/>
      </c>
      <c r="BT101" s="13">
        <f>IFERROR(AX101/BD101*(BG101-BASELINE_CPR),0)</f>
        <v/>
      </c>
      <c r="BU101" s="13">
        <f>IFERROR(AY101/BD101*(BG101-BASELINE_CPR),0)</f>
        <v/>
      </c>
      <c r="BV101" s="13">
        <f>IFERROR(AZ101/BD101*(BG101-BASELINE_CPR),0)</f>
        <v/>
      </c>
      <c r="BW101" s="13">
        <f>IFERROR(BA101/BD101*(BG101-BASELINE_CPR),0)</f>
        <v/>
      </c>
      <c r="BX101" s="13">
        <f>IFERROR(BB101/BD101*(BG101-BASELINE_CPR),0)</f>
        <v/>
      </c>
      <c r="BY101" s="13">
        <f>IFERROR(BC101/BD101*(BG101-BASELINE_CPR),0)</f>
        <v/>
      </c>
      <c r="BZ101" s="28">
        <f>BASELINE_CPR+SUM(BH101:BY101)-BG101</f>
        <v/>
      </c>
    </row>
    <row r="102">
      <c r="A102" s="2" t="inlineStr">
        <is>
          <t>3617B9FP6_046046048226800</t>
        </is>
      </c>
      <c r="B102" t="inlineStr">
        <is>
          <t>GREYSTONE_PRE21</t>
        </is>
      </c>
      <c r="C102" s="2" t="inlineStr">
        <is>
          <t>3617B9FP6</t>
        </is>
      </c>
      <c r="D102" t="inlineStr">
        <is>
          <t>GREYSTONE SERVICING COMPANY LLC</t>
        </is>
      </c>
      <c r="E102" t="inlineStr">
        <is>
          <t>538</t>
        </is>
      </c>
      <c r="F102" t="inlineStr">
        <is>
          <t>538</t>
        </is>
      </c>
      <c r="G102" t="n">
        <v>2017</v>
      </c>
      <c r="H102" t="inlineStr">
        <is>
          <t>202602</t>
        </is>
      </c>
      <c r="I102" s="22" t="n">
        <v>1023320.89</v>
      </c>
      <c r="J102" s="23" t="n">
        <v>3.95</v>
      </c>
      <c r="K102" s="24" t="n">
        <v>447</v>
      </c>
      <c r="L102" s="24" t="n">
        <v>3</v>
      </c>
      <c r="M102" t="n">
        <v>103</v>
      </c>
      <c r="N102" t="n">
        <v>29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s="24">
        <f>J102*100-(K102+(1+L102)*12.5)</f>
        <v/>
      </c>
      <c r="U102">
        <f>O102</f>
        <v/>
      </c>
      <c r="V102">
        <f>M102</f>
        <v/>
      </c>
      <c r="W102" s="23">
        <f>LN(1+I102)</f>
        <v/>
      </c>
      <c r="X102">
        <f>IF(G102&gt;=2021,1,0)</f>
        <v/>
      </c>
      <c r="Y102">
        <f>N102</f>
        <v/>
      </c>
      <c r="Z102" s="23">
        <f>IF(ISNUMBER(M102),N102/MAX(M102,1),0)</f>
        <v/>
      </c>
      <c r="AA102">
        <f>P102</f>
        <v/>
      </c>
      <c r="AB102">
        <f>Q102</f>
        <v/>
      </c>
      <c r="AC102">
        <f>R102</f>
        <v/>
      </c>
      <c r="AD102">
        <f>S102</f>
        <v/>
      </c>
      <c r="AE102">
        <f>IF(ISNUMBER(SEARCH("CAPITAL FUNDING",D102)),1,0)</f>
        <v/>
      </c>
      <c r="AF102">
        <f>IF(ISNUMBER(SEARCH("MERCHANTS",D102)),1,0)</f>
        <v/>
      </c>
      <c r="AG102">
        <f>IF(ISNUMBER(SEARCH("WELLS FARGO",D102)),1,0)</f>
        <v/>
      </c>
      <c r="AH102">
        <f>IF(ISNUMBER(SEARCH("WALKER",D102)),1,0)</f>
        <v/>
      </c>
      <c r="AI102">
        <f>IF(ISNUMBER(SEARCH("PNC",D102)),1,0)</f>
        <v/>
      </c>
      <c r="AJ102">
        <f>IF(ISNUMBER(SEARCH("BERKADIA",D102)),1,0)</f>
        <v/>
      </c>
      <c r="AK102">
        <f>IF(ISNUMBER(SEARCH("DWIGHT",D102)),1,0)</f>
        <v/>
      </c>
      <c r="AL102" s="25">
        <f>T$4*(T102-T$3)</f>
        <v/>
      </c>
      <c r="AM102" s="25">
        <f>U$4*(U102-U$3)</f>
        <v/>
      </c>
      <c r="AN102" s="25">
        <f>V$4*(V102-V$3)</f>
        <v/>
      </c>
      <c r="AO102" s="25">
        <f>W$4*(W102-W$3)</f>
        <v/>
      </c>
      <c r="AP102" s="25">
        <f>X$4*(X102-X$3)</f>
        <v/>
      </c>
      <c r="AQ102" s="25">
        <f>Y$4*(Y102-Y$3)</f>
        <v/>
      </c>
      <c r="AR102" s="25">
        <f>Z$4*(Z102-Z$3)</f>
        <v/>
      </c>
      <c r="AS102" s="25">
        <f>AA$4*(AA102-AA$3)</f>
        <v/>
      </c>
      <c r="AT102" s="25">
        <f>AB$4*(AB102-AB$3)</f>
        <v/>
      </c>
      <c r="AU102" s="25">
        <f>AC$4*(AC102-AC$3)</f>
        <v/>
      </c>
      <c r="AV102" s="25">
        <f>AD$4*(AD102-AD$3)</f>
        <v/>
      </c>
      <c r="AW102" s="25">
        <f>AE$4*(AE102-AE$3)</f>
        <v/>
      </c>
      <c r="AX102" s="25">
        <f>AF$4*(AF102-AF$3)</f>
        <v/>
      </c>
      <c r="AY102" s="25">
        <f>AG$4*(AG102-AG$3)</f>
        <v/>
      </c>
      <c r="AZ102" s="25">
        <f>AH$4*(AH102-AH$3)</f>
        <v/>
      </c>
      <c r="BA102" s="25">
        <f>AI$4*(AI102-AI$3)</f>
        <v/>
      </c>
      <c r="BB102" s="25">
        <f>AJ$4*(AJ102-AJ$3)</f>
        <v/>
      </c>
      <c r="BC102" s="25">
        <f>AK$4*(AK102-AK$3)</f>
        <v/>
      </c>
      <c r="BD102" s="26">
        <f>SUM(AL102:BC102)</f>
        <v/>
      </c>
      <c r="BE102" s="26">
        <f>INTERCEPT_SCALED+BD102</f>
        <v/>
      </c>
      <c r="BF102" s="27">
        <f>1/(1+EXP(-BE102))</f>
        <v/>
      </c>
      <c r="BG102" s="13">
        <f>1-(1-BF102)^12</f>
        <v/>
      </c>
      <c r="BH102" s="13">
        <f>IFERROR(AL102/BD102*(BG102-BASELINE_CPR),0)</f>
        <v/>
      </c>
      <c r="BI102" s="13">
        <f>IFERROR(AM102/BD102*(BG102-BASELINE_CPR),0)</f>
        <v/>
      </c>
      <c r="BJ102" s="13">
        <f>IFERROR(AN102/BD102*(BG102-BASELINE_CPR),0)</f>
        <v/>
      </c>
      <c r="BK102" s="13">
        <f>IFERROR(AO102/BD102*(BG102-BASELINE_CPR),0)</f>
        <v/>
      </c>
      <c r="BL102" s="13">
        <f>IFERROR(AP102/BD102*(BG102-BASELINE_CPR),0)</f>
        <v/>
      </c>
      <c r="BM102" s="13">
        <f>IFERROR(AQ102/BD102*(BG102-BASELINE_CPR),0)</f>
        <v/>
      </c>
      <c r="BN102" s="13">
        <f>IFERROR(AR102/BD102*(BG102-BASELINE_CPR),0)</f>
        <v/>
      </c>
      <c r="BO102" s="13">
        <f>IFERROR(AS102/BD102*(BG102-BASELINE_CPR),0)</f>
        <v/>
      </c>
      <c r="BP102" s="13">
        <f>IFERROR(AT102/BD102*(BG102-BASELINE_CPR),0)</f>
        <v/>
      </c>
      <c r="BQ102" s="13">
        <f>IFERROR(AU102/BD102*(BG102-BASELINE_CPR),0)</f>
        <v/>
      </c>
      <c r="BR102" s="13">
        <f>IFERROR(AV102/BD102*(BG102-BASELINE_CPR),0)</f>
        <v/>
      </c>
      <c r="BS102" s="13">
        <f>IFERROR(AW102/BD102*(BG102-BASELINE_CPR),0)</f>
        <v/>
      </c>
      <c r="BT102" s="13">
        <f>IFERROR(AX102/BD102*(BG102-BASELINE_CPR),0)</f>
        <v/>
      </c>
      <c r="BU102" s="13">
        <f>IFERROR(AY102/BD102*(BG102-BASELINE_CPR),0)</f>
        <v/>
      </c>
      <c r="BV102" s="13">
        <f>IFERROR(AZ102/BD102*(BG102-BASELINE_CPR),0)</f>
        <v/>
      </c>
      <c r="BW102" s="13">
        <f>IFERROR(BA102/BD102*(BG102-BASELINE_CPR),0)</f>
        <v/>
      </c>
      <c r="BX102" s="13">
        <f>IFERROR(BB102/BD102*(BG102-BASELINE_CPR),0)</f>
        <v/>
      </c>
      <c r="BY102" s="13">
        <f>IFERROR(BC102/BD102*(BG102-BASELINE_CPR),0)</f>
        <v/>
      </c>
      <c r="BZ102" s="28">
        <f>BASELINE_CPR+SUM(BH102:BY102)-BG102</f>
        <v/>
      </c>
    </row>
    <row r="103">
      <c r="A103" s="2" t="inlineStr">
        <is>
          <t>36195YXV1_000000010111250</t>
        </is>
      </c>
      <c r="B103" t="inlineStr">
        <is>
          <t>GREYSTONE_PRE21</t>
        </is>
      </c>
      <c r="C103" s="2" t="inlineStr">
        <is>
          <t>36195YXV1</t>
        </is>
      </c>
      <c r="D103" t="inlineStr">
        <is>
          <t>GREYSTONE FUNDING COMPANY LLC</t>
        </is>
      </c>
      <c r="E103" t="inlineStr">
        <is>
          <t>223a7</t>
        </is>
      </c>
      <c r="F103" t="inlineStr">
        <is>
          <t>RP</t>
        </is>
      </c>
      <c r="G103" t="n">
        <v>2016</v>
      </c>
      <c r="H103" t="inlineStr">
        <is>
          <t>202602</t>
        </is>
      </c>
      <c r="I103" s="22" t="n">
        <v>9943905.23</v>
      </c>
      <c r="J103" s="23" t="n">
        <v>3.39</v>
      </c>
      <c r="K103" s="24" t="n">
        <v>447</v>
      </c>
      <c r="L103" s="24" t="n">
        <v>1</v>
      </c>
      <c r="M103" t="n">
        <v>111</v>
      </c>
      <c r="N103" t="n">
        <v>26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s="24">
        <f>J103*100-(K103+(1+L103)*12.5)</f>
        <v/>
      </c>
      <c r="U103">
        <f>O103</f>
        <v/>
      </c>
      <c r="V103">
        <f>M103</f>
        <v/>
      </c>
      <c r="W103" s="23">
        <f>LN(1+I103)</f>
        <v/>
      </c>
      <c r="X103">
        <f>IF(G103&gt;=2021,1,0)</f>
        <v/>
      </c>
      <c r="Y103">
        <f>N103</f>
        <v/>
      </c>
      <c r="Z103" s="23">
        <f>IF(ISNUMBER(M103),N103/MAX(M103,1),0)</f>
        <v/>
      </c>
      <c r="AA103">
        <f>P103</f>
        <v/>
      </c>
      <c r="AB103">
        <f>Q103</f>
        <v/>
      </c>
      <c r="AC103">
        <f>R103</f>
        <v/>
      </c>
      <c r="AD103">
        <f>S103</f>
        <v/>
      </c>
      <c r="AE103">
        <f>IF(ISNUMBER(SEARCH("CAPITAL FUNDING",D103)),1,0)</f>
        <v/>
      </c>
      <c r="AF103">
        <f>IF(ISNUMBER(SEARCH("MERCHANTS",D103)),1,0)</f>
        <v/>
      </c>
      <c r="AG103">
        <f>IF(ISNUMBER(SEARCH("WELLS FARGO",D103)),1,0)</f>
        <v/>
      </c>
      <c r="AH103">
        <f>IF(ISNUMBER(SEARCH("WALKER",D103)),1,0)</f>
        <v/>
      </c>
      <c r="AI103">
        <f>IF(ISNUMBER(SEARCH("PNC",D103)),1,0)</f>
        <v/>
      </c>
      <c r="AJ103">
        <f>IF(ISNUMBER(SEARCH("BERKADIA",D103)),1,0)</f>
        <v/>
      </c>
      <c r="AK103">
        <f>IF(ISNUMBER(SEARCH("DWIGHT",D103)),1,0)</f>
        <v/>
      </c>
      <c r="AL103" s="25">
        <f>T$4*(T103-T$3)</f>
        <v/>
      </c>
      <c r="AM103" s="25">
        <f>U$4*(U103-U$3)</f>
        <v/>
      </c>
      <c r="AN103" s="25">
        <f>V$4*(V103-V$3)</f>
        <v/>
      </c>
      <c r="AO103" s="25">
        <f>W$4*(W103-W$3)</f>
        <v/>
      </c>
      <c r="AP103" s="25">
        <f>X$4*(X103-X$3)</f>
        <v/>
      </c>
      <c r="AQ103" s="25">
        <f>Y$4*(Y103-Y$3)</f>
        <v/>
      </c>
      <c r="AR103" s="25">
        <f>Z$4*(Z103-Z$3)</f>
        <v/>
      </c>
      <c r="AS103" s="25">
        <f>AA$4*(AA103-AA$3)</f>
        <v/>
      </c>
      <c r="AT103" s="25">
        <f>AB$4*(AB103-AB$3)</f>
        <v/>
      </c>
      <c r="AU103" s="25">
        <f>AC$4*(AC103-AC$3)</f>
        <v/>
      </c>
      <c r="AV103" s="25">
        <f>AD$4*(AD103-AD$3)</f>
        <v/>
      </c>
      <c r="AW103" s="25">
        <f>AE$4*(AE103-AE$3)</f>
        <v/>
      </c>
      <c r="AX103" s="25">
        <f>AF$4*(AF103-AF$3)</f>
        <v/>
      </c>
      <c r="AY103" s="25">
        <f>AG$4*(AG103-AG$3)</f>
        <v/>
      </c>
      <c r="AZ103" s="25">
        <f>AH$4*(AH103-AH$3)</f>
        <v/>
      </c>
      <c r="BA103" s="25">
        <f>AI$4*(AI103-AI$3)</f>
        <v/>
      </c>
      <c r="BB103" s="25">
        <f>AJ$4*(AJ103-AJ$3)</f>
        <v/>
      </c>
      <c r="BC103" s="25">
        <f>AK$4*(AK103-AK$3)</f>
        <v/>
      </c>
      <c r="BD103" s="26">
        <f>SUM(AL103:BC103)</f>
        <v/>
      </c>
      <c r="BE103" s="26">
        <f>INTERCEPT_SCALED+BD103</f>
        <v/>
      </c>
      <c r="BF103" s="27">
        <f>1/(1+EXP(-BE103))</f>
        <v/>
      </c>
      <c r="BG103" s="13">
        <f>1-(1-BF103)^12</f>
        <v/>
      </c>
      <c r="BH103" s="13">
        <f>IFERROR(AL103/BD103*(BG103-BASELINE_CPR),0)</f>
        <v/>
      </c>
      <c r="BI103" s="13">
        <f>IFERROR(AM103/BD103*(BG103-BASELINE_CPR),0)</f>
        <v/>
      </c>
      <c r="BJ103" s="13">
        <f>IFERROR(AN103/BD103*(BG103-BASELINE_CPR),0)</f>
        <v/>
      </c>
      <c r="BK103" s="13">
        <f>IFERROR(AO103/BD103*(BG103-BASELINE_CPR),0)</f>
        <v/>
      </c>
      <c r="BL103" s="13">
        <f>IFERROR(AP103/BD103*(BG103-BASELINE_CPR),0)</f>
        <v/>
      </c>
      <c r="BM103" s="13">
        <f>IFERROR(AQ103/BD103*(BG103-BASELINE_CPR),0)</f>
        <v/>
      </c>
      <c r="BN103" s="13">
        <f>IFERROR(AR103/BD103*(BG103-BASELINE_CPR),0)</f>
        <v/>
      </c>
      <c r="BO103" s="13">
        <f>IFERROR(AS103/BD103*(BG103-BASELINE_CPR),0)</f>
        <v/>
      </c>
      <c r="BP103" s="13">
        <f>IFERROR(AT103/BD103*(BG103-BASELINE_CPR),0)</f>
        <v/>
      </c>
      <c r="BQ103" s="13">
        <f>IFERROR(AU103/BD103*(BG103-BASELINE_CPR),0)</f>
        <v/>
      </c>
      <c r="BR103" s="13">
        <f>IFERROR(AV103/BD103*(BG103-BASELINE_CPR),0)</f>
        <v/>
      </c>
      <c r="BS103" s="13">
        <f>IFERROR(AW103/BD103*(BG103-BASELINE_CPR),0)</f>
        <v/>
      </c>
      <c r="BT103" s="13">
        <f>IFERROR(AX103/BD103*(BG103-BASELINE_CPR),0)</f>
        <v/>
      </c>
      <c r="BU103" s="13">
        <f>IFERROR(AY103/BD103*(BG103-BASELINE_CPR),0)</f>
        <v/>
      </c>
      <c r="BV103" s="13">
        <f>IFERROR(AZ103/BD103*(BG103-BASELINE_CPR),0)</f>
        <v/>
      </c>
      <c r="BW103" s="13">
        <f>IFERROR(BA103/BD103*(BG103-BASELINE_CPR),0)</f>
        <v/>
      </c>
      <c r="BX103" s="13">
        <f>IFERROR(BB103/BD103*(BG103-BASELINE_CPR),0)</f>
        <v/>
      </c>
      <c r="BY103" s="13">
        <f>IFERROR(BC103/BD103*(BG103-BASELINE_CPR),0)</f>
        <v/>
      </c>
      <c r="BZ103" s="28">
        <f>BASELINE_CPR+SUM(BH103:BY103)-BG103</f>
        <v/>
      </c>
    </row>
    <row r="104">
      <c r="A104" s="2" t="inlineStr">
        <is>
          <t>3617YUSS4_000000008522106</t>
        </is>
      </c>
      <c r="B104" t="inlineStr">
        <is>
          <t>GREYSTONE_POST21</t>
        </is>
      </c>
      <c r="C104" s="2" t="inlineStr">
        <is>
          <t>3617YUSS4</t>
        </is>
      </c>
      <c r="D104" t="inlineStr">
        <is>
          <t>GREYSTONE FUNDING COMPANY LLC</t>
        </is>
      </c>
      <c r="E104" t="inlineStr">
        <is>
          <t>232</t>
        </is>
      </c>
      <c r="F104" t="inlineStr">
        <is>
          <t>RP</t>
        </is>
      </c>
      <c r="G104" t="n">
        <v>2022</v>
      </c>
      <c r="H104" t="inlineStr">
        <is>
          <t>202602</t>
        </is>
      </c>
      <c r="I104" s="22" t="n">
        <v>11574005.09</v>
      </c>
      <c r="J104" s="23" t="n">
        <v>3.3</v>
      </c>
      <c r="K104" s="24" t="n">
        <v>447</v>
      </c>
      <c r="L104" s="24" t="n">
        <v>7</v>
      </c>
      <c r="M104" t="n">
        <v>45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s="24">
        <f>J104*100-(K104+(1+L104)*12.5)</f>
        <v/>
      </c>
      <c r="U104">
        <f>O104</f>
        <v/>
      </c>
      <c r="V104">
        <f>M104</f>
        <v/>
      </c>
      <c r="W104" s="23">
        <f>LN(1+I104)</f>
        <v/>
      </c>
      <c r="X104">
        <f>IF(G104&gt;=2021,1,0)</f>
        <v/>
      </c>
      <c r="Y104">
        <f>N104</f>
        <v/>
      </c>
      <c r="Z104" s="23">
        <f>IF(ISNUMBER(M104),N104/MAX(M104,1),0)</f>
        <v/>
      </c>
      <c r="AA104">
        <f>P104</f>
        <v/>
      </c>
      <c r="AB104">
        <f>Q104</f>
        <v/>
      </c>
      <c r="AC104">
        <f>R104</f>
        <v/>
      </c>
      <c r="AD104">
        <f>S104</f>
        <v/>
      </c>
      <c r="AE104">
        <f>IF(ISNUMBER(SEARCH("CAPITAL FUNDING",D104)),1,0)</f>
        <v/>
      </c>
      <c r="AF104">
        <f>IF(ISNUMBER(SEARCH("MERCHANTS",D104)),1,0)</f>
        <v/>
      </c>
      <c r="AG104">
        <f>IF(ISNUMBER(SEARCH("WELLS FARGO",D104)),1,0)</f>
        <v/>
      </c>
      <c r="AH104">
        <f>IF(ISNUMBER(SEARCH("WALKER",D104)),1,0)</f>
        <v/>
      </c>
      <c r="AI104">
        <f>IF(ISNUMBER(SEARCH("PNC",D104)),1,0)</f>
        <v/>
      </c>
      <c r="AJ104">
        <f>IF(ISNUMBER(SEARCH("BERKADIA",D104)),1,0)</f>
        <v/>
      </c>
      <c r="AK104">
        <f>IF(ISNUMBER(SEARCH("DWIGHT",D104)),1,0)</f>
        <v/>
      </c>
      <c r="AL104" s="25">
        <f>T$4*(T104-T$3)</f>
        <v/>
      </c>
      <c r="AM104" s="25">
        <f>U$4*(U104-U$3)</f>
        <v/>
      </c>
      <c r="AN104" s="25">
        <f>V$4*(V104-V$3)</f>
        <v/>
      </c>
      <c r="AO104" s="25">
        <f>W$4*(W104-W$3)</f>
        <v/>
      </c>
      <c r="AP104" s="25">
        <f>X$4*(X104-X$3)</f>
        <v/>
      </c>
      <c r="AQ104" s="25">
        <f>Y$4*(Y104-Y$3)</f>
        <v/>
      </c>
      <c r="AR104" s="25">
        <f>Z$4*(Z104-Z$3)</f>
        <v/>
      </c>
      <c r="AS104" s="25">
        <f>AA$4*(AA104-AA$3)</f>
        <v/>
      </c>
      <c r="AT104" s="25">
        <f>AB$4*(AB104-AB$3)</f>
        <v/>
      </c>
      <c r="AU104" s="25">
        <f>AC$4*(AC104-AC$3)</f>
        <v/>
      </c>
      <c r="AV104" s="25">
        <f>AD$4*(AD104-AD$3)</f>
        <v/>
      </c>
      <c r="AW104" s="25">
        <f>AE$4*(AE104-AE$3)</f>
        <v/>
      </c>
      <c r="AX104" s="25">
        <f>AF$4*(AF104-AF$3)</f>
        <v/>
      </c>
      <c r="AY104" s="25">
        <f>AG$4*(AG104-AG$3)</f>
        <v/>
      </c>
      <c r="AZ104" s="25">
        <f>AH$4*(AH104-AH$3)</f>
        <v/>
      </c>
      <c r="BA104" s="25">
        <f>AI$4*(AI104-AI$3)</f>
        <v/>
      </c>
      <c r="BB104" s="25">
        <f>AJ$4*(AJ104-AJ$3)</f>
        <v/>
      </c>
      <c r="BC104" s="25">
        <f>AK$4*(AK104-AK$3)</f>
        <v/>
      </c>
      <c r="BD104" s="26">
        <f>SUM(AL104:BC104)</f>
        <v/>
      </c>
      <c r="BE104" s="26">
        <f>INTERCEPT_SCALED+BD104</f>
        <v/>
      </c>
      <c r="BF104" s="27">
        <f>1/(1+EXP(-BE104))</f>
        <v/>
      </c>
      <c r="BG104" s="13">
        <f>1-(1-BF104)^12</f>
        <v/>
      </c>
      <c r="BH104" s="13">
        <f>IFERROR(AL104/BD104*(BG104-BASELINE_CPR),0)</f>
        <v/>
      </c>
      <c r="BI104" s="13">
        <f>IFERROR(AM104/BD104*(BG104-BASELINE_CPR),0)</f>
        <v/>
      </c>
      <c r="BJ104" s="13">
        <f>IFERROR(AN104/BD104*(BG104-BASELINE_CPR),0)</f>
        <v/>
      </c>
      <c r="BK104" s="13">
        <f>IFERROR(AO104/BD104*(BG104-BASELINE_CPR),0)</f>
        <v/>
      </c>
      <c r="BL104" s="13">
        <f>IFERROR(AP104/BD104*(BG104-BASELINE_CPR),0)</f>
        <v/>
      </c>
      <c r="BM104" s="13">
        <f>IFERROR(AQ104/BD104*(BG104-BASELINE_CPR),0)</f>
        <v/>
      </c>
      <c r="BN104" s="13">
        <f>IFERROR(AR104/BD104*(BG104-BASELINE_CPR),0)</f>
        <v/>
      </c>
      <c r="BO104" s="13">
        <f>IFERROR(AS104/BD104*(BG104-BASELINE_CPR),0)</f>
        <v/>
      </c>
      <c r="BP104" s="13">
        <f>IFERROR(AT104/BD104*(BG104-BASELINE_CPR),0)</f>
        <v/>
      </c>
      <c r="BQ104" s="13">
        <f>IFERROR(AU104/BD104*(BG104-BASELINE_CPR),0)</f>
        <v/>
      </c>
      <c r="BR104" s="13">
        <f>IFERROR(AV104/BD104*(BG104-BASELINE_CPR),0)</f>
        <v/>
      </c>
      <c r="BS104" s="13">
        <f>IFERROR(AW104/BD104*(BG104-BASELINE_CPR),0)</f>
        <v/>
      </c>
      <c r="BT104" s="13">
        <f>IFERROR(AX104/BD104*(BG104-BASELINE_CPR),0)</f>
        <v/>
      </c>
      <c r="BU104" s="13">
        <f>IFERROR(AY104/BD104*(BG104-BASELINE_CPR),0)</f>
        <v/>
      </c>
      <c r="BV104" s="13">
        <f>IFERROR(AZ104/BD104*(BG104-BASELINE_CPR),0)</f>
        <v/>
      </c>
      <c r="BW104" s="13">
        <f>IFERROR(BA104/BD104*(BG104-BASELINE_CPR),0)</f>
        <v/>
      </c>
      <c r="BX104" s="13">
        <f>IFERROR(BB104/BD104*(BG104-BASELINE_CPR),0)</f>
        <v/>
      </c>
      <c r="BY104" s="13">
        <f>IFERROR(BC104/BD104*(BG104-BASELINE_CPR),0)</f>
        <v/>
      </c>
      <c r="BZ104" s="28">
        <f>BASELINE_CPR+SUM(BH104:BY104)-BG104</f>
        <v/>
      </c>
    </row>
    <row r="105">
      <c r="A105" s="2" t="inlineStr">
        <is>
          <t>3617XRBC5_000000011411535</t>
        </is>
      </c>
      <c r="B105" t="inlineStr">
        <is>
          <t>GREYSTONE_POST21</t>
        </is>
      </c>
      <c r="C105" s="2" t="inlineStr">
        <is>
          <t>3617XRBC5</t>
        </is>
      </c>
      <c r="D105" t="inlineStr">
        <is>
          <t>GREYSTONE FUNDING COMPANY LLC</t>
        </is>
      </c>
      <c r="E105" t="inlineStr">
        <is>
          <t>223f</t>
        </is>
      </c>
      <c r="F105" t="inlineStr">
        <is>
          <t>RP</t>
        </is>
      </c>
      <c r="G105" t="n">
        <v>2022</v>
      </c>
      <c r="H105" t="inlineStr">
        <is>
          <t>202602</t>
        </is>
      </c>
      <c r="I105" s="22" t="n">
        <v>11232891.01</v>
      </c>
      <c r="J105" s="23" t="n">
        <v>2.38</v>
      </c>
      <c r="K105" s="24" t="n">
        <v>447</v>
      </c>
      <c r="L105" s="24" t="n">
        <v>7</v>
      </c>
      <c r="M105" t="n">
        <v>49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s="24">
        <f>J105*100-(K105+(1+L105)*12.5)</f>
        <v/>
      </c>
      <c r="U105">
        <f>O105</f>
        <v/>
      </c>
      <c r="V105">
        <f>M105</f>
        <v/>
      </c>
      <c r="W105" s="23">
        <f>LN(1+I105)</f>
        <v/>
      </c>
      <c r="X105">
        <f>IF(G105&gt;=2021,1,0)</f>
        <v/>
      </c>
      <c r="Y105">
        <f>N105</f>
        <v/>
      </c>
      <c r="Z105" s="23">
        <f>IF(ISNUMBER(M105),N105/MAX(M105,1),0)</f>
        <v/>
      </c>
      <c r="AA105">
        <f>P105</f>
        <v/>
      </c>
      <c r="AB105">
        <f>Q105</f>
        <v/>
      </c>
      <c r="AC105">
        <f>R105</f>
        <v/>
      </c>
      <c r="AD105">
        <f>S105</f>
        <v/>
      </c>
      <c r="AE105">
        <f>IF(ISNUMBER(SEARCH("CAPITAL FUNDING",D105)),1,0)</f>
        <v/>
      </c>
      <c r="AF105">
        <f>IF(ISNUMBER(SEARCH("MERCHANTS",D105)),1,0)</f>
        <v/>
      </c>
      <c r="AG105">
        <f>IF(ISNUMBER(SEARCH("WELLS FARGO",D105)),1,0)</f>
        <v/>
      </c>
      <c r="AH105">
        <f>IF(ISNUMBER(SEARCH("WALKER",D105)),1,0)</f>
        <v/>
      </c>
      <c r="AI105">
        <f>IF(ISNUMBER(SEARCH("PNC",D105)),1,0)</f>
        <v/>
      </c>
      <c r="AJ105">
        <f>IF(ISNUMBER(SEARCH("BERKADIA",D105)),1,0)</f>
        <v/>
      </c>
      <c r="AK105">
        <f>IF(ISNUMBER(SEARCH("DWIGHT",D105)),1,0)</f>
        <v/>
      </c>
      <c r="AL105" s="25">
        <f>T$4*(T105-T$3)</f>
        <v/>
      </c>
      <c r="AM105" s="25">
        <f>U$4*(U105-U$3)</f>
        <v/>
      </c>
      <c r="AN105" s="25">
        <f>V$4*(V105-V$3)</f>
        <v/>
      </c>
      <c r="AO105" s="25">
        <f>W$4*(W105-W$3)</f>
        <v/>
      </c>
      <c r="AP105" s="25">
        <f>X$4*(X105-X$3)</f>
        <v/>
      </c>
      <c r="AQ105" s="25">
        <f>Y$4*(Y105-Y$3)</f>
        <v/>
      </c>
      <c r="AR105" s="25">
        <f>Z$4*(Z105-Z$3)</f>
        <v/>
      </c>
      <c r="AS105" s="25">
        <f>AA$4*(AA105-AA$3)</f>
        <v/>
      </c>
      <c r="AT105" s="25">
        <f>AB$4*(AB105-AB$3)</f>
        <v/>
      </c>
      <c r="AU105" s="25">
        <f>AC$4*(AC105-AC$3)</f>
        <v/>
      </c>
      <c r="AV105" s="25">
        <f>AD$4*(AD105-AD$3)</f>
        <v/>
      </c>
      <c r="AW105" s="25">
        <f>AE$4*(AE105-AE$3)</f>
        <v/>
      </c>
      <c r="AX105" s="25">
        <f>AF$4*(AF105-AF$3)</f>
        <v/>
      </c>
      <c r="AY105" s="25">
        <f>AG$4*(AG105-AG$3)</f>
        <v/>
      </c>
      <c r="AZ105" s="25">
        <f>AH$4*(AH105-AH$3)</f>
        <v/>
      </c>
      <c r="BA105" s="25">
        <f>AI$4*(AI105-AI$3)</f>
        <v/>
      </c>
      <c r="BB105" s="25">
        <f>AJ$4*(AJ105-AJ$3)</f>
        <v/>
      </c>
      <c r="BC105" s="25">
        <f>AK$4*(AK105-AK$3)</f>
        <v/>
      </c>
      <c r="BD105" s="26">
        <f>SUM(AL105:BC105)</f>
        <v/>
      </c>
      <c r="BE105" s="26">
        <f>INTERCEPT_SCALED+BD105</f>
        <v/>
      </c>
      <c r="BF105" s="27">
        <f>1/(1+EXP(-BE105))</f>
        <v/>
      </c>
      <c r="BG105" s="13">
        <f>1-(1-BF105)^12</f>
        <v/>
      </c>
      <c r="BH105" s="13">
        <f>IFERROR(AL105/BD105*(BG105-BASELINE_CPR),0)</f>
        <v/>
      </c>
      <c r="BI105" s="13">
        <f>IFERROR(AM105/BD105*(BG105-BASELINE_CPR),0)</f>
        <v/>
      </c>
      <c r="BJ105" s="13">
        <f>IFERROR(AN105/BD105*(BG105-BASELINE_CPR),0)</f>
        <v/>
      </c>
      <c r="BK105" s="13">
        <f>IFERROR(AO105/BD105*(BG105-BASELINE_CPR),0)</f>
        <v/>
      </c>
      <c r="BL105" s="13">
        <f>IFERROR(AP105/BD105*(BG105-BASELINE_CPR),0)</f>
        <v/>
      </c>
      <c r="BM105" s="13">
        <f>IFERROR(AQ105/BD105*(BG105-BASELINE_CPR),0)</f>
        <v/>
      </c>
      <c r="BN105" s="13">
        <f>IFERROR(AR105/BD105*(BG105-BASELINE_CPR),0)</f>
        <v/>
      </c>
      <c r="BO105" s="13">
        <f>IFERROR(AS105/BD105*(BG105-BASELINE_CPR),0)</f>
        <v/>
      </c>
      <c r="BP105" s="13">
        <f>IFERROR(AT105/BD105*(BG105-BASELINE_CPR),0)</f>
        <v/>
      </c>
      <c r="BQ105" s="13">
        <f>IFERROR(AU105/BD105*(BG105-BASELINE_CPR),0)</f>
        <v/>
      </c>
      <c r="BR105" s="13">
        <f>IFERROR(AV105/BD105*(BG105-BASELINE_CPR),0)</f>
        <v/>
      </c>
      <c r="BS105" s="13">
        <f>IFERROR(AW105/BD105*(BG105-BASELINE_CPR),0)</f>
        <v/>
      </c>
      <c r="BT105" s="13">
        <f>IFERROR(AX105/BD105*(BG105-BASELINE_CPR),0)</f>
        <v/>
      </c>
      <c r="BU105" s="13">
        <f>IFERROR(AY105/BD105*(BG105-BASELINE_CPR),0)</f>
        <v/>
      </c>
      <c r="BV105" s="13">
        <f>IFERROR(AZ105/BD105*(BG105-BASELINE_CPR),0)</f>
        <v/>
      </c>
      <c r="BW105" s="13">
        <f>IFERROR(BA105/BD105*(BG105-BASELINE_CPR),0)</f>
        <v/>
      </c>
      <c r="BX105" s="13">
        <f>IFERROR(BB105/BD105*(BG105-BASELINE_CPR),0)</f>
        <v/>
      </c>
      <c r="BY105" s="13">
        <f>IFERROR(BC105/BD105*(BG105-BASELINE_CPR),0)</f>
        <v/>
      </c>
      <c r="BZ105" s="28">
        <f>BASELINE_CPR+SUM(BH105:BY105)-BG105</f>
        <v/>
      </c>
    </row>
    <row r="106">
      <c r="A106" s="2" t="inlineStr">
        <is>
          <t>3617FEQQ7_000000001711241</t>
        </is>
      </c>
      <c r="B106" t="inlineStr">
        <is>
          <t>GREYSTONE_POST21</t>
        </is>
      </c>
      <c r="C106" s="2" t="inlineStr">
        <is>
          <t>3617FEQQ7</t>
        </is>
      </c>
      <c r="D106" t="inlineStr">
        <is>
          <t>GREYSTONE FUNDING COMPANY LLC</t>
        </is>
      </c>
      <c r="E106" t="inlineStr">
        <is>
          <t>223f</t>
        </is>
      </c>
      <c r="F106" t="inlineStr">
        <is>
          <t>RP</t>
        </is>
      </c>
      <c r="G106" t="n">
        <v>2022</v>
      </c>
      <c r="H106" t="inlineStr">
        <is>
          <t>202602</t>
        </is>
      </c>
      <c r="I106" s="22" t="n">
        <v>30292588.75</v>
      </c>
      <c r="J106" s="23" t="n">
        <v>3.9</v>
      </c>
      <c r="K106" s="24" t="n">
        <v>447</v>
      </c>
      <c r="L106" s="24" t="n">
        <v>7</v>
      </c>
      <c r="M106" t="n">
        <v>44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s="24">
        <f>J106*100-(K106+(1+L106)*12.5)</f>
        <v/>
      </c>
      <c r="U106">
        <f>O106</f>
        <v/>
      </c>
      <c r="V106">
        <f>M106</f>
        <v/>
      </c>
      <c r="W106" s="23">
        <f>LN(1+I106)</f>
        <v/>
      </c>
      <c r="X106">
        <f>IF(G106&gt;=2021,1,0)</f>
        <v/>
      </c>
      <c r="Y106">
        <f>N106</f>
        <v/>
      </c>
      <c r="Z106" s="23">
        <f>IF(ISNUMBER(M106),N106/MAX(M106,1),0)</f>
        <v/>
      </c>
      <c r="AA106">
        <f>P106</f>
        <v/>
      </c>
      <c r="AB106">
        <f>Q106</f>
        <v/>
      </c>
      <c r="AC106">
        <f>R106</f>
        <v/>
      </c>
      <c r="AD106">
        <f>S106</f>
        <v/>
      </c>
      <c r="AE106">
        <f>IF(ISNUMBER(SEARCH("CAPITAL FUNDING",D106)),1,0)</f>
        <v/>
      </c>
      <c r="AF106">
        <f>IF(ISNUMBER(SEARCH("MERCHANTS",D106)),1,0)</f>
        <v/>
      </c>
      <c r="AG106">
        <f>IF(ISNUMBER(SEARCH("WELLS FARGO",D106)),1,0)</f>
        <v/>
      </c>
      <c r="AH106">
        <f>IF(ISNUMBER(SEARCH("WALKER",D106)),1,0)</f>
        <v/>
      </c>
      <c r="AI106">
        <f>IF(ISNUMBER(SEARCH("PNC",D106)),1,0)</f>
        <v/>
      </c>
      <c r="AJ106">
        <f>IF(ISNUMBER(SEARCH("BERKADIA",D106)),1,0)</f>
        <v/>
      </c>
      <c r="AK106">
        <f>IF(ISNUMBER(SEARCH("DWIGHT",D106)),1,0)</f>
        <v/>
      </c>
      <c r="AL106" s="25">
        <f>T$4*(T106-T$3)</f>
        <v/>
      </c>
      <c r="AM106" s="25">
        <f>U$4*(U106-U$3)</f>
        <v/>
      </c>
      <c r="AN106" s="25">
        <f>V$4*(V106-V$3)</f>
        <v/>
      </c>
      <c r="AO106" s="25">
        <f>W$4*(W106-W$3)</f>
        <v/>
      </c>
      <c r="AP106" s="25">
        <f>X$4*(X106-X$3)</f>
        <v/>
      </c>
      <c r="AQ106" s="25">
        <f>Y$4*(Y106-Y$3)</f>
        <v/>
      </c>
      <c r="AR106" s="25">
        <f>Z$4*(Z106-Z$3)</f>
        <v/>
      </c>
      <c r="AS106" s="25">
        <f>AA$4*(AA106-AA$3)</f>
        <v/>
      </c>
      <c r="AT106" s="25">
        <f>AB$4*(AB106-AB$3)</f>
        <v/>
      </c>
      <c r="AU106" s="25">
        <f>AC$4*(AC106-AC$3)</f>
        <v/>
      </c>
      <c r="AV106" s="25">
        <f>AD$4*(AD106-AD$3)</f>
        <v/>
      </c>
      <c r="AW106" s="25">
        <f>AE$4*(AE106-AE$3)</f>
        <v/>
      </c>
      <c r="AX106" s="25">
        <f>AF$4*(AF106-AF$3)</f>
        <v/>
      </c>
      <c r="AY106" s="25">
        <f>AG$4*(AG106-AG$3)</f>
        <v/>
      </c>
      <c r="AZ106" s="25">
        <f>AH$4*(AH106-AH$3)</f>
        <v/>
      </c>
      <c r="BA106" s="25">
        <f>AI$4*(AI106-AI$3)</f>
        <v/>
      </c>
      <c r="BB106" s="25">
        <f>AJ$4*(AJ106-AJ$3)</f>
        <v/>
      </c>
      <c r="BC106" s="25">
        <f>AK$4*(AK106-AK$3)</f>
        <v/>
      </c>
      <c r="BD106" s="26">
        <f>SUM(AL106:BC106)</f>
        <v/>
      </c>
      <c r="BE106" s="26">
        <f>INTERCEPT_SCALED+BD106</f>
        <v/>
      </c>
      <c r="BF106" s="27">
        <f>1/(1+EXP(-BE106))</f>
        <v/>
      </c>
      <c r="BG106" s="13">
        <f>1-(1-BF106)^12</f>
        <v/>
      </c>
      <c r="BH106" s="13">
        <f>IFERROR(AL106/BD106*(BG106-BASELINE_CPR),0)</f>
        <v/>
      </c>
      <c r="BI106" s="13">
        <f>IFERROR(AM106/BD106*(BG106-BASELINE_CPR),0)</f>
        <v/>
      </c>
      <c r="BJ106" s="13">
        <f>IFERROR(AN106/BD106*(BG106-BASELINE_CPR),0)</f>
        <v/>
      </c>
      <c r="BK106" s="13">
        <f>IFERROR(AO106/BD106*(BG106-BASELINE_CPR),0)</f>
        <v/>
      </c>
      <c r="BL106" s="13">
        <f>IFERROR(AP106/BD106*(BG106-BASELINE_CPR),0)</f>
        <v/>
      </c>
      <c r="BM106" s="13">
        <f>IFERROR(AQ106/BD106*(BG106-BASELINE_CPR),0)</f>
        <v/>
      </c>
      <c r="BN106" s="13">
        <f>IFERROR(AR106/BD106*(BG106-BASELINE_CPR),0)</f>
        <v/>
      </c>
      <c r="BO106" s="13">
        <f>IFERROR(AS106/BD106*(BG106-BASELINE_CPR),0)</f>
        <v/>
      </c>
      <c r="BP106" s="13">
        <f>IFERROR(AT106/BD106*(BG106-BASELINE_CPR),0)</f>
        <v/>
      </c>
      <c r="BQ106" s="13">
        <f>IFERROR(AU106/BD106*(BG106-BASELINE_CPR),0)</f>
        <v/>
      </c>
      <c r="BR106" s="13">
        <f>IFERROR(AV106/BD106*(BG106-BASELINE_CPR),0)</f>
        <v/>
      </c>
      <c r="BS106" s="13">
        <f>IFERROR(AW106/BD106*(BG106-BASELINE_CPR),0)</f>
        <v/>
      </c>
      <c r="BT106" s="13">
        <f>IFERROR(AX106/BD106*(BG106-BASELINE_CPR),0)</f>
        <v/>
      </c>
      <c r="BU106" s="13">
        <f>IFERROR(AY106/BD106*(BG106-BASELINE_CPR),0)</f>
        <v/>
      </c>
      <c r="BV106" s="13">
        <f>IFERROR(AZ106/BD106*(BG106-BASELINE_CPR),0)</f>
        <v/>
      </c>
      <c r="BW106" s="13">
        <f>IFERROR(BA106/BD106*(BG106-BASELINE_CPR),0)</f>
        <v/>
      </c>
      <c r="BX106" s="13">
        <f>IFERROR(BB106/BD106*(BG106-BASELINE_CPR),0)</f>
        <v/>
      </c>
      <c r="BY106" s="13">
        <f>IFERROR(BC106/BD106*(BG106-BASELINE_CPR),0)</f>
        <v/>
      </c>
      <c r="BZ106" s="28">
        <f>BASELINE_CPR+SUM(BH106:BY106)-BG106</f>
        <v/>
      </c>
    </row>
    <row r="107">
      <c r="A107" s="2" t="inlineStr">
        <is>
          <t>3617VLSV0_000000004222338</t>
        </is>
      </c>
      <c r="B107" t="inlineStr">
        <is>
          <t>GREYSTONE_POST21</t>
        </is>
      </c>
      <c r="C107" s="2" t="inlineStr">
        <is>
          <t>3617VLSV0</t>
        </is>
      </c>
      <c r="D107" t="inlineStr">
        <is>
          <t>GREYSTONE FUNDING COMPANY LLC</t>
        </is>
      </c>
      <c r="E107" t="inlineStr">
        <is>
          <t>232</t>
        </is>
      </c>
      <c r="F107" t="inlineStr">
        <is>
          <t>RP</t>
        </is>
      </c>
      <c r="G107" t="n">
        <v>2021</v>
      </c>
      <c r="H107" t="inlineStr">
        <is>
          <t>202602</t>
        </is>
      </c>
      <c r="I107" s="22" t="n">
        <v>5731386.6</v>
      </c>
      <c r="J107" s="23" t="n">
        <v>2.94</v>
      </c>
      <c r="K107" s="24" t="n">
        <v>447</v>
      </c>
      <c r="L107" s="24" t="n">
        <v>6</v>
      </c>
      <c r="M107" t="n">
        <v>58</v>
      </c>
      <c r="N107" t="n">
        <v>1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s="24">
        <f>J107*100-(K107+(1+L107)*12.5)</f>
        <v/>
      </c>
      <c r="U107">
        <f>O107</f>
        <v/>
      </c>
      <c r="V107">
        <f>M107</f>
        <v/>
      </c>
      <c r="W107" s="23">
        <f>LN(1+I107)</f>
        <v/>
      </c>
      <c r="X107">
        <f>IF(G107&gt;=2021,1,0)</f>
        <v/>
      </c>
      <c r="Y107">
        <f>N107</f>
        <v/>
      </c>
      <c r="Z107" s="23">
        <f>IF(ISNUMBER(M107),N107/MAX(M107,1),0)</f>
        <v/>
      </c>
      <c r="AA107">
        <f>P107</f>
        <v/>
      </c>
      <c r="AB107">
        <f>Q107</f>
        <v/>
      </c>
      <c r="AC107">
        <f>R107</f>
        <v/>
      </c>
      <c r="AD107">
        <f>S107</f>
        <v/>
      </c>
      <c r="AE107">
        <f>IF(ISNUMBER(SEARCH("CAPITAL FUNDING",D107)),1,0)</f>
        <v/>
      </c>
      <c r="AF107">
        <f>IF(ISNUMBER(SEARCH("MERCHANTS",D107)),1,0)</f>
        <v/>
      </c>
      <c r="AG107">
        <f>IF(ISNUMBER(SEARCH("WELLS FARGO",D107)),1,0)</f>
        <v/>
      </c>
      <c r="AH107">
        <f>IF(ISNUMBER(SEARCH("WALKER",D107)),1,0)</f>
        <v/>
      </c>
      <c r="AI107">
        <f>IF(ISNUMBER(SEARCH("PNC",D107)),1,0)</f>
        <v/>
      </c>
      <c r="AJ107">
        <f>IF(ISNUMBER(SEARCH("BERKADIA",D107)),1,0)</f>
        <v/>
      </c>
      <c r="AK107">
        <f>IF(ISNUMBER(SEARCH("DWIGHT",D107)),1,0)</f>
        <v/>
      </c>
      <c r="AL107" s="25">
        <f>T$4*(T107-T$3)</f>
        <v/>
      </c>
      <c r="AM107" s="25">
        <f>U$4*(U107-U$3)</f>
        <v/>
      </c>
      <c r="AN107" s="25">
        <f>V$4*(V107-V$3)</f>
        <v/>
      </c>
      <c r="AO107" s="25">
        <f>W$4*(W107-W$3)</f>
        <v/>
      </c>
      <c r="AP107" s="25">
        <f>X$4*(X107-X$3)</f>
        <v/>
      </c>
      <c r="AQ107" s="25">
        <f>Y$4*(Y107-Y$3)</f>
        <v/>
      </c>
      <c r="AR107" s="25">
        <f>Z$4*(Z107-Z$3)</f>
        <v/>
      </c>
      <c r="AS107" s="25">
        <f>AA$4*(AA107-AA$3)</f>
        <v/>
      </c>
      <c r="AT107" s="25">
        <f>AB$4*(AB107-AB$3)</f>
        <v/>
      </c>
      <c r="AU107" s="25">
        <f>AC$4*(AC107-AC$3)</f>
        <v/>
      </c>
      <c r="AV107" s="25">
        <f>AD$4*(AD107-AD$3)</f>
        <v/>
      </c>
      <c r="AW107" s="25">
        <f>AE$4*(AE107-AE$3)</f>
        <v/>
      </c>
      <c r="AX107" s="25">
        <f>AF$4*(AF107-AF$3)</f>
        <v/>
      </c>
      <c r="AY107" s="25">
        <f>AG$4*(AG107-AG$3)</f>
        <v/>
      </c>
      <c r="AZ107" s="25">
        <f>AH$4*(AH107-AH$3)</f>
        <v/>
      </c>
      <c r="BA107" s="25">
        <f>AI$4*(AI107-AI$3)</f>
        <v/>
      </c>
      <c r="BB107" s="25">
        <f>AJ$4*(AJ107-AJ$3)</f>
        <v/>
      </c>
      <c r="BC107" s="25">
        <f>AK$4*(AK107-AK$3)</f>
        <v/>
      </c>
      <c r="BD107" s="26">
        <f>SUM(AL107:BC107)</f>
        <v/>
      </c>
      <c r="BE107" s="26">
        <f>INTERCEPT_SCALED+BD107</f>
        <v/>
      </c>
      <c r="BF107" s="27">
        <f>1/(1+EXP(-BE107))</f>
        <v/>
      </c>
      <c r="BG107" s="13">
        <f>1-(1-BF107)^12</f>
        <v/>
      </c>
      <c r="BH107" s="13">
        <f>IFERROR(AL107/BD107*(BG107-BASELINE_CPR),0)</f>
        <v/>
      </c>
      <c r="BI107" s="13">
        <f>IFERROR(AM107/BD107*(BG107-BASELINE_CPR),0)</f>
        <v/>
      </c>
      <c r="BJ107" s="13">
        <f>IFERROR(AN107/BD107*(BG107-BASELINE_CPR),0)</f>
        <v/>
      </c>
      <c r="BK107" s="13">
        <f>IFERROR(AO107/BD107*(BG107-BASELINE_CPR),0)</f>
        <v/>
      </c>
      <c r="BL107" s="13">
        <f>IFERROR(AP107/BD107*(BG107-BASELINE_CPR),0)</f>
        <v/>
      </c>
      <c r="BM107" s="13">
        <f>IFERROR(AQ107/BD107*(BG107-BASELINE_CPR),0)</f>
        <v/>
      </c>
      <c r="BN107" s="13">
        <f>IFERROR(AR107/BD107*(BG107-BASELINE_CPR),0)</f>
        <v/>
      </c>
      <c r="BO107" s="13">
        <f>IFERROR(AS107/BD107*(BG107-BASELINE_CPR),0)</f>
        <v/>
      </c>
      <c r="BP107" s="13">
        <f>IFERROR(AT107/BD107*(BG107-BASELINE_CPR),0)</f>
        <v/>
      </c>
      <c r="BQ107" s="13">
        <f>IFERROR(AU107/BD107*(BG107-BASELINE_CPR),0)</f>
        <v/>
      </c>
      <c r="BR107" s="13">
        <f>IFERROR(AV107/BD107*(BG107-BASELINE_CPR),0)</f>
        <v/>
      </c>
      <c r="BS107" s="13">
        <f>IFERROR(AW107/BD107*(BG107-BASELINE_CPR),0)</f>
        <v/>
      </c>
      <c r="BT107" s="13">
        <f>IFERROR(AX107/BD107*(BG107-BASELINE_CPR),0)</f>
        <v/>
      </c>
      <c r="BU107" s="13">
        <f>IFERROR(AY107/BD107*(BG107-BASELINE_CPR),0)</f>
        <v/>
      </c>
      <c r="BV107" s="13">
        <f>IFERROR(AZ107/BD107*(BG107-BASELINE_CPR),0)</f>
        <v/>
      </c>
      <c r="BW107" s="13">
        <f>IFERROR(BA107/BD107*(BG107-BASELINE_CPR),0)</f>
        <v/>
      </c>
      <c r="BX107" s="13">
        <f>IFERROR(BB107/BD107*(BG107-BASELINE_CPR),0)</f>
        <v/>
      </c>
      <c r="BY107" s="13">
        <f>IFERROR(BC107/BD107*(BG107-BASELINE_CPR),0)</f>
        <v/>
      </c>
      <c r="BZ107" s="28">
        <f>BASELINE_CPR+SUM(BH107:BY107)-BG107</f>
        <v/>
      </c>
    </row>
    <row r="108">
      <c r="A108" s="2" t="inlineStr">
        <is>
          <t>3617XRBK7_000000003122150</t>
        </is>
      </c>
      <c r="B108" t="inlineStr">
        <is>
          <t>GREYSTONE_POST21</t>
        </is>
      </c>
      <c r="C108" s="2" t="inlineStr">
        <is>
          <t>3617XRBK7</t>
        </is>
      </c>
      <c r="D108" t="inlineStr">
        <is>
          <t>GREYSTONE FUNDING COMPANY LLC</t>
        </is>
      </c>
      <c r="E108" t="inlineStr">
        <is>
          <t>232</t>
        </is>
      </c>
      <c r="F108" t="inlineStr">
        <is>
          <t>RP</t>
        </is>
      </c>
      <c r="G108" t="n">
        <v>2022</v>
      </c>
      <c r="H108" t="inlineStr">
        <is>
          <t>202602</t>
        </is>
      </c>
      <c r="I108" s="22" t="n">
        <v>5481862.74</v>
      </c>
      <c r="J108" s="23" t="n">
        <v>2.59</v>
      </c>
      <c r="K108" s="24" t="n">
        <v>447</v>
      </c>
      <c r="L108" s="24" t="n">
        <v>7</v>
      </c>
      <c r="M108" t="n">
        <v>49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s="24">
        <f>J108*100-(K108+(1+L108)*12.5)</f>
        <v/>
      </c>
      <c r="U108">
        <f>O108</f>
        <v/>
      </c>
      <c r="V108">
        <f>M108</f>
        <v/>
      </c>
      <c r="W108" s="23">
        <f>LN(1+I108)</f>
        <v/>
      </c>
      <c r="X108">
        <f>IF(G108&gt;=2021,1,0)</f>
        <v/>
      </c>
      <c r="Y108">
        <f>N108</f>
        <v/>
      </c>
      <c r="Z108" s="23">
        <f>IF(ISNUMBER(M108),N108/MAX(M108,1),0)</f>
        <v/>
      </c>
      <c r="AA108">
        <f>P108</f>
        <v/>
      </c>
      <c r="AB108">
        <f>Q108</f>
        <v/>
      </c>
      <c r="AC108">
        <f>R108</f>
        <v/>
      </c>
      <c r="AD108">
        <f>S108</f>
        <v/>
      </c>
      <c r="AE108">
        <f>IF(ISNUMBER(SEARCH("CAPITAL FUNDING",D108)),1,0)</f>
        <v/>
      </c>
      <c r="AF108">
        <f>IF(ISNUMBER(SEARCH("MERCHANTS",D108)),1,0)</f>
        <v/>
      </c>
      <c r="AG108">
        <f>IF(ISNUMBER(SEARCH("WELLS FARGO",D108)),1,0)</f>
        <v/>
      </c>
      <c r="AH108">
        <f>IF(ISNUMBER(SEARCH("WALKER",D108)),1,0)</f>
        <v/>
      </c>
      <c r="AI108">
        <f>IF(ISNUMBER(SEARCH("PNC",D108)),1,0)</f>
        <v/>
      </c>
      <c r="AJ108">
        <f>IF(ISNUMBER(SEARCH("BERKADIA",D108)),1,0)</f>
        <v/>
      </c>
      <c r="AK108">
        <f>IF(ISNUMBER(SEARCH("DWIGHT",D108)),1,0)</f>
        <v/>
      </c>
      <c r="AL108" s="25">
        <f>T$4*(T108-T$3)</f>
        <v/>
      </c>
      <c r="AM108" s="25">
        <f>U$4*(U108-U$3)</f>
        <v/>
      </c>
      <c r="AN108" s="25">
        <f>V$4*(V108-V$3)</f>
        <v/>
      </c>
      <c r="AO108" s="25">
        <f>W$4*(W108-W$3)</f>
        <v/>
      </c>
      <c r="AP108" s="25">
        <f>X$4*(X108-X$3)</f>
        <v/>
      </c>
      <c r="AQ108" s="25">
        <f>Y$4*(Y108-Y$3)</f>
        <v/>
      </c>
      <c r="AR108" s="25">
        <f>Z$4*(Z108-Z$3)</f>
        <v/>
      </c>
      <c r="AS108" s="25">
        <f>AA$4*(AA108-AA$3)</f>
        <v/>
      </c>
      <c r="AT108" s="25">
        <f>AB$4*(AB108-AB$3)</f>
        <v/>
      </c>
      <c r="AU108" s="25">
        <f>AC$4*(AC108-AC$3)</f>
        <v/>
      </c>
      <c r="AV108" s="25">
        <f>AD$4*(AD108-AD$3)</f>
        <v/>
      </c>
      <c r="AW108" s="25">
        <f>AE$4*(AE108-AE$3)</f>
        <v/>
      </c>
      <c r="AX108" s="25">
        <f>AF$4*(AF108-AF$3)</f>
        <v/>
      </c>
      <c r="AY108" s="25">
        <f>AG$4*(AG108-AG$3)</f>
        <v/>
      </c>
      <c r="AZ108" s="25">
        <f>AH$4*(AH108-AH$3)</f>
        <v/>
      </c>
      <c r="BA108" s="25">
        <f>AI$4*(AI108-AI$3)</f>
        <v/>
      </c>
      <c r="BB108" s="25">
        <f>AJ$4*(AJ108-AJ$3)</f>
        <v/>
      </c>
      <c r="BC108" s="25">
        <f>AK$4*(AK108-AK$3)</f>
        <v/>
      </c>
      <c r="BD108" s="26">
        <f>SUM(AL108:BC108)</f>
        <v/>
      </c>
      <c r="BE108" s="26">
        <f>INTERCEPT_SCALED+BD108</f>
        <v/>
      </c>
      <c r="BF108" s="27">
        <f>1/(1+EXP(-BE108))</f>
        <v/>
      </c>
      <c r="BG108" s="13">
        <f>1-(1-BF108)^12</f>
        <v/>
      </c>
      <c r="BH108" s="13">
        <f>IFERROR(AL108/BD108*(BG108-BASELINE_CPR),0)</f>
        <v/>
      </c>
      <c r="BI108" s="13">
        <f>IFERROR(AM108/BD108*(BG108-BASELINE_CPR),0)</f>
        <v/>
      </c>
      <c r="BJ108" s="13">
        <f>IFERROR(AN108/BD108*(BG108-BASELINE_CPR),0)</f>
        <v/>
      </c>
      <c r="BK108" s="13">
        <f>IFERROR(AO108/BD108*(BG108-BASELINE_CPR),0)</f>
        <v/>
      </c>
      <c r="BL108" s="13">
        <f>IFERROR(AP108/BD108*(BG108-BASELINE_CPR),0)</f>
        <v/>
      </c>
      <c r="BM108" s="13">
        <f>IFERROR(AQ108/BD108*(BG108-BASELINE_CPR),0)</f>
        <v/>
      </c>
      <c r="BN108" s="13">
        <f>IFERROR(AR108/BD108*(BG108-BASELINE_CPR),0)</f>
        <v/>
      </c>
      <c r="BO108" s="13">
        <f>IFERROR(AS108/BD108*(BG108-BASELINE_CPR),0)</f>
        <v/>
      </c>
      <c r="BP108" s="13">
        <f>IFERROR(AT108/BD108*(BG108-BASELINE_CPR),0)</f>
        <v/>
      </c>
      <c r="BQ108" s="13">
        <f>IFERROR(AU108/BD108*(BG108-BASELINE_CPR),0)</f>
        <v/>
      </c>
      <c r="BR108" s="13">
        <f>IFERROR(AV108/BD108*(BG108-BASELINE_CPR),0)</f>
        <v/>
      </c>
      <c r="BS108" s="13">
        <f>IFERROR(AW108/BD108*(BG108-BASELINE_CPR),0)</f>
        <v/>
      </c>
      <c r="BT108" s="13">
        <f>IFERROR(AX108/BD108*(BG108-BASELINE_CPR),0)</f>
        <v/>
      </c>
      <c r="BU108" s="13">
        <f>IFERROR(AY108/BD108*(BG108-BASELINE_CPR),0)</f>
        <v/>
      </c>
      <c r="BV108" s="13">
        <f>IFERROR(AZ108/BD108*(BG108-BASELINE_CPR),0)</f>
        <v/>
      </c>
      <c r="BW108" s="13">
        <f>IFERROR(BA108/BD108*(BG108-BASELINE_CPR),0)</f>
        <v/>
      </c>
      <c r="BX108" s="13">
        <f>IFERROR(BB108/BD108*(BG108-BASELINE_CPR),0)</f>
        <v/>
      </c>
      <c r="BY108" s="13">
        <f>IFERROR(BC108/BD108*(BG108-BASELINE_CPR),0)</f>
        <v/>
      </c>
      <c r="BZ108" s="28">
        <f>BASELINE_CPR+SUM(BH108:BY108)-BG108</f>
        <v/>
      </c>
    </row>
    <row r="109">
      <c r="A109" s="2" t="inlineStr">
        <is>
          <t>3618BKU80_000000001243322</t>
        </is>
      </c>
      <c r="B109" t="inlineStr">
        <is>
          <t>GREYSTONE_POST21</t>
        </is>
      </c>
      <c r="C109" s="2" t="inlineStr">
        <is>
          <t>3618BKU80</t>
        </is>
      </c>
      <c r="D109" t="inlineStr">
        <is>
          <t>GREYSTONE FUNDING COMPANY LLC</t>
        </is>
      </c>
      <c r="E109" t="inlineStr">
        <is>
          <t>232</t>
        </is>
      </c>
      <c r="F109" t="inlineStr">
        <is>
          <t>NC</t>
        </is>
      </c>
      <c r="G109" t="n">
        <v>2023</v>
      </c>
      <c r="H109" t="inlineStr">
        <is>
          <t>202602</t>
        </is>
      </c>
      <c r="I109" s="22" t="n">
        <v>25884385.79</v>
      </c>
      <c r="J109" s="23" t="n">
        <v>5.69</v>
      </c>
      <c r="K109" s="24" t="n">
        <v>447</v>
      </c>
      <c r="L109" s="24" t="n">
        <v>9</v>
      </c>
      <c r="M109" t="n">
        <v>32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s="24">
        <f>J109*100-(K109+(1+L109)*12.5)</f>
        <v/>
      </c>
      <c r="U109">
        <f>O109</f>
        <v/>
      </c>
      <c r="V109">
        <f>M109</f>
        <v/>
      </c>
      <c r="W109" s="23">
        <f>LN(1+I109)</f>
        <v/>
      </c>
      <c r="X109">
        <f>IF(G109&gt;=2021,1,0)</f>
        <v/>
      </c>
      <c r="Y109">
        <f>N109</f>
        <v/>
      </c>
      <c r="Z109" s="23">
        <f>IF(ISNUMBER(M109),N109/MAX(M109,1),0)</f>
        <v/>
      </c>
      <c r="AA109">
        <f>P109</f>
        <v/>
      </c>
      <c r="AB109">
        <f>Q109</f>
        <v/>
      </c>
      <c r="AC109">
        <f>R109</f>
        <v/>
      </c>
      <c r="AD109">
        <f>S109</f>
        <v/>
      </c>
      <c r="AE109">
        <f>IF(ISNUMBER(SEARCH("CAPITAL FUNDING",D109)),1,0)</f>
        <v/>
      </c>
      <c r="AF109">
        <f>IF(ISNUMBER(SEARCH("MERCHANTS",D109)),1,0)</f>
        <v/>
      </c>
      <c r="AG109">
        <f>IF(ISNUMBER(SEARCH("WELLS FARGO",D109)),1,0)</f>
        <v/>
      </c>
      <c r="AH109">
        <f>IF(ISNUMBER(SEARCH("WALKER",D109)),1,0)</f>
        <v/>
      </c>
      <c r="AI109">
        <f>IF(ISNUMBER(SEARCH("PNC",D109)),1,0)</f>
        <v/>
      </c>
      <c r="AJ109">
        <f>IF(ISNUMBER(SEARCH("BERKADIA",D109)),1,0)</f>
        <v/>
      </c>
      <c r="AK109">
        <f>IF(ISNUMBER(SEARCH("DWIGHT",D109)),1,0)</f>
        <v/>
      </c>
      <c r="AL109" s="25">
        <f>T$4*(T109-T$3)</f>
        <v/>
      </c>
      <c r="AM109" s="25">
        <f>U$4*(U109-U$3)</f>
        <v/>
      </c>
      <c r="AN109" s="25">
        <f>V$4*(V109-V$3)</f>
        <v/>
      </c>
      <c r="AO109" s="25">
        <f>W$4*(W109-W$3)</f>
        <v/>
      </c>
      <c r="AP109" s="25">
        <f>X$4*(X109-X$3)</f>
        <v/>
      </c>
      <c r="AQ109" s="25">
        <f>Y$4*(Y109-Y$3)</f>
        <v/>
      </c>
      <c r="AR109" s="25">
        <f>Z$4*(Z109-Z$3)</f>
        <v/>
      </c>
      <c r="AS109" s="25">
        <f>AA$4*(AA109-AA$3)</f>
        <v/>
      </c>
      <c r="AT109" s="25">
        <f>AB$4*(AB109-AB$3)</f>
        <v/>
      </c>
      <c r="AU109" s="25">
        <f>AC$4*(AC109-AC$3)</f>
        <v/>
      </c>
      <c r="AV109" s="25">
        <f>AD$4*(AD109-AD$3)</f>
        <v/>
      </c>
      <c r="AW109" s="25">
        <f>AE$4*(AE109-AE$3)</f>
        <v/>
      </c>
      <c r="AX109" s="25">
        <f>AF$4*(AF109-AF$3)</f>
        <v/>
      </c>
      <c r="AY109" s="25">
        <f>AG$4*(AG109-AG$3)</f>
        <v/>
      </c>
      <c r="AZ109" s="25">
        <f>AH$4*(AH109-AH$3)</f>
        <v/>
      </c>
      <c r="BA109" s="25">
        <f>AI$4*(AI109-AI$3)</f>
        <v/>
      </c>
      <c r="BB109" s="25">
        <f>AJ$4*(AJ109-AJ$3)</f>
        <v/>
      </c>
      <c r="BC109" s="25">
        <f>AK$4*(AK109-AK$3)</f>
        <v/>
      </c>
      <c r="BD109" s="26">
        <f>SUM(AL109:BC109)</f>
        <v/>
      </c>
      <c r="BE109" s="26">
        <f>INTERCEPT_SCALED+BD109</f>
        <v/>
      </c>
      <c r="BF109" s="27">
        <f>1/(1+EXP(-BE109))</f>
        <v/>
      </c>
      <c r="BG109" s="13">
        <f>1-(1-BF109)^12</f>
        <v/>
      </c>
      <c r="BH109" s="13">
        <f>IFERROR(AL109/BD109*(BG109-BASELINE_CPR),0)</f>
        <v/>
      </c>
      <c r="BI109" s="13">
        <f>IFERROR(AM109/BD109*(BG109-BASELINE_CPR),0)</f>
        <v/>
      </c>
      <c r="BJ109" s="13">
        <f>IFERROR(AN109/BD109*(BG109-BASELINE_CPR),0)</f>
        <v/>
      </c>
      <c r="BK109" s="13">
        <f>IFERROR(AO109/BD109*(BG109-BASELINE_CPR),0)</f>
        <v/>
      </c>
      <c r="BL109" s="13">
        <f>IFERROR(AP109/BD109*(BG109-BASELINE_CPR),0)</f>
        <v/>
      </c>
      <c r="BM109" s="13">
        <f>IFERROR(AQ109/BD109*(BG109-BASELINE_CPR),0)</f>
        <v/>
      </c>
      <c r="BN109" s="13">
        <f>IFERROR(AR109/BD109*(BG109-BASELINE_CPR),0)</f>
        <v/>
      </c>
      <c r="BO109" s="13">
        <f>IFERROR(AS109/BD109*(BG109-BASELINE_CPR),0)</f>
        <v/>
      </c>
      <c r="BP109" s="13">
        <f>IFERROR(AT109/BD109*(BG109-BASELINE_CPR),0)</f>
        <v/>
      </c>
      <c r="BQ109" s="13">
        <f>IFERROR(AU109/BD109*(BG109-BASELINE_CPR),0)</f>
        <v/>
      </c>
      <c r="BR109" s="13">
        <f>IFERROR(AV109/BD109*(BG109-BASELINE_CPR),0)</f>
        <v/>
      </c>
      <c r="BS109" s="13">
        <f>IFERROR(AW109/BD109*(BG109-BASELINE_CPR),0)</f>
        <v/>
      </c>
      <c r="BT109" s="13">
        <f>IFERROR(AX109/BD109*(BG109-BASELINE_CPR),0)</f>
        <v/>
      </c>
      <c r="BU109" s="13">
        <f>IFERROR(AY109/BD109*(BG109-BASELINE_CPR),0)</f>
        <v/>
      </c>
      <c r="BV109" s="13">
        <f>IFERROR(AZ109/BD109*(BG109-BASELINE_CPR),0)</f>
        <v/>
      </c>
      <c r="BW109" s="13">
        <f>IFERROR(BA109/BD109*(BG109-BASELINE_CPR),0)</f>
        <v/>
      </c>
      <c r="BX109" s="13">
        <f>IFERROR(BB109/BD109*(BG109-BASELINE_CPR),0)</f>
        <v/>
      </c>
      <c r="BY109" s="13">
        <f>IFERROR(BC109/BD109*(BG109-BASELINE_CPR),0)</f>
        <v/>
      </c>
      <c r="BZ109" s="28">
        <f>BASELINE_CPR+SUM(BH109:BY109)-BG109</f>
        <v/>
      </c>
    </row>
    <row r="110">
      <c r="A110" s="2" t="inlineStr">
        <is>
          <t>3618BKVK2_000000011511423</t>
        </is>
      </c>
      <c r="B110" t="inlineStr">
        <is>
          <t>GREYSTONE_POST21</t>
        </is>
      </c>
      <c r="C110" s="2" t="inlineStr">
        <is>
          <t>3618BKVK2</t>
        </is>
      </c>
      <c r="D110" t="inlineStr">
        <is>
          <t>GREYSTONE FUNDING COMPANY LLC</t>
        </is>
      </c>
      <c r="E110" t="inlineStr">
        <is>
          <t>223f</t>
        </is>
      </c>
      <c r="F110" t="inlineStr">
        <is>
          <t>RP</t>
        </is>
      </c>
      <c r="G110" t="n">
        <v>2023</v>
      </c>
      <c r="H110" t="inlineStr">
        <is>
          <t>202602</t>
        </is>
      </c>
      <c r="I110" s="22" t="n">
        <v>3566840.6</v>
      </c>
      <c r="J110" s="23" t="n">
        <v>5.9</v>
      </c>
      <c r="K110" s="24" t="n">
        <v>447</v>
      </c>
      <c r="L110" s="24" t="n">
        <v>8</v>
      </c>
      <c r="M110" t="n">
        <v>30</v>
      </c>
      <c r="N110" t="n">
        <v>2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s="24">
        <f>J110*100-(K110+(1+L110)*12.5)</f>
        <v/>
      </c>
      <c r="U110">
        <f>O110</f>
        <v/>
      </c>
      <c r="V110">
        <f>M110</f>
        <v/>
      </c>
      <c r="W110" s="23">
        <f>LN(1+I110)</f>
        <v/>
      </c>
      <c r="X110">
        <f>IF(G110&gt;=2021,1,0)</f>
        <v/>
      </c>
      <c r="Y110">
        <f>N110</f>
        <v/>
      </c>
      <c r="Z110" s="23">
        <f>IF(ISNUMBER(M110),N110/MAX(M110,1),0)</f>
        <v/>
      </c>
      <c r="AA110">
        <f>P110</f>
        <v/>
      </c>
      <c r="AB110">
        <f>Q110</f>
        <v/>
      </c>
      <c r="AC110">
        <f>R110</f>
        <v/>
      </c>
      <c r="AD110">
        <f>S110</f>
        <v/>
      </c>
      <c r="AE110">
        <f>IF(ISNUMBER(SEARCH("CAPITAL FUNDING",D110)),1,0)</f>
        <v/>
      </c>
      <c r="AF110">
        <f>IF(ISNUMBER(SEARCH("MERCHANTS",D110)),1,0)</f>
        <v/>
      </c>
      <c r="AG110">
        <f>IF(ISNUMBER(SEARCH("WELLS FARGO",D110)),1,0)</f>
        <v/>
      </c>
      <c r="AH110">
        <f>IF(ISNUMBER(SEARCH("WALKER",D110)),1,0)</f>
        <v/>
      </c>
      <c r="AI110">
        <f>IF(ISNUMBER(SEARCH("PNC",D110)),1,0)</f>
        <v/>
      </c>
      <c r="AJ110">
        <f>IF(ISNUMBER(SEARCH("BERKADIA",D110)),1,0)</f>
        <v/>
      </c>
      <c r="AK110">
        <f>IF(ISNUMBER(SEARCH("DWIGHT",D110)),1,0)</f>
        <v/>
      </c>
      <c r="AL110" s="25">
        <f>T$4*(T110-T$3)</f>
        <v/>
      </c>
      <c r="AM110" s="25">
        <f>U$4*(U110-U$3)</f>
        <v/>
      </c>
      <c r="AN110" s="25">
        <f>V$4*(V110-V$3)</f>
        <v/>
      </c>
      <c r="AO110" s="25">
        <f>W$4*(W110-W$3)</f>
        <v/>
      </c>
      <c r="AP110" s="25">
        <f>X$4*(X110-X$3)</f>
        <v/>
      </c>
      <c r="AQ110" s="25">
        <f>Y$4*(Y110-Y$3)</f>
        <v/>
      </c>
      <c r="AR110" s="25">
        <f>Z$4*(Z110-Z$3)</f>
        <v/>
      </c>
      <c r="AS110" s="25">
        <f>AA$4*(AA110-AA$3)</f>
        <v/>
      </c>
      <c r="AT110" s="25">
        <f>AB$4*(AB110-AB$3)</f>
        <v/>
      </c>
      <c r="AU110" s="25">
        <f>AC$4*(AC110-AC$3)</f>
        <v/>
      </c>
      <c r="AV110" s="25">
        <f>AD$4*(AD110-AD$3)</f>
        <v/>
      </c>
      <c r="AW110" s="25">
        <f>AE$4*(AE110-AE$3)</f>
        <v/>
      </c>
      <c r="AX110" s="25">
        <f>AF$4*(AF110-AF$3)</f>
        <v/>
      </c>
      <c r="AY110" s="25">
        <f>AG$4*(AG110-AG$3)</f>
        <v/>
      </c>
      <c r="AZ110" s="25">
        <f>AH$4*(AH110-AH$3)</f>
        <v/>
      </c>
      <c r="BA110" s="25">
        <f>AI$4*(AI110-AI$3)</f>
        <v/>
      </c>
      <c r="BB110" s="25">
        <f>AJ$4*(AJ110-AJ$3)</f>
        <v/>
      </c>
      <c r="BC110" s="25">
        <f>AK$4*(AK110-AK$3)</f>
        <v/>
      </c>
      <c r="BD110" s="26">
        <f>SUM(AL110:BC110)</f>
        <v/>
      </c>
      <c r="BE110" s="26">
        <f>INTERCEPT_SCALED+BD110</f>
        <v/>
      </c>
      <c r="BF110" s="27">
        <f>1/(1+EXP(-BE110))</f>
        <v/>
      </c>
      <c r="BG110" s="13">
        <f>1-(1-BF110)^12</f>
        <v/>
      </c>
      <c r="BH110" s="13">
        <f>IFERROR(AL110/BD110*(BG110-BASELINE_CPR),0)</f>
        <v/>
      </c>
      <c r="BI110" s="13">
        <f>IFERROR(AM110/BD110*(BG110-BASELINE_CPR),0)</f>
        <v/>
      </c>
      <c r="BJ110" s="13">
        <f>IFERROR(AN110/BD110*(BG110-BASELINE_CPR),0)</f>
        <v/>
      </c>
      <c r="BK110" s="13">
        <f>IFERROR(AO110/BD110*(BG110-BASELINE_CPR),0)</f>
        <v/>
      </c>
      <c r="BL110" s="13">
        <f>IFERROR(AP110/BD110*(BG110-BASELINE_CPR),0)</f>
        <v/>
      </c>
      <c r="BM110" s="13">
        <f>IFERROR(AQ110/BD110*(BG110-BASELINE_CPR),0)</f>
        <v/>
      </c>
      <c r="BN110" s="13">
        <f>IFERROR(AR110/BD110*(BG110-BASELINE_CPR),0)</f>
        <v/>
      </c>
      <c r="BO110" s="13">
        <f>IFERROR(AS110/BD110*(BG110-BASELINE_CPR),0)</f>
        <v/>
      </c>
      <c r="BP110" s="13">
        <f>IFERROR(AT110/BD110*(BG110-BASELINE_CPR),0)</f>
        <v/>
      </c>
      <c r="BQ110" s="13">
        <f>IFERROR(AU110/BD110*(BG110-BASELINE_CPR),0)</f>
        <v/>
      </c>
      <c r="BR110" s="13">
        <f>IFERROR(AV110/BD110*(BG110-BASELINE_CPR),0)</f>
        <v/>
      </c>
      <c r="BS110" s="13">
        <f>IFERROR(AW110/BD110*(BG110-BASELINE_CPR),0)</f>
        <v/>
      </c>
      <c r="BT110" s="13">
        <f>IFERROR(AX110/BD110*(BG110-BASELINE_CPR),0)</f>
        <v/>
      </c>
      <c r="BU110" s="13">
        <f>IFERROR(AY110/BD110*(BG110-BASELINE_CPR),0)</f>
        <v/>
      </c>
      <c r="BV110" s="13">
        <f>IFERROR(AZ110/BD110*(BG110-BASELINE_CPR),0)</f>
        <v/>
      </c>
      <c r="BW110" s="13">
        <f>IFERROR(BA110/BD110*(BG110-BASELINE_CPR),0)</f>
        <v/>
      </c>
      <c r="BX110" s="13">
        <f>IFERROR(BB110/BD110*(BG110-BASELINE_CPR),0)</f>
        <v/>
      </c>
      <c r="BY110" s="13">
        <f>IFERROR(BC110/BD110*(BG110-BASELINE_CPR),0)</f>
        <v/>
      </c>
      <c r="BZ110" s="28">
        <f>BASELINE_CPR+SUM(BH110:BY110)-BG110</f>
        <v/>
      </c>
    </row>
    <row r="111">
      <c r="A111" s="2" t="inlineStr">
        <is>
          <t>3617WSAE1_000000006311131</t>
        </is>
      </c>
      <c r="B111" t="inlineStr">
        <is>
          <t>GREYSTONE_PRE21</t>
        </is>
      </c>
      <c r="C111" s="2" t="inlineStr">
        <is>
          <t>3617WSAE1</t>
        </is>
      </c>
      <c r="D111" t="inlineStr">
        <is>
          <t>GREYSTONE FUNDING COMPANY LLC</t>
        </is>
      </c>
      <c r="E111" t="inlineStr">
        <is>
          <t>223f</t>
        </is>
      </c>
      <c r="F111" t="inlineStr">
        <is>
          <t>RP</t>
        </is>
      </c>
      <c r="G111" t="n">
        <v>2018</v>
      </c>
      <c r="H111" t="inlineStr">
        <is>
          <t>202602</t>
        </is>
      </c>
      <c r="I111" s="22" t="n">
        <v>22168905.15</v>
      </c>
      <c r="J111" s="23" t="n">
        <v>2.7</v>
      </c>
      <c r="K111" s="24" t="n">
        <v>447</v>
      </c>
      <c r="L111" s="24" t="n">
        <v>6</v>
      </c>
      <c r="M111" t="n">
        <v>96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s="24">
        <f>J111*100-(K111+(1+L111)*12.5)</f>
        <v/>
      </c>
      <c r="U111">
        <f>O111</f>
        <v/>
      </c>
      <c r="V111">
        <f>M111</f>
        <v/>
      </c>
      <c r="W111" s="23">
        <f>LN(1+I111)</f>
        <v/>
      </c>
      <c r="X111">
        <f>IF(G111&gt;=2021,1,0)</f>
        <v/>
      </c>
      <c r="Y111">
        <f>N111</f>
        <v/>
      </c>
      <c r="Z111" s="23">
        <f>IF(ISNUMBER(M111),N111/MAX(M111,1),0)</f>
        <v/>
      </c>
      <c r="AA111">
        <f>P111</f>
        <v/>
      </c>
      <c r="AB111">
        <f>Q111</f>
        <v/>
      </c>
      <c r="AC111">
        <f>R111</f>
        <v/>
      </c>
      <c r="AD111">
        <f>S111</f>
        <v/>
      </c>
      <c r="AE111">
        <f>IF(ISNUMBER(SEARCH("CAPITAL FUNDING",D111)),1,0)</f>
        <v/>
      </c>
      <c r="AF111">
        <f>IF(ISNUMBER(SEARCH("MERCHANTS",D111)),1,0)</f>
        <v/>
      </c>
      <c r="AG111">
        <f>IF(ISNUMBER(SEARCH("WELLS FARGO",D111)),1,0)</f>
        <v/>
      </c>
      <c r="AH111">
        <f>IF(ISNUMBER(SEARCH("WALKER",D111)),1,0)</f>
        <v/>
      </c>
      <c r="AI111">
        <f>IF(ISNUMBER(SEARCH("PNC",D111)),1,0)</f>
        <v/>
      </c>
      <c r="AJ111">
        <f>IF(ISNUMBER(SEARCH("BERKADIA",D111)),1,0)</f>
        <v/>
      </c>
      <c r="AK111">
        <f>IF(ISNUMBER(SEARCH("DWIGHT",D111)),1,0)</f>
        <v/>
      </c>
      <c r="AL111" s="25">
        <f>T$4*(T111-T$3)</f>
        <v/>
      </c>
      <c r="AM111" s="25">
        <f>U$4*(U111-U$3)</f>
        <v/>
      </c>
      <c r="AN111" s="25">
        <f>V$4*(V111-V$3)</f>
        <v/>
      </c>
      <c r="AO111" s="25">
        <f>W$4*(W111-W$3)</f>
        <v/>
      </c>
      <c r="AP111" s="25">
        <f>X$4*(X111-X$3)</f>
        <v/>
      </c>
      <c r="AQ111" s="25">
        <f>Y$4*(Y111-Y$3)</f>
        <v/>
      </c>
      <c r="AR111" s="25">
        <f>Z$4*(Z111-Z$3)</f>
        <v/>
      </c>
      <c r="AS111" s="25">
        <f>AA$4*(AA111-AA$3)</f>
        <v/>
      </c>
      <c r="AT111" s="25">
        <f>AB$4*(AB111-AB$3)</f>
        <v/>
      </c>
      <c r="AU111" s="25">
        <f>AC$4*(AC111-AC$3)</f>
        <v/>
      </c>
      <c r="AV111" s="25">
        <f>AD$4*(AD111-AD$3)</f>
        <v/>
      </c>
      <c r="AW111" s="25">
        <f>AE$4*(AE111-AE$3)</f>
        <v/>
      </c>
      <c r="AX111" s="25">
        <f>AF$4*(AF111-AF$3)</f>
        <v/>
      </c>
      <c r="AY111" s="25">
        <f>AG$4*(AG111-AG$3)</f>
        <v/>
      </c>
      <c r="AZ111" s="25">
        <f>AH$4*(AH111-AH$3)</f>
        <v/>
      </c>
      <c r="BA111" s="25">
        <f>AI$4*(AI111-AI$3)</f>
        <v/>
      </c>
      <c r="BB111" s="25">
        <f>AJ$4*(AJ111-AJ$3)</f>
        <v/>
      </c>
      <c r="BC111" s="25">
        <f>AK$4*(AK111-AK$3)</f>
        <v/>
      </c>
      <c r="BD111" s="26">
        <f>SUM(AL111:BC111)</f>
        <v/>
      </c>
      <c r="BE111" s="26">
        <f>INTERCEPT_SCALED+BD111</f>
        <v/>
      </c>
      <c r="BF111" s="27">
        <f>1/(1+EXP(-BE111))</f>
        <v/>
      </c>
      <c r="BG111" s="13">
        <f>1-(1-BF111)^12</f>
        <v/>
      </c>
      <c r="BH111" s="13">
        <f>IFERROR(AL111/BD111*(BG111-BASELINE_CPR),0)</f>
        <v/>
      </c>
      <c r="BI111" s="13">
        <f>IFERROR(AM111/BD111*(BG111-BASELINE_CPR),0)</f>
        <v/>
      </c>
      <c r="BJ111" s="13">
        <f>IFERROR(AN111/BD111*(BG111-BASELINE_CPR),0)</f>
        <v/>
      </c>
      <c r="BK111" s="13">
        <f>IFERROR(AO111/BD111*(BG111-BASELINE_CPR),0)</f>
        <v/>
      </c>
      <c r="BL111" s="13">
        <f>IFERROR(AP111/BD111*(BG111-BASELINE_CPR),0)</f>
        <v/>
      </c>
      <c r="BM111" s="13">
        <f>IFERROR(AQ111/BD111*(BG111-BASELINE_CPR),0)</f>
        <v/>
      </c>
      <c r="BN111" s="13">
        <f>IFERROR(AR111/BD111*(BG111-BASELINE_CPR),0)</f>
        <v/>
      </c>
      <c r="BO111" s="13">
        <f>IFERROR(AS111/BD111*(BG111-BASELINE_CPR),0)</f>
        <v/>
      </c>
      <c r="BP111" s="13">
        <f>IFERROR(AT111/BD111*(BG111-BASELINE_CPR),0)</f>
        <v/>
      </c>
      <c r="BQ111" s="13">
        <f>IFERROR(AU111/BD111*(BG111-BASELINE_CPR),0)</f>
        <v/>
      </c>
      <c r="BR111" s="13">
        <f>IFERROR(AV111/BD111*(BG111-BASELINE_CPR),0)</f>
        <v/>
      </c>
      <c r="BS111" s="13">
        <f>IFERROR(AW111/BD111*(BG111-BASELINE_CPR),0)</f>
        <v/>
      </c>
      <c r="BT111" s="13">
        <f>IFERROR(AX111/BD111*(BG111-BASELINE_CPR),0)</f>
        <v/>
      </c>
      <c r="BU111" s="13">
        <f>IFERROR(AY111/BD111*(BG111-BASELINE_CPR),0)</f>
        <v/>
      </c>
      <c r="BV111" s="13">
        <f>IFERROR(AZ111/BD111*(BG111-BASELINE_CPR),0)</f>
        <v/>
      </c>
      <c r="BW111" s="13">
        <f>IFERROR(BA111/BD111*(BG111-BASELINE_CPR),0)</f>
        <v/>
      </c>
      <c r="BX111" s="13">
        <f>IFERROR(BB111/BD111*(BG111-BASELINE_CPR),0)</f>
        <v/>
      </c>
      <c r="BY111" s="13">
        <f>IFERROR(BC111/BD111*(BG111-BASELINE_CPR),0)</f>
        <v/>
      </c>
      <c r="BZ111" s="28">
        <f>BASELINE_CPR+SUM(BH111:BY111)-BG111</f>
        <v/>
      </c>
    </row>
    <row r="112">
      <c r="A112" s="2" t="inlineStr">
        <is>
          <t>3618HJ3X2_000000004222419</t>
        </is>
      </c>
      <c r="B112" t="inlineStr">
        <is>
          <t>GREYSTONE_POST21</t>
        </is>
      </c>
      <c r="C112" s="2" t="inlineStr">
        <is>
          <t>3618HJ3X2</t>
        </is>
      </c>
      <c r="D112" t="inlineStr">
        <is>
          <t>GREYSTONE FUNDING COMPANY LLC</t>
        </is>
      </c>
      <c r="E112" t="inlineStr">
        <is>
          <t>232</t>
        </is>
      </c>
      <c r="F112" t="inlineStr">
        <is>
          <t>RP</t>
        </is>
      </c>
      <c r="G112" t="n">
        <v>2024</v>
      </c>
      <c r="H112" t="inlineStr">
        <is>
          <t>202602</t>
        </is>
      </c>
      <c r="I112" s="22" t="n">
        <v>8449315.109999999</v>
      </c>
      <c r="J112" s="23" t="n">
        <v>5.82</v>
      </c>
      <c r="K112" s="24" t="n">
        <v>447</v>
      </c>
      <c r="L112" s="24" t="n">
        <v>10</v>
      </c>
      <c r="M112" t="n">
        <v>18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s="24">
        <f>J112*100-(K112+(1+L112)*12.5)</f>
        <v/>
      </c>
      <c r="U112">
        <f>O112</f>
        <v/>
      </c>
      <c r="V112">
        <f>M112</f>
        <v/>
      </c>
      <c r="W112" s="23">
        <f>LN(1+I112)</f>
        <v/>
      </c>
      <c r="X112">
        <f>IF(G112&gt;=2021,1,0)</f>
        <v/>
      </c>
      <c r="Y112">
        <f>N112</f>
        <v/>
      </c>
      <c r="Z112" s="23">
        <f>IF(ISNUMBER(M112),N112/MAX(M112,1),0)</f>
        <v/>
      </c>
      <c r="AA112">
        <f>P112</f>
        <v/>
      </c>
      <c r="AB112">
        <f>Q112</f>
        <v/>
      </c>
      <c r="AC112">
        <f>R112</f>
        <v/>
      </c>
      <c r="AD112">
        <f>S112</f>
        <v/>
      </c>
      <c r="AE112">
        <f>IF(ISNUMBER(SEARCH("CAPITAL FUNDING",D112)),1,0)</f>
        <v/>
      </c>
      <c r="AF112">
        <f>IF(ISNUMBER(SEARCH("MERCHANTS",D112)),1,0)</f>
        <v/>
      </c>
      <c r="AG112">
        <f>IF(ISNUMBER(SEARCH("WELLS FARGO",D112)),1,0)</f>
        <v/>
      </c>
      <c r="AH112">
        <f>IF(ISNUMBER(SEARCH("WALKER",D112)),1,0)</f>
        <v/>
      </c>
      <c r="AI112">
        <f>IF(ISNUMBER(SEARCH("PNC",D112)),1,0)</f>
        <v/>
      </c>
      <c r="AJ112">
        <f>IF(ISNUMBER(SEARCH("BERKADIA",D112)),1,0)</f>
        <v/>
      </c>
      <c r="AK112">
        <f>IF(ISNUMBER(SEARCH("DWIGHT",D112)),1,0)</f>
        <v/>
      </c>
      <c r="AL112" s="25">
        <f>T$4*(T112-T$3)</f>
        <v/>
      </c>
      <c r="AM112" s="25">
        <f>U$4*(U112-U$3)</f>
        <v/>
      </c>
      <c r="AN112" s="25">
        <f>V$4*(V112-V$3)</f>
        <v/>
      </c>
      <c r="AO112" s="25">
        <f>W$4*(W112-W$3)</f>
        <v/>
      </c>
      <c r="AP112" s="25">
        <f>X$4*(X112-X$3)</f>
        <v/>
      </c>
      <c r="AQ112" s="25">
        <f>Y$4*(Y112-Y$3)</f>
        <v/>
      </c>
      <c r="AR112" s="25">
        <f>Z$4*(Z112-Z$3)</f>
        <v/>
      </c>
      <c r="AS112" s="25">
        <f>AA$4*(AA112-AA$3)</f>
        <v/>
      </c>
      <c r="AT112" s="25">
        <f>AB$4*(AB112-AB$3)</f>
        <v/>
      </c>
      <c r="AU112" s="25">
        <f>AC$4*(AC112-AC$3)</f>
        <v/>
      </c>
      <c r="AV112" s="25">
        <f>AD$4*(AD112-AD$3)</f>
        <v/>
      </c>
      <c r="AW112" s="25">
        <f>AE$4*(AE112-AE$3)</f>
        <v/>
      </c>
      <c r="AX112" s="25">
        <f>AF$4*(AF112-AF$3)</f>
        <v/>
      </c>
      <c r="AY112" s="25">
        <f>AG$4*(AG112-AG$3)</f>
        <v/>
      </c>
      <c r="AZ112" s="25">
        <f>AH$4*(AH112-AH$3)</f>
        <v/>
      </c>
      <c r="BA112" s="25">
        <f>AI$4*(AI112-AI$3)</f>
        <v/>
      </c>
      <c r="BB112" s="25">
        <f>AJ$4*(AJ112-AJ$3)</f>
        <v/>
      </c>
      <c r="BC112" s="25">
        <f>AK$4*(AK112-AK$3)</f>
        <v/>
      </c>
      <c r="BD112" s="26">
        <f>SUM(AL112:BC112)</f>
        <v/>
      </c>
      <c r="BE112" s="26">
        <f>INTERCEPT_SCALED+BD112</f>
        <v/>
      </c>
      <c r="BF112" s="27">
        <f>1/(1+EXP(-BE112))</f>
        <v/>
      </c>
      <c r="BG112" s="13">
        <f>1-(1-BF112)^12</f>
        <v/>
      </c>
      <c r="BH112" s="13">
        <f>IFERROR(AL112/BD112*(BG112-BASELINE_CPR),0)</f>
        <v/>
      </c>
      <c r="BI112" s="13">
        <f>IFERROR(AM112/BD112*(BG112-BASELINE_CPR),0)</f>
        <v/>
      </c>
      <c r="BJ112" s="13">
        <f>IFERROR(AN112/BD112*(BG112-BASELINE_CPR),0)</f>
        <v/>
      </c>
      <c r="BK112" s="13">
        <f>IFERROR(AO112/BD112*(BG112-BASELINE_CPR),0)</f>
        <v/>
      </c>
      <c r="BL112" s="13">
        <f>IFERROR(AP112/BD112*(BG112-BASELINE_CPR),0)</f>
        <v/>
      </c>
      <c r="BM112" s="13">
        <f>IFERROR(AQ112/BD112*(BG112-BASELINE_CPR),0)</f>
        <v/>
      </c>
      <c r="BN112" s="13">
        <f>IFERROR(AR112/BD112*(BG112-BASELINE_CPR),0)</f>
        <v/>
      </c>
      <c r="BO112" s="13">
        <f>IFERROR(AS112/BD112*(BG112-BASELINE_CPR),0)</f>
        <v/>
      </c>
      <c r="BP112" s="13">
        <f>IFERROR(AT112/BD112*(BG112-BASELINE_CPR),0)</f>
        <v/>
      </c>
      <c r="BQ112" s="13">
        <f>IFERROR(AU112/BD112*(BG112-BASELINE_CPR),0)</f>
        <v/>
      </c>
      <c r="BR112" s="13">
        <f>IFERROR(AV112/BD112*(BG112-BASELINE_CPR),0)</f>
        <v/>
      </c>
      <c r="BS112" s="13">
        <f>IFERROR(AW112/BD112*(BG112-BASELINE_CPR),0)</f>
        <v/>
      </c>
      <c r="BT112" s="13">
        <f>IFERROR(AX112/BD112*(BG112-BASELINE_CPR),0)</f>
        <v/>
      </c>
      <c r="BU112" s="13">
        <f>IFERROR(AY112/BD112*(BG112-BASELINE_CPR),0)</f>
        <v/>
      </c>
      <c r="BV112" s="13">
        <f>IFERROR(AZ112/BD112*(BG112-BASELINE_CPR),0)</f>
        <v/>
      </c>
      <c r="BW112" s="13">
        <f>IFERROR(BA112/BD112*(BG112-BASELINE_CPR),0)</f>
        <v/>
      </c>
      <c r="BX112" s="13">
        <f>IFERROR(BB112/BD112*(BG112-BASELINE_CPR),0)</f>
        <v/>
      </c>
      <c r="BY112" s="13">
        <f>IFERROR(BC112/BD112*(BG112-BASELINE_CPR),0)</f>
        <v/>
      </c>
      <c r="BZ112" s="28">
        <f>BASELINE_CPR+SUM(BH112:BY112)-BG112</f>
        <v/>
      </c>
    </row>
    <row r="113">
      <c r="A113" s="2" t="inlineStr">
        <is>
          <t>3618K96A7_000000006322135</t>
        </is>
      </c>
      <c r="B113" t="inlineStr">
        <is>
          <t>GREYSTONE_POST21</t>
        </is>
      </c>
      <c r="C113" s="2" t="inlineStr">
        <is>
          <t>3618K96A7</t>
        </is>
      </c>
      <c r="D113" t="inlineStr">
        <is>
          <t>GREYSTONE FUNDING COMPANY LLC</t>
        </is>
      </c>
      <c r="E113" t="inlineStr">
        <is>
          <t>232</t>
        </is>
      </c>
      <c r="F113" t="inlineStr">
        <is>
          <t>RP</t>
        </is>
      </c>
      <c r="G113" t="n">
        <v>2025</v>
      </c>
      <c r="H113" t="inlineStr">
        <is>
          <t>202602</t>
        </is>
      </c>
      <c r="I113" s="22" t="n">
        <v>27332938.98</v>
      </c>
      <c r="J113" s="23" t="n">
        <v>6.24</v>
      </c>
      <c r="K113" s="24" t="n">
        <v>447</v>
      </c>
      <c r="L113" s="24" t="n">
        <v>10</v>
      </c>
      <c r="M113" t="n">
        <v>11</v>
      </c>
      <c r="N113" t="n">
        <v>4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s="24">
        <f>J113*100-(K113+(1+L113)*12.5)</f>
        <v/>
      </c>
      <c r="U113">
        <f>O113</f>
        <v/>
      </c>
      <c r="V113">
        <f>M113</f>
        <v/>
      </c>
      <c r="W113" s="23">
        <f>LN(1+I113)</f>
        <v/>
      </c>
      <c r="X113">
        <f>IF(G113&gt;=2021,1,0)</f>
        <v/>
      </c>
      <c r="Y113">
        <f>N113</f>
        <v/>
      </c>
      <c r="Z113" s="23">
        <f>IF(ISNUMBER(M113),N113/MAX(M113,1),0)</f>
        <v/>
      </c>
      <c r="AA113">
        <f>P113</f>
        <v/>
      </c>
      <c r="AB113">
        <f>Q113</f>
        <v/>
      </c>
      <c r="AC113">
        <f>R113</f>
        <v/>
      </c>
      <c r="AD113">
        <f>S113</f>
        <v/>
      </c>
      <c r="AE113">
        <f>IF(ISNUMBER(SEARCH("CAPITAL FUNDING",D113)),1,0)</f>
        <v/>
      </c>
      <c r="AF113">
        <f>IF(ISNUMBER(SEARCH("MERCHANTS",D113)),1,0)</f>
        <v/>
      </c>
      <c r="AG113">
        <f>IF(ISNUMBER(SEARCH("WELLS FARGO",D113)),1,0)</f>
        <v/>
      </c>
      <c r="AH113">
        <f>IF(ISNUMBER(SEARCH("WALKER",D113)),1,0)</f>
        <v/>
      </c>
      <c r="AI113">
        <f>IF(ISNUMBER(SEARCH("PNC",D113)),1,0)</f>
        <v/>
      </c>
      <c r="AJ113">
        <f>IF(ISNUMBER(SEARCH("BERKADIA",D113)),1,0)</f>
        <v/>
      </c>
      <c r="AK113">
        <f>IF(ISNUMBER(SEARCH("DWIGHT",D113)),1,0)</f>
        <v/>
      </c>
      <c r="AL113" s="25">
        <f>T$4*(T113-T$3)</f>
        <v/>
      </c>
      <c r="AM113" s="25">
        <f>U$4*(U113-U$3)</f>
        <v/>
      </c>
      <c r="AN113" s="25">
        <f>V$4*(V113-V$3)</f>
        <v/>
      </c>
      <c r="AO113" s="25">
        <f>W$4*(W113-W$3)</f>
        <v/>
      </c>
      <c r="AP113" s="25">
        <f>X$4*(X113-X$3)</f>
        <v/>
      </c>
      <c r="AQ113" s="25">
        <f>Y$4*(Y113-Y$3)</f>
        <v/>
      </c>
      <c r="AR113" s="25">
        <f>Z$4*(Z113-Z$3)</f>
        <v/>
      </c>
      <c r="AS113" s="25">
        <f>AA$4*(AA113-AA$3)</f>
        <v/>
      </c>
      <c r="AT113" s="25">
        <f>AB$4*(AB113-AB$3)</f>
        <v/>
      </c>
      <c r="AU113" s="25">
        <f>AC$4*(AC113-AC$3)</f>
        <v/>
      </c>
      <c r="AV113" s="25">
        <f>AD$4*(AD113-AD$3)</f>
        <v/>
      </c>
      <c r="AW113" s="25">
        <f>AE$4*(AE113-AE$3)</f>
        <v/>
      </c>
      <c r="AX113" s="25">
        <f>AF$4*(AF113-AF$3)</f>
        <v/>
      </c>
      <c r="AY113" s="25">
        <f>AG$4*(AG113-AG$3)</f>
        <v/>
      </c>
      <c r="AZ113" s="25">
        <f>AH$4*(AH113-AH$3)</f>
        <v/>
      </c>
      <c r="BA113" s="25">
        <f>AI$4*(AI113-AI$3)</f>
        <v/>
      </c>
      <c r="BB113" s="25">
        <f>AJ$4*(AJ113-AJ$3)</f>
        <v/>
      </c>
      <c r="BC113" s="25">
        <f>AK$4*(AK113-AK$3)</f>
        <v/>
      </c>
      <c r="BD113" s="26">
        <f>SUM(AL113:BC113)</f>
        <v/>
      </c>
      <c r="BE113" s="26">
        <f>INTERCEPT_SCALED+BD113</f>
        <v/>
      </c>
      <c r="BF113" s="27">
        <f>1/(1+EXP(-BE113))</f>
        <v/>
      </c>
      <c r="BG113" s="13">
        <f>1-(1-BF113)^12</f>
        <v/>
      </c>
      <c r="BH113" s="13">
        <f>IFERROR(AL113/BD113*(BG113-BASELINE_CPR),0)</f>
        <v/>
      </c>
      <c r="BI113" s="13">
        <f>IFERROR(AM113/BD113*(BG113-BASELINE_CPR),0)</f>
        <v/>
      </c>
      <c r="BJ113" s="13">
        <f>IFERROR(AN113/BD113*(BG113-BASELINE_CPR),0)</f>
        <v/>
      </c>
      <c r="BK113" s="13">
        <f>IFERROR(AO113/BD113*(BG113-BASELINE_CPR),0)</f>
        <v/>
      </c>
      <c r="BL113" s="13">
        <f>IFERROR(AP113/BD113*(BG113-BASELINE_CPR),0)</f>
        <v/>
      </c>
      <c r="BM113" s="13">
        <f>IFERROR(AQ113/BD113*(BG113-BASELINE_CPR),0)</f>
        <v/>
      </c>
      <c r="BN113" s="13">
        <f>IFERROR(AR113/BD113*(BG113-BASELINE_CPR),0)</f>
        <v/>
      </c>
      <c r="BO113" s="13">
        <f>IFERROR(AS113/BD113*(BG113-BASELINE_CPR),0)</f>
        <v/>
      </c>
      <c r="BP113" s="13">
        <f>IFERROR(AT113/BD113*(BG113-BASELINE_CPR),0)</f>
        <v/>
      </c>
      <c r="BQ113" s="13">
        <f>IFERROR(AU113/BD113*(BG113-BASELINE_CPR),0)</f>
        <v/>
      </c>
      <c r="BR113" s="13">
        <f>IFERROR(AV113/BD113*(BG113-BASELINE_CPR),0)</f>
        <v/>
      </c>
      <c r="BS113" s="13">
        <f>IFERROR(AW113/BD113*(BG113-BASELINE_CPR),0)</f>
        <v/>
      </c>
      <c r="BT113" s="13">
        <f>IFERROR(AX113/BD113*(BG113-BASELINE_CPR),0)</f>
        <v/>
      </c>
      <c r="BU113" s="13">
        <f>IFERROR(AY113/BD113*(BG113-BASELINE_CPR),0)</f>
        <v/>
      </c>
      <c r="BV113" s="13">
        <f>IFERROR(AZ113/BD113*(BG113-BASELINE_CPR),0)</f>
        <v/>
      </c>
      <c r="BW113" s="13">
        <f>IFERROR(BA113/BD113*(BG113-BASELINE_CPR),0)</f>
        <v/>
      </c>
      <c r="BX113" s="13">
        <f>IFERROR(BB113/BD113*(BG113-BASELINE_CPR),0)</f>
        <v/>
      </c>
      <c r="BY113" s="13">
        <f>IFERROR(BC113/BD113*(BG113-BASELINE_CPR),0)</f>
        <v/>
      </c>
      <c r="BZ113" s="28">
        <f>BASELINE_CPR+SUM(BH113:BY113)-BG113</f>
        <v/>
      </c>
    </row>
    <row r="114">
      <c r="A114" s="2" t="inlineStr">
        <is>
          <t>3617QVL25_000000004711254</t>
        </is>
      </c>
      <c r="B114" t="inlineStr">
        <is>
          <t>GREYSTONE_PRE21</t>
        </is>
      </c>
      <c r="C114" s="2" t="inlineStr">
        <is>
          <t>3617QVL25</t>
        </is>
      </c>
      <c r="D114" t="inlineStr">
        <is>
          <t>GREYSTONE FUNDING COMPANY LLC</t>
        </is>
      </c>
      <c r="E114" t="inlineStr">
        <is>
          <t>223f</t>
        </is>
      </c>
      <c r="F114" t="inlineStr">
        <is>
          <t>RP</t>
        </is>
      </c>
      <c r="G114" t="n">
        <v>2020</v>
      </c>
      <c r="H114" t="inlineStr">
        <is>
          <t>202602</t>
        </is>
      </c>
      <c r="I114" s="22" t="n">
        <v>7797494.64</v>
      </c>
      <c r="J114" s="23" t="n">
        <v>2.09</v>
      </c>
      <c r="K114" s="24" t="n">
        <v>447</v>
      </c>
      <c r="L114" s="24" t="n">
        <v>5</v>
      </c>
      <c r="M114" t="n">
        <v>63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s="24">
        <f>J114*100-(K114+(1+L114)*12.5)</f>
        <v/>
      </c>
      <c r="U114">
        <f>O114</f>
        <v/>
      </c>
      <c r="V114">
        <f>M114</f>
        <v/>
      </c>
      <c r="W114" s="23">
        <f>LN(1+I114)</f>
        <v/>
      </c>
      <c r="X114">
        <f>IF(G114&gt;=2021,1,0)</f>
        <v/>
      </c>
      <c r="Y114">
        <f>N114</f>
        <v/>
      </c>
      <c r="Z114" s="23">
        <f>IF(ISNUMBER(M114),N114/MAX(M114,1),0)</f>
        <v/>
      </c>
      <c r="AA114">
        <f>P114</f>
        <v/>
      </c>
      <c r="AB114">
        <f>Q114</f>
        <v/>
      </c>
      <c r="AC114">
        <f>R114</f>
        <v/>
      </c>
      <c r="AD114">
        <f>S114</f>
        <v/>
      </c>
      <c r="AE114">
        <f>IF(ISNUMBER(SEARCH("CAPITAL FUNDING",D114)),1,0)</f>
        <v/>
      </c>
      <c r="AF114">
        <f>IF(ISNUMBER(SEARCH("MERCHANTS",D114)),1,0)</f>
        <v/>
      </c>
      <c r="AG114">
        <f>IF(ISNUMBER(SEARCH("WELLS FARGO",D114)),1,0)</f>
        <v/>
      </c>
      <c r="AH114">
        <f>IF(ISNUMBER(SEARCH("WALKER",D114)),1,0)</f>
        <v/>
      </c>
      <c r="AI114">
        <f>IF(ISNUMBER(SEARCH("PNC",D114)),1,0)</f>
        <v/>
      </c>
      <c r="AJ114">
        <f>IF(ISNUMBER(SEARCH("BERKADIA",D114)),1,0)</f>
        <v/>
      </c>
      <c r="AK114">
        <f>IF(ISNUMBER(SEARCH("DWIGHT",D114)),1,0)</f>
        <v/>
      </c>
      <c r="AL114" s="25">
        <f>T$4*(T114-T$3)</f>
        <v/>
      </c>
      <c r="AM114" s="25">
        <f>U$4*(U114-U$3)</f>
        <v/>
      </c>
      <c r="AN114" s="25">
        <f>V$4*(V114-V$3)</f>
        <v/>
      </c>
      <c r="AO114" s="25">
        <f>W$4*(W114-W$3)</f>
        <v/>
      </c>
      <c r="AP114" s="25">
        <f>X$4*(X114-X$3)</f>
        <v/>
      </c>
      <c r="AQ114" s="25">
        <f>Y$4*(Y114-Y$3)</f>
        <v/>
      </c>
      <c r="AR114" s="25">
        <f>Z$4*(Z114-Z$3)</f>
        <v/>
      </c>
      <c r="AS114" s="25">
        <f>AA$4*(AA114-AA$3)</f>
        <v/>
      </c>
      <c r="AT114" s="25">
        <f>AB$4*(AB114-AB$3)</f>
        <v/>
      </c>
      <c r="AU114" s="25">
        <f>AC$4*(AC114-AC$3)</f>
        <v/>
      </c>
      <c r="AV114" s="25">
        <f>AD$4*(AD114-AD$3)</f>
        <v/>
      </c>
      <c r="AW114" s="25">
        <f>AE$4*(AE114-AE$3)</f>
        <v/>
      </c>
      <c r="AX114" s="25">
        <f>AF$4*(AF114-AF$3)</f>
        <v/>
      </c>
      <c r="AY114" s="25">
        <f>AG$4*(AG114-AG$3)</f>
        <v/>
      </c>
      <c r="AZ114" s="25">
        <f>AH$4*(AH114-AH$3)</f>
        <v/>
      </c>
      <c r="BA114" s="25">
        <f>AI$4*(AI114-AI$3)</f>
        <v/>
      </c>
      <c r="BB114" s="25">
        <f>AJ$4*(AJ114-AJ$3)</f>
        <v/>
      </c>
      <c r="BC114" s="25">
        <f>AK$4*(AK114-AK$3)</f>
        <v/>
      </c>
      <c r="BD114" s="26">
        <f>SUM(AL114:BC114)</f>
        <v/>
      </c>
      <c r="BE114" s="26">
        <f>INTERCEPT_SCALED+BD114</f>
        <v/>
      </c>
      <c r="BF114" s="27">
        <f>1/(1+EXP(-BE114))</f>
        <v/>
      </c>
      <c r="BG114" s="13">
        <f>1-(1-BF114)^12</f>
        <v/>
      </c>
      <c r="BH114" s="13">
        <f>IFERROR(AL114/BD114*(BG114-BASELINE_CPR),0)</f>
        <v/>
      </c>
      <c r="BI114" s="13">
        <f>IFERROR(AM114/BD114*(BG114-BASELINE_CPR),0)</f>
        <v/>
      </c>
      <c r="BJ114" s="13">
        <f>IFERROR(AN114/BD114*(BG114-BASELINE_CPR),0)</f>
        <v/>
      </c>
      <c r="BK114" s="13">
        <f>IFERROR(AO114/BD114*(BG114-BASELINE_CPR),0)</f>
        <v/>
      </c>
      <c r="BL114" s="13">
        <f>IFERROR(AP114/BD114*(BG114-BASELINE_CPR),0)</f>
        <v/>
      </c>
      <c r="BM114" s="13">
        <f>IFERROR(AQ114/BD114*(BG114-BASELINE_CPR),0)</f>
        <v/>
      </c>
      <c r="BN114" s="13">
        <f>IFERROR(AR114/BD114*(BG114-BASELINE_CPR),0)</f>
        <v/>
      </c>
      <c r="BO114" s="13">
        <f>IFERROR(AS114/BD114*(BG114-BASELINE_CPR),0)</f>
        <v/>
      </c>
      <c r="BP114" s="13">
        <f>IFERROR(AT114/BD114*(BG114-BASELINE_CPR),0)</f>
        <v/>
      </c>
      <c r="BQ114" s="13">
        <f>IFERROR(AU114/BD114*(BG114-BASELINE_CPR),0)</f>
        <v/>
      </c>
      <c r="BR114" s="13">
        <f>IFERROR(AV114/BD114*(BG114-BASELINE_CPR),0)</f>
        <v/>
      </c>
      <c r="BS114" s="13">
        <f>IFERROR(AW114/BD114*(BG114-BASELINE_CPR),0)</f>
        <v/>
      </c>
      <c r="BT114" s="13">
        <f>IFERROR(AX114/BD114*(BG114-BASELINE_CPR),0)</f>
        <v/>
      </c>
      <c r="BU114" s="13">
        <f>IFERROR(AY114/BD114*(BG114-BASELINE_CPR),0)</f>
        <v/>
      </c>
      <c r="BV114" s="13">
        <f>IFERROR(AZ114/BD114*(BG114-BASELINE_CPR),0)</f>
        <v/>
      </c>
      <c r="BW114" s="13">
        <f>IFERROR(BA114/BD114*(BG114-BASELINE_CPR),0)</f>
        <v/>
      </c>
      <c r="BX114" s="13">
        <f>IFERROR(BB114/BD114*(BG114-BASELINE_CPR),0)</f>
        <v/>
      </c>
      <c r="BY114" s="13">
        <f>IFERROR(BC114/BD114*(BG114-BASELINE_CPR),0)</f>
        <v/>
      </c>
      <c r="BZ114" s="28">
        <f>BASELINE_CPR+SUM(BH114:BY114)-BG114</f>
        <v/>
      </c>
    </row>
    <row r="115">
      <c r="A115" s="2" t="inlineStr">
        <is>
          <t>3617FXA90_000000003422183</t>
        </is>
      </c>
      <c r="B115" t="inlineStr">
        <is>
          <t>GREYSTONE_POST21</t>
        </is>
      </c>
      <c r="C115" s="2" t="inlineStr">
        <is>
          <t>3617FXA90</t>
        </is>
      </c>
      <c r="D115" t="inlineStr">
        <is>
          <t>GREYSTONE FUNDING COMPANY LLC</t>
        </is>
      </c>
      <c r="E115" t="inlineStr">
        <is>
          <t>232</t>
        </is>
      </c>
      <c r="F115" t="inlineStr">
        <is>
          <t>RP</t>
        </is>
      </c>
      <c r="G115" t="n">
        <v>2022</v>
      </c>
      <c r="H115" t="inlineStr">
        <is>
          <t>202602</t>
        </is>
      </c>
      <c r="I115" s="22" t="n">
        <v>69082495.2</v>
      </c>
      <c r="J115" s="23" t="n">
        <v>4.58</v>
      </c>
      <c r="K115" s="24" t="n">
        <v>447</v>
      </c>
      <c r="L115" s="24" t="n">
        <v>7</v>
      </c>
      <c r="M115" t="n">
        <v>40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s="24">
        <f>J115*100-(K115+(1+L115)*12.5)</f>
        <v/>
      </c>
      <c r="U115">
        <f>O115</f>
        <v/>
      </c>
      <c r="V115">
        <f>M115</f>
        <v/>
      </c>
      <c r="W115" s="23">
        <f>LN(1+I115)</f>
        <v/>
      </c>
      <c r="X115">
        <f>IF(G115&gt;=2021,1,0)</f>
        <v/>
      </c>
      <c r="Y115">
        <f>N115</f>
        <v/>
      </c>
      <c r="Z115" s="23">
        <f>IF(ISNUMBER(M115),N115/MAX(M115,1),0)</f>
        <v/>
      </c>
      <c r="AA115">
        <f>P115</f>
        <v/>
      </c>
      <c r="AB115">
        <f>Q115</f>
        <v/>
      </c>
      <c r="AC115">
        <f>R115</f>
        <v/>
      </c>
      <c r="AD115">
        <f>S115</f>
        <v/>
      </c>
      <c r="AE115">
        <f>IF(ISNUMBER(SEARCH("CAPITAL FUNDING",D115)),1,0)</f>
        <v/>
      </c>
      <c r="AF115">
        <f>IF(ISNUMBER(SEARCH("MERCHANTS",D115)),1,0)</f>
        <v/>
      </c>
      <c r="AG115">
        <f>IF(ISNUMBER(SEARCH("WELLS FARGO",D115)),1,0)</f>
        <v/>
      </c>
      <c r="AH115">
        <f>IF(ISNUMBER(SEARCH("WALKER",D115)),1,0)</f>
        <v/>
      </c>
      <c r="AI115">
        <f>IF(ISNUMBER(SEARCH("PNC",D115)),1,0)</f>
        <v/>
      </c>
      <c r="AJ115">
        <f>IF(ISNUMBER(SEARCH("BERKADIA",D115)),1,0)</f>
        <v/>
      </c>
      <c r="AK115">
        <f>IF(ISNUMBER(SEARCH("DWIGHT",D115)),1,0)</f>
        <v/>
      </c>
      <c r="AL115" s="25">
        <f>T$4*(T115-T$3)</f>
        <v/>
      </c>
      <c r="AM115" s="25">
        <f>U$4*(U115-U$3)</f>
        <v/>
      </c>
      <c r="AN115" s="25">
        <f>V$4*(V115-V$3)</f>
        <v/>
      </c>
      <c r="AO115" s="25">
        <f>W$4*(W115-W$3)</f>
        <v/>
      </c>
      <c r="AP115" s="25">
        <f>X$4*(X115-X$3)</f>
        <v/>
      </c>
      <c r="AQ115" s="25">
        <f>Y$4*(Y115-Y$3)</f>
        <v/>
      </c>
      <c r="AR115" s="25">
        <f>Z$4*(Z115-Z$3)</f>
        <v/>
      </c>
      <c r="AS115" s="25">
        <f>AA$4*(AA115-AA$3)</f>
        <v/>
      </c>
      <c r="AT115" s="25">
        <f>AB$4*(AB115-AB$3)</f>
        <v/>
      </c>
      <c r="AU115" s="25">
        <f>AC$4*(AC115-AC$3)</f>
        <v/>
      </c>
      <c r="AV115" s="25">
        <f>AD$4*(AD115-AD$3)</f>
        <v/>
      </c>
      <c r="AW115" s="25">
        <f>AE$4*(AE115-AE$3)</f>
        <v/>
      </c>
      <c r="AX115" s="25">
        <f>AF$4*(AF115-AF$3)</f>
        <v/>
      </c>
      <c r="AY115" s="25">
        <f>AG$4*(AG115-AG$3)</f>
        <v/>
      </c>
      <c r="AZ115" s="25">
        <f>AH$4*(AH115-AH$3)</f>
        <v/>
      </c>
      <c r="BA115" s="25">
        <f>AI$4*(AI115-AI$3)</f>
        <v/>
      </c>
      <c r="BB115" s="25">
        <f>AJ$4*(AJ115-AJ$3)</f>
        <v/>
      </c>
      <c r="BC115" s="25">
        <f>AK$4*(AK115-AK$3)</f>
        <v/>
      </c>
      <c r="BD115" s="26">
        <f>SUM(AL115:BC115)</f>
        <v/>
      </c>
      <c r="BE115" s="26">
        <f>INTERCEPT_SCALED+BD115</f>
        <v/>
      </c>
      <c r="BF115" s="27">
        <f>1/(1+EXP(-BE115))</f>
        <v/>
      </c>
      <c r="BG115" s="13">
        <f>1-(1-BF115)^12</f>
        <v/>
      </c>
      <c r="BH115" s="13">
        <f>IFERROR(AL115/BD115*(BG115-BASELINE_CPR),0)</f>
        <v/>
      </c>
      <c r="BI115" s="13">
        <f>IFERROR(AM115/BD115*(BG115-BASELINE_CPR),0)</f>
        <v/>
      </c>
      <c r="BJ115" s="13">
        <f>IFERROR(AN115/BD115*(BG115-BASELINE_CPR),0)</f>
        <v/>
      </c>
      <c r="BK115" s="13">
        <f>IFERROR(AO115/BD115*(BG115-BASELINE_CPR),0)</f>
        <v/>
      </c>
      <c r="BL115" s="13">
        <f>IFERROR(AP115/BD115*(BG115-BASELINE_CPR),0)</f>
        <v/>
      </c>
      <c r="BM115" s="13">
        <f>IFERROR(AQ115/BD115*(BG115-BASELINE_CPR),0)</f>
        <v/>
      </c>
      <c r="BN115" s="13">
        <f>IFERROR(AR115/BD115*(BG115-BASELINE_CPR),0)</f>
        <v/>
      </c>
      <c r="BO115" s="13">
        <f>IFERROR(AS115/BD115*(BG115-BASELINE_CPR),0)</f>
        <v/>
      </c>
      <c r="BP115" s="13">
        <f>IFERROR(AT115/BD115*(BG115-BASELINE_CPR),0)</f>
        <v/>
      </c>
      <c r="BQ115" s="13">
        <f>IFERROR(AU115/BD115*(BG115-BASELINE_CPR),0)</f>
        <v/>
      </c>
      <c r="BR115" s="13">
        <f>IFERROR(AV115/BD115*(BG115-BASELINE_CPR),0)</f>
        <v/>
      </c>
      <c r="BS115" s="13">
        <f>IFERROR(AW115/BD115*(BG115-BASELINE_CPR),0)</f>
        <v/>
      </c>
      <c r="BT115" s="13">
        <f>IFERROR(AX115/BD115*(BG115-BASELINE_CPR),0)</f>
        <v/>
      </c>
      <c r="BU115" s="13">
        <f>IFERROR(AY115/BD115*(BG115-BASELINE_CPR),0)</f>
        <v/>
      </c>
      <c r="BV115" s="13">
        <f>IFERROR(AZ115/BD115*(BG115-BASELINE_CPR),0)</f>
        <v/>
      </c>
      <c r="BW115" s="13">
        <f>IFERROR(BA115/BD115*(BG115-BASELINE_CPR),0)</f>
        <v/>
      </c>
      <c r="BX115" s="13">
        <f>IFERROR(BB115/BD115*(BG115-BASELINE_CPR),0)</f>
        <v/>
      </c>
      <c r="BY115" s="13">
        <f>IFERROR(BC115/BD115*(BG115-BASELINE_CPR),0)</f>
        <v/>
      </c>
      <c r="BZ115" s="28">
        <f>BASELINE_CPR+SUM(BH115:BY115)-BG115</f>
        <v/>
      </c>
    </row>
    <row r="116">
      <c r="A116" s="2" t="inlineStr">
        <is>
          <t>3617NBYQ5_050008946585285</t>
        </is>
      </c>
      <c r="B116" t="inlineStr">
        <is>
          <t>GREYSTONE_PRE21</t>
        </is>
      </c>
      <c r="C116" s="2" t="inlineStr">
        <is>
          <t>3617NBYQ5</t>
        </is>
      </c>
      <c r="D116" t="inlineStr">
        <is>
          <t>GREYSTONE SERVICING COMPANY LLC</t>
        </is>
      </c>
      <c r="E116" t="inlineStr">
        <is>
          <t>538</t>
        </is>
      </c>
      <c r="F116" t="inlineStr">
        <is>
          <t>538</t>
        </is>
      </c>
      <c r="G116" t="n">
        <v>2020</v>
      </c>
      <c r="H116" t="inlineStr">
        <is>
          <t>202602</t>
        </is>
      </c>
      <c r="I116" s="22" t="n">
        <v>1751473.04</v>
      </c>
      <c r="J116" s="23" t="n">
        <v>4.15</v>
      </c>
      <c r="K116" s="24" t="n">
        <v>447</v>
      </c>
      <c r="L116" s="24" t="n">
        <v>7</v>
      </c>
      <c r="M116" t="n">
        <v>68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s="24">
        <f>J116*100-(K116+(1+L116)*12.5)</f>
        <v/>
      </c>
      <c r="U116">
        <f>O116</f>
        <v/>
      </c>
      <c r="V116">
        <f>M116</f>
        <v/>
      </c>
      <c r="W116" s="23">
        <f>LN(1+I116)</f>
        <v/>
      </c>
      <c r="X116">
        <f>IF(G116&gt;=2021,1,0)</f>
        <v/>
      </c>
      <c r="Y116">
        <f>N116</f>
        <v/>
      </c>
      <c r="Z116" s="23">
        <f>IF(ISNUMBER(M116),N116/MAX(M116,1),0)</f>
        <v/>
      </c>
      <c r="AA116">
        <f>P116</f>
        <v/>
      </c>
      <c r="AB116">
        <f>Q116</f>
        <v/>
      </c>
      <c r="AC116">
        <f>R116</f>
        <v/>
      </c>
      <c r="AD116">
        <f>S116</f>
        <v/>
      </c>
      <c r="AE116">
        <f>IF(ISNUMBER(SEARCH("CAPITAL FUNDING",D116)),1,0)</f>
        <v/>
      </c>
      <c r="AF116">
        <f>IF(ISNUMBER(SEARCH("MERCHANTS",D116)),1,0)</f>
        <v/>
      </c>
      <c r="AG116">
        <f>IF(ISNUMBER(SEARCH("WELLS FARGO",D116)),1,0)</f>
        <v/>
      </c>
      <c r="AH116">
        <f>IF(ISNUMBER(SEARCH("WALKER",D116)),1,0)</f>
        <v/>
      </c>
      <c r="AI116">
        <f>IF(ISNUMBER(SEARCH("PNC",D116)),1,0)</f>
        <v/>
      </c>
      <c r="AJ116">
        <f>IF(ISNUMBER(SEARCH("BERKADIA",D116)),1,0)</f>
        <v/>
      </c>
      <c r="AK116">
        <f>IF(ISNUMBER(SEARCH("DWIGHT",D116)),1,0)</f>
        <v/>
      </c>
      <c r="AL116" s="25">
        <f>T$4*(T116-T$3)</f>
        <v/>
      </c>
      <c r="AM116" s="25">
        <f>U$4*(U116-U$3)</f>
        <v/>
      </c>
      <c r="AN116" s="25">
        <f>V$4*(V116-V$3)</f>
        <v/>
      </c>
      <c r="AO116" s="25">
        <f>W$4*(W116-W$3)</f>
        <v/>
      </c>
      <c r="AP116" s="25">
        <f>X$4*(X116-X$3)</f>
        <v/>
      </c>
      <c r="AQ116" s="25">
        <f>Y$4*(Y116-Y$3)</f>
        <v/>
      </c>
      <c r="AR116" s="25">
        <f>Z$4*(Z116-Z$3)</f>
        <v/>
      </c>
      <c r="AS116" s="25">
        <f>AA$4*(AA116-AA$3)</f>
        <v/>
      </c>
      <c r="AT116" s="25">
        <f>AB$4*(AB116-AB$3)</f>
        <v/>
      </c>
      <c r="AU116" s="25">
        <f>AC$4*(AC116-AC$3)</f>
        <v/>
      </c>
      <c r="AV116" s="25">
        <f>AD$4*(AD116-AD$3)</f>
        <v/>
      </c>
      <c r="AW116" s="25">
        <f>AE$4*(AE116-AE$3)</f>
        <v/>
      </c>
      <c r="AX116" s="25">
        <f>AF$4*(AF116-AF$3)</f>
        <v/>
      </c>
      <c r="AY116" s="25">
        <f>AG$4*(AG116-AG$3)</f>
        <v/>
      </c>
      <c r="AZ116" s="25">
        <f>AH$4*(AH116-AH$3)</f>
        <v/>
      </c>
      <c r="BA116" s="25">
        <f>AI$4*(AI116-AI$3)</f>
        <v/>
      </c>
      <c r="BB116" s="25">
        <f>AJ$4*(AJ116-AJ$3)</f>
        <v/>
      </c>
      <c r="BC116" s="25">
        <f>AK$4*(AK116-AK$3)</f>
        <v/>
      </c>
      <c r="BD116" s="26">
        <f>SUM(AL116:BC116)</f>
        <v/>
      </c>
      <c r="BE116" s="26">
        <f>INTERCEPT_SCALED+BD116</f>
        <v/>
      </c>
      <c r="BF116" s="27">
        <f>1/(1+EXP(-BE116))</f>
        <v/>
      </c>
      <c r="BG116" s="13">
        <f>1-(1-BF116)^12</f>
        <v/>
      </c>
      <c r="BH116" s="13">
        <f>IFERROR(AL116/BD116*(BG116-BASELINE_CPR),0)</f>
        <v/>
      </c>
      <c r="BI116" s="13">
        <f>IFERROR(AM116/BD116*(BG116-BASELINE_CPR),0)</f>
        <v/>
      </c>
      <c r="BJ116" s="13">
        <f>IFERROR(AN116/BD116*(BG116-BASELINE_CPR),0)</f>
        <v/>
      </c>
      <c r="BK116" s="13">
        <f>IFERROR(AO116/BD116*(BG116-BASELINE_CPR),0)</f>
        <v/>
      </c>
      <c r="BL116" s="13">
        <f>IFERROR(AP116/BD116*(BG116-BASELINE_CPR),0)</f>
        <v/>
      </c>
      <c r="BM116" s="13">
        <f>IFERROR(AQ116/BD116*(BG116-BASELINE_CPR),0)</f>
        <v/>
      </c>
      <c r="BN116" s="13">
        <f>IFERROR(AR116/BD116*(BG116-BASELINE_CPR),0)</f>
        <v/>
      </c>
      <c r="BO116" s="13">
        <f>IFERROR(AS116/BD116*(BG116-BASELINE_CPR),0)</f>
        <v/>
      </c>
      <c r="BP116" s="13">
        <f>IFERROR(AT116/BD116*(BG116-BASELINE_CPR),0)</f>
        <v/>
      </c>
      <c r="BQ116" s="13">
        <f>IFERROR(AU116/BD116*(BG116-BASELINE_CPR),0)</f>
        <v/>
      </c>
      <c r="BR116" s="13">
        <f>IFERROR(AV116/BD116*(BG116-BASELINE_CPR),0)</f>
        <v/>
      </c>
      <c r="BS116" s="13">
        <f>IFERROR(AW116/BD116*(BG116-BASELINE_CPR),0)</f>
        <v/>
      </c>
      <c r="BT116" s="13">
        <f>IFERROR(AX116/BD116*(BG116-BASELINE_CPR),0)</f>
        <v/>
      </c>
      <c r="BU116" s="13">
        <f>IFERROR(AY116/BD116*(BG116-BASELINE_CPR),0)</f>
        <v/>
      </c>
      <c r="BV116" s="13">
        <f>IFERROR(AZ116/BD116*(BG116-BASELINE_CPR),0)</f>
        <v/>
      </c>
      <c r="BW116" s="13">
        <f>IFERROR(BA116/BD116*(BG116-BASELINE_CPR),0)</f>
        <v/>
      </c>
      <c r="BX116" s="13">
        <f>IFERROR(BB116/BD116*(BG116-BASELINE_CPR),0)</f>
        <v/>
      </c>
      <c r="BY116" s="13">
        <f>IFERROR(BC116/BD116*(BG116-BASELINE_CPR),0)</f>
        <v/>
      </c>
      <c r="BZ116" s="28">
        <f>BASELINE_CPR+SUM(BH116:BY116)-BG116</f>
        <v/>
      </c>
    </row>
    <row r="117">
      <c r="A117" s="2" t="inlineStr">
        <is>
          <t>3618KUZD2_000000006411265</t>
        </is>
      </c>
      <c r="B117" t="inlineStr">
        <is>
          <t>GREYSTONE_POST21</t>
        </is>
      </c>
      <c r="C117" s="2" t="inlineStr">
        <is>
          <t>3618KUZD2</t>
        </is>
      </c>
      <c r="D117" t="inlineStr">
        <is>
          <t>GREYSTONE FUNDING COMPANY LLC</t>
        </is>
      </c>
      <c r="E117" t="inlineStr">
        <is>
          <t>223f</t>
        </is>
      </c>
      <c r="F117" t="inlineStr">
        <is>
          <t>RP</t>
        </is>
      </c>
      <c r="G117" t="n">
        <v>2025</v>
      </c>
      <c r="H117" t="inlineStr">
        <is>
          <t>202602</t>
        </is>
      </c>
      <c r="I117" s="22" t="n">
        <v>5322544.26</v>
      </c>
      <c r="J117" s="23" t="n">
        <v>5.85</v>
      </c>
      <c r="K117" s="24" t="n">
        <v>447</v>
      </c>
      <c r="L117" s="24" t="n">
        <v>10</v>
      </c>
      <c r="M117" t="n">
        <v>9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s="24">
        <f>J117*100-(K117+(1+L117)*12.5)</f>
        <v/>
      </c>
      <c r="U117">
        <f>O117</f>
        <v/>
      </c>
      <c r="V117">
        <f>M117</f>
        <v/>
      </c>
      <c r="W117" s="23">
        <f>LN(1+I117)</f>
        <v/>
      </c>
      <c r="X117">
        <f>IF(G117&gt;=2021,1,0)</f>
        <v/>
      </c>
      <c r="Y117">
        <f>N117</f>
        <v/>
      </c>
      <c r="Z117" s="23">
        <f>IF(ISNUMBER(M117),N117/MAX(M117,1),0)</f>
        <v/>
      </c>
      <c r="AA117">
        <f>P117</f>
        <v/>
      </c>
      <c r="AB117">
        <f>Q117</f>
        <v/>
      </c>
      <c r="AC117">
        <f>R117</f>
        <v/>
      </c>
      <c r="AD117">
        <f>S117</f>
        <v/>
      </c>
      <c r="AE117">
        <f>IF(ISNUMBER(SEARCH("CAPITAL FUNDING",D117)),1,0)</f>
        <v/>
      </c>
      <c r="AF117">
        <f>IF(ISNUMBER(SEARCH("MERCHANTS",D117)),1,0)</f>
        <v/>
      </c>
      <c r="AG117">
        <f>IF(ISNUMBER(SEARCH("WELLS FARGO",D117)),1,0)</f>
        <v/>
      </c>
      <c r="AH117">
        <f>IF(ISNUMBER(SEARCH("WALKER",D117)),1,0)</f>
        <v/>
      </c>
      <c r="AI117">
        <f>IF(ISNUMBER(SEARCH("PNC",D117)),1,0)</f>
        <v/>
      </c>
      <c r="AJ117">
        <f>IF(ISNUMBER(SEARCH("BERKADIA",D117)),1,0)</f>
        <v/>
      </c>
      <c r="AK117">
        <f>IF(ISNUMBER(SEARCH("DWIGHT",D117)),1,0)</f>
        <v/>
      </c>
      <c r="AL117" s="25">
        <f>T$4*(T117-T$3)</f>
        <v/>
      </c>
      <c r="AM117" s="25">
        <f>U$4*(U117-U$3)</f>
        <v/>
      </c>
      <c r="AN117" s="25">
        <f>V$4*(V117-V$3)</f>
        <v/>
      </c>
      <c r="AO117" s="25">
        <f>W$4*(W117-W$3)</f>
        <v/>
      </c>
      <c r="AP117" s="25">
        <f>X$4*(X117-X$3)</f>
        <v/>
      </c>
      <c r="AQ117" s="25">
        <f>Y$4*(Y117-Y$3)</f>
        <v/>
      </c>
      <c r="AR117" s="25">
        <f>Z$4*(Z117-Z$3)</f>
        <v/>
      </c>
      <c r="AS117" s="25">
        <f>AA$4*(AA117-AA$3)</f>
        <v/>
      </c>
      <c r="AT117" s="25">
        <f>AB$4*(AB117-AB$3)</f>
        <v/>
      </c>
      <c r="AU117" s="25">
        <f>AC$4*(AC117-AC$3)</f>
        <v/>
      </c>
      <c r="AV117" s="25">
        <f>AD$4*(AD117-AD$3)</f>
        <v/>
      </c>
      <c r="AW117" s="25">
        <f>AE$4*(AE117-AE$3)</f>
        <v/>
      </c>
      <c r="AX117" s="25">
        <f>AF$4*(AF117-AF$3)</f>
        <v/>
      </c>
      <c r="AY117" s="25">
        <f>AG$4*(AG117-AG$3)</f>
        <v/>
      </c>
      <c r="AZ117" s="25">
        <f>AH$4*(AH117-AH$3)</f>
        <v/>
      </c>
      <c r="BA117" s="25">
        <f>AI$4*(AI117-AI$3)</f>
        <v/>
      </c>
      <c r="BB117" s="25">
        <f>AJ$4*(AJ117-AJ$3)</f>
        <v/>
      </c>
      <c r="BC117" s="25">
        <f>AK$4*(AK117-AK$3)</f>
        <v/>
      </c>
      <c r="BD117" s="26">
        <f>SUM(AL117:BC117)</f>
        <v/>
      </c>
      <c r="BE117" s="26">
        <f>INTERCEPT_SCALED+BD117</f>
        <v/>
      </c>
      <c r="BF117" s="27">
        <f>1/(1+EXP(-BE117))</f>
        <v/>
      </c>
      <c r="BG117" s="13">
        <f>1-(1-BF117)^12</f>
        <v/>
      </c>
      <c r="BH117" s="13">
        <f>IFERROR(AL117/BD117*(BG117-BASELINE_CPR),0)</f>
        <v/>
      </c>
      <c r="BI117" s="13">
        <f>IFERROR(AM117/BD117*(BG117-BASELINE_CPR),0)</f>
        <v/>
      </c>
      <c r="BJ117" s="13">
        <f>IFERROR(AN117/BD117*(BG117-BASELINE_CPR),0)</f>
        <v/>
      </c>
      <c r="BK117" s="13">
        <f>IFERROR(AO117/BD117*(BG117-BASELINE_CPR),0)</f>
        <v/>
      </c>
      <c r="BL117" s="13">
        <f>IFERROR(AP117/BD117*(BG117-BASELINE_CPR),0)</f>
        <v/>
      </c>
      <c r="BM117" s="13">
        <f>IFERROR(AQ117/BD117*(BG117-BASELINE_CPR),0)</f>
        <v/>
      </c>
      <c r="BN117" s="13">
        <f>IFERROR(AR117/BD117*(BG117-BASELINE_CPR),0)</f>
        <v/>
      </c>
      <c r="BO117" s="13">
        <f>IFERROR(AS117/BD117*(BG117-BASELINE_CPR),0)</f>
        <v/>
      </c>
      <c r="BP117" s="13">
        <f>IFERROR(AT117/BD117*(BG117-BASELINE_CPR),0)</f>
        <v/>
      </c>
      <c r="BQ117" s="13">
        <f>IFERROR(AU117/BD117*(BG117-BASELINE_CPR),0)</f>
        <v/>
      </c>
      <c r="BR117" s="13">
        <f>IFERROR(AV117/BD117*(BG117-BASELINE_CPR),0)</f>
        <v/>
      </c>
      <c r="BS117" s="13">
        <f>IFERROR(AW117/BD117*(BG117-BASELINE_CPR),0)</f>
        <v/>
      </c>
      <c r="BT117" s="13">
        <f>IFERROR(AX117/BD117*(BG117-BASELINE_CPR),0)</f>
        <v/>
      </c>
      <c r="BU117" s="13">
        <f>IFERROR(AY117/BD117*(BG117-BASELINE_CPR),0)</f>
        <v/>
      </c>
      <c r="BV117" s="13">
        <f>IFERROR(AZ117/BD117*(BG117-BASELINE_CPR),0)</f>
        <v/>
      </c>
      <c r="BW117" s="13">
        <f>IFERROR(BA117/BD117*(BG117-BASELINE_CPR),0)</f>
        <v/>
      </c>
      <c r="BX117" s="13">
        <f>IFERROR(BB117/BD117*(BG117-BASELINE_CPR),0)</f>
        <v/>
      </c>
      <c r="BY117" s="13">
        <f>IFERROR(BC117/BD117*(BG117-BASELINE_CPR),0)</f>
        <v/>
      </c>
      <c r="BZ117" s="28">
        <f>BASELINE_CPR+SUM(BH117:BY117)-BG117</f>
        <v/>
      </c>
    </row>
    <row r="118">
      <c r="A118" s="2" t="inlineStr">
        <is>
          <t>3617GNAF7_011001803759912</t>
        </is>
      </c>
      <c r="B118" t="inlineStr">
        <is>
          <t>GREYSTONE_PRE21</t>
        </is>
      </c>
      <c r="C118" s="2" t="inlineStr">
        <is>
          <t>3617GNAF7</t>
        </is>
      </c>
      <c r="D118" t="inlineStr">
        <is>
          <t>GREYSTONE SERVICING COMPANY LLC</t>
        </is>
      </c>
      <c r="E118" t="inlineStr">
        <is>
          <t>538</t>
        </is>
      </c>
      <c r="F118" t="inlineStr">
        <is>
          <t>538</t>
        </is>
      </c>
      <c r="G118" t="n">
        <v>2018</v>
      </c>
      <c r="H118" t="inlineStr">
        <is>
          <t>202602</t>
        </is>
      </c>
      <c r="I118" s="22" t="n">
        <v>859779.96</v>
      </c>
      <c r="J118" s="23" t="n">
        <v>4.5</v>
      </c>
      <c r="K118" s="24" t="n">
        <v>447</v>
      </c>
      <c r="L118" s="24" t="n">
        <v>3</v>
      </c>
      <c r="M118" t="n">
        <v>95</v>
      </c>
      <c r="N118" t="n">
        <v>38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s="24">
        <f>J118*100-(K118+(1+L118)*12.5)</f>
        <v/>
      </c>
      <c r="U118">
        <f>O118</f>
        <v/>
      </c>
      <c r="V118">
        <f>M118</f>
        <v/>
      </c>
      <c r="W118" s="23">
        <f>LN(1+I118)</f>
        <v/>
      </c>
      <c r="X118">
        <f>IF(G118&gt;=2021,1,0)</f>
        <v/>
      </c>
      <c r="Y118">
        <f>N118</f>
        <v/>
      </c>
      <c r="Z118" s="23">
        <f>IF(ISNUMBER(M118),N118/MAX(M118,1),0)</f>
        <v/>
      </c>
      <c r="AA118">
        <f>P118</f>
        <v/>
      </c>
      <c r="AB118">
        <f>Q118</f>
        <v/>
      </c>
      <c r="AC118">
        <f>R118</f>
        <v/>
      </c>
      <c r="AD118">
        <f>S118</f>
        <v/>
      </c>
      <c r="AE118">
        <f>IF(ISNUMBER(SEARCH("CAPITAL FUNDING",D118)),1,0)</f>
        <v/>
      </c>
      <c r="AF118">
        <f>IF(ISNUMBER(SEARCH("MERCHANTS",D118)),1,0)</f>
        <v/>
      </c>
      <c r="AG118">
        <f>IF(ISNUMBER(SEARCH("WELLS FARGO",D118)),1,0)</f>
        <v/>
      </c>
      <c r="AH118">
        <f>IF(ISNUMBER(SEARCH("WALKER",D118)),1,0)</f>
        <v/>
      </c>
      <c r="AI118">
        <f>IF(ISNUMBER(SEARCH("PNC",D118)),1,0)</f>
        <v/>
      </c>
      <c r="AJ118">
        <f>IF(ISNUMBER(SEARCH("BERKADIA",D118)),1,0)</f>
        <v/>
      </c>
      <c r="AK118">
        <f>IF(ISNUMBER(SEARCH("DWIGHT",D118)),1,0)</f>
        <v/>
      </c>
      <c r="AL118" s="25">
        <f>T$4*(T118-T$3)</f>
        <v/>
      </c>
      <c r="AM118" s="25">
        <f>U$4*(U118-U$3)</f>
        <v/>
      </c>
      <c r="AN118" s="25">
        <f>V$4*(V118-V$3)</f>
        <v/>
      </c>
      <c r="AO118" s="25">
        <f>W$4*(W118-W$3)</f>
        <v/>
      </c>
      <c r="AP118" s="25">
        <f>X$4*(X118-X$3)</f>
        <v/>
      </c>
      <c r="AQ118" s="25">
        <f>Y$4*(Y118-Y$3)</f>
        <v/>
      </c>
      <c r="AR118" s="25">
        <f>Z$4*(Z118-Z$3)</f>
        <v/>
      </c>
      <c r="AS118" s="25">
        <f>AA$4*(AA118-AA$3)</f>
        <v/>
      </c>
      <c r="AT118" s="25">
        <f>AB$4*(AB118-AB$3)</f>
        <v/>
      </c>
      <c r="AU118" s="25">
        <f>AC$4*(AC118-AC$3)</f>
        <v/>
      </c>
      <c r="AV118" s="25">
        <f>AD$4*(AD118-AD$3)</f>
        <v/>
      </c>
      <c r="AW118" s="25">
        <f>AE$4*(AE118-AE$3)</f>
        <v/>
      </c>
      <c r="AX118" s="25">
        <f>AF$4*(AF118-AF$3)</f>
        <v/>
      </c>
      <c r="AY118" s="25">
        <f>AG$4*(AG118-AG$3)</f>
        <v/>
      </c>
      <c r="AZ118" s="25">
        <f>AH$4*(AH118-AH$3)</f>
        <v/>
      </c>
      <c r="BA118" s="25">
        <f>AI$4*(AI118-AI$3)</f>
        <v/>
      </c>
      <c r="BB118" s="25">
        <f>AJ$4*(AJ118-AJ$3)</f>
        <v/>
      </c>
      <c r="BC118" s="25">
        <f>AK$4*(AK118-AK$3)</f>
        <v/>
      </c>
      <c r="BD118" s="26">
        <f>SUM(AL118:BC118)</f>
        <v/>
      </c>
      <c r="BE118" s="26">
        <f>INTERCEPT_SCALED+BD118</f>
        <v/>
      </c>
      <c r="BF118" s="27">
        <f>1/(1+EXP(-BE118))</f>
        <v/>
      </c>
      <c r="BG118" s="13">
        <f>1-(1-BF118)^12</f>
        <v/>
      </c>
      <c r="BH118" s="13">
        <f>IFERROR(AL118/BD118*(BG118-BASELINE_CPR),0)</f>
        <v/>
      </c>
      <c r="BI118" s="13">
        <f>IFERROR(AM118/BD118*(BG118-BASELINE_CPR),0)</f>
        <v/>
      </c>
      <c r="BJ118" s="13">
        <f>IFERROR(AN118/BD118*(BG118-BASELINE_CPR),0)</f>
        <v/>
      </c>
      <c r="BK118" s="13">
        <f>IFERROR(AO118/BD118*(BG118-BASELINE_CPR),0)</f>
        <v/>
      </c>
      <c r="BL118" s="13">
        <f>IFERROR(AP118/BD118*(BG118-BASELINE_CPR),0)</f>
        <v/>
      </c>
      <c r="BM118" s="13">
        <f>IFERROR(AQ118/BD118*(BG118-BASELINE_CPR),0)</f>
        <v/>
      </c>
      <c r="BN118" s="13">
        <f>IFERROR(AR118/BD118*(BG118-BASELINE_CPR),0)</f>
        <v/>
      </c>
      <c r="BO118" s="13">
        <f>IFERROR(AS118/BD118*(BG118-BASELINE_CPR),0)</f>
        <v/>
      </c>
      <c r="BP118" s="13">
        <f>IFERROR(AT118/BD118*(BG118-BASELINE_CPR),0)</f>
        <v/>
      </c>
      <c r="BQ118" s="13">
        <f>IFERROR(AU118/BD118*(BG118-BASELINE_CPR),0)</f>
        <v/>
      </c>
      <c r="BR118" s="13">
        <f>IFERROR(AV118/BD118*(BG118-BASELINE_CPR),0)</f>
        <v/>
      </c>
      <c r="BS118" s="13">
        <f>IFERROR(AW118/BD118*(BG118-BASELINE_CPR),0)</f>
        <v/>
      </c>
      <c r="BT118" s="13">
        <f>IFERROR(AX118/BD118*(BG118-BASELINE_CPR),0)</f>
        <v/>
      </c>
      <c r="BU118" s="13">
        <f>IFERROR(AY118/BD118*(BG118-BASELINE_CPR),0)</f>
        <v/>
      </c>
      <c r="BV118" s="13">
        <f>IFERROR(AZ118/BD118*(BG118-BASELINE_CPR),0)</f>
        <v/>
      </c>
      <c r="BW118" s="13">
        <f>IFERROR(BA118/BD118*(BG118-BASELINE_CPR),0)</f>
        <v/>
      </c>
      <c r="BX118" s="13">
        <f>IFERROR(BB118/BD118*(BG118-BASELINE_CPR),0)</f>
        <v/>
      </c>
      <c r="BY118" s="13">
        <f>IFERROR(BC118/BD118*(BG118-BASELINE_CPR),0)</f>
        <v/>
      </c>
      <c r="BZ118" s="28">
        <f>BASELINE_CPR+SUM(BH118:BY118)-BG118</f>
        <v/>
      </c>
    </row>
    <row r="119">
      <c r="A119" s="2" t="inlineStr">
        <is>
          <t>3617GNAK6_010020895936416</t>
        </is>
      </c>
      <c r="B119" t="inlineStr">
        <is>
          <t>GREYSTONE_PRE21</t>
        </is>
      </c>
      <c r="C119" s="2" t="inlineStr">
        <is>
          <t>3617GNAK6</t>
        </is>
      </c>
      <c r="D119" t="inlineStr">
        <is>
          <t>GREYSTONE SERVICING COMPANY LLC</t>
        </is>
      </c>
      <c r="E119" t="inlineStr">
        <is>
          <t>538</t>
        </is>
      </c>
      <c r="F119" t="inlineStr">
        <is>
          <t>538</t>
        </is>
      </c>
      <c r="G119" t="n">
        <v>2018</v>
      </c>
      <c r="H119" t="inlineStr">
        <is>
          <t>202602</t>
        </is>
      </c>
      <c r="I119" s="22" t="n">
        <v>1338183.97</v>
      </c>
      <c r="J119" s="23" t="n">
        <v>4.5</v>
      </c>
      <c r="K119" s="24" t="n">
        <v>447</v>
      </c>
      <c r="L119" s="24" t="n">
        <v>4</v>
      </c>
      <c r="M119" t="n">
        <v>95</v>
      </c>
      <c r="N119" t="n">
        <v>34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s="24">
        <f>J119*100-(K119+(1+L119)*12.5)</f>
        <v/>
      </c>
      <c r="U119">
        <f>O119</f>
        <v/>
      </c>
      <c r="V119">
        <f>M119</f>
        <v/>
      </c>
      <c r="W119" s="23">
        <f>LN(1+I119)</f>
        <v/>
      </c>
      <c r="X119">
        <f>IF(G119&gt;=2021,1,0)</f>
        <v/>
      </c>
      <c r="Y119">
        <f>N119</f>
        <v/>
      </c>
      <c r="Z119" s="23">
        <f>IF(ISNUMBER(M119),N119/MAX(M119,1),0)</f>
        <v/>
      </c>
      <c r="AA119">
        <f>P119</f>
        <v/>
      </c>
      <c r="AB119">
        <f>Q119</f>
        <v/>
      </c>
      <c r="AC119">
        <f>R119</f>
        <v/>
      </c>
      <c r="AD119">
        <f>S119</f>
        <v/>
      </c>
      <c r="AE119">
        <f>IF(ISNUMBER(SEARCH("CAPITAL FUNDING",D119)),1,0)</f>
        <v/>
      </c>
      <c r="AF119">
        <f>IF(ISNUMBER(SEARCH("MERCHANTS",D119)),1,0)</f>
        <v/>
      </c>
      <c r="AG119">
        <f>IF(ISNUMBER(SEARCH("WELLS FARGO",D119)),1,0)</f>
        <v/>
      </c>
      <c r="AH119">
        <f>IF(ISNUMBER(SEARCH("WALKER",D119)),1,0)</f>
        <v/>
      </c>
      <c r="AI119">
        <f>IF(ISNUMBER(SEARCH("PNC",D119)),1,0)</f>
        <v/>
      </c>
      <c r="AJ119">
        <f>IF(ISNUMBER(SEARCH("BERKADIA",D119)),1,0)</f>
        <v/>
      </c>
      <c r="AK119">
        <f>IF(ISNUMBER(SEARCH("DWIGHT",D119)),1,0)</f>
        <v/>
      </c>
      <c r="AL119" s="25">
        <f>T$4*(T119-T$3)</f>
        <v/>
      </c>
      <c r="AM119" s="25">
        <f>U$4*(U119-U$3)</f>
        <v/>
      </c>
      <c r="AN119" s="25">
        <f>V$4*(V119-V$3)</f>
        <v/>
      </c>
      <c r="AO119" s="25">
        <f>W$4*(W119-W$3)</f>
        <v/>
      </c>
      <c r="AP119" s="25">
        <f>X$4*(X119-X$3)</f>
        <v/>
      </c>
      <c r="AQ119" s="25">
        <f>Y$4*(Y119-Y$3)</f>
        <v/>
      </c>
      <c r="AR119" s="25">
        <f>Z$4*(Z119-Z$3)</f>
        <v/>
      </c>
      <c r="AS119" s="25">
        <f>AA$4*(AA119-AA$3)</f>
        <v/>
      </c>
      <c r="AT119" s="25">
        <f>AB$4*(AB119-AB$3)</f>
        <v/>
      </c>
      <c r="AU119" s="25">
        <f>AC$4*(AC119-AC$3)</f>
        <v/>
      </c>
      <c r="AV119" s="25">
        <f>AD$4*(AD119-AD$3)</f>
        <v/>
      </c>
      <c r="AW119" s="25">
        <f>AE$4*(AE119-AE$3)</f>
        <v/>
      </c>
      <c r="AX119" s="25">
        <f>AF$4*(AF119-AF$3)</f>
        <v/>
      </c>
      <c r="AY119" s="25">
        <f>AG$4*(AG119-AG$3)</f>
        <v/>
      </c>
      <c r="AZ119" s="25">
        <f>AH$4*(AH119-AH$3)</f>
        <v/>
      </c>
      <c r="BA119" s="25">
        <f>AI$4*(AI119-AI$3)</f>
        <v/>
      </c>
      <c r="BB119" s="25">
        <f>AJ$4*(AJ119-AJ$3)</f>
        <v/>
      </c>
      <c r="BC119" s="25">
        <f>AK$4*(AK119-AK$3)</f>
        <v/>
      </c>
      <c r="BD119" s="26">
        <f>SUM(AL119:BC119)</f>
        <v/>
      </c>
      <c r="BE119" s="26">
        <f>INTERCEPT_SCALED+BD119</f>
        <v/>
      </c>
      <c r="BF119" s="27">
        <f>1/(1+EXP(-BE119))</f>
        <v/>
      </c>
      <c r="BG119" s="13">
        <f>1-(1-BF119)^12</f>
        <v/>
      </c>
      <c r="BH119" s="13">
        <f>IFERROR(AL119/BD119*(BG119-BASELINE_CPR),0)</f>
        <v/>
      </c>
      <c r="BI119" s="13">
        <f>IFERROR(AM119/BD119*(BG119-BASELINE_CPR),0)</f>
        <v/>
      </c>
      <c r="BJ119" s="13">
        <f>IFERROR(AN119/BD119*(BG119-BASELINE_CPR),0)</f>
        <v/>
      </c>
      <c r="BK119" s="13">
        <f>IFERROR(AO119/BD119*(BG119-BASELINE_CPR),0)</f>
        <v/>
      </c>
      <c r="BL119" s="13">
        <f>IFERROR(AP119/BD119*(BG119-BASELINE_CPR),0)</f>
        <v/>
      </c>
      <c r="BM119" s="13">
        <f>IFERROR(AQ119/BD119*(BG119-BASELINE_CPR),0)</f>
        <v/>
      </c>
      <c r="BN119" s="13">
        <f>IFERROR(AR119/BD119*(BG119-BASELINE_CPR),0)</f>
        <v/>
      </c>
      <c r="BO119" s="13">
        <f>IFERROR(AS119/BD119*(BG119-BASELINE_CPR),0)</f>
        <v/>
      </c>
      <c r="BP119" s="13">
        <f>IFERROR(AT119/BD119*(BG119-BASELINE_CPR),0)</f>
        <v/>
      </c>
      <c r="BQ119" s="13">
        <f>IFERROR(AU119/BD119*(BG119-BASELINE_CPR),0)</f>
        <v/>
      </c>
      <c r="BR119" s="13">
        <f>IFERROR(AV119/BD119*(BG119-BASELINE_CPR),0)</f>
        <v/>
      </c>
      <c r="BS119" s="13">
        <f>IFERROR(AW119/BD119*(BG119-BASELINE_CPR),0)</f>
        <v/>
      </c>
      <c r="BT119" s="13">
        <f>IFERROR(AX119/BD119*(BG119-BASELINE_CPR),0)</f>
        <v/>
      </c>
      <c r="BU119" s="13">
        <f>IFERROR(AY119/BD119*(BG119-BASELINE_CPR),0)</f>
        <v/>
      </c>
      <c r="BV119" s="13">
        <f>IFERROR(AZ119/BD119*(BG119-BASELINE_CPR),0)</f>
        <v/>
      </c>
      <c r="BW119" s="13">
        <f>IFERROR(BA119/BD119*(BG119-BASELINE_CPR),0)</f>
        <v/>
      </c>
      <c r="BX119" s="13">
        <f>IFERROR(BB119/BD119*(BG119-BASELINE_CPR),0)</f>
        <v/>
      </c>
      <c r="BY119" s="13">
        <f>IFERROR(BC119/BD119*(BG119-BASELINE_CPR),0)</f>
        <v/>
      </c>
      <c r="BZ119" s="28">
        <f>BASELINE_CPR+SUM(BH119:BY119)-BG119</f>
        <v/>
      </c>
    </row>
    <row r="120">
      <c r="A120" s="2" t="inlineStr">
        <is>
          <t>3617QMXL0_000000002311576</t>
        </is>
      </c>
      <c r="B120" t="inlineStr">
        <is>
          <t>MERCHANTS_PRE21</t>
        </is>
      </c>
      <c r="C120" s="2" t="inlineStr">
        <is>
          <t>3617QMXL0</t>
        </is>
      </c>
      <c r="D120" t="inlineStr">
        <is>
          <t>MERCHANTS CAPITAL CORP.</t>
        </is>
      </c>
      <c r="E120" t="inlineStr">
        <is>
          <t>223f</t>
        </is>
      </c>
      <c r="F120" t="inlineStr">
        <is>
          <t>RP</t>
        </is>
      </c>
      <c r="G120" t="n">
        <v>2020</v>
      </c>
      <c r="H120" t="inlineStr">
        <is>
          <t>202602</t>
        </is>
      </c>
      <c r="I120" s="22" t="n">
        <v>10194656.76</v>
      </c>
      <c r="J120" s="23" t="n">
        <v>2.2</v>
      </c>
      <c r="K120" s="24" t="n">
        <v>447</v>
      </c>
      <c r="L120" s="24" t="n">
        <v>5</v>
      </c>
      <c r="M120" t="n">
        <v>62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s="24">
        <f>J120*100-(K120+(1+L120)*12.5)</f>
        <v/>
      </c>
      <c r="U120">
        <f>O120</f>
        <v/>
      </c>
      <c r="V120">
        <f>M120</f>
        <v/>
      </c>
      <c r="W120" s="23">
        <f>LN(1+I120)</f>
        <v/>
      </c>
      <c r="X120">
        <f>IF(G120&gt;=2021,1,0)</f>
        <v/>
      </c>
      <c r="Y120">
        <f>N120</f>
        <v/>
      </c>
      <c r="Z120" s="23">
        <f>IF(ISNUMBER(M120),N120/MAX(M120,1),0)</f>
        <v/>
      </c>
      <c r="AA120">
        <f>P120</f>
        <v/>
      </c>
      <c r="AB120">
        <f>Q120</f>
        <v/>
      </c>
      <c r="AC120">
        <f>R120</f>
        <v/>
      </c>
      <c r="AD120">
        <f>S120</f>
        <v/>
      </c>
      <c r="AE120">
        <f>IF(ISNUMBER(SEARCH("CAPITAL FUNDING",D120)),1,0)</f>
        <v/>
      </c>
      <c r="AF120">
        <f>IF(ISNUMBER(SEARCH("MERCHANTS",D120)),1,0)</f>
        <v/>
      </c>
      <c r="AG120">
        <f>IF(ISNUMBER(SEARCH("WELLS FARGO",D120)),1,0)</f>
        <v/>
      </c>
      <c r="AH120">
        <f>IF(ISNUMBER(SEARCH("WALKER",D120)),1,0)</f>
        <v/>
      </c>
      <c r="AI120">
        <f>IF(ISNUMBER(SEARCH("PNC",D120)),1,0)</f>
        <v/>
      </c>
      <c r="AJ120">
        <f>IF(ISNUMBER(SEARCH("BERKADIA",D120)),1,0)</f>
        <v/>
      </c>
      <c r="AK120">
        <f>IF(ISNUMBER(SEARCH("DWIGHT",D120)),1,0)</f>
        <v/>
      </c>
      <c r="AL120" s="25">
        <f>T$4*(T120-T$3)</f>
        <v/>
      </c>
      <c r="AM120" s="25">
        <f>U$4*(U120-U$3)</f>
        <v/>
      </c>
      <c r="AN120" s="25">
        <f>V$4*(V120-V$3)</f>
        <v/>
      </c>
      <c r="AO120" s="25">
        <f>W$4*(W120-W$3)</f>
        <v/>
      </c>
      <c r="AP120" s="25">
        <f>X$4*(X120-X$3)</f>
        <v/>
      </c>
      <c r="AQ120" s="25">
        <f>Y$4*(Y120-Y$3)</f>
        <v/>
      </c>
      <c r="AR120" s="25">
        <f>Z$4*(Z120-Z$3)</f>
        <v/>
      </c>
      <c r="AS120" s="25">
        <f>AA$4*(AA120-AA$3)</f>
        <v/>
      </c>
      <c r="AT120" s="25">
        <f>AB$4*(AB120-AB$3)</f>
        <v/>
      </c>
      <c r="AU120" s="25">
        <f>AC$4*(AC120-AC$3)</f>
        <v/>
      </c>
      <c r="AV120" s="25">
        <f>AD$4*(AD120-AD$3)</f>
        <v/>
      </c>
      <c r="AW120" s="25">
        <f>AE$4*(AE120-AE$3)</f>
        <v/>
      </c>
      <c r="AX120" s="25">
        <f>AF$4*(AF120-AF$3)</f>
        <v/>
      </c>
      <c r="AY120" s="25">
        <f>AG$4*(AG120-AG$3)</f>
        <v/>
      </c>
      <c r="AZ120" s="25">
        <f>AH$4*(AH120-AH$3)</f>
        <v/>
      </c>
      <c r="BA120" s="25">
        <f>AI$4*(AI120-AI$3)</f>
        <v/>
      </c>
      <c r="BB120" s="25">
        <f>AJ$4*(AJ120-AJ$3)</f>
        <v/>
      </c>
      <c r="BC120" s="25">
        <f>AK$4*(AK120-AK$3)</f>
        <v/>
      </c>
      <c r="BD120" s="26">
        <f>SUM(AL120:BC120)</f>
        <v/>
      </c>
      <c r="BE120" s="26">
        <f>INTERCEPT_SCALED+BD120</f>
        <v/>
      </c>
      <c r="BF120" s="27">
        <f>1/(1+EXP(-BE120))</f>
        <v/>
      </c>
      <c r="BG120" s="13">
        <f>1-(1-BF120)^12</f>
        <v/>
      </c>
      <c r="BH120" s="13">
        <f>IFERROR(AL120/BD120*(BG120-BASELINE_CPR),0)</f>
        <v/>
      </c>
      <c r="BI120" s="13">
        <f>IFERROR(AM120/BD120*(BG120-BASELINE_CPR),0)</f>
        <v/>
      </c>
      <c r="BJ120" s="13">
        <f>IFERROR(AN120/BD120*(BG120-BASELINE_CPR),0)</f>
        <v/>
      </c>
      <c r="BK120" s="13">
        <f>IFERROR(AO120/BD120*(BG120-BASELINE_CPR),0)</f>
        <v/>
      </c>
      <c r="BL120" s="13">
        <f>IFERROR(AP120/BD120*(BG120-BASELINE_CPR),0)</f>
        <v/>
      </c>
      <c r="BM120" s="13">
        <f>IFERROR(AQ120/BD120*(BG120-BASELINE_CPR),0)</f>
        <v/>
      </c>
      <c r="BN120" s="13">
        <f>IFERROR(AR120/BD120*(BG120-BASELINE_CPR),0)</f>
        <v/>
      </c>
      <c r="BO120" s="13">
        <f>IFERROR(AS120/BD120*(BG120-BASELINE_CPR),0)</f>
        <v/>
      </c>
      <c r="BP120" s="13">
        <f>IFERROR(AT120/BD120*(BG120-BASELINE_CPR),0)</f>
        <v/>
      </c>
      <c r="BQ120" s="13">
        <f>IFERROR(AU120/BD120*(BG120-BASELINE_CPR),0)</f>
        <v/>
      </c>
      <c r="BR120" s="13">
        <f>IFERROR(AV120/BD120*(BG120-BASELINE_CPR),0)</f>
        <v/>
      </c>
      <c r="BS120" s="13">
        <f>IFERROR(AW120/BD120*(BG120-BASELINE_CPR),0)</f>
        <v/>
      </c>
      <c r="BT120" s="13">
        <f>IFERROR(AX120/BD120*(BG120-BASELINE_CPR),0)</f>
        <v/>
      </c>
      <c r="BU120" s="13">
        <f>IFERROR(AY120/BD120*(BG120-BASELINE_CPR),0)</f>
        <v/>
      </c>
      <c r="BV120" s="13">
        <f>IFERROR(AZ120/BD120*(BG120-BASELINE_CPR),0)</f>
        <v/>
      </c>
      <c r="BW120" s="13">
        <f>IFERROR(BA120/BD120*(BG120-BASELINE_CPR),0)</f>
        <v/>
      </c>
      <c r="BX120" s="13">
        <f>IFERROR(BB120/BD120*(BG120-BASELINE_CPR),0)</f>
        <v/>
      </c>
      <c r="BY120" s="13">
        <f>IFERROR(BC120/BD120*(BG120-BASELINE_CPR),0)</f>
        <v/>
      </c>
      <c r="BZ120" s="28">
        <f>BASELINE_CPR+SUM(BH120:BY120)-BG120</f>
        <v/>
      </c>
    </row>
    <row r="121">
      <c r="A121" s="2" t="inlineStr">
        <is>
          <t>3618AABA9_000000007522246</t>
        </is>
      </c>
      <c r="B121" t="inlineStr">
        <is>
          <t>MERCHANTS_POST21</t>
        </is>
      </c>
      <c r="C121" s="2" t="inlineStr">
        <is>
          <t>3618AABA9</t>
        </is>
      </c>
      <c r="D121" t="inlineStr">
        <is>
          <t>MERCHANTS CAPITAL CORP.</t>
        </is>
      </c>
      <c r="E121" t="inlineStr">
        <is>
          <t>232</t>
        </is>
      </c>
      <c r="F121" t="inlineStr">
        <is>
          <t>RP</t>
        </is>
      </c>
      <c r="G121" t="n">
        <v>2022</v>
      </c>
      <c r="H121" t="inlineStr">
        <is>
          <t>202602</t>
        </is>
      </c>
      <c r="I121" s="22" t="n">
        <v>3906768.91</v>
      </c>
      <c r="J121" s="23" t="n">
        <v>4</v>
      </c>
      <c r="K121" s="24" t="n">
        <v>447</v>
      </c>
      <c r="L121" s="24" t="n">
        <v>7</v>
      </c>
      <c r="M121" t="n">
        <v>40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s="24">
        <f>J121*100-(K121+(1+L121)*12.5)</f>
        <v/>
      </c>
      <c r="U121">
        <f>O121</f>
        <v/>
      </c>
      <c r="V121">
        <f>M121</f>
        <v/>
      </c>
      <c r="W121" s="23">
        <f>LN(1+I121)</f>
        <v/>
      </c>
      <c r="X121">
        <f>IF(G121&gt;=2021,1,0)</f>
        <v/>
      </c>
      <c r="Y121">
        <f>N121</f>
        <v/>
      </c>
      <c r="Z121" s="23">
        <f>IF(ISNUMBER(M121),N121/MAX(M121,1),0)</f>
        <v/>
      </c>
      <c r="AA121">
        <f>P121</f>
        <v/>
      </c>
      <c r="AB121">
        <f>Q121</f>
        <v/>
      </c>
      <c r="AC121">
        <f>R121</f>
        <v/>
      </c>
      <c r="AD121">
        <f>S121</f>
        <v/>
      </c>
      <c r="AE121">
        <f>IF(ISNUMBER(SEARCH("CAPITAL FUNDING",D121)),1,0)</f>
        <v/>
      </c>
      <c r="AF121">
        <f>IF(ISNUMBER(SEARCH("MERCHANTS",D121)),1,0)</f>
        <v/>
      </c>
      <c r="AG121">
        <f>IF(ISNUMBER(SEARCH("WELLS FARGO",D121)),1,0)</f>
        <v/>
      </c>
      <c r="AH121">
        <f>IF(ISNUMBER(SEARCH("WALKER",D121)),1,0)</f>
        <v/>
      </c>
      <c r="AI121">
        <f>IF(ISNUMBER(SEARCH("PNC",D121)),1,0)</f>
        <v/>
      </c>
      <c r="AJ121">
        <f>IF(ISNUMBER(SEARCH("BERKADIA",D121)),1,0)</f>
        <v/>
      </c>
      <c r="AK121">
        <f>IF(ISNUMBER(SEARCH("DWIGHT",D121)),1,0)</f>
        <v/>
      </c>
      <c r="AL121" s="25">
        <f>T$4*(T121-T$3)</f>
        <v/>
      </c>
      <c r="AM121" s="25">
        <f>U$4*(U121-U$3)</f>
        <v/>
      </c>
      <c r="AN121" s="25">
        <f>V$4*(V121-V$3)</f>
        <v/>
      </c>
      <c r="AO121" s="25">
        <f>W$4*(W121-W$3)</f>
        <v/>
      </c>
      <c r="AP121" s="25">
        <f>X$4*(X121-X$3)</f>
        <v/>
      </c>
      <c r="AQ121" s="25">
        <f>Y$4*(Y121-Y$3)</f>
        <v/>
      </c>
      <c r="AR121" s="25">
        <f>Z$4*(Z121-Z$3)</f>
        <v/>
      </c>
      <c r="AS121" s="25">
        <f>AA$4*(AA121-AA$3)</f>
        <v/>
      </c>
      <c r="AT121" s="25">
        <f>AB$4*(AB121-AB$3)</f>
        <v/>
      </c>
      <c r="AU121" s="25">
        <f>AC$4*(AC121-AC$3)</f>
        <v/>
      </c>
      <c r="AV121" s="25">
        <f>AD$4*(AD121-AD$3)</f>
        <v/>
      </c>
      <c r="AW121" s="25">
        <f>AE$4*(AE121-AE$3)</f>
        <v/>
      </c>
      <c r="AX121" s="25">
        <f>AF$4*(AF121-AF$3)</f>
        <v/>
      </c>
      <c r="AY121" s="25">
        <f>AG$4*(AG121-AG$3)</f>
        <v/>
      </c>
      <c r="AZ121" s="25">
        <f>AH$4*(AH121-AH$3)</f>
        <v/>
      </c>
      <c r="BA121" s="25">
        <f>AI$4*(AI121-AI$3)</f>
        <v/>
      </c>
      <c r="BB121" s="25">
        <f>AJ$4*(AJ121-AJ$3)</f>
        <v/>
      </c>
      <c r="BC121" s="25">
        <f>AK$4*(AK121-AK$3)</f>
        <v/>
      </c>
      <c r="BD121" s="26">
        <f>SUM(AL121:BC121)</f>
        <v/>
      </c>
      <c r="BE121" s="26">
        <f>INTERCEPT_SCALED+BD121</f>
        <v/>
      </c>
      <c r="BF121" s="27">
        <f>1/(1+EXP(-BE121))</f>
        <v/>
      </c>
      <c r="BG121" s="13">
        <f>1-(1-BF121)^12</f>
        <v/>
      </c>
      <c r="BH121" s="13">
        <f>IFERROR(AL121/BD121*(BG121-BASELINE_CPR),0)</f>
        <v/>
      </c>
      <c r="BI121" s="13">
        <f>IFERROR(AM121/BD121*(BG121-BASELINE_CPR),0)</f>
        <v/>
      </c>
      <c r="BJ121" s="13">
        <f>IFERROR(AN121/BD121*(BG121-BASELINE_CPR),0)</f>
        <v/>
      </c>
      <c r="BK121" s="13">
        <f>IFERROR(AO121/BD121*(BG121-BASELINE_CPR),0)</f>
        <v/>
      </c>
      <c r="BL121" s="13">
        <f>IFERROR(AP121/BD121*(BG121-BASELINE_CPR),0)</f>
        <v/>
      </c>
      <c r="BM121" s="13">
        <f>IFERROR(AQ121/BD121*(BG121-BASELINE_CPR),0)</f>
        <v/>
      </c>
      <c r="BN121" s="13">
        <f>IFERROR(AR121/BD121*(BG121-BASELINE_CPR),0)</f>
        <v/>
      </c>
      <c r="BO121" s="13">
        <f>IFERROR(AS121/BD121*(BG121-BASELINE_CPR),0)</f>
        <v/>
      </c>
      <c r="BP121" s="13">
        <f>IFERROR(AT121/BD121*(BG121-BASELINE_CPR),0)</f>
        <v/>
      </c>
      <c r="BQ121" s="13">
        <f>IFERROR(AU121/BD121*(BG121-BASELINE_CPR),0)</f>
        <v/>
      </c>
      <c r="BR121" s="13">
        <f>IFERROR(AV121/BD121*(BG121-BASELINE_CPR),0)</f>
        <v/>
      </c>
      <c r="BS121" s="13">
        <f>IFERROR(AW121/BD121*(BG121-BASELINE_CPR),0)</f>
        <v/>
      </c>
      <c r="BT121" s="13">
        <f>IFERROR(AX121/BD121*(BG121-BASELINE_CPR),0)</f>
        <v/>
      </c>
      <c r="BU121" s="13">
        <f>IFERROR(AY121/BD121*(BG121-BASELINE_CPR),0)</f>
        <v/>
      </c>
      <c r="BV121" s="13">
        <f>IFERROR(AZ121/BD121*(BG121-BASELINE_CPR),0)</f>
        <v/>
      </c>
      <c r="BW121" s="13">
        <f>IFERROR(BA121/BD121*(BG121-BASELINE_CPR),0)</f>
        <v/>
      </c>
      <c r="BX121" s="13">
        <f>IFERROR(BB121/BD121*(BG121-BASELINE_CPR),0)</f>
        <v/>
      </c>
      <c r="BY121" s="13">
        <f>IFERROR(BC121/BD121*(BG121-BASELINE_CPR),0)</f>
        <v/>
      </c>
      <c r="BZ121" s="28">
        <f>BASELINE_CPR+SUM(BH121:BY121)-BG121</f>
        <v/>
      </c>
    </row>
    <row r="122">
      <c r="A122" s="2" t="inlineStr">
        <is>
          <t>36198T2P6_000000007311284</t>
        </is>
      </c>
      <c r="B122" t="inlineStr">
        <is>
          <t>MERCHANTS_PRE21</t>
        </is>
      </c>
      <c r="C122" s="2" t="inlineStr">
        <is>
          <t>36198T2P6</t>
        </is>
      </c>
      <c r="D122" t="inlineStr">
        <is>
          <t>MERCHANTS CAPITAL CORP.</t>
        </is>
      </c>
      <c r="E122" t="inlineStr">
        <is>
          <t>223f</t>
        </is>
      </c>
      <c r="F122" t="inlineStr">
        <is>
          <t>RP</t>
        </is>
      </c>
      <c r="G122" t="n">
        <v>2004</v>
      </c>
      <c r="H122" t="inlineStr">
        <is>
          <t>202602</t>
        </is>
      </c>
      <c r="I122" s="22" t="n">
        <v>25063.28</v>
      </c>
      <c r="J122" s="23" t="n">
        <v>3.45</v>
      </c>
      <c r="K122" s="24" t="n">
        <v>447</v>
      </c>
      <c r="L122" s="24" t="n">
        <v>0</v>
      </c>
      <c r="M122" t="n">
        <v>258</v>
      </c>
      <c r="N122" t="n">
        <v>30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s="24">
        <f>J122*100-(K122+(1+L122)*12.5)</f>
        <v/>
      </c>
      <c r="U122">
        <f>O122</f>
        <v/>
      </c>
      <c r="V122">
        <f>M122</f>
        <v/>
      </c>
      <c r="W122" s="23">
        <f>LN(1+I122)</f>
        <v/>
      </c>
      <c r="X122">
        <f>IF(G122&gt;=2021,1,0)</f>
        <v/>
      </c>
      <c r="Y122">
        <f>N122</f>
        <v/>
      </c>
      <c r="Z122" s="23">
        <f>IF(ISNUMBER(M122),N122/MAX(M122,1),0)</f>
        <v/>
      </c>
      <c r="AA122">
        <f>P122</f>
        <v/>
      </c>
      <c r="AB122">
        <f>Q122</f>
        <v/>
      </c>
      <c r="AC122">
        <f>R122</f>
        <v/>
      </c>
      <c r="AD122">
        <f>S122</f>
        <v/>
      </c>
      <c r="AE122">
        <f>IF(ISNUMBER(SEARCH("CAPITAL FUNDING",D122)),1,0)</f>
        <v/>
      </c>
      <c r="AF122">
        <f>IF(ISNUMBER(SEARCH("MERCHANTS",D122)),1,0)</f>
        <v/>
      </c>
      <c r="AG122">
        <f>IF(ISNUMBER(SEARCH("WELLS FARGO",D122)),1,0)</f>
        <v/>
      </c>
      <c r="AH122">
        <f>IF(ISNUMBER(SEARCH("WALKER",D122)),1,0)</f>
        <v/>
      </c>
      <c r="AI122">
        <f>IF(ISNUMBER(SEARCH("PNC",D122)),1,0)</f>
        <v/>
      </c>
      <c r="AJ122">
        <f>IF(ISNUMBER(SEARCH("BERKADIA",D122)),1,0)</f>
        <v/>
      </c>
      <c r="AK122">
        <f>IF(ISNUMBER(SEARCH("DWIGHT",D122)),1,0)</f>
        <v/>
      </c>
      <c r="AL122" s="25">
        <f>T$4*(T122-T$3)</f>
        <v/>
      </c>
      <c r="AM122" s="25">
        <f>U$4*(U122-U$3)</f>
        <v/>
      </c>
      <c r="AN122" s="25">
        <f>V$4*(V122-V$3)</f>
        <v/>
      </c>
      <c r="AO122" s="25">
        <f>W$4*(W122-W$3)</f>
        <v/>
      </c>
      <c r="AP122" s="25">
        <f>X$4*(X122-X$3)</f>
        <v/>
      </c>
      <c r="AQ122" s="25">
        <f>Y$4*(Y122-Y$3)</f>
        <v/>
      </c>
      <c r="AR122" s="25">
        <f>Z$4*(Z122-Z$3)</f>
        <v/>
      </c>
      <c r="AS122" s="25">
        <f>AA$4*(AA122-AA$3)</f>
        <v/>
      </c>
      <c r="AT122" s="25">
        <f>AB$4*(AB122-AB$3)</f>
        <v/>
      </c>
      <c r="AU122" s="25">
        <f>AC$4*(AC122-AC$3)</f>
        <v/>
      </c>
      <c r="AV122" s="25">
        <f>AD$4*(AD122-AD$3)</f>
        <v/>
      </c>
      <c r="AW122" s="25">
        <f>AE$4*(AE122-AE$3)</f>
        <v/>
      </c>
      <c r="AX122" s="25">
        <f>AF$4*(AF122-AF$3)</f>
        <v/>
      </c>
      <c r="AY122" s="25">
        <f>AG$4*(AG122-AG$3)</f>
        <v/>
      </c>
      <c r="AZ122" s="25">
        <f>AH$4*(AH122-AH$3)</f>
        <v/>
      </c>
      <c r="BA122" s="25">
        <f>AI$4*(AI122-AI$3)</f>
        <v/>
      </c>
      <c r="BB122" s="25">
        <f>AJ$4*(AJ122-AJ$3)</f>
        <v/>
      </c>
      <c r="BC122" s="25">
        <f>AK$4*(AK122-AK$3)</f>
        <v/>
      </c>
      <c r="BD122" s="26">
        <f>SUM(AL122:BC122)</f>
        <v/>
      </c>
      <c r="BE122" s="26">
        <f>INTERCEPT_SCALED+BD122</f>
        <v/>
      </c>
      <c r="BF122" s="27">
        <f>1/(1+EXP(-BE122))</f>
        <v/>
      </c>
      <c r="BG122" s="13">
        <f>1-(1-BF122)^12</f>
        <v/>
      </c>
      <c r="BH122" s="13">
        <f>IFERROR(AL122/BD122*(BG122-BASELINE_CPR),0)</f>
        <v/>
      </c>
      <c r="BI122" s="13">
        <f>IFERROR(AM122/BD122*(BG122-BASELINE_CPR),0)</f>
        <v/>
      </c>
      <c r="BJ122" s="13">
        <f>IFERROR(AN122/BD122*(BG122-BASELINE_CPR),0)</f>
        <v/>
      </c>
      <c r="BK122" s="13">
        <f>IFERROR(AO122/BD122*(BG122-BASELINE_CPR),0)</f>
        <v/>
      </c>
      <c r="BL122" s="13">
        <f>IFERROR(AP122/BD122*(BG122-BASELINE_CPR),0)</f>
        <v/>
      </c>
      <c r="BM122" s="13">
        <f>IFERROR(AQ122/BD122*(BG122-BASELINE_CPR),0)</f>
        <v/>
      </c>
      <c r="BN122" s="13">
        <f>IFERROR(AR122/BD122*(BG122-BASELINE_CPR),0)</f>
        <v/>
      </c>
      <c r="BO122" s="13">
        <f>IFERROR(AS122/BD122*(BG122-BASELINE_CPR),0)</f>
        <v/>
      </c>
      <c r="BP122" s="13">
        <f>IFERROR(AT122/BD122*(BG122-BASELINE_CPR),0)</f>
        <v/>
      </c>
      <c r="BQ122" s="13">
        <f>IFERROR(AU122/BD122*(BG122-BASELINE_CPR),0)</f>
        <v/>
      </c>
      <c r="BR122" s="13">
        <f>IFERROR(AV122/BD122*(BG122-BASELINE_CPR),0)</f>
        <v/>
      </c>
      <c r="BS122" s="13">
        <f>IFERROR(AW122/BD122*(BG122-BASELINE_CPR),0)</f>
        <v/>
      </c>
      <c r="BT122" s="13">
        <f>IFERROR(AX122/BD122*(BG122-BASELINE_CPR),0)</f>
        <v/>
      </c>
      <c r="BU122" s="13">
        <f>IFERROR(AY122/BD122*(BG122-BASELINE_CPR),0)</f>
        <v/>
      </c>
      <c r="BV122" s="13">
        <f>IFERROR(AZ122/BD122*(BG122-BASELINE_CPR),0)</f>
        <v/>
      </c>
      <c r="BW122" s="13">
        <f>IFERROR(BA122/BD122*(BG122-BASELINE_CPR),0)</f>
        <v/>
      </c>
      <c r="BX122" s="13">
        <f>IFERROR(BB122/BD122*(BG122-BASELINE_CPR),0)</f>
        <v/>
      </c>
      <c r="BY122" s="13">
        <f>IFERROR(BC122/BD122*(BG122-BASELINE_CPR),0)</f>
        <v/>
      </c>
      <c r="BZ122" s="28">
        <f>BASELINE_CPR+SUM(BH122:BY122)-BG122</f>
        <v/>
      </c>
    </row>
    <row r="123">
      <c r="A123" s="2" t="inlineStr">
        <is>
          <t>3618FUEN9_004015247586480</t>
        </is>
      </c>
      <c r="B123" t="inlineStr">
        <is>
          <t>MERCHANTS_POST21</t>
        </is>
      </c>
      <c r="C123" s="2" t="inlineStr">
        <is>
          <t>3618FUEN9</t>
        </is>
      </c>
      <c r="D123" t="inlineStr">
        <is>
          <t>MERCHANTS CAPITAL CORP.</t>
        </is>
      </c>
      <c r="E123" t="inlineStr">
        <is>
          <t>538</t>
        </is>
      </c>
      <c r="F123" t="inlineStr">
        <is>
          <t>538</t>
        </is>
      </c>
      <c r="G123" t="n">
        <v>2023</v>
      </c>
      <c r="H123" t="inlineStr">
        <is>
          <t>202602</t>
        </is>
      </c>
      <c r="I123" s="22" t="n">
        <v>3935901.15</v>
      </c>
      <c r="J123" s="23" t="n">
        <v>5.45</v>
      </c>
      <c r="K123" s="24" t="n">
        <v>447</v>
      </c>
      <c r="L123" s="24" t="n">
        <v>10</v>
      </c>
      <c r="M123" t="n">
        <v>27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s="24">
        <f>J123*100-(K123+(1+L123)*12.5)</f>
        <v/>
      </c>
      <c r="U123">
        <f>O123</f>
        <v/>
      </c>
      <c r="V123">
        <f>M123</f>
        <v/>
      </c>
      <c r="W123" s="23">
        <f>LN(1+I123)</f>
        <v/>
      </c>
      <c r="X123">
        <f>IF(G123&gt;=2021,1,0)</f>
        <v/>
      </c>
      <c r="Y123">
        <f>N123</f>
        <v/>
      </c>
      <c r="Z123" s="23">
        <f>IF(ISNUMBER(M123),N123/MAX(M123,1),0)</f>
        <v/>
      </c>
      <c r="AA123">
        <f>P123</f>
        <v/>
      </c>
      <c r="AB123">
        <f>Q123</f>
        <v/>
      </c>
      <c r="AC123">
        <f>R123</f>
        <v/>
      </c>
      <c r="AD123">
        <f>S123</f>
        <v/>
      </c>
      <c r="AE123">
        <f>IF(ISNUMBER(SEARCH("CAPITAL FUNDING",D123)),1,0)</f>
        <v/>
      </c>
      <c r="AF123">
        <f>IF(ISNUMBER(SEARCH("MERCHANTS",D123)),1,0)</f>
        <v/>
      </c>
      <c r="AG123">
        <f>IF(ISNUMBER(SEARCH("WELLS FARGO",D123)),1,0)</f>
        <v/>
      </c>
      <c r="AH123">
        <f>IF(ISNUMBER(SEARCH("WALKER",D123)),1,0)</f>
        <v/>
      </c>
      <c r="AI123">
        <f>IF(ISNUMBER(SEARCH("PNC",D123)),1,0)</f>
        <v/>
      </c>
      <c r="AJ123">
        <f>IF(ISNUMBER(SEARCH("BERKADIA",D123)),1,0)</f>
        <v/>
      </c>
      <c r="AK123">
        <f>IF(ISNUMBER(SEARCH("DWIGHT",D123)),1,0)</f>
        <v/>
      </c>
      <c r="AL123" s="25">
        <f>T$4*(T123-T$3)</f>
        <v/>
      </c>
      <c r="AM123" s="25">
        <f>U$4*(U123-U$3)</f>
        <v/>
      </c>
      <c r="AN123" s="25">
        <f>V$4*(V123-V$3)</f>
        <v/>
      </c>
      <c r="AO123" s="25">
        <f>W$4*(W123-W$3)</f>
        <v/>
      </c>
      <c r="AP123" s="25">
        <f>X$4*(X123-X$3)</f>
        <v/>
      </c>
      <c r="AQ123" s="25">
        <f>Y$4*(Y123-Y$3)</f>
        <v/>
      </c>
      <c r="AR123" s="25">
        <f>Z$4*(Z123-Z$3)</f>
        <v/>
      </c>
      <c r="AS123" s="25">
        <f>AA$4*(AA123-AA$3)</f>
        <v/>
      </c>
      <c r="AT123" s="25">
        <f>AB$4*(AB123-AB$3)</f>
        <v/>
      </c>
      <c r="AU123" s="25">
        <f>AC$4*(AC123-AC$3)</f>
        <v/>
      </c>
      <c r="AV123" s="25">
        <f>AD$4*(AD123-AD$3)</f>
        <v/>
      </c>
      <c r="AW123" s="25">
        <f>AE$4*(AE123-AE$3)</f>
        <v/>
      </c>
      <c r="AX123" s="25">
        <f>AF$4*(AF123-AF$3)</f>
        <v/>
      </c>
      <c r="AY123" s="25">
        <f>AG$4*(AG123-AG$3)</f>
        <v/>
      </c>
      <c r="AZ123" s="25">
        <f>AH$4*(AH123-AH$3)</f>
        <v/>
      </c>
      <c r="BA123" s="25">
        <f>AI$4*(AI123-AI$3)</f>
        <v/>
      </c>
      <c r="BB123" s="25">
        <f>AJ$4*(AJ123-AJ$3)</f>
        <v/>
      </c>
      <c r="BC123" s="25">
        <f>AK$4*(AK123-AK$3)</f>
        <v/>
      </c>
      <c r="BD123" s="26">
        <f>SUM(AL123:BC123)</f>
        <v/>
      </c>
      <c r="BE123" s="26">
        <f>INTERCEPT_SCALED+BD123</f>
        <v/>
      </c>
      <c r="BF123" s="27">
        <f>1/(1+EXP(-BE123))</f>
        <v/>
      </c>
      <c r="BG123" s="13">
        <f>1-(1-BF123)^12</f>
        <v/>
      </c>
      <c r="BH123" s="13">
        <f>IFERROR(AL123/BD123*(BG123-BASELINE_CPR),0)</f>
        <v/>
      </c>
      <c r="BI123" s="13">
        <f>IFERROR(AM123/BD123*(BG123-BASELINE_CPR),0)</f>
        <v/>
      </c>
      <c r="BJ123" s="13">
        <f>IFERROR(AN123/BD123*(BG123-BASELINE_CPR),0)</f>
        <v/>
      </c>
      <c r="BK123" s="13">
        <f>IFERROR(AO123/BD123*(BG123-BASELINE_CPR),0)</f>
        <v/>
      </c>
      <c r="BL123" s="13">
        <f>IFERROR(AP123/BD123*(BG123-BASELINE_CPR),0)</f>
        <v/>
      </c>
      <c r="BM123" s="13">
        <f>IFERROR(AQ123/BD123*(BG123-BASELINE_CPR),0)</f>
        <v/>
      </c>
      <c r="BN123" s="13">
        <f>IFERROR(AR123/BD123*(BG123-BASELINE_CPR),0)</f>
        <v/>
      </c>
      <c r="BO123" s="13">
        <f>IFERROR(AS123/BD123*(BG123-BASELINE_CPR),0)</f>
        <v/>
      </c>
      <c r="BP123" s="13">
        <f>IFERROR(AT123/BD123*(BG123-BASELINE_CPR),0)</f>
        <v/>
      </c>
      <c r="BQ123" s="13">
        <f>IFERROR(AU123/BD123*(BG123-BASELINE_CPR),0)</f>
        <v/>
      </c>
      <c r="BR123" s="13">
        <f>IFERROR(AV123/BD123*(BG123-BASELINE_CPR),0)</f>
        <v/>
      </c>
      <c r="BS123" s="13">
        <f>IFERROR(AW123/BD123*(BG123-BASELINE_CPR),0)</f>
        <v/>
      </c>
      <c r="BT123" s="13">
        <f>IFERROR(AX123/BD123*(BG123-BASELINE_CPR),0)</f>
        <v/>
      </c>
      <c r="BU123" s="13">
        <f>IFERROR(AY123/BD123*(BG123-BASELINE_CPR),0)</f>
        <v/>
      </c>
      <c r="BV123" s="13">
        <f>IFERROR(AZ123/BD123*(BG123-BASELINE_CPR),0)</f>
        <v/>
      </c>
      <c r="BW123" s="13">
        <f>IFERROR(BA123/BD123*(BG123-BASELINE_CPR),0)</f>
        <v/>
      </c>
      <c r="BX123" s="13">
        <f>IFERROR(BB123/BD123*(BG123-BASELINE_CPR),0)</f>
        <v/>
      </c>
      <c r="BY123" s="13">
        <f>IFERROR(BC123/BD123*(BG123-BASELINE_CPR),0)</f>
        <v/>
      </c>
      <c r="BZ123" s="28">
        <f>BASELINE_CPR+SUM(BH123:BY123)-BG123</f>
        <v/>
      </c>
    </row>
    <row r="124">
      <c r="A124" s="2" t="inlineStr">
        <is>
          <t>3617FTA40_000000007135941</t>
        </is>
      </c>
      <c r="B124" t="inlineStr">
        <is>
          <t>MERCHANTS_POST21</t>
        </is>
      </c>
      <c r="C124" s="2" t="inlineStr">
        <is>
          <t>3617FTA40</t>
        </is>
      </c>
      <c r="D124" t="inlineStr">
        <is>
          <t>MERCHANTS CAPITAL CORP.</t>
        </is>
      </c>
      <c r="E124" t="inlineStr">
        <is>
          <t>221d4</t>
        </is>
      </c>
      <c r="F124" t="inlineStr">
        <is>
          <t>NC</t>
        </is>
      </c>
      <c r="G124" t="n">
        <v>2022</v>
      </c>
      <c r="H124" t="inlineStr">
        <is>
          <t>202602</t>
        </is>
      </c>
      <c r="I124" s="22" t="n">
        <v>5535314.39</v>
      </c>
      <c r="J124" s="23" t="n">
        <v>4</v>
      </c>
      <c r="K124" s="24" t="n">
        <v>447</v>
      </c>
      <c r="L124" s="24" t="n">
        <v>8</v>
      </c>
      <c r="M124" t="n">
        <v>41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s="24">
        <f>J124*100-(K124+(1+L124)*12.5)</f>
        <v/>
      </c>
      <c r="U124">
        <f>O124</f>
        <v/>
      </c>
      <c r="V124">
        <f>M124</f>
        <v/>
      </c>
      <c r="W124" s="23">
        <f>LN(1+I124)</f>
        <v/>
      </c>
      <c r="X124">
        <f>IF(G124&gt;=2021,1,0)</f>
        <v/>
      </c>
      <c r="Y124">
        <f>N124</f>
        <v/>
      </c>
      <c r="Z124" s="23">
        <f>IF(ISNUMBER(M124),N124/MAX(M124,1),0)</f>
        <v/>
      </c>
      <c r="AA124">
        <f>P124</f>
        <v/>
      </c>
      <c r="AB124">
        <f>Q124</f>
        <v/>
      </c>
      <c r="AC124">
        <f>R124</f>
        <v/>
      </c>
      <c r="AD124">
        <f>S124</f>
        <v/>
      </c>
      <c r="AE124">
        <f>IF(ISNUMBER(SEARCH("CAPITAL FUNDING",D124)),1,0)</f>
        <v/>
      </c>
      <c r="AF124">
        <f>IF(ISNUMBER(SEARCH("MERCHANTS",D124)),1,0)</f>
        <v/>
      </c>
      <c r="AG124">
        <f>IF(ISNUMBER(SEARCH("WELLS FARGO",D124)),1,0)</f>
        <v/>
      </c>
      <c r="AH124">
        <f>IF(ISNUMBER(SEARCH("WALKER",D124)),1,0)</f>
        <v/>
      </c>
      <c r="AI124">
        <f>IF(ISNUMBER(SEARCH("PNC",D124)),1,0)</f>
        <v/>
      </c>
      <c r="AJ124">
        <f>IF(ISNUMBER(SEARCH("BERKADIA",D124)),1,0)</f>
        <v/>
      </c>
      <c r="AK124">
        <f>IF(ISNUMBER(SEARCH("DWIGHT",D124)),1,0)</f>
        <v/>
      </c>
      <c r="AL124" s="25">
        <f>T$4*(T124-T$3)</f>
        <v/>
      </c>
      <c r="AM124" s="25">
        <f>U$4*(U124-U$3)</f>
        <v/>
      </c>
      <c r="AN124" s="25">
        <f>V$4*(V124-V$3)</f>
        <v/>
      </c>
      <c r="AO124" s="25">
        <f>W$4*(W124-W$3)</f>
        <v/>
      </c>
      <c r="AP124" s="25">
        <f>X$4*(X124-X$3)</f>
        <v/>
      </c>
      <c r="AQ124" s="25">
        <f>Y$4*(Y124-Y$3)</f>
        <v/>
      </c>
      <c r="AR124" s="25">
        <f>Z$4*(Z124-Z$3)</f>
        <v/>
      </c>
      <c r="AS124" s="25">
        <f>AA$4*(AA124-AA$3)</f>
        <v/>
      </c>
      <c r="AT124" s="25">
        <f>AB$4*(AB124-AB$3)</f>
        <v/>
      </c>
      <c r="AU124" s="25">
        <f>AC$4*(AC124-AC$3)</f>
        <v/>
      </c>
      <c r="AV124" s="25">
        <f>AD$4*(AD124-AD$3)</f>
        <v/>
      </c>
      <c r="AW124" s="25">
        <f>AE$4*(AE124-AE$3)</f>
        <v/>
      </c>
      <c r="AX124" s="25">
        <f>AF$4*(AF124-AF$3)</f>
        <v/>
      </c>
      <c r="AY124" s="25">
        <f>AG$4*(AG124-AG$3)</f>
        <v/>
      </c>
      <c r="AZ124" s="25">
        <f>AH$4*(AH124-AH$3)</f>
        <v/>
      </c>
      <c r="BA124" s="25">
        <f>AI$4*(AI124-AI$3)</f>
        <v/>
      </c>
      <c r="BB124" s="25">
        <f>AJ$4*(AJ124-AJ$3)</f>
        <v/>
      </c>
      <c r="BC124" s="25">
        <f>AK$4*(AK124-AK$3)</f>
        <v/>
      </c>
      <c r="BD124" s="26">
        <f>SUM(AL124:BC124)</f>
        <v/>
      </c>
      <c r="BE124" s="26">
        <f>INTERCEPT_SCALED+BD124</f>
        <v/>
      </c>
      <c r="BF124" s="27">
        <f>1/(1+EXP(-BE124))</f>
        <v/>
      </c>
      <c r="BG124" s="13">
        <f>1-(1-BF124)^12</f>
        <v/>
      </c>
      <c r="BH124" s="13">
        <f>IFERROR(AL124/BD124*(BG124-BASELINE_CPR),0)</f>
        <v/>
      </c>
      <c r="BI124" s="13">
        <f>IFERROR(AM124/BD124*(BG124-BASELINE_CPR),0)</f>
        <v/>
      </c>
      <c r="BJ124" s="13">
        <f>IFERROR(AN124/BD124*(BG124-BASELINE_CPR),0)</f>
        <v/>
      </c>
      <c r="BK124" s="13">
        <f>IFERROR(AO124/BD124*(BG124-BASELINE_CPR),0)</f>
        <v/>
      </c>
      <c r="BL124" s="13">
        <f>IFERROR(AP124/BD124*(BG124-BASELINE_CPR),0)</f>
        <v/>
      </c>
      <c r="BM124" s="13">
        <f>IFERROR(AQ124/BD124*(BG124-BASELINE_CPR),0)</f>
        <v/>
      </c>
      <c r="BN124" s="13">
        <f>IFERROR(AR124/BD124*(BG124-BASELINE_CPR),0)</f>
        <v/>
      </c>
      <c r="BO124" s="13">
        <f>IFERROR(AS124/BD124*(BG124-BASELINE_CPR),0)</f>
        <v/>
      </c>
      <c r="BP124" s="13">
        <f>IFERROR(AT124/BD124*(BG124-BASELINE_CPR),0)</f>
        <v/>
      </c>
      <c r="BQ124" s="13">
        <f>IFERROR(AU124/BD124*(BG124-BASELINE_CPR),0)</f>
        <v/>
      </c>
      <c r="BR124" s="13">
        <f>IFERROR(AV124/BD124*(BG124-BASELINE_CPR),0)</f>
        <v/>
      </c>
      <c r="BS124" s="13">
        <f>IFERROR(AW124/BD124*(BG124-BASELINE_CPR),0)</f>
        <v/>
      </c>
      <c r="BT124" s="13">
        <f>IFERROR(AX124/BD124*(BG124-BASELINE_CPR),0)</f>
        <v/>
      </c>
      <c r="BU124" s="13">
        <f>IFERROR(AY124/BD124*(BG124-BASELINE_CPR),0)</f>
        <v/>
      </c>
      <c r="BV124" s="13">
        <f>IFERROR(AZ124/BD124*(BG124-BASELINE_CPR),0)</f>
        <v/>
      </c>
      <c r="BW124" s="13">
        <f>IFERROR(BA124/BD124*(BG124-BASELINE_CPR),0)</f>
        <v/>
      </c>
      <c r="BX124" s="13">
        <f>IFERROR(BB124/BD124*(BG124-BASELINE_CPR),0)</f>
        <v/>
      </c>
      <c r="BY124" s="13">
        <f>IFERROR(BC124/BD124*(BG124-BASELINE_CPR),0)</f>
        <v/>
      </c>
      <c r="BZ124" s="28">
        <f>BASELINE_CPR+SUM(BH124:BY124)-BG124</f>
        <v/>
      </c>
    </row>
    <row r="125">
      <c r="A125" s="2" t="inlineStr">
        <is>
          <t>3618GPF40_000000012222294</t>
        </is>
      </c>
      <c r="B125" t="inlineStr">
        <is>
          <t>MERCHANTS_POST21</t>
        </is>
      </c>
      <c r="C125" s="2" t="inlineStr">
        <is>
          <t>3618GPF40</t>
        </is>
      </c>
      <c r="D125" t="inlineStr">
        <is>
          <t>MERCHANTS CAPITAL CORP.</t>
        </is>
      </c>
      <c r="E125" t="inlineStr">
        <is>
          <t>232</t>
        </is>
      </c>
      <c r="F125" t="inlineStr">
        <is>
          <t>RP</t>
        </is>
      </c>
      <c r="G125" t="n">
        <v>2024</v>
      </c>
      <c r="H125" t="inlineStr">
        <is>
          <t>202602</t>
        </is>
      </c>
      <c r="I125" s="22" t="n">
        <v>36786426.13</v>
      </c>
      <c r="J125" s="23" t="n">
        <v>5.75</v>
      </c>
      <c r="K125" s="24" t="n">
        <v>447</v>
      </c>
      <c r="L125" s="24" t="n">
        <v>9</v>
      </c>
      <c r="M125" t="n">
        <v>21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s="24">
        <f>J125*100-(K125+(1+L125)*12.5)</f>
        <v/>
      </c>
      <c r="U125">
        <f>O125</f>
        <v/>
      </c>
      <c r="V125">
        <f>M125</f>
        <v/>
      </c>
      <c r="W125" s="23">
        <f>LN(1+I125)</f>
        <v/>
      </c>
      <c r="X125">
        <f>IF(G125&gt;=2021,1,0)</f>
        <v/>
      </c>
      <c r="Y125">
        <f>N125</f>
        <v/>
      </c>
      <c r="Z125" s="23">
        <f>IF(ISNUMBER(M125),N125/MAX(M125,1),0)</f>
        <v/>
      </c>
      <c r="AA125">
        <f>P125</f>
        <v/>
      </c>
      <c r="AB125">
        <f>Q125</f>
        <v/>
      </c>
      <c r="AC125">
        <f>R125</f>
        <v/>
      </c>
      <c r="AD125">
        <f>S125</f>
        <v/>
      </c>
      <c r="AE125">
        <f>IF(ISNUMBER(SEARCH("CAPITAL FUNDING",D125)),1,0)</f>
        <v/>
      </c>
      <c r="AF125">
        <f>IF(ISNUMBER(SEARCH("MERCHANTS",D125)),1,0)</f>
        <v/>
      </c>
      <c r="AG125">
        <f>IF(ISNUMBER(SEARCH("WELLS FARGO",D125)),1,0)</f>
        <v/>
      </c>
      <c r="AH125">
        <f>IF(ISNUMBER(SEARCH("WALKER",D125)),1,0)</f>
        <v/>
      </c>
      <c r="AI125">
        <f>IF(ISNUMBER(SEARCH("PNC",D125)),1,0)</f>
        <v/>
      </c>
      <c r="AJ125">
        <f>IF(ISNUMBER(SEARCH("BERKADIA",D125)),1,0)</f>
        <v/>
      </c>
      <c r="AK125">
        <f>IF(ISNUMBER(SEARCH("DWIGHT",D125)),1,0)</f>
        <v/>
      </c>
      <c r="AL125" s="25">
        <f>T$4*(T125-T$3)</f>
        <v/>
      </c>
      <c r="AM125" s="25">
        <f>U$4*(U125-U$3)</f>
        <v/>
      </c>
      <c r="AN125" s="25">
        <f>V$4*(V125-V$3)</f>
        <v/>
      </c>
      <c r="AO125" s="25">
        <f>W$4*(W125-W$3)</f>
        <v/>
      </c>
      <c r="AP125" s="25">
        <f>X$4*(X125-X$3)</f>
        <v/>
      </c>
      <c r="AQ125" s="25">
        <f>Y$4*(Y125-Y$3)</f>
        <v/>
      </c>
      <c r="AR125" s="25">
        <f>Z$4*(Z125-Z$3)</f>
        <v/>
      </c>
      <c r="AS125" s="25">
        <f>AA$4*(AA125-AA$3)</f>
        <v/>
      </c>
      <c r="AT125" s="25">
        <f>AB$4*(AB125-AB$3)</f>
        <v/>
      </c>
      <c r="AU125" s="25">
        <f>AC$4*(AC125-AC$3)</f>
        <v/>
      </c>
      <c r="AV125" s="25">
        <f>AD$4*(AD125-AD$3)</f>
        <v/>
      </c>
      <c r="AW125" s="25">
        <f>AE$4*(AE125-AE$3)</f>
        <v/>
      </c>
      <c r="AX125" s="25">
        <f>AF$4*(AF125-AF$3)</f>
        <v/>
      </c>
      <c r="AY125" s="25">
        <f>AG$4*(AG125-AG$3)</f>
        <v/>
      </c>
      <c r="AZ125" s="25">
        <f>AH$4*(AH125-AH$3)</f>
        <v/>
      </c>
      <c r="BA125" s="25">
        <f>AI$4*(AI125-AI$3)</f>
        <v/>
      </c>
      <c r="BB125" s="25">
        <f>AJ$4*(AJ125-AJ$3)</f>
        <v/>
      </c>
      <c r="BC125" s="25">
        <f>AK$4*(AK125-AK$3)</f>
        <v/>
      </c>
      <c r="BD125" s="26">
        <f>SUM(AL125:BC125)</f>
        <v/>
      </c>
      <c r="BE125" s="26">
        <f>INTERCEPT_SCALED+BD125</f>
        <v/>
      </c>
      <c r="BF125" s="27">
        <f>1/(1+EXP(-BE125))</f>
        <v/>
      </c>
      <c r="BG125" s="13">
        <f>1-(1-BF125)^12</f>
        <v/>
      </c>
      <c r="BH125" s="13">
        <f>IFERROR(AL125/BD125*(BG125-BASELINE_CPR),0)</f>
        <v/>
      </c>
      <c r="BI125" s="13">
        <f>IFERROR(AM125/BD125*(BG125-BASELINE_CPR),0)</f>
        <v/>
      </c>
      <c r="BJ125" s="13">
        <f>IFERROR(AN125/BD125*(BG125-BASELINE_CPR),0)</f>
        <v/>
      </c>
      <c r="BK125" s="13">
        <f>IFERROR(AO125/BD125*(BG125-BASELINE_CPR),0)</f>
        <v/>
      </c>
      <c r="BL125" s="13">
        <f>IFERROR(AP125/BD125*(BG125-BASELINE_CPR),0)</f>
        <v/>
      </c>
      <c r="BM125" s="13">
        <f>IFERROR(AQ125/BD125*(BG125-BASELINE_CPR),0)</f>
        <v/>
      </c>
      <c r="BN125" s="13">
        <f>IFERROR(AR125/BD125*(BG125-BASELINE_CPR),0)</f>
        <v/>
      </c>
      <c r="BO125" s="13">
        <f>IFERROR(AS125/BD125*(BG125-BASELINE_CPR),0)</f>
        <v/>
      </c>
      <c r="BP125" s="13">
        <f>IFERROR(AT125/BD125*(BG125-BASELINE_CPR),0)</f>
        <v/>
      </c>
      <c r="BQ125" s="13">
        <f>IFERROR(AU125/BD125*(BG125-BASELINE_CPR),0)</f>
        <v/>
      </c>
      <c r="BR125" s="13">
        <f>IFERROR(AV125/BD125*(BG125-BASELINE_CPR),0)</f>
        <v/>
      </c>
      <c r="BS125" s="13">
        <f>IFERROR(AW125/BD125*(BG125-BASELINE_CPR),0)</f>
        <v/>
      </c>
      <c r="BT125" s="13">
        <f>IFERROR(AX125/BD125*(BG125-BASELINE_CPR),0)</f>
        <v/>
      </c>
      <c r="BU125" s="13">
        <f>IFERROR(AY125/BD125*(BG125-BASELINE_CPR),0)</f>
        <v/>
      </c>
      <c r="BV125" s="13">
        <f>IFERROR(AZ125/BD125*(BG125-BASELINE_CPR),0)</f>
        <v/>
      </c>
      <c r="BW125" s="13">
        <f>IFERROR(BA125/BD125*(BG125-BASELINE_CPR),0)</f>
        <v/>
      </c>
      <c r="BX125" s="13">
        <f>IFERROR(BB125/BD125*(BG125-BASELINE_CPR),0)</f>
        <v/>
      </c>
      <c r="BY125" s="13">
        <f>IFERROR(BC125/BD125*(BG125-BASELINE_CPR),0)</f>
        <v/>
      </c>
      <c r="BZ125" s="28">
        <f>BASELINE_CPR+SUM(BH125:BY125)-BG125</f>
        <v/>
      </c>
    </row>
    <row r="126">
      <c r="A126" s="2" t="inlineStr">
        <is>
          <t>3617UDHL3_000000007335768</t>
        </is>
      </c>
      <c r="B126" t="inlineStr">
        <is>
          <t>MERCHANTS_PRE21</t>
        </is>
      </c>
      <c r="C126" s="2" t="inlineStr">
        <is>
          <t>3617UDHL3</t>
        </is>
      </c>
      <c r="D126" t="inlineStr">
        <is>
          <t>MERCHANTS CAPITAL CORP.</t>
        </is>
      </c>
      <c r="E126" t="inlineStr">
        <is>
          <t>221d4</t>
        </is>
      </c>
      <c r="F126" t="inlineStr">
        <is>
          <t>NC</t>
        </is>
      </c>
      <c r="G126" t="n">
        <v>2012</v>
      </c>
      <c r="H126" t="inlineStr">
        <is>
          <t>202602</t>
        </is>
      </c>
      <c r="I126" s="22" t="n">
        <v>18301336.04</v>
      </c>
      <c r="J126" s="23" t="n">
        <v>2.37</v>
      </c>
      <c r="K126" s="24" t="n">
        <v>447</v>
      </c>
      <c r="L126" s="24" t="n">
        <v>6</v>
      </c>
      <c r="M126" t="n">
        <v>158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s="24">
        <f>J126*100-(K126+(1+L126)*12.5)</f>
        <v/>
      </c>
      <c r="U126">
        <f>O126</f>
        <v/>
      </c>
      <c r="V126">
        <f>M126</f>
        <v/>
      </c>
      <c r="W126" s="23">
        <f>LN(1+I126)</f>
        <v/>
      </c>
      <c r="X126">
        <f>IF(G126&gt;=2021,1,0)</f>
        <v/>
      </c>
      <c r="Y126">
        <f>N126</f>
        <v/>
      </c>
      <c r="Z126" s="23">
        <f>IF(ISNUMBER(M126),N126/MAX(M126,1),0)</f>
        <v/>
      </c>
      <c r="AA126">
        <f>P126</f>
        <v/>
      </c>
      <c r="AB126">
        <f>Q126</f>
        <v/>
      </c>
      <c r="AC126">
        <f>R126</f>
        <v/>
      </c>
      <c r="AD126">
        <f>S126</f>
        <v/>
      </c>
      <c r="AE126">
        <f>IF(ISNUMBER(SEARCH("CAPITAL FUNDING",D126)),1,0)</f>
        <v/>
      </c>
      <c r="AF126">
        <f>IF(ISNUMBER(SEARCH("MERCHANTS",D126)),1,0)</f>
        <v/>
      </c>
      <c r="AG126">
        <f>IF(ISNUMBER(SEARCH("WELLS FARGO",D126)),1,0)</f>
        <v/>
      </c>
      <c r="AH126">
        <f>IF(ISNUMBER(SEARCH("WALKER",D126)),1,0)</f>
        <v/>
      </c>
      <c r="AI126">
        <f>IF(ISNUMBER(SEARCH("PNC",D126)),1,0)</f>
        <v/>
      </c>
      <c r="AJ126">
        <f>IF(ISNUMBER(SEARCH("BERKADIA",D126)),1,0)</f>
        <v/>
      </c>
      <c r="AK126">
        <f>IF(ISNUMBER(SEARCH("DWIGHT",D126)),1,0)</f>
        <v/>
      </c>
      <c r="AL126" s="25">
        <f>T$4*(T126-T$3)</f>
        <v/>
      </c>
      <c r="AM126" s="25">
        <f>U$4*(U126-U$3)</f>
        <v/>
      </c>
      <c r="AN126" s="25">
        <f>V$4*(V126-V$3)</f>
        <v/>
      </c>
      <c r="AO126" s="25">
        <f>W$4*(W126-W$3)</f>
        <v/>
      </c>
      <c r="AP126" s="25">
        <f>X$4*(X126-X$3)</f>
        <v/>
      </c>
      <c r="AQ126" s="25">
        <f>Y$4*(Y126-Y$3)</f>
        <v/>
      </c>
      <c r="AR126" s="25">
        <f>Z$4*(Z126-Z$3)</f>
        <v/>
      </c>
      <c r="AS126" s="25">
        <f>AA$4*(AA126-AA$3)</f>
        <v/>
      </c>
      <c r="AT126" s="25">
        <f>AB$4*(AB126-AB$3)</f>
        <v/>
      </c>
      <c r="AU126" s="25">
        <f>AC$4*(AC126-AC$3)</f>
        <v/>
      </c>
      <c r="AV126" s="25">
        <f>AD$4*(AD126-AD$3)</f>
        <v/>
      </c>
      <c r="AW126" s="25">
        <f>AE$4*(AE126-AE$3)</f>
        <v/>
      </c>
      <c r="AX126" s="25">
        <f>AF$4*(AF126-AF$3)</f>
        <v/>
      </c>
      <c r="AY126" s="25">
        <f>AG$4*(AG126-AG$3)</f>
        <v/>
      </c>
      <c r="AZ126" s="25">
        <f>AH$4*(AH126-AH$3)</f>
        <v/>
      </c>
      <c r="BA126" s="25">
        <f>AI$4*(AI126-AI$3)</f>
        <v/>
      </c>
      <c r="BB126" s="25">
        <f>AJ$4*(AJ126-AJ$3)</f>
        <v/>
      </c>
      <c r="BC126" s="25">
        <f>AK$4*(AK126-AK$3)</f>
        <v/>
      </c>
      <c r="BD126" s="26">
        <f>SUM(AL126:BC126)</f>
        <v/>
      </c>
      <c r="BE126" s="26">
        <f>INTERCEPT_SCALED+BD126</f>
        <v/>
      </c>
      <c r="BF126" s="27">
        <f>1/(1+EXP(-BE126))</f>
        <v/>
      </c>
      <c r="BG126" s="13">
        <f>1-(1-BF126)^12</f>
        <v/>
      </c>
      <c r="BH126" s="13">
        <f>IFERROR(AL126/BD126*(BG126-BASELINE_CPR),0)</f>
        <v/>
      </c>
      <c r="BI126" s="13">
        <f>IFERROR(AM126/BD126*(BG126-BASELINE_CPR),0)</f>
        <v/>
      </c>
      <c r="BJ126" s="13">
        <f>IFERROR(AN126/BD126*(BG126-BASELINE_CPR),0)</f>
        <v/>
      </c>
      <c r="BK126" s="13">
        <f>IFERROR(AO126/BD126*(BG126-BASELINE_CPR),0)</f>
        <v/>
      </c>
      <c r="BL126" s="13">
        <f>IFERROR(AP126/BD126*(BG126-BASELINE_CPR),0)</f>
        <v/>
      </c>
      <c r="BM126" s="13">
        <f>IFERROR(AQ126/BD126*(BG126-BASELINE_CPR),0)</f>
        <v/>
      </c>
      <c r="BN126" s="13">
        <f>IFERROR(AR126/BD126*(BG126-BASELINE_CPR),0)</f>
        <v/>
      </c>
      <c r="BO126" s="13">
        <f>IFERROR(AS126/BD126*(BG126-BASELINE_CPR),0)</f>
        <v/>
      </c>
      <c r="BP126" s="13">
        <f>IFERROR(AT126/BD126*(BG126-BASELINE_CPR),0)</f>
        <v/>
      </c>
      <c r="BQ126" s="13">
        <f>IFERROR(AU126/BD126*(BG126-BASELINE_CPR),0)</f>
        <v/>
      </c>
      <c r="BR126" s="13">
        <f>IFERROR(AV126/BD126*(BG126-BASELINE_CPR),0)</f>
        <v/>
      </c>
      <c r="BS126" s="13">
        <f>IFERROR(AW126/BD126*(BG126-BASELINE_CPR),0)</f>
        <v/>
      </c>
      <c r="BT126" s="13">
        <f>IFERROR(AX126/BD126*(BG126-BASELINE_CPR),0)</f>
        <v/>
      </c>
      <c r="BU126" s="13">
        <f>IFERROR(AY126/BD126*(BG126-BASELINE_CPR),0)</f>
        <v/>
      </c>
      <c r="BV126" s="13">
        <f>IFERROR(AZ126/BD126*(BG126-BASELINE_CPR),0)</f>
        <v/>
      </c>
      <c r="BW126" s="13">
        <f>IFERROR(BA126/BD126*(BG126-BASELINE_CPR),0)</f>
        <v/>
      </c>
      <c r="BX126" s="13">
        <f>IFERROR(BB126/BD126*(BG126-BASELINE_CPR),0)</f>
        <v/>
      </c>
      <c r="BY126" s="13">
        <f>IFERROR(BC126/BD126*(BG126-BASELINE_CPR),0)</f>
        <v/>
      </c>
      <c r="BZ126" s="28">
        <f>BASELINE_CPR+SUM(BH126:BY126)-BG126</f>
        <v/>
      </c>
    </row>
    <row r="127">
      <c r="A127" s="2" t="inlineStr">
        <is>
          <t>3617K16M0_038012645395099</t>
        </is>
      </c>
      <c r="B127" t="inlineStr">
        <is>
          <t>MERCHANTS_PRE21</t>
        </is>
      </c>
      <c r="C127" s="2" t="inlineStr">
        <is>
          <t>3617K16M0</t>
        </is>
      </c>
      <c r="D127" t="inlineStr">
        <is>
          <t>MERCHANTS CAPITAL CORP.</t>
        </is>
      </c>
      <c r="E127" t="inlineStr">
        <is>
          <t>538</t>
        </is>
      </c>
      <c r="F127" t="inlineStr">
        <is>
          <t>538</t>
        </is>
      </c>
      <c r="G127" t="n">
        <v>2019</v>
      </c>
      <c r="H127" t="inlineStr">
        <is>
          <t>202602</t>
        </is>
      </c>
      <c r="I127" s="22" t="n">
        <v>1122425.57</v>
      </c>
      <c r="J127" s="23" t="n">
        <v>4.55</v>
      </c>
      <c r="K127" s="24" t="n">
        <v>447</v>
      </c>
      <c r="L127" s="24" t="n">
        <v>6</v>
      </c>
      <c r="M127" t="n">
        <v>82</v>
      </c>
      <c r="N127" t="n">
        <v>13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s="24">
        <f>J127*100-(K127+(1+L127)*12.5)</f>
        <v/>
      </c>
      <c r="U127">
        <f>O127</f>
        <v/>
      </c>
      <c r="V127">
        <f>M127</f>
        <v/>
      </c>
      <c r="W127" s="23">
        <f>LN(1+I127)</f>
        <v/>
      </c>
      <c r="X127">
        <f>IF(G127&gt;=2021,1,0)</f>
        <v/>
      </c>
      <c r="Y127">
        <f>N127</f>
        <v/>
      </c>
      <c r="Z127" s="23">
        <f>IF(ISNUMBER(M127),N127/MAX(M127,1),0)</f>
        <v/>
      </c>
      <c r="AA127">
        <f>P127</f>
        <v/>
      </c>
      <c r="AB127">
        <f>Q127</f>
        <v/>
      </c>
      <c r="AC127">
        <f>R127</f>
        <v/>
      </c>
      <c r="AD127">
        <f>S127</f>
        <v/>
      </c>
      <c r="AE127">
        <f>IF(ISNUMBER(SEARCH("CAPITAL FUNDING",D127)),1,0)</f>
        <v/>
      </c>
      <c r="AF127">
        <f>IF(ISNUMBER(SEARCH("MERCHANTS",D127)),1,0)</f>
        <v/>
      </c>
      <c r="AG127">
        <f>IF(ISNUMBER(SEARCH("WELLS FARGO",D127)),1,0)</f>
        <v/>
      </c>
      <c r="AH127">
        <f>IF(ISNUMBER(SEARCH("WALKER",D127)),1,0)</f>
        <v/>
      </c>
      <c r="AI127">
        <f>IF(ISNUMBER(SEARCH("PNC",D127)),1,0)</f>
        <v/>
      </c>
      <c r="AJ127">
        <f>IF(ISNUMBER(SEARCH("BERKADIA",D127)),1,0)</f>
        <v/>
      </c>
      <c r="AK127">
        <f>IF(ISNUMBER(SEARCH("DWIGHT",D127)),1,0)</f>
        <v/>
      </c>
      <c r="AL127" s="25">
        <f>T$4*(T127-T$3)</f>
        <v/>
      </c>
      <c r="AM127" s="25">
        <f>U$4*(U127-U$3)</f>
        <v/>
      </c>
      <c r="AN127" s="25">
        <f>V$4*(V127-V$3)</f>
        <v/>
      </c>
      <c r="AO127" s="25">
        <f>W$4*(W127-W$3)</f>
        <v/>
      </c>
      <c r="AP127" s="25">
        <f>X$4*(X127-X$3)</f>
        <v/>
      </c>
      <c r="AQ127" s="25">
        <f>Y$4*(Y127-Y$3)</f>
        <v/>
      </c>
      <c r="AR127" s="25">
        <f>Z$4*(Z127-Z$3)</f>
        <v/>
      </c>
      <c r="AS127" s="25">
        <f>AA$4*(AA127-AA$3)</f>
        <v/>
      </c>
      <c r="AT127" s="25">
        <f>AB$4*(AB127-AB$3)</f>
        <v/>
      </c>
      <c r="AU127" s="25">
        <f>AC$4*(AC127-AC$3)</f>
        <v/>
      </c>
      <c r="AV127" s="25">
        <f>AD$4*(AD127-AD$3)</f>
        <v/>
      </c>
      <c r="AW127" s="25">
        <f>AE$4*(AE127-AE$3)</f>
        <v/>
      </c>
      <c r="AX127" s="25">
        <f>AF$4*(AF127-AF$3)</f>
        <v/>
      </c>
      <c r="AY127" s="25">
        <f>AG$4*(AG127-AG$3)</f>
        <v/>
      </c>
      <c r="AZ127" s="25">
        <f>AH$4*(AH127-AH$3)</f>
        <v/>
      </c>
      <c r="BA127" s="25">
        <f>AI$4*(AI127-AI$3)</f>
        <v/>
      </c>
      <c r="BB127" s="25">
        <f>AJ$4*(AJ127-AJ$3)</f>
        <v/>
      </c>
      <c r="BC127" s="25">
        <f>AK$4*(AK127-AK$3)</f>
        <v/>
      </c>
      <c r="BD127" s="26">
        <f>SUM(AL127:BC127)</f>
        <v/>
      </c>
      <c r="BE127" s="26">
        <f>INTERCEPT_SCALED+BD127</f>
        <v/>
      </c>
      <c r="BF127" s="27">
        <f>1/(1+EXP(-BE127))</f>
        <v/>
      </c>
      <c r="BG127" s="13">
        <f>1-(1-BF127)^12</f>
        <v/>
      </c>
      <c r="BH127" s="13">
        <f>IFERROR(AL127/BD127*(BG127-BASELINE_CPR),0)</f>
        <v/>
      </c>
      <c r="BI127" s="13">
        <f>IFERROR(AM127/BD127*(BG127-BASELINE_CPR),0)</f>
        <v/>
      </c>
      <c r="BJ127" s="13">
        <f>IFERROR(AN127/BD127*(BG127-BASELINE_CPR),0)</f>
        <v/>
      </c>
      <c r="BK127" s="13">
        <f>IFERROR(AO127/BD127*(BG127-BASELINE_CPR),0)</f>
        <v/>
      </c>
      <c r="BL127" s="13">
        <f>IFERROR(AP127/BD127*(BG127-BASELINE_CPR),0)</f>
        <v/>
      </c>
      <c r="BM127" s="13">
        <f>IFERROR(AQ127/BD127*(BG127-BASELINE_CPR),0)</f>
        <v/>
      </c>
      <c r="BN127" s="13">
        <f>IFERROR(AR127/BD127*(BG127-BASELINE_CPR),0)</f>
        <v/>
      </c>
      <c r="BO127" s="13">
        <f>IFERROR(AS127/BD127*(BG127-BASELINE_CPR),0)</f>
        <v/>
      </c>
      <c r="BP127" s="13">
        <f>IFERROR(AT127/BD127*(BG127-BASELINE_CPR),0)</f>
        <v/>
      </c>
      <c r="BQ127" s="13">
        <f>IFERROR(AU127/BD127*(BG127-BASELINE_CPR),0)</f>
        <v/>
      </c>
      <c r="BR127" s="13">
        <f>IFERROR(AV127/BD127*(BG127-BASELINE_CPR),0)</f>
        <v/>
      </c>
      <c r="BS127" s="13">
        <f>IFERROR(AW127/BD127*(BG127-BASELINE_CPR),0)</f>
        <v/>
      </c>
      <c r="BT127" s="13">
        <f>IFERROR(AX127/BD127*(BG127-BASELINE_CPR),0)</f>
        <v/>
      </c>
      <c r="BU127" s="13">
        <f>IFERROR(AY127/BD127*(BG127-BASELINE_CPR),0)</f>
        <v/>
      </c>
      <c r="BV127" s="13">
        <f>IFERROR(AZ127/BD127*(BG127-BASELINE_CPR),0)</f>
        <v/>
      </c>
      <c r="BW127" s="13">
        <f>IFERROR(BA127/BD127*(BG127-BASELINE_CPR),0)</f>
        <v/>
      </c>
      <c r="BX127" s="13">
        <f>IFERROR(BB127/BD127*(BG127-BASELINE_CPR),0)</f>
        <v/>
      </c>
      <c r="BY127" s="13">
        <f>IFERROR(BC127/BD127*(BG127-BASELINE_CPR),0)</f>
        <v/>
      </c>
      <c r="BZ127" s="28">
        <f>BASELINE_CPR+SUM(BH127:BY127)-BG127</f>
        <v/>
      </c>
    </row>
    <row r="128">
      <c r="A128" s="2" t="inlineStr">
        <is>
          <t>3617KG2Y5_000000007311982</t>
        </is>
      </c>
      <c r="B128" t="inlineStr">
        <is>
          <t>MERCHANTS_PRE21</t>
        </is>
      </c>
      <c r="C128" s="2" t="inlineStr">
        <is>
          <t>3617KG2Y5</t>
        </is>
      </c>
      <c r="D128" t="inlineStr">
        <is>
          <t>MERCHANTS CAPITAL SERVICING LLC</t>
        </is>
      </c>
      <c r="E128" t="inlineStr">
        <is>
          <t>223f</t>
        </is>
      </c>
      <c r="F128" t="inlineStr">
        <is>
          <t>RP</t>
        </is>
      </c>
      <c r="G128" t="n">
        <v>2020</v>
      </c>
      <c r="H128" t="inlineStr">
        <is>
          <t>202602</t>
        </is>
      </c>
      <c r="I128" s="22" t="n">
        <v>14899055.27</v>
      </c>
      <c r="J128" s="23" t="n">
        <v>3</v>
      </c>
      <c r="K128" s="24" t="n">
        <v>447</v>
      </c>
      <c r="L128" s="24" t="n">
        <v>5</v>
      </c>
      <c r="M128" t="n">
        <v>72</v>
      </c>
      <c r="N128" t="n">
        <v>9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s="24">
        <f>J128*100-(K128+(1+L128)*12.5)</f>
        <v/>
      </c>
      <c r="U128">
        <f>O128</f>
        <v/>
      </c>
      <c r="V128">
        <f>M128</f>
        <v/>
      </c>
      <c r="W128" s="23">
        <f>LN(1+I128)</f>
        <v/>
      </c>
      <c r="X128">
        <f>IF(G128&gt;=2021,1,0)</f>
        <v/>
      </c>
      <c r="Y128">
        <f>N128</f>
        <v/>
      </c>
      <c r="Z128" s="23">
        <f>IF(ISNUMBER(M128),N128/MAX(M128,1),0)</f>
        <v/>
      </c>
      <c r="AA128">
        <f>P128</f>
        <v/>
      </c>
      <c r="AB128">
        <f>Q128</f>
        <v/>
      </c>
      <c r="AC128">
        <f>R128</f>
        <v/>
      </c>
      <c r="AD128">
        <f>S128</f>
        <v/>
      </c>
      <c r="AE128">
        <f>IF(ISNUMBER(SEARCH("CAPITAL FUNDING",D128)),1,0)</f>
        <v/>
      </c>
      <c r="AF128">
        <f>IF(ISNUMBER(SEARCH("MERCHANTS",D128)),1,0)</f>
        <v/>
      </c>
      <c r="AG128">
        <f>IF(ISNUMBER(SEARCH("WELLS FARGO",D128)),1,0)</f>
        <v/>
      </c>
      <c r="AH128">
        <f>IF(ISNUMBER(SEARCH("WALKER",D128)),1,0)</f>
        <v/>
      </c>
      <c r="AI128">
        <f>IF(ISNUMBER(SEARCH("PNC",D128)),1,0)</f>
        <v/>
      </c>
      <c r="AJ128">
        <f>IF(ISNUMBER(SEARCH("BERKADIA",D128)),1,0)</f>
        <v/>
      </c>
      <c r="AK128">
        <f>IF(ISNUMBER(SEARCH("DWIGHT",D128)),1,0)</f>
        <v/>
      </c>
      <c r="AL128" s="25">
        <f>T$4*(T128-T$3)</f>
        <v/>
      </c>
      <c r="AM128" s="25">
        <f>U$4*(U128-U$3)</f>
        <v/>
      </c>
      <c r="AN128" s="25">
        <f>V$4*(V128-V$3)</f>
        <v/>
      </c>
      <c r="AO128" s="25">
        <f>W$4*(W128-W$3)</f>
        <v/>
      </c>
      <c r="AP128" s="25">
        <f>X$4*(X128-X$3)</f>
        <v/>
      </c>
      <c r="AQ128" s="25">
        <f>Y$4*(Y128-Y$3)</f>
        <v/>
      </c>
      <c r="AR128" s="25">
        <f>Z$4*(Z128-Z$3)</f>
        <v/>
      </c>
      <c r="AS128" s="25">
        <f>AA$4*(AA128-AA$3)</f>
        <v/>
      </c>
      <c r="AT128" s="25">
        <f>AB$4*(AB128-AB$3)</f>
        <v/>
      </c>
      <c r="AU128" s="25">
        <f>AC$4*(AC128-AC$3)</f>
        <v/>
      </c>
      <c r="AV128" s="25">
        <f>AD$4*(AD128-AD$3)</f>
        <v/>
      </c>
      <c r="AW128" s="25">
        <f>AE$4*(AE128-AE$3)</f>
        <v/>
      </c>
      <c r="AX128" s="25">
        <f>AF$4*(AF128-AF$3)</f>
        <v/>
      </c>
      <c r="AY128" s="25">
        <f>AG$4*(AG128-AG$3)</f>
        <v/>
      </c>
      <c r="AZ128" s="25">
        <f>AH$4*(AH128-AH$3)</f>
        <v/>
      </c>
      <c r="BA128" s="25">
        <f>AI$4*(AI128-AI$3)</f>
        <v/>
      </c>
      <c r="BB128" s="25">
        <f>AJ$4*(AJ128-AJ$3)</f>
        <v/>
      </c>
      <c r="BC128" s="25">
        <f>AK$4*(AK128-AK$3)</f>
        <v/>
      </c>
      <c r="BD128" s="26">
        <f>SUM(AL128:BC128)</f>
        <v/>
      </c>
      <c r="BE128" s="26">
        <f>INTERCEPT_SCALED+BD128</f>
        <v/>
      </c>
      <c r="BF128" s="27">
        <f>1/(1+EXP(-BE128))</f>
        <v/>
      </c>
      <c r="BG128" s="13">
        <f>1-(1-BF128)^12</f>
        <v/>
      </c>
      <c r="BH128" s="13">
        <f>IFERROR(AL128/BD128*(BG128-BASELINE_CPR),0)</f>
        <v/>
      </c>
      <c r="BI128" s="13">
        <f>IFERROR(AM128/BD128*(BG128-BASELINE_CPR),0)</f>
        <v/>
      </c>
      <c r="BJ128" s="13">
        <f>IFERROR(AN128/BD128*(BG128-BASELINE_CPR),0)</f>
        <v/>
      </c>
      <c r="BK128" s="13">
        <f>IFERROR(AO128/BD128*(BG128-BASELINE_CPR),0)</f>
        <v/>
      </c>
      <c r="BL128" s="13">
        <f>IFERROR(AP128/BD128*(BG128-BASELINE_CPR),0)</f>
        <v/>
      </c>
      <c r="BM128" s="13">
        <f>IFERROR(AQ128/BD128*(BG128-BASELINE_CPR),0)</f>
        <v/>
      </c>
      <c r="BN128" s="13">
        <f>IFERROR(AR128/BD128*(BG128-BASELINE_CPR),0)</f>
        <v/>
      </c>
      <c r="BO128" s="13">
        <f>IFERROR(AS128/BD128*(BG128-BASELINE_CPR),0)</f>
        <v/>
      </c>
      <c r="BP128" s="13">
        <f>IFERROR(AT128/BD128*(BG128-BASELINE_CPR),0)</f>
        <v/>
      </c>
      <c r="BQ128" s="13">
        <f>IFERROR(AU128/BD128*(BG128-BASELINE_CPR),0)</f>
        <v/>
      </c>
      <c r="BR128" s="13">
        <f>IFERROR(AV128/BD128*(BG128-BASELINE_CPR),0)</f>
        <v/>
      </c>
      <c r="BS128" s="13">
        <f>IFERROR(AW128/BD128*(BG128-BASELINE_CPR),0)</f>
        <v/>
      </c>
      <c r="BT128" s="13">
        <f>IFERROR(AX128/BD128*(BG128-BASELINE_CPR),0)</f>
        <v/>
      </c>
      <c r="BU128" s="13">
        <f>IFERROR(AY128/BD128*(BG128-BASELINE_CPR),0)</f>
        <v/>
      </c>
      <c r="BV128" s="13">
        <f>IFERROR(AZ128/BD128*(BG128-BASELINE_CPR),0)</f>
        <v/>
      </c>
      <c r="BW128" s="13">
        <f>IFERROR(BA128/BD128*(BG128-BASELINE_CPR),0)</f>
        <v/>
      </c>
      <c r="BX128" s="13">
        <f>IFERROR(BB128/BD128*(BG128-BASELINE_CPR),0)</f>
        <v/>
      </c>
      <c r="BY128" s="13">
        <f>IFERROR(BC128/BD128*(BG128-BASELINE_CPR),0)</f>
        <v/>
      </c>
      <c r="BZ128" s="28">
        <f>BASELINE_CPR+SUM(BH128:BY128)-BG128</f>
        <v/>
      </c>
    </row>
    <row r="129">
      <c r="A129" s="2" t="inlineStr">
        <is>
          <t>36177NU24_000000004211222</t>
        </is>
      </c>
      <c r="B129" t="inlineStr">
        <is>
          <t>MERCHANTS_PRE21</t>
        </is>
      </c>
      <c r="C129" s="2" t="inlineStr">
        <is>
          <t>36177NU24</t>
        </is>
      </c>
      <c r="D129" t="inlineStr">
        <is>
          <t>MERCHANTS CAPITAL SERVICING LLC</t>
        </is>
      </c>
      <c r="E129" t="inlineStr">
        <is>
          <t>223f</t>
        </is>
      </c>
      <c r="F129" t="inlineStr">
        <is>
          <t>RP</t>
        </is>
      </c>
      <c r="G129" t="n">
        <v>2013</v>
      </c>
      <c r="H129" t="inlineStr">
        <is>
          <t>202602</t>
        </is>
      </c>
      <c r="I129" s="22" t="n">
        <v>1650551.67</v>
      </c>
      <c r="J129" s="23" t="n">
        <v>3.75</v>
      </c>
      <c r="K129" s="24" t="n">
        <v>447</v>
      </c>
      <c r="L129" s="24" t="n">
        <v>0</v>
      </c>
      <c r="M129" t="n">
        <v>155</v>
      </c>
      <c r="N129" t="n">
        <v>37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s="24">
        <f>J129*100-(K129+(1+L129)*12.5)</f>
        <v/>
      </c>
      <c r="U129">
        <f>O129</f>
        <v/>
      </c>
      <c r="V129">
        <f>M129</f>
        <v/>
      </c>
      <c r="W129" s="23">
        <f>LN(1+I129)</f>
        <v/>
      </c>
      <c r="X129">
        <f>IF(G129&gt;=2021,1,0)</f>
        <v/>
      </c>
      <c r="Y129">
        <f>N129</f>
        <v/>
      </c>
      <c r="Z129" s="23">
        <f>IF(ISNUMBER(M129),N129/MAX(M129,1),0)</f>
        <v/>
      </c>
      <c r="AA129">
        <f>P129</f>
        <v/>
      </c>
      <c r="AB129">
        <f>Q129</f>
        <v/>
      </c>
      <c r="AC129">
        <f>R129</f>
        <v/>
      </c>
      <c r="AD129">
        <f>S129</f>
        <v/>
      </c>
      <c r="AE129">
        <f>IF(ISNUMBER(SEARCH("CAPITAL FUNDING",D129)),1,0)</f>
        <v/>
      </c>
      <c r="AF129">
        <f>IF(ISNUMBER(SEARCH("MERCHANTS",D129)),1,0)</f>
        <v/>
      </c>
      <c r="AG129">
        <f>IF(ISNUMBER(SEARCH("WELLS FARGO",D129)),1,0)</f>
        <v/>
      </c>
      <c r="AH129">
        <f>IF(ISNUMBER(SEARCH("WALKER",D129)),1,0)</f>
        <v/>
      </c>
      <c r="AI129">
        <f>IF(ISNUMBER(SEARCH("PNC",D129)),1,0)</f>
        <v/>
      </c>
      <c r="AJ129">
        <f>IF(ISNUMBER(SEARCH("BERKADIA",D129)),1,0)</f>
        <v/>
      </c>
      <c r="AK129">
        <f>IF(ISNUMBER(SEARCH("DWIGHT",D129)),1,0)</f>
        <v/>
      </c>
      <c r="AL129" s="25">
        <f>T$4*(T129-T$3)</f>
        <v/>
      </c>
      <c r="AM129" s="25">
        <f>U$4*(U129-U$3)</f>
        <v/>
      </c>
      <c r="AN129" s="25">
        <f>V$4*(V129-V$3)</f>
        <v/>
      </c>
      <c r="AO129" s="25">
        <f>W$4*(W129-W$3)</f>
        <v/>
      </c>
      <c r="AP129" s="25">
        <f>X$4*(X129-X$3)</f>
        <v/>
      </c>
      <c r="AQ129" s="25">
        <f>Y$4*(Y129-Y$3)</f>
        <v/>
      </c>
      <c r="AR129" s="25">
        <f>Z$4*(Z129-Z$3)</f>
        <v/>
      </c>
      <c r="AS129" s="25">
        <f>AA$4*(AA129-AA$3)</f>
        <v/>
      </c>
      <c r="AT129" s="25">
        <f>AB$4*(AB129-AB$3)</f>
        <v/>
      </c>
      <c r="AU129" s="25">
        <f>AC$4*(AC129-AC$3)</f>
        <v/>
      </c>
      <c r="AV129" s="25">
        <f>AD$4*(AD129-AD$3)</f>
        <v/>
      </c>
      <c r="AW129" s="25">
        <f>AE$4*(AE129-AE$3)</f>
        <v/>
      </c>
      <c r="AX129" s="25">
        <f>AF$4*(AF129-AF$3)</f>
        <v/>
      </c>
      <c r="AY129" s="25">
        <f>AG$4*(AG129-AG$3)</f>
        <v/>
      </c>
      <c r="AZ129" s="25">
        <f>AH$4*(AH129-AH$3)</f>
        <v/>
      </c>
      <c r="BA129" s="25">
        <f>AI$4*(AI129-AI$3)</f>
        <v/>
      </c>
      <c r="BB129" s="25">
        <f>AJ$4*(AJ129-AJ$3)</f>
        <v/>
      </c>
      <c r="BC129" s="25">
        <f>AK$4*(AK129-AK$3)</f>
        <v/>
      </c>
      <c r="BD129" s="26">
        <f>SUM(AL129:BC129)</f>
        <v/>
      </c>
      <c r="BE129" s="26">
        <f>INTERCEPT_SCALED+BD129</f>
        <v/>
      </c>
      <c r="BF129" s="27">
        <f>1/(1+EXP(-BE129))</f>
        <v/>
      </c>
      <c r="BG129" s="13">
        <f>1-(1-BF129)^12</f>
        <v/>
      </c>
      <c r="BH129" s="13">
        <f>IFERROR(AL129/BD129*(BG129-BASELINE_CPR),0)</f>
        <v/>
      </c>
      <c r="BI129" s="13">
        <f>IFERROR(AM129/BD129*(BG129-BASELINE_CPR),0)</f>
        <v/>
      </c>
      <c r="BJ129" s="13">
        <f>IFERROR(AN129/BD129*(BG129-BASELINE_CPR),0)</f>
        <v/>
      </c>
      <c r="BK129" s="13">
        <f>IFERROR(AO129/BD129*(BG129-BASELINE_CPR),0)</f>
        <v/>
      </c>
      <c r="BL129" s="13">
        <f>IFERROR(AP129/BD129*(BG129-BASELINE_CPR),0)</f>
        <v/>
      </c>
      <c r="BM129" s="13">
        <f>IFERROR(AQ129/BD129*(BG129-BASELINE_CPR),0)</f>
        <v/>
      </c>
      <c r="BN129" s="13">
        <f>IFERROR(AR129/BD129*(BG129-BASELINE_CPR),0)</f>
        <v/>
      </c>
      <c r="BO129" s="13">
        <f>IFERROR(AS129/BD129*(BG129-BASELINE_CPR),0)</f>
        <v/>
      </c>
      <c r="BP129" s="13">
        <f>IFERROR(AT129/BD129*(BG129-BASELINE_CPR),0)</f>
        <v/>
      </c>
      <c r="BQ129" s="13">
        <f>IFERROR(AU129/BD129*(BG129-BASELINE_CPR),0)</f>
        <v/>
      </c>
      <c r="BR129" s="13">
        <f>IFERROR(AV129/BD129*(BG129-BASELINE_CPR),0)</f>
        <v/>
      </c>
      <c r="BS129" s="13">
        <f>IFERROR(AW129/BD129*(BG129-BASELINE_CPR),0)</f>
        <v/>
      </c>
      <c r="BT129" s="13">
        <f>IFERROR(AX129/BD129*(BG129-BASELINE_CPR),0)</f>
        <v/>
      </c>
      <c r="BU129" s="13">
        <f>IFERROR(AY129/BD129*(BG129-BASELINE_CPR),0)</f>
        <v/>
      </c>
      <c r="BV129" s="13">
        <f>IFERROR(AZ129/BD129*(BG129-BASELINE_CPR),0)</f>
        <v/>
      </c>
      <c r="BW129" s="13">
        <f>IFERROR(BA129/BD129*(BG129-BASELINE_CPR),0)</f>
        <v/>
      </c>
      <c r="BX129" s="13">
        <f>IFERROR(BB129/BD129*(BG129-BASELINE_CPR),0)</f>
        <v/>
      </c>
      <c r="BY129" s="13">
        <f>IFERROR(BC129/BD129*(BG129-BASELINE_CPR),0)</f>
        <v/>
      </c>
      <c r="BZ129" s="28">
        <f>BASELINE_CPR+SUM(BH129:BY129)-BG129</f>
        <v/>
      </c>
    </row>
    <row r="130">
      <c r="A130" s="2" t="inlineStr">
        <is>
          <t>3617VDVL6_000000008335751</t>
        </is>
      </c>
      <c r="B130" t="inlineStr">
        <is>
          <t>MERCHANTS_PRE21</t>
        </is>
      </c>
      <c r="C130" s="2" t="inlineStr">
        <is>
          <t>3617VDVL6</t>
        </is>
      </c>
      <c r="D130" t="inlineStr">
        <is>
          <t>MERCHANTS CAPITAL CORP.</t>
        </is>
      </c>
      <c r="E130" t="inlineStr">
        <is>
          <t>221d4</t>
        </is>
      </c>
      <c r="F130" t="inlineStr">
        <is>
          <t>NC</t>
        </is>
      </c>
      <c r="G130" t="n">
        <v>2018</v>
      </c>
      <c r="H130" t="inlineStr">
        <is>
          <t>202602</t>
        </is>
      </c>
      <c r="I130" s="22" t="n">
        <v>33199053.07</v>
      </c>
      <c r="J130" s="23" t="n">
        <v>3.64</v>
      </c>
      <c r="K130" s="24" t="n">
        <v>447</v>
      </c>
      <c r="L130" s="24" t="n">
        <v>7</v>
      </c>
      <c r="M130" t="n">
        <v>95</v>
      </c>
      <c r="N130" t="n">
        <v>8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s="24">
        <f>J130*100-(K130+(1+L130)*12.5)</f>
        <v/>
      </c>
      <c r="U130">
        <f>O130</f>
        <v/>
      </c>
      <c r="V130">
        <f>M130</f>
        <v/>
      </c>
      <c r="W130" s="23">
        <f>LN(1+I130)</f>
        <v/>
      </c>
      <c r="X130">
        <f>IF(G130&gt;=2021,1,0)</f>
        <v/>
      </c>
      <c r="Y130">
        <f>N130</f>
        <v/>
      </c>
      <c r="Z130" s="23">
        <f>IF(ISNUMBER(M130),N130/MAX(M130,1),0)</f>
        <v/>
      </c>
      <c r="AA130">
        <f>P130</f>
        <v/>
      </c>
      <c r="AB130">
        <f>Q130</f>
        <v/>
      </c>
      <c r="AC130">
        <f>R130</f>
        <v/>
      </c>
      <c r="AD130">
        <f>S130</f>
        <v/>
      </c>
      <c r="AE130">
        <f>IF(ISNUMBER(SEARCH("CAPITAL FUNDING",D130)),1,0)</f>
        <v/>
      </c>
      <c r="AF130">
        <f>IF(ISNUMBER(SEARCH("MERCHANTS",D130)),1,0)</f>
        <v/>
      </c>
      <c r="AG130">
        <f>IF(ISNUMBER(SEARCH("WELLS FARGO",D130)),1,0)</f>
        <v/>
      </c>
      <c r="AH130">
        <f>IF(ISNUMBER(SEARCH("WALKER",D130)),1,0)</f>
        <v/>
      </c>
      <c r="AI130">
        <f>IF(ISNUMBER(SEARCH("PNC",D130)),1,0)</f>
        <v/>
      </c>
      <c r="AJ130">
        <f>IF(ISNUMBER(SEARCH("BERKADIA",D130)),1,0)</f>
        <v/>
      </c>
      <c r="AK130">
        <f>IF(ISNUMBER(SEARCH("DWIGHT",D130)),1,0)</f>
        <v/>
      </c>
      <c r="AL130" s="25">
        <f>T$4*(T130-T$3)</f>
        <v/>
      </c>
      <c r="AM130" s="25">
        <f>U$4*(U130-U$3)</f>
        <v/>
      </c>
      <c r="AN130" s="25">
        <f>V$4*(V130-V$3)</f>
        <v/>
      </c>
      <c r="AO130" s="25">
        <f>W$4*(W130-W$3)</f>
        <v/>
      </c>
      <c r="AP130" s="25">
        <f>X$4*(X130-X$3)</f>
        <v/>
      </c>
      <c r="AQ130" s="25">
        <f>Y$4*(Y130-Y$3)</f>
        <v/>
      </c>
      <c r="AR130" s="25">
        <f>Z$4*(Z130-Z$3)</f>
        <v/>
      </c>
      <c r="AS130" s="25">
        <f>AA$4*(AA130-AA$3)</f>
        <v/>
      </c>
      <c r="AT130" s="25">
        <f>AB$4*(AB130-AB$3)</f>
        <v/>
      </c>
      <c r="AU130" s="25">
        <f>AC$4*(AC130-AC$3)</f>
        <v/>
      </c>
      <c r="AV130" s="25">
        <f>AD$4*(AD130-AD$3)</f>
        <v/>
      </c>
      <c r="AW130" s="25">
        <f>AE$4*(AE130-AE$3)</f>
        <v/>
      </c>
      <c r="AX130" s="25">
        <f>AF$4*(AF130-AF$3)</f>
        <v/>
      </c>
      <c r="AY130" s="25">
        <f>AG$4*(AG130-AG$3)</f>
        <v/>
      </c>
      <c r="AZ130" s="25">
        <f>AH$4*(AH130-AH$3)</f>
        <v/>
      </c>
      <c r="BA130" s="25">
        <f>AI$4*(AI130-AI$3)</f>
        <v/>
      </c>
      <c r="BB130" s="25">
        <f>AJ$4*(AJ130-AJ$3)</f>
        <v/>
      </c>
      <c r="BC130" s="25">
        <f>AK$4*(AK130-AK$3)</f>
        <v/>
      </c>
      <c r="BD130" s="26">
        <f>SUM(AL130:BC130)</f>
        <v/>
      </c>
      <c r="BE130" s="26">
        <f>INTERCEPT_SCALED+BD130</f>
        <v/>
      </c>
      <c r="BF130" s="27">
        <f>1/(1+EXP(-BE130))</f>
        <v/>
      </c>
      <c r="BG130" s="13">
        <f>1-(1-BF130)^12</f>
        <v/>
      </c>
      <c r="BH130" s="13">
        <f>IFERROR(AL130/BD130*(BG130-BASELINE_CPR),0)</f>
        <v/>
      </c>
      <c r="BI130" s="13">
        <f>IFERROR(AM130/BD130*(BG130-BASELINE_CPR),0)</f>
        <v/>
      </c>
      <c r="BJ130" s="13">
        <f>IFERROR(AN130/BD130*(BG130-BASELINE_CPR),0)</f>
        <v/>
      </c>
      <c r="BK130" s="13">
        <f>IFERROR(AO130/BD130*(BG130-BASELINE_CPR),0)</f>
        <v/>
      </c>
      <c r="BL130" s="13">
        <f>IFERROR(AP130/BD130*(BG130-BASELINE_CPR),0)</f>
        <v/>
      </c>
      <c r="BM130" s="13">
        <f>IFERROR(AQ130/BD130*(BG130-BASELINE_CPR),0)</f>
        <v/>
      </c>
      <c r="BN130" s="13">
        <f>IFERROR(AR130/BD130*(BG130-BASELINE_CPR),0)</f>
        <v/>
      </c>
      <c r="BO130" s="13">
        <f>IFERROR(AS130/BD130*(BG130-BASELINE_CPR),0)</f>
        <v/>
      </c>
      <c r="BP130" s="13">
        <f>IFERROR(AT130/BD130*(BG130-BASELINE_CPR),0)</f>
        <v/>
      </c>
      <c r="BQ130" s="13">
        <f>IFERROR(AU130/BD130*(BG130-BASELINE_CPR),0)</f>
        <v/>
      </c>
      <c r="BR130" s="13">
        <f>IFERROR(AV130/BD130*(BG130-BASELINE_CPR),0)</f>
        <v/>
      </c>
      <c r="BS130" s="13">
        <f>IFERROR(AW130/BD130*(BG130-BASELINE_CPR),0)</f>
        <v/>
      </c>
      <c r="BT130" s="13">
        <f>IFERROR(AX130/BD130*(BG130-BASELINE_CPR),0)</f>
        <v/>
      </c>
      <c r="BU130" s="13">
        <f>IFERROR(AY130/BD130*(BG130-BASELINE_CPR),0)</f>
        <v/>
      </c>
      <c r="BV130" s="13">
        <f>IFERROR(AZ130/BD130*(BG130-BASELINE_CPR),0)</f>
        <v/>
      </c>
      <c r="BW130" s="13">
        <f>IFERROR(BA130/BD130*(BG130-BASELINE_CPR),0)</f>
        <v/>
      </c>
      <c r="BX130" s="13">
        <f>IFERROR(BB130/BD130*(BG130-BASELINE_CPR),0)</f>
        <v/>
      </c>
      <c r="BY130" s="13">
        <f>IFERROR(BC130/BD130*(BG130-BASELINE_CPR),0)</f>
        <v/>
      </c>
      <c r="BZ130" s="28">
        <f>BASELINE_CPR+SUM(BH130:BY130)-BG130</f>
        <v/>
      </c>
    </row>
    <row r="131">
      <c r="A131" s="2" t="inlineStr">
        <is>
          <t>3617Y4HL9_000000006135951</t>
        </is>
      </c>
      <c r="B131" t="inlineStr">
        <is>
          <t>MERCHANTS_POST21</t>
        </is>
      </c>
      <c r="C131" s="2" t="inlineStr">
        <is>
          <t>3617Y4HL9</t>
        </is>
      </c>
      <c r="D131" t="inlineStr">
        <is>
          <t>MERCHANTS CAPITAL CORP.</t>
        </is>
      </c>
      <c r="E131" t="inlineStr">
        <is>
          <t>221d4</t>
        </is>
      </c>
      <c r="F131" t="inlineStr">
        <is>
          <t>NC</t>
        </is>
      </c>
      <c r="G131" t="n">
        <v>2022</v>
      </c>
      <c r="H131" t="inlineStr">
        <is>
          <t>202602</t>
        </is>
      </c>
      <c r="I131" s="22" t="n">
        <v>14907417.95</v>
      </c>
      <c r="J131" s="23" t="n">
        <v>2.85</v>
      </c>
      <c r="K131" s="24" t="n">
        <v>447</v>
      </c>
      <c r="L131" s="24" t="n">
        <v>9</v>
      </c>
      <c r="M131" t="n">
        <v>49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s="24">
        <f>J131*100-(K131+(1+L131)*12.5)</f>
        <v/>
      </c>
      <c r="U131">
        <f>O131</f>
        <v/>
      </c>
      <c r="V131">
        <f>M131</f>
        <v/>
      </c>
      <c r="W131" s="23">
        <f>LN(1+I131)</f>
        <v/>
      </c>
      <c r="X131">
        <f>IF(G131&gt;=2021,1,0)</f>
        <v/>
      </c>
      <c r="Y131">
        <f>N131</f>
        <v/>
      </c>
      <c r="Z131" s="23">
        <f>IF(ISNUMBER(M131),N131/MAX(M131,1),0)</f>
        <v/>
      </c>
      <c r="AA131">
        <f>P131</f>
        <v/>
      </c>
      <c r="AB131">
        <f>Q131</f>
        <v/>
      </c>
      <c r="AC131">
        <f>R131</f>
        <v/>
      </c>
      <c r="AD131">
        <f>S131</f>
        <v/>
      </c>
      <c r="AE131">
        <f>IF(ISNUMBER(SEARCH("CAPITAL FUNDING",D131)),1,0)</f>
        <v/>
      </c>
      <c r="AF131">
        <f>IF(ISNUMBER(SEARCH("MERCHANTS",D131)),1,0)</f>
        <v/>
      </c>
      <c r="AG131">
        <f>IF(ISNUMBER(SEARCH("WELLS FARGO",D131)),1,0)</f>
        <v/>
      </c>
      <c r="AH131">
        <f>IF(ISNUMBER(SEARCH("WALKER",D131)),1,0)</f>
        <v/>
      </c>
      <c r="AI131">
        <f>IF(ISNUMBER(SEARCH("PNC",D131)),1,0)</f>
        <v/>
      </c>
      <c r="AJ131">
        <f>IF(ISNUMBER(SEARCH("BERKADIA",D131)),1,0)</f>
        <v/>
      </c>
      <c r="AK131">
        <f>IF(ISNUMBER(SEARCH("DWIGHT",D131)),1,0)</f>
        <v/>
      </c>
      <c r="AL131" s="25">
        <f>T$4*(T131-T$3)</f>
        <v/>
      </c>
      <c r="AM131" s="25">
        <f>U$4*(U131-U$3)</f>
        <v/>
      </c>
      <c r="AN131" s="25">
        <f>V$4*(V131-V$3)</f>
        <v/>
      </c>
      <c r="AO131" s="25">
        <f>W$4*(W131-W$3)</f>
        <v/>
      </c>
      <c r="AP131" s="25">
        <f>X$4*(X131-X$3)</f>
        <v/>
      </c>
      <c r="AQ131" s="25">
        <f>Y$4*(Y131-Y$3)</f>
        <v/>
      </c>
      <c r="AR131" s="25">
        <f>Z$4*(Z131-Z$3)</f>
        <v/>
      </c>
      <c r="AS131" s="25">
        <f>AA$4*(AA131-AA$3)</f>
        <v/>
      </c>
      <c r="AT131" s="25">
        <f>AB$4*(AB131-AB$3)</f>
        <v/>
      </c>
      <c r="AU131" s="25">
        <f>AC$4*(AC131-AC$3)</f>
        <v/>
      </c>
      <c r="AV131" s="25">
        <f>AD$4*(AD131-AD$3)</f>
        <v/>
      </c>
      <c r="AW131" s="25">
        <f>AE$4*(AE131-AE$3)</f>
        <v/>
      </c>
      <c r="AX131" s="25">
        <f>AF$4*(AF131-AF$3)</f>
        <v/>
      </c>
      <c r="AY131" s="25">
        <f>AG$4*(AG131-AG$3)</f>
        <v/>
      </c>
      <c r="AZ131" s="25">
        <f>AH$4*(AH131-AH$3)</f>
        <v/>
      </c>
      <c r="BA131" s="25">
        <f>AI$4*(AI131-AI$3)</f>
        <v/>
      </c>
      <c r="BB131" s="25">
        <f>AJ$4*(AJ131-AJ$3)</f>
        <v/>
      </c>
      <c r="BC131" s="25">
        <f>AK$4*(AK131-AK$3)</f>
        <v/>
      </c>
      <c r="BD131" s="26">
        <f>SUM(AL131:BC131)</f>
        <v/>
      </c>
      <c r="BE131" s="26">
        <f>INTERCEPT_SCALED+BD131</f>
        <v/>
      </c>
      <c r="BF131" s="27">
        <f>1/(1+EXP(-BE131))</f>
        <v/>
      </c>
      <c r="BG131" s="13">
        <f>1-(1-BF131)^12</f>
        <v/>
      </c>
      <c r="BH131" s="13">
        <f>IFERROR(AL131/BD131*(BG131-BASELINE_CPR),0)</f>
        <v/>
      </c>
      <c r="BI131" s="13">
        <f>IFERROR(AM131/BD131*(BG131-BASELINE_CPR),0)</f>
        <v/>
      </c>
      <c r="BJ131" s="13">
        <f>IFERROR(AN131/BD131*(BG131-BASELINE_CPR),0)</f>
        <v/>
      </c>
      <c r="BK131" s="13">
        <f>IFERROR(AO131/BD131*(BG131-BASELINE_CPR),0)</f>
        <v/>
      </c>
      <c r="BL131" s="13">
        <f>IFERROR(AP131/BD131*(BG131-BASELINE_CPR),0)</f>
        <v/>
      </c>
      <c r="BM131" s="13">
        <f>IFERROR(AQ131/BD131*(BG131-BASELINE_CPR),0)</f>
        <v/>
      </c>
      <c r="BN131" s="13">
        <f>IFERROR(AR131/BD131*(BG131-BASELINE_CPR),0)</f>
        <v/>
      </c>
      <c r="BO131" s="13">
        <f>IFERROR(AS131/BD131*(BG131-BASELINE_CPR),0)</f>
        <v/>
      </c>
      <c r="BP131" s="13">
        <f>IFERROR(AT131/BD131*(BG131-BASELINE_CPR),0)</f>
        <v/>
      </c>
      <c r="BQ131" s="13">
        <f>IFERROR(AU131/BD131*(BG131-BASELINE_CPR),0)</f>
        <v/>
      </c>
      <c r="BR131" s="13">
        <f>IFERROR(AV131/BD131*(BG131-BASELINE_CPR),0)</f>
        <v/>
      </c>
      <c r="BS131" s="13">
        <f>IFERROR(AW131/BD131*(BG131-BASELINE_CPR),0)</f>
        <v/>
      </c>
      <c r="BT131" s="13">
        <f>IFERROR(AX131/BD131*(BG131-BASELINE_CPR),0)</f>
        <v/>
      </c>
      <c r="BU131" s="13">
        <f>IFERROR(AY131/BD131*(BG131-BASELINE_CPR),0)</f>
        <v/>
      </c>
      <c r="BV131" s="13">
        <f>IFERROR(AZ131/BD131*(BG131-BASELINE_CPR),0)</f>
        <v/>
      </c>
      <c r="BW131" s="13">
        <f>IFERROR(BA131/BD131*(BG131-BASELINE_CPR),0)</f>
        <v/>
      </c>
      <c r="BX131" s="13">
        <f>IFERROR(BB131/BD131*(BG131-BASELINE_CPR),0)</f>
        <v/>
      </c>
      <c r="BY131" s="13">
        <f>IFERROR(BC131/BD131*(BG131-BASELINE_CPR),0)</f>
        <v/>
      </c>
      <c r="BZ131" s="28">
        <f>BASELINE_CPR+SUM(BH131:BY131)-BG131</f>
        <v/>
      </c>
    </row>
    <row r="132">
      <c r="A132" s="2" t="inlineStr">
        <is>
          <t>36294WL71_040036388457355</t>
        </is>
      </c>
      <c r="B132" t="inlineStr">
        <is>
          <t>MERCHANTS_PRE21</t>
        </is>
      </c>
      <c r="C132" s="2" t="inlineStr">
        <is>
          <t>36294WL71</t>
        </is>
      </c>
      <c r="D132" t="inlineStr">
        <is>
          <t>MERCHANTS CAPITAL CORP.</t>
        </is>
      </c>
      <c r="E132" t="inlineStr">
        <is>
          <t>OTHER</t>
        </is>
      </c>
      <c r="F132" t="inlineStr">
        <is>
          <t>OTHER</t>
        </is>
      </c>
      <c r="G132" t="n">
        <v>2007</v>
      </c>
      <c r="H132" t="inlineStr">
        <is>
          <t>202602</t>
        </is>
      </c>
      <c r="I132" s="22" t="n">
        <v>359130.32</v>
      </c>
      <c r="J132" s="23" t="n">
        <v>7.28</v>
      </c>
      <c r="K132" s="24" t="n">
        <v>447</v>
      </c>
      <c r="L132" s="24" t="n">
        <v>0</v>
      </c>
      <c r="M132" t="n">
        <v>219</v>
      </c>
      <c r="N132" t="n">
        <v>37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s="24">
        <f>J132*100-(K132+(1+L132)*12.5)</f>
        <v/>
      </c>
      <c r="U132">
        <f>O132</f>
        <v/>
      </c>
      <c r="V132">
        <f>M132</f>
        <v/>
      </c>
      <c r="W132" s="23">
        <f>LN(1+I132)</f>
        <v/>
      </c>
      <c r="X132">
        <f>IF(G132&gt;=2021,1,0)</f>
        <v/>
      </c>
      <c r="Y132">
        <f>N132</f>
        <v/>
      </c>
      <c r="Z132" s="23">
        <f>IF(ISNUMBER(M132),N132/MAX(M132,1),0)</f>
        <v/>
      </c>
      <c r="AA132">
        <f>P132</f>
        <v/>
      </c>
      <c r="AB132">
        <f>Q132</f>
        <v/>
      </c>
      <c r="AC132">
        <f>R132</f>
        <v/>
      </c>
      <c r="AD132">
        <f>S132</f>
        <v/>
      </c>
      <c r="AE132">
        <f>IF(ISNUMBER(SEARCH("CAPITAL FUNDING",D132)),1,0)</f>
        <v/>
      </c>
      <c r="AF132">
        <f>IF(ISNUMBER(SEARCH("MERCHANTS",D132)),1,0)</f>
        <v/>
      </c>
      <c r="AG132">
        <f>IF(ISNUMBER(SEARCH("WELLS FARGO",D132)),1,0)</f>
        <v/>
      </c>
      <c r="AH132">
        <f>IF(ISNUMBER(SEARCH("WALKER",D132)),1,0)</f>
        <v/>
      </c>
      <c r="AI132">
        <f>IF(ISNUMBER(SEARCH("PNC",D132)),1,0)</f>
        <v/>
      </c>
      <c r="AJ132">
        <f>IF(ISNUMBER(SEARCH("BERKADIA",D132)),1,0)</f>
        <v/>
      </c>
      <c r="AK132">
        <f>IF(ISNUMBER(SEARCH("DWIGHT",D132)),1,0)</f>
        <v/>
      </c>
      <c r="AL132" s="25">
        <f>T$4*(T132-T$3)</f>
        <v/>
      </c>
      <c r="AM132" s="25">
        <f>U$4*(U132-U$3)</f>
        <v/>
      </c>
      <c r="AN132" s="25">
        <f>V$4*(V132-V$3)</f>
        <v/>
      </c>
      <c r="AO132" s="25">
        <f>W$4*(W132-W$3)</f>
        <v/>
      </c>
      <c r="AP132" s="25">
        <f>X$4*(X132-X$3)</f>
        <v/>
      </c>
      <c r="AQ132" s="25">
        <f>Y$4*(Y132-Y$3)</f>
        <v/>
      </c>
      <c r="AR132" s="25">
        <f>Z$4*(Z132-Z$3)</f>
        <v/>
      </c>
      <c r="AS132" s="25">
        <f>AA$4*(AA132-AA$3)</f>
        <v/>
      </c>
      <c r="AT132" s="25">
        <f>AB$4*(AB132-AB$3)</f>
        <v/>
      </c>
      <c r="AU132" s="25">
        <f>AC$4*(AC132-AC$3)</f>
        <v/>
      </c>
      <c r="AV132" s="25">
        <f>AD$4*(AD132-AD$3)</f>
        <v/>
      </c>
      <c r="AW132" s="25">
        <f>AE$4*(AE132-AE$3)</f>
        <v/>
      </c>
      <c r="AX132" s="25">
        <f>AF$4*(AF132-AF$3)</f>
        <v/>
      </c>
      <c r="AY132" s="25">
        <f>AG$4*(AG132-AG$3)</f>
        <v/>
      </c>
      <c r="AZ132" s="25">
        <f>AH$4*(AH132-AH$3)</f>
        <v/>
      </c>
      <c r="BA132" s="25">
        <f>AI$4*(AI132-AI$3)</f>
        <v/>
      </c>
      <c r="BB132" s="25">
        <f>AJ$4*(AJ132-AJ$3)</f>
        <v/>
      </c>
      <c r="BC132" s="25">
        <f>AK$4*(AK132-AK$3)</f>
        <v/>
      </c>
      <c r="BD132" s="26">
        <f>SUM(AL132:BC132)</f>
        <v/>
      </c>
      <c r="BE132" s="26">
        <f>INTERCEPT_SCALED+BD132</f>
        <v/>
      </c>
      <c r="BF132" s="27">
        <f>1/(1+EXP(-BE132))</f>
        <v/>
      </c>
      <c r="BG132" s="13">
        <f>1-(1-BF132)^12</f>
        <v/>
      </c>
      <c r="BH132" s="13">
        <f>IFERROR(AL132/BD132*(BG132-BASELINE_CPR),0)</f>
        <v/>
      </c>
      <c r="BI132" s="13">
        <f>IFERROR(AM132/BD132*(BG132-BASELINE_CPR),0)</f>
        <v/>
      </c>
      <c r="BJ132" s="13">
        <f>IFERROR(AN132/BD132*(BG132-BASELINE_CPR),0)</f>
        <v/>
      </c>
      <c r="BK132" s="13">
        <f>IFERROR(AO132/BD132*(BG132-BASELINE_CPR),0)</f>
        <v/>
      </c>
      <c r="BL132" s="13">
        <f>IFERROR(AP132/BD132*(BG132-BASELINE_CPR),0)</f>
        <v/>
      </c>
      <c r="BM132" s="13">
        <f>IFERROR(AQ132/BD132*(BG132-BASELINE_CPR),0)</f>
        <v/>
      </c>
      <c r="BN132" s="13">
        <f>IFERROR(AR132/BD132*(BG132-BASELINE_CPR),0)</f>
        <v/>
      </c>
      <c r="BO132" s="13">
        <f>IFERROR(AS132/BD132*(BG132-BASELINE_CPR),0)</f>
        <v/>
      </c>
      <c r="BP132" s="13">
        <f>IFERROR(AT132/BD132*(BG132-BASELINE_CPR),0)</f>
        <v/>
      </c>
      <c r="BQ132" s="13">
        <f>IFERROR(AU132/BD132*(BG132-BASELINE_CPR),0)</f>
        <v/>
      </c>
      <c r="BR132" s="13">
        <f>IFERROR(AV132/BD132*(BG132-BASELINE_CPR),0)</f>
        <v/>
      </c>
      <c r="BS132" s="13">
        <f>IFERROR(AW132/BD132*(BG132-BASELINE_CPR),0)</f>
        <v/>
      </c>
      <c r="BT132" s="13">
        <f>IFERROR(AX132/BD132*(BG132-BASELINE_CPR),0)</f>
        <v/>
      </c>
      <c r="BU132" s="13">
        <f>IFERROR(AY132/BD132*(BG132-BASELINE_CPR),0)</f>
        <v/>
      </c>
      <c r="BV132" s="13">
        <f>IFERROR(AZ132/BD132*(BG132-BASELINE_CPR),0)</f>
        <v/>
      </c>
      <c r="BW132" s="13">
        <f>IFERROR(BA132/BD132*(BG132-BASELINE_CPR),0)</f>
        <v/>
      </c>
      <c r="BX132" s="13">
        <f>IFERROR(BB132/BD132*(BG132-BASELINE_CPR),0)</f>
        <v/>
      </c>
      <c r="BY132" s="13">
        <f>IFERROR(BC132/BD132*(BG132-BASELINE_CPR),0)</f>
        <v/>
      </c>
      <c r="BZ132" s="28">
        <f>BASELINE_CPR+SUM(BH132:BY132)-BG132</f>
        <v/>
      </c>
    </row>
    <row r="133">
      <c r="A133" s="2" t="inlineStr">
        <is>
          <t>3617NHS55_000000007211147</t>
        </is>
      </c>
      <c r="B133" t="inlineStr">
        <is>
          <t>MERCHANTS_PRE21</t>
        </is>
      </c>
      <c r="C133" s="2" t="inlineStr">
        <is>
          <t>3617NHS55</t>
        </is>
      </c>
      <c r="D133" t="inlineStr">
        <is>
          <t>MERCHANTS CAPITAL CORP.</t>
        </is>
      </c>
      <c r="E133" t="inlineStr">
        <is>
          <t>223f</t>
        </is>
      </c>
      <c r="F133" t="inlineStr">
        <is>
          <t>RP</t>
        </is>
      </c>
      <c r="G133" t="n">
        <v>2014</v>
      </c>
      <c r="H133" t="inlineStr">
        <is>
          <t>202602</t>
        </is>
      </c>
      <c r="I133" s="22" t="n">
        <v>4604677.56</v>
      </c>
      <c r="J133" s="23" t="n">
        <v>2.92</v>
      </c>
      <c r="K133" s="24" t="n">
        <v>447</v>
      </c>
      <c r="L133" s="24" t="n">
        <v>4</v>
      </c>
      <c r="M133" t="n">
        <v>135</v>
      </c>
      <c r="N133" t="n">
        <v>10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s="24">
        <f>J133*100-(K133+(1+L133)*12.5)</f>
        <v/>
      </c>
      <c r="U133">
        <f>O133</f>
        <v/>
      </c>
      <c r="V133">
        <f>M133</f>
        <v/>
      </c>
      <c r="W133" s="23">
        <f>LN(1+I133)</f>
        <v/>
      </c>
      <c r="X133">
        <f>IF(G133&gt;=2021,1,0)</f>
        <v/>
      </c>
      <c r="Y133">
        <f>N133</f>
        <v/>
      </c>
      <c r="Z133" s="23">
        <f>IF(ISNUMBER(M133),N133/MAX(M133,1),0)</f>
        <v/>
      </c>
      <c r="AA133">
        <f>P133</f>
        <v/>
      </c>
      <c r="AB133">
        <f>Q133</f>
        <v/>
      </c>
      <c r="AC133">
        <f>R133</f>
        <v/>
      </c>
      <c r="AD133">
        <f>S133</f>
        <v/>
      </c>
      <c r="AE133">
        <f>IF(ISNUMBER(SEARCH("CAPITAL FUNDING",D133)),1,0)</f>
        <v/>
      </c>
      <c r="AF133">
        <f>IF(ISNUMBER(SEARCH("MERCHANTS",D133)),1,0)</f>
        <v/>
      </c>
      <c r="AG133">
        <f>IF(ISNUMBER(SEARCH("WELLS FARGO",D133)),1,0)</f>
        <v/>
      </c>
      <c r="AH133">
        <f>IF(ISNUMBER(SEARCH("WALKER",D133)),1,0)</f>
        <v/>
      </c>
      <c r="AI133">
        <f>IF(ISNUMBER(SEARCH("PNC",D133)),1,0)</f>
        <v/>
      </c>
      <c r="AJ133">
        <f>IF(ISNUMBER(SEARCH("BERKADIA",D133)),1,0)</f>
        <v/>
      </c>
      <c r="AK133">
        <f>IF(ISNUMBER(SEARCH("DWIGHT",D133)),1,0)</f>
        <v/>
      </c>
      <c r="AL133" s="25">
        <f>T$4*(T133-T$3)</f>
        <v/>
      </c>
      <c r="AM133" s="25">
        <f>U$4*(U133-U$3)</f>
        <v/>
      </c>
      <c r="AN133" s="25">
        <f>V$4*(V133-V$3)</f>
        <v/>
      </c>
      <c r="AO133" s="25">
        <f>W$4*(W133-W$3)</f>
        <v/>
      </c>
      <c r="AP133" s="25">
        <f>X$4*(X133-X$3)</f>
        <v/>
      </c>
      <c r="AQ133" s="25">
        <f>Y$4*(Y133-Y$3)</f>
        <v/>
      </c>
      <c r="AR133" s="25">
        <f>Z$4*(Z133-Z$3)</f>
        <v/>
      </c>
      <c r="AS133" s="25">
        <f>AA$4*(AA133-AA$3)</f>
        <v/>
      </c>
      <c r="AT133" s="25">
        <f>AB$4*(AB133-AB$3)</f>
        <v/>
      </c>
      <c r="AU133" s="25">
        <f>AC$4*(AC133-AC$3)</f>
        <v/>
      </c>
      <c r="AV133" s="25">
        <f>AD$4*(AD133-AD$3)</f>
        <v/>
      </c>
      <c r="AW133" s="25">
        <f>AE$4*(AE133-AE$3)</f>
        <v/>
      </c>
      <c r="AX133" s="25">
        <f>AF$4*(AF133-AF$3)</f>
        <v/>
      </c>
      <c r="AY133" s="25">
        <f>AG$4*(AG133-AG$3)</f>
        <v/>
      </c>
      <c r="AZ133" s="25">
        <f>AH$4*(AH133-AH$3)</f>
        <v/>
      </c>
      <c r="BA133" s="25">
        <f>AI$4*(AI133-AI$3)</f>
        <v/>
      </c>
      <c r="BB133" s="25">
        <f>AJ$4*(AJ133-AJ$3)</f>
        <v/>
      </c>
      <c r="BC133" s="25">
        <f>AK$4*(AK133-AK$3)</f>
        <v/>
      </c>
      <c r="BD133" s="26">
        <f>SUM(AL133:BC133)</f>
        <v/>
      </c>
      <c r="BE133" s="26">
        <f>INTERCEPT_SCALED+BD133</f>
        <v/>
      </c>
      <c r="BF133" s="27">
        <f>1/(1+EXP(-BE133))</f>
        <v/>
      </c>
      <c r="BG133" s="13">
        <f>1-(1-BF133)^12</f>
        <v/>
      </c>
      <c r="BH133" s="13">
        <f>IFERROR(AL133/BD133*(BG133-BASELINE_CPR),0)</f>
        <v/>
      </c>
      <c r="BI133" s="13">
        <f>IFERROR(AM133/BD133*(BG133-BASELINE_CPR),0)</f>
        <v/>
      </c>
      <c r="BJ133" s="13">
        <f>IFERROR(AN133/BD133*(BG133-BASELINE_CPR),0)</f>
        <v/>
      </c>
      <c r="BK133" s="13">
        <f>IFERROR(AO133/BD133*(BG133-BASELINE_CPR),0)</f>
        <v/>
      </c>
      <c r="BL133" s="13">
        <f>IFERROR(AP133/BD133*(BG133-BASELINE_CPR),0)</f>
        <v/>
      </c>
      <c r="BM133" s="13">
        <f>IFERROR(AQ133/BD133*(BG133-BASELINE_CPR),0)</f>
        <v/>
      </c>
      <c r="BN133" s="13">
        <f>IFERROR(AR133/BD133*(BG133-BASELINE_CPR),0)</f>
        <v/>
      </c>
      <c r="BO133" s="13">
        <f>IFERROR(AS133/BD133*(BG133-BASELINE_CPR),0)</f>
        <v/>
      </c>
      <c r="BP133" s="13">
        <f>IFERROR(AT133/BD133*(BG133-BASELINE_CPR),0)</f>
        <v/>
      </c>
      <c r="BQ133" s="13">
        <f>IFERROR(AU133/BD133*(BG133-BASELINE_CPR),0)</f>
        <v/>
      </c>
      <c r="BR133" s="13">
        <f>IFERROR(AV133/BD133*(BG133-BASELINE_CPR),0)</f>
        <v/>
      </c>
      <c r="BS133" s="13">
        <f>IFERROR(AW133/BD133*(BG133-BASELINE_CPR),0)</f>
        <v/>
      </c>
      <c r="BT133" s="13">
        <f>IFERROR(AX133/BD133*(BG133-BASELINE_CPR),0)</f>
        <v/>
      </c>
      <c r="BU133" s="13">
        <f>IFERROR(AY133/BD133*(BG133-BASELINE_CPR),0)</f>
        <v/>
      </c>
      <c r="BV133" s="13">
        <f>IFERROR(AZ133/BD133*(BG133-BASELINE_CPR),0)</f>
        <v/>
      </c>
      <c r="BW133" s="13">
        <f>IFERROR(BA133/BD133*(BG133-BASELINE_CPR),0)</f>
        <v/>
      </c>
      <c r="BX133" s="13">
        <f>IFERROR(BB133/BD133*(BG133-BASELINE_CPR),0)</f>
        <v/>
      </c>
      <c r="BY133" s="13">
        <f>IFERROR(BC133/BD133*(BG133-BASELINE_CPR),0)</f>
        <v/>
      </c>
      <c r="BZ133" s="28">
        <f>BASELINE_CPR+SUM(BH133:BY133)-BG133</f>
        <v/>
      </c>
    </row>
    <row r="134">
      <c r="A134" s="2" t="inlineStr">
        <is>
          <t>3618AAA77_000000007522247</t>
        </is>
      </c>
      <c r="B134" t="inlineStr">
        <is>
          <t>MERCHANTS_POST21</t>
        </is>
      </c>
      <c r="C134" s="2" t="inlineStr">
        <is>
          <t>3618AAA77</t>
        </is>
      </c>
      <c r="D134" t="inlineStr">
        <is>
          <t>MERCHANTS CAPITAL CORP.</t>
        </is>
      </c>
      <c r="E134" t="inlineStr">
        <is>
          <t>232</t>
        </is>
      </c>
      <c r="F134" t="inlineStr">
        <is>
          <t>RP</t>
        </is>
      </c>
      <c r="G134" t="n">
        <v>2022</v>
      </c>
      <c r="H134" t="inlineStr">
        <is>
          <t>202602</t>
        </is>
      </c>
      <c r="I134" s="22" t="n">
        <v>4811062.66</v>
      </c>
      <c r="J134" s="23" t="n">
        <v>4.18</v>
      </c>
      <c r="K134" s="24" t="n">
        <v>447</v>
      </c>
      <c r="L134" s="24" t="n">
        <v>7</v>
      </c>
      <c r="M134" t="n">
        <v>40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s="24">
        <f>J134*100-(K134+(1+L134)*12.5)</f>
        <v/>
      </c>
      <c r="U134">
        <f>O134</f>
        <v/>
      </c>
      <c r="V134">
        <f>M134</f>
        <v/>
      </c>
      <c r="W134" s="23">
        <f>LN(1+I134)</f>
        <v/>
      </c>
      <c r="X134">
        <f>IF(G134&gt;=2021,1,0)</f>
        <v/>
      </c>
      <c r="Y134">
        <f>N134</f>
        <v/>
      </c>
      <c r="Z134" s="23">
        <f>IF(ISNUMBER(M134),N134/MAX(M134,1),0)</f>
        <v/>
      </c>
      <c r="AA134">
        <f>P134</f>
        <v/>
      </c>
      <c r="AB134">
        <f>Q134</f>
        <v/>
      </c>
      <c r="AC134">
        <f>R134</f>
        <v/>
      </c>
      <c r="AD134">
        <f>S134</f>
        <v/>
      </c>
      <c r="AE134">
        <f>IF(ISNUMBER(SEARCH("CAPITAL FUNDING",D134)),1,0)</f>
        <v/>
      </c>
      <c r="AF134">
        <f>IF(ISNUMBER(SEARCH("MERCHANTS",D134)),1,0)</f>
        <v/>
      </c>
      <c r="AG134">
        <f>IF(ISNUMBER(SEARCH("WELLS FARGO",D134)),1,0)</f>
        <v/>
      </c>
      <c r="AH134">
        <f>IF(ISNUMBER(SEARCH("WALKER",D134)),1,0)</f>
        <v/>
      </c>
      <c r="AI134">
        <f>IF(ISNUMBER(SEARCH("PNC",D134)),1,0)</f>
        <v/>
      </c>
      <c r="AJ134">
        <f>IF(ISNUMBER(SEARCH("BERKADIA",D134)),1,0)</f>
        <v/>
      </c>
      <c r="AK134">
        <f>IF(ISNUMBER(SEARCH("DWIGHT",D134)),1,0)</f>
        <v/>
      </c>
      <c r="AL134" s="25">
        <f>T$4*(T134-T$3)</f>
        <v/>
      </c>
      <c r="AM134" s="25">
        <f>U$4*(U134-U$3)</f>
        <v/>
      </c>
      <c r="AN134" s="25">
        <f>V$4*(V134-V$3)</f>
        <v/>
      </c>
      <c r="AO134" s="25">
        <f>W$4*(W134-W$3)</f>
        <v/>
      </c>
      <c r="AP134" s="25">
        <f>X$4*(X134-X$3)</f>
        <v/>
      </c>
      <c r="AQ134" s="25">
        <f>Y$4*(Y134-Y$3)</f>
        <v/>
      </c>
      <c r="AR134" s="25">
        <f>Z$4*(Z134-Z$3)</f>
        <v/>
      </c>
      <c r="AS134" s="25">
        <f>AA$4*(AA134-AA$3)</f>
        <v/>
      </c>
      <c r="AT134" s="25">
        <f>AB$4*(AB134-AB$3)</f>
        <v/>
      </c>
      <c r="AU134" s="25">
        <f>AC$4*(AC134-AC$3)</f>
        <v/>
      </c>
      <c r="AV134" s="25">
        <f>AD$4*(AD134-AD$3)</f>
        <v/>
      </c>
      <c r="AW134" s="25">
        <f>AE$4*(AE134-AE$3)</f>
        <v/>
      </c>
      <c r="AX134" s="25">
        <f>AF$4*(AF134-AF$3)</f>
        <v/>
      </c>
      <c r="AY134" s="25">
        <f>AG$4*(AG134-AG$3)</f>
        <v/>
      </c>
      <c r="AZ134" s="25">
        <f>AH$4*(AH134-AH$3)</f>
        <v/>
      </c>
      <c r="BA134" s="25">
        <f>AI$4*(AI134-AI$3)</f>
        <v/>
      </c>
      <c r="BB134" s="25">
        <f>AJ$4*(AJ134-AJ$3)</f>
        <v/>
      </c>
      <c r="BC134" s="25">
        <f>AK$4*(AK134-AK$3)</f>
        <v/>
      </c>
      <c r="BD134" s="26">
        <f>SUM(AL134:BC134)</f>
        <v/>
      </c>
      <c r="BE134" s="26">
        <f>INTERCEPT_SCALED+BD134</f>
        <v/>
      </c>
      <c r="BF134" s="27">
        <f>1/(1+EXP(-BE134))</f>
        <v/>
      </c>
      <c r="BG134" s="13">
        <f>1-(1-BF134)^12</f>
        <v/>
      </c>
      <c r="BH134" s="13">
        <f>IFERROR(AL134/BD134*(BG134-BASELINE_CPR),0)</f>
        <v/>
      </c>
      <c r="BI134" s="13">
        <f>IFERROR(AM134/BD134*(BG134-BASELINE_CPR),0)</f>
        <v/>
      </c>
      <c r="BJ134" s="13">
        <f>IFERROR(AN134/BD134*(BG134-BASELINE_CPR),0)</f>
        <v/>
      </c>
      <c r="BK134" s="13">
        <f>IFERROR(AO134/BD134*(BG134-BASELINE_CPR),0)</f>
        <v/>
      </c>
      <c r="BL134" s="13">
        <f>IFERROR(AP134/BD134*(BG134-BASELINE_CPR),0)</f>
        <v/>
      </c>
      <c r="BM134" s="13">
        <f>IFERROR(AQ134/BD134*(BG134-BASELINE_CPR),0)</f>
        <v/>
      </c>
      <c r="BN134" s="13">
        <f>IFERROR(AR134/BD134*(BG134-BASELINE_CPR),0)</f>
        <v/>
      </c>
      <c r="BO134" s="13">
        <f>IFERROR(AS134/BD134*(BG134-BASELINE_CPR),0)</f>
        <v/>
      </c>
      <c r="BP134" s="13">
        <f>IFERROR(AT134/BD134*(BG134-BASELINE_CPR),0)</f>
        <v/>
      </c>
      <c r="BQ134" s="13">
        <f>IFERROR(AU134/BD134*(BG134-BASELINE_CPR),0)</f>
        <v/>
      </c>
      <c r="BR134" s="13">
        <f>IFERROR(AV134/BD134*(BG134-BASELINE_CPR),0)</f>
        <v/>
      </c>
      <c r="BS134" s="13">
        <f>IFERROR(AW134/BD134*(BG134-BASELINE_CPR),0)</f>
        <v/>
      </c>
      <c r="BT134" s="13">
        <f>IFERROR(AX134/BD134*(BG134-BASELINE_CPR),0)</f>
        <v/>
      </c>
      <c r="BU134" s="13">
        <f>IFERROR(AY134/BD134*(BG134-BASELINE_CPR),0)</f>
        <v/>
      </c>
      <c r="BV134" s="13">
        <f>IFERROR(AZ134/BD134*(BG134-BASELINE_CPR),0)</f>
        <v/>
      </c>
      <c r="BW134" s="13">
        <f>IFERROR(BA134/BD134*(BG134-BASELINE_CPR),0)</f>
        <v/>
      </c>
      <c r="BX134" s="13">
        <f>IFERROR(BB134/BD134*(BG134-BASELINE_CPR),0)</f>
        <v/>
      </c>
      <c r="BY134" s="13">
        <f>IFERROR(BC134/BD134*(BG134-BASELINE_CPR),0)</f>
        <v/>
      </c>
      <c r="BZ134" s="28">
        <f>BASELINE_CPR+SUM(BH134:BY134)-BG134</f>
        <v/>
      </c>
    </row>
    <row r="135">
      <c r="A135" s="2" t="inlineStr">
        <is>
          <t>36176QXN9_000000004322058</t>
        </is>
      </c>
      <c r="B135" t="inlineStr">
        <is>
          <t>MERCHANTS_PRE21</t>
        </is>
      </c>
      <c r="C135" s="2" t="inlineStr">
        <is>
          <t>36176QXN9</t>
        </is>
      </c>
      <c r="D135" t="inlineStr">
        <is>
          <t>MERCHANTS CAPITAL CORP.</t>
        </is>
      </c>
      <c r="E135" t="inlineStr">
        <is>
          <t>223f</t>
        </is>
      </c>
      <c r="F135" t="inlineStr">
        <is>
          <t>RP</t>
        </is>
      </c>
      <c r="G135" t="n">
        <v>2012</v>
      </c>
      <c r="H135" t="inlineStr">
        <is>
          <t>202602</t>
        </is>
      </c>
      <c r="I135" s="22" t="n">
        <v>1907136.33</v>
      </c>
      <c r="J135" s="23" t="n">
        <v>3.5</v>
      </c>
      <c r="K135" s="24" t="n">
        <v>447</v>
      </c>
      <c r="L135" s="24" t="n">
        <v>0</v>
      </c>
      <c r="M135" t="n">
        <v>167</v>
      </c>
      <c r="N135" t="n">
        <v>35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s="24">
        <f>J135*100-(K135+(1+L135)*12.5)</f>
        <v/>
      </c>
      <c r="U135">
        <f>O135</f>
        <v/>
      </c>
      <c r="V135">
        <f>M135</f>
        <v/>
      </c>
      <c r="W135" s="23">
        <f>LN(1+I135)</f>
        <v/>
      </c>
      <c r="X135">
        <f>IF(G135&gt;=2021,1,0)</f>
        <v/>
      </c>
      <c r="Y135">
        <f>N135</f>
        <v/>
      </c>
      <c r="Z135" s="23">
        <f>IF(ISNUMBER(M135),N135/MAX(M135,1),0)</f>
        <v/>
      </c>
      <c r="AA135">
        <f>P135</f>
        <v/>
      </c>
      <c r="AB135">
        <f>Q135</f>
        <v/>
      </c>
      <c r="AC135">
        <f>R135</f>
        <v/>
      </c>
      <c r="AD135">
        <f>S135</f>
        <v/>
      </c>
      <c r="AE135">
        <f>IF(ISNUMBER(SEARCH("CAPITAL FUNDING",D135)),1,0)</f>
        <v/>
      </c>
      <c r="AF135">
        <f>IF(ISNUMBER(SEARCH("MERCHANTS",D135)),1,0)</f>
        <v/>
      </c>
      <c r="AG135">
        <f>IF(ISNUMBER(SEARCH("WELLS FARGO",D135)),1,0)</f>
        <v/>
      </c>
      <c r="AH135">
        <f>IF(ISNUMBER(SEARCH("WALKER",D135)),1,0)</f>
        <v/>
      </c>
      <c r="AI135">
        <f>IF(ISNUMBER(SEARCH("PNC",D135)),1,0)</f>
        <v/>
      </c>
      <c r="AJ135">
        <f>IF(ISNUMBER(SEARCH("BERKADIA",D135)),1,0)</f>
        <v/>
      </c>
      <c r="AK135">
        <f>IF(ISNUMBER(SEARCH("DWIGHT",D135)),1,0)</f>
        <v/>
      </c>
      <c r="AL135" s="25">
        <f>T$4*(T135-T$3)</f>
        <v/>
      </c>
      <c r="AM135" s="25">
        <f>U$4*(U135-U$3)</f>
        <v/>
      </c>
      <c r="AN135" s="25">
        <f>V$4*(V135-V$3)</f>
        <v/>
      </c>
      <c r="AO135" s="25">
        <f>W$4*(W135-W$3)</f>
        <v/>
      </c>
      <c r="AP135" s="25">
        <f>X$4*(X135-X$3)</f>
        <v/>
      </c>
      <c r="AQ135" s="25">
        <f>Y$4*(Y135-Y$3)</f>
        <v/>
      </c>
      <c r="AR135" s="25">
        <f>Z$4*(Z135-Z$3)</f>
        <v/>
      </c>
      <c r="AS135" s="25">
        <f>AA$4*(AA135-AA$3)</f>
        <v/>
      </c>
      <c r="AT135" s="25">
        <f>AB$4*(AB135-AB$3)</f>
        <v/>
      </c>
      <c r="AU135" s="25">
        <f>AC$4*(AC135-AC$3)</f>
        <v/>
      </c>
      <c r="AV135" s="25">
        <f>AD$4*(AD135-AD$3)</f>
        <v/>
      </c>
      <c r="AW135" s="25">
        <f>AE$4*(AE135-AE$3)</f>
        <v/>
      </c>
      <c r="AX135" s="25">
        <f>AF$4*(AF135-AF$3)</f>
        <v/>
      </c>
      <c r="AY135" s="25">
        <f>AG$4*(AG135-AG$3)</f>
        <v/>
      </c>
      <c r="AZ135" s="25">
        <f>AH$4*(AH135-AH$3)</f>
        <v/>
      </c>
      <c r="BA135" s="25">
        <f>AI$4*(AI135-AI$3)</f>
        <v/>
      </c>
      <c r="BB135" s="25">
        <f>AJ$4*(AJ135-AJ$3)</f>
        <v/>
      </c>
      <c r="BC135" s="25">
        <f>AK$4*(AK135-AK$3)</f>
        <v/>
      </c>
      <c r="BD135" s="26">
        <f>SUM(AL135:BC135)</f>
        <v/>
      </c>
      <c r="BE135" s="26">
        <f>INTERCEPT_SCALED+BD135</f>
        <v/>
      </c>
      <c r="BF135" s="27">
        <f>1/(1+EXP(-BE135))</f>
        <v/>
      </c>
      <c r="BG135" s="13">
        <f>1-(1-BF135)^12</f>
        <v/>
      </c>
      <c r="BH135" s="13">
        <f>IFERROR(AL135/BD135*(BG135-BASELINE_CPR),0)</f>
        <v/>
      </c>
      <c r="BI135" s="13">
        <f>IFERROR(AM135/BD135*(BG135-BASELINE_CPR),0)</f>
        <v/>
      </c>
      <c r="BJ135" s="13">
        <f>IFERROR(AN135/BD135*(BG135-BASELINE_CPR),0)</f>
        <v/>
      </c>
      <c r="BK135" s="13">
        <f>IFERROR(AO135/BD135*(BG135-BASELINE_CPR),0)</f>
        <v/>
      </c>
      <c r="BL135" s="13">
        <f>IFERROR(AP135/BD135*(BG135-BASELINE_CPR),0)</f>
        <v/>
      </c>
      <c r="BM135" s="13">
        <f>IFERROR(AQ135/BD135*(BG135-BASELINE_CPR),0)</f>
        <v/>
      </c>
      <c r="BN135" s="13">
        <f>IFERROR(AR135/BD135*(BG135-BASELINE_CPR),0)</f>
        <v/>
      </c>
      <c r="BO135" s="13">
        <f>IFERROR(AS135/BD135*(BG135-BASELINE_CPR),0)</f>
        <v/>
      </c>
      <c r="BP135" s="13">
        <f>IFERROR(AT135/BD135*(BG135-BASELINE_CPR),0)</f>
        <v/>
      </c>
      <c r="BQ135" s="13">
        <f>IFERROR(AU135/BD135*(BG135-BASELINE_CPR),0)</f>
        <v/>
      </c>
      <c r="BR135" s="13">
        <f>IFERROR(AV135/BD135*(BG135-BASELINE_CPR),0)</f>
        <v/>
      </c>
      <c r="BS135" s="13">
        <f>IFERROR(AW135/BD135*(BG135-BASELINE_CPR),0)</f>
        <v/>
      </c>
      <c r="BT135" s="13">
        <f>IFERROR(AX135/BD135*(BG135-BASELINE_CPR),0)</f>
        <v/>
      </c>
      <c r="BU135" s="13">
        <f>IFERROR(AY135/BD135*(BG135-BASELINE_CPR),0)</f>
        <v/>
      </c>
      <c r="BV135" s="13">
        <f>IFERROR(AZ135/BD135*(BG135-BASELINE_CPR),0)</f>
        <v/>
      </c>
      <c r="BW135" s="13">
        <f>IFERROR(BA135/BD135*(BG135-BASELINE_CPR),0)</f>
        <v/>
      </c>
      <c r="BX135" s="13">
        <f>IFERROR(BB135/BD135*(BG135-BASELINE_CPR),0)</f>
        <v/>
      </c>
      <c r="BY135" s="13">
        <f>IFERROR(BC135/BD135*(BG135-BASELINE_CPR),0)</f>
        <v/>
      </c>
      <c r="BZ135" s="28">
        <f>BASELINE_CPR+SUM(BH135:BY135)-BG135</f>
        <v/>
      </c>
    </row>
    <row r="136">
      <c r="A136" s="2" t="inlineStr">
        <is>
          <t>3617N1GQ7_000000007311990</t>
        </is>
      </c>
      <c r="B136" t="inlineStr">
        <is>
          <t>MERCHANTS_PRE21</t>
        </is>
      </c>
      <c r="C136" s="2" t="inlineStr">
        <is>
          <t>3617N1GQ7</t>
        </is>
      </c>
      <c r="D136" t="inlineStr">
        <is>
          <t>MERCHANTS CAPITAL SERVICING LLC</t>
        </is>
      </c>
      <c r="E136" t="inlineStr">
        <is>
          <t>223f</t>
        </is>
      </c>
      <c r="F136" t="inlineStr">
        <is>
          <t>RP</t>
        </is>
      </c>
      <c r="G136" t="n">
        <v>2020</v>
      </c>
      <c r="H136" t="inlineStr">
        <is>
          <t>202602</t>
        </is>
      </c>
      <c r="I136" s="22" t="n">
        <v>35631447.08</v>
      </c>
      <c r="J136" s="23" t="n">
        <v>2.1</v>
      </c>
      <c r="K136" s="24" t="n">
        <v>447</v>
      </c>
      <c r="L136" s="24" t="n">
        <v>5</v>
      </c>
      <c r="M136" t="n">
        <v>65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s="24">
        <f>J136*100-(K136+(1+L136)*12.5)</f>
        <v/>
      </c>
      <c r="U136">
        <f>O136</f>
        <v/>
      </c>
      <c r="V136">
        <f>M136</f>
        <v/>
      </c>
      <c r="W136" s="23">
        <f>LN(1+I136)</f>
        <v/>
      </c>
      <c r="X136">
        <f>IF(G136&gt;=2021,1,0)</f>
        <v/>
      </c>
      <c r="Y136">
        <f>N136</f>
        <v/>
      </c>
      <c r="Z136" s="23">
        <f>IF(ISNUMBER(M136),N136/MAX(M136,1),0)</f>
        <v/>
      </c>
      <c r="AA136">
        <f>P136</f>
        <v/>
      </c>
      <c r="AB136">
        <f>Q136</f>
        <v/>
      </c>
      <c r="AC136">
        <f>R136</f>
        <v/>
      </c>
      <c r="AD136">
        <f>S136</f>
        <v/>
      </c>
      <c r="AE136">
        <f>IF(ISNUMBER(SEARCH("CAPITAL FUNDING",D136)),1,0)</f>
        <v/>
      </c>
      <c r="AF136">
        <f>IF(ISNUMBER(SEARCH("MERCHANTS",D136)),1,0)</f>
        <v/>
      </c>
      <c r="AG136">
        <f>IF(ISNUMBER(SEARCH("WELLS FARGO",D136)),1,0)</f>
        <v/>
      </c>
      <c r="AH136">
        <f>IF(ISNUMBER(SEARCH("WALKER",D136)),1,0)</f>
        <v/>
      </c>
      <c r="AI136">
        <f>IF(ISNUMBER(SEARCH("PNC",D136)),1,0)</f>
        <v/>
      </c>
      <c r="AJ136">
        <f>IF(ISNUMBER(SEARCH("BERKADIA",D136)),1,0)</f>
        <v/>
      </c>
      <c r="AK136">
        <f>IF(ISNUMBER(SEARCH("DWIGHT",D136)),1,0)</f>
        <v/>
      </c>
      <c r="AL136" s="25">
        <f>T$4*(T136-T$3)</f>
        <v/>
      </c>
      <c r="AM136" s="25">
        <f>U$4*(U136-U$3)</f>
        <v/>
      </c>
      <c r="AN136" s="25">
        <f>V$4*(V136-V$3)</f>
        <v/>
      </c>
      <c r="AO136" s="25">
        <f>W$4*(W136-W$3)</f>
        <v/>
      </c>
      <c r="AP136" s="25">
        <f>X$4*(X136-X$3)</f>
        <v/>
      </c>
      <c r="AQ136" s="25">
        <f>Y$4*(Y136-Y$3)</f>
        <v/>
      </c>
      <c r="AR136" s="25">
        <f>Z$4*(Z136-Z$3)</f>
        <v/>
      </c>
      <c r="AS136" s="25">
        <f>AA$4*(AA136-AA$3)</f>
        <v/>
      </c>
      <c r="AT136" s="25">
        <f>AB$4*(AB136-AB$3)</f>
        <v/>
      </c>
      <c r="AU136" s="25">
        <f>AC$4*(AC136-AC$3)</f>
        <v/>
      </c>
      <c r="AV136" s="25">
        <f>AD$4*(AD136-AD$3)</f>
        <v/>
      </c>
      <c r="AW136" s="25">
        <f>AE$4*(AE136-AE$3)</f>
        <v/>
      </c>
      <c r="AX136" s="25">
        <f>AF$4*(AF136-AF$3)</f>
        <v/>
      </c>
      <c r="AY136" s="25">
        <f>AG$4*(AG136-AG$3)</f>
        <v/>
      </c>
      <c r="AZ136" s="25">
        <f>AH$4*(AH136-AH$3)</f>
        <v/>
      </c>
      <c r="BA136" s="25">
        <f>AI$4*(AI136-AI$3)</f>
        <v/>
      </c>
      <c r="BB136" s="25">
        <f>AJ$4*(AJ136-AJ$3)</f>
        <v/>
      </c>
      <c r="BC136" s="25">
        <f>AK$4*(AK136-AK$3)</f>
        <v/>
      </c>
      <c r="BD136" s="26">
        <f>SUM(AL136:BC136)</f>
        <v/>
      </c>
      <c r="BE136" s="26">
        <f>INTERCEPT_SCALED+BD136</f>
        <v/>
      </c>
      <c r="BF136" s="27">
        <f>1/(1+EXP(-BE136))</f>
        <v/>
      </c>
      <c r="BG136" s="13">
        <f>1-(1-BF136)^12</f>
        <v/>
      </c>
      <c r="BH136" s="13">
        <f>IFERROR(AL136/BD136*(BG136-BASELINE_CPR),0)</f>
        <v/>
      </c>
      <c r="BI136" s="13">
        <f>IFERROR(AM136/BD136*(BG136-BASELINE_CPR),0)</f>
        <v/>
      </c>
      <c r="BJ136" s="13">
        <f>IFERROR(AN136/BD136*(BG136-BASELINE_CPR),0)</f>
        <v/>
      </c>
      <c r="BK136" s="13">
        <f>IFERROR(AO136/BD136*(BG136-BASELINE_CPR),0)</f>
        <v/>
      </c>
      <c r="BL136" s="13">
        <f>IFERROR(AP136/BD136*(BG136-BASELINE_CPR),0)</f>
        <v/>
      </c>
      <c r="BM136" s="13">
        <f>IFERROR(AQ136/BD136*(BG136-BASELINE_CPR),0)</f>
        <v/>
      </c>
      <c r="BN136" s="13">
        <f>IFERROR(AR136/BD136*(BG136-BASELINE_CPR),0)</f>
        <v/>
      </c>
      <c r="BO136" s="13">
        <f>IFERROR(AS136/BD136*(BG136-BASELINE_CPR),0)</f>
        <v/>
      </c>
      <c r="BP136" s="13">
        <f>IFERROR(AT136/BD136*(BG136-BASELINE_CPR),0)</f>
        <v/>
      </c>
      <c r="BQ136" s="13">
        <f>IFERROR(AU136/BD136*(BG136-BASELINE_CPR),0)</f>
        <v/>
      </c>
      <c r="BR136" s="13">
        <f>IFERROR(AV136/BD136*(BG136-BASELINE_CPR),0)</f>
        <v/>
      </c>
      <c r="BS136" s="13">
        <f>IFERROR(AW136/BD136*(BG136-BASELINE_CPR),0)</f>
        <v/>
      </c>
      <c r="BT136" s="13">
        <f>IFERROR(AX136/BD136*(BG136-BASELINE_CPR),0)</f>
        <v/>
      </c>
      <c r="BU136" s="13">
        <f>IFERROR(AY136/BD136*(BG136-BASELINE_CPR),0)</f>
        <v/>
      </c>
      <c r="BV136" s="13">
        <f>IFERROR(AZ136/BD136*(BG136-BASELINE_CPR),0)</f>
        <v/>
      </c>
      <c r="BW136" s="13">
        <f>IFERROR(BA136/BD136*(BG136-BASELINE_CPR),0)</f>
        <v/>
      </c>
      <c r="BX136" s="13">
        <f>IFERROR(BB136/BD136*(BG136-BASELINE_CPR),0)</f>
        <v/>
      </c>
      <c r="BY136" s="13">
        <f>IFERROR(BC136/BD136*(BG136-BASELINE_CPR),0)</f>
        <v/>
      </c>
      <c r="BZ136" s="28">
        <f>BASELINE_CPR+SUM(BH136:BY136)-BG136</f>
        <v/>
      </c>
    </row>
    <row r="137">
      <c r="A137" s="2" t="inlineStr">
        <is>
          <t>3617YEEM8_000000004322165</t>
        </is>
      </c>
      <c r="B137" t="inlineStr">
        <is>
          <t>MERCHANTS_POST21</t>
        </is>
      </c>
      <c r="C137" s="2" t="inlineStr">
        <is>
          <t>3617YEEM8</t>
        </is>
      </c>
      <c r="D137" t="inlineStr">
        <is>
          <t>MERCHANTS CAPITAL CORP.</t>
        </is>
      </c>
      <c r="E137" t="inlineStr">
        <is>
          <t>232</t>
        </is>
      </c>
      <c r="F137" t="inlineStr">
        <is>
          <t>RP</t>
        </is>
      </c>
      <c r="G137" t="n">
        <v>2022</v>
      </c>
      <c r="H137" t="inlineStr">
        <is>
          <t>202602</t>
        </is>
      </c>
      <c r="I137" s="22" t="n">
        <v>5891589.56</v>
      </c>
      <c r="J137" s="23" t="n">
        <v>2.95</v>
      </c>
      <c r="K137" s="24" t="n">
        <v>447</v>
      </c>
      <c r="L137" s="24" t="n">
        <v>7</v>
      </c>
      <c r="M137" t="n">
        <v>48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s="24">
        <f>J137*100-(K137+(1+L137)*12.5)</f>
        <v/>
      </c>
      <c r="U137">
        <f>O137</f>
        <v/>
      </c>
      <c r="V137">
        <f>M137</f>
        <v/>
      </c>
      <c r="W137" s="23">
        <f>LN(1+I137)</f>
        <v/>
      </c>
      <c r="X137">
        <f>IF(G137&gt;=2021,1,0)</f>
        <v/>
      </c>
      <c r="Y137">
        <f>N137</f>
        <v/>
      </c>
      <c r="Z137" s="23">
        <f>IF(ISNUMBER(M137),N137/MAX(M137,1),0)</f>
        <v/>
      </c>
      <c r="AA137">
        <f>P137</f>
        <v/>
      </c>
      <c r="AB137">
        <f>Q137</f>
        <v/>
      </c>
      <c r="AC137">
        <f>R137</f>
        <v/>
      </c>
      <c r="AD137">
        <f>S137</f>
        <v/>
      </c>
      <c r="AE137">
        <f>IF(ISNUMBER(SEARCH("CAPITAL FUNDING",D137)),1,0)</f>
        <v/>
      </c>
      <c r="AF137">
        <f>IF(ISNUMBER(SEARCH("MERCHANTS",D137)),1,0)</f>
        <v/>
      </c>
      <c r="AG137">
        <f>IF(ISNUMBER(SEARCH("WELLS FARGO",D137)),1,0)</f>
        <v/>
      </c>
      <c r="AH137">
        <f>IF(ISNUMBER(SEARCH("WALKER",D137)),1,0)</f>
        <v/>
      </c>
      <c r="AI137">
        <f>IF(ISNUMBER(SEARCH("PNC",D137)),1,0)</f>
        <v/>
      </c>
      <c r="AJ137">
        <f>IF(ISNUMBER(SEARCH("BERKADIA",D137)),1,0)</f>
        <v/>
      </c>
      <c r="AK137">
        <f>IF(ISNUMBER(SEARCH("DWIGHT",D137)),1,0)</f>
        <v/>
      </c>
      <c r="AL137" s="25">
        <f>T$4*(T137-T$3)</f>
        <v/>
      </c>
      <c r="AM137" s="25">
        <f>U$4*(U137-U$3)</f>
        <v/>
      </c>
      <c r="AN137" s="25">
        <f>V$4*(V137-V$3)</f>
        <v/>
      </c>
      <c r="AO137" s="25">
        <f>W$4*(W137-W$3)</f>
        <v/>
      </c>
      <c r="AP137" s="25">
        <f>X$4*(X137-X$3)</f>
        <v/>
      </c>
      <c r="AQ137" s="25">
        <f>Y$4*(Y137-Y$3)</f>
        <v/>
      </c>
      <c r="AR137" s="25">
        <f>Z$4*(Z137-Z$3)</f>
        <v/>
      </c>
      <c r="AS137" s="25">
        <f>AA$4*(AA137-AA$3)</f>
        <v/>
      </c>
      <c r="AT137" s="25">
        <f>AB$4*(AB137-AB$3)</f>
        <v/>
      </c>
      <c r="AU137" s="25">
        <f>AC$4*(AC137-AC$3)</f>
        <v/>
      </c>
      <c r="AV137" s="25">
        <f>AD$4*(AD137-AD$3)</f>
        <v/>
      </c>
      <c r="AW137" s="25">
        <f>AE$4*(AE137-AE$3)</f>
        <v/>
      </c>
      <c r="AX137" s="25">
        <f>AF$4*(AF137-AF$3)</f>
        <v/>
      </c>
      <c r="AY137" s="25">
        <f>AG$4*(AG137-AG$3)</f>
        <v/>
      </c>
      <c r="AZ137" s="25">
        <f>AH$4*(AH137-AH$3)</f>
        <v/>
      </c>
      <c r="BA137" s="25">
        <f>AI$4*(AI137-AI$3)</f>
        <v/>
      </c>
      <c r="BB137" s="25">
        <f>AJ$4*(AJ137-AJ$3)</f>
        <v/>
      </c>
      <c r="BC137" s="25">
        <f>AK$4*(AK137-AK$3)</f>
        <v/>
      </c>
      <c r="BD137" s="26">
        <f>SUM(AL137:BC137)</f>
        <v/>
      </c>
      <c r="BE137" s="26">
        <f>INTERCEPT_SCALED+BD137</f>
        <v/>
      </c>
      <c r="BF137" s="27">
        <f>1/(1+EXP(-BE137))</f>
        <v/>
      </c>
      <c r="BG137" s="13">
        <f>1-(1-BF137)^12</f>
        <v/>
      </c>
      <c r="BH137" s="13">
        <f>IFERROR(AL137/BD137*(BG137-BASELINE_CPR),0)</f>
        <v/>
      </c>
      <c r="BI137" s="13">
        <f>IFERROR(AM137/BD137*(BG137-BASELINE_CPR),0)</f>
        <v/>
      </c>
      <c r="BJ137" s="13">
        <f>IFERROR(AN137/BD137*(BG137-BASELINE_CPR),0)</f>
        <v/>
      </c>
      <c r="BK137" s="13">
        <f>IFERROR(AO137/BD137*(BG137-BASELINE_CPR),0)</f>
        <v/>
      </c>
      <c r="BL137" s="13">
        <f>IFERROR(AP137/BD137*(BG137-BASELINE_CPR),0)</f>
        <v/>
      </c>
      <c r="BM137" s="13">
        <f>IFERROR(AQ137/BD137*(BG137-BASELINE_CPR),0)</f>
        <v/>
      </c>
      <c r="BN137" s="13">
        <f>IFERROR(AR137/BD137*(BG137-BASELINE_CPR),0)</f>
        <v/>
      </c>
      <c r="BO137" s="13">
        <f>IFERROR(AS137/BD137*(BG137-BASELINE_CPR),0)</f>
        <v/>
      </c>
      <c r="BP137" s="13">
        <f>IFERROR(AT137/BD137*(BG137-BASELINE_CPR),0)</f>
        <v/>
      </c>
      <c r="BQ137" s="13">
        <f>IFERROR(AU137/BD137*(BG137-BASELINE_CPR),0)</f>
        <v/>
      </c>
      <c r="BR137" s="13">
        <f>IFERROR(AV137/BD137*(BG137-BASELINE_CPR),0)</f>
        <v/>
      </c>
      <c r="BS137" s="13">
        <f>IFERROR(AW137/BD137*(BG137-BASELINE_CPR),0)</f>
        <v/>
      </c>
      <c r="BT137" s="13">
        <f>IFERROR(AX137/BD137*(BG137-BASELINE_CPR),0)</f>
        <v/>
      </c>
      <c r="BU137" s="13">
        <f>IFERROR(AY137/BD137*(BG137-BASELINE_CPR),0)</f>
        <v/>
      </c>
      <c r="BV137" s="13">
        <f>IFERROR(AZ137/BD137*(BG137-BASELINE_CPR),0)</f>
        <v/>
      </c>
      <c r="BW137" s="13">
        <f>IFERROR(BA137/BD137*(BG137-BASELINE_CPR),0)</f>
        <v/>
      </c>
      <c r="BX137" s="13">
        <f>IFERROR(BB137/BD137*(BG137-BASELINE_CPR),0)</f>
        <v/>
      </c>
      <c r="BY137" s="13">
        <f>IFERROR(BC137/BD137*(BG137-BASELINE_CPR),0)</f>
        <v/>
      </c>
      <c r="BZ137" s="28">
        <f>BASELINE_CPR+SUM(BH137:BY137)-BG137</f>
        <v/>
      </c>
    </row>
    <row r="138">
      <c r="A138" s="2" t="inlineStr">
        <is>
          <t>36179GS87_000000004535249</t>
        </is>
      </c>
      <c r="B138" t="inlineStr">
        <is>
          <t>MERCHANTS_PRE21</t>
        </is>
      </c>
      <c r="C138" s="2" t="inlineStr">
        <is>
          <t>36179GS87</t>
        </is>
      </c>
      <c r="D138" t="inlineStr">
        <is>
          <t>MERCHANTS CAPITAL CORP.</t>
        </is>
      </c>
      <c r="E138" t="inlineStr">
        <is>
          <t>223a7</t>
        </is>
      </c>
      <c r="F138" t="inlineStr">
        <is>
          <t>RP</t>
        </is>
      </c>
      <c r="G138" t="n">
        <v>2013</v>
      </c>
      <c r="H138" t="inlineStr">
        <is>
          <t>202602</t>
        </is>
      </c>
      <c r="I138" s="22" t="n">
        <v>707351.03</v>
      </c>
      <c r="J138" s="23" t="n">
        <v>3.5</v>
      </c>
      <c r="K138" s="24" t="n">
        <v>447</v>
      </c>
      <c r="L138" s="24" t="n">
        <v>0</v>
      </c>
      <c r="M138" t="n">
        <v>151</v>
      </c>
      <c r="N138" t="n">
        <v>33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s="24">
        <f>J138*100-(K138+(1+L138)*12.5)</f>
        <v/>
      </c>
      <c r="U138">
        <f>O138</f>
        <v/>
      </c>
      <c r="V138">
        <f>M138</f>
        <v/>
      </c>
      <c r="W138" s="23">
        <f>LN(1+I138)</f>
        <v/>
      </c>
      <c r="X138">
        <f>IF(G138&gt;=2021,1,0)</f>
        <v/>
      </c>
      <c r="Y138">
        <f>N138</f>
        <v/>
      </c>
      <c r="Z138" s="23">
        <f>IF(ISNUMBER(M138),N138/MAX(M138,1),0)</f>
        <v/>
      </c>
      <c r="AA138">
        <f>P138</f>
        <v/>
      </c>
      <c r="AB138">
        <f>Q138</f>
        <v/>
      </c>
      <c r="AC138">
        <f>R138</f>
        <v/>
      </c>
      <c r="AD138">
        <f>S138</f>
        <v/>
      </c>
      <c r="AE138">
        <f>IF(ISNUMBER(SEARCH("CAPITAL FUNDING",D138)),1,0)</f>
        <v/>
      </c>
      <c r="AF138">
        <f>IF(ISNUMBER(SEARCH("MERCHANTS",D138)),1,0)</f>
        <v/>
      </c>
      <c r="AG138">
        <f>IF(ISNUMBER(SEARCH("WELLS FARGO",D138)),1,0)</f>
        <v/>
      </c>
      <c r="AH138">
        <f>IF(ISNUMBER(SEARCH("WALKER",D138)),1,0)</f>
        <v/>
      </c>
      <c r="AI138">
        <f>IF(ISNUMBER(SEARCH("PNC",D138)),1,0)</f>
        <v/>
      </c>
      <c r="AJ138">
        <f>IF(ISNUMBER(SEARCH("BERKADIA",D138)),1,0)</f>
        <v/>
      </c>
      <c r="AK138">
        <f>IF(ISNUMBER(SEARCH("DWIGHT",D138)),1,0)</f>
        <v/>
      </c>
      <c r="AL138" s="25">
        <f>T$4*(T138-T$3)</f>
        <v/>
      </c>
      <c r="AM138" s="25">
        <f>U$4*(U138-U$3)</f>
        <v/>
      </c>
      <c r="AN138" s="25">
        <f>V$4*(V138-V$3)</f>
        <v/>
      </c>
      <c r="AO138" s="25">
        <f>W$4*(W138-W$3)</f>
        <v/>
      </c>
      <c r="AP138" s="25">
        <f>X$4*(X138-X$3)</f>
        <v/>
      </c>
      <c r="AQ138" s="25">
        <f>Y$4*(Y138-Y$3)</f>
        <v/>
      </c>
      <c r="AR138" s="25">
        <f>Z$4*(Z138-Z$3)</f>
        <v/>
      </c>
      <c r="AS138" s="25">
        <f>AA$4*(AA138-AA$3)</f>
        <v/>
      </c>
      <c r="AT138" s="25">
        <f>AB$4*(AB138-AB$3)</f>
        <v/>
      </c>
      <c r="AU138" s="25">
        <f>AC$4*(AC138-AC$3)</f>
        <v/>
      </c>
      <c r="AV138" s="25">
        <f>AD$4*(AD138-AD$3)</f>
        <v/>
      </c>
      <c r="AW138" s="25">
        <f>AE$4*(AE138-AE$3)</f>
        <v/>
      </c>
      <c r="AX138" s="25">
        <f>AF$4*(AF138-AF$3)</f>
        <v/>
      </c>
      <c r="AY138" s="25">
        <f>AG$4*(AG138-AG$3)</f>
        <v/>
      </c>
      <c r="AZ138" s="25">
        <f>AH$4*(AH138-AH$3)</f>
        <v/>
      </c>
      <c r="BA138" s="25">
        <f>AI$4*(AI138-AI$3)</f>
        <v/>
      </c>
      <c r="BB138" s="25">
        <f>AJ$4*(AJ138-AJ$3)</f>
        <v/>
      </c>
      <c r="BC138" s="25">
        <f>AK$4*(AK138-AK$3)</f>
        <v/>
      </c>
      <c r="BD138" s="26">
        <f>SUM(AL138:BC138)</f>
        <v/>
      </c>
      <c r="BE138" s="26">
        <f>INTERCEPT_SCALED+BD138</f>
        <v/>
      </c>
      <c r="BF138" s="27">
        <f>1/(1+EXP(-BE138))</f>
        <v/>
      </c>
      <c r="BG138" s="13">
        <f>1-(1-BF138)^12</f>
        <v/>
      </c>
      <c r="BH138" s="13">
        <f>IFERROR(AL138/BD138*(BG138-BASELINE_CPR),0)</f>
        <v/>
      </c>
      <c r="BI138" s="13">
        <f>IFERROR(AM138/BD138*(BG138-BASELINE_CPR),0)</f>
        <v/>
      </c>
      <c r="BJ138" s="13">
        <f>IFERROR(AN138/BD138*(BG138-BASELINE_CPR),0)</f>
        <v/>
      </c>
      <c r="BK138" s="13">
        <f>IFERROR(AO138/BD138*(BG138-BASELINE_CPR),0)</f>
        <v/>
      </c>
      <c r="BL138" s="13">
        <f>IFERROR(AP138/BD138*(BG138-BASELINE_CPR),0)</f>
        <v/>
      </c>
      <c r="BM138" s="13">
        <f>IFERROR(AQ138/BD138*(BG138-BASELINE_CPR),0)</f>
        <v/>
      </c>
      <c r="BN138" s="13">
        <f>IFERROR(AR138/BD138*(BG138-BASELINE_CPR),0)</f>
        <v/>
      </c>
      <c r="BO138" s="13">
        <f>IFERROR(AS138/BD138*(BG138-BASELINE_CPR),0)</f>
        <v/>
      </c>
      <c r="BP138" s="13">
        <f>IFERROR(AT138/BD138*(BG138-BASELINE_CPR),0)</f>
        <v/>
      </c>
      <c r="BQ138" s="13">
        <f>IFERROR(AU138/BD138*(BG138-BASELINE_CPR),0)</f>
        <v/>
      </c>
      <c r="BR138" s="13">
        <f>IFERROR(AV138/BD138*(BG138-BASELINE_CPR),0)</f>
        <v/>
      </c>
      <c r="BS138" s="13">
        <f>IFERROR(AW138/BD138*(BG138-BASELINE_CPR),0)</f>
        <v/>
      </c>
      <c r="BT138" s="13">
        <f>IFERROR(AX138/BD138*(BG138-BASELINE_CPR),0)</f>
        <v/>
      </c>
      <c r="BU138" s="13">
        <f>IFERROR(AY138/BD138*(BG138-BASELINE_CPR),0)</f>
        <v/>
      </c>
      <c r="BV138" s="13">
        <f>IFERROR(AZ138/BD138*(BG138-BASELINE_CPR),0)</f>
        <v/>
      </c>
      <c r="BW138" s="13">
        <f>IFERROR(BA138/BD138*(BG138-BASELINE_CPR),0)</f>
        <v/>
      </c>
      <c r="BX138" s="13">
        <f>IFERROR(BB138/BD138*(BG138-BASELINE_CPR),0)</f>
        <v/>
      </c>
      <c r="BY138" s="13">
        <f>IFERROR(BC138/BD138*(BG138-BASELINE_CPR),0)</f>
        <v/>
      </c>
      <c r="BZ138" s="28">
        <f>BASELINE_CPR+SUM(BH138:BY138)-BG138</f>
        <v/>
      </c>
    </row>
    <row r="139">
      <c r="A139" s="2" t="inlineStr">
        <is>
          <t>36194VHB0_000000007211158</t>
        </is>
      </c>
      <c r="B139" t="inlineStr">
        <is>
          <t>MERCHANTS_PRE21</t>
        </is>
      </c>
      <c r="C139" s="2" t="inlineStr">
        <is>
          <t>36194VHB0</t>
        </is>
      </c>
      <c r="D139" t="inlineStr">
        <is>
          <t>MERCHANTS CAPITAL CORP.</t>
        </is>
      </c>
      <c r="E139" t="inlineStr">
        <is>
          <t>223f</t>
        </is>
      </c>
      <c r="F139" t="inlineStr">
        <is>
          <t>RP</t>
        </is>
      </c>
      <c r="G139" t="n">
        <v>2016</v>
      </c>
      <c r="H139" t="inlineStr">
        <is>
          <t>202602</t>
        </is>
      </c>
      <c r="I139" s="22" t="n">
        <v>1838375.43</v>
      </c>
      <c r="J139" s="23" t="n">
        <v>3.35</v>
      </c>
      <c r="K139" s="24" t="n">
        <v>447</v>
      </c>
      <c r="L139" s="24" t="n">
        <v>1</v>
      </c>
      <c r="M139" t="n">
        <v>115</v>
      </c>
      <c r="N139" t="n">
        <v>26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s="24">
        <f>J139*100-(K139+(1+L139)*12.5)</f>
        <v/>
      </c>
      <c r="U139">
        <f>O139</f>
        <v/>
      </c>
      <c r="V139">
        <f>M139</f>
        <v/>
      </c>
      <c r="W139" s="23">
        <f>LN(1+I139)</f>
        <v/>
      </c>
      <c r="X139">
        <f>IF(G139&gt;=2021,1,0)</f>
        <v/>
      </c>
      <c r="Y139">
        <f>N139</f>
        <v/>
      </c>
      <c r="Z139" s="23">
        <f>IF(ISNUMBER(M139),N139/MAX(M139,1),0)</f>
        <v/>
      </c>
      <c r="AA139">
        <f>P139</f>
        <v/>
      </c>
      <c r="AB139">
        <f>Q139</f>
        <v/>
      </c>
      <c r="AC139">
        <f>R139</f>
        <v/>
      </c>
      <c r="AD139">
        <f>S139</f>
        <v/>
      </c>
      <c r="AE139">
        <f>IF(ISNUMBER(SEARCH("CAPITAL FUNDING",D139)),1,0)</f>
        <v/>
      </c>
      <c r="AF139">
        <f>IF(ISNUMBER(SEARCH("MERCHANTS",D139)),1,0)</f>
        <v/>
      </c>
      <c r="AG139">
        <f>IF(ISNUMBER(SEARCH("WELLS FARGO",D139)),1,0)</f>
        <v/>
      </c>
      <c r="AH139">
        <f>IF(ISNUMBER(SEARCH("WALKER",D139)),1,0)</f>
        <v/>
      </c>
      <c r="AI139">
        <f>IF(ISNUMBER(SEARCH("PNC",D139)),1,0)</f>
        <v/>
      </c>
      <c r="AJ139">
        <f>IF(ISNUMBER(SEARCH("BERKADIA",D139)),1,0)</f>
        <v/>
      </c>
      <c r="AK139">
        <f>IF(ISNUMBER(SEARCH("DWIGHT",D139)),1,0)</f>
        <v/>
      </c>
      <c r="AL139" s="25">
        <f>T$4*(T139-T$3)</f>
        <v/>
      </c>
      <c r="AM139" s="25">
        <f>U$4*(U139-U$3)</f>
        <v/>
      </c>
      <c r="AN139" s="25">
        <f>V$4*(V139-V$3)</f>
        <v/>
      </c>
      <c r="AO139" s="25">
        <f>W$4*(W139-W$3)</f>
        <v/>
      </c>
      <c r="AP139" s="25">
        <f>X$4*(X139-X$3)</f>
        <v/>
      </c>
      <c r="AQ139" s="25">
        <f>Y$4*(Y139-Y$3)</f>
        <v/>
      </c>
      <c r="AR139" s="25">
        <f>Z$4*(Z139-Z$3)</f>
        <v/>
      </c>
      <c r="AS139" s="25">
        <f>AA$4*(AA139-AA$3)</f>
        <v/>
      </c>
      <c r="AT139" s="25">
        <f>AB$4*(AB139-AB$3)</f>
        <v/>
      </c>
      <c r="AU139" s="25">
        <f>AC$4*(AC139-AC$3)</f>
        <v/>
      </c>
      <c r="AV139" s="25">
        <f>AD$4*(AD139-AD$3)</f>
        <v/>
      </c>
      <c r="AW139" s="25">
        <f>AE$4*(AE139-AE$3)</f>
        <v/>
      </c>
      <c r="AX139" s="25">
        <f>AF$4*(AF139-AF$3)</f>
        <v/>
      </c>
      <c r="AY139" s="25">
        <f>AG$4*(AG139-AG$3)</f>
        <v/>
      </c>
      <c r="AZ139" s="25">
        <f>AH$4*(AH139-AH$3)</f>
        <v/>
      </c>
      <c r="BA139" s="25">
        <f>AI$4*(AI139-AI$3)</f>
        <v/>
      </c>
      <c r="BB139" s="25">
        <f>AJ$4*(AJ139-AJ$3)</f>
        <v/>
      </c>
      <c r="BC139" s="25">
        <f>AK$4*(AK139-AK$3)</f>
        <v/>
      </c>
      <c r="BD139" s="26">
        <f>SUM(AL139:BC139)</f>
        <v/>
      </c>
      <c r="BE139" s="26">
        <f>INTERCEPT_SCALED+BD139</f>
        <v/>
      </c>
      <c r="BF139" s="27">
        <f>1/(1+EXP(-BE139))</f>
        <v/>
      </c>
      <c r="BG139" s="13">
        <f>1-(1-BF139)^12</f>
        <v/>
      </c>
      <c r="BH139" s="13">
        <f>IFERROR(AL139/BD139*(BG139-BASELINE_CPR),0)</f>
        <v/>
      </c>
      <c r="BI139" s="13">
        <f>IFERROR(AM139/BD139*(BG139-BASELINE_CPR),0)</f>
        <v/>
      </c>
      <c r="BJ139" s="13">
        <f>IFERROR(AN139/BD139*(BG139-BASELINE_CPR),0)</f>
        <v/>
      </c>
      <c r="BK139" s="13">
        <f>IFERROR(AO139/BD139*(BG139-BASELINE_CPR),0)</f>
        <v/>
      </c>
      <c r="BL139" s="13">
        <f>IFERROR(AP139/BD139*(BG139-BASELINE_CPR),0)</f>
        <v/>
      </c>
      <c r="BM139" s="13">
        <f>IFERROR(AQ139/BD139*(BG139-BASELINE_CPR),0)</f>
        <v/>
      </c>
      <c r="BN139" s="13">
        <f>IFERROR(AR139/BD139*(BG139-BASELINE_CPR),0)</f>
        <v/>
      </c>
      <c r="BO139" s="13">
        <f>IFERROR(AS139/BD139*(BG139-BASELINE_CPR),0)</f>
        <v/>
      </c>
      <c r="BP139" s="13">
        <f>IFERROR(AT139/BD139*(BG139-BASELINE_CPR),0)</f>
        <v/>
      </c>
      <c r="BQ139" s="13">
        <f>IFERROR(AU139/BD139*(BG139-BASELINE_CPR),0)</f>
        <v/>
      </c>
      <c r="BR139" s="13">
        <f>IFERROR(AV139/BD139*(BG139-BASELINE_CPR),0)</f>
        <v/>
      </c>
      <c r="BS139" s="13">
        <f>IFERROR(AW139/BD139*(BG139-BASELINE_CPR),0)</f>
        <v/>
      </c>
      <c r="BT139" s="13">
        <f>IFERROR(AX139/BD139*(BG139-BASELINE_CPR),0)</f>
        <v/>
      </c>
      <c r="BU139" s="13">
        <f>IFERROR(AY139/BD139*(BG139-BASELINE_CPR),0)</f>
        <v/>
      </c>
      <c r="BV139" s="13">
        <f>IFERROR(AZ139/BD139*(BG139-BASELINE_CPR),0)</f>
        <v/>
      </c>
      <c r="BW139" s="13">
        <f>IFERROR(BA139/BD139*(BG139-BASELINE_CPR),0)</f>
        <v/>
      </c>
      <c r="BX139" s="13">
        <f>IFERROR(BB139/BD139*(BG139-BASELINE_CPR),0)</f>
        <v/>
      </c>
      <c r="BY139" s="13">
        <f>IFERROR(BC139/BD139*(BG139-BASELINE_CPR),0)</f>
        <v/>
      </c>
      <c r="BZ139" s="28">
        <f>BASELINE_CPR+SUM(BH139:BY139)-BG139</f>
        <v/>
      </c>
    </row>
    <row r="140">
      <c r="A140" s="2" t="inlineStr">
        <is>
          <t>3617HGV50_000000011535893</t>
        </is>
      </c>
      <c r="B140" t="inlineStr">
        <is>
          <t>PNC_PRE21</t>
        </is>
      </c>
      <c r="C140" s="2" t="inlineStr">
        <is>
          <t>3617HGV50</t>
        </is>
      </c>
      <c r="D140" t="inlineStr">
        <is>
          <t>PNC BANK, NA</t>
        </is>
      </c>
      <c r="E140" t="inlineStr">
        <is>
          <t>221d4</t>
        </is>
      </c>
      <c r="F140" t="inlineStr">
        <is>
          <t>NC</t>
        </is>
      </c>
      <c r="G140" t="n">
        <v>2020</v>
      </c>
      <c r="H140" t="inlineStr">
        <is>
          <t>202602</t>
        </is>
      </c>
      <c r="I140" s="22" t="n">
        <v>15491709.69</v>
      </c>
      <c r="J140" s="23" t="n">
        <v>2.99</v>
      </c>
      <c r="K140" s="24" t="n">
        <v>447</v>
      </c>
      <c r="L140" s="24" t="n">
        <v>7</v>
      </c>
      <c r="M140" t="n">
        <v>68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1</v>
      </c>
      <c r="T140" s="24">
        <f>J140*100-(K140+(1+L140)*12.5)</f>
        <v/>
      </c>
      <c r="U140">
        <f>O140</f>
        <v/>
      </c>
      <c r="V140">
        <f>M140</f>
        <v/>
      </c>
      <c r="W140" s="23">
        <f>LN(1+I140)</f>
        <v/>
      </c>
      <c r="X140">
        <f>IF(G140&gt;=2021,1,0)</f>
        <v/>
      </c>
      <c r="Y140">
        <f>N140</f>
        <v/>
      </c>
      <c r="Z140" s="23">
        <f>IF(ISNUMBER(M140),N140/MAX(M140,1),0)</f>
        <v/>
      </c>
      <c r="AA140">
        <f>P140</f>
        <v/>
      </c>
      <c r="AB140">
        <f>Q140</f>
        <v/>
      </c>
      <c r="AC140">
        <f>R140</f>
        <v/>
      </c>
      <c r="AD140">
        <f>S140</f>
        <v/>
      </c>
      <c r="AE140">
        <f>IF(ISNUMBER(SEARCH("CAPITAL FUNDING",D140)),1,0)</f>
        <v/>
      </c>
      <c r="AF140">
        <f>IF(ISNUMBER(SEARCH("MERCHANTS",D140)),1,0)</f>
        <v/>
      </c>
      <c r="AG140">
        <f>IF(ISNUMBER(SEARCH("WELLS FARGO",D140)),1,0)</f>
        <v/>
      </c>
      <c r="AH140">
        <f>IF(ISNUMBER(SEARCH("WALKER",D140)),1,0)</f>
        <v/>
      </c>
      <c r="AI140">
        <f>IF(ISNUMBER(SEARCH("PNC",D140)),1,0)</f>
        <v/>
      </c>
      <c r="AJ140">
        <f>IF(ISNUMBER(SEARCH("BERKADIA",D140)),1,0)</f>
        <v/>
      </c>
      <c r="AK140">
        <f>IF(ISNUMBER(SEARCH("DWIGHT",D140)),1,0)</f>
        <v/>
      </c>
      <c r="AL140" s="25">
        <f>T$4*(T140-T$3)</f>
        <v/>
      </c>
      <c r="AM140" s="25">
        <f>U$4*(U140-U$3)</f>
        <v/>
      </c>
      <c r="AN140" s="25">
        <f>V$4*(V140-V$3)</f>
        <v/>
      </c>
      <c r="AO140" s="25">
        <f>W$4*(W140-W$3)</f>
        <v/>
      </c>
      <c r="AP140" s="25">
        <f>X$4*(X140-X$3)</f>
        <v/>
      </c>
      <c r="AQ140" s="25">
        <f>Y$4*(Y140-Y$3)</f>
        <v/>
      </c>
      <c r="AR140" s="25">
        <f>Z$4*(Z140-Z$3)</f>
        <v/>
      </c>
      <c r="AS140" s="25">
        <f>AA$4*(AA140-AA$3)</f>
        <v/>
      </c>
      <c r="AT140" s="25">
        <f>AB$4*(AB140-AB$3)</f>
        <v/>
      </c>
      <c r="AU140" s="25">
        <f>AC$4*(AC140-AC$3)</f>
        <v/>
      </c>
      <c r="AV140" s="25">
        <f>AD$4*(AD140-AD$3)</f>
        <v/>
      </c>
      <c r="AW140" s="25">
        <f>AE$4*(AE140-AE$3)</f>
        <v/>
      </c>
      <c r="AX140" s="25">
        <f>AF$4*(AF140-AF$3)</f>
        <v/>
      </c>
      <c r="AY140" s="25">
        <f>AG$4*(AG140-AG$3)</f>
        <v/>
      </c>
      <c r="AZ140" s="25">
        <f>AH$4*(AH140-AH$3)</f>
        <v/>
      </c>
      <c r="BA140" s="25">
        <f>AI$4*(AI140-AI$3)</f>
        <v/>
      </c>
      <c r="BB140" s="25">
        <f>AJ$4*(AJ140-AJ$3)</f>
        <v/>
      </c>
      <c r="BC140" s="25">
        <f>AK$4*(AK140-AK$3)</f>
        <v/>
      </c>
      <c r="BD140" s="26">
        <f>SUM(AL140:BC140)</f>
        <v/>
      </c>
      <c r="BE140" s="26">
        <f>INTERCEPT_SCALED+BD140</f>
        <v/>
      </c>
      <c r="BF140" s="27">
        <f>1/(1+EXP(-BE140))</f>
        <v/>
      </c>
      <c r="BG140" s="13">
        <f>1-(1-BF140)^12</f>
        <v/>
      </c>
      <c r="BH140" s="13">
        <f>IFERROR(AL140/BD140*(BG140-BASELINE_CPR),0)</f>
        <v/>
      </c>
      <c r="BI140" s="13">
        <f>IFERROR(AM140/BD140*(BG140-BASELINE_CPR),0)</f>
        <v/>
      </c>
      <c r="BJ140" s="13">
        <f>IFERROR(AN140/BD140*(BG140-BASELINE_CPR),0)</f>
        <v/>
      </c>
      <c r="BK140" s="13">
        <f>IFERROR(AO140/BD140*(BG140-BASELINE_CPR),0)</f>
        <v/>
      </c>
      <c r="BL140" s="13">
        <f>IFERROR(AP140/BD140*(BG140-BASELINE_CPR),0)</f>
        <v/>
      </c>
      <c r="BM140" s="13">
        <f>IFERROR(AQ140/BD140*(BG140-BASELINE_CPR),0)</f>
        <v/>
      </c>
      <c r="BN140" s="13">
        <f>IFERROR(AR140/BD140*(BG140-BASELINE_CPR),0)</f>
        <v/>
      </c>
      <c r="BO140" s="13">
        <f>IFERROR(AS140/BD140*(BG140-BASELINE_CPR),0)</f>
        <v/>
      </c>
      <c r="BP140" s="13">
        <f>IFERROR(AT140/BD140*(BG140-BASELINE_CPR),0)</f>
        <v/>
      </c>
      <c r="BQ140" s="13">
        <f>IFERROR(AU140/BD140*(BG140-BASELINE_CPR),0)</f>
        <v/>
      </c>
      <c r="BR140" s="13">
        <f>IFERROR(AV140/BD140*(BG140-BASELINE_CPR),0)</f>
        <v/>
      </c>
      <c r="BS140" s="13">
        <f>IFERROR(AW140/BD140*(BG140-BASELINE_CPR),0)</f>
        <v/>
      </c>
      <c r="BT140" s="13">
        <f>IFERROR(AX140/BD140*(BG140-BASELINE_CPR),0)</f>
        <v/>
      </c>
      <c r="BU140" s="13">
        <f>IFERROR(AY140/BD140*(BG140-BASELINE_CPR),0)</f>
        <v/>
      </c>
      <c r="BV140" s="13">
        <f>IFERROR(AZ140/BD140*(BG140-BASELINE_CPR),0)</f>
        <v/>
      </c>
      <c r="BW140" s="13">
        <f>IFERROR(BA140/BD140*(BG140-BASELINE_CPR),0)</f>
        <v/>
      </c>
      <c r="BX140" s="13">
        <f>IFERROR(BB140/BD140*(BG140-BASELINE_CPR),0)</f>
        <v/>
      </c>
      <c r="BY140" s="13">
        <f>IFERROR(BC140/BD140*(BG140-BASELINE_CPR),0)</f>
        <v/>
      </c>
      <c r="BZ140" s="28">
        <f>BASELINE_CPR+SUM(BH140:BY140)-BG140</f>
        <v/>
      </c>
    </row>
    <row r="141">
      <c r="A141" s="2" t="inlineStr">
        <is>
          <t>36186PSP0_000000007535415</t>
        </is>
      </c>
      <c r="B141" t="inlineStr">
        <is>
          <t>PNC_PRE21</t>
        </is>
      </c>
      <c r="C141" s="2" t="inlineStr">
        <is>
          <t>36186PSP0</t>
        </is>
      </c>
      <c r="D141" t="inlineStr">
        <is>
          <t>PNC BANK, NA</t>
        </is>
      </c>
      <c r="E141" t="inlineStr">
        <is>
          <t>221d4</t>
        </is>
      </c>
      <c r="F141" t="inlineStr">
        <is>
          <t>NC</t>
        </is>
      </c>
      <c r="G141" t="n">
        <v>2015</v>
      </c>
      <c r="H141" t="inlineStr">
        <is>
          <t>202602</t>
        </is>
      </c>
      <c r="I141" s="22" t="n">
        <v>4231318.11</v>
      </c>
      <c r="J141" s="23" t="n">
        <v>3.35</v>
      </c>
      <c r="K141" s="24" t="n">
        <v>447</v>
      </c>
      <c r="L141" s="24" t="n">
        <v>0</v>
      </c>
      <c r="M141" t="n">
        <v>127</v>
      </c>
      <c r="N141" t="n">
        <v>29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s="24">
        <f>J141*100-(K141+(1+L141)*12.5)</f>
        <v/>
      </c>
      <c r="U141">
        <f>O141</f>
        <v/>
      </c>
      <c r="V141">
        <f>M141</f>
        <v/>
      </c>
      <c r="W141" s="23">
        <f>LN(1+I141)</f>
        <v/>
      </c>
      <c r="X141">
        <f>IF(G141&gt;=2021,1,0)</f>
        <v/>
      </c>
      <c r="Y141">
        <f>N141</f>
        <v/>
      </c>
      <c r="Z141" s="23">
        <f>IF(ISNUMBER(M141),N141/MAX(M141,1),0)</f>
        <v/>
      </c>
      <c r="AA141">
        <f>P141</f>
        <v/>
      </c>
      <c r="AB141">
        <f>Q141</f>
        <v/>
      </c>
      <c r="AC141">
        <f>R141</f>
        <v/>
      </c>
      <c r="AD141">
        <f>S141</f>
        <v/>
      </c>
      <c r="AE141">
        <f>IF(ISNUMBER(SEARCH("CAPITAL FUNDING",D141)),1,0)</f>
        <v/>
      </c>
      <c r="AF141">
        <f>IF(ISNUMBER(SEARCH("MERCHANTS",D141)),1,0)</f>
        <v/>
      </c>
      <c r="AG141">
        <f>IF(ISNUMBER(SEARCH("WELLS FARGO",D141)),1,0)</f>
        <v/>
      </c>
      <c r="AH141">
        <f>IF(ISNUMBER(SEARCH("WALKER",D141)),1,0)</f>
        <v/>
      </c>
      <c r="AI141">
        <f>IF(ISNUMBER(SEARCH("PNC",D141)),1,0)</f>
        <v/>
      </c>
      <c r="AJ141">
        <f>IF(ISNUMBER(SEARCH("BERKADIA",D141)),1,0)</f>
        <v/>
      </c>
      <c r="AK141">
        <f>IF(ISNUMBER(SEARCH("DWIGHT",D141)),1,0)</f>
        <v/>
      </c>
      <c r="AL141" s="25">
        <f>T$4*(T141-T$3)</f>
        <v/>
      </c>
      <c r="AM141" s="25">
        <f>U$4*(U141-U$3)</f>
        <v/>
      </c>
      <c r="AN141" s="25">
        <f>V$4*(V141-V$3)</f>
        <v/>
      </c>
      <c r="AO141" s="25">
        <f>W$4*(W141-W$3)</f>
        <v/>
      </c>
      <c r="AP141" s="25">
        <f>X$4*(X141-X$3)</f>
        <v/>
      </c>
      <c r="AQ141" s="25">
        <f>Y$4*(Y141-Y$3)</f>
        <v/>
      </c>
      <c r="AR141" s="25">
        <f>Z$4*(Z141-Z$3)</f>
        <v/>
      </c>
      <c r="AS141" s="25">
        <f>AA$4*(AA141-AA$3)</f>
        <v/>
      </c>
      <c r="AT141" s="25">
        <f>AB$4*(AB141-AB$3)</f>
        <v/>
      </c>
      <c r="AU141" s="25">
        <f>AC$4*(AC141-AC$3)</f>
        <v/>
      </c>
      <c r="AV141" s="25">
        <f>AD$4*(AD141-AD$3)</f>
        <v/>
      </c>
      <c r="AW141" s="25">
        <f>AE$4*(AE141-AE$3)</f>
        <v/>
      </c>
      <c r="AX141" s="25">
        <f>AF$4*(AF141-AF$3)</f>
        <v/>
      </c>
      <c r="AY141" s="25">
        <f>AG$4*(AG141-AG$3)</f>
        <v/>
      </c>
      <c r="AZ141" s="25">
        <f>AH$4*(AH141-AH$3)</f>
        <v/>
      </c>
      <c r="BA141" s="25">
        <f>AI$4*(AI141-AI$3)</f>
        <v/>
      </c>
      <c r="BB141" s="25">
        <f>AJ$4*(AJ141-AJ$3)</f>
        <v/>
      </c>
      <c r="BC141" s="25">
        <f>AK$4*(AK141-AK$3)</f>
        <v/>
      </c>
      <c r="BD141" s="26">
        <f>SUM(AL141:BC141)</f>
        <v/>
      </c>
      <c r="BE141" s="26">
        <f>INTERCEPT_SCALED+BD141</f>
        <v/>
      </c>
      <c r="BF141" s="27">
        <f>1/(1+EXP(-BE141))</f>
        <v/>
      </c>
      <c r="BG141" s="13">
        <f>1-(1-BF141)^12</f>
        <v/>
      </c>
      <c r="BH141" s="13">
        <f>IFERROR(AL141/BD141*(BG141-BASELINE_CPR),0)</f>
        <v/>
      </c>
      <c r="BI141" s="13">
        <f>IFERROR(AM141/BD141*(BG141-BASELINE_CPR),0)</f>
        <v/>
      </c>
      <c r="BJ141" s="13">
        <f>IFERROR(AN141/BD141*(BG141-BASELINE_CPR),0)</f>
        <v/>
      </c>
      <c r="BK141" s="13">
        <f>IFERROR(AO141/BD141*(BG141-BASELINE_CPR),0)</f>
        <v/>
      </c>
      <c r="BL141" s="13">
        <f>IFERROR(AP141/BD141*(BG141-BASELINE_CPR),0)</f>
        <v/>
      </c>
      <c r="BM141" s="13">
        <f>IFERROR(AQ141/BD141*(BG141-BASELINE_CPR),0)</f>
        <v/>
      </c>
      <c r="BN141" s="13">
        <f>IFERROR(AR141/BD141*(BG141-BASELINE_CPR),0)</f>
        <v/>
      </c>
      <c r="BO141" s="13">
        <f>IFERROR(AS141/BD141*(BG141-BASELINE_CPR),0)</f>
        <v/>
      </c>
      <c r="BP141" s="13">
        <f>IFERROR(AT141/BD141*(BG141-BASELINE_CPR),0)</f>
        <v/>
      </c>
      <c r="BQ141" s="13">
        <f>IFERROR(AU141/BD141*(BG141-BASELINE_CPR),0)</f>
        <v/>
      </c>
      <c r="BR141" s="13">
        <f>IFERROR(AV141/BD141*(BG141-BASELINE_CPR),0)</f>
        <v/>
      </c>
      <c r="BS141" s="13">
        <f>IFERROR(AW141/BD141*(BG141-BASELINE_CPR),0)</f>
        <v/>
      </c>
      <c r="BT141" s="13">
        <f>IFERROR(AX141/BD141*(BG141-BASELINE_CPR),0)</f>
        <v/>
      </c>
      <c r="BU141" s="13">
        <f>IFERROR(AY141/BD141*(BG141-BASELINE_CPR),0)</f>
        <v/>
      </c>
      <c r="BV141" s="13">
        <f>IFERROR(AZ141/BD141*(BG141-BASELINE_CPR),0)</f>
        <v/>
      </c>
      <c r="BW141" s="13">
        <f>IFERROR(BA141/BD141*(BG141-BASELINE_CPR),0)</f>
        <v/>
      </c>
      <c r="BX141" s="13">
        <f>IFERROR(BB141/BD141*(BG141-BASELINE_CPR),0)</f>
        <v/>
      </c>
      <c r="BY141" s="13">
        <f>IFERROR(BC141/BD141*(BG141-BASELINE_CPR),0)</f>
        <v/>
      </c>
      <c r="BZ141" s="28">
        <f>BASELINE_CPR+SUM(BH141:BY141)-BG141</f>
        <v/>
      </c>
    </row>
    <row r="142">
      <c r="A142" s="2" t="inlineStr">
        <is>
          <t>36295AMH5_000000004711044</t>
        </is>
      </c>
      <c r="B142" t="inlineStr">
        <is>
          <t>PNC_PRE21</t>
        </is>
      </c>
      <c r="C142" s="2" t="inlineStr">
        <is>
          <t>36295AMH5</t>
        </is>
      </c>
      <c r="D142" t="inlineStr">
        <is>
          <t>PNC BANK, NA</t>
        </is>
      </c>
      <c r="E142" t="inlineStr">
        <is>
          <t>223f</t>
        </is>
      </c>
      <c r="F142" t="inlineStr">
        <is>
          <t>RP</t>
        </is>
      </c>
      <c r="G142" t="n">
        <v>2007</v>
      </c>
      <c r="H142" t="inlineStr">
        <is>
          <t>202602</t>
        </is>
      </c>
      <c r="I142" s="22" t="n">
        <v>656933.48</v>
      </c>
      <c r="J142" s="23" t="n">
        <v>5.8</v>
      </c>
      <c r="K142" s="24" t="n">
        <v>447</v>
      </c>
      <c r="L142" s="24" t="n">
        <v>0</v>
      </c>
      <c r="M142" t="n">
        <v>223</v>
      </c>
      <c r="N142" t="n">
        <v>85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s="24">
        <f>J142*100-(K142+(1+L142)*12.5)</f>
        <v/>
      </c>
      <c r="U142">
        <f>O142</f>
        <v/>
      </c>
      <c r="V142">
        <f>M142</f>
        <v/>
      </c>
      <c r="W142" s="23">
        <f>LN(1+I142)</f>
        <v/>
      </c>
      <c r="X142">
        <f>IF(G142&gt;=2021,1,0)</f>
        <v/>
      </c>
      <c r="Y142">
        <f>N142</f>
        <v/>
      </c>
      <c r="Z142" s="23">
        <f>IF(ISNUMBER(M142),N142/MAX(M142,1),0)</f>
        <v/>
      </c>
      <c r="AA142">
        <f>P142</f>
        <v/>
      </c>
      <c r="AB142">
        <f>Q142</f>
        <v/>
      </c>
      <c r="AC142">
        <f>R142</f>
        <v/>
      </c>
      <c r="AD142">
        <f>S142</f>
        <v/>
      </c>
      <c r="AE142">
        <f>IF(ISNUMBER(SEARCH("CAPITAL FUNDING",D142)),1,0)</f>
        <v/>
      </c>
      <c r="AF142">
        <f>IF(ISNUMBER(SEARCH("MERCHANTS",D142)),1,0)</f>
        <v/>
      </c>
      <c r="AG142">
        <f>IF(ISNUMBER(SEARCH("WELLS FARGO",D142)),1,0)</f>
        <v/>
      </c>
      <c r="AH142">
        <f>IF(ISNUMBER(SEARCH("WALKER",D142)),1,0)</f>
        <v/>
      </c>
      <c r="AI142">
        <f>IF(ISNUMBER(SEARCH("PNC",D142)),1,0)</f>
        <v/>
      </c>
      <c r="AJ142">
        <f>IF(ISNUMBER(SEARCH("BERKADIA",D142)),1,0)</f>
        <v/>
      </c>
      <c r="AK142">
        <f>IF(ISNUMBER(SEARCH("DWIGHT",D142)),1,0)</f>
        <v/>
      </c>
      <c r="AL142" s="25">
        <f>T$4*(T142-T$3)</f>
        <v/>
      </c>
      <c r="AM142" s="25">
        <f>U$4*(U142-U$3)</f>
        <v/>
      </c>
      <c r="AN142" s="25">
        <f>V$4*(V142-V$3)</f>
        <v/>
      </c>
      <c r="AO142" s="25">
        <f>W$4*(W142-W$3)</f>
        <v/>
      </c>
      <c r="AP142" s="25">
        <f>X$4*(X142-X$3)</f>
        <v/>
      </c>
      <c r="AQ142" s="25">
        <f>Y$4*(Y142-Y$3)</f>
        <v/>
      </c>
      <c r="AR142" s="25">
        <f>Z$4*(Z142-Z$3)</f>
        <v/>
      </c>
      <c r="AS142" s="25">
        <f>AA$4*(AA142-AA$3)</f>
        <v/>
      </c>
      <c r="AT142" s="25">
        <f>AB$4*(AB142-AB$3)</f>
        <v/>
      </c>
      <c r="AU142" s="25">
        <f>AC$4*(AC142-AC$3)</f>
        <v/>
      </c>
      <c r="AV142" s="25">
        <f>AD$4*(AD142-AD$3)</f>
        <v/>
      </c>
      <c r="AW142" s="25">
        <f>AE$4*(AE142-AE$3)</f>
        <v/>
      </c>
      <c r="AX142" s="25">
        <f>AF$4*(AF142-AF$3)</f>
        <v/>
      </c>
      <c r="AY142" s="25">
        <f>AG$4*(AG142-AG$3)</f>
        <v/>
      </c>
      <c r="AZ142" s="25">
        <f>AH$4*(AH142-AH$3)</f>
        <v/>
      </c>
      <c r="BA142" s="25">
        <f>AI$4*(AI142-AI$3)</f>
        <v/>
      </c>
      <c r="BB142" s="25">
        <f>AJ$4*(AJ142-AJ$3)</f>
        <v/>
      </c>
      <c r="BC142" s="25">
        <f>AK$4*(AK142-AK$3)</f>
        <v/>
      </c>
      <c r="BD142" s="26">
        <f>SUM(AL142:BC142)</f>
        <v/>
      </c>
      <c r="BE142" s="26">
        <f>INTERCEPT_SCALED+BD142</f>
        <v/>
      </c>
      <c r="BF142" s="27">
        <f>1/(1+EXP(-BE142))</f>
        <v/>
      </c>
      <c r="BG142" s="13">
        <f>1-(1-BF142)^12</f>
        <v/>
      </c>
      <c r="BH142" s="13">
        <f>IFERROR(AL142/BD142*(BG142-BASELINE_CPR),0)</f>
        <v/>
      </c>
      <c r="BI142" s="13">
        <f>IFERROR(AM142/BD142*(BG142-BASELINE_CPR),0)</f>
        <v/>
      </c>
      <c r="BJ142" s="13">
        <f>IFERROR(AN142/BD142*(BG142-BASELINE_CPR),0)</f>
        <v/>
      </c>
      <c r="BK142" s="13">
        <f>IFERROR(AO142/BD142*(BG142-BASELINE_CPR),0)</f>
        <v/>
      </c>
      <c r="BL142" s="13">
        <f>IFERROR(AP142/BD142*(BG142-BASELINE_CPR),0)</f>
        <v/>
      </c>
      <c r="BM142" s="13">
        <f>IFERROR(AQ142/BD142*(BG142-BASELINE_CPR),0)</f>
        <v/>
      </c>
      <c r="BN142" s="13">
        <f>IFERROR(AR142/BD142*(BG142-BASELINE_CPR),0)</f>
        <v/>
      </c>
      <c r="BO142" s="13">
        <f>IFERROR(AS142/BD142*(BG142-BASELINE_CPR),0)</f>
        <v/>
      </c>
      <c r="BP142" s="13">
        <f>IFERROR(AT142/BD142*(BG142-BASELINE_CPR),0)</f>
        <v/>
      </c>
      <c r="BQ142" s="13">
        <f>IFERROR(AU142/BD142*(BG142-BASELINE_CPR),0)</f>
        <v/>
      </c>
      <c r="BR142" s="13">
        <f>IFERROR(AV142/BD142*(BG142-BASELINE_CPR),0)</f>
        <v/>
      </c>
      <c r="BS142" s="13">
        <f>IFERROR(AW142/BD142*(BG142-BASELINE_CPR),0)</f>
        <v/>
      </c>
      <c r="BT142" s="13">
        <f>IFERROR(AX142/BD142*(BG142-BASELINE_CPR),0)</f>
        <v/>
      </c>
      <c r="BU142" s="13">
        <f>IFERROR(AY142/BD142*(BG142-BASELINE_CPR),0)</f>
        <v/>
      </c>
      <c r="BV142" s="13">
        <f>IFERROR(AZ142/BD142*(BG142-BASELINE_CPR),0)</f>
        <v/>
      </c>
      <c r="BW142" s="13">
        <f>IFERROR(BA142/BD142*(BG142-BASELINE_CPR),0)</f>
        <v/>
      </c>
      <c r="BX142" s="13">
        <f>IFERROR(BB142/BD142*(BG142-BASELINE_CPR),0)</f>
        <v/>
      </c>
      <c r="BY142" s="13">
        <f>IFERROR(BC142/BD142*(BG142-BASELINE_CPR),0)</f>
        <v/>
      </c>
      <c r="BZ142" s="28">
        <f>BASELINE_CPR+SUM(BH142:BY142)-BG142</f>
        <v/>
      </c>
    </row>
    <row r="143">
      <c r="A143" s="2" t="inlineStr">
        <is>
          <t>3617HGVR2_000000001711215</t>
        </is>
      </c>
      <c r="B143" t="inlineStr">
        <is>
          <t>PNC_PRE21</t>
        </is>
      </c>
      <c r="C143" s="2" t="inlineStr">
        <is>
          <t>3617HGVR2</t>
        </is>
      </c>
      <c r="D143" t="inlineStr">
        <is>
          <t>PNC BANK, NA</t>
        </is>
      </c>
      <c r="E143" t="inlineStr">
        <is>
          <t>223f</t>
        </is>
      </c>
      <c r="F143" t="inlineStr">
        <is>
          <t>RP</t>
        </is>
      </c>
      <c r="G143" t="n">
        <v>2020</v>
      </c>
      <c r="H143" t="inlineStr">
        <is>
          <t>202602</t>
        </is>
      </c>
      <c r="I143" s="22" t="n">
        <v>12716615.97</v>
      </c>
      <c r="J143" s="23" t="n">
        <v>2.38</v>
      </c>
      <c r="K143" s="24" t="n">
        <v>447</v>
      </c>
      <c r="L143" s="24" t="n">
        <v>5</v>
      </c>
      <c r="M143" t="n">
        <v>67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s="24">
        <f>J143*100-(K143+(1+L143)*12.5)</f>
        <v/>
      </c>
      <c r="U143">
        <f>O143</f>
        <v/>
      </c>
      <c r="V143">
        <f>M143</f>
        <v/>
      </c>
      <c r="W143" s="23">
        <f>LN(1+I143)</f>
        <v/>
      </c>
      <c r="X143">
        <f>IF(G143&gt;=2021,1,0)</f>
        <v/>
      </c>
      <c r="Y143">
        <f>N143</f>
        <v/>
      </c>
      <c r="Z143" s="23">
        <f>IF(ISNUMBER(M143),N143/MAX(M143,1),0)</f>
        <v/>
      </c>
      <c r="AA143">
        <f>P143</f>
        <v/>
      </c>
      <c r="AB143">
        <f>Q143</f>
        <v/>
      </c>
      <c r="AC143">
        <f>R143</f>
        <v/>
      </c>
      <c r="AD143">
        <f>S143</f>
        <v/>
      </c>
      <c r="AE143">
        <f>IF(ISNUMBER(SEARCH("CAPITAL FUNDING",D143)),1,0)</f>
        <v/>
      </c>
      <c r="AF143">
        <f>IF(ISNUMBER(SEARCH("MERCHANTS",D143)),1,0)</f>
        <v/>
      </c>
      <c r="AG143">
        <f>IF(ISNUMBER(SEARCH("WELLS FARGO",D143)),1,0)</f>
        <v/>
      </c>
      <c r="AH143">
        <f>IF(ISNUMBER(SEARCH("WALKER",D143)),1,0)</f>
        <v/>
      </c>
      <c r="AI143">
        <f>IF(ISNUMBER(SEARCH("PNC",D143)),1,0)</f>
        <v/>
      </c>
      <c r="AJ143">
        <f>IF(ISNUMBER(SEARCH("BERKADIA",D143)),1,0)</f>
        <v/>
      </c>
      <c r="AK143">
        <f>IF(ISNUMBER(SEARCH("DWIGHT",D143)),1,0)</f>
        <v/>
      </c>
      <c r="AL143" s="25">
        <f>T$4*(T143-T$3)</f>
        <v/>
      </c>
      <c r="AM143" s="25">
        <f>U$4*(U143-U$3)</f>
        <v/>
      </c>
      <c r="AN143" s="25">
        <f>V$4*(V143-V$3)</f>
        <v/>
      </c>
      <c r="AO143" s="25">
        <f>W$4*(W143-W$3)</f>
        <v/>
      </c>
      <c r="AP143" s="25">
        <f>X$4*(X143-X$3)</f>
        <v/>
      </c>
      <c r="AQ143" s="25">
        <f>Y$4*(Y143-Y$3)</f>
        <v/>
      </c>
      <c r="AR143" s="25">
        <f>Z$4*(Z143-Z$3)</f>
        <v/>
      </c>
      <c r="AS143" s="25">
        <f>AA$4*(AA143-AA$3)</f>
        <v/>
      </c>
      <c r="AT143" s="25">
        <f>AB$4*(AB143-AB$3)</f>
        <v/>
      </c>
      <c r="AU143" s="25">
        <f>AC$4*(AC143-AC$3)</f>
        <v/>
      </c>
      <c r="AV143" s="25">
        <f>AD$4*(AD143-AD$3)</f>
        <v/>
      </c>
      <c r="AW143" s="25">
        <f>AE$4*(AE143-AE$3)</f>
        <v/>
      </c>
      <c r="AX143" s="25">
        <f>AF$4*(AF143-AF$3)</f>
        <v/>
      </c>
      <c r="AY143" s="25">
        <f>AG$4*(AG143-AG$3)</f>
        <v/>
      </c>
      <c r="AZ143" s="25">
        <f>AH$4*(AH143-AH$3)</f>
        <v/>
      </c>
      <c r="BA143" s="25">
        <f>AI$4*(AI143-AI$3)</f>
        <v/>
      </c>
      <c r="BB143" s="25">
        <f>AJ$4*(AJ143-AJ$3)</f>
        <v/>
      </c>
      <c r="BC143" s="25">
        <f>AK$4*(AK143-AK$3)</f>
        <v/>
      </c>
      <c r="BD143" s="26">
        <f>SUM(AL143:BC143)</f>
        <v/>
      </c>
      <c r="BE143" s="26">
        <f>INTERCEPT_SCALED+BD143</f>
        <v/>
      </c>
      <c r="BF143" s="27">
        <f>1/(1+EXP(-BE143))</f>
        <v/>
      </c>
      <c r="BG143" s="13">
        <f>1-(1-BF143)^12</f>
        <v/>
      </c>
      <c r="BH143" s="13">
        <f>IFERROR(AL143/BD143*(BG143-BASELINE_CPR),0)</f>
        <v/>
      </c>
      <c r="BI143" s="13">
        <f>IFERROR(AM143/BD143*(BG143-BASELINE_CPR),0)</f>
        <v/>
      </c>
      <c r="BJ143" s="13">
        <f>IFERROR(AN143/BD143*(BG143-BASELINE_CPR),0)</f>
        <v/>
      </c>
      <c r="BK143" s="13">
        <f>IFERROR(AO143/BD143*(BG143-BASELINE_CPR),0)</f>
        <v/>
      </c>
      <c r="BL143" s="13">
        <f>IFERROR(AP143/BD143*(BG143-BASELINE_CPR),0)</f>
        <v/>
      </c>
      <c r="BM143" s="13">
        <f>IFERROR(AQ143/BD143*(BG143-BASELINE_CPR),0)</f>
        <v/>
      </c>
      <c r="BN143" s="13">
        <f>IFERROR(AR143/BD143*(BG143-BASELINE_CPR),0)</f>
        <v/>
      </c>
      <c r="BO143" s="13">
        <f>IFERROR(AS143/BD143*(BG143-BASELINE_CPR),0)</f>
        <v/>
      </c>
      <c r="BP143" s="13">
        <f>IFERROR(AT143/BD143*(BG143-BASELINE_CPR),0)</f>
        <v/>
      </c>
      <c r="BQ143" s="13">
        <f>IFERROR(AU143/BD143*(BG143-BASELINE_CPR),0)</f>
        <v/>
      </c>
      <c r="BR143" s="13">
        <f>IFERROR(AV143/BD143*(BG143-BASELINE_CPR),0)</f>
        <v/>
      </c>
      <c r="BS143" s="13">
        <f>IFERROR(AW143/BD143*(BG143-BASELINE_CPR),0)</f>
        <v/>
      </c>
      <c r="BT143" s="13">
        <f>IFERROR(AX143/BD143*(BG143-BASELINE_CPR),0)</f>
        <v/>
      </c>
      <c r="BU143" s="13">
        <f>IFERROR(AY143/BD143*(BG143-BASELINE_CPR),0)</f>
        <v/>
      </c>
      <c r="BV143" s="13">
        <f>IFERROR(AZ143/BD143*(BG143-BASELINE_CPR),0)</f>
        <v/>
      </c>
      <c r="BW143" s="13">
        <f>IFERROR(BA143/BD143*(BG143-BASELINE_CPR),0)</f>
        <v/>
      </c>
      <c r="BX143" s="13">
        <f>IFERROR(BB143/BD143*(BG143-BASELINE_CPR),0)</f>
        <v/>
      </c>
      <c r="BY143" s="13">
        <f>IFERROR(BC143/BD143*(BG143-BASELINE_CPR),0)</f>
        <v/>
      </c>
      <c r="BZ143" s="28">
        <f>BASELINE_CPR+SUM(BH143:BY143)-BG143</f>
        <v/>
      </c>
    </row>
    <row r="144">
      <c r="A144" s="2" t="inlineStr">
        <is>
          <t>36294TCG8_000000005335916</t>
        </is>
      </c>
      <c r="B144" t="inlineStr">
        <is>
          <t>PNC_PRE21</t>
        </is>
      </c>
      <c r="C144" s="2" t="inlineStr">
        <is>
          <t>36294TCG8</t>
        </is>
      </c>
      <c r="D144" t="inlineStr">
        <is>
          <t>PNC BANK, NA</t>
        </is>
      </c>
      <c r="E144" t="inlineStr">
        <is>
          <t>223a7</t>
        </is>
      </c>
      <c r="F144" t="inlineStr">
        <is>
          <t>RP</t>
        </is>
      </c>
      <c r="G144" t="n">
        <v>2006</v>
      </c>
      <c r="H144" t="inlineStr">
        <is>
          <t>202602</t>
        </is>
      </c>
      <c r="I144" s="22" t="n">
        <v>182364.07</v>
      </c>
      <c r="J144" s="23" t="n">
        <v>6.75</v>
      </c>
      <c r="K144" s="24" t="n">
        <v>447</v>
      </c>
      <c r="L144" s="24" t="n">
        <v>0</v>
      </c>
      <c r="M144" t="n">
        <v>232</v>
      </c>
      <c r="N144" t="n">
        <v>87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s="24">
        <f>J144*100-(K144+(1+L144)*12.5)</f>
        <v/>
      </c>
      <c r="U144">
        <f>O144</f>
        <v/>
      </c>
      <c r="V144">
        <f>M144</f>
        <v/>
      </c>
      <c r="W144" s="23">
        <f>LN(1+I144)</f>
        <v/>
      </c>
      <c r="X144">
        <f>IF(G144&gt;=2021,1,0)</f>
        <v/>
      </c>
      <c r="Y144">
        <f>N144</f>
        <v/>
      </c>
      <c r="Z144" s="23">
        <f>IF(ISNUMBER(M144),N144/MAX(M144,1),0)</f>
        <v/>
      </c>
      <c r="AA144">
        <f>P144</f>
        <v/>
      </c>
      <c r="AB144">
        <f>Q144</f>
        <v/>
      </c>
      <c r="AC144">
        <f>R144</f>
        <v/>
      </c>
      <c r="AD144">
        <f>S144</f>
        <v/>
      </c>
      <c r="AE144">
        <f>IF(ISNUMBER(SEARCH("CAPITAL FUNDING",D144)),1,0)</f>
        <v/>
      </c>
      <c r="AF144">
        <f>IF(ISNUMBER(SEARCH("MERCHANTS",D144)),1,0)</f>
        <v/>
      </c>
      <c r="AG144">
        <f>IF(ISNUMBER(SEARCH("WELLS FARGO",D144)),1,0)</f>
        <v/>
      </c>
      <c r="AH144">
        <f>IF(ISNUMBER(SEARCH("WALKER",D144)),1,0)</f>
        <v/>
      </c>
      <c r="AI144">
        <f>IF(ISNUMBER(SEARCH("PNC",D144)),1,0)</f>
        <v/>
      </c>
      <c r="AJ144">
        <f>IF(ISNUMBER(SEARCH("BERKADIA",D144)),1,0)</f>
        <v/>
      </c>
      <c r="AK144">
        <f>IF(ISNUMBER(SEARCH("DWIGHT",D144)),1,0)</f>
        <v/>
      </c>
      <c r="AL144" s="25">
        <f>T$4*(T144-T$3)</f>
        <v/>
      </c>
      <c r="AM144" s="25">
        <f>U$4*(U144-U$3)</f>
        <v/>
      </c>
      <c r="AN144" s="25">
        <f>V$4*(V144-V$3)</f>
        <v/>
      </c>
      <c r="AO144" s="25">
        <f>W$4*(W144-W$3)</f>
        <v/>
      </c>
      <c r="AP144" s="25">
        <f>X$4*(X144-X$3)</f>
        <v/>
      </c>
      <c r="AQ144" s="25">
        <f>Y$4*(Y144-Y$3)</f>
        <v/>
      </c>
      <c r="AR144" s="25">
        <f>Z$4*(Z144-Z$3)</f>
        <v/>
      </c>
      <c r="AS144" s="25">
        <f>AA$4*(AA144-AA$3)</f>
        <v/>
      </c>
      <c r="AT144" s="25">
        <f>AB$4*(AB144-AB$3)</f>
        <v/>
      </c>
      <c r="AU144" s="25">
        <f>AC$4*(AC144-AC$3)</f>
        <v/>
      </c>
      <c r="AV144" s="25">
        <f>AD$4*(AD144-AD$3)</f>
        <v/>
      </c>
      <c r="AW144" s="25">
        <f>AE$4*(AE144-AE$3)</f>
        <v/>
      </c>
      <c r="AX144" s="25">
        <f>AF$4*(AF144-AF$3)</f>
        <v/>
      </c>
      <c r="AY144" s="25">
        <f>AG$4*(AG144-AG$3)</f>
        <v/>
      </c>
      <c r="AZ144" s="25">
        <f>AH$4*(AH144-AH$3)</f>
        <v/>
      </c>
      <c r="BA144" s="25">
        <f>AI$4*(AI144-AI$3)</f>
        <v/>
      </c>
      <c r="BB144" s="25">
        <f>AJ$4*(AJ144-AJ$3)</f>
        <v/>
      </c>
      <c r="BC144" s="25">
        <f>AK$4*(AK144-AK$3)</f>
        <v/>
      </c>
      <c r="BD144" s="26">
        <f>SUM(AL144:BC144)</f>
        <v/>
      </c>
      <c r="BE144" s="26">
        <f>INTERCEPT_SCALED+BD144</f>
        <v/>
      </c>
      <c r="BF144" s="27">
        <f>1/(1+EXP(-BE144))</f>
        <v/>
      </c>
      <c r="BG144" s="13">
        <f>1-(1-BF144)^12</f>
        <v/>
      </c>
      <c r="BH144" s="13">
        <f>IFERROR(AL144/BD144*(BG144-BASELINE_CPR),0)</f>
        <v/>
      </c>
      <c r="BI144" s="13">
        <f>IFERROR(AM144/BD144*(BG144-BASELINE_CPR),0)</f>
        <v/>
      </c>
      <c r="BJ144" s="13">
        <f>IFERROR(AN144/BD144*(BG144-BASELINE_CPR),0)</f>
        <v/>
      </c>
      <c r="BK144" s="13">
        <f>IFERROR(AO144/BD144*(BG144-BASELINE_CPR),0)</f>
        <v/>
      </c>
      <c r="BL144" s="13">
        <f>IFERROR(AP144/BD144*(BG144-BASELINE_CPR),0)</f>
        <v/>
      </c>
      <c r="BM144" s="13">
        <f>IFERROR(AQ144/BD144*(BG144-BASELINE_CPR),0)</f>
        <v/>
      </c>
      <c r="BN144" s="13">
        <f>IFERROR(AR144/BD144*(BG144-BASELINE_CPR),0)</f>
        <v/>
      </c>
      <c r="BO144" s="13">
        <f>IFERROR(AS144/BD144*(BG144-BASELINE_CPR),0)</f>
        <v/>
      </c>
      <c r="BP144" s="13">
        <f>IFERROR(AT144/BD144*(BG144-BASELINE_CPR),0)</f>
        <v/>
      </c>
      <c r="BQ144" s="13">
        <f>IFERROR(AU144/BD144*(BG144-BASELINE_CPR),0)</f>
        <v/>
      </c>
      <c r="BR144" s="13">
        <f>IFERROR(AV144/BD144*(BG144-BASELINE_CPR),0)</f>
        <v/>
      </c>
      <c r="BS144" s="13">
        <f>IFERROR(AW144/BD144*(BG144-BASELINE_CPR),0)</f>
        <v/>
      </c>
      <c r="BT144" s="13">
        <f>IFERROR(AX144/BD144*(BG144-BASELINE_CPR),0)</f>
        <v/>
      </c>
      <c r="BU144" s="13">
        <f>IFERROR(AY144/BD144*(BG144-BASELINE_CPR),0)</f>
        <v/>
      </c>
      <c r="BV144" s="13">
        <f>IFERROR(AZ144/BD144*(BG144-BASELINE_CPR),0)</f>
        <v/>
      </c>
      <c r="BW144" s="13">
        <f>IFERROR(BA144/BD144*(BG144-BASELINE_CPR),0)</f>
        <v/>
      </c>
      <c r="BX144" s="13">
        <f>IFERROR(BB144/BD144*(BG144-BASELINE_CPR),0)</f>
        <v/>
      </c>
      <c r="BY144" s="13">
        <f>IFERROR(BC144/BD144*(BG144-BASELINE_CPR),0)</f>
        <v/>
      </c>
      <c r="BZ144" s="28">
        <f>BASELINE_CPR+SUM(BH144:BY144)-BG144</f>
        <v/>
      </c>
    </row>
    <row r="145">
      <c r="A145" s="2" t="inlineStr">
        <is>
          <t>36296SK53_410170032150983</t>
        </is>
      </c>
      <c r="B145" t="inlineStr">
        <is>
          <t>PNC_PRE21</t>
        </is>
      </c>
      <c r="C145" s="2" t="inlineStr">
        <is>
          <t>36296SK53</t>
        </is>
      </c>
      <c r="D145" t="inlineStr">
        <is>
          <t>PNC BANK, NA</t>
        </is>
      </c>
      <c r="E145" t="inlineStr">
        <is>
          <t>OTHER</t>
        </is>
      </c>
      <c r="F145" t="inlineStr">
        <is>
          <t>OTHER</t>
        </is>
      </c>
      <c r="G145" t="n">
        <v>2008</v>
      </c>
      <c r="H145" t="inlineStr">
        <is>
          <t>202602</t>
        </is>
      </c>
      <c r="I145" s="22" t="n">
        <v>1053037.65</v>
      </c>
      <c r="J145" s="23" t="n">
        <v>6.69</v>
      </c>
      <c r="K145" s="24" t="n">
        <v>447</v>
      </c>
      <c r="L145" s="24" t="n">
        <v>0</v>
      </c>
      <c r="M145" t="n">
        <v>215</v>
      </c>
      <c r="N145" t="n">
        <v>87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s="24">
        <f>J145*100-(K145+(1+L145)*12.5)</f>
        <v/>
      </c>
      <c r="U145">
        <f>O145</f>
        <v/>
      </c>
      <c r="V145">
        <f>M145</f>
        <v/>
      </c>
      <c r="W145" s="23">
        <f>LN(1+I145)</f>
        <v/>
      </c>
      <c r="X145">
        <f>IF(G145&gt;=2021,1,0)</f>
        <v/>
      </c>
      <c r="Y145">
        <f>N145</f>
        <v/>
      </c>
      <c r="Z145" s="23">
        <f>IF(ISNUMBER(M145),N145/MAX(M145,1),0)</f>
        <v/>
      </c>
      <c r="AA145">
        <f>P145</f>
        <v/>
      </c>
      <c r="AB145">
        <f>Q145</f>
        <v/>
      </c>
      <c r="AC145">
        <f>R145</f>
        <v/>
      </c>
      <c r="AD145">
        <f>S145</f>
        <v/>
      </c>
      <c r="AE145">
        <f>IF(ISNUMBER(SEARCH("CAPITAL FUNDING",D145)),1,0)</f>
        <v/>
      </c>
      <c r="AF145">
        <f>IF(ISNUMBER(SEARCH("MERCHANTS",D145)),1,0)</f>
        <v/>
      </c>
      <c r="AG145">
        <f>IF(ISNUMBER(SEARCH("WELLS FARGO",D145)),1,0)</f>
        <v/>
      </c>
      <c r="AH145">
        <f>IF(ISNUMBER(SEARCH("WALKER",D145)),1,0)</f>
        <v/>
      </c>
      <c r="AI145">
        <f>IF(ISNUMBER(SEARCH("PNC",D145)),1,0)</f>
        <v/>
      </c>
      <c r="AJ145">
        <f>IF(ISNUMBER(SEARCH("BERKADIA",D145)),1,0)</f>
        <v/>
      </c>
      <c r="AK145">
        <f>IF(ISNUMBER(SEARCH("DWIGHT",D145)),1,0)</f>
        <v/>
      </c>
      <c r="AL145" s="25">
        <f>T$4*(T145-T$3)</f>
        <v/>
      </c>
      <c r="AM145" s="25">
        <f>U$4*(U145-U$3)</f>
        <v/>
      </c>
      <c r="AN145" s="25">
        <f>V$4*(V145-V$3)</f>
        <v/>
      </c>
      <c r="AO145" s="25">
        <f>W$4*(W145-W$3)</f>
        <v/>
      </c>
      <c r="AP145" s="25">
        <f>X$4*(X145-X$3)</f>
        <v/>
      </c>
      <c r="AQ145" s="25">
        <f>Y$4*(Y145-Y$3)</f>
        <v/>
      </c>
      <c r="AR145" s="25">
        <f>Z$4*(Z145-Z$3)</f>
        <v/>
      </c>
      <c r="AS145" s="25">
        <f>AA$4*(AA145-AA$3)</f>
        <v/>
      </c>
      <c r="AT145" s="25">
        <f>AB$4*(AB145-AB$3)</f>
        <v/>
      </c>
      <c r="AU145" s="25">
        <f>AC$4*(AC145-AC$3)</f>
        <v/>
      </c>
      <c r="AV145" s="25">
        <f>AD$4*(AD145-AD$3)</f>
        <v/>
      </c>
      <c r="AW145" s="25">
        <f>AE$4*(AE145-AE$3)</f>
        <v/>
      </c>
      <c r="AX145" s="25">
        <f>AF$4*(AF145-AF$3)</f>
        <v/>
      </c>
      <c r="AY145" s="25">
        <f>AG$4*(AG145-AG$3)</f>
        <v/>
      </c>
      <c r="AZ145" s="25">
        <f>AH$4*(AH145-AH$3)</f>
        <v/>
      </c>
      <c r="BA145" s="25">
        <f>AI$4*(AI145-AI$3)</f>
        <v/>
      </c>
      <c r="BB145" s="25">
        <f>AJ$4*(AJ145-AJ$3)</f>
        <v/>
      </c>
      <c r="BC145" s="25">
        <f>AK$4*(AK145-AK$3)</f>
        <v/>
      </c>
      <c r="BD145" s="26">
        <f>SUM(AL145:BC145)</f>
        <v/>
      </c>
      <c r="BE145" s="26">
        <f>INTERCEPT_SCALED+BD145</f>
        <v/>
      </c>
      <c r="BF145" s="27">
        <f>1/(1+EXP(-BE145))</f>
        <v/>
      </c>
      <c r="BG145" s="13">
        <f>1-(1-BF145)^12</f>
        <v/>
      </c>
      <c r="BH145" s="13">
        <f>IFERROR(AL145/BD145*(BG145-BASELINE_CPR),0)</f>
        <v/>
      </c>
      <c r="BI145" s="13">
        <f>IFERROR(AM145/BD145*(BG145-BASELINE_CPR),0)</f>
        <v/>
      </c>
      <c r="BJ145" s="13">
        <f>IFERROR(AN145/BD145*(BG145-BASELINE_CPR),0)</f>
        <v/>
      </c>
      <c r="BK145" s="13">
        <f>IFERROR(AO145/BD145*(BG145-BASELINE_CPR),0)</f>
        <v/>
      </c>
      <c r="BL145" s="13">
        <f>IFERROR(AP145/BD145*(BG145-BASELINE_CPR),0)</f>
        <v/>
      </c>
      <c r="BM145" s="13">
        <f>IFERROR(AQ145/BD145*(BG145-BASELINE_CPR),0)</f>
        <v/>
      </c>
      <c r="BN145" s="13">
        <f>IFERROR(AR145/BD145*(BG145-BASELINE_CPR),0)</f>
        <v/>
      </c>
      <c r="BO145" s="13">
        <f>IFERROR(AS145/BD145*(BG145-BASELINE_CPR),0)</f>
        <v/>
      </c>
      <c r="BP145" s="13">
        <f>IFERROR(AT145/BD145*(BG145-BASELINE_CPR),0)</f>
        <v/>
      </c>
      <c r="BQ145" s="13">
        <f>IFERROR(AU145/BD145*(BG145-BASELINE_CPR),0)</f>
        <v/>
      </c>
      <c r="BR145" s="13">
        <f>IFERROR(AV145/BD145*(BG145-BASELINE_CPR),0)</f>
        <v/>
      </c>
      <c r="BS145" s="13">
        <f>IFERROR(AW145/BD145*(BG145-BASELINE_CPR),0)</f>
        <v/>
      </c>
      <c r="BT145" s="13">
        <f>IFERROR(AX145/BD145*(BG145-BASELINE_CPR),0)</f>
        <v/>
      </c>
      <c r="BU145" s="13">
        <f>IFERROR(AY145/BD145*(BG145-BASELINE_CPR),0)</f>
        <v/>
      </c>
      <c r="BV145" s="13">
        <f>IFERROR(AZ145/BD145*(BG145-BASELINE_CPR),0)</f>
        <v/>
      </c>
      <c r="BW145" s="13">
        <f>IFERROR(BA145/BD145*(BG145-BASELINE_CPR),0)</f>
        <v/>
      </c>
      <c r="BX145" s="13">
        <f>IFERROR(BB145/BD145*(BG145-BASELINE_CPR),0)</f>
        <v/>
      </c>
      <c r="BY145" s="13">
        <f>IFERROR(BC145/BD145*(BG145-BASELINE_CPR),0)</f>
        <v/>
      </c>
      <c r="BZ145" s="28">
        <f>BASELINE_CPR+SUM(BH145:BY145)-BG145</f>
        <v/>
      </c>
    </row>
    <row r="146">
      <c r="A146" s="2" t="inlineStr">
        <is>
          <t>36182WF24_000000003335287</t>
        </is>
      </c>
      <c r="B146" t="inlineStr">
        <is>
          <t>PNC_PRE21</t>
        </is>
      </c>
      <c r="C146" s="2" t="inlineStr">
        <is>
          <t>36182WF24</t>
        </is>
      </c>
      <c r="D146" t="inlineStr">
        <is>
          <t>PNC BANK, NA</t>
        </is>
      </c>
      <c r="E146" t="inlineStr">
        <is>
          <t>221d4</t>
        </is>
      </c>
      <c r="F146" t="inlineStr">
        <is>
          <t>NC</t>
        </is>
      </c>
      <c r="G146" t="n">
        <v>2014</v>
      </c>
      <c r="H146" t="inlineStr">
        <is>
          <t>202602</t>
        </is>
      </c>
      <c r="I146" s="22" t="n">
        <v>1436097.5</v>
      </c>
      <c r="J146" s="23" t="n">
        <v>3.95</v>
      </c>
      <c r="K146" s="24" t="n">
        <v>447</v>
      </c>
      <c r="L146" s="24" t="n">
        <v>0</v>
      </c>
      <c r="M146" t="n">
        <v>138</v>
      </c>
      <c r="N146" t="n">
        <v>35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s="24">
        <f>J146*100-(K146+(1+L146)*12.5)</f>
        <v/>
      </c>
      <c r="U146">
        <f>O146</f>
        <v/>
      </c>
      <c r="V146">
        <f>M146</f>
        <v/>
      </c>
      <c r="W146" s="23">
        <f>LN(1+I146)</f>
        <v/>
      </c>
      <c r="X146">
        <f>IF(G146&gt;=2021,1,0)</f>
        <v/>
      </c>
      <c r="Y146">
        <f>N146</f>
        <v/>
      </c>
      <c r="Z146" s="23">
        <f>IF(ISNUMBER(M146),N146/MAX(M146,1),0)</f>
        <v/>
      </c>
      <c r="AA146">
        <f>P146</f>
        <v/>
      </c>
      <c r="AB146">
        <f>Q146</f>
        <v/>
      </c>
      <c r="AC146">
        <f>R146</f>
        <v/>
      </c>
      <c r="AD146">
        <f>S146</f>
        <v/>
      </c>
      <c r="AE146">
        <f>IF(ISNUMBER(SEARCH("CAPITAL FUNDING",D146)),1,0)</f>
        <v/>
      </c>
      <c r="AF146">
        <f>IF(ISNUMBER(SEARCH("MERCHANTS",D146)),1,0)</f>
        <v/>
      </c>
      <c r="AG146">
        <f>IF(ISNUMBER(SEARCH("WELLS FARGO",D146)),1,0)</f>
        <v/>
      </c>
      <c r="AH146">
        <f>IF(ISNUMBER(SEARCH("WALKER",D146)),1,0)</f>
        <v/>
      </c>
      <c r="AI146">
        <f>IF(ISNUMBER(SEARCH("PNC",D146)),1,0)</f>
        <v/>
      </c>
      <c r="AJ146">
        <f>IF(ISNUMBER(SEARCH("BERKADIA",D146)),1,0)</f>
        <v/>
      </c>
      <c r="AK146">
        <f>IF(ISNUMBER(SEARCH("DWIGHT",D146)),1,0)</f>
        <v/>
      </c>
      <c r="AL146" s="25">
        <f>T$4*(T146-T$3)</f>
        <v/>
      </c>
      <c r="AM146" s="25">
        <f>U$4*(U146-U$3)</f>
        <v/>
      </c>
      <c r="AN146" s="25">
        <f>V$4*(V146-V$3)</f>
        <v/>
      </c>
      <c r="AO146" s="25">
        <f>W$4*(W146-W$3)</f>
        <v/>
      </c>
      <c r="AP146" s="25">
        <f>X$4*(X146-X$3)</f>
        <v/>
      </c>
      <c r="AQ146" s="25">
        <f>Y$4*(Y146-Y$3)</f>
        <v/>
      </c>
      <c r="AR146" s="25">
        <f>Z$4*(Z146-Z$3)</f>
        <v/>
      </c>
      <c r="AS146" s="25">
        <f>AA$4*(AA146-AA$3)</f>
        <v/>
      </c>
      <c r="AT146" s="25">
        <f>AB$4*(AB146-AB$3)</f>
        <v/>
      </c>
      <c r="AU146" s="25">
        <f>AC$4*(AC146-AC$3)</f>
        <v/>
      </c>
      <c r="AV146" s="25">
        <f>AD$4*(AD146-AD$3)</f>
        <v/>
      </c>
      <c r="AW146" s="25">
        <f>AE$4*(AE146-AE$3)</f>
        <v/>
      </c>
      <c r="AX146" s="25">
        <f>AF$4*(AF146-AF$3)</f>
        <v/>
      </c>
      <c r="AY146" s="25">
        <f>AG$4*(AG146-AG$3)</f>
        <v/>
      </c>
      <c r="AZ146" s="25">
        <f>AH$4*(AH146-AH$3)</f>
        <v/>
      </c>
      <c r="BA146" s="25">
        <f>AI$4*(AI146-AI$3)</f>
        <v/>
      </c>
      <c r="BB146" s="25">
        <f>AJ$4*(AJ146-AJ$3)</f>
        <v/>
      </c>
      <c r="BC146" s="25">
        <f>AK$4*(AK146-AK$3)</f>
        <v/>
      </c>
      <c r="BD146" s="26">
        <f>SUM(AL146:BC146)</f>
        <v/>
      </c>
      <c r="BE146" s="26">
        <f>INTERCEPT_SCALED+BD146</f>
        <v/>
      </c>
      <c r="BF146" s="27">
        <f>1/(1+EXP(-BE146))</f>
        <v/>
      </c>
      <c r="BG146" s="13">
        <f>1-(1-BF146)^12</f>
        <v/>
      </c>
      <c r="BH146" s="13">
        <f>IFERROR(AL146/BD146*(BG146-BASELINE_CPR),0)</f>
        <v/>
      </c>
      <c r="BI146" s="13">
        <f>IFERROR(AM146/BD146*(BG146-BASELINE_CPR),0)</f>
        <v/>
      </c>
      <c r="BJ146" s="13">
        <f>IFERROR(AN146/BD146*(BG146-BASELINE_CPR),0)</f>
        <v/>
      </c>
      <c r="BK146" s="13">
        <f>IFERROR(AO146/BD146*(BG146-BASELINE_CPR),0)</f>
        <v/>
      </c>
      <c r="BL146" s="13">
        <f>IFERROR(AP146/BD146*(BG146-BASELINE_CPR),0)</f>
        <v/>
      </c>
      <c r="BM146" s="13">
        <f>IFERROR(AQ146/BD146*(BG146-BASELINE_CPR),0)</f>
        <v/>
      </c>
      <c r="BN146" s="13">
        <f>IFERROR(AR146/BD146*(BG146-BASELINE_CPR),0)</f>
        <v/>
      </c>
      <c r="BO146" s="13">
        <f>IFERROR(AS146/BD146*(BG146-BASELINE_CPR),0)</f>
        <v/>
      </c>
      <c r="BP146" s="13">
        <f>IFERROR(AT146/BD146*(BG146-BASELINE_CPR),0)</f>
        <v/>
      </c>
      <c r="BQ146" s="13">
        <f>IFERROR(AU146/BD146*(BG146-BASELINE_CPR),0)</f>
        <v/>
      </c>
      <c r="BR146" s="13">
        <f>IFERROR(AV146/BD146*(BG146-BASELINE_CPR),0)</f>
        <v/>
      </c>
      <c r="BS146" s="13">
        <f>IFERROR(AW146/BD146*(BG146-BASELINE_CPR),0)</f>
        <v/>
      </c>
      <c r="BT146" s="13">
        <f>IFERROR(AX146/BD146*(BG146-BASELINE_CPR),0)</f>
        <v/>
      </c>
      <c r="BU146" s="13">
        <f>IFERROR(AY146/BD146*(BG146-BASELINE_CPR),0)</f>
        <v/>
      </c>
      <c r="BV146" s="13">
        <f>IFERROR(AZ146/BD146*(BG146-BASELINE_CPR),0)</f>
        <v/>
      </c>
      <c r="BW146" s="13">
        <f>IFERROR(BA146/BD146*(BG146-BASELINE_CPR),0)</f>
        <v/>
      </c>
      <c r="BX146" s="13">
        <f>IFERROR(BB146/BD146*(BG146-BASELINE_CPR),0)</f>
        <v/>
      </c>
      <c r="BY146" s="13">
        <f>IFERROR(BC146/BD146*(BG146-BASELINE_CPR),0)</f>
        <v/>
      </c>
      <c r="BZ146" s="28">
        <f>BASELINE_CPR+SUM(BH146:BY146)-BG146</f>
        <v/>
      </c>
    </row>
    <row r="147">
      <c r="A147" s="2" t="inlineStr">
        <is>
          <t>3617G9Y96_000000012211432</t>
        </is>
      </c>
      <c r="B147" t="inlineStr">
        <is>
          <t>PNC_PRE21</t>
        </is>
      </c>
      <c r="C147" s="2" t="inlineStr">
        <is>
          <t>3617G9Y96</t>
        </is>
      </c>
      <c r="D147" t="inlineStr">
        <is>
          <t>PNC BANK, NA</t>
        </is>
      </c>
      <c r="E147" t="inlineStr">
        <is>
          <t>223f</t>
        </is>
      </c>
      <c r="F147" t="inlineStr">
        <is>
          <t>RP</t>
        </is>
      </c>
      <c r="G147" t="n">
        <v>2019</v>
      </c>
      <c r="H147" t="inlineStr">
        <is>
          <t>202602</t>
        </is>
      </c>
      <c r="I147" s="22" t="n">
        <v>26299051.2</v>
      </c>
      <c r="J147" s="23" t="n">
        <v>3.22</v>
      </c>
      <c r="K147" s="24" t="n">
        <v>447</v>
      </c>
      <c r="L147" s="24" t="n">
        <v>4</v>
      </c>
      <c r="M147" t="n">
        <v>77</v>
      </c>
      <c r="N147" t="n">
        <v>20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s="24">
        <f>J147*100-(K147+(1+L147)*12.5)</f>
        <v/>
      </c>
      <c r="U147">
        <f>O147</f>
        <v/>
      </c>
      <c r="V147">
        <f>M147</f>
        <v/>
      </c>
      <c r="W147" s="23">
        <f>LN(1+I147)</f>
        <v/>
      </c>
      <c r="X147">
        <f>IF(G147&gt;=2021,1,0)</f>
        <v/>
      </c>
      <c r="Y147">
        <f>N147</f>
        <v/>
      </c>
      <c r="Z147" s="23">
        <f>IF(ISNUMBER(M147),N147/MAX(M147,1),0)</f>
        <v/>
      </c>
      <c r="AA147">
        <f>P147</f>
        <v/>
      </c>
      <c r="AB147">
        <f>Q147</f>
        <v/>
      </c>
      <c r="AC147">
        <f>R147</f>
        <v/>
      </c>
      <c r="AD147">
        <f>S147</f>
        <v/>
      </c>
      <c r="AE147">
        <f>IF(ISNUMBER(SEARCH("CAPITAL FUNDING",D147)),1,0)</f>
        <v/>
      </c>
      <c r="AF147">
        <f>IF(ISNUMBER(SEARCH("MERCHANTS",D147)),1,0)</f>
        <v/>
      </c>
      <c r="AG147">
        <f>IF(ISNUMBER(SEARCH("WELLS FARGO",D147)),1,0)</f>
        <v/>
      </c>
      <c r="AH147">
        <f>IF(ISNUMBER(SEARCH("WALKER",D147)),1,0)</f>
        <v/>
      </c>
      <c r="AI147">
        <f>IF(ISNUMBER(SEARCH("PNC",D147)),1,0)</f>
        <v/>
      </c>
      <c r="AJ147">
        <f>IF(ISNUMBER(SEARCH("BERKADIA",D147)),1,0)</f>
        <v/>
      </c>
      <c r="AK147">
        <f>IF(ISNUMBER(SEARCH("DWIGHT",D147)),1,0)</f>
        <v/>
      </c>
      <c r="AL147" s="25">
        <f>T$4*(T147-T$3)</f>
        <v/>
      </c>
      <c r="AM147" s="25">
        <f>U$4*(U147-U$3)</f>
        <v/>
      </c>
      <c r="AN147" s="25">
        <f>V$4*(V147-V$3)</f>
        <v/>
      </c>
      <c r="AO147" s="25">
        <f>W$4*(W147-W$3)</f>
        <v/>
      </c>
      <c r="AP147" s="25">
        <f>X$4*(X147-X$3)</f>
        <v/>
      </c>
      <c r="AQ147" s="25">
        <f>Y$4*(Y147-Y$3)</f>
        <v/>
      </c>
      <c r="AR147" s="25">
        <f>Z$4*(Z147-Z$3)</f>
        <v/>
      </c>
      <c r="AS147" s="25">
        <f>AA$4*(AA147-AA$3)</f>
        <v/>
      </c>
      <c r="AT147" s="25">
        <f>AB$4*(AB147-AB$3)</f>
        <v/>
      </c>
      <c r="AU147" s="25">
        <f>AC$4*(AC147-AC$3)</f>
        <v/>
      </c>
      <c r="AV147" s="25">
        <f>AD$4*(AD147-AD$3)</f>
        <v/>
      </c>
      <c r="AW147" s="25">
        <f>AE$4*(AE147-AE$3)</f>
        <v/>
      </c>
      <c r="AX147" s="25">
        <f>AF$4*(AF147-AF$3)</f>
        <v/>
      </c>
      <c r="AY147" s="25">
        <f>AG$4*(AG147-AG$3)</f>
        <v/>
      </c>
      <c r="AZ147" s="25">
        <f>AH$4*(AH147-AH$3)</f>
        <v/>
      </c>
      <c r="BA147" s="25">
        <f>AI$4*(AI147-AI$3)</f>
        <v/>
      </c>
      <c r="BB147" s="25">
        <f>AJ$4*(AJ147-AJ$3)</f>
        <v/>
      </c>
      <c r="BC147" s="25">
        <f>AK$4*(AK147-AK$3)</f>
        <v/>
      </c>
      <c r="BD147" s="26">
        <f>SUM(AL147:BC147)</f>
        <v/>
      </c>
      <c r="BE147" s="26">
        <f>INTERCEPT_SCALED+BD147</f>
        <v/>
      </c>
      <c r="BF147" s="27">
        <f>1/(1+EXP(-BE147))</f>
        <v/>
      </c>
      <c r="BG147" s="13">
        <f>1-(1-BF147)^12</f>
        <v/>
      </c>
      <c r="BH147" s="13">
        <f>IFERROR(AL147/BD147*(BG147-BASELINE_CPR),0)</f>
        <v/>
      </c>
      <c r="BI147" s="13">
        <f>IFERROR(AM147/BD147*(BG147-BASELINE_CPR),0)</f>
        <v/>
      </c>
      <c r="BJ147" s="13">
        <f>IFERROR(AN147/BD147*(BG147-BASELINE_CPR),0)</f>
        <v/>
      </c>
      <c r="BK147" s="13">
        <f>IFERROR(AO147/BD147*(BG147-BASELINE_CPR),0)</f>
        <v/>
      </c>
      <c r="BL147" s="13">
        <f>IFERROR(AP147/BD147*(BG147-BASELINE_CPR),0)</f>
        <v/>
      </c>
      <c r="BM147" s="13">
        <f>IFERROR(AQ147/BD147*(BG147-BASELINE_CPR),0)</f>
        <v/>
      </c>
      <c r="BN147" s="13">
        <f>IFERROR(AR147/BD147*(BG147-BASELINE_CPR),0)</f>
        <v/>
      </c>
      <c r="BO147" s="13">
        <f>IFERROR(AS147/BD147*(BG147-BASELINE_CPR),0)</f>
        <v/>
      </c>
      <c r="BP147" s="13">
        <f>IFERROR(AT147/BD147*(BG147-BASELINE_CPR),0)</f>
        <v/>
      </c>
      <c r="BQ147" s="13">
        <f>IFERROR(AU147/BD147*(BG147-BASELINE_CPR),0)</f>
        <v/>
      </c>
      <c r="BR147" s="13">
        <f>IFERROR(AV147/BD147*(BG147-BASELINE_CPR),0)</f>
        <v/>
      </c>
      <c r="BS147" s="13">
        <f>IFERROR(AW147/BD147*(BG147-BASELINE_CPR),0)</f>
        <v/>
      </c>
      <c r="BT147" s="13">
        <f>IFERROR(AX147/BD147*(BG147-BASELINE_CPR),0)</f>
        <v/>
      </c>
      <c r="BU147" s="13">
        <f>IFERROR(AY147/BD147*(BG147-BASELINE_CPR),0)</f>
        <v/>
      </c>
      <c r="BV147" s="13">
        <f>IFERROR(AZ147/BD147*(BG147-BASELINE_CPR),0)</f>
        <v/>
      </c>
      <c r="BW147" s="13">
        <f>IFERROR(BA147/BD147*(BG147-BASELINE_CPR),0)</f>
        <v/>
      </c>
      <c r="BX147" s="13">
        <f>IFERROR(BB147/BD147*(BG147-BASELINE_CPR),0)</f>
        <v/>
      </c>
      <c r="BY147" s="13">
        <f>IFERROR(BC147/BD147*(BG147-BASELINE_CPR),0)</f>
        <v/>
      </c>
      <c r="BZ147" s="28">
        <f>BASELINE_CPR+SUM(BH147:BY147)-BG147</f>
        <v/>
      </c>
    </row>
    <row r="148">
      <c r="A148" s="2" t="inlineStr">
        <is>
          <t>3617HGVW1_000000010335188</t>
        </is>
      </c>
      <c r="B148" t="inlineStr">
        <is>
          <t>PNC_PRE21</t>
        </is>
      </c>
      <c r="C148" s="2" t="inlineStr">
        <is>
          <t>3617HGVW1</t>
        </is>
      </c>
      <c r="D148" t="inlineStr">
        <is>
          <t>PNC BANK, NA</t>
        </is>
      </c>
      <c r="E148" t="inlineStr">
        <is>
          <t>221d4</t>
        </is>
      </c>
      <c r="F148" t="inlineStr">
        <is>
          <t>RP</t>
        </is>
      </c>
      <c r="G148" t="n">
        <v>2020</v>
      </c>
      <c r="H148" t="inlineStr">
        <is>
          <t>202602</t>
        </is>
      </c>
      <c r="I148" s="22" t="n">
        <v>22595607.96</v>
      </c>
      <c r="J148" s="23" t="n">
        <v>2.65</v>
      </c>
      <c r="K148" s="24" t="n">
        <v>447</v>
      </c>
      <c r="L148" s="24" t="n">
        <v>5</v>
      </c>
      <c r="M148" t="n">
        <v>69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s="24">
        <f>J148*100-(K148+(1+L148)*12.5)</f>
        <v/>
      </c>
      <c r="U148">
        <f>O148</f>
        <v/>
      </c>
      <c r="V148">
        <f>M148</f>
        <v/>
      </c>
      <c r="W148" s="23">
        <f>LN(1+I148)</f>
        <v/>
      </c>
      <c r="X148">
        <f>IF(G148&gt;=2021,1,0)</f>
        <v/>
      </c>
      <c r="Y148">
        <f>N148</f>
        <v/>
      </c>
      <c r="Z148" s="23">
        <f>IF(ISNUMBER(M148),N148/MAX(M148,1),0)</f>
        <v/>
      </c>
      <c r="AA148">
        <f>P148</f>
        <v/>
      </c>
      <c r="AB148">
        <f>Q148</f>
        <v/>
      </c>
      <c r="AC148">
        <f>R148</f>
        <v/>
      </c>
      <c r="AD148">
        <f>S148</f>
        <v/>
      </c>
      <c r="AE148">
        <f>IF(ISNUMBER(SEARCH("CAPITAL FUNDING",D148)),1,0)</f>
        <v/>
      </c>
      <c r="AF148">
        <f>IF(ISNUMBER(SEARCH("MERCHANTS",D148)),1,0)</f>
        <v/>
      </c>
      <c r="AG148">
        <f>IF(ISNUMBER(SEARCH("WELLS FARGO",D148)),1,0)</f>
        <v/>
      </c>
      <c r="AH148">
        <f>IF(ISNUMBER(SEARCH("WALKER",D148)),1,0)</f>
        <v/>
      </c>
      <c r="AI148">
        <f>IF(ISNUMBER(SEARCH("PNC",D148)),1,0)</f>
        <v/>
      </c>
      <c r="AJ148">
        <f>IF(ISNUMBER(SEARCH("BERKADIA",D148)),1,0)</f>
        <v/>
      </c>
      <c r="AK148">
        <f>IF(ISNUMBER(SEARCH("DWIGHT",D148)),1,0)</f>
        <v/>
      </c>
      <c r="AL148" s="25">
        <f>T$4*(T148-T$3)</f>
        <v/>
      </c>
      <c r="AM148" s="25">
        <f>U$4*(U148-U$3)</f>
        <v/>
      </c>
      <c r="AN148" s="25">
        <f>V$4*(V148-V$3)</f>
        <v/>
      </c>
      <c r="AO148" s="25">
        <f>W$4*(W148-W$3)</f>
        <v/>
      </c>
      <c r="AP148" s="25">
        <f>X$4*(X148-X$3)</f>
        <v/>
      </c>
      <c r="AQ148" s="25">
        <f>Y$4*(Y148-Y$3)</f>
        <v/>
      </c>
      <c r="AR148" s="25">
        <f>Z$4*(Z148-Z$3)</f>
        <v/>
      </c>
      <c r="AS148" s="25">
        <f>AA$4*(AA148-AA$3)</f>
        <v/>
      </c>
      <c r="AT148" s="25">
        <f>AB$4*(AB148-AB$3)</f>
        <v/>
      </c>
      <c r="AU148" s="25">
        <f>AC$4*(AC148-AC$3)</f>
        <v/>
      </c>
      <c r="AV148" s="25">
        <f>AD$4*(AD148-AD$3)</f>
        <v/>
      </c>
      <c r="AW148" s="25">
        <f>AE$4*(AE148-AE$3)</f>
        <v/>
      </c>
      <c r="AX148" s="25">
        <f>AF$4*(AF148-AF$3)</f>
        <v/>
      </c>
      <c r="AY148" s="25">
        <f>AG$4*(AG148-AG$3)</f>
        <v/>
      </c>
      <c r="AZ148" s="25">
        <f>AH$4*(AH148-AH$3)</f>
        <v/>
      </c>
      <c r="BA148" s="25">
        <f>AI$4*(AI148-AI$3)</f>
        <v/>
      </c>
      <c r="BB148" s="25">
        <f>AJ$4*(AJ148-AJ$3)</f>
        <v/>
      </c>
      <c r="BC148" s="25">
        <f>AK$4*(AK148-AK$3)</f>
        <v/>
      </c>
      <c r="BD148" s="26">
        <f>SUM(AL148:BC148)</f>
        <v/>
      </c>
      <c r="BE148" s="26">
        <f>INTERCEPT_SCALED+BD148</f>
        <v/>
      </c>
      <c r="BF148" s="27">
        <f>1/(1+EXP(-BE148))</f>
        <v/>
      </c>
      <c r="BG148" s="13">
        <f>1-(1-BF148)^12</f>
        <v/>
      </c>
      <c r="BH148" s="13">
        <f>IFERROR(AL148/BD148*(BG148-BASELINE_CPR),0)</f>
        <v/>
      </c>
      <c r="BI148" s="13">
        <f>IFERROR(AM148/BD148*(BG148-BASELINE_CPR),0)</f>
        <v/>
      </c>
      <c r="BJ148" s="13">
        <f>IFERROR(AN148/BD148*(BG148-BASELINE_CPR),0)</f>
        <v/>
      </c>
      <c r="BK148" s="13">
        <f>IFERROR(AO148/BD148*(BG148-BASELINE_CPR),0)</f>
        <v/>
      </c>
      <c r="BL148" s="13">
        <f>IFERROR(AP148/BD148*(BG148-BASELINE_CPR),0)</f>
        <v/>
      </c>
      <c r="BM148" s="13">
        <f>IFERROR(AQ148/BD148*(BG148-BASELINE_CPR),0)</f>
        <v/>
      </c>
      <c r="BN148" s="13">
        <f>IFERROR(AR148/BD148*(BG148-BASELINE_CPR),0)</f>
        <v/>
      </c>
      <c r="BO148" s="13">
        <f>IFERROR(AS148/BD148*(BG148-BASELINE_CPR),0)</f>
        <v/>
      </c>
      <c r="BP148" s="13">
        <f>IFERROR(AT148/BD148*(BG148-BASELINE_CPR),0)</f>
        <v/>
      </c>
      <c r="BQ148" s="13">
        <f>IFERROR(AU148/BD148*(BG148-BASELINE_CPR),0)</f>
        <v/>
      </c>
      <c r="BR148" s="13">
        <f>IFERROR(AV148/BD148*(BG148-BASELINE_CPR),0)</f>
        <v/>
      </c>
      <c r="BS148" s="13">
        <f>IFERROR(AW148/BD148*(BG148-BASELINE_CPR),0)</f>
        <v/>
      </c>
      <c r="BT148" s="13">
        <f>IFERROR(AX148/BD148*(BG148-BASELINE_CPR),0)</f>
        <v/>
      </c>
      <c r="BU148" s="13">
        <f>IFERROR(AY148/BD148*(BG148-BASELINE_CPR),0)</f>
        <v/>
      </c>
      <c r="BV148" s="13">
        <f>IFERROR(AZ148/BD148*(BG148-BASELINE_CPR),0)</f>
        <v/>
      </c>
      <c r="BW148" s="13">
        <f>IFERROR(BA148/BD148*(BG148-BASELINE_CPR),0)</f>
        <v/>
      </c>
      <c r="BX148" s="13">
        <f>IFERROR(BB148/BD148*(BG148-BASELINE_CPR),0)</f>
        <v/>
      </c>
      <c r="BY148" s="13">
        <f>IFERROR(BC148/BD148*(BG148-BASELINE_CPR),0)</f>
        <v/>
      </c>
      <c r="BZ148" s="28">
        <f>BASELINE_CPR+SUM(BH148:BY148)-BG148</f>
        <v/>
      </c>
    </row>
    <row r="149">
      <c r="A149" s="2" t="inlineStr">
        <is>
          <t>36197CYF1_000000011311100</t>
        </is>
      </c>
      <c r="B149" t="inlineStr">
        <is>
          <t>PNC_PRE21</t>
        </is>
      </c>
      <c r="C149" s="2" t="inlineStr">
        <is>
          <t>36197CYF1</t>
        </is>
      </c>
      <c r="D149" t="inlineStr">
        <is>
          <t>PNC BANK, NA</t>
        </is>
      </c>
      <c r="E149" t="inlineStr">
        <is>
          <t>223f</t>
        </is>
      </c>
      <c r="F149" t="inlineStr">
        <is>
          <t>RP</t>
        </is>
      </c>
      <c r="G149" t="n">
        <v>2017</v>
      </c>
      <c r="H149" t="inlineStr">
        <is>
          <t>202602</t>
        </is>
      </c>
      <c r="I149" s="22" t="n">
        <v>760254.09</v>
      </c>
      <c r="J149" s="23" t="n">
        <v>3.75</v>
      </c>
      <c r="K149" s="24" t="n">
        <v>447</v>
      </c>
      <c r="L149" s="24" t="n">
        <v>2</v>
      </c>
      <c r="M149" t="n">
        <v>109</v>
      </c>
      <c r="N149" t="n">
        <v>31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s="24">
        <f>J149*100-(K149+(1+L149)*12.5)</f>
        <v/>
      </c>
      <c r="U149">
        <f>O149</f>
        <v/>
      </c>
      <c r="V149">
        <f>M149</f>
        <v/>
      </c>
      <c r="W149" s="23">
        <f>LN(1+I149)</f>
        <v/>
      </c>
      <c r="X149">
        <f>IF(G149&gt;=2021,1,0)</f>
        <v/>
      </c>
      <c r="Y149">
        <f>N149</f>
        <v/>
      </c>
      <c r="Z149" s="23">
        <f>IF(ISNUMBER(M149),N149/MAX(M149,1),0)</f>
        <v/>
      </c>
      <c r="AA149">
        <f>P149</f>
        <v/>
      </c>
      <c r="AB149">
        <f>Q149</f>
        <v/>
      </c>
      <c r="AC149">
        <f>R149</f>
        <v/>
      </c>
      <c r="AD149">
        <f>S149</f>
        <v/>
      </c>
      <c r="AE149">
        <f>IF(ISNUMBER(SEARCH("CAPITAL FUNDING",D149)),1,0)</f>
        <v/>
      </c>
      <c r="AF149">
        <f>IF(ISNUMBER(SEARCH("MERCHANTS",D149)),1,0)</f>
        <v/>
      </c>
      <c r="AG149">
        <f>IF(ISNUMBER(SEARCH("WELLS FARGO",D149)),1,0)</f>
        <v/>
      </c>
      <c r="AH149">
        <f>IF(ISNUMBER(SEARCH("WALKER",D149)),1,0)</f>
        <v/>
      </c>
      <c r="AI149">
        <f>IF(ISNUMBER(SEARCH("PNC",D149)),1,0)</f>
        <v/>
      </c>
      <c r="AJ149">
        <f>IF(ISNUMBER(SEARCH("BERKADIA",D149)),1,0)</f>
        <v/>
      </c>
      <c r="AK149">
        <f>IF(ISNUMBER(SEARCH("DWIGHT",D149)),1,0)</f>
        <v/>
      </c>
      <c r="AL149" s="25">
        <f>T$4*(T149-T$3)</f>
        <v/>
      </c>
      <c r="AM149" s="25">
        <f>U$4*(U149-U$3)</f>
        <v/>
      </c>
      <c r="AN149" s="25">
        <f>V$4*(V149-V$3)</f>
        <v/>
      </c>
      <c r="AO149" s="25">
        <f>W$4*(W149-W$3)</f>
        <v/>
      </c>
      <c r="AP149" s="25">
        <f>X$4*(X149-X$3)</f>
        <v/>
      </c>
      <c r="AQ149" s="25">
        <f>Y$4*(Y149-Y$3)</f>
        <v/>
      </c>
      <c r="AR149" s="25">
        <f>Z$4*(Z149-Z$3)</f>
        <v/>
      </c>
      <c r="AS149" s="25">
        <f>AA$4*(AA149-AA$3)</f>
        <v/>
      </c>
      <c r="AT149" s="25">
        <f>AB$4*(AB149-AB$3)</f>
        <v/>
      </c>
      <c r="AU149" s="25">
        <f>AC$4*(AC149-AC$3)</f>
        <v/>
      </c>
      <c r="AV149" s="25">
        <f>AD$4*(AD149-AD$3)</f>
        <v/>
      </c>
      <c r="AW149" s="25">
        <f>AE$4*(AE149-AE$3)</f>
        <v/>
      </c>
      <c r="AX149" s="25">
        <f>AF$4*(AF149-AF$3)</f>
        <v/>
      </c>
      <c r="AY149" s="25">
        <f>AG$4*(AG149-AG$3)</f>
        <v/>
      </c>
      <c r="AZ149" s="25">
        <f>AH$4*(AH149-AH$3)</f>
        <v/>
      </c>
      <c r="BA149" s="25">
        <f>AI$4*(AI149-AI$3)</f>
        <v/>
      </c>
      <c r="BB149" s="25">
        <f>AJ$4*(AJ149-AJ$3)</f>
        <v/>
      </c>
      <c r="BC149" s="25">
        <f>AK$4*(AK149-AK$3)</f>
        <v/>
      </c>
      <c r="BD149" s="26">
        <f>SUM(AL149:BC149)</f>
        <v/>
      </c>
      <c r="BE149" s="26">
        <f>INTERCEPT_SCALED+BD149</f>
        <v/>
      </c>
      <c r="BF149" s="27">
        <f>1/(1+EXP(-BE149))</f>
        <v/>
      </c>
      <c r="BG149" s="13">
        <f>1-(1-BF149)^12</f>
        <v/>
      </c>
      <c r="BH149" s="13">
        <f>IFERROR(AL149/BD149*(BG149-BASELINE_CPR),0)</f>
        <v/>
      </c>
      <c r="BI149" s="13">
        <f>IFERROR(AM149/BD149*(BG149-BASELINE_CPR),0)</f>
        <v/>
      </c>
      <c r="BJ149" s="13">
        <f>IFERROR(AN149/BD149*(BG149-BASELINE_CPR),0)</f>
        <v/>
      </c>
      <c r="BK149" s="13">
        <f>IFERROR(AO149/BD149*(BG149-BASELINE_CPR),0)</f>
        <v/>
      </c>
      <c r="BL149" s="13">
        <f>IFERROR(AP149/BD149*(BG149-BASELINE_CPR),0)</f>
        <v/>
      </c>
      <c r="BM149" s="13">
        <f>IFERROR(AQ149/BD149*(BG149-BASELINE_CPR),0)</f>
        <v/>
      </c>
      <c r="BN149" s="13">
        <f>IFERROR(AR149/BD149*(BG149-BASELINE_CPR),0)</f>
        <v/>
      </c>
      <c r="BO149" s="13">
        <f>IFERROR(AS149/BD149*(BG149-BASELINE_CPR),0)</f>
        <v/>
      </c>
      <c r="BP149" s="13">
        <f>IFERROR(AT149/BD149*(BG149-BASELINE_CPR),0)</f>
        <v/>
      </c>
      <c r="BQ149" s="13">
        <f>IFERROR(AU149/BD149*(BG149-BASELINE_CPR),0)</f>
        <v/>
      </c>
      <c r="BR149" s="13">
        <f>IFERROR(AV149/BD149*(BG149-BASELINE_CPR),0)</f>
        <v/>
      </c>
      <c r="BS149" s="13">
        <f>IFERROR(AW149/BD149*(BG149-BASELINE_CPR),0)</f>
        <v/>
      </c>
      <c r="BT149" s="13">
        <f>IFERROR(AX149/BD149*(BG149-BASELINE_CPR),0)</f>
        <v/>
      </c>
      <c r="BU149" s="13">
        <f>IFERROR(AY149/BD149*(BG149-BASELINE_CPR),0)</f>
        <v/>
      </c>
      <c r="BV149" s="13">
        <f>IFERROR(AZ149/BD149*(BG149-BASELINE_CPR),0)</f>
        <v/>
      </c>
      <c r="BW149" s="13">
        <f>IFERROR(BA149/BD149*(BG149-BASELINE_CPR),0)</f>
        <v/>
      </c>
      <c r="BX149" s="13">
        <f>IFERROR(BB149/BD149*(BG149-BASELINE_CPR),0)</f>
        <v/>
      </c>
      <c r="BY149" s="13">
        <f>IFERROR(BC149/BD149*(BG149-BASELINE_CPR),0)</f>
        <v/>
      </c>
      <c r="BZ149" s="28">
        <f>BASELINE_CPR+SUM(BH149:BY149)-BG149</f>
        <v/>
      </c>
    </row>
    <row r="150">
      <c r="A150" s="2" t="inlineStr">
        <is>
          <t>36176RAP7_000000012211229</t>
        </is>
      </c>
      <c r="B150" t="inlineStr">
        <is>
          <t>PNC_PRE21</t>
        </is>
      </c>
      <c r="C150" s="2" t="inlineStr">
        <is>
          <t>36176RAP7</t>
        </is>
      </c>
      <c r="D150" t="inlineStr">
        <is>
          <t>PNC BANK, NA</t>
        </is>
      </c>
      <c r="E150" t="inlineStr">
        <is>
          <t>223a7</t>
        </is>
      </c>
      <c r="F150" t="inlineStr">
        <is>
          <t>RP</t>
        </is>
      </c>
      <c r="G150" t="n">
        <v>2011</v>
      </c>
      <c r="H150" t="inlineStr">
        <is>
          <t>202602</t>
        </is>
      </c>
      <c r="I150" s="22" t="n">
        <v>3177123.41</v>
      </c>
      <c r="J150" s="23" t="n">
        <v>3.3</v>
      </c>
      <c r="K150" s="24" t="n">
        <v>447</v>
      </c>
      <c r="L150" s="24" t="n">
        <v>0</v>
      </c>
      <c r="M150" t="n">
        <v>172</v>
      </c>
      <c r="N150" t="n">
        <v>35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s="24">
        <f>J150*100-(K150+(1+L150)*12.5)</f>
        <v/>
      </c>
      <c r="U150">
        <f>O150</f>
        <v/>
      </c>
      <c r="V150">
        <f>M150</f>
        <v/>
      </c>
      <c r="W150" s="23">
        <f>LN(1+I150)</f>
        <v/>
      </c>
      <c r="X150">
        <f>IF(G150&gt;=2021,1,0)</f>
        <v/>
      </c>
      <c r="Y150">
        <f>N150</f>
        <v/>
      </c>
      <c r="Z150" s="23">
        <f>IF(ISNUMBER(M150),N150/MAX(M150,1),0)</f>
        <v/>
      </c>
      <c r="AA150">
        <f>P150</f>
        <v/>
      </c>
      <c r="AB150">
        <f>Q150</f>
        <v/>
      </c>
      <c r="AC150">
        <f>R150</f>
        <v/>
      </c>
      <c r="AD150">
        <f>S150</f>
        <v/>
      </c>
      <c r="AE150">
        <f>IF(ISNUMBER(SEARCH("CAPITAL FUNDING",D150)),1,0)</f>
        <v/>
      </c>
      <c r="AF150">
        <f>IF(ISNUMBER(SEARCH("MERCHANTS",D150)),1,0)</f>
        <v/>
      </c>
      <c r="AG150">
        <f>IF(ISNUMBER(SEARCH("WELLS FARGO",D150)),1,0)</f>
        <v/>
      </c>
      <c r="AH150">
        <f>IF(ISNUMBER(SEARCH("WALKER",D150)),1,0)</f>
        <v/>
      </c>
      <c r="AI150">
        <f>IF(ISNUMBER(SEARCH("PNC",D150)),1,0)</f>
        <v/>
      </c>
      <c r="AJ150">
        <f>IF(ISNUMBER(SEARCH("BERKADIA",D150)),1,0)</f>
        <v/>
      </c>
      <c r="AK150">
        <f>IF(ISNUMBER(SEARCH("DWIGHT",D150)),1,0)</f>
        <v/>
      </c>
      <c r="AL150" s="25">
        <f>T$4*(T150-T$3)</f>
        <v/>
      </c>
      <c r="AM150" s="25">
        <f>U$4*(U150-U$3)</f>
        <v/>
      </c>
      <c r="AN150" s="25">
        <f>V$4*(V150-V$3)</f>
        <v/>
      </c>
      <c r="AO150" s="25">
        <f>W$4*(W150-W$3)</f>
        <v/>
      </c>
      <c r="AP150" s="25">
        <f>X$4*(X150-X$3)</f>
        <v/>
      </c>
      <c r="AQ150" s="25">
        <f>Y$4*(Y150-Y$3)</f>
        <v/>
      </c>
      <c r="AR150" s="25">
        <f>Z$4*(Z150-Z$3)</f>
        <v/>
      </c>
      <c r="AS150" s="25">
        <f>AA$4*(AA150-AA$3)</f>
        <v/>
      </c>
      <c r="AT150" s="25">
        <f>AB$4*(AB150-AB$3)</f>
        <v/>
      </c>
      <c r="AU150" s="25">
        <f>AC$4*(AC150-AC$3)</f>
        <v/>
      </c>
      <c r="AV150" s="25">
        <f>AD$4*(AD150-AD$3)</f>
        <v/>
      </c>
      <c r="AW150" s="25">
        <f>AE$4*(AE150-AE$3)</f>
        <v/>
      </c>
      <c r="AX150" s="25">
        <f>AF$4*(AF150-AF$3)</f>
        <v/>
      </c>
      <c r="AY150" s="25">
        <f>AG$4*(AG150-AG$3)</f>
        <v/>
      </c>
      <c r="AZ150" s="25">
        <f>AH$4*(AH150-AH$3)</f>
        <v/>
      </c>
      <c r="BA150" s="25">
        <f>AI$4*(AI150-AI$3)</f>
        <v/>
      </c>
      <c r="BB150" s="25">
        <f>AJ$4*(AJ150-AJ$3)</f>
        <v/>
      </c>
      <c r="BC150" s="25">
        <f>AK$4*(AK150-AK$3)</f>
        <v/>
      </c>
      <c r="BD150" s="26">
        <f>SUM(AL150:BC150)</f>
        <v/>
      </c>
      <c r="BE150" s="26">
        <f>INTERCEPT_SCALED+BD150</f>
        <v/>
      </c>
      <c r="BF150" s="27">
        <f>1/(1+EXP(-BE150))</f>
        <v/>
      </c>
      <c r="BG150" s="13">
        <f>1-(1-BF150)^12</f>
        <v/>
      </c>
      <c r="BH150" s="13">
        <f>IFERROR(AL150/BD150*(BG150-BASELINE_CPR),0)</f>
        <v/>
      </c>
      <c r="BI150" s="13">
        <f>IFERROR(AM150/BD150*(BG150-BASELINE_CPR),0)</f>
        <v/>
      </c>
      <c r="BJ150" s="13">
        <f>IFERROR(AN150/BD150*(BG150-BASELINE_CPR),0)</f>
        <v/>
      </c>
      <c r="BK150" s="13">
        <f>IFERROR(AO150/BD150*(BG150-BASELINE_CPR),0)</f>
        <v/>
      </c>
      <c r="BL150" s="13">
        <f>IFERROR(AP150/BD150*(BG150-BASELINE_CPR),0)</f>
        <v/>
      </c>
      <c r="BM150" s="13">
        <f>IFERROR(AQ150/BD150*(BG150-BASELINE_CPR),0)</f>
        <v/>
      </c>
      <c r="BN150" s="13">
        <f>IFERROR(AR150/BD150*(BG150-BASELINE_CPR),0)</f>
        <v/>
      </c>
      <c r="BO150" s="13">
        <f>IFERROR(AS150/BD150*(BG150-BASELINE_CPR),0)</f>
        <v/>
      </c>
      <c r="BP150" s="13">
        <f>IFERROR(AT150/BD150*(BG150-BASELINE_CPR),0)</f>
        <v/>
      </c>
      <c r="BQ150" s="13">
        <f>IFERROR(AU150/BD150*(BG150-BASELINE_CPR),0)</f>
        <v/>
      </c>
      <c r="BR150" s="13">
        <f>IFERROR(AV150/BD150*(BG150-BASELINE_CPR),0)</f>
        <v/>
      </c>
      <c r="BS150" s="13">
        <f>IFERROR(AW150/BD150*(BG150-BASELINE_CPR),0)</f>
        <v/>
      </c>
      <c r="BT150" s="13">
        <f>IFERROR(AX150/BD150*(BG150-BASELINE_CPR),0)</f>
        <v/>
      </c>
      <c r="BU150" s="13">
        <f>IFERROR(AY150/BD150*(BG150-BASELINE_CPR),0)</f>
        <v/>
      </c>
      <c r="BV150" s="13">
        <f>IFERROR(AZ150/BD150*(BG150-BASELINE_CPR),0)</f>
        <v/>
      </c>
      <c r="BW150" s="13">
        <f>IFERROR(BA150/BD150*(BG150-BASELINE_CPR),0)</f>
        <v/>
      </c>
      <c r="BX150" s="13">
        <f>IFERROR(BB150/BD150*(BG150-BASELINE_CPR),0)</f>
        <v/>
      </c>
      <c r="BY150" s="13">
        <f>IFERROR(BC150/BD150*(BG150-BASELINE_CPR),0)</f>
        <v/>
      </c>
      <c r="BZ150" s="28">
        <f>BASELINE_CPR+SUM(BH150:BY150)-BG150</f>
        <v/>
      </c>
    </row>
    <row r="151">
      <c r="A151" s="2" t="inlineStr">
        <is>
          <t>3617G9ZC8_000000012135982</t>
        </is>
      </c>
      <c r="B151" t="inlineStr">
        <is>
          <t>PNC_PRE21</t>
        </is>
      </c>
      <c r="C151" s="2" t="inlineStr">
        <is>
          <t>3617G9ZC8</t>
        </is>
      </c>
      <c r="D151" t="inlineStr">
        <is>
          <t>PNC BANK, NA</t>
        </is>
      </c>
      <c r="E151" t="inlineStr">
        <is>
          <t>221d4</t>
        </is>
      </c>
      <c r="F151" t="inlineStr">
        <is>
          <t>NC</t>
        </is>
      </c>
      <c r="G151" t="n">
        <v>2019</v>
      </c>
      <c r="H151" t="inlineStr">
        <is>
          <t>202602</t>
        </is>
      </c>
      <c r="I151" s="22" t="n">
        <v>8882184.109999999</v>
      </c>
      <c r="J151" s="23" t="n">
        <v>3.07</v>
      </c>
      <c r="K151" s="24" t="n">
        <v>447</v>
      </c>
      <c r="L151" s="24" t="n">
        <v>5</v>
      </c>
      <c r="M151" t="n">
        <v>76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s="24">
        <f>J151*100-(K151+(1+L151)*12.5)</f>
        <v/>
      </c>
      <c r="U151">
        <f>O151</f>
        <v/>
      </c>
      <c r="V151">
        <f>M151</f>
        <v/>
      </c>
      <c r="W151" s="23">
        <f>LN(1+I151)</f>
        <v/>
      </c>
      <c r="X151">
        <f>IF(G151&gt;=2021,1,0)</f>
        <v/>
      </c>
      <c r="Y151">
        <f>N151</f>
        <v/>
      </c>
      <c r="Z151" s="23">
        <f>IF(ISNUMBER(M151),N151/MAX(M151,1),0)</f>
        <v/>
      </c>
      <c r="AA151">
        <f>P151</f>
        <v/>
      </c>
      <c r="AB151">
        <f>Q151</f>
        <v/>
      </c>
      <c r="AC151">
        <f>R151</f>
        <v/>
      </c>
      <c r="AD151">
        <f>S151</f>
        <v/>
      </c>
      <c r="AE151">
        <f>IF(ISNUMBER(SEARCH("CAPITAL FUNDING",D151)),1,0)</f>
        <v/>
      </c>
      <c r="AF151">
        <f>IF(ISNUMBER(SEARCH("MERCHANTS",D151)),1,0)</f>
        <v/>
      </c>
      <c r="AG151">
        <f>IF(ISNUMBER(SEARCH("WELLS FARGO",D151)),1,0)</f>
        <v/>
      </c>
      <c r="AH151">
        <f>IF(ISNUMBER(SEARCH("WALKER",D151)),1,0)</f>
        <v/>
      </c>
      <c r="AI151">
        <f>IF(ISNUMBER(SEARCH("PNC",D151)),1,0)</f>
        <v/>
      </c>
      <c r="AJ151">
        <f>IF(ISNUMBER(SEARCH("BERKADIA",D151)),1,0)</f>
        <v/>
      </c>
      <c r="AK151">
        <f>IF(ISNUMBER(SEARCH("DWIGHT",D151)),1,0)</f>
        <v/>
      </c>
      <c r="AL151" s="25">
        <f>T$4*(T151-T$3)</f>
        <v/>
      </c>
      <c r="AM151" s="25">
        <f>U$4*(U151-U$3)</f>
        <v/>
      </c>
      <c r="AN151" s="25">
        <f>V$4*(V151-V$3)</f>
        <v/>
      </c>
      <c r="AO151" s="25">
        <f>W$4*(W151-W$3)</f>
        <v/>
      </c>
      <c r="AP151" s="25">
        <f>X$4*(X151-X$3)</f>
        <v/>
      </c>
      <c r="AQ151" s="25">
        <f>Y$4*(Y151-Y$3)</f>
        <v/>
      </c>
      <c r="AR151" s="25">
        <f>Z$4*(Z151-Z$3)</f>
        <v/>
      </c>
      <c r="AS151" s="25">
        <f>AA$4*(AA151-AA$3)</f>
        <v/>
      </c>
      <c r="AT151" s="25">
        <f>AB$4*(AB151-AB$3)</f>
        <v/>
      </c>
      <c r="AU151" s="25">
        <f>AC$4*(AC151-AC$3)</f>
        <v/>
      </c>
      <c r="AV151" s="25">
        <f>AD$4*(AD151-AD$3)</f>
        <v/>
      </c>
      <c r="AW151" s="25">
        <f>AE$4*(AE151-AE$3)</f>
        <v/>
      </c>
      <c r="AX151" s="25">
        <f>AF$4*(AF151-AF$3)</f>
        <v/>
      </c>
      <c r="AY151" s="25">
        <f>AG$4*(AG151-AG$3)</f>
        <v/>
      </c>
      <c r="AZ151" s="25">
        <f>AH$4*(AH151-AH$3)</f>
        <v/>
      </c>
      <c r="BA151" s="25">
        <f>AI$4*(AI151-AI$3)</f>
        <v/>
      </c>
      <c r="BB151" s="25">
        <f>AJ$4*(AJ151-AJ$3)</f>
        <v/>
      </c>
      <c r="BC151" s="25">
        <f>AK$4*(AK151-AK$3)</f>
        <v/>
      </c>
      <c r="BD151" s="26">
        <f>SUM(AL151:BC151)</f>
        <v/>
      </c>
      <c r="BE151" s="26">
        <f>INTERCEPT_SCALED+BD151</f>
        <v/>
      </c>
      <c r="BF151" s="27">
        <f>1/(1+EXP(-BE151))</f>
        <v/>
      </c>
      <c r="BG151" s="13">
        <f>1-(1-BF151)^12</f>
        <v/>
      </c>
      <c r="BH151" s="13">
        <f>IFERROR(AL151/BD151*(BG151-BASELINE_CPR),0)</f>
        <v/>
      </c>
      <c r="BI151" s="13">
        <f>IFERROR(AM151/BD151*(BG151-BASELINE_CPR),0)</f>
        <v/>
      </c>
      <c r="BJ151" s="13">
        <f>IFERROR(AN151/BD151*(BG151-BASELINE_CPR),0)</f>
        <v/>
      </c>
      <c r="BK151" s="13">
        <f>IFERROR(AO151/BD151*(BG151-BASELINE_CPR),0)</f>
        <v/>
      </c>
      <c r="BL151" s="13">
        <f>IFERROR(AP151/BD151*(BG151-BASELINE_CPR),0)</f>
        <v/>
      </c>
      <c r="BM151" s="13">
        <f>IFERROR(AQ151/BD151*(BG151-BASELINE_CPR),0)</f>
        <v/>
      </c>
      <c r="BN151" s="13">
        <f>IFERROR(AR151/BD151*(BG151-BASELINE_CPR),0)</f>
        <v/>
      </c>
      <c r="BO151" s="13">
        <f>IFERROR(AS151/BD151*(BG151-BASELINE_CPR),0)</f>
        <v/>
      </c>
      <c r="BP151" s="13">
        <f>IFERROR(AT151/BD151*(BG151-BASELINE_CPR),0)</f>
        <v/>
      </c>
      <c r="BQ151" s="13">
        <f>IFERROR(AU151/BD151*(BG151-BASELINE_CPR),0)</f>
        <v/>
      </c>
      <c r="BR151" s="13">
        <f>IFERROR(AV151/BD151*(BG151-BASELINE_CPR),0)</f>
        <v/>
      </c>
      <c r="BS151" s="13">
        <f>IFERROR(AW151/BD151*(BG151-BASELINE_CPR),0)</f>
        <v/>
      </c>
      <c r="BT151" s="13">
        <f>IFERROR(AX151/BD151*(BG151-BASELINE_CPR),0)</f>
        <v/>
      </c>
      <c r="BU151" s="13">
        <f>IFERROR(AY151/BD151*(BG151-BASELINE_CPR),0)</f>
        <v/>
      </c>
      <c r="BV151" s="13">
        <f>IFERROR(AZ151/BD151*(BG151-BASELINE_CPR),0)</f>
        <v/>
      </c>
      <c r="BW151" s="13">
        <f>IFERROR(BA151/BD151*(BG151-BASELINE_CPR),0)</f>
        <v/>
      </c>
      <c r="BX151" s="13">
        <f>IFERROR(BB151/BD151*(BG151-BASELINE_CPR),0)</f>
        <v/>
      </c>
      <c r="BY151" s="13">
        <f>IFERROR(BC151/BD151*(BG151-BASELINE_CPR),0)</f>
        <v/>
      </c>
      <c r="BZ151" s="28">
        <f>BASELINE_CPR+SUM(BH151:BY151)-BG151</f>
        <v/>
      </c>
    </row>
    <row r="152">
      <c r="A152" s="2" t="inlineStr">
        <is>
          <t>36295TM68_041003202439995</t>
        </is>
      </c>
      <c r="B152" t="inlineStr">
        <is>
          <t>PNC_PRE21</t>
        </is>
      </c>
      <c r="C152" s="2" t="inlineStr">
        <is>
          <t>36295TM68</t>
        </is>
      </c>
      <c r="D152" t="inlineStr">
        <is>
          <t>PNC BANK, NA</t>
        </is>
      </c>
      <c r="E152" t="inlineStr">
        <is>
          <t>538</t>
        </is>
      </c>
      <c r="F152" t="inlineStr">
        <is>
          <t>538</t>
        </is>
      </c>
      <c r="G152" t="n">
        <v>2006</v>
      </c>
      <c r="H152" t="inlineStr">
        <is>
          <t>202602</t>
        </is>
      </c>
      <c r="I152" s="22" t="n">
        <v>746262.11</v>
      </c>
      <c r="J152" s="23" t="n">
        <v>7.29</v>
      </c>
      <c r="K152" s="24" t="n">
        <v>447</v>
      </c>
      <c r="L152" s="24" t="n">
        <v>0</v>
      </c>
      <c r="M152" t="n">
        <v>230</v>
      </c>
      <c r="N152" t="n">
        <v>87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s="24">
        <f>J152*100-(K152+(1+L152)*12.5)</f>
        <v/>
      </c>
      <c r="U152">
        <f>O152</f>
        <v/>
      </c>
      <c r="V152">
        <f>M152</f>
        <v/>
      </c>
      <c r="W152" s="23">
        <f>LN(1+I152)</f>
        <v/>
      </c>
      <c r="X152">
        <f>IF(G152&gt;=2021,1,0)</f>
        <v/>
      </c>
      <c r="Y152">
        <f>N152</f>
        <v/>
      </c>
      <c r="Z152" s="23">
        <f>IF(ISNUMBER(M152),N152/MAX(M152,1),0)</f>
        <v/>
      </c>
      <c r="AA152">
        <f>P152</f>
        <v/>
      </c>
      <c r="AB152">
        <f>Q152</f>
        <v/>
      </c>
      <c r="AC152">
        <f>R152</f>
        <v/>
      </c>
      <c r="AD152">
        <f>S152</f>
        <v/>
      </c>
      <c r="AE152">
        <f>IF(ISNUMBER(SEARCH("CAPITAL FUNDING",D152)),1,0)</f>
        <v/>
      </c>
      <c r="AF152">
        <f>IF(ISNUMBER(SEARCH("MERCHANTS",D152)),1,0)</f>
        <v/>
      </c>
      <c r="AG152">
        <f>IF(ISNUMBER(SEARCH("WELLS FARGO",D152)),1,0)</f>
        <v/>
      </c>
      <c r="AH152">
        <f>IF(ISNUMBER(SEARCH("WALKER",D152)),1,0)</f>
        <v/>
      </c>
      <c r="AI152">
        <f>IF(ISNUMBER(SEARCH("PNC",D152)),1,0)</f>
        <v/>
      </c>
      <c r="AJ152">
        <f>IF(ISNUMBER(SEARCH("BERKADIA",D152)),1,0)</f>
        <v/>
      </c>
      <c r="AK152">
        <f>IF(ISNUMBER(SEARCH("DWIGHT",D152)),1,0)</f>
        <v/>
      </c>
      <c r="AL152" s="25">
        <f>T$4*(T152-T$3)</f>
        <v/>
      </c>
      <c r="AM152" s="25">
        <f>U$4*(U152-U$3)</f>
        <v/>
      </c>
      <c r="AN152" s="25">
        <f>V$4*(V152-V$3)</f>
        <v/>
      </c>
      <c r="AO152" s="25">
        <f>W$4*(W152-W$3)</f>
        <v/>
      </c>
      <c r="AP152" s="25">
        <f>X$4*(X152-X$3)</f>
        <v/>
      </c>
      <c r="AQ152" s="25">
        <f>Y$4*(Y152-Y$3)</f>
        <v/>
      </c>
      <c r="AR152" s="25">
        <f>Z$4*(Z152-Z$3)</f>
        <v/>
      </c>
      <c r="AS152" s="25">
        <f>AA$4*(AA152-AA$3)</f>
        <v/>
      </c>
      <c r="AT152" s="25">
        <f>AB$4*(AB152-AB$3)</f>
        <v/>
      </c>
      <c r="AU152" s="25">
        <f>AC$4*(AC152-AC$3)</f>
        <v/>
      </c>
      <c r="AV152" s="25">
        <f>AD$4*(AD152-AD$3)</f>
        <v/>
      </c>
      <c r="AW152" s="25">
        <f>AE$4*(AE152-AE$3)</f>
        <v/>
      </c>
      <c r="AX152" s="25">
        <f>AF$4*(AF152-AF$3)</f>
        <v/>
      </c>
      <c r="AY152" s="25">
        <f>AG$4*(AG152-AG$3)</f>
        <v/>
      </c>
      <c r="AZ152" s="25">
        <f>AH$4*(AH152-AH$3)</f>
        <v/>
      </c>
      <c r="BA152" s="25">
        <f>AI$4*(AI152-AI$3)</f>
        <v/>
      </c>
      <c r="BB152" s="25">
        <f>AJ$4*(AJ152-AJ$3)</f>
        <v/>
      </c>
      <c r="BC152" s="25">
        <f>AK$4*(AK152-AK$3)</f>
        <v/>
      </c>
      <c r="BD152" s="26">
        <f>SUM(AL152:BC152)</f>
        <v/>
      </c>
      <c r="BE152" s="26">
        <f>INTERCEPT_SCALED+BD152</f>
        <v/>
      </c>
      <c r="BF152" s="27">
        <f>1/(1+EXP(-BE152))</f>
        <v/>
      </c>
      <c r="BG152" s="13">
        <f>1-(1-BF152)^12</f>
        <v/>
      </c>
      <c r="BH152" s="13">
        <f>IFERROR(AL152/BD152*(BG152-BASELINE_CPR),0)</f>
        <v/>
      </c>
      <c r="BI152" s="13">
        <f>IFERROR(AM152/BD152*(BG152-BASELINE_CPR),0)</f>
        <v/>
      </c>
      <c r="BJ152" s="13">
        <f>IFERROR(AN152/BD152*(BG152-BASELINE_CPR),0)</f>
        <v/>
      </c>
      <c r="BK152" s="13">
        <f>IFERROR(AO152/BD152*(BG152-BASELINE_CPR),0)</f>
        <v/>
      </c>
      <c r="BL152" s="13">
        <f>IFERROR(AP152/BD152*(BG152-BASELINE_CPR),0)</f>
        <v/>
      </c>
      <c r="BM152" s="13">
        <f>IFERROR(AQ152/BD152*(BG152-BASELINE_CPR),0)</f>
        <v/>
      </c>
      <c r="BN152" s="13">
        <f>IFERROR(AR152/BD152*(BG152-BASELINE_CPR),0)</f>
        <v/>
      </c>
      <c r="BO152" s="13">
        <f>IFERROR(AS152/BD152*(BG152-BASELINE_CPR),0)</f>
        <v/>
      </c>
      <c r="BP152" s="13">
        <f>IFERROR(AT152/BD152*(BG152-BASELINE_CPR),0)</f>
        <v/>
      </c>
      <c r="BQ152" s="13">
        <f>IFERROR(AU152/BD152*(BG152-BASELINE_CPR),0)</f>
        <v/>
      </c>
      <c r="BR152" s="13">
        <f>IFERROR(AV152/BD152*(BG152-BASELINE_CPR),0)</f>
        <v/>
      </c>
      <c r="BS152" s="13">
        <f>IFERROR(AW152/BD152*(BG152-BASELINE_CPR),0)</f>
        <v/>
      </c>
      <c r="BT152" s="13">
        <f>IFERROR(AX152/BD152*(BG152-BASELINE_CPR),0)</f>
        <v/>
      </c>
      <c r="BU152" s="13">
        <f>IFERROR(AY152/BD152*(BG152-BASELINE_CPR),0)</f>
        <v/>
      </c>
      <c r="BV152" s="13">
        <f>IFERROR(AZ152/BD152*(BG152-BASELINE_CPR),0)</f>
        <v/>
      </c>
      <c r="BW152" s="13">
        <f>IFERROR(BA152/BD152*(BG152-BASELINE_CPR),0)</f>
        <v/>
      </c>
      <c r="BX152" s="13">
        <f>IFERROR(BB152/BD152*(BG152-BASELINE_CPR),0)</f>
        <v/>
      </c>
      <c r="BY152" s="13">
        <f>IFERROR(BC152/BD152*(BG152-BASELINE_CPR),0)</f>
        <v/>
      </c>
      <c r="BZ152" s="28">
        <f>BASELINE_CPR+SUM(BH152:BY152)-BG152</f>
        <v/>
      </c>
    </row>
    <row r="153">
      <c r="A153" s="2" t="inlineStr">
        <is>
          <t>36291YQ59_000000003335263</t>
        </is>
      </c>
      <c r="B153" t="inlineStr">
        <is>
          <t>PNC_PRE21</t>
        </is>
      </c>
      <c r="C153" s="2" t="inlineStr">
        <is>
          <t>36291YQ59</t>
        </is>
      </c>
      <c r="D153" t="inlineStr">
        <is>
          <t>PNC BANK, NA</t>
        </is>
      </c>
      <c r="E153" t="inlineStr">
        <is>
          <t>223a7</t>
        </is>
      </c>
      <c r="F153" t="inlineStr">
        <is>
          <t>RP</t>
        </is>
      </c>
      <c r="G153" t="n">
        <v>2005</v>
      </c>
      <c r="H153" t="inlineStr">
        <is>
          <t>202602</t>
        </is>
      </c>
      <c r="I153" s="22" t="n">
        <v>318126.52</v>
      </c>
      <c r="J153" s="23" t="n">
        <v>6.45</v>
      </c>
      <c r="K153" s="24" t="n">
        <v>447</v>
      </c>
      <c r="L153" s="24" t="n">
        <v>0</v>
      </c>
      <c r="M153" t="n">
        <v>250</v>
      </c>
      <c r="N153" t="n">
        <v>87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s="24">
        <f>J153*100-(K153+(1+L153)*12.5)</f>
        <v/>
      </c>
      <c r="U153">
        <f>O153</f>
        <v/>
      </c>
      <c r="V153">
        <f>M153</f>
        <v/>
      </c>
      <c r="W153" s="23">
        <f>LN(1+I153)</f>
        <v/>
      </c>
      <c r="X153">
        <f>IF(G153&gt;=2021,1,0)</f>
        <v/>
      </c>
      <c r="Y153">
        <f>N153</f>
        <v/>
      </c>
      <c r="Z153" s="23">
        <f>IF(ISNUMBER(M153),N153/MAX(M153,1),0)</f>
        <v/>
      </c>
      <c r="AA153">
        <f>P153</f>
        <v/>
      </c>
      <c r="AB153">
        <f>Q153</f>
        <v/>
      </c>
      <c r="AC153">
        <f>R153</f>
        <v/>
      </c>
      <c r="AD153">
        <f>S153</f>
        <v/>
      </c>
      <c r="AE153">
        <f>IF(ISNUMBER(SEARCH("CAPITAL FUNDING",D153)),1,0)</f>
        <v/>
      </c>
      <c r="AF153">
        <f>IF(ISNUMBER(SEARCH("MERCHANTS",D153)),1,0)</f>
        <v/>
      </c>
      <c r="AG153">
        <f>IF(ISNUMBER(SEARCH("WELLS FARGO",D153)),1,0)</f>
        <v/>
      </c>
      <c r="AH153">
        <f>IF(ISNUMBER(SEARCH("WALKER",D153)),1,0)</f>
        <v/>
      </c>
      <c r="AI153">
        <f>IF(ISNUMBER(SEARCH("PNC",D153)),1,0)</f>
        <v/>
      </c>
      <c r="AJ153">
        <f>IF(ISNUMBER(SEARCH("BERKADIA",D153)),1,0)</f>
        <v/>
      </c>
      <c r="AK153">
        <f>IF(ISNUMBER(SEARCH("DWIGHT",D153)),1,0)</f>
        <v/>
      </c>
      <c r="AL153" s="25">
        <f>T$4*(T153-T$3)</f>
        <v/>
      </c>
      <c r="AM153" s="25">
        <f>U$4*(U153-U$3)</f>
        <v/>
      </c>
      <c r="AN153" s="25">
        <f>V$4*(V153-V$3)</f>
        <v/>
      </c>
      <c r="AO153" s="25">
        <f>W$4*(W153-W$3)</f>
        <v/>
      </c>
      <c r="AP153" s="25">
        <f>X$4*(X153-X$3)</f>
        <v/>
      </c>
      <c r="AQ153" s="25">
        <f>Y$4*(Y153-Y$3)</f>
        <v/>
      </c>
      <c r="AR153" s="25">
        <f>Z$4*(Z153-Z$3)</f>
        <v/>
      </c>
      <c r="AS153" s="25">
        <f>AA$4*(AA153-AA$3)</f>
        <v/>
      </c>
      <c r="AT153" s="25">
        <f>AB$4*(AB153-AB$3)</f>
        <v/>
      </c>
      <c r="AU153" s="25">
        <f>AC$4*(AC153-AC$3)</f>
        <v/>
      </c>
      <c r="AV153" s="25">
        <f>AD$4*(AD153-AD$3)</f>
        <v/>
      </c>
      <c r="AW153" s="25">
        <f>AE$4*(AE153-AE$3)</f>
        <v/>
      </c>
      <c r="AX153" s="25">
        <f>AF$4*(AF153-AF$3)</f>
        <v/>
      </c>
      <c r="AY153" s="25">
        <f>AG$4*(AG153-AG$3)</f>
        <v/>
      </c>
      <c r="AZ153" s="25">
        <f>AH$4*(AH153-AH$3)</f>
        <v/>
      </c>
      <c r="BA153" s="25">
        <f>AI$4*(AI153-AI$3)</f>
        <v/>
      </c>
      <c r="BB153" s="25">
        <f>AJ$4*(AJ153-AJ$3)</f>
        <v/>
      </c>
      <c r="BC153" s="25">
        <f>AK$4*(AK153-AK$3)</f>
        <v/>
      </c>
      <c r="BD153" s="26">
        <f>SUM(AL153:BC153)</f>
        <v/>
      </c>
      <c r="BE153" s="26">
        <f>INTERCEPT_SCALED+BD153</f>
        <v/>
      </c>
      <c r="BF153" s="27">
        <f>1/(1+EXP(-BE153))</f>
        <v/>
      </c>
      <c r="BG153" s="13">
        <f>1-(1-BF153)^12</f>
        <v/>
      </c>
      <c r="BH153" s="13">
        <f>IFERROR(AL153/BD153*(BG153-BASELINE_CPR),0)</f>
        <v/>
      </c>
      <c r="BI153" s="13">
        <f>IFERROR(AM153/BD153*(BG153-BASELINE_CPR),0)</f>
        <v/>
      </c>
      <c r="BJ153" s="13">
        <f>IFERROR(AN153/BD153*(BG153-BASELINE_CPR),0)</f>
        <v/>
      </c>
      <c r="BK153" s="13">
        <f>IFERROR(AO153/BD153*(BG153-BASELINE_CPR),0)</f>
        <v/>
      </c>
      <c r="BL153" s="13">
        <f>IFERROR(AP153/BD153*(BG153-BASELINE_CPR),0)</f>
        <v/>
      </c>
      <c r="BM153" s="13">
        <f>IFERROR(AQ153/BD153*(BG153-BASELINE_CPR),0)</f>
        <v/>
      </c>
      <c r="BN153" s="13">
        <f>IFERROR(AR153/BD153*(BG153-BASELINE_CPR),0)</f>
        <v/>
      </c>
      <c r="BO153" s="13">
        <f>IFERROR(AS153/BD153*(BG153-BASELINE_CPR),0)</f>
        <v/>
      </c>
      <c r="BP153" s="13">
        <f>IFERROR(AT153/BD153*(BG153-BASELINE_CPR),0)</f>
        <v/>
      </c>
      <c r="BQ153" s="13">
        <f>IFERROR(AU153/BD153*(BG153-BASELINE_CPR),0)</f>
        <v/>
      </c>
      <c r="BR153" s="13">
        <f>IFERROR(AV153/BD153*(BG153-BASELINE_CPR),0)</f>
        <v/>
      </c>
      <c r="BS153" s="13">
        <f>IFERROR(AW153/BD153*(BG153-BASELINE_CPR),0)</f>
        <v/>
      </c>
      <c r="BT153" s="13">
        <f>IFERROR(AX153/BD153*(BG153-BASELINE_CPR),0)</f>
        <v/>
      </c>
      <c r="BU153" s="13">
        <f>IFERROR(AY153/BD153*(BG153-BASELINE_CPR),0)</f>
        <v/>
      </c>
      <c r="BV153" s="13">
        <f>IFERROR(AZ153/BD153*(BG153-BASELINE_CPR),0)</f>
        <v/>
      </c>
      <c r="BW153" s="13">
        <f>IFERROR(BA153/BD153*(BG153-BASELINE_CPR),0)</f>
        <v/>
      </c>
      <c r="BX153" s="13">
        <f>IFERROR(BB153/BD153*(BG153-BASELINE_CPR),0)</f>
        <v/>
      </c>
      <c r="BY153" s="13">
        <f>IFERROR(BC153/BD153*(BG153-BASELINE_CPR),0)</f>
        <v/>
      </c>
      <c r="BZ153" s="28">
        <f>BASELINE_CPR+SUM(BH153:BY153)-BG153</f>
        <v/>
      </c>
    </row>
    <row r="154">
      <c r="A154" s="2" t="inlineStr">
        <is>
          <t>36291HS96_000000005235634</t>
        </is>
      </c>
      <c r="B154" t="inlineStr">
        <is>
          <t>PNC_PRE21</t>
        </is>
      </c>
      <c r="C154" s="2" t="inlineStr">
        <is>
          <t>36291HS96</t>
        </is>
      </c>
      <c r="D154" t="inlineStr">
        <is>
          <t>PNC BANK, NA</t>
        </is>
      </c>
      <c r="E154" t="inlineStr">
        <is>
          <t>221d4</t>
        </is>
      </c>
      <c r="F154" t="inlineStr">
        <is>
          <t>NC</t>
        </is>
      </c>
      <c r="G154" t="n">
        <v>2006</v>
      </c>
      <c r="H154" t="inlineStr">
        <is>
          <t>202602</t>
        </is>
      </c>
      <c r="I154" s="22" t="n">
        <v>3504869.26</v>
      </c>
      <c r="J154" s="23" t="n">
        <v>5.55</v>
      </c>
      <c r="K154" s="24" t="n">
        <v>447</v>
      </c>
      <c r="L154" s="24" t="n">
        <v>0</v>
      </c>
      <c r="M154" t="n">
        <v>233</v>
      </c>
      <c r="N154" t="n">
        <v>83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s="24">
        <f>J154*100-(K154+(1+L154)*12.5)</f>
        <v/>
      </c>
      <c r="U154">
        <f>O154</f>
        <v/>
      </c>
      <c r="V154">
        <f>M154</f>
        <v/>
      </c>
      <c r="W154" s="23">
        <f>LN(1+I154)</f>
        <v/>
      </c>
      <c r="X154">
        <f>IF(G154&gt;=2021,1,0)</f>
        <v/>
      </c>
      <c r="Y154">
        <f>N154</f>
        <v/>
      </c>
      <c r="Z154" s="23">
        <f>IF(ISNUMBER(M154),N154/MAX(M154,1),0)</f>
        <v/>
      </c>
      <c r="AA154">
        <f>P154</f>
        <v/>
      </c>
      <c r="AB154">
        <f>Q154</f>
        <v/>
      </c>
      <c r="AC154">
        <f>R154</f>
        <v/>
      </c>
      <c r="AD154">
        <f>S154</f>
        <v/>
      </c>
      <c r="AE154">
        <f>IF(ISNUMBER(SEARCH("CAPITAL FUNDING",D154)),1,0)</f>
        <v/>
      </c>
      <c r="AF154">
        <f>IF(ISNUMBER(SEARCH("MERCHANTS",D154)),1,0)</f>
        <v/>
      </c>
      <c r="AG154">
        <f>IF(ISNUMBER(SEARCH("WELLS FARGO",D154)),1,0)</f>
        <v/>
      </c>
      <c r="AH154">
        <f>IF(ISNUMBER(SEARCH("WALKER",D154)),1,0)</f>
        <v/>
      </c>
      <c r="AI154">
        <f>IF(ISNUMBER(SEARCH("PNC",D154)),1,0)</f>
        <v/>
      </c>
      <c r="AJ154">
        <f>IF(ISNUMBER(SEARCH("BERKADIA",D154)),1,0)</f>
        <v/>
      </c>
      <c r="AK154">
        <f>IF(ISNUMBER(SEARCH("DWIGHT",D154)),1,0)</f>
        <v/>
      </c>
      <c r="AL154" s="25">
        <f>T$4*(T154-T$3)</f>
        <v/>
      </c>
      <c r="AM154" s="25">
        <f>U$4*(U154-U$3)</f>
        <v/>
      </c>
      <c r="AN154" s="25">
        <f>V$4*(V154-V$3)</f>
        <v/>
      </c>
      <c r="AO154" s="25">
        <f>W$4*(W154-W$3)</f>
        <v/>
      </c>
      <c r="AP154" s="25">
        <f>X$4*(X154-X$3)</f>
        <v/>
      </c>
      <c r="AQ154" s="25">
        <f>Y$4*(Y154-Y$3)</f>
        <v/>
      </c>
      <c r="AR154" s="25">
        <f>Z$4*(Z154-Z$3)</f>
        <v/>
      </c>
      <c r="AS154" s="25">
        <f>AA$4*(AA154-AA$3)</f>
        <v/>
      </c>
      <c r="AT154" s="25">
        <f>AB$4*(AB154-AB$3)</f>
        <v/>
      </c>
      <c r="AU154" s="25">
        <f>AC$4*(AC154-AC$3)</f>
        <v/>
      </c>
      <c r="AV154" s="25">
        <f>AD$4*(AD154-AD$3)</f>
        <v/>
      </c>
      <c r="AW154" s="25">
        <f>AE$4*(AE154-AE$3)</f>
        <v/>
      </c>
      <c r="AX154" s="25">
        <f>AF$4*(AF154-AF$3)</f>
        <v/>
      </c>
      <c r="AY154" s="25">
        <f>AG$4*(AG154-AG$3)</f>
        <v/>
      </c>
      <c r="AZ154" s="25">
        <f>AH$4*(AH154-AH$3)</f>
        <v/>
      </c>
      <c r="BA154" s="25">
        <f>AI$4*(AI154-AI$3)</f>
        <v/>
      </c>
      <c r="BB154" s="25">
        <f>AJ$4*(AJ154-AJ$3)</f>
        <v/>
      </c>
      <c r="BC154" s="25">
        <f>AK$4*(AK154-AK$3)</f>
        <v/>
      </c>
      <c r="BD154" s="26">
        <f>SUM(AL154:BC154)</f>
        <v/>
      </c>
      <c r="BE154" s="26">
        <f>INTERCEPT_SCALED+BD154</f>
        <v/>
      </c>
      <c r="BF154" s="27">
        <f>1/(1+EXP(-BE154))</f>
        <v/>
      </c>
      <c r="BG154" s="13">
        <f>1-(1-BF154)^12</f>
        <v/>
      </c>
      <c r="BH154" s="13">
        <f>IFERROR(AL154/BD154*(BG154-BASELINE_CPR),0)</f>
        <v/>
      </c>
      <c r="BI154" s="13">
        <f>IFERROR(AM154/BD154*(BG154-BASELINE_CPR),0)</f>
        <v/>
      </c>
      <c r="BJ154" s="13">
        <f>IFERROR(AN154/BD154*(BG154-BASELINE_CPR),0)</f>
        <v/>
      </c>
      <c r="BK154" s="13">
        <f>IFERROR(AO154/BD154*(BG154-BASELINE_CPR),0)</f>
        <v/>
      </c>
      <c r="BL154" s="13">
        <f>IFERROR(AP154/BD154*(BG154-BASELINE_CPR),0)</f>
        <v/>
      </c>
      <c r="BM154" s="13">
        <f>IFERROR(AQ154/BD154*(BG154-BASELINE_CPR),0)</f>
        <v/>
      </c>
      <c r="BN154" s="13">
        <f>IFERROR(AR154/BD154*(BG154-BASELINE_CPR),0)</f>
        <v/>
      </c>
      <c r="BO154" s="13">
        <f>IFERROR(AS154/BD154*(BG154-BASELINE_CPR),0)</f>
        <v/>
      </c>
      <c r="BP154" s="13">
        <f>IFERROR(AT154/BD154*(BG154-BASELINE_CPR),0)</f>
        <v/>
      </c>
      <c r="BQ154" s="13">
        <f>IFERROR(AU154/BD154*(BG154-BASELINE_CPR),0)</f>
        <v/>
      </c>
      <c r="BR154" s="13">
        <f>IFERROR(AV154/BD154*(BG154-BASELINE_CPR),0)</f>
        <v/>
      </c>
      <c r="BS154" s="13">
        <f>IFERROR(AW154/BD154*(BG154-BASELINE_CPR),0)</f>
        <v/>
      </c>
      <c r="BT154" s="13">
        <f>IFERROR(AX154/BD154*(BG154-BASELINE_CPR),0)</f>
        <v/>
      </c>
      <c r="BU154" s="13">
        <f>IFERROR(AY154/BD154*(BG154-BASELINE_CPR),0)</f>
        <v/>
      </c>
      <c r="BV154" s="13">
        <f>IFERROR(AZ154/BD154*(BG154-BASELINE_CPR),0)</f>
        <v/>
      </c>
      <c r="BW154" s="13">
        <f>IFERROR(BA154/BD154*(BG154-BASELINE_CPR),0)</f>
        <v/>
      </c>
      <c r="BX154" s="13">
        <f>IFERROR(BB154/BD154*(BG154-BASELINE_CPR),0)</f>
        <v/>
      </c>
      <c r="BY154" s="13">
        <f>IFERROR(BC154/BD154*(BG154-BASELINE_CPR),0)</f>
        <v/>
      </c>
      <c r="BZ154" s="28">
        <f>BASELINE_CPR+SUM(BH154:BY154)-BG154</f>
        <v/>
      </c>
    </row>
    <row r="155">
      <c r="A155" s="2" t="inlineStr">
        <is>
          <t>36294XZW9_004033030406928</t>
        </is>
      </c>
      <c r="B155" t="inlineStr">
        <is>
          <t>PNC_PRE21</t>
        </is>
      </c>
      <c r="C155" s="2" t="inlineStr">
        <is>
          <t>36294XZW9</t>
        </is>
      </c>
      <c r="D155" t="inlineStr">
        <is>
          <t>PNC BANK, NA</t>
        </is>
      </c>
      <c r="E155" t="inlineStr">
        <is>
          <t>538</t>
        </is>
      </c>
      <c r="F155" t="inlineStr">
        <is>
          <t>538</t>
        </is>
      </c>
      <c r="G155" t="n">
        <v>2006</v>
      </c>
      <c r="H155" t="inlineStr">
        <is>
          <t>202602</t>
        </is>
      </c>
      <c r="I155" s="22" t="n">
        <v>1569603.44</v>
      </c>
      <c r="J155" s="23" t="n">
        <v>7.09</v>
      </c>
      <c r="K155" s="24" t="n">
        <v>447</v>
      </c>
      <c r="L155" s="24" t="n">
        <v>5.08</v>
      </c>
      <c r="M155" t="n">
        <v>239</v>
      </c>
      <c r="N155" t="n">
        <v>86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s="24">
        <f>J155*100-(K155+(1+L155)*12.5)</f>
        <v/>
      </c>
      <c r="U155">
        <f>O155</f>
        <v/>
      </c>
      <c r="V155">
        <f>M155</f>
        <v/>
      </c>
      <c r="W155" s="23">
        <f>LN(1+I155)</f>
        <v/>
      </c>
      <c r="X155">
        <f>IF(G155&gt;=2021,1,0)</f>
        <v/>
      </c>
      <c r="Y155">
        <f>N155</f>
        <v/>
      </c>
      <c r="Z155" s="23">
        <f>IF(ISNUMBER(M155),N155/MAX(M155,1),0)</f>
        <v/>
      </c>
      <c r="AA155">
        <f>P155</f>
        <v/>
      </c>
      <c r="AB155">
        <f>Q155</f>
        <v/>
      </c>
      <c r="AC155">
        <f>R155</f>
        <v/>
      </c>
      <c r="AD155">
        <f>S155</f>
        <v/>
      </c>
      <c r="AE155">
        <f>IF(ISNUMBER(SEARCH("CAPITAL FUNDING",D155)),1,0)</f>
        <v/>
      </c>
      <c r="AF155">
        <f>IF(ISNUMBER(SEARCH("MERCHANTS",D155)),1,0)</f>
        <v/>
      </c>
      <c r="AG155">
        <f>IF(ISNUMBER(SEARCH("WELLS FARGO",D155)),1,0)</f>
        <v/>
      </c>
      <c r="AH155">
        <f>IF(ISNUMBER(SEARCH("WALKER",D155)),1,0)</f>
        <v/>
      </c>
      <c r="AI155">
        <f>IF(ISNUMBER(SEARCH("PNC",D155)),1,0)</f>
        <v/>
      </c>
      <c r="AJ155">
        <f>IF(ISNUMBER(SEARCH("BERKADIA",D155)),1,0)</f>
        <v/>
      </c>
      <c r="AK155">
        <f>IF(ISNUMBER(SEARCH("DWIGHT",D155)),1,0)</f>
        <v/>
      </c>
      <c r="AL155" s="25">
        <f>T$4*(T155-T$3)</f>
        <v/>
      </c>
      <c r="AM155" s="25">
        <f>U$4*(U155-U$3)</f>
        <v/>
      </c>
      <c r="AN155" s="25">
        <f>V$4*(V155-V$3)</f>
        <v/>
      </c>
      <c r="AO155" s="25">
        <f>W$4*(W155-W$3)</f>
        <v/>
      </c>
      <c r="AP155" s="25">
        <f>X$4*(X155-X$3)</f>
        <v/>
      </c>
      <c r="AQ155" s="25">
        <f>Y$4*(Y155-Y$3)</f>
        <v/>
      </c>
      <c r="AR155" s="25">
        <f>Z$4*(Z155-Z$3)</f>
        <v/>
      </c>
      <c r="AS155" s="25">
        <f>AA$4*(AA155-AA$3)</f>
        <v/>
      </c>
      <c r="AT155" s="25">
        <f>AB$4*(AB155-AB$3)</f>
        <v/>
      </c>
      <c r="AU155" s="25">
        <f>AC$4*(AC155-AC$3)</f>
        <v/>
      </c>
      <c r="AV155" s="25">
        <f>AD$4*(AD155-AD$3)</f>
        <v/>
      </c>
      <c r="AW155" s="25">
        <f>AE$4*(AE155-AE$3)</f>
        <v/>
      </c>
      <c r="AX155" s="25">
        <f>AF$4*(AF155-AF$3)</f>
        <v/>
      </c>
      <c r="AY155" s="25">
        <f>AG$4*(AG155-AG$3)</f>
        <v/>
      </c>
      <c r="AZ155" s="25">
        <f>AH$4*(AH155-AH$3)</f>
        <v/>
      </c>
      <c r="BA155" s="25">
        <f>AI$4*(AI155-AI$3)</f>
        <v/>
      </c>
      <c r="BB155" s="25">
        <f>AJ$4*(AJ155-AJ$3)</f>
        <v/>
      </c>
      <c r="BC155" s="25">
        <f>AK$4*(AK155-AK$3)</f>
        <v/>
      </c>
      <c r="BD155" s="26">
        <f>SUM(AL155:BC155)</f>
        <v/>
      </c>
      <c r="BE155" s="26">
        <f>INTERCEPT_SCALED+BD155</f>
        <v/>
      </c>
      <c r="BF155" s="27">
        <f>1/(1+EXP(-BE155))</f>
        <v/>
      </c>
      <c r="BG155" s="13">
        <f>1-(1-BF155)^12</f>
        <v/>
      </c>
      <c r="BH155" s="13">
        <f>IFERROR(AL155/BD155*(BG155-BASELINE_CPR),0)</f>
        <v/>
      </c>
      <c r="BI155" s="13">
        <f>IFERROR(AM155/BD155*(BG155-BASELINE_CPR),0)</f>
        <v/>
      </c>
      <c r="BJ155" s="13">
        <f>IFERROR(AN155/BD155*(BG155-BASELINE_CPR),0)</f>
        <v/>
      </c>
      <c r="BK155" s="13">
        <f>IFERROR(AO155/BD155*(BG155-BASELINE_CPR),0)</f>
        <v/>
      </c>
      <c r="BL155" s="13">
        <f>IFERROR(AP155/BD155*(BG155-BASELINE_CPR),0)</f>
        <v/>
      </c>
      <c r="BM155" s="13">
        <f>IFERROR(AQ155/BD155*(BG155-BASELINE_CPR),0)</f>
        <v/>
      </c>
      <c r="BN155" s="13">
        <f>IFERROR(AR155/BD155*(BG155-BASELINE_CPR),0)</f>
        <v/>
      </c>
      <c r="BO155" s="13">
        <f>IFERROR(AS155/BD155*(BG155-BASELINE_CPR),0)</f>
        <v/>
      </c>
      <c r="BP155" s="13">
        <f>IFERROR(AT155/BD155*(BG155-BASELINE_CPR),0)</f>
        <v/>
      </c>
      <c r="BQ155" s="13">
        <f>IFERROR(AU155/BD155*(BG155-BASELINE_CPR),0)</f>
        <v/>
      </c>
      <c r="BR155" s="13">
        <f>IFERROR(AV155/BD155*(BG155-BASELINE_CPR),0)</f>
        <v/>
      </c>
      <c r="BS155" s="13">
        <f>IFERROR(AW155/BD155*(BG155-BASELINE_CPR),0)</f>
        <v/>
      </c>
      <c r="BT155" s="13">
        <f>IFERROR(AX155/BD155*(BG155-BASELINE_CPR),0)</f>
        <v/>
      </c>
      <c r="BU155" s="13">
        <f>IFERROR(AY155/BD155*(BG155-BASELINE_CPR),0)</f>
        <v/>
      </c>
      <c r="BV155" s="13">
        <f>IFERROR(AZ155/BD155*(BG155-BASELINE_CPR),0)</f>
        <v/>
      </c>
      <c r="BW155" s="13">
        <f>IFERROR(BA155/BD155*(BG155-BASELINE_CPR),0)</f>
        <v/>
      </c>
      <c r="BX155" s="13">
        <f>IFERROR(BB155/BD155*(BG155-BASELINE_CPR),0)</f>
        <v/>
      </c>
      <c r="BY155" s="13">
        <f>IFERROR(BC155/BD155*(BG155-BASELINE_CPR),0)</f>
        <v/>
      </c>
      <c r="BZ155" s="28">
        <f>BASELINE_CPR+SUM(BH155:BY155)-BG155</f>
        <v/>
      </c>
    </row>
    <row r="156">
      <c r="A156" s="2" t="inlineStr">
        <is>
          <t>3617ATL27_000000009211215</t>
        </is>
      </c>
      <c r="B156" t="inlineStr">
        <is>
          <t>PNC_PRE21</t>
        </is>
      </c>
      <c r="C156" s="2" t="inlineStr">
        <is>
          <t>3617ATL27</t>
        </is>
      </c>
      <c r="D156" t="inlineStr">
        <is>
          <t>PNC BANK, NA</t>
        </is>
      </c>
      <c r="E156" t="inlineStr">
        <is>
          <t>223f</t>
        </is>
      </c>
      <c r="F156" t="inlineStr">
        <is>
          <t>RP</t>
        </is>
      </c>
      <c r="G156" t="n">
        <v>2017</v>
      </c>
      <c r="H156" t="inlineStr">
        <is>
          <t>202602</t>
        </is>
      </c>
      <c r="I156" s="22" t="n">
        <v>893861.5699999999</v>
      </c>
      <c r="J156" s="23" t="n">
        <v>3.9</v>
      </c>
      <c r="K156" s="24" t="n">
        <v>447</v>
      </c>
      <c r="L156" s="24" t="n">
        <v>2</v>
      </c>
      <c r="M156" t="n">
        <v>98</v>
      </c>
      <c r="N156" t="n">
        <v>30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s="24">
        <f>J156*100-(K156+(1+L156)*12.5)</f>
        <v/>
      </c>
      <c r="U156">
        <f>O156</f>
        <v/>
      </c>
      <c r="V156">
        <f>M156</f>
        <v/>
      </c>
      <c r="W156" s="23">
        <f>LN(1+I156)</f>
        <v/>
      </c>
      <c r="X156">
        <f>IF(G156&gt;=2021,1,0)</f>
        <v/>
      </c>
      <c r="Y156">
        <f>N156</f>
        <v/>
      </c>
      <c r="Z156" s="23">
        <f>IF(ISNUMBER(M156),N156/MAX(M156,1),0)</f>
        <v/>
      </c>
      <c r="AA156">
        <f>P156</f>
        <v/>
      </c>
      <c r="AB156">
        <f>Q156</f>
        <v/>
      </c>
      <c r="AC156">
        <f>R156</f>
        <v/>
      </c>
      <c r="AD156">
        <f>S156</f>
        <v/>
      </c>
      <c r="AE156">
        <f>IF(ISNUMBER(SEARCH("CAPITAL FUNDING",D156)),1,0)</f>
        <v/>
      </c>
      <c r="AF156">
        <f>IF(ISNUMBER(SEARCH("MERCHANTS",D156)),1,0)</f>
        <v/>
      </c>
      <c r="AG156">
        <f>IF(ISNUMBER(SEARCH("WELLS FARGO",D156)),1,0)</f>
        <v/>
      </c>
      <c r="AH156">
        <f>IF(ISNUMBER(SEARCH("WALKER",D156)),1,0)</f>
        <v/>
      </c>
      <c r="AI156">
        <f>IF(ISNUMBER(SEARCH("PNC",D156)),1,0)</f>
        <v/>
      </c>
      <c r="AJ156">
        <f>IF(ISNUMBER(SEARCH("BERKADIA",D156)),1,0)</f>
        <v/>
      </c>
      <c r="AK156">
        <f>IF(ISNUMBER(SEARCH("DWIGHT",D156)),1,0)</f>
        <v/>
      </c>
      <c r="AL156" s="25">
        <f>T$4*(T156-T$3)</f>
        <v/>
      </c>
      <c r="AM156" s="25">
        <f>U$4*(U156-U$3)</f>
        <v/>
      </c>
      <c r="AN156" s="25">
        <f>V$4*(V156-V$3)</f>
        <v/>
      </c>
      <c r="AO156" s="25">
        <f>W$4*(W156-W$3)</f>
        <v/>
      </c>
      <c r="AP156" s="25">
        <f>X$4*(X156-X$3)</f>
        <v/>
      </c>
      <c r="AQ156" s="25">
        <f>Y$4*(Y156-Y$3)</f>
        <v/>
      </c>
      <c r="AR156" s="25">
        <f>Z$4*(Z156-Z$3)</f>
        <v/>
      </c>
      <c r="AS156" s="25">
        <f>AA$4*(AA156-AA$3)</f>
        <v/>
      </c>
      <c r="AT156" s="25">
        <f>AB$4*(AB156-AB$3)</f>
        <v/>
      </c>
      <c r="AU156" s="25">
        <f>AC$4*(AC156-AC$3)</f>
        <v/>
      </c>
      <c r="AV156" s="25">
        <f>AD$4*(AD156-AD$3)</f>
        <v/>
      </c>
      <c r="AW156" s="25">
        <f>AE$4*(AE156-AE$3)</f>
        <v/>
      </c>
      <c r="AX156" s="25">
        <f>AF$4*(AF156-AF$3)</f>
        <v/>
      </c>
      <c r="AY156" s="25">
        <f>AG$4*(AG156-AG$3)</f>
        <v/>
      </c>
      <c r="AZ156" s="25">
        <f>AH$4*(AH156-AH$3)</f>
        <v/>
      </c>
      <c r="BA156" s="25">
        <f>AI$4*(AI156-AI$3)</f>
        <v/>
      </c>
      <c r="BB156" s="25">
        <f>AJ$4*(AJ156-AJ$3)</f>
        <v/>
      </c>
      <c r="BC156" s="25">
        <f>AK$4*(AK156-AK$3)</f>
        <v/>
      </c>
      <c r="BD156" s="26">
        <f>SUM(AL156:BC156)</f>
        <v/>
      </c>
      <c r="BE156" s="26">
        <f>INTERCEPT_SCALED+BD156</f>
        <v/>
      </c>
      <c r="BF156" s="27">
        <f>1/(1+EXP(-BE156))</f>
        <v/>
      </c>
      <c r="BG156" s="13">
        <f>1-(1-BF156)^12</f>
        <v/>
      </c>
      <c r="BH156" s="13">
        <f>IFERROR(AL156/BD156*(BG156-BASELINE_CPR),0)</f>
        <v/>
      </c>
      <c r="BI156" s="13">
        <f>IFERROR(AM156/BD156*(BG156-BASELINE_CPR),0)</f>
        <v/>
      </c>
      <c r="BJ156" s="13">
        <f>IFERROR(AN156/BD156*(BG156-BASELINE_CPR),0)</f>
        <v/>
      </c>
      <c r="BK156" s="13">
        <f>IFERROR(AO156/BD156*(BG156-BASELINE_CPR),0)</f>
        <v/>
      </c>
      <c r="BL156" s="13">
        <f>IFERROR(AP156/BD156*(BG156-BASELINE_CPR),0)</f>
        <v/>
      </c>
      <c r="BM156" s="13">
        <f>IFERROR(AQ156/BD156*(BG156-BASELINE_CPR),0)</f>
        <v/>
      </c>
      <c r="BN156" s="13">
        <f>IFERROR(AR156/BD156*(BG156-BASELINE_CPR),0)</f>
        <v/>
      </c>
      <c r="BO156" s="13">
        <f>IFERROR(AS156/BD156*(BG156-BASELINE_CPR),0)</f>
        <v/>
      </c>
      <c r="BP156" s="13">
        <f>IFERROR(AT156/BD156*(BG156-BASELINE_CPR),0)</f>
        <v/>
      </c>
      <c r="BQ156" s="13">
        <f>IFERROR(AU156/BD156*(BG156-BASELINE_CPR),0)</f>
        <v/>
      </c>
      <c r="BR156" s="13">
        <f>IFERROR(AV156/BD156*(BG156-BASELINE_CPR),0)</f>
        <v/>
      </c>
      <c r="BS156" s="13">
        <f>IFERROR(AW156/BD156*(BG156-BASELINE_CPR),0)</f>
        <v/>
      </c>
      <c r="BT156" s="13">
        <f>IFERROR(AX156/BD156*(BG156-BASELINE_CPR),0)</f>
        <v/>
      </c>
      <c r="BU156" s="13">
        <f>IFERROR(AY156/BD156*(BG156-BASELINE_CPR),0)</f>
        <v/>
      </c>
      <c r="BV156" s="13">
        <f>IFERROR(AZ156/BD156*(BG156-BASELINE_CPR),0)</f>
        <v/>
      </c>
      <c r="BW156" s="13">
        <f>IFERROR(BA156/BD156*(BG156-BASELINE_CPR),0)</f>
        <v/>
      </c>
      <c r="BX156" s="13">
        <f>IFERROR(BB156/BD156*(BG156-BASELINE_CPR),0)</f>
        <v/>
      </c>
      <c r="BY156" s="13">
        <f>IFERROR(BC156/BD156*(BG156-BASELINE_CPR),0)</f>
        <v/>
      </c>
      <c r="BZ156" s="28">
        <f>BASELINE_CPR+SUM(BH156:BY156)-BG156</f>
        <v/>
      </c>
    </row>
    <row r="157">
      <c r="A157" s="2" t="inlineStr">
        <is>
          <t>3617XD5H2_000000006611270</t>
        </is>
      </c>
      <c r="B157" t="inlineStr">
        <is>
          <t>PNC_POST21</t>
        </is>
      </c>
      <c r="C157" s="2" t="inlineStr">
        <is>
          <t>3617XD5H2</t>
        </is>
      </c>
      <c r="D157" t="inlineStr">
        <is>
          <t>PNC BANK, NA</t>
        </is>
      </c>
      <c r="E157" t="inlineStr">
        <is>
          <t>223f</t>
        </is>
      </c>
      <c r="F157" t="inlineStr">
        <is>
          <t>RP</t>
        </is>
      </c>
      <c r="G157" t="n">
        <v>2022</v>
      </c>
      <c r="H157" t="inlineStr">
        <is>
          <t>202602</t>
        </is>
      </c>
      <c r="I157" s="22" t="n">
        <v>4429820.32</v>
      </c>
      <c r="J157" s="23" t="n">
        <v>2.98</v>
      </c>
      <c r="K157" s="24" t="n">
        <v>447</v>
      </c>
      <c r="L157" s="24" t="n">
        <v>7</v>
      </c>
      <c r="M157" t="n">
        <v>45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s="24">
        <f>J157*100-(K157+(1+L157)*12.5)</f>
        <v/>
      </c>
      <c r="U157">
        <f>O157</f>
        <v/>
      </c>
      <c r="V157">
        <f>M157</f>
        <v/>
      </c>
      <c r="W157" s="23">
        <f>LN(1+I157)</f>
        <v/>
      </c>
      <c r="X157">
        <f>IF(G157&gt;=2021,1,0)</f>
        <v/>
      </c>
      <c r="Y157">
        <f>N157</f>
        <v/>
      </c>
      <c r="Z157" s="23">
        <f>IF(ISNUMBER(M157),N157/MAX(M157,1),0)</f>
        <v/>
      </c>
      <c r="AA157">
        <f>P157</f>
        <v/>
      </c>
      <c r="AB157">
        <f>Q157</f>
        <v/>
      </c>
      <c r="AC157">
        <f>R157</f>
        <v/>
      </c>
      <c r="AD157">
        <f>S157</f>
        <v/>
      </c>
      <c r="AE157">
        <f>IF(ISNUMBER(SEARCH("CAPITAL FUNDING",D157)),1,0)</f>
        <v/>
      </c>
      <c r="AF157">
        <f>IF(ISNUMBER(SEARCH("MERCHANTS",D157)),1,0)</f>
        <v/>
      </c>
      <c r="AG157">
        <f>IF(ISNUMBER(SEARCH("WELLS FARGO",D157)),1,0)</f>
        <v/>
      </c>
      <c r="AH157">
        <f>IF(ISNUMBER(SEARCH("WALKER",D157)),1,0)</f>
        <v/>
      </c>
      <c r="AI157">
        <f>IF(ISNUMBER(SEARCH("PNC",D157)),1,0)</f>
        <v/>
      </c>
      <c r="AJ157">
        <f>IF(ISNUMBER(SEARCH("BERKADIA",D157)),1,0)</f>
        <v/>
      </c>
      <c r="AK157">
        <f>IF(ISNUMBER(SEARCH("DWIGHT",D157)),1,0)</f>
        <v/>
      </c>
      <c r="AL157" s="25">
        <f>T$4*(T157-T$3)</f>
        <v/>
      </c>
      <c r="AM157" s="25">
        <f>U$4*(U157-U$3)</f>
        <v/>
      </c>
      <c r="AN157" s="25">
        <f>V$4*(V157-V$3)</f>
        <v/>
      </c>
      <c r="AO157" s="25">
        <f>W$4*(W157-W$3)</f>
        <v/>
      </c>
      <c r="AP157" s="25">
        <f>X$4*(X157-X$3)</f>
        <v/>
      </c>
      <c r="AQ157" s="25">
        <f>Y$4*(Y157-Y$3)</f>
        <v/>
      </c>
      <c r="AR157" s="25">
        <f>Z$4*(Z157-Z$3)</f>
        <v/>
      </c>
      <c r="AS157" s="25">
        <f>AA$4*(AA157-AA$3)</f>
        <v/>
      </c>
      <c r="AT157" s="25">
        <f>AB$4*(AB157-AB$3)</f>
        <v/>
      </c>
      <c r="AU157" s="25">
        <f>AC$4*(AC157-AC$3)</f>
        <v/>
      </c>
      <c r="AV157" s="25">
        <f>AD$4*(AD157-AD$3)</f>
        <v/>
      </c>
      <c r="AW157" s="25">
        <f>AE$4*(AE157-AE$3)</f>
        <v/>
      </c>
      <c r="AX157" s="25">
        <f>AF$4*(AF157-AF$3)</f>
        <v/>
      </c>
      <c r="AY157" s="25">
        <f>AG$4*(AG157-AG$3)</f>
        <v/>
      </c>
      <c r="AZ157" s="25">
        <f>AH$4*(AH157-AH$3)</f>
        <v/>
      </c>
      <c r="BA157" s="25">
        <f>AI$4*(AI157-AI$3)</f>
        <v/>
      </c>
      <c r="BB157" s="25">
        <f>AJ$4*(AJ157-AJ$3)</f>
        <v/>
      </c>
      <c r="BC157" s="25">
        <f>AK$4*(AK157-AK$3)</f>
        <v/>
      </c>
      <c r="BD157" s="26">
        <f>SUM(AL157:BC157)</f>
        <v/>
      </c>
      <c r="BE157" s="26">
        <f>INTERCEPT_SCALED+BD157</f>
        <v/>
      </c>
      <c r="BF157" s="27">
        <f>1/(1+EXP(-BE157))</f>
        <v/>
      </c>
      <c r="BG157" s="13">
        <f>1-(1-BF157)^12</f>
        <v/>
      </c>
      <c r="BH157" s="13">
        <f>IFERROR(AL157/BD157*(BG157-BASELINE_CPR),0)</f>
        <v/>
      </c>
      <c r="BI157" s="13">
        <f>IFERROR(AM157/BD157*(BG157-BASELINE_CPR),0)</f>
        <v/>
      </c>
      <c r="BJ157" s="13">
        <f>IFERROR(AN157/BD157*(BG157-BASELINE_CPR),0)</f>
        <v/>
      </c>
      <c r="BK157" s="13">
        <f>IFERROR(AO157/BD157*(BG157-BASELINE_CPR),0)</f>
        <v/>
      </c>
      <c r="BL157" s="13">
        <f>IFERROR(AP157/BD157*(BG157-BASELINE_CPR),0)</f>
        <v/>
      </c>
      <c r="BM157" s="13">
        <f>IFERROR(AQ157/BD157*(BG157-BASELINE_CPR),0)</f>
        <v/>
      </c>
      <c r="BN157" s="13">
        <f>IFERROR(AR157/BD157*(BG157-BASELINE_CPR),0)</f>
        <v/>
      </c>
      <c r="BO157" s="13">
        <f>IFERROR(AS157/BD157*(BG157-BASELINE_CPR),0)</f>
        <v/>
      </c>
      <c r="BP157" s="13">
        <f>IFERROR(AT157/BD157*(BG157-BASELINE_CPR),0)</f>
        <v/>
      </c>
      <c r="BQ157" s="13">
        <f>IFERROR(AU157/BD157*(BG157-BASELINE_CPR),0)</f>
        <v/>
      </c>
      <c r="BR157" s="13">
        <f>IFERROR(AV157/BD157*(BG157-BASELINE_CPR),0)</f>
        <v/>
      </c>
      <c r="BS157" s="13">
        <f>IFERROR(AW157/BD157*(BG157-BASELINE_CPR),0)</f>
        <v/>
      </c>
      <c r="BT157" s="13">
        <f>IFERROR(AX157/BD157*(BG157-BASELINE_CPR),0)</f>
        <v/>
      </c>
      <c r="BU157" s="13">
        <f>IFERROR(AY157/BD157*(BG157-BASELINE_CPR),0)</f>
        <v/>
      </c>
      <c r="BV157" s="13">
        <f>IFERROR(AZ157/BD157*(BG157-BASELINE_CPR),0)</f>
        <v/>
      </c>
      <c r="BW157" s="13">
        <f>IFERROR(BA157/BD157*(BG157-BASELINE_CPR),0)</f>
        <v/>
      </c>
      <c r="BX157" s="13">
        <f>IFERROR(BB157/BD157*(BG157-BASELINE_CPR),0)</f>
        <v/>
      </c>
      <c r="BY157" s="13">
        <f>IFERROR(BC157/BD157*(BG157-BASELINE_CPR),0)</f>
        <v/>
      </c>
      <c r="BZ157" s="28">
        <f>BASELINE_CPR+SUM(BH157:BY157)-BG157</f>
        <v/>
      </c>
    </row>
    <row r="158">
      <c r="A158" s="2" t="inlineStr">
        <is>
          <t>36295GYK2_000000001438006</t>
        </is>
      </c>
      <c r="B158" t="inlineStr">
        <is>
          <t>PNC_PRE21</t>
        </is>
      </c>
      <c r="C158" s="2" t="inlineStr">
        <is>
          <t>36295GYK2</t>
        </is>
      </c>
      <c r="D158" t="inlineStr">
        <is>
          <t>PNC BANK, NA</t>
        </is>
      </c>
      <c r="E158" t="inlineStr">
        <is>
          <t>223a7</t>
        </is>
      </c>
      <c r="F158" t="inlineStr">
        <is>
          <t>RP</t>
        </is>
      </c>
      <c r="G158" t="n">
        <v>2008</v>
      </c>
      <c r="H158" t="inlineStr">
        <is>
          <t>202602</t>
        </is>
      </c>
      <c r="I158" s="22" t="n">
        <v>773318.4</v>
      </c>
      <c r="J158" s="23" t="n">
        <v>6.22</v>
      </c>
      <c r="K158" s="24" t="n">
        <v>447</v>
      </c>
      <c r="L158" s="24" t="n">
        <v>0</v>
      </c>
      <c r="M158" t="n">
        <v>213</v>
      </c>
      <c r="N158" t="n">
        <v>86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s="24">
        <f>J158*100-(K158+(1+L158)*12.5)</f>
        <v/>
      </c>
      <c r="U158">
        <f>O158</f>
        <v/>
      </c>
      <c r="V158">
        <f>M158</f>
        <v/>
      </c>
      <c r="W158" s="23">
        <f>LN(1+I158)</f>
        <v/>
      </c>
      <c r="X158">
        <f>IF(G158&gt;=2021,1,0)</f>
        <v/>
      </c>
      <c r="Y158">
        <f>N158</f>
        <v/>
      </c>
      <c r="Z158" s="23">
        <f>IF(ISNUMBER(M158),N158/MAX(M158,1),0)</f>
        <v/>
      </c>
      <c r="AA158">
        <f>P158</f>
        <v/>
      </c>
      <c r="AB158">
        <f>Q158</f>
        <v/>
      </c>
      <c r="AC158">
        <f>R158</f>
        <v/>
      </c>
      <c r="AD158">
        <f>S158</f>
        <v/>
      </c>
      <c r="AE158">
        <f>IF(ISNUMBER(SEARCH("CAPITAL FUNDING",D158)),1,0)</f>
        <v/>
      </c>
      <c r="AF158">
        <f>IF(ISNUMBER(SEARCH("MERCHANTS",D158)),1,0)</f>
        <v/>
      </c>
      <c r="AG158">
        <f>IF(ISNUMBER(SEARCH("WELLS FARGO",D158)),1,0)</f>
        <v/>
      </c>
      <c r="AH158">
        <f>IF(ISNUMBER(SEARCH("WALKER",D158)),1,0)</f>
        <v/>
      </c>
      <c r="AI158">
        <f>IF(ISNUMBER(SEARCH("PNC",D158)),1,0)</f>
        <v/>
      </c>
      <c r="AJ158">
        <f>IF(ISNUMBER(SEARCH("BERKADIA",D158)),1,0)</f>
        <v/>
      </c>
      <c r="AK158">
        <f>IF(ISNUMBER(SEARCH("DWIGHT",D158)),1,0)</f>
        <v/>
      </c>
      <c r="AL158" s="25">
        <f>T$4*(T158-T$3)</f>
        <v/>
      </c>
      <c r="AM158" s="25">
        <f>U$4*(U158-U$3)</f>
        <v/>
      </c>
      <c r="AN158" s="25">
        <f>V$4*(V158-V$3)</f>
        <v/>
      </c>
      <c r="AO158" s="25">
        <f>W$4*(W158-W$3)</f>
        <v/>
      </c>
      <c r="AP158" s="25">
        <f>X$4*(X158-X$3)</f>
        <v/>
      </c>
      <c r="AQ158" s="25">
        <f>Y$4*(Y158-Y$3)</f>
        <v/>
      </c>
      <c r="AR158" s="25">
        <f>Z$4*(Z158-Z$3)</f>
        <v/>
      </c>
      <c r="AS158" s="25">
        <f>AA$4*(AA158-AA$3)</f>
        <v/>
      </c>
      <c r="AT158" s="25">
        <f>AB$4*(AB158-AB$3)</f>
        <v/>
      </c>
      <c r="AU158" s="25">
        <f>AC$4*(AC158-AC$3)</f>
        <v/>
      </c>
      <c r="AV158" s="25">
        <f>AD$4*(AD158-AD$3)</f>
        <v/>
      </c>
      <c r="AW158" s="25">
        <f>AE$4*(AE158-AE$3)</f>
        <v/>
      </c>
      <c r="AX158" s="25">
        <f>AF$4*(AF158-AF$3)</f>
        <v/>
      </c>
      <c r="AY158" s="25">
        <f>AG$4*(AG158-AG$3)</f>
        <v/>
      </c>
      <c r="AZ158" s="25">
        <f>AH$4*(AH158-AH$3)</f>
        <v/>
      </c>
      <c r="BA158" s="25">
        <f>AI$4*(AI158-AI$3)</f>
        <v/>
      </c>
      <c r="BB158" s="25">
        <f>AJ$4*(AJ158-AJ$3)</f>
        <v/>
      </c>
      <c r="BC158" s="25">
        <f>AK$4*(AK158-AK$3)</f>
        <v/>
      </c>
      <c r="BD158" s="26">
        <f>SUM(AL158:BC158)</f>
        <v/>
      </c>
      <c r="BE158" s="26">
        <f>INTERCEPT_SCALED+BD158</f>
        <v/>
      </c>
      <c r="BF158" s="27">
        <f>1/(1+EXP(-BE158))</f>
        <v/>
      </c>
      <c r="BG158" s="13">
        <f>1-(1-BF158)^12</f>
        <v/>
      </c>
      <c r="BH158" s="13">
        <f>IFERROR(AL158/BD158*(BG158-BASELINE_CPR),0)</f>
        <v/>
      </c>
      <c r="BI158" s="13">
        <f>IFERROR(AM158/BD158*(BG158-BASELINE_CPR),0)</f>
        <v/>
      </c>
      <c r="BJ158" s="13">
        <f>IFERROR(AN158/BD158*(BG158-BASELINE_CPR),0)</f>
        <v/>
      </c>
      <c r="BK158" s="13">
        <f>IFERROR(AO158/BD158*(BG158-BASELINE_CPR),0)</f>
        <v/>
      </c>
      <c r="BL158" s="13">
        <f>IFERROR(AP158/BD158*(BG158-BASELINE_CPR),0)</f>
        <v/>
      </c>
      <c r="BM158" s="13">
        <f>IFERROR(AQ158/BD158*(BG158-BASELINE_CPR),0)</f>
        <v/>
      </c>
      <c r="BN158" s="13">
        <f>IFERROR(AR158/BD158*(BG158-BASELINE_CPR),0)</f>
        <v/>
      </c>
      <c r="BO158" s="13">
        <f>IFERROR(AS158/BD158*(BG158-BASELINE_CPR),0)</f>
        <v/>
      </c>
      <c r="BP158" s="13">
        <f>IFERROR(AT158/BD158*(BG158-BASELINE_CPR),0)</f>
        <v/>
      </c>
      <c r="BQ158" s="13">
        <f>IFERROR(AU158/BD158*(BG158-BASELINE_CPR),0)</f>
        <v/>
      </c>
      <c r="BR158" s="13">
        <f>IFERROR(AV158/BD158*(BG158-BASELINE_CPR),0)</f>
        <v/>
      </c>
      <c r="BS158" s="13">
        <f>IFERROR(AW158/BD158*(BG158-BASELINE_CPR),0)</f>
        <v/>
      </c>
      <c r="BT158" s="13">
        <f>IFERROR(AX158/BD158*(BG158-BASELINE_CPR),0)</f>
        <v/>
      </c>
      <c r="BU158" s="13">
        <f>IFERROR(AY158/BD158*(BG158-BASELINE_CPR),0)</f>
        <v/>
      </c>
      <c r="BV158" s="13">
        <f>IFERROR(AZ158/BD158*(BG158-BASELINE_CPR),0)</f>
        <v/>
      </c>
      <c r="BW158" s="13">
        <f>IFERROR(BA158/BD158*(BG158-BASELINE_CPR),0)</f>
        <v/>
      </c>
      <c r="BX158" s="13">
        <f>IFERROR(BB158/BD158*(BG158-BASELINE_CPR),0)</f>
        <v/>
      </c>
      <c r="BY158" s="13">
        <f>IFERROR(BC158/BD158*(BG158-BASELINE_CPR),0)</f>
        <v/>
      </c>
      <c r="BZ158" s="28">
        <f>BASELINE_CPR+SUM(BH158:BY158)-BG158</f>
        <v/>
      </c>
    </row>
    <row r="159">
      <c r="A159" s="2" t="inlineStr">
        <is>
          <t>3617XKQK6_000000005411219</t>
        </is>
      </c>
      <c r="B159" t="inlineStr">
        <is>
          <t>WELLS_POST21</t>
        </is>
      </c>
      <c r="C159" s="2" t="inlineStr">
        <is>
          <t>3617XKQK6</t>
        </is>
      </c>
      <c r="D159" t="inlineStr">
        <is>
          <t>WELLS FARGO BANK, N.A.</t>
        </is>
      </c>
      <c r="E159" t="inlineStr">
        <is>
          <t>223f</t>
        </is>
      </c>
      <c r="F159" t="inlineStr">
        <is>
          <t>RP</t>
        </is>
      </c>
      <c r="G159" t="n">
        <v>2022</v>
      </c>
      <c r="H159" t="inlineStr">
        <is>
          <t>202602</t>
        </is>
      </c>
      <c r="I159" s="22" t="n">
        <v>19256440.04</v>
      </c>
      <c r="J159" s="23" t="n">
        <v>2.19</v>
      </c>
      <c r="K159" s="24" t="n">
        <v>447</v>
      </c>
      <c r="L159" s="24" t="n">
        <v>7</v>
      </c>
      <c r="M159" t="n">
        <v>48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s="24">
        <f>J159*100-(K159+(1+L159)*12.5)</f>
        <v/>
      </c>
      <c r="U159">
        <f>O159</f>
        <v/>
      </c>
      <c r="V159">
        <f>M159</f>
        <v/>
      </c>
      <c r="W159" s="23">
        <f>LN(1+I159)</f>
        <v/>
      </c>
      <c r="X159">
        <f>IF(G159&gt;=2021,1,0)</f>
        <v/>
      </c>
      <c r="Y159">
        <f>N159</f>
        <v/>
      </c>
      <c r="Z159" s="23">
        <f>IF(ISNUMBER(M159),N159/MAX(M159,1),0)</f>
        <v/>
      </c>
      <c r="AA159">
        <f>P159</f>
        <v/>
      </c>
      <c r="AB159">
        <f>Q159</f>
        <v/>
      </c>
      <c r="AC159">
        <f>R159</f>
        <v/>
      </c>
      <c r="AD159">
        <f>S159</f>
        <v/>
      </c>
      <c r="AE159">
        <f>IF(ISNUMBER(SEARCH("CAPITAL FUNDING",D159)),1,0)</f>
        <v/>
      </c>
      <c r="AF159">
        <f>IF(ISNUMBER(SEARCH("MERCHANTS",D159)),1,0)</f>
        <v/>
      </c>
      <c r="AG159">
        <f>IF(ISNUMBER(SEARCH("WELLS FARGO",D159)),1,0)</f>
        <v/>
      </c>
      <c r="AH159">
        <f>IF(ISNUMBER(SEARCH("WALKER",D159)),1,0)</f>
        <v/>
      </c>
      <c r="AI159">
        <f>IF(ISNUMBER(SEARCH("PNC",D159)),1,0)</f>
        <v/>
      </c>
      <c r="AJ159">
        <f>IF(ISNUMBER(SEARCH("BERKADIA",D159)),1,0)</f>
        <v/>
      </c>
      <c r="AK159">
        <f>IF(ISNUMBER(SEARCH("DWIGHT",D159)),1,0)</f>
        <v/>
      </c>
      <c r="AL159" s="25">
        <f>T$4*(T159-T$3)</f>
        <v/>
      </c>
      <c r="AM159" s="25">
        <f>U$4*(U159-U$3)</f>
        <v/>
      </c>
      <c r="AN159" s="25">
        <f>V$4*(V159-V$3)</f>
        <v/>
      </c>
      <c r="AO159" s="25">
        <f>W$4*(W159-W$3)</f>
        <v/>
      </c>
      <c r="AP159" s="25">
        <f>X$4*(X159-X$3)</f>
        <v/>
      </c>
      <c r="AQ159" s="25">
        <f>Y$4*(Y159-Y$3)</f>
        <v/>
      </c>
      <c r="AR159" s="25">
        <f>Z$4*(Z159-Z$3)</f>
        <v/>
      </c>
      <c r="AS159" s="25">
        <f>AA$4*(AA159-AA$3)</f>
        <v/>
      </c>
      <c r="AT159" s="25">
        <f>AB$4*(AB159-AB$3)</f>
        <v/>
      </c>
      <c r="AU159" s="25">
        <f>AC$4*(AC159-AC$3)</f>
        <v/>
      </c>
      <c r="AV159" s="25">
        <f>AD$4*(AD159-AD$3)</f>
        <v/>
      </c>
      <c r="AW159" s="25">
        <f>AE$4*(AE159-AE$3)</f>
        <v/>
      </c>
      <c r="AX159" s="25">
        <f>AF$4*(AF159-AF$3)</f>
        <v/>
      </c>
      <c r="AY159" s="25">
        <f>AG$4*(AG159-AG$3)</f>
        <v/>
      </c>
      <c r="AZ159" s="25">
        <f>AH$4*(AH159-AH$3)</f>
        <v/>
      </c>
      <c r="BA159" s="25">
        <f>AI$4*(AI159-AI$3)</f>
        <v/>
      </c>
      <c r="BB159" s="25">
        <f>AJ$4*(AJ159-AJ$3)</f>
        <v/>
      </c>
      <c r="BC159" s="25">
        <f>AK$4*(AK159-AK$3)</f>
        <v/>
      </c>
      <c r="BD159" s="26">
        <f>SUM(AL159:BC159)</f>
        <v/>
      </c>
      <c r="BE159" s="26">
        <f>INTERCEPT_SCALED+BD159</f>
        <v/>
      </c>
      <c r="BF159" s="27">
        <f>1/(1+EXP(-BE159))</f>
        <v/>
      </c>
      <c r="BG159" s="13">
        <f>1-(1-BF159)^12</f>
        <v/>
      </c>
      <c r="BH159" s="13">
        <f>IFERROR(AL159/BD159*(BG159-BASELINE_CPR),0)</f>
        <v/>
      </c>
      <c r="BI159" s="13">
        <f>IFERROR(AM159/BD159*(BG159-BASELINE_CPR),0)</f>
        <v/>
      </c>
      <c r="BJ159" s="13">
        <f>IFERROR(AN159/BD159*(BG159-BASELINE_CPR),0)</f>
        <v/>
      </c>
      <c r="BK159" s="13">
        <f>IFERROR(AO159/BD159*(BG159-BASELINE_CPR),0)</f>
        <v/>
      </c>
      <c r="BL159" s="13">
        <f>IFERROR(AP159/BD159*(BG159-BASELINE_CPR),0)</f>
        <v/>
      </c>
      <c r="BM159" s="13">
        <f>IFERROR(AQ159/BD159*(BG159-BASELINE_CPR),0)</f>
        <v/>
      </c>
      <c r="BN159" s="13">
        <f>IFERROR(AR159/BD159*(BG159-BASELINE_CPR),0)</f>
        <v/>
      </c>
      <c r="BO159" s="13">
        <f>IFERROR(AS159/BD159*(BG159-BASELINE_CPR),0)</f>
        <v/>
      </c>
      <c r="BP159" s="13">
        <f>IFERROR(AT159/BD159*(BG159-BASELINE_CPR),0)</f>
        <v/>
      </c>
      <c r="BQ159" s="13">
        <f>IFERROR(AU159/BD159*(BG159-BASELINE_CPR),0)</f>
        <v/>
      </c>
      <c r="BR159" s="13">
        <f>IFERROR(AV159/BD159*(BG159-BASELINE_CPR),0)</f>
        <v/>
      </c>
      <c r="BS159" s="13">
        <f>IFERROR(AW159/BD159*(BG159-BASELINE_CPR),0)</f>
        <v/>
      </c>
      <c r="BT159" s="13">
        <f>IFERROR(AX159/BD159*(BG159-BASELINE_CPR),0)</f>
        <v/>
      </c>
      <c r="BU159" s="13">
        <f>IFERROR(AY159/BD159*(BG159-BASELINE_CPR),0)</f>
        <v/>
      </c>
      <c r="BV159" s="13">
        <f>IFERROR(AZ159/BD159*(BG159-BASELINE_CPR),0)</f>
        <v/>
      </c>
      <c r="BW159" s="13">
        <f>IFERROR(BA159/BD159*(BG159-BASELINE_CPR),0)</f>
        <v/>
      </c>
      <c r="BX159" s="13">
        <f>IFERROR(BB159/BD159*(BG159-BASELINE_CPR),0)</f>
        <v/>
      </c>
      <c r="BY159" s="13">
        <f>IFERROR(BC159/BD159*(BG159-BASELINE_CPR),0)</f>
        <v/>
      </c>
      <c r="BZ159" s="28">
        <f>BASELINE_CPR+SUM(BH159:BY159)-BG159</f>
        <v/>
      </c>
    </row>
    <row r="160">
      <c r="A160" s="2" t="inlineStr">
        <is>
          <t>36292DGK2_000000009211228</t>
        </is>
      </c>
      <c r="B160" t="inlineStr">
        <is>
          <t>WELLS_PRE21</t>
        </is>
      </c>
      <c r="C160" s="2" t="inlineStr">
        <is>
          <t>36292DGK2</t>
        </is>
      </c>
      <c r="D160" t="inlineStr">
        <is>
          <t>WELLS FARGO BANK, N.A.</t>
        </is>
      </c>
      <c r="E160" t="inlineStr">
        <is>
          <t>223f</t>
        </is>
      </c>
      <c r="F160" t="inlineStr">
        <is>
          <t>RP</t>
        </is>
      </c>
      <c r="G160" t="n">
        <v>2006</v>
      </c>
      <c r="H160" t="inlineStr">
        <is>
          <t>202602</t>
        </is>
      </c>
      <c r="I160" s="22" t="n">
        <v>1059530.98</v>
      </c>
      <c r="J160" s="23" t="n">
        <v>5.96</v>
      </c>
      <c r="K160" s="24" t="n">
        <v>447</v>
      </c>
      <c r="L160" s="24" t="n">
        <v>0</v>
      </c>
      <c r="M160" t="n">
        <v>230</v>
      </c>
      <c r="N160" t="n">
        <v>86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s="24">
        <f>J160*100-(K160+(1+L160)*12.5)</f>
        <v/>
      </c>
      <c r="U160">
        <f>O160</f>
        <v/>
      </c>
      <c r="V160">
        <f>M160</f>
        <v/>
      </c>
      <c r="W160" s="23">
        <f>LN(1+I160)</f>
        <v/>
      </c>
      <c r="X160">
        <f>IF(G160&gt;=2021,1,0)</f>
        <v/>
      </c>
      <c r="Y160">
        <f>N160</f>
        <v/>
      </c>
      <c r="Z160" s="23">
        <f>IF(ISNUMBER(M160),N160/MAX(M160,1),0)</f>
        <v/>
      </c>
      <c r="AA160">
        <f>P160</f>
        <v/>
      </c>
      <c r="AB160">
        <f>Q160</f>
        <v/>
      </c>
      <c r="AC160">
        <f>R160</f>
        <v/>
      </c>
      <c r="AD160">
        <f>S160</f>
        <v/>
      </c>
      <c r="AE160">
        <f>IF(ISNUMBER(SEARCH("CAPITAL FUNDING",D160)),1,0)</f>
        <v/>
      </c>
      <c r="AF160">
        <f>IF(ISNUMBER(SEARCH("MERCHANTS",D160)),1,0)</f>
        <v/>
      </c>
      <c r="AG160">
        <f>IF(ISNUMBER(SEARCH("WELLS FARGO",D160)),1,0)</f>
        <v/>
      </c>
      <c r="AH160">
        <f>IF(ISNUMBER(SEARCH("WALKER",D160)),1,0)</f>
        <v/>
      </c>
      <c r="AI160">
        <f>IF(ISNUMBER(SEARCH("PNC",D160)),1,0)</f>
        <v/>
      </c>
      <c r="AJ160">
        <f>IF(ISNUMBER(SEARCH("BERKADIA",D160)),1,0)</f>
        <v/>
      </c>
      <c r="AK160">
        <f>IF(ISNUMBER(SEARCH("DWIGHT",D160)),1,0)</f>
        <v/>
      </c>
      <c r="AL160" s="25">
        <f>T$4*(T160-T$3)</f>
        <v/>
      </c>
      <c r="AM160" s="25">
        <f>U$4*(U160-U$3)</f>
        <v/>
      </c>
      <c r="AN160" s="25">
        <f>V$4*(V160-V$3)</f>
        <v/>
      </c>
      <c r="AO160" s="25">
        <f>W$4*(W160-W$3)</f>
        <v/>
      </c>
      <c r="AP160" s="25">
        <f>X$4*(X160-X$3)</f>
        <v/>
      </c>
      <c r="AQ160" s="25">
        <f>Y$4*(Y160-Y$3)</f>
        <v/>
      </c>
      <c r="AR160" s="25">
        <f>Z$4*(Z160-Z$3)</f>
        <v/>
      </c>
      <c r="AS160" s="25">
        <f>AA$4*(AA160-AA$3)</f>
        <v/>
      </c>
      <c r="AT160" s="25">
        <f>AB$4*(AB160-AB$3)</f>
        <v/>
      </c>
      <c r="AU160" s="25">
        <f>AC$4*(AC160-AC$3)</f>
        <v/>
      </c>
      <c r="AV160" s="25">
        <f>AD$4*(AD160-AD$3)</f>
        <v/>
      </c>
      <c r="AW160" s="25">
        <f>AE$4*(AE160-AE$3)</f>
        <v/>
      </c>
      <c r="AX160" s="25">
        <f>AF$4*(AF160-AF$3)</f>
        <v/>
      </c>
      <c r="AY160" s="25">
        <f>AG$4*(AG160-AG$3)</f>
        <v/>
      </c>
      <c r="AZ160" s="25">
        <f>AH$4*(AH160-AH$3)</f>
        <v/>
      </c>
      <c r="BA160" s="25">
        <f>AI$4*(AI160-AI$3)</f>
        <v/>
      </c>
      <c r="BB160" s="25">
        <f>AJ$4*(AJ160-AJ$3)</f>
        <v/>
      </c>
      <c r="BC160" s="25">
        <f>AK$4*(AK160-AK$3)</f>
        <v/>
      </c>
      <c r="BD160" s="26">
        <f>SUM(AL160:BC160)</f>
        <v/>
      </c>
      <c r="BE160" s="26">
        <f>INTERCEPT_SCALED+BD160</f>
        <v/>
      </c>
      <c r="BF160" s="27">
        <f>1/(1+EXP(-BE160))</f>
        <v/>
      </c>
      <c r="BG160" s="13">
        <f>1-(1-BF160)^12</f>
        <v/>
      </c>
      <c r="BH160" s="13">
        <f>IFERROR(AL160/BD160*(BG160-BASELINE_CPR),0)</f>
        <v/>
      </c>
      <c r="BI160" s="13">
        <f>IFERROR(AM160/BD160*(BG160-BASELINE_CPR),0)</f>
        <v/>
      </c>
      <c r="BJ160" s="13">
        <f>IFERROR(AN160/BD160*(BG160-BASELINE_CPR),0)</f>
        <v/>
      </c>
      <c r="BK160" s="13">
        <f>IFERROR(AO160/BD160*(BG160-BASELINE_CPR),0)</f>
        <v/>
      </c>
      <c r="BL160" s="13">
        <f>IFERROR(AP160/BD160*(BG160-BASELINE_CPR),0)</f>
        <v/>
      </c>
      <c r="BM160" s="13">
        <f>IFERROR(AQ160/BD160*(BG160-BASELINE_CPR),0)</f>
        <v/>
      </c>
      <c r="BN160" s="13">
        <f>IFERROR(AR160/BD160*(BG160-BASELINE_CPR),0)</f>
        <v/>
      </c>
      <c r="BO160" s="13">
        <f>IFERROR(AS160/BD160*(BG160-BASELINE_CPR),0)</f>
        <v/>
      </c>
      <c r="BP160" s="13">
        <f>IFERROR(AT160/BD160*(BG160-BASELINE_CPR),0)</f>
        <v/>
      </c>
      <c r="BQ160" s="13">
        <f>IFERROR(AU160/BD160*(BG160-BASELINE_CPR),0)</f>
        <v/>
      </c>
      <c r="BR160" s="13">
        <f>IFERROR(AV160/BD160*(BG160-BASELINE_CPR),0)</f>
        <v/>
      </c>
      <c r="BS160" s="13">
        <f>IFERROR(AW160/BD160*(BG160-BASELINE_CPR),0)</f>
        <v/>
      </c>
      <c r="BT160" s="13">
        <f>IFERROR(AX160/BD160*(BG160-BASELINE_CPR),0)</f>
        <v/>
      </c>
      <c r="BU160" s="13">
        <f>IFERROR(AY160/BD160*(BG160-BASELINE_CPR),0)</f>
        <v/>
      </c>
      <c r="BV160" s="13">
        <f>IFERROR(AZ160/BD160*(BG160-BASELINE_CPR),0)</f>
        <v/>
      </c>
      <c r="BW160" s="13">
        <f>IFERROR(BA160/BD160*(BG160-BASELINE_CPR),0)</f>
        <v/>
      </c>
      <c r="BX160" s="13">
        <f>IFERROR(BB160/BD160*(BG160-BASELINE_CPR),0)</f>
        <v/>
      </c>
      <c r="BY160" s="13">
        <f>IFERROR(BC160/BD160*(BG160-BASELINE_CPR),0)</f>
        <v/>
      </c>
      <c r="BZ160" s="28">
        <f>BASELINE_CPR+SUM(BH160:BY160)-BG160</f>
        <v/>
      </c>
    </row>
    <row r="161">
      <c r="A161" s="2" t="inlineStr">
        <is>
          <t>36201TEQ6_000000011394011</t>
        </is>
      </c>
      <c r="B161" t="inlineStr">
        <is>
          <t>WELLS_PRE21</t>
        </is>
      </c>
      <c r="C161" s="2" t="inlineStr">
        <is>
          <t>36201TEQ6</t>
        </is>
      </c>
      <c r="D161" t="inlineStr">
        <is>
          <t>WELLS FARGO BANK, N.A.</t>
        </is>
      </c>
      <c r="E161" t="inlineStr">
        <is>
          <t>223a7</t>
        </is>
      </c>
      <c r="F161" t="inlineStr">
        <is>
          <t>RP</t>
        </is>
      </c>
      <c r="G161" t="n">
        <v>2002</v>
      </c>
      <c r="H161" t="inlineStr">
        <is>
          <t>202602</t>
        </is>
      </c>
      <c r="I161" s="22" t="n">
        <v>1859197.29</v>
      </c>
      <c r="J161" s="23" t="n">
        <v>5.96</v>
      </c>
      <c r="K161" s="24" t="n">
        <v>447</v>
      </c>
      <c r="L161" s="24" t="n">
        <v>0</v>
      </c>
      <c r="M161" t="n">
        <v>279</v>
      </c>
      <c r="N161" t="n">
        <v>86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s="24">
        <f>J161*100-(K161+(1+L161)*12.5)</f>
        <v/>
      </c>
      <c r="U161">
        <f>O161</f>
        <v/>
      </c>
      <c r="V161">
        <f>M161</f>
        <v/>
      </c>
      <c r="W161" s="23">
        <f>LN(1+I161)</f>
        <v/>
      </c>
      <c r="X161">
        <f>IF(G161&gt;=2021,1,0)</f>
        <v/>
      </c>
      <c r="Y161">
        <f>N161</f>
        <v/>
      </c>
      <c r="Z161" s="23">
        <f>IF(ISNUMBER(M161),N161/MAX(M161,1),0)</f>
        <v/>
      </c>
      <c r="AA161">
        <f>P161</f>
        <v/>
      </c>
      <c r="AB161">
        <f>Q161</f>
        <v/>
      </c>
      <c r="AC161">
        <f>R161</f>
        <v/>
      </c>
      <c r="AD161">
        <f>S161</f>
        <v/>
      </c>
      <c r="AE161">
        <f>IF(ISNUMBER(SEARCH("CAPITAL FUNDING",D161)),1,0)</f>
        <v/>
      </c>
      <c r="AF161">
        <f>IF(ISNUMBER(SEARCH("MERCHANTS",D161)),1,0)</f>
        <v/>
      </c>
      <c r="AG161">
        <f>IF(ISNUMBER(SEARCH("WELLS FARGO",D161)),1,0)</f>
        <v/>
      </c>
      <c r="AH161">
        <f>IF(ISNUMBER(SEARCH("WALKER",D161)),1,0)</f>
        <v/>
      </c>
      <c r="AI161">
        <f>IF(ISNUMBER(SEARCH("PNC",D161)),1,0)</f>
        <v/>
      </c>
      <c r="AJ161">
        <f>IF(ISNUMBER(SEARCH("BERKADIA",D161)),1,0)</f>
        <v/>
      </c>
      <c r="AK161">
        <f>IF(ISNUMBER(SEARCH("DWIGHT",D161)),1,0)</f>
        <v/>
      </c>
      <c r="AL161" s="25">
        <f>T$4*(T161-T$3)</f>
        <v/>
      </c>
      <c r="AM161" s="25">
        <f>U$4*(U161-U$3)</f>
        <v/>
      </c>
      <c r="AN161" s="25">
        <f>V$4*(V161-V$3)</f>
        <v/>
      </c>
      <c r="AO161" s="25">
        <f>W$4*(W161-W$3)</f>
        <v/>
      </c>
      <c r="AP161" s="25">
        <f>X$4*(X161-X$3)</f>
        <v/>
      </c>
      <c r="AQ161" s="25">
        <f>Y$4*(Y161-Y$3)</f>
        <v/>
      </c>
      <c r="AR161" s="25">
        <f>Z$4*(Z161-Z$3)</f>
        <v/>
      </c>
      <c r="AS161" s="25">
        <f>AA$4*(AA161-AA$3)</f>
        <v/>
      </c>
      <c r="AT161" s="25">
        <f>AB$4*(AB161-AB$3)</f>
        <v/>
      </c>
      <c r="AU161" s="25">
        <f>AC$4*(AC161-AC$3)</f>
        <v/>
      </c>
      <c r="AV161" s="25">
        <f>AD$4*(AD161-AD$3)</f>
        <v/>
      </c>
      <c r="AW161" s="25">
        <f>AE$4*(AE161-AE$3)</f>
        <v/>
      </c>
      <c r="AX161" s="25">
        <f>AF$4*(AF161-AF$3)</f>
        <v/>
      </c>
      <c r="AY161" s="25">
        <f>AG$4*(AG161-AG$3)</f>
        <v/>
      </c>
      <c r="AZ161" s="25">
        <f>AH$4*(AH161-AH$3)</f>
        <v/>
      </c>
      <c r="BA161" s="25">
        <f>AI$4*(AI161-AI$3)</f>
        <v/>
      </c>
      <c r="BB161" s="25">
        <f>AJ$4*(AJ161-AJ$3)</f>
        <v/>
      </c>
      <c r="BC161" s="25">
        <f>AK$4*(AK161-AK$3)</f>
        <v/>
      </c>
      <c r="BD161" s="26">
        <f>SUM(AL161:BC161)</f>
        <v/>
      </c>
      <c r="BE161" s="26">
        <f>INTERCEPT_SCALED+BD161</f>
        <v/>
      </c>
      <c r="BF161" s="27">
        <f>1/(1+EXP(-BE161))</f>
        <v/>
      </c>
      <c r="BG161" s="13">
        <f>1-(1-BF161)^12</f>
        <v/>
      </c>
      <c r="BH161" s="13">
        <f>IFERROR(AL161/BD161*(BG161-BASELINE_CPR),0)</f>
        <v/>
      </c>
      <c r="BI161" s="13">
        <f>IFERROR(AM161/BD161*(BG161-BASELINE_CPR),0)</f>
        <v/>
      </c>
      <c r="BJ161" s="13">
        <f>IFERROR(AN161/BD161*(BG161-BASELINE_CPR),0)</f>
        <v/>
      </c>
      <c r="BK161" s="13">
        <f>IFERROR(AO161/BD161*(BG161-BASELINE_CPR),0)</f>
        <v/>
      </c>
      <c r="BL161" s="13">
        <f>IFERROR(AP161/BD161*(BG161-BASELINE_CPR),0)</f>
        <v/>
      </c>
      <c r="BM161" s="13">
        <f>IFERROR(AQ161/BD161*(BG161-BASELINE_CPR),0)</f>
        <v/>
      </c>
      <c r="BN161" s="13">
        <f>IFERROR(AR161/BD161*(BG161-BASELINE_CPR),0)</f>
        <v/>
      </c>
      <c r="BO161" s="13">
        <f>IFERROR(AS161/BD161*(BG161-BASELINE_CPR),0)</f>
        <v/>
      </c>
      <c r="BP161" s="13">
        <f>IFERROR(AT161/BD161*(BG161-BASELINE_CPR),0)</f>
        <v/>
      </c>
      <c r="BQ161" s="13">
        <f>IFERROR(AU161/BD161*(BG161-BASELINE_CPR),0)</f>
        <v/>
      </c>
      <c r="BR161" s="13">
        <f>IFERROR(AV161/BD161*(BG161-BASELINE_CPR),0)</f>
        <v/>
      </c>
      <c r="BS161" s="13">
        <f>IFERROR(AW161/BD161*(BG161-BASELINE_CPR),0)</f>
        <v/>
      </c>
      <c r="BT161" s="13">
        <f>IFERROR(AX161/BD161*(BG161-BASELINE_CPR),0)</f>
        <v/>
      </c>
      <c r="BU161" s="13">
        <f>IFERROR(AY161/BD161*(BG161-BASELINE_CPR),0)</f>
        <v/>
      </c>
      <c r="BV161" s="13">
        <f>IFERROR(AZ161/BD161*(BG161-BASELINE_CPR),0)</f>
        <v/>
      </c>
      <c r="BW161" s="13">
        <f>IFERROR(BA161/BD161*(BG161-BASELINE_CPR),0)</f>
        <v/>
      </c>
      <c r="BX161" s="13">
        <f>IFERROR(BB161/BD161*(BG161-BASELINE_CPR),0)</f>
        <v/>
      </c>
      <c r="BY161" s="13">
        <f>IFERROR(BC161/BD161*(BG161-BASELINE_CPR),0)</f>
        <v/>
      </c>
      <c r="BZ161" s="28">
        <f>BASELINE_CPR+SUM(BH161:BY161)-BG161</f>
        <v/>
      </c>
    </row>
    <row r="162">
      <c r="A162" s="2" t="inlineStr">
        <is>
          <t>3617GFU88_000000005235792</t>
        </is>
      </c>
      <c r="B162" t="inlineStr">
        <is>
          <t>WELLS_PRE21</t>
        </is>
      </c>
      <c r="C162" s="2" t="inlineStr">
        <is>
          <t>3617GFU88</t>
        </is>
      </c>
      <c r="D162" t="inlineStr">
        <is>
          <t>WELLS FARGO BANK, N.A.</t>
        </is>
      </c>
      <c r="E162" t="inlineStr">
        <is>
          <t>221d4</t>
        </is>
      </c>
      <c r="F162" t="inlineStr">
        <is>
          <t>NC</t>
        </is>
      </c>
      <c r="G162" t="n">
        <v>2018</v>
      </c>
      <c r="H162" t="inlineStr">
        <is>
          <t>202602</t>
        </is>
      </c>
      <c r="I162" s="22" t="n">
        <v>6299265.16</v>
      </c>
      <c r="J162" s="23" t="n">
        <v>3.89</v>
      </c>
      <c r="K162" s="24" t="n">
        <v>447</v>
      </c>
      <c r="L162" s="24" t="n">
        <v>4</v>
      </c>
      <c r="M162" t="n">
        <v>95</v>
      </c>
      <c r="N162" t="n">
        <v>24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s="24">
        <f>J162*100-(K162+(1+L162)*12.5)</f>
        <v/>
      </c>
      <c r="U162">
        <f>O162</f>
        <v/>
      </c>
      <c r="V162">
        <f>M162</f>
        <v/>
      </c>
      <c r="W162" s="23">
        <f>LN(1+I162)</f>
        <v/>
      </c>
      <c r="X162">
        <f>IF(G162&gt;=2021,1,0)</f>
        <v/>
      </c>
      <c r="Y162">
        <f>N162</f>
        <v/>
      </c>
      <c r="Z162" s="23">
        <f>IF(ISNUMBER(M162),N162/MAX(M162,1),0)</f>
        <v/>
      </c>
      <c r="AA162">
        <f>P162</f>
        <v/>
      </c>
      <c r="AB162">
        <f>Q162</f>
        <v/>
      </c>
      <c r="AC162">
        <f>R162</f>
        <v/>
      </c>
      <c r="AD162">
        <f>S162</f>
        <v/>
      </c>
      <c r="AE162">
        <f>IF(ISNUMBER(SEARCH("CAPITAL FUNDING",D162)),1,0)</f>
        <v/>
      </c>
      <c r="AF162">
        <f>IF(ISNUMBER(SEARCH("MERCHANTS",D162)),1,0)</f>
        <v/>
      </c>
      <c r="AG162">
        <f>IF(ISNUMBER(SEARCH("WELLS FARGO",D162)),1,0)</f>
        <v/>
      </c>
      <c r="AH162">
        <f>IF(ISNUMBER(SEARCH("WALKER",D162)),1,0)</f>
        <v/>
      </c>
      <c r="AI162">
        <f>IF(ISNUMBER(SEARCH("PNC",D162)),1,0)</f>
        <v/>
      </c>
      <c r="AJ162">
        <f>IF(ISNUMBER(SEARCH("BERKADIA",D162)),1,0)</f>
        <v/>
      </c>
      <c r="AK162">
        <f>IF(ISNUMBER(SEARCH("DWIGHT",D162)),1,0)</f>
        <v/>
      </c>
      <c r="AL162" s="25">
        <f>T$4*(T162-T$3)</f>
        <v/>
      </c>
      <c r="AM162" s="25">
        <f>U$4*(U162-U$3)</f>
        <v/>
      </c>
      <c r="AN162" s="25">
        <f>V$4*(V162-V$3)</f>
        <v/>
      </c>
      <c r="AO162" s="25">
        <f>W$4*(W162-W$3)</f>
        <v/>
      </c>
      <c r="AP162" s="25">
        <f>X$4*(X162-X$3)</f>
        <v/>
      </c>
      <c r="AQ162" s="25">
        <f>Y$4*(Y162-Y$3)</f>
        <v/>
      </c>
      <c r="AR162" s="25">
        <f>Z$4*(Z162-Z$3)</f>
        <v/>
      </c>
      <c r="AS162" s="25">
        <f>AA$4*(AA162-AA$3)</f>
        <v/>
      </c>
      <c r="AT162" s="25">
        <f>AB$4*(AB162-AB$3)</f>
        <v/>
      </c>
      <c r="AU162" s="25">
        <f>AC$4*(AC162-AC$3)</f>
        <v/>
      </c>
      <c r="AV162" s="25">
        <f>AD$4*(AD162-AD$3)</f>
        <v/>
      </c>
      <c r="AW162" s="25">
        <f>AE$4*(AE162-AE$3)</f>
        <v/>
      </c>
      <c r="AX162" s="25">
        <f>AF$4*(AF162-AF$3)</f>
        <v/>
      </c>
      <c r="AY162" s="25">
        <f>AG$4*(AG162-AG$3)</f>
        <v/>
      </c>
      <c r="AZ162" s="25">
        <f>AH$4*(AH162-AH$3)</f>
        <v/>
      </c>
      <c r="BA162" s="25">
        <f>AI$4*(AI162-AI$3)</f>
        <v/>
      </c>
      <c r="BB162" s="25">
        <f>AJ$4*(AJ162-AJ$3)</f>
        <v/>
      </c>
      <c r="BC162" s="25">
        <f>AK$4*(AK162-AK$3)</f>
        <v/>
      </c>
      <c r="BD162" s="26">
        <f>SUM(AL162:BC162)</f>
        <v/>
      </c>
      <c r="BE162" s="26">
        <f>INTERCEPT_SCALED+BD162</f>
        <v/>
      </c>
      <c r="BF162" s="27">
        <f>1/(1+EXP(-BE162))</f>
        <v/>
      </c>
      <c r="BG162" s="13">
        <f>1-(1-BF162)^12</f>
        <v/>
      </c>
      <c r="BH162" s="13">
        <f>IFERROR(AL162/BD162*(BG162-BASELINE_CPR),0)</f>
        <v/>
      </c>
      <c r="BI162" s="13">
        <f>IFERROR(AM162/BD162*(BG162-BASELINE_CPR),0)</f>
        <v/>
      </c>
      <c r="BJ162" s="13">
        <f>IFERROR(AN162/BD162*(BG162-BASELINE_CPR),0)</f>
        <v/>
      </c>
      <c r="BK162" s="13">
        <f>IFERROR(AO162/BD162*(BG162-BASELINE_CPR),0)</f>
        <v/>
      </c>
      <c r="BL162" s="13">
        <f>IFERROR(AP162/BD162*(BG162-BASELINE_CPR),0)</f>
        <v/>
      </c>
      <c r="BM162" s="13">
        <f>IFERROR(AQ162/BD162*(BG162-BASELINE_CPR),0)</f>
        <v/>
      </c>
      <c r="BN162" s="13">
        <f>IFERROR(AR162/BD162*(BG162-BASELINE_CPR),0)</f>
        <v/>
      </c>
      <c r="BO162" s="13">
        <f>IFERROR(AS162/BD162*(BG162-BASELINE_CPR),0)</f>
        <v/>
      </c>
      <c r="BP162" s="13">
        <f>IFERROR(AT162/BD162*(BG162-BASELINE_CPR),0)</f>
        <v/>
      </c>
      <c r="BQ162" s="13">
        <f>IFERROR(AU162/BD162*(BG162-BASELINE_CPR),0)</f>
        <v/>
      </c>
      <c r="BR162" s="13">
        <f>IFERROR(AV162/BD162*(BG162-BASELINE_CPR),0)</f>
        <v/>
      </c>
      <c r="BS162" s="13">
        <f>IFERROR(AW162/BD162*(BG162-BASELINE_CPR),0)</f>
        <v/>
      </c>
      <c r="BT162" s="13">
        <f>IFERROR(AX162/BD162*(BG162-BASELINE_CPR),0)</f>
        <v/>
      </c>
      <c r="BU162" s="13">
        <f>IFERROR(AY162/BD162*(BG162-BASELINE_CPR),0)</f>
        <v/>
      </c>
      <c r="BV162" s="13">
        <f>IFERROR(AZ162/BD162*(BG162-BASELINE_CPR),0)</f>
        <v/>
      </c>
      <c r="BW162" s="13">
        <f>IFERROR(BA162/BD162*(BG162-BASELINE_CPR),0)</f>
        <v/>
      </c>
      <c r="BX162" s="13">
        <f>IFERROR(BB162/BD162*(BG162-BASELINE_CPR),0)</f>
        <v/>
      </c>
      <c r="BY162" s="13">
        <f>IFERROR(BC162/BD162*(BG162-BASELINE_CPR),0)</f>
        <v/>
      </c>
      <c r="BZ162" s="28">
        <f>BASELINE_CPR+SUM(BH162:BY162)-BG162</f>
        <v/>
      </c>
    </row>
    <row r="163">
      <c r="A163" s="2" t="inlineStr">
        <is>
          <t>36292EA75_000000001257419</t>
        </is>
      </c>
      <c r="B163" t="inlineStr">
        <is>
          <t>WELLS_PRE21</t>
        </is>
      </c>
      <c r="C163" s="2" t="inlineStr">
        <is>
          <t>36292EA75</t>
        </is>
      </c>
      <c r="D163" t="inlineStr">
        <is>
          <t>WELLS FARGO BANK, N.A.</t>
        </is>
      </c>
      <c r="E163" t="inlineStr">
        <is>
          <t>223a7</t>
        </is>
      </c>
      <c r="F163" t="inlineStr">
        <is>
          <t>RP</t>
        </is>
      </c>
      <c r="G163" t="n">
        <v>2006</v>
      </c>
      <c r="H163" t="inlineStr">
        <is>
          <t>202602</t>
        </is>
      </c>
      <c r="I163" s="22" t="n">
        <v>237341.87</v>
      </c>
      <c r="J163" s="23" t="n">
        <v>6.75</v>
      </c>
      <c r="K163" s="24" t="n">
        <v>447</v>
      </c>
      <c r="L163" s="24" t="n">
        <v>0</v>
      </c>
      <c r="M163" t="n">
        <v>238</v>
      </c>
      <c r="N163" t="n">
        <v>87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s="24">
        <f>J163*100-(K163+(1+L163)*12.5)</f>
        <v/>
      </c>
      <c r="U163">
        <f>O163</f>
        <v/>
      </c>
      <c r="V163">
        <f>M163</f>
        <v/>
      </c>
      <c r="W163" s="23">
        <f>LN(1+I163)</f>
        <v/>
      </c>
      <c r="X163">
        <f>IF(G163&gt;=2021,1,0)</f>
        <v/>
      </c>
      <c r="Y163">
        <f>N163</f>
        <v/>
      </c>
      <c r="Z163" s="23">
        <f>IF(ISNUMBER(M163),N163/MAX(M163,1),0)</f>
        <v/>
      </c>
      <c r="AA163">
        <f>P163</f>
        <v/>
      </c>
      <c r="AB163">
        <f>Q163</f>
        <v/>
      </c>
      <c r="AC163">
        <f>R163</f>
        <v/>
      </c>
      <c r="AD163">
        <f>S163</f>
        <v/>
      </c>
      <c r="AE163">
        <f>IF(ISNUMBER(SEARCH("CAPITAL FUNDING",D163)),1,0)</f>
        <v/>
      </c>
      <c r="AF163">
        <f>IF(ISNUMBER(SEARCH("MERCHANTS",D163)),1,0)</f>
        <v/>
      </c>
      <c r="AG163">
        <f>IF(ISNUMBER(SEARCH("WELLS FARGO",D163)),1,0)</f>
        <v/>
      </c>
      <c r="AH163">
        <f>IF(ISNUMBER(SEARCH("WALKER",D163)),1,0)</f>
        <v/>
      </c>
      <c r="AI163">
        <f>IF(ISNUMBER(SEARCH("PNC",D163)),1,0)</f>
        <v/>
      </c>
      <c r="AJ163">
        <f>IF(ISNUMBER(SEARCH("BERKADIA",D163)),1,0)</f>
        <v/>
      </c>
      <c r="AK163">
        <f>IF(ISNUMBER(SEARCH("DWIGHT",D163)),1,0)</f>
        <v/>
      </c>
      <c r="AL163" s="25">
        <f>T$4*(T163-T$3)</f>
        <v/>
      </c>
      <c r="AM163" s="25">
        <f>U$4*(U163-U$3)</f>
        <v/>
      </c>
      <c r="AN163" s="25">
        <f>V$4*(V163-V$3)</f>
        <v/>
      </c>
      <c r="AO163" s="25">
        <f>W$4*(W163-W$3)</f>
        <v/>
      </c>
      <c r="AP163" s="25">
        <f>X$4*(X163-X$3)</f>
        <v/>
      </c>
      <c r="AQ163" s="25">
        <f>Y$4*(Y163-Y$3)</f>
        <v/>
      </c>
      <c r="AR163" s="25">
        <f>Z$4*(Z163-Z$3)</f>
        <v/>
      </c>
      <c r="AS163" s="25">
        <f>AA$4*(AA163-AA$3)</f>
        <v/>
      </c>
      <c r="AT163" s="25">
        <f>AB$4*(AB163-AB$3)</f>
        <v/>
      </c>
      <c r="AU163" s="25">
        <f>AC$4*(AC163-AC$3)</f>
        <v/>
      </c>
      <c r="AV163" s="25">
        <f>AD$4*(AD163-AD$3)</f>
        <v/>
      </c>
      <c r="AW163" s="25">
        <f>AE$4*(AE163-AE$3)</f>
        <v/>
      </c>
      <c r="AX163" s="25">
        <f>AF$4*(AF163-AF$3)</f>
        <v/>
      </c>
      <c r="AY163" s="25">
        <f>AG$4*(AG163-AG$3)</f>
        <v/>
      </c>
      <c r="AZ163" s="25">
        <f>AH$4*(AH163-AH$3)</f>
        <v/>
      </c>
      <c r="BA163" s="25">
        <f>AI$4*(AI163-AI$3)</f>
        <v/>
      </c>
      <c r="BB163" s="25">
        <f>AJ$4*(AJ163-AJ$3)</f>
        <v/>
      </c>
      <c r="BC163" s="25">
        <f>AK$4*(AK163-AK$3)</f>
        <v/>
      </c>
      <c r="BD163" s="26">
        <f>SUM(AL163:BC163)</f>
        <v/>
      </c>
      <c r="BE163" s="26">
        <f>INTERCEPT_SCALED+BD163</f>
        <v/>
      </c>
      <c r="BF163" s="27">
        <f>1/(1+EXP(-BE163))</f>
        <v/>
      </c>
      <c r="BG163" s="13">
        <f>1-(1-BF163)^12</f>
        <v/>
      </c>
      <c r="BH163" s="13">
        <f>IFERROR(AL163/BD163*(BG163-BASELINE_CPR),0)</f>
        <v/>
      </c>
      <c r="BI163" s="13">
        <f>IFERROR(AM163/BD163*(BG163-BASELINE_CPR),0)</f>
        <v/>
      </c>
      <c r="BJ163" s="13">
        <f>IFERROR(AN163/BD163*(BG163-BASELINE_CPR),0)</f>
        <v/>
      </c>
      <c r="BK163" s="13">
        <f>IFERROR(AO163/BD163*(BG163-BASELINE_CPR),0)</f>
        <v/>
      </c>
      <c r="BL163" s="13">
        <f>IFERROR(AP163/BD163*(BG163-BASELINE_CPR),0)</f>
        <v/>
      </c>
      <c r="BM163" s="13">
        <f>IFERROR(AQ163/BD163*(BG163-BASELINE_CPR),0)</f>
        <v/>
      </c>
      <c r="BN163" s="13">
        <f>IFERROR(AR163/BD163*(BG163-BASELINE_CPR),0)</f>
        <v/>
      </c>
      <c r="BO163" s="13">
        <f>IFERROR(AS163/BD163*(BG163-BASELINE_CPR),0)</f>
        <v/>
      </c>
      <c r="BP163" s="13">
        <f>IFERROR(AT163/BD163*(BG163-BASELINE_CPR),0)</f>
        <v/>
      </c>
      <c r="BQ163" s="13">
        <f>IFERROR(AU163/BD163*(BG163-BASELINE_CPR),0)</f>
        <v/>
      </c>
      <c r="BR163" s="13">
        <f>IFERROR(AV163/BD163*(BG163-BASELINE_CPR),0)</f>
        <v/>
      </c>
      <c r="BS163" s="13">
        <f>IFERROR(AW163/BD163*(BG163-BASELINE_CPR),0)</f>
        <v/>
      </c>
      <c r="BT163" s="13">
        <f>IFERROR(AX163/BD163*(BG163-BASELINE_CPR),0)</f>
        <v/>
      </c>
      <c r="BU163" s="13">
        <f>IFERROR(AY163/BD163*(BG163-BASELINE_CPR),0)</f>
        <v/>
      </c>
      <c r="BV163" s="13">
        <f>IFERROR(AZ163/BD163*(BG163-BASELINE_CPR),0)</f>
        <v/>
      </c>
      <c r="BW163" s="13">
        <f>IFERROR(BA163/BD163*(BG163-BASELINE_CPR),0)</f>
        <v/>
      </c>
      <c r="BX163" s="13">
        <f>IFERROR(BB163/BD163*(BG163-BASELINE_CPR),0)</f>
        <v/>
      </c>
      <c r="BY163" s="13">
        <f>IFERROR(BC163/BD163*(BG163-BASELINE_CPR),0)</f>
        <v/>
      </c>
      <c r="BZ163" s="28">
        <f>BASELINE_CPR+SUM(BH163:BY163)-BG163</f>
        <v/>
      </c>
    </row>
    <row r="164">
      <c r="A164" s="2" t="inlineStr">
        <is>
          <t>3617BBDW8_000000010511085</t>
        </is>
      </c>
      <c r="B164" t="inlineStr">
        <is>
          <t>WELLS_PRE21</t>
        </is>
      </c>
      <c r="C164" s="2" t="inlineStr">
        <is>
          <t>3617BBDW8</t>
        </is>
      </c>
      <c r="D164" t="inlineStr">
        <is>
          <t>WELLS FARGO BANK, N.A.</t>
        </is>
      </c>
      <c r="E164" t="inlineStr">
        <is>
          <t>223f</t>
        </is>
      </c>
      <c r="F164" t="inlineStr">
        <is>
          <t>RP</t>
        </is>
      </c>
      <c r="G164" t="n">
        <v>2017</v>
      </c>
      <c r="H164" t="inlineStr">
        <is>
          <t>202602</t>
        </is>
      </c>
      <c r="I164" s="22" t="n">
        <v>6227483.14</v>
      </c>
      <c r="J164" s="23" t="n">
        <v>3.22</v>
      </c>
      <c r="K164" s="24" t="n">
        <v>447</v>
      </c>
      <c r="L164" s="24" t="n">
        <v>2</v>
      </c>
      <c r="M164" t="n">
        <v>102</v>
      </c>
      <c r="N164" t="n">
        <v>25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s="24">
        <f>J164*100-(K164+(1+L164)*12.5)</f>
        <v/>
      </c>
      <c r="U164">
        <f>O164</f>
        <v/>
      </c>
      <c r="V164">
        <f>M164</f>
        <v/>
      </c>
      <c r="W164" s="23">
        <f>LN(1+I164)</f>
        <v/>
      </c>
      <c r="X164">
        <f>IF(G164&gt;=2021,1,0)</f>
        <v/>
      </c>
      <c r="Y164">
        <f>N164</f>
        <v/>
      </c>
      <c r="Z164" s="23">
        <f>IF(ISNUMBER(M164),N164/MAX(M164,1),0)</f>
        <v/>
      </c>
      <c r="AA164">
        <f>P164</f>
        <v/>
      </c>
      <c r="AB164">
        <f>Q164</f>
        <v/>
      </c>
      <c r="AC164">
        <f>R164</f>
        <v/>
      </c>
      <c r="AD164">
        <f>S164</f>
        <v/>
      </c>
      <c r="AE164">
        <f>IF(ISNUMBER(SEARCH("CAPITAL FUNDING",D164)),1,0)</f>
        <v/>
      </c>
      <c r="AF164">
        <f>IF(ISNUMBER(SEARCH("MERCHANTS",D164)),1,0)</f>
        <v/>
      </c>
      <c r="AG164">
        <f>IF(ISNUMBER(SEARCH("WELLS FARGO",D164)),1,0)</f>
        <v/>
      </c>
      <c r="AH164">
        <f>IF(ISNUMBER(SEARCH("WALKER",D164)),1,0)</f>
        <v/>
      </c>
      <c r="AI164">
        <f>IF(ISNUMBER(SEARCH("PNC",D164)),1,0)</f>
        <v/>
      </c>
      <c r="AJ164">
        <f>IF(ISNUMBER(SEARCH("BERKADIA",D164)),1,0)</f>
        <v/>
      </c>
      <c r="AK164">
        <f>IF(ISNUMBER(SEARCH("DWIGHT",D164)),1,0)</f>
        <v/>
      </c>
      <c r="AL164" s="25">
        <f>T$4*(T164-T$3)</f>
        <v/>
      </c>
      <c r="AM164" s="25">
        <f>U$4*(U164-U$3)</f>
        <v/>
      </c>
      <c r="AN164" s="25">
        <f>V$4*(V164-V$3)</f>
        <v/>
      </c>
      <c r="AO164" s="25">
        <f>W$4*(W164-W$3)</f>
        <v/>
      </c>
      <c r="AP164" s="25">
        <f>X$4*(X164-X$3)</f>
        <v/>
      </c>
      <c r="AQ164" s="25">
        <f>Y$4*(Y164-Y$3)</f>
        <v/>
      </c>
      <c r="AR164" s="25">
        <f>Z$4*(Z164-Z$3)</f>
        <v/>
      </c>
      <c r="AS164" s="25">
        <f>AA$4*(AA164-AA$3)</f>
        <v/>
      </c>
      <c r="AT164" s="25">
        <f>AB$4*(AB164-AB$3)</f>
        <v/>
      </c>
      <c r="AU164" s="25">
        <f>AC$4*(AC164-AC$3)</f>
        <v/>
      </c>
      <c r="AV164" s="25">
        <f>AD$4*(AD164-AD$3)</f>
        <v/>
      </c>
      <c r="AW164" s="25">
        <f>AE$4*(AE164-AE$3)</f>
        <v/>
      </c>
      <c r="AX164" s="25">
        <f>AF$4*(AF164-AF$3)</f>
        <v/>
      </c>
      <c r="AY164" s="25">
        <f>AG$4*(AG164-AG$3)</f>
        <v/>
      </c>
      <c r="AZ164" s="25">
        <f>AH$4*(AH164-AH$3)</f>
        <v/>
      </c>
      <c r="BA164" s="25">
        <f>AI$4*(AI164-AI$3)</f>
        <v/>
      </c>
      <c r="BB164" s="25">
        <f>AJ$4*(AJ164-AJ$3)</f>
        <v/>
      </c>
      <c r="BC164" s="25">
        <f>AK$4*(AK164-AK$3)</f>
        <v/>
      </c>
      <c r="BD164" s="26">
        <f>SUM(AL164:BC164)</f>
        <v/>
      </c>
      <c r="BE164" s="26">
        <f>INTERCEPT_SCALED+BD164</f>
        <v/>
      </c>
      <c r="BF164" s="27">
        <f>1/(1+EXP(-BE164))</f>
        <v/>
      </c>
      <c r="BG164" s="13">
        <f>1-(1-BF164)^12</f>
        <v/>
      </c>
      <c r="BH164" s="13">
        <f>IFERROR(AL164/BD164*(BG164-BASELINE_CPR),0)</f>
        <v/>
      </c>
      <c r="BI164" s="13">
        <f>IFERROR(AM164/BD164*(BG164-BASELINE_CPR),0)</f>
        <v/>
      </c>
      <c r="BJ164" s="13">
        <f>IFERROR(AN164/BD164*(BG164-BASELINE_CPR),0)</f>
        <v/>
      </c>
      <c r="BK164" s="13">
        <f>IFERROR(AO164/BD164*(BG164-BASELINE_CPR),0)</f>
        <v/>
      </c>
      <c r="BL164" s="13">
        <f>IFERROR(AP164/BD164*(BG164-BASELINE_CPR),0)</f>
        <v/>
      </c>
      <c r="BM164" s="13">
        <f>IFERROR(AQ164/BD164*(BG164-BASELINE_CPR),0)</f>
        <v/>
      </c>
      <c r="BN164" s="13">
        <f>IFERROR(AR164/BD164*(BG164-BASELINE_CPR),0)</f>
        <v/>
      </c>
      <c r="BO164" s="13">
        <f>IFERROR(AS164/BD164*(BG164-BASELINE_CPR),0)</f>
        <v/>
      </c>
      <c r="BP164" s="13">
        <f>IFERROR(AT164/BD164*(BG164-BASELINE_CPR),0)</f>
        <v/>
      </c>
      <c r="BQ164" s="13">
        <f>IFERROR(AU164/BD164*(BG164-BASELINE_CPR),0)</f>
        <v/>
      </c>
      <c r="BR164" s="13">
        <f>IFERROR(AV164/BD164*(BG164-BASELINE_CPR),0)</f>
        <v/>
      </c>
      <c r="BS164" s="13">
        <f>IFERROR(AW164/BD164*(BG164-BASELINE_CPR),0)</f>
        <v/>
      </c>
      <c r="BT164" s="13">
        <f>IFERROR(AX164/BD164*(BG164-BASELINE_CPR),0)</f>
        <v/>
      </c>
      <c r="BU164" s="13">
        <f>IFERROR(AY164/BD164*(BG164-BASELINE_CPR),0)</f>
        <v/>
      </c>
      <c r="BV164" s="13">
        <f>IFERROR(AZ164/BD164*(BG164-BASELINE_CPR),0)</f>
        <v/>
      </c>
      <c r="BW164" s="13">
        <f>IFERROR(BA164/BD164*(BG164-BASELINE_CPR),0)</f>
        <v/>
      </c>
      <c r="BX164" s="13">
        <f>IFERROR(BB164/BD164*(BG164-BASELINE_CPR),0)</f>
        <v/>
      </c>
      <c r="BY164" s="13">
        <f>IFERROR(BC164/BD164*(BG164-BASELINE_CPR),0)</f>
        <v/>
      </c>
      <c r="BZ164" s="28">
        <f>BASELINE_CPR+SUM(BH164:BY164)-BG164</f>
        <v/>
      </c>
    </row>
    <row r="165">
      <c r="A165" s="2" t="inlineStr">
        <is>
          <t>3617U8L70_000000005311417</t>
        </is>
      </c>
      <c r="B165" t="inlineStr">
        <is>
          <t>WELLS_PRE21</t>
        </is>
      </c>
      <c r="C165" s="2" t="inlineStr">
        <is>
          <t>3617U8L70</t>
        </is>
      </c>
      <c r="D165" t="inlineStr">
        <is>
          <t>WELLS FARGO BANK, N.A.</t>
        </is>
      </c>
      <c r="E165" t="inlineStr">
        <is>
          <t>223f</t>
        </is>
      </c>
      <c r="F165" t="inlineStr">
        <is>
          <t>RP</t>
        </is>
      </c>
      <c r="G165" t="n">
        <v>2018</v>
      </c>
      <c r="H165" t="inlineStr">
        <is>
          <t>202602</t>
        </is>
      </c>
      <c r="I165" s="22" t="n">
        <v>18408131.46</v>
      </c>
      <c r="J165" s="23" t="n">
        <v>3.01</v>
      </c>
      <c r="K165" s="24" t="n">
        <v>447</v>
      </c>
      <c r="L165" s="24" t="n">
        <v>6</v>
      </c>
      <c r="M165" t="n">
        <v>94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s="24">
        <f>J165*100-(K165+(1+L165)*12.5)</f>
        <v/>
      </c>
      <c r="U165">
        <f>O165</f>
        <v/>
      </c>
      <c r="V165">
        <f>M165</f>
        <v/>
      </c>
      <c r="W165" s="23">
        <f>LN(1+I165)</f>
        <v/>
      </c>
      <c r="X165">
        <f>IF(G165&gt;=2021,1,0)</f>
        <v/>
      </c>
      <c r="Y165">
        <f>N165</f>
        <v/>
      </c>
      <c r="Z165" s="23">
        <f>IF(ISNUMBER(M165),N165/MAX(M165,1),0)</f>
        <v/>
      </c>
      <c r="AA165">
        <f>P165</f>
        <v/>
      </c>
      <c r="AB165">
        <f>Q165</f>
        <v/>
      </c>
      <c r="AC165">
        <f>R165</f>
        <v/>
      </c>
      <c r="AD165">
        <f>S165</f>
        <v/>
      </c>
      <c r="AE165">
        <f>IF(ISNUMBER(SEARCH("CAPITAL FUNDING",D165)),1,0)</f>
        <v/>
      </c>
      <c r="AF165">
        <f>IF(ISNUMBER(SEARCH("MERCHANTS",D165)),1,0)</f>
        <v/>
      </c>
      <c r="AG165">
        <f>IF(ISNUMBER(SEARCH("WELLS FARGO",D165)),1,0)</f>
        <v/>
      </c>
      <c r="AH165">
        <f>IF(ISNUMBER(SEARCH("WALKER",D165)),1,0)</f>
        <v/>
      </c>
      <c r="AI165">
        <f>IF(ISNUMBER(SEARCH("PNC",D165)),1,0)</f>
        <v/>
      </c>
      <c r="AJ165">
        <f>IF(ISNUMBER(SEARCH("BERKADIA",D165)),1,0)</f>
        <v/>
      </c>
      <c r="AK165">
        <f>IF(ISNUMBER(SEARCH("DWIGHT",D165)),1,0)</f>
        <v/>
      </c>
      <c r="AL165" s="25">
        <f>T$4*(T165-T$3)</f>
        <v/>
      </c>
      <c r="AM165" s="25">
        <f>U$4*(U165-U$3)</f>
        <v/>
      </c>
      <c r="AN165" s="25">
        <f>V$4*(V165-V$3)</f>
        <v/>
      </c>
      <c r="AO165" s="25">
        <f>W$4*(W165-W$3)</f>
        <v/>
      </c>
      <c r="AP165" s="25">
        <f>X$4*(X165-X$3)</f>
        <v/>
      </c>
      <c r="AQ165" s="25">
        <f>Y$4*(Y165-Y$3)</f>
        <v/>
      </c>
      <c r="AR165" s="25">
        <f>Z$4*(Z165-Z$3)</f>
        <v/>
      </c>
      <c r="AS165" s="25">
        <f>AA$4*(AA165-AA$3)</f>
        <v/>
      </c>
      <c r="AT165" s="25">
        <f>AB$4*(AB165-AB$3)</f>
        <v/>
      </c>
      <c r="AU165" s="25">
        <f>AC$4*(AC165-AC$3)</f>
        <v/>
      </c>
      <c r="AV165" s="25">
        <f>AD$4*(AD165-AD$3)</f>
        <v/>
      </c>
      <c r="AW165" s="25">
        <f>AE$4*(AE165-AE$3)</f>
        <v/>
      </c>
      <c r="AX165" s="25">
        <f>AF$4*(AF165-AF$3)</f>
        <v/>
      </c>
      <c r="AY165" s="25">
        <f>AG$4*(AG165-AG$3)</f>
        <v/>
      </c>
      <c r="AZ165" s="25">
        <f>AH$4*(AH165-AH$3)</f>
        <v/>
      </c>
      <c r="BA165" s="25">
        <f>AI$4*(AI165-AI$3)</f>
        <v/>
      </c>
      <c r="BB165" s="25">
        <f>AJ$4*(AJ165-AJ$3)</f>
        <v/>
      </c>
      <c r="BC165" s="25">
        <f>AK$4*(AK165-AK$3)</f>
        <v/>
      </c>
      <c r="BD165" s="26">
        <f>SUM(AL165:BC165)</f>
        <v/>
      </c>
      <c r="BE165" s="26">
        <f>INTERCEPT_SCALED+BD165</f>
        <v/>
      </c>
      <c r="BF165" s="27">
        <f>1/(1+EXP(-BE165))</f>
        <v/>
      </c>
      <c r="BG165" s="13">
        <f>1-(1-BF165)^12</f>
        <v/>
      </c>
      <c r="BH165" s="13">
        <f>IFERROR(AL165/BD165*(BG165-BASELINE_CPR),0)</f>
        <v/>
      </c>
      <c r="BI165" s="13">
        <f>IFERROR(AM165/BD165*(BG165-BASELINE_CPR),0)</f>
        <v/>
      </c>
      <c r="BJ165" s="13">
        <f>IFERROR(AN165/BD165*(BG165-BASELINE_CPR),0)</f>
        <v/>
      </c>
      <c r="BK165" s="13">
        <f>IFERROR(AO165/BD165*(BG165-BASELINE_CPR),0)</f>
        <v/>
      </c>
      <c r="BL165" s="13">
        <f>IFERROR(AP165/BD165*(BG165-BASELINE_CPR),0)</f>
        <v/>
      </c>
      <c r="BM165" s="13">
        <f>IFERROR(AQ165/BD165*(BG165-BASELINE_CPR),0)</f>
        <v/>
      </c>
      <c r="BN165" s="13">
        <f>IFERROR(AR165/BD165*(BG165-BASELINE_CPR),0)</f>
        <v/>
      </c>
      <c r="BO165" s="13">
        <f>IFERROR(AS165/BD165*(BG165-BASELINE_CPR),0)</f>
        <v/>
      </c>
      <c r="BP165" s="13">
        <f>IFERROR(AT165/BD165*(BG165-BASELINE_CPR),0)</f>
        <v/>
      </c>
      <c r="BQ165" s="13">
        <f>IFERROR(AU165/BD165*(BG165-BASELINE_CPR),0)</f>
        <v/>
      </c>
      <c r="BR165" s="13">
        <f>IFERROR(AV165/BD165*(BG165-BASELINE_CPR),0)</f>
        <v/>
      </c>
      <c r="BS165" s="13">
        <f>IFERROR(AW165/BD165*(BG165-BASELINE_CPR),0)</f>
        <v/>
      </c>
      <c r="BT165" s="13">
        <f>IFERROR(AX165/BD165*(BG165-BASELINE_CPR),0)</f>
        <v/>
      </c>
      <c r="BU165" s="13">
        <f>IFERROR(AY165/BD165*(BG165-BASELINE_CPR),0)</f>
        <v/>
      </c>
      <c r="BV165" s="13">
        <f>IFERROR(AZ165/BD165*(BG165-BASELINE_CPR),0)</f>
        <v/>
      </c>
      <c r="BW165" s="13">
        <f>IFERROR(BA165/BD165*(BG165-BASELINE_CPR),0)</f>
        <v/>
      </c>
      <c r="BX165" s="13">
        <f>IFERROR(BB165/BD165*(BG165-BASELINE_CPR),0)</f>
        <v/>
      </c>
      <c r="BY165" s="13">
        <f>IFERROR(BC165/BD165*(BG165-BASELINE_CPR),0)</f>
        <v/>
      </c>
      <c r="BZ165" s="28">
        <f>BASELINE_CPR+SUM(BH165:BY165)-BG165</f>
        <v/>
      </c>
    </row>
    <row r="166">
      <c r="A166" s="2" t="inlineStr">
        <is>
          <t>36295A2V6_000000008211077</t>
        </is>
      </c>
      <c r="B166" t="inlineStr">
        <is>
          <t>WELLS_PRE21</t>
        </is>
      </c>
      <c r="C166" s="2" t="inlineStr">
        <is>
          <t>36295A2V6</t>
        </is>
      </c>
      <c r="D166" t="inlineStr">
        <is>
          <t>WELLS FARGO BANK, N.A.</t>
        </is>
      </c>
      <c r="E166" t="inlineStr">
        <is>
          <t>223f</t>
        </is>
      </c>
      <c r="F166" t="inlineStr">
        <is>
          <t>RP</t>
        </is>
      </c>
      <c r="G166" t="n">
        <v>2009</v>
      </c>
      <c r="H166" t="inlineStr">
        <is>
          <t>202602</t>
        </is>
      </c>
      <c r="I166" s="22" t="n">
        <v>980803.6</v>
      </c>
      <c r="J166" s="23" t="n">
        <v>4.6</v>
      </c>
      <c r="K166" s="24" t="n">
        <v>447</v>
      </c>
      <c r="L166" s="24" t="n">
        <v>0</v>
      </c>
      <c r="M166" t="n">
        <v>194</v>
      </c>
      <c r="N166" t="n">
        <v>47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s="24">
        <f>J166*100-(K166+(1+L166)*12.5)</f>
        <v/>
      </c>
      <c r="U166">
        <f>O166</f>
        <v/>
      </c>
      <c r="V166">
        <f>M166</f>
        <v/>
      </c>
      <c r="W166" s="23">
        <f>LN(1+I166)</f>
        <v/>
      </c>
      <c r="X166">
        <f>IF(G166&gt;=2021,1,0)</f>
        <v/>
      </c>
      <c r="Y166">
        <f>N166</f>
        <v/>
      </c>
      <c r="Z166" s="23">
        <f>IF(ISNUMBER(M166),N166/MAX(M166,1),0)</f>
        <v/>
      </c>
      <c r="AA166">
        <f>P166</f>
        <v/>
      </c>
      <c r="AB166">
        <f>Q166</f>
        <v/>
      </c>
      <c r="AC166">
        <f>R166</f>
        <v/>
      </c>
      <c r="AD166">
        <f>S166</f>
        <v/>
      </c>
      <c r="AE166">
        <f>IF(ISNUMBER(SEARCH("CAPITAL FUNDING",D166)),1,0)</f>
        <v/>
      </c>
      <c r="AF166">
        <f>IF(ISNUMBER(SEARCH("MERCHANTS",D166)),1,0)</f>
        <v/>
      </c>
      <c r="AG166">
        <f>IF(ISNUMBER(SEARCH("WELLS FARGO",D166)),1,0)</f>
        <v/>
      </c>
      <c r="AH166">
        <f>IF(ISNUMBER(SEARCH("WALKER",D166)),1,0)</f>
        <v/>
      </c>
      <c r="AI166">
        <f>IF(ISNUMBER(SEARCH("PNC",D166)),1,0)</f>
        <v/>
      </c>
      <c r="AJ166">
        <f>IF(ISNUMBER(SEARCH("BERKADIA",D166)),1,0)</f>
        <v/>
      </c>
      <c r="AK166">
        <f>IF(ISNUMBER(SEARCH("DWIGHT",D166)),1,0)</f>
        <v/>
      </c>
      <c r="AL166" s="25">
        <f>T$4*(T166-T$3)</f>
        <v/>
      </c>
      <c r="AM166" s="25">
        <f>U$4*(U166-U$3)</f>
        <v/>
      </c>
      <c r="AN166" s="25">
        <f>V$4*(V166-V$3)</f>
        <v/>
      </c>
      <c r="AO166" s="25">
        <f>W$4*(W166-W$3)</f>
        <v/>
      </c>
      <c r="AP166" s="25">
        <f>X$4*(X166-X$3)</f>
        <v/>
      </c>
      <c r="AQ166" s="25">
        <f>Y$4*(Y166-Y$3)</f>
        <v/>
      </c>
      <c r="AR166" s="25">
        <f>Z$4*(Z166-Z$3)</f>
        <v/>
      </c>
      <c r="AS166" s="25">
        <f>AA$4*(AA166-AA$3)</f>
        <v/>
      </c>
      <c r="AT166" s="25">
        <f>AB$4*(AB166-AB$3)</f>
        <v/>
      </c>
      <c r="AU166" s="25">
        <f>AC$4*(AC166-AC$3)</f>
        <v/>
      </c>
      <c r="AV166" s="25">
        <f>AD$4*(AD166-AD$3)</f>
        <v/>
      </c>
      <c r="AW166" s="25">
        <f>AE$4*(AE166-AE$3)</f>
        <v/>
      </c>
      <c r="AX166" s="25">
        <f>AF$4*(AF166-AF$3)</f>
        <v/>
      </c>
      <c r="AY166" s="25">
        <f>AG$4*(AG166-AG$3)</f>
        <v/>
      </c>
      <c r="AZ166" s="25">
        <f>AH$4*(AH166-AH$3)</f>
        <v/>
      </c>
      <c r="BA166" s="25">
        <f>AI$4*(AI166-AI$3)</f>
        <v/>
      </c>
      <c r="BB166" s="25">
        <f>AJ$4*(AJ166-AJ$3)</f>
        <v/>
      </c>
      <c r="BC166" s="25">
        <f>AK$4*(AK166-AK$3)</f>
        <v/>
      </c>
      <c r="BD166" s="26">
        <f>SUM(AL166:BC166)</f>
        <v/>
      </c>
      <c r="BE166" s="26">
        <f>INTERCEPT_SCALED+BD166</f>
        <v/>
      </c>
      <c r="BF166" s="27">
        <f>1/(1+EXP(-BE166))</f>
        <v/>
      </c>
      <c r="BG166" s="13">
        <f>1-(1-BF166)^12</f>
        <v/>
      </c>
      <c r="BH166" s="13">
        <f>IFERROR(AL166/BD166*(BG166-BASELINE_CPR),0)</f>
        <v/>
      </c>
      <c r="BI166" s="13">
        <f>IFERROR(AM166/BD166*(BG166-BASELINE_CPR),0)</f>
        <v/>
      </c>
      <c r="BJ166" s="13">
        <f>IFERROR(AN166/BD166*(BG166-BASELINE_CPR),0)</f>
        <v/>
      </c>
      <c r="BK166" s="13">
        <f>IFERROR(AO166/BD166*(BG166-BASELINE_CPR),0)</f>
        <v/>
      </c>
      <c r="BL166" s="13">
        <f>IFERROR(AP166/BD166*(BG166-BASELINE_CPR),0)</f>
        <v/>
      </c>
      <c r="BM166" s="13">
        <f>IFERROR(AQ166/BD166*(BG166-BASELINE_CPR),0)</f>
        <v/>
      </c>
      <c r="BN166" s="13">
        <f>IFERROR(AR166/BD166*(BG166-BASELINE_CPR),0)</f>
        <v/>
      </c>
      <c r="BO166" s="13">
        <f>IFERROR(AS166/BD166*(BG166-BASELINE_CPR),0)</f>
        <v/>
      </c>
      <c r="BP166" s="13">
        <f>IFERROR(AT166/BD166*(BG166-BASELINE_CPR),0)</f>
        <v/>
      </c>
      <c r="BQ166" s="13">
        <f>IFERROR(AU166/BD166*(BG166-BASELINE_CPR),0)</f>
        <v/>
      </c>
      <c r="BR166" s="13">
        <f>IFERROR(AV166/BD166*(BG166-BASELINE_CPR),0)</f>
        <v/>
      </c>
      <c r="BS166" s="13">
        <f>IFERROR(AW166/BD166*(BG166-BASELINE_CPR),0)</f>
        <v/>
      </c>
      <c r="BT166" s="13">
        <f>IFERROR(AX166/BD166*(BG166-BASELINE_CPR),0)</f>
        <v/>
      </c>
      <c r="BU166" s="13">
        <f>IFERROR(AY166/BD166*(BG166-BASELINE_CPR),0)</f>
        <v/>
      </c>
      <c r="BV166" s="13">
        <f>IFERROR(AZ166/BD166*(BG166-BASELINE_CPR),0)</f>
        <v/>
      </c>
      <c r="BW166" s="13">
        <f>IFERROR(BA166/BD166*(BG166-BASELINE_CPR),0)</f>
        <v/>
      </c>
      <c r="BX166" s="13">
        <f>IFERROR(BB166/BD166*(BG166-BASELINE_CPR),0)</f>
        <v/>
      </c>
      <c r="BY166" s="13">
        <f>IFERROR(BC166/BD166*(BG166-BASELINE_CPR),0)</f>
        <v/>
      </c>
      <c r="BZ166" s="28">
        <f>BASELINE_CPR+SUM(BH166:BY166)-BG166</f>
        <v/>
      </c>
    </row>
    <row r="167">
      <c r="A167" s="2" t="inlineStr">
        <is>
          <t>36181GX61_000000005235725</t>
        </is>
      </c>
      <c r="B167" t="inlineStr">
        <is>
          <t>WELLS_PRE21</t>
        </is>
      </c>
      <c r="C167" s="2" t="inlineStr">
        <is>
          <t>36181GX61</t>
        </is>
      </c>
      <c r="D167" t="inlineStr">
        <is>
          <t>WELLS FARGO BANK, N.A.</t>
        </is>
      </c>
      <c r="E167" t="inlineStr">
        <is>
          <t>221d4</t>
        </is>
      </c>
      <c r="F167" t="inlineStr">
        <is>
          <t>NC</t>
        </is>
      </c>
      <c r="G167" t="n">
        <v>2014</v>
      </c>
      <c r="H167" t="inlineStr">
        <is>
          <t>202602</t>
        </is>
      </c>
      <c r="I167" s="22" t="n">
        <v>4248949.93</v>
      </c>
      <c r="J167" s="23" t="n">
        <v>5</v>
      </c>
      <c r="K167" s="24" t="n">
        <v>447</v>
      </c>
      <c r="L167" s="24" t="n">
        <v>0</v>
      </c>
      <c r="M167" t="n">
        <v>144</v>
      </c>
      <c r="N167" t="n">
        <v>52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s="24">
        <f>J167*100-(K167+(1+L167)*12.5)</f>
        <v/>
      </c>
      <c r="U167">
        <f>O167</f>
        <v/>
      </c>
      <c r="V167">
        <f>M167</f>
        <v/>
      </c>
      <c r="W167" s="23">
        <f>LN(1+I167)</f>
        <v/>
      </c>
      <c r="X167">
        <f>IF(G167&gt;=2021,1,0)</f>
        <v/>
      </c>
      <c r="Y167">
        <f>N167</f>
        <v/>
      </c>
      <c r="Z167" s="23">
        <f>IF(ISNUMBER(M167),N167/MAX(M167,1),0)</f>
        <v/>
      </c>
      <c r="AA167">
        <f>P167</f>
        <v/>
      </c>
      <c r="AB167">
        <f>Q167</f>
        <v/>
      </c>
      <c r="AC167">
        <f>R167</f>
        <v/>
      </c>
      <c r="AD167">
        <f>S167</f>
        <v/>
      </c>
      <c r="AE167">
        <f>IF(ISNUMBER(SEARCH("CAPITAL FUNDING",D167)),1,0)</f>
        <v/>
      </c>
      <c r="AF167">
        <f>IF(ISNUMBER(SEARCH("MERCHANTS",D167)),1,0)</f>
        <v/>
      </c>
      <c r="AG167">
        <f>IF(ISNUMBER(SEARCH("WELLS FARGO",D167)),1,0)</f>
        <v/>
      </c>
      <c r="AH167">
        <f>IF(ISNUMBER(SEARCH("WALKER",D167)),1,0)</f>
        <v/>
      </c>
      <c r="AI167">
        <f>IF(ISNUMBER(SEARCH("PNC",D167)),1,0)</f>
        <v/>
      </c>
      <c r="AJ167">
        <f>IF(ISNUMBER(SEARCH("BERKADIA",D167)),1,0)</f>
        <v/>
      </c>
      <c r="AK167">
        <f>IF(ISNUMBER(SEARCH("DWIGHT",D167)),1,0)</f>
        <v/>
      </c>
      <c r="AL167" s="25">
        <f>T$4*(T167-T$3)</f>
        <v/>
      </c>
      <c r="AM167" s="25">
        <f>U$4*(U167-U$3)</f>
        <v/>
      </c>
      <c r="AN167" s="25">
        <f>V$4*(V167-V$3)</f>
        <v/>
      </c>
      <c r="AO167" s="25">
        <f>W$4*(W167-W$3)</f>
        <v/>
      </c>
      <c r="AP167" s="25">
        <f>X$4*(X167-X$3)</f>
        <v/>
      </c>
      <c r="AQ167" s="25">
        <f>Y$4*(Y167-Y$3)</f>
        <v/>
      </c>
      <c r="AR167" s="25">
        <f>Z$4*(Z167-Z$3)</f>
        <v/>
      </c>
      <c r="AS167" s="25">
        <f>AA$4*(AA167-AA$3)</f>
        <v/>
      </c>
      <c r="AT167" s="25">
        <f>AB$4*(AB167-AB$3)</f>
        <v/>
      </c>
      <c r="AU167" s="25">
        <f>AC$4*(AC167-AC$3)</f>
        <v/>
      </c>
      <c r="AV167" s="25">
        <f>AD$4*(AD167-AD$3)</f>
        <v/>
      </c>
      <c r="AW167" s="25">
        <f>AE$4*(AE167-AE$3)</f>
        <v/>
      </c>
      <c r="AX167" s="25">
        <f>AF$4*(AF167-AF$3)</f>
        <v/>
      </c>
      <c r="AY167" s="25">
        <f>AG$4*(AG167-AG$3)</f>
        <v/>
      </c>
      <c r="AZ167" s="25">
        <f>AH$4*(AH167-AH$3)</f>
        <v/>
      </c>
      <c r="BA167" s="25">
        <f>AI$4*(AI167-AI$3)</f>
        <v/>
      </c>
      <c r="BB167" s="25">
        <f>AJ$4*(AJ167-AJ$3)</f>
        <v/>
      </c>
      <c r="BC167" s="25">
        <f>AK$4*(AK167-AK$3)</f>
        <v/>
      </c>
      <c r="BD167" s="26">
        <f>SUM(AL167:BC167)</f>
        <v/>
      </c>
      <c r="BE167" s="26">
        <f>INTERCEPT_SCALED+BD167</f>
        <v/>
      </c>
      <c r="BF167" s="27">
        <f>1/(1+EXP(-BE167))</f>
        <v/>
      </c>
      <c r="BG167" s="13">
        <f>1-(1-BF167)^12</f>
        <v/>
      </c>
      <c r="BH167" s="13">
        <f>IFERROR(AL167/BD167*(BG167-BASELINE_CPR),0)</f>
        <v/>
      </c>
      <c r="BI167" s="13">
        <f>IFERROR(AM167/BD167*(BG167-BASELINE_CPR),0)</f>
        <v/>
      </c>
      <c r="BJ167" s="13">
        <f>IFERROR(AN167/BD167*(BG167-BASELINE_CPR),0)</f>
        <v/>
      </c>
      <c r="BK167" s="13">
        <f>IFERROR(AO167/BD167*(BG167-BASELINE_CPR),0)</f>
        <v/>
      </c>
      <c r="BL167" s="13">
        <f>IFERROR(AP167/BD167*(BG167-BASELINE_CPR),0)</f>
        <v/>
      </c>
      <c r="BM167" s="13">
        <f>IFERROR(AQ167/BD167*(BG167-BASELINE_CPR),0)</f>
        <v/>
      </c>
      <c r="BN167" s="13">
        <f>IFERROR(AR167/BD167*(BG167-BASELINE_CPR),0)</f>
        <v/>
      </c>
      <c r="BO167" s="13">
        <f>IFERROR(AS167/BD167*(BG167-BASELINE_CPR),0)</f>
        <v/>
      </c>
      <c r="BP167" s="13">
        <f>IFERROR(AT167/BD167*(BG167-BASELINE_CPR),0)</f>
        <v/>
      </c>
      <c r="BQ167" s="13">
        <f>IFERROR(AU167/BD167*(BG167-BASELINE_CPR),0)</f>
        <v/>
      </c>
      <c r="BR167" s="13">
        <f>IFERROR(AV167/BD167*(BG167-BASELINE_CPR),0)</f>
        <v/>
      </c>
      <c r="BS167" s="13">
        <f>IFERROR(AW167/BD167*(BG167-BASELINE_CPR),0)</f>
        <v/>
      </c>
      <c r="BT167" s="13">
        <f>IFERROR(AX167/BD167*(BG167-BASELINE_CPR),0)</f>
        <v/>
      </c>
      <c r="BU167" s="13">
        <f>IFERROR(AY167/BD167*(BG167-BASELINE_CPR),0)</f>
        <v/>
      </c>
      <c r="BV167" s="13">
        <f>IFERROR(AZ167/BD167*(BG167-BASELINE_CPR),0)</f>
        <v/>
      </c>
      <c r="BW167" s="13">
        <f>IFERROR(BA167/BD167*(BG167-BASELINE_CPR),0)</f>
        <v/>
      </c>
      <c r="BX167" s="13">
        <f>IFERROR(BB167/BD167*(BG167-BASELINE_CPR),0)</f>
        <v/>
      </c>
      <c r="BY167" s="13">
        <f>IFERROR(BC167/BD167*(BG167-BASELINE_CPR),0)</f>
        <v/>
      </c>
      <c r="BZ167" s="28">
        <f>BASELINE_CPR+SUM(BH167:BY167)-BG167</f>
        <v/>
      </c>
    </row>
    <row r="168">
      <c r="A168" s="2" t="inlineStr">
        <is>
          <t>3617VPHC5_000000005311510</t>
        </is>
      </c>
      <c r="B168" t="inlineStr">
        <is>
          <t>WELLS_POST21</t>
        </is>
      </c>
      <c r="C168" s="2" t="inlineStr">
        <is>
          <t>3617VPHC5</t>
        </is>
      </c>
      <c r="D168" t="inlineStr">
        <is>
          <t>WELLS FARGO BANK, N.A.</t>
        </is>
      </c>
      <c r="E168" t="inlineStr">
        <is>
          <t>223a7</t>
        </is>
      </c>
      <c r="F168" t="inlineStr">
        <is>
          <t>RP</t>
        </is>
      </c>
      <c r="G168" t="n">
        <v>2021</v>
      </c>
      <c r="H168" t="inlineStr">
        <is>
          <t>202602</t>
        </is>
      </c>
      <c r="I168" s="22" t="n">
        <v>25079366.37</v>
      </c>
      <c r="J168" s="23" t="n">
        <v>2.6</v>
      </c>
      <c r="K168" s="24" t="n">
        <v>447</v>
      </c>
      <c r="L168" s="24" t="n">
        <v>6</v>
      </c>
      <c r="M168" t="n">
        <v>56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s="24">
        <f>J168*100-(K168+(1+L168)*12.5)</f>
        <v/>
      </c>
      <c r="U168">
        <f>O168</f>
        <v/>
      </c>
      <c r="V168">
        <f>M168</f>
        <v/>
      </c>
      <c r="W168" s="23">
        <f>LN(1+I168)</f>
        <v/>
      </c>
      <c r="X168">
        <f>IF(G168&gt;=2021,1,0)</f>
        <v/>
      </c>
      <c r="Y168">
        <f>N168</f>
        <v/>
      </c>
      <c r="Z168" s="23">
        <f>IF(ISNUMBER(M168),N168/MAX(M168,1),0)</f>
        <v/>
      </c>
      <c r="AA168">
        <f>P168</f>
        <v/>
      </c>
      <c r="AB168">
        <f>Q168</f>
        <v/>
      </c>
      <c r="AC168">
        <f>R168</f>
        <v/>
      </c>
      <c r="AD168">
        <f>S168</f>
        <v/>
      </c>
      <c r="AE168">
        <f>IF(ISNUMBER(SEARCH("CAPITAL FUNDING",D168)),1,0)</f>
        <v/>
      </c>
      <c r="AF168">
        <f>IF(ISNUMBER(SEARCH("MERCHANTS",D168)),1,0)</f>
        <v/>
      </c>
      <c r="AG168">
        <f>IF(ISNUMBER(SEARCH("WELLS FARGO",D168)),1,0)</f>
        <v/>
      </c>
      <c r="AH168">
        <f>IF(ISNUMBER(SEARCH("WALKER",D168)),1,0)</f>
        <v/>
      </c>
      <c r="AI168">
        <f>IF(ISNUMBER(SEARCH("PNC",D168)),1,0)</f>
        <v/>
      </c>
      <c r="AJ168">
        <f>IF(ISNUMBER(SEARCH("BERKADIA",D168)),1,0)</f>
        <v/>
      </c>
      <c r="AK168">
        <f>IF(ISNUMBER(SEARCH("DWIGHT",D168)),1,0)</f>
        <v/>
      </c>
      <c r="AL168" s="25">
        <f>T$4*(T168-T$3)</f>
        <v/>
      </c>
      <c r="AM168" s="25">
        <f>U$4*(U168-U$3)</f>
        <v/>
      </c>
      <c r="AN168" s="25">
        <f>V$4*(V168-V$3)</f>
        <v/>
      </c>
      <c r="AO168" s="25">
        <f>W$4*(W168-W$3)</f>
        <v/>
      </c>
      <c r="AP168" s="25">
        <f>X$4*(X168-X$3)</f>
        <v/>
      </c>
      <c r="AQ168" s="25">
        <f>Y$4*(Y168-Y$3)</f>
        <v/>
      </c>
      <c r="AR168" s="25">
        <f>Z$4*(Z168-Z$3)</f>
        <v/>
      </c>
      <c r="AS168" s="25">
        <f>AA$4*(AA168-AA$3)</f>
        <v/>
      </c>
      <c r="AT168" s="25">
        <f>AB$4*(AB168-AB$3)</f>
        <v/>
      </c>
      <c r="AU168" s="25">
        <f>AC$4*(AC168-AC$3)</f>
        <v/>
      </c>
      <c r="AV168" s="25">
        <f>AD$4*(AD168-AD$3)</f>
        <v/>
      </c>
      <c r="AW168" s="25">
        <f>AE$4*(AE168-AE$3)</f>
        <v/>
      </c>
      <c r="AX168" s="25">
        <f>AF$4*(AF168-AF$3)</f>
        <v/>
      </c>
      <c r="AY168" s="25">
        <f>AG$4*(AG168-AG$3)</f>
        <v/>
      </c>
      <c r="AZ168" s="25">
        <f>AH$4*(AH168-AH$3)</f>
        <v/>
      </c>
      <c r="BA168" s="25">
        <f>AI$4*(AI168-AI$3)</f>
        <v/>
      </c>
      <c r="BB168" s="25">
        <f>AJ$4*(AJ168-AJ$3)</f>
        <v/>
      </c>
      <c r="BC168" s="25">
        <f>AK$4*(AK168-AK$3)</f>
        <v/>
      </c>
      <c r="BD168" s="26">
        <f>SUM(AL168:BC168)</f>
        <v/>
      </c>
      <c r="BE168" s="26">
        <f>INTERCEPT_SCALED+BD168</f>
        <v/>
      </c>
      <c r="BF168" s="27">
        <f>1/(1+EXP(-BE168))</f>
        <v/>
      </c>
      <c r="BG168" s="13">
        <f>1-(1-BF168)^12</f>
        <v/>
      </c>
      <c r="BH168" s="13">
        <f>IFERROR(AL168/BD168*(BG168-BASELINE_CPR),0)</f>
        <v/>
      </c>
      <c r="BI168" s="13">
        <f>IFERROR(AM168/BD168*(BG168-BASELINE_CPR),0)</f>
        <v/>
      </c>
      <c r="BJ168" s="13">
        <f>IFERROR(AN168/BD168*(BG168-BASELINE_CPR),0)</f>
        <v/>
      </c>
      <c r="BK168" s="13">
        <f>IFERROR(AO168/BD168*(BG168-BASELINE_CPR),0)</f>
        <v/>
      </c>
      <c r="BL168" s="13">
        <f>IFERROR(AP168/BD168*(BG168-BASELINE_CPR),0)</f>
        <v/>
      </c>
      <c r="BM168" s="13">
        <f>IFERROR(AQ168/BD168*(BG168-BASELINE_CPR),0)</f>
        <v/>
      </c>
      <c r="BN168" s="13">
        <f>IFERROR(AR168/BD168*(BG168-BASELINE_CPR),0)</f>
        <v/>
      </c>
      <c r="BO168" s="13">
        <f>IFERROR(AS168/BD168*(BG168-BASELINE_CPR),0)</f>
        <v/>
      </c>
      <c r="BP168" s="13">
        <f>IFERROR(AT168/BD168*(BG168-BASELINE_CPR),0)</f>
        <v/>
      </c>
      <c r="BQ168" s="13">
        <f>IFERROR(AU168/BD168*(BG168-BASELINE_CPR),0)</f>
        <v/>
      </c>
      <c r="BR168" s="13">
        <f>IFERROR(AV168/BD168*(BG168-BASELINE_CPR),0)</f>
        <v/>
      </c>
      <c r="BS168" s="13">
        <f>IFERROR(AW168/BD168*(BG168-BASELINE_CPR),0)</f>
        <v/>
      </c>
      <c r="BT168" s="13">
        <f>IFERROR(AX168/BD168*(BG168-BASELINE_CPR),0)</f>
        <v/>
      </c>
      <c r="BU168" s="13">
        <f>IFERROR(AY168/BD168*(BG168-BASELINE_CPR),0)</f>
        <v/>
      </c>
      <c r="BV168" s="13">
        <f>IFERROR(AZ168/BD168*(BG168-BASELINE_CPR),0)</f>
        <v/>
      </c>
      <c r="BW168" s="13">
        <f>IFERROR(BA168/BD168*(BG168-BASELINE_CPR),0)</f>
        <v/>
      </c>
      <c r="BX168" s="13">
        <f>IFERROR(BB168/BD168*(BG168-BASELINE_CPR),0)</f>
        <v/>
      </c>
      <c r="BY168" s="13">
        <f>IFERROR(BC168/BD168*(BG168-BASELINE_CPR),0)</f>
        <v/>
      </c>
      <c r="BZ168" s="28">
        <f>BASELINE_CPR+SUM(BH168:BY168)-BG168</f>
        <v/>
      </c>
    </row>
    <row r="169">
      <c r="A169" s="2" t="inlineStr">
        <is>
          <t>36294Y4T8_000000006535650</t>
        </is>
      </c>
      <c r="B169" t="inlineStr">
        <is>
          <t>WELLS_PRE21</t>
        </is>
      </c>
      <c r="C169" s="2" t="inlineStr">
        <is>
          <t>36294Y4T8</t>
        </is>
      </c>
      <c r="D169" t="inlineStr">
        <is>
          <t>WELLS FARGO BANK, N.A.</t>
        </is>
      </c>
      <c r="E169" t="inlineStr">
        <is>
          <t>221d4</t>
        </is>
      </c>
      <c r="F169" t="inlineStr">
        <is>
          <t>RP</t>
        </is>
      </c>
      <c r="G169" t="n">
        <v>2007</v>
      </c>
      <c r="H169" t="inlineStr">
        <is>
          <t>202602</t>
        </is>
      </c>
      <c r="I169" s="22" t="n">
        <v>822660.01</v>
      </c>
      <c r="J169" s="23" t="n">
        <v>6.5</v>
      </c>
      <c r="K169" s="24" t="n">
        <v>447</v>
      </c>
      <c r="L169" s="24" t="n">
        <v>0</v>
      </c>
      <c r="M169" t="n">
        <v>221</v>
      </c>
      <c r="N169" t="n">
        <v>87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s="24">
        <f>J169*100-(K169+(1+L169)*12.5)</f>
        <v/>
      </c>
      <c r="U169">
        <f>O169</f>
        <v/>
      </c>
      <c r="V169">
        <f>M169</f>
        <v/>
      </c>
      <c r="W169" s="23">
        <f>LN(1+I169)</f>
        <v/>
      </c>
      <c r="X169">
        <f>IF(G169&gt;=2021,1,0)</f>
        <v/>
      </c>
      <c r="Y169">
        <f>N169</f>
        <v/>
      </c>
      <c r="Z169" s="23">
        <f>IF(ISNUMBER(M169),N169/MAX(M169,1),0)</f>
        <v/>
      </c>
      <c r="AA169">
        <f>P169</f>
        <v/>
      </c>
      <c r="AB169">
        <f>Q169</f>
        <v/>
      </c>
      <c r="AC169">
        <f>R169</f>
        <v/>
      </c>
      <c r="AD169">
        <f>S169</f>
        <v/>
      </c>
      <c r="AE169">
        <f>IF(ISNUMBER(SEARCH("CAPITAL FUNDING",D169)),1,0)</f>
        <v/>
      </c>
      <c r="AF169">
        <f>IF(ISNUMBER(SEARCH("MERCHANTS",D169)),1,0)</f>
        <v/>
      </c>
      <c r="AG169">
        <f>IF(ISNUMBER(SEARCH("WELLS FARGO",D169)),1,0)</f>
        <v/>
      </c>
      <c r="AH169">
        <f>IF(ISNUMBER(SEARCH("WALKER",D169)),1,0)</f>
        <v/>
      </c>
      <c r="AI169">
        <f>IF(ISNUMBER(SEARCH("PNC",D169)),1,0)</f>
        <v/>
      </c>
      <c r="AJ169">
        <f>IF(ISNUMBER(SEARCH("BERKADIA",D169)),1,0)</f>
        <v/>
      </c>
      <c r="AK169">
        <f>IF(ISNUMBER(SEARCH("DWIGHT",D169)),1,0)</f>
        <v/>
      </c>
      <c r="AL169" s="25">
        <f>T$4*(T169-T$3)</f>
        <v/>
      </c>
      <c r="AM169" s="25">
        <f>U$4*(U169-U$3)</f>
        <v/>
      </c>
      <c r="AN169" s="25">
        <f>V$4*(V169-V$3)</f>
        <v/>
      </c>
      <c r="AO169" s="25">
        <f>W$4*(W169-W$3)</f>
        <v/>
      </c>
      <c r="AP169" s="25">
        <f>X$4*(X169-X$3)</f>
        <v/>
      </c>
      <c r="AQ169" s="25">
        <f>Y$4*(Y169-Y$3)</f>
        <v/>
      </c>
      <c r="AR169" s="25">
        <f>Z$4*(Z169-Z$3)</f>
        <v/>
      </c>
      <c r="AS169" s="25">
        <f>AA$4*(AA169-AA$3)</f>
        <v/>
      </c>
      <c r="AT169" s="25">
        <f>AB$4*(AB169-AB$3)</f>
        <v/>
      </c>
      <c r="AU169" s="25">
        <f>AC$4*(AC169-AC$3)</f>
        <v/>
      </c>
      <c r="AV169" s="25">
        <f>AD$4*(AD169-AD$3)</f>
        <v/>
      </c>
      <c r="AW169" s="25">
        <f>AE$4*(AE169-AE$3)</f>
        <v/>
      </c>
      <c r="AX169" s="25">
        <f>AF$4*(AF169-AF$3)</f>
        <v/>
      </c>
      <c r="AY169" s="25">
        <f>AG$4*(AG169-AG$3)</f>
        <v/>
      </c>
      <c r="AZ169" s="25">
        <f>AH$4*(AH169-AH$3)</f>
        <v/>
      </c>
      <c r="BA169" s="25">
        <f>AI$4*(AI169-AI$3)</f>
        <v/>
      </c>
      <c r="BB169" s="25">
        <f>AJ$4*(AJ169-AJ$3)</f>
        <v/>
      </c>
      <c r="BC169" s="25">
        <f>AK$4*(AK169-AK$3)</f>
        <v/>
      </c>
      <c r="BD169" s="26">
        <f>SUM(AL169:BC169)</f>
        <v/>
      </c>
      <c r="BE169" s="26">
        <f>INTERCEPT_SCALED+BD169</f>
        <v/>
      </c>
      <c r="BF169" s="27">
        <f>1/(1+EXP(-BE169))</f>
        <v/>
      </c>
      <c r="BG169" s="13">
        <f>1-(1-BF169)^12</f>
        <v/>
      </c>
      <c r="BH169" s="13">
        <f>IFERROR(AL169/BD169*(BG169-BASELINE_CPR),0)</f>
        <v/>
      </c>
      <c r="BI169" s="13">
        <f>IFERROR(AM169/BD169*(BG169-BASELINE_CPR),0)</f>
        <v/>
      </c>
      <c r="BJ169" s="13">
        <f>IFERROR(AN169/BD169*(BG169-BASELINE_CPR),0)</f>
        <v/>
      </c>
      <c r="BK169" s="13">
        <f>IFERROR(AO169/BD169*(BG169-BASELINE_CPR),0)</f>
        <v/>
      </c>
      <c r="BL169" s="13">
        <f>IFERROR(AP169/BD169*(BG169-BASELINE_CPR),0)</f>
        <v/>
      </c>
      <c r="BM169" s="13">
        <f>IFERROR(AQ169/BD169*(BG169-BASELINE_CPR),0)</f>
        <v/>
      </c>
      <c r="BN169" s="13">
        <f>IFERROR(AR169/BD169*(BG169-BASELINE_CPR),0)</f>
        <v/>
      </c>
      <c r="BO169" s="13">
        <f>IFERROR(AS169/BD169*(BG169-BASELINE_CPR),0)</f>
        <v/>
      </c>
      <c r="BP169" s="13">
        <f>IFERROR(AT169/BD169*(BG169-BASELINE_CPR),0)</f>
        <v/>
      </c>
      <c r="BQ169" s="13">
        <f>IFERROR(AU169/BD169*(BG169-BASELINE_CPR),0)</f>
        <v/>
      </c>
      <c r="BR169" s="13">
        <f>IFERROR(AV169/BD169*(BG169-BASELINE_CPR),0)</f>
        <v/>
      </c>
      <c r="BS169" s="13">
        <f>IFERROR(AW169/BD169*(BG169-BASELINE_CPR),0)</f>
        <v/>
      </c>
      <c r="BT169" s="13">
        <f>IFERROR(AX169/BD169*(BG169-BASELINE_CPR),0)</f>
        <v/>
      </c>
      <c r="BU169" s="13">
        <f>IFERROR(AY169/BD169*(BG169-BASELINE_CPR),0)</f>
        <v/>
      </c>
      <c r="BV169" s="13">
        <f>IFERROR(AZ169/BD169*(BG169-BASELINE_CPR),0)</f>
        <v/>
      </c>
      <c r="BW169" s="13">
        <f>IFERROR(BA169/BD169*(BG169-BASELINE_CPR),0)</f>
        <v/>
      </c>
      <c r="BX169" s="13">
        <f>IFERROR(BB169/BD169*(BG169-BASELINE_CPR),0)</f>
        <v/>
      </c>
      <c r="BY169" s="13">
        <f>IFERROR(BC169/BD169*(BG169-BASELINE_CPR),0)</f>
        <v/>
      </c>
      <c r="BZ169" s="28">
        <f>BASELINE_CPR+SUM(BH169:BY169)-BG169</f>
        <v/>
      </c>
    </row>
    <row r="170">
      <c r="A170" s="2" t="inlineStr">
        <is>
          <t>36181YXA3_000000010135738</t>
        </is>
      </c>
      <c r="B170" t="inlineStr">
        <is>
          <t>WELLS_PRE21</t>
        </is>
      </c>
      <c r="C170" s="2" t="inlineStr">
        <is>
          <t>36181YXA3</t>
        </is>
      </c>
      <c r="D170" t="inlineStr">
        <is>
          <t>WELLS FARGO BANK, N.A.</t>
        </is>
      </c>
      <c r="E170" t="inlineStr">
        <is>
          <t>221d4</t>
        </is>
      </c>
      <c r="F170" t="inlineStr">
        <is>
          <t>NC</t>
        </is>
      </c>
      <c r="G170" t="n">
        <v>2014</v>
      </c>
      <c r="H170" t="inlineStr">
        <is>
          <t>202602</t>
        </is>
      </c>
      <c r="I170" s="22" t="n">
        <v>8511182.23</v>
      </c>
      <c r="J170" s="23" t="n">
        <v>3.72</v>
      </c>
      <c r="K170" s="24" t="n">
        <v>447</v>
      </c>
      <c r="L170" s="24" t="n">
        <v>0</v>
      </c>
      <c r="M170" t="n">
        <v>138</v>
      </c>
      <c r="N170" t="n">
        <v>32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s="24">
        <f>J170*100-(K170+(1+L170)*12.5)</f>
        <v/>
      </c>
      <c r="U170">
        <f>O170</f>
        <v/>
      </c>
      <c r="V170">
        <f>M170</f>
        <v/>
      </c>
      <c r="W170" s="23">
        <f>LN(1+I170)</f>
        <v/>
      </c>
      <c r="X170">
        <f>IF(G170&gt;=2021,1,0)</f>
        <v/>
      </c>
      <c r="Y170">
        <f>N170</f>
        <v/>
      </c>
      <c r="Z170" s="23">
        <f>IF(ISNUMBER(M170),N170/MAX(M170,1),0)</f>
        <v/>
      </c>
      <c r="AA170">
        <f>P170</f>
        <v/>
      </c>
      <c r="AB170">
        <f>Q170</f>
        <v/>
      </c>
      <c r="AC170">
        <f>R170</f>
        <v/>
      </c>
      <c r="AD170">
        <f>S170</f>
        <v/>
      </c>
      <c r="AE170">
        <f>IF(ISNUMBER(SEARCH("CAPITAL FUNDING",D170)),1,0)</f>
        <v/>
      </c>
      <c r="AF170">
        <f>IF(ISNUMBER(SEARCH("MERCHANTS",D170)),1,0)</f>
        <v/>
      </c>
      <c r="AG170">
        <f>IF(ISNUMBER(SEARCH("WELLS FARGO",D170)),1,0)</f>
        <v/>
      </c>
      <c r="AH170">
        <f>IF(ISNUMBER(SEARCH("WALKER",D170)),1,0)</f>
        <v/>
      </c>
      <c r="AI170">
        <f>IF(ISNUMBER(SEARCH("PNC",D170)),1,0)</f>
        <v/>
      </c>
      <c r="AJ170">
        <f>IF(ISNUMBER(SEARCH("BERKADIA",D170)),1,0)</f>
        <v/>
      </c>
      <c r="AK170">
        <f>IF(ISNUMBER(SEARCH("DWIGHT",D170)),1,0)</f>
        <v/>
      </c>
      <c r="AL170" s="25">
        <f>T$4*(T170-T$3)</f>
        <v/>
      </c>
      <c r="AM170" s="25">
        <f>U$4*(U170-U$3)</f>
        <v/>
      </c>
      <c r="AN170" s="25">
        <f>V$4*(V170-V$3)</f>
        <v/>
      </c>
      <c r="AO170" s="25">
        <f>W$4*(W170-W$3)</f>
        <v/>
      </c>
      <c r="AP170" s="25">
        <f>X$4*(X170-X$3)</f>
        <v/>
      </c>
      <c r="AQ170" s="25">
        <f>Y$4*(Y170-Y$3)</f>
        <v/>
      </c>
      <c r="AR170" s="25">
        <f>Z$4*(Z170-Z$3)</f>
        <v/>
      </c>
      <c r="AS170" s="25">
        <f>AA$4*(AA170-AA$3)</f>
        <v/>
      </c>
      <c r="AT170" s="25">
        <f>AB$4*(AB170-AB$3)</f>
        <v/>
      </c>
      <c r="AU170" s="25">
        <f>AC$4*(AC170-AC$3)</f>
        <v/>
      </c>
      <c r="AV170" s="25">
        <f>AD$4*(AD170-AD$3)</f>
        <v/>
      </c>
      <c r="AW170" s="25">
        <f>AE$4*(AE170-AE$3)</f>
        <v/>
      </c>
      <c r="AX170" s="25">
        <f>AF$4*(AF170-AF$3)</f>
        <v/>
      </c>
      <c r="AY170" s="25">
        <f>AG$4*(AG170-AG$3)</f>
        <v/>
      </c>
      <c r="AZ170" s="25">
        <f>AH$4*(AH170-AH$3)</f>
        <v/>
      </c>
      <c r="BA170" s="25">
        <f>AI$4*(AI170-AI$3)</f>
        <v/>
      </c>
      <c r="BB170" s="25">
        <f>AJ$4*(AJ170-AJ$3)</f>
        <v/>
      </c>
      <c r="BC170" s="25">
        <f>AK$4*(AK170-AK$3)</f>
        <v/>
      </c>
      <c r="BD170" s="26">
        <f>SUM(AL170:BC170)</f>
        <v/>
      </c>
      <c r="BE170" s="26">
        <f>INTERCEPT_SCALED+BD170</f>
        <v/>
      </c>
      <c r="BF170" s="27">
        <f>1/(1+EXP(-BE170))</f>
        <v/>
      </c>
      <c r="BG170" s="13">
        <f>1-(1-BF170)^12</f>
        <v/>
      </c>
      <c r="BH170" s="13">
        <f>IFERROR(AL170/BD170*(BG170-BASELINE_CPR),0)</f>
        <v/>
      </c>
      <c r="BI170" s="13">
        <f>IFERROR(AM170/BD170*(BG170-BASELINE_CPR),0)</f>
        <v/>
      </c>
      <c r="BJ170" s="13">
        <f>IFERROR(AN170/BD170*(BG170-BASELINE_CPR),0)</f>
        <v/>
      </c>
      <c r="BK170" s="13">
        <f>IFERROR(AO170/BD170*(BG170-BASELINE_CPR),0)</f>
        <v/>
      </c>
      <c r="BL170" s="13">
        <f>IFERROR(AP170/BD170*(BG170-BASELINE_CPR),0)</f>
        <v/>
      </c>
      <c r="BM170" s="13">
        <f>IFERROR(AQ170/BD170*(BG170-BASELINE_CPR),0)</f>
        <v/>
      </c>
      <c r="BN170" s="13">
        <f>IFERROR(AR170/BD170*(BG170-BASELINE_CPR),0)</f>
        <v/>
      </c>
      <c r="BO170" s="13">
        <f>IFERROR(AS170/BD170*(BG170-BASELINE_CPR),0)</f>
        <v/>
      </c>
      <c r="BP170" s="13">
        <f>IFERROR(AT170/BD170*(BG170-BASELINE_CPR),0)</f>
        <v/>
      </c>
      <c r="BQ170" s="13">
        <f>IFERROR(AU170/BD170*(BG170-BASELINE_CPR),0)</f>
        <v/>
      </c>
      <c r="BR170" s="13">
        <f>IFERROR(AV170/BD170*(BG170-BASELINE_CPR),0)</f>
        <v/>
      </c>
      <c r="BS170" s="13">
        <f>IFERROR(AW170/BD170*(BG170-BASELINE_CPR),0)</f>
        <v/>
      </c>
      <c r="BT170" s="13">
        <f>IFERROR(AX170/BD170*(BG170-BASELINE_CPR),0)</f>
        <v/>
      </c>
      <c r="BU170" s="13">
        <f>IFERROR(AY170/BD170*(BG170-BASELINE_CPR),0)</f>
        <v/>
      </c>
      <c r="BV170" s="13">
        <f>IFERROR(AZ170/BD170*(BG170-BASELINE_CPR),0)</f>
        <v/>
      </c>
      <c r="BW170" s="13">
        <f>IFERROR(BA170/BD170*(BG170-BASELINE_CPR),0)</f>
        <v/>
      </c>
      <c r="BX170" s="13">
        <f>IFERROR(BB170/BD170*(BG170-BASELINE_CPR),0)</f>
        <v/>
      </c>
      <c r="BY170" s="13">
        <f>IFERROR(BC170/BD170*(BG170-BASELINE_CPR),0)</f>
        <v/>
      </c>
      <c r="BZ170" s="28">
        <f>BASELINE_CPR+SUM(BH170:BY170)-BG170</f>
        <v/>
      </c>
    </row>
    <row r="171">
      <c r="A171" s="2" t="inlineStr">
        <is>
          <t>3617WUNX0_000000010110019</t>
        </is>
      </c>
      <c r="B171" t="inlineStr">
        <is>
          <t>WELLS_POST21</t>
        </is>
      </c>
      <c r="C171" s="2" t="inlineStr">
        <is>
          <t>3617WUNX0</t>
        </is>
      </c>
      <c r="D171" t="inlineStr">
        <is>
          <t>WELLS FARGO BANK, N.A.</t>
        </is>
      </c>
      <c r="E171" t="inlineStr">
        <is>
          <t>241</t>
        </is>
      </c>
      <c r="F171" t="inlineStr">
        <is>
          <t>NC</t>
        </is>
      </c>
      <c r="G171" t="n">
        <v>2021</v>
      </c>
      <c r="H171" t="inlineStr">
        <is>
          <t>202602</t>
        </is>
      </c>
      <c r="I171" s="22" t="n">
        <v>39414589.03</v>
      </c>
      <c r="J171" s="23" t="n">
        <v>2.78</v>
      </c>
      <c r="K171" s="24" t="n">
        <v>447</v>
      </c>
      <c r="L171" s="24" t="n">
        <v>8</v>
      </c>
      <c r="M171" t="n">
        <v>52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s="24">
        <f>J171*100-(K171+(1+L171)*12.5)</f>
        <v/>
      </c>
      <c r="U171">
        <f>O171</f>
        <v/>
      </c>
      <c r="V171">
        <f>M171</f>
        <v/>
      </c>
      <c r="W171" s="23">
        <f>LN(1+I171)</f>
        <v/>
      </c>
      <c r="X171">
        <f>IF(G171&gt;=2021,1,0)</f>
        <v/>
      </c>
      <c r="Y171">
        <f>N171</f>
        <v/>
      </c>
      <c r="Z171" s="23">
        <f>IF(ISNUMBER(M171),N171/MAX(M171,1),0)</f>
        <v/>
      </c>
      <c r="AA171">
        <f>P171</f>
        <v/>
      </c>
      <c r="AB171">
        <f>Q171</f>
        <v/>
      </c>
      <c r="AC171">
        <f>R171</f>
        <v/>
      </c>
      <c r="AD171">
        <f>S171</f>
        <v/>
      </c>
      <c r="AE171">
        <f>IF(ISNUMBER(SEARCH("CAPITAL FUNDING",D171)),1,0)</f>
        <v/>
      </c>
      <c r="AF171">
        <f>IF(ISNUMBER(SEARCH("MERCHANTS",D171)),1,0)</f>
        <v/>
      </c>
      <c r="AG171">
        <f>IF(ISNUMBER(SEARCH("WELLS FARGO",D171)),1,0)</f>
        <v/>
      </c>
      <c r="AH171">
        <f>IF(ISNUMBER(SEARCH("WALKER",D171)),1,0)</f>
        <v/>
      </c>
      <c r="AI171">
        <f>IF(ISNUMBER(SEARCH("PNC",D171)),1,0)</f>
        <v/>
      </c>
      <c r="AJ171">
        <f>IF(ISNUMBER(SEARCH("BERKADIA",D171)),1,0)</f>
        <v/>
      </c>
      <c r="AK171">
        <f>IF(ISNUMBER(SEARCH("DWIGHT",D171)),1,0)</f>
        <v/>
      </c>
      <c r="AL171" s="25">
        <f>T$4*(T171-T$3)</f>
        <v/>
      </c>
      <c r="AM171" s="25">
        <f>U$4*(U171-U$3)</f>
        <v/>
      </c>
      <c r="AN171" s="25">
        <f>V$4*(V171-V$3)</f>
        <v/>
      </c>
      <c r="AO171" s="25">
        <f>W$4*(W171-W$3)</f>
        <v/>
      </c>
      <c r="AP171" s="25">
        <f>X$4*(X171-X$3)</f>
        <v/>
      </c>
      <c r="AQ171" s="25">
        <f>Y$4*(Y171-Y$3)</f>
        <v/>
      </c>
      <c r="AR171" s="25">
        <f>Z$4*(Z171-Z$3)</f>
        <v/>
      </c>
      <c r="AS171" s="25">
        <f>AA$4*(AA171-AA$3)</f>
        <v/>
      </c>
      <c r="AT171" s="25">
        <f>AB$4*(AB171-AB$3)</f>
        <v/>
      </c>
      <c r="AU171" s="25">
        <f>AC$4*(AC171-AC$3)</f>
        <v/>
      </c>
      <c r="AV171" s="25">
        <f>AD$4*(AD171-AD$3)</f>
        <v/>
      </c>
      <c r="AW171" s="25">
        <f>AE$4*(AE171-AE$3)</f>
        <v/>
      </c>
      <c r="AX171" s="25">
        <f>AF$4*(AF171-AF$3)</f>
        <v/>
      </c>
      <c r="AY171" s="25">
        <f>AG$4*(AG171-AG$3)</f>
        <v/>
      </c>
      <c r="AZ171" s="25">
        <f>AH$4*(AH171-AH$3)</f>
        <v/>
      </c>
      <c r="BA171" s="25">
        <f>AI$4*(AI171-AI$3)</f>
        <v/>
      </c>
      <c r="BB171" s="25">
        <f>AJ$4*(AJ171-AJ$3)</f>
        <v/>
      </c>
      <c r="BC171" s="25">
        <f>AK$4*(AK171-AK$3)</f>
        <v/>
      </c>
      <c r="BD171" s="26">
        <f>SUM(AL171:BC171)</f>
        <v/>
      </c>
      <c r="BE171" s="26">
        <f>INTERCEPT_SCALED+BD171</f>
        <v/>
      </c>
      <c r="BF171" s="27">
        <f>1/(1+EXP(-BE171))</f>
        <v/>
      </c>
      <c r="BG171" s="13">
        <f>1-(1-BF171)^12</f>
        <v/>
      </c>
      <c r="BH171" s="13">
        <f>IFERROR(AL171/BD171*(BG171-BASELINE_CPR),0)</f>
        <v/>
      </c>
      <c r="BI171" s="13">
        <f>IFERROR(AM171/BD171*(BG171-BASELINE_CPR),0)</f>
        <v/>
      </c>
      <c r="BJ171" s="13">
        <f>IFERROR(AN171/BD171*(BG171-BASELINE_CPR),0)</f>
        <v/>
      </c>
      <c r="BK171" s="13">
        <f>IFERROR(AO171/BD171*(BG171-BASELINE_CPR),0)</f>
        <v/>
      </c>
      <c r="BL171" s="13">
        <f>IFERROR(AP171/BD171*(BG171-BASELINE_CPR),0)</f>
        <v/>
      </c>
      <c r="BM171" s="13">
        <f>IFERROR(AQ171/BD171*(BG171-BASELINE_CPR),0)</f>
        <v/>
      </c>
      <c r="BN171" s="13">
        <f>IFERROR(AR171/BD171*(BG171-BASELINE_CPR),0)</f>
        <v/>
      </c>
      <c r="BO171" s="13">
        <f>IFERROR(AS171/BD171*(BG171-BASELINE_CPR),0)</f>
        <v/>
      </c>
      <c r="BP171" s="13">
        <f>IFERROR(AT171/BD171*(BG171-BASELINE_CPR),0)</f>
        <v/>
      </c>
      <c r="BQ171" s="13">
        <f>IFERROR(AU171/BD171*(BG171-BASELINE_CPR),0)</f>
        <v/>
      </c>
      <c r="BR171" s="13">
        <f>IFERROR(AV171/BD171*(BG171-BASELINE_CPR),0)</f>
        <v/>
      </c>
      <c r="BS171" s="13">
        <f>IFERROR(AW171/BD171*(BG171-BASELINE_CPR),0)</f>
        <v/>
      </c>
      <c r="BT171" s="13">
        <f>IFERROR(AX171/BD171*(BG171-BASELINE_CPR),0)</f>
        <v/>
      </c>
      <c r="BU171" s="13">
        <f>IFERROR(AY171/BD171*(BG171-BASELINE_CPR),0)</f>
        <v/>
      </c>
      <c r="BV171" s="13">
        <f>IFERROR(AZ171/BD171*(BG171-BASELINE_CPR),0)</f>
        <v/>
      </c>
      <c r="BW171" s="13">
        <f>IFERROR(BA171/BD171*(BG171-BASELINE_CPR),0)</f>
        <v/>
      </c>
      <c r="BX171" s="13">
        <f>IFERROR(BB171/BD171*(BG171-BASELINE_CPR),0)</f>
        <v/>
      </c>
      <c r="BY171" s="13">
        <f>IFERROR(BC171/BD171*(BG171-BASELINE_CPR),0)</f>
        <v/>
      </c>
      <c r="BZ171" s="28">
        <f>BASELINE_CPR+SUM(BH171:BY171)-BG171</f>
        <v/>
      </c>
    </row>
    <row r="172">
      <c r="A172" s="2" t="inlineStr">
        <is>
          <t>36179J4X2_000000005143243</t>
        </is>
      </c>
      <c r="B172" t="inlineStr">
        <is>
          <t>WELLS_PRE21</t>
        </is>
      </c>
      <c r="C172" s="2" t="inlineStr">
        <is>
          <t>36179J4X2</t>
        </is>
      </c>
      <c r="D172" t="inlineStr">
        <is>
          <t>WELLS FARGO BANK, N.A.</t>
        </is>
      </c>
      <c r="E172" t="inlineStr">
        <is>
          <t>232</t>
        </is>
      </c>
      <c r="F172" t="inlineStr">
        <is>
          <t>RP</t>
        </is>
      </c>
      <c r="G172" t="n">
        <v>2013</v>
      </c>
      <c r="H172" t="inlineStr">
        <is>
          <t>202602</t>
        </is>
      </c>
      <c r="I172" s="22" t="n">
        <v>9293553.970000001</v>
      </c>
      <c r="J172" s="23" t="n">
        <v>3.15</v>
      </c>
      <c r="K172" s="24" t="n">
        <v>447</v>
      </c>
      <c r="L172" s="24" t="n">
        <v>0</v>
      </c>
      <c r="M172" t="n">
        <v>153</v>
      </c>
      <c r="N172" t="n">
        <v>29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s="24">
        <f>J172*100-(K172+(1+L172)*12.5)</f>
        <v/>
      </c>
      <c r="U172">
        <f>O172</f>
        <v/>
      </c>
      <c r="V172">
        <f>M172</f>
        <v/>
      </c>
      <c r="W172" s="23">
        <f>LN(1+I172)</f>
        <v/>
      </c>
      <c r="X172">
        <f>IF(G172&gt;=2021,1,0)</f>
        <v/>
      </c>
      <c r="Y172">
        <f>N172</f>
        <v/>
      </c>
      <c r="Z172" s="23">
        <f>IF(ISNUMBER(M172),N172/MAX(M172,1),0)</f>
        <v/>
      </c>
      <c r="AA172">
        <f>P172</f>
        <v/>
      </c>
      <c r="AB172">
        <f>Q172</f>
        <v/>
      </c>
      <c r="AC172">
        <f>R172</f>
        <v/>
      </c>
      <c r="AD172">
        <f>S172</f>
        <v/>
      </c>
      <c r="AE172">
        <f>IF(ISNUMBER(SEARCH("CAPITAL FUNDING",D172)),1,0)</f>
        <v/>
      </c>
      <c r="AF172">
        <f>IF(ISNUMBER(SEARCH("MERCHANTS",D172)),1,0)</f>
        <v/>
      </c>
      <c r="AG172">
        <f>IF(ISNUMBER(SEARCH("WELLS FARGO",D172)),1,0)</f>
        <v/>
      </c>
      <c r="AH172">
        <f>IF(ISNUMBER(SEARCH("WALKER",D172)),1,0)</f>
        <v/>
      </c>
      <c r="AI172">
        <f>IF(ISNUMBER(SEARCH("PNC",D172)),1,0)</f>
        <v/>
      </c>
      <c r="AJ172">
        <f>IF(ISNUMBER(SEARCH("BERKADIA",D172)),1,0)</f>
        <v/>
      </c>
      <c r="AK172">
        <f>IF(ISNUMBER(SEARCH("DWIGHT",D172)),1,0)</f>
        <v/>
      </c>
      <c r="AL172" s="25">
        <f>T$4*(T172-T$3)</f>
        <v/>
      </c>
      <c r="AM172" s="25">
        <f>U$4*(U172-U$3)</f>
        <v/>
      </c>
      <c r="AN172" s="25">
        <f>V$4*(V172-V$3)</f>
        <v/>
      </c>
      <c r="AO172" s="25">
        <f>W$4*(W172-W$3)</f>
        <v/>
      </c>
      <c r="AP172" s="25">
        <f>X$4*(X172-X$3)</f>
        <v/>
      </c>
      <c r="AQ172" s="25">
        <f>Y$4*(Y172-Y$3)</f>
        <v/>
      </c>
      <c r="AR172" s="25">
        <f>Z$4*(Z172-Z$3)</f>
        <v/>
      </c>
      <c r="AS172" s="25">
        <f>AA$4*(AA172-AA$3)</f>
        <v/>
      </c>
      <c r="AT172" s="25">
        <f>AB$4*(AB172-AB$3)</f>
        <v/>
      </c>
      <c r="AU172" s="25">
        <f>AC$4*(AC172-AC$3)</f>
        <v/>
      </c>
      <c r="AV172" s="25">
        <f>AD$4*(AD172-AD$3)</f>
        <v/>
      </c>
      <c r="AW172" s="25">
        <f>AE$4*(AE172-AE$3)</f>
        <v/>
      </c>
      <c r="AX172" s="25">
        <f>AF$4*(AF172-AF$3)</f>
        <v/>
      </c>
      <c r="AY172" s="25">
        <f>AG$4*(AG172-AG$3)</f>
        <v/>
      </c>
      <c r="AZ172" s="25">
        <f>AH$4*(AH172-AH$3)</f>
        <v/>
      </c>
      <c r="BA172" s="25">
        <f>AI$4*(AI172-AI$3)</f>
        <v/>
      </c>
      <c r="BB172" s="25">
        <f>AJ$4*(AJ172-AJ$3)</f>
        <v/>
      </c>
      <c r="BC172" s="25">
        <f>AK$4*(AK172-AK$3)</f>
        <v/>
      </c>
      <c r="BD172" s="26">
        <f>SUM(AL172:BC172)</f>
        <v/>
      </c>
      <c r="BE172" s="26">
        <f>INTERCEPT_SCALED+BD172</f>
        <v/>
      </c>
      <c r="BF172" s="27">
        <f>1/(1+EXP(-BE172))</f>
        <v/>
      </c>
      <c r="BG172" s="13">
        <f>1-(1-BF172)^12</f>
        <v/>
      </c>
      <c r="BH172" s="13">
        <f>IFERROR(AL172/BD172*(BG172-BASELINE_CPR),0)</f>
        <v/>
      </c>
      <c r="BI172" s="13">
        <f>IFERROR(AM172/BD172*(BG172-BASELINE_CPR),0)</f>
        <v/>
      </c>
      <c r="BJ172" s="13">
        <f>IFERROR(AN172/BD172*(BG172-BASELINE_CPR),0)</f>
        <v/>
      </c>
      <c r="BK172" s="13">
        <f>IFERROR(AO172/BD172*(BG172-BASELINE_CPR),0)</f>
        <v/>
      </c>
      <c r="BL172" s="13">
        <f>IFERROR(AP172/BD172*(BG172-BASELINE_CPR),0)</f>
        <v/>
      </c>
      <c r="BM172" s="13">
        <f>IFERROR(AQ172/BD172*(BG172-BASELINE_CPR),0)</f>
        <v/>
      </c>
      <c r="BN172" s="13">
        <f>IFERROR(AR172/BD172*(BG172-BASELINE_CPR),0)</f>
        <v/>
      </c>
      <c r="BO172" s="13">
        <f>IFERROR(AS172/BD172*(BG172-BASELINE_CPR),0)</f>
        <v/>
      </c>
      <c r="BP172" s="13">
        <f>IFERROR(AT172/BD172*(BG172-BASELINE_CPR),0)</f>
        <v/>
      </c>
      <c r="BQ172" s="13">
        <f>IFERROR(AU172/BD172*(BG172-BASELINE_CPR),0)</f>
        <v/>
      </c>
      <c r="BR172" s="13">
        <f>IFERROR(AV172/BD172*(BG172-BASELINE_CPR),0)</f>
        <v/>
      </c>
      <c r="BS172" s="13">
        <f>IFERROR(AW172/BD172*(BG172-BASELINE_CPR),0)</f>
        <v/>
      </c>
      <c r="BT172" s="13">
        <f>IFERROR(AX172/BD172*(BG172-BASELINE_CPR),0)</f>
        <v/>
      </c>
      <c r="BU172" s="13">
        <f>IFERROR(AY172/BD172*(BG172-BASELINE_CPR),0)</f>
        <v/>
      </c>
      <c r="BV172" s="13">
        <f>IFERROR(AZ172/BD172*(BG172-BASELINE_CPR),0)</f>
        <v/>
      </c>
      <c r="BW172" s="13">
        <f>IFERROR(BA172/BD172*(BG172-BASELINE_CPR),0)</f>
        <v/>
      </c>
      <c r="BX172" s="13">
        <f>IFERROR(BB172/BD172*(BG172-BASELINE_CPR),0)</f>
        <v/>
      </c>
      <c r="BY172" s="13">
        <f>IFERROR(BC172/BD172*(BG172-BASELINE_CPR),0)</f>
        <v/>
      </c>
      <c r="BZ172" s="28">
        <f>BASELINE_CPR+SUM(BH172:BY172)-BG172</f>
        <v/>
      </c>
    </row>
    <row r="173">
      <c r="A173" s="2" t="inlineStr">
        <is>
          <t>36176KJE8_000000007111253</t>
        </is>
      </c>
      <c r="B173" t="inlineStr">
        <is>
          <t>WELLS_PRE21</t>
        </is>
      </c>
      <c r="C173" s="2" t="inlineStr">
        <is>
          <t>36176KJE8</t>
        </is>
      </c>
      <c r="D173" t="inlineStr">
        <is>
          <t>WELLS FARGO BANK, N.A.</t>
        </is>
      </c>
      <c r="E173" t="inlineStr">
        <is>
          <t>223f</t>
        </is>
      </c>
      <c r="F173" t="inlineStr">
        <is>
          <t>RP</t>
        </is>
      </c>
      <c r="G173" t="n">
        <v>2011</v>
      </c>
      <c r="H173" t="inlineStr">
        <is>
          <t>202602</t>
        </is>
      </c>
      <c r="I173" s="22" t="n">
        <v>1811141.27</v>
      </c>
      <c r="J173" s="23" t="n">
        <v>3.79</v>
      </c>
      <c r="K173" s="24" t="n">
        <v>447</v>
      </c>
      <c r="L173" s="24" t="n">
        <v>0</v>
      </c>
      <c r="M173" t="n">
        <v>172</v>
      </c>
      <c r="N173" t="n">
        <v>40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s="24">
        <f>J173*100-(K173+(1+L173)*12.5)</f>
        <v/>
      </c>
      <c r="U173">
        <f>O173</f>
        <v/>
      </c>
      <c r="V173">
        <f>M173</f>
        <v/>
      </c>
      <c r="W173" s="23">
        <f>LN(1+I173)</f>
        <v/>
      </c>
      <c r="X173">
        <f>IF(G173&gt;=2021,1,0)</f>
        <v/>
      </c>
      <c r="Y173">
        <f>N173</f>
        <v/>
      </c>
      <c r="Z173" s="23">
        <f>IF(ISNUMBER(M173),N173/MAX(M173,1),0)</f>
        <v/>
      </c>
      <c r="AA173">
        <f>P173</f>
        <v/>
      </c>
      <c r="AB173">
        <f>Q173</f>
        <v/>
      </c>
      <c r="AC173">
        <f>R173</f>
        <v/>
      </c>
      <c r="AD173">
        <f>S173</f>
        <v/>
      </c>
      <c r="AE173">
        <f>IF(ISNUMBER(SEARCH("CAPITAL FUNDING",D173)),1,0)</f>
        <v/>
      </c>
      <c r="AF173">
        <f>IF(ISNUMBER(SEARCH("MERCHANTS",D173)),1,0)</f>
        <v/>
      </c>
      <c r="AG173">
        <f>IF(ISNUMBER(SEARCH("WELLS FARGO",D173)),1,0)</f>
        <v/>
      </c>
      <c r="AH173">
        <f>IF(ISNUMBER(SEARCH("WALKER",D173)),1,0)</f>
        <v/>
      </c>
      <c r="AI173">
        <f>IF(ISNUMBER(SEARCH("PNC",D173)),1,0)</f>
        <v/>
      </c>
      <c r="AJ173">
        <f>IF(ISNUMBER(SEARCH("BERKADIA",D173)),1,0)</f>
        <v/>
      </c>
      <c r="AK173">
        <f>IF(ISNUMBER(SEARCH("DWIGHT",D173)),1,0)</f>
        <v/>
      </c>
      <c r="AL173" s="25">
        <f>T$4*(T173-T$3)</f>
        <v/>
      </c>
      <c r="AM173" s="25">
        <f>U$4*(U173-U$3)</f>
        <v/>
      </c>
      <c r="AN173" s="25">
        <f>V$4*(V173-V$3)</f>
        <v/>
      </c>
      <c r="AO173" s="25">
        <f>W$4*(W173-W$3)</f>
        <v/>
      </c>
      <c r="AP173" s="25">
        <f>X$4*(X173-X$3)</f>
        <v/>
      </c>
      <c r="AQ173" s="25">
        <f>Y$4*(Y173-Y$3)</f>
        <v/>
      </c>
      <c r="AR173" s="25">
        <f>Z$4*(Z173-Z$3)</f>
        <v/>
      </c>
      <c r="AS173" s="25">
        <f>AA$4*(AA173-AA$3)</f>
        <v/>
      </c>
      <c r="AT173" s="25">
        <f>AB$4*(AB173-AB$3)</f>
        <v/>
      </c>
      <c r="AU173" s="25">
        <f>AC$4*(AC173-AC$3)</f>
        <v/>
      </c>
      <c r="AV173" s="25">
        <f>AD$4*(AD173-AD$3)</f>
        <v/>
      </c>
      <c r="AW173" s="25">
        <f>AE$4*(AE173-AE$3)</f>
        <v/>
      </c>
      <c r="AX173" s="25">
        <f>AF$4*(AF173-AF$3)</f>
        <v/>
      </c>
      <c r="AY173" s="25">
        <f>AG$4*(AG173-AG$3)</f>
        <v/>
      </c>
      <c r="AZ173" s="25">
        <f>AH$4*(AH173-AH$3)</f>
        <v/>
      </c>
      <c r="BA173" s="25">
        <f>AI$4*(AI173-AI$3)</f>
        <v/>
      </c>
      <c r="BB173" s="25">
        <f>AJ$4*(AJ173-AJ$3)</f>
        <v/>
      </c>
      <c r="BC173" s="25">
        <f>AK$4*(AK173-AK$3)</f>
        <v/>
      </c>
      <c r="BD173" s="26">
        <f>SUM(AL173:BC173)</f>
        <v/>
      </c>
      <c r="BE173" s="26">
        <f>INTERCEPT_SCALED+BD173</f>
        <v/>
      </c>
      <c r="BF173" s="27">
        <f>1/(1+EXP(-BE173))</f>
        <v/>
      </c>
      <c r="BG173" s="13">
        <f>1-(1-BF173)^12</f>
        <v/>
      </c>
      <c r="BH173" s="13">
        <f>IFERROR(AL173/BD173*(BG173-BASELINE_CPR),0)</f>
        <v/>
      </c>
      <c r="BI173" s="13">
        <f>IFERROR(AM173/BD173*(BG173-BASELINE_CPR),0)</f>
        <v/>
      </c>
      <c r="BJ173" s="13">
        <f>IFERROR(AN173/BD173*(BG173-BASELINE_CPR),0)</f>
        <v/>
      </c>
      <c r="BK173" s="13">
        <f>IFERROR(AO173/BD173*(BG173-BASELINE_CPR),0)</f>
        <v/>
      </c>
      <c r="BL173" s="13">
        <f>IFERROR(AP173/BD173*(BG173-BASELINE_CPR),0)</f>
        <v/>
      </c>
      <c r="BM173" s="13">
        <f>IFERROR(AQ173/BD173*(BG173-BASELINE_CPR),0)</f>
        <v/>
      </c>
      <c r="BN173" s="13">
        <f>IFERROR(AR173/BD173*(BG173-BASELINE_CPR),0)</f>
        <v/>
      </c>
      <c r="BO173" s="13">
        <f>IFERROR(AS173/BD173*(BG173-BASELINE_CPR),0)</f>
        <v/>
      </c>
      <c r="BP173" s="13">
        <f>IFERROR(AT173/BD173*(BG173-BASELINE_CPR),0)</f>
        <v/>
      </c>
      <c r="BQ173" s="13">
        <f>IFERROR(AU173/BD173*(BG173-BASELINE_CPR),0)</f>
        <v/>
      </c>
      <c r="BR173" s="13">
        <f>IFERROR(AV173/BD173*(BG173-BASELINE_CPR),0)</f>
        <v/>
      </c>
      <c r="BS173" s="13">
        <f>IFERROR(AW173/BD173*(BG173-BASELINE_CPR),0)</f>
        <v/>
      </c>
      <c r="BT173" s="13">
        <f>IFERROR(AX173/BD173*(BG173-BASELINE_CPR),0)</f>
        <v/>
      </c>
      <c r="BU173" s="13">
        <f>IFERROR(AY173/BD173*(BG173-BASELINE_CPR),0)</f>
        <v/>
      </c>
      <c r="BV173" s="13">
        <f>IFERROR(AZ173/BD173*(BG173-BASELINE_CPR),0)</f>
        <v/>
      </c>
      <c r="BW173" s="13">
        <f>IFERROR(BA173/BD173*(BG173-BASELINE_CPR),0)</f>
        <v/>
      </c>
      <c r="BX173" s="13">
        <f>IFERROR(BB173/BD173*(BG173-BASELINE_CPR),0)</f>
        <v/>
      </c>
      <c r="BY173" s="13">
        <f>IFERROR(BC173/BD173*(BG173-BASELINE_CPR),0)</f>
        <v/>
      </c>
      <c r="BZ173" s="28">
        <f>BASELINE_CPR+SUM(BH173:BY173)-BG173</f>
        <v/>
      </c>
    </row>
    <row r="174">
      <c r="A174" s="2" t="inlineStr">
        <is>
          <t>36181GX38_000000012722118</t>
        </is>
      </c>
      <c r="B174" t="inlineStr">
        <is>
          <t>WELLS_PRE21</t>
        </is>
      </c>
      <c r="C174" s="2" t="inlineStr">
        <is>
          <t>36181GX38</t>
        </is>
      </c>
      <c r="D174" t="inlineStr">
        <is>
          <t>WELLS FARGO BANK, N.A.</t>
        </is>
      </c>
      <c r="E174" t="inlineStr">
        <is>
          <t>232</t>
        </is>
      </c>
      <c r="F174" t="inlineStr">
        <is>
          <t>RP</t>
        </is>
      </c>
      <c r="G174" t="n">
        <v>2013</v>
      </c>
      <c r="H174" t="inlineStr">
        <is>
          <t>202602</t>
        </is>
      </c>
      <c r="I174" s="22" t="n">
        <v>2447684.27</v>
      </c>
      <c r="J174" s="23" t="n">
        <v>4.5</v>
      </c>
      <c r="K174" s="24" t="n">
        <v>447</v>
      </c>
      <c r="L174" s="24" t="n">
        <v>0</v>
      </c>
      <c r="M174" t="n">
        <v>146</v>
      </c>
      <c r="N174" t="n">
        <v>45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s="24">
        <f>J174*100-(K174+(1+L174)*12.5)</f>
        <v/>
      </c>
      <c r="U174">
        <f>O174</f>
        <v/>
      </c>
      <c r="V174">
        <f>M174</f>
        <v/>
      </c>
      <c r="W174" s="23">
        <f>LN(1+I174)</f>
        <v/>
      </c>
      <c r="X174">
        <f>IF(G174&gt;=2021,1,0)</f>
        <v/>
      </c>
      <c r="Y174">
        <f>N174</f>
        <v/>
      </c>
      <c r="Z174" s="23">
        <f>IF(ISNUMBER(M174),N174/MAX(M174,1),0)</f>
        <v/>
      </c>
      <c r="AA174">
        <f>P174</f>
        <v/>
      </c>
      <c r="AB174">
        <f>Q174</f>
        <v/>
      </c>
      <c r="AC174">
        <f>R174</f>
        <v/>
      </c>
      <c r="AD174">
        <f>S174</f>
        <v/>
      </c>
      <c r="AE174">
        <f>IF(ISNUMBER(SEARCH("CAPITAL FUNDING",D174)),1,0)</f>
        <v/>
      </c>
      <c r="AF174">
        <f>IF(ISNUMBER(SEARCH("MERCHANTS",D174)),1,0)</f>
        <v/>
      </c>
      <c r="AG174">
        <f>IF(ISNUMBER(SEARCH("WELLS FARGO",D174)),1,0)</f>
        <v/>
      </c>
      <c r="AH174">
        <f>IF(ISNUMBER(SEARCH("WALKER",D174)),1,0)</f>
        <v/>
      </c>
      <c r="AI174">
        <f>IF(ISNUMBER(SEARCH("PNC",D174)),1,0)</f>
        <v/>
      </c>
      <c r="AJ174">
        <f>IF(ISNUMBER(SEARCH("BERKADIA",D174)),1,0)</f>
        <v/>
      </c>
      <c r="AK174">
        <f>IF(ISNUMBER(SEARCH("DWIGHT",D174)),1,0)</f>
        <v/>
      </c>
      <c r="AL174" s="25">
        <f>T$4*(T174-T$3)</f>
        <v/>
      </c>
      <c r="AM174" s="25">
        <f>U$4*(U174-U$3)</f>
        <v/>
      </c>
      <c r="AN174" s="25">
        <f>V$4*(V174-V$3)</f>
        <v/>
      </c>
      <c r="AO174" s="25">
        <f>W$4*(W174-W$3)</f>
        <v/>
      </c>
      <c r="AP174" s="25">
        <f>X$4*(X174-X$3)</f>
        <v/>
      </c>
      <c r="AQ174" s="25">
        <f>Y$4*(Y174-Y$3)</f>
        <v/>
      </c>
      <c r="AR174" s="25">
        <f>Z$4*(Z174-Z$3)</f>
        <v/>
      </c>
      <c r="AS174" s="25">
        <f>AA$4*(AA174-AA$3)</f>
        <v/>
      </c>
      <c r="AT174" s="25">
        <f>AB$4*(AB174-AB$3)</f>
        <v/>
      </c>
      <c r="AU174" s="25">
        <f>AC$4*(AC174-AC$3)</f>
        <v/>
      </c>
      <c r="AV174" s="25">
        <f>AD$4*(AD174-AD$3)</f>
        <v/>
      </c>
      <c r="AW174" s="25">
        <f>AE$4*(AE174-AE$3)</f>
        <v/>
      </c>
      <c r="AX174" s="25">
        <f>AF$4*(AF174-AF$3)</f>
        <v/>
      </c>
      <c r="AY174" s="25">
        <f>AG$4*(AG174-AG$3)</f>
        <v/>
      </c>
      <c r="AZ174" s="25">
        <f>AH$4*(AH174-AH$3)</f>
        <v/>
      </c>
      <c r="BA174" s="25">
        <f>AI$4*(AI174-AI$3)</f>
        <v/>
      </c>
      <c r="BB174" s="25">
        <f>AJ$4*(AJ174-AJ$3)</f>
        <v/>
      </c>
      <c r="BC174" s="25">
        <f>AK$4*(AK174-AK$3)</f>
        <v/>
      </c>
      <c r="BD174" s="26">
        <f>SUM(AL174:BC174)</f>
        <v/>
      </c>
      <c r="BE174" s="26">
        <f>INTERCEPT_SCALED+BD174</f>
        <v/>
      </c>
      <c r="BF174" s="27">
        <f>1/(1+EXP(-BE174))</f>
        <v/>
      </c>
      <c r="BG174" s="13">
        <f>1-(1-BF174)^12</f>
        <v/>
      </c>
      <c r="BH174" s="13">
        <f>IFERROR(AL174/BD174*(BG174-BASELINE_CPR),0)</f>
        <v/>
      </c>
      <c r="BI174" s="13">
        <f>IFERROR(AM174/BD174*(BG174-BASELINE_CPR),0)</f>
        <v/>
      </c>
      <c r="BJ174" s="13">
        <f>IFERROR(AN174/BD174*(BG174-BASELINE_CPR),0)</f>
        <v/>
      </c>
      <c r="BK174" s="13">
        <f>IFERROR(AO174/BD174*(BG174-BASELINE_CPR),0)</f>
        <v/>
      </c>
      <c r="BL174" s="13">
        <f>IFERROR(AP174/BD174*(BG174-BASELINE_CPR),0)</f>
        <v/>
      </c>
      <c r="BM174" s="13">
        <f>IFERROR(AQ174/BD174*(BG174-BASELINE_CPR),0)</f>
        <v/>
      </c>
      <c r="BN174" s="13">
        <f>IFERROR(AR174/BD174*(BG174-BASELINE_CPR),0)</f>
        <v/>
      </c>
      <c r="BO174" s="13">
        <f>IFERROR(AS174/BD174*(BG174-BASELINE_CPR),0)</f>
        <v/>
      </c>
      <c r="BP174" s="13">
        <f>IFERROR(AT174/BD174*(BG174-BASELINE_CPR),0)</f>
        <v/>
      </c>
      <c r="BQ174" s="13">
        <f>IFERROR(AU174/BD174*(BG174-BASELINE_CPR),0)</f>
        <v/>
      </c>
      <c r="BR174" s="13">
        <f>IFERROR(AV174/BD174*(BG174-BASELINE_CPR),0)</f>
        <v/>
      </c>
      <c r="BS174" s="13">
        <f>IFERROR(AW174/BD174*(BG174-BASELINE_CPR),0)</f>
        <v/>
      </c>
      <c r="BT174" s="13">
        <f>IFERROR(AX174/BD174*(BG174-BASELINE_CPR),0)</f>
        <v/>
      </c>
      <c r="BU174" s="13">
        <f>IFERROR(AY174/BD174*(BG174-BASELINE_CPR),0)</f>
        <v/>
      </c>
      <c r="BV174" s="13">
        <f>IFERROR(AZ174/BD174*(BG174-BASELINE_CPR),0)</f>
        <v/>
      </c>
      <c r="BW174" s="13">
        <f>IFERROR(BA174/BD174*(BG174-BASELINE_CPR),0)</f>
        <v/>
      </c>
      <c r="BX174" s="13">
        <f>IFERROR(BB174/BD174*(BG174-BASELINE_CPR),0)</f>
        <v/>
      </c>
      <c r="BY174" s="13">
        <f>IFERROR(BC174/BD174*(BG174-BASELINE_CPR),0)</f>
        <v/>
      </c>
      <c r="BZ174" s="28">
        <f>BASELINE_CPR+SUM(BH174:BY174)-BG174</f>
        <v/>
      </c>
    </row>
    <row r="175">
      <c r="A175" s="2" t="inlineStr">
        <is>
          <t>36179J4C8_000000008235439</t>
        </is>
      </c>
      <c r="B175" t="inlineStr">
        <is>
          <t>WELLS_PRE21</t>
        </is>
      </c>
      <c r="C175" s="2" t="inlineStr">
        <is>
          <t>36179J4C8</t>
        </is>
      </c>
      <c r="D175" t="inlineStr">
        <is>
          <t>WELLS FARGO BANK, N.A.</t>
        </is>
      </c>
      <c r="E175" t="inlineStr">
        <is>
          <t>221d4</t>
        </is>
      </c>
      <c r="F175" t="inlineStr">
        <is>
          <t>RP</t>
        </is>
      </c>
      <c r="G175" t="n">
        <v>2013</v>
      </c>
      <c r="H175" t="inlineStr">
        <is>
          <t>202602</t>
        </is>
      </c>
      <c r="I175" s="22" t="n">
        <v>827917.08</v>
      </c>
      <c r="J175" s="23" t="n">
        <v>3.17</v>
      </c>
      <c r="K175" s="24" t="n">
        <v>447</v>
      </c>
      <c r="L175" s="24" t="n">
        <v>0</v>
      </c>
      <c r="M175" t="n">
        <v>154</v>
      </c>
      <c r="N175" t="n">
        <v>30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s="24">
        <f>J175*100-(K175+(1+L175)*12.5)</f>
        <v/>
      </c>
      <c r="U175">
        <f>O175</f>
        <v/>
      </c>
      <c r="V175">
        <f>M175</f>
        <v/>
      </c>
      <c r="W175" s="23">
        <f>LN(1+I175)</f>
        <v/>
      </c>
      <c r="X175">
        <f>IF(G175&gt;=2021,1,0)</f>
        <v/>
      </c>
      <c r="Y175">
        <f>N175</f>
        <v/>
      </c>
      <c r="Z175" s="23">
        <f>IF(ISNUMBER(M175),N175/MAX(M175,1),0)</f>
        <v/>
      </c>
      <c r="AA175">
        <f>P175</f>
        <v/>
      </c>
      <c r="AB175">
        <f>Q175</f>
        <v/>
      </c>
      <c r="AC175">
        <f>R175</f>
        <v/>
      </c>
      <c r="AD175">
        <f>S175</f>
        <v/>
      </c>
      <c r="AE175">
        <f>IF(ISNUMBER(SEARCH("CAPITAL FUNDING",D175)),1,0)</f>
        <v/>
      </c>
      <c r="AF175">
        <f>IF(ISNUMBER(SEARCH("MERCHANTS",D175)),1,0)</f>
        <v/>
      </c>
      <c r="AG175">
        <f>IF(ISNUMBER(SEARCH("WELLS FARGO",D175)),1,0)</f>
        <v/>
      </c>
      <c r="AH175">
        <f>IF(ISNUMBER(SEARCH("WALKER",D175)),1,0)</f>
        <v/>
      </c>
      <c r="AI175">
        <f>IF(ISNUMBER(SEARCH("PNC",D175)),1,0)</f>
        <v/>
      </c>
      <c r="AJ175">
        <f>IF(ISNUMBER(SEARCH("BERKADIA",D175)),1,0)</f>
        <v/>
      </c>
      <c r="AK175">
        <f>IF(ISNUMBER(SEARCH("DWIGHT",D175)),1,0)</f>
        <v/>
      </c>
      <c r="AL175" s="25">
        <f>T$4*(T175-T$3)</f>
        <v/>
      </c>
      <c r="AM175" s="25">
        <f>U$4*(U175-U$3)</f>
        <v/>
      </c>
      <c r="AN175" s="25">
        <f>V$4*(V175-V$3)</f>
        <v/>
      </c>
      <c r="AO175" s="25">
        <f>W$4*(W175-W$3)</f>
        <v/>
      </c>
      <c r="AP175" s="25">
        <f>X$4*(X175-X$3)</f>
        <v/>
      </c>
      <c r="AQ175" s="25">
        <f>Y$4*(Y175-Y$3)</f>
        <v/>
      </c>
      <c r="AR175" s="25">
        <f>Z$4*(Z175-Z$3)</f>
        <v/>
      </c>
      <c r="AS175" s="25">
        <f>AA$4*(AA175-AA$3)</f>
        <v/>
      </c>
      <c r="AT175" s="25">
        <f>AB$4*(AB175-AB$3)</f>
        <v/>
      </c>
      <c r="AU175" s="25">
        <f>AC$4*(AC175-AC$3)</f>
        <v/>
      </c>
      <c r="AV175" s="25">
        <f>AD$4*(AD175-AD$3)</f>
        <v/>
      </c>
      <c r="AW175" s="25">
        <f>AE$4*(AE175-AE$3)</f>
        <v/>
      </c>
      <c r="AX175" s="25">
        <f>AF$4*(AF175-AF$3)</f>
        <v/>
      </c>
      <c r="AY175" s="25">
        <f>AG$4*(AG175-AG$3)</f>
        <v/>
      </c>
      <c r="AZ175" s="25">
        <f>AH$4*(AH175-AH$3)</f>
        <v/>
      </c>
      <c r="BA175" s="25">
        <f>AI$4*(AI175-AI$3)</f>
        <v/>
      </c>
      <c r="BB175" s="25">
        <f>AJ$4*(AJ175-AJ$3)</f>
        <v/>
      </c>
      <c r="BC175" s="25">
        <f>AK$4*(AK175-AK$3)</f>
        <v/>
      </c>
      <c r="BD175" s="26">
        <f>SUM(AL175:BC175)</f>
        <v/>
      </c>
      <c r="BE175" s="26">
        <f>INTERCEPT_SCALED+BD175</f>
        <v/>
      </c>
      <c r="BF175" s="27">
        <f>1/(1+EXP(-BE175))</f>
        <v/>
      </c>
      <c r="BG175" s="13">
        <f>1-(1-BF175)^12</f>
        <v/>
      </c>
      <c r="BH175" s="13">
        <f>IFERROR(AL175/BD175*(BG175-BASELINE_CPR),0)</f>
        <v/>
      </c>
      <c r="BI175" s="13">
        <f>IFERROR(AM175/BD175*(BG175-BASELINE_CPR),0)</f>
        <v/>
      </c>
      <c r="BJ175" s="13">
        <f>IFERROR(AN175/BD175*(BG175-BASELINE_CPR),0)</f>
        <v/>
      </c>
      <c r="BK175" s="13">
        <f>IFERROR(AO175/BD175*(BG175-BASELINE_CPR),0)</f>
        <v/>
      </c>
      <c r="BL175" s="13">
        <f>IFERROR(AP175/BD175*(BG175-BASELINE_CPR),0)</f>
        <v/>
      </c>
      <c r="BM175" s="13">
        <f>IFERROR(AQ175/BD175*(BG175-BASELINE_CPR),0)</f>
        <v/>
      </c>
      <c r="BN175" s="13">
        <f>IFERROR(AR175/BD175*(BG175-BASELINE_CPR),0)</f>
        <v/>
      </c>
      <c r="BO175" s="13">
        <f>IFERROR(AS175/BD175*(BG175-BASELINE_CPR),0)</f>
        <v/>
      </c>
      <c r="BP175" s="13">
        <f>IFERROR(AT175/BD175*(BG175-BASELINE_CPR),0)</f>
        <v/>
      </c>
      <c r="BQ175" s="13">
        <f>IFERROR(AU175/BD175*(BG175-BASELINE_CPR),0)</f>
        <v/>
      </c>
      <c r="BR175" s="13">
        <f>IFERROR(AV175/BD175*(BG175-BASELINE_CPR),0)</f>
        <v/>
      </c>
      <c r="BS175" s="13">
        <f>IFERROR(AW175/BD175*(BG175-BASELINE_CPR),0)</f>
        <v/>
      </c>
      <c r="BT175" s="13">
        <f>IFERROR(AX175/BD175*(BG175-BASELINE_CPR),0)</f>
        <v/>
      </c>
      <c r="BU175" s="13">
        <f>IFERROR(AY175/BD175*(BG175-BASELINE_CPR),0)</f>
        <v/>
      </c>
      <c r="BV175" s="13">
        <f>IFERROR(AZ175/BD175*(BG175-BASELINE_CPR),0)</f>
        <v/>
      </c>
      <c r="BW175" s="13">
        <f>IFERROR(BA175/BD175*(BG175-BASELINE_CPR),0)</f>
        <v/>
      </c>
      <c r="BX175" s="13">
        <f>IFERROR(BB175/BD175*(BG175-BASELINE_CPR),0)</f>
        <v/>
      </c>
      <c r="BY175" s="13">
        <f>IFERROR(BC175/BD175*(BG175-BASELINE_CPR),0)</f>
        <v/>
      </c>
      <c r="BZ175" s="28">
        <f>BASELINE_CPR+SUM(BH175:BY175)-BG175</f>
        <v/>
      </c>
    </row>
    <row r="176">
      <c r="A176" s="2" t="inlineStr">
        <is>
          <t>36177MXR8_000000005211167</t>
        </is>
      </c>
      <c r="B176" t="inlineStr">
        <is>
          <t>WELLS_PRE21</t>
        </is>
      </c>
      <c r="C176" s="2" t="inlineStr">
        <is>
          <t>36177MXR8</t>
        </is>
      </c>
      <c r="D176" t="inlineStr">
        <is>
          <t>WELLS FARGO BANK, N.A.</t>
        </is>
      </c>
      <c r="E176" t="inlineStr">
        <is>
          <t>223f</t>
        </is>
      </c>
      <c r="F176" t="inlineStr">
        <is>
          <t>RP</t>
        </is>
      </c>
      <c r="G176" t="n">
        <v>2012</v>
      </c>
      <c r="H176" t="inlineStr">
        <is>
          <t>202602</t>
        </is>
      </c>
      <c r="I176" s="22" t="n">
        <v>3497280.04</v>
      </c>
      <c r="J176" s="23" t="n">
        <v>2.71</v>
      </c>
      <c r="K176" s="24" t="n">
        <v>447</v>
      </c>
      <c r="L176" s="24" t="n">
        <v>0</v>
      </c>
      <c r="M176" t="n">
        <v>164</v>
      </c>
      <c r="N176" t="n">
        <v>25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s="24">
        <f>J176*100-(K176+(1+L176)*12.5)</f>
        <v/>
      </c>
      <c r="U176">
        <f>O176</f>
        <v/>
      </c>
      <c r="V176">
        <f>M176</f>
        <v/>
      </c>
      <c r="W176" s="23">
        <f>LN(1+I176)</f>
        <v/>
      </c>
      <c r="X176">
        <f>IF(G176&gt;=2021,1,0)</f>
        <v/>
      </c>
      <c r="Y176">
        <f>N176</f>
        <v/>
      </c>
      <c r="Z176" s="23">
        <f>IF(ISNUMBER(M176),N176/MAX(M176,1),0)</f>
        <v/>
      </c>
      <c r="AA176">
        <f>P176</f>
        <v/>
      </c>
      <c r="AB176">
        <f>Q176</f>
        <v/>
      </c>
      <c r="AC176">
        <f>R176</f>
        <v/>
      </c>
      <c r="AD176">
        <f>S176</f>
        <v/>
      </c>
      <c r="AE176">
        <f>IF(ISNUMBER(SEARCH("CAPITAL FUNDING",D176)),1,0)</f>
        <v/>
      </c>
      <c r="AF176">
        <f>IF(ISNUMBER(SEARCH("MERCHANTS",D176)),1,0)</f>
        <v/>
      </c>
      <c r="AG176">
        <f>IF(ISNUMBER(SEARCH("WELLS FARGO",D176)),1,0)</f>
        <v/>
      </c>
      <c r="AH176">
        <f>IF(ISNUMBER(SEARCH("WALKER",D176)),1,0)</f>
        <v/>
      </c>
      <c r="AI176">
        <f>IF(ISNUMBER(SEARCH("PNC",D176)),1,0)</f>
        <v/>
      </c>
      <c r="AJ176">
        <f>IF(ISNUMBER(SEARCH("BERKADIA",D176)),1,0)</f>
        <v/>
      </c>
      <c r="AK176">
        <f>IF(ISNUMBER(SEARCH("DWIGHT",D176)),1,0)</f>
        <v/>
      </c>
      <c r="AL176" s="25">
        <f>T$4*(T176-T$3)</f>
        <v/>
      </c>
      <c r="AM176" s="25">
        <f>U$4*(U176-U$3)</f>
        <v/>
      </c>
      <c r="AN176" s="25">
        <f>V$4*(V176-V$3)</f>
        <v/>
      </c>
      <c r="AO176" s="25">
        <f>W$4*(W176-W$3)</f>
        <v/>
      </c>
      <c r="AP176" s="25">
        <f>X$4*(X176-X$3)</f>
        <v/>
      </c>
      <c r="AQ176" s="25">
        <f>Y$4*(Y176-Y$3)</f>
        <v/>
      </c>
      <c r="AR176" s="25">
        <f>Z$4*(Z176-Z$3)</f>
        <v/>
      </c>
      <c r="AS176" s="25">
        <f>AA$4*(AA176-AA$3)</f>
        <v/>
      </c>
      <c r="AT176" s="25">
        <f>AB$4*(AB176-AB$3)</f>
        <v/>
      </c>
      <c r="AU176" s="25">
        <f>AC$4*(AC176-AC$3)</f>
        <v/>
      </c>
      <c r="AV176" s="25">
        <f>AD$4*(AD176-AD$3)</f>
        <v/>
      </c>
      <c r="AW176" s="25">
        <f>AE$4*(AE176-AE$3)</f>
        <v/>
      </c>
      <c r="AX176" s="25">
        <f>AF$4*(AF176-AF$3)</f>
        <v/>
      </c>
      <c r="AY176" s="25">
        <f>AG$4*(AG176-AG$3)</f>
        <v/>
      </c>
      <c r="AZ176" s="25">
        <f>AH$4*(AH176-AH$3)</f>
        <v/>
      </c>
      <c r="BA176" s="25">
        <f>AI$4*(AI176-AI$3)</f>
        <v/>
      </c>
      <c r="BB176" s="25">
        <f>AJ$4*(AJ176-AJ$3)</f>
        <v/>
      </c>
      <c r="BC176" s="25">
        <f>AK$4*(AK176-AK$3)</f>
        <v/>
      </c>
      <c r="BD176" s="26">
        <f>SUM(AL176:BC176)</f>
        <v/>
      </c>
      <c r="BE176" s="26">
        <f>INTERCEPT_SCALED+BD176</f>
        <v/>
      </c>
      <c r="BF176" s="27">
        <f>1/(1+EXP(-BE176))</f>
        <v/>
      </c>
      <c r="BG176" s="13">
        <f>1-(1-BF176)^12</f>
        <v/>
      </c>
      <c r="BH176" s="13">
        <f>IFERROR(AL176/BD176*(BG176-BASELINE_CPR),0)</f>
        <v/>
      </c>
      <c r="BI176" s="13">
        <f>IFERROR(AM176/BD176*(BG176-BASELINE_CPR),0)</f>
        <v/>
      </c>
      <c r="BJ176" s="13">
        <f>IFERROR(AN176/BD176*(BG176-BASELINE_CPR),0)</f>
        <v/>
      </c>
      <c r="BK176" s="13">
        <f>IFERROR(AO176/BD176*(BG176-BASELINE_CPR),0)</f>
        <v/>
      </c>
      <c r="BL176" s="13">
        <f>IFERROR(AP176/BD176*(BG176-BASELINE_CPR),0)</f>
        <v/>
      </c>
      <c r="BM176" s="13">
        <f>IFERROR(AQ176/BD176*(BG176-BASELINE_CPR),0)</f>
        <v/>
      </c>
      <c r="BN176" s="13">
        <f>IFERROR(AR176/BD176*(BG176-BASELINE_CPR),0)</f>
        <v/>
      </c>
      <c r="BO176" s="13">
        <f>IFERROR(AS176/BD176*(BG176-BASELINE_CPR),0)</f>
        <v/>
      </c>
      <c r="BP176" s="13">
        <f>IFERROR(AT176/BD176*(BG176-BASELINE_CPR),0)</f>
        <v/>
      </c>
      <c r="BQ176" s="13">
        <f>IFERROR(AU176/BD176*(BG176-BASELINE_CPR),0)</f>
        <v/>
      </c>
      <c r="BR176" s="13">
        <f>IFERROR(AV176/BD176*(BG176-BASELINE_CPR),0)</f>
        <v/>
      </c>
      <c r="BS176" s="13">
        <f>IFERROR(AW176/BD176*(BG176-BASELINE_CPR),0)</f>
        <v/>
      </c>
      <c r="BT176" s="13">
        <f>IFERROR(AX176/BD176*(BG176-BASELINE_CPR),0)</f>
        <v/>
      </c>
      <c r="BU176" s="13">
        <f>IFERROR(AY176/BD176*(BG176-BASELINE_CPR),0)</f>
        <v/>
      </c>
      <c r="BV176" s="13">
        <f>IFERROR(AZ176/BD176*(BG176-BASELINE_CPR),0)</f>
        <v/>
      </c>
      <c r="BW176" s="13">
        <f>IFERROR(BA176/BD176*(BG176-BASELINE_CPR),0)</f>
        <v/>
      </c>
      <c r="BX176" s="13">
        <f>IFERROR(BB176/BD176*(BG176-BASELINE_CPR),0)</f>
        <v/>
      </c>
      <c r="BY176" s="13">
        <f>IFERROR(BC176/BD176*(BG176-BASELINE_CPR),0)</f>
        <v/>
      </c>
      <c r="BZ176" s="28">
        <f>BASELINE_CPR+SUM(BH176:BY176)-BG176</f>
        <v/>
      </c>
    </row>
    <row r="177">
      <c r="A177" s="2" t="inlineStr">
        <is>
          <t>3617MPEM6_000000014335134</t>
        </is>
      </c>
      <c r="B177" t="inlineStr">
        <is>
          <t>WELLS_PRE21</t>
        </is>
      </c>
      <c r="C177" s="2" t="inlineStr">
        <is>
          <t>3617MPEM6</t>
        </is>
      </c>
      <c r="D177" t="inlineStr">
        <is>
          <t>WELLS FARGO BANK, N.A.</t>
        </is>
      </c>
      <c r="E177" t="inlineStr">
        <is>
          <t>221d4</t>
        </is>
      </c>
      <c r="F177" t="inlineStr">
        <is>
          <t>NC</t>
        </is>
      </c>
      <c r="G177" t="n">
        <v>2020</v>
      </c>
      <c r="H177" t="inlineStr">
        <is>
          <t>202602</t>
        </is>
      </c>
      <c r="I177" s="22" t="n">
        <v>44900623.16</v>
      </c>
      <c r="J177" s="23" t="n">
        <v>2.88</v>
      </c>
      <c r="K177" s="24" t="n">
        <v>447</v>
      </c>
      <c r="L177" s="24" t="n">
        <v>7</v>
      </c>
      <c r="M177" t="n">
        <v>70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s="24">
        <f>J177*100-(K177+(1+L177)*12.5)</f>
        <v/>
      </c>
      <c r="U177">
        <f>O177</f>
        <v/>
      </c>
      <c r="V177">
        <f>M177</f>
        <v/>
      </c>
      <c r="W177" s="23">
        <f>LN(1+I177)</f>
        <v/>
      </c>
      <c r="X177">
        <f>IF(G177&gt;=2021,1,0)</f>
        <v/>
      </c>
      <c r="Y177">
        <f>N177</f>
        <v/>
      </c>
      <c r="Z177" s="23">
        <f>IF(ISNUMBER(M177),N177/MAX(M177,1),0)</f>
        <v/>
      </c>
      <c r="AA177">
        <f>P177</f>
        <v/>
      </c>
      <c r="AB177">
        <f>Q177</f>
        <v/>
      </c>
      <c r="AC177">
        <f>R177</f>
        <v/>
      </c>
      <c r="AD177">
        <f>S177</f>
        <v/>
      </c>
      <c r="AE177">
        <f>IF(ISNUMBER(SEARCH("CAPITAL FUNDING",D177)),1,0)</f>
        <v/>
      </c>
      <c r="AF177">
        <f>IF(ISNUMBER(SEARCH("MERCHANTS",D177)),1,0)</f>
        <v/>
      </c>
      <c r="AG177">
        <f>IF(ISNUMBER(SEARCH("WELLS FARGO",D177)),1,0)</f>
        <v/>
      </c>
      <c r="AH177">
        <f>IF(ISNUMBER(SEARCH("WALKER",D177)),1,0)</f>
        <v/>
      </c>
      <c r="AI177">
        <f>IF(ISNUMBER(SEARCH("PNC",D177)),1,0)</f>
        <v/>
      </c>
      <c r="AJ177">
        <f>IF(ISNUMBER(SEARCH("BERKADIA",D177)),1,0)</f>
        <v/>
      </c>
      <c r="AK177">
        <f>IF(ISNUMBER(SEARCH("DWIGHT",D177)),1,0)</f>
        <v/>
      </c>
      <c r="AL177" s="25">
        <f>T$4*(T177-T$3)</f>
        <v/>
      </c>
      <c r="AM177" s="25">
        <f>U$4*(U177-U$3)</f>
        <v/>
      </c>
      <c r="AN177" s="25">
        <f>V$4*(V177-V$3)</f>
        <v/>
      </c>
      <c r="AO177" s="25">
        <f>W$4*(W177-W$3)</f>
        <v/>
      </c>
      <c r="AP177" s="25">
        <f>X$4*(X177-X$3)</f>
        <v/>
      </c>
      <c r="AQ177" s="25">
        <f>Y$4*(Y177-Y$3)</f>
        <v/>
      </c>
      <c r="AR177" s="25">
        <f>Z$4*(Z177-Z$3)</f>
        <v/>
      </c>
      <c r="AS177" s="25">
        <f>AA$4*(AA177-AA$3)</f>
        <v/>
      </c>
      <c r="AT177" s="25">
        <f>AB$4*(AB177-AB$3)</f>
        <v/>
      </c>
      <c r="AU177" s="25">
        <f>AC$4*(AC177-AC$3)</f>
        <v/>
      </c>
      <c r="AV177" s="25">
        <f>AD$4*(AD177-AD$3)</f>
        <v/>
      </c>
      <c r="AW177" s="25">
        <f>AE$4*(AE177-AE$3)</f>
        <v/>
      </c>
      <c r="AX177" s="25">
        <f>AF$4*(AF177-AF$3)</f>
        <v/>
      </c>
      <c r="AY177" s="25">
        <f>AG$4*(AG177-AG$3)</f>
        <v/>
      </c>
      <c r="AZ177" s="25">
        <f>AH$4*(AH177-AH$3)</f>
        <v/>
      </c>
      <c r="BA177" s="25">
        <f>AI$4*(AI177-AI$3)</f>
        <v/>
      </c>
      <c r="BB177" s="25">
        <f>AJ$4*(AJ177-AJ$3)</f>
        <v/>
      </c>
      <c r="BC177" s="25">
        <f>AK$4*(AK177-AK$3)</f>
        <v/>
      </c>
      <c r="BD177" s="26">
        <f>SUM(AL177:BC177)</f>
        <v/>
      </c>
      <c r="BE177" s="26">
        <f>INTERCEPT_SCALED+BD177</f>
        <v/>
      </c>
      <c r="BF177" s="27">
        <f>1/(1+EXP(-BE177))</f>
        <v/>
      </c>
      <c r="BG177" s="13">
        <f>1-(1-BF177)^12</f>
        <v/>
      </c>
      <c r="BH177" s="13">
        <f>IFERROR(AL177/BD177*(BG177-BASELINE_CPR),0)</f>
        <v/>
      </c>
      <c r="BI177" s="13">
        <f>IFERROR(AM177/BD177*(BG177-BASELINE_CPR),0)</f>
        <v/>
      </c>
      <c r="BJ177" s="13">
        <f>IFERROR(AN177/BD177*(BG177-BASELINE_CPR),0)</f>
        <v/>
      </c>
      <c r="BK177" s="13">
        <f>IFERROR(AO177/BD177*(BG177-BASELINE_CPR),0)</f>
        <v/>
      </c>
      <c r="BL177" s="13">
        <f>IFERROR(AP177/BD177*(BG177-BASELINE_CPR),0)</f>
        <v/>
      </c>
      <c r="BM177" s="13">
        <f>IFERROR(AQ177/BD177*(BG177-BASELINE_CPR),0)</f>
        <v/>
      </c>
      <c r="BN177" s="13">
        <f>IFERROR(AR177/BD177*(BG177-BASELINE_CPR),0)</f>
        <v/>
      </c>
      <c r="BO177" s="13">
        <f>IFERROR(AS177/BD177*(BG177-BASELINE_CPR),0)</f>
        <v/>
      </c>
      <c r="BP177" s="13">
        <f>IFERROR(AT177/BD177*(BG177-BASELINE_CPR),0)</f>
        <v/>
      </c>
      <c r="BQ177" s="13">
        <f>IFERROR(AU177/BD177*(BG177-BASELINE_CPR),0)</f>
        <v/>
      </c>
      <c r="BR177" s="13">
        <f>IFERROR(AV177/BD177*(BG177-BASELINE_CPR),0)</f>
        <v/>
      </c>
      <c r="BS177" s="13">
        <f>IFERROR(AW177/BD177*(BG177-BASELINE_CPR),0)</f>
        <v/>
      </c>
      <c r="BT177" s="13">
        <f>IFERROR(AX177/BD177*(BG177-BASELINE_CPR),0)</f>
        <v/>
      </c>
      <c r="BU177" s="13">
        <f>IFERROR(AY177/BD177*(BG177-BASELINE_CPR),0)</f>
        <v/>
      </c>
      <c r="BV177" s="13">
        <f>IFERROR(AZ177/BD177*(BG177-BASELINE_CPR),0)</f>
        <v/>
      </c>
      <c r="BW177" s="13">
        <f>IFERROR(BA177/BD177*(BG177-BASELINE_CPR),0)</f>
        <v/>
      </c>
      <c r="BX177" s="13">
        <f>IFERROR(BB177/BD177*(BG177-BASELINE_CPR),0)</f>
        <v/>
      </c>
      <c r="BY177" s="13">
        <f>IFERROR(BC177/BD177*(BG177-BASELINE_CPR),0)</f>
        <v/>
      </c>
      <c r="BZ177" s="28">
        <f>BASELINE_CPR+SUM(BH177:BY177)-BG177</f>
        <v/>
      </c>
    </row>
    <row r="178">
      <c r="A178" s="2" t="inlineStr">
        <is>
          <t>3617QULC5_000000005235605</t>
        </is>
      </c>
      <c r="B178" t="inlineStr">
        <is>
          <t>WELLS_PRE21</t>
        </is>
      </c>
      <c r="C178" s="2" t="inlineStr">
        <is>
          <t>3617QULC5</t>
        </is>
      </c>
      <c r="D178" t="inlineStr">
        <is>
          <t>WELLS FARGO BANK, N.A.</t>
        </is>
      </c>
      <c r="E178" t="inlineStr">
        <is>
          <t>221d4</t>
        </is>
      </c>
      <c r="F178" t="inlineStr">
        <is>
          <t>RP</t>
        </is>
      </c>
      <c r="G178" t="n">
        <v>2003</v>
      </c>
      <c r="H178" t="inlineStr">
        <is>
          <t>202602</t>
        </is>
      </c>
      <c r="I178" s="22" t="n">
        <v>436898.39</v>
      </c>
      <c r="J178" s="23" t="n">
        <v>2.3</v>
      </c>
      <c r="K178" s="24" t="n">
        <v>447</v>
      </c>
      <c r="L178" s="24" t="n">
        <v>5</v>
      </c>
      <c r="M178" t="n">
        <v>269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s="24">
        <f>J178*100-(K178+(1+L178)*12.5)</f>
        <v/>
      </c>
      <c r="U178">
        <f>O178</f>
        <v/>
      </c>
      <c r="V178">
        <f>M178</f>
        <v/>
      </c>
      <c r="W178" s="23">
        <f>LN(1+I178)</f>
        <v/>
      </c>
      <c r="X178">
        <f>IF(G178&gt;=2021,1,0)</f>
        <v/>
      </c>
      <c r="Y178">
        <f>N178</f>
        <v/>
      </c>
      <c r="Z178" s="23">
        <f>IF(ISNUMBER(M178),N178/MAX(M178,1),0)</f>
        <v/>
      </c>
      <c r="AA178">
        <f>P178</f>
        <v/>
      </c>
      <c r="AB178">
        <f>Q178</f>
        <v/>
      </c>
      <c r="AC178">
        <f>R178</f>
        <v/>
      </c>
      <c r="AD178">
        <f>S178</f>
        <v/>
      </c>
      <c r="AE178">
        <f>IF(ISNUMBER(SEARCH("CAPITAL FUNDING",D178)),1,0)</f>
        <v/>
      </c>
      <c r="AF178">
        <f>IF(ISNUMBER(SEARCH("MERCHANTS",D178)),1,0)</f>
        <v/>
      </c>
      <c r="AG178">
        <f>IF(ISNUMBER(SEARCH("WELLS FARGO",D178)),1,0)</f>
        <v/>
      </c>
      <c r="AH178">
        <f>IF(ISNUMBER(SEARCH("WALKER",D178)),1,0)</f>
        <v/>
      </c>
      <c r="AI178">
        <f>IF(ISNUMBER(SEARCH("PNC",D178)),1,0)</f>
        <v/>
      </c>
      <c r="AJ178">
        <f>IF(ISNUMBER(SEARCH("BERKADIA",D178)),1,0)</f>
        <v/>
      </c>
      <c r="AK178">
        <f>IF(ISNUMBER(SEARCH("DWIGHT",D178)),1,0)</f>
        <v/>
      </c>
      <c r="AL178" s="25">
        <f>T$4*(T178-T$3)</f>
        <v/>
      </c>
      <c r="AM178" s="25">
        <f>U$4*(U178-U$3)</f>
        <v/>
      </c>
      <c r="AN178" s="25">
        <f>V$4*(V178-V$3)</f>
        <v/>
      </c>
      <c r="AO178" s="25">
        <f>W$4*(W178-W$3)</f>
        <v/>
      </c>
      <c r="AP178" s="25">
        <f>X$4*(X178-X$3)</f>
        <v/>
      </c>
      <c r="AQ178" s="25">
        <f>Y$4*(Y178-Y$3)</f>
        <v/>
      </c>
      <c r="AR178" s="25">
        <f>Z$4*(Z178-Z$3)</f>
        <v/>
      </c>
      <c r="AS178" s="25">
        <f>AA$4*(AA178-AA$3)</f>
        <v/>
      </c>
      <c r="AT178" s="25">
        <f>AB$4*(AB178-AB$3)</f>
        <v/>
      </c>
      <c r="AU178" s="25">
        <f>AC$4*(AC178-AC$3)</f>
        <v/>
      </c>
      <c r="AV178" s="25">
        <f>AD$4*(AD178-AD$3)</f>
        <v/>
      </c>
      <c r="AW178" s="25">
        <f>AE$4*(AE178-AE$3)</f>
        <v/>
      </c>
      <c r="AX178" s="25">
        <f>AF$4*(AF178-AF$3)</f>
        <v/>
      </c>
      <c r="AY178" s="25">
        <f>AG$4*(AG178-AG$3)</f>
        <v/>
      </c>
      <c r="AZ178" s="25">
        <f>AH$4*(AH178-AH$3)</f>
        <v/>
      </c>
      <c r="BA178" s="25">
        <f>AI$4*(AI178-AI$3)</f>
        <v/>
      </c>
      <c r="BB178" s="25">
        <f>AJ$4*(AJ178-AJ$3)</f>
        <v/>
      </c>
      <c r="BC178" s="25">
        <f>AK$4*(AK178-AK$3)</f>
        <v/>
      </c>
      <c r="BD178" s="26">
        <f>SUM(AL178:BC178)</f>
        <v/>
      </c>
      <c r="BE178" s="26">
        <f>INTERCEPT_SCALED+BD178</f>
        <v/>
      </c>
      <c r="BF178" s="27">
        <f>1/(1+EXP(-BE178))</f>
        <v/>
      </c>
      <c r="BG178" s="13">
        <f>1-(1-BF178)^12</f>
        <v/>
      </c>
      <c r="BH178" s="13">
        <f>IFERROR(AL178/BD178*(BG178-BASELINE_CPR),0)</f>
        <v/>
      </c>
      <c r="BI178" s="13">
        <f>IFERROR(AM178/BD178*(BG178-BASELINE_CPR),0)</f>
        <v/>
      </c>
      <c r="BJ178" s="13">
        <f>IFERROR(AN178/BD178*(BG178-BASELINE_CPR),0)</f>
        <v/>
      </c>
      <c r="BK178" s="13">
        <f>IFERROR(AO178/BD178*(BG178-BASELINE_CPR),0)</f>
        <v/>
      </c>
      <c r="BL178" s="13">
        <f>IFERROR(AP178/BD178*(BG178-BASELINE_CPR),0)</f>
        <v/>
      </c>
      <c r="BM178" s="13">
        <f>IFERROR(AQ178/BD178*(BG178-BASELINE_CPR),0)</f>
        <v/>
      </c>
      <c r="BN178" s="13">
        <f>IFERROR(AR178/BD178*(BG178-BASELINE_CPR),0)</f>
        <v/>
      </c>
      <c r="BO178" s="13">
        <f>IFERROR(AS178/BD178*(BG178-BASELINE_CPR),0)</f>
        <v/>
      </c>
      <c r="BP178" s="13">
        <f>IFERROR(AT178/BD178*(BG178-BASELINE_CPR),0)</f>
        <v/>
      </c>
      <c r="BQ178" s="13">
        <f>IFERROR(AU178/BD178*(BG178-BASELINE_CPR),0)</f>
        <v/>
      </c>
      <c r="BR178" s="13">
        <f>IFERROR(AV178/BD178*(BG178-BASELINE_CPR),0)</f>
        <v/>
      </c>
      <c r="BS178" s="13">
        <f>IFERROR(AW178/BD178*(BG178-BASELINE_CPR),0)</f>
        <v/>
      </c>
      <c r="BT178" s="13">
        <f>IFERROR(AX178/BD178*(BG178-BASELINE_CPR),0)</f>
        <v/>
      </c>
      <c r="BU178" s="13">
        <f>IFERROR(AY178/BD178*(BG178-BASELINE_CPR),0)</f>
        <v/>
      </c>
      <c r="BV178" s="13">
        <f>IFERROR(AZ178/BD178*(BG178-BASELINE_CPR),0)</f>
        <v/>
      </c>
      <c r="BW178" s="13">
        <f>IFERROR(BA178/BD178*(BG178-BASELINE_CPR),0)</f>
        <v/>
      </c>
      <c r="BX178" s="13">
        <f>IFERROR(BB178/BD178*(BG178-BASELINE_CPR),0)</f>
        <v/>
      </c>
      <c r="BY178" s="13">
        <f>IFERROR(BC178/BD178*(BG178-BASELINE_CPR),0)</f>
        <v/>
      </c>
      <c r="BZ178" s="28">
        <f>BASELINE_CPR+SUM(BH178:BY178)-BG178</f>
        <v/>
      </c>
    </row>
    <row r="179">
      <c r="A179" s="2" t="inlineStr">
        <is>
          <t>3618JGAC4_000000011522381</t>
        </is>
      </c>
      <c r="B179" t="inlineStr">
        <is>
          <t>CAPITAL_POST21</t>
        </is>
      </c>
      <c r="C179" s="2" t="inlineStr">
        <is>
          <t>3618JGAC4</t>
        </is>
      </c>
      <c r="D179" t="inlineStr">
        <is>
          <t>CAPITAL FUNDING,LLC.</t>
        </is>
      </c>
      <c r="E179" t="inlineStr">
        <is>
          <t>232</t>
        </is>
      </c>
      <c r="F179" t="inlineStr">
        <is>
          <t>RP</t>
        </is>
      </c>
      <c r="G179" t="n">
        <v>2025</v>
      </c>
      <c r="H179" t="inlineStr">
        <is>
          <t>202602</t>
        </is>
      </c>
      <c r="I179" s="22" t="n">
        <v>7329877.03</v>
      </c>
      <c r="J179" s="23" t="n">
        <v>5.53</v>
      </c>
      <c r="K179" s="24" t="n">
        <v>447</v>
      </c>
      <c r="L179" s="24" t="n">
        <v>10</v>
      </c>
      <c r="M179" t="n">
        <v>4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s="24">
        <f>J179*100-(K179+(1+L179)*12.5)</f>
        <v/>
      </c>
      <c r="U179">
        <f>O179</f>
        <v/>
      </c>
      <c r="V179">
        <f>M179</f>
        <v/>
      </c>
      <c r="W179" s="23">
        <f>LN(1+I179)</f>
        <v/>
      </c>
      <c r="X179">
        <f>IF(G179&gt;=2021,1,0)</f>
        <v/>
      </c>
      <c r="Y179">
        <f>N179</f>
        <v/>
      </c>
      <c r="Z179" s="23">
        <f>IF(ISNUMBER(M179),N179/MAX(M179,1),0)</f>
        <v/>
      </c>
      <c r="AA179">
        <f>P179</f>
        <v/>
      </c>
      <c r="AB179">
        <f>Q179</f>
        <v/>
      </c>
      <c r="AC179">
        <f>R179</f>
        <v/>
      </c>
      <c r="AD179">
        <f>S179</f>
        <v/>
      </c>
      <c r="AE179">
        <f>IF(ISNUMBER(SEARCH("CAPITAL FUNDING",D179)),1,0)</f>
        <v/>
      </c>
      <c r="AF179">
        <f>IF(ISNUMBER(SEARCH("MERCHANTS",D179)),1,0)</f>
        <v/>
      </c>
      <c r="AG179">
        <f>IF(ISNUMBER(SEARCH("WELLS FARGO",D179)),1,0)</f>
        <v/>
      </c>
      <c r="AH179">
        <f>IF(ISNUMBER(SEARCH("WALKER",D179)),1,0)</f>
        <v/>
      </c>
      <c r="AI179">
        <f>IF(ISNUMBER(SEARCH("PNC",D179)),1,0)</f>
        <v/>
      </c>
      <c r="AJ179">
        <f>IF(ISNUMBER(SEARCH("BERKADIA",D179)),1,0)</f>
        <v/>
      </c>
      <c r="AK179">
        <f>IF(ISNUMBER(SEARCH("DWIGHT",D179)),1,0)</f>
        <v/>
      </c>
      <c r="AL179" s="25">
        <f>T$4*(T179-T$3)</f>
        <v/>
      </c>
      <c r="AM179" s="25">
        <f>U$4*(U179-U$3)</f>
        <v/>
      </c>
      <c r="AN179" s="25">
        <f>V$4*(V179-V$3)</f>
        <v/>
      </c>
      <c r="AO179" s="25">
        <f>W$4*(W179-W$3)</f>
        <v/>
      </c>
      <c r="AP179" s="25">
        <f>X$4*(X179-X$3)</f>
        <v/>
      </c>
      <c r="AQ179" s="25">
        <f>Y$4*(Y179-Y$3)</f>
        <v/>
      </c>
      <c r="AR179" s="25">
        <f>Z$4*(Z179-Z$3)</f>
        <v/>
      </c>
      <c r="AS179" s="25">
        <f>AA$4*(AA179-AA$3)</f>
        <v/>
      </c>
      <c r="AT179" s="25">
        <f>AB$4*(AB179-AB$3)</f>
        <v/>
      </c>
      <c r="AU179" s="25">
        <f>AC$4*(AC179-AC$3)</f>
        <v/>
      </c>
      <c r="AV179" s="25">
        <f>AD$4*(AD179-AD$3)</f>
        <v/>
      </c>
      <c r="AW179" s="25">
        <f>AE$4*(AE179-AE$3)</f>
        <v/>
      </c>
      <c r="AX179" s="25">
        <f>AF$4*(AF179-AF$3)</f>
        <v/>
      </c>
      <c r="AY179" s="25">
        <f>AG$4*(AG179-AG$3)</f>
        <v/>
      </c>
      <c r="AZ179" s="25">
        <f>AH$4*(AH179-AH$3)</f>
        <v/>
      </c>
      <c r="BA179" s="25">
        <f>AI$4*(AI179-AI$3)</f>
        <v/>
      </c>
      <c r="BB179" s="25">
        <f>AJ$4*(AJ179-AJ$3)</f>
        <v/>
      </c>
      <c r="BC179" s="25">
        <f>AK$4*(AK179-AK$3)</f>
        <v/>
      </c>
      <c r="BD179" s="26">
        <f>SUM(AL179:BC179)</f>
        <v/>
      </c>
      <c r="BE179" s="26">
        <f>INTERCEPT_SCALED+BD179</f>
        <v/>
      </c>
      <c r="BF179" s="27">
        <f>1/(1+EXP(-BE179))</f>
        <v/>
      </c>
      <c r="BG179" s="13">
        <f>1-(1-BF179)^12</f>
        <v/>
      </c>
      <c r="BH179" s="13">
        <f>IFERROR(AL179/BD179*(BG179-BASELINE_CPR),0)</f>
        <v/>
      </c>
      <c r="BI179" s="13">
        <f>IFERROR(AM179/BD179*(BG179-BASELINE_CPR),0)</f>
        <v/>
      </c>
      <c r="BJ179" s="13">
        <f>IFERROR(AN179/BD179*(BG179-BASELINE_CPR),0)</f>
        <v/>
      </c>
      <c r="BK179" s="13">
        <f>IFERROR(AO179/BD179*(BG179-BASELINE_CPR),0)</f>
        <v/>
      </c>
      <c r="BL179" s="13">
        <f>IFERROR(AP179/BD179*(BG179-BASELINE_CPR),0)</f>
        <v/>
      </c>
      <c r="BM179" s="13">
        <f>IFERROR(AQ179/BD179*(BG179-BASELINE_CPR),0)</f>
        <v/>
      </c>
      <c r="BN179" s="13">
        <f>IFERROR(AR179/BD179*(BG179-BASELINE_CPR),0)</f>
        <v/>
      </c>
      <c r="BO179" s="13">
        <f>IFERROR(AS179/BD179*(BG179-BASELINE_CPR),0)</f>
        <v/>
      </c>
      <c r="BP179" s="13">
        <f>IFERROR(AT179/BD179*(BG179-BASELINE_CPR),0)</f>
        <v/>
      </c>
      <c r="BQ179" s="13">
        <f>IFERROR(AU179/BD179*(BG179-BASELINE_CPR),0)</f>
        <v/>
      </c>
      <c r="BR179" s="13">
        <f>IFERROR(AV179/BD179*(BG179-BASELINE_CPR),0)</f>
        <v/>
      </c>
      <c r="BS179" s="13">
        <f>IFERROR(AW179/BD179*(BG179-BASELINE_CPR),0)</f>
        <v/>
      </c>
      <c r="BT179" s="13">
        <f>IFERROR(AX179/BD179*(BG179-BASELINE_CPR),0)</f>
        <v/>
      </c>
      <c r="BU179" s="13">
        <f>IFERROR(AY179/BD179*(BG179-BASELINE_CPR),0)</f>
        <v/>
      </c>
      <c r="BV179" s="13">
        <f>IFERROR(AZ179/BD179*(BG179-BASELINE_CPR),0)</f>
        <v/>
      </c>
      <c r="BW179" s="13">
        <f>IFERROR(BA179/BD179*(BG179-BASELINE_CPR),0)</f>
        <v/>
      </c>
      <c r="BX179" s="13">
        <f>IFERROR(BB179/BD179*(BG179-BASELINE_CPR),0)</f>
        <v/>
      </c>
      <c r="BY179" s="13">
        <f>IFERROR(BC179/BD179*(BG179-BASELINE_CPR),0)</f>
        <v/>
      </c>
      <c r="BZ179" s="28">
        <f>BASELINE_CPR+SUM(BH179:BY179)-BG179</f>
        <v/>
      </c>
    </row>
    <row r="180">
      <c r="A180" s="2" t="inlineStr">
        <is>
          <t>3617BTYH9_000000001722122</t>
        </is>
      </c>
      <c r="B180" t="inlineStr">
        <is>
          <t>CAPITAL_PRE21</t>
        </is>
      </c>
      <c r="C180" s="2" t="inlineStr">
        <is>
          <t>3617BTYH9</t>
        </is>
      </c>
      <c r="D180" t="inlineStr">
        <is>
          <t>CAPITAL FUNDING,LLC.</t>
        </is>
      </c>
      <c r="E180" t="inlineStr">
        <is>
          <t>232</t>
        </is>
      </c>
      <c r="F180" t="inlineStr">
        <is>
          <t>RP</t>
        </is>
      </c>
      <c r="G180" t="n">
        <v>2018</v>
      </c>
      <c r="H180" t="inlineStr">
        <is>
          <t>202602</t>
        </is>
      </c>
      <c r="I180" s="22" t="n">
        <v>18578966.2</v>
      </c>
      <c r="J180" s="23" t="n">
        <v>3.75</v>
      </c>
      <c r="K180" s="24" t="n">
        <v>447</v>
      </c>
      <c r="L180" s="24" t="n">
        <v>3</v>
      </c>
      <c r="M180" t="n">
        <v>94</v>
      </c>
      <c r="N180" t="n">
        <v>29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s="24">
        <f>J180*100-(K180+(1+L180)*12.5)</f>
        <v/>
      </c>
      <c r="U180">
        <f>O180</f>
        <v/>
      </c>
      <c r="V180">
        <f>M180</f>
        <v/>
      </c>
      <c r="W180" s="23">
        <f>LN(1+I180)</f>
        <v/>
      </c>
      <c r="X180">
        <f>IF(G180&gt;=2021,1,0)</f>
        <v/>
      </c>
      <c r="Y180">
        <f>N180</f>
        <v/>
      </c>
      <c r="Z180" s="23">
        <f>IF(ISNUMBER(M180),N180/MAX(M180,1),0)</f>
        <v/>
      </c>
      <c r="AA180">
        <f>P180</f>
        <v/>
      </c>
      <c r="AB180">
        <f>Q180</f>
        <v/>
      </c>
      <c r="AC180">
        <f>R180</f>
        <v/>
      </c>
      <c r="AD180">
        <f>S180</f>
        <v/>
      </c>
      <c r="AE180">
        <f>IF(ISNUMBER(SEARCH("CAPITAL FUNDING",D180)),1,0)</f>
        <v/>
      </c>
      <c r="AF180">
        <f>IF(ISNUMBER(SEARCH("MERCHANTS",D180)),1,0)</f>
        <v/>
      </c>
      <c r="AG180">
        <f>IF(ISNUMBER(SEARCH("WELLS FARGO",D180)),1,0)</f>
        <v/>
      </c>
      <c r="AH180">
        <f>IF(ISNUMBER(SEARCH("WALKER",D180)),1,0)</f>
        <v/>
      </c>
      <c r="AI180">
        <f>IF(ISNUMBER(SEARCH("PNC",D180)),1,0)</f>
        <v/>
      </c>
      <c r="AJ180">
        <f>IF(ISNUMBER(SEARCH("BERKADIA",D180)),1,0)</f>
        <v/>
      </c>
      <c r="AK180">
        <f>IF(ISNUMBER(SEARCH("DWIGHT",D180)),1,0)</f>
        <v/>
      </c>
      <c r="AL180" s="25">
        <f>T$4*(T180-T$3)</f>
        <v/>
      </c>
      <c r="AM180" s="25">
        <f>U$4*(U180-U$3)</f>
        <v/>
      </c>
      <c r="AN180" s="25">
        <f>V$4*(V180-V$3)</f>
        <v/>
      </c>
      <c r="AO180" s="25">
        <f>W$4*(W180-W$3)</f>
        <v/>
      </c>
      <c r="AP180" s="25">
        <f>X$4*(X180-X$3)</f>
        <v/>
      </c>
      <c r="AQ180" s="25">
        <f>Y$4*(Y180-Y$3)</f>
        <v/>
      </c>
      <c r="AR180" s="25">
        <f>Z$4*(Z180-Z$3)</f>
        <v/>
      </c>
      <c r="AS180" s="25">
        <f>AA$4*(AA180-AA$3)</f>
        <v/>
      </c>
      <c r="AT180" s="25">
        <f>AB$4*(AB180-AB$3)</f>
        <v/>
      </c>
      <c r="AU180" s="25">
        <f>AC$4*(AC180-AC$3)</f>
        <v/>
      </c>
      <c r="AV180" s="25">
        <f>AD$4*(AD180-AD$3)</f>
        <v/>
      </c>
      <c r="AW180" s="25">
        <f>AE$4*(AE180-AE$3)</f>
        <v/>
      </c>
      <c r="AX180" s="25">
        <f>AF$4*(AF180-AF$3)</f>
        <v/>
      </c>
      <c r="AY180" s="25">
        <f>AG$4*(AG180-AG$3)</f>
        <v/>
      </c>
      <c r="AZ180" s="25">
        <f>AH$4*(AH180-AH$3)</f>
        <v/>
      </c>
      <c r="BA180" s="25">
        <f>AI$4*(AI180-AI$3)</f>
        <v/>
      </c>
      <c r="BB180" s="25">
        <f>AJ$4*(AJ180-AJ$3)</f>
        <v/>
      </c>
      <c r="BC180" s="25">
        <f>AK$4*(AK180-AK$3)</f>
        <v/>
      </c>
      <c r="BD180" s="26">
        <f>SUM(AL180:BC180)</f>
        <v/>
      </c>
      <c r="BE180" s="26">
        <f>INTERCEPT_SCALED+BD180</f>
        <v/>
      </c>
      <c r="BF180" s="27">
        <f>1/(1+EXP(-BE180))</f>
        <v/>
      </c>
      <c r="BG180" s="13">
        <f>1-(1-BF180)^12</f>
        <v/>
      </c>
      <c r="BH180" s="13">
        <f>IFERROR(AL180/BD180*(BG180-BASELINE_CPR),0)</f>
        <v/>
      </c>
      <c r="BI180" s="13">
        <f>IFERROR(AM180/BD180*(BG180-BASELINE_CPR),0)</f>
        <v/>
      </c>
      <c r="BJ180" s="13">
        <f>IFERROR(AN180/BD180*(BG180-BASELINE_CPR),0)</f>
        <v/>
      </c>
      <c r="BK180" s="13">
        <f>IFERROR(AO180/BD180*(BG180-BASELINE_CPR),0)</f>
        <v/>
      </c>
      <c r="BL180" s="13">
        <f>IFERROR(AP180/BD180*(BG180-BASELINE_CPR),0)</f>
        <v/>
      </c>
      <c r="BM180" s="13">
        <f>IFERROR(AQ180/BD180*(BG180-BASELINE_CPR),0)</f>
        <v/>
      </c>
      <c r="BN180" s="13">
        <f>IFERROR(AR180/BD180*(BG180-BASELINE_CPR),0)</f>
        <v/>
      </c>
      <c r="BO180" s="13">
        <f>IFERROR(AS180/BD180*(BG180-BASELINE_CPR),0)</f>
        <v/>
      </c>
      <c r="BP180" s="13">
        <f>IFERROR(AT180/BD180*(BG180-BASELINE_CPR),0)</f>
        <v/>
      </c>
      <c r="BQ180" s="13">
        <f>IFERROR(AU180/BD180*(BG180-BASELINE_CPR),0)</f>
        <v/>
      </c>
      <c r="BR180" s="13">
        <f>IFERROR(AV180/BD180*(BG180-BASELINE_CPR),0)</f>
        <v/>
      </c>
      <c r="BS180" s="13">
        <f>IFERROR(AW180/BD180*(BG180-BASELINE_CPR),0)</f>
        <v/>
      </c>
      <c r="BT180" s="13">
        <f>IFERROR(AX180/BD180*(BG180-BASELINE_CPR),0)</f>
        <v/>
      </c>
      <c r="BU180" s="13">
        <f>IFERROR(AY180/BD180*(BG180-BASELINE_CPR),0)</f>
        <v/>
      </c>
      <c r="BV180" s="13">
        <f>IFERROR(AZ180/BD180*(BG180-BASELINE_CPR),0)</f>
        <v/>
      </c>
      <c r="BW180" s="13">
        <f>IFERROR(BA180/BD180*(BG180-BASELINE_CPR),0)</f>
        <v/>
      </c>
      <c r="BX180" s="13">
        <f>IFERROR(BB180/BD180*(BG180-BASELINE_CPR),0)</f>
        <v/>
      </c>
      <c r="BY180" s="13">
        <f>IFERROR(BC180/BD180*(BG180-BASELINE_CPR),0)</f>
        <v/>
      </c>
      <c r="BZ180" s="28">
        <f>BASELINE_CPR+SUM(BH180:BY180)-BG180</f>
        <v/>
      </c>
    </row>
    <row r="181">
      <c r="A181" s="2" t="inlineStr">
        <is>
          <t>3617VAEE7_000000010122136</t>
        </is>
      </c>
      <c r="B181" t="inlineStr">
        <is>
          <t>CAPITAL_PRE21</t>
        </is>
      </c>
      <c r="C181" s="2" t="inlineStr">
        <is>
          <t>3617VAEE7</t>
        </is>
      </c>
      <c r="D181" t="inlineStr">
        <is>
          <t>CAPITAL FUNDING,LLC.</t>
        </is>
      </c>
      <c r="E181" t="inlineStr">
        <is>
          <t>232</t>
        </is>
      </c>
      <c r="F181" t="inlineStr">
        <is>
          <t>RP</t>
        </is>
      </c>
      <c r="G181" t="n">
        <v>2018</v>
      </c>
      <c r="H181" t="inlineStr">
        <is>
          <t>202602</t>
        </is>
      </c>
      <c r="I181" s="22" t="n">
        <v>11738844.66</v>
      </c>
      <c r="J181" s="23" t="n">
        <v>3.05</v>
      </c>
      <c r="K181" s="24" t="n">
        <v>447</v>
      </c>
      <c r="L181" s="24" t="n">
        <v>6</v>
      </c>
      <c r="M181" t="n">
        <v>90</v>
      </c>
      <c r="N181" t="n">
        <v>2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s="24">
        <f>J181*100-(K181+(1+L181)*12.5)</f>
        <v/>
      </c>
      <c r="U181">
        <f>O181</f>
        <v/>
      </c>
      <c r="V181">
        <f>M181</f>
        <v/>
      </c>
      <c r="W181" s="23">
        <f>LN(1+I181)</f>
        <v/>
      </c>
      <c r="X181">
        <f>IF(G181&gt;=2021,1,0)</f>
        <v/>
      </c>
      <c r="Y181">
        <f>N181</f>
        <v/>
      </c>
      <c r="Z181" s="23">
        <f>IF(ISNUMBER(M181),N181/MAX(M181,1),0)</f>
        <v/>
      </c>
      <c r="AA181">
        <f>P181</f>
        <v/>
      </c>
      <c r="AB181">
        <f>Q181</f>
        <v/>
      </c>
      <c r="AC181">
        <f>R181</f>
        <v/>
      </c>
      <c r="AD181">
        <f>S181</f>
        <v/>
      </c>
      <c r="AE181">
        <f>IF(ISNUMBER(SEARCH("CAPITAL FUNDING",D181)),1,0)</f>
        <v/>
      </c>
      <c r="AF181">
        <f>IF(ISNUMBER(SEARCH("MERCHANTS",D181)),1,0)</f>
        <v/>
      </c>
      <c r="AG181">
        <f>IF(ISNUMBER(SEARCH("WELLS FARGO",D181)),1,0)</f>
        <v/>
      </c>
      <c r="AH181">
        <f>IF(ISNUMBER(SEARCH("WALKER",D181)),1,0)</f>
        <v/>
      </c>
      <c r="AI181">
        <f>IF(ISNUMBER(SEARCH("PNC",D181)),1,0)</f>
        <v/>
      </c>
      <c r="AJ181">
        <f>IF(ISNUMBER(SEARCH("BERKADIA",D181)),1,0)</f>
        <v/>
      </c>
      <c r="AK181">
        <f>IF(ISNUMBER(SEARCH("DWIGHT",D181)),1,0)</f>
        <v/>
      </c>
      <c r="AL181" s="25">
        <f>T$4*(T181-T$3)</f>
        <v/>
      </c>
      <c r="AM181" s="25">
        <f>U$4*(U181-U$3)</f>
        <v/>
      </c>
      <c r="AN181" s="25">
        <f>V$4*(V181-V$3)</f>
        <v/>
      </c>
      <c r="AO181" s="25">
        <f>W$4*(W181-W$3)</f>
        <v/>
      </c>
      <c r="AP181" s="25">
        <f>X$4*(X181-X$3)</f>
        <v/>
      </c>
      <c r="AQ181" s="25">
        <f>Y$4*(Y181-Y$3)</f>
        <v/>
      </c>
      <c r="AR181" s="25">
        <f>Z$4*(Z181-Z$3)</f>
        <v/>
      </c>
      <c r="AS181" s="25">
        <f>AA$4*(AA181-AA$3)</f>
        <v/>
      </c>
      <c r="AT181" s="25">
        <f>AB$4*(AB181-AB$3)</f>
        <v/>
      </c>
      <c r="AU181" s="25">
        <f>AC$4*(AC181-AC$3)</f>
        <v/>
      </c>
      <c r="AV181" s="25">
        <f>AD$4*(AD181-AD$3)</f>
        <v/>
      </c>
      <c r="AW181" s="25">
        <f>AE$4*(AE181-AE$3)</f>
        <v/>
      </c>
      <c r="AX181" s="25">
        <f>AF$4*(AF181-AF$3)</f>
        <v/>
      </c>
      <c r="AY181" s="25">
        <f>AG$4*(AG181-AG$3)</f>
        <v/>
      </c>
      <c r="AZ181" s="25">
        <f>AH$4*(AH181-AH$3)</f>
        <v/>
      </c>
      <c r="BA181" s="25">
        <f>AI$4*(AI181-AI$3)</f>
        <v/>
      </c>
      <c r="BB181" s="25">
        <f>AJ$4*(AJ181-AJ$3)</f>
        <v/>
      </c>
      <c r="BC181" s="25">
        <f>AK$4*(AK181-AK$3)</f>
        <v/>
      </c>
      <c r="BD181" s="26">
        <f>SUM(AL181:BC181)</f>
        <v/>
      </c>
      <c r="BE181" s="26">
        <f>INTERCEPT_SCALED+BD181</f>
        <v/>
      </c>
      <c r="BF181" s="27">
        <f>1/(1+EXP(-BE181))</f>
        <v/>
      </c>
      <c r="BG181" s="13">
        <f>1-(1-BF181)^12</f>
        <v/>
      </c>
      <c r="BH181" s="13">
        <f>IFERROR(AL181/BD181*(BG181-BASELINE_CPR),0)</f>
        <v/>
      </c>
      <c r="BI181" s="13">
        <f>IFERROR(AM181/BD181*(BG181-BASELINE_CPR),0)</f>
        <v/>
      </c>
      <c r="BJ181" s="13">
        <f>IFERROR(AN181/BD181*(BG181-BASELINE_CPR),0)</f>
        <v/>
      </c>
      <c r="BK181" s="13">
        <f>IFERROR(AO181/BD181*(BG181-BASELINE_CPR),0)</f>
        <v/>
      </c>
      <c r="BL181" s="13">
        <f>IFERROR(AP181/BD181*(BG181-BASELINE_CPR),0)</f>
        <v/>
      </c>
      <c r="BM181" s="13">
        <f>IFERROR(AQ181/BD181*(BG181-BASELINE_CPR),0)</f>
        <v/>
      </c>
      <c r="BN181" s="13">
        <f>IFERROR(AR181/BD181*(BG181-BASELINE_CPR),0)</f>
        <v/>
      </c>
      <c r="BO181" s="13">
        <f>IFERROR(AS181/BD181*(BG181-BASELINE_CPR),0)</f>
        <v/>
      </c>
      <c r="BP181" s="13">
        <f>IFERROR(AT181/BD181*(BG181-BASELINE_CPR),0)</f>
        <v/>
      </c>
      <c r="BQ181" s="13">
        <f>IFERROR(AU181/BD181*(BG181-BASELINE_CPR),0)</f>
        <v/>
      </c>
      <c r="BR181" s="13">
        <f>IFERROR(AV181/BD181*(BG181-BASELINE_CPR),0)</f>
        <v/>
      </c>
      <c r="BS181" s="13">
        <f>IFERROR(AW181/BD181*(BG181-BASELINE_CPR),0)</f>
        <v/>
      </c>
      <c r="BT181" s="13">
        <f>IFERROR(AX181/BD181*(BG181-BASELINE_CPR),0)</f>
        <v/>
      </c>
      <c r="BU181" s="13">
        <f>IFERROR(AY181/BD181*(BG181-BASELINE_CPR),0)</f>
        <v/>
      </c>
      <c r="BV181" s="13">
        <f>IFERROR(AZ181/BD181*(BG181-BASELINE_CPR),0)</f>
        <v/>
      </c>
      <c r="BW181" s="13">
        <f>IFERROR(BA181/BD181*(BG181-BASELINE_CPR),0)</f>
        <v/>
      </c>
      <c r="BX181" s="13">
        <f>IFERROR(BB181/BD181*(BG181-BASELINE_CPR),0)</f>
        <v/>
      </c>
      <c r="BY181" s="13">
        <f>IFERROR(BC181/BD181*(BG181-BASELINE_CPR),0)</f>
        <v/>
      </c>
      <c r="BZ181" s="28">
        <f>BASELINE_CPR+SUM(BH181:BY181)-BG181</f>
        <v/>
      </c>
    </row>
    <row r="182">
      <c r="A182" s="2" t="inlineStr">
        <is>
          <t>3617Q2AG0_000000007222116</t>
        </is>
      </c>
      <c r="B182" t="inlineStr">
        <is>
          <t>CAPITAL_PRE21</t>
        </is>
      </c>
      <c r="C182" s="2" t="inlineStr">
        <is>
          <t>3617Q2AG0</t>
        </is>
      </c>
      <c r="D182" t="inlineStr">
        <is>
          <t>CAPITAL FUNDING,LLC.</t>
        </is>
      </c>
      <c r="E182" t="inlineStr">
        <is>
          <t>232</t>
        </is>
      </c>
      <c r="F182" t="inlineStr">
        <is>
          <t>RP</t>
        </is>
      </c>
      <c r="G182" t="n">
        <v>2014</v>
      </c>
      <c r="H182" t="inlineStr">
        <is>
          <t>202602</t>
        </is>
      </c>
      <c r="I182" s="22" t="n">
        <v>4376116.94</v>
      </c>
      <c r="J182" s="23" t="n">
        <v>3.1</v>
      </c>
      <c r="K182" s="24" t="n">
        <v>447</v>
      </c>
      <c r="L182" s="24" t="n">
        <v>5</v>
      </c>
      <c r="M182" t="n">
        <v>135</v>
      </c>
      <c r="N182" t="n">
        <v>12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s="24">
        <f>J182*100-(K182+(1+L182)*12.5)</f>
        <v/>
      </c>
      <c r="U182">
        <f>O182</f>
        <v/>
      </c>
      <c r="V182">
        <f>M182</f>
        <v/>
      </c>
      <c r="W182" s="23">
        <f>LN(1+I182)</f>
        <v/>
      </c>
      <c r="X182">
        <f>IF(G182&gt;=2021,1,0)</f>
        <v/>
      </c>
      <c r="Y182">
        <f>N182</f>
        <v/>
      </c>
      <c r="Z182" s="23">
        <f>IF(ISNUMBER(M182),N182/MAX(M182,1),0)</f>
        <v/>
      </c>
      <c r="AA182">
        <f>P182</f>
        <v/>
      </c>
      <c r="AB182">
        <f>Q182</f>
        <v/>
      </c>
      <c r="AC182">
        <f>R182</f>
        <v/>
      </c>
      <c r="AD182">
        <f>S182</f>
        <v/>
      </c>
      <c r="AE182">
        <f>IF(ISNUMBER(SEARCH("CAPITAL FUNDING",D182)),1,0)</f>
        <v/>
      </c>
      <c r="AF182">
        <f>IF(ISNUMBER(SEARCH("MERCHANTS",D182)),1,0)</f>
        <v/>
      </c>
      <c r="AG182">
        <f>IF(ISNUMBER(SEARCH("WELLS FARGO",D182)),1,0)</f>
        <v/>
      </c>
      <c r="AH182">
        <f>IF(ISNUMBER(SEARCH("WALKER",D182)),1,0)</f>
        <v/>
      </c>
      <c r="AI182">
        <f>IF(ISNUMBER(SEARCH("PNC",D182)),1,0)</f>
        <v/>
      </c>
      <c r="AJ182">
        <f>IF(ISNUMBER(SEARCH("BERKADIA",D182)),1,0)</f>
        <v/>
      </c>
      <c r="AK182">
        <f>IF(ISNUMBER(SEARCH("DWIGHT",D182)),1,0)</f>
        <v/>
      </c>
      <c r="AL182" s="25">
        <f>T$4*(T182-T$3)</f>
        <v/>
      </c>
      <c r="AM182" s="25">
        <f>U$4*(U182-U$3)</f>
        <v/>
      </c>
      <c r="AN182" s="25">
        <f>V$4*(V182-V$3)</f>
        <v/>
      </c>
      <c r="AO182" s="25">
        <f>W$4*(W182-W$3)</f>
        <v/>
      </c>
      <c r="AP182" s="25">
        <f>X$4*(X182-X$3)</f>
        <v/>
      </c>
      <c r="AQ182" s="25">
        <f>Y$4*(Y182-Y$3)</f>
        <v/>
      </c>
      <c r="AR182" s="25">
        <f>Z$4*(Z182-Z$3)</f>
        <v/>
      </c>
      <c r="AS182" s="25">
        <f>AA$4*(AA182-AA$3)</f>
        <v/>
      </c>
      <c r="AT182" s="25">
        <f>AB$4*(AB182-AB$3)</f>
        <v/>
      </c>
      <c r="AU182" s="25">
        <f>AC$4*(AC182-AC$3)</f>
        <v/>
      </c>
      <c r="AV182" s="25">
        <f>AD$4*(AD182-AD$3)</f>
        <v/>
      </c>
      <c r="AW182" s="25">
        <f>AE$4*(AE182-AE$3)</f>
        <v/>
      </c>
      <c r="AX182" s="25">
        <f>AF$4*(AF182-AF$3)</f>
        <v/>
      </c>
      <c r="AY182" s="25">
        <f>AG$4*(AG182-AG$3)</f>
        <v/>
      </c>
      <c r="AZ182" s="25">
        <f>AH$4*(AH182-AH$3)</f>
        <v/>
      </c>
      <c r="BA182" s="25">
        <f>AI$4*(AI182-AI$3)</f>
        <v/>
      </c>
      <c r="BB182" s="25">
        <f>AJ$4*(AJ182-AJ$3)</f>
        <v/>
      </c>
      <c r="BC182" s="25">
        <f>AK$4*(AK182-AK$3)</f>
        <v/>
      </c>
      <c r="BD182" s="26">
        <f>SUM(AL182:BC182)</f>
        <v/>
      </c>
      <c r="BE182" s="26">
        <f>INTERCEPT_SCALED+BD182</f>
        <v/>
      </c>
      <c r="BF182" s="27">
        <f>1/(1+EXP(-BE182))</f>
        <v/>
      </c>
      <c r="BG182" s="13">
        <f>1-(1-BF182)^12</f>
        <v/>
      </c>
      <c r="BH182" s="13">
        <f>IFERROR(AL182/BD182*(BG182-BASELINE_CPR),0)</f>
        <v/>
      </c>
      <c r="BI182" s="13">
        <f>IFERROR(AM182/BD182*(BG182-BASELINE_CPR),0)</f>
        <v/>
      </c>
      <c r="BJ182" s="13">
        <f>IFERROR(AN182/BD182*(BG182-BASELINE_CPR),0)</f>
        <v/>
      </c>
      <c r="BK182" s="13">
        <f>IFERROR(AO182/BD182*(BG182-BASELINE_CPR),0)</f>
        <v/>
      </c>
      <c r="BL182" s="13">
        <f>IFERROR(AP182/BD182*(BG182-BASELINE_CPR),0)</f>
        <v/>
      </c>
      <c r="BM182" s="13">
        <f>IFERROR(AQ182/BD182*(BG182-BASELINE_CPR),0)</f>
        <v/>
      </c>
      <c r="BN182" s="13">
        <f>IFERROR(AR182/BD182*(BG182-BASELINE_CPR),0)</f>
        <v/>
      </c>
      <c r="BO182" s="13">
        <f>IFERROR(AS182/BD182*(BG182-BASELINE_CPR),0)</f>
        <v/>
      </c>
      <c r="BP182" s="13">
        <f>IFERROR(AT182/BD182*(BG182-BASELINE_CPR),0)</f>
        <v/>
      </c>
      <c r="BQ182" s="13">
        <f>IFERROR(AU182/BD182*(BG182-BASELINE_CPR),0)</f>
        <v/>
      </c>
      <c r="BR182" s="13">
        <f>IFERROR(AV182/BD182*(BG182-BASELINE_CPR),0)</f>
        <v/>
      </c>
      <c r="BS182" s="13">
        <f>IFERROR(AW182/BD182*(BG182-BASELINE_CPR),0)</f>
        <v/>
      </c>
      <c r="BT182" s="13">
        <f>IFERROR(AX182/BD182*(BG182-BASELINE_CPR),0)</f>
        <v/>
      </c>
      <c r="BU182" s="13">
        <f>IFERROR(AY182/BD182*(BG182-BASELINE_CPR),0)</f>
        <v/>
      </c>
      <c r="BV182" s="13">
        <f>IFERROR(AZ182/BD182*(BG182-BASELINE_CPR),0)</f>
        <v/>
      </c>
      <c r="BW182" s="13">
        <f>IFERROR(BA182/BD182*(BG182-BASELINE_CPR),0)</f>
        <v/>
      </c>
      <c r="BX182" s="13">
        <f>IFERROR(BB182/BD182*(BG182-BASELINE_CPR),0)</f>
        <v/>
      </c>
      <c r="BY182" s="13">
        <f>IFERROR(BC182/BD182*(BG182-BASELINE_CPR),0)</f>
        <v/>
      </c>
      <c r="BZ182" s="28">
        <f>BASELINE_CPR+SUM(BH182:BY182)-BG182</f>
        <v/>
      </c>
    </row>
    <row r="183">
      <c r="A183" s="2" t="inlineStr">
        <is>
          <t>3617VTX88_000000012122227</t>
        </is>
      </c>
      <c r="B183" t="inlineStr">
        <is>
          <t>CAPITAL_POST21</t>
        </is>
      </c>
      <c r="C183" s="2" t="inlineStr">
        <is>
          <t>3617VTX88</t>
        </is>
      </c>
      <c r="D183" t="inlineStr">
        <is>
          <t>CAPITAL FUNDING,LLC.</t>
        </is>
      </c>
      <c r="E183" t="inlineStr">
        <is>
          <t>232</t>
        </is>
      </c>
      <c r="F183" t="inlineStr">
        <is>
          <t>RP</t>
        </is>
      </c>
      <c r="G183" t="n">
        <v>2021</v>
      </c>
      <c r="H183" t="inlineStr">
        <is>
          <t>202602</t>
        </is>
      </c>
      <c r="I183" s="22" t="n">
        <v>11745120.48</v>
      </c>
      <c r="J183" s="23" t="n">
        <v>2.44</v>
      </c>
      <c r="K183" s="24" t="n">
        <v>447</v>
      </c>
      <c r="L183" s="24" t="n">
        <v>6</v>
      </c>
      <c r="M183" t="n">
        <v>56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s="24">
        <f>J183*100-(K183+(1+L183)*12.5)</f>
        <v/>
      </c>
      <c r="U183">
        <f>O183</f>
        <v/>
      </c>
      <c r="V183">
        <f>M183</f>
        <v/>
      </c>
      <c r="W183" s="23">
        <f>LN(1+I183)</f>
        <v/>
      </c>
      <c r="X183">
        <f>IF(G183&gt;=2021,1,0)</f>
        <v/>
      </c>
      <c r="Y183">
        <f>N183</f>
        <v/>
      </c>
      <c r="Z183" s="23">
        <f>IF(ISNUMBER(M183),N183/MAX(M183,1),0)</f>
        <v/>
      </c>
      <c r="AA183">
        <f>P183</f>
        <v/>
      </c>
      <c r="AB183">
        <f>Q183</f>
        <v/>
      </c>
      <c r="AC183">
        <f>R183</f>
        <v/>
      </c>
      <c r="AD183">
        <f>S183</f>
        <v/>
      </c>
      <c r="AE183">
        <f>IF(ISNUMBER(SEARCH("CAPITAL FUNDING",D183)),1,0)</f>
        <v/>
      </c>
      <c r="AF183">
        <f>IF(ISNUMBER(SEARCH("MERCHANTS",D183)),1,0)</f>
        <v/>
      </c>
      <c r="AG183">
        <f>IF(ISNUMBER(SEARCH("WELLS FARGO",D183)),1,0)</f>
        <v/>
      </c>
      <c r="AH183">
        <f>IF(ISNUMBER(SEARCH("WALKER",D183)),1,0)</f>
        <v/>
      </c>
      <c r="AI183">
        <f>IF(ISNUMBER(SEARCH("PNC",D183)),1,0)</f>
        <v/>
      </c>
      <c r="AJ183">
        <f>IF(ISNUMBER(SEARCH("BERKADIA",D183)),1,0)</f>
        <v/>
      </c>
      <c r="AK183">
        <f>IF(ISNUMBER(SEARCH("DWIGHT",D183)),1,0)</f>
        <v/>
      </c>
      <c r="AL183" s="25">
        <f>T$4*(T183-T$3)</f>
        <v/>
      </c>
      <c r="AM183" s="25">
        <f>U$4*(U183-U$3)</f>
        <v/>
      </c>
      <c r="AN183" s="25">
        <f>V$4*(V183-V$3)</f>
        <v/>
      </c>
      <c r="AO183" s="25">
        <f>W$4*(W183-W$3)</f>
        <v/>
      </c>
      <c r="AP183" s="25">
        <f>X$4*(X183-X$3)</f>
        <v/>
      </c>
      <c r="AQ183" s="25">
        <f>Y$4*(Y183-Y$3)</f>
        <v/>
      </c>
      <c r="AR183" s="25">
        <f>Z$4*(Z183-Z$3)</f>
        <v/>
      </c>
      <c r="AS183" s="25">
        <f>AA$4*(AA183-AA$3)</f>
        <v/>
      </c>
      <c r="AT183" s="25">
        <f>AB$4*(AB183-AB$3)</f>
        <v/>
      </c>
      <c r="AU183" s="25">
        <f>AC$4*(AC183-AC$3)</f>
        <v/>
      </c>
      <c r="AV183" s="25">
        <f>AD$4*(AD183-AD$3)</f>
        <v/>
      </c>
      <c r="AW183" s="25">
        <f>AE$4*(AE183-AE$3)</f>
        <v/>
      </c>
      <c r="AX183" s="25">
        <f>AF$4*(AF183-AF$3)</f>
        <v/>
      </c>
      <c r="AY183" s="25">
        <f>AG$4*(AG183-AG$3)</f>
        <v/>
      </c>
      <c r="AZ183" s="25">
        <f>AH$4*(AH183-AH$3)</f>
        <v/>
      </c>
      <c r="BA183" s="25">
        <f>AI$4*(AI183-AI$3)</f>
        <v/>
      </c>
      <c r="BB183" s="25">
        <f>AJ$4*(AJ183-AJ$3)</f>
        <v/>
      </c>
      <c r="BC183" s="25">
        <f>AK$4*(AK183-AK$3)</f>
        <v/>
      </c>
      <c r="BD183" s="26">
        <f>SUM(AL183:BC183)</f>
        <v/>
      </c>
      <c r="BE183" s="26">
        <f>INTERCEPT_SCALED+BD183</f>
        <v/>
      </c>
      <c r="BF183" s="27">
        <f>1/(1+EXP(-BE183))</f>
        <v/>
      </c>
      <c r="BG183" s="13">
        <f>1-(1-BF183)^12</f>
        <v/>
      </c>
      <c r="BH183" s="13">
        <f>IFERROR(AL183/BD183*(BG183-BASELINE_CPR),0)</f>
        <v/>
      </c>
      <c r="BI183" s="13">
        <f>IFERROR(AM183/BD183*(BG183-BASELINE_CPR),0)</f>
        <v/>
      </c>
      <c r="BJ183" s="13">
        <f>IFERROR(AN183/BD183*(BG183-BASELINE_CPR),0)</f>
        <v/>
      </c>
      <c r="BK183" s="13">
        <f>IFERROR(AO183/BD183*(BG183-BASELINE_CPR),0)</f>
        <v/>
      </c>
      <c r="BL183" s="13">
        <f>IFERROR(AP183/BD183*(BG183-BASELINE_CPR),0)</f>
        <v/>
      </c>
      <c r="BM183" s="13">
        <f>IFERROR(AQ183/BD183*(BG183-BASELINE_CPR),0)</f>
        <v/>
      </c>
      <c r="BN183" s="13">
        <f>IFERROR(AR183/BD183*(BG183-BASELINE_CPR),0)</f>
        <v/>
      </c>
      <c r="BO183" s="13">
        <f>IFERROR(AS183/BD183*(BG183-BASELINE_CPR),0)</f>
        <v/>
      </c>
      <c r="BP183" s="13">
        <f>IFERROR(AT183/BD183*(BG183-BASELINE_CPR),0)</f>
        <v/>
      </c>
      <c r="BQ183" s="13">
        <f>IFERROR(AU183/BD183*(BG183-BASELINE_CPR),0)</f>
        <v/>
      </c>
      <c r="BR183" s="13">
        <f>IFERROR(AV183/BD183*(BG183-BASELINE_CPR),0)</f>
        <v/>
      </c>
      <c r="BS183" s="13">
        <f>IFERROR(AW183/BD183*(BG183-BASELINE_CPR),0)</f>
        <v/>
      </c>
      <c r="BT183" s="13">
        <f>IFERROR(AX183/BD183*(BG183-BASELINE_CPR),0)</f>
        <v/>
      </c>
      <c r="BU183" s="13">
        <f>IFERROR(AY183/BD183*(BG183-BASELINE_CPR),0)</f>
        <v/>
      </c>
      <c r="BV183" s="13">
        <f>IFERROR(AZ183/BD183*(BG183-BASELINE_CPR),0)</f>
        <v/>
      </c>
      <c r="BW183" s="13">
        <f>IFERROR(BA183/BD183*(BG183-BASELINE_CPR),0)</f>
        <v/>
      </c>
      <c r="BX183" s="13">
        <f>IFERROR(BB183/BD183*(BG183-BASELINE_CPR),0)</f>
        <v/>
      </c>
      <c r="BY183" s="13">
        <f>IFERROR(BC183/BD183*(BG183-BASELINE_CPR),0)</f>
        <v/>
      </c>
      <c r="BZ183" s="28">
        <f>BASELINE_CPR+SUM(BH183:BY183)-BG183</f>
        <v/>
      </c>
    </row>
    <row r="184">
      <c r="A184" s="2" t="inlineStr">
        <is>
          <t>3618G4K82_000000003422195</t>
        </is>
      </c>
      <c r="B184" t="inlineStr">
        <is>
          <t>CAPITAL_POST21</t>
        </is>
      </c>
      <c r="C184" s="2" t="inlineStr">
        <is>
          <t>3618G4K82</t>
        </is>
      </c>
      <c r="D184" t="inlineStr">
        <is>
          <t>CAPITAL FUNDING,LLC.</t>
        </is>
      </c>
      <c r="E184" t="inlineStr">
        <is>
          <t>232</t>
        </is>
      </c>
      <c r="F184" t="inlineStr">
        <is>
          <t>RP</t>
        </is>
      </c>
      <c r="G184" t="n">
        <v>2023</v>
      </c>
      <c r="H184" t="inlineStr">
        <is>
          <t>202602</t>
        </is>
      </c>
      <c r="I184" s="22" t="n">
        <v>9257415.58</v>
      </c>
      <c r="J184" s="23" t="n">
        <v>6</v>
      </c>
      <c r="K184" s="24" t="n">
        <v>447</v>
      </c>
      <c r="L184" s="24" t="n">
        <v>8</v>
      </c>
      <c r="M184" t="n">
        <v>26</v>
      </c>
      <c r="N184" t="n">
        <v>3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s="24">
        <f>J184*100-(K184+(1+L184)*12.5)</f>
        <v/>
      </c>
      <c r="U184">
        <f>O184</f>
        <v/>
      </c>
      <c r="V184">
        <f>M184</f>
        <v/>
      </c>
      <c r="W184" s="23">
        <f>LN(1+I184)</f>
        <v/>
      </c>
      <c r="X184">
        <f>IF(G184&gt;=2021,1,0)</f>
        <v/>
      </c>
      <c r="Y184">
        <f>N184</f>
        <v/>
      </c>
      <c r="Z184" s="23">
        <f>IF(ISNUMBER(M184),N184/MAX(M184,1),0)</f>
        <v/>
      </c>
      <c r="AA184">
        <f>P184</f>
        <v/>
      </c>
      <c r="AB184">
        <f>Q184</f>
        <v/>
      </c>
      <c r="AC184">
        <f>R184</f>
        <v/>
      </c>
      <c r="AD184">
        <f>S184</f>
        <v/>
      </c>
      <c r="AE184">
        <f>IF(ISNUMBER(SEARCH("CAPITAL FUNDING",D184)),1,0)</f>
        <v/>
      </c>
      <c r="AF184">
        <f>IF(ISNUMBER(SEARCH("MERCHANTS",D184)),1,0)</f>
        <v/>
      </c>
      <c r="AG184">
        <f>IF(ISNUMBER(SEARCH("WELLS FARGO",D184)),1,0)</f>
        <v/>
      </c>
      <c r="AH184">
        <f>IF(ISNUMBER(SEARCH("WALKER",D184)),1,0)</f>
        <v/>
      </c>
      <c r="AI184">
        <f>IF(ISNUMBER(SEARCH("PNC",D184)),1,0)</f>
        <v/>
      </c>
      <c r="AJ184">
        <f>IF(ISNUMBER(SEARCH("BERKADIA",D184)),1,0)</f>
        <v/>
      </c>
      <c r="AK184">
        <f>IF(ISNUMBER(SEARCH("DWIGHT",D184)),1,0)</f>
        <v/>
      </c>
      <c r="AL184" s="25">
        <f>T$4*(T184-T$3)</f>
        <v/>
      </c>
      <c r="AM184" s="25">
        <f>U$4*(U184-U$3)</f>
        <v/>
      </c>
      <c r="AN184" s="25">
        <f>V$4*(V184-V$3)</f>
        <v/>
      </c>
      <c r="AO184" s="25">
        <f>W$4*(W184-W$3)</f>
        <v/>
      </c>
      <c r="AP184" s="25">
        <f>X$4*(X184-X$3)</f>
        <v/>
      </c>
      <c r="AQ184" s="25">
        <f>Y$4*(Y184-Y$3)</f>
        <v/>
      </c>
      <c r="AR184" s="25">
        <f>Z$4*(Z184-Z$3)</f>
        <v/>
      </c>
      <c r="AS184" s="25">
        <f>AA$4*(AA184-AA$3)</f>
        <v/>
      </c>
      <c r="AT184" s="25">
        <f>AB$4*(AB184-AB$3)</f>
        <v/>
      </c>
      <c r="AU184" s="25">
        <f>AC$4*(AC184-AC$3)</f>
        <v/>
      </c>
      <c r="AV184" s="25">
        <f>AD$4*(AD184-AD$3)</f>
        <v/>
      </c>
      <c r="AW184" s="25">
        <f>AE$4*(AE184-AE$3)</f>
        <v/>
      </c>
      <c r="AX184" s="25">
        <f>AF$4*(AF184-AF$3)</f>
        <v/>
      </c>
      <c r="AY184" s="25">
        <f>AG$4*(AG184-AG$3)</f>
        <v/>
      </c>
      <c r="AZ184" s="25">
        <f>AH$4*(AH184-AH$3)</f>
        <v/>
      </c>
      <c r="BA184" s="25">
        <f>AI$4*(AI184-AI$3)</f>
        <v/>
      </c>
      <c r="BB184" s="25">
        <f>AJ$4*(AJ184-AJ$3)</f>
        <v/>
      </c>
      <c r="BC184" s="25">
        <f>AK$4*(AK184-AK$3)</f>
        <v/>
      </c>
      <c r="BD184" s="26">
        <f>SUM(AL184:BC184)</f>
        <v/>
      </c>
      <c r="BE184" s="26">
        <f>INTERCEPT_SCALED+BD184</f>
        <v/>
      </c>
      <c r="BF184" s="27">
        <f>1/(1+EXP(-BE184))</f>
        <v/>
      </c>
      <c r="BG184" s="13">
        <f>1-(1-BF184)^12</f>
        <v/>
      </c>
      <c r="BH184" s="13">
        <f>IFERROR(AL184/BD184*(BG184-BASELINE_CPR),0)</f>
        <v/>
      </c>
      <c r="BI184" s="13">
        <f>IFERROR(AM184/BD184*(BG184-BASELINE_CPR),0)</f>
        <v/>
      </c>
      <c r="BJ184" s="13">
        <f>IFERROR(AN184/BD184*(BG184-BASELINE_CPR),0)</f>
        <v/>
      </c>
      <c r="BK184" s="13">
        <f>IFERROR(AO184/BD184*(BG184-BASELINE_CPR),0)</f>
        <v/>
      </c>
      <c r="BL184" s="13">
        <f>IFERROR(AP184/BD184*(BG184-BASELINE_CPR),0)</f>
        <v/>
      </c>
      <c r="BM184" s="13">
        <f>IFERROR(AQ184/BD184*(BG184-BASELINE_CPR),0)</f>
        <v/>
      </c>
      <c r="BN184" s="13">
        <f>IFERROR(AR184/BD184*(BG184-BASELINE_CPR),0)</f>
        <v/>
      </c>
      <c r="BO184" s="13">
        <f>IFERROR(AS184/BD184*(BG184-BASELINE_CPR),0)</f>
        <v/>
      </c>
      <c r="BP184" s="13">
        <f>IFERROR(AT184/BD184*(BG184-BASELINE_CPR),0)</f>
        <v/>
      </c>
      <c r="BQ184" s="13">
        <f>IFERROR(AU184/BD184*(BG184-BASELINE_CPR),0)</f>
        <v/>
      </c>
      <c r="BR184" s="13">
        <f>IFERROR(AV184/BD184*(BG184-BASELINE_CPR),0)</f>
        <v/>
      </c>
      <c r="BS184" s="13">
        <f>IFERROR(AW184/BD184*(BG184-BASELINE_CPR),0)</f>
        <v/>
      </c>
      <c r="BT184" s="13">
        <f>IFERROR(AX184/BD184*(BG184-BASELINE_CPR),0)</f>
        <v/>
      </c>
      <c r="BU184" s="13">
        <f>IFERROR(AY184/BD184*(BG184-BASELINE_CPR),0)</f>
        <v/>
      </c>
      <c r="BV184" s="13">
        <f>IFERROR(AZ184/BD184*(BG184-BASELINE_CPR),0)</f>
        <v/>
      </c>
      <c r="BW184" s="13">
        <f>IFERROR(BA184/BD184*(BG184-BASELINE_CPR),0)</f>
        <v/>
      </c>
      <c r="BX184" s="13">
        <f>IFERROR(BB184/BD184*(BG184-BASELINE_CPR),0)</f>
        <v/>
      </c>
      <c r="BY184" s="13">
        <f>IFERROR(BC184/BD184*(BG184-BASELINE_CPR),0)</f>
        <v/>
      </c>
      <c r="BZ184" s="28">
        <f>BASELINE_CPR+SUM(BH184:BY184)-BG184</f>
        <v/>
      </c>
    </row>
    <row r="185">
      <c r="A185" s="2" t="inlineStr">
        <is>
          <t>3617NFXJ3_000000004822022</t>
        </is>
      </c>
      <c r="B185" t="inlineStr">
        <is>
          <t>CAPITAL_PRE21</t>
        </is>
      </c>
      <c r="C185" s="2" t="inlineStr">
        <is>
          <t>3617NFXJ3</t>
        </is>
      </c>
      <c r="D185" t="inlineStr">
        <is>
          <t>CAPITAL FUNDING,LLC.</t>
        </is>
      </c>
      <c r="E185" t="inlineStr">
        <is>
          <t>232</t>
        </is>
      </c>
      <c r="F185" t="inlineStr">
        <is>
          <t>RP</t>
        </is>
      </c>
      <c r="G185" t="n">
        <v>2010</v>
      </c>
      <c r="H185" t="inlineStr">
        <is>
          <t>202602</t>
        </is>
      </c>
      <c r="I185" s="22" t="n">
        <v>2463434.45</v>
      </c>
      <c r="J185" s="23" t="n">
        <v>2.95</v>
      </c>
      <c r="K185" s="24" t="n">
        <v>447</v>
      </c>
      <c r="L185" s="24" t="n">
        <v>5</v>
      </c>
      <c r="M185" t="n">
        <v>182</v>
      </c>
      <c r="N185" t="n">
        <v>5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s="24">
        <f>J185*100-(K185+(1+L185)*12.5)</f>
        <v/>
      </c>
      <c r="U185">
        <f>O185</f>
        <v/>
      </c>
      <c r="V185">
        <f>M185</f>
        <v/>
      </c>
      <c r="W185" s="23">
        <f>LN(1+I185)</f>
        <v/>
      </c>
      <c r="X185">
        <f>IF(G185&gt;=2021,1,0)</f>
        <v/>
      </c>
      <c r="Y185">
        <f>N185</f>
        <v/>
      </c>
      <c r="Z185" s="23">
        <f>IF(ISNUMBER(M185),N185/MAX(M185,1),0)</f>
        <v/>
      </c>
      <c r="AA185">
        <f>P185</f>
        <v/>
      </c>
      <c r="AB185">
        <f>Q185</f>
        <v/>
      </c>
      <c r="AC185">
        <f>R185</f>
        <v/>
      </c>
      <c r="AD185">
        <f>S185</f>
        <v/>
      </c>
      <c r="AE185">
        <f>IF(ISNUMBER(SEARCH("CAPITAL FUNDING",D185)),1,0)</f>
        <v/>
      </c>
      <c r="AF185">
        <f>IF(ISNUMBER(SEARCH("MERCHANTS",D185)),1,0)</f>
        <v/>
      </c>
      <c r="AG185">
        <f>IF(ISNUMBER(SEARCH("WELLS FARGO",D185)),1,0)</f>
        <v/>
      </c>
      <c r="AH185">
        <f>IF(ISNUMBER(SEARCH("WALKER",D185)),1,0)</f>
        <v/>
      </c>
      <c r="AI185">
        <f>IF(ISNUMBER(SEARCH("PNC",D185)),1,0)</f>
        <v/>
      </c>
      <c r="AJ185">
        <f>IF(ISNUMBER(SEARCH("BERKADIA",D185)),1,0)</f>
        <v/>
      </c>
      <c r="AK185">
        <f>IF(ISNUMBER(SEARCH("DWIGHT",D185)),1,0)</f>
        <v/>
      </c>
      <c r="AL185" s="25">
        <f>T$4*(T185-T$3)</f>
        <v/>
      </c>
      <c r="AM185" s="25">
        <f>U$4*(U185-U$3)</f>
        <v/>
      </c>
      <c r="AN185" s="25">
        <f>V$4*(V185-V$3)</f>
        <v/>
      </c>
      <c r="AO185" s="25">
        <f>W$4*(W185-W$3)</f>
        <v/>
      </c>
      <c r="AP185" s="25">
        <f>X$4*(X185-X$3)</f>
        <v/>
      </c>
      <c r="AQ185" s="25">
        <f>Y$4*(Y185-Y$3)</f>
        <v/>
      </c>
      <c r="AR185" s="25">
        <f>Z$4*(Z185-Z$3)</f>
        <v/>
      </c>
      <c r="AS185" s="25">
        <f>AA$4*(AA185-AA$3)</f>
        <v/>
      </c>
      <c r="AT185" s="25">
        <f>AB$4*(AB185-AB$3)</f>
        <v/>
      </c>
      <c r="AU185" s="25">
        <f>AC$4*(AC185-AC$3)</f>
        <v/>
      </c>
      <c r="AV185" s="25">
        <f>AD$4*(AD185-AD$3)</f>
        <v/>
      </c>
      <c r="AW185" s="25">
        <f>AE$4*(AE185-AE$3)</f>
        <v/>
      </c>
      <c r="AX185" s="25">
        <f>AF$4*(AF185-AF$3)</f>
        <v/>
      </c>
      <c r="AY185" s="25">
        <f>AG$4*(AG185-AG$3)</f>
        <v/>
      </c>
      <c r="AZ185" s="25">
        <f>AH$4*(AH185-AH$3)</f>
        <v/>
      </c>
      <c r="BA185" s="25">
        <f>AI$4*(AI185-AI$3)</f>
        <v/>
      </c>
      <c r="BB185" s="25">
        <f>AJ$4*(AJ185-AJ$3)</f>
        <v/>
      </c>
      <c r="BC185" s="25">
        <f>AK$4*(AK185-AK$3)</f>
        <v/>
      </c>
      <c r="BD185" s="26">
        <f>SUM(AL185:BC185)</f>
        <v/>
      </c>
      <c r="BE185" s="26">
        <f>INTERCEPT_SCALED+BD185</f>
        <v/>
      </c>
      <c r="BF185" s="27">
        <f>1/(1+EXP(-BE185))</f>
        <v/>
      </c>
      <c r="BG185" s="13">
        <f>1-(1-BF185)^12</f>
        <v/>
      </c>
      <c r="BH185" s="13">
        <f>IFERROR(AL185/BD185*(BG185-BASELINE_CPR),0)</f>
        <v/>
      </c>
      <c r="BI185" s="13">
        <f>IFERROR(AM185/BD185*(BG185-BASELINE_CPR),0)</f>
        <v/>
      </c>
      <c r="BJ185" s="13">
        <f>IFERROR(AN185/BD185*(BG185-BASELINE_CPR),0)</f>
        <v/>
      </c>
      <c r="BK185" s="13">
        <f>IFERROR(AO185/BD185*(BG185-BASELINE_CPR),0)</f>
        <v/>
      </c>
      <c r="BL185" s="13">
        <f>IFERROR(AP185/BD185*(BG185-BASELINE_CPR),0)</f>
        <v/>
      </c>
      <c r="BM185" s="13">
        <f>IFERROR(AQ185/BD185*(BG185-BASELINE_CPR),0)</f>
        <v/>
      </c>
      <c r="BN185" s="13">
        <f>IFERROR(AR185/BD185*(BG185-BASELINE_CPR),0)</f>
        <v/>
      </c>
      <c r="BO185" s="13">
        <f>IFERROR(AS185/BD185*(BG185-BASELINE_CPR),0)</f>
        <v/>
      </c>
      <c r="BP185" s="13">
        <f>IFERROR(AT185/BD185*(BG185-BASELINE_CPR),0)</f>
        <v/>
      </c>
      <c r="BQ185" s="13">
        <f>IFERROR(AU185/BD185*(BG185-BASELINE_CPR),0)</f>
        <v/>
      </c>
      <c r="BR185" s="13">
        <f>IFERROR(AV185/BD185*(BG185-BASELINE_CPR),0)</f>
        <v/>
      </c>
      <c r="BS185" s="13">
        <f>IFERROR(AW185/BD185*(BG185-BASELINE_CPR),0)</f>
        <v/>
      </c>
      <c r="BT185" s="13">
        <f>IFERROR(AX185/BD185*(BG185-BASELINE_CPR),0)</f>
        <v/>
      </c>
      <c r="BU185" s="13">
        <f>IFERROR(AY185/BD185*(BG185-BASELINE_CPR),0)</f>
        <v/>
      </c>
      <c r="BV185" s="13">
        <f>IFERROR(AZ185/BD185*(BG185-BASELINE_CPR),0)</f>
        <v/>
      </c>
      <c r="BW185" s="13">
        <f>IFERROR(BA185/BD185*(BG185-BASELINE_CPR),0)</f>
        <v/>
      </c>
      <c r="BX185" s="13">
        <f>IFERROR(BB185/BD185*(BG185-BASELINE_CPR),0)</f>
        <v/>
      </c>
      <c r="BY185" s="13">
        <f>IFERROR(BC185/BD185*(BG185-BASELINE_CPR),0)</f>
        <v/>
      </c>
      <c r="BZ185" s="28">
        <f>BASELINE_CPR+SUM(BH185:BY185)-BG185</f>
        <v/>
      </c>
    </row>
    <row r="186">
      <c r="A186" s="2" t="inlineStr">
        <is>
          <t>3617ACJL5_000000010122125</t>
        </is>
      </c>
      <c r="B186" t="inlineStr">
        <is>
          <t>CAPITAL_PRE21</t>
        </is>
      </c>
      <c r="C186" s="2" t="inlineStr">
        <is>
          <t>3617ACJL5</t>
        </is>
      </c>
      <c r="D186" t="inlineStr">
        <is>
          <t>CAPITAL FUNDING,LLC.</t>
        </is>
      </c>
      <c r="E186" t="inlineStr">
        <is>
          <t>232</t>
        </is>
      </c>
      <c r="F186" t="inlineStr">
        <is>
          <t>RP</t>
        </is>
      </c>
      <c r="G186" t="n">
        <v>2017</v>
      </c>
      <c r="H186" t="inlineStr">
        <is>
          <t>202602</t>
        </is>
      </c>
      <c r="I186" s="22" t="n">
        <v>10506744.22</v>
      </c>
      <c r="J186" s="23" t="n">
        <v>4.15</v>
      </c>
      <c r="K186" s="24" t="n">
        <v>447</v>
      </c>
      <c r="L186" s="24" t="n">
        <v>0</v>
      </c>
      <c r="M186" t="n">
        <v>105</v>
      </c>
      <c r="N186" t="n">
        <v>43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s="24">
        <f>J186*100-(K186+(1+L186)*12.5)</f>
        <v/>
      </c>
      <c r="U186">
        <f>O186</f>
        <v/>
      </c>
      <c r="V186">
        <f>M186</f>
        <v/>
      </c>
      <c r="W186" s="23">
        <f>LN(1+I186)</f>
        <v/>
      </c>
      <c r="X186">
        <f>IF(G186&gt;=2021,1,0)</f>
        <v/>
      </c>
      <c r="Y186">
        <f>N186</f>
        <v/>
      </c>
      <c r="Z186" s="23">
        <f>IF(ISNUMBER(M186),N186/MAX(M186,1),0)</f>
        <v/>
      </c>
      <c r="AA186">
        <f>P186</f>
        <v/>
      </c>
      <c r="AB186">
        <f>Q186</f>
        <v/>
      </c>
      <c r="AC186">
        <f>R186</f>
        <v/>
      </c>
      <c r="AD186">
        <f>S186</f>
        <v/>
      </c>
      <c r="AE186">
        <f>IF(ISNUMBER(SEARCH("CAPITAL FUNDING",D186)),1,0)</f>
        <v/>
      </c>
      <c r="AF186">
        <f>IF(ISNUMBER(SEARCH("MERCHANTS",D186)),1,0)</f>
        <v/>
      </c>
      <c r="AG186">
        <f>IF(ISNUMBER(SEARCH("WELLS FARGO",D186)),1,0)</f>
        <v/>
      </c>
      <c r="AH186">
        <f>IF(ISNUMBER(SEARCH("WALKER",D186)),1,0)</f>
        <v/>
      </c>
      <c r="AI186">
        <f>IF(ISNUMBER(SEARCH("PNC",D186)),1,0)</f>
        <v/>
      </c>
      <c r="AJ186">
        <f>IF(ISNUMBER(SEARCH("BERKADIA",D186)),1,0)</f>
        <v/>
      </c>
      <c r="AK186">
        <f>IF(ISNUMBER(SEARCH("DWIGHT",D186)),1,0)</f>
        <v/>
      </c>
      <c r="AL186" s="25">
        <f>T$4*(T186-T$3)</f>
        <v/>
      </c>
      <c r="AM186" s="25">
        <f>U$4*(U186-U$3)</f>
        <v/>
      </c>
      <c r="AN186" s="25">
        <f>V$4*(V186-V$3)</f>
        <v/>
      </c>
      <c r="AO186" s="25">
        <f>W$4*(W186-W$3)</f>
        <v/>
      </c>
      <c r="AP186" s="25">
        <f>X$4*(X186-X$3)</f>
        <v/>
      </c>
      <c r="AQ186" s="25">
        <f>Y$4*(Y186-Y$3)</f>
        <v/>
      </c>
      <c r="AR186" s="25">
        <f>Z$4*(Z186-Z$3)</f>
        <v/>
      </c>
      <c r="AS186" s="25">
        <f>AA$4*(AA186-AA$3)</f>
        <v/>
      </c>
      <c r="AT186" s="25">
        <f>AB$4*(AB186-AB$3)</f>
        <v/>
      </c>
      <c r="AU186" s="25">
        <f>AC$4*(AC186-AC$3)</f>
        <v/>
      </c>
      <c r="AV186" s="25">
        <f>AD$4*(AD186-AD$3)</f>
        <v/>
      </c>
      <c r="AW186" s="25">
        <f>AE$4*(AE186-AE$3)</f>
        <v/>
      </c>
      <c r="AX186" s="25">
        <f>AF$4*(AF186-AF$3)</f>
        <v/>
      </c>
      <c r="AY186" s="25">
        <f>AG$4*(AG186-AG$3)</f>
        <v/>
      </c>
      <c r="AZ186" s="25">
        <f>AH$4*(AH186-AH$3)</f>
        <v/>
      </c>
      <c r="BA186" s="25">
        <f>AI$4*(AI186-AI$3)</f>
        <v/>
      </c>
      <c r="BB186" s="25">
        <f>AJ$4*(AJ186-AJ$3)</f>
        <v/>
      </c>
      <c r="BC186" s="25">
        <f>AK$4*(AK186-AK$3)</f>
        <v/>
      </c>
      <c r="BD186" s="26">
        <f>SUM(AL186:BC186)</f>
        <v/>
      </c>
      <c r="BE186" s="26">
        <f>INTERCEPT_SCALED+BD186</f>
        <v/>
      </c>
      <c r="BF186" s="27">
        <f>1/(1+EXP(-BE186))</f>
        <v/>
      </c>
      <c r="BG186" s="13">
        <f>1-(1-BF186)^12</f>
        <v/>
      </c>
      <c r="BH186" s="13">
        <f>IFERROR(AL186/BD186*(BG186-BASELINE_CPR),0)</f>
        <v/>
      </c>
      <c r="BI186" s="13">
        <f>IFERROR(AM186/BD186*(BG186-BASELINE_CPR),0)</f>
        <v/>
      </c>
      <c r="BJ186" s="13">
        <f>IFERROR(AN186/BD186*(BG186-BASELINE_CPR),0)</f>
        <v/>
      </c>
      <c r="BK186" s="13">
        <f>IFERROR(AO186/BD186*(BG186-BASELINE_CPR),0)</f>
        <v/>
      </c>
      <c r="BL186" s="13">
        <f>IFERROR(AP186/BD186*(BG186-BASELINE_CPR),0)</f>
        <v/>
      </c>
      <c r="BM186" s="13">
        <f>IFERROR(AQ186/BD186*(BG186-BASELINE_CPR),0)</f>
        <v/>
      </c>
      <c r="BN186" s="13">
        <f>IFERROR(AR186/BD186*(BG186-BASELINE_CPR),0)</f>
        <v/>
      </c>
      <c r="BO186" s="13">
        <f>IFERROR(AS186/BD186*(BG186-BASELINE_CPR),0)</f>
        <v/>
      </c>
      <c r="BP186" s="13">
        <f>IFERROR(AT186/BD186*(BG186-BASELINE_CPR),0)</f>
        <v/>
      </c>
      <c r="BQ186" s="13">
        <f>IFERROR(AU186/BD186*(BG186-BASELINE_CPR),0)</f>
        <v/>
      </c>
      <c r="BR186" s="13">
        <f>IFERROR(AV186/BD186*(BG186-BASELINE_CPR),0)</f>
        <v/>
      </c>
      <c r="BS186" s="13">
        <f>IFERROR(AW186/BD186*(BG186-BASELINE_CPR),0)</f>
        <v/>
      </c>
      <c r="BT186" s="13">
        <f>IFERROR(AX186/BD186*(BG186-BASELINE_CPR),0)</f>
        <v/>
      </c>
      <c r="BU186" s="13">
        <f>IFERROR(AY186/BD186*(BG186-BASELINE_CPR),0)</f>
        <v/>
      </c>
      <c r="BV186" s="13">
        <f>IFERROR(AZ186/BD186*(BG186-BASELINE_CPR),0)</f>
        <v/>
      </c>
      <c r="BW186" s="13">
        <f>IFERROR(BA186/BD186*(BG186-BASELINE_CPR),0)</f>
        <v/>
      </c>
      <c r="BX186" s="13">
        <f>IFERROR(BB186/BD186*(BG186-BASELINE_CPR),0)</f>
        <v/>
      </c>
      <c r="BY186" s="13">
        <f>IFERROR(BC186/BD186*(BG186-BASELINE_CPR),0)</f>
        <v/>
      </c>
      <c r="BZ186" s="28">
        <f>BASELINE_CPR+SUM(BH186:BY186)-BG186</f>
        <v/>
      </c>
    </row>
    <row r="187">
      <c r="A187" s="2" t="inlineStr">
        <is>
          <t>36181DQH2_000000012122146</t>
        </is>
      </c>
      <c r="B187" t="inlineStr">
        <is>
          <t>CAPITAL_PRE21</t>
        </is>
      </c>
      <c r="C187" s="2" t="inlineStr">
        <is>
          <t>36181DQH2</t>
        </is>
      </c>
      <c r="D187" t="inlineStr">
        <is>
          <t>CAPITAL FUNDING,LLC.</t>
        </is>
      </c>
      <c r="E187" t="inlineStr">
        <is>
          <t>232</t>
        </is>
      </c>
      <c r="F187" t="inlineStr">
        <is>
          <t>RP</t>
        </is>
      </c>
      <c r="G187" t="n">
        <v>2013</v>
      </c>
      <c r="H187" t="inlineStr">
        <is>
          <t>202602</t>
        </is>
      </c>
      <c r="I187" s="22" t="n">
        <v>2672369.06</v>
      </c>
      <c r="J187" s="23" t="n">
        <v>3.91</v>
      </c>
      <c r="K187" s="24" t="n">
        <v>447</v>
      </c>
      <c r="L187" s="24" t="n">
        <v>0</v>
      </c>
      <c r="M187" t="n">
        <v>153</v>
      </c>
      <c r="N187" t="n">
        <v>38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s="24">
        <f>J187*100-(K187+(1+L187)*12.5)</f>
        <v/>
      </c>
      <c r="U187">
        <f>O187</f>
        <v/>
      </c>
      <c r="V187">
        <f>M187</f>
        <v/>
      </c>
      <c r="W187" s="23">
        <f>LN(1+I187)</f>
        <v/>
      </c>
      <c r="X187">
        <f>IF(G187&gt;=2021,1,0)</f>
        <v/>
      </c>
      <c r="Y187">
        <f>N187</f>
        <v/>
      </c>
      <c r="Z187" s="23">
        <f>IF(ISNUMBER(M187),N187/MAX(M187,1),0)</f>
        <v/>
      </c>
      <c r="AA187">
        <f>P187</f>
        <v/>
      </c>
      <c r="AB187">
        <f>Q187</f>
        <v/>
      </c>
      <c r="AC187">
        <f>R187</f>
        <v/>
      </c>
      <c r="AD187">
        <f>S187</f>
        <v/>
      </c>
      <c r="AE187">
        <f>IF(ISNUMBER(SEARCH("CAPITAL FUNDING",D187)),1,0)</f>
        <v/>
      </c>
      <c r="AF187">
        <f>IF(ISNUMBER(SEARCH("MERCHANTS",D187)),1,0)</f>
        <v/>
      </c>
      <c r="AG187">
        <f>IF(ISNUMBER(SEARCH("WELLS FARGO",D187)),1,0)</f>
        <v/>
      </c>
      <c r="AH187">
        <f>IF(ISNUMBER(SEARCH("WALKER",D187)),1,0)</f>
        <v/>
      </c>
      <c r="AI187">
        <f>IF(ISNUMBER(SEARCH("PNC",D187)),1,0)</f>
        <v/>
      </c>
      <c r="AJ187">
        <f>IF(ISNUMBER(SEARCH("BERKADIA",D187)),1,0)</f>
        <v/>
      </c>
      <c r="AK187">
        <f>IF(ISNUMBER(SEARCH("DWIGHT",D187)),1,0)</f>
        <v/>
      </c>
      <c r="AL187" s="25">
        <f>T$4*(T187-T$3)</f>
        <v/>
      </c>
      <c r="AM187" s="25">
        <f>U$4*(U187-U$3)</f>
        <v/>
      </c>
      <c r="AN187" s="25">
        <f>V$4*(V187-V$3)</f>
        <v/>
      </c>
      <c r="AO187" s="25">
        <f>W$4*(W187-W$3)</f>
        <v/>
      </c>
      <c r="AP187" s="25">
        <f>X$4*(X187-X$3)</f>
        <v/>
      </c>
      <c r="AQ187" s="25">
        <f>Y$4*(Y187-Y$3)</f>
        <v/>
      </c>
      <c r="AR187" s="25">
        <f>Z$4*(Z187-Z$3)</f>
        <v/>
      </c>
      <c r="AS187" s="25">
        <f>AA$4*(AA187-AA$3)</f>
        <v/>
      </c>
      <c r="AT187" s="25">
        <f>AB$4*(AB187-AB$3)</f>
        <v/>
      </c>
      <c r="AU187" s="25">
        <f>AC$4*(AC187-AC$3)</f>
        <v/>
      </c>
      <c r="AV187" s="25">
        <f>AD$4*(AD187-AD$3)</f>
        <v/>
      </c>
      <c r="AW187" s="25">
        <f>AE$4*(AE187-AE$3)</f>
        <v/>
      </c>
      <c r="AX187" s="25">
        <f>AF$4*(AF187-AF$3)</f>
        <v/>
      </c>
      <c r="AY187" s="25">
        <f>AG$4*(AG187-AG$3)</f>
        <v/>
      </c>
      <c r="AZ187" s="25">
        <f>AH$4*(AH187-AH$3)</f>
        <v/>
      </c>
      <c r="BA187" s="25">
        <f>AI$4*(AI187-AI$3)</f>
        <v/>
      </c>
      <c r="BB187" s="25">
        <f>AJ$4*(AJ187-AJ$3)</f>
        <v/>
      </c>
      <c r="BC187" s="25">
        <f>AK$4*(AK187-AK$3)</f>
        <v/>
      </c>
      <c r="BD187" s="26">
        <f>SUM(AL187:BC187)</f>
        <v/>
      </c>
      <c r="BE187" s="26">
        <f>INTERCEPT_SCALED+BD187</f>
        <v/>
      </c>
      <c r="BF187" s="27">
        <f>1/(1+EXP(-BE187))</f>
        <v/>
      </c>
      <c r="BG187" s="13">
        <f>1-(1-BF187)^12</f>
        <v/>
      </c>
      <c r="BH187" s="13">
        <f>IFERROR(AL187/BD187*(BG187-BASELINE_CPR),0)</f>
        <v/>
      </c>
      <c r="BI187" s="13">
        <f>IFERROR(AM187/BD187*(BG187-BASELINE_CPR),0)</f>
        <v/>
      </c>
      <c r="BJ187" s="13">
        <f>IFERROR(AN187/BD187*(BG187-BASELINE_CPR),0)</f>
        <v/>
      </c>
      <c r="BK187" s="13">
        <f>IFERROR(AO187/BD187*(BG187-BASELINE_CPR),0)</f>
        <v/>
      </c>
      <c r="BL187" s="13">
        <f>IFERROR(AP187/BD187*(BG187-BASELINE_CPR),0)</f>
        <v/>
      </c>
      <c r="BM187" s="13">
        <f>IFERROR(AQ187/BD187*(BG187-BASELINE_CPR),0)</f>
        <v/>
      </c>
      <c r="BN187" s="13">
        <f>IFERROR(AR187/BD187*(BG187-BASELINE_CPR),0)</f>
        <v/>
      </c>
      <c r="BO187" s="13">
        <f>IFERROR(AS187/BD187*(BG187-BASELINE_CPR),0)</f>
        <v/>
      </c>
      <c r="BP187" s="13">
        <f>IFERROR(AT187/BD187*(BG187-BASELINE_CPR),0)</f>
        <v/>
      </c>
      <c r="BQ187" s="13">
        <f>IFERROR(AU187/BD187*(BG187-BASELINE_CPR),0)</f>
        <v/>
      </c>
      <c r="BR187" s="13">
        <f>IFERROR(AV187/BD187*(BG187-BASELINE_CPR),0)</f>
        <v/>
      </c>
      <c r="BS187" s="13">
        <f>IFERROR(AW187/BD187*(BG187-BASELINE_CPR),0)</f>
        <v/>
      </c>
      <c r="BT187" s="13">
        <f>IFERROR(AX187/BD187*(BG187-BASELINE_CPR),0)</f>
        <v/>
      </c>
      <c r="BU187" s="13">
        <f>IFERROR(AY187/BD187*(BG187-BASELINE_CPR),0)</f>
        <v/>
      </c>
      <c r="BV187" s="13">
        <f>IFERROR(AZ187/BD187*(BG187-BASELINE_CPR),0)</f>
        <v/>
      </c>
      <c r="BW187" s="13">
        <f>IFERROR(BA187/BD187*(BG187-BASELINE_CPR),0)</f>
        <v/>
      </c>
      <c r="BX187" s="13">
        <f>IFERROR(BB187/BD187*(BG187-BASELINE_CPR),0)</f>
        <v/>
      </c>
      <c r="BY187" s="13">
        <f>IFERROR(BC187/BD187*(BG187-BASELINE_CPR),0)</f>
        <v/>
      </c>
      <c r="BZ187" s="28">
        <f>BASELINE_CPR+SUM(BH187:BY187)-BG187</f>
        <v/>
      </c>
    </row>
    <row r="188">
      <c r="A188" s="2" t="inlineStr">
        <is>
          <t>36176TTE8_000000007422022</t>
        </is>
      </c>
      <c r="B188" t="inlineStr">
        <is>
          <t>CAPITAL_PRE21</t>
        </is>
      </c>
      <c r="C188" s="2" t="inlineStr">
        <is>
          <t>36176TTE8</t>
        </is>
      </c>
      <c r="D188" t="inlineStr">
        <is>
          <t>CAPITAL FUNDING,LLC.</t>
        </is>
      </c>
      <c r="E188" t="inlineStr">
        <is>
          <t>232</t>
        </is>
      </c>
      <c r="F188" t="inlineStr">
        <is>
          <t>RP</t>
        </is>
      </c>
      <c r="G188" t="n">
        <v>2012</v>
      </c>
      <c r="H188" t="inlineStr">
        <is>
          <t>202602</t>
        </is>
      </c>
      <c r="I188" s="22" t="n">
        <v>1483057.17</v>
      </c>
      <c r="J188" s="23" t="n">
        <v>3.79</v>
      </c>
      <c r="K188" s="24" t="n">
        <v>447</v>
      </c>
      <c r="L188" s="24" t="n">
        <v>0</v>
      </c>
      <c r="M188" t="n">
        <v>169</v>
      </c>
      <c r="N188" t="n">
        <v>40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s="24">
        <f>J188*100-(K188+(1+L188)*12.5)</f>
        <v/>
      </c>
      <c r="U188">
        <f>O188</f>
        <v/>
      </c>
      <c r="V188">
        <f>M188</f>
        <v/>
      </c>
      <c r="W188" s="23">
        <f>LN(1+I188)</f>
        <v/>
      </c>
      <c r="X188">
        <f>IF(G188&gt;=2021,1,0)</f>
        <v/>
      </c>
      <c r="Y188">
        <f>N188</f>
        <v/>
      </c>
      <c r="Z188" s="23">
        <f>IF(ISNUMBER(M188),N188/MAX(M188,1),0)</f>
        <v/>
      </c>
      <c r="AA188">
        <f>P188</f>
        <v/>
      </c>
      <c r="AB188">
        <f>Q188</f>
        <v/>
      </c>
      <c r="AC188">
        <f>R188</f>
        <v/>
      </c>
      <c r="AD188">
        <f>S188</f>
        <v/>
      </c>
      <c r="AE188">
        <f>IF(ISNUMBER(SEARCH("CAPITAL FUNDING",D188)),1,0)</f>
        <v/>
      </c>
      <c r="AF188">
        <f>IF(ISNUMBER(SEARCH("MERCHANTS",D188)),1,0)</f>
        <v/>
      </c>
      <c r="AG188">
        <f>IF(ISNUMBER(SEARCH("WELLS FARGO",D188)),1,0)</f>
        <v/>
      </c>
      <c r="AH188">
        <f>IF(ISNUMBER(SEARCH("WALKER",D188)),1,0)</f>
        <v/>
      </c>
      <c r="AI188">
        <f>IF(ISNUMBER(SEARCH("PNC",D188)),1,0)</f>
        <v/>
      </c>
      <c r="AJ188">
        <f>IF(ISNUMBER(SEARCH("BERKADIA",D188)),1,0)</f>
        <v/>
      </c>
      <c r="AK188">
        <f>IF(ISNUMBER(SEARCH("DWIGHT",D188)),1,0)</f>
        <v/>
      </c>
      <c r="AL188" s="25">
        <f>T$4*(T188-T$3)</f>
        <v/>
      </c>
      <c r="AM188" s="25">
        <f>U$4*(U188-U$3)</f>
        <v/>
      </c>
      <c r="AN188" s="25">
        <f>V$4*(V188-V$3)</f>
        <v/>
      </c>
      <c r="AO188" s="25">
        <f>W$4*(W188-W$3)</f>
        <v/>
      </c>
      <c r="AP188" s="25">
        <f>X$4*(X188-X$3)</f>
        <v/>
      </c>
      <c r="AQ188" s="25">
        <f>Y$4*(Y188-Y$3)</f>
        <v/>
      </c>
      <c r="AR188" s="25">
        <f>Z$4*(Z188-Z$3)</f>
        <v/>
      </c>
      <c r="AS188" s="25">
        <f>AA$4*(AA188-AA$3)</f>
        <v/>
      </c>
      <c r="AT188" s="25">
        <f>AB$4*(AB188-AB$3)</f>
        <v/>
      </c>
      <c r="AU188" s="25">
        <f>AC$4*(AC188-AC$3)</f>
        <v/>
      </c>
      <c r="AV188" s="25">
        <f>AD$4*(AD188-AD$3)</f>
        <v/>
      </c>
      <c r="AW188" s="25">
        <f>AE$4*(AE188-AE$3)</f>
        <v/>
      </c>
      <c r="AX188" s="25">
        <f>AF$4*(AF188-AF$3)</f>
        <v/>
      </c>
      <c r="AY188" s="25">
        <f>AG$4*(AG188-AG$3)</f>
        <v/>
      </c>
      <c r="AZ188" s="25">
        <f>AH$4*(AH188-AH$3)</f>
        <v/>
      </c>
      <c r="BA188" s="25">
        <f>AI$4*(AI188-AI$3)</f>
        <v/>
      </c>
      <c r="BB188" s="25">
        <f>AJ$4*(AJ188-AJ$3)</f>
        <v/>
      </c>
      <c r="BC188" s="25">
        <f>AK$4*(AK188-AK$3)</f>
        <v/>
      </c>
      <c r="BD188" s="26">
        <f>SUM(AL188:BC188)</f>
        <v/>
      </c>
      <c r="BE188" s="26">
        <f>INTERCEPT_SCALED+BD188</f>
        <v/>
      </c>
      <c r="BF188" s="27">
        <f>1/(1+EXP(-BE188))</f>
        <v/>
      </c>
      <c r="BG188" s="13">
        <f>1-(1-BF188)^12</f>
        <v/>
      </c>
      <c r="BH188" s="13">
        <f>IFERROR(AL188/BD188*(BG188-BASELINE_CPR),0)</f>
        <v/>
      </c>
      <c r="BI188" s="13">
        <f>IFERROR(AM188/BD188*(BG188-BASELINE_CPR),0)</f>
        <v/>
      </c>
      <c r="BJ188" s="13">
        <f>IFERROR(AN188/BD188*(BG188-BASELINE_CPR),0)</f>
        <v/>
      </c>
      <c r="BK188" s="13">
        <f>IFERROR(AO188/BD188*(BG188-BASELINE_CPR),0)</f>
        <v/>
      </c>
      <c r="BL188" s="13">
        <f>IFERROR(AP188/BD188*(BG188-BASELINE_CPR),0)</f>
        <v/>
      </c>
      <c r="BM188" s="13">
        <f>IFERROR(AQ188/BD188*(BG188-BASELINE_CPR),0)</f>
        <v/>
      </c>
      <c r="BN188" s="13">
        <f>IFERROR(AR188/BD188*(BG188-BASELINE_CPR),0)</f>
        <v/>
      </c>
      <c r="BO188" s="13">
        <f>IFERROR(AS188/BD188*(BG188-BASELINE_CPR),0)</f>
        <v/>
      </c>
      <c r="BP188" s="13">
        <f>IFERROR(AT188/BD188*(BG188-BASELINE_CPR),0)</f>
        <v/>
      </c>
      <c r="BQ188" s="13">
        <f>IFERROR(AU188/BD188*(BG188-BASELINE_CPR),0)</f>
        <v/>
      </c>
      <c r="BR188" s="13">
        <f>IFERROR(AV188/BD188*(BG188-BASELINE_CPR),0)</f>
        <v/>
      </c>
      <c r="BS188" s="13">
        <f>IFERROR(AW188/BD188*(BG188-BASELINE_CPR),0)</f>
        <v/>
      </c>
      <c r="BT188" s="13">
        <f>IFERROR(AX188/BD188*(BG188-BASELINE_CPR),0)</f>
        <v/>
      </c>
      <c r="BU188" s="13">
        <f>IFERROR(AY188/BD188*(BG188-BASELINE_CPR),0)</f>
        <v/>
      </c>
      <c r="BV188" s="13">
        <f>IFERROR(AZ188/BD188*(BG188-BASELINE_CPR),0)</f>
        <v/>
      </c>
      <c r="BW188" s="13">
        <f>IFERROR(BA188/BD188*(BG188-BASELINE_CPR),0)</f>
        <v/>
      </c>
      <c r="BX188" s="13">
        <f>IFERROR(BB188/BD188*(BG188-BASELINE_CPR),0)</f>
        <v/>
      </c>
      <c r="BY188" s="13">
        <f>IFERROR(BC188/BD188*(BG188-BASELINE_CPR),0)</f>
        <v/>
      </c>
      <c r="BZ188" s="28">
        <f>BASELINE_CPR+SUM(BH188:BY188)-BG188</f>
        <v/>
      </c>
    </row>
    <row r="189">
      <c r="A189" s="2" t="inlineStr">
        <is>
          <t>3617JU2N0_000000001722134</t>
        </is>
      </c>
      <c r="B189" t="inlineStr">
        <is>
          <t>CAPITAL_PRE21</t>
        </is>
      </c>
      <c r="C189" s="2" t="inlineStr">
        <is>
          <t>3617JU2N0</t>
        </is>
      </c>
      <c r="D189" t="inlineStr">
        <is>
          <t>CAPITAL FUNDING,LLC.</t>
        </is>
      </c>
      <c r="E189" t="inlineStr">
        <is>
          <t>232</t>
        </is>
      </c>
      <c r="F189" t="inlineStr">
        <is>
          <t>RP</t>
        </is>
      </c>
      <c r="G189" t="n">
        <v>2019</v>
      </c>
      <c r="H189" t="inlineStr">
        <is>
          <t>202602</t>
        </is>
      </c>
      <c r="I189" s="22" t="n">
        <v>18483731.62</v>
      </c>
      <c r="J189" s="23" t="n">
        <v>3.92</v>
      </c>
      <c r="K189" s="24" t="n">
        <v>447</v>
      </c>
      <c r="L189" s="24" t="n">
        <v>4</v>
      </c>
      <c r="M189" t="n">
        <v>82</v>
      </c>
      <c r="N189" t="n">
        <v>30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s="24">
        <f>J189*100-(K189+(1+L189)*12.5)</f>
        <v/>
      </c>
      <c r="U189">
        <f>O189</f>
        <v/>
      </c>
      <c r="V189">
        <f>M189</f>
        <v/>
      </c>
      <c r="W189" s="23">
        <f>LN(1+I189)</f>
        <v/>
      </c>
      <c r="X189">
        <f>IF(G189&gt;=2021,1,0)</f>
        <v/>
      </c>
      <c r="Y189">
        <f>N189</f>
        <v/>
      </c>
      <c r="Z189" s="23">
        <f>IF(ISNUMBER(M189),N189/MAX(M189,1),0)</f>
        <v/>
      </c>
      <c r="AA189">
        <f>P189</f>
        <v/>
      </c>
      <c r="AB189">
        <f>Q189</f>
        <v/>
      </c>
      <c r="AC189">
        <f>R189</f>
        <v/>
      </c>
      <c r="AD189">
        <f>S189</f>
        <v/>
      </c>
      <c r="AE189">
        <f>IF(ISNUMBER(SEARCH("CAPITAL FUNDING",D189)),1,0)</f>
        <v/>
      </c>
      <c r="AF189">
        <f>IF(ISNUMBER(SEARCH("MERCHANTS",D189)),1,0)</f>
        <v/>
      </c>
      <c r="AG189">
        <f>IF(ISNUMBER(SEARCH("WELLS FARGO",D189)),1,0)</f>
        <v/>
      </c>
      <c r="AH189">
        <f>IF(ISNUMBER(SEARCH("WALKER",D189)),1,0)</f>
        <v/>
      </c>
      <c r="AI189">
        <f>IF(ISNUMBER(SEARCH("PNC",D189)),1,0)</f>
        <v/>
      </c>
      <c r="AJ189">
        <f>IF(ISNUMBER(SEARCH("BERKADIA",D189)),1,0)</f>
        <v/>
      </c>
      <c r="AK189">
        <f>IF(ISNUMBER(SEARCH("DWIGHT",D189)),1,0)</f>
        <v/>
      </c>
      <c r="AL189" s="25">
        <f>T$4*(T189-T$3)</f>
        <v/>
      </c>
      <c r="AM189" s="25">
        <f>U$4*(U189-U$3)</f>
        <v/>
      </c>
      <c r="AN189" s="25">
        <f>V$4*(V189-V$3)</f>
        <v/>
      </c>
      <c r="AO189" s="25">
        <f>W$4*(W189-W$3)</f>
        <v/>
      </c>
      <c r="AP189" s="25">
        <f>X$4*(X189-X$3)</f>
        <v/>
      </c>
      <c r="AQ189" s="25">
        <f>Y$4*(Y189-Y$3)</f>
        <v/>
      </c>
      <c r="AR189" s="25">
        <f>Z$4*(Z189-Z$3)</f>
        <v/>
      </c>
      <c r="AS189" s="25">
        <f>AA$4*(AA189-AA$3)</f>
        <v/>
      </c>
      <c r="AT189" s="25">
        <f>AB$4*(AB189-AB$3)</f>
        <v/>
      </c>
      <c r="AU189" s="25">
        <f>AC$4*(AC189-AC$3)</f>
        <v/>
      </c>
      <c r="AV189" s="25">
        <f>AD$4*(AD189-AD$3)</f>
        <v/>
      </c>
      <c r="AW189" s="25">
        <f>AE$4*(AE189-AE$3)</f>
        <v/>
      </c>
      <c r="AX189" s="25">
        <f>AF$4*(AF189-AF$3)</f>
        <v/>
      </c>
      <c r="AY189" s="25">
        <f>AG$4*(AG189-AG$3)</f>
        <v/>
      </c>
      <c r="AZ189" s="25">
        <f>AH$4*(AH189-AH$3)</f>
        <v/>
      </c>
      <c r="BA189" s="25">
        <f>AI$4*(AI189-AI$3)</f>
        <v/>
      </c>
      <c r="BB189" s="25">
        <f>AJ$4*(AJ189-AJ$3)</f>
        <v/>
      </c>
      <c r="BC189" s="25">
        <f>AK$4*(AK189-AK$3)</f>
        <v/>
      </c>
      <c r="BD189" s="26">
        <f>SUM(AL189:BC189)</f>
        <v/>
      </c>
      <c r="BE189" s="26">
        <f>INTERCEPT_SCALED+BD189</f>
        <v/>
      </c>
      <c r="BF189" s="27">
        <f>1/(1+EXP(-BE189))</f>
        <v/>
      </c>
      <c r="BG189" s="13">
        <f>1-(1-BF189)^12</f>
        <v/>
      </c>
      <c r="BH189" s="13">
        <f>IFERROR(AL189/BD189*(BG189-BASELINE_CPR),0)</f>
        <v/>
      </c>
      <c r="BI189" s="13">
        <f>IFERROR(AM189/BD189*(BG189-BASELINE_CPR),0)</f>
        <v/>
      </c>
      <c r="BJ189" s="13">
        <f>IFERROR(AN189/BD189*(BG189-BASELINE_CPR),0)</f>
        <v/>
      </c>
      <c r="BK189" s="13">
        <f>IFERROR(AO189/BD189*(BG189-BASELINE_CPR),0)</f>
        <v/>
      </c>
      <c r="BL189" s="13">
        <f>IFERROR(AP189/BD189*(BG189-BASELINE_CPR),0)</f>
        <v/>
      </c>
      <c r="BM189" s="13">
        <f>IFERROR(AQ189/BD189*(BG189-BASELINE_CPR),0)</f>
        <v/>
      </c>
      <c r="BN189" s="13">
        <f>IFERROR(AR189/BD189*(BG189-BASELINE_CPR),0)</f>
        <v/>
      </c>
      <c r="BO189" s="13">
        <f>IFERROR(AS189/BD189*(BG189-BASELINE_CPR),0)</f>
        <v/>
      </c>
      <c r="BP189" s="13">
        <f>IFERROR(AT189/BD189*(BG189-BASELINE_CPR),0)</f>
        <v/>
      </c>
      <c r="BQ189" s="13">
        <f>IFERROR(AU189/BD189*(BG189-BASELINE_CPR),0)</f>
        <v/>
      </c>
      <c r="BR189" s="13">
        <f>IFERROR(AV189/BD189*(BG189-BASELINE_CPR),0)</f>
        <v/>
      </c>
      <c r="BS189" s="13">
        <f>IFERROR(AW189/BD189*(BG189-BASELINE_CPR),0)</f>
        <v/>
      </c>
      <c r="BT189" s="13">
        <f>IFERROR(AX189/BD189*(BG189-BASELINE_CPR),0)</f>
        <v/>
      </c>
      <c r="BU189" s="13">
        <f>IFERROR(AY189/BD189*(BG189-BASELINE_CPR),0)</f>
        <v/>
      </c>
      <c r="BV189" s="13">
        <f>IFERROR(AZ189/BD189*(BG189-BASELINE_CPR),0)</f>
        <v/>
      </c>
      <c r="BW189" s="13">
        <f>IFERROR(BA189/BD189*(BG189-BASELINE_CPR),0)</f>
        <v/>
      </c>
      <c r="BX189" s="13">
        <f>IFERROR(BB189/BD189*(BG189-BASELINE_CPR),0)</f>
        <v/>
      </c>
      <c r="BY189" s="13">
        <f>IFERROR(BC189/BD189*(BG189-BASELINE_CPR),0)</f>
        <v/>
      </c>
      <c r="BZ189" s="28">
        <f>BASELINE_CPR+SUM(BH189:BY189)-BG189</f>
        <v/>
      </c>
    </row>
    <row r="190">
      <c r="A190" s="2" t="inlineStr">
        <is>
          <t>36184X5E5_000000005422029</t>
        </is>
      </c>
      <c r="B190" t="inlineStr">
        <is>
          <t>CAPITAL_PRE21</t>
        </is>
      </c>
      <c r="C190" s="2" t="inlineStr">
        <is>
          <t>36184X5E5</t>
        </is>
      </c>
      <c r="D190" t="inlineStr">
        <is>
          <t>CAPITAL FUNDING,LLC.</t>
        </is>
      </c>
      <c r="E190" t="inlineStr">
        <is>
          <t>232</t>
        </is>
      </c>
      <c r="F190" t="inlineStr">
        <is>
          <t>RP</t>
        </is>
      </c>
      <c r="G190" t="n">
        <v>2015</v>
      </c>
      <c r="H190" t="inlineStr">
        <is>
          <t>202602</t>
        </is>
      </c>
      <c r="I190" s="22" t="n">
        <v>2942810.86</v>
      </c>
      <c r="J190" s="23" t="n">
        <v>3.99</v>
      </c>
      <c r="K190" s="24" t="n">
        <v>447</v>
      </c>
      <c r="L190" s="24" t="n">
        <v>0</v>
      </c>
      <c r="M190" t="n">
        <v>130</v>
      </c>
      <c r="N190" t="n">
        <v>36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s="24">
        <f>J190*100-(K190+(1+L190)*12.5)</f>
        <v/>
      </c>
      <c r="U190">
        <f>O190</f>
        <v/>
      </c>
      <c r="V190">
        <f>M190</f>
        <v/>
      </c>
      <c r="W190" s="23">
        <f>LN(1+I190)</f>
        <v/>
      </c>
      <c r="X190">
        <f>IF(G190&gt;=2021,1,0)</f>
        <v/>
      </c>
      <c r="Y190">
        <f>N190</f>
        <v/>
      </c>
      <c r="Z190" s="23">
        <f>IF(ISNUMBER(M190),N190/MAX(M190,1),0)</f>
        <v/>
      </c>
      <c r="AA190">
        <f>P190</f>
        <v/>
      </c>
      <c r="AB190">
        <f>Q190</f>
        <v/>
      </c>
      <c r="AC190">
        <f>R190</f>
        <v/>
      </c>
      <c r="AD190">
        <f>S190</f>
        <v/>
      </c>
      <c r="AE190">
        <f>IF(ISNUMBER(SEARCH("CAPITAL FUNDING",D190)),1,0)</f>
        <v/>
      </c>
      <c r="AF190">
        <f>IF(ISNUMBER(SEARCH("MERCHANTS",D190)),1,0)</f>
        <v/>
      </c>
      <c r="AG190">
        <f>IF(ISNUMBER(SEARCH("WELLS FARGO",D190)),1,0)</f>
        <v/>
      </c>
      <c r="AH190">
        <f>IF(ISNUMBER(SEARCH("WALKER",D190)),1,0)</f>
        <v/>
      </c>
      <c r="AI190">
        <f>IF(ISNUMBER(SEARCH("PNC",D190)),1,0)</f>
        <v/>
      </c>
      <c r="AJ190">
        <f>IF(ISNUMBER(SEARCH("BERKADIA",D190)),1,0)</f>
        <v/>
      </c>
      <c r="AK190">
        <f>IF(ISNUMBER(SEARCH("DWIGHT",D190)),1,0)</f>
        <v/>
      </c>
      <c r="AL190" s="25">
        <f>T$4*(T190-T$3)</f>
        <v/>
      </c>
      <c r="AM190" s="25">
        <f>U$4*(U190-U$3)</f>
        <v/>
      </c>
      <c r="AN190" s="25">
        <f>V$4*(V190-V$3)</f>
        <v/>
      </c>
      <c r="AO190" s="25">
        <f>W$4*(W190-W$3)</f>
        <v/>
      </c>
      <c r="AP190" s="25">
        <f>X$4*(X190-X$3)</f>
        <v/>
      </c>
      <c r="AQ190" s="25">
        <f>Y$4*(Y190-Y$3)</f>
        <v/>
      </c>
      <c r="AR190" s="25">
        <f>Z$4*(Z190-Z$3)</f>
        <v/>
      </c>
      <c r="AS190" s="25">
        <f>AA$4*(AA190-AA$3)</f>
        <v/>
      </c>
      <c r="AT190" s="25">
        <f>AB$4*(AB190-AB$3)</f>
        <v/>
      </c>
      <c r="AU190" s="25">
        <f>AC$4*(AC190-AC$3)</f>
        <v/>
      </c>
      <c r="AV190" s="25">
        <f>AD$4*(AD190-AD$3)</f>
        <v/>
      </c>
      <c r="AW190" s="25">
        <f>AE$4*(AE190-AE$3)</f>
        <v/>
      </c>
      <c r="AX190" s="25">
        <f>AF$4*(AF190-AF$3)</f>
        <v/>
      </c>
      <c r="AY190" s="25">
        <f>AG$4*(AG190-AG$3)</f>
        <v/>
      </c>
      <c r="AZ190" s="25">
        <f>AH$4*(AH190-AH$3)</f>
        <v/>
      </c>
      <c r="BA190" s="25">
        <f>AI$4*(AI190-AI$3)</f>
        <v/>
      </c>
      <c r="BB190" s="25">
        <f>AJ$4*(AJ190-AJ$3)</f>
        <v/>
      </c>
      <c r="BC190" s="25">
        <f>AK$4*(AK190-AK$3)</f>
        <v/>
      </c>
      <c r="BD190" s="26">
        <f>SUM(AL190:BC190)</f>
        <v/>
      </c>
      <c r="BE190" s="26">
        <f>INTERCEPT_SCALED+BD190</f>
        <v/>
      </c>
      <c r="BF190" s="27">
        <f>1/(1+EXP(-BE190))</f>
        <v/>
      </c>
      <c r="BG190" s="13">
        <f>1-(1-BF190)^12</f>
        <v/>
      </c>
      <c r="BH190" s="13">
        <f>IFERROR(AL190/BD190*(BG190-BASELINE_CPR),0)</f>
        <v/>
      </c>
      <c r="BI190" s="13">
        <f>IFERROR(AM190/BD190*(BG190-BASELINE_CPR),0)</f>
        <v/>
      </c>
      <c r="BJ190" s="13">
        <f>IFERROR(AN190/BD190*(BG190-BASELINE_CPR),0)</f>
        <v/>
      </c>
      <c r="BK190" s="13">
        <f>IFERROR(AO190/BD190*(BG190-BASELINE_CPR),0)</f>
        <v/>
      </c>
      <c r="BL190" s="13">
        <f>IFERROR(AP190/BD190*(BG190-BASELINE_CPR),0)</f>
        <v/>
      </c>
      <c r="BM190" s="13">
        <f>IFERROR(AQ190/BD190*(BG190-BASELINE_CPR),0)</f>
        <v/>
      </c>
      <c r="BN190" s="13">
        <f>IFERROR(AR190/BD190*(BG190-BASELINE_CPR),0)</f>
        <v/>
      </c>
      <c r="BO190" s="13">
        <f>IFERROR(AS190/BD190*(BG190-BASELINE_CPR),0)</f>
        <v/>
      </c>
      <c r="BP190" s="13">
        <f>IFERROR(AT190/BD190*(BG190-BASELINE_CPR),0)</f>
        <v/>
      </c>
      <c r="BQ190" s="13">
        <f>IFERROR(AU190/BD190*(BG190-BASELINE_CPR),0)</f>
        <v/>
      </c>
      <c r="BR190" s="13">
        <f>IFERROR(AV190/BD190*(BG190-BASELINE_CPR),0)</f>
        <v/>
      </c>
      <c r="BS190" s="13">
        <f>IFERROR(AW190/BD190*(BG190-BASELINE_CPR),0)</f>
        <v/>
      </c>
      <c r="BT190" s="13">
        <f>IFERROR(AX190/BD190*(BG190-BASELINE_CPR),0)</f>
        <v/>
      </c>
      <c r="BU190" s="13">
        <f>IFERROR(AY190/BD190*(BG190-BASELINE_CPR),0)</f>
        <v/>
      </c>
      <c r="BV190" s="13">
        <f>IFERROR(AZ190/BD190*(BG190-BASELINE_CPR),0)</f>
        <v/>
      </c>
      <c r="BW190" s="13">
        <f>IFERROR(BA190/BD190*(BG190-BASELINE_CPR),0)</f>
        <v/>
      </c>
      <c r="BX190" s="13">
        <f>IFERROR(BB190/BD190*(BG190-BASELINE_CPR),0)</f>
        <v/>
      </c>
      <c r="BY190" s="13">
        <f>IFERROR(BC190/BD190*(BG190-BASELINE_CPR),0)</f>
        <v/>
      </c>
      <c r="BZ190" s="28">
        <f>BASELINE_CPR+SUM(BH190:BY190)-BG190</f>
        <v/>
      </c>
    </row>
    <row r="191">
      <c r="A191" s="2" t="inlineStr">
        <is>
          <t>36189WVQ6_000000001422129</t>
        </is>
      </c>
      <c r="B191" t="inlineStr">
        <is>
          <t>CAPITAL_PRE21</t>
        </is>
      </c>
      <c r="C191" s="2" t="inlineStr">
        <is>
          <t>36189WVQ6</t>
        </is>
      </c>
      <c r="D191" t="inlineStr">
        <is>
          <t>CAPITAL FUNDING,LLC.</t>
        </is>
      </c>
      <c r="E191" t="inlineStr">
        <is>
          <t>232</t>
        </is>
      </c>
      <c r="F191" t="inlineStr">
        <is>
          <t>RP</t>
        </is>
      </c>
      <c r="G191" t="n">
        <v>2016</v>
      </c>
      <c r="H191" t="inlineStr">
        <is>
          <t>202602</t>
        </is>
      </c>
      <c r="I191" s="22" t="n">
        <v>2741628</v>
      </c>
      <c r="J191" s="23" t="n">
        <v>3.45</v>
      </c>
      <c r="K191" s="24" t="n">
        <v>447</v>
      </c>
      <c r="L191" s="24" t="n">
        <v>1</v>
      </c>
      <c r="M191" t="n">
        <v>119</v>
      </c>
      <c r="N191" t="n">
        <v>28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s="24">
        <f>J191*100-(K191+(1+L191)*12.5)</f>
        <v/>
      </c>
      <c r="U191">
        <f>O191</f>
        <v/>
      </c>
      <c r="V191">
        <f>M191</f>
        <v/>
      </c>
      <c r="W191" s="23">
        <f>LN(1+I191)</f>
        <v/>
      </c>
      <c r="X191">
        <f>IF(G191&gt;=2021,1,0)</f>
        <v/>
      </c>
      <c r="Y191">
        <f>N191</f>
        <v/>
      </c>
      <c r="Z191" s="23">
        <f>IF(ISNUMBER(M191),N191/MAX(M191,1),0)</f>
        <v/>
      </c>
      <c r="AA191">
        <f>P191</f>
        <v/>
      </c>
      <c r="AB191">
        <f>Q191</f>
        <v/>
      </c>
      <c r="AC191">
        <f>R191</f>
        <v/>
      </c>
      <c r="AD191">
        <f>S191</f>
        <v/>
      </c>
      <c r="AE191">
        <f>IF(ISNUMBER(SEARCH("CAPITAL FUNDING",D191)),1,0)</f>
        <v/>
      </c>
      <c r="AF191">
        <f>IF(ISNUMBER(SEARCH("MERCHANTS",D191)),1,0)</f>
        <v/>
      </c>
      <c r="AG191">
        <f>IF(ISNUMBER(SEARCH("WELLS FARGO",D191)),1,0)</f>
        <v/>
      </c>
      <c r="AH191">
        <f>IF(ISNUMBER(SEARCH("WALKER",D191)),1,0)</f>
        <v/>
      </c>
      <c r="AI191">
        <f>IF(ISNUMBER(SEARCH("PNC",D191)),1,0)</f>
        <v/>
      </c>
      <c r="AJ191">
        <f>IF(ISNUMBER(SEARCH("BERKADIA",D191)),1,0)</f>
        <v/>
      </c>
      <c r="AK191">
        <f>IF(ISNUMBER(SEARCH("DWIGHT",D191)),1,0)</f>
        <v/>
      </c>
      <c r="AL191" s="25">
        <f>T$4*(T191-T$3)</f>
        <v/>
      </c>
      <c r="AM191" s="25">
        <f>U$4*(U191-U$3)</f>
        <v/>
      </c>
      <c r="AN191" s="25">
        <f>V$4*(V191-V$3)</f>
        <v/>
      </c>
      <c r="AO191" s="25">
        <f>W$4*(W191-W$3)</f>
        <v/>
      </c>
      <c r="AP191" s="25">
        <f>X$4*(X191-X$3)</f>
        <v/>
      </c>
      <c r="AQ191" s="25">
        <f>Y$4*(Y191-Y$3)</f>
        <v/>
      </c>
      <c r="AR191" s="25">
        <f>Z$4*(Z191-Z$3)</f>
        <v/>
      </c>
      <c r="AS191" s="25">
        <f>AA$4*(AA191-AA$3)</f>
        <v/>
      </c>
      <c r="AT191" s="25">
        <f>AB$4*(AB191-AB$3)</f>
        <v/>
      </c>
      <c r="AU191" s="25">
        <f>AC$4*(AC191-AC$3)</f>
        <v/>
      </c>
      <c r="AV191" s="25">
        <f>AD$4*(AD191-AD$3)</f>
        <v/>
      </c>
      <c r="AW191" s="25">
        <f>AE$4*(AE191-AE$3)</f>
        <v/>
      </c>
      <c r="AX191" s="25">
        <f>AF$4*(AF191-AF$3)</f>
        <v/>
      </c>
      <c r="AY191" s="25">
        <f>AG$4*(AG191-AG$3)</f>
        <v/>
      </c>
      <c r="AZ191" s="25">
        <f>AH$4*(AH191-AH$3)</f>
        <v/>
      </c>
      <c r="BA191" s="25">
        <f>AI$4*(AI191-AI$3)</f>
        <v/>
      </c>
      <c r="BB191" s="25">
        <f>AJ$4*(AJ191-AJ$3)</f>
        <v/>
      </c>
      <c r="BC191" s="25">
        <f>AK$4*(AK191-AK$3)</f>
        <v/>
      </c>
      <c r="BD191" s="26">
        <f>SUM(AL191:BC191)</f>
        <v/>
      </c>
      <c r="BE191" s="26">
        <f>INTERCEPT_SCALED+BD191</f>
        <v/>
      </c>
      <c r="BF191" s="27">
        <f>1/(1+EXP(-BE191))</f>
        <v/>
      </c>
      <c r="BG191" s="13">
        <f>1-(1-BF191)^12</f>
        <v/>
      </c>
      <c r="BH191" s="13">
        <f>IFERROR(AL191/BD191*(BG191-BASELINE_CPR),0)</f>
        <v/>
      </c>
      <c r="BI191" s="13">
        <f>IFERROR(AM191/BD191*(BG191-BASELINE_CPR),0)</f>
        <v/>
      </c>
      <c r="BJ191" s="13">
        <f>IFERROR(AN191/BD191*(BG191-BASELINE_CPR),0)</f>
        <v/>
      </c>
      <c r="BK191" s="13">
        <f>IFERROR(AO191/BD191*(BG191-BASELINE_CPR),0)</f>
        <v/>
      </c>
      <c r="BL191" s="13">
        <f>IFERROR(AP191/BD191*(BG191-BASELINE_CPR),0)</f>
        <v/>
      </c>
      <c r="BM191" s="13">
        <f>IFERROR(AQ191/BD191*(BG191-BASELINE_CPR),0)</f>
        <v/>
      </c>
      <c r="BN191" s="13">
        <f>IFERROR(AR191/BD191*(BG191-BASELINE_CPR),0)</f>
        <v/>
      </c>
      <c r="BO191" s="13">
        <f>IFERROR(AS191/BD191*(BG191-BASELINE_CPR),0)</f>
        <v/>
      </c>
      <c r="BP191" s="13">
        <f>IFERROR(AT191/BD191*(BG191-BASELINE_CPR),0)</f>
        <v/>
      </c>
      <c r="BQ191" s="13">
        <f>IFERROR(AU191/BD191*(BG191-BASELINE_CPR),0)</f>
        <v/>
      </c>
      <c r="BR191" s="13">
        <f>IFERROR(AV191/BD191*(BG191-BASELINE_CPR),0)</f>
        <v/>
      </c>
      <c r="BS191" s="13">
        <f>IFERROR(AW191/BD191*(BG191-BASELINE_CPR),0)</f>
        <v/>
      </c>
      <c r="BT191" s="13">
        <f>IFERROR(AX191/BD191*(BG191-BASELINE_CPR),0)</f>
        <v/>
      </c>
      <c r="BU191" s="13">
        <f>IFERROR(AY191/BD191*(BG191-BASELINE_CPR),0)</f>
        <v/>
      </c>
      <c r="BV191" s="13">
        <f>IFERROR(AZ191/BD191*(BG191-BASELINE_CPR),0)</f>
        <v/>
      </c>
      <c r="BW191" s="13">
        <f>IFERROR(BA191/BD191*(BG191-BASELINE_CPR),0)</f>
        <v/>
      </c>
      <c r="BX191" s="13">
        <f>IFERROR(BB191/BD191*(BG191-BASELINE_CPR),0)</f>
        <v/>
      </c>
      <c r="BY191" s="13">
        <f>IFERROR(BC191/BD191*(BG191-BASELINE_CPR),0)</f>
        <v/>
      </c>
      <c r="BZ191" s="28">
        <f>BASELINE_CPR+SUM(BH191:BY191)-BG191</f>
        <v/>
      </c>
    </row>
    <row r="192">
      <c r="A192" s="2" t="inlineStr">
        <is>
          <t>3617Q2BC8_000000006622055</t>
        </is>
      </c>
      <c r="B192" t="inlineStr">
        <is>
          <t>CAPITAL_PRE21</t>
        </is>
      </c>
      <c r="C192" s="2" t="inlineStr">
        <is>
          <t>3617Q2BC8</t>
        </is>
      </c>
      <c r="D192" t="inlineStr">
        <is>
          <t>CAPITAL FUNDING,LLC.</t>
        </is>
      </c>
      <c r="E192" t="inlineStr">
        <is>
          <t>232</t>
        </is>
      </c>
      <c r="F192" t="inlineStr">
        <is>
          <t>RP</t>
        </is>
      </c>
      <c r="G192" t="n">
        <v>2011</v>
      </c>
      <c r="H192" t="inlineStr">
        <is>
          <t>202602</t>
        </is>
      </c>
      <c r="I192" s="22" t="n">
        <v>6953967.51</v>
      </c>
      <c r="J192" s="23" t="n">
        <v>2.73</v>
      </c>
      <c r="K192" s="24" t="n">
        <v>447</v>
      </c>
      <c r="L192" s="24" t="n">
        <v>2</v>
      </c>
      <c r="M192" t="n">
        <v>170</v>
      </c>
      <c r="N192" t="n">
        <v>4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s="24">
        <f>J192*100-(K192+(1+L192)*12.5)</f>
        <v/>
      </c>
      <c r="U192">
        <f>O192</f>
        <v/>
      </c>
      <c r="V192">
        <f>M192</f>
        <v/>
      </c>
      <c r="W192" s="23">
        <f>LN(1+I192)</f>
        <v/>
      </c>
      <c r="X192">
        <f>IF(G192&gt;=2021,1,0)</f>
        <v/>
      </c>
      <c r="Y192">
        <f>N192</f>
        <v/>
      </c>
      <c r="Z192" s="23">
        <f>IF(ISNUMBER(M192),N192/MAX(M192,1),0)</f>
        <v/>
      </c>
      <c r="AA192">
        <f>P192</f>
        <v/>
      </c>
      <c r="AB192">
        <f>Q192</f>
        <v/>
      </c>
      <c r="AC192">
        <f>R192</f>
        <v/>
      </c>
      <c r="AD192">
        <f>S192</f>
        <v/>
      </c>
      <c r="AE192">
        <f>IF(ISNUMBER(SEARCH("CAPITAL FUNDING",D192)),1,0)</f>
        <v/>
      </c>
      <c r="AF192">
        <f>IF(ISNUMBER(SEARCH("MERCHANTS",D192)),1,0)</f>
        <v/>
      </c>
      <c r="AG192">
        <f>IF(ISNUMBER(SEARCH("WELLS FARGO",D192)),1,0)</f>
        <v/>
      </c>
      <c r="AH192">
        <f>IF(ISNUMBER(SEARCH("WALKER",D192)),1,0)</f>
        <v/>
      </c>
      <c r="AI192">
        <f>IF(ISNUMBER(SEARCH("PNC",D192)),1,0)</f>
        <v/>
      </c>
      <c r="AJ192">
        <f>IF(ISNUMBER(SEARCH("BERKADIA",D192)),1,0)</f>
        <v/>
      </c>
      <c r="AK192">
        <f>IF(ISNUMBER(SEARCH("DWIGHT",D192)),1,0)</f>
        <v/>
      </c>
      <c r="AL192" s="25">
        <f>T$4*(T192-T$3)</f>
        <v/>
      </c>
      <c r="AM192" s="25">
        <f>U$4*(U192-U$3)</f>
        <v/>
      </c>
      <c r="AN192" s="25">
        <f>V$4*(V192-V$3)</f>
        <v/>
      </c>
      <c r="AO192" s="25">
        <f>W$4*(W192-W$3)</f>
        <v/>
      </c>
      <c r="AP192" s="25">
        <f>X$4*(X192-X$3)</f>
        <v/>
      </c>
      <c r="AQ192" s="25">
        <f>Y$4*(Y192-Y$3)</f>
        <v/>
      </c>
      <c r="AR192" s="25">
        <f>Z$4*(Z192-Z$3)</f>
        <v/>
      </c>
      <c r="AS192" s="25">
        <f>AA$4*(AA192-AA$3)</f>
        <v/>
      </c>
      <c r="AT192" s="25">
        <f>AB$4*(AB192-AB$3)</f>
        <v/>
      </c>
      <c r="AU192" s="25">
        <f>AC$4*(AC192-AC$3)</f>
        <v/>
      </c>
      <c r="AV192" s="25">
        <f>AD$4*(AD192-AD$3)</f>
        <v/>
      </c>
      <c r="AW192" s="25">
        <f>AE$4*(AE192-AE$3)</f>
        <v/>
      </c>
      <c r="AX192" s="25">
        <f>AF$4*(AF192-AF$3)</f>
        <v/>
      </c>
      <c r="AY192" s="25">
        <f>AG$4*(AG192-AG$3)</f>
        <v/>
      </c>
      <c r="AZ192" s="25">
        <f>AH$4*(AH192-AH$3)</f>
        <v/>
      </c>
      <c r="BA192" s="25">
        <f>AI$4*(AI192-AI$3)</f>
        <v/>
      </c>
      <c r="BB192" s="25">
        <f>AJ$4*(AJ192-AJ$3)</f>
        <v/>
      </c>
      <c r="BC192" s="25">
        <f>AK$4*(AK192-AK$3)</f>
        <v/>
      </c>
      <c r="BD192" s="26">
        <f>SUM(AL192:BC192)</f>
        <v/>
      </c>
      <c r="BE192" s="26">
        <f>INTERCEPT_SCALED+BD192</f>
        <v/>
      </c>
      <c r="BF192" s="27">
        <f>1/(1+EXP(-BE192))</f>
        <v/>
      </c>
      <c r="BG192" s="13">
        <f>1-(1-BF192)^12</f>
        <v/>
      </c>
      <c r="BH192" s="13">
        <f>IFERROR(AL192/BD192*(BG192-BASELINE_CPR),0)</f>
        <v/>
      </c>
      <c r="BI192" s="13">
        <f>IFERROR(AM192/BD192*(BG192-BASELINE_CPR),0)</f>
        <v/>
      </c>
      <c r="BJ192" s="13">
        <f>IFERROR(AN192/BD192*(BG192-BASELINE_CPR),0)</f>
        <v/>
      </c>
      <c r="BK192" s="13">
        <f>IFERROR(AO192/BD192*(BG192-BASELINE_CPR),0)</f>
        <v/>
      </c>
      <c r="BL192" s="13">
        <f>IFERROR(AP192/BD192*(BG192-BASELINE_CPR),0)</f>
        <v/>
      </c>
      <c r="BM192" s="13">
        <f>IFERROR(AQ192/BD192*(BG192-BASELINE_CPR),0)</f>
        <v/>
      </c>
      <c r="BN192" s="13">
        <f>IFERROR(AR192/BD192*(BG192-BASELINE_CPR),0)</f>
        <v/>
      </c>
      <c r="BO192" s="13">
        <f>IFERROR(AS192/BD192*(BG192-BASELINE_CPR),0)</f>
        <v/>
      </c>
      <c r="BP192" s="13">
        <f>IFERROR(AT192/BD192*(BG192-BASELINE_CPR),0)</f>
        <v/>
      </c>
      <c r="BQ192" s="13">
        <f>IFERROR(AU192/BD192*(BG192-BASELINE_CPR),0)</f>
        <v/>
      </c>
      <c r="BR192" s="13">
        <f>IFERROR(AV192/BD192*(BG192-BASELINE_CPR),0)</f>
        <v/>
      </c>
      <c r="BS192" s="13">
        <f>IFERROR(AW192/BD192*(BG192-BASELINE_CPR),0)</f>
        <v/>
      </c>
      <c r="BT192" s="13">
        <f>IFERROR(AX192/BD192*(BG192-BASELINE_CPR),0)</f>
        <v/>
      </c>
      <c r="BU192" s="13">
        <f>IFERROR(AY192/BD192*(BG192-BASELINE_CPR),0)</f>
        <v/>
      </c>
      <c r="BV192" s="13">
        <f>IFERROR(AZ192/BD192*(BG192-BASELINE_CPR),0)</f>
        <v/>
      </c>
      <c r="BW192" s="13">
        <f>IFERROR(BA192/BD192*(BG192-BASELINE_CPR),0)</f>
        <v/>
      </c>
      <c r="BX192" s="13">
        <f>IFERROR(BB192/BD192*(BG192-BASELINE_CPR),0)</f>
        <v/>
      </c>
      <c r="BY192" s="13">
        <f>IFERROR(BC192/BD192*(BG192-BASELINE_CPR),0)</f>
        <v/>
      </c>
      <c r="BZ192" s="28">
        <f>BASELINE_CPR+SUM(BH192:BY192)-BG192</f>
        <v/>
      </c>
    </row>
    <row r="193">
      <c r="A193" s="2" t="inlineStr">
        <is>
          <t>3617JU2H3_000000006722221</t>
        </is>
      </c>
      <c r="B193" t="inlineStr">
        <is>
          <t>CAPITAL_PRE21</t>
        </is>
      </c>
      <c r="C193" s="2" t="inlineStr">
        <is>
          <t>3617JU2H3</t>
        </is>
      </c>
      <c r="D193" t="inlineStr">
        <is>
          <t>CAPITAL FUNDING,LLC.</t>
        </is>
      </c>
      <c r="E193" t="inlineStr">
        <is>
          <t>232</t>
        </is>
      </c>
      <c r="F193" t="inlineStr">
        <is>
          <t>RP</t>
        </is>
      </c>
      <c r="G193" t="n">
        <v>2019</v>
      </c>
      <c r="H193" t="inlineStr">
        <is>
          <t>202602</t>
        </is>
      </c>
      <c r="I193" s="22" t="n">
        <v>15417164.1</v>
      </c>
      <c r="J193" s="23" t="n">
        <v>4.15</v>
      </c>
      <c r="K193" s="24" t="n">
        <v>447</v>
      </c>
      <c r="L193" s="24" t="n">
        <v>4</v>
      </c>
      <c r="M193" t="n">
        <v>82</v>
      </c>
      <c r="N193" t="n">
        <v>34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s="24">
        <f>J193*100-(K193+(1+L193)*12.5)</f>
        <v/>
      </c>
      <c r="U193">
        <f>O193</f>
        <v/>
      </c>
      <c r="V193">
        <f>M193</f>
        <v/>
      </c>
      <c r="W193" s="23">
        <f>LN(1+I193)</f>
        <v/>
      </c>
      <c r="X193">
        <f>IF(G193&gt;=2021,1,0)</f>
        <v/>
      </c>
      <c r="Y193">
        <f>N193</f>
        <v/>
      </c>
      <c r="Z193" s="23">
        <f>IF(ISNUMBER(M193),N193/MAX(M193,1),0)</f>
        <v/>
      </c>
      <c r="AA193">
        <f>P193</f>
        <v/>
      </c>
      <c r="AB193">
        <f>Q193</f>
        <v/>
      </c>
      <c r="AC193">
        <f>R193</f>
        <v/>
      </c>
      <c r="AD193">
        <f>S193</f>
        <v/>
      </c>
      <c r="AE193">
        <f>IF(ISNUMBER(SEARCH("CAPITAL FUNDING",D193)),1,0)</f>
        <v/>
      </c>
      <c r="AF193">
        <f>IF(ISNUMBER(SEARCH("MERCHANTS",D193)),1,0)</f>
        <v/>
      </c>
      <c r="AG193">
        <f>IF(ISNUMBER(SEARCH("WELLS FARGO",D193)),1,0)</f>
        <v/>
      </c>
      <c r="AH193">
        <f>IF(ISNUMBER(SEARCH("WALKER",D193)),1,0)</f>
        <v/>
      </c>
      <c r="AI193">
        <f>IF(ISNUMBER(SEARCH("PNC",D193)),1,0)</f>
        <v/>
      </c>
      <c r="AJ193">
        <f>IF(ISNUMBER(SEARCH("BERKADIA",D193)),1,0)</f>
        <v/>
      </c>
      <c r="AK193">
        <f>IF(ISNUMBER(SEARCH("DWIGHT",D193)),1,0)</f>
        <v/>
      </c>
      <c r="AL193" s="25">
        <f>T$4*(T193-T$3)</f>
        <v/>
      </c>
      <c r="AM193" s="25">
        <f>U$4*(U193-U$3)</f>
        <v/>
      </c>
      <c r="AN193" s="25">
        <f>V$4*(V193-V$3)</f>
        <v/>
      </c>
      <c r="AO193" s="25">
        <f>W$4*(W193-W$3)</f>
        <v/>
      </c>
      <c r="AP193" s="25">
        <f>X$4*(X193-X$3)</f>
        <v/>
      </c>
      <c r="AQ193" s="25">
        <f>Y$4*(Y193-Y$3)</f>
        <v/>
      </c>
      <c r="AR193" s="25">
        <f>Z$4*(Z193-Z$3)</f>
        <v/>
      </c>
      <c r="AS193" s="25">
        <f>AA$4*(AA193-AA$3)</f>
        <v/>
      </c>
      <c r="AT193" s="25">
        <f>AB$4*(AB193-AB$3)</f>
        <v/>
      </c>
      <c r="AU193" s="25">
        <f>AC$4*(AC193-AC$3)</f>
        <v/>
      </c>
      <c r="AV193" s="25">
        <f>AD$4*(AD193-AD$3)</f>
        <v/>
      </c>
      <c r="AW193" s="25">
        <f>AE$4*(AE193-AE$3)</f>
        <v/>
      </c>
      <c r="AX193" s="25">
        <f>AF$4*(AF193-AF$3)</f>
        <v/>
      </c>
      <c r="AY193" s="25">
        <f>AG$4*(AG193-AG$3)</f>
        <v/>
      </c>
      <c r="AZ193" s="25">
        <f>AH$4*(AH193-AH$3)</f>
        <v/>
      </c>
      <c r="BA193" s="25">
        <f>AI$4*(AI193-AI$3)</f>
        <v/>
      </c>
      <c r="BB193" s="25">
        <f>AJ$4*(AJ193-AJ$3)</f>
        <v/>
      </c>
      <c r="BC193" s="25">
        <f>AK$4*(AK193-AK$3)</f>
        <v/>
      </c>
      <c r="BD193" s="26">
        <f>SUM(AL193:BC193)</f>
        <v/>
      </c>
      <c r="BE193" s="26">
        <f>INTERCEPT_SCALED+BD193</f>
        <v/>
      </c>
      <c r="BF193" s="27">
        <f>1/(1+EXP(-BE193))</f>
        <v/>
      </c>
      <c r="BG193" s="13">
        <f>1-(1-BF193)^12</f>
        <v/>
      </c>
      <c r="BH193" s="13">
        <f>IFERROR(AL193/BD193*(BG193-BASELINE_CPR),0)</f>
        <v/>
      </c>
      <c r="BI193" s="13">
        <f>IFERROR(AM193/BD193*(BG193-BASELINE_CPR),0)</f>
        <v/>
      </c>
      <c r="BJ193" s="13">
        <f>IFERROR(AN193/BD193*(BG193-BASELINE_CPR),0)</f>
        <v/>
      </c>
      <c r="BK193" s="13">
        <f>IFERROR(AO193/BD193*(BG193-BASELINE_CPR),0)</f>
        <v/>
      </c>
      <c r="BL193" s="13">
        <f>IFERROR(AP193/BD193*(BG193-BASELINE_CPR),0)</f>
        <v/>
      </c>
      <c r="BM193" s="13">
        <f>IFERROR(AQ193/BD193*(BG193-BASELINE_CPR),0)</f>
        <v/>
      </c>
      <c r="BN193" s="13">
        <f>IFERROR(AR193/BD193*(BG193-BASELINE_CPR),0)</f>
        <v/>
      </c>
      <c r="BO193" s="13">
        <f>IFERROR(AS193/BD193*(BG193-BASELINE_CPR),0)</f>
        <v/>
      </c>
      <c r="BP193" s="13">
        <f>IFERROR(AT193/BD193*(BG193-BASELINE_CPR),0)</f>
        <v/>
      </c>
      <c r="BQ193" s="13">
        <f>IFERROR(AU193/BD193*(BG193-BASELINE_CPR),0)</f>
        <v/>
      </c>
      <c r="BR193" s="13">
        <f>IFERROR(AV193/BD193*(BG193-BASELINE_CPR),0)</f>
        <v/>
      </c>
      <c r="BS193" s="13">
        <f>IFERROR(AW193/BD193*(BG193-BASELINE_CPR),0)</f>
        <v/>
      </c>
      <c r="BT193" s="13">
        <f>IFERROR(AX193/BD193*(BG193-BASELINE_CPR),0)</f>
        <v/>
      </c>
      <c r="BU193" s="13">
        <f>IFERROR(AY193/BD193*(BG193-BASELINE_CPR),0)</f>
        <v/>
      </c>
      <c r="BV193" s="13">
        <f>IFERROR(AZ193/BD193*(BG193-BASELINE_CPR),0)</f>
        <v/>
      </c>
      <c r="BW193" s="13">
        <f>IFERROR(BA193/BD193*(BG193-BASELINE_CPR),0)</f>
        <v/>
      </c>
      <c r="BX193" s="13">
        <f>IFERROR(BB193/BD193*(BG193-BASELINE_CPR),0)</f>
        <v/>
      </c>
      <c r="BY193" s="13">
        <f>IFERROR(BC193/BD193*(BG193-BASELINE_CPR),0)</f>
        <v/>
      </c>
      <c r="BZ193" s="28">
        <f>BASELINE_CPR+SUM(BH193:BY193)-BG193</f>
        <v/>
      </c>
    </row>
    <row r="194">
      <c r="A194" s="2" t="inlineStr">
        <is>
          <t>3617XQLB8_000000004522073</t>
        </is>
      </c>
      <c r="B194" t="inlineStr">
        <is>
          <t>CAPITAL_POST21</t>
        </is>
      </c>
      <c r="C194" s="2" t="inlineStr">
        <is>
          <t>3617XQLB8</t>
        </is>
      </c>
      <c r="D194" t="inlineStr">
        <is>
          <t>CAPITAL FUNDING,LLC.</t>
        </is>
      </c>
      <c r="E194" t="inlineStr">
        <is>
          <t>232</t>
        </is>
      </c>
      <c r="F194" t="inlineStr">
        <is>
          <t>RP</t>
        </is>
      </c>
      <c r="G194" t="n">
        <v>2021</v>
      </c>
      <c r="H194" t="inlineStr">
        <is>
          <t>202602</t>
        </is>
      </c>
      <c r="I194" s="22" t="n">
        <v>9321181.66</v>
      </c>
      <c r="J194" s="23" t="n">
        <v>2.54</v>
      </c>
      <c r="K194" s="24" t="n">
        <v>447</v>
      </c>
      <c r="L194" s="24" t="n">
        <v>6</v>
      </c>
      <c r="M194" t="n">
        <v>51</v>
      </c>
      <c r="N194" t="n">
        <v>0</v>
      </c>
      <c r="O194" t="n">
        <v>1</v>
      </c>
      <c r="P194" t="n">
        <v>1</v>
      </c>
      <c r="Q194" t="n">
        <v>1</v>
      </c>
      <c r="R194" t="n">
        <v>0</v>
      </c>
      <c r="S194" t="n">
        <v>0</v>
      </c>
      <c r="T194" s="24">
        <f>J194*100-(K194+(1+L194)*12.5)</f>
        <v/>
      </c>
      <c r="U194">
        <f>O194</f>
        <v/>
      </c>
      <c r="V194">
        <f>M194</f>
        <v/>
      </c>
      <c r="W194" s="23">
        <f>LN(1+I194)</f>
        <v/>
      </c>
      <c r="X194">
        <f>IF(G194&gt;=2021,1,0)</f>
        <v/>
      </c>
      <c r="Y194">
        <f>N194</f>
        <v/>
      </c>
      <c r="Z194" s="23">
        <f>IF(ISNUMBER(M194),N194/MAX(M194,1),0)</f>
        <v/>
      </c>
      <c r="AA194">
        <f>P194</f>
        <v/>
      </c>
      <c r="AB194">
        <f>Q194</f>
        <v/>
      </c>
      <c r="AC194">
        <f>R194</f>
        <v/>
      </c>
      <c r="AD194">
        <f>S194</f>
        <v/>
      </c>
      <c r="AE194">
        <f>IF(ISNUMBER(SEARCH("CAPITAL FUNDING",D194)),1,0)</f>
        <v/>
      </c>
      <c r="AF194">
        <f>IF(ISNUMBER(SEARCH("MERCHANTS",D194)),1,0)</f>
        <v/>
      </c>
      <c r="AG194">
        <f>IF(ISNUMBER(SEARCH("WELLS FARGO",D194)),1,0)</f>
        <v/>
      </c>
      <c r="AH194">
        <f>IF(ISNUMBER(SEARCH("WALKER",D194)),1,0)</f>
        <v/>
      </c>
      <c r="AI194">
        <f>IF(ISNUMBER(SEARCH("PNC",D194)),1,0)</f>
        <v/>
      </c>
      <c r="AJ194">
        <f>IF(ISNUMBER(SEARCH("BERKADIA",D194)),1,0)</f>
        <v/>
      </c>
      <c r="AK194">
        <f>IF(ISNUMBER(SEARCH("DWIGHT",D194)),1,0)</f>
        <v/>
      </c>
      <c r="AL194" s="25">
        <f>T$4*(T194-T$3)</f>
        <v/>
      </c>
      <c r="AM194" s="25">
        <f>U$4*(U194-U$3)</f>
        <v/>
      </c>
      <c r="AN194" s="25">
        <f>V$4*(V194-V$3)</f>
        <v/>
      </c>
      <c r="AO194" s="25">
        <f>W$4*(W194-W$3)</f>
        <v/>
      </c>
      <c r="AP194" s="25">
        <f>X$4*(X194-X$3)</f>
        <v/>
      </c>
      <c r="AQ194" s="25">
        <f>Y$4*(Y194-Y$3)</f>
        <v/>
      </c>
      <c r="AR194" s="25">
        <f>Z$4*(Z194-Z$3)</f>
        <v/>
      </c>
      <c r="AS194" s="25">
        <f>AA$4*(AA194-AA$3)</f>
        <v/>
      </c>
      <c r="AT194" s="25">
        <f>AB$4*(AB194-AB$3)</f>
        <v/>
      </c>
      <c r="AU194" s="25">
        <f>AC$4*(AC194-AC$3)</f>
        <v/>
      </c>
      <c r="AV194" s="25">
        <f>AD$4*(AD194-AD$3)</f>
        <v/>
      </c>
      <c r="AW194" s="25">
        <f>AE$4*(AE194-AE$3)</f>
        <v/>
      </c>
      <c r="AX194" s="25">
        <f>AF$4*(AF194-AF$3)</f>
        <v/>
      </c>
      <c r="AY194" s="25">
        <f>AG$4*(AG194-AG$3)</f>
        <v/>
      </c>
      <c r="AZ194" s="25">
        <f>AH$4*(AH194-AH$3)</f>
        <v/>
      </c>
      <c r="BA194" s="25">
        <f>AI$4*(AI194-AI$3)</f>
        <v/>
      </c>
      <c r="BB194" s="25">
        <f>AJ$4*(AJ194-AJ$3)</f>
        <v/>
      </c>
      <c r="BC194" s="25">
        <f>AK$4*(AK194-AK$3)</f>
        <v/>
      </c>
      <c r="BD194" s="26">
        <f>SUM(AL194:BC194)</f>
        <v/>
      </c>
      <c r="BE194" s="26">
        <f>INTERCEPT_SCALED+BD194</f>
        <v/>
      </c>
      <c r="BF194" s="27">
        <f>1/(1+EXP(-BE194))</f>
        <v/>
      </c>
      <c r="BG194" s="13">
        <f>1-(1-BF194)^12</f>
        <v/>
      </c>
      <c r="BH194" s="13">
        <f>IFERROR(AL194/BD194*(BG194-BASELINE_CPR),0)</f>
        <v/>
      </c>
      <c r="BI194" s="13">
        <f>IFERROR(AM194/BD194*(BG194-BASELINE_CPR),0)</f>
        <v/>
      </c>
      <c r="BJ194" s="13">
        <f>IFERROR(AN194/BD194*(BG194-BASELINE_CPR),0)</f>
        <v/>
      </c>
      <c r="BK194" s="13">
        <f>IFERROR(AO194/BD194*(BG194-BASELINE_CPR),0)</f>
        <v/>
      </c>
      <c r="BL194" s="13">
        <f>IFERROR(AP194/BD194*(BG194-BASELINE_CPR),0)</f>
        <v/>
      </c>
      <c r="BM194" s="13">
        <f>IFERROR(AQ194/BD194*(BG194-BASELINE_CPR),0)</f>
        <v/>
      </c>
      <c r="BN194" s="13">
        <f>IFERROR(AR194/BD194*(BG194-BASELINE_CPR),0)</f>
        <v/>
      </c>
      <c r="BO194" s="13">
        <f>IFERROR(AS194/BD194*(BG194-BASELINE_CPR),0)</f>
        <v/>
      </c>
      <c r="BP194" s="13">
        <f>IFERROR(AT194/BD194*(BG194-BASELINE_CPR),0)</f>
        <v/>
      </c>
      <c r="BQ194" s="13">
        <f>IFERROR(AU194/BD194*(BG194-BASELINE_CPR),0)</f>
        <v/>
      </c>
      <c r="BR194" s="13">
        <f>IFERROR(AV194/BD194*(BG194-BASELINE_CPR),0)</f>
        <v/>
      </c>
      <c r="BS194" s="13">
        <f>IFERROR(AW194/BD194*(BG194-BASELINE_CPR),0)</f>
        <v/>
      </c>
      <c r="BT194" s="13">
        <f>IFERROR(AX194/BD194*(BG194-BASELINE_CPR),0)</f>
        <v/>
      </c>
      <c r="BU194" s="13">
        <f>IFERROR(AY194/BD194*(BG194-BASELINE_CPR),0)</f>
        <v/>
      </c>
      <c r="BV194" s="13">
        <f>IFERROR(AZ194/BD194*(BG194-BASELINE_CPR),0)</f>
        <v/>
      </c>
      <c r="BW194" s="13">
        <f>IFERROR(BA194/BD194*(BG194-BASELINE_CPR),0)</f>
        <v/>
      </c>
      <c r="BX194" s="13">
        <f>IFERROR(BB194/BD194*(BG194-BASELINE_CPR),0)</f>
        <v/>
      </c>
      <c r="BY194" s="13">
        <f>IFERROR(BC194/BD194*(BG194-BASELINE_CPR),0)</f>
        <v/>
      </c>
      <c r="BZ194" s="28">
        <f>BASELINE_CPR+SUM(BH194:BY194)-BG194</f>
        <v/>
      </c>
    </row>
    <row r="195">
      <c r="A195" s="2" t="inlineStr">
        <is>
          <t>3618JF7J5_000000008722062</t>
        </is>
      </c>
      <c r="B195" t="inlineStr">
        <is>
          <t>CAPITAL_POST21</t>
        </is>
      </c>
      <c r="C195" s="2" t="inlineStr">
        <is>
          <t>3618JF7J5</t>
        </is>
      </c>
      <c r="D195" t="inlineStr">
        <is>
          <t>CAPITAL FUNDING,LLC.</t>
        </is>
      </c>
      <c r="E195" t="inlineStr">
        <is>
          <t>232</t>
        </is>
      </c>
      <c r="F195" t="inlineStr">
        <is>
          <t>RP</t>
        </is>
      </c>
      <c r="G195" t="n">
        <v>2025</v>
      </c>
      <c r="H195" t="inlineStr">
        <is>
          <t>202602</t>
        </is>
      </c>
      <c r="I195" s="22" t="n">
        <v>10905106.68</v>
      </c>
      <c r="J195" s="23" t="n">
        <v>6.02</v>
      </c>
      <c r="K195" s="24" t="n">
        <v>447</v>
      </c>
      <c r="L195" s="24" t="n">
        <v>10</v>
      </c>
      <c r="M195" t="n">
        <v>6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s="24">
        <f>J195*100-(K195+(1+L195)*12.5)</f>
        <v/>
      </c>
      <c r="U195">
        <f>O195</f>
        <v/>
      </c>
      <c r="V195">
        <f>M195</f>
        <v/>
      </c>
      <c r="W195" s="23">
        <f>LN(1+I195)</f>
        <v/>
      </c>
      <c r="X195">
        <f>IF(G195&gt;=2021,1,0)</f>
        <v/>
      </c>
      <c r="Y195">
        <f>N195</f>
        <v/>
      </c>
      <c r="Z195" s="23">
        <f>IF(ISNUMBER(M195),N195/MAX(M195,1),0)</f>
        <v/>
      </c>
      <c r="AA195">
        <f>P195</f>
        <v/>
      </c>
      <c r="AB195">
        <f>Q195</f>
        <v/>
      </c>
      <c r="AC195">
        <f>R195</f>
        <v/>
      </c>
      <c r="AD195">
        <f>S195</f>
        <v/>
      </c>
      <c r="AE195">
        <f>IF(ISNUMBER(SEARCH("CAPITAL FUNDING",D195)),1,0)</f>
        <v/>
      </c>
      <c r="AF195">
        <f>IF(ISNUMBER(SEARCH("MERCHANTS",D195)),1,0)</f>
        <v/>
      </c>
      <c r="AG195">
        <f>IF(ISNUMBER(SEARCH("WELLS FARGO",D195)),1,0)</f>
        <v/>
      </c>
      <c r="AH195">
        <f>IF(ISNUMBER(SEARCH("WALKER",D195)),1,0)</f>
        <v/>
      </c>
      <c r="AI195">
        <f>IF(ISNUMBER(SEARCH("PNC",D195)),1,0)</f>
        <v/>
      </c>
      <c r="AJ195">
        <f>IF(ISNUMBER(SEARCH("BERKADIA",D195)),1,0)</f>
        <v/>
      </c>
      <c r="AK195">
        <f>IF(ISNUMBER(SEARCH("DWIGHT",D195)),1,0)</f>
        <v/>
      </c>
      <c r="AL195" s="25">
        <f>T$4*(T195-T$3)</f>
        <v/>
      </c>
      <c r="AM195" s="25">
        <f>U$4*(U195-U$3)</f>
        <v/>
      </c>
      <c r="AN195" s="25">
        <f>V$4*(V195-V$3)</f>
        <v/>
      </c>
      <c r="AO195" s="25">
        <f>W$4*(W195-W$3)</f>
        <v/>
      </c>
      <c r="AP195" s="25">
        <f>X$4*(X195-X$3)</f>
        <v/>
      </c>
      <c r="AQ195" s="25">
        <f>Y$4*(Y195-Y$3)</f>
        <v/>
      </c>
      <c r="AR195" s="25">
        <f>Z$4*(Z195-Z$3)</f>
        <v/>
      </c>
      <c r="AS195" s="25">
        <f>AA$4*(AA195-AA$3)</f>
        <v/>
      </c>
      <c r="AT195" s="25">
        <f>AB$4*(AB195-AB$3)</f>
        <v/>
      </c>
      <c r="AU195" s="25">
        <f>AC$4*(AC195-AC$3)</f>
        <v/>
      </c>
      <c r="AV195" s="25">
        <f>AD$4*(AD195-AD$3)</f>
        <v/>
      </c>
      <c r="AW195" s="25">
        <f>AE$4*(AE195-AE$3)</f>
        <v/>
      </c>
      <c r="AX195" s="25">
        <f>AF$4*(AF195-AF$3)</f>
        <v/>
      </c>
      <c r="AY195" s="25">
        <f>AG$4*(AG195-AG$3)</f>
        <v/>
      </c>
      <c r="AZ195" s="25">
        <f>AH$4*(AH195-AH$3)</f>
        <v/>
      </c>
      <c r="BA195" s="25">
        <f>AI$4*(AI195-AI$3)</f>
        <v/>
      </c>
      <c r="BB195" s="25">
        <f>AJ$4*(AJ195-AJ$3)</f>
        <v/>
      </c>
      <c r="BC195" s="25">
        <f>AK$4*(AK195-AK$3)</f>
        <v/>
      </c>
      <c r="BD195" s="26">
        <f>SUM(AL195:BC195)</f>
        <v/>
      </c>
      <c r="BE195" s="26">
        <f>INTERCEPT_SCALED+BD195</f>
        <v/>
      </c>
      <c r="BF195" s="27">
        <f>1/(1+EXP(-BE195))</f>
        <v/>
      </c>
      <c r="BG195" s="13">
        <f>1-(1-BF195)^12</f>
        <v/>
      </c>
      <c r="BH195" s="13">
        <f>IFERROR(AL195/BD195*(BG195-BASELINE_CPR),0)</f>
        <v/>
      </c>
      <c r="BI195" s="13">
        <f>IFERROR(AM195/BD195*(BG195-BASELINE_CPR),0)</f>
        <v/>
      </c>
      <c r="BJ195" s="13">
        <f>IFERROR(AN195/BD195*(BG195-BASELINE_CPR),0)</f>
        <v/>
      </c>
      <c r="BK195" s="13">
        <f>IFERROR(AO195/BD195*(BG195-BASELINE_CPR),0)</f>
        <v/>
      </c>
      <c r="BL195" s="13">
        <f>IFERROR(AP195/BD195*(BG195-BASELINE_CPR),0)</f>
        <v/>
      </c>
      <c r="BM195" s="13">
        <f>IFERROR(AQ195/BD195*(BG195-BASELINE_CPR),0)</f>
        <v/>
      </c>
      <c r="BN195" s="13">
        <f>IFERROR(AR195/BD195*(BG195-BASELINE_CPR),0)</f>
        <v/>
      </c>
      <c r="BO195" s="13">
        <f>IFERROR(AS195/BD195*(BG195-BASELINE_CPR),0)</f>
        <v/>
      </c>
      <c r="BP195" s="13">
        <f>IFERROR(AT195/BD195*(BG195-BASELINE_CPR),0)</f>
        <v/>
      </c>
      <c r="BQ195" s="13">
        <f>IFERROR(AU195/BD195*(BG195-BASELINE_CPR),0)</f>
        <v/>
      </c>
      <c r="BR195" s="13">
        <f>IFERROR(AV195/BD195*(BG195-BASELINE_CPR),0)</f>
        <v/>
      </c>
      <c r="BS195" s="13">
        <f>IFERROR(AW195/BD195*(BG195-BASELINE_CPR),0)</f>
        <v/>
      </c>
      <c r="BT195" s="13">
        <f>IFERROR(AX195/BD195*(BG195-BASELINE_CPR),0)</f>
        <v/>
      </c>
      <c r="BU195" s="13">
        <f>IFERROR(AY195/BD195*(BG195-BASELINE_CPR),0)</f>
        <v/>
      </c>
      <c r="BV195" s="13">
        <f>IFERROR(AZ195/BD195*(BG195-BASELINE_CPR),0)</f>
        <v/>
      </c>
      <c r="BW195" s="13">
        <f>IFERROR(BA195/BD195*(BG195-BASELINE_CPR),0)</f>
        <v/>
      </c>
      <c r="BX195" s="13">
        <f>IFERROR(BB195/BD195*(BG195-BASELINE_CPR),0)</f>
        <v/>
      </c>
      <c r="BY195" s="13">
        <f>IFERROR(BC195/BD195*(BG195-BASELINE_CPR),0)</f>
        <v/>
      </c>
      <c r="BZ195" s="28">
        <f>BASELINE_CPR+SUM(BH195:BY195)-BG195</f>
        <v/>
      </c>
    </row>
    <row r="196">
      <c r="A196" s="2" t="inlineStr">
        <is>
          <t>36178BB95_000000007422031</t>
        </is>
      </c>
      <c r="B196" t="inlineStr">
        <is>
          <t>CAPITAL_PRE21</t>
        </is>
      </c>
      <c r="C196" s="2" t="inlineStr">
        <is>
          <t>36178BB95</t>
        </is>
      </c>
      <c r="D196" t="inlineStr">
        <is>
          <t>CAPITAL FUNDING,LLC.</t>
        </is>
      </c>
      <c r="E196" t="inlineStr">
        <is>
          <t>232</t>
        </is>
      </c>
      <c r="F196" t="inlineStr">
        <is>
          <t>RP</t>
        </is>
      </c>
      <c r="G196" t="n">
        <v>2013</v>
      </c>
      <c r="H196" t="inlineStr">
        <is>
          <t>202602</t>
        </is>
      </c>
      <c r="I196" s="22" t="n">
        <v>1352228.66</v>
      </c>
      <c r="J196" s="23" t="n">
        <v>2.97</v>
      </c>
      <c r="K196" s="24" t="n">
        <v>447</v>
      </c>
      <c r="L196" s="24" t="n">
        <v>0</v>
      </c>
      <c r="M196" t="n">
        <v>157</v>
      </c>
      <c r="N196" t="n">
        <v>27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s="24">
        <f>J196*100-(K196+(1+L196)*12.5)</f>
        <v/>
      </c>
      <c r="U196">
        <f>O196</f>
        <v/>
      </c>
      <c r="V196">
        <f>M196</f>
        <v/>
      </c>
      <c r="W196" s="23">
        <f>LN(1+I196)</f>
        <v/>
      </c>
      <c r="X196">
        <f>IF(G196&gt;=2021,1,0)</f>
        <v/>
      </c>
      <c r="Y196">
        <f>N196</f>
        <v/>
      </c>
      <c r="Z196" s="23">
        <f>IF(ISNUMBER(M196),N196/MAX(M196,1),0)</f>
        <v/>
      </c>
      <c r="AA196">
        <f>P196</f>
        <v/>
      </c>
      <c r="AB196">
        <f>Q196</f>
        <v/>
      </c>
      <c r="AC196">
        <f>R196</f>
        <v/>
      </c>
      <c r="AD196">
        <f>S196</f>
        <v/>
      </c>
      <c r="AE196">
        <f>IF(ISNUMBER(SEARCH("CAPITAL FUNDING",D196)),1,0)</f>
        <v/>
      </c>
      <c r="AF196">
        <f>IF(ISNUMBER(SEARCH("MERCHANTS",D196)),1,0)</f>
        <v/>
      </c>
      <c r="AG196">
        <f>IF(ISNUMBER(SEARCH("WELLS FARGO",D196)),1,0)</f>
        <v/>
      </c>
      <c r="AH196">
        <f>IF(ISNUMBER(SEARCH("WALKER",D196)),1,0)</f>
        <v/>
      </c>
      <c r="AI196">
        <f>IF(ISNUMBER(SEARCH("PNC",D196)),1,0)</f>
        <v/>
      </c>
      <c r="AJ196">
        <f>IF(ISNUMBER(SEARCH("BERKADIA",D196)),1,0)</f>
        <v/>
      </c>
      <c r="AK196">
        <f>IF(ISNUMBER(SEARCH("DWIGHT",D196)),1,0)</f>
        <v/>
      </c>
      <c r="AL196" s="25">
        <f>T$4*(T196-T$3)</f>
        <v/>
      </c>
      <c r="AM196" s="25">
        <f>U$4*(U196-U$3)</f>
        <v/>
      </c>
      <c r="AN196" s="25">
        <f>V$4*(V196-V$3)</f>
        <v/>
      </c>
      <c r="AO196" s="25">
        <f>W$4*(W196-W$3)</f>
        <v/>
      </c>
      <c r="AP196" s="25">
        <f>X$4*(X196-X$3)</f>
        <v/>
      </c>
      <c r="AQ196" s="25">
        <f>Y$4*(Y196-Y$3)</f>
        <v/>
      </c>
      <c r="AR196" s="25">
        <f>Z$4*(Z196-Z$3)</f>
        <v/>
      </c>
      <c r="AS196" s="25">
        <f>AA$4*(AA196-AA$3)</f>
        <v/>
      </c>
      <c r="AT196" s="25">
        <f>AB$4*(AB196-AB$3)</f>
        <v/>
      </c>
      <c r="AU196" s="25">
        <f>AC$4*(AC196-AC$3)</f>
        <v/>
      </c>
      <c r="AV196" s="25">
        <f>AD$4*(AD196-AD$3)</f>
        <v/>
      </c>
      <c r="AW196" s="25">
        <f>AE$4*(AE196-AE$3)</f>
        <v/>
      </c>
      <c r="AX196" s="25">
        <f>AF$4*(AF196-AF$3)</f>
        <v/>
      </c>
      <c r="AY196" s="25">
        <f>AG$4*(AG196-AG$3)</f>
        <v/>
      </c>
      <c r="AZ196" s="25">
        <f>AH$4*(AH196-AH$3)</f>
        <v/>
      </c>
      <c r="BA196" s="25">
        <f>AI$4*(AI196-AI$3)</f>
        <v/>
      </c>
      <c r="BB196" s="25">
        <f>AJ$4*(AJ196-AJ$3)</f>
        <v/>
      </c>
      <c r="BC196" s="25">
        <f>AK$4*(AK196-AK$3)</f>
        <v/>
      </c>
      <c r="BD196" s="26">
        <f>SUM(AL196:BC196)</f>
        <v/>
      </c>
      <c r="BE196" s="26">
        <f>INTERCEPT_SCALED+BD196</f>
        <v/>
      </c>
      <c r="BF196" s="27">
        <f>1/(1+EXP(-BE196))</f>
        <v/>
      </c>
      <c r="BG196" s="13">
        <f>1-(1-BF196)^12</f>
        <v/>
      </c>
      <c r="BH196" s="13">
        <f>IFERROR(AL196/BD196*(BG196-BASELINE_CPR),0)</f>
        <v/>
      </c>
      <c r="BI196" s="13">
        <f>IFERROR(AM196/BD196*(BG196-BASELINE_CPR),0)</f>
        <v/>
      </c>
      <c r="BJ196" s="13">
        <f>IFERROR(AN196/BD196*(BG196-BASELINE_CPR),0)</f>
        <v/>
      </c>
      <c r="BK196" s="13">
        <f>IFERROR(AO196/BD196*(BG196-BASELINE_CPR),0)</f>
        <v/>
      </c>
      <c r="BL196" s="13">
        <f>IFERROR(AP196/BD196*(BG196-BASELINE_CPR),0)</f>
        <v/>
      </c>
      <c r="BM196" s="13">
        <f>IFERROR(AQ196/BD196*(BG196-BASELINE_CPR),0)</f>
        <v/>
      </c>
      <c r="BN196" s="13">
        <f>IFERROR(AR196/BD196*(BG196-BASELINE_CPR),0)</f>
        <v/>
      </c>
      <c r="BO196" s="13">
        <f>IFERROR(AS196/BD196*(BG196-BASELINE_CPR),0)</f>
        <v/>
      </c>
      <c r="BP196" s="13">
        <f>IFERROR(AT196/BD196*(BG196-BASELINE_CPR),0)</f>
        <v/>
      </c>
      <c r="BQ196" s="13">
        <f>IFERROR(AU196/BD196*(BG196-BASELINE_CPR),0)</f>
        <v/>
      </c>
      <c r="BR196" s="13">
        <f>IFERROR(AV196/BD196*(BG196-BASELINE_CPR),0)</f>
        <v/>
      </c>
      <c r="BS196" s="13">
        <f>IFERROR(AW196/BD196*(BG196-BASELINE_CPR),0)</f>
        <v/>
      </c>
      <c r="BT196" s="13">
        <f>IFERROR(AX196/BD196*(BG196-BASELINE_CPR),0)</f>
        <v/>
      </c>
      <c r="BU196" s="13">
        <f>IFERROR(AY196/BD196*(BG196-BASELINE_CPR),0)</f>
        <v/>
      </c>
      <c r="BV196" s="13">
        <f>IFERROR(AZ196/BD196*(BG196-BASELINE_CPR),0)</f>
        <v/>
      </c>
      <c r="BW196" s="13">
        <f>IFERROR(BA196/BD196*(BG196-BASELINE_CPR),0)</f>
        <v/>
      </c>
      <c r="BX196" s="13">
        <f>IFERROR(BB196/BD196*(BG196-BASELINE_CPR),0)</f>
        <v/>
      </c>
      <c r="BY196" s="13">
        <f>IFERROR(BC196/BD196*(BG196-BASELINE_CPR),0)</f>
        <v/>
      </c>
      <c r="BZ196" s="28">
        <f>BASELINE_CPR+SUM(BH196:BY196)-BG196</f>
        <v/>
      </c>
    </row>
    <row r="197">
      <c r="A197" s="2" t="inlineStr">
        <is>
          <t>3617M7DE5_000000001422159</t>
        </is>
      </c>
      <c r="B197" t="inlineStr">
        <is>
          <t>CAPITAL_PRE21</t>
        </is>
      </c>
      <c r="C197" s="2" t="inlineStr">
        <is>
          <t>3617M7DE5</t>
        </is>
      </c>
      <c r="D197" t="inlineStr">
        <is>
          <t>CAPITAL FUNDING,LLC.</t>
        </is>
      </c>
      <c r="E197" t="inlineStr">
        <is>
          <t>232</t>
        </is>
      </c>
      <c r="F197" t="inlineStr">
        <is>
          <t>RP</t>
        </is>
      </c>
      <c r="G197" t="n">
        <v>2019</v>
      </c>
      <c r="H197" t="inlineStr">
        <is>
          <t>202602</t>
        </is>
      </c>
      <c r="I197" s="22" t="n">
        <v>16343371.04</v>
      </c>
      <c r="J197" s="23" t="n">
        <v>3.24</v>
      </c>
      <c r="K197" s="24" t="n">
        <v>447</v>
      </c>
      <c r="L197" s="24" t="n">
        <v>4</v>
      </c>
      <c r="M197" t="n">
        <v>74</v>
      </c>
      <c r="N197" t="n">
        <v>19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s="24">
        <f>J197*100-(K197+(1+L197)*12.5)</f>
        <v/>
      </c>
      <c r="U197">
        <f>O197</f>
        <v/>
      </c>
      <c r="V197">
        <f>M197</f>
        <v/>
      </c>
      <c r="W197" s="23">
        <f>LN(1+I197)</f>
        <v/>
      </c>
      <c r="X197">
        <f>IF(G197&gt;=2021,1,0)</f>
        <v/>
      </c>
      <c r="Y197">
        <f>N197</f>
        <v/>
      </c>
      <c r="Z197" s="23">
        <f>IF(ISNUMBER(M197),N197/MAX(M197,1),0)</f>
        <v/>
      </c>
      <c r="AA197">
        <f>P197</f>
        <v/>
      </c>
      <c r="AB197">
        <f>Q197</f>
        <v/>
      </c>
      <c r="AC197">
        <f>R197</f>
        <v/>
      </c>
      <c r="AD197">
        <f>S197</f>
        <v/>
      </c>
      <c r="AE197">
        <f>IF(ISNUMBER(SEARCH("CAPITAL FUNDING",D197)),1,0)</f>
        <v/>
      </c>
      <c r="AF197">
        <f>IF(ISNUMBER(SEARCH("MERCHANTS",D197)),1,0)</f>
        <v/>
      </c>
      <c r="AG197">
        <f>IF(ISNUMBER(SEARCH("WELLS FARGO",D197)),1,0)</f>
        <v/>
      </c>
      <c r="AH197">
        <f>IF(ISNUMBER(SEARCH("WALKER",D197)),1,0)</f>
        <v/>
      </c>
      <c r="AI197">
        <f>IF(ISNUMBER(SEARCH("PNC",D197)),1,0)</f>
        <v/>
      </c>
      <c r="AJ197">
        <f>IF(ISNUMBER(SEARCH("BERKADIA",D197)),1,0)</f>
        <v/>
      </c>
      <c r="AK197">
        <f>IF(ISNUMBER(SEARCH("DWIGHT",D197)),1,0)</f>
        <v/>
      </c>
      <c r="AL197" s="25">
        <f>T$4*(T197-T$3)</f>
        <v/>
      </c>
      <c r="AM197" s="25">
        <f>U$4*(U197-U$3)</f>
        <v/>
      </c>
      <c r="AN197" s="25">
        <f>V$4*(V197-V$3)</f>
        <v/>
      </c>
      <c r="AO197" s="25">
        <f>W$4*(W197-W$3)</f>
        <v/>
      </c>
      <c r="AP197" s="25">
        <f>X$4*(X197-X$3)</f>
        <v/>
      </c>
      <c r="AQ197" s="25">
        <f>Y$4*(Y197-Y$3)</f>
        <v/>
      </c>
      <c r="AR197" s="25">
        <f>Z$4*(Z197-Z$3)</f>
        <v/>
      </c>
      <c r="AS197" s="25">
        <f>AA$4*(AA197-AA$3)</f>
        <v/>
      </c>
      <c r="AT197" s="25">
        <f>AB$4*(AB197-AB$3)</f>
        <v/>
      </c>
      <c r="AU197" s="25">
        <f>AC$4*(AC197-AC$3)</f>
        <v/>
      </c>
      <c r="AV197" s="25">
        <f>AD$4*(AD197-AD$3)</f>
        <v/>
      </c>
      <c r="AW197" s="25">
        <f>AE$4*(AE197-AE$3)</f>
        <v/>
      </c>
      <c r="AX197" s="25">
        <f>AF$4*(AF197-AF$3)</f>
        <v/>
      </c>
      <c r="AY197" s="25">
        <f>AG$4*(AG197-AG$3)</f>
        <v/>
      </c>
      <c r="AZ197" s="25">
        <f>AH$4*(AH197-AH$3)</f>
        <v/>
      </c>
      <c r="BA197" s="25">
        <f>AI$4*(AI197-AI$3)</f>
        <v/>
      </c>
      <c r="BB197" s="25">
        <f>AJ$4*(AJ197-AJ$3)</f>
        <v/>
      </c>
      <c r="BC197" s="25">
        <f>AK$4*(AK197-AK$3)</f>
        <v/>
      </c>
      <c r="BD197" s="26">
        <f>SUM(AL197:BC197)</f>
        <v/>
      </c>
      <c r="BE197" s="26">
        <f>INTERCEPT_SCALED+BD197</f>
        <v/>
      </c>
      <c r="BF197" s="27">
        <f>1/(1+EXP(-BE197))</f>
        <v/>
      </c>
      <c r="BG197" s="13">
        <f>1-(1-BF197)^12</f>
        <v/>
      </c>
      <c r="BH197" s="13">
        <f>IFERROR(AL197/BD197*(BG197-BASELINE_CPR),0)</f>
        <v/>
      </c>
      <c r="BI197" s="13">
        <f>IFERROR(AM197/BD197*(BG197-BASELINE_CPR),0)</f>
        <v/>
      </c>
      <c r="BJ197" s="13">
        <f>IFERROR(AN197/BD197*(BG197-BASELINE_CPR),0)</f>
        <v/>
      </c>
      <c r="BK197" s="13">
        <f>IFERROR(AO197/BD197*(BG197-BASELINE_CPR),0)</f>
        <v/>
      </c>
      <c r="BL197" s="13">
        <f>IFERROR(AP197/BD197*(BG197-BASELINE_CPR),0)</f>
        <v/>
      </c>
      <c r="BM197" s="13">
        <f>IFERROR(AQ197/BD197*(BG197-BASELINE_CPR),0)</f>
        <v/>
      </c>
      <c r="BN197" s="13">
        <f>IFERROR(AR197/BD197*(BG197-BASELINE_CPR),0)</f>
        <v/>
      </c>
      <c r="BO197" s="13">
        <f>IFERROR(AS197/BD197*(BG197-BASELINE_CPR),0)</f>
        <v/>
      </c>
      <c r="BP197" s="13">
        <f>IFERROR(AT197/BD197*(BG197-BASELINE_CPR),0)</f>
        <v/>
      </c>
      <c r="BQ197" s="13">
        <f>IFERROR(AU197/BD197*(BG197-BASELINE_CPR),0)</f>
        <v/>
      </c>
      <c r="BR197" s="13">
        <f>IFERROR(AV197/BD197*(BG197-BASELINE_CPR),0)</f>
        <v/>
      </c>
      <c r="BS197" s="13">
        <f>IFERROR(AW197/BD197*(BG197-BASELINE_CPR),0)</f>
        <v/>
      </c>
      <c r="BT197" s="13">
        <f>IFERROR(AX197/BD197*(BG197-BASELINE_CPR),0)</f>
        <v/>
      </c>
      <c r="BU197" s="13">
        <f>IFERROR(AY197/BD197*(BG197-BASELINE_CPR),0)</f>
        <v/>
      </c>
      <c r="BV197" s="13">
        <f>IFERROR(AZ197/BD197*(BG197-BASELINE_CPR),0)</f>
        <v/>
      </c>
      <c r="BW197" s="13">
        <f>IFERROR(BA197/BD197*(BG197-BASELINE_CPR),0)</f>
        <v/>
      </c>
      <c r="BX197" s="13">
        <f>IFERROR(BB197/BD197*(BG197-BASELINE_CPR),0)</f>
        <v/>
      </c>
      <c r="BY197" s="13">
        <f>IFERROR(BC197/BD197*(BG197-BASELINE_CPR),0)</f>
        <v/>
      </c>
      <c r="BZ197" s="28">
        <f>BASELINE_CPR+SUM(BH197:BY197)-BG197</f>
        <v/>
      </c>
    </row>
    <row r="198">
      <c r="A198" s="2" t="inlineStr">
        <is>
          <t>3620C2RW6_000000002322133</t>
        </is>
      </c>
      <c r="B198" t="inlineStr">
        <is>
          <t>CAPITAL_PRE21</t>
        </is>
      </c>
      <c r="C198" s="2" t="inlineStr">
        <is>
          <t>3620C2RW6</t>
        </is>
      </c>
      <c r="D198" t="inlineStr">
        <is>
          <t>CAPITAL FUNDING,LLC.</t>
        </is>
      </c>
      <c r="E198" t="inlineStr">
        <is>
          <t>232</t>
        </is>
      </c>
      <c r="F198" t="inlineStr">
        <is>
          <t>RP</t>
        </is>
      </c>
      <c r="G198" t="n">
        <v>2013</v>
      </c>
      <c r="H198" t="inlineStr">
        <is>
          <t>202602</t>
        </is>
      </c>
      <c r="I198" s="22" t="n">
        <v>4844357.94</v>
      </c>
      <c r="J198" s="23" t="n">
        <v>2.94</v>
      </c>
      <c r="K198" s="24" t="n">
        <v>447</v>
      </c>
      <c r="L198" s="24" t="n">
        <v>0</v>
      </c>
      <c r="M198" t="n">
        <v>157</v>
      </c>
      <c r="N198" t="n">
        <v>26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s="24">
        <f>J198*100-(K198+(1+L198)*12.5)</f>
        <v/>
      </c>
      <c r="U198">
        <f>O198</f>
        <v/>
      </c>
      <c r="V198">
        <f>M198</f>
        <v/>
      </c>
      <c r="W198" s="23">
        <f>LN(1+I198)</f>
        <v/>
      </c>
      <c r="X198">
        <f>IF(G198&gt;=2021,1,0)</f>
        <v/>
      </c>
      <c r="Y198">
        <f>N198</f>
        <v/>
      </c>
      <c r="Z198" s="23">
        <f>IF(ISNUMBER(M198),N198/MAX(M198,1),0)</f>
        <v/>
      </c>
      <c r="AA198">
        <f>P198</f>
        <v/>
      </c>
      <c r="AB198">
        <f>Q198</f>
        <v/>
      </c>
      <c r="AC198">
        <f>R198</f>
        <v/>
      </c>
      <c r="AD198">
        <f>S198</f>
        <v/>
      </c>
      <c r="AE198">
        <f>IF(ISNUMBER(SEARCH("CAPITAL FUNDING",D198)),1,0)</f>
        <v/>
      </c>
      <c r="AF198">
        <f>IF(ISNUMBER(SEARCH("MERCHANTS",D198)),1,0)</f>
        <v/>
      </c>
      <c r="AG198">
        <f>IF(ISNUMBER(SEARCH("WELLS FARGO",D198)),1,0)</f>
        <v/>
      </c>
      <c r="AH198">
        <f>IF(ISNUMBER(SEARCH("WALKER",D198)),1,0)</f>
        <v/>
      </c>
      <c r="AI198">
        <f>IF(ISNUMBER(SEARCH("PNC",D198)),1,0)</f>
        <v/>
      </c>
      <c r="AJ198">
        <f>IF(ISNUMBER(SEARCH("BERKADIA",D198)),1,0)</f>
        <v/>
      </c>
      <c r="AK198">
        <f>IF(ISNUMBER(SEARCH("DWIGHT",D198)),1,0)</f>
        <v/>
      </c>
      <c r="AL198" s="25">
        <f>T$4*(T198-T$3)</f>
        <v/>
      </c>
      <c r="AM198" s="25">
        <f>U$4*(U198-U$3)</f>
        <v/>
      </c>
      <c r="AN198" s="25">
        <f>V$4*(V198-V$3)</f>
        <v/>
      </c>
      <c r="AO198" s="25">
        <f>W$4*(W198-W$3)</f>
        <v/>
      </c>
      <c r="AP198" s="25">
        <f>X$4*(X198-X$3)</f>
        <v/>
      </c>
      <c r="AQ198" s="25">
        <f>Y$4*(Y198-Y$3)</f>
        <v/>
      </c>
      <c r="AR198" s="25">
        <f>Z$4*(Z198-Z$3)</f>
        <v/>
      </c>
      <c r="AS198" s="25">
        <f>AA$4*(AA198-AA$3)</f>
        <v/>
      </c>
      <c r="AT198" s="25">
        <f>AB$4*(AB198-AB$3)</f>
        <v/>
      </c>
      <c r="AU198" s="25">
        <f>AC$4*(AC198-AC$3)</f>
        <v/>
      </c>
      <c r="AV198" s="25">
        <f>AD$4*(AD198-AD$3)</f>
        <v/>
      </c>
      <c r="AW198" s="25">
        <f>AE$4*(AE198-AE$3)</f>
        <v/>
      </c>
      <c r="AX198" s="25">
        <f>AF$4*(AF198-AF$3)</f>
        <v/>
      </c>
      <c r="AY198" s="25">
        <f>AG$4*(AG198-AG$3)</f>
        <v/>
      </c>
      <c r="AZ198" s="25">
        <f>AH$4*(AH198-AH$3)</f>
        <v/>
      </c>
      <c r="BA198" s="25">
        <f>AI$4*(AI198-AI$3)</f>
        <v/>
      </c>
      <c r="BB198" s="25">
        <f>AJ$4*(AJ198-AJ$3)</f>
        <v/>
      </c>
      <c r="BC198" s="25">
        <f>AK$4*(AK198-AK$3)</f>
        <v/>
      </c>
      <c r="BD198" s="26">
        <f>SUM(AL198:BC198)</f>
        <v/>
      </c>
      <c r="BE198" s="26">
        <f>INTERCEPT_SCALED+BD198</f>
        <v/>
      </c>
      <c r="BF198" s="27">
        <f>1/(1+EXP(-BE198))</f>
        <v/>
      </c>
      <c r="BG198" s="13">
        <f>1-(1-BF198)^12</f>
        <v/>
      </c>
      <c r="BH198" s="13">
        <f>IFERROR(AL198/BD198*(BG198-BASELINE_CPR),0)</f>
        <v/>
      </c>
      <c r="BI198" s="13">
        <f>IFERROR(AM198/BD198*(BG198-BASELINE_CPR),0)</f>
        <v/>
      </c>
      <c r="BJ198" s="13">
        <f>IFERROR(AN198/BD198*(BG198-BASELINE_CPR),0)</f>
        <v/>
      </c>
      <c r="BK198" s="13">
        <f>IFERROR(AO198/BD198*(BG198-BASELINE_CPR),0)</f>
        <v/>
      </c>
      <c r="BL198" s="13">
        <f>IFERROR(AP198/BD198*(BG198-BASELINE_CPR),0)</f>
        <v/>
      </c>
      <c r="BM198" s="13">
        <f>IFERROR(AQ198/BD198*(BG198-BASELINE_CPR),0)</f>
        <v/>
      </c>
      <c r="BN198" s="13">
        <f>IFERROR(AR198/BD198*(BG198-BASELINE_CPR),0)</f>
        <v/>
      </c>
      <c r="BO198" s="13">
        <f>IFERROR(AS198/BD198*(BG198-BASELINE_CPR),0)</f>
        <v/>
      </c>
      <c r="BP198" s="13">
        <f>IFERROR(AT198/BD198*(BG198-BASELINE_CPR),0)</f>
        <v/>
      </c>
      <c r="BQ198" s="13">
        <f>IFERROR(AU198/BD198*(BG198-BASELINE_CPR),0)</f>
        <v/>
      </c>
      <c r="BR198" s="13">
        <f>IFERROR(AV198/BD198*(BG198-BASELINE_CPR),0)</f>
        <v/>
      </c>
      <c r="BS198" s="13">
        <f>IFERROR(AW198/BD198*(BG198-BASELINE_CPR),0)</f>
        <v/>
      </c>
      <c r="BT198" s="13">
        <f>IFERROR(AX198/BD198*(BG198-BASELINE_CPR),0)</f>
        <v/>
      </c>
      <c r="BU198" s="13">
        <f>IFERROR(AY198/BD198*(BG198-BASELINE_CPR),0)</f>
        <v/>
      </c>
      <c r="BV198" s="13">
        <f>IFERROR(AZ198/BD198*(BG198-BASELINE_CPR),0)</f>
        <v/>
      </c>
      <c r="BW198" s="13">
        <f>IFERROR(BA198/BD198*(BG198-BASELINE_CPR),0)</f>
        <v/>
      </c>
      <c r="BX198" s="13">
        <f>IFERROR(BB198/BD198*(BG198-BASELINE_CPR),0)</f>
        <v/>
      </c>
      <c r="BY198" s="13">
        <f>IFERROR(BC198/BD198*(BG198-BASELINE_CPR),0)</f>
        <v/>
      </c>
      <c r="BZ198" s="28">
        <f>BASELINE_CPR+SUM(BH198:BY198)-BG198</f>
        <v/>
      </c>
    </row>
    <row r="199">
      <c r="A199" s="2" t="inlineStr">
        <is>
          <t>3617XSMB3_000000003411253</t>
        </is>
      </c>
      <c r="B199" t="inlineStr">
        <is>
          <t>DWIGHT_PRE21</t>
        </is>
      </c>
      <c r="C199" s="2" t="inlineStr">
        <is>
          <t>3617XSMB3</t>
        </is>
      </c>
      <c r="D199" t="inlineStr">
        <is>
          <t>DWIGHT CAPITAL LLC</t>
        </is>
      </c>
      <c r="E199" t="inlineStr">
        <is>
          <t>223f</t>
        </is>
      </c>
      <c r="F199" t="inlineStr">
        <is>
          <t>RP</t>
        </is>
      </c>
      <c r="G199" t="n">
        <v>2020</v>
      </c>
      <c r="H199" t="inlineStr">
        <is>
          <t>202602</t>
        </is>
      </c>
      <c r="I199" s="22" t="n">
        <v>9700016.130000001</v>
      </c>
      <c r="J199" s="23" t="n">
        <v>3.44</v>
      </c>
      <c r="K199" s="24" t="n">
        <v>447</v>
      </c>
      <c r="L199" s="24" t="n">
        <v>10</v>
      </c>
      <c r="M199" t="n">
        <v>65</v>
      </c>
      <c r="N199" t="n">
        <v>2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s="24">
        <f>J199*100-(K199+(1+L199)*12.5)</f>
        <v/>
      </c>
      <c r="U199">
        <f>O199</f>
        <v/>
      </c>
      <c r="V199">
        <f>M199</f>
        <v/>
      </c>
      <c r="W199" s="23">
        <f>LN(1+I199)</f>
        <v/>
      </c>
      <c r="X199">
        <f>IF(G199&gt;=2021,1,0)</f>
        <v/>
      </c>
      <c r="Y199">
        <f>N199</f>
        <v/>
      </c>
      <c r="Z199" s="23">
        <f>IF(ISNUMBER(M199),N199/MAX(M199,1),0)</f>
        <v/>
      </c>
      <c r="AA199">
        <f>P199</f>
        <v/>
      </c>
      <c r="AB199">
        <f>Q199</f>
        <v/>
      </c>
      <c r="AC199">
        <f>R199</f>
        <v/>
      </c>
      <c r="AD199">
        <f>S199</f>
        <v/>
      </c>
      <c r="AE199">
        <f>IF(ISNUMBER(SEARCH("CAPITAL FUNDING",D199)),1,0)</f>
        <v/>
      </c>
      <c r="AF199">
        <f>IF(ISNUMBER(SEARCH("MERCHANTS",D199)),1,0)</f>
        <v/>
      </c>
      <c r="AG199">
        <f>IF(ISNUMBER(SEARCH("WELLS FARGO",D199)),1,0)</f>
        <v/>
      </c>
      <c r="AH199">
        <f>IF(ISNUMBER(SEARCH("WALKER",D199)),1,0)</f>
        <v/>
      </c>
      <c r="AI199">
        <f>IF(ISNUMBER(SEARCH("PNC",D199)),1,0)</f>
        <v/>
      </c>
      <c r="AJ199">
        <f>IF(ISNUMBER(SEARCH("BERKADIA",D199)),1,0)</f>
        <v/>
      </c>
      <c r="AK199">
        <f>IF(ISNUMBER(SEARCH("DWIGHT",D199)),1,0)</f>
        <v/>
      </c>
      <c r="AL199" s="25">
        <f>T$4*(T199-T$3)</f>
        <v/>
      </c>
      <c r="AM199" s="25">
        <f>U$4*(U199-U$3)</f>
        <v/>
      </c>
      <c r="AN199" s="25">
        <f>V$4*(V199-V$3)</f>
        <v/>
      </c>
      <c r="AO199" s="25">
        <f>W$4*(W199-W$3)</f>
        <v/>
      </c>
      <c r="AP199" s="25">
        <f>X$4*(X199-X$3)</f>
        <v/>
      </c>
      <c r="AQ199" s="25">
        <f>Y$4*(Y199-Y$3)</f>
        <v/>
      </c>
      <c r="AR199" s="25">
        <f>Z$4*(Z199-Z$3)</f>
        <v/>
      </c>
      <c r="AS199" s="25">
        <f>AA$4*(AA199-AA$3)</f>
        <v/>
      </c>
      <c r="AT199" s="25">
        <f>AB$4*(AB199-AB$3)</f>
        <v/>
      </c>
      <c r="AU199" s="25">
        <f>AC$4*(AC199-AC$3)</f>
        <v/>
      </c>
      <c r="AV199" s="25">
        <f>AD$4*(AD199-AD$3)</f>
        <v/>
      </c>
      <c r="AW199" s="25">
        <f>AE$4*(AE199-AE$3)</f>
        <v/>
      </c>
      <c r="AX199" s="25">
        <f>AF$4*(AF199-AF$3)</f>
        <v/>
      </c>
      <c r="AY199" s="25">
        <f>AG$4*(AG199-AG$3)</f>
        <v/>
      </c>
      <c r="AZ199" s="25">
        <f>AH$4*(AH199-AH$3)</f>
        <v/>
      </c>
      <c r="BA199" s="25">
        <f>AI$4*(AI199-AI$3)</f>
        <v/>
      </c>
      <c r="BB199" s="25">
        <f>AJ$4*(AJ199-AJ$3)</f>
        <v/>
      </c>
      <c r="BC199" s="25">
        <f>AK$4*(AK199-AK$3)</f>
        <v/>
      </c>
      <c r="BD199" s="26">
        <f>SUM(AL199:BC199)</f>
        <v/>
      </c>
      <c r="BE199" s="26">
        <f>INTERCEPT_SCALED+BD199</f>
        <v/>
      </c>
      <c r="BF199" s="27">
        <f>1/(1+EXP(-BE199))</f>
        <v/>
      </c>
      <c r="BG199" s="13">
        <f>1-(1-BF199)^12</f>
        <v/>
      </c>
      <c r="BH199" s="13">
        <f>IFERROR(AL199/BD199*(BG199-BASELINE_CPR),0)</f>
        <v/>
      </c>
      <c r="BI199" s="13">
        <f>IFERROR(AM199/BD199*(BG199-BASELINE_CPR),0)</f>
        <v/>
      </c>
      <c r="BJ199" s="13">
        <f>IFERROR(AN199/BD199*(BG199-BASELINE_CPR),0)</f>
        <v/>
      </c>
      <c r="BK199" s="13">
        <f>IFERROR(AO199/BD199*(BG199-BASELINE_CPR),0)</f>
        <v/>
      </c>
      <c r="BL199" s="13">
        <f>IFERROR(AP199/BD199*(BG199-BASELINE_CPR),0)</f>
        <v/>
      </c>
      <c r="BM199" s="13">
        <f>IFERROR(AQ199/BD199*(BG199-BASELINE_CPR),0)</f>
        <v/>
      </c>
      <c r="BN199" s="13">
        <f>IFERROR(AR199/BD199*(BG199-BASELINE_CPR),0)</f>
        <v/>
      </c>
      <c r="BO199" s="13">
        <f>IFERROR(AS199/BD199*(BG199-BASELINE_CPR),0)</f>
        <v/>
      </c>
      <c r="BP199" s="13">
        <f>IFERROR(AT199/BD199*(BG199-BASELINE_CPR),0)</f>
        <v/>
      </c>
      <c r="BQ199" s="13">
        <f>IFERROR(AU199/BD199*(BG199-BASELINE_CPR),0)</f>
        <v/>
      </c>
      <c r="BR199" s="13">
        <f>IFERROR(AV199/BD199*(BG199-BASELINE_CPR),0)</f>
        <v/>
      </c>
      <c r="BS199" s="13">
        <f>IFERROR(AW199/BD199*(BG199-BASELINE_CPR),0)</f>
        <v/>
      </c>
      <c r="BT199" s="13">
        <f>IFERROR(AX199/BD199*(BG199-BASELINE_CPR),0)</f>
        <v/>
      </c>
      <c r="BU199" s="13">
        <f>IFERROR(AY199/BD199*(BG199-BASELINE_CPR),0)</f>
        <v/>
      </c>
      <c r="BV199" s="13">
        <f>IFERROR(AZ199/BD199*(BG199-BASELINE_CPR),0)</f>
        <v/>
      </c>
      <c r="BW199" s="13">
        <f>IFERROR(BA199/BD199*(BG199-BASELINE_CPR),0)</f>
        <v/>
      </c>
      <c r="BX199" s="13">
        <f>IFERROR(BB199/BD199*(BG199-BASELINE_CPR),0)</f>
        <v/>
      </c>
      <c r="BY199" s="13">
        <f>IFERROR(BC199/BD199*(BG199-BASELINE_CPR),0)</f>
        <v/>
      </c>
      <c r="BZ199" s="28">
        <f>BASELINE_CPR+SUM(BH199:BY199)-BG199</f>
        <v/>
      </c>
    </row>
    <row r="200">
      <c r="A200" s="2" t="inlineStr">
        <is>
          <t>3618B0HC0_000000003111184</t>
        </is>
      </c>
      <c r="B200" t="inlineStr">
        <is>
          <t>DWIGHT_POST21</t>
        </is>
      </c>
      <c r="C200" s="2" t="inlineStr">
        <is>
          <t>3618B0HC0</t>
        </is>
      </c>
      <c r="D200" t="inlineStr">
        <is>
          <t>DWIGHT CAPITAL LLC</t>
        </is>
      </c>
      <c r="E200" t="inlineStr">
        <is>
          <t>223f</t>
        </is>
      </c>
      <c r="F200" t="inlineStr">
        <is>
          <t>RP</t>
        </is>
      </c>
      <c r="G200" t="n">
        <v>2023</v>
      </c>
      <c r="H200" t="inlineStr">
        <is>
          <t>202602</t>
        </is>
      </c>
      <c r="I200" s="22" t="n">
        <v>8650633.77</v>
      </c>
      <c r="J200" s="23" t="n">
        <v>5.73</v>
      </c>
      <c r="K200" s="24" t="n">
        <v>447</v>
      </c>
      <c r="L200" s="24" t="n">
        <v>9</v>
      </c>
      <c r="M200" t="n">
        <v>30</v>
      </c>
      <c r="N200" t="n">
        <v>13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s="24">
        <f>J200*100-(K200+(1+L200)*12.5)</f>
        <v/>
      </c>
      <c r="U200">
        <f>O200</f>
        <v/>
      </c>
      <c r="V200">
        <f>M200</f>
        <v/>
      </c>
      <c r="W200" s="23">
        <f>LN(1+I200)</f>
        <v/>
      </c>
      <c r="X200">
        <f>IF(G200&gt;=2021,1,0)</f>
        <v/>
      </c>
      <c r="Y200">
        <f>N200</f>
        <v/>
      </c>
      <c r="Z200" s="23">
        <f>IF(ISNUMBER(M200),N200/MAX(M200,1),0)</f>
        <v/>
      </c>
      <c r="AA200">
        <f>P200</f>
        <v/>
      </c>
      <c r="AB200">
        <f>Q200</f>
        <v/>
      </c>
      <c r="AC200">
        <f>R200</f>
        <v/>
      </c>
      <c r="AD200">
        <f>S200</f>
        <v/>
      </c>
      <c r="AE200">
        <f>IF(ISNUMBER(SEARCH("CAPITAL FUNDING",D200)),1,0)</f>
        <v/>
      </c>
      <c r="AF200">
        <f>IF(ISNUMBER(SEARCH("MERCHANTS",D200)),1,0)</f>
        <v/>
      </c>
      <c r="AG200">
        <f>IF(ISNUMBER(SEARCH("WELLS FARGO",D200)),1,0)</f>
        <v/>
      </c>
      <c r="AH200">
        <f>IF(ISNUMBER(SEARCH("WALKER",D200)),1,0)</f>
        <v/>
      </c>
      <c r="AI200">
        <f>IF(ISNUMBER(SEARCH("PNC",D200)),1,0)</f>
        <v/>
      </c>
      <c r="AJ200">
        <f>IF(ISNUMBER(SEARCH("BERKADIA",D200)),1,0)</f>
        <v/>
      </c>
      <c r="AK200">
        <f>IF(ISNUMBER(SEARCH("DWIGHT",D200)),1,0)</f>
        <v/>
      </c>
      <c r="AL200" s="25">
        <f>T$4*(T200-T$3)</f>
        <v/>
      </c>
      <c r="AM200" s="25">
        <f>U$4*(U200-U$3)</f>
        <v/>
      </c>
      <c r="AN200" s="25">
        <f>V$4*(V200-V$3)</f>
        <v/>
      </c>
      <c r="AO200" s="25">
        <f>W$4*(W200-W$3)</f>
        <v/>
      </c>
      <c r="AP200" s="25">
        <f>X$4*(X200-X$3)</f>
        <v/>
      </c>
      <c r="AQ200" s="25">
        <f>Y$4*(Y200-Y$3)</f>
        <v/>
      </c>
      <c r="AR200" s="25">
        <f>Z$4*(Z200-Z$3)</f>
        <v/>
      </c>
      <c r="AS200" s="25">
        <f>AA$4*(AA200-AA$3)</f>
        <v/>
      </c>
      <c r="AT200" s="25">
        <f>AB$4*(AB200-AB$3)</f>
        <v/>
      </c>
      <c r="AU200" s="25">
        <f>AC$4*(AC200-AC$3)</f>
        <v/>
      </c>
      <c r="AV200" s="25">
        <f>AD$4*(AD200-AD$3)</f>
        <v/>
      </c>
      <c r="AW200" s="25">
        <f>AE$4*(AE200-AE$3)</f>
        <v/>
      </c>
      <c r="AX200" s="25">
        <f>AF$4*(AF200-AF$3)</f>
        <v/>
      </c>
      <c r="AY200" s="25">
        <f>AG$4*(AG200-AG$3)</f>
        <v/>
      </c>
      <c r="AZ200" s="25">
        <f>AH$4*(AH200-AH$3)</f>
        <v/>
      </c>
      <c r="BA200" s="25">
        <f>AI$4*(AI200-AI$3)</f>
        <v/>
      </c>
      <c r="BB200" s="25">
        <f>AJ$4*(AJ200-AJ$3)</f>
        <v/>
      </c>
      <c r="BC200" s="25">
        <f>AK$4*(AK200-AK$3)</f>
        <v/>
      </c>
      <c r="BD200" s="26">
        <f>SUM(AL200:BC200)</f>
        <v/>
      </c>
      <c r="BE200" s="26">
        <f>INTERCEPT_SCALED+BD200</f>
        <v/>
      </c>
      <c r="BF200" s="27">
        <f>1/(1+EXP(-BE200))</f>
        <v/>
      </c>
      <c r="BG200" s="13">
        <f>1-(1-BF200)^12</f>
        <v/>
      </c>
      <c r="BH200" s="13">
        <f>IFERROR(AL200/BD200*(BG200-BASELINE_CPR),0)</f>
        <v/>
      </c>
      <c r="BI200" s="13">
        <f>IFERROR(AM200/BD200*(BG200-BASELINE_CPR),0)</f>
        <v/>
      </c>
      <c r="BJ200" s="13">
        <f>IFERROR(AN200/BD200*(BG200-BASELINE_CPR),0)</f>
        <v/>
      </c>
      <c r="BK200" s="13">
        <f>IFERROR(AO200/BD200*(BG200-BASELINE_CPR),0)</f>
        <v/>
      </c>
      <c r="BL200" s="13">
        <f>IFERROR(AP200/BD200*(BG200-BASELINE_CPR),0)</f>
        <v/>
      </c>
      <c r="BM200" s="13">
        <f>IFERROR(AQ200/BD200*(BG200-BASELINE_CPR),0)</f>
        <v/>
      </c>
      <c r="BN200" s="13">
        <f>IFERROR(AR200/BD200*(BG200-BASELINE_CPR),0)</f>
        <v/>
      </c>
      <c r="BO200" s="13">
        <f>IFERROR(AS200/BD200*(BG200-BASELINE_CPR),0)</f>
        <v/>
      </c>
      <c r="BP200" s="13">
        <f>IFERROR(AT200/BD200*(BG200-BASELINE_CPR),0)</f>
        <v/>
      </c>
      <c r="BQ200" s="13">
        <f>IFERROR(AU200/BD200*(BG200-BASELINE_CPR),0)</f>
        <v/>
      </c>
      <c r="BR200" s="13">
        <f>IFERROR(AV200/BD200*(BG200-BASELINE_CPR),0)</f>
        <v/>
      </c>
      <c r="BS200" s="13">
        <f>IFERROR(AW200/BD200*(BG200-BASELINE_CPR),0)</f>
        <v/>
      </c>
      <c r="BT200" s="13">
        <f>IFERROR(AX200/BD200*(BG200-BASELINE_CPR),0)</f>
        <v/>
      </c>
      <c r="BU200" s="13">
        <f>IFERROR(AY200/BD200*(BG200-BASELINE_CPR),0)</f>
        <v/>
      </c>
      <c r="BV200" s="13">
        <f>IFERROR(AZ200/BD200*(BG200-BASELINE_CPR),0)</f>
        <v/>
      </c>
      <c r="BW200" s="13">
        <f>IFERROR(BA200/BD200*(BG200-BASELINE_CPR),0)</f>
        <v/>
      </c>
      <c r="BX200" s="13">
        <f>IFERROR(BB200/BD200*(BG200-BASELINE_CPR),0)</f>
        <v/>
      </c>
      <c r="BY200" s="13">
        <f>IFERROR(BC200/BD200*(BG200-BASELINE_CPR),0)</f>
        <v/>
      </c>
      <c r="BZ200" s="28">
        <f>BASELINE_CPR+SUM(BH200:BY200)-BG200</f>
        <v/>
      </c>
    </row>
    <row r="201">
      <c r="A201" s="2" t="inlineStr">
        <is>
          <t>3617UEVW1_000000008235469</t>
        </is>
      </c>
      <c r="B201" t="inlineStr">
        <is>
          <t>DWIGHT_PRE21</t>
        </is>
      </c>
      <c r="C201" s="2" t="inlineStr">
        <is>
          <t>3617UEVW1</t>
        </is>
      </c>
      <c r="D201" t="inlineStr">
        <is>
          <t>DWIGHT CAPITAL LLC</t>
        </is>
      </c>
      <c r="E201" t="inlineStr">
        <is>
          <t>221d4</t>
        </is>
      </c>
      <c r="F201" t="inlineStr">
        <is>
          <t>RP</t>
        </is>
      </c>
      <c r="G201" t="n">
        <v>2016</v>
      </c>
      <c r="H201" t="inlineStr">
        <is>
          <t>202602</t>
        </is>
      </c>
      <c r="I201" s="22" t="n">
        <v>5477997.66</v>
      </c>
      <c r="J201" s="23" t="n">
        <v>2.95</v>
      </c>
      <c r="K201" s="24" t="n">
        <v>447</v>
      </c>
      <c r="L201" s="24" t="n">
        <v>5</v>
      </c>
      <c r="M201" t="n">
        <v>116</v>
      </c>
      <c r="N201" t="n">
        <v>1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s="24">
        <f>J201*100-(K201+(1+L201)*12.5)</f>
        <v/>
      </c>
      <c r="U201">
        <f>O201</f>
        <v/>
      </c>
      <c r="V201">
        <f>M201</f>
        <v/>
      </c>
      <c r="W201" s="23">
        <f>LN(1+I201)</f>
        <v/>
      </c>
      <c r="X201">
        <f>IF(G201&gt;=2021,1,0)</f>
        <v/>
      </c>
      <c r="Y201">
        <f>N201</f>
        <v/>
      </c>
      <c r="Z201" s="23">
        <f>IF(ISNUMBER(M201),N201/MAX(M201,1),0)</f>
        <v/>
      </c>
      <c r="AA201">
        <f>P201</f>
        <v/>
      </c>
      <c r="AB201">
        <f>Q201</f>
        <v/>
      </c>
      <c r="AC201">
        <f>R201</f>
        <v/>
      </c>
      <c r="AD201">
        <f>S201</f>
        <v/>
      </c>
      <c r="AE201">
        <f>IF(ISNUMBER(SEARCH("CAPITAL FUNDING",D201)),1,0)</f>
        <v/>
      </c>
      <c r="AF201">
        <f>IF(ISNUMBER(SEARCH("MERCHANTS",D201)),1,0)</f>
        <v/>
      </c>
      <c r="AG201">
        <f>IF(ISNUMBER(SEARCH("WELLS FARGO",D201)),1,0)</f>
        <v/>
      </c>
      <c r="AH201">
        <f>IF(ISNUMBER(SEARCH("WALKER",D201)),1,0)</f>
        <v/>
      </c>
      <c r="AI201">
        <f>IF(ISNUMBER(SEARCH("PNC",D201)),1,0)</f>
        <v/>
      </c>
      <c r="AJ201">
        <f>IF(ISNUMBER(SEARCH("BERKADIA",D201)),1,0)</f>
        <v/>
      </c>
      <c r="AK201">
        <f>IF(ISNUMBER(SEARCH("DWIGHT",D201)),1,0)</f>
        <v/>
      </c>
      <c r="AL201" s="25">
        <f>T$4*(T201-T$3)</f>
        <v/>
      </c>
      <c r="AM201" s="25">
        <f>U$4*(U201-U$3)</f>
        <v/>
      </c>
      <c r="AN201" s="25">
        <f>V$4*(V201-V$3)</f>
        <v/>
      </c>
      <c r="AO201" s="25">
        <f>W$4*(W201-W$3)</f>
        <v/>
      </c>
      <c r="AP201" s="25">
        <f>X$4*(X201-X$3)</f>
        <v/>
      </c>
      <c r="AQ201" s="25">
        <f>Y$4*(Y201-Y$3)</f>
        <v/>
      </c>
      <c r="AR201" s="25">
        <f>Z$4*(Z201-Z$3)</f>
        <v/>
      </c>
      <c r="AS201" s="25">
        <f>AA$4*(AA201-AA$3)</f>
        <v/>
      </c>
      <c r="AT201" s="25">
        <f>AB$4*(AB201-AB$3)</f>
        <v/>
      </c>
      <c r="AU201" s="25">
        <f>AC$4*(AC201-AC$3)</f>
        <v/>
      </c>
      <c r="AV201" s="25">
        <f>AD$4*(AD201-AD$3)</f>
        <v/>
      </c>
      <c r="AW201" s="25">
        <f>AE$4*(AE201-AE$3)</f>
        <v/>
      </c>
      <c r="AX201" s="25">
        <f>AF$4*(AF201-AF$3)</f>
        <v/>
      </c>
      <c r="AY201" s="25">
        <f>AG$4*(AG201-AG$3)</f>
        <v/>
      </c>
      <c r="AZ201" s="25">
        <f>AH$4*(AH201-AH$3)</f>
        <v/>
      </c>
      <c r="BA201" s="25">
        <f>AI$4*(AI201-AI$3)</f>
        <v/>
      </c>
      <c r="BB201" s="25">
        <f>AJ$4*(AJ201-AJ$3)</f>
        <v/>
      </c>
      <c r="BC201" s="25">
        <f>AK$4*(AK201-AK$3)</f>
        <v/>
      </c>
      <c r="BD201" s="26">
        <f>SUM(AL201:BC201)</f>
        <v/>
      </c>
      <c r="BE201" s="26">
        <f>INTERCEPT_SCALED+BD201</f>
        <v/>
      </c>
      <c r="BF201" s="27">
        <f>1/(1+EXP(-BE201))</f>
        <v/>
      </c>
      <c r="BG201" s="13">
        <f>1-(1-BF201)^12</f>
        <v/>
      </c>
      <c r="BH201" s="13">
        <f>IFERROR(AL201/BD201*(BG201-BASELINE_CPR),0)</f>
        <v/>
      </c>
      <c r="BI201" s="13">
        <f>IFERROR(AM201/BD201*(BG201-BASELINE_CPR),0)</f>
        <v/>
      </c>
      <c r="BJ201" s="13">
        <f>IFERROR(AN201/BD201*(BG201-BASELINE_CPR),0)</f>
        <v/>
      </c>
      <c r="BK201" s="13">
        <f>IFERROR(AO201/BD201*(BG201-BASELINE_CPR),0)</f>
        <v/>
      </c>
      <c r="BL201" s="13">
        <f>IFERROR(AP201/BD201*(BG201-BASELINE_CPR),0)</f>
        <v/>
      </c>
      <c r="BM201" s="13">
        <f>IFERROR(AQ201/BD201*(BG201-BASELINE_CPR),0)</f>
        <v/>
      </c>
      <c r="BN201" s="13">
        <f>IFERROR(AR201/BD201*(BG201-BASELINE_CPR),0)</f>
        <v/>
      </c>
      <c r="BO201" s="13">
        <f>IFERROR(AS201/BD201*(BG201-BASELINE_CPR),0)</f>
        <v/>
      </c>
      <c r="BP201" s="13">
        <f>IFERROR(AT201/BD201*(BG201-BASELINE_CPR),0)</f>
        <v/>
      </c>
      <c r="BQ201" s="13">
        <f>IFERROR(AU201/BD201*(BG201-BASELINE_CPR),0)</f>
        <v/>
      </c>
      <c r="BR201" s="13">
        <f>IFERROR(AV201/BD201*(BG201-BASELINE_CPR),0)</f>
        <v/>
      </c>
      <c r="BS201" s="13">
        <f>IFERROR(AW201/BD201*(BG201-BASELINE_CPR),0)</f>
        <v/>
      </c>
      <c r="BT201" s="13">
        <f>IFERROR(AX201/BD201*(BG201-BASELINE_CPR),0)</f>
        <v/>
      </c>
      <c r="BU201" s="13">
        <f>IFERROR(AY201/BD201*(BG201-BASELINE_CPR),0)</f>
        <v/>
      </c>
      <c r="BV201" s="13">
        <f>IFERROR(AZ201/BD201*(BG201-BASELINE_CPR),0)</f>
        <v/>
      </c>
      <c r="BW201" s="13">
        <f>IFERROR(BA201/BD201*(BG201-BASELINE_CPR),0)</f>
        <v/>
      </c>
      <c r="BX201" s="13">
        <f>IFERROR(BB201/BD201*(BG201-BASELINE_CPR),0)</f>
        <v/>
      </c>
      <c r="BY201" s="13">
        <f>IFERROR(BC201/BD201*(BG201-BASELINE_CPR),0)</f>
        <v/>
      </c>
      <c r="BZ201" s="28">
        <f>BASELINE_CPR+SUM(BH201:BY201)-BG201</f>
        <v/>
      </c>
    </row>
    <row r="202">
      <c r="A202" s="2" t="inlineStr">
        <is>
          <t>3617UEVT8_000000008311211</t>
        </is>
      </c>
      <c r="B202" t="inlineStr">
        <is>
          <t>DWIGHT_PRE21</t>
        </is>
      </c>
      <c r="C202" s="2" t="inlineStr">
        <is>
          <t>3617UEVT8</t>
        </is>
      </c>
      <c r="D202" t="inlineStr">
        <is>
          <t>DWIGHT CAPITAL LLC</t>
        </is>
      </c>
      <c r="E202" t="inlineStr">
        <is>
          <t>223f</t>
        </is>
      </c>
      <c r="F202" t="inlineStr">
        <is>
          <t>RP</t>
        </is>
      </c>
      <c r="G202" t="n">
        <v>2020</v>
      </c>
      <c r="H202" t="inlineStr">
        <is>
          <t>202602</t>
        </is>
      </c>
      <c r="I202" s="22" t="n">
        <v>968359.23</v>
      </c>
      <c r="J202" s="23" t="n">
        <v>2.39</v>
      </c>
      <c r="K202" s="24" t="n">
        <v>447</v>
      </c>
      <c r="L202" s="24" t="n">
        <v>5</v>
      </c>
      <c r="M202" t="n">
        <v>62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s="24">
        <f>J202*100-(K202+(1+L202)*12.5)</f>
        <v/>
      </c>
      <c r="U202">
        <f>O202</f>
        <v/>
      </c>
      <c r="V202">
        <f>M202</f>
        <v/>
      </c>
      <c r="W202" s="23">
        <f>LN(1+I202)</f>
        <v/>
      </c>
      <c r="X202">
        <f>IF(G202&gt;=2021,1,0)</f>
        <v/>
      </c>
      <c r="Y202">
        <f>N202</f>
        <v/>
      </c>
      <c r="Z202" s="23">
        <f>IF(ISNUMBER(M202),N202/MAX(M202,1),0)</f>
        <v/>
      </c>
      <c r="AA202">
        <f>P202</f>
        <v/>
      </c>
      <c r="AB202">
        <f>Q202</f>
        <v/>
      </c>
      <c r="AC202">
        <f>R202</f>
        <v/>
      </c>
      <c r="AD202">
        <f>S202</f>
        <v/>
      </c>
      <c r="AE202">
        <f>IF(ISNUMBER(SEARCH("CAPITAL FUNDING",D202)),1,0)</f>
        <v/>
      </c>
      <c r="AF202">
        <f>IF(ISNUMBER(SEARCH("MERCHANTS",D202)),1,0)</f>
        <v/>
      </c>
      <c r="AG202">
        <f>IF(ISNUMBER(SEARCH("WELLS FARGO",D202)),1,0)</f>
        <v/>
      </c>
      <c r="AH202">
        <f>IF(ISNUMBER(SEARCH("WALKER",D202)),1,0)</f>
        <v/>
      </c>
      <c r="AI202">
        <f>IF(ISNUMBER(SEARCH("PNC",D202)),1,0)</f>
        <v/>
      </c>
      <c r="AJ202">
        <f>IF(ISNUMBER(SEARCH("BERKADIA",D202)),1,0)</f>
        <v/>
      </c>
      <c r="AK202">
        <f>IF(ISNUMBER(SEARCH("DWIGHT",D202)),1,0)</f>
        <v/>
      </c>
      <c r="AL202" s="25">
        <f>T$4*(T202-T$3)</f>
        <v/>
      </c>
      <c r="AM202" s="25">
        <f>U$4*(U202-U$3)</f>
        <v/>
      </c>
      <c r="AN202" s="25">
        <f>V$4*(V202-V$3)</f>
        <v/>
      </c>
      <c r="AO202" s="25">
        <f>W$4*(W202-W$3)</f>
        <v/>
      </c>
      <c r="AP202" s="25">
        <f>X$4*(X202-X$3)</f>
        <v/>
      </c>
      <c r="AQ202" s="25">
        <f>Y$4*(Y202-Y$3)</f>
        <v/>
      </c>
      <c r="AR202" s="25">
        <f>Z$4*(Z202-Z$3)</f>
        <v/>
      </c>
      <c r="AS202" s="25">
        <f>AA$4*(AA202-AA$3)</f>
        <v/>
      </c>
      <c r="AT202" s="25">
        <f>AB$4*(AB202-AB$3)</f>
        <v/>
      </c>
      <c r="AU202" s="25">
        <f>AC$4*(AC202-AC$3)</f>
        <v/>
      </c>
      <c r="AV202" s="25">
        <f>AD$4*(AD202-AD$3)</f>
        <v/>
      </c>
      <c r="AW202" s="25">
        <f>AE$4*(AE202-AE$3)</f>
        <v/>
      </c>
      <c r="AX202" s="25">
        <f>AF$4*(AF202-AF$3)</f>
        <v/>
      </c>
      <c r="AY202" s="25">
        <f>AG$4*(AG202-AG$3)</f>
        <v/>
      </c>
      <c r="AZ202" s="25">
        <f>AH$4*(AH202-AH$3)</f>
        <v/>
      </c>
      <c r="BA202" s="25">
        <f>AI$4*(AI202-AI$3)</f>
        <v/>
      </c>
      <c r="BB202" s="25">
        <f>AJ$4*(AJ202-AJ$3)</f>
        <v/>
      </c>
      <c r="BC202" s="25">
        <f>AK$4*(AK202-AK$3)</f>
        <v/>
      </c>
      <c r="BD202" s="26">
        <f>SUM(AL202:BC202)</f>
        <v/>
      </c>
      <c r="BE202" s="26">
        <f>INTERCEPT_SCALED+BD202</f>
        <v/>
      </c>
      <c r="BF202" s="27">
        <f>1/(1+EXP(-BE202))</f>
        <v/>
      </c>
      <c r="BG202" s="13">
        <f>1-(1-BF202)^12</f>
        <v/>
      </c>
      <c r="BH202" s="13">
        <f>IFERROR(AL202/BD202*(BG202-BASELINE_CPR),0)</f>
        <v/>
      </c>
      <c r="BI202" s="13">
        <f>IFERROR(AM202/BD202*(BG202-BASELINE_CPR),0)</f>
        <v/>
      </c>
      <c r="BJ202" s="13">
        <f>IFERROR(AN202/BD202*(BG202-BASELINE_CPR),0)</f>
        <v/>
      </c>
      <c r="BK202" s="13">
        <f>IFERROR(AO202/BD202*(BG202-BASELINE_CPR),0)</f>
        <v/>
      </c>
      <c r="BL202" s="13">
        <f>IFERROR(AP202/BD202*(BG202-BASELINE_CPR),0)</f>
        <v/>
      </c>
      <c r="BM202" s="13">
        <f>IFERROR(AQ202/BD202*(BG202-BASELINE_CPR),0)</f>
        <v/>
      </c>
      <c r="BN202" s="13">
        <f>IFERROR(AR202/BD202*(BG202-BASELINE_CPR),0)</f>
        <v/>
      </c>
      <c r="BO202" s="13">
        <f>IFERROR(AS202/BD202*(BG202-BASELINE_CPR),0)</f>
        <v/>
      </c>
      <c r="BP202" s="13">
        <f>IFERROR(AT202/BD202*(BG202-BASELINE_CPR),0)</f>
        <v/>
      </c>
      <c r="BQ202" s="13">
        <f>IFERROR(AU202/BD202*(BG202-BASELINE_CPR),0)</f>
        <v/>
      </c>
      <c r="BR202" s="13">
        <f>IFERROR(AV202/BD202*(BG202-BASELINE_CPR),0)</f>
        <v/>
      </c>
      <c r="BS202" s="13">
        <f>IFERROR(AW202/BD202*(BG202-BASELINE_CPR),0)</f>
        <v/>
      </c>
      <c r="BT202" s="13">
        <f>IFERROR(AX202/BD202*(BG202-BASELINE_CPR),0)</f>
        <v/>
      </c>
      <c r="BU202" s="13">
        <f>IFERROR(AY202/BD202*(BG202-BASELINE_CPR),0)</f>
        <v/>
      </c>
      <c r="BV202" s="13">
        <f>IFERROR(AZ202/BD202*(BG202-BASELINE_CPR),0)</f>
        <v/>
      </c>
      <c r="BW202" s="13">
        <f>IFERROR(BA202/BD202*(BG202-BASELINE_CPR),0)</f>
        <v/>
      </c>
      <c r="BX202" s="13">
        <f>IFERROR(BB202/BD202*(BG202-BASELINE_CPR),0)</f>
        <v/>
      </c>
      <c r="BY202" s="13">
        <f>IFERROR(BC202/BD202*(BG202-BASELINE_CPR),0)</f>
        <v/>
      </c>
      <c r="BZ202" s="28">
        <f>BASELINE_CPR+SUM(BH202:BY202)-BG202</f>
        <v/>
      </c>
    </row>
    <row r="203">
      <c r="A203" s="2" t="inlineStr">
        <is>
          <t>3618B0H48_000000007522256</t>
        </is>
      </c>
      <c r="B203" t="inlineStr">
        <is>
          <t>DWIGHT_POST21</t>
        </is>
      </c>
      <c r="C203" s="2" t="inlineStr">
        <is>
          <t>3618B0H48</t>
        </is>
      </c>
      <c r="D203" t="inlineStr">
        <is>
          <t>DWIGHT CAPITAL LLC</t>
        </is>
      </c>
      <c r="E203" t="inlineStr">
        <is>
          <t>232</t>
        </is>
      </c>
      <c r="F203" t="inlineStr">
        <is>
          <t>RP</t>
        </is>
      </c>
      <c r="G203" t="n">
        <v>2023</v>
      </c>
      <c r="H203" t="inlineStr">
        <is>
          <t>202602</t>
        </is>
      </c>
      <c r="I203" s="22" t="n">
        <v>9048849.869999999</v>
      </c>
      <c r="J203" s="23" t="n">
        <v>5.81</v>
      </c>
      <c r="K203" s="24" t="n">
        <v>447</v>
      </c>
      <c r="L203" s="24" t="n">
        <v>9</v>
      </c>
      <c r="M203" t="n">
        <v>31</v>
      </c>
      <c r="N203" t="n">
        <v>12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s="24">
        <f>J203*100-(K203+(1+L203)*12.5)</f>
        <v/>
      </c>
      <c r="U203">
        <f>O203</f>
        <v/>
      </c>
      <c r="V203">
        <f>M203</f>
        <v/>
      </c>
      <c r="W203" s="23">
        <f>LN(1+I203)</f>
        <v/>
      </c>
      <c r="X203">
        <f>IF(G203&gt;=2021,1,0)</f>
        <v/>
      </c>
      <c r="Y203">
        <f>N203</f>
        <v/>
      </c>
      <c r="Z203" s="23">
        <f>IF(ISNUMBER(M203),N203/MAX(M203,1),0)</f>
        <v/>
      </c>
      <c r="AA203">
        <f>P203</f>
        <v/>
      </c>
      <c r="AB203">
        <f>Q203</f>
        <v/>
      </c>
      <c r="AC203">
        <f>R203</f>
        <v/>
      </c>
      <c r="AD203">
        <f>S203</f>
        <v/>
      </c>
      <c r="AE203">
        <f>IF(ISNUMBER(SEARCH("CAPITAL FUNDING",D203)),1,0)</f>
        <v/>
      </c>
      <c r="AF203">
        <f>IF(ISNUMBER(SEARCH("MERCHANTS",D203)),1,0)</f>
        <v/>
      </c>
      <c r="AG203">
        <f>IF(ISNUMBER(SEARCH("WELLS FARGO",D203)),1,0)</f>
        <v/>
      </c>
      <c r="AH203">
        <f>IF(ISNUMBER(SEARCH("WALKER",D203)),1,0)</f>
        <v/>
      </c>
      <c r="AI203">
        <f>IF(ISNUMBER(SEARCH("PNC",D203)),1,0)</f>
        <v/>
      </c>
      <c r="AJ203">
        <f>IF(ISNUMBER(SEARCH("BERKADIA",D203)),1,0)</f>
        <v/>
      </c>
      <c r="AK203">
        <f>IF(ISNUMBER(SEARCH("DWIGHT",D203)),1,0)</f>
        <v/>
      </c>
      <c r="AL203" s="25">
        <f>T$4*(T203-T$3)</f>
        <v/>
      </c>
      <c r="AM203" s="25">
        <f>U$4*(U203-U$3)</f>
        <v/>
      </c>
      <c r="AN203" s="25">
        <f>V$4*(V203-V$3)</f>
        <v/>
      </c>
      <c r="AO203" s="25">
        <f>W$4*(W203-W$3)</f>
        <v/>
      </c>
      <c r="AP203" s="25">
        <f>X$4*(X203-X$3)</f>
        <v/>
      </c>
      <c r="AQ203" s="25">
        <f>Y$4*(Y203-Y$3)</f>
        <v/>
      </c>
      <c r="AR203" s="25">
        <f>Z$4*(Z203-Z$3)</f>
        <v/>
      </c>
      <c r="AS203" s="25">
        <f>AA$4*(AA203-AA$3)</f>
        <v/>
      </c>
      <c r="AT203" s="25">
        <f>AB$4*(AB203-AB$3)</f>
        <v/>
      </c>
      <c r="AU203" s="25">
        <f>AC$4*(AC203-AC$3)</f>
        <v/>
      </c>
      <c r="AV203" s="25">
        <f>AD$4*(AD203-AD$3)</f>
        <v/>
      </c>
      <c r="AW203" s="25">
        <f>AE$4*(AE203-AE$3)</f>
        <v/>
      </c>
      <c r="AX203" s="25">
        <f>AF$4*(AF203-AF$3)</f>
        <v/>
      </c>
      <c r="AY203" s="25">
        <f>AG$4*(AG203-AG$3)</f>
        <v/>
      </c>
      <c r="AZ203" s="25">
        <f>AH$4*(AH203-AH$3)</f>
        <v/>
      </c>
      <c r="BA203" s="25">
        <f>AI$4*(AI203-AI$3)</f>
        <v/>
      </c>
      <c r="BB203" s="25">
        <f>AJ$4*(AJ203-AJ$3)</f>
        <v/>
      </c>
      <c r="BC203" s="25">
        <f>AK$4*(AK203-AK$3)</f>
        <v/>
      </c>
      <c r="BD203" s="26">
        <f>SUM(AL203:BC203)</f>
        <v/>
      </c>
      <c r="BE203" s="26">
        <f>INTERCEPT_SCALED+BD203</f>
        <v/>
      </c>
      <c r="BF203" s="27">
        <f>1/(1+EXP(-BE203))</f>
        <v/>
      </c>
      <c r="BG203" s="13">
        <f>1-(1-BF203)^12</f>
        <v/>
      </c>
      <c r="BH203" s="13">
        <f>IFERROR(AL203/BD203*(BG203-BASELINE_CPR),0)</f>
        <v/>
      </c>
      <c r="BI203" s="13">
        <f>IFERROR(AM203/BD203*(BG203-BASELINE_CPR),0)</f>
        <v/>
      </c>
      <c r="BJ203" s="13">
        <f>IFERROR(AN203/BD203*(BG203-BASELINE_CPR),0)</f>
        <v/>
      </c>
      <c r="BK203" s="13">
        <f>IFERROR(AO203/BD203*(BG203-BASELINE_CPR),0)</f>
        <v/>
      </c>
      <c r="BL203" s="13">
        <f>IFERROR(AP203/BD203*(BG203-BASELINE_CPR),0)</f>
        <v/>
      </c>
      <c r="BM203" s="13">
        <f>IFERROR(AQ203/BD203*(BG203-BASELINE_CPR),0)</f>
        <v/>
      </c>
      <c r="BN203" s="13">
        <f>IFERROR(AR203/BD203*(BG203-BASELINE_CPR),0)</f>
        <v/>
      </c>
      <c r="BO203" s="13">
        <f>IFERROR(AS203/BD203*(BG203-BASELINE_CPR),0)</f>
        <v/>
      </c>
      <c r="BP203" s="13">
        <f>IFERROR(AT203/BD203*(BG203-BASELINE_CPR),0)</f>
        <v/>
      </c>
      <c r="BQ203" s="13">
        <f>IFERROR(AU203/BD203*(BG203-BASELINE_CPR),0)</f>
        <v/>
      </c>
      <c r="BR203" s="13">
        <f>IFERROR(AV203/BD203*(BG203-BASELINE_CPR),0)</f>
        <v/>
      </c>
      <c r="BS203" s="13">
        <f>IFERROR(AW203/BD203*(BG203-BASELINE_CPR),0)</f>
        <v/>
      </c>
      <c r="BT203" s="13">
        <f>IFERROR(AX203/BD203*(BG203-BASELINE_CPR),0)</f>
        <v/>
      </c>
      <c r="BU203" s="13">
        <f>IFERROR(AY203/BD203*(BG203-BASELINE_CPR),0)</f>
        <v/>
      </c>
      <c r="BV203" s="13">
        <f>IFERROR(AZ203/BD203*(BG203-BASELINE_CPR),0)</f>
        <v/>
      </c>
      <c r="BW203" s="13">
        <f>IFERROR(BA203/BD203*(BG203-BASELINE_CPR),0)</f>
        <v/>
      </c>
      <c r="BX203" s="13">
        <f>IFERROR(BB203/BD203*(BG203-BASELINE_CPR),0)</f>
        <v/>
      </c>
      <c r="BY203" s="13">
        <f>IFERROR(BC203/BD203*(BG203-BASELINE_CPR),0)</f>
        <v/>
      </c>
      <c r="BZ203" s="28">
        <f>BASELINE_CPR+SUM(BH203:BY203)-BG203</f>
        <v/>
      </c>
    </row>
    <row r="204">
      <c r="A204" s="2" t="inlineStr">
        <is>
          <t>3618GPKL6_000000007522267</t>
        </is>
      </c>
      <c r="B204" t="inlineStr">
        <is>
          <t>DWIGHT_POST21</t>
        </is>
      </c>
      <c r="C204" s="2" t="inlineStr">
        <is>
          <t>3618GPKL6</t>
        </is>
      </c>
      <c r="D204" t="inlineStr">
        <is>
          <t>DWIGHT CAPITAL LLC</t>
        </is>
      </c>
      <c r="E204" t="inlineStr">
        <is>
          <t>232</t>
        </is>
      </c>
      <c r="F204" t="inlineStr">
        <is>
          <t>RP</t>
        </is>
      </c>
      <c r="G204" t="n">
        <v>2024</v>
      </c>
      <c r="H204" t="inlineStr">
        <is>
          <t>202602</t>
        </is>
      </c>
      <c r="I204" s="22" t="n">
        <v>6134382.85</v>
      </c>
      <c r="J204" s="23" t="n">
        <v>6.24</v>
      </c>
      <c r="K204" s="24" t="n">
        <v>447</v>
      </c>
      <c r="L204" s="24" t="n">
        <v>10</v>
      </c>
      <c r="M204" t="n">
        <v>18</v>
      </c>
      <c r="N204" t="n">
        <v>18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s="24">
        <f>J204*100-(K204+(1+L204)*12.5)</f>
        <v/>
      </c>
      <c r="U204">
        <f>O204</f>
        <v/>
      </c>
      <c r="V204">
        <f>M204</f>
        <v/>
      </c>
      <c r="W204" s="23">
        <f>LN(1+I204)</f>
        <v/>
      </c>
      <c r="X204">
        <f>IF(G204&gt;=2021,1,0)</f>
        <v/>
      </c>
      <c r="Y204">
        <f>N204</f>
        <v/>
      </c>
      <c r="Z204" s="23">
        <f>IF(ISNUMBER(M204),N204/MAX(M204,1),0)</f>
        <v/>
      </c>
      <c r="AA204">
        <f>P204</f>
        <v/>
      </c>
      <c r="AB204">
        <f>Q204</f>
        <v/>
      </c>
      <c r="AC204">
        <f>R204</f>
        <v/>
      </c>
      <c r="AD204">
        <f>S204</f>
        <v/>
      </c>
      <c r="AE204">
        <f>IF(ISNUMBER(SEARCH("CAPITAL FUNDING",D204)),1,0)</f>
        <v/>
      </c>
      <c r="AF204">
        <f>IF(ISNUMBER(SEARCH("MERCHANTS",D204)),1,0)</f>
        <v/>
      </c>
      <c r="AG204">
        <f>IF(ISNUMBER(SEARCH("WELLS FARGO",D204)),1,0)</f>
        <v/>
      </c>
      <c r="AH204">
        <f>IF(ISNUMBER(SEARCH("WALKER",D204)),1,0)</f>
        <v/>
      </c>
      <c r="AI204">
        <f>IF(ISNUMBER(SEARCH("PNC",D204)),1,0)</f>
        <v/>
      </c>
      <c r="AJ204">
        <f>IF(ISNUMBER(SEARCH("BERKADIA",D204)),1,0)</f>
        <v/>
      </c>
      <c r="AK204">
        <f>IF(ISNUMBER(SEARCH("DWIGHT",D204)),1,0)</f>
        <v/>
      </c>
      <c r="AL204" s="25">
        <f>T$4*(T204-T$3)</f>
        <v/>
      </c>
      <c r="AM204" s="25">
        <f>U$4*(U204-U$3)</f>
        <v/>
      </c>
      <c r="AN204" s="25">
        <f>V$4*(V204-V$3)</f>
        <v/>
      </c>
      <c r="AO204" s="25">
        <f>W$4*(W204-W$3)</f>
        <v/>
      </c>
      <c r="AP204" s="25">
        <f>X$4*(X204-X$3)</f>
        <v/>
      </c>
      <c r="AQ204" s="25">
        <f>Y$4*(Y204-Y$3)</f>
        <v/>
      </c>
      <c r="AR204" s="25">
        <f>Z$4*(Z204-Z$3)</f>
        <v/>
      </c>
      <c r="AS204" s="25">
        <f>AA$4*(AA204-AA$3)</f>
        <v/>
      </c>
      <c r="AT204" s="25">
        <f>AB$4*(AB204-AB$3)</f>
        <v/>
      </c>
      <c r="AU204" s="25">
        <f>AC$4*(AC204-AC$3)</f>
        <v/>
      </c>
      <c r="AV204" s="25">
        <f>AD$4*(AD204-AD$3)</f>
        <v/>
      </c>
      <c r="AW204" s="25">
        <f>AE$4*(AE204-AE$3)</f>
        <v/>
      </c>
      <c r="AX204" s="25">
        <f>AF$4*(AF204-AF$3)</f>
        <v/>
      </c>
      <c r="AY204" s="25">
        <f>AG$4*(AG204-AG$3)</f>
        <v/>
      </c>
      <c r="AZ204" s="25">
        <f>AH$4*(AH204-AH$3)</f>
        <v/>
      </c>
      <c r="BA204" s="25">
        <f>AI$4*(AI204-AI$3)</f>
        <v/>
      </c>
      <c r="BB204" s="25">
        <f>AJ$4*(AJ204-AJ$3)</f>
        <v/>
      </c>
      <c r="BC204" s="25">
        <f>AK$4*(AK204-AK$3)</f>
        <v/>
      </c>
      <c r="BD204" s="26">
        <f>SUM(AL204:BC204)</f>
        <v/>
      </c>
      <c r="BE204" s="26">
        <f>INTERCEPT_SCALED+BD204</f>
        <v/>
      </c>
      <c r="BF204" s="27">
        <f>1/(1+EXP(-BE204))</f>
        <v/>
      </c>
      <c r="BG204" s="13">
        <f>1-(1-BF204)^12</f>
        <v/>
      </c>
      <c r="BH204" s="13">
        <f>IFERROR(AL204/BD204*(BG204-BASELINE_CPR),0)</f>
        <v/>
      </c>
      <c r="BI204" s="13">
        <f>IFERROR(AM204/BD204*(BG204-BASELINE_CPR),0)</f>
        <v/>
      </c>
      <c r="BJ204" s="13">
        <f>IFERROR(AN204/BD204*(BG204-BASELINE_CPR),0)</f>
        <v/>
      </c>
      <c r="BK204" s="13">
        <f>IFERROR(AO204/BD204*(BG204-BASELINE_CPR),0)</f>
        <v/>
      </c>
      <c r="BL204" s="13">
        <f>IFERROR(AP204/BD204*(BG204-BASELINE_CPR),0)</f>
        <v/>
      </c>
      <c r="BM204" s="13">
        <f>IFERROR(AQ204/BD204*(BG204-BASELINE_CPR),0)</f>
        <v/>
      </c>
      <c r="BN204" s="13">
        <f>IFERROR(AR204/BD204*(BG204-BASELINE_CPR),0)</f>
        <v/>
      </c>
      <c r="BO204" s="13">
        <f>IFERROR(AS204/BD204*(BG204-BASELINE_CPR),0)</f>
        <v/>
      </c>
      <c r="BP204" s="13">
        <f>IFERROR(AT204/BD204*(BG204-BASELINE_CPR),0)</f>
        <v/>
      </c>
      <c r="BQ204" s="13">
        <f>IFERROR(AU204/BD204*(BG204-BASELINE_CPR),0)</f>
        <v/>
      </c>
      <c r="BR204" s="13">
        <f>IFERROR(AV204/BD204*(BG204-BASELINE_CPR),0)</f>
        <v/>
      </c>
      <c r="BS204" s="13">
        <f>IFERROR(AW204/BD204*(BG204-BASELINE_CPR),0)</f>
        <v/>
      </c>
      <c r="BT204" s="13">
        <f>IFERROR(AX204/BD204*(BG204-BASELINE_CPR),0)</f>
        <v/>
      </c>
      <c r="BU204" s="13">
        <f>IFERROR(AY204/BD204*(BG204-BASELINE_CPR),0)</f>
        <v/>
      </c>
      <c r="BV204" s="13">
        <f>IFERROR(AZ204/BD204*(BG204-BASELINE_CPR),0)</f>
        <v/>
      </c>
      <c r="BW204" s="13">
        <f>IFERROR(BA204/BD204*(BG204-BASELINE_CPR),0)</f>
        <v/>
      </c>
      <c r="BX204" s="13">
        <f>IFERROR(BB204/BD204*(BG204-BASELINE_CPR),0)</f>
        <v/>
      </c>
      <c r="BY204" s="13">
        <f>IFERROR(BC204/BD204*(BG204-BASELINE_CPR),0)</f>
        <v/>
      </c>
      <c r="BZ204" s="28">
        <f>BASELINE_CPR+SUM(BH204:BY204)-BG204</f>
        <v/>
      </c>
    </row>
    <row r="205">
      <c r="A205" s="2" t="inlineStr">
        <is>
          <t>3617QAHG5_000000013611110</t>
        </is>
      </c>
      <c r="B205" t="inlineStr">
        <is>
          <t>DWIGHT_PRE21</t>
        </is>
      </c>
      <c r="C205" s="2" t="inlineStr">
        <is>
          <t>3617QAHG5</t>
        </is>
      </c>
      <c r="D205" t="inlineStr">
        <is>
          <t>DWIGHT CAPITAL LLC</t>
        </is>
      </c>
      <c r="E205" t="inlineStr">
        <is>
          <t>223a7</t>
        </is>
      </c>
      <c r="F205" t="inlineStr">
        <is>
          <t>RP</t>
        </is>
      </c>
      <c r="G205" t="n">
        <v>2020</v>
      </c>
      <c r="H205" t="inlineStr">
        <is>
          <t>202602</t>
        </is>
      </c>
      <c r="I205" s="22" t="n">
        <v>17026960.32</v>
      </c>
      <c r="J205" s="23" t="n">
        <v>3.37</v>
      </c>
      <c r="K205" s="24" t="n">
        <v>447</v>
      </c>
      <c r="L205" s="24" t="n">
        <v>6</v>
      </c>
      <c r="M205" t="n">
        <v>64</v>
      </c>
      <c r="N205" t="n">
        <v>14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s="24">
        <f>J205*100-(K205+(1+L205)*12.5)</f>
        <v/>
      </c>
      <c r="U205">
        <f>O205</f>
        <v/>
      </c>
      <c r="V205">
        <f>M205</f>
        <v/>
      </c>
      <c r="W205" s="23">
        <f>LN(1+I205)</f>
        <v/>
      </c>
      <c r="X205">
        <f>IF(G205&gt;=2021,1,0)</f>
        <v/>
      </c>
      <c r="Y205">
        <f>N205</f>
        <v/>
      </c>
      <c r="Z205" s="23">
        <f>IF(ISNUMBER(M205),N205/MAX(M205,1),0)</f>
        <v/>
      </c>
      <c r="AA205">
        <f>P205</f>
        <v/>
      </c>
      <c r="AB205">
        <f>Q205</f>
        <v/>
      </c>
      <c r="AC205">
        <f>R205</f>
        <v/>
      </c>
      <c r="AD205">
        <f>S205</f>
        <v/>
      </c>
      <c r="AE205">
        <f>IF(ISNUMBER(SEARCH("CAPITAL FUNDING",D205)),1,0)</f>
        <v/>
      </c>
      <c r="AF205">
        <f>IF(ISNUMBER(SEARCH("MERCHANTS",D205)),1,0)</f>
        <v/>
      </c>
      <c r="AG205">
        <f>IF(ISNUMBER(SEARCH("WELLS FARGO",D205)),1,0)</f>
        <v/>
      </c>
      <c r="AH205">
        <f>IF(ISNUMBER(SEARCH("WALKER",D205)),1,0)</f>
        <v/>
      </c>
      <c r="AI205">
        <f>IF(ISNUMBER(SEARCH("PNC",D205)),1,0)</f>
        <v/>
      </c>
      <c r="AJ205">
        <f>IF(ISNUMBER(SEARCH("BERKADIA",D205)),1,0)</f>
        <v/>
      </c>
      <c r="AK205">
        <f>IF(ISNUMBER(SEARCH("DWIGHT",D205)),1,0)</f>
        <v/>
      </c>
      <c r="AL205" s="25">
        <f>T$4*(T205-T$3)</f>
        <v/>
      </c>
      <c r="AM205" s="25">
        <f>U$4*(U205-U$3)</f>
        <v/>
      </c>
      <c r="AN205" s="25">
        <f>V$4*(V205-V$3)</f>
        <v/>
      </c>
      <c r="AO205" s="25">
        <f>W$4*(W205-W$3)</f>
        <v/>
      </c>
      <c r="AP205" s="25">
        <f>X$4*(X205-X$3)</f>
        <v/>
      </c>
      <c r="AQ205" s="25">
        <f>Y$4*(Y205-Y$3)</f>
        <v/>
      </c>
      <c r="AR205" s="25">
        <f>Z$4*(Z205-Z$3)</f>
        <v/>
      </c>
      <c r="AS205" s="25">
        <f>AA$4*(AA205-AA$3)</f>
        <v/>
      </c>
      <c r="AT205" s="25">
        <f>AB$4*(AB205-AB$3)</f>
        <v/>
      </c>
      <c r="AU205" s="25">
        <f>AC$4*(AC205-AC$3)</f>
        <v/>
      </c>
      <c r="AV205" s="25">
        <f>AD$4*(AD205-AD$3)</f>
        <v/>
      </c>
      <c r="AW205" s="25">
        <f>AE$4*(AE205-AE$3)</f>
        <v/>
      </c>
      <c r="AX205" s="25">
        <f>AF$4*(AF205-AF$3)</f>
        <v/>
      </c>
      <c r="AY205" s="25">
        <f>AG$4*(AG205-AG$3)</f>
        <v/>
      </c>
      <c r="AZ205" s="25">
        <f>AH$4*(AH205-AH$3)</f>
        <v/>
      </c>
      <c r="BA205" s="25">
        <f>AI$4*(AI205-AI$3)</f>
        <v/>
      </c>
      <c r="BB205" s="25">
        <f>AJ$4*(AJ205-AJ$3)</f>
        <v/>
      </c>
      <c r="BC205" s="25">
        <f>AK$4*(AK205-AK$3)</f>
        <v/>
      </c>
      <c r="BD205" s="26">
        <f>SUM(AL205:BC205)</f>
        <v/>
      </c>
      <c r="BE205" s="26">
        <f>INTERCEPT_SCALED+BD205</f>
        <v/>
      </c>
      <c r="BF205" s="27">
        <f>1/(1+EXP(-BE205))</f>
        <v/>
      </c>
      <c r="BG205" s="13">
        <f>1-(1-BF205)^12</f>
        <v/>
      </c>
      <c r="BH205" s="13">
        <f>IFERROR(AL205/BD205*(BG205-BASELINE_CPR),0)</f>
        <v/>
      </c>
      <c r="BI205" s="13">
        <f>IFERROR(AM205/BD205*(BG205-BASELINE_CPR),0)</f>
        <v/>
      </c>
      <c r="BJ205" s="13">
        <f>IFERROR(AN205/BD205*(BG205-BASELINE_CPR),0)</f>
        <v/>
      </c>
      <c r="BK205" s="13">
        <f>IFERROR(AO205/BD205*(BG205-BASELINE_CPR),0)</f>
        <v/>
      </c>
      <c r="BL205" s="13">
        <f>IFERROR(AP205/BD205*(BG205-BASELINE_CPR),0)</f>
        <v/>
      </c>
      <c r="BM205" s="13">
        <f>IFERROR(AQ205/BD205*(BG205-BASELINE_CPR),0)</f>
        <v/>
      </c>
      <c r="BN205" s="13">
        <f>IFERROR(AR205/BD205*(BG205-BASELINE_CPR),0)</f>
        <v/>
      </c>
      <c r="BO205" s="13">
        <f>IFERROR(AS205/BD205*(BG205-BASELINE_CPR),0)</f>
        <v/>
      </c>
      <c r="BP205" s="13">
        <f>IFERROR(AT205/BD205*(BG205-BASELINE_CPR),0)</f>
        <v/>
      </c>
      <c r="BQ205" s="13">
        <f>IFERROR(AU205/BD205*(BG205-BASELINE_CPR),0)</f>
        <v/>
      </c>
      <c r="BR205" s="13">
        <f>IFERROR(AV205/BD205*(BG205-BASELINE_CPR),0)</f>
        <v/>
      </c>
      <c r="BS205" s="13">
        <f>IFERROR(AW205/BD205*(BG205-BASELINE_CPR),0)</f>
        <v/>
      </c>
      <c r="BT205" s="13">
        <f>IFERROR(AX205/BD205*(BG205-BASELINE_CPR),0)</f>
        <v/>
      </c>
      <c r="BU205" s="13">
        <f>IFERROR(AY205/BD205*(BG205-BASELINE_CPR),0)</f>
        <v/>
      </c>
      <c r="BV205" s="13">
        <f>IFERROR(AZ205/BD205*(BG205-BASELINE_CPR),0)</f>
        <v/>
      </c>
      <c r="BW205" s="13">
        <f>IFERROR(BA205/BD205*(BG205-BASELINE_CPR),0)</f>
        <v/>
      </c>
      <c r="BX205" s="13">
        <f>IFERROR(BB205/BD205*(BG205-BASELINE_CPR),0)</f>
        <v/>
      </c>
      <c r="BY205" s="13">
        <f>IFERROR(BC205/BD205*(BG205-BASELINE_CPR),0)</f>
        <v/>
      </c>
      <c r="BZ205" s="28">
        <f>BASELINE_CPR+SUM(BH205:BY205)-BG205</f>
        <v/>
      </c>
    </row>
    <row r="206">
      <c r="A206" s="2" t="inlineStr">
        <is>
          <t>3617LTYJ4_000000003522081</t>
        </is>
      </c>
      <c r="B206" t="inlineStr">
        <is>
          <t>DWIGHT_PRE21</t>
        </is>
      </c>
      <c r="C206" s="2" t="inlineStr">
        <is>
          <t>3617LTYJ4</t>
        </is>
      </c>
      <c r="D206" t="inlineStr">
        <is>
          <t>DWIGHT CAPITAL LLC</t>
        </is>
      </c>
      <c r="E206" t="inlineStr">
        <is>
          <t>232</t>
        </is>
      </c>
      <c r="F206" t="inlineStr">
        <is>
          <t>RP</t>
        </is>
      </c>
      <c r="G206" t="n">
        <v>2019</v>
      </c>
      <c r="H206" t="inlineStr">
        <is>
          <t>202602</t>
        </is>
      </c>
      <c r="I206" s="22" t="n">
        <v>45394966.63</v>
      </c>
      <c r="J206" s="23" t="n">
        <v>3.1</v>
      </c>
      <c r="K206" s="24" t="n">
        <v>447</v>
      </c>
      <c r="L206" s="24" t="n">
        <v>4</v>
      </c>
      <c r="M206" t="n">
        <v>75</v>
      </c>
      <c r="N206" t="n">
        <v>13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s="24">
        <f>J206*100-(K206+(1+L206)*12.5)</f>
        <v/>
      </c>
      <c r="U206">
        <f>O206</f>
        <v/>
      </c>
      <c r="V206">
        <f>M206</f>
        <v/>
      </c>
      <c r="W206" s="23">
        <f>LN(1+I206)</f>
        <v/>
      </c>
      <c r="X206">
        <f>IF(G206&gt;=2021,1,0)</f>
        <v/>
      </c>
      <c r="Y206">
        <f>N206</f>
        <v/>
      </c>
      <c r="Z206" s="23">
        <f>IF(ISNUMBER(M206),N206/MAX(M206,1),0)</f>
        <v/>
      </c>
      <c r="AA206">
        <f>P206</f>
        <v/>
      </c>
      <c r="AB206">
        <f>Q206</f>
        <v/>
      </c>
      <c r="AC206">
        <f>R206</f>
        <v/>
      </c>
      <c r="AD206">
        <f>S206</f>
        <v/>
      </c>
      <c r="AE206">
        <f>IF(ISNUMBER(SEARCH("CAPITAL FUNDING",D206)),1,0)</f>
        <v/>
      </c>
      <c r="AF206">
        <f>IF(ISNUMBER(SEARCH("MERCHANTS",D206)),1,0)</f>
        <v/>
      </c>
      <c r="AG206">
        <f>IF(ISNUMBER(SEARCH("WELLS FARGO",D206)),1,0)</f>
        <v/>
      </c>
      <c r="AH206">
        <f>IF(ISNUMBER(SEARCH("WALKER",D206)),1,0)</f>
        <v/>
      </c>
      <c r="AI206">
        <f>IF(ISNUMBER(SEARCH("PNC",D206)),1,0)</f>
        <v/>
      </c>
      <c r="AJ206">
        <f>IF(ISNUMBER(SEARCH("BERKADIA",D206)),1,0)</f>
        <v/>
      </c>
      <c r="AK206">
        <f>IF(ISNUMBER(SEARCH("DWIGHT",D206)),1,0)</f>
        <v/>
      </c>
      <c r="AL206" s="25">
        <f>T$4*(T206-T$3)</f>
        <v/>
      </c>
      <c r="AM206" s="25">
        <f>U$4*(U206-U$3)</f>
        <v/>
      </c>
      <c r="AN206" s="25">
        <f>V$4*(V206-V$3)</f>
        <v/>
      </c>
      <c r="AO206" s="25">
        <f>W$4*(W206-W$3)</f>
        <v/>
      </c>
      <c r="AP206" s="25">
        <f>X$4*(X206-X$3)</f>
        <v/>
      </c>
      <c r="AQ206" s="25">
        <f>Y$4*(Y206-Y$3)</f>
        <v/>
      </c>
      <c r="AR206" s="25">
        <f>Z$4*(Z206-Z$3)</f>
        <v/>
      </c>
      <c r="AS206" s="25">
        <f>AA$4*(AA206-AA$3)</f>
        <v/>
      </c>
      <c r="AT206" s="25">
        <f>AB$4*(AB206-AB$3)</f>
        <v/>
      </c>
      <c r="AU206" s="25">
        <f>AC$4*(AC206-AC$3)</f>
        <v/>
      </c>
      <c r="AV206" s="25">
        <f>AD$4*(AD206-AD$3)</f>
        <v/>
      </c>
      <c r="AW206" s="25">
        <f>AE$4*(AE206-AE$3)</f>
        <v/>
      </c>
      <c r="AX206" s="25">
        <f>AF$4*(AF206-AF$3)</f>
        <v/>
      </c>
      <c r="AY206" s="25">
        <f>AG$4*(AG206-AG$3)</f>
        <v/>
      </c>
      <c r="AZ206" s="25">
        <f>AH$4*(AH206-AH$3)</f>
        <v/>
      </c>
      <c r="BA206" s="25">
        <f>AI$4*(AI206-AI$3)</f>
        <v/>
      </c>
      <c r="BB206" s="25">
        <f>AJ$4*(AJ206-AJ$3)</f>
        <v/>
      </c>
      <c r="BC206" s="25">
        <f>AK$4*(AK206-AK$3)</f>
        <v/>
      </c>
      <c r="BD206" s="26">
        <f>SUM(AL206:BC206)</f>
        <v/>
      </c>
      <c r="BE206" s="26">
        <f>INTERCEPT_SCALED+BD206</f>
        <v/>
      </c>
      <c r="BF206" s="27">
        <f>1/(1+EXP(-BE206))</f>
        <v/>
      </c>
      <c r="BG206" s="13">
        <f>1-(1-BF206)^12</f>
        <v/>
      </c>
      <c r="BH206" s="13">
        <f>IFERROR(AL206/BD206*(BG206-BASELINE_CPR),0)</f>
        <v/>
      </c>
      <c r="BI206" s="13">
        <f>IFERROR(AM206/BD206*(BG206-BASELINE_CPR),0)</f>
        <v/>
      </c>
      <c r="BJ206" s="13">
        <f>IFERROR(AN206/BD206*(BG206-BASELINE_CPR),0)</f>
        <v/>
      </c>
      <c r="BK206" s="13">
        <f>IFERROR(AO206/BD206*(BG206-BASELINE_CPR),0)</f>
        <v/>
      </c>
      <c r="BL206" s="13">
        <f>IFERROR(AP206/BD206*(BG206-BASELINE_CPR),0)</f>
        <v/>
      </c>
      <c r="BM206" s="13">
        <f>IFERROR(AQ206/BD206*(BG206-BASELINE_CPR),0)</f>
        <v/>
      </c>
      <c r="BN206" s="13">
        <f>IFERROR(AR206/BD206*(BG206-BASELINE_CPR),0)</f>
        <v/>
      </c>
      <c r="BO206" s="13">
        <f>IFERROR(AS206/BD206*(BG206-BASELINE_CPR),0)</f>
        <v/>
      </c>
      <c r="BP206" s="13">
        <f>IFERROR(AT206/BD206*(BG206-BASELINE_CPR),0)</f>
        <v/>
      </c>
      <c r="BQ206" s="13">
        <f>IFERROR(AU206/BD206*(BG206-BASELINE_CPR),0)</f>
        <v/>
      </c>
      <c r="BR206" s="13">
        <f>IFERROR(AV206/BD206*(BG206-BASELINE_CPR),0)</f>
        <v/>
      </c>
      <c r="BS206" s="13">
        <f>IFERROR(AW206/BD206*(BG206-BASELINE_CPR),0)</f>
        <v/>
      </c>
      <c r="BT206" s="13">
        <f>IFERROR(AX206/BD206*(BG206-BASELINE_CPR),0)</f>
        <v/>
      </c>
      <c r="BU206" s="13">
        <f>IFERROR(AY206/BD206*(BG206-BASELINE_CPR),0)</f>
        <v/>
      </c>
      <c r="BV206" s="13">
        <f>IFERROR(AZ206/BD206*(BG206-BASELINE_CPR),0)</f>
        <v/>
      </c>
      <c r="BW206" s="13">
        <f>IFERROR(BA206/BD206*(BG206-BASELINE_CPR),0)</f>
        <v/>
      </c>
      <c r="BX206" s="13">
        <f>IFERROR(BB206/BD206*(BG206-BASELINE_CPR),0)</f>
        <v/>
      </c>
      <c r="BY206" s="13">
        <f>IFERROR(BC206/BD206*(BG206-BASELINE_CPR),0)</f>
        <v/>
      </c>
      <c r="BZ206" s="28">
        <f>BASELINE_CPR+SUM(BH206:BY206)-BG206</f>
        <v/>
      </c>
    </row>
    <row r="207">
      <c r="A207" s="2" t="inlineStr">
        <is>
          <t>3618HUP96_000000009222200</t>
        </is>
      </c>
      <c r="B207" t="inlineStr">
        <is>
          <t>DWIGHT_POST21</t>
        </is>
      </c>
      <c r="C207" s="2" t="inlineStr">
        <is>
          <t>3618HUP96</t>
        </is>
      </c>
      <c r="D207" t="inlineStr">
        <is>
          <t>DWIGHT CAPITAL LLC</t>
        </is>
      </c>
      <c r="E207" t="inlineStr">
        <is>
          <t>232</t>
        </is>
      </c>
      <c r="F207" t="inlineStr">
        <is>
          <t>RP</t>
        </is>
      </c>
      <c r="G207" t="n">
        <v>2024</v>
      </c>
      <c r="H207" t="inlineStr">
        <is>
          <t>202602</t>
        </is>
      </c>
      <c r="I207" s="22" t="n">
        <v>5214845.9</v>
      </c>
      <c r="J207" s="23" t="n">
        <v>5.78</v>
      </c>
      <c r="K207" s="24" t="n">
        <v>447</v>
      </c>
      <c r="L207" s="24" t="n">
        <v>10</v>
      </c>
      <c r="M207" t="n">
        <v>17</v>
      </c>
      <c r="N207" t="n">
        <v>13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s="24">
        <f>J207*100-(K207+(1+L207)*12.5)</f>
        <v/>
      </c>
      <c r="U207">
        <f>O207</f>
        <v/>
      </c>
      <c r="V207">
        <f>M207</f>
        <v/>
      </c>
      <c r="W207" s="23">
        <f>LN(1+I207)</f>
        <v/>
      </c>
      <c r="X207">
        <f>IF(G207&gt;=2021,1,0)</f>
        <v/>
      </c>
      <c r="Y207">
        <f>N207</f>
        <v/>
      </c>
      <c r="Z207" s="23">
        <f>IF(ISNUMBER(M207),N207/MAX(M207,1),0)</f>
        <v/>
      </c>
      <c r="AA207">
        <f>P207</f>
        <v/>
      </c>
      <c r="AB207">
        <f>Q207</f>
        <v/>
      </c>
      <c r="AC207">
        <f>R207</f>
        <v/>
      </c>
      <c r="AD207">
        <f>S207</f>
        <v/>
      </c>
      <c r="AE207">
        <f>IF(ISNUMBER(SEARCH("CAPITAL FUNDING",D207)),1,0)</f>
        <v/>
      </c>
      <c r="AF207">
        <f>IF(ISNUMBER(SEARCH("MERCHANTS",D207)),1,0)</f>
        <v/>
      </c>
      <c r="AG207">
        <f>IF(ISNUMBER(SEARCH("WELLS FARGO",D207)),1,0)</f>
        <v/>
      </c>
      <c r="AH207">
        <f>IF(ISNUMBER(SEARCH("WALKER",D207)),1,0)</f>
        <v/>
      </c>
      <c r="AI207">
        <f>IF(ISNUMBER(SEARCH("PNC",D207)),1,0)</f>
        <v/>
      </c>
      <c r="AJ207">
        <f>IF(ISNUMBER(SEARCH("BERKADIA",D207)),1,0)</f>
        <v/>
      </c>
      <c r="AK207">
        <f>IF(ISNUMBER(SEARCH("DWIGHT",D207)),1,0)</f>
        <v/>
      </c>
      <c r="AL207" s="25">
        <f>T$4*(T207-T$3)</f>
        <v/>
      </c>
      <c r="AM207" s="25">
        <f>U$4*(U207-U$3)</f>
        <v/>
      </c>
      <c r="AN207" s="25">
        <f>V$4*(V207-V$3)</f>
        <v/>
      </c>
      <c r="AO207" s="25">
        <f>W$4*(W207-W$3)</f>
        <v/>
      </c>
      <c r="AP207" s="25">
        <f>X$4*(X207-X$3)</f>
        <v/>
      </c>
      <c r="AQ207" s="25">
        <f>Y$4*(Y207-Y$3)</f>
        <v/>
      </c>
      <c r="AR207" s="25">
        <f>Z$4*(Z207-Z$3)</f>
        <v/>
      </c>
      <c r="AS207" s="25">
        <f>AA$4*(AA207-AA$3)</f>
        <v/>
      </c>
      <c r="AT207" s="25">
        <f>AB$4*(AB207-AB$3)</f>
        <v/>
      </c>
      <c r="AU207" s="25">
        <f>AC$4*(AC207-AC$3)</f>
        <v/>
      </c>
      <c r="AV207" s="25">
        <f>AD$4*(AD207-AD$3)</f>
        <v/>
      </c>
      <c r="AW207" s="25">
        <f>AE$4*(AE207-AE$3)</f>
        <v/>
      </c>
      <c r="AX207" s="25">
        <f>AF$4*(AF207-AF$3)</f>
        <v/>
      </c>
      <c r="AY207" s="25">
        <f>AG$4*(AG207-AG$3)</f>
        <v/>
      </c>
      <c r="AZ207" s="25">
        <f>AH$4*(AH207-AH$3)</f>
        <v/>
      </c>
      <c r="BA207" s="25">
        <f>AI$4*(AI207-AI$3)</f>
        <v/>
      </c>
      <c r="BB207" s="25">
        <f>AJ$4*(AJ207-AJ$3)</f>
        <v/>
      </c>
      <c r="BC207" s="25">
        <f>AK$4*(AK207-AK$3)</f>
        <v/>
      </c>
      <c r="BD207" s="26">
        <f>SUM(AL207:BC207)</f>
        <v/>
      </c>
      <c r="BE207" s="26">
        <f>INTERCEPT_SCALED+BD207</f>
        <v/>
      </c>
      <c r="BF207" s="27">
        <f>1/(1+EXP(-BE207))</f>
        <v/>
      </c>
      <c r="BG207" s="13">
        <f>1-(1-BF207)^12</f>
        <v/>
      </c>
      <c r="BH207" s="13">
        <f>IFERROR(AL207/BD207*(BG207-BASELINE_CPR),0)</f>
        <v/>
      </c>
      <c r="BI207" s="13">
        <f>IFERROR(AM207/BD207*(BG207-BASELINE_CPR),0)</f>
        <v/>
      </c>
      <c r="BJ207" s="13">
        <f>IFERROR(AN207/BD207*(BG207-BASELINE_CPR),0)</f>
        <v/>
      </c>
      <c r="BK207" s="13">
        <f>IFERROR(AO207/BD207*(BG207-BASELINE_CPR),0)</f>
        <v/>
      </c>
      <c r="BL207" s="13">
        <f>IFERROR(AP207/BD207*(BG207-BASELINE_CPR),0)</f>
        <v/>
      </c>
      <c r="BM207" s="13">
        <f>IFERROR(AQ207/BD207*(BG207-BASELINE_CPR),0)</f>
        <v/>
      </c>
      <c r="BN207" s="13">
        <f>IFERROR(AR207/BD207*(BG207-BASELINE_CPR),0)</f>
        <v/>
      </c>
      <c r="BO207" s="13">
        <f>IFERROR(AS207/BD207*(BG207-BASELINE_CPR),0)</f>
        <v/>
      </c>
      <c r="BP207" s="13">
        <f>IFERROR(AT207/BD207*(BG207-BASELINE_CPR),0)</f>
        <v/>
      </c>
      <c r="BQ207" s="13">
        <f>IFERROR(AU207/BD207*(BG207-BASELINE_CPR),0)</f>
        <v/>
      </c>
      <c r="BR207" s="13">
        <f>IFERROR(AV207/BD207*(BG207-BASELINE_CPR),0)</f>
        <v/>
      </c>
      <c r="BS207" s="13">
        <f>IFERROR(AW207/BD207*(BG207-BASELINE_CPR),0)</f>
        <v/>
      </c>
      <c r="BT207" s="13">
        <f>IFERROR(AX207/BD207*(BG207-BASELINE_CPR),0)</f>
        <v/>
      </c>
      <c r="BU207" s="13">
        <f>IFERROR(AY207/BD207*(BG207-BASELINE_CPR),0)</f>
        <v/>
      </c>
      <c r="BV207" s="13">
        <f>IFERROR(AZ207/BD207*(BG207-BASELINE_CPR),0)</f>
        <v/>
      </c>
      <c r="BW207" s="13">
        <f>IFERROR(BA207/BD207*(BG207-BASELINE_CPR),0)</f>
        <v/>
      </c>
      <c r="BX207" s="13">
        <f>IFERROR(BB207/BD207*(BG207-BASELINE_CPR),0)</f>
        <v/>
      </c>
      <c r="BY207" s="13">
        <f>IFERROR(BC207/BD207*(BG207-BASELINE_CPR),0)</f>
        <v/>
      </c>
      <c r="BZ207" s="28">
        <f>BASELINE_CPR+SUM(BH207:BY207)-BG207</f>
        <v/>
      </c>
    </row>
    <row r="208">
      <c r="A208" s="2" t="inlineStr">
        <is>
          <t>3617NULP9_000000012611187</t>
        </is>
      </c>
      <c r="B208" t="inlineStr">
        <is>
          <t>DWIGHT_PRE21</t>
        </is>
      </c>
      <c r="C208" s="2" t="inlineStr">
        <is>
          <t>3617NULP9</t>
        </is>
      </c>
      <c r="D208" t="inlineStr">
        <is>
          <t>DWIGHT CAPITAL LLC</t>
        </is>
      </c>
      <c r="E208" t="inlineStr">
        <is>
          <t>223f</t>
        </is>
      </c>
      <c r="F208" t="inlineStr">
        <is>
          <t>RP</t>
        </is>
      </c>
      <c r="G208" t="n">
        <v>2020</v>
      </c>
      <c r="H208" t="inlineStr">
        <is>
          <t>202602</t>
        </is>
      </c>
      <c r="I208" s="22" t="n">
        <v>2431852.91</v>
      </c>
      <c r="J208" s="23" t="n">
        <v>2.75</v>
      </c>
      <c r="K208" s="24" t="n">
        <v>447</v>
      </c>
      <c r="L208" s="24" t="n">
        <v>5</v>
      </c>
      <c r="M208" t="n">
        <v>66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s="24">
        <f>J208*100-(K208+(1+L208)*12.5)</f>
        <v/>
      </c>
      <c r="U208">
        <f>O208</f>
        <v/>
      </c>
      <c r="V208">
        <f>M208</f>
        <v/>
      </c>
      <c r="W208" s="23">
        <f>LN(1+I208)</f>
        <v/>
      </c>
      <c r="X208">
        <f>IF(G208&gt;=2021,1,0)</f>
        <v/>
      </c>
      <c r="Y208">
        <f>N208</f>
        <v/>
      </c>
      <c r="Z208" s="23">
        <f>IF(ISNUMBER(M208),N208/MAX(M208,1),0)</f>
        <v/>
      </c>
      <c r="AA208">
        <f>P208</f>
        <v/>
      </c>
      <c r="AB208">
        <f>Q208</f>
        <v/>
      </c>
      <c r="AC208">
        <f>R208</f>
        <v/>
      </c>
      <c r="AD208">
        <f>S208</f>
        <v/>
      </c>
      <c r="AE208">
        <f>IF(ISNUMBER(SEARCH("CAPITAL FUNDING",D208)),1,0)</f>
        <v/>
      </c>
      <c r="AF208">
        <f>IF(ISNUMBER(SEARCH("MERCHANTS",D208)),1,0)</f>
        <v/>
      </c>
      <c r="AG208">
        <f>IF(ISNUMBER(SEARCH("WELLS FARGO",D208)),1,0)</f>
        <v/>
      </c>
      <c r="AH208">
        <f>IF(ISNUMBER(SEARCH("WALKER",D208)),1,0)</f>
        <v/>
      </c>
      <c r="AI208">
        <f>IF(ISNUMBER(SEARCH("PNC",D208)),1,0)</f>
        <v/>
      </c>
      <c r="AJ208">
        <f>IF(ISNUMBER(SEARCH("BERKADIA",D208)),1,0)</f>
        <v/>
      </c>
      <c r="AK208">
        <f>IF(ISNUMBER(SEARCH("DWIGHT",D208)),1,0)</f>
        <v/>
      </c>
      <c r="AL208" s="25">
        <f>T$4*(T208-T$3)</f>
        <v/>
      </c>
      <c r="AM208" s="25">
        <f>U$4*(U208-U$3)</f>
        <v/>
      </c>
      <c r="AN208" s="25">
        <f>V$4*(V208-V$3)</f>
        <v/>
      </c>
      <c r="AO208" s="25">
        <f>W$4*(W208-W$3)</f>
        <v/>
      </c>
      <c r="AP208" s="25">
        <f>X$4*(X208-X$3)</f>
        <v/>
      </c>
      <c r="AQ208" s="25">
        <f>Y$4*(Y208-Y$3)</f>
        <v/>
      </c>
      <c r="AR208" s="25">
        <f>Z$4*(Z208-Z$3)</f>
        <v/>
      </c>
      <c r="AS208" s="25">
        <f>AA$4*(AA208-AA$3)</f>
        <v/>
      </c>
      <c r="AT208" s="25">
        <f>AB$4*(AB208-AB$3)</f>
        <v/>
      </c>
      <c r="AU208" s="25">
        <f>AC$4*(AC208-AC$3)</f>
        <v/>
      </c>
      <c r="AV208" s="25">
        <f>AD$4*(AD208-AD$3)</f>
        <v/>
      </c>
      <c r="AW208" s="25">
        <f>AE$4*(AE208-AE$3)</f>
        <v/>
      </c>
      <c r="AX208" s="25">
        <f>AF$4*(AF208-AF$3)</f>
        <v/>
      </c>
      <c r="AY208" s="25">
        <f>AG$4*(AG208-AG$3)</f>
        <v/>
      </c>
      <c r="AZ208" s="25">
        <f>AH$4*(AH208-AH$3)</f>
        <v/>
      </c>
      <c r="BA208" s="25">
        <f>AI$4*(AI208-AI$3)</f>
        <v/>
      </c>
      <c r="BB208" s="25">
        <f>AJ$4*(AJ208-AJ$3)</f>
        <v/>
      </c>
      <c r="BC208" s="25">
        <f>AK$4*(AK208-AK$3)</f>
        <v/>
      </c>
      <c r="BD208" s="26">
        <f>SUM(AL208:BC208)</f>
        <v/>
      </c>
      <c r="BE208" s="26">
        <f>INTERCEPT_SCALED+BD208</f>
        <v/>
      </c>
      <c r="BF208" s="27">
        <f>1/(1+EXP(-BE208))</f>
        <v/>
      </c>
      <c r="BG208" s="13">
        <f>1-(1-BF208)^12</f>
        <v/>
      </c>
      <c r="BH208" s="13">
        <f>IFERROR(AL208/BD208*(BG208-BASELINE_CPR),0)</f>
        <v/>
      </c>
      <c r="BI208" s="13">
        <f>IFERROR(AM208/BD208*(BG208-BASELINE_CPR),0)</f>
        <v/>
      </c>
      <c r="BJ208" s="13">
        <f>IFERROR(AN208/BD208*(BG208-BASELINE_CPR),0)</f>
        <v/>
      </c>
      <c r="BK208" s="13">
        <f>IFERROR(AO208/BD208*(BG208-BASELINE_CPR),0)</f>
        <v/>
      </c>
      <c r="BL208" s="13">
        <f>IFERROR(AP208/BD208*(BG208-BASELINE_CPR),0)</f>
        <v/>
      </c>
      <c r="BM208" s="13">
        <f>IFERROR(AQ208/BD208*(BG208-BASELINE_CPR),0)</f>
        <v/>
      </c>
      <c r="BN208" s="13">
        <f>IFERROR(AR208/BD208*(BG208-BASELINE_CPR),0)</f>
        <v/>
      </c>
      <c r="BO208" s="13">
        <f>IFERROR(AS208/BD208*(BG208-BASELINE_CPR),0)</f>
        <v/>
      </c>
      <c r="BP208" s="13">
        <f>IFERROR(AT208/BD208*(BG208-BASELINE_CPR),0)</f>
        <v/>
      </c>
      <c r="BQ208" s="13">
        <f>IFERROR(AU208/BD208*(BG208-BASELINE_CPR),0)</f>
        <v/>
      </c>
      <c r="BR208" s="13">
        <f>IFERROR(AV208/BD208*(BG208-BASELINE_CPR),0)</f>
        <v/>
      </c>
      <c r="BS208" s="13">
        <f>IFERROR(AW208/BD208*(BG208-BASELINE_CPR),0)</f>
        <v/>
      </c>
      <c r="BT208" s="13">
        <f>IFERROR(AX208/BD208*(BG208-BASELINE_CPR),0)</f>
        <v/>
      </c>
      <c r="BU208" s="13">
        <f>IFERROR(AY208/BD208*(BG208-BASELINE_CPR),0)</f>
        <v/>
      </c>
      <c r="BV208" s="13">
        <f>IFERROR(AZ208/BD208*(BG208-BASELINE_CPR),0)</f>
        <v/>
      </c>
      <c r="BW208" s="13">
        <f>IFERROR(BA208/BD208*(BG208-BASELINE_CPR),0)</f>
        <v/>
      </c>
      <c r="BX208" s="13">
        <f>IFERROR(BB208/BD208*(BG208-BASELINE_CPR),0)</f>
        <v/>
      </c>
      <c r="BY208" s="13">
        <f>IFERROR(BC208/BD208*(BG208-BASELINE_CPR),0)</f>
        <v/>
      </c>
      <c r="BZ208" s="28">
        <f>BASELINE_CPR+SUM(BH208:BY208)-BG208</f>
        <v/>
      </c>
    </row>
    <row r="209">
      <c r="A209" s="2" t="inlineStr">
        <is>
          <t>3617V1ZC8_000000001411293</t>
        </is>
      </c>
      <c r="B209" t="inlineStr">
        <is>
          <t>DWIGHT_POST21</t>
        </is>
      </c>
      <c r="C209" s="2" t="inlineStr">
        <is>
          <t>3617V1ZC8</t>
        </is>
      </c>
      <c r="D209" t="inlineStr">
        <is>
          <t>DWIGHT CAPITAL LLC</t>
        </is>
      </c>
      <c r="E209" t="inlineStr">
        <is>
          <t>223f</t>
        </is>
      </c>
      <c r="F209" t="inlineStr">
        <is>
          <t>RP</t>
        </is>
      </c>
      <c r="G209" t="n">
        <v>2021</v>
      </c>
      <c r="H209" t="inlineStr">
        <is>
          <t>202602</t>
        </is>
      </c>
      <c r="I209" s="22" t="n">
        <v>14648405.46</v>
      </c>
      <c r="J209" s="23" t="n">
        <v>2.5</v>
      </c>
      <c r="K209" s="24" t="n">
        <v>447</v>
      </c>
      <c r="L209" s="24" t="n">
        <v>1</v>
      </c>
      <c r="M209" t="n">
        <v>60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s="24">
        <f>J209*100-(K209+(1+L209)*12.5)</f>
        <v/>
      </c>
      <c r="U209">
        <f>O209</f>
        <v/>
      </c>
      <c r="V209">
        <f>M209</f>
        <v/>
      </c>
      <c r="W209" s="23">
        <f>LN(1+I209)</f>
        <v/>
      </c>
      <c r="X209">
        <f>IF(G209&gt;=2021,1,0)</f>
        <v/>
      </c>
      <c r="Y209">
        <f>N209</f>
        <v/>
      </c>
      <c r="Z209" s="23">
        <f>IF(ISNUMBER(M209),N209/MAX(M209,1),0)</f>
        <v/>
      </c>
      <c r="AA209">
        <f>P209</f>
        <v/>
      </c>
      <c r="AB209">
        <f>Q209</f>
        <v/>
      </c>
      <c r="AC209">
        <f>R209</f>
        <v/>
      </c>
      <c r="AD209">
        <f>S209</f>
        <v/>
      </c>
      <c r="AE209">
        <f>IF(ISNUMBER(SEARCH("CAPITAL FUNDING",D209)),1,0)</f>
        <v/>
      </c>
      <c r="AF209">
        <f>IF(ISNUMBER(SEARCH("MERCHANTS",D209)),1,0)</f>
        <v/>
      </c>
      <c r="AG209">
        <f>IF(ISNUMBER(SEARCH("WELLS FARGO",D209)),1,0)</f>
        <v/>
      </c>
      <c r="AH209">
        <f>IF(ISNUMBER(SEARCH("WALKER",D209)),1,0)</f>
        <v/>
      </c>
      <c r="AI209">
        <f>IF(ISNUMBER(SEARCH("PNC",D209)),1,0)</f>
        <v/>
      </c>
      <c r="AJ209">
        <f>IF(ISNUMBER(SEARCH("BERKADIA",D209)),1,0)</f>
        <v/>
      </c>
      <c r="AK209">
        <f>IF(ISNUMBER(SEARCH("DWIGHT",D209)),1,0)</f>
        <v/>
      </c>
      <c r="AL209" s="25">
        <f>T$4*(T209-T$3)</f>
        <v/>
      </c>
      <c r="AM209" s="25">
        <f>U$4*(U209-U$3)</f>
        <v/>
      </c>
      <c r="AN209" s="25">
        <f>V$4*(V209-V$3)</f>
        <v/>
      </c>
      <c r="AO209" s="25">
        <f>W$4*(W209-W$3)</f>
        <v/>
      </c>
      <c r="AP209" s="25">
        <f>X$4*(X209-X$3)</f>
        <v/>
      </c>
      <c r="AQ209" s="25">
        <f>Y$4*(Y209-Y$3)</f>
        <v/>
      </c>
      <c r="AR209" s="25">
        <f>Z$4*(Z209-Z$3)</f>
        <v/>
      </c>
      <c r="AS209" s="25">
        <f>AA$4*(AA209-AA$3)</f>
        <v/>
      </c>
      <c r="AT209" s="25">
        <f>AB$4*(AB209-AB$3)</f>
        <v/>
      </c>
      <c r="AU209" s="25">
        <f>AC$4*(AC209-AC$3)</f>
        <v/>
      </c>
      <c r="AV209" s="25">
        <f>AD$4*(AD209-AD$3)</f>
        <v/>
      </c>
      <c r="AW209" s="25">
        <f>AE$4*(AE209-AE$3)</f>
        <v/>
      </c>
      <c r="AX209" s="25">
        <f>AF$4*(AF209-AF$3)</f>
        <v/>
      </c>
      <c r="AY209" s="25">
        <f>AG$4*(AG209-AG$3)</f>
        <v/>
      </c>
      <c r="AZ209" s="25">
        <f>AH$4*(AH209-AH$3)</f>
        <v/>
      </c>
      <c r="BA209" s="25">
        <f>AI$4*(AI209-AI$3)</f>
        <v/>
      </c>
      <c r="BB209" s="25">
        <f>AJ$4*(AJ209-AJ$3)</f>
        <v/>
      </c>
      <c r="BC209" s="25">
        <f>AK$4*(AK209-AK$3)</f>
        <v/>
      </c>
      <c r="BD209" s="26">
        <f>SUM(AL209:BC209)</f>
        <v/>
      </c>
      <c r="BE209" s="26">
        <f>INTERCEPT_SCALED+BD209</f>
        <v/>
      </c>
      <c r="BF209" s="27">
        <f>1/(1+EXP(-BE209))</f>
        <v/>
      </c>
      <c r="BG209" s="13">
        <f>1-(1-BF209)^12</f>
        <v/>
      </c>
      <c r="BH209" s="13">
        <f>IFERROR(AL209/BD209*(BG209-BASELINE_CPR),0)</f>
        <v/>
      </c>
      <c r="BI209" s="13">
        <f>IFERROR(AM209/BD209*(BG209-BASELINE_CPR),0)</f>
        <v/>
      </c>
      <c r="BJ209" s="13">
        <f>IFERROR(AN209/BD209*(BG209-BASELINE_CPR),0)</f>
        <v/>
      </c>
      <c r="BK209" s="13">
        <f>IFERROR(AO209/BD209*(BG209-BASELINE_CPR),0)</f>
        <v/>
      </c>
      <c r="BL209" s="13">
        <f>IFERROR(AP209/BD209*(BG209-BASELINE_CPR),0)</f>
        <v/>
      </c>
      <c r="BM209" s="13">
        <f>IFERROR(AQ209/BD209*(BG209-BASELINE_CPR),0)</f>
        <v/>
      </c>
      <c r="BN209" s="13">
        <f>IFERROR(AR209/BD209*(BG209-BASELINE_CPR),0)</f>
        <v/>
      </c>
      <c r="BO209" s="13">
        <f>IFERROR(AS209/BD209*(BG209-BASELINE_CPR),0)</f>
        <v/>
      </c>
      <c r="BP209" s="13">
        <f>IFERROR(AT209/BD209*(BG209-BASELINE_CPR),0)</f>
        <v/>
      </c>
      <c r="BQ209" s="13">
        <f>IFERROR(AU209/BD209*(BG209-BASELINE_CPR),0)</f>
        <v/>
      </c>
      <c r="BR209" s="13">
        <f>IFERROR(AV209/BD209*(BG209-BASELINE_CPR),0)</f>
        <v/>
      </c>
      <c r="BS209" s="13">
        <f>IFERROR(AW209/BD209*(BG209-BASELINE_CPR),0)</f>
        <v/>
      </c>
      <c r="BT209" s="13">
        <f>IFERROR(AX209/BD209*(BG209-BASELINE_CPR),0)</f>
        <v/>
      </c>
      <c r="BU209" s="13">
        <f>IFERROR(AY209/BD209*(BG209-BASELINE_CPR),0)</f>
        <v/>
      </c>
      <c r="BV209" s="13">
        <f>IFERROR(AZ209/BD209*(BG209-BASELINE_CPR),0)</f>
        <v/>
      </c>
      <c r="BW209" s="13">
        <f>IFERROR(BA209/BD209*(BG209-BASELINE_CPR),0)</f>
        <v/>
      </c>
      <c r="BX209" s="13">
        <f>IFERROR(BB209/BD209*(BG209-BASELINE_CPR),0)</f>
        <v/>
      </c>
      <c r="BY209" s="13">
        <f>IFERROR(BC209/BD209*(BG209-BASELINE_CPR),0)</f>
        <v/>
      </c>
      <c r="BZ209" s="28">
        <f>BASELINE_CPR+SUM(BH209:BY209)-BG209</f>
        <v/>
      </c>
    </row>
    <row r="210">
      <c r="A210" s="2" t="inlineStr">
        <is>
          <t>3617F0WW7_000000011311524</t>
        </is>
      </c>
      <c r="B210" t="inlineStr">
        <is>
          <t>DWIGHT_POST21</t>
        </is>
      </c>
      <c r="C210" s="2" t="inlineStr">
        <is>
          <t>3617F0WW7</t>
        </is>
      </c>
      <c r="D210" t="inlineStr">
        <is>
          <t>DWIGHT CAPITAL LLC</t>
        </is>
      </c>
      <c r="E210" t="inlineStr">
        <is>
          <t>223f</t>
        </is>
      </c>
      <c r="F210" t="inlineStr">
        <is>
          <t>RP</t>
        </is>
      </c>
      <c r="G210" t="n">
        <v>2022</v>
      </c>
      <c r="H210" t="inlineStr">
        <is>
          <t>202602</t>
        </is>
      </c>
      <c r="I210" s="22" t="n">
        <v>59356883.6</v>
      </c>
      <c r="J210" s="23" t="n">
        <v>4.3</v>
      </c>
      <c r="K210" s="24" t="n">
        <v>447</v>
      </c>
      <c r="L210" s="24" t="n">
        <v>8</v>
      </c>
      <c r="M210" t="n">
        <v>38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s="24">
        <f>J210*100-(K210+(1+L210)*12.5)</f>
        <v/>
      </c>
      <c r="U210">
        <f>O210</f>
        <v/>
      </c>
      <c r="V210">
        <f>M210</f>
        <v/>
      </c>
      <c r="W210" s="23">
        <f>LN(1+I210)</f>
        <v/>
      </c>
      <c r="X210">
        <f>IF(G210&gt;=2021,1,0)</f>
        <v/>
      </c>
      <c r="Y210">
        <f>N210</f>
        <v/>
      </c>
      <c r="Z210" s="23">
        <f>IF(ISNUMBER(M210),N210/MAX(M210,1),0)</f>
        <v/>
      </c>
      <c r="AA210">
        <f>P210</f>
        <v/>
      </c>
      <c r="AB210">
        <f>Q210</f>
        <v/>
      </c>
      <c r="AC210">
        <f>R210</f>
        <v/>
      </c>
      <c r="AD210">
        <f>S210</f>
        <v/>
      </c>
      <c r="AE210">
        <f>IF(ISNUMBER(SEARCH("CAPITAL FUNDING",D210)),1,0)</f>
        <v/>
      </c>
      <c r="AF210">
        <f>IF(ISNUMBER(SEARCH("MERCHANTS",D210)),1,0)</f>
        <v/>
      </c>
      <c r="AG210">
        <f>IF(ISNUMBER(SEARCH("WELLS FARGO",D210)),1,0)</f>
        <v/>
      </c>
      <c r="AH210">
        <f>IF(ISNUMBER(SEARCH("WALKER",D210)),1,0)</f>
        <v/>
      </c>
      <c r="AI210">
        <f>IF(ISNUMBER(SEARCH("PNC",D210)),1,0)</f>
        <v/>
      </c>
      <c r="AJ210">
        <f>IF(ISNUMBER(SEARCH("BERKADIA",D210)),1,0)</f>
        <v/>
      </c>
      <c r="AK210">
        <f>IF(ISNUMBER(SEARCH("DWIGHT",D210)),1,0)</f>
        <v/>
      </c>
      <c r="AL210" s="25">
        <f>T$4*(T210-T$3)</f>
        <v/>
      </c>
      <c r="AM210" s="25">
        <f>U$4*(U210-U$3)</f>
        <v/>
      </c>
      <c r="AN210" s="25">
        <f>V$4*(V210-V$3)</f>
        <v/>
      </c>
      <c r="AO210" s="25">
        <f>W$4*(W210-W$3)</f>
        <v/>
      </c>
      <c r="AP210" s="25">
        <f>X$4*(X210-X$3)</f>
        <v/>
      </c>
      <c r="AQ210" s="25">
        <f>Y$4*(Y210-Y$3)</f>
        <v/>
      </c>
      <c r="AR210" s="25">
        <f>Z$4*(Z210-Z$3)</f>
        <v/>
      </c>
      <c r="AS210" s="25">
        <f>AA$4*(AA210-AA$3)</f>
        <v/>
      </c>
      <c r="AT210" s="25">
        <f>AB$4*(AB210-AB$3)</f>
        <v/>
      </c>
      <c r="AU210" s="25">
        <f>AC$4*(AC210-AC$3)</f>
        <v/>
      </c>
      <c r="AV210" s="25">
        <f>AD$4*(AD210-AD$3)</f>
        <v/>
      </c>
      <c r="AW210" s="25">
        <f>AE$4*(AE210-AE$3)</f>
        <v/>
      </c>
      <c r="AX210" s="25">
        <f>AF$4*(AF210-AF$3)</f>
        <v/>
      </c>
      <c r="AY210" s="25">
        <f>AG$4*(AG210-AG$3)</f>
        <v/>
      </c>
      <c r="AZ210" s="25">
        <f>AH$4*(AH210-AH$3)</f>
        <v/>
      </c>
      <c r="BA210" s="25">
        <f>AI$4*(AI210-AI$3)</f>
        <v/>
      </c>
      <c r="BB210" s="25">
        <f>AJ$4*(AJ210-AJ$3)</f>
        <v/>
      </c>
      <c r="BC210" s="25">
        <f>AK$4*(AK210-AK$3)</f>
        <v/>
      </c>
      <c r="BD210" s="26">
        <f>SUM(AL210:BC210)</f>
        <v/>
      </c>
      <c r="BE210" s="26">
        <f>INTERCEPT_SCALED+BD210</f>
        <v/>
      </c>
      <c r="BF210" s="27">
        <f>1/(1+EXP(-BE210))</f>
        <v/>
      </c>
      <c r="BG210" s="13">
        <f>1-(1-BF210)^12</f>
        <v/>
      </c>
      <c r="BH210" s="13">
        <f>IFERROR(AL210/BD210*(BG210-BASELINE_CPR),0)</f>
        <v/>
      </c>
      <c r="BI210" s="13">
        <f>IFERROR(AM210/BD210*(BG210-BASELINE_CPR),0)</f>
        <v/>
      </c>
      <c r="BJ210" s="13">
        <f>IFERROR(AN210/BD210*(BG210-BASELINE_CPR),0)</f>
        <v/>
      </c>
      <c r="BK210" s="13">
        <f>IFERROR(AO210/BD210*(BG210-BASELINE_CPR),0)</f>
        <v/>
      </c>
      <c r="BL210" s="13">
        <f>IFERROR(AP210/BD210*(BG210-BASELINE_CPR),0)</f>
        <v/>
      </c>
      <c r="BM210" s="13">
        <f>IFERROR(AQ210/BD210*(BG210-BASELINE_CPR),0)</f>
        <v/>
      </c>
      <c r="BN210" s="13">
        <f>IFERROR(AR210/BD210*(BG210-BASELINE_CPR),0)</f>
        <v/>
      </c>
      <c r="BO210" s="13">
        <f>IFERROR(AS210/BD210*(BG210-BASELINE_CPR),0)</f>
        <v/>
      </c>
      <c r="BP210" s="13">
        <f>IFERROR(AT210/BD210*(BG210-BASELINE_CPR),0)</f>
        <v/>
      </c>
      <c r="BQ210" s="13">
        <f>IFERROR(AU210/BD210*(BG210-BASELINE_CPR),0)</f>
        <v/>
      </c>
      <c r="BR210" s="13">
        <f>IFERROR(AV210/BD210*(BG210-BASELINE_CPR),0)</f>
        <v/>
      </c>
      <c r="BS210" s="13">
        <f>IFERROR(AW210/BD210*(BG210-BASELINE_CPR),0)</f>
        <v/>
      </c>
      <c r="BT210" s="13">
        <f>IFERROR(AX210/BD210*(BG210-BASELINE_CPR),0)</f>
        <v/>
      </c>
      <c r="BU210" s="13">
        <f>IFERROR(AY210/BD210*(BG210-BASELINE_CPR),0)</f>
        <v/>
      </c>
      <c r="BV210" s="13">
        <f>IFERROR(AZ210/BD210*(BG210-BASELINE_CPR),0)</f>
        <v/>
      </c>
      <c r="BW210" s="13">
        <f>IFERROR(BA210/BD210*(BG210-BASELINE_CPR),0)</f>
        <v/>
      </c>
      <c r="BX210" s="13">
        <f>IFERROR(BB210/BD210*(BG210-BASELINE_CPR),0)</f>
        <v/>
      </c>
      <c r="BY210" s="13">
        <f>IFERROR(BC210/BD210*(BG210-BASELINE_CPR),0)</f>
        <v/>
      </c>
      <c r="BZ210" s="28">
        <f>BASELINE_CPR+SUM(BH210:BY210)-BG210</f>
        <v/>
      </c>
    </row>
    <row r="211">
      <c r="A211" s="2" t="inlineStr">
        <is>
          <t>3617FQGN8_000000001222451</t>
        </is>
      </c>
      <c r="B211" t="inlineStr">
        <is>
          <t>DWIGHT_POST21</t>
        </is>
      </c>
      <c r="C211" s="2" t="inlineStr">
        <is>
          <t>3617FQGN8</t>
        </is>
      </c>
      <c r="D211" t="inlineStr">
        <is>
          <t>DWIGHT CAPITAL LLC</t>
        </is>
      </c>
      <c r="E211" t="inlineStr">
        <is>
          <t>232</t>
        </is>
      </c>
      <c r="F211" t="inlineStr">
        <is>
          <t>RP</t>
        </is>
      </c>
      <c r="G211" t="n">
        <v>2023</v>
      </c>
      <c r="H211" t="inlineStr">
        <is>
          <t>202602</t>
        </is>
      </c>
      <c r="I211" s="22" t="n">
        <v>37604700.83</v>
      </c>
      <c r="J211" s="23" t="n">
        <v>5.58</v>
      </c>
      <c r="K211" s="24" t="n">
        <v>447</v>
      </c>
      <c r="L211" s="24" t="n">
        <v>9</v>
      </c>
      <c r="M211" t="n">
        <v>37</v>
      </c>
      <c r="N211" t="n">
        <v>11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s="24">
        <f>J211*100-(K211+(1+L211)*12.5)</f>
        <v/>
      </c>
      <c r="U211">
        <f>O211</f>
        <v/>
      </c>
      <c r="V211">
        <f>M211</f>
        <v/>
      </c>
      <c r="W211" s="23">
        <f>LN(1+I211)</f>
        <v/>
      </c>
      <c r="X211">
        <f>IF(G211&gt;=2021,1,0)</f>
        <v/>
      </c>
      <c r="Y211">
        <f>N211</f>
        <v/>
      </c>
      <c r="Z211" s="23">
        <f>IF(ISNUMBER(M211),N211/MAX(M211,1),0)</f>
        <v/>
      </c>
      <c r="AA211">
        <f>P211</f>
        <v/>
      </c>
      <c r="AB211">
        <f>Q211</f>
        <v/>
      </c>
      <c r="AC211">
        <f>R211</f>
        <v/>
      </c>
      <c r="AD211">
        <f>S211</f>
        <v/>
      </c>
      <c r="AE211">
        <f>IF(ISNUMBER(SEARCH("CAPITAL FUNDING",D211)),1,0)</f>
        <v/>
      </c>
      <c r="AF211">
        <f>IF(ISNUMBER(SEARCH("MERCHANTS",D211)),1,0)</f>
        <v/>
      </c>
      <c r="AG211">
        <f>IF(ISNUMBER(SEARCH("WELLS FARGO",D211)),1,0)</f>
        <v/>
      </c>
      <c r="AH211">
        <f>IF(ISNUMBER(SEARCH("WALKER",D211)),1,0)</f>
        <v/>
      </c>
      <c r="AI211">
        <f>IF(ISNUMBER(SEARCH("PNC",D211)),1,0)</f>
        <v/>
      </c>
      <c r="AJ211">
        <f>IF(ISNUMBER(SEARCH("BERKADIA",D211)),1,0)</f>
        <v/>
      </c>
      <c r="AK211">
        <f>IF(ISNUMBER(SEARCH("DWIGHT",D211)),1,0)</f>
        <v/>
      </c>
      <c r="AL211" s="25">
        <f>T$4*(T211-T$3)</f>
        <v/>
      </c>
      <c r="AM211" s="25">
        <f>U$4*(U211-U$3)</f>
        <v/>
      </c>
      <c r="AN211" s="25">
        <f>V$4*(V211-V$3)</f>
        <v/>
      </c>
      <c r="AO211" s="25">
        <f>W$4*(W211-W$3)</f>
        <v/>
      </c>
      <c r="AP211" s="25">
        <f>X$4*(X211-X$3)</f>
        <v/>
      </c>
      <c r="AQ211" s="25">
        <f>Y$4*(Y211-Y$3)</f>
        <v/>
      </c>
      <c r="AR211" s="25">
        <f>Z$4*(Z211-Z$3)</f>
        <v/>
      </c>
      <c r="AS211" s="25">
        <f>AA$4*(AA211-AA$3)</f>
        <v/>
      </c>
      <c r="AT211" s="25">
        <f>AB$4*(AB211-AB$3)</f>
        <v/>
      </c>
      <c r="AU211" s="25">
        <f>AC$4*(AC211-AC$3)</f>
        <v/>
      </c>
      <c r="AV211" s="25">
        <f>AD$4*(AD211-AD$3)</f>
        <v/>
      </c>
      <c r="AW211" s="25">
        <f>AE$4*(AE211-AE$3)</f>
        <v/>
      </c>
      <c r="AX211" s="25">
        <f>AF$4*(AF211-AF$3)</f>
        <v/>
      </c>
      <c r="AY211" s="25">
        <f>AG$4*(AG211-AG$3)</f>
        <v/>
      </c>
      <c r="AZ211" s="25">
        <f>AH$4*(AH211-AH$3)</f>
        <v/>
      </c>
      <c r="BA211" s="25">
        <f>AI$4*(AI211-AI$3)</f>
        <v/>
      </c>
      <c r="BB211" s="25">
        <f>AJ$4*(AJ211-AJ$3)</f>
        <v/>
      </c>
      <c r="BC211" s="25">
        <f>AK$4*(AK211-AK$3)</f>
        <v/>
      </c>
      <c r="BD211" s="26">
        <f>SUM(AL211:BC211)</f>
        <v/>
      </c>
      <c r="BE211" s="26">
        <f>INTERCEPT_SCALED+BD211</f>
        <v/>
      </c>
      <c r="BF211" s="27">
        <f>1/(1+EXP(-BE211))</f>
        <v/>
      </c>
      <c r="BG211" s="13">
        <f>1-(1-BF211)^12</f>
        <v/>
      </c>
      <c r="BH211" s="13">
        <f>IFERROR(AL211/BD211*(BG211-BASELINE_CPR),0)</f>
        <v/>
      </c>
      <c r="BI211" s="13">
        <f>IFERROR(AM211/BD211*(BG211-BASELINE_CPR),0)</f>
        <v/>
      </c>
      <c r="BJ211" s="13">
        <f>IFERROR(AN211/BD211*(BG211-BASELINE_CPR),0)</f>
        <v/>
      </c>
      <c r="BK211" s="13">
        <f>IFERROR(AO211/BD211*(BG211-BASELINE_CPR),0)</f>
        <v/>
      </c>
      <c r="BL211" s="13">
        <f>IFERROR(AP211/BD211*(BG211-BASELINE_CPR),0)</f>
        <v/>
      </c>
      <c r="BM211" s="13">
        <f>IFERROR(AQ211/BD211*(BG211-BASELINE_CPR),0)</f>
        <v/>
      </c>
      <c r="BN211" s="13">
        <f>IFERROR(AR211/BD211*(BG211-BASELINE_CPR),0)</f>
        <v/>
      </c>
      <c r="BO211" s="13">
        <f>IFERROR(AS211/BD211*(BG211-BASELINE_CPR),0)</f>
        <v/>
      </c>
      <c r="BP211" s="13">
        <f>IFERROR(AT211/BD211*(BG211-BASELINE_CPR),0)</f>
        <v/>
      </c>
      <c r="BQ211" s="13">
        <f>IFERROR(AU211/BD211*(BG211-BASELINE_CPR),0)</f>
        <v/>
      </c>
      <c r="BR211" s="13">
        <f>IFERROR(AV211/BD211*(BG211-BASELINE_CPR),0)</f>
        <v/>
      </c>
      <c r="BS211" s="13">
        <f>IFERROR(AW211/BD211*(BG211-BASELINE_CPR),0)</f>
        <v/>
      </c>
      <c r="BT211" s="13">
        <f>IFERROR(AX211/BD211*(BG211-BASELINE_CPR),0)</f>
        <v/>
      </c>
      <c r="BU211" s="13">
        <f>IFERROR(AY211/BD211*(BG211-BASELINE_CPR),0)</f>
        <v/>
      </c>
      <c r="BV211" s="13">
        <f>IFERROR(AZ211/BD211*(BG211-BASELINE_CPR),0)</f>
        <v/>
      </c>
      <c r="BW211" s="13">
        <f>IFERROR(BA211/BD211*(BG211-BASELINE_CPR),0)</f>
        <v/>
      </c>
      <c r="BX211" s="13">
        <f>IFERROR(BB211/BD211*(BG211-BASELINE_CPR),0)</f>
        <v/>
      </c>
      <c r="BY211" s="13">
        <f>IFERROR(BC211/BD211*(BG211-BASELINE_CPR),0)</f>
        <v/>
      </c>
      <c r="BZ211" s="28">
        <f>BASELINE_CPR+SUM(BH211:BY211)-BG211</f>
        <v/>
      </c>
    </row>
    <row r="212">
      <c r="A212" s="2" t="inlineStr">
        <is>
          <t>3617MPR75_000000006111419</t>
        </is>
      </c>
      <c r="B212" t="inlineStr">
        <is>
          <t>DWIGHT_PRE21</t>
        </is>
      </c>
      <c r="C212" s="2" t="inlineStr">
        <is>
          <t>3617MPR75</t>
        </is>
      </c>
      <c r="D212" t="inlineStr">
        <is>
          <t>DWIGHT CAPITAL LLC</t>
        </is>
      </c>
      <c r="E212" t="inlineStr">
        <is>
          <t>223f</t>
        </is>
      </c>
      <c r="F212" t="inlineStr">
        <is>
          <t>RP</t>
        </is>
      </c>
      <c r="G212" t="n">
        <v>2020</v>
      </c>
      <c r="H212" t="inlineStr">
        <is>
          <t>202602</t>
        </is>
      </c>
      <c r="I212" s="22" t="n">
        <v>6014766.92</v>
      </c>
      <c r="J212" s="23" t="n">
        <v>3.25</v>
      </c>
      <c r="K212" s="24" t="n">
        <v>447</v>
      </c>
      <c r="L212" s="24" t="n">
        <v>5</v>
      </c>
      <c r="M212" t="n">
        <v>72</v>
      </c>
      <c r="N212" t="n">
        <v>19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s="24">
        <f>J212*100-(K212+(1+L212)*12.5)</f>
        <v/>
      </c>
      <c r="U212">
        <f>O212</f>
        <v/>
      </c>
      <c r="V212">
        <f>M212</f>
        <v/>
      </c>
      <c r="W212" s="23">
        <f>LN(1+I212)</f>
        <v/>
      </c>
      <c r="X212">
        <f>IF(G212&gt;=2021,1,0)</f>
        <v/>
      </c>
      <c r="Y212">
        <f>N212</f>
        <v/>
      </c>
      <c r="Z212" s="23">
        <f>IF(ISNUMBER(M212),N212/MAX(M212,1),0)</f>
        <v/>
      </c>
      <c r="AA212">
        <f>P212</f>
        <v/>
      </c>
      <c r="AB212">
        <f>Q212</f>
        <v/>
      </c>
      <c r="AC212">
        <f>R212</f>
        <v/>
      </c>
      <c r="AD212">
        <f>S212</f>
        <v/>
      </c>
      <c r="AE212">
        <f>IF(ISNUMBER(SEARCH("CAPITAL FUNDING",D212)),1,0)</f>
        <v/>
      </c>
      <c r="AF212">
        <f>IF(ISNUMBER(SEARCH("MERCHANTS",D212)),1,0)</f>
        <v/>
      </c>
      <c r="AG212">
        <f>IF(ISNUMBER(SEARCH("WELLS FARGO",D212)),1,0)</f>
        <v/>
      </c>
      <c r="AH212">
        <f>IF(ISNUMBER(SEARCH("WALKER",D212)),1,0)</f>
        <v/>
      </c>
      <c r="AI212">
        <f>IF(ISNUMBER(SEARCH("PNC",D212)),1,0)</f>
        <v/>
      </c>
      <c r="AJ212">
        <f>IF(ISNUMBER(SEARCH("BERKADIA",D212)),1,0)</f>
        <v/>
      </c>
      <c r="AK212">
        <f>IF(ISNUMBER(SEARCH("DWIGHT",D212)),1,0)</f>
        <v/>
      </c>
      <c r="AL212" s="25">
        <f>T$4*(T212-T$3)</f>
        <v/>
      </c>
      <c r="AM212" s="25">
        <f>U$4*(U212-U$3)</f>
        <v/>
      </c>
      <c r="AN212" s="25">
        <f>V$4*(V212-V$3)</f>
        <v/>
      </c>
      <c r="AO212" s="25">
        <f>W$4*(W212-W$3)</f>
        <v/>
      </c>
      <c r="AP212" s="25">
        <f>X$4*(X212-X$3)</f>
        <v/>
      </c>
      <c r="AQ212" s="25">
        <f>Y$4*(Y212-Y$3)</f>
        <v/>
      </c>
      <c r="AR212" s="25">
        <f>Z$4*(Z212-Z$3)</f>
        <v/>
      </c>
      <c r="AS212" s="25">
        <f>AA$4*(AA212-AA$3)</f>
        <v/>
      </c>
      <c r="AT212" s="25">
        <f>AB$4*(AB212-AB$3)</f>
        <v/>
      </c>
      <c r="AU212" s="25">
        <f>AC$4*(AC212-AC$3)</f>
        <v/>
      </c>
      <c r="AV212" s="25">
        <f>AD$4*(AD212-AD$3)</f>
        <v/>
      </c>
      <c r="AW212" s="25">
        <f>AE$4*(AE212-AE$3)</f>
        <v/>
      </c>
      <c r="AX212" s="25">
        <f>AF$4*(AF212-AF$3)</f>
        <v/>
      </c>
      <c r="AY212" s="25">
        <f>AG$4*(AG212-AG$3)</f>
        <v/>
      </c>
      <c r="AZ212" s="25">
        <f>AH$4*(AH212-AH$3)</f>
        <v/>
      </c>
      <c r="BA212" s="25">
        <f>AI$4*(AI212-AI$3)</f>
        <v/>
      </c>
      <c r="BB212" s="25">
        <f>AJ$4*(AJ212-AJ$3)</f>
        <v/>
      </c>
      <c r="BC212" s="25">
        <f>AK$4*(AK212-AK$3)</f>
        <v/>
      </c>
      <c r="BD212" s="26">
        <f>SUM(AL212:BC212)</f>
        <v/>
      </c>
      <c r="BE212" s="26">
        <f>INTERCEPT_SCALED+BD212</f>
        <v/>
      </c>
      <c r="BF212" s="27">
        <f>1/(1+EXP(-BE212))</f>
        <v/>
      </c>
      <c r="BG212" s="13">
        <f>1-(1-BF212)^12</f>
        <v/>
      </c>
      <c r="BH212" s="13">
        <f>IFERROR(AL212/BD212*(BG212-BASELINE_CPR),0)</f>
        <v/>
      </c>
      <c r="BI212" s="13">
        <f>IFERROR(AM212/BD212*(BG212-BASELINE_CPR),0)</f>
        <v/>
      </c>
      <c r="BJ212" s="13">
        <f>IFERROR(AN212/BD212*(BG212-BASELINE_CPR),0)</f>
        <v/>
      </c>
      <c r="BK212" s="13">
        <f>IFERROR(AO212/BD212*(BG212-BASELINE_CPR),0)</f>
        <v/>
      </c>
      <c r="BL212" s="13">
        <f>IFERROR(AP212/BD212*(BG212-BASELINE_CPR),0)</f>
        <v/>
      </c>
      <c r="BM212" s="13">
        <f>IFERROR(AQ212/BD212*(BG212-BASELINE_CPR),0)</f>
        <v/>
      </c>
      <c r="BN212" s="13">
        <f>IFERROR(AR212/BD212*(BG212-BASELINE_CPR),0)</f>
        <v/>
      </c>
      <c r="BO212" s="13">
        <f>IFERROR(AS212/BD212*(BG212-BASELINE_CPR),0)</f>
        <v/>
      </c>
      <c r="BP212" s="13">
        <f>IFERROR(AT212/BD212*(BG212-BASELINE_CPR),0)</f>
        <v/>
      </c>
      <c r="BQ212" s="13">
        <f>IFERROR(AU212/BD212*(BG212-BASELINE_CPR),0)</f>
        <v/>
      </c>
      <c r="BR212" s="13">
        <f>IFERROR(AV212/BD212*(BG212-BASELINE_CPR),0)</f>
        <v/>
      </c>
      <c r="BS212" s="13">
        <f>IFERROR(AW212/BD212*(BG212-BASELINE_CPR),0)</f>
        <v/>
      </c>
      <c r="BT212" s="13">
        <f>IFERROR(AX212/BD212*(BG212-BASELINE_CPR),0)</f>
        <v/>
      </c>
      <c r="BU212" s="13">
        <f>IFERROR(AY212/BD212*(BG212-BASELINE_CPR),0)</f>
        <v/>
      </c>
      <c r="BV212" s="13">
        <f>IFERROR(AZ212/BD212*(BG212-BASELINE_CPR),0)</f>
        <v/>
      </c>
      <c r="BW212" s="13">
        <f>IFERROR(BA212/BD212*(BG212-BASELINE_CPR),0)</f>
        <v/>
      </c>
      <c r="BX212" s="13">
        <f>IFERROR(BB212/BD212*(BG212-BASELINE_CPR),0)</f>
        <v/>
      </c>
      <c r="BY212" s="13">
        <f>IFERROR(BC212/BD212*(BG212-BASELINE_CPR),0)</f>
        <v/>
      </c>
      <c r="BZ212" s="28">
        <f>BASELINE_CPR+SUM(BH212:BY212)-BG212</f>
        <v/>
      </c>
    </row>
    <row r="213">
      <c r="A213" s="2" t="inlineStr">
        <is>
          <t>3618KU4F1_000000008322130</t>
        </is>
      </c>
      <c r="B213" t="inlineStr">
        <is>
          <t>DWIGHT_POST21</t>
        </is>
      </c>
      <c r="C213" s="2" t="inlineStr">
        <is>
          <t>3618KU4F1</t>
        </is>
      </c>
      <c r="D213" t="inlineStr">
        <is>
          <t>DWIGHT CAPITAL LLC</t>
        </is>
      </c>
      <c r="E213" t="inlineStr">
        <is>
          <t>232</t>
        </is>
      </c>
      <c r="F213" t="inlineStr">
        <is>
          <t>RP</t>
        </is>
      </c>
      <c r="G213" t="n">
        <v>2025</v>
      </c>
      <c r="H213" t="inlineStr">
        <is>
          <t>202602</t>
        </is>
      </c>
      <c r="I213" s="22" t="n">
        <v>13049676.66</v>
      </c>
      <c r="J213" s="23" t="n">
        <v>6.28</v>
      </c>
      <c r="K213" s="24" t="n">
        <v>447</v>
      </c>
      <c r="L213" s="24" t="n">
        <v>0</v>
      </c>
      <c r="M213" t="n">
        <v>9</v>
      </c>
      <c r="N213" t="n">
        <v>9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s="24">
        <f>J213*100-(K213+(1+L213)*12.5)</f>
        <v/>
      </c>
      <c r="U213">
        <f>O213</f>
        <v/>
      </c>
      <c r="V213">
        <f>M213</f>
        <v/>
      </c>
      <c r="W213" s="23">
        <f>LN(1+I213)</f>
        <v/>
      </c>
      <c r="X213">
        <f>IF(G213&gt;=2021,1,0)</f>
        <v/>
      </c>
      <c r="Y213">
        <f>N213</f>
        <v/>
      </c>
      <c r="Z213" s="23">
        <f>IF(ISNUMBER(M213),N213/MAX(M213,1),0)</f>
        <v/>
      </c>
      <c r="AA213">
        <f>P213</f>
        <v/>
      </c>
      <c r="AB213">
        <f>Q213</f>
        <v/>
      </c>
      <c r="AC213">
        <f>R213</f>
        <v/>
      </c>
      <c r="AD213">
        <f>S213</f>
        <v/>
      </c>
      <c r="AE213">
        <f>IF(ISNUMBER(SEARCH("CAPITAL FUNDING",D213)),1,0)</f>
        <v/>
      </c>
      <c r="AF213">
        <f>IF(ISNUMBER(SEARCH("MERCHANTS",D213)),1,0)</f>
        <v/>
      </c>
      <c r="AG213">
        <f>IF(ISNUMBER(SEARCH("WELLS FARGO",D213)),1,0)</f>
        <v/>
      </c>
      <c r="AH213">
        <f>IF(ISNUMBER(SEARCH("WALKER",D213)),1,0)</f>
        <v/>
      </c>
      <c r="AI213">
        <f>IF(ISNUMBER(SEARCH("PNC",D213)),1,0)</f>
        <v/>
      </c>
      <c r="AJ213">
        <f>IF(ISNUMBER(SEARCH("BERKADIA",D213)),1,0)</f>
        <v/>
      </c>
      <c r="AK213">
        <f>IF(ISNUMBER(SEARCH("DWIGHT",D213)),1,0)</f>
        <v/>
      </c>
      <c r="AL213" s="25">
        <f>T$4*(T213-T$3)</f>
        <v/>
      </c>
      <c r="AM213" s="25">
        <f>U$4*(U213-U$3)</f>
        <v/>
      </c>
      <c r="AN213" s="25">
        <f>V$4*(V213-V$3)</f>
        <v/>
      </c>
      <c r="AO213" s="25">
        <f>W$4*(W213-W$3)</f>
        <v/>
      </c>
      <c r="AP213" s="25">
        <f>X$4*(X213-X$3)</f>
        <v/>
      </c>
      <c r="AQ213" s="25">
        <f>Y$4*(Y213-Y$3)</f>
        <v/>
      </c>
      <c r="AR213" s="25">
        <f>Z$4*(Z213-Z$3)</f>
        <v/>
      </c>
      <c r="AS213" s="25">
        <f>AA$4*(AA213-AA$3)</f>
        <v/>
      </c>
      <c r="AT213" s="25">
        <f>AB$4*(AB213-AB$3)</f>
        <v/>
      </c>
      <c r="AU213" s="25">
        <f>AC$4*(AC213-AC$3)</f>
        <v/>
      </c>
      <c r="AV213" s="25">
        <f>AD$4*(AD213-AD$3)</f>
        <v/>
      </c>
      <c r="AW213" s="25">
        <f>AE$4*(AE213-AE$3)</f>
        <v/>
      </c>
      <c r="AX213" s="25">
        <f>AF$4*(AF213-AF$3)</f>
        <v/>
      </c>
      <c r="AY213" s="25">
        <f>AG$4*(AG213-AG$3)</f>
        <v/>
      </c>
      <c r="AZ213" s="25">
        <f>AH$4*(AH213-AH$3)</f>
        <v/>
      </c>
      <c r="BA213" s="25">
        <f>AI$4*(AI213-AI$3)</f>
        <v/>
      </c>
      <c r="BB213" s="25">
        <f>AJ$4*(AJ213-AJ$3)</f>
        <v/>
      </c>
      <c r="BC213" s="25">
        <f>AK$4*(AK213-AK$3)</f>
        <v/>
      </c>
      <c r="BD213" s="26">
        <f>SUM(AL213:BC213)</f>
        <v/>
      </c>
      <c r="BE213" s="26">
        <f>INTERCEPT_SCALED+BD213</f>
        <v/>
      </c>
      <c r="BF213" s="27">
        <f>1/(1+EXP(-BE213))</f>
        <v/>
      </c>
      <c r="BG213" s="13">
        <f>1-(1-BF213)^12</f>
        <v/>
      </c>
      <c r="BH213" s="13">
        <f>IFERROR(AL213/BD213*(BG213-BASELINE_CPR),0)</f>
        <v/>
      </c>
      <c r="BI213" s="13">
        <f>IFERROR(AM213/BD213*(BG213-BASELINE_CPR),0)</f>
        <v/>
      </c>
      <c r="BJ213" s="13">
        <f>IFERROR(AN213/BD213*(BG213-BASELINE_CPR),0)</f>
        <v/>
      </c>
      <c r="BK213" s="13">
        <f>IFERROR(AO213/BD213*(BG213-BASELINE_CPR),0)</f>
        <v/>
      </c>
      <c r="BL213" s="13">
        <f>IFERROR(AP213/BD213*(BG213-BASELINE_CPR),0)</f>
        <v/>
      </c>
      <c r="BM213" s="13">
        <f>IFERROR(AQ213/BD213*(BG213-BASELINE_CPR),0)</f>
        <v/>
      </c>
      <c r="BN213" s="13">
        <f>IFERROR(AR213/BD213*(BG213-BASELINE_CPR),0)</f>
        <v/>
      </c>
      <c r="BO213" s="13">
        <f>IFERROR(AS213/BD213*(BG213-BASELINE_CPR),0)</f>
        <v/>
      </c>
      <c r="BP213" s="13">
        <f>IFERROR(AT213/BD213*(BG213-BASELINE_CPR),0)</f>
        <v/>
      </c>
      <c r="BQ213" s="13">
        <f>IFERROR(AU213/BD213*(BG213-BASELINE_CPR),0)</f>
        <v/>
      </c>
      <c r="BR213" s="13">
        <f>IFERROR(AV213/BD213*(BG213-BASELINE_CPR),0)</f>
        <v/>
      </c>
      <c r="BS213" s="13">
        <f>IFERROR(AW213/BD213*(BG213-BASELINE_CPR),0)</f>
        <v/>
      </c>
      <c r="BT213" s="13">
        <f>IFERROR(AX213/BD213*(BG213-BASELINE_CPR),0)</f>
        <v/>
      </c>
      <c r="BU213" s="13">
        <f>IFERROR(AY213/BD213*(BG213-BASELINE_CPR),0)</f>
        <v/>
      </c>
      <c r="BV213" s="13">
        <f>IFERROR(AZ213/BD213*(BG213-BASELINE_CPR),0)</f>
        <v/>
      </c>
      <c r="BW213" s="13">
        <f>IFERROR(BA213/BD213*(BG213-BASELINE_CPR),0)</f>
        <v/>
      </c>
      <c r="BX213" s="13">
        <f>IFERROR(BB213/BD213*(BG213-BASELINE_CPR),0)</f>
        <v/>
      </c>
      <c r="BY213" s="13">
        <f>IFERROR(BC213/BD213*(BG213-BASELINE_CPR),0)</f>
        <v/>
      </c>
      <c r="BZ213" s="28">
        <f>BASELINE_CPR+SUM(BH213:BY213)-BG213</f>
        <v/>
      </c>
    </row>
    <row r="214">
      <c r="A214" s="2" t="inlineStr">
        <is>
          <t>36181PGH6_000000017122040</t>
        </is>
      </c>
      <c r="B214" t="inlineStr">
        <is>
          <t>KEYBANK_PRE21</t>
        </is>
      </c>
      <c r="C214" s="2" t="inlineStr">
        <is>
          <t>36181PGH6</t>
        </is>
      </c>
      <c r="D214" t="inlineStr">
        <is>
          <t>KEYBANK NATIONAL ASSOCIATION</t>
        </is>
      </c>
      <c r="E214" t="inlineStr">
        <is>
          <t>232</t>
        </is>
      </c>
      <c r="F214" t="inlineStr">
        <is>
          <t>RP</t>
        </is>
      </c>
      <c r="G214" t="n">
        <v>2014</v>
      </c>
      <c r="H214" t="inlineStr">
        <is>
          <t>202602</t>
        </is>
      </c>
      <c r="I214" s="22" t="n">
        <v>9448229.029999999</v>
      </c>
      <c r="J214" s="23" t="n">
        <v>3.73</v>
      </c>
      <c r="K214" s="24" t="n">
        <v>447</v>
      </c>
      <c r="L214" s="24" t="n">
        <v>0</v>
      </c>
      <c r="M214" t="n">
        <v>134</v>
      </c>
      <c r="N214" t="n">
        <v>35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s="24">
        <f>J214*100-(K214+(1+L214)*12.5)</f>
        <v/>
      </c>
      <c r="U214">
        <f>O214</f>
        <v/>
      </c>
      <c r="V214">
        <f>M214</f>
        <v/>
      </c>
      <c r="W214" s="23">
        <f>LN(1+I214)</f>
        <v/>
      </c>
      <c r="X214">
        <f>IF(G214&gt;=2021,1,0)</f>
        <v/>
      </c>
      <c r="Y214">
        <f>N214</f>
        <v/>
      </c>
      <c r="Z214" s="23">
        <f>IF(ISNUMBER(M214),N214/MAX(M214,1),0)</f>
        <v/>
      </c>
      <c r="AA214">
        <f>P214</f>
        <v/>
      </c>
      <c r="AB214">
        <f>Q214</f>
        <v/>
      </c>
      <c r="AC214">
        <f>R214</f>
        <v/>
      </c>
      <c r="AD214">
        <f>S214</f>
        <v/>
      </c>
      <c r="AE214">
        <f>IF(ISNUMBER(SEARCH("CAPITAL FUNDING",D214)),1,0)</f>
        <v/>
      </c>
      <c r="AF214">
        <f>IF(ISNUMBER(SEARCH("MERCHANTS",D214)),1,0)</f>
        <v/>
      </c>
      <c r="AG214">
        <f>IF(ISNUMBER(SEARCH("WELLS FARGO",D214)),1,0)</f>
        <v/>
      </c>
      <c r="AH214">
        <f>IF(ISNUMBER(SEARCH("WALKER",D214)),1,0)</f>
        <v/>
      </c>
      <c r="AI214">
        <f>IF(ISNUMBER(SEARCH("PNC",D214)),1,0)</f>
        <v/>
      </c>
      <c r="AJ214">
        <f>IF(ISNUMBER(SEARCH("BERKADIA",D214)),1,0)</f>
        <v/>
      </c>
      <c r="AK214">
        <f>IF(ISNUMBER(SEARCH("DWIGHT",D214)),1,0)</f>
        <v/>
      </c>
      <c r="AL214" s="25">
        <f>T$4*(T214-T$3)</f>
        <v/>
      </c>
      <c r="AM214" s="25">
        <f>U$4*(U214-U$3)</f>
        <v/>
      </c>
      <c r="AN214" s="25">
        <f>V$4*(V214-V$3)</f>
        <v/>
      </c>
      <c r="AO214" s="25">
        <f>W$4*(W214-W$3)</f>
        <v/>
      </c>
      <c r="AP214" s="25">
        <f>X$4*(X214-X$3)</f>
        <v/>
      </c>
      <c r="AQ214" s="25">
        <f>Y$4*(Y214-Y$3)</f>
        <v/>
      </c>
      <c r="AR214" s="25">
        <f>Z$4*(Z214-Z$3)</f>
        <v/>
      </c>
      <c r="AS214" s="25">
        <f>AA$4*(AA214-AA$3)</f>
        <v/>
      </c>
      <c r="AT214" s="25">
        <f>AB$4*(AB214-AB$3)</f>
        <v/>
      </c>
      <c r="AU214" s="25">
        <f>AC$4*(AC214-AC$3)</f>
        <v/>
      </c>
      <c r="AV214" s="25">
        <f>AD$4*(AD214-AD$3)</f>
        <v/>
      </c>
      <c r="AW214" s="25">
        <f>AE$4*(AE214-AE$3)</f>
        <v/>
      </c>
      <c r="AX214" s="25">
        <f>AF$4*(AF214-AF$3)</f>
        <v/>
      </c>
      <c r="AY214" s="25">
        <f>AG$4*(AG214-AG$3)</f>
        <v/>
      </c>
      <c r="AZ214" s="25">
        <f>AH$4*(AH214-AH$3)</f>
        <v/>
      </c>
      <c r="BA214" s="25">
        <f>AI$4*(AI214-AI$3)</f>
        <v/>
      </c>
      <c r="BB214" s="25">
        <f>AJ$4*(AJ214-AJ$3)</f>
        <v/>
      </c>
      <c r="BC214" s="25">
        <f>AK$4*(AK214-AK$3)</f>
        <v/>
      </c>
      <c r="BD214" s="26">
        <f>SUM(AL214:BC214)</f>
        <v/>
      </c>
      <c r="BE214" s="26">
        <f>INTERCEPT_SCALED+BD214</f>
        <v/>
      </c>
      <c r="BF214" s="27">
        <f>1/(1+EXP(-BE214))</f>
        <v/>
      </c>
      <c r="BG214" s="13">
        <f>1-(1-BF214)^12</f>
        <v/>
      </c>
      <c r="BH214" s="13">
        <f>IFERROR(AL214/BD214*(BG214-BASELINE_CPR),0)</f>
        <v/>
      </c>
      <c r="BI214" s="13">
        <f>IFERROR(AM214/BD214*(BG214-BASELINE_CPR),0)</f>
        <v/>
      </c>
      <c r="BJ214" s="13">
        <f>IFERROR(AN214/BD214*(BG214-BASELINE_CPR),0)</f>
        <v/>
      </c>
      <c r="BK214" s="13">
        <f>IFERROR(AO214/BD214*(BG214-BASELINE_CPR),0)</f>
        <v/>
      </c>
      <c r="BL214" s="13">
        <f>IFERROR(AP214/BD214*(BG214-BASELINE_CPR),0)</f>
        <v/>
      </c>
      <c r="BM214" s="13">
        <f>IFERROR(AQ214/BD214*(BG214-BASELINE_CPR),0)</f>
        <v/>
      </c>
      <c r="BN214" s="13">
        <f>IFERROR(AR214/BD214*(BG214-BASELINE_CPR),0)</f>
        <v/>
      </c>
      <c r="BO214" s="13">
        <f>IFERROR(AS214/BD214*(BG214-BASELINE_CPR),0)</f>
        <v/>
      </c>
      <c r="BP214" s="13">
        <f>IFERROR(AT214/BD214*(BG214-BASELINE_CPR),0)</f>
        <v/>
      </c>
      <c r="BQ214" s="13">
        <f>IFERROR(AU214/BD214*(BG214-BASELINE_CPR),0)</f>
        <v/>
      </c>
      <c r="BR214" s="13">
        <f>IFERROR(AV214/BD214*(BG214-BASELINE_CPR),0)</f>
        <v/>
      </c>
      <c r="BS214" s="13">
        <f>IFERROR(AW214/BD214*(BG214-BASELINE_CPR),0)</f>
        <v/>
      </c>
      <c r="BT214" s="13">
        <f>IFERROR(AX214/BD214*(BG214-BASELINE_CPR),0)</f>
        <v/>
      </c>
      <c r="BU214" s="13">
        <f>IFERROR(AY214/BD214*(BG214-BASELINE_CPR),0)</f>
        <v/>
      </c>
      <c r="BV214" s="13">
        <f>IFERROR(AZ214/BD214*(BG214-BASELINE_CPR),0)</f>
        <v/>
      </c>
      <c r="BW214" s="13">
        <f>IFERROR(BA214/BD214*(BG214-BASELINE_CPR),0)</f>
        <v/>
      </c>
      <c r="BX214" s="13">
        <f>IFERROR(BB214/BD214*(BG214-BASELINE_CPR),0)</f>
        <v/>
      </c>
      <c r="BY214" s="13">
        <f>IFERROR(BC214/BD214*(BG214-BASELINE_CPR),0)</f>
        <v/>
      </c>
      <c r="BZ214" s="28">
        <f>BASELINE_CPR+SUM(BH214:BY214)-BG214</f>
        <v/>
      </c>
    </row>
    <row r="215">
      <c r="A215" s="2" t="inlineStr">
        <is>
          <t>3617X45S8_000000007422080</t>
        </is>
      </c>
      <c r="B215" t="inlineStr">
        <is>
          <t>KEYBANK_POST21</t>
        </is>
      </c>
      <c r="C215" s="2" t="inlineStr">
        <is>
          <t>3617X45S8</t>
        </is>
      </c>
      <c r="D215" t="inlineStr">
        <is>
          <t>KEYBANK NATIONAL ASSOCIATION</t>
        </is>
      </c>
      <c r="E215" t="inlineStr">
        <is>
          <t>232</t>
        </is>
      </c>
      <c r="F215" t="inlineStr">
        <is>
          <t>RP</t>
        </is>
      </c>
      <c r="G215" t="n">
        <v>2021</v>
      </c>
      <c r="H215" t="inlineStr">
        <is>
          <t>202602</t>
        </is>
      </c>
      <c r="I215" s="22" t="n">
        <v>3841951.56</v>
      </c>
      <c r="J215" s="23" t="n">
        <v>2.53</v>
      </c>
      <c r="K215" s="24" t="n">
        <v>447</v>
      </c>
      <c r="L215" s="24" t="n">
        <v>6</v>
      </c>
      <c r="M215" t="n">
        <v>50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s="24">
        <f>J215*100-(K215+(1+L215)*12.5)</f>
        <v/>
      </c>
      <c r="U215">
        <f>O215</f>
        <v/>
      </c>
      <c r="V215">
        <f>M215</f>
        <v/>
      </c>
      <c r="W215" s="23">
        <f>LN(1+I215)</f>
        <v/>
      </c>
      <c r="X215">
        <f>IF(G215&gt;=2021,1,0)</f>
        <v/>
      </c>
      <c r="Y215">
        <f>N215</f>
        <v/>
      </c>
      <c r="Z215" s="23">
        <f>IF(ISNUMBER(M215),N215/MAX(M215,1),0)</f>
        <v/>
      </c>
      <c r="AA215">
        <f>P215</f>
        <v/>
      </c>
      <c r="AB215">
        <f>Q215</f>
        <v/>
      </c>
      <c r="AC215">
        <f>R215</f>
        <v/>
      </c>
      <c r="AD215">
        <f>S215</f>
        <v/>
      </c>
      <c r="AE215">
        <f>IF(ISNUMBER(SEARCH("CAPITAL FUNDING",D215)),1,0)</f>
        <v/>
      </c>
      <c r="AF215">
        <f>IF(ISNUMBER(SEARCH("MERCHANTS",D215)),1,0)</f>
        <v/>
      </c>
      <c r="AG215">
        <f>IF(ISNUMBER(SEARCH("WELLS FARGO",D215)),1,0)</f>
        <v/>
      </c>
      <c r="AH215">
        <f>IF(ISNUMBER(SEARCH("WALKER",D215)),1,0)</f>
        <v/>
      </c>
      <c r="AI215">
        <f>IF(ISNUMBER(SEARCH("PNC",D215)),1,0)</f>
        <v/>
      </c>
      <c r="AJ215">
        <f>IF(ISNUMBER(SEARCH("BERKADIA",D215)),1,0)</f>
        <v/>
      </c>
      <c r="AK215">
        <f>IF(ISNUMBER(SEARCH("DWIGHT",D215)),1,0)</f>
        <v/>
      </c>
      <c r="AL215" s="25">
        <f>T$4*(T215-T$3)</f>
        <v/>
      </c>
      <c r="AM215" s="25">
        <f>U$4*(U215-U$3)</f>
        <v/>
      </c>
      <c r="AN215" s="25">
        <f>V$4*(V215-V$3)</f>
        <v/>
      </c>
      <c r="AO215" s="25">
        <f>W$4*(W215-W$3)</f>
        <v/>
      </c>
      <c r="AP215" s="25">
        <f>X$4*(X215-X$3)</f>
        <v/>
      </c>
      <c r="AQ215" s="25">
        <f>Y$4*(Y215-Y$3)</f>
        <v/>
      </c>
      <c r="AR215" s="25">
        <f>Z$4*(Z215-Z$3)</f>
        <v/>
      </c>
      <c r="AS215" s="25">
        <f>AA$4*(AA215-AA$3)</f>
        <v/>
      </c>
      <c r="AT215" s="25">
        <f>AB$4*(AB215-AB$3)</f>
        <v/>
      </c>
      <c r="AU215" s="25">
        <f>AC$4*(AC215-AC$3)</f>
        <v/>
      </c>
      <c r="AV215" s="25">
        <f>AD$4*(AD215-AD$3)</f>
        <v/>
      </c>
      <c r="AW215" s="25">
        <f>AE$4*(AE215-AE$3)</f>
        <v/>
      </c>
      <c r="AX215" s="25">
        <f>AF$4*(AF215-AF$3)</f>
        <v/>
      </c>
      <c r="AY215" s="25">
        <f>AG$4*(AG215-AG$3)</f>
        <v/>
      </c>
      <c r="AZ215" s="25">
        <f>AH$4*(AH215-AH$3)</f>
        <v/>
      </c>
      <c r="BA215" s="25">
        <f>AI$4*(AI215-AI$3)</f>
        <v/>
      </c>
      <c r="BB215" s="25">
        <f>AJ$4*(AJ215-AJ$3)</f>
        <v/>
      </c>
      <c r="BC215" s="25">
        <f>AK$4*(AK215-AK$3)</f>
        <v/>
      </c>
      <c r="BD215" s="26">
        <f>SUM(AL215:BC215)</f>
        <v/>
      </c>
      <c r="BE215" s="26">
        <f>INTERCEPT_SCALED+BD215</f>
        <v/>
      </c>
      <c r="BF215" s="27">
        <f>1/(1+EXP(-BE215))</f>
        <v/>
      </c>
      <c r="BG215" s="13">
        <f>1-(1-BF215)^12</f>
        <v/>
      </c>
      <c r="BH215" s="13">
        <f>IFERROR(AL215/BD215*(BG215-BASELINE_CPR),0)</f>
        <v/>
      </c>
      <c r="BI215" s="13">
        <f>IFERROR(AM215/BD215*(BG215-BASELINE_CPR),0)</f>
        <v/>
      </c>
      <c r="BJ215" s="13">
        <f>IFERROR(AN215/BD215*(BG215-BASELINE_CPR),0)</f>
        <v/>
      </c>
      <c r="BK215" s="13">
        <f>IFERROR(AO215/BD215*(BG215-BASELINE_CPR),0)</f>
        <v/>
      </c>
      <c r="BL215" s="13">
        <f>IFERROR(AP215/BD215*(BG215-BASELINE_CPR),0)</f>
        <v/>
      </c>
      <c r="BM215" s="13">
        <f>IFERROR(AQ215/BD215*(BG215-BASELINE_CPR),0)</f>
        <v/>
      </c>
      <c r="BN215" s="13">
        <f>IFERROR(AR215/BD215*(BG215-BASELINE_CPR),0)</f>
        <v/>
      </c>
      <c r="BO215" s="13">
        <f>IFERROR(AS215/BD215*(BG215-BASELINE_CPR),0)</f>
        <v/>
      </c>
      <c r="BP215" s="13">
        <f>IFERROR(AT215/BD215*(BG215-BASELINE_CPR),0)</f>
        <v/>
      </c>
      <c r="BQ215" s="13">
        <f>IFERROR(AU215/BD215*(BG215-BASELINE_CPR),0)</f>
        <v/>
      </c>
      <c r="BR215" s="13">
        <f>IFERROR(AV215/BD215*(BG215-BASELINE_CPR),0)</f>
        <v/>
      </c>
      <c r="BS215" s="13">
        <f>IFERROR(AW215/BD215*(BG215-BASELINE_CPR),0)</f>
        <v/>
      </c>
      <c r="BT215" s="13">
        <f>IFERROR(AX215/BD215*(BG215-BASELINE_CPR),0)</f>
        <v/>
      </c>
      <c r="BU215" s="13">
        <f>IFERROR(AY215/BD215*(BG215-BASELINE_CPR),0)</f>
        <v/>
      </c>
      <c r="BV215" s="13">
        <f>IFERROR(AZ215/BD215*(BG215-BASELINE_CPR),0)</f>
        <v/>
      </c>
      <c r="BW215" s="13">
        <f>IFERROR(BA215/BD215*(BG215-BASELINE_CPR),0)</f>
        <v/>
      </c>
      <c r="BX215" s="13">
        <f>IFERROR(BB215/BD215*(BG215-BASELINE_CPR),0)</f>
        <v/>
      </c>
      <c r="BY215" s="13">
        <f>IFERROR(BC215/BD215*(BG215-BASELINE_CPR),0)</f>
        <v/>
      </c>
      <c r="BZ215" s="28">
        <f>BASELINE_CPR+SUM(BH215:BY215)-BG215</f>
        <v/>
      </c>
    </row>
    <row r="216">
      <c r="A216" s="2" t="inlineStr">
        <is>
          <t>36195RGK9_000000011522344</t>
        </is>
      </c>
      <c r="B216" t="inlineStr">
        <is>
          <t>KEYBANK_PRE21</t>
        </is>
      </c>
      <c r="C216" s="2" t="inlineStr">
        <is>
          <t>36195RGK9</t>
        </is>
      </c>
      <c r="D216" t="inlineStr">
        <is>
          <t>KEYBANK NATIONAL ASSOCIATION</t>
        </is>
      </c>
      <c r="E216" t="inlineStr">
        <is>
          <t>232</t>
        </is>
      </c>
      <c r="F216" t="inlineStr">
        <is>
          <t>RP</t>
        </is>
      </c>
      <c r="G216" t="n">
        <v>2016</v>
      </c>
      <c r="H216" t="inlineStr">
        <is>
          <t>202602</t>
        </is>
      </c>
      <c r="I216" s="22" t="n">
        <v>10459622.28</v>
      </c>
      <c r="J216" s="23" t="n">
        <v>3.43</v>
      </c>
      <c r="K216" s="24" t="n">
        <v>447</v>
      </c>
      <c r="L216" s="24" t="n">
        <v>0</v>
      </c>
      <c r="M216" t="n">
        <v>110</v>
      </c>
      <c r="N216" t="n">
        <v>35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s="24">
        <f>J216*100-(K216+(1+L216)*12.5)</f>
        <v/>
      </c>
      <c r="U216">
        <f>O216</f>
        <v/>
      </c>
      <c r="V216">
        <f>M216</f>
        <v/>
      </c>
      <c r="W216" s="23">
        <f>LN(1+I216)</f>
        <v/>
      </c>
      <c r="X216">
        <f>IF(G216&gt;=2021,1,0)</f>
        <v/>
      </c>
      <c r="Y216">
        <f>N216</f>
        <v/>
      </c>
      <c r="Z216" s="23">
        <f>IF(ISNUMBER(M216),N216/MAX(M216,1),0)</f>
        <v/>
      </c>
      <c r="AA216">
        <f>P216</f>
        <v/>
      </c>
      <c r="AB216">
        <f>Q216</f>
        <v/>
      </c>
      <c r="AC216">
        <f>R216</f>
        <v/>
      </c>
      <c r="AD216">
        <f>S216</f>
        <v/>
      </c>
      <c r="AE216">
        <f>IF(ISNUMBER(SEARCH("CAPITAL FUNDING",D216)),1,0)</f>
        <v/>
      </c>
      <c r="AF216">
        <f>IF(ISNUMBER(SEARCH("MERCHANTS",D216)),1,0)</f>
        <v/>
      </c>
      <c r="AG216">
        <f>IF(ISNUMBER(SEARCH("WELLS FARGO",D216)),1,0)</f>
        <v/>
      </c>
      <c r="AH216">
        <f>IF(ISNUMBER(SEARCH("WALKER",D216)),1,0)</f>
        <v/>
      </c>
      <c r="AI216">
        <f>IF(ISNUMBER(SEARCH("PNC",D216)),1,0)</f>
        <v/>
      </c>
      <c r="AJ216">
        <f>IF(ISNUMBER(SEARCH("BERKADIA",D216)),1,0)</f>
        <v/>
      </c>
      <c r="AK216">
        <f>IF(ISNUMBER(SEARCH("DWIGHT",D216)),1,0)</f>
        <v/>
      </c>
      <c r="AL216" s="25">
        <f>T$4*(T216-T$3)</f>
        <v/>
      </c>
      <c r="AM216" s="25">
        <f>U$4*(U216-U$3)</f>
        <v/>
      </c>
      <c r="AN216" s="25">
        <f>V$4*(V216-V$3)</f>
        <v/>
      </c>
      <c r="AO216" s="25">
        <f>W$4*(W216-W$3)</f>
        <v/>
      </c>
      <c r="AP216" s="25">
        <f>X$4*(X216-X$3)</f>
        <v/>
      </c>
      <c r="AQ216" s="25">
        <f>Y$4*(Y216-Y$3)</f>
        <v/>
      </c>
      <c r="AR216" s="25">
        <f>Z$4*(Z216-Z$3)</f>
        <v/>
      </c>
      <c r="AS216" s="25">
        <f>AA$4*(AA216-AA$3)</f>
        <v/>
      </c>
      <c r="AT216" s="25">
        <f>AB$4*(AB216-AB$3)</f>
        <v/>
      </c>
      <c r="AU216" s="25">
        <f>AC$4*(AC216-AC$3)</f>
        <v/>
      </c>
      <c r="AV216" s="25">
        <f>AD$4*(AD216-AD$3)</f>
        <v/>
      </c>
      <c r="AW216" s="25">
        <f>AE$4*(AE216-AE$3)</f>
        <v/>
      </c>
      <c r="AX216" s="25">
        <f>AF$4*(AF216-AF$3)</f>
        <v/>
      </c>
      <c r="AY216" s="25">
        <f>AG$4*(AG216-AG$3)</f>
        <v/>
      </c>
      <c r="AZ216" s="25">
        <f>AH$4*(AH216-AH$3)</f>
        <v/>
      </c>
      <c r="BA216" s="25">
        <f>AI$4*(AI216-AI$3)</f>
        <v/>
      </c>
      <c r="BB216" s="25">
        <f>AJ$4*(AJ216-AJ$3)</f>
        <v/>
      </c>
      <c r="BC216" s="25">
        <f>AK$4*(AK216-AK$3)</f>
        <v/>
      </c>
      <c r="BD216" s="26">
        <f>SUM(AL216:BC216)</f>
        <v/>
      </c>
      <c r="BE216" s="26">
        <f>INTERCEPT_SCALED+BD216</f>
        <v/>
      </c>
      <c r="BF216" s="27">
        <f>1/(1+EXP(-BE216))</f>
        <v/>
      </c>
      <c r="BG216" s="13">
        <f>1-(1-BF216)^12</f>
        <v/>
      </c>
      <c r="BH216" s="13">
        <f>IFERROR(AL216/BD216*(BG216-BASELINE_CPR),0)</f>
        <v/>
      </c>
      <c r="BI216" s="13">
        <f>IFERROR(AM216/BD216*(BG216-BASELINE_CPR),0)</f>
        <v/>
      </c>
      <c r="BJ216" s="13">
        <f>IFERROR(AN216/BD216*(BG216-BASELINE_CPR),0)</f>
        <v/>
      </c>
      <c r="BK216" s="13">
        <f>IFERROR(AO216/BD216*(BG216-BASELINE_CPR),0)</f>
        <v/>
      </c>
      <c r="BL216" s="13">
        <f>IFERROR(AP216/BD216*(BG216-BASELINE_CPR),0)</f>
        <v/>
      </c>
      <c r="BM216" s="13">
        <f>IFERROR(AQ216/BD216*(BG216-BASELINE_CPR),0)</f>
        <v/>
      </c>
      <c r="BN216" s="13">
        <f>IFERROR(AR216/BD216*(BG216-BASELINE_CPR),0)</f>
        <v/>
      </c>
      <c r="BO216" s="13">
        <f>IFERROR(AS216/BD216*(BG216-BASELINE_CPR),0)</f>
        <v/>
      </c>
      <c r="BP216" s="13">
        <f>IFERROR(AT216/BD216*(BG216-BASELINE_CPR),0)</f>
        <v/>
      </c>
      <c r="BQ216" s="13">
        <f>IFERROR(AU216/BD216*(BG216-BASELINE_CPR),0)</f>
        <v/>
      </c>
      <c r="BR216" s="13">
        <f>IFERROR(AV216/BD216*(BG216-BASELINE_CPR),0)</f>
        <v/>
      </c>
      <c r="BS216" s="13">
        <f>IFERROR(AW216/BD216*(BG216-BASELINE_CPR),0)</f>
        <v/>
      </c>
      <c r="BT216" s="13">
        <f>IFERROR(AX216/BD216*(BG216-BASELINE_CPR),0)</f>
        <v/>
      </c>
      <c r="BU216" s="13">
        <f>IFERROR(AY216/BD216*(BG216-BASELINE_CPR),0)</f>
        <v/>
      </c>
      <c r="BV216" s="13">
        <f>IFERROR(AZ216/BD216*(BG216-BASELINE_CPR),0)</f>
        <v/>
      </c>
      <c r="BW216" s="13">
        <f>IFERROR(BA216/BD216*(BG216-BASELINE_CPR),0)</f>
        <v/>
      </c>
      <c r="BX216" s="13">
        <f>IFERROR(BB216/BD216*(BG216-BASELINE_CPR),0)</f>
        <v/>
      </c>
      <c r="BY216" s="13">
        <f>IFERROR(BC216/BD216*(BG216-BASELINE_CPR),0)</f>
        <v/>
      </c>
      <c r="BZ216" s="28">
        <f>BASELINE_CPR+SUM(BH216:BY216)-BG216</f>
        <v/>
      </c>
    </row>
    <row r="217">
      <c r="A217" s="2" t="inlineStr">
        <is>
          <t>3618L6QD4_000000005322286</t>
        </is>
      </c>
      <c r="B217" t="inlineStr">
        <is>
          <t>KEYBANK_POST21</t>
        </is>
      </c>
      <c r="C217" s="2" t="inlineStr">
        <is>
          <t>3618L6QD4</t>
        </is>
      </c>
      <c r="D217" t="inlineStr">
        <is>
          <t>KEYBANK NATIONAL ASSOCIATION</t>
        </is>
      </c>
      <c r="E217" t="inlineStr">
        <is>
          <t>232</t>
        </is>
      </c>
      <c r="F217" t="inlineStr">
        <is>
          <t>RP</t>
        </is>
      </c>
      <c r="G217" t="n">
        <v>2025</v>
      </c>
      <c r="H217" t="inlineStr">
        <is>
          <t>202602</t>
        </is>
      </c>
      <c r="I217" s="22" t="n">
        <v>35723840.9</v>
      </c>
      <c r="J217" s="23" t="n">
        <v>5.4</v>
      </c>
      <c r="K217" s="24" t="n">
        <v>447</v>
      </c>
      <c r="L217" s="24" t="n">
        <v>10</v>
      </c>
      <c r="M217" t="n">
        <v>5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s="24">
        <f>J217*100-(K217+(1+L217)*12.5)</f>
        <v/>
      </c>
      <c r="U217">
        <f>O217</f>
        <v/>
      </c>
      <c r="V217">
        <f>M217</f>
        <v/>
      </c>
      <c r="W217" s="23">
        <f>LN(1+I217)</f>
        <v/>
      </c>
      <c r="X217">
        <f>IF(G217&gt;=2021,1,0)</f>
        <v/>
      </c>
      <c r="Y217">
        <f>N217</f>
        <v/>
      </c>
      <c r="Z217" s="23">
        <f>IF(ISNUMBER(M217),N217/MAX(M217,1),0)</f>
        <v/>
      </c>
      <c r="AA217">
        <f>P217</f>
        <v/>
      </c>
      <c r="AB217">
        <f>Q217</f>
        <v/>
      </c>
      <c r="AC217">
        <f>R217</f>
        <v/>
      </c>
      <c r="AD217">
        <f>S217</f>
        <v/>
      </c>
      <c r="AE217">
        <f>IF(ISNUMBER(SEARCH("CAPITAL FUNDING",D217)),1,0)</f>
        <v/>
      </c>
      <c r="AF217">
        <f>IF(ISNUMBER(SEARCH("MERCHANTS",D217)),1,0)</f>
        <v/>
      </c>
      <c r="AG217">
        <f>IF(ISNUMBER(SEARCH("WELLS FARGO",D217)),1,0)</f>
        <v/>
      </c>
      <c r="AH217">
        <f>IF(ISNUMBER(SEARCH("WALKER",D217)),1,0)</f>
        <v/>
      </c>
      <c r="AI217">
        <f>IF(ISNUMBER(SEARCH("PNC",D217)),1,0)</f>
        <v/>
      </c>
      <c r="AJ217">
        <f>IF(ISNUMBER(SEARCH("BERKADIA",D217)),1,0)</f>
        <v/>
      </c>
      <c r="AK217">
        <f>IF(ISNUMBER(SEARCH("DWIGHT",D217)),1,0)</f>
        <v/>
      </c>
      <c r="AL217" s="25">
        <f>T$4*(T217-T$3)</f>
        <v/>
      </c>
      <c r="AM217" s="25">
        <f>U$4*(U217-U$3)</f>
        <v/>
      </c>
      <c r="AN217" s="25">
        <f>V$4*(V217-V$3)</f>
        <v/>
      </c>
      <c r="AO217" s="25">
        <f>W$4*(W217-W$3)</f>
        <v/>
      </c>
      <c r="AP217" s="25">
        <f>X$4*(X217-X$3)</f>
        <v/>
      </c>
      <c r="AQ217" s="25">
        <f>Y$4*(Y217-Y$3)</f>
        <v/>
      </c>
      <c r="AR217" s="25">
        <f>Z$4*(Z217-Z$3)</f>
        <v/>
      </c>
      <c r="AS217" s="25">
        <f>AA$4*(AA217-AA$3)</f>
        <v/>
      </c>
      <c r="AT217" s="25">
        <f>AB$4*(AB217-AB$3)</f>
        <v/>
      </c>
      <c r="AU217" s="25">
        <f>AC$4*(AC217-AC$3)</f>
        <v/>
      </c>
      <c r="AV217" s="25">
        <f>AD$4*(AD217-AD$3)</f>
        <v/>
      </c>
      <c r="AW217" s="25">
        <f>AE$4*(AE217-AE$3)</f>
        <v/>
      </c>
      <c r="AX217" s="25">
        <f>AF$4*(AF217-AF$3)</f>
        <v/>
      </c>
      <c r="AY217" s="25">
        <f>AG$4*(AG217-AG$3)</f>
        <v/>
      </c>
      <c r="AZ217" s="25">
        <f>AH$4*(AH217-AH$3)</f>
        <v/>
      </c>
      <c r="BA217" s="25">
        <f>AI$4*(AI217-AI$3)</f>
        <v/>
      </c>
      <c r="BB217" s="25">
        <f>AJ$4*(AJ217-AJ$3)</f>
        <v/>
      </c>
      <c r="BC217" s="25">
        <f>AK$4*(AK217-AK$3)</f>
        <v/>
      </c>
      <c r="BD217" s="26">
        <f>SUM(AL217:BC217)</f>
        <v/>
      </c>
      <c r="BE217" s="26">
        <f>INTERCEPT_SCALED+BD217</f>
        <v/>
      </c>
      <c r="BF217" s="27">
        <f>1/(1+EXP(-BE217))</f>
        <v/>
      </c>
      <c r="BG217" s="13">
        <f>1-(1-BF217)^12</f>
        <v/>
      </c>
      <c r="BH217" s="13">
        <f>IFERROR(AL217/BD217*(BG217-BASELINE_CPR),0)</f>
        <v/>
      </c>
      <c r="BI217" s="13">
        <f>IFERROR(AM217/BD217*(BG217-BASELINE_CPR),0)</f>
        <v/>
      </c>
      <c r="BJ217" s="13">
        <f>IFERROR(AN217/BD217*(BG217-BASELINE_CPR),0)</f>
        <v/>
      </c>
      <c r="BK217" s="13">
        <f>IFERROR(AO217/BD217*(BG217-BASELINE_CPR),0)</f>
        <v/>
      </c>
      <c r="BL217" s="13">
        <f>IFERROR(AP217/BD217*(BG217-BASELINE_CPR),0)</f>
        <v/>
      </c>
      <c r="BM217" s="13">
        <f>IFERROR(AQ217/BD217*(BG217-BASELINE_CPR),0)</f>
        <v/>
      </c>
      <c r="BN217" s="13">
        <f>IFERROR(AR217/BD217*(BG217-BASELINE_CPR),0)</f>
        <v/>
      </c>
      <c r="BO217" s="13">
        <f>IFERROR(AS217/BD217*(BG217-BASELINE_CPR),0)</f>
        <v/>
      </c>
      <c r="BP217" s="13">
        <f>IFERROR(AT217/BD217*(BG217-BASELINE_CPR),0)</f>
        <v/>
      </c>
      <c r="BQ217" s="13">
        <f>IFERROR(AU217/BD217*(BG217-BASELINE_CPR),0)</f>
        <v/>
      </c>
      <c r="BR217" s="13">
        <f>IFERROR(AV217/BD217*(BG217-BASELINE_CPR),0)</f>
        <v/>
      </c>
      <c r="BS217" s="13">
        <f>IFERROR(AW217/BD217*(BG217-BASELINE_CPR),0)</f>
        <v/>
      </c>
      <c r="BT217" s="13">
        <f>IFERROR(AX217/BD217*(BG217-BASELINE_CPR),0)</f>
        <v/>
      </c>
      <c r="BU217" s="13">
        <f>IFERROR(AY217/BD217*(BG217-BASELINE_CPR),0)</f>
        <v/>
      </c>
      <c r="BV217" s="13">
        <f>IFERROR(AZ217/BD217*(BG217-BASELINE_CPR),0)</f>
        <v/>
      </c>
      <c r="BW217" s="13">
        <f>IFERROR(BA217/BD217*(BG217-BASELINE_CPR),0)</f>
        <v/>
      </c>
      <c r="BX217" s="13">
        <f>IFERROR(BB217/BD217*(BG217-BASELINE_CPR),0)</f>
        <v/>
      </c>
      <c r="BY217" s="13">
        <f>IFERROR(BC217/BD217*(BG217-BASELINE_CPR),0)</f>
        <v/>
      </c>
      <c r="BZ217" s="28">
        <f>BASELINE_CPR+SUM(BH217:BY217)-BG217</f>
        <v/>
      </c>
    </row>
    <row r="218">
      <c r="A218" s="2" t="inlineStr">
        <is>
          <t>3617BYXP1_000000005122144</t>
        </is>
      </c>
      <c r="B218" t="inlineStr">
        <is>
          <t>KEYBANK_PRE21</t>
        </is>
      </c>
      <c r="C218" s="2" t="inlineStr">
        <is>
          <t>3617BYXP1</t>
        </is>
      </c>
      <c r="D218" t="inlineStr">
        <is>
          <t>KEYBANK NATIONAL ASSOCIATION</t>
        </is>
      </c>
      <c r="E218" t="inlineStr">
        <is>
          <t>232</t>
        </is>
      </c>
      <c r="F218" t="inlineStr">
        <is>
          <t>RP</t>
        </is>
      </c>
      <c r="G218" t="n">
        <v>2017</v>
      </c>
      <c r="H218" t="inlineStr">
        <is>
          <t>202602</t>
        </is>
      </c>
      <c r="I218" s="22" t="n">
        <v>7327880.72</v>
      </c>
      <c r="J218" s="23" t="n">
        <v>3.3</v>
      </c>
      <c r="K218" s="24" t="n">
        <v>447</v>
      </c>
      <c r="L218" s="24" t="n">
        <v>2</v>
      </c>
      <c r="M218" t="n">
        <v>98</v>
      </c>
      <c r="N218" t="n">
        <v>25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s="24">
        <f>J218*100-(K218+(1+L218)*12.5)</f>
        <v/>
      </c>
      <c r="U218">
        <f>O218</f>
        <v/>
      </c>
      <c r="V218">
        <f>M218</f>
        <v/>
      </c>
      <c r="W218" s="23">
        <f>LN(1+I218)</f>
        <v/>
      </c>
      <c r="X218">
        <f>IF(G218&gt;=2021,1,0)</f>
        <v/>
      </c>
      <c r="Y218">
        <f>N218</f>
        <v/>
      </c>
      <c r="Z218" s="23">
        <f>IF(ISNUMBER(M218),N218/MAX(M218,1),0)</f>
        <v/>
      </c>
      <c r="AA218">
        <f>P218</f>
        <v/>
      </c>
      <c r="AB218">
        <f>Q218</f>
        <v/>
      </c>
      <c r="AC218">
        <f>R218</f>
        <v/>
      </c>
      <c r="AD218">
        <f>S218</f>
        <v/>
      </c>
      <c r="AE218">
        <f>IF(ISNUMBER(SEARCH("CAPITAL FUNDING",D218)),1,0)</f>
        <v/>
      </c>
      <c r="AF218">
        <f>IF(ISNUMBER(SEARCH("MERCHANTS",D218)),1,0)</f>
        <v/>
      </c>
      <c r="AG218">
        <f>IF(ISNUMBER(SEARCH("WELLS FARGO",D218)),1,0)</f>
        <v/>
      </c>
      <c r="AH218">
        <f>IF(ISNUMBER(SEARCH("WALKER",D218)),1,0)</f>
        <v/>
      </c>
      <c r="AI218">
        <f>IF(ISNUMBER(SEARCH("PNC",D218)),1,0)</f>
        <v/>
      </c>
      <c r="AJ218">
        <f>IF(ISNUMBER(SEARCH("BERKADIA",D218)),1,0)</f>
        <v/>
      </c>
      <c r="AK218">
        <f>IF(ISNUMBER(SEARCH("DWIGHT",D218)),1,0)</f>
        <v/>
      </c>
      <c r="AL218" s="25">
        <f>T$4*(T218-T$3)</f>
        <v/>
      </c>
      <c r="AM218" s="25">
        <f>U$4*(U218-U$3)</f>
        <v/>
      </c>
      <c r="AN218" s="25">
        <f>V$4*(V218-V$3)</f>
        <v/>
      </c>
      <c r="AO218" s="25">
        <f>W$4*(W218-W$3)</f>
        <v/>
      </c>
      <c r="AP218" s="25">
        <f>X$4*(X218-X$3)</f>
        <v/>
      </c>
      <c r="AQ218" s="25">
        <f>Y$4*(Y218-Y$3)</f>
        <v/>
      </c>
      <c r="AR218" s="25">
        <f>Z$4*(Z218-Z$3)</f>
        <v/>
      </c>
      <c r="AS218" s="25">
        <f>AA$4*(AA218-AA$3)</f>
        <v/>
      </c>
      <c r="AT218" s="25">
        <f>AB$4*(AB218-AB$3)</f>
        <v/>
      </c>
      <c r="AU218" s="25">
        <f>AC$4*(AC218-AC$3)</f>
        <v/>
      </c>
      <c r="AV218" s="25">
        <f>AD$4*(AD218-AD$3)</f>
        <v/>
      </c>
      <c r="AW218" s="25">
        <f>AE$4*(AE218-AE$3)</f>
        <v/>
      </c>
      <c r="AX218" s="25">
        <f>AF$4*(AF218-AF$3)</f>
        <v/>
      </c>
      <c r="AY218" s="25">
        <f>AG$4*(AG218-AG$3)</f>
        <v/>
      </c>
      <c r="AZ218" s="25">
        <f>AH$4*(AH218-AH$3)</f>
        <v/>
      </c>
      <c r="BA218" s="25">
        <f>AI$4*(AI218-AI$3)</f>
        <v/>
      </c>
      <c r="BB218" s="25">
        <f>AJ$4*(AJ218-AJ$3)</f>
        <v/>
      </c>
      <c r="BC218" s="25">
        <f>AK$4*(AK218-AK$3)</f>
        <v/>
      </c>
      <c r="BD218" s="26">
        <f>SUM(AL218:BC218)</f>
        <v/>
      </c>
      <c r="BE218" s="26">
        <f>INTERCEPT_SCALED+BD218</f>
        <v/>
      </c>
      <c r="BF218" s="27">
        <f>1/(1+EXP(-BE218))</f>
        <v/>
      </c>
      <c r="BG218" s="13">
        <f>1-(1-BF218)^12</f>
        <v/>
      </c>
      <c r="BH218" s="13">
        <f>IFERROR(AL218/BD218*(BG218-BASELINE_CPR),0)</f>
        <v/>
      </c>
      <c r="BI218" s="13">
        <f>IFERROR(AM218/BD218*(BG218-BASELINE_CPR),0)</f>
        <v/>
      </c>
      <c r="BJ218" s="13">
        <f>IFERROR(AN218/BD218*(BG218-BASELINE_CPR),0)</f>
        <v/>
      </c>
      <c r="BK218" s="13">
        <f>IFERROR(AO218/BD218*(BG218-BASELINE_CPR),0)</f>
        <v/>
      </c>
      <c r="BL218" s="13">
        <f>IFERROR(AP218/BD218*(BG218-BASELINE_CPR),0)</f>
        <v/>
      </c>
      <c r="BM218" s="13">
        <f>IFERROR(AQ218/BD218*(BG218-BASELINE_CPR),0)</f>
        <v/>
      </c>
      <c r="BN218" s="13">
        <f>IFERROR(AR218/BD218*(BG218-BASELINE_CPR),0)</f>
        <v/>
      </c>
      <c r="BO218" s="13">
        <f>IFERROR(AS218/BD218*(BG218-BASELINE_CPR),0)</f>
        <v/>
      </c>
      <c r="BP218" s="13">
        <f>IFERROR(AT218/BD218*(BG218-BASELINE_CPR),0)</f>
        <v/>
      </c>
      <c r="BQ218" s="13">
        <f>IFERROR(AU218/BD218*(BG218-BASELINE_CPR),0)</f>
        <v/>
      </c>
      <c r="BR218" s="13">
        <f>IFERROR(AV218/BD218*(BG218-BASELINE_CPR),0)</f>
        <v/>
      </c>
      <c r="BS218" s="13">
        <f>IFERROR(AW218/BD218*(BG218-BASELINE_CPR),0)</f>
        <v/>
      </c>
      <c r="BT218" s="13">
        <f>IFERROR(AX218/BD218*(BG218-BASELINE_CPR),0)</f>
        <v/>
      </c>
      <c r="BU218" s="13">
        <f>IFERROR(AY218/BD218*(BG218-BASELINE_CPR),0)</f>
        <v/>
      </c>
      <c r="BV218" s="13">
        <f>IFERROR(AZ218/BD218*(BG218-BASELINE_CPR),0)</f>
        <v/>
      </c>
      <c r="BW218" s="13">
        <f>IFERROR(BA218/BD218*(BG218-BASELINE_CPR),0)</f>
        <v/>
      </c>
      <c r="BX218" s="13">
        <f>IFERROR(BB218/BD218*(BG218-BASELINE_CPR),0)</f>
        <v/>
      </c>
      <c r="BY218" s="13">
        <f>IFERROR(BC218/BD218*(BG218-BASELINE_CPR),0)</f>
        <v/>
      </c>
      <c r="BZ218" s="28">
        <f>BASELINE_CPR+SUM(BH218:BY218)-BG218</f>
        <v/>
      </c>
    </row>
    <row r="219">
      <c r="A219" s="2" t="inlineStr">
        <is>
          <t>3620AEWM8_000000011322062</t>
        </is>
      </c>
      <c r="B219" t="inlineStr">
        <is>
          <t>KEYBANK_PRE21</t>
        </is>
      </c>
      <c r="C219" s="2" t="inlineStr">
        <is>
          <t>3620AEWM8</t>
        </is>
      </c>
      <c r="D219" t="inlineStr">
        <is>
          <t>KEYBANK NATIONAL ASSOCIATION</t>
        </is>
      </c>
      <c r="E219" t="inlineStr">
        <is>
          <t>232</t>
        </is>
      </c>
      <c r="F219" t="inlineStr">
        <is>
          <t>RP</t>
        </is>
      </c>
      <c r="G219" t="n">
        <v>2011</v>
      </c>
      <c r="H219" t="inlineStr">
        <is>
          <t>202602</t>
        </is>
      </c>
      <c r="I219" s="22" t="n">
        <v>3922431.75</v>
      </c>
      <c r="J219" s="23" t="n">
        <v>4.28</v>
      </c>
      <c r="K219" s="24" t="n">
        <v>447</v>
      </c>
      <c r="L219" s="24" t="n">
        <v>0</v>
      </c>
      <c r="M219" t="n">
        <v>179</v>
      </c>
      <c r="N219" t="n">
        <v>45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s="24">
        <f>J219*100-(K219+(1+L219)*12.5)</f>
        <v/>
      </c>
      <c r="U219">
        <f>O219</f>
        <v/>
      </c>
      <c r="V219">
        <f>M219</f>
        <v/>
      </c>
      <c r="W219" s="23">
        <f>LN(1+I219)</f>
        <v/>
      </c>
      <c r="X219">
        <f>IF(G219&gt;=2021,1,0)</f>
        <v/>
      </c>
      <c r="Y219">
        <f>N219</f>
        <v/>
      </c>
      <c r="Z219" s="23">
        <f>IF(ISNUMBER(M219),N219/MAX(M219,1),0)</f>
        <v/>
      </c>
      <c r="AA219">
        <f>P219</f>
        <v/>
      </c>
      <c r="AB219">
        <f>Q219</f>
        <v/>
      </c>
      <c r="AC219">
        <f>R219</f>
        <v/>
      </c>
      <c r="AD219">
        <f>S219</f>
        <v/>
      </c>
      <c r="AE219">
        <f>IF(ISNUMBER(SEARCH("CAPITAL FUNDING",D219)),1,0)</f>
        <v/>
      </c>
      <c r="AF219">
        <f>IF(ISNUMBER(SEARCH("MERCHANTS",D219)),1,0)</f>
        <v/>
      </c>
      <c r="AG219">
        <f>IF(ISNUMBER(SEARCH("WELLS FARGO",D219)),1,0)</f>
        <v/>
      </c>
      <c r="AH219">
        <f>IF(ISNUMBER(SEARCH("WALKER",D219)),1,0)</f>
        <v/>
      </c>
      <c r="AI219">
        <f>IF(ISNUMBER(SEARCH("PNC",D219)),1,0)</f>
        <v/>
      </c>
      <c r="AJ219">
        <f>IF(ISNUMBER(SEARCH("BERKADIA",D219)),1,0)</f>
        <v/>
      </c>
      <c r="AK219">
        <f>IF(ISNUMBER(SEARCH("DWIGHT",D219)),1,0)</f>
        <v/>
      </c>
      <c r="AL219" s="25">
        <f>T$4*(T219-T$3)</f>
        <v/>
      </c>
      <c r="AM219" s="25">
        <f>U$4*(U219-U$3)</f>
        <v/>
      </c>
      <c r="AN219" s="25">
        <f>V$4*(V219-V$3)</f>
        <v/>
      </c>
      <c r="AO219" s="25">
        <f>W$4*(W219-W$3)</f>
        <v/>
      </c>
      <c r="AP219" s="25">
        <f>X$4*(X219-X$3)</f>
        <v/>
      </c>
      <c r="AQ219" s="25">
        <f>Y$4*(Y219-Y$3)</f>
        <v/>
      </c>
      <c r="AR219" s="25">
        <f>Z$4*(Z219-Z$3)</f>
        <v/>
      </c>
      <c r="AS219" s="25">
        <f>AA$4*(AA219-AA$3)</f>
        <v/>
      </c>
      <c r="AT219" s="25">
        <f>AB$4*(AB219-AB$3)</f>
        <v/>
      </c>
      <c r="AU219" s="25">
        <f>AC$4*(AC219-AC$3)</f>
        <v/>
      </c>
      <c r="AV219" s="25">
        <f>AD$4*(AD219-AD$3)</f>
        <v/>
      </c>
      <c r="AW219" s="25">
        <f>AE$4*(AE219-AE$3)</f>
        <v/>
      </c>
      <c r="AX219" s="25">
        <f>AF$4*(AF219-AF$3)</f>
        <v/>
      </c>
      <c r="AY219" s="25">
        <f>AG$4*(AG219-AG$3)</f>
        <v/>
      </c>
      <c r="AZ219" s="25">
        <f>AH$4*(AH219-AH$3)</f>
        <v/>
      </c>
      <c r="BA219" s="25">
        <f>AI$4*(AI219-AI$3)</f>
        <v/>
      </c>
      <c r="BB219" s="25">
        <f>AJ$4*(AJ219-AJ$3)</f>
        <v/>
      </c>
      <c r="BC219" s="25">
        <f>AK$4*(AK219-AK$3)</f>
        <v/>
      </c>
      <c r="BD219" s="26">
        <f>SUM(AL219:BC219)</f>
        <v/>
      </c>
      <c r="BE219" s="26">
        <f>INTERCEPT_SCALED+BD219</f>
        <v/>
      </c>
      <c r="BF219" s="27">
        <f>1/(1+EXP(-BE219))</f>
        <v/>
      </c>
      <c r="BG219" s="13">
        <f>1-(1-BF219)^12</f>
        <v/>
      </c>
      <c r="BH219" s="13">
        <f>IFERROR(AL219/BD219*(BG219-BASELINE_CPR),0)</f>
        <v/>
      </c>
      <c r="BI219" s="13">
        <f>IFERROR(AM219/BD219*(BG219-BASELINE_CPR),0)</f>
        <v/>
      </c>
      <c r="BJ219" s="13">
        <f>IFERROR(AN219/BD219*(BG219-BASELINE_CPR),0)</f>
        <v/>
      </c>
      <c r="BK219" s="13">
        <f>IFERROR(AO219/BD219*(BG219-BASELINE_CPR),0)</f>
        <v/>
      </c>
      <c r="BL219" s="13">
        <f>IFERROR(AP219/BD219*(BG219-BASELINE_CPR),0)</f>
        <v/>
      </c>
      <c r="BM219" s="13">
        <f>IFERROR(AQ219/BD219*(BG219-BASELINE_CPR),0)</f>
        <v/>
      </c>
      <c r="BN219" s="13">
        <f>IFERROR(AR219/BD219*(BG219-BASELINE_CPR),0)</f>
        <v/>
      </c>
      <c r="BO219" s="13">
        <f>IFERROR(AS219/BD219*(BG219-BASELINE_CPR),0)</f>
        <v/>
      </c>
      <c r="BP219" s="13">
        <f>IFERROR(AT219/BD219*(BG219-BASELINE_CPR),0)</f>
        <v/>
      </c>
      <c r="BQ219" s="13">
        <f>IFERROR(AU219/BD219*(BG219-BASELINE_CPR),0)</f>
        <v/>
      </c>
      <c r="BR219" s="13">
        <f>IFERROR(AV219/BD219*(BG219-BASELINE_CPR),0)</f>
        <v/>
      </c>
      <c r="BS219" s="13">
        <f>IFERROR(AW219/BD219*(BG219-BASELINE_CPR),0)</f>
        <v/>
      </c>
      <c r="BT219" s="13">
        <f>IFERROR(AX219/BD219*(BG219-BASELINE_CPR),0)</f>
        <v/>
      </c>
      <c r="BU219" s="13">
        <f>IFERROR(AY219/BD219*(BG219-BASELINE_CPR),0)</f>
        <v/>
      </c>
      <c r="BV219" s="13">
        <f>IFERROR(AZ219/BD219*(BG219-BASELINE_CPR),0)</f>
        <v/>
      </c>
      <c r="BW219" s="13">
        <f>IFERROR(BA219/BD219*(BG219-BASELINE_CPR),0)</f>
        <v/>
      </c>
      <c r="BX219" s="13">
        <f>IFERROR(BB219/BD219*(BG219-BASELINE_CPR),0)</f>
        <v/>
      </c>
      <c r="BY219" s="13">
        <f>IFERROR(BC219/BD219*(BG219-BASELINE_CPR),0)</f>
        <v/>
      </c>
      <c r="BZ219" s="28">
        <f>BASELINE_CPR+SUM(BH219:BY219)-BG219</f>
        <v/>
      </c>
    </row>
    <row r="220">
      <c r="A220" s="2" t="inlineStr">
        <is>
          <t>3617ATE74_000000002422108</t>
        </is>
      </c>
      <c r="B220" t="inlineStr">
        <is>
          <t>KEYBANK_PRE21</t>
        </is>
      </c>
      <c r="C220" s="2" t="inlineStr">
        <is>
          <t>3617ATE74</t>
        </is>
      </c>
      <c r="D220" t="inlineStr">
        <is>
          <t>KEYBANK NATIONAL ASSOCIATION</t>
        </is>
      </c>
      <c r="E220" t="inlineStr">
        <is>
          <t>232</t>
        </is>
      </c>
      <c r="F220" t="inlineStr">
        <is>
          <t>RP</t>
        </is>
      </c>
      <c r="G220" t="n">
        <v>2017</v>
      </c>
      <c r="H220" t="inlineStr">
        <is>
          <t>202602</t>
        </is>
      </c>
      <c r="I220" s="22" t="n">
        <v>11973413.59</v>
      </c>
      <c r="J220" s="23" t="n">
        <v>3.24</v>
      </c>
      <c r="K220" s="24" t="n">
        <v>447</v>
      </c>
      <c r="L220" s="24" t="n">
        <v>2</v>
      </c>
      <c r="M220" t="n">
        <v>100</v>
      </c>
      <c r="N220" t="n">
        <v>25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s="24">
        <f>J220*100-(K220+(1+L220)*12.5)</f>
        <v/>
      </c>
      <c r="U220">
        <f>O220</f>
        <v/>
      </c>
      <c r="V220">
        <f>M220</f>
        <v/>
      </c>
      <c r="W220" s="23">
        <f>LN(1+I220)</f>
        <v/>
      </c>
      <c r="X220">
        <f>IF(G220&gt;=2021,1,0)</f>
        <v/>
      </c>
      <c r="Y220">
        <f>N220</f>
        <v/>
      </c>
      <c r="Z220" s="23">
        <f>IF(ISNUMBER(M220),N220/MAX(M220,1),0)</f>
        <v/>
      </c>
      <c r="AA220">
        <f>P220</f>
        <v/>
      </c>
      <c r="AB220">
        <f>Q220</f>
        <v/>
      </c>
      <c r="AC220">
        <f>R220</f>
        <v/>
      </c>
      <c r="AD220">
        <f>S220</f>
        <v/>
      </c>
      <c r="AE220">
        <f>IF(ISNUMBER(SEARCH("CAPITAL FUNDING",D220)),1,0)</f>
        <v/>
      </c>
      <c r="AF220">
        <f>IF(ISNUMBER(SEARCH("MERCHANTS",D220)),1,0)</f>
        <v/>
      </c>
      <c r="AG220">
        <f>IF(ISNUMBER(SEARCH("WELLS FARGO",D220)),1,0)</f>
        <v/>
      </c>
      <c r="AH220">
        <f>IF(ISNUMBER(SEARCH("WALKER",D220)),1,0)</f>
        <v/>
      </c>
      <c r="AI220">
        <f>IF(ISNUMBER(SEARCH("PNC",D220)),1,0)</f>
        <v/>
      </c>
      <c r="AJ220">
        <f>IF(ISNUMBER(SEARCH("BERKADIA",D220)),1,0)</f>
        <v/>
      </c>
      <c r="AK220">
        <f>IF(ISNUMBER(SEARCH("DWIGHT",D220)),1,0)</f>
        <v/>
      </c>
      <c r="AL220" s="25">
        <f>T$4*(T220-T$3)</f>
        <v/>
      </c>
      <c r="AM220" s="25">
        <f>U$4*(U220-U$3)</f>
        <v/>
      </c>
      <c r="AN220" s="25">
        <f>V$4*(V220-V$3)</f>
        <v/>
      </c>
      <c r="AO220" s="25">
        <f>W$4*(W220-W$3)</f>
        <v/>
      </c>
      <c r="AP220" s="25">
        <f>X$4*(X220-X$3)</f>
        <v/>
      </c>
      <c r="AQ220" s="25">
        <f>Y$4*(Y220-Y$3)</f>
        <v/>
      </c>
      <c r="AR220" s="25">
        <f>Z$4*(Z220-Z$3)</f>
        <v/>
      </c>
      <c r="AS220" s="25">
        <f>AA$4*(AA220-AA$3)</f>
        <v/>
      </c>
      <c r="AT220" s="25">
        <f>AB$4*(AB220-AB$3)</f>
        <v/>
      </c>
      <c r="AU220" s="25">
        <f>AC$4*(AC220-AC$3)</f>
        <v/>
      </c>
      <c r="AV220" s="25">
        <f>AD$4*(AD220-AD$3)</f>
        <v/>
      </c>
      <c r="AW220" s="25">
        <f>AE$4*(AE220-AE$3)</f>
        <v/>
      </c>
      <c r="AX220" s="25">
        <f>AF$4*(AF220-AF$3)</f>
        <v/>
      </c>
      <c r="AY220" s="25">
        <f>AG$4*(AG220-AG$3)</f>
        <v/>
      </c>
      <c r="AZ220" s="25">
        <f>AH$4*(AH220-AH$3)</f>
        <v/>
      </c>
      <c r="BA220" s="25">
        <f>AI$4*(AI220-AI$3)</f>
        <v/>
      </c>
      <c r="BB220" s="25">
        <f>AJ$4*(AJ220-AJ$3)</f>
        <v/>
      </c>
      <c r="BC220" s="25">
        <f>AK$4*(AK220-AK$3)</f>
        <v/>
      </c>
      <c r="BD220" s="26">
        <f>SUM(AL220:BC220)</f>
        <v/>
      </c>
      <c r="BE220" s="26">
        <f>INTERCEPT_SCALED+BD220</f>
        <v/>
      </c>
      <c r="BF220" s="27">
        <f>1/(1+EXP(-BE220))</f>
        <v/>
      </c>
      <c r="BG220" s="13">
        <f>1-(1-BF220)^12</f>
        <v/>
      </c>
      <c r="BH220" s="13">
        <f>IFERROR(AL220/BD220*(BG220-BASELINE_CPR),0)</f>
        <v/>
      </c>
      <c r="BI220" s="13">
        <f>IFERROR(AM220/BD220*(BG220-BASELINE_CPR),0)</f>
        <v/>
      </c>
      <c r="BJ220" s="13">
        <f>IFERROR(AN220/BD220*(BG220-BASELINE_CPR),0)</f>
        <v/>
      </c>
      <c r="BK220" s="13">
        <f>IFERROR(AO220/BD220*(BG220-BASELINE_CPR),0)</f>
        <v/>
      </c>
      <c r="BL220" s="13">
        <f>IFERROR(AP220/BD220*(BG220-BASELINE_CPR),0)</f>
        <v/>
      </c>
      <c r="BM220" s="13">
        <f>IFERROR(AQ220/BD220*(BG220-BASELINE_CPR),0)</f>
        <v/>
      </c>
      <c r="BN220" s="13">
        <f>IFERROR(AR220/BD220*(BG220-BASELINE_CPR),0)</f>
        <v/>
      </c>
      <c r="BO220" s="13">
        <f>IFERROR(AS220/BD220*(BG220-BASELINE_CPR),0)</f>
        <v/>
      </c>
      <c r="BP220" s="13">
        <f>IFERROR(AT220/BD220*(BG220-BASELINE_CPR),0)</f>
        <v/>
      </c>
      <c r="BQ220" s="13">
        <f>IFERROR(AU220/BD220*(BG220-BASELINE_CPR),0)</f>
        <v/>
      </c>
      <c r="BR220" s="13">
        <f>IFERROR(AV220/BD220*(BG220-BASELINE_CPR),0)</f>
        <v/>
      </c>
      <c r="BS220" s="13">
        <f>IFERROR(AW220/BD220*(BG220-BASELINE_CPR),0)</f>
        <v/>
      </c>
      <c r="BT220" s="13">
        <f>IFERROR(AX220/BD220*(BG220-BASELINE_CPR),0)</f>
        <v/>
      </c>
      <c r="BU220" s="13">
        <f>IFERROR(AY220/BD220*(BG220-BASELINE_CPR),0)</f>
        <v/>
      </c>
      <c r="BV220" s="13">
        <f>IFERROR(AZ220/BD220*(BG220-BASELINE_CPR),0)</f>
        <v/>
      </c>
      <c r="BW220" s="13">
        <f>IFERROR(BA220/BD220*(BG220-BASELINE_CPR),0)</f>
        <v/>
      </c>
      <c r="BX220" s="13">
        <f>IFERROR(BB220/BD220*(BG220-BASELINE_CPR),0)</f>
        <v/>
      </c>
      <c r="BY220" s="13">
        <f>IFERROR(BC220/BD220*(BG220-BASELINE_CPR),0)</f>
        <v/>
      </c>
      <c r="BZ220" s="28">
        <f>BASELINE_CPR+SUM(BH220:BY220)-BG220</f>
        <v/>
      </c>
    </row>
    <row r="221">
      <c r="A221" s="2" t="inlineStr">
        <is>
          <t>3617J7MT6_000000001711211</t>
        </is>
      </c>
      <c r="B221" t="inlineStr">
        <is>
          <t>KEYBANK_PRE21</t>
        </is>
      </c>
      <c r="C221" s="2" t="inlineStr">
        <is>
          <t>3617J7MT6</t>
        </is>
      </c>
      <c r="D221" t="inlineStr">
        <is>
          <t>KEYBANK NATIONAL ASSOCIATION</t>
        </is>
      </c>
      <c r="E221" t="inlineStr">
        <is>
          <t>223f</t>
        </is>
      </c>
      <c r="F221" t="inlineStr">
        <is>
          <t>RP</t>
        </is>
      </c>
      <c r="G221" t="n">
        <v>2018</v>
      </c>
      <c r="H221" t="inlineStr">
        <is>
          <t>202602</t>
        </is>
      </c>
      <c r="I221" s="22" t="n">
        <v>2100799.83</v>
      </c>
      <c r="J221" s="23" t="n">
        <v>4.75</v>
      </c>
      <c r="K221" s="24" t="n">
        <v>447</v>
      </c>
      <c r="L221" s="24" t="n">
        <v>3</v>
      </c>
      <c r="M221" t="n">
        <v>86</v>
      </c>
      <c r="N221" t="n">
        <v>41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s="24">
        <f>J221*100-(K221+(1+L221)*12.5)</f>
        <v/>
      </c>
      <c r="U221">
        <f>O221</f>
        <v/>
      </c>
      <c r="V221">
        <f>M221</f>
        <v/>
      </c>
      <c r="W221" s="23">
        <f>LN(1+I221)</f>
        <v/>
      </c>
      <c r="X221">
        <f>IF(G221&gt;=2021,1,0)</f>
        <v/>
      </c>
      <c r="Y221">
        <f>N221</f>
        <v/>
      </c>
      <c r="Z221" s="23">
        <f>IF(ISNUMBER(M221),N221/MAX(M221,1),0)</f>
        <v/>
      </c>
      <c r="AA221">
        <f>P221</f>
        <v/>
      </c>
      <c r="AB221">
        <f>Q221</f>
        <v/>
      </c>
      <c r="AC221">
        <f>R221</f>
        <v/>
      </c>
      <c r="AD221">
        <f>S221</f>
        <v/>
      </c>
      <c r="AE221">
        <f>IF(ISNUMBER(SEARCH("CAPITAL FUNDING",D221)),1,0)</f>
        <v/>
      </c>
      <c r="AF221">
        <f>IF(ISNUMBER(SEARCH("MERCHANTS",D221)),1,0)</f>
        <v/>
      </c>
      <c r="AG221">
        <f>IF(ISNUMBER(SEARCH("WELLS FARGO",D221)),1,0)</f>
        <v/>
      </c>
      <c r="AH221">
        <f>IF(ISNUMBER(SEARCH("WALKER",D221)),1,0)</f>
        <v/>
      </c>
      <c r="AI221">
        <f>IF(ISNUMBER(SEARCH("PNC",D221)),1,0)</f>
        <v/>
      </c>
      <c r="AJ221">
        <f>IF(ISNUMBER(SEARCH("BERKADIA",D221)),1,0)</f>
        <v/>
      </c>
      <c r="AK221">
        <f>IF(ISNUMBER(SEARCH("DWIGHT",D221)),1,0)</f>
        <v/>
      </c>
      <c r="AL221" s="25">
        <f>T$4*(T221-T$3)</f>
        <v/>
      </c>
      <c r="AM221" s="25">
        <f>U$4*(U221-U$3)</f>
        <v/>
      </c>
      <c r="AN221" s="25">
        <f>V$4*(V221-V$3)</f>
        <v/>
      </c>
      <c r="AO221" s="25">
        <f>W$4*(W221-W$3)</f>
        <v/>
      </c>
      <c r="AP221" s="25">
        <f>X$4*(X221-X$3)</f>
        <v/>
      </c>
      <c r="AQ221" s="25">
        <f>Y$4*(Y221-Y$3)</f>
        <v/>
      </c>
      <c r="AR221" s="25">
        <f>Z$4*(Z221-Z$3)</f>
        <v/>
      </c>
      <c r="AS221" s="25">
        <f>AA$4*(AA221-AA$3)</f>
        <v/>
      </c>
      <c r="AT221" s="25">
        <f>AB$4*(AB221-AB$3)</f>
        <v/>
      </c>
      <c r="AU221" s="25">
        <f>AC$4*(AC221-AC$3)</f>
        <v/>
      </c>
      <c r="AV221" s="25">
        <f>AD$4*(AD221-AD$3)</f>
        <v/>
      </c>
      <c r="AW221" s="25">
        <f>AE$4*(AE221-AE$3)</f>
        <v/>
      </c>
      <c r="AX221" s="25">
        <f>AF$4*(AF221-AF$3)</f>
        <v/>
      </c>
      <c r="AY221" s="25">
        <f>AG$4*(AG221-AG$3)</f>
        <v/>
      </c>
      <c r="AZ221" s="25">
        <f>AH$4*(AH221-AH$3)</f>
        <v/>
      </c>
      <c r="BA221" s="25">
        <f>AI$4*(AI221-AI$3)</f>
        <v/>
      </c>
      <c r="BB221" s="25">
        <f>AJ$4*(AJ221-AJ$3)</f>
        <v/>
      </c>
      <c r="BC221" s="25">
        <f>AK$4*(AK221-AK$3)</f>
        <v/>
      </c>
      <c r="BD221" s="26">
        <f>SUM(AL221:BC221)</f>
        <v/>
      </c>
      <c r="BE221" s="26">
        <f>INTERCEPT_SCALED+BD221</f>
        <v/>
      </c>
      <c r="BF221" s="27">
        <f>1/(1+EXP(-BE221))</f>
        <v/>
      </c>
      <c r="BG221" s="13">
        <f>1-(1-BF221)^12</f>
        <v/>
      </c>
      <c r="BH221" s="13">
        <f>IFERROR(AL221/BD221*(BG221-BASELINE_CPR),0)</f>
        <v/>
      </c>
      <c r="BI221" s="13">
        <f>IFERROR(AM221/BD221*(BG221-BASELINE_CPR),0)</f>
        <v/>
      </c>
      <c r="BJ221" s="13">
        <f>IFERROR(AN221/BD221*(BG221-BASELINE_CPR),0)</f>
        <v/>
      </c>
      <c r="BK221" s="13">
        <f>IFERROR(AO221/BD221*(BG221-BASELINE_CPR),0)</f>
        <v/>
      </c>
      <c r="BL221" s="13">
        <f>IFERROR(AP221/BD221*(BG221-BASELINE_CPR),0)</f>
        <v/>
      </c>
      <c r="BM221" s="13">
        <f>IFERROR(AQ221/BD221*(BG221-BASELINE_CPR),0)</f>
        <v/>
      </c>
      <c r="BN221" s="13">
        <f>IFERROR(AR221/BD221*(BG221-BASELINE_CPR),0)</f>
        <v/>
      </c>
      <c r="BO221" s="13">
        <f>IFERROR(AS221/BD221*(BG221-BASELINE_CPR),0)</f>
        <v/>
      </c>
      <c r="BP221" s="13">
        <f>IFERROR(AT221/BD221*(BG221-BASELINE_CPR),0)</f>
        <v/>
      </c>
      <c r="BQ221" s="13">
        <f>IFERROR(AU221/BD221*(BG221-BASELINE_CPR),0)</f>
        <v/>
      </c>
      <c r="BR221" s="13">
        <f>IFERROR(AV221/BD221*(BG221-BASELINE_CPR),0)</f>
        <v/>
      </c>
      <c r="BS221" s="13">
        <f>IFERROR(AW221/BD221*(BG221-BASELINE_CPR),0)</f>
        <v/>
      </c>
      <c r="BT221" s="13">
        <f>IFERROR(AX221/BD221*(BG221-BASELINE_CPR),0)</f>
        <v/>
      </c>
      <c r="BU221" s="13">
        <f>IFERROR(AY221/BD221*(BG221-BASELINE_CPR),0)</f>
        <v/>
      </c>
      <c r="BV221" s="13">
        <f>IFERROR(AZ221/BD221*(BG221-BASELINE_CPR),0)</f>
        <v/>
      </c>
      <c r="BW221" s="13">
        <f>IFERROR(BA221/BD221*(BG221-BASELINE_CPR),0)</f>
        <v/>
      </c>
      <c r="BX221" s="13">
        <f>IFERROR(BB221/BD221*(BG221-BASELINE_CPR),0)</f>
        <v/>
      </c>
      <c r="BY221" s="13">
        <f>IFERROR(BC221/BD221*(BG221-BASELINE_CPR),0)</f>
        <v/>
      </c>
      <c r="BZ221" s="28">
        <f>BASELINE_CPR+SUM(BH221:BY221)-BG221</f>
        <v/>
      </c>
    </row>
    <row r="222">
      <c r="A222" s="2" t="inlineStr">
        <is>
          <t>3620AEWQ9_000000011322064</t>
        </is>
      </c>
      <c r="B222" t="inlineStr">
        <is>
          <t>KEYBANK_PRE21</t>
        </is>
      </c>
      <c r="C222" s="2" t="inlineStr">
        <is>
          <t>3620AEWQ9</t>
        </is>
      </c>
      <c r="D222" t="inlineStr">
        <is>
          <t>KEYBANK NATIONAL ASSOCIATION</t>
        </is>
      </c>
      <c r="E222" t="inlineStr">
        <is>
          <t>232</t>
        </is>
      </c>
      <c r="F222" t="inlineStr">
        <is>
          <t>RP</t>
        </is>
      </c>
      <c r="G222" t="n">
        <v>2011</v>
      </c>
      <c r="H222" t="inlineStr">
        <is>
          <t>202602</t>
        </is>
      </c>
      <c r="I222" s="22" t="n">
        <v>4594985.17</v>
      </c>
      <c r="J222" s="23" t="n">
        <v>4.28</v>
      </c>
      <c r="K222" s="24" t="n">
        <v>447</v>
      </c>
      <c r="L222" s="24" t="n">
        <v>0</v>
      </c>
      <c r="M222" t="n">
        <v>179</v>
      </c>
      <c r="N222" t="n">
        <v>45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s="24">
        <f>J222*100-(K222+(1+L222)*12.5)</f>
        <v/>
      </c>
      <c r="U222">
        <f>O222</f>
        <v/>
      </c>
      <c r="V222">
        <f>M222</f>
        <v/>
      </c>
      <c r="W222" s="23">
        <f>LN(1+I222)</f>
        <v/>
      </c>
      <c r="X222">
        <f>IF(G222&gt;=2021,1,0)</f>
        <v/>
      </c>
      <c r="Y222">
        <f>N222</f>
        <v/>
      </c>
      <c r="Z222" s="23">
        <f>IF(ISNUMBER(M222),N222/MAX(M222,1),0)</f>
        <v/>
      </c>
      <c r="AA222">
        <f>P222</f>
        <v/>
      </c>
      <c r="AB222">
        <f>Q222</f>
        <v/>
      </c>
      <c r="AC222">
        <f>R222</f>
        <v/>
      </c>
      <c r="AD222">
        <f>S222</f>
        <v/>
      </c>
      <c r="AE222">
        <f>IF(ISNUMBER(SEARCH("CAPITAL FUNDING",D222)),1,0)</f>
        <v/>
      </c>
      <c r="AF222">
        <f>IF(ISNUMBER(SEARCH("MERCHANTS",D222)),1,0)</f>
        <v/>
      </c>
      <c r="AG222">
        <f>IF(ISNUMBER(SEARCH("WELLS FARGO",D222)),1,0)</f>
        <v/>
      </c>
      <c r="AH222">
        <f>IF(ISNUMBER(SEARCH("WALKER",D222)),1,0)</f>
        <v/>
      </c>
      <c r="AI222">
        <f>IF(ISNUMBER(SEARCH("PNC",D222)),1,0)</f>
        <v/>
      </c>
      <c r="AJ222">
        <f>IF(ISNUMBER(SEARCH("BERKADIA",D222)),1,0)</f>
        <v/>
      </c>
      <c r="AK222">
        <f>IF(ISNUMBER(SEARCH("DWIGHT",D222)),1,0)</f>
        <v/>
      </c>
      <c r="AL222" s="25">
        <f>T$4*(T222-T$3)</f>
        <v/>
      </c>
      <c r="AM222" s="25">
        <f>U$4*(U222-U$3)</f>
        <v/>
      </c>
      <c r="AN222" s="25">
        <f>V$4*(V222-V$3)</f>
        <v/>
      </c>
      <c r="AO222" s="25">
        <f>W$4*(W222-W$3)</f>
        <v/>
      </c>
      <c r="AP222" s="25">
        <f>X$4*(X222-X$3)</f>
        <v/>
      </c>
      <c r="AQ222" s="25">
        <f>Y$4*(Y222-Y$3)</f>
        <v/>
      </c>
      <c r="AR222" s="25">
        <f>Z$4*(Z222-Z$3)</f>
        <v/>
      </c>
      <c r="AS222" s="25">
        <f>AA$4*(AA222-AA$3)</f>
        <v/>
      </c>
      <c r="AT222" s="25">
        <f>AB$4*(AB222-AB$3)</f>
        <v/>
      </c>
      <c r="AU222" s="25">
        <f>AC$4*(AC222-AC$3)</f>
        <v/>
      </c>
      <c r="AV222" s="25">
        <f>AD$4*(AD222-AD$3)</f>
        <v/>
      </c>
      <c r="AW222" s="25">
        <f>AE$4*(AE222-AE$3)</f>
        <v/>
      </c>
      <c r="AX222" s="25">
        <f>AF$4*(AF222-AF$3)</f>
        <v/>
      </c>
      <c r="AY222" s="25">
        <f>AG$4*(AG222-AG$3)</f>
        <v/>
      </c>
      <c r="AZ222" s="25">
        <f>AH$4*(AH222-AH$3)</f>
        <v/>
      </c>
      <c r="BA222" s="25">
        <f>AI$4*(AI222-AI$3)</f>
        <v/>
      </c>
      <c r="BB222" s="25">
        <f>AJ$4*(AJ222-AJ$3)</f>
        <v/>
      </c>
      <c r="BC222" s="25">
        <f>AK$4*(AK222-AK$3)</f>
        <v/>
      </c>
      <c r="BD222" s="26">
        <f>SUM(AL222:BC222)</f>
        <v/>
      </c>
      <c r="BE222" s="26">
        <f>INTERCEPT_SCALED+BD222</f>
        <v/>
      </c>
      <c r="BF222" s="27">
        <f>1/(1+EXP(-BE222))</f>
        <v/>
      </c>
      <c r="BG222" s="13">
        <f>1-(1-BF222)^12</f>
        <v/>
      </c>
      <c r="BH222" s="13">
        <f>IFERROR(AL222/BD222*(BG222-BASELINE_CPR),0)</f>
        <v/>
      </c>
      <c r="BI222" s="13">
        <f>IFERROR(AM222/BD222*(BG222-BASELINE_CPR),0)</f>
        <v/>
      </c>
      <c r="BJ222" s="13">
        <f>IFERROR(AN222/BD222*(BG222-BASELINE_CPR),0)</f>
        <v/>
      </c>
      <c r="BK222" s="13">
        <f>IFERROR(AO222/BD222*(BG222-BASELINE_CPR),0)</f>
        <v/>
      </c>
      <c r="BL222" s="13">
        <f>IFERROR(AP222/BD222*(BG222-BASELINE_CPR),0)</f>
        <v/>
      </c>
      <c r="BM222" s="13">
        <f>IFERROR(AQ222/BD222*(BG222-BASELINE_CPR),0)</f>
        <v/>
      </c>
      <c r="BN222" s="13">
        <f>IFERROR(AR222/BD222*(BG222-BASELINE_CPR),0)</f>
        <v/>
      </c>
      <c r="BO222" s="13">
        <f>IFERROR(AS222/BD222*(BG222-BASELINE_CPR),0)</f>
        <v/>
      </c>
      <c r="BP222" s="13">
        <f>IFERROR(AT222/BD222*(BG222-BASELINE_CPR),0)</f>
        <v/>
      </c>
      <c r="BQ222" s="13">
        <f>IFERROR(AU222/BD222*(BG222-BASELINE_CPR),0)</f>
        <v/>
      </c>
      <c r="BR222" s="13">
        <f>IFERROR(AV222/BD222*(BG222-BASELINE_CPR),0)</f>
        <v/>
      </c>
      <c r="BS222" s="13">
        <f>IFERROR(AW222/BD222*(BG222-BASELINE_CPR),0)</f>
        <v/>
      </c>
      <c r="BT222" s="13">
        <f>IFERROR(AX222/BD222*(BG222-BASELINE_CPR),0)</f>
        <v/>
      </c>
      <c r="BU222" s="13">
        <f>IFERROR(AY222/BD222*(BG222-BASELINE_CPR),0)</f>
        <v/>
      </c>
      <c r="BV222" s="13">
        <f>IFERROR(AZ222/BD222*(BG222-BASELINE_CPR),0)</f>
        <v/>
      </c>
      <c r="BW222" s="13">
        <f>IFERROR(BA222/BD222*(BG222-BASELINE_CPR),0)</f>
        <v/>
      </c>
      <c r="BX222" s="13">
        <f>IFERROR(BB222/BD222*(BG222-BASELINE_CPR),0)</f>
        <v/>
      </c>
      <c r="BY222" s="13">
        <f>IFERROR(BC222/BD222*(BG222-BASELINE_CPR),0)</f>
        <v/>
      </c>
      <c r="BZ222" s="28">
        <f>BASELINE_CPR+SUM(BH222:BY222)-BG222</f>
        <v/>
      </c>
    </row>
    <row r="223">
      <c r="A223" s="2" t="inlineStr">
        <is>
          <t>3617X45C3_000000008322086</t>
        </is>
      </c>
      <c r="B223" t="inlineStr">
        <is>
          <t>KEYBANK_PRE21</t>
        </is>
      </c>
      <c r="C223" s="2" t="inlineStr">
        <is>
          <t>3617X45C3</t>
        </is>
      </c>
      <c r="D223" t="inlineStr">
        <is>
          <t>KEYBANK NATIONAL ASSOCIATION</t>
        </is>
      </c>
      <c r="E223" t="inlineStr">
        <is>
          <t>232</t>
        </is>
      </c>
      <c r="F223" t="inlineStr">
        <is>
          <t>RP</t>
        </is>
      </c>
      <c r="G223" t="n">
        <v>2019</v>
      </c>
      <c r="H223" t="inlineStr">
        <is>
          <t>202602</t>
        </is>
      </c>
      <c r="I223" s="22" t="n">
        <v>18452989.41</v>
      </c>
      <c r="J223" s="23" t="n">
        <v>3.04</v>
      </c>
      <c r="K223" s="24" t="n">
        <v>447</v>
      </c>
      <c r="L223" s="24" t="n">
        <v>6</v>
      </c>
      <c r="M223" t="n">
        <v>77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s="24">
        <f>J223*100-(K223+(1+L223)*12.5)</f>
        <v/>
      </c>
      <c r="U223">
        <f>O223</f>
        <v/>
      </c>
      <c r="V223">
        <f>M223</f>
        <v/>
      </c>
      <c r="W223" s="23">
        <f>LN(1+I223)</f>
        <v/>
      </c>
      <c r="X223">
        <f>IF(G223&gt;=2021,1,0)</f>
        <v/>
      </c>
      <c r="Y223">
        <f>N223</f>
        <v/>
      </c>
      <c r="Z223" s="23">
        <f>IF(ISNUMBER(M223),N223/MAX(M223,1),0)</f>
        <v/>
      </c>
      <c r="AA223">
        <f>P223</f>
        <v/>
      </c>
      <c r="AB223">
        <f>Q223</f>
        <v/>
      </c>
      <c r="AC223">
        <f>R223</f>
        <v/>
      </c>
      <c r="AD223">
        <f>S223</f>
        <v/>
      </c>
      <c r="AE223">
        <f>IF(ISNUMBER(SEARCH("CAPITAL FUNDING",D223)),1,0)</f>
        <v/>
      </c>
      <c r="AF223">
        <f>IF(ISNUMBER(SEARCH("MERCHANTS",D223)),1,0)</f>
        <v/>
      </c>
      <c r="AG223">
        <f>IF(ISNUMBER(SEARCH("WELLS FARGO",D223)),1,0)</f>
        <v/>
      </c>
      <c r="AH223">
        <f>IF(ISNUMBER(SEARCH("WALKER",D223)),1,0)</f>
        <v/>
      </c>
      <c r="AI223">
        <f>IF(ISNUMBER(SEARCH("PNC",D223)),1,0)</f>
        <v/>
      </c>
      <c r="AJ223">
        <f>IF(ISNUMBER(SEARCH("BERKADIA",D223)),1,0)</f>
        <v/>
      </c>
      <c r="AK223">
        <f>IF(ISNUMBER(SEARCH("DWIGHT",D223)),1,0)</f>
        <v/>
      </c>
      <c r="AL223" s="25">
        <f>T$4*(T223-T$3)</f>
        <v/>
      </c>
      <c r="AM223" s="25">
        <f>U$4*(U223-U$3)</f>
        <v/>
      </c>
      <c r="AN223" s="25">
        <f>V$4*(V223-V$3)</f>
        <v/>
      </c>
      <c r="AO223" s="25">
        <f>W$4*(W223-W$3)</f>
        <v/>
      </c>
      <c r="AP223" s="25">
        <f>X$4*(X223-X$3)</f>
        <v/>
      </c>
      <c r="AQ223" s="25">
        <f>Y$4*(Y223-Y$3)</f>
        <v/>
      </c>
      <c r="AR223" s="25">
        <f>Z$4*(Z223-Z$3)</f>
        <v/>
      </c>
      <c r="AS223" s="25">
        <f>AA$4*(AA223-AA$3)</f>
        <v/>
      </c>
      <c r="AT223" s="25">
        <f>AB$4*(AB223-AB$3)</f>
        <v/>
      </c>
      <c r="AU223" s="25">
        <f>AC$4*(AC223-AC$3)</f>
        <v/>
      </c>
      <c r="AV223" s="25">
        <f>AD$4*(AD223-AD$3)</f>
        <v/>
      </c>
      <c r="AW223" s="25">
        <f>AE$4*(AE223-AE$3)</f>
        <v/>
      </c>
      <c r="AX223" s="25">
        <f>AF$4*(AF223-AF$3)</f>
        <v/>
      </c>
      <c r="AY223" s="25">
        <f>AG$4*(AG223-AG$3)</f>
        <v/>
      </c>
      <c r="AZ223" s="25">
        <f>AH$4*(AH223-AH$3)</f>
        <v/>
      </c>
      <c r="BA223" s="25">
        <f>AI$4*(AI223-AI$3)</f>
        <v/>
      </c>
      <c r="BB223" s="25">
        <f>AJ$4*(AJ223-AJ$3)</f>
        <v/>
      </c>
      <c r="BC223" s="25">
        <f>AK$4*(AK223-AK$3)</f>
        <v/>
      </c>
      <c r="BD223" s="26">
        <f>SUM(AL223:BC223)</f>
        <v/>
      </c>
      <c r="BE223" s="26">
        <f>INTERCEPT_SCALED+BD223</f>
        <v/>
      </c>
      <c r="BF223" s="27">
        <f>1/(1+EXP(-BE223))</f>
        <v/>
      </c>
      <c r="BG223" s="13">
        <f>1-(1-BF223)^12</f>
        <v/>
      </c>
      <c r="BH223" s="13">
        <f>IFERROR(AL223/BD223*(BG223-BASELINE_CPR),0)</f>
        <v/>
      </c>
      <c r="BI223" s="13">
        <f>IFERROR(AM223/BD223*(BG223-BASELINE_CPR),0)</f>
        <v/>
      </c>
      <c r="BJ223" s="13">
        <f>IFERROR(AN223/BD223*(BG223-BASELINE_CPR),0)</f>
        <v/>
      </c>
      <c r="BK223" s="13">
        <f>IFERROR(AO223/BD223*(BG223-BASELINE_CPR),0)</f>
        <v/>
      </c>
      <c r="BL223" s="13">
        <f>IFERROR(AP223/BD223*(BG223-BASELINE_CPR),0)</f>
        <v/>
      </c>
      <c r="BM223" s="13">
        <f>IFERROR(AQ223/BD223*(BG223-BASELINE_CPR),0)</f>
        <v/>
      </c>
      <c r="BN223" s="13">
        <f>IFERROR(AR223/BD223*(BG223-BASELINE_CPR),0)</f>
        <v/>
      </c>
      <c r="BO223" s="13">
        <f>IFERROR(AS223/BD223*(BG223-BASELINE_CPR),0)</f>
        <v/>
      </c>
      <c r="BP223" s="13">
        <f>IFERROR(AT223/BD223*(BG223-BASELINE_CPR),0)</f>
        <v/>
      </c>
      <c r="BQ223" s="13">
        <f>IFERROR(AU223/BD223*(BG223-BASELINE_CPR),0)</f>
        <v/>
      </c>
      <c r="BR223" s="13">
        <f>IFERROR(AV223/BD223*(BG223-BASELINE_CPR),0)</f>
        <v/>
      </c>
      <c r="BS223" s="13">
        <f>IFERROR(AW223/BD223*(BG223-BASELINE_CPR),0)</f>
        <v/>
      </c>
      <c r="BT223" s="13">
        <f>IFERROR(AX223/BD223*(BG223-BASELINE_CPR),0)</f>
        <v/>
      </c>
      <c r="BU223" s="13">
        <f>IFERROR(AY223/BD223*(BG223-BASELINE_CPR),0)</f>
        <v/>
      </c>
      <c r="BV223" s="13">
        <f>IFERROR(AZ223/BD223*(BG223-BASELINE_CPR),0)</f>
        <v/>
      </c>
      <c r="BW223" s="13">
        <f>IFERROR(BA223/BD223*(BG223-BASELINE_CPR),0)</f>
        <v/>
      </c>
      <c r="BX223" s="13">
        <f>IFERROR(BB223/BD223*(BG223-BASELINE_CPR),0)</f>
        <v/>
      </c>
      <c r="BY223" s="13">
        <f>IFERROR(BC223/BD223*(BG223-BASELINE_CPR),0)</f>
        <v/>
      </c>
      <c r="BZ223" s="28">
        <f>BASELINE_CPR+SUM(BH223:BY223)-BG223</f>
        <v/>
      </c>
    </row>
    <row r="224">
      <c r="A224" s="2" t="inlineStr">
        <is>
          <t>3617X45K5_000000008211161</t>
        </is>
      </c>
      <c r="B224" t="inlineStr">
        <is>
          <t>KEYBANK_POST21</t>
        </is>
      </c>
      <c r="C224" s="2" t="inlineStr">
        <is>
          <t>3617X45K5</t>
        </is>
      </c>
      <c r="D224" t="inlineStr">
        <is>
          <t>KEYBANK NATIONAL ASSOCIATION</t>
        </is>
      </c>
      <c r="E224" t="inlineStr">
        <is>
          <t>223f</t>
        </is>
      </c>
      <c r="F224" t="inlineStr">
        <is>
          <t>RP</t>
        </is>
      </c>
      <c r="G224" t="n">
        <v>2021</v>
      </c>
      <c r="H224" t="inlineStr">
        <is>
          <t>202602</t>
        </is>
      </c>
      <c r="I224" s="22" t="n">
        <v>25769713.74</v>
      </c>
      <c r="J224" s="23" t="n">
        <v>2.3</v>
      </c>
      <c r="K224" s="24" t="n">
        <v>447</v>
      </c>
      <c r="L224" s="24" t="n">
        <v>6</v>
      </c>
      <c r="M224" t="n">
        <v>50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s="24">
        <f>J224*100-(K224+(1+L224)*12.5)</f>
        <v/>
      </c>
      <c r="U224">
        <f>O224</f>
        <v/>
      </c>
      <c r="V224">
        <f>M224</f>
        <v/>
      </c>
      <c r="W224" s="23">
        <f>LN(1+I224)</f>
        <v/>
      </c>
      <c r="X224">
        <f>IF(G224&gt;=2021,1,0)</f>
        <v/>
      </c>
      <c r="Y224">
        <f>N224</f>
        <v/>
      </c>
      <c r="Z224" s="23">
        <f>IF(ISNUMBER(M224),N224/MAX(M224,1),0)</f>
        <v/>
      </c>
      <c r="AA224">
        <f>P224</f>
        <v/>
      </c>
      <c r="AB224">
        <f>Q224</f>
        <v/>
      </c>
      <c r="AC224">
        <f>R224</f>
        <v/>
      </c>
      <c r="AD224">
        <f>S224</f>
        <v/>
      </c>
      <c r="AE224">
        <f>IF(ISNUMBER(SEARCH("CAPITAL FUNDING",D224)),1,0)</f>
        <v/>
      </c>
      <c r="AF224">
        <f>IF(ISNUMBER(SEARCH("MERCHANTS",D224)),1,0)</f>
        <v/>
      </c>
      <c r="AG224">
        <f>IF(ISNUMBER(SEARCH("WELLS FARGO",D224)),1,0)</f>
        <v/>
      </c>
      <c r="AH224">
        <f>IF(ISNUMBER(SEARCH("WALKER",D224)),1,0)</f>
        <v/>
      </c>
      <c r="AI224">
        <f>IF(ISNUMBER(SEARCH("PNC",D224)),1,0)</f>
        <v/>
      </c>
      <c r="AJ224">
        <f>IF(ISNUMBER(SEARCH("BERKADIA",D224)),1,0)</f>
        <v/>
      </c>
      <c r="AK224">
        <f>IF(ISNUMBER(SEARCH("DWIGHT",D224)),1,0)</f>
        <v/>
      </c>
      <c r="AL224" s="25">
        <f>T$4*(T224-T$3)</f>
        <v/>
      </c>
      <c r="AM224" s="25">
        <f>U$4*(U224-U$3)</f>
        <v/>
      </c>
      <c r="AN224" s="25">
        <f>V$4*(V224-V$3)</f>
        <v/>
      </c>
      <c r="AO224" s="25">
        <f>W$4*(W224-W$3)</f>
        <v/>
      </c>
      <c r="AP224" s="25">
        <f>X$4*(X224-X$3)</f>
        <v/>
      </c>
      <c r="AQ224" s="25">
        <f>Y$4*(Y224-Y$3)</f>
        <v/>
      </c>
      <c r="AR224" s="25">
        <f>Z$4*(Z224-Z$3)</f>
        <v/>
      </c>
      <c r="AS224" s="25">
        <f>AA$4*(AA224-AA$3)</f>
        <v/>
      </c>
      <c r="AT224" s="25">
        <f>AB$4*(AB224-AB$3)</f>
        <v/>
      </c>
      <c r="AU224" s="25">
        <f>AC$4*(AC224-AC$3)</f>
        <v/>
      </c>
      <c r="AV224" s="25">
        <f>AD$4*(AD224-AD$3)</f>
        <v/>
      </c>
      <c r="AW224" s="25">
        <f>AE$4*(AE224-AE$3)</f>
        <v/>
      </c>
      <c r="AX224" s="25">
        <f>AF$4*(AF224-AF$3)</f>
        <v/>
      </c>
      <c r="AY224" s="25">
        <f>AG$4*(AG224-AG$3)</f>
        <v/>
      </c>
      <c r="AZ224" s="25">
        <f>AH$4*(AH224-AH$3)</f>
        <v/>
      </c>
      <c r="BA224" s="25">
        <f>AI$4*(AI224-AI$3)</f>
        <v/>
      </c>
      <c r="BB224" s="25">
        <f>AJ$4*(AJ224-AJ$3)</f>
        <v/>
      </c>
      <c r="BC224" s="25">
        <f>AK$4*(AK224-AK$3)</f>
        <v/>
      </c>
      <c r="BD224" s="26">
        <f>SUM(AL224:BC224)</f>
        <v/>
      </c>
      <c r="BE224" s="26">
        <f>INTERCEPT_SCALED+BD224</f>
        <v/>
      </c>
      <c r="BF224" s="27">
        <f>1/(1+EXP(-BE224))</f>
        <v/>
      </c>
      <c r="BG224" s="13">
        <f>1-(1-BF224)^12</f>
        <v/>
      </c>
      <c r="BH224" s="13">
        <f>IFERROR(AL224/BD224*(BG224-BASELINE_CPR),0)</f>
        <v/>
      </c>
      <c r="BI224" s="13">
        <f>IFERROR(AM224/BD224*(BG224-BASELINE_CPR),0)</f>
        <v/>
      </c>
      <c r="BJ224" s="13">
        <f>IFERROR(AN224/BD224*(BG224-BASELINE_CPR),0)</f>
        <v/>
      </c>
      <c r="BK224" s="13">
        <f>IFERROR(AO224/BD224*(BG224-BASELINE_CPR),0)</f>
        <v/>
      </c>
      <c r="BL224" s="13">
        <f>IFERROR(AP224/BD224*(BG224-BASELINE_CPR),0)</f>
        <v/>
      </c>
      <c r="BM224" s="13">
        <f>IFERROR(AQ224/BD224*(BG224-BASELINE_CPR),0)</f>
        <v/>
      </c>
      <c r="BN224" s="13">
        <f>IFERROR(AR224/BD224*(BG224-BASELINE_CPR),0)</f>
        <v/>
      </c>
      <c r="BO224" s="13">
        <f>IFERROR(AS224/BD224*(BG224-BASELINE_CPR),0)</f>
        <v/>
      </c>
      <c r="BP224" s="13">
        <f>IFERROR(AT224/BD224*(BG224-BASELINE_CPR),0)</f>
        <v/>
      </c>
      <c r="BQ224" s="13">
        <f>IFERROR(AU224/BD224*(BG224-BASELINE_CPR),0)</f>
        <v/>
      </c>
      <c r="BR224" s="13">
        <f>IFERROR(AV224/BD224*(BG224-BASELINE_CPR),0)</f>
        <v/>
      </c>
      <c r="BS224" s="13">
        <f>IFERROR(AW224/BD224*(BG224-BASELINE_CPR),0)</f>
        <v/>
      </c>
      <c r="BT224" s="13">
        <f>IFERROR(AX224/BD224*(BG224-BASELINE_CPR),0)</f>
        <v/>
      </c>
      <c r="BU224" s="13">
        <f>IFERROR(AY224/BD224*(BG224-BASELINE_CPR),0)</f>
        <v/>
      </c>
      <c r="BV224" s="13">
        <f>IFERROR(AZ224/BD224*(BG224-BASELINE_CPR),0)</f>
        <v/>
      </c>
      <c r="BW224" s="13">
        <f>IFERROR(BA224/BD224*(BG224-BASELINE_CPR),0)</f>
        <v/>
      </c>
      <c r="BX224" s="13">
        <f>IFERROR(BB224/BD224*(BG224-BASELINE_CPR),0)</f>
        <v/>
      </c>
      <c r="BY224" s="13">
        <f>IFERROR(BC224/BD224*(BG224-BASELINE_CPR),0)</f>
        <v/>
      </c>
      <c r="BZ224" s="28">
        <f>BASELINE_CPR+SUM(BH224:BY224)-BG224</f>
        <v/>
      </c>
    </row>
    <row r="225">
      <c r="A225" s="2" t="inlineStr">
        <is>
          <t>3617J7NB4_000000010535280</t>
        </is>
      </c>
      <c r="B225" t="inlineStr">
        <is>
          <t>KEYBANK_PRE21</t>
        </is>
      </c>
      <c r="C225" s="2" t="inlineStr">
        <is>
          <t>3617J7NB4</t>
        </is>
      </c>
      <c r="D225" t="inlineStr">
        <is>
          <t>KEYBANK NATIONAL ASSOCIATION</t>
        </is>
      </c>
      <c r="E225" t="inlineStr">
        <is>
          <t>221d4</t>
        </is>
      </c>
      <c r="F225" t="inlineStr">
        <is>
          <t>NC</t>
        </is>
      </c>
      <c r="G225" t="n">
        <v>2019</v>
      </c>
      <c r="H225" t="inlineStr">
        <is>
          <t>202602</t>
        </is>
      </c>
      <c r="I225" s="22" t="n">
        <v>47013276.32</v>
      </c>
      <c r="J225" s="23" t="n">
        <v>4.53</v>
      </c>
      <c r="K225" s="24" t="n">
        <v>447</v>
      </c>
      <c r="L225" s="24" t="n">
        <v>6</v>
      </c>
      <c r="M225" t="n">
        <v>81</v>
      </c>
      <c r="N225" t="n">
        <v>3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s="24">
        <f>J225*100-(K225+(1+L225)*12.5)</f>
        <v/>
      </c>
      <c r="U225">
        <f>O225</f>
        <v/>
      </c>
      <c r="V225">
        <f>M225</f>
        <v/>
      </c>
      <c r="W225" s="23">
        <f>LN(1+I225)</f>
        <v/>
      </c>
      <c r="X225">
        <f>IF(G225&gt;=2021,1,0)</f>
        <v/>
      </c>
      <c r="Y225">
        <f>N225</f>
        <v/>
      </c>
      <c r="Z225" s="23">
        <f>IF(ISNUMBER(M225),N225/MAX(M225,1),0)</f>
        <v/>
      </c>
      <c r="AA225">
        <f>P225</f>
        <v/>
      </c>
      <c r="AB225">
        <f>Q225</f>
        <v/>
      </c>
      <c r="AC225">
        <f>R225</f>
        <v/>
      </c>
      <c r="AD225">
        <f>S225</f>
        <v/>
      </c>
      <c r="AE225">
        <f>IF(ISNUMBER(SEARCH("CAPITAL FUNDING",D225)),1,0)</f>
        <v/>
      </c>
      <c r="AF225">
        <f>IF(ISNUMBER(SEARCH("MERCHANTS",D225)),1,0)</f>
        <v/>
      </c>
      <c r="AG225">
        <f>IF(ISNUMBER(SEARCH("WELLS FARGO",D225)),1,0)</f>
        <v/>
      </c>
      <c r="AH225">
        <f>IF(ISNUMBER(SEARCH("WALKER",D225)),1,0)</f>
        <v/>
      </c>
      <c r="AI225">
        <f>IF(ISNUMBER(SEARCH("PNC",D225)),1,0)</f>
        <v/>
      </c>
      <c r="AJ225">
        <f>IF(ISNUMBER(SEARCH("BERKADIA",D225)),1,0)</f>
        <v/>
      </c>
      <c r="AK225">
        <f>IF(ISNUMBER(SEARCH("DWIGHT",D225)),1,0)</f>
        <v/>
      </c>
      <c r="AL225" s="25">
        <f>T$4*(T225-T$3)</f>
        <v/>
      </c>
      <c r="AM225" s="25">
        <f>U$4*(U225-U$3)</f>
        <v/>
      </c>
      <c r="AN225" s="25">
        <f>V$4*(V225-V$3)</f>
        <v/>
      </c>
      <c r="AO225" s="25">
        <f>W$4*(W225-W$3)</f>
        <v/>
      </c>
      <c r="AP225" s="25">
        <f>X$4*(X225-X$3)</f>
        <v/>
      </c>
      <c r="AQ225" s="25">
        <f>Y$4*(Y225-Y$3)</f>
        <v/>
      </c>
      <c r="AR225" s="25">
        <f>Z$4*(Z225-Z$3)</f>
        <v/>
      </c>
      <c r="AS225" s="25">
        <f>AA$4*(AA225-AA$3)</f>
        <v/>
      </c>
      <c r="AT225" s="25">
        <f>AB$4*(AB225-AB$3)</f>
        <v/>
      </c>
      <c r="AU225" s="25">
        <f>AC$4*(AC225-AC$3)</f>
        <v/>
      </c>
      <c r="AV225" s="25">
        <f>AD$4*(AD225-AD$3)</f>
        <v/>
      </c>
      <c r="AW225" s="25">
        <f>AE$4*(AE225-AE$3)</f>
        <v/>
      </c>
      <c r="AX225" s="25">
        <f>AF$4*(AF225-AF$3)</f>
        <v/>
      </c>
      <c r="AY225" s="25">
        <f>AG$4*(AG225-AG$3)</f>
        <v/>
      </c>
      <c r="AZ225" s="25">
        <f>AH$4*(AH225-AH$3)</f>
        <v/>
      </c>
      <c r="BA225" s="25">
        <f>AI$4*(AI225-AI$3)</f>
        <v/>
      </c>
      <c r="BB225" s="25">
        <f>AJ$4*(AJ225-AJ$3)</f>
        <v/>
      </c>
      <c r="BC225" s="25">
        <f>AK$4*(AK225-AK$3)</f>
        <v/>
      </c>
      <c r="BD225" s="26">
        <f>SUM(AL225:BC225)</f>
        <v/>
      </c>
      <c r="BE225" s="26">
        <f>INTERCEPT_SCALED+BD225</f>
        <v/>
      </c>
      <c r="BF225" s="27">
        <f>1/(1+EXP(-BE225))</f>
        <v/>
      </c>
      <c r="BG225" s="13">
        <f>1-(1-BF225)^12</f>
        <v/>
      </c>
      <c r="BH225" s="13">
        <f>IFERROR(AL225/BD225*(BG225-BASELINE_CPR),0)</f>
        <v/>
      </c>
      <c r="BI225" s="13">
        <f>IFERROR(AM225/BD225*(BG225-BASELINE_CPR),0)</f>
        <v/>
      </c>
      <c r="BJ225" s="13">
        <f>IFERROR(AN225/BD225*(BG225-BASELINE_CPR),0)</f>
        <v/>
      </c>
      <c r="BK225" s="13">
        <f>IFERROR(AO225/BD225*(BG225-BASELINE_CPR),0)</f>
        <v/>
      </c>
      <c r="BL225" s="13">
        <f>IFERROR(AP225/BD225*(BG225-BASELINE_CPR),0)</f>
        <v/>
      </c>
      <c r="BM225" s="13">
        <f>IFERROR(AQ225/BD225*(BG225-BASELINE_CPR),0)</f>
        <v/>
      </c>
      <c r="BN225" s="13">
        <f>IFERROR(AR225/BD225*(BG225-BASELINE_CPR),0)</f>
        <v/>
      </c>
      <c r="BO225" s="13">
        <f>IFERROR(AS225/BD225*(BG225-BASELINE_CPR),0)</f>
        <v/>
      </c>
      <c r="BP225" s="13">
        <f>IFERROR(AT225/BD225*(BG225-BASELINE_CPR),0)</f>
        <v/>
      </c>
      <c r="BQ225" s="13">
        <f>IFERROR(AU225/BD225*(BG225-BASELINE_CPR),0)</f>
        <v/>
      </c>
      <c r="BR225" s="13">
        <f>IFERROR(AV225/BD225*(BG225-BASELINE_CPR),0)</f>
        <v/>
      </c>
      <c r="BS225" s="13">
        <f>IFERROR(AW225/BD225*(BG225-BASELINE_CPR),0)</f>
        <v/>
      </c>
      <c r="BT225" s="13">
        <f>IFERROR(AX225/BD225*(BG225-BASELINE_CPR),0)</f>
        <v/>
      </c>
      <c r="BU225" s="13">
        <f>IFERROR(AY225/BD225*(BG225-BASELINE_CPR),0)</f>
        <v/>
      </c>
      <c r="BV225" s="13">
        <f>IFERROR(AZ225/BD225*(BG225-BASELINE_CPR),0)</f>
        <v/>
      </c>
      <c r="BW225" s="13">
        <f>IFERROR(BA225/BD225*(BG225-BASELINE_CPR),0)</f>
        <v/>
      </c>
      <c r="BX225" s="13">
        <f>IFERROR(BB225/BD225*(BG225-BASELINE_CPR),0)</f>
        <v/>
      </c>
      <c r="BY225" s="13">
        <f>IFERROR(BC225/BD225*(BG225-BASELINE_CPR),0)</f>
        <v/>
      </c>
      <c r="BZ225" s="28">
        <f>BASELINE_CPR+SUM(BH225:BY225)-BG225</f>
        <v/>
      </c>
    </row>
    <row r="226">
      <c r="A226" s="2" t="inlineStr">
        <is>
          <t>3617U5FE8_000000006122173</t>
        </is>
      </c>
      <c r="B226" t="inlineStr">
        <is>
          <t>KEYBANK_PRE21</t>
        </is>
      </c>
      <c r="C226" s="2" t="inlineStr">
        <is>
          <t>3617U5FE8</t>
        </is>
      </c>
      <c r="D226" t="inlineStr">
        <is>
          <t>KEYBANK NATIONAL ASSOCIATION</t>
        </is>
      </c>
      <c r="E226" t="inlineStr">
        <is>
          <t>232</t>
        </is>
      </c>
      <c r="F226" t="inlineStr">
        <is>
          <t>RP</t>
        </is>
      </c>
      <c r="G226" t="n">
        <v>2020</v>
      </c>
      <c r="H226" t="inlineStr">
        <is>
          <t>202602</t>
        </is>
      </c>
      <c r="I226" s="22" t="n">
        <v>5946077.12</v>
      </c>
      <c r="J226" s="23" t="n">
        <v>2.33</v>
      </c>
      <c r="K226" s="24" t="n">
        <v>447</v>
      </c>
      <c r="L226" s="24" t="n">
        <v>5</v>
      </c>
      <c r="M226" t="n">
        <v>64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s="24">
        <f>J226*100-(K226+(1+L226)*12.5)</f>
        <v/>
      </c>
      <c r="U226">
        <f>O226</f>
        <v/>
      </c>
      <c r="V226">
        <f>M226</f>
        <v/>
      </c>
      <c r="W226" s="23">
        <f>LN(1+I226)</f>
        <v/>
      </c>
      <c r="X226">
        <f>IF(G226&gt;=2021,1,0)</f>
        <v/>
      </c>
      <c r="Y226">
        <f>N226</f>
        <v/>
      </c>
      <c r="Z226" s="23">
        <f>IF(ISNUMBER(M226),N226/MAX(M226,1),0)</f>
        <v/>
      </c>
      <c r="AA226">
        <f>P226</f>
        <v/>
      </c>
      <c r="AB226">
        <f>Q226</f>
        <v/>
      </c>
      <c r="AC226">
        <f>R226</f>
        <v/>
      </c>
      <c r="AD226">
        <f>S226</f>
        <v/>
      </c>
      <c r="AE226">
        <f>IF(ISNUMBER(SEARCH("CAPITAL FUNDING",D226)),1,0)</f>
        <v/>
      </c>
      <c r="AF226">
        <f>IF(ISNUMBER(SEARCH("MERCHANTS",D226)),1,0)</f>
        <v/>
      </c>
      <c r="AG226">
        <f>IF(ISNUMBER(SEARCH("WELLS FARGO",D226)),1,0)</f>
        <v/>
      </c>
      <c r="AH226">
        <f>IF(ISNUMBER(SEARCH("WALKER",D226)),1,0)</f>
        <v/>
      </c>
      <c r="AI226">
        <f>IF(ISNUMBER(SEARCH("PNC",D226)),1,0)</f>
        <v/>
      </c>
      <c r="AJ226">
        <f>IF(ISNUMBER(SEARCH("BERKADIA",D226)),1,0)</f>
        <v/>
      </c>
      <c r="AK226">
        <f>IF(ISNUMBER(SEARCH("DWIGHT",D226)),1,0)</f>
        <v/>
      </c>
      <c r="AL226" s="25">
        <f>T$4*(T226-T$3)</f>
        <v/>
      </c>
      <c r="AM226" s="25">
        <f>U$4*(U226-U$3)</f>
        <v/>
      </c>
      <c r="AN226" s="25">
        <f>V$4*(V226-V$3)</f>
        <v/>
      </c>
      <c r="AO226" s="25">
        <f>W$4*(W226-W$3)</f>
        <v/>
      </c>
      <c r="AP226" s="25">
        <f>X$4*(X226-X$3)</f>
        <v/>
      </c>
      <c r="AQ226" s="25">
        <f>Y$4*(Y226-Y$3)</f>
        <v/>
      </c>
      <c r="AR226" s="25">
        <f>Z$4*(Z226-Z$3)</f>
        <v/>
      </c>
      <c r="AS226" s="25">
        <f>AA$4*(AA226-AA$3)</f>
        <v/>
      </c>
      <c r="AT226" s="25">
        <f>AB$4*(AB226-AB$3)</f>
        <v/>
      </c>
      <c r="AU226" s="25">
        <f>AC$4*(AC226-AC$3)</f>
        <v/>
      </c>
      <c r="AV226" s="25">
        <f>AD$4*(AD226-AD$3)</f>
        <v/>
      </c>
      <c r="AW226" s="25">
        <f>AE$4*(AE226-AE$3)</f>
        <v/>
      </c>
      <c r="AX226" s="25">
        <f>AF$4*(AF226-AF$3)</f>
        <v/>
      </c>
      <c r="AY226" s="25">
        <f>AG$4*(AG226-AG$3)</f>
        <v/>
      </c>
      <c r="AZ226" s="25">
        <f>AH$4*(AH226-AH$3)</f>
        <v/>
      </c>
      <c r="BA226" s="25">
        <f>AI$4*(AI226-AI$3)</f>
        <v/>
      </c>
      <c r="BB226" s="25">
        <f>AJ$4*(AJ226-AJ$3)</f>
        <v/>
      </c>
      <c r="BC226" s="25">
        <f>AK$4*(AK226-AK$3)</f>
        <v/>
      </c>
      <c r="BD226" s="26">
        <f>SUM(AL226:BC226)</f>
        <v/>
      </c>
      <c r="BE226" s="26">
        <f>INTERCEPT_SCALED+BD226</f>
        <v/>
      </c>
      <c r="BF226" s="27">
        <f>1/(1+EXP(-BE226))</f>
        <v/>
      </c>
      <c r="BG226" s="13">
        <f>1-(1-BF226)^12</f>
        <v/>
      </c>
      <c r="BH226" s="13">
        <f>IFERROR(AL226/BD226*(BG226-BASELINE_CPR),0)</f>
        <v/>
      </c>
      <c r="BI226" s="13">
        <f>IFERROR(AM226/BD226*(BG226-BASELINE_CPR),0)</f>
        <v/>
      </c>
      <c r="BJ226" s="13">
        <f>IFERROR(AN226/BD226*(BG226-BASELINE_CPR),0)</f>
        <v/>
      </c>
      <c r="BK226" s="13">
        <f>IFERROR(AO226/BD226*(BG226-BASELINE_CPR),0)</f>
        <v/>
      </c>
      <c r="BL226" s="13">
        <f>IFERROR(AP226/BD226*(BG226-BASELINE_CPR),0)</f>
        <v/>
      </c>
      <c r="BM226" s="13">
        <f>IFERROR(AQ226/BD226*(BG226-BASELINE_CPR),0)</f>
        <v/>
      </c>
      <c r="BN226" s="13">
        <f>IFERROR(AR226/BD226*(BG226-BASELINE_CPR),0)</f>
        <v/>
      </c>
      <c r="BO226" s="13">
        <f>IFERROR(AS226/BD226*(BG226-BASELINE_CPR),0)</f>
        <v/>
      </c>
      <c r="BP226" s="13">
        <f>IFERROR(AT226/BD226*(BG226-BASELINE_CPR),0)</f>
        <v/>
      </c>
      <c r="BQ226" s="13">
        <f>IFERROR(AU226/BD226*(BG226-BASELINE_CPR),0)</f>
        <v/>
      </c>
      <c r="BR226" s="13">
        <f>IFERROR(AV226/BD226*(BG226-BASELINE_CPR),0)</f>
        <v/>
      </c>
      <c r="BS226" s="13">
        <f>IFERROR(AW226/BD226*(BG226-BASELINE_CPR),0)</f>
        <v/>
      </c>
      <c r="BT226" s="13">
        <f>IFERROR(AX226/BD226*(BG226-BASELINE_CPR),0)</f>
        <v/>
      </c>
      <c r="BU226" s="13">
        <f>IFERROR(AY226/BD226*(BG226-BASELINE_CPR),0)</f>
        <v/>
      </c>
      <c r="BV226" s="13">
        <f>IFERROR(AZ226/BD226*(BG226-BASELINE_CPR),0)</f>
        <v/>
      </c>
      <c r="BW226" s="13">
        <f>IFERROR(BA226/BD226*(BG226-BASELINE_CPR),0)</f>
        <v/>
      </c>
      <c r="BX226" s="13">
        <f>IFERROR(BB226/BD226*(BG226-BASELINE_CPR),0)</f>
        <v/>
      </c>
      <c r="BY226" s="13">
        <f>IFERROR(BC226/BD226*(BG226-BASELINE_CPR),0)</f>
        <v/>
      </c>
      <c r="BZ226" s="28">
        <f>BASELINE_CPR+SUM(BH226:BY226)-BG226</f>
        <v/>
      </c>
    </row>
    <row r="227">
      <c r="A227" s="2" t="inlineStr">
        <is>
          <t>3617X46E8_000000007322294</t>
        </is>
      </c>
      <c r="B227" t="inlineStr">
        <is>
          <t>KEYBANK_PRE21</t>
        </is>
      </c>
      <c r="C227" s="2" t="inlineStr">
        <is>
          <t>3617X46E8</t>
        </is>
      </c>
      <c r="D227" t="inlineStr">
        <is>
          <t>KEYBANK NATIONAL ASSOCIATION</t>
        </is>
      </c>
      <c r="E227" t="inlineStr">
        <is>
          <t>232</t>
        </is>
      </c>
      <c r="F227" t="inlineStr">
        <is>
          <t>RP</t>
        </is>
      </c>
      <c r="G227" t="n">
        <v>2017</v>
      </c>
      <c r="H227" t="inlineStr">
        <is>
          <t>202602</t>
        </is>
      </c>
      <c r="I227" s="22" t="n">
        <v>8092221.61</v>
      </c>
      <c r="J227" s="23" t="n">
        <v>2.89</v>
      </c>
      <c r="K227" s="24" t="n">
        <v>447</v>
      </c>
      <c r="L227" s="24" t="n">
        <v>6</v>
      </c>
      <c r="M227" t="n">
        <v>106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s="24">
        <f>J227*100-(K227+(1+L227)*12.5)</f>
        <v/>
      </c>
      <c r="U227">
        <f>O227</f>
        <v/>
      </c>
      <c r="V227">
        <f>M227</f>
        <v/>
      </c>
      <c r="W227" s="23">
        <f>LN(1+I227)</f>
        <v/>
      </c>
      <c r="X227">
        <f>IF(G227&gt;=2021,1,0)</f>
        <v/>
      </c>
      <c r="Y227">
        <f>N227</f>
        <v/>
      </c>
      <c r="Z227" s="23">
        <f>IF(ISNUMBER(M227),N227/MAX(M227,1),0)</f>
        <v/>
      </c>
      <c r="AA227">
        <f>P227</f>
        <v/>
      </c>
      <c r="AB227">
        <f>Q227</f>
        <v/>
      </c>
      <c r="AC227">
        <f>R227</f>
        <v/>
      </c>
      <c r="AD227">
        <f>S227</f>
        <v/>
      </c>
      <c r="AE227">
        <f>IF(ISNUMBER(SEARCH("CAPITAL FUNDING",D227)),1,0)</f>
        <v/>
      </c>
      <c r="AF227">
        <f>IF(ISNUMBER(SEARCH("MERCHANTS",D227)),1,0)</f>
        <v/>
      </c>
      <c r="AG227">
        <f>IF(ISNUMBER(SEARCH("WELLS FARGO",D227)),1,0)</f>
        <v/>
      </c>
      <c r="AH227">
        <f>IF(ISNUMBER(SEARCH("WALKER",D227)),1,0)</f>
        <v/>
      </c>
      <c r="AI227">
        <f>IF(ISNUMBER(SEARCH("PNC",D227)),1,0)</f>
        <v/>
      </c>
      <c r="AJ227">
        <f>IF(ISNUMBER(SEARCH("BERKADIA",D227)),1,0)</f>
        <v/>
      </c>
      <c r="AK227">
        <f>IF(ISNUMBER(SEARCH("DWIGHT",D227)),1,0)</f>
        <v/>
      </c>
      <c r="AL227" s="25">
        <f>T$4*(T227-T$3)</f>
        <v/>
      </c>
      <c r="AM227" s="25">
        <f>U$4*(U227-U$3)</f>
        <v/>
      </c>
      <c r="AN227" s="25">
        <f>V$4*(V227-V$3)</f>
        <v/>
      </c>
      <c r="AO227" s="25">
        <f>W$4*(W227-W$3)</f>
        <v/>
      </c>
      <c r="AP227" s="25">
        <f>X$4*(X227-X$3)</f>
        <v/>
      </c>
      <c r="AQ227" s="25">
        <f>Y$4*(Y227-Y$3)</f>
        <v/>
      </c>
      <c r="AR227" s="25">
        <f>Z$4*(Z227-Z$3)</f>
        <v/>
      </c>
      <c r="AS227" s="25">
        <f>AA$4*(AA227-AA$3)</f>
        <v/>
      </c>
      <c r="AT227" s="25">
        <f>AB$4*(AB227-AB$3)</f>
        <v/>
      </c>
      <c r="AU227" s="25">
        <f>AC$4*(AC227-AC$3)</f>
        <v/>
      </c>
      <c r="AV227" s="25">
        <f>AD$4*(AD227-AD$3)</f>
        <v/>
      </c>
      <c r="AW227" s="25">
        <f>AE$4*(AE227-AE$3)</f>
        <v/>
      </c>
      <c r="AX227" s="25">
        <f>AF$4*(AF227-AF$3)</f>
        <v/>
      </c>
      <c r="AY227" s="25">
        <f>AG$4*(AG227-AG$3)</f>
        <v/>
      </c>
      <c r="AZ227" s="25">
        <f>AH$4*(AH227-AH$3)</f>
        <v/>
      </c>
      <c r="BA227" s="25">
        <f>AI$4*(AI227-AI$3)</f>
        <v/>
      </c>
      <c r="BB227" s="25">
        <f>AJ$4*(AJ227-AJ$3)</f>
        <v/>
      </c>
      <c r="BC227" s="25">
        <f>AK$4*(AK227-AK$3)</f>
        <v/>
      </c>
      <c r="BD227" s="26">
        <f>SUM(AL227:BC227)</f>
        <v/>
      </c>
      <c r="BE227" s="26">
        <f>INTERCEPT_SCALED+BD227</f>
        <v/>
      </c>
      <c r="BF227" s="27">
        <f>1/(1+EXP(-BE227))</f>
        <v/>
      </c>
      <c r="BG227" s="13">
        <f>1-(1-BF227)^12</f>
        <v/>
      </c>
      <c r="BH227" s="13">
        <f>IFERROR(AL227/BD227*(BG227-BASELINE_CPR),0)</f>
        <v/>
      </c>
      <c r="BI227" s="13">
        <f>IFERROR(AM227/BD227*(BG227-BASELINE_CPR),0)</f>
        <v/>
      </c>
      <c r="BJ227" s="13">
        <f>IFERROR(AN227/BD227*(BG227-BASELINE_CPR),0)</f>
        <v/>
      </c>
      <c r="BK227" s="13">
        <f>IFERROR(AO227/BD227*(BG227-BASELINE_CPR),0)</f>
        <v/>
      </c>
      <c r="BL227" s="13">
        <f>IFERROR(AP227/BD227*(BG227-BASELINE_CPR),0)</f>
        <v/>
      </c>
      <c r="BM227" s="13">
        <f>IFERROR(AQ227/BD227*(BG227-BASELINE_CPR),0)</f>
        <v/>
      </c>
      <c r="BN227" s="13">
        <f>IFERROR(AR227/BD227*(BG227-BASELINE_CPR),0)</f>
        <v/>
      </c>
      <c r="BO227" s="13">
        <f>IFERROR(AS227/BD227*(BG227-BASELINE_CPR),0)</f>
        <v/>
      </c>
      <c r="BP227" s="13">
        <f>IFERROR(AT227/BD227*(BG227-BASELINE_CPR),0)</f>
        <v/>
      </c>
      <c r="BQ227" s="13">
        <f>IFERROR(AU227/BD227*(BG227-BASELINE_CPR),0)</f>
        <v/>
      </c>
      <c r="BR227" s="13">
        <f>IFERROR(AV227/BD227*(BG227-BASELINE_CPR),0)</f>
        <v/>
      </c>
      <c r="BS227" s="13">
        <f>IFERROR(AW227/BD227*(BG227-BASELINE_CPR),0)</f>
        <v/>
      </c>
      <c r="BT227" s="13">
        <f>IFERROR(AX227/BD227*(BG227-BASELINE_CPR),0)</f>
        <v/>
      </c>
      <c r="BU227" s="13">
        <f>IFERROR(AY227/BD227*(BG227-BASELINE_CPR),0)</f>
        <v/>
      </c>
      <c r="BV227" s="13">
        <f>IFERROR(AZ227/BD227*(BG227-BASELINE_CPR),0)</f>
        <v/>
      </c>
      <c r="BW227" s="13">
        <f>IFERROR(BA227/BD227*(BG227-BASELINE_CPR),0)</f>
        <v/>
      </c>
      <c r="BX227" s="13">
        <f>IFERROR(BB227/BD227*(BG227-BASELINE_CPR),0)</f>
        <v/>
      </c>
      <c r="BY227" s="13">
        <f>IFERROR(BC227/BD227*(BG227-BASELINE_CPR),0)</f>
        <v/>
      </c>
      <c r="BZ227" s="28">
        <f>BASELINE_CPR+SUM(BH227:BY227)-BG227</f>
        <v/>
      </c>
    </row>
    <row r="228">
      <c r="A228" s="2" t="inlineStr">
        <is>
          <t>3617J7M90_000000008322073</t>
        </is>
      </c>
      <c r="B228" t="inlineStr">
        <is>
          <t>KEYBANK_PRE21</t>
        </is>
      </c>
      <c r="C228" s="2" t="inlineStr">
        <is>
          <t>3617J7M90</t>
        </is>
      </c>
      <c r="D228" t="inlineStr">
        <is>
          <t>KEYBANK NATIONAL ASSOCIATION</t>
        </is>
      </c>
      <c r="E228" t="inlineStr">
        <is>
          <t>232</t>
        </is>
      </c>
      <c r="F228" t="inlineStr">
        <is>
          <t>RP</t>
        </is>
      </c>
      <c r="G228" t="n">
        <v>2019</v>
      </c>
      <c r="H228" t="inlineStr">
        <is>
          <t>202602</t>
        </is>
      </c>
      <c r="I228" s="22" t="n">
        <v>4571894.11</v>
      </c>
      <c r="J228" s="23" t="n">
        <v>3.98</v>
      </c>
      <c r="K228" s="24" t="n">
        <v>447</v>
      </c>
      <c r="L228" s="24" t="n">
        <v>4</v>
      </c>
      <c r="M228" t="n">
        <v>82</v>
      </c>
      <c r="N228" t="n">
        <v>30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s="24">
        <f>J228*100-(K228+(1+L228)*12.5)</f>
        <v/>
      </c>
      <c r="U228">
        <f>O228</f>
        <v/>
      </c>
      <c r="V228">
        <f>M228</f>
        <v/>
      </c>
      <c r="W228" s="23">
        <f>LN(1+I228)</f>
        <v/>
      </c>
      <c r="X228">
        <f>IF(G228&gt;=2021,1,0)</f>
        <v/>
      </c>
      <c r="Y228">
        <f>N228</f>
        <v/>
      </c>
      <c r="Z228" s="23">
        <f>IF(ISNUMBER(M228),N228/MAX(M228,1),0)</f>
        <v/>
      </c>
      <c r="AA228">
        <f>P228</f>
        <v/>
      </c>
      <c r="AB228">
        <f>Q228</f>
        <v/>
      </c>
      <c r="AC228">
        <f>R228</f>
        <v/>
      </c>
      <c r="AD228">
        <f>S228</f>
        <v/>
      </c>
      <c r="AE228">
        <f>IF(ISNUMBER(SEARCH("CAPITAL FUNDING",D228)),1,0)</f>
        <v/>
      </c>
      <c r="AF228">
        <f>IF(ISNUMBER(SEARCH("MERCHANTS",D228)),1,0)</f>
        <v/>
      </c>
      <c r="AG228">
        <f>IF(ISNUMBER(SEARCH("WELLS FARGO",D228)),1,0)</f>
        <v/>
      </c>
      <c r="AH228">
        <f>IF(ISNUMBER(SEARCH("WALKER",D228)),1,0)</f>
        <v/>
      </c>
      <c r="AI228">
        <f>IF(ISNUMBER(SEARCH("PNC",D228)),1,0)</f>
        <v/>
      </c>
      <c r="AJ228">
        <f>IF(ISNUMBER(SEARCH("BERKADIA",D228)),1,0)</f>
        <v/>
      </c>
      <c r="AK228">
        <f>IF(ISNUMBER(SEARCH("DWIGHT",D228)),1,0)</f>
        <v/>
      </c>
      <c r="AL228" s="25">
        <f>T$4*(T228-T$3)</f>
        <v/>
      </c>
      <c r="AM228" s="25">
        <f>U$4*(U228-U$3)</f>
        <v/>
      </c>
      <c r="AN228" s="25">
        <f>V$4*(V228-V$3)</f>
        <v/>
      </c>
      <c r="AO228" s="25">
        <f>W$4*(W228-W$3)</f>
        <v/>
      </c>
      <c r="AP228" s="25">
        <f>X$4*(X228-X$3)</f>
        <v/>
      </c>
      <c r="AQ228" s="25">
        <f>Y$4*(Y228-Y$3)</f>
        <v/>
      </c>
      <c r="AR228" s="25">
        <f>Z$4*(Z228-Z$3)</f>
        <v/>
      </c>
      <c r="AS228" s="25">
        <f>AA$4*(AA228-AA$3)</f>
        <v/>
      </c>
      <c r="AT228" s="25">
        <f>AB$4*(AB228-AB$3)</f>
        <v/>
      </c>
      <c r="AU228" s="25">
        <f>AC$4*(AC228-AC$3)</f>
        <v/>
      </c>
      <c r="AV228" s="25">
        <f>AD$4*(AD228-AD$3)</f>
        <v/>
      </c>
      <c r="AW228" s="25">
        <f>AE$4*(AE228-AE$3)</f>
        <v/>
      </c>
      <c r="AX228" s="25">
        <f>AF$4*(AF228-AF$3)</f>
        <v/>
      </c>
      <c r="AY228" s="25">
        <f>AG$4*(AG228-AG$3)</f>
        <v/>
      </c>
      <c r="AZ228" s="25">
        <f>AH$4*(AH228-AH$3)</f>
        <v/>
      </c>
      <c r="BA228" s="25">
        <f>AI$4*(AI228-AI$3)</f>
        <v/>
      </c>
      <c r="BB228" s="25">
        <f>AJ$4*(AJ228-AJ$3)</f>
        <v/>
      </c>
      <c r="BC228" s="25">
        <f>AK$4*(AK228-AK$3)</f>
        <v/>
      </c>
      <c r="BD228" s="26">
        <f>SUM(AL228:BC228)</f>
        <v/>
      </c>
      <c r="BE228" s="26">
        <f>INTERCEPT_SCALED+BD228</f>
        <v/>
      </c>
      <c r="BF228" s="27">
        <f>1/(1+EXP(-BE228))</f>
        <v/>
      </c>
      <c r="BG228" s="13">
        <f>1-(1-BF228)^12</f>
        <v/>
      </c>
      <c r="BH228" s="13">
        <f>IFERROR(AL228/BD228*(BG228-BASELINE_CPR),0)</f>
        <v/>
      </c>
      <c r="BI228" s="13">
        <f>IFERROR(AM228/BD228*(BG228-BASELINE_CPR),0)</f>
        <v/>
      </c>
      <c r="BJ228" s="13">
        <f>IFERROR(AN228/BD228*(BG228-BASELINE_CPR),0)</f>
        <v/>
      </c>
      <c r="BK228" s="13">
        <f>IFERROR(AO228/BD228*(BG228-BASELINE_CPR),0)</f>
        <v/>
      </c>
      <c r="BL228" s="13">
        <f>IFERROR(AP228/BD228*(BG228-BASELINE_CPR),0)</f>
        <v/>
      </c>
      <c r="BM228" s="13">
        <f>IFERROR(AQ228/BD228*(BG228-BASELINE_CPR),0)</f>
        <v/>
      </c>
      <c r="BN228" s="13">
        <f>IFERROR(AR228/BD228*(BG228-BASELINE_CPR),0)</f>
        <v/>
      </c>
      <c r="BO228" s="13">
        <f>IFERROR(AS228/BD228*(BG228-BASELINE_CPR),0)</f>
        <v/>
      </c>
      <c r="BP228" s="13">
        <f>IFERROR(AT228/BD228*(BG228-BASELINE_CPR),0)</f>
        <v/>
      </c>
      <c r="BQ228" s="13">
        <f>IFERROR(AU228/BD228*(BG228-BASELINE_CPR),0)</f>
        <v/>
      </c>
      <c r="BR228" s="13">
        <f>IFERROR(AV228/BD228*(BG228-BASELINE_CPR),0)</f>
        <v/>
      </c>
      <c r="BS228" s="13">
        <f>IFERROR(AW228/BD228*(BG228-BASELINE_CPR),0)</f>
        <v/>
      </c>
      <c r="BT228" s="13">
        <f>IFERROR(AX228/BD228*(BG228-BASELINE_CPR),0)</f>
        <v/>
      </c>
      <c r="BU228" s="13">
        <f>IFERROR(AY228/BD228*(BG228-BASELINE_CPR),0)</f>
        <v/>
      </c>
      <c r="BV228" s="13">
        <f>IFERROR(AZ228/BD228*(BG228-BASELINE_CPR),0)</f>
        <v/>
      </c>
      <c r="BW228" s="13">
        <f>IFERROR(BA228/BD228*(BG228-BASELINE_CPR),0)</f>
        <v/>
      </c>
      <c r="BX228" s="13">
        <f>IFERROR(BB228/BD228*(BG228-BASELINE_CPR),0)</f>
        <v/>
      </c>
      <c r="BY228" s="13">
        <f>IFERROR(BC228/BD228*(BG228-BASELINE_CPR),0)</f>
        <v/>
      </c>
      <c r="BZ228" s="28">
        <f>BASELINE_CPR+SUM(BH228:BY228)-BG228</f>
        <v/>
      </c>
    </row>
    <row r="229">
      <c r="A229" s="2" t="inlineStr">
        <is>
          <t>36176XXV6_000000009235736</t>
        </is>
      </c>
      <c r="B229" t="inlineStr">
        <is>
          <t>JLL_PRE21</t>
        </is>
      </c>
      <c r="C229" s="2" t="inlineStr">
        <is>
          <t>36176XXV6</t>
        </is>
      </c>
      <c r="D229" t="inlineStr">
        <is>
          <t>JLL REAL ESTATE CAPITAL, LLC</t>
        </is>
      </c>
      <c r="E229" t="inlineStr">
        <is>
          <t>223a7</t>
        </is>
      </c>
      <c r="F229" t="inlineStr">
        <is>
          <t>RP</t>
        </is>
      </c>
      <c r="G229" t="n">
        <v>2012</v>
      </c>
      <c r="H229" t="inlineStr">
        <is>
          <t>202602</t>
        </is>
      </c>
      <c r="I229" s="22" t="n">
        <v>592659.27</v>
      </c>
      <c r="J229" s="23" t="n">
        <v>3.2</v>
      </c>
      <c r="K229" s="24" t="n">
        <v>447</v>
      </c>
      <c r="L229" s="24" t="n">
        <v>0</v>
      </c>
      <c r="M229" t="n">
        <v>167</v>
      </c>
      <c r="N229" t="n">
        <v>32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s="24">
        <f>J229*100-(K229+(1+L229)*12.5)</f>
        <v/>
      </c>
      <c r="U229">
        <f>O229</f>
        <v/>
      </c>
      <c r="V229">
        <f>M229</f>
        <v/>
      </c>
      <c r="W229" s="23">
        <f>LN(1+I229)</f>
        <v/>
      </c>
      <c r="X229">
        <f>IF(G229&gt;=2021,1,0)</f>
        <v/>
      </c>
      <c r="Y229">
        <f>N229</f>
        <v/>
      </c>
      <c r="Z229" s="23">
        <f>IF(ISNUMBER(M229),N229/MAX(M229,1),0)</f>
        <v/>
      </c>
      <c r="AA229">
        <f>P229</f>
        <v/>
      </c>
      <c r="AB229">
        <f>Q229</f>
        <v/>
      </c>
      <c r="AC229">
        <f>R229</f>
        <v/>
      </c>
      <c r="AD229">
        <f>S229</f>
        <v/>
      </c>
      <c r="AE229">
        <f>IF(ISNUMBER(SEARCH("CAPITAL FUNDING",D229)),1,0)</f>
        <v/>
      </c>
      <c r="AF229">
        <f>IF(ISNUMBER(SEARCH("MERCHANTS",D229)),1,0)</f>
        <v/>
      </c>
      <c r="AG229">
        <f>IF(ISNUMBER(SEARCH("WELLS FARGO",D229)),1,0)</f>
        <v/>
      </c>
      <c r="AH229">
        <f>IF(ISNUMBER(SEARCH("WALKER",D229)),1,0)</f>
        <v/>
      </c>
      <c r="AI229">
        <f>IF(ISNUMBER(SEARCH("PNC",D229)),1,0)</f>
        <v/>
      </c>
      <c r="AJ229">
        <f>IF(ISNUMBER(SEARCH("BERKADIA",D229)),1,0)</f>
        <v/>
      </c>
      <c r="AK229">
        <f>IF(ISNUMBER(SEARCH("DWIGHT",D229)),1,0)</f>
        <v/>
      </c>
      <c r="AL229" s="25">
        <f>T$4*(T229-T$3)</f>
        <v/>
      </c>
      <c r="AM229" s="25">
        <f>U$4*(U229-U$3)</f>
        <v/>
      </c>
      <c r="AN229" s="25">
        <f>V$4*(V229-V$3)</f>
        <v/>
      </c>
      <c r="AO229" s="25">
        <f>W$4*(W229-W$3)</f>
        <v/>
      </c>
      <c r="AP229" s="25">
        <f>X$4*(X229-X$3)</f>
        <v/>
      </c>
      <c r="AQ229" s="25">
        <f>Y$4*(Y229-Y$3)</f>
        <v/>
      </c>
      <c r="AR229" s="25">
        <f>Z$4*(Z229-Z$3)</f>
        <v/>
      </c>
      <c r="AS229" s="25">
        <f>AA$4*(AA229-AA$3)</f>
        <v/>
      </c>
      <c r="AT229" s="25">
        <f>AB$4*(AB229-AB$3)</f>
        <v/>
      </c>
      <c r="AU229" s="25">
        <f>AC$4*(AC229-AC$3)</f>
        <v/>
      </c>
      <c r="AV229" s="25">
        <f>AD$4*(AD229-AD$3)</f>
        <v/>
      </c>
      <c r="AW229" s="25">
        <f>AE$4*(AE229-AE$3)</f>
        <v/>
      </c>
      <c r="AX229" s="25">
        <f>AF$4*(AF229-AF$3)</f>
        <v/>
      </c>
      <c r="AY229" s="25">
        <f>AG$4*(AG229-AG$3)</f>
        <v/>
      </c>
      <c r="AZ229" s="25">
        <f>AH$4*(AH229-AH$3)</f>
        <v/>
      </c>
      <c r="BA229" s="25">
        <f>AI$4*(AI229-AI$3)</f>
        <v/>
      </c>
      <c r="BB229" s="25">
        <f>AJ$4*(AJ229-AJ$3)</f>
        <v/>
      </c>
      <c r="BC229" s="25">
        <f>AK$4*(AK229-AK$3)</f>
        <v/>
      </c>
      <c r="BD229" s="26">
        <f>SUM(AL229:BC229)</f>
        <v/>
      </c>
      <c r="BE229" s="26">
        <f>INTERCEPT_SCALED+BD229</f>
        <v/>
      </c>
      <c r="BF229" s="27">
        <f>1/(1+EXP(-BE229))</f>
        <v/>
      </c>
      <c r="BG229" s="13">
        <f>1-(1-BF229)^12</f>
        <v/>
      </c>
      <c r="BH229" s="13">
        <f>IFERROR(AL229/BD229*(BG229-BASELINE_CPR),0)</f>
        <v/>
      </c>
      <c r="BI229" s="13">
        <f>IFERROR(AM229/BD229*(BG229-BASELINE_CPR),0)</f>
        <v/>
      </c>
      <c r="BJ229" s="13">
        <f>IFERROR(AN229/BD229*(BG229-BASELINE_CPR),0)</f>
        <v/>
      </c>
      <c r="BK229" s="13">
        <f>IFERROR(AO229/BD229*(BG229-BASELINE_CPR),0)</f>
        <v/>
      </c>
      <c r="BL229" s="13">
        <f>IFERROR(AP229/BD229*(BG229-BASELINE_CPR),0)</f>
        <v/>
      </c>
      <c r="BM229" s="13">
        <f>IFERROR(AQ229/BD229*(BG229-BASELINE_CPR),0)</f>
        <v/>
      </c>
      <c r="BN229" s="13">
        <f>IFERROR(AR229/BD229*(BG229-BASELINE_CPR),0)</f>
        <v/>
      </c>
      <c r="BO229" s="13">
        <f>IFERROR(AS229/BD229*(BG229-BASELINE_CPR),0)</f>
        <v/>
      </c>
      <c r="BP229" s="13">
        <f>IFERROR(AT229/BD229*(BG229-BASELINE_CPR),0)</f>
        <v/>
      </c>
      <c r="BQ229" s="13">
        <f>IFERROR(AU229/BD229*(BG229-BASELINE_CPR),0)</f>
        <v/>
      </c>
      <c r="BR229" s="13">
        <f>IFERROR(AV229/BD229*(BG229-BASELINE_CPR),0)</f>
        <v/>
      </c>
      <c r="BS229" s="13">
        <f>IFERROR(AW229/BD229*(BG229-BASELINE_CPR),0)</f>
        <v/>
      </c>
      <c r="BT229" s="13">
        <f>IFERROR(AX229/BD229*(BG229-BASELINE_CPR),0)</f>
        <v/>
      </c>
      <c r="BU229" s="13">
        <f>IFERROR(AY229/BD229*(BG229-BASELINE_CPR),0)</f>
        <v/>
      </c>
      <c r="BV229" s="13">
        <f>IFERROR(AZ229/BD229*(BG229-BASELINE_CPR),0)</f>
        <v/>
      </c>
      <c r="BW229" s="13">
        <f>IFERROR(BA229/BD229*(BG229-BASELINE_CPR),0)</f>
        <v/>
      </c>
      <c r="BX229" s="13">
        <f>IFERROR(BB229/BD229*(BG229-BASELINE_CPR),0)</f>
        <v/>
      </c>
      <c r="BY229" s="13">
        <f>IFERROR(BC229/BD229*(BG229-BASELINE_CPR),0)</f>
        <v/>
      </c>
      <c r="BZ229" s="28">
        <f>BASELINE_CPR+SUM(BH229:BY229)-BG229</f>
        <v/>
      </c>
    </row>
    <row r="230">
      <c r="A230" s="2" t="inlineStr">
        <is>
          <t>36194SPB8_000000009235804</t>
        </is>
      </c>
      <c r="B230" t="inlineStr">
        <is>
          <t>JLL_PRE21</t>
        </is>
      </c>
      <c r="C230" s="2" t="inlineStr">
        <is>
          <t>36194SPB8</t>
        </is>
      </c>
      <c r="D230" t="inlineStr">
        <is>
          <t>JLL REAL ESTATE CAPITAL, LLC</t>
        </is>
      </c>
      <c r="E230" t="inlineStr">
        <is>
          <t>221d4</t>
        </is>
      </c>
      <c r="F230" t="inlineStr">
        <is>
          <t>NC</t>
        </is>
      </c>
      <c r="G230" t="n">
        <v>2016</v>
      </c>
      <c r="H230" t="inlineStr">
        <is>
          <t>202602</t>
        </is>
      </c>
      <c r="I230" s="22" t="n">
        <v>9916135.029999999</v>
      </c>
      <c r="J230" s="23" t="n">
        <v>3.23</v>
      </c>
      <c r="K230" s="24" t="n">
        <v>447</v>
      </c>
      <c r="L230" s="24" t="n">
        <v>10</v>
      </c>
      <c r="M230" t="n">
        <v>116</v>
      </c>
      <c r="N230" t="n">
        <v>18</v>
      </c>
      <c r="O230" t="n">
        <v>1</v>
      </c>
      <c r="P230" t="n">
        <v>0</v>
      </c>
      <c r="Q230" t="n">
        <v>0</v>
      </c>
      <c r="R230" t="n">
        <v>0</v>
      </c>
      <c r="S230" t="n">
        <v>1</v>
      </c>
      <c r="T230" s="24">
        <f>J230*100-(K230+(1+L230)*12.5)</f>
        <v/>
      </c>
      <c r="U230">
        <f>O230</f>
        <v/>
      </c>
      <c r="V230">
        <f>M230</f>
        <v/>
      </c>
      <c r="W230" s="23">
        <f>LN(1+I230)</f>
        <v/>
      </c>
      <c r="X230">
        <f>IF(G230&gt;=2021,1,0)</f>
        <v/>
      </c>
      <c r="Y230">
        <f>N230</f>
        <v/>
      </c>
      <c r="Z230" s="23">
        <f>IF(ISNUMBER(M230),N230/MAX(M230,1),0)</f>
        <v/>
      </c>
      <c r="AA230">
        <f>P230</f>
        <v/>
      </c>
      <c r="AB230">
        <f>Q230</f>
        <v/>
      </c>
      <c r="AC230">
        <f>R230</f>
        <v/>
      </c>
      <c r="AD230">
        <f>S230</f>
        <v/>
      </c>
      <c r="AE230">
        <f>IF(ISNUMBER(SEARCH("CAPITAL FUNDING",D230)),1,0)</f>
        <v/>
      </c>
      <c r="AF230">
        <f>IF(ISNUMBER(SEARCH("MERCHANTS",D230)),1,0)</f>
        <v/>
      </c>
      <c r="AG230">
        <f>IF(ISNUMBER(SEARCH("WELLS FARGO",D230)),1,0)</f>
        <v/>
      </c>
      <c r="AH230">
        <f>IF(ISNUMBER(SEARCH("WALKER",D230)),1,0)</f>
        <v/>
      </c>
      <c r="AI230">
        <f>IF(ISNUMBER(SEARCH("PNC",D230)),1,0)</f>
        <v/>
      </c>
      <c r="AJ230">
        <f>IF(ISNUMBER(SEARCH("BERKADIA",D230)),1,0)</f>
        <v/>
      </c>
      <c r="AK230">
        <f>IF(ISNUMBER(SEARCH("DWIGHT",D230)),1,0)</f>
        <v/>
      </c>
      <c r="AL230" s="25">
        <f>T$4*(T230-T$3)</f>
        <v/>
      </c>
      <c r="AM230" s="25">
        <f>U$4*(U230-U$3)</f>
        <v/>
      </c>
      <c r="AN230" s="25">
        <f>V$4*(V230-V$3)</f>
        <v/>
      </c>
      <c r="AO230" s="25">
        <f>W$4*(W230-W$3)</f>
        <v/>
      </c>
      <c r="AP230" s="25">
        <f>X$4*(X230-X$3)</f>
        <v/>
      </c>
      <c r="AQ230" s="25">
        <f>Y$4*(Y230-Y$3)</f>
        <v/>
      </c>
      <c r="AR230" s="25">
        <f>Z$4*(Z230-Z$3)</f>
        <v/>
      </c>
      <c r="AS230" s="25">
        <f>AA$4*(AA230-AA$3)</f>
        <v/>
      </c>
      <c r="AT230" s="25">
        <f>AB$4*(AB230-AB$3)</f>
        <v/>
      </c>
      <c r="AU230" s="25">
        <f>AC$4*(AC230-AC$3)</f>
        <v/>
      </c>
      <c r="AV230" s="25">
        <f>AD$4*(AD230-AD$3)</f>
        <v/>
      </c>
      <c r="AW230" s="25">
        <f>AE$4*(AE230-AE$3)</f>
        <v/>
      </c>
      <c r="AX230" s="25">
        <f>AF$4*(AF230-AF$3)</f>
        <v/>
      </c>
      <c r="AY230" s="25">
        <f>AG$4*(AG230-AG$3)</f>
        <v/>
      </c>
      <c r="AZ230" s="25">
        <f>AH$4*(AH230-AH$3)</f>
        <v/>
      </c>
      <c r="BA230" s="25">
        <f>AI$4*(AI230-AI$3)</f>
        <v/>
      </c>
      <c r="BB230" s="25">
        <f>AJ$4*(AJ230-AJ$3)</f>
        <v/>
      </c>
      <c r="BC230" s="25">
        <f>AK$4*(AK230-AK$3)</f>
        <v/>
      </c>
      <c r="BD230" s="26">
        <f>SUM(AL230:BC230)</f>
        <v/>
      </c>
      <c r="BE230" s="26">
        <f>INTERCEPT_SCALED+BD230</f>
        <v/>
      </c>
      <c r="BF230" s="27">
        <f>1/(1+EXP(-BE230))</f>
        <v/>
      </c>
      <c r="BG230" s="13">
        <f>1-(1-BF230)^12</f>
        <v/>
      </c>
      <c r="BH230" s="13">
        <f>IFERROR(AL230/BD230*(BG230-BASELINE_CPR),0)</f>
        <v/>
      </c>
      <c r="BI230" s="13">
        <f>IFERROR(AM230/BD230*(BG230-BASELINE_CPR),0)</f>
        <v/>
      </c>
      <c r="BJ230" s="13">
        <f>IFERROR(AN230/BD230*(BG230-BASELINE_CPR),0)</f>
        <v/>
      </c>
      <c r="BK230" s="13">
        <f>IFERROR(AO230/BD230*(BG230-BASELINE_CPR),0)</f>
        <v/>
      </c>
      <c r="BL230" s="13">
        <f>IFERROR(AP230/BD230*(BG230-BASELINE_CPR),0)</f>
        <v/>
      </c>
      <c r="BM230" s="13">
        <f>IFERROR(AQ230/BD230*(BG230-BASELINE_CPR),0)</f>
        <v/>
      </c>
      <c r="BN230" s="13">
        <f>IFERROR(AR230/BD230*(BG230-BASELINE_CPR),0)</f>
        <v/>
      </c>
      <c r="BO230" s="13">
        <f>IFERROR(AS230/BD230*(BG230-BASELINE_CPR),0)</f>
        <v/>
      </c>
      <c r="BP230" s="13">
        <f>IFERROR(AT230/BD230*(BG230-BASELINE_CPR),0)</f>
        <v/>
      </c>
      <c r="BQ230" s="13">
        <f>IFERROR(AU230/BD230*(BG230-BASELINE_CPR),0)</f>
        <v/>
      </c>
      <c r="BR230" s="13">
        <f>IFERROR(AV230/BD230*(BG230-BASELINE_CPR),0)</f>
        <v/>
      </c>
      <c r="BS230" s="13">
        <f>IFERROR(AW230/BD230*(BG230-BASELINE_CPR),0)</f>
        <v/>
      </c>
      <c r="BT230" s="13">
        <f>IFERROR(AX230/BD230*(BG230-BASELINE_CPR),0)</f>
        <v/>
      </c>
      <c r="BU230" s="13">
        <f>IFERROR(AY230/BD230*(BG230-BASELINE_CPR),0)</f>
        <v/>
      </c>
      <c r="BV230" s="13">
        <f>IFERROR(AZ230/BD230*(BG230-BASELINE_CPR),0)</f>
        <v/>
      </c>
      <c r="BW230" s="13">
        <f>IFERROR(BA230/BD230*(BG230-BASELINE_CPR),0)</f>
        <v/>
      </c>
      <c r="BX230" s="13">
        <f>IFERROR(BB230/BD230*(BG230-BASELINE_CPR),0)</f>
        <v/>
      </c>
      <c r="BY230" s="13">
        <f>IFERROR(BC230/BD230*(BG230-BASELINE_CPR),0)</f>
        <v/>
      </c>
      <c r="BZ230" s="28">
        <f>BASELINE_CPR+SUM(BH230:BY230)-BG230</f>
        <v/>
      </c>
    </row>
    <row r="231">
      <c r="A231" s="2" t="inlineStr">
        <is>
          <t>3617V85B8_000000007435287</t>
        </is>
      </c>
      <c r="B231" t="inlineStr">
        <is>
          <t>JLL_POST21</t>
        </is>
      </c>
      <c r="C231" s="2" t="inlineStr">
        <is>
          <t>3617V85B8</t>
        </is>
      </c>
      <c r="D231" t="inlineStr">
        <is>
          <t>JLL REAL ESTATE CAPITAL, LLC</t>
        </is>
      </c>
      <c r="E231" t="inlineStr">
        <is>
          <t>221d4</t>
        </is>
      </c>
      <c r="F231" t="inlineStr">
        <is>
          <t>NC</t>
        </is>
      </c>
      <c r="G231" t="n">
        <v>2021</v>
      </c>
      <c r="H231" t="inlineStr">
        <is>
          <t>202602</t>
        </is>
      </c>
      <c r="I231" s="22" t="n">
        <v>18685263.1</v>
      </c>
      <c r="J231" s="23" t="n">
        <v>2.94</v>
      </c>
      <c r="K231" s="24" t="n">
        <v>447</v>
      </c>
      <c r="L231" s="24" t="n">
        <v>3</v>
      </c>
      <c r="M231" t="n">
        <v>58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s="24">
        <f>J231*100-(K231+(1+L231)*12.5)</f>
        <v/>
      </c>
      <c r="U231">
        <f>O231</f>
        <v/>
      </c>
      <c r="V231">
        <f>M231</f>
        <v/>
      </c>
      <c r="W231" s="23">
        <f>LN(1+I231)</f>
        <v/>
      </c>
      <c r="X231">
        <f>IF(G231&gt;=2021,1,0)</f>
        <v/>
      </c>
      <c r="Y231">
        <f>N231</f>
        <v/>
      </c>
      <c r="Z231" s="23">
        <f>IF(ISNUMBER(M231),N231/MAX(M231,1),0)</f>
        <v/>
      </c>
      <c r="AA231">
        <f>P231</f>
        <v/>
      </c>
      <c r="AB231">
        <f>Q231</f>
        <v/>
      </c>
      <c r="AC231">
        <f>R231</f>
        <v/>
      </c>
      <c r="AD231">
        <f>S231</f>
        <v/>
      </c>
      <c r="AE231">
        <f>IF(ISNUMBER(SEARCH("CAPITAL FUNDING",D231)),1,0)</f>
        <v/>
      </c>
      <c r="AF231">
        <f>IF(ISNUMBER(SEARCH("MERCHANTS",D231)),1,0)</f>
        <v/>
      </c>
      <c r="AG231">
        <f>IF(ISNUMBER(SEARCH("WELLS FARGO",D231)),1,0)</f>
        <v/>
      </c>
      <c r="AH231">
        <f>IF(ISNUMBER(SEARCH("WALKER",D231)),1,0)</f>
        <v/>
      </c>
      <c r="AI231">
        <f>IF(ISNUMBER(SEARCH("PNC",D231)),1,0)</f>
        <v/>
      </c>
      <c r="AJ231">
        <f>IF(ISNUMBER(SEARCH("BERKADIA",D231)),1,0)</f>
        <v/>
      </c>
      <c r="AK231">
        <f>IF(ISNUMBER(SEARCH("DWIGHT",D231)),1,0)</f>
        <v/>
      </c>
      <c r="AL231" s="25">
        <f>T$4*(T231-T$3)</f>
        <v/>
      </c>
      <c r="AM231" s="25">
        <f>U$4*(U231-U$3)</f>
        <v/>
      </c>
      <c r="AN231" s="25">
        <f>V$4*(V231-V$3)</f>
        <v/>
      </c>
      <c r="AO231" s="25">
        <f>W$4*(W231-W$3)</f>
        <v/>
      </c>
      <c r="AP231" s="25">
        <f>X$4*(X231-X$3)</f>
        <v/>
      </c>
      <c r="AQ231" s="25">
        <f>Y$4*(Y231-Y$3)</f>
        <v/>
      </c>
      <c r="AR231" s="25">
        <f>Z$4*(Z231-Z$3)</f>
        <v/>
      </c>
      <c r="AS231" s="25">
        <f>AA$4*(AA231-AA$3)</f>
        <v/>
      </c>
      <c r="AT231" s="25">
        <f>AB$4*(AB231-AB$3)</f>
        <v/>
      </c>
      <c r="AU231" s="25">
        <f>AC$4*(AC231-AC$3)</f>
        <v/>
      </c>
      <c r="AV231" s="25">
        <f>AD$4*(AD231-AD$3)</f>
        <v/>
      </c>
      <c r="AW231" s="25">
        <f>AE$4*(AE231-AE$3)</f>
        <v/>
      </c>
      <c r="AX231" s="25">
        <f>AF$4*(AF231-AF$3)</f>
        <v/>
      </c>
      <c r="AY231" s="25">
        <f>AG$4*(AG231-AG$3)</f>
        <v/>
      </c>
      <c r="AZ231" s="25">
        <f>AH$4*(AH231-AH$3)</f>
        <v/>
      </c>
      <c r="BA231" s="25">
        <f>AI$4*(AI231-AI$3)</f>
        <v/>
      </c>
      <c r="BB231" s="25">
        <f>AJ$4*(AJ231-AJ$3)</f>
        <v/>
      </c>
      <c r="BC231" s="25">
        <f>AK$4*(AK231-AK$3)</f>
        <v/>
      </c>
      <c r="BD231" s="26">
        <f>SUM(AL231:BC231)</f>
        <v/>
      </c>
      <c r="BE231" s="26">
        <f>INTERCEPT_SCALED+BD231</f>
        <v/>
      </c>
      <c r="BF231" s="27">
        <f>1/(1+EXP(-BE231))</f>
        <v/>
      </c>
      <c r="BG231" s="13">
        <f>1-(1-BF231)^12</f>
        <v/>
      </c>
      <c r="BH231" s="13">
        <f>IFERROR(AL231/BD231*(BG231-BASELINE_CPR),0)</f>
        <v/>
      </c>
      <c r="BI231" s="13">
        <f>IFERROR(AM231/BD231*(BG231-BASELINE_CPR),0)</f>
        <v/>
      </c>
      <c r="BJ231" s="13">
        <f>IFERROR(AN231/BD231*(BG231-BASELINE_CPR),0)</f>
        <v/>
      </c>
      <c r="BK231" s="13">
        <f>IFERROR(AO231/BD231*(BG231-BASELINE_CPR),0)</f>
        <v/>
      </c>
      <c r="BL231" s="13">
        <f>IFERROR(AP231/BD231*(BG231-BASELINE_CPR),0)</f>
        <v/>
      </c>
      <c r="BM231" s="13">
        <f>IFERROR(AQ231/BD231*(BG231-BASELINE_CPR),0)</f>
        <v/>
      </c>
      <c r="BN231" s="13">
        <f>IFERROR(AR231/BD231*(BG231-BASELINE_CPR),0)</f>
        <v/>
      </c>
      <c r="BO231" s="13">
        <f>IFERROR(AS231/BD231*(BG231-BASELINE_CPR),0)</f>
        <v/>
      </c>
      <c r="BP231" s="13">
        <f>IFERROR(AT231/BD231*(BG231-BASELINE_CPR),0)</f>
        <v/>
      </c>
      <c r="BQ231" s="13">
        <f>IFERROR(AU231/BD231*(BG231-BASELINE_CPR),0)</f>
        <v/>
      </c>
      <c r="BR231" s="13">
        <f>IFERROR(AV231/BD231*(BG231-BASELINE_CPR),0)</f>
        <v/>
      </c>
      <c r="BS231" s="13">
        <f>IFERROR(AW231/BD231*(BG231-BASELINE_CPR),0)</f>
        <v/>
      </c>
      <c r="BT231" s="13">
        <f>IFERROR(AX231/BD231*(BG231-BASELINE_CPR),0)</f>
        <v/>
      </c>
      <c r="BU231" s="13">
        <f>IFERROR(AY231/BD231*(BG231-BASELINE_CPR),0)</f>
        <v/>
      </c>
      <c r="BV231" s="13">
        <f>IFERROR(AZ231/BD231*(BG231-BASELINE_CPR),0)</f>
        <v/>
      </c>
      <c r="BW231" s="13">
        <f>IFERROR(BA231/BD231*(BG231-BASELINE_CPR),0)</f>
        <v/>
      </c>
      <c r="BX231" s="13">
        <f>IFERROR(BB231/BD231*(BG231-BASELINE_CPR),0)</f>
        <v/>
      </c>
      <c r="BY231" s="13">
        <f>IFERROR(BC231/BD231*(BG231-BASELINE_CPR),0)</f>
        <v/>
      </c>
      <c r="BZ231" s="28">
        <f>BASELINE_CPR+SUM(BH231:BY231)-BG231</f>
        <v/>
      </c>
    </row>
    <row r="232">
      <c r="A232" s="2" t="inlineStr">
        <is>
          <t>3617YPGN9_000000009222198</t>
        </is>
      </c>
      <c r="B232" t="inlineStr">
        <is>
          <t>JLL_POST21</t>
        </is>
      </c>
      <c r="C232" s="2" t="inlineStr">
        <is>
          <t>3617YPGN9</t>
        </is>
      </c>
      <c r="D232" t="inlineStr">
        <is>
          <t>JLL REAL ESTATE CAPITAL, LLC</t>
        </is>
      </c>
      <c r="E232" t="inlineStr">
        <is>
          <t>232</t>
        </is>
      </c>
      <c r="F232" t="inlineStr">
        <is>
          <t>RP</t>
        </is>
      </c>
      <c r="G232" t="n">
        <v>2024</v>
      </c>
      <c r="H232" t="inlineStr">
        <is>
          <t>202602</t>
        </is>
      </c>
      <c r="I232" s="22" t="n">
        <v>3738663.02</v>
      </c>
      <c r="J232" s="23" t="n">
        <v>6.28</v>
      </c>
      <c r="K232" s="24" t="n">
        <v>447</v>
      </c>
      <c r="L232" s="24" t="n">
        <v>9</v>
      </c>
      <c r="M232" t="n">
        <v>21</v>
      </c>
      <c r="N232" t="n">
        <v>10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s="24">
        <f>J232*100-(K232+(1+L232)*12.5)</f>
        <v/>
      </c>
      <c r="U232">
        <f>O232</f>
        <v/>
      </c>
      <c r="V232">
        <f>M232</f>
        <v/>
      </c>
      <c r="W232" s="23">
        <f>LN(1+I232)</f>
        <v/>
      </c>
      <c r="X232">
        <f>IF(G232&gt;=2021,1,0)</f>
        <v/>
      </c>
      <c r="Y232">
        <f>N232</f>
        <v/>
      </c>
      <c r="Z232" s="23">
        <f>IF(ISNUMBER(M232),N232/MAX(M232,1),0)</f>
        <v/>
      </c>
      <c r="AA232">
        <f>P232</f>
        <v/>
      </c>
      <c r="AB232">
        <f>Q232</f>
        <v/>
      </c>
      <c r="AC232">
        <f>R232</f>
        <v/>
      </c>
      <c r="AD232">
        <f>S232</f>
        <v/>
      </c>
      <c r="AE232">
        <f>IF(ISNUMBER(SEARCH("CAPITAL FUNDING",D232)),1,0)</f>
        <v/>
      </c>
      <c r="AF232">
        <f>IF(ISNUMBER(SEARCH("MERCHANTS",D232)),1,0)</f>
        <v/>
      </c>
      <c r="AG232">
        <f>IF(ISNUMBER(SEARCH("WELLS FARGO",D232)),1,0)</f>
        <v/>
      </c>
      <c r="AH232">
        <f>IF(ISNUMBER(SEARCH("WALKER",D232)),1,0)</f>
        <v/>
      </c>
      <c r="AI232">
        <f>IF(ISNUMBER(SEARCH("PNC",D232)),1,0)</f>
        <v/>
      </c>
      <c r="AJ232">
        <f>IF(ISNUMBER(SEARCH("BERKADIA",D232)),1,0)</f>
        <v/>
      </c>
      <c r="AK232">
        <f>IF(ISNUMBER(SEARCH("DWIGHT",D232)),1,0)</f>
        <v/>
      </c>
      <c r="AL232" s="25">
        <f>T$4*(T232-T$3)</f>
        <v/>
      </c>
      <c r="AM232" s="25">
        <f>U$4*(U232-U$3)</f>
        <v/>
      </c>
      <c r="AN232" s="25">
        <f>V$4*(V232-V$3)</f>
        <v/>
      </c>
      <c r="AO232" s="25">
        <f>W$4*(W232-W$3)</f>
        <v/>
      </c>
      <c r="AP232" s="25">
        <f>X$4*(X232-X$3)</f>
        <v/>
      </c>
      <c r="AQ232" s="25">
        <f>Y$4*(Y232-Y$3)</f>
        <v/>
      </c>
      <c r="AR232" s="25">
        <f>Z$4*(Z232-Z$3)</f>
        <v/>
      </c>
      <c r="AS232" s="25">
        <f>AA$4*(AA232-AA$3)</f>
        <v/>
      </c>
      <c r="AT232" s="25">
        <f>AB$4*(AB232-AB$3)</f>
        <v/>
      </c>
      <c r="AU232" s="25">
        <f>AC$4*(AC232-AC$3)</f>
        <v/>
      </c>
      <c r="AV232" s="25">
        <f>AD$4*(AD232-AD$3)</f>
        <v/>
      </c>
      <c r="AW232" s="25">
        <f>AE$4*(AE232-AE$3)</f>
        <v/>
      </c>
      <c r="AX232" s="25">
        <f>AF$4*(AF232-AF$3)</f>
        <v/>
      </c>
      <c r="AY232" s="25">
        <f>AG$4*(AG232-AG$3)</f>
        <v/>
      </c>
      <c r="AZ232" s="25">
        <f>AH$4*(AH232-AH$3)</f>
        <v/>
      </c>
      <c r="BA232" s="25">
        <f>AI$4*(AI232-AI$3)</f>
        <v/>
      </c>
      <c r="BB232" s="25">
        <f>AJ$4*(AJ232-AJ$3)</f>
        <v/>
      </c>
      <c r="BC232" s="25">
        <f>AK$4*(AK232-AK$3)</f>
        <v/>
      </c>
      <c r="BD232" s="26">
        <f>SUM(AL232:BC232)</f>
        <v/>
      </c>
      <c r="BE232" s="26">
        <f>INTERCEPT_SCALED+BD232</f>
        <v/>
      </c>
      <c r="BF232" s="27">
        <f>1/(1+EXP(-BE232))</f>
        <v/>
      </c>
      <c r="BG232" s="13">
        <f>1-(1-BF232)^12</f>
        <v/>
      </c>
      <c r="BH232" s="13">
        <f>IFERROR(AL232/BD232*(BG232-BASELINE_CPR),0)</f>
        <v/>
      </c>
      <c r="BI232" s="13">
        <f>IFERROR(AM232/BD232*(BG232-BASELINE_CPR),0)</f>
        <v/>
      </c>
      <c r="BJ232" s="13">
        <f>IFERROR(AN232/BD232*(BG232-BASELINE_CPR),0)</f>
        <v/>
      </c>
      <c r="BK232" s="13">
        <f>IFERROR(AO232/BD232*(BG232-BASELINE_CPR),0)</f>
        <v/>
      </c>
      <c r="BL232" s="13">
        <f>IFERROR(AP232/BD232*(BG232-BASELINE_CPR),0)</f>
        <v/>
      </c>
      <c r="BM232" s="13">
        <f>IFERROR(AQ232/BD232*(BG232-BASELINE_CPR),0)</f>
        <v/>
      </c>
      <c r="BN232" s="13">
        <f>IFERROR(AR232/BD232*(BG232-BASELINE_CPR),0)</f>
        <v/>
      </c>
      <c r="BO232" s="13">
        <f>IFERROR(AS232/BD232*(BG232-BASELINE_CPR),0)</f>
        <v/>
      </c>
      <c r="BP232" s="13">
        <f>IFERROR(AT232/BD232*(BG232-BASELINE_CPR),0)</f>
        <v/>
      </c>
      <c r="BQ232" s="13">
        <f>IFERROR(AU232/BD232*(BG232-BASELINE_CPR),0)</f>
        <v/>
      </c>
      <c r="BR232" s="13">
        <f>IFERROR(AV232/BD232*(BG232-BASELINE_CPR),0)</f>
        <v/>
      </c>
      <c r="BS232" s="13">
        <f>IFERROR(AW232/BD232*(BG232-BASELINE_CPR),0)</f>
        <v/>
      </c>
      <c r="BT232" s="13">
        <f>IFERROR(AX232/BD232*(BG232-BASELINE_CPR),0)</f>
        <v/>
      </c>
      <c r="BU232" s="13">
        <f>IFERROR(AY232/BD232*(BG232-BASELINE_CPR),0)</f>
        <v/>
      </c>
      <c r="BV232" s="13">
        <f>IFERROR(AZ232/BD232*(BG232-BASELINE_CPR),0)</f>
        <v/>
      </c>
      <c r="BW232" s="13">
        <f>IFERROR(BA232/BD232*(BG232-BASELINE_CPR),0)</f>
        <v/>
      </c>
      <c r="BX232" s="13">
        <f>IFERROR(BB232/BD232*(BG232-BASELINE_CPR),0)</f>
        <v/>
      </c>
      <c r="BY232" s="13">
        <f>IFERROR(BC232/BD232*(BG232-BASELINE_CPR),0)</f>
        <v/>
      </c>
      <c r="BZ232" s="28">
        <f>BASELINE_CPR+SUM(BH232:BY232)-BG232</f>
        <v/>
      </c>
    </row>
    <row r="233">
      <c r="A233" s="2" t="inlineStr">
        <is>
          <t>36181YSU5_000000009211383</t>
        </is>
      </c>
      <c r="B233" t="inlineStr">
        <is>
          <t>JLL_PRE21</t>
        </is>
      </c>
      <c r="C233" s="2" t="inlineStr">
        <is>
          <t>36181YSU5</t>
        </is>
      </c>
      <c r="D233" t="inlineStr">
        <is>
          <t>JLL REAL ESTATE CAPITAL, LLC</t>
        </is>
      </c>
      <c r="E233" t="inlineStr">
        <is>
          <t>223f</t>
        </is>
      </c>
      <c r="F233" t="inlineStr">
        <is>
          <t>RP</t>
        </is>
      </c>
      <c r="G233" t="n">
        <v>2014</v>
      </c>
      <c r="H233" t="inlineStr">
        <is>
          <t>202602</t>
        </is>
      </c>
      <c r="I233" s="22" t="n">
        <v>1648930.28</v>
      </c>
      <c r="J233" s="23" t="n">
        <v>3.89</v>
      </c>
      <c r="K233" s="24" t="n">
        <v>447</v>
      </c>
      <c r="L233" s="24" t="n">
        <v>0</v>
      </c>
      <c r="M233" t="n">
        <v>142</v>
      </c>
      <c r="N233" t="n">
        <v>44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s="24">
        <f>J233*100-(K233+(1+L233)*12.5)</f>
        <v/>
      </c>
      <c r="U233">
        <f>O233</f>
        <v/>
      </c>
      <c r="V233">
        <f>M233</f>
        <v/>
      </c>
      <c r="W233" s="23">
        <f>LN(1+I233)</f>
        <v/>
      </c>
      <c r="X233">
        <f>IF(G233&gt;=2021,1,0)</f>
        <v/>
      </c>
      <c r="Y233">
        <f>N233</f>
        <v/>
      </c>
      <c r="Z233" s="23">
        <f>IF(ISNUMBER(M233),N233/MAX(M233,1),0)</f>
        <v/>
      </c>
      <c r="AA233">
        <f>P233</f>
        <v/>
      </c>
      <c r="AB233">
        <f>Q233</f>
        <v/>
      </c>
      <c r="AC233">
        <f>R233</f>
        <v/>
      </c>
      <c r="AD233">
        <f>S233</f>
        <v/>
      </c>
      <c r="AE233">
        <f>IF(ISNUMBER(SEARCH("CAPITAL FUNDING",D233)),1,0)</f>
        <v/>
      </c>
      <c r="AF233">
        <f>IF(ISNUMBER(SEARCH("MERCHANTS",D233)),1,0)</f>
        <v/>
      </c>
      <c r="AG233">
        <f>IF(ISNUMBER(SEARCH("WELLS FARGO",D233)),1,0)</f>
        <v/>
      </c>
      <c r="AH233">
        <f>IF(ISNUMBER(SEARCH("WALKER",D233)),1,0)</f>
        <v/>
      </c>
      <c r="AI233">
        <f>IF(ISNUMBER(SEARCH("PNC",D233)),1,0)</f>
        <v/>
      </c>
      <c r="AJ233">
        <f>IF(ISNUMBER(SEARCH("BERKADIA",D233)),1,0)</f>
        <v/>
      </c>
      <c r="AK233">
        <f>IF(ISNUMBER(SEARCH("DWIGHT",D233)),1,0)</f>
        <v/>
      </c>
      <c r="AL233" s="25">
        <f>T$4*(T233-T$3)</f>
        <v/>
      </c>
      <c r="AM233" s="25">
        <f>U$4*(U233-U$3)</f>
        <v/>
      </c>
      <c r="AN233" s="25">
        <f>V$4*(V233-V$3)</f>
        <v/>
      </c>
      <c r="AO233" s="25">
        <f>W$4*(W233-W$3)</f>
        <v/>
      </c>
      <c r="AP233" s="25">
        <f>X$4*(X233-X$3)</f>
        <v/>
      </c>
      <c r="AQ233" s="25">
        <f>Y$4*(Y233-Y$3)</f>
        <v/>
      </c>
      <c r="AR233" s="25">
        <f>Z$4*(Z233-Z$3)</f>
        <v/>
      </c>
      <c r="AS233" s="25">
        <f>AA$4*(AA233-AA$3)</f>
        <v/>
      </c>
      <c r="AT233" s="25">
        <f>AB$4*(AB233-AB$3)</f>
        <v/>
      </c>
      <c r="AU233" s="25">
        <f>AC$4*(AC233-AC$3)</f>
        <v/>
      </c>
      <c r="AV233" s="25">
        <f>AD$4*(AD233-AD$3)</f>
        <v/>
      </c>
      <c r="AW233" s="25">
        <f>AE$4*(AE233-AE$3)</f>
        <v/>
      </c>
      <c r="AX233" s="25">
        <f>AF$4*(AF233-AF$3)</f>
        <v/>
      </c>
      <c r="AY233" s="25">
        <f>AG$4*(AG233-AG$3)</f>
        <v/>
      </c>
      <c r="AZ233" s="25">
        <f>AH$4*(AH233-AH$3)</f>
        <v/>
      </c>
      <c r="BA233" s="25">
        <f>AI$4*(AI233-AI$3)</f>
        <v/>
      </c>
      <c r="BB233" s="25">
        <f>AJ$4*(AJ233-AJ$3)</f>
        <v/>
      </c>
      <c r="BC233" s="25">
        <f>AK$4*(AK233-AK$3)</f>
        <v/>
      </c>
      <c r="BD233" s="26">
        <f>SUM(AL233:BC233)</f>
        <v/>
      </c>
      <c r="BE233" s="26">
        <f>INTERCEPT_SCALED+BD233</f>
        <v/>
      </c>
      <c r="BF233" s="27">
        <f>1/(1+EXP(-BE233))</f>
        <v/>
      </c>
      <c r="BG233" s="13">
        <f>1-(1-BF233)^12</f>
        <v/>
      </c>
      <c r="BH233" s="13">
        <f>IFERROR(AL233/BD233*(BG233-BASELINE_CPR),0)</f>
        <v/>
      </c>
      <c r="BI233" s="13">
        <f>IFERROR(AM233/BD233*(BG233-BASELINE_CPR),0)</f>
        <v/>
      </c>
      <c r="BJ233" s="13">
        <f>IFERROR(AN233/BD233*(BG233-BASELINE_CPR),0)</f>
        <v/>
      </c>
      <c r="BK233" s="13">
        <f>IFERROR(AO233/BD233*(BG233-BASELINE_CPR),0)</f>
        <v/>
      </c>
      <c r="BL233" s="13">
        <f>IFERROR(AP233/BD233*(BG233-BASELINE_CPR),0)</f>
        <v/>
      </c>
      <c r="BM233" s="13">
        <f>IFERROR(AQ233/BD233*(BG233-BASELINE_CPR),0)</f>
        <v/>
      </c>
      <c r="BN233" s="13">
        <f>IFERROR(AR233/BD233*(BG233-BASELINE_CPR),0)</f>
        <v/>
      </c>
      <c r="BO233" s="13">
        <f>IFERROR(AS233/BD233*(BG233-BASELINE_CPR),0)</f>
        <v/>
      </c>
      <c r="BP233" s="13">
        <f>IFERROR(AT233/BD233*(BG233-BASELINE_CPR),0)</f>
        <v/>
      </c>
      <c r="BQ233" s="13">
        <f>IFERROR(AU233/BD233*(BG233-BASELINE_CPR),0)</f>
        <v/>
      </c>
      <c r="BR233" s="13">
        <f>IFERROR(AV233/BD233*(BG233-BASELINE_CPR),0)</f>
        <v/>
      </c>
      <c r="BS233" s="13">
        <f>IFERROR(AW233/BD233*(BG233-BASELINE_CPR),0)</f>
        <v/>
      </c>
      <c r="BT233" s="13">
        <f>IFERROR(AX233/BD233*(BG233-BASELINE_CPR),0)</f>
        <v/>
      </c>
      <c r="BU233" s="13">
        <f>IFERROR(AY233/BD233*(BG233-BASELINE_CPR),0)</f>
        <v/>
      </c>
      <c r="BV233" s="13">
        <f>IFERROR(AZ233/BD233*(BG233-BASELINE_CPR),0)</f>
        <v/>
      </c>
      <c r="BW233" s="13">
        <f>IFERROR(BA233/BD233*(BG233-BASELINE_CPR),0)</f>
        <v/>
      </c>
      <c r="BX233" s="13">
        <f>IFERROR(BB233/BD233*(BG233-BASELINE_CPR),0)</f>
        <v/>
      </c>
      <c r="BY233" s="13">
        <f>IFERROR(BC233/BD233*(BG233-BASELINE_CPR),0)</f>
        <v/>
      </c>
      <c r="BZ233" s="28">
        <f>BASELINE_CPR+SUM(BH233:BY233)-BG233</f>
        <v/>
      </c>
    </row>
    <row r="234">
      <c r="A234" s="2" t="inlineStr">
        <is>
          <t>3617V85S1_000000011311457</t>
        </is>
      </c>
      <c r="B234" t="inlineStr">
        <is>
          <t>JLL_POST21</t>
        </is>
      </c>
      <c r="C234" s="2" t="inlineStr">
        <is>
          <t>3617V85S1</t>
        </is>
      </c>
      <c r="D234" t="inlineStr">
        <is>
          <t>JLL REAL ESTATE CAPITAL, LLC</t>
        </is>
      </c>
      <c r="E234" t="inlineStr">
        <is>
          <t>223f</t>
        </is>
      </c>
      <c r="F234" t="inlineStr">
        <is>
          <t>RP</t>
        </is>
      </c>
      <c r="G234" t="n">
        <v>2021</v>
      </c>
      <c r="H234" t="inlineStr">
        <is>
          <t>202602</t>
        </is>
      </c>
      <c r="I234" s="22" t="n">
        <v>5024963.75</v>
      </c>
      <c r="J234" s="23" t="n">
        <v>2.42</v>
      </c>
      <c r="K234" s="24" t="n">
        <v>447</v>
      </c>
      <c r="L234" s="24" t="n">
        <v>1</v>
      </c>
      <c r="M234" t="n">
        <v>55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s="24">
        <f>J234*100-(K234+(1+L234)*12.5)</f>
        <v/>
      </c>
      <c r="U234">
        <f>O234</f>
        <v/>
      </c>
      <c r="V234">
        <f>M234</f>
        <v/>
      </c>
      <c r="W234" s="23">
        <f>LN(1+I234)</f>
        <v/>
      </c>
      <c r="X234">
        <f>IF(G234&gt;=2021,1,0)</f>
        <v/>
      </c>
      <c r="Y234">
        <f>N234</f>
        <v/>
      </c>
      <c r="Z234" s="23">
        <f>IF(ISNUMBER(M234),N234/MAX(M234,1),0)</f>
        <v/>
      </c>
      <c r="AA234">
        <f>P234</f>
        <v/>
      </c>
      <c r="AB234">
        <f>Q234</f>
        <v/>
      </c>
      <c r="AC234">
        <f>R234</f>
        <v/>
      </c>
      <c r="AD234">
        <f>S234</f>
        <v/>
      </c>
      <c r="AE234">
        <f>IF(ISNUMBER(SEARCH("CAPITAL FUNDING",D234)),1,0)</f>
        <v/>
      </c>
      <c r="AF234">
        <f>IF(ISNUMBER(SEARCH("MERCHANTS",D234)),1,0)</f>
        <v/>
      </c>
      <c r="AG234">
        <f>IF(ISNUMBER(SEARCH("WELLS FARGO",D234)),1,0)</f>
        <v/>
      </c>
      <c r="AH234">
        <f>IF(ISNUMBER(SEARCH("WALKER",D234)),1,0)</f>
        <v/>
      </c>
      <c r="AI234">
        <f>IF(ISNUMBER(SEARCH("PNC",D234)),1,0)</f>
        <v/>
      </c>
      <c r="AJ234">
        <f>IF(ISNUMBER(SEARCH("BERKADIA",D234)),1,0)</f>
        <v/>
      </c>
      <c r="AK234">
        <f>IF(ISNUMBER(SEARCH("DWIGHT",D234)),1,0)</f>
        <v/>
      </c>
      <c r="AL234" s="25">
        <f>T$4*(T234-T$3)</f>
        <v/>
      </c>
      <c r="AM234" s="25">
        <f>U$4*(U234-U$3)</f>
        <v/>
      </c>
      <c r="AN234" s="25">
        <f>V$4*(V234-V$3)</f>
        <v/>
      </c>
      <c r="AO234" s="25">
        <f>W$4*(W234-W$3)</f>
        <v/>
      </c>
      <c r="AP234" s="25">
        <f>X$4*(X234-X$3)</f>
        <v/>
      </c>
      <c r="AQ234" s="25">
        <f>Y$4*(Y234-Y$3)</f>
        <v/>
      </c>
      <c r="AR234" s="25">
        <f>Z$4*(Z234-Z$3)</f>
        <v/>
      </c>
      <c r="AS234" s="25">
        <f>AA$4*(AA234-AA$3)</f>
        <v/>
      </c>
      <c r="AT234" s="25">
        <f>AB$4*(AB234-AB$3)</f>
        <v/>
      </c>
      <c r="AU234" s="25">
        <f>AC$4*(AC234-AC$3)</f>
        <v/>
      </c>
      <c r="AV234" s="25">
        <f>AD$4*(AD234-AD$3)</f>
        <v/>
      </c>
      <c r="AW234" s="25">
        <f>AE$4*(AE234-AE$3)</f>
        <v/>
      </c>
      <c r="AX234" s="25">
        <f>AF$4*(AF234-AF$3)</f>
        <v/>
      </c>
      <c r="AY234" s="25">
        <f>AG$4*(AG234-AG$3)</f>
        <v/>
      </c>
      <c r="AZ234" s="25">
        <f>AH$4*(AH234-AH$3)</f>
        <v/>
      </c>
      <c r="BA234" s="25">
        <f>AI$4*(AI234-AI$3)</f>
        <v/>
      </c>
      <c r="BB234" s="25">
        <f>AJ$4*(AJ234-AJ$3)</f>
        <v/>
      </c>
      <c r="BC234" s="25">
        <f>AK$4*(AK234-AK$3)</f>
        <v/>
      </c>
      <c r="BD234" s="26">
        <f>SUM(AL234:BC234)</f>
        <v/>
      </c>
      <c r="BE234" s="26">
        <f>INTERCEPT_SCALED+BD234</f>
        <v/>
      </c>
      <c r="BF234" s="27">
        <f>1/(1+EXP(-BE234))</f>
        <v/>
      </c>
      <c r="BG234" s="13">
        <f>1-(1-BF234)^12</f>
        <v/>
      </c>
      <c r="BH234" s="13">
        <f>IFERROR(AL234/BD234*(BG234-BASELINE_CPR),0)</f>
        <v/>
      </c>
      <c r="BI234" s="13">
        <f>IFERROR(AM234/BD234*(BG234-BASELINE_CPR),0)</f>
        <v/>
      </c>
      <c r="BJ234" s="13">
        <f>IFERROR(AN234/BD234*(BG234-BASELINE_CPR),0)</f>
        <v/>
      </c>
      <c r="BK234" s="13">
        <f>IFERROR(AO234/BD234*(BG234-BASELINE_CPR),0)</f>
        <v/>
      </c>
      <c r="BL234" s="13">
        <f>IFERROR(AP234/BD234*(BG234-BASELINE_CPR),0)</f>
        <v/>
      </c>
      <c r="BM234" s="13">
        <f>IFERROR(AQ234/BD234*(BG234-BASELINE_CPR),0)</f>
        <v/>
      </c>
      <c r="BN234" s="13">
        <f>IFERROR(AR234/BD234*(BG234-BASELINE_CPR),0)</f>
        <v/>
      </c>
      <c r="BO234" s="13">
        <f>IFERROR(AS234/BD234*(BG234-BASELINE_CPR),0)</f>
        <v/>
      </c>
      <c r="BP234" s="13">
        <f>IFERROR(AT234/BD234*(BG234-BASELINE_CPR),0)</f>
        <v/>
      </c>
      <c r="BQ234" s="13">
        <f>IFERROR(AU234/BD234*(BG234-BASELINE_CPR),0)</f>
        <v/>
      </c>
      <c r="BR234" s="13">
        <f>IFERROR(AV234/BD234*(BG234-BASELINE_CPR),0)</f>
        <v/>
      </c>
      <c r="BS234" s="13">
        <f>IFERROR(AW234/BD234*(BG234-BASELINE_CPR),0)</f>
        <v/>
      </c>
      <c r="BT234" s="13">
        <f>IFERROR(AX234/BD234*(BG234-BASELINE_CPR),0)</f>
        <v/>
      </c>
      <c r="BU234" s="13">
        <f>IFERROR(AY234/BD234*(BG234-BASELINE_CPR),0)</f>
        <v/>
      </c>
      <c r="BV234" s="13">
        <f>IFERROR(AZ234/BD234*(BG234-BASELINE_CPR),0)</f>
        <v/>
      </c>
      <c r="BW234" s="13">
        <f>IFERROR(BA234/BD234*(BG234-BASELINE_CPR),0)</f>
        <v/>
      </c>
      <c r="BX234" s="13">
        <f>IFERROR(BB234/BD234*(BG234-BASELINE_CPR),0)</f>
        <v/>
      </c>
      <c r="BY234" s="13">
        <f>IFERROR(BC234/BD234*(BG234-BASELINE_CPR),0)</f>
        <v/>
      </c>
      <c r="BZ234" s="28">
        <f>BASELINE_CPR+SUM(BH234:BY234)-BG234</f>
        <v/>
      </c>
    </row>
    <row r="235">
      <c r="A235" s="2" t="inlineStr">
        <is>
          <t>3620C2ZC1_000000007143246</t>
        </is>
      </c>
      <c r="B235" t="inlineStr">
        <is>
          <t>JLL_PRE21</t>
        </is>
      </c>
      <c r="C235" s="2" t="inlineStr">
        <is>
          <t>3620C2ZC1</t>
        </is>
      </c>
      <c r="D235" t="inlineStr">
        <is>
          <t>JLL REAL ESTATE CAPITAL, LLC</t>
        </is>
      </c>
      <c r="E235" t="inlineStr">
        <is>
          <t>232</t>
        </is>
      </c>
      <c r="F235" t="inlineStr">
        <is>
          <t>RP</t>
        </is>
      </c>
      <c r="G235" t="n">
        <v>2011</v>
      </c>
      <c r="H235" t="inlineStr">
        <is>
          <t>202602</t>
        </is>
      </c>
      <c r="I235" s="22" t="n">
        <v>6745844.71</v>
      </c>
      <c r="J235" s="23" t="n">
        <v>3.88</v>
      </c>
      <c r="K235" s="24" t="n">
        <v>447</v>
      </c>
      <c r="L235" s="24" t="n">
        <v>0</v>
      </c>
      <c r="M235" t="n">
        <v>174</v>
      </c>
      <c r="N235" t="n">
        <v>41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s="24">
        <f>J235*100-(K235+(1+L235)*12.5)</f>
        <v/>
      </c>
      <c r="U235">
        <f>O235</f>
        <v/>
      </c>
      <c r="V235">
        <f>M235</f>
        <v/>
      </c>
      <c r="W235" s="23">
        <f>LN(1+I235)</f>
        <v/>
      </c>
      <c r="X235">
        <f>IF(G235&gt;=2021,1,0)</f>
        <v/>
      </c>
      <c r="Y235">
        <f>N235</f>
        <v/>
      </c>
      <c r="Z235" s="23">
        <f>IF(ISNUMBER(M235),N235/MAX(M235,1),0)</f>
        <v/>
      </c>
      <c r="AA235">
        <f>P235</f>
        <v/>
      </c>
      <c r="AB235">
        <f>Q235</f>
        <v/>
      </c>
      <c r="AC235">
        <f>R235</f>
        <v/>
      </c>
      <c r="AD235">
        <f>S235</f>
        <v/>
      </c>
      <c r="AE235">
        <f>IF(ISNUMBER(SEARCH("CAPITAL FUNDING",D235)),1,0)</f>
        <v/>
      </c>
      <c r="AF235">
        <f>IF(ISNUMBER(SEARCH("MERCHANTS",D235)),1,0)</f>
        <v/>
      </c>
      <c r="AG235">
        <f>IF(ISNUMBER(SEARCH("WELLS FARGO",D235)),1,0)</f>
        <v/>
      </c>
      <c r="AH235">
        <f>IF(ISNUMBER(SEARCH("WALKER",D235)),1,0)</f>
        <v/>
      </c>
      <c r="AI235">
        <f>IF(ISNUMBER(SEARCH("PNC",D235)),1,0)</f>
        <v/>
      </c>
      <c r="AJ235">
        <f>IF(ISNUMBER(SEARCH("BERKADIA",D235)),1,0)</f>
        <v/>
      </c>
      <c r="AK235">
        <f>IF(ISNUMBER(SEARCH("DWIGHT",D235)),1,0)</f>
        <v/>
      </c>
      <c r="AL235" s="25">
        <f>T$4*(T235-T$3)</f>
        <v/>
      </c>
      <c r="AM235" s="25">
        <f>U$4*(U235-U$3)</f>
        <v/>
      </c>
      <c r="AN235" s="25">
        <f>V$4*(V235-V$3)</f>
        <v/>
      </c>
      <c r="AO235" s="25">
        <f>W$4*(W235-W$3)</f>
        <v/>
      </c>
      <c r="AP235" s="25">
        <f>X$4*(X235-X$3)</f>
        <v/>
      </c>
      <c r="AQ235" s="25">
        <f>Y$4*(Y235-Y$3)</f>
        <v/>
      </c>
      <c r="AR235" s="25">
        <f>Z$4*(Z235-Z$3)</f>
        <v/>
      </c>
      <c r="AS235" s="25">
        <f>AA$4*(AA235-AA$3)</f>
        <v/>
      </c>
      <c r="AT235" s="25">
        <f>AB$4*(AB235-AB$3)</f>
        <v/>
      </c>
      <c r="AU235" s="25">
        <f>AC$4*(AC235-AC$3)</f>
        <v/>
      </c>
      <c r="AV235" s="25">
        <f>AD$4*(AD235-AD$3)</f>
        <v/>
      </c>
      <c r="AW235" s="25">
        <f>AE$4*(AE235-AE$3)</f>
        <v/>
      </c>
      <c r="AX235" s="25">
        <f>AF$4*(AF235-AF$3)</f>
        <v/>
      </c>
      <c r="AY235" s="25">
        <f>AG$4*(AG235-AG$3)</f>
        <v/>
      </c>
      <c r="AZ235" s="25">
        <f>AH$4*(AH235-AH$3)</f>
        <v/>
      </c>
      <c r="BA235" s="25">
        <f>AI$4*(AI235-AI$3)</f>
        <v/>
      </c>
      <c r="BB235" s="25">
        <f>AJ$4*(AJ235-AJ$3)</f>
        <v/>
      </c>
      <c r="BC235" s="25">
        <f>AK$4*(AK235-AK$3)</f>
        <v/>
      </c>
      <c r="BD235" s="26">
        <f>SUM(AL235:BC235)</f>
        <v/>
      </c>
      <c r="BE235" s="26">
        <f>INTERCEPT_SCALED+BD235</f>
        <v/>
      </c>
      <c r="BF235" s="27">
        <f>1/(1+EXP(-BE235))</f>
        <v/>
      </c>
      <c r="BG235" s="13">
        <f>1-(1-BF235)^12</f>
        <v/>
      </c>
      <c r="BH235" s="13">
        <f>IFERROR(AL235/BD235*(BG235-BASELINE_CPR),0)</f>
        <v/>
      </c>
      <c r="BI235" s="13">
        <f>IFERROR(AM235/BD235*(BG235-BASELINE_CPR),0)</f>
        <v/>
      </c>
      <c r="BJ235" s="13">
        <f>IFERROR(AN235/BD235*(BG235-BASELINE_CPR),0)</f>
        <v/>
      </c>
      <c r="BK235" s="13">
        <f>IFERROR(AO235/BD235*(BG235-BASELINE_CPR),0)</f>
        <v/>
      </c>
      <c r="BL235" s="13">
        <f>IFERROR(AP235/BD235*(BG235-BASELINE_CPR),0)</f>
        <v/>
      </c>
      <c r="BM235" s="13">
        <f>IFERROR(AQ235/BD235*(BG235-BASELINE_CPR),0)</f>
        <v/>
      </c>
      <c r="BN235" s="13">
        <f>IFERROR(AR235/BD235*(BG235-BASELINE_CPR),0)</f>
        <v/>
      </c>
      <c r="BO235" s="13">
        <f>IFERROR(AS235/BD235*(BG235-BASELINE_CPR),0)</f>
        <v/>
      </c>
      <c r="BP235" s="13">
        <f>IFERROR(AT235/BD235*(BG235-BASELINE_CPR),0)</f>
        <v/>
      </c>
      <c r="BQ235" s="13">
        <f>IFERROR(AU235/BD235*(BG235-BASELINE_CPR),0)</f>
        <v/>
      </c>
      <c r="BR235" s="13">
        <f>IFERROR(AV235/BD235*(BG235-BASELINE_CPR),0)</f>
        <v/>
      </c>
      <c r="BS235" s="13">
        <f>IFERROR(AW235/BD235*(BG235-BASELINE_CPR),0)</f>
        <v/>
      </c>
      <c r="BT235" s="13">
        <f>IFERROR(AX235/BD235*(BG235-BASELINE_CPR),0)</f>
        <v/>
      </c>
      <c r="BU235" s="13">
        <f>IFERROR(AY235/BD235*(BG235-BASELINE_CPR),0)</f>
        <v/>
      </c>
      <c r="BV235" s="13">
        <f>IFERROR(AZ235/BD235*(BG235-BASELINE_CPR),0)</f>
        <v/>
      </c>
      <c r="BW235" s="13">
        <f>IFERROR(BA235/BD235*(BG235-BASELINE_CPR),0)</f>
        <v/>
      </c>
      <c r="BX235" s="13">
        <f>IFERROR(BB235/BD235*(BG235-BASELINE_CPR),0)</f>
        <v/>
      </c>
      <c r="BY235" s="13">
        <f>IFERROR(BC235/BD235*(BG235-BASELINE_CPR),0)</f>
        <v/>
      </c>
      <c r="BZ235" s="28">
        <f>BASELINE_CPR+SUM(BH235:BY235)-BG235</f>
        <v/>
      </c>
    </row>
    <row r="236">
      <c r="A236" s="2" t="inlineStr">
        <is>
          <t>3617LBH60_000000008235482</t>
        </is>
      </c>
      <c r="B236" t="inlineStr">
        <is>
          <t>JLL_PRE21</t>
        </is>
      </c>
      <c r="C236" s="2" t="inlineStr">
        <is>
          <t>3617LBH60</t>
        </is>
      </c>
      <c r="D236" t="inlineStr">
        <is>
          <t>JLL REAL ESTATE CAPITAL, LLC</t>
        </is>
      </c>
      <c r="E236" t="inlineStr">
        <is>
          <t>221d4</t>
        </is>
      </c>
      <c r="F236" t="inlineStr">
        <is>
          <t>NC</t>
        </is>
      </c>
      <c r="G236" t="n">
        <v>2019</v>
      </c>
      <c r="H236" t="inlineStr">
        <is>
          <t>202602</t>
        </is>
      </c>
      <c r="I236" s="22" t="n">
        <v>12926537.01</v>
      </c>
      <c r="J236" s="23" t="n">
        <v>4.05</v>
      </c>
      <c r="K236" s="24" t="n">
        <v>447</v>
      </c>
      <c r="L236" s="24" t="n">
        <v>7</v>
      </c>
      <c r="M236" t="n">
        <v>76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1</v>
      </c>
      <c r="T236" s="24">
        <f>J236*100-(K236+(1+L236)*12.5)</f>
        <v/>
      </c>
      <c r="U236">
        <f>O236</f>
        <v/>
      </c>
      <c r="V236">
        <f>M236</f>
        <v/>
      </c>
      <c r="W236" s="23">
        <f>LN(1+I236)</f>
        <v/>
      </c>
      <c r="X236">
        <f>IF(G236&gt;=2021,1,0)</f>
        <v/>
      </c>
      <c r="Y236">
        <f>N236</f>
        <v/>
      </c>
      <c r="Z236" s="23">
        <f>IF(ISNUMBER(M236),N236/MAX(M236,1),0)</f>
        <v/>
      </c>
      <c r="AA236">
        <f>P236</f>
        <v/>
      </c>
      <c r="AB236">
        <f>Q236</f>
        <v/>
      </c>
      <c r="AC236">
        <f>R236</f>
        <v/>
      </c>
      <c r="AD236">
        <f>S236</f>
        <v/>
      </c>
      <c r="AE236">
        <f>IF(ISNUMBER(SEARCH("CAPITAL FUNDING",D236)),1,0)</f>
        <v/>
      </c>
      <c r="AF236">
        <f>IF(ISNUMBER(SEARCH("MERCHANTS",D236)),1,0)</f>
        <v/>
      </c>
      <c r="AG236">
        <f>IF(ISNUMBER(SEARCH("WELLS FARGO",D236)),1,0)</f>
        <v/>
      </c>
      <c r="AH236">
        <f>IF(ISNUMBER(SEARCH("WALKER",D236)),1,0)</f>
        <v/>
      </c>
      <c r="AI236">
        <f>IF(ISNUMBER(SEARCH("PNC",D236)),1,0)</f>
        <v/>
      </c>
      <c r="AJ236">
        <f>IF(ISNUMBER(SEARCH("BERKADIA",D236)),1,0)</f>
        <v/>
      </c>
      <c r="AK236">
        <f>IF(ISNUMBER(SEARCH("DWIGHT",D236)),1,0)</f>
        <v/>
      </c>
      <c r="AL236" s="25">
        <f>T$4*(T236-T$3)</f>
        <v/>
      </c>
      <c r="AM236" s="25">
        <f>U$4*(U236-U$3)</f>
        <v/>
      </c>
      <c r="AN236" s="25">
        <f>V$4*(V236-V$3)</f>
        <v/>
      </c>
      <c r="AO236" s="25">
        <f>W$4*(W236-W$3)</f>
        <v/>
      </c>
      <c r="AP236" s="25">
        <f>X$4*(X236-X$3)</f>
        <v/>
      </c>
      <c r="AQ236" s="25">
        <f>Y$4*(Y236-Y$3)</f>
        <v/>
      </c>
      <c r="AR236" s="25">
        <f>Z$4*(Z236-Z$3)</f>
        <v/>
      </c>
      <c r="AS236" s="25">
        <f>AA$4*(AA236-AA$3)</f>
        <v/>
      </c>
      <c r="AT236" s="25">
        <f>AB$4*(AB236-AB$3)</f>
        <v/>
      </c>
      <c r="AU236" s="25">
        <f>AC$4*(AC236-AC$3)</f>
        <v/>
      </c>
      <c r="AV236" s="25">
        <f>AD$4*(AD236-AD$3)</f>
        <v/>
      </c>
      <c r="AW236" s="25">
        <f>AE$4*(AE236-AE$3)</f>
        <v/>
      </c>
      <c r="AX236" s="25">
        <f>AF$4*(AF236-AF$3)</f>
        <v/>
      </c>
      <c r="AY236" s="25">
        <f>AG$4*(AG236-AG$3)</f>
        <v/>
      </c>
      <c r="AZ236" s="25">
        <f>AH$4*(AH236-AH$3)</f>
        <v/>
      </c>
      <c r="BA236" s="25">
        <f>AI$4*(AI236-AI$3)</f>
        <v/>
      </c>
      <c r="BB236" s="25">
        <f>AJ$4*(AJ236-AJ$3)</f>
        <v/>
      </c>
      <c r="BC236" s="25">
        <f>AK$4*(AK236-AK$3)</f>
        <v/>
      </c>
      <c r="BD236" s="26">
        <f>SUM(AL236:BC236)</f>
        <v/>
      </c>
      <c r="BE236" s="26">
        <f>INTERCEPT_SCALED+BD236</f>
        <v/>
      </c>
      <c r="BF236" s="27">
        <f>1/(1+EXP(-BE236))</f>
        <v/>
      </c>
      <c r="BG236" s="13">
        <f>1-(1-BF236)^12</f>
        <v/>
      </c>
      <c r="BH236" s="13">
        <f>IFERROR(AL236/BD236*(BG236-BASELINE_CPR),0)</f>
        <v/>
      </c>
      <c r="BI236" s="13">
        <f>IFERROR(AM236/BD236*(BG236-BASELINE_CPR),0)</f>
        <v/>
      </c>
      <c r="BJ236" s="13">
        <f>IFERROR(AN236/BD236*(BG236-BASELINE_CPR),0)</f>
        <v/>
      </c>
      <c r="BK236" s="13">
        <f>IFERROR(AO236/BD236*(BG236-BASELINE_CPR),0)</f>
        <v/>
      </c>
      <c r="BL236" s="13">
        <f>IFERROR(AP236/BD236*(BG236-BASELINE_CPR),0)</f>
        <v/>
      </c>
      <c r="BM236" s="13">
        <f>IFERROR(AQ236/BD236*(BG236-BASELINE_CPR),0)</f>
        <v/>
      </c>
      <c r="BN236" s="13">
        <f>IFERROR(AR236/BD236*(BG236-BASELINE_CPR),0)</f>
        <v/>
      </c>
      <c r="BO236" s="13">
        <f>IFERROR(AS236/BD236*(BG236-BASELINE_CPR),0)</f>
        <v/>
      </c>
      <c r="BP236" s="13">
        <f>IFERROR(AT236/BD236*(BG236-BASELINE_CPR),0)</f>
        <v/>
      </c>
      <c r="BQ236" s="13">
        <f>IFERROR(AU236/BD236*(BG236-BASELINE_CPR),0)</f>
        <v/>
      </c>
      <c r="BR236" s="13">
        <f>IFERROR(AV236/BD236*(BG236-BASELINE_CPR),0)</f>
        <v/>
      </c>
      <c r="BS236" s="13">
        <f>IFERROR(AW236/BD236*(BG236-BASELINE_CPR),0)</f>
        <v/>
      </c>
      <c r="BT236" s="13">
        <f>IFERROR(AX236/BD236*(BG236-BASELINE_CPR),0)</f>
        <v/>
      </c>
      <c r="BU236" s="13">
        <f>IFERROR(AY236/BD236*(BG236-BASELINE_CPR),0)</f>
        <v/>
      </c>
      <c r="BV236" s="13">
        <f>IFERROR(AZ236/BD236*(BG236-BASELINE_CPR),0)</f>
        <v/>
      </c>
      <c r="BW236" s="13">
        <f>IFERROR(BA236/BD236*(BG236-BASELINE_CPR),0)</f>
        <v/>
      </c>
      <c r="BX236" s="13">
        <f>IFERROR(BB236/BD236*(BG236-BASELINE_CPR),0)</f>
        <v/>
      </c>
      <c r="BY236" s="13">
        <f>IFERROR(BC236/BD236*(BG236-BASELINE_CPR),0)</f>
        <v/>
      </c>
      <c r="BZ236" s="28">
        <f>BASELINE_CPR+SUM(BH236:BY236)-BG236</f>
        <v/>
      </c>
    </row>
    <row r="237">
      <c r="A237" s="2" t="inlineStr">
        <is>
          <t>3617YPF67_000000006611276</t>
        </is>
      </c>
      <c r="B237" t="inlineStr">
        <is>
          <t>JLL_POST21</t>
        </is>
      </c>
      <c r="C237" s="2" t="inlineStr">
        <is>
          <t>3617YPF67</t>
        </is>
      </c>
      <c r="D237" t="inlineStr">
        <is>
          <t>JLL REAL ESTATE CAPITAL, LLC</t>
        </is>
      </c>
      <c r="E237" t="inlineStr">
        <is>
          <t>223f</t>
        </is>
      </c>
      <c r="F237" t="inlineStr">
        <is>
          <t>RP</t>
        </is>
      </c>
      <c r="G237" t="n">
        <v>2022</v>
      </c>
      <c r="H237" t="inlineStr">
        <is>
          <t>202602</t>
        </is>
      </c>
      <c r="I237" s="22" t="n">
        <v>17732412.69</v>
      </c>
      <c r="J237" s="23" t="n">
        <v>4.145</v>
      </c>
      <c r="K237" s="24" t="n">
        <v>447</v>
      </c>
      <c r="L237" s="24" t="n">
        <v>1</v>
      </c>
      <c r="M237" t="n">
        <v>42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s="24">
        <f>J237*100-(K237+(1+L237)*12.5)</f>
        <v/>
      </c>
      <c r="U237">
        <f>O237</f>
        <v/>
      </c>
      <c r="V237">
        <f>M237</f>
        <v/>
      </c>
      <c r="W237" s="23">
        <f>LN(1+I237)</f>
        <v/>
      </c>
      <c r="X237">
        <f>IF(G237&gt;=2021,1,0)</f>
        <v/>
      </c>
      <c r="Y237">
        <f>N237</f>
        <v/>
      </c>
      <c r="Z237" s="23">
        <f>IF(ISNUMBER(M237),N237/MAX(M237,1),0)</f>
        <v/>
      </c>
      <c r="AA237">
        <f>P237</f>
        <v/>
      </c>
      <c r="AB237">
        <f>Q237</f>
        <v/>
      </c>
      <c r="AC237">
        <f>R237</f>
        <v/>
      </c>
      <c r="AD237">
        <f>S237</f>
        <v/>
      </c>
      <c r="AE237">
        <f>IF(ISNUMBER(SEARCH("CAPITAL FUNDING",D237)),1,0)</f>
        <v/>
      </c>
      <c r="AF237">
        <f>IF(ISNUMBER(SEARCH("MERCHANTS",D237)),1,0)</f>
        <v/>
      </c>
      <c r="AG237">
        <f>IF(ISNUMBER(SEARCH("WELLS FARGO",D237)),1,0)</f>
        <v/>
      </c>
      <c r="AH237">
        <f>IF(ISNUMBER(SEARCH("WALKER",D237)),1,0)</f>
        <v/>
      </c>
      <c r="AI237">
        <f>IF(ISNUMBER(SEARCH("PNC",D237)),1,0)</f>
        <v/>
      </c>
      <c r="AJ237">
        <f>IF(ISNUMBER(SEARCH("BERKADIA",D237)),1,0)</f>
        <v/>
      </c>
      <c r="AK237">
        <f>IF(ISNUMBER(SEARCH("DWIGHT",D237)),1,0)</f>
        <v/>
      </c>
      <c r="AL237" s="25">
        <f>T$4*(T237-T$3)</f>
        <v/>
      </c>
      <c r="AM237" s="25">
        <f>U$4*(U237-U$3)</f>
        <v/>
      </c>
      <c r="AN237" s="25">
        <f>V$4*(V237-V$3)</f>
        <v/>
      </c>
      <c r="AO237" s="25">
        <f>W$4*(W237-W$3)</f>
        <v/>
      </c>
      <c r="AP237" s="25">
        <f>X$4*(X237-X$3)</f>
        <v/>
      </c>
      <c r="AQ237" s="25">
        <f>Y$4*(Y237-Y$3)</f>
        <v/>
      </c>
      <c r="AR237" s="25">
        <f>Z$4*(Z237-Z$3)</f>
        <v/>
      </c>
      <c r="AS237" s="25">
        <f>AA$4*(AA237-AA$3)</f>
        <v/>
      </c>
      <c r="AT237" s="25">
        <f>AB$4*(AB237-AB$3)</f>
        <v/>
      </c>
      <c r="AU237" s="25">
        <f>AC$4*(AC237-AC$3)</f>
        <v/>
      </c>
      <c r="AV237" s="25">
        <f>AD$4*(AD237-AD$3)</f>
        <v/>
      </c>
      <c r="AW237" s="25">
        <f>AE$4*(AE237-AE$3)</f>
        <v/>
      </c>
      <c r="AX237" s="25">
        <f>AF$4*(AF237-AF$3)</f>
        <v/>
      </c>
      <c r="AY237" s="25">
        <f>AG$4*(AG237-AG$3)</f>
        <v/>
      </c>
      <c r="AZ237" s="25">
        <f>AH$4*(AH237-AH$3)</f>
        <v/>
      </c>
      <c r="BA237" s="25">
        <f>AI$4*(AI237-AI$3)</f>
        <v/>
      </c>
      <c r="BB237" s="25">
        <f>AJ$4*(AJ237-AJ$3)</f>
        <v/>
      </c>
      <c r="BC237" s="25">
        <f>AK$4*(AK237-AK$3)</f>
        <v/>
      </c>
      <c r="BD237" s="26">
        <f>SUM(AL237:BC237)</f>
        <v/>
      </c>
      <c r="BE237" s="26">
        <f>INTERCEPT_SCALED+BD237</f>
        <v/>
      </c>
      <c r="BF237" s="27">
        <f>1/(1+EXP(-BE237))</f>
        <v/>
      </c>
      <c r="BG237" s="13">
        <f>1-(1-BF237)^12</f>
        <v/>
      </c>
      <c r="BH237" s="13">
        <f>IFERROR(AL237/BD237*(BG237-BASELINE_CPR),0)</f>
        <v/>
      </c>
      <c r="BI237" s="13">
        <f>IFERROR(AM237/BD237*(BG237-BASELINE_CPR),0)</f>
        <v/>
      </c>
      <c r="BJ237" s="13">
        <f>IFERROR(AN237/BD237*(BG237-BASELINE_CPR),0)</f>
        <v/>
      </c>
      <c r="BK237" s="13">
        <f>IFERROR(AO237/BD237*(BG237-BASELINE_CPR),0)</f>
        <v/>
      </c>
      <c r="BL237" s="13">
        <f>IFERROR(AP237/BD237*(BG237-BASELINE_CPR),0)</f>
        <v/>
      </c>
      <c r="BM237" s="13">
        <f>IFERROR(AQ237/BD237*(BG237-BASELINE_CPR),0)</f>
        <v/>
      </c>
      <c r="BN237" s="13">
        <f>IFERROR(AR237/BD237*(BG237-BASELINE_CPR),0)</f>
        <v/>
      </c>
      <c r="BO237" s="13">
        <f>IFERROR(AS237/BD237*(BG237-BASELINE_CPR),0)</f>
        <v/>
      </c>
      <c r="BP237" s="13">
        <f>IFERROR(AT237/BD237*(BG237-BASELINE_CPR),0)</f>
        <v/>
      </c>
      <c r="BQ237" s="13">
        <f>IFERROR(AU237/BD237*(BG237-BASELINE_CPR),0)</f>
        <v/>
      </c>
      <c r="BR237" s="13">
        <f>IFERROR(AV237/BD237*(BG237-BASELINE_CPR),0)</f>
        <v/>
      </c>
      <c r="BS237" s="13">
        <f>IFERROR(AW237/BD237*(BG237-BASELINE_CPR),0)</f>
        <v/>
      </c>
      <c r="BT237" s="13">
        <f>IFERROR(AX237/BD237*(BG237-BASELINE_CPR),0)</f>
        <v/>
      </c>
      <c r="BU237" s="13">
        <f>IFERROR(AY237/BD237*(BG237-BASELINE_CPR),0)</f>
        <v/>
      </c>
      <c r="BV237" s="13">
        <f>IFERROR(AZ237/BD237*(BG237-BASELINE_CPR),0)</f>
        <v/>
      </c>
      <c r="BW237" s="13">
        <f>IFERROR(BA237/BD237*(BG237-BASELINE_CPR),0)</f>
        <v/>
      </c>
      <c r="BX237" s="13">
        <f>IFERROR(BB237/BD237*(BG237-BASELINE_CPR),0)</f>
        <v/>
      </c>
      <c r="BY237" s="13">
        <f>IFERROR(BC237/BD237*(BG237-BASELINE_CPR),0)</f>
        <v/>
      </c>
      <c r="BZ237" s="28">
        <f>BASELINE_CPR+SUM(BH237:BY237)-BG237</f>
        <v/>
      </c>
    </row>
    <row r="238">
      <c r="A238" s="2" t="inlineStr">
        <is>
          <t>36179G3D3_000000009211334</t>
        </is>
      </c>
      <c r="B238" t="inlineStr">
        <is>
          <t>JLL_PRE21</t>
        </is>
      </c>
      <c r="C238" s="2" t="inlineStr">
        <is>
          <t>36179G3D3</t>
        </is>
      </c>
      <c r="D238" t="inlineStr">
        <is>
          <t>JLL REAL ESTATE CAPITAL, LLC</t>
        </is>
      </c>
      <c r="E238" t="inlineStr">
        <is>
          <t>223a7</t>
        </is>
      </c>
      <c r="F238" t="inlineStr">
        <is>
          <t>RP</t>
        </is>
      </c>
      <c r="G238" t="n">
        <v>2013</v>
      </c>
      <c r="H238" t="inlineStr">
        <is>
          <t>202602</t>
        </is>
      </c>
      <c r="I238" s="22" t="n">
        <v>1229667.79</v>
      </c>
      <c r="J238" s="23" t="n">
        <v>2.7</v>
      </c>
      <c r="K238" s="24" t="n">
        <v>447</v>
      </c>
      <c r="L238" s="24" t="n">
        <v>0</v>
      </c>
      <c r="M238" t="n">
        <v>156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s="24">
        <f>J238*100-(K238+(1+L238)*12.5)</f>
        <v/>
      </c>
      <c r="U238">
        <f>O238</f>
        <v/>
      </c>
      <c r="V238">
        <f>M238</f>
        <v/>
      </c>
      <c r="W238" s="23">
        <f>LN(1+I238)</f>
        <v/>
      </c>
      <c r="X238">
        <f>IF(G238&gt;=2021,1,0)</f>
        <v/>
      </c>
      <c r="Y238">
        <f>N238</f>
        <v/>
      </c>
      <c r="Z238" s="23">
        <f>IF(ISNUMBER(M238),N238/MAX(M238,1),0)</f>
        <v/>
      </c>
      <c r="AA238">
        <f>P238</f>
        <v/>
      </c>
      <c r="AB238">
        <f>Q238</f>
        <v/>
      </c>
      <c r="AC238">
        <f>R238</f>
        <v/>
      </c>
      <c r="AD238">
        <f>S238</f>
        <v/>
      </c>
      <c r="AE238">
        <f>IF(ISNUMBER(SEARCH("CAPITAL FUNDING",D238)),1,0)</f>
        <v/>
      </c>
      <c r="AF238">
        <f>IF(ISNUMBER(SEARCH("MERCHANTS",D238)),1,0)</f>
        <v/>
      </c>
      <c r="AG238">
        <f>IF(ISNUMBER(SEARCH("WELLS FARGO",D238)),1,0)</f>
        <v/>
      </c>
      <c r="AH238">
        <f>IF(ISNUMBER(SEARCH("WALKER",D238)),1,0)</f>
        <v/>
      </c>
      <c r="AI238">
        <f>IF(ISNUMBER(SEARCH("PNC",D238)),1,0)</f>
        <v/>
      </c>
      <c r="AJ238">
        <f>IF(ISNUMBER(SEARCH("BERKADIA",D238)),1,0)</f>
        <v/>
      </c>
      <c r="AK238">
        <f>IF(ISNUMBER(SEARCH("DWIGHT",D238)),1,0)</f>
        <v/>
      </c>
      <c r="AL238" s="25">
        <f>T$4*(T238-T$3)</f>
        <v/>
      </c>
      <c r="AM238" s="25">
        <f>U$4*(U238-U$3)</f>
        <v/>
      </c>
      <c r="AN238" s="25">
        <f>V$4*(V238-V$3)</f>
        <v/>
      </c>
      <c r="AO238" s="25">
        <f>W$4*(W238-W$3)</f>
        <v/>
      </c>
      <c r="AP238" s="25">
        <f>X$4*(X238-X$3)</f>
        <v/>
      </c>
      <c r="AQ238" s="25">
        <f>Y$4*(Y238-Y$3)</f>
        <v/>
      </c>
      <c r="AR238" s="25">
        <f>Z$4*(Z238-Z$3)</f>
        <v/>
      </c>
      <c r="AS238" s="25">
        <f>AA$4*(AA238-AA$3)</f>
        <v/>
      </c>
      <c r="AT238" s="25">
        <f>AB$4*(AB238-AB$3)</f>
        <v/>
      </c>
      <c r="AU238" s="25">
        <f>AC$4*(AC238-AC$3)</f>
        <v/>
      </c>
      <c r="AV238" s="25">
        <f>AD$4*(AD238-AD$3)</f>
        <v/>
      </c>
      <c r="AW238" s="25">
        <f>AE$4*(AE238-AE$3)</f>
        <v/>
      </c>
      <c r="AX238" s="25">
        <f>AF$4*(AF238-AF$3)</f>
        <v/>
      </c>
      <c r="AY238" s="25">
        <f>AG$4*(AG238-AG$3)</f>
        <v/>
      </c>
      <c r="AZ238" s="25">
        <f>AH$4*(AH238-AH$3)</f>
        <v/>
      </c>
      <c r="BA238" s="25">
        <f>AI$4*(AI238-AI$3)</f>
        <v/>
      </c>
      <c r="BB238" s="25">
        <f>AJ$4*(AJ238-AJ$3)</f>
        <v/>
      </c>
      <c r="BC238" s="25">
        <f>AK$4*(AK238-AK$3)</f>
        <v/>
      </c>
      <c r="BD238" s="26">
        <f>SUM(AL238:BC238)</f>
        <v/>
      </c>
      <c r="BE238" s="26">
        <f>INTERCEPT_SCALED+BD238</f>
        <v/>
      </c>
      <c r="BF238" s="27">
        <f>1/(1+EXP(-BE238))</f>
        <v/>
      </c>
      <c r="BG238" s="13">
        <f>1-(1-BF238)^12</f>
        <v/>
      </c>
      <c r="BH238" s="13">
        <f>IFERROR(AL238/BD238*(BG238-BASELINE_CPR),0)</f>
        <v/>
      </c>
      <c r="BI238" s="13">
        <f>IFERROR(AM238/BD238*(BG238-BASELINE_CPR),0)</f>
        <v/>
      </c>
      <c r="BJ238" s="13">
        <f>IFERROR(AN238/BD238*(BG238-BASELINE_CPR),0)</f>
        <v/>
      </c>
      <c r="BK238" s="13">
        <f>IFERROR(AO238/BD238*(BG238-BASELINE_CPR),0)</f>
        <v/>
      </c>
      <c r="BL238" s="13">
        <f>IFERROR(AP238/BD238*(BG238-BASELINE_CPR),0)</f>
        <v/>
      </c>
      <c r="BM238" s="13">
        <f>IFERROR(AQ238/BD238*(BG238-BASELINE_CPR),0)</f>
        <v/>
      </c>
      <c r="BN238" s="13">
        <f>IFERROR(AR238/BD238*(BG238-BASELINE_CPR),0)</f>
        <v/>
      </c>
      <c r="BO238" s="13">
        <f>IFERROR(AS238/BD238*(BG238-BASELINE_CPR),0)</f>
        <v/>
      </c>
      <c r="BP238" s="13">
        <f>IFERROR(AT238/BD238*(BG238-BASELINE_CPR),0)</f>
        <v/>
      </c>
      <c r="BQ238" s="13">
        <f>IFERROR(AU238/BD238*(BG238-BASELINE_CPR),0)</f>
        <v/>
      </c>
      <c r="BR238" s="13">
        <f>IFERROR(AV238/BD238*(BG238-BASELINE_CPR),0)</f>
        <v/>
      </c>
      <c r="BS238" s="13">
        <f>IFERROR(AW238/BD238*(BG238-BASELINE_CPR),0)</f>
        <v/>
      </c>
      <c r="BT238" s="13">
        <f>IFERROR(AX238/BD238*(BG238-BASELINE_CPR),0)</f>
        <v/>
      </c>
      <c r="BU238" s="13">
        <f>IFERROR(AY238/BD238*(BG238-BASELINE_CPR),0)</f>
        <v/>
      </c>
      <c r="BV238" s="13">
        <f>IFERROR(AZ238/BD238*(BG238-BASELINE_CPR),0)</f>
        <v/>
      </c>
      <c r="BW238" s="13">
        <f>IFERROR(BA238/BD238*(BG238-BASELINE_CPR),0)</f>
        <v/>
      </c>
      <c r="BX238" s="13">
        <f>IFERROR(BB238/BD238*(BG238-BASELINE_CPR),0)</f>
        <v/>
      </c>
      <c r="BY238" s="13">
        <f>IFERROR(BC238/BD238*(BG238-BASELINE_CPR),0)</f>
        <v/>
      </c>
      <c r="BZ238" s="28">
        <f>BASELINE_CPR+SUM(BH238:BY238)-BG238</f>
        <v/>
      </c>
    </row>
    <row r="239">
      <c r="A239" s="2" t="inlineStr">
        <is>
          <t>3618FJBT4_026028996371108</t>
        </is>
      </c>
      <c r="B239" t="inlineStr">
        <is>
          <t>BELLWETHER_POST21</t>
        </is>
      </c>
      <c r="C239" s="2" t="inlineStr">
        <is>
          <t>3618FJBT4</t>
        </is>
      </c>
      <c r="D239" t="inlineStr">
        <is>
          <t>BELLWETHER ENTERPRISE REAL ESTATE CAPITA</t>
        </is>
      </c>
      <c r="E239" t="inlineStr">
        <is>
          <t>538</t>
        </is>
      </c>
      <c r="F239" t="inlineStr">
        <is>
          <t>538</t>
        </is>
      </c>
      <c r="G239" t="n">
        <v>2024</v>
      </c>
      <c r="H239" t="inlineStr">
        <is>
          <t>202602</t>
        </is>
      </c>
      <c r="I239" s="22" t="n">
        <v>4392205.88</v>
      </c>
      <c r="J239" s="23" t="n">
        <v>3.84</v>
      </c>
      <c r="K239" s="24" t="n">
        <v>447</v>
      </c>
      <c r="L239" s="24" t="n">
        <v>10</v>
      </c>
      <c r="M239" t="n">
        <v>23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s="24">
        <f>J239*100-(K239+(1+L239)*12.5)</f>
        <v/>
      </c>
      <c r="U239">
        <f>O239</f>
        <v/>
      </c>
      <c r="V239">
        <f>M239</f>
        <v/>
      </c>
      <c r="W239" s="23">
        <f>LN(1+I239)</f>
        <v/>
      </c>
      <c r="X239">
        <f>IF(G239&gt;=2021,1,0)</f>
        <v/>
      </c>
      <c r="Y239">
        <f>N239</f>
        <v/>
      </c>
      <c r="Z239" s="23">
        <f>IF(ISNUMBER(M239),N239/MAX(M239,1),0)</f>
        <v/>
      </c>
      <c r="AA239">
        <f>P239</f>
        <v/>
      </c>
      <c r="AB239">
        <f>Q239</f>
        <v/>
      </c>
      <c r="AC239">
        <f>R239</f>
        <v/>
      </c>
      <c r="AD239">
        <f>S239</f>
        <v/>
      </c>
      <c r="AE239">
        <f>IF(ISNUMBER(SEARCH("CAPITAL FUNDING",D239)),1,0)</f>
        <v/>
      </c>
      <c r="AF239">
        <f>IF(ISNUMBER(SEARCH("MERCHANTS",D239)),1,0)</f>
        <v/>
      </c>
      <c r="AG239">
        <f>IF(ISNUMBER(SEARCH("WELLS FARGO",D239)),1,0)</f>
        <v/>
      </c>
      <c r="AH239">
        <f>IF(ISNUMBER(SEARCH("WALKER",D239)),1,0)</f>
        <v/>
      </c>
      <c r="AI239">
        <f>IF(ISNUMBER(SEARCH("PNC",D239)),1,0)</f>
        <v/>
      </c>
      <c r="AJ239">
        <f>IF(ISNUMBER(SEARCH("BERKADIA",D239)),1,0)</f>
        <v/>
      </c>
      <c r="AK239">
        <f>IF(ISNUMBER(SEARCH("DWIGHT",D239)),1,0)</f>
        <v/>
      </c>
      <c r="AL239" s="25">
        <f>T$4*(T239-T$3)</f>
        <v/>
      </c>
      <c r="AM239" s="25">
        <f>U$4*(U239-U$3)</f>
        <v/>
      </c>
      <c r="AN239" s="25">
        <f>V$4*(V239-V$3)</f>
        <v/>
      </c>
      <c r="AO239" s="25">
        <f>W$4*(W239-W$3)</f>
        <v/>
      </c>
      <c r="AP239" s="25">
        <f>X$4*(X239-X$3)</f>
        <v/>
      </c>
      <c r="AQ239" s="25">
        <f>Y$4*(Y239-Y$3)</f>
        <v/>
      </c>
      <c r="AR239" s="25">
        <f>Z$4*(Z239-Z$3)</f>
        <v/>
      </c>
      <c r="AS239" s="25">
        <f>AA$4*(AA239-AA$3)</f>
        <v/>
      </c>
      <c r="AT239" s="25">
        <f>AB$4*(AB239-AB$3)</f>
        <v/>
      </c>
      <c r="AU239" s="25">
        <f>AC$4*(AC239-AC$3)</f>
        <v/>
      </c>
      <c r="AV239" s="25">
        <f>AD$4*(AD239-AD$3)</f>
        <v/>
      </c>
      <c r="AW239" s="25">
        <f>AE$4*(AE239-AE$3)</f>
        <v/>
      </c>
      <c r="AX239" s="25">
        <f>AF$4*(AF239-AF$3)</f>
        <v/>
      </c>
      <c r="AY239" s="25">
        <f>AG$4*(AG239-AG$3)</f>
        <v/>
      </c>
      <c r="AZ239" s="25">
        <f>AH$4*(AH239-AH$3)</f>
        <v/>
      </c>
      <c r="BA239" s="25">
        <f>AI$4*(AI239-AI$3)</f>
        <v/>
      </c>
      <c r="BB239" s="25">
        <f>AJ$4*(AJ239-AJ$3)</f>
        <v/>
      </c>
      <c r="BC239" s="25">
        <f>AK$4*(AK239-AK$3)</f>
        <v/>
      </c>
      <c r="BD239" s="26">
        <f>SUM(AL239:BC239)</f>
        <v/>
      </c>
      <c r="BE239" s="26">
        <f>INTERCEPT_SCALED+BD239</f>
        <v/>
      </c>
      <c r="BF239" s="27">
        <f>1/(1+EXP(-BE239))</f>
        <v/>
      </c>
      <c r="BG239" s="13">
        <f>1-(1-BF239)^12</f>
        <v/>
      </c>
      <c r="BH239" s="13">
        <f>IFERROR(AL239/BD239*(BG239-BASELINE_CPR),0)</f>
        <v/>
      </c>
      <c r="BI239" s="13">
        <f>IFERROR(AM239/BD239*(BG239-BASELINE_CPR),0)</f>
        <v/>
      </c>
      <c r="BJ239" s="13">
        <f>IFERROR(AN239/BD239*(BG239-BASELINE_CPR),0)</f>
        <v/>
      </c>
      <c r="BK239" s="13">
        <f>IFERROR(AO239/BD239*(BG239-BASELINE_CPR),0)</f>
        <v/>
      </c>
      <c r="BL239" s="13">
        <f>IFERROR(AP239/BD239*(BG239-BASELINE_CPR),0)</f>
        <v/>
      </c>
      <c r="BM239" s="13">
        <f>IFERROR(AQ239/BD239*(BG239-BASELINE_CPR),0)</f>
        <v/>
      </c>
      <c r="BN239" s="13">
        <f>IFERROR(AR239/BD239*(BG239-BASELINE_CPR),0)</f>
        <v/>
      </c>
      <c r="BO239" s="13">
        <f>IFERROR(AS239/BD239*(BG239-BASELINE_CPR),0)</f>
        <v/>
      </c>
      <c r="BP239" s="13">
        <f>IFERROR(AT239/BD239*(BG239-BASELINE_CPR),0)</f>
        <v/>
      </c>
      <c r="BQ239" s="13">
        <f>IFERROR(AU239/BD239*(BG239-BASELINE_CPR),0)</f>
        <v/>
      </c>
      <c r="BR239" s="13">
        <f>IFERROR(AV239/BD239*(BG239-BASELINE_CPR),0)</f>
        <v/>
      </c>
      <c r="BS239" s="13">
        <f>IFERROR(AW239/BD239*(BG239-BASELINE_CPR),0)</f>
        <v/>
      </c>
      <c r="BT239" s="13">
        <f>IFERROR(AX239/BD239*(BG239-BASELINE_CPR),0)</f>
        <v/>
      </c>
      <c r="BU239" s="13">
        <f>IFERROR(AY239/BD239*(BG239-BASELINE_CPR),0)</f>
        <v/>
      </c>
      <c r="BV239" s="13">
        <f>IFERROR(AZ239/BD239*(BG239-BASELINE_CPR),0)</f>
        <v/>
      </c>
      <c r="BW239" s="13">
        <f>IFERROR(BA239/BD239*(BG239-BASELINE_CPR),0)</f>
        <v/>
      </c>
      <c r="BX239" s="13">
        <f>IFERROR(BB239/BD239*(BG239-BASELINE_CPR),0)</f>
        <v/>
      </c>
      <c r="BY239" s="13">
        <f>IFERROR(BC239/BD239*(BG239-BASELINE_CPR),0)</f>
        <v/>
      </c>
      <c r="BZ239" s="28">
        <f>BASELINE_CPR+SUM(BH239:BY239)-BG239</f>
        <v/>
      </c>
    </row>
    <row r="240">
      <c r="A240" s="2" t="inlineStr">
        <is>
          <t>3620AEMG2_060003374578408</t>
        </is>
      </c>
      <c r="B240" t="inlineStr">
        <is>
          <t>BELLWETHER_PRE21</t>
        </is>
      </c>
      <c r="C240" s="2" t="inlineStr">
        <is>
          <t>3620AEMG2</t>
        </is>
      </c>
      <c r="D240" t="inlineStr">
        <is>
          <t>BELLWETHER ENTERPRISE REAL ESTATE CAPITA</t>
        </is>
      </c>
      <c r="E240" t="inlineStr">
        <is>
          <t>538</t>
        </is>
      </c>
      <c r="F240" t="inlineStr">
        <is>
          <t>538</t>
        </is>
      </c>
      <c r="G240" t="n">
        <v>2010</v>
      </c>
      <c r="H240" t="inlineStr">
        <is>
          <t>202602</t>
        </is>
      </c>
      <c r="I240" s="22" t="n">
        <v>862013.46</v>
      </c>
      <c r="J240" s="23" t="n">
        <v>5.29</v>
      </c>
      <c r="K240" s="24" t="n">
        <v>447</v>
      </c>
      <c r="L240" s="24" t="n">
        <v>0</v>
      </c>
      <c r="M240" t="n">
        <v>184</v>
      </c>
      <c r="N240" t="n">
        <v>75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s="24">
        <f>J240*100-(K240+(1+L240)*12.5)</f>
        <v/>
      </c>
      <c r="U240">
        <f>O240</f>
        <v/>
      </c>
      <c r="V240">
        <f>M240</f>
        <v/>
      </c>
      <c r="W240" s="23">
        <f>LN(1+I240)</f>
        <v/>
      </c>
      <c r="X240">
        <f>IF(G240&gt;=2021,1,0)</f>
        <v/>
      </c>
      <c r="Y240">
        <f>N240</f>
        <v/>
      </c>
      <c r="Z240" s="23">
        <f>IF(ISNUMBER(M240),N240/MAX(M240,1),0)</f>
        <v/>
      </c>
      <c r="AA240">
        <f>P240</f>
        <v/>
      </c>
      <c r="AB240">
        <f>Q240</f>
        <v/>
      </c>
      <c r="AC240">
        <f>R240</f>
        <v/>
      </c>
      <c r="AD240">
        <f>S240</f>
        <v/>
      </c>
      <c r="AE240">
        <f>IF(ISNUMBER(SEARCH("CAPITAL FUNDING",D240)),1,0)</f>
        <v/>
      </c>
      <c r="AF240">
        <f>IF(ISNUMBER(SEARCH("MERCHANTS",D240)),1,0)</f>
        <v/>
      </c>
      <c r="AG240">
        <f>IF(ISNUMBER(SEARCH("WELLS FARGO",D240)),1,0)</f>
        <v/>
      </c>
      <c r="AH240">
        <f>IF(ISNUMBER(SEARCH("WALKER",D240)),1,0)</f>
        <v/>
      </c>
      <c r="AI240">
        <f>IF(ISNUMBER(SEARCH("PNC",D240)),1,0)</f>
        <v/>
      </c>
      <c r="AJ240">
        <f>IF(ISNUMBER(SEARCH("BERKADIA",D240)),1,0)</f>
        <v/>
      </c>
      <c r="AK240">
        <f>IF(ISNUMBER(SEARCH("DWIGHT",D240)),1,0)</f>
        <v/>
      </c>
      <c r="AL240" s="25">
        <f>T$4*(T240-T$3)</f>
        <v/>
      </c>
      <c r="AM240" s="25">
        <f>U$4*(U240-U$3)</f>
        <v/>
      </c>
      <c r="AN240" s="25">
        <f>V$4*(V240-V$3)</f>
        <v/>
      </c>
      <c r="AO240" s="25">
        <f>W$4*(W240-W$3)</f>
        <v/>
      </c>
      <c r="AP240" s="25">
        <f>X$4*(X240-X$3)</f>
        <v/>
      </c>
      <c r="AQ240" s="25">
        <f>Y$4*(Y240-Y$3)</f>
        <v/>
      </c>
      <c r="AR240" s="25">
        <f>Z$4*(Z240-Z$3)</f>
        <v/>
      </c>
      <c r="AS240" s="25">
        <f>AA$4*(AA240-AA$3)</f>
        <v/>
      </c>
      <c r="AT240" s="25">
        <f>AB$4*(AB240-AB$3)</f>
        <v/>
      </c>
      <c r="AU240" s="25">
        <f>AC$4*(AC240-AC$3)</f>
        <v/>
      </c>
      <c r="AV240" s="25">
        <f>AD$4*(AD240-AD$3)</f>
        <v/>
      </c>
      <c r="AW240" s="25">
        <f>AE$4*(AE240-AE$3)</f>
        <v/>
      </c>
      <c r="AX240" s="25">
        <f>AF$4*(AF240-AF$3)</f>
        <v/>
      </c>
      <c r="AY240" s="25">
        <f>AG$4*(AG240-AG$3)</f>
        <v/>
      </c>
      <c r="AZ240" s="25">
        <f>AH$4*(AH240-AH$3)</f>
        <v/>
      </c>
      <c r="BA240" s="25">
        <f>AI$4*(AI240-AI$3)</f>
        <v/>
      </c>
      <c r="BB240" s="25">
        <f>AJ$4*(AJ240-AJ$3)</f>
        <v/>
      </c>
      <c r="BC240" s="25">
        <f>AK$4*(AK240-AK$3)</f>
        <v/>
      </c>
      <c r="BD240" s="26">
        <f>SUM(AL240:BC240)</f>
        <v/>
      </c>
      <c r="BE240" s="26">
        <f>INTERCEPT_SCALED+BD240</f>
        <v/>
      </c>
      <c r="BF240" s="27">
        <f>1/(1+EXP(-BE240))</f>
        <v/>
      </c>
      <c r="BG240" s="13">
        <f>1-(1-BF240)^12</f>
        <v/>
      </c>
      <c r="BH240" s="13">
        <f>IFERROR(AL240/BD240*(BG240-BASELINE_CPR),0)</f>
        <v/>
      </c>
      <c r="BI240" s="13">
        <f>IFERROR(AM240/BD240*(BG240-BASELINE_CPR),0)</f>
        <v/>
      </c>
      <c r="BJ240" s="13">
        <f>IFERROR(AN240/BD240*(BG240-BASELINE_CPR),0)</f>
        <v/>
      </c>
      <c r="BK240" s="13">
        <f>IFERROR(AO240/BD240*(BG240-BASELINE_CPR),0)</f>
        <v/>
      </c>
      <c r="BL240" s="13">
        <f>IFERROR(AP240/BD240*(BG240-BASELINE_CPR),0)</f>
        <v/>
      </c>
      <c r="BM240" s="13">
        <f>IFERROR(AQ240/BD240*(BG240-BASELINE_CPR),0)</f>
        <v/>
      </c>
      <c r="BN240" s="13">
        <f>IFERROR(AR240/BD240*(BG240-BASELINE_CPR),0)</f>
        <v/>
      </c>
      <c r="BO240" s="13">
        <f>IFERROR(AS240/BD240*(BG240-BASELINE_CPR),0)</f>
        <v/>
      </c>
      <c r="BP240" s="13">
        <f>IFERROR(AT240/BD240*(BG240-BASELINE_CPR),0)</f>
        <v/>
      </c>
      <c r="BQ240" s="13">
        <f>IFERROR(AU240/BD240*(BG240-BASELINE_CPR),0)</f>
        <v/>
      </c>
      <c r="BR240" s="13">
        <f>IFERROR(AV240/BD240*(BG240-BASELINE_CPR),0)</f>
        <v/>
      </c>
      <c r="BS240" s="13">
        <f>IFERROR(AW240/BD240*(BG240-BASELINE_CPR),0)</f>
        <v/>
      </c>
      <c r="BT240" s="13">
        <f>IFERROR(AX240/BD240*(BG240-BASELINE_CPR),0)</f>
        <v/>
      </c>
      <c r="BU240" s="13">
        <f>IFERROR(AY240/BD240*(BG240-BASELINE_CPR),0)</f>
        <v/>
      </c>
      <c r="BV240" s="13">
        <f>IFERROR(AZ240/BD240*(BG240-BASELINE_CPR),0)</f>
        <v/>
      </c>
      <c r="BW240" s="13">
        <f>IFERROR(BA240/BD240*(BG240-BASELINE_CPR),0)</f>
        <v/>
      </c>
      <c r="BX240" s="13">
        <f>IFERROR(BB240/BD240*(BG240-BASELINE_CPR),0)</f>
        <v/>
      </c>
      <c r="BY240" s="13">
        <f>IFERROR(BC240/BD240*(BG240-BASELINE_CPR),0)</f>
        <v/>
      </c>
      <c r="BZ240" s="28">
        <f>BASELINE_CPR+SUM(BH240:BY240)-BG240</f>
        <v/>
      </c>
    </row>
    <row r="241">
      <c r="A241" s="2" t="inlineStr">
        <is>
          <t>36189SPJ8_043015882752559</t>
        </is>
      </c>
      <c r="B241" t="inlineStr">
        <is>
          <t>BELLWETHER_PRE21</t>
        </is>
      </c>
      <c r="C241" s="2" t="inlineStr">
        <is>
          <t>36189SPJ8</t>
        </is>
      </c>
      <c r="D241" t="inlineStr">
        <is>
          <t>BELLWETHER ENTERPRISE REAL ESTATE CAPITA</t>
        </is>
      </c>
      <c r="E241" t="inlineStr">
        <is>
          <t>538</t>
        </is>
      </c>
      <c r="F241" t="inlineStr">
        <is>
          <t>538</t>
        </is>
      </c>
      <c r="G241" t="n">
        <v>2015</v>
      </c>
      <c r="H241" t="inlineStr">
        <is>
          <t>202602</t>
        </is>
      </c>
      <c r="I241" s="22" t="n">
        <v>449622.75</v>
      </c>
      <c r="J241" s="23" t="n">
        <v>5.25</v>
      </c>
      <c r="K241" s="24" t="n">
        <v>447</v>
      </c>
      <c r="L241" s="24" t="n">
        <v>0</v>
      </c>
      <c r="M241" t="n">
        <v>125</v>
      </c>
      <c r="N241" t="n">
        <v>62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s="24">
        <f>J241*100-(K241+(1+L241)*12.5)</f>
        <v/>
      </c>
      <c r="U241">
        <f>O241</f>
        <v/>
      </c>
      <c r="V241">
        <f>M241</f>
        <v/>
      </c>
      <c r="W241" s="23">
        <f>LN(1+I241)</f>
        <v/>
      </c>
      <c r="X241">
        <f>IF(G241&gt;=2021,1,0)</f>
        <v/>
      </c>
      <c r="Y241">
        <f>N241</f>
        <v/>
      </c>
      <c r="Z241" s="23">
        <f>IF(ISNUMBER(M241),N241/MAX(M241,1),0)</f>
        <v/>
      </c>
      <c r="AA241">
        <f>P241</f>
        <v/>
      </c>
      <c r="AB241">
        <f>Q241</f>
        <v/>
      </c>
      <c r="AC241">
        <f>R241</f>
        <v/>
      </c>
      <c r="AD241">
        <f>S241</f>
        <v/>
      </c>
      <c r="AE241">
        <f>IF(ISNUMBER(SEARCH("CAPITAL FUNDING",D241)),1,0)</f>
        <v/>
      </c>
      <c r="AF241">
        <f>IF(ISNUMBER(SEARCH("MERCHANTS",D241)),1,0)</f>
        <v/>
      </c>
      <c r="AG241">
        <f>IF(ISNUMBER(SEARCH("WELLS FARGO",D241)),1,0)</f>
        <v/>
      </c>
      <c r="AH241">
        <f>IF(ISNUMBER(SEARCH("WALKER",D241)),1,0)</f>
        <v/>
      </c>
      <c r="AI241">
        <f>IF(ISNUMBER(SEARCH("PNC",D241)),1,0)</f>
        <v/>
      </c>
      <c r="AJ241">
        <f>IF(ISNUMBER(SEARCH("BERKADIA",D241)),1,0)</f>
        <v/>
      </c>
      <c r="AK241">
        <f>IF(ISNUMBER(SEARCH("DWIGHT",D241)),1,0)</f>
        <v/>
      </c>
      <c r="AL241" s="25">
        <f>T$4*(T241-T$3)</f>
        <v/>
      </c>
      <c r="AM241" s="25">
        <f>U$4*(U241-U$3)</f>
        <v/>
      </c>
      <c r="AN241" s="25">
        <f>V$4*(V241-V$3)</f>
        <v/>
      </c>
      <c r="AO241" s="25">
        <f>W$4*(W241-W$3)</f>
        <v/>
      </c>
      <c r="AP241" s="25">
        <f>X$4*(X241-X$3)</f>
        <v/>
      </c>
      <c r="AQ241" s="25">
        <f>Y$4*(Y241-Y$3)</f>
        <v/>
      </c>
      <c r="AR241" s="25">
        <f>Z$4*(Z241-Z$3)</f>
        <v/>
      </c>
      <c r="AS241" s="25">
        <f>AA$4*(AA241-AA$3)</f>
        <v/>
      </c>
      <c r="AT241" s="25">
        <f>AB$4*(AB241-AB$3)</f>
        <v/>
      </c>
      <c r="AU241" s="25">
        <f>AC$4*(AC241-AC$3)</f>
        <v/>
      </c>
      <c r="AV241" s="25">
        <f>AD$4*(AD241-AD$3)</f>
        <v/>
      </c>
      <c r="AW241" s="25">
        <f>AE$4*(AE241-AE$3)</f>
        <v/>
      </c>
      <c r="AX241" s="25">
        <f>AF$4*(AF241-AF$3)</f>
        <v/>
      </c>
      <c r="AY241" s="25">
        <f>AG$4*(AG241-AG$3)</f>
        <v/>
      </c>
      <c r="AZ241" s="25">
        <f>AH$4*(AH241-AH$3)</f>
        <v/>
      </c>
      <c r="BA241" s="25">
        <f>AI$4*(AI241-AI$3)</f>
        <v/>
      </c>
      <c r="BB241" s="25">
        <f>AJ$4*(AJ241-AJ$3)</f>
        <v/>
      </c>
      <c r="BC241" s="25">
        <f>AK$4*(AK241-AK$3)</f>
        <v/>
      </c>
      <c r="BD241" s="26">
        <f>SUM(AL241:BC241)</f>
        <v/>
      </c>
      <c r="BE241" s="26">
        <f>INTERCEPT_SCALED+BD241</f>
        <v/>
      </c>
      <c r="BF241" s="27">
        <f>1/(1+EXP(-BE241))</f>
        <v/>
      </c>
      <c r="BG241" s="13">
        <f>1-(1-BF241)^12</f>
        <v/>
      </c>
      <c r="BH241" s="13">
        <f>IFERROR(AL241/BD241*(BG241-BASELINE_CPR),0)</f>
        <v/>
      </c>
      <c r="BI241" s="13">
        <f>IFERROR(AM241/BD241*(BG241-BASELINE_CPR),0)</f>
        <v/>
      </c>
      <c r="BJ241" s="13">
        <f>IFERROR(AN241/BD241*(BG241-BASELINE_CPR),0)</f>
        <v/>
      </c>
      <c r="BK241" s="13">
        <f>IFERROR(AO241/BD241*(BG241-BASELINE_CPR),0)</f>
        <v/>
      </c>
      <c r="BL241" s="13">
        <f>IFERROR(AP241/BD241*(BG241-BASELINE_CPR),0)</f>
        <v/>
      </c>
      <c r="BM241" s="13">
        <f>IFERROR(AQ241/BD241*(BG241-BASELINE_CPR),0)</f>
        <v/>
      </c>
      <c r="BN241" s="13">
        <f>IFERROR(AR241/BD241*(BG241-BASELINE_CPR),0)</f>
        <v/>
      </c>
      <c r="BO241" s="13">
        <f>IFERROR(AS241/BD241*(BG241-BASELINE_CPR),0)</f>
        <v/>
      </c>
      <c r="BP241" s="13">
        <f>IFERROR(AT241/BD241*(BG241-BASELINE_CPR),0)</f>
        <v/>
      </c>
      <c r="BQ241" s="13">
        <f>IFERROR(AU241/BD241*(BG241-BASELINE_CPR),0)</f>
        <v/>
      </c>
      <c r="BR241" s="13">
        <f>IFERROR(AV241/BD241*(BG241-BASELINE_CPR),0)</f>
        <v/>
      </c>
      <c r="BS241" s="13">
        <f>IFERROR(AW241/BD241*(BG241-BASELINE_CPR),0)</f>
        <v/>
      </c>
      <c r="BT241" s="13">
        <f>IFERROR(AX241/BD241*(BG241-BASELINE_CPR),0)</f>
        <v/>
      </c>
      <c r="BU241" s="13">
        <f>IFERROR(AY241/BD241*(BG241-BASELINE_CPR),0)</f>
        <v/>
      </c>
      <c r="BV241" s="13">
        <f>IFERROR(AZ241/BD241*(BG241-BASELINE_CPR),0)</f>
        <v/>
      </c>
      <c r="BW241" s="13">
        <f>IFERROR(BA241/BD241*(BG241-BASELINE_CPR),0)</f>
        <v/>
      </c>
      <c r="BX241" s="13">
        <f>IFERROR(BB241/BD241*(BG241-BASELINE_CPR),0)</f>
        <v/>
      </c>
      <c r="BY241" s="13">
        <f>IFERROR(BC241/BD241*(BG241-BASELINE_CPR),0)</f>
        <v/>
      </c>
      <c r="BZ241" s="28">
        <f>BASELINE_CPR+SUM(BH241:BY241)-BG241</f>
        <v/>
      </c>
    </row>
    <row r="242">
      <c r="A242" s="2" t="inlineStr">
        <is>
          <t>3617USAC7_000000006135939</t>
        </is>
      </c>
      <c r="B242" t="inlineStr">
        <is>
          <t>BELLWETHER_PRE21</t>
        </is>
      </c>
      <c r="C242" s="2" t="inlineStr">
        <is>
          <t>3617USAC7</t>
        </is>
      </c>
      <c r="D242" t="inlineStr">
        <is>
          <t>BELLWETHER ENTERPRISE REAL ESTATE CAPITA</t>
        </is>
      </c>
      <c r="E242" t="inlineStr">
        <is>
          <t>221d4</t>
        </is>
      </c>
      <c r="F242" t="inlineStr">
        <is>
          <t>NC</t>
        </is>
      </c>
      <c r="G242" t="n">
        <v>2020</v>
      </c>
      <c r="H242" t="inlineStr">
        <is>
          <t>202602</t>
        </is>
      </c>
      <c r="I242" s="22" t="n">
        <v>8918835.859999999</v>
      </c>
      <c r="J242" s="23" t="n">
        <v>2.73</v>
      </c>
      <c r="K242" s="24" t="n">
        <v>447</v>
      </c>
      <c r="L242" s="24" t="n">
        <v>8</v>
      </c>
      <c r="M242" t="n">
        <v>62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s="24">
        <f>J242*100-(K242+(1+L242)*12.5)</f>
        <v/>
      </c>
      <c r="U242">
        <f>O242</f>
        <v/>
      </c>
      <c r="V242">
        <f>M242</f>
        <v/>
      </c>
      <c r="W242" s="23">
        <f>LN(1+I242)</f>
        <v/>
      </c>
      <c r="X242">
        <f>IF(G242&gt;=2021,1,0)</f>
        <v/>
      </c>
      <c r="Y242">
        <f>N242</f>
        <v/>
      </c>
      <c r="Z242" s="23">
        <f>IF(ISNUMBER(M242),N242/MAX(M242,1),0)</f>
        <v/>
      </c>
      <c r="AA242">
        <f>P242</f>
        <v/>
      </c>
      <c r="AB242">
        <f>Q242</f>
        <v/>
      </c>
      <c r="AC242">
        <f>R242</f>
        <v/>
      </c>
      <c r="AD242">
        <f>S242</f>
        <v/>
      </c>
      <c r="AE242">
        <f>IF(ISNUMBER(SEARCH("CAPITAL FUNDING",D242)),1,0)</f>
        <v/>
      </c>
      <c r="AF242">
        <f>IF(ISNUMBER(SEARCH("MERCHANTS",D242)),1,0)</f>
        <v/>
      </c>
      <c r="AG242">
        <f>IF(ISNUMBER(SEARCH("WELLS FARGO",D242)),1,0)</f>
        <v/>
      </c>
      <c r="AH242">
        <f>IF(ISNUMBER(SEARCH("WALKER",D242)),1,0)</f>
        <v/>
      </c>
      <c r="AI242">
        <f>IF(ISNUMBER(SEARCH("PNC",D242)),1,0)</f>
        <v/>
      </c>
      <c r="AJ242">
        <f>IF(ISNUMBER(SEARCH("BERKADIA",D242)),1,0)</f>
        <v/>
      </c>
      <c r="AK242">
        <f>IF(ISNUMBER(SEARCH("DWIGHT",D242)),1,0)</f>
        <v/>
      </c>
      <c r="AL242" s="25">
        <f>T$4*(T242-T$3)</f>
        <v/>
      </c>
      <c r="AM242" s="25">
        <f>U$4*(U242-U$3)</f>
        <v/>
      </c>
      <c r="AN242" s="25">
        <f>V$4*(V242-V$3)</f>
        <v/>
      </c>
      <c r="AO242" s="25">
        <f>W$4*(W242-W$3)</f>
        <v/>
      </c>
      <c r="AP242" s="25">
        <f>X$4*(X242-X$3)</f>
        <v/>
      </c>
      <c r="AQ242" s="25">
        <f>Y$4*(Y242-Y$3)</f>
        <v/>
      </c>
      <c r="AR242" s="25">
        <f>Z$4*(Z242-Z$3)</f>
        <v/>
      </c>
      <c r="AS242" s="25">
        <f>AA$4*(AA242-AA$3)</f>
        <v/>
      </c>
      <c r="AT242" s="25">
        <f>AB$4*(AB242-AB$3)</f>
        <v/>
      </c>
      <c r="AU242" s="25">
        <f>AC$4*(AC242-AC$3)</f>
        <v/>
      </c>
      <c r="AV242" s="25">
        <f>AD$4*(AD242-AD$3)</f>
        <v/>
      </c>
      <c r="AW242" s="25">
        <f>AE$4*(AE242-AE$3)</f>
        <v/>
      </c>
      <c r="AX242" s="25">
        <f>AF$4*(AF242-AF$3)</f>
        <v/>
      </c>
      <c r="AY242" s="25">
        <f>AG$4*(AG242-AG$3)</f>
        <v/>
      </c>
      <c r="AZ242" s="25">
        <f>AH$4*(AH242-AH$3)</f>
        <v/>
      </c>
      <c r="BA242" s="25">
        <f>AI$4*(AI242-AI$3)</f>
        <v/>
      </c>
      <c r="BB242" s="25">
        <f>AJ$4*(AJ242-AJ$3)</f>
        <v/>
      </c>
      <c r="BC242" s="25">
        <f>AK$4*(AK242-AK$3)</f>
        <v/>
      </c>
      <c r="BD242" s="26">
        <f>SUM(AL242:BC242)</f>
        <v/>
      </c>
      <c r="BE242" s="26">
        <f>INTERCEPT_SCALED+BD242</f>
        <v/>
      </c>
      <c r="BF242" s="27">
        <f>1/(1+EXP(-BE242))</f>
        <v/>
      </c>
      <c r="BG242" s="13">
        <f>1-(1-BF242)^12</f>
        <v/>
      </c>
      <c r="BH242" s="13">
        <f>IFERROR(AL242/BD242*(BG242-BASELINE_CPR),0)</f>
        <v/>
      </c>
      <c r="BI242" s="13">
        <f>IFERROR(AM242/BD242*(BG242-BASELINE_CPR),0)</f>
        <v/>
      </c>
      <c r="BJ242" s="13">
        <f>IFERROR(AN242/BD242*(BG242-BASELINE_CPR),0)</f>
        <v/>
      </c>
      <c r="BK242" s="13">
        <f>IFERROR(AO242/BD242*(BG242-BASELINE_CPR),0)</f>
        <v/>
      </c>
      <c r="BL242" s="13">
        <f>IFERROR(AP242/BD242*(BG242-BASELINE_CPR),0)</f>
        <v/>
      </c>
      <c r="BM242" s="13">
        <f>IFERROR(AQ242/BD242*(BG242-BASELINE_CPR),0)</f>
        <v/>
      </c>
      <c r="BN242" s="13">
        <f>IFERROR(AR242/BD242*(BG242-BASELINE_CPR),0)</f>
        <v/>
      </c>
      <c r="BO242" s="13">
        <f>IFERROR(AS242/BD242*(BG242-BASELINE_CPR),0)</f>
        <v/>
      </c>
      <c r="BP242" s="13">
        <f>IFERROR(AT242/BD242*(BG242-BASELINE_CPR),0)</f>
        <v/>
      </c>
      <c r="BQ242" s="13">
        <f>IFERROR(AU242/BD242*(BG242-BASELINE_CPR),0)</f>
        <v/>
      </c>
      <c r="BR242" s="13">
        <f>IFERROR(AV242/BD242*(BG242-BASELINE_CPR),0)</f>
        <v/>
      </c>
      <c r="BS242" s="13">
        <f>IFERROR(AW242/BD242*(BG242-BASELINE_CPR),0)</f>
        <v/>
      </c>
      <c r="BT242" s="13">
        <f>IFERROR(AX242/BD242*(BG242-BASELINE_CPR),0)</f>
        <v/>
      </c>
      <c r="BU242" s="13">
        <f>IFERROR(AY242/BD242*(BG242-BASELINE_CPR),0)</f>
        <v/>
      </c>
      <c r="BV242" s="13">
        <f>IFERROR(AZ242/BD242*(BG242-BASELINE_CPR),0)</f>
        <v/>
      </c>
      <c r="BW242" s="13">
        <f>IFERROR(BA242/BD242*(BG242-BASELINE_CPR),0)</f>
        <v/>
      </c>
      <c r="BX242" s="13">
        <f>IFERROR(BB242/BD242*(BG242-BASELINE_CPR),0)</f>
        <v/>
      </c>
      <c r="BY242" s="13">
        <f>IFERROR(BC242/BD242*(BG242-BASELINE_CPR),0)</f>
        <v/>
      </c>
      <c r="BZ242" s="28">
        <f>BASELINE_CPR+SUM(BH242:BY242)-BG242</f>
        <v/>
      </c>
    </row>
    <row r="243">
      <c r="A243" s="2" t="inlineStr">
        <is>
          <t>3617NUMG8_000000008611114</t>
        </is>
      </c>
      <c r="B243" t="inlineStr">
        <is>
          <t>BELLWETHER_PRE21</t>
        </is>
      </c>
      <c r="C243" s="2" t="inlineStr">
        <is>
          <t>3617NUMG8</t>
        </is>
      </c>
      <c r="D243" t="inlineStr">
        <is>
          <t>BELLWETHER ENTERPRISE REAL ESTATE CAPITA</t>
        </is>
      </c>
      <c r="E243" t="inlineStr">
        <is>
          <t>223f</t>
        </is>
      </c>
      <c r="F243" t="inlineStr">
        <is>
          <t>RP</t>
        </is>
      </c>
      <c r="G243" t="n">
        <v>2020</v>
      </c>
      <c r="H243" t="inlineStr">
        <is>
          <t>202602</t>
        </is>
      </c>
      <c r="I243" s="22" t="n">
        <v>11462433.94</v>
      </c>
      <c r="J243" s="23" t="n">
        <v>3.32</v>
      </c>
      <c r="K243" s="24" t="n">
        <v>447</v>
      </c>
      <c r="L243" s="24" t="n">
        <v>6</v>
      </c>
      <c r="M243" t="n">
        <v>63</v>
      </c>
      <c r="N243" t="n">
        <v>14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s="24">
        <f>J243*100-(K243+(1+L243)*12.5)</f>
        <v/>
      </c>
      <c r="U243">
        <f>O243</f>
        <v/>
      </c>
      <c r="V243">
        <f>M243</f>
        <v/>
      </c>
      <c r="W243" s="23">
        <f>LN(1+I243)</f>
        <v/>
      </c>
      <c r="X243">
        <f>IF(G243&gt;=2021,1,0)</f>
        <v/>
      </c>
      <c r="Y243">
        <f>N243</f>
        <v/>
      </c>
      <c r="Z243" s="23">
        <f>IF(ISNUMBER(M243),N243/MAX(M243,1),0)</f>
        <v/>
      </c>
      <c r="AA243">
        <f>P243</f>
        <v/>
      </c>
      <c r="AB243">
        <f>Q243</f>
        <v/>
      </c>
      <c r="AC243">
        <f>R243</f>
        <v/>
      </c>
      <c r="AD243">
        <f>S243</f>
        <v/>
      </c>
      <c r="AE243">
        <f>IF(ISNUMBER(SEARCH("CAPITAL FUNDING",D243)),1,0)</f>
        <v/>
      </c>
      <c r="AF243">
        <f>IF(ISNUMBER(SEARCH("MERCHANTS",D243)),1,0)</f>
        <v/>
      </c>
      <c r="AG243">
        <f>IF(ISNUMBER(SEARCH("WELLS FARGO",D243)),1,0)</f>
        <v/>
      </c>
      <c r="AH243">
        <f>IF(ISNUMBER(SEARCH("WALKER",D243)),1,0)</f>
        <v/>
      </c>
      <c r="AI243">
        <f>IF(ISNUMBER(SEARCH("PNC",D243)),1,0)</f>
        <v/>
      </c>
      <c r="AJ243">
        <f>IF(ISNUMBER(SEARCH("BERKADIA",D243)),1,0)</f>
        <v/>
      </c>
      <c r="AK243">
        <f>IF(ISNUMBER(SEARCH("DWIGHT",D243)),1,0)</f>
        <v/>
      </c>
      <c r="AL243" s="25">
        <f>T$4*(T243-T$3)</f>
        <v/>
      </c>
      <c r="AM243" s="25">
        <f>U$4*(U243-U$3)</f>
        <v/>
      </c>
      <c r="AN243" s="25">
        <f>V$4*(V243-V$3)</f>
        <v/>
      </c>
      <c r="AO243" s="25">
        <f>W$4*(W243-W$3)</f>
        <v/>
      </c>
      <c r="AP243" s="25">
        <f>X$4*(X243-X$3)</f>
        <v/>
      </c>
      <c r="AQ243" s="25">
        <f>Y$4*(Y243-Y$3)</f>
        <v/>
      </c>
      <c r="AR243" s="25">
        <f>Z$4*(Z243-Z$3)</f>
        <v/>
      </c>
      <c r="AS243" s="25">
        <f>AA$4*(AA243-AA$3)</f>
        <v/>
      </c>
      <c r="AT243" s="25">
        <f>AB$4*(AB243-AB$3)</f>
        <v/>
      </c>
      <c r="AU243" s="25">
        <f>AC$4*(AC243-AC$3)</f>
        <v/>
      </c>
      <c r="AV243" s="25">
        <f>AD$4*(AD243-AD$3)</f>
        <v/>
      </c>
      <c r="AW243" s="25">
        <f>AE$4*(AE243-AE$3)</f>
        <v/>
      </c>
      <c r="AX243" s="25">
        <f>AF$4*(AF243-AF$3)</f>
        <v/>
      </c>
      <c r="AY243" s="25">
        <f>AG$4*(AG243-AG$3)</f>
        <v/>
      </c>
      <c r="AZ243" s="25">
        <f>AH$4*(AH243-AH$3)</f>
        <v/>
      </c>
      <c r="BA243" s="25">
        <f>AI$4*(AI243-AI$3)</f>
        <v/>
      </c>
      <c r="BB243" s="25">
        <f>AJ$4*(AJ243-AJ$3)</f>
        <v/>
      </c>
      <c r="BC243" s="25">
        <f>AK$4*(AK243-AK$3)</f>
        <v/>
      </c>
      <c r="BD243" s="26">
        <f>SUM(AL243:BC243)</f>
        <v/>
      </c>
      <c r="BE243" s="26">
        <f>INTERCEPT_SCALED+BD243</f>
        <v/>
      </c>
      <c r="BF243" s="27">
        <f>1/(1+EXP(-BE243))</f>
        <v/>
      </c>
      <c r="BG243" s="13">
        <f>1-(1-BF243)^12</f>
        <v/>
      </c>
      <c r="BH243" s="13">
        <f>IFERROR(AL243/BD243*(BG243-BASELINE_CPR),0)</f>
        <v/>
      </c>
      <c r="BI243" s="13">
        <f>IFERROR(AM243/BD243*(BG243-BASELINE_CPR),0)</f>
        <v/>
      </c>
      <c r="BJ243" s="13">
        <f>IFERROR(AN243/BD243*(BG243-BASELINE_CPR),0)</f>
        <v/>
      </c>
      <c r="BK243" s="13">
        <f>IFERROR(AO243/BD243*(BG243-BASELINE_CPR),0)</f>
        <v/>
      </c>
      <c r="BL243" s="13">
        <f>IFERROR(AP243/BD243*(BG243-BASELINE_CPR),0)</f>
        <v/>
      </c>
      <c r="BM243" s="13">
        <f>IFERROR(AQ243/BD243*(BG243-BASELINE_CPR),0)</f>
        <v/>
      </c>
      <c r="BN243" s="13">
        <f>IFERROR(AR243/BD243*(BG243-BASELINE_CPR),0)</f>
        <v/>
      </c>
      <c r="BO243" s="13">
        <f>IFERROR(AS243/BD243*(BG243-BASELINE_CPR),0)</f>
        <v/>
      </c>
      <c r="BP243" s="13">
        <f>IFERROR(AT243/BD243*(BG243-BASELINE_CPR),0)</f>
        <v/>
      </c>
      <c r="BQ243" s="13">
        <f>IFERROR(AU243/BD243*(BG243-BASELINE_CPR),0)</f>
        <v/>
      </c>
      <c r="BR243" s="13">
        <f>IFERROR(AV243/BD243*(BG243-BASELINE_CPR),0)</f>
        <v/>
      </c>
      <c r="BS243" s="13">
        <f>IFERROR(AW243/BD243*(BG243-BASELINE_CPR),0)</f>
        <v/>
      </c>
      <c r="BT243" s="13">
        <f>IFERROR(AX243/BD243*(BG243-BASELINE_CPR),0)</f>
        <v/>
      </c>
      <c r="BU243" s="13">
        <f>IFERROR(AY243/BD243*(BG243-BASELINE_CPR),0)</f>
        <v/>
      </c>
      <c r="BV243" s="13">
        <f>IFERROR(AZ243/BD243*(BG243-BASELINE_CPR),0)</f>
        <v/>
      </c>
      <c r="BW243" s="13">
        <f>IFERROR(BA243/BD243*(BG243-BASELINE_CPR),0)</f>
        <v/>
      </c>
      <c r="BX243" s="13">
        <f>IFERROR(BB243/BD243*(BG243-BASELINE_CPR),0)</f>
        <v/>
      </c>
      <c r="BY243" s="13">
        <f>IFERROR(BC243/BD243*(BG243-BASELINE_CPR),0)</f>
        <v/>
      </c>
      <c r="BZ243" s="28">
        <f>BASELINE_CPR+SUM(BH243:BY243)-BG243</f>
        <v/>
      </c>
    </row>
    <row r="244">
      <c r="A244" s="2" t="inlineStr">
        <is>
          <t>3617J2LD3_022059807196924</t>
        </is>
      </c>
      <c r="B244" t="inlineStr">
        <is>
          <t>BELLWETHER_PRE21</t>
        </is>
      </c>
      <c r="C244" s="2" t="inlineStr">
        <is>
          <t>3617J2LD3</t>
        </is>
      </c>
      <c r="D244" t="inlineStr">
        <is>
          <t>BELLWETHER ENTERPRISE REAL ESTATE CAPITA</t>
        </is>
      </c>
      <c r="E244" t="inlineStr">
        <is>
          <t>538</t>
        </is>
      </c>
      <c r="F244" t="inlineStr">
        <is>
          <t>538</t>
        </is>
      </c>
      <c r="G244" t="n">
        <v>2018</v>
      </c>
      <c r="H244" t="inlineStr">
        <is>
          <t>202602</t>
        </is>
      </c>
      <c r="I244" s="22" t="n">
        <v>4774266.46</v>
      </c>
      <c r="J244" s="23" t="n">
        <v>5.18</v>
      </c>
      <c r="K244" s="24" t="n">
        <v>447</v>
      </c>
      <c r="L244" s="24" t="n">
        <v>5</v>
      </c>
      <c r="M244" t="n">
        <v>87</v>
      </c>
      <c r="N244" t="n">
        <v>13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s="24">
        <f>J244*100-(K244+(1+L244)*12.5)</f>
        <v/>
      </c>
      <c r="U244">
        <f>O244</f>
        <v/>
      </c>
      <c r="V244">
        <f>M244</f>
        <v/>
      </c>
      <c r="W244" s="23">
        <f>LN(1+I244)</f>
        <v/>
      </c>
      <c r="X244">
        <f>IF(G244&gt;=2021,1,0)</f>
        <v/>
      </c>
      <c r="Y244">
        <f>N244</f>
        <v/>
      </c>
      <c r="Z244" s="23">
        <f>IF(ISNUMBER(M244),N244/MAX(M244,1),0)</f>
        <v/>
      </c>
      <c r="AA244">
        <f>P244</f>
        <v/>
      </c>
      <c r="AB244">
        <f>Q244</f>
        <v/>
      </c>
      <c r="AC244">
        <f>R244</f>
        <v/>
      </c>
      <c r="AD244">
        <f>S244</f>
        <v/>
      </c>
      <c r="AE244">
        <f>IF(ISNUMBER(SEARCH("CAPITAL FUNDING",D244)),1,0)</f>
        <v/>
      </c>
      <c r="AF244">
        <f>IF(ISNUMBER(SEARCH("MERCHANTS",D244)),1,0)</f>
        <v/>
      </c>
      <c r="AG244">
        <f>IF(ISNUMBER(SEARCH("WELLS FARGO",D244)),1,0)</f>
        <v/>
      </c>
      <c r="AH244">
        <f>IF(ISNUMBER(SEARCH("WALKER",D244)),1,0)</f>
        <v/>
      </c>
      <c r="AI244">
        <f>IF(ISNUMBER(SEARCH("PNC",D244)),1,0)</f>
        <v/>
      </c>
      <c r="AJ244">
        <f>IF(ISNUMBER(SEARCH("BERKADIA",D244)),1,0)</f>
        <v/>
      </c>
      <c r="AK244">
        <f>IF(ISNUMBER(SEARCH("DWIGHT",D244)),1,0)</f>
        <v/>
      </c>
      <c r="AL244" s="25">
        <f>T$4*(T244-T$3)</f>
        <v/>
      </c>
      <c r="AM244" s="25">
        <f>U$4*(U244-U$3)</f>
        <v/>
      </c>
      <c r="AN244" s="25">
        <f>V$4*(V244-V$3)</f>
        <v/>
      </c>
      <c r="AO244" s="25">
        <f>W$4*(W244-W$3)</f>
        <v/>
      </c>
      <c r="AP244" s="25">
        <f>X$4*(X244-X$3)</f>
        <v/>
      </c>
      <c r="AQ244" s="25">
        <f>Y$4*(Y244-Y$3)</f>
        <v/>
      </c>
      <c r="AR244" s="25">
        <f>Z$4*(Z244-Z$3)</f>
        <v/>
      </c>
      <c r="AS244" s="25">
        <f>AA$4*(AA244-AA$3)</f>
        <v/>
      </c>
      <c r="AT244" s="25">
        <f>AB$4*(AB244-AB$3)</f>
        <v/>
      </c>
      <c r="AU244" s="25">
        <f>AC$4*(AC244-AC$3)</f>
        <v/>
      </c>
      <c r="AV244" s="25">
        <f>AD$4*(AD244-AD$3)</f>
        <v/>
      </c>
      <c r="AW244" s="25">
        <f>AE$4*(AE244-AE$3)</f>
        <v/>
      </c>
      <c r="AX244" s="25">
        <f>AF$4*(AF244-AF$3)</f>
        <v/>
      </c>
      <c r="AY244" s="25">
        <f>AG$4*(AG244-AG$3)</f>
        <v/>
      </c>
      <c r="AZ244" s="25">
        <f>AH$4*(AH244-AH$3)</f>
        <v/>
      </c>
      <c r="BA244" s="25">
        <f>AI$4*(AI244-AI$3)</f>
        <v/>
      </c>
      <c r="BB244" s="25">
        <f>AJ$4*(AJ244-AJ$3)</f>
        <v/>
      </c>
      <c r="BC244" s="25">
        <f>AK$4*(AK244-AK$3)</f>
        <v/>
      </c>
      <c r="BD244" s="26">
        <f>SUM(AL244:BC244)</f>
        <v/>
      </c>
      <c r="BE244" s="26">
        <f>INTERCEPT_SCALED+BD244</f>
        <v/>
      </c>
      <c r="BF244" s="27">
        <f>1/(1+EXP(-BE244))</f>
        <v/>
      </c>
      <c r="BG244" s="13">
        <f>1-(1-BF244)^12</f>
        <v/>
      </c>
      <c r="BH244" s="13">
        <f>IFERROR(AL244/BD244*(BG244-BASELINE_CPR),0)</f>
        <v/>
      </c>
      <c r="BI244" s="13">
        <f>IFERROR(AM244/BD244*(BG244-BASELINE_CPR),0)</f>
        <v/>
      </c>
      <c r="BJ244" s="13">
        <f>IFERROR(AN244/BD244*(BG244-BASELINE_CPR),0)</f>
        <v/>
      </c>
      <c r="BK244" s="13">
        <f>IFERROR(AO244/BD244*(BG244-BASELINE_CPR),0)</f>
        <v/>
      </c>
      <c r="BL244" s="13">
        <f>IFERROR(AP244/BD244*(BG244-BASELINE_CPR),0)</f>
        <v/>
      </c>
      <c r="BM244" s="13">
        <f>IFERROR(AQ244/BD244*(BG244-BASELINE_CPR),0)</f>
        <v/>
      </c>
      <c r="BN244" s="13">
        <f>IFERROR(AR244/BD244*(BG244-BASELINE_CPR),0)</f>
        <v/>
      </c>
      <c r="BO244" s="13">
        <f>IFERROR(AS244/BD244*(BG244-BASELINE_CPR),0)</f>
        <v/>
      </c>
      <c r="BP244" s="13">
        <f>IFERROR(AT244/BD244*(BG244-BASELINE_CPR),0)</f>
        <v/>
      </c>
      <c r="BQ244" s="13">
        <f>IFERROR(AU244/BD244*(BG244-BASELINE_CPR),0)</f>
        <v/>
      </c>
      <c r="BR244" s="13">
        <f>IFERROR(AV244/BD244*(BG244-BASELINE_CPR),0)</f>
        <v/>
      </c>
      <c r="BS244" s="13">
        <f>IFERROR(AW244/BD244*(BG244-BASELINE_CPR),0)</f>
        <v/>
      </c>
      <c r="BT244" s="13">
        <f>IFERROR(AX244/BD244*(BG244-BASELINE_CPR),0)</f>
        <v/>
      </c>
      <c r="BU244" s="13">
        <f>IFERROR(AY244/BD244*(BG244-BASELINE_CPR),0)</f>
        <v/>
      </c>
      <c r="BV244" s="13">
        <f>IFERROR(AZ244/BD244*(BG244-BASELINE_CPR),0)</f>
        <v/>
      </c>
      <c r="BW244" s="13">
        <f>IFERROR(BA244/BD244*(BG244-BASELINE_CPR),0)</f>
        <v/>
      </c>
      <c r="BX244" s="13">
        <f>IFERROR(BB244/BD244*(BG244-BASELINE_CPR),0)</f>
        <v/>
      </c>
      <c r="BY244" s="13">
        <f>IFERROR(BC244/BD244*(BG244-BASELINE_CPR),0)</f>
        <v/>
      </c>
      <c r="BZ244" s="28">
        <f>BASELINE_CPR+SUM(BH244:BY244)-BG244</f>
        <v/>
      </c>
    </row>
    <row r="245">
      <c r="A245" s="2" t="inlineStr">
        <is>
          <t>3617N3LE4_480780170490734</t>
        </is>
      </c>
      <c r="B245" t="inlineStr">
        <is>
          <t>BELLWETHER_PRE21</t>
        </is>
      </c>
      <c r="C245" s="2" t="inlineStr">
        <is>
          <t>3617N3LE4</t>
        </is>
      </c>
      <c r="D245" t="inlineStr">
        <is>
          <t>BELLWETHER ENTERPRISE REAL ESTATE CAPITA</t>
        </is>
      </c>
      <c r="E245" t="inlineStr">
        <is>
          <t>538</t>
        </is>
      </c>
      <c r="F245" t="inlineStr">
        <is>
          <t>538</t>
        </is>
      </c>
      <c r="G245" t="n">
        <v>2020</v>
      </c>
      <c r="H245" t="inlineStr">
        <is>
          <t>202602</t>
        </is>
      </c>
      <c r="I245" s="22" t="n">
        <v>2710215.67</v>
      </c>
      <c r="J245" s="23" t="n">
        <v>3.78</v>
      </c>
      <c r="K245" s="24" t="n">
        <v>447</v>
      </c>
      <c r="L245" s="24" t="n">
        <v>6</v>
      </c>
      <c r="M245" t="n">
        <v>67</v>
      </c>
      <c r="N245" t="n">
        <v>24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s="24">
        <f>J245*100-(K245+(1+L245)*12.5)</f>
        <v/>
      </c>
      <c r="U245">
        <f>O245</f>
        <v/>
      </c>
      <c r="V245">
        <f>M245</f>
        <v/>
      </c>
      <c r="W245" s="23">
        <f>LN(1+I245)</f>
        <v/>
      </c>
      <c r="X245">
        <f>IF(G245&gt;=2021,1,0)</f>
        <v/>
      </c>
      <c r="Y245">
        <f>N245</f>
        <v/>
      </c>
      <c r="Z245" s="23">
        <f>IF(ISNUMBER(M245),N245/MAX(M245,1),0)</f>
        <v/>
      </c>
      <c r="AA245">
        <f>P245</f>
        <v/>
      </c>
      <c r="AB245">
        <f>Q245</f>
        <v/>
      </c>
      <c r="AC245">
        <f>R245</f>
        <v/>
      </c>
      <c r="AD245">
        <f>S245</f>
        <v/>
      </c>
      <c r="AE245">
        <f>IF(ISNUMBER(SEARCH("CAPITAL FUNDING",D245)),1,0)</f>
        <v/>
      </c>
      <c r="AF245">
        <f>IF(ISNUMBER(SEARCH("MERCHANTS",D245)),1,0)</f>
        <v/>
      </c>
      <c r="AG245">
        <f>IF(ISNUMBER(SEARCH("WELLS FARGO",D245)),1,0)</f>
        <v/>
      </c>
      <c r="AH245">
        <f>IF(ISNUMBER(SEARCH("WALKER",D245)),1,0)</f>
        <v/>
      </c>
      <c r="AI245">
        <f>IF(ISNUMBER(SEARCH("PNC",D245)),1,0)</f>
        <v/>
      </c>
      <c r="AJ245">
        <f>IF(ISNUMBER(SEARCH("BERKADIA",D245)),1,0)</f>
        <v/>
      </c>
      <c r="AK245">
        <f>IF(ISNUMBER(SEARCH("DWIGHT",D245)),1,0)</f>
        <v/>
      </c>
      <c r="AL245" s="25">
        <f>T$4*(T245-T$3)</f>
        <v/>
      </c>
      <c r="AM245" s="25">
        <f>U$4*(U245-U$3)</f>
        <v/>
      </c>
      <c r="AN245" s="25">
        <f>V$4*(V245-V$3)</f>
        <v/>
      </c>
      <c r="AO245" s="25">
        <f>W$4*(W245-W$3)</f>
        <v/>
      </c>
      <c r="AP245" s="25">
        <f>X$4*(X245-X$3)</f>
        <v/>
      </c>
      <c r="AQ245" s="25">
        <f>Y$4*(Y245-Y$3)</f>
        <v/>
      </c>
      <c r="AR245" s="25">
        <f>Z$4*(Z245-Z$3)</f>
        <v/>
      </c>
      <c r="AS245" s="25">
        <f>AA$4*(AA245-AA$3)</f>
        <v/>
      </c>
      <c r="AT245" s="25">
        <f>AB$4*(AB245-AB$3)</f>
        <v/>
      </c>
      <c r="AU245" s="25">
        <f>AC$4*(AC245-AC$3)</f>
        <v/>
      </c>
      <c r="AV245" s="25">
        <f>AD$4*(AD245-AD$3)</f>
        <v/>
      </c>
      <c r="AW245" s="25">
        <f>AE$4*(AE245-AE$3)</f>
        <v/>
      </c>
      <c r="AX245" s="25">
        <f>AF$4*(AF245-AF$3)</f>
        <v/>
      </c>
      <c r="AY245" s="25">
        <f>AG$4*(AG245-AG$3)</f>
        <v/>
      </c>
      <c r="AZ245" s="25">
        <f>AH$4*(AH245-AH$3)</f>
        <v/>
      </c>
      <c r="BA245" s="25">
        <f>AI$4*(AI245-AI$3)</f>
        <v/>
      </c>
      <c r="BB245" s="25">
        <f>AJ$4*(AJ245-AJ$3)</f>
        <v/>
      </c>
      <c r="BC245" s="25">
        <f>AK$4*(AK245-AK$3)</f>
        <v/>
      </c>
      <c r="BD245" s="26">
        <f>SUM(AL245:BC245)</f>
        <v/>
      </c>
      <c r="BE245" s="26">
        <f>INTERCEPT_SCALED+BD245</f>
        <v/>
      </c>
      <c r="BF245" s="27">
        <f>1/(1+EXP(-BE245))</f>
        <v/>
      </c>
      <c r="BG245" s="13">
        <f>1-(1-BF245)^12</f>
        <v/>
      </c>
      <c r="BH245" s="13">
        <f>IFERROR(AL245/BD245*(BG245-BASELINE_CPR),0)</f>
        <v/>
      </c>
      <c r="BI245" s="13">
        <f>IFERROR(AM245/BD245*(BG245-BASELINE_CPR),0)</f>
        <v/>
      </c>
      <c r="BJ245" s="13">
        <f>IFERROR(AN245/BD245*(BG245-BASELINE_CPR),0)</f>
        <v/>
      </c>
      <c r="BK245" s="13">
        <f>IFERROR(AO245/BD245*(BG245-BASELINE_CPR),0)</f>
        <v/>
      </c>
      <c r="BL245" s="13">
        <f>IFERROR(AP245/BD245*(BG245-BASELINE_CPR),0)</f>
        <v/>
      </c>
      <c r="BM245" s="13">
        <f>IFERROR(AQ245/BD245*(BG245-BASELINE_CPR),0)</f>
        <v/>
      </c>
      <c r="BN245" s="13">
        <f>IFERROR(AR245/BD245*(BG245-BASELINE_CPR),0)</f>
        <v/>
      </c>
      <c r="BO245" s="13">
        <f>IFERROR(AS245/BD245*(BG245-BASELINE_CPR),0)</f>
        <v/>
      </c>
      <c r="BP245" s="13">
        <f>IFERROR(AT245/BD245*(BG245-BASELINE_CPR),0)</f>
        <v/>
      </c>
      <c r="BQ245" s="13">
        <f>IFERROR(AU245/BD245*(BG245-BASELINE_CPR),0)</f>
        <v/>
      </c>
      <c r="BR245" s="13">
        <f>IFERROR(AV245/BD245*(BG245-BASELINE_CPR),0)</f>
        <v/>
      </c>
      <c r="BS245" s="13">
        <f>IFERROR(AW245/BD245*(BG245-BASELINE_CPR),0)</f>
        <v/>
      </c>
      <c r="BT245" s="13">
        <f>IFERROR(AX245/BD245*(BG245-BASELINE_CPR),0)</f>
        <v/>
      </c>
      <c r="BU245" s="13">
        <f>IFERROR(AY245/BD245*(BG245-BASELINE_CPR),0)</f>
        <v/>
      </c>
      <c r="BV245" s="13">
        <f>IFERROR(AZ245/BD245*(BG245-BASELINE_CPR),0)</f>
        <v/>
      </c>
      <c r="BW245" s="13">
        <f>IFERROR(BA245/BD245*(BG245-BASELINE_CPR),0)</f>
        <v/>
      </c>
      <c r="BX245" s="13">
        <f>IFERROR(BB245/BD245*(BG245-BASELINE_CPR),0)</f>
        <v/>
      </c>
      <c r="BY245" s="13">
        <f>IFERROR(BC245/BD245*(BG245-BASELINE_CPR),0)</f>
        <v/>
      </c>
      <c r="BZ245" s="28">
        <f>BASELINE_CPR+SUM(BH245:BY245)-BG245</f>
        <v/>
      </c>
    </row>
    <row r="246">
      <c r="A246" s="2" t="inlineStr">
        <is>
          <t>3617FTUM8_460400851006696</t>
        </is>
      </c>
      <c r="B246" t="inlineStr">
        <is>
          <t>BELLWETHER_POST21</t>
        </is>
      </c>
      <c r="C246" s="2" t="inlineStr">
        <is>
          <t>3617FTUM8</t>
        </is>
      </c>
      <c r="D246" t="inlineStr">
        <is>
          <t>BELLWETHER ENTERPRISE REAL ESTATE CAPITA</t>
        </is>
      </c>
      <c r="E246" t="inlineStr">
        <is>
          <t>538</t>
        </is>
      </c>
      <c r="F246" t="inlineStr">
        <is>
          <t>538</t>
        </is>
      </c>
      <c r="G246" t="n">
        <v>2022</v>
      </c>
      <c r="H246" t="inlineStr">
        <is>
          <t>202602</t>
        </is>
      </c>
      <c r="I246" s="22" t="n">
        <v>1236900.2</v>
      </c>
      <c r="J246" s="23" t="n">
        <v>3.89</v>
      </c>
      <c r="K246" s="24" t="n">
        <v>447</v>
      </c>
      <c r="L246" s="24" t="n">
        <v>8</v>
      </c>
      <c r="M246" t="n">
        <v>38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s="24">
        <f>J246*100-(K246+(1+L246)*12.5)</f>
        <v/>
      </c>
      <c r="U246">
        <f>O246</f>
        <v/>
      </c>
      <c r="V246">
        <f>M246</f>
        <v/>
      </c>
      <c r="W246" s="23">
        <f>LN(1+I246)</f>
        <v/>
      </c>
      <c r="X246">
        <f>IF(G246&gt;=2021,1,0)</f>
        <v/>
      </c>
      <c r="Y246">
        <f>N246</f>
        <v/>
      </c>
      <c r="Z246" s="23">
        <f>IF(ISNUMBER(M246),N246/MAX(M246,1),0)</f>
        <v/>
      </c>
      <c r="AA246">
        <f>P246</f>
        <v/>
      </c>
      <c r="AB246">
        <f>Q246</f>
        <v/>
      </c>
      <c r="AC246">
        <f>R246</f>
        <v/>
      </c>
      <c r="AD246">
        <f>S246</f>
        <v/>
      </c>
      <c r="AE246">
        <f>IF(ISNUMBER(SEARCH("CAPITAL FUNDING",D246)),1,0)</f>
        <v/>
      </c>
      <c r="AF246">
        <f>IF(ISNUMBER(SEARCH("MERCHANTS",D246)),1,0)</f>
        <v/>
      </c>
      <c r="AG246">
        <f>IF(ISNUMBER(SEARCH("WELLS FARGO",D246)),1,0)</f>
        <v/>
      </c>
      <c r="AH246">
        <f>IF(ISNUMBER(SEARCH("WALKER",D246)),1,0)</f>
        <v/>
      </c>
      <c r="AI246">
        <f>IF(ISNUMBER(SEARCH("PNC",D246)),1,0)</f>
        <v/>
      </c>
      <c r="AJ246">
        <f>IF(ISNUMBER(SEARCH("BERKADIA",D246)),1,0)</f>
        <v/>
      </c>
      <c r="AK246">
        <f>IF(ISNUMBER(SEARCH("DWIGHT",D246)),1,0)</f>
        <v/>
      </c>
      <c r="AL246" s="25">
        <f>T$4*(T246-T$3)</f>
        <v/>
      </c>
      <c r="AM246" s="25">
        <f>U$4*(U246-U$3)</f>
        <v/>
      </c>
      <c r="AN246" s="25">
        <f>V$4*(V246-V$3)</f>
        <v/>
      </c>
      <c r="AO246" s="25">
        <f>W$4*(W246-W$3)</f>
        <v/>
      </c>
      <c r="AP246" s="25">
        <f>X$4*(X246-X$3)</f>
        <v/>
      </c>
      <c r="AQ246" s="25">
        <f>Y$4*(Y246-Y$3)</f>
        <v/>
      </c>
      <c r="AR246" s="25">
        <f>Z$4*(Z246-Z$3)</f>
        <v/>
      </c>
      <c r="AS246" s="25">
        <f>AA$4*(AA246-AA$3)</f>
        <v/>
      </c>
      <c r="AT246" s="25">
        <f>AB$4*(AB246-AB$3)</f>
        <v/>
      </c>
      <c r="AU246" s="25">
        <f>AC$4*(AC246-AC$3)</f>
        <v/>
      </c>
      <c r="AV246" s="25">
        <f>AD$4*(AD246-AD$3)</f>
        <v/>
      </c>
      <c r="AW246" s="25">
        <f>AE$4*(AE246-AE$3)</f>
        <v/>
      </c>
      <c r="AX246" s="25">
        <f>AF$4*(AF246-AF$3)</f>
        <v/>
      </c>
      <c r="AY246" s="25">
        <f>AG$4*(AG246-AG$3)</f>
        <v/>
      </c>
      <c r="AZ246" s="25">
        <f>AH$4*(AH246-AH$3)</f>
        <v/>
      </c>
      <c r="BA246" s="25">
        <f>AI$4*(AI246-AI$3)</f>
        <v/>
      </c>
      <c r="BB246" s="25">
        <f>AJ$4*(AJ246-AJ$3)</f>
        <v/>
      </c>
      <c r="BC246" s="25">
        <f>AK$4*(AK246-AK$3)</f>
        <v/>
      </c>
      <c r="BD246" s="26">
        <f>SUM(AL246:BC246)</f>
        <v/>
      </c>
      <c r="BE246" s="26">
        <f>INTERCEPT_SCALED+BD246</f>
        <v/>
      </c>
      <c r="BF246" s="27">
        <f>1/(1+EXP(-BE246))</f>
        <v/>
      </c>
      <c r="BG246" s="13">
        <f>1-(1-BF246)^12</f>
        <v/>
      </c>
      <c r="BH246" s="13">
        <f>IFERROR(AL246/BD246*(BG246-BASELINE_CPR),0)</f>
        <v/>
      </c>
      <c r="BI246" s="13">
        <f>IFERROR(AM246/BD246*(BG246-BASELINE_CPR),0)</f>
        <v/>
      </c>
      <c r="BJ246" s="13">
        <f>IFERROR(AN246/BD246*(BG246-BASELINE_CPR),0)</f>
        <v/>
      </c>
      <c r="BK246" s="13">
        <f>IFERROR(AO246/BD246*(BG246-BASELINE_CPR),0)</f>
        <v/>
      </c>
      <c r="BL246" s="13">
        <f>IFERROR(AP246/BD246*(BG246-BASELINE_CPR),0)</f>
        <v/>
      </c>
      <c r="BM246" s="13">
        <f>IFERROR(AQ246/BD246*(BG246-BASELINE_CPR),0)</f>
        <v/>
      </c>
      <c r="BN246" s="13">
        <f>IFERROR(AR246/BD246*(BG246-BASELINE_CPR),0)</f>
        <v/>
      </c>
      <c r="BO246" s="13">
        <f>IFERROR(AS246/BD246*(BG246-BASELINE_CPR),0)</f>
        <v/>
      </c>
      <c r="BP246" s="13">
        <f>IFERROR(AT246/BD246*(BG246-BASELINE_CPR),0)</f>
        <v/>
      </c>
      <c r="BQ246" s="13">
        <f>IFERROR(AU246/BD246*(BG246-BASELINE_CPR),0)</f>
        <v/>
      </c>
      <c r="BR246" s="13">
        <f>IFERROR(AV246/BD246*(BG246-BASELINE_CPR),0)</f>
        <v/>
      </c>
      <c r="BS246" s="13">
        <f>IFERROR(AW246/BD246*(BG246-BASELINE_CPR),0)</f>
        <v/>
      </c>
      <c r="BT246" s="13">
        <f>IFERROR(AX246/BD246*(BG246-BASELINE_CPR),0)</f>
        <v/>
      </c>
      <c r="BU246" s="13">
        <f>IFERROR(AY246/BD246*(BG246-BASELINE_CPR),0)</f>
        <v/>
      </c>
      <c r="BV246" s="13">
        <f>IFERROR(AZ246/BD246*(BG246-BASELINE_CPR),0)</f>
        <v/>
      </c>
      <c r="BW246" s="13">
        <f>IFERROR(BA246/BD246*(BG246-BASELINE_CPR),0)</f>
        <v/>
      </c>
      <c r="BX246" s="13">
        <f>IFERROR(BB246/BD246*(BG246-BASELINE_CPR),0)</f>
        <v/>
      </c>
      <c r="BY246" s="13">
        <f>IFERROR(BC246/BD246*(BG246-BASELINE_CPR),0)</f>
        <v/>
      </c>
      <c r="BZ246" s="28">
        <f>BASELINE_CPR+SUM(BH246:BY246)-BG246</f>
        <v/>
      </c>
    </row>
    <row r="247">
      <c r="A247" s="2" t="inlineStr">
        <is>
          <t>36184HR55_000000006411084</t>
        </is>
      </c>
      <c r="B247" t="inlineStr">
        <is>
          <t>PGIM_PRE21</t>
        </is>
      </c>
      <c r="C247" s="2" t="inlineStr">
        <is>
          <t>36184HR55</t>
        </is>
      </c>
      <c r="D247" t="inlineStr">
        <is>
          <t>PGIM REAL ESTATE AGENCY FINANCING, LLC.</t>
        </is>
      </c>
      <c r="E247" t="inlineStr">
        <is>
          <t>223f</t>
        </is>
      </c>
      <c r="F247" t="inlineStr">
        <is>
          <t>RP</t>
        </is>
      </c>
      <c r="G247" t="n">
        <v>2009</v>
      </c>
      <c r="H247" t="inlineStr">
        <is>
          <t>202602</t>
        </is>
      </c>
      <c r="I247" s="22" t="n">
        <v>2217499.69</v>
      </c>
      <c r="J247" s="23" t="n">
        <v>3.77</v>
      </c>
      <c r="K247" s="24" t="n">
        <v>447</v>
      </c>
      <c r="L247" s="24" t="n">
        <v>0</v>
      </c>
      <c r="M247" t="n">
        <v>205</v>
      </c>
      <c r="N247" t="n">
        <v>33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s="24">
        <f>J247*100-(K247+(1+L247)*12.5)</f>
        <v/>
      </c>
      <c r="U247">
        <f>O247</f>
        <v/>
      </c>
      <c r="V247">
        <f>M247</f>
        <v/>
      </c>
      <c r="W247" s="23">
        <f>LN(1+I247)</f>
        <v/>
      </c>
      <c r="X247">
        <f>IF(G247&gt;=2021,1,0)</f>
        <v/>
      </c>
      <c r="Y247">
        <f>N247</f>
        <v/>
      </c>
      <c r="Z247" s="23">
        <f>IF(ISNUMBER(M247),N247/MAX(M247,1),0)</f>
        <v/>
      </c>
      <c r="AA247">
        <f>P247</f>
        <v/>
      </c>
      <c r="AB247">
        <f>Q247</f>
        <v/>
      </c>
      <c r="AC247">
        <f>R247</f>
        <v/>
      </c>
      <c r="AD247">
        <f>S247</f>
        <v/>
      </c>
      <c r="AE247">
        <f>IF(ISNUMBER(SEARCH("CAPITAL FUNDING",D247)),1,0)</f>
        <v/>
      </c>
      <c r="AF247">
        <f>IF(ISNUMBER(SEARCH("MERCHANTS",D247)),1,0)</f>
        <v/>
      </c>
      <c r="AG247">
        <f>IF(ISNUMBER(SEARCH("WELLS FARGO",D247)),1,0)</f>
        <v/>
      </c>
      <c r="AH247">
        <f>IF(ISNUMBER(SEARCH("WALKER",D247)),1,0)</f>
        <v/>
      </c>
      <c r="AI247">
        <f>IF(ISNUMBER(SEARCH("PNC",D247)),1,0)</f>
        <v/>
      </c>
      <c r="AJ247">
        <f>IF(ISNUMBER(SEARCH("BERKADIA",D247)),1,0)</f>
        <v/>
      </c>
      <c r="AK247">
        <f>IF(ISNUMBER(SEARCH("DWIGHT",D247)),1,0)</f>
        <v/>
      </c>
      <c r="AL247" s="25">
        <f>T$4*(T247-T$3)</f>
        <v/>
      </c>
      <c r="AM247" s="25">
        <f>U$4*(U247-U$3)</f>
        <v/>
      </c>
      <c r="AN247" s="25">
        <f>V$4*(V247-V$3)</f>
        <v/>
      </c>
      <c r="AO247" s="25">
        <f>W$4*(W247-W$3)</f>
        <v/>
      </c>
      <c r="AP247" s="25">
        <f>X$4*(X247-X$3)</f>
        <v/>
      </c>
      <c r="AQ247" s="25">
        <f>Y$4*(Y247-Y$3)</f>
        <v/>
      </c>
      <c r="AR247" s="25">
        <f>Z$4*(Z247-Z$3)</f>
        <v/>
      </c>
      <c r="AS247" s="25">
        <f>AA$4*(AA247-AA$3)</f>
        <v/>
      </c>
      <c r="AT247" s="25">
        <f>AB$4*(AB247-AB$3)</f>
        <v/>
      </c>
      <c r="AU247" s="25">
        <f>AC$4*(AC247-AC$3)</f>
        <v/>
      </c>
      <c r="AV247" s="25">
        <f>AD$4*(AD247-AD$3)</f>
        <v/>
      </c>
      <c r="AW247" s="25">
        <f>AE$4*(AE247-AE$3)</f>
        <v/>
      </c>
      <c r="AX247" s="25">
        <f>AF$4*(AF247-AF$3)</f>
        <v/>
      </c>
      <c r="AY247" s="25">
        <f>AG$4*(AG247-AG$3)</f>
        <v/>
      </c>
      <c r="AZ247" s="25">
        <f>AH$4*(AH247-AH$3)</f>
        <v/>
      </c>
      <c r="BA247" s="25">
        <f>AI$4*(AI247-AI$3)</f>
        <v/>
      </c>
      <c r="BB247" s="25">
        <f>AJ$4*(AJ247-AJ$3)</f>
        <v/>
      </c>
      <c r="BC247" s="25">
        <f>AK$4*(AK247-AK$3)</f>
        <v/>
      </c>
      <c r="BD247" s="26">
        <f>SUM(AL247:BC247)</f>
        <v/>
      </c>
      <c r="BE247" s="26">
        <f>INTERCEPT_SCALED+BD247</f>
        <v/>
      </c>
      <c r="BF247" s="27">
        <f>1/(1+EXP(-BE247))</f>
        <v/>
      </c>
      <c r="BG247" s="13">
        <f>1-(1-BF247)^12</f>
        <v/>
      </c>
      <c r="BH247" s="13">
        <f>IFERROR(AL247/BD247*(BG247-BASELINE_CPR),0)</f>
        <v/>
      </c>
      <c r="BI247" s="13">
        <f>IFERROR(AM247/BD247*(BG247-BASELINE_CPR),0)</f>
        <v/>
      </c>
      <c r="BJ247" s="13">
        <f>IFERROR(AN247/BD247*(BG247-BASELINE_CPR),0)</f>
        <v/>
      </c>
      <c r="BK247" s="13">
        <f>IFERROR(AO247/BD247*(BG247-BASELINE_CPR),0)</f>
        <v/>
      </c>
      <c r="BL247" s="13">
        <f>IFERROR(AP247/BD247*(BG247-BASELINE_CPR),0)</f>
        <v/>
      </c>
      <c r="BM247" s="13">
        <f>IFERROR(AQ247/BD247*(BG247-BASELINE_CPR),0)</f>
        <v/>
      </c>
      <c r="BN247" s="13">
        <f>IFERROR(AR247/BD247*(BG247-BASELINE_CPR),0)</f>
        <v/>
      </c>
      <c r="BO247" s="13">
        <f>IFERROR(AS247/BD247*(BG247-BASELINE_CPR),0)</f>
        <v/>
      </c>
      <c r="BP247" s="13">
        <f>IFERROR(AT247/BD247*(BG247-BASELINE_CPR),0)</f>
        <v/>
      </c>
      <c r="BQ247" s="13">
        <f>IFERROR(AU247/BD247*(BG247-BASELINE_CPR),0)</f>
        <v/>
      </c>
      <c r="BR247" s="13">
        <f>IFERROR(AV247/BD247*(BG247-BASELINE_CPR),0)</f>
        <v/>
      </c>
      <c r="BS247" s="13">
        <f>IFERROR(AW247/BD247*(BG247-BASELINE_CPR),0)</f>
        <v/>
      </c>
      <c r="BT247" s="13">
        <f>IFERROR(AX247/BD247*(BG247-BASELINE_CPR),0)</f>
        <v/>
      </c>
      <c r="BU247" s="13">
        <f>IFERROR(AY247/BD247*(BG247-BASELINE_CPR),0)</f>
        <v/>
      </c>
      <c r="BV247" s="13">
        <f>IFERROR(AZ247/BD247*(BG247-BASELINE_CPR),0)</f>
        <v/>
      </c>
      <c r="BW247" s="13">
        <f>IFERROR(BA247/BD247*(BG247-BASELINE_CPR),0)</f>
        <v/>
      </c>
      <c r="BX247" s="13">
        <f>IFERROR(BB247/BD247*(BG247-BASELINE_CPR),0)</f>
        <v/>
      </c>
      <c r="BY247" s="13">
        <f>IFERROR(BC247/BD247*(BG247-BASELINE_CPR),0)</f>
        <v/>
      </c>
      <c r="BZ247" s="28">
        <f>BASELINE_CPR+SUM(BH247:BY247)-BG247</f>
        <v/>
      </c>
    </row>
    <row r="248">
      <c r="A248" s="2" t="inlineStr">
        <is>
          <t>3617UFPP0_000000003435314</t>
        </is>
      </c>
      <c r="B248" t="inlineStr">
        <is>
          <t>PGIM_PRE21</t>
        </is>
      </c>
      <c r="C248" s="2" t="inlineStr">
        <is>
          <t>3617UFPP0</t>
        </is>
      </c>
      <c r="D248" t="inlineStr">
        <is>
          <t>PGIM REAL ESTATE AGENCY FINANCING, LLC.</t>
        </is>
      </c>
      <c r="E248" t="inlineStr">
        <is>
          <t>221d4</t>
        </is>
      </c>
      <c r="F248" t="inlineStr">
        <is>
          <t>NC</t>
        </is>
      </c>
      <c r="G248" t="n">
        <v>2012</v>
      </c>
      <c r="H248" t="inlineStr">
        <is>
          <t>202602</t>
        </is>
      </c>
      <c r="I248" s="22" t="n">
        <v>12296442.63</v>
      </c>
      <c r="J248" s="23" t="n">
        <v>2.54</v>
      </c>
      <c r="K248" s="24" t="n">
        <v>447</v>
      </c>
      <c r="L248" s="24" t="n">
        <v>6</v>
      </c>
      <c r="M248" t="n">
        <v>158</v>
      </c>
      <c r="N248" t="n">
        <v>11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s="24">
        <f>J248*100-(K248+(1+L248)*12.5)</f>
        <v/>
      </c>
      <c r="U248">
        <f>O248</f>
        <v/>
      </c>
      <c r="V248">
        <f>M248</f>
        <v/>
      </c>
      <c r="W248" s="23">
        <f>LN(1+I248)</f>
        <v/>
      </c>
      <c r="X248">
        <f>IF(G248&gt;=2021,1,0)</f>
        <v/>
      </c>
      <c r="Y248">
        <f>N248</f>
        <v/>
      </c>
      <c r="Z248" s="23">
        <f>IF(ISNUMBER(M248),N248/MAX(M248,1),0)</f>
        <v/>
      </c>
      <c r="AA248">
        <f>P248</f>
        <v/>
      </c>
      <c r="AB248">
        <f>Q248</f>
        <v/>
      </c>
      <c r="AC248">
        <f>R248</f>
        <v/>
      </c>
      <c r="AD248">
        <f>S248</f>
        <v/>
      </c>
      <c r="AE248">
        <f>IF(ISNUMBER(SEARCH("CAPITAL FUNDING",D248)),1,0)</f>
        <v/>
      </c>
      <c r="AF248">
        <f>IF(ISNUMBER(SEARCH("MERCHANTS",D248)),1,0)</f>
        <v/>
      </c>
      <c r="AG248">
        <f>IF(ISNUMBER(SEARCH("WELLS FARGO",D248)),1,0)</f>
        <v/>
      </c>
      <c r="AH248">
        <f>IF(ISNUMBER(SEARCH("WALKER",D248)),1,0)</f>
        <v/>
      </c>
      <c r="AI248">
        <f>IF(ISNUMBER(SEARCH("PNC",D248)),1,0)</f>
        <v/>
      </c>
      <c r="AJ248">
        <f>IF(ISNUMBER(SEARCH("BERKADIA",D248)),1,0)</f>
        <v/>
      </c>
      <c r="AK248">
        <f>IF(ISNUMBER(SEARCH("DWIGHT",D248)),1,0)</f>
        <v/>
      </c>
      <c r="AL248" s="25">
        <f>T$4*(T248-T$3)</f>
        <v/>
      </c>
      <c r="AM248" s="25">
        <f>U$4*(U248-U$3)</f>
        <v/>
      </c>
      <c r="AN248" s="25">
        <f>V$4*(V248-V$3)</f>
        <v/>
      </c>
      <c r="AO248" s="25">
        <f>W$4*(W248-W$3)</f>
        <v/>
      </c>
      <c r="AP248" s="25">
        <f>X$4*(X248-X$3)</f>
        <v/>
      </c>
      <c r="AQ248" s="25">
        <f>Y$4*(Y248-Y$3)</f>
        <v/>
      </c>
      <c r="AR248" s="25">
        <f>Z$4*(Z248-Z$3)</f>
        <v/>
      </c>
      <c r="AS248" s="25">
        <f>AA$4*(AA248-AA$3)</f>
        <v/>
      </c>
      <c r="AT248" s="25">
        <f>AB$4*(AB248-AB$3)</f>
        <v/>
      </c>
      <c r="AU248" s="25">
        <f>AC$4*(AC248-AC$3)</f>
        <v/>
      </c>
      <c r="AV248" s="25">
        <f>AD$4*(AD248-AD$3)</f>
        <v/>
      </c>
      <c r="AW248" s="25">
        <f>AE$4*(AE248-AE$3)</f>
        <v/>
      </c>
      <c r="AX248" s="25">
        <f>AF$4*(AF248-AF$3)</f>
        <v/>
      </c>
      <c r="AY248" s="25">
        <f>AG$4*(AG248-AG$3)</f>
        <v/>
      </c>
      <c r="AZ248" s="25">
        <f>AH$4*(AH248-AH$3)</f>
        <v/>
      </c>
      <c r="BA248" s="25">
        <f>AI$4*(AI248-AI$3)</f>
        <v/>
      </c>
      <c r="BB248" s="25">
        <f>AJ$4*(AJ248-AJ$3)</f>
        <v/>
      </c>
      <c r="BC248" s="25">
        <f>AK$4*(AK248-AK$3)</f>
        <v/>
      </c>
      <c r="BD248" s="26">
        <f>SUM(AL248:BC248)</f>
        <v/>
      </c>
      <c r="BE248" s="26">
        <f>INTERCEPT_SCALED+BD248</f>
        <v/>
      </c>
      <c r="BF248" s="27">
        <f>1/(1+EXP(-BE248))</f>
        <v/>
      </c>
      <c r="BG248" s="13">
        <f>1-(1-BF248)^12</f>
        <v/>
      </c>
      <c r="BH248" s="13">
        <f>IFERROR(AL248/BD248*(BG248-BASELINE_CPR),0)</f>
        <v/>
      </c>
      <c r="BI248" s="13">
        <f>IFERROR(AM248/BD248*(BG248-BASELINE_CPR),0)</f>
        <v/>
      </c>
      <c r="BJ248" s="13">
        <f>IFERROR(AN248/BD248*(BG248-BASELINE_CPR),0)</f>
        <v/>
      </c>
      <c r="BK248" s="13">
        <f>IFERROR(AO248/BD248*(BG248-BASELINE_CPR),0)</f>
        <v/>
      </c>
      <c r="BL248" s="13">
        <f>IFERROR(AP248/BD248*(BG248-BASELINE_CPR),0)</f>
        <v/>
      </c>
      <c r="BM248" s="13">
        <f>IFERROR(AQ248/BD248*(BG248-BASELINE_CPR),0)</f>
        <v/>
      </c>
      <c r="BN248" s="13">
        <f>IFERROR(AR248/BD248*(BG248-BASELINE_CPR),0)</f>
        <v/>
      </c>
      <c r="BO248" s="13">
        <f>IFERROR(AS248/BD248*(BG248-BASELINE_CPR),0)</f>
        <v/>
      </c>
      <c r="BP248" s="13">
        <f>IFERROR(AT248/BD248*(BG248-BASELINE_CPR),0)</f>
        <v/>
      </c>
      <c r="BQ248" s="13">
        <f>IFERROR(AU248/BD248*(BG248-BASELINE_CPR),0)</f>
        <v/>
      </c>
      <c r="BR248" s="13">
        <f>IFERROR(AV248/BD248*(BG248-BASELINE_CPR),0)</f>
        <v/>
      </c>
      <c r="BS248" s="13">
        <f>IFERROR(AW248/BD248*(BG248-BASELINE_CPR),0)</f>
        <v/>
      </c>
      <c r="BT248" s="13">
        <f>IFERROR(AX248/BD248*(BG248-BASELINE_CPR),0)</f>
        <v/>
      </c>
      <c r="BU248" s="13">
        <f>IFERROR(AY248/BD248*(BG248-BASELINE_CPR),0)</f>
        <v/>
      </c>
      <c r="BV248" s="13">
        <f>IFERROR(AZ248/BD248*(BG248-BASELINE_CPR),0)</f>
        <v/>
      </c>
      <c r="BW248" s="13">
        <f>IFERROR(BA248/BD248*(BG248-BASELINE_CPR),0)</f>
        <v/>
      </c>
      <c r="BX248" s="13">
        <f>IFERROR(BB248/BD248*(BG248-BASELINE_CPR),0)</f>
        <v/>
      </c>
      <c r="BY248" s="13">
        <f>IFERROR(BC248/BD248*(BG248-BASELINE_CPR),0)</f>
        <v/>
      </c>
      <c r="BZ248" s="28">
        <f>BASELINE_CPR+SUM(BH248:BY248)-BG248</f>
        <v/>
      </c>
    </row>
    <row r="249">
      <c r="A249" s="2" t="inlineStr">
        <is>
          <t>3617N3U79_000000006435549</t>
        </is>
      </c>
      <c r="B249" t="inlineStr">
        <is>
          <t>PGIM_PRE21</t>
        </is>
      </c>
      <c r="C249" s="2" t="inlineStr">
        <is>
          <t>3617N3U79</t>
        </is>
      </c>
      <c r="D249" t="inlineStr">
        <is>
          <t>PGIM REAL ESTATE AGENCY FINANCING, LLC.</t>
        </is>
      </c>
      <c r="E249" t="inlineStr">
        <is>
          <t>221d4</t>
        </is>
      </c>
      <c r="F249" t="inlineStr">
        <is>
          <t>RP</t>
        </is>
      </c>
      <c r="G249" t="n">
        <v>2012</v>
      </c>
      <c r="H249" t="inlineStr">
        <is>
          <t>202602</t>
        </is>
      </c>
      <c r="I249" s="22" t="n">
        <v>7605491.42</v>
      </c>
      <c r="J249" s="23" t="n">
        <v>3.04</v>
      </c>
      <c r="K249" s="24" t="n">
        <v>447</v>
      </c>
      <c r="L249" s="24" t="n">
        <v>5</v>
      </c>
      <c r="M249" t="n">
        <v>166</v>
      </c>
      <c r="N249" t="n">
        <v>13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s="24">
        <f>J249*100-(K249+(1+L249)*12.5)</f>
        <v/>
      </c>
      <c r="U249">
        <f>O249</f>
        <v/>
      </c>
      <c r="V249">
        <f>M249</f>
        <v/>
      </c>
      <c r="W249" s="23">
        <f>LN(1+I249)</f>
        <v/>
      </c>
      <c r="X249">
        <f>IF(G249&gt;=2021,1,0)</f>
        <v/>
      </c>
      <c r="Y249">
        <f>N249</f>
        <v/>
      </c>
      <c r="Z249" s="23">
        <f>IF(ISNUMBER(M249),N249/MAX(M249,1),0)</f>
        <v/>
      </c>
      <c r="AA249">
        <f>P249</f>
        <v/>
      </c>
      <c r="AB249">
        <f>Q249</f>
        <v/>
      </c>
      <c r="AC249">
        <f>R249</f>
        <v/>
      </c>
      <c r="AD249">
        <f>S249</f>
        <v/>
      </c>
      <c r="AE249">
        <f>IF(ISNUMBER(SEARCH("CAPITAL FUNDING",D249)),1,0)</f>
        <v/>
      </c>
      <c r="AF249">
        <f>IF(ISNUMBER(SEARCH("MERCHANTS",D249)),1,0)</f>
        <v/>
      </c>
      <c r="AG249">
        <f>IF(ISNUMBER(SEARCH("WELLS FARGO",D249)),1,0)</f>
        <v/>
      </c>
      <c r="AH249">
        <f>IF(ISNUMBER(SEARCH("WALKER",D249)),1,0)</f>
        <v/>
      </c>
      <c r="AI249">
        <f>IF(ISNUMBER(SEARCH("PNC",D249)),1,0)</f>
        <v/>
      </c>
      <c r="AJ249">
        <f>IF(ISNUMBER(SEARCH("BERKADIA",D249)),1,0)</f>
        <v/>
      </c>
      <c r="AK249">
        <f>IF(ISNUMBER(SEARCH("DWIGHT",D249)),1,0)</f>
        <v/>
      </c>
      <c r="AL249" s="25">
        <f>T$4*(T249-T$3)</f>
        <v/>
      </c>
      <c r="AM249" s="25">
        <f>U$4*(U249-U$3)</f>
        <v/>
      </c>
      <c r="AN249" s="25">
        <f>V$4*(V249-V$3)</f>
        <v/>
      </c>
      <c r="AO249" s="25">
        <f>W$4*(W249-W$3)</f>
        <v/>
      </c>
      <c r="AP249" s="25">
        <f>X$4*(X249-X$3)</f>
        <v/>
      </c>
      <c r="AQ249" s="25">
        <f>Y$4*(Y249-Y$3)</f>
        <v/>
      </c>
      <c r="AR249" s="25">
        <f>Z$4*(Z249-Z$3)</f>
        <v/>
      </c>
      <c r="AS249" s="25">
        <f>AA$4*(AA249-AA$3)</f>
        <v/>
      </c>
      <c r="AT249" s="25">
        <f>AB$4*(AB249-AB$3)</f>
        <v/>
      </c>
      <c r="AU249" s="25">
        <f>AC$4*(AC249-AC$3)</f>
        <v/>
      </c>
      <c r="AV249" s="25">
        <f>AD$4*(AD249-AD$3)</f>
        <v/>
      </c>
      <c r="AW249" s="25">
        <f>AE$4*(AE249-AE$3)</f>
        <v/>
      </c>
      <c r="AX249" s="25">
        <f>AF$4*(AF249-AF$3)</f>
        <v/>
      </c>
      <c r="AY249" s="25">
        <f>AG$4*(AG249-AG$3)</f>
        <v/>
      </c>
      <c r="AZ249" s="25">
        <f>AH$4*(AH249-AH$3)</f>
        <v/>
      </c>
      <c r="BA249" s="25">
        <f>AI$4*(AI249-AI$3)</f>
        <v/>
      </c>
      <c r="BB249" s="25">
        <f>AJ$4*(AJ249-AJ$3)</f>
        <v/>
      </c>
      <c r="BC249" s="25">
        <f>AK$4*(AK249-AK$3)</f>
        <v/>
      </c>
      <c r="BD249" s="26">
        <f>SUM(AL249:BC249)</f>
        <v/>
      </c>
      <c r="BE249" s="26">
        <f>INTERCEPT_SCALED+BD249</f>
        <v/>
      </c>
      <c r="BF249" s="27">
        <f>1/(1+EXP(-BE249))</f>
        <v/>
      </c>
      <c r="BG249" s="13">
        <f>1-(1-BF249)^12</f>
        <v/>
      </c>
      <c r="BH249" s="13">
        <f>IFERROR(AL249/BD249*(BG249-BASELINE_CPR),0)</f>
        <v/>
      </c>
      <c r="BI249" s="13">
        <f>IFERROR(AM249/BD249*(BG249-BASELINE_CPR),0)</f>
        <v/>
      </c>
      <c r="BJ249" s="13">
        <f>IFERROR(AN249/BD249*(BG249-BASELINE_CPR),0)</f>
        <v/>
      </c>
      <c r="BK249" s="13">
        <f>IFERROR(AO249/BD249*(BG249-BASELINE_CPR),0)</f>
        <v/>
      </c>
      <c r="BL249" s="13">
        <f>IFERROR(AP249/BD249*(BG249-BASELINE_CPR),0)</f>
        <v/>
      </c>
      <c r="BM249" s="13">
        <f>IFERROR(AQ249/BD249*(BG249-BASELINE_CPR),0)</f>
        <v/>
      </c>
      <c r="BN249" s="13">
        <f>IFERROR(AR249/BD249*(BG249-BASELINE_CPR),0)</f>
        <v/>
      </c>
      <c r="BO249" s="13">
        <f>IFERROR(AS249/BD249*(BG249-BASELINE_CPR),0)</f>
        <v/>
      </c>
      <c r="BP249" s="13">
        <f>IFERROR(AT249/BD249*(BG249-BASELINE_CPR),0)</f>
        <v/>
      </c>
      <c r="BQ249" s="13">
        <f>IFERROR(AU249/BD249*(BG249-BASELINE_CPR),0)</f>
        <v/>
      </c>
      <c r="BR249" s="13">
        <f>IFERROR(AV249/BD249*(BG249-BASELINE_CPR),0)</f>
        <v/>
      </c>
      <c r="BS249" s="13">
        <f>IFERROR(AW249/BD249*(BG249-BASELINE_CPR),0)</f>
        <v/>
      </c>
      <c r="BT249" s="13">
        <f>IFERROR(AX249/BD249*(BG249-BASELINE_CPR),0)</f>
        <v/>
      </c>
      <c r="BU249" s="13">
        <f>IFERROR(AY249/BD249*(BG249-BASELINE_CPR),0)</f>
        <v/>
      </c>
      <c r="BV249" s="13">
        <f>IFERROR(AZ249/BD249*(BG249-BASELINE_CPR),0)</f>
        <v/>
      </c>
      <c r="BW249" s="13">
        <f>IFERROR(BA249/BD249*(BG249-BASELINE_CPR),0)</f>
        <v/>
      </c>
      <c r="BX249" s="13">
        <f>IFERROR(BB249/BD249*(BG249-BASELINE_CPR),0)</f>
        <v/>
      </c>
      <c r="BY249" s="13">
        <f>IFERROR(BC249/BD249*(BG249-BASELINE_CPR),0)</f>
        <v/>
      </c>
      <c r="BZ249" s="28">
        <f>BASELINE_CPR+SUM(BH249:BY249)-BG249</f>
        <v/>
      </c>
    </row>
    <row r="250">
      <c r="A250" s="2" t="inlineStr">
        <is>
          <t>36193J5M7_000000005322191</t>
        </is>
      </c>
      <c r="B250" t="inlineStr">
        <is>
          <t>PGIM_PRE21</t>
        </is>
      </c>
      <c r="C250" s="2" t="inlineStr">
        <is>
          <t>36193J5M7</t>
        </is>
      </c>
      <c r="D250" t="inlineStr">
        <is>
          <t>PGIM REAL ESTATE AGENCY FINANCING, LLC.</t>
        </is>
      </c>
      <c r="E250" t="inlineStr">
        <is>
          <t>232</t>
        </is>
      </c>
      <c r="F250" t="inlineStr">
        <is>
          <t>RP</t>
        </is>
      </c>
      <c r="G250" t="n">
        <v>2016</v>
      </c>
      <c r="H250" t="inlineStr">
        <is>
          <t>202602</t>
        </is>
      </c>
      <c r="I250" s="22" t="n">
        <v>4747767.98</v>
      </c>
      <c r="J250" s="23" t="n">
        <v>3.85</v>
      </c>
      <c r="K250" s="24" t="n">
        <v>447</v>
      </c>
      <c r="L250" s="24" t="n">
        <v>2</v>
      </c>
      <c r="M250" t="n">
        <v>119</v>
      </c>
      <c r="N250" t="n">
        <v>32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s="24">
        <f>J250*100-(K250+(1+L250)*12.5)</f>
        <v/>
      </c>
      <c r="U250">
        <f>O250</f>
        <v/>
      </c>
      <c r="V250">
        <f>M250</f>
        <v/>
      </c>
      <c r="W250" s="23">
        <f>LN(1+I250)</f>
        <v/>
      </c>
      <c r="X250">
        <f>IF(G250&gt;=2021,1,0)</f>
        <v/>
      </c>
      <c r="Y250">
        <f>N250</f>
        <v/>
      </c>
      <c r="Z250" s="23">
        <f>IF(ISNUMBER(M250),N250/MAX(M250,1),0)</f>
        <v/>
      </c>
      <c r="AA250">
        <f>P250</f>
        <v/>
      </c>
      <c r="AB250">
        <f>Q250</f>
        <v/>
      </c>
      <c r="AC250">
        <f>R250</f>
        <v/>
      </c>
      <c r="AD250">
        <f>S250</f>
        <v/>
      </c>
      <c r="AE250">
        <f>IF(ISNUMBER(SEARCH("CAPITAL FUNDING",D250)),1,0)</f>
        <v/>
      </c>
      <c r="AF250">
        <f>IF(ISNUMBER(SEARCH("MERCHANTS",D250)),1,0)</f>
        <v/>
      </c>
      <c r="AG250">
        <f>IF(ISNUMBER(SEARCH("WELLS FARGO",D250)),1,0)</f>
        <v/>
      </c>
      <c r="AH250">
        <f>IF(ISNUMBER(SEARCH("WALKER",D250)),1,0)</f>
        <v/>
      </c>
      <c r="AI250">
        <f>IF(ISNUMBER(SEARCH("PNC",D250)),1,0)</f>
        <v/>
      </c>
      <c r="AJ250">
        <f>IF(ISNUMBER(SEARCH("BERKADIA",D250)),1,0)</f>
        <v/>
      </c>
      <c r="AK250">
        <f>IF(ISNUMBER(SEARCH("DWIGHT",D250)),1,0)</f>
        <v/>
      </c>
      <c r="AL250" s="25">
        <f>T$4*(T250-T$3)</f>
        <v/>
      </c>
      <c r="AM250" s="25">
        <f>U$4*(U250-U$3)</f>
        <v/>
      </c>
      <c r="AN250" s="25">
        <f>V$4*(V250-V$3)</f>
        <v/>
      </c>
      <c r="AO250" s="25">
        <f>W$4*(W250-W$3)</f>
        <v/>
      </c>
      <c r="AP250" s="25">
        <f>X$4*(X250-X$3)</f>
        <v/>
      </c>
      <c r="AQ250" s="25">
        <f>Y$4*(Y250-Y$3)</f>
        <v/>
      </c>
      <c r="AR250" s="25">
        <f>Z$4*(Z250-Z$3)</f>
        <v/>
      </c>
      <c r="AS250" s="25">
        <f>AA$4*(AA250-AA$3)</f>
        <v/>
      </c>
      <c r="AT250" s="25">
        <f>AB$4*(AB250-AB$3)</f>
        <v/>
      </c>
      <c r="AU250" s="25">
        <f>AC$4*(AC250-AC$3)</f>
        <v/>
      </c>
      <c r="AV250" s="25">
        <f>AD$4*(AD250-AD$3)</f>
        <v/>
      </c>
      <c r="AW250" s="25">
        <f>AE$4*(AE250-AE$3)</f>
        <v/>
      </c>
      <c r="AX250" s="25">
        <f>AF$4*(AF250-AF$3)</f>
        <v/>
      </c>
      <c r="AY250" s="25">
        <f>AG$4*(AG250-AG$3)</f>
        <v/>
      </c>
      <c r="AZ250" s="25">
        <f>AH$4*(AH250-AH$3)</f>
        <v/>
      </c>
      <c r="BA250" s="25">
        <f>AI$4*(AI250-AI$3)</f>
        <v/>
      </c>
      <c r="BB250" s="25">
        <f>AJ$4*(AJ250-AJ$3)</f>
        <v/>
      </c>
      <c r="BC250" s="25">
        <f>AK$4*(AK250-AK$3)</f>
        <v/>
      </c>
      <c r="BD250" s="26">
        <f>SUM(AL250:BC250)</f>
        <v/>
      </c>
      <c r="BE250" s="26">
        <f>INTERCEPT_SCALED+BD250</f>
        <v/>
      </c>
      <c r="BF250" s="27">
        <f>1/(1+EXP(-BE250))</f>
        <v/>
      </c>
      <c r="BG250" s="13">
        <f>1-(1-BF250)^12</f>
        <v/>
      </c>
      <c r="BH250" s="13">
        <f>IFERROR(AL250/BD250*(BG250-BASELINE_CPR),0)</f>
        <v/>
      </c>
      <c r="BI250" s="13">
        <f>IFERROR(AM250/BD250*(BG250-BASELINE_CPR),0)</f>
        <v/>
      </c>
      <c r="BJ250" s="13">
        <f>IFERROR(AN250/BD250*(BG250-BASELINE_CPR),0)</f>
        <v/>
      </c>
      <c r="BK250" s="13">
        <f>IFERROR(AO250/BD250*(BG250-BASELINE_CPR),0)</f>
        <v/>
      </c>
      <c r="BL250" s="13">
        <f>IFERROR(AP250/BD250*(BG250-BASELINE_CPR),0)</f>
        <v/>
      </c>
      <c r="BM250" s="13">
        <f>IFERROR(AQ250/BD250*(BG250-BASELINE_CPR),0)</f>
        <v/>
      </c>
      <c r="BN250" s="13">
        <f>IFERROR(AR250/BD250*(BG250-BASELINE_CPR),0)</f>
        <v/>
      </c>
      <c r="BO250" s="13">
        <f>IFERROR(AS250/BD250*(BG250-BASELINE_CPR),0)</f>
        <v/>
      </c>
      <c r="BP250" s="13">
        <f>IFERROR(AT250/BD250*(BG250-BASELINE_CPR),0)</f>
        <v/>
      </c>
      <c r="BQ250" s="13">
        <f>IFERROR(AU250/BD250*(BG250-BASELINE_CPR),0)</f>
        <v/>
      </c>
      <c r="BR250" s="13">
        <f>IFERROR(AV250/BD250*(BG250-BASELINE_CPR),0)</f>
        <v/>
      </c>
      <c r="BS250" s="13">
        <f>IFERROR(AW250/BD250*(BG250-BASELINE_CPR),0)</f>
        <v/>
      </c>
      <c r="BT250" s="13">
        <f>IFERROR(AX250/BD250*(BG250-BASELINE_CPR),0)</f>
        <v/>
      </c>
      <c r="BU250" s="13">
        <f>IFERROR(AY250/BD250*(BG250-BASELINE_CPR),0)</f>
        <v/>
      </c>
      <c r="BV250" s="13">
        <f>IFERROR(AZ250/BD250*(BG250-BASELINE_CPR),0)</f>
        <v/>
      </c>
      <c r="BW250" s="13">
        <f>IFERROR(BA250/BD250*(BG250-BASELINE_CPR),0)</f>
        <v/>
      </c>
      <c r="BX250" s="13">
        <f>IFERROR(BB250/BD250*(BG250-BASELINE_CPR),0)</f>
        <v/>
      </c>
      <c r="BY250" s="13">
        <f>IFERROR(BC250/BD250*(BG250-BASELINE_CPR),0)</f>
        <v/>
      </c>
      <c r="BZ250" s="28">
        <f>BASELINE_CPR+SUM(BH250:BY250)-BG250</f>
        <v/>
      </c>
    </row>
    <row r="251">
      <c r="A251" s="2" t="inlineStr">
        <is>
          <t>3617N3U87_000000005411182</t>
        </is>
      </c>
      <c r="B251" t="inlineStr">
        <is>
          <t>PGIM_PRE21</t>
        </is>
      </c>
      <c r="C251" s="2" t="inlineStr">
        <is>
          <t>3617N3U87</t>
        </is>
      </c>
      <c r="D251" t="inlineStr">
        <is>
          <t>PGIM REAL ESTATE AGENCY FINANCING, LLC.</t>
        </is>
      </c>
      <c r="E251" t="inlineStr">
        <is>
          <t>223f</t>
        </is>
      </c>
      <c r="F251" t="inlineStr">
        <is>
          <t>RP</t>
        </is>
      </c>
      <c r="G251" t="n">
        <v>2020</v>
      </c>
      <c r="H251" t="inlineStr">
        <is>
          <t>202602</t>
        </is>
      </c>
      <c r="I251" s="22" t="n">
        <v>4220732.16</v>
      </c>
      <c r="J251" s="23" t="n">
        <v>3.15</v>
      </c>
      <c r="K251" s="24" t="n">
        <v>447</v>
      </c>
      <c r="L251" s="24" t="n">
        <v>6</v>
      </c>
      <c r="M251" t="n">
        <v>71</v>
      </c>
      <c r="N251" t="n">
        <v>19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s="24">
        <f>J251*100-(K251+(1+L251)*12.5)</f>
        <v/>
      </c>
      <c r="U251">
        <f>O251</f>
        <v/>
      </c>
      <c r="V251">
        <f>M251</f>
        <v/>
      </c>
      <c r="W251" s="23">
        <f>LN(1+I251)</f>
        <v/>
      </c>
      <c r="X251">
        <f>IF(G251&gt;=2021,1,0)</f>
        <v/>
      </c>
      <c r="Y251">
        <f>N251</f>
        <v/>
      </c>
      <c r="Z251" s="23">
        <f>IF(ISNUMBER(M251),N251/MAX(M251,1),0)</f>
        <v/>
      </c>
      <c r="AA251">
        <f>P251</f>
        <v/>
      </c>
      <c r="AB251">
        <f>Q251</f>
        <v/>
      </c>
      <c r="AC251">
        <f>R251</f>
        <v/>
      </c>
      <c r="AD251">
        <f>S251</f>
        <v/>
      </c>
      <c r="AE251">
        <f>IF(ISNUMBER(SEARCH("CAPITAL FUNDING",D251)),1,0)</f>
        <v/>
      </c>
      <c r="AF251">
        <f>IF(ISNUMBER(SEARCH("MERCHANTS",D251)),1,0)</f>
        <v/>
      </c>
      <c r="AG251">
        <f>IF(ISNUMBER(SEARCH("WELLS FARGO",D251)),1,0)</f>
        <v/>
      </c>
      <c r="AH251">
        <f>IF(ISNUMBER(SEARCH("WALKER",D251)),1,0)</f>
        <v/>
      </c>
      <c r="AI251">
        <f>IF(ISNUMBER(SEARCH("PNC",D251)),1,0)</f>
        <v/>
      </c>
      <c r="AJ251">
        <f>IF(ISNUMBER(SEARCH("BERKADIA",D251)),1,0)</f>
        <v/>
      </c>
      <c r="AK251">
        <f>IF(ISNUMBER(SEARCH("DWIGHT",D251)),1,0)</f>
        <v/>
      </c>
      <c r="AL251" s="25">
        <f>T$4*(T251-T$3)</f>
        <v/>
      </c>
      <c r="AM251" s="25">
        <f>U$4*(U251-U$3)</f>
        <v/>
      </c>
      <c r="AN251" s="25">
        <f>V$4*(V251-V$3)</f>
        <v/>
      </c>
      <c r="AO251" s="25">
        <f>W$4*(W251-W$3)</f>
        <v/>
      </c>
      <c r="AP251" s="25">
        <f>X$4*(X251-X$3)</f>
        <v/>
      </c>
      <c r="AQ251" s="25">
        <f>Y$4*(Y251-Y$3)</f>
        <v/>
      </c>
      <c r="AR251" s="25">
        <f>Z$4*(Z251-Z$3)</f>
        <v/>
      </c>
      <c r="AS251" s="25">
        <f>AA$4*(AA251-AA$3)</f>
        <v/>
      </c>
      <c r="AT251" s="25">
        <f>AB$4*(AB251-AB$3)</f>
        <v/>
      </c>
      <c r="AU251" s="25">
        <f>AC$4*(AC251-AC$3)</f>
        <v/>
      </c>
      <c r="AV251" s="25">
        <f>AD$4*(AD251-AD$3)</f>
        <v/>
      </c>
      <c r="AW251" s="25">
        <f>AE$4*(AE251-AE$3)</f>
        <v/>
      </c>
      <c r="AX251" s="25">
        <f>AF$4*(AF251-AF$3)</f>
        <v/>
      </c>
      <c r="AY251" s="25">
        <f>AG$4*(AG251-AG$3)</f>
        <v/>
      </c>
      <c r="AZ251" s="25">
        <f>AH$4*(AH251-AH$3)</f>
        <v/>
      </c>
      <c r="BA251" s="25">
        <f>AI$4*(AI251-AI$3)</f>
        <v/>
      </c>
      <c r="BB251" s="25">
        <f>AJ$4*(AJ251-AJ$3)</f>
        <v/>
      </c>
      <c r="BC251" s="25">
        <f>AK$4*(AK251-AK$3)</f>
        <v/>
      </c>
      <c r="BD251" s="26">
        <f>SUM(AL251:BC251)</f>
        <v/>
      </c>
      <c r="BE251" s="26">
        <f>INTERCEPT_SCALED+BD251</f>
        <v/>
      </c>
      <c r="BF251" s="27">
        <f>1/(1+EXP(-BE251))</f>
        <v/>
      </c>
      <c r="BG251" s="13">
        <f>1-(1-BF251)^12</f>
        <v/>
      </c>
      <c r="BH251" s="13">
        <f>IFERROR(AL251/BD251*(BG251-BASELINE_CPR),0)</f>
        <v/>
      </c>
      <c r="BI251" s="13">
        <f>IFERROR(AM251/BD251*(BG251-BASELINE_CPR),0)</f>
        <v/>
      </c>
      <c r="BJ251" s="13">
        <f>IFERROR(AN251/BD251*(BG251-BASELINE_CPR),0)</f>
        <v/>
      </c>
      <c r="BK251" s="13">
        <f>IFERROR(AO251/BD251*(BG251-BASELINE_CPR),0)</f>
        <v/>
      </c>
      <c r="BL251" s="13">
        <f>IFERROR(AP251/BD251*(BG251-BASELINE_CPR),0)</f>
        <v/>
      </c>
      <c r="BM251" s="13">
        <f>IFERROR(AQ251/BD251*(BG251-BASELINE_CPR),0)</f>
        <v/>
      </c>
      <c r="BN251" s="13">
        <f>IFERROR(AR251/BD251*(BG251-BASELINE_CPR),0)</f>
        <v/>
      </c>
      <c r="BO251" s="13">
        <f>IFERROR(AS251/BD251*(BG251-BASELINE_CPR),0)</f>
        <v/>
      </c>
      <c r="BP251" s="13">
        <f>IFERROR(AT251/BD251*(BG251-BASELINE_CPR),0)</f>
        <v/>
      </c>
      <c r="BQ251" s="13">
        <f>IFERROR(AU251/BD251*(BG251-BASELINE_CPR),0)</f>
        <v/>
      </c>
      <c r="BR251" s="13">
        <f>IFERROR(AV251/BD251*(BG251-BASELINE_CPR),0)</f>
        <v/>
      </c>
      <c r="BS251" s="13">
        <f>IFERROR(AW251/BD251*(BG251-BASELINE_CPR),0)</f>
        <v/>
      </c>
      <c r="BT251" s="13">
        <f>IFERROR(AX251/BD251*(BG251-BASELINE_CPR),0)</f>
        <v/>
      </c>
      <c r="BU251" s="13">
        <f>IFERROR(AY251/BD251*(BG251-BASELINE_CPR),0)</f>
        <v/>
      </c>
      <c r="BV251" s="13">
        <f>IFERROR(AZ251/BD251*(BG251-BASELINE_CPR),0)</f>
        <v/>
      </c>
      <c r="BW251" s="13">
        <f>IFERROR(BA251/BD251*(BG251-BASELINE_CPR),0)</f>
        <v/>
      </c>
      <c r="BX251" s="13">
        <f>IFERROR(BB251/BD251*(BG251-BASELINE_CPR),0)</f>
        <v/>
      </c>
      <c r="BY251" s="13">
        <f>IFERROR(BC251/BD251*(BG251-BASELINE_CPR),0)</f>
        <v/>
      </c>
      <c r="BZ251" s="28">
        <f>BASELINE_CPR+SUM(BH251:BY251)-BG251</f>
        <v/>
      </c>
    </row>
    <row r="252">
      <c r="A252" s="2" t="inlineStr">
        <is>
          <t>3617JUBZ3_000000007111471</t>
        </is>
      </c>
      <c r="B252" t="inlineStr">
        <is>
          <t>NORTHMARQ_PRE21</t>
        </is>
      </c>
      <c r="C252" s="2" t="inlineStr">
        <is>
          <t>3617JUBZ3</t>
        </is>
      </c>
      <c r="D252" t="inlineStr">
        <is>
          <t>NORTHMARQ FINANCE, LLC</t>
        </is>
      </c>
      <c r="E252" t="inlineStr">
        <is>
          <t>223f</t>
        </is>
      </c>
      <c r="F252" t="inlineStr">
        <is>
          <t>RP</t>
        </is>
      </c>
      <c r="G252" t="n">
        <v>2019</v>
      </c>
      <c r="H252" t="inlineStr">
        <is>
          <t>202602</t>
        </is>
      </c>
      <c r="I252" s="22" t="n">
        <v>5215061.73</v>
      </c>
      <c r="J252" s="23" t="n">
        <v>2.95</v>
      </c>
      <c r="K252" s="24" t="n">
        <v>447</v>
      </c>
      <c r="L252" s="24" t="n">
        <v>5</v>
      </c>
      <c r="M252" t="n">
        <v>78</v>
      </c>
      <c r="N252" t="n">
        <v>6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s="24">
        <f>J252*100-(K252+(1+L252)*12.5)</f>
        <v/>
      </c>
      <c r="U252">
        <f>O252</f>
        <v/>
      </c>
      <c r="V252">
        <f>M252</f>
        <v/>
      </c>
      <c r="W252" s="23">
        <f>LN(1+I252)</f>
        <v/>
      </c>
      <c r="X252">
        <f>IF(G252&gt;=2021,1,0)</f>
        <v/>
      </c>
      <c r="Y252">
        <f>N252</f>
        <v/>
      </c>
      <c r="Z252" s="23">
        <f>IF(ISNUMBER(M252),N252/MAX(M252,1),0)</f>
        <v/>
      </c>
      <c r="AA252">
        <f>P252</f>
        <v/>
      </c>
      <c r="AB252">
        <f>Q252</f>
        <v/>
      </c>
      <c r="AC252">
        <f>R252</f>
        <v/>
      </c>
      <c r="AD252">
        <f>S252</f>
        <v/>
      </c>
      <c r="AE252">
        <f>IF(ISNUMBER(SEARCH("CAPITAL FUNDING",D252)),1,0)</f>
        <v/>
      </c>
      <c r="AF252">
        <f>IF(ISNUMBER(SEARCH("MERCHANTS",D252)),1,0)</f>
        <v/>
      </c>
      <c r="AG252">
        <f>IF(ISNUMBER(SEARCH("WELLS FARGO",D252)),1,0)</f>
        <v/>
      </c>
      <c r="AH252">
        <f>IF(ISNUMBER(SEARCH("WALKER",D252)),1,0)</f>
        <v/>
      </c>
      <c r="AI252">
        <f>IF(ISNUMBER(SEARCH("PNC",D252)),1,0)</f>
        <v/>
      </c>
      <c r="AJ252">
        <f>IF(ISNUMBER(SEARCH("BERKADIA",D252)),1,0)</f>
        <v/>
      </c>
      <c r="AK252">
        <f>IF(ISNUMBER(SEARCH("DWIGHT",D252)),1,0)</f>
        <v/>
      </c>
      <c r="AL252" s="25">
        <f>T$4*(T252-T$3)</f>
        <v/>
      </c>
      <c r="AM252" s="25">
        <f>U$4*(U252-U$3)</f>
        <v/>
      </c>
      <c r="AN252" s="25">
        <f>V$4*(V252-V$3)</f>
        <v/>
      </c>
      <c r="AO252" s="25">
        <f>W$4*(W252-W$3)</f>
        <v/>
      </c>
      <c r="AP252" s="25">
        <f>X$4*(X252-X$3)</f>
        <v/>
      </c>
      <c r="AQ252" s="25">
        <f>Y$4*(Y252-Y$3)</f>
        <v/>
      </c>
      <c r="AR252" s="25">
        <f>Z$4*(Z252-Z$3)</f>
        <v/>
      </c>
      <c r="AS252" s="25">
        <f>AA$4*(AA252-AA$3)</f>
        <v/>
      </c>
      <c r="AT252" s="25">
        <f>AB$4*(AB252-AB$3)</f>
        <v/>
      </c>
      <c r="AU252" s="25">
        <f>AC$4*(AC252-AC$3)</f>
        <v/>
      </c>
      <c r="AV252" s="25">
        <f>AD$4*(AD252-AD$3)</f>
        <v/>
      </c>
      <c r="AW252" s="25">
        <f>AE$4*(AE252-AE$3)</f>
        <v/>
      </c>
      <c r="AX252" s="25">
        <f>AF$4*(AF252-AF$3)</f>
        <v/>
      </c>
      <c r="AY252" s="25">
        <f>AG$4*(AG252-AG$3)</f>
        <v/>
      </c>
      <c r="AZ252" s="25">
        <f>AH$4*(AH252-AH$3)</f>
        <v/>
      </c>
      <c r="BA252" s="25">
        <f>AI$4*(AI252-AI$3)</f>
        <v/>
      </c>
      <c r="BB252" s="25">
        <f>AJ$4*(AJ252-AJ$3)</f>
        <v/>
      </c>
      <c r="BC252" s="25">
        <f>AK$4*(AK252-AK$3)</f>
        <v/>
      </c>
      <c r="BD252" s="26">
        <f>SUM(AL252:BC252)</f>
        <v/>
      </c>
      <c r="BE252" s="26">
        <f>INTERCEPT_SCALED+BD252</f>
        <v/>
      </c>
      <c r="BF252" s="27">
        <f>1/(1+EXP(-BE252))</f>
        <v/>
      </c>
      <c r="BG252" s="13">
        <f>1-(1-BF252)^12</f>
        <v/>
      </c>
      <c r="BH252" s="13">
        <f>IFERROR(AL252/BD252*(BG252-BASELINE_CPR),0)</f>
        <v/>
      </c>
      <c r="BI252" s="13">
        <f>IFERROR(AM252/BD252*(BG252-BASELINE_CPR),0)</f>
        <v/>
      </c>
      <c r="BJ252" s="13">
        <f>IFERROR(AN252/BD252*(BG252-BASELINE_CPR),0)</f>
        <v/>
      </c>
      <c r="BK252" s="13">
        <f>IFERROR(AO252/BD252*(BG252-BASELINE_CPR),0)</f>
        <v/>
      </c>
      <c r="BL252" s="13">
        <f>IFERROR(AP252/BD252*(BG252-BASELINE_CPR),0)</f>
        <v/>
      </c>
      <c r="BM252" s="13">
        <f>IFERROR(AQ252/BD252*(BG252-BASELINE_CPR),0)</f>
        <v/>
      </c>
      <c r="BN252" s="13">
        <f>IFERROR(AR252/BD252*(BG252-BASELINE_CPR),0)</f>
        <v/>
      </c>
      <c r="BO252" s="13">
        <f>IFERROR(AS252/BD252*(BG252-BASELINE_CPR),0)</f>
        <v/>
      </c>
      <c r="BP252" s="13">
        <f>IFERROR(AT252/BD252*(BG252-BASELINE_CPR),0)</f>
        <v/>
      </c>
      <c r="BQ252" s="13">
        <f>IFERROR(AU252/BD252*(BG252-BASELINE_CPR),0)</f>
        <v/>
      </c>
      <c r="BR252" s="13">
        <f>IFERROR(AV252/BD252*(BG252-BASELINE_CPR),0)</f>
        <v/>
      </c>
      <c r="BS252" s="13">
        <f>IFERROR(AW252/BD252*(BG252-BASELINE_CPR),0)</f>
        <v/>
      </c>
      <c r="BT252" s="13">
        <f>IFERROR(AX252/BD252*(BG252-BASELINE_CPR),0)</f>
        <v/>
      </c>
      <c r="BU252" s="13">
        <f>IFERROR(AY252/BD252*(BG252-BASELINE_CPR),0)</f>
        <v/>
      </c>
      <c r="BV252" s="13">
        <f>IFERROR(AZ252/BD252*(BG252-BASELINE_CPR),0)</f>
        <v/>
      </c>
      <c r="BW252" s="13">
        <f>IFERROR(BA252/BD252*(BG252-BASELINE_CPR),0)</f>
        <v/>
      </c>
      <c r="BX252" s="13">
        <f>IFERROR(BB252/BD252*(BG252-BASELINE_CPR),0)</f>
        <v/>
      </c>
      <c r="BY252" s="13">
        <f>IFERROR(BC252/BD252*(BG252-BASELINE_CPR),0)</f>
        <v/>
      </c>
      <c r="BZ252" s="28">
        <f>BASELINE_CPR+SUM(BH252:BY252)-BG252</f>
        <v/>
      </c>
    </row>
    <row r="253">
      <c r="A253" s="2" t="inlineStr">
        <is>
          <t>3617Y1NF1_000000006611272</t>
        </is>
      </c>
      <c r="B253" t="inlineStr">
        <is>
          <t>NORTHMARQ_POST21</t>
        </is>
      </c>
      <c r="C253" s="2" t="inlineStr">
        <is>
          <t>3617Y1NF1</t>
        </is>
      </c>
      <c r="D253" t="inlineStr">
        <is>
          <t>NORTHMARQ FINANCE, LLC</t>
        </is>
      </c>
      <c r="E253" t="inlineStr">
        <is>
          <t>223f</t>
        </is>
      </c>
      <c r="F253" t="inlineStr">
        <is>
          <t>RP</t>
        </is>
      </c>
      <c r="G253" t="n">
        <v>2022</v>
      </c>
      <c r="H253" t="inlineStr">
        <is>
          <t>202602</t>
        </is>
      </c>
      <c r="I253" s="22" t="n">
        <v>30546412.94</v>
      </c>
      <c r="J253" s="23" t="n">
        <v>2.55</v>
      </c>
      <c r="K253" s="24" t="n">
        <v>447</v>
      </c>
      <c r="L253" s="24" t="n">
        <v>7</v>
      </c>
      <c r="M253" t="n">
        <v>46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s="24">
        <f>J253*100-(K253+(1+L253)*12.5)</f>
        <v/>
      </c>
      <c r="U253">
        <f>O253</f>
        <v/>
      </c>
      <c r="V253">
        <f>M253</f>
        <v/>
      </c>
      <c r="W253" s="23">
        <f>LN(1+I253)</f>
        <v/>
      </c>
      <c r="X253">
        <f>IF(G253&gt;=2021,1,0)</f>
        <v/>
      </c>
      <c r="Y253">
        <f>N253</f>
        <v/>
      </c>
      <c r="Z253" s="23">
        <f>IF(ISNUMBER(M253),N253/MAX(M253,1),0)</f>
        <v/>
      </c>
      <c r="AA253">
        <f>P253</f>
        <v/>
      </c>
      <c r="AB253">
        <f>Q253</f>
        <v/>
      </c>
      <c r="AC253">
        <f>R253</f>
        <v/>
      </c>
      <c r="AD253">
        <f>S253</f>
        <v/>
      </c>
      <c r="AE253">
        <f>IF(ISNUMBER(SEARCH("CAPITAL FUNDING",D253)),1,0)</f>
        <v/>
      </c>
      <c r="AF253">
        <f>IF(ISNUMBER(SEARCH("MERCHANTS",D253)),1,0)</f>
        <v/>
      </c>
      <c r="AG253">
        <f>IF(ISNUMBER(SEARCH("WELLS FARGO",D253)),1,0)</f>
        <v/>
      </c>
      <c r="AH253">
        <f>IF(ISNUMBER(SEARCH("WALKER",D253)),1,0)</f>
        <v/>
      </c>
      <c r="AI253">
        <f>IF(ISNUMBER(SEARCH("PNC",D253)),1,0)</f>
        <v/>
      </c>
      <c r="AJ253">
        <f>IF(ISNUMBER(SEARCH("BERKADIA",D253)),1,0)</f>
        <v/>
      </c>
      <c r="AK253">
        <f>IF(ISNUMBER(SEARCH("DWIGHT",D253)),1,0)</f>
        <v/>
      </c>
      <c r="AL253" s="25">
        <f>T$4*(T253-T$3)</f>
        <v/>
      </c>
      <c r="AM253" s="25">
        <f>U$4*(U253-U$3)</f>
        <v/>
      </c>
      <c r="AN253" s="25">
        <f>V$4*(V253-V$3)</f>
        <v/>
      </c>
      <c r="AO253" s="25">
        <f>W$4*(W253-W$3)</f>
        <v/>
      </c>
      <c r="AP253" s="25">
        <f>X$4*(X253-X$3)</f>
        <v/>
      </c>
      <c r="AQ253" s="25">
        <f>Y$4*(Y253-Y$3)</f>
        <v/>
      </c>
      <c r="AR253" s="25">
        <f>Z$4*(Z253-Z$3)</f>
        <v/>
      </c>
      <c r="AS253" s="25">
        <f>AA$4*(AA253-AA$3)</f>
        <v/>
      </c>
      <c r="AT253" s="25">
        <f>AB$4*(AB253-AB$3)</f>
        <v/>
      </c>
      <c r="AU253" s="25">
        <f>AC$4*(AC253-AC$3)</f>
        <v/>
      </c>
      <c r="AV253" s="25">
        <f>AD$4*(AD253-AD$3)</f>
        <v/>
      </c>
      <c r="AW253" s="25">
        <f>AE$4*(AE253-AE$3)</f>
        <v/>
      </c>
      <c r="AX253" s="25">
        <f>AF$4*(AF253-AF$3)</f>
        <v/>
      </c>
      <c r="AY253" s="25">
        <f>AG$4*(AG253-AG$3)</f>
        <v/>
      </c>
      <c r="AZ253" s="25">
        <f>AH$4*(AH253-AH$3)</f>
        <v/>
      </c>
      <c r="BA253" s="25">
        <f>AI$4*(AI253-AI$3)</f>
        <v/>
      </c>
      <c r="BB253" s="25">
        <f>AJ$4*(AJ253-AJ$3)</f>
        <v/>
      </c>
      <c r="BC253" s="25">
        <f>AK$4*(AK253-AK$3)</f>
        <v/>
      </c>
      <c r="BD253" s="26">
        <f>SUM(AL253:BC253)</f>
        <v/>
      </c>
      <c r="BE253" s="26">
        <f>INTERCEPT_SCALED+BD253</f>
        <v/>
      </c>
      <c r="BF253" s="27">
        <f>1/(1+EXP(-BE253))</f>
        <v/>
      </c>
      <c r="BG253" s="13">
        <f>1-(1-BF253)^12</f>
        <v/>
      </c>
      <c r="BH253" s="13">
        <f>IFERROR(AL253/BD253*(BG253-BASELINE_CPR),0)</f>
        <v/>
      </c>
      <c r="BI253" s="13">
        <f>IFERROR(AM253/BD253*(BG253-BASELINE_CPR),0)</f>
        <v/>
      </c>
      <c r="BJ253" s="13">
        <f>IFERROR(AN253/BD253*(BG253-BASELINE_CPR),0)</f>
        <v/>
      </c>
      <c r="BK253" s="13">
        <f>IFERROR(AO253/BD253*(BG253-BASELINE_CPR),0)</f>
        <v/>
      </c>
      <c r="BL253" s="13">
        <f>IFERROR(AP253/BD253*(BG253-BASELINE_CPR),0)</f>
        <v/>
      </c>
      <c r="BM253" s="13">
        <f>IFERROR(AQ253/BD253*(BG253-BASELINE_CPR),0)</f>
        <v/>
      </c>
      <c r="BN253" s="13">
        <f>IFERROR(AR253/BD253*(BG253-BASELINE_CPR),0)</f>
        <v/>
      </c>
      <c r="BO253" s="13">
        <f>IFERROR(AS253/BD253*(BG253-BASELINE_CPR),0)</f>
        <v/>
      </c>
      <c r="BP253" s="13">
        <f>IFERROR(AT253/BD253*(BG253-BASELINE_CPR),0)</f>
        <v/>
      </c>
      <c r="BQ253" s="13">
        <f>IFERROR(AU253/BD253*(BG253-BASELINE_CPR),0)</f>
        <v/>
      </c>
      <c r="BR253" s="13">
        <f>IFERROR(AV253/BD253*(BG253-BASELINE_CPR),0)</f>
        <v/>
      </c>
      <c r="BS253" s="13">
        <f>IFERROR(AW253/BD253*(BG253-BASELINE_CPR),0)</f>
        <v/>
      </c>
      <c r="BT253" s="13">
        <f>IFERROR(AX253/BD253*(BG253-BASELINE_CPR),0)</f>
        <v/>
      </c>
      <c r="BU253" s="13">
        <f>IFERROR(AY253/BD253*(BG253-BASELINE_CPR),0)</f>
        <v/>
      </c>
      <c r="BV253" s="13">
        <f>IFERROR(AZ253/BD253*(BG253-BASELINE_CPR),0)</f>
        <v/>
      </c>
      <c r="BW253" s="13">
        <f>IFERROR(BA253/BD253*(BG253-BASELINE_CPR),0)</f>
        <v/>
      </c>
      <c r="BX253" s="13">
        <f>IFERROR(BB253/BD253*(BG253-BASELINE_CPR),0)</f>
        <v/>
      </c>
      <c r="BY253" s="13">
        <f>IFERROR(BC253/BD253*(BG253-BASELINE_CPR),0)</f>
        <v/>
      </c>
      <c r="BZ253" s="28">
        <f>BASELINE_CPR+SUM(BH253:BY253)-BG253</f>
        <v/>
      </c>
    </row>
    <row r="254">
      <c r="A254" s="2" t="inlineStr">
        <is>
          <t>3617UXZ62_000000005111491</t>
        </is>
      </c>
      <c r="B254" t="inlineStr">
        <is>
          <t>NORTHMARQ_POST21</t>
        </is>
      </c>
      <c r="C254" s="2" t="inlineStr">
        <is>
          <t>3617UXZ62</t>
        </is>
      </c>
      <c r="D254" t="inlineStr">
        <is>
          <t>NORTHMARQ FINANCE, LLC</t>
        </is>
      </c>
      <c r="E254" t="inlineStr">
        <is>
          <t>223f</t>
        </is>
      </c>
      <c r="F254" t="inlineStr">
        <is>
          <t>RP</t>
        </is>
      </c>
      <c r="G254" t="n">
        <v>2021</v>
      </c>
      <c r="H254" t="inlineStr">
        <is>
          <t>202602</t>
        </is>
      </c>
      <c r="I254" s="22" t="n">
        <v>33362529.06</v>
      </c>
      <c r="J254" s="23" t="n">
        <v>2.59</v>
      </c>
      <c r="K254" s="24" t="n">
        <v>447</v>
      </c>
      <c r="L254" s="24" t="n">
        <v>6</v>
      </c>
      <c r="M254" t="n">
        <v>56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s="24">
        <f>J254*100-(K254+(1+L254)*12.5)</f>
        <v/>
      </c>
      <c r="U254">
        <f>O254</f>
        <v/>
      </c>
      <c r="V254">
        <f>M254</f>
        <v/>
      </c>
      <c r="W254" s="23">
        <f>LN(1+I254)</f>
        <v/>
      </c>
      <c r="X254">
        <f>IF(G254&gt;=2021,1,0)</f>
        <v/>
      </c>
      <c r="Y254">
        <f>N254</f>
        <v/>
      </c>
      <c r="Z254" s="23">
        <f>IF(ISNUMBER(M254),N254/MAX(M254,1),0)</f>
        <v/>
      </c>
      <c r="AA254">
        <f>P254</f>
        <v/>
      </c>
      <c r="AB254">
        <f>Q254</f>
        <v/>
      </c>
      <c r="AC254">
        <f>R254</f>
        <v/>
      </c>
      <c r="AD254">
        <f>S254</f>
        <v/>
      </c>
      <c r="AE254">
        <f>IF(ISNUMBER(SEARCH("CAPITAL FUNDING",D254)),1,0)</f>
        <v/>
      </c>
      <c r="AF254">
        <f>IF(ISNUMBER(SEARCH("MERCHANTS",D254)),1,0)</f>
        <v/>
      </c>
      <c r="AG254">
        <f>IF(ISNUMBER(SEARCH("WELLS FARGO",D254)),1,0)</f>
        <v/>
      </c>
      <c r="AH254">
        <f>IF(ISNUMBER(SEARCH("WALKER",D254)),1,0)</f>
        <v/>
      </c>
      <c r="AI254">
        <f>IF(ISNUMBER(SEARCH("PNC",D254)),1,0)</f>
        <v/>
      </c>
      <c r="AJ254">
        <f>IF(ISNUMBER(SEARCH("BERKADIA",D254)),1,0)</f>
        <v/>
      </c>
      <c r="AK254">
        <f>IF(ISNUMBER(SEARCH("DWIGHT",D254)),1,0)</f>
        <v/>
      </c>
      <c r="AL254" s="25">
        <f>T$4*(T254-T$3)</f>
        <v/>
      </c>
      <c r="AM254" s="25">
        <f>U$4*(U254-U$3)</f>
        <v/>
      </c>
      <c r="AN254" s="25">
        <f>V$4*(V254-V$3)</f>
        <v/>
      </c>
      <c r="AO254" s="25">
        <f>W$4*(W254-W$3)</f>
        <v/>
      </c>
      <c r="AP254" s="25">
        <f>X$4*(X254-X$3)</f>
        <v/>
      </c>
      <c r="AQ254" s="25">
        <f>Y$4*(Y254-Y$3)</f>
        <v/>
      </c>
      <c r="AR254" s="25">
        <f>Z$4*(Z254-Z$3)</f>
        <v/>
      </c>
      <c r="AS254" s="25">
        <f>AA$4*(AA254-AA$3)</f>
        <v/>
      </c>
      <c r="AT254" s="25">
        <f>AB$4*(AB254-AB$3)</f>
        <v/>
      </c>
      <c r="AU254" s="25">
        <f>AC$4*(AC254-AC$3)</f>
        <v/>
      </c>
      <c r="AV254" s="25">
        <f>AD$4*(AD254-AD$3)</f>
        <v/>
      </c>
      <c r="AW254" s="25">
        <f>AE$4*(AE254-AE$3)</f>
        <v/>
      </c>
      <c r="AX254" s="25">
        <f>AF$4*(AF254-AF$3)</f>
        <v/>
      </c>
      <c r="AY254" s="25">
        <f>AG$4*(AG254-AG$3)</f>
        <v/>
      </c>
      <c r="AZ254" s="25">
        <f>AH$4*(AH254-AH$3)</f>
        <v/>
      </c>
      <c r="BA254" s="25">
        <f>AI$4*(AI254-AI$3)</f>
        <v/>
      </c>
      <c r="BB254" s="25">
        <f>AJ$4*(AJ254-AJ$3)</f>
        <v/>
      </c>
      <c r="BC254" s="25">
        <f>AK$4*(AK254-AK$3)</f>
        <v/>
      </c>
      <c r="BD254" s="26">
        <f>SUM(AL254:BC254)</f>
        <v/>
      </c>
      <c r="BE254" s="26">
        <f>INTERCEPT_SCALED+BD254</f>
        <v/>
      </c>
      <c r="BF254" s="27">
        <f>1/(1+EXP(-BE254))</f>
        <v/>
      </c>
      <c r="BG254" s="13">
        <f>1-(1-BF254)^12</f>
        <v/>
      </c>
      <c r="BH254" s="13">
        <f>IFERROR(AL254/BD254*(BG254-BASELINE_CPR),0)</f>
        <v/>
      </c>
      <c r="BI254" s="13">
        <f>IFERROR(AM254/BD254*(BG254-BASELINE_CPR),0)</f>
        <v/>
      </c>
      <c r="BJ254" s="13">
        <f>IFERROR(AN254/BD254*(BG254-BASELINE_CPR),0)</f>
        <v/>
      </c>
      <c r="BK254" s="13">
        <f>IFERROR(AO254/BD254*(BG254-BASELINE_CPR),0)</f>
        <v/>
      </c>
      <c r="BL254" s="13">
        <f>IFERROR(AP254/BD254*(BG254-BASELINE_CPR),0)</f>
        <v/>
      </c>
      <c r="BM254" s="13">
        <f>IFERROR(AQ254/BD254*(BG254-BASELINE_CPR),0)</f>
        <v/>
      </c>
      <c r="BN254" s="13">
        <f>IFERROR(AR254/BD254*(BG254-BASELINE_CPR),0)</f>
        <v/>
      </c>
      <c r="BO254" s="13">
        <f>IFERROR(AS254/BD254*(BG254-BASELINE_CPR),0)</f>
        <v/>
      </c>
      <c r="BP254" s="13">
        <f>IFERROR(AT254/BD254*(BG254-BASELINE_CPR),0)</f>
        <v/>
      </c>
      <c r="BQ254" s="13">
        <f>IFERROR(AU254/BD254*(BG254-BASELINE_CPR),0)</f>
        <v/>
      </c>
      <c r="BR254" s="13">
        <f>IFERROR(AV254/BD254*(BG254-BASELINE_CPR),0)</f>
        <v/>
      </c>
      <c r="BS254" s="13">
        <f>IFERROR(AW254/BD254*(BG254-BASELINE_CPR),0)</f>
        <v/>
      </c>
      <c r="BT254" s="13">
        <f>IFERROR(AX254/BD254*(BG254-BASELINE_CPR),0)</f>
        <v/>
      </c>
      <c r="BU254" s="13">
        <f>IFERROR(AY254/BD254*(BG254-BASELINE_CPR),0)</f>
        <v/>
      </c>
      <c r="BV254" s="13">
        <f>IFERROR(AZ254/BD254*(BG254-BASELINE_CPR),0)</f>
        <v/>
      </c>
      <c r="BW254" s="13">
        <f>IFERROR(BA254/BD254*(BG254-BASELINE_CPR),0)</f>
        <v/>
      </c>
      <c r="BX254" s="13">
        <f>IFERROR(BB254/BD254*(BG254-BASELINE_CPR),0)</f>
        <v/>
      </c>
      <c r="BY254" s="13">
        <f>IFERROR(BC254/BD254*(BG254-BASELINE_CPR),0)</f>
        <v/>
      </c>
      <c r="BZ254" s="28">
        <f>BASELINE_CPR+SUM(BH254:BY254)-BG254</f>
        <v/>
      </c>
    </row>
    <row r="255">
      <c r="A255" s="2" t="inlineStr">
        <is>
          <t>3617QBNW1_000000014311217</t>
        </is>
      </c>
      <c r="B255" t="inlineStr">
        <is>
          <t>NORTHMARQ_PRE21</t>
        </is>
      </c>
      <c r="C255" s="2" t="inlineStr">
        <is>
          <t>3617QBNW1</t>
        </is>
      </c>
      <c r="D255" t="inlineStr">
        <is>
          <t>NORTHMARQ FINANCE, LLC</t>
        </is>
      </c>
      <c r="E255" t="inlineStr">
        <is>
          <t>223f</t>
        </is>
      </c>
      <c r="F255" t="inlineStr">
        <is>
          <t>RP</t>
        </is>
      </c>
      <c r="G255" t="n">
        <v>2020</v>
      </c>
      <c r="H255" t="inlineStr">
        <is>
          <t>202602</t>
        </is>
      </c>
      <c r="I255" s="22" t="n">
        <v>25166647.59</v>
      </c>
      <c r="J255" s="23" t="n">
        <v>2.25</v>
      </c>
      <c r="K255" s="24" t="n">
        <v>447</v>
      </c>
      <c r="L255" s="24" t="n">
        <v>5</v>
      </c>
      <c r="M255" t="n">
        <v>62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s="24">
        <f>J255*100-(K255+(1+L255)*12.5)</f>
        <v/>
      </c>
      <c r="U255">
        <f>O255</f>
        <v/>
      </c>
      <c r="V255">
        <f>M255</f>
        <v/>
      </c>
      <c r="W255" s="23">
        <f>LN(1+I255)</f>
        <v/>
      </c>
      <c r="X255">
        <f>IF(G255&gt;=2021,1,0)</f>
        <v/>
      </c>
      <c r="Y255">
        <f>N255</f>
        <v/>
      </c>
      <c r="Z255" s="23">
        <f>IF(ISNUMBER(M255),N255/MAX(M255,1),0)</f>
        <v/>
      </c>
      <c r="AA255">
        <f>P255</f>
        <v/>
      </c>
      <c r="AB255">
        <f>Q255</f>
        <v/>
      </c>
      <c r="AC255">
        <f>R255</f>
        <v/>
      </c>
      <c r="AD255">
        <f>S255</f>
        <v/>
      </c>
      <c r="AE255">
        <f>IF(ISNUMBER(SEARCH("CAPITAL FUNDING",D255)),1,0)</f>
        <v/>
      </c>
      <c r="AF255">
        <f>IF(ISNUMBER(SEARCH("MERCHANTS",D255)),1,0)</f>
        <v/>
      </c>
      <c r="AG255">
        <f>IF(ISNUMBER(SEARCH("WELLS FARGO",D255)),1,0)</f>
        <v/>
      </c>
      <c r="AH255">
        <f>IF(ISNUMBER(SEARCH("WALKER",D255)),1,0)</f>
        <v/>
      </c>
      <c r="AI255">
        <f>IF(ISNUMBER(SEARCH("PNC",D255)),1,0)</f>
        <v/>
      </c>
      <c r="AJ255">
        <f>IF(ISNUMBER(SEARCH("BERKADIA",D255)),1,0)</f>
        <v/>
      </c>
      <c r="AK255">
        <f>IF(ISNUMBER(SEARCH("DWIGHT",D255)),1,0)</f>
        <v/>
      </c>
      <c r="AL255" s="25">
        <f>T$4*(T255-T$3)</f>
        <v/>
      </c>
      <c r="AM255" s="25">
        <f>U$4*(U255-U$3)</f>
        <v/>
      </c>
      <c r="AN255" s="25">
        <f>V$4*(V255-V$3)</f>
        <v/>
      </c>
      <c r="AO255" s="25">
        <f>W$4*(W255-W$3)</f>
        <v/>
      </c>
      <c r="AP255" s="25">
        <f>X$4*(X255-X$3)</f>
        <v/>
      </c>
      <c r="AQ255" s="25">
        <f>Y$4*(Y255-Y$3)</f>
        <v/>
      </c>
      <c r="AR255" s="25">
        <f>Z$4*(Z255-Z$3)</f>
        <v/>
      </c>
      <c r="AS255" s="25">
        <f>AA$4*(AA255-AA$3)</f>
        <v/>
      </c>
      <c r="AT255" s="25">
        <f>AB$4*(AB255-AB$3)</f>
        <v/>
      </c>
      <c r="AU255" s="25">
        <f>AC$4*(AC255-AC$3)</f>
        <v/>
      </c>
      <c r="AV255" s="25">
        <f>AD$4*(AD255-AD$3)</f>
        <v/>
      </c>
      <c r="AW255" s="25">
        <f>AE$4*(AE255-AE$3)</f>
        <v/>
      </c>
      <c r="AX255" s="25">
        <f>AF$4*(AF255-AF$3)</f>
        <v/>
      </c>
      <c r="AY255" s="25">
        <f>AG$4*(AG255-AG$3)</f>
        <v/>
      </c>
      <c r="AZ255" s="25">
        <f>AH$4*(AH255-AH$3)</f>
        <v/>
      </c>
      <c r="BA255" s="25">
        <f>AI$4*(AI255-AI$3)</f>
        <v/>
      </c>
      <c r="BB255" s="25">
        <f>AJ$4*(AJ255-AJ$3)</f>
        <v/>
      </c>
      <c r="BC255" s="25">
        <f>AK$4*(AK255-AK$3)</f>
        <v/>
      </c>
      <c r="BD255" s="26">
        <f>SUM(AL255:BC255)</f>
        <v/>
      </c>
      <c r="BE255" s="26">
        <f>INTERCEPT_SCALED+BD255</f>
        <v/>
      </c>
      <c r="BF255" s="27">
        <f>1/(1+EXP(-BE255))</f>
        <v/>
      </c>
      <c r="BG255" s="13">
        <f>1-(1-BF255)^12</f>
        <v/>
      </c>
      <c r="BH255" s="13">
        <f>IFERROR(AL255/BD255*(BG255-BASELINE_CPR),0)</f>
        <v/>
      </c>
      <c r="BI255" s="13">
        <f>IFERROR(AM255/BD255*(BG255-BASELINE_CPR),0)</f>
        <v/>
      </c>
      <c r="BJ255" s="13">
        <f>IFERROR(AN255/BD255*(BG255-BASELINE_CPR),0)</f>
        <v/>
      </c>
      <c r="BK255" s="13">
        <f>IFERROR(AO255/BD255*(BG255-BASELINE_CPR),0)</f>
        <v/>
      </c>
      <c r="BL255" s="13">
        <f>IFERROR(AP255/BD255*(BG255-BASELINE_CPR),0)</f>
        <v/>
      </c>
      <c r="BM255" s="13">
        <f>IFERROR(AQ255/BD255*(BG255-BASELINE_CPR),0)</f>
        <v/>
      </c>
      <c r="BN255" s="13">
        <f>IFERROR(AR255/BD255*(BG255-BASELINE_CPR),0)</f>
        <v/>
      </c>
      <c r="BO255" s="13">
        <f>IFERROR(AS255/BD255*(BG255-BASELINE_CPR),0)</f>
        <v/>
      </c>
      <c r="BP255" s="13">
        <f>IFERROR(AT255/BD255*(BG255-BASELINE_CPR),0)</f>
        <v/>
      </c>
      <c r="BQ255" s="13">
        <f>IFERROR(AU255/BD255*(BG255-BASELINE_CPR),0)</f>
        <v/>
      </c>
      <c r="BR255" s="13">
        <f>IFERROR(AV255/BD255*(BG255-BASELINE_CPR),0)</f>
        <v/>
      </c>
      <c r="BS255" s="13">
        <f>IFERROR(AW255/BD255*(BG255-BASELINE_CPR),0)</f>
        <v/>
      </c>
      <c r="BT255" s="13">
        <f>IFERROR(AX255/BD255*(BG255-BASELINE_CPR),0)</f>
        <v/>
      </c>
      <c r="BU255" s="13">
        <f>IFERROR(AY255/BD255*(BG255-BASELINE_CPR),0)</f>
        <v/>
      </c>
      <c r="BV255" s="13">
        <f>IFERROR(AZ255/BD255*(BG255-BASELINE_CPR),0)</f>
        <v/>
      </c>
      <c r="BW255" s="13">
        <f>IFERROR(BA255/BD255*(BG255-BASELINE_CPR),0)</f>
        <v/>
      </c>
      <c r="BX255" s="13">
        <f>IFERROR(BB255/BD255*(BG255-BASELINE_CPR),0)</f>
        <v/>
      </c>
      <c r="BY255" s="13">
        <f>IFERROR(BC255/BD255*(BG255-BASELINE_CPR),0)</f>
        <v/>
      </c>
      <c r="BZ255" s="28">
        <f>BASELINE_CPR+SUM(BH255:BY255)-BG255</f>
        <v/>
      </c>
    </row>
    <row r="256">
      <c r="A256" s="2" t="inlineStr">
        <is>
          <t>3617QBNR2_000000008311216</t>
        </is>
      </c>
      <c r="B256" t="inlineStr">
        <is>
          <t>NORTHMARQ_POST21</t>
        </is>
      </c>
      <c r="C256" s="2" t="inlineStr">
        <is>
          <t>3617QBNR2</t>
        </is>
      </c>
      <c r="D256" t="inlineStr">
        <is>
          <t>NORTHMARQ FINANCE, LLC</t>
        </is>
      </c>
      <c r="E256" t="inlineStr">
        <is>
          <t>223f</t>
        </is>
      </c>
      <c r="F256" t="inlineStr">
        <is>
          <t>RP</t>
        </is>
      </c>
      <c r="G256" t="n">
        <v>2021</v>
      </c>
      <c r="H256" t="inlineStr">
        <is>
          <t>202602</t>
        </is>
      </c>
      <c r="I256" s="22" t="n">
        <v>9833583.34</v>
      </c>
      <c r="J256" s="23" t="n">
        <v>2.7</v>
      </c>
      <c r="K256" s="24" t="n">
        <v>447</v>
      </c>
      <c r="L256" s="24" t="n">
        <v>6</v>
      </c>
      <c r="M256" t="n">
        <v>58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s="24">
        <f>J256*100-(K256+(1+L256)*12.5)</f>
        <v/>
      </c>
      <c r="U256">
        <f>O256</f>
        <v/>
      </c>
      <c r="V256">
        <f>M256</f>
        <v/>
      </c>
      <c r="W256" s="23">
        <f>LN(1+I256)</f>
        <v/>
      </c>
      <c r="X256">
        <f>IF(G256&gt;=2021,1,0)</f>
        <v/>
      </c>
      <c r="Y256">
        <f>N256</f>
        <v/>
      </c>
      <c r="Z256" s="23">
        <f>IF(ISNUMBER(M256),N256/MAX(M256,1),0)</f>
        <v/>
      </c>
      <c r="AA256">
        <f>P256</f>
        <v/>
      </c>
      <c r="AB256">
        <f>Q256</f>
        <v/>
      </c>
      <c r="AC256">
        <f>R256</f>
        <v/>
      </c>
      <c r="AD256">
        <f>S256</f>
        <v/>
      </c>
      <c r="AE256">
        <f>IF(ISNUMBER(SEARCH("CAPITAL FUNDING",D256)),1,0)</f>
        <v/>
      </c>
      <c r="AF256">
        <f>IF(ISNUMBER(SEARCH("MERCHANTS",D256)),1,0)</f>
        <v/>
      </c>
      <c r="AG256">
        <f>IF(ISNUMBER(SEARCH("WELLS FARGO",D256)),1,0)</f>
        <v/>
      </c>
      <c r="AH256">
        <f>IF(ISNUMBER(SEARCH("WALKER",D256)),1,0)</f>
        <v/>
      </c>
      <c r="AI256">
        <f>IF(ISNUMBER(SEARCH("PNC",D256)),1,0)</f>
        <v/>
      </c>
      <c r="AJ256">
        <f>IF(ISNUMBER(SEARCH("BERKADIA",D256)),1,0)</f>
        <v/>
      </c>
      <c r="AK256">
        <f>IF(ISNUMBER(SEARCH("DWIGHT",D256)),1,0)</f>
        <v/>
      </c>
      <c r="AL256" s="25">
        <f>T$4*(T256-T$3)</f>
        <v/>
      </c>
      <c r="AM256" s="25">
        <f>U$4*(U256-U$3)</f>
        <v/>
      </c>
      <c r="AN256" s="25">
        <f>V$4*(V256-V$3)</f>
        <v/>
      </c>
      <c r="AO256" s="25">
        <f>W$4*(W256-W$3)</f>
        <v/>
      </c>
      <c r="AP256" s="25">
        <f>X$4*(X256-X$3)</f>
        <v/>
      </c>
      <c r="AQ256" s="25">
        <f>Y$4*(Y256-Y$3)</f>
        <v/>
      </c>
      <c r="AR256" s="25">
        <f>Z$4*(Z256-Z$3)</f>
        <v/>
      </c>
      <c r="AS256" s="25">
        <f>AA$4*(AA256-AA$3)</f>
        <v/>
      </c>
      <c r="AT256" s="25">
        <f>AB$4*(AB256-AB$3)</f>
        <v/>
      </c>
      <c r="AU256" s="25">
        <f>AC$4*(AC256-AC$3)</f>
        <v/>
      </c>
      <c r="AV256" s="25">
        <f>AD$4*(AD256-AD$3)</f>
        <v/>
      </c>
      <c r="AW256" s="25">
        <f>AE$4*(AE256-AE$3)</f>
        <v/>
      </c>
      <c r="AX256" s="25">
        <f>AF$4*(AF256-AF$3)</f>
        <v/>
      </c>
      <c r="AY256" s="25">
        <f>AG$4*(AG256-AG$3)</f>
        <v/>
      </c>
      <c r="AZ256" s="25">
        <f>AH$4*(AH256-AH$3)</f>
        <v/>
      </c>
      <c r="BA256" s="25">
        <f>AI$4*(AI256-AI$3)</f>
        <v/>
      </c>
      <c r="BB256" s="25">
        <f>AJ$4*(AJ256-AJ$3)</f>
        <v/>
      </c>
      <c r="BC256" s="25">
        <f>AK$4*(AK256-AK$3)</f>
        <v/>
      </c>
      <c r="BD256" s="26">
        <f>SUM(AL256:BC256)</f>
        <v/>
      </c>
      <c r="BE256" s="26">
        <f>INTERCEPT_SCALED+BD256</f>
        <v/>
      </c>
      <c r="BF256" s="27">
        <f>1/(1+EXP(-BE256))</f>
        <v/>
      </c>
      <c r="BG256" s="13">
        <f>1-(1-BF256)^12</f>
        <v/>
      </c>
      <c r="BH256" s="13">
        <f>IFERROR(AL256/BD256*(BG256-BASELINE_CPR),0)</f>
        <v/>
      </c>
      <c r="BI256" s="13">
        <f>IFERROR(AM256/BD256*(BG256-BASELINE_CPR),0)</f>
        <v/>
      </c>
      <c r="BJ256" s="13">
        <f>IFERROR(AN256/BD256*(BG256-BASELINE_CPR),0)</f>
        <v/>
      </c>
      <c r="BK256" s="13">
        <f>IFERROR(AO256/BD256*(BG256-BASELINE_CPR),0)</f>
        <v/>
      </c>
      <c r="BL256" s="13">
        <f>IFERROR(AP256/BD256*(BG256-BASELINE_CPR),0)</f>
        <v/>
      </c>
      <c r="BM256" s="13">
        <f>IFERROR(AQ256/BD256*(BG256-BASELINE_CPR),0)</f>
        <v/>
      </c>
      <c r="BN256" s="13">
        <f>IFERROR(AR256/BD256*(BG256-BASELINE_CPR),0)</f>
        <v/>
      </c>
      <c r="BO256" s="13">
        <f>IFERROR(AS256/BD256*(BG256-BASELINE_CPR),0)</f>
        <v/>
      </c>
      <c r="BP256" s="13">
        <f>IFERROR(AT256/BD256*(BG256-BASELINE_CPR),0)</f>
        <v/>
      </c>
      <c r="BQ256" s="13">
        <f>IFERROR(AU256/BD256*(BG256-BASELINE_CPR),0)</f>
        <v/>
      </c>
      <c r="BR256" s="13">
        <f>IFERROR(AV256/BD256*(BG256-BASELINE_CPR),0)</f>
        <v/>
      </c>
      <c r="BS256" s="13">
        <f>IFERROR(AW256/BD256*(BG256-BASELINE_CPR),0)</f>
        <v/>
      </c>
      <c r="BT256" s="13">
        <f>IFERROR(AX256/BD256*(BG256-BASELINE_CPR),0)</f>
        <v/>
      </c>
      <c r="BU256" s="13">
        <f>IFERROR(AY256/BD256*(BG256-BASELINE_CPR),0)</f>
        <v/>
      </c>
      <c r="BV256" s="13">
        <f>IFERROR(AZ256/BD256*(BG256-BASELINE_CPR),0)</f>
        <v/>
      </c>
      <c r="BW256" s="13">
        <f>IFERROR(BA256/BD256*(BG256-BASELINE_CPR),0)</f>
        <v/>
      </c>
      <c r="BX256" s="13">
        <f>IFERROR(BB256/BD256*(BG256-BASELINE_CPR),0)</f>
        <v/>
      </c>
      <c r="BY256" s="13">
        <f>IFERROR(BC256/BD256*(BG256-BASELINE_CPR),0)</f>
        <v/>
      </c>
      <c r="BZ256" s="28">
        <f>BASELINE_CPR+SUM(BH256:BY256)-BG256</f>
        <v/>
      </c>
    </row>
  </sheetData>
  <mergeCells count="7">
    <mergeCell ref="I1:S1"/>
    <mergeCell ref="BZ1"/>
    <mergeCell ref="T1:AK1"/>
    <mergeCell ref="BH1:BY1"/>
    <mergeCell ref="AL1:BC1"/>
    <mergeCell ref="A1:H1"/>
    <mergeCell ref="BD1:B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3" t="inlineStr">
        <is>
          <t>Deal-level Rollup (UPB-weighted)</t>
        </is>
      </c>
    </row>
    <row r="2">
      <c r="A2" s="4" t="inlineStr">
        <is>
          <t>Deal_ID is sourced from Loan_Snapshot column B. Edit there to regroup.</t>
        </is>
      </c>
    </row>
    <row r="4">
      <c r="A4" s="5" t="inlineStr">
        <is>
          <t>Deal_ID</t>
        </is>
      </c>
      <c r="B4" s="5" t="inlineStr">
        <is>
          <t>n_loans</t>
        </is>
      </c>
      <c r="C4" s="5" t="inlineStr">
        <is>
          <t>total_UPB</t>
        </is>
      </c>
      <c r="D4" s="5" t="inlineStr">
        <is>
          <t>wavg_pred_CPR</t>
        </is>
      </c>
      <c r="E4" s="5" t="inlineStr">
        <is>
          <t>attr_refi_incentive_bps</t>
        </is>
      </c>
      <c r="F4" s="5" t="inlineStr">
        <is>
          <t>attr_in_prepay_penalty</t>
        </is>
      </c>
      <c r="G4" s="5" t="inlineStr">
        <is>
          <t>attr_loan_age_months</t>
        </is>
      </c>
      <c r="H4" s="5" t="inlineStr">
        <is>
          <t>attr_log_upb</t>
        </is>
      </c>
      <c r="I4" s="5" t="inlineStr">
        <is>
          <t>attr_is_post_covid</t>
        </is>
      </c>
      <c r="J4" s="5" t="inlineStr">
        <is>
          <t>attr_cum_itm</t>
        </is>
      </c>
      <c r="K4" s="5" t="inlineStr">
        <is>
          <t>attr_burn_ratio</t>
        </is>
      </c>
      <c r="L4" s="5" t="inlineStr">
        <is>
          <t>attr_is_hc_232</t>
        </is>
      </c>
      <c r="M4" s="5" t="inlineStr">
        <is>
          <t>attr_is_223a7</t>
        </is>
      </c>
      <c r="N4" s="5" t="inlineStr">
        <is>
          <t>attr_is_538</t>
        </is>
      </c>
      <c r="O4" s="5" t="inlineStr">
        <is>
          <t>attr_lp_NC</t>
        </is>
      </c>
      <c r="P4" s="5" t="inlineStr">
        <is>
          <t>attr_iss_capital_funding</t>
        </is>
      </c>
      <c r="Q4" s="5" t="inlineStr">
        <is>
          <t>attr_iss_merchants</t>
        </is>
      </c>
      <c r="R4" s="5" t="inlineStr">
        <is>
          <t>attr_iss_wells_fargo</t>
        </is>
      </c>
      <c r="S4" s="5" t="inlineStr">
        <is>
          <t>attr_iss_walker_dunlop</t>
        </is>
      </c>
      <c r="T4" s="5" t="inlineStr">
        <is>
          <t>attr_iss_pnc</t>
        </is>
      </c>
      <c r="U4" s="5" t="inlineStr">
        <is>
          <t>attr_iss_berkadia</t>
        </is>
      </c>
      <c r="V4" s="5" t="inlineStr">
        <is>
          <t>attr_iss_dwight</t>
        </is>
      </c>
      <c r="W4" s="5" t="inlineStr">
        <is>
          <t>sanity_check</t>
        </is>
      </c>
    </row>
    <row r="5">
      <c r="A5" s="2" t="inlineStr">
        <is>
          <t>LUMENT_PRE21</t>
        </is>
      </c>
      <c r="B5">
        <f>COUNTIF(Loan_Snapshot!$B$5:$B$256,$A5)</f>
        <v/>
      </c>
      <c r="C5" s="22">
        <f>SUMIF(Loan_Snapshot!$B$5:$B$256,$A5,Loan_Snapshot!$I$5:$I$256)</f>
        <v/>
      </c>
      <c r="D5" s="13">
        <f>IFERROR(SUMPRODUCT((Loan_Snapshot!$B$5:$B$256=$A5)*Loan_Snapshot!$I$5:$I$256*Loan_Snapshot!$BG$5:$BG$256)/$C5,0)</f>
        <v/>
      </c>
      <c r="E5" s="13">
        <f>IFERROR(SUMPRODUCT((Loan_Snapshot!$B$5:$B$256=$A5)*Loan_Snapshot!$I$5:$I$256*Loan_Snapshot!$BH$5:$BH$256)/$C5,0)</f>
        <v/>
      </c>
      <c r="F5" s="13">
        <f>IFERROR(SUMPRODUCT((Loan_Snapshot!$B$5:$B$256=$A5)*Loan_Snapshot!$I$5:$I$256*Loan_Snapshot!$BI$5:$BI$256)/$C5,0)</f>
        <v/>
      </c>
      <c r="G5" s="13">
        <f>IFERROR(SUMPRODUCT((Loan_Snapshot!$B$5:$B$256=$A5)*Loan_Snapshot!$I$5:$I$256*Loan_Snapshot!$BJ$5:$BJ$256)/$C5,0)</f>
        <v/>
      </c>
      <c r="H5" s="13">
        <f>IFERROR(SUMPRODUCT((Loan_Snapshot!$B$5:$B$256=$A5)*Loan_Snapshot!$I$5:$I$256*Loan_Snapshot!$BK$5:$BK$256)/$C5,0)</f>
        <v/>
      </c>
      <c r="I5" s="13">
        <f>IFERROR(SUMPRODUCT((Loan_Snapshot!$B$5:$B$256=$A5)*Loan_Snapshot!$I$5:$I$256*Loan_Snapshot!$BL$5:$BL$256)/$C5,0)</f>
        <v/>
      </c>
      <c r="J5" s="13">
        <f>IFERROR(SUMPRODUCT((Loan_Snapshot!$B$5:$B$256=$A5)*Loan_Snapshot!$I$5:$I$256*Loan_Snapshot!$BM$5:$BM$256)/$C5,0)</f>
        <v/>
      </c>
      <c r="K5" s="13">
        <f>IFERROR(SUMPRODUCT((Loan_Snapshot!$B$5:$B$256=$A5)*Loan_Snapshot!$I$5:$I$256*Loan_Snapshot!$BN$5:$BN$256)/$C5,0)</f>
        <v/>
      </c>
      <c r="L5" s="13">
        <f>IFERROR(SUMPRODUCT((Loan_Snapshot!$B$5:$B$256=$A5)*Loan_Snapshot!$I$5:$I$256*Loan_Snapshot!$BO$5:$BO$256)/$C5,0)</f>
        <v/>
      </c>
      <c r="M5" s="13">
        <f>IFERROR(SUMPRODUCT((Loan_Snapshot!$B$5:$B$256=$A5)*Loan_Snapshot!$I$5:$I$256*Loan_Snapshot!$BP$5:$BP$256)/$C5,0)</f>
        <v/>
      </c>
      <c r="N5" s="13">
        <f>IFERROR(SUMPRODUCT((Loan_Snapshot!$B$5:$B$256=$A5)*Loan_Snapshot!$I$5:$I$256*Loan_Snapshot!$BQ$5:$BQ$256)/$C5,0)</f>
        <v/>
      </c>
      <c r="O5" s="13">
        <f>IFERROR(SUMPRODUCT((Loan_Snapshot!$B$5:$B$256=$A5)*Loan_Snapshot!$I$5:$I$256*Loan_Snapshot!$BR$5:$BR$256)/$C5,0)</f>
        <v/>
      </c>
      <c r="P5" s="13">
        <f>IFERROR(SUMPRODUCT((Loan_Snapshot!$B$5:$B$256=$A5)*Loan_Snapshot!$I$5:$I$256*Loan_Snapshot!$BS$5:$BS$256)/$C5,0)</f>
        <v/>
      </c>
      <c r="Q5" s="13">
        <f>IFERROR(SUMPRODUCT((Loan_Snapshot!$B$5:$B$256=$A5)*Loan_Snapshot!$I$5:$I$256*Loan_Snapshot!$BT$5:$BT$256)/$C5,0)</f>
        <v/>
      </c>
      <c r="R5" s="13">
        <f>IFERROR(SUMPRODUCT((Loan_Snapshot!$B$5:$B$256=$A5)*Loan_Snapshot!$I$5:$I$256*Loan_Snapshot!$BU$5:$BU$256)/$C5,0)</f>
        <v/>
      </c>
      <c r="S5" s="13">
        <f>IFERROR(SUMPRODUCT((Loan_Snapshot!$B$5:$B$256=$A5)*Loan_Snapshot!$I$5:$I$256*Loan_Snapshot!$BV$5:$BV$256)/$C5,0)</f>
        <v/>
      </c>
      <c r="T5" s="13">
        <f>IFERROR(SUMPRODUCT((Loan_Snapshot!$B$5:$B$256=$A5)*Loan_Snapshot!$I$5:$I$256*Loan_Snapshot!$BW$5:$BW$256)/$C5,0)</f>
        <v/>
      </c>
      <c r="U5" s="13">
        <f>IFERROR(SUMPRODUCT((Loan_Snapshot!$B$5:$B$256=$A5)*Loan_Snapshot!$I$5:$I$256*Loan_Snapshot!$BX$5:$BX$256)/$C5,0)</f>
        <v/>
      </c>
      <c r="V5" s="13">
        <f>IFERROR(SUMPRODUCT((Loan_Snapshot!$B$5:$B$256=$A5)*Loan_Snapshot!$I$5:$I$256*Loan_Snapshot!$BY$5:$BY$256)/$C5,0)</f>
        <v/>
      </c>
      <c r="W5" s="28">
        <f>BASELINE_CPR+SUM(E5:V5)-$D5</f>
        <v/>
      </c>
    </row>
    <row r="6">
      <c r="A6" s="2" t="inlineStr">
        <is>
          <t>BERKADIA_PRE21</t>
        </is>
      </c>
      <c r="B6">
        <f>COUNTIF(Loan_Snapshot!$B$5:$B$256,$A6)</f>
        <v/>
      </c>
      <c r="C6" s="22">
        <f>SUMIF(Loan_Snapshot!$B$5:$B$256,$A6,Loan_Snapshot!$I$5:$I$256)</f>
        <v/>
      </c>
      <c r="D6" s="13">
        <f>IFERROR(SUMPRODUCT((Loan_Snapshot!$B$5:$B$256=$A6)*Loan_Snapshot!$I$5:$I$256*Loan_Snapshot!$BG$5:$BG$256)/$C6,0)</f>
        <v/>
      </c>
      <c r="E6" s="13">
        <f>IFERROR(SUMPRODUCT((Loan_Snapshot!$B$5:$B$256=$A6)*Loan_Snapshot!$I$5:$I$256*Loan_Snapshot!$BH$5:$BH$256)/$C6,0)</f>
        <v/>
      </c>
      <c r="F6" s="13">
        <f>IFERROR(SUMPRODUCT((Loan_Snapshot!$B$5:$B$256=$A6)*Loan_Snapshot!$I$5:$I$256*Loan_Snapshot!$BI$5:$BI$256)/$C6,0)</f>
        <v/>
      </c>
      <c r="G6" s="13">
        <f>IFERROR(SUMPRODUCT((Loan_Snapshot!$B$5:$B$256=$A6)*Loan_Snapshot!$I$5:$I$256*Loan_Snapshot!$BJ$5:$BJ$256)/$C6,0)</f>
        <v/>
      </c>
      <c r="H6" s="13">
        <f>IFERROR(SUMPRODUCT((Loan_Snapshot!$B$5:$B$256=$A6)*Loan_Snapshot!$I$5:$I$256*Loan_Snapshot!$BK$5:$BK$256)/$C6,0)</f>
        <v/>
      </c>
      <c r="I6" s="13">
        <f>IFERROR(SUMPRODUCT((Loan_Snapshot!$B$5:$B$256=$A6)*Loan_Snapshot!$I$5:$I$256*Loan_Snapshot!$BL$5:$BL$256)/$C6,0)</f>
        <v/>
      </c>
      <c r="J6" s="13">
        <f>IFERROR(SUMPRODUCT((Loan_Snapshot!$B$5:$B$256=$A6)*Loan_Snapshot!$I$5:$I$256*Loan_Snapshot!$BM$5:$BM$256)/$C6,0)</f>
        <v/>
      </c>
      <c r="K6" s="13">
        <f>IFERROR(SUMPRODUCT((Loan_Snapshot!$B$5:$B$256=$A6)*Loan_Snapshot!$I$5:$I$256*Loan_Snapshot!$BN$5:$BN$256)/$C6,0)</f>
        <v/>
      </c>
      <c r="L6" s="13">
        <f>IFERROR(SUMPRODUCT((Loan_Snapshot!$B$5:$B$256=$A6)*Loan_Snapshot!$I$5:$I$256*Loan_Snapshot!$BO$5:$BO$256)/$C6,0)</f>
        <v/>
      </c>
      <c r="M6" s="13">
        <f>IFERROR(SUMPRODUCT((Loan_Snapshot!$B$5:$B$256=$A6)*Loan_Snapshot!$I$5:$I$256*Loan_Snapshot!$BP$5:$BP$256)/$C6,0)</f>
        <v/>
      </c>
      <c r="N6" s="13">
        <f>IFERROR(SUMPRODUCT((Loan_Snapshot!$B$5:$B$256=$A6)*Loan_Snapshot!$I$5:$I$256*Loan_Snapshot!$BQ$5:$BQ$256)/$C6,0)</f>
        <v/>
      </c>
      <c r="O6" s="13">
        <f>IFERROR(SUMPRODUCT((Loan_Snapshot!$B$5:$B$256=$A6)*Loan_Snapshot!$I$5:$I$256*Loan_Snapshot!$BR$5:$BR$256)/$C6,0)</f>
        <v/>
      </c>
      <c r="P6" s="13">
        <f>IFERROR(SUMPRODUCT((Loan_Snapshot!$B$5:$B$256=$A6)*Loan_Snapshot!$I$5:$I$256*Loan_Snapshot!$BS$5:$BS$256)/$C6,0)</f>
        <v/>
      </c>
      <c r="Q6" s="13">
        <f>IFERROR(SUMPRODUCT((Loan_Snapshot!$B$5:$B$256=$A6)*Loan_Snapshot!$I$5:$I$256*Loan_Snapshot!$BT$5:$BT$256)/$C6,0)</f>
        <v/>
      </c>
      <c r="R6" s="13">
        <f>IFERROR(SUMPRODUCT((Loan_Snapshot!$B$5:$B$256=$A6)*Loan_Snapshot!$I$5:$I$256*Loan_Snapshot!$BU$5:$BU$256)/$C6,0)</f>
        <v/>
      </c>
      <c r="S6" s="13">
        <f>IFERROR(SUMPRODUCT((Loan_Snapshot!$B$5:$B$256=$A6)*Loan_Snapshot!$I$5:$I$256*Loan_Snapshot!$BV$5:$BV$256)/$C6,0)</f>
        <v/>
      </c>
      <c r="T6" s="13">
        <f>IFERROR(SUMPRODUCT((Loan_Snapshot!$B$5:$B$256=$A6)*Loan_Snapshot!$I$5:$I$256*Loan_Snapshot!$BW$5:$BW$256)/$C6,0)</f>
        <v/>
      </c>
      <c r="U6" s="13">
        <f>IFERROR(SUMPRODUCT((Loan_Snapshot!$B$5:$B$256=$A6)*Loan_Snapshot!$I$5:$I$256*Loan_Snapshot!$BX$5:$BX$256)/$C6,0)</f>
        <v/>
      </c>
      <c r="V6" s="13">
        <f>IFERROR(SUMPRODUCT((Loan_Snapshot!$B$5:$B$256=$A6)*Loan_Snapshot!$I$5:$I$256*Loan_Snapshot!$BY$5:$BY$256)/$C6,0)</f>
        <v/>
      </c>
      <c r="W6" s="28">
        <f>BASELINE_CPR+SUM(E6:V6)-$D6</f>
        <v/>
      </c>
    </row>
    <row r="7">
      <c r="A7" s="2" t="inlineStr">
        <is>
          <t>PNC_PRE21</t>
        </is>
      </c>
      <c r="B7">
        <f>COUNTIF(Loan_Snapshot!$B$5:$B$256,$A7)</f>
        <v/>
      </c>
      <c r="C7" s="22">
        <f>SUMIF(Loan_Snapshot!$B$5:$B$256,$A7,Loan_Snapshot!$I$5:$I$256)</f>
        <v/>
      </c>
      <c r="D7" s="13">
        <f>IFERROR(SUMPRODUCT((Loan_Snapshot!$B$5:$B$256=$A7)*Loan_Snapshot!$I$5:$I$256*Loan_Snapshot!$BG$5:$BG$256)/$C7,0)</f>
        <v/>
      </c>
      <c r="E7" s="13">
        <f>IFERROR(SUMPRODUCT((Loan_Snapshot!$B$5:$B$256=$A7)*Loan_Snapshot!$I$5:$I$256*Loan_Snapshot!$BH$5:$BH$256)/$C7,0)</f>
        <v/>
      </c>
      <c r="F7" s="13">
        <f>IFERROR(SUMPRODUCT((Loan_Snapshot!$B$5:$B$256=$A7)*Loan_Snapshot!$I$5:$I$256*Loan_Snapshot!$BI$5:$BI$256)/$C7,0)</f>
        <v/>
      </c>
      <c r="G7" s="13">
        <f>IFERROR(SUMPRODUCT((Loan_Snapshot!$B$5:$B$256=$A7)*Loan_Snapshot!$I$5:$I$256*Loan_Snapshot!$BJ$5:$BJ$256)/$C7,0)</f>
        <v/>
      </c>
      <c r="H7" s="13">
        <f>IFERROR(SUMPRODUCT((Loan_Snapshot!$B$5:$B$256=$A7)*Loan_Snapshot!$I$5:$I$256*Loan_Snapshot!$BK$5:$BK$256)/$C7,0)</f>
        <v/>
      </c>
      <c r="I7" s="13">
        <f>IFERROR(SUMPRODUCT((Loan_Snapshot!$B$5:$B$256=$A7)*Loan_Snapshot!$I$5:$I$256*Loan_Snapshot!$BL$5:$BL$256)/$C7,0)</f>
        <v/>
      </c>
      <c r="J7" s="13">
        <f>IFERROR(SUMPRODUCT((Loan_Snapshot!$B$5:$B$256=$A7)*Loan_Snapshot!$I$5:$I$256*Loan_Snapshot!$BM$5:$BM$256)/$C7,0)</f>
        <v/>
      </c>
      <c r="K7" s="13">
        <f>IFERROR(SUMPRODUCT((Loan_Snapshot!$B$5:$B$256=$A7)*Loan_Snapshot!$I$5:$I$256*Loan_Snapshot!$BN$5:$BN$256)/$C7,0)</f>
        <v/>
      </c>
      <c r="L7" s="13">
        <f>IFERROR(SUMPRODUCT((Loan_Snapshot!$B$5:$B$256=$A7)*Loan_Snapshot!$I$5:$I$256*Loan_Snapshot!$BO$5:$BO$256)/$C7,0)</f>
        <v/>
      </c>
      <c r="M7" s="13">
        <f>IFERROR(SUMPRODUCT((Loan_Snapshot!$B$5:$B$256=$A7)*Loan_Snapshot!$I$5:$I$256*Loan_Snapshot!$BP$5:$BP$256)/$C7,0)</f>
        <v/>
      </c>
      <c r="N7" s="13">
        <f>IFERROR(SUMPRODUCT((Loan_Snapshot!$B$5:$B$256=$A7)*Loan_Snapshot!$I$5:$I$256*Loan_Snapshot!$BQ$5:$BQ$256)/$C7,0)</f>
        <v/>
      </c>
      <c r="O7" s="13">
        <f>IFERROR(SUMPRODUCT((Loan_Snapshot!$B$5:$B$256=$A7)*Loan_Snapshot!$I$5:$I$256*Loan_Snapshot!$BR$5:$BR$256)/$C7,0)</f>
        <v/>
      </c>
      <c r="P7" s="13">
        <f>IFERROR(SUMPRODUCT((Loan_Snapshot!$B$5:$B$256=$A7)*Loan_Snapshot!$I$5:$I$256*Loan_Snapshot!$BS$5:$BS$256)/$C7,0)</f>
        <v/>
      </c>
      <c r="Q7" s="13">
        <f>IFERROR(SUMPRODUCT((Loan_Snapshot!$B$5:$B$256=$A7)*Loan_Snapshot!$I$5:$I$256*Loan_Snapshot!$BT$5:$BT$256)/$C7,0)</f>
        <v/>
      </c>
      <c r="R7" s="13">
        <f>IFERROR(SUMPRODUCT((Loan_Snapshot!$B$5:$B$256=$A7)*Loan_Snapshot!$I$5:$I$256*Loan_Snapshot!$BU$5:$BU$256)/$C7,0)</f>
        <v/>
      </c>
      <c r="S7" s="13">
        <f>IFERROR(SUMPRODUCT((Loan_Snapshot!$B$5:$B$256=$A7)*Loan_Snapshot!$I$5:$I$256*Loan_Snapshot!$BV$5:$BV$256)/$C7,0)</f>
        <v/>
      </c>
      <c r="T7" s="13">
        <f>IFERROR(SUMPRODUCT((Loan_Snapshot!$B$5:$B$256=$A7)*Loan_Snapshot!$I$5:$I$256*Loan_Snapshot!$BW$5:$BW$256)/$C7,0)</f>
        <v/>
      </c>
      <c r="U7" s="13">
        <f>IFERROR(SUMPRODUCT((Loan_Snapshot!$B$5:$B$256=$A7)*Loan_Snapshot!$I$5:$I$256*Loan_Snapshot!$BX$5:$BX$256)/$C7,0)</f>
        <v/>
      </c>
      <c r="V7" s="13">
        <f>IFERROR(SUMPRODUCT((Loan_Snapshot!$B$5:$B$256=$A7)*Loan_Snapshot!$I$5:$I$256*Loan_Snapshot!$BY$5:$BY$256)/$C7,0)</f>
        <v/>
      </c>
      <c r="W7" s="28">
        <f>BASELINE_CPR+SUM(E7:V7)-$D7</f>
        <v/>
      </c>
    </row>
    <row r="8">
      <c r="A8" s="2" t="inlineStr">
        <is>
          <t>WALKER_PRE21</t>
        </is>
      </c>
      <c r="B8">
        <f>COUNTIF(Loan_Snapshot!$B$5:$B$256,$A8)</f>
        <v/>
      </c>
      <c r="C8" s="22">
        <f>SUMIF(Loan_Snapshot!$B$5:$B$256,$A8,Loan_Snapshot!$I$5:$I$256)</f>
        <v/>
      </c>
      <c r="D8" s="13">
        <f>IFERROR(SUMPRODUCT((Loan_Snapshot!$B$5:$B$256=$A8)*Loan_Snapshot!$I$5:$I$256*Loan_Snapshot!$BG$5:$BG$256)/$C8,0)</f>
        <v/>
      </c>
      <c r="E8" s="13">
        <f>IFERROR(SUMPRODUCT((Loan_Snapshot!$B$5:$B$256=$A8)*Loan_Snapshot!$I$5:$I$256*Loan_Snapshot!$BH$5:$BH$256)/$C8,0)</f>
        <v/>
      </c>
      <c r="F8" s="13">
        <f>IFERROR(SUMPRODUCT((Loan_Snapshot!$B$5:$B$256=$A8)*Loan_Snapshot!$I$5:$I$256*Loan_Snapshot!$BI$5:$BI$256)/$C8,0)</f>
        <v/>
      </c>
      <c r="G8" s="13">
        <f>IFERROR(SUMPRODUCT((Loan_Snapshot!$B$5:$B$256=$A8)*Loan_Snapshot!$I$5:$I$256*Loan_Snapshot!$BJ$5:$BJ$256)/$C8,0)</f>
        <v/>
      </c>
      <c r="H8" s="13">
        <f>IFERROR(SUMPRODUCT((Loan_Snapshot!$B$5:$B$256=$A8)*Loan_Snapshot!$I$5:$I$256*Loan_Snapshot!$BK$5:$BK$256)/$C8,0)</f>
        <v/>
      </c>
      <c r="I8" s="13">
        <f>IFERROR(SUMPRODUCT((Loan_Snapshot!$B$5:$B$256=$A8)*Loan_Snapshot!$I$5:$I$256*Loan_Snapshot!$BL$5:$BL$256)/$C8,0)</f>
        <v/>
      </c>
      <c r="J8" s="13">
        <f>IFERROR(SUMPRODUCT((Loan_Snapshot!$B$5:$B$256=$A8)*Loan_Snapshot!$I$5:$I$256*Loan_Snapshot!$BM$5:$BM$256)/$C8,0)</f>
        <v/>
      </c>
      <c r="K8" s="13">
        <f>IFERROR(SUMPRODUCT((Loan_Snapshot!$B$5:$B$256=$A8)*Loan_Snapshot!$I$5:$I$256*Loan_Snapshot!$BN$5:$BN$256)/$C8,0)</f>
        <v/>
      </c>
      <c r="L8" s="13">
        <f>IFERROR(SUMPRODUCT((Loan_Snapshot!$B$5:$B$256=$A8)*Loan_Snapshot!$I$5:$I$256*Loan_Snapshot!$BO$5:$BO$256)/$C8,0)</f>
        <v/>
      </c>
      <c r="M8" s="13">
        <f>IFERROR(SUMPRODUCT((Loan_Snapshot!$B$5:$B$256=$A8)*Loan_Snapshot!$I$5:$I$256*Loan_Snapshot!$BP$5:$BP$256)/$C8,0)</f>
        <v/>
      </c>
      <c r="N8" s="13">
        <f>IFERROR(SUMPRODUCT((Loan_Snapshot!$B$5:$B$256=$A8)*Loan_Snapshot!$I$5:$I$256*Loan_Snapshot!$BQ$5:$BQ$256)/$C8,0)</f>
        <v/>
      </c>
      <c r="O8" s="13">
        <f>IFERROR(SUMPRODUCT((Loan_Snapshot!$B$5:$B$256=$A8)*Loan_Snapshot!$I$5:$I$256*Loan_Snapshot!$BR$5:$BR$256)/$C8,0)</f>
        <v/>
      </c>
      <c r="P8" s="13">
        <f>IFERROR(SUMPRODUCT((Loan_Snapshot!$B$5:$B$256=$A8)*Loan_Snapshot!$I$5:$I$256*Loan_Snapshot!$BS$5:$BS$256)/$C8,0)</f>
        <v/>
      </c>
      <c r="Q8" s="13">
        <f>IFERROR(SUMPRODUCT((Loan_Snapshot!$B$5:$B$256=$A8)*Loan_Snapshot!$I$5:$I$256*Loan_Snapshot!$BT$5:$BT$256)/$C8,0)</f>
        <v/>
      </c>
      <c r="R8" s="13">
        <f>IFERROR(SUMPRODUCT((Loan_Snapshot!$B$5:$B$256=$A8)*Loan_Snapshot!$I$5:$I$256*Loan_Snapshot!$BU$5:$BU$256)/$C8,0)</f>
        <v/>
      </c>
      <c r="S8" s="13">
        <f>IFERROR(SUMPRODUCT((Loan_Snapshot!$B$5:$B$256=$A8)*Loan_Snapshot!$I$5:$I$256*Loan_Snapshot!$BV$5:$BV$256)/$C8,0)</f>
        <v/>
      </c>
      <c r="T8" s="13">
        <f>IFERROR(SUMPRODUCT((Loan_Snapshot!$B$5:$B$256=$A8)*Loan_Snapshot!$I$5:$I$256*Loan_Snapshot!$BW$5:$BW$256)/$C8,0)</f>
        <v/>
      </c>
      <c r="U8" s="13">
        <f>IFERROR(SUMPRODUCT((Loan_Snapshot!$B$5:$B$256=$A8)*Loan_Snapshot!$I$5:$I$256*Loan_Snapshot!$BX$5:$BX$256)/$C8,0)</f>
        <v/>
      </c>
      <c r="V8" s="13">
        <f>IFERROR(SUMPRODUCT((Loan_Snapshot!$B$5:$B$256=$A8)*Loan_Snapshot!$I$5:$I$256*Loan_Snapshot!$BY$5:$BY$256)/$C8,0)</f>
        <v/>
      </c>
      <c r="W8" s="28">
        <f>BASELINE_CPR+SUM(E8:V8)-$D8</f>
        <v/>
      </c>
    </row>
    <row r="9">
      <c r="A9" s="2" t="inlineStr">
        <is>
          <t>WELLS_PRE21</t>
        </is>
      </c>
      <c r="B9">
        <f>COUNTIF(Loan_Snapshot!$B$5:$B$256,$A9)</f>
        <v/>
      </c>
      <c r="C9" s="22">
        <f>SUMIF(Loan_Snapshot!$B$5:$B$256,$A9,Loan_Snapshot!$I$5:$I$256)</f>
        <v/>
      </c>
      <c r="D9" s="13">
        <f>IFERROR(SUMPRODUCT((Loan_Snapshot!$B$5:$B$256=$A9)*Loan_Snapshot!$I$5:$I$256*Loan_Snapshot!$BG$5:$BG$256)/$C9,0)</f>
        <v/>
      </c>
      <c r="E9" s="13">
        <f>IFERROR(SUMPRODUCT((Loan_Snapshot!$B$5:$B$256=$A9)*Loan_Snapshot!$I$5:$I$256*Loan_Snapshot!$BH$5:$BH$256)/$C9,0)</f>
        <v/>
      </c>
      <c r="F9" s="13">
        <f>IFERROR(SUMPRODUCT((Loan_Snapshot!$B$5:$B$256=$A9)*Loan_Snapshot!$I$5:$I$256*Loan_Snapshot!$BI$5:$BI$256)/$C9,0)</f>
        <v/>
      </c>
      <c r="G9" s="13">
        <f>IFERROR(SUMPRODUCT((Loan_Snapshot!$B$5:$B$256=$A9)*Loan_Snapshot!$I$5:$I$256*Loan_Snapshot!$BJ$5:$BJ$256)/$C9,0)</f>
        <v/>
      </c>
      <c r="H9" s="13">
        <f>IFERROR(SUMPRODUCT((Loan_Snapshot!$B$5:$B$256=$A9)*Loan_Snapshot!$I$5:$I$256*Loan_Snapshot!$BK$5:$BK$256)/$C9,0)</f>
        <v/>
      </c>
      <c r="I9" s="13">
        <f>IFERROR(SUMPRODUCT((Loan_Snapshot!$B$5:$B$256=$A9)*Loan_Snapshot!$I$5:$I$256*Loan_Snapshot!$BL$5:$BL$256)/$C9,0)</f>
        <v/>
      </c>
      <c r="J9" s="13">
        <f>IFERROR(SUMPRODUCT((Loan_Snapshot!$B$5:$B$256=$A9)*Loan_Snapshot!$I$5:$I$256*Loan_Snapshot!$BM$5:$BM$256)/$C9,0)</f>
        <v/>
      </c>
      <c r="K9" s="13">
        <f>IFERROR(SUMPRODUCT((Loan_Snapshot!$B$5:$B$256=$A9)*Loan_Snapshot!$I$5:$I$256*Loan_Snapshot!$BN$5:$BN$256)/$C9,0)</f>
        <v/>
      </c>
      <c r="L9" s="13">
        <f>IFERROR(SUMPRODUCT((Loan_Snapshot!$B$5:$B$256=$A9)*Loan_Snapshot!$I$5:$I$256*Loan_Snapshot!$BO$5:$BO$256)/$C9,0)</f>
        <v/>
      </c>
      <c r="M9" s="13">
        <f>IFERROR(SUMPRODUCT((Loan_Snapshot!$B$5:$B$256=$A9)*Loan_Snapshot!$I$5:$I$256*Loan_Snapshot!$BP$5:$BP$256)/$C9,0)</f>
        <v/>
      </c>
      <c r="N9" s="13">
        <f>IFERROR(SUMPRODUCT((Loan_Snapshot!$B$5:$B$256=$A9)*Loan_Snapshot!$I$5:$I$256*Loan_Snapshot!$BQ$5:$BQ$256)/$C9,0)</f>
        <v/>
      </c>
      <c r="O9" s="13">
        <f>IFERROR(SUMPRODUCT((Loan_Snapshot!$B$5:$B$256=$A9)*Loan_Snapshot!$I$5:$I$256*Loan_Snapshot!$BR$5:$BR$256)/$C9,0)</f>
        <v/>
      </c>
      <c r="P9" s="13">
        <f>IFERROR(SUMPRODUCT((Loan_Snapshot!$B$5:$B$256=$A9)*Loan_Snapshot!$I$5:$I$256*Loan_Snapshot!$BS$5:$BS$256)/$C9,0)</f>
        <v/>
      </c>
      <c r="Q9" s="13">
        <f>IFERROR(SUMPRODUCT((Loan_Snapshot!$B$5:$B$256=$A9)*Loan_Snapshot!$I$5:$I$256*Loan_Snapshot!$BT$5:$BT$256)/$C9,0)</f>
        <v/>
      </c>
      <c r="R9" s="13">
        <f>IFERROR(SUMPRODUCT((Loan_Snapshot!$B$5:$B$256=$A9)*Loan_Snapshot!$I$5:$I$256*Loan_Snapshot!$BU$5:$BU$256)/$C9,0)</f>
        <v/>
      </c>
      <c r="S9" s="13">
        <f>IFERROR(SUMPRODUCT((Loan_Snapshot!$B$5:$B$256=$A9)*Loan_Snapshot!$I$5:$I$256*Loan_Snapshot!$BV$5:$BV$256)/$C9,0)</f>
        <v/>
      </c>
      <c r="T9" s="13">
        <f>IFERROR(SUMPRODUCT((Loan_Snapshot!$B$5:$B$256=$A9)*Loan_Snapshot!$I$5:$I$256*Loan_Snapshot!$BW$5:$BW$256)/$C9,0)</f>
        <v/>
      </c>
      <c r="U9" s="13">
        <f>IFERROR(SUMPRODUCT((Loan_Snapshot!$B$5:$B$256=$A9)*Loan_Snapshot!$I$5:$I$256*Loan_Snapshot!$BX$5:$BX$256)/$C9,0)</f>
        <v/>
      </c>
      <c r="V9" s="13">
        <f>IFERROR(SUMPRODUCT((Loan_Snapshot!$B$5:$B$256=$A9)*Loan_Snapshot!$I$5:$I$256*Loan_Snapshot!$BY$5:$BY$256)/$C9,0)</f>
        <v/>
      </c>
      <c r="W9" s="28">
        <f>BASELINE_CPR+SUM(E9:V9)-$D9</f>
        <v/>
      </c>
    </row>
    <row r="10">
      <c r="A10" s="2" t="inlineStr">
        <is>
          <t>GREYSTONE_POST21</t>
        </is>
      </c>
      <c r="B10">
        <f>COUNTIF(Loan_Snapshot!$B$5:$B$256,$A10)</f>
        <v/>
      </c>
      <c r="C10" s="22">
        <f>SUMIF(Loan_Snapshot!$B$5:$B$256,$A10,Loan_Snapshot!$I$5:$I$256)</f>
        <v/>
      </c>
      <c r="D10" s="13">
        <f>IFERROR(SUMPRODUCT((Loan_Snapshot!$B$5:$B$256=$A10)*Loan_Snapshot!$I$5:$I$256*Loan_Snapshot!$BG$5:$BG$256)/$C10,0)</f>
        <v/>
      </c>
      <c r="E10" s="13">
        <f>IFERROR(SUMPRODUCT((Loan_Snapshot!$B$5:$B$256=$A10)*Loan_Snapshot!$I$5:$I$256*Loan_Snapshot!$BH$5:$BH$256)/$C10,0)</f>
        <v/>
      </c>
      <c r="F10" s="13">
        <f>IFERROR(SUMPRODUCT((Loan_Snapshot!$B$5:$B$256=$A10)*Loan_Snapshot!$I$5:$I$256*Loan_Snapshot!$BI$5:$BI$256)/$C10,0)</f>
        <v/>
      </c>
      <c r="G10" s="13">
        <f>IFERROR(SUMPRODUCT((Loan_Snapshot!$B$5:$B$256=$A10)*Loan_Snapshot!$I$5:$I$256*Loan_Snapshot!$BJ$5:$BJ$256)/$C10,0)</f>
        <v/>
      </c>
      <c r="H10" s="13">
        <f>IFERROR(SUMPRODUCT((Loan_Snapshot!$B$5:$B$256=$A10)*Loan_Snapshot!$I$5:$I$256*Loan_Snapshot!$BK$5:$BK$256)/$C10,0)</f>
        <v/>
      </c>
      <c r="I10" s="13">
        <f>IFERROR(SUMPRODUCT((Loan_Snapshot!$B$5:$B$256=$A10)*Loan_Snapshot!$I$5:$I$256*Loan_Snapshot!$BL$5:$BL$256)/$C10,0)</f>
        <v/>
      </c>
      <c r="J10" s="13">
        <f>IFERROR(SUMPRODUCT((Loan_Snapshot!$B$5:$B$256=$A10)*Loan_Snapshot!$I$5:$I$256*Loan_Snapshot!$BM$5:$BM$256)/$C10,0)</f>
        <v/>
      </c>
      <c r="K10" s="13">
        <f>IFERROR(SUMPRODUCT((Loan_Snapshot!$B$5:$B$256=$A10)*Loan_Snapshot!$I$5:$I$256*Loan_Snapshot!$BN$5:$BN$256)/$C10,0)</f>
        <v/>
      </c>
      <c r="L10" s="13">
        <f>IFERROR(SUMPRODUCT((Loan_Snapshot!$B$5:$B$256=$A10)*Loan_Snapshot!$I$5:$I$256*Loan_Snapshot!$BO$5:$BO$256)/$C10,0)</f>
        <v/>
      </c>
      <c r="M10" s="13">
        <f>IFERROR(SUMPRODUCT((Loan_Snapshot!$B$5:$B$256=$A10)*Loan_Snapshot!$I$5:$I$256*Loan_Snapshot!$BP$5:$BP$256)/$C10,0)</f>
        <v/>
      </c>
      <c r="N10" s="13">
        <f>IFERROR(SUMPRODUCT((Loan_Snapshot!$B$5:$B$256=$A10)*Loan_Snapshot!$I$5:$I$256*Loan_Snapshot!$BQ$5:$BQ$256)/$C10,0)</f>
        <v/>
      </c>
      <c r="O10" s="13">
        <f>IFERROR(SUMPRODUCT((Loan_Snapshot!$B$5:$B$256=$A10)*Loan_Snapshot!$I$5:$I$256*Loan_Snapshot!$BR$5:$BR$256)/$C10,0)</f>
        <v/>
      </c>
      <c r="P10" s="13">
        <f>IFERROR(SUMPRODUCT((Loan_Snapshot!$B$5:$B$256=$A10)*Loan_Snapshot!$I$5:$I$256*Loan_Snapshot!$BS$5:$BS$256)/$C10,0)</f>
        <v/>
      </c>
      <c r="Q10" s="13">
        <f>IFERROR(SUMPRODUCT((Loan_Snapshot!$B$5:$B$256=$A10)*Loan_Snapshot!$I$5:$I$256*Loan_Snapshot!$BT$5:$BT$256)/$C10,0)</f>
        <v/>
      </c>
      <c r="R10" s="13">
        <f>IFERROR(SUMPRODUCT((Loan_Snapshot!$B$5:$B$256=$A10)*Loan_Snapshot!$I$5:$I$256*Loan_Snapshot!$BU$5:$BU$256)/$C10,0)</f>
        <v/>
      </c>
      <c r="S10" s="13">
        <f>IFERROR(SUMPRODUCT((Loan_Snapshot!$B$5:$B$256=$A10)*Loan_Snapshot!$I$5:$I$256*Loan_Snapshot!$BV$5:$BV$256)/$C10,0)</f>
        <v/>
      </c>
      <c r="T10" s="13">
        <f>IFERROR(SUMPRODUCT((Loan_Snapshot!$B$5:$B$256=$A10)*Loan_Snapshot!$I$5:$I$256*Loan_Snapshot!$BW$5:$BW$256)/$C10,0)</f>
        <v/>
      </c>
      <c r="U10" s="13">
        <f>IFERROR(SUMPRODUCT((Loan_Snapshot!$B$5:$B$256=$A10)*Loan_Snapshot!$I$5:$I$256*Loan_Snapshot!$BX$5:$BX$256)/$C10,0)</f>
        <v/>
      </c>
      <c r="V10" s="13">
        <f>IFERROR(SUMPRODUCT((Loan_Snapshot!$B$5:$B$256=$A10)*Loan_Snapshot!$I$5:$I$256*Loan_Snapshot!$BY$5:$BY$256)/$C10,0)</f>
        <v/>
      </c>
      <c r="W10" s="28">
        <f>BASELINE_CPR+SUM(E10:V10)-$D10</f>
        <v/>
      </c>
    </row>
    <row r="11">
      <c r="A11" s="2" t="inlineStr">
        <is>
          <t>CAPITAL_PRE21</t>
        </is>
      </c>
      <c r="B11">
        <f>COUNTIF(Loan_Snapshot!$B$5:$B$256,$A11)</f>
        <v/>
      </c>
      <c r="C11" s="22">
        <f>SUMIF(Loan_Snapshot!$B$5:$B$256,$A11,Loan_Snapshot!$I$5:$I$256)</f>
        <v/>
      </c>
      <c r="D11" s="13">
        <f>IFERROR(SUMPRODUCT((Loan_Snapshot!$B$5:$B$256=$A11)*Loan_Snapshot!$I$5:$I$256*Loan_Snapshot!$BG$5:$BG$256)/$C11,0)</f>
        <v/>
      </c>
      <c r="E11" s="13">
        <f>IFERROR(SUMPRODUCT((Loan_Snapshot!$B$5:$B$256=$A11)*Loan_Snapshot!$I$5:$I$256*Loan_Snapshot!$BH$5:$BH$256)/$C11,0)</f>
        <v/>
      </c>
      <c r="F11" s="13">
        <f>IFERROR(SUMPRODUCT((Loan_Snapshot!$B$5:$B$256=$A11)*Loan_Snapshot!$I$5:$I$256*Loan_Snapshot!$BI$5:$BI$256)/$C11,0)</f>
        <v/>
      </c>
      <c r="G11" s="13">
        <f>IFERROR(SUMPRODUCT((Loan_Snapshot!$B$5:$B$256=$A11)*Loan_Snapshot!$I$5:$I$256*Loan_Snapshot!$BJ$5:$BJ$256)/$C11,0)</f>
        <v/>
      </c>
      <c r="H11" s="13">
        <f>IFERROR(SUMPRODUCT((Loan_Snapshot!$B$5:$B$256=$A11)*Loan_Snapshot!$I$5:$I$256*Loan_Snapshot!$BK$5:$BK$256)/$C11,0)</f>
        <v/>
      </c>
      <c r="I11" s="13">
        <f>IFERROR(SUMPRODUCT((Loan_Snapshot!$B$5:$B$256=$A11)*Loan_Snapshot!$I$5:$I$256*Loan_Snapshot!$BL$5:$BL$256)/$C11,0)</f>
        <v/>
      </c>
      <c r="J11" s="13">
        <f>IFERROR(SUMPRODUCT((Loan_Snapshot!$B$5:$B$256=$A11)*Loan_Snapshot!$I$5:$I$256*Loan_Snapshot!$BM$5:$BM$256)/$C11,0)</f>
        <v/>
      </c>
      <c r="K11" s="13">
        <f>IFERROR(SUMPRODUCT((Loan_Snapshot!$B$5:$B$256=$A11)*Loan_Snapshot!$I$5:$I$256*Loan_Snapshot!$BN$5:$BN$256)/$C11,0)</f>
        <v/>
      </c>
      <c r="L11" s="13">
        <f>IFERROR(SUMPRODUCT((Loan_Snapshot!$B$5:$B$256=$A11)*Loan_Snapshot!$I$5:$I$256*Loan_Snapshot!$BO$5:$BO$256)/$C11,0)</f>
        <v/>
      </c>
      <c r="M11" s="13">
        <f>IFERROR(SUMPRODUCT((Loan_Snapshot!$B$5:$B$256=$A11)*Loan_Snapshot!$I$5:$I$256*Loan_Snapshot!$BP$5:$BP$256)/$C11,0)</f>
        <v/>
      </c>
      <c r="N11" s="13">
        <f>IFERROR(SUMPRODUCT((Loan_Snapshot!$B$5:$B$256=$A11)*Loan_Snapshot!$I$5:$I$256*Loan_Snapshot!$BQ$5:$BQ$256)/$C11,0)</f>
        <v/>
      </c>
      <c r="O11" s="13">
        <f>IFERROR(SUMPRODUCT((Loan_Snapshot!$B$5:$B$256=$A11)*Loan_Snapshot!$I$5:$I$256*Loan_Snapshot!$BR$5:$BR$256)/$C11,0)</f>
        <v/>
      </c>
      <c r="P11" s="13">
        <f>IFERROR(SUMPRODUCT((Loan_Snapshot!$B$5:$B$256=$A11)*Loan_Snapshot!$I$5:$I$256*Loan_Snapshot!$BS$5:$BS$256)/$C11,0)</f>
        <v/>
      </c>
      <c r="Q11" s="13">
        <f>IFERROR(SUMPRODUCT((Loan_Snapshot!$B$5:$B$256=$A11)*Loan_Snapshot!$I$5:$I$256*Loan_Snapshot!$BT$5:$BT$256)/$C11,0)</f>
        <v/>
      </c>
      <c r="R11" s="13">
        <f>IFERROR(SUMPRODUCT((Loan_Snapshot!$B$5:$B$256=$A11)*Loan_Snapshot!$I$5:$I$256*Loan_Snapshot!$BU$5:$BU$256)/$C11,0)</f>
        <v/>
      </c>
      <c r="S11" s="13">
        <f>IFERROR(SUMPRODUCT((Loan_Snapshot!$B$5:$B$256=$A11)*Loan_Snapshot!$I$5:$I$256*Loan_Snapshot!$BV$5:$BV$256)/$C11,0)</f>
        <v/>
      </c>
      <c r="T11" s="13">
        <f>IFERROR(SUMPRODUCT((Loan_Snapshot!$B$5:$B$256=$A11)*Loan_Snapshot!$I$5:$I$256*Loan_Snapshot!$BW$5:$BW$256)/$C11,0)</f>
        <v/>
      </c>
      <c r="U11" s="13">
        <f>IFERROR(SUMPRODUCT((Loan_Snapshot!$B$5:$B$256=$A11)*Loan_Snapshot!$I$5:$I$256*Loan_Snapshot!$BX$5:$BX$256)/$C11,0)</f>
        <v/>
      </c>
      <c r="V11" s="13">
        <f>IFERROR(SUMPRODUCT((Loan_Snapshot!$B$5:$B$256=$A11)*Loan_Snapshot!$I$5:$I$256*Loan_Snapshot!$BY$5:$BY$256)/$C11,0)</f>
        <v/>
      </c>
      <c r="W11" s="28">
        <f>BASELINE_CPR+SUM(E11:V11)-$D11</f>
        <v/>
      </c>
    </row>
    <row r="12">
      <c r="A12" s="2" t="inlineStr">
        <is>
          <t>MERCHANTS_PRE21</t>
        </is>
      </c>
      <c r="B12">
        <f>COUNTIF(Loan_Snapshot!$B$5:$B$256,$A12)</f>
        <v/>
      </c>
      <c r="C12" s="22">
        <f>SUMIF(Loan_Snapshot!$B$5:$B$256,$A12,Loan_Snapshot!$I$5:$I$256)</f>
        <v/>
      </c>
      <c r="D12" s="13">
        <f>IFERROR(SUMPRODUCT((Loan_Snapshot!$B$5:$B$256=$A12)*Loan_Snapshot!$I$5:$I$256*Loan_Snapshot!$BG$5:$BG$256)/$C12,0)</f>
        <v/>
      </c>
      <c r="E12" s="13">
        <f>IFERROR(SUMPRODUCT((Loan_Snapshot!$B$5:$B$256=$A12)*Loan_Snapshot!$I$5:$I$256*Loan_Snapshot!$BH$5:$BH$256)/$C12,0)</f>
        <v/>
      </c>
      <c r="F12" s="13">
        <f>IFERROR(SUMPRODUCT((Loan_Snapshot!$B$5:$B$256=$A12)*Loan_Snapshot!$I$5:$I$256*Loan_Snapshot!$BI$5:$BI$256)/$C12,0)</f>
        <v/>
      </c>
      <c r="G12" s="13">
        <f>IFERROR(SUMPRODUCT((Loan_Snapshot!$B$5:$B$256=$A12)*Loan_Snapshot!$I$5:$I$256*Loan_Snapshot!$BJ$5:$BJ$256)/$C12,0)</f>
        <v/>
      </c>
      <c r="H12" s="13">
        <f>IFERROR(SUMPRODUCT((Loan_Snapshot!$B$5:$B$256=$A12)*Loan_Snapshot!$I$5:$I$256*Loan_Snapshot!$BK$5:$BK$256)/$C12,0)</f>
        <v/>
      </c>
      <c r="I12" s="13">
        <f>IFERROR(SUMPRODUCT((Loan_Snapshot!$B$5:$B$256=$A12)*Loan_Snapshot!$I$5:$I$256*Loan_Snapshot!$BL$5:$BL$256)/$C12,0)</f>
        <v/>
      </c>
      <c r="J12" s="13">
        <f>IFERROR(SUMPRODUCT((Loan_Snapshot!$B$5:$B$256=$A12)*Loan_Snapshot!$I$5:$I$256*Loan_Snapshot!$BM$5:$BM$256)/$C12,0)</f>
        <v/>
      </c>
      <c r="K12" s="13">
        <f>IFERROR(SUMPRODUCT((Loan_Snapshot!$B$5:$B$256=$A12)*Loan_Snapshot!$I$5:$I$256*Loan_Snapshot!$BN$5:$BN$256)/$C12,0)</f>
        <v/>
      </c>
      <c r="L12" s="13">
        <f>IFERROR(SUMPRODUCT((Loan_Snapshot!$B$5:$B$256=$A12)*Loan_Snapshot!$I$5:$I$256*Loan_Snapshot!$BO$5:$BO$256)/$C12,0)</f>
        <v/>
      </c>
      <c r="M12" s="13">
        <f>IFERROR(SUMPRODUCT((Loan_Snapshot!$B$5:$B$256=$A12)*Loan_Snapshot!$I$5:$I$256*Loan_Snapshot!$BP$5:$BP$256)/$C12,0)</f>
        <v/>
      </c>
      <c r="N12" s="13">
        <f>IFERROR(SUMPRODUCT((Loan_Snapshot!$B$5:$B$256=$A12)*Loan_Snapshot!$I$5:$I$256*Loan_Snapshot!$BQ$5:$BQ$256)/$C12,0)</f>
        <v/>
      </c>
      <c r="O12" s="13">
        <f>IFERROR(SUMPRODUCT((Loan_Snapshot!$B$5:$B$256=$A12)*Loan_Snapshot!$I$5:$I$256*Loan_Snapshot!$BR$5:$BR$256)/$C12,0)</f>
        <v/>
      </c>
      <c r="P12" s="13">
        <f>IFERROR(SUMPRODUCT((Loan_Snapshot!$B$5:$B$256=$A12)*Loan_Snapshot!$I$5:$I$256*Loan_Snapshot!$BS$5:$BS$256)/$C12,0)</f>
        <v/>
      </c>
      <c r="Q12" s="13">
        <f>IFERROR(SUMPRODUCT((Loan_Snapshot!$B$5:$B$256=$A12)*Loan_Snapshot!$I$5:$I$256*Loan_Snapshot!$BT$5:$BT$256)/$C12,0)</f>
        <v/>
      </c>
      <c r="R12" s="13">
        <f>IFERROR(SUMPRODUCT((Loan_Snapshot!$B$5:$B$256=$A12)*Loan_Snapshot!$I$5:$I$256*Loan_Snapshot!$BU$5:$BU$256)/$C12,0)</f>
        <v/>
      </c>
      <c r="S12" s="13">
        <f>IFERROR(SUMPRODUCT((Loan_Snapshot!$B$5:$B$256=$A12)*Loan_Snapshot!$I$5:$I$256*Loan_Snapshot!$BV$5:$BV$256)/$C12,0)</f>
        <v/>
      </c>
      <c r="T12" s="13">
        <f>IFERROR(SUMPRODUCT((Loan_Snapshot!$B$5:$B$256=$A12)*Loan_Snapshot!$I$5:$I$256*Loan_Snapshot!$BW$5:$BW$256)/$C12,0)</f>
        <v/>
      </c>
      <c r="U12" s="13">
        <f>IFERROR(SUMPRODUCT((Loan_Snapshot!$B$5:$B$256=$A12)*Loan_Snapshot!$I$5:$I$256*Loan_Snapshot!$BX$5:$BX$256)/$C12,0)</f>
        <v/>
      </c>
      <c r="V12" s="13">
        <f>IFERROR(SUMPRODUCT((Loan_Snapshot!$B$5:$B$256=$A12)*Loan_Snapshot!$I$5:$I$256*Loan_Snapshot!$BY$5:$BY$256)/$C12,0)</f>
        <v/>
      </c>
      <c r="W12" s="28">
        <f>BASELINE_CPR+SUM(E12:V12)-$D12</f>
        <v/>
      </c>
    </row>
    <row r="13">
      <c r="A13" s="2" t="inlineStr">
        <is>
          <t>KEYBANK_PRE21</t>
        </is>
      </c>
      <c r="B13">
        <f>COUNTIF(Loan_Snapshot!$B$5:$B$256,$A13)</f>
        <v/>
      </c>
      <c r="C13" s="22">
        <f>SUMIF(Loan_Snapshot!$B$5:$B$256,$A13,Loan_Snapshot!$I$5:$I$256)</f>
        <v/>
      </c>
      <c r="D13" s="13">
        <f>IFERROR(SUMPRODUCT((Loan_Snapshot!$B$5:$B$256=$A13)*Loan_Snapshot!$I$5:$I$256*Loan_Snapshot!$BG$5:$BG$256)/$C13,0)</f>
        <v/>
      </c>
      <c r="E13" s="13">
        <f>IFERROR(SUMPRODUCT((Loan_Snapshot!$B$5:$B$256=$A13)*Loan_Snapshot!$I$5:$I$256*Loan_Snapshot!$BH$5:$BH$256)/$C13,0)</f>
        <v/>
      </c>
      <c r="F13" s="13">
        <f>IFERROR(SUMPRODUCT((Loan_Snapshot!$B$5:$B$256=$A13)*Loan_Snapshot!$I$5:$I$256*Loan_Snapshot!$BI$5:$BI$256)/$C13,0)</f>
        <v/>
      </c>
      <c r="G13" s="13">
        <f>IFERROR(SUMPRODUCT((Loan_Snapshot!$B$5:$B$256=$A13)*Loan_Snapshot!$I$5:$I$256*Loan_Snapshot!$BJ$5:$BJ$256)/$C13,0)</f>
        <v/>
      </c>
      <c r="H13" s="13">
        <f>IFERROR(SUMPRODUCT((Loan_Snapshot!$B$5:$B$256=$A13)*Loan_Snapshot!$I$5:$I$256*Loan_Snapshot!$BK$5:$BK$256)/$C13,0)</f>
        <v/>
      </c>
      <c r="I13" s="13">
        <f>IFERROR(SUMPRODUCT((Loan_Snapshot!$B$5:$B$256=$A13)*Loan_Snapshot!$I$5:$I$256*Loan_Snapshot!$BL$5:$BL$256)/$C13,0)</f>
        <v/>
      </c>
      <c r="J13" s="13">
        <f>IFERROR(SUMPRODUCT((Loan_Snapshot!$B$5:$B$256=$A13)*Loan_Snapshot!$I$5:$I$256*Loan_Snapshot!$BM$5:$BM$256)/$C13,0)</f>
        <v/>
      </c>
      <c r="K13" s="13">
        <f>IFERROR(SUMPRODUCT((Loan_Snapshot!$B$5:$B$256=$A13)*Loan_Snapshot!$I$5:$I$256*Loan_Snapshot!$BN$5:$BN$256)/$C13,0)</f>
        <v/>
      </c>
      <c r="L13" s="13">
        <f>IFERROR(SUMPRODUCT((Loan_Snapshot!$B$5:$B$256=$A13)*Loan_Snapshot!$I$5:$I$256*Loan_Snapshot!$BO$5:$BO$256)/$C13,0)</f>
        <v/>
      </c>
      <c r="M13" s="13">
        <f>IFERROR(SUMPRODUCT((Loan_Snapshot!$B$5:$B$256=$A13)*Loan_Snapshot!$I$5:$I$256*Loan_Snapshot!$BP$5:$BP$256)/$C13,0)</f>
        <v/>
      </c>
      <c r="N13" s="13">
        <f>IFERROR(SUMPRODUCT((Loan_Snapshot!$B$5:$B$256=$A13)*Loan_Snapshot!$I$5:$I$256*Loan_Snapshot!$BQ$5:$BQ$256)/$C13,0)</f>
        <v/>
      </c>
      <c r="O13" s="13">
        <f>IFERROR(SUMPRODUCT((Loan_Snapshot!$B$5:$B$256=$A13)*Loan_Snapshot!$I$5:$I$256*Loan_Snapshot!$BR$5:$BR$256)/$C13,0)</f>
        <v/>
      </c>
      <c r="P13" s="13">
        <f>IFERROR(SUMPRODUCT((Loan_Snapshot!$B$5:$B$256=$A13)*Loan_Snapshot!$I$5:$I$256*Loan_Snapshot!$BS$5:$BS$256)/$C13,0)</f>
        <v/>
      </c>
      <c r="Q13" s="13">
        <f>IFERROR(SUMPRODUCT((Loan_Snapshot!$B$5:$B$256=$A13)*Loan_Snapshot!$I$5:$I$256*Loan_Snapshot!$BT$5:$BT$256)/$C13,0)</f>
        <v/>
      </c>
      <c r="R13" s="13">
        <f>IFERROR(SUMPRODUCT((Loan_Snapshot!$B$5:$B$256=$A13)*Loan_Snapshot!$I$5:$I$256*Loan_Snapshot!$BU$5:$BU$256)/$C13,0)</f>
        <v/>
      </c>
      <c r="S13" s="13">
        <f>IFERROR(SUMPRODUCT((Loan_Snapshot!$B$5:$B$256=$A13)*Loan_Snapshot!$I$5:$I$256*Loan_Snapshot!$BV$5:$BV$256)/$C13,0)</f>
        <v/>
      </c>
      <c r="T13" s="13">
        <f>IFERROR(SUMPRODUCT((Loan_Snapshot!$B$5:$B$256=$A13)*Loan_Snapshot!$I$5:$I$256*Loan_Snapshot!$BW$5:$BW$256)/$C13,0)</f>
        <v/>
      </c>
      <c r="U13" s="13">
        <f>IFERROR(SUMPRODUCT((Loan_Snapshot!$B$5:$B$256=$A13)*Loan_Snapshot!$I$5:$I$256*Loan_Snapshot!$BX$5:$BX$256)/$C13,0)</f>
        <v/>
      </c>
      <c r="V13" s="13">
        <f>IFERROR(SUMPRODUCT((Loan_Snapshot!$B$5:$B$256=$A13)*Loan_Snapshot!$I$5:$I$256*Loan_Snapshot!$BY$5:$BY$256)/$C13,0)</f>
        <v/>
      </c>
      <c r="W13" s="28">
        <f>BASELINE_CPR+SUM(E13:V13)-$D13</f>
        <v/>
      </c>
    </row>
    <row r="14">
      <c r="A14" s="2" t="inlineStr">
        <is>
          <t>LUMENT_POST21</t>
        </is>
      </c>
      <c r="B14">
        <f>COUNTIF(Loan_Snapshot!$B$5:$B$256,$A14)</f>
        <v/>
      </c>
      <c r="C14" s="22">
        <f>SUMIF(Loan_Snapshot!$B$5:$B$256,$A14,Loan_Snapshot!$I$5:$I$256)</f>
        <v/>
      </c>
      <c r="D14" s="13">
        <f>IFERROR(SUMPRODUCT((Loan_Snapshot!$B$5:$B$256=$A14)*Loan_Snapshot!$I$5:$I$256*Loan_Snapshot!$BG$5:$BG$256)/$C14,0)</f>
        <v/>
      </c>
      <c r="E14" s="13">
        <f>IFERROR(SUMPRODUCT((Loan_Snapshot!$B$5:$B$256=$A14)*Loan_Snapshot!$I$5:$I$256*Loan_Snapshot!$BH$5:$BH$256)/$C14,0)</f>
        <v/>
      </c>
      <c r="F14" s="13">
        <f>IFERROR(SUMPRODUCT((Loan_Snapshot!$B$5:$B$256=$A14)*Loan_Snapshot!$I$5:$I$256*Loan_Snapshot!$BI$5:$BI$256)/$C14,0)</f>
        <v/>
      </c>
      <c r="G14" s="13">
        <f>IFERROR(SUMPRODUCT((Loan_Snapshot!$B$5:$B$256=$A14)*Loan_Snapshot!$I$5:$I$256*Loan_Snapshot!$BJ$5:$BJ$256)/$C14,0)</f>
        <v/>
      </c>
      <c r="H14" s="13">
        <f>IFERROR(SUMPRODUCT((Loan_Snapshot!$B$5:$B$256=$A14)*Loan_Snapshot!$I$5:$I$256*Loan_Snapshot!$BK$5:$BK$256)/$C14,0)</f>
        <v/>
      </c>
      <c r="I14" s="13">
        <f>IFERROR(SUMPRODUCT((Loan_Snapshot!$B$5:$B$256=$A14)*Loan_Snapshot!$I$5:$I$256*Loan_Snapshot!$BL$5:$BL$256)/$C14,0)</f>
        <v/>
      </c>
      <c r="J14" s="13">
        <f>IFERROR(SUMPRODUCT((Loan_Snapshot!$B$5:$B$256=$A14)*Loan_Snapshot!$I$5:$I$256*Loan_Snapshot!$BM$5:$BM$256)/$C14,0)</f>
        <v/>
      </c>
      <c r="K14" s="13">
        <f>IFERROR(SUMPRODUCT((Loan_Snapshot!$B$5:$B$256=$A14)*Loan_Snapshot!$I$5:$I$256*Loan_Snapshot!$BN$5:$BN$256)/$C14,0)</f>
        <v/>
      </c>
      <c r="L14" s="13">
        <f>IFERROR(SUMPRODUCT((Loan_Snapshot!$B$5:$B$256=$A14)*Loan_Snapshot!$I$5:$I$256*Loan_Snapshot!$BO$5:$BO$256)/$C14,0)</f>
        <v/>
      </c>
      <c r="M14" s="13">
        <f>IFERROR(SUMPRODUCT((Loan_Snapshot!$B$5:$B$256=$A14)*Loan_Snapshot!$I$5:$I$256*Loan_Snapshot!$BP$5:$BP$256)/$C14,0)</f>
        <v/>
      </c>
      <c r="N14" s="13">
        <f>IFERROR(SUMPRODUCT((Loan_Snapshot!$B$5:$B$256=$A14)*Loan_Snapshot!$I$5:$I$256*Loan_Snapshot!$BQ$5:$BQ$256)/$C14,0)</f>
        <v/>
      </c>
      <c r="O14" s="13">
        <f>IFERROR(SUMPRODUCT((Loan_Snapshot!$B$5:$B$256=$A14)*Loan_Snapshot!$I$5:$I$256*Loan_Snapshot!$BR$5:$BR$256)/$C14,0)</f>
        <v/>
      </c>
      <c r="P14" s="13">
        <f>IFERROR(SUMPRODUCT((Loan_Snapshot!$B$5:$B$256=$A14)*Loan_Snapshot!$I$5:$I$256*Loan_Snapshot!$BS$5:$BS$256)/$C14,0)</f>
        <v/>
      </c>
      <c r="Q14" s="13">
        <f>IFERROR(SUMPRODUCT((Loan_Snapshot!$B$5:$B$256=$A14)*Loan_Snapshot!$I$5:$I$256*Loan_Snapshot!$BT$5:$BT$256)/$C14,0)</f>
        <v/>
      </c>
      <c r="R14" s="13">
        <f>IFERROR(SUMPRODUCT((Loan_Snapshot!$B$5:$B$256=$A14)*Loan_Snapshot!$I$5:$I$256*Loan_Snapshot!$BU$5:$BU$256)/$C14,0)</f>
        <v/>
      </c>
      <c r="S14" s="13">
        <f>IFERROR(SUMPRODUCT((Loan_Snapshot!$B$5:$B$256=$A14)*Loan_Snapshot!$I$5:$I$256*Loan_Snapshot!$BV$5:$BV$256)/$C14,0)</f>
        <v/>
      </c>
      <c r="T14" s="13">
        <f>IFERROR(SUMPRODUCT((Loan_Snapshot!$B$5:$B$256=$A14)*Loan_Snapshot!$I$5:$I$256*Loan_Snapshot!$BW$5:$BW$256)/$C14,0)</f>
        <v/>
      </c>
      <c r="U14" s="13">
        <f>IFERROR(SUMPRODUCT((Loan_Snapshot!$B$5:$B$256=$A14)*Loan_Snapshot!$I$5:$I$256*Loan_Snapshot!$BX$5:$BX$256)/$C14,0)</f>
        <v/>
      </c>
      <c r="V14" s="13">
        <f>IFERROR(SUMPRODUCT((Loan_Snapshot!$B$5:$B$256=$A14)*Loan_Snapshot!$I$5:$I$256*Loan_Snapshot!$BY$5:$BY$256)/$C14,0)</f>
        <v/>
      </c>
      <c r="W14" s="28">
        <f>BASELINE_CPR+SUM(E14:V14)-$D14</f>
        <v/>
      </c>
    </row>
    <row r="15">
      <c r="A15" s="2" t="inlineStr">
        <is>
          <t>BERKADIA_POST21</t>
        </is>
      </c>
      <c r="B15">
        <f>COUNTIF(Loan_Snapshot!$B$5:$B$256,$A15)</f>
        <v/>
      </c>
      <c r="C15" s="22">
        <f>SUMIF(Loan_Snapshot!$B$5:$B$256,$A15,Loan_Snapshot!$I$5:$I$256)</f>
        <v/>
      </c>
      <c r="D15" s="13">
        <f>IFERROR(SUMPRODUCT((Loan_Snapshot!$B$5:$B$256=$A15)*Loan_Snapshot!$I$5:$I$256*Loan_Snapshot!$BG$5:$BG$256)/$C15,0)</f>
        <v/>
      </c>
      <c r="E15" s="13">
        <f>IFERROR(SUMPRODUCT((Loan_Snapshot!$B$5:$B$256=$A15)*Loan_Snapshot!$I$5:$I$256*Loan_Snapshot!$BH$5:$BH$256)/$C15,0)</f>
        <v/>
      </c>
      <c r="F15" s="13">
        <f>IFERROR(SUMPRODUCT((Loan_Snapshot!$B$5:$B$256=$A15)*Loan_Snapshot!$I$5:$I$256*Loan_Snapshot!$BI$5:$BI$256)/$C15,0)</f>
        <v/>
      </c>
      <c r="G15" s="13">
        <f>IFERROR(SUMPRODUCT((Loan_Snapshot!$B$5:$B$256=$A15)*Loan_Snapshot!$I$5:$I$256*Loan_Snapshot!$BJ$5:$BJ$256)/$C15,0)</f>
        <v/>
      </c>
      <c r="H15" s="13">
        <f>IFERROR(SUMPRODUCT((Loan_Snapshot!$B$5:$B$256=$A15)*Loan_Snapshot!$I$5:$I$256*Loan_Snapshot!$BK$5:$BK$256)/$C15,0)</f>
        <v/>
      </c>
      <c r="I15" s="13">
        <f>IFERROR(SUMPRODUCT((Loan_Snapshot!$B$5:$B$256=$A15)*Loan_Snapshot!$I$5:$I$256*Loan_Snapshot!$BL$5:$BL$256)/$C15,0)</f>
        <v/>
      </c>
      <c r="J15" s="13">
        <f>IFERROR(SUMPRODUCT((Loan_Snapshot!$B$5:$B$256=$A15)*Loan_Snapshot!$I$5:$I$256*Loan_Snapshot!$BM$5:$BM$256)/$C15,0)</f>
        <v/>
      </c>
      <c r="K15" s="13">
        <f>IFERROR(SUMPRODUCT((Loan_Snapshot!$B$5:$B$256=$A15)*Loan_Snapshot!$I$5:$I$256*Loan_Snapshot!$BN$5:$BN$256)/$C15,0)</f>
        <v/>
      </c>
      <c r="L15" s="13">
        <f>IFERROR(SUMPRODUCT((Loan_Snapshot!$B$5:$B$256=$A15)*Loan_Snapshot!$I$5:$I$256*Loan_Snapshot!$BO$5:$BO$256)/$C15,0)</f>
        <v/>
      </c>
      <c r="M15" s="13">
        <f>IFERROR(SUMPRODUCT((Loan_Snapshot!$B$5:$B$256=$A15)*Loan_Snapshot!$I$5:$I$256*Loan_Snapshot!$BP$5:$BP$256)/$C15,0)</f>
        <v/>
      </c>
      <c r="N15" s="13">
        <f>IFERROR(SUMPRODUCT((Loan_Snapshot!$B$5:$B$256=$A15)*Loan_Snapshot!$I$5:$I$256*Loan_Snapshot!$BQ$5:$BQ$256)/$C15,0)</f>
        <v/>
      </c>
      <c r="O15" s="13">
        <f>IFERROR(SUMPRODUCT((Loan_Snapshot!$B$5:$B$256=$A15)*Loan_Snapshot!$I$5:$I$256*Loan_Snapshot!$BR$5:$BR$256)/$C15,0)</f>
        <v/>
      </c>
      <c r="P15" s="13">
        <f>IFERROR(SUMPRODUCT((Loan_Snapshot!$B$5:$B$256=$A15)*Loan_Snapshot!$I$5:$I$256*Loan_Snapshot!$BS$5:$BS$256)/$C15,0)</f>
        <v/>
      </c>
      <c r="Q15" s="13">
        <f>IFERROR(SUMPRODUCT((Loan_Snapshot!$B$5:$B$256=$A15)*Loan_Snapshot!$I$5:$I$256*Loan_Snapshot!$BT$5:$BT$256)/$C15,0)</f>
        <v/>
      </c>
      <c r="R15" s="13">
        <f>IFERROR(SUMPRODUCT((Loan_Snapshot!$B$5:$B$256=$A15)*Loan_Snapshot!$I$5:$I$256*Loan_Snapshot!$BU$5:$BU$256)/$C15,0)</f>
        <v/>
      </c>
      <c r="S15" s="13">
        <f>IFERROR(SUMPRODUCT((Loan_Snapshot!$B$5:$B$256=$A15)*Loan_Snapshot!$I$5:$I$256*Loan_Snapshot!$BV$5:$BV$256)/$C15,0)</f>
        <v/>
      </c>
      <c r="T15" s="13">
        <f>IFERROR(SUMPRODUCT((Loan_Snapshot!$B$5:$B$256=$A15)*Loan_Snapshot!$I$5:$I$256*Loan_Snapshot!$BW$5:$BW$256)/$C15,0)</f>
        <v/>
      </c>
      <c r="U15" s="13">
        <f>IFERROR(SUMPRODUCT((Loan_Snapshot!$B$5:$B$256=$A15)*Loan_Snapshot!$I$5:$I$256*Loan_Snapshot!$BX$5:$BX$256)/$C15,0)</f>
        <v/>
      </c>
      <c r="V15" s="13">
        <f>IFERROR(SUMPRODUCT((Loan_Snapshot!$B$5:$B$256=$A15)*Loan_Snapshot!$I$5:$I$256*Loan_Snapshot!$BY$5:$BY$256)/$C15,0)</f>
        <v/>
      </c>
      <c r="W15" s="28">
        <f>BASELINE_CPR+SUM(E15:V15)-$D15</f>
        <v/>
      </c>
    </row>
    <row r="16">
      <c r="A16" s="2" t="inlineStr">
        <is>
          <t>GREYSTONE_PRE21</t>
        </is>
      </c>
      <c r="B16">
        <f>COUNTIF(Loan_Snapshot!$B$5:$B$256,$A16)</f>
        <v/>
      </c>
      <c r="C16" s="22">
        <f>SUMIF(Loan_Snapshot!$B$5:$B$256,$A16,Loan_Snapshot!$I$5:$I$256)</f>
        <v/>
      </c>
      <c r="D16" s="13">
        <f>IFERROR(SUMPRODUCT((Loan_Snapshot!$B$5:$B$256=$A16)*Loan_Snapshot!$I$5:$I$256*Loan_Snapshot!$BG$5:$BG$256)/$C16,0)</f>
        <v/>
      </c>
      <c r="E16" s="13">
        <f>IFERROR(SUMPRODUCT((Loan_Snapshot!$B$5:$B$256=$A16)*Loan_Snapshot!$I$5:$I$256*Loan_Snapshot!$BH$5:$BH$256)/$C16,0)</f>
        <v/>
      </c>
      <c r="F16" s="13">
        <f>IFERROR(SUMPRODUCT((Loan_Snapshot!$B$5:$B$256=$A16)*Loan_Snapshot!$I$5:$I$256*Loan_Snapshot!$BI$5:$BI$256)/$C16,0)</f>
        <v/>
      </c>
      <c r="G16" s="13">
        <f>IFERROR(SUMPRODUCT((Loan_Snapshot!$B$5:$B$256=$A16)*Loan_Snapshot!$I$5:$I$256*Loan_Snapshot!$BJ$5:$BJ$256)/$C16,0)</f>
        <v/>
      </c>
      <c r="H16" s="13">
        <f>IFERROR(SUMPRODUCT((Loan_Snapshot!$B$5:$B$256=$A16)*Loan_Snapshot!$I$5:$I$256*Loan_Snapshot!$BK$5:$BK$256)/$C16,0)</f>
        <v/>
      </c>
      <c r="I16" s="13">
        <f>IFERROR(SUMPRODUCT((Loan_Snapshot!$B$5:$B$256=$A16)*Loan_Snapshot!$I$5:$I$256*Loan_Snapshot!$BL$5:$BL$256)/$C16,0)</f>
        <v/>
      </c>
      <c r="J16" s="13">
        <f>IFERROR(SUMPRODUCT((Loan_Snapshot!$B$5:$B$256=$A16)*Loan_Snapshot!$I$5:$I$256*Loan_Snapshot!$BM$5:$BM$256)/$C16,0)</f>
        <v/>
      </c>
      <c r="K16" s="13">
        <f>IFERROR(SUMPRODUCT((Loan_Snapshot!$B$5:$B$256=$A16)*Loan_Snapshot!$I$5:$I$256*Loan_Snapshot!$BN$5:$BN$256)/$C16,0)</f>
        <v/>
      </c>
      <c r="L16" s="13">
        <f>IFERROR(SUMPRODUCT((Loan_Snapshot!$B$5:$B$256=$A16)*Loan_Snapshot!$I$5:$I$256*Loan_Snapshot!$BO$5:$BO$256)/$C16,0)</f>
        <v/>
      </c>
      <c r="M16" s="13">
        <f>IFERROR(SUMPRODUCT((Loan_Snapshot!$B$5:$B$256=$A16)*Loan_Snapshot!$I$5:$I$256*Loan_Snapshot!$BP$5:$BP$256)/$C16,0)</f>
        <v/>
      </c>
      <c r="N16" s="13">
        <f>IFERROR(SUMPRODUCT((Loan_Snapshot!$B$5:$B$256=$A16)*Loan_Snapshot!$I$5:$I$256*Loan_Snapshot!$BQ$5:$BQ$256)/$C16,0)</f>
        <v/>
      </c>
      <c r="O16" s="13">
        <f>IFERROR(SUMPRODUCT((Loan_Snapshot!$B$5:$B$256=$A16)*Loan_Snapshot!$I$5:$I$256*Loan_Snapshot!$BR$5:$BR$256)/$C16,0)</f>
        <v/>
      </c>
      <c r="P16" s="13">
        <f>IFERROR(SUMPRODUCT((Loan_Snapshot!$B$5:$B$256=$A16)*Loan_Snapshot!$I$5:$I$256*Loan_Snapshot!$BS$5:$BS$256)/$C16,0)</f>
        <v/>
      </c>
      <c r="Q16" s="13">
        <f>IFERROR(SUMPRODUCT((Loan_Snapshot!$B$5:$B$256=$A16)*Loan_Snapshot!$I$5:$I$256*Loan_Snapshot!$BT$5:$BT$256)/$C16,0)</f>
        <v/>
      </c>
      <c r="R16" s="13">
        <f>IFERROR(SUMPRODUCT((Loan_Snapshot!$B$5:$B$256=$A16)*Loan_Snapshot!$I$5:$I$256*Loan_Snapshot!$BU$5:$BU$256)/$C16,0)</f>
        <v/>
      </c>
      <c r="S16" s="13">
        <f>IFERROR(SUMPRODUCT((Loan_Snapshot!$B$5:$B$256=$A16)*Loan_Snapshot!$I$5:$I$256*Loan_Snapshot!$BV$5:$BV$256)/$C16,0)</f>
        <v/>
      </c>
      <c r="T16" s="13">
        <f>IFERROR(SUMPRODUCT((Loan_Snapshot!$B$5:$B$256=$A16)*Loan_Snapshot!$I$5:$I$256*Loan_Snapshot!$BW$5:$BW$256)/$C16,0)</f>
        <v/>
      </c>
      <c r="U16" s="13">
        <f>IFERROR(SUMPRODUCT((Loan_Snapshot!$B$5:$B$256=$A16)*Loan_Snapshot!$I$5:$I$256*Loan_Snapshot!$BX$5:$BX$256)/$C16,0)</f>
        <v/>
      </c>
      <c r="V16" s="13">
        <f>IFERROR(SUMPRODUCT((Loan_Snapshot!$B$5:$B$256=$A16)*Loan_Snapshot!$I$5:$I$256*Loan_Snapshot!$BY$5:$BY$256)/$C16,0)</f>
        <v/>
      </c>
      <c r="W16" s="28">
        <f>BASELINE_CPR+SUM(E16:V16)-$D16</f>
        <v/>
      </c>
    </row>
    <row r="17">
      <c r="A17" s="2" t="inlineStr">
        <is>
          <t>WALKER_POST21</t>
        </is>
      </c>
      <c r="B17">
        <f>COUNTIF(Loan_Snapshot!$B$5:$B$256,$A17)</f>
        <v/>
      </c>
      <c r="C17" s="22">
        <f>SUMIF(Loan_Snapshot!$B$5:$B$256,$A17,Loan_Snapshot!$I$5:$I$256)</f>
        <v/>
      </c>
      <c r="D17" s="13">
        <f>IFERROR(SUMPRODUCT((Loan_Snapshot!$B$5:$B$256=$A17)*Loan_Snapshot!$I$5:$I$256*Loan_Snapshot!$BG$5:$BG$256)/$C17,0)</f>
        <v/>
      </c>
      <c r="E17" s="13">
        <f>IFERROR(SUMPRODUCT((Loan_Snapshot!$B$5:$B$256=$A17)*Loan_Snapshot!$I$5:$I$256*Loan_Snapshot!$BH$5:$BH$256)/$C17,0)</f>
        <v/>
      </c>
      <c r="F17" s="13">
        <f>IFERROR(SUMPRODUCT((Loan_Snapshot!$B$5:$B$256=$A17)*Loan_Snapshot!$I$5:$I$256*Loan_Snapshot!$BI$5:$BI$256)/$C17,0)</f>
        <v/>
      </c>
      <c r="G17" s="13">
        <f>IFERROR(SUMPRODUCT((Loan_Snapshot!$B$5:$B$256=$A17)*Loan_Snapshot!$I$5:$I$256*Loan_Snapshot!$BJ$5:$BJ$256)/$C17,0)</f>
        <v/>
      </c>
      <c r="H17" s="13">
        <f>IFERROR(SUMPRODUCT((Loan_Snapshot!$B$5:$B$256=$A17)*Loan_Snapshot!$I$5:$I$256*Loan_Snapshot!$BK$5:$BK$256)/$C17,0)</f>
        <v/>
      </c>
      <c r="I17" s="13">
        <f>IFERROR(SUMPRODUCT((Loan_Snapshot!$B$5:$B$256=$A17)*Loan_Snapshot!$I$5:$I$256*Loan_Snapshot!$BL$5:$BL$256)/$C17,0)</f>
        <v/>
      </c>
      <c r="J17" s="13">
        <f>IFERROR(SUMPRODUCT((Loan_Snapshot!$B$5:$B$256=$A17)*Loan_Snapshot!$I$5:$I$256*Loan_Snapshot!$BM$5:$BM$256)/$C17,0)</f>
        <v/>
      </c>
      <c r="K17" s="13">
        <f>IFERROR(SUMPRODUCT((Loan_Snapshot!$B$5:$B$256=$A17)*Loan_Snapshot!$I$5:$I$256*Loan_Snapshot!$BN$5:$BN$256)/$C17,0)</f>
        <v/>
      </c>
      <c r="L17" s="13">
        <f>IFERROR(SUMPRODUCT((Loan_Snapshot!$B$5:$B$256=$A17)*Loan_Snapshot!$I$5:$I$256*Loan_Snapshot!$BO$5:$BO$256)/$C17,0)</f>
        <v/>
      </c>
      <c r="M17" s="13">
        <f>IFERROR(SUMPRODUCT((Loan_Snapshot!$B$5:$B$256=$A17)*Loan_Snapshot!$I$5:$I$256*Loan_Snapshot!$BP$5:$BP$256)/$C17,0)</f>
        <v/>
      </c>
      <c r="N17" s="13">
        <f>IFERROR(SUMPRODUCT((Loan_Snapshot!$B$5:$B$256=$A17)*Loan_Snapshot!$I$5:$I$256*Loan_Snapshot!$BQ$5:$BQ$256)/$C17,0)</f>
        <v/>
      </c>
      <c r="O17" s="13">
        <f>IFERROR(SUMPRODUCT((Loan_Snapshot!$B$5:$B$256=$A17)*Loan_Snapshot!$I$5:$I$256*Loan_Snapshot!$BR$5:$BR$256)/$C17,0)</f>
        <v/>
      </c>
      <c r="P17" s="13">
        <f>IFERROR(SUMPRODUCT((Loan_Snapshot!$B$5:$B$256=$A17)*Loan_Snapshot!$I$5:$I$256*Loan_Snapshot!$BS$5:$BS$256)/$C17,0)</f>
        <v/>
      </c>
      <c r="Q17" s="13">
        <f>IFERROR(SUMPRODUCT((Loan_Snapshot!$B$5:$B$256=$A17)*Loan_Snapshot!$I$5:$I$256*Loan_Snapshot!$BT$5:$BT$256)/$C17,0)</f>
        <v/>
      </c>
      <c r="R17" s="13">
        <f>IFERROR(SUMPRODUCT((Loan_Snapshot!$B$5:$B$256=$A17)*Loan_Snapshot!$I$5:$I$256*Loan_Snapshot!$BU$5:$BU$256)/$C17,0)</f>
        <v/>
      </c>
      <c r="S17" s="13">
        <f>IFERROR(SUMPRODUCT((Loan_Snapshot!$B$5:$B$256=$A17)*Loan_Snapshot!$I$5:$I$256*Loan_Snapshot!$BV$5:$BV$256)/$C17,0)</f>
        <v/>
      </c>
      <c r="T17" s="13">
        <f>IFERROR(SUMPRODUCT((Loan_Snapshot!$B$5:$B$256=$A17)*Loan_Snapshot!$I$5:$I$256*Loan_Snapshot!$BW$5:$BW$256)/$C17,0)</f>
        <v/>
      </c>
      <c r="U17" s="13">
        <f>IFERROR(SUMPRODUCT((Loan_Snapshot!$B$5:$B$256=$A17)*Loan_Snapshot!$I$5:$I$256*Loan_Snapshot!$BX$5:$BX$256)/$C17,0)</f>
        <v/>
      </c>
      <c r="V17" s="13">
        <f>IFERROR(SUMPRODUCT((Loan_Snapshot!$B$5:$B$256=$A17)*Loan_Snapshot!$I$5:$I$256*Loan_Snapshot!$BY$5:$BY$256)/$C17,0)</f>
        <v/>
      </c>
      <c r="W17" s="28">
        <f>BASELINE_CPR+SUM(E17:V17)-$D17</f>
        <v/>
      </c>
    </row>
    <row r="18">
      <c r="A18" s="2" t="inlineStr">
        <is>
          <t>DWIGHT_POST21</t>
        </is>
      </c>
      <c r="B18">
        <f>COUNTIF(Loan_Snapshot!$B$5:$B$256,$A18)</f>
        <v/>
      </c>
      <c r="C18" s="22">
        <f>SUMIF(Loan_Snapshot!$B$5:$B$256,$A18,Loan_Snapshot!$I$5:$I$256)</f>
        <v/>
      </c>
      <c r="D18" s="13">
        <f>IFERROR(SUMPRODUCT((Loan_Snapshot!$B$5:$B$256=$A18)*Loan_Snapshot!$I$5:$I$256*Loan_Snapshot!$BG$5:$BG$256)/$C18,0)</f>
        <v/>
      </c>
      <c r="E18" s="13">
        <f>IFERROR(SUMPRODUCT((Loan_Snapshot!$B$5:$B$256=$A18)*Loan_Snapshot!$I$5:$I$256*Loan_Snapshot!$BH$5:$BH$256)/$C18,0)</f>
        <v/>
      </c>
      <c r="F18" s="13">
        <f>IFERROR(SUMPRODUCT((Loan_Snapshot!$B$5:$B$256=$A18)*Loan_Snapshot!$I$5:$I$256*Loan_Snapshot!$BI$5:$BI$256)/$C18,0)</f>
        <v/>
      </c>
      <c r="G18" s="13">
        <f>IFERROR(SUMPRODUCT((Loan_Snapshot!$B$5:$B$256=$A18)*Loan_Snapshot!$I$5:$I$256*Loan_Snapshot!$BJ$5:$BJ$256)/$C18,0)</f>
        <v/>
      </c>
      <c r="H18" s="13">
        <f>IFERROR(SUMPRODUCT((Loan_Snapshot!$B$5:$B$256=$A18)*Loan_Snapshot!$I$5:$I$256*Loan_Snapshot!$BK$5:$BK$256)/$C18,0)</f>
        <v/>
      </c>
      <c r="I18" s="13">
        <f>IFERROR(SUMPRODUCT((Loan_Snapshot!$B$5:$B$256=$A18)*Loan_Snapshot!$I$5:$I$256*Loan_Snapshot!$BL$5:$BL$256)/$C18,0)</f>
        <v/>
      </c>
      <c r="J18" s="13">
        <f>IFERROR(SUMPRODUCT((Loan_Snapshot!$B$5:$B$256=$A18)*Loan_Snapshot!$I$5:$I$256*Loan_Snapshot!$BM$5:$BM$256)/$C18,0)</f>
        <v/>
      </c>
      <c r="K18" s="13">
        <f>IFERROR(SUMPRODUCT((Loan_Snapshot!$B$5:$B$256=$A18)*Loan_Snapshot!$I$5:$I$256*Loan_Snapshot!$BN$5:$BN$256)/$C18,0)</f>
        <v/>
      </c>
      <c r="L18" s="13">
        <f>IFERROR(SUMPRODUCT((Loan_Snapshot!$B$5:$B$256=$A18)*Loan_Snapshot!$I$5:$I$256*Loan_Snapshot!$BO$5:$BO$256)/$C18,0)</f>
        <v/>
      </c>
      <c r="M18" s="13">
        <f>IFERROR(SUMPRODUCT((Loan_Snapshot!$B$5:$B$256=$A18)*Loan_Snapshot!$I$5:$I$256*Loan_Snapshot!$BP$5:$BP$256)/$C18,0)</f>
        <v/>
      </c>
      <c r="N18" s="13">
        <f>IFERROR(SUMPRODUCT((Loan_Snapshot!$B$5:$B$256=$A18)*Loan_Snapshot!$I$5:$I$256*Loan_Snapshot!$BQ$5:$BQ$256)/$C18,0)</f>
        <v/>
      </c>
      <c r="O18" s="13">
        <f>IFERROR(SUMPRODUCT((Loan_Snapshot!$B$5:$B$256=$A18)*Loan_Snapshot!$I$5:$I$256*Loan_Snapshot!$BR$5:$BR$256)/$C18,0)</f>
        <v/>
      </c>
      <c r="P18" s="13">
        <f>IFERROR(SUMPRODUCT((Loan_Snapshot!$B$5:$B$256=$A18)*Loan_Snapshot!$I$5:$I$256*Loan_Snapshot!$BS$5:$BS$256)/$C18,0)</f>
        <v/>
      </c>
      <c r="Q18" s="13">
        <f>IFERROR(SUMPRODUCT((Loan_Snapshot!$B$5:$B$256=$A18)*Loan_Snapshot!$I$5:$I$256*Loan_Snapshot!$BT$5:$BT$256)/$C18,0)</f>
        <v/>
      </c>
      <c r="R18" s="13">
        <f>IFERROR(SUMPRODUCT((Loan_Snapshot!$B$5:$B$256=$A18)*Loan_Snapshot!$I$5:$I$256*Loan_Snapshot!$BU$5:$BU$256)/$C18,0)</f>
        <v/>
      </c>
      <c r="S18" s="13">
        <f>IFERROR(SUMPRODUCT((Loan_Snapshot!$B$5:$B$256=$A18)*Loan_Snapshot!$I$5:$I$256*Loan_Snapshot!$BV$5:$BV$256)/$C18,0)</f>
        <v/>
      </c>
      <c r="T18" s="13">
        <f>IFERROR(SUMPRODUCT((Loan_Snapshot!$B$5:$B$256=$A18)*Loan_Snapshot!$I$5:$I$256*Loan_Snapshot!$BW$5:$BW$256)/$C18,0)</f>
        <v/>
      </c>
      <c r="U18" s="13">
        <f>IFERROR(SUMPRODUCT((Loan_Snapshot!$B$5:$B$256=$A18)*Loan_Snapshot!$I$5:$I$256*Loan_Snapshot!$BX$5:$BX$256)/$C18,0)</f>
        <v/>
      </c>
      <c r="V18" s="13">
        <f>IFERROR(SUMPRODUCT((Loan_Snapshot!$B$5:$B$256=$A18)*Loan_Snapshot!$I$5:$I$256*Loan_Snapshot!$BY$5:$BY$256)/$C18,0)</f>
        <v/>
      </c>
      <c r="W18" s="28">
        <f>BASELINE_CPR+SUM(E18:V18)-$D18</f>
        <v/>
      </c>
    </row>
    <row r="19">
      <c r="A19" s="2" t="inlineStr">
        <is>
          <t>MERCHANTS_POST21</t>
        </is>
      </c>
      <c r="B19">
        <f>COUNTIF(Loan_Snapshot!$B$5:$B$256,$A19)</f>
        <v/>
      </c>
      <c r="C19" s="22">
        <f>SUMIF(Loan_Snapshot!$B$5:$B$256,$A19,Loan_Snapshot!$I$5:$I$256)</f>
        <v/>
      </c>
      <c r="D19" s="13">
        <f>IFERROR(SUMPRODUCT((Loan_Snapshot!$B$5:$B$256=$A19)*Loan_Snapshot!$I$5:$I$256*Loan_Snapshot!$BG$5:$BG$256)/$C19,0)</f>
        <v/>
      </c>
      <c r="E19" s="13">
        <f>IFERROR(SUMPRODUCT((Loan_Snapshot!$B$5:$B$256=$A19)*Loan_Snapshot!$I$5:$I$256*Loan_Snapshot!$BH$5:$BH$256)/$C19,0)</f>
        <v/>
      </c>
      <c r="F19" s="13">
        <f>IFERROR(SUMPRODUCT((Loan_Snapshot!$B$5:$B$256=$A19)*Loan_Snapshot!$I$5:$I$256*Loan_Snapshot!$BI$5:$BI$256)/$C19,0)</f>
        <v/>
      </c>
      <c r="G19" s="13">
        <f>IFERROR(SUMPRODUCT((Loan_Snapshot!$B$5:$B$256=$A19)*Loan_Snapshot!$I$5:$I$256*Loan_Snapshot!$BJ$5:$BJ$256)/$C19,0)</f>
        <v/>
      </c>
      <c r="H19" s="13">
        <f>IFERROR(SUMPRODUCT((Loan_Snapshot!$B$5:$B$256=$A19)*Loan_Snapshot!$I$5:$I$256*Loan_Snapshot!$BK$5:$BK$256)/$C19,0)</f>
        <v/>
      </c>
      <c r="I19" s="13">
        <f>IFERROR(SUMPRODUCT((Loan_Snapshot!$B$5:$B$256=$A19)*Loan_Snapshot!$I$5:$I$256*Loan_Snapshot!$BL$5:$BL$256)/$C19,0)</f>
        <v/>
      </c>
      <c r="J19" s="13">
        <f>IFERROR(SUMPRODUCT((Loan_Snapshot!$B$5:$B$256=$A19)*Loan_Snapshot!$I$5:$I$256*Loan_Snapshot!$BM$5:$BM$256)/$C19,0)</f>
        <v/>
      </c>
      <c r="K19" s="13">
        <f>IFERROR(SUMPRODUCT((Loan_Snapshot!$B$5:$B$256=$A19)*Loan_Snapshot!$I$5:$I$256*Loan_Snapshot!$BN$5:$BN$256)/$C19,0)</f>
        <v/>
      </c>
      <c r="L19" s="13">
        <f>IFERROR(SUMPRODUCT((Loan_Snapshot!$B$5:$B$256=$A19)*Loan_Snapshot!$I$5:$I$256*Loan_Snapshot!$BO$5:$BO$256)/$C19,0)</f>
        <v/>
      </c>
      <c r="M19" s="13">
        <f>IFERROR(SUMPRODUCT((Loan_Snapshot!$B$5:$B$256=$A19)*Loan_Snapshot!$I$5:$I$256*Loan_Snapshot!$BP$5:$BP$256)/$C19,0)</f>
        <v/>
      </c>
      <c r="N19" s="13">
        <f>IFERROR(SUMPRODUCT((Loan_Snapshot!$B$5:$B$256=$A19)*Loan_Snapshot!$I$5:$I$256*Loan_Snapshot!$BQ$5:$BQ$256)/$C19,0)</f>
        <v/>
      </c>
      <c r="O19" s="13">
        <f>IFERROR(SUMPRODUCT((Loan_Snapshot!$B$5:$B$256=$A19)*Loan_Snapshot!$I$5:$I$256*Loan_Snapshot!$BR$5:$BR$256)/$C19,0)</f>
        <v/>
      </c>
      <c r="P19" s="13">
        <f>IFERROR(SUMPRODUCT((Loan_Snapshot!$B$5:$B$256=$A19)*Loan_Snapshot!$I$5:$I$256*Loan_Snapshot!$BS$5:$BS$256)/$C19,0)</f>
        <v/>
      </c>
      <c r="Q19" s="13">
        <f>IFERROR(SUMPRODUCT((Loan_Snapshot!$B$5:$B$256=$A19)*Loan_Snapshot!$I$5:$I$256*Loan_Snapshot!$BT$5:$BT$256)/$C19,0)</f>
        <v/>
      </c>
      <c r="R19" s="13">
        <f>IFERROR(SUMPRODUCT((Loan_Snapshot!$B$5:$B$256=$A19)*Loan_Snapshot!$I$5:$I$256*Loan_Snapshot!$BU$5:$BU$256)/$C19,0)</f>
        <v/>
      </c>
      <c r="S19" s="13">
        <f>IFERROR(SUMPRODUCT((Loan_Snapshot!$B$5:$B$256=$A19)*Loan_Snapshot!$I$5:$I$256*Loan_Snapshot!$BV$5:$BV$256)/$C19,0)</f>
        <v/>
      </c>
      <c r="T19" s="13">
        <f>IFERROR(SUMPRODUCT((Loan_Snapshot!$B$5:$B$256=$A19)*Loan_Snapshot!$I$5:$I$256*Loan_Snapshot!$BW$5:$BW$256)/$C19,0)</f>
        <v/>
      </c>
      <c r="U19" s="13">
        <f>IFERROR(SUMPRODUCT((Loan_Snapshot!$B$5:$B$256=$A19)*Loan_Snapshot!$I$5:$I$256*Loan_Snapshot!$BX$5:$BX$256)/$C19,0)</f>
        <v/>
      </c>
      <c r="V19" s="13">
        <f>IFERROR(SUMPRODUCT((Loan_Snapshot!$B$5:$B$256=$A19)*Loan_Snapshot!$I$5:$I$256*Loan_Snapshot!$BY$5:$BY$256)/$C19,0)</f>
        <v/>
      </c>
      <c r="W19" s="28">
        <f>BASELINE_CPR+SUM(E19:V19)-$D19</f>
        <v/>
      </c>
    </row>
    <row r="20">
      <c r="A20" s="2" t="inlineStr">
        <is>
          <t>DWIGHT_PRE21</t>
        </is>
      </c>
      <c r="B20">
        <f>COUNTIF(Loan_Snapshot!$B$5:$B$256,$A20)</f>
        <v/>
      </c>
      <c r="C20" s="22">
        <f>SUMIF(Loan_Snapshot!$B$5:$B$256,$A20,Loan_Snapshot!$I$5:$I$256)</f>
        <v/>
      </c>
      <c r="D20" s="13">
        <f>IFERROR(SUMPRODUCT((Loan_Snapshot!$B$5:$B$256=$A20)*Loan_Snapshot!$I$5:$I$256*Loan_Snapshot!$BG$5:$BG$256)/$C20,0)</f>
        <v/>
      </c>
      <c r="E20" s="13">
        <f>IFERROR(SUMPRODUCT((Loan_Snapshot!$B$5:$B$256=$A20)*Loan_Snapshot!$I$5:$I$256*Loan_Snapshot!$BH$5:$BH$256)/$C20,0)</f>
        <v/>
      </c>
      <c r="F20" s="13">
        <f>IFERROR(SUMPRODUCT((Loan_Snapshot!$B$5:$B$256=$A20)*Loan_Snapshot!$I$5:$I$256*Loan_Snapshot!$BI$5:$BI$256)/$C20,0)</f>
        <v/>
      </c>
      <c r="G20" s="13">
        <f>IFERROR(SUMPRODUCT((Loan_Snapshot!$B$5:$B$256=$A20)*Loan_Snapshot!$I$5:$I$256*Loan_Snapshot!$BJ$5:$BJ$256)/$C20,0)</f>
        <v/>
      </c>
      <c r="H20" s="13">
        <f>IFERROR(SUMPRODUCT((Loan_Snapshot!$B$5:$B$256=$A20)*Loan_Snapshot!$I$5:$I$256*Loan_Snapshot!$BK$5:$BK$256)/$C20,0)</f>
        <v/>
      </c>
      <c r="I20" s="13">
        <f>IFERROR(SUMPRODUCT((Loan_Snapshot!$B$5:$B$256=$A20)*Loan_Snapshot!$I$5:$I$256*Loan_Snapshot!$BL$5:$BL$256)/$C20,0)</f>
        <v/>
      </c>
      <c r="J20" s="13">
        <f>IFERROR(SUMPRODUCT((Loan_Snapshot!$B$5:$B$256=$A20)*Loan_Snapshot!$I$5:$I$256*Loan_Snapshot!$BM$5:$BM$256)/$C20,0)</f>
        <v/>
      </c>
      <c r="K20" s="13">
        <f>IFERROR(SUMPRODUCT((Loan_Snapshot!$B$5:$B$256=$A20)*Loan_Snapshot!$I$5:$I$256*Loan_Snapshot!$BN$5:$BN$256)/$C20,0)</f>
        <v/>
      </c>
      <c r="L20" s="13">
        <f>IFERROR(SUMPRODUCT((Loan_Snapshot!$B$5:$B$256=$A20)*Loan_Snapshot!$I$5:$I$256*Loan_Snapshot!$BO$5:$BO$256)/$C20,0)</f>
        <v/>
      </c>
      <c r="M20" s="13">
        <f>IFERROR(SUMPRODUCT((Loan_Snapshot!$B$5:$B$256=$A20)*Loan_Snapshot!$I$5:$I$256*Loan_Snapshot!$BP$5:$BP$256)/$C20,0)</f>
        <v/>
      </c>
      <c r="N20" s="13">
        <f>IFERROR(SUMPRODUCT((Loan_Snapshot!$B$5:$B$256=$A20)*Loan_Snapshot!$I$5:$I$256*Loan_Snapshot!$BQ$5:$BQ$256)/$C20,0)</f>
        <v/>
      </c>
      <c r="O20" s="13">
        <f>IFERROR(SUMPRODUCT((Loan_Snapshot!$B$5:$B$256=$A20)*Loan_Snapshot!$I$5:$I$256*Loan_Snapshot!$BR$5:$BR$256)/$C20,0)</f>
        <v/>
      </c>
      <c r="P20" s="13">
        <f>IFERROR(SUMPRODUCT((Loan_Snapshot!$B$5:$B$256=$A20)*Loan_Snapshot!$I$5:$I$256*Loan_Snapshot!$BS$5:$BS$256)/$C20,0)</f>
        <v/>
      </c>
      <c r="Q20" s="13">
        <f>IFERROR(SUMPRODUCT((Loan_Snapshot!$B$5:$B$256=$A20)*Loan_Snapshot!$I$5:$I$256*Loan_Snapshot!$BT$5:$BT$256)/$C20,0)</f>
        <v/>
      </c>
      <c r="R20" s="13">
        <f>IFERROR(SUMPRODUCT((Loan_Snapshot!$B$5:$B$256=$A20)*Loan_Snapshot!$I$5:$I$256*Loan_Snapshot!$BU$5:$BU$256)/$C20,0)</f>
        <v/>
      </c>
      <c r="S20" s="13">
        <f>IFERROR(SUMPRODUCT((Loan_Snapshot!$B$5:$B$256=$A20)*Loan_Snapshot!$I$5:$I$256*Loan_Snapshot!$BV$5:$BV$256)/$C20,0)</f>
        <v/>
      </c>
      <c r="T20" s="13">
        <f>IFERROR(SUMPRODUCT((Loan_Snapshot!$B$5:$B$256=$A20)*Loan_Snapshot!$I$5:$I$256*Loan_Snapshot!$BW$5:$BW$256)/$C20,0)</f>
        <v/>
      </c>
      <c r="U20" s="13">
        <f>IFERROR(SUMPRODUCT((Loan_Snapshot!$B$5:$B$256=$A20)*Loan_Snapshot!$I$5:$I$256*Loan_Snapshot!$BX$5:$BX$256)/$C20,0)</f>
        <v/>
      </c>
      <c r="V20" s="13">
        <f>IFERROR(SUMPRODUCT((Loan_Snapshot!$B$5:$B$256=$A20)*Loan_Snapshot!$I$5:$I$256*Loan_Snapshot!$BY$5:$BY$256)/$C20,0)</f>
        <v/>
      </c>
      <c r="W20" s="28">
        <f>BASELINE_CPR+SUM(E20:V20)-$D20</f>
        <v/>
      </c>
    </row>
    <row r="21">
      <c r="A21" s="2" t="inlineStr">
        <is>
          <t>JLL_PRE21</t>
        </is>
      </c>
      <c r="B21">
        <f>COUNTIF(Loan_Snapshot!$B$5:$B$256,$A21)</f>
        <v/>
      </c>
      <c r="C21" s="22">
        <f>SUMIF(Loan_Snapshot!$B$5:$B$256,$A21,Loan_Snapshot!$I$5:$I$256)</f>
        <v/>
      </c>
      <c r="D21" s="13">
        <f>IFERROR(SUMPRODUCT((Loan_Snapshot!$B$5:$B$256=$A21)*Loan_Snapshot!$I$5:$I$256*Loan_Snapshot!$BG$5:$BG$256)/$C21,0)</f>
        <v/>
      </c>
      <c r="E21" s="13">
        <f>IFERROR(SUMPRODUCT((Loan_Snapshot!$B$5:$B$256=$A21)*Loan_Snapshot!$I$5:$I$256*Loan_Snapshot!$BH$5:$BH$256)/$C21,0)</f>
        <v/>
      </c>
      <c r="F21" s="13">
        <f>IFERROR(SUMPRODUCT((Loan_Snapshot!$B$5:$B$256=$A21)*Loan_Snapshot!$I$5:$I$256*Loan_Snapshot!$BI$5:$BI$256)/$C21,0)</f>
        <v/>
      </c>
      <c r="G21" s="13">
        <f>IFERROR(SUMPRODUCT((Loan_Snapshot!$B$5:$B$256=$A21)*Loan_Snapshot!$I$5:$I$256*Loan_Snapshot!$BJ$5:$BJ$256)/$C21,0)</f>
        <v/>
      </c>
      <c r="H21" s="13">
        <f>IFERROR(SUMPRODUCT((Loan_Snapshot!$B$5:$B$256=$A21)*Loan_Snapshot!$I$5:$I$256*Loan_Snapshot!$BK$5:$BK$256)/$C21,0)</f>
        <v/>
      </c>
      <c r="I21" s="13">
        <f>IFERROR(SUMPRODUCT((Loan_Snapshot!$B$5:$B$256=$A21)*Loan_Snapshot!$I$5:$I$256*Loan_Snapshot!$BL$5:$BL$256)/$C21,0)</f>
        <v/>
      </c>
      <c r="J21" s="13">
        <f>IFERROR(SUMPRODUCT((Loan_Snapshot!$B$5:$B$256=$A21)*Loan_Snapshot!$I$5:$I$256*Loan_Snapshot!$BM$5:$BM$256)/$C21,0)</f>
        <v/>
      </c>
      <c r="K21" s="13">
        <f>IFERROR(SUMPRODUCT((Loan_Snapshot!$B$5:$B$256=$A21)*Loan_Snapshot!$I$5:$I$256*Loan_Snapshot!$BN$5:$BN$256)/$C21,0)</f>
        <v/>
      </c>
      <c r="L21" s="13">
        <f>IFERROR(SUMPRODUCT((Loan_Snapshot!$B$5:$B$256=$A21)*Loan_Snapshot!$I$5:$I$256*Loan_Snapshot!$BO$5:$BO$256)/$C21,0)</f>
        <v/>
      </c>
      <c r="M21" s="13">
        <f>IFERROR(SUMPRODUCT((Loan_Snapshot!$B$5:$B$256=$A21)*Loan_Snapshot!$I$5:$I$256*Loan_Snapshot!$BP$5:$BP$256)/$C21,0)</f>
        <v/>
      </c>
      <c r="N21" s="13">
        <f>IFERROR(SUMPRODUCT((Loan_Snapshot!$B$5:$B$256=$A21)*Loan_Snapshot!$I$5:$I$256*Loan_Snapshot!$BQ$5:$BQ$256)/$C21,0)</f>
        <v/>
      </c>
      <c r="O21" s="13">
        <f>IFERROR(SUMPRODUCT((Loan_Snapshot!$B$5:$B$256=$A21)*Loan_Snapshot!$I$5:$I$256*Loan_Snapshot!$BR$5:$BR$256)/$C21,0)</f>
        <v/>
      </c>
      <c r="P21" s="13">
        <f>IFERROR(SUMPRODUCT((Loan_Snapshot!$B$5:$B$256=$A21)*Loan_Snapshot!$I$5:$I$256*Loan_Snapshot!$BS$5:$BS$256)/$C21,0)</f>
        <v/>
      </c>
      <c r="Q21" s="13">
        <f>IFERROR(SUMPRODUCT((Loan_Snapshot!$B$5:$B$256=$A21)*Loan_Snapshot!$I$5:$I$256*Loan_Snapshot!$BT$5:$BT$256)/$C21,0)</f>
        <v/>
      </c>
      <c r="R21" s="13">
        <f>IFERROR(SUMPRODUCT((Loan_Snapshot!$B$5:$B$256=$A21)*Loan_Snapshot!$I$5:$I$256*Loan_Snapshot!$BU$5:$BU$256)/$C21,0)</f>
        <v/>
      </c>
      <c r="S21" s="13">
        <f>IFERROR(SUMPRODUCT((Loan_Snapshot!$B$5:$B$256=$A21)*Loan_Snapshot!$I$5:$I$256*Loan_Snapshot!$BV$5:$BV$256)/$C21,0)</f>
        <v/>
      </c>
      <c r="T21" s="13">
        <f>IFERROR(SUMPRODUCT((Loan_Snapshot!$B$5:$B$256=$A21)*Loan_Snapshot!$I$5:$I$256*Loan_Snapshot!$BW$5:$BW$256)/$C21,0)</f>
        <v/>
      </c>
      <c r="U21" s="13">
        <f>IFERROR(SUMPRODUCT((Loan_Snapshot!$B$5:$B$256=$A21)*Loan_Snapshot!$I$5:$I$256*Loan_Snapshot!$BX$5:$BX$256)/$C21,0)</f>
        <v/>
      </c>
      <c r="V21" s="13">
        <f>IFERROR(SUMPRODUCT((Loan_Snapshot!$B$5:$B$256=$A21)*Loan_Snapshot!$I$5:$I$256*Loan_Snapshot!$BY$5:$BY$256)/$C21,0)</f>
        <v/>
      </c>
      <c r="W21" s="28">
        <f>BASELINE_CPR+SUM(E21:V21)-$D21</f>
        <v/>
      </c>
    </row>
    <row r="22">
      <c r="A22" s="2" t="inlineStr">
        <is>
          <t>BELLWETHER_PRE21</t>
        </is>
      </c>
      <c r="B22">
        <f>COUNTIF(Loan_Snapshot!$B$5:$B$256,$A22)</f>
        <v/>
      </c>
      <c r="C22" s="22">
        <f>SUMIF(Loan_Snapshot!$B$5:$B$256,$A22,Loan_Snapshot!$I$5:$I$256)</f>
        <v/>
      </c>
      <c r="D22" s="13">
        <f>IFERROR(SUMPRODUCT((Loan_Snapshot!$B$5:$B$256=$A22)*Loan_Snapshot!$I$5:$I$256*Loan_Snapshot!$BG$5:$BG$256)/$C22,0)</f>
        <v/>
      </c>
      <c r="E22" s="13">
        <f>IFERROR(SUMPRODUCT((Loan_Snapshot!$B$5:$B$256=$A22)*Loan_Snapshot!$I$5:$I$256*Loan_Snapshot!$BH$5:$BH$256)/$C22,0)</f>
        <v/>
      </c>
      <c r="F22" s="13">
        <f>IFERROR(SUMPRODUCT((Loan_Snapshot!$B$5:$B$256=$A22)*Loan_Snapshot!$I$5:$I$256*Loan_Snapshot!$BI$5:$BI$256)/$C22,0)</f>
        <v/>
      </c>
      <c r="G22" s="13">
        <f>IFERROR(SUMPRODUCT((Loan_Snapshot!$B$5:$B$256=$A22)*Loan_Snapshot!$I$5:$I$256*Loan_Snapshot!$BJ$5:$BJ$256)/$C22,0)</f>
        <v/>
      </c>
      <c r="H22" s="13">
        <f>IFERROR(SUMPRODUCT((Loan_Snapshot!$B$5:$B$256=$A22)*Loan_Snapshot!$I$5:$I$256*Loan_Snapshot!$BK$5:$BK$256)/$C22,0)</f>
        <v/>
      </c>
      <c r="I22" s="13">
        <f>IFERROR(SUMPRODUCT((Loan_Snapshot!$B$5:$B$256=$A22)*Loan_Snapshot!$I$5:$I$256*Loan_Snapshot!$BL$5:$BL$256)/$C22,0)</f>
        <v/>
      </c>
      <c r="J22" s="13">
        <f>IFERROR(SUMPRODUCT((Loan_Snapshot!$B$5:$B$256=$A22)*Loan_Snapshot!$I$5:$I$256*Loan_Snapshot!$BM$5:$BM$256)/$C22,0)</f>
        <v/>
      </c>
      <c r="K22" s="13">
        <f>IFERROR(SUMPRODUCT((Loan_Snapshot!$B$5:$B$256=$A22)*Loan_Snapshot!$I$5:$I$256*Loan_Snapshot!$BN$5:$BN$256)/$C22,0)</f>
        <v/>
      </c>
      <c r="L22" s="13">
        <f>IFERROR(SUMPRODUCT((Loan_Snapshot!$B$5:$B$256=$A22)*Loan_Snapshot!$I$5:$I$256*Loan_Snapshot!$BO$5:$BO$256)/$C22,0)</f>
        <v/>
      </c>
      <c r="M22" s="13">
        <f>IFERROR(SUMPRODUCT((Loan_Snapshot!$B$5:$B$256=$A22)*Loan_Snapshot!$I$5:$I$256*Loan_Snapshot!$BP$5:$BP$256)/$C22,0)</f>
        <v/>
      </c>
      <c r="N22" s="13">
        <f>IFERROR(SUMPRODUCT((Loan_Snapshot!$B$5:$B$256=$A22)*Loan_Snapshot!$I$5:$I$256*Loan_Snapshot!$BQ$5:$BQ$256)/$C22,0)</f>
        <v/>
      </c>
      <c r="O22" s="13">
        <f>IFERROR(SUMPRODUCT((Loan_Snapshot!$B$5:$B$256=$A22)*Loan_Snapshot!$I$5:$I$256*Loan_Snapshot!$BR$5:$BR$256)/$C22,0)</f>
        <v/>
      </c>
      <c r="P22" s="13">
        <f>IFERROR(SUMPRODUCT((Loan_Snapshot!$B$5:$B$256=$A22)*Loan_Snapshot!$I$5:$I$256*Loan_Snapshot!$BS$5:$BS$256)/$C22,0)</f>
        <v/>
      </c>
      <c r="Q22" s="13">
        <f>IFERROR(SUMPRODUCT((Loan_Snapshot!$B$5:$B$256=$A22)*Loan_Snapshot!$I$5:$I$256*Loan_Snapshot!$BT$5:$BT$256)/$C22,0)</f>
        <v/>
      </c>
      <c r="R22" s="13">
        <f>IFERROR(SUMPRODUCT((Loan_Snapshot!$B$5:$B$256=$A22)*Loan_Snapshot!$I$5:$I$256*Loan_Snapshot!$BU$5:$BU$256)/$C22,0)</f>
        <v/>
      </c>
      <c r="S22" s="13">
        <f>IFERROR(SUMPRODUCT((Loan_Snapshot!$B$5:$B$256=$A22)*Loan_Snapshot!$I$5:$I$256*Loan_Snapshot!$BV$5:$BV$256)/$C22,0)</f>
        <v/>
      </c>
      <c r="T22" s="13">
        <f>IFERROR(SUMPRODUCT((Loan_Snapshot!$B$5:$B$256=$A22)*Loan_Snapshot!$I$5:$I$256*Loan_Snapshot!$BW$5:$BW$256)/$C22,0)</f>
        <v/>
      </c>
      <c r="U22" s="13">
        <f>IFERROR(SUMPRODUCT((Loan_Snapshot!$B$5:$B$256=$A22)*Loan_Snapshot!$I$5:$I$256*Loan_Snapshot!$BX$5:$BX$256)/$C22,0)</f>
        <v/>
      </c>
      <c r="V22" s="13">
        <f>IFERROR(SUMPRODUCT((Loan_Snapshot!$B$5:$B$256=$A22)*Loan_Snapshot!$I$5:$I$256*Loan_Snapshot!$BY$5:$BY$256)/$C22,0)</f>
        <v/>
      </c>
      <c r="W22" s="28">
        <f>BASELINE_CPR+SUM(E22:V22)-$D22</f>
        <v/>
      </c>
    </row>
    <row r="23">
      <c r="A23" s="2" t="inlineStr">
        <is>
          <t>CAPITAL_POST21</t>
        </is>
      </c>
      <c r="B23">
        <f>COUNTIF(Loan_Snapshot!$B$5:$B$256,$A23)</f>
        <v/>
      </c>
      <c r="C23" s="22">
        <f>SUMIF(Loan_Snapshot!$B$5:$B$256,$A23,Loan_Snapshot!$I$5:$I$256)</f>
        <v/>
      </c>
      <c r="D23" s="13">
        <f>IFERROR(SUMPRODUCT((Loan_Snapshot!$B$5:$B$256=$A23)*Loan_Snapshot!$I$5:$I$256*Loan_Snapshot!$BG$5:$BG$256)/$C23,0)</f>
        <v/>
      </c>
      <c r="E23" s="13">
        <f>IFERROR(SUMPRODUCT((Loan_Snapshot!$B$5:$B$256=$A23)*Loan_Snapshot!$I$5:$I$256*Loan_Snapshot!$BH$5:$BH$256)/$C23,0)</f>
        <v/>
      </c>
      <c r="F23" s="13">
        <f>IFERROR(SUMPRODUCT((Loan_Snapshot!$B$5:$B$256=$A23)*Loan_Snapshot!$I$5:$I$256*Loan_Snapshot!$BI$5:$BI$256)/$C23,0)</f>
        <v/>
      </c>
      <c r="G23" s="13">
        <f>IFERROR(SUMPRODUCT((Loan_Snapshot!$B$5:$B$256=$A23)*Loan_Snapshot!$I$5:$I$256*Loan_Snapshot!$BJ$5:$BJ$256)/$C23,0)</f>
        <v/>
      </c>
      <c r="H23" s="13">
        <f>IFERROR(SUMPRODUCT((Loan_Snapshot!$B$5:$B$256=$A23)*Loan_Snapshot!$I$5:$I$256*Loan_Snapshot!$BK$5:$BK$256)/$C23,0)</f>
        <v/>
      </c>
      <c r="I23" s="13">
        <f>IFERROR(SUMPRODUCT((Loan_Snapshot!$B$5:$B$256=$A23)*Loan_Snapshot!$I$5:$I$256*Loan_Snapshot!$BL$5:$BL$256)/$C23,0)</f>
        <v/>
      </c>
      <c r="J23" s="13">
        <f>IFERROR(SUMPRODUCT((Loan_Snapshot!$B$5:$B$256=$A23)*Loan_Snapshot!$I$5:$I$256*Loan_Snapshot!$BM$5:$BM$256)/$C23,0)</f>
        <v/>
      </c>
      <c r="K23" s="13">
        <f>IFERROR(SUMPRODUCT((Loan_Snapshot!$B$5:$B$256=$A23)*Loan_Snapshot!$I$5:$I$256*Loan_Snapshot!$BN$5:$BN$256)/$C23,0)</f>
        <v/>
      </c>
      <c r="L23" s="13">
        <f>IFERROR(SUMPRODUCT((Loan_Snapshot!$B$5:$B$256=$A23)*Loan_Snapshot!$I$5:$I$256*Loan_Snapshot!$BO$5:$BO$256)/$C23,0)</f>
        <v/>
      </c>
      <c r="M23" s="13">
        <f>IFERROR(SUMPRODUCT((Loan_Snapshot!$B$5:$B$256=$A23)*Loan_Snapshot!$I$5:$I$256*Loan_Snapshot!$BP$5:$BP$256)/$C23,0)</f>
        <v/>
      </c>
      <c r="N23" s="13">
        <f>IFERROR(SUMPRODUCT((Loan_Snapshot!$B$5:$B$256=$A23)*Loan_Snapshot!$I$5:$I$256*Loan_Snapshot!$BQ$5:$BQ$256)/$C23,0)</f>
        <v/>
      </c>
      <c r="O23" s="13">
        <f>IFERROR(SUMPRODUCT((Loan_Snapshot!$B$5:$B$256=$A23)*Loan_Snapshot!$I$5:$I$256*Loan_Snapshot!$BR$5:$BR$256)/$C23,0)</f>
        <v/>
      </c>
      <c r="P23" s="13">
        <f>IFERROR(SUMPRODUCT((Loan_Snapshot!$B$5:$B$256=$A23)*Loan_Snapshot!$I$5:$I$256*Loan_Snapshot!$BS$5:$BS$256)/$C23,0)</f>
        <v/>
      </c>
      <c r="Q23" s="13">
        <f>IFERROR(SUMPRODUCT((Loan_Snapshot!$B$5:$B$256=$A23)*Loan_Snapshot!$I$5:$I$256*Loan_Snapshot!$BT$5:$BT$256)/$C23,0)</f>
        <v/>
      </c>
      <c r="R23" s="13">
        <f>IFERROR(SUMPRODUCT((Loan_Snapshot!$B$5:$B$256=$A23)*Loan_Snapshot!$I$5:$I$256*Loan_Snapshot!$BU$5:$BU$256)/$C23,0)</f>
        <v/>
      </c>
      <c r="S23" s="13">
        <f>IFERROR(SUMPRODUCT((Loan_Snapshot!$B$5:$B$256=$A23)*Loan_Snapshot!$I$5:$I$256*Loan_Snapshot!$BV$5:$BV$256)/$C23,0)</f>
        <v/>
      </c>
      <c r="T23" s="13">
        <f>IFERROR(SUMPRODUCT((Loan_Snapshot!$B$5:$B$256=$A23)*Loan_Snapshot!$I$5:$I$256*Loan_Snapshot!$BW$5:$BW$256)/$C23,0)</f>
        <v/>
      </c>
      <c r="U23" s="13">
        <f>IFERROR(SUMPRODUCT((Loan_Snapshot!$B$5:$B$256=$A23)*Loan_Snapshot!$I$5:$I$256*Loan_Snapshot!$BX$5:$BX$256)/$C23,0)</f>
        <v/>
      </c>
      <c r="V23" s="13">
        <f>IFERROR(SUMPRODUCT((Loan_Snapshot!$B$5:$B$256=$A23)*Loan_Snapshot!$I$5:$I$256*Loan_Snapshot!$BY$5:$BY$256)/$C23,0)</f>
        <v/>
      </c>
      <c r="W23" s="28">
        <f>BASELINE_CPR+SUM(E23:V23)-$D23</f>
        <v/>
      </c>
    </row>
    <row r="24">
      <c r="A24" s="2" t="inlineStr">
        <is>
          <t>PGIM_PRE21</t>
        </is>
      </c>
      <c r="B24">
        <f>COUNTIF(Loan_Snapshot!$B$5:$B$256,$A24)</f>
        <v/>
      </c>
      <c r="C24" s="22">
        <f>SUMIF(Loan_Snapshot!$B$5:$B$256,$A24,Loan_Snapshot!$I$5:$I$256)</f>
        <v/>
      </c>
      <c r="D24" s="13">
        <f>IFERROR(SUMPRODUCT((Loan_Snapshot!$B$5:$B$256=$A24)*Loan_Snapshot!$I$5:$I$256*Loan_Snapshot!$BG$5:$BG$256)/$C24,0)</f>
        <v/>
      </c>
      <c r="E24" s="13">
        <f>IFERROR(SUMPRODUCT((Loan_Snapshot!$B$5:$B$256=$A24)*Loan_Snapshot!$I$5:$I$256*Loan_Snapshot!$BH$5:$BH$256)/$C24,0)</f>
        <v/>
      </c>
      <c r="F24" s="13">
        <f>IFERROR(SUMPRODUCT((Loan_Snapshot!$B$5:$B$256=$A24)*Loan_Snapshot!$I$5:$I$256*Loan_Snapshot!$BI$5:$BI$256)/$C24,0)</f>
        <v/>
      </c>
      <c r="G24" s="13">
        <f>IFERROR(SUMPRODUCT((Loan_Snapshot!$B$5:$B$256=$A24)*Loan_Snapshot!$I$5:$I$256*Loan_Snapshot!$BJ$5:$BJ$256)/$C24,0)</f>
        <v/>
      </c>
      <c r="H24" s="13">
        <f>IFERROR(SUMPRODUCT((Loan_Snapshot!$B$5:$B$256=$A24)*Loan_Snapshot!$I$5:$I$256*Loan_Snapshot!$BK$5:$BK$256)/$C24,0)</f>
        <v/>
      </c>
      <c r="I24" s="13">
        <f>IFERROR(SUMPRODUCT((Loan_Snapshot!$B$5:$B$256=$A24)*Loan_Snapshot!$I$5:$I$256*Loan_Snapshot!$BL$5:$BL$256)/$C24,0)</f>
        <v/>
      </c>
      <c r="J24" s="13">
        <f>IFERROR(SUMPRODUCT((Loan_Snapshot!$B$5:$B$256=$A24)*Loan_Snapshot!$I$5:$I$256*Loan_Snapshot!$BM$5:$BM$256)/$C24,0)</f>
        <v/>
      </c>
      <c r="K24" s="13">
        <f>IFERROR(SUMPRODUCT((Loan_Snapshot!$B$5:$B$256=$A24)*Loan_Snapshot!$I$5:$I$256*Loan_Snapshot!$BN$5:$BN$256)/$C24,0)</f>
        <v/>
      </c>
      <c r="L24" s="13">
        <f>IFERROR(SUMPRODUCT((Loan_Snapshot!$B$5:$B$256=$A24)*Loan_Snapshot!$I$5:$I$256*Loan_Snapshot!$BO$5:$BO$256)/$C24,0)</f>
        <v/>
      </c>
      <c r="M24" s="13">
        <f>IFERROR(SUMPRODUCT((Loan_Snapshot!$B$5:$B$256=$A24)*Loan_Snapshot!$I$5:$I$256*Loan_Snapshot!$BP$5:$BP$256)/$C24,0)</f>
        <v/>
      </c>
      <c r="N24" s="13">
        <f>IFERROR(SUMPRODUCT((Loan_Snapshot!$B$5:$B$256=$A24)*Loan_Snapshot!$I$5:$I$256*Loan_Snapshot!$BQ$5:$BQ$256)/$C24,0)</f>
        <v/>
      </c>
      <c r="O24" s="13">
        <f>IFERROR(SUMPRODUCT((Loan_Snapshot!$B$5:$B$256=$A24)*Loan_Snapshot!$I$5:$I$256*Loan_Snapshot!$BR$5:$BR$256)/$C24,0)</f>
        <v/>
      </c>
      <c r="P24" s="13">
        <f>IFERROR(SUMPRODUCT((Loan_Snapshot!$B$5:$B$256=$A24)*Loan_Snapshot!$I$5:$I$256*Loan_Snapshot!$BS$5:$BS$256)/$C24,0)</f>
        <v/>
      </c>
      <c r="Q24" s="13">
        <f>IFERROR(SUMPRODUCT((Loan_Snapshot!$B$5:$B$256=$A24)*Loan_Snapshot!$I$5:$I$256*Loan_Snapshot!$BT$5:$BT$256)/$C24,0)</f>
        <v/>
      </c>
      <c r="R24" s="13">
        <f>IFERROR(SUMPRODUCT((Loan_Snapshot!$B$5:$B$256=$A24)*Loan_Snapshot!$I$5:$I$256*Loan_Snapshot!$BU$5:$BU$256)/$C24,0)</f>
        <v/>
      </c>
      <c r="S24" s="13">
        <f>IFERROR(SUMPRODUCT((Loan_Snapshot!$B$5:$B$256=$A24)*Loan_Snapshot!$I$5:$I$256*Loan_Snapshot!$BV$5:$BV$256)/$C24,0)</f>
        <v/>
      </c>
      <c r="T24" s="13">
        <f>IFERROR(SUMPRODUCT((Loan_Snapshot!$B$5:$B$256=$A24)*Loan_Snapshot!$I$5:$I$256*Loan_Snapshot!$BW$5:$BW$256)/$C24,0)</f>
        <v/>
      </c>
      <c r="U24" s="13">
        <f>IFERROR(SUMPRODUCT((Loan_Snapshot!$B$5:$B$256=$A24)*Loan_Snapshot!$I$5:$I$256*Loan_Snapshot!$BX$5:$BX$256)/$C24,0)</f>
        <v/>
      </c>
      <c r="V24" s="13">
        <f>IFERROR(SUMPRODUCT((Loan_Snapshot!$B$5:$B$256=$A24)*Loan_Snapshot!$I$5:$I$256*Loan_Snapshot!$BY$5:$BY$256)/$C24,0)</f>
        <v/>
      </c>
      <c r="W24" s="28">
        <f>BASELINE_CPR+SUM(E24:V24)-$D24</f>
        <v/>
      </c>
    </row>
    <row r="25">
      <c r="A25" s="2" t="inlineStr">
        <is>
          <t>JLL_POST21</t>
        </is>
      </c>
      <c r="B25">
        <f>COUNTIF(Loan_Snapshot!$B$5:$B$256,$A25)</f>
        <v/>
      </c>
      <c r="C25" s="22">
        <f>SUMIF(Loan_Snapshot!$B$5:$B$256,$A25,Loan_Snapshot!$I$5:$I$256)</f>
        <v/>
      </c>
      <c r="D25" s="13">
        <f>IFERROR(SUMPRODUCT((Loan_Snapshot!$B$5:$B$256=$A25)*Loan_Snapshot!$I$5:$I$256*Loan_Snapshot!$BG$5:$BG$256)/$C25,0)</f>
        <v/>
      </c>
      <c r="E25" s="13">
        <f>IFERROR(SUMPRODUCT((Loan_Snapshot!$B$5:$B$256=$A25)*Loan_Snapshot!$I$5:$I$256*Loan_Snapshot!$BH$5:$BH$256)/$C25,0)</f>
        <v/>
      </c>
      <c r="F25" s="13">
        <f>IFERROR(SUMPRODUCT((Loan_Snapshot!$B$5:$B$256=$A25)*Loan_Snapshot!$I$5:$I$256*Loan_Snapshot!$BI$5:$BI$256)/$C25,0)</f>
        <v/>
      </c>
      <c r="G25" s="13">
        <f>IFERROR(SUMPRODUCT((Loan_Snapshot!$B$5:$B$256=$A25)*Loan_Snapshot!$I$5:$I$256*Loan_Snapshot!$BJ$5:$BJ$256)/$C25,0)</f>
        <v/>
      </c>
      <c r="H25" s="13">
        <f>IFERROR(SUMPRODUCT((Loan_Snapshot!$B$5:$B$256=$A25)*Loan_Snapshot!$I$5:$I$256*Loan_Snapshot!$BK$5:$BK$256)/$C25,0)</f>
        <v/>
      </c>
      <c r="I25" s="13">
        <f>IFERROR(SUMPRODUCT((Loan_Snapshot!$B$5:$B$256=$A25)*Loan_Snapshot!$I$5:$I$256*Loan_Snapshot!$BL$5:$BL$256)/$C25,0)</f>
        <v/>
      </c>
      <c r="J25" s="13">
        <f>IFERROR(SUMPRODUCT((Loan_Snapshot!$B$5:$B$256=$A25)*Loan_Snapshot!$I$5:$I$256*Loan_Snapshot!$BM$5:$BM$256)/$C25,0)</f>
        <v/>
      </c>
      <c r="K25" s="13">
        <f>IFERROR(SUMPRODUCT((Loan_Snapshot!$B$5:$B$256=$A25)*Loan_Snapshot!$I$5:$I$256*Loan_Snapshot!$BN$5:$BN$256)/$C25,0)</f>
        <v/>
      </c>
      <c r="L25" s="13">
        <f>IFERROR(SUMPRODUCT((Loan_Snapshot!$B$5:$B$256=$A25)*Loan_Snapshot!$I$5:$I$256*Loan_Snapshot!$BO$5:$BO$256)/$C25,0)</f>
        <v/>
      </c>
      <c r="M25" s="13">
        <f>IFERROR(SUMPRODUCT((Loan_Snapshot!$B$5:$B$256=$A25)*Loan_Snapshot!$I$5:$I$256*Loan_Snapshot!$BP$5:$BP$256)/$C25,0)</f>
        <v/>
      </c>
      <c r="N25" s="13">
        <f>IFERROR(SUMPRODUCT((Loan_Snapshot!$B$5:$B$256=$A25)*Loan_Snapshot!$I$5:$I$256*Loan_Snapshot!$BQ$5:$BQ$256)/$C25,0)</f>
        <v/>
      </c>
      <c r="O25" s="13">
        <f>IFERROR(SUMPRODUCT((Loan_Snapshot!$B$5:$B$256=$A25)*Loan_Snapshot!$I$5:$I$256*Loan_Snapshot!$BR$5:$BR$256)/$C25,0)</f>
        <v/>
      </c>
      <c r="P25" s="13">
        <f>IFERROR(SUMPRODUCT((Loan_Snapshot!$B$5:$B$256=$A25)*Loan_Snapshot!$I$5:$I$256*Loan_Snapshot!$BS$5:$BS$256)/$C25,0)</f>
        <v/>
      </c>
      <c r="Q25" s="13">
        <f>IFERROR(SUMPRODUCT((Loan_Snapshot!$B$5:$B$256=$A25)*Loan_Snapshot!$I$5:$I$256*Loan_Snapshot!$BT$5:$BT$256)/$C25,0)</f>
        <v/>
      </c>
      <c r="R25" s="13">
        <f>IFERROR(SUMPRODUCT((Loan_Snapshot!$B$5:$B$256=$A25)*Loan_Snapshot!$I$5:$I$256*Loan_Snapshot!$BU$5:$BU$256)/$C25,0)</f>
        <v/>
      </c>
      <c r="S25" s="13">
        <f>IFERROR(SUMPRODUCT((Loan_Snapshot!$B$5:$B$256=$A25)*Loan_Snapshot!$I$5:$I$256*Loan_Snapshot!$BV$5:$BV$256)/$C25,0)</f>
        <v/>
      </c>
      <c r="T25" s="13">
        <f>IFERROR(SUMPRODUCT((Loan_Snapshot!$B$5:$B$256=$A25)*Loan_Snapshot!$I$5:$I$256*Loan_Snapshot!$BW$5:$BW$256)/$C25,0)</f>
        <v/>
      </c>
      <c r="U25" s="13">
        <f>IFERROR(SUMPRODUCT((Loan_Snapshot!$B$5:$B$256=$A25)*Loan_Snapshot!$I$5:$I$256*Loan_Snapshot!$BX$5:$BX$256)/$C25,0)</f>
        <v/>
      </c>
      <c r="V25" s="13">
        <f>IFERROR(SUMPRODUCT((Loan_Snapshot!$B$5:$B$256=$A25)*Loan_Snapshot!$I$5:$I$256*Loan_Snapshot!$BY$5:$BY$256)/$C25,0)</f>
        <v/>
      </c>
      <c r="W25" s="28">
        <f>BASELINE_CPR+SUM(E25:V25)-$D25</f>
        <v/>
      </c>
    </row>
    <row r="26">
      <c r="A26" s="2" t="inlineStr">
        <is>
          <t>WELLS_POST21</t>
        </is>
      </c>
      <c r="B26">
        <f>COUNTIF(Loan_Snapshot!$B$5:$B$256,$A26)</f>
        <v/>
      </c>
      <c r="C26" s="22">
        <f>SUMIF(Loan_Snapshot!$B$5:$B$256,$A26,Loan_Snapshot!$I$5:$I$256)</f>
        <v/>
      </c>
      <c r="D26" s="13">
        <f>IFERROR(SUMPRODUCT((Loan_Snapshot!$B$5:$B$256=$A26)*Loan_Snapshot!$I$5:$I$256*Loan_Snapshot!$BG$5:$BG$256)/$C26,0)</f>
        <v/>
      </c>
      <c r="E26" s="13">
        <f>IFERROR(SUMPRODUCT((Loan_Snapshot!$B$5:$B$256=$A26)*Loan_Snapshot!$I$5:$I$256*Loan_Snapshot!$BH$5:$BH$256)/$C26,0)</f>
        <v/>
      </c>
      <c r="F26" s="13">
        <f>IFERROR(SUMPRODUCT((Loan_Snapshot!$B$5:$B$256=$A26)*Loan_Snapshot!$I$5:$I$256*Loan_Snapshot!$BI$5:$BI$256)/$C26,0)</f>
        <v/>
      </c>
      <c r="G26" s="13">
        <f>IFERROR(SUMPRODUCT((Loan_Snapshot!$B$5:$B$256=$A26)*Loan_Snapshot!$I$5:$I$256*Loan_Snapshot!$BJ$5:$BJ$256)/$C26,0)</f>
        <v/>
      </c>
      <c r="H26" s="13">
        <f>IFERROR(SUMPRODUCT((Loan_Snapshot!$B$5:$B$256=$A26)*Loan_Snapshot!$I$5:$I$256*Loan_Snapshot!$BK$5:$BK$256)/$C26,0)</f>
        <v/>
      </c>
      <c r="I26" s="13">
        <f>IFERROR(SUMPRODUCT((Loan_Snapshot!$B$5:$B$256=$A26)*Loan_Snapshot!$I$5:$I$256*Loan_Snapshot!$BL$5:$BL$256)/$C26,0)</f>
        <v/>
      </c>
      <c r="J26" s="13">
        <f>IFERROR(SUMPRODUCT((Loan_Snapshot!$B$5:$B$256=$A26)*Loan_Snapshot!$I$5:$I$256*Loan_Snapshot!$BM$5:$BM$256)/$C26,0)</f>
        <v/>
      </c>
      <c r="K26" s="13">
        <f>IFERROR(SUMPRODUCT((Loan_Snapshot!$B$5:$B$256=$A26)*Loan_Snapshot!$I$5:$I$256*Loan_Snapshot!$BN$5:$BN$256)/$C26,0)</f>
        <v/>
      </c>
      <c r="L26" s="13">
        <f>IFERROR(SUMPRODUCT((Loan_Snapshot!$B$5:$B$256=$A26)*Loan_Snapshot!$I$5:$I$256*Loan_Snapshot!$BO$5:$BO$256)/$C26,0)</f>
        <v/>
      </c>
      <c r="M26" s="13">
        <f>IFERROR(SUMPRODUCT((Loan_Snapshot!$B$5:$B$256=$A26)*Loan_Snapshot!$I$5:$I$256*Loan_Snapshot!$BP$5:$BP$256)/$C26,0)</f>
        <v/>
      </c>
      <c r="N26" s="13">
        <f>IFERROR(SUMPRODUCT((Loan_Snapshot!$B$5:$B$256=$A26)*Loan_Snapshot!$I$5:$I$256*Loan_Snapshot!$BQ$5:$BQ$256)/$C26,0)</f>
        <v/>
      </c>
      <c r="O26" s="13">
        <f>IFERROR(SUMPRODUCT((Loan_Snapshot!$B$5:$B$256=$A26)*Loan_Snapshot!$I$5:$I$256*Loan_Snapshot!$BR$5:$BR$256)/$C26,0)</f>
        <v/>
      </c>
      <c r="P26" s="13">
        <f>IFERROR(SUMPRODUCT((Loan_Snapshot!$B$5:$B$256=$A26)*Loan_Snapshot!$I$5:$I$256*Loan_Snapshot!$BS$5:$BS$256)/$C26,0)</f>
        <v/>
      </c>
      <c r="Q26" s="13">
        <f>IFERROR(SUMPRODUCT((Loan_Snapshot!$B$5:$B$256=$A26)*Loan_Snapshot!$I$5:$I$256*Loan_Snapshot!$BT$5:$BT$256)/$C26,0)</f>
        <v/>
      </c>
      <c r="R26" s="13">
        <f>IFERROR(SUMPRODUCT((Loan_Snapshot!$B$5:$B$256=$A26)*Loan_Snapshot!$I$5:$I$256*Loan_Snapshot!$BU$5:$BU$256)/$C26,0)</f>
        <v/>
      </c>
      <c r="S26" s="13">
        <f>IFERROR(SUMPRODUCT((Loan_Snapshot!$B$5:$B$256=$A26)*Loan_Snapshot!$I$5:$I$256*Loan_Snapshot!$BV$5:$BV$256)/$C26,0)</f>
        <v/>
      </c>
      <c r="T26" s="13">
        <f>IFERROR(SUMPRODUCT((Loan_Snapshot!$B$5:$B$256=$A26)*Loan_Snapshot!$I$5:$I$256*Loan_Snapshot!$BW$5:$BW$256)/$C26,0)</f>
        <v/>
      </c>
      <c r="U26" s="13">
        <f>IFERROR(SUMPRODUCT((Loan_Snapshot!$B$5:$B$256=$A26)*Loan_Snapshot!$I$5:$I$256*Loan_Snapshot!$BX$5:$BX$256)/$C26,0)</f>
        <v/>
      </c>
      <c r="V26" s="13">
        <f>IFERROR(SUMPRODUCT((Loan_Snapshot!$B$5:$B$256=$A26)*Loan_Snapshot!$I$5:$I$256*Loan_Snapshot!$BY$5:$BY$256)/$C26,0)</f>
        <v/>
      </c>
      <c r="W26" s="28">
        <f>BASELINE_CPR+SUM(E26:V26)-$D26</f>
        <v/>
      </c>
    </row>
    <row r="27">
      <c r="A27" s="2" t="inlineStr">
        <is>
          <t>KEYBANK_POST21</t>
        </is>
      </c>
      <c r="B27">
        <f>COUNTIF(Loan_Snapshot!$B$5:$B$256,$A27)</f>
        <v/>
      </c>
      <c r="C27" s="22">
        <f>SUMIF(Loan_Snapshot!$B$5:$B$256,$A27,Loan_Snapshot!$I$5:$I$256)</f>
        <v/>
      </c>
      <c r="D27" s="13">
        <f>IFERROR(SUMPRODUCT((Loan_Snapshot!$B$5:$B$256=$A27)*Loan_Snapshot!$I$5:$I$256*Loan_Snapshot!$BG$5:$BG$256)/$C27,0)</f>
        <v/>
      </c>
      <c r="E27" s="13">
        <f>IFERROR(SUMPRODUCT((Loan_Snapshot!$B$5:$B$256=$A27)*Loan_Snapshot!$I$5:$I$256*Loan_Snapshot!$BH$5:$BH$256)/$C27,0)</f>
        <v/>
      </c>
      <c r="F27" s="13">
        <f>IFERROR(SUMPRODUCT((Loan_Snapshot!$B$5:$B$256=$A27)*Loan_Snapshot!$I$5:$I$256*Loan_Snapshot!$BI$5:$BI$256)/$C27,0)</f>
        <v/>
      </c>
      <c r="G27" s="13">
        <f>IFERROR(SUMPRODUCT((Loan_Snapshot!$B$5:$B$256=$A27)*Loan_Snapshot!$I$5:$I$256*Loan_Snapshot!$BJ$5:$BJ$256)/$C27,0)</f>
        <v/>
      </c>
      <c r="H27" s="13">
        <f>IFERROR(SUMPRODUCT((Loan_Snapshot!$B$5:$B$256=$A27)*Loan_Snapshot!$I$5:$I$256*Loan_Snapshot!$BK$5:$BK$256)/$C27,0)</f>
        <v/>
      </c>
      <c r="I27" s="13">
        <f>IFERROR(SUMPRODUCT((Loan_Snapshot!$B$5:$B$256=$A27)*Loan_Snapshot!$I$5:$I$256*Loan_Snapshot!$BL$5:$BL$256)/$C27,0)</f>
        <v/>
      </c>
      <c r="J27" s="13">
        <f>IFERROR(SUMPRODUCT((Loan_Snapshot!$B$5:$B$256=$A27)*Loan_Snapshot!$I$5:$I$256*Loan_Snapshot!$BM$5:$BM$256)/$C27,0)</f>
        <v/>
      </c>
      <c r="K27" s="13">
        <f>IFERROR(SUMPRODUCT((Loan_Snapshot!$B$5:$B$256=$A27)*Loan_Snapshot!$I$5:$I$256*Loan_Snapshot!$BN$5:$BN$256)/$C27,0)</f>
        <v/>
      </c>
      <c r="L27" s="13">
        <f>IFERROR(SUMPRODUCT((Loan_Snapshot!$B$5:$B$256=$A27)*Loan_Snapshot!$I$5:$I$256*Loan_Snapshot!$BO$5:$BO$256)/$C27,0)</f>
        <v/>
      </c>
      <c r="M27" s="13">
        <f>IFERROR(SUMPRODUCT((Loan_Snapshot!$B$5:$B$256=$A27)*Loan_Snapshot!$I$5:$I$256*Loan_Snapshot!$BP$5:$BP$256)/$C27,0)</f>
        <v/>
      </c>
      <c r="N27" s="13">
        <f>IFERROR(SUMPRODUCT((Loan_Snapshot!$B$5:$B$256=$A27)*Loan_Snapshot!$I$5:$I$256*Loan_Snapshot!$BQ$5:$BQ$256)/$C27,0)</f>
        <v/>
      </c>
      <c r="O27" s="13">
        <f>IFERROR(SUMPRODUCT((Loan_Snapshot!$B$5:$B$256=$A27)*Loan_Snapshot!$I$5:$I$256*Loan_Snapshot!$BR$5:$BR$256)/$C27,0)</f>
        <v/>
      </c>
      <c r="P27" s="13">
        <f>IFERROR(SUMPRODUCT((Loan_Snapshot!$B$5:$B$256=$A27)*Loan_Snapshot!$I$5:$I$256*Loan_Snapshot!$BS$5:$BS$256)/$C27,0)</f>
        <v/>
      </c>
      <c r="Q27" s="13">
        <f>IFERROR(SUMPRODUCT((Loan_Snapshot!$B$5:$B$256=$A27)*Loan_Snapshot!$I$5:$I$256*Loan_Snapshot!$BT$5:$BT$256)/$C27,0)</f>
        <v/>
      </c>
      <c r="R27" s="13">
        <f>IFERROR(SUMPRODUCT((Loan_Snapshot!$B$5:$B$256=$A27)*Loan_Snapshot!$I$5:$I$256*Loan_Snapshot!$BU$5:$BU$256)/$C27,0)</f>
        <v/>
      </c>
      <c r="S27" s="13">
        <f>IFERROR(SUMPRODUCT((Loan_Snapshot!$B$5:$B$256=$A27)*Loan_Snapshot!$I$5:$I$256*Loan_Snapshot!$BV$5:$BV$256)/$C27,0)</f>
        <v/>
      </c>
      <c r="T27" s="13">
        <f>IFERROR(SUMPRODUCT((Loan_Snapshot!$B$5:$B$256=$A27)*Loan_Snapshot!$I$5:$I$256*Loan_Snapshot!$BW$5:$BW$256)/$C27,0)</f>
        <v/>
      </c>
      <c r="U27" s="13">
        <f>IFERROR(SUMPRODUCT((Loan_Snapshot!$B$5:$B$256=$A27)*Loan_Snapshot!$I$5:$I$256*Loan_Snapshot!$BX$5:$BX$256)/$C27,0)</f>
        <v/>
      </c>
      <c r="V27" s="13">
        <f>IFERROR(SUMPRODUCT((Loan_Snapshot!$B$5:$B$256=$A27)*Loan_Snapshot!$I$5:$I$256*Loan_Snapshot!$BY$5:$BY$256)/$C27,0)</f>
        <v/>
      </c>
      <c r="W27" s="28">
        <f>BASELINE_CPR+SUM(E27:V27)-$D27</f>
        <v/>
      </c>
    </row>
    <row r="28">
      <c r="A28" s="2" t="inlineStr">
        <is>
          <t>NORTHMARQ_POST21</t>
        </is>
      </c>
      <c r="B28">
        <f>COUNTIF(Loan_Snapshot!$B$5:$B$256,$A28)</f>
        <v/>
      </c>
      <c r="C28" s="22">
        <f>SUMIF(Loan_Snapshot!$B$5:$B$256,$A28,Loan_Snapshot!$I$5:$I$256)</f>
        <v/>
      </c>
      <c r="D28" s="13">
        <f>IFERROR(SUMPRODUCT((Loan_Snapshot!$B$5:$B$256=$A28)*Loan_Snapshot!$I$5:$I$256*Loan_Snapshot!$BG$5:$BG$256)/$C28,0)</f>
        <v/>
      </c>
      <c r="E28" s="13">
        <f>IFERROR(SUMPRODUCT((Loan_Snapshot!$B$5:$B$256=$A28)*Loan_Snapshot!$I$5:$I$256*Loan_Snapshot!$BH$5:$BH$256)/$C28,0)</f>
        <v/>
      </c>
      <c r="F28" s="13">
        <f>IFERROR(SUMPRODUCT((Loan_Snapshot!$B$5:$B$256=$A28)*Loan_Snapshot!$I$5:$I$256*Loan_Snapshot!$BI$5:$BI$256)/$C28,0)</f>
        <v/>
      </c>
      <c r="G28" s="13">
        <f>IFERROR(SUMPRODUCT((Loan_Snapshot!$B$5:$B$256=$A28)*Loan_Snapshot!$I$5:$I$256*Loan_Snapshot!$BJ$5:$BJ$256)/$C28,0)</f>
        <v/>
      </c>
      <c r="H28" s="13">
        <f>IFERROR(SUMPRODUCT((Loan_Snapshot!$B$5:$B$256=$A28)*Loan_Snapshot!$I$5:$I$256*Loan_Snapshot!$BK$5:$BK$256)/$C28,0)</f>
        <v/>
      </c>
      <c r="I28" s="13">
        <f>IFERROR(SUMPRODUCT((Loan_Snapshot!$B$5:$B$256=$A28)*Loan_Snapshot!$I$5:$I$256*Loan_Snapshot!$BL$5:$BL$256)/$C28,0)</f>
        <v/>
      </c>
      <c r="J28" s="13">
        <f>IFERROR(SUMPRODUCT((Loan_Snapshot!$B$5:$B$256=$A28)*Loan_Snapshot!$I$5:$I$256*Loan_Snapshot!$BM$5:$BM$256)/$C28,0)</f>
        <v/>
      </c>
      <c r="K28" s="13">
        <f>IFERROR(SUMPRODUCT((Loan_Snapshot!$B$5:$B$256=$A28)*Loan_Snapshot!$I$5:$I$256*Loan_Snapshot!$BN$5:$BN$256)/$C28,0)</f>
        <v/>
      </c>
      <c r="L28" s="13">
        <f>IFERROR(SUMPRODUCT((Loan_Snapshot!$B$5:$B$256=$A28)*Loan_Snapshot!$I$5:$I$256*Loan_Snapshot!$BO$5:$BO$256)/$C28,0)</f>
        <v/>
      </c>
      <c r="M28" s="13">
        <f>IFERROR(SUMPRODUCT((Loan_Snapshot!$B$5:$B$256=$A28)*Loan_Snapshot!$I$5:$I$256*Loan_Snapshot!$BP$5:$BP$256)/$C28,0)</f>
        <v/>
      </c>
      <c r="N28" s="13">
        <f>IFERROR(SUMPRODUCT((Loan_Snapshot!$B$5:$B$256=$A28)*Loan_Snapshot!$I$5:$I$256*Loan_Snapshot!$BQ$5:$BQ$256)/$C28,0)</f>
        <v/>
      </c>
      <c r="O28" s="13">
        <f>IFERROR(SUMPRODUCT((Loan_Snapshot!$B$5:$B$256=$A28)*Loan_Snapshot!$I$5:$I$256*Loan_Snapshot!$BR$5:$BR$256)/$C28,0)</f>
        <v/>
      </c>
      <c r="P28" s="13">
        <f>IFERROR(SUMPRODUCT((Loan_Snapshot!$B$5:$B$256=$A28)*Loan_Snapshot!$I$5:$I$256*Loan_Snapshot!$BS$5:$BS$256)/$C28,0)</f>
        <v/>
      </c>
      <c r="Q28" s="13">
        <f>IFERROR(SUMPRODUCT((Loan_Snapshot!$B$5:$B$256=$A28)*Loan_Snapshot!$I$5:$I$256*Loan_Snapshot!$BT$5:$BT$256)/$C28,0)</f>
        <v/>
      </c>
      <c r="R28" s="13">
        <f>IFERROR(SUMPRODUCT((Loan_Snapshot!$B$5:$B$256=$A28)*Loan_Snapshot!$I$5:$I$256*Loan_Snapshot!$BU$5:$BU$256)/$C28,0)</f>
        <v/>
      </c>
      <c r="S28" s="13">
        <f>IFERROR(SUMPRODUCT((Loan_Snapshot!$B$5:$B$256=$A28)*Loan_Snapshot!$I$5:$I$256*Loan_Snapshot!$BV$5:$BV$256)/$C28,0)</f>
        <v/>
      </c>
      <c r="T28" s="13">
        <f>IFERROR(SUMPRODUCT((Loan_Snapshot!$B$5:$B$256=$A28)*Loan_Snapshot!$I$5:$I$256*Loan_Snapshot!$BW$5:$BW$256)/$C28,0)</f>
        <v/>
      </c>
      <c r="U28" s="13">
        <f>IFERROR(SUMPRODUCT((Loan_Snapshot!$B$5:$B$256=$A28)*Loan_Snapshot!$I$5:$I$256*Loan_Snapshot!$BX$5:$BX$256)/$C28,0)</f>
        <v/>
      </c>
      <c r="V28" s="13">
        <f>IFERROR(SUMPRODUCT((Loan_Snapshot!$B$5:$B$256=$A28)*Loan_Snapshot!$I$5:$I$256*Loan_Snapshot!$BY$5:$BY$256)/$C28,0)</f>
        <v/>
      </c>
      <c r="W28" s="28">
        <f>BASELINE_CPR+SUM(E28:V28)-$D28</f>
        <v/>
      </c>
    </row>
    <row r="29">
      <c r="A29" s="2" t="inlineStr">
        <is>
          <t>BELLWETHER_POST21</t>
        </is>
      </c>
      <c r="B29">
        <f>COUNTIF(Loan_Snapshot!$B$5:$B$256,$A29)</f>
        <v/>
      </c>
      <c r="C29" s="22">
        <f>SUMIF(Loan_Snapshot!$B$5:$B$256,$A29,Loan_Snapshot!$I$5:$I$256)</f>
        <v/>
      </c>
      <c r="D29" s="13">
        <f>IFERROR(SUMPRODUCT((Loan_Snapshot!$B$5:$B$256=$A29)*Loan_Snapshot!$I$5:$I$256*Loan_Snapshot!$BG$5:$BG$256)/$C29,0)</f>
        <v/>
      </c>
      <c r="E29" s="13">
        <f>IFERROR(SUMPRODUCT((Loan_Snapshot!$B$5:$B$256=$A29)*Loan_Snapshot!$I$5:$I$256*Loan_Snapshot!$BH$5:$BH$256)/$C29,0)</f>
        <v/>
      </c>
      <c r="F29" s="13">
        <f>IFERROR(SUMPRODUCT((Loan_Snapshot!$B$5:$B$256=$A29)*Loan_Snapshot!$I$5:$I$256*Loan_Snapshot!$BI$5:$BI$256)/$C29,0)</f>
        <v/>
      </c>
      <c r="G29" s="13">
        <f>IFERROR(SUMPRODUCT((Loan_Snapshot!$B$5:$B$256=$A29)*Loan_Snapshot!$I$5:$I$256*Loan_Snapshot!$BJ$5:$BJ$256)/$C29,0)</f>
        <v/>
      </c>
      <c r="H29" s="13">
        <f>IFERROR(SUMPRODUCT((Loan_Snapshot!$B$5:$B$256=$A29)*Loan_Snapshot!$I$5:$I$256*Loan_Snapshot!$BK$5:$BK$256)/$C29,0)</f>
        <v/>
      </c>
      <c r="I29" s="13">
        <f>IFERROR(SUMPRODUCT((Loan_Snapshot!$B$5:$B$256=$A29)*Loan_Snapshot!$I$5:$I$256*Loan_Snapshot!$BL$5:$BL$256)/$C29,0)</f>
        <v/>
      </c>
      <c r="J29" s="13">
        <f>IFERROR(SUMPRODUCT((Loan_Snapshot!$B$5:$B$256=$A29)*Loan_Snapshot!$I$5:$I$256*Loan_Snapshot!$BM$5:$BM$256)/$C29,0)</f>
        <v/>
      </c>
      <c r="K29" s="13">
        <f>IFERROR(SUMPRODUCT((Loan_Snapshot!$B$5:$B$256=$A29)*Loan_Snapshot!$I$5:$I$256*Loan_Snapshot!$BN$5:$BN$256)/$C29,0)</f>
        <v/>
      </c>
      <c r="L29" s="13">
        <f>IFERROR(SUMPRODUCT((Loan_Snapshot!$B$5:$B$256=$A29)*Loan_Snapshot!$I$5:$I$256*Loan_Snapshot!$BO$5:$BO$256)/$C29,0)</f>
        <v/>
      </c>
      <c r="M29" s="13">
        <f>IFERROR(SUMPRODUCT((Loan_Snapshot!$B$5:$B$256=$A29)*Loan_Snapshot!$I$5:$I$256*Loan_Snapshot!$BP$5:$BP$256)/$C29,0)</f>
        <v/>
      </c>
      <c r="N29" s="13">
        <f>IFERROR(SUMPRODUCT((Loan_Snapshot!$B$5:$B$256=$A29)*Loan_Snapshot!$I$5:$I$256*Loan_Snapshot!$BQ$5:$BQ$256)/$C29,0)</f>
        <v/>
      </c>
      <c r="O29" s="13">
        <f>IFERROR(SUMPRODUCT((Loan_Snapshot!$B$5:$B$256=$A29)*Loan_Snapshot!$I$5:$I$256*Loan_Snapshot!$BR$5:$BR$256)/$C29,0)</f>
        <v/>
      </c>
      <c r="P29" s="13">
        <f>IFERROR(SUMPRODUCT((Loan_Snapshot!$B$5:$B$256=$A29)*Loan_Snapshot!$I$5:$I$256*Loan_Snapshot!$BS$5:$BS$256)/$C29,0)</f>
        <v/>
      </c>
      <c r="Q29" s="13">
        <f>IFERROR(SUMPRODUCT((Loan_Snapshot!$B$5:$B$256=$A29)*Loan_Snapshot!$I$5:$I$256*Loan_Snapshot!$BT$5:$BT$256)/$C29,0)</f>
        <v/>
      </c>
      <c r="R29" s="13">
        <f>IFERROR(SUMPRODUCT((Loan_Snapshot!$B$5:$B$256=$A29)*Loan_Snapshot!$I$5:$I$256*Loan_Snapshot!$BU$5:$BU$256)/$C29,0)</f>
        <v/>
      </c>
      <c r="S29" s="13">
        <f>IFERROR(SUMPRODUCT((Loan_Snapshot!$B$5:$B$256=$A29)*Loan_Snapshot!$I$5:$I$256*Loan_Snapshot!$BV$5:$BV$256)/$C29,0)</f>
        <v/>
      </c>
      <c r="T29" s="13">
        <f>IFERROR(SUMPRODUCT((Loan_Snapshot!$B$5:$B$256=$A29)*Loan_Snapshot!$I$5:$I$256*Loan_Snapshot!$BW$5:$BW$256)/$C29,0)</f>
        <v/>
      </c>
      <c r="U29" s="13">
        <f>IFERROR(SUMPRODUCT((Loan_Snapshot!$B$5:$B$256=$A29)*Loan_Snapshot!$I$5:$I$256*Loan_Snapshot!$BX$5:$BX$256)/$C29,0)</f>
        <v/>
      </c>
      <c r="V29" s="13">
        <f>IFERROR(SUMPRODUCT((Loan_Snapshot!$B$5:$B$256=$A29)*Loan_Snapshot!$I$5:$I$256*Loan_Snapshot!$BY$5:$BY$256)/$C29,0)</f>
        <v/>
      </c>
      <c r="W29" s="28">
        <f>BASELINE_CPR+SUM(E29:V29)-$D29</f>
        <v/>
      </c>
    </row>
    <row r="30">
      <c r="A30" s="2" t="inlineStr">
        <is>
          <t>NORTHMARQ_PRE21</t>
        </is>
      </c>
      <c r="B30">
        <f>COUNTIF(Loan_Snapshot!$B$5:$B$256,$A30)</f>
        <v/>
      </c>
      <c r="C30" s="22">
        <f>SUMIF(Loan_Snapshot!$B$5:$B$256,$A30,Loan_Snapshot!$I$5:$I$256)</f>
        <v/>
      </c>
      <c r="D30" s="13">
        <f>IFERROR(SUMPRODUCT((Loan_Snapshot!$B$5:$B$256=$A30)*Loan_Snapshot!$I$5:$I$256*Loan_Snapshot!$BG$5:$BG$256)/$C30,0)</f>
        <v/>
      </c>
      <c r="E30" s="13">
        <f>IFERROR(SUMPRODUCT((Loan_Snapshot!$B$5:$B$256=$A30)*Loan_Snapshot!$I$5:$I$256*Loan_Snapshot!$BH$5:$BH$256)/$C30,0)</f>
        <v/>
      </c>
      <c r="F30" s="13">
        <f>IFERROR(SUMPRODUCT((Loan_Snapshot!$B$5:$B$256=$A30)*Loan_Snapshot!$I$5:$I$256*Loan_Snapshot!$BI$5:$BI$256)/$C30,0)</f>
        <v/>
      </c>
      <c r="G30" s="13">
        <f>IFERROR(SUMPRODUCT((Loan_Snapshot!$B$5:$B$256=$A30)*Loan_Snapshot!$I$5:$I$256*Loan_Snapshot!$BJ$5:$BJ$256)/$C30,0)</f>
        <v/>
      </c>
      <c r="H30" s="13">
        <f>IFERROR(SUMPRODUCT((Loan_Snapshot!$B$5:$B$256=$A30)*Loan_Snapshot!$I$5:$I$256*Loan_Snapshot!$BK$5:$BK$256)/$C30,0)</f>
        <v/>
      </c>
      <c r="I30" s="13">
        <f>IFERROR(SUMPRODUCT((Loan_Snapshot!$B$5:$B$256=$A30)*Loan_Snapshot!$I$5:$I$256*Loan_Snapshot!$BL$5:$BL$256)/$C30,0)</f>
        <v/>
      </c>
      <c r="J30" s="13">
        <f>IFERROR(SUMPRODUCT((Loan_Snapshot!$B$5:$B$256=$A30)*Loan_Snapshot!$I$5:$I$256*Loan_Snapshot!$BM$5:$BM$256)/$C30,0)</f>
        <v/>
      </c>
      <c r="K30" s="13">
        <f>IFERROR(SUMPRODUCT((Loan_Snapshot!$B$5:$B$256=$A30)*Loan_Snapshot!$I$5:$I$256*Loan_Snapshot!$BN$5:$BN$256)/$C30,0)</f>
        <v/>
      </c>
      <c r="L30" s="13">
        <f>IFERROR(SUMPRODUCT((Loan_Snapshot!$B$5:$B$256=$A30)*Loan_Snapshot!$I$5:$I$256*Loan_Snapshot!$BO$5:$BO$256)/$C30,0)</f>
        <v/>
      </c>
      <c r="M30" s="13">
        <f>IFERROR(SUMPRODUCT((Loan_Snapshot!$B$5:$B$256=$A30)*Loan_Snapshot!$I$5:$I$256*Loan_Snapshot!$BP$5:$BP$256)/$C30,0)</f>
        <v/>
      </c>
      <c r="N30" s="13">
        <f>IFERROR(SUMPRODUCT((Loan_Snapshot!$B$5:$B$256=$A30)*Loan_Snapshot!$I$5:$I$256*Loan_Snapshot!$BQ$5:$BQ$256)/$C30,0)</f>
        <v/>
      </c>
      <c r="O30" s="13">
        <f>IFERROR(SUMPRODUCT((Loan_Snapshot!$B$5:$B$256=$A30)*Loan_Snapshot!$I$5:$I$256*Loan_Snapshot!$BR$5:$BR$256)/$C30,0)</f>
        <v/>
      </c>
      <c r="P30" s="13">
        <f>IFERROR(SUMPRODUCT((Loan_Snapshot!$B$5:$B$256=$A30)*Loan_Snapshot!$I$5:$I$256*Loan_Snapshot!$BS$5:$BS$256)/$C30,0)</f>
        <v/>
      </c>
      <c r="Q30" s="13">
        <f>IFERROR(SUMPRODUCT((Loan_Snapshot!$B$5:$B$256=$A30)*Loan_Snapshot!$I$5:$I$256*Loan_Snapshot!$BT$5:$BT$256)/$C30,0)</f>
        <v/>
      </c>
      <c r="R30" s="13">
        <f>IFERROR(SUMPRODUCT((Loan_Snapshot!$B$5:$B$256=$A30)*Loan_Snapshot!$I$5:$I$256*Loan_Snapshot!$BU$5:$BU$256)/$C30,0)</f>
        <v/>
      </c>
      <c r="S30" s="13">
        <f>IFERROR(SUMPRODUCT((Loan_Snapshot!$B$5:$B$256=$A30)*Loan_Snapshot!$I$5:$I$256*Loan_Snapshot!$BV$5:$BV$256)/$C30,0)</f>
        <v/>
      </c>
      <c r="T30" s="13">
        <f>IFERROR(SUMPRODUCT((Loan_Snapshot!$B$5:$B$256=$A30)*Loan_Snapshot!$I$5:$I$256*Loan_Snapshot!$BW$5:$BW$256)/$C30,0)</f>
        <v/>
      </c>
      <c r="U30" s="13">
        <f>IFERROR(SUMPRODUCT((Loan_Snapshot!$B$5:$B$256=$A30)*Loan_Snapshot!$I$5:$I$256*Loan_Snapshot!$BX$5:$BX$256)/$C30,0)</f>
        <v/>
      </c>
      <c r="V30" s="13">
        <f>IFERROR(SUMPRODUCT((Loan_Snapshot!$B$5:$B$256=$A30)*Loan_Snapshot!$I$5:$I$256*Loan_Snapshot!$BY$5:$BY$256)/$C30,0)</f>
        <v/>
      </c>
      <c r="W30" s="28">
        <f>BASELINE_CPR+SUM(E30:V30)-$D30</f>
        <v/>
      </c>
    </row>
    <row r="31">
      <c r="A31" s="2" t="inlineStr">
        <is>
          <t>PNC_POST21</t>
        </is>
      </c>
      <c r="B31">
        <f>COUNTIF(Loan_Snapshot!$B$5:$B$256,$A31)</f>
        <v/>
      </c>
      <c r="C31" s="22">
        <f>SUMIF(Loan_Snapshot!$B$5:$B$256,$A31,Loan_Snapshot!$I$5:$I$256)</f>
        <v/>
      </c>
      <c r="D31" s="13">
        <f>IFERROR(SUMPRODUCT((Loan_Snapshot!$B$5:$B$256=$A31)*Loan_Snapshot!$I$5:$I$256*Loan_Snapshot!$BG$5:$BG$256)/$C31,0)</f>
        <v/>
      </c>
      <c r="E31" s="13">
        <f>IFERROR(SUMPRODUCT((Loan_Snapshot!$B$5:$B$256=$A31)*Loan_Snapshot!$I$5:$I$256*Loan_Snapshot!$BH$5:$BH$256)/$C31,0)</f>
        <v/>
      </c>
      <c r="F31" s="13">
        <f>IFERROR(SUMPRODUCT((Loan_Snapshot!$B$5:$B$256=$A31)*Loan_Snapshot!$I$5:$I$256*Loan_Snapshot!$BI$5:$BI$256)/$C31,0)</f>
        <v/>
      </c>
      <c r="G31" s="13">
        <f>IFERROR(SUMPRODUCT((Loan_Snapshot!$B$5:$B$256=$A31)*Loan_Snapshot!$I$5:$I$256*Loan_Snapshot!$BJ$5:$BJ$256)/$C31,0)</f>
        <v/>
      </c>
      <c r="H31" s="13">
        <f>IFERROR(SUMPRODUCT((Loan_Snapshot!$B$5:$B$256=$A31)*Loan_Snapshot!$I$5:$I$256*Loan_Snapshot!$BK$5:$BK$256)/$C31,0)</f>
        <v/>
      </c>
      <c r="I31" s="13">
        <f>IFERROR(SUMPRODUCT((Loan_Snapshot!$B$5:$B$256=$A31)*Loan_Snapshot!$I$5:$I$256*Loan_Snapshot!$BL$5:$BL$256)/$C31,0)</f>
        <v/>
      </c>
      <c r="J31" s="13">
        <f>IFERROR(SUMPRODUCT((Loan_Snapshot!$B$5:$B$256=$A31)*Loan_Snapshot!$I$5:$I$256*Loan_Snapshot!$BM$5:$BM$256)/$C31,0)</f>
        <v/>
      </c>
      <c r="K31" s="13">
        <f>IFERROR(SUMPRODUCT((Loan_Snapshot!$B$5:$B$256=$A31)*Loan_Snapshot!$I$5:$I$256*Loan_Snapshot!$BN$5:$BN$256)/$C31,0)</f>
        <v/>
      </c>
      <c r="L31" s="13">
        <f>IFERROR(SUMPRODUCT((Loan_Snapshot!$B$5:$B$256=$A31)*Loan_Snapshot!$I$5:$I$256*Loan_Snapshot!$BO$5:$BO$256)/$C31,0)</f>
        <v/>
      </c>
      <c r="M31" s="13">
        <f>IFERROR(SUMPRODUCT((Loan_Snapshot!$B$5:$B$256=$A31)*Loan_Snapshot!$I$5:$I$256*Loan_Snapshot!$BP$5:$BP$256)/$C31,0)</f>
        <v/>
      </c>
      <c r="N31" s="13">
        <f>IFERROR(SUMPRODUCT((Loan_Snapshot!$B$5:$B$256=$A31)*Loan_Snapshot!$I$5:$I$256*Loan_Snapshot!$BQ$5:$BQ$256)/$C31,0)</f>
        <v/>
      </c>
      <c r="O31" s="13">
        <f>IFERROR(SUMPRODUCT((Loan_Snapshot!$B$5:$B$256=$A31)*Loan_Snapshot!$I$5:$I$256*Loan_Snapshot!$BR$5:$BR$256)/$C31,0)</f>
        <v/>
      </c>
      <c r="P31" s="13">
        <f>IFERROR(SUMPRODUCT((Loan_Snapshot!$B$5:$B$256=$A31)*Loan_Snapshot!$I$5:$I$256*Loan_Snapshot!$BS$5:$BS$256)/$C31,0)</f>
        <v/>
      </c>
      <c r="Q31" s="13">
        <f>IFERROR(SUMPRODUCT((Loan_Snapshot!$B$5:$B$256=$A31)*Loan_Snapshot!$I$5:$I$256*Loan_Snapshot!$BT$5:$BT$256)/$C31,0)</f>
        <v/>
      </c>
      <c r="R31" s="13">
        <f>IFERROR(SUMPRODUCT((Loan_Snapshot!$B$5:$B$256=$A31)*Loan_Snapshot!$I$5:$I$256*Loan_Snapshot!$BU$5:$BU$256)/$C31,0)</f>
        <v/>
      </c>
      <c r="S31" s="13">
        <f>IFERROR(SUMPRODUCT((Loan_Snapshot!$B$5:$B$256=$A31)*Loan_Snapshot!$I$5:$I$256*Loan_Snapshot!$BV$5:$BV$256)/$C31,0)</f>
        <v/>
      </c>
      <c r="T31" s="13">
        <f>IFERROR(SUMPRODUCT((Loan_Snapshot!$B$5:$B$256=$A31)*Loan_Snapshot!$I$5:$I$256*Loan_Snapshot!$BW$5:$BW$256)/$C31,0)</f>
        <v/>
      </c>
      <c r="U31" s="13">
        <f>IFERROR(SUMPRODUCT((Loan_Snapshot!$B$5:$B$256=$A31)*Loan_Snapshot!$I$5:$I$256*Loan_Snapshot!$BX$5:$BX$256)/$C31,0)</f>
        <v/>
      </c>
      <c r="V31" s="13">
        <f>IFERROR(SUMPRODUCT((Loan_Snapshot!$B$5:$B$256=$A31)*Loan_Snapshot!$I$5:$I$256*Loan_Snapshot!$BY$5:$BY$256)/$C31,0)</f>
        <v/>
      </c>
      <c r="W31" s="28">
        <f>BASELINE_CPR+SUM(E31:V31)-$D31</f>
        <v/>
      </c>
    </row>
    <row r="34">
      <c r="A34" s="29" t="inlineStr">
        <is>
          <t>ALL LOANS (snapshot total)</t>
        </is>
      </c>
      <c r="B34" s="30">
        <f>COUNTA(Loan_Snapshot!$A$5:$A$256)</f>
        <v/>
      </c>
      <c r="C34" s="31">
        <f>SUM(Loan_Snapshot!$I$5:$I$256)</f>
        <v/>
      </c>
      <c r="D34" s="32">
        <f>SUMPRODUCT(Loan_Snapshot!$I$5:$I$256*Loan_Snapshot!$BG$5:$BG$256)/$C34</f>
        <v/>
      </c>
      <c r="E34" s="32">
        <f>SUMPRODUCT(Loan_Snapshot!$I$5:$I$256*Loan_Snapshot!$BH$5:$BH$256)/$C34</f>
        <v/>
      </c>
      <c r="F34" s="32">
        <f>SUMPRODUCT(Loan_Snapshot!$I$5:$I$256*Loan_Snapshot!$BI$5:$BI$256)/$C34</f>
        <v/>
      </c>
      <c r="G34" s="32">
        <f>SUMPRODUCT(Loan_Snapshot!$I$5:$I$256*Loan_Snapshot!$BJ$5:$BJ$256)/$C34</f>
        <v/>
      </c>
      <c r="H34" s="32">
        <f>SUMPRODUCT(Loan_Snapshot!$I$5:$I$256*Loan_Snapshot!$BK$5:$BK$256)/$C34</f>
        <v/>
      </c>
      <c r="I34" s="32">
        <f>SUMPRODUCT(Loan_Snapshot!$I$5:$I$256*Loan_Snapshot!$BL$5:$BL$256)/$C34</f>
        <v/>
      </c>
      <c r="J34" s="32">
        <f>SUMPRODUCT(Loan_Snapshot!$I$5:$I$256*Loan_Snapshot!$BM$5:$BM$256)/$C34</f>
        <v/>
      </c>
      <c r="K34" s="32">
        <f>SUMPRODUCT(Loan_Snapshot!$I$5:$I$256*Loan_Snapshot!$BN$5:$BN$256)/$C34</f>
        <v/>
      </c>
      <c r="L34" s="32">
        <f>SUMPRODUCT(Loan_Snapshot!$I$5:$I$256*Loan_Snapshot!$BO$5:$BO$256)/$C34</f>
        <v/>
      </c>
      <c r="M34" s="32">
        <f>SUMPRODUCT(Loan_Snapshot!$I$5:$I$256*Loan_Snapshot!$BP$5:$BP$256)/$C34</f>
        <v/>
      </c>
      <c r="N34" s="32">
        <f>SUMPRODUCT(Loan_Snapshot!$I$5:$I$256*Loan_Snapshot!$BQ$5:$BQ$256)/$C34</f>
        <v/>
      </c>
      <c r="O34" s="32">
        <f>SUMPRODUCT(Loan_Snapshot!$I$5:$I$256*Loan_Snapshot!$BR$5:$BR$256)/$C34</f>
        <v/>
      </c>
      <c r="P34" s="32">
        <f>SUMPRODUCT(Loan_Snapshot!$I$5:$I$256*Loan_Snapshot!$BS$5:$BS$256)/$C34</f>
        <v/>
      </c>
      <c r="Q34" s="32">
        <f>SUMPRODUCT(Loan_Snapshot!$I$5:$I$256*Loan_Snapshot!$BT$5:$BT$256)/$C34</f>
        <v/>
      </c>
      <c r="R34" s="32">
        <f>SUMPRODUCT(Loan_Snapshot!$I$5:$I$256*Loan_Snapshot!$BU$5:$BU$256)/$C34</f>
        <v/>
      </c>
      <c r="S34" s="32">
        <f>SUMPRODUCT(Loan_Snapshot!$I$5:$I$256*Loan_Snapshot!$BV$5:$BV$256)/$C34</f>
        <v/>
      </c>
      <c r="T34" s="32">
        <f>SUMPRODUCT(Loan_Snapshot!$I$5:$I$256*Loan_Snapshot!$BW$5:$BW$256)/$C34</f>
        <v/>
      </c>
      <c r="U34" s="32">
        <f>SUMPRODUCT(Loan_Snapshot!$I$5:$I$256*Loan_Snapshot!$BX$5:$BX$256)/$C34</f>
        <v/>
      </c>
      <c r="V34" s="32">
        <f>SUMPRODUCT(Loan_Snapshot!$I$5:$I$256*Loan_Snapshot!$BY$5:$BY$256)/$C34</f>
        <v/>
      </c>
      <c r="W34" s="33">
        <f>BASELINE_CPR+SUM(E34:V34)-$D34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2026-05-05T14:15:35Z</dcterms:created>
  <dcterms:modified xsi:type="dcterms:W3CDTF">2026-05-05T14:15:36Z</dcterms:modified>
</cp:coreProperties>
</file>